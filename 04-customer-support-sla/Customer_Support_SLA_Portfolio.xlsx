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Assumptions" sheetId="3" state="visible" r:id="rId5"/>
    <sheet name="Agents" sheetId="4" state="visible" r:id="rId6"/>
    <sheet name="Tickets" sheetId="5" state="visible" r:id="rId7"/>
  </sheets>
  <definedNames>
    <definedName function="false" hidden="true" localSheetId="4" name="_xlnm._FilterDatabase" vbProcedure="false">Tickets!$A$1:$O$6919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<sst xmlns="http://schemas.openxmlformats.org/spreadsheetml/2006/main" count="48630" uniqueCount="7070">
  <si>
    <t xml:space="preserve">Customer Support Performance &amp; SLA – Operations Analytics Portfolio Project</t>
  </si>
  <si>
    <t xml:space="preserve">BZME Insights  |  Sector: Customer Support / BPO / Operations  |  Tool: Excel (formula-driven)</t>
  </si>
  <si>
    <t xml:space="preserve">BUSINESS PROBLEM</t>
  </si>
  <si>
    <t xml:space="preserve">A support centre handles thousands of tickets across chat, WhatsApp, email and phone. Management needs to see whether service-level targets are being met, where delays and reopened tickets come from, and which agents need coaching.</t>
  </si>
  <si>
    <t xml:space="preserve">BUSINESS QUESTIONS</t>
  </si>
  <si>
    <t xml:space="preserve">1. Are first-response and resolution SLAs being met, by priority, channel and category?</t>
  </si>
  <si>
    <t xml:space="preserve">2. What is customer satisfaction (CSAT) and what drives it down?</t>
  </si>
  <si>
    <t xml:space="preserve">3. Which categories have the lowest resolution SLA and the highest reopen rate?</t>
  </si>
  <si>
    <t xml:space="preserve">4. What is the open backlog and how much of it is aged?</t>
  </si>
  <si>
    <t xml:space="preserve">5. Which days are busiest, and which agents need coaching?</t>
  </si>
  <si>
    <t xml:space="preserve">HOW THE WORKBOOK IS BUILT</t>
  </si>
  <si>
    <t xml:space="preserve">Tickets: 6,918 synthetic tickets (Jul-Sep 2026) with channel, category, priority, agent, response and resolution times, status, CSAT and reopen flag.</t>
  </si>
  <si>
    <t xml:space="preserve">SLA 'Met' columns are formulas that compare each ticket to the target for its priority (Assumptions).</t>
  </si>
  <si>
    <t xml:space="preserve">Agents: 18 agents in 3 teams with formula metrics, targets missed, a performance flag and a ranking.</t>
  </si>
  <si>
    <t xml:space="preserve">Dashboard: KPIs, key findings, tables, charts and an agent leaderboard, all linked to the data. Blue cells on Assumptions are editable.</t>
  </si>
  <si>
    <t xml:space="preserve">KEY DEFINITIONS</t>
  </si>
  <si>
    <t xml:space="preserve">Response SLA met: first response time is within the target for the ticket's priority.</t>
  </si>
  <si>
    <t xml:space="preserve">Resolution SLA met: resolution time is within the target. Open tickets are excluded from resolution SLA.</t>
  </si>
  <si>
    <t xml:space="preserve">CSAT: customer rating from 1 to 5; only some tickets receive a rating.</t>
  </si>
  <si>
    <t xml:space="preserve">Performance flag: Coaching needed = all three targets missed (resolution SLA, CSAT, reopen rate); Watch = one or two missed.</t>
  </si>
  <si>
    <t xml:space="preserve">IMPORTANT NOTES</t>
  </si>
  <si>
    <t xml:space="preserve">All data is synthetic and generated for demonstration. No real company or customer data is used.</t>
  </si>
  <si>
    <t xml:space="preserve">Targets are illustrative. In a real engagement they come from the client's service agreement.</t>
  </si>
  <si>
    <t xml:space="preserve">Findings update live when assumptions change.</t>
  </si>
  <si>
    <t xml:space="preserve">RECOMMENDATIONS (FRAMEWORK)</t>
  </si>
  <si>
    <t xml:space="preserve">Add cover on the busiest days and review email queue rules to bring first-response times down.</t>
  </si>
  <si>
    <t xml:space="preserve">Create a fast-track for refund and delivery tickets, the categories with the slowest resolution.</t>
  </si>
  <si>
    <t xml:space="preserve">Coach agents flagged 'Coaching needed' using the best performers' handling as a model.</t>
  </si>
  <si>
    <t xml:space="preserve">Clear aged backlog first and set an escalation rule to reduce escalations, which lower CSAT.</t>
  </si>
  <si>
    <t xml:space="preserve">Customer Support Performance &amp; SLA Dashboard</t>
  </si>
  <si>
    <t xml:space="preserve">TICKETS</t>
  </si>
  <si>
    <t xml:space="preserve">RESPONSE SLA MET</t>
  </si>
  <si>
    <t xml:space="preserve">RESOLUTION SLA MET</t>
  </si>
  <si>
    <t xml:space="preserve">AVG RESOLUTION (HRS)</t>
  </si>
  <si>
    <t xml:space="preserve">AVG CSAT (1-5)</t>
  </si>
  <si>
    <t xml:space="preserve">OPEN TICKETS (BACKLOG)</t>
  </si>
  <si>
    <t xml:space="preserve">Key findings (update automatically)</t>
  </si>
  <si>
    <t xml:space="preserve">1. Monthly trend</t>
  </si>
  <si>
    <t xml:space="preserve">Month start</t>
  </si>
  <si>
    <t xml:space="preserve">Month</t>
  </si>
  <si>
    <t xml:space="preserve">Tickets</t>
  </si>
  <si>
    <t xml:space="preserve">Response SLA %</t>
  </si>
  <si>
    <t xml:space="preserve">Resolution SLA %</t>
  </si>
  <si>
    <t xml:space="preserve">Avg CSAT</t>
  </si>
  <si>
    <t xml:space="preserve">Avg Resolution (hrs)</t>
  </si>
  <si>
    <t xml:space="preserve">2. SLA performance by priority</t>
  </si>
  <si>
    <t xml:space="preserve">Priority</t>
  </si>
  <si>
    <t xml:space="preserve">Response target (min)</t>
  </si>
  <si>
    <t xml:space="preserve">Resolution target (hrs)</t>
  </si>
  <si>
    <t xml:space="preserve">Urgent</t>
  </si>
  <si>
    <t xml:space="preserve">High</t>
  </si>
  <si>
    <t xml:space="preserve">Medium</t>
  </si>
  <si>
    <t xml:space="preserve">Low</t>
  </si>
  <si>
    <t xml:space="preserve">Total</t>
  </si>
  <si>
    <t xml:space="preserve">3. Channel performance</t>
  </si>
  <si>
    <t xml:space="preserve">Channel</t>
  </si>
  <si>
    <t xml:space="preserve">Avg First Response (min)</t>
  </si>
  <si>
    <t xml:space="preserve">Chat</t>
  </si>
  <si>
    <t xml:space="preserve">WhatsApp</t>
  </si>
  <si>
    <t xml:space="preserve">Email</t>
  </si>
  <si>
    <t xml:space="preserve">Phone</t>
  </si>
  <si>
    <t xml:space="preserve">4. Category performance</t>
  </si>
  <si>
    <t xml:space="preserve">Category</t>
  </si>
  <si>
    <t xml:space="preserve">Reopen Rate</t>
  </si>
  <si>
    <t xml:space="preserve">Escalated</t>
  </si>
  <si>
    <t xml:space="preserve">Technical</t>
  </si>
  <si>
    <t xml:space="preserve">Billing</t>
  </si>
  <si>
    <t xml:space="preserve">Delivery</t>
  </si>
  <si>
    <t xml:space="preserve">Account</t>
  </si>
  <si>
    <t xml:space="preserve">Refund</t>
  </si>
  <si>
    <t xml:space="preserve">5. Ticket volume by weekday</t>
  </si>
  <si>
    <t xml:space="preserve">Weekday</t>
  </si>
  <si>
    <t xml:space="preserve">Avg per 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</si>
  <si>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</si>
  <si>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</si>
  <si>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</si>
  <si>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</si>
  <si>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</si>
  <si>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</si>
  <si>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</si>
  <si>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6. Agent leaderboard (by resolution SLA %)</t>
  </si>
  <si>
    <t xml:space="preserve">Top 5 agents</t>
  </si>
  <si>
    <t xml:space="preserve">Bottom 5 agents</t>
  </si>
  <si>
    <t xml:space="preserve">Rank</t>
  </si>
  <si>
    <t xml:space="preserve">Agent</t>
  </si>
  <si>
    <t xml:space="preserve">Team</t>
  </si>
  <si>
    <t xml:space="preserve">Performance flag</t>
  </si>
  <si>
    <t xml:space="preserve">Agents</t>
  </si>
  <si>
    <t xml:space="preserve">On track</t>
  </si>
  <si>
    <t xml:space="preserve">Watch</t>
  </si>
  <si>
    <t xml:space="preserve">Coaching needed</t>
  </si>
  <si>
    <t xml:space="preserve">Assumptions &amp; Parameters</t>
  </si>
  <si>
    <t xml:space="preserve">Blue cells are editable inputs. Everything else recalculates from them.</t>
  </si>
  <si>
    <t xml:space="preserve">As-of date</t>
  </si>
  <si>
    <t xml:space="preserve">Last day of data.</t>
  </si>
  <si>
    <t xml:space="preserve">Period start</t>
  </si>
  <si>
    <t xml:space="preserve">First day of data.</t>
  </si>
  <si>
    <t xml:space="preserve">Months in period</t>
  </si>
  <si>
    <t xml:space="preserve">Calculated.</t>
  </si>
  <si>
    <t xml:space="preserve">Response SLA target (% of tickets)</t>
  </si>
  <si>
    <t xml:space="preserve">Share of tickets answered within the priority's first-response target.</t>
  </si>
  <si>
    <t xml:space="preserve">Resolution SLA target (% of tickets)</t>
  </si>
  <si>
    <t xml:space="preserve">Share of tickets resolved within the priority's resolution target.</t>
  </si>
  <si>
    <t xml:space="preserve">CSAT target (1-5)</t>
  </si>
  <si>
    <t xml:space="preserve">Average customer satisfaction score.</t>
  </si>
  <si>
    <t xml:space="preserve">Maximum reopen rate</t>
  </si>
  <si>
    <t xml:space="preserve">Share of tickets reopened after resolution.</t>
  </si>
  <si>
    <t xml:space="preserve">Aged backlog: open longer than (days)</t>
  </si>
  <si>
    <t xml:space="preserve">Open tickets older than this count as aged backlog.</t>
  </si>
  <si>
    <t xml:space="preserve">SLA targets by priority</t>
  </si>
  <si>
    <t xml:space="preserve">First response target (minutes)</t>
  </si>
  <si>
    <t xml:space="preserve">Resolution target (hours)</t>
  </si>
  <si>
    <t xml:space="preserve">AgentID</t>
  </si>
  <si>
    <t xml:space="preserve">Closed Tickets</t>
  </si>
  <si>
    <t xml:space="preserve">Targets Missed</t>
  </si>
  <si>
    <t xml:space="preserve">Performance Flag</t>
  </si>
  <si>
    <t xml:space="preserve">Resolution SLA Rank</t>
  </si>
  <si>
    <t xml:space="preserve">AG01</t>
  </si>
  <si>
    <t xml:space="preserve">Team Alpha</t>
  </si>
  <si>
    <t xml:space="preserve">AG02</t>
  </si>
  <si>
    <t xml:space="preserve">AG03</t>
  </si>
  <si>
    <t xml:space="preserve">AG04</t>
  </si>
  <si>
    <t xml:space="preserve">AG05</t>
  </si>
  <si>
    <t xml:space="preserve">AG06</t>
  </si>
  <si>
    <t xml:space="preserve">AG07</t>
  </si>
  <si>
    <t xml:space="preserve">Team Bravo</t>
  </si>
  <si>
    <t xml:space="preserve">AG08</t>
  </si>
  <si>
    <t xml:space="preserve">AG09</t>
  </si>
  <si>
    <t xml:space="preserve">AG10</t>
  </si>
  <si>
    <t xml:space="preserve">AG11</t>
  </si>
  <si>
    <t xml:space="preserve">AG12</t>
  </si>
  <si>
    <t xml:space="preserve">AG13</t>
  </si>
  <si>
    <t xml:space="preserve">Team Charlie</t>
  </si>
  <si>
    <t xml:space="preserve">AG14</t>
  </si>
  <si>
    <t xml:space="preserve">AG15</t>
  </si>
  <si>
    <t xml:space="preserve">AG16</t>
  </si>
  <si>
    <t xml:space="preserve">AG17</t>
  </si>
  <si>
    <t xml:space="preserve">AG18</t>
  </si>
  <si>
    <t xml:space="preserve">TicketID</t>
  </si>
  <si>
    <t xml:space="preserve">Created Date</t>
  </si>
  <si>
    <t xml:space="preserve">First Response (min)</t>
  </si>
  <si>
    <t xml:space="preserve">Resolution Time (hrs)</t>
  </si>
  <si>
    <t xml:space="preserve">Status</t>
  </si>
  <si>
    <t xml:space="preserve">CSAT (1-5)</t>
  </si>
  <si>
    <t xml:space="preserve">Reopened</t>
  </si>
  <si>
    <t xml:space="preserve">Weekday (1=Mon)</t>
  </si>
  <si>
    <t xml:space="preserve">Response SLA Met</t>
  </si>
  <si>
    <t xml:space="preserve">Resolution SLA Met</t>
  </si>
  <si>
    <t xml:space="preserve">TK-00001</t>
  </si>
  <si>
    <t xml:space="preserve">Resolved</t>
  </si>
  <si>
    <t xml:space="preserve">No</t>
  </si>
  <si>
    <t xml:space="preserve">TK-00002</t>
  </si>
  <si>
    <t xml:space="preserve">TK-00003</t>
  </si>
  <si>
    <t xml:space="preserve">Yes</t>
  </si>
  <si>
    <t xml:space="preserve">TK-00004</t>
  </si>
  <si>
    <t xml:space="preserve">TK-00005</t>
  </si>
  <si>
    <t xml:space="preserve">TK-00006</t>
  </si>
  <si>
    <t xml:space="preserve">TK-00007</t>
  </si>
  <si>
    <t xml:space="preserve">Open</t>
  </si>
  <si>
    <t xml:space="preserve">TK-00008</t>
  </si>
  <si>
    <t xml:space="preserve">TK-00009</t>
  </si>
  <si>
    <t xml:space="preserve">TK-00010</t>
  </si>
  <si>
    <t xml:space="preserve">TK-00011</t>
  </si>
  <si>
    <t xml:space="preserve">TK-00012</t>
  </si>
  <si>
    <t xml:space="preserve">TK-00013</t>
  </si>
  <si>
    <t xml:space="preserve">TK-00014</t>
  </si>
  <si>
    <t xml:space="preserve">TK-00015</t>
  </si>
  <si>
    <t xml:space="preserve">TK-00016</t>
  </si>
  <si>
    <t xml:space="preserve">TK-00017</t>
  </si>
  <si>
    <t xml:space="preserve">TK-00018</t>
  </si>
  <si>
    <t xml:space="preserve">TK-00019</t>
  </si>
  <si>
    <t xml:space="preserve">TK-00020</t>
  </si>
  <si>
    <t xml:space="preserve">TK-00021</t>
  </si>
  <si>
    <t xml:space="preserve">TK-00022</t>
  </si>
  <si>
    <t xml:space="preserve">TK-00023</t>
  </si>
  <si>
    <t xml:space="preserve">TK-00024</t>
  </si>
  <si>
    <t xml:space="preserve">TK-00025</t>
  </si>
  <si>
    <t xml:space="preserve">TK-00026</t>
  </si>
  <si>
    <t xml:space="preserve">TK-00027</t>
  </si>
  <si>
    <t xml:space="preserve">TK-00028</t>
  </si>
  <si>
    <t xml:space="preserve">TK-00029</t>
  </si>
  <si>
    <t xml:space="preserve">TK-00030</t>
  </si>
  <si>
    <t xml:space="preserve">TK-00031</t>
  </si>
  <si>
    <t xml:space="preserve">TK-00032</t>
  </si>
  <si>
    <t xml:space="preserve">TK-00033</t>
  </si>
  <si>
    <t xml:space="preserve">TK-00034</t>
  </si>
  <si>
    <t xml:space="preserve">TK-00035</t>
  </si>
  <si>
    <t xml:space="preserve">TK-00036</t>
  </si>
  <si>
    <t xml:space="preserve">TK-00037</t>
  </si>
  <si>
    <t xml:space="preserve">TK-00038</t>
  </si>
  <si>
    <t xml:space="preserve">TK-00039</t>
  </si>
  <si>
    <t xml:space="preserve">TK-00040</t>
  </si>
  <si>
    <t xml:space="preserve">TK-00041</t>
  </si>
  <si>
    <t xml:space="preserve">TK-00042</t>
  </si>
  <si>
    <t xml:space="preserve">TK-00043</t>
  </si>
  <si>
    <t xml:space="preserve">TK-00044</t>
  </si>
  <si>
    <t xml:space="preserve">TK-00045</t>
  </si>
  <si>
    <t xml:space="preserve">TK-00046</t>
  </si>
  <si>
    <t xml:space="preserve">TK-00047</t>
  </si>
  <si>
    <t xml:space="preserve">TK-00048</t>
  </si>
  <si>
    <t xml:space="preserve">TK-00049</t>
  </si>
  <si>
    <t xml:space="preserve">TK-00050</t>
  </si>
  <si>
    <t xml:space="preserve">TK-00051</t>
  </si>
  <si>
    <t xml:space="preserve">TK-00052</t>
  </si>
  <si>
    <t xml:space="preserve">TK-00053</t>
  </si>
  <si>
    <t xml:space="preserve">TK-00054</t>
  </si>
  <si>
    <t xml:space="preserve">TK-00055</t>
  </si>
  <si>
    <t xml:space="preserve">TK-00056</t>
  </si>
  <si>
    <t xml:space="preserve">TK-00057</t>
  </si>
  <si>
    <t xml:space="preserve">TK-00058</t>
  </si>
  <si>
    <t xml:space="preserve">TK-00059</t>
  </si>
  <si>
    <t xml:space="preserve">TK-00060</t>
  </si>
  <si>
    <t xml:space="preserve">TK-00061</t>
  </si>
  <si>
    <t xml:space="preserve">TK-00062</t>
  </si>
  <si>
    <t xml:space="preserve">TK-00063</t>
  </si>
  <si>
    <t xml:space="preserve">TK-00064</t>
  </si>
  <si>
    <t xml:space="preserve">TK-00065</t>
  </si>
  <si>
    <t xml:space="preserve">TK-00066</t>
  </si>
  <si>
    <t xml:space="preserve">TK-00067</t>
  </si>
  <si>
    <t xml:space="preserve">TK-00068</t>
  </si>
  <si>
    <t xml:space="preserve">TK-00069</t>
  </si>
  <si>
    <t xml:space="preserve">TK-00070</t>
  </si>
  <si>
    <t xml:space="preserve">TK-00071</t>
  </si>
  <si>
    <t xml:space="preserve">TK-00072</t>
  </si>
  <si>
    <t xml:space="preserve">TK-00073</t>
  </si>
  <si>
    <t xml:space="preserve">TK-00074</t>
  </si>
  <si>
    <t xml:space="preserve">TK-00075</t>
  </si>
  <si>
    <t xml:space="preserve">TK-00076</t>
  </si>
  <si>
    <t xml:space="preserve">TK-00077</t>
  </si>
  <si>
    <t xml:space="preserve">TK-00078</t>
  </si>
  <si>
    <t xml:space="preserve">TK-00079</t>
  </si>
  <si>
    <t xml:space="preserve">TK-00080</t>
  </si>
  <si>
    <t xml:space="preserve">TK-00081</t>
  </si>
  <si>
    <t xml:space="preserve">TK-00082</t>
  </si>
  <si>
    <t xml:space="preserve">TK-00083</t>
  </si>
  <si>
    <t xml:space="preserve">TK-00084</t>
  </si>
  <si>
    <t xml:space="preserve">TK-00085</t>
  </si>
  <si>
    <t xml:space="preserve">TK-00086</t>
  </si>
  <si>
    <t xml:space="preserve">TK-00087</t>
  </si>
  <si>
    <t xml:space="preserve">TK-00088</t>
  </si>
  <si>
    <t xml:space="preserve">TK-00089</t>
  </si>
  <si>
    <t xml:space="preserve">TK-00090</t>
  </si>
  <si>
    <t xml:space="preserve">TK-00091</t>
  </si>
  <si>
    <t xml:space="preserve">TK-00092</t>
  </si>
  <si>
    <t xml:space="preserve">TK-00093</t>
  </si>
  <si>
    <t xml:space="preserve">TK-00094</t>
  </si>
  <si>
    <t xml:space="preserve">TK-00095</t>
  </si>
  <si>
    <t xml:space="preserve">TK-00096</t>
  </si>
  <si>
    <t xml:space="preserve">TK-00097</t>
  </si>
  <si>
    <t xml:space="preserve">TK-00098</t>
  </si>
  <si>
    <t xml:space="preserve">TK-00099</t>
  </si>
  <si>
    <t xml:space="preserve">TK-00100</t>
  </si>
  <si>
    <t xml:space="preserve">TK-00101</t>
  </si>
  <si>
    <t xml:space="preserve">TK-00102</t>
  </si>
  <si>
    <t xml:space="preserve">TK-00103</t>
  </si>
  <si>
    <t xml:space="preserve">TK-00104</t>
  </si>
  <si>
    <t xml:space="preserve">TK-00105</t>
  </si>
  <si>
    <t xml:space="preserve">TK-00106</t>
  </si>
  <si>
    <t xml:space="preserve">TK-00107</t>
  </si>
  <si>
    <t xml:space="preserve">TK-00108</t>
  </si>
  <si>
    <t xml:space="preserve">TK-00109</t>
  </si>
  <si>
    <t xml:space="preserve">TK-00110</t>
  </si>
  <si>
    <t xml:space="preserve">TK-00111</t>
  </si>
  <si>
    <t xml:space="preserve">TK-00112</t>
  </si>
  <si>
    <t xml:space="preserve">TK-00113</t>
  </si>
  <si>
    <t xml:space="preserve">TK-00114</t>
  </si>
  <si>
    <t xml:space="preserve">TK-00115</t>
  </si>
  <si>
    <t xml:space="preserve">TK-00116</t>
  </si>
  <si>
    <t xml:space="preserve">TK-00117</t>
  </si>
  <si>
    <t xml:space="preserve">TK-00118</t>
  </si>
  <si>
    <t xml:space="preserve">TK-00119</t>
  </si>
  <si>
    <t xml:space="preserve">TK-00120</t>
  </si>
  <si>
    <t xml:space="preserve">TK-00121</t>
  </si>
  <si>
    <t xml:space="preserve">TK-00122</t>
  </si>
  <si>
    <t xml:space="preserve">TK-00123</t>
  </si>
  <si>
    <t xml:space="preserve">TK-00124</t>
  </si>
  <si>
    <t xml:space="preserve">TK-00125</t>
  </si>
  <si>
    <t xml:space="preserve">TK-00126</t>
  </si>
  <si>
    <t xml:space="preserve">TK-00127</t>
  </si>
  <si>
    <t xml:space="preserve">TK-00128</t>
  </si>
  <si>
    <t xml:space="preserve">TK-00129</t>
  </si>
  <si>
    <t xml:space="preserve">TK-00130</t>
  </si>
  <si>
    <t xml:space="preserve">TK-00131</t>
  </si>
  <si>
    <t xml:space="preserve">TK-00132</t>
  </si>
  <si>
    <t xml:space="preserve">TK-00133</t>
  </si>
  <si>
    <t xml:space="preserve">TK-00134</t>
  </si>
  <si>
    <t xml:space="preserve">TK-00135</t>
  </si>
  <si>
    <t xml:space="preserve">TK-00136</t>
  </si>
  <si>
    <t xml:space="preserve">TK-00137</t>
  </si>
  <si>
    <t xml:space="preserve">TK-00138</t>
  </si>
  <si>
    <t xml:space="preserve">TK-00139</t>
  </si>
  <si>
    <t xml:space="preserve">TK-00140</t>
  </si>
  <si>
    <t xml:space="preserve">TK-00141</t>
  </si>
  <si>
    <t xml:space="preserve">TK-00142</t>
  </si>
  <si>
    <t xml:space="preserve">TK-00143</t>
  </si>
  <si>
    <t xml:space="preserve">TK-00144</t>
  </si>
  <si>
    <t xml:space="preserve">TK-00145</t>
  </si>
  <si>
    <t xml:space="preserve">TK-00146</t>
  </si>
  <si>
    <t xml:space="preserve">TK-00147</t>
  </si>
  <si>
    <t xml:space="preserve">TK-00148</t>
  </si>
  <si>
    <t xml:space="preserve">TK-00149</t>
  </si>
  <si>
    <t xml:space="preserve">TK-00150</t>
  </si>
  <si>
    <t xml:space="preserve">TK-00151</t>
  </si>
  <si>
    <t xml:space="preserve">TK-00152</t>
  </si>
  <si>
    <t xml:space="preserve">TK-00153</t>
  </si>
  <si>
    <t xml:space="preserve">TK-00154</t>
  </si>
  <si>
    <t xml:space="preserve">TK-00155</t>
  </si>
  <si>
    <t xml:space="preserve">TK-00156</t>
  </si>
  <si>
    <t xml:space="preserve">TK-00157</t>
  </si>
  <si>
    <t xml:space="preserve">TK-00158</t>
  </si>
  <si>
    <t xml:space="preserve">TK-00159</t>
  </si>
  <si>
    <t xml:space="preserve">TK-00160</t>
  </si>
  <si>
    <t xml:space="preserve">TK-00161</t>
  </si>
  <si>
    <t xml:space="preserve">TK-00162</t>
  </si>
  <si>
    <t xml:space="preserve">TK-00163</t>
  </si>
  <si>
    <t xml:space="preserve">TK-00164</t>
  </si>
  <si>
    <t xml:space="preserve">TK-00165</t>
  </si>
  <si>
    <t xml:space="preserve">TK-00166</t>
  </si>
  <si>
    <t xml:space="preserve">TK-00167</t>
  </si>
  <si>
    <t xml:space="preserve">TK-00168</t>
  </si>
  <si>
    <t xml:space="preserve">TK-00169</t>
  </si>
  <si>
    <t xml:space="preserve">TK-00170</t>
  </si>
  <si>
    <t xml:space="preserve">TK-00171</t>
  </si>
  <si>
    <t xml:space="preserve">TK-00172</t>
  </si>
  <si>
    <t xml:space="preserve">TK-00173</t>
  </si>
  <si>
    <t xml:space="preserve">TK-00174</t>
  </si>
  <si>
    <t xml:space="preserve">TK-00175</t>
  </si>
  <si>
    <t xml:space="preserve">TK-00176</t>
  </si>
  <si>
    <t xml:space="preserve">TK-00177</t>
  </si>
  <si>
    <t xml:space="preserve">TK-00178</t>
  </si>
  <si>
    <t xml:space="preserve">TK-00179</t>
  </si>
  <si>
    <t xml:space="preserve">TK-00180</t>
  </si>
  <si>
    <t xml:space="preserve">TK-00181</t>
  </si>
  <si>
    <t xml:space="preserve">TK-00182</t>
  </si>
  <si>
    <t xml:space="preserve">TK-00183</t>
  </si>
  <si>
    <t xml:space="preserve">TK-00184</t>
  </si>
  <si>
    <t xml:space="preserve">TK-00185</t>
  </si>
  <si>
    <t xml:space="preserve">TK-00186</t>
  </si>
  <si>
    <t xml:space="preserve">TK-00187</t>
  </si>
  <si>
    <t xml:space="preserve">TK-00188</t>
  </si>
  <si>
    <t xml:space="preserve">TK-00189</t>
  </si>
  <si>
    <t xml:space="preserve">TK-00190</t>
  </si>
  <si>
    <t xml:space="preserve">TK-00191</t>
  </si>
  <si>
    <t xml:space="preserve">TK-00192</t>
  </si>
  <si>
    <t xml:space="preserve">TK-00193</t>
  </si>
  <si>
    <t xml:space="preserve">TK-00194</t>
  </si>
  <si>
    <t xml:space="preserve">TK-00195</t>
  </si>
  <si>
    <t xml:space="preserve">TK-00196</t>
  </si>
  <si>
    <t xml:space="preserve">TK-00197</t>
  </si>
  <si>
    <t xml:space="preserve">TK-00198</t>
  </si>
  <si>
    <t xml:space="preserve">TK-00199</t>
  </si>
  <si>
    <t xml:space="preserve">TK-00200</t>
  </si>
  <si>
    <t xml:space="preserve">TK-00201</t>
  </si>
  <si>
    <t xml:space="preserve">TK-00202</t>
  </si>
  <si>
    <t xml:space="preserve">TK-00203</t>
  </si>
  <si>
    <t xml:space="preserve">TK-00204</t>
  </si>
  <si>
    <t xml:space="preserve">TK-00205</t>
  </si>
  <si>
    <t xml:space="preserve">TK-00206</t>
  </si>
  <si>
    <t xml:space="preserve">TK-00207</t>
  </si>
  <si>
    <t xml:space="preserve">TK-00208</t>
  </si>
  <si>
    <t xml:space="preserve">TK-00209</t>
  </si>
  <si>
    <t xml:space="preserve">TK-00210</t>
  </si>
  <si>
    <t xml:space="preserve">TK-00211</t>
  </si>
  <si>
    <t xml:space="preserve">TK-00212</t>
  </si>
  <si>
    <t xml:space="preserve">TK-00213</t>
  </si>
  <si>
    <t xml:space="preserve">TK-00214</t>
  </si>
  <si>
    <t xml:space="preserve">TK-00215</t>
  </si>
  <si>
    <t xml:space="preserve">TK-00216</t>
  </si>
  <si>
    <t xml:space="preserve">TK-00217</t>
  </si>
  <si>
    <t xml:space="preserve">TK-00218</t>
  </si>
  <si>
    <t xml:space="preserve">TK-00219</t>
  </si>
  <si>
    <t xml:space="preserve">TK-00220</t>
  </si>
  <si>
    <t xml:space="preserve">TK-00221</t>
  </si>
  <si>
    <t xml:space="preserve">TK-00222</t>
  </si>
  <si>
    <t xml:space="preserve">TK-00223</t>
  </si>
  <si>
    <t xml:space="preserve">TK-00224</t>
  </si>
  <si>
    <t xml:space="preserve">TK-00225</t>
  </si>
  <si>
    <t xml:space="preserve">TK-00226</t>
  </si>
  <si>
    <t xml:space="preserve">TK-00227</t>
  </si>
  <si>
    <t xml:space="preserve">TK-00228</t>
  </si>
  <si>
    <t xml:space="preserve">TK-00229</t>
  </si>
  <si>
    <t xml:space="preserve">TK-00230</t>
  </si>
  <si>
    <t xml:space="preserve">TK-00231</t>
  </si>
  <si>
    <t xml:space="preserve">TK-00232</t>
  </si>
  <si>
    <t xml:space="preserve">TK-00233</t>
  </si>
  <si>
    <t xml:space="preserve">TK-00234</t>
  </si>
  <si>
    <t xml:space="preserve">TK-00235</t>
  </si>
  <si>
    <t xml:space="preserve">TK-00236</t>
  </si>
  <si>
    <t xml:space="preserve">TK-00237</t>
  </si>
  <si>
    <t xml:space="preserve">TK-00238</t>
  </si>
  <si>
    <t xml:space="preserve">TK-00239</t>
  </si>
  <si>
    <t xml:space="preserve">TK-00240</t>
  </si>
  <si>
    <t xml:space="preserve">TK-00241</t>
  </si>
  <si>
    <t xml:space="preserve">TK-00242</t>
  </si>
  <si>
    <t xml:space="preserve">TK-00243</t>
  </si>
  <si>
    <t xml:space="preserve">TK-00244</t>
  </si>
  <si>
    <t xml:space="preserve">TK-00245</t>
  </si>
  <si>
    <t xml:space="preserve">TK-00246</t>
  </si>
  <si>
    <t xml:space="preserve">TK-00247</t>
  </si>
  <si>
    <t xml:space="preserve">TK-00248</t>
  </si>
  <si>
    <t xml:space="preserve">TK-00249</t>
  </si>
  <si>
    <t xml:space="preserve">TK-00250</t>
  </si>
  <si>
    <t xml:space="preserve">TK-00251</t>
  </si>
  <si>
    <t xml:space="preserve">TK-00252</t>
  </si>
  <si>
    <t xml:space="preserve">TK-00253</t>
  </si>
  <si>
    <t xml:space="preserve">TK-00254</t>
  </si>
  <si>
    <t xml:space="preserve">TK-00255</t>
  </si>
  <si>
    <t xml:space="preserve">TK-00256</t>
  </si>
  <si>
    <t xml:space="preserve">TK-00257</t>
  </si>
  <si>
    <t xml:space="preserve">TK-00258</t>
  </si>
  <si>
    <t xml:space="preserve">TK-00259</t>
  </si>
  <si>
    <t xml:space="preserve">TK-00260</t>
  </si>
  <si>
    <t xml:space="preserve">TK-00261</t>
  </si>
  <si>
    <t xml:space="preserve">TK-00262</t>
  </si>
  <si>
    <t xml:space="preserve">TK-00263</t>
  </si>
  <si>
    <t xml:space="preserve">TK-00264</t>
  </si>
  <si>
    <t xml:space="preserve">TK-00265</t>
  </si>
  <si>
    <t xml:space="preserve">TK-00266</t>
  </si>
  <si>
    <t xml:space="preserve">TK-00267</t>
  </si>
  <si>
    <t xml:space="preserve">TK-00268</t>
  </si>
  <si>
    <t xml:space="preserve">TK-00269</t>
  </si>
  <si>
    <t xml:space="preserve">TK-00270</t>
  </si>
  <si>
    <t xml:space="preserve">TK-00271</t>
  </si>
  <si>
    <t xml:space="preserve">TK-00272</t>
  </si>
  <si>
    <t xml:space="preserve">TK-00273</t>
  </si>
  <si>
    <t xml:space="preserve">TK-00274</t>
  </si>
  <si>
    <t xml:space="preserve">TK-00275</t>
  </si>
  <si>
    <t xml:space="preserve">TK-00276</t>
  </si>
  <si>
    <t xml:space="preserve">TK-00277</t>
  </si>
  <si>
    <t xml:space="preserve">TK-00278</t>
  </si>
  <si>
    <t xml:space="preserve">TK-00279</t>
  </si>
  <si>
    <t xml:space="preserve">TK-00280</t>
  </si>
  <si>
    <t xml:space="preserve">TK-00281</t>
  </si>
  <si>
    <t xml:space="preserve">TK-00282</t>
  </si>
  <si>
    <t xml:space="preserve">TK-00283</t>
  </si>
  <si>
    <t xml:space="preserve">TK-00284</t>
  </si>
  <si>
    <t xml:space="preserve">TK-00285</t>
  </si>
  <si>
    <t xml:space="preserve">TK-00286</t>
  </si>
  <si>
    <t xml:space="preserve">TK-00287</t>
  </si>
  <si>
    <t xml:space="preserve">TK-00288</t>
  </si>
  <si>
    <t xml:space="preserve">TK-00289</t>
  </si>
  <si>
    <t xml:space="preserve">TK-00290</t>
  </si>
  <si>
    <t xml:space="preserve">TK-00291</t>
  </si>
  <si>
    <t xml:space="preserve">TK-00292</t>
  </si>
  <si>
    <t xml:space="preserve">TK-00293</t>
  </si>
  <si>
    <t xml:space="preserve">TK-00294</t>
  </si>
  <si>
    <t xml:space="preserve">TK-00295</t>
  </si>
  <si>
    <t xml:space="preserve">TK-00296</t>
  </si>
  <si>
    <t xml:space="preserve">TK-00297</t>
  </si>
  <si>
    <t xml:space="preserve">TK-00298</t>
  </si>
  <si>
    <t xml:space="preserve">TK-00299</t>
  </si>
  <si>
    <t xml:space="preserve">TK-00300</t>
  </si>
  <si>
    <t xml:space="preserve">TK-00301</t>
  </si>
  <si>
    <t xml:space="preserve">TK-00302</t>
  </si>
  <si>
    <t xml:space="preserve">TK-00303</t>
  </si>
  <si>
    <t xml:space="preserve">TK-00304</t>
  </si>
  <si>
    <t xml:space="preserve">TK-00305</t>
  </si>
  <si>
    <t xml:space="preserve">TK-00306</t>
  </si>
  <si>
    <t xml:space="preserve">TK-00307</t>
  </si>
  <si>
    <t xml:space="preserve">TK-00308</t>
  </si>
  <si>
    <t xml:space="preserve">TK-00309</t>
  </si>
  <si>
    <t xml:space="preserve">TK-00310</t>
  </si>
  <si>
    <t xml:space="preserve">TK-00311</t>
  </si>
  <si>
    <t xml:space="preserve">TK-00312</t>
  </si>
  <si>
    <t xml:space="preserve">TK-00313</t>
  </si>
  <si>
    <t xml:space="preserve">TK-00314</t>
  </si>
  <si>
    <t xml:space="preserve">TK-00315</t>
  </si>
  <si>
    <t xml:space="preserve">TK-00316</t>
  </si>
  <si>
    <t xml:space="preserve">TK-00317</t>
  </si>
  <si>
    <t xml:space="preserve">TK-00318</t>
  </si>
  <si>
    <t xml:space="preserve">TK-00319</t>
  </si>
  <si>
    <t xml:space="preserve">TK-00320</t>
  </si>
  <si>
    <t xml:space="preserve">TK-00321</t>
  </si>
  <si>
    <t xml:space="preserve">TK-00322</t>
  </si>
  <si>
    <t xml:space="preserve">TK-00323</t>
  </si>
  <si>
    <t xml:space="preserve">TK-00324</t>
  </si>
  <si>
    <t xml:space="preserve">TK-00325</t>
  </si>
  <si>
    <t xml:space="preserve">TK-00326</t>
  </si>
  <si>
    <t xml:space="preserve">TK-00327</t>
  </si>
  <si>
    <t xml:space="preserve">TK-00328</t>
  </si>
  <si>
    <t xml:space="preserve">TK-00329</t>
  </si>
  <si>
    <t xml:space="preserve">TK-00330</t>
  </si>
  <si>
    <t xml:space="preserve">TK-00331</t>
  </si>
  <si>
    <t xml:space="preserve">TK-00332</t>
  </si>
  <si>
    <t xml:space="preserve">TK-00333</t>
  </si>
  <si>
    <t xml:space="preserve">TK-00334</t>
  </si>
  <si>
    <t xml:space="preserve">TK-00335</t>
  </si>
  <si>
    <t xml:space="preserve">TK-00336</t>
  </si>
  <si>
    <t xml:space="preserve">TK-00337</t>
  </si>
  <si>
    <t xml:space="preserve">TK-00338</t>
  </si>
  <si>
    <t xml:space="preserve">TK-00339</t>
  </si>
  <si>
    <t xml:space="preserve">TK-00340</t>
  </si>
  <si>
    <t xml:space="preserve">TK-00341</t>
  </si>
  <si>
    <t xml:space="preserve">TK-00342</t>
  </si>
  <si>
    <t xml:space="preserve">TK-00343</t>
  </si>
  <si>
    <t xml:space="preserve">TK-00344</t>
  </si>
  <si>
    <t xml:space="preserve">TK-00345</t>
  </si>
  <si>
    <t xml:space="preserve">TK-00346</t>
  </si>
  <si>
    <t xml:space="preserve">TK-00347</t>
  </si>
  <si>
    <t xml:space="preserve">TK-00348</t>
  </si>
  <si>
    <t xml:space="preserve">TK-00349</t>
  </si>
  <si>
    <t xml:space="preserve">TK-00350</t>
  </si>
  <si>
    <t xml:space="preserve">TK-00351</t>
  </si>
  <si>
    <t xml:space="preserve">TK-00352</t>
  </si>
  <si>
    <t xml:space="preserve">TK-00353</t>
  </si>
  <si>
    <t xml:space="preserve">TK-00354</t>
  </si>
  <si>
    <t xml:space="preserve">TK-00355</t>
  </si>
  <si>
    <t xml:space="preserve">TK-00356</t>
  </si>
  <si>
    <t xml:space="preserve">TK-00357</t>
  </si>
  <si>
    <t xml:space="preserve">TK-00358</t>
  </si>
  <si>
    <t xml:space="preserve">TK-00359</t>
  </si>
  <si>
    <t xml:space="preserve">TK-00360</t>
  </si>
  <si>
    <t xml:space="preserve">TK-00361</t>
  </si>
  <si>
    <t xml:space="preserve">TK-00362</t>
  </si>
  <si>
    <t xml:space="preserve">TK-00363</t>
  </si>
  <si>
    <t xml:space="preserve">TK-00364</t>
  </si>
  <si>
    <t xml:space="preserve">TK-00365</t>
  </si>
  <si>
    <t xml:space="preserve">TK-00366</t>
  </si>
  <si>
    <t xml:space="preserve">TK-00367</t>
  </si>
  <si>
    <t xml:space="preserve">TK-00368</t>
  </si>
  <si>
    <t xml:space="preserve">TK-00369</t>
  </si>
  <si>
    <t xml:space="preserve">TK-00370</t>
  </si>
  <si>
    <t xml:space="preserve">TK-00371</t>
  </si>
  <si>
    <t xml:space="preserve">TK-00372</t>
  </si>
  <si>
    <t xml:space="preserve">TK-00373</t>
  </si>
  <si>
    <t xml:space="preserve">TK-00374</t>
  </si>
  <si>
    <t xml:space="preserve">TK-00375</t>
  </si>
  <si>
    <t xml:space="preserve">TK-00376</t>
  </si>
  <si>
    <t xml:space="preserve">TK-00377</t>
  </si>
  <si>
    <t xml:space="preserve">TK-00378</t>
  </si>
  <si>
    <t xml:space="preserve">TK-00379</t>
  </si>
  <si>
    <t xml:space="preserve">TK-00380</t>
  </si>
  <si>
    <t xml:space="preserve">TK-00381</t>
  </si>
  <si>
    <t xml:space="preserve">TK-00382</t>
  </si>
  <si>
    <t xml:space="preserve">TK-00383</t>
  </si>
  <si>
    <t xml:space="preserve">TK-00384</t>
  </si>
  <si>
    <t xml:space="preserve">TK-00385</t>
  </si>
  <si>
    <t xml:space="preserve">TK-00386</t>
  </si>
  <si>
    <t xml:space="preserve">TK-00387</t>
  </si>
  <si>
    <t xml:space="preserve">TK-00388</t>
  </si>
  <si>
    <t xml:space="preserve">TK-00389</t>
  </si>
  <si>
    <t xml:space="preserve">TK-00390</t>
  </si>
  <si>
    <t xml:space="preserve">TK-00391</t>
  </si>
  <si>
    <t xml:space="preserve">TK-00392</t>
  </si>
  <si>
    <t xml:space="preserve">TK-00393</t>
  </si>
  <si>
    <t xml:space="preserve">TK-00394</t>
  </si>
  <si>
    <t xml:space="preserve">TK-00395</t>
  </si>
  <si>
    <t xml:space="preserve">TK-00396</t>
  </si>
  <si>
    <t xml:space="preserve">TK-00397</t>
  </si>
  <si>
    <t xml:space="preserve">TK-00398</t>
  </si>
  <si>
    <t xml:space="preserve">TK-00399</t>
  </si>
  <si>
    <t xml:space="preserve">TK-00400</t>
  </si>
  <si>
    <t xml:space="preserve">TK-00401</t>
  </si>
  <si>
    <t xml:space="preserve">TK-00402</t>
  </si>
  <si>
    <t xml:space="preserve">TK-00403</t>
  </si>
  <si>
    <t xml:space="preserve">TK-00404</t>
  </si>
  <si>
    <t xml:space="preserve">TK-00405</t>
  </si>
  <si>
    <t xml:space="preserve">TK-00406</t>
  </si>
  <si>
    <t xml:space="preserve">TK-00407</t>
  </si>
  <si>
    <t xml:space="preserve">TK-00408</t>
  </si>
  <si>
    <t xml:space="preserve">TK-00409</t>
  </si>
  <si>
    <t xml:space="preserve">TK-00410</t>
  </si>
  <si>
    <t xml:space="preserve">TK-00411</t>
  </si>
  <si>
    <t xml:space="preserve">TK-00412</t>
  </si>
  <si>
    <t xml:space="preserve">TK-00413</t>
  </si>
  <si>
    <t xml:space="preserve">TK-00414</t>
  </si>
  <si>
    <t xml:space="preserve">TK-00415</t>
  </si>
  <si>
    <t xml:space="preserve">TK-00416</t>
  </si>
  <si>
    <t xml:space="preserve">TK-00417</t>
  </si>
  <si>
    <t xml:space="preserve">TK-00418</t>
  </si>
  <si>
    <t xml:space="preserve">TK-00419</t>
  </si>
  <si>
    <t xml:space="preserve">TK-00420</t>
  </si>
  <si>
    <t xml:space="preserve">TK-00421</t>
  </si>
  <si>
    <t xml:space="preserve">TK-00422</t>
  </si>
  <si>
    <t xml:space="preserve">TK-00423</t>
  </si>
  <si>
    <t xml:space="preserve">TK-00424</t>
  </si>
  <si>
    <t xml:space="preserve">TK-00425</t>
  </si>
  <si>
    <t xml:space="preserve">TK-00426</t>
  </si>
  <si>
    <t xml:space="preserve">TK-00427</t>
  </si>
  <si>
    <t xml:space="preserve">TK-00428</t>
  </si>
  <si>
    <t xml:space="preserve">TK-00429</t>
  </si>
  <si>
    <t xml:space="preserve">TK-00430</t>
  </si>
  <si>
    <t xml:space="preserve">TK-00431</t>
  </si>
  <si>
    <t xml:space="preserve">TK-00432</t>
  </si>
  <si>
    <t xml:space="preserve">TK-00433</t>
  </si>
  <si>
    <t xml:space="preserve">TK-00434</t>
  </si>
  <si>
    <t xml:space="preserve">TK-00435</t>
  </si>
  <si>
    <t xml:space="preserve">TK-00436</t>
  </si>
  <si>
    <t xml:space="preserve">TK-00437</t>
  </si>
  <si>
    <t xml:space="preserve">TK-00438</t>
  </si>
  <si>
    <t xml:space="preserve">TK-00439</t>
  </si>
  <si>
    <t xml:space="preserve">TK-00440</t>
  </si>
  <si>
    <t xml:space="preserve">TK-00441</t>
  </si>
  <si>
    <t xml:space="preserve">TK-00442</t>
  </si>
  <si>
    <t xml:space="preserve">TK-00443</t>
  </si>
  <si>
    <t xml:space="preserve">TK-00444</t>
  </si>
  <si>
    <t xml:space="preserve">TK-00445</t>
  </si>
  <si>
    <t xml:space="preserve">TK-00446</t>
  </si>
  <si>
    <t xml:space="preserve">TK-00447</t>
  </si>
  <si>
    <t xml:space="preserve">TK-00448</t>
  </si>
  <si>
    <t xml:space="preserve">TK-00449</t>
  </si>
  <si>
    <t xml:space="preserve">TK-00450</t>
  </si>
  <si>
    <t xml:space="preserve">TK-00451</t>
  </si>
  <si>
    <t xml:space="preserve">TK-00452</t>
  </si>
  <si>
    <t xml:space="preserve">TK-00453</t>
  </si>
  <si>
    <t xml:space="preserve">TK-00454</t>
  </si>
  <si>
    <t xml:space="preserve">TK-00455</t>
  </si>
  <si>
    <t xml:space="preserve">TK-00456</t>
  </si>
  <si>
    <t xml:space="preserve">TK-00457</t>
  </si>
  <si>
    <t xml:space="preserve">TK-00458</t>
  </si>
  <si>
    <t xml:space="preserve">TK-00459</t>
  </si>
  <si>
    <t xml:space="preserve">TK-00460</t>
  </si>
  <si>
    <t xml:space="preserve">TK-00461</t>
  </si>
  <si>
    <t xml:space="preserve">TK-00462</t>
  </si>
  <si>
    <t xml:space="preserve">TK-00463</t>
  </si>
  <si>
    <t xml:space="preserve">TK-00464</t>
  </si>
  <si>
    <t xml:space="preserve">TK-00465</t>
  </si>
  <si>
    <t xml:space="preserve">TK-00466</t>
  </si>
  <si>
    <t xml:space="preserve">TK-00467</t>
  </si>
  <si>
    <t xml:space="preserve">TK-00468</t>
  </si>
  <si>
    <t xml:space="preserve">TK-00469</t>
  </si>
  <si>
    <t xml:space="preserve">TK-00470</t>
  </si>
  <si>
    <t xml:space="preserve">TK-00471</t>
  </si>
  <si>
    <t xml:space="preserve">TK-00472</t>
  </si>
  <si>
    <t xml:space="preserve">TK-00473</t>
  </si>
  <si>
    <t xml:space="preserve">TK-00474</t>
  </si>
  <si>
    <t xml:space="preserve">TK-00475</t>
  </si>
  <si>
    <t xml:space="preserve">TK-00476</t>
  </si>
  <si>
    <t xml:space="preserve">TK-00477</t>
  </si>
  <si>
    <t xml:space="preserve">TK-00478</t>
  </si>
  <si>
    <t xml:space="preserve">TK-00479</t>
  </si>
  <si>
    <t xml:space="preserve">TK-00480</t>
  </si>
  <si>
    <t xml:space="preserve">TK-00481</t>
  </si>
  <si>
    <t xml:space="preserve">TK-00482</t>
  </si>
  <si>
    <t xml:space="preserve">TK-00483</t>
  </si>
  <si>
    <t xml:space="preserve">TK-00484</t>
  </si>
  <si>
    <t xml:space="preserve">TK-00485</t>
  </si>
  <si>
    <t xml:space="preserve">TK-00486</t>
  </si>
  <si>
    <t xml:space="preserve">TK-00487</t>
  </si>
  <si>
    <t xml:space="preserve">TK-00488</t>
  </si>
  <si>
    <t xml:space="preserve">TK-00489</t>
  </si>
  <si>
    <t xml:space="preserve">TK-00490</t>
  </si>
  <si>
    <t xml:space="preserve">TK-00491</t>
  </si>
  <si>
    <t xml:space="preserve">TK-00492</t>
  </si>
  <si>
    <t xml:space="preserve">TK-00493</t>
  </si>
  <si>
    <t xml:space="preserve">TK-00494</t>
  </si>
  <si>
    <t xml:space="preserve">TK-00495</t>
  </si>
  <si>
    <t xml:space="preserve">TK-00496</t>
  </si>
  <si>
    <t xml:space="preserve">TK-00497</t>
  </si>
  <si>
    <t xml:space="preserve">TK-00498</t>
  </si>
  <si>
    <t xml:space="preserve">TK-00499</t>
  </si>
  <si>
    <t xml:space="preserve">TK-00500</t>
  </si>
  <si>
    <t xml:space="preserve">TK-00501</t>
  </si>
  <si>
    <t xml:space="preserve">TK-00502</t>
  </si>
  <si>
    <t xml:space="preserve">TK-00503</t>
  </si>
  <si>
    <t xml:space="preserve">TK-00504</t>
  </si>
  <si>
    <t xml:space="preserve">TK-00505</t>
  </si>
  <si>
    <t xml:space="preserve">TK-00506</t>
  </si>
  <si>
    <t xml:space="preserve">TK-00507</t>
  </si>
  <si>
    <t xml:space="preserve">TK-00508</t>
  </si>
  <si>
    <t xml:space="preserve">TK-00509</t>
  </si>
  <si>
    <t xml:space="preserve">TK-00510</t>
  </si>
  <si>
    <t xml:space="preserve">TK-00511</t>
  </si>
  <si>
    <t xml:space="preserve">TK-00512</t>
  </si>
  <si>
    <t xml:space="preserve">TK-00513</t>
  </si>
  <si>
    <t xml:space="preserve">TK-00514</t>
  </si>
  <si>
    <t xml:space="preserve">TK-00515</t>
  </si>
  <si>
    <t xml:space="preserve">TK-00516</t>
  </si>
  <si>
    <t xml:space="preserve">TK-00517</t>
  </si>
  <si>
    <t xml:space="preserve">TK-00518</t>
  </si>
  <si>
    <t xml:space="preserve">TK-00519</t>
  </si>
  <si>
    <t xml:space="preserve">TK-00520</t>
  </si>
  <si>
    <t xml:space="preserve">TK-00521</t>
  </si>
  <si>
    <t xml:space="preserve">TK-00522</t>
  </si>
  <si>
    <t xml:space="preserve">TK-00523</t>
  </si>
  <si>
    <t xml:space="preserve">TK-00524</t>
  </si>
  <si>
    <t xml:space="preserve">TK-00525</t>
  </si>
  <si>
    <t xml:space="preserve">TK-00526</t>
  </si>
  <si>
    <t xml:space="preserve">TK-00527</t>
  </si>
  <si>
    <t xml:space="preserve">TK-00528</t>
  </si>
  <si>
    <t xml:space="preserve">TK-00529</t>
  </si>
  <si>
    <t xml:space="preserve">TK-00530</t>
  </si>
  <si>
    <t xml:space="preserve">TK-00531</t>
  </si>
  <si>
    <t xml:space="preserve">TK-00532</t>
  </si>
  <si>
    <t xml:space="preserve">TK-00533</t>
  </si>
  <si>
    <t xml:space="preserve">TK-00534</t>
  </si>
  <si>
    <t xml:space="preserve">TK-00535</t>
  </si>
  <si>
    <t xml:space="preserve">TK-00536</t>
  </si>
  <si>
    <t xml:space="preserve">TK-00537</t>
  </si>
  <si>
    <t xml:space="preserve">TK-00538</t>
  </si>
  <si>
    <t xml:space="preserve">TK-00539</t>
  </si>
  <si>
    <t xml:space="preserve">TK-00540</t>
  </si>
  <si>
    <t xml:space="preserve">TK-00541</t>
  </si>
  <si>
    <t xml:space="preserve">TK-00542</t>
  </si>
  <si>
    <t xml:space="preserve">TK-00543</t>
  </si>
  <si>
    <t xml:space="preserve">TK-00544</t>
  </si>
  <si>
    <t xml:space="preserve">TK-00545</t>
  </si>
  <si>
    <t xml:space="preserve">TK-00546</t>
  </si>
  <si>
    <t xml:space="preserve">TK-00547</t>
  </si>
  <si>
    <t xml:space="preserve">TK-00548</t>
  </si>
  <si>
    <t xml:space="preserve">TK-00549</t>
  </si>
  <si>
    <t xml:space="preserve">TK-00550</t>
  </si>
  <si>
    <t xml:space="preserve">TK-00551</t>
  </si>
  <si>
    <t xml:space="preserve">TK-00552</t>
  </si>
  <si>
    <t xml:space="preserve">TK-00553</t>
  </si>
  <si>
    <t xml:space="preserve">TK-00554</t>
  </si>
  <si>
    <t xml:space="preserve">TK-00555</t>
  </si>
  <si>
    <t xml:space="preserve">TK-00556</t>
  </si>
  <si>
    <t xml:space="preserve">TK-00557</t>
  </si>
  <si>
    <t xml:space="preserve">TK-00558</t>
  </si>
  <si>
    <t xml:space="preserve">TK-00559</t>
  </si>
  <si>
    <t xml:space="preserve">TK-00560</t>
  </si>
  <si>
    <t xml:space="preserve">TK-00561</t>
  </si>
  <si>
    <t xml:space="preserve">TK-00562</t>
  </si>
  <si>
    <t xml:space="preserve">TK-00563</t>
  </si>
  <si>
    <t xml:space="preserve">TK-00564</t>
  </si>
  <si>
    <t xml:space="preserve">TK-00565</t>
  </si>
  <si>
    <t xml:space="preserve">TK-00566</t>
  </si>
  <si>
    <t xml:space="preserve">TK-00567</t>
  </si>
  <si>
    <t xml:space="preserve">TK-00568</t>
  </si>
  <si>
    <t xml:space="preserve">TK-00569</t>
  </si>
  <si>
    <t xml:space="preserve">TK-00570</t>
  </si>
  <si>
    <t xml:space="preserve">TK-00571</t>
  </si>
  <si>
    <t xml:space="preserve">TK-00572</t>
  </si>
  <si>
    <t xml:space="preserve">TK-00573</t>
  </si>
  <si>
    <t xml:space="preserve">TK-00574</t>
  </si>
  <si>
    <t xml:space="preserve">TK-00575</t>
  </si>
  <si>
    <t xml:space="preserve">TK-00576</t>
  </si>
  <si>
    <t xml:space="preserve">TK-00577</t>
  </si>
  <si>
    <t xml:space="preserve">TK-00578</t>
  </si>
  <si>
    <t xml:space="preserve">TK-00579</t>
  </si>
  <si>
    <t xml:space="preserve">TK-00580</t>
  </si>
  <si>
    <t xml:space="preserve">TK-00581</t>
  </si>
  <si>
    <t xml:space="preserve">TK-00582</t>
  </si>
  <si>
    <t xml:space="preserve">TK-00583</t>
  </si>
  <si>
    <t xml:space="preserve">TK-00584</t>
  </si>
  <si>
    <t xml:space="preserve">TK-00585</t>
  </si>
  <si>
    <t xml:space="preserve">TK-00586</t>
  </si>
  <si>
    <t xml:space="preserve">TK-00587</t>
  </si>
  <si>
    <t xml:space="preserve">TK-00588</t>
  </si>
  <si>
    <t xml:space="preserve">TK-00589</t>
  </si>
  <si>
    <t xml:space="preserve">TK-00590</t>
  </si>
  <si>
    <t xml:space="preserve">TK-00591</t>
  </si>
  <si>
    <t xml:space="preserve">TK-00592</t>
  </si>
  <si>
    <t xml:space="preserve">TK-00593</t>
  </si>
  <si>
    <t xml:space="preserve">TK-00594</t>
  </si>
  <si>
    <t xml:space="preserve">TK-00595</t>
  </si>
  <si>
    <t xml:space="preserve">TK-00596</t>
  </si>
  <si>
    <t xml:space="preserve">TK-00597</t>
  </si>
  <si>
    <t xml:space="preserve">TK-00598</t>
  </si>
  <si>
    <t xml:space="preserve">TK-00599</t>
  </si>
  <si>
    <t xml:space="preserve">TK-00600</t>
  </si>
  <si>
    <t xml:space="preserve">TK-00601</t>
  </si>
  <si>
    <t xml:space="preserve">TK-00602</t>
  </si>
  <si>
    <t xml:space="preserve">TK-00603</t>
  </si>
  <si>
    <t xml:space="preserve">TK-00604</t>
  </si>
  <si>
    <t xml:space="preserve">TK-00605</t>
  </si>
  <si>
    <t xml:space="preserve">TK-00606</t>
  </si>
  <si>
    <t xml:space="preserve">TK-00607</t>
  </si>
  <si>
    <t xml:space="preserve">TK-00608</t>
  </si>
  <si>
    <t xml:space="preserve">TK-00609</t>
  </si>
  <si>
    <t xml:space="preserve">TK-00610</t>
  </si>
  <si>
    <t xml:space="preserve">TK-00611</t>
  </si>
  <si>
    <t xml:space="preserve">TK-00612</t>
  </si>
  <si>
    <t xml:space="preserve">TK-00613</t>
  </si>
  <si>
    <t xml:space="preserve">TK-00614</t>
  </si>
  <si>
    <t xml:space="preserve">TK-00615</t>
  </si>
  <si>
    <t xml:space="preserve">TK-00616</t>
  </si>
  <si>
    <t xml:space="preserve">TK-00617</t>
  </si>
  <si>
    <t xml:space="preserve">TK-00618</t>
  </si>
  <si>
    <t xml:space="preserve">TK-00619</t>
  </si>
  <si>
    <t xml:space="preserve">TK-00620</t>
  </si>
  <si>
    <t xml:space="preserve">TK-00621</t>
  </si>
  <si>
    <t xml:space="preserve">TK-00622</t>
  </si>
  <si>
    <t xml:space="preserve">TK-00623</t>
  </si>
  <si>
    <t xml:space="preserve">TK-00624</t>
  </si>
  <si>
    <t xml:space="preserve">TK-00625</t>
  </si>
  <si>
    <t xml:space="preserve">TK-00626</t>
  </si>
  <si>
    <t xml:space="preserve">TK-00627</t>
  </si>
  <si>
    <t xml:space="preserve">TK-00628</t>
  </si>
  <si>
    <t xml:space="preserve">TK-00629</t>
  </si>
  <si>
    <t xml:space="preserve">TK-00630</t>
  </si>
  <si>
    <t xml:space="preserve">TK-00631</t>
  </si>
  <si>
    <t xml:space="preserve">TK-00632</t>
  </si>
  <si>
    <t xml:space="preserve">TK-00633</t>
  </si>
  <si>
    <t xml:space="preserve">TK-00634</t>
  </si>
  <si>
    <t xml:space="preserve">TK-00635</t>
  </si>
  <si>
    <t xml:space="preserve">TK-00636</t>
  </si>
  <si>
    <t xml:space="preserve">TK-00637</t>
  </si>
  <si>
    <t xml:space="preserve">TK-00638</t>
  </si>
  <si>
    <t xml:space="preserve">TK-00639</t>
  </si>
  <si>
    <t xml:space="preserve">TK-00640</t>
  </si>
  <si>
    <t xml:space="preserve">TK-00641</t>
  </si>
  <si>
    <t xml:space="preserve">TK-00642</t>
  </si>
  <si>
    <t xml:space="preserve">TK-00643</t>
  </si>
  <si>
    <t xml:space="preserve">TK-00644</t>
  </si>
  <si>
    <t xml:space="preserve">TK-00645</t>
  </si>
  <si>
    <t xml:space="preserve">TK-00646</t>
  </si>
  <si>
    <t xml:space="preserve">TK-00647</t>
  </si>
  <si>
    <t xml:space="preserve">TK-00648</t>
  </si>
  <si>
    <t xml:space="preserve">TK-00649</t>
  </si>
  <si>
    <t xml:space="preserve">TK-00650</t>
  </si>
  <si>
    <t xml:space="preserve">TK-00651</t>
  </si>
  <si>
    <t xml:space="preserve">TK-00652</t>
  </si>
  <si>
    <t xml:space="preserve">TK-00653</t>
  </si>
  <si>
    <t xml:space="preserve">TK-00654</t>
  </si>
  <si>
    <t xml:space="preserve">TK-00655</t>
  </si>
  <si>
    <t xml:space="preserve">TK-00656</t>
  </si>
  <si>
    <t xml:space="preserve">TK-00657</t>
  </si>
  <si>
    <t xml:space="preserve">TK-00658</t>
  </si>
  <si>
    <t xml:space="preserve">TK-00659</t>
  </si>
  <si>
    <t xml:space="preserve">TK-00660</t>
  </si>
  <si>
    <t xml:space="preserve">TK-00661</t>
  </si>
  <si>
    <t xml:space="preserve">TK-00662</t>
  </si>
  <si>
    <t xml:space="preserve">TK-00663</t>
  </si>
  <si>
    <t xml:space="preserve">TK-00664</t>
  </si>
  <si>
    <t xml:space="preserve">TK-00665</t>
  </si>
  <si>
    <t xml:space="preserve">TK-00666</t>
  </si>
  <si>
    <t xml:space="preserve">TK-00667</t>
  </si>
  <si>
    <t xml:space="preserve">TK-00668</t>
  </si>
  <si>
    <t xml:space="preserve">TK-00669</t>
  </si>
  <si>
    <t xml:space="preserve">TK-00670</t>
  </si>
  <si>
    <t xml:space="preserve">TK-00671</t>
  </si>
  <si>
    <t xml:space="preserve">TK-00672</t>
  </si>
  <si>
    <t xml:space="preserve">TK-00673</t>
  </si>
  <si>
    <t xml:space="preserve">TK-00674</t>
  </si>
  <si>
    <t xml:space="preserve">TK-00675</t>
  </si>
  <si>
    <t xml:space="preserve">TK-00676</t>
  </si>
  <si>
    <t xml:space="preserve">TK-00677</t>
  </si>
  <si>
    <t xml:space="preserve">TK-00678</t>
  </si>
  <si>
    <t xml:space="preserve">TK-00679</t>
  </si>
  <si>
    <t xml:space="preserve">TK-00680</t>
  </si>
  <si>
    <t xml:space="preserve">TK-00681</t>
  </si>
  <si>
    <t xml:space="preserve">TK-00682</t>
  </si>
  <si>
    <t xml:space="preserve">TK-00683</t>
  </si>
  <si>
    <t xml:space="preserve">TK-00684</t>
  </si>
  <si>
    <t xml:space="preserve">TK-00685</t>
  </si>
  <si>
    <t xml:space="preserve">TK-00686</t>
  </si>
  <si>
    <t xml:space="preserve">TK-00687</t>
  </si>
  <si>
    <t xml:space="preserve">TK-00688</t>
  </si>
  <si>
    <t xml:space="preserve">TK-00689</t>
  </si>
  <si>
    <t xml:space="preserve">TK-00690</t>
  </si>
  <si>
    <t xml:space="preserve">TK-00691</t>
  </si>
  <si>
    <t xml:space="preserve">TK-00692</t>
  </si>
  <si>
    <t xml:space="preserve">TK-00693</t>
  </si>
  <si>
    <t xml:space="preserve">TK-00694</t>
  </si>
  <si>
    <t xml:space="preserve">TK-00695</t>
  </si>
  <si>
    <t xml:space="preserve">TK-00696</t>
  </si>
  <si>
    <t xml:space="preserve">TK-00697</t>
  </si>
  <si>
    <t xml:space="preserve">TK-00698</t>
  </si>
  <si>
    <t xml:space="preserve">TK-00699</t>
  </si>
  <si>
    <t xml:space="preserve">TK-00700</t>
  </si>
  <si>
    <t xml:space="preserve">TK-00701</t>
  </si>
  <si>
    <t xml:space="preserve">TK-00702</t>
  </si>
  <si>
    <t xml:space="preserve">TK-00703</t>
  </si>
  <si>
    <t xml:space="preserve">TK-00704</t>
  </si>
  <si>
    <t xml:space="preserve">TK-00705</t>
  </si>
  <si>
    <t xml:space="preserve">TK-00706</t>
  </si>
  <si>
    <t xml:space="preserve">TK-00707</t>
  </si>
  <si>
    <t xml:space="preserve">TK-00708</t>
  </si>
  <si>
    <t xml:space="preserve">TK-00709</t>
  </si>
  <si>
    <t xml:space="preserve">TK-00710</t>
  </si>
  <si>
    <t xml:space="preserve">TK-00711</t>
  </si>
  <si>
    <t xml:space="preserve">TK-00712</t>
  </si>
  <si>
    <t xml:space="preserve">TK-00713</t>
  </si>
  <si>
    <t xml:space="preserve">TK-00714</t>
  </si>
  <si>
    <t xml:space="preserve">TK-00715</t>
  </si>
  <si>
    <t xml:space="preserve">TK-00716</t>
  </si>
  <si>
    <t xml:space="preserve">TK-00717</t>
  </si>
  <si>
    <t xml:space="preserve">TK-00718</t>
  </si>
  <si>
    <t xml:space="preserve">TK-00719</t>
  </si>
  <si>
    <t xml:space="preserve">TK-00720</t>
  </si>
  <si>
    <t xml:space="preserve">TK-00721</t>
  </si>
  <si>
    <t xml:space="preserve">TK-00722</t>
  </si>
  <si>
    <t xml:space="preserve">TK-00723</t>
  </si>
  <si>
    <t xml:space="preserve">TK-00724</t>
  </si>
  <si>
    <t xml:space="preserve">TK-00725</t>
  </si>
  <si>
    <t xml:space="preserve">TK-00726</t>
  </si>
  <si>
    <t xml:space="preserve">TK-00727</t>
  </si>
  <si>
    <t xml:space="preserve">TK-00728</t>
  </si>
  <si>
    <t xml:space="preserve">TK-00729</t>
  </si>
  <si>
    <t xml:space="preserve">TK-00730</t>
  </si>
  <si>
    <t xml:space="preserve">TK-00731</t>
  </si>
  <si>
    <t xml:space="preserve">TK-00732</t>
  </si>
  <si>
    <t xml:space="preserve">TK-00733</t>
  </si>
  <si>
    <t xml:space="preserve">TK-00734</t>
  </si>
  <si>
    <t xml:space="preserve">TK-00735</t>
  </si>
  <si>
    <t xml:space="preserve">TK-00736</t>
  </si>
  <si>
    <t xml:space="preserve">TK-00737</t>
  </si>
  <si>
    <t xml:space="preserve">TK-00738</t>
  </si>
  <si>
    <t xml:space="preserve">TK-00739</t>
  </si>
  <si>
    <t xml:space="preserve">TK-00740</t>
  </si>
  <si>
    <t xml:space="preserve">TK-00741</t>
  </si>
  <si>
    <t xml:space="preserve">TK-00742</t>
  </si>
  <si>
    <t xml:space="preserve">TK-00743</t>
  </si>
  <si>
    <t xml:space="preserve">TK-00744</t>
  </si>
  <si>
    <t xml:space="preserve">TK-00745</t>
  </si>
  <si>
    <t xml:space="preserve">TK-00746</t>
  </si>
  <si>
    <t xml:space="preserve">TK-00747</t>
  </si>
  <si>
    <t xml:space="preserve">TK-00748</t>
  </si>
  <si>
    <t xml:space="preserve">TK-00749</t>
  </si>
  <si>
    <t xml:space="preserve">TK-00750</t>
  </si>
  <si>
    <t xml:space="preserve">TK-00751</t>
  </si>
  <si>
    <t xml:space="preserve">TK-00752</t>
  </si>
  <si>
    <t xml:space="preserve">TK-00753</t>
  </si>
  <si>
    <t xml:space="preserve">TK-00754</t>
  </si>
  <si>
    <t xml:space="preserve">TK-00755</t>
  </si>
  <si>
    <t xml:space="preserve">TK-00756</t>
  </si>
  <si>
    <t xml:space="preserve">TK-00757</t>
  </si>
  <si>
    <t xml:space="preserve">TK-00758</t>
  </si>
  <si>
    <t xml:space="preserve">TK-00759</t>
  </si>
  <si>
    <t xml:space="preserve">TK-00760</t>
  </si>
  <si>
    <t xml:space="preserve">TK-00761</t>
  </si>
  <si>
    <t xml:space="preserve">TK-00762</t>
  </si>
  <si>
    <t xml:space="preserve">TK-00763</t>
  </si>
  <si>
    <t xml:space="preserve">TK-00764</t>
  </si>
  <si>
    <t xml:space="preserve">TK-00765</t>
  </si>
  <si>
    <t xml:space="preserve">TK-00766</t>
  </si>
  <si>
    <t xml:space="preserve">TK-00767</t>
  </si>
  <si>
    <t xml:space="preserve">TK-00768</t>
  </si>
  <si>
    <t xml:space="preserve">TK-00769</t>
  </si>
  <si>
    <t xml:space="preserve">TK-00770</t>
  </si>
  <si>
    <t xml:space="preserve">TK-00771</t>
  </si>
  <si>
    <t xml:space="preserve">TK-00772</t>
  </si>
  <si>
    <t xml:space="preserve">TK-00773</t>
  </si>
  <si>
    <t xml:space="preserve">TK-00774</t>
  </si>
  <si>
    <t xml:space="preserve">TK-00775</t>
  </si>
  <si>
    <t xml:space="preserve">TK-00776</t>
  </si>
  <si>
    <t xml:space="preserve">TK-00777</t>
  </si>
  <si>
    <t xml:space="preserve">TK-00778</t>
  </si>
  <si>
    <t xml:space="preserve">TK-00779</t>
  </si>
  <si>
    <t xml:space="preserve">TK-00780</t>
  </si>
  <si>
    <t xml:space="preserve">TK-00781</t>
  </si>
  <si>
    <t xml:space="preserve">TK-00782</t>
  </si>
  <si>
    <t xml:space="preserve">TK-00783</t>
  </si>
  <si>
    <t xml:space="preserve">TK-00784</t>
  </si>
  <si>
    <t xml:space="preserve">TK-00785</t>
  </si>
  <si>
    <t xml:space="preserve">TK-00786</t>
  </si>
  <si>
    <t xml:space="preserve">TK-00787</t>
  </si>
  <si>
    <t xml:space="preserve">TK-00788</t>
  </si>
  <si>
    <t xml:space="preserve">TK-00789</t>
  </si>
  <si>
    <t xml:space="preserve">TK-00790</t>
  </si>
  <si>
    <t xml:space="preserve">TK-00791</t>
  </si>
  <si>
    <t xml:space="preserve">TK-00792</t>
  </si>
  <si>
    <t xml:space="preserve">TK-00793</t>
  </si>
  <si>
    <t xml:space="preserve">TK-00794</t>
  </si>
  <si>
    <t xml:space="preserve">TK-00795</t>
  </si>
  <si>
    <t xml:space="preserve">TK-00796</t>
  </si>
  <si>
    <t xml:space="preserve">TK-00797</t>
  </si>
  <si>
    <t xml:space="preserve">TK-00798</t>
  </si>
  <si>
    <t xml:space="preserve">TK-00799</t>
  </si>
  <si>
    <t xml:space="preserve">TK-00800</t>
  </si>
  <si>
    <t xml:space="preserve">TK-00801</t>
  </si>
  <si>
    <t xml:space="preserve">TK-00802</t>
  </si>
  <si>
    <t xml:space="preserve">TK-00803</t>
  </si>
  <si>
    <t xml:space="preserve">TK-00804</t>
  </si>
  <si>
    <t xml:space="preserve">TK-00805</t>
  </si>
  <si>
    <t xml:space="preserve">TK-00806</t>
  </si>
  <si>
    <t xml:space="preserve">TK-00807</t>
  </si>
  <si>
    <t xml:space="preserve">TK-00808</t>
  </si>
  <si>
    <t xml:space="preserve">TK-00809</t>
  </si>
  <si>
    <t xml:space="preserve">TK-00810</t>
  </si>
  <si>
    <t xml:space="preserve">TK-00811</t>
  </si>
  <si>
    <t xml:space="preserve">TK-00812</t>
  </si>
  <si>
    <t xml:space="preserve">TK-00813</t>
  </si>
  <si>
    <t xml:space="preserve">TK-00814</t>
  </si>
  <si>
    <t xml:space="preserve">TK-00815</t>
  </si>
  <si>
    <t xml:space="preserve">TK-00816</t>
  </si>
  <si>
    <t xml:space="preserve">TK-00817</t>
  </si>
  <si>
    <t xml:space="preserve">TK-00818</t>
  </si>
  <si>
    <t xml:space="preserve">TK-00819</t>
  </si>
  <si>
    <t xml:space="preserve">TK-00820</t>
  </si>
  <si>
    <t xml:space="preserve">TK-00821</t>
  </si>
  <si>
    <t xml:space="preserve">TK-00822</t>
  </si>
  <si>
    <t xml:space="preserve">TK-00823</t>
  </si>
  <si>
    <t xml:space="preserve">TK-00824</t>
  </si>
  <si>
    <t xml:space="preserve">TK-00825</t>
  </si>
  <si>
    <t xml:space="preserve">TK-00826</t>
  </si>
  <si>
    <t xml:space="preserve">TK-00827</t>
  </si>
  <si>
    <t xml:space="preserve">TK-00828</t>
  </si>
  <si>
    <t xml:space="preserve">TK-00829</t>
  </si>
  <si>
    <t xml:space="preserve">TK-00830</t>
  </si>
  <si>
    <t xml:space="preserve">TK-00831</t>
  </si>
  <si>
    <t xml:space="preserve">TK-00832</t>
  </si>
  <si>
    <t xml:space="preserve">TK-00833</t>
  </si>
  <si>
    <t xml:space="preserve">TK-00834</t>
  </si>
  <si>
    <t xml:space="preserve">TK-00835</t>
  </si>
  <si>
    <t xml:space="preserve">TK-00836</t>
  </si>
  <si>
    <t xml:space="preserve">TK-00837</t>
  </si>
  <si>
    <t xml:space="preserve">TK-00838</t>
  </si>
  <si>
    <t xml:space="preserve">TK-00839</t>
  </si>
  <si>
    <t xml:space="preserve">TK-00840</t>
  </si>
  <si>
    <t xml:space="preserve">TK-00841</t>
  </si>
  <si>
    <t xml:space="preserve">TK-00842</t>
  </si>
  <si>
    <t xml:space="preserve">TK-00843</t>
  </si>
  <si>
    <t xml:space="preserve">TK-00844</t>
  </si>
  <si>
    <t xml:space="preserve">TK-00845</t>
  </si>
  <si>
    <t xml:space="preserve">TK-00846</t>
  </si>
  <si>
    <t xml:space="preserve">TK-00847</t>
  </si>
  <si>
    <t xml:space="preserve">TK-00848</t>
  </si>
  <si>
    <t xml:space="preserve">TK-00849</t>
  </si>
  <si>
    <t xml:space="preserve">TK-00850</t>
  </si>
  <si>
    <t xml:space="preserve">TK-00851</t>
  </si>
  <si>
    <t xml:space="preserve">TK-00852</t>
  </si>
  <si>
    <t xml:space="preserve">TK-00853</t>
  </si>
  <si>
    <t xml:space="preserve">TK-00854</t>
  </si>
  <si>
    <t xml:space="preserve">TK-00855</t>
  </si>
  <si>
    <t xml:space="preserve">TK-00856</t>
  </si>
  <si>
    <t xml:space="preserve">TK-00857</t>
  </si>
  <si>
    <t xml:space="preserve">TK-00858</t>
  </si>
  <si>
    <t xml:space="preserve">TK-00859</t>
  </si>
  <si>
    <t xml:space="preserve">TK-00860</t>
  </si>
  <si>
    <t xml:space="preserve">TK-00861</t>
  </si>
  <si>
    <t xml:space="preserve">TK-00862</t>
  </si>
  <si>
    <t xml:space="preserve">TK-00863</t>
  </si>
  <si>
    <t xml:space="preserve">TK-00864</t>
  </si>
  <si>
    <t xml:space="preserve">TK-00865</t>
  </si>
  <si>
    <t xml:space="preserve">TK-00866</t>
  </si>
  <si>
    <t xml:space="preserve">TK-00867</t>
  </si>
  <si>
    <t xml:space="preserve">TK-00868</t>
  </si>
  <si>
    <t xml:space="preserve">TK-00869</t>
  </si>
  <si>
    <t xml:space="preserve">TK-00870</t>
  </si>
  <si>
    <t xml:space="preserve">TK-00871</t>
  </si>
  <si>
    <t xml:space="preserve">TK-00872</t>
  </si>
  <si>
    <t xml:space="preserve">TK-00873</t>
  </si>
  <si>
    <t xml:space="preserve">TK-00874</t>
  </si>
  <si>
    <t xml:space="preserve">TK-00875</t>
  </si>
  <si>
    <t xml:space="preserve">TK-00876</t>
  </si>
  <si>
    <t xml:space="preserve">TK-00877</t>
  </si>
  <si>
    <t xml:space="preserve">TK-00878</t>
  </si>
  <si>
    <t xml:space="preserve">TK-00879</t>
  </si>
  <si>
    <t xml:space="preserve">TK-00880</t>
  </si>
  <si>
    <t xml:space="preserve">TK-00881</t>
  </si>
  <si>
    <t xml:space="preserve">TK-00882</t>
  </si>
  <si>
    <t xml:space="preserve">TK-00883</t>
  </si>
  <si>
    <t xml:space="preserve">TK-00884</t>
  </si>
  <si>
    <t xml:space="preserve">TK-00885</t>
  </si>
  <si>
    <t xml:space="preserve">TK-00886</t>
  </si>
  <si>
    <t xml:space="preserve">TK-00887</t>
  </si>
  <si>
    <t xml:space="preserve">TK-00888</t>
  </si>
  <si>
    <t xml:space="preserve">TK-00889</t>
  </si>
  <si>
    <t xml:space="preserve">TK-00890</t>
  </si>
  <si>
    <t xml:space="preserve">TK-00891</t>
  </si>
  <si>
    <t xml:space="preserve">TK-00892</t>
  </si>
  <si>
    <t xml:space="preserve">TK-00893</t>
  </si>
  <si>
    <t xml:space="preserve">TK-00894</t>
  </si>
  <si>
    <t xml:space="preserve">TK-00895</t>
  </si>
  <si>
    <t xml:space="preserve">TK-00896</t>
  </si>
  <si>
    <t xml:space="preserve">TK-00897</t>
  </si>
  <si>
    <t xml:space="preserve">TK-00898</t>
  </si>
  <si>
    <t xml:space="preserve">TK-00899</t>
  </si>
  <si>
    <t xml:space="preserve">TK-00900</t>
  </si>
  <si>
    <t xml:space="preserve">TK-00901</t>
  </si>
  <si>
    <t xml:space="preserve">TK-00902</t>
  </si>
  <si>
    <t xml:space="preserve">TK-00903</t>
  </si>
  <si>
    <t xml:space="preserve">TK-00904</t>
  </si>
  <si>
    <t xml:space="preserve">TK-00905</t>
  </si>
  <si>
    <t xml:space="preserve">TK-00906</t>
  </si>
  <si>
    <t xml:space="preserve">TK-00907</t>
  </si>
  <si>
    <t xml:space="preserve">TK-00908</t>
  </si>
  <si>
    <t xml:space="preserve">TK-00909</t>
  </si>
  <si>
    <t xml:space="preserve">TK-00910</t>
  </si>
  <si>
    <t xml:space="preserve">TK-00911</t>
  </si>
  <si>
    <t xml:space="preserve">TK-00912</t>
  </si>
  <si>
    <t xml:space="preserve">TK-00913</t>
  </si>
  <si>
    <t xml:space="preserve">TK-00914</t>
  </si>
  <si>
    <t xml:space="preserve">TK-00915</t>
  </si>
  <si>
    <t xml:space="preserve">TK-00916</t>
  </si>
  <si>
    <t xml:space="preserve">TK-00917</t>
  </si>
  <si>
    <t xml:space="preserve">TK-00918</t>
  </si>
  <si>
    <t xml:space="preserve">TK-00919</t>
  </si>
  <si>
    <t xml:space="preserve">TK-00920</t>
  </si>
  <si>
    <t xml:space="preserve">TK-00921</t>
  </si>
  <si>
    <t xml:space="preserve">TK-00922</t>
  </si>
  <si>
    <t xml:space="preserve">TK-00923</t>
  </si>
  <si>
    <t xml:space="preserve">TK-00924</t>
  </si>
  <si>
    <t xml:space="preserve">TK-00925</t>
  </si>
  <si>
    <t xml:space="preserve">TK-00926</t>
  </si>
  <si>
    <t xml:space="preserve">TK-00927</t>
  </si>
  <si>
    <t xml:space="preserve">TK-00928</t>
  </si>
  <si>
    <t xml:space="preserve">TK-00929</t>
  </si>
  <si>
    <t xml:space="preserve">TK-00930</t>
  </si>
  <si>
    <t xml:space="preserve">TK-00931</t>
  </si>
  <si>
    <t xml:space="preserve">TK-00932</t>
  </si>
  <si>
    <t xml:space="preserve">TK-00933</t>
  </si>
  <si>
    <t xml:space="preserve">TK-00934</t>
  </si>
  <si>
    <t xml:space="preserve">TK-00935</t>
  </si>
  <si>
    <t xml:space="preserve">TK-00936</t>
  </si>
  <si>
    <t xml:space="preserve">TK-00937</t>
  </si>
  <si>
    <t xml:space="preserve">TK-00938</t>
  </si>
  <si>
    <t xml:space="preserve">TK-00939</t>
  </si>
  <si>
    <t xml:space="preserve">TK-00940</t>
  </si>
  <si>
    <t xml:space="preserve">TK-00941</t>
  </si>
  <si>
    <t xml:space="preserve">TK-00942</t>
  </si>
  <si>
    <t xml:space="preserve">TK-00943</t>
  </si>
  <si>
    <t xml:space="preserve">TK-00944</t>
  </si>
  <si>
    <t xml:space="preserve">TK-00945</t>
  </si>
  <si>
    <t xml:space="preserve">TK-00946</t>
  </si>
  <si>
    <t xml:space="preserve">TK-00947</t>
  </si>
  <si>
    <t xml:space="preserve">TK-00948</t>
  </si>
  <si>
    <t xml:space="preserve">TK-00949</t>
  </si>
  <si>
    <t xml:space="preserve">TK-00950</t>
  </si>
  <si>
    <t xml:space="preserve">TK-00951</t>
  </si>
  <si>
    <t xml:space="preserve">TK-00952</t>
  </si>
  <si>
    <t xml:space="preserve">TK-00953</t>
  </si>
  <si>
    <t xml:space="preserve">TK-00954</t>
  </si>
  <si>
    <t xml:space="preserve">TK-00955</t>
  </si>
  <si>
    <t xml:space="preserve">TK-00956</t>
  </si>
  <si>
    <t xml:space="preserve">TK-00957</t>
  </si>
  <si>
    <t xml:space="preserve">TK-00958</t>
  </si>
  <si>
    <t xml:space="preserve">TK-00959</t>
  </si>
  <si>
    <t xml:space="preserve">TK-00960</t>
  </si>
  <si>
    <t xml:space="preserve">TK-00961</t>
  </si>
  <si>
    <t xml:space="preserve">TK-00962</t>
  </si>
  <si>
    <t xml:space="preserve">TK-00963</t>
  </si>
  <si>
    <t xml:space="preserve">TK-00964</t>
  </si>
  <si>
    <t xml:space="preserve">TK-00965</t>
  </si>
  <si>
    <t xml:space="preserve">TK-00966</t>
  </si>
  <si>
    <t xml:space="preserve">TK-00967</t>
  </si>
  <si>
    <t xml:space="preserve">TK-00968</t>
  </si>
  <si>
    <t xml:space="preserve">TK-00969</t>
  </si>
  <si>
    <t xml:space="preserve">TK-00970</t>
  </si>
  <si>
    <t xml:space="preserve">TK-00971</t>
  </si>
  <si>
    <t xml:space="preserve">TK-00972</t>
  </si>
  <si>
    <t xml:space="preserve">TK-00973</t>
  </si>
  <si>
    <t xml:space="preserve">TK-00974</t>
  </si>
  <si>
    <t xml:space="preserve">TK-00975</t>
  </si>
  <si>
    <t xml:space="preserve">TK-00976</t>
  </si>
  <si>
    <t xml:space="preserve">TK-00977</t>
  </si>
  <si>
    <t xml:space="preserve">TK-00978</t>
  </si>
  <si>
    <t xml:space="preserve">TK-00979</t>
  </si>
  <si>
    <t xml:space="preserve">TK-00980</t>
  </si>
  <si>
    <t xml:space="preserve">TK-00981</t>
  </si>
  <si>
    <t xml:space="preserve">TK-00982</t>
  </si>
  <si>
    <t xml:space="preserve">TK-00983</t>
  </si>
  <si>
    <t xml:space="preserve">TK-00984</t>
  </si>
  <si>
    <t xml:space="preserve">TK-00985</t>
  </si>
  <si>
    <t xml:space="preserve">TK-00986</t>
  </si>
  <si>
    <t xml:space="preserve">TK-00987</t>
  </si>
  <si>
    <t xml:space="preserve">TK-00988</t>
  </si>
  <si>
    <t xml:space="preserve">TK-00989</t>
  </si>
  <si>
    <t xml:space="preserve">TK-00990</t>
  </si>
  <si>
    <t xml:space="preserve">TK-00991</t>
  </si>
  <si>
    <t xml:space="preserve">TK-00992</t>
  </si>
  <si>
    <t xml:space="preserve">TK-00993</t>
  </si>
  <si>
    <t xml:space="preserve">TK-00994</t>
  </si>
  <si>
    <t xml:space="preserve">TK-00995</t>
  </si>
  <si>
    <t xml:space="preserve">TK-00996</t>
  </si>
  <si>
    <t xml:space="preserve">TK-00997</t>
  </si>
  <si>
    <t xml:space="preserve">TK-00998</t>
  </si>
  <si>
    <t xml:space="preserve">TK-00999</t>
  </si>
  <si>
    <t xml:space="preserve">TK-01000</t>
  </si>
  <si>
    <t xml:space="preserve">TK-01001</t>
  </si>
  <si>
    <t xml:space="preserve">TK-01002</t>
  </si>
  <si>
    <t xml:space="preserve">TK-01003</t>
  </si>
  <si>
    <t xml:space="preserve">TK-01004</t>
  </si>
  <si>
    <t xml:space="preserve">TK-01005</t>
  </si>
  <si>
    <t xml:space="preserve">TK-01006</t>
  </si>
  <si>
    <t xml:space="preserve">TK-01007</t>
  </si>
  <si>
    <t xml:space="preserve">TK-01008</t>
  </si>
  <si>
    <t xml:space="preserve">TK-01009</t>
  </si>
  <si>
    <t xml:space="preserve">TK-01010</t>
  </si>
  <si>
    <t xml:space="preserve">TK-01011</t>
  </si>
  <si>
    <t xml:space="preserve">TK-01012</t>
  </si>
  <si>
    <t xml:space="preserve">TK-01013</t>
  </si>
  <si>
    <t xml:space="preserve">TK-01014</t>
  </si>
  <si>
    <t xml:space="preserve">TK-01015</t>
  </si>
  <si>
    <t xml:space="preserve">TK-01016</t>
  </si>
  <si>
    <t xml:space="preserve">TK-01017</t>
  </si>
  <si>
    <t xml:space="preserve">TK-01018</t>
  </si>
  <si>
    <t xml:space="preserve">TK-01019</t>
  </si>
  <si>
    <t xml:space="preserve">TK-01020</t>
  </si>
  <si>
    <t xml:space="preserve">TK-01021</t>
  </si>
  <si>
    <t xml:space="preserve">TK-01022</t>
  </si>
  <si>
    <t xml:space="preserve">TK-01023</t>
  </si>
  <si>
    <t xml:space="preserve">TK-01024</t>
  </si>
  <si>
    <t xml:space="preserve">TK-01025</t>
  </si>
  <si>
    <t xml:space="preserve">TK-01026</t>
  </si>
  <si>
    <t xml:space="preserve">TK-01027</t>
  </si>
  <si>
    <t xml:space="preserve">TK-01028</t>
  </si>
  <si>
    <t xml:space="preserve">TK-01029</t>
  </si>
  <si>
    <t xml:space="preserve">TK-01030</t>
  </si>
  <si>
    <t xml:space="preserve">TK-01031</t>
  </si>
  <si>
    <t xml:space="preserve">TK-01032</t>
  </si>
  <si>
    <t xml:space="preserve">TK-01033</t>
  </si>
  <si>
    <t xml:space="preserve">TK-01034</t>
  </si>
  <si>
    <t xml:space="preserve">TK-01035</t>
  </si>
  <si>
    <t xml:space="preserve">TK-01036</t>
  </si>
  <si>
    <t xml:space="preserve">TK-01037</t>
  </si>
  <si>
    <t xml:space="preserve">TK-01038</t>
  </si>
  <si>
    <t xml:space="preserve">TK-01039</t>
  </si>
  <si>
    <t xml:space="preserve">TK-01040</t>
  </si>
  <si>
    <t xml:space="preserve">TK-01041</t>
  </si>
  <si>
    <t xml:space="preserve">TK-01042</t>
  </si>
  <si>
    <t xml:space="preserve">TK-01043</t>
  </si>
  <si>
    <t xml:space="preserve">TK-01044</t>
  </si>
  <si>
    <t xml:space="preserve">TK-01045</t>
  </si>
  <si>
    <t xml:space="preserve">TK-01046</t>
  </si>
  <si>
    <t xml:space="preserve">TK-01047</t>
  </si>
  <si>
    <t xml:space="preserve">TK-01048</t>
  </si>
  <si>
    <t xml:space="preserve">TK-01049</t>
  </si>
  <si>
    <t xml:space="preserve">TK-01050</t>
  </si>
  <si>
    <t xml:space="preserve">TK-01051</t>
  </si>
  <si>
    <t xml:space="preserve">TK-01052</t>
  </si>
  <si>
    <t xml:space="preserve">TK-01053</t>
  </si>
  <si>
    <t xml:space="preserve">TK-01054</t>
  </si>
  <si>
    <t xml:space="preserve">TK-01055</t>
  </si>
  <si>
    <t xml:space="preserve">TK-01056</t>
  </si>
  <si>
    <t xml:space="preserve">TK-01057</t>
  </si>
  <si>
    <t xml:space="preserve">TK-01058</t>
  </si>
  <si>
    <t xml:space="preserve">TK-01059</t>
  </si>
  <si>
    <t xml:space="preserve">TK-01060</t>
  </si>
  <si>
    <t xml:space="preserve">TK-01061</t>
  </si>
  <si>
    <t xml:space="preserve">TK-01062</t>
  </si>
  <si>
    <t xml:space="preserve">TK-01063</t>
  </si>
  <si>
    <t xml:space="preserve">TK-01064</t>
  </si>
  <si>
    <t xml:space="preserve">TK-01065</t>
  </si>
  <si>
    <t xml:space="preserve">TK-01066</t>
  </si>
  <si>
    <t xml:space="preserve">TK-01067</t>
  </si>
  <si>
    <t xml:space="preserve">TK-01068</t>
  </si>
  <si>
    <t xml:space="preserve">TK-01069</t>
  </si>
  <si>
    <t xml:space="preserve">TK-01070</t>
  </si>
  <si>
    <t xml:space="preserve">TK-01071</t>
  </si>
  <si>
    <t xml:space="preserve">TK-01072</t>
  </si>
  <si>
    <t xml:space="preserve">TK-01073</t>
  </si>
  <si>
    <t xml:space="preserve">TK-01074</t>
  </si>
  <si>
    <t xml:space="preserve">TK-01075</t>
  </si>
  <si>
    <t xml:space="preserve">TK-01076</t>
  </si>
  <si>
    <t xml:space="preserve">TK-01077</t>
  </si>
  <si>
    <t xml:space="preserve">TK-01078</t>
  </si>
  <si>
    <t xml:space="preserve">TK-01079</t>
  </si>
  <si>
    <t xml:space="preserve">TK-01080</t>
  </si>
  <si>
    <t xml:space="preserve">TK-01081</t>
  </si>
  <si>
    <t xml:space="preserve">TK-01082</t>
  </si>
  <si>
    <t xml:space="preserve">TK-01083</t>
  </si>
  <si>
    <t xml:space="preserve">TK-01084</t>
  </si>
  <si>
    <t xml:space="preserve">TK-01085</t>
  </si>
  <si>
    <t xml:space="preserve">TK-01086</t>
  </si>
  <si>
    <t xml:space="preserve">TK-01087</t>
  </si>
  <si>
    <t xml:space="preserve">TK-01088</t>
  </si>
  <si>
    <t xml:space="preserve">TK-01089</t>
  </si>
  <si>
    <t xml:space="preserve">TK-01090</t>
  </si>
  <si>
    <t xml:space="preserve">TK-01091</t>
  </si>
  <si>
    <t xml:space="preserve">TK-01092</t>
  </si>
  <si>
    <t xml:space="preserve">TK-01093</t>
  </si>
  <si>
    <t xml:space="preserve">TK-01094</t>
  </si>
  <si>
    <t xml:space="preserve">TK-01095</t>
  </si>
  <si>
    <t xml:space="preserve">TK-01096</t>
  </si>
  <si>
    <t xml:space="preserve">TK-01097</t>
  </si>
  <si>
    <t xml:space="preserve">TK-01098</t>
  </si>
  <si>
    <t xml:space="preserve">TK-01099</t>
  </si>
  <si>
    <t xml:space="preserve">TK-01100</t>
  </si>
  <si>
    <t xml:space="preserve">TK-01101</t>
  </si>
  <si>
    <t xml:space="preserve">TK-01102</t>
  </si>
  <si>
    <t xml:space="preserve">TK-01103</t>
  </si>
  <si>
    <t xml:space="preserve">TK-01104</t>
  </si>
  <si>
    <t xml:space="preserve">TK-01105</t>
  </si>
  <si>
    <t xml:space="preserve">TK-01106</t>
  </si>
  <si>
    <t xml:space="preserve">TK-01107</t>
  </si>
  <si>
    <t xml:space="preserve">TK-01108</t>
  </si>
  <si>
    <t xml:space="preserve">TK-01109</t>
  </si>
  <si>
    <t xml:space="preserve">TK-01110</t>
  </si>
  <si>
    <t xml:space="preserve">TK-01111</t>
  </si>
  <si>
    <t xml:space="preserve">TK-01112</t>
  </si>
  <si>
    <t xml:space="preserve">TK-01113</t>
  </si>
  <si>
    <t xml:space="preserve">TK-01114</t>
  </si>
  <si>
    <t xml:space="preserve">TK-01115</t>
  </si>
  <si>
    <t xml:space="preserve">TK-01116</t>
  </si>
  <si>
    <t xml:space="preserve">TK-01117</t>
  </si>
  <si>
    <t xml:space="preserve">TK-01118</t>
  </si>
  <si>
    <t xml:space="preserve">TK-01119</t>
  </si>
  <si>
    <t xml:space="preserve">TK-01120</t>
  </si>
  <si>
    <t xml:space="preserve">TK-01121</t>
  </si>
  <si>
    <t xml:space="preserve">TK-01122</t>
  </si>
  <si>
    <t xml:space="preserve">TK-01123</t>
  </si>
  <si>
    <t xml:space="preserve">TK-01124</t>
  </si>
  <si>
    <t xml:space="preserve">TK-01125</t>
  </si>
  <si>
    <t xml:space="preserve">TK-01126</t>
  </si>
  <si>
    <t xml:space="preserve">TK-01127</t>
  </si>
  <si>
    <t xml:space="preserve">TK-01128</t>
  </si>
  <si>
    <t xml:space="preserve">TK-01129</t>
  </si>
  <si>
    <t xml:space="preserve">TK-01130</t>
  </si>
  <si>
    <t xml:space="preserve">TK-01131</t>
  </si>
  <si>
    <t xml:space="preserve">TK-01132</t>
  </si>
  <si>
    <t xml:space="preserve">TK-01133</t>
  </si>
  <si>
    <t xml:space="preserve">TK-01134</t>
  </si>
  <si>
    <t xml:space="preserve">TK-01135</t>
  </si>
  <si>
    <t xml:space="preserve">TK-01136</t>
  </si>
  <si>
    <t xml:space="preserve">TK-01137</t>
  </si>
  <si>
    <t xml:space="preserve">TK-01138</t>
  </si>
  <si>
    <t xml:space="preserve">TK-01139</t>
  </si>
  <si>
    <t xml:space="preserve">TK-01140</t>
  </si>
  <si>
    <t xml:space="preserve">TK-01141</t>
  </si>
  <si>
    <t xml:space="preserve">TK-01142</t>
  </si>
  <si>
    <t xml:space="preserve">TK-01143</t>
  </si>
  <si>
    <t xml:space="preserve">TK-01144</t>
  </si>
  <si>
    <t xml:space="preserve">TK-01145</t>
  </si>
  <si>
    <t xml:space="preserve">TK-01146</t>
  </si>
  <si>
    <t xml:space="preserve">TK-01147</t>
  </si>
  <si>
    <t xml:space="preserve">TK-01148</t>
  </si>
  <si>
    <t xml:space="preserve">TK-01149</t>
  </si>
  <si>
    <t xml:space="preserve">TK-01150</t>
  </si>
  <si>
    <t xml:space="preserve">TK-01151</t>
  </si>
  <si>
    <t xml:space="preserve">TK-01152</t>
  </si>
  <si>
    <t xml:space="preserve">TK-01153</t>
  </si>
  <si>
    <t xml:space="preserve">TK-01154</t>
  </si>
  <si>
    <t xml:space="preserve">TK-01155</t>
  </si>
  <si>
    <t xml:space="preserve">TK-01156</t>
  </si>
  <si>
    <t xml:space="preserve">TK-01157</t>
  </si>
  <si>
    <t xml:space="preserve">TK-01158</t>
  </si>
  <si>
    <t xml:space="preserve">TK-01159</t>
  </si>
  <si>
    <t xml:space="preserve">TK-01160</t>
  </si>
  <si>
    <t xml:space="preserve">TK-01161</t>
  </si>
  <si>
    <t xml:space="preserve">TK-01162</t>
  </si>
  <si>
    <t xml:space="preserve">TK-01163</t>
  </si>
  <si>
    <t xml:space="preserve">TK-01164</t>
  </si>
  <si>
    <t xml:space="preserve">TK-01165</t>
  </si>
  <si>
    <t xml:space="preserve">TK-01166</t>
  </si>
  <si>
    <t xml:space="preserve">TK-01167</t>
  </si>
  <si>
    <t xml:space="preserve">TK-01168</t>
  </si>
  <si>
    <t xml:space="preserve">TK-01169</t>
  </si>
  <si>
    <t xml:space="preserve">TK-01170</t>
  </si>
  <si>
    <t xml:space="preserve">TK-01171</t>
  </si>
  <si>
    <t xml:space="preserve">TK-01172</t>
  </si>
  <si>
    <t xml:space="preserve">TK-01173</t>
  </si>
  <si>
    <t xml:space="preserve">TK-01174</t>
  </si>
  <si>
    <t xml:space="preserve">TK-01175</t>
  </si>
  <si>
    <t xml:space="preserve">TK-01176</t>
  </si>
  <si>
    <t xml:space="preserve">TK-01177</t>
  </si>
  <si>
    <t xml:space="preserve">TK-01178</t>
  </si>
  <si>
    <t xml:space="preserve">TK-01179</t>
  </si>
  <si>
    <t xml:space="preserve">TK-01180</t>
  </si>
  <si>
    <t xml:space="preserve">TK-01181</t>
  </si>
  <si>
    <t xml:space="preserve">TK-01182</t>
  </si>
  <si>
    <t xml:space="preserve">TK-01183</t>
  </si>
  <si>
    <t xml:space="preserve">TK-01184</t>
  </si>
  <si>
    <t xml:space="preserve">TK-01185</t>
  </si>
  <si>
    <t xml:space="preserve">TK-01186</t>
  </si>
  <si>
    <t xml:space="preserve">TK-01187</t>
  </si>
  <si>
    <t xml:space="preserve">TK-01188</t>
  </si>
  <si>
    <t xml:space="preserve">TK-01189</t>
  </si>
  <si>
    <t xml:space="preserve">TK-01190</t>
  </si>
  <si>
    <t xml:space="preserve">TK-01191</t>
  </si>
  <si>
    <t xml:space="preserve">TK-01192</t>
  </si>
  <si>
    <t xml:space="preserve">TK-01193</t>
  </si>
  <si>
    <t xml:space="preserve">TK-01194</t>
  </si>
  <si>
    <t xml:space="preserve">TK-01195</t>
  </si>
  <si>
    <t xml:space="preserve">TK-01196</t>
  </si>
  <si>
    <t xml:space="preserve">TK-01197</t>
  </si>
  <si>
    <t xml:space="preserve">TK-01198</t>
  </si>
  <si>
    <t xml:space="preserve">TK-01199</t>
  </si>
  <si>
    <t xml:space="preserve">TK-01200</t>
  </si>
  <si>
    <t xml:space="preserve">TK-01201</t>
  </si>
  <si>
    <t xml:space="preserve">TK-01202</t>
  </si>
  <si>
    <t xml:space="preserve">TK-01203</t>
  </si>
  <si>
    <t xml:space="preserve">TK-01204</t>
  </si>
  <si>
    <t xml:space="preserve">TK-01205</t>
  </si>
  <si>
    <t xml:space="preserve">TK-01206</t>
  </si>
  <si>
    <t xml:space="preserve">TK-01207</t>
  </si>
  <si>
    <t xml:space="preserve">TK-01208</t>
  </si>
  <si>
    <t xml:space="preserve">TK-01209</t>
  </si>
  <si>
    <t xml:space="preserve">TK-01210</t>
  </si>
  <si>
    <t xml:space="preserve">TK-01211</t>
  </si>
  <si>
    <t xml:space="preserve">TK-01212</t>
  </si>
  <si>
    <t xml:space="preserve">TK-01213</t>
  </si>
  <si>
    <t xml:space="preserve">TK-01214</t>
  </si>
  <si>
    <t xml:space="preserve">TK-01215</t>
  </si>
  <si>
    <t xml:space="preserve">TK-01216</t>
  </si>
  <si>
    <t xml:space="preserve">TK-01217</t>
  </si>
  <si>
    <t xml:space="preserve">TK-01218</t>
  </si>
  <si>
    <t xml:space="preserve">TK-01219</t>
  </si>
  <si>
    <t xml:space="preserve">TK-01220</t>
  </si>
  <si>
    <t xml:space="preserve">TK-01221</t>
  </si>
  <si>
    <t xml:space="preserve">TK-01222</t>
  </si>
  <si>
    <t xml:space="preserve">TK-01223</t>
  </si>
  <si>
    <t xml:space="preserve">TK-01224</t>
  </si>
  <si>
    <t xml:space="preserve">TK-01225</t>
  </si>
  <si>
    <t xml:space="preserve">TK-01226</t>
  </si>
  <si>
    <t xml:space="preserve">TK-01227</t>
  </si>
  <si>
    <t xml:space="preserve">TK-01228</t>
  </si>
  <si>
    <t xml:space="preserve">TK-01229</t>
  </si>
  <si>
    <t xml:space="preserve">TK-01230</t>
  </si>
  <si>
    <t xml:space="preserve">TK-01231</t>
  </si>
  <si>
    <t xml:space="preserve">TK-01232</t>
  </si>
  <si>
    <t xml:space="preserve">TK-01233</t>
  </si>
  <si>
    <t xml:space="preserve">TK-01234</t>
  </si>
  <si>
    <t xml:space="preserve">TK-01235</t>
  </si>
  <si>
    <t xml:space="preserve">TK-01236</t>
  </si>
  <si>
    <t xml:space="preserve">TK-01237</t>
  </si>
  <si>
    <t xml:space="preserve">TK-01238</t>
  </si>
  <si>
    <t xml:space="preserve">TK-01239</t>
  </si>
  <si>
    <t xml:space="preserve">TK-01240</t>
  </si>
  <si>
    <t xml:space="preserve">TK-01241</t>
  </si>
  <si>
    <t xml:space="preserve">TK-01242</t>
  </si>
  <si>
    <t xml:space="preserve">TK-01243</t>
  </si>
  <si>
    <t xml:space="preserve">TK-01244</t>
  </si>
  <si>
    <t xml:space="preserve">TK-01245</t>
  </si>
  <si>
    <t xml:space="preserve">TK-01246</t>
  </si>
  <si>
    <t xml:space="preserve">TK-01247</t>
  </si>
  <si>
    <t xml:space="preserve">TK-01248</t>
  </si>
  <si>
    <t xml:space="preserve">TK-01249</t>
  </si>
  <si>
    <t xml:space="preserve">TK-01250</t>
  </si>
  <si>
    <t xml:space="preserve">TK-01251</t>
  </si>
  <si>
    <t xml:space="preserve">TK-01252</t>
  </si>
  <si>
    <t xml:space="preserve">TK-01253</t>
  </si>
  <si>
    <t xml:space="preserve">TK-01254</t>
  </si>
  <si>
    <t xml:space="preserve">TK-01255</t>
  </si>
  <si>
    <t xml:space="preserve">TK-01256</t>
  </si>
  <si>
    <t xml:space="preserve">TK-01257</t>
  </si>
  <si>
    <t xml:space="preserve">TK-01258</t>
  </si>
  <si>
    <t xml:space="preserve">TK-01259</t>
  </si>
  <si>
    <t xml:space="preserve">TK-01260</t>
  </si>
  <si>
    <t xml:space="preserve">TK-01261</t>
  </si>
  <si>
    <t xml:space="preserve">TK-01262</t>
  </si>
  <si>
    <t xml:space="preserve">TK-01263</t>
  </si>
  <si>
    <t xml:space="preserve">TK-01264</t>
  </si>
  <si>
    <t xml:space="preserve">TK-01265</t>
  </si>
  <si>
    <t xml:space="preserve">TK-01266</t>
  </si>
  <si>
    <t xml:space="preserve">TK-01267</t>
  </si>
  <si>
    <t xml:space="preserve">TK-01268</t>
  </si>
  <si>
    <t xml:space="preserve">TK-01269</t>
  </si>
  <si>
    <t xml:space="preserve">TK-01270</t>
  </si>
  <si>
    <t xml:space="preserve">TK-01271</t>
  </si>
  <si>
    <t xml:space="preserve">TK-01272</t>
  </si>
  <si>
    <t xml:space="preserve">TK-01273</t>
  </si>
  <si>
    <t xml:space="preserve">TK-01274</t>
  </si>
  <si>
    <t xml:space="preserve">TK-01275</t>
  </si>
  <si>
    <t xml:space="preserve">TK-01276</t>
  </si>
  <si>
    <t xml:space="preserve">TK-01277</t>
  </si>
  <si>
    <t xml:space="preserve">TK-01278</t>
  </si>
  <si>
    <t xml:space="preserve">TK-01279</t>
  </si>
  <si>
    <t xml:space="preserve">TK-01280</t>
  </si>
  <si>
    <t xml:space="preserve">TK-01281</t>
  </si>
  <si>
    <t xml:space="preserve">TK-01282</t>
  </si>
  <si>
    <t xml:space="preserve">TK-01283</t>
  </si>
  <si>
    <t xml:space="preserve">TK-01284</t>
  </si>
  <si>
    <t xml:space="preserve">TK-01285</t>
  </si>
  <si>
    <t xml:space="preserve">TK-01286</t>
  </si>
  <si>
    <t xml:space="preserve">TK-01287</t>
  </si>
  <si>
    <t xml:space="preserve">TK-01288</t>
  </si>
  <si>
    <t xml:space="preserve">TK-01289</t>
  </si>
  <si>
    <t xml:space="preserve">TK-01290</t>
  </si>
  <si>
    <t xml:space="preserve">TK-01291</t>
  </si>
  <si>
    <t xml:space="preserve">TK-01292</t>
  </si>
  <si>
    <t xml:space="preserve">TK-01293</t>
  </si>
  <si>
    <t xml:space="preserve">TK-01294</t>
  </si>
  <si>
    <t xml:space="preserve">TK-01295</t>
  </si>
  <si>
    <t xml:space="preserve">TK-01296</t>
  </si>
  <si>
    <t xml:space="preserve">TK-01297</t>
  </si>
  <si>
    <t xml:space="preserve">TK-01298</t>
  </si>
  <si>
    <t xml:space="preserve">TK-01299</t>
  </si>
  <si>
    <t xml:space="preserve">TK-01300</t>
  </si>
  <si>
    <t xml:space="preserve">TK-01301</t>
  </si>
  <si>
    <t xml:space="preserve">TK-01302</t>
  </si>
  <si>
    <t xml:space="preserve">TK-01303</t>
  </si>
  <si>
    <t xml:space="preserve">TK-01304</t>
  </si>
  <si>
    <t xml:space="preserve">TK-01305</t>
  </si>
  <si>
    <t xml:space="preserve">TK-01306</t>
  </si>
  <si>
    <t xml:space="preserve">TK-01307</t>
  </si>
  <si>
    <t xml:space="preserve">TK-01308</t>
  </si>
  <si>
    <t xml:space="preserve">TK-01309</t>
  </si>
  <si>
    <t xml:space="preserve">TK-01310</t>
  </si>
  <si>
    <t xml:space="preserve">TK-01311</t>
  </si>
  <si>
    <t xml:space="preserve">TK-01312</t>
  </si>
  <si>
    <t xml:space="preserve">TK-01313</t>
  </si>
  <si>
    <t xml:space="preserve">TK-01314</t>
  </si>
  <si>
    <t xml:space="preserve">TK-01315</t>
  </si>
  <si>
    <t xml:space="preserve">TK-01316</t>
  </si>
  <si>
    <t xml:space="preserve">TK-01317</t>
  </si>
  <si>
    <t xml:space="preserve">TK-01318</t>
  </si>
  <si>
    <t xml:space="preserve">TK-01319</t>
  </si>
  <si>
    <t xml:space="preserve">TK-01320</t>
  </si>
  <si>
    <t xml:space="preserve">TK-01321</t>
  </si>
  <si>
    <t xml:space="preserve">TK-01322</t>
  </si>
  <si>
    <t xml:space="preserve">TK-01323</t>
  </si>
  <si>
    <t xml:space="preserve">TK-01324</t>
  </si>
  <si>
    <t xml:space="preserve">TK-01325</t>
  </si>
  <si>
    <t xml:space="preserve">TK-01326</t>
  </si>
  <si>
    <t xml:space="preserve">TK-01327</t>
  </si>
  <si>
    <t xml:space="preserve">TK-01328</t>
  </si>
  <si>
    <t xml:space="preserve">TK-01329</t>
  </si>
  <si>
    <t xml:space="preserve">TK-01330</t>
  </si>
  <si>
    <t xml:space="preserve">TK-01331</t>
  </si>
  <si>
    <t xml:space="preserve">TK-01332</t>
  </si>
  <si>
    <t xml:space="preserve">TK-01333</t>
  </si>
  <si>
    <t xml:space="preserve">TK-01334</t>
  </si>
  <si>
    <t xml:space="preserve">TK-01335</t>
  </si>
  <si>
    <t xml:space="preserve">TK-01336</t>
  </si>
  <si>
    <t xml:space="preserve">TK-01337</t>
  </si>
  <si>
    <t xml:space="preserve">TK-01338</t>
  </si>
  <si>
    <t xml:space="preserve">TK-01339</t>
  </si>
  <si>
    <t xml:space="preserve">TK-01340</t>
  </si>
  <si>
    <t xml:space="preserve">TK-01341</t>
  </si>
  <si>
    <t xml:space="preserve">TK-01342</t>
  </si>
  <si>
    <t xml:space="preserve">TK-01343</t>
  </si>
  <si>
    <t xml:space="preserve">TK-01344</t>
  </si>
  <si>
    <t xml:space="preserve">TK-01345</t>
  </si>
  <si>
    <t xml:space="preserve">TK-01346</t>
  </si>
  <si>
    <t xml:space="preserve">TK-01347</t>
  </si>
  <si>
    <t xml:space="preserve">TK-01348</t>
  </si>
  <si>
    <t xml:space="preserve">TK-01349</t>
  </si>
  <si>
    <t xml:space="preserve">TK-01350</t>
  </si>
  <si>
    <t xml:space="preserve">TK-01351</t>
  </si>
  <si>
    <t xml:space="preserve">TK-01352</t>
  </si>
  <si>
    <t xml:space="preserve">TK-01353</t>
  </si>
  <si>
    <t xml:space="preserve">TK-01354</t>
  </si>
  <si>
    <t xml:space="preserve">TK-01355</t>
  </si>
  <si>
    <t xml:space="preserve">TK-01356</t>
  </si>
  <si>
    <t xml:space="preserve">TK-01357</t>
  </si>
  <si>
    <t xml:space="preserve">TK-01358</t>
  </si>
  <si>
    <t xml:space="preserve">TK-01359</t>
  </si>
  <si>
    <t xml:space="preserve">TK-01360</t>
  </si>
  <si>
    <t xml:space="preserve">TK-01361</t>
  </si>
  <si>
    <t xml:space="preserve">TK-01362</t>
  </si>
  <si>
    <t xml:space="preserve">TK-01363</t>
  </si>
  <si>
    <t xml:space="preserve">TK-01364</t>
  </si>
  <si>
    <t xml:space="preserve">TK-01365</t>
  </si>
  <si>
    <t xml:space="preserve">TK-01366</t>
  </si>
  <si>
    <t xml:space="preserve">TK-01367</t>
  </si>
  <si>
    <t xml:space="preserve">TK-01368</t>
  </si>
  <si>
    <t xml:space="preserve">TK-01369</t>
  </si>
  <si>
    <t xml:space="preserve">TK-01370</t>
  </si>
  <si>
    <t xml:space="preserve">TK-01371</t>
  </si>
  <si>
    <t xml:space="preserve">TK-01372</t>
  </si>
  <si>
    <t xml:space="preserve">TK-01373</t>
  </si>
  <si>
    <t xml:space="preserve">TK-01374</t>
  </si>
  <si>
    <t xml:space="preserve">TK-01375</t>
  </si>
  <si>
    <t xml:space="preserve">TK-01376</t>
  </si>
  <si>
    <t xml:space="preserve">TK-01377</t>
  </si>
  <si>
    <t xml:space="preserve">TK-01378</t>
  </si>
  <si>
    <t xml:space="preserve">TK-01379</t>
  </si>
  <si>
    <t xml:space="preserve">TK-01380</t>
  </si>
  <si>
    <t xml:space="preserve">TK-01381</t>
  </si>
  <si>
    <t xml:space="preserve">TK-01382</t>
  </si>
  <si>
    <t xml:space="preserve">TK-01383</t>
  </si>
  <si>
    <t xml:space="preserve">TK-01384</t>
  </si>
  <si>
    <t xml:space="preserve">TK-01385</t>
  </si>
  <si>
    <t xml:space="preserve">TK-01386</t>
  </si>
  <si>
    <t xml:space="preserve">TK-01387</t>
  </si>
  <si>
    <t xml:space="preserve">TK-01388</t>
  </si>
  <si>
    <t xml:space="preserve">TK-01389</t>
  </si>
  <si>
    <t xml:space="preserve">TK-01390</t>
  </si>
  <si>
    <t xml:space="preserve">TK-01391</t>
  </si>
  <si>
    <t xml:space="preserve">TK-01392</t>
  </si>
  <si>
    <t xml:space="preserve">TK-01393</t>
  </si>
  <si>
    <t xml:space="preserve">TK-01394</t>
  </si>
  <si>
    <t xml:space="preserve">TK-01395</t>
  </si>
  <si>
    <t xml:space="preserve">TK-01396</t>
  </si>
  <si>
    <t xml:space="preserve">TK-01397</t>
  </si>
  <si>
    <t xml:space="preserve">TK-01398</t>
  </si>
  <si>
    <t xml:space="preserve">TK-01399</t>
  </si>
  <si>
    <t xml:space="preserve">TK-01400</t>
  </si>
  <si>
    <t xml:space="preserve">TK-01401</t>
  </si>
  <si>
    <t xml:space="preserve">TK-01402</t>
  </si>
  <si>
    <t xml:space="preserve">TK-01403</t>
  </si>
  <si>
    <t xml:space="preserve">TK-01404</t>
  </si>
  <si>
    <t xml:space="preserve">TK-01405</t>
  </si>
  <si>
    <t xml:space="preserve">TK-01406</t>
  </si>
  <si>
    <t xml:space="preserve">TK-01407</t>
  </si>
  <si>
    <t xml:space="preserve">TK-01408</t>
  </si>
  <si>
    <t xml:space="preserve">TK-01409</t>
  </si>
  <si>
    <t xml:space="preserve">TK-01410</t>
  </si>
  <si>
    <t xml:space="preserve">TK-01411</t>
  </si>
  <si>
    <t xml:space="preserve">TK-01412</t>
  </si>
  <si>
    <t xml:space="preserve">TK-01413</t>
  </si>
  <si>
    <t xml:space="preserve">TK-01414</t>
  </si>
  <si>
    <t xml:space="preserve">TK-01415</t>
  </si>
  <si>
    <t xml:space="preserve">TK-01416</t>
  </si>
  <si>
    <t xml:space="preserve">TK-01417</t>
  </si>
  <si>
    <t xml:space="preserve">TK-01418</t>
  </si>
  <si>
    <t xml:space="preserve">TK-01419</t>
  </si>
  <si>
    <t xml:space="preserve">TK-01420</t>
  </si>
  <si>
    <t xml:space="preserve">TK-01421</t>
  </si>
  <si>
    <t xml:space="preserve">TK-01422</t>
  </si>
  <si>
    <t xml:space="preserve">TK-01423</t>
  </si>
  <si>
    <t xml:space="preserve">TK-01424</t>
  </si>
  <si>
    <t xml:space="preserve">TK-01425</t>
  </si>
  <si>
    <t xml:space="preserve">TK-01426</t>
  </si>
  <si>
    <t xml:space="preserve">TK-01427</t>
  </si>
  <si>
    <t xml:space="preserve">TK-01428</t>
  </si>
  <si>
    <t xml:space="preserve">TK-01429</t>
  </si>
  <si>
    <t xml:space="preserve">TK-01430</t>
  </si>
  <si>
    <t xml:space="preserve">TK-01431</t>
  </si>
  <si>
    <t xml:space="preserve">TK-01432</t>
  </si>
  <si>
    <t xml:space="preserve">TK-01433</t>
  </si>
  <si>
    <t xml:space="preserve">TK-01434</t>
  </si>
  <si>
    <t xml:space="preserve">TK-01435</t>
  </si>
  <si>
    <t xml:space="preserve">TK-01436</t>
  </si>
  <si>
    <t xml:space="preserve">TK-01437</t>
  </si>
  <si>
    <t xml:space="preserve">TK-01438</t>
  </si>
  <si>
    <t xml:space="preserve">TK-01439</t>
  </si>
  <si>
    <t xml:space="preserve">TK-01440</t>
  </si>
  <si>
    <t xml:space="preserve">TK-01441</t>
  </si>
  <si>
    <t xml:space="preserve">TK-01442</t>
  </si>
  <si>
    <t xml:space="preserve">TK-01443</t>
  </si>
  <si>
    <t xml:space="preserve">TK-01444</t>
  </si>
  <si>
    <t xml:space="preserve">TK-01445</t>
  </si>
  <si>
    <t xml:space="preserve">TK-01446</t>
  </si>
  <si>
    <t xml:space="preserve">TK-01447</t>
  </si>
  <si>
    <t xml:space="preserve">TK-01448</t>
  </si>
  <si>
    <t xml:space="preserve">TK-01449</t>
  </si>
  <si>
    <t xml:space="preserve">TK-01450</t>
  </si>
  <si>
    <t xml:space="preserve">TK-01451</t>
  </si>
  <si>
    <t xml:space="preserve">TK-01452</t>
  </si>
  <si>
    <t xml:space="preserve">TK-01453</t>
  </si>
  <si>
    <t xml:space="preserve">TK-01454</t>
  </si>
  <si>
    <t xml:space="preserve">TK-01455</t>
  </si>
  <si>
    <t xml:space="preserve">TK-01456</t>
  </si>
  <si>
    <t xml:space="preserve">TK-01457</t>
  </si>
  <si>
    <t xml:space="preserve">TK-01458</t>
  </si>
  <si>
    <t xml:space="preserve">TK-01459</t>
  </si>
  <si>
    <t xml:space="preserve">TK-01460</t>
  </si>
  <si>
    <t xml:space="preserve">TK-01461</t>
  </si>
  <si>
    <t xml:space="preserve">TK-01462</t>
  </si>
  <si>
    <t xml:space="preserve">TK-01463</t>
  </si>
  <si>
    <t xml:space="preserve">TK-01464</t>
  </si>
  <si>
    <t xml:space="preserve">TK-01465</t>
  </si>
  <si>
    <t xml:space="preserve">TK-01466</t>
  </si>
  <si>
    <t xml:space="preserve">TK-01467</t>
  </si>
  <si>
    <t xml:space="preserve">TK-01468</t>
  </si>
  <si>
    <t xml:space="preserve">TK-01469</t>
  </si>
  <si>
    <t xml:space="preserve">TK-01470</t>
  </si>
  <si>
    <t xml:space="preserve">TK-01471</t>
  </si>
  <si>
    <t xml:space="preserve">TK-01472</t>
  </si>
  <si>
    <t xml:space="preserve">TK-01473</t>
  </si>
  <si>
    <t xml:space="preserve">TK-01474</t>
  </si>
  <si>
    <t xml:space="preserve">TK-01475</t>
  </si>
  <si>
    <t xml:space="preserve">TK-01476</t>
  </si>
  <si>
    <t xml:space="preserve">TK-01477</t>
  </si>
  <si>
    <t xml:space="preserve">TK-01478</t>
  </si>
  <si>
    <t xml:space="preserve">TK-01479</t>
  </si>
  <si>
    <t xml:space="preserve">TK-01480</t>
  </si>
  <si>
    <t xml:space="preserve">TK-01481</t>
  </si>
  <si>
    <t xml:space="preserve">TK-01482</t>
  </si>
  <si>
    <t xml:space="preserve">TK-01483</t>
  </si>
  <si>
    <t xml:space="preserve">TK-01484</t>
  </si>
  <si>
    <t xml:space="preserve">TK-01485</t>
  </si>
  <si>
    <t xml:space="preserve">TK-01486</t>
  </si>
  <si>
    <t xml:space="preserve">TK-01487</t>
  </si>
  <si>
    <t xml:space="preserve">TK-01488</t>
  </si>
  <si>
    <t xml:space="preserve">TK-01489</t>
  </si>
  <si>
    <t xml:space="preserve">TK-01490</t>
  </si>
  <si>
    <t xml:space="preserve">TK-01491</t>
  </si>
  <si>
    <t xml:space="preserve">TK-01492</t>
  </si>
  <si>
    <t xml:space="preserve">TK-01493</t>
  </si>
  <si>
    <t xml:space="preserve">TK-01494</t>
  </si>
  <si>
    <t xml:space="preserve">TK-01495</t>
  </si>
  <si>
    <t xml:space="preserve">TK-01496</t>
  </si>
  <si>
    <t xml:space="preserve">TK-01497</t>
  </si>
  <si>
    <t xml:space="preserve">TK-01498</t>
  </si>
  <si>
    <t xml:space="preserve">TK-01499</t>
  </si>
  <si>
    <t xml:space="preserve">TK-01500</t>
  </si>
  <si>
    <t xml:space="preserve">TK-01501</t>
  </si>
  <si>
    <t xml:space="preserve">TK-01502</t>
  </si>
  <si>
    <t xml:space="preserve">TK-01503</t>
  </si>
  <si>
    <t xml:space="preserve">TK-01504</t>
  </si>
  <si>
    <t xml:space="preserve">TK-01505</t>
  </si>
  <si>
    <t xml:space="preserve">TK-01506</t>
  </si>
  <si>
    <t xml:space="preserve">TK-01507</t>
  </si>
  <si>
    <t xml:space="preserve">TK-01508</t>
  </si>
  <si>
    <t xml:space="preserve">TK-01509</t>
  </si>
  <si>
    <t xml:space="preserve">TK-01510</t>
  </si>
  <si>
    <t xml:space="preserve">TK-01511</t>
  </si>
  <si>
    <t xml:space="preserve">TK-01512</t>
  </si>
  <si>
    <t xml:space="preserve">TK-01513</t>
  </si>
  <si>
    <t xml:space="preserve">TK-01514</t>
  </si>
  <si>
    <t xml:space="preserve">TK-01515</t>
  </si>
  <si>
    <t xml:space="preserve">TK-01516</t>
  </si>
  <si>
    <t xml:space="preserve">TK-01517</t>
  </si>
  <si>
    <t xml:space="preserve">TK-01518</t>
  </si>
  <si>
    <t xml:space="preserve">TK-01519</t>
  </si>
  <si>
    <t xml:space="preserve">TK-01520</t>
  </si>
  <si>
    <t xml:space="preserve">TK-01521</t>
  </si>
  <si>
    <t xml:space="preserve">TK-01522</t>
  </si>
  <si>
    <t xml:space="preserve">TK-01523</t>
  </si>
  <si>
    <t xml:space="preserve">TK-01524</t>
  </si>
  <si>
    <t xml:space="preserve">TK-01525</t>
  </si>
  <si>
    <t xml:space="preserve">TK-01526</t>
  </si>
  <si>
    <t xml:space="preserve">TK-01527</t>
  </si>
  <si>
    <t xml:space="preserve">TK-01528</t>
  </si>
  <si>
    <t xml:space="preserve">TK-01529</t>
  </si>
  <si>
    <t xml:space="preserve">TK-01530</t>
  </si>
  <si>
    <t xml:space="preserve">TK-01531</t>
  </si>
  <si>
    <t xml:space="preserve">TK-01532</t>
  </si>
  <si>
    <t xml:space="preserve">TK-01533</t>
  </si>
  <si>
    <t xml:space="preserve">TK-01534</t>
  </si>
  <si>
    <t xml:space="preserve">TK-01535</t>
  </si>
  <si>
    <t xml:space="preserve">TK-01536</t>
  </si>
  <si>
    <t xml:space="preserve">TK-01537</t>
  </si>
  <si>
    <t xml:space="preserve">TK-01538</t>
  </si>
  <si>
    <t xml:space="preserve">TK-01539</t>
  </si>
  <si>
    <t xml:space="preserve">TK-01540</t>
  </si>
  <si>
    <t xml:space="preserve">TK-01541</t>
  </si>
  <si>
    <t xml:space="preserve">TK-01542</t>
  </si>
  <si>
    <t xml:space="preserve">TK-01543</t>
  </si>
  <si>
    <t xml:space="preserve">TK-01544</t>
  </si>
  <si>
    <t xml:space="preserve">TK-01545</t>
  </si>
  <si>
    <t xml:space="preserve">TK-01546</t>
  </si>
  <si>
    <t xml:space="preserve">TK-01547</t>
  </si>
  <si>
    <t xml:space="preserve">TK-01548</t>
  </si>
  <si>
    <t xml:space="preserve">TK-01549</t>
  </si>
  <si>
    <t xml:space="preserve">TK-01550</t>
  </si>
  <si>
    <t xml:space="preserve">TK-01551</t>
  </si>
  <si>
    <t xml:space="preserve">TK-01552</t>
  </si>
  <si>
    <t xml:space="preserve">TK-01553</t>
  </si>
  <si>
    <t xml:space="preserve">TK-01554</t>
  </si>
  <si>
    <t xml:space="preserve">TK-01555</t>
  </si>
  <si>
    <t xml:space="preserve">TK-01556</t>
  </si>
  <si>
    <t xml:space="preserve">TK-01557</t>
  </si>
  <si>
    <t xml:space="preserve">TK-01558</t>
  </si>
  <si>
    <t xml:space="preserve">TK-01559</t>
  </si>
  <si>
    <t xml:space="preserve">TK-01560</t>
  </si>
  <si>
    <t xml:space="preserve">TK-01561</t>
  </si>
  <si>
    <t xml:space="preserve">TK-01562</t>
  </si>
  <si>
    <t xml:space="preserve">TK-01563</t>
  </si>
  <si>
    <t xml:space="preserve">TK-01564</t>
  </si>
  <si>
    <t xml:space="preserve">TK-01565</t>
  </si>
  <si>
    <t xml:space="preserve">TK-01566</t>
  </si>
  <si>
    <t xml:space="preserve">TK-01567</t>
  </si>
  <si>
    <t xml:space="preserve">TK-01568</t>
  </si>
  <si>
    <t xml:space="preserve">TK-01569</t>
  </si>
  <si>
    <t xml:space="preserve">TK-01570</t>
  </si>
  <si>
    <t xml:space="preserve">TK-01571</t>
  </si>
  <si>
    <t xml:space="preserve">TK-01572</t>
  </si>
  <si>
    <t xml:space="preserve">TK-01573</t>
  </si>
  <si>
    <t xml:space="preserve">TK-01574</t>
  </si>
  <si>
    <t xml:space="preserve">TK-01575</t>
  </si>
  <si>
    <t xml:space="preserve">TK-01576</t>
  </si>
  <si>
    <t xml:space="preserve">TK-01577</t>
  </si>
  <si>
    <t xml:space="preserve">TK-01578</t>
  </si>
  <si>
    <t xml:space="preserve">TK-01579</t>
  </si>
  <si>
    <t xml:space="preserve">TK-01580</t>
  </si>
  <si>
    <t xml:space="preserve">TK-01581</t>
  </si>
  <si>
    <t xml:space="preserve">TK-01582</t>
  </si>
  <si>
    <t xml:space="preserve">TK-01583</t>
  </si>
  <si>
    <t xml:space="preserve">TK-01584</t>
  </si>
  <si>
    <t xml:space="preserve">TK-01585</t>
  </si>
  <si>
    <t xml:space="preserve">TK-01586</t>
  </si>
  <si>
    <t xml:space="preserve">TK-01587</t>
  </si>
  <si>
    <t xml:space="preserve">TK-01588</t>
  </si>
  <si>
    <t xml:space="preserve">TK-01589</t>
  </si>
  <si>
    <t xml:space="preserve">TK-01590</t>
  </si>
  <si>
    <t xml:space="preserve">TK-01591</t>
  </si>
  <si>
    <t xml:space="preserve">TK-01592</t>
  </si>
  <si>
    <t xml:space="preserve">TK-01593</t>
  </si>
  <si>
    <t xml:space="preserve">TK-01594</t>
  </si>
  <si>
    <t xml:space="preserve">TK-01595</t>
  </si>
  <si>
    <t xml:space="preserve">TK-01596</t>
  </si>
  <si>
    <t xml:space="preserve">TK-01597</t>
  </si>
  <si>
    <t xml:space="preserve">TK-01598</t>
  </si>
  <si>
    <t xml:space="preserve">TK-01599</t>
  </si>
  <si>
    <t xml:space="preserve">TK-01600</t>
  </si>
  <si>
    <t xml:space="preserve">TK-01601</t>
  </si>
  <si>
    <t xml:space="preserve">TK-01602</t>
  </si>
  <si>
    <t xml:space="preserve">TK-01603</t>
  </si>
  <si>
    <t xml:space="preserve">TK-01604</t>
  </si>
  <si>
    <t xml:space="preserve">TK-01605</t>
  </si>
  <si>
    <t xml:space="preserve">TK-01606</t>
  </si>
  <si>
    <t xml:space="preserve">TK-01607</t>
  </si>
  <si>
    <t xml:space="preserve">TK-01608</t>
  </si>
  <si>
    <t xml:space="preserve">TK-01609</t>
  </si>
  <si>
    <t xml:space="preserve">TK-01610</t>
  </si>
  <si>
    <t xml:space="preserve">TK-01611</t>
  </si>
  <si>
    <t xml:space="preserve">TK-01612</t>
  </si>
  <si>
    <t xml:space="preserve">TK-01613</t>
  </si>
  <si>
    <t xml:space="preserve">TK-01614</t>
  </si>
  <si>
    <t xml:space="preserve">TK-01615</t>
  </si>
  <si>
    <t xml:space="preserve">TK-01616</t>
  </si>
  <si>
    <t xml:space="preserve">TK-01617</t>
  </si>
  <si>
    <t xml:space="preserve">TK-01618</t>
  </si>
  <si>
    <t xml:space="preserve">TK-01619</t>
  </si>
  <si>
    <t xml:space="preserve">TK-01620</t>
  </si>
  <si>
    <t xml:space="preserve">TK-01621</t>
  </si>
  <si>
    <t xml:space="preserve">TK-01622</t>
  </si>
  <si>
    <t xml:space="preserve">TK-01623</t>
  </si>
  <si>
    <t xml:space="preserve">TK-01624</t>
  </si>
  <si>
    <t xml:space="preserve">TK-01625</t>
  </si>
  <si>
    <t xml:space="preserve">TK-01626</t>
  </si>
  <si>
    <t xml:space="preserve">TK-01627</t>
  </si>
  <si>
    <t xml:space="preserve">TK-01628</t>
  </si>
  <si>
    <t xml:space="preserve">TK-01629</t>
  </si>
  <si>
    <t xml:space="preserve">TK-01630</t>
  </si>
  <si>
    <t xml:space="preserve">TK-01631</t>
  </si>
  <si>
    <t xml:space="preserve">TK-01632</t>
  </si>
  <si>
    <t xml:space="preserve">TK-01633</t>
  </si>
  <si>
    <t xml:space="preserve">TK-01634</t>
  </si>
  <si>
    <t xml:space="preserve">TK-01635</t>
  </si>
  <si>
    <t xml:space="preserve">TK-01636</t>
  </si>
  <si>
    <t xml:space="preserve">TK-01637</t>
  </si>
  <si>
    <t xml:space="preserve">TK-01638</t>
  </si>
  <si>
    <t xml:space="preserve">TK-01639</t>
  </si>
  <si>
    <t xml:space="preserve">TK-01640</t>
  </si>
  <si>
    <t xml:space="preserve">TK-01641</t>
  </si>
  <si>
    <t xml:space="preserve">TK-01642</t>
  </si>
  <si>
    <t xml:space="preserve">TK-01643</t>
  </si>
  <si>
    <t xml:space="preserve">TK-01644</t>
  </si>
  <si>
    <t xml:space="preserve">TK-01645</t>
  </si>
  <si>
    <t xml:space="preserve">TK-01646</t>
  </si>
  <si>
    <t xml:space="preserve">TK-01647</t>
  </si>
  <si>
    <t xml:space="preserve">TK-01648</t>
  </si>
  <si>
    <t xml:space="preserve">TK-01649</t>
  </si>
  <si>
    <t xml:space="preserve">TK-01650</t>
  </si>
  <si>
    <t xml:space="preserve">TK-01651</t>
  </si>
  <si>
    <t xml:space="preserve">TK-01652</t>
  </si>
  <si>
    <t xml:space="preserve">TK-01653</t>
  </si>
  <si>
    <t xml:space="preserve">TK-01654</t>
  </si>
  <si>
    <t xml:space="preserve">TK-01655</t>
  </si>
  <si>
    <t xml:space="preserve">TK-01656</t>
  </si>
  <si>
    <t xml:space="preserve">TK-01657</t>
  </si>
  <si>
    <t xml:space="preserve">TK-01658</t>
  </si>
  <si>
    <t xml:space="preserve">TK-01659</t>
  </si>
  <si>
    <t xml:space="preserve">TK-01660</t>
  </si>
  <si>
    <t xml:space="preserve">TK-01661</t>
  </si>
  <si>
    <t xml:space="preserve">TK-01662</t>
  </si>
  <si>
    <t xml:space="preserve">TK-01663</t>
  </si>
  <si>
    <t xml:space="preserve">TK-01664</t>
  </si>
  <si>
    <t xml:space="preserve">TK-01665</t>
  </si>
  <si>
    <t xml:space="preserve">TK-01666</t>
  </si>
  <si>
    <t xml:space="preserve">TK-01667</t>
  </si>
  <si>
    <t xml:space="preserve">TK-01668</t>
  </si>
  <si>
    <t xml:space="preserve">TK-01669</t>
  </si>
  <si>
    <t xml:space="preserve">TK-01670</t>
  </si>
  <si>
    <t xml:space="preserve">TK-01671</t>
  </si>
  <si>
    <t xml:space="preserve">TK-01672</t>
  </si>
  <si>
    <t xml:space="preserve">TK-01673</t>
  </si>
  <si>
    <t xml:space="preserve">TK-01674</t>
  </si>
  <si>
    <t xml:space="preserve">TK-01675</t>
  </si>
  <si>
    <t xml:space="preserve">TK-01676</t>
  </si>
  <si>
    <t xml:space="preserve">TK-01677</t>
  </si>
  <si>
    <t xml:space="preserve">TK-01678</t>
  </si>
  <si>
    <t xml:space="preserve">TK-01679</t>
  </si>
  <si>
    <t xml:space="preserve">TK-01680</t>
  </si>
  <si>
    <t xml:space="preserve">TK-01681</t>
  </si>
  <si>
    <t xml:space="preserve">TK-01682</t>
  </si>
  <si>
    <t xml:space="preserve">TK-01683</t>
  </si>
  <si>
    <t xml:space="preserve">TK-01684</t>
  </si>
  <si>
    <t xml:space="preserve">TK-01685</t>
  </si>
  <si>
    <t xml:space="preserve">TK-01686</t>
  </si>
  <si>
    <t xml:space="preserve">TK-01687</t>
  </si>
  <si>
    <t xml:space="preserve">TK-01688</t>
  </si>
  <si>
    <t xml:space="preserve">TK-01689</t>
  </si>
  <si>
    <t xml:space="preserve">TK-01690</t>
  </si>
  <si>
    <t xml:space="preserve">TK-01691</t>
  </si>
  <si>
    <t xml:space="preserve">TK-01692</t>
  </si>
  <si>
    <t xml:space="preserve">TK-01693</t>
  </si>
  <si>
    <t xml:space="preserve">TK-01694</t>
  </si>
  <si>
    <t xml:space="preserve">TK-01695</t>
  </si>
  <si>
    <t xml:space="preserve">TK-01696</t>
  </si>
  <si>
    <t xml:space="preserve">TK-01697</t>
  </si>
  <si>
    <t xml:space="preserve">TK-01698</t>
  </si>
  <si>
    <t xml:space="preserve">TK-01699</t>
  </si>
  <si>
    <t xml:space="preserve">TK-01700</t>
  </si>
  <si>
    <t xml:space="preserve">TK-01701</t>
  </si>
  <si>
    <t xml:space="preserve">TK-01702</t>
  </si>
  <si>
    <t xml:space="preserve">TK-01703</t>
  </si>
  <si>
    <t xml:space="preserve">TK-01704</t>
  </si>
  <si>
    <t xml:space="preserve">TK-01705</t>
  </si>
  <si>
    <t xml:space="preserve">TK-01706</t>
  </si>
  <si>
    <t xml:space="preserve">TK-01707</t>
  </si>
  <si>
    <t xml:space="preserve">TK-01708</t>
  </si>
  <si>
    <t xml:space="preserve">TK-01709</t>
  </si>
  <si>
    <t xml:space="preserve">TK-01710</t>
  </si>
  <si>
    <t xml:space="preserve">TK-01711</t>
  </si>
  <si>
    <t xml:space="preserve">TK-01712</t>
  </si>
  <si>
    <t xml:space="preserve">TK-01713</t>
  </si>
  <si>
    <t xml:space="preserve">TK-01714</t>
  </si>
  <si>
    <t xml:space="preserve">TK-01715</t>
  </si>
  <si>
    <t xml:space="preserve">TK-01716</t>
  </si>
  <si>
    <t xml:space="preserve">TK-01717</t>
  </si>
  <si>
    <t xml:space="preserve">TK-01718</t>
  </si>
  <si>
    <t xml:space="preserve">TK-01719</t>
  </si>
  <si>
    <t xml:space="preserve">TK-01720</t>
  </si>
  <si>
    <t xml:space="preserve">TK-01721</t>
  </si>
  <si>
    <t xml:space="preserve">TK-01722</t>
  </si>
  <si>
    <t xml:space="preserve">TK-01723</t>
  </si>
  <si>
    <t xml:space="preserve">TK-01724</t>
  </si>
  <si>
    <t xml:space="preserve">TK-01725</t>
  </si>
  <si>
    <t xml:space="preserve">TK-01726</t>
  </si>
  <si>
    <t xml:space="preserve">TK-01727</t>
  </si>
  <si>
    <t xml:space="preserve">TK-01728</t>
  </si>
  <si>
    <t xml:space="preserve">TK-01729</t>
  </si>
  <si>
    <t xml:space="preserve">TK-01730</t>
  </si>
  <si>
    <t xml:space="preserve">TK-01731</t>
  </si>
  <si>
    <t xml:space="preserve">TK-01732</t>
  </si>
  <si>
    <t xml:space="preserve">TK-01733</t>
  </si>
  <si>
    <t xml:space="preserve">TK-01734</t>
  </si>
  <si>
    <t xml:space="preserve">TK-01735</t>
  </si>
  <si>
    <t xml:space="preserve">TK-01736</t>
  </si>
  <si>
    <t xml:space="preserve">TK-01737</t>
  </si>
  <si>
    <t xml:space="preserve">TK-01738</t>
  </si>
  <si>
    <t xml:space="preserve">TK-01739</t>
  </si>
  <si>
    <t xml:space="preserve">TK-01740</t>
  </si>
  <si>
    <t xml:space="preserve">TK-01741</t>
  </si>
  <si>
    <t xml:space="preserve">TK-01742</t>
  </si>
  <si>
    <t xml:space="preserve">TK-01743</t>
  </si>
  <si>
    <t xml:space="preserve">TK-01744</t>
  </si>
  <si>
    <t xml:space="preserve">TK-01745</t>
  </si>
  <si>
    <t xml:space="preserve">TK-01746</t>
  </si>
  <si>
    <t xml:space="preserve">TK-01747</t>
  </si>
  <si>
    <t xml:space="preserve">TK-01748</t>
  </si>
  <si>
    <t xml:space="preserve">TK-01749</t>
  </si>
  <si>
    <t xml:space="preserve">TK-01750</t>
  </si>
  <si>
    <t xml:space="preserve">TK-01751</t>
  </si>
  <si>
    <t xml:space="preserve">TK-01752</t>
  </si>
  <si>
    <t xml:space="preserve">TK-01753</t>
  </si>
  <si>
    <t xml:space="preserve">TK-01754</t>
  </si>
  <si>
    <t xml:space="preserve">TK-01755</t>
  </si>
  <si>
    <t xml:space="preserve">TK-01756</t>
  </si>
  <si>
    <t xml:space="preserve">TK-01757</t>
  </si>
  <si>
    <t xml:space="preserve">TK-01758</t>
  </si>
  <si>
    <t xml:space="preserve">TK-01759</t>
  </si>
  <si>
    <t xml:space="preserve">TK-01760</t>
  </si>
  <si>
    <t xml:space="preserve">TK-01761</t>
  </si>
  <si>
    <t xml:space="preserve">TK-01762</t>
  </si>
  <si>
    <t xml:space="preserve">TK-01763</t>
  </si>
  <si>
    <t xml:space="preserve">TK-01764</t>
  </si>
  <si>
    <t xml:space="preserve">TK-01765</t>
  </si>
  <si>
    <t xml:space="preserve">TK-01766</t>
  </si>
  <si>
    <t xml:space="preserve">TK-01767</t>
  </si>
  <si>
    <t xml:space="preserve">TK-01768</t>
  </si>
  <si>
    <t xml:space="preserve">TK-01769</t>
  </si>
  <si>
    <t xml:space="preserve">TK-01770</t>
  </si>
  <si>
    <t xml:space="preserve">TK-01771</t>
  </si>
  <si>
    <t xml:space="preserve">TK-01772</t>
  </si>
  <si>
    <t xml:space="preserve">TK-01773</t>
  </si>
  <si>
    <t xml:space="preserve">TK-01774</t>
  </si>
  <si>
    <t xml:space="preserve">TK-01775</t>
  </si>
  <si>
    <t xml:space="preserve">TK-01776</t>
  </si>
  <si>
    <t xml:space="preserve">TK-01777</t>
  </si>
  <si>
    <t xml:space="preserve">TK-01778</t>
  </si>
  <si>
    <t xml:space="preserve">TK-01779</t>
  </si>
  <si>
    <t xml:space="preserve">TK-01780</t>
  </si>
  <si>
    <t xml:space="preserve">TK-01781</t>
  </si>
  <si>
    <t xml:space="preserve">TK-01782</t>
  </si>
  <si>
    <t xml:space="preserve">TK-01783</t>
  </si>
  <si>
    <t xml:space="preserve">TK-01784</t>
  </si>
  <si>
    <t xml:space="preserve">TK-01785</t>
  </si>
  <si>
    <t xml:space="preserve">TK-01786</t>
  </si>
  <si>
    <t xml:space="preserve">TK-01787</t>
  </si>
  <si>
    <t xml:space="preserve">TK-01788</t>
  </si>
  <si>
    <t xml:space="preserve">TK-01789</t>
  </si>
  <si>
    <t xml:space="preserve">TK-01790</t>
  </si>
  <si>
    <t xml:space="preserve">TK-01791</t>
  </si>
  <si>
    <t xml:space="preserve">TK-01792</t>
  </si>
  <si>
    <t xml:space="preserve">TK-01793</t>
  </si>
  <si>
    <t xml:space="preserve">TK-01794</t>
  </si>
  <si>
    <t xml:space="preserve">TK-01795</t>
  </si>
  <si>
    <t xml:space="preserve">TK-01796</t>
  </si>
  <si>
    <t xml:space="preserve">TK-01797</t>
  </si>
  <si>
    <t xml:space="preserve">TK-01798</t>
  </si>
  <si>
    <t xml:space="preserve">TK-01799</t>
  </si>
  <si>
    <t xml:space="preserve">TK-01800</t>
  </si>
  <si>
    <t xml:space="preserve">TK-01801</t>
  </si>
  <si>
    <t xml:space="preserve">TK-01802</t>
  </si>
  <si>
    <t xml:space="preserve">TK-01803</t>
  </si>
  <si>
    <t xml:space="preserve">TK-01804</t>
  </si>
  <si>
    <t xml:space="preserve">TK-01805</t>
  </si>
  <si>
    <t xml:space="preserve">TK-01806</t>
  </si>
  <si>
    <t xml:space="preserve">TK-01807</t>
  </si>
  <si>
    <t xml:space="preserve">TK-01808</t>
  </si>
  <si>
    <t xml:space="preserve">TK-01809</t>
  </si>
  <si>
    <t xml:space="preserve">TK-01810</t>
  </si>
  <si>
    <t xml:space="preserve">TK-01811</t>
  </si>
  <si>
    <t xml:space="preserve">TK-01812</t>
  </si>
  <si>
    <t xml:space="preserve">TK-01813</t>
  </si>
  <si>
    <t xml:space="preserve">TK-01814</t>
  </si>
  <si>
    <t xml:space="preserve">TK-01815</t>
  </si>
  <si>
    <t xml:space="preserve">TK-01816</t>
  </si>
  <si>
    <t xml:space="preserve">TK-01817</t>
  </si>
  <si>
    <t xml:space="preserve">TK-01818</t>
  </si>
  <si>
    <t xml:space="preserve">TK-01819</t>
  </si>
  <si>
    <t xml:space="preserve">TK-01820</t>
  </si>
  <si>
    <t xml:space="preserve">TK-01821</t>
  </si>
  <si>
    <t xml:space="preserve">TK-01822</t>
  </si>
  <si>
    <t xml:space="preserve">TK-01823</t>
  </si>
  <si>
    <t xml:space="preserve">TK-01824</t>
  </si>
  <si>
    <t xml:space="preserve">TK-01825</t>
  </si>
  <si>
    <t xml:space="preserve">TK-01826</t>
  </si>
  <si>
    <t xml:space="preserve">TK-01827</t>
  </si>
  <si>
    <t xml:space="preserve">TK-01828</t>
  </si>
  <si>
    <t xml:space="preserve">TK-01829</t>
  </si>
  <si>
    <t xml:space="preserve">TK-01830</t>
  </si>
  <si>
    <t xml:space="preserve">TK-01831</t>
  </si>
  <si>
    <t xml:space="preserve">TK-01832</t>
  </si>
  <si>
    <t xml:space="preserve">TK-01833</t>
  </si>
  <si>
    <t xml:space="preserve">TK-01834</t>
  </si>
  <si>
    <t xml:space="preserve">TK-01835</t>
  </si>
  <si>
    <t xml:space="preserve">TK-01836</t>
  </si>
  <si>
    <t xml:space="preserve">TK-01837</t>
  </si>
  <si>
    <t xml:space="preserve">TK-01838</t>
  </si>
  <si>
    <t xml:space="preserve">TK-01839</t>
  </si>
  <si>
    <t xml:space="preserve">TK-01840</t>
  </si>
  <si>
    <t xml:space="preserve">TK-01841</t>
  </si>
  <si>
    <t xml:space="preserve">TK-01842</t>
  </si>
  <si>
    <t xml:space="preserve">TK-01843</t>
  </si>
  <si>
    <t xml:space="preserve">TK-01844</t>
  </si>
  <si>
    <t xml:space="preserve">TK-01845</t>
  </si>
  <si>
    <t xml:space="preserve">TK-01846</t>
  </si>
  <si>
    <t xml:space="preserve">TK-01847</t>
  </si>
  <si>
    <t xml:space="preserve">TK-01848</t>
  </si>
  <si>
    <t xml:space="preserve">TK-01849</t>
  </si>
  <si>
    <t xml:space="preserve">TK-01850</t>
  </si>
  <si>
    <t xml:space="preserve">TK-01851</t>
  </si>
  <si>
    <t xml:space="preserve">TK-01852</t>
  </si>
  <si>
    <t xml:space="preserve">TK-01853</t>
  </si>
  <si>
    <t xml:space="preserve">TK-01854</t>
  </si>
  <si>
    <t xml:space="preserve">TK-01855</t>
  </si>
  <si>
    <t xml:space="preserve">TK-01856</t>
  </si>
  <si>
    <t xml:space="preserve">TK-01857</t>
  </si>
  <si>
    <t xml:space="preserve">TK-01858</t>
  </si>
  <si>
    <t xml:space="preserve">TK-01859</t>
  </si>
  <si>
    <t xml:space="preserve">TK-01860</t>
  </si>
  <si>
    <t xml:space="preserve">TK-01861</t>
  </si>
  <si>
    <t xml:space="preserve">TK-01862</t>
  </si>
  <si>
    <t xml:space="preserve">TK-01863</t>
  </si>
  <si>
    <t xml:space="preserve">TK-01864</t>
  </si>
  <si>
    <t xml:space="preserve">TK-01865</t>
  </si>
  <si>
    <t xml:space="preserve">TK-01866</t>
  </si>
  <si>
    <t xml:space="preserve">TK-01867</t>
  </si>
  <si>
    <t xml:space="preserve">TK-01868</t>
  </si>
  <si>
    <t xml:space="preserve">TK-01869</t>
  </si>
  <si>
    <t xml:space="preserve">TK-01870</t>
  </si>
  <si>
    <t xml:space="preserve">TK-01871</t>
  </si>
  <si>
    <t xml:space="preserve">TK-01872</t>
  </si>
  <si>
    <t xml:space="preserve">TK-01873</t>
  </si>
  <si>
    <t xml:space="preserve">TK-01874</t>
  </si>
  <si>
    <t xml:space="preserve">TK-01875</t>
  </si>
  <si>
    <t xml:space="preserve">TK-01876</t>
  </si>
  <si>
    <t xml:space="preserve">TK-01877</t>
  </si>
  <si>
    <t xml:space="preserve">TK-01878</t>
  </si>
  <si>
    <t xml:space="preserve">TK-01879</t>
  </si>
  <si>
    <t xml:space="preserve">TK-01880</t>
  </si>
  <si>
    <t xml:space="preserve">TK-01881</t>
  </si>
  <si>
    <t xml:space="preserve">TK-01882</t>
  </si>
  <si>
    <t xml:space="preserve">TK-01883</t>
  </si>
  <si>
    <t xml:space="preserve">TK-01884</t>
  </si>
  <si>
    <t xml:space="preserve">TK-01885</t>
  </si>
  <si>
    <t xml:space="preserve">TK-01886</t>
  </si>
  <si>
    <t xml:space="preserve">TK-01887</t>
  </si>
  <si>
    <t xml:space="preserve">TK-01888</t>
  </si>
  <si>
    <t xml:space="preserve">TK-01889</t>
  </si>
  <si>
    <t xml:space="preserve">TK-01890</t>
  </si>
  <si>
    <t xml:space="preserve">TK-01891</t>
  </si>
  <si>
    <t xml:space="preserve">TK-01892</t>
  </si>
  <si>
    <t xml:space="preserve">TK-01893</t>
  </si>
  <si>
    <t xml:space="preserve">TK-01894</t>
  </si>
  <si>
    <t xml:space="preserve">TK-01895</t>
  </si>
  <si>
    <t xml:space="preserve">TK-01896</t>
  </si>
  <si>
    <t xml:space="preserve">TK-01897</t>
  </si>
  <si>
    <t xml:space="preserve">TK-01898</t>
  </si>
  <si>
    <t xml:space="preserve">TK-01899</t>
  </si>
  <si>
    <t xml:space="preserve">TK-01900</t>
  </si>
  <si>
    <t xml:space="preserve">TK-01901</t>
  </si>
  <si>
    <t xml:space="preserve">TK-01902</t>
  </si>
  <si>
    <t xml:space="preserve">TK-01903</t>
  </si>
  <si>
    <t xml:space="preserve">TK-01904</t>
  </si>
  <si>
    <t xml:space="preserve">TK-01905</t>
  </si>
  <si>
    <t xml:space="preserve">TK-01906</t>
  </si>
  <si>
    <t xml:space="preserve">TK-01907</t>
  </si>
  <si>
    <t xml:space="preserve">TK-01908</t>
  </si>
  <si>
    <t xml:space="preserve">TK-01909</t>
  </si>
  <si>
    <t xml:space="preserve">TK-01910</t>
  </si>
  <si>
    <t xml:space="preserve">TK-01911</t>
  </si>
  <si>
    <t xml:space="preserve">TK-01912</t>
  </si>
  <si>
    <t xml:space="preserve">TK-01913</t>
  </si>
  <si>
    <t xml:space="preserve">TK-01914</t>
  </si>
  <si>
    <t xml:space="preserve">TK-01915</t>
  </si>
  <si>
    <t xml:space="preserve">TK-01916</t>
  </si>
  <si>
    <t xml:space="preserve">TK-01917</t>
  </si>
  <si>
    <t xml:space="preserve">TK-01918</t>
  </si>
  <si>
    <t xml:space="preserve">TK-01919</t>
  </si>
  <si>
    <t xml:space="preserve">TK-01920</t>
  </si>
  <si>
    <t xml:space="preserve">TK-01921</t>
  </si>
  <si>
    <t xml:space="preserve">TK-01922</t>
  </si>
  <si>
    <t xml:space="preserve">TK-01923</t>
  </si>
  <si>
    <t xml:space="preserve">TK-01924</t>
  </si>
  <si>
    <t xml:space="preserve">TK-01925</t>
  </si>
  <si>
    <t xml:space="preserve">TK-01926</t>
  </si>
  <si>
    <t xml:space="preserve">TK-01927</t>
  </si>
  <si>
    <t xml:space="preserve">TK-01928</t>
  </si>
  <si>
    <t xml:space="preserve">TK-01929</t>
  </si>
  <si>
    <t xml:space="preserve">TK-01930</t>
  </si>
  <si>
    <t xml:space="preserve">TK-01931</t>
  </si>
  <si>
    <t xml:space="preserve">TK-01932</t>
  </si>
  <si>
    <t xml:space="preserve">TK-01933</t>
  </si>
  <si>
    <t xml:space="preserve">TK-01934</t>
  </si>
  <si>
    <t xml:space="preserve">TK-01935</t>
  </si>
  <si>
    <t xml:space="preserve">TK-01936</t>
  </si>
  <si>
    <t xml:space="preserve">TK-01937</t>
  </si>
  <si>
    <t xml:space="preserve">TK-01938</t>
  </si>
  <si>
    <t xml:space="preserve">TK-01939</t>
  </si>
  <si>
    <t xml:space="preserve">TK-01940</t>
  </si>
  <si>
    <t xml:space="preserve">TK-01941</t>
  </si>
  <si>
    <t xml:space="preserve">TK-01942</t>
  </si>
  <si>
    <t xml:space="preserve">TK-01943</t>
  </si>
  <si>
    <t xml:space="preserve">TK-01944</t>
  </si>
  <si>
    <t xml:space="preserve">TK-01945</t>
  </si>
  <si>
    <t xml:space="preserve">TK-01946</t>
  </si>
  <si>
    <t xml:space="preserve">TK-01947</t>
  </si>
  <si>
    <t xml:space="preserve">TK-01948</t>
  </si>
  <si>
    <t xml:space="preserve">TK-01949</t>
  </si>
  <si>
    <t xml:space="preserve">TK-01950</t>
  </si>
  <si>
    <t xml:space="preserve">TK-01951</t>
  </si>
  <si>
    <t xml:space="preserve">TK-01952</t>
  </si>
  <si>
    <t xml:space="preserve">TK-01953</t>
  </si>
  <si>
    <t xml:space="preserve">TK-01954</t>
  </si>
  <si>
    <t xml:space="preserve">TK-01955</t>
  </si>
  <si>
    <t xml:space="preserve">TK-01956</t>
  </si>
  <si>
    <t xml:space="preserve">TK-01957</t>
  </si>
  <si>
    <t xml:space="preserve">TK-01958</t>
  </si>
  <si>
    <t xml:space="preserve">TK-01959</t>
  </si>
  <si>
    <t xml:space="preserve">TK-01960</t>
  </si>
  <si>
    <t xml:space="preserve">TK-01961</t>
  </si>
  <si>
    <t xml:space="preserve">TK-01962</t>
  </si>
  <si>
    <t xml:space="preserve">TK-01963</t>
  </si>
  <si>
    <t xml:space="preserve">TK-01964</t>
  </si>
  <si>
    <t xml:space="preserve">TK-01965</t>
  </si>
  <si>
    <t xml:space="preserve">TK-01966</t>
  </si>
  <si>
    <t xml:space="preserve">TK-01967</t>
  </si>
  <si>
    <t xml:space="preserve">TK-01968</t>
  </si>
  <si>
    <t xml:space="preserve">TK-01969</t>
  </si>
  <si>
    <t xml:space="preserve">TK-01970</t>
  </si>
  <si>
    <t xml:space="preserve">TK-01971</t>
  </si>
  <si>
    <t xml:space="preserve">TK-01972</t>
  </si>
  <si>
    <t xml:space="preserve">TK-01973</t>
  </si>
  <si>
    <t xml:space="preserve">TK-01974</t>
  </si>
  <si>
    <t xml:space="preserve">TK-01975</t>
  </si>
  <si>
    <t xml:space="preserve">TK-01976</t>
  </si>
  <si>
    <t xml:space="preserve">TK-01977</t>
  </si>
  <si>
    <t xml:space="preserve">TK-01978</t>
  </si>
  <si>
    <t xml:space="preserve">TK-01979</t>
  </si>
  <si>
    <t xml:space="preserve">TK-01980</t>
  </si>
  <si>
    <t xml:space="preserve">TK-01981</t>
  </si>
  <si>
    <t xml:space="preserve">TK-01982</t>
  </si>
  <si>
    <t xml:space="preserve">TK-01983</t>
  </si>
  <si>
    <t xml:space="preserve">TK-01984</t>
  </si>
  <si>
    <t xml:space="preserve">TK-01985</t>
  </si>
  <si>
    <t xml:space="preserve">TK-01986</t>
  </si>
  <si>
    <t xml:space="preserve">TK-01987</t>
  </si>
  <si>
    <t xml:space="preserve">TK-01988</t>
  </si>
  <si>
    <t xml:space="preserve">TK-01989</t>
  </si>
  <si>
    <t xml:space="preserve">TK-01990</t>
  </si>
  <si>
    <t xml:space="preserve">TK-01991</t>
  </si>
  <si>
    <t xml:space="preserve">TK-01992</t>
  </si>
  <si>
    <t xml:space="preserve">TK-01993</t>
  </si>
  <si>
    <t xml:space="preserve">TK-01994</t>
  </si>
  <si>
    <t xml:space="preserve">TK-01995</t>
  </si>
  <si>
    <t xml:space="preserve">TK-01996</t>
  </si>
  <si>
    <t xml:space="preserve">TK-01997</t>
  </si>
  <si>
    <t xml:space="preserve">TK-01998</t>
  </si>
  <si>
    <t xml:space="preserve">TK-01999</t>
  </si>
  <si>
    <t xml:space="preserve">TK-02000</t>
  </si>
  <si>
    <t xml:space="preserve">TK-02001</t>
  </si>
  <si>
    <t xml:space="preserve">TK-02002</t>
  </si>
  <si>
    <t xml:space="preserve">TK-02003</t>
  </si>
  <si>
    <t xml:space="preserve">TK-02004</t>
  </si>
  <si>
    <t xml:space="preserve">TK-02005</t>
  </si>
  <si>
    <t xml:space="preserve">TK-02006</t>
  </si>
  <si>
    <t xml:space="preserve">TK-02007</t>
  </si>
  <si>
    <t xml:space="preserve">TK-02008</t>
  </si>
  <si>
    <t xml:space="preserve">TK-02009</t>
  </si>
  <si>
    <t xml:space="preserve">TK-02010</t>
  </si>
  <si>
    <t xml:space="preserve">TK-02011</t>
  </si>
  <si>
    <t xml:space="preserve">TK-02012</t>
  </si>
  <si>
    <t xml:space="preserve">TK-02013</t>
  </si>
  <si>
    <t xml:space="preserve">TK-02014</t>
  </si>
  <si>
    <t xml:space="preserve">TK-02015</t>
  </si>
  <si>
    <t xml:space="preserve">TK-02016</t>
  </si>
  <si>
    <t xml:space="preserve">TK-02017</t>
  </si>
  <si>
    <t xml:space="preserve">TK-02018</t>
  </si>
  <si>
    <t xml:space="preserve">TK-02019</t>
  </si>
  <si>
    <t xml:space="preserve">TK-02020</t>
  </si>
  <si>
    <t xml:space="preserve">TK-02021</t>
  </si>
  <si>
    <t xml:space="preserve">TK-02022</t>
  </si>
  <si>
    <t xml:space="preserve">TK-02023</t>
  </si>
  <si>
    <t xml:space="preserve">TK-02024</t>
  </si>
  <si>
    <t xml:space="preserve">TK-02025</t>
  </si>
  <si>
    <t xml:space="preserve">TK-02026</t>
  </si>
  <si>
    <t xml:space="preserve">TK-02027</t>
  </si>
  <si>
    <t xml:space="preserve">TK-02028</t>
  </si>
  <si>
    <t xml:space="preserve">TK-02029</t>
  </si>
  <si>
    <t xml:space="preserve">TK-02030</t>
  </si>
  <si>
    <t xml:space="preserve">TK-02031</t>
  </si>
  <si>
    <t xml:space="preserve">TK-02032</t>
  </si>
  <si>
    <t xml:space="preserve">TK-02033</t>
  </si>
  <si>
    <t xml:space="preserve">TK-02034</t>
  </si>
  <si>
    <t xml:space="preserve">TK-02035</t>
  </si>
  <si>
    <t xml:space="preserve">TK-02036</t>
  </si>
  <si>
    <t xml:space="preserve">TK-02037</t>
  </si>
  <si>
    <t xml:space="preserve">TK-02038</t>
  </si>
  <si>
    <t xml:space="preserve">TK-02039</t>
  </si>
  <si>
    <t xml:space="preserve">TK-02040</t>
  </si>
  <si>
    <t xml:space="preserve">TK-02041</t>
  </si>
  <si>
    <t xml:space="preserve">TK-02042</t>
  </si>
  <si>
    <t xml:space="preserve">TK-02043</t>
  </si>
  <si>
    <t xml:space="preserve">TK-02044</t>
  </si>
  <si>
    <t xml:space="preserve">TK-02045</t>
  </si>
  <si>
    <t xml:space="preserve">TK-02046</t>
  </si>
  <si>
    <t xml:space="preserve">TK-02047</t>
  </si>
  <si>
    <t xml:space="preserve">TK-02048</t>
  </si>
  <si>
    <t xml:space="preserve">TK-02049</t>
  </si>
  <si>
    <t xml:space="preserve">TK-02050</t>
  </si>
  <si>
    <t xml:space="preserve">TK-02051</t>
  </si>
  <si>
    <t xml:space="preserve">TK-02052</t>
  </si>
  <si>
    <t xml:space="preserve">TK-02053</t>
  </si>
  <si>
    <t xml:space="preserve">TK-02054</t>
  </si>
  <si>
    <t xml:space="preserve">TK-02055</t>
  </si>
  <si>
    <t xml:space="preserve">TK-02056</t>
  </si>
  <si>
    <t xml:space="preserve">TK-02057</t>
  </si>
  <si>
    <t xml:space="preserve">TK-02058</t>
  </si>
  <si>
    <t xml:space="preserve">TK-02059</t>
  </si>
  <si>
    <t xml:space="preserve">TK-02060</t>
  </si>
  <si>
    <t xml:space="preserve">TK-02061</t>
  </si>
  <si>
    <t xml:space="preserve">TK-02062</t>
  </si>
  <si>
    <t xml:space="preserve">TK-02063</t>
  </si>
  <si>
    <t xml:space="preserve">TK-02064</t>
  </si>
  <si>
    <t xml:space="preserve">TK-02065</t>
  </si>
  <si>
    <t xml:space="preserve">TK-02066</t>
  </si>
  <si>
    <t xml:space="preserve">TK-02067</t>
  </si>
  <si>
    <t xml:space="preserve">TK-02068</t>
  </si>
  <si>
    <t xml:space="preserve">TK-02069</t>
  </si>
  <si>
    <t xml:space="preserve">TK-02070</t>
  </si>
  <si>
    <t xml:space="preserve">TK-02071</t>
  </si>
  <si>
    <t xml:space="preserve">TK-02072</t>
  </si>
  <si>
    <t xml:space="preserve">TK-02073</t>
  </si>
  <si>
    <t xml:space="preserve">TK-02074</t>
  </si>
  <si>
    <t xml:space="preserve">TK-02075</t>
  </si>
  <si>
    <t xml:space="preserve">TK-02076</t>
  </si>
  <si>
    <t xml:space="preserve">TK-02077</t>
  </si>
  <si>
    <t xml:space="preserve">TK-02078</t>
  </si>
  <si>
    <t xml:space="preserve">TK-02079</t>
  </si>
  <si>
    <t xml:space="preserve">TK-02080</t>
  </si>
  <si>
    <t xml:space="preserve">TK-02081</t>
  </si>
  <si>
    <t xml:space="preserve">TK-02082</t>
  </si>
  <si>
    <t xml:space="preserve">TK-02083</t>
  </si>
  <si>
    <t xml:space="preserve">TK-02084</t>
  </si>
  <si>
    <t xml:space="preserve">TK-02085</t>
  </si>
  <si>
    <t xml:space="preserve">TK-02086</t>
  </si>
  <si>
    <t xml:space="preserve">TK-02087</t>
  </si>
  <si>
    <t xml:space="preserve">TK-02088</t>
  </si>
  <si>
    <t xml:space="preserve">TK-02089</t>
  </si>
  <si>
    <t xml:space="preserve">TK-02090</t>
  </si>
  <si>
    <t xml:space="preserve">TK-02091</t>
  </si>
  <si>
    <t xml:space="preserve">TK-02092</t>
  </si>
  <si>
    <t xml:space="preserve">TK-02093</t>
  </si>
  <si>
    <t xml:space="preserve">TK-02094</t>
  </si>
  <si>
    <t xml:space="preserve">TK-02095</t>
  </si>
  <si>
    <t xml:space="preserve">TK-02096</t>
  </si>
  <si>
    <t xml:space="preserve">TK-02097</t>
  </si>
  <si>
    <t xml:space="preserve">TK-02098</t>
  </si>
  <si>
    <t xml:space="preserve">TK-02099</t>
  </si>
  <si>
    <t xml:space="preserve">TK-02100</t>
  </si>
  <si>
    <t xml:space="preserve">TK-02101</t>
  </si>
  <si>
    <t xml:space="preserve">TK-02102</t>
  </si>
  <si>
    <t xml:space="preserve">TK-02103</t>
  </si>
  <si>
    <t xml:space="preserve">TK-02104</t>
  </si>
  <si>
    <t xml:space="preserve">TK-02105</t>
  </si>
  <si>
    <t xml:space="preserve">TK-02106</t>
  </si>
  <si>
    <t xml:space="preserve">TK-02107</t>
  </si>
  <si>
    <t xml:space="preserve">TK-02108</t>
  </si>
  <si>
    <t xml:space="preserve">TK-02109</t>
  </si>
  <si>
    <t xml:space="preserve">TK-02110</t>
  </si>
  <si>
    <t xml:space="preserve">TK-02111</t>
  </si>
  <si>
    <t xml:space="preserve">TK-02112</t>
  </si>
  <si>
    <t xml:space="preserve">TK-02113</t>
  </si>
  <si>
    <t xml:space="preserve">TK-02114</t>
  </si>
  <si>
    <t xml:space="preserve">TK-02115</t>
  </si>
  <si>
    <t xml:space="preserve">TK-02116</t>
  </si>
  <si>
    <t xml:space="preserve">TK-02117</t>
  </si>
  <si>
    <t xml:space="preserve">TK-02118</t>
  </si>
  <si>
    <t xml:space="preserve">TK-02119</t>
  </si>
  <si>
    <t xml:space="preserve">TK-02120</t>
  </si>
  <si>
    <t xml:space="preserve">TK-02121</t>
  </si>
  <si>
    <t xml:space="preserve">TK-02122</t>
  </si>
  <si>
    <t xml:space="preserve">TK-02123</t>
  </si>
  <si>
    <t xml:space="preserve">TK-02124</t>
  </si>
  <si>
    <t xml:space="preserve">TK-02125</t>
  </si>
  <si>
    <t xml:space="preserve">TK-02126</t>
  </si>
  <si>
    <t xml:space="preserve">TK-02127</t>
  </si>
  <si>
    <t xml:space="preserve">TK-02128</t>
  </si>
  <si>
    <t xml:space="preserve">TK-02129</t>
  </si>
  <si>
    <t xml:space="preserve">TK-02130</t>
  </si>
  <si>
    <t xml:space="preserve">TK-02131</t>
  </si>
  <si>
    <t xml:space="preserve">TK-02132</t>
  </si>
  <si>
    <t xml:space="preserve">TK-02133</t>
  </si>
  <si>
    <t xml:space="preserve">TK-02134</t>
  </si>
  <si>
    <t xml:space="preserve">TK-02135</t>
  </si>
  <si>
    <t xml:space="preserve">TK-02136</t>
  </si>
  <si>
    <t xml:space="preserve">TK-02137</t>
  </si>
  <si>
    <t xml:space="preserve">TK-02138</t>
  </si>
  <si>
    <t xml:space="preserve">TK-02139</t>
  </si>
  <si>
    <t xml:space="preserve">TK-02140</t>
  </si>
  <si>
    <t xml:space="preserve">TK-02141</t>
  </si>
  <si>
    <t xml:space="preserve">TK-02142</t>
  </si>
  <si>
    <t xml:space="preserve">TK-02143</t>
  </si>
  <si>
    <t xml:space="preserve">TK-02144</t>
  </si>
  <si>
    <t xml:space="preserve">TK-02145</t>
  </si>
  <si>
    <t xml:space="preserve">TK-02146</t>
  </si>
  <si>
    <t xml:space="preserve">TK-02147</t>
  </si>
  <si>
    <t xml:space="preserve">TK-02148</t>
  </si>
  <si>
    <t xml:space="preserve">TK-02149</t>
  </si>
  <si>
    <t xml:space="preserve">TK-02150</t>
  </si>
  <si>
    <t xml:space="preserve">TK-02151</t>
  </si>
  <si>
    <t xml:space="preserve">TK-02152</t>
  </si>
  <si>
    <t xml:space="preserve">TK-02153</t>
  </si>
  <si>
    <t xml:space="preserve">TK-02154</t>
  </si>
  <si>
    <t xml:space="preserve">TK-02155</t>
  </si>
  <si>
    <t xml:space="preserve">TK-02156</t>
  </si>
  <si>
    <t xml:space="preserve">TK-02157</t>
  </si>
  <si>
    <t xml:space="preserve">TK-02158</t>
  </si>
  <si>
    <t xml:space="preserve">TK-02159</t>
  </si>
  <si>
    <t xml:space="preserve">TK-02160</t>
  </si>
  <si>
    <t xml:space="preserve">TK-02161</t>
  </si>
  <si>
    <t xml:space="preserve">TK-02162</t>
  </si>
  <si>
    <t xml:space="preserve">TK-02163</t>
  </si>
  <si>
    <t xml:space="preserve">TK-02164</t>
  </si>
  <si>
    <t xml:space="preserve">TK-02165</t>
  </si>
  <si>
    <t xml:space="preserve">TK-02166</t>
  </si>
  <si>
    <t xml:space="preserve">TK-02167</t>
  </si>
  <si>
    <t xml:space="preserve">TK-02168</t>
  </si>
  <si>
    <t xml:space="preserve">TK-02169</t>
  </si>
  <si>
    <t xml:space="preserve">TK-02170</t>
  </si>
  <si>
    <t xml:space="preserve">TK-02171</t>
  </si>
  <si>
    <t xml:space="preserve">TK-02172</t>
  </si>
  <si>
    <t xml:space="preserve">TK-02173</t>
  </si>
  <si>
    <t xml:space="preserve">TK-02174</t>
  </si>
  <si>
    <t xml:space="preserve">TK-02175</t>
  </si>
  <si>
    <t xml:space="preserve">TK-02176</t>
  </si>
  <si>
    <t xml:space="preserve">TK-02177</t>
  </si>
  <si>
    <t xml:space="preserve">TK-02178</t>
  </si>
  <si>
    <t xml:space="preserve">TK-02179</t>
  </si>
  <si>
    <t xml:space="preserve">TK-02180</t>
  </si>
  <si>
    <t xml:space="preserve">TK-02181</t>
  </si>
  <si>
    <t xml:space="preserve">TK-02182</t>
  </si>
  <si>
    <t xml:space="preserve">TK-02183</t>
  </si>
  <si>
    <t xml:space="preserve">TK-02184</t>
  </si>
  <si>
    <t xml:space="preserve">TK-02185</t>
  </si>
  <si>
    <t xml:space="preserve">TK-02186</t>
  </si>
  <si>
    <t xml:space="preserve">TK-02187</t>
  </si>
  <si>
    <t xml:space="preserve">TK-02188</t>
  </si>
  <si>
    <t xml:space="preserve">TK-02189</t>
  </si>
  <si>
    <t xml:space="preserve">TK-02190</t>
  </si>
  <si>
    <t xml:space="preserve">TK-02191</t>
  </si>
  <si>
    <t xml:space="preserve">TK-02192</t>
  </si>
  <si>
    <t xml:space="preserve">TK-02193</t>
  </si>
  <si>
    <t xml:space="preserve">TK-02194</t>
  </si>
  <si>
    <t xml:space="preserve">TK-02195</t>
  </si>
  <si>
    <t xml:space="preserve">TK-02196</t>
  </si>
  <si>
    <t xml:space="preserve">TK-02197</t>
  </si>
  <si>
    <t xml:space="preserve">TK-02198</t>
  </si>
  <si>
    <t xml:space="preserve">TK-02199</t>
  </si>
  <si>
    <t xml:space="preserve">TK-02200</t>
  </si>
  <si>
    <t xml:space="preserve">TK-02201</t>
  </si>
  <si>
    <t xml:space="preserve">TK-02202</t>
  </si>
  <si>
    <t xml:space="preserve">TK-02203</t>
  </si>
  <si>
    <t xml:space="preserve">TK-02204</t>
  </si>
  <si>
    <t xml:space="preserve">TK-02205</t>
  </si>
  <si>
    <t xml:space="preserve">TK-02206</t>
  </si>
  <si>
    <t xml:space="preserve">TK-02207</t>
  </si>
  <si>
    <t xml:space="preserve">TK-02208</t>
  </si>
  <si>
    <t xml:space="preserve">TK-02209</t>
  </si>
  <si>
    <t xml:space="preserve">TK-02210</t>
  </si>
  <si>
    <t xml:space="preserve">TK-02211</t>
  </si>
  <si>
    <t xml:space="preserve">TK-02212</t>
  </si>
  <si>
    <t xml:space="preserve">TK-02213</t>
  </si>
  <si>
    <t xml:space="preserve">TK-02214</t>
  </si>
  <si>
    <t xml:space="preserve">TK-02215</t>
  </si>
  <si>
    <t xml:space="preserve">TK-02216</t>
  </si>
  <si>
    <t xml:space="preserve">TK-02217</t>
  </si>
  <si>
    <t xml:space="preserve">TK-02218</t>
  </si>
  <si>
    <t xml:space="preserve">TK-02219</t>
  </si>
  <si>
    <t xml:space="preserve">TK-02220</t>
  </si>
  <si>
    <t xml:space="preserve">TK-02221</t>
  </si>
  <si>
    <t xml:space="preserve">TK-02222</t>
  </si>
  <si>
    <t xml:space="preserve">TK-02223</t>
  </si>
  <si>
    <t xml:space="preserve">TK-02224</t>
  </si>
  <si>
    <t xml:space="preserve">TK-02225</t>
  </si>
  <si>
    <t xml:space="preserve">TK-02226</t>
  </si>
  <si>
    <t xml:space="preserve">TK-02227</t>
  </si>
  <si>
    <t xml:space="preserve">TK-02228</t>
  </si>
  <si>
    <t xml:space="preserve">TK-02229</t>
  </si>
  <si>
    <t xml:space="preserve">TK-02230</t>
  </si>
  <si>
    <t xml:space="preserve">TK-02231</t>
  </si>
  <si>
    <t xml:space="preserve">TK-02232</t>
  </si>
  <si>
    <t xml:space="preserve">TK-02233</t>
  </si>
  <si>
    <t xml:space="preserve">TK-02234</t>
  </si>
  <si>
    <t xml:space="preserve">TK-02235</t>
  </si>
  <si>
    <t xml:space="preserve">TK-02236</t>
  </si>
  <si>
    <t xml:space="preserve">TK-02237</t>
  </si>
  <si>
    <t xml:space="preserve">TK-02238</t>
  </si>
  <si>
    <t xml:space="preserve">TK-02239</t>
  </si>
  <si>
    <t xml:space="preserve">TK-02240</t>
  </si>
  <si>
    <t xml:space="preserve">TK-02241</t>
  </si>
  <si>
    <t xml:space="preserve">TK-02242</t>
  </si>
  <si>
    <t xml:space="preserve">TK-02243</t>
  </si>
  <si>
    <t xml:space="preserve">TK-02244</t>
  </si>
  <si>
    <t xml:space="preserve">TK-02245</t>
  </si>
  <si>
    <t xml:space="preserve">TK-02246</t>
  </si>
  <si>
    <t xml:space="preserve">TK-02247</t>
  </si>
  <si>
    <t xml:space="preserve">TK-02248</t>
  </si>
  <si>
    <t xml:space="preserve">TK-02249</t>
  </si>
  <si>
    <t xml:space="preserve">TK-02250</t>
  </si>
  <si>
    <t xml:space="preserve">TK-02251</t>
  </si>
  <si>
    <t xml:space="preserve">TK-02252</t>
  </si>
  <si>
    <t xml:space="preserve">TK-02253</t>
  </si>
  <si>
    <t xml:space="preserve">TK-02254</t>
  </si>
  <si>
    <t xml:space="preserve">TK-02255</t>
  </si>
  <si>
    <t xml:space="preserve">TK-02256</t>
  </si>
  <si>
    <t xml:space="preserve">TK-02257</t>
  </si>
  <si>
    <t xml:space="preserve">TK-02258</t>
  </si>
  <si>
    <t xml:space="preserve">TK-02259</t>
  </si>
  <si>
    <t xml:space="preserve">TK-02260</t>
  </si>
  <si>
    <t xml:space="preserve">TK-02261</t>
  </si>
  <si>
    <t xml:space="preserve">TK-02262</t>
  </si>
  <si>
    <t xml:space="preserve">TK-02263</t>
  </si>
  <si>
    <t xml:space="preserve">TK-02264</t>
  </si>
  <si>
    <t xml:space="preserve">TK-02265</t>
  </si>
  <si>
    <t xml:space="preserve">TK-02266</t>
  </si>
  <si>
    <t xml:space="preserve">TK-02267</t>
  </si>
  <si>
    <t xml:space="preserve">TK-02268</t>
  </si>
  <si>
    <t xml:space="preserve">TK-02269</t>
  </si>
  <si>
    <t xml:space="preserve">TK-02270</t>
  </si>
  <si>
    <t xml:space="preserve">TK-02271</t>
  </si>
  <si>
    <t xml:space="preserve">TK-02272</t>
  </si>
  <si>
    <t xml:space="preserve">TK-02273</t>
  </si>
  <si>
    <t xml:space="preserve">TK-02274</t>
  </si>
  <si>
    <t xml:space="preserve">TK-02275</t>
  </si>
  <si>
    <t xml:space="preserve">TK-02276</t>
  </si>
  <si>
    <t xml:space="preserve">TK-02277</t>
  </si>
  <si>
    <t xml:space="preserve">TK-02278</t>
  </si>
  <si>
    <t xml:space="preserve">TK-02279</t>
  </si>
  <si>
    <t xml:space="preserve">TK-02280</t>
  </si>
  <si>
    <t xml:space="preserve">TK-02281</t>
  </si>
  <si>
    <t xml:space="preserve">TK-02282</t>
  </si>
  <si>
    <t xml:space="preserve">TK-02283</t>
  </si>
  <si>
    <t xml:space="preserve">TK-02284</t>
  </si>
  <si>
    <t xml:space="preserve">TK-02285</t>
  </si>
  <si>
    <t xml:space="preserve">TK-02286</t>
  </si>
  <si>
    <t xml:space="preserve">TK-02287</t>
  </si>
  <si>
    <t xml:space="preserve">TK-02288</t>
  </si>
  <si>
    <t xml:space="preserve">TK-02289</t>
  </si>
  <si>
    <t xml:space="preserve">TK-02290</t>
  </si>
  <si>
    <t xml:space="preserve">TK-02291</t>
  </si>
  <si>
    <t xml:space="preserve">TK-02292</t>
  </si>
  <si>
    <t xml:space="preserve">TK-02293</t>
  </si>
  <si>
    <t xml:space="preserve">TK-02294</t>
  </si>
  <si>
    <t xml:space="preserve">TK-02295</t>
  </si>
  <si>
    <t xml:space="preserve">TK-02296</t>
  </si>
  <si>
    <t xml:space="preserve">TK-02297</t>
  </si>
  <si>
    <t xml:space="preserve">TK-02298</t>
  </si>
  <si>
    <t xml:space="preserve">TK-02299</t>
  </si>
  <si>
    <t xml:space="preserve">TK-02300</t>
  </si>
  <si>
    <t xml:space="preserve">TK-02301</t>
  </si>
  <si>
    <t xml:space="preserve">TK-02302</t>
  </si>
  <si>
    <t xml:space="preserve">TK-02303</t>
  </si>
  <si>
    <t xml:space="preserve">TK-02304</t>
  </si>
  <si>
    <t xml:space="preserve">TK-02305</t>
  </si>
  <si>
    <t xml:space="preserve">TK-02306</t>
  </si>
  <si>
    <t xml:space="preserve">TK-02307</t>
  </si>
  <si>
    <t xml:space="preserve">TK-02308</t>
  </si>
  <si>
    <t xml:space="preserve">TK-02309</t>
  </si>
  <si>
    <t xml:space="preserve">TK-02310</t>
  </si>
  <si>
    <t xml:space="preserve">TK-02311</t>
  </si>
  <si>
    <t xml:space="preserve">TK-02312</t>
  </si>
  <si>
    <t xml:space="preserve">TK-02313</t>
  </si>
  <si>
    <t xml:space="preserve">TK-02314</t>
  </si>
  <si>
    <t xml:space="preserve">TK-02315</t>
  </si>
  <si>
    <t xml:space="preserve">TK-02316</t>
  </si>
  <si>
    <t xml:space="preserve">TK-02317</t>
  </si>
  <si>
    <t xml:space="preserve">TK-02318</t>
  </si>
  <si>
    <t xml:space="preserve">TK-02319</t>
  </si>
  <si>
    <t xml:space="preserve">TK-02320</t>
  </si>
  <si>
    <t xml:space="preserve">TK-02321</t>
  </si>
  <si>
    <t xml:space="preserve">TK-02322</t>
  </si>
  <si>
    <t xml:space="preserve">TK-02323</t>
  </si>
  <si>
    <t xml:space="preserve">TK-02324</t>
  </si>
  <si>
    <t xml:space="preserve">TK-02325</t>
  </si>
  <si>
    <t xml:space="preserve">TK-02326</t>
  </si>
  <si>
    <t xml:space="preserve">TK-02327</t>
  </si>
  <si>
    <t xml:space="preserve">TK-02328</t>
  </si>
  <si>
    <t xml:space="preserve">TK-02329</t>
  </si>
  <si>
    <t xml:space="preserve">TK-02330</t>
  </si>
  <si>
    <t xml:space="preserve">TK-02331</t>
  </si>
  <si>
    <t xml:space="preserve">TK-02332</t>
  </si>
  <si>
    <t xml:space="preserve">TK-02333</t>
  </si>
  <si>
    <t xml:space="preserve">TK-02334</t>
  </si>
  <si>
    <t xml:space="preserve">TK-02335</t>
  </si>
  <si>
    <t xml:space="preserve">TK-02336</t>
  </si>
  <si>
    <t xml:space="preserve">TK-02337</t>
  </si>
  <si>
    <t xml:space="preserve">TK-02338</t>
  </si>
  <si>
    <t xml:space="preserve">TK-02339</t>
  </si>
  <si>
    <t xml:space="preserve">TK-02340</t>
  </si>
  <si>
    <t xml:space="preserve">TK-02341</t>
  </si>
  <si>
    <t xml:space="preserve">TK-02342</t>
  </si>
  <si>
    <t xml:space="preserve">TK-02343</t>
  </si>
  <si>
    <t xml:space="preserve">TK-02344</t>
  </si>
  <si>
    <t xml:space="preserve">TK-02345</t>
  </si>
  <si>
    <t xml:space="preserve">TK-02346</t>
  </si>
  <si>
    <t xml:space="preserve">TK-02347</t>
  </si>
  <si>
    <t xml:space="preserve">TK-02348</t>
  </si>
  <si>
    <t xml:space="preserve">TK-02349</t>
  </si>
  <si>
    <t xml:space="preserve">TK-02350</t>
  </si>
  <si>
    <t xml:space="preserve">TK-02351</t>
  </si>
  <si>
    <t xml:space="preserve">TK-02352</t>
  </si>
  <si>
    <t xml:space="preserve">TK-02353</t>
  </si>
  <si>
    <t xml:space="preserve">TK-02354</t>
  </si>
  <si>
    <t xml:space="preserve">TK-02355</t>
  </si>
  <si>
    <t xml:space="preserve">TK-02356</t>
  </si>
  <si>
    <t xml:space="preserve">TK-02357</t>
  </si>
  <si>
    <t xml:space="preserve">TK-02358</t>
  </si>
  <si>
    <t xml:space="preserve">TK-02359</t>
  </si>
  <si>
    <t xml:space="preserve">TK-02360</t>
  </si>
  <si>
    <t xml:space="preserve">TK-02361</t>
  </si>
  <si>
    <t xml:space="preserve">TK-02362</t>
  </si>
  <si>
    <t xml:space="preserve">TK-02363</t>
  </si>
  <si>
    <t xml:space="preserve">TK-02364</t>
  </si>
  <si>
    <t xml:space="preserve">TK-02365</t>
  </si>
  <si>
    <t xml:space="preserve">TK-02366</t>
  </si>
  <si>
    <t xml:space="preserve">TK-02367</t>
  </si>
  <si>
    <t xml:space="preserve">TK-02368</t>
  </si>
  <si>
    <t xml:space="preserve">TK-02369</t>
  </si>
  <si>
    <t xml:space="preserve">TK-02370</t>
  </si>
  <si>
    <t xml:space="preserve">TK-02371</t>
  </si>
  <si>
    <t xml:space="preserve">TK-02372</t>
  </si>
  <si>
    <t xml:space="preserve">TK-02373</t>
  </si>
  <si>
    <t xml:space="preserve">TK-02374</t>
  </si>
  <si>
    <t xml:space="preserve">TK-02375</t>
  </si>
  <si>
    <t xml:space="preserve">TK-02376</t>
  </si>
  <si>
    <t xml:space="preserve">TK-02377</t>
  </si>
  <si>
    <t xml:space="preserve">TK-02378</t>
  </si>
  <si>
    <t xml:space="preserve">TK-02379</t>
  </si>
  <si>
    <t xml:space="preserve">TK-02380</t>
  </si>
  <si>
    <t xml:space="preserve">TK-02381</t>
  </si>
  <si>
    <t xml:space="preserve">TK-02382</t>
  </si>
  <si>
    <t xml:space="preserve">TK-02383</t>
  </si>
  <si>
    <t xml:space="preserve">TK-02384</t>
  </si>
  <si>
    <t xml:space="preserve">TK-02385</t>
  </si>
  <si>
    <t xml:space="preserve">TK-02386</t>
  </si>
  <si>
    <t xml:space="preserve">TK-02387</t>
  </si>
  <si>
    <t xml:space="preserve">TK-02388</t>
  </si>
  <si>
    <t xml:space="preserve">TK-02389</t>
  </si>
  <si>
    <t xml:space="preserve">TK-02390</t>
  </si>
  <si>
    <t xml:space="preserve">TK-02391</t>
  </si>
  <si>
    <t xml:space="preserve">TK-02392</t>
  </si>
  <si>
    <t xml:space="preserve">TK-02393</t>
  </si>
  <si>
    <t xml:space="preserve">TK-02394</t>
  </si>
  <si>
    <t xml:space="preserve">TK-02395</t>
  </si>
  <si>
    <t xml:space="preserve">TK-02396</t>
  </si>
  <si>
    <t xml:space="preserve">TK-02397</t>
  </si>
  <si>
    <t xml:space="preserve">TK-02398</t>
  </si>
  <si>
    <t xml:space="preserve">TK-02399</t>
  </si>
  <si>
    <t xml:space="preserve">TK-02400</t>
  </si>
  <si>
    <t xml:space="preserve">TK-02401</t>
  </si>
  <si>
    <t xml:space="preserve">TK-02402</t>
  </si>
  <si>
    <t xml:space="preserve">TK-02403</t>
  </si>
  <si>
    <t xml:space="preserve">TK-02404</t>
  </si>
  <si>
    <t xml:space="preserve">TK-02405</t>
  </si>
  <si>
    <t xml:space="preserve">TK-02406</t>
  </si>
  <si>
    <t xml:space="preserve">TK-02407</t>
  </si>
  <si>
    <t xml:space="preserve">TK-02408</t>
  </si>
  <si>
    <t xml:space="preserve">TK-02409</t>
  </si>
  <si>
    <t xml:space="preserve">TK-02410</t>
  </si>
  <si>
    <t xml:space="preserve">TK-02411</t>
  </si>
  <si>
    <t xml:space="preserve">TK-02412</t>
  </si>
  <si>
    <t xml:space="preserve">TK-02413</t>
  </si>
  <si>
    <t xml:space="preserve">TK-02414</t>
  </si>
  <si>
    <t xml:space="preserve">TK-02415</t>
  </si>
  <si>
    <t xml:space="preserve">TK-02416</t>
  </si>
  <si>
    <t xml:space="preserve">TK-02417</t>
  </si>
  <si>
    <t xml:space="preserve">TK-02418</t>
  </si>
  <si>
    <t xml:space="preserve">TK-02419</t>
  </si>
  <si>
    <t xml:space="preserve">TK-02420</t>
  </si>
  <si>
    <t xml:space="preserve">TK-02421</t>
  </si>
  <si>
    <t xml:space="preserve">TK-02422</t>
  </si>
  <si>
    <t xml:space="preserve">TK-02423</t>
  </si>
  <si>
    <t xml:space="preserve">TK-02424</t>
  </si>
  <si>
    <t xml:space="preserve">TK-02425</t>
  </si>
  <si>
    <t xml:space="preserve">TK-02426</t>
  </si>
  <si>
    <t xml:space="preserve">TK-02427</t>
  </si>
  <si>
    <t xml:space="preserve">TK-02428</t>
  </si>
  <si>
    <t xml:space="preserve">TK-02429</t>
  </si>
  <si>
    <t xml:space="preserve">TK-02430</t>
  </si>
  <si>
    <t xml:space="preserve">TK-02431</t>
  </si>
  <si>
    <t xml:space="preserve">TK-02432</t>
  </si>
  <si>
    <t xml:space="preserve">TK-02433</t>
  </si>
  <si>
    <t xml:space="preserve">TK-02434</t>
  </si>
  <si>
    <t xml:space="preserve">TK-02435</t>
  </si>
  <si>
    <t xml:space="preserve">TK-02436</t>
  </si>
  <si>
    <t xml:space="preserve">TK-02437</t>
  </si>
  <si>
    <t xml:space="preserve">TK-02438</t>
  </si>
  <si>
    <t xml:space="preserve">TK-02439</t>
  </si>
  <si>
    <t xml:space="preserve">TK-02440</t>
  </si>
  <si>
    <t xml:space="preserve">TK-02441</t>
  </si>
  <si>
    <t xml:space="preserve">TK-02442</t>
  </si>
  <si>
    <t xml:space="preserve">TK-02443</t>
  </si>
  <si>
    <t xml:space="preserve">TK-02444</t>
  </si>
  <si>
    <t xml:space="preserve">TK-02445</t>
  </si>
  <si>
    <t xml:space="preserve">TK-02446</t>
  </si>
  <si>
    <t xml:space="preserve">TK-02447</t>
  </si>
  <si>
    <t xml:space="preserve">TK-02448</t>
  </si>
  <si>
    <t xml:space="preserve">TK-02449</t>
  </si>
  <si>
    <t xml:space="preserve">TK-02450</t>
  </si>
  <si>
    <t xml:space="preserve">TK-02451</t>
  </si>
  <si>
    <t xml:space="preserve">TK-02452</t>
  </si>
  <si>
    <t xml:space="preserve">TK-02453</t>
  </si>
  <si>
    <t xml:space="preserve">TK-02454</t>
  </si>
  <si>
    <t xml:space="preserve">TK-02455</t>
  </si>
  <si>
    <t xml:space="preserve">TK-02456</t>
  </si>
  <si>
    <t xml:space="preserve">TK-02457</t>
  </si>
  <si>
    <t xml:space="preserve">TK-02458</t>
  </si>
  <si>
    <t xml:space="preserve">TK-02459</t>
  </si>
  <si>
    <t xml:space="preserve">TK-02460</t>
  </si>
  <si>
    <t xml:space="preserve">TK-02461</t>
  </si>
  <si>
    <t xml:space="preserve">TK-02462</t>
  </si>
  <si>
    <t xml:space="preserve">TK-02463</t>
  </si>
  <si>
    <t xml:space="preserve">TK-02464</t>
  </si>
  <si>
    <t xml:space="preserve">TK-02465</t>
  </si>
  <si>
    <t xml:space="preserve">TK-02466</t>
  </si>
  <si>
    <t xml:space="preserve">TK-02467</t>
  </si>
  <si>
    <t xml:space="preserve">TK-02468</t>
  </si>
  <si>
    <t xml:space="preserve">TK-02469</t>
  </si>
  <si>
    <t xml:space="preserve">TK-02470</t>
  </si>
  <si>
    <t xml:space="preserve">TK-02471</t>
  </si>
  <si>
    <t xml:space="preserve">TK-02472</t>
  </si>
  <si>
    <t xml:space="preserve">TK-02473</t>
  </si>
  <si>
    <t xml:space="preserve">TK-02474</t>
  </si>
  <si>
    <t xml:space="preserve">TK-02475</t>
  </si>
  <si>
    <t xml:space="preserve">TK-02476</t>
  </si>
  <si>
    <t xml:space="preserve">TK-02477</t>
  </si>
  <si>
    <t xml:space="preserve">TK-02478</t>
  </si>
  <si>
    <t xml:space="preserve">TK-02479</t>
  </si>
  <si>
    <t xml:space="preserve">TK-02480</t>
  </si>
  <si>
    <t xml:space="preserve">TK-02481</t>
  </si>
  <si>
    <t xml:space="preserve">TK-02482</t>
  </si>
  <si>
    <t xml:space="preserve">TK-02483</t>
  </si>
  <si>
    <t xml:space="preserve">TK-02484</t>
  </si>
  <si>
    <t xml:space="preserve">TK-02485</t>
  </si>
  <si>
    <t xml:space="preserve">TK-02486</t>
  </si>
  <si>
    <t xml:space="preserve">TK-02487</t>
  </si>
  <si>
    <t xml:space="preserve">TK-02488</t>
  </si>
  <si>
    <t xml:space="preserve">TK-02489</t>
  </si>
  <si>
    <t xml:space="preserve">TK-02490</t>
  </si>
  <si>
    <t xml:space="preserve">TK-02491</t>
  </si>
  <si>
    <t xml:space="preserve">TK-02492</t>
  </si>
  <si>
    <t xml:space="preserve">TK-02493</t>
  </si>
  <si>
    <t xml:space="preserve">TK-02494</t>
  </si>
  <si>
    <t xml:space="preserve">TK-02495</t>
  </si>
  <si>
    <t xml:space="preserve">TK-02496</t>
  </si>
  <si>
    <t xml:space="preserve">TK-02497</t>
  </si>
  <si>
    <t xml:space="preserve">TK-02498</t>
  </si>
  <si>
    <t xml:space="preserve">TK-02499</t>
  </si>
  <si>
    <t xml:space="preserve">TK-02500</t>
  </si>
  <si>
    <t xml:space="preserve">TK-02501</t>
  </si>
  <si>
    <t xml:space="preserve">TK-02502</t>
  </si>
  <si>
    <t xml:space="preserve">TK-02503</t>
  </si>
  <si>
    <t xml:space="preserve">TK-02504</t>
  </si>
  <si>
    <t xml:space="preserve">TK-02505</t>
  </si>
  <si>
    <t xml:space="preserve">TK-02506</t>
  </si>
  <si>
    <t xml:space="preserve">TK-02507</t>
  </si>
  <si>
    <t xml:space="preserve">TK-02508</t>
  </si>
  <si>
    <t xml:space="preserve">TK-02509</t>
  </si>
  <si>
    <t xml:space="preserve">TK-02510</t>
  </si>
  <si>
    <t xml:space="preserve">TK-02511</t>
  </si>
  <si>
    <t xml:space="preserve">TK-02512</t>
  </si>
  <si>
    <t xml:space="preserve">TK-02513</t>
  </si>
  <si>
    <t xml:space="preserve">TK-02514</t>
  </si>
  <si>
    <t xml:space="preserve">TK-02515</t>
  </si>
  <si>
    <t xml:space="preserve">TK-02516</t>
  </si>
  <si>
    <t xml:space="preserve">TK-02517</t>
  </si>
  <si>
    <t xml:space="preserve">TK-02518</t>
  </si>
  <si>
    <t xml:space="preserve">TK-02519</t>
  </si>
  <si>
    <t xml:space="preserve">TK-02520</t>
  </si>
  <si>
    <t xml:space="preserve">TK-02521</t>
  </si>
  <si>
    <t xml:space="preserve">TK-02522</t>
  </si>
  <si>
    <t xml:space="preserve">TK-02523</t>
  </si>
  <si>
    <t xml:space="preserve">TK-02524</t>
  </si>
  <si>
    <t xml:space="preserve">TK-02525</t>
  </si>
  <si>
    <t xml:space="preserve">TK-02526</t>
  </si>
  <si>
    <t xml:space="preserve">TK-02527</t>
  </si>
  <si>
    <t xml:space="preserve">TK-02528</t>
  </si>
  <si>
    <t xml:space="preserve">TK-02529</t>
  </si>
  <si>
    <t xml:space="preserve">TK-02530</t>
  </si>
  <si>
    <t xml:space="preserve">TK-02531</t>
  </si>
  <si>
    <t xml:space="preserve">TK-02532</t>
  </si>
  <si>
    <t xml:space="preserve">TK-02533</t>
  </si>
  <si>
    <t xml:space="preserve">TK-02534</t>
  </si>
  <si>
    <t xml:space="preserve">TK-02535</t>
  </si>
  <si>
    <t xml:space="preserve">TK-02536</t>
  </si>
  <si>
    <t xml:space="preserve">TK-02537</t>
  </si>
  <si>
    <t xml:space="preserve">TK-02538</t>
  </si>
  <si>
    <t xml:space="preserve">TK-02539</t>
  </si>
  <si>
    <t xml:space="preserve">TK-02540</t>
  </si>
  <si>
    <t xml:space="preserve">TK-02541</t>
  </si>
  <si>
    <t xml:space="preserve">TK-02542</t>
  </si>
  <si>
    <t xml:space="preserve">TK-02543</t>
  </si>
  <si>
    <t xml:space="preserve">TK-02544</t>
  </si>
  <si>
    <t xml:space="preserve">TK-02545</t>
  </si>
  <si>
    <t xml:space="preserve">TK-02546</t>
  </si>
  <si>
    <t xml:space="preserve">TK-02547</t>
  </si>
  <si>
    <t xml:space="preserve">TK-02548</t>
  </si>
  <si>
    <t xml:space="preserve">TK-02549</t>
  </si>
  <si>
    <t xml:space="preserve">TK-02550</t>
  </si>
  <si>
    <t xml:space="preserve">TK-02551</t>
  </si>
  <si>
    <t xml:space="preserve">TK-02552</t>
  </si>
  <si>
    <t xml:space="preserve">TK-02553</t>
  </si>
  <si>
    <t xml:space="preserve">TK-02554</t>
  </si>
  <si>
    <t xml:space="preserve">TK-02555</t>
  </si>
  <si>
    <t xml:space="preserve">TK-02556</t>
  </si>
  <si>
    <t xml:space="preserve">TK-02557</t>
  </si>
  <si>
    <t xml:space="preserve">TK-02558</t>
  </si>
  <si>
    <t xml:space="preserve">TK-02559</t>
  </si>
  <si>
    <t xml:space="preserve">TK-02560</t>
  </si>
  <si>
    <t xml:space="preserve">TK-02561</t>
  </si>
  <si>
    <t xml:space="preserve">TK-02562</t>
  </si>
  <si>
    <t xml:space="preserve">TK-02563</t>
  </si>
  <si>
    <t xml:space="preserve">TK-02564</t>
  </si>
  <si>
    <t xml:space="preserve">TK-02565</t>
  </si>
  <si>
    <t xml:space="preserve">TK-02566</t>
  </si>
  <si>
    <t xml:space="preserve">TK-02567</t>
  </si>
  <si>
    <t xml:space="preserve">TK-02568</t>
  </si>
  <si>
    <t xml:space="preserve">TK-02569</t>
  </si>
  <si>
    <t xml:space="preserve">TK-02570</t>
  </si>
  <si>
    <t xml:space="preserve">TK-02571</t>
  </si>
  <si>
    <t xml:space="preserve">TK-02572</t>
  </si>
  <si>
    <t xml:space="preserve">TK-02573</t>
  </si>
  <si>
    <t xml:space="preserve">TK-02574</t>
  </si>
  <si>
    <t xml:space="preserve">TK-02575</t>
  </si>
  <si>
    <t xml:space="preserve">TK-02576</t>
  </si>
  <si>
    <t xml:space="preserve">TK-02577</t>
  </si>
  <si>
    <t xml:space="preserve">TK-02578</t>
  </si>
  <si>
    <t xml:space="preserve">TK-02579</t>
  </si>
  <si>
    <t xml:space="preserve">TK-02580</t>
  </si>
  <si>
    <t xml:space="preserve">TK-02581</t>
  </si>
  <si>
    <t xml:space="preserve">TK-02582</t>
  </si>
  <si>
    <t xml:space="preserve">TK-02583</t>
  </si>
  <si>
    <t xml:space="preserve">TK-02584</t>
  </si>
  <si>
    <t xml:space="preserve">TK-02585</t>
  </si>
  <si>
    <t xml:space="preserve">TK-02586</t>
  </si>
  <si>
    <t xml:space="preserve">TK-02587</t>
  </si>
  <si>
    <t xml:space="preserve">TK-02588</t>
  </si>
  <si>
    <t xml:space="preserve">TK-02589</t>
  </si>
  <si>
    <t xml:space="preserve">TK-02590</t>
  </si>
  <si>
    <t xml:space="preserve">TK-02591</t>
  </si>
  <si>
    <t xml:space="preserve">TK-02592</t>
  </si>
  <si>
    <t xml:space="preserve">TK-02593</t>
  </si>
  <si>
    <t xml:space="preserve">TK-02594</t>
  </si>
  <si>
    <t xml:space="preserve">TK-02595</t>
  </si>
  <si>
    <t xml:space="preserve">TK-02596</t>
  </si>
  <si>
    <t xml:space="preserve">TK-02597</t>
  </si>
  <si>
    <t xml:space="preserve">TK-02598</t>
  </si>
  <si>
    <t xml:space="preserve">TK-02599</t>
  </si>
  <si>
    <t xml:space="preserve">TK-02600</t>
  </si>
  <si>
    <t xml:space="preserve">TK-02601</t>
  </si>
  <si>
    <t xml:space="preserve">TK-02602</t>
  </si>
  <si>
    <t xml:space="preserve">TK-02603</t>
  </si>
  <si>
    <t xml:space="preserve">TK-02604</t>
  </si>
  <si>
    <t xml:space="preserve">TK-02605</t>
  </si>
  <si>
    <t xml:space="preserve">TK-02606</t>
  </si>
  <si>
    <t xml:space="preserve">TK-02607</t>
  </si>
  <si>
    <t xml:space="preserve">TK-02608</t>
  </si>
  <si>
    <t xml:space="preserve">TK-02609</t>
  </si>
  <si>
    <t xml:space="preserve">TK-02610</t>
  </si>
  <si>
    <t xml:space="preserve">TK-02611</t>
  </si>
  <si>
    <t xml:space="preserve">TK-02612</t>
  </si>
  <si>
    <t xml:space="preserve">TK-02613</t>
  </si>
  <si>
    <t xml:space="preserve">TK-02614</t>
  </si>
  <si>
    <t xml:space="preserve">TK-02615</t>
  </si>
  <si>
    <t xml:space="preserve">TK-02616</t>
  </si>
  <si>
    <t xml:space="preserve">TK-02617</t>
  </si>
  <si>
    <t xml:space="preserve">TK-02618</t>
  </si>
  <si>
    <t xml:space="preserve">TK-02619</t>
  </si>
  <si>
    <t xml:space="preserve">TK-02620</t>
  </si>
  <si>
    <t xml:space="preserve">TK-02621</t>
  </si>
  <si>
    <t xml:space="preserve">TK-02622</t>
  </si>
  <si>
    <t xml:space="preserve">TK-02623</t>
  </si>
  <si>
    <t xml:space="preserve">TK-02624</t>
  </si>
  <si>
    <t xml:space="preserve">TK-02625</t>
  </si>
  <si>
    <t xml:space="preserve">TK-02626</t>
  </si>
  <si>
    <t xml:space="preserve">TK-02627</t>
  </si>
  <si>
    <t xml:space="preserve">TK-02628</t>
  </si>
  <si>
    <t xml:space="preserve">TK-02629</t>
  </si>
  <si>
    <t xml:space="preserve">TK-02630</t>
  </si>
  <si>
    <t xml:space="preserve">TK-02631</t>
  </si>
  <si>
    <t xml:space="preserve">TK-02632</t>
  </si>
  <si>
    <t xml:space="preserve">TK-02633</t>
  </si>
  <si>
    <t xml:space="preserve">TK-02634</t>
  </si>
  <si>
    <t xml:space="preserve">TK-02635</t>
  </si>
  <si>
    <t xml:space="preserve">TK-02636</t>
  </si>
  <si>
    <t xml:space="preserve">TK-02637</t>
  </si>
  <si>
    <t xml:space="preserve">TK-02638</t>
  </si>
  <si>
    <t xml:space="preserve">TK-02639</t>
  </si>
  <si>
    <t xml:space="preserve">TK-02640</t>
  </si>
  <si>
    <t xml:space="preserve">TK-02641</t>
  </si>
  <si>
    <t xml:space="preserve">TK-02642</t>
  </si>
  <si>
    <t xml:space="preserve">TK-02643</t>
  </si>
  <si>
    <t xml:space="preserve">TK-02644</t>
  </si>
  <si>
    <t xml:space="preserve">TK-02645</t>
  </si>
  <si>
    <t xml:space="preserve">TK-02646</t>
  </si>
  <si>
    <t xml:space="preserve">TK-02647</t>
  </si>
  <si>
    <t xml:space="preserve">TK-02648</t>
  </si>
  <si>
    <t xml:space="preserve">TK-02649</t>
  </si>
  <si>
    <t xml:space="preserve">TK-02650</t>
  </si>
  <si>
    <t xml:space="preserve">TK-02651</t>
  </si>
  <si>
    <t xml:space="preserve">TK-02652</t>
  </si>
  <si>
    <t xml:space="preserve">TK-02653</t>
  </si>
  <si>
    <t xml:space="preserve">TK-02654</t>
  </si>
  <si>
    <t xml:space="preserve">TK-02655</t>
  </si>
  <si>
    <t xml:space="preserve">TK-02656</t>
  </si>
  <si>
    <t xml:space="preserve">TK-02657</t>
  </si>
  <si>
    <t xml:space="preserve">TK-02658</t>
  </si>
  <si>
    <t xml:space="preserve">TK-02659</t>
  </si>
  <si>
    <t xml:space="preserve">TK-02660</t>
  </si>
  <si>
    <t xml:space="preserve">TK-02661</t>
  </si>
  <si>
    <t xml:space="preserve">TK-02662</t>
  </si>
  <si>
    <t xml:space="preserve">TK-02663</t>
  </si>
  <si>
    <t xml:space="preserve">TK-02664</t>
  </si>
  <si>
    <t xml:space="preserve">TK-02665</t>
  </si>
  <si>
    <t xml:space="preserve">TK-02666</t>
  </si>
  <si>
    <t xml:space="preserve">TK-02667</t>
  </si>
  <si>
    <t xml:space="preserve">TK-02668</t>
  </si>
  <si>
    <t xml:space="preserve">TK-02669</t>
  </si>
  <si>
    <t xml:space="preserve">TK-02670</t>
  </si>
  <si>
    <t xml:space="preserve">TK-02671</t>
  </si>
  <si>
    <t xml:space="preserve">TK-02672</t>
  </si>
  <si>
    <t xml:space="preserve">TK-02673</t>
  </si>
  <si>
    <t xml:space="preserve">TK-02674</t>
  </si>
  <si>
    <t xml:space="preserve">TK-02675</t>
  </si>
  <si>
    <t xml:space="preserve">TK-02676</t>
  </si>
  <si>
    <t xml:space="preserve">TK-02677</t>
  </si>
  <si>
    <t xml:space="preserve">TK-02678</t>
  </si>
  <si>
    <t xml:space="preserve">TK-02679</t>
  </si>
  <si>
    <t xml:space="preserve">TK-02680</t>
  </si>
  <si>
    <t xml:space="preserve">TK-02681</t>
  </si>
  <si>
    <t xml:space="preserve">TK-02682</t>
  </si>
  <si>
    <t xml:space="preserve">TK-02683</t>
  </si>
  <si>
    <t xml:space="preserve">TK-02684</t>
  </si>
  <si>
    <t xml:space="preserve">TK-02685</t>
  </si>
  <si>
    <t xml:space="preserve">TK-02686</t>
  </si>
  <si>
    <t xml:space="preserve">TK-02687</t>
  </si>
  <si>
    <t xml:space="preserve">TK-02688</t>
  </si>
  <si>
    <t xml:space="preserve">TK-02689</t>
  </si>
  <si>
    <t xml:space="preserve">TK-02690</t>
  </si>
  <si>
    <t xml:space="preserve">TK-02691</t>
  </si>
  <si>
    <t xml:space="preserve">TK-02692</t>
  </si>
  <si>
    <t xml:space="preserve">TK-02693</t>
  </si>
  <si>
    <t xml:space="preserve">TK-02694</t>
  </si>
  <si>
    <t xml:space="preserve">TK-02695</t>
  </si>
  <si>
    <t xml:space="preserve">TK-02696</t>
  </si>
  <si>
    <t xml:space="preserve">TK-02697</t>
  </si>
  <si>
    <t xml:space="preserve">TK-02698</t>
  </si>
  <si>
    <t xml:space="preserve">TK-02699</t>
  </si>
  <si>
    <t xml:space="preserve">TK-02700</t>
  </si>
  <si>
    <t xml:space="preserve">TK-02701</t>
  </si>
  <si>
    <t xml:space="preserve">TK-02702</t>
  </si>
  <si>
    <t xml:space="preserve">TK-02703</t>
  </si>
  <si>
    <t xml:space="preserve">TK-02704</t>
  </si>
  <si>
    <t xml:space="preserve">TK-02705</t>
  </si>
  <si>
    <t xml:space="preserve">TK-02706</t>
  </si>
  <si>
    <t xml:space="preserve">TK-02707</t>
  </si>
  <si>
    <t xml:space="preserve">TK-02708</t>
  </si>
  <si>
    <t xml:space="preserve">TK-02709</t>
  </si>
  <si>
    <t xml:space="preserve">TK-02710</t>
  </si>
  <si>
    <t xml:space="preserve">TK-02711</t>
  </si>
  <si>
    <t xml:space="preserve">TK-02712</t>
  </si>
  <si>
    <t xml:space="preserve">TK-02713</t>
  </si>
  <si>
    <t xml:space="preserve">TK-02714</t>
  </si>
  <si>
    <t xml:space="preserve">TK-02715</t>
  </si>
  <si>
    <t xml:space="preserve">TK-02716</t>
  </si>
  <si>
    <t xml:space="preserve">TK-02717</t>
  </si>
  <si>
    <t xml:space="preserve">TK-02718</t>
  </si>
  <si>
    <t xml:space="preserve">TK-02719</t>
  </si>
  <si>
    <t xml:space="preserve">TK-02720</t>
  </si>
  <si>
    <t xml:space="preserve">TK-02721</t>
  </si>
  <si>
    <t xml:space="preserve">TK-02722</t>
  </si>
  <si>
    <t xml:space="preserve">TK-02723</t>
  </si>
  <si>
    <t xml:space="preserve">TK-02724</t>
  </si>
  <si>
    <t xml:space="preserve">TK-02725</t>
  </si>
  <si>
    <t xml:space="preserve">TK-02726</t>
  </si>
  <si>
    <t xml:space="preserve">TK-02727</t>
  </si>
  <si>
    <t xml:space="preserve">TK-02728</t>
  </si>
  <si>
    <t xml:space="preserve">TK-02729</t>
  </si>
  <si>
    <t xml:space="preserve">TK-02730</t>
  </si>
  <si>
    <t xml:space="preserve">TK-02731</t>
  </si>
  <si>
    <t xml:space="preserve">TK-02732</t>
  </si>
  <si>
    <t xml:space="preserve">TK-02733</t>
  </si>
  <si>
    <t xml:space="preserve">TK-02734</t>
  </si>
  <si>
    <t xml:space="preserve">TK-02735</t>
  </si>
  <si>
    <t xml:space="preserve">TK-02736</t>
  </si>
  <si>
    <t xml:space="preserve">TK-02737</t>
  </si>
  <si>
    <t xml:space="preserve">TK-02738</t>
  </si>
  <si>
    <t xml:space="preserve">TK-02739</t>
  </si>
  <si>
    <t xml:space="preserve">TK-02740</t>
  </si>
  <si>
    <t xml:space="preserve">TK-02741</t>
  </si>
  <si>
    <t xml:space="preserve">TK-02742</t>
  </si>
  <si>
    <t xml:space="preserve">TK-02743</t>
  </si>
  <si>
    <t xml:space="preserve">TK-02744</t>
  </si>
  <si>
    <t xml:space="preserve">TK-02745</t>
  </si>
  <si>
    <t xml:space="preserve">TK-02746</t>
  </si>
  <si>
    <t xml:space="preserve">TK-02747</t>
  </si>
  <si>
    <t xml:space="preserve">TK-02748</t>
  </si>
  <si>
    <t xml:space="preserve">TK-02749</t>
  </si>
  <si>
    <t xml:space="preserve">TK-02750</t>
  </si>
  <si>
    <t xml:space="preserve">TK-02751</t>
  </si>
  <si>
    <t xml:space="preserve">TK-02752</t>
  </si>
  <si>
    <t xml:space="preserve">TK-02753</t>
  </si>
  <si>
    <t xml:space="preserve">TK-02754</t>
  </si>
  <si>
    <t xml:space="preserve">TK-02755</t>
  </si>
  <si>
    <t xml:space="preserve">TK-02756</t>
  </si>
  <si>
    <t xml:space="preserve">TK-02757</t>
  </si>
  <si>
    <t xml:space="preserve">TK-02758</t>
  </si>
  <si>
    <t xml:space="preserve">TK-02759</t>
  </si>
  <si>
    <t xml:space="preserve">TK-02760</t>
  </si>
  <si>
    <t xml:space="preserve">TK-02761</t>
  </si>
  <si>
    <t xml:space="preserve">TK-02762</t>
  </si>
  <si>
    <t xml:space="preserve">TK-02763</t>
  </si>
  <si>
    <t xml:space="preserve">TK-02764</t>
  </si>
  <si>
    <t xml:space="preserve">TK-02765</t>
  </si>
  <si>
    <t xml:space="preserve">TK-02766</t>
  </si>
  <si>
    <t xml:space="preserve">TK-02767</t>
  </si>
  <si>
    <t xml:space="preserve">TK-02768</t>
  </si>
  <si>
    <t xml:space="preserve">TK-02769</t>
  </si>
  <si>
    <t xml:space="preserve">TK-02770</t>
  </si>
  <si>
    <t xml:space="preserve">TK-02771</t>
  </si>
  <si>
    <t xml:space="preserve">TK-02772</t>
  </si>
  <si>
    <t xml:space="preserve">TK-02773</t>
  </si>
  <si>
    <t xml:space="preserve">TK-02774</t>
  </si>
  <si>
    <t xml:space="preserve">TK-02775</t>
  </si>
  <si>
    <t xml:space="preserve">TK-02776</t>
  </si>
  <si>
    <t xml:space="preserve">TK-02777</t>
  </si>
  <si>
    <t xml:space="preserve">TK-02778</t>
  </si>
  <si>
    <t xml:space="preserve">TK-02779</t>
  </si>
  <si>
    <t xml:space="preserve">TK-02780</t>
  </si>
  <si>
    <t xml:space="preserve">TK-02781</t>
  </si>
  <si>
    <t xml:space="preserve">TK-02782</t>
  </si>
  <si>
    <t xml:space="preserve">TK-02783</t>
  </si>
  <si>
    <t xml:space="preserve">TK-02784</t>
  </si>
  <si>
    <t xml:space="preserve">TK-02785</t>
  </si>
  <si>
    <t xml:space="preserve">TK-02786</t>
  </si>
  <si>
    <t xml:space="preserve">TK-02787</t>
  </si>
  <si>
    <t xml:space="preserve">TK-02788</t>
  </si>
  <si>
    <t xml:space="preserve">TK-02789</t>
  </si>
  <si>
    <t xml:space="preserve">TK-02790</t>
  </si>
  <si>
    <t xml:space="preserve">TK-02791</t>
  </si>
  <si>
    <t xml:space="preserve">TK-02792</t>
  </si>
  <si>
    <t xml:space="preserve">TK-02793</t>
  </si>
  <si>
    <t xml:space="preserve">TK-02794</t>
  </si>
  <si>
    <t xml:space="preserve">TK-02795</t>
  </si>
  <si>
    <t xml:space="preserve">TK-02796</t>
  </si>
  <si>
    <t xml:space="preserve">TK-02797</t>
  </si>
  <si>
    <t xml:space="preserve">TK-02798</t>
  </si>
  <si>
    <t xml:space="preserve">TK-02799</t>
  </si>
  <si>
    <t xml:space="preserve">TK-02800</t>
  </si>
  <si>
    <t xml:space="preserve">TK-02801</t>
  </si>
  <si>
    <t xml:space="preserve">TK-02802</t>
  </si>
  <si>
    <t xml:space="preserve">TK-02803</t>
  </si>
  <si>
    <t xml:space="preserve">TK-02804</t>
  </si>
  <si>
    <t xml:space="preserve">TK-02805</t>
  </si>
  <si>
    <t xml:space="preserve">TK-02806</t>
  </si>
  <si>
    <t xml:space="preserve">TK-02807</t>
  </si>
  <si>
    <t xml:space="preserve">TK-02808</t>
  </si>
  <si>
    <t xml:space="preserve">TK-02809</t>
  </si>
  <si>
    <t xml:space="preserve">TK-02810</t>
  </si>
  <si>
    <t xml:space="preserve">TK-02811</t>
  </si>
  <si>
    <t xml:space="preserve">TK-02812</t>
  </si>
  <si>
    <t xml:space="preserve">TK-02813</t>
  </si>
  <si>
    <t xml:space="preserve">TK-02814</t>
  </si>
  <si>
    <t xml:space="preserve">TK-02815</t>
  </si>
  <si>
    <t xml:space="preserve">TK-02816</t>
  </si>
  <si>
    <t xml:space="preserve">TK-02817</t>
  </si>
  <si>
    <t xml:space="preserve">TK-02818</t>
  </si>
  <si>
    <t xml:space="preserve">TK-02819</t>
  </si>
  <si>
    <t xml:space="preserve">TK-02820</t>
  </si>
  <si>
    <t xml:space="preserve">TK-02821</t>
  </si>
  <si>
    <t xml:space="preserve">TK-02822</t>
  </si>
  <si>
    <t xml:space="preserve">TK-02823</t>
  </si>
  <si>
    <t xml:space="preserve">TK-02824</t>
  </si>
  <si>
    <t xml:space="preserve">TK-02825</t>
  </si>
  <si>
    <t xml:space="preserve">TK-02826</t>
  </si>
  <si>
    <t xml:space="preserve">TK-02827</t>
  </si>
  <si>
    <t xml:space="preserve">TK-02828</t>
  </si>
  <si>
    <t xml:space="preserve">TK-02829</t>
  </si>
  <si>
    <t xml:space="preserve">TK-02830</t>
  </si>
  <si>
    <t xml:space="preserve">TK-02831</t>
  </si>
  <si>
    <t xml:space="preserve">TK-02832</t>
  </si>
  <si>
    <t xml:space="preserve">TK-02833</t>
  </si>
  <si>
    <t xml:space="preserve">TK-02834</t>
  </si>
  <si>
    <t xml:space="preserve">TK-02835</t>
  </si>
  <si>
    <t xml:space="preserve">TK-02836</t>
  </si>
  <si>
    <t xml:space="preserve">TK-02837</t>
  </si>
  <si>
    <t xml:space="preserve">TK-02838</t>
  </si>
  <si>
    <t xml:space="preserve">TK-02839</t>
  </si>
  <si>
    <t xml:space="preserve">TK-02840</t>
  </si>
  <si>
    <t xml:space="preserve">TK-02841</t>
  </si>
  <si>
    <t xml:space="preserve">TK-02842</t>
  </si>
  <si>
    <t xml:space="preserve">TK-02843</t>
  </si>
  <si>
    <t xml:space="preserve">TK-02844</t>
  </si>
  <si>
    <t xml:space="preserve">TK-02845</t>
  </si>
  <si>
    <t xml:space="preserve">TK-02846</t>
  </si>
  <si>
    <t xml:space="preserve">TK-02847</t>
  </si>
  <si>
    <t xml:space="preserve">TK-02848</t>
  </si>
  <si>
    <t xml:space="preserve">TK-02849</t>
  </si>
  <si>
    <t xml:space="preserve">TK-02850</t>
  </si>
  <si>
    <t xml:space="preserve">TK-02851</t>
  </si>
  <si>
    <t xml:space="preserve">TK-02852</t>
  </si>
  <si>
    <t xml:space="preserve">TK-02853</t>
  </si>
  <si>
    <t xml:space="preserve">TK-02854</t>
  </si>
  <si>
    <t xml:space="preserve">TK-02855</t>
  </si>
  <si>
    <t xml:space="preserve">TK-02856</t>
  </si>
  <si>
    <t xml:space="preserve">TK-02857</t>
  </si>
  <si>
    <t xml:space="preserve">TK-02858</t>
  </si>
  <si>
    <t xml:space="preserve">TK-02859</t>
  </si>
  <si>
    <t xml:space="preserve">TK-02860</t>
  </si>
  <si>
    <t xml:space="preserve">TK-02861</t>
  </si>
  <si>
    <t xml:space="preserve">TK-02862</t>
  </si>
  <si>
    <t xml:space="preserve">TK-02863</t>
  </si>
  <si>
    <t xml:space="preserve">TK-02864</t>
  </si>
  <si>
    <t xml:space="preserve">TK-02865</t>
  </si>
  <si>
    <t xml:space="preserve">TK-02866</t>
  </si>
  <si>
    <t xml:space="preserve">TK-02867</t>
  </si>
  <si>
    <t xml:space="preserve">TK-02868</t>
  </si>
  <si>
    <t xml:space="preserve">TK-02869</t>
  </si>
  <si>
    <t xml:space="preserve">TK-02870</t>
  </si>
  <si>
    <t xml:space="preserve">TK-02871</t>
  </si>
  <si>
    <t xml:space="preserve">TK-02872</t>
  </si>
  <si>
    <t xml:space="preserve">TK-02873</t>
  </si>
  <si>
    <t xml:space="preserve">TK-02874</t>
  </si>
  <si>
    <t xml:space="preserve">TK-02875</t>
  </si>
  <si>
    <t xml:space="preserve">TK-02876</t>
  </si>
  <si>
    <t xml:space="preserve">TK-02877</t>
  </si>
  <si>
    <t xml:space="preserve">TK-02878</t>
  </si>
  <si>
    <t xml:space="preserve">TK-02879</t>
  </si>
  <si>
    <t xml:space="preserve">TK-02880</t>
  </si>
  <si>
    <t xml:space="preserve">TK-02881</t>
  </si>
  <si>
    <t xml:space="preserve">TK-02882</t>
  </si>
  <si>
    <t xml:space="preserve">TK-02883</t>
  </si>
  <si>
    <t xml:space="preserve">TK-02884</t>
  </si>
  <si>
    <t xml:space="preserve">TK-02885</t>
  </si>
  <si>
    <t xml:space="preserve">TK-02886</t>
  </si>
  <si>
    <t xml:space="preserve">TK-02887</t>
  </si>
  <si>
    <t xml:space="preserve">TK-02888</t>
  </si>
  <si>
    <t xml:space="preserve">TK-02889</t>
  </si>
  <si>
    <t xml:space="preserve">TK-02890</t>
  </si>
  <si>
    <t xml:space="preserve">TK-02891</t>
  </si>
  <si>
    <t xml:space="preserve">TK-02892</t>
  </si>
  <si>
    <t xml:space="preserve">TK-02893</t>
  </si>
  <si>
    <t xml:space="preserve">TK-02894</t>
  </si>
  <si>
    <t xml:space="preserve">TK-02895</t>
  </si>
  <si>
    <t xml:space="preserve">TK-02896</t>
  </si>
  <si>
    <t xml:space="preserve">TK-02897</t>
  </si>
  <si>
    <t xml:space="preserve">TK-02898</t>
  </si>
  <si>
    <t xml:space="preserve">TK-02899</t>
  </si>
  <si>
    <t xml:space="preserve">TK-02900</t>
  </si>
  <si>
    <t xml:space="preserve">TK-02901</t>
  </si>
  <si>
    <t xml:space="preserve">TK-02902</t>
  </si>
  <si>
    <t xml:space="preserve">TK-02903</t>
  </si>
  <si>
    <t xml:space="preserve">TK-02904</t>
  </si>
  <si>
    <t xml:space="preserve">TK-02905</t>
  </si>
  <si>
    <t xml:space="preserve">TK-02906</t>
  </si>
  <si>
    <t xml:space="preserve">TK-02907</t>
  </si>
  <si>
    <t xml:space="preserve">TK-02908</t>
  </si>
  <si>
    <t xml:space="preserve">TK-02909</t>
  </si>
  <si>
    <t xml:space="preserve">TK-02910</t>
  </si>
  <si>
    <t xml:space="preserve">TK-02911</t>
  </si>
  <si>
    <t xml:space="preserve">TK-02912</t>
  </si>
  <si>
    <t xml:space="preserve">TK-02913</t>
  </si>
  <si>
    <t xml:space="preserve">TK-02914</t>
  </si>
  <si>
    <t xml:space="preserve">TK-02915</t>
  </si>
  <si>
    <t xml:space="preserve">TK-02916</t>
  </si>
  <si>
    <t xml:space="preserve">TK-02917</t>
  </si>
  <si>
    <t xml:space="preserve">TK-02918</t>
  </si>
  <si>
    <t xml:space="preserve">TK-02919</t>
  </si>
  <si>
    <t xml:space="preserve">TK-02920</t>
  </si>
  <si>
    <t xml:space="preserve">TK-02921</t>
  </si>
  <si>
    <t xml:space="preserve">TK-02922</t>
  </si>
  <si>
    <t xml:space="preserve">TK-02923</t>
  </si>
  <si>
    <t xml:space="preserve">TK-02924</t>
  </si>
  <si>
    <t xml:space="preserve">TK-02925</t>
  </si>
  <si>
    <t xml:space="preserve">TK-02926</t>
  </si>
  <si>
    <t xml:space="preserve">TK-02927</t>
  </si>
  <si>
    <t xml:space="preserve">TK-02928</t>
  </si>
  <si>
    <t xml:space="preserve">TK-02929</t>
  </si>
  <si>
    <t xml:space="preserve">TK-02930</t>
  </si>
  <si>
    <t xml:space="preserve">TK-02931</t>
  </si>
  <si>
    <t xml:space="preserve">TK-02932</t>
  </si>
  <si>
    <t xml:space="preserve">TK-02933</t>
  </si>
  <si>
    <t xml:space="preserve">TK-02934</t>
  </si>
  <si>
    <t xml:space="preserve">TK-02935</t>
  </si>
  <si>
    <t xml:space="preserve">TK-02936</t>
  </si>
  <si>
    <t xml:space="preserve">TK-02937</t>
  </si>
  <si>
    <t xml:space="preserve">TK-02938</t>
  </si>
  <si>
    <t xml:space="preserve">TK-02939</t>
  </si>
  <si>
    <t xml:space="preserve">TK-02940</t>
  </si>
  <si>
    <t xml:space="preserve">TK-02941</t>
  </si>
  <si>
    <t xml:space="preserve">TK-02942</t>
  </si>
  <si>
    <t xml:space="preserve">TK-02943</t>
  </si>
  <si>
    <t xml:space="preserve">TK-02944</t>
  </si>
  <si>
    <t xml:space="preserve">TK-02945</t>
  </si>
  <si>
    <t xml:space="preserve">TK-02946</t>
  </si>
  <si>
    <t xml:space="preserve">TK-02947</t>
  </si>
  <si>
    <t xml:space="preserve">TK-02948</t>
  </si>
  <si>
    <t xml:space="preserve">TK-02949</t>
  </si>
  <si>
    <t xml:space="preserve">TK-02950</t>
  </si>
  <si>
    <t xml:space="preserve">TK-02951</t>
  </si>
  <si>
    <t xml:space="preserve">TK-02952</t>
  </si>
  <si>
    <t xml:space="preserve">TK-02953</t>
  </si>
  <si>
    <t xml:space="preserve">TK-02954</t>
  </si>
  <si>
    <t xml:space="preserve">TK-02955</t>
  </si>
  <si>
    <t xml:space="preserve">TK-02956</t>
  </si>
  <si>
    <t xml:space="preserve">TK-02957</t>
  </si>
  <si>
    <t xml:space="preserve">TK-02958</t>
  </si>
  <si>
    <t xml:space="preserve">TK-02959</t>
  </si>
  <si>
    <t xml:space="preserve">TK-02960</t>
  </si>
  <si>
    <t xml:space="preserve">TK-02961</t>
  </si>
  <si>
    <t xml:space="preserve">TK-02962</t>
  </si>
  <si>
    <t xml:space="preserve">TK-02963</t>
  </si>
  <si>
    <t xml:space="preserve">TK-02964</t>
  </si>
  <si>
    <t xml:space="preserve">TK-02965</t>
  </si>
  <si>
    <t xml:space="preserve">TK-02966</t>
  </si>
  <si>
    <t xml:space="preserve">TK-02967</t>
  </si>
  <si>
    <t xml:space="preserve">TK-02968</t>
  </si>
  <si>
    <t xml:space="preserve">TK-02969</t>
  </si>
  <si>
    <t xml:space="preserve">TK-02970</t>
  </si>
  <si>
    <t xml:space="preserve">TK-02971</t>
  </si>
  <si>
    <t xml:space="preserve">TK-02972</t>
  </si>
  <si>
    <t xml:space="preserve">TK-02973</t>
  </si>
  <si>
    <t xml:space="preserve">TK-02974</t>
  </si>
  <si>
    <t xml:space="preserve">TK-02975</t>
  </si>
  <si>
    <t xml:space="preserve">TK-02976</t>
  </si>
  <si>
    <t xml:space="preserve">TK-02977</t>
  </si>
  <si>
    <t xml:space="preserve">TK-02978</t>
  </si>
  <si>
    <t xml:space="preserve">TK-02979</t>
  </si>
  <si>
    <t xml:space="preserve">TK-02980</t>
  </si>
  <si>
    <t xml:space="preserve">TK-02981</t>
  </si>
  <si>
    <t xml:space="preserve">TK-02982</t>
  </si>
  <si>
    <t xml:space="preserve">TK-02983</t>
  </si>
  <si>
    <t xml:space="preserve">TK-02984</t>
  </si>
  <si>
    <t xml:space="preserve">TK-02985</t>
  </si>
  <si>
    <t xml:space="preserve">TK-02986</t>
  </si>
  <si>
    <t xml:space="preserve">TK-02987</t>
  </si>
  <si>
    <t xml:space="preserve">TK-02988</t>
  </si>
  <si>
    <t xml:space="preserve">TK-02989</t>
  </si>
  <si>
    <t xml:space="preserve">TK-02990</t>
  </si>
  <si>
    <t xml:space="preserve">TK-02991</t>
  </si>
  <si>
    <t xml:space="preserve">TK-02992</t>
  </si>
  <si>
    <t xml:space="preserve">TK-02993</t>
  </si>
  <si>
    <t xml:space="preserve">TK-02994</t>
  </si>
  <si>
    <t xml:space="preserve">TK-02995</t>
  </si>
  <si>
    <t xml:space="preserve">TK-02996</t>
  </si>
  <si>
    <t xml:space="preserve">TK-02997</t>
  </si>
  <si>
    <t xml:space="preserve">TK-02998</t>
  </si>
  <si>
    <t xml:space="preserve">TK-02999</t>
  </si>
  <si>
    <t xml:space="preserve">TK-03000</t>
  </si>
  <si>
    <t xml:space="preserve">TK-03001</t>
  </si>
  <si>
    <t xml:space="preserve">TK-03002</t>
  </si>
  <si>
    <t xml:space="preserve">TK-03003</t>
  </si>
  <si>
    <t xml:space="preserve">TK-03004</t>
  </si>
  <si>
    <t xml:space="preserve">TK-03005</t>
  </si>
  <si>
    <t xml:space="preserve">TK-03006</t>
  </si>
  <si>
    <t xml:space="preserve">TK-03007</t>
  </si>
  <si>
    <t xml:space="preserve">TK-03008</t>
  </si>
  <si>
    <t xml:space="preserve">TK-03009</t>
  </si>
  <si>
    <t xml:space="preserve">TK-03010</t>
  </si>
  <si>
    <t xml:space="preserve">TK-03011</t>
  </si>
  <si>
    <t xml:space="preserve">TK-03012</t>
  </si>
  <si>
    <t xml:space="preserve">TK-03013</t>
  </si>
  <si>
    <t xml:space="preserve">TK-03014</t>
  </si>
  <si>
    <t xml:space="preserve">TK-03015</t>
  </si>
  <si>
    <t xml:space="preserve">TK-03016</t>
  </si>
  <si>
    <t xml:space="preserve">TK-03017</t>
  </si>
  <si>
    <t xml:space="preserve">TK-03018</t>
  </si>
  <si>
    <t xml:space="preserve">TK-03019</t>
  </si>
  <si>
    <t xml:space="preserve">TK-03020</t>
  </si>
  <si>
    <t xml:space="preserve">TK-03021</t>
  </si>
  <si>
    <t xml:space="preserve">TK-03022</t>
  </si>
  <si>
    <t xml:space="preserve">TK-03023</t>
  </si>
  <si>
    <t xml:space="preserve">TK-03024</t>
  </si>
  <si>
    <t xml:space="preserve">TK-03025</t>
  </si>
  <si>
    <t xml:space="preserve">TK-03026</t>
  </si>
  <si>
    <t xml:space="preserve">TK-03027</t>
  </si>
  <si>
    <t xml:space="preserve">TK-03028</t>
  </si>
  <si>
    <t xml:space="preserve">TK-03029</t>
  </si>
  <si>
    <t xml:space="preserve">TK-03030</t>
  </si>
  <si>
    <t xml:space="preserve">TK-03031</t>
  </si>
  <si>
    <t xml:space="preserve">TK-03032</t>
  </si>
  <si>
    <t xml:space="preserve">TK-03033</t>
  </si>
  <si>
    <t xml:space="preserve">TK-03034</t>
  </si>
  <si>
    <t xml:space="preserve">TK-03035</t>
  </si>
  <si>
    <t xml:space="preserve">TK-03036</t>
  </si>
  <si>
    <t xml:space="preserve">TK-03037</t>
  </si>
  <si>
    <t xml:space="preserve">TK-03038</t>
  </si>
  <si>
    <t xml:space="preserve">TK-03039</t>
  </si>
  <si>
    <t xml:space="preserve">TK-03040</t>
  </si>
  <si>
    <t xml:space="preserve">TK-03041</t>
  </si>
  <si>
    <t xml:space="preserve">TK-03042</t>
  </si>
  <si>
    <t xml:space="preserve">TK-03043</t>
  </si>
  <si>
    <t xml:space="preserve">TK-03044</t>
  </si>
  <si>
    <t xml:space="preserve">TK-03045</t>
  </si>
  <si>
    <t xml:space="preserve">TK-03046</t>
  </si>
  <si>
    <t xml:space="preserve">TK-03047</t>
  </si>
  <si>
    <t xml:space="preserve">TK-03048</t>
  </si>
  <si>
    <t xml:space="preserve">TK-03049</t>
  </si>
  <si>
    <t xml:space="preserve">TK-03050</t>
  </si>
  <si>
    <t xml:space="preserve">TK-03051</t>
  </si>
  <si>
    <t xml:space="preserve">TK-03052</t>
  </si>
  <si>
    <t xml:space="preserve">TK-03053</t>
  </si>
  <si>
    <t xml:space="preserve">TK-03054</t>
  </si>
  <si>
    <t xml:space="preserve">TK-03055</t>
  </si>
  <si>
    <t xml:space="preserve">TK-03056</t>
  </si>
  <si>
    <t xml:space="preserve">TK-03057</t>
  </si>
  <si>
    <t xml:space="preserve">TK-03058</t>
  </si>
  <si>
    <t xml:space="preserve">TK-03059</t>
  </si>
  <si>
    <t xml:space="preserve">TK-03060</t>
  </si>
  <si>
    <t xml:space="preserve">TK-03061</t>
  </si>
  <si>
    <t xml:space="preserve">TK-03062</t>
  </si>
  <si>
    <t xml:space="preserve">TK-03063</t>
  </si>
  <si>
    <t xml:space="preserve">TK-03064</t>
  </si>
  <si>
    <t xml:space="preserve">TK-03065</t>
  </si>
  <si>
    <t xml:space="preserve">TK-03066</t>
  </si>
  <si>
    <t xml:space="preserve">TK-03067</t>
  </si>
  <si>
    <t xml:space="preserve">TK-03068</t>
  </si>
  <si>
    <t xml:space="preserve">TK-03069</t>
  </si>
  <si>
    <t xml:space="preserve">TK-03070</t>
  </si>
  <si>
    <t xml:space="preserve">TK-03071</t>
  </si>
  <si>
    <t xml:space="preserve">TK-03072</t>
  </si>
  <si>
    <t xml:space="preserve">TK-03073</t>
  </si>
  <si>
    <t xml:space="preserve">TK-03074</t>
  </si>
  <si>
    <t xml:space="preserve">TK-03075</t>
  </si>
  <si>
    <t xml:space="preserve">TK-03076</t>
  </si>
  <si>
    <t xml:space="preserve">TK-03077</t>
  </si>
  <si>
    <t xml:space="preserve">TK-03078</t>
  </si>
  <si>
    <t xml:space="preserve">TK-03079</t>
  </si>
  <si>
    <t xml:space="preserve">TK-03080</t>
  </si>
  <si>
    <t xml:space="preserve">TK-03081</t>
  </si>
  <si>
    <t xml:space="preserve">TK-03082</t>
  </si>
  <si>
    <t xml:space="preserve">TK-03083</t>
  </si>
  <si>
    <t xml:space="preserve">TK-03084</t>
  </si>
  <si>
    <t xml:space="preserve">TK-03085</t>
  </si>
  <si>
    <t xml:space="preserve">TK-03086</t>
  </si>
  <si>
    <t xml:space="preserve">TK-03087</t>
  </si>
  <si>
    <t xml:space="preserve">TK-03088</t>
  </si>
  <si>
    <t xml:space="preserve">TK-03089</t>
  </si>
  <si>
    <t xml:space="preserve">TK-03090</t>
  </si>
  <si>
    <t xml:space="preserve">TK-03091</t>
  </si>
  <si>
    <t xml:space="preserve">TK-03092</t>
  </si>
  <si>
    <t xml:space="preserve">TK-03093</t>
  </si>
  <si>
    <t xml:space="preserve">TK-03094</t>
  </si>
  <si>
    <t xml:space="preserve">TK-03095</t>
  </si>
  <si>
    <t xml:space="preserve">TK-03096</t>
  </si>
  <si>
    <t xml:space="preserve">TK-03097</t>
  </si>
  <si>
    <t xml:space="preserve">TK-03098</t>
  </si>
  <si>
    <t xml:space="preserve">TK-03099</t>
  </si>
  <si>
    <t xml:space="preserve">TK-03100</t>
  </si>
  <si>
    <t xml:space="preserve">TK-03101</t>
  </si>
  <si>
    <t xml:space="preserve">TK-03102</t>
  </si>
  <si>
    <t xml:space="preserve">TK-03103</t>
  </si>
  <si>
    <t xml:space="preserve">TK-03104</t>
  </si>
  <si>
    <t xml:space="preserve">TK-03105</t>
  </si>
  <si>
    <t xml:space="preserve">TK-03106</t>
  </si>
  <si>
    <t xml:space="preserve">TK-03107</t>
  </si>
  <si>
    <t xml:space="preserve">TK-03108</t>
  </si>
  <si>
    <t xml:space="preserve">TK-03109</t>
  </si>
  <si>
    <t xml:space="preserve">TK-03110</t>
  </si>
  <si>
    <t xml:space="preserve">TK-03111</t>
  </si>
  <si>
    <t xml:space="preserve">TK-03112</t>
  </si>
  <si>
    <t xml:space="preserve">TK-03113</t>
  </si>
  <si>
    <t xml:space="preserve">TK-03114</t>
  </si>
  <si>
    <t xml:space="preserve">TK-03115</t>
  </si>
  <si>
    <t xml:space="preserve">TK-03116</t>
  </si>
  <si>
    <t xml:space="preserve">TK-03117</t>
  </si>
  <si>
    <t xml:space="preserve">TK-03118</t>
  </si>
  <si>
    <t xml:space="preserve">TK-03119</t>
  </si>
  <si>
    <t xml:space="preserve">TK-03120</t>
  </si>
  <si>
    <t xml:space="preserve">TK-03121</t>
  </si>
  <si>
    <t xml:space="preserve">TK-03122</t>
  </si>
  <si>
    <t xml:space="preserve">TK-03123</t>
  </si>
  <si>
    <t xml:space="preserve">TK-03124</t>
  </si>
  <si>
    <t xml:space="preserve">TK-03125</t>
  </si>
  <si>
    <t xml:space="preserve">TK-03126</t>
  </si>
  <si>
    <t xml:space="preserve">TK-03127</t>
  </si>
  <si>
    <t xml:space="preserve">TK-03128</t>
  </si>
  <si>
    <t xml:space="preserve">TK-03129</t>
  </si>
  <si>
    <t xml:space="preserve">TK-03130</t>
  </si>
  <si>
    <t xml:space="preserve">TK-03131</t>
  </si>
  <si>
    <t xml:space="preserve">TK-03132</t>
  </si>
  <si>
    <t xml:space="preserve">TK-03133</t>
  </si>
  <si>
    <t xml:space="preserve">TK-03134</t>
  </si>
  <si>
    <t xml:space="preserve">TK-03135</t>
  </si>
  <si>
    <t xml:space="preserve">TK-03136</t>
  </si>
  <si>
    <t xml:space="preserve">TK-03137</t>
  </si>
  <si>
    <t xml:space="preserve">TK-03138</t>
  </si>
  <si>
    <t xml:space="preserve">TK-03139</t>
  </si>
  <si>
    <t xml:space="preserve">TK-03140</t>
  </si>
  <si>
    <t xml:space="preserve">TK-03141</t>
  </si>
  <si>
    <t xml:space="preserve">TK-03142</t>
  </si>
  <si>
    <t xml:space="preserve">TK-03143</t>
  </si>
  <si>
    <t xml:space="preserve">TK-03144</t>
  </si>
  <si>
    <t xml:space="preserve">TK-03145</t>
  </si>
  <si>
    <t xml:space="preserve">TK-03146</t>
  </si>
  <si>
    <t xml:space="preserve">TK-03147</t>
  </si>
  <si>
    <t xml:space="preserve">TK-03148</t>
  </si>
  <si>
    <t xml:space="preserve">TK-03149</t>
  </si>
  <si>
    <t xml:space="preserve">TK-03150</t>
  </si>
  <si>
    <t xml:space="preserve">TK-03151</t>
  </si>
  <si>
    <t xml:space="preserve">TK-03152</t>
  </si>
  <si>
    <t xml:space="preserve">TK-03153</t>
  </si>
  <si>
    <t xml:space="preserve">TK-03154</t>
  </si>
  <si>
    <t xml:space="preserve">TK-03155</t>
  </si>
  <si>
    <t xml:space="preserve">TK-03156</t>
  </si>
  <si>
    <t xml:space="preserve">TK-03157</t>
  </si>
  <si>
    <t xml:space="preserve">TK-03158</t>
  </si>
  <si>
    <t xml:space="preserve">TK-03159</t>
  </si>
  <si>
    <t xml:space="preserve">TK-03160</t>
  </si>
  <si>
    <t xml:space="preserve">TK-03161</t>
  </si>
  <si>
    <t xml:space="preserve">TK-03162</t>
  </si>
  <si>
    <t xml:space="preserve">TK-03163</t>
  </si>
  <si>
    <t xml:space="preserve">TK-03164</t>
  </si>
  <si>
    <t xml:space="preserve">TK-03165</t>
  </si>
  <si>
    <t xml:space="preserve">TK-03166</t>
  </si>
  <si>
    <t xml:space="preserve">TK-03167</t>
  </si>
  <si>
    <t xml:space="preserve">TK-03168</t>
  </si>
  <si>
    <t xml:space="preserve">TK-03169</t>
  </si>
  <si>
    <t xml:space="preserve">TK-03170</t>
  </si>
  <si>
    <t xml:space="preserve">TK-03171</t>
  </si>
  <si>
    <t xml:space="preserve">TK-03172</t>
  </si>
  <si>
    <t xml:space="preserve">TK-03173</t>
  </si>
  <si>
    <t xml:space="preserve">TK-03174</t>
  </si>
  <si>
    <t xml:space="preserve">TK-03175</t>
  </si>
  <si>
    <t xml:space="preserve">TK-03176</t>
  </si>
  <si>
    <t xml:space="preserve">TK-03177</t>
  </si>
  <si>
    <t xml:space="preserve">TK-03178</t>
  </si>
  <si>
    <t xml:space="preserve">TK-03179</t>
  </si>
  <si>
    <t xml:space="preserve">TK-03180</t>
  </si>
  <si>
    <t xml:space="preserve">TK-03181</t>
  </si>
  <si>
    <t xml:space="preserve">TK-03182</t>
  </si>
  <si>
    <t xml:space="preserve">TK-03183</t>
  </si>
  <si>
    <t xml:space="preserve">TK-03184</t>
  </si>
  <si>
    <t xml:space="preserve">TK-03185</t>
  </si>
  <si>
    <t xml:space="preserve">TK-03186</t>
  </si>
  <si>
    <t xml:space="preserve">TK-03187</t>
  </si>
  <si>
    <t xml:space="preserve">TK-03188</t>
  </si>
  <si>
    <t xml:space="preserve">TK-03189</t>
  </si>
  <si>
    <t xml:space="preserve">TK-03190</t>
  </si>
  <si>
    <t xml:space="preserve">TK-03191</t>
  </si>
  <si>
    <t xml:space="preserve">TK-03192</t>
  </si>
  <si>
    <t xml:space="preserve">TK-03193</t>
  </si>
  <si>
    <t xml:space="preserve">TK-03194</t>
  </si>
  <si>
    <t xml:space="preserve">TK-03195</t>
  </si>
  <si>
    <t xml:space="preserve">TK-03196</t>
  </si>
  <si>
    <t xml:space="preserve">TK-03197</t>
  </si>
  <si>
    <t xml:space="preserve">TK-03198</t>
  </si>
  <si>
    <t xml:space="preserve">TK-03199</t>
  </si>
  <si>
    <t xml:space="preserve">TK-03200</t>
  </si>
  <si>
    <t xml:space="preserve">TK-03201</t>
  </si>
  <si>
    <t xml:space="preserve">TK-03202</t>
  </si>
  <si>
    <t xml:space="preserve">TK-03203</t>
  </si>
  <si>
    <t xml:space="preserve">TK-03204</t>
  </si>
  <si>
    <t xml:space="preserve">TK-03205</t>
  </si>
  <si>
    <t xml:space="preserve">TK-03206</t>
  </si>
  <si>
    <t xml:space="preserve">TK-03207</t>
  </si>
  <si>
    <t xml:space="preserve">TK-03208</t>
  </si>
  <si>
    <t xml:space="preserve">TK-03209</t>
  </si>
  <si>
    <t xml:space="preserve">TK-03210</t>
  </si>
  <si>
    <t xml:space="preserve">TK-03211</t>
  </si>
  <si>
    <t xml:space="preserve">TK-03212</t>
  </si>
  <si>
    <t xml:space="preserve">TK-03213</t>
  </si>
  <si>
    <t xml:space="preserve">TK-03214</t>
  </si>
  <si>
    <t xml:space="preserve">TK-03215</t>
  </si>
  <si>
    <t xml:space="preserve">TK-03216</t>
  </si>
  <si>
    <t xml:space="preserve">TK-03217</t>
  </si>
  <si>
    <t xml:space="preserve">TK-03218</t>
  </si>
  <si>
    <t xml:space="preserve">TK-03219</t>
  </si>
  <si>
    <t xml:space="preserve">TK-03220</t>
  </si>
  <si>
    <t xml:space="preserve">TK-03221</t>
  </si>
  <si>
    <t xml:space="preserve">TK-03222</t>
  </si>
  <si>
    <t xml:space="preserve">TK-03223</t>
  </si>
  <si>
    <t xml:space="preserve">TK-03224</t>
  </si>
  <si>
    <t xml:space="preserve">TK-03225</t>
  </si>
  <si>
    <t xml:space="preserve">TK-03226</t>
  </si>
  <si>
    <t xml:space="preserve">TK-03227</t>
  </si>
  <si>
    <t xml:space="preserve">TK-03228</t>
  </si>
  <si>
    <t xml:space="preserve">TK-03229</t>
  </si>
  <si>
    <t xml:space="preserve">TK-03230</t>
  </si>
  <si>
    <t xml:space="preserve">TK-03231</t>
  </si>
  <si>
    <t xml:space="preserve">TK-03232</t>
  </si>
  <si>
    <t xml:space="preserve">TK-03233</t>
  </si>
  <si>
    <t xml:space="preserve">TK-03234</t>
  </si>
  <si>
    <t xml:space="preserve">TK-03235</t>
  </si>
  <si>
    <t xml:space="preserve">TK-03236</t>
  </si>
  <si>
    <t xml:space="preserve">TK-03237</t>
  </si>
  <si>
    <t xml:space="preserve">TK-03238</t>
  </si>
  <si>
    <t xml:space="preserve">TK-03239</t>
  </si>
  <si>
    <t xml:space="preserve">TK-03240</t>
  </si>
  <si>
    <t xml:space="preserve">TK-03241</t>
  </si>
  <si>
    <t xml:space="preserve">TK-03242</t>
  </si>
  <si>
    <t xml:space="preserve">TK-03243</t>
  </si>
  <si>
    <t xml:space="preserve">TK-03244</t>
  </si>
  <si>
    <t xml:space="preserve">TK-03245</t>
  </si>
  <si>
    <t xml:space="preserve">TK-03246</t>
  </si>
  <si>
    <t xml:space="preserve">TK-03247</t>
  </si>
  <si>
    <t xml:space="preserve">TK-03248</t>
  </si>
  <si>
    <t xml:space="preserve">TK-03249</t>
  </si>
  <si>
    <t xml:space="preserve">TK-03250</t>
  </si>
  <si>
    <t xml:space="preserve">TK-03251</t>
  </si>
  <si>
    <t xml:space="preserve">TK-03252</t>
  </si>
  <si>
    <t xml:space="preserve">TK-03253</t>
  </si>
  <si>
    <t xml:space="preserve">TK-03254</t>
  </si>
  <si>
    <t xml:space="preserve">TK-03255</t>
  </si>
  <si>
    <t xml:space="preserve">TK-03256</t>
  </si>
  <si>
    <t xml:space="preserve">TK-03257</t>
  </si>
  <si>
    <t xml:space="preserve">TK-03258</t>
  </si>
  <si>
    <t xml:space="preserve">TK-03259</t>
  </si>
  <si>
    <t xml:space="preserve">TK-03260</t>
  </si>
  <si>
    <t xml:space="preserve">TK-03261</t>
  </si>
  <si>
    <t xml:space="preserve">TK-03262</t>
  </si>
  <si>
    <t xml:space="preserve">TK-03263</t>
  </si>
  <si>
    <t xml:space="preserve">TK-03264</t>
  </si>
  <si>
    <t xml:space="preserve">TK-03265</t>
  </si>
  <si>
    <t xml:space="preserve">TK-03266</t>
  </si>
  <si>
    <t xml:space="preserve">TK-03267</t>
  </si>
  <si>
    <t xml:space="preserve">TK-03268</t>
  </si>
  <si>
    <t xml:space="preserve">TK-03269</t>
  </si>
  <si>
    <t xml:space="preserve">TK-03270</t>
  </si>
  <si>
    <t xml:space="preserve">TK-03271</t>
  </si>
  <si>
    <t xml:space="preserve">TK-03272</t>
  </si>
  <si>
    <t xml:space="preserve">TK-03273</t>
  </si>
  <si>
    <t xml:space="preserve">TK-03274</t>
  </si>
  <si>
    <t xml:space="preserve">TK-03275</t>
  </si>
  <si>
    <t xml:space="preserve">TK-03276</t>
  </si>
  <si>
    <t xml:space="preserve">TK-03277</t>
  </si>
  <si>
    <t xml:space="preserve">TK-03278</t>
  </si>
  <si>
    <t xml:space="preserve">TK-03279</t>
  </si>
  <si>
    <t xml:space="preserve">TK-03280</t>
  </si>
  <si>
    <t xml:space="preserve">TK-03281</t>
  </si>
  <si>
    <t xml:space="preserve">TK-03282</t>
  </si>
  <si>
    <t xml:space="preserve">TK-03283</t>
  </si>
  <si>
    <t xml:space="preserve">TK-03284</t>
  </si>
  <si>
    <t xml:space="preserve">TK-03285</t>
  </si>
  <si>
    <t xml:space="preserve">TK-03286</t>
  </si>
  <si>
    <t xml:space="preserve">TK-03287</t>
  </si>
  <si>
    <t xml:space="preserve">TK-03288</t>
  </si>
  <si>
    <t xml:space="preserve">TK-03289</t>
  </si>
  <si>
    <t xml:space="preserve">TK-03290</t>
  </si>
  <si>
    <t xml:space="preserve">TK-03291</t>
  </si>
  <si>
    <t xml:space="preserve">TK-03292</t>
  </si>
  <si>
    <t xml:space="preserve">TK-03293</t>
  </si>
  <si>
    <t xml:space="preserve">TK-03294</t>
  </si>
  <si>
    <t xml:space="preserve">TK-03295</t>
  </si>
  <si>
    <t xml:space="preserve">TK-03296</t>
  </si>
  <si>
    <t xml:space="preserve">TK-03297</t>
  </si>
  <si>
    <t xml:space="preserve">TK-03298</t>
  </si>
  <si>
    <t xml:space="preserve">TK-03299</t>
  </si>
  <si>
    <t xml:space="preserve">TK-03300</t>
  </si>
  <si>
    <t xml:space="preserve">TK-03301</t>
  </si>
  <si>
    <t xml:space="preserve">TK-03302</t>
  </si>
  <si>
    <t xml:space="preserve">TK-03303</t>
  </si>
  <si>
    <t xml:space="preserve">TK-03304</t>
  </si>
  <si>
    <t xml:space="preserve">TK-03305</t>
  </si>
  <si>
    <t xml:space="preserve">TK-03306</t>
  </si>
  <si>
    <t xml:space="preserve">TK-03307</t>
  </si>
  <si>
    <t xml:space="preserve">TK-03308</t>
  </si>
  <si>
    <t xml:space="preserve">TK-03309</t>
  </si>
  <si>
    <t xml:space="preserve">TK-03310</t>
  </si>
  <si>
    <t xml:space="preserve">TK-03311</t>
  </si>
  <si>
    <t xml:space="preserve">TK-03312</t>
  </si>
  <si>
    <t xml:space="preserve">TK-03313</t>
  </si>
  <si>
    <t xml:space="preserve">TK-03314</t>
  </si>
  <si>
    <t xml:space="preserve">TK-03315</t>
  </si>
  <si>
    <t xml:space="preserve">TK-03316</t>
  </si>
  <si>
    <t xml:space="preserve">TK-03317</t>
  </si>
  <si>
    <t xml:space="preserve">TK-03318</t>
  </si>
  <si>
    <t xml:space="preserve">TK-03319</t>
  </si>
  <si>
    <t xml:space="preserve">TK-03320</t>
  </si>
  <si>
    <t xml:space="preserve">TK-03321</t>
  </si>
  <si>
    <t xml:space="preserve">TK-03322</t>
  </si>
  <si>
    <t xml:space="preserve">TK-03323</t>
  </si>
  <si>
    <t xml:space="preserve">TK-03324</t>
  </si>
  <si>
    <t xml:space="preserve">TK-03325</t>
  </si>
  <si>
    <t xml:space="preserve">TK-03326</t>
  </si>
  <si>
    <t xml:space="preserve">TK-03327</t>
  </si>
  <si>
    <t xml:space="preserve">TK-03328</t>
  </si>
  <si>
    <t xml:space="preserve">TK-03329</t>
  </si>
  <si>
    <t xml:space="preserve">TK-03330</t>
  </si>
  <si>
    <t xml:space="preserve">TK-03331</t>
  </si>
  <si>
    <t xml:space="preserve">TK-03332</t>
  </si>
  <si>
    <t xml:space="preserve">TK-03333</t>
  </si>
  <si>
    <t xml:space="preserve">TK-03334</t>
  </si>
  <si>
    <t xml:space="preserve">TK-03335</t>
  </si>
  <si>
    <t xml:space="preserve">TK-03336</t>
  </si>
  <si>
    <t xml:space="preserve">TK-03337</t>
  </si>
  <si>
    <t xml:space="preserve">TK-03338</t>
  </si>
  <si>
    <t xml:space="preserve">TK-03339</t>
  </si>
  <si>
    <t xml:space="preserve">TK-03340</t>
  </si>
  <si>
    <t xml:space="preserve">TK-03341</t>
  </si>
  <si>
    <t xml:space="preserve">TK-03342</t>
  </si>
  <si>
    <t xml:space="preserve">TK-03343</t>
  </si>
  <si>
    <t xml:space="preserve">TK-03344</t>
  </si>
  <si>
    <t xml:space="preserve">TK-03345</t>
  </si>
  <si>
    <t xml:space="preserve">TK-03346</t>
  </si>
  <si>
    <t xml:space="preserve">TK-03347</t>
  </si>
  <si>
    <t xml:space="preserve">TK-03348</t>
  </si>
  <si>
    <t xml:space="preserve">TK-03349</t>
  </si>
  <si>
    <t xml:space="preserve">TK-03350</t>
  </si>
  <si>
    <t xml:space="preserve">TK-03351</t>
  </si>
  <si>
    <t xml:space="preserve">TK-03352</t>
  </si>
  <si>
    <t xml:space="preserve">TK-03353</t>
  </si>
  <si>
    <t xml:space="preserve">TK-03354</t>
  </si>
  <si>
    <t xml:space="preserve">TK-03355</t>
  </si>
  <si>
    <t xml:space="preserve">TK-03356</t>
  </si>
  <si>
    <t xml:space="preserve">TK-03357</t>
  </si>
  <si>
    <t xml:space="preserve">TK-03358</t>
  </si>
  <si>
    <t xml:space="preserve">TK-03359</t>
  </si>
  <si>
    <t xml:space="preserve">TK-03360</t>
  </si>
  <si>
    <t xml:space="preserve">TK-03361</t>
  </si>
  <si>
    <t xml:space="preserve">TK-03362</t>
  </si>
  <si>
    <t xml:space="preserve">TK-03363</t>
  </si>
  <si>
    <t xml:space="preserve">TK-03364</t>
  </si>
  <si>
    <t xml:space="preserve">TK-03365</t>
  </si>
  <si>
    <t xml:space="preserve">TK-03366</t>
  </si>
  <si>
    <t xml:space="preserve">TK-03367</t>
  </si>
  <si>
    <t xml:space="preserve">TK-03368</t>
  </si>
  <si>
    <t xml:space="preserve">TK-03369</t>
  </si>
  <si>
    <t xml:space="preserve">TK-03370</t>
  </si>
  <si>
    <t xml:space="preserve">TK-03371</t>
  </si>
  <si>
    <t xml:space="preserve">TK-03372</t>
  </si>
  <si>
    <t xml:space="preserve">TK-03373</t>
  </si>
  <si>
    <t xml:space="preserve">TK-03374</t>
  </si>
  <si>
    <t xml:space="preserve">TK-03375</t>
  </si>
  <si>
    <t xml:space="preserve">TK-03376</t>
  </si>
  <si>
    <t xml:space="preserve">TK-03377</t>
  </si>
  <si>
    <t xml:space="preserve">TK-03378</t>
  </si>
  <si>
    <t xml:space="preserve">TK-03379</t>
  </si>
  <si>
    <t xml:space="preserve">TK-03380</t>
  </si>
  <si>
    <t xml:space="preserve">TK-03381</t>
  </si>
  <si>
    <t xml:space="preserve">TK-03382</t>
  </si>
  <si>
    <t xml:space="preserve">TK-03383</t>
  </si>
  <si>
    <t xml:space="preserve">TK-03384</t>
  </si>
  <si>
    <t xml:space="preserve">TK-03385</t>
  </si>
  <si>
    <t xml:space="preserve">TK-03386</t>
  </si>
  <si>
    <t xml:space="preserve">TK-03387</t>
  </si>
  <si>
    <t xml:space="preserve">TK-03388</t>
  </si>
  <si>
    <t xml:space="preserve">TK-03389</t>
  </si>
  <si>
    <t xml:space="preserve">TK-03390</t>
  </si>
  <si>
    <t xml:space="preserve">TK-03391</t>
  </si>
  <si>
    <t xml:space="preserve">TK-03392</t>
  </si>
  <si>
    <t xml:space="preserve">TK-03393</t>
  </si>
  <si>
    <t xml:space="preserve">TK-03394</t>
  </si>
  <si>
    <t xml:space="preserve">TK-03395</t>
  </si>
  <si>
    <t xml:space="preserve">TK-03396</t>
  </si>
  <si>
    <t xml:space="preserve">TK-03397</t>
  </si>
  <si>
    <t xml:space="preserve">TK-03398</t>
  </si>
  <si>
    <t xml:space="preserve">TK-03399</t>
  </si>
  <si>
    <t xml:space="preserve">TK-03400</t>
  </si>
  <si>
    <t xml:space="preserve">TK-03401</t>
  </si>
  <si>
    <t xml:space="preserve">TK-03402</t>
  </si>
  <si>
    <t xml:space="preserve">TK-03403</t>
  </si>
  <si>
    <t xml:space="preserve">TK-03404</t>
  </si>
  <si>
    <t xml:space="preserve">TK-03405</t>
  </si>
  <si>
    <t xml:space="preserve">TK-03406</t>
  </si>
  <si>
    <t xml:space="preserve">TK-03407</t>
  </si>
  <si>
    <t xml:space="preserve">TK-03408</t>
  </si>
  <si>
    <t xml:space="preserve">TK-03409</t>
  </si>
  <si>
    <t xml:space="preserve">TK-03410</t>
  </si>
  <si>
    <t xml:space="preserve">TK-03411</t>
  </si>
  <si>
    <t xml:space="preserve">TK-03412</t>
  </si>
  <si>
    <t xml:space="preserve">TK-03413</t>
  </si>
  <si>
    <t xml:space="preserve">TK-03414</t>
  </si>
  <si>
    <t xml:space="preserve">TK-03415</t>
  </si>
  <si>
    <t xml:space="preserve">TK-03416</t>
  </si>
  <si>
    <t xml:space="preserve">TK-03417</t>
  </si>
  <si>
    <t xml:space="preserve">TK-03418</t>
  </si>
  <si>
    <t xml:space="preserve">TK-03419</t>
  </si>
  <si>
    <t xml:space="preserve">TK-03420</t>
  </si>
  <si>
    <t xml:space="preserve">TK-03421</t>
  </si>
  <si>
    <t xml:space="preserve">TK-03422</t>
  </si>
  <si>
    <t xml:space="preserve">TK-03423</t>
  </si>
  <si>
    <t xml:space="preserve">TK-03424</t>
  </si>
  <si>
    <t xml:space="preserve">TK-03425</t>
  </si>
  <si>
    <t xml:space="preserve">TK-03426</t>
  </si>
  <si>
    <t xml:space="preserve">TK-03427</t>
  </si>
  <si>
    <t xml:space="preserve">TK-03428</t>
  </si>
  <si>
    <t xml:space="preserve">TK-03429</t>
  </si>
  <si>
    <t xml:space="preserve">TK-03430</t>
  </si>
  <si>
    <t xml:space="preserve">TK-03431</t>
  </si>
  <si>
    <t xml:space="preserve">TK-03432</t>
  </si>
  <si>
    <t xml:space="preserve">TK-03433</t>
  </si>
  <si>
    <t xml:space="preserve">TK-03434</t>
  </si>
  <si>
    <t xml:space="preserve">TK-03435</t>
  </si>
  <si>
    <t xml:space="preserve">TK-03436</t>
  </si>
  <si>
    <t xml:space="preserve">TK-03437</t>
  </si>
  <si>
    <t xml:space="preserve">TK-03438</t>
  </si>
  <si>
    <t xml:space="preserve">TK-03439</t>
  </si>
  <si>
    <t xml:space="preserve">TK-03440</t>
  </si>
  <si>
    <t xml:space="preserve">TK-03441</t>
  </si>
  <si>
    <t xml:space="preserve">TK-03442</t>
  </si>
  <si>
    <t xml:space="preserve">TK-03443</t>
  </si>
  <si>
    <t xml:space="preserve">TK-03444</t>
  </si>
  <si>
    <t xml:space="preserve">TK-03445</t>
  </si>
  <si>
    <t xml:space="preserve">TK-03446</t>
  </si>
  <si>
    <t xml:space="preserve">TK-03447</t>
  </si>
  <si>
    <t xml:space="preserve">TK-03448</t>
  </si>
  <si>
    <t xml:space="preserve">TK-03449</t>
  </si>
  <si>
    <t xml:space="preserve">TK-03450</t>
  </si>
  <si>
    <t xml:space="preserve">TK-03451</t>
  </si>
  <si>
    <t xml:space="preserve">TK-03452</t>
  </si>
  <si>
    <t xml:space="preserve">TK-03453</t>
  </si>
  <si>
    <t xml:space="preserve">TK-03454</t>
  </si>
  <si>
    <t xml:space="preserve">TK-03455</t>
  </si>
  <si>
    <t xml:space="preserve">TK-03456</t>
  </si>
  <si>
    <t xml:space="preserve">TK-03457</t>
  </si>
  <si>
    <t xml:space="preserve">TK-03458</t>
  </si>
  <si>
    <t xml:space="preserve">TK-03459</t>
  </si>
  <si>
    <t xml:space="preserve">TK-03460</t>
  </si>
  <si>
    <t xml:space="preserve">TK-03461</t>
  </si>
  <si>
    <t xml:space="preserve">TK-03462</t>
  </si>
  <si>
    <t xml:space="preserve">TK-03463</t>
  </si>
  <si>
    <t xml:space="preserve">TK-03464</t>
  </si>
  <si>
    <t xml:space="preserve">TK-03465</t>
  </si>
  <si>
    <t xml:space="preserve">TK-03466</t>
  </si>
  <si>
    <t xml:space="preserve">TK-03467</t>
  </si>
  <si>
    <t xml:space="preserve">TK-03468</t>
  </si>
  <si>
    <t xml:space="preserve">TK-03469</t>
  </si>
  <si>
    <t xml:space="preserve">TK-03470</t>
  </si>
  <si>
    <t xml:space="preserve">TK-03471</t>
  </si>
  <si>
    <t xml:space="preserve">TK-03472</t>
  </si>
  <si>
    <t xml:space="preserve">TK-03473</t>
  </si>
  <si>
    <t xml:space="preserve">TK-03474</t>
  </si>
  <si>
    <t xml:space="preserve">TK-03475</t>
  </si>
  <si>
    <t xml:space="preserve">TK-03476</t>
  </si>
  <si>
    <t xml:space="preserve">TK-03477</t>
  </si>
  <si>
    <t xml:space="preserve">TK-03478</t>
  </si>
  <si>
    <t xml:space="preserve">TK-03479</t>
  </si>
  <si>
    <t xml:space="preserve">TK-03480</t>
  </si>
  <si>
    <t xml:space="preserve">TK-03481</t>
  </si>
  <si>
    <t xml:space="preserve">TK-03482</t>
  </si>
  <si>
    <t xml:space="preserve">TK-03483</t>
  </si>
  <si>
    <t xml:space="preserve">TK-03484</t>
  </si>
  <si>
    <t xml:space="preserve">TK-03485</t>
  </si>
  <si>
    <t xml:space="preserve">TK-03486</t>
  </si>
  <si>
    <t xml:space="preserve">TK-03487</t>
  </si>
  <si>
    <t xml:space="preserve">TK-03488</t>
  </si>
  <si>
    <t xml:space="preserve">TK-03489</t>
  </si>
  <si>
    <t xml:space="preserve">TK-03490</t>
  </si>
  <si>
    <t xml:space="preserve">TK-03491</t>
  </si>
  <si>
    <t xml:space="preserve">TK-03492</t>
  </si>
  <si>
    <t xml:space="preserve">TK-03493</t>
  </si>
  <si>
    <t xml:space="preserve">TK-03494</t>
  </si>
  <si>
    <t xml:space="preserve">TK-03495</t>
  </si>
  <si>
    <t xml:space="preserve">TK-03496</t>
  </si>
  <si>
    <t xml:space="preserve">TK-03497</t>
  </si>
  <si>
    <t xml:space="preserve">TK-03498</t>
  </si>
  <si>
    <t xml:space="preserve">TK-03499</t>
  </si>
  <si>
    <t xml:space="preserve">TK-03500</t>
  </si>
  <si>
    <t xml:space="preserve">TK-03501</t>
  </si>
  <si>
    <t xml:space="preserve">TK-03502</t>
  </si>
  <si>
    <t xml:space="preserve">TK-03503</t>
  </si>
  <si>
    <t xml:space="preserve">TK-03504</t>
  </si>
  <si>
    <t xml:space="preserve">TK-03505</t>
  </si>
  <si>
    <t xml:space="preserve">TK-03506</t>
  </si>
  <si>
    <t xml:space="preserve">TK-03507</t>
  </si>
  <si>
    <t xml:space="preserve">TK-03508</t>
  </si>
  <si>
    <t xml:space="preserve">TK-03509</t>
  </si>
  <si>
    <t xml:space="preserve">TK-03510</t>
  </si>
  <si>
    <t xml:space="preserve">TK-03511</t>
  </si>
  <si>
    <t xml:space="preserve">TK-03512</t>
  </si>
  <si>
    <t xml:space="preserve">TK-03513</t>
  </si>
  <si>
    <t xml:space="preserve">TK-03514</t>
  </si>
  <si>
    <t xml:space="preserve">TK-03515</t>
  </si>
  <si>
    <t xml:space="preserve">TK-03516</t>
  </si>
  <si>
    <t xml:space="preserve">TK-03517</t>
  </si>
  <si>
    <t xml:space="preserve">TK-03518</t>
  </si>
  <si>
    <t xml:space="preserve">TK-03519</t>
  </si>
  <si>
    <t xml:space="preserve">TK-03520</t>
  </si>
  <si>
    <t xml:space="preserve">TK-03521</t>
  </si>
  <si>
    <t xml:space="preserve">TK-03522</t>
  </si>
  <si>
    <t xml:space="preserve">TK-03523</t>
  </si>
  <si>
    <t xml:space="preserve">TK-03524</t>
  </si>
  <si>
    <t xml:space="preserve">TK-03525</t>
  </si>
  <si>
    <t xml:space="preserve">TK-03526</t>
  </si>
  <si>
    <t xml:space="preserve">TK-03527</t>
  </si>
  <si>
    <t xml:space="preserve">TK-03528</t>
  </si>
  <si>
    <t xml:space="preserve">TK-03529</t>
  </si>
  <si>
    <t xml:space="preserve">TK-03530</t>
  </si>
  <si>
    <t xml:space="preserve">TK-03531</t>
  </si>
  <si>
    <t xml:space="preserve">TK-03532</t>
  </si>
  <si>
    <t xml:space="preserve">TK-03533</t>
  </si>
  <si>
    <t xml:space="preserve">TK-03534</t>
  </si>
  <si>
    <t xml:space="preserve">TK-03535</t>
  </si>
  <si>
    <t xml:space="preserve">TK-03536</t>
  </si>
  <si>
    <t xml:space="preserve">TK-03537</t>
  </si>
  <si>
    <t xml:space="preserve">TK-03538</t>
  </si>
  <si>
    <t xml:space="preserve">TK-03539</t>
  </si>
  <si>
    <t xml:space="preserve">TK-03540</t>
  </si>
  <si>
    <t xml:space="preserve">TK-03541</t>
  </si>
  <si>
    <t xml:space="preserve">TK-03542</t>
  </si>
  <si>
    <t xml:space="preserve">TK-03543</t>
  </si>
  <si>
    <t xml:space="preserve">TK-03544</t>
  </si>
  <si>
    <t xml:space="preserve">TK-03545</t>
  </si>
  <si>
    <t xml:space="preserve">TK-03546</t>
  </si>
  <si>
    <t xml:space="preserve">TK-03547</t>
  </si>
  <si>
    <t xml:space="preserve">TK-03548</t>
  </si>
  <si>
    <t xml:space="preserve">TK-03549</t>
  </si>
  <si>
    <t xml:space="preserve">TK-03550</t>
  </si>
  <si>
    <t xml:space="preserve">TK-03551</t>
  </si>
  <si>
    <t xml:space="preserve">TK-03552</t>
  </si>
  <si>
    <t xml:space="preserve">TK-03553</t>
  </si>
  <si>
    <t xml:space="preserve">TK-03554</t>
  </si>
  <si>
    <t xml:space="preserve">TK-03555</t>
  </si>
  <si>
    <t xml:space="preserve">TK-03556</t>
  </si>
  <si>
    <t xml:space="preserve">TK-03557</t>
  </si>
  <si>
    <t xml:space="preserve">TK-03558</t>
  </si>
  <si>
    <t xml:space="preserve">TK-03559</t>
  </si>
  <si>
    <t xml:space="preserve">TK-03560</t>
  </si>
  <si>
    <t xml:space="preserve">TK-03561</t>
  </si>
  <si>
    <t xml:space="preserve">TK-03562</t>
  </si>
  <si>
    <t xml:space="preserve">TK-03563</t>
  </si>
  <si>
    <t xml:space="preserve">TK-03564</t>
  </si>
  <si>
    <t xml:space="preserve">TK-03565</t>
  </si>
  <si>
    <t xml:space="preserve">TK-03566</t>
  </si>
  <si>
    <t xml:space="preserve">TK-03567</t>
  </si>
  <si>
    <t xml:space="preserve">TK-03568</t>
  </si>
  <si>
    <t xml:space="preserve">TK-03569</t>
  </si>
  <si>
    <t xml:space="preserve">TK-03570</t>
  </si>
  <si>
    <t xml:space="preserve">TK-03571</t>
  </si>
  <si>
    <t xml:space="preserve">TK-03572</t>
  </si>
  <si>
    <t xml:space="preserve">TK-03573</t>
  </si>
  <si>
    <t xml:space="preserve">TK-03574</t>
  </si>
  <si>
    <t xml:space="preserve">TK-03575</t>
  </si>
  <si>
    <t xml:space="preserve">TK-03576</t>
  </si>
  <si>
    <t xml:space="preserve">TK-03577</t>
  </si>
  <si>
    <t xml:space="preserve">TK-03578</t>
  </si>
  <si>
    <t xml:space="preserve">TK-03579</t>
  </si>
  <si>
    <t xml:space="preserve">TK-03580</t>
  </si>
  <si>
    <t xml:space="preserve">TK-03581</t>
  </si>
  <si>
    <t xml:space="preserve">TK-03582</t>
  </si>
  <si>
    <t xml:space="preserve">TK-03583</t>
  </si>
  <si>
    <t xml:space="preserve">TK-03584</t>
  </si>
  <si>
    <t xml:space="preserve">TK-03585</t>
  </si>
  <si>
    <t xml:space="preserve">TK-03586</t>
  </si>
  <si>
    <t xml:space="preserve">TK-03587</t>
  </si>
  <si>
    <t xml:space="preserve">TK-03588</t>
  </si>
  <si>
    <t xml:space="preserve">TK-03589</t>
  </si>
  <si>
    <t xml:space="preserve">TK-03590</t>
  </si>
  <si>
    <t xml:space="preserve">TK-03591</t>
  </si>
  <si>
    <t xml:space="preserve">TK-03592</t>
  </si>
  <si>
    <t xml:space="preserve">TK-03593</t>
  </si>
  <si>
    <t xml:space="preserve">TK-03594</t>
  </si>
  <si>
    <t xml:space="preserve">TK-03595</t>
  </si>
  <si>
    <t xml:space="preserve">TK-03596</t>
  </si>
  <si>
    <t xml:space="preserve">TK-03597</t>
  </si>
  <si>
    <t xml:space="preserve">TK-03598</t>
  </si>
  <si>
    <t xml:space="preserve">TK-03599</t>
  </si>
  <si>
    <t xml:space="preserve">TK-03600</t>
  </si>
  <si>
    <t xml:space="preserve">TK-03601</t>
  </si>
  <si>
    <t xml:space="preserve">TK-03602</t>
  </si>
  <si>
    <t xml:space="preserve">TK-03603</t>
  </si>
  <si>
    <t xml:space="preserve">TK-03604</t>
  </si>
  <si>
    <t xml:space="preserve">TK-03605</t>
  </si>
  <si>
    <t xml:space="preserve">TK-03606</t>
  </si>
  <si>
    <t xml:space="preserve">TK-03607</t>
  </si>
  <si>
    <t xml:space="preserve">TK-03608</t>
  </si>
  <si>
    <t xml:space="preserve">TK-03609</t>
  </si>
  <si>
    <t xml:space="preserve">TK-03610</t>
  </si>
  <si>
    <t xml:space="preserve">TK-03611</t>
  </si>
  <si>
    <t xml:space="preserve">TK-03612</t>
  </si>
  <si>
    <t xml:space="preserve">TK-03613</t>
  </si>
  <si>
    <t xml:space="preserve">TK-03614</t>
  </si>
  <si>
    <t xml:space="preserve">TK-03615</t>
  </si>
  <si>
    <t xml:space="preserve">TK-03616</t>
  </si>
  <si>
    <t xml:space="preserve">TK-03617</t>
  </si>
  <si>
    <t xml:space="preserve">TK-03618</t>
  </si>
  <si>
    <t xml:space="preserve">TK-03619</t>
  </si>
  <si>
    <t xml:space="preserve">TK-03620</t>
  </si>
  <si>
    <t xml:space="preserve">TK-03621</t>
  </si>
  <si>
    <t xml:space="preserve">TK-03622</t>
  </si>
  <si>
    <t xml:space="preserve">TK-03623</t>
  </si>
  <si>
    <t xml:space="preserve">TK-03624</t>
  </si>
  <si>
    <t xml:space="preserve">TK-03625</t>
  </si>
  <si>
    <t xml:space="preserve">TK-03626</t>
  </si>
  <si>
    <t xml:space="preserve">TK-03627</t>
  </si>
  <si>
    <t xml:space="preserve">TK-03628</t>
  </si>
  <si>
    <t xml:space="preserve">TK-03629</t>
  </si>
  <si>
    <t xml:space="preserve">TK-03630</t>
  </si>
  <si>
    <t xml:space="preserve">TK-03631</t>
  </si>
  <si>
    <t xml:space="preserve">TK-03632</t>
  </si>
  <si>
    <t xml:space="preserve">TK-03633</t>
  </si>
  <si>
    <t xml:space="preserve">TK-03634</t>
  </si>
  <si>
    <t xml:space="preserve">TK-03635</t>
  </si>
  <si>
    <t xml:space="preserve">TK-03636</t>
  </si>
  <si>
    <t xml:space="preserve">TK-03637</t>
  </si>
  <si>
    <t xml:space="preserve">TK-03638</t>
  </si>
  <si>
    <t xml:space="preserve">TK-03639</t>
  </si>
  <si>
    <t xml:space="preserve">TK-03640</t>
  </si>
  <si>
    <t xml:space="preserve">TK-03641</t>
  </si>
  <si>
    <t xml:space="preserve">TK-03642</t>
  </si>
  <si>
    <t xml:space="preserve">TK-03643</t>
  </si>
  <si>
    <t xml:space="preserve">TK-03644</t>
  </si>
  <si>
    <t xml:space="preserve">TK-03645</t>
  </si>
  <si>
    <t xml:space="preserve">TK-03646</t>
  </si>
  <si>
    <t xml:space="preserve">TK-03647</t>
  </si>
  <si>
    <t xml:space="preserve">TK-03648</t>
  </si>
  <si>
    <t xml:space="preserve">TK-03649</t>
  </si>
  <si>
    <t xml:space="preserve">TK-03650</t>
  </si>
  <si>
    <t xml:space="preserve">TK-03651</t>
  </si>
  <si>
    <t xml:space="preserve">TK-03652</t>
  </si>
  <si>
    <t xml:space="preserve">TK-03653</t>
  </si>
  <si>
    <t xml:space="preserve">TK-03654</t>
  </si>
  <si>
    <t xml:space="preserve">TK-03655</t>
  </si>
  <si>
    <t xml:space="preserve">TK-03656</t>
  </si>
  <si>
    <t xml:space="preserve">TK-03657</t>
  </si>
  <si>
    <t xml:space="preserve">TK-03658</t>
  </si>
  <si>
    <t xml:space="preserve">TK-03659</t>
  </si>
  <si>
    <t xml:space="preserve">TK-03660</t>
  </si>
  <si>
    <t xml:space="preserve">TK-03661</t>
  </si>
  <si>
    <t xml:space="preserve">TK-03662</t>
  </si>
  <si>
    <t xml:space="preserve">TK-03663</t>
  </si>
  <si>
    <t xml:space="preserve">TK-03664</t>
  </si>
  <si>
    <t xml:space="preserve">TK-03665</t>
  </si>
  <si>
    <t xml:space="preserve">TK-03666</t>
  </si>
  <si>
    <t xml:space="preserve">TK-03667</t>
  </si>
  <si>
    <t xml:space="preserve">TK-03668</t>
  </si>
  <si>
    <t xml:space="preserve">TK-03669</t>
  </si>
  <si>
    <t xml:space="preserve">TK-03670</t>
  </si>
  <si>
    <t xml:space="preserve">TK-03671</t>
  </si>
  <si>
    <t xml:space="preserve">TK-03672</t>
  </si>
  <si>
    <t xml:space="preserve">TK-03673</t>
  </si>
  <si>
    <t xml:space="preserve">TK-03674</t>
  </si>
  <si>
    <t xml:space="preserve">TK-03675</t>
  </si>
  <si>
    <t xml:space="preserve">TK-03676</t>
  </si>
  <si>
    <t xml:space="preserve">TK-03677</t>
  </si>
  <si>
    <t xml:space="preserve">TK-03678</t>
  </si>
  <si>
    <t xml:space="preserve">TK-03679</t>
  </si>
  <si>
    <t xml:space="preserve">TK-03680</t>
  </si>
  <si>
    <t xml:space="preserve">TK-03681</t>
  </si>
  <si>
    <t xml:space="preserve">TK-03682</t>
  </si>
  <si>
    <t xml:space="preserve">TK-03683</t>
  </si>
  <si>
    <t xml:space="preserve">TK-03684</t>
  </si>
  <si>
    <t xml:space="preserve">TK-03685</t>
  </si>
  <si>
    <t xml:space="preserve">TK-03686</t>
  </si>
  <si>
    <t xml:space="preserve">TK-03687</t>
  </si>
  <si>
    <t xml:space="preserve">TK-03688</t>
  </si>
  <si>
    <t xml:space="preserve">TK-03689</t>
  </si>
  <si>
    <t xml:space="preserve">TK-03690</t>
  </si>
  <si>
    <t xml:space="preserve">TK-03691</t>
  </si>
  <si>
    <t xml:space="preserve">TK-03692</t>
  </si>
  <si>
    <t xml:space="preserve">TK-03693</t>
  </si>
  <si>
    <t xml:space="preserve">TK-03694</t>
  </si>
  <si>
    <t xml:space="preserve">TK-03695</t>
  </si>
  <si>
    <t xml:space="preserve">TK-03696</t>
  </si>
  <si>
    <t xml:space="preserve">TK-03697</t>
  </si>
  <si>
    <t xml:space="preserve">TK-03698</t>
  </si>
  <si>
    <t xml:space="preserve">TK-03699</t>
  </si>
  <si>
    <t xml:space="preserve">TK-03700</t>
  </si>
  <si>
    <t xml:space="preserve">TK-03701</t>
  </si>
  <si>
    <t xml:space="preserve">TK-03702</t>
  </si>
  <si>
    <t xml:space="preserve">TK-03703</t>
  </si>
  <si>
    <t xml:space="preserve">TK-03704</t>
  </si>
  <si>
    <t xml:space="preserve">TK-03705</t>
  </si>
  <si>
    <t xml:space="preserve">TK-03706</t>
  </si>
  <si>
    <t xml:space="preserve">TK-03707</t>
  </si>
  <si>
    <t xml:space="preserve">TK-03708</t>
  </si>
  <si>
    <t xml:space="preserve">TK-03709</t>
  </si>
  <si>
    <t xml:space="preserve">TK-03710</t>
  </si>
  <si>
    <t xml:space="preserve">TK-03711</t>
  </si>
  <si>
    <t xml:space="preserve">TK-03712</t>
  </si>
  <si>
    <t xml:space="preserve">TK-03713</t>
  </si>
  <si>
    <t xml:space="preserve">TK-03714</t>
  </si>
  <si>
    <t xml:space="preserve">TK-03715</t>
  </si>
  <si>
    <t xml:space="preserve">TK-03716</t>
  </si>
  <si>
    <t xml:space="preserve">TK-03717</t>
  </si>
  <si>
    <t xml:space="preserve">TK-03718</t>
  </si>
  <si>
    <t xml:space="preserve">TK-03719</t>
  </si>
  <si>
    <t xml:space="preserve">TK-03720</t>
  </si>
  <si>
    <t xml:space="preserve">TK-03721</t>
  </si>
  <si>
    <t xml:space="preserve">TK-03722</t>
  </si>
  <si>
    <t xml:space="preserve">TK-03723</t>
  </si>
  <si>
    <t xml:space="preserve">TK-03724</t>
  </si>
  <si>
    <t xml:space="preserve">TK-03725</t>
  </si>
  <si>
    <t xml:space="preserve">TK-03726</t>
  </si>
  <si>
    <t xml:space="preserve">TK-03727</t>
  </si>
  <si>
    <t xml:space="preserve">TK-03728</t>
  </si>
  <si>
    <t xml:space="preserve">TK-03729</t>
  </si>
  <si>
    <t xml:space="preserve">TK-03730</t>
  </si>
  <si>
    <t xml:space="preserve">TK-03731</t>
  </si>
  <si>
    <t xml:space="preserve">TK-03732</t>
  </si>
  <si>
    <t xml:space="preserve">TK-03733</t>
  </si>
  <si>
    <t xml:space="preserve">TK-03734</t>
  </si>
  <si>
    <t xml:space="preserve">TK-03735</t>
  </si>
  <si>
    <t xml:space="preserve">TK-03736</t>
  </si>
  <si>
    <t xml:space="preserve">TK-03737</t>
  </si>
  <si>
    <t xml:space="preserve">TK-03738</t>
  </si>
  <si>
    <t xml:space="preserve">TK-03739</t>
  </si>
  <si>
    <t xml:space="preserve">TK-03740</t>
  </si>
  <si>
    <t xml:space="preserve">TK-03741</t>
  </si>
  <si>
    <t xml:space="preserve">TK-03742</t>
  </si>
  <si>
    <t xml:space="preserve">TK-03743</t>
  </si>
  <si>
    <t xml:space="preserve">TK-03744</t>
  </si>
  <si>
    <t xml:space="preserve">TK-03745</t>
  </si>
  <si>
    <t xml:space="preserve">TK-03746</t>
  </si>
  <si>
    <t xml:space="preserve">TK-03747</t>
  </si>
  <si>
    <t xml:space="preserve">TK-03748</t>
  </si>
  <si>
    <t xml:space="preserve">TK-03749</t>
  </si>
  <si>
    <t xml:space="preserve">TK-03750</t>
  </si>
  <si>
    <t xml:space="preserve">TK-03751</t>
  </si>
  <si>
    <t xml:space="preserve">TK-03752</t>
  </si>
  <si>
    <t xml:space="preserve">TK-03753</t>
  </si>
  <si>
    <t xml:space="preserve">TK-03754</t>
  </si>
  <si>
    <t xml:space="preserve">TK-03755</t>
  </si>
  <si>
    <t xml:space="preserve">TK-03756</t>
  </si>
  <si>
    <t xml:space="preserve">TK-03757</t>
  </si>
  <si>
    <t xml:space="preserve">TK-03758</t>
  </si>
  <si>
    <t xml:space="preserve">TK-03759</t>
  </si>
  <si>
    <t xml:space="preserve">TK-03760</t>
  </si>
  <si>
    <t xml:space="preserve">TK-03761</t>
  </si>
  <si>
    <t xml:space="preserve">TK-03762</t>
  </si>
  <si>
    <t xml:space="preserve">TK-03763</t>
  </si>
  <si>
    <t xml:space="preserve">TK-03764</t>
  </si>
  <si>
    <t xml:space="preserve">TK-03765</t>
  </si>
  <si>
    <t xml:space="preserve">TK-03766</t>
  </si>
  <si>
    <t xml:space="preserve">TK-03767</t>
  </si>
  <si>
    <t xml:space="preserve">TK-03768</t>
  </si>
  <si>
    <t xml:space="preserve">TK-03769</t>
  </si>
  <si>
    <t xml:space="preserve">TK-03770</t>
  </si>
  <si>
    <t xml:space="preserve">TK-03771</t>
  </si>
  <si>
    <t xml:space="preserve">TK-03772</t>
  </si>
  <si>
    <t xml:space="preserve">TK-03773</t>
  </si>
  <si>
    <t xml:space="preserve">TK-03774</t>
  </si>
  <si>
    <t xml:space="preserve">TK-03775</t>
  </si>
  <si>
    <t xml:space="preserve">TK-03776</t>
  </si>
  <si>
    <t xml:space="preserve">TK-03777</t>
  </si>
  <si>
    <t xml:space="preserve">TK-03778</t>
  </si>
  <si>
    <t xml:space="preserve">TK-03779</t>
  </si>
  <si>
    <t xml:space="preserve">TK-03780</t>
  </si>
  <si>
    <t xml:space="preserve">TK-03781</t>
  </si>
  <si>
    <t xml:space="preserve">TK-03782</t>
  </si>
  <si>
    <t xml:space="preserve">TK-03783</t>
  </si>
  <si>
    <t xml:space="preserve">TK-03784</t>
  </si>
  <si>
    <t xml:space="preserve">TK-03785</t>
  </si>
  <si>
    <t xml:space="preserve">TK-03786</t>
  </si>
  <si>
    <t xml:space="preserve">TK-03787</t>
  </si>
  <si>
    <t xml:space="preserve">TK-03788</t>
  </si>
  <si>
    <t xml:space="preserve">TK-03789</t>
  </si>
  <si>
    <t xml:space="preserve">TK-03790</t>
  </si>
  <si>
    <t xml:space="preserve">TK-03791</t>
  </si>
  <si>
    <t xml:space="preserve">TK-03792</t>
  </si>
  <si>
    <t xml:space="preserve">TK-03793</t>
  </si>
  <si>
    <t xml:space="preserve">TK-03794</t>
  </si>
  <si>
    <t xml:space="preserve">TK-03795</t>
  </si>
  <si>
    <t xml:space="preserve">TK-03796</t>
  </si>
  <si>
    <t xml:space="preserve">TK-03797</t>
  </si>
  <si>
    <t xml:space="preserve">TK-03798</t>
  </si>
  <si>
    <t xml:space="preserve">TK-03799</t>
  </si>
  <si>
    <t xml:space="preserve">TK-03800</t>
  </si>
  <si>
    <t xml:space="preserve">TK-03801</t>
  </si>
  <si>
    <t xml:space="preserve">TK-03802</t>
  </si>
  <si>
    <t xml:space="preserve">TK-03803</t>
  </si>
  <si>
    <t xml:space="preserve">TK-03804</t>
  </si>
  <si>
    <t xml:space="preserve">TK-03805</t>
  </si>
  <si>
    <t xml:space="preserve">TK-03806</t>
  </si>
  <si>
    <t xml:space="preserve">TK-03807</t>
  </si>
  <si>
    <t xml:space="preserve">TK-03808</t>
  </si>
  <si>
    <t xml:space="preserve">TK-03809</t>
  </si>
  <si>
    <t xml:space="preserve">TK-03810</t>
  </si>
  <si>
    <t xml:space="preserve">TK-03811</t>
  </si>
  <si>
    <t xml:space="preserve">TK-03812</t>
  </si>
  <si>
    <t xml:space="preserve">TK-03813</t>
  </si>
  <si>
    <t xml:space="preserve">TK-03814</t>
  </si>
  <si>
    <t xml:space="preserve">TK-03815</t>
  </si>
  <si>
    <t xml:space="preserve">TK-03816</t>
  </si>
  <si>
    <t xml:space="preserve">TK-03817</t>
  </si>
  <si>
    <t xml:space="preserve">TK-03818</t>
  </si>
  <si>
    <t xml:space="preserve">TK-03819</t>
  </si>
  <si>
    <t xml:space="preserve">TK-03820</t>
  </si>
  <si>
    <t xml:space="preserve">TK-03821</t>
  </si>
  <si>
    <t xml:space="preserve">TK-03822</t>
  </si>
  <si>
    <t xml:space="preserve">TK-03823</t>
  </si>
  <si>
    <t xml:space="preserve">TK-03824</t>
  </si>
  <si>
    <t xml:space="preserve">TK-03825</t>
  </si>
  <si>
    <t xml:space="preserve">TK-03826</t>
  </si>
  <si>
    <t xml:space="preserve">TK-03827</t>
  </si>
  <si>
    <t xml:space="preserve">TK-03828</t>
  </si>
  <si>
    <t xml:space="preserve">TK-03829</t>
  </si>
  <si>
    <t xml:space="preserve">TK-03830</t>
  </si>
  <si>
    <t xml:space="preserve">TK-03831</t>
  </si>
  <si>
    <t xml:space="preserve">TK-03832</t>
  </si>
  <si>
    <t xml:space="preserve">TK-03833</t>
  </si>
  <si>
    <t xml:space="preserve">TK-03834</t>
  </si>
  <si>
    <t xml:space="preserve">TK-03835</t>
  </si>
  <si>
    <t xml:space="preserve">TK-03836</t>
  </si>
  <si>
    <t xml:space="preserve">TK-03837</t>
  </si>
  <si>
    <t xml:space="preserve">TK-03838</t>
  </si>
  <si>
    <t xml:space="preserve">TK-03839</t>
  </si>
  <si>
    <t xml:space="preserve">TK-03840</t>
  </si>
  <si>
    <t xml:space="preserve">TK-03841</t>
  </si>
  <si>
    <t xml:space="preserve">TK-03842</t>
  </si>
  <si>
    <t xml:space="preserve">TK-03843</t>
  </si>
  <si>
    <t xml:space="preserve">TK-03844</t>
  </si>
  <si>
    <t xml:space="preserve">TK-03845</t>
  </si>
  <si>
    <t xml:space="preserve">TK-03846</t>
  </si>
  <si>
    <t xml:space="preserve">TK-03847</t>
  </si>
  <si>
    <t xml:space="preserve">TK-03848</t>
  </si>
  <si>
    <t xml:space="preserve">TK-03849</t>
  </si>
  <si>
    <t xml:space="preserve">TK-03850</t>
  </si>
  <si>
    <t xml:space="preserve">TK-03851</t>
  </si>
  <si>
    <t xml:space="preserve">TK-03852</t>
  </si>
  <si>
    <t xml:space="preserve">TK-03853</t>
  </si>
  <si>
    <t xml:space="preserve">TK-03854</t>
  </si>
  <si>
    <t xml:space="preserve">TK-03855</t>
  </si>
  <si>
    <t xml:space="preserve">TK-03856</t>
  </si>
  <si>
    <t xml:space="preserve">TK-03857</t>
  </si>
  <si>
    <t xml:space="preserve">TK-03858</t>
  </si>
  <si>
    <t xml:space="preserve">TK-03859</t>
  </si>
  <si>
    <t xml:space="preserve">TK-03860</t>
  </si>
  <si>
    <t xml:space="preserve">TK-03861</t>
  </si>
  <si>
    <t xml:space="preserve">TK-03862</t>
  </si>
  <si>
    <t xml:space="preserve">TK-03863</t>
  </si>
  <si>
    <t xml:space="preserve">TK-03864</t>
  </si>
  <si>
    <t xml:space="preserve">TK-03865</t>
  </si>
  <si>
    <t xml:space="preserve">TK-03866</t>
  </si>
  <si>
    <t xml:space="preserve">TK-03867</t>
  </si>
  <si>
    <t xml:space="preserve">TK-03868</t>
  </si>
  <si>
    <t xml:space="preserve">TK-03869</t>
  </si>
  <si>
    <t xml:space="preserve">TK-03870</t>
  </si>
  <si>
    <t xml:space="preserve">TK-03871</t>
  </si>
  <si>
    <t xml:space="preserve">TK-03872</t>
  </si>
  <si>
    <t xml:space="preserve">TK-03873</t>
  </si>
  <si>
    <t xml:space="preserve">TK-03874</t>
  </si>
  <si>
    <t xml:space="preserve">TK-03875</t>
  </si>
  <si>
    <t xml:space="preserve">TK-03876</t>
  </si>
  <si>
    <t xml:space="preserve">TK-03877</t>
  </si>
  <si>
    <t xml:space="preserve">TK-03878</t>
  </si>
  <si>
    <t xml:space="preserve">TK-03879</t>
  </si>
  <si>
    <t xml:space="preserve">TK-03880</t>
  </si>
  <si>
    <t xml:space="preserve">TK-03881</t>
  </si>
  <si>
    <t xml:space="preserve">TK-03882</t>
  </si>
  <si>
    <t xml:space="preserve">TK-03883</t>
  </si>
  <si>
    <t xml:space="preserve">TK-03884</t>
  </si>
  <si>
    <t xml:space="preserve">TK-03885</t>
  </si>
  <si>
    <t xml:space="preserve">TK-03886</t>
  </si>
  <si>
    <t xml:space="preserve">TK-03887</t>
  </si>
  <si>
    <t xml:space="preserve">TK-03888</t>
  </si>
  <si>
    <t xml:space="preserve">TK-03889</t>
  </si>
  <si>
    <t xml:space="preserve">TK-03890</t>
  </si>
  <si>
    <t xml:space="preserve">TK-03891</t>
  </si>
  <si>
    <t xml:space="preserve">TK-03892</t>
  </si>
  <si>
    <t xml:space="preserve">TK-03893</t>
  </si>
  <si>
    <t xml:space="preserve">TK-03894</t>
  </si>
  <si>
    <t xml:space="preserve">TK-03895</t>
  </si>
  <si>
    <t xml:space="preserve">TK-03896</t>
  </si>
  <si>
    <t xml:space="preserve">TK-03897</t>
  </si>
  <si>
    <t xml:space="preserve">TK-03898</t>
  </si>
  <si>
    <t xml:space="preserve">TK-03899</t>
  </si>
  <si>
    <t xml:space="preserve">TK-03900</t>
  </si>
  <si>
    <t xml:space="preserve">TK-03901</t>
  </si>
  <si>
    <t xml:space="preserve">TK-03902</t>
  </si>
  <si>
    <t xml:space="preserve">TK-03903</t>
  </si>
  <si>
    <t xml:space="preserve">TK-03904</t>
  </si>
  <si>
    <t xml:space="preserve">TK-03905</t>
  </si>
  <si>
    <t xml:space="preserve">TK-03906</t>
  </si>
  <si>
    <t xml:space="preserve">TK-03907</t>
  </si>
  <si>
    <t xml:space="preserve">TK-03908</t>
  </si>
  <si>
    <t xml:space="preserve">TK-03909</t>
  </si>
  <si>
    <t xml:space="preserve">TK-03910</t>
  </si>
  <si>
    <t xml:space="preserve">TK-03911</t>
  </si>
  <si>
    <t xml:space="preserve">TK-03912</t>
  </si>
  <si>
    <t xml:space="preserve">TK-03913</t>
  </si>
  <si>
    <t xml:space="preserve">TK-03914</t>
  </si>
  <si>
    <t xml:space="preserve">TK-03915</t>
  </si>
  <si>
    <t xml:space="preserve">TK-03916</t>
  </si>
  <si>
    <t xml:space="preserve">TK-03917</t>
  </si>
  <si>
    <t xml:space="preserve">TK-03918</t>
  </si>
  <si>
    <t xml:space="preserve">TK-03919</t>
  </si>
  <si>
    <t xml:space="preserve">TK-03920</t>
  </si>
  <si>
    <t xml:space="preserve">TK-03921</t>
  </si>
  <si>
    <t xml:space="preserve">TK-03922</t>
  </si>
  <si>
    <t xml:space="preserve">TK-03923</t>
  </si>
  <si>
    <t xml:space="preserve">TK-03924</t>
  </si>
  <si>
    <t xml:space="preserve">TK-03925</t>
  </si>
  <si>
    <t xml:space="preserve">TK-03926</t>
  </si>
  <si>
    <t xml:space="preserve">TK-03927</t>
  </si>
  <si>
    <t xml:space="preserve">TK-03928</t>
  </si>
  <si>
    <t xml:space="preserve">TK-03929</t>
  </si>
  <si>
    <t xml:space="preserve">TK-03930</t>
  </si>
  <si>
    <t xml:space="preserve">TK-03931</t>
  </si>
  <si>
    <t xml:space="preserve">TK-03932</t>
  </si>
  <si>
    <t xml:space="preserve">TK-03933</t>
  </si>
  <si>
    <t xml:space="preserve">TK-03934</t>
  </si>
  <si>
    <t xml:space="preserve">TK-03935</t>
  </si>
  <si>
    <t xml:space="preserve">TK-03936</t>
  </si>
  <si>
    <t xml:space="preserve">TK-03937</t>
  </si>
  <si>
    <t xml:space="preserve">TK-03938</t>
  </si>
  <si>
    <t xml:space="preserve">TK-03939</t>
  </si>
  <si>
    <t xml:space="preserve">TK-03940</t>
  </si>
  <si>
    <t xml:space="preserve">TK-03941</t>
  </si>
  <si>
    <t xml:space="preserve">TK-03942</t>
  </si>
  <si>
    <t xml:space="preserve">TK-03943</t>
  </si>
  <si>
    <t xml:space="preserve">TK-03944</t>
  </si>
  <si>
    <t xml:space="preserve">TK-03945</t>
  </si>
  <si>
    <t xml:space="preserve">TK-03946</t>
  </si>
  <si>
    <t xml:space="preserve">TK-03947</t>
  </si>
  <si>
    <t xml:space="preserve">TK-03948</t>
  </si>
  <si>
    <t xml:space="preserve">TK-03949</t>
  </si>
  <si>
    <t xml:space="preserve">TK-03950</t>
  </si>
  <si>
    <t xml:space="preserve">TK-03951</t>
  </si>
  <si>
    <t xml:space="preserve">TK-03952</t>
  </si>
  <si>
    <t xml:space="preserve">TK-03953</t>
  </si>
  <si>
    <t xml:space="preserve">TK-03954</t>
  </si>
  <si>
    <t xml:space="preserve">TK-03955</t>
  </si>
  <si>
    <t xml:space="preserve">TK-03956</t>
  </si>
  <si>
    <t xml:space="preserve">TK-03957</t>
  </si>
  <si>
    <t xml:space="preserve">TK-03958</t>
  </si>
  <si>
    <t xml:space="preserve">TK-03959</t>
  </si>
  <si>
    <t xml:space="preserve">TK-03960</t>
  </si>
  <si>
    <t xml:space="preserve">TK-03961</t>
  </si>
  <si>
    <t xml:space="preserve">TK-03962</t>
  </si>
  <si>
    <t xml:space="preserve">TK-03963</t>
  </si>
  <si>
    <t xml:space="preserve">TK-03964</t>
  </si>
  <si>
    <t xml:space="preserve">TK-03965</t>
  </si>
  <si>
    <t xml:space="preserve">TK-03966</t>
  </si>
  <si>
    <t xml:space="preserve">TK-03967</t>
  </si>
  <si>
    <t xml:space="preserve">TK-03968</t>
  </si>
  <si>
    <t xml:space="preserve">TK-03969</t>
  </si>
  <si>
    <t xml:space="preserve">TK-03970</t>
  </si>
  <si>
    <t xml:space="preserve">TK-03971</t>
  </si>
  <si>
    <t xml:space="preserve">TK-03972</t>
  </si>
  <si>
    <t xml:space="preserve">TK-03973</t>
  </si>
  <si>
    <t xml:space="preserve">TK-03974</t>
  </si>
  <si>
    <t xml:space="preserve">TK-03975</t>
  </si>
  <si>
    <t xml:space="preserve">TK-03976</t>
  </si>
  <si>
    <t xml:space="preserve">TK-03977</t>
  </si>
  <si>
    <t xml:space="preserve">TK-03978</t>
  </si>
  <si>
    <t xml:space="preserve">TK-03979</t>
  </si>
  <si>
    <t xml:space="preserve">TK-03980</t>
  </si>
  <si>
    <t xml:space="preserve">TK-03981</t>
  </si>
  <si>
    <t xml:space="preserve">TK-03982</t>
  </si>
  <si>
    <t xml:space="preserve">TK-03983</t>
  </si>
  <si>
    <t xml:space="preserve">TK-03984</t>
  </si>
  <si>
    <t xml:space="preserve">TK-03985</t>
  </si>
  <si>
    <t xml:space="preserve">TK-03986</t>
  </si>
  <si>
    <t xml:space="preserve">TK-03987</t>
  </si>
  <si>
    <t xml:space="preserve">TK-03988</t>
  </si>
  <si>
    <t xml:space="preserve">TK-03989</t>
  </si>
  <si>
    <t xml:space="preserve">TK-03990</t>
  </si>
  <si>
    <t xml:space="preserve">TK-03991</t>
  </si>
  <si>
    <t xml:space="preserve">TK-03992</t>
  </si>
  <si>
    <t xml:space="preserve">TK-03993</t>
  </si>
  <si>
    <t xml:space="preserve">TK-03994</t>
  </si>
  <si>
    <t xml:space="preserve">TK-03995</t>
  </si>
  <si>
    <t xml:space="preserve">TK-03996</t>
  </si>
  <si>
    <t xml:space="preserve">TK-03997</t>
  </si>
  <si>
    <t xml:space="preserve">TK-03998</t>
  </si>
  <si>
    <t xml:space="preserve">TK-03999</t>
  </si>
  <si>
    <t xml:space="preserve">TK-04000</t>
  </si>
  <si>
    <t xml:space="preserve">TK-04001</t>
  </si>
  <si>
    <t xml:space="preserve">TK-04002</t>
  </si>
  <si>
    <t xml:space="preserve">TK-04003</t>
  </si>
  <si>
    <t xml:space="preserve">TK-04004</t>
  </si>
  <si>
    <t xml:space="preserve">TK-04005</t>
  </si>
  <si>
    <t xml:space="preserve">TK-04006</t>
  </si>
  <si>
    <t xml:space="preserve">TK-04007</t>
  </si>
  <si>
    <t xml:space="preserve">TK-04008</t>
  </si>
  <si>
    <t xml:space="preserve">TK-04009</t>
  </si>
  <si>
    <t xml:space="preserve">TK-04010</t>
  </si>
  <si>
    <t xml:space="preserve">TK-04011</t>
  </si>
  <si>
    <t xml:space="preserve">TK-04012</t>
  </si>
  <si>
    <t xml:space="preserve">TK-04013</t>
  </si>
  <si>
    <t xml:space="preserve">TK-04014</t>
  </si>
  <si>
    <t xml:space="preserve">TK-04015</t>
  </si>
  <si>
    <t xml:space="preserve">TK-04016</t>
  </si>
  <si>
    <t xml:space="preserve">TK-04017</t>
  </si>
  <si>
    <t xml:space="preserve">TK-04018</t>
  </si>
  <si>
    <t xml:space="preserve">TK-04019</t>
  </si>
  <si>
    <t xml:space="preserve">TK-04020</t>
  </si>
  <si>
    <t xml:space="preserve">TK-04021</t>
  </si>
  <si>
    <t xml:space="preserve">TK-04022</t>
  </si>
  <si>
    <t xml:space="preserve">TK-04023</t>
  </si>
  <si>
    <t xml:space="preserve">TK-04024</t>
  </si>
  <si>
    <t xml:space="preserve">TK-04025</t>
  </si>
  <si>
    <t xml:space="preserve">TK-04026</t>
  </si>
  <si>
    <t xml:space="preserve">TK-04027</t>
  </si>
  <si>
    <t xml:space="preserve">TK-04028</t>
  </si>
  <si>
    <t xml:space="preserve">TK-04029</t>
  </si>
  <si>
    <t xml:space="preserve">TK-04030</t>
  </si>
  <si>
    <t xml:space="preserve">TK-04031</t>
  </si>
  <si>
    <t xml:space="preserve">TK-04032</t>
  </si>
  <si>
    <t xml:space="preserve">TK-04033</t>
  </si>
  <si>
    <t xml:space="preserve">TK-04034</t>
  </si>
  <si>
    <t xml:space="preserve">TK-04035</t>
  </si>
  <si>
    <t xml:space="preserve">TK-04036</t>
  </si>
  <si>
    <t xml:space="preserve">TK-04037</t>
  </si>
  <si>
    <t xml:space="preserve">TK-04038</t>
  </si>
  <si>
    <t xml:space="preserve">TK-04039</t>
  </si>
  <si>
    <t xml:space="preserve">TK-04040</t>
  </si>
  <si>
    <t xml:space="preserve">TK-04041</t>
  </si>
  <si>
    <t xml:space="preserve">TK-04042</t>
  </si>
  <si>
    <t xml:space="preserve">TK-04043</t>
  </si>
  <si>
    <t xml:space="preserve">TK-04044</t>
  </si>
  <si>
    <t xml:space="preserve">TK-04045</t>
  </si>
  <si>
    <t xml:space="preserve">TK-04046</t>
  </si>
  <si>
    <t xml:space="preserve">TK-04047</t>
  </si>
  <si>
    <t xml:space="preserve">TK-04048</t>
  </si>
  <si>
    <t xml:space="preserve">TK-04049</t>
  </si>
  <si>
    <t xml:space="preserve">TK-04050</t>
  </si>
  <si>
    <t xml:space="preserve">TK-04051</t>
  </si>
  <si>
    <t xml:space="preserve">TK-04052</t>
  </si>
  <si>
    <t xml:space="preserve">TK-04053</t>
  </si>
  <si>
    <t xml:space="preserve">TK-04054</t>
  </si>
  <si>
    <t xml:space="preserve">TK-04055</t>
  </si>
  <si>
    <t xml:space="preserve">TK-04056</t>
  </si>
  <si>
    <t xml:space="preserve">TK-04057</t>
  </si>
  <si>
    <t xml:space="preserve">TK-04058</t>
  </si>
  <si>
    <t xml:space="preserve">TK-04059</t>
  </si>
  <si>
    <t xml:space="preserve">TK-04060</t>
  </si>
  <si>
    <t xml:space="preserve">TK-04061</t>
  </si>
  <si>
    <t xml:space="preserve">TK-04062</t>
  </si>
  <si>
    <t xml:space="preserve">TK-04063</t>
  </si>
  <si>
    <t xml:space="preserve">TK-04064</t>
  </si>
  <si>
    <t xml:space="preserve">TK-04065</t>
  </si>
  <si>
    <t xml:space="preserve">TK-04066</t>
  </si>
  <si>
    <t xml:space="preserve">TK-04067</t>
  </si>
  <si>
    <t xml:space="preserve">TK-04068</t>
  </si>
  <si>
    <t xml:space="preserve">TK-04069</t>
  </si>
  <si>
    <t xml:space="preserve">TK-04070</t>
  </si>
  <si>
    <t xml:space="preserve">TK-04071</t>
  </si>
  <si>
    <t xml:space="preserve">TK-04072</t>
  </si>
  <si>
    <t xml:space="preserve">TK-04073</t>
  </si>
  <si>
    <t xml:space="preserve">TK-04074</t>
  </si>
  <si>
    <t xml:space="preserve">TK-04075</t>
  </si>
  <si>
    <t xml:space="preserve">TK-04076</t>
  </si>
  <si>
    <t xml:space="preserve">TK-04077</t>
  </si>
  <si>
    <t xml:space="preserve">TK-04078</t>
  </si>
  <si>
    <t xml:space="preserve">TK-04079</t>
  </si>
  <si>
    <t xml:space="preserve">TK-04080</t>
  </si>
  <si>
    <t xml:space="preserve">TK-04081</t>
  </si>
  <si>
    <t xml:space="preserve">TK-04082</t>
  </si>
  <si>
    <t xml:space="preserve">TK-04083</t>
  </si>
  <si>
    <t xml:space="preserve">TK-04084</t>
  </si>
  <si>
    <t xml:space="preserve">TK-04085</t>
  </si>
  <si>
    <t xml:space="preserve">TK-04086</t>
  </si>
  <si>
    <t xml:space="preserve">TK-04087</t>
  </si>
  <si>
    <t xml:space="preserve">TK-04088</t>
  </si>
  <si>
    <t xml:space="preserve">TK-04089</t>
  </si>
  <si>
    <t xml:space="preserve">TK-04090</t>
  </si>
  <si>
    <t xml:space="preserve">TK-04091</t>
  </si>
  <si>
    <t xml:space="preserve">TK-04092</t>
  </si>
  <si>
    <t xml:space="preserve">TK-04093</t>
  </si>
  <si>
    <t xml:space="preserve">TK-04094</t>
  </si>
  <si>
    <t xml:space="preserve">TK-04095</t>
  </si>
  <si>
    <t xml:space="preserve">TK-04096</t>
  </si>
  <si>
    <t xml:space="preserve">TK-04097</t>
  </si>
  <si>
    <t xml:space="preserve">TK-04098</t>
  </si>
  <si>
    <t xml:space="preserve">TK-04099</t>
  </si>
  <si>
    <t xml:space="preserve">TK-04100</t>
  </si>
  <si>
    <t xml:space="preserve">TK-04101</t>
  </si>
  <si>
    <t xml:space="preserve">TK-04102</t>
  </si>
  <si>
    <t xml:space="preserve">TK-04103</t>
  </si>
  <si>
    <t xml:space="preserve">TK-04104</t>
  </si>
  <si>
    <t xml:space="preserve">TK-04105</t>
  </si>
  <si>
    <t xml:space="preserve">TK-04106</t>
  </si>
  <si>
    <t xml:space="preserve">TK-04107</t>
  </si>
  <si>
    <t xml:space="preserve">TK-04108</t>
  </si>
  <si>
    <t xml:space="preserve">TK-04109</t>
  </si>
  <si>
    <t xml:space="preserve">TK-04110</t>
  </si>
  <si>
    <t xml:space="preserve">TK-04111</t>
  </si>
  <si>
    <t xml:space="preserve">TK-04112</t>
  </si>
  <si>
    <t xml:space="preserve">TK-04113</t>
  </si>
  <si>
    <t xml:space="preserve">TK-04114</t>
  </si>
  <si>
    <t xml:space="preserve">TK-04115</t>
  </si>
  <si>
    <t xml:space="preserve">TK-04116</t>
  </si>
  <si>
    <t xml:space="preserve">TK-04117</t>
  </si>
  <si>
    <t xml:space="preserve">TK-04118</t>
  </si>
  <si>
    <t xml:space="preserve">TK-04119</t>
  </si>
  <si>
    <t xml:space="preserve">TK-04120</t>
  </si>
  <si>
    <t xml:space="preserve">TK-04121</t>
  </si>
  <si>
    <t xml:space="preserve">TK-04122</t>
  </si>
  <si>
    <t xml:space="preserve">TK-04123</t>
  </si>
  <si>
    <t xml:space="preserve">TK-04124</t>
  </si>
  <si>
    <t xml:space="preserve">TK-04125</t>
  </si>
  <si>
    <t xml:space="preserve">TK-04126</t>
  </si>
  <si>
    <t xml:space="preserve">TK-04127</t>
  </si>
  <si>
    <t xml:space="preserve">TK-04128</t>
  </si>
  <si>
    <t xml:space="preserve">TK-04129</t>
  </si>
  <si>
    <t xml:space="preserve">TK-04130</t>
  </si>
  <si>
    <t xml:space="preserve">TK-04131</t>
  </si>
  <si>
    <t xml:space="preserve">TK-04132</t>
  </si>
  <si>
    <t xml:space="preserve">TK-04133</t>
  </si>
  <si>
    <t xml:space="preserve">TK-04134</t>
  </si>
  <si>
    <t xml:space="preserve">TK-04135</t>
  </si>
  <si>
    <t xml:space="preserve">TK-04136</t>
  </si>
  <si>
    <t xml:space="preserve">TK-04137</t>
  </si>
  <si>
    <t xml:space="preserve">TK-04138</t>
  </si>
  <si>
    <t xml:space="preserve">TK-04139</t>
  </si>
  <si>
    <t xml:space="preserve">TK-04140</t>
  </si>
  <si>
    <t xml:space="preserve">TK-04141</t>
  </si>
  <si>
    <t xml:space="preserve">TK-04142</t>
  </si>
  <si>
    <t xml:space="preserve">TK-04143</t>
  </si>
  <si>
    <t xml:space="preserve">TK-04144</t>
  </si>
  <si>
    <t xml:space="preserve">TK-04145</t>
  </si>
  <si>
    <t xml:space="preserve">TK-04146</t>
  </si>
  <si>
    <t xml:space="preserve">TK-04147</t>
  </si>
  <si>
    <t xml:space="preserve">TK-04148</t>
  </si>
  <si>
    <t xml:space="preserve">TK-04149</t>
  </si>
  <si>
    <t xml:space="preserve">TK-04150</t>
  </si>
  <si>
    <t xml:space="preserve">TK-04151</t>
  </si>
  <si>
    <t xml:space="preserve">TK-04152</t>
  </si>
  <si>
    <t xml:space="preserve">TK-04153</t>
  </si>
  <si>
    <t xml:space="preserve">TK-04154</t>
  </si>
  <si>
    <t xml:space="preserve">TK-04155</t>
  </si>
  <si>
    <t xml:space="preserve">TK-04156</t>
  </si>
  <si>
    <t xml:space="preserve">TK-04157</t>
  </si>
  <si>
    <t xml:space="preserve">TK-04158</t>
  </si>
  <si>
    <t xml:space="preserve">TK-04159</t>
  </si>
  <si>
    <t xml:space="preserve">TK-04160</t>
  </si>
  <si>
    <t xml:space="preserve">TK-04161</t>
  </si>
  <si>
    <t xml:space="preserve">TK-04162</t>
  </si>
  <si>
    <t xml:space="preserve">TK-04163</t>
  </si>
  <si>
    <t xml:space="preserve">TK-04164</t>
  </si>
  <si>
    <t xml:space="preserve">TK-04165</t>
  </si>
  <si>
    <t xml:space="preserve">TK-04166</t>
  </si>
  <si>
    <t xml:space="preserve">TK-04167</t>
  </si>
  <si>
    <t xml:space="preserve">TK-04168</t>
  </si>
  <si>
    <t xml:space="preserve">TK-04169</t>
  </si>
  <si>
    <t xml:space="preserve">TK-04170</t>
  </si>
  <si>
    <t xml:space="preserve">TK-04171</t>
  </si>
  <si>
    <t xml:space="preserve">TK-04172</t>
  </si>
  <si>
    <t xml:space="preserve">TK-04173</t>
  </si>
  <si>
    <t xml:space="preserve">TK-04174</t>
  </si>
  <si>
    <t xml:space="preserve">TK-04175</t>
  </si>
  <si>
    <t xml:space="preserve">TK-04176</t>
  </si>
  <si>
    <t xml:space="preserve">TK-04177</t>
  </si>
  <si>
    <t xml:space="preserve">TK-04178</t>
  </si>
  <si>
    <t xml:space="preserve">TK-04179</t>
  </si>
  <si>
    <t xml:space="preserve">TK-04180</t>
  </si>
  <si>
    <t xml:space="preserve">TK-04181</t>
  </si>
  <si>
    <t xml:space="preserve">TK-04182</t>
  </si>
  <si>
    <t xml:space="preserve">TK-04183</t>
  </si>
  <si>
    <t xml:space="preserve">TK-04184</t>
  </si>
  <si>
    <t xml:space="preserve">TK-04185</t>
  </si>
  <si>
    <t xml:space="preserve">TK-04186</t>
  </si>
  <si>
    <t xml:space="preserve">TK-04187</t>
  </si>
  <si>
    <t xml:space="preserve">TK-04188</t>
  </si>
  <si>
    <t xml:space="preserve">TK-04189</t>
  </si>
  <si>
    <t xml:space="preserve">TK-04190</t>
  </si>
  <si>
    <t xml:space="preserve">TK-04191</t>
  </si>
  <si>
    <t xml:space="preserve">TK-04192</t>
  </si>
  <si>
    <t xml:space="preserve">TK-04193</t>
  </si>
  <si>
    <t xml:space="preserve">TK-04194</t>
  </si>
  <si>
    <t xml:space="preserve">TK-04195</t>
  </si>
  <si>
    <t xml:space="preserve">TK-04196</t>
  </si>
  <si>
    <t xml:space="preserve">TK-04197</t>
  </si>
  <si>
    <t xml:space="preserve">TK-04198</t>
  </si>
  <si>
    <t xml:space="preserve">TK-04199</t>
  </si>
  <si>
    <t xml:space="preserve">TK-04200</t>
  </si>
  <si>
    <t xml:space="preserve">TK-04201</t>
  </si>
  <si>
    <t xml:space="preserve">TK-04202</t>
  </si>
  <si>
    <t xml:space="preserve">TK-04203</t>
  </si>
  <si>
    <t xml:space="preserve">TK-04204</t>
  </si>
  <si>
    <t xml:space="preserve">TK-04205</t>
  </si>
  <si>
    <t xml:space="preserve">TK-04206</t>
  </si>
  <si>
    <t xml:space="preserve">TK-04207</t>
  </si>
  <si>
    <t xml:space="preserve">TK-04208</t>
  </si>
  <si>
    <t xml:space="preserve">TK-04209</t>
  </si>
  <si>
    <t xml:space="preserve">TK-04210</t>
  </si>
  <si>
    <t xml:space="preserve">TK-04211</t>
  </si>
  <si>
    <t xml:space="preserve">TK-04212</t>
  </si>
  <si>
    <t xml:space="preserve">TK-04213</t>
  </si>
  <si>
    <t xml:space="preserve">TK-04214</t>
  </si>
  <si>
    <t xml:space="preserve">TK-04215</t>
  </si>
  <si>
    <t xml:space="preserve">TK-04216</t>
  </si>
  <si>
    <t xml:space="preserve">TK-04217</t>
  </si>
  <si>
    <t xml:space="preserve">TK-04218</t>
  </si>
  <si>
    <t xml:space="preserve">TK-04219</t>
  </si>
  <si>
    <t xml:space="preserve">TK-04220</t>
  </si>
  <si>
    <t xml:space="preserve">TK-04221</t>
  </si>
  <si>
    <t xml:space="preserve">TK-04222</t>
  </si>
  <si>
    <t xml:space="preserve">TK-04223</t>
  </si>
  <si>
    <t xml:space="preserve">TK-04224</t>
  </si>
  <si>
    <t xml:space="preserve">TK-04225</t>
  </si>
  <si>
    <t xml:space="preserve">TK-04226</t>
  </si>
  <si>
    <t xml:space="preserve">TK-04227</t>
  </si>
  <si>
    <t xml:space="preserve">TK-04228</t>
  </si>
  <si>
    <t xml:space="preserve">TK-04229</t>
  </si>
  <si>
    <t xml:space="preserve">TK-04230</t>
  </si>
  <si>
    <t xml:space="preserve">TK-04231</t>
  </si>
  <si>
    <t xml:space="preserve">TK-04232</t>
  </si>
  <si>
    <t xml:space="preserve">TK-04233</t>
  </si>
  <si>
    <t xml:space="preserve">TK-04234</t>
  </si>
  <si>
    <t xml:space="preserve">TK-04235</t>
  </si>
  <si>
    <t xml:space="preserve">TK-04236</t>
  </si>
  <si>
    <t xml:space="preserve">TK-04237</t>
  </si>
  <si>
    <t xml:space="preserve">TK-04238</t>
  </si>
  <si>
    <t xml:space="preserve">TK-04239</t>
  </si>
  <si>
    <t xml:space="preserve">TK-04240</t>
  </si>
  <si>
    <t xml:space="preserve">TK-04241</t>
  </si>
  <si>
    <t xml:space="preserve">TK-04242</t>
  </si>
  <si>
    <t xml:space="preserve">TK-04243</t>
  </si>
  <si>
    <t xml:space="preserve">TK-04244</t>
  </si>
  <si>
    <t xml:space="preserve">TK-04245</t>
  </si>
  <si>
    <t xml:space="preserve">TK-04246</t>
  </si>
  <si>
    <t xml:space="preserve">TK-04247</t>
  </si>
  <si>
    <t xml:space="preserve">TK-04248</t>
  </si>
  <si>
    <t xml:space="preserve">TK-04249</t>
  </si>
  <si>
    <t xml:space="preserve">TK-04250</t>
  </si>
  <si>
    <t xml:space="preserve">TK-04251</t>
  </si>
  <si>
    <t xml:space="preserve">TK-04252</t>
  </si>
  <si>
    <t xml:space="preserve">TK-04253</t>
  </si>
  <si>
    <t xml:space="preserve">TK-04254</t>
  </si>
  <si>
    <t xml:space="preserve">TK-04255</t>
  </si>
  <si>
    <t xml:space="preserve">TK-04256</t>
  </si>
  <si>
    <t xml:space="preserve">TK-04257</t>
  </si>
  <si>
    <t xml:space="preserve">TK-04258</t>
  </si>
  <si>
    <t xml:space="preserve">TK-04259</t>
  </si>
  <si>
    <t xml:space="preserve">TK-04260</t>
  </si>
  <si>
    <t xml:space="preserve">TK-04261</t>
  </si>
  <si>
    <t xml:space="preserve">TK-04262</t>
  </si>
  <si>
    <t xml:space="preserve">TK-04263</t>
  </si>
  <si>
    <t xml:space="preserve">TK-04264</t>
  </si>
  <si>
    <t xml:space="preserve">TK-04265</t>
  </si>
  <si>
    <t xml:space="preserve">TK-04266</t>
  </si>
  <si>
    <t xml:space="preserve">TK-04267</t>
  </si>
  <si>
    <t xml:space="preserve">TK-04268</t>
  </si>
  <si>
    <t xml:space="preserve">TK-04269</t>
  </si>
  <si>
    <t xml:space="preserve">TK-04270</t>
  </si>
  <si>
    <t xml:space="preserve">TK-04271</t>
  </si>
  <si>
    <t xml:space="preserve">TK-04272</t>
  </si>
  <si>
    <t xml:space="preserve">TK-04273</t>
  </si>
  <si>
    <t xml:space="preserve">TK-04274</t>
  </si>
  <si>
    <t xml:space="preserve">TK-04275</t>
  </si>
  <si>
    <t xml:space="preserve">TK-04276</t>
  </si>
  <si>
    <t xml:space="preserve">TK-04277</t>
  </si>
  <si>
    <t xml:space="preserve">TK-04278</t>
  </si>
  <si>
    <t xml:space="preserve">TK-04279</t>
  </si>
  <si>
    <t xml:space="preserve">TK-04280</t>
  </si>
  <si>
    <t xml:space="preserve">TK-04281</t>
  </si>
  <si>
    <t xml:space="preserve">TK-04282</t>
  </si>
  <si>
    <t xml:space="preserve">TK-04283</t>
  </si>
  <si>
    <t xml:space="preserve">TK-04284</t>
  </si>
  <si>
    <t xml:space="preserve">TK-04285</t>
  </si>
  <si>
    <t xml:space="preserve">TK-04286</t>
  </si>
  <si>
    <t xml:space="preserve">TK-04287</t>
  </si>
  <si>
    <t xml:space="preserve">TK-04288</t>
  </si>
  <si>
    <t xml:space="preserve">TK-04289</t>
  </si>
  <si>
    <t xml:space="preserve">TK-04290</t>
  </si>
  <si>
    <t xml:space="preserve">TK-04291</t>
  </si>
  <si>
    <t xml:space="preserve">TK-04292</t>
  </si>
  <si>
    <t xml:space="preserve">TK-04293</t>
  </si>
  <si>
    <t xml:space="preserve">TK-04294</t>
  </si>
  <si>
    <t xml:space="preserve">TK-04295</t>
  </si>
  <si>
    <t xml:space="preserve">TK-04296</t>
  </si>
  <si>
    <t xml:space="preserve">TK-04297</t>
  </si>
  <si>
    <t xml:space="preserve">TK-04298</t>
  </si>
  <si>
    <t xml:space="preserve">TK-04299</t>
  </si>
  <si>
    <t xml:space="preserve">TK-04300</t>
  </si>
  <si>
    <t xml:space="preserve">TK-04301</t>
  </si>
  <si>
    <t xml:space="preserve">TK-04302</t>
  </si>
  <si>
    <t xml:space="preserve">TK-04303</t>
  </si>
  <si>
    <t xml:space="preserve">TK-04304</t>
  </si>
  <si>
    <t xml:space="preserve">TK-04305</t>
  </si>
  <si>
    <t xml:space="preserve">TK-04306</t>
  </si>
  <si>
    <t xml:space="preserve">TK-04307</t>
  </si>
  <si>
    <t xml:space="preserve">TK-04308</t>
  </si>
  <si>
    <t xml:space="preserve">TK-04309</t>
  </si>
  <si>
    <t xml:space="preserve">TK-04310</t>
  </si>
  <si>
    <t xml:space="preserve">TK-04311</t>
  </si>
  <si>
    <t xml:space="preserve">TK-04312</t>
  </si>
  <si>
    <t xml:space="preserve">TK-04313</t>
  </si>
  <si>
    <t xml:space="preserve">TK-04314</t>
  </si>
  <si>
    <t xml:space="preserve">TK-04315</t>
  </si>
  <si>
    <t xml:space="preserve">TK-04316</t>
  </si>
  <si>
    <t xml:space="preserve">TK-04317</t>
  </si>
  <si>
    <t xml:space="preserve">TK-04318</t>
  </si>
  <si>
    <t xml:space="preserve">TK-04319</t>
  </si>
  <si>
    <t xml:space="preserve">TK-04320</t>
  </si>
  <si>
    <t xml:space="preserve">TK-04321</t>
  </si>
  <si>
    <t xml:space="preserve">TK-04322</t>
  </si>
  <si>
    <t xml:space="preserve">TK-04323</t>
  </si>
  <si>
    <t xml:space="preserve">TK-04324</t>
  </si>
  <si>
    <t xml:space="preserve">TK-04325</t>
  </si>
  <si>
    <t xml:space="preserve">TK-04326</t>
  </si>
  <si>
    <t xml:space="preserve">TK-04327</t>
  </si>
  <si>
    <t xml:space="preserve">TK-04328</t>
  </si>
  <si>
    <t xml:space="preserve">TK-04329</t>
  </si>
  <si>
    <t xml:space="preserve">TK-04330</t>
  </si>
  <si>
    <t xml:space="preserve">TK-04331</t>
  </si>
  <si>
    <t xml:space="preserve">TK-04332</t>
  </si>
  <si>
    <t xml:space="preserve">TK-04333</t>
  </si>
  <si>
    <t xml:space="preserve">TK-04334</t>
  </si>
  <si>
    <t xml:space="preserve">TK-04335</t>
  </si>
  <si>
    <t xml:space="preserve">TK-04336</t>
  </si>
  <si>
    <t xml:space="preserve">TK-04337</t>
  </si>
  <si>
    <t xml:space="preserve">TK-04338</t>
  </si>
  <si>
    <t xml:space="preserve">TK-04339</t>
  </si>
  <si>
    <t xml:space="preserve">TK-04340</t>
  </si>
  <si>
    <t xml:space="preserve">TK-04341</t>
  </si>
  <si>
    <t xml:space="preserve">TK-04342</t>
  </si>
  <si>
    <t xml:space="preserve">TK-04343</t>
  </si>
  <si>
    <t xml:space="preserve">TK-04344</t>
  </si>
  <si>
    <t xml:space="preserve">TK-04345</t>
  </si>
  <si>
    <t xml:space="preserve">TK-04346</t>
  </si>
  <si>
    <t xml:space="preserve">TK-04347</t>
  </si>
  <si>
    <t xml:space="preserve">TK-04348</t>
  </si>
  <si>
    <t xml:space="preserve">TK-04349</t>
  </si>
  <si>
    <t xml:space="preserve">TK-04350</t>
  </si>
  <si>
    <t xml:space="preserve">TK-04351</t>
  </si>
  <si>
    <t xml:space="preserve">TK-04352</t>
  </si>
  <si>
    <t xml:space="preserve">TK-04353</t>
  </si>
  <si>
    <t xml:space="preserve">TK-04354</t>
  </si>
  <si>
    <t xml:space="preserve">TK-04355</t>
  </si>
  <si>
    <t xml:space="preserve">TK-04356</t>
  </si>
  <si>
    <t xml:space="preserve">TK-04357</t>
  </si>
  <si>
    <t xml:space="preserve">TK-04358</t>
  </si>
  <si>
    <t xml:space="preserve">TK-04359</t>
  </si>
  <si>
    <t xml:space="preserve">TK-04360</t>
  </si>
  <si>
    <t xml:space="preserve">TK-04361</t>
  </si>
  <si>
    <t xml:space="preserve">TK-04362</t>
  </si>
  <si>
    <t xml:space="preserve">TK-04363</t>
  </si>
  <si>
    <t xml:space="preserve">TK-04364</t>
  </si>
  <si>
    <t xml:space="preserve">TK-04365</t>
  </si>
  <si>
    <t xml:space="preserve">TK-04366</t>
  </si>
  <si>
    <t xml:space="preserve">TK-04367</t>
  </si>
  <si>
    <t xml:space="preserve">TK-04368</t>
  </si>
  <si>
    <t xml:space="preserve">TK-04369</t>
  </si>
  <si>
    <t xml:space="preserve">TK-04370</t>
  </si>
  <si>
    <t xml:space="preserve">TK-04371</t>
  </si>
  <si>
    <t xml:space="preserve">TK-04372</t>
  </si>
  <si>
    <t xml:space="preserve">TK-04373</t>
  </si>
  <si>
    <t xml:space="preserve">TK-04374</t>
  </si>
  <si>
    <t xml:space="preserve">TK-04375</t>
  </si>
  <si>
    <t xml:space="preserve">TK-04376</t>
  </si>
  <si>
    <t xml:space="preserve">TK-04377</t>
  </si>
  <si>
    <t xml:space="preserve">TK-04378</t>
  </si>
  <si>
    <t xml:space="preserve">TK-04379</t>
  </si>
  <si>
    <t xml:space="preserve">TK-04380</t>
  </si>
  <si>
    <t xml:space="preserve">TK-04381</t>
  </si>
  <si>
    <t xml:space="preserve">TK-04382</t>
  </si>
  <si>
    <t xml:space="preserve">TK-04383</t>
  </si>
  <si>
    <t xml:space="preserve">TK-04384</t>
  </si>
  <si>
    <t xml:space="preserve">TK-04385</t>
  </si>
  <si>
    <t xml:space="preserve">TK-04386</t>
  </si>
  <si>
    <t xml:space="preserve">TK-04387</t>
  </si>
  <si>
    <t xml:space="preserve">TK-04388</t>
  </si>
  <si>
    <t xml:space="preserve">TK-04389</t>
  </si>
  <si>
    <t xml:space="preserve">TK-04390</t>
  </si>
  <si>
    <t xml:space="preserve">TK-04391</t>
  </si>
  <si>
    <t xml:space="preserve">TK-04392</t>
  </si>
  <si>
    <t xml:space="preserve">TK-04393</t>
  </si>
  <si>
    <t xml:space="preserve">TK-04394</t>
  </si>
  <si>
    <t xml:space="preserve">TK-04395</t>
  </si>
  <si>
    <t xml:space="preserve">TK-04396</t>
  </si>
  <si>
    <t xml:space="preserve">TK-04397</t>
  </si>
  <si>
    <t xml:space="preserve">TK-04398</t>
  </si>
  <si>
    <t xml:space="preserve">TK-04399</t>
  </si>
  <si>
    <t xml:space="preserve">TK-04400</t>
  </si>
  <si>
    <t xml:space="preserve">TK-04401</t>
  </si>
  <si>
    <t xml:space="preserve">TK-04402</t>
  </si>
  <si>
    <t xml:space="preserve">TK-04403</t>
  </si>
  <si>
    <t xml:space="preserve">TK-04404</t>
  </si>
  <si>
    <t xml:space="preserve">TK-04405</t>
  </si>
  <si>
    <t xml:space="preserve">TK-04406</t>
  </si>
  <si>
    <t xml:space="preserve">TK-04407</t>
  </si>
  <si>
    <t xml:space="preserve">TK-04408</t>
  </si>
  <si>
    <t xml:space="preserve">TK-04409</t>
  </si>
  <si>
    <t xml:space="preserve">TK-04410</t>
  </si>
  <si>
    <t xml:space="preserve">TK-04411</t>
  </si>
  <si>
    <t xml:space="preserve">TK-04412</t>
  </si>
  <si>
    <t xml:space="preserve">TK-04413</t>
  </si>
  <si>
    <t xml:space="preserve">TK-04414</t>
  </si>
  <si>
    <t xml:space="preserve">TK-04415</t>
  </si>
  <si>
    <t xml:space="preserve">TK-04416</t>
  </si>
  <si>
    <t xml:space="preserve">TK-04417</t>
  </si>
  <si>
    <t xml:space="preserve">TK-04418</t>
  </si>
  <si>
    <t xml:space="preserve">TK-04419</t>
  </si>
  <si>
    <t xml:space="preserve">TK-04420</t>
  </si>
  <si>
    <t xml:space="preserve">TK-04421</t>
  </si>
  <si>
    <t xml:space="preserve">TK-04422</t>
  </si>
  <si>
    <t xml:space="preserve">TK-04423</t>
  </si>
  <si>
    <t xml:space="preserve">TK-04424</t>
  </si>
  <si>
    <t xml:space="preserve">TK-04425</t>
  </si>
  <si>
    <t xml:space="preserve">TK-04426</t>
  </si>
  <si>
    <t xml:space="preserve">TK-04427</t>
  </si>
  <si>
    <t xml:space="preserve">TK-04428</t>
  </si>
  <si>
    <t xml:space="preserve">TK-04429</t>
  </si>
  <si>
    <t xml:space="preserve">TK-04430</t>
  </si>
  <si>
    <t xml:space="preserve">TK-04431</t>
  </si>
  <si>
    <t xml:space="preserve">TK-04432</t>
  </si>
  <si>
    <t xml:space="preserve">TK-04433</t>
  </si>
  <si>
    <t xml:space="preserve">TK-04434</t>
  </si>
  <si>
    <t xml:space="preserve">TK-04435</t>
  </si>
  <si>
    <t xml:space="preserve">TK-04436</t>
  </si>
  <si>
    <t xml:space="preserve">TK-04437</t>
  </si>
  <si>
    <t xml:space="preserve">TK-04438</t>
  </si>
  <si>
    <t xml:space="preserve">TK-04439</t>
  </si>
  <si>
    <t xml:space="preserve">TK-04440</t>
  </si>
  <si>
    <t xml:space="preserve">TK-04441</t>
  </si>
  <si>
    <t xml:space="preserve">TK-04442</t>
  </si>
  <si>
    <t xml:space="preserve">TK-04443</t>
  </si>
  <si>
    <t xml:space="preserve">TK-04444</t>
  </si>
  <si>
    <t xml:space="preserve">TK-04445</t>
  </si>
  <si>
    <t xml:space="preserve">TK-04446</t>
  </si>
  <si>
    <t xml:space="preserve">TK-04447</t>
  </si>
  <si>
    <t xml:space="preserve">TK-04448</t>
  </si>
  <si>
    <t xml:space="preserve">TK-04449</t>
  </si>
  <si>
    <t xml:space="preserve">TK-04450</t>
  </si>
  <si>
    <t xml:space="preserve">TK-04451</t>
  </si>
  <si>
    <t xml:space="preserve">TK-04452</t>
  </si>
  <si>
    <t xml:space="preserve">TK-04453</t>
  </si>
  <si>
    <t xml:space="preserve">TK-04454</t>
  </si>
  <si>
    <t xml:space="preserve">TK-04455</t>
  </si>
  <si>
    <t xml:space="preserve">TK-04456</t>
  </si>
  <si>
    <t xml:space="preserve">TK-04457</t>
  </si>
  <si>
    <t xml:space="preserve">TK-04458</t>
  </si>
  <si>
    <t xml:space="preserve">TK-04459</t>
  </si>
  <si>
    <t xml:space="preserve">TK-04460</t>
  </si>
  <si>
    <t xml:space="preserve">TK-04461</t>
  </si>
  <si>
    <t xml:space="preserve">TK-04462</t>
  </si>
  <si>
    <t xml:space="preserve">TK-04463</t>
  </si>
  <si>
    <t xml:space="preserve">TK-04464</t>
  </si>
  <si>
    <t xml:space="preserve">TK-04465</t>
  </si>
  <si>
    <t xml:space="preserve">TK-04466</t>
  </si>
  <si>
    <t xml:space="preserve">TK-04467</t>
  </si>
  <si>
    <t xml:space="preserve">TK-04468</t>
  </si>
  <si>
    <t xml:space="preserve">TK-04469</t>
  </si>
  <si>
    <t xml:space="preserve">TK-04470</t>
  </si>
  <si>
    <t xml:space="preserve">TK-04471</t>
  </si>
  <si>
    <t xml:space="preserve">TK-04472</t>
  </si>
  <si>
    <t xml:space="preserve">TK-04473</t>
  </si>
  <si>
    <t xml:space="preserve">TK-04474</t>
  </si>
  <si>
    <t xml:space="preserve">TK-04475</t>
  </si>
  <si>
    <t xml:space="preserve">TK-04476</t>
  </si>
  <si>
    <t xml:space="preserve">TK-04477</t>
  </si>
  <si>
    <t xml:space="preserve">TK-04478</t>
  </si>
  <si>
    <t xml:space="preserve">TK-04479</t>
  </si>
  <si>
    <t xml:space="preserve">TK-04480</t>
  </si>
  <si>
    <t xml:space="preserve">TK-04481</t>
  </si>
  <si>
    <t xml:space="preserve">TK-04482</t>
  </si>
  <si>
    <t xml:space="preserve">TK-04483</t>
  </si>
  <si>
    <t xml:space="preserve">TK-04484</t>
  </si>
  <si>
    <t xml:space="preserve">TK-04485</t>
  </si>
  <si>
    <t xml:space="preserve">TK-04486</t>
  </si>
  <si>
    <t xml:space="preserve">TK-04487</t>
  </si>
  <si>
    <t xml:space="preserve">TK-04488</t>
  </si>
  <si>
    <t xml:space="preserve">TK-04489</t>
  </si>
  <si>
    <t xml:space="preserve">TK-04490</t>
  </si>
  <si>
    <t xml:space="preserve">TK-04491</t>
  </si>
  <si>
    <t xml:space="preserve">TK-04492</t>
  </si>
  <si>
    <t xml:space="preserve">TK-04493</t>
  </si>
  <si>
    <t xml:space="preserve">TK-04494</t>
  </si>
  <si>
    <t xml:space="preserve">TK-04495</t>
  </si>
  <si>
    <t xml:space="preserve">TK-04496</t>
  </si>
  <si>
    <t xml:space="preserve">TK-04497</t>
  </si>
  <si>
    <t xml:space="preserve">TK-04498</t>
  </si>
  <si>
    <t xml:space="preserve">TK-04499</t>
  </si>
  <si>
    <t xml:space="preserve">TK-04500</t>
  </si>
  <si>
    <t xml:space="preserve">TK-04501</t>
  </si>
  <si>
    <t xml:space="preserve">TK-04502</t>
  </si>
  <si>
    <t xml:space="preserve">TK-04503</t>
  </si>
  <si>
    <t xml:space="preserve">TK-04504</t>
  </si>
  <si>
    <t xml:space="preserve">TK-04505</t>
  </si>
  <si>
    <t xml:space="preserve">TK-04506</t>
  </si>
  <si>
    <t xml:space="preserve">TK-04507</t>
  </si>
  <si>
    <t xml:space="preserve">TK-04508</t>
  </si>
  <si>
    <t xml:space="preserve">TK-04509</t>
  </si>
  <si>
    <t xml:space="preserve">TK-04510</t>
  </si>
  <si>
    <t xml:space="preserve">TK-04511</t>
  </si>
  <si>
    <t xml:space="preserve">TK-04512</t>
  </si>
  <si>
    <t xml:space="preserve">TK-04513</t>
  </si>
  <si>
    <t xml:space="preserve">TK-04514</t>
  </si>
  <si>
    <t xml:space="preserve">TK-04515</t>
  </si>
  <si>
    <t xml:space="preserve">TK-04516</t>
  </si>
  <si>
    <t xml:space="preserve">TK-04517</t>
  </si>
  <si>
    <t xml:space="preserve">TK-04518</t>
  </si>
  <si>
    <t xml:space="preserve">TK-04519</t>
  </si>
  <si>
    <t xml:space="preserve">TK-04520</t>
  </si>
  <si>
    <t xml:space="preserve">TK-04521</t>
  </si>
  <si>
    <t xml:space="preserve">TK-04522</t>
  </si>
  <si>
    <t xml:space="preserve">TK-04523</t>
  </si>
  <si>
    <t xml:space="preserve">TK-04524</t>
  </si>
  <si>
    <t xml:space="preserve">TK-04525</t>
  </si>
  <si>
    <t xml:space="preserve">TK-04526</t>
  </si>
  <si>
    <t xml:space="preserve">TK-04527</t>
  </si>
  <si>
    <t xml:space="preserve">TK-04528</t>
  </si>
  <si>
    <t xml:space="preserve">TK-04529</t>
  </si>
  <si>
    <t xml:space="preserve">TK-04530</t>
  </si>
  <si>
    <t xml:space="preserve">TK-04531</t>
  </si>
  <si>
    <t xml:space="preserve">TK-04532</t>
  </si>
  <si>
    <t xml:space="preserve">TK-04533</t>
  </si>
  <si>
    <t xml:space="preserve">TK-04534</t>
  </si>
  <si>
    <t xml:space="preserve">TK-04535</t>
  </si>
  <si>
    <t xml:space="preserve">TK-04536</t>
  </si>
  <si>
    <t xml:space="preserve">TK-04537</t>
  </si>
  <si>
    <t xml:space="preserve">TK-04538</t>
  </si>
  <si>
    <t xml:space="preserve">TK-04539</t>
  </si>
  <si>
    <t xml:space="preserve">TK-04540</t>
  </si>
  <si>
    <t xml:space="preserve">TK-04541</t>
  </si>
  <si>
    <t xml:space="preserve">TK-04542</t>
  </si>
  <si>
    <t xml:space="preserve">TK-04543</t>
  </si>
  <si>
    <t xml:space="preserve">TK-04544</t>
  </si>
  <si>
    <t xml:space="preserve">TK-04545</t>
  </si>
  <si>
    <t xml:space="preserve">TK-04546</t>
  </si>
  <si>
    <t xml:space="preserve">TK-04547</t>
  </si>
  <si>
    <t xml:space="preserve">TK-04548</t>
  </si>
  <si>
    <t xml:space="preserve">TK-04549</t>
  </si>
  <si>
    <t xml:space="preserve">TK-04550</t>
  </si>
  <si>
    <t xml:space="preserve">TK-04551</t>
  </si>
  <si>
    <t xml:space="preserve">TK-04552</t>
  </si>
  <si>
    <t xml:space="preserve">TK-04553</t>
  </si>
  <si>
    <t xml:space="preserve">TK-04554</t>
  </si>
  <si>
    <t xml:space="preserve">TK-04555</t>
  </si>
  <si>
    <t xml:space="preserve">TK-04556</t>
  </si>
  <si>
    <t xml:space="preserve">TK-04557</t>
  </si>
  <si>
    <t xml:space="preserve">TK-04558</t>
  </si>
  <si>
    <t xml:space="preserve">TK-04559</t>
  </si>
  <si>
    <t xml:space="preserve">TK-04560</t>
  </si>
  <si>
    <t xml:space="preserve">TK-04561</t>
  </si>
  <si>
    <t xml:space="preserve">TK-04562</t>
  </si>
  <si>
    <t xml:space="preserve">TK-04563</t>
  </si>
  <si>
    <t xml:space="preserve">TK-04564</t>
  </si>
  <si>
    <t xml:space="preserve">TK-04565</t>
  </si>
  <si>
    <t xml:space="preserve">TK-04566</t>
  </si>
  <si>
    <t xml:space="preserve">TK-04567</t>
  </si>
  <si>
    <t xml:space="preserve">TK-04568</t>
  </si>
  <si>
    <t xml:space="preserve">TK-04569</t>
  </si>
  <si>
    <t xml:space="preserve">TK-04570</t>
  </si>
  <si>
    <t xml:space="preserve">TK-04571</t>
  </si>
  <si>
    <t xml:space="preserve">TK-04572</t>
  </si>
  <si>
    <t xml:space="preserve">TK-04573</t>
  </si>
  <si>
    <t xml:space="preserve">TK-04574</t>
  </si>
  <si>
    <t xml:space="preserve">TK-04575</t>
  </si>
  <si>
    <t xml:space="preserve">TK-04576</t>
  </si>
  <si>
    <t xml:space="preserve">TK-04577</t>
  </si>
  <si>
    <t xml:space="preserve">TK-04578</t>
  </si>
  <si>
    <t xml:space="preserve">TK-04579</t>
  </si>
  <si>
    <t xml:space="preserve">TK-04580</t>
  </si>
  <si>
    <t xml:space="preserve">TK-04581</t>
  </si>
  <si>
    <t xml:space="preserve">TK-04582</t>
  </si>
  <si>
    <t xml:space="preserve">TK-04583</t>
  </si>
  <si>
    <t xml:space="preserve">TK-04584</t>
  </si>
  <si>
    <t xml:space="preserve">TK-04585</t>
  </si>
  <si>
    <t xml:space="preserve">TK-04586</t>
  </si>
  <si>
    <t xml:space="preserve">TK-04587</t>
  </si>
  <si>
    <t xml:space="preserve">TK-04588</t>
  </si>
  <si>
    <t xml:space="preserve">TK-04589</t>
  </si>
  <si>
    <t xml:space="preserve">TK-04590</t>
  </si>
  <si>
    <t xml:space="preserve">TK-04591</t>
  </si>
  <si>
    <t xml:space="preserve">TK-04592</t>
  </si>
  <si>
    <t xml:space="preserve">TK-04593</t>
  </si>
  <si>
    <t xml:space="preserve">TK-04594</t>
  </si>
  <si>
    <t xml:space="preserve">TK-04595</t>
  </si>
  <si>
    <t xml:space="preserve">TK-04596</t>
  </si>
  <si>
    <t xml:space="preserve">TK-04597</t>
  </si>
  <si>
    <t xml:space="preserve">TK-04598</t>
  </si>
  <si>
    <t xml:space="preserve">TK-04599</t>
  </si>
  <si>
    <t xml:space="preserve">TK-04600</t>
  </si>
  <si>
    <t xml:space="preserve">TK-04601</t>
  </si>
  <si>
    <t xml:space="preserve">TK-04602</t>
  </si>
  <si>
    <t xml:space="preserve">TK-04603</t>
  </si>
  <si>
    <t xml:space="preserve">TK-04604</t>
  </si>
  <si>
    <t xml:space="preserve">TK-04605</t>
  </si>
  <si>
    <t xml:space="preserve">TK-04606</t>
  </si>
  <si>
    <t xml:space="preserve">TK-04607</t>
  </si>
  <si>
    <t xml:space="preserve">TK-04608</t>
  </si>
  <si>
    <t xml:space="preserve">TK-04609</t>
  </si>
  <si>
    <t xml:space="preserve">TK-04610</t>
  </si>
  <si>
    <t xml:space="preserve">TK-04611</t>
  </si>
  <si>
    <t xml:space="preserve">TK-04612</t>
  </si>
  <si>
    <t xml:space="preserve">TK-04613</t>
  </si>
  <si>
    <t xml:space="preserve">TK-04614</t>
  </si>
  <si>
    <t xml:space="preserve">TK-04615</t>
  </si>
  <si>
    <t xml:space="preserve">TK-04616</t>
  </si>
  <si>
    <t xml:space="preserve">TK-04617</t>
  </si>
  <si>
    <t xml:space="preserve">TK-04618</t>
  </si>
  <si>
    <t xml:space="preserve">TK-04619</t>
  </si>
  <si>
    <t xml:space="preserve">TK-04620</t>
  </si>
  <si>
    <t xml:space="preserve">TK-04621</t>
  </si>
  <si>
    <t xml:space="preserve">TK-04622</t>
  </si>
  <si>
    <t xml:space="preserve">TK-04623</t>
  </si>
  <si>
    <t xml:space="preserve">TK-04624</t>
  </si>
  <si>
    <t xml:space="preserve">TK-04625</t>
  </si>
  <si>
    <t xml:space="preserve">TK-04626</t>
  </si>
  <si>
    <t xml:space="preserve">TK-04627</t>
  </si>
  <si>
    <t xml:space="preserve">TK-04628</t>
  </si>
  <si>
    <t xml:space="preserve">TK-04629</t>
  </si>
  <si>
    <t xml:space="preserve">TK-04630</t>
  </si>
  <si>
    <t xml:space="preserve">TK-04631</t>
  </si>
  <si>
    <t xml:space="preserve">TK-04632</t>
  </si>
  <si>
    <t xml:space="preserve">TK-04633</t>
  </si>
  <si>
    <t xml:space="preserve">TK-04634</t>
  </si>
  <si>
    <t xml:space="preserve">TK-04635</t>
  </si>
  <si>
    <t xml:space="preserve">TK-04636</t>
  </si>
  <si>
    <t xml:space="preserve">TK-04637</t>
  </si>
  <si>
    <t xml:space="preserve">TK-04638</t>
  </si>
  <si>
    <t xml:space="preserve">TK-04639</t>
  </si>
  <si>
    <t xml:space="preserve">TK-04640</t>
  </si>
  <si>
    <t xml:space="preserve">TK-04641</t>
  </si>
  <si>
    <t xml:space="preserve">TK-04642</t>
  </si>
  <si>
    <t xml:space="preserve">TK-04643</t>
  </si>
  <si>
    <t xml:space="preserve">TK-04644</t>
  </si>
  <si>
    <t xml:space="preserve">TK-04645</t>
  </si>
  <si>
    <t xml:space="preserve">TK-04646</t>
  </si>
  <si>
    <t xml:space="preserve">TK-04647</t>
  </si>
  <si>
    <t xml:space="preserve">TK-04648</t>
  </si>
  <si>
    <t xml:space="preserve">TK-04649</t>
  </si>
  <si>
    <t xml:space="preserve">TK-04650</t>
  </si>
  <si>
    <t xml:space="preserve">TK-04651</t>
  </si>
  <si>
    <t xml:space="preserve">TK-04652</t>
  </si>
  <si>
    <t xml:space="preserve">TK-04653</t>
  </si>
  <si>
    <t xml:space="preserve">TK-04654</t>
  </si>
  <si>
    <t xml:space="preserve">TK-04655</t>
  </si>
  <si>
    <t xml:space="preserve">TK-04656</t>
  </si>
  <si>
    <t xml:space="preserve">TK-04657</t>
  </si>
  <si>
    <t xml:space="preserve">TK-04658</t>
  </si>
  <si>
    <t xml:space="preserve">TK-04659</t>
  </si>
  <si>
    <t xml:space="preserve">TK-04660</t>
  </si>
  <si>
    <t xml:space="preserve">TK-04661</t>
  </si>
  <si>
    <t xml:space="preserve">TK-04662</t>
  </si>
  <si>
    <t xml:space="preserve">TK-04663</t>
  </si>
  <si>
    <t xml:space="preserve">TK-04664</t>
  </si>
  <si>
    <t xml:space="preserve">TK-04665</t>
  </si>
  <si>
    <t xml:space="preserve">TK-04666</t>
  </si>
  <si>
    <t xml:space="preserve">TK-04667</t>
  </si>
  <si>
    <t xml:space="preserve">TK-04668</t>
  </si>
  <si>
    <t xml:space="preserve">TK-04669</t>
  </si>
  <si>
    <t xml:space="preserve">TK-04670</t>
  </si>
  <si>
    <t xml:space="preserve">TK-04671</t>
  </si>
  <si>
    <t xml:space="preserve">TK-04672</t>
  </si>
  <si>
    <t xml:space="preserve">TK-04673</t>
  </si>
  <si>
    <t xml:space="preserve">TK-04674</t>
  </si>
  <si>
    <t xml:space="preserve">TK-04675</t>
  </si>
  <si>
    <t xml:space="preserve">TK-04676</t>
  </si>
  <si>
    <t xml:space="preserve">TK-04677</t>
  </si>
  <si>
    <t xml:space="preserve">TK-04678</t>
  </si>
  <si>
    <t xml:space="preserve">TK-04679</t>
  </si>
  <si>
    <t xml:space="preserve">TK-04680</t>
  </si>
  <si>
    <t xml:space="preserve">TK-04681</t>
  </si>
  <si>
    <t xml:space="preserve">TK-04682</t>
  </si>
  <si>
    <t xml:space="preserve">TK-04683</t>
  </si>
  <si>
    <t xml:space="preserve">TK-04684</t>
  </si>
  <si>
    <t xml:space="preserve">TK-04685</t>
  </si>
  <si>
    <t xml:space="preserve">TK-04686</t>
  </si>
  <si>
    <t xml:space="preserve">TK-04687</t>
  </si>
  <si>
    <t xml:space="preserve">TK-04688</t>
  </si>
  <si>
    <t xml:space="preserve">TK-04689</t>
  </si>
  <si>
    <t xml:space="preserve">TK-04690</t>
  </si>
  <si>
    <t xml:space="preserve">TK-04691</t>
  </si>
  <si>
    <t xml:space="preserve">TK-04692</t>
  </si>
  <si>
    <t xml:space="preserve">TK-04693</t>
  </si>
  <si>
    <t xml:space="preserve">TK-04694</t>
  </si>
  <si>
    <t xml:space="preserve">TK-04695</t>
  </si>
  <si>
    <t xml:space="preserve">TK-04696</t>
  </si>
  <si>
    <t xml:space="preserve">TK-04697</t>
  </si>
  <si>
    <t xml:space="preserve">TK-04698</t>
  </si>
  <si>
    <t xml:space="preserve">TK-04699</t>
  </si>
  <si>
    <t xml:space="preserve">TK-04700</t>
  </si>
  <si>
    <t xml:space="preserve">TK-04701</t>
  </si>
  <si>
    <t xml:space="preserve">TK-04702</t>
  </si>
  <si>
    <t xml:space="preserve">TK-04703</t>
  </si>
  <si>
    <t xml:space="preserve">TK-04704</t>
  </si>
  <si>
    <t xml:space="preserve">TK-04705</t>
  </si>
  <si>
    <t xml:space="preserve">TK-04706</t>
  </si>
  <si>
    <t xml:space="preserve">TK-04707</t>
  </si>
  <si>
    <t xml:space="preserve">TK-04708</t>
  </si>
  <si>
    <t xml:space="preserve">TK-04709</t>
  </si>
  <si>
    <t xml:space="preserve">TK-04710</t>
  </si>
  <si>
    <t xml:space="preserve">TK-04711</t>
  </si>
  <si>
    <t xml:space="preserve">TK-04712</t>
  </si>
  <si>
    <t xml:space="preserve">TK-04713</t>
  </si>
  <si>
    <t xml:space="preserve">TK-04714</t>
  </si>
  <si>
    <t xml:space="preserve">TK-04715</t>
  </si>
  <si>
    <t xml:space="preserve">TK-04716</t>
  </si>
  <si>
    <t xml:space="preserve">TK-04717</t>
  </si>
  <si>
    <t xml:space="preserve">TK-04718</t>
  </si>
  <si>
    <t xml:space="preserve">TK-04719</t>
  </si>
  <si>
    <t xml:space="preserve">TK-04720</t>
  </si>
  <si>
    <t xml:space="preserve">TK-04721</t>
  </si>
  <si>
    <t xml:space="preserve">TK-04722</t>
  </si>
  <si>
    <t xml:space="preserve">TK-04723</t>
  </si>
  <si>
    <t xml:space="preserve">TK-04724</t>
  </si>
  <si>
    <t xml:space="preserve">TK-04725</t>
  </si>
  <si>
    <t xml:space="preserve">TK-04726</t>
  </si>
  <si>
    <t xml:space="preserve">TK-04727</t>
  </si>
  <si>
    <t xml:space="preserve">TK-04728</t>
  </si>
  <si>
    <t xml:space="preserve">TK-04729</t>
  </si>
  <si>
    <t xml:space="preserve">TK-04730</t>
  </si>
  <si>
    <t xml:space="preserve">TK-04731</t>
  </si>
  <si>
    <t xml:space="preserve">TK-04732</t>
  </si>
  <si>
    <t xml:space="preserve">TK-04733</t>
  </si>
  <si>
    <t xml:space="preserve">TK-04734</t>
  </si>
  <si>
    <t xml:space="preserve">TK-04735</t>
  </si>
  <si>
    <t xml:space="preserve">TK-04736</t>
  </si>
  <si>
    <t xml:space="preserve">TK-04737</t>
  </si>
  <si>
    <t xml:space="preserve">TK-04738</t>
  </si>
  <si>
    <t xml:space="preserve">TK-04739</t>
  </si>
  <si>
    <t xml:space="preserve">TK-04740</t>
  </si>
  <si>
    <t xml:space="preserve">TK-04741</t>
  </si>
  <si>
    <t xml:space="preserve">TK-04742</t>
  </si>
  <si>
    <t xml:space="preserve">TK-04743</t>
  </si>
  <si>
    <t xml:space="preserve">TK-04744</t>
  </si>
  <si>
    <t xml:space="preserve">TK-04745</t>
  </si>
  <si>
    <t xml:space="preserve">TK-04746</t>
  </si>
  <si>
    <t xml:space="preserve">TK-04747</t>
  </si>
  <si>
    <t xml:space="preserve">TK-04748</t>
  </si>
  <si>
    <t xml:space="preserve">TK-04749</t>
  </si>
  <si>
    <t xml:space="preserve">TK-04750</t>
  </si>
  <si>
    <t xml:space="preserve">TK-04751</t>
  </si>
  <si>
    <t xml:space="preserve">TK-04752</t>
  </si>
  <si>
    <t xml:space="preserve">TK-04753</t>
  </si>
  <si>
    <t xml:space="preserve">TK-04754</t>
  </si>
  <si>
    <t xml:space="preserve">TK-04755</t>
  </si>
  <si>
    <t xml:space="preserve">TK-04756</t>
  </si>
  <si>
    <t xml:space="preserve">TK-04757</t>
  </si>
  <si>
    <t xml:space="preserve">TK-04758</t>
  </si>
  <si>
    <t xml:space="preserve">TK-04759</t>
  </si>
  <si>
    <t xml:space="preserve">TK-04760</t>
  </si>
  <si>
    <t xml:space="preserve">TK-04761</t>
  </si>
  <si>
    <t xml:space="preserve">TK-04762</t>
  </si>
  <si>
    <t xml:space="preserve">TK-04763</t>
  </si>
  <si>
    <t xml:space="preserve">TK-04764</t>
  </si>
  <si>
    <t xml:space="preserve">TK-04765</t>
  </si>
  <si>
    <t xml:space="preserve">TK-04766</t>
  </si>
  <si>
    <t xml:space="preserve">TK-04767</t>
  </si>
  <si>
    <t xml:space="preserve">TK-04768</t>
  </si>
  <si>
    <t xml:space="preserve">TK-04769</t>
  </si>
  <si>
    <t xml:space="preserve">TK-04770</t>
  </si>
  <si>
    <t xml:space="preserve">TK-04771</t>
  </si>
  <si>
    <t xml:space="preserve">TK-04772</t>
  </si>
  <si>
    <t xml:space="preserve">TK-04773</t>
  </si>
  <si>
    <t xml:space="preserve">TK-04774</t>
  </si>
  <si>
    <t xml:space="preserve">TK-04775</t>
  </si>
  <si>
    <t xml:space="preserve">TK-04776</t>
  </si>
  <si>
    <t xml:space="preserve">TK-04777</t>
  </si>
  <si>
    <t xml:space="preserve">TK-04778</t>
  </si>
  <si>
    <t xml:space="preserve">TK-04779</t>
  </si>
  <si>
    <t xml:space="preserve">TK-04780</t>
  </si>
  <si>
    <t xml:space="preserve">TK-04781</t>
  </si>
  <si>
    <t xml:space="preserve">TK-04782</t>
  </si>
  <si>
    <t xml:space="preserve">TK-04783</t>
  </si>
  <si>
    <t xml:space="preserve">TK-04784</t>
  </si>
  <si>
    <t xml:space="preserve">TK-04785</t>
  </si>
  <si>
    <t xml:space="preserve">TK-04786</t>
  </si>
  <si>
    <t xml:space="preserve">TK-04787</t>
  </si>
  <si>
    <t xml:space="preserve">TK-04788</t>
  </si>
  <si>
    <t xml:space="preserve">TK-04789</t>
  </si>
  <si>
    <t xml:space="preserve">TK-04790</t>
  </si>
  <si>
    <t xml:space="preserve">TK-04791</t>
  </si>
  <si>
    <t xml:space="preserve">TK-04792</t>
  </si>
  <si>
    <t xml:space="preserve">TK-04793</t>
  </si>
  <si>
    <t xml:space="preserve">TK-04794</t>
  </si>
  <si>
    <t xml:space="preserve">TK-04795</t>
  </si>
  <si>
    <t xml:space="preserve">TK-04796</t>
  </si>
  <si>
    <t xml:space="preserve">TK-04797</t>
  </si>
  <si>
    <t xml:space="preserve">TK-04798</t>
  </si>
  <si>
    <t xml:space="preserve">TK-04799</t>
  </si>
  <si>
    <t xml:space="preserve">TK-04800</t>
  </si>
  <si>
    <t xml:space="preserve">TK-04801</t>
  </si>
  <si>
    <t xml:space="preserve">TK-04802</t>
  </si>
  <si>
    <t xml:space="preserve">TK-04803</t>
  </si>
  <si>
    <t xml:space="preserve">TK-04804</t>
  </si>
  <si>
    <t xml:space="preserve">TK-04805</t>
  </si>
  <si>
    <t xml:space="preserve">TK-04806</t>
  </si>
  <si>
    <t xml:space="preserve">TK-04807</t>
  </si>
  <si>
    <t xml:space="preserve">TK-04808</t>
  </si>
  <si>
    <t xml:space="preserve">TK-04809</t>
  </si>
  <si>
    <t xml:space="preserve">TK-04810</t>
  </si>
  <si>
    <t xml:space="preserve">TK-04811</t>
  </si>
  <si>
    <t xml:space="preserve">TK-04812</t>
  </si>
  <si>
    <t xml:space="preserve">TK-04813</t>
  </si>
  <si>
    <t xml:space="preserve">TK-04814</t>
  </si>
  <si>
    <t xml:space="preserve">TK-04815</t>
  </si>
  <si>
    <t xml:space="preserve">TK-04816</t>
  </si>
  <si>
    <t xml:space="preserve">TK-04817</t>
  </si>
  <si>
    <t xml:space="preserve">TK-04818</t>
  </si>
  <si>
    <t xml:space="preserve">TK-04819</t>
  </si>
  <si>
    <t xml:space="preserve">TK-04820</t>
  </si>
  <si>
    <t xml:space="preserve">TK-04821</t>
  </si>
  <si>
    <t xml:space="preserve">TK-04822</t>
  </si>
  <si>
    <t xml:space="preserve">TK-04823</t>
  </si>
  <si>
    <t xml:space="preserve">TK-04824</t>
  </si>
  <si>
    <t xml:space="preserve">TK-04825</t>
  </si>
  <si>
    <t xml:space="preserve">TK-04826</t>
  </si>
  <si>
    <t xml:space="preserve">TK-04827</t>
  </si>
  <si>
    <t xml:space="preserve">TK-04828</t>
  </si>
  <si>
    <t xml:space="preserve">TK-04829</t>
  </si>
  <si>
    <t xml:space="preserve">TK-04830</t>
  </si>
  <si>
    <t xml:space="preserve">TK-04831</t>
  </si>
  <si>
    <t xml:space="preserve">TK-04832</t>
  </si>
  <si>
    <t xml:space="preserve">TK-04833</t>
  </si>
  <si>
    <t xml:space="preserve">TK-04834</t>
  </si>
  <si>
    <t xml:space="preserve">TK-04835</t>
  </si>
  <si>
    <t xml:space="preserve">TK-04836</t>
  </si>
  <si>
    <t xml:space="preserve">TK-04837</t>
  </si>
  <si>
    <t xml:space="preserve">TK-04838</t>
  </si>
  <si>
    <t xml:space="preserve">TK-04839</t>
  </si>
  <si>
    <t xml:space="preserve">TK-04840</t>
  </si>
  <si>
    <t xml:space="preserve">TK-04841</t>
  </si>
  <si>
    <t xml:space="preserve">TK-04842</t>
  </si>
  <si>
    <t xml:space="preserve">TK-04843</t>
  </si>
  <si>
    <t xml:space="preserve">TK-04844</t>
  </si>
  <si>
    <t xml:space="preserve">TK-04845</t>
  </si>
  <si>
    <t xml:space="preserve">TK-04846</t>
  </si>
  <si>
    <t xml:space="preserve">TK-04847</t>
  </si>
  <si>
    <t xml:space="preserve">TK-04848</t>
  </si>
  <si>
    <t xml:space="preserve">TK-04849</t>
  </si>
  <si>
    <t xml:space="preserve">TK-04850</t>
  </si>
  <si>
    <t xml:space="preserve">TK-04851</t>
  </si>
  <si>
    <t xml:space="preserve">TK-04852</t>
  </si>
  <si>
    <t xml:space="preserve">TK-04853</t>
  </si>
  <si>
    <t xml:space="preserve">TK-04854</t>
  </si>
  <si>
    <t xml:space="preserve">TK-04855</t>
  </si>
  <si>
    <t xml:space="preserve">TK-04856</t>
  </si>
  <si>
    <t xml:space="preserve">TK-04857</t>
  </si>
  <si>
    <t xml:space="preserve">TK-04858</t>
  </si>
  <si>
    <t xml:space="preserve">TK-04859</t>
  </si>
  <si>
    <t xml:space="preserve">TK-04860</t>
  </si>
  <si>
    <t xml:space="preserve">TK-04861</t>
  </si>
  <si>
    <t xml:space="preserve">TK-04862</t>
  </si>
  <si>
    <t xml:space="preserve">TK-04863</t>
  </si>
  <si>
    <t xml:space="preserve">TK-04864</t>
  </si>
  <si>
    <t xml:space="preserve">TK-04865</t>
  </si>
  <si>
    <t xml:space="preserve">TK-04866</t>
  </si>
  <si>
    <t xml:space="preserve">TK-04867</t>
  </si>
  <si>
    <t xml:space="preserve">TK-04868</t>
  </si>
  <si>
    <t xml:space="preserve">TK-04869</t>
  </si>
  <si>
    <t xml:space="preserve">TK-04870</t>
  </si>
  <si>
    <t xml:space="preserve">TK-04871</t>
  </si>
  <si>
    <t xml:space="preserve">TK-04872</t>
  </si>
  <si>
    <t xml:space="preserve">TK-04873</t>
  </si>
  <si>
    <t xml:space="preserve">TK-04874</t>
  </si>
  <si>
    <t xml:space="preserve">TK-04875</t>
  </si>
  <si>
    <t xml:space="preserve">TK-04876</t>
  </si>
  <si>
    <t xml:space="preserve">TK-04877</t>
  </si>
  <si>
    <t xml:space="preserve">TK-04878</t>
  </si>
  <si>
    <t xml:space="preserve">TK-04879</t>
  </si>
  <si>
    <t xml:space="preserve">TK-04880</t>
  </si>
  <si>
    <t xml:space="preserve">TK-04881</t>
  </si>
  <si>
    <t xml:space="preserve">TK-04882</t>
  </si>
  <si>
    <t xml:space="preserve">TK-04883</t>
  </si>
  <si>
    <t xml:space="preserve">TK-04884</t>
  </si>
  <si>
    <t xml:space="preserve">TK-04885</t>
  </si>
  <si>
    <t xml:space="preserve">TK-04886</t>
  </si>
  <si>
    <t xml:space="preserve">TK-04887</t>
  </si>
  <si>
    <t xml:space="preserve">TK-04888</t>
  </si>
  <si>
    <t xml:space="preserve">TK-04889</t>
  </si>
  <si>
    <t xml:space="preserve">TK-04890</t>
  </si>
  <si>
    <t xml:space="preserve">TK-04891</t>
  </si>
  <si>
    <t xml:space="preserve">TK-04892</t>
  </si>
  <si>
    <t xml:space="preserve">TK-04893</t>
  </si>
  <si>
    <t xml:space="preserve">TK-04894</t>
  </si>
  <si>
    <t xml:space="preserve">TK-04895</t>
  </si>
  <si>
    <t xml:space="preserve">TK-04896</t>
  </si>
  <si>
    <t xml:space="preserve">TK-04897</t>
  </si>
  <si>
    <t xml:space="preserve">TK-04898</t>
  </si>
  <si>
    <t xml:space="preserve">TK-04899</t>
  </si>
  <si>
    <t xml:space="preserve">TK-04900</t>
  </si>
  <si>
    <t xml:space="preserve">TK-04901</t>
  </si>
  <si>
    <t xml:space="preserve">TK-04902</t>
  </si>
  <si>
    <t xml:space="preserve">TK-04903</t>
  </si>
  <si>
    <t xml:space="preserve">TK-04904</t>
  </si>
  <si>
    <t xml:space="preserve">TK-04905</t>
  </si>
  <si>
    <t xml:space="preserve">TK-04906</t>
  </si>
  <si>
    <t xml:space="preserve">TK-04907</t>
  </si>
  <si>
    <t xml:space="preserve">TK-04908</t>
  </si>
  <si>
    <t xml:space="preserve">TK-04909</t>
  </si>
  <si>
    <t xml:space="preserve">TK-04910</t>
  </si>
  <si>
    <t xml:space="preserve">TK-04911</t>
  </si>
  <si>
    <t xml:space="preserve">TK-04912</t>
  </si>
  <si>
    <t xml:space="preserve">TK-04913</t>
  </si>
  <si>
    <t xml:space="preserve">TK-04914</t>
  </si>
  <si>
    <t xml:space="preserve">TK-04915</t>
  </si>
  <si>
    <t xml:space="preserve">TK-04916</t>
  </si>
  <si>
    <t xml:space="preserve">TK-04917</t>
  </si>
  <si>
    <t xml:space="preserve">TK-04918</t>
  </si>
  <si>
    <t xml:space="preserve">TK-04919</t>
  </si>
  <si>
    <t xml:space="preserve">TK-04920</t>
  </si>
  <si>
    <t xml:space="preserve">TK-04921</t>
  </si>
  <si>
    <t xml:space="preserve">TK-04922</t>
  </si>
  <si>
    <t xml:space="preserve">TK-04923</t>
  </si>
  <si>
    <t xml:space="preserve">TK-04924</t>
  </si>
  <si>
    <t xml:space="preserve">TK-04925</t>
  </si>
  <si>
    <t xml:space="preserve">TK-04926</t>
  </si>
  <si>
    <t xml:space="preserve">TK-04927</t>
  </si>
  <si>
    <t xml:space="preserve">TK-04928</t>
  </si>
  <si>
    <t xml:space="preserve">TK-04929</t>
  </si>
  <si>
    <t xml:space="preserve">TK-04930</t>
  </si>
  <si>
    <t xml:space="preserve">TK-04931</t>
  </si>
  <si>
    <t xml:space="preserve">TK-04932</t>
  </si>
  <si>
    <t xml:space="preserve">TK-04933</t>
  </si>
  <si>
    <t xml:space="preserve">TK-04934</t>
  </si>
  <si>
    <t xml:space="preserve">TK-04935</t>
  </si>
  <si>
    <t xml:space="preserve">TK-04936</t>
  </si>
  <si>
    <t xml:space="preserve">TK-04937</t>
  </si>
  <si>
    <t xml:space="preserve">TK-04938</t>
  </si>
  <si>
    <t xml:space="preserve">TK-04939</t>
  </si>
  <si>
    <t xml:space="preserve">TK-04940</t>
  </si>
  <si>
    <t xml:space="preserve">TK-04941</t>
  </si>
  <si>
    <t xml:space="preserve">TK-04942</t>
  </si>
  <si>
    <t xml:space="preserve">TK-04943</t>
  </si>
  <si>
    <t xml:space="preserve">TK-04944</t>
  </si>
  <si>
    <t xml:space="preserve">TK-04945</t>
  </si>
  <si>
    <t xml:space="preserve">TK-04946</t>
  </si>
  <si>
    <t xml:space="preserve">TK-04947</t>
  </si>
  <si>
    <t xml:space="preserve">TK-04948</t>
  </si>
  <si>
    <t xml:space="preserve">TK-04949</t>
  </si>
  <si>
    <t xml:space="preserve">TK-04950</t>
  </si>
  <si>
    <t xml:space="preserve">TK-04951</t>
  </si>
  <si>
    <t xml:space="preserve">TK-04952</t>
  </si>
  <si>
    <t xml:space="preserve">TK-04953</t>
  </si>
  <si>
    <t xml:space="preserve">TK-04954</t>
  </si>
  <si>
    <t xml:space="preserve">TK-04955</t>
  </si>
  <si>
    <t xml:space="preserve">TK-04956</t>
  </si>
  <si>
    <t xml:space="preserve">TK-04957</t>
  </si>
  <si>
    <t xml:space="preserve">TK-04958</t>
  </si>
  <si>
    <t xml:space="preserve">TK-04959</t>
  </si>
  <si>
    <t xml:space="preserve">TK-04960</t>
  </si>
  <si>
    <t xml:space="preserve">TK-04961</t>
  </si>
  <si>
    <t xml:space="preserve">TK-04962</t>
  </si>
  <si>
    <t xml:space="preserve">TK-04963</t>
  </si>
  <si>
    <t xml:space="preserve">TK-04964</t>
  </si>
  <si>
    <t xml:space="preserve">TK-04965</t>
  </si>
  <si>
    <t xml:space="preserve">TK-04966</t>
  </si>
  <si>
    <t xml:space="preserve">TK-04967</t>
  </si>
  <si>
    <t xml:space="preserve">TK-04968</t>
  </si>
  <si>
    <t xml:space="preserve">TK-04969</t>
  </si>
  <si>
    <t xml:space="preserve">TK-04970</t>
  </si>
  <si>
    <t xml:space="preserve">TK-04971</t>
  </si>
  <si>
    <t xml:space="preserve">TK-04972</t>
  </si>
  <si>
    <t xml:space="preserve">TK-04973</t>
  </si>
  <si>
    <t xml:space="preserve">TK-04974</t>
  </si>
  <si>
    <t xml:space="preserve">TK-04975</t>
  </si>
  <si>
    <t xml:space="preserve">TK-04976</t>
  </si>
  <si>
    <t xml:space="preserve">TK-04977</t>
  </si>
  <si>
    <t xml:space="preserve">TK-04978</t>
  </si>
  <si>
    <t xml:space="preserve">TK-04979</t>
  </si>
  <si>
    <t xml:space="preserve">TK-04980</t>
  </si>
  <si>
    <t xml:space="preserve">TK-04981</t>
  </si>
  <si>
    <t xml:space="preserve">TK-04982</t>
  </si>
  <si>
    <t xml:space="preserve">TK-04983</t>
  </si>
  <si>
    <t xml:space="preserve">TK-04984</t>
  </si>
  <si>
    <t xml:space="preserve">TK-04985</t>
  </si>
  <si>
    <t xml:space="preserve">TK-04986</t>
  </si>
  <si>
    <t xml:space="preserve">TK-04987</t>
  </si>
  <si>
    <t xml:space="preserve">TK-04988</t>
  </si>
  <si>
    <t xml:space="preserve">TK-04989</t>
  </si>
  <si>
    <t xml:space="preserve">TK-04990</t>
  </si>
  <si>
    <t xml:space="preserve">TK-04991</t>
  </si>
  <si>
    <t xml:space="preserve">TK-04992</t>
  </si>
  <si>
    <t xml:space="preserve">TK-04993</t>
  </si>
  <si>
    <t xml:space="preserve">TK-04994</t>
  </si>
  <si>
    <t xml:space="preserve">TK-04995</t>
  </si>
  <si>
    <t xml:space="preserve">TK-04996</t>
  </si>
  <si>
    <t xml:space="preserve">TK-04997</t>
  </si>
  <si>
    <t xml:space="preserve">TK-04998</t>
  </si>
  <si>
    <t xml:space="preserve">TK-04999</t>
  </si>
  <si>
    <t xml:space="preserve">TK-05000</t>
  </si>
  <si>
    <t xml:space="preserve">TK-05001</t>
  </si>
  <si>
    <t xml:space="preserve">TK-05002</t>
  </si>
  <si>
    <t xml:space="preserve">TK-05003</t>
  </si>
  <si>
    <t xml:space="preserve">TK-05004</t>
  </si>
  <si>
    <t xml:space="preserve">TK-05005</t>
  </si>
  <si>
    <t xml:space="preserve">TK-05006</t>
  </si>
  <si>
    <t xml:space="preserve">TK-05007</t>
  </si>
  <si>
    <t xml:space="preserve">TK-05008</t>
  </si>
  <si>
    <t xml:space="preserve">TK-05009</t>
  </si>
  <si>
    <t xml:space="preserve">TK-05010</t>
  </si>
  <si>
    <t xml:space="preserve">TK-05011</t>
  </si>
  <si>
    <t xml:space="preserve">TK-05012</t>
  </si>
  <si>
    <t xml:space="preserve">TK-05013</t>
  </si>
  <si>
    <t xml:space="preserve">TK-05014</t>
  </si>
  <si>
    <t xml:space="preserve">TK-05015</t>
  </si>
  <si>
    <t xml:space="preserve">TK-05016</t>
  </si>
  <si>
    <t xml:space="preserve">TK-05017</t>
  </si>
  <si>
    <t xml:space="preserve">TK-05018</t>
  </si>
  <si>
    <t xml:space="preserve">TK-05019</t>
  </si>
  <si>
    <t xml:space="preserve">TK-05020</t>
  </si>
  <si>
    <t xml:space="preserve">TK-05021</t>
  </si>
  <si>
    <t xml:space="preserve">TK-05022</t>
  </si>
  <si>
    <t xml:space="preserve">TK-05023</t>
  </si>
  <si>
    <t xml:space="preserve">TK-05024</t>
  </si>
  <si>
    <t xml:space="preserve">TK-05025</t>
  </si>
  <si>
    <t xml:space="preserve">TK-05026</t>
  </si>
  <si>
    <t xml:space="preserve">TK-05027</t>
  </si>
  <si>
    <t xml:space="preserve">TK-05028</t>
  </si>
  <si>
    <t xml:space="preserve">TK-05029</t>
  </si>
  <si>
    <t xml:space="preserve">TK-05030</t>
  </si>
  <si>
    <t xml:space="preserve">TK-05031</t>
  </si>
  <si>
    <t xml:space="preserve">TK-05032</t>
  </si>
  <si>
    <t xml:space="preserve">TK-05033</t>
  </si>
  <si>
    <t xml:space="preserve">TK-05034</t>
  </si>
  <si>
    <t xml:space="preserve">TK-05035</t>
  </si>
  <si>
    <t xml:space="preserve">TK-05036</t>
  </si>
  <si>
    <t xml:space="preserve">TK-05037</t>
  </si>
  <si>
    <t xml:space="preserve">TK-05038</t>
  </si>
  <si>
    <t xml:space="preserve">TK-05039</t>
  </si>
  <si>
    <t xml:space="preserve">TK-05040</t>
  </si>
  <si>
    <t xml:space="preserve">TK-05041</t>
  </si>
  <si>
    <t xml:space="preserve">TK-05042</t>
  </si>
  <si>
    <t xml:space="preserve">TK-05043</t>
  </si>
  <si>
    <t xml:space="preserve">TK-05044</t>
  </si>
  <si>
    <t xml:space="preserve">TK-05045</t>
  </si>
  <si>
    <t xml:space="preserve">TK-05046</t>
  </si>
  <si>
    <t xml:space="preserve">TK-05047</t>
  </si>
  <si>
    <t xml:space="preserve">TK-05048</t>
  </si>
  <si>
    <t xml:space="preserve">TK-05049</t>
  </si>
  <si>
    <t xml:space="preserve">TK-05050</t>
  </si>
  <si>
    <t xml:space="preserve">TK-05051</t>
  </si>
  <si>
    <t xml:space="preserve">TK-05052</t>
  </si>
  <si>
    <t xml:space="preserve">TK-05053</t>
  </si>
  <si>
    <t xml:space="preserve">TK-05054</t>
  </si>
  <si>
    <t xml:space="preserve">TK-05055</t>
  </si>
  <si>
    <t xml:space="preserve">TK-05056</t>
  </si>
  <si>
    <t xml:space="preserve">TK-05057</t>
  </si>
  <si>
    <t xml:space="preserve">TK-05058</t>
  </si>
  <si>
    <t xml:space="preserve">TK-05059</t>
  </si>
  <si>
    <t xml:space="preserve">TK-05060</t>
  </si>
  <si>
    <t xml:space="preserve">TK-05061</t>
  </si>
  <si>
    <t xml:space="preserve">TK-05062</t>
  </si>
  <si>
    <t xml:space="preserve">TK-05063</t>
  </si>
  <si>
    <t xml:space="preserve">TK-05064</t>
  </si>
  <si>
    <t xml:space="preserve">TK-05065</t>
  </si>
  <si>
    <t xml:space="preserve">TK-05066</t>
  </si>
  <si>
    <t xml:space="preserve">TK-05067</t>
  </si>
  <si>
    <t xml:space="preserve">TK-05068</t>
  </si>
  <si>
    <t xml:space="preserve">TK-05069</t>
  </si>
  <si>
    <t xml:space="preserve">TK-05070</t>
  </si>
  <si>
    <t xml:space="preserve">TK-05071</t>
  </si>
  <si>
    <t xml:space="preserve">TK-05072</t>
  </si>
  <si>
    <t xml:space="preserve">TK-05073</t>
  </si>
  <si>
    <t xml:space="preserve">TK-05074</t>
  </si>
  <si>
    <t xml:space="preserve">TK-05075</t>
  </si>
  <si>
    <t xml:space="preserve">TK-05076</t>
  </si>
  <si>
    <t xml:space="preserve">TK-05077</t>
  </si>
  <si>
    <t xml:space="preserve">TK-05078</t>
  </si>
  <si>
    <t xml:space="preserve">TK-05079</t>
  </si>
  <si>
    <t xml:space="preserve">TK-05080</t>
  </si>
  <si>
    <t xml:space="preserve">TK-05081</t>
  </si>
  <si>
    <t xml:space="preserve">TK-05082</t>
  </si>
  <si>
    <t xml:space="preserve">TK-05083</t>
  </si>
  <si>
    <t xml:space="preserve">TK-05084</t>
  </si>
  <si>
    <t xml:space="preserve">TK-05085</t>
  </si>
  <si>
    <t xml:space="preserve">TK-05086</t>
  </si>
  <si>
    <t xml:space="preserve">TK-05087</t>
  </si>
  <si>
    <t xml:space="preserve">TK-05088</t>
  </si>
  <si>
    <t xml:space="preserve">TK-05089</t>
  </si>
  <si>
    <t xml:space="preserve">TK-05090</t>
  </si>
  <si>
    <t xml:space="preserve">TK-05091</t>
  </si>
  <si>
    <t xml:space="preserve">TK-05092</t>
  </si>
  <si>
    <t xml:space="preserve">TK-05093</t>
  </si>
  <si>
    <t xml:space="preserve">TK-05094</t>
  </si>
  <si>
    <t xml:space="preserve">TK-05095</t>
  </si>
  <si>
    <t xml:space="preserve">TK-05096</t>
  </si>
  <si>
    <t xml:space="preserve">TK-05097</t>
  </si>
  <si>
    <t xml:space="preserve">TK-05098</t>
  </si>
  <si>
    <t xml:space="preserve">TK-05099</t>
  </si>
  <si>
    <t xml:space="preserve">TK-05100</t>
  </si>
  <si>
    <t xml:space="preserve">TK-05101</t>
  </si>
  <si>
    <t xml:space="preserve">TK-05102</t>
  </si>
  <si>
    <t xml:space="preserve">TK-05103</t>
  </si>
  <si>
    <t xml:space="preserve">TK-05104</t>
  </si>
  <si>
    <t xml:space="preserve">TK-05105</t>
  </si>
  <si>
    <t xml:space="preserve">TK-05106</t>
  </si>
  <si>
    <t xml:space="preserve">TK-05107</t>
  </si>
  <si>
    <t xml:space="preserve">TK-05108</t>
  </si>
  <si>
    <t xml:space="preserve">TK-05109</t>
  </si>
  <si>
    <t xml:space="preserve">TK-05110</t>
  </si>
  <si>
    <t xml:space="preserve">TK-05111</t>
  </si>
  <si>
    <t xml:space="preserve">TK-05112</t>
  </si>
  <si>
    <t xml:space="preserve">TK-05113</t>
  </si>
  <si>
    <t xml:space="preserve">TK-05114</t>
  </si>
  <si>
    <t xml:space="preserve">TK-05115</t>
  </si>
  <si>
    <t xml:space="preserve">TK-05116</t>
  </si>
  <si>
    <t xml:space="preserve">TK-05117</t>
  </si>
  <si>
    <t xml:space="preserve">TK-05118</t>
  </si>
  <si>
    <t xml:space="preserve">TK-05119</t>
  </si>
  <si>
    <t xml:space="preserve">TK-05120</t>
  </si>
  <si>
    <t xml:space="preserve">TK-05121</t>
  </si>
  <si>
    <t xml:space="preserve">TK-05122</t>
  </si>
  <si>
    <t xml:space="preserve">TK-05123</t>
  </si>
  <si>
    <t xml:space="preserve">TK-05124</t>
  </si>
  <si>
    <t xml:space="preserve">TK-05125</t>
  </si>
  <si>
    <t xml:space="preserve">TK-05126</t>
  </si>
  <si>
    <t xml:space="preserve">TK-05127</t>
  </si>
  <si>
    <t xml:space="preserve">TK-05128</t>
  </si>
  <si>
    <t xml:space="preserve">TK-05129</t>
  </si>
  <si>
    <t xml:space="preserve">TK-05130</t>
  </si>
  <si>
    <t xml:space="preserve">TK-05131</t>
  </si>
  <si>
    <t xml:space="preserve">TK-05132</t>
  </si>
  <si>
    <t xml:space="preserve">TK-05133</t>
  </si>
  <si>
    <t xml:space="preserve">TK-05134</t>
  </si>
  <si>
    <t xml:space="preserve">TK-05135</t>
  </si>
  <si>
    <t xml:space="preserve">TK-05136</t>
  </si>
  <si>
    <t xml:space="preserve">TK-05137</t>
  </si>
  <si>
    <t xml:space="preserve">TK-05138</t>
  </si>
  <si>
    <t xml:space="preserve">TK-05139</t>
  </si>
  <si>
    <t xml:space="preserve">TK-05140</t>
  </si>
  <si>
    <t xml:space="preserve">TK-05141</t>
  </si>
  <si>
    <t xml:space="preserve">TK-05142</t>
  </si>
  <si>
    <t xml:space="preserve">TK-05143</t>
  </si>
  <si>
    <t xml:space="preserve">TK-05144</t>
  </si>
  <si>
    <t xml:space="preserve">TK-05145</t>
  </si>
  <si>
    <t xml:space="preserve">TK-05146</t>
  </si>
  <si>
    <t xml:space="preserve">TK-05147</t>
  </si>
  <si>
    <t xml:space="preserve">TK-05148</t>
  </si>
  <si>
    <t xml:space="preserve">TK-05149</t>
  </si>
  <si>
    <t xml:space="preserve">TK-05150</t>
  </si>
  <si>
    <t xml:space="preserve">TK-05151</t>
  </si>
  <si>
    <t xml:space="preserve">TK-05152</t>
  </si>
  <si>
    <t xml:space="preserve">TK-05153</t>
  </si>
  <si>
    <t xml:space="preserve">TK-05154</t>
  </si>
  <si>
    <t xml:space="preserve">TK-05155</t>
  </si>
  <si>
    <t xml:space="preserve">TK-05156</t>
  </si>
  <si>
    <t xml:space="preserve">TK-05157</t>
  </si>
  <si>
    <t xml:space="preserve">TK-05158</t>
  </si>
  <si>
    <t xml:space="preserve">TK-05159</t>
  </si>
  <si>
    <t xml:space="preserve">TK-05160</t>
  </si>
  <si>
    <t xml:space="preserve">TK-05161</t>
  </si>
  <si>
    <t xml:space="preserve">TK-05162</t>
  </si>
  <si>
    <t xml:space="preserve">TK-05163</t>
  </si>
  <si>
    <t xml:space="preserve">TK-05164</t>
  </si>
  <si>
    <t xml:space="preserve">TK-05165</t>
  </si>
  <si>
    <t xml:space="preserve">TK-05166</t>
  </si>
  <si>
    <t xml:space="preserve">TK-05167</t>
  </si>
  <si>
    <t xml:space="preserve">TK-05168</t>
  </si>
  <si>
    <t xml:space="preserve">TK-05169</t>
  </si>
  <si>
    <t xml:space="preserve">TK-05170</t>
  </si>
  <si>
    <t xml:space="preserve">TK-05171</t>
  </si>
  <si>
    <t xml:space="preserve">TK-05172</t>
  </si>
  <si>
    <t xml:space="preserve">TK-05173</t>
  </si>
  <si>
    <t xml:space="preserve">TK-05174</t>
  </si>
  <si>
    <t xml:space="preserve">TK-05175</t>
  </si>
  <si>
    <t xml:space="preserve">TK-05176</t>
  </si>
  <si>
    <t xml:space="preserve">TK-05177</t>
  </si>
  <si>
    <t xml:space="preserve">TK-05178</t>
  </si>
  <si>
    <t xml:space="preserve">TK-05179</t>
  </si>
  <si>
    <t xml:space="preserve">TK-05180</t>
  </si>
  <si>
    <t xml:space="preserve">TK-05181</t>
  </si>
  <si>
    <t xml:space="preserve">TK-05182</t>
  </si>
  <si>
    <t xml:space="preserve">TK-05183</t>
  </si>
  <si>
    <t xml:space="preserve">TK-05184</t>
  </si>
  <si>
    <t xml:space="preserve">TK-05185</t>
  </si>
  <si>
    <t xml:space="preserve">TK-05186</t>
  </si>
  <si>
    <t xml:space="preserve">TK-05187</t>
  </si>
  <si>
    <t xml:space="preserve">TK-05188</t>
  </si>
  <si>
    <t xml:space="preserve">TK-05189</t>
  </si>
  <si>
    <t xml:space="preserve">TK-05190</t>
  </si>
  <si>
    <t xml:space="preserve">TK-05191</t>
  </si>
  <si>
    <t xml:space="preserve">TK-05192</t>
  </si>
  <si>
    <t xml:space="preserve">TK-05193</t>
  </si>
  <si>
    <t xml:space="preserve">TK-05194</t>
  </si>
  <si>
    <t xml:space="preserve">TK-05195</t>
  </si>
  <si>
    <t xml:space="preserve">TK-05196</t>
  </si>
  <si>
    <t xml:space="preserve">TK-05197</t>
  </si>
  <si>
    <t xml:space="preserve">TK-05198</t>
  </si>
  <si>
    <t xml:space="preserve">TK-05199</t>
  </si>
  <si>
    <t xml:space="preserve">TK-05200</t>
  </si>
  <si>
    <t xml:space="preserve">TK-05201</t>
  </si>
  <si>
    <t xml:space="preserve">TK-05202</t>
  </si>
  <si>
    <t xml:space="preserve">TK-05203</t>
  </si>
  <si>
    <t xml:space="preserve">TK-05204</t>
  </si>
  <si>
    <t xml:space="preserve">TK-05205</t>
  </si>
  <si>
    <t xml:space="preserve">TK-05206</t>
  </si>
  <si>
    <t xml:space="preserve">TK-05207</t>
  </si>
  <si>
    <t xml:space="preserve">TK-05208</t>
  </si>
  <si>
    <t xml:space="preserve">TK-05209</t>
  </si>
  <si>
    <t xml:space="preserve">TK-05210</t>
  </si>
  <si>
    <t xml:space="preserve">TK-05211</t>
  </si>
  <si>
    <t xml:space="preserve">TK-05212</t>
  </si>
  <si>
    <t xml:space="preserve">TK-05213</t>
  </si>
  <si>
    <t xml:space="preserve">TK-05214</t>
  </si>
  <si>
    <t xml:space="preserve">TK-05215</t>
  </si>
  <si>
    <t xml:space="preserve">TK-05216</t>
  </si>
  <si>
    <t xml:space="preserve">TK-05217</t>
  </si>
  <si>
    <t xml:space="preserve">TK-05218</t>
  </si>
  <si>
    <t xml:space="preserve">TK-05219</t>
  </si>
  <si>
    <t xml:space="preserve">TK-05220</t>
  </si>
  <si>
    <t xml:space="preserve">TK-05221</t>
  </si>
  <si>
    <t xml:space="preserve">TK-05222</t>
  </si>
  <si>
    <t xml:space="preserve">TK-05223</t>
  </si>
  <si>
    <t xml:space="preserve">TK-05224</t>
  </si>
  <si>
    <t xml:space="preserve">TK-05225</t>
  </si>
  <si>
    <t xml:space="preserve">TK-05226</t>
  </si>
  <si>
    <t xml:space="preserve">TK-05227</t>
  </si>
  <si>
    <t xml:space="preserve">TK-05228</t>
  </si>
  <si>
    <t xml:space="preserve">TK-05229</t>
  </si>
  <si>
    <t xml:space="preserve">TK-05230</t>
  </si>
  <si>
    <t xml:space="preserve">TK-05231</t>
  </si>
  <si>
    <t xml:space="preserve">TK-05232</t>
  </si>
  <si>
    <t xml:space="preserve">TK-05233</t>
  </si>
  <si>
    <t xml:space="preserve">TK-05234</t>
  </si>
  <si>
    <t xml:space="preserve">TK-05235</t>
  </si>
  <si>
    <t xml:space="preserve">TK-05236</t>
  </si>
  <si>
    <t xml:space="preserve">TK-05237</t>
  </si>
  <si>
    <t xml:space="preserve">TK-05238</t>
  </si>
  <si>
    <t xml:space="preserve">TK-05239</t>
  </si>
  <si>
    <t xml:space="preserve">TK-05240</t>
  </si>
  <si>
    <t xml:space="preserve">TK-05241</t>
  </si>
  <si>
    <t xml:space="preserve">TK-05242</t>
  </si>
  <si>
    <t xml:space="preserve">TK-05243</t>
  </si>
  <si>
    <t xml:space="preserve">TK-05244</t>
  </si>
  <si>
    <t xml:space="preserve">TK-05245</t>
  </si>
  <si>
    <t xml:space="preserve">TK-05246</t>
  </si>
  <si>
    <t xml:space="preserve">TK-05247</t>
  </si>
  <si>
    <t xml:space="preserve">TK-05248</t>
  </si>
  <si>
    <t xml:space="preserve">TK-05249</t>
  </si>
  <si>
    <t xml:space="preserve">TK-05250</t>
  </si>
  <si>
    <t xml:space="preserve">TK-05251</t>
  </si>
  <si>
    <t xml:space="preserve">TK-05252</t>
  </si>
  <si>
    <t xml:space="preserve">TK-05253</t>
  </si>
  <si>
    <t xml:space="preserve">TK-05254</t>
  </si>
  <si>
    <t xml:space="preserve">TK-05255</t>
  </si>
  <si>
    <t xml:space="preserve">TK-05256</t>
  </si>
  <si>
    <t xml:space="preserve">TK-05257</t>
  </si>
  <si>
    <t xml:space="preserve">TK-05258</t>
  </si>
  <si>
    <t xml:space="preserve">TK-05259</t>
  </si>
  <si>
    <t xml:space="preserve">TK-05260</t>
  </si>
  <si>
    <t xml:space="preserve">TK-05261</t>
  </si>
  <si>
    <t xml:space="preserve">TK-05262</t>
  </si>
  <si>
    <t xml:space="preserve">TK-05263</t>
  </si>
  <si>
    <t xml:space="preserve">TK-05264</t>
  </si>
  <si>
    <t xml:space="preserve">TK-05265</t>
  </si>
  <si>
    <t xml:space="preserve">TK-05266</t>
  </si>
  <si>
    <t xml:space="preserve">TK-05267</t>
  </si>
  <si>
    <t xml:space="preserve">TK-05268</t>
  </si>
  <si>
    <t xml:space="preserve">TK-05269</t>
  </si>
  <si>
    <t xml:space="preserve">TK-05270</t>
  </si>
  <si>
    <t xml:space="preserve">TK-05271</t>
  </si>
  <si>
    <t xml:space="preserve">TK-05272</t>
  </si>
  <si>
    <t xml:space="preserve">TK-05273</t>
  </si>
  <si>
    <t xml:space="preserve">TK-05274</t>
  </si>
  <si>
    <t xml:space="preserve">TK-05275</t>
  </si>
  <si>
    <t xml:space="preserve">TK-05276</t>
  </si>
  <si>
    <t xml:space="preserve">TK-05277</t>
  </si>
  <si>
    <t xml:space="preserve">TK-05278</t>
  </si>
  <si>
    <t xml:space="preserve">TK-05279</t>
  </si>
  <si>
    <t xml:space="preserve">TK-05280</t>
  </si>
  <si>
    <t xml:space="preserve">TK-05281</t>
  </si>
  <si>
    <t xml:space="preserve">TK-05282</t>
  </si>
  <si>
    <t xml:space="preserve">TK-05283</t>
  </si>
  <si>
    <t xml:space="preserve">TK-05284</t>
  </si>
  <si>
    <t xml:space="preserve">TK-05285</t>
  </si>
  <si>
    <t xml:space="preserve">TK-05286</t>
  </si>
  <si>
    <t xml:space="preserve">TK-05287</t>
  </si>
  <si>
    <t xml:space="preserve">TK-05288</t>
  </si>
  <si>
    <t xml:space="preserve">TK-05289</t>
  </si>
  <si>
    <t xml:space="preserve">TK-05290</t>
  </si>
  <si>
    <t xml:space="preserve">TK-05291</t>
  </si>
  <si>
    <t xml:space="preserve">TK-05292</t>
  </si>
  <si>
    <t xml:space="preserve">TK-05293</t>
  </si>
  <si>
    <t xml:space="preserve">TK-05294</t>
  </si>
  <si>
    <t xml:space="preserve">TK-05295</t>
  </si>
  <si>
    <t xml:space="preserve">TK-05296</t>
  </si>
  <si>
    <t xml:space="preserve">TK-05297</t>
  </si>
  <si>
    <t xml:space="preserve">TK-05298</t>
  </si>
  <si>
    <t xml:space="preserve">TK-05299</t>
  </si>
  <si>
    <t xml:space="preserve">TK-05300</t>
  </si>
  <si>
    <t xml:space="preserve">TK-05301</t>
  </si>
  <si>
    <t xml:space="preserve">TK-05302</t>
  </si>
  <si>
    <t xml:space="preserve">TK-05303</t>
  </si>
  <si>
    <t xml:space="preserve">TK-05304</t>
  </si>
  <si>
    <t xml:space="preserve">TK-05305</t>
  </si>
  <si>
    <t xml:space="preserve">TK-05306</t>
  </si>
  <si>
    <t xml:space="preserve">TK-05307</t>
  </si>
  <si>
    <t xml:space="preserve">TK-05308</t>
  </si>
  <si>
    <t xml:space="preserve">TK-05309</t>
  </si>
  <si>
    <t xml:space="preserve">TK-05310</t>
  </si>
  <si>
    <t xml:space="preserve">TK-05311</t>
  </si>
  <si>
    <t xml:space="preserve">TK-05312</t>
  </si>
  <si>
    <t xml:space="preserve">TK-05313</t>
  </si>
  <si>
    <t xml:space="preserve">TK-05314</t>
  </si>
  <si>
    <t xml:space="preserve">TK-05315</t>
  </si>
  <si>
    <t xml:space="preserve">TK-05316</t>
  </si>
  <si>
    <t xml:space="preserve">TK-05317</t>
  </si>
  <si>
    <t xml:space="preserve">TK-05318</t>
  </si>
  <si>
    <t xml:space="preserve">TK-05319</t>
  </si>
  <si>
    <t xml:space="preserve">TK-05320</t>
  </si>
  <si>
    <t xml:space="preserve">TK-05321</t>
  </si>
  <si>
    <t xml:space="preserve">TK-05322</t>
  </si>
  <si>
    <t xml:space="preserve">TK-05323</t>
  </si>
  <si>
    <t xml:space="preserve">TK-05324</t>
  </si>
  <si>
    <t xml:space="preserve">TK-05325</t>
  </si>
  <si>
    <t xml:space="preserve">TK-05326</t>
  </si>
  <si>
    <t xml:space="preserve">TK-05327</t>
  </si>
  <si>
    <t xml:space="preserve">TK-05328</t>
  </si>
  <si>
    <t xml:space="preserve">TK-05329</t>
  </si>
  <si>
    <t xml:space="preserve">TK-05330</t>
  </si>
  <si>
    <t xml:space="preserve">TK-05331</t>
  </si>
  <si>
    <t xml:space="preserve">TK-05332</t>
  </si>
  <si>
    <t xml:space="preserve">TK-05333</t>
  </si>
  <si>
    <t xml:space="preserve">TK-05334</t>
  </si>
  <si>
    <t xml:space="preserve">TK-05335</t>
  </si>
  <si>
    <t xml:space="preserve">TK-05336</t>
  </si>
  <si>
    <t xml:space="preserve">TK-05337</t>
  </si>
  <si>
    <t xml:space="preserve">TK-05338</t>
  </si>
  <si>
    <t xml:space="preserve">TK-05339</t>
  </si>
  <si>
    <t xml:space="preserve">TK-05340</t>
  </si>
  <si>
    <t xml:space="preserve">TK-05341</t>
  </si>
  <si>
    <t xml:space="preserve">TK-05342</t>
  </si>
  <si>
    <t xml:space="preserve">TK-05343</t>
  </si>
  <si>
    <t xml:space="preserve">TK-05344</t>
  </si>
  <si>
    <t xml:space="preserve">TK-05345</t>
  </si>
  <si>
    <t xml:space="preserve">TK-05346</t>
  </si>
  <si>
    <t xml:space="preserve">TK-05347</t>
  </si>
  <si>
    <t xml:space="preserve">TK-05348</t>
  </si>
  <si>
    <t xml:space="preserve">TK-05349</t>
  </si>
  <si>
    <t xml:space="preserve">TK-05350</t>
  </si>
  <si>
    <t xml:space="preserve">TK-05351</t>
  </si>
  <si>
    <t xml:space="preserve">TK-05352</t>
  </si>
  <si>
    <t xml:space="preserve">TK-05353</t>
  </si>
  <si>
    <t xml:space="preserve">TK-05354</t>
  </si>
  <si>
    <t xml:space="preserve">TK-05355</t>
  </si>
  <si>
    <t xml:space="preserve">TK-05356</t>
  </si>
  <si>
    <t xml:space="preserve">TK-05357</t>
  </si>
  <si>
    <t xml:space="preserve">TK-05358</t>
  </si>
  <si>
    <t xml:space="preserve">TK-05359</t>
  </si>
  <si>
    <t xml:space="preserve">TK-05360</t>
  </si>
  <si>
    <t xml:space="preserve">TK-05361</t>
  </si>
  <si>
    <t xml:space="preserve">TK-05362</t>
  </si>
  <si>
    <t xml:space="preserve">TK-05363</t>
  </si>
  <si>
    <t xml:space="preserve">TK-05364</t>
  </si>
  <si>
    <t xml:space="preserve">TK-05365</t>
  </si>
  <si>
    <t xml:space="preserve">TK-05366</t>
  </si>
  <si>
    <t xml:space="preserve">TK-05367</t>
  </si>
  <si>
    <t xml:space="preserve">TK-05368</t>
  </si>
  <si>
    <t xml:space="preserve">TK-05369</t>
  </si>
  <si>
    <t xml:space="preserve">TK-05370</t>
  </si>
  <si>
    <t xml:space="preserve">TK-05371</t>
  </si>
  <si>
    <t xml:space="preserve">TK-05372</t>
  </si>
  <si>
    <t xml:space="preserve">TK-05373</t>
  </si>
  <si>
    <t xml:space="preserve">TK-05374</t>
  </si>
  <si>
    <t xml:space="preserve">TK-05375</t>
  </si>
  <si>
    <t xml:space="preserve">TK-05376</t>
  </si>
  <si>
    <t xml:space="preserve">TK-05377</t>
  </si>
  <si>
    <t xml:space="preserve">TK-05378</t>
  </si>
  <si>
    <t xml:space="preserve">TK-05379</t>
  </si>
  <si>
    <t xml:space="preserve">TK-05380</t>
  </si>
  <si>
    <t xml:space="preserve">TK-05381</t>
  </si>
  <si>
    <t xml:space="preserve">TK-05382</t>
  </si>
  <si>
    <t xml:space="preserve">TK-05383</t>
  </si>
  <si>
    <t xml:space="preserve">TK-05384</t>
  </si>
  <si>
    <t xml:space="preserve">TK-05385</t>
  </si>
  <si>
    <t xml:space="preserve">TK-05386</t>
  </si>
  <si>
    <t xml:space="preserve">TK-05387</t>
  </si>
  <si>
    <t xml:space="preserve">TK-05388</t>
  </si>
  <si>
    <t xml:space="preserve">TK-05389</t>
  </si>
  <si>
    <t xml:space="preserve">TK-05390</t>
  </si>
  <si>
    <t xml:space="preserve">TK-05391</t>
  </si>
  <si>
    <t xml:space="preserve">TK-05392</t>
  </si>
  <si>
    <t xml:space="preserve">TK-05393</t>
  </si>
  <si>
    <t xml:space="preserve">TK-05394</t>
  </si>
  <si>
    <t xml:space="preserve">TK-05395</t>
  </si>
  <si>
    <t xml:space="preserve">TK-05396</t>
  </si>
  <si>
    <t xml:space="preserve">TK-05397</t>
  </si>
  <si>
    <t xml:space="preserve">TK-05398</t>
  </si>
  <si>
    <t xml:space="preserve">TK-05399</t>
  </si>
  <si>
    <t xml:space="preserve">TK-05400</t>
  </si>
  <si>
    <t xml:space="preserve">TK-05401</t>
  </si>
  <si>
    <t xml:space="preserve">TK-05402</t>
  </si>
  <si>
    <t xml:space="preserve">TK-05403</t>
  </si>
  <si>
    <t xml:space="preserve">TK-05404</t>
  </si>
  <si>
    <t xml:space="preserve">TK-05405</t>
  </si>
  <si>
    <t xml:space="preserve">TK-05406</t>
  </si>
  <si>
    <t xml:space="preserve">TK-05407</t>
  </si>
  <si>
    <t xml:space="preserve">TK-05408</t>
  </si>
  <si>
    <t xml:space="preserve">TK-05409</t>
  </si>
  <si>
    <t xml:space="preserve">TK-05410</t>
  </si>
  <si>
    <t xml:space="preserve">TK-05411</t>
  </si>
  <si>
    <t xml:space="preserve">TK-05412</t>
  </si>
  <si>
    <t xml:space="preserve">TK-05413</t>
  </si>
  <si>
    <t xml:space="preserve">TK-05414</t>
  </si>
  <si>
    <t xml:space="preserve">TK-05415</t>
  </si>
  <si>
    <t xml:space="preserve">TK-05416</t>
  </si>
  <si>
    <t xml:space="preserve">TK-05417</t>
  </si>
  <si>
    <t xml:space="preserve">TK-05418</t>
  </si>
  <si>
    <t xml:space="preserve">TK-05419</t>
  </si>
  <si>
    <t xml:space="preserve">TK-05420</t>
  </si>
  <si>
    <t xml:space="preserve">TK-05421</t>
  </si>
  <si>
    <t xml:space="preserve">TK-05422</t>
  </si>
  <si>
    <t xml:space="preserve">TK-05423</t>
  </si>
  <si>
    <t xml:space="preserve">TK-05424</t>
  </si>
  <si>
    <t xml:space="preserve">TK-05425</t>
  </si>
  <si>
    <t xml:space="preserve">TK-05426</t>
  </si>
  <si>
    <t xml:space="preserve">TK-05427</t>
  </si>
  <si>
    <t xml:space="preserve">TK-05428</t>
  </si>
  <si>
    <t xml:space="preserve">TK-05429</t>
  </si>
  <si>
    <t xml:space="preserve">TK-05430</t>
  </si>
  <si>
    <t xml:space="preserve">TK-05431</t>
  </si>
  <si>
    <t xml:space="preserve">TK-05432</t>
  </si>
  <si>
    <t xml:space="preserve">TK-05433</t>
  </si>
  <si>
    <t xml:space="preserve">TK-05434</t>
  </si>
  <si>
    <t xml:space="preserve">TK-05435</t>
  </si>
  <si>
    <t xml:space="preserve">TK-05436</t>
  </si>
  <si>
    <t xml:space="preserve">TK-05437</t>
  </si>
  <si>
    <t xml:space="preserve">TK-05438</t>
  </si>
  <si>
    <t xml:space="preserve">TK-05439</t>
  </si>
  <si>
    <t xml:space="preserve">TK-05440</t>
  </si>
  <si>
    <t xml:space="preserve">TK-05441</t>
  </si>
  <si>
    <t xml:space="preserve">TK-05442</t>
  </si>
  <si>
    <t xml:space="preserve">TK-05443</t>
  </si>
  <si>
    <t xml:space="preserve">TK-05444</t>
  </si>
  <si>
    <t xml:space="preserve">TK-05445</t>
  </si>
  <si>
    <t xml:space="preserve">TK-05446</t>
  </si>
  <si>
    <t xml:space="preserve">TK-05447</t>
  </si>
  <si>
    <t xml:space="preserve">TK-05448</t>
  </si>
  <si>
    <t xml:space="preserve">TK-05449</t>
  </si>
  <si>
    <t xml:space="preserve">TK-05450</t>
  </si>
  <si>
    <t xml:space="preserve">TK-05451</t>
  </si>
  <si>
    <t xml:space="preserve">TK-05452</t>
  </si>
  <si>
    <t xml:space="preserve">TK-05453</t>
  </si>
  <si>
    <t xml:space="preserve">TK-05454</t>
  </si>
  <si>
    <t xml:space="preserve">TK-05455</t>
  </si>
  <si>
    <t xml:space="preserve">TK-05456</t>
  </si>
  <si>
    <t xml:space="preserve">TK-05457</t>
  </si>
  <si>
    <t xml:space="preserve">TK-05458</t>
  </si>
  <si>
    <t xml:space="preserve">TK-05459</t>
  </si>
  <si>
    <t xml:space="preserve">TK-05460</t>
  </si>
  <si>
    <t xml:space="preserve">TK-05461</t>
  </si>
  <si>
    <t xml:space="preserve">TK-05462</t>
  </si>
  <si>
    <t xml:space="preserve">TK-05463</t>
  </si>
  <si>
    <t xml:space="preserve">TK-05464</t>
  </si>
  <si>
    <t xml:space="preserve">TK-05465</t>
  </si>
  <si>
    <t xml:space="preserve">TK-05466</t>
  </si>
  <si>
    <t xml:space="preserve">TK-05467</t>
  </si>
  <si>
    <t xml:space="preserve">TK-05468</t>
  </si>
  <si>
    <t xml:space="preserve">TK-05469</t>
  </si>
  <si>
    <t xml:space="preserve">TK-05470</t>
  </si>
  <si>
    <t xml:space="preserve">TK-05471</t>
  </si>
  <si>
    <t xml:space="preserve">TK-05472</t>
  </si>
  <si>
    <t xml:space="preserve">TK-05473</t>
  </si>
  <si>
    <t xml:space="preserve">TK-05474</t>
  </si>
  <si>
    <t xml:space="preserve">TK-05475</t>
  </si>
  <si>
    <t xml:space="preserve">TK-05476</t>
  </si>
  <si>
    <t xml:space="preserve">TK-05477</t>
  </si>
  <si>
    <t xml:space="preserve">TK-05478</t>
  </si>
  <si>
    <t xml:space="preserve">TK-05479</t>
  </si>
  <si>
    <t xml:space="preserve">TK-05480</t>
  </si>
  <si>
    <t xml:space="preserve">TK-05481</t>
  </si>
  <si>
    <t xml:space="preserve">TK-05482</t>
  </si>
  <si>
    <t xml:space="preserve">TK-05483</t>
  </si>
  <si>
    <t xml:space="preserve">TK-05484</t>
  </si>
  <si>
    <t xml:space="preserve">TK-05485</t>
  </si>
  <si>
    <t xml:space="preserve">TK-05486</t>
  </si>
  <si>
    <t xml:space="preserve">TK-05487</t>
  </si>
  <si>
    <t xml:space="preserve">TK-05488</t>
  </si>
  <si>
    <t xml:space="preserve">TK-05489</t>
  </si>
  <si>
    <t xml:space="preserve">TK-05490</t>
  </si>
  <si>
    <t xml:space="preserve">TK-05491</t>
  </si>
  <si>
    <t xml:space="preserve">TK-05492</t>
  </si>
  <si>
    <t xml:space="preserve">TK-05493</t>
  </si>
  <si>
    <t xml:space="preserve">TK-05494</t>
  </si>
  <si>
    <t xml:space="preserve">TK-05495</t>
  </si>
  <si>
    <t xml:space="preserve">TK-05496</t>
  </si>
  <si>
    <t xml:space="preserve">TK-05497</t>
  </si>
  <si>
    <t xml:space="preserve">TK-05498</t>
  </si>
  <si>
    <t xml:space="preserve">TK-05499</t>
  </si>
  <si>
    <t xml:space="preserve">TK-05500</t>
  </si>
  <si>
    <t xml:space="preserve">TK-05501</t>
  </si>
  <si>
    <t xml:space="preserve">TK-05502</t>
  </si>
  <si>
    <t xml:space="preserve">TK-05503</t>
  </si>
  <si>
    <t xml:space="preserve">TK-05504</t>
  </si>
  <si>
    <t xml:space="preserve">TK-05505</t>
  </si>
  <si>
    <t xml:space="preserve">TK-05506</t>
  </si>
  <si>
    <t xml:space="preserve">TK-05507</t>
  </si>
  <si>
    <t xml:space="preserve">TK-05508</t>
  </si>
  <si>
    <t xml:space="preserve">TK-05509</t>
  </si>
  <si>
    <t xml:space="preserve">TK-05510</t>
  </si>
  <si>
    <t xml:space="preserve">TK-05511</t>
  </si>
  <si>
    <t xml:space="preserve">TK-05512</t>
  </si>
  <si>
    <t xml:space="preserve">TK-05513</t>
  </si>
  <si>
    <t xml:space="preserve">TK-05514</t>
  </si>
  <si>
    <t xml:space="preserve">TK-05515</t>
  </si>
  <si>
    <t xml:space="preserve">TK-05516</t>
  </si>
  <si>
    <t xml:space="preserve">TK-05517</t>
  </si>
  <si>
    <t xml:space="preserve">TK-05518</t>
  </si>
  <si>
    <t xml:space="preserve">TK-05519</t>
  </si>
  <si>
    <t xml:space="preserve">TK-05520</t>
  </si>
  <si>
    <t xml:space="preserve">TK-05521</t>
  </si>
  <si>
    <t xml:space="preserve">TK-05522</t>
  </si>
  <si>
    <t xml:space="preserve">TK-05523</t>
  </si>
  <si>
    <t xml:space="preserve">TK-05524</t>
  </si>
  <si>
    <t xml:space="preserve">TK-05525</t>
  </si>
  <si>
    <t xml:space="preserve">TK-05526</t>
  </si>
  <si>
    <t xml:space="preserve">TK-05527</t>
  </si>
  <si>
    <t xml:space="preserve">TK-05528</t>
  </si>
  <si>
    <t xml:space="preserve">TK-05529</t>
  </si>
  <si>
    <t xml:space="preserve">TK-05530</t>
  </si>
  <si>
    <t xml:space="preserve">TK-05531</t>
  </si>
  <si>
    <t xml:space="preserve">TK-05532</t>
  </si>
  <si>
    <t xml:space="preserve">TK-05533</t>
  </si>
  <si>
    <t xml:space="preserve">TK-05534</t>
  </si>
  <si>
    <t xml:space="preserve">TK-05535</t>
  </si>
  <si>
    <t xml:space="preserve">TK-05536</t>
  </si>
  <si>
    <t xml:space="preserve">TK-05537</t>
  </si>
  <si>
    <t xml:space="preserve">TK-05538</t>
  </si>
  <si>
    <t xml:space="preserve">TK-05539</t>
  </si>
  <si>
    <t xml:space="preserve">TK-05540</t>
  </si>
  <si>
    <t xml:space="preserve">TK-05541</t>
  </si>
  <si>
    <t xml:space="preserve">TK-05542</t>
  </si>
  <si>
    <t xml:space="preserve">TK-05543</t>
  </si>
  <si>
    <t xml:space="preserve">TK-05544</t>
  </si>
  <si>
    <t xml:space="preserve">TK-05545</t>
  </si>
  <si>
    <t xml:space="preserve">TK-05546</t>
  </si>
  <si>
    <t xml:space="preserve">TK-05547</t>
  </si>
  <si>
    <t xml:space="preserve">TK-05548</t>
  </si>
  <si>
    <t xml:space="preserve">TK-05549</t>
  </si>
  <si>
    <t xml:space="preserve">TK-05550</t>
  </si>
  <si>
    <t xml:space="preserve">TK-05551</t>
  </si>
  <si>
    <t xml:space="preserve">TK-05552</t>
  </si>
  <si>
    <t xml:space="preserve">TK-05553</t>
  </si>
  <si>
    <t xml:space="preserve">TK-05554</t>
  </si>
  <si>
    <t xml:space="preserve">TK-05555</t>
  </si>
  <si>
    <t xml:space="preserve">TK-05556</t>
  </si>
  <si>
    <t xml:space="preserve">TK-05557</t>
  </si>
  <si>
    <t xml:space="preserve">TK-05558</t>
  </si>
  <si>
    <t xml:space="preserve">TK-05559</t>
  </si>
  <si>
    <t xml:space="preserve">TK-05560</t>
  </si>
  <si>
    <t xml:space="preserve">TK-05561</t>
  </si>
  <si>
    <t xml:space="preserve">TK-05562</t>
  </si>
  <si>
    <t xml:space="preserve">TK-05563</t>
  </si>
  <si>
    <t xml:space="preserve">TK-05564</t>
  </si>
  <si>
    <t xml:space="preserve">TK-05565</t>
  </si>
  <si>
    <t xml:space="preserve">TK-05566</t>
  </si>
  <si>
    <t xml:space="preserve">TK-05567</t>
  </si>
  <si>
    <t xml:space="preserve">TK-05568</t>
  </si>
  <si>
    <t xml:space="preserve">TK-05569</t>
  </si>
  <si>
    <t xml:space="preserve">TK-05570</t>
  </si>
  <si>
    <t xml:space="preserve">TK-05571</t>
  </si>
  <si>
    <t xml:space="preserve">TK-05572</t>
  </si>
  <si>
    <t xml:space="preserve">TK-05573</t>
  </si>
  <si>
    <t xml:space="preserve">TK-05574</t>
  </si>
  <si>
    <t xml:space="preserve">TK-05575</t>
  </si>
  <si>
    <t xml:space="preserve">TK-05576</t>
  </si>
  <si>
    <t xml:space="preserve">TK-05577</t>
  </si>
  <si>
    <t xml:space="preserve">TK-05578</t>
  </si>
  <si>
    <t xml:space="preserve">TK-05579</t>
  </si>
  <si>
    <t xml:space="preserve">TK-05580</t>
  </si>
  <si>
    <t xml:space="preserve">TK-05581</t>
  </si>
  <si>
    <t xml:space="preserve">TK-05582</t>
  </si>
  <si>
    <t xml:space="preserve">TK-05583</t>
  </si>
  <si>
    <t xml:space="preserve">TK-05584</t>
  </si>
  <si>
    <t xml:space="preserve">TK-05585</t>
  </si>
  <si>
    <t xml:space="preserve">TK-05586</t>
  </si>
  <si>
    <t xml:space="preserve">TK-05587</t>
  </si>
  <si>
    <t xml:space="preserve">TK-05588</t>
  </si>
  <si>
    <t xml:space="preserve">TK-05589</t>
  </si>
  <si>
    <t xml:space="preserve">TK-05590</t>
  </si>
  <si>
    <t xml:space="preserve">TK-05591</t>
  </si>
  <si>
    <t xml:space="preserve">TK-05592</t>
  </si>
  <si>
    <t xml:space="preserve">TK-05593</t>
  </si>
  <si>
    <t xml:space="preserve">TK-05594</t>
  </si>
  <si>
    <t xml:space="preserve">TK-05595</t>
  </si>
  <si>
    <t xml:space="preserve">TK-05596</t>
  </si>
  <si>
    <t xml:space="preserve">TK-05597</t>
  </si>
  <si>
    <t xml:space="preserve">TK-05598</t>
  </si>
  <si>
    <t xml:space="preserve">TK-05599</t>
  </si>
  <si>
    <t xml:space="preserve">TK-05600</t>
  </si>
  <si>
    <t xml:space="preserve">TK-05601</t>
  </si>
  <si>
    <t xml:space="preserve">TK-05602</t>
  </si>
  <si>
    <t xml:space="preserve">TK-05603</t>
  </si>
  <si>
    <t xml:space="preserve">TK-05604</t>
  </si>
  <si>
    <t xml:space="preserve">TK-05605</t>
  </si>
  <si>
    <t xml:space="preserve">TK-05606</t>
  </si>
  <si>
    <t xml:space="preserve">TK-05607</t>
  </si>
  <si>
    <t xml:space="preserve">TK-05608</t>
  </si>
  <si>
    <t xml:space="preserve">TK-05609</t>
  </si>
  <si>
    <t xml:space="preserve">TK-05610</t>
  </si>
  <si>
    <t xml:space="preserve">TK-05611</t>
  </si>
  <si>
    <t xml:space="preserve">TK-05612</t>
  </si>
  <si>
    <t xml:space="preserve">TK-05613</t>
  </si>
  <si>
    <t xml:space="preserve">TK-05614</t>
  </si>
  <si>
    <t xml:space="preserve">TK-05615</t>
  </si>
  <si>
    <t xml:space="preserve">TK-05616</t>
  </si>
  <si>
    <t xml:space="preserve">TK-05617</t>
  </si>
  <si>
    <t xml:space="preserve">TK-05618</t>
  </si>
  <si>
    <t xml:space="preserve">TK-05619</t>
  </si>
  <si>
    <t xml:space="preserve">TK-05620</t>
  </si>
  <si>
    <t xml:space="preserve">TK-05621</t>
  </si>
  <si>
    <t xml:space="preserve">TK-05622</t>
  </si>
  <si>
    <t xml:space="preserve">TK-05623</t>
  </si>
  <si>
    <t xml:space="preserve">TK-05624</t>
  </si>
  <si>
    <t xml:space="preserve">TK-05625</t>
  </si>
  <si>
    <t xml:space="preserve">TK-05626</t>
  </si>
  <si>
    <t xml:space="preserve">TK-05627</t>
  </si>
  <si>
    <t xml:space="preserve">TK-05628</t>
  </si>
  <si>
    <t xml:space="preserve">TK-05629</t>
  </si>
  <si>
    <t xml:space="preserve">TK-05630</t>
  </si>
  <si>
    <t xml:space="preserve">TK-05631</t>
  </si>
  <si>
    <t xml:space="preserve">TK-05632</t>
  </si>
  <si>
    <t xml:space="preserve">TK-05633</t>
  </si>
  <si>
    <t xml:space="preserve">TK-05634</t>
  </si>
  <si>
    <t xml:space="preserve">TK-05635</t>
  </si>
  <si>
    <t xml:space="preserve">TK-05636</t>
  </si>
  <si>
    <t xml:space="preserve">TK-05637</t>
  </si>
  <si>
    <t xml:space="preserve">TK-05638</t>
  </si>
  <si>
    <t xml:space="preserve">TK-05639</t>
  </si>
  <si>
    <t xml:space="preserve">TK-05640</t>
  </si>
  <si>
    <t xml:space="preserve">TK-05641</t>
  </si>
  <si>
    <t xml:space="preserve">TK-05642</t>
  </si>
  <si>
    <t xml:space="preserve">TK-05643</t>
  </si>
  <si>
    <t xml:space="preserve">TK-05644</t>
  </si>
  <si>
    <t xml:space="preserve">TK-05645</t>
  </si>
  <si>
    <t xml:space="preserve">TK-05646</t>
  </si>
  <si>
    <t xml:space="preserve">TK-05647</t>
  </si>
  <si>
    <t xml:space="preserve">TK-05648</t>
  </si>
  <si>
    <t xml:space="preserve">TK-05649</t>
  </si>
  <si>
    <t xml:space="preserve">TK-05650</t>
  </si>
  <si>
    <t xml:space="preserve">TK-05651</t>
  </si>
  <si>
    <t xml:space="preserve">TK-05652</t>
  </si>
  <si>
    <t xml:space="preserve">TK-05653</t>
  </si>
  <si>
    <t xml:space="preserve">TK-05654</t>
  </si>
  <si>
    <t xml:space="preserve">TK-05655</t>
  </si>
  <si>
    <t xml:space="preserve">TK-05656</t>
  </si>
  <si>
    <t xml:space="preserve">TK-05657</t>
  </si>
  <si>
    <t xml:space="preserve">TK-05658</t>
  </si>
  <si>
    <t xml:space="preserve">TK-05659</t>
  </si>
  <si>
    <t xml:space="preserve">TK-05660</t>
  </si>
  <si>
    <t xml:space="preserve">TK-05661</t>
  </si>
  <si>
    <t xml:space="preserve">TK-05662</t>
  </si>
  <si>
    <t xml:space="preserve">TK-05663</t>
  </si>
  <si>
    <t xml:space="preserve">TK-05664</t>
  </si>
  <si>
    <t xml:space="preserve">TK-05665</t>
  </si>
  <si>
    <t xml:space="preserve">TK-05666</t>
  </si>
  <si>
    <t xml:space="preserve">TK-05667</t>
  </si>
  <si>
    <t xml:space="preserve">TK-05668</t>
  </si>
  <si>
    <t xml:space="preserve">TK-05669</t>
  </si>
  <si>
    <t xml:space="preserve">TK-05670</t>
  </si>
  <si>
    <t xml:space="preserve">TK-05671</t>
  </si>
  <si>
    <t xml:space="preserve">TK-05672</t>
  </si>
  <si>
    <t xml:space="preserve">TK-05673</t>
  </si>
  <si>
    <t xml:space="preserve">TK-05674</t>
  </si>
  <si>
    <t xml:space="preserve">TK-05675</t>
  </si>
  <si>
    <t xml:space="preserve">TK-05676</t>
  </si>
  <si>
    <t xml:space="preserve">TK-05677</t>
  </si>
  <si>
    <t xml:space="preserve">TK-05678</t>
  </si>
  <si>
    <t xml:space="preserve">TK-05679</t>
  </si>
  <si>
    <t xml:space="preserve">TK-05680</t>
  </si>
  <si>
    <t xml:space="preserve">TK-05681</t>
  </si>
  <si>
    <t xml:space="preserve">TK-05682</t>
  </si>
  <si>
    <t xml:space="preserve">TK-05683</t>
  </si>
  <si>
    <t xml:space="preserve">TK-05684</t>
  </si>
  <si>
    <t xml:space="preserve">TK-05685</t>
  </si>
  <si>
    <t xml:space="preserve">TK-05686</t>
  </si>
  <si>
    <t xml:space="preserve">TK-05687</t>
  </si>
  <si>
    <t xml:space="preserve">TK-05688</t>
  </si>
  <si>
    <t xml:space="preserve">TK-05689</t>
  </si>
  <si>
    <t xml:space="preserve">TK-05690</t>
  </si>
  <si>
    <t xml:space="preserve">TK-05691</t>
  </si>
  <si>
    <t xml:space="preserve">TK-05692</t>
  </si>
  <si>
    <t xml:space="preserve">TK-05693</t>
  </si>
  <si>
    <t xml:space="preserve">TK-05694</t>
  </si>
  <si>
    <t xml:space="preserve">TK-05695</t>
  </si>
  <si>
    <t xml:space="preserve">TK-05696</t>
  </si>
  <si>
    <t xml:space="preserve">TK-05697</t>
  </si>
  <si>
    <t xml:space="preserve">TK-05698</t>
  </si>
  <si>
    <t xml:space="preserve">TK-05699</t>
  </si>
  <si>
    <t xml:space="preserve">TK-05700</t>
  </si>
  <si>
    <t xml:space="preserve">TK-05701</t>
  </si>
  <si>
    <t xml:space="preserve">TK-05702</t>
  </si>
  <si>
    <t xml:space="preserve">TK-05703</t>
  </si>
  <si>
    <t xml:space="preserve">TK-05704</t>
  </si>
  <si>
    <t xml:space="preserve">TK-05705</t>
  </si>
  <si>
    <t xml:space="preserve">TK-05706</t>
  </si>
  <si>
    <t xml:space="preserve">TK-05707</t>
  </si>
  <si>
    <t xml:space="preserve">TK-05708</t>
  </si>
  <si>
    <t xml:space="preserve">TK-05709</t>
  </si>
  <si>
    <t xml:space="preserve">TK-05710</t>
  </si>
  <si>
    <t xml:space="preserve">TK-05711</t>
  </si>
  <si>
    <t xml:space="preserve">TK-05712</t>
  </si>
  <si>
    <t xml:space="preserve">TK-05713</t>
  </si>
  <si>
    <t xml:space="preserve">TK-05714</t>
  </si>
  <si>
    <t xml:space="preserve">TK-05715</t>
  </si>
  <si>
    <t xml:space="preserve">TK-05716</t>
  </si>
  <si>
    <t xml:space="preserve">TK-05717</t>
  </si>
  <si>
    <t xml:space="preserve">TK-05718</t>
  </si>
  <si>
    <t xml:space="preserve">TK-05719</t>
  </si>
  <si>
    <t xml:space="preserve">TK-05720</t>
  </si>
  <si>
    <t xml:space="preserve">TK-05721</t>
  </si>
  <si>
    <t xml:space="preserve">TK-05722</t>
  </si>
  <si>
    <t xml:space="preserve">TK-05723</t>
  </si>
  <si>
    <t xml:space="preserve">TK-05724</t>
  </si>
  <si>
    <t xml:space="preserve">TK-05725</t>
  </si>
  <si>
    <t xml:space="preserve">TK-05726</t>
  </si>
  <si>
    <t xml:space="preserve">TK-05727</t>
  </si>
  <si>
    <t xml:space="preserve">TK-05728</t>
  </si>
  <si>
    <t xml:space="preserve">TK-05729</t>
  </si>
  <si>
    <t xml:space="preserve">TK-05730</t>
  </si>
  <si>
    <t xml:space="preserve">TK-05731</t>
  </si>
  <si>
    <t xml:space="preserve">TK-05732</t>
  </si>
  <si>
    <t xml:space="preserve">TK-05733</t>
  </si>
  <si>
    <t xml:space="preserve">TK-05734</t>
  </si>
  <si>
    <t xml:space="preserve">TK-05735</t>
  </si>
  <si>
    <t xml:space="preserve">TK-05736</t>
  </si>
  <si>
    <t xml:space="preserve">TK-05737</t>
  </si>
  <si>
    <t xml:space="preserve">TK-05738</t>
  </si>
  <si>
    <t xml:space="preserve">TK-05739</t>
  </si>
  <si>
    <t xml:space="preserve">TK-05740</t>
  </si>
  <si>
    <t xml:space="preserve">TK-05741</t>
  </si>
  <si>
    <t xml:space="preserve">TK-05742</t>
  </si>
  <si>
    <t xml:space="preserve">TK-05743</t>
  </si>
  <si>
    <t xml:space="preserve">TK-05744</t>
  </si>
  <si>
    <t xml:space="preserve">TK-05745</t>
  </si>
  <si>
    <t xml:space="preserve">TK-05746</t>
  </si>
  <si>
    <t xml:space="preserve">TK-05747</t>
  </si>
  <si>
    <t xml:space="preserve">TK-05748</t>
  </si>
  <si>
    <t xml:space="preserve">TK-05749</t>
  </si>
  <si>
    <t xml:space="preserve">TK-05750</t>
  </si>
  <si>
    <t xml:space="preserve">TK-05751</t>
  </si>
  <si>
    <t xml:space="preserve">TK-05752</t>
  </si>
  <si>
    <t xml:space="preserve">TK-05753</t>
  </si>
  <si>
    <t xml:space="preserve">TK-05754</t>
  </si>
  <si>
    <t xml:space="preserve">TK-05755</t>
  </si>
  <si>
    <t xml:space="preserve">TK-05756</t>
  </si>
  <si>
    <t xml:space="preserve">TK-05757</t>
  </si>
  <si>
    <t xml:space="preserve">TK-05758</t>
  </si>
  <si>
    <t xml:space="preserve">TK-05759</t>
  </si>
  <si>
    <t xml:space="preserve">TK-05760</t>
  </si>
  <si>
    <t xml:space="preserve">TK-05761</t>
  </si>
  <si>
    <t xml:space="preserve">TK-05762</t>
  </si>
  <si>
    <t xml:space="preserve">TK-05763</t>
  </si>
  <si>
    <t xml:space="preserve">TK-05764</t>
  </si>
  <si>
    <t xml:space="preserve">TK-05765</t>
  </si>
  <si>
    <t xml:space="preserve">TK-05766</t>
  </si>
  <si>
    <t xml:space="preserve">TK-05767</t>
  </si>
  <si>
    <t xml:space="preserve">TK-05768</t>
  </si>
  <si>
    <t xml:space="preserve">TK-05769</t>
  </si>
  <si>
    <t xml:space="preserve">TK-05770</t>
  </si>
  <si>
    <t xml:space="preserve">TK-05771</t>
  </si>
  <si>
    <t xml:space="preserve">TK-05772</t>
  </si>
  <si>
    <t xml:space="preserve">TK-05773</t>
  </si>
  <si>
    <t xml:space="preserve">TK-05774</t>
  </si>
  <si>
    <t xml:space="preserve">TK-05775</t>
  </si>
  <si>
    <t xml:space="preserve">TK-05776</t>
  </si>
  <si>
    <t xml:space="preserve">TK-05777</t>
  </si>
  <si>
    <t xml:space="preserve">TK-05778</t>
  </si>
  <si>
    <t xml:space="preserve">TK-05779</t>
  </si>
  <si>
    <t xml:space="preserve">TK-05780</t>
  </si>
  <si>
    <t xml:space="preserve">TK-05781</t>
  </si>
  <si>
    <t xml:space="preserve">TK-05782</t>
  </si>
  <si>
    <t xml:space="preserve">TK-05783</t>
  </si>
  <si>
    <t xml:space="preserve">TK-05784</t>
  </si>
  <si>
    <t xml:space="preserve">TK-05785</t>
  </si>
  <si>
    <t xml:space="preserve">TK-05786</t>
  </si>
  <si>
    <t xml:space="preserve">TK-05787</t>
  </si>
  <si>
    <t xml:space="preserve">TK-05788</t>
  </si>
  <si>
    <t xml:space="preserve">TK-05789</t>
  </si>
  <si>
    <t xml:space="preserve">TK-05790</t>
  </si>
  <si>
    <t xml:space="preserve">TK-05791</t>
  </si>
  <si>
    <t xml:space="preserve">TK-05792</t>
  </si>
  <si>
    <t xml:space="preserve">TK-05793</t>
  </si>
  <si>
    <t xml:space="preserve">TK-05794</t>
  </si>
  <si>
    <t xml:space="preserve">TK-05795</t>
  </si>
  <si>
    <t xml:space="preserve">TK-05796</t>
  </si>
  <si>
    <t xml:space="preserve">TK-05797</t>
  </si>
  <si>
    <t xml:space="preserve">TK-05798</t>
  </si>
  <si>
    <t xml:space="preserve">TK-05799</t>
  </si>
  <si>
    <t xml:space="preserve">TK-05800</t>
  </si>
  <si>
    <t xml:space="preserve">TK-05801</t>
  </si>
  <si>
    <t xml:space="preserve">TK-05802</t>
  </si>
  <si>
    <t xml:space="preserve">TK-05803</t>
  </si>
  <si>
    <t xml:space="preserve">TK-05804</t>
  </si>
  <si>
    <t xml:space="preserve">TK-05805</t>
  </si>
  <si>
    <t xml:space="preserve">TK-05806</t>
  </si>
  <si>
    <t xml:space="preserve">TK-05807</t>
  </si>
  <si>
    <t xml:space="preserve">TK-05808</t>
  </si>
  <si>
    <t xml:space="preserve">TK-05809</t>
  </si>
  <si>
    <t xml:space="preserve">TK-05810</t>
  </si>
  <si>
    <t xml:space="preserve">TK-05811</t>
  </si>
  <si>
    <t xml:space="preserve">TK-05812</t>
  </si>
  <si>
    <t xml:space="preserve">TK-05813</t>
  </si>
  <si>
    <t xml:space="preserve">TK-05814</t>
  </si>
  <si>
    <t xml:space="preserve">TK-05815</t>
  </si>
  <si>
    <t xml:space="preserve">TK-05816</t>
  </si>
  <si>
    <t xml:space="preserve">TK-05817</t>
  </si>
  <si>
    <t xml:space="preserve">TK-05818</t>
  </si>
  <si>
    <t xml:space="preserve">TK-05819</t>
  </si>
  <si>
    <t xml:space="preserve">TK-05820</t>
  </si>
  <si>
    <t xml:space="preserve">TK-05821</t>
  </si>
  <si>
    <t xml:space="preserve">TK-05822</t>
  </si>
  <si>
    <t xml:space="preserve">TK-05823</t>
  </si>
  <si>
    <t xml:space="preserve">TK-05824</t>
  </si>
  <si>
    <t xml:space="preserve">TK-05825</t>
  </si>
  <si>
    <t xml:space="preserve">TK-05826</t>
  </si>
  <si>
    <t xml:space="preserve">TK-05827</t>
  </si>
  <si>
    <t xml:space="preserve">TK-05828</t>
  </si>
  <si>
    <t xml:space="preserve">TK-05829</t>
  </si>
  <si>
    <t xml:space="preserve">TK-05830</t>
  </si>
  <si>
    <t xml:space="preserve">TK-05831</t>
  </si>
  <si>
    <t xml:space="preserve">TK-05832</t>
  </si>
  <si>
    <t xml:space="preserve">TK-05833</t>
  </si>
  <si>
    <t xml:space="preserve">TK-05834</t>
  </si>
  <si>
    <t xml:space="preserve">TK-05835</t>
  </si>
  <si>
    <t xml:space="preserve">TK-05836</t>
  </si>
  <si>
    <t xml:space="preserve">TK-05837</t>
  </si>
  <si>
    <t xml:space="preserve">TK-05838</t>
  </si>
  <si>
    <t xml:space="preserve">TK-05839</t>
  </si>
  <si>
    <t xml:space="preserve">TK-05840</t>
  </si>
  <si>
    <t xml:space="preserve">TK-05841</t>
  </si>
  <si>
    <t xml:space="preserve">TK-05842</t>
  </si>
  <si>
    <t xml:space="preserve">TK-05843</t>
  </si>
  <si>
    <t xml:space="preserve">TK-05844</t>
  </si>
  <si>
    <t xml:space="preserve">TK-05845</t>
  </si>
  <si>
    <t xml:space="preserve">TK-05846</t>
  </si>
  <si>
    <t xml:space="preserve">TK-05847</t>
  </si>
  <si>
    <t xml:space="preserve">TK-05848</t>
  </si>
  <si>
    <t xml:space="preserve">TK-05849</t>
  </si>
  <si>
    <t xml:space="preserve">TK-05850</t>
  </si>
  <si>
    <t xml:space="preserve">TK-05851</t>
  </si>
  <si>
    <t xml:space="preserve">TK-05852</t>
  </si>
  <si>
    <t xml:space="preserve">TK-05853</t>
  </si>
  <si>
    <t xml:space="preserve">TK-05854</t>
  </si>
  <si>
    <t xml:space="preserve">TK-05855</t>
  </si>
  <si>
    <t xml:space="preserve">TK-05856</t>
  </si>
  <si>
    <t xml:space="preserve">TK-05857</t>
  </si>
  <si>
    <t xml:space="preserve">TK-05858</t>
  </si>
  <si>
    <t xml:space="preserve">TK-05859</t>
  </si>
  <si>
    <t xml:space="preserve">TK-05860</t>
  </si>
  <si>
    <t xml:space="preserve">TK-05861</t>
  </si>
  <si>
    <t xml:space="preserve">TK-05862</t>
  </si>
  <si>
    <t xml:space="preserve">TK-05863</t>
  </si>
  <si>
    <t xml:space="preserve">TK-05864</t>
  </si>
  <si>
    <t xml:space="preserve">TK-05865</t>
  </si>
  <si>
    <t xml:space="preserve">TK-05866</t>
  </si>
  <si>
    <t xml:space="preserve">TK-05867</t>
  </si>
  <si>
    <t xml:space="preserve">TK-05868</t>
  </si>
  <si>
    <t xml:space="preserve">TK-05869</t>
  </si>
  <si>
    <t xml:space="preserve">TK-05870</t>
  </si>
  <si>
    <t xml:space="preserve">TK-05871</t>
  </si>
  <si>
    <t xml:space="preserve">TK-05872</t>
  </si>
  <si>
    <t xml:space="preserve">TK-05873</t>
  </si>
  <si>
    <t xml:space="preserve">TK-05874</t>
  </si>
  <si>
    <t xml:space="preserve">TK-05875</t>
  </si>
  <si>
    <t xml:space="preserve">TK-05876</t>
  </si>
  <si>
    <t xml:space="preserve">TK-05877</t>
  </si>
  <si>
    <t xml:space="preserve">TK-05878</t>
  </si>
  <si>
    <t xml:space="preserve">TK-05879</t>
  </si>
  <si>
    <t xml:space="preserve">TK-05880</t>
  </si>
  <si>
    <t xml:space="preserve">TK-05881</t>
  </si>
  <si>
    <t xml:space="preserve">TK-05882</t>
  </si>
  <si>
    <t xml:space="preserve">TK-05883</t>
  </si>
  <si>
    <t xml:space="preserve">TK-05884</t>
  </si>
  <si>
    <t xml:space="preserve">TK-05885</t>
  </si>
  <si>
    <t xml:space="preserve">TK-05886</t>
  </si>
  <si>
    <t xml:space="preserve">TK-05887</t>
  </si>
  <si>
    <t xml:space="preserve">TK-05888</t>
  </si>
  <si>
    <t xml:space="preserve">TK-05889</t>
  </si>
  <si>
    <t xml:space="preserve">TK-05890</t>
  </si>
  <si>
    <t xml:space="preserve">TK-05891</t>
  </si>
  <si>
    <t xml:space="preserve">TK-05892</t>
  </si>
  <si>
    <t xml:space="preserve">TK-05893</t>
  </si>
  <si>
    <t xml:space="preserve">TK-05894</t>
  </si>
  <si>
    <t xml:space="preserve">TK-05895</t>
  </si>
  <si>
    <t xml:space="preserve">TK-05896</t>
  </si>
  <si>
    <t xml:space="preserve">TK-05897</t>
  </si>
  <si>
    <t xml:space="preserve">TK-05898</t>
  </si>
  <si>
    <t xml:space="preserve">TK-05899</t>
  </si>
  <si>
    <t xml:space="preserve">TK-05900</t>
  </si>
  <si>
    <t xml:space="preserve">TK-05901</t>
  </si>
  <si>
    <t xml:space="preserve">TK-05902</t>
  </si>
  <si>
    <t xml:space="preserve">TK-05903</t>
  </si>
  <si>
    <t xml:space="preserve">TK-05904</t>
  </si>
  <si>
    <t xml:space="preserve">TK-05905</t>
  </si>
  <si>
    <t xml:space="preserve">TK-05906</t>
  </si>
  <si>
    <t xml:space="preserve">TK-05907</t>
  </si>
  <si>
    <t xml:space="preserve">TK-05908</t>
  </si>
  <si>
    <t xml:space="preserve">TK-05909</t>
  </si>
  <si>
    <t xml:space="preserve">TK-05910</t>
  </si>
  <si>
    <t xml:space="preserve">TK-05911</t>
  </si>
  <si>
    <t xml:space="preserve">TK-05912</t>
  </si>
  <si>
    <t xml:space="preserve">TK-05913</t>
  </si>
  <si>
    <t xml:space="preserve">TK-05914</t>
  </si>
  <si>
    <t xml:space="preserve">TK-05915</t>
  </si>
  <si>
    <t xml:space="preserve">TK-05916</t>
  </si>
  <si>
    <t xml:space="preserve">TK-05917</t>
  </si>
  <si>
    <t xml:space="preserve">TK-05918</t>
  </si>
  <si>
    <t xml:space="preserve">TK-05919</t>
  </si>
  <si>
    <t xml:space="preserve">TK-05920</t>
  </si>
  <si>
    <t xml:space="preserve">TK-05921</t>
  </si>
  <si>
    <t xml:space="preserve">TK-05922</t>
  </si>
  <si>
    <t xml:space="preserve">TK-05923</t>
  </si>
  <si>
    <t xml:space="preserve">TK-05924</t>
  </si>
  <si>
    <t xml:space="preserve">TK-05925</t>
  </si>
  <si>
    <t xml:space="preserve">TK-05926</t>
  </si>
  <si>
    <t xml:space="preserve">TK-05927</t>
  </si>
  <si>
    <t xml:space="preserve">TK-05928</t>
  </si>
  <si>
    <t xml:space="preserve">TK-05929</t>
  </si>
  <si>
    <t xml:space="preserve">TK-05930</t>
  </si>
  <si>
    <t xml:space="preserve">TK-05931</t>
  </si>
  <si>
    <t xml:space="preserve">TK-05932</t>
  </si>
  <si>
    <t xml:space="preserve">TK-05933</t>
  </si>
  <si>
    <t xml:space="preserve">TK-05934</t>
  </si>
  <si>
    <t xml:space="preserve">TK-05935</t>
  </si>
  <si>
    <t xml:space="preserve">TK-05936</t>
  </si>
  <si>
    <t xml:space="preserve">TK-05937</t>
  </si>
  <si>
    <t xml:space="preserve">TK-05938</t>
  </si>
  <si>
    <t xml:space="preserve">TK-05939</t>
  </si>
  <si>
    <t xml:space="preserve">TK-05940</t>
  </si>
  <si>
    <t xml:space="preserve">TK-05941</t>
  </si>
  <si>
    <t xml:space="preserve">TK-05942</t>
  </si>
  <si>
    <t xml:space="preserve">TK-05943</t>
  </si>
  <si>
    <t xml:space="preserve">TK-05944</t>
  </si>
  <si>
    <t xml:space="preserve">TK-05945</t>
  </si>
  <si>
    <t xml:space="preserve">TK-05946</t>
  </si>
  <si>
    <t xml:space="preserve">TK-05947</t>
  </si>
  <si>
    <t xml:space="preserve">TK-05948</t>
  </si>
  <si>
    <t xml:space="preserve">TK-05949</t>
  </si>
  <si>
    <t xml:space="preserve">TK-05950</t>
  </si>
  <si>
    <t xml:space="preserve">TK-05951</t>
  </si>
  <si>
    <t xml:space="preserve">TK-05952</t>
  </si>
  <si>
    <t xml:space="preserve">TK-05953</t>
  </si>
  <si>
    <t xml:space="preserve">TK-05954</t>
  </si>
  <si>
    <t xml:space="preserve">TK-05955</t>
  </si>
  <si>
    <t xml:space="preserve">TK-05956</t>
  </si>
  <si>
    <t xml:space="preserve">TK-05957</t>
  </si>
  <si>
    <t xml:space="preserve">TK-05958</t>
  </si>
  <si>
    <t xml:space="preserve">TK-05959</t>
  </si>
  <si>
    <t xml:space="preserve">TK-05960</t>
  </si>
  <si>
    <t xml:space="preserve">TK-05961</t>
  </si>
  <si>
    <t xml:space="preserve">TK-05962</t>
  </si>
  <si>
    <t xml:space="preserve">TK-05963</t>
  </si>
  <si>
    <t xml:space="preserve">TK-05964</t>
  </si>
  <si>
    <t xml:space="preserve">TK-05965</t>
  </si>
  <si>
    <t xml:space="preserve">TK-05966</t>
  </si>
  <si>
    <t xml:space="preserve">TK-05967</t>
  </si>
  <si>
    <t xml:space="preserve">TK-05968</t>
  </si>
  <si>
    <t xml:space="preserve">TK-05969</t>
  </si>
  <si>
    <t xml:space="preserve">TK-05970</t>
  </si>
  <si>
    <t xml:space="preserve">TK-05971</t>
  </si>
  <si>
    <t xml:space="preserve">TK-05972</t>
  </si>
  <si>
    <t xml:space="preserve">TK-05973</t>
  </si>
  <si>
    <t xml:space="preserve">TK-05974</t>
  </si>
  <si>
    <t xml:space="preserve">TK-05975</t>
  </si>
  <si>
    <t xml:space="preserve">TK-05976</t>
  </si>
  <si>
    <t xml:space="preserve">TK-05977</t>
  </si>
  <si>
    <t xml:space="preserve">TK-05978</t>
  </si>
  <si>
    <t xml:space="preserve">TK-05979</t>
  </si>
  <si>
    <t xml:space="preserve">TK-05980</t>
  </si>
  <si>
    <t xml:space="preserve">TK-05981</t>
  </si>
  <si>
    <t xml:space="preserve">TK-05982</t>
  </si>
  <si>
    <t xml:space="preserve">TK-05983</t>
  </si>
  <si>
    <t xml:space="preserve">TK-05984</t>
  </si>
  <si>
    <t xml:space="preserve">TK-05985</t>
  </si>
  <si>
    <t xml:space="preserve">TK-05986</t>
  </si>
  <si>
    <t xml:space="preserve">TK-05987</t>
  </si>
  <si>
    <t xml:space="preserve">TK-05988</t>
  </si>
  <si>
    <t xml:space="preserve">TK-05989</t>
  </si>
  <si>
    <t xml:space="preserve">TK-05990</t>
  </si>
  <si>
    <t xml:space="preserve">TK-05991</t>
  </si>
  <si>
    <t xml:space="preserve">TK-05992</t>
  </si>
  <si>
    <t xml:space="preserve">TK-05993</t>
  </si>
  <si>
    <t xml:space="preserve">TK-05994</t>
  </si>
  <si>
    <t xml:space="preserve">TK-05995</t>
  </si>
  <si>
    <t xml:space="preserve">TK-05996</t>
  </si>
  <si>
    <t xml:space="preserve">TK-05997</t>
  </si>
  <si>
    <t xml:space="preserve">TK-05998</t>
  </si>
  <si>
    <t xml:space="preserve">TK-05999</t>
  </si>
  <si>
    <t xml:space="preserve">TK-06000</t>
  </si>
  <si>
    <t xml:space="preserve">TK-06001</t>
  </si>
  <si>
    <t xml:space="preserve">TK-06002</t>
  </si>
  <si>
    <t xml:space="preserve">TK-06003</t>
  </si>
  <si>
    <t xml:space="preserve">TK-06004</t>
  </si>
  <si>
    <t xml:space="preserve">TK-06005</t>
  </si>
  <si>
    <t xml:space="preserve">TK-06006</t>
  </si>
  <si>
    <t xml:space="preserve">TK-06007</t>
  </si>
  <si>
    <t xml:space="preserve">TK-06008</t>
  </si>
  <si>
    <t xml:space="preserve">TK-06009</t>
  </si>
  <si>
    <t xml:space="preserve">TK-06010</t>
  </si>
  <si>
    <t xml:space="preserve">TK-06011</t>
  </si>
  <si>
    <t xml:space="preserve">TK-06012</t>
  </si>
  <si>
    <t xml:space="preserve">TK-06013</t>
  </si>
  <si>
    <t xml:space="preserve">TK-06014</t>
  </si>
  <si>
    <t xml:space="preserve">TK-06015</t>
  </si>
  <si>
    <t xml:space="preserve">TK-06016</t>
  </si>
  <si>
    <t xml:space="preserve">TK-06017</t>
  </si>
  <si>
    <t xml:space="preserve">TK-06018</t>
  </si>
  <si>
    <t xml:space="preserve">TK-06019</t>
  </si>
  <si>
    <t xml:space="preserve">TK-06020</t>
  </si>
  <si>
    <t xml:space="preserve">TK-06021</t>
  </si>
  <si>
    <t xml:space="preserve">TK-06022</t>
  </si>
  <si>
    <t xml:space="preserve">TK-06023</t>
  </si>
  <si>
    <t xml:space="preserve">TK-06024</t>
  </si>
  <si>
    <t xml:space="preserve">TK-06025</t>
  </si>
  <si>
    <t xml:space="preserve">TK-06026</t>
  </si>
  <si>
    <t xml:space="preserve">TK-06027</t>
  </si>
  <si>
    <t xml:space="preserve">TK-06028</t>
  </si>
  <si>
    <t xml:space="preserve">TK-06029</t>
  </si>
  <si>
    <t xml:space="preserve">TK-06030</t>
  </si>
  <si>
    <t xml:space="preserve">TK-06031</t>
  </si>
  <si>
    <t xml:space="preserve">TK-06032</t>
  </si>
  <si>
    <t xml:space="preserve">TK-06033</t>
  </si>
  <si>
    <t xml:space="preserve">TK-06034</t>
  </si>
  <si>
    <t xml:space="preserve">TK-06035</t>
  </si>
  <si>
    <t xml:space="preserve">TK-06036</t>
  </si>
  <si>
    <t xml:space="preserve">TK-06037</t>
  </si>
  <si>
    <t xml:space="preserve">TK-06038</t>
  </si>
  <si>
    <t xml:space="preserve">TK-06039</t>
  </si>
  <si>
    <t xml:space="preserve">TK-06040</t>
  </si>
  <si>
    <t xml:space="preserve">TK-06041</t>
  </si>
  <si>
    <t xml:space="preserve">TK-06042</t>
  </si>
  <si>
    <t xml:space="preserve">TK-06043</t>
  </si>
  <si>
    <t xml:space="preserve">TK-06044</t>
  </si>
  <si>
    <t xml:space="preserve">TK-06045</t>
  </si>
  <si>
    <t xml:space="preserve">TK-06046</t>
  </si>
  <si>
    <t xml:space="preserve">TK-06047</t>
  </si>
  <si>
    <t xml:space="preserve">TK-06048</t>
  </si>
  <si>
    <t xml:space="preserve">TK-06049</t>
  </si>
  <si>
    <t xml:space="preserve">TK-06050</t>
  </si>
  <si>
    <t xml:space="preserve">TK-06051</t>
  </si>
  <si>
    <t xml:space="preserve">TK-06052</t>
  </si>
  <si>
    <t xml:space="preserve">TK-06053</t>
  </si>
  <si>
    <t xml:space="preserve">TK-06054</t>
  </si>
  <si>
    <t xml:space="preserve">TK-06055</t>
  </si>
  <si>
    <t xml:space="preserve">TK-06056</t>
  </si>
  <si>
    <t xml:space="preserve">TK-06057</t>
  </si>
  <si>
    <t xml:space="preserve">TK-06058</t>
  </si>
  <si>
    <t xml:space="preserve">TK-06059</t>
  </si>
  <si>
    <t xml:space="preserve">TK-06060</t>
  </si>
  <si>
    <t xml:space="preserve">TK-06061</t>
  </si>
  <si>
    <t xml:space="preserve">TK-06062</t>
  </si>
  <si>
    <t xml:space="preserve">TK-06063</t>
  </si>
  <si>
    <t xml:space="preserve">TK-06064</t>
  </si>
  <si>
    <t xml:space="preserve">TK-06065</t>
  </si>
  <si>
    <t xml:space="preserve">TK-06066</t>
  </si>
  <si>
    <t xml:space="preserve">TK-06067</t>
  </si>
  <si>
    <t xml:space="preserve">TK-06068</t>
  </si>
  <si>
    <t xml:space="preserve">TK-06069</t>
  </si>
  <si>
    <t xml:space="preserve">TK-06070</t>
  </si>
  <si>
    <t xml:space="preserve">TK-06071</t>
  </si>
  <si>
    <t xml:space="preserve">TK-06072</t>
  </si>
  <si>
    <t xml:space="preserve">TK-06073</t>
  </si>
  <si>
    <t xml:space="preserve">TK-06074</t>
  </si>
  <si>
    <t xml:space="preserve">TK-06075</t>
  </si>
  <si>
    <t xml:space="preserve">TK-06076</t>
  </si>
  <si>
    <t xml:space="preserve">TK-06077</t>
  </si>
  <si>
    <t xml:space="preserve">TK-06078</t>
  </si>
  <si>
    <t xml:space="preserve">TK-06079</t>
  </si>
  <si>
    <t xml:space="preserve">TK-06080</t>
  </si>
  <si>
    <t xml:space="preserve">TK-06081</t>
  </si>
  <si>
    <t xml:space="preserve">TK-06082</t>
  </si>
  <si>
    <t xml:space="preserve">TK-06083</t>
  </si>
  <si>
    <t xml:space="preserve">TK-06084</t>
  </si>
  <si>
    <t xml:space="preserve">TK-06085</t>
  </si>
  <si>
    <t xml:space="preserve">TK-06086</t>
  </si>
  <si>
    <t xml:space="preserve">TK-06087</t>
  </si>
  <si>
    <t xml:space="preserve">TK-06088</t>
  </si>
  <si>
    <t xml:space="preserve">TK-06089</t>
  </si>
  <si>
    <t xml:space="preserve">TK-06090</t>
  </si>
  <si>
    <t xml:space="preserve">TK-06091</t>
  </si>
  <si>
    <t xml:space="preserve">TK-06092</t>
  </si>
  <si>
    <t xml:space="preserve">TK-06093</t>
  </si>
  <si>
    <t xml:space="preserve">TK-06094</t>
  </si>
  <si>
    <t xml:space="preserve">TK-06095</t>
  </si>
  <si>
    <t xml:space="preserve">TK-06096</t>
  </si>
  <si>
    <t xml:space="preserve">TK-06097</t>
  </si>
  <si>
    <t xml:space="preserve">TK-06098</t>
  </si>
  <si>
    <t xml:space="preserve">TK-06099</t>
  </si>
  <si>
    <t xml:space="preserve">TK-06100</t>
  </si>
  <si>
    <t xml:space="preserve">TK-06101</t>
  </si>
  <si>
    <t xml:space="preserve">TK-06102</t>
  </si>
  <si>
    <t xml:space="preserve">TK-06103</t>
  </si>
  <si>
    <t xml:space="preserve">TK-06104</t>
  </si>
  <si>
    <t xml:space="preserve">TK-06105</t>
  </si>
  <si>
    <t xml:space="preserve">TK-06106</t>
  </si>
  <si>
    <t xml:space="preserve">TK-06107</t>
  </si>
  <si>
    <t xml:space="preserve">TK-06108</t>
  </si>
  <si>
    <t xml:space="preserve">TK-06109</t>
  </si>
  <si>
    <t xml:space="preserve">TK-06110</t>
  </si>
  <si>
    <t xml:space="preserve">TK-06111</t>
  </si>
  <si>
    <t xml:space="preserve">TK-06112</t>
  </si>
  <si>
    <t xml:space="preserve">TK-06113</t>
  </si>
  <si>
    <t xml:space="preserve">TK-06114</t>
  </si>
  <si>
    <t xml:space="preserve">TK-06115</t>
  </si>
  <si>
    <t xml:space="preserve">TK-06116</t>
  </si>
  <si>
    <t xml:space="preserve">TK-06117</t>
  </si>
  <si>
    <t xml:space="preserve">TK-06118</t>
  </si>
  <si>
    <t xml:space="preserve">TK-06119</t>
  </si>
  <si>
    <t xml:space="preserve">TK-06120</t>
  </si>
  <si>
    <t xml:space="preserve">TK-06121</t>
  </si>
  <si>
    <t xml:space="preserve">TK-06122</t>
  </si>
  <si>
    <t xml:space="preserve">TK-06123</t>
  </si>
  <si>
    <t xml:space="preserve">TK-06124</t>
  </si>
  <si>
    <t xml:space="preserve">TK-06125</t>
  </si>
  <si>
    <t xml:space="preserve">TK-06126</t>
  </si>
  <si>
    <t xml:space="preserve">TK-06127</t>
  </si>
  <si>
    <t xml:space="preserve">TK-06128</t>
  </si>
  <si>
    <t xml:space="preserve">TK-06129</t>
  </si>
  <si>
    <t xml:space="preserve">TK-06130</t>
  </si>
  <si>
    <t xml:space="preserve">TK-06131</t>
  </si>
  <si>
    <t xml:space="preserve">TK-06132</t>
  </si>
  <si>
    <t xml:space="preserve">TK-06133</t>
  </si>
  <si>
    <t xml:space="preserve">TK-06134</t>
  </si>
  <si>
    <t xml:space="preserve">TK-06135</t>
  </si>
  <si>
    <t xml:space="preserve">TK-06136</t>
  </si>
  <si>
    <t xml:space="preserve">TK-06137</t>
  </si>
  <si>
    <t xml:space="preserve">TK-06138</t>
  </si>
  <si>
    <t xml:space="preserve">TK-06139</t>
  </si>
  <si>
    <t xml:space="preserve">TK-06140</t>
  </si>
  <si>
    <t xml:space="preserve">TK-06141</t>
  </si>
  <si>
    <t xml:space="preserve">TK-06142</t>
  </si>
  <si>
    <t xml:space="preserve">TK-06143</t>
  </si>
  <si>
    <t xml:space="preserve">TK-06144</t>
  </si>
  <si>
    <t xml:space="preserve">TK-06145</t>
  </si>
  <si>
    <t xml:space="preserve">TK-06146</t>
  </si>
  <si>
    <t xml:space="preserve">TK-06147</t>
  </si>
  <si>
    <t xml:space="preserve">TK-06148</t>
  </si>
  <si>
    <t xml:space="preserve">TK-06149</t>
  </si>
  <si>
    <t xml:space="preserve">TK-06150</t>
  </si>
  <si>
    <t xml:space="preserve">TK-06151</t>
  </si>
  <si>
    <t xml:space="preserve">TK-06152</t>
  </si>
  <si>
    <t xml:space="preserve">TK-06153</t>
  </si>
  <si>
    <t xml:space="preserve">TK-06154</t>
  </si>
  <si>
    <t xml:space="preserve">TK-06155</t>
  </si>
  <si>
    <t xml:space="preserve">TK-06156</t>
  </si>
  <si>
    <t xml:space="preserve">TK-06157</t>
  </si>
  <si>
    <t xml:space="preserve">TK-06158</t>
  </si>
  <si>
    <t xml:space="preserve">TK-06159</t>
  </si>
  <si>
    <t xml:space="preserve">TK-06160</t>
  </si>
  <si>
    <t xml:space="preserve">TK-06161</t>
  </si>
  <si>
    <t xml:space="preserve">TK-06162</t>
  </si>
  <si>
    <t xml:space="preserve">TK-06163</t>
  </si>
  <si>
    <t xml:space="preserve">TK-06164</t>
  </si>
  <si>
    <t xml:space="preserve">TK-06165</t>
  </si>
  <si>
    <t xml:space="preserve">TK-06166</t>
  </si>
  <si>
    <t xml:space="preserve">TK-06167</t>
  </si>
  <si>
    <t xml:space="preserve">TK-06168</t>
  </si>
  <si>
    <t xml:space="preserve">TK-06169</t>
  </si>
  <si>
    <t xml:space="preserve">TK-06170</t>
  </si>
  <si>
    <t xml:space="preserve">TK-06171</t>
  </si>
  <si>
    <t xml:space="preserve">TK-06172</t>
  </si>
  <si>
    <t xml:space="preserve">TK-06173</t>
  </si>
  <si>
    <t xml:space="preserve">TK-06174</t>
  </si>
  <si>
    <t xml:space="preserve">TK-06175</t>
  </si>
  <si>
    <t xml:space="preserve">TK-06176</t>
  </si>
  <si>
    <t xml:space="preserve">TK-06177</t>
  </si>
  <si>
    <t xml:space="preserve">TK-06178</t>
  </si>
  <si>
    <t xml:space="preserve">TK-06179</t>
  </si>
  <si>
    <t xml:space="preserve">TK-06180</t>
  </si>
  <si>
    <t xml:space="preserve">TK-06181</t>
  </si>
  <si>
    <t xml:space="preserve">TK-06182</t>
  </si>
  <si>
    <t xml:space="preserve">TK-06183</t>
  </si>
  <si>
    <t xml:space="preserve">TK-06184</t>
  </si>
  <si>
    <t xml:space="preserve">TK-06185</t>
  </si>
  <si>
    <t xml:space="preserve">TK-06186</t>
  </si>
  <si>
    <t xml:space="preserve">TK-06187</t>
  </si>
  <si>
    <t xml:space="preserve">TK-06188</t>
  </si>
  <si>
    <t xml:space="preserve">TK-06189</t>
  </si>
  <si>
    <t xml:space="preserve">TK-06190</t>
  </si>
  <si>
    <t xml:space="preserve">TK-06191</t>
  </si>
  <si>
    <t xml:space="preserve">TK-06192</t>
  </si>
  <si>
    <t xml:space="preserve">TK-06193</t>
  </si>
  <si>
    <t xml:space="preserve">TK-06194</t>
  </si>
  <si>
    <t xml:space="preserve">TK-06195</t>
  </si>
  <si>
    <t xml:space="preserve">TK-06196</t>
  </si>
  <si>
    <t xml:space="preserve">TK-06197</t>
  </si>
  <si>
    <t xml:space="preserve">TK-06198</t>
  </si>
  <si>
    <t xml:space="preserve">TK-06199</t>
  </si>
  <si>
    <t xml:space="preserve">TK-06200</t>
  </si>
  <si>
    <t xml:space="preserve">TK-06201</t>
  </si>
  <si>
    <t xml:space="preserve">TK-06202</t>
  </si>
  <si>
    <t xml:space="preserve">TK-06203</t>
  </si>
  <si>
    <t xml:space="preserve">TK-06204</t>
  </si>
  <si>
    <t xml:space="preserve">TK-06205</t>
  </si>
  <si>
    <t xml:space="preserve">TK-06206</t>
  </si>
  <si>
    <t xml:space="preserve">TK-06207</t>
  </si>
  <si>
    <t xml:space="preserve">TK-06208</t>
  </si>
  <si>
    <t xml:space="preserve">TK-06209</t>
  </si>
  <si>
    <t xml:space="preserve">TK-06210</t>
  </si>
  <si>
    <t xml:space="preserve">TK-06211</t>
  </si>
  <si>
    <t xml:space="preserve">TK-06212</t>
  </si>
  <si>
    <t xml:space="preserve">TK-06213</t>
  </si>
  <si>
    <t xml:space="preserve">TK-06214</t>
  </si>
  <si>
    <t xml:space="preserve">TK-06215</t>
  </si>
  <si>
    <t xml:space="preserve">TK-06216</t>
  </si>
  <si>
    <t xml:space="preserve">TK-06217</t>
  </si>
  <si>
    <t xml:space="preserve">TK-06218</t>
  </si>
  <si>
    <t xml:space="preserve">TK-06219</t>
  </si>
  <si>
    <t xml:space="preserve">TK-06220</t>
  </si>
  <si>
    <t xml:space="preserve">TK-06221</t>
  </si>
  <si>
    <t xml:space="preserve">TK-06222</t>
  </si>
  <si>
    <t xml:space="preserve">TK-06223</t>
  </si>
  <si>
    <t xml:space="preserve">TK-06224</t>
  </si>
  <si>
    <t xml:space="preserve">TK-06225</t>
  </si>
  <si>
    <t xml:space="preserve">TK-06226</t>
  </si>
  <si>
    <t xml:space="preserve">TK-06227</t>
  </si>
  <si>
    <t xml:space="preserve">TK-06228</t>
  </si>
  <si>
    <t xml:space="preserve">TK-06229</t>
  </si>
  <si>
    <t xml:space="preserve">TK-06230</t>
  </si>
  <si>
    <t xml:space="preserve">TK-06231</t>
  </si>
  <si>
    <t xml:space="preserve">TK-06232</t>
  </si>
  <si>
    <t xml:space="preserve">TK-06233</t>
  </si>
  <si>
    <t xml:space="preserve">TK-06234</t>
  </si>
  <si>
    <t xml:space="preserve">TK-06235</t>
  </si>
  <si>
    <t xml:space="preserve">TK-06236</t>
  </si>
  <si>
    <t xml:space="preserve">TK-06237</t>
  </si>
  <si>
    <t xml:space="preserve">TK-06238</t>
  </si>
  <si>
    <t xml:space="preserve">TK-06239</t>
  </si>
  <si>
    <t xml:space="preserve">TK-06240</t>
  </si>
  <si>
    <t xml:space="preserve">TK-06241</t>
  </si>
  <si>
    <t xml:space="preserve">TK-06242</t>
  </si>
  <si>
    <t xml:space="preserve">TK-06243</t>
  </si>
  <si>
    <t xml:space="preserve">TK-06244</t>
  </si>
  <si>
    <t xml:space="preserve">TK-06245</t>
  </si>
  <si>
    <t xml:space="preserve">TK-06246</t>
  </si>
  <si>
    <t xml:space="preserve">TK-06247</t>
  </si>
  <si>
    <t xml:space="preserve">TK-06248</t>
  </si>
  <si>
    <t xml:space="preserve">TK-06249</t>
  </si>
  <si>
    <t xml:space="preserve">TK-06250</t>
  </si>
  <si>
    <t xml:space="preserve">TK-06251</t>
  </si>
  <si>
    <t xml:space="preserve">TK-06252</t>
  </si>
  <si>
    <t xml:space="preserve">TK-06253</t>
  </si>
  <si>
    <t xml:space="preserve">TK-06254</t>
  </si>
  <si>
    <t xml:space="preserve">TK-06255</t>
  </si>
  <si>
    <t xml:space="preserve">TK-06256</t>
  </si>
  <si>
    <t xml:space="preserve">TK-06257</t>
  </si>
  <si>
    <t xml:space="preserve">TK-06258</t>
  </si>
  <si>
    <t xml:space="preserve">TK-06259</t>
  </si>
  <si>
    <t xml:space="preserve">TK-06260</t>
  </si>
  <si>
    <t xml:space="preserve">TK-06261</t>
  </si>
  <si>
    <t xml:space="preserve">TK-06262</t>
  </si>
  <si>
    <t xml:space="preserve">TK-06263</t>
  </si>
  <si>
    <t xml:space="preserve">TK-06264</t>
  </si>
  <si>
    <t xml:space="preserve">TK-06265</t>
  </si>
  <si>
    <t xml:space="preserve">TK-06266</t>
  </si>
  <si>
    <t xml:space="preserve">TK-06267</t>
  </si>
  <si>
    <t xml:space="preserve">TK-06268</t>
  </si>
  <si>
    <t xml:space="preserve">TK-06269</t>
  </si>
  <si>
    <t xml:space="preserve">TK-06270</t>
  </si>
  <si>
    <t xml:space="preserve">TK-06271</t>
  </si>
  <si>
    <t xml:space="preserve">TK-06272</t>
  </si>
  <si>
    <t xml:space="preserve">TK-06273</t>
  </si>
  <si>
    <t xml:space="preserve">TK-06274</t>
  </si>
  <si>
    <t xml:space="preserve">TK-06275</t>
  </si>
  <si>
    <t xml:space="preserve">TK-06276</t>
  </si>
  <si>
    <t xml:space="preserve">TK-06277</t>
  </si>
  <si>
    <t xml:space="preserve">TK-06278</t>
  </si>
  <si>
    <t xml:space="preserve">TK-06279</t>
  </si>
  <si>
    <t xml:space="preserve">TK-06280</t>
  </si>
  <si>
    <t xml:space="preserve">TK-06281</t>
  </si>
  <si>
    <t xml:space="preserve">TK-06282</t>
  </si>
  <si>
    <t xml:space="preserve">TK-06283</t>
  </si>
  <si>
    <t xml:space="preserve">TK-06284</t>
  </si>
  <si>
    <t xml:space="preserve">TK-06285</t>
  </si>
  <si>
    <t xml:space="preserve">TK-06286</t>
  </si>
  <si>
    <t xml:space="preserve">TK-06287</t>
  </si>
  <si>
    <t xml:space="preserve">TK-06288</t>
  </si>
  <si>
    <t xml:space="preserve">TK-06289</t>
  </si>
  <si>
    <t xml:space="preserve">TK-06290</t>
  </si>
  <si>
    <t xml:space="preserve">TK-06291</t>
  </si>
  <si>
    <t xml:space="preserve">TK-06292</t>
  </si>
  <si>
    <t xml:space="preserve">TK-06293</t>
  </si>
  <si>
    <t xml:space="preserve">TK-06294</t>
  </si>
  <si>
    <t xml:space="preserve">TK-06295</t>
  </si>
  <si>
    <t xml:space="preserve">TK-06296</t>
  </si>
  <si>
    <t xml:space="preserve">TK-06297</t>
  </si>
  <si>
    <t xml:space="preserve">TK-06298</t>
  </si>
  <si>
    <t xml:space="preserve">TK-06299</t>
  </si>
  <si>
    <t xml:space="preserve">TK-06300</t>
  </si>
  <si>
    <t xml:space="preserve">TK-06301</t>
  </si>
  <si>
    <t xml:space="preserve">TK-06302</t>
  </si>
  <si>
    <t xml:space="preserve">TK-06303</t>
  </si>
  <si>
    <t xml:space="preserve">TK-06304</t>
  </si>
  <si>
    <t xml:space="preserve">TK-06305</t>
  </si>
  <si>
    <t xml:space="preserve">TK-06306</t>
  </si>
  <si>
    <t xml:space="preserve">TK-06307</t>
  </si>
  <si>
    <t xml:space="preserve">TK-06308</t>
  </si>
  <si>
    <t xml:space="preserve">TK-06309</t>
  </si>
  <si>
    <t xml:space="preserve">TK-06310</t>
  </si>
  <si>
    <t xml:space="preserve">TK-06311</t>
  </si>
  <si>
    <t xml:space="preserve">TK-06312</t>
  </si>
  <si>
    <t xml:space="preserve">TK-06313</t>
  </si>
  <si>
    <t xml:space="preserve">TK-06314</t>
  </si>
  <si>
    <t xml:space="preserve">TK-06315</t>
  </si>
  <si>
    <t xml:space="preserve">TK-06316</t>
  </si>
  <si>
    <t xml:space="preserve">TK-06317</t>
  </si>
  <si>
    <t xml:space="preserve">TK-06318</t>
  </si>
  <si>
    <t xml:space="preserve">TK-06319</t>
  </si>
  <si>
    <t xml:space="preserve">TK-06320</t>
  </si>
  <si>
    <t xml:space="preserve">TK-06321</t>
  </si>
  <si>
    <t xml:space="preserve">TK-06322</t>
  </si>
  <si>
    <t xml:space="preserve">TK-06323</t>
  </si>
  <si>
    <t xml:space="preserve">TK-06324</t>
  </si>
  <si>
    <t xml:space="preserve">TK-06325</t>
  </si>
  <si>
    <t xml:space="preserve">TK-06326</t>
  </si>
  <si>
    <t xml:space="preserve">TK-06327</t>
  </si>
  <si>
    <t xml:space="preserve">TK-06328</t>
  </si>
  <si>
    <t xml:space="preserve">TK-06329</t>
  </si>
  <si>
    <t xml:space="preserve">TK-06330</t>
  </si>
  <si>
    <t xml:space="preserve">TK-06331</t>
  </si>
  <si>
    <t xml:space="preserve">TK-06332</t>
  </si>
  <si>
    <t xml:space="preserve">TK-06333</t>
  </si>
  <si>
    <t xml:space="preserve">TK-06334</t>
  </si>
  <si>
    <t xml:space="preserve">TK-06335</t>
  </si>
  <si>
    <t xml:space="preserve">TK-06336</t>
  </si>
  <si>
    <t xml:space="preserve">TK-06337</t>
  </si>
  <si>
    <t xml:space="preserve">TK-06338</t>
  </si>
  <si>
    <t xml:space="preserve">TK-06339</t>
  </si>
  <si>
    <t xml:space="preserve">TK-06340</t>
  </si>
  <si>
    <t xml:space="preserve">TK-06341</t>
  </si>
  <si>
    <t xml:space="preserve">TK-06342</t>
  </si>
  <si>
    <t xml:space="preserve">TK-06343</t>
  </si>
  <si>
    <t xml:space="preserve">TK-06344</t>
  </si>
  <si>
    <t xml:space="preserve">TK-06345</t>
  </si>
  <si>
    <t xml:space="preserve">TK-06346</t>
  </si>
  <si>
    <t xml:space="preserve">TK-06347</t>
  </si>
  <si>
    <t xml:space="preserve">TK-06348</t>
  </si>
  <si>
    <t xml:space="preserve">TK-06349</t>
  </si>
  <si>
    <t xml:space="preserve">TK-06350</t>
  </si>
  <si>
    <t xml:space="preserve">TK-06351</t>
  </si>
  <si>
    <t xml:space="preserve">TK-06352</t>
  </si>
  <si>
    <t xml:space="preserve">TK-06353</t>
  </si>
  <si>
    <t xml:space="preserve">TK-06354</t>
  </si>
  <si>
    <t xml:space="preserve">TK-06355</t>
  </si>
  <si>
    <t xml:space="preserve">TK-06356</t>
  </si>
  <si>
    <t xml:space="preserve">TK-06357</t>
  </si>
  <si>
    <t xml:space="preserve">TK-06358</t>
  </si>
  <si>
    <t xml:space="preserve">TK-06359</t>
  </si>
  <si>
    <t xml:space="preserve">TK-06360</t>
  </si>
  <si>
    <t xml:space="preserve">TK-06361</t>
  </si>
  <si>
    <t xml:space="preserve">TK-06362</t>
  </si>
  <si>
    <t xml:space="preserve">TK-06363</t>
  </si>
  <si>
    <t xml:space="preserve">TK-06364</t>
  </si>
  <si>
    <t xml:space="preserve">TK-06365</t>
  </si>
  <si>
    <t xml:space="preserve">TK-06366</t>
  </si>
  <si>
    <t xml:space="preserve">TK-06367</t>
  </si>
  <si>
    <t xml:space="preserve">TK-06368</t>
  </si>
  <si>
    <t xml:space="preserve">TK-06369</t>
  </si>
  <si>
    <t xml:space="preserve">TK-06370</t>
  </si>
  <si>
    <t xml:space="preserve">TK-06371</t>
  </si>
  <si>
    <t xml:space="preserve">TK-06372</t>
  </si>
  <si>
    <t xml:space="preserve">TK-06373</t>
  </si>
  <si>
    <t xml:space="preserve">TK-06374</t>
  </si>
  <si>
    <t xml:space="preserve">TK-06375</t>
  </si>
  <si>
    <t xml:space="preserve">TK-06376</t>
  </si>
  <si>
    <t xml:space="preserve">TK-06377</t>
  </si>
  <si>
    <t xml:space="preserve">TK-06378</t>
  </si>
  <si>
    <t xml:space="preserve">TK-06379</t>
  </si>
  <si>
    <t xml:space="preserve">TK-06380</t>
  </si>
  <si>
    <t xml:space="preserve">TK-06381</t>
  </si>
  <si>
    <t xml:space="preserve">TK-06382</t>
  </si>
  <si>
    <t xml:space="preserve">TK-06383</t>
  </si>
  <si>
    <t xml:space="preserve">TK-06384</t>
  </si>
  <si>
    <t xml:space="preserve">TK-06385</t>
  </si>
  <si>
    <t xml:space="preserve">TK-06386</t>
  </si>
  <si>
    <t xml:space="preserve">TK-06387</t>
  </si>
  <si>
    <t xml:space="preserve">TK-06388</t>
  </si>
  <si>
    <t xml:space="preserve">TK-06389</t>
  </si>
  <si>
    <t xml:space="preserve">TK-06390</t>
  </si>
  <si>
    <t xml:space="preserve">TK-06391</t>
  </si>
  <si>
    <t xml:space="preserve">TK-06392</t>
  </si>
  <si>
    <t xml:space="preserve">TK-06393</t>
  </si>
  <si>
    <t xml:space="preserve">TK-06394</t>
  </si>
  <si>
    <t xml:space="preserve">TK-06395</t>
  </si>
  <si>
    <t xml:space="preserve">TK-06396</t>
  </si>
  <si>
    <t xml:space="preserve">TK-06397</t>
  </si>
  <si>
    <t xml:space="preserve">TK-06398</t>
  </si>
  <si>
    <t xml:space="preserve">TK-06399</t>
  </si>
  <si>
    <t xml:space="preserve">TK-06400</t>
  </si>
  <si>
    <t xml:space="preserve">TK-06401</t>
  </si>
  <si>
    <t xml:space="preserve">TK-06402</t>
  </si>
  <si>
    <t xml:space="preserve">TK-06403</t>
  </si>
  <si>
    <t xml:space="preserve">TK-06404</t>
  </si>
  <si>
    <t xml:space="preserve">TK-06405</t>
  </si>
  <si>
    <t xml:space="preserve">TK-06406</t>
  </si>
  <si>
    <t xml:space="preserve">TK-06407</t>
  </si>
  <si>
    <t xml:space="preserve">TK-06408</t>
  </si>
  <si>
    <t xml:space="preserve">TK-06409</t>
  </si>
  <si>
    <t xml:space="preserve">TK-06410</t>
  </si>
  <si>
    <t xml:space="preserve">TK-06411</t>
  </si>
  <si>
    <t xml:space="preserve">TK-06412</t>
  </si>
  <si>
    <t xml:space="preserve">TK-06413</t>
  </si>
  <si>
    <t xml:space="preserve">TK-06414</t>
  </si>
  <si>
    <t xml:space="preserve">TK-06415</t>
  </si>
  <si>
    <t xml:space="preserve">TK-06416</t>
  </si>
  <si>
    <t xml:space="preserve">TK-06417</t>
  </si>
  <si>
    <t xml:space="preserve">TK-06418</t>
  </si>
  <si>
    <t xml:space="preserve">TK-06419</t>
  </si>
  <si>
    <t xml:space="preserve">TK-06420</t>
  </si>
  <si>
    <t xml:space="preserve">TK-06421</t>
  </si>
  <si>
    <t xml:space="preserve">TK-06422</t>
  </si>
  <si>
    <t xml:space="preserve">TK-06423</t>
  </si>
  <si>
    <t xml:space="preserve">TK-06424</t>
  </si>
  <si>
    <t xml:space="preserve">TK-06425</t>
  </si>
  <si>
    <t xml:space="preserve">TK-06426</t>
  </si>
  <si>
    <t xml:space="preserve">TK-06427</t>
  </si>
  <si>
    <t xml:space="preserve">TK-06428</t>
  </si>
  <si>
    <t xml:space="preserve">TK-06429</t>
  </si>
  <si>
    <t xml:space="preserve">TK-06430</t>
  </si>
  <si>
    <t xml:space="preserve">TK-06431</t>
  </si>
  <si>
    <t xml:space="preserve">TK-06432</t>
  </si>
  <si>
    <t xml:space="preserve">TK-06433</t>
  </si>
  <si>
    <t xml:space="preserve">TK-06434</t>
  </si>
  <si>
    <t xml:space="preserve">TK-06435</t>
  </si>
  <si>
    <t xml:space="preserve">TK-06436</t>
  </si>
  <si>
    <t xml:space="preserve">TK-06437</t>
  </si>
  <si>
    <t xml:space="preserve">TK-06438</t>
  </si>
  <si>
    <t xml:space="preserve">TK-06439</t>
  </si>
  <si>
    <t xml:space="preserve">TK-06440</t>
  </si>
  <si>
    <t xml:space="preserve">TK-06441</t>
  </si>
  <si>
    <t xml:space="preserve">TK-06442</t>
  </si>
  <si>
    <t xml:space="preserve">TK-06443</t>
  </si>
  <si>
    <t xml:space="preserve">TK-06444</t>
  </si>
  <si>
    <t xml:space="preserve">TK-06445</t>
  </si>
  <si>
    <t xml:space="preserve">TK-06446</t>
  </si>
  <si>
    <t xml:space="preserve">TK-06447</t>
  </si>
  <si>
    <t xml:space="preserve">TK-06448</t>
  </si>
  <si>
    <t xml:space="preserve">TK-06449</t>
  </si>
  <si>
    <t xml:space="preserve">TK-06450</t>
  </si>
  <si>
    <t xml:space="preserve">TK-06451</t>
  </si>
  <si>
    <t xml:space="preserve">TK-06452</t>
  </si>
  <si>
    <t xml:space="preserve">TK-06453</t>
  </si>
  <si>
    <t xml:space="preserve">TK-06454</t>
  </si>
  <si>
    <t xml:space="preserve">TK-06455</t>
  </si>
  <si>
    <t xml:space="preserve">TK-06456</t>
  </si>
  <si>
    <t xml:space="preserve">TK-06457</t>
  </si>
  <si>
    <t xml:space="preserve">TK-06458</t>
  </si>
  <si>
    <t xml:space="preserve">TK-06459</t>
  </si>
  <si>
    <t xml:space="preserve">TK-06460</t>
  </si>
  <si>
    <t xml:space="preserve">TK-06461</t>
  </si>
  <si>
    <t xml:space="preserve">TK-06462</t>
  </si>
  <si>
    <t xml:space="preserve">TK-06463</t>
  </si>
  <si>
    <t xml:space="preserve">TK-06464</t>
  </si>
  <si>
    <t xml:space="preserve">TK-06465</t>
  </si>
  <si>
    <t xml:space="preserve">TK-06466</t>
  </si>
  <si>
    <t xml:space="preserve">TK-06467</t>
  </si>
  <si>
    <t xml:space="preserve">TK-06468</t>
  </si>
  <si>
    <t xml:space="preserve">TK-06469</t>
  </si>
  <si>
    <t xml:space="preserve">TK-06470</t>
  </si>
  <si>
    <t xml:space="preserve">TK-06471</t>
  </si>
  <si>
    <t xml:space="preserve">TK-06472</t>
  </si>
  <si>
    <t xml:space="preserve">TK-06473</t>
  </si>
  <si>
    <t xml:space="preserve">TK-06474</t>
  </si>
  <si>
    <t xml:space="preserve">TK-06475</t>
  </si>
  <si>
    <t xml:space="preserve">TK-06476</t>
  </si>
  <si>
    <t xml:space="preserve">TK-06477</t>
  </si>
  <si>
    <t xml:space="preserve">TK-06478</t>
  </si>
  <si>
    <t xml:space="preserve">TK-06479</t>
  </si>
  <si>
    <t xml:space="preserve">TK-06480</t>
  </si>
  <si>
    <t xml:space="preserve">TK-06481</t>
  </si>
  <si>
    <t xml:space="preserve">TK-06482</t>
  </si>
  <si>
    <t xml:space="preserve">TK-06483</t>
  </si>
  <si>
    <t xml:space="preserve">TK-06484</t>
  </si>
  <si>
    <t xml:space="preserve">TK-06485</t>
  </si>
  <si>
    <t xml:space="preserve">TK-06486</t>
  </si>
  <si>
    <t xml:space="preserve">TK-06487</t>
  </si>
  <si>
    <t xml:space="preserve">TK-06488</t>
  </si>
  <si>
    <t xml:space="preserve">TK-06489</t>
  </si>
  <si>
    <t xml:space="preserve">TK-06490</t>
  </si>
  <si>
    <t xml:space="preserve">TK-06491</t>
  </si>
  <si>
    <t xml:space="preserve">TK-06492</t>
  </si>
  <si>
    <t xml:space="preserve">TK-06493</t>
  </si>
  <si>
    <t xml:space="preserve">TK-06494</t>
  </si>
  <si>
    <t xml:space="preserve">TK-06495</t>
  </si>
  <si>
    <t xml:space="preserve">TK-06496</t>
  </si>
  <si>
    <t xml:space="preserve">TK-06497</t>
  </si>
  <si>
    <t xml:space="preserve">TK-06498</t>
  </si>
  <si>
    <t xml:space="preserve">TK-06499</t>
  </si>
  <si>
    <t xml:space="preserve">TK-06500</t>
  </si>
  <si>
    <t xml:space="preserve">TK-06501</t>
  </si>
  <si>
    <t xml:space="preserve">TK-06502</t>
  </si>
  <si>
    <t xml:space="preserve">TK-06503</t>
  </si>
  <si>
    <t xml:space="preserve">TK-06504</t>
  </si>
  <si>
    <t xml:space="preserve">TK-06505</t>
  </si>
  <si>
    <t xml:space="preserve">TK-06506</t>
  </si>
  <si>
    <t xml:space="preserve">TK-06507</t>
  </si>
  <si>
    <t xml:space="preserve">TK-06508</t>
  </si>
  <si>
    <t xml:space="preserve">TK-06509</t>
  </si>
  <si>
    <t xml:space="preserve">TK-06510</t>
  </si>
  <si>
    <t xml:space="preserve">TK-06511</t>
  </si>
  <si>
    <t xml:space="preserve">TK-06512</t>
  </si>
  <si>
    <t xml:space="preserve">TK-06513</t>
  </si>
  <si>
    <t xml:space="preserve">TK-06514</t>
  </si>
  <si>
    <t xml:space="preserve">TK-06515</t>
  </si>
  <si>
    <t xml:space="preserve">TK-06516</t>
  </si>
  <si>
    <t xml:space="preserve">TK-06517</t>
  </si>
  <si>
    <t xml:space="preserve">TK-06518</t>
  </si>
  <si>
    <t xml:space="preserve">TK-06519</t>
  </si>
  <si>
    <t xml:space="preserve">TK-06520</t>
  </si>
  <si>
    <t xml:space="preserve">TK-06521</t>
  </si>
  <si>
    <t xml:space="preserve">TK-06522</t>
  </si>
  <si>
    <t xml:space="preserve">TK-06523</t>
  </si>
  <si>
    <t xml:space="preserve">TK-06524</t>
  </si>
  <si>
    <t xml:space="preserve">TK-06525</t>
  </si>
  <si>
    <t xml:space="preserve">TK-06526</t>
  </si>
  <si>
    <t xml:space="preserve">TK-06527</t>
  </si>
  <si>
    <t xml:space="preserve">TK-06528</t>
  </si>
  <si>
    <t xml:space="preserve">TK-06529</t>
  </si>
  <si>
    <t xml:space="preserve">TK-06530</t>
  </si>
  <si>
    <t xml:space="preserve">TK-06531</t>
  </si>
  <si>
    <t xml:space="preserve">TK-06532</t>
  </si>
  <si>
    <t xml:space="preserve">TK-06533</t>
  </si>
  <si>
    <t xml:space="preserve">TK-06534</t>
  </si>
  <si>
    <t xml:space="preserve">TK-06535</t>
  </si>
  <si>
    <t xml:space="preserve">TK-06536</t>
  </si>
  <si>
    <t xml:space="preserve">TK-06537</t>
  </si>
  <si>
    <t xml:space="preserve">TK-06538</t>
  </si>
  <si>
    <t xml:space="preserve">TK-06539</t>
  </si>
  <si>
    <t xml:space="preserve">TK-06540</t>
  </si>
  <si>
    <t xml:space="preserve">TK-06541</t>
  </si>
  <si>
    <t xml:space="preserve">TK-06542</t>
  </si>
  <si>
    <t xml:space="preserve">TK-06543</t>
  </si>
  <si>
    <t xml:space="preserve">TK-06544</t>
  </si>
  <si>
    <t xml:space="preserve">TK-06545</t>
  </si>
  <si>
    <t xml:space="preserve">TK-06546</t>
  </si>
  <si>
    <t xml:space="preserve">TK-06547</t>
  </si>
  <si>
    <t xml:space="preserve">TK-06548</t>
  </si>
  <si>
    <t xml:space="preserve">TK-06549</t>
  </si>
  <si>
    <t xml:space="preserve">TK-06550</t>
  </si>
  <si>
    <t xml:space="preserve">TK-06551</t>
  </si>
  <si>
    <t xml:space="preserve">TK-06552</t>
  </si>
  <si>
    <t xml:space="preserve">TK-06553</t>
  </si>
  <si>
    <t xml:space="preserve">TK-06554</t>
  </si>
  <si>
    <t xml:space="preserve">TK-06555</t>
  </si>
  <si>
    <t xml:space="preserve">TK-06556</t>
  </si>
  <si>
    <t xml:space="preserve">TK-06557</t>
  </si>
  <si>
    <t xml:space="preserve">TK-06558</t>
  </si>
  <si>
    <t xml:space="preserve">TK-06559</t>
  </si>
  <si>
    <t xml:space="preserve">TK-06560</t>
  </si>
  <si>
    <t xml:space="preserve">TK-06561</t>
  </si>
  <si>
    <t xml:space="preserve">TK-06562</t>
  </si>
  <si>
    <t xml:space="preserve">TK-06563</t>
  </si>
  <si>
    <t xml:space="preserve">TK-06564</t>
  </si>
  <si>
    <t xml:space="preserve">TK-06565</t>
  </si>
  <si>
    <t xml:space="preserve">TK-06566</t>
  </si>
  <si>
    <t xml:space="preserve">TK-06567</t>
  </si>
  <si>
    <t xml:space="preserve">TK-06568</t>
  </si>
  <si>
    <t xml:space="preserve">TK-06569</t>
  </si>
  <si>
    <t xml:space="preserve">TK-06570</t>
  </si>
  <si>
    <t xml:space="preserve">TK-06571</t>
  </si>
  <si>
    <t xml:space="preserve">TK-06572</t>
  </si>
  <si>
    <t xml:space="preserve">TK-06573</t>
  </si>
  <si>
    <t xml:space="preserve">TK-06574</t>
  </si>
  <si>
    <t xml:space="preserve">TK-06575</t>
  </si>
  <si>
    <t xml:space="preserve">TK-06576</t>
  </si>
  <si>
    <t xml:space="preserve">TK-06577</t>
  </si>
  <si>
    <t xml:space="preserve">TK-06578</t>
  </si>
  <si>
    <t xml:space="preserve">TK-06579</t>
  </si>
  <si>
    <t xml:space="preserve">TK-06580</t>
  </si>
  <si>
    <t xml:space="preserve">TK-06581</t>
  </si>
  <si>
    <t xml:space="preserve">TK-06582</t>
  </si>
  <si>
    <t xml:space="preserve">TK-06583</t>
  </si>
  <si>
    <t xml:space="preserve">TK-06584</t>
  </si>
  <si>
    <t xml:space="preserve">TK-06585</t>
  </si>
  <si>
    <t xml:space="preserve">TK-06586</t>
  </si>
  <si>
    <t xml:space="preserve">TK-06587</t>
  </si>
  <si>
    <t xml:space="preserve">TK-06588</t>
  </si>
  <si>
    <t xml:space="preserve">TK-06589</t>
  </si>
  <si>
    <t xml:space="preserve">TK-06590</t>
  </si>
  <si>
    <t xml:space="preserve">TK-06591</t>
  </si>
  <si>
    <t xml:space="preserve">TK-06592</t>
  </si>
  <si>
    <t xml:space="preserve">TK-06593</t>
  </si>
  <si>
    <t xml:space="preserve">TK-06594</t>
  </si>
  <si>
    <t xml:space="preserve">TK-06595</t>
  </si>
  <si>
    <t xml:space="preserve">TK-06596</t>
  </si>
  <si>
    <t xml:space="preserve">TK-06597</t>
  </si>
  <si>
    <t xml:space="preserve">TK-06598</t>
  </si>
  <si>
    <t xml:space="preserve">TK-06599</t>
  </si>
  <si>
    <t xml:space="preserve">TK-06600</t>
  </si>
  <si>
    <t xml:space="preserve">TK-06601</t>
  </si>
  <si>
    <t xml:space="preserve">TK-06602</t>
  </si>
  <si>
    <t xml:space="preserve">TK-06603</t>
  </si>
  <si>
    <t xml:space="preserve">TK-06604</t>
  </si>
  <si>
    <t xml:space="preserve">TK-06605</t>
  </si>
  <si>
    <t xml:space="preserve">TK-06606</t>
  </si>
  <si>
    <t xml:space="preserve">TK-06607</t>
  </si>
  <si>
    <t xml:space="preserve">TK-06608</t>
  </si>
  <si>
    <t xml:space="preserve">TK-06609</t>
  </si>
  <si>
    <t xml:space="preserve">TK-06610</t>
  </si>
  <si>
    <t xml:space="preserve">TK-06611</t>
  </si>
  <si>
    <t xml:space="preserve">TK-06612</t>
  </si>
  <si>
    <t xml:space="preserve">TK-06613</t>
  </si>
  <si>
    <t xml:space="preserve">TK-06614</t>
  </si>
  <si>
    <t xml:space="preserve">TK-06615</t>
  </si>
  <si>
    <t xml:space="preserve">TK-06616</t>
  </si>
  <si>
    <t xml:space="preserve">TK-06617</t>
  </si>
  <si>
    <t xml:space="preserve">TK-06618</t>
  </si>
  <si>
    <t xml:space="preserve">TK-06619</t>
  </si>
  <si>
    <t xml:space="preserve">TK-06620</t>
  </si>
  <si>
    <t xml:space="preserve">TK-06621</t>
  </si>
  <si>
    <t xml:space="preserve">TK-06622</t>
  </si>
  <si>
    <t xml:space="preserve">TK-06623</t>
  </si>
  <si>
    <t xml:space="preserve">TK-06624</t>
  </si>
  <si>
    <t xml:space="preserve">TK-06625</t>
  </si>
  <si>
    <t xml:space="preserve">TK-06626</t>
  </si>
  <si>
    <t xml:space="preserve">TK-06627</t>
  </si>
  <si>
    <t xml:space="preserve">TK-06628</t>
  </si>
  <si>
    <t xml:space="preserve">TK-06629</t>
  </si>
  <si>
    <t xml:space="preserve">TK-06630</t>
  </si>
  <si>
    <t xml:space="preserve">TK-06631</t>
  </si>
  <si>
    <t xml:space="preserve">TK-06632</t>
  </si>
  <si>
    <t xml:space="preserve">TK-06633</t>
  </si>
  <si>
    <t xml:space="preserve">TK-06634</t>
  </si>
  <si>
    <t xml:space="preserve">TK-06635</t>
  </si>
  <si>
    <t xml:space="preserve">TK-06636</t>
  </si>
  <si>
    <t xml:space="preserve">TK-06637</t>
  </si>
  <si>
    <t xml:space="preserve">TK-06638</t>
  </si>
  <si>
    <t xml:space="preserve">TK-06639</t>
  </si>
  <si>
    <t xml:space="preserve">TK-06640</t>
  </si>
  <si>
    <t xml:space="preserve">TK-06641</t>
  </si>
  <si>
    <t xml:space="preserve">TK-06642</t>
  </si>
  <si>
    <t xml:space="preserve">TK-06643</t>
  </si>
  <si>
    <t xml:space="preserve">TK-06644</t>
  </si>
  <si>
    <t xml:space="preserve">TK-06645</t>
  </si>
  <si>
    <t xml:space="preserve">TK-06646</t>
  </si>
  <si>
    <t xml:space="preserve">TK-06647</t>
  </si>
  <si>
    <t xml:space="preserve">TK-06648</t>
  </si>
  <si>
    <t xml:space="preserve">TK-06649</t>
  </si>
  <si>
    <t xml:space="preserve">TK-06650</t>
  </si>
  <si>
    <t xml:space="preserve">TK-06651</t>
  </si>
  <si>
    <t xml:space="preserve">TK-06652</t>
  </si>
  <si>
    <t xml:space="preserve">TK-06653</t>
  </si>
  <si>
    <t xml:space="preserve">TK-06654</t>
  </si>
  <si>
    <t xml:space="preserve">TK-06655</t>
  </si>
  <si>
    <t xml:space="preserve">TK-06656</t>
  </si>
  <si>
    <t xml:space="preserve">TK-06657</t>
  </si>
  <si>
    <t xml:space="preserve">TK-06658</t>
  </si>
  <si>
    <t xml:space="preserve">TK-06659</t>
  </si>
  <si>
    <t xml:space="preserve">TK-06660</t>
  </si>
  <si>
    <t xml:space="preserve">TK-06661</t>
  </si>
  <si>
    <t xml:space="preserve">TK-06662</t>
  </si>
  <si>
    <t xml:space="preserve">TK-06663</t>
  </si>
  <si>
    <t xml:space="preserve">TK-06664</t>
  </si>
  <si>
    <t xml:space="preserve">TK-06665</t>
  </si>
  <si>
    <t xml:space="preserve">TK-06666</t>
  </si>
  <si>
    <t xml:space="preserve">TK-06667</t>
  </si>
  <si>
    <t xml:space="preserve">TK-06668</t>
  </si>
  <si>
    <t xml:space="preserve">TK-06669</t>
  </si>
  <si>
    <t xml:space="preserve">TK-06670</t>
  </si>
  <si>
    <t xml:space="preserve">TK-06671</t>
  </si>
  <si>
    <t xml:space="preserve">TK-06672</t>
  </si>
  <si>
    <t xml:space="preserve">TK-06673</t>
  </si>
  <si>
    <t xml:space="preserve">TK-06674</t>
  </si>
  <si>
    <t xml:space="preserve">TK-06675</t>
  </si>
  <si>
    <t xml:space="preserve">TK-06676</t>
  </si>
  <si>
    <t xml:space="preserve">TK-06677</t>
  </si>
  <si>
    <t xml:space="preserve">TK-06678</t>
  </si>
  <si>
    <t xml:space="preserve">TK-06679</t>
  </si>
  <si>
    <t xml:space="preserve">TK-06680</t>
  </si>
  <si>
    <t xml:space="preserve">TK-06681</t>
  </si>
  <si>
    <t xml:space="preserve">TK-06682</t>
  </si>
  <si>
    <t xml:space="preserve">TK-06683</t>
  </si>
  <si>
    <t xml:space="preserve">TK-06684</t>
  </si>
  <si>
    <t xml:space="preserve">TK-06685</t>
  </si>
  <si>
    <t xml:space="preserve">TK-06686</t>
  </si>
  <si>
    <t xml:space="preserve">TK-06687</t>
  </si>
  <si>
    <t xml:space="preserve">TK-06688</t>
  </si>
  <si>
    <t xml:space="preserve">TK-06689</t>
  </si>
  <si>
    <t xml:space="preserve">TK-06690</t>
  </si>
  <si>
    <t xml:space="preserve">TK-06691</t>
  </si>
  <si>
    <t xml:space="preserve">TK-06692</t>
  </si>
  <si>
    <t xml:space="preserve">TK-06693</t>
  </si>
  <si>
    <t xml:space="preserve">TK-06694</t>
  </si>
  <si>
    <t xml:space="preserve">TK-06695</t>
  </si>
  <si>
    <t xml:space="preserve">TK-06696</t>
  </si>
  <si>
    <t xml:space="preserve">TK-06697</t>
  </si>
  <si>
    <t xml:space="preserve">TK-06698</t>
  </si>
  <si>
    <t xml:space="preserve">TK-06699</t>
  </si>
  <si>
    <t xml:space="preserve">TK-06700</t>
  </si>
  <si>
    <t xml:space="preserve">TK-06701</t>
  </si>
  <si>
    <t xml:space="preserve">TK-06702</t>
  </si>
  <si>
    <t xml:space="preserve">TK-06703</t>
  </si>
  <si>
    <t xml:space="preserve">TK-06704</t>
  </si>
  <si>
    <t xml:space="preserve">TK-06705</t>
  </si>
  <si>
    <t xml:space="preserve">TK-06706</t>
  </si>
  <si>
    <t xml:space="preserve">TK-06707</t>
  </si>
  <si>
    <t xml:space="preserve">TK-06708</t>
  </si>
  <si>
    <t xml:space="preserve">TK-06709</t>
  </si>
  <si>
    <t xml:space="preserve">TK-06710</t>
  </si>
  <si>
    <t xml:space="preserve">TK-06711</t>
  </si>
  <si>
    <t xml:space="preserve">TK-06712</t>
  </si>
  <si>
    <t xml:space="preserve">TK-06713</t>
  </si>
  <si>
    <t xml:space="preserve">TK-06714</t>
  </si>
  <si>
    <t xml:space="preserve">TK-06715</t>
  </si>
  <si>
    <t xml:space="preserve">TK-06716</t>
  </si>
  <si>
    <t xml:space="preserve">TK-06717</t>
  </si>
  <si>
    <t xml:space="preserve">TK-06718</t>
  </si>
  <si>
    <t xml:space="preserve">TK-06719</t>
  </si>
  <si>
    <t xml:space="preserve">TK-06720</t>
  </si>
  <si>
    <t xml:space="preserve">TK-06721</t>
  </si>
  <si>
    <t xml:space="preserve">TK-06722</t>
  </si>
  <si>
    <t xml:space="preserve">TK-06723</t>
  </si>
  <si>
    <t xml:space="preserve">TK-06724</t>
  </si>
  <si>
    <t xml:space="preserve">TK-06725</t>
  </si>
  <si>
    <t xml:space="preserve">TK-06726</t>
  </si>
  <si>
    <t xml:space="preserve">TK-06727</t>
  </si>
  <si>
    <t xml:space="preserve">TK-06728</t>
  </si>
  <si>
    <t xml:space="preserve">TK-06729</t>
  </si>
  <si>
    <t xml:space="preserve">TK-06730</t>
  </si>
  <si>
    <t xml:space="preserve">TK-06731</t>
  </si>
  <si>
    <t xml:space="preserve">TK-06732</t>
  </si>
  <si>
    <t xml:space="preserve">TK-06733</t>
  </si>
  <si>
    <t xml:space="preserve">TK-06734</t>
  </si>
  <si>
    <t xml:space="preserve">TK-06735</t>
  </si>
  <si>
    <t xml:space="preserve">TK-06736</t>
  </si>
  <si>
    <t xml:space="preserve">TK-06737</t>
  </si>
  <si>
    <t xml:space="preserve">TK-06738</t>
  </si>
  <si>
    <t xml:space="preserve">TK-06739</t>
  </si>
  <si>
    <t xml:space="preserve">TK-06740</t>
  </si>
  <si>
    <t xml:space="preserve">TK-06741</t>
  </si>
  <si>
    <t xml:space="preserve">TK-06742</t>
  </si>
  <si>
    <t xml:space="preserve">TK-06743</t>
  </si>
  <si>
    <t xml:space="preserve">TK-06744</t>
  </si>
  <si>
    <t xml:space="preserve">TK-06745</t>
  </si>
  <si>
    <t xml:space="preserve">TK-06746</t>
  </si>
  <si>
    <t xml:space="preserve">TK-06747</t>
  </si>
  <si>
    <t xml:space="preserve">TK-06748</t>
  </si>
  <si>
    <t xml:space="preserve">TK-06749</t>
  </si>
  <si>
    <t xml:space="preserve">TK-06750</t>
  </si>
  <si>
    <t xml:space="preserve">TK-06751</t>
  </si>
  <si>
    <t xml:space="preserve">TK-06752</t>
  </si>
  <si>
    <t xml:space="preserve">TK-06753</t>
  </si>
  <si>
    <t xml:space="preserve">TK-06754</t>
  </si>
  <si>
    <t xml:space="preserve">TK-06755</t>
  </si>
  <si>
    <t xml:space="preserve">TK-06756</t>
  </si>
  <si>
    <t xml:space="preserve">TK-06757</t>
  </si>
  <si>
    <t xml:space="preserve">TK-06758</t>
  </si>
  <si>
    <t xml:space="preserve">TK-06759</t>
  </si>
  <si>
    <t xml:space="preserve">TK-06760</t>
  </si>
  <si>
    <t xml:space="preserve">TK-06761</t>
  </si>
  <si>
    <t xml:space="preserve">TK-06762</t>
  </si>
  <si>
    <t xml:space="preserve">TK-06763</t>
  </si>
  <si>
    <t xml:space="preserve">TK-06764</t>
  </si>
  <si>
    <t xml:space="preserve">TK-06765</t>
  </si>
  <si>
    <t xml:space="preserve">TK-06766</t>
  </si>
  <si>
    <t xml:space="preserve">TK-06767</t>
  </si>
  <si>
    <t xml:space="preserve">TK-06768</t>
  </si>
  <si>
    <t xml:space="preserve">TK-06769</t>
  </si>
  <si>
    <t xml:space="preserve">TK-06770</t>
  </si>
  <si>
    <t xml:space="preserve">TK-06771</t>
  </si>
  <si>
    <t xml:space="preserve">TK-06772</t>
  </si>
  <si>
    <t xml:space="preserve">TK-06773</t>
  </si>
  <si>
    <t xml:space="preserve">TK-06774</t>
  </si>
  <si>
    <t xml:space="preserve">TK-06775</t>
  </si>
  <si>
    <t xml:space="preserve">TK-06776</t>
  </si>
  <si>
    <t xml:space="preserve">TK-06777</t>
  </si>
  <si>
    <t xml:space="preserve">TK-06778</t>
  </si>
  <si>
    <t xml:space="preserve">TK-06779</t>
  </si>
  <si>
    <t xml:space="preserve">TK-06780</t>
  </si>
  <si>
    <t xml:space="preserve">TK-06781</t>
  </si>
  <si>
    <t xml:space="preserve">TK-06782</t>
  </si>
  <si>
    <t xml:space="preserve">TK-06783</t>
  </si>
  <si>
    <t xml:space="preserve">TK-06784</t>
  </si>
  <si>
    <t xml:space="preserve">TK-06785</t>
  </si>
  <si>
    <t xml:space="preserve">TK-06786</t>
  </si>
  <si>
    <t xml:space="preserve">TK-06787</t>
  </si>
  <si>
    <t xml:space="preserve">TK-06788</t>
  </si>
  <si>
    <t xml:space="preserve">TK-06789</t>
  </si>
  <si>
    <t xml:space="preserve">TK-06790</t>
  </si>
  <si>
    <t xml:space="preserve">TK-06791</t>
  </si>
  <si>
    <t xml:space="preserve">TK-06792</t>
  </si>
  <si>
    <t xml:space="preserve">TK-06793</t>
  </si>
  <si>
    <t xml:space="preserve">TK-06794</t>
  </si>
  <si>
    <t xml:space="preserve">TK-06795</t>
  </si>
  <si>
    <t xml:space="preserve">TK-06796</t>
  </si>
  <si>
    <t xml:space="preserve">TK-06797</t>
  </si>
  <si>
    <t xml:space="preserve">TK-06798</t>
  </si>
  <si>
    <t xml:space="preserve">TK-06799</t>
  </si>
  <si>
    <t xml:space="preserve">TK-06800</t>
  </si>
  <si>
    <t xml:space="preserve">TK-06801</t>
  </si>
  <si>
    <t xml:space="preserve">TK-06802</t>
  </si>
  <si>
    <t xml:space="preserve">TK-06803</t>
  </si>
  <si>
    <t xml:space="preserve">TK-06804</t>
  </si>
  <si>
    <t xml:space="preserve">TK-06805</t>
  </si>
  <si>
    <t xml:space="preserve">TK-06806</t>
  </si>
  <si>
    <t xml:space="preserve">TK-06807</t>
  </si>
  <si>
    <t xml:space="preserve">TK-06808</t>
  </si>
  <si>
    <t xml:space="preserve">TK-06809</t>
  </si>
  <si>
    <t xml:space="preserve">TK-06810</t>
  </si>
  <si>
    <t xml:space="preserve">TK-06811</t>
  </si>
  <si>
    <t xml:space="preserve">TK-06812</t>
  </si>
  <si>
    <t xml:space="preserve">TK-06813</t>
  </si>
  <si>
    <t xml:space="preserve">TK-06814</t>
  </si>
  <si>
    <t xml:space="preserve">TK-06815</t>
  </si>
  <si>
    <t xml:space="preserve">TK-06816</t>
  </si>
  <si>
    <t xml:space="preserve">TK-06817</t>
  </si>
  <si>
    <t xml:space="preserve">TK-06818</t>
  </si>
  <si>
    <t xml:space="preserve">TK-06819</t>
  </si>
  <si>
    <t xml:space="preserve">TK-06820</t>
  </si>
  <si>
    <t xml:space="preserve">TK-06821</t>
  </si>
  <si>
    <t xml:space="preserve">TK-06822</t>
  </si>
  <si>
    <t xml:space="preserve">TK-06823</t>
  </si>
  <si>
    <t xml:space="preserve">TK-06824</t>
  </si>
  <si>
    <t xml:space="preserve">TK-06825</t>
  </si>
  <si>
    <t xml:space="preserve">TK-06826</t>
  </si>
  <si>
    <t xml:space="preserve">TK-06827</t>
  </si>
  <si>
    <t xml:space="preserve">TK-06828</t>
  </si>
  <si>
    <t xml:space="preserve">TK-06829</t>
  </si>
  <si>
    <t xml:space="preserve">TK-06830</t>
  </si>
  <si>
    <t xml:space="preserve">TK-06831</t>
  </si>
  <si>
    <t xml:space="preserve">TK-06832</t>
  </si>
  <si>
    <t xml:space="preserve">TK-06833</t>
  </si>
  <si>
    <t xml:space="preserve">TK-06834</t>
  </si>
  <si>
    <t xml:space="preserve">TK-06835</t>
  </si>
  <si>
    <t xml:space="preserve">TK-06836</t>
  </si>
  <si>
    <t xml:space="preserve">TK-06837</t>
  </si>
  <si>
    <t xml:space="preserve">TK-06838</t>
  </si>
  <si>
    <t xml:space="preserve">TK-06839</t>
  </si>
  <si>
    <t xml:space="preserve">TK-06840</t>
  </si>
  <si>
    <t xml:space="preserve">TK-06841</t>
  </si>
  <si>
    <t xml:space="preserve">TK-06842</t>
  </si>
  <si>
    <t xml:space="preserve">TK-06843</t>
  </si>
  <si>
    <t xml:space="preserve">TK-06844</t>
  </si>
  <si>
    <t xml:space="preserve">TK-06845</t>
  </si>
  <si>
    <t xml:space="preserve">TK-06846</t>
  </si>
  <si>
    <t xml:space="preserve">TK-06847</t>
  </si>
  <si>
    <t xml:space="preserve">TK-06848</t>
  </si>
  <si>
    <t xml:space="preserve">TK-06849</t>
  </si>
  <si>
    <t xml:space="preserve">TK-06850</t>
  </si>
  <si>
    <t xml:space="preserve">TK-06851</t>
  </si>
  <si>
    <t xml:space="preserve">TK-06852</t>
  </si>
  <si>
    <t xml:space="preserve">TK-06853</t>
  </si>
  <si>
    <t xml:space="preserve">TK-06854</t>
  </si>
  <si>
    <t xml:space="preserve">TK-06855</t>
  </si>
  <si>
    <t xml:space="preserve">TK-06856</t>
  </si>
  <si>
    <t xml:space="preserve">TK-06857</t>
  </si>
  <si>
    <t xml:space="preserve">TK-06858</t>
  </si>
  <si>
    <t xml:space="preserve">TK-06859</t>
  </si>
  <si>
    <t xml:space="preserve">TK-06860</t>
  </si>
  <si>
    <t xml:space="preserve">TK-06861</t>
  </si>
  <si>
    <t xml:space="preserve">TK-06862</t>
  </si>
  <si>
    <t xml:space="preserve">TK-06863</t>
  </si>
  <si>
    <t xml:space="preserve">TK-06864</t>
  </si>
  <si>
    <t xml:space="preserve">TK-06865</t>
  </si>
  <si>
    <t xml:space="preserve">TK-06866</t>
  </si>
  <si>
    <t xml:space="preserve">TK-06867</t>
  </si>
  <si>
    <t xml:space="preserve">TK-06868</t>
  </si>
  <si>
    <t xml:space="preserve">TK-06869</t>
  </si>
  <si>
    <t xml:space="preserve">TK-06870</t>
  </si>
  <si>
    <t xml:space="preserve">TK-06871</t>
  </si>
  <si>
    <t xml:space="preserve">TK-06872</t>
  </si>
  <si>
    <t xml:space="preserve">TK-06873</t>
  </si>
  <si>
    <t xml:space="preserve">TK-06874</t>
  </si>
  <si>
    <t xml:space="preserve">TK-06875</t>
  </si>
  <si>
    <t xml:space="preserve">TK-06876</t>
  </si>
  <si>
    <t xml:space="preserve">TK-06877</t>
  </si>
  <si>
    <t xml:space="preserve">TK-06878</t>
  </si>
  <si>
    <t xml:space="preserve">TK-06879</t>
  </si>
  <si>
    <t xml:space="preserve">TK-06880</t>
  </si>
  <si>
    <t xml:space="preserve">TK-06881</t>
  </si>
  <si>
    <t xml:space="preserve">TK-06882</t>
  </si>
  <si>
    <t xml:space="preserve">TK-06883</t>
  </si>
  <si>
    <t xml:space="preserve">TK-06884</t>
  </si>
  <si>
    <t xml:space="preserve">TK-06885</t>
  </si>
  <si>
    <t xml:space="preserve">TK-06886</t>
  </si>
  <si>
    <t xml:space="preserve">TK-06887</t>
  </si>
  <si>
    <t xml:space="preserve">TK-06888</t>
  </si>
  <si>
    <t xml:space="preserve">TK-06889</t>
  </si>
  <si>
    <t xml:space="preserve">TK-06890</t>
  </si>
  <si>
    <t xml:space="preserve">TK-06891</t>
  </si>
  <si>
    <t xml:space="preserve">TK-06892</t>
  </si>
  <si>
    <t xml:space="preserve">TK-06893</t>
  </si>
  <si>
    <t xml:space="preserve">TK-06894</t>
  </si>
  <si>
    <t xml:space="preserve">TK-06895</t>
  </si>
  <si>
    <t xml:space="preserve">TK-06896</t>
  </si>
  <si>
    <t xml:space="preserve">TK-06897</t>
  </si>
  <si>
    <t xml:space="preserve">TK-06898</t>
  </si>
  <si>
    <t xml:space="preserve">TK-06899</t>
  </si>
  <si>
    <t xml:space="preserve">TK-06900</t>
  </si>
  <si>
    <t xml:space="preserve">TK-06901</t>
  </si>
  <si>
    <t xml:space="preserve">TK-06902</t>
  </si>
  <si>
    <t xml:space="preserve">TK-06903</t>
  </si>
  <si>
    <t xml:space="preserve">TK-06904</t>
  </si>
  <si>
    <t xml:space="preserve">TK-06905</t>
  </si>
  <si>
    <t xml:space="preserve">TK-06906</t>
  </si>
  <si>
    <t xml:space="preserve">TK-06907</t>
  </si>
  <si>
    <t xml:space="preserve">TK-06908</t>
  </si>
  <si>
    <t xml:space="preserve">TK-06909</t>
  </si>
  <si>
    <t xml:space="preserve">TK-06910</t>
  </si>
  <si>
    <t xml:space="preserve">TK-06911</t>
  </si>
  <si>
    <t xml:space="preserve">TK-06912</t>
  </si>
  <si>
    <t xml:space="preserve">TK-06913</t>
  </si>
  <si>
    <t xml:space="preserve">TK-06914</t>
  </si>
  <si>
    <t xml:space="preserve">TK-06915</t>
  </si>
  <si>
    <t xml:space="preserve">TK-06916</t>
  </si>
  <si>
    <t xml:space="preserve">TK-06917</t>
  </si>
  <si>
    <t xml:space="preserve">TK-06918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</si>
</sst>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"/>
    <numFmt numFmtId="168" formatCode="0.00"/>
    <numFmt numFmtId="169" formatCode="mmm\ yyyy"/>
    <numFmt numFmtId="170" formatCode="0"/>
    <numFmt numFmtId="171" formatCode="yyyy\-mm\-dd"/>
    <numFmt numFmtId="17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5C1A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5C1A1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5C1A1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C1A1B"/>
        <bgColor rgb="FF800000"/>
      </patternFill>
    </fill>
    <fill>
      <patternFill patternType="solid">
        <fgColor rgb="FFF6EFE2"/>
        <bgColor rgb="FFFFFFFF"/>
      </patternFill>
    </fill>
    <fill>
      <patternFill patternType="solid">
        <fgColor rgb="FFC9A66B"/>
        <bgColor rgb="FFF4B6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5C1A1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C1A1B"/>
      <rgbColor rgb="FF008000"/>
      <rgbColor rgb="FF000080"/>
      <rgbColor rgb="FF7F6000"/>
      <rgbColor rgb="FF800080"/>
      <rgbColor rgb="FF008080"/>
      <rgbColor rgb="FFC6E0B4"/>
      <rgbColor rgb="FF878787"/>
      <rgbColor rgb="FF9999FF"/>
      <rgbColor rgb="FF993366"/>
      <rgbColor rgb="FFF6EFE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C9A66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Resolution SLA %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Dashboard!F25</c:f>
              <c:strCache>
                <c:ptCount val="1"/>
                <c:pt idx="0">
                  <c:v>Resolution SLA %</c:v>
                </c:pt>
              </c:strCache>
            </c:strRef>
          </c:tx>
          <c:spPr>
            <a:solidFill>
              <a:srgbClr val="5c1a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Dashboard!$A$26:$A$29</c:f>
              <c:strCache>
                <c:ptCount val="4"/>
                <c:pt idx="0">
                  <c:v>Urgent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Dashboard!$F$26:$F$29</c:f>
              <c:numCache>
                <c:formatCode>0.0%</c:formatCode>
                <c:ptCount val="4"/>
                <c:pt idx="0">
                  <c:v>0.571808510638298</c:v>
                </c:pt>
                <c:pt idx="1">
                  <c:v>0.655723158828749</c:v>
                </c:pt>
                <c:pt idx="2">
                  <c:v>0.824897400820793</c:v>
                </c:pt>
                <c:pt idx="3">
                  <c:v>0.945652173913044</c:v>
                </c:pt>
              </c:numCache>
            </c:numRef>
          </c:val>
        </c:ser>
        <c:gapWidth val="150"/>
        <c:overlap val="0"/>
        <c:axId val="79379145"/>
        <c:axId val="98322879"/>
      </c:barChart>
      <c:catAx>
        <c:axId val="793791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22879"/>
        <c:crosses val="autoZero"/>
        <c:auto val="1"/>
        <c:lblAlgn val="ctr"/>
        <c:lblOffset val="100"/>
        <c:noMultiLvlLbl val="0"/>
      </c:catAx>
      <c:valAx>
        <c:axId val="98322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791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first response by channel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Dashboard!C34</c:f>
              <c:strCache>
                <c:ptCount val="1"/>
                <c:pt idx="0">
                  <c:v>Avg First Response (min)</c:v>
                </c:pt>
              </c:strCache>
            </c:strRef>
          </c:tx>
          <c:spPr>
            <a:solidFill>
              <a:srgbClr val="c9a6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Dashboard!$A$35:$A$38</c:f>
              <c:strCache>
                <c:ptCount val="4"/>
                <c:pt idx="0">
                  <c:v>Chat</c:v>
                </c:pt>
                <c:pt idx="1">
                  <c:v>WhatsApp</c:v>
                </c:pt>
                <c:pt idx="2">
                  <c:v>Email</c:v>
                </c:pt>
                <c:pt idx="3">
                  <c:v>Phone</c:v>
                </c:pt>
              </c:strCache>
            </c:strRef>
          </c:cat>
          <c:val>
            <c:numRef>
              <c:f>Dashboard!$C$35:$C$38</c:f>
              <c:numCache>
                <c:formatCode>0.0</c:formatCode>
                <c:ptCount val="4"/>
                <c:pt idx="0">
                  <c:v>5.63150218765192</c:v>
                </c:pt>
                <c:pt idx="1">
                  <c:v>14.8612137203166</c:v>
                </c:pt>
                <c:pt idx="2">
                  <c:v>102.751928020566</c:v>
                </c:pt>
                <c:pt idx="3">
                  <c:v>2.91276595744681</c:v>
                </c:pt>
              </c:numCache>
            </c:numRef>
          </c:val>
        </c:ser>
        <c:gapWidth val="150"/>
        <c:overlap val="0"/>
        <c:axId val="91255122"/>
        <c:axId val="82615891"/>
      </c:barChart>
      <c:catAx>
        <c:axId val="91255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15891"/>
        <c:crosses val="autoZero"/>
        <c:auto val="1"/>
        <c:lblAlgn val="ctr"/>
        <c:lblOffset val="100"/>
        <c:noMultiLvlLbl val="0"/>
      </c:catAx>
      <c:valAx>
        <c:axId val="826158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55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Dashboard!B50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5c1a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Dashboard!$A$51:$A$55</c:f>
              <c:strCache>
                <c:ptCount val="5"/>
                <c:pt idx="0">
                  <c:v>Technical</c:v>
                </c:pt>
                <c:pt idx="1">
                  <c:v>Billing</c:v>
                </c:pt>
                <c:pt idx="2">
                  <c:v>Delivery</c:v>
                </c:pt>
                <c:pt idx="3">
                  <c:v>Account</c:v>
                </c:pt>
                <c:pt idx="4">
                  <c:v>Refund</c:v>
                </c:pt>
              </c:strCache>
            </c:strRef>
          </c:cat>
          <c:val>
            <c:numRef>
              <c:f>Dashboard!$B$51:$B$55</c:f>
              <c:numCache>
                <c:formatCode>#,##0</c:formatCode>
                <c:ptCount val="5"/>
                <c:pt idx="0">
                  <c:v>2053</c:v>
                </c:pt>
                <c:pt idx="1">
                  <c:v>1717</c:v>
                </c:pt>
                <c:pt idx="2">
                  <c:v>1405</c:v>
                </c:pt>
                <c:pt idx="3">
                  <c:v>955</c:v>
                </c:pt>
                <c:pt idx="4">
                  <c:v>788</c:v>
                </c:pt>
              </c:numCache>
            </c:numRef>
          </c:val>
        </c:ser>
        <c:gapWidth val="150"/>
        <c:overlap val="0"/>
        <c:axId val="20309866"/>
        <c:axId val="75550468"/>
      </c:barChart>
      <c:catAx>
        <c:axId val="203098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50468"/>
        <c:crosses val="autoZero"/>
        <c:auto val="1"/>
        <c:lblAlgn val="ctr"/>
        <c:lblOffset val="100"/>
        <c:noMultiLvlLbl val="0"/>
      </c:catAx>
      <c:valAx>
        <c:axId val="75550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09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Dashboard!B66</c:f>
              <c:strCache>
                <c:ptCount val="1"/>
                <c:pt idx="0">
                  <c:v>Tickets</c:v>
                </c:pt>
              </c:strCache>
            </c:strRef>
          </c:tx>
          <c:spPr>
            <a:solidFill>
              <a:srgbClr val="c9a6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Dashboard!$A$67:$A$73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Dashboard!$B$67:$B$73</c:f>
              <c:numCache>
                <c:formatCode>#,##0</c:formatCode>
                <c:ptCount val="7"/>
                <c:pt idx="0">
                  <c:v>1269</c:v>
                </c:pt>
                <c:pt idx="1">
                  <c:v>1092</c:v>
                </c:pt>
                <c:pt idx="2">
                  <c:v>1167</c:v>
                </c:pt>
                <c:pt idx="3">
                  <c:v>1054</c:v>
                </c:pt>
                <c:pt idx="4">
                  <c:v>1119</c:v>
                </c:pt>
                <c:pt idx="5">
                  <c:v>701</c:v>
                </c:pt>
                <c:pt idx="6">
                  <c:v>516</c:v>
                </c:pt>
              </c:numCache>
            </c:numRef>
          </c:val>
        </c:ser>
        <c:gapWidth val="150"/>
        <c:overlap val="0"/>
        <c:axId val="598544"/>
        <c:axId val="55364814"/>
      </c:barChart>
      <c:catAx>
        <c:axId val="59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64814"/>
        <c:crosses val="autoZero"/>
        <c:auto val="1"/>
        <c:lblAlgn val="ctr"/>
        <c:lblOffset val="100"/>
        <c:noMultiLvlLbl val="0"/>
      </c:catAx>
      <c:valAx>
        <c:axId val="55364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16</xdr:row>
      <xdr:rowOff>0</xdr:rowOff>
    </xdr:from>
    <xdr:to>
      <xdr:col>13</xdr:col>
      <xdr:colOff>199080</xdr:colOff>
      <xdr:row>26</xdr:row>
      <xdr:rowOff>89640</xdr:rowOff>
    </xdr:to>
    <xdr:graphicFrame>
      <xdr:nvGraphicFramePr>
        <xdr:cNvPr id="0" name="Chart 1"/>
        <xdr:cNvGraphicFramePr/>
      </xdr:nvGraphicFramePr>
      <xdr:xfrm>
        <a:off x="9092520" y="4038480"/>
        <a:ext cx="503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11</xdr:col>
      <xdr:colOff>990360</xdr:colOff>
      <xdr:row>44</xdr:row>
      <xdr:rowOff>89640</xdr:rowOff>
    </xdr:to>
    <xdr:graphicFrame>
      <xdr:nvGraphicFramePr>
        <xdr:cNvPr id="1" name="Chart 2"/>
        <xdr:cNvGraphicFramePr/>
      </xdr:nvGraphicFramePr>
      <xdr:xfrm>
        <a:off x="8035200" y="7658280"/>
        <a:ext cx="52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49</xdr:row>
      <xdr:rowOff>0</xdr:rowOff>
    </xdr:from>
    <xdr:to>
      <xdr:col>13</xdr:col>
      <xdr:colOff>379080</xdr:colOff>
      <xdr:row>60</xdr:row>
      <xdr:rowOff>89640</xdr:rowOff>
    </xdr:to>
    <xdr:graphicFrame>
      <xdr:nvGraphicFramePr>
        <xdr:cNvPr id="2" name="Chart 3"/>
        <xdr:cNvGraphicFramePr/>
      </xdr:nvGraphicFramePr>
      <xdr:xfrm>
        <a:off x="9092520" y="10896480"/>
        <a:ext cx="52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65</xdr:row>
      <xdr:rowOff>0</xdr:rowOff>
    </xdr:from>
    <xdr:to>
      <xdr:col>9</xdr:col>
      <xdr:colOff>450720</xdr:colOff>
      <xdr:row>76</xdr:row>
      <xdr:rowOff>167760</xdr:rowOff>
    </xdr:to>
    <xdr:graphicFrame>
      <xdr:nvGraphicFramePr>
        <xdr:cNvPr id="3" name="Chart 4"/>
        <xdr:cNvGraphicFramePr/>
      </xdr:nvGraphicFramePr>
      <xdr:xfrm>
        <a:off x="5920920" y="14135040"/>
        <a:ext cx="46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33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31.5" hidden="false" customHeight="true" outlineLevel="0" collapsed="false">
      <c r="A5" s="5" t="s">
        <v>3</v>
      </c>
      <c r="B5" s="5"/>
    </row>
    <row r="7" customFormat="false" ht="15" hidden="false" customHeight="false" outlineLevel="0" collapsed="false">
      <c r="A7" s="3" t="s">
        <v>4</v>
      </c>
      <c r="B7" s="4"/>
    </row>
    <row r="8" customFormat="false" ht="18" hidden="false" customHeight="true" outlineLevel="0" collapsed="false">
      <c r="A8" s="5" t="s">
        <v>5</v>
      </c>
      <c r="B8" s="5"/>
    </row>
    <row r="9" customFormat="false" ht="18" hidden="false" customHeight="true" outlineLevel="0" collapsed="false">
      <c r="A9" s="5" t="s">
        <v>6</v>
      </c>
      <c r="B9" s="5"/>
    </row>
    <row r="10" customFormat="false" ht="18" hidden="false" customHeight="true" outlineLevel="0" collapsed="false">
      <c r="A10" s="5" t="s">
        <v>7</v>
      </c>
      <c r="B10" s="5"/>
    </row>
    <row r="11" customFormat="false" ht="18" hidden="false" customHeight="true" outlineLevel="0" collapsed="false">
      <c r="A11" s="5" t="s">
        <v>8</v>
      </c>
      <c r="B11" s="5"/>
    </row>
    <row r="12" customFormat="false" ht="18" hidden="false" customHeight="true" outlineLevel="0" collapsed="false">
      <c r="A12" s="5" t="s">
        <v>9</v>
      </c>
      <c r="B12" s="5"/>
    </row>
    <row r="14" customFormat="false" ht="15" hidden="false" customHeight="false" outlineLevel="0" collapsed="false">
      <c r="A14" s="3" t="s">
        <v>10</v>
      </c>
      <c r="B14" s="4"/>
    </row>
    <row r="15" customFormat="false" ht="31.5" hidden="false" customHeight="true" outlineLevel="0" collapsed="false">
      <c r="A15" s="5" t="s">
        <v>11</v>
      </c>
      <c r="B15" s="5"/>
    </row>
    <row r="16" customFormat="false" ht="18" hidden="false" customHeight="true" outlineLevel="0" collapsed="false">
      <c r="A16" s="5" t="s">
        <v>12</v>
      </c>
      <c r="B16" s="5"/>
    </row>
    <row r="17" customFormat="false" ht="18" hidden="false" customHeight="true" outlineLevel="0" collapsed="false">
      <c r="A17" s="5" t="s">
        <v>13</v>
      </c>
      <c r="B17" s="5"/>
    </row>
    <row r="18" customFormat="false" ht="31.5" hidden="false" customHeight="true" outlineLevel="0" collapsed="false">
      <c r="A18" s="5" t="s">
        <v>14</v>
      </c>
      <c r="B18" s="5"/>
    </row>
    <row r="20" customFormat="false" ht="15" hidden="false" customHeight="false" outlineLevel="0" collapsed="false">
      <c r="A20" s="3" t="s">
        <v>15</v>
      </c>
      <c r="B20" s="4"/>
    </row>
    <row r="21" customFormat="false" ht="18" hidden="false" customHeight="true" outlineLevel="0" collapsed="false">
      <c r="A21" s="5" t="s">
        <v>16</v>
      </c>
      <c r="B21" s="5"/>
    </row>
    <row r="22" customFormat="false" ht="18" hidden="false" customHeight="true" outlineLevel="0" collapsed="false">
      <c r="A22" s="5" t="s">
        <v>17</v>
      </c>
      <c r="B22" s="5"/>
    </row>
    <row r="23" customFormat="false" ht="18" hidden="false" customHeight="true" outlineLevel="0" collapsed="false">
      <c r="A23" s="5" t="s">
        <v>18</v>
      </c>
      <c r="B23" s="5"/>
    </row>
    <row r="24" customFormat="false" ht="31.5" hidden="false" customHeight="true" outlineLevel="0" collapsed="false">
      <c r="A24" s="5" t="s">
        <v>19</v>
      </c>
      <c r="B24" s="5"/>
    </row>
    <row r="26" customFormat="false" ht="15" hidden="false" customHeight="false" outlineLevel="0" collapsed="false">
      <c r="A26" s="3" t="s">
        <v>20</v>
      </c>
      <c r="B26" s="4"/>
    </row>
    <row r="27" customFormat="false" ht="18" hidden="false" customHeight="true" outlineLevel="0" collapsed="false">
      <c r="A27" s="5" t="s">
        <v>21</v>
      </c>
      <c r="B27" s="5"/>
    </row>
    <row r="28" customFormat="false" ht="18" hidden="false" customHeight="true" outlineLevel="0" collapsed="false">
      <c r="A28" s="5" t="s">
        <v>22</v>
      </c>
      <c r="B28" s="5"/>
    </row>
    <row r="29" customFormat="false" ht="18" hidden="false" customHeight="true" outlineLevel="0" collapsed="false">
      <c r="A29" s="5" t="s">
        <v>23</v>
      </c>
      <c r="B29" s="5"/>
    </row>
    <row r="31" customFormat="false" ht="15" hidden="false" customHeight="false" outlineLevel="0" collapsed="false">
      <c r="A31" s="3" t="s">
        <v>24</v>
      </c>
      <c r="B31" s="4"/>
    </row>
    <row r="32" customFormat="false" ht="18" hidden="false" customHeight="true" outlineLevel="0" collapsed="false">
      <c r="A32" s="5" t="s">
        <v>25</v>
      </c>
      <c r="B32" s="5"/>
    </row>
    <row r="33" customFormat="false" ht="18" hidden="false" customHeight="true" outlineLevel="0" collapsed="false">
      <c r="A33" s="5" t="s">
        <v>26</v>
      </c>
      <c r="B33" s="5"/>
    </row>
    <row r="34" customFormat="false" ht="18" hidden="false" customHeight="true" outlineLevel="0" collapsed="false">
      <c r="A34" s="5" t="s">
        <v>27</v>
      </c>
      <c r="B34" s="5"/>
    </row>
    <row r="35" customFormat="false" ht="18" hidden="false" customHeight="true" outlineLevel="0" collapsed="false">
      <c r="A35" s="5" t="s">
        <v>28</v>
      </c>
      <c r="B35" s="5"/>
    </row>
  </sheetData>
  <mergeCells count="23">
    <mergeCell ref="A1:B1"/>
    <mergeCell ref="A2:B2"/>
    <mergeCell ref="A5:B5"/>
    <mergeCell ref="A8:B8"/>
    <mergeCell ref="A9:B9"/>
    <mergeCell ref="A10:B10"/>
    <mergeCell ref="A11:B11"/>
    <mergeCell ref="A12:B12"/>
    <mergeCell ref="A15:B15"/>
    <mergeCell ref="A16:B16"/>
    <mergeCell ref="A17:B17"/>
    <mergeCell ref="A18:B18"/>
    <mergeCell ref="A21:B21"/>
    <mergeCell ref="A22:B22"/>
    <mergeCell ref="A23:B23"/>
    <mergeCell ref="A24:B24"/>
    <mergeCell ref="A27:B27"/>
    <mergeCell ref="A28:B28"/>
    <mergeCell ref="A29:B29"/>
    <mergeCell ref="A32:B32"/>
    <mergeCell ref="A33:B33"/>
    <mergeCell ref="A34:B34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5"/>
  </cols>
  <sheetData>
    <row r="1" customFormat="false" ht="36" hidden="false" customHeight="true" outlineLevel="0" collapsed="false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false" outlineLevel="0" collapsed="false">
      <c r="A2" s="2" t="str">
        <f aca="false">"Fictional Kenyan e-commerce and delivery company  |  Synthetic data  |  "&amp;TEXT(Assumptions!B5,"d mmm yyyy")&amp;" to "&amp;TEXT(Assumptions!B4,"d mmm yyyy")&amp;"  |  Prepared by BZME Insights"</f>
        <v>Fictional Kenyan e-commerce and delivery company  |  Synthetic data  |  1 Jul 2026 to 30 Sep 2026  |  Prepared by BZME Insights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7" t="s">
        <v>30</v>
      </c>
      <c r="B4" s="7"/>
      <c r="C4" s="7" t="s">
        <v>31</v>
      </c>
      <c r="D4" s="7"/>
      <c r="E4" s="7" t="s">
        <v>32</v>
      </c>
      <c r="F4" s="7"/>
      <c r="G4" s="7" t="s">
        <v>33</v>
      </c>
      <c r="H4" s="7"/>
      <c r="I4" s="7" t="s">
        <v>34</v>
      </c>
      <c r="J4" s="7"/>
      <c r="K4" s="7" t="s">
        <v>35</v>
      </c>
      <c r="L4" s="7"/>
    </row>
    <row r="5" customFormat="false" ht="31.5" hidden="false" customHeight="true" outlineLevel="0" collapsed="false">
      <c r="A5" s="8" t="n">
        <f aca="false">COUNTA(Tickets!$A$2:$A$6919)</f>
        <v>6918</v>
      </c>
      <c r="B5" s="8"/>
      <c r="C5" s="9" t="n">
        <f aca="false">COUNTIF(Tickets!$N$2:$N$6919,"Yes")/COUNTA(Tickets!$A$2:$A$6919)</f>
        <v>0.879011274934952</v>
      </c>
      <c r="D5" s="9"/>
      <c r="E5" s="9" t="n">
        <f aca="false">COUNTIF(Tickets!$O$2:$O$6919,"Yes")/(COUNTIF(Tickets!$O$2:$O$6919,"Yes")+COUNTIF(Tickets!$O$2:$O$6919,"No"))</f>
        <v>0.814743896601245</v>
      </c>
      <c r="F5" s="9"/>
      <c r="G5" s="10" t="n">
        <f aca="false">AVERAGE(Tickets!$H$2:$H$6919)</f>
        <v>16.121254188607</v>
      </c>
      <c r="H5" s="10"/>
      <c r="I5" s="11" t="n">
        <f aca="false">AVERAGE(Tickets!$J$2:$J$6919)</f>
        <v>4.13817330210773</v>
      </c>
      <c r="J5" s="11"/>
      <c r="K5" s="8" t="n">
        <f aca="false">COUNTIF(Tickets!$I$2:$I$6919,"Open")</f>
        <v>651</v>
      </c>
      <c r="L5" s="8"/>
    </row>
    <row r="7" customFormat="false" ht="15" hidden="false" customHeight="false" outlineLevel="0" collapsed="false">
      <c r="A7" s="12" t="s">
        <v>36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customFormat="false" ht="19.5" hidden="false" customHeight="true" outlineLevel="0" collapsed="false">
      <c r="A8" s="13" t="str">
        <f aca="false">"1. The team handled "&amp;TEXT(A5,"#,##0")&amp;" tickets in "&amp;Assumptions!B6&amp;" months. Response SLA is "&amp;TEXT(C5,"0.0%")&amp;" (target "&amp;TEXT(Assumptions!B7,"0%")&amp;"), resolution SLA "&amp;TEXT(E5,"0.0%")&amp;" (target "&amp;TEXT(Assumptions!B8,"0%")&amp;"), CSAT "&amp;TEXT(I5,"0.00")&amp;" (target "&amp;TEXT(Assumptions!B9,"0.0")&amp;")."</f>
        <v>1. The team handled 6,918 tickets in 3 months. Response SLA is 87.9% (target 90%), resolution SLA 81.5% (target 85%), CSAT 4.14 (target 4.2).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customFormat="false" ht="19.5" hidden="false" customHeight="true" outlineLevel="0" collapsed="false">
      <c r="A9" s="13" t="str">
        <f aca="false">"2. "&amp;INDEX(A26:A29,MATCH(MIN(F26:F29),F26:F29,0))&amp;" tickets have the weakest resolution SLA ("&amp;TEXT(MIN(F26:F29),"0%")&amp;"), while "&amp;INDEX(A26:A29,MATCH(MAX(F26:F29),F26:F29,0))&amp;" tickets reach "&amp;TEXT(MAX(F26:F29),"0%")&amp;"."</f>
        <v>2. Urgent tickets have the weakest resolution SLA (57%), while Low tickets reach 95%.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19.5" hidden="false" customHeight="true" outlineLevel="0" collapsed="false">
      <c r="A10" s="13" t="str">
        <f aca="false">"3. "&amp;INDEX(A35:A38,MATCH(MAX(C35:C38),C35:C38,0))&amp;" is the slowest channel for first response (average "&amp;TEXT(MAX(C35:C38),"0")&amp;" minutes) and "&amp;INDEX(A35:A38,MATCH(MIN(C35:C38),C35:C38,0))&amp;" the fastest ("&amp;TEXT(MIN(C35:C38),"0")&amp;")."</f>
        <v>3. Email is the slowest channel for first response (average 103 minutes) and Phone the fastest (3).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19.5" hidden="false" customHeight="true" outlineLevel="0" collapsed="false">
      <c r="A11" s="13" t="str">
        <f aca="false">"4. "&amp;INDEX(A51:A55,MATCH(MIN(D51:D55),D51:D55,0))&amp;" has the lowest resolution SLA ("&amp;TEXT(MIN(D51:D55),"0%")&amp;"); "&amp;INDEX(A51:A55,MATCH(MAX(E51:E55),E51:E55,0))&amp;" has the highest reopen rate ("&amp;TEXT(MAX(E51:E55),"0.0%")&amp;")."</f>
        <v>4. Refund has the lowest resolution SLA (56%); Account has the highest reopen rate (8.8%).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19.5" hidden="false" customHeight="true" outlineLevel="0" collapsed="false">
      <c r="A12" s="13" t="str">
        <f aca="false">"5. "&amp;K5&amp;" tickets are open, and "&amp;COUNTIFS(Tickets!$I$2:$I$6919,"Open",Tickets!$B$2:$B$6919,"&lt;"&amp;(Assumptions!B4-Assumptions!B11))&amp;" of them are older than "&amp;Assumptions!B11&amp;" days (aged backlog)."</f>
        <v>5. 651 tickets are open, and 415 of them are older than 3 days (aged backlog).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9.5" hidden="false" customHeight="true" outlineLevel="0" collapsed="false">
      <c r="A13" s="13" t="str">
        <f aca="false">"6. "&amp;INDEX(A67:A73,MATCH(MAX(B67:B73),B67:B73,0))&amp;" is the busiest day ("&amp;TEXT(MAX(C67:C73),"0")&amp;" tickets per day on average) - schedule extra cover."</f>
        <v>6. Monday is the busiest day (98 tickets per day on average) - schedule extra cover.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19.5" hidden="false" customHeight="true" outlineLevel="0" collapsed="false">
      <c r="A14" s="13" t="str">
        <f aca="false">"7. "&amp;B93&amp;" of "&amp;COUNTA(Agents!$A$2:$A$19)&amp;" agents miss all three targets and need coaching, and "&amp;B92&amp;" are on watch. Top performer: "&amp;B84&amp;"."</f>
        <v>7. 6 of 18 agents miss all three targets and need coaching, and 7 are on watch. Top performer: AG11.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customFormat="false" ht="19.5" hidden="false" customHeight="true" outlineLevel="0" collapsed="false">
      <c r="A15" s="13" t="str">
        <f aca="false">"8. Escalated tickets average CSAT "&amp;TEXT(IFERROR(AVERAGEIFS(Tickets!$J$2:$J$6919,Tickets!$I$2:$I$6919,"Escalated"),0),"0.00")&amp;" versus "&amp;TEXT(IFERROR(AVERAGEIFS(Tickets!$J$2:$J$6919,Tickets!$I$2:$I$6919,"Resolved"),0),"0.00")&amp;" for resolved tickets - escalation hurts satisfaction."</f>
        <v>8. Escalated tickets average CSAT 3.15 versus 4.20 for resolved tickets - escalation hurts satisfaction.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7" customFormat="false" ht="15" hidden="false" customHeight="false" outlineLevel="0" collapsed="false">
      <c r="A17" s="12" t="s">
        <v>37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30" hidden="false" customHeight="true" outlineLevel="0" collapsed="false">
      <c r="A18" s="14" t="s">
        <v>38</v>
      </c>
      <c r="B18" s="14" t="s">
        <v>39</v>
      </c>
      <c r="C18" s="14" t="s">
        <v>40</v>
      </c>
      <c r="D18" s="14" t="s">
        <v>41</v>
      </c>
      <c r="E18" s="14" t="s">
        <v>42</v>
      </c>
      <c r="F18" s="14" t="s">
        <v>43</v>
      </c>
      <c r="G18" s="14" t="s">
        <v>44</v>
      </c>
    </row>
    <row r="19" customFormat="false" ht="15" hidden="false" customHeight="false" outlineLevel="0" collapsed="false">
      <c r="A19" s="15" t="n">
        <f aca="false">DATE(YEAR(Assumptions!$B$5),MONTH(Assumptions!$B$5),1)</f>
        <v>46204</v>
      </c>
      <c r="B19" s="16" t="str">
        <f aca="false">TEXT(A19,"mmm")</f>
        <v>Jul</v>
      </c>
      <c r="C19" s="17" t="n">
        <f aca="false">COUNTIFS(Tickets!$L$2:$L$6919,A19)</f>
        <v>2251</v>
      </c>
      <c r="D19" s="18" t="n">
        <f aca="false">IFERROR(COUNTIFS(Tickets!$L$2:$L$6919,A19,Tickets!$N$2:$N$6919,"Yes")/C19,0)</f>
        <v>0.878720568636162</v>
      </c>
      <c r="E19" s="18" t="n">
        <f aca="false">IFERROR(COUNTIFS(Tickets!$L$2:$L$6919,A19,Tickets!$O$2:$O$6919,"Yes")/(COUNTIFS(Tickets!$L$2:$L$6919,A19,Tickets!$O$2:$O$6919,"Yes")+COUNTIFS(Tickets!$L$2:$L$6919,A19,Tickets!$O$2:$O$6919,"No")),0)</f>
        <v>0.822010869565217</v>
      </c>
      <c r="F19" s="19" t="n">
        <f aca="false">IFERROR(AVERAGEIFS(Tickets!$J$2:$J$6919,Tickets!$L$2:$L$6919,A19),0)</f>
        <v>4.12677231025855</v>
      </c>
      <c r="G19" s="20" t="n">
        <f aca="false">IFERROR(AVERAGEIFS(Tickets!$H$2:$H$6919,Tickets!$L$2:$L$6919,A19),0)</f>
        <v>15.8380887681159</v>
      </c>
    </row>
    <row r="20" customFormat="false" ht="15" hidden="false" customHeight="false" outlineLevel="0" collapsed="false">
      <c r="A20" s="15" t="n">
        <f aca="false">EDATE(A19,1)</f>
        <v>46235</v>
      </c>
      <c r="B20" s="16" t="str">
        <f aca="false">TEXT(A20,"mmm")</f>
        <v>Aug</v>
      </c>
      <c r="C20" s="17" t="n">
        <f aca="false">COUNTIFS(Tickets!$L$2:$L$6919,A20)</f>
        <v>2239</v>
      </c>
      <c r="D20" s="18" t="n">
        <f aca="false">IFERROR(COUNTIFS(Tickets!$L$2:$L$6919,A20,Tickets!$N$2:$N$6919,"Yes")/C20,0)</f>
        <v>0.874497543546226</v>
      </c>
      <c r="E20" s="18" t="n">
        <f aca="false">IFERROR(COUNTIFS(Tickets!$L$2:$L$6919,A20,Tickets!$O$2:$O$6919,"Yes")/(COUNTIFS(Tickets!$L$2:$L$6919,A20,Tickets!$O$2:$O$6919,"Yes")+COUNTIFS(Tickets!$L$2:$L$6919,A20,Tickets!$O$2:$O$6919,"No")),0)</f>
        <v>0.805949656750572</v>
      </c>
      <c r="F20" s="19" t="n">
        <f aca="false">IFERROR(AVERAGEIFS(Tickets!$J$2:$J$6919,Tickets!$L$2:$L$6919,A20),0)</f>
        <v>4.15318416523236</v>
      </c>
      <c r="G20" s="20" t="n">
        <f aca="false">IFERROR(AVERAGEIFS(Tickets!$H$2:$H$6919,Tickets!$L$2:$L$6919,A20),0)</f>
        <v>16.1405034324943</v>
      </c>
    </row>
    <row r="21" customFormat="false" ht="15" hidden="false" customHeight="false" outlineLevel="0" collapsed="false">
      <c r="A21" s="15" t="n">
        <f aca="false">EDATE(A20,1)</f>
        <v>46266</v>
      </c>
      <c r="B21" s="16" t="str">
        <f aca="false">TEXT(A21,"mmm")</f>
        <v>Sep</v>
      </c>
      <c r="C21" s="17" t="n">
        <f aca="false">COUNTIFS(Tickets!$L$2:$L$6919,A21)</f>
        <v>2428</v>
      </c>
      <c r="D21" s="18" t="n">
        <f aca="false">IFERROR(COUNTIFS(Tickets!$L$2:$L$6919,A21,Tickets!$N$2:$N$6919,"Yes")/C21,0)</f>
        <v>0.883443163097199</v>
      </c>
      <c r="E21" s="18" t="n">
        <f aca="false">IFERROR(COUNTIFS(Tickets!$L$2:$L$6919,A21,Tickets!$O$2:$O$6919,"Yes")/(COUNTIFS(Tickets!$L$2:$L$6919,A21,Tickets!$O$2:$O$6919,"Yes")+COUNTIFS(Tickets!$L$2:$L$6919,A21,Tickets!$O$2:$O$6919,"No")),0)</f>
        <v>0.816435432230523</v>
      </c>
      <c r="F21" s="19" t="n">
        <f aca="false">IFERROR(AVERAGEIFS(Tickets!$J$2:$J$6919,Tickets!$L$2:$L$6919,A21),0)</f>
        <v>4.1345971563981</v>
      </c>
      <c r="G21" s="20" t="n">
        <f aca="false">IFERROR(AVERAGEIFS(Tickets!$H$2:$H$6919,Tickets!$L$2:$L$6919,A21),0)</f>
        <v>16.4324439701174</v>
      </c>
    </row>
    <row r="24" customFormat="false" ht="15" hidden="false" customHeight="false" outlineLevel="0" collapsed="false">
      <c r="A24" s="12" t="s">
        <v>45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  <row r="25" customFormat="false" ht="30" hidden="false" customHeight="true" outlineLevel="0" collapsed="false">
      <c r="A25" s="14" t="s">
        <v>46</v>
      </c>
      <c r="B25" s="14" t="s">
        <v>40</v>
      </c>
      <c r="C25" s="14" t="s">
        <v>47</v>
      </c>
      <c r="D25" s="14" t="s">
        <v>41</v>
      </c>
      <c r="E25" s="14" t="s">
        <v>48</v>
      </c>
      <c r="F25" s="14" t="s">
        <v>42</v>
      </c>
      <c r="G25" s="14" t="s">
        <v>43</v>
      </c>
    </row>
    <row r="26" customFormat="false" ht="15" hidden="false" customHeight="false" outlineLevel="0" collapsed="false">
      <c r="A26" s="21" t="s">
        <v>49</v>
      </c>
      <c r="B26" s="17" t="n">
        <f aca="false">COUNTIFS(Tickets!$E$2:$E$6919,A26)</f>
        <v>413</v>
      </c>
      <c r="C26" s="22" t="n">
        <f aca="false">INDEX(Assumptions!$B$15:$B$18,MATCH(A26,Assumptions!$A$15:$A$18,0))</f>
        <v>15</v>
      </c>
      <c r="D26" s="18" t="n">
        <f aca="false">IFERROR(COUNTIFS(Tickets!$E$2:$E$6919,A26,Tickets!$N$2:$N$6919,"Yes")/B26,0)</f>
        <v>0.745762711864407</v>
      </c>
      <c r="E26" s="22" t="n">
        <f aca="false">INDEX(Assumptions!$C$15:$C$18,MATCH(A26,Assumptions!$A$15:$A$18,0))</f>
        <v>4</v>
      </c>
      <c r="F26" s="18" t="n">
        <f aca="false">IFERROR(COUNTIFS(Tickets!$E$2:$E$6919,A26,Tickets!$O$2:$O$6919,"Yes")/(COUNTIFS(Tickets!$E$2:$E$6919,A26,Tickets!$O$2:$O$6919,"Yes")+COUNTIFS(Tickets!$E$2:$E$6919,A26,Tickets!$O$2:$O$6919,"No")),0)</f>
        <v>0.571808510638298</v>
      </c>
      <c r="G26" s="19" t="n">
        <f aca="false">IFERROR(AVERAGEIFS(Tickets!$J$2:$J$6919,Tickets!$E$2:$E$6919,A26),0)</f>
        <v>3.95754716981132</v>
      </c>
    </row>
    <row r="27" customFormat="false" ht="15" hidden="false" customHeight="false" outlineLevel="0" collapsed="false">
      <c r="A27" s="21" t="s">
        <v>50</v>
      </c>
      <c r="B27" s="17" t="n">
        <f aca="false">COUNTIFS(Tickets!$E$2:$E$6919,A27)</f>
        <v>1239</v>
      </c>
      <c r="C27" s="22" t="n">
        <f aca="false">INDEX(Assumptions!$B$15:$B$18,MATCH(A27,Assumptions!$A$15:$A$18,0))</f>
        <v>30</v>
      </c>
      <c r="D27" s="18" t="n">
        <f aca="false">IFERROR(COUNTIFS(Tickets!$E$2:$E$6919,A27,Tickets!$N$2:$N$6919,"Yes")/B27,0)</f>
        <v>0.804681194511703</v>
      </c>
      <c r="E27" s="22" t="n">
        <f aca="false">INDEX(Assumptions!$C$15:$C$18,MATCH(A27,Assumptions!$A$15:$A$18,0))</f>
        <v>8</v>
      </c>
      <c r="F27" s="18" t="n">
        <f aca="false">IFERROR(COUNTIFS(Tickets!$E$2:$E$6919,A27,Tickets!$O$2:$O$6919,"Yes")/(COUNTIFS(Tickets!$E$2:$E$6919,A27,Tickets!$O$2:$O$6919,"Yes")+COUNTIFS(Tickets!$E$2:$E$6919,A27,Tickets!$O$2:$O$6919,"No")),0)</f>
        <v>0.655723158828749</v>
      </c>
      <c r="G27" s="19" t="n">
        <f aca="false">IFERROR(AVERAGEIFS(Tickets!$J$2:$J$6919,Tickets!$E$2:$E$6919,A27),0)</f>
        <v>4.0016583747927</v>
      </c>
    </row>
    <row r="28" customFormat="false" ht="15" hidden="false" customHeight="false" outlineLevel="0" collapsed="false">
      <c r="A28" s="21" t="s">
        <v>51</v>
      </c>
      <c r="B28" s="17" t="n">
        <f aca="false">COUNTIFS(Tickets!$E$2:$E$6919,A28)</f>
        <v>3231</v>
      </c>
      <c r="C28" s="22" t="n">
        <f aca="false">INDEX(Assumptions!$B$15:$B$18,MATCH(A28,Assumptions!$A$15:$A$18,0))</f>
        <v>60</v>
      </c>
      <c r="D28" s="18" t="n">
        <f aca="false">IFERROR(COUNTIFS(Tickets!$E$2:$E$6919,A28,Tickets!$N$2:$N$6919,"Yes")/B28,0)</f>
        <v>0.86412875270814</v>
      </c>
      <c r="E28" s="22" t="n">
        <f aca="false">INDEX(Assumptions!$C$15:$C$18,MATCH(A28,Assumptions!$A$15:$A$18,0))</f>
        <v>24</v>
      </c>
      <c r="F28" s="18" t="n">
        <f aca="false">IFERROR(COUNTIFS(Tickets!$E$2:$E$6919,A28,Tickets!$O$2:$O$6919,"Yes")/(COUNTIFS(Tickets!$E$2:$E$6919,A28,Tickets!$O$2:$O$6919,"Yes")+COUNTIFS(Tickets!$E$2:$E$6919,A28,Tickets!$O$2:$O$6919,"No")),0)</f>
        <v>0.824897400820793</v>
      </c>
      <c r="G28" s="19" t="n">
        <f aca="false">IFERROR(AVERAGEIFS(Tickets!$J$2:$J$6919,Tickets!$E$2:$E$6919,A28),0)</f>
        <v>4.13782447466007</v>
      </c>
    </row>
    <row r="29" customFormat="false" ht="15" hidden="false" customHeight="false" outlineLevel="0" collapsed="false">
      <c r="A29" s="21" t="s">
        <v>52</v>
      </c>
      <c r="B29" s="17" t="n">
        <f aca="false">COUNTIFS(Tickets!$E$2:$E$6919,A29)</f>
        <v>2035</v>
      </c>
      <c r="C29" s="22" t="n">
        <f aca="false">INDEX(Assumptions!$B$15:$B$18,MATCH(A29,Assumptions!$A$15:$A$18,0))</f>
        <v>240</v>
      </c>
      <c r="D29" s="18" t="n">
        <f aca="false">IFERROR(COUNTIFS(Tickets!$E$2:$E$6919,A29,Tickets!$N$2:$N$6919,"Yes")/B29,0)</f>
        <v>0.974938574938575</v>
      </c>
      <c r="E29" s="22" t="n">
        <f aca="false">INDEX(Assumptions!$C$15:$C$18,MATCH(A29,Assumptions!$A$15:$A$18,0))</f>
        <v>72</v>
      </c>
      <c r="F29" s="18" t="n">
        <f aca="false">IFERROR(COUNTIFS(Tickets!$E$2:$E$6919,A29,Tickets!$O$2:$O$6919,"Yes")/(COUNTIFS(Tickets!$E$2:$E$6919,A29,Tickets!$O$2:$O$6919,"Yes")+COUNTIFS(Tickets!$E$2:$E$6919,A29,Tickets!$O$2:$O$6919,"No")),0)</f>
        <v>0.945652173913044</v>
      </c>
      <c r="G29" s="19" t="n">
        <f aca="false">IFERROR(AVERAGEIFS(Tickets!$J$2:$J$6919,Tickets!$E$2:$E$6919,A29),0)</f>
        <v>4.26144455747711</v>
      </c>
    </row>
    <row r="30" customFormat="false" ht="15" hidden="false" customHeight="false" outlineLevel="0" collapsed="false">
      <c r="A30" s="23" t="s">
        <v>53</v>
      </c>
      <c r="B30" s="24" t="n">
        <f aca="false">SUM(B26:B29)</f>
        <v>6918</v>
      </c>
      <c r="C30" s="25"/>
      <c r="D30" s="26" t="n">
        <f aca="false">C5</f>
        <v>0.879011274934952</v>
      </c>
      <c r="E30" s="25"/>
      <c r="F30" s="26" t="n">
        <f aca="false">E5</f>
        <v>0.814743896601245</v>
      </c>
      <c r="G30" s="27" t="n">
        <f aca="false">I5</f>
        <v>4.13817330210773</v>
      </c>
    </row>
    <row r="33" customFormat="false" ht="15" hidden="false" customHeight="false" outlineLevel="0" collapsed="false">
      <c r="A33" s="12" t="s">
        <v>54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customFormat="false" ht="30" hidden="false" customHeight="true" outlineLevel="0" collapsed="false">
      <c r="A34" s="14" t="s">
        <v>55</v>
      </c>
      <c r="B34" s="14" t="s">
        <v>40</v>
      </c>
      <c r="C34" s="14" t="s">
        <v>56</v>
      </c>
      <c r="D34" s="14" t="s">
        <v>41</v>
      </c>
      <c r="E34" s="14" t="s">
        <v>44</v>
      </c>
      <c r="F34" s="14" t="s">
        <v>43</v>
      </c>
    </row>
    <row r="35" customFormat="false" ht="15" hidden="false" customHeight="false" outlineLevel="0" collapsed="false">
      <c r="A35" s="21" t="s">
        <v>57</v>
      </c>
      <c r="B35" s="17" t="n">
        <f aca="false">COUNTIFS(Tickets!$C$2:$C$6919,A35)</f>
        <v>2057</v>
      </c>
      <c r="C35" s="20" t="n">
        <f aca="false">IFERROR(AVERAGEIFS(Tickets!$G$2:$G$6919,Tickets!$C$2:$C$6919,A35),0)</f>
        <v>5.63150218765192</v>
      </c>
      <c r="D35" s="18" t="n">
        <f aca="false">IFERROR(COUNTIFS(Tickets!$C$2:$C$6919,A35,Tickets!$N$2:$N$6919,"Yes")/B35,0)</f>
        <v>0.998541565386485</v>
      </c>
      <c r="E35" s="20" t="n">
        <f aca="false">IFERROR(AVERAGEIFS(Tickets!$H$2:$H$6919,Tickets!$C$2:$C$6919,A35),0)</f>
        <v>16.1590172786177</v>
      </c>
      <c r="F35" s="19" t="n">
        <f aca="false">IFERROR(AVERAGEIFS(Tickets!$J$2:$J$6919,Tickets!$C$2:$C$6919,A35),0)</f>
        <v>4.17329255861366</v>
      </c>
    </row>
    <row r="36" customFormat="false" ht="15" hidden="false" customHeight="false" outlineLevel="0" collapsed="false">
      <c r="A36" s="21" t="s">
        <v>58</v>
      </c>
      <c r="B36" s="17" t="n">
        <f aca="false">COUNTIFS(Tickets!$C$2:$C$6919,A36)</f>
        <v>1895</v>
      </c>
      <c r="C36" s="20" t="n">
        <f aca="false">IFERROR(AVERAGEIFS(Tickets!$G$2:$G$6919,Tickets!$C$2:$C$6919,A36),0)</f>
        <v>14.8612137203166</v>
      </c>
      <c r="D36" s="18" t="n">
        <f aca="false">IFERROR(COUNTIFS(Tickets!$C$2:$C$6919,A36,Tickets!$N$2:$N$6919,"Yes")/B36,0)</f>
        <v>0.980474934036939</v>
      </c>
      <c r="E36" s="20" t="n">
        <f aca="false">IFERROR(AVERAGEIFS(Tickets!$H$2:$H$6919,Tickets!$C$2:$C$6919,A36),0)</f>
        <v>16.1677230046948</v>
      </c>
      <c r="F36" s="19" t="n">
        <f aca="false">IFERROR(AVERAGEIFS(Tickets!$J$2:$J$6919,Tickets!$C$2:$C$6919,A36),0)</f>
        <v>4.16753381893861</v>
      </c>
    </row>
    <row r="37" customFormat="false" ht="15" hidden="false" customHeight="false" outlineLevel="0" collapsed="false">
      <c r="A37" s="21" t="s">
        <v>59</v>
      </c>
      <c r="B37" s="17" t="n">
        <f aca="false">COUNTIFS(Tickets!$C$2:$C$6919,A37)</f>
        <v>1556</v>
      </c>
      <c r="C37" s="20" t="n">
        <f aca="false">IFERROR(AVERAGEIFS(Tickets!$G$2:$G$6919,Tickets!$C$2:$C$6919,A37),0)</f>
        <v>102.751928020566</v>
      </c>
      <c r="D37" s="18" t="n">
        <f aca="false">IFERROR(COUNTIFS(Tickets!$C$2:$C$6919,A37,Tickets!$N$2:$N$6919,"Yes")/B37,0)</f>
        <v>0.487789203084833</v>
      </c>
      <c r="E37" s="20" t="n">
        <f aca="false">IFERROR(AVERAGEIFS(Tickets!$H$2:$H$6919,Tickets!$C$2:$C$6919,A37),0)</f>
        <v>16.2542837078652</v>
      </c>
      <c r="F37" s="19" t="n">
        <f aca="false">IFERROR(AVERAGEIFS(Tickets!$J$2:$J$6919,Tickets!$C$2:$C$6919,A37),0)</f>
        <v>3.99108280254777</v>
      </c>
    </row>
    <row r="38" customFormat="false" ht="15" hidden="false" customHeight="false" outlineLevel="0" collapsed="false">
      <c r="A38" s="21" t="s">
        <v>60</v>
      </c>
      <c r="B38" s="17" t="n">
        <f aca="false">COUNTIFS(Tickets!$C$2:$C$6919,A38)</f>
        <v>1410</v>
      </c>
      <c r="C38" s="20" t="n">
        <f aca="false">IFERROR(AVERAGEIFS(Tickets!$G$2:$G$6919,Tickets!$C$2:$C$6919,A38),0)</f>
        <v>2.91276595744681</v>
      </c>
      <c r="D38" s="18" t="n">
        <f aca="false">IFERROR(COUNTIFS(Tickets!$C$2:$C$6919,A38,Tickets!$N$2:$N$6919,"Yes")/B38,0)</f>
        <v>1</v>
      </c>
      <c r="E38" s="20" t="n">
        <f aca="false">IFERROR(AVERAGEIFS(Tickets!$H$2:$H$6919,Tickets!$C$2:$C$6919,A38),0)</f>
        <v>15.8581973581974</v>
      </c>
      <c r="F38" s="19" t="n">
        <f aca="false">IFERROR(AVERAGEIFS(Tickets!$J$2:$J$6919,Tickets!$C$2:$C$6919,A38),0)</f>
        <v>4.21480406386067</v>
      </c>
    </row>
    <row r="39" customFormat="false" ht="15" hidden="false" customHeight="false" outlineLevel="0" collapsed="false">
      <c r="A39" s="23" t="s">
        <v>53</v>
      </c>
      <c r="B39" s="24" t="n">
        <f aca="false">SUM(B35:B38)</f>
        <v>6918</v>
      </c>
      <c r="C39" s="28" t="n">
        <f aca="false">AVERAGE(Tickets!$G$2:$G$6919)</f>
        <v>29.4499855449552</v>
      </c>
      <c r="D39" s="26" t="n">
        <f aca="false">C5</f>
        <v>0.879011274934952</v>
      </c>
      <c r="E39" s="28" t="n">
        <f aca="false">G5</f>
        <v>16.121254188607</v>
      </c>
      <c r="F39" s="27" t="n">
        <f aca="false">I5</f>
        <v>4.13817330210773</v>
      </c>
    </row>
    <row r="49" customFormat="false" ht="15" hidden="false" customHeight="false" outlineLevel="0" collapsed="false">
      <c r="A49" s="12" t="s">
        <v>61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customFormat="false" ht="30" hidden="false" customHeight="true" outlineLevel="0" collapsed="false">
      <c r="A50" s="14" t="s">
        <v>62</v>
      </c>
      <c r="B50" s="14" t="s">
        <v>40</v>
      </c>
      <c r="C50" s="14" t="s">
        <v>44</v>
      </c>
      <c r="D50" s="14" t="s">
        <v>42</v>
      </c>
      <c r="E50" s="14" t="s">
        <v>63</v>
      </c>
      <c r="F50" s="14" t="s">
        <v>43</v>
      </c>
      <c r="G50" s="14" t="s">
        <v>64</v>
      </c>
    </row>
    <row r="51" customFormat="false" ht="15" hidden="false" customHeight="false" outlineLevel="0" collapsed="false">
      <c r="A51" s="21" t="s">
        <v>65</v>
      </c>
      <c r="B51" s="17" t="n">
        <f aca="false">COUNTIFS(Tickets!$D$2:$D$6919,A51)</f>
        <v>2053</v>
      </c>
      <c r="C51" s="20" t="n">
        <f aca="false">IFERROR(AVERAGEIFS(Tickets!$H$2:$H$6919,Tickets!$D$2:$D$6919,A51),0)</f>
        <v>16.3304787234043</v>
      </c>
      <c r="D51" s="18" t="n">
        <f aca="false">IFERROR(COUNTIFS(Tickets!$D$2:$D$6919,A51,Tickets!$O$2:$O$6919,"Yes")/(COUNTIFS(Tickets!$D$2:$D$6919,A51,Tickets!$O$2:$O$6919,"Yes")+COUNTIFS(Tickets!$D$2:$D$6919,A51,Tickets!$O$2:$O$6919,"No")),0)</f>
        <v>0.81436170212766</v>
      </c>
      <c r="E51" s="18" t="n">
        <f aca="false">IFERROR(COUNTIFS(Tickets!$D$2:$D$6919,A51,Tickets!$K$2:$K$6919,"Yes")/COUNTIFS(Tickets!$D$2:$D$6919,A51,Tickets!$I$2:$I$6919,"&lt;&gt;Open"),0)</f>
        <v>0.0702127659574468</v>
      </c>
      <c r="F51" s="19" t="n">
        <f aca="false">IFERROR(AVERAGEIFS(Tickets!$J$2:$J$6919,Tickets!$D$2:$D$6919,A51),0)</f>
        <v>4.12825651302605</v>
      </c>
      <c r="G51" s="17" t="n">
        <f aca="false">COUNTIFS(Tickets!$D$2:$D$6919,A51,Tickets!$I$2:$I$6919,"Escalated")</f>
        <v>124</v>
      </c>
    </row>
    <row r="52" customFormat="false" ht="15" hidden="false" customHeight="false" outlineLevel="0" collapsed="false">
      <c r="A52" s="21" t="s">
        <v>66</v>
      </c>
      <c r="B52" s="17" t="n">
        <f aca="false">COUNTIFS(Tickets!$D$2:$D$6919,A52)</f>
        <v>1717</v>
      </c>
      <c r="C52" s="20" t="n">
        <f aca="false">IFERROR(AVERAGEIFS(Tickets!$H$2:$H$6919,Tickets!$D$2:$D$6919,A52),0)</f>
        <v>8.13861129136924</v>
      </c>
      <c r="D52" s="18" t="n">
        <f aca="false">IFERROR(COUNTIFS(Tickets!$D$2:$D$6919,A52,Tickets!$O$2:$O$6919,"Yes")/(COUNTIFS(Tickets!$D$2:$D$6919,A52,Tickets!$O$2:$O$6919,"Yes")+COUNTIFS(Tickets!$D$2:$D$6919,A52,Tickets!$O$2:$O$6919,"No")),0)</f>
        <v>0.944841012329656</v>
      </c>
      <c r="E52" s="18" t="n">
        <f aca="false">IFERROR(COUNTIFS(Tickets!$D$2:$D$6919,A52,Tickets!$K$2:$K$6919,"Yes")/COUNTIFS(Tickets!$D$2:$D$6919,A52,Tickets!$I$2:$I$6919,"&lt;&gt;Open"),0)</f>
        <v>0.0733290071382219</v>
      </c>
      <c r="F52" s="19" t="n">
        <f aca="false">IFERROR(AVERAGEIFS(Tickets!$J$2:$J$6919,Tickets!$D$2:$D$6919,A52),0)</f>
        <v>4.2485549132948</v>
      </c>
      <c r="G52" s="17" t="n">
        <f aca="false">COUNTIFS(Tickets!$D$2:$D$6919,A52,Tickets!$I$2:$I$6919,"Escalated")</f>
        <v>87</v>
      </c>
    </row>
    <row r="53" customFormat="false" ht="15" hidden="false" customHeight="false" outlineLevel="0" collapsed="false">
      <c r="A53" s="21" t="s">
        <v>67</v>
      </c>
      <c r="B53" s="17" t="n">
        <f aca="false">COUNTIFS(Tickets!$D$2:$D$6919,A53)</f>
        <v>1405</v>
      </c>
      <c r="C53" s="20" t="n">
        <f aca="false">IFERROR(AVERAGEIFS(Tickets!$H$2:$H$6919,Tickets!$D$2:$D$6919,A53),0)</f>
        <v>21.9530835284934</v>
      </c>
      <c r="D53" s="18" t="n">
        <f aca="false">IFERROR(COUNTIFS(Tickets!$D$2:$D$6919,A53,Tickets!$O$2:$O$6919,"Yes")/(COUNTIFS(Tickets!$D$2:$D$6919,A53,Tickets!$O$2:$O$6919,"Yes")+COUNTIFS(Tickets!$D$2:$D$6919,A53,Tickets!$O$2:$O$6919,"No")),0)</f>
        <v>0.694769711163154</v>
      </c>
      <c r="E53" s="18" t="n">
        <f aca="false">IFERROR(COUNTIFS(Tickets!$D$2:$D$6919,A53,Tickets!$K$2:$K$6919,"Yes")/COUNTIFS(Tickets!$D$2:$D$6919,A53,Tickets!$I$2:$I$6919,"&lt;&gt;Open"),0)</f>
        <v>0.0718188914910226</v>
      </c>
      <c r="F53" s="19" t="n">
        <f aca="false">IFERROR(AVERAGEIFS(Tickets!$J$2:$J$6919,Tickets!$D$2:$D$6919,A53),0)</f>
        <v>4.04727793696275</v>
      </c>
      <c r="G53" s="17" t="n">
        <f aca="false">COUNTIFS(Tickets!$D$2:$D$6919,A53,Tickets!$I$2:$I$6919,"Escalated")</f>
        <v>73</v>
      </c>
    </row>
    <row r="54" customFormat="false" ht="15" hidden="false" customHeight="false" outlineLevel="0" collapsed="false">
      <c r="A54" s="21" t="s">
        <v>68</v>
      </c>
      <c r="B54" s="17" t="n">
        <f aca="false">COUNTIFS(Tickets!$D$2:$D$6919,A54)</f>
        <v>955</v>
      </c>
      <c r="C54" s="20" t="n">
        <f aca="false">IFERROR(AVERAGEIFS(Tickets!$H$2:$H$6919,Tickets!$D$2:$D$6919,A54),0)</f>
        <v>6.36143024618992</v>
      </c>
      <c r="D54" s="18" t="n">
        <f aca="false">IFERROR(COUNTIFS(Tickets!$D$2:$D$6919,A54,Tickets!$O$2:$O$6919,"Yes")/(COUNTIFS(Tickets!$D$2:$D$6919,A54,Tickets!$O$2:$O$6919,"Yes")+COUNTIFS(Tickets!$D$2:$D$6919,A54,Tickets!$O$2:$O$6919,"No")),0)</f>
        <v>0.974208675263775</v>
      </c>
      <c r="E54" s="18" t="n">
        <f aca="false">IFERROR(COUNTIFS(Tickets!$D$2:$D$6919,A54,Tickets!$K$2:$K$6919,"Yes")/COUNTIFS(Tickets!$D$2:$D$6919,A54,Tickets!$I$2:$I$6919,"&lt;&gt;Open"),0)</f>
        <v>0.0879249706916764</v>
      </c>
      <c r="F54" s="19" t="n">
        <f aca="false">IFERROR(AVERAGEIFS(Tickets!$J$2:$J$6919,Tickets!$D$2:$D$6919,A54),0)</f>
        <v>4.25107296137339</v>
      </c>
      <c r="G54" s="17" t="n">
        <f aca="false">COUNTIFS(Tickets!$D$2:$D$6919,A54,Tickets!$I$2:$I$6919,"Escalated")</f>
        <v>58</v>
      </c>
    </row>
    <row r="55" customFormat="false" ht="15" hidden="false" customHeight="false" outlineLevel="0" collapsed="false">
      <c r="A55" s="21" t="s">
        <v>69</v>
      </c>
      <c r="B55" s="17" t="n">
        <f aca="false">COUNTIFS(Tickets!$D$2:$D$6919,A55)</f>
        <v>788</v>
      </c>
      <c r="C55" s="20" t="n">
        <f aca="false">IFERROR(AVERAGEIFS(Tickets!$H$2:$H$6919,Tickets!$D$2:$D$6919,A55),0)</f>
        <v>34.0460674157303</v>
      </c>
      <c r="D55" s="18" t="n">
        <f aca="false">IFERROR(COUNTIFS(Tickets!$D$2:$D$6919,A55,Tickets!$O$2:$O$6919,"Yes")/(COUNTIFS(Tickets!$D$2:$D$6919,A55,Tickets!$O$2:$O$6919,"Yes")+COUNTIFS(Tickets!$D$2:$D$6919,A55,Tickets!$O$2:$O$6919,"No")),0)</f>
        <v>0.558988764044944</v>
      </c>
      <c r="E55" s="18" t="n">
        <f aca="false">IFERROR(COUNTIFS(Tickets!$D$2:$D$6919,A55,Tickets!$K$2:$K$6919,"Yes")/COUNTIFS(Tickets!$D$2:$D$6919,A55,Tickets!$I$2:$I$6919,"&lt;&gt;Open"),0)</f>
        <v>0.0730337078651685</v>
      </c>
      <c r="F55" s="19" t="n">
        <f aca="false">IFERROR(AVERAGEIFS(Tickets!$J$2:$J$6919,Tickets!$D$2:$D$6919,A55),0)</f>
        <v>3.94601542416452</v>
      </c>
      <c r="G55" s="17" t="n">
        <f aca="false">COUNTIFS(Tickets!$D$2:$D$6919,A55,Tickets!$I$2:$I$6919,"Escalated")</f>
        <v>41</v>
      </c>
    </row>
    <row r="56" customFormat="false" ht="15" hidden="false" customHeight="false" outlineLevel="0" collapsed="false">
      <c r="A56" s="23" t="s">
        <v>53</v>
      </c>
      <c r="B56" s="24" t="n">
        <f aca="false">SUM(B51:B55)</f>
        <v>6918</v>
      </c>
      <c r="C56" s="28" t="n">
        <f aca="false">G5</f>
        <v>16.121254188607</v>
      </c>
      <c r="D56" s="26" t="n">
        <f aca="false">E5</f>
        <v>0.814743896601245</v>
      </c>
      <c r="E56" s="26" t="n">
        <f aca="false">IFERROR(COUNTIF(Tickets!$K$2:$K$6919,"Yes")/COUNTIF(Tickets!$I$2:$I$6919,"&lt;&gt;Open"),0)</f>
        <v>0.074038614967289</v>
      </c>
      <c r="F56" s="27" t="n">
        <f aca="false">I5</f>
        <v>4.13817330210773</v>
      </c>
      <c r="G56" s="24" t="n">
        <f aca="false">SUM(G51:G55)</f>
        <v>383</v>
      </c>
    </row>
    <row r="65" customFormat="false" ht="15" hidden="false" customHeight="false" outlineLevel="0" collapsed="false">
      <c r="A65" s="12" t="s">
        <v>70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customFormat="false" ht="23.85" hidden="false" customHeight="false" outlineLevel="0" collapsed="false">
      <c r="A66" s="14" t="s">
        <v>71</v>
      </c>
      <c r="B66" s="14" t="s">
        <v>40</v>
      </c>
      <c r="C66" s="14" t="s">
        <v>72</v>
      </c>
      <c r="D66" s="14" t="s">
        <v>41</v>
      </c>
    </row>
    <row r="67" customFormat="false" ht="15" hidden="false" customHeight="false" outlineLevel="0" collapsed="false">
      <c r="A67" s="21" t="s">
        <v>73</v>
      </c>
      <c r="B67" s="17" t="n">
        <f aca="false">COUNTIFS(Tickets!$M$2:$M$6919,1)</f>
        <v>1269</v>
      </c>
      <c r="C67" s="20" t="n">
        <f aca="true">IFERROR(B67/SUMPRODUCT(--(WEEKDAY(ROW(INDIRECT(Assumptions!$B$5&amp;":"&amp;Assumptions!$B$4)),2)=1)),0)</f>
        <v>97.6153846153846</v>
      </c>
      <c r="D67" s="18" t="n">
        <f aca="false">IFERROR(COUNTIFS(Tickets!$M$2:$M$6919,1,Tickets!$N$2:$N$6919,"Yes")/B67,0)</f>
        <v>0.855003940110323</v>
      </c>
    </row>
    <row r="68" customFormat="false" ht="15" hidden="false" customHeight="false" outlineLevel="0" collapsed="false">
      <c r="A68" s="21" t="s">
        <v>74</v>
      </c>
      <c r="B68" s="17" t="n">
        <f aca="false">COUNTIFS(Tickets!$M$2:$M$6919,2)</f>
        <v>1092</v>
      </c>
      <c r="C68" s="20" t="n">
        <f aca="true">IFERROR(B68/SUMPRODUCT(--(WEEKDAY(ROW(INDIRECT(Assumptions!$B$5&amp;":"&amp;Assumptions!$B$4)),2)=2)),0)</f>
        <v>84</v>
      </c>
      <c r="D68" s="18" t="n">
        <f aca="false">IFERROR(COUNTIFS(Tickets!$M$2:$M$6919,2,Tickets!$N$2:$N$6919,"Yes")/B68,0)</f>
        <v>0.891025641025641</v>
      </c>
    </row>
    <row r="69" customFormat="false" ht="15" hidden="false" customHeight="false" outlineLevel="0" collapsed="false">
      <c r="A69" s="21" t="s">
        <v>75</v>
      </c>
      <c r="B69" s="17" t="n">
        <f aca="false">COUNTIFS(Tickets!$M$2:$M$6919,3)</f>
        <v>1167</v>
      </c>
      <c r="C69" s="20" t="n">
        <f aca="true">IFERROR(B69/SUMPRODUCT(--(WEEKDAY(ROW(INDIRECT(Assumptions!$B$5&amp;":"&amp;Assumptions!$B$4)),2)=3)),0)</f>
        <v>83.3571428571429</v>
      </c>
      <c r="D69" s="18" t="n">
        <f aca="false">IFERROR(COUNTIFS(Tickets!$M$2:$M$6919,3,Tickets!$N$2:$N$6919,"Yes")/B69,0)</f>
        <v>0.885175664095973</v>
      </c>
    </row>
    <row r="70" customFormat="false" ht="15" hidden="false" customHeight="false" outlineLevel="0" collapsed="false">
      <c r="A70" s="21" t="s">
        <v>76</v>
      </c>
      <c r="B70" s="17" t="n">
        <f aca="false">COUNTIFS(Tickets!$M$2:$M$6919,4)</f>
        <v>1054</v>
      </c>
      <c r="C70" s="20" t="n">
        <f aca="true">IFERROR(B70/SUMPRODUCT(--(WEEKDAY(ROW(INDIRECT(Assumptions!$B$5&amp;":"&amp;Assumptions!$B$4)),2)=4)),0)</f>
        <v>81.0769230769231</v>
      </c>
      <c r="D70" s="18" t="n">
        <f aca="false">IFERROR(COUNTIFS(Tickets!$M$2:$M$6919,4,Tickets!$N$2:$N$6919,"Yes")/B70,0)</f>
        <v>0.875711574952562</v>
      </c>
    </row>
    <row r="71" customFormat="false" ht="15" hidden="false" customHeight="false" outlineLevel="0" collapsed="false">
      <c r="A71" s="21" t="s">
        <v>77</v>
      </c>
      <c r="B71" s="17" t="n">
        <f aca="false">COUNTIFS(Tickets!$M$2:$M$6919,5)</f>
        <v>1119</v>
      </c>
      <c r="C71" s="20" t="n">
        <f aca="true">IFERROR(B71/SUMPRODUCT(--(WEEKDAY(ROW(INDIRECT(Assumptions!$B$5&amp;":"&amp;Assumptions!$B$4)),2)=5)),0)</f>
        <v>86.0769230769231</v>
      </c>
      <c r="D71" s="18" t="n">
        <f aca="false">IFERROR(COUNTIFS(Tickets!$M$2:$M$6919,5,Tickets!$N$2:$N$6919,"Yes")/B71,0)</f>
        <v>0.876675603217158</v>
      </c>
    </row>
    <row r="72" customFormat="false" ht="15" hidden="false" customHeight="false" outlineLevel="0" collapsed="false">
      <c r="A72" s="21" t="s">
        <v>78</v>
      </c>
      <c r="B72" s="17" t="n">
        <f aca="false">COUNTIFS(Tickets!$M$2:$M$6919,6)</f>
        <v>701</v>
      </c>
      <c r="C72" s="20" t="n">
        <f aca="true">IFERROR(B72/SUMPRODUCT(--(WEEKDAY(ROW(INDIRECT(Assumptions!$B$5&amp;":"&amp;Assumptions!$B$4)),2)=6)),0)</f>
        <v>53.9230769230769</v>
      </c>
      <c r="D72" s="18" t="n">
        <f aca="false">IFERROR(COUNTIFS(Tickets!$M$2:$M$6919,6,Tickets!$N$2:$N$6919,"Yes")/B72,0)</f>
        <v>0.902995720399429</v>
      </c>
    </row>
    <row r="73" customFormat="false" ht="15" hidden="false" customHeight="false" outlineLevel="0" collapsed="false">
      <c r="A73" s="21" t="s">
        <v>79</v>
      </c>
      <c r="B73" s="17" t="n">
        <f aca="false">COUNTIFS(Tickets!$M$2:$M$6919,7)</f>
        <v>516</v>
      </c>
      <c r="C73" s="20" t="n">
        <f aca="true">IFERROR(B73/SUMPRODUCT(--(WEEKDAY(ROW(INDIRECT(Assumptions!$B$5&amp;":"&amp;Assumptions!$B$4)),2)=7)),0)</f>
        <v>39.6923076923077</v>
      </c>
      <c r="D73" s="18" t="n">
        <f aca="false">IFERROR(COUNTIFS(Tickets!$M$2:$M$6919,7,Tickets!$N$2:$N$6919,"Yes")/B73,0)</f>
        <v>0.877906976744186</v>
      </c>
    </row>
    <row r="81" customFormat="false" ht="15" hidden="false" customHeight="false" outlineLevel="0" collapsed="false">
      <c r="A81" s="12" t="s">
        <v>80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customFormat="false" ht="15" hidden="false" customHeight="true" outlineLevel="0" collapsed="false">
      <c r="A82" s="14" t="s">
        <v>81</v>
      </c>
      <c r="B82" s="14"/>
      <c r="C82" s="14"/>
      <c r="D82" s="14"/>
      <c r="E82" s="14"/>
      <c r="G82" s="14" t="s">
        <v>82</v>
      </c>
      <c r="H82" s="14"/>
      <c r="I82" s="14"/>
      <c r="J82" s="14"/>
      <c r="K82" s="14"/>
    </row>
    <row r="83" customFormat="false" ht="23.85" hidden="false" customHeight="false" outlineLevel="0" collapsed="false">
      <c r="A83" s="14" t="s">
        <v>83</v>
      </c>
      <c r="B83" s="14" t="s">
        <v>84</v>
      </c>
      <c r="C83" s="14" t="s">
        <v>85</v>
      </c>
      <c r="D83" s="14" t="s">
        <v>42</v>
      </c>
      <c r="E83" s="14" t="s">
        <v>43</v>
      </c>
      <c r="G83" s="14" t="s">
        <v>83</v>
      </c>
      <c r="H83" s="14" t="s">
        <v>84</v>
      </c>
      <c r="I83" s="14" t="s">
        <v>85</v>
      </c>
      <c r="J83" s="14" t="s">
        <v>42</v>
      </c>
      <c r="K83" s="14" t="s">
        <v>43</v>
      </c>
    </row>
    <row r="84" customFormat="false" ht="15" hidden="false" customHeight="false" outlineLevel="0" collapsed="false">
      <c r="A84" s="16" t="n">
        <v>1</v>
      </c>
      <c r="B84" s="16" t="str">
        <f aca="false">INDEX(Agents!$A$2:$A$19,MATCH(A84,Agents!$M$2:$M$19,0))</f>
        <v>AG11</v>
      </c>
      <c r="C84" s="21" t="str">
        <f aca="false">INDEX(Agents!$B$2:$B$19,MATCH(A84,Agents!$M$2:$M$19,0))</f>
        <v>Team Bravo</v>
      </c>
      <c r="D84" s="18" t="n">
        <f aca="false">INDEX(Agents!$H$2:$H$19,MATCH(A84,Agents!$M$2:$M$19,0))</f>
        <v>0.909620991253644</v>
      </c>
      <c r="E84" s="19" t="n">
        <f aca="false">INDEX(Agents!$I$2:$I$19,MATCH(A84,Agents!$M$2:$M$19,0))</f>
        <v>4.51396648044693</v>
      </c>
      <c r="G84" s="16" t="n">
        <f aca="false">COUNTA(Agents!$A$2:$A$19)-0</f>
        <v>18</v>
      </c>
      <c r="H84" s="16" t="str">
        <f aca="false">INDEX(Agents!$A$2:$A$19,MATCH(G84,Agents!$M$2:$M$19,0))</f>
        <v>AG15</v>
      </c>
      <c r="I84" s="21" t="str">
        <f aca="false">INDEX(Agents!$B$2:$B$19,MATCH(G84,Agents!$M$2:$M$19,0))</f>
        <v>Team Charlie</v>
      </c>
      <c r="J84" s="18" t="n">
        <f aca="false">INDEX(Agents!$H$2:$H$19,MATCH(G84,Agents!$M$2:$M$19,0))</f>
        <v>0.650273224043716</v>
      </c>
      <c r="K84" s="19" t="n">
        <f aca="false">INDEX(Agents!$I$2:$I$19,MATCH(G84,Agents!$M$2:$M$19,0))</f>
        <v>3.65957446808511</v>
      </c>
    </row>
    <row r="85" customFormat="false" ht="15" hidden="false" customHeight="false" outlineLevel="0" collapsed="false">
      <c r="A85" s="16" t="n">
        <v>2</v>
      </c>
      <c r="B85" s="16" t="str">
        <f aca="false">INDEX(Agents!$A$2:$A$19,MATCH(A85,Agents!$M$2:$M$19,0))</f>
        <v>AG01</v>
      </c>
      <c r="C85" s="21" t="str">
        <f aca="false">INDEX(Agents!$B$2:$B$19,MATCH(A85,Agents!$M$2:$M$19,0))</f>
        <v>Team Alpha</v>
      </c>
      <c r="D85" s="18" t="n">
        <f aca="false">INDEX(Agents!$H$2:$H$19,MATCH(A85,Agents!$M$2:$M$19,0))</f>
        <v>0.902941176470588</v>
      </c>
      <c r="E85" s="19" t="n">
        <f aca="false">INDEX(Agents!$I$2:$I$19,MATCH(A85,Agents!$M$2:$M$19,0))</f>
        <v>4.37912087912088</v>
      </c>
      <c r="G85" s="16" t="n">
        <f aca="false">COUNTA(Agents!$A$2:$A$19)-1</f>
        <v>17</v>
      </c>
      <c r="H85" s="16" t="str">
        <f aca="false">INDEX(Agents!$A$2:$A$19,MATCH(G85,Agents!$M$2:$M$19,0))</f>
        <v>AG03</v>
      </c>
      <c r="I85" s="21" t="str">
        <f aca="false">INDEX(Agents!$B$2:$B$19,MATCH(G85,Agents!$M$2:$M$19,0))</f>
        <v>Team Alpha</v>
      </c>
      <c r="J85" s="18" t="n">
        <f aca="false">INDEX(Agents!$H$2:$H$19,MATCH(G85,Agents!$M$2:$M$19,0))</f>
        <v>0.702312138728324</v>
      </c>
      <c r="K85" s="19" t="n">
        <f aca="false">INDEX(Agents!$I$2:$I$19,MATCH(G85,Agents!$M$2:$M$19,0))</f>
        <v>3.63720930232558</v>
      </c>
    </row>
    <row r="86" customFormat="false" ht="15" hidden="false" customHeight="false" outlineLevel="0" collapsed="false">
      <c r="A86" s="16" t="n">
        <v>3</v>
      </c>
      <c r="B86" s="16" t="str">
        <f aca="false">INDEX(Agents!$A$2:$A$19,MATCH(A86,Agents!$M$2:$M$19,0))</f>
        <v>AG13</v>
      </c>
      <c r="C86" s="21" t="str">
        <f aca="false">INDEX(Agents!$B$2:$B$19,MATCH(A86,Agents!$M$2:$M$19,0))</f>
        <v>Team Charlie</v>
      </c>
      <c r="D86" s="18" t="n">
        <f aca="false">INDEX(Agents!$H$2:$H$19,MATCH(A86,Agents!$M$2:$M$19,0))</f>
        <v>0.884816753926702</v>
      </c>
      <c r="E86" s="19" t="n">
        <f aca="false">INDEX(Agents!$I$2:$I$19,MATCH(A86,Agents!$M$2:$M$19,0))</f>
        <v>4.385</v>
      </c>
      <c r="G86" s="16" t="n">
        <f aca="false">COUNTA(Agents!$A$2:$A$19)-2</f>
        <v>16</v>
      </c>
      <c r="H86" s="16" t="str">
        <f aca="false">INDEX(Agents!$A$2:$A$19,MATCH(G86,Agents!$M$2:$M$19,0))</f>
        <v>AG16</v>
      </c>
      <c r="I86" s="21" t="str">
        <f aca="false">INDEX(Agents!$B$2:$B$19,MATCH(G86,Agents!$M$2:$M$19,0))</f>
        <v>Team Charlie</v>
      </c>
      <c r="J86" s="18" t="n">
        <f aca="false">INDEX(Agents!$H$2:$H$19,MATCH(G86,Agents!$M$2:$M$19,0))</f>
        <v>0.710191082802548</v>
      </c>
      <c r="K86" s="19" t="n">
        <f aca="false">INDEX(Agents!$I$2:$I$19,MATCH(G86,Agents!$M$2:$M$19,0))</f>
        <v>3.82857142857143</v>
      </c>
    </row>
    <row r="87" customFormat="false" ht="15" hidden="false" customHeight="false" outlineLevel="0" collapsed="false">
      <c r="A87" s="16" t="n">
        <v>4</v>
      </c>
      <c r="B87" s="16" t="str">
        <f aca="false">INDEX(Agents!$A$2:$A$19,MATCH(A87,Agents!$M$2:$M$19,0))</f>
        <v>AG05</v>
      </c>
      <c r="C87" s="21" t="str">
        <f aca="false">INDEX(Agents!$B$2:$B$19,MATCH(A87,Agents!$M$2:$M$19,0))</f>
        <v>Team Alpha</v>
      </c>
      <c r="D87" s="18" t="n">
        <f aca="false">INDEX(Agents!$H$2:$H$19,MATCH(A87,Agents!$M$2:$M$19,0))</f>
        <v>0.868263473053892</v>
      </c>
      <c r="E87" s="19" t="n">
        <f aca="false">INDEX(Agents!$I$2:$I$19,MATCH(A87,Agents!$M$2:$M$19,0))</f>
        <v>4.30113636363636</v>
      </c>
      <c r="G87" s="16" t="n">
        <f aca="false">COUNTA(Agents!$A$2:$A$19)-3</f>
        <v>15</v>
      </c>
      <c r="H87" s="16" t="str">
        <f aca="false">INDEX(Agents!$A$2:$A$19,MATCH(G87,Agents!$M$2:$M$19,0))</f>
        <v>AG10</v>
      </c>
      <c r="I87" s="21" t="str">
        <f aca="false">INDEX(Agents!$B$2:$B$19,MATCH(G87,Agents!$M$2:$M$19,0))</f>
        <v>Team Bravo</v>
      </c>
      <c r="J87" s="18" t="n">
        <f aca="false">INDEX(Agents!$H$2:$H$19,MATCH(G87,Agents!$M$2:$M$19,0))</f>
        <v>0.733695652173913</v>
      </c>
      <c r="K87" s="19" t="n">
        <f aca="false">INDEX(Agents!$I$2:$I$19,MATCH(G87,Agents!$M$2:$M$19,0))</f>
        <v>3.735</v>
      </c>
    </row>
    <row r="88" customFormat="false" ht="15" hidden="false" customHeight="false" outlineLevel="0" collapsed="false">
      <c r="A88" s="16" t="n">
        <v>5</v>
      </c>
      <c r="B88" s="16" t="str">
        <f aca="false">INDEX(Agents!$A$2:$A$19,MATCH(A88,Agents!$M$2:$M$19,0))</f>
        <v>AG08</v>
      </c>
      <c r="C88" s="21" t="str">
        <f aca="false">INDEX(Agents!$B$2:$B$19,MATCH(A88,Agents!$M$2:$M$19,0))</f>
        <v>Team Bravo</v>
      </c>
      <c r="D88" s="18" t="n">
        <f aca="false">INDEX(Agents!$H$2:$H$19,MATCH(A88,Agents!$M$2:$M$19,0))</f>
        <v>0.857142857142857</v>
      </c>
      <c r="E88" s="19" t="n">
        <f aca="false">INDEX(Agents!$I$2:$I$19,MATCH(A88,Agents!$M$2:$M$19,0))</f>
        <v>4.40340909090909</v>
      </c>
      <c r="G88" s="16" t="n">
        <f aca="false">COUNTA(Agents!$A$2:$A$19)-4</f>
        <v>14</v>
      </c>
      <c r="H88" s="16" t="str">
        <f aca="false">INDEX(Agents!$A$2:$A$19,MATCH(G88,Agents!$M$2:$M$19,0))</f>
        <v>AG04</v>
      </c>
      <c r="I88" s="21" t="str">
        <f aca="false">INDEX(Agents!$B$2:$B$19,MATCH(G88,Agents!$M$2:$M$19,0))</f>
        <v>Team Alpha</v>
      </c>
      <c r="J88" s="18" t="n">
        <f aca="false">INDEX(Agents!$H$2:$H$19,MATCH(G88,Agents!$M$2:$M$19,0))</f>
        <v>0.776119402985075</v>
      </c>
      <c r="K88" s="19" t="n">
        <f aca="false">INDEX(Agents!$I$2:$I$19,MATCH(G88,Agents!$M$2:$M$19,0))</f>
        <v>3.93888888888889</v>
      </c>
    </row>
    <row r="90" customFormat="false" ht="15" hidden="false" customHeight="false" outlineLevel="0" collapsed="false">
      <c r="A90" s="14" t="s">
        <v>86</v>
      </c>
      <c r="B90" s="14" t="s">
        <v>87</v>
      </c>
    </row>
    <row r="91" customFormat="false" ht="15" hidden="false" customHeight="false" outlineLevel="0" collapsed="false">
      <c r="A91" s="21" t="s">
        <v>88</v>
      </c>
      <c r="B91" s="22" t="n">
        <f aca="false">COUNTIF(Agents!$L$2:$L$19,A91)</f>
        <v>5</v>
      </c>
    </row>
    <row r="92" customFormat="false" ht="15" hidden="false" customHeight="false" outlineLevel="0" collapsed="false">
      <c r="A92" s="21" t="s">
        <v>89</v>
      </c>
      <c r="B92" s="22" t="n">
        <f aca="false">COUNTIF(Agents!$L$2:$L$19,A92)</f>
        <v>7</v>
      </c>
    </row>
    <row r="93" customFormat="false" ht="15" hidden="false" customHeight="false" outlineLevel="0" collapsed="false">
      <c r="A93" s="21" t="s">
        <v>90</v>
      </c>
      <c r="B93" s="22" t="n">
        <f aca="false">COUNTIF(Agents!$L$2:$L$19,A93)</f>
        <v>6</v>
      </c>
    </row>
  </sheetData>
  <mergeCells count="31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7:L17"/>
    <mergeCell ref="A24:L24"/>
    <mergeCell ref="A33:L33"/>
    <mergeCell ref="A49:L49"/>
    <mergeCell ref="A65:L65"/>
    <mergeCell ref="A81:L81"/>
    <mergeCell ref="A82:E82"/>
    <mergeCell ref="G82:K82"/>
  </mergeCells>
  <conditionalFormatting sqref="F26:F29">
    <cfRule type="colorScale" priority="2">
      <colorScale>
        <cfvo type="min" val="0"/>
        <cfvo type="max" val="0"/>
        <color rgb="FFF4B6B6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29" t="s">
        <v>91</v>
      </c>
    </row>
    <row r="2" customFormat="false" ht="15" hidden="false" customHeight="false" outlineLevel="0" collapsed="false">
      <c r="A2" s="30" t="s">
        <v>92</v>
      </c>
    </row>
    <row r="4" customFormat="false" ht="15" hidden="false" customHeight="false" outlineLevel="0" collapsed="false">
      <c r="A4" s="31" t="s">
        <v>93</v>
      </c>
      <c r="B4" s="32" t="n">
        <v>46295</v>
      </c>
      <c r="C4" s="30" t="s">
        <v>94</v>
      </c>
    </row>
    <row r="5" customFormat="false" ht="15" hidden="false" customHeight="false" outlineLevel="0" collapsed="false">
      <c r="A5" s="31" t="s">
        <v>95</v>
      </c>
      <c r="B5" s="32" t="n">
        <v>46204</v>
      </c>
      <c r="C5" s="30" t="s">
        <v>96</v>
      </c>
    </row>
    <row r="6" customFormat="false" ht="15" hidden="false" customHeight="false" outlineLevel="0" collapsed="false">
      <c r="A6" s="31" t="s">
        <v>97</v>
      </c>
      <c r="B6" s="33" t="n">
        <f aca="false">(YEAR(B4)-YEAR(B5))*12+MONTH(B4)-MONTH(B5)+1</f>
        <v>3</v>
      </c>
      <c r="C6" s="30" t="s">
        <v>98</v>
      </c>
    </row>
    <row r="7" customFormat="false" ht="15" hidden="false" customHeight="false" outlineLevel="0" collapsed="false">
      <c r="A7" s="31" t="s">
        <v>99</v>
      </c>
      <c r="B7" s="34" t="n">
        <v>0.9</v>
      </c>
      <c r="C7" s="30" t="s">
        <v>100</v>
      </c>
    </row>
    <row r="8" customFormat="false" ht="15" hidden="false" customHeight="false" outlineLevel="0" collapsed="false">
      <c r="A8" s="31" t="s">
        <v>101</v>
      </c>
      <c r="B8" s="34" t="n">
        <v>0.85</v>
      </c>
      <c r="C8" s="30" t="s">
        <v>102</v>
      </c>
    </row>
    <row r="9" customFormat="false" ht="15" hidden="false" customHeight="false" outlineLevel="0" collapsed="false">
      <c r="A9" s="31" t="s">
        <v>103</v>
      </c>
      <c r="B9" s="35" t="n">
        <v>4.2</v>
      </c>
      <c r="C9" s="30" t="s">
        <v>104</v>
      </c>
    </row>
    <row r="10" customFormat="false" ht="15" hidden="false" customHeight="false" outlineLevel="0" collapsed="false">
      <c r="A10" s="31" t="s">
        <v>105</v>
      </c>
      <c r="B10" s="34" t="n">
        <v>0.08</v>
      </c>
      <c r="C10" s="30" t="s">
        <v>106</v>
      </c>
    </row>
    <row r="11" customFormat="false" ht="15" hidden="false" customHeight="false" outlineLevel="0" collapsed="false">
      <c r="A11" s="31" t="s">
        <v>107</v>
      </c>
      <c r="B11" s="36" t="n">
        <v>3</v>
      </c>
      <c r="C11" s="30" t="s">
        <v>108</v>
      </c>
    </row>
    <row r="13" customFormat="false" ht="15" hidden="false" customHeight="false" outlineLevel="0" collapsed="false">
      <c r="A13" s="37" t="s">
        <v>109</v>
      </c>
    </row>
    <row r="14" customFormat="false" ht="15" hidden="false" customHeight="false" outlineLevel="0" collapsed="false">
      <c r="A14" s="38" t="s">
        <v>46</v>
      </c>
      <c r="B14" s="38" t="s">
        <v>110</v>
      </c>
      <c r="C14" s="38" t="s">
        <v>111</v>
      </c>
    </row>
    <row r="15" customFormat="false" ht="15" hidden="false" customHeight="false" outlineLevel="0" collapsed="false">
      <c r="A15" s="21" t="s">
        <v>49</v>
      </c>
      <c r="B15" s="39" t="n">
        <v>15</v>
      </c>
      <c r="C15" s="39" t="n">
        <v>4</v>
      </c>
    </row>
    <row r="16" customFormat="false" ht="15" hidden="false" customHeight="false" outlineLevel="0" collapsed="false">
      <c r="A16" s="21" t="s">
        <v>50</v>
      </c>
      <c r="B16" s="39" t="n">
        <v>30</v>
      </c>
      <c r="C16" s="39" t="n">
        <v>8</v>
      </c>
    </row>
    <row r="17" customFormat="false" ht="15" hidden="false" customHeight="false" outlineLevel="0" collapsed="false">
      <c r="A17" s="21" t="s">
        <v>51</v>
      </c>
      <c r="B17" s="39" t="n">
        <v>60</v>
      </c>
      <c r="C17" s="39" t="n">
        <v>24</v>
      </c>
    </row>
    <row r="18" customFormat="false" ht="15" hidden="false" customHeight="false" outlineLevel="0" collapsed="false">
      <c r="A18" s="21" t="s">
        <v>52</v>
      </c>
      <c r="B18" s="39" t="n">
        <v>240</v>
      </c>
      <c r="C18" s="39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2"/>
  </cols>
  <sheetData>
    <row r="1" customFormat="false" ht="42" hidden="false" customHeight="true" outlineLevel="0" collapsed="false">
      <c r="A1" s="38" t="s">
        <v>112</v>
      </c>
      <c r="B1" s="38" t="s">
        <v>85</v>
      </c>
      <c r="C1" s="38" t="s">
        <v>40</v>
      </c>
      <c r="D1" s="38" t="s">
        <v>113</v>
      </c>
      <c r="E1" s="38" t="s">
        <v>56</v>
      </c>
      <c r="F1" s="38" t="s">
        <v>44</v>
      </c>
      <c r="G1" s="38" t="s">
        <v>41</v>
      </c>
      <c r="H1" s="38" t="s">
        <v>42</v>
      </c>
      <c r="I1" s="38" t="s">
        <v>43</v>
      </c>
      <c r="J1" s="38" t="s">
        <v>63</v>
      </c>
      <c r="K1" s="38" t="s">
        <v>114</v>
      </c>
      <c r="L1" s="38" t="s">
        <v>115</v>
      </c>
      <c r="M1" s="38" t="s">
        <v>116</v>
      </c>
    </row>
    <row r="2" customFormat="false" ht="15" hidden="false" customHeight="false" outlineLevel="0" collapsed="false">
      <c r="A2" s="31" t="s">
        <v>117</v>
      </c>
      <c r="B2" s="31" t="s">
        <v>118</v>
      </c>
      <c r="C2" s="40" t="n">
        <f aca="false">COUNTIFS(Tickets!$F$2:$F$6919,A2)</f>
        <v>369</v>
      </c>
      <c r="D2" s="40" t="n">
        <f aca="false">COUNTIFS(Tickets!$F$2:$F$6919,A2,Tickets!$I$2:$I$6919,"&lt;&gt;Open")</f>
        <v>340</v>
      </c>
      <c r="E2" s="41" t="n">
        <f aca="false">IFERROR(AVERAGEIFS(Tickets!$G$2:$G$6919,Tickets!$F$2:$F$6919,A2),0)</f>
        <v>21.8265582655827</v>
      </c>
      <c r="F2" s="41" t="n">
        <f aca="false">IFERROR(AVERAGEIFS(Tickets!$H$2:$H$6919,Tickets!$F$2:$F$6919,A2),0)</f>
        <v>12.4511764705882</v>
      </c>
      <c r="G2" s="42" t="n">
        <f aca="false">IFERROR(COUNTIFS(Tickets!$F$2:$F$6919,A2,Tickets!$N$2:$N$6919,"Yes")/C2,0)</f>
        <v>0.894308943089431</v>
      </c>
      <c r="H2" s="42" t="n">
        <f aca="false">IFERROR(COUNTIFS(Tickets!$F$2:$F$6919,A2,Tickets!$O$2:$O$6919,"Yes")/(COUNTIFS(Tickets!$F$2:$F$6919,A2,Tickets!$O$2:$O$6919,"Yes")+COUNTIFS(Tickets!$F$2:$F$6919,A2,Tickets!$O$2:$O$6919,"No")),0)</f>
        <v>0.902941176470588</v>
      </c>
      <c r="I2" s="43" t="n">
        <f aca="false">IFERROR(AVERAGEIFS(Tickets!$J$2:$J$6919,Tickets!$F$2:$F$6919,A2),0)</f>
        <v>4.37912087912088</v>
      </c>
      <c r="J2" s="42" t="n">
        <f aca="false">IFERROR(COUNTIFS(Tickets!$F$2:$F$6919,A2,Tickets!$K$2:$K$6919,"Yes")/D2,0)</f>
        <v>0.0470588235294118</v>
      </c>
      <c r="K2" s="31" t="n">
        <f aca="false">(H2&lt;Assumptions!$B$8)+(I2&lt;Assumptions!$B$9)+(J2&gt;Assumptions!$B$10)</f>
        <v>0</v>
      </c>
      <c r="L2" s="31" t="str">
        <f aca="false">IF(K2&gt;=3,"Coaching needed",IF(K2&gt;=1,"Watch","On track"))</f>
        <v>On track</v>
      </c>
      <c r="M2" s="31" t="n">
        <f aca="false">RANK(H2,$H$2:$H$19)+COUNTIF($H$2:H2,H2)-1</f>
        <v>2</v>
      </c>
    </row>
    <row r="3" customFormat="false" ht="15" hidden="false" customHeight="false" outlineLevel="0" collapsed="false">
      <c r="A3" s="31" t="s">
        <v>119</v>
      </c>
      <c r="B3" s="31" t="s">
        <v>118</v>
      </c>
      <c r="C3" s="40" t="n">
        <f aca="false">COUNTIFS(Tickets!$F$2:$F$6919,A3)</f>
        <v>355</v>
      </c>
      <c r="D3" s="40" t="n">
        <f aca="false">COUNTIFS(Tickets!$F$2:$F$6919,A3,Tickets!$I$2:$I$6919,"&lt;&gt;Open")</f>
        <v>320</v>
      </c>
      <c r="E3" s="41" t="n">
        <f aca="false">IFERROR(AVERAGEIFS(Tickets!$G$2:$G$6919,Tickets!$F$2:$F$6919,A3),0)</f>
        <v>21.9774647887324</v>
      </c>
      <c r="F3" s="41" t="n">
        <f aca="false">IFERROR(AVERAGEIFS(Tickets!$H$2:$H$6919,Tickets!$F$2:$F$6919,A3),0)</f>
        <v>14.8984375</v>
      </c>
      <c r="G3" s="42" t="n">
        <f aca="false">IFERROR(COUNTIFS(Tickets!$F$2:$F$6919,A3,Tickets!$N$2:$N$6919,"Yes")/C3,0)</f>
        <v>0.909859154929578</v>
      </c>
      <c r="H3" s="42" t="n">
        <f aca="false">IFERROR(COUNTIFS(Tickets!$F$2:$F$6919,A3,Tickets!$O$2:$O$6919,"Yes")/(COUNTIFS(Tickets!$F$2:$F$6919,A3,Tickets!$O$2:$O$6919,"Yes")+COUNTIFS(Tickets!$F$2:$F$6919,A3,Tickets!$O$2:$O$6919,"No")),0)</f>
        <v>0.828125</v>
      </c>
      <c r="I3" s="43" t="n">
        <f aca="false">IFERROR(AVERAGEIFS(Tickets!$J$2:$J$6919,Tickets!$F$2:$F$6919,A3),0)</f>
        <v>4.13496932515337</v>
      </c>
      <c r="J3" s="42" t="n">
        <f aca="false">IFERROR(COUNTIFS(Tickets!$F$2:$F$6919,A3,Tickets!$K$2:$K$6919,"Yes")/D3,0)</f>
        <v>0.05625</v>
      </c>
      <c r="K3" s="31" t="n">
        <f aca="false">(H3&lt;Assumptions!$B$8)+(I3&lt;Assumptions!$B$9)+(J3&gt;Assumptions!$B$10)</f>
        <v>2</v>
      </c>
      <c r="L3" s="31" t="str">
        <f aca="false">IF(K3&gt;=3,"Coaching needed",IF(K3&gt;=1,"Watch","On track"))</f>
        <v>Watch</v>
      </c>
      <c r="M3" s="31" t="n">
        <f aca="false">RANK(H3,$H$2:$H$19)+COUNTIF($H$2:H3,H3)-1</f>
        <v>11</v>
      </c>
    </row>
    <row r="4" customFormat="false" ht="15" hidden="false" customHeight="false" outlineLevel="0" collapsed="false">
      <c r="A4" s="31" t="s">
        <v>120</v>
      </c>
      <c r="B4" s="31" t="s">
        <v>118</v>
      </c>
      <c r="C4" s="40" t="n">
        <f aca="false">COUNTIFS(Tickets!$F$2:$F$6919,A4)</f>
        <v>393</v>
      </c>
      <c r="D4" s="40" t="n">
        <f aca="false">COUNTIFS(Tickets!$F$2:$F$6919,A4,Tickets!$I$2:$I$6919,"&lt;&gt;Open")</f>
        <v>346</v>
      </c>
      <c r="E4" s="41" t="n">
        <f aca="false">IFERROR(AVERAGEIFS(Tickets!$G$2:$G$6919,Tickets!$F$2:$F$6919,A4),0)</f>
        <v>33.0356234096692</v>
      </c>
      <c r="F4" s="41" t="n">
        <f aca="false">IFERROR(AVERAGEIFS(Tickets!$H$2:$H$6919,Tickets!$F$2:$F$6919,A4),0)</f>
        <v>23.6277456647399</v>
      </c>
      <c r="G4" s="42" t="n">
        <f aca="false">IFERROR(COUNTIFS(Tickets!$F$2:$F$6919,A4,Tickets!$N$2:$N$6919,"Yes")/C4,0)</f>
        <v>0.860050890585242</v>
      </c>
      <c r="H4" s="42" t="n">
        <f aca="false">IFERROR(COUNTIFS(Tickets!$F$2:$F$6919,A4,Tickets!$O$2:$O$6919,"Yes")/(COUNTIFS(Tickets!$F$2:$F$6919,A4,Tickets!$O$2:$O$6919,"Yes")+COUNTIFS(Tickets!$F$2:$F$6919,A4,Tickets!$O$2:$O$6919,"No")),0)</f>
        <v>0.702312138728324</v>
      </c>
      <c r="I4" s="43" t="n">
        <f aca="false">IFERROR(AVERAGEIFS(Tickets!$J$2:$J$6919,Tickets!$F$2:$F$6919,A4),0)</f>
        <v>3.63720930232558</v>
      </c>
      <c r="J4" s="42" t="n">
        <f aca="false">IFERROR(COUNTIFS(Tickets!$F$2:$F$6919,A4,Tickets!$K$2:$K$6919,"Yes")/D4,0)</f>
        <v>0.11849710982659</v>
      </c>
      <c r="K4" s="31" t="n">
        <f aca="false">(H4&lt;Assumptions!$B$8)+(I4&lt;Assumptions!$B$9)+(J4&gt;Assumptions!$B$10)</f>
        <v>3</v>
      </c>
      <c r="L4" s="31" t="str">
        <f aca="false">IF(K4&gt;=3,"Coaching needed",IF(K4&gt;=1,"Watch","On track"))</f>
        <v>Coaching needed</v>
      </c>
      <c r="M4" s="31" t="n">
        <f aca="false">RANK(H4,$H$2:$H$19)+COUNTIF($H$2:H4,H4)-1</f>
        <v>17</v>
      </c>
    </row>
    <row r="5" customFormat="false" ht="15" hidden="false" customHeight="false" outlineLevel="0" collapsed="false">
      <c r="A5" s="31" t="s">
        <v>121</v>
      </c>
      <c r="B5" s="31" t="s">
        <v>118</v>
      </c>
      <c r="C5" s="40" t="n">
        <f aca="false">COUNTIFS(Tickets!$F$2:$F$6919,A5)</f>
        <v>373</v>
      </c>
      <c r="D5" s="40" t="n">
        <f aca="false">COUNTIFS(Tickets!$F$2:$F$6919,A5,Tickets!$I$2:$I$6919,"&lt;&gt;Open")</f>
        <v>335</v>
      </c>
      <c r="E5" s="41" t="n">
        <f aca="false">IFERROR(AVERAGEIFS(Tickets!$G$2:$G$6919,Tickets!$F$2:$F$6919,A5),0)</f>
        <v>36.4772117962467</v>
      </c>
      <c r="F5" s="41" t="n">
        <f aca="false">IFERROR(AVERAGEIFS(Tickets!$H$2:$H$6919,Tickets!$F$2:$F$6919,A5),0)</f>
        <v>19.6644776119403</v>
      </c>
      <c r="G5" s="42" t="n">
        <f aca="false">IFERROR(COUNTIFS(Tickets!$F$2:$F$6919,A5,Tickets!$N$2:$N$6919,"Yes")/C5,0)</f>
        <v>0.847184986595174</v>
      </c>
      <c r="H5" s="42" t="n">
        <f aca="false">IFERROR(COUNTIFS(Tickets!$F$2:$F$6919,A5,Tickets!$O$2:$O$6919,"Yes")/(COUNTIFS(Tickets!$F$2:$F$6919,A5,Tickets!$O$2:$O$6919,"Yes")+COUNTIFS(Tickets!$F$2:$F$6919,A5,Tickets!$O$2:$O$6919,"No")),0)</f>
        <v>0.776119402985075</v>
      </c>
      <c r="I5" s="43" t="n">
        <f aca="false">IFERROR(AVERAGEIFS(Tickets!$J$2:$J$6919,Tickets!$F$2:$F$6919,A5),0)</f>
        <v>3.93888888888889</v>
      </c>
      <c r="J5" s="42" t="n">
        <f aca="false">IFERROR(COUNTIFS(Tickets!$F$2:$F$6919,A5,Tickets!$K$2:$K$6919,"Yes")/D5,0)</f>
        <v>0.0955223880597015</v>
      </c>
      <c r="K5" s="31" t="n">
        <f aca="false">(H5&lt;Assumptions!$B$8)+(I5&lt;Assumptions!$B$9)+(J5&gt;Assumptions!$B$10)</f>
        <v>3</v>
      </c>
      <c r="L5" s="31" t="str">
        <f aca="false">IF(K5&gt;=3,"Coaching needed",IF(K5&gt;=1,"Watch","On track"))</f>
        <v>Coaching needed</v>
      </c>
      <c r="M5" s="31" t="n">
        <f aca="false">RANK(H5,$H$2:$H$19)+COUNTIF($H$2:H5,H5)-1</f>
        <v>14</v>
      </c>
    </row>
    <row r="6" customFormat="false" ht="15" hidden="false" customHeight="false" outlineLevel="0" collapsed="false">
      <c r="A6" s="31" t="s">
        <v>122</v>
      </c>
      <c r="B6" s="31" t="s">
        <v>118</v>
      </c>
      <c r="C6" s="40" t="n">
        <f aca="false">COUNTIFS(Tickets!$F$2:$F$6919,A6)</f>
        <v>365</v>
      </c>
      <c r="D6" s="40" t="n">
        <f aca="false">COUNTIFS(Tickets!$F$2:$F$6919,A6,Tickets!$I$2:$I$6919,"&lt;&gt;Open")</f>
        <v>334</v>
      </c>
      <c r="E6" s="41" t="n">
        <f aca="false">IFERROR(AVERAGEIFS(Tickets!$G$2:$G$6919,Tickets!$F$2:$F$6919,A6),0)</f>
        <v>28.9452054794521</v>
      </c>
      <c r="F6" s="41" t="n">
        <f aca="false">IFERROR(AVERAGEIFS(Tickets!$H$2:$H$6919,Tickets!$F$2:$F$6919,A6),0)</f>
        <v>14.9107784431138</v>
      </c>
      <c r="G6" s="42" t="n">
        <f aca="false">IFERROR(COUNTIFS(Tickets!$F$2:$F$6919,A6,Tickets!$N$2:$N$6919,"Yes")/C6,0)</f>
        <v>0.876712328767123</v>
      </c>
      <c r="H6" s="42" t="n">
        <f aca="false">IFERROR(COUNTIFS(Tickets!$F$2:$F$6919,A6,Tickets!$O$2:$O$6919,"Yes")/(COUNTIFS(Tickets!$F$2:$F$6919,A6,Tickets!$O$2:$O$6919,"Yes")+COUNTIFS(Tickets!$F$2:$F$6919,A6,Tickets!$O$2:$O$6919,"No")),0)</f>
        <v>0.868263473053892</v>
      </c>
      <c r="I6" s="43" t="n">
        <f aca="false">IFERROR(AVERAGEIFS(Tickets!$J$2:$J$6919,Tickets!$F$2:$F$6919,A6),0)</f>
        <v>4.30113636363636</v>
      </c>
      <c r="J6" s="42" t="n">
        <f aca="false">IFERROR(COUNTIFS(Tickets!$F$2:$F$6919,A6,Tickets!$K$2:$K$6919,"Yes")/D6,0)</f>
        <v>0.0658682634730539</v>
      </c>
      <c r="K6" s="31" t="n">
        <f aca="false">(H6&lt;Assumptions!$B$8)+(I6&lt;Assumptions!$B$9)+(J6&gt;Assumptions!$B$10)</f>
        <v>0</v>
      </c>
      <c r="L6" s="31" t="str">
        <f aca="false">IF(K6&gt;=3,"Coaching needed",IF(K6&gt;=1,"Watch","On track"))</f>
        <v>On track</v>
      </c>
      <c r="M6" s="31" t="n">
        <f aca="false">RANK(H6,$H$2:$H$19)+COUNTIF($H$2:H6,H6)-1</f>
        <v>4</v>
      </c>
    </row>
    <row r="7" customFormat="false" ht="15" hidden="false" customHeight="false" outlineLevel="0" collapsed="false">
      <c r="A7" s="31" t="s">
        <v>123</v>
      </c>
      <c r="B7" s="31" t="s">
        <v>118</v>
      </c>
      <c r="C7" s="40" t="n">
        <f aca="false">COUNTIFS(Tickets!$F$2:$F$6919,A7)</f>
        <v>400</v>
      </c>
      <c r="D7" s="40" t="n">
        <f aca="false">COUNTIFS(Tickets!$F$2:$F$6919,A7,Tickets!$I$2:$I$6919,"&lt;&gt;Open")</f>
        <v>372</v>
      </c>
      <c r="E7" s="41" t="n">
        <f aca="false">IFERROR(AVERAGEIFS(Tickets!$G$2:$G$6919,Tickets!$F$2:$F$6919,A7),0)</f>
        <v>27.675</v>
      </c>
      <c r="F7" s="41" t="n">
        <f aca="false">IFERROR(AVERAGEIFS(Tickets!$H$2:$H$6919,Tickets!$F$2:$F$6919,A7),0)</f>
        <v>13.7782258064516</v>
      </c>
      <c r="G7" s="42" t="n">
        <f aca="false">IFERROR(COUNTIFS(Tickets!$F$2:$F$6919,A7,Tickets!$N$2:$N$6919,"Yes")/C7,0)</f>
        <v>0.8875</v>
      </c>
      <c r="H7" s="42" t="n">
        <f aca="false">IFERROR(COUNTIFS(Tickets!$F$2:$F$6919,A7,Tickets!$O$2:$O$6919,"Yes")/(COUNTIFS(Tickets!$F$2:$F$6919,A7,Tickets!$O$2:$O$6919,"Yes")+COUNTIFS(Tickets!$F$2:$F$6919,A7,Tickets!$O$2:$O$6919,"No")),0)</f>
        <v>0.833333333333333</v>
      </c>
      <c r="I7" s="43" t="n">
        <f aca="false">IFERROR(AVERAGEIFS(Tickets!$J$2:$J$6919,Tickets!$F$2:$F$6919,A7),0)</f>
        <v>4.14691943127962</v>
      </c>
      <c r="J7" s="42" t="n">
        <f aca="false">IFERROR(COUNTIFS(Tickets!$F$2:$F$6919,A7,Tickets!$K$2:$K$6919,"Yes")/D7,0)</f>
        <v>0.0698924731182796</v>
      </c>
      <c r="K7" s="31" t="n">
        <f aca="false">(H7&lt;Assumptions!$B$8)+(I7&lt;Assumptions!$B$9)+(J7&gt;Assumptions!$B$10)</f>
        <v>2</v>
      </c>
      <c r="L7" s="31" t="str">
        <f aca="false">IF(K7&gt;=3,"Coaching needed",IF(K7&gt;=1,"Watch","On track"))</f>
        <v>Watch</v>
      </c>
      <c r="M7" s="31" t="n">
        <f aca="false">RANK(H7,$H$2:$H$19)+COUNTIF($H$2:H7,H7)-1</f>
        <v>10</v>
      </c>
    </row>
    <row r="8" customFormat="false" ht="15" hidden="false" customHeight="false" outlineLevel="0" collapsed="false">
      <c r="A8" s="31" t="s">
        <v>124</v>
      </c>
      <c r="B8" s="31" t="s">
        <v>125</v>
      </c>
      <c r="C8" s="40" t="n">
        <f aca="false">COUNTIFS(Tickets!$F$2:$F$6919,A8)</f>
        <v>394</v>
      </c>
      <c r="D8" s="40" t="n">
        <f aca="false">COUNTIFS(Tickets!$F$2:$F$6919,A8,Tickets!$I$2:$I$6919,"&lt;&gt;Open")</f>
        <v>364</v>
      </c>
      <c r="E8" s="41" t="n">
        <f aca="false">IFERROR(AVERAGEIFS(Tickets!$G$2:$G$6919,Tickets!$F$2:$F$6919,A8),0)</f>
        <v>20.2893401015228</v>
      </c>
      <c r="F8" s="41" t="n">
        <f aca="false">IFERROR(AVERAGEIFS(Tickets!$H$2:$H$6919,Tickets!$F$2:$F$6919,A8),0)</f>
        <v>14.2071428571429</v>
      </c>
      <c r="G8" s="42" t="n">
        <f aca="false">IFERROR(COUNTIFS(Tickets!$F$2:$F$6919,A8,Tickets!$N$2:$N$6919,"Yes")/C8,0)</f>
        <v>0.928934010152284</v>
      </c>
      <c r="H8" s="42" t="n">
        <f aca="false">IFERROR(COUNTIFS(Tickets!$F$2:$F$6919,A8,Tickets!$O$2:$O$6919,"Yes")/(COUNTIFS(Tickets!$F$2:$F$6919,A8,Tickets!$O$2:$O$6919,"Yes")+COUNTIFS(Tickets!$F$2:$F$6919,A8,Tickets!$O$2:$O$6919,"No")),0)</f>
        <v>0.826923076923077</v>
      </c>
      <c r="I8" s="43" t="n">
        <f aca="false">IFERROR(AVERAGEIFS(Tickets!$J$2:$J$6919,Tickets!$F$2:$F$6919,A8),0)</f>
        <v>4.31521739130435</v>
      </c>
      <c r="J8" s="42" t="n">
        <f aca="false">IFERROR(COUNTIFS(Tickets!$F$2:$F$6919,A8,Tickets!$K$2:$K$6919,"Yes")/D8,0)</f>
        <v>0.0824175824175824</v>
      </c>
      <c r="K8" s="31" t="n">
        <f aca="false">(H8&lt;Assumptions!$B$8)+(I8&lt;Assumptions!$B$9)+(J8&gt;Assumptions!$B$10)</f>
        <v>2</v>
      </c>
      <c r="L8" s="31" t="str">
        <f aca="false">IF(K8&gt;=3,"Coaching needed",IF(K8&gt;=1,"Watch","On track"))</f>
        <v>Watch</v>
      </c>
      <c r="M8" s="31" t="n">
        <f aca="false">RANK(H8,$H$2:$H$19)+COUNTIF($H$2:H8,H8)-1</f>
        <v>12</v>
      </c>
    </row>
    <row r="9" customFormat="false" ht="15" hidden="false" customHeight="false" outlineLevel="0" collapsed="false">
      <c r="A9" s="31" t="s">
        <v>126</v>
      </c>
      <c r="B9" s="31" t="s">
        <v>125</v>
      </c>
      <c r="C9" s="40" t="n">
        <f aca="false">COUNTIFS(Tickets!$F$2:$F$6919,A9)</f>
        <v>379</v>
      </c>
      <c r="D9" s="40" t="n">
        <f aca="false">COUNTIFS(Tickets!$F$2:$F$6919,A9,Tickets!$I$2:$I$6919,"&lt;&gt;Open")</f>
        <v>343</v>
      </c>
      <c r="E9" s="41" t="n">
        <f aca="false">IFERROR(AVERAGEIFS(Tickets!$G$2:$G$6919,Tickets!$F$2:$F$6919,A9),0)</f>
        <v>22.6042216358839</v>
      </c>
      <c r="F9" s="41" t="n">
        <f aca="false">IFERROR(AVERAGEIFS(Tickets!$H$2:$H$6919,Tickets!$F$2:$F$6919,A9),0)</f>
        <v>11.9498542274052</v>
      </c>
      <c r="G9" s="42" t="n">
        <f aca="false">IFERROR(COUNTIFS(Tickets!$F$2:$F$6919,A9,Tickets!$N$2:$N$6919,"Yes")/C9,0)</f>
        <v>0.870712401055409</v>
      </c>
      <c r="H9" s="42" t="n">
        <f aca="false">IFERROR(COUNTIFS(Tickets!$F$2:$F$6919,A9,Tickets!$O$2:$O$6919,"Yes")/(COUNTIFS(Tickets!$F$2:$F$6919,A9,Tickets!$O$2:$O$6919,"Yes")+COUNTIFS(Tickets!$F$2:$F$6919,A9,Tickets!$O$2:$O$6919,"No")),0)</f>
        <v>0.857142857142857</v>
      </c>
      <c r="I9" s="43" t="n">
        <f aca="false">IFERROR(AVERAGEIFS(Tickets!$J$2:$J$6919,Tickets!$F$2:$F$6919,A9),0)</f>
        <v>4.40340909090909</v>
      </c>
      <c r="J9" s="42" t="n">
        <f aca="false">IFERROR(COUNTIFS(Tickets!$F$2:$F$6919,A9,Tickets!$K$2:$K$6919,"Yes")/D9,0)</f>
        <v>0.0495626822157434</v>
      </c>
      <c r="K9" s="31" t="n">
        <f aca="false">(H9&lt;Assumptions!$B$8)+(I9&lt;Assumptions!$B$9)+(J9&gt;Assumptions!$B$10)</f>
        <v>0</v>
      </c>
      <c r="L9" s="31" t="str">
        <f aca="false">IF(K9&gt;=3,"Coaching needed",IF(K9&gt;=1,"Watch","On track"))</f>
        <v>On track</v>
      </c>
      <c r="M9" s="31" t="n">
        <f aca="false">RANK(H9,$H$2:$H$19)+COUNTIF($H$2:H9,H9)-1</f>
        <v>5</v>
      </c>
    </row>
    <row r="10" customFormat="false" ht="15" hidden="false" customHeight="false" outlineLevel="0" collapsed="false">
      <c r="A10" s="31" t="s">
        <v>127</v>
      </c>
      <c r="B10" s="31" t="s">
        <v>125</v>
      </c>
      <c r="C10" s="40" t="n">
        <f aca="false">COUNTIFS(Tickets!$F$2:$F$6919,A10)</f>
        <v>381</v>
      </c>
      <c r="D10" s="40" t="n">
        <f aca="false">COUNTIFS(Tickets!$F$2:$F$6919,A10,Tickets!$I$2:$I$6919,"&lt;&gt;Open")</f>
        <v>352</v>
      </c>
      <c r="E10" s="41" t="n">
        <f aca="false">IFERROR(AVERAGEIFS(Tickets!$G$2:$G$6919,Tickets!$F$2:$F$6919,A10),0)</f>
        <v>21.1443569553806</v>
      </c>
      <c r="F10" s="41" t="n">
        <f aca="false">IFERROR(AVERAGEIFS(Tickets!$H$2:$H$6919,Tickets!$F$2:$F$6919,A10),0)</f>
        <v>12.7409090909091</v>
      </c>
      <c r="G10" s="42" t="n">
        <f aca="false">IFERROR(COUNTIFS(Tickets!$F$2:$F$6919,A10,Tickets!$N$2:$N$6919,"Yes")/C10,0)</f>
        <v>0.910761154855643</v>
      </c>
      <c r="H10" s="42" t="n">
        <f aca="false">IFERROR(COUNTIFS(Tickets!$F$2:$F$6919,A10,Tickets!$O$2:$O$6919,"Yes")/(COUNTIFS(Tickets!$F$2:$F$6919,A10,Tickets!$O$2:$O$6919,"Yes")+COUNTIFS(Tickets!$F$2:$F$6919,A10,Tickets!$O$2:$O$6919,"No")),0)</f>
        <v>0.849431818181818</v>
      </c>
      <c r="I10" s="43" t="n">
        <f aca="false">IFERROR(AVERAGEIFS(Tickets!$J$2:$J$6919,Tickets!$F$2:$F$6919,A10),0)</f>
        <v>4.33990147783251</v>
      </c>
      <c r="J10" s="42" t="n">
        <f aca="false">IFERROR(COUNTIFS(Tickets!$F$2:$F$6919,A10,Tickets!$K$2:$K$6919,"Yes")/D10,0)</f>
        <v>0.0710227272727273</v>
      </c>
      <c r="K10" s="31" t="n">
        <f aca="false">(H10&lt;Assumptions!$B$8)+(I10&lt;Assumptions!$B$9)+(J10&gt;Assumptions!$B$10)</f>
        <v>1</v>
      </c>
      <c r="L10" s="31" t="str">
        <f aca="false">IF(K10&gt;=3,"Coaching needed",IF(K10&gt;=1,"Watch","On track"))</f>
        <v>Watch</v>
      </c>
      <c r="M10" s="31" t="n">
        <f aca="false">RANK(H10,$H$2:$H$19)+COUNTIF($H$2:H10,H10)-1</f>
        <v>7</v>
      </c>
    </row>
    <row r="11" customFormat="false" ht="15" hidden="false" customHeight="false" outlineLevel="0" collapsed="false">
      <c r="A11" s="31" t="s">
        <v>128</v>
      </c>
      <c r="B11" s="31" t="s">
        <v>125</v>
      </c>
      <c r="C11" s="40" t="n">
        <f aca="false">COUNTIFS(Tickets!$F$2:$F$6919,A11)</f>
        <v>411</v>
      </c>
      <c r="D11" s="40" t="n">
        <f aca="false">COUNTIFS(Tickets!$F$2:$F$6919,A11,Tickets!$I$2:$I$6919,"&lt;&gt;Open")</f>
        <v>368</v>
      </c>
      <c r="E11" s="41" t="n">
        <f aca="false">IFERROR(AVERAGEIFS(Tickets!$G$2:$G$6919,Tickets!$F$2:$F$6919,A11),0)</f>
        <v>50.7299270072993</v>
      </c>
      <c r="F11" s="41" t="n">
        <f aca="false">IFERROR(AVERAGEIFS(Tickets!$H$2:$H$6919,Tickets!$F$2:$F$6919,A11),0)</f>
        <v>23.6804347826087</v>
      </c>
      <c r="G11" s="42" t="n">
        <f aca="false">IFERROR(COUNTIFS(Tickets!$F$2:$F$6919,A11,Tickets!$N$2:$N$6919,"Yes")/C11,0)</f>
        <v>0.834549878345499</v>
      </c>
      <c r="H11" s="42" t="n">
        <f aca="false">IFERROR(COUNTIFS(Tickets!$F$2:$F$6919,A11,Tickets!$O$2:$O$6919,"Yes")/(COUNTIFS(Tickets!$F$2:$F$6919,A11,Tickets!$O$2:$O$6919,"Yes")+COUNTIFS(Tickets!$F$2:$F$6919,A11,Tickets!$O$2:$O$6919,"No")),0)</f>
        <v>0.733695652173913</v>
      </c>
      <c r="I11" s="43" t="n">
        <f aca="false">IFERROR(AVERAGEIFS(Tickets!$J$2:$J$6919,Tickets!$F$2:$F$6919,A11),0)</f>
        <v>3.735</v>
      </c>
      <c r="J11" s="42" t="n">
        <f aca="false">IFERROR(COUNTIFS(Tickets!$F$2:$F$6919,A11,Tickets!$K$2:$K$6919,"Yes")/D11,0)</f>
        <v>0.125</v>
      </c>
      <c r="K11" s="31" t="n">
        <f aca="false">(H11&lt;Assumptions!$B$8)+(I11&lt;Assumptions!$B$9)+(J11&gt;Assumptions!$B$10)</f>
        <v>3</v>
      </c>
      <c r="L11" s="31" t="str">
        <f aca="false">IF(K11&gt;=3,"Coaching needed",IF(K11&gt;=1,"Watch","On track"))</f>
        <v>Coaching needed</v>
      </c>
      <c r="M11" s="31" t="n">
        <f aca="false">RANK(H11,$H$2:$H$19)+COUNTIF($H$2:H11,H11)-1</f>
        <v>15</v>
      </c>
    </row>
    <row r="12" customFormat="false" ht="15" hidden="false" customHeight="false" outlineLevel="0" collapsed="false">
      <c r="A12" s="31" t="s">
        <v>129</v>
      </c>
      <c r="B12" s="31" t="s">
        <v>125</v>
      </c>
      <c r="C12" s="40" t="n">
        <f aca="false">COUNTIFS(Tickets!$F$2:$F$6919,A12)</f>
        <v>369</v>
      </c>
      <c r="D12" s="40" t="n">
        <f aca="false">COUNTIFS(Tickets!$F$2:$F$6919,A12,Tickets!$I$2:$I$6919,"&lt;&gt;Open")</f>
        <v>343</v>
      </c>
      <c r="E12" s="41" t="n">
        <f aca="false">IFERROR(AVERAGEIFS(Tickets!$G$2:$G$6919,Tickets!$F$2:$F$6919,A12),0)</f>
        <v>21.6639566395664</v>
      </c>
      <c r="F12" s="41" t="n">
        <f aca="false">IFERROR(AVERAGEIFS(Tickets!$H$2:$H$6919,Tickets!$F$2:$F$6919,A12),0)</f>
        <v>12.1778425655977</v>
      </c>
      <c r="G12" s="42" t="n">
        <f aca="false">IFERROR(COUNTIFS(Tickets!$F$2:$F$6919,A12,Tickets!$N$2:$N$6919,"Yes")/C12,0)</f>
        <v>0.905149051490515</v>
      </c>
      <c r="H12" s="42" t="n">
        <f aca="false">IFERROR(COUNTIFS(Tickets!$F$2:$F$6919,A12,Tickets!$O$2:$O$6919,"Yes")/(COUNTIFS(Tickets!$F$2:$F$6919,A12,Tickets!$O$2:$O$6919,"Yes")+COUNTIFS(Tickets!$F$2:$F$6919,A12,Tickets!$O$2:$O$6919,"No")),0)</f>
        <v>0.909620991253644</v>
      </c>
      <c r="I12" s="43" t="n">
        <f aca="false">IFERROR(AVERAGEIFS(Tickets!$J$2:$J$6919,Tickets!$F$2:$F$6919,A12),0)</f>
        <v>4.51396648044693</v>
      </c>
      <c r="J12" s="42" t="n">
        <f aca="false">IFERROR(COUNTIFS(Tickets!$F$2:$F$6919,A12,Tickets!$K$2:$K$6919,"Yes")/D12,0)</f>
        <v>0.043731778425656</v>
      </c>
      <c r="K12" s="31" t="n">
        <f aca="false">(H12&lt;Assumptions!$B$8)+(I12&lt;Assumptions!$B$9)+(J12&gt;Assumptions!$B$10)</f>
        <v>0</v>
      </c>
      <c r="L12" s="31" t="str">
        <f aca="false">IF(K12&gt;=3,"Coaching needed",IF(K12&gt;=1,"Watch","On track"))</f>
        <v>On track</v>
      </c>
      <c r="M12" s="31" t="n">
        <f aca="false">RANK(H12,$H$2:$H$19)+COUNTIF($H$2:H12,H12)-1</f>
        <v>1</v>
      </c>
    </row>
    <row r="13" customFormat="false" ht="15" hidden="false" customHeight="false" outlineLevel="0" collapsed="false">
      <c r="A13" s="31" t="s">
        <v>130</v>
      </c>
      <c r="B13" s="31" t="s">
        <v>125</v>
      </c>
      <c r="C13" s="40" t="n">
        <f aca="false">COUNTIFS(Tickets!$F$2:$F$6919,A13)</f>
        <v>396</v>
      </c>
      <c r="D13" s="40" t="n">
        <f aca="false">COUNTIFS(Tickets!$F$2:$F$6919,A13,Tickets!$I$2:$I$6919,"&lt;&gt;Open")</f>
        <v>346</v>
      </c>
      <c r="E13" s="41" t="n">
        <f aca="false">IFERROR(AVERAGEIFS(Tickets!$G$2:$G$6919,Tickets!$F$2:$F$6919,A13),0)</f>
        <v>23.1994949494949</v>
      </c>
      <c r="F13" s="41" t="n">
        <f aca="false">IFERROR(AVERAGEIFS(Tickets!$H$2:$H$6919,Tickets!$F$2:$F$6919,A13),0)</f>
        <v>13.7442196531792</v>
      </c>
      <c r="G13" s="42" t="n">
        <f aca="false">IFERROR(COUNTIFS(Tickets!$F$2:$F$6919,A13,Tickets!$N$2:$N$6919,"Yes")/C13,0)</f>
        <v>0.901515151515152</v>
      </c>
      <c r="H13" s="42" t="n">
        <f aca="false">IFERROR(COUNTIFS(Tickets!$F$2:$F$6919,A13,Tickets!$O$2:$O$6919,"Yes")/(COUNTIFS(Tickets!$F$2:$F$6919,A13,Tickets!$O$2:$O$6919,"Yes")+COUNTIFS(Tickets!$F$2:$F$6919,A13,Tickets!$O$2:$O$6919,"No")),0)</f>
        <v>0.84971098265896</v>
      </c>
      <c r="I13" s="43" t="n">
        <f aca="false">IFERROR(AVERAGEIFS(Tickets!$J$2:$J$6919,Tickets!$F$2:$F$6919,A13),0)</f>
        <v>4.37019230769231</v>
      </c>
      <c r="J13" s="42" t="n">
        <f aca="false">IFERROR(COUNTIFS(Tickets!$F$2:$F$6919,A13,Tickets!$K$2:$K$6919,"Yes")/D13,0)</f>
        <v>0.0520231213872832</v>
      </c>
      <c r="K13" s="31" t="n">
        <f aca="false">(H13&lt;Assumptions!$B$8)+(I13&lt;Assumptions!$B$9)+(J13&gt;Assumptions!$B$10)</f>
        <v>1</v>
      </c>
      <c r="L13" s="31" t="str">
        <f aca="false">IF(K13&gt;=3,"Coaching needed",IF(K13&gt;=1,"Watch","On track"))</f>
        <v>Watch</v>
      </c>
      <c r="M13" s="31" t="n">
        <f aca="false">RANK(H13,$H$2:$H$19)+COUNTIF($H$2:H13,H13)-1</f>
        <v>6</v>
      </c>
    </row>
    <row r="14" customFormat="false" ht="15" hidden="false" customHeight="false" outlineLevel="0" collapsed="false">
      <c r="A14" s="31" t="s">
        <v>131</v>
      </c>
      <c r="B14" s="31" t="s">
        <v>132</v>
      </c>
      <c r="C14" s="40" t="n">
        <f aca="false">COUNTIFS(Tickets!$F$2:$F$6919,A14)</f>
        <v>420</v>
      </c>
      <c r="D14" s="40" t="n">
        <f aca="false">COUNTIFS(Tickets!$F$2:$F$6919,A14,Tickets!$I$2:$I$6919,"&lt;&gt;Open")</f>
        <v>382</v>
      </c>
      <c r="E14" s="41" t="n">
        <f aca="false">IFERROR(AVERAGEIFS(Tickets!$G$2:$G$6919,Tickets!$F$2:$F$6919,A14),0)</f>
        <v>20.9619047619048</v>
      </c>
      <c r="F14" s="41" t="n">
        <f aca="false">IFERROR(AVERAGEIFS(Tickets!$H$2:$H$6919,Tickets!$F$2:$F$6919,A14),0)</f>
        <v>10.8871727748691</v>
      </c>
      <c r="G14" s="42" t="n">
        <f aca="false">IFERROR(COUNTIFS(Tickets!$F$2:$F$6919,A14,Tickets!$N$2:$N$6919,"Yes")/C14,0)</f>
        <v>0.892857142857143</v>
      </c>
      <c r="H14" s="42" t="n">
        <f aca="false">IFERROR(COUNTIFS(Tickets!$F$2:$F$6919,A14,Tickets!$O$2:$O$6919,"Yes")/(COUNTIFS(Tickets!$F$2:$F$6919,A14,Tickets!$O$2:$O$6919,"Yes")+COUNTIFS(Tickets!$F$2:$F$6919,A14,Tickets!$O$2:$O$6919,"No")),0)</f>
        <v>0.884816753926702</v>
      </c>
      <c r="I14" s="43" t="n">
        <f aca="false">IFERROR(AVERAGEIFS(Tickets!$J$2:$J$6919,Tickets!$F$2:$F$6919,A14),0)</f>
        <v>4.385</v>
      </c>
      <c r="J14" s="42" t="n">
        <f aca="false">IFERROR(COUNTIFS(Tickets!$F$2:$F$6919,A14,Tickets!$K$2:$K$6919,"Yes")/D14,0)</f>
        <v>0.0392670157068063</v>
      </c>
      <c r="K14" s="31" t="n">
        <f aca="false">(H14&lt;Assumptions!$B$8)+(I14&lt;Assumptions!$B$9)+(J14&gt;Assumptions!$B$10)</f>
        <v>0</v>
      </c>
      <c r="L14" s="31" t="str">
        <f aca="false">IF(K14&gt;=3,"Coaching needed",IF(K14&gt;=1,"Watch","On track"))</f>
        <v>On track</v>
      </c>
      <c r="M14" s="31" t="n">
        <f aca="false">RANK(H14,$H$2:$H$19)+COUNTIF($H$2:H14,H14)-1</f>
        <v>3</v>
      </c>
    </row>
    <row r="15" customFormat="false" ht="15" hidden="false" customHeight="false" outlineLevel="0" collapsed="false">
      <c r="A15" s="31" t="s">
        <v>133</v>
      </c>
      <c r="B15" s="31" t="s">
        <v>132</v>
      </c>
      <c r="C15" s="40" t="n">
        <f aca="false">COUNTIFS(Tickets!$F$2:$F$6919,A15)</f>
        <v>398</v>
      </c>
      <c r="D15" s="40" t="n">
        <f aca="false">COUNTIFS(Tickets!$F$2:$F$6919,A15,Tickets!$I$2:$I$6919,"&lt;&gt;Open")</f>
        <v>362</v>
      </c>
      <c r="E15" s="41" t="n">
        <f aca="false">IFERROR(AVERAGEIFS(Tickets!$G$2:$G$6919,Tickets!$F$2:$F$6919,A15),0)</f>
        <v>26.3542713567839</v>
      </c>
      <c r="F15" s="41" t="n">
        <f aca="false">IFERROR(AVERAGEIFS(Tickets!$H$2:$H$6919,Tickets!$F$2:$F$6919,A15),0)</f>
        <v>14.0693370165746</v>
      </c>
      <c r="G15" s="42" t="n">
        <f aca="false">IFERROR(COUNTIFS(Tickets!$F$2:$F$6919,A15,Tickets!$N$2:$N$6919,"Yes")/C15,0)</f>
        <v>0.889447236180905</v>
      </c>
      <c r="H15" s="42" t="n">
        <f aca="false">IFERROR(COUNTIFS(Tickets!$F$2:$F$6919,A15,Tickets!$O$2:$O$6919,"Yes")/(COUNTIFS(Tickets!$F$2:$F$6919,A15,Tickets!$O$2:$O$6919,"Yes")+COUNTIFS(Tickets!$F$2:$F$6919,A15,Tickets!$O$2:$O$6919,"No")),0)</f>
        <v>0.848066298342541</v>
      </c>
      <c r="I15" s="43" t="n">
        <f aca="false">IFERROR(AVERAGEIFS(Tickets!$J$2:$J$6919,Tickets!$F$2:$F$6919,A15),0)</f>
        <v>4.21025641025641</v>
      </c>
      <c r="J15" s="42" t="n">
        <f aca="false">IFERROR(COUNTIFS(Tickets!$F$2:$F$6919,A15,Tickets!$K$2:$K$6919,"Yes")/D15,0)</f>
        <v>0.0718232044198895</v>
      </c>
      <c r="K15" s="31" t="n">
        <f aca="false">(H15&lt;Assumptions!$B$8)+(I15&lt;Assumptions!$B$9)+(J15&gt;Assumptions!$B$10)</f>
        <v>1</v>
      </c>
      <c r="L15" s="31" t="str">
        <f aca="false">IF(K15&gt;=3,"Coaching needed",IF(K15&gt;=1,"Watch","On track"))</f>
        <v>Watch</v>
      </c>
      <c r="M15" s="31" t="n">
        <f aca="false">RANK(H15,$H$2:$H$19)+COUNTIF($H$2:H15,H15)-1</f>
        <v>8</v>
      </c>
    </row>
    <row r="16" customFormat="false" ht="15" hidden="false" customHeight="false" outlineLevel="0" collapsed="false">
      <c r="A16" s="31" t="s">
        <v>134</v>
      </c>
      <c r="B16" s="31" t="s">
        <v>132</v>
      </c>
      <c r="C16" s="40" t="n">
        <f aca="false">COUNTIFS(Tickets!$F$2:$F$6919,A16)</f>
        <v>407</v>
      </c>
      <c r="D16" s="40" t="n">
        <f aca="false">COUNTIFS(Tickets!$F$2:$F$6919,A16,Tickets!$I$2:$I$6919,"&lt;&gt;Open")</f>
        <v>366</v>
      </c>
      <c r="E16" s="41" t="n">
        <f aca="false">IFERROR(AVERAGEIFS(Tickets!$G$2:$G$6919,Tickets!$F$2:$F$6919,A16),0)</f>
        <v>46.1277641277641</v>
      </c>
      <c r="F16" s="41" t="n">
        <f aca="false">IFERROR(AVERAGEIFS(Tickets!$H$2:$H$6919,Tickets!$F$2:$F$6919,A16),0)</f>
        <v>22.9950819672131</v>
      </c>
      <c r="G16" s="42" t="n">
        <f aca="false">IFERROR(COUNTIFS(Tickets!$F$2:$F$6919,A16,Tickets!$N$2:$N$6919,"Yes")/C16,0)</f>
        <v>0.808353808353808</v>
      </c>
      <c r="H16" s="42" t="n">
        <f aca="false">IFERROR(COUNTIFS(Tickets!$F$2:$F$6919,A16,Tickets!$O$2:$O$6919,"Yes")/(COUNTIFS(Tickets!$F$2:$F$6919,A16,Tickets!$O$2:$O$6919,"Yes")+COUNTIFS(Tickets!$F$2:$F$6919,A16,Tickets!$O$2:$O$6919,"No")),0)</f>
        <v>0.650273224043716</v>
      </c>
      <c r="I16" s="43" t="n">
        <f aca="false">IFERROR(AVERAGEIFS(Tickets!$J$2:$J$6919,Tickets!$F$2:$F$6919,A16),0)</f>
        <v>3.65957446808511</v>
      </c>
      <c r="J16" s="42" t="n">
        <f aca="false">IFERROR(COUNTIFS(Tickets!$F$2:$F$6919,A16,Tickets!$K$2:$K$6919,"Yes")/D16,0)</f>
        <v>0.101092896174863</v>
      </c>
      <c r="K16" s="31" t="n">
        <f aca="false">(H16&lt;Assumptions!$B$8)+(I16&lt;Assumptions!$B$9)+(J16&gt;Assumptions!$B$10)</f>
        <v>3</v>
      </c>
      <c r="L16" s="31" t="str">
        <f aca="false">IF(K16&gt;=3,"Coaching needed",IF(K16&gt;=1,"Watch","On track"))</f>
        <v>Coaching needed</v>
      </c>
      <c r="M16" s="31" t="n">
        <f aca="false">RANK(H16,$H$2:$H$19)+COUNTIF($H$2:H16,H16)-1</f>
        <v>18</v>
      </c>
    </row>
    <row r="17" customFormat="false" ht="15" hidden="false" customHeight="false" outlineLevel="0" collapsed="false">
      <c r="A17" s="31" t="s">
        <v>135</v>
      </c>
      <c r="B17" s="31" t="s">
        <v>132</v>
      </c>
      <c r="C17" s="40" t="n">
        <f aca="false">COUNTIFS(Tickets!$F$2:$F$6919,A17)</f>
        <v>349</v>
      </c>
      <c r="D17" s="40" t="n">
        <f aca="false">COUNTIFS(Tickets!$F$2:$F$6919,A17,Tickets!$I$2:$I$6919,"&lt;&gt;Open")</f>
        <v>314</v>
      </c>
      <c r="E17" s="41" t="n">
        <f aca="false">IFERROR(AVERAGEIFS(Tickets!$G$2:$G$6919,Tickets!$F$2:$F$6919,A17),0)</f>
        <v>43.7736389684814</v>
      </c>
      <c r="F17" s="41" t="n">
        <f aca="false">IFERROR(AVERAGEIFS(Tickets!$H$2:$H$6919,Tickets!$F$2:$F$6919,A17),0)</f>
        <v>22.5949044585987</v>
      </c>
      <c r="G17" s="42" t="n">
        <f aca="false">IFERROR(COUNTIFS(Tickets!$F$2:$F$6919,A17,Tickets!$N$2:$N$6919,"Yes")/C17,0)</f>
        <v>0.842406876790831</v>
      </c>
      <c r="H17" s="42" t="n">
        <f aca="false">IFERROR(COUNTIFS(Tickets!$F$2:$F$6919,A17,Tickets!$O$2:$O$6919,"Yes")/(COUNTIFS(Tickets!$F$2:$F$6919,A17,Tickets!$O$2:$O$6919,"Yes")+COUNTIFS(Tickets!$F$2:$F$6919,A17,Tickets!$O$2:$O$6919,"No")),0)</f>
        <v>0.710191082802548</v>
      </c>
      <c r="I17" s="43" t="n">
        <f aca="false">IFERROR(AVERAGEIFS(Tickets!$J$2:$J$6919,Tickets!$F$2:$F$6919,A17),0)</f>
        <v>3.82857142857143</v>
      </c>
      <c r="J17" s="42" t="n">
        <f aca="false">IFERROR(COUNTIFS(Tickets!$F$2:$F$6919,A17,Tickets!$K$2:$K$6919,"Yes")/D17,0)</f>
        <v>0.105095541401274</v>
      </c>
      <c r="K17" s="31" t="n">
        <f aca="false">(H17&lt;Assumptions!$B$8)+(I17&lt;Assumptions!$B$9)+(J17&gt;Assumptions!$B$10)</f>
        <v>3</v>
      </c>
      <c r="L17" s="31" t="str">
        <f aca="false">IF(K17&gt;=3,"Coaching needed",IF(K17&gt;=1,"Watch","On track"))</f>
        <v>Coaching needed</v>
      </c>
      <c r="M17" s="31" t="n">
        <f aca="false">RANK(H17,$H$2:$H$19)+COUNTIF($H$2:H17,H17)-1</f>
        <v>16</v>
      </c>
    </row>
    <row r="18" customFormat="false" ht="15" hidden="false" customHeight="false" outlineLevel="0" collapsed="false">
      <c r="A18" s="31" t="s">
        <v>136</v>
      </c>
      <c r="B18" s="31" t="s">
        <v>132</v>
      </c>
      <c r="C18" s="40" t="n">
        <f aca="false">COUNTIFS(Tickets!$F$2:$F$6919,A18)</f>
        <v>381</v>
      </c>
      <c r="D18" s="40" t="n">
        <f aca="false">COUNTIFS(Tickets!$F$2:$F$6919,A18,Tickets!$I$2:$I$6919,"&lt;&gt;Open")</f>
        <v>342</v>
      </c>
      <c r="E18" s="41" t="n">
        <f aca="false">IFERROR(AVERAGEIFS(Tickets!$G$2:$G$6919,Tickets!$F$2:$F$6919,A18),0)</f>
        <v>31.1732283464567</v>
      </c>
      <c r="F18" s="41" t="n">
        <f aca="false">IFERROR(AVERAGEIFS(Tickets!$H$2:$H$6919,Tickets!$F$2:$F$6919,A18),0)</f>
        <v>15.1815789473684</v>
      </c>
      <c r="G18" s="42" t="n">
        <f aca="false">IFERROR(COUNTIFS(Tickets!$F$2:$F$6919,A18,Tickets!$N$2:$N$6919,"Yes")/C18,0)</f>
        <v>0.905511811023622</v>
      </c>
      <c r="H18" s="42" t="n">
        <f aca="false">IFERROR(COUNTIFS(Tickets!$F$2:$F$6919,A18,Tickets!$O$2:$O$6919,"Yes")/(COUNTIFS(Tickets!$F$2:$F$6919,A18,Tickets!$O$2:$O$6919,"Yes")+COUNTIFS(Tickets!$F$2:$F$6919,A18,Tickets!$O$2:$O$6919,"No")),0)</f>
        <v>0.845029239766082</v>
      </c>
      <c r="I18" s="43" t="n">
        <f aca="false">IFERROR(AVERAGEIFS(Tickets!$J$2:$J$6919,Tickets!$F$2:$F$6919,A18),0)</f>
        <v>4.29533678756477</v>
      </c>
      <c r="J18" s="42" t="n">
        <f aca="false">IFERROR(COUNTIFS(Tickets!$F$2:$F$6919,A18,Tickets!$K$2:$K$6919,"Yes")/D18,0)</f>
        <v>0.0467836257309942</v>
      </c>
      <c r="K18" s="31" t="n">
        <f aca="false">(H18&lt;Assumptions!$B$8)+(I18&lt;Assumptions!$B$9)+(J18&gt;Assumptions!$B$10)</f>
        <v>1</v>
      </c>
      <c r="L18" s="31" t="str">
        <f aca="false">IF(K18&gt;=3,"Coaching needed",IF(K18&gt;=1,"Watch","On track"))</f>
        <v>Watch</v>
      </c>
      <c r="M18" s="31" t="n">
        <f aca="false">RANK(H18,$H$2:$H$19)+COUNTIF($H$2:H18,H18)-1</f>
        <v>9</v>
      </c>
    </row>
    <row r="19" customFormat="false" ht="15" hidden="false" customHeight="false" outlineLevel="0" collapsed="false">
      <c r="A19" s="31" t="s">
        <v>137</v>
      </c>
      <c r="B19" s="31" t="s">
        <v>132</v>
      </c>
      <c r="C19" s="40" t="n">
        <f aca="false">COUNTIFS(Tickets!$F$2:$F$6919,A19)</f>
        <v>378</v>
      </c>
      <c r="D19" s="40" t="n">
        <f aca="false">COUNTIFS(Tickets!$F$2:$F$6919,A19,Tickets!$I$2:$I$6919,"&lt;&gt;Open")</f>
        <v>338</v>
      </c>
      <c r="E19" s="41" t="n">
        <f aca="false">IFERROR(AVERAGEIFS(Tickets!$G$2:$G$6919,Tickets!$F$2:$F$6919,A19),0)</f>
        <v>31.1798941798942</v>
      </c>
      <c r="F19" s="41" t="n">
        <f aca="false">IFERROR(AVERAGEIFS(Tickets!$H$2:$H$6919,Tickets!$F$2:$F$6919,A19),0)</f>
        <v>17.1760355029586</v>
      </c>
      <c r="G19" s="42" t="n">
        <f aca="false">IFERROR(COUNTIFS(Tickets!$F$2:$F$6919,A19,Tickets!$N$2:$N$6919,"Yes")/C19,0)</f>
        <v>0.85978835978836</v>
      </c>
      <c r="H19" s="42" t="n">
        <f aca="false">IFERROR(COUNTIFS(Tickets!$F$2:$F$6919,A19,Tickets!$O$2:$O$6919,"Yes")/(COUNTIFS(Tickets!$F$2:$F$6919,A19,Tickets!$O$2:$O$6919,"Yes")+COUNTIFS(Tickets!$F$2:$F$6919,A19,Tickets!$O$2:$O$6919,"No")),0)</f>
        <v>0.78698224852071</v>
      </c>
      <c r="I19" s="43" t="n">
        <f aca="false">IFERROR(AVERAGEIFS(Tickets!$J$2:$J$6919,Tickets!$F$2:$F$6919,A19),0)</f>
        <v>3.95212765957447</v>
      </c>
      <c r="J19" s="42" t="n">
        <f aca="false">IFERROR(COUNTIFS(Tickets!$F$2:$F$6919,A19,Tickets!$K$2:$K$6919,"Yes")/D19,0)</f>
        <v>0.0917159763313609</v>
      </c>
      <c r="K19" s="31" t="n">
        <f aca="false">(H19&lt;Assumptions!$B$8)+(I19&lt;Assumptions!$B$9)+(J19&gt;Assumptions!$B$10)</f>
        <v>3</v>
      </c>
      <c r="L19" s="31" t="str">
        <f aca="false">IF(K19&gt;=3,"Coaching needed",IF(K19&gt;=1,"Watch","On track"))</f>
        <v>Coaching needed</v>
      </c>
      <c r="M19" s="31" t="n">
        <f aca="false">RANK(H19,$H$2:$H$19)+COUNTIF($H$2:H19,H19)-1</f>
        <v>13</v>
      </c>
    </row>
  </sheetData>
  <conditionalFormatting sqref="L2:L19">
    <cfRule type="expression" priority="2" aboveAverage="0" equalAverage="0" bottom="0" percent="0" rank="0" text="" dxfId="0">
      <formula>$L2="Coaching needed"</formula>
    </cfRule>
    <cfRule type="expression" priority="3" aboveAverage="0" equalAverage="0" bottom="0" percent="0" rank="0" text="" dxfId="1">
      <formula>$L2="Watch"</formula>
    </cfRule>
    <cfRule type="expression" priority="4" aboveAverage="0" equalAverage="0" bottom="0" percent="0" rank="0" text="" dxfId="2">
      <formula>$L2="On track"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38" t="s">
        <v>138</v>
      </c>
      <c r="B1" s="38" t="s">
        <v>139</v>
      </c>
      <c r="C1" s="38" t="s">
        <v>55</v>
      </c>
      <c r="D1" s="38" t="s">
        <v>62</v>
      </c>
      <c r="E1" s="38" t="s">
        <v>46</v>
      </c>
      <c r="F1" s="38" t="s">
        <v>112</v>
      </c>
      <c r="G1" s="38" t="s">
        <v>140</v>
      </c>
      <c r="H1" s="38" t="s">
        <v>141</v>
      </c>
      <c r="I1" s="38" t="s">
        <v>142</v>
      </c>
      <c r="J1" s="38" t="s">
        <v>143</v>
      </c>
      <c r="K1" s="38" t="s">
        <v>144</v>
      </c>
      <c r="L1" s="38" t="s">
        <v>39</v>
      </c>
      <c r="M1" s="38" t="s">
        <v>145</v>
      </c>
      <c r="N1" s="38" t="s">
        <v>146</v>
      </c>
      <c r="O1" s="38" t="s">
        <v>147</v>
      </c>
    </row>
    <row r="2" customFormat="false" ht="15" hidden="false" customHeight="false" outlineLevel="0" collapsed="false">
      <c r="A2" s="31" t="s">
        <v>148</v>
      </c>
      <c r="B2" s="44" t="n">
        <v>46204</v>
      </c>
      <c r="C2" s="31" t="s">
        <v>59</v>
      </c>
      <c r="D2" s="31" t="s">
        <v>66</v>
      </c>
      <c r="E2" s="31" t="s">
        <v>51</v>
      </c>
      <c r="F2" s="31" t="s">
        <v>121</v>
      </c>
      <c r="G2" s="31" t="n">
        <v>42</v>
      </c>
      <c r="H2" s="41" t="n">
        <v>5.6</v>
      </c>
      <c r="I2" s="31" t="s">
        <v>149</v>
      </c>
      <c r="J2" s="31"/>
      <c r="K2" s="31" t="s">
        <v>150</v>
      </c>
      <c r="L2" s="45" t="n">
        <f aca="false">DATE(YEAR(B2),MONTH(B2),1)</f>
        <v>46204</v>
      </c>
      <c r="M2" s="31" t="n">
        <f aca="false">WEEKDAY(B2,2)</f>
        <v>3</v>
      </c>
      <c r="N2" s="31" t="str">
        <f aca="false">IF(G2&lt;=INDEX(Assumptions!$B$15:$B$18,MATCH(E2,Assumptions!$A$15:$A$18,0)),"Yes","No")</f>
        <v>Yes</v>
      </c>
      <c r="O2" s="31" t="str">
        <f aca="false">IF(H2="","Open",IF(H2&lt;=INDEX(Assumptions!$C$15:$C$18,MATCH(E2,Assumptions!$A$15:$A$18,0)),"Yes","No"))</f>
        <v>Yes</v>
      </c>
    </row>
    <row r="3" customFormat="false" ht="15" hidden="false" customHeight="false" outlineLevel="0" collapsed="false">
      <c r="A3" s="31" t="s">
        <v>151</v>
      </c>
      <c r="B3" s="44" t="n">
        <v>46204</v>
      </c>
      <c r="C3" s="31" t="s">
        <v>59</v>
      </c>
      <c r="D3" s="31" t="s">
        <v>67</v>
      </c>
      <c r="E3" s="31" t="s">
        <v>50</v>
      </c>
      <c r="F3" s="31" t="s">
        <v>123</v>
      </c>
      <c r="G3" s="31" t="n">
        <v>113</v>
      </c>
      <c r="H3" s="41" t="n">
        <v>9.3</v>
      </c>
      <c r="I3" s="31" t="s">
        <v>149</v>
      </c>
      <c r="J3" s="31"/>
      <c r="K3" s="31" t="s">
        <v>150</v>
      </c>
      <c r="L3" s="45" t="n">
        <f aca="false">DATE(YEAR(B3),MONTH(B3),1)</f>
        <v>46204</v>
      </c>
      <c r="M3" s="31" t="n">
        <f aca="false">WEEKDAY(B3,2)</f>
        <v>3</v>
      </c>
      <c r="N3" s="31" t="str">
        <f aca="false">IF(G3&lt;=INDEX(Assumptions!$B$15:$B$18,MATCH(E3,Assumptions!$A$15:$A$18,0)),"Yes","No")</f>
        <v>No</v>
      </c>
      <c r="O3" s="31" t="str">
        <f aca="false">IF(H3="","Open",IF(H3&lt;=INDEX(Assumptions!$C$15:$C$18,MATCH(E3,Assumptions!$A$15:$A$18,0)),"Yes","No"))</f>
        <v>No</v>
      </c>
    </row>
    <row r="4" customFormat="false" ht="15" hidden="false" customHeight="false" outlineLevel="0" collapsed="false">
      <c r="A4" s="31" t="s">
        <v>152</v>
      </c>
      <c r="B4" s="44" t="n">
        <v>46204</v>
      </c>
      <c r="C4" s="31" t="s">
        <v>60</v>
      </c>
      <c r="D4" s="31" t="s">
        <v>69</v>
      </c>
      <c r="E4" s="31" t="s">
        <v>51</v>
      </c>
      <c r="F4" s="31" t="s">
        <v>120</v>
      </c>
      <c r="G4" s="31" t="n">
        <v>10</v>
      </c>
      <c r="H4" s="41" t="n">
        <v>36.6</v>
      </c>
      <c r="I4" s="31" t="s">
        <v>149</v>
      </c>
      <c r="J4" s="31"/>
      <c r="K4" s="31" t="s">
        <v>153</v>
      </c>
      <c r="L4" s="45" t="n">
        <f aca="false">DATE(YEAR(B4),MONTH(B4),1)</f>
        <v>46204</v>
      </c>
      <c r="M4" s="31" t="n">
        <f aca="false">WEEKDAY(B4,2)</f>
        <v>3</v>
      </c>
      <c r="N4" s="31" t="str">
        <f aca="false">IF(G4&lt;=INDEX(Assumptions!$B$15:$B$18,MATCH(E4,Assumptions!$A$15:$A$18,0)),"Yes","No")</f>
        <v>Yes</v>
      </c>
      <c r="O4" s="31" t="str">
        <f aca="false">IF(H4="","Open",IF(H4&lt;=INDEX(Assumptions!$C$15:$C$18,MATCH(E4,Assumptions!$A$15:$A$18,0)),"Yes","No"))</f>
        <v>No</v>
      </c>
    </row>
    <row r="5" customFormat="false" ht="15" hidden="false" customHeight="false" outlineLevel="0" collapsed="false">
      <c r="A5" s="31" t="s">
        <v>154</v>
      </c>
      <c r="B5" s="44" t="n">
        <v>46204</v>
      </c>
      <c r="C5" s="31" t="s">
        <v>57</v>
      </c>
      <c r="D5" s="31" t="s">
        <v>65</v>
      </c>
      <c r="E5" s="31" t="s">
        <v>51</v>
      </c>
      <c r="F5" s="31" t="s">
        <v>127</v>
      </c>
      <c r="G5" s="31" t="n">
        <v>5</v>
      </c>
      <c r="H5" s="41" t="n">
        <v>17.9</v>
      </c>
      <c r="I5" s="31" t="s">
        <v>149</v>
      </c>
      <c r="J5" s="31" t="n">
        <v>5</v>
      </c>
      <c r="K5" s="31" t="s">
        <v>150</v>
      </c>
      <c r="L5" s="45" t="n">
        <f aca="false">DATE(YEAR(B5),MONTH(B5),1)</f>
        <v>46204</v>
      </c>
      <c r="M5" s="31" t="n">
        <f aca="false">WEEKDAY(B5,2)</f>
        <v>3</v>
      </c>
      <c r="N5" s="31" t="str">
        <f aca="false">IF(G5&lt;=INDEX(Assumptions!$B$15:$B$18,MATCH(E5,Assumptions!$A$15:$A$18,0)),"Yes","No")</f>
        <v>Yes</v>
      </c>
      <c r="O5" s="31" t="str">
        <f aca="false">IF(H5="","Open",IF(H5&lt;=INDEX(Assumptions!$C$15:$C$18,MATCH(E5,Assumptions!$A$15:$A$18,0)),"Yes","No"))</f>
        <v>Yes</v>
      </c>
    </row>
    <row r="6" customFormat="false" ht="15" hidden="false" customHeight="false" outlineLevel="0" collapsed="false">
      <c r="A6" s="31" t="s">
        <v>155</v>
      </c>
      <c r="B6" s="44" t="n">
        <v>46204</v>
      </c>
      <c r="C6" s="31" t="s">
        <v>58</v>
      </c>
      <c r="D6" s="31" t="s">
        <v>68</v>
      </c>
      <c r="E6" s="31" t="s">
        <v>51</v>
      </c>
      <c r="F6" s="31" t="s">
        <v>137</v>
      </c>
      <c r="G6" s="31" t="n">
        <v>6</v>
      </c>
      <c r="H6" s="41" t="n">
        <v>3.2</v>
      </c>
      <c r="I6" s="31" t="s">
        <v>149</v>
      </c>
      <c r="J6" s="31"/>
      <c r="K6" s="31" t="s">
        <v>150</v>
      </c>
      <c r="L6" s="45" t="n">
        <f aca="false">DATE(YEAR(B6),MONTH(B6),1)</f>
        <v>46204</v>
      </c>
      <c r="M6" s="31" t="n">
        <f aca="false">WEEKDAY(B6,2)</f>
        <v>3</v>
      </c>
      <c r="N6" s="31" t="str">
        <f aca="false">IF(G6&lt;=INDEX(Assumptions!$B$15:$B$18,MATCH(E6,Assumptions!$A$15:$A$18,0)),"Yes","No")</f>
        <v>Yes</v>
      </c>
      <c r="O6" s="31" t="str">
        <f aca="false">IF(H6="","Open",IF(H6&lt;=INDEX(Assumptions!$C$15:$C$18,MATCH(E6,Assumptions!$A$15:$A$18,0)),"Yes","No"))</f>
        <v>Yes</v>
      </c>
    </row>
    <row r="7" customFormat="false" ht="15" hidden="false" customHeight="false" outlineLevel="0" collapsed="false">
      <c r="A7" s="31" t="s">
        <v>156</v>
      </c>
      <c r="B7" s="44" t="n">
        <v>46204</v>
      </c>
      <c r="C7" s="31" t="s">
        <v>59</v>
      </c>
      <c r="D7" s="31" t="s">
        <v>67</v>
      </c>
      <c r="E7" s="31" t="s">
        <v>51</v>
      </c>
      <c r="F7" s="31" t="s">
        <v>123</v>
      </c>
      <c r="G7" s="31" t="n">
        <v>181</v>
      </c>
      <c r="H7" s="41" t="n">
        <v>34.7</v>
      </c>
      <c r="I7" s="31" t="s">
        <v>149</v>
      </c>
      <c r="J7" s="31"/>
      <c r="K7" s="31" t="s">
        <v>153</v>
      </c>
      <c r="L7" s="45" t="n">
        <f aca="false">DATE(YEAR(B7),MONTH(B7),1)</f>
        <v>46204</v>
      </c>
      <c r="M7" s="31" t="n">
        <f aca="false">WEEKDAY(B7,2)</f>
        <v>3</v>
      </c>
      <c r="N7" s="31" t="str">
        <f aca="false">IF(G7&lt;=INDEX(Assumptions!$B$15:$B$18,MATCH(E7,Assumptions!$A$15:$A$18,0)),"Yes","No")</f>
        <v>No</v>
      </c>
      <c r="O7" s="31" t="str">
        <f aca="false">IF(H7="","Open",IF(H7&lt;=INDEX(Assumptions!$C$15:$C$18,MATCH(E7,Assumptions!$A$15:$A$18,0)),"Yes","No"))</f>
        <v>No</v>
      </c>
    </row>
    <row r="8" customFormat="false" ht="15" hidden="false" customHeight="false" outlineLevel="0" collapsed="false">
      <c r="A8" s="31" t="s">
        <v>157</v>
      </c>
      <c r="B8" s="44" t="n">
        <v>46204</v>
      </c>
      <c r="C8" s="31" t="s">
        <v>59</v>
      </c>
      <c r="D8" s="31" t="s">
        <v>66</v>
      </c>
      <c r="E8" s="31" t="s">
        <v>52</v>
      </c>
      <c r="F8" s="31" t="s">
        <v>129</v>
      </c>
      <c r="G8" s="31" t="n">
        <v>86</v>
      </c>
      <c r="H8" s="41"/>
      <c r="I8" s="31" t="s">
        <v>158</v>
      </c>
      <c r="J8" s="31"/>
      <c r="K8" s="31" t="s">
        <v>150</v>
      </c>
      <c r="L8" s="45" t="n">
        <f aca="false">DATE(YEAR(B8),MONTH(B8),1)</f>
        <v>46204</v>
      </c>
      <c r="M8" s="31" t="n">
        <f aca="false">WEEKDAY(B8,2)</f>
        <v>3</v>
      </c>
      <c r="N8" s="31" t="str">
        <f aca="false">IF(G8&lt;=INDEX(Assumptions!$B$15:$B$18,MATCH(E8,Assumptions!$A$15:$A$18,0)),"Yes","No")</f>
        <v>Yes</v>
      </c>
      <c r="O8" s="31" t="str">
        <f aca="false">IF(H8="","Open",IF(H8&lt;=INDEX(Assumptions!$C$15:$C$18,MATCH(E8,Assumptions!$A$15:$A$18,0)),"Yes","No"))</f>
        <v>Open</v>
      </c>
    </row>
    <row r="9" customFormat="false" ht="15" hidden="false" customHeight="false" outlineLevel="0" collapsed="false">
      <c r="A9" s="31" t="s">
        <v>159</v>
      </c>
      <c r="B9" s="44" t="n">
        <v>46204</v>
      </c>
      <c r="C9" s="31" t="s">
        <v>58</v>
      </c>
      <c r="D9" s="31" t="s">
        <v>65</v>
      </c>
      <c r="E9" s="31" t="s">
        <v>51</v>
      </c>
      <c r="F9" s="31" t="s">
        <v>122</v>
      </c>
      <c r="G9" s="31" t="n">
        <v>6</v>
      </c>
      <c r="H9" s="41" t="n">
        <v>14.3</v>
      </c>
      <c r="I9" s="31" t="s">
        <v>149</v>
      </c>
      <c r="J9" s="31" t="n">
        <v>5</v>
      </c>
      <c r="K9" s="31" t="s">
        <v>150</v>
      </c>
      <c r="L9" s="45" t="n">
        <f aca="false">DATE(YEAR(B9),MONTH(B9),1)</f>
        <v>46204</v>
      </c>
      <c r="M9" s="31" t="n">
        <f aca="false">WEEKDAY(B9,2)</f>
        <v>3</v>
      </c>
      <c r="N9" s="31" t="str">
        <f aca="false">IF(G9&lt;=INDEX(Assumptions!$B$15:$B$18,MATCH(E9,Assumptions!$A$15:$A$18,0)),"Yes","No")</f>
        <v>Yes</v>
      </c>
      <c r="O9" s="31" t="str">
        <f aca="false">IF(H9="","Open",IF(H9&lt;=INDEX(Assumptions!$C$15:$C$18,MATCH(E9,Assumptions!$A$15:$A$18,0)),"Yes","No"))</f>
        <v>Yes</v>
      </c>
    </row>
    <row r="10" customFormat="false" ht="15" hidden="false" customHeight="false" outlineLevel="0" collapsed="false">
      <c r="A10" s="31" t="s">
        <v>160</v>
      </c>
      <c r="B10" s="44" t="n">
        <v>46204</v>
      </c>
      <c r="C10" s="31" t="s">
        <v>57</v>
      </c>
      <c r="D10" s="31" t="s">
        <v>66</v>
      </c>
      <c r="E10" s="31" t="s">
        <v>51</v>
      </c>
      <c r="F10" s="31" t="s">
        <v>131</v>
      </c>
      <c r="G10" s="31" t="n">
        <v>5</v>
      </c>
      <c r="H10" s="41" t="n">
        <v>3.4</v>
      </c>
      <c r="I10" s="31" t="s">
        <v>149</v>
      </c>
      <c r="J10" s="31" t="n">
        <v>5</v>
      </c>
      <c r="K10" s="31" t="s">
        <v>150</v>
      </c>
      <c r="L10" s="45" t="n">
        <f aca="false">DATE(YEAR(B10),MONTH(B10),1)</f>
        <v>46204</v>
      </c>
      <c r="M10" s="31" t="n">
        <f aca="false">WEEKDAY(B10,2)</f>
        <v>3</v>
      </c>
      <c r="N10" s="31" t="str">
        <f aca="false">IF(G10&lt;=INDEX(Assumptions!$B$15:$B$18,MATCH(E10,Assumptions!$A$15:$A$18,0)),"Yes","No")</f>
        <v>Yes</v>
      </c>
      <c r="O10" s="31" t="str">
        <f aca="false">IF(H10="","Open",IF(H10&lt;=INDEX(Assumptions!$C$15:$C$18,MATCH(E10,Assumptions!$A$15:$A$18,0)),"Yes","No"))</f>
        <v>Yes</v>
      </c>
    </row>
    <row r="11" customFormat="false" ht="15" hidden="false" customHeight="false" outlineLevel="0" collapsed="false">
      <c r="A11" s="31" t="s">
        <v>161</v>
      </c>
      <c r="B11" s="44" t="n">
        <v>46204</v>
      </c>
      <c r="C11" s="31" t="s">
        <v>58</v>
      </c>
      <c r="D11" s="31" t="s">
        <v>66</v>
      </c>
      <c r="E11" s="31" t="s">
        <v>51</v>
      </c>
      <c r="F11" s="31" t="s">
        <v>119</v>
      </c>
      <c r="G11" s="31" t="n">
        <v>14</v>
      </c>
      <c r="H11" s="41" t="n">
        <v>14.1</v>
      </c>
      <c r="I11" s="31" t="s">
        <v>149</v>
      </c>
      <c r="J11" s="31"/>
      <c r="K11" s="31" t="s">
        <v>150</v>
      </c>
      <c r="L11" s="45" t="n">
        <f aca="false">DATE(YEAR(B11),MONTH(B11),1)</f>
        <v>46204</v>
      </c>
      <c r="M11" s="31" t="n">
        <f aca="false">WEEKDAY(B11,2)</f>
        <v>3</v>
      </c>
      <c r="N11" s="31" t="str">
        <f aca="false">IF(G11&lt;=INDEX(Assumptions!$B$15:$B$18,MATCH(E11,Assumptions!$A$15:$A$18,0)),"Yes","No")</f>
        <v>Yes</v>
      </c>
      <c r="O11" s="31" t="str">
        <f aca="false">IF(H11="","Open",IF(H11&lt;=INDEX(Assumptions!$C$15:$C$18,MATCH(E11,Assumptions!$A$15:$A$18,0)),"Yes","No"))</f>
        <v>Yes</v>
      </c>
    </row>
    <row r="12" customFormat="false" ht="15" hidden="false" customHeight="false" outlineLevel="0" collapsed="false">
      <c r="A12" s="31" t="s">
        <v>162</v>
      </c>
      <c r="B12" s="44" t="n">
        <v>46204</v>
      </c>
      <c r="C12" s="31" t="s">
        <v>57</v>
      </c>
      <c r="D12" s="31" t="s">
        <v>66</v>
      </c>
      <c r="E12" s="31" t="s">
        <v>50</v>
      </c>
      <c r="F12" s="31" t="s">
        <v>129</v>
      </c>
      <c r="G12" s="31" t="n">
        <v>2</v>
      </c>
      <c r="H12" s="41" t="n">
        <v>2.2</v>
      </c>
      <c r="I12" s="31" t="s">
        <v>149</v>
      </c>
      <c r="J12" s="31"/>
      <c r="K12" s="31" t="s">
        <v>150</v>
      </c>
      <c r="L12" s="45" t="n">
        <f aca="false">DATE(YEAR(B12),MONTH(B12),1)</f>
        <v>46204</v>
      </c>
      <c r="M12" s="31" t="n">
        <f aca="false">WEEKDAY(B12,2)</f>
        <v>3</v>
      </c>
      <c r="N12" s="31" t="str">
        <f aca="false">IF(G12&lt;=INDEX(Assumptions!$B$15:$B$18,MATCH(E12,Assumptions!$A$15:$A$18,0)),"Yes","No")</f>
        <v>Yes</v>
      </c>
      <c r="O12" s="31" t="str">
        <f aca="false">IF(H12="","Open",IF(H12&lt;=INDEX(Assumptions!$C$15:$C$18,MATCH(E12,Assumptions!$A$15:$A$18,0)),"Yes","No"))</f>
        <v>Yes</v>
      </c>
    </row>
    <row r="13" customFormat="false" ht="15" hidden="false" customHeight="false" outlineLevel="0" collapsed="false">
      <c r="A13" s="31" t="s">
        <v>163</v>
      </c>
      <c r="B13" s="44" t="n">
        <v>46204</v>
      </c>
      <c r="C13" s="31" t="s">
        <v>58</v>
      </c>
      <c r="D13" s="31" t="s">
        <v>66</v>
      </c>
      <c r="E13" s="31" t="s">
        <v>50</v>
      </c>
      <c r="F13" s="31" t="s">
        <v>123</v>
      </c>
      <c r="G13" s="31" t="n">
        <v>12</v>
      </c>
      <c r="H13" s="41" t="n">
        <v>0.8</v>
      </c>
      <c r="I13" s="31" t="s">
        <v>149</v>
      </c>
      <c r="J13" s="31" t="n">
        <v>4</v>
      </c>
      <c r="K13" s="31" t="s">
        <v>150</v>
      </c>
      <c r="L13" s="45" t="n">
        <f aca="false">DATE(YEAR(B13),MONTH(B13),1)</f>
        <v>46204</v>
      </c>
      <c r="M13" s="31" t="n">
        <f aca="false">WEEKDAY(B13,2)</f>
        <v>3</v>
      </c>
      <c r="N13" s="31" t="str">
        <f aca="false">IF(G13&lt;=INDEX(Assumptions!$B$15:$B$18,MATCH(E13,Assumptions!$A$15:$A$18,0)),"Yes","No")</f>
        <v>Yes</v>
      </c>
      <c r="O13" s="31" t="str">
        <f aca="false">IF(H13="","Open",IF(H13&lt;=INDEX(Assumptions!$C$15:$C$18,MATCH(E13,Assumptions!$A$15:$A$18,0)),"Yes","No"))</f>
        <v>Yes</v>
      </c>
    </row>
    <row r="14" customFormat="false" ht="15" hidden="false" customHeight="false" outlineLevel="0" collapsed="false">
      <c r="A14" s="31" t="s">
        <v>164</v>
      </c>
      <c r="B14" s="44" t="n">
        <v>46204</v>
      </c>
      <c r="C14" s="31" t="s">
        <v>59</v>
      </c>
      <c r="D14" s="31" t="s">
        <v>67</v>
      </c>
      <c r="E14" s="31" t="s">
        <v>52</v>
      </c>
      <c r="F14" s="31" t="s">
        <v>119</v>
      </c>
      <c r="G14" s="31" t="n">
        <v>181</v>
      </c>
      <c r="H14" s="41" t="n">
        <v>47</v>
      </c>
      <c r="I14" s="31" t="s">
        <v>149</v>
      </c>
      <c r="J14" s="31" t="n">
        <v>5</v>
      </c>
      <c r="K14" s="31" t="s">
        <v>150</v>
      </c>
      <c r="L14" s="45" t="n">
        <f aca="false">DATE(YEAR(B14),MONTH(B14),1)</f>
        <v>46204</v>
      </c>
      <c r="M14" s="31" t="n">
        <f aca="false">WEEKDAY(B14,2)</f>
        <v>3</v>
      </c>
      <c r="N14" s="31" t="str">
        <f aca="false">IF(G14&lt;=INDEX(Assumptions!$B$15:$B$18,MATCH(E14,Assumptions!$A$15:$A$18,0)),"Yes","No")</f>
        <v>Yes</v>
      </c>
      <c r="O14" s="31" t="str">
        <f aca="false">IF(H14="","Open",IF(H14&lt;=INDEX(Assumptions!$C$15:$C$18,MATCH(E14,Assumptions!$A$15:$A$18,0)),"Yes","No"))</f>
        <v>Yes</v>
      </c>
    </row>
    <row r="15" customFormat="false" ht="15" hidden="false" customHeight="false" outlineLevel="0" collapsed="false">
      <c r="A15" s="31" t="s">
        <v>165</v>
      </c>
      <c r="B15" s="44" t="n">
        <v>46204</v>
      </c>
      <c r="C15" s="31" t="s">
        <v>58</v>
      </c>
      <c r="D15" s="31" t="s">
        <v>67</v>
      </c>
      <c r="E15" s="31" t="s">
        <v>49</v>
      </c>
      <c r="F15" s="31" t="s">
        <v>127</v>
      </c>
      <c r="G15" s="31" t="n">
        <v>7</v>
      </c>
      <c r="H15" s="41" t="n">
        <v>5.2</v>
      </c>
      <c r="I15" s="31" t="s">
        <v>149</v>
      </c>
      <c r="J15" s="31" t="n">
        <v>4</v>
      </c>
      <c r="K15" s="31" t="s">
        <v>150</v>
      </c>
      <c r="L15" s="45" t="n">
        <f aca="false">DATE(YEAR(B15),MONTH(B15),1)</f>
        <v>46204</v>
      </c>
      <c r="M15" s="31" t="n">
        <f aca="false">WEEKDAY(B15,2)</f>
        <v>3</v>
      </c>
      <c r="N15" s="31" t="str">
        <f aca="false">IF(G15&lt;=INDEX(Assumptions!$B$15:$B$18,MATCH(E15,Assumptions!$A$15:$A$18,0)),"Yes","No")</f>
        <v>Yes</v>
      </c>
      <c r="O15" s="31" t="str">
        <f aca="false">IF(H15="","Open",IF(H15&lt;=INDEX(Assumptions!$C$15:$C$18,MATCH(E15,Assumptions!$A$15:$A$18,0)),"Yes","No"))</f>
        <v>No</v>
      </c>
    </row>
    <row r="16" customFormat="false" ht="15" hidden="false" customHeight="false" outlineLevel="0" collapsed="false">
      <c r="A16" s="31" t="s">
        <v>166</v>
      </c>
      <c r="B16" s="44" t="n">
        <v>46204</v>
      </c>
      <c r="C16" s="31" t="s">
        <v>58</v>
      </c>
      <c r="D16" s="31" t="s">
        <v>65</v>
      </c>
      <c r="E16" s="31" t="s">
        <v>51</v>
      </c>
      <c r="F16" s="31" t="s">
        <v>136</v>
      </c>
      <c r="G16" s="31" t="n">
        <v>11</v>
      </c>
      <c r="H16" s="41" t="n">
        <v>2.7</v>
      </c>
      <c r="I16" s="31" t="s">
        <v>149</v>
      </c>
      <c r="J16" s="31" t="n">
        <v>5</v>
      </c>
      <c r="K16" s="31" t="s">
        <v>150</v>
      </c>
      <c r="L16" s="45" t="n">
        <f aca="false">DATE(YEAR(B16),MONTH(B16),1)</f>
        <v>46204</v>
      </c>
      <c r="M16" s="31" t="n">
        <f aca="false">WEEKDAY(B16,2)</f>
        <v>3</v>
      </c>
      <c r="N16" s="31" t="str">
        <f aca="false">IF(G16&lt;=INDEX(Assumptions!$B$15:$B$18,MATCH(E16,Assumptions!$A$15:$A$18,0)),"Yes","No")</f>
        <v>Yes</v>
      </c>
      <c r="O16" s="31" t="str">
        <f aca="false">IF(H16="","Open",IF(H16&lt;=INDEX(Assumptions!$C$15:$C$18,MATCH(E16,Assumptions!$A$15:$A$18,0)),"Yes","No"))</f>
        <v>Yes</v>
      </c>
    </row>
    <row r="17" customFormat="false" ht="15" hidden="false" customHeight="false" outlineLevel="0" collapsed="false">
      <c r="A17" s="31" t="s">
        <v>167</v>
      </c>
      <c r="B17" s="44" t="n">
        <v>46204</v>
      </c>
      <c r="C17" s="31" t="s">
        <v>59</v>
      </c>
      <c r="D17" s="31" t="s">
        <v>68</v>
      </c>
      <c r="E17" s="31" t="s">
        <v>50</v>
      </c>
      <c r="F17" s="31" t="s">
        <v>135</v>
      </c>
      <c r="G17" s="31" t="n">
        <v>79</v>
      </c>
      <c r="H17" s="41" t="n">
        <v>2.4</v>
      </c>
      <c r="I17" s="31" t="s">
        <v>149</v>
      </c>
      <c r="J17" s="31" t="n">
        <v>5</v>
      </c>
      <c r="K17" s="31" t="s">
        <v>150</v>
      </c>
      <c r="L17" s="45" t="n">
        <f aca="false">DATE(YEAR(B17),MONTH(B17),1)</f>
        <v>46204</v>
      </c>
      <c r="M17" s="31" t="n">
        <f aca="false">WEEKDAY(B17,2)</f>
        <v>3</v>
      </c>
      <c r="N17" s="31" t="str">
        <f aca="false">IF(G17&lt;=INDEX(Assumptions!$B$15:$B$18,MATCH(E17,Assumptions!$A$15:$A$18,0)),"Yes","No")</f>
        <v>No</v>
      </c>
      <c r="O17" s="31" t="str">
        <f aca="false">IF(H17="","Open",IF(H17&lt;=INDEX(Assumptions!$C$15:$C$18,MATCH(E17,Assumptions!$A$15:$A$18,0)),"Yes","No"))</f>
        <v>Yes</v>
      </c>
    </row>
    <row r="18" customFormat="false" ht="15" hidden="false" customHeight="false" outlineLevel="0" collapsed="false">
      <c r="A18" s="31" t="s">
        <v>168</v>
      </c>
      <c r="B18" s="44" t="n">
        <v>46204</v>
      </c>
      <c r="C18" s="31" t="s">
        <v>60</v>
      </c>
      <c r="D18" s="31" t="s">
        <v>66</v>
      </c>
      <c r="E18" s="31" t="s">
        <v>51</v>
      </c>
      <c r="F18" s="31" t="s">
        <v>127</v>
      </c>
      <c r="G18" s="31" t="n">
        <v>1</v>
      </c>
      <c r="H18" s="41" t="n">
        <v>6.8</v>
      </c>
      <c r="I18" s="31" t="s">
        <v>149</v>
      </c>
      <c r="J18" s="31" t="n">
        <v>5</v>
      </c>
      <c r="K18" s="31" t="s">
        <v>150</v>
      </c>
      <c r="L18" s="45" t="n">
        <f aca="false">DATE(YEAR(B18),MONTH(B18),1)</f>
        <v>46204</v>
      </c>
      <c r="M18" s="31" t="n">
        <f aca="false">WEEKDAY(B18,2)</f>
        <v>3</v>
      </c>
      <c r="N18" s="31" t="str">
        <f aca="false">IF(G18&lt;=INDEX(Assumptions!$B$15:$B$18,MATCH(E18,Assumptions!$A$15:$A$18,0)),"Yes","No")</f>
        <v>Yes</v>
      </c>
      <c r="O18" s="31" t="str">
        <f aca="false">IF(H18="","Open",IF(H18&lt;=INDEX(Assumptions!$C$15:$C$18,MATCH(E18,Assumptions!$A$15:$A$18,0)),"Yes","No"))</f>
        <v>Yes</v>
      </c>
    </row>
    <row r="19" customFormat="false" ht="15" hidden="false" customHeight="false" outlineLevel="0" collapsed="false">
      <c r="A19" s="31" t="s">
        <v>169</v>
      </c>
      <c r="B19" s="44" t="n">
        <v>46204</v>
      </c>
      <c r="C19" s="31" t="s">
        <v>59</v>
      </c>
      <c r="D19" s="31" t="s">
        <v>66</v>
      </c>
      <c r="E19" s="31" t="s">
        <v>52</v>
      </c>
      <c r="F19" s="31" t="s">
        <v>135</v>
      </c>
      <c r="G19" s="31" t="n">
        <v>113</v>
      </c>
      <c r="H19" s="41" t="n">
        <v>11.3</v>
      </c>
      <c r="I19" s="31" t="s">
        <v>64</v>
      </c>
      <c r="J19" s="31"/>
      <c r="K19" s="31" t="s">
        <v>150</v>
      </c>
      <c r="L19" s="45" t="n">
        <f aca="false">DATE(YEAR(B19),MONTH(B19),1)</f>
        <v>46204</v>
      </c>
      <c r="M19" s="31" t="n">
        <f aca="false">WEEKDAY(B19,2)</f>
        <v>3</v>
      </c>
      <c r="N19" s="31" t="str">
        <f aca="false">IF(G19&lt;=INDEX(Assumptions!$B$15:$B$18,MATCH(E19,Assumptions!$A$15:$A$18,0)),"Yes","No")</f>
        <v>Yes</v>
      </c>
      <c r="O19" s="31" t="str">
        <f aca="false">IF(H19="","Open",IF(H19&lt;=INDEX(Assumptions!$C$15:$C$18,MATCH(E19,Assumptions!$A$15:$A$18,0)),"Yes","No"))</f>
        <v>Yes</v>
      </c>
    </row>
    <row r="20" customFormat="false" ht="15" hidden="false" customHeight="false" outlineLevel="0" collapsed="false">
      <c r="A20" s="31" t="s">
        <v>170</v>
      </c>
      <c r="B20" s="44" t="n">
        <v>46204</v>
      </c>
      <c r="C20" s="31" t="s">
        <v>58</v>
      </c>
      <c r="D20" s="31" t="s">
        <v>65</v>
      </c>
      <c r="E20" s="31" t="s">
        <v>51</v>
      </c>
      <c r="F20" s="31" t="s">
        <v>123</v>
      </c>
      <c r="G20" s="31" t="n">
        <v>5</v>
      </c>
      <c r="H20" s="41" t="n">
        <v>4.5</v>
      </c>
      <c r="I20" s="31" t="s">
        <v>149</v>
      </c>
      <c r="J20" s="31" t="n">
        <v>5</v>
      </c>
      <c r="K20" s="31" t="s">
        <v>150</v>
      </c>
      <c r="L20" s="45" t="n">
        <f aca="false">DATE(YEAR(B20),MONTH(B20),1)</f>
        <v>46204</v>
      </c>
      <c r="M20" s="31" t="n">
        <f aca="false">WEEKDAY(B20,2)</f>
        <v>3</v>
      </c>
      <c r="N20" s="31" t="str">
        <f aca="false">IF(G20&lt;=INDEX(Assumptions!$B$15:$B$18,MATCH(E20,Assumptions!$A$15:$A$18,0)),"Yes","No")</f>
        <v>Yes</v>
      </c>
      <c r="O20" s="31" t="str">
        <f aca="false">IF(H20="","Open",IF(H20&lt;=INDEX(Assumptions!$C$15:$C$18,MATCH(E20,Assumptions!$A$15:$A$18,0)),"Yes","No"))</f>
        <v>Yes</v>
      </c>
    </row>
    <row r="21" customFormat="false" ht="15" hidden="false" customHeight="false" outlineLevel="0" collapsed="false">
      <c r="A21" s="31" t="s">
        <v>171</v>
      </c>
      <c r="B21" s="44" t="n">
        <v>46204</v>
      </c>
      <c r="C21" s="31" t="s">
        <v>57</v>
      </c>
      <c r="D21" s="31" t="s">
        <v>65</v>
      </c>
      <c r="E21" s="31" t="s">
        <v>50</v>
      </c>
      <c r="F21" s="31" t="s">
        <v>130</v>
      </c>
      <c r="G21" s="31" t="n">
        <v>1</v>
      </c>
      <c r="H21" s="41" t="n">
        <v>5.1</v>
      </c>
      <c r="I21" s="31" t="s">
        <v>149</v>
      </c>
      <c r="J21" s="31" t="n">
        <v>5</v>
      </c>
      <c r="K21" s="31" t="s">
        <v>150</v>
      </c>
      <c r="L21" s="45" t="n">
        <f aca="false">DATE(YEAR(B21),MONTH(B21),1)</f>
        <v>46204</v>
      </c>
      <c r="M21" s="31" t="n">
        <f aca="false">WEEKDAY(B21,2)</f>
        <v>3</v>
      </c>
      <c r="N21" s="31" t="str">
        <f aca="false">IF(G21&lt;=INDEX(Assumptions!$B$15:$B$18,MATCH(E21,Assumptions!$A$15:$A$18,0)),"Yes","No")</f>
        <v>Yes</v>
      </c>
      <c r="O21" s="31" t="str">
        <f aca="false">IF(H21="","Open",IF(H21&lt;=INDEX(Assumptions!$C$15:$C$18,MATCH(E21,Assumptions!$A$15:$A$18,0)),"Yes","No"))</f>
        <v>Yes</v>
      </c>
    </row>
    <row r="22" customFormat="false" ht="15" hidden="false" customHeight="false" outlineLevel="0" collapsed="false">
      <c r="A22" s="31" t="s">
        <v>172</v>
      </c>
      <c r="B22" s="44" t="n">
        <v>46204</v>
      </c>
      <c r="C22" s="31" t="s">
        <v>60</v>
      </c>
      <c r="D22" s="31" t="s">
        <v>67</v>
      </c>
      <c r="E22" s="31" t="s">
        <v>51</v>
      </c>
      <c r="F22" s="31" t="s">
        <v>124</v>
      </c>
      <c r="G22" s="31" t="n">
        <v>4</v>
      </c>
      <c r="H22" s="41" t="n">
        <v>19.6</v>
      </c>
      <c r="I22" s="31" t="s">
        <v>149</v>
      </c>
      <c r="J22" s="31"/>
      <c r="K22" s="31" t="s">
        <v>150</v>
      </c>
      <c r="L22" s="45" t="n">
        <f aca="false">DATE(YEAR(B22),MONTH(B22),1)</f>
        <v>46204</v>
      </c>
      <c r="M22" s="31" t="n">
        <f aca="false">WEEKDAY(B22,2)</f>
        <v>3</v>
      </c>
      <c r="N22" s="31" t="str">
        <f aca="false">IF(G22&lt;=INDEX(Assumptions!$B$15:$B$18,MATCH(E22,Assumptions!$A$15:$A$18,0)),"Yes","No")</f>
        <v>Yes</v>
      </c>
      <c r="O22" s="31" t="str">
        <f aca="false">IF(H22="","Open",IF(H22&lt;=INDEX(Assumptions!$C$15:$C$18,MATCH(E22,Assumptions!$A$15:$A$18,0)),"Yes","No"))</f>
        <v>Yes</v>
      </c>
    </row>
    <row r="23" customFormat="false" ht="15" hidden="false" customHeight="false" outlineLevel="0" collapsed="false">
      <c r="A23" s="31" t="s">
        <v>173</v>
      </c>
      <c r="B23" s="44" t="n">
        <v>46204</v>
      </c>
      <c r="C23" s="31" t="s">
        <v>59</v>
      </c>
      <c r="D23" s="31" t="s">
        <v>69</v>
      </c>
      <c r="E23" s="31" t="s">
        <v>52</v>
      </c>
      <c r="F23" s="31" t="s">
        <v>124</v>
      </c>
      <c r="G23" s="31" t="n">
        <v>211</v>
      </c>
      <c r="H23" s="41" t="n">
        <v>12.5</v>
      </c>
      <c r="I23" s="31" t="s">
        <v>149</v>
      </c>
      <c r="J23" s="31" t="n">
        <v>4</v>
      </c>
      <c r="K23" s="31" t="s">
        <v>150</v>
      </c>
      <c r="L23" s="45" t="n">
        <f aca="false">DATE(YEAR(B23),MONTH(B23),1)</f>
        <v>46204</v>
      </c>
      <c r="M23" s="31" t="n">
        <f aca="false">WEEKDAY(B23,2)</f>
        <v>3</v>
      </c>
      <c r="N23" s="31" t="str">
        <f aca="false">IF(G23&lt;=INDEX(Assumptions!$B$15:$B$18,MATCH(E23,Assumptions!$A$15:$A$18,0)),"Yes","No")</f>
        <v>Yes</v>
      </c>
      <c r="O23" s="31" t="str">
        <f aca="false">IF(H23="","Open",IF(H23&lt;=INDEX(Assumptions!$C$15:$C$18,MATCH(E23,Assumptions!$A$15:$A$18,0)),"Yes","No"))</f>
        <v>Yes</v>
      </c>
    </row>
    <row r="24" customFormat="false" ht="15" hidden="false" customHeight="false" outlineLevel="0" collapsed="false">
      <c r="A24" s="31" t="s">
        <v>174</v>
      </c>
      <c r="B24" s="44" t="n">
        <v>46204</v>
      </c>
      <c r="C24" s="31" t="s">
        <v>59</v>
      </c>
      <c r="D24" s="31" t="s">
        <v>68</v>
      </c>
      <c r="E24" s="31" t="s">
        <v>50</v>
      </c>
      <c r="F24" s="31" t="s">
        <v>121</v>
      </c>
      <c r="G24" s="31" t="n">
        <v>146</v>
      </c>
      <c r="H24" s="41" t="n">
        <v>6.2</v>
      </c>
      <c r="I24" s="31" t="s">
        <v>149</v>
      </c>
      <c r="J24" s="31"/>
      <c r="K24" s="31" t="s">
        <v>150</v>
      </c>
      <c r="L24" s="45" t="n">
        <f aca="false">DATE(YEAR(B24),MONTH(B24),1)</f>
        <v>46204</v>
      </c>
      <c r="M24" s="31" t="n">
        <f aca="false">WEEKDAY(B24,2)</f>
        <v>3</v>
      </c>
      <c r="N24" s="31" t="str">
        <f aca="false">IF(G24&lt;=INDEX(Assumptions!$B$15:$B$18,MATCH(E24,Assumptions!$A$15:$A$18,0)),"Yes","No")</f>
        <v>No</v>
      </c>
      <c r="O24" s="31" t="str">
        <f aca="false">IF(H24="","Open",IF(H24&lt;=INDEX(Assumptions!$C$15:$C$18,MATCH(E24,Assumptions!$A$15:$A$18,0)),"Yes","No"))</f>
        <v>Yes</v>
      </c>
    </row>
    <row r="25" customFormat="false" ht="15" hidden="false" customHeight="false" outlineLevel="0" collapsed="false">
      <c r="A25" s="31" t="s">
        <v>175</v>
      </c>
      <c r="B25" s="44" t="n">
        <v>46204</v>
      </c>
      <c r="C25" s="31" t="s">
        <v>58</v>
      </c>
      <c r="D25" s="31" t="s">
        <v>68</v>
      </c>
      <c r="E25" s="31" t="s">
        <v>51</v>
      </c>
      <c r="F25" s="31" t="s">
        <v>135</v>
      </c>
      <c r="G25" s="31" t="n">
        <v>45</v>
      </c>
      <c r="H25" s="41" t="n">
        <v>1.6</v>
      </c>
      <c r="I25" s="31" t="s">
        <v>149</v>
      </c>
      <c r="J25" s="31" t="n">
        <v>4</v>
      </c>
      <c r="K25" s="31" t="s">
        <v>150</v>
      </c>
      <c r="L25" s="45" t="n">
        <f aca="false">DATE(YEAR(B25),MONTH(B25),1)</f>
        <v>46204</v>
      </c>
      <c r="M25" s="31" t="n">
        <f aca="false">WEEKDAY(B25,2)</f>
        <v>3</v>
      </c>
      <c r="N25" s="31" t="str">
        <f aca="false">IF(G25&lt;=INDEX(Assumptions!$B$15:$B$18,MATCH(E25,Assumptions!$A$15:$A$18,0)),"Yes","No")</f>
        <v>Yes</v>
      </c>
      <c r="O25" s="31" t="str">
        <f aca="false">IF(H25="","Open",IF(H25&lt;=INDEX(Assumptions!$C$15:$C$18,MATCH(E25,Assumptions!$A$15:$A$18,0)),"Yes","No"))</f>
        <v>Yes</v>
      </c>
    </row>
    <row r="26" customFormat="false" ht="15" hidden="false" customHeight="false" outlineLevel="0" collapsed="false">
      <c r="A26" s="31" t="s">
        <v>176</v>
      </c>
      <c r="B26" s="44" t="n">
        <v>46204</v>
      </c>
      <c r="C26" s="31" t="s">
        <v>60</v>
      </c>
      <c r="D26" s="31" t="s">
        <v>65</v>
      </c>
      <c r="E26" s="31" t="s">
        <v>52</v>
      </c>
      <c r="F26" s="31" t="s">
        <v>129</v>
      </c>
      <c r="G26" s="31" t="n">
        <v>3</v>
      </c>
      <c r="H26" s="41" t="n">
        <v>8.5</v>
      </c>
      <c r="I26" s="31" t="s">
        <v>149</v>
      </c>
      <c r="J26" s="31" t="n">
        <v>3</v>
      </c>
      <c r="K26" s="31" t="s">
        <v>150</v>
      </c>
      <c r="L26" s="45" t="n">
        <f aca="false">DATE(YEAR(B26),MONTH(B26),1)</f>
        <v>46204</v>
      </c>
      <c r="M26" s="31" t="n">
        <f aca="false">WEEKDAY(B26,2)</f>
        <v>3</v>
      </c>
      <c r="N26" s="31" t="str">
        <f aca="false">IF(G26&lt;=INDEX(Assumptions!$B$15:$B$18,MATCH(E26,Assumptions!$A$15:$A$18,0)),"Yes","No")</f>
        <v>Yes</v>
      </c>
      <c r="O26" s="31" t="str">
        <f aca="false">IF(H26="","Open",IF(H26&lt;=INDEX(Assumptions!$C$15:$C$18,MATCH(E26,Assumptions!$A$15:$A$18,0)),"Yes","No"))</f>
        <v>Yes</v>
      </c>
    </row>
    <row r="27" customFormat="false" ht="15" hidden="false" customHeight="false" outlineLevel="0" collapsed="false">
      <c r="A27" s="31" t="s">
        <v>177</v>
      </c>
      <c r="B27" s="44" t="n">
        <v>46204</v>
      </c>
      <c r="C27" s="31" t="s">
        <v>60</v>
      </c>
      <c r="D27" s="31" t="s">
        <v>68</v>
      </c>
      <c r="E27" s="31" t="s">
        <v>51</v>
      </c>
      <c r="F27" s="31" t="s">
        <v>123</v>
      </c>
      <c r="G27" s="31" t="n">
        <v>1</v>
      </c>
      <c r="H27" s="41" t="n">
        <v>2.8</v>
      </c>
      <c r="I27" s="31" t="s">
        <v>149</v>
      </c>
      <c r="J27" s="31"/>
      <c r="K27" s="31" t="s">
        <v>150</v>
      </c>
      <c r="L27" s="45" t="n">
        <f aca="false">DATE(YEAR(B27),MONTH(B27),1)</f>
        <v>46204</v>
      </c>
      <c r="M27" s="31" t="n">
        <f aca="false">WEEKDAY(B27,2)</f>
        <v>3</v>
      </c>
      <c r="N27" s="31" t="str">
        <f aca="false">IF(G27&lt;=INDEX(Assumptions!$B$15:$B$18,MATCH(E27,Assumptions!$A$15:$A$18,0)),"Yes","No")</f>
        <v>Yes</v>
      </c>
      <c r="O27" s="31" t="str">
        <f aca="false">IF(H27="","Open",IF(H27&lt;=INDEX(Assumptions!$C$15:$C$18,MATCH(E27,Assumptions!$A$15:$A$18,0)),"Yes","No"))</f>
        <v>Yes</v>
      </c>
    </row>
    <row r="28" customFormat="false" ht="15" hidden="false" customHeight="false" outlineLevel="0" collapsed="false">
      <c r="A28" s="31" t="s">
        <v>178</v>
      </c>
      <c r="B28" s="44" t="n">
        <v>46204</v>
      </c>
      <c r="C28" s="31" t="s">
        <v>58</v>
      </c>
      <c r="D28" s="31" t="s">
        <v>68</v>
      </c>
      <c r="E28" s="31" t="s">
        <v>51</v>
      </c>
      <c r="F28" s="31" t="s">
        <v>133</v>
      </c>
      <c r="G28" s="31" t="n">
        <v>48</v>
      </c>
      <c r="H28" s="41" t="n">
        <v>2</v>
      </c>
      <c r="I28" s="31" t="s">
        <v>149</v>
      </c>
      <c r="J28" s="31"/>
      <c r="K28" s="31" t="s">
        <v>150</v>
      </c>
      <c r="L28" s="45" t="n">
        <f aca="false">DATE(YEAR(B28),MONTH(B28),1)</f>
        <v>46204</v>
      </c>
      <c r="M28" s="31" t="n">
        <f aca="false">WEEKDAY(B28,2)</f>
        <v>3</v>
      </c>
      <c r="N28" s="31" t="str">
        <f aca="false">IF(G28&lt;=INDEX(Assumptions!$B$15:$B$18,MATCH(E28,Assumptions!$A$15:$A$18,0)),"Yes","No")</f>
        <v>Yes</v>
      </c>
      <c r="O28" s="31" t="str">
        <f aca="false">IF(H28="","Open",IF(H28&lt;=INDEX(Assumptions!$C$15:$C$18,MATCH(E28,Assumptions!$A$15:$A$18,0)),"Yes","No"))</f>
        <v>Yes</v>
      </c>
    </row>
    <row r="29" customFormat="false" ht="15" hidden="false" customHeight="false" outlineLevel="0" collapsed="false">
      <c r="A29" s="31" t="s">
        <v>179</v>
      </c>
      <c r="B29" s="44" t="n">
        <v>46204</v>
      </c>
      <c r="C29" s="31" t="s">
        <v>57</v>
      </c>
      <c r="D29" s="31" t="s">
        <v>68</v>
      </c>
      <c r="E29" s="31" t="s">
        <v>52</v>
      </c>
      <c r="F29" s="31" t="s">
        <v>133</v>
      </c>
      <c r="G29" s="31" t="n">
        <v>1</v>
      </c>
      <c r="H29" s="41" t="n">
        <v>17.1</v>
      </c>
      <c r="I29" s="31" t="s">
        <v>149</v>
      </c>
      <c r="J29" s="31"/>
      <c r="K29" s="31" t="s">
        <v>150</v>
      </c>
      <c r="L29" s="45" t="n">
        <f aca="false">DATE(YEAR(B29),MONTH(B29),1)</f>
        <v>46204</v>
      </c>
      <c r="M29" s="31" t="n">
        <f aca="false">WEEKDAY(B29,2)</f>
        <v>3</v>
      </c>
      <c r="N29" s="31" t="str">
        <f aca="false">IF(G29&lt;=INDEX(Assumptions!$B$15:$B$18,MATCH(E29,Assumptions!$A$15:$A$18,0)),"Yes","No")</f>
        <v>Yes</v>
      </c>
      <c r="O29" s="31" t="str">
        <f aca="false">IF(H29="","Open",IF(H29&lt;=INDEX(Assumptions!$C$15:$C$18,MATCH(E29,Assumptions!$A$15:$A$18,0)),"Yes","No"))</f>
        <v>Yes</v>
      </c>
    </row>
    <row r="30" customFormat="false" ht="15" hidden="false" customHeight="false" outlineLevel="0" collapsed="false">
      <c r="A30" s="31" t="s">
        <v>180</v>
      </c>
      <c r="B30" s="44" t="n">
        <v>46204</v>
      </c>
      <c r="C30" s="31" t="s">
        <v>59</v>
      </c>
      <c r="D30" s="31" t="s">
        <v>66</v>
      </c>
      <c r="E30" s="31" t="s">
        <v>50</v>
      </c>
      <c r="F30" s="31" t="s">
        <v>136</v>
      </c>
      <c r="G30" s="31" t="n">
        <v>60</v>
      </c>
      <c r="H30" s="41" t="n">
        <v>6.5</v>
      </c>
      <c r="I30" s="31" t="s">
        <v>149</v>
      </c>
      <c r="J30" s="31" t="n">
        <v>4</v>
      </c>
      <c r="K30" s="31" t="s">
        <v>150</v>
      </c>
      <c r="L30" s="45" t="n">
        <f aca="false">DATE(YEAR(B30),MONTH(B30),1)</f>
        <v>46204</v>
      </c>
      <c r="M30" s="31" t="n">
        <f aca="false">WEEKDAY(B30,2)</f>
        <v>3</v>
      </c>
      <c r="N30" s="31" t="str">
        <f aca="false">IF(G30&lt;=INDEX(Assumptions!$B$15:$B$18,MATCH(E30,Assumptions!$A$15:$A$18,0)),"Yes","No")</f>
        <v>No</v>
      </c>
      <c r="O30" s="31" t="str">
        <f aca="false">IF(H30="","Open",IF(H30&lt;=INDEX(Assumptions!$C$15:$C$18,MATCH(E30,Assumptions!$A$15:$A$18,0)),"Yes","No"))</f>
        <v>Yes</v>
      </c>
    </row>
    <row r="31" customFormat="false" ht="15" hidden="false" customHeight="false" outlineLevel="0" collapsed="false">
      <c r="A31" s="31" t="s">
        <v>181</v>
      </c>
      <c r="B31" s="44" t="n">
        <v>46204</v>
      </c>
      <c r="C31" s="31" t="s">
        <v>57</v>
      </c>
      <c r="D31" s="31" t="s">
        <v>66</v>
      </c>
      <c r="E31" s="31" t="s">
        <v>50</v>
      </c>
      <c r="F31" s="31" t="s">
        <v>136</v>
      </c>
      <c r="G31" s="31" t="n">
        <v>5</v>
      </c>
      <c r="H31" s="41" t="n">
        <v>7.9</v>
      </c>
      <c r="I31" s="31" t="s">
        <v>149</v>
      </c>
      <c r="J31" s="31"/>
      <c r="K31" s="31" t="s">
        <v>150</v>
      </c>
      <c r="L31" s="45" t="n">
        <f aca="false">DATE(YEAR(B31),MONTH(B31),1)</f>
        <v>46204</v>
      </c>
      <c r="M31" s="31" t="n">
        <f aca="false">WEEKDAY(B31,2)</f>
        <v>3</v>
      </c>
      <c r="N31" s="31" t="str">
        <f aca="false">IF(G31&lt;=INDEX(Assumptions!$B$15:$B$18,MATCH(E31,Assumptions!$A$15:$A$18,0)),"Yes","No")</f>
        <v>Yes</v>
      </c>
      <c r="O31" s="31" t="str">
        <f aca="false">IF(H31="","Open",IF(H31&lt;=INDEX(Assumptions!$C$15:$C$18,MATCH(E31,Assumptions!$A$15:$A$18,0)),"Yes","No"))</f>
        <v>Yes</v>
      </c>
    </row>
    <row r="32" customFormat="false" ht="15" hidden="false" customHeight="false" outlineLevel="0" collapsed="false">
      <c r="A32" s="31" t="s">
        <v>182</v>
      </c>
      <c r="B32" s="44" t="n">
        <v>46204</v>
      </c>
      <c r="C32" s="31" t="s">
        <v>58</v>
      </c>
      <c r="D32" s="31" t="s">
        <v>68</v>
      </c>
      <c r="E32" s="31" t="s">
        <v>51</v>
      </c>
      <c r="F32" s="31" t="s">
        <v>119</v>
      </c>
      <c r="G32" s="31" t="n">
        <v>3</v>
      </c>
      <c r="H32" s="41" t="n">
        <v>4.2</v>
      </c>
      <c r="I32" s="31" t="s">
        <v>149</v>
      </c>
      <c r="J32" s="31" t="n">
        <v>4</v>
      </c>
      <c r="K32" s="31" t="s">
        <v>150</v>
      </c>
      <c r="L32" s="45" t="n">
        <f aca="false">DATE(YEAR(B32),MONTH(B32),1)</f>
        <v>46204</v>
      </c>
      <c r="M32" s="31" t="n">
        <f aca="false">WEEKDAY(B32,2)</f>
        <v>3</v>
      </c>
      <c r="N32" s="31" t="str">
        <f aca="false">IF(G32&lt;=INDEX(Assumptions!$B$15:$B$18,MATCH(E32,Assumptions!$A$15:$A$18,0)),"Yes","No")</f>
        <v>Yes</v>
      </c>
      <c r="O32" s="31" t="str">
        <f aca="false">IF(H32="","Open",IF(H32&lt;=INDEX(Assumptions!$C$15:$C$18,MATCH(E32,Assumptions!$A$15:$A$18,0)),"Yes","No"))</f>
        <v>Yes</v>
      </c>
    </row>
    <row r="33" customFormat="false" ht="15" hidden="false" customHeight="false" outlineLevel="0" collapsed="false">
      <c r="A33" s="31" t="s">
        <v>183</v>
      </c>
      <c r="B33" s="44" t="n">
        <v>46204</v>
      </c>
      <c r="C33" s="31" t="s">
        <v>58</v>
      </c>
      <c r="D33" s="31" t="s">
        <v>67</v>
      </c>
      <c r="E33" s="31" t="s">
        <v>50</v>
      </c>
      <c r="F33" s="31" t="s">
        <v>128</v>
      </c>
      <c r="G33" s="31" t="n">
        <v>7</v>
      </c>
      <c r="H33" s="41" t="n">
        <v>4.9</v>
      </c>
      <c r="I33" s="31" t="s">
        <v>149</v>
      </c>
      <c r="J33" s="31" t="n">
        <v>4</v>
      </c>
      <c r="K33" s="31" t="s">
        <v>150</v>
      </c>
      <c r="L33" s="45" t="n">
        <f aca="false">DATE(YEAR(B33),MONTH(B33),1)</f>
        <v>46204</v>
      </c>
      <c r="M33" s="31" t="n">
        <f aca="false">WEEKDAY(B33,2)</f>
        <v>3</v>
      </c>
      <c r="N33" s="31" t="str">
        <f aca="false">IF(G33&lt;=INDEX(Assumptions!$B$15:$B$18,MATCH(E33,Assumptions!$A$15:$A$18,0)),"Yes","No")</f>
        <v>Yes</v>
      </c>
      <c r="O33" s="31" t="str">
        <f aca="false">IF(H33="","Open",IF(H33&lt;=INDEX(Assumptions!$C$15:$C$18,MATCH(E33,Assumptions!$A$15:$A$18,0)),"Yes","No"))</f>
        <v>Yes</v>
      </c>
    </row>
    <row r="34" customFormat="false" ht="15" hidden="false" customHeight="false" outlineLevel="0" collapsed="false">
      <c r="A34" s="31" t="s">
        <v>184</v>
      </c>
      <c r="B34" s="44" t="n">
        <v>46204</v>
      </c>
      <c r="C34" s="31" t="s">
        <v>58</v>
      </c>
      <c r="D34" s="31" t="s">
        <v>68</v>
      </c>
      <c r="E34" s="31" t="s">
        <v>52</v>
      </c>
      <c r="F34" s="31" t="s">
        <v>130</v>
      </c>
      <c r="G34" s="31" t="n">
        <v>12</v>
      </c>
      <c r="H34" s="41" t="n">
        <v>19.3</v>
      </c>
      <c r="I34" s="31" t="s">
        <v>149</v>
      </c>
      <c r="J34" s="31" t="n">
        <v>5</v>
      </c>
      <c r="K34" s="31" t="s">
        <v>153</v>
      </c>
      <c r="L34" s="45" t="n">
        <f aca="false">DATE(YEAR(B34),MONTH(B34),1)</f>
        <v>46204</v>
      </c>
      <c r="M34" s="31" t="n">
        <f aca="false">WEEKDAY(B34,2)</f>
        <v>3</v>
      </c>
      <c r="N34" s="31" t="str">
        <f aca="false">IF(G34&lt;=INDEX(Assumptions!$B$15:$B$18,MATCH(E34,Assumptions!$A$15:$A$18,0)),"Yes","No")</f>
        <v>Yes</v>
      </c>
      <c r="O34" s="31" t="str">
        <f aca="false">IF(H34="","Open",IF(H34&lt;=INDEX(Assumptions!$C$15:$C$18,MATCH(E34,Assumptions!$A$15:$A$18,0)),"Yes","No"))</f>
        <v>Yes</v>
      </c>
    </row>
    <row r="35" customFormat="false" ht="15" hidden="false" customHeight="false" outlineLevel="0" collapsed="false">
      <c r="A35" s="31" t="s">
        <v>185</v>
      </c>
      <c r="B35" s="44" t="n">
        <v>46204</v>
      </c>
      <c r="C35" s="31" t="s">
        <v>60</v>
      </c>
      <c r="D35" s="31" t="s">
        <v>67</v>
      </c>
      <c r="E35" s="31" t="s">
        <v>52</v>
      </c>
      <c r="F35" s="31" t="s">
        <v>119</v>
      </c>
      <c r="G35" s="31" t="n">
        <v>6</v>
      </c>
      <c r="H35" s="41" t="n">
        <v>12</v>
      </c>
      <c r="I35" s="31" t="s">
        <v>149</v>
      </c>
      <c r="J35" s="31" t="n">
        <v>5</v>
      </c>
      <c r="K35" s="31" t="s">
        <v>150</v>
      </c>
      <c r="L35" s="45" t="n">
        <f aca="false">DATE(YEAR(B35),MONTH(B35),1)</f>
        <v>46204</v>
      </c>
      <c r="M35" s="31" t="n">
        <f aca="false">WEEKDAY(B35,2)</f>
        <v>3</v>
      </c>
      <c r="N35" s="31" t="str">
        <f aca="false">IF(G35&lt;=INDEX(Assumptions!$B$15:$B$18,MATCH(E35,Assumptions!$A$15:$A$18,0)),"Yes","No")</f>
        <v>Yes</v>
      </c>
      <c r="O35" s="31" t="str">
        <f aca="false">IF(H35="","Open",IF(H35&lt;=INDEX(Assumptions!$C$15:$C$18,MATCH(E35,Assumptions!$A$15:$A$18,0)),"Yes","No"))</f>
        <v>Yes</v>
      </c>
    </row>
    <row r="36" customFormat="false" ht="15" hidden="false" customHeight="false" outlineLevel="0" collapsed="false">
      <c r="A36" s="31" t="s">
        <v>186</v>
      </c>
      <c r="B36" s="44" t="n">
        <v>46204</v>
      </c>
      <c r="C36" s="31" t="s">
        <v>59</v>
      </c>
      <c r="D36" s="31" t="s">
        <v>67</v>
      </c>
      <c r="E36" s="31" t="s">
        <v>51</v>
      </c>
      <c r="F36" s="31" t="s">
        <v>119</v>
      </c>
      <c r="G36" s="31" t="n">
        <v>40</v>
      </c>
      <c r="H36" s="41" t="n">
        <v>26.2</v>
      </c>
      <c r="I36" s="31" t="s">
        <v>149</v>
      </c>
      <c r="J36" s="31" t="n">
        <v>4</v>
      </c>
      <c r="K36" s="31" t="s">
        <v>150</v>
      </c>
      <c r="L36" s="45" t="n">
        <f aca="false">DATE(YEAR(B36),MONTH(B36),1)</f>
        <v>46204</v>
      </c>
      <c r="M36" s="31" t="n">
        <f aca="false">WEEKDAY(B36,2)</f>
        <v>3</v>
      </c>
      <c r="N36" s="31" t="str">
        <f aca="false">IF(G36&lt;=INDEX(Assumptions!$B$15:$B$18,MATCH(E36,Assumptions!$A$15:$A$18,0)),"Yes","No")</f>
        <v>Yes</v>
      </c>
      <c r="O36" s="31" t="str">
        <f aca="false">IF(H36="","Open",IF(H36&lt;=INDEX(Assumptions!$C$15:$C$18,MATCH(E36,Assumptions!$A$15:$A$18,0)),"Yes","No"))</f>
        <v>No</v>
      </c>
    </row>
    <row r="37" customFormat="false" ht="15" hidden="false" customHeight="false" outlineLevel="0" collapsed="false">
      <c r="A37" s="31" t="s">
        <v>187</v>
      </c>
      <c r="B37" s="44" t="n">
        <v>46204</v>
      </c>
      <c r="C37" s="31" t="s">
        <v>58</v>
      </c>
      <c r="D37" s="31" t="s">
        <v>66</v>
      </c>
      <c r="E37" s="31" t="s">
        <v>52</v>
      </c>
      <c r="F37" s="31" t="s">
        <v>123</v>
      </c>
      <c r="G37" s="31" t="n">
        <v>3</v>
      </c>
      <c r="H37" s="41" t="n">
        <v>14</v>
      </c>
      <c r="I37" s="31" t="s">
        <v>149</v>
      </c>
      <c r="J37" s="31"/>
      <c r="K37" s="31" t="s">
        <v>153</v>
      </c>
      <c r="L37" s="45" t="n">
        <f aca="false">DATE(YEAR(B37),MONTH(B37),1)</f>
        <v>46204</v>
      </c>
      <c r="M37" s="31" t="n">
        <f aca="false">WEEKDAY(B37,2)</f>
        <v>3</v>
      </c>
      <c r="N37" s="31" t="str">
        <f aca="false">IF(G37&lt;=INDEX(Assumptions!$B$15:$B$18,MATCH(E37,Assumptions!$A$15:$A$18,0)),"Yes","No")</f>
        <v>Yes</v>
      </c>
      <c r="O37" s="31" t="str">
        <f aca="false">IF(H37="","Open",IF(H37&lt;=INDEX(Assumptions!$C$15:$C$18,MATCH(E37,Assumptions!$A$15:$A$18,0)),"Yes","No"))</f>
        <v>Yes</v>
      </c>
    </row>
    <row r="38" customFormat="false" ht="15" hidden="false" customHeight="false" outlineLevel="0" collapsed="false">
      <c r="A38" s="31" t="s">
        <v>188</v>
      </c>
      <c r="B38" s="44" t="n">
        <v>46204</v>
      </c>
      <c r="C38" s="31" t="s">
        <v>59</v>
      </c>
      <c r="D38" s="31" t="s">
        <v>67</v>
      </c>
      <c r="E38" s="31" t="s">
        <v>51</v>
      </c>
      <c r="F38" s="31" t="s">
        <v>126</v>
      </c>
      <c r="G38" s="31" t="n">
        <v>37</v>
      </c>
      <c r="H38" s="41" t="n">
        <v>25.7</v>
      </c>
      <c r="I38" s="31" t="s">
        <v>149</v>
      </c>
      <c r="J38" s="31"/>
      <c r="K38" s="31" t="s">
        <v>150</v>
      </c>
      <c r="L38" s="45" t="n">
        <f aca="false">DATE(YEAR(B38),MONTH(B38),1)</f>
        <v>46204</v>
      </c>
      <c r="M38" s="31" t="n">
        <f aca="false">WEEKDAY(B38,2)</f>
        <v>3</v>
      </c>
      <c r="N38" s="31" t="str">
        <f aca="false">IF(G38&lt;=INDEX(Assumptions!$B$15:$B$18,MATCH(E38,Assumptions!$A$15:$A$18,0)),"Yes","No")</f>
        <v>Yes</v>
      </c>
      <c r="O38" s="31" t="str">
        <f aca="false">IF(H38="","Open",IF(H38&lt;=INDEX(Assumptions!$C$15:$C$18,MATCH(E38,Assumptions!$A$15:$A$18,0)),"Yes","No"))</f>
        <v>No</v>
      </c>
    </row>
    <row r="39" customFormat="false" ht="15" hidden="false" customHeight="false" outlineLevel="0" collapsed="false">
      <c r="A39" s="31" t="s">
        <v>189</v>
      </c>
      <c r="B39" s="44" t="n">
        <v>46204</v>
      </c>
      <c r="C39" s="31" t="s">
        <v>60</v>
      </c>
      <c r="D39" s="31" t="s">
        <v>67</v>
      </c>
      <c r="E39" s="31" t="s">
        <v>51</v>
      </c>
      <c r="F39" s="31" t="s">
        <v>121</v>
      </c>
      <c r="G39" s="31" t="n">
        <v>2</v>
      </c>
      <c r="H39" s="41" t="n">
        <v>27.2</v>
      </c>
      <c r="I39" s="31" t="s">
        <v>149</v>
      </c>
      <c r="J39" s="31"/>
      <c r="K39" s="31" t="s">
        <v>150</v>
      </c>
      <c r="L39" s="45" t="n">
        <f aca="false">DATE(YEAR(B39),MONTH(B39),1)</f>
        <v>46204</v>
      </c>
      <c r="M39" s="31" t="n">
        <f aca="false">WEEKDAY(B39,2)</f>
        <v>3</v>
      </c>
      <c r="N39" s="31" t="str">
        <f aca="false">IF(G39&lt;=INDEX(Assumptions!$B$15:$B$18,MATCH(E39,Assumptions!$A$15:$A$18,0)),"Yes","No")</f>
        <v>Yes</v>
      </c>
      <c r="O39" s="31" t="str">
        <f aca="false">IF(H39="","Open",IF(H39&lt;=INDEX(Assumptions!$C$15:$C$18,MATCH(E39,Assumptions!$A$15:$A$18,0)),"Yes","No"))</f>
        <v>No</v>
      </c>
    </row>
    <row r="40" customFormat="false" ht="15" hidden="false" customHeight="false" outlineLevel="0" collapsed="false">
      <c r="A40" s="31" t="s">
        <v>190</v>
      </c>
      <c r="B40" s="44" t="n">
        <v>46204</v>
      </c>
      <c r="C40" s="31" t="s">
        <v>57</v>
      </c>
      <c r="D40" s="31" t="s">
        <v>66</v>
      </c>
      <c r="E40" s="31" t="s">
        <v>50</v>
      </c>
      <c r="F40" s="31" t="s">
        <v>123</v>
      </c>
      <c r="G40" s="31" t="n">
        <v>5</v>
      </c>
      <c r="H40" s="41" t="n">
        <v>2.6</v>
      </c>
      <c r="I40" s="31" t="s">
        <v>149</v>
      </c>
      <c r="J40" s="31" t="n">
        <v>5</v>
      </c>
      <c r="K40" s="31" t="s">
        <v>150</v>
      </c>
      <c r="L40" s="45" t="n">
        <f aca="false">DATE(YEAR(B40),MONTH(B40),1)</f>
        <v>46204</v>
      </c>
      <c r="M40" s="31" t="n">
        <f aca="false">WEEKDAY(B40,2)</f>
        <v>3</v>
      </c>
      <c r="N40" s="31" t="str">
        <f aca="false">IF(G40&lt;=INDEX(Assumptions!$B$15:$B$18,MATCH(E40,Assumptions!$A$15:$A$18,0)),"Yes","No")</f>
        <v>Yes</v>
      </c>
      <c r="O40" s="31" t="str">
        <f aca="false">IF(H40="","Open",IF(H40&lt;=INDEX(Assumptions!$C$15:$C$18,MATCH(E40,Assumptions!$A$15:$A$18,0)),"Yes","No"))</f>
        <v>Yes</v>
      </c>
    </row>
    <row r="41" customFormat="false" ht="15" hidden="false" customHeight="false" outlineLevel="0" collapsed="false">
      <c r="A41" s="31" t="s">
        <v>191</v>
      </c>
      <c r="B41" s="44" t="n">
        <v>46204</v>
      </c>
      <c r="C41" s="31" t="s">
        <v>59</v>
      </c>
      <c r="D41" s="31" t="s">
        <v>65</v>
      </c>
      <c r="E41" s="31" t="s">
        <v>50</v>
      </c>
      <c r="F41" s="31" t="s">
        <v>133</v>
      </c>
      <c r="G41" s="31" t="n">
        <v>79</v>
      </c>
      <c r="H41" s="41" t="n">
        <v>6.4</v>
      </c>
      <c r="I41" s="31" t="s">
        <v>149</v>
      </c>
      <c r="J41" s="31" t="n">
        <v>4</v>
      </c>
      <c r="K41" s="31" t="s">
        <v>150</v>
      </c>
      <c r="L41" s="45" t="n">
        <f aca="false">DATE(YEAR(B41),MONTH(B41),1)</f>
        <v>46204</v>
      </c>
      <c r="M41" s="31" t="n">
        <f aca="false">WEEKDAY(B41,2)</f>
        <v>3</v>
      </c>
      <c r="N41" s="31" t="str">
        <f aca="false">IF(G41&lt;=INDEX(Assumptions!$B$15:$B$18,MATCH(E41,Assumptions!$A$15:$A$18,0)),"Yes","No")</f>
        <v>No</v>
      </c>
      <c r="O41" s="31" t="str">
        <f aca="false">IF(H41="","Open",IF(H41&lt;=INDEX(Assumptions!$C$15:$C$18,MATCH(E41,Assumptions!$A$15:$A$18,0)),"Yes","No"))</f>
        <v>Yes</v>
      </c>
    </row>
    <row r="42" customFormat="false" ht="15" hidden="false" customHeight="false" outlineLevel="0" collapsed="false">
      <c r="A42" s="31" t="s">
        <v>192</v>
      </c>
      <c r="B42" s="44" t="n">
        <v>46204</v>
      </c>
      <c r="C42" s="31" t="s">
        <v>58</v>
      </c>
      <c r="D42" s="31" t="s">
        <v>67</v>
      </c>
      <c r="E42" s="31" t="s">
        <v>52</v>
      </c>
      <c r="F42" s="31" t="s">
        <v>136</v>
      </c>
      <c r="G42" s="31" t="n">
        <v>10</v>
      </c>
      <c r="H42" s="41" t="n">
        <v>9.3</v>
      </c>
      <c r="I42" s="31" t="s">
        <v>149</v>
      </c>
      <c r="J42" s="31" t="n">
        <v>3</v>
      </c>
      <c r="K42" s="31" t="s">
        <v>150</v>
      </c>
      <c r="L42" s="45" t="n">
        <f aca="false">DATE(YEAR(B42),MONTH(B42),1)</f>
        <v>46204</v>
      </c>
      <c r="M42" s="31" t="n">
        <f aca="false">WEEKDAY(B42,2)</f>
        <v>3</v>
      </c>
      <c r="N42" s="31" t="str">
        <f aca="false">IF(G42&lt;=INDEX(Assumptions!$B$15:$B$18,MATCH(E42,Assumptions!$A$15:$A$18,0)),"Yes","No")</f>
        <v>Yes</v>
      </c>
      <c r="O42" s="31" t="str">
        <f aca="false">IF(H42="","Open",IF(H42&lt;=INDEX(Assumptions!$C$15:$C$18,MATCH(E42,Assumptions!$A$15:$A$18,0)),"Yes","No"))</f>
        <v>Yes</v>
      </c>
    </row>
    <row r="43" customFormat="false" ht="15" hidden="false" customHeight="false" outlineLevel="0" collapsed="false">
      <c r="A43" s="31" t="s">
        <v>193</v>
      </c>
      <c r="B43" s="44" t="n">
        <v>46204</v>
      </c>
      <c r="C43" s="31" t="s">
        <v>59</v>
      </c>
      <c r="D43" s="31" t="s">
        <v>65</v>
      </c>
      <c r="E43" s="31" t="s">
        <v>52</v>
      </c>
      <c r="F43" s="31" t="s">
        <v>122</v>
      </c>
      <c r="G43" s="31" t="n">
        <v>87</v>
      </c>
      <c r="H43" s="41" t="n">
        <v>2.7</v>
      </c>
      <c r="I43" s="31" t="s">
        <v>149</v>
      </c>
      <c r="J43" s="31" t="n">
        <v>4</v>
      </c>
      <c r="K43" s="31" t="s">
        <v>150</v>
      </c>
      <c r="L43" s="45" t="n">
        <f aca="false">DATE(YEAR(B43),MONTH(B43),1)</f>
        <v>46204</v>
      </c>
      <c r="M43" s="31" t="n">
        <f aca="false">WEEKDAY(B43,2)</f>
        <v>3</v>
      </c>
      <c r="N43" s="31" t="str">
        <f aca="false">IF(G43&lt;=INDEX(Assumptions!$B$15:$B$18,MATCH(E43,Assumptions!$A$15:$A$18,0)),"Yes","No")</f>
        <v>Yes</v>
      </c>
      <c r="O43" s="31" t="str">
        <f aca="false">IF(H43="","Open",IF(H43&lt;=INDEX(Assumptions!$C$15:$C$18,MATCH(E43,Assumptions!$A$15:$A$18,0)),"Yes","No"))</f>
        <v>Yes</v>
      </c>
    </row>
    <row r="44" customFormat="false" ht="15" hidden="false" customHeight="false" outlineLevel="0" collapsed="false">
      <c r="A44" s="31" t="s">
        <v>194</v>
      </c>
      <c r="B44" s="44" t="n">
        <v>46204</v>
      </c>
      <c r="C44" s="31" t="s">
        <v>59</v>
      </c>
      <c r="D44" s="31" t="s">
        <v>65</v>
      </c>
      <c r="E44" s="31" t="s">
        <v>52</v>
      </c>
      <c r="F44" s="31" t="s">
        <v>129</v>
      </c>
      <c r="G44" s="31" t="n">
        <v>159</v>
      </c>
      <c r="H44" s="41" t="n">
        <v>24.7</v>
      </c>
      <c r="I44" s="31" t="s">
        <v>64</v>
      </c>
      <c r="J44" s="31" t="n">
        <v>4</v>
      </c>
      <c r="K44" s="31" t="s">
        <v>153</v>
      </c>
      <c r="L44" s="45" t="n">
        <f aca="false">DATE(YEAR(B44),MONTH(B44),1)</f>
        <v>46204</v>
      </c>
      <c r="M44" s="31" t="n">
        <f aca="false">WEEKDAY(B44,2)</f>
        <v>3</v>
      </c>
      <c r="N44" s="31" t="str">
        <f aca="false">IF(G44&lt;=INDEX(Assumptions!$B$15:$B$18,MATCH(E44,Assumptions!$A$15:$A$18,0)),"Yes","No")</f>
        <v>Yes</v>
      </c>
      <c r="O44" s="31" t="str">
        <f aca="false">IF(H44="","Open",IF(H44&lt;=INDEX(Assumptions!$C$15:$C$18,MATCH(E44,Assumptions!$A$15:$A$18,0)),"Yes","No"))</f>
        <v>Yes</v>
      </c>
    </row>
    <row r="45" customFormat="false" ht="15" hidden="false" customHeight="false" outlineLevel="0" collapsed="false">
      <c r="A45" s="31" t="s">
        <v>195</v>
      </c>
      <c r="B45" s="44" t="n">
        <v>46204</v>
      </c>
      <c r="C45" s="31" t="s">
        <v>58</v>
      </c>
      <c r="D45" s="31" t="s">
        <v>65</v>
      </c>
      <c r="E45" s="31" t="s">
        <v>51</v>
      </c>
      <c r="F45" s="31" t="s">
        <v>133</v>
      </c>
      <c r="G45" s="31" t="n">
        <v>4</v>
      </c>
      <c r="H45" s="41" t="n">
        <v>25.4</v>
      </c>
      <c r="I45" s="31" t="s">
        <v>149</v>
      </c>
      <c r="J45" s="31"/>
      <c r="K45" s="31" t="s">
        <v>150</v>
      </c>
      <c r="L45" s="45" t="n">
        <f aca="false">DATE(YEAR(B45),MONTH(B45),1)</f>
        <v>46204</v>
      </c>
      <c r="M45" s="31" t="n">
        <f aca="false">WEEKDAY(B45,2)</f>
        <v>3</v>
      </c>
      <c r="N45" s="31" t="str">
        <f aca="false">IF(G45&lt;=INDEX(Assumptions!$B$15:$B$18,MATCH(E45,Assumptions!$A$15:$A$18,0)),"Yes","No")</f>
        <v>Yes</v>
      </c>
      <c r="O45" s="31" t="str">
        <f aca="false">IF(H45="","Open",IF(H45&lt;=INDEX(Assumptions!$C$15:$C$18,MATCH(E45,Assumptions!$A$15:$A$18,0)),"Yes","No"))</f>
        <v>No</v>
      </c>
    </row>
    <row r="46" customFormat="false" ht="15" hidden="false" customHeight="false" outlineLevel="0" collapsed="false">
      <c r="A46" s="31" t="s">
        <v>196</v>
      </c>
      <c r="B46" s="44" t="n">
        <v>46204</v>
      </c>
      <c r="C46" s="31" t="s">
        <v>60</v>
      </c>
      <c r="D46" s="31" t="s">
        <v>65</v>
      </c>
      <c r="E46" s="31" t="s">
        <v>52</v>
      </c>
      <c r="F46" s="31" t="s">
        <v>124</v>
      </c>
      <c r="G46" s="31" t="n">
        <v>1</v>
      </c>
      <c r="H46" s="41" t="n">
        <v>15</v>
      </c>
      <c r="I46" s="31" t="s">
        <v>149</v>
      </c>
      <c r="J46" s="31"/>
      <c r="K46" s="31" t="s">
        <v>150</v>
      </c>
      <c r="L46" s="45" t="n">
        <f aca="false">DATE(YEAR(B46),MONTH(B46),1)</f>
        <v>46204</v>
      </c>
      <c r="M46" s="31" t="n">
        <f aca="false">WEEKDAY(B46,2)</f>
        <v>3</v>
      </c>
      <c r="N46" s="31" t="str">
        <f aca="false">IF(G46&lt;=INDEX(Assumptions!$B$15:$B$18,MATCH(E46,Assumptions!$A$15:$A$18,0)),"Yes","No")</f>
        <v>Yes</v>
      </c>
      <c r="O46" s="31" t="str">
        <f aca="false">IF(H46="","Open",IF(H46&lt;=INDEX(Assumptions!$C$15:$C$18,MATCH(E46,Assumptions!$A$15:$A$18,0)),"Yes","No"))</f>
        <v>Yes</v>
      </c>
    </row>
    <row r="47" customFormat="false" ht="15" hidden="false" customHeight="false" outlineLevel="0" collapsed="false">
      <c r="A47" s="31" t="s">
        <v>197</v>
      </c>
      <c r="B47" s="44" t="n">
        <v>46204</v>
      </c>
      <c r="C47" s="31" t="s">
        <v>57</v>
      </c>
      <c r="D47" s="31" t="s">
        <v>69</v>
      </c>
      <c r="E47" s="31" t="s">
        <v>50</v>
      </c>
      <c r="F47" s="31" t="s">
        <v>121</v>
      </c>
      <c r="G47" s="31" t="n">
        <v>7</v>
      </c>
      <c r="H47" s="41" t="n">
        <v>8.9</v>
      </c>
      <c r="I47" s="31" t="s">
        <v>149</v>
      </c>
      <c r="J47" s="31"/>
      <c r="K47" s="31" t="s">
        <v>153</v>
      </c>
      <c r="L47" s="45" t="n">
        <f aca="false">DATE(YEAR(B47),MONTH(B47),1)</f>
        <v>46204</v>
      </c>
      <c r="M47" s="31" t="n">
        <f aca="false">WEEKDAY(B47,2)</f>
        <v>3</v>
      </c>
      <c r="N47" s="31" t="str">
        <f aca="false">IF(G47&lt;=INDEX(Assumptions!$B$15:$B$18,MATCH(E47,Assumptions!$A$15:$A$18,0)),"Yes","No")</f>
        <v>Yes</v>
      </c>
      <c r="O47" s="31" t="str">
        <f aca="false">IF(H47="","Open",IF(H47&lt;=INDEX(Assumptions!$C$15:$C$18,MATCH(E47,Assumptions!$A$15:$A$18,0)),"Yes","No"))</f>
        <v>No</v>
      </c>
    </row>
    <row r="48" customFormat="false" ht="15" hidden="false" customHeight="false" outlineLevel="0" collapsed="false">
      <c r="A48" s="31" t="s">
        <v>198</v>
      </c>
      <c r="B48" s="44" t="n">
        <v>46204</v>
      </c>
      <c r="C48" s="31" t="s">
        <v>59</v>
      </c>
      <c r="D48" s="31" t="s">
        <v>69</v>
      </c>
      <c r="E48" s="31" t="s">
        <v>52</v>
      </c>
      <c r="F48" s="31" t="s">
        <v>119</v>
      </c>
      <c r="G48" s="31" t="n">
        <v>124</v>
      </c>
      <c r="H48" s="41" t="n">
        <v>44.8</v>
      </c>
      <c r="I48" s="31" t="s">
        <v>149</v>
      </c>
      <c r="J48" s="31"/>
      <c r="K48" s="31" t="s">
        <v>150</v>
      </c>
      <c r="L48" s="45" t="n">
        <f aca="false">DATE(YEAR(B48),MONTH(B48),1)</f>
        <v>46204</v>
      </c>
      <c r="M48" s="31" t="n">
        <f aca="false">WEEKDAY(B48,2)</f>
        <v>3</v>
      </c>
      <c r="N48" s="31" t="str">
        <f aca="false">IF(G48&lt;=INDEX(Assumptions!$B$15:$B$18,MATCH(E48,Assumptions!$A$15:$A$18,0)),"Yes","No")</f>
        <v>Yes</v>
      </c>
      <c r="O48" s="31" t="str">
        <f aca="false">IF(H48="","Open",IF(H48&lt;=INDEX(Assumptions!$C$15:$C$18,MATCH(E48,Assumptions!$A$15:$A$18,0)),"Yes","No"))</f>
        <v>Yes</v>
      </c>
    </row>
    <row r="49" customFormat="false" ht="15" hidden="false" customHeight="false" outlineLevel="0" collapsed="false">
      <c r="A49" s="31" t="s">
        <v>199</v>
      </c>
      <c r="B49" s="44" t="n">
        <v>46204</v>
      </c>
      <c r="C49" s="31" t="s">
        <v>60</v>
      </c>
      <c r="D49" s="31" t="s">
        <v>68</v>
      </c>
      <c r="E49" s="31" t="s">
        <v>51</v>
      </c>
      <c r="F49" s="31" t="s">
        <v>119</v>
      </c>
      <c r="G49" s="31" t="n">
        <v>1</v>
      </c>
      <c r="H49" s="41" t="n">
        <v>6.4</v>
      </c>
      <c r="I49" s="31" t="s">
        <v>149</v>
      </c>
      <c r="J49" s="31"/>
      <c r="K49" s="31" t="s">
        <v>150</v>
      </c>
      <c r="L49" s="45" t="n">
        <f aca="false">DATE(YEAR(B49),MONTH(B49),1)</f>
        <v>46204</v>
      </c>
      <c r="M49" s="31" t="n">
        <f aca="false">WEEKDAY(B49,2)</f>
        <v>3</v>
      </c>
      <c r="N49" s="31" t="str">
        <f aca="false">IF(G49&lt;=INDEX(Assumptions!$B$15:$B$18,MATCH(E49,Assumptions!$A$15:$A$18,0)),"Yes","No")</f>
        <v>Yes</v>
      </c>
      <c r="O49" s="31" t="str">
        <f aca="false">IF(H49="","Open",IF(H49&lt;=INDEX(Assumptions!$C$15:$C$18,MATCH(E49,Assumptions!$A$15:$A$18,0)),"Yes","No"))</f>
        <v>Yes</v>
      </c>
    </row>
    <row r="50" customFormat="false" ht="15" hidden="false" customHeight="false" outlineLevel="0" collapsed="false">
      <c r="A50" s="31" t="s">
        <v>200</v>
      </c>
      <c r="B50" s="44" t="n">
        <v>46204</v>
      </c>
      <c r="C50" s="31" t="s">
        <v>58</v>
      </c>
      <c r="D50" s="31" t="s">
        <v>67</v>
      </c>
      <c r="E50" s="31" t="s">
        <v>51</v>
      </c>
      <c r="F50" s="31" t="s">
        <v>134</v>
      </c>
      <c r="G50" s="31" t="n">
        <v>91</v>
      </c>
      <c r="H50" s="41" t="n">
        <v>24.9</v>
      </c>
      <c r="I50" s="31" t="s">
        <v>149</v>
      </c>
      <c r="J50" s="31" t="n">
        <v>4</v>
      </c>
      <c r="K50" s="31" t="s">
        <v>150</v>
      </c>
      <c r="L50" s="45" t="n">
        <f aca="false">DATE(YEAR(B50),MONTH(B50),1)</f>
        <v>46204</v>
      </c>
      <c r="M50" s="31" t="n">
        <f aca="false">WEEKDAY(B50,2)</f>
        <v>3</v>
      </c>
      <c r="N50" s="31" t="str">
        <f aca="false">IF(G50&lt;=INDEX(Assumptions!$B$15:$B$18,MATCH(E50,Assumptions!$A$15:$A$18,0)),"Yes","No")</f>
        <v>No</v>
      </c>
      <c r="O50" s="31" t="str">
        <f aca="false">IF(H50="","Open",IF(H50&lt;=INDEX(Assumptions!$C$15:$C$18,MATCH(E50,Assumptions!$A$15:$A$18,0)),"Yes","No"))</f>
        <v>No</v>
      </c>
    </row>
    <row r="51" customFormat="false" ht="15" hidden="false" customHeight="false" outlineLevel="0" collapsed="false">
      <c r="A51" s="31" t="s">
        <v>201</v>
      </c>
      <c r="B51" s="44" t="n">
        <v>46204</v>
      </c>
      <c r="C51" s="31" t="s">
        <v>59</v>
      </c>
      <c r="D51" s="31" t="s">
        <v>66</v>
      </c>
      <c r="E51" s="31" t="s">
        <v>51</v>
      </c>
      <c r="F51" s="31" t="s">
        <v>135</v>
      </c>
      <c r="G51" s="31" t="n">
        <v>86</v>
      </c>
      <c r="H51" s="41" t="n">
        <v>0.9</v>
      </c>
      <c r="I51" s="31" t="s">
        <v>149</v>
      </c>
      <c r="J51" s="31"/>
      <c r="K51" s="31" t="s">
        <v>150</v>
      </c>
      <c r="L51" s="45" t="n">
        <f aca="false">DATE(YEAR(B51),MONTH(B51),1)</f>
        <v>46204</v>
      </c>
      <c r="M51" s="31" t="n">
        <f aca="false">WEEKDAY(B51,2)</f>
        <v>3</v>
      </c>
      <c r="N51" s="31" t="str">
        <f aca="false">IF(G51&lt;=INDEX(Assumptions!$B$15:$B$18,MATCH(E51,Assumptions!$A$15:$A$18,0)),"Yes","No")</f>
        <v>No</v>
      </c>
      <c r="O51" s="31" t="str">
        <f aca="false">IF(H51="","Open",IF(H51&lt;=INDEX(Assumptions!$C$15:$C$18,MATCH(E51,Assumptions!$A$15:$A$18,0)),"Yes","No"))</f>
        <v>Yes</v>
      </c>
    </row>
    <row r="52" customFormat="false" ht="15" hidden="false" customHeight="false" outlineLevel="0" collapsed="false">
      <c r="A52" s="31" t="s">
        <v>202</v>
      </c>
      <c r="B52" s="44" t="n">
        <v>46204</v>
      </c>
      <c r="C52" s="31" t="s">
        <v>60</v>
      </c>
      <c r="D52" s="31" t="s">
        <v>69</v>
      </c>
      <c r="E52" s="31" t="s">
        <v>51</v>
      </c>
      <c r="F52" s="31" t="s">
        <v>135</v>
      </c>
      <c r="G52" s="31" t="n">
        <v>6</v>
      </c>
      <c r="H52" s="41" t="n">
        <v>38</v>
      </c>
      <c r="I52" s="31" t="s">
        <v>149</v>
      </c>
      <c r="J52" s="31" t="n">
        <v>3</v>
      </c>
      <c r="K52" s="31" t="s">
        <v>150</v>
      </c>
      <c r="L52" s="45" t="n">
        <f aca="false">DATE(YEAR(B52),MONTH(B52),1)</f>
        <v>46204</v>
      </c>
      <c r="M52" s="31" t="n">
        <f aca="false">WEEKDAY(B52,2)</f>
        <v>3</v>
      </c>
      <c r="N52" s="31" t="str">
        <f aca="false">IF(G52&lt;=INDEX(Assumptions!$B$15:$B$18,MATCH(E52,Assumptions!$A$15:$A$18,0)),"Yes","No")</f>
        <v>Yes</v>
      </c>
      <c r="O52" s="31" t="str">
        <f aca="false">IF(H52="","Open",IF(H52&lt;=INDEX(Assumptions!$C$15:$C$18,MATCH(E52,Assumptions!$A$15:$A$18,0)),"Yes","No"))</f>
        <v>No</v>
      </c>
    </row>
    <row r="53" customFormat="false" ht="15" hidden="false" customHeight="false" outlineLevel="0" collapsed="false">
      <c r="A53" s="31" t="s">
        <v>203</v>
      </c>
      <c r="B53" s="44" t="n">
        <v>46204</v>
      </c>
      <c r="C53" s="31" t="s">
        <v>57</v>
      </c>
      <c r="D53" s="31" t="s">
        <v>66</v>
      </c>
      <c r="E53" s="31" t="s">
        <v>51</v>
      </c>
      <c r="F53" s="31" t="s">
        <v>133</v>
      </c>
      <c r="G53" s="31" t="n">
        <v>3</v>
      </c>
      <c r="H53" s="41" t="n">
        <v>12.5</v>
      </c>
      <c r="I53" s="31" t="s">
        <v>64</v>
      </c>
      <c r="J53" s="31" t="n">
        <v>3</v>
      </c>
      <c r="K53" s="31" t="s">
        <v>150</v>
      </c>
      <c r="L53" s="45" t="n">
        <f aca="false">DATE(YEAR(B53),MONTH(B53),1)</f>
        <v>46204</v>
      </c>
      <c r="M53" s="31" t="n">
        <f aca="false">WEEKDAY(B53,2)</f>
        <v>3</v>
      </c>
      <c r="N53" s="31" t="str">
        <f aca="false">IF(G53&lt;=INDEX(Assumptions!$B$15:$B$18,MATCH(E53,Assumptions!$A$15:$A$18,0)),"Yes","No")</f>
        <v>Yes</v>
      </c>
      <c r="O53" s="31" t="str">
        <f aca="false">IF(H53="","Open",IF(H53&lt;=INDEX(Assumptions!$C$15:$C$18,MATCH(E53,Assumptions!$A$15:$A$18,0)),"Yes","No"))</f>
        <v>Yes</v>
      </c>
    </row>
    <row r="54" customFormat="false" ht="15" hidden="false" customHeight="false" outlineLevel="0" collapsed="false">
      <c r="A54" s="31" t="s">
        <v>204</v>
      </c>
      <c r="B54" s="44" t="n">
        <v>46204</v>
      </c>
      <c r="C54" s="31" t="s">
        <v>59</v>
      </c>
      <c r="D54" s="31" t="s">
        <v>66</v>
      </c>
      <c r="E54" s="31" t="s">
        <v>52</v>
      </c>
      <c r="F54" s="31" t="s">
        <v>130</v>
      </c>
      <c r="G54" s="31" t="n">
        <v>43</v>
      </c>
      <c r="H54" s="41" t="n">
        <v>20.2</v>
      </c>
      <c r="I54" s="31" t="s">
        <v>64</v>
      </c>
      <c r="J54" s="31"/>
      <c r="K54" s="31" t="s">
        <v>150</v>
      </c>
      <c r="L54" s="45" t="n">
        <f aca="false">DATE(YEAR(B54),MONTH(B54),1)</f>
        <v>46204</v>
      </c>
      <c r="M54" s="31" t="n">
        <f aca="false">WEEKDAY(B54,2)</f>
        <v>3</v>
      </c>
      <c r="N54" s="31" t="str">
        <f aca="false">IF(G54&lt;=INDEX(Assumptions!$B$15:$B$18,MATCH(E54,Assumptions!$A$15:$A$18,0)),"Yes","No")</f>
        <v>Yes</v>
      </c>
      <c r="O54" s="31" t="str">
        <f aca="false">IF(H54="","Open",IF(H54&lt;=INDEX(Assumptions!$C$15:$C$18,MATCH(E54,Assumptions!$A$15:$A$18,0)),"Yes","No"))</f>
        <v>Yes</v>
      </c>
    </row>
    <row r="55" customFormat="false" ht="15" hidden="false" customHeight="false" outlineLevel="0" collapsed="false">
      <c r="A55" s="31" t="s">
        <v>205</v>
      </c>
      <c r="B55" s="44" t="n">
        <v>46204</v>
      </c>
      <c r="C55" s="31" t="s">
        <v>58</v>
      </c>
      <c r="D55" s="31" t="s">
        <v>68</v>
      </c>
      <c r="E55" s="31" t="s">
        <v>50</v>
      </c>
      <c r="F55" s="31" t="s">
        <v>117</v>
      </c>
      <c r="G55" s="31" t="n">
        <v>3</v>
      </c>
      <c r="H55" s="41" t="n">
        <v>1.2</v>
      </c>
      <c r="I55" s="31" t="s">
        <v>149</v>
      </c>
      <c r="J55" s="31"/>
      <c r="K55" s="31" t="s">
        <v>150</v>
      </c>
      <c r="L55" s="45" t="n">
        <f aca="false">DATE(YEAR(B55),MONTH(B55),1)</f>
        <v>46204</v>
      </c>
      <c r="M55" s="31" t="n">
        <f aca="false">WEEKDAY(B55,2)</f>
        <v>3</v>
      </c>
      <c r="N55" s="31" t="str">
        <f aca="false">IF(G55&lt;=INDEX(Assumptions!$B$15:$B$18,MATCH(E55,Assumptions!$A$15:$A$18,0)),"Yes","No")</f>
        <v>Yes</v>
      </c>
      <c r="O55" s="31" t="str">
        <f aca="false">IF(H55="","Open",IF(H55&lt;=INDEX(Assumptions!$C$15:$C$18,MATCH(E55,Assumptions!$A$15:$A$18,0)),"Yes","No"))</f>
        <v>Yes</v>
      </c>
    </row>
    <row r="56" customFormat="false" ht="15" hidden="false" customHeight="false" outlineLevel="0" collapsed="false">
      <c r="A56" s="31" t="s">
        <v>206</v>
      </c>
      <c r="B56" s="44" t="n">
        <v>46204</v>
      </c>
      <c r="C56" s="31" t="s">
        <v>59</v>
      </c>
      <c r="D56" s="31" t="s">
        <v>67</v>
      </c>
      <c r="E56" s="31" t="s">
        <v>52</v>
      </c>
      <c r="F56" s="31" t="s">
        <v>120</v>
      </c>
      <c r="G56" s="31" t="n">
        <v>171</v>
      </c>
      <c r="H56" s="41" t="n">
        <v>80.3</v>
      </c>
      <c r="I56" s="31" t="s">
        <v>149</v>
      </c>
      <c r="J56" s="31" t="n">
        <v>2</v>
      </c>
      <c r="K56" s="31" t="s">
        <v>150</v>
      </c>
      <c r="L56" s="45" t="n">
        <f aca="false">DATE(YEAR(B56),MONTH(B56),1)</f>
        <v>46204</v>
      </c>
      <c r="M56" s="31" t="n">
        <f aca="false">WEEKDAY(B56,2)</f>
        <v>3</v>
      </c>
      <c r="N56" s="31" t="str">
        <f aca="false">IF(G56&lt;=INDEX(Assumptions!$B$15:$B$18,MATCH(E56,Assumptions!$A$15:$A$18,0)),"Yes","No")</f>
        <v>Yes</v>
      </c>
      <c r="O56" s="31" t="str">
        <f aca="false">IF(H56="","Open",IF(H56&lt;=INDEX(Assumptions!$C$15:$C$18,MATCH(E56,Assumptions!$A$15:$A$18,0)),"Yes","No"))</f>
        <v>No</v>
      </c>
    </row>
    <row r="57" customFormat="false" ht="15" hidden="false" customHeight="false" outlineLevel="0" collapsed="false">
      <c r="A57" s="31" t="s">
        <v>207</v>
      </c>
      <c r="B57" s="44" t="n">
        <v>46204</v>
      </c>
      <c r="C57" s="31" t="s">
        <v>57</v>
      </c>
      <c r="D57" s="31" t="s">
        <v>67</v>
      </c>
      <c r="E57" s="31" t="s">
        <v>50</v>
      </c>
      <c r="F57" s="31" t="s">
        <v>134</v>
      </c>
      <c r="G57" s="31" t="n">
        <v>4</v>
      </c>
      <c r="H57" s="41" t="n">
        <v>4.9</v>
      </c>
      <c r="I57" s="31" t="s">
        <v>149</v>
      </c>
      <c r="J57" s="31" t="n">
        <v>2</v>
      </c>
      <c r="K57" s="31" t="s">
        <v>150</v>
      </c>
      <c r="L57" s="45" t="n">
        <f aca="false">DATE(YEAR(B57),MONTH(B57),1)</f>
        <v>46204</v>
      </c>
      <c r="M57" s="31" t="n">
        <f aca="false">WEEKDAY(B57,2)</f>
        <v>3</v>
      </c>
      <c r="N57" s="31" t="str">
        <f aca="false">IF(G57&lt;=INDEX(Assumptions!$B$15:$B$18,MATCH(E57,Assumptions!$A$15:$A$18,0)),"Yes","No")</f>
        <v>Yes</v>
      </c>
      <c r="O57" s="31" t="str">
        <f aca="false">IF(H57="","Open",IF(H57&lt;=INDEX(Assumptions!$C$15:$C$18,MATCH(E57,Assumptions!$A$15:$A$18,0)),"Yes","No"))</f>
        <v>Yes</v>
      </c>
    </row>
    <row r="58" customFormat="false" ht="15" hidden="false" customHeight="false" outlineLevel="0" collapsed="false">
      <c r="A58" s="31" t="s">
        <v>208</v>
      </c>
      <c r="B58" s="44" t="n">
        <v>46204</v>
      </c>
      <c r="C58" s="31" t="s">
        <v>57</v>
      </c>
      <c r="D58" s="31" t="s">
        <v>65</v>
      </c>
      <c r="E58" s="31" t="s">
        <v>51</v>
      </c>
      <c r="F58" s="31" t="s">
        <v>130</v>
      </c>
      <c r="G58" s="31" t="n">
        <v>1</v>
      </c>
      <c r="H58" s="41" t="n">
        <v>32.7</v>
      </c>
      <c r="I58" s="31" t="s">
        <v>149</v>
      </c>
      <c r="J58" s="31" t="n">
        <v>2</v>
      </c>
      <c r="K58" s="31" t="s">
        <v>150</v>
      </c>
      <c r="L58" s="45" t="n">
        <f aca="false">DATE(YEAR(B58),MONTH(B58),1)</f>
        <v>46204</v>
      </c>
      <c r="M58" s="31" t="n">
        <f aca="false">WEEKDAY(B58,2)</f>
        <v>3</v>
      </c>
      <c r="N58" s="31" t="str">
        <f aca="false">IF(G58&lt;=INDEX(Assumptions!$B$15:$B$18,MATCH(E58,Assumptions!$A$15:$A$18,0)),"Yes","No")</f>
        <v>Yes</v>
      </c>
      <c r="O58" s="31" t="str">
        <f aca="false">IF(H58="","Open",IF(H58&lt;=INDEX(Assumptions!$C$15:$C$18,MATCH(E58,Assumptions!$A$15:$A$18,0)),"Yes","No"))</f>
        <v>No</v>
      </c>
    </row>
    <row r="59" customFormat="false" ht="15" hidden="false" customHeight="false" outlineLevel="0" collapsed="false">
      <c r="A59" s="31" t="s">
        <v>209</v>
      </c>
      <c r="B59" s="44" t="n">
        <v>46204</v>
      </c>
      <c r="C59" s="31" t="s">
        <v>57</v>
      </c>
      <c r="D59" s="31" t="s">
        <v>66</v>
      </c>
      <c r="E59" s="31" t="s">
        <v>50</v>
      </c>
      <c r="F59" s="31" t="s">
        <v>122</v>
      </c>
      <c r="G59" s="31" t="n">
        <v>5</v>
      </c>
      <c r="H59" s="41" t="n">
        <v>8.2</v>
      </c>
      <c r="I59" s="31" t="s">
        <v>149</v>
      </c>
      <c r="J59" s="31"/>
      <c r="K59" s="31" t="s">
        <v>150</v>
      </c>
      <c r="L59" s="45" t="n">
        <f aca="false">DATE(YEAR(B59),MONTH(B59),1)</f>
        <v>46204</v>
      </c>
      <c r="M59" s="31" t="n">
        <f aca="false">WEEKDAY(B59,2)</f>
        <v>3</v>
      </c>
      <c r="N59" s="31" t="str">
        <f aca="false">IF(G59&lt;=INDEX(Assumptions!$B$15:$B$18,MATCH(E59,Assumptions!$A$15:$A$18,0)),"Yes","No")</f>
        <v>Yes</v>
      </c>
      <c r="O59" s="31" t="str">
        <f aca="false">IF(H59="","Open",IF(H59&lt;=INDEX(Assumptions!$C$15:$C$18,MATCH(E59,Assumptions!$A$15:$A$18,0)),"Yes","No"))</f>
        <v>No</v>
      </c>
    </row>
    <row r="60" customFormat="false" ht="15" hidden="false" customHeight="false" outlineLevel="0" collapsed="false">
      <c r="A60" s="31" t="s">
        <v>210</v>
      </c>
      <c r="B60" s="44" t="n">
        <v>46204</v>
      </c>
      <c r="C60" s="31" t="s">
        <v>57</v>
      </c>
      <c r="D60" s="31" t="s">
        <v>65</v>
      </c>
      <c r="E60" s="31" t="s">
        <v>51</v>
      </c>
      <c r="F60" s="31" t="s">
        <v>130</v>
      </c>
      <c r="G60" s="31" t="n">
        <v>4</v>
      </c>
      <c r="H60" s="41" t="n">
        <v>16.4</v>
      </c>
      <c r="I60" s="31" t="s">
        <v>149</v>
      </c>
      <c r="J60" s="31" t="n">
        <v>5</v>
      </c>
      <c r="K60" s="31" t="s">
        <v>150</v>
      </c>
      <c r="L60" s="45" t="n">
        <f aca="false">DATE(YEAR(B60),MONTH(B60),1)</f>
        <v>46204</v>
      </c>
      <c r="M60" s="31" t="n">
        <f aca="false">WEEKDAY(B60,2)</f>
        <v>3</v>
      </c>
      <c r="N60" s="31" t="str">
        <f aca="false">IF(G60&lt;=INDEX(Assumptions!$B$15:$B$18,MATCH(E60,Assumptions!$A$15:$A$18,0)),"Yes","No")</f>
        <v>Yes</v>
      </c>
      <c r="O60" s="31" t="str">
        <f aca="false">IF(H60="","Open",IF(H60&lt;=INDEX(Assumptions!$C$15:$C$18,MATCH(E60,Assumptions!$A$15:$A$18,0)),"Yes","No"))</f>
        <v>Yes</v>
      </c>
    </row>
    <row r="61" customFormat="false" ht="15" hidden="false" customHeight="false" outlineLevel="0" collapsed="false">
      <c r="A61" s="31" t="s">
        <v>211</v>
      </c>
      <c r="B61" s="44" t="n">
        <v>46204</v>
      </c>
      <c r="C61" s="31" t="s">
        <v>57</v>
      </c>
      <c r="D61" s="31" t="s">
        <v>69</v>
      </c>
      <c r="E61" s="31" t="s">
        <v>51</v>
      </c>
      <c r="F61" s="31" t="s">
        <v>123</v>
      </c>
      <c r="G61" s="31" t="n">
        <v>2</v>
      </c>
      <c r="H61" s="41" t="n">
        <v>34.7</v>
      </c>
      <c r="I61" s="31" t="s">
        <v>149</v>
      </c>
      <c r="J61" s="31"/>
      <c r="K61" s="31" t="s">
        <v>150</v>
      </c>
      <c r="L61" s="45" t="n">
        <f aca="false">DATE(YEAR(B61),MONTH(B61),1)</f>
        <v>46204</v>
      </c>
      <c r="M61" s="31" t="n">
        <f aca="false">WEEKDAY(B61,2)</f>
        <v>3</v>
      </c>
      <c r="N61" s="31" t="str">
        <f aca="false">IF(G61&lt;=INDEX(Assumptions!$B$15:$B$18,MATCH(E61,Assumptions!$A$15:$A$18,0)),"Yes","No")</f>
        <v>Yes</v>
      </c>
      <c r="O61" s="31" t="str">
        <f aca="false">IF(H61="","Open",IF(H61&lt;=INDEX(Assumptions!$C$15:$C$18,MATCH(E61,Assumptions!$A$15:$A$18,0)),"Yes","No"))</f>
        <v>No</v>
      </c>
    </row>
    <row r="62" customFormat="false" ht="15" hidden="false" customHeight="false" outlineLevel="0" collapsed="false">
      <c r="A62" s="31" t="s">
        <v>212</v>
      </c>
      <c r="B62" s="44" t="n">
        <v>46204</v>
      </c>
      <c r="C62" s="31" t="s">
        <v>59</v>
      </c>
      <c r="D62" s="31" t="s">
        <v>69</v>
      </c>
      <c r="E62" s="31" t="s">
        <v>52</v>
      </c>
      <c r="F62" s="31" t="s">
        <v>133</v>
      </c>
      <c r="G62" s="31" t="n">
        <v>97</v>
      </c>
      <c r="H62" s="41"/>
      <c r="I62" s="31" t="s">
        <v>158</v>
      </c>
      <c r="J62" s="31"/>
      <c r="K62" s="31" t="s">
        <v>150</v>
      </c>
      <c r="L62" s="45" t="n">
        <f aca="false">DATE(YEAR(B62),MONTH(B62),1)</f>
        <v>46204</v>
      </c>
      <c r="M62" s="31" t="n">
        <f aca="false">WEEKDAY(B62,2)</f>
        <v>3</v>
      </c>
      <c r="N62" s="31" t="str">
        <f aca="false">IF(G62&lt;=INDEX(Assumptions!$B$15:$B$18,MATCH(E62,Assumptions!$A$15:$A$18,0)),"Yes","No")</f>
        <v>Yes</v>
      </c>
      <c r="O62" s="31" t="str">
        <f aca="false">IF(H62="","Open",IF(H62&lt;=INDEX(Assumptions!$C$15:$C$18,MATCH(E62,Assumptions!$A$15:$A$18,0)),"Yes","No"))</f>
        <v>Open</v>
      </c>
    </row>
    <row r="63" customFormat="false" ht="15" hidden="false" customHeight="false" outlineLevel="0" collapsed="false">
      <c r="A63" s="31" t="s">
        <v>213</v>
      </c>
      <c r="B63" s="44" t="n">
        <v>46204</v>
      </c>
      <c r="C63" s="31" t="s">
        <v>57</v>
      </c>
      <c r="D63" s="31" t="s">
        <v>65</v>
      </c>
      <c r="E63" s="31" t="s">
        <v>50</v>
      </c>
      <c r="F63" s="31" t="s">
        <v>128</v>
      </c>
      <c r="G63" s="31" t="n">
        <v>3</v>
      </c>
      <c r="H63" s="41" t="n">
        <v>7.7</v>
      </c>
      <c r="I63" s="31" t="s">
        <v>149</v>
      </c>
      <c r="J63" s="31" t="n">
        <v>3</v>
      </c>
      <c r="K63" s="31" t="s">
        <v>150</v>
      </c>
      <c r="L63" s="45" t="n">
        <f aca="false">DATE(YEAR(B63),MONTH(B63),1)</f>
        <v>46204</v>
      </c>
      <c r="M63" s="31" t="n">
        <f aca="false">WEEKDAY(B63,2)</f>
        <v>3</v>
      </c>
      <c r="N63" s="31" t="str">
        <f aca="false">IF(G63&lt;=INDEX(Assumptions!$B$15:$B$18,MATCH(E63,Assumptions!$A$15:$A$18,0)),"Yes","No")</f>
        <v>Yes</v>
      </c>
      <c r="O63" s="31" t="str">
        <f aca="false">IF(H63="","Open",IF(H63&lt;=INDEX(Assumptions!$C$15:$C$18,MATCH(E63,Assumptions!$A$15:$A$18,0)),"Yes","No"))</f>
        <v>Yes</v>
      </c>
    </row>
    <row r="64" customFormat="false" ht="15" hidden="false" customHeight="false" outlineLevel="0" collapsed="false">
      <c r="A64" s="31" t="s">
        <v>214</v>
      </c>
      <c r="B64" s="44" t="n">
        <v>46204</v>
      </c>
      <c r="C64" s="31" t="s">
        <v>58</v>
      </c>
      <c r="D64" s="31" t="s">
        <v>67</v>
      </c>
      <c r="E64" s="31" t="s">
        <v>51</v>
      </c>
      <c r="F64" s="31" t="s">
        <v>120</v>
      </c>
      <c r="G64" s="31" t="n">
        <v>28</v>
      </c>
      <c r="H64" s="41" t="n">
        <v>182.2</v>
      </c>
      <c r="I64" s="31" t="s">
        <v>64</v>
      </c>
      <c r="J64" s="31" t="n">
        <v>2</v>
      </c>
      <c r="K64" s="31" t="s">
        <v>150</v>
      </c>
      <c r="L64" s="45" t="n">
        <f aca="false">DATE(YEAR(B64),MONTH(B64),1)</f>
        <v>46204</v>
      </c>
      <c r="M64" s="31" t="n">
        <f aca="false">WEEKDAY(B64,2)</f>
        <v>3</v>
      </c>
      <c r="N64" s="31" t="str">
        <f aca="false">IF(G64&lt;=INDEX(Assumptions!$B$15:$B$18,MATCH(E64,Assumptions!$A$15:$A$18,0)),"Yes","No")</f>
        <v>Yes</v>
      </c>
      <c r="O64" s="31" t="str">
        <f aca="false">IF(H64="","Open",IF(H64&lt;=INDEX(Assumptions!$C$15:$C$18,MATCH(E64,Assumptions!$A$15:$A$18,0)),"Yes","No"))</f>
        <v>No</v>
      </c>
    </row>
    <row r="65" customFormat="false" ht="15" hidden="false" customHeight="false" outlineLevel="0" collapsed="false">
      <c r="A65" s="31" t="s">
        <v>215</v>
      </c>
      <c r="B65" s="44" t="n">
        <v>46204</v>
      </c>
      <c r="C65" s="31" t="s">
        <v>60</v>
      </c>
      <c r="D65" s="31" t="s">
        <v>67</v>
      </c>
      <c r="E65" s="31" t="s">
        <v>51</v>
      </c>
      <c r="F65" s="31" t="s">
        <v>127</v>
      </c>
      <c r="G65" s="31" t="n">
        <v>1</v>
      </c>
      <c r="H65" s="41" t="n">
        <v>4.9</v>
      </c>
      <c r="I65" s="31" t="s">
        <v>149</v>
      </c>
      <c r="J65" s="31"/>
      <c r="K65" s="31" t="s">
        <v>150</v>
      </c>
      <c r="L65" s="45" t="n">
        <f aca="false">DATE(YEAR(B65),MONTH(B65),1)</f>
        <v>46204</v>
      </c>
      <c r="M65" s="31" t="n">
        <f aca="false">WEEKDAY(B65,2)</f>
        <v>3</v>
      </c>
      <c r="N65" s="31" t="str">
        <f aca="false">IF(G65&lt;=INDEX(Assumptions!$B$15:$B$18,MATCH(E65,Assumptions!$A$15:$A$18,0)),"Yes","No")</f>
        <v>Yes</v>
      </c>
      <c r="O65" s="31" t="str">
        <f aca="false">IF(H65="","Open",IF(H65&lt;=INDEX(Assumptions!$C$15:$C$18,MATCH(E65,Assumptions!$A$15:$A$18,0)),"Yes","No"))</f>
        <v>Yes</v>
      </c>
    </row>
    <row r="66" customFormat="false" ht="15" hidden="false" customHeight="false" outlineLevel="0" collapsed="false">
      <c r="A66" s="31" t="s">
        <v>216</v>
      </c>
      <c r="B66" s="44" t="n">
        <v>46204</v>
      </c>
      <c r="C66" s="31" t="s">
        <v>59</v>
      </c>
      <c r="D66" s="31" t="s">
        <v>65</v>
      </c>
      <c r="E66" s="31" t="s">
        <v>51</v>
      </c>
      <c r="F66" s="31" t="s">
        <v>129</v>
      </c>
      <c r="G66" s="31" t="n">
        <v>74</v>
      </c>
      <c r="H66" s="41" t="n">
        <v>2.2</v>
      </c>
      <c r="I66" s="31" t="s">
        <v>149</v>
      </c>
      <c r="J66" s="31"/>
      <c r="K66" s="31" t="s">
        <v>150</v>
      </c>
      <c r="L66" s="45" t="n">
        <f aca="false">DATE(YEAR(B66),MONTH(B66),1)</f>
        <v>46204</v>
      </c>
      <c r="M66" s="31" t="n">
        <f aca="false">WEEKDAY(B66,2)</f>
        <v>3</v>
      </c>
      <c r="N66" s="31" t="str">
        <f aca="false">IF(G66&lt;=INDEX(Assumptions!$B$15:$B$18,MATCH(E66,Assumptions!$A$15:$A$18,0)),"Yes","No")</f>
        <v>No</v>
      </c>
      <c r="O66" s="31" t="str">
        <f aca="false">IF(H66="","Open",IF(H66&lt;=INDEX(Assumptions!$C$15:$C$18,MATCH(E66,Assumptions!$A$15:$A$18,0)),"Yes","No"))</f>
        <v>Yes</v>
      </c>
    </row>
    <row r="67" customFormat="false" ht="15" hidden="false" customHeight="false" outlineLevel="0" collapsed="false">
      <c r="A67" s="31" t="s">
        <v>217</v>
      </c>
      <c r="B67" s="44" t="n">
        <v>46204</v>
      </c>
      <c r="C67" s="31" t="s">
        <v>58</v>
      </c>
      <c r="D67" s="31" t="s">
        <v>67</v>
      </c>
      <c r="E67" s="31" t="s">
        <v>50</v>
      </c>
      <c r="F67" s="31" t="s">
        <v>134</v>
      </c>
      <c r="G67" s="31" t="n">
        <v>52</v>
      </c>
      <c r="H67" s="41" t="n">
        <v>11.6</v>
      </c>
      <c r="I67" s="31" t="s">
        <v>149</v>
      </c>
      <c r="J67" s="31" t="n">
        <v>3</v>
      </c>
      <c r="K67" s="31" t="s">
        <v>150</v>
      </c>
      <c r="L67" s="45" t="n">
        <f aca="false">DATE(YEAR(B67),MONTH(B67),1)</f>
        <v>46204</v>
      </c>
      <c r="M67" s="31" t="n">
        <f aca="false">WEEKDAY(B67,2)</f>
        <v>3</v>
      </c>
      <c r="N67" s="31" t="str">
        <f aca="false">IF(G67&lt;=INDEX(Assumptions!$B$15:$B$18,MATCH(E67,Assumptions!$A$15:$A$18,0)),"Yes","No")</f>
        <v>No</v>
      </c>
      <c r="O67" s="31" t="str">
        <f aca="false">IF(H67="","Open",IF(H67&lt;=INDEX(Assumptions!$C$15:$C$18,MATCH(E67,Assumptions!$A$15:$A$18,0)),"Yes","No"))</f>
        <v>No</v>
      </c>
    </row>
    <row r="68" customFormat="false" ht="15" hidden="false" customHeight="false" outlineLevel="0" collapsed="false">
      <c r="A68" s="31" t="s">
        <v>218</v>
      </c>
      <c r="B68" s="44" t="n">
        <v>46204</v>
      </c>
      <c r="C68" s="31" t="s">
        <v>57</v>
      </c>
      <c r="D68" s="31" t="s">
        <v>66</v>
      </c>
      <c r="E68" s="31" t="s">
        <v>51</v>
      </c>
      <c r="F68" s="31" t="s">
        <v>128</v>
      </c>
      <c r="G68" s="31" t="n">
        <v>6</v>
      </c>
      <c r="H68" s="41" t="n">
        <v>5</v>
      </c>
      <c r="I68" s="31" t="s">
        <v>149</v>
      </c>
      <c r="J68" s="31"/>
      <c r="K68" s="31" t="s">
        <v>150</v>
      </c>
      <c r="L68" s="45" t="n">
        <f aca="false">DATE(YEAR(B68),MONTH(B68),1)</f>
        <v>46204</v>
      </c>
      <c r="M68" s="31" t="n">
        <f aca="false">WEEKDAY(B68,2)</f>
        <v>3</v>
      </c>
      <c r="N68" s="31" t="str">
        <f aca="false">IF(G68&lt;=INDEX(Assumptions!$B$15:$B$18,MATCH(E68,Assumptions!$A$15:$A$18,0)),"Yes","No")</f>
        <v>Yes</v>
      </c>
      <c r="O68" s="31" t="str">
        <f aca="false">IF(H68="","Open",IF(H68&lt;=INDEX(Assumptions!$C$15:$C$18,MATCH(E68,Assumptions!$A$15:$A$18,0)),"Yes","No"))</f>
        <v>Yes</v>
      </c>
    </row>
    <row r="69" customFormat="false" ht="15" hidden="false" customHeight="false" outlineLevel="0" collapsed="false">
      <c r="A69" s="31" t="s">
        <v>219</v>
      </c>
      <c r="B69" s="44" t="n">
        <v>46204</v>
      </c>
      <c r="C69" s="31" t="s">
        <v>57</v>
      </c>
      <c r="D69" s="31" t="s">
        <v>67</v>
      </c>
      <c r="E69" s="31" t="s">
        <v>51</v>
      </c>
      <c r="F69" s="31" t="s">
        <v>124</v>
      </c>
      <c r="G69" s="31" t="n">
        <v>1</v>
      </c>
      <c r="H69" s="41" t="n">
        <v>12.5</v>
      </c>
      <c r="I69" s="31" t="s">
        <v>149</v>
      </c>
      <c r="J69" s="31"/>
      <c r="K69" s="31" t="s">
        <v>150</v>
      </c>
      <c r="L69" s="45" t="n">
        <f aca="false">DATE(YEAR(B69),MONTH(B69),1)</f>
        <v>46204</v>
      </c>
      <c r="M69" s="31" t="n">
        <f aca="false">WEEKDAY(B69,2)</f>
        <v>3</v>
      </c>
      <c r="N69" s="31" t="str">
        <f aca="false">IF(G69&lt;=INDEX(Assumptions!$B$15:$B$18,MATCH(E69,Assumptions!$A$15:$A$18,0)),"Yes","No")</f>
        <v>Yes</v>
      </c>
      <c r="O69" s="31" t="str">
        <f aca="false">IF(H69="","Open",IF(H69&lt;=INDEX(Assumptions!$C$15:$C$18,MATCH(E69,Assumptions!$A$15:$A$18,0)),"Yes","No"))</f>
        <v>Yes</v>
      </c>
    </row>
    <row r="70" customFormat="false" ht="15" hidden="false" customHeight="false" outlineLevel="0" collapsed="false">
      <c r="A70" s="31" t="s">
        <v>220</v>
      </c>
      <c r="B70" s="44" t="n">
        <v>46204</v>
      </c>
      <c r="C70" s="31" t="s">
        <v>58</v>
      </c>
      <c r="D70" s="31" t="s">
        <v>65</v>
      </c>
      <c r="E70" s="31" t="s">
        <v>51</v>
      </c>
      <c r="F70" s="31" t="s">
        <v>127</v>
      </c>
      <c r="G70" s="31" t="n">
        <v>3</v>
      </c>
      <c r="H70" s="41" t="n">
        <v>10.3</v>
      </c>
      <c r="I70" s="31" t="s">
        <v>149</v>
      </c>
      <c r="J70" s="31"/>
      <c r="K70" s="31" t="s">
        <v>153</v>
      </c>
      <c r="L70" s="45" t="n">
        <f aca="false">DATE(YEAR(B70),MONTH(B70),1)</f>
        <v>46204</v>
      </c>
      <c r="M70" s="31" t="n">
        <f aca="false">WEEKDAY(B70,2)</f>
        <v>3</v>
      </c>
      <c r="N70" s="31" t="str">
        <f aca="false">IF(G70&lt;=INDEX(Assumptions!$B$15:$B$18,MATCH(E70,Assumptions!$A$15:$A$18,0)),"Yes","No")</f>
        <v>Yes</v>
      </c>
      <c r="O70" s="31" t="str">
        <f aca="false">IF(H70="","Open",IF(H70&lt;=INDEX(Assumptions!$C$15:$C$18,MATCH(E70,Assumptions!$A$15:$A$18,0)),"Yes","No"))</f>
        <v>Yes</v>
      </c>
    </row>
    <row r="71" customFormat="false" ht="15" hidden="false" customHeight="false" outlineLevel="0" collapsed="false">
      <c r="A71" s="31" t="s">
        <v>221</v>
      </c>
      <c r="B71" s="44" t="n">
        <v>46204</v>
      </c>
      <c r="C71" s="31" t="s">
        <v>60</v>
      </c>
      <c r="D71" s="31" t="s">
        <v>65</v>
      </c>
      <c r="E71" s="31" t="s">
        <v>52</v>
      </c>
      <c r="F71" s="31" t="s">
        <v>121</v>
      </c>
      <c r="G71" s="31" t="n">
        <v>7</v>
      </c>
      <c r="H71" s="41" t="n">
        <v>7.4</v>
      </c>
      <c r="I71" s="31" t="s">
        <v>149</v>
      </c>
      <c r="J71" s="31" t="n">
        <v>5</v>
      </c>
      <c r="K71" s="31" t="s">
        <v>150</v>
      </c>
      <c r="L71" s="45" t="n">
        <f aca="false">DATE(YEAR(B71),MONTH(B71),1)</f>
        <v>46204</v>
      </c>
      <c r="M71" s="31" t="n">
        <f aca="false">WEEKDAY(B71,2)</f>
        <v>3</v>
      </c>
      <c r="N71" s="31" t="str">
        <f aca="false">IF(G71&lt;=INDEX(Assumptions!$B$15:$B$18,MATCH(E71,Assumptions!$A$15:$A$18,0)),"Yes","No")</f>
        <v>Yes</v>
      </c>
      <c r="O71" s="31" t="str">
        <f aca="false">IF(H71="","Open",IF(H71&lt;=INDEX(Assumptions!$C$15:$C$18,MATCH(E71,Assumptions!$A$15:$A$18,0)),"Yes","No"))</f>
        <v>Yes</v>
      </c>
    </row>
    <row r="72" customFormat="false" ht="15" hidden="false" customHeight="false" outlineLevel="0" collapsed="false">
      <c r="A72" s="31" t="s">
        <v>222</v>
      </c>
      <c r="B72" s="44" t="n">
        <v>46204</v>
      </c>
      <c r="C72" s="31" t="s">
        <v>59</v>
      </c>
      <c r="D72" s="31" t="s">
        <v>65</v>
      </c>
      <c r="E72" s="31" t="s">
        <v>52</v>
      </c>
      <c r="F72" s="31" t="s">
        <v>117</v>
      </c>
      <c r="G72" s="31" t="n">
        <v>67</v>
      </c>
      <c r="H72" s="41" t="n">
        <v>6.2</v>
      </c>
      <c r="I72" s="31" t="s">
        <v>149</v>
      </c>
      <c r="J72" s="31" t="n">
        <v>5</v>
      </c>
      <c r="K72" s="31" t="s">
        <v>153</v>
      </c>
      <c r="L72" s="45" t="n">
        <f aca="false">DATE(YEAR(B72),MONTH(B72),1)</f>
        <v>46204</v>
      </c>
      <c r="M72" s="31" t="n">
        <f aca="false">WEEKDAY(B72,2)</f>
        <v>3</v>
      </c>
      <c r="N72" s="31" t="str">
        <f aca="false">IF(G72&lt;=INDEX(Assumptions!$B$15:$B$18,MATCH(E72,Assumptions!$A$15:$A$18,0)),"Yes","No")</f>
        <v>Yes</v>
      </c>
      <c r="O72" s="31" t="str">
        <f aca="false">IF(H72="","Open",IF(H72&lt;=INDEX(Assumptions!$C$15:$C$18,MATCH(E72,Assumptions!$A$15:$A$18,0)),"Yes","No"))</f>
        <v>Yes</v>
      </c>
    </row>
    <row r="73" customFormat="false" ht="15" hidden="false" customHeight="false" outlineLevel="0" collapsed="false">
      <c r="A73" s="31" t="s">
        <v>223</v>
      </c>
      <c r="B73" s="44" t="n">
        <v>46204</v>
      </c>
      <c r="C73" s="31" t="s">
        <v>57</v>
      </c>
      <c r="D73" s="31" t="s">
        <v>68</v>
      </c>
      <c r="E73" s="31" t="s">
        <v>50</v>
      </c>
      <c r="F73" s="31" t="s">
        <v>120</v>
      </c>
      <c r="G73" s="31" t="n">
        <v>6</v>
      </c>
      <c r="H73" s="41" t="n">
        <v>0.7</v>
      </c>
      <c r="I73" s="31" t="s">
        <v>149</v>
      </c>
      <c r="J73" s="31"/>
      <c r="K73" s="31" t="s">
        <v>150</v>
      </c>
      <c r="L73" s="45" t="n">
        <f aca="false">DATE(YEAR(B73),MONTH(B73),1)</f>
        <v>46204</v>
      </c>
      <c r="M73" s="31" t="n">
        <f aca="false">WEEKDAY(B73,2)</f>
        <v>3</v>
      </c>
      <c r="N73" s="31" t="str">
        <f aca="false">IF(G73&lt;=INDEX(Assumptions!$B$15:$B$18,MATCH(E73,Assumptions!$A$15:$A$18,0)),"Yes","No")</f>
        <v>Yes</v>
      </c>
      <c r="O73" s="31" t="str">
        <f aca="false">IF(H73="","Open",IF(H73&lt;=INDEX(Assumptions!$C$15:$C$18,MATCH(E73,Assumptions!$A$15:$A$18,0)),"Yes","No"))</f>
        <v>Yes</v>
      </c>
    </row>
    <row r="74" customFormat="false" ht="15" hidden="false" customHeight="false" outlineLevel="0" collapsed="false">
      <c r="A74" s="31" t="s">
        <v>224</v>
      </c>
      <c r="B74" s="44" t="n">
        <v>46204</v>
      </c>
      <c r="C74" s="31" t="s">
        <v>60</v>
      </c>
      <c r="D74" s="31" t="s">
        <v>68</v>
      </c>
      <c r="E74" s="31" t="s">
        <v>49</v>
      </c>
      <c r="F74" s="31" t="s">
        <v>126</v>
      </c>
      <c r="G74" s="31" t="n">
        <v>2</v>
      </c>
      <c r="H74" s="41" t="n">
        <v>2.3</v>
      </c>
      <c r="I74" s="31" t="s">
        <v>149</v>
      </c>
      <c r="J74" s="31"/>
      <c r="K74" s="31" t="s">
        <v>150</v>
      </c>
      <c r="L74" s="45" t="n">
        <f aca="false">DATE(YEAR(B74),MONTH(B74),1)</f>
        <v>46204</v>
      </c>
      <c r="M74" s="31" t="n">
        <f aca="false">WEEKDAY(B74,2)</f>
        <v>3</v>
      </c>
      <c r="N74" s="31" t="str">
        <f aca="false">IF(G74&lt;=INDEX(Assumptions!$B$15:$B$18,MATCH(E74,Assumptions!$A$15:$A$18,0)),"Yes","No")</f>
        <v>Yes</v>
      </c>
      <c r="O74" s="31" t="str">
        <f aca="false">IF(H74="","Open",IF(H74&lt;=INDEX(Assumptions!$C$15:$C$18,MATCH(E74,Assumptions!$A$15:$A$18,0)),"Yes","No"))</f>
        <v>Yes</v>
      </c>
    </row>
    <row r="75" customFormat="false" ht="15" hidden="false" customHeight="false" outlineLevel="0" collapsed="false">
      <c r="A75" s="31" t="s">
        <v>225</v>
      </c>
      <c r="B75" s="44" t="n">
        <v>46204</v>
      </c>
      <c r="C75" s="31" t="s">
        <v>59</v>
      </c>
      <c r="D75" s="31" t="s">
        <v>65</v>
      </c>
      <c r="E75" s="31" t="s">
        <v>52</v>
      </c>
      <c r="F75" s="31" t="s">
        <v>127</v>
      </c>
      <c r="G75" s="31" t="n">
        <v>102</v>
      </c>
      <c r="H75" s="41" t="n">
        <v>10.4</v>
      </c>
      <c r="I75" s="31" t="s">
        <v>149</v>
      </c>
      <c r="J75" s="31" t="n">
        <v>5</v>
      </c>
      <c r="K75" s="31" t="s">
        <v>150</v>
      </c>
      <c r="L75" s="45" t="n">
        <f aca="false">DATE(YEAR(B75),MONTH(B75),1)</f>
        <v>46204</v>
      </c>
      <c r="M75" s="31" t="n">
        <f aca="false">WEEKDAY(B75,2)</f>
        <v>3</v>
      </c>
      <c r="N75" s="31" t="str">
        <f aca="false">IF(G75&lt;=INDEX(Assumptions!$B$15:$B$18,MATCH(E75,Assumptions!$A$15:$A$18,0)),"Yes","No")</f>
        <v>Yes</v>
      </c>
      <c r="O75" s="31" t="str">
        <f aca="false">IF(H75="","Open",IF(H75&lt;=INDEX(Assumptions!$C$15:$C$18,MATCH(E75,Assumptions!$A$15:$A$18,0)),"Yes","No"))</f>
        <v>Yes</v>
      </c>
    </row>
    <row r="76" customFormat="false" ht="15" hidden="false" customHeight="false" outlineLevel="0" collapsed="false">
      <c r="A76" s="31" t="s">
        <v>226</v>
      </c>
      <c r="B76" s="44" t="n">
        <v>46204</v>
      </c>
      <c r="C76" s="31" t="s">
        <v>60</v>
      </c>
      <c r="D76" s="31" t="s">
        <v>66</v>
      </c>
      <c r="E76" s="31" t="s">
        <v>52</v>
      </c>
      <c r="F76" s="31" t="s">
        <v>126</v>
      </c>
      <c r="G76" s="31" t="n">
        <v>2</v>
      </c>
      <c r="H76" s="41" t="n">
        <v>2.8</v>
      </c>
      <c r="I76" s="31" t="s">
        <v>149</v>
      </c>
      <c r="J76" s="31" t="n">
        <v>5</v>
      </c>
      <c r="K76" s="31" t="s">
        <v>150</v>
      </c>
      <c r="L76" s="45" t="n">
        <f aca="false">DATE(YEAR(B76),MONTH(B76),1)</f>
        <v>46204</v>
      </c>
      <c r="M76" s="31" t="n">
        <f aca="false">WEEKDAY(B76,2)</f>
        <v>3</v>
      </c>
      <c r="N76" s="31" t="str">
        <f aca="false">IF(G76&lt;=INDEX(Assumptions!$B$15:$B$18,MATCH(E76,Assumptions!$A$15:$A$18,0)),"Yes","No")</f>
        <v>Yes</v>
      </c>
      <c r="O76" s="31" t="str">
        <f aca="false">IF(H76="","Open",IF(H76&lt;=INDEX(Assumptions!$C$15:$C$18,MATCH(E76,Assumptions!$A$15:$A$18,0)),"Yes","No"))</f>
        <v>Yes</v>
      </c>
    </row>
    <row r="77" customFormat="false" ht="15" hidden="false" customHeight="false" outlineLevel="0" collapsed="false">
      <c r="A77" s="31" t="s">
        <v>227</v>
      </c>
      <c r="B77" s="44" t="n">
        <v>46204</v>
      </c>
      <c r="C77" s="31" t="s">
        <v>59</v>
      </c>
      <c r="D77" s="31" t="s">
        <v>65</v>
      </c>
      <c r="E77" s="31" t="s">
        <v>51</v>
      </c>
      <c r="F77" s="31" t="s">
        <v>121</v>
      </c>
      <c r="G77" s="31" t="n">
        <v>38</v>
      </c>
      <c r="H77" s="41" t="n">
        <v>10.6</v>
      </c>
      <c r="I77" s="31" t="s">
        <v>149</v>
      </c>
      <c r="J77" s="31" t="n">
        <v>4</v>
      </c>
      <c r="K77" s="31" t="s">
        <v>150</v>
      </c>
      <c r="L77" s="45" t="n">
        <f aca="false">DATE(YEAR(B77),MONTH(B77),1)</f>
        <v>46204</v>
      </c>
      <c r="M77" s="31" t="n">
        <f aca="false">WEEKDAY(B77,2)</f>
        <v>3</v>
      </c>
      <c r="N77" s="31" t="str">
        <f aca="false">IF(G77&lt;=INDEX(Assumptions!$B$15:$B$18,MATCH(E77,Assumptions!$A$15:$A$18,0)),"Yes","No")</f>
        <v>Yes</v>
      </c>
      <c r="O77" s="31" t="str">
        <f aca="false">IF(H77="","Open",IF(H77&lt;=INDEX(Assumptions!$C$15:$C$18,MATCH(E77,Assumptions!$A$15:$A$18,0)),"Yes","No"))</f>
        <v>Yes</v>
      </c>
    </row>
    <row r="78" customFormat="false" ht="15" hidden="false" customHeight="false" outlineLevel="0" collapsed="false">
      <c r="A78" s="31" t="s">
        <v>228</v>
      </c>
      <c r="B78" s="44" t="n">
        <v>46204</v>
      </c>
      <c r="C78" s="31" t="s">
        <v>58</v>
      </c>
      <c r="D78" s="31" t="s">
        <v>66</v>
      </c>
      <c r="E78" s="31" t="s">
        <v>51</v>
      </c>
      <c r="F78" s="31" t="s">
        <v>124</v>
      </c>
      <c r="G78" s="31" t="n">
        <v>46</v>
      </c>
      <c r="H78" s="41" t="n">
        <v>6</v>
      </c>
      <c r="I78" s="31" t="s">
        <v>149</v>
      </c>
      <c r="J78" s="31" t="n">
        <v>4</v>
      </c>
      <c r="K78" s="31" t="s">
        <v>150</v>
      </c>
      <c r="L78" s="45" t="n">
        <f aca="false">DATE(YEAR(B78),MONTH(B78),1)</f>
        <v>46204</v>
      </c>
      <c r="M78" s="31" t="n">
        <f aca="false">WEEKDAY(B78,2)</f>
        <v>3</v>
      </c>
      <c r="N78" s="31" t="str">
        <f aca="false">IF(G78&lt;=INDEX(Assumptions!$B$15:$B$18,MATCH(E78,Assumptions!$A$15:$A$18,0)),"Yes","No")</f>
        <v>Yes</v>
      </c>
      <c r="O78" s="31" t="str">
        <f aca="false">IF(H78="","Open",IF(H78&lt;=INDEX(Assumptions!$C$15:$C$18,MATCH(E78,Assumptions!$A$15:$A$18,0)),"Yes","No"))</f>
        <v>Yes</v>
      </c>
    </row>
    <row r="79" customFormat="false" ht="15" hidden="false" customHeight="false" outlineLevel="0" collapsed="false">
      <c r="A79" s="31" t="s">
        <v>229</v>
      </c>
      <c r="B79" s="44" t="n">
        <v>46204</v>
      </c>
      <c r="C79" s="31" t="s">
        <v>57</v>
      </c>
      <c r="D79" s="31" t="s">
        <v>65</v>
      </c>
      <c r="E79" s="31" t="s">
        <v>52</v>
      </c>
      <c r="F79" s="31" t="s">
        <v>135</v>
      </c>
      <c r="G79" s="31" t="n">
        <v>4</v>
      </c>
      <c r="H79" s="41" t="n">
        <v>19.2</v>
      </c>
      <c r="I79" s="31" t="s">
        <v>149</v>
      </c>
      <c r="J79" s="31"/>
      <c r="K79" s="31" t="s">
        <v>150</v>
      </c>
      <c r="L79" s="45" t="n">
        <f aca="false">DATE(YEAR(B79),MONTH(B79),1)</f>
        <v>46204</v>
      </c>
      <c r="M79" s="31" t="n">
        <f aca="false">WEEKDAY(B79,2)</f>
        <v>3</v>
      </c>
      <c r="N79" s="31" t="str">
        <f aca="false">IF(G79&lt;=INDEX(Assumptions!$B$15:$B$18,MATCH(E79,Assumptions!$A$15:$A$18,0)),"Yes","No")</f>
        <v>Yes</v>
      </c>
      <c r="O79" s="31" t="str">
        <f aca="false">IF(H79="","Open",IF(H79&lt;=INDEX(Assumptions!$C$15:$C$18,MATCH(E79,Assumptions!$A$15:$A$18,0)),"Yes","No"))</f>
        <v>Yes</v>
      </c>
    </row>
    <row r="80" customFormat="false" ht="15" hidden="false" customHeight="false" outlineLevel="0" collapsed="false">
      <c r="A80" s="31" t="s">
        <v>230</v>
      </c>
      <c r="B80" s="44" t="n">
        <v>46204</v>
      </c>
      <c r="C80" s="31" t="s">
        <v>57</v>
      </c>
      <c r="D80" s="31" t="s">
        <v>67</v>
      </c>
      <c r="E80" s="31" t="s">
        <v>51</v>
      </c>
      <c r="F80" s="31" t="s">
        <v>124</v>
      </c>
      <c r="G80" s="31" t="n">
        <v>3</v>
      </c>
      <c r="H80" s="41" t="n">
        <v>22.6</v>
      </c>
      <c r="I80" s="31" t="s">
        <v>149</v>
      </c>
      <c r="J80" s="31" t="n">
        <v>3</v>
      </c>
      <c r="K80" s="31" t="s">
        <v>150</v>
      </c>
      <c r="L80" s="45" t="n">
        <f aca="false">DATE(YEAR(B80),MONTH(B80),1)</f>
        <v>46204</v>
      </c>
      <c r="M80" s="31" t="n">
        <f aca="false">WEEKDAY(B80,2)</f>
        <v>3</v>
      </c>
      <c r="N80" s="31" t="str">
        <f aca="false">IF(G80&lt;=INDEX(Assumptions!$B$15:$B$18,MATCH(E80,Assumptions!$A$15:$A$18,0)),"Yes","No")</f>
        <v>Yes</v>
      </c>
      <c r="O80" s="31" t="str">
        <f aca="false">IF(H80="","Open",IF(H80&lt;=INDEX(Assumptions!$C$15:$C$18,MATCH(E80,Assumptions!$A$15:$A$18,0)),"Yes","No"))</f>
        <v>Yes</v>
      </c>
    </row>
    <row r="81" customFormat="false" ht="15" hidden="false" customHeight="false" outlineLevel="0" collapsed="false">
      <c r="A81" s="31" t="s">
        <v>231</v>
      </c>
      <c r="B81" s="44" t="n">
        <v>46204</v>
      </c>
      <c r="C81" s="31" t="s">
        <v>59</v>
      </c>
      <c r="D81" s="31" t="s">
        <v>67</v>
      </c>
      <c r="E81" s="31" t="s">
        <v>51</v>
      </c>
      <c r="F81" s="31" t="s">
        <v>124</v>
      </c>
      <c r="G81" s="31" t="n">
        <v>93</v>
      </c>
      <c r="H81" s="41" t="n">
        <v>8.7</v>
      </c>
      <c r="I81" s="31" t="s">
        <v>149</v>
      </c>
      <c r="J81" s="31"/>
      <c r="K81" s="31" t="s">
        <v>150</v>
      </c>
      <c r="L81" s="45" t="n">
        <f aca="false">DATE(YEAR(B81),MONTH(B81),1)</f>
        <v>46204</v>
      </c>
      <c r="M81" s="31" t="n">
        <f aca="false">WEEKDAY(B81,2)</f>
        <v>3</v>
      </c>
      <c r="N81" s="31" t="str">
        <f aca="false">IF(G81&lt;=INDEX(Assumptions!$B$15:$B$18,MATCH(E81,Assumptions!$A$15:$A$18,0)),"Yes","No")</f>
        <v>No</v>
      </c>
      <c r="O81" s="31" t="str">
        <f aca="false">IF(H81="","Open",IF(H81&lt;=INDEX(Assumptions!$C$15:$C$18,MATCH(E81,Assumptions!$A$15:$A$18,0)),"Yes","No"))</f>
        <v>Yes</v>
      </c>
    </row>
    <row r="82" customFormat="false" ht="15" hidden="false" customHeight="false" outlineLevel="0" collapsed="false">
      <c r="A82" s="31" t="s">
        <v>232</v>
      </c>
      <c r="B82" s="44" t="n">
        <v>46204</v>
      </c>
      <c r="C82" s="31" t="s">
        <v>59</v>
      </c>
      <c r="D82" s="31" t="s">
        <v>67</v>
      </c>
      <c r="E82" s="31" t="s">
        <v>50</v>
      </c>
      <c r="F82" s="31" t="s">
        <v>124</v>
      </c>
      <c r="G82" s="31" t="n">
        <v>40</v>
      </c>
      <c r="H82" s="41" t="n">
        <v>13.5</v>
      </c>
      <c r="I82" s="31" t="s">
        <v>149</v>
      </c>
      <c r="J82" s="31"/>
      <c r="K82" s="31" t="s">
        <v>150</v>
      </c>
      <c r="L82" s="45" t="n">
        <f aca="false">DATE(YEAR(B82),MONTH(B82),1)</f>
        <v>46204</v>
      </c>
      <c r="M82" s="31" t="n">
        <f aca="false">WEEKDAY(B82,2)</f>
        <v>3</v>
      </c>
      <c r="N82" s="31" t="str">
        <f aca="false">IF(G82&lt;=INDEX(Assumptions!$B$15:$B$18,MATCH(E82,Assumptions!$A$15:$A$18,0)),"Yes","No")</f>
        <v>No</v>
      </c>
      <c r="O82" s="31" t="str">
        <f aca="false">IF(H82="","Open",IF(H82&lt;=INDEX(Assumptions!$C$15:$C$18,MATCH(E82,Assumptions!$A$15:$A$18,0)),"Yes","No"))</f>
        <v>No</v>
      </c>
    </row>
    <row r="83" customFormat="false" ht="15" hidden="false" customHeight="false" outlineLevel="0" collapsed="false">
      <c r="A83" s="31" t="s">
        <v>233</v>
      </c>
      <c r="B83" s="44" t="n">
        <v>46204</v>
      </c>
      <c r="C83" s="31" t="s">
        <v>60</v>
      </c>
      <c r="D83" s="31" t="s">
        <v>65</v>
      </c>
      <c r="E83" s="31" t="s">
        <v>50</v>
      </c>
      <c r="F83" s="31" t="s">
        <v>119</v>
      </c>
      <c r="G83" s="31" t="n">
        <v>1</v>
      </c>
      <c r="H83" s="41" t="n">
        <v>2</v>
      </c>
      <c r="I83" s="31" t="s">
        <v>149</v>
      </c>
      <c r="J83" s="31" t="n">
        <v>4</v>
      </c>
      <c r="K83" s="31" t="s">
        <v>150</v>
      </c>
      <c r="L83" s="45" t="n">
        <f aca="false">DATE(YEAR(B83),MONTH(B83),1)</f>
        <v>46204</v>
      </c>
      <c r="M83" s="31" t="n">
        <f aca="false">WEEKDAY(B83,2)</f>
        <v>3</v>
      </c>
      <c r="N83" s="31" t="str">
        <f aca="false">IF(G83&lt;=INDEX(Assumptions!$B$15:$B$18,MATCH(E83,Assumptions!$A$15:$A$18,0)),"Yes","No")</f>
        <v>Yes</v>
      </c>
      <c r="O83" s="31" t="str">
        <f aca="false">IF(H83="","Open",IF(H83&lt;=INDEX(Assumptions!$C$15:$C$18,MATCH(E83,Assumptions!$A$15:$A$18,0)),"Yes","No"))</f>
        <v>Yes</v>
      </c>
    </row>
    <row r="84" customFormat="false" ht="15" hidden="false" customHeight="false" outlineLevel="0" collapsed="false">
      <c r="A84" s="31" t="s">
        <v>234</v>
      </c>
      <c r="B84" s="44" t="n">
        <v>46204</v>
      </c>
      <c r="C84" s="31" t="s">
        <v>59</v>
      </c>
      <c r="D84" s="31" t="s">
        <v>66</v>
      </c>
      <c r="E84" s="31" t="s">
        <v>50</v>
      </c>
      <c r="F84" s="31" t="s">
        <v>134</v>
      </c>
      <c r="G84" s="31" t="n">
        <v>61</v>
      </c>
      <c r="H84" s="41" t="n">
        <v>11.8</v>
      </c>
      <c r="I84" s="31" t="s">
        <v>149</v>
      </c>
      <c r="J84" s="31" t="n">
        <v>5</v>
      </c>
      <c r="K84" s="31" t="s">
        <v>150</v>
      </c>
      <c r="L84" s="45" t="n">
        <f aca="false">DATE(YEAR(B84),MONTH(B84),1)</f>
        <v>46204</v>
      </c>
      <c r="M84" s="31" t="n">
        <f aca="false">WEEKDAY(B84,2)</f>
        <v>3</v>
      </c>
      <c r="N84" s="31" t="str">
        <f aca="false">IF(G84&lt;=INDEX(Assumptions!$B$15:$B$18,MATCH(E84,Assumptions!$A$15:$A$18,0)),"Yes","No")</f>
        <v>No</v>
      </c>
      <c r="O84" s="31" t="str">
        <f aca="false">IF(H84="","Open",IF(H84&lt;=INDEX(Assumptions!$C$15:$C$18,MATCH(E84,Assumptions!$A$15:$A$18,0)),"Yes","No"))</f>
        <v>No</v>
      </c>
    </row>
    <row r="85" customFormat="false" ht="15" hidden="false" customHeight="false" outlineLevel="0" collapsed="false">
      <c r="A85" s="31" t="s">
        <v>235</v>
      </c>
      <c r="B85" s="44" t="n">
        <v>46204</v>
      </c>
      <c r="C85" s="31" t="s">
        <v>57</v>
      </c>
      <c r="D85" s="31" t="s">
        <v>67</v>
      </c>
      <c r="E85" s="31" t="s">
        <v>50</v>
      </c>
      <c r="F85" s="31" t="s">
        <v>117</v>
      </c>
      <c r="G85" s="31" t="n">
        <v>1</v>
      </c>
      <c r="H85" s="41" t="n">
        <v>4.9</v>
      </c>
      <c r="I85" s="31" t="s">
        <v>149</v>
      </c>
      <c r="J85" s="31"/>
      <c r="K85" s="31" t="s">
        <v>150</v>
      </c>
      <c r="L85" s="45" t="n">
        <f aca="false">DATE(YEAR(B85),MONTH(B85),1)</f>
        <v>46204</v>
      </c>
      <c r="M85" s="31" t="n">
        <f aca="false">WEEKDAY(B85,2)</f>
        <v>3</v>
      </c>
      <c r="N85" s="31" t="str">
        <f aca="false">IF(G85&lt;=INDEX(Assumptions!$B$15:$B$18,MATCH(E85,Assumptions!$A$15:$A$18,0)),"Yes","No")</f>
        <v>Yes</v>
      </c>
      <c r="O85" s="31" t="str">
        <f aca="false">IF(H85="","Open",IF(H85&lt;=INDEX(Assumptions!$C$15:$C$18,MATCH(E85,Assumptions!$A$15:$A$18,0)),"Yes","No"))</f>
        <v>Yes</v>
      </c>
    </row>
    <row r="86" customFormat="false" ht="15" hidden="false" customHeight="false" outlineLevel="0" collapsed="false">
      <c r="A86" s="31" t="s">
        <v>236</v>
      </c>
      <c r="B86" s="44" t="n">
        <v>46204</v>
      </c>
      <c r="C86" s="31" t="s">
        <v>58</v>
      </c>
      <c r="D86" s="31" t="s">
        <v>68</v>
      </c>
      <c r="E86" s="31" t="s">
        <v>52</v>
      </c>
      <c r="F86" s="31" t="s">
        <v>122</v>
      </c>
      <c r="G86" s="31" t="n">
        <v>6</v>
      </c>
      <c r="H86" s="41" t="n">
        <v>9.8</v>
      </c>
      <c r="I86" s="31" t="s">
        <v>149</v>
      </c>
      <c r="J86" s="31"/>
      <c r="K86" s="31" t="s">
        <v>150</v>
      </c>
      <c r="L86" s="45" t="n">
        <f aca="false">DATE(YEAR(B86),MONTH(B86),1)</f>
        <v>46204</v>
      </c>
      <c r="M86" s="31" t="n">
        <f aca="false">WEEKDAY(B86,2)</f>
        <v>3</v>
      </c>
      <c r="N86" s="31" t="str">
        <f aca="false">IF(G86&lt;=INDEX(Assumptions!$B$15:$B$18,MATCH(E86,Assumptions!$A$15:$A$18,0)),"Yes","No")</f>
        <v>Yes</v>
      </c>
      <c r="O86" s="31" t="str">
        <f aca="false">IF(H86="","Open",IF(H86&lt;=INDEX(Assumptions!$C$15:$C$18,MATCH(E86,Assumptions!$A$15:$A$18,0)),"Yes","No"))</f>
        <v>Yes</v>
      </c>
    </row>
    <row r="87" customFormat="false" ht="15" hidden="false" customHeight="false" outlineLevel="0" collapsed="false">
      <c r="A87" s="31" t="s">
        <v>237</v>
      </c>
      <c r="B87" s="44" t="n">
        <v>46204</v>
      </c>
      <c r="C87" s="31" t="s">
        <v>59</v>
      </c>
      <c r="D87" s="31" t="s">
        <v>69</v>
      </c>
      <c r="E87" s="31" t="s">
        <v>52</v>
      </c>
      <c r="F87" s="31" t="s">
        <v>127</v>
      </c>
      <c r="G87" s="31" t="n">
        <v>94</v>
      </c>
      <c r="H87" s="41" t="n">
        <v>34.5</v>
      </c>
      <c r="I87" s="31" t="s">
        <v>149</v>
      </c>
      <c r="J87" s="31"/>
      <c r="K87" s="31" t="s">
        <v>150</v>
      </c>
      <c r="L87" s="45" t="n">
        <f aca="false">DATE(YEAR(B87),MONTH(B87),1)</f>
        <v>46204</v>
      </c>
      <c r="M87" s="31" t="n">
        <f aca="false">WEEKDAY(B87,2)</f>
        <v>3</v>
      </c>
      <c r="N87" s="31" t="str">
        <f aca="false">IF(G87&lt;=INDEX(Assumptions!$B$15:$B$18,MATCH(E87,Assumptions!$A$15:$A$18,0)),"Yes","No")</f>
        <v>Yes</v>
      </c>
      <c r="O87" s="31" t="str">
        <f aca="false">IF(H87="","Open",IF(H87&lt;=INDEX(Assumptions!$C$15:$C$18,MATCH(E87,Assumptions!$A$15:$A$18,0)),"Yes","No"))</f>
        <v>Yes</v>
      </c>
    </row>
    <row r="88" customFormat="false" ht="15" hidden="false" customHeight="false" outlineLevel="0" collapsed="false">
      <c r="A88" s="31" t="s">
        <v>238</v>
      </c>
      <c r="B88" s="44" t="n">
        <v>46204</v>
      </c>
      <c r="C88" s="31" t="s">
        <v>58</v>
      </c>
      <c r="D88" s="31" t="s">
        <v>67</v>
      </c>
      <c r="E88" s="31" t="s">
        <v>51</v>
      </c>
      <c r="F88" s="31" t="s">
        <v>133</v>
      </c>
      <c r="G88" s="31" t="n">
        <v>21</v>
      </c>
      <c r="H88" s="41" t="n">
        <v>17.8</v>
      </c>
      <c r="I88" s="31" t="s">
        <v>149</v>
      </c>
      <c r="J88" s="31"/>
      <c r="K88" s="31" t="s">
        <v>150</v>
      </c>
      <c r="L88" s="45" t="n">
        <f aca="false">DATE(YEAR(B88),MONTH(B88),1)</f>
        <v>46204</v>
      </c>
      <c r="M88" s="31" t="n">
        <f aca="false">WEEKDAY(B88,2)</f>
        <v>3</v>
      </c>
      <c r="N88" s="31" t="str">
        <f aca="false">IF(G88&lt;=INDEX(Assumptions!$B$15:$B$18,MATCH(E88,Assumptions!$A$15:$A$18,0)),"Yes","No")</f>
        <v>Yes</v>
      </c>
      <c r="O88" s="31" t="str">
        <f aca="false">IF(H88="","Open",IF(H88&lt;=INDEX(Assumptions!$C$15:$C$18,MATCH(E88,Assumptions!$A$15:$A$18,0)),"Yes","No"))</f>
        <v>Yes</v>
      </c>
    </row>
    <row r="89" customFormat="false" ht="15" hidden="false" customHeight="false" outlineLevel="0" collapsed="false">
      <c r="A89" s="31" t="s">
        <v>239</v>
      </c>
      <c r="B89" s="44" t="n">
        <v>46204</v>
      </c>
      <c r="C89" s="31" t="s">
        <v>60</v>
      </c>
      <c r="D89" s="31" t="s">
        <v>66</v>
      </c>
      <c r="E89" s="31" t="s">
        <v>50</v>
      </c>
      <c r="F89" s="31" t="s">
        <v>129</v>
      </c>
      <c r="G89" s="31" t="n">
        <v>1</v>
      </c>
      <c r="H89" s="41" t="n">
        <v>1</v>
      </c>
      <c r="I89" s="31" t="s">
        <v>149</v>
      </c>
      <c r="J89" s="31" t="n">
        <v>5</v>
      </c>
      <c r="K89" s="31" t="s">
        <v>150</v>
      </c>
      <c r="L89" s="45" t="n">
        <f aca="false">DATE(YEAR(B89),MONTH(B89),1)</f>
        <v>46204</v>
      </c>
      <c r="M89" s="31" t="n">
        <f aca="false">WEEKDAY(B89,2)</f>
        <v>3</v>
      </c>
      <c r="N89" s="31" t="str">
        <f aca="false">IF(G89&lt;=INDEX(Assumptions!$B$15:$B$18,MATCH(E89,Assumptions!$A$15:$A$18,0)),"Yes","No")</f>
        <v>Yes</v>
      </c>
      <c r="O89" s="31" t="str">
        <f aca="false">IF(H89="","Open",IF(H89&lt;=INDEX(Assumptions!$C$15:$C$18,MATCH(E89,Assumptions!$A$15:$A$18,0)),"Yes","No"))</f>
        <v>Yes</v>
      </c>
    </row>
    <row r="90" customFormat="false" ht="15" hidden="false" customHeight="false" outlineLevel="0" collapsed="false">
      <c r="A90" s="31" t="s">
        <v>240</v>
      </c>
      <c r="B90" s="44" t="n">
        <v>46205</v>
      </c>
      <c r="C90" s="31" t="s">
        <v>59</v>
      </c>
      <c r="D90" s="31" t="s">
        <v>65</v>
      </c>
      <c r="E90" s="31" t="s">
        <v>51</v>
      </c>
      <c r="F90" s="31" t="s">
        <v>119</v>
      </c>
      <c r="G90" s="31" t="n">
        <v>76</v>
      </c>
      <c r="H90" s="41" t="n">
        <v>10</v>
      </c>
      <c r="I90" s="31" t="s">
        <v>149</v>
      </c>
      <c r="J90" s="31" t="n">
        <v>5</v>
      </c>
      <c r="K90" s="31" t="s">
        <v>150</v>
      </c>
      <c r="L90" s="45" t="n">
        <f aca="false">DATE(YEAR(B90),MONTH(B90),1)</f>
        <v>46204</v>
      </c>
      <c r="M90" s="31" t="n">
        <f aca="false">WEEKDAY(B90,2)</f>
        <v>4</v>
      </c>
      <c r="N90" s="31" t="str">
        <f aca="false">IF(G90&lt;=INDEX(Assumptions!$B$15:$B$18,MATCH(E90,Assumptions!$A$15:$A$18,0)),"Yes","No")</f>
        <v>No</v>
      </c>
      <c r="O90" s="31" t="str">
        <f aca="false">IF(H90="","Open",IF(H90&lt;=INDEX(Assumptions!$C$15:$C$18,MATCH(E90,Assumptions!$A$15:$A$18,0)),"Yes","No"))</f>
        <v>Yes</v>
      </c>
    </row>
    <row r="91" customFormat="false" ht="15" hidden="false" customHeight="false" outlineLevel="0" collapsed="false">
      <c r="A91" s="31" t="s">
        <v>241</v>
      </c>
      <c r="B91" s="44" t="n">
        <v>46205</v>
      </c>
      <c r="C91" s="31" t="s">
        <v>60</v>
      </c>
      <c r="D91" s="31" t="s">
        <v>68</v>
      </c>
      <c r="E91" s="31" t="s">
        <v>51</v>
      </c>
      <c r="F91" s="31" t="s">
        <v>126</v>
      </c>
      <c r="G91" s="31" t="n">
        <v>1</v>
      </c>
      <c r="H91" s="41" t="n">
        <v>1.6</v>
      </c>
      <c r="I91" s="31" t="s">
        <v>149</v>
      </c>
      <c r="J91" s="31" t="n">
        <v>4</v>
      </c>
      <c r="K91" s="31" t="s">
        <v>150</v>
      </c>
      <c r="L91" s="45" t="n">
        <f aca="false">DATE(YEAR(B91),MONTH(B91),1)</f>
        <v>46204</v>
      </c>
      <c r="M91" s="31" t="n">
        <f aca="false">WEEKDAY(B91,2)</f>
        <v>4</v>
      </c>
      <c r="N91" s="31" t="str">
        <f aca="false">IF(G91&lt;=INDEX(Assumptions!$B$15:$B$18,MATCH(E91,Assumptions!$A$15:$A$18,0)),"Yes","No")</f>
        <v>Yes</v>
      </c>
      <c r="O91" s="31" t="str">
        <f aca="false">IF(H91="","Open",IF(H91&lt;=INDEX(Assumptions!$C$15:$C$18,MATCH(E91,Assumptions!$A$15:$A$18,0)),"Yes","No"))</f>
        <v>Yes</v>
      </c>
    </row>
    <row r="92" customFormat="false" ht="15" hidden="false" customHeight="false" outlineLevel="0" collapsed="false">
      <c r="A92" s="31" t="s">
        <v>242</v>
      </c>
      <c r="B92" s="44" t="n">
        <v>46205</v>
      </c>
      <c r="C92" s="31" t="s">
        <v>59</v>
      </c>
      <c r="D92" s="31" t="s">
        <v>65</v>
      </c>
      <c r="E92" s="31" t="s">
        <v>50</v>
      </c>
      <c r="F92" s="31" t="s">
        <v>124</v>
      </c>
      <c r="G92" s="31" t="n">
        <v>35</v>
      </c>
      <c r="H92" s="41" t="n">
        <v>9.2</v>
      </c>
      <c r="I92" s="31" t="s">
        <v>149</v>
      </c>
      <c r="J92" s="31" t="n">
        <v>5</v>
      </c>
      <c r="K92" s="31" t="s">
        <v>150</v>
      </c>
      <c r="L92" s="45" t="n">
        <f aca="false">DATE(YEAR(B92),MONTH(B92),1)</f>
        <v>46204</v>
      </c>
      <c r="M92" s="31" t="n">
        <f aca="false">WEEKDAY(B92,2)</f>
        <v>4</v>
      </c>
      <c r="N92" s="31" t="str">
        <f aca="false">IF(G92&lt;=INDEX(Assumptions!$B$15:$B$18,MATCH(E92,Assumptions!$A$15:$A$18,0)),"Yes","No")</f>
        <v>No</v>
      </c>
      <c r="O92" s="31" t="str">
        <f aca="false">IF(H92="","Open",IF(H92&lt;=INDEX(Assumptions!$C$15:$C$18,MATCH(E92,Assumptions!$A$15:$A$18,0)),"Yes","No"))</f>
        <v>No</v>
      </c>
    </row>
    <row r="93" customFormat="false" ht="15" hidden="false" customHeight="false" outlineLevel="0" collapsed="false">
      <c r="A93" s="31" t="s">
        <v>243</v>
      </c>
      <c r="B93" s="44" t="n">
        <v>46205</v>
      </c>
      <c r="C93" s="31" t="s">
        <v>58</v>
      </c>
      <c r="D93" s="31" t="s">
        <v>68</v>
      </c>
      <c r="E93" s="31" t="s">
        <v>51</v>
      </c>
      <c r="F93" s="31" t="s">
        <v>137</v>
      </c>
      <c r="G93" s="31" t="n">
        <v>23</v>
      </c>
      <c r="H93" s="41" t="n">
        <v>1.5</v>
      </c>
      <c r="I93" s="31" t="s">
        <v>149</v>
      </c>
      <c r="J93" s="31" t="n">
        <v>3</v>
      </c>
      <c r="K93" s="31" t="s">
        <v>150</v>
      </c>
      <c r="L93" s="45" t="n">
        <f aca="false">DATE(YEAR(B93),MONTH(B93),1)</f>
        <v>46204</v>
      </c>
      <c r="M93" s="31" t="n">
        <f aca="false">WEEKDAY(B93,2)</f>
        <v>4</v>
      </c>
      <c r="N93" s="31" t="str">
        <f aca="false">IF(G93&lt;=INDEX(Assumptions!$B$15:$B$18,MATCH(E93,Assumptions!$A$15:$A$18,0)),"Yes","No")</f>
        <v>Yes</v>
      </c>
      <c r="O93" s="31" t="str">
        <f aca="false">IF(H93="","Open",IF(H93&lt;=INDEX(Assumptions!$C$15:$C$18,MATCH(E93,Assumptions!$A$15:$A$18,0)),"Yes","No"))</f>
        <v>Yes</v>
      </c>
    </row>
    <row r="94" customFormat="false" ht="15" hidden="false" customHeight="false" outlineLevel="0" collapsed="false">
      <c r="A94" s="31" t="s">
        <v>244</v>
      </c>
      <c r="B94" s="44" t="n">
        <v>46205</v>
      </c>
      <c r="C94" s="31" t="s">
        <v>59</v>
      </c>
      <c r="D94" s="31" t="s">
        <v>65</v>
      </c>
      <c r="E94" s="31" t="s">
        <v>51</v>
      </c>
      <c r="F94" s="31" t="s">
        <v>120</v>
      </c>
      <c r="G94" s="31" t="n">
        <v>160</v>
      </c>
      <c r="H94" s="41" t="n">
        <v>12.4</v>
      </c>
      <c r="I94" s="31" t="s">
        <v>149</v>
      </c>
      <c r="J94" s="31" t="n">
        <v>3</v>
      </c>
      <c r="K94" s="31" t="s">
        <v>150</v>
      </c>
      <c r="L94" s="45" t="n">
        <f aca="false">DATE(YEAR(B94),MONTH(B94),1)</f>
        <v>46204</v>
      </c>
      <c r="M94" s="31" t="n">
        <f aca="false">WEEKDAY(B94,2)</f>
        <v>4</v>
      </c>
      <c r="N94" s="31" t="str">
        <f aca="false">IF(G94&lt;=INDEX(Assumptions!$B$15:$B$18,MATCH(E94,Assumptions!$A$15:$A$18,0)),"Yes","No")</f>
        <v>No</v>
      </c>
      <c r="O94" s="31" t="str">
        <f aca="false">IF(H94="","Open",IF(H94&lt;=INDEX(Assumptions!$C$15:$C$18,MATCH(E94,Assumptions!$A$15:$A$18,0)),"Yes","No"))</f>
        <v>Yes</v>
      </c>
    </row>
    <row r="95" customFormat="false" ht="15" hidden="false" customHeight="false" outlineLevel="0" collapsed="false">
      <c r="A95" s="31" t="s">
        <v>245</v>
      </c>
      <c r="B95" s="44" t="n">
        <v>46205</v>
      </c>
      <c r="C95" s="31" t="s">
        <v>59</v>
      </c>
      <c r="D95" s="31" t="s">
        <v>68</v>
      </c>
      <c r="E95" s="31" t="s">
        <v>52</v>
      </c>
      <c r="F95" s="31" t="s">
        <v>131</v>
      </c>
      <c r="G95" s="31" t="n">
        <v>23</v>
      </c>
      <c r="H95" s="41" t="n">
        <v>2.2</v>
      </c>
      <c r="I95" s="31" t="s">
        <v>149</v>
      </c>
      <c r="J95" s="31" t="n">
        <v>5</v>
      </c>
      <c r="K95" s="31" t="s">
        <v>150</v>
      </c>
      <c r="L95" s="45" t="n">
        <f aca="false">DATE(YEAR(B95),MONTH(B95),1)</f>
        <v>46204</v>
      </c>
      <c r="M95" s="31" t="n">
        <f aca="false">WEEKDAY(B95,2)</f>
        <v>4</v>
      </c>
      <c r="N95" s="31" t="str">
        <f aca="false">IF(G95&lt;=INDEX(Assumptions!$B$15:$B$18,MATCH(E95,Assumptions!$A$15:$A$18,0)),"Yes","No")</f>
        <v>Yes</v>
      </c>
      <c r="O95" s="31" t="str">
        <f aca="false">IF(H95="","Open",IF(H95&lt;=INDEX(Assumptions!$C$15:$C$18,MATCH(E95,Assumptions!$A$15:$A$18,0)),"Yes","No"))</f>
        <v>Yes</v>
      </c>
    </row>
    <row r="96" customFormat="false" ht="15" hidden="false" customHeight="false" outlineLevel="0" collapsed="false">
      <c r="A96" s="31" t="s">
        <v>246</v>
      </c>
      <c r="B96" s="44" t="n">
        <v>46205</v>
      </c>
      <c r="C96" s="31" t="s">
        <v>57</v>
      </c>
      <c r="D96" s="31" t="s">
        <v>67</v>
      </c>
      <c r="E96" s="31" t="s">
        <v>51</v>
      </c>
      <c r="F96" s="31" t="s">
        <v>119</v>
      </c>
      <c r="G96" s="31" t="n">
        <v>3</v>
      </c>
      <c r="H96" s="41" t="n">
        <v>3.8</v>
      </c>
      <c r="I96" s="31" t="s">
        <v>149</v>
      </c>
      <c r="J96" s="31"/>
      <c r="K96" s="31" t="s">
        <v>150</v>
      </c>
      <c r="L96" s="45" t="n">
        <f aca="false">DATE(YEAR(B96),MONTH(B96),1)</f>
        <v>46204</v>
      </c>
      <c r="M96" s="31" t="n">
        <f aca="false">WEEKDAY(B96,2)</f>
        <v>4</v>
      </c>
      <c r="N96" s="31" t="str">
        <f aca="false">IF(G96&lt;=INDEX(Assumptions!$B$15:$B$18,MATCH(E96,Assumptions!$A$15:$A$18,0)),"Yes","No")</f>
        <v>Yes</v>
      </c>
      <c r="O96" s="31" t="str">
        <f aca="false">IF(H96="","Open",IF(H96&lt;=INDEX(Assumptions!$C$15:$C$18,MATCH(E96,Assumptions!$A$15:$A$18,0)),"Yes","No"))</f>
        <v>Yes</v>
      </c>
    </row>
    <row r="97" customFormat="false" ht="15" hidden="false" customHeight="false" outlineLevel="0" collapsed="false">
      <c r="A97" s="31" t="s">
        <v>247</v>
      </c>
      <c r="B97" s="44" t="n">
        <v>46205</v>
      </c>
      <c r="C97" s="31" t="s">
        <v>58</v>
      </c>
      <c r="D97" s="31" t="s">
        <v>65</v>
      </c>
      <c r="E97" s="31" t="s">
        <v>51</v>
      </c>
      <c r="F97" s="31" t="s">
        <v>124</v>
      </c>
      <c r="G97" s="31" t="n">
        <v>7</v>
      </c>
      <c r="H97" s="41" t="n">
        <v>4.9</v>
      </c>
      <c r="I97" s="31" t="s">
        <v>149</v>
      </c>
      <c r="J97" s="31"/>
      <c r="K97" s="31" t="s">
        <v>153</v>
      </c>
      <c r="L97" s="45" t="n">
        <f aca="false">DATE(YEAR(B97),MONTH(B97),1)</f>
        <v>46204</v>
      </c>
      <c r="M97" s="31" t="n">
        <f aca="false">WEEKDAY(B97,2)</f>
        <v>4</v>
      </c>
      <c r="N97" s="31" t="str">
        <f aca="false">IF(G97&lt;=INDEX(Assumptions!$B$15:$B$18,MATCH(E97,Assumptions!$A$15:$A$18,0)),"Yes","No")</f>
        <v>Yes</v>
      </c>
      <c r="O97" s="31" t="str">
        <f aca="false">IF(H97="","Open",IF(H97&lt;=INDEX(Assumptions!$C$15:$C$18,MATCH(E97,Assumptions!$A$15:$A$18,0)),"Yes","No"))</f>
        <v>Yes</v>
      </c>
    </row>
    <row r="98" customFormat="false" ht="15" hidden="false" customHeight="false" outlineLevel="0" collapsed="false">
      <c r="A98" s="31" t="s">
        <v>248</v>
      </c>
      <c r="B98" s="44" t="n">
        <v>46205</v>
      </c>
      <c r="C98" s="31" t="s">
        <v>59</v>
      </c>
      <c r="D98" s="31" t="s">
        <v>69</v>
      </c>
      <c r="E98" s="31" t="s">
        <v>52</v>
      </c>
      <c r="F98" s="31" t="s">
        <v>133</v>
      </c>
      <c r="G98" s="31" t="n">
        <v>56</v>
      </c>
      <c r="H98" s="41" t="n">
        <v>181</v>
      </c>
      <c r="I98" s="31" t="s">
        <v>64</v>
      </c>
      <c r="J98" s="31"/>
      <c r="K98" s="31" t="s">
        <v>150</v>
      </c>
      <c r="L98" s="45" t="n">
        <f aca="false">DATE(YEAR(B98),MONTH(B98),1)</f>
        <v>46204</v>
      </c>
      <c r="M98" s="31" t="n">
        <f aca="false">WEEKDAY(B98,2)</f>
        <v>4</v>
      </c>
      <c r="N98" s="31" t="str">
        <f aca="false">IF(G98&lt;=INDEX(Assumptions!$B$15:$B$18,MATCH(E98,Assumptions!$A$15:$A$18,0)),"Yes","No")</f>
        <v>Yes</v>
      </c>
      <c r="O98" s="31" t="str">
        <f aca="false">IF(H98="","Open",IF(H98&lt;=INDEX(Assumptions!$C$15:$C$18,MATCH(E98,Assumptions!$A$15:$A$18,0)),"Yes","No"))</f>
        <v>No</v>
      </c>
    </row>
    <row r="99" customFormat="false" ht="15" hidden="false" customHeight="false" outlineLevel="0" collapsed="false">
      <c r="A99" s="31" t="s">
        <v>249</v>
      </c>
      <c r="B99" s="44" t="n">
        <v>46205</v>
      </c>
      <c r="C99" s="31" t="s">
        <v>59</v>
      </c>
      <c r="D99" s="31" t="s">
        <v>69</v>
      </c>
      <c r="E99" s="31" t="s">
        <v>51</v>
      </c>
      <c r="F99" s="31" t="s">
        <v>127</v>
      </c>
      <c r="G99" s="31" t="n">
        <v>137</v>
      </c>
      <c r="H99" s="41" t="n">
        <v>41.3</v>
      </c>
      <c r="I99" s="31" t="s">
        <v>149</v>
      </c>
      <c r="J99" s="31"/>
      <c r="K99" s="31" t="s">
        <v>150</v>
      </c>
      <c r="L99" s="45" t="n">
        <f aca="false">DATE(YEAR(B99),MONTH(B99),1)</f>
        <v>46204</v>
      </c>
      <c r="M99" s="31" t="n">
        <f aca="false">WEEKDAY(B99,2)</f>
        <v>4</v>
      </c>
      <c r="N99" s="31" t="str">
        <f aca="false">IF(G99&lt;=INDEX(Assumptions!$B$15:$B$18,MATCH(E99,Assumptions!$A$15:$A$18,0)),"Yes","No")</f>
        <v>No</v>
      </c>
      <c r="O99" s="31" t="str">
        <f aca="false">IF(H99="","Open",IF(H99&lt;=INDEX(Assumptions!$C$15:$C$18,MATCH(E99,Assumptions!$A$15:$A$18,0)),"Yes","No"))</f>
        <v>No</v>
      </c>
    </row>
    <row r="100" customFormat="false" ht="15" hidden="false" customHeight="false" outlineLevel="0" collapsed="false">
      <c r="A100" s="31" t="s">
        <v>250</v>
      </c>
      <c r="B100" s="44" t="n">
        <v>46205</v>
      </c>
      <c r="C100" s="31" t="s">
        <v>57</v>
      </c>
      <c r="D100" s="31" t="s">
        <v>68</v>
      </c>
      <c r="E100" s="31" t="s">
        <v>51</v>
      </c>
      <c r="F100" s="31" t="s">
        <v>133</v>
      </c>
      <c r="G100" s="31" t="n">
        <v>6</v>
      </c>
      <c r="H100" s="41" t="n">
        <v>3.3</v>
      </c>
      <c r="I100" s="31" t="s">
        <v>149</v>
      </c>
      <c r="J100" s="31" t="n">
        <v>3</v>
      </c>
      <c r="K100" s="31" t="s">
        <v>150</v>
      </c>
      <c r="L100" s="45" t="n">
        <f aca="false">DATE(YEAR(B100),MONTH(B100),1)</f>
        <v>46204</v>
      </c>
      <c r="M100" s="31" t="n">
        <f aca="false">WEEKDAY(B100,2)</f>
        <v>4</v>
      </c>
      <c r="N100" s="31" t="str">
        <f aca="false">IF(G100&lt;=INDEX(Assumptions!$B$15:$B$18,MATCH(E100,Assumptions!$A$15:$A$18,0)),"Yes","No")</f>
        <v>Yes</v>
      </c>
      <c r="O100" s="31" t="str">
        <f aca="false">IF(H100="","Open",IF(H100&lt;=INDEX(Assumptions!$C$15:$C$18,MATCH(E100,Assumptions!$A$15:$A$18,0)),"Yes","No"))</f>
        <v>Yes</v>
      </c>
    </row>
    <row r="101" customFormat="false" ht="15" hidden="false" customHeight="false" outlineLevel="0" collapsed="false">
      <c r="A101" s="31" t="s">
        <v>251</v>
      </c>
      <c r="B101" s="44" t="n">
        <v>46205</v>
      </c>
      <c r="C101" s="31" t="s">
        <v>60</v>
      </c>
      <c r="D101" s="31" t="s">
        <v>67</v>
      </c>
      <c r="E101" s="31" t="s">
        <v>50</v>
      </c>
      <c r="F101" s="31" t="s">
        <v>123</v>
      </c>
      <c r="G101" s="31" t="n">
        <v>1</v>
      </c>
      <c r="H101" s="41" t="n">
        <v>5.8</v>
      </c>
      <c r="I101" s="31" t="s">
        <v>149</v>
      </c>
      <c r="J101" s="31"/>
      <c r="K101" s="31" t="s">
        <v>150</v>
      </c>
      <c r="L101" s="45" t="n">
        <f aca="false">DATE(YEAR(B101),MONTH(B101),1)</f>
        <v>46204</v>
      </c>
      <c r="M101" s="31" t="n">
        <f aca="false">WEEKDAY(B101,2)</f>
        <v>4</v>
      </c>
      <c r="N101" s="31" t="str">
        <f aca="false">IF(G101&lt;=INDEX(Assumptions!$B$15:$B$18,MATCH(E101,Assumptions!$A$15:$A$18,0)),"Yes","No")</f>
        <v>Yes</v>
      </c>
      <c r="O101" s="31" t="str">
        <f aca="false">IF(H101="","Open",IF(H101&lt;=INDEX(Assumptions!$C$15:$C$18,MATCH(E101,Assumptions!$A$15:$A$18,0)),"Yes","No"))</f>
        <v>Yes</v>
      </c>
    </row>
    <row r="102" customFormat="false" ht="15" hidden="false" customHeight="false" outlineLevel="0" collapsed="false">
      <c r="A102" s="31" t="s">
        <v>252</v>
      </c>
      <c r="B102" s="44" t="n">
        <v>46205</v>
      </c>
      <c r="C102" s="31" t="s">
        <v>59</v>
      </c>
      <c r="D102" s="31" t="s">
        <v>68</v>
      </c>
      <c r="E102" s="31" t="s">
        <v>51</v>
      </c>
      <c r="F102" s="31" t="s">
        <v>128</v>
      </c>
      <c r="G102" s="31" t="n">
        <v>45</v>
      </c>
      <c r="H102" s="41" t="n">
        <v>3.6</v>
      </c>
      <c r="I102" s="31" t="s">
        <v>149</v>
      </c>
      <c r="J102" s="31"/>
      <c r="K102" s="31" t="s">
        <v>150</v>
      </c>
      <c r="L102" s="45" t="n">
        <f aca="false">DATE(YEAR(B102),MONTH(B102),1)</f>
        <v>46204</v>
      </c>
      <c r="M102" s="31" t="n">
        <f aca="false">WEEKDAY(B102,2)</f>
        <v>4</v>
      </c>
      <c r="N102" s="31" t="str">
        <f aca="false">IF(G102&lt;=INDEX(Assumptions!$B$15:$B$18,MATCH(E102,Assumptions!$A$15:$A$18,0)),"Yes","No")</f>
        <v>Yes</v>
      </c>
      <c r="O102" s="31" t="str">
        <f aca="false">IF(H102="","Open",IF(H102&lt;=INDEX(Assumptions!$C$15:$C$18,MATCH(E102,Assumptions!$A$15:$A$18,0)),"Yes","No"))</f>
        <v>Yes</v>
      </c>
    </row>
    <row r="103" customFormat="false" ht="15" hidden="false" customHeight="false" outlineLevel="0" collapsed="false">
      <c r="A103" s="31" t="s">
        <v>253</v>
      </c>
      <c r="B103" s="44" t="n">
        <v>46205</v>
      </c>
      <c r="C103" s="31" t="s">
        <v>60</v>
      </c>
      <c r="D103" s="31" t="s">
        <v>66</v>
      </c>
      <c r="E103" s="31" t="s">
        <v>51</v>
      </c>
      <c r="F103" s="31" t="s">
        <v>129</v>
      </c>
      <c r="G103" s="31" t="n">
        <v>1</v>
      </c>
      <c r="H103" s="41" t="n">
        <v>4.5</v>
      </c>
      <c r="I103" s="31" t="s">
        <v>149</v>
      </c>
      <c r="J103" s="31" t="n">
        <v>4</v>
      </c>
      <c r="K103" s="31" t="s">
        <v>150</v>
      </c>
      <c r="L103" s="45" t="n">
        <f aca="false">DATE(YEAR(B103),MONTH(B103),1)</f>
        <v>46204</v>
      </c>
      <c r="M103" s="31" t="n">
        <f aca="false">WEEKDAY(B103,2)</f>
        <v>4</v>
      </c>
      <c r="N103" s="31" t="str">
        <f aca="false">IF(G103&lt;=INDEX(Assumptions!$B$15:$B$18,MATCH(E103,Assumptions!$A$15:$A$18,0)),"Yes","No")</f>
        <v>Yes</v>
      </c>
      <c r="O103" s="31" t="str">
        <f aca="false">IF(H103="","Open",IF(H103&lt;=INDEX(Assumptions!$C$15:$C$18,MATCH(E103,Assumptions!$A$15:$A$18,0)),"Yes","No"))</f>
        <v>Yes</v>
      </c>
    </row>
    <row r="104" customFormat="false" ht="15" hidden="false" customHeight="false" outlineLevel="0" collapsed="false">
      <c r="A104" s="31" t="s">
        <v>254</v>
      </c>
      <c r="B104" s="44" t="n">
        <v>46205</v>
      </c>
      <c r="C104" s="31" t="s">
        <v>58</v>
      </c>
      <c r="D104" s="31" t="s">
        <v>69</v>
      </c>
      <c r="E104" s="31" t="s">
        <v>51</v>
      </c>
      <c r="F104" s="31" t="s">
        <v>128</v>
      </c>
      <c r="G104" s="31" t="n">
        <v>21</v>
      </c>
      <c r="H104" s="41" t="n">
        <v>26.4</v>
      </c>
      <c r="I104" s="31" t="s">
        <v>64</v>
      </c>
      <c r="J104" s="31"/>
      <c r="K104" s="31" t="s">
        <v>150</v>
      </c>
      <c r="L104" s="45" t="n">
        <f aca="false">DATE(YEAR(B104),MONTH(B104),1)</f>
        <v>46204</v>
      </c>
      <c r="M104" s="31" t="n">
        <f aca="false">WEEKDAY(B104,2)</f>
        <v>4</v>
      </c>
      <c r="N104" s="31" t="str">
        <f aca="false">IF(G104&lt;=INDEX(Assumptions!$B$15:$B$18,MATCH(E104,Assumptions!$A$15:$A$18,0)),"Yes","No")</f>
        <v>Yes</v>
      </c>
      <c r="O104" s="31" t="str">
        <f aca="false">IF(H104="","Open",IF(H104&lt;=INDEX(Assumptions!$C$15:$C$18,MATCH(E104,Assumptions!$A$15:$A$18,0)),"Yes","No"))</f>
        <v>No</v>
      </c>
    </row>
    <row r="105" customFormat="false" ht="15" hidden="false" customHeight="false" outlineLevel="0" collapsed="false">
      <c r="A105" s="31" t="s">
        <v>255</v>
      </c>
      <c r="B105" s="44" t="n">
        <v>46205</v>
      </c>
      <c r="C105" s="31" t="s">
        <v>57</v>
      </c>
      <c r="D105" s="31" t="s">
        <v>66</v>
      </c>
      <c r="E105" s="31" t="s">
        <v>52</v>
      </c>
      <c r="F105" s="31" t="s">
        <v>127</v>
      </c>
      <c r="G105" s="31" t="n">
        <v>10</v>
      </c>
      <c r="H105" s="41" t="n">
        <v>16.7</v>
      </c>
      <c r="I105" s="31" t="s">
        <v>149</v>
      </c>
      <c r="J105" s="31" t="n">
        <v>4</v>
      </c>
      <c r="K105" s="31" t="s">
        <v>150</v>
      </c>
      <c r="L105" s="45" t="n">
        <f aca="false">DATE(YEAR(B105),MONTH(B105),1)</f>
        <v>46204</v>
      </c>
      <c r="M105" s="31" t="n">
        <f aca="false">WEEKDAY(B105,2)</f>
        <v>4</v>
      </c>
      <c r="N105" s="31" t="str">
        <f aca="false">IF(G105&lt;=INDEX(Assumptions!$B$15:$B$18,MATCH(E105,Assumptions!$A$15:$A$18,0)),"Yes","No")</f>
        <v>Yes</v>
      </c>
      <c r="O105" s="31" t="str">
        <f aca="false">IF(H105="","Open",IF(H105&lt;=INDEX(Assumptions!$C$15:$C$18,MATCH(E105,Assumptions!$A$15:$A$18,0)),"Yes","No"))</f>
        <v>Yes</v>
      </c>
    </row>
    <row r="106" customFormat="false" ht="15" hidden="false" customHeight="false" outlineLevel="0" collapsed="false">
      <c r="A106" s="31" t="s">
        <v>256</v>
      </c>
      <c r="B106" s="44" t="n">
        <v>46205</v>
      </c>
      <c r="C106" s="31" t="s">
        <v>59</v>
      </c>
      <c r="D106" s="31" t="s">
        <v>65</v>
      </c>
      <c r="E106" s="31" t="s">
        <v>52</v>
      </c>
      <c r="F106" s="31" t="s">
        <v>124</v>
      </c>
      <c r="G106" s="31" t="n">
        <v>91</v>
      </c>
      <c r="H106" s="41" t="n">
        <v>8.8</v>
      </c>
      <c r="I106" s="31" t="s">
        <v>149</v>
      </c>
      <c r="J106" s="31"/>
      <c r="K106" s="31" t="s">
        <v>150</v>
      </c>
      <c r="L106" s="45" t="n">
        <f aca="false">DATE(YEAR(B106),MONTH(B106),1)</f>
        <v>46204</v>
      </c>
      <c r="M106" s="31" t="n">
        <f aca="false">WEEKDAY(B106,2)</f>
        <v>4</v>
      </c>
      <c r="N106" s="31" t="str">
        <f aca="false">IF(G106&lt;=INDEX(Assumptions!$B$15:$B$18,MATCH(E106,Assumptions!$A$15:$A$18,0)),"Yes","No")</f>
        <v>Yes</v>
      </c>
      <c r="O106" s="31" t="str">
        <f aca="false">IF(H106="","Open",IF(H106&lt;=INDEX(Assumptions!$C$15:$C$18,MATCH(E106,Assumptions!$A$15:$A$18,0)),"Yes","No"))</f>
        <v>Yes</v>
      </c>
    </row>
    <row r="107" customFormat="false" ht="15" hidden="false" customHeight="false" outlineLevel="0" collapsed="false">
      <c r="A107" s="31" t="s">
        <v>257</v>
      </c>
      <c r="B107" s="44" t="n">
        <v>46205</v>
      </c>
      <c r="C107" s="31" t="s">
        <v>59</v>
      </c>
      <c r="D107" s="31" t="s">
        <v>68</v>
      </c>
      <c r="E107" s="31" t="s">
        <v>49</v>
      </c>
      <c r="F107" s="31" t="s">
        <v>133</v>
      </c>
      <c r="G107" s="31" t="n">
        <v>53</v>
      </c>
      <c r="H107" s="41" t="n">
        <v>0.8</v>
      </c>
      <c r="I107" s="31" t="s">
        <v>149</v>
      </c>
      <c r="J107" s="31" t="n">
        <v>4</v>
      </c>
      <c r="K107" s="31" t="s">
        <v>150</v>
      </c>
      <c r="L107" s="45" t="n">
        <f aca="false">DATE(YEAR(B107),MONTH(B107),1)</f>
        <v>46204</v>
      </c>
      <c r="M107" s="31" t="n">
        <f aca="false">WEEKDAY(B107,2)</f>
        <v>4</v>
      </c>
      <c r="N107" s="31" t="str">
        <f aca="false">IF(G107&lt;=INDEX(Assumptions!$B$15:$B$18,MATCH(E107,Assumptions!$A$15:$A$18,0)),"Yes","No")</f>
        <v>No</v>
      </c>
      <c r="O107" s="31" t="str">
        <f aca="false">IF(H107="","Open",IF(H107&lt;=INDEX(Assumptions!$C$15:$C$18,MATCH(E107,Assumptions!$A$15:$A$18,0)),"Yes","No"))</f>
        <v>Yes</v>
      </c>
    </row>
    <row r="108" customFormat="false" ht="15" hidden="false" customHeight="false" outlineLevel="0" collapsed="false">
      <c r="A108" s="31" t="s">
        <v>258</v>
      </c>
      <c r="B108" s="44" t="n">
        <v>46205</v>
      </c>
      <c r="C108" s="31" t="s">
        <v>57</v>
      </c>
      <c r="D108" s="31" t="s">
        <v>65</v>
      </c>
      <c r="E108" s="31" t="s">
        <v>51</v>
      </c>
      <c r="F108" s="31" t="s">
        <v>122</v>
      </c>
      <c r="G108" s="31" t="n">
        <v>4</v>
      </c>
      <c r="H108" s="41" t="n">
        <v>15.1</v>
      </c>
      <c r="I108" s="31" t="s">
        <v>149</v>
      </c>
      <c r="J108" s="31" t="n">
        <v>4</v>
      </c>
      <c r="K108" s="31" t="s">
        <v>150</v>
      </c>
      <c r="L108" s="45" t="n">
        <f aca="false">DATE(YEAR(B108),MONTH(B108),1)</f>
        <v>46204</v>
      </c>
      <c r="M108" s="31" t="n">
        <f aca="false">WEEKDAY(B108,2)</f>
        <v>4</v>
      </c>
      <c r="N108" s="31" t="str">
        <f aca="false">IF(G108&lt;=INDEX(Assumptions!$B$15:$B$18,MATCH(E108,Assumptions!$A$15:$A$18,0)),"Yes","No")</f>
        <v>Yes</v>
      </c>
      <c r="O108" s="31" t="str">
        <f aca="false">IF(H108="","Open",IF(H108&lt;=INDEX(Assumptions!$C$15:$C$18,MATCH(E108,Assumptions!$A$15:$A$18,0)),"Yes","No"))</f>
        <v>Yes</v>
      </c>
    </row>
    <row r="109" customFormat="false" ht="15" hidden="false" customHeight="false" outlineLevel="0" collapsed="false">
      <c r="A109" s="31" t="s">
        <v>259</v>
      </c>
      <c r="B109" s="44" t="n">
        <v>46205</v>
      </c>
      <c r="C109" s="31" t="s">
        <v>59</v>
      </c>
      <c r="D109" s="31" t="s">
        <v>67</v>
      </c>
      <c r="E109" s="31" t="s">
        <v>50</v>
      </c>
      <c r="F109" s="31" t="s">
        <v>126</v>
      </c>
      <c r="G109" s="31" t="n">
        <v>116</v>
      </c>
      <c r="H109" s="41" t="n">
        <v>15.2</v>
      </c>
      <c r="I109" s="31" t="s">
        <v>149</v>
      </c>
      <c r="J109" s="31" t="n">
        <v>4</v>
      </c>
      <c r="K109" s="31" t="s">
        <v>150</v>
      </c>
      <c r="L109" s="45" t="n">
        <f aca="false">DATE(YEAR(B109),MONTH(B109),1)</f>
        <v>46204</v>
      </c>
      <c r="M109" s="31" t="n">
        <f aca="false">WEEKDAY(B109,2)</f>
        <v>4</v>
      </c>
      <c r="N109" s="31" t="str">
        <f aca="false">IF(G109&lt;=INDEX(Assumptions!$B$15:$B$18,MATCH(E109,Assumptions!$A$15:$A$18,0)),"Yes","No")</f>
        <v>No</v>
      </c>
      <c r="O109" s="31" t="str">
        <f aca="false">IF(H109="","Open",IF(H109&lt;=INDEX(Assumptions!$C$15:$C$18,MATCH(E109,Assumptions!$A$15:$A$18,0)),"Yes","No"))</f>
        <v>No</v>
      </c>
    </row>
    <row r="110" customFormat="false" ht="15" hidden="false" customHeight="false" outlineLevel="0" collapsed="false">
      <c r="A110" s="31" t="s">
        <v>260</v>
      </c>
      <c r="B110" s="44" t="n">
        <v>46205</v>
      </c>
      <c r="C110" s="31" t="s">
        <v>60</v>
      </c>
      <c r="D110" s="31" t="s">
        <v>65</v>
      </c>
      <c r="E110" s="31" t="s">
        <v>52</v>
      </c>
      <c r="F110" s="31" t="s">
        <v>133</v>
      </c>
      <c r="G110" s="31" t="n">
        <v>5</v>
      </c>
      <c r="H110" s="41" t="n">
        <v>27.7</v>
      </c>
      <c r="I110" s="31" t="s">
        <v>149</v>
      </c>
      <c r="J110" s="31"/>
      <c r="K110" s="31" t="s">
        <v>150</v>
      </c>
      <c r="L110" s="45" t="n">
        <f aca="false">DATE(YEAR(B110),MONTH(B110),1)</f>
        <v>46204</v>
      </c>
      <c r="M110" s="31" t="n">
        <f aca="false">WEEKDAY(B110,2)</f>
        <v>4</v>
      </c>
      <c r="N110" s="31" t="str">
        <f aca="false">IF(G110&lt;=INDEX(Assumptions!$B$15:$B$18,MATCH(E110,Assumptions!$A$15:$A$18,0)),"Yes","No")</f>
        <v>Yes</v>
      </c>
      <c r="O110" s="31" t="str">
        <f aca="false">IF(H110="","Open",IF(H110&lt;=INDEX(Assumptions!$C$15:$C$18,MATCH(E110,Assumptions!$A$15:$A$18,0)),"Yes","No"))</f>
        <v>Yes</v>
      </c>
    </row>
    <row r="111" customFormat="false" ht="15" hidden="false" customHeight="false" outlineLevel="0" collapsed="false">
      <c r="A111" s="31" t="s">
        <v>261</v>
      </c>
      <c r="B111" s="44" t="n">
        <v>46205</v>
      </c>
      <c r="C111" s="31" t="s">
        <v>59</v>
      </c>
      <c r="D111" s="31" t="s">
        <v>67</v>
      </c>
      <c r="E111" s="31" t="s">
        <v>52</v>
      </c>
      <c r="F111" s="31" t="s">
        <v>134</v>
      </c>
      <c r="G111" s="31" t="n">
        <v>327</v>
      </c>
      <c r="H111" s="41" t="n">
        <v>47</v>
      </c>
      <c r="I111" s="31" t="s">
        <v>149</v>
      </c>
      <c r="J111" s="31"/>
      <c r="K111" s="31" t="s">
        <v>150</v>
      </c>
      <c r="L111" s="45" t="n">
        <f aca="false">DATE(YEAR(B111),MONTH(B111),1)</f>
        <v>46204</v>
      </c>
      <c r="M111" s="31" t="n">
        <f aca="false">WEEKDAY(B111,2)</f>
        <v>4</v>
      </c>
      <c r="N111" s="31" t="str">
        <f aca="false">IF(G111&lt;=INDEX(Assumptions!$B$15:$B$18,MATCH(E111,Assumptions!$A$15:$A$18,0)),"Yes","No")</f>
        <v>No</v>
      </c>
      <c r="O111" s="31" t="str">
        <f aca="false">IF(H111="","Open",IF(H111&lt;=INDEX(Assumptions!$C$15:$C$18,MATCH(E111,Assumptions!$A$15:$A$18,0)),"Yes","No"))</f>
        <v>Yes</v>
      </c>
    </row>
    <row r="112" customFormat="false" ht="15" hidden="false" customHeight="false" outlineLevel="0" collapsed="false">
      <c r="A112" s="31" t="s">
        <v>262</v>
      </c>
      <c r="B112" s="44" t="n">
        <v>46205</v>
      </c>
      <c r="C112" s="31" t="s">
        <v>58</v>
      </c>
      <c r="D112" s="31" t="s">
        <v>67</v>
      </c>
      <c r="E112" s="31" t="s">
        <v>51</v>
      </c>
      <c r="F112" s="31" t="s">
        <v>136</v>
      </c>
      <c r="G112" s="31" t="n">
        <v>5</v>
      </c>
      <c r="H112" s="41" t="n">
        <v>5.8</v>
      </c>
      <c r="I112" s="31" t="s">
        <v>149</v>
      </c>
      <c r="J112" s="31"/>
      <c r="K112" s="31" t="s">
        <v>150</v>
      </c>
      <c r="L112" s="45" t="n">
        <f aca="false">DATE(YEAR(B112),MONTH(B112),1)</f>
        <v>46204</v>
      </c>
      <c r="M112" s="31" t="n">
        <f aca="false">WEEKDAY(B112,2)</f>
        <v>4</v>
      </c>
      <c r="N112" s="31" t="str">
        <f aca="false">IF(G112&lt;=INDEX(Assumptions!$B$15:$B$18,MATCH(E112,Assumptions!$A$15:$A$18,0)),"Yes","No")</f>
        <v>Yes</v>
      </c>
      <c r="O112" s="31" t="str">
        <f aca="false">IF(H112="","Open",IF(H112&lt;=INDEX(Assumptions!$C$15:$C$18,MATCH(E112,Assumptions!$A$15:$A$18,0)),"Yes","No"))</f>
        <v>Yes</v>
      </c>
    </row>
    <row r="113" customFormat="false" ht="15" hidden="false" customHeight="false" outlineLevel="0" collapsed="false">
      <c r="A113" s="31" t="s">
        <v>263</v>
      </c>
      <c r="B113" s="44" t="n">
        <v>46205</v>
      </c>
      <c r="C113" s="31" t="s">
        <v>60</v>
      </c>
      <c r="D113" s="31" t="s">
        <v>68</v>
      </c>
      <c r="E113" s="31" t="s">
        <v>52</v>
      </c>
      <c r="F113" s="31" t="s">
        <v>121</v>
      </c>
      <c r="G113" s="31" t="n">
        <v>3</v>
      </c>
      <c r="H113" s="41" t="n">
        <v>7.3</v>
      </c>
      <c r="I113" s="31" t="s">
        <v>149</v>
      </c>
      <c r="J113" s="31"/>
      <c r="K113" s="31" t="s">
        <v>150</v>
      </c>
      <c r="L113" s="45" t="n">
        <f aca="false">DATE(YEAR(B113),MONTH(B113),1)</f>
        <v>46204</v>
      </c>
      <c r="M113" s="31" t="n">
        <f aca="false">WEEKDAY(B113,2)</f>
        <v>4</v>
      </c>
      <c r="N113" s="31" t="str">
        <f aca="false">IF(G113&lt;=INDEX(Assumptions!$B$15:$B$18,MATCH(E113,Assumptions!$A$15:$A$18,0)),"Yes","No")</f>
        <v>Yes</v>
      </c>
      <c r="O113" s="31" t="str">
        <f aca="false">IF(H113="","Open",IF(H113&lt;=INDEX(Assumptions!$C$15:$C$18,MATCH(E113,Assumptions!$A$15:$A$18,0)),"Yes","No"))</f>
        <v>Yes</v>
      </c>
    </row>
    <row r="114" customFormat="false" ht="15" hidden="false" customHeight="false" outlineLevel="0" collapsed="false">
      <c r="A114" s="31" t="s">
        <v>264</v>
      </c>
      <c r="B114" s="44" t="n">
        <v>46205</v>
      </c>
      <c r="C114" s="31" t="s">
        <v>60</v>
      </c>
      <c r="D114" s="31" t="s">
        <v>67</v>
      </c>
      <c r="E114" s="31" t="s">
        <v>51</v>
      </c>
      <c r="F114" s="31" t="s">
        <v>123</v>
      </c>
      <c r="G114" s="31" t="n">
        <v>2</v>
      </c>
      <c r="H114" s="41" t="n">
        <v>60.4</v>
      </c>
      <c r="I114" s="31" t="s">
        <v>64</v>
      </c>
      <c r="J114" s="31"/>
      <c r="K114" s="31" t="s">
        <v>153</v>
      </c>
      <c r="L114" s="45" t="n">
        <f aca="false">DATE(YEAR(B114),MONTH(B114),1)</f>
        <v>46204</v>
      </c>
      <c r="M114" s="31" t="n">
        <f aca="false">WEEKDAY(B114,2)</f>
        <v>4</v>
      </c>
      <c r="N114" s="31" t="str">
        <f aca="false">IF(G114&lt;=INDEX(Assumptions!$B$15:$B$18,MATCH(E114,Assumptions!$A$15:$A$18,0)),"Yes","No")</f>
        <v>Yes</v>
      </c>
      <c r="O114" s="31" t="str">
        <f aca="false">IF(H114="","Open",IF(H114&lt;=INDEX(Assumptions!$C$15:$C$18,MATCH(E114,Assumptions!$A$15:$A$18,0)),"Yes","No"))</f>
        <v>No</v>
      </c>
    </row>
    <row r="115" customFormat="false" ht="15" hidden="false" customHeight="false" outlineLevel="0" collapsed="false">
      <c r="A115" s="31" t="s">
        <v>265</v>
      </c>
      <c r="B115" s="44" t="n">
        <v>46205</v>
      </c>
      <c r="C115" s="31" t="s">
        <v>60</v>
      </c>
      <c r="D115" s="31" t="s">
        <v>66</v>
      </c>
      <c r="E115" s="31" t="s">
        <v>52</v>
      </c>
      <c r="F115" s="31" t="s">
        <v>131</v>
      </c>
      <c r="G115" s="31" t="n">
        <v>2</v>
      </c>
      <c r="H115" s="41" t="n">
        <v>8.3</v>
      </c>
      <c r="I115" s="31" t="s">
        <v>149</v>
      </c>
      <c r="J115" s="31"/>
      <c r="K115" s="31" t="s">
        <v>150</v>
      </c>
      <c r="L115" s="45" t="n">
        <f aca="false">DATE(YEAR(B115),MONTH(B115),1)</f>
        <v>46204</v>
      </c>
      <c r="M115" s="31" t="n">
        <f aca="false">WEEKDAY(B115,2)</f>
        <v>4</v>
      </c>
      <c r="N115" s="31" t="str">
        <f aca="false">IF(G115&lt;=INDEX(Assumptions!$B$15:$B$18,MATCH(E115,Assumptions!$A$15:$A$18,0)),"Yes","No")</f>
        <v>Yes</v>
      </c>
      <c r="O115" s="31" t="str">
        <f aca="false">IF(H115="","Open",IF(H115&lt;=INDEX(Assumptions!$C$15:$C$18,MATCH(E115,Assumptions!$A$15:$A$18,0)),"Yes","No"))</f>
        <v>Yes</v>
      </c>
    </row>
    <row r="116" customFormat="false" ht="15" hidden="false" customHeight="false" outlineLevel="0" collapsed="false">
      <c r="A116" s="31" t="s">
        <v>266</v>
      </c>
      <c r="B116" s="44" t="n">
        <v>46205</v>
      </c>
      <c r="C116" s="31" t="s">
        <v>57</v>
      </c>
      <c r="D116" s="31" t="s">
        <v>67</v>
      </c>
      <c r="E116" s="31" t="s">
        <v>50</v>
      </c>
      <c r="F116" s="31" t="s">
        <v>124</v>
      </c>
      <c r="G116" s="31" t="n">
        <v>3</v>
      </c>
      <c r="H116" s="41" t="n">
        <v>29.5</v>
      </c>
      <c r="I116" s="31" t="s">
        <v>149</v>
      </c>
      <c r="J116" s="31"/>
      <c r="K116" s="31" t="s">
        <v>150</v>
      </c>
      <c r="L116" s="45" t="n">
        <f aca="false">DATE(YEAR(B116),MONTH(B116),1)</f>
        <v>46204</v>
      </c>
      <c r="M116" s="31" t="n">
        <f aca="false">WEEKDAY(B116,2)</f>
        <v>4</v>
      </c>
      <c r="N116" s="31" t="str">
        <f aca="false">IF(G116&lt;=INDEX(Assumptions!$B$15:$B$18,MATCH(E116,Assumptions!$A$15:$A$18,0)),"Yes","No")</f>
        <v>Yes</v>
      </c>
      <c r="O116" s="31" t="str">
        <f aca="false">IF(H116="","Open",IF(H116&lt;=INDEX(Assumptions!$C$15:$C$18,MATCH(E116,Assumptions!$A$15:$A$18,0)),"Yes","No"))</f>
        <v>No</v>
      </c>
    </row>
    <row r="117" customFormat="false" ht="15" hidden="false" customHeight="false" outlineLevel="0" collapsed="false">
      <c r="A117" s="31" t="s">
        <v>267</v>
      </c>
      <c r="B117" s="44" t="n">
        <v>46205</v>
      </c>
      <c r="C117" s="31" t="s">
        <v>60</v>
      </c>
      <c r="D117" s="31" t="s">
        <v>66</v>
      </c>
      <c r="E117" s="31" t="s">
        <v>50</v>
      </c>
      <c r="F117" s="31" t="s">
        <v>135</v>
      </c>
      <c r="G117" s="31" t="n">
        <v>6</v>
      </c>
      <c r="H117" s="41" t="n">
        <v>16</v>
      </c>
      <c r="I117" s="31" t="s">
        <v>64</v>
      </c>
      <c r="J117" s="31" t="n">
        <v>3</v>
      </c>
      <c r="K117" s="31" t="s">
        <v>150</v>
      </c>
      <c r="L117" s="45" t="n">
        <f aca="false">DATE(YEAR(B117),MONTH(B117),1)</f>
        <v>46204</v>
      </c>
      <c r="M117" s="31" t="n">
        <f aca="false">WEEKDAY(B117,2)</f>
        <v>4</v>
      </c>
      <c r="N117" s="31" t="str">
        <f aca="false">IF(G117&lt;=INDEX(Assumptions!$B$15:$B$18,MATCH(E117,Assumptions!$A$15:$A$18,0)),"Yes","No")</f>
        <v>Yes</v>
      </c>
      <c r="O117" s="31" t="str">
        <f aca="false">IF(H117="","Open",IF(H117&lt;=INDEX(Assumptions!$C$15:$C$18,MATCH(E117,Assumptions!$A$15:$A$18,0)),"Yes","No"))</f>
        <v>No</v>
      </c>
    </row>
    <row r="118" customFormat="false" ht="15" hidden="false" customHeight="false" outlineLevel="0" collapsed="false">
      <c r="A118" s="31" t="s">
        <v>268</v>
      </c>
      <c r="B118" s="44" t="n">
        <v>46205</v>
      </c>
      <c r="C118" s="31" t="s">
        <v>57</v>
      </c>
      <c r="D118" s="31" t="s">
        <v>66</v>
      </c>
      <c r="E118" s="31" t="s">
        <v>51</v>
      </c>
      <c r="F118" s="31" t="s">
        <v>121</v>
      </c>
      <c r="G118" s="31" t="n">
        <v>11</v>
      </c>
      <c r="H118" s="41" t="n">
        <v>3</v>
      </c>
      <c r="I118" s="31" t="s">
        <v>149</v>
      </c>
      <c r="J118" s="31" t="n">
        <v>4</v>
      </c>
      <c r="K118" s="31" t="s">
        <v>150</v>
      </c>
      <c r="L118" s="45" t="n">
        <f aca="false">DATE(YEAR(B118),MONTH(B118),1)</f>
        <v>46204</v>
      </c>
      <c r="M118" s="31" t="n">
        <f aca="false">WEEKDAY(B118,2)</f>
        <v>4</v>
      </c>
      <c r="N118" s="31" t="str">
        <f aca="false">IF(G118&lt;=INDEX(Assumptions!$B$15:$B$18,MATCH(E118,Assumptions!$A$15:$A$18,0)),"Yes","No")</f>
        <v>Yes</v>
      </c>
      <c r="O118" s="31" t="str">
        <f aca="false">IF(H118="","Open",IF(H118&lt;=INDEX(Assumptions!$C$15:$C$18,MATCH(E118,Assumptions!$A$15:$A$18,0)),"Yes","No"))</f>
        <v>Yes</v>
      </c>
    </row>
    <row r="119" customFormat="false" ht="15" hidden="false" customHeight="false" outlineLevel="0" collapsed="false">
      <c r="A119" s="31" t="s">
        <v>269</v>
      </c>
      <c r="B119" s="44" t="n">
        <v>46205</v>
      </c>
      <c r="C119" s="31" t="s">
        <v>57</v>
      </c>
      <c r="D119" s="31" t="s">
        <v>69</v>
      </c>
      <c r="E119" s="31" t="s">
        <v>51</v>
      </c>
      <c r="F119" s="31" t="s">
        <v>135</v>
      </c>
      <c r="G119" s="31" t="n">
        <v>3</v>
      </c>
      <c r="H119" s="41" t="n">
        <v>6.4</v>
      </c>
      <c r="I119" s="31" t="s">
        <v>149</v>
      </c>
      <c r="J119" s="31" t="n">
        <v>4</v>
      </c>
      <c r="K119" s="31" t="s">
        <v>150</v>
      </c>
      <c r="L119" s="45" t="n">
        <f aca="false">DATE(YEAR(B119),MONTH(B119),1)</f>
        <v>46204</v>
      </c>
      <c r="M119" s="31" t="n">
        <f aca="false">WEEKDAY(B119,2)</f>
        <v>4</v>
      </c>
      <c r="N119" s="31" t="str">
        <f aca="false">IF(G119&lt;=INDEX(Assumptions!$B$15:$B$18,MATCH(E119,Assumptions!$A$15:$A$18,0)),"Yes","No")</f>
        <v>Yes</v>
      </c>
      <c r="O119" s="31" t="str">
        <f aca="false">IF(H119="","Open",IF(H119&lt;=INDEX(Assumptions!$C$15:$C$18,MATCH(E119,Assumptions!$A$15:$A$18,0)),"Yes","No"))</f>
        <v>Yes</v>
      </c>
    </row>
    <row r="120" customFormat="false" ht="15" hidden="false" customHeight="false" outlineLevel="0" collapsed="false">
      <c r="A120" s="31" t="s">
        <v>270</v>
      </c>
      <c r="B120" s="44" t="n">
        <v>46205</v>
      </c>
      <c r="C120" s="31" t="s">
        <v>57</v>
      </c>
      <c r="D120" s="31" t="s">
        <v>68</v>
      </c>
      <c r="E120" s="31" t="s">
        <v>52</v>
      </c>
      <c r="F120" s="31" t="s">
        <v>136</v>
      </c>
      <c r="G120" s="31" t="n">
        <v>11</v>
      </c>
      <c r="H120" s="41" t="n">
        <v>6.9</v>
      </c>
      <c r="I120" s="31" t="s">
        <v>149</v>
      </c>
      <c r="J120" s="31" t="n">
        <v>5</v>
      </c>
      <c r="K120" s="31" t="s">
        <v>150</v>
      </c>
      <c r="L120" s="45" t="n">
        <f aca="false">DATE(YEAR(B120),MONTH(B120),1)</f>
        <v>46204</v>
      </c>
      <c r="M120" s="31" t="n">
        <f aca="false">WEEKDAY(B120,2)</f>
        <v>4</v>
      </c>
      <c r="N120" s="31" t="str">
        <f aca="false">IF(G120&lt;=INDEX(Assumptions!$B$15:$B$18,MATCH(E120,Assumptions!$A$15:$A$18,0)),"Yes","No")</f>
        <v>Yes</v>
      </c>
      <c r="O120" s="31" t="str">
        <f aca="false">IF(H120="","Open",IF(H120&lt;=INDEX(Assumptions!$C$15:$C$18,MATCH(E120,Assumptions!$A$15:$A$18,0)),"Yes","No"))</f>
        <v>Yes</v>
      </c>
    </row>
    <row r="121" customFormat="false" ht="15" hidden="false" customHeight="false" outlineLevel="0" collapsed="false">
      <c r="A121" s="31" t="s">
        <v>271</v>
      </c>
      <c r="B121" s="44" t="n">
        <v>46205</v>
      </c>
      <c r="C121" s="31" t="s">
        <v>58</v>
      </c>
      <c r="D121" s="31" t="s">
        <v>67</v>
      </c>
      <c r="E121" s="31" t="s">
        <v>50</v>
      </c>
      <c r="F121" s="31" t="s">
        <v>117</v>
      </c>
      <c r="G121" s="31" t="n">
        <v>8</v>
      </c>
      <c r="H121" s="41" t="n">
        <v>7.8</v>
      </c>
      <c r="I121" s="31" t="s">
        <v>149</v>
      </c>
      <c r="J121" s="31" t="n">
        <v>3</v>
      </c>
      <c r="K121" s="31" t="s">
        <v>150</v>
      </c>
      <c r="L121" s="45" t="n">
        <f aca="false">DATE(YEAR(B121),MONTH(B121),1)</f>
        <v>46204</v>
      </c>
      <c r="M121" s="31" t="n">
        <f aca="false">WEEKDAY(B121,2)</f>
        <v>4</v>
      </c>
      <c r="N121" s="31" t="str">
        <f aca="false">IF(G121&lt;=INDEX(Assumptions!$B$15:$B$18,MATCH(E121,Assumptions!$A$15:$A$18,0)),"Yes","No")</f>
        <v>Yes</v>
      </c>
      <c r="O121" s="31" t="str">
        <f aca="false">IF(H121="","Open",IF(H121&lt;=INDEX(Assumptions!$C$15:$C$18,MATCH(E121,Assumptions!$A$15:$A$18,0)),"Yes","No"))</f>
        <v>Yes</v>
      </c>
    </row>
    <row r="122" customFormat="false" ht="15" hidden="false" customHeight="false" outlineLevel="0" collapsed="false">
      <c r="A122" s="31" t="s">
        <v>272</v>
      </c>
      <c r="B122" s="44" t="n">
        <v>46205</v>
      </c>
      <c r="C122" s="31" t="s">
        <v>60</v>
      </c>
      <c r="D122" s="31" t="s">
        <v>65</v>
      </c>
      <c r="E122" s="31" t="s">
        <v>52</v>
      </c>
      <c r="F122" s="31" t="s">
        <v>122</v>
      </c>
      <c r="G122" s="31" t="n">
        <v>3</v>
      </c>
      <c r="H122" s="41" t="n">
        <v>22.3</v>
      </c>
      <c r="I122" s="31" t="s">
        <v>149</v>
      </c>
      <c r="J122" s="31" t="n">
        <v>4</v>
      </c>
      <c r="K122" s="31" t="s">
        <v>150</v>
      </c>
      <c r="L122" s="45" t="n">
        <f aca="false">DATE(YEAR(B122),MONTH(B122),1)</f>
        <v>46204</v>
      </c>
      <c r="M122" s="31" t="n">
        <f aca="false">WEEKDAY(B122,2)</f>
        <v>4</v>
      </c>
      <c r="N122" s="31" t="str">
        <f aca="false">IF(G122&lt;=INDEX(Assumptions!$B$15:$B$18,MATCH(E122,Assumptions!$A$15:$A$18,0)),"Yes","No")</f>
        <v>Yes</v>
      </c>
      <c r="O122" s="31" t="str">
        <f aca="false">IF(H122="","Open",IF(H122&lt;=INDEX(Assumptions!$C$15:$C$18,MATCH(E122,Assumptions!$A$15:$A$18,0)),"Yes","No"))</f>
        <v>Yes</v>
      </c>
    </row>
    <row r="123" customFormat="false" ht="15" hidden="false" customHeight="false" outlineLevel="0" collapsed="false">
      <c r="A123" s="31" t="s">
        <v>273</v>
      </c>
      <c r="B123" s="44" t="n">
        <v>46205</v>
      </c>
      <c r="C123" s="31" t="s">
        <v>58</v>
      </c>
      <c r="D123" s="31" t="s">
        <v>65</v>
      </c>
      <c r="E123" s="31" t="s">
        <v>51</v>
      </c>
      <c r="F123" s="31" t="s">
        <v>123</v>
      </c>
      <c r="G123" s="31" t="n">
        <v>7</v>
      </c>
      <c r="H123" s="41" t="n">
        <v>25.4</v>
      </c>
      <c r="I123" s="31" t="s">
        <v>149</v>
      </c>
      <c r="J123" s="31" t="n">
        <v>5</v>
      </c>
      <c r="K123" s="31" t="s">
        <v>150</v>
      </c>
      <c r="L123" s="45" t="n">
        <f aca="false">DATE(YEAR(B123),MONTH(B123),1)</f>
        <v>46204</v>
      </c>
      <c r="M123" s="31" t="n">
        <f aca="false">WEEKDAY(B123,2)</f>
        <v>4</v>
      </c>
      <c r="N123" s="31" t="str">
        <f aca="false">IF(G123&lt;=INDEX(Assumptions!$B$15:$B$18,MATCH(E123,Assumptions!$A$15:$A$18,0)),"Yes","No")</f>
        <v>Yes</v>
      </c>
      <c r="O123" s="31" t="str">
        <f aca="false">IF(H123="","Open",IF(H123&lt;=INDEX(Assumptions!$C$15:$C$18,MATCH(E123,Assumptions!$A$15:$A$18,0)),"Yes","No"))</f>
        <v>No</v>
      </c>
    </row>
    <row r="124" customFormat="false" ht="15" hidden="false" customHeight="false" outlineLevel="0" collapsed="false">
      <c r="A124" s="31" t="s">
        <v>274</v>
      </c>
      <c r="B124" s="44" t="n">
        <v>46205</v>
      </c>
      <c r="C124" s="31" t="s">
        <v>57</v>
      </c>
      <c r="D124" s="31" t="s">
        <v>68</v>
      </c>
      <c r="E124" s="31" t="s">
        <v>51</v>
      </c>
      <c r="F124" s="31" t="s">
        <v>126</v>
      </c>
      <c r="G124" s="31" t="n">
        <v>2</v>
      </c>
      <c r="H124" s="41" t="n">
        <v>1.3</v>
      </c>
      <c r="I124" s="31" t="s">
        <v>149</v>
      </c>
      <c r="J124" s="31"/>
      <c r="K124" s="31" t="s">
        <v>150</v>
      </c>
      <c r="L124" s="45" t="n">
        <f aca="false">DATE(YEAR(B124),MONTH(B124),1)</f>
        <v>46204</v>
      </c>
      <c r="M124" s="31" t="n">
        <f aca="false">WEEKDAY(B124,2)</f>
        <v>4</v>
      </c>
      <c r="N124" s="31" t="str">
        <f aca="false">IF(G124&lt;=INDEX(Assumptions!$B$15:$B$18,MATCH(E124,Assumptions!$A$15:$A$18,0)),"Yes","No")</f>
        <v>Yes</v>
      </c>
      <c r="O124" s="31" t="str">
        <f aca="false">IF(H124="","Open",IF(H124&lt;=INDEX(Assumptions!$C$15:$C$18,MATCH(E124,Assumptions!$A$15:$A$18,0)),"Yes","No"))</f>
        <v>Yes</v>
      </c>
    </row>
    <row r="125" customFormat="false" ht="15" hidden="false" customHeight="false" outlineLevel="0" collapsed="false">
      <c r="A125" s="31" t="s">
        <v>275</v>
      </c>
      <c r="B125" s="44" t="n">
        <v>46205</v>
      </c>
      <c r="C125" s="31" t="s">
        <v>60</v>
      </c>
      <c r="D125" s="31" t="s">
        <v>66</v>
      </c>
      <c r="E125" s="31" t="s">
        <v>51</v>
      </c>
      <c r="F125" s="31" t="s">
        <v>128</v>
      </c>
      <c r="G125" s="31" t="n">
        <v>1</v>
      </c>
      <c r="H125" s="41" t="n">
        <v>9.2</v>
      </c>
      <c r="I125" s="31" t="s">
        <v>149</v>
      </c>
      <c r="J125" s="31" t="n">
        <v>5</v>
      </c>
      <c r="K125" s="31" t="s">
        <v>150</v>
      </c>
      <c r="L125" s="45" t="n">
        <f aca="false">DATE(YEAR(B125),MONTH(B125),1)</f>
        <v>46204</v>
      </c>
      <c r="M125" s="31" t="n">
        <f aca="false">WEEKDAY(B125,2)</f>
        <v>4</v>
      </c>
      <c r="N125" s="31" t="str">
        <f aca="false">IF(G125&lt;=INDEX(Assumptions!$B$15:$B$18,MATCH(E125,Assumptions!$A$15:$A$18,0)),"Yes","No")</f>
        <v>Yes</v>
      </c>
      <c r="O125" s="31" t="str">
        <f aca="false">IF(H125="","Open",IF(H125&lt;=INDEX(Assumptions!$C$15:$C$18,MATCH(E125,Assumptions!$A$15:$A$18,0)),"Yes","No"))</f>
        <v>Yes</v>
      </c>
    </row>
    <row r="126" customFormat="false" ht="15" hidden="false" customHeight="false" outlineLevel="0" collapsed="false">
      <c r="A126" s="31" t="s">
        <v>276</v>
      </c>
      <c r="B126" s="44" t="n">
        <v>46205</v>
      </c>
      <c r="C126" s="31" t="s">
        <v>58</v>
      </c>
      <c r="D126" s="31" t="s">
        <v>65</v>
      </c>
      <c r="E126" s="31" t="s">
        <v>50</v>
      </c>
      <c r="F126" s="31" t="s">
        <v>137</v>
      </c>
      <c r="G126" s="31" t="n">
        <v>6</v>
      </c>
      <c r="H126" s="41" t="n">
        <v>3.7</v>
      </c>
      <c r="I126" s="31" t="s">
        <v>149</v>
      </c>
      <c r="J126" s="31"/>
      <c r="K126" s="31" t="s">
        <v>150</v>
      </c>
      <c r="L126" s="45" t="n">
        <f aca="false">DATE(YEAR(B126),MONTH(B126),1)</f>
        <v>46204</v>
      </c>
      <c r="M126" s="31" t="n">
        <f aca="false">WEEKDAY(B126,2)</f>
        <v>4</v>
      </c>
      <c r="N126" s="31" t="str">
        <f aca="false">IF(G126&lt;=INDEX(Assumptions!$B$15:$B$18,MATCH(E126,Assumptions!$A$15:$A$18,0)),"Yes","No")</f>
        <v>Yes</v>
      </c>
      <c r="O126" s="31" t="str">
        <f aca="false">IF(H126="","Open",IF(H126&lt;=INDEX(Assumptions!$C$15:$C$18,MATCH(E126,Assumptions!$A$15:$A$18,0)),"Yes","No"))</f>
        <v>Yes</v>
      </c>
    </row>
    <row r="127" customFormat="false" ht="15" hidden="false" customHeight="false" outlineLevel="0" collapsed="false">
      <c r="A127" s="31" t="s">
        <v>277</v>
      </c>
      <c r="B127" s="44" t="n">
        <v>46205</v>
      </c>
      <c r="C127" s="31" t="s">
        <v>60</v>
      </c>
      <c r="D127" s="31" t="s">
        <v>65</v>
      </c>
      <c r="E127" s="31" t="s">
        <v>51</v>
      </c>
      <c r="F127" s="31" t="s">
        <v>128</v>
      </c>
      <c r="G127" s="31" t="n">
        <v>7</v>
      </c>
      <c r="H127" s="41" t="n">
        <v>6.9</v>
      </c>
      <c r="I127" s="31" t="s">
        <v>149</v>
      </c>
      <c r="J127" s="31"/>
      <c r="K127" s="31" t="s">
        <v>150</v>
      </c>
      <c r="L127" s="45" t="n">
        <f aca="false">DATE(YEAR(B127),MONTH(B127),1)</f>
        <v>46204</v>
      </c>
      <c r="M127" s="31" t="n">
        <f aca="false">WEEKDAY(B127,2)</f>
        <v>4</v>
      </c>
      <c r="N127" s="31" t="str">
        <f aca="false">IF(G127&lt;=INDEX(Assumptions!$B$15:$B$18,MATCH(E127,Assumptions!$A$15:$A$18,0)),"Yes","No")</f>
        <v>Yes</v>
      </c>
      <c r="O127" s="31" t="str">
        <f aca="false">IF(H127="","Open",IF(H127&lt;=INDEX(Assumptions!$C$15:$C$18,MATCH(E127,Assumptions!$A$15:$A$18,0)),"Yes","No"))</f>
        <v>Yes</v>
      </c>
    </row>
    <row r="128" customFormat="false" ht="15" hidden="false" customHeight="false" outlineLevel="0" collapsed="false">
      <c r="A128" s="31" t="s">
        <v>278</v>
      </c>
      <c r="B128" s="44" t="n">
        <v>46205</v>
      </c>
      <c r="C128" s="31" t="s">
        <v>60</v>
      </c>
      <c r="D128" s="31" t="s">
        <v>65</v>
      </c>
      <c r="E128" s="31" t="s">
        <v>50</v>
      </c>
      <c r="F128" s="31" t="s">
        <v>127</v>
      </c>
      <c r="G128" s="31" t="n">
        <v>1</v>
      </c>
      <c r="H128" s="41" t="n">
        <v>2.5</v>
      </c>
      <c r="I128" s="31" t="s">
        <v>149</v>
      </c>
      <c r="J128" s="31"/>
      <c r="K128" s="31" t="s">
        <v>150</v>
      </c>
      <c r="L128" s="45" t="n">
        <f aca="false">DATE(YEAR(B128),MONTH(B128),1)</f>
        <v>46204</v>
      </c>
      <c r="M128" s="31" t="n">
        <f aca="false">WEEKDAY(B128,2)</f>
        <v>4</v>
      </c>
      <c r="N128" s="31" t="str">
        <f aca="false">IF(G128&lt;=INDEX(Assumptions!$B$15:$B$18,MATCH(E128,Assumptions!$A$15:$A$18,0)),"Yes","No")</f>
        <v>Yes</v>
      </c>
      <c r="O128" s="31" t="str">
        <f aca="false">IF(H128="","Open",IF(H128&lt;=INDEX(Assumptions!$C$15:$C$18,MATCH(E128,Assumptions!$A$15:$A$18,0)),"Yes","No"))</f>
        <v>Yes</v>
      </c>
    </row>
    <row r="129" customFormat="false" ht="15" hidden="false" customHeight="false" outlineLevel="0" collapsed="false">
      <c r="A129" s="31" t="s">
        <v>279</v>
      </c>
      <c r="B129" s="44" t="n">
        <v>46205</v>
      </c>
      <c r="C129" s="31" t="s">
        <v>57</v>
      </c>
      <c r="D129" s="31" t="s">
        <v>67</v>
      </c>
      <c r="E129" s="31" t="s">
        <v>52</v>
      </c>
      <c r="F129" s="31" t="s">
        <v>131</v>
      </c>
      <c r="G129" s="31" t="n">
        <v>7</v>
      </c>
      <c r="H129" s="41" t="n">
        <v>2.7</v>
      </c>
      <c r="I129" s="31" t="s">
        <v>149</v>
      </c>
      <c r="J129" s="31" t="n">
        <v>4</v>
      </c>
      <c r="K129" s="31" t="s">
        <v>150</v>
      </c>
      <c r="L129" s="45" t="n">
        <f aca="false">DATE(YEAR(B129),MONTH(B129),1)</f>
        <v>46204</v>
      </c>
      <c r="M129" s="31" t="n">
        <f aca="false">WEEKDAY(B129,2)</f>
        <v>4</v>
      </c>
      <c r="N129" s="31" t="str">
        <f aca="false">IF(G129&lt;=INDEX(Assumptions!$B$15:$B$18,MATCH(E129,Assumptions!$A$15:$A$18,0)),"Yes","No")</f>
        <v>Yes</v>
      </c>
      <c r="O129" s="31" t="str">
        <f aca="false">IF(H129="","Open",IF(H129&lt;=INDEX(Assumptions!$C$15:$C$18,MATCH(E129,Assumptions!$A$15:$A$18,0)),"Yes","No"))</f>
        <v>Yes</v>
      </c>
    </row>
    <row r="130" customFormat="false" ht="15" hidden="false" customHeight="false" outlineLevel="0" collapsed="false">
      <c r="A130" s="31" t="s">
        <v>280</v>
      </c>
      <c r="B130" s="44" t="n">
        <v>46205</v>
      </c>
      <c r="C130" s="31" t="s">
        <v>57</v>
      </c>
      <c r="D130" s="31" t="s">
        <v>68</v>
      </c>
      <c r="E130" s="31" t="s">
        <v>51</v>
      </c>
      <c r="F130" s="31" t="s">
        <v>119</v>
      </c>
      <c r="G130" s="31" t="n">
        <v>3</v>
      </c>
      <c r="H130" s="41" t="n">
        <v>1.6</v>
      </c>
      <c r="I130" s="31" t="s">
        <v>149</v>
      </c>
      <c r="J130" s="31"/>
      <c r="K130" s="31" t="s">
        <v>150</v>
      </c>
      <c r="L130" s="45" t="n">
        <f aca="false">DATE(YEAR(B130),MONTH(B130),1)</f>
        <v>46204</v>
      </c>
      <c r="M130" s="31" t="n">
        <f aca="false">WEEKDAY(B130,2)</f>
        <v>4</v>
      </c>
      <c r="N130" s="31" t="str">
        <f aca="false">IF(G130&lt;=INDEX(Assumptions!$B$15:$B$18,MATCH(E130,Assumptions!$A$15:$A$18,0)),"Yes","No")</f>
        <v>Yes</v>
      </c>
      <c r="O130" s="31" t="str">
        <f aca="false">IF(H130="","Open",IF(H130&lt;=INDEX(Assumptions!$C$15:$C$18,MATCH(E130,Assumptions!$A$15:$A$18,0)),"Yes","No"))</f>
        <v>Yes</v>
      </c>
    </row>
    <row r="131" customFormat="false" ht="15" hidden="false" customHeight="false" outlineLevel="0" collapsed="false">
      <c r="A131" s="31" t="s">
        <v>281</v>
      </c>
      <c r="B131" s="44" t="n">
        <v>46205</v>
      </c>
      <c r="C131" s="31" t="s">
        <v>59</v>
      </c>
      <c r="D131" s="31" t="s">
        <v>65</v>
      </c>
      <c r="E131" s="31" t="s">
        <v>52</v>
      </c>
      <c r="F131" s="31" t="s">
        <v>129</v>
      </c>
      <c r="G131" s="31" t="n">
        <v>57</v>
      </c>
      <c r="H131" s="41" t="n">
        <v>33.7</v>
      </c>
      <c r="I131" s="31" t="s">
        <v>149</v>
      </c>
      <c r="J131" s="31" t="n">
        <v>5</v>
      </c>
      <c r="K131" s="31" t="s">
        <v>150</v>
      </c>
      <c r="L131" s="45" t="n">
        <f aca="false">DATE(YEAR(B131),MONTH(B131),1)</f>
        <v>46204</v>
      </c>
      <c r="M131" s="31" t="n">
        <f aca="false">WEEKDAY(B131,2)</f>
        <v>4</v>
      </c>
      <c r="N131" s="31" t="str">
        <f aca="false">IF(G131&lt;=INDEX(Assumptions!$B$15:$B$18,MATCH(E131,Assumptions!$A$15:$A$18,0)),"Yes","No")</f>
        <v>Yes</v>
      </c>
      <c r="O131" s="31" t="str">
        <f aca="false">IF(H131="","Open",IF(H131&lt;=INDEX(Assumptions!$C$15:$C$18,MATCH(E131,Assumptions!$A$15:$A$18,0)),"Yes","No"))</f>
        <v>Yes</v>
      </c>
    </row>
    <row r="132" customFormat="false" ht="15" hidden="false" customHeight="false" outlineLevel="0" collapsed="false">
      <c r="A132" s="31" t="s">
        <v>282</v>
      </c>
      <c r="B132" s="44" t="n">
        <v>46205</v>
      </c>
      <c r="C132" s="31" t="s">
        <v>60</v>
      </c>
      <c r="D132" s="31" t="s">
        <v>65</v>
      </c>
      <c r="E132" s="31" t="s">
        <v>50</v>
      </c>
      <c r="F132" s="31" t="s">
        <v>135</v>
      </c>
      <c r="G132" s="31" t="n">
        <v>1</v>
      </c>
      <c r="H132" s="41" t="n">
        <v>4.5</v>
      </c>
      <c r="I132" s="31" t="s">
        <v>149</v>
      </c>
      <c r="J132" s="31" t="n">
        <v>4</v>
      </c>
      <c r="K132" s="31" t="s">
        <v>150</v>
      </c>
      <c r="L132" s="45" t="n">
        <f aca="false">DATE(YEAR(B132),MONTH(B132),1)</f>
        <v>46204</v>
      </c>
      <c r="M132" s="31" t="n">
        <f aca="false">WEEKDAY(B132,2)</f>
        <v>4</v>
      </c>
      <c r="N132" s="31" t="str">
        <f aca="false">IF(G132&lt;=INDEX(Assumptions!$B$15:$B$18,MATCH(E132,Assumptions!$A$15:$A$18,0)),"Yes","No")</f>
        <v>Yes</v>
      </c>
      <c r="O132" s="31" t="str">
        <f aca="false">IF(H132="","Open",IF(H132&lt;=INDEX(Assumptions!$C$15:$C$18,MATCH(E132,Assumptions!$A$15:$A$18,0)),"Yes","No"))</f>
        <v>Yes</v>
      </c>
    </row>
    <row r="133" customFormat="false" ht="15" hidden="false" customHeight="false" outlineLevel="0" collapsed="false">
      <c r="A133" s="31" t="s">
        <v>283</v>
      </c>
      <c r="B133" s="44" t="n">
        <v>46205</v>
      </c>
      <c r="C133" s="31" t="s">
        <v>58</v>
      </c>
      <c r="D133" s="31" t="s">
        <v>67</v>
      </c>
      <c r="E133" s="31" t="s">
        <v>51</v>
      </c>
      <c r="F133" s="31" t="s">
        <v>126</v>
      </c>
      <c r="G133" s="31" t="n">
        <v>14</v>
      </c>
      <c r="H133" s="41" t="n">
        <v>5.2</v>
      </c>
      <c r="I133" s="31" t="s">
        <v>149</v>
      </c>
      <c r="J133" s="31"/>
      <c r="K133" s="31" t="s">
        <v>150</v>
      </c>
      <c r="L133" s="45" t="n">
        <f aca="false">DATE(YEAR(B133),MONTH(B133),1)</f>
        <v>46204</v>
      </c>
      <c r="M133" s="31" t="n">
        <f aca="false">WEEKDAY(B133,2)</f>
        <v>4</v>
      </c>
      <c r="N133" s="31" t="str">
        <f aca="false">IF(G133&lt;=INDEX(Assumptions!$B$15:$B$18,MATCH(E133,Assumptions!$A$15:$A$18,0)),"Yes","No")</f>
        <v>Yes</v>
      </c>
      <c r="O133" s="31" t="str">
        <f aca="false">IF(H133="","Open",IF(H133&lt;=INDEX(Assumptions!$C$15:$C$18,MATCH(E133,Assumptions!$A$15:$A$18,0)),"Yes","No"))</f>
        <v>Yes</v>
      </c>
    </row>
    <row r="134" customFormat="false" ht="15" hidden="false" customHeight="false" outlineLevel="0" collapsed="false">
      <c r="A134" s="31" t="s">
        <v>284</v>
      </c>
      <c r="B134" s="44" t="n">
        <v>46205</v>
      </c>
      <c r="C134" s="31" t="s">
        <v>60</v>
      </c>
      <c r="D134" s="31" t="s">
        <v>67</v>
      </c>
      <c r="E134" s="31" t="s">
        <v>52</v>
      </c>
      <c r="F134" s="31" t="s">
        <v>135</v>
      </c>
      <c r="G134" s="31" t="n">
        <v>12</v>
      </c>
      <c r="H134" s="41" t="n">
        <v>60.1</v>
      </c>
      <c r="I134" s="31" t="s">
        <v>149</v>
      </c>
      <c r="J134" s="31"/>
      <c r="K134" s="31" t="s">
        <v>150</v>
      </c>
      <c r="L134" s="45" t="n">
        <f aca="false">DATE(YEAR(B134),MONTH(B134),1)</f>
        <v>46204</v>
      </c>
      <c r="M134" s="31" t="n">
        <f aca="false">WEEKDAY(B134,2)</f>
        <v>4</v>
      </c>
      <c r="N134" s="31" t="str">
        <f aca="false">IF(G134&lt;=INDEX(Assumptions!$B$15:$B$18,MATCH(E134,Assumptions!$A$15:$A$18,0)),"Yes","No")</f>
        <v>Yes</v>
      </c>
      <c r="O134" s="31" t="str">
        <f aca="false">IF(H134="","Open",IF(H134&lt;=INDEX(Assumptions!$C$15:$C$18,MATCH(E134,Assumptions!$A$15:$A$18,0)),"Yes","No"))</f>
        <v>Yes</v>
      </c>
    </row>
    <row r="135" customFormat="false" ht="15" hidden="false" customHeight="false" outlineLevel="0" collapsed="false">
      <c r="A135" s="31" t="s">
        <v>285</v>
      </c>
      <c r="B135" s="44" t="n">
        <v>46205</v>
      </c>
      <c r="C135" s="31" t="s">
        <v>58</v>
      </c>
      <c r="D135" s="31" t="s">
        <v>66</v>
      </c>
      <c r="E135" s="31" t="s">
        <v>51</v>
      </c>
      <c r="F135" s="31" t="s">
        <v>129</v>
      </c>
      <c r="G135" s="31" t="n">
        <v>12</v>
      </c>
      <c r="H135" s="41" t="n">
        <v>1.2</v>
      </c>
      <c r="I135" s="31" t="s">
        <v>149</v>
      </c>
      <c r="J135" s="31"/>
      <c r="K135" s="31" t="s">
        <v>150</v>
      </c>
      <c r="L135" s="45" t="n">
        <f aca="false">DATE(YEAR(B135),MONTH(B135),1)</f>
        <v>46204</v>
      </c>
      <c r="M135" s="31" t="n">
        <f aca="false">WEEKDAY(B135,2)</f>
        <v>4</v>
      </c>
      <c r="N135" s="31" t="str">
        <f aca="false">IF(G135&lt;=INDEX(Assumptions!$B$15:$B$18,MATCH(E135,Assumptions!$A$15:$A$18,0)),"Yes","No")</f>
        <v>Yes</v>
      </c>
      <c r="O135" s="31" t="str">
        <f aca="false">IF(H135="","Open",IF(H135&lt;=INDEX(Assumptions!$C$15:$C$18,MATCH(E135,Assumptions!$A$15:$A$18,0)),"Yes","No"))</f>
        <v>Yes</v>
      </c>
    </row>
    <row r="136" customFormat="false" ht="15" hidden="false" customHeight="false" outlineLevel="0" collapsed="false">
      <c r="A136" s="31" t="s">
        <v>286</v>
      </c>
      <c r="B136" s="44" t="n">
        <v>46205</v>
      </c>
      <c r="C136" s="31" t="s">
        <v>57</v>
      </c>
      <c r="D136" s="31" t="s">
        <v>67</v>
      </c>
      <c r="E136" s="31" t="s">
        <v>51</v>
      </c>
      <c r="F136" s="31" t="s">
        <v>130</v>
      </c>
      <c r="G136" s="31" t="n">
        <v>2</v>
      </c>
      <c r="H136" s="41" t="n">
        <v>6.3</v>
      </c>
      <c r="I136" s="31" t="s">
        <v>149</v>
      </c>
      <c r="J136" s="31"/>
      <c r="K136" s="31" t="s">
        <v>150</v>
      </c>
      <c r="L136" s="45" t="n">
        <f aca="false">DATE(YEAR(B136),MONTH(B136),1)</f>
        <v>46204</v>
      </c>
      <c r="M136" s="31" t="n">
        <f aca="false">WEEKDAY(B136,2)</f>
        <v>4</v>
      </c>
      <c r="N136" s="31" t="str">
        <f aca="false">IF(G136&lt;=INDEX(Assumptions!$B$15:$B$18,MATCH(E136,Assumptions!$A$15:$A$18,0)),"Yes","No")</f>
        <v>Yes</v>
      </c>
      <c r="O136" s="31" t="str">
        <f aca="false">IF(H136="","Open",IF(H136&lt;=INDEX(Assumptions!$C$15:$C$18,MATCH(E136,Assumptions!$A$15:$A$18,0)),"Yes","No"))</f>
        <v>Yes</v>
      </c>
    </row>
    <row r="137" customFormat="false" ht="15" hidden="false" customHeight="false" outlineLevel="0" collapsed="false">
      <c r="A137" s="31" t="s">
        <v>287</v>
      </c>
      <c r="B137" s="44" t="n">
        <v>46205</v>
      </c>
      <c r="C137" s="31" t="s">
        <v>60</v>
      </c>
      <c r="D137" s="31" t="s">
        <v>67</v>
      </c>
      <c r="E137" s="31" t="s">
        <v>51</v>
      </c>
      <c r="F137" s="31" t="s">
        <v>127</v>
      </c>
      <c r="G137" s="31" t="n">
        <v>1</v>
      </c>
      <c r="H137" s="41" t="n">
        <v>4.7</v>
      </c>
      <c r="I137" s="31" t="s">
        <v>149</v>
      </c>
      <c r="J137" s="31" t="n">
        <v>4</v>
      </c>
      <c r="K137" s="31" t="s">
        <v>153</v>
      </c>
      <c r="L137" s="45" t="n">
        <f aca="false">DATE(YEAR(B137),MONTH(B137),1)</f>
        <v>46204</v>
      </c>
      <c r="M137" s="31" t="n">
        <f aca="false">WEEKDAY(B137,2)</f>
        <v>4</v>
      </c>
      <c r="N137" s="31" t="str">
        <f aca="false">IF(G137&lt;=INDEX(Assumptions!$B$15:$B$18,MATCH(E137,Assumptions!$A$15:$A$18,0)),"Yes","No")</f>
        <v>Yes</v>
      </c>
      <c r="O137" s="31" t="str">
        <f aca="false">IF(H137="","Open",IF(H137&lt;=INDEX(Assumptions!$C$15:$C$18,MATCH(E137,Assumptions!$A$15:$A$18,0)),"Yes","No"))</f>
        <v>Yes</v>
      </c>
    </row>
    <row r="138" customFormat="false" ht="15" hidden="false" customHeight="false" outlineLevel="0" collapsed="false">
      <c r="A138" s="31" t="s">
        <v>288</v>
      </c>
      <c r="B138" s="44" t="n">
        <v>46205</v>
      </c>
      <c r="C138" s="31" t="s">
        <v>58</v>
      </c>
      <c r="D138" s="31" t="s">
        <v>66</v>
      </c>
      <c r="E138" s="31" t="s">
        <v>49</v>
      </c>
      <c r="F138" s="31" t="s">
        <v>133</v>
      </c>
      <c r="G138" s="31" t="n">
        <v>8</v>
      </c>
      <c r="H138" s="41" t="n">
        <v>0.5</v>
      </c>
      <c r="I138" s="31" t="s">
        <v>149</v>
      </c>
      <c r="J138" s="31" t="n">
        <v>4</v>
      </c>
      <c r="K138" s="31" t="s">
        <v>150</v>
      </c>
      <c r="L138" s="45" t="n">
        <f aca="false">DATE(YEAR(B138),MONTH(B138),1)</f>
        <v>46204</v>
      </c>
      <c r="M138" s="31" t="n">
        <f aca="false">WEEKDAY(B138,2)</f>
        <v>4</v>
      </c>
      <c r="N138" s="31" t="str">
        <f aca="false">IF(G138&lt;=INDEX(Assumptions!$B$15:$B$18,MATCH(E138,Assumptions!$A$15:$A$18,0)),"Yes","No")</f>
        <v>Yes</v>
      </c>
      <c r="O138" s="31" t="str">
        <f aca="false">IF(H138="","Open",IF(H138&lt;=INDEX(Assumptions!$C$15:$C$18,MATCH(E138,Assumptions!$A$15:$A$18,0)),"Yes","No"))</f>
        <v>Yes</v>
      </c>
    </row>
    <row r="139" customFormat="false" ht="15" hidden="false" customHeight="false" outlineLevel="0" collapsed="false">
      <c r="A139" s="31" t="s">
        <v>289</v>
      </c>
      <c r="B139" s="44" t="n">
        <v>46205</v>
      </c>
      <c r="C139" s="31" t="s">
        <v>59</v>
      </c>
      <c r="D139" s="31" t="s">
        <v>67</v>
      </c>
      <c r="E139" s="31" t="s">
        <v>52</v>
      </c>
      <c r="F139" s="31" t="s">
        <v>123</v>
      </c>
      <c r="G139" s="31" t="n">
        <v>50</v>
      </c>
      <c r="H139" s="41"/>
      <c r="I139" s="31" t="s">
        <v>158</v>
      </c>
      <c r="J139" s="31"/>
      <c r="K139" s="31" t="s">
        <v>150</v>
      </c>
      <c r="L139" s="45" t="n">
        <f aca="false">DATE(YEAR(B139),MONTH(B139),1)</f>
        <v>46204</v>
      </c>
      <c r="M139" s="31" t="n">
        <f aca="false">WEEKDAY(B139,2)</f>
        <v>4</v>
      </c>
      <c r="N139" s="31" t="str">
        <f aca="false">IF(G139&lt;=INDEX(Assumptions!$B$15:$B$18,MATCH(E139,Assumptions!$A$15:$A$18,0)),"Yes","No")</f>
        <v>Yes</v>
      </c>
      <c r="O139" s="31" t="str">
        <f aca="false">IF(H139="","Open",IF(H139&lt;=INDEX(Assumptions!$C$15:$C$18,MATCH(E139,Assumptions!$A$15:$A$18,0)),"Yes","No"))</f>
        <v>Open</v>
      </c>
    </row>
    <row r="140" customFormat="false" ht="15" hidden="false" customHeight="false" outlineLevel="0" collapsed="false">
      <c r="A140" s="31" t="s">
        <v>290</v>
      </c>
      <c r="B140" s="44" t="n">
        <v>46205</v>
      </c>
      <c r="C140" s="31" t="s">
        <v>59</v>
      </c>
      <c r="D140" s="31" t="s">
        <v>65</v>
      </c>
      <c r="E140" s="31" t="s">
        <v>51</v>
      </c>
      <c r="F140" s="31" t="s">
        <v>124</v>
      </c>
      <c r="G140" s="31" t="n">
        <v>12</v>
      </c>
      <c r="H140" s="41" t="n">
        <v>11.8</v>
      </c>
      <c r="I140" s="31" t="s">
        <v>149</v>
      </c>
      <c r="J140" s="31"/>
      <c r="K140" s="31" t="s">
        <v>150</v>
      </c>
      <c r="L140" s="45" t="n">
        <f aca="false">DATE(YEAR(B140),MONTH(B140),1)</f>
        <v>46204</v>
      </c>
      <c r="M140" s="31" t="n">
        <f aca="false">WEEKDAY(B140,2)</f>
        <v>4</v>
      </c>
      <c r="N140" s="31" t="str">
        <f aca="false">IF(G140&lt;=INDEX(Assumptions!$B$15:$B$18,MATCH(E140,Assumptions!$A$15:$A$18,0)),"Yes","No")</f>
        <v>Yes</v>
      </c>
      <c r="O140" s="31" t="str">
        <f aca="false">IF(H140="","Open",IF(H140&lt;=INDEX(Assumptions!$C$15:$C$18,MATCH(E140,Assumptions!$A$15:$A$18,0)),"Yes","No"))</f>
        <v>Yes</v>
      </c>
    </row>
    <row r="141" customFormat="false" ht="15" hidden="false" customHeight="false" outlineLevel="0" collapsed="false">
      <c r="A141" s="31" t="s">
        <v>291</v>
      </c>
      <c r="B141" s="44" t="n">
        <v>46205</v>
      </c>
      <c r="C141" s="31" t="s">
        <v>59</v>
      </c>
      <c r="D141" s="31" t="s">
        <v>68</v>
      </c>
      <c r="E141" s="31" t="s">
        <v>51</v>
      </c>
      <c r="F141" s="31" t="s">
        <v>128</v>
      </c>
      <c r="G141" s="31" t="n">
        <v>252</v>
      </c>
      <c r="H141" s="41" t="n">
        <v>3.3</v>
      </c>
      <c r="I141" s="31" t="s">
        <v>149</v>
      </c>
      <c r="J141" s="31" t="n">
        <v>3</v>
      </c>
      <c r="K141" s="31" t="s">
        <v>150</v>
      </c>
      <c r="L141" s="45" t="n">
        <f aca="false">DATE(YEAR(B141),MONTH(B141),1)</f>
        <v>46204</v>
      </c>
      <c r="M141" s="31" t="n">
        <f aca="false">WEEKDAY(B141,2)</f>
        <v>4</v>
      </c>
      <c r="N141" s="31" t="str">
        <f aca="false">IF(G141&lt;=INDEX(Assumptions!$B$15:$B$18,MATCH(E141,Assumptions!$A$15:$A$18,0)),"Yes","No")</f>
        <v>No</v>
      </c>
      <c r="O141" s="31" t="str">
        <f aca="false">IF(H141="","Open",IF(H141&lt;=INDEX(Assumptions!$C$15:$C$18,MATCH(E141,Assumptions!$A$15:$A$18,0)),"Yes","No"))</f>
        <v>Yes</v>
      </c>
    </row>
    <row r="142" customFormat="false" ht="15" hidden="false" customHeight="false" outlineLevel="0" collapsed="false">
      <c r="A142" s="31" t="s">
        <v>292</v>
      </c>
      <c r="B142" s="44" t="n">
        <v>46205</v>
      </c>
      <c r="C142" s="31" t="s">
        <v>59</v>
      </c>
      <c r="D142" s="31" t="s">
        <v>69</v>
      </c>
      <c r="E142" s="31" t="s">
        <v>51</v>
      </c>
      <c r="F142" s="31" t="s">
        <v>119</v>
      </c>
      <c r="G142" s="31" t="n">
        <v>52</v>
      </c>
      <c r="H142" s="41" t="n">
        <v>29.7</v>
      </c>
      <c r="I142" s="31" t="s">
        <v>149</v>
      </c>
      <c r="J142" s="31" t="n">
        <v>5</v>
      </c>
      <c r="K142" s="31" t="s">
        <v>150</v>
      </c>
      <c r="L142" s="45" t="n">
        <f aca="false">DATE(YEAR(B142),MONTH(B142),1)</f>
        <v>46204</v>
      </c>
      <c r="M142" s="31" t="n">
        <f aca="false">WEEKDAY(B142,2)</f>
        <v>4</v>
      </c>
      <c r="N142" s="31" t="str">
        <f aca="false">IF(G142&lt;=INDEX(Assumptions!$B$15:$B$18,MATCH(E142,Assumptions!$A$15:$A$18,0)),"Yes","No")</f>
        <v>Yes</v>
      </c>
      <c r="O142" s="31" t="str">
        <f aca="false">IF(H142="","Open",IF(H142&lt;=INDEX(Assumptions!$C$15:$C$18,MATCH(E142,Assumptions!$A$15:$A$18,0)),"Yes","No"))</f>
        <v>No</v>
      </c>
    </row>
    <row r="143" customFormat="false" ht="15" hidden="false" customHeight="false" outlineLevel="0" collapsed="false">
      <c r="A143" s="31" t="s">
        <v>293</v>
      </c>
      <c r="B143" s="44" t="n">
        <v>46205</v>
      </c>
      <c r="C143" s="31" t="s">
        <v>58</v>
      </c>
      <c r="D143" s="31" t="s">
        <v>68</v>
      </c>
      <c r="E143" s="31" t="s">
        <v>52</v>
      </c>
      <c r="F143" s="31" t="s">
        <v>120</v>
      </c>
      <c r="G143" s="31" t="n">
        <v>35</v>
      </c>
      <c r="H143" s="41" t="n">
        <v>22.6</v>
      </c>
      <c r="I143" s="31" t="s">
        <v>149</v>
      </c>
      <c r="J143" s="31" t="n">
        <v>4</v>
      </c>
      <c r="K143" s="31" t="s">
        <v>150</v>
      </c>
      <c r="L143" s="45" t="n">
        <f aca="false">DATE(YEAR(B143),MONTH(B143),1)</f>
        <v>46204</v>
      </c>
      <c r="M143" s="31" t="n">
        <f aca="false">WEEKDAY(B143,2)</f>
        <v>4</v>
      </c>
      <c r="N143" s="31" t="str">
        <f aca="false">IF(G143&lt;=INDEX(Assumptions!$B$15:$B$18,MATCH(E143,Assumptions!$A$15:$A$18,0)),"Yes","No")</f>
        <v>Yes</v>
      </c>
      <c r="O143" s="31" t="str">
        <f aca="false">IF(H143="","Open",IF(H143&lt;=INDEX(Assumptions!$C$15:$C$18,MATCH(E143,Assumptions!$A$15:$A$18,0)),"Yes","No"))</f>
        <v>Yes</v>
      </c>
    </row>
    <row r="144" customFormat="false" ht="15" hidden="false" customHeight="false" outlineLevel="0" collapsed="false">
      <c r="A144" s="31" t="s">
        <v>294</v>
      </c>
      <c r="B144" s="44" t="n">
        <v>46205</v>
      </c>
      <c r="C144" s="31" t="s">
        <v>59</v>
      </c>
      <c r="D144" s="31" t="s">
        <v>69</v>
      </c>
      <c r="E144" s="31" t="s">
        <v>50</v>
      </c>
      <c r="F144" s="31" t="s">
        <v>129</v>
      </c>
      <c r="G144" s="31" t="n">
        <v>12</v>
      </c>
      <c r="H144" s="41" t="n">
        <v>8.9</v>
      </c>
      <c r="I144" s="31" t="s">
        <v>149</v>
      </c>
      <c r="J144" s="31" t="n">
        <v>4</v>
      </c>
      <c r="K144" s="31" t="s">
        <v>150</v>
      </c>
      <c r="L144" s="45" t="n">
        <f aca="false">DATE(YEAR(B144),MONTH(B144),1)</f>
        <v>46204</v>
      </c>
      <c r="M144" s="31" t="n">
        <f aca="false">WEEKDAY(B144,2)</f>
        <v>4</v>
      </c>
      <c r="N144" s="31" t="str">
        <f aca="false">IF(G144&lt;=INDEX(Assumptions!$B$15:$B$18,MATCH(E144,Assumptions!$A$15:$A$18,0)),"Yes","No")</f>
        <v>Yes</v>
      </c>
      <c r="O144" s="31" t="str">
        <f aca="false">IF(H144="","Open",IF(H144&lt;=INDEX(Assumptions!$C$15:$C$18,MATCH(E144,Assumptions!$A$15:$A$18,0)),"Yes","No"))</f>
        <v>No</v>
      </c>
    </row>
    <row r="145" customFormat="false" ht="15" hidden="false" customHeight="false" outlineLevel="0" collapsed="false">
      <c r="A145" s="31" t="s">
        <v>295</v>
      </c>
      <c r="B145" s="44" t="n">
        <v>46205</v>
      </c>
      <c r="C145" s="31" t="s">
        <v>57</v>
      </c>
      <c r="D145" s="31" t="s">
        <v>69</v>
      </c>
      <c r="E145" s="31" t="s">
        <v>51</v>
      </c>
      <c r="F145" s="31" t="s">
        <v>130</v>
      </c>
      <c r="G145" s="31" t="n">
        <v>1</v>
      </c>
      <c r="H145" s="41" t="n">
        <v>5</v>
      </c>
      <c r="I145" s="31" t="s">
        <v>149</v>
      </c>
      <c r="J145" s="31" t="n">
        <v>5</v>
      </c>
      <c r="K145" s="31" t="s">
        <v>150</v>
      </c>
      <c r="L145" s="45" t="n">
        <f aca="false">DATE(YEAR(B145),MONTH(B145),1)</f>
        <v>46204</v>
      </c>
      <c r="M145" s="31" t="n">
        <f aca="false">WEEKDAY(B145,2)</f>
        <v>4</v>
      </c>
      <c r="N145" s="31" t="str">
        <f aca="false">IF(G145&lt;=INDEX(Assumptions!$B$15:$B$18,MATCH(E145,Assumptions!$A$15:$A$18,0)),"Yes","No")</f>
        <v>Yes</v>
      </c>
      <c r="O145" s="31" t="str">
        <f aca="false">IF(H145="","Open",IF(H145&lt;=INDEX(Assumptions!$C$15:$C$18,MATCH(E145,Assumptions!$A$15:$A$18,0)),"Yes","No"))</f>
        <v>Yes</v>
      </c>
    </row>
    <row r="146" customFormat="false" ht="15" hidden="false" customHeight="false" outlineLevel="0" collapsed="false">
      <c r="A146" s="31" t="s">
        <v>296</v>
      </c>
      <c r="B146" s="44" t="n">
        <v>46205</v>
      </c>
      <c r="C146" s="31" t="s">
        <v>58</v>
      </c>
      <c r="D146" s="31" t="s">
        <v>67</v>
      </c>
      <c r="E146" s="31" t="s">
        <v>51</v>
      </c>
      <c r="F146" s="31" t="s">
        <v>127</v>
      </c>
      <c r="G146" s="31" t="n">
        <v>10</v>
      </c>
      <c r="H146" s="41" t="n">
        <v>12.9</v>
      </c>
      <c r="I146" s="31" t="s">
        <v>149</v>
      </c>
      <c r="J146" s="31" t="n">
        <v>4</v>
      </c>
      <c r="K146" s="31" t="s">
        <v>150</v>
      </c>
      <c r="L146" s="45" t="n">
        <f aca="false">DATE(YEAR(B146),MONTH(B146),1)</f>
        <v>46204</v>
      </c>
      <c r="M146" s="31" t="n">
        <f aca="false">WEEKDAY(B146,2)</f>
        <v>4</v>
      </c>
      <c r="N146" s="31" t="str">
        <f aca="false">IF(G146&lt;=INDEX(Assumptions!$B$15:$B$18,MATCH(E146,Assumptions!$A$15:$A$18,0)),"Yes","No")</f>
        <v>Yes</v>
      </c>
      <c r="O146" s="31" t="str">
        <f aca="false">IF(H146="","Open",IF(H146&lt;=INDEX(Assumptions!$C$15:$C$18,MATCH(E146,Assumptions!$A$15:$A$18,0)),"Yes","No"))</f>
        <v>Yes</v>
      </c>
    </row>
    <row r="147" customFormat="false" ht="15" hidden="false" customHeight="false" outlineLevel="0" collapsed="false">
      <c r="A147" s="31" t="s">
        <v>297</v>
      </c>
      <c r="B147" s="44" t="n">
        <v>46205</v>
      </c>
      <c r="C147" s="31" t="s">
        <v>57</v>
      </c>
      <c r="D147" s="31" t="s">
        <v>69</v>
      </c>
      <c r="E147" s="31" t="s">
        <v>51</v>
      </c>
      <c r="F147" s="31" t="s">
        <v>124</v>
      </c>
      <c r="G147" s="31" t="n">
        <v>6</v>
      </c>
      <c r="H147" s="41" t="n">
        <v>32.4</v>
      </c>
      <c r="I147" s="31" t="s">
        <v>149</v>
      </c>
      <c r="J147" s="31"/>
      <c r="K147" s="31" t="s">
        <v>150</v>
      </c>
      <c r="L147" s="45" t="n">
        <f aca="false">DATE(YEAR(B147),MONTH(B147),1)</f>
        <v>46204</v>
      </c>
      <c r="M147" s="31" t="n">
        <f aca="false">WEEKDAY(B147,2)</f>
        <v>4</v>
      </c>
      <c r="N147" s="31" t="str">
        <f aca="false">IF(G147&lt;=INDEX(Assumptions!$B$15:$B$18,MATCH(E147,Assumptions!$A$15:$A$18,0)),"Yes","No")</f>
        <v>Yes</v>
      </c>
      <c r="O147" s="31" t="str">
        <f aca="false">IF(H147="","Open",IF(H147&lt;=INDEX(Assumptions!$C$15:$C$18,MATCH(E147,Assumptions!$A$15:$A$18,0)),"Yes","No"))</f>
        <v>No</v>
      </c>
    </row>
    <row r="148" customFormat="false" ht="15" hidden="false" customHeight="false" outlineLevel="0" collapsed="false">
      <c r="A148" s="31" t="s">
        <v>298</v>
      </c>
      <c r="B148" s="44" t="n">
        <v>46205</v>
      </c>
      <c r="C148" s="31" t="s">
        <v>58</v>
      </c>
      <c r="D148" s="31" t="s">
        <v>66</v>
      </c>
      <c r="E148" s="31" t="s">
        <v>49</v>
      </c>
      <c r="F148" s="31" t="s">
        <v>127</v>
      </c>
      <c r="G148" s="31" t="n">
        <v>17</v>
      </c>
      <c r="H148" s="41" t="n">
        <v>0.8</v>
      </c>
      <c r="I148" s="31" t="s">
        <v>149</v>
      </c>
      <c r="J148" s="31"/>
      <c r="K148" s="31" t="s">
        <v>153</v>
      </c>
      <c r="L148" s="45" t="n">
        <f aca="false">DATE(YEAR(B148),MONTH(B148),1)</f>
        <v>46204</v>
      </c>
      <c r="M148" s="31" t="n">
        <f aca="false">WEEKDAY(B148,2)</f>
        <v>4</v>
      </c>
      <c r="N148" s="31" t="str">
        <f aca="false">IF(G148&lt;=INDEX(Assumptions!$B$15:$B$18,MATCH(E148,Assumptions!$A$15:$A$18,0)),"Yes","No")</f>
        <v>No</v>
      </c>
      <c r="O148" s="31" t="str">
        <f aca="false">IF(H148="","Open",IF(H148&lt;=INDEX(Assumptions!$C$15:$C$18,MATCH(E148,Assumptions!$A$15:$A$18,0)),"Yes","No"))</f>
        <v>Yes</v>
      </c>
    </row>
    <row r="149" customFormat="false" ht="15" hidden="false" customHeight="false" outlineLevel="0" collapsed="false">
      <c r="A149" s="31" t="s">
        <v>299</v>
      </c>
      <c r="B149" s="44" t="n">
        <v>46205</v>
      </c>
      <c r="C149" s="31" t="s">
        <v>59</v>
      </c>
      <c r="D149" s="31" t="s">
        <v>68</v>
      </c>
      <c r="E149" s="31" t="s">
        <v>51</v>
      </c>
      <c r="F149" s="31" t="s">
        <v>135</v>
      </c>
      <c r="G149" s="31" t="n">
        <v>195</v>
      </c>
      <c r="H149" s="41" t="n">
        <v>5</v>
      </c>
      <c r="I149" s="31" t="s">
        <v>149</v>
      </c>
      <c r="J149" s="31"/>
      <c r="K149" s="31" t="s">
        <v>153</v>
      </c>
      <c r="L149" s="45" t="n">
        <f aca="false">DATE(YEAR(B149),MONTH(B149),1)</f>
        <v>46204</v>
      </c>
      <c r="M149" s="31" t="n">
        <f aca="false">WEEKDAY(B149,2)</f>
        <v>4</v>
      </c>
      <c r="N149" s="31" t="str">
        <f aca="false">IF(G149&lt;=INDEX(Assumptions!$B$15:$B$18,MATCH(E149,Assumptions!$A$15:$A$18,0)),"Yes","No")</f>
        <v>No</v>
      </c>
      <c r="O149" s="31" t="str">
        <f aca="false">IF(H149="","Open",IF(H149&lt;=INDEX(Assumptions!$C$15:$C$18,MATCH(E149,Assumptions!$A$15:$A$18,0)),"Yes","No"))</f>
        <v>Yes</v>
      </c>
    </row>
    <row r="150" customFormat="false" ht="15" hidden="false" customHeight="false" outlineLevel="0" collapsed="false">
      <c r="A150" s="31" t="s">
        <v>300</v>
      </c>
      <c r="B150" s="44" t="n">
        <v>46205</v>
      </c>
      <c r="C150" s="31" t="s">
        <v>57</v>
      </c>
      <c r="D150" s="31" t="s">
        <v>65</v>
      </c>
      <c r="E150" s="31" t="s">
        <v>50</v>
      </c>
      <c r="F150" s="31" t="s">
        <v>117</v>
      </c>
      <c r="G150" s="31" t="n">
        <v>6</v>
      </c>
      <c r="H150" s="41" t="n">
        <v>1.5</v>
      </c>
      <c r="I150" s="31" t="s">
        <v>149</v>
      </c>
      <c r="J150" s="31"/>
      <c r="K150" s="31" t="s">
        <v>150</v>
      </c>
      <c r="L150" s="45" t="n">
        <f aca="false">DATE(YEAR(B150),MONTH(B150),1)</f>
        <v>46204</v>
      </c>
      <c r="M150" s="31" t="n">
        <f aca="false">WEEKDAY(B150,2)</f>
        <v>4</v>
      </c>
      <c r="N150" s="31" t="str">
        <f aca="false">IF(G150&lt;=INDEX(Assumptions!$B$15:$B$18,MATCH(E150,Assumptions!$A$15:$A$18,0)),"Yes","No")</f>
        <v>Yes</v>
      </c>
      <c r="O150" s="31" t="str">
        <f aca="false">IF(H150="","Open",IF(H150&lt;=INDEX(Assumptions!$C$15:$C$18,MATCH(E150,Assumptions!$A$15:$A$18,0)),"Yes","No"))</f>
        <v>Yes</v>
      </c>
    </row>
    <row r="151" customFormat="false" ht="15" hidden="false" customHeight="false" outlineLevel="0" collapsed="false">
      <c r="A151" s="31" t="s">
        <v>301</v>
      </c>
      <c r="B151" s="44" t="n">
        <v>46205</v>
      </c>
      <c r="C151" s="31" t="s">
        <v>58</v>
      </c>
      <c r="D151" s="31" t="s">
        <v>67</v>
      </c>
      <c r="E151" s="31" t="s">
        <v>51</v>
      </c>
      <c r="F151" s="31" t="s">
        <v>117</v>
      </c>
      <c r="G151" s="31" t="n">
        <v>7</v>
      </c>
      <c r="H151" s="41" t="n">
        <v>64.7</v>
      </c>
      <c r="I151" s="31" t="s">
        <v>149</v>
      </c>
      <c r="J151" s="31"/>
      <c r="K151" s="31" t="s">
        <v>150</v>
      </c>
      <c r="L151" s="45" t="n">
        <f aca="false">DATE(YEAR(B151),MONTH(B151),1)</f>
        <v>46204</v>
      </c>
      <c r="M151" s="31" t="n">
        <f aca="false">WEEKDAY(B151,2)</f>
        <v>4</v>
      </c>
      <c r="N151" s="31" t="str">
        <f aca="false">IF(G151&lt;=INDEX(Assumptions!$B$15:$B$18,MATCH(E151,Assumptions!$A$15:$A$18,0)),"Yes","No")</f>
        <v>Yes</v>
      </c>
      <c r="O151" s="31" t="str">
        <f aca="false">IF(H151="","Open",IF(H151&lt;=INDEX(Assumptions!$C$15:$C$18,MATCH(E151,Assumptions!$A$15:$A$18,0)),"Yes","No"))</f>
        <v>No</v>
      </c>
    </row>
    <row r="152" customFormat="false" ht="15" hidden="false" customHeight="false" outlineLevel="0" collapsed="false">
      <c r="A152" s="31" t="s">
        <v>302</v>
      </c>
      <c r="B152" s="44" t="n">
        <v>46205</v>
      </c>
      <c r="C152" s="31" t="s">
        <v>60</v>
      </c>
      <c r="D152" s="31" t="s">
        <v>68</v>
      </c>
      <c r="E152" s="31" t="s">
        <v>52</v>
      </c>
      <c r="F152" s="31" t="s">
        <v>122</v>
      </c>
      <c r="G152" s="31" t="n">
        <v>1</v>
      </c>
      <c r="H152" s="41" t="n">
        <v>19</v>
      </c>
      <c r="I152" s="31" t="s">
        <v>149</v>
      </c>
      <c r="J152" s="31"/>
      <c r="K152" s="31" t="s">
        <v>150</v>
      </c>
      <c r="L152" s="45" t="n">
        <f aca="false">DATE(YEAR(B152),MONTH(B152),1)</f>
        <v>46204</v>
      </c>
      <c r="M152" s="31" t="n">
        <f aca="false">WEEKDAY(B152,2)</f>
        <v>4</v>
      </c>
      <c r="N152" s="31" t="str">
        <f aca="false">IF(G152&lt;=INDEX(Assumptions!$B$15:$B$18,MATCH(E152,Assumptions!$A$15:$A$18,0)),"Yes","No")</f>
        <v>Yes</v>
      </c>
      <c r="O152" s="31" t="str">
        <f aca="false">IF(H152="","Open",IF(H152&lt;=INDEX(Assumptions!$C$15:$C$18,MATCH(E152,Assumptions!$A$15:$A$18,0)),"Yes","No"))</f>
        <v>Yes</v>
      </c>
    </row>
    <row r="153" customFormat="false" ht="15" hidden="false" customHeight="false" outlineLevel="0" collapsed="false">
      <c r="A153" s="31" t="s">
        <v>303</v>
      </c>
      <c r="B153" s="44" t="n">
        <v>46205</v>
      </c>
      <c r="C153" s="31" t="s">
        <v>57</v>
      </c>
      <c r="D153" s="31" t="s">
        <v>65</v>
      </c>
      <c r="E153" s="31" t="s">
        <v>51</v>
      </c>
      <c r="F153" s="31" t="s">
        <v>119</v>
      </c>
      <c r="G153" s="31" t="n">
        <v>6</v>
      </c>
      <c r="H153" s="41" t="n">
        <v>20.2</v>
      </c>
      <c r="I153" s="31" t="s">
        <v>149</v>
      </c>
      <c r="J153" s="31"/>
      <c r="K153" s="31" t="s">
        <v>150</v>
      </c>
      <c r="L153" s="45" t="n">
        <f aca="false">DATE(YEAR(B153),MONTH(B153),1)</f>
        <v>46204</v>
      </c>
      <c r="M153" s="31" t="n">
        <f aca="false">WEEKDAY(B153,2)</f>
        <v>4</v>
      </c>
      <c r="N153" s="31" t="str">
        <f aca="false">IF(G153&lt;=INDEX(Assumptions!$B$15:$B$18,MATCH(E153,Assumptions!$A$15:$A$18,0)),"Yes","No")</f>
        <v>Yes</v>
      </c>
      <c r="O153" s="31" t="str">
        <f aca="false">IF(H153="","Open",IF(H153&lt;=INDEX(Assumptions!$C$15:$C$18,MATCH(E153,Assumptions!$A$15:$A$18,0)),"Yes","No"))</f>
        <v>Yes</v>
      </c>
    </row>
    <row r="154" customFormat="false" ht="15" hidden="false" customHeight="false" outlineLevel="0" collapsed="false">
      <c r="A154" s="31" t="s">
        <v>304</v>
      </c>
      <c r="B154" s="44" t="n">
        <v>46205</v>
      </c>
      <c r="C154" s="31" t="s">
        <v>58</v>
      </c>
      <c r="D154" s="31" t="s">
        <v>68</v>
      </c>
      <c r="E154" s="31" t="s">
        <v>51</v>
      </c>
      <c r="F154" s="31" t="s">
        <v>117</v>
      </c>
      <c r="G154" s="31" t="n">
        <v>6</v>
      </c>
      <c r="H154" s="41" t="n">
        <v>2.2</v>
      </c>
      <c r="I154" s="31" t="s">
        <v>149</v>
      </c>
      <c r="J154" s="31"/>
      <c r="K154" s="31" t="s">
        <v>150</v>
      </c>
      <c r="L154" s="45" t="n">
        <f aca="false">DATE(YEAR(B154),MONTH(B154),1)</f>
        <v>46204</v>
      </c>
      <c r="M154" s="31" t="n">
        <f aca="false">WEEKDAY(B154,2)</f>
        <v>4</v>
      </c>
      <c r="N154" s="31" t="str">
        <f aca="false">IF(G154&lt;=INDEX(Assumptions!$B$15:$B$18,MATCH(E154,Assumptions!$A$15:$A$18,0)),"Yes","No")</f>
        <v>Yes</v>
      </c>
      <c r="O154" s="31" t="str">
        <f aca="false">IF(H154="","Open",IF(H154&lt;=INDEX(Assumptions!$C$15:$C$18,MATCH(E154,Assumptions!$A$15:$A$18,0)),"Yes","No"))</f>
        <v>Yes</v>
      </c>
    </row>
    <row r="155" customFormat="false" ht="15" hidden="false" customHeight="false" outlineLevel="0" collapsed="false">
      <c r="A155" s="31" t="s">
        <v>305</v>
      </c>
      <c r="B155" s="44" t="n">
        <v>46205</v>
      </c>
      <c r="C155" s="31" t="s">
        <v>60</v>
      </c>
      <c r="D155" s="31" t="s">
        <v>65</v>
      </c>
      <c r="E155" s="31" t="s">
        <v>50</v>
      </c>
      <c r="F155" s="31" t="s">
        <v>133</v>
      </c>
      <c r="G155" s="31" t="n">
        <v>1</v>
      </c>
      <c r="H155" s="41" t="n">
        <v>1.9</v>
      </c>
      <c r="I155" s="31" t="s">
        <v>149</v>
      </c>
      <c r="J155" s="31"/>
      <c r="K155" s="31" t="s">
        <v>150</v>
      </c>
      <c r="L155" s="45" t="n">
        <f aca="false">DATE(YEAR(B155),MONTH(B155),1)</f>
        <v>46204</v>
      </c>
      <c r="M155" s="31" t="n">
        <f aca="false">WEEKDAY(B155,2)</f>
        <v>4</v>
      </c>
      <c r="N155" s="31" t="str">
        <f aca="false">IF(G155&lt;=INDEX(Assumptions!$B$15:$B$18,MATCH(E155,Assumptions!$A$15:$A$18,0)),"Yes","No")</f>
        <v>Yes</v>
      </c>
      <c r="O155" s="31" t="str">
        <f aca="false">IF(H155="","Open",IF(H155&lt;=INDEX(Assumptions!$C$15:$C$18,MATCH(E155,Assumptions!$A$15:$A$18,0)),"Yes","No"))</f>
        <v>Yes</v>
      </c>
    </row>
    <row r="156" customFormat="false" ht="15" hidden="false" customHeight="false" outlineLevel="0" collapsed="false">
      <c r="A156" s="31" t="s">
        <v>306</v>
      </c>
      <c r="B156" s="44" t="n">
        <v>46205</v>
      </c>
      <c r="C156" s="31" t="s">
        <v>60</v>
      </c>
      <c r="D156" s="31" t="s">
        <v>65</v>
      </c>
      <c r="E156" s="31" t="s">
        <v>51</v>
      </c>
      <c r="F156" s="31" t="s">
        <v>127</v>
      </c>
      <c r="G156" s="31" t="n">
        <v>2</v>
      </c>
      <c r="H156" s="41" t="n">
        <v>13.2</v>
      </c>
      <c r="I156" s="31" t="s">
        <v>149</v>
      </c>
      <c r="J156" s="31"/>
      <c r="K156" s="31" t="s">
        <v>150</v>
      </c>
      <c r="L156" s="45" t="n">
        <f aca="false">DATE(YEAR(B156),MONTH(B156),1)</f>
        <v>46204</v>
      </c>
      <c r="M156" s="31" t="n">
        <f aca="false">WEEKDAY(B156,2)</f>
        <v>4</v>
      </c>
      <c r="N156" s="31" t="str">
        <f aca="false">IF(G156&lt;=INDEX(Assumptions!$B$15:$B$18,MATCH(E156,Assumptions!$A$15:$A$18,0)),"Yes","No")</f>
        <v>Yes</v>
      </c>
      <c r="O156" s="31" t="str">
        <f aca="false">IF(H156="","Open",IF(H156&lt;=INDEX(Assumptions!$C$15:$C$18,MATCH(E156,Assumptions!$A$15:$A$18,0)),"Yes","No"))</f>
        <v>Yes</v>
      </c>
    </row>
    <row r="157" customFormat="false" ht="15" hidden="false" customHeight="false" outlineLevel="0" collapsed="false">
      <c r="A157" s="31" t="s">
        <v>307</v>
      </c>
      <c r="B157" s="44" t="n">
        <v>46205</v>
      </c>
      <c r="C157" s="31" t="s">
        <v>57</v>
      </c>
      <c r="D157" s="31" t="s">
        <v>65</v>
      </c>
      <c r="E157" s="31" t="s">
        <v>50</v>
      </c>
      <c r="F157" s="31" t="s">
        <v>131</v>
      </c>
      <c r="G157" s="31" t="n">
        <v>1</v>
      </c>
      <c r="H157" s="41" t="n">
        <v>3.5</v>
      </c>
      <c r="I157" s="31" t="s">
        <v>149</v>
      </c>
      <c r="J157" s="31"/>
      <c r="K157" s="31" t="s">
        <v>150</v>
      </c>
      <c r="L157" s="45" t="n">
        <f aca="false">DATE(YEAR(B157),MONTH(B157),1)</f>
        <v>46204</v>
      </c>
      <c r="M157" s="31" t="n">
        <f aca="false">WEEKDAY(B157,2)</f>
        <v>4</v>
      </c>
      <c r="N157" s="31" t="str">
        <f aca="false">IF(G157&lt;=INDEX(Assumptions!$B$15:$B$18,MATCH(E157,Assumptions!$A$15:$A$18,0)),"Yes","No")</f>
        <v>Yes</v>
      </c>
      <c r="O157" s="31" t="str">
        <f aca="false">IF(H157="","Open",IF(H157&lt;=INDEX(Assumptions!$C$15:$C$18,MATCH(E157,Assumptions!$A$15:$A$18,0)),"Yes","No"))</f>
        <v>Yes</v>
      </c>
    </row>
    <row r="158" customFormat="false" ht="15" hidden="false" customHeight="false" outlineLevel="0" collapsed="false">
      <c r="A158" s="31" t="s">
        <v>308</v>
      </c>
      <c r="B158" s="44" t="n">
        <v>46205</v>
      </c>
      <c r="C158" s="31" t="s">
        <v>60</v>
      </c>
      <c r="D158" s="31" t="s">
        <v>69</v>
      </c>
      <c r="E158" s="31" t="s">
        <v>50</v>
      </c>
      <c r="F158" s="31" t="s">
        <v>122</v>
      </c>
      <c r="G158" s="31" t="n">
        <v>1</v>
      </c>
      <c r="H158" s="41" t="n">
        <v>8.2</v>
      </c>
      <c r="I158" s="31" t="s">
        <v>149</v>
      </c>
      <c r="J158" s="31" t="n">
        <v>3</v>
      </c>
      <c r="K158" s="31" t="s">
        <v>150</v>
      </c>
      <c r="L158" s="45" t="n">
        <f aca="false">DATE(YEAR(B158),MONTH(B158),1)</f>
        <v>46204</v>
      </c>
      <c r="M158" s="31" t="n">
        <f aca="false">WEEKDAY(B158,2)</f>
        <v>4</v>
      </c>
      <c r="N158" s="31" t="str">
        <f aca="false">IF(G158&lt;=INDEX(Assumptions!$B$15:$B$18,MATCH(E158,Assumptions!$A$15:$A$18,0)),"Yes","No")</f>
        <v>Yes</v>
      </c>
      <c r="O158" s="31" t="str">
        <f aca="false">IF(H158="","Open",IF(H158&lt;=INDEX(Assumptions!$C$15:$C$18,MATCH(E158,Assumptions!$A$15:$A$18,0)),"Yes","No"))</f>
        <v>No</v>
      </c>
    </row>
    <row r="159" customFormat="false" ht="15" hidden="false" customHeight="false" outlineLevel="0" collapsed="false">
      <c r="A159" s="31" t="s">
        <v>309</v>
      </c>
      <c r="B159" s="44" t="n">
        <v>46205</v>
      </c>
      <c r="C159" s="31" t="s">
        <v>58</v>
      </c>
      <c r="D159" s="31" t="s">
        <v>66</v>
      </c>
      <c r="E159" s="31" t="s">
        <v>51</v>
      </c>
      <c r="F159" s="31" t="s">
        <v>131</v>
      </c>
      <c r="G159" s="31" t="n">
        <v>16</v>
      </c>
      <c r="H159" s="41" t="n">
        <v>3.9</v>
      </c>
      <c r="I159" s="31" t="s">
        <v>149</v>
      </c>
      <c r="J159" s="31"/>
      <c r="K159" s="31" t="s">
        <v>150</v>
      </c>
      <c r="L159" s="45" t="n">
        <f aca="false">DATE(YEAR(B159),MONTH(B159),1)</f>
        <v>46204</v>
      </c>
      <c r="M159" s="31" t="n">
        <f aca="false">WEEKDAY(B159,2)</f>
        <v>4</v>
      </c>
      <c r="N159" s="31" t="str">
        <f aca="false">IF(G159&lt;=INDEX(Assumptions!$B$15:$B$18,MATCH(E159,Assumptions!$A$15:$A$18,0)),"Yes","No")</f>
        <v>Yes</v>
      </c>
      <c r="O159" s="31" t="str">
        <f aca="false">IF(H159="","Open",IF(H159&lt;=INDEX(Assumptions!$C$15:$C$18,MATCH(E159,Assumptions!$A$15:$A$18,0)),"Yes","No"))</f>
        <v>Yes</v>
      </c>
    </row>
    <row r="160" customFormat="false" ht="15" hidden="false" customHeight="false" outlineLevel="0" collapsed="false">
      <c r="A160" s="31" t="s">
        <v>310</v>
      </c>
      <c r="B160" s="44" t="n">
        <v>46205</v>
      </c>
      <c r="C160" s="31" t="s">
        <v>60</v>
      </c>
      <c r="D160" s="31" t="s">
        <v>65</v>
      </c>
      <c r="E160" s="31" t="s">
        <v>52</v>
      </c>
      <c r="F160" s="31" t="s">
        <v>134</v>
      </c>
      <c r="G160" s="31" t="n">
        <v>5</v>
      </c>
      <c r="H160" s="41" t="n">
        <v>7.9</v>
      </c>
      <c r="I160" s="31" t="s">
        <v>149</v>
      </c>
      <c r="J160" s="31"/>
      <c r="K160" s="31" t="s">
        <v>150</v>
      </c>
      <c r="L160" s="45" t="n">
        <f aca="false">DATE(YEAR(B160),MONTH(B160),1)</f>
        <v>46204</v>
      </c>
      <c r="M160" s="31" t="n">
        <f aca="false">WEEKDAY(B160,2)</f>
        <v>4</v>
      </c>
      <c r="N160" s="31" t="str">
        <f aca="false">IF(G160&lt;=INDEX(Assumptions!$B$15:$B$18,MATCH(E160,Assumptions!$A$15:$A$18,0)),"Yes","No")</f>
        <v>Yes</v>
      </c>
      <c r="O160" s="31" t="str">
        <f aca="false">IF(H160="","Open",IF(H160&lt;=INDEX(Assumptions!$C$15:$C$18,MATCH(E160,Assumptions!$A$15:$A$18,0)),"Yes","No"))</f>
        <v>Yes</v>
      </c>
    </row>
    <row r="161" customFormat="false" ht="15" hidden="false" customHeight="false" outlineLevel="0" collapsed="false">
      <c r="A161" s="31" t="s">
        <v>311</v>
      </c>
      <c r="B161" s="44" t="n">
        <v>46205</v>
      </c>
      <c r="C161" s="31" t="s">
        <v>57</v>
      </c>
      <c r="D161" s="31" t="s">
        <v>65</v>
      </c>
      <c r="E161" s="31" t="s">
        <v>51</v>
      </c>
      <c r="F161" s="31" t="s">
        <v>131</v>
      </c>
      <c r="G161" s="31" t="n">
        <v>2</v>
      </c>
      <c r="H161" s="41" t="n">
        <v>15.1</v>
      </c>
      <c r="I161" s="31" t="s">
        <v>149</v>
      </c>
      <c r="J161" s="31"/>
      <c r="K161" s="31" t="s">
        <v>150</v>
      </c>
      <c r="L161" s="45" t="n">
        <f aca="false">DATE(YEAR(B161),MONTH(B161),1)</f>
        <v>46204</v>
      </c>
      <c r="M161" s="31" t="n">
        <f aca="false">WEEKDAY(B161,2)</f>
        <v>4</v>
      </c>
      <c r="N161" s="31" t="str">
        <f aca="false">IF(G161&lt;=INDEX(Assumptions!$B$15:$B$18,MATCH(E161,Assumptions!$A$15:$A$18,0)),"Yes","No")</f>
        <v>Yes</v>
      </c>
      <c r="O161" s="31" t="str">
        <f aca="false">IF(H161="","Open",IF(H161&lt;=INDEX(Assumptions!$C$15:$C$18,MATCH(E161,Assumptions!$A$15:$A$18,0)),"Yes","No"))</f>
        <v>Yes</v>
      </c>
    </row>
    <row r="162" customFormat="false" ht="15" hidden="false" customHeight="false" outlineLevel="0" collapsed="false">
      <c r="A162" s="31" t="s">
        <v>312</v>
      </c>
      <c r="B162" s="44" t="n">
        <v>46205</v>
      </c>
      <c r="C162" s="31" t="s">
        <v>57</v>
      </c>
      <c r="D162" s="31" t="s">
        <v>67</v>
      </c>
      <c r="E162" s="31" t="s">
        <v>52</v>
      </c>
      <c r="F162" s="31" t="s">
        <v>124</v>
      </c>
      <c r="G162" s="31" t="n">
        <v>9</v>
      </c>
      <c r="H162" s="41" t="n">
        <v>12.2</v>
      </c>
      <c r="I162" s="31" t="s">
        <v>149</v>
      </c>
      <c r="J162" s="31" t="n">
        <v>5</v>
      </c>
      <c r="K162" s="31" t="s">
        <v>150</v>
      </c>
      <c r="L162" s="45" t="n">
        <f aca="false">DATE(YEAR(B162),MONTH(B162),1)</f>
        <v>46204</v>
      </c>
      <c r="M162" s="31" t="n">
        <f aca="false">WEEKDAY(B162,2)</f>
        <v>4</v>
      </c>
      <c r="N162" s="31" t="str">
        <f aca="false">IF(G162&lt;=INDEX(Assumptions!$B$15:$B$18,MATCH(E162,Assumptions!$A$15:$A$18,0)),"Yes","No")</f>
        <v>Yes</v>
      </c>
      <c r="O162" s="31" t="str">
        <f aca="false">IF(H162="","Open",IF(H162&lt;=INDEX(Assumptions!$C$15:$C$18,MATCH(E162,Assumptions!$A$15:$A$18,0)),"Yes","No"))</f>
        <v>Yes</v>
      </c>
    </row>
    <row r="163" customFormat="false" ht="15" hidden="false" customHeight="false" outlineLevel="0" collapsed="false">
      <c r="A163" s="31" t="s">
        <v>313</v>
      </c>
      <c r="B163" s="44" t="n">
        <v>46205</v>
      </c>
      <c r="C163" s="31" t="s">
        <v>58</v>
      </c>
      <c r="D163" s="31" t="s">
        <v>68</v>
      </c>
      <c r="E163" s="31" t="s">
        <v>50</v>
      </c>
      <c r="F163" s="31" t="s">
        <v>129</v>
      </c>
      <c r="G163" s="31" t="n">
        <v>7</v>
      </c>
      <c r="H163" s="41" t="n">
        <v>4.5</v>
      </c>
      <c r="I163" s="31" t="s">
        <v>149</v>
      </c>
      <c r="J163" s="31"/>
      <c r="K163" s="31" t="s">
        <v>150</v>
      </c>
      <c r="L163" s="45" t="n">
        <f aca="false">DATE(YEAR(B163),MONTH(B163),1)</f>
        <v>46204</v>
      </c>
      <c r="M163" s="31" t="n">
        <f aca="false">WEEKDAY(B163,2)</f>
        <v>4</v>
      </c>
      <c r="N163" s="31" t="str">
        <f aca="false">IF(G163&lt;=INDEX(Assumptions!$B$15:$B$18,MATCH(E163,Assumptions!$A$15:$A$18,0)),"Yes","No")</f>
        <v>Yes</v>
      </c>
      <c r="O163" s="31" t="str">
        <f aca="false">IF(H163="","Open",IF(H163&lt;=INDEX(Assumptions!$C$15:$C$18,MATCH(E163,Assumptions!$A$15:$A$18,0)),"Yes","No"))</f>
        <v>Yes</v>
      </c>
    </row>
    <row r="164" customFormat="false" ht="15" hidden="false" customHeight="false" outlineLevel="0" collapsed="false">
      <c r="A164" s="31" t="s">
        <v>314</v>
      </c>
      <c r="B164" s="44" t="n">
        <v>46205</v>
      </c>
      <c r="C164" s="31" t="s">
        <v>60</v>
      </c>
      <c r="D164" s="31" t="s">
        <v>66</v>
      </c>
      <c r="E164" s="31" t="s">
        <v>51</v>
      </c>
      <c r="F164" s="31" t="s">
        <v>119</v>
      </c>
      <c r="G164" s="31" t="n">
        <v>6</v>
      </c>
      <c r="H164" s="41" t="n">
        <v>9.4</v>
      </c>
      <c r="I164" s="31" t="s">
        <v>149</v>
      </c>
      <c r="J164" s="31" t="n">
        <v>4</v>
      </c>
      <c r="K164" s="31" t="s">
        <v>150</v>
      </c>
      <c r="L164" s="45" t="n">
        <f aca="false">DATE(YEAR(B164),MONTH(B164),1)</f>
        <v>46204</v>
      </c>
      <c r="M164" s="31" t="n">
        <f aca="false">WEEKDAY(B164,2)</f>
        <v>4</v>
      </c>
      <c r="N164" s="31" t="str">
        <f aca="false">IF(G164&lt;=INDEX(Assumptions!$B$15:$B$18,MATCH(E164,Assumptions!$A$15:$A$18,0)),"Yes","No")</f>
        <v>Yes</v>
      </c>
      <c r="O164" s="31" t="str">
        <f aca="false">IF(H164="","Open",IF(H164&lt;=INDEX(Assumptions!$C$15:$C$18,MATCH(E164,Assumptions!$A$15:$A$18,0)),"Yes","No"))</f>
        <v>Yes</v>
      </c>
    </row>
    <row r="165" customFormat="false" ht="15" hidden="false" customHeight="false" outlineLevel="0" collapsed="false">
      <c r="A165" s="31" t="s">
        <v>315</v>
      </c>
      <c r="B165" s="44" t="n">
        <v>46206</v>
      </c>
      <c r="C165" s="31" t="s">
        <v>60</v>
      </c>
      <c r="D165" s="31" t="s">
        <v>65</v>
      </c>
      <c r="E165" s="31" t="s">
        <v>50</v>
      </c>
      <c r="F165" s="31" t="s">
        <v>122</v>
      </c>
      <c r="G165" s="31" t="n">
        <v>1</v>
      </c>
      <c r="H165" s="41" t="n">
        <v>5.4</v>
      </c>
      <c r="I165" s="31" t="s">
        <v>149</v>
      </c>
      <c r="J165" s="31"/>
      <c r="K165" s="31" t="s">
        <v>150</v>
      </c>
      <c r="L165" s="45" t="n">
        <f aca="false">DATE(YEAR(B165),MONTH(B165),1)</f>
        <v>46204</v>
      </c>
      <c r="M165" s="31" t="n">
        <f aca="false">WEEKDAY(B165,2)</f>
        <v>5</v>
      </c>
      <c r="N165" s="31" t="str">
        <f aca="false">IF(G165&lt;=INDEX(Assumptions!$B$15:$B$18,MATCH(E165,Assumptions!$A$15:$A$18,0)),"Yes","No")</f>
        <v>Yes</v>
      </c>
      <c r="O165" s="31" t="str">
        <f aca="false">IF(H165="","Open",IF(H165&lt;=INDEX(Assumptions!$C$15:$C$18,MATCH(E165,Assumptions!$A$15:$A$18,0)),"Yes","No"))</f>
        <v>Yes</v>
      </c>
    </row>
    <row r="166" customFormat="false" ht="15" hidden="false" customHeight="false" outlineLevel="0" collapsed="false">
      <c r="A166" s="31" t="s">
        <v>316</v>
      </c>
      <c r="B166" s="44" t="n">
        <v>46206</v>
      </c>
      <c r="C166" s="31" t="s">
        <v>59</v>
      </c>
      <c r="D166" s="31" t="s">
        <v>66</v>
      </c>
      <c r="E166" s="31" t="s">
        <v>50</v>
      </c>
      <c r="F166" s="31" t="s">
        <v>137</v>
      </c>
      <c r="G166" s="31" t="n">
        <v>18</v>
      </c>
      <c r="H166" s="41" t="n">
        <v>2.4</v>
      </c>
      <c r="I166" s="31" t="s">
        <v>149</v>
      </c>
      <c r="J166" s="31" t="n">
        <v>4</v>
      </c>
      <c r="K166" s="31" t="s">
        <v>150</v>
      </c>
      <c r="L166" s="45" t="n">
        <f aca="false">DATE(YEAR(B166),MONTH(B166),1)</f>
        <v>46204</v>
      </c>
      <c r="M166" s="31" t="n">
        <f aca="false">WEEKDAY(B166,2)</f>
        <v>5</v>
      </c>
      <c r="N166" s="31" t="str">
        <f aca="false">IF(G166&lt;=INDEX(Assumptions!$B$15:$B$18,MATCH(E166,Assumptions!$A$15:$A$18,0)),"Yes","No")</f>
        <v>Yes</v>
      </c>
      <c r="O166" s="31" t="str">
        <f aca="false">IF(H166="","Open",IF(H166&lt;=INDEX(Assumptions!$C$15:$C$18,MATCH(E166,Assumptions!$A$15:$A$18,0)),"Yes","No"))</f>
        <v>Yes</v>
      </c>
    </row>
    <row r="167" customFormat="false" ht="15" hidden="false" customHeight="false" outlineLevel="0" collapsed="false">
      <c r="A167" s="31" t="s">
        <v>317</v>
      </c>
      <c r="B167" s="44" t="n">
        <v>46206</v>
      </c>
      <c r="C167" s="31" t="s">
        <v>60</v>
      </c>
      <c r="D167" s="31" t="s">
        <v>68</v>
      </c>
      <c r="E167" s="31" t="s">
        <v>50</v>
      </c>
      <c r="F167" s="31" t="s">
        <v>117</v>
      </c>
      <c r="G167" s="31" t="n">
        <v>1</v>
      </c>
      <c r="H167" s="41" t="n">
        <v>3</v>
      </c>
      <c r="I167" s="31" t="s">
        <v>149</v>
      </c>
      <c r="J167" s="31" t="n">
        <v>5</v>
      </c>
      <c r="K167" s="31" t="s">
        <v>150</v>
      </c>
      <c r="L167" s="45" t="n">
        <f aca="false">DATE(YEAR(B167),MONTH(B167),1)</f>
        <v>46204</v>
      </c>
      <c r="M167" s="31" t="n">
        <f aca="false">WEEKDAY(B167,2)</f>
        <v>5</v>
      </c>
      <c r="N167" s="31" t="str">
        <f aca="false">IF(G167&lt;=INDEX(Assumptions!$B$15:$B$18,MATCH(E167,Assumptions!$A$15:$A$18,0)),"Yes","No")</f>
        <v>Yes</v>
      </c>
      <c r="O167" s="31" t="str">
        <f aca="false">IF(H167="","Open",IF(H167&lt;=INDEX(Assumptions!$C$15:$C$18,MATCH(E167,Assumptions!$A$15:$A$18,0)),"Yes","No"))</f>
        <v>Yes</v>
      </c>
    </row>
    <row r="168" customFormat="false" ht="15" hidden="false" customHeight="false" outlineLevel="0" collapsed="false">
      <c r="A168" s="31" t="s">
        <v>318</v>
      </c>
      <c r="B168" s="44" t="n">
        <v>46206</v>
      </c>
      <c r="C168" s="31" t="s">
        <v>59</v>
      </c>
      <c r="D168" s="31" t="s">
        <v>66</v>
      </c>
      <c r="E168" s="31" t="s">
        <v>52</v>
      </c>
      <c r="F168" s="31" t="s">
        <v>137</v>
      </c>
      <c r="G168" s="31" t="n">
        <v>60</v>
      </c>
      <c r="H168" s="41" t="n">
        <v>20.1</v>
      </c>
      <c r="I168" s="31" t="s">
        <v>149</v>
      </c>
      <c r="J168" s="31" t="n">
        <v>4</v>
      </c>
      <c r="K168" s="31" t="s">
        <v>150</v>
      </c>
      <c r="L168" s="45" t="n">
        <f aca="false">DATE(YEAR(B168),MONTH(B168),1)</f>
        <v>46204</v>
      </c>
      <c r="M168" s="31" t="n">
        <f aca="false">WEEKDAY(B168,2)</f>
        <v>5</v>
      </c>
      <c r="N168" s="31" t="str">
        <f aca="false">IF(G168&lt;=INDEX(Assumptions!$B$15:$B$18,MATCH(E168,Assumptions!$A$15:$A$18,0)),"Yes","No")</f>
        <v>Yes</v>
      </c>
      <c r="O168" s="31" t="str">
        <f aca="false">IF(H168="","Open",IF(H168&lt;=INDEX(Assumptions!$C$15:$C$18,MATCH(E168,Assumptions!$A$15:$A$18,0)),"Yes","No"))</f>
        <v>Yes</v>
      </c>
    </row>
    <row r="169" customFormat="false" ht="15" hidden="false" customHeight="false" outlineLevel="0" collapsed="false">
      <c r="A169" s="31" t="s">
        <v>319</v>
      </c>
      <c r="B169" s="44" t="n">
        <v>46206</v>
      </c>
      <c r="C169" s="31" t="s">
        <v>59</v>
      </c>
      <c r="D169" s="31" t="s">
        <v>68</v>
      </c>
      <c r="E169" s="31" t="s">
        <v>52</v>
      </c>
      <c r="F169" s="31" t="s">
        <v>117</v>
      </c>
      <c r="G169" s="31" t="n">
        <v>93</v>
      </c>
      <c r="H169" s="41" t="n">
        <v>3.9</v>
      </c>
      <c r="I169" s="31" t="s">
        <v>149</v>
      </c>
      <c r="J169" s="31" t="n">
        <v>5</v>
      </c>
      <c r="K169" s="31" t="s">
        <v>150</v>
      </c>
      <c r="L169" s="45" t="n">
        <f aca="false">DATE(YEAR(B169),MONTH(B169),1)</f>
        <v>46204</v>
      </c>
      <c r="M169" s="31" t="n">
        <f aca="false">WEEKDAY(B169,2)</f>
        <v>5</v>
      </c>
      <c r="N169" s="31" t="str">
        <f aca="false">IF(G169&lt;=INDEX(Assumptions!$B$15:$B$18,MATCH(E169,Assumptions!$A$15:$A$18,0)),"Yes","No")</f>
        <v>Yes</v>
      </c>
      <c r="O169" s="31" t="str">
        <f aca="false">IF(H169="","Open",IF(H169&lt;=INDEX(Assumptions!$C$15:$C$18,MATCH(E169,Assumptions!$A$15:$A$18,0)),"Yes","No"))</f>
        <v>Yes</v>
      </c>
    </row>
    <row r="170" customFormat="false" ht="15" hidden="false" customHeight="false" outlineLevel="0" collapsed="false">
      <c r="A170" s="31" t="s">
        <v>320</v>
      </c>
      <c r="B170" s="44" t="n">
        <v>46206</v>
      </c>
      <c r="C170" s="31" t="s">
        <v>59</v>
      </c>
      <c r="D170" s="31" t="s">
        <v>66</v>
      </c>
      <c r="E170" s="31" t="s">
        <v>52</v>
      </c>
      <c r="F170" s="31" t="s">
        <v>136</v>
      </c>
      <c r="G170" s="31" t="n">
        <v>104</v>
      </c>
      <c r="H170" s="41" t="n">
        <v>3.7</v>
      </c>
      <c r="I170" s="31" t="s">
        <v>149</v>
      </c>
      <c r="J170" s="31"/>
      <c r="K170" s="31" t="s">
        <v>150</v>
      </c>
      <c r="L170" s="45" t="n">
        <f aca="false">DATE(YEAR(B170),MONTH(B170),1)</f>
        <v>46204</v>
      </c>
      <c r="M170" s="31" t="n">
        <f aca="false">WEEKDAY(B170,2)</f>
        <v>5</v>
      </c>
      <c r="N170" s="31" t="str">
        <f aca="false">IF(G170&lt;=INDEX(Assumptions!$B$15:$B$18,MATCH(E170,Assumptions!$A$15:$A$18,0)),"Yes","No")</f>
        <v>Yes</v>
      </c>
      <c r="O170" s="31" t="str">
        <f aca="false">IF(H170="","Open",IF(H170&lt;=INDEX(Assumptions!$C$15:$C$18,MATCH(E170,Assumptions!$A$15:$A$18,0)),"Yes","No"))</f>
        <v>Yes</v>
      </c>
    </row>
    <row r="171" customFormat="false" ht="15" hidden="false" customHeight="false" outlineLevel="0" collapsed="false">
      <c r="A171" s="31" t="s">
        <v>321</v>
      </c>
      <c r="B171" s="44" t="n">
        <v>46206</v>
      </c>
      <c r="C171" s="31" t="s">
        <v>60</v>
      </c>
      <c r="D171" s="31" t="s">
        <v>69</v>
      </c>
      <c r="E171" s="31" t="s">
        <v>51</v>
      </c>
      <c r="F171" s="31" t="s">
        <v>137</v>
      </c>
      <c r="G171" s="31" t="n">
        <v>1</v>
      </c>
      <c r="H171" s="41" t="n">
        <v>14.1</v>
      </c>
      <c r="I171" s="31" t="s">
        <v>149</v>
      </c>
      <c r="J171" s="31" t="n">
        <v>4</v>
      </c>
      <c r="K171" s="31" t="s">
        <v>150</v>
      </c>
      <c r="L171" s="45" t="n">
        <f aca="false">DATE(YEAR(B171),MONTH(B171),1)</f>
        <v>46204</v>
      </c>
      <c r="M171" s="31" t="n">
        <f aca="false">WEEKDAY(B171,2)</f>
        <v>5</v>
      </c>
      <c r="N171" s="31" t="str">
        <f aca="false">IF(G171&lt;=INDEX(Assumptions!$B$15:$B$18,MATCH(E171,Assumptions!$A$15:$A$18,0)),"Yes","No")</f>
        <v>Yes</v>
      </c>
      <c r="O171" s="31" t="str">
        <f aca="false">IF(H171="","Open",IF(H171&lt;=INDEX(Assumptions!$C$15:$C$18,MATCH(E171,Assumptions!$A$15:$A$18,0)),"Yes","No"))</f>
        <v>Yes</v>
      </c>
    </row>
    <row r="172" customFormat="false" ht="15" hidden="false" customHeight="false" outlineLevel="0" collapsed="false">
      <c r="A172" s="31" t="s">
        <v>322</v>
      </c>
      <c r="B172" s="44" t="n">
        <v>46206</v>
      </c>
      <c r="C172" s="31" t="s">
        <v>57</v>
      </c>
      <c r="D172" s="31" t="s">
        <v>66</v>
      </c>
      <c r="E172" s="31" t="s">
        <v>52</v>
      </c>
      <c r="F172" s="31" t="s">
        <v>124</v>
      </c>
      <c r="G172" s="31" t="n">
        <v>14</v>
      </c>
      <c r="H172" s="41" t="n">
        <v>39.4</v>
      </c>
      <c r="I172" s="31" t="s">
        <v>64</v>
      </c>
      <c r="J172" s="31" t="n">
        <v>4</v>
      </c>
      <c r="K172" s="31" t="s">
        <v>150</v>
      </c>
      <c r="L172" s="45" t="n">
        <f aca="false">DATE(YEAR(B172),MONTH(B172),1)</f>
        <v>46204</v>
      </c>
      <c r="M172" s="31" t="n">
        <f aca="false">WEEKDAY(B172,2)</f>
        <v>5</v>
      </c>
      <c r="N172" s="31" t="str">
        <f aca="false">IF(G172&lt;=INDEX(Assumptions!$B$15:$B$18,MATCH(E172,Assumptions!$A$15:$A$18,0)),"Yes","No")</f>
        <v>Yes</v>
      </c>
      <c r="O172" s="31" t="str">
        <f aca="false">IF(H172="","Open",IF(H172&lt;=INDEX(Assumptions!$C$15:$C$18,MATCH(E172,Assumptions!$A$15:$A$18,0)),"Yes","No"))</f>
        <v>Yes</v>
      </c>
    </row>
    <row r="173" customFormat="false" ht="15" hidden="false" customHeight="false" outlineLevel="0" collapsed="false">
      <c r="A173" s="31" t="s">
        <v>323</v>
      </c>
      <c r="B173" s="44" t="n">
        <v>46206</v>
      </c>
      <c r="C173" s="31" t="s">
        <v>60</v>
      </c>
      <c r="D173" s="31" t="s">
        <v>67</v>
      </c>
      <c r="E173" s="31" t="s">
        <v>51</v>
      </c>
      <c r="F173" s="31" t="s">
        <v>130</v>
      </c>
      <c r="G173" s="31" t="n">
        <v>1</v>
      </c>
      <c r="H173" s="41" t="n">
        <v>13.7</v>
      </c>
      <c r="I173" s="31" t="s">
        <v>149</v>
      </c>
      <c r="J173" s="31"/>
      <c r="K173" s="31" t="s">
        <v>150</v>
      </c>
      <c r="L173" s="45" t="n">
        <f aca="false">DATE(YEAR(B173),MONTH(B173),1)</f>
        <v>46204</v>
      </c>
      <c r="M173" s="31" t="n">
        <f aca="false">WEEKDAY(B173,2)</f>
        <v>5</v>
      </c>
      <c r="N173" s="31" t="str">
        <f aca="false">IF(G173&lt;=INDEX(Assumptions!$B$15:$B$18,MATCH(E173,Assumptions!$A$15:$A$18,0)),"Yes","No")</f>
        <v>Yes</v>
      </c>
      <c r="O173" s="31" t="str">
        <f aca="false">IF(H173="","Open",IF(H173&lt;=INDEX(Assumptions!$C$15:$C$18,MATCH(E173,Assumptions!$A$15:$A$18,0)),"Yes","No"))</f>
        <v>Yes</v>
      </c>
    </row>
    <row r="174" customFormat="false" ht="15" hidden="false" customHeight="false" outlineLevel="0" collapsed="false">
      <c r="A174" s="31" t="s">
        <v>324</v>
      </c>
      <c r="B174" s="44" t="n">
        <v>46206</v>
      </c>
      <c r="C174" s="31" t="s">
        <v>57</v>
      </c>
      <c r="D174" s="31" t="s">
        <v>68</v>
      </c>
      <c r="E174" s="31" t="s">
        <v>52</v>
      </c>
      <c r="F174" s="31" t="s">
        <v>135</v>
      </c>
      <c r="G174" s="31" t="n">
        <v>12</v>
      </c>
      <c r="H174" s="41" t="n">
        <v>51.4</v>
      </c>
      <c r="I174" s="31" t="s">
        <v>149</v>
      </c>
      <c r="J174" s="31" t="n">
        <v>5</v>
      </c>
      <c r="K174" s="31" t="s">
        <v>150</v>
      </c>
      <c r="L174" s="45" t="n">
        <f aca="false">DATE(YEAR(B174),MONTH(B174),1)</f>
        <v>46204</v>
      </c>
      <c r="M174" s="31" t="n">
        <f aca="false">WEEKDAY(B174,2)</f>
        <v>5</v>
      </c>
      <c r="N174" s="31" t="str">
        <f aca="false">IF(G174&lt;=INDEX(Assumptions!$B$15:$B$18,MATCH(E174,Assumptions!$A$15:$A$18,0)),"Yes","No")</f>
        <v>Yes</v>
      </c>
      <c r="O174" s="31" t="str">
        <f aca="false">IF(H174="","Open",IF(H174&lt;=INDEX(Assumptions!$C$15:$C$18,MATCH(E174,Assumptions!$A$15:$A$18,0)),"Yes","No"))</f>
        <v>Yes</v>
      </c>
    </row>
    <row r="175" customFormat="false" ht="15" hidden="false" customHeight="false" outlineLevel="0" collapsed="false">
      <c r="A175" s="31" t="s">
        <v>325</v>
      </c>
      <c r="B175" s="44" t="n">
        <v>46206</v>
      </c>
      <c r="C175" s="31" t="s">
        <v>57</v>
      </c>
      <c r="D175" s="31" t="s">
        <v>67</v>
      </c>
      <c r="E175" s="31" t="s">
        <v>51</v>
      </c>
      <c r="F175" s="31" t="s">
        <v>135</v>
      </c>
      <c r="G175" s="31" t="n">
        <v>4</v>
      </c>
      <c r="H175" s="41" t="n">
        <v>35.4</v>
      </c>
      <c r="I175" s="31" t="s">
        <v>149</v>
      </c>
      <c r="J175" s="31"/>
      <c r="K175" s="31" t="s">
        <v>150</v>
      </c>
      <c r="L175" s="45" t="n">
        <f aca="false">DATE(YEAR(B175),MONTH(B175),1)</f>
        <v>46204</v>
      </c>
      <c r="M175" s="31" t="n">
        <f aca="false">WEEKDAY(B175,2)</f>
        <v>5</v>
      </c>
      <c r="N175" s="31" t="str">
        <f aca="false">IF(G175&lt;=INDEX(Assumptions!$B$15:$B$18,MATCH(E175,Assumptions!$A$15:$A$18,0)),"Yes","No")</f>
        <v>Yes</v>
      </c>
      <c r="O175" s="31" t="str">
        <f aca="false">IF(H175="","Open",IF(H175&lt;=INDEX(Assumptions!$C$15:$C$18,MATCH(E175,Assumptions!$A$15:$A$18,0)),"Yes","No"))</f>
        <v>No</v>
      </c>
    </row>
    <row r="176" customFormat="false" ht="15" hidden="false" customHeight="false" outlineLevel="0" collapsed="false">
      <c r="A176" s="31" t="s">
        <v>326</v>
      </c>
      <c r="B176" s="44" t="n">
        <v>46206</v>
      </c>
      <c r="C176" s="31" t="s">
        <v>59</v>
      </c>
      <c r="D176" s="31" t="s">
        <v>68</v>
      </c>
      <c r="E176" s="31" t="s">
        <v>52</v>
      </c>
      <c r="F176" s="31" t="s">
        <v>123</v>
      </c>
      <c r="G176" s="31" t="n">
        <v>59</v>
      </c>
      <c r="H176" s="41" t="n">
        <v>2.6</v>
      </c>
      <c r="I176" s="31" t="s">
        <v>149</v>
      </c>
      <c r="J176" s="31"/>
      <c r="K176" s="31" t="s">
        <v>150</v>
      </c>
      <c r="L176" s="45" t="n">
        <f aca="false">DATE(YEAR(B176),MONTH(B176),1)</f>
        <v>46204</v>
      </c>
      <c r="M176" s="31" t="n">
        <f aca="false">WEEKDAY(B176,2)</f>
        <v>5</v>
      </c>
      <c r="N176" s="31" t="str">
        <f aca="false">IF(G176&lt;=INDEX(Assumptions!$B$15:$B$18,MATCH(E176,Assumptions!$A$15:$A$18,0)),"Yes","No")</f>
        <v>Yes</v>
      </c>
      <c r="O176" s="31" t="str">
        <f aca="false">IF(H176="","Open",IF(H176&lt;=INDEX(Assumptions!$C$15:$C$18,MATCH(E176,Assumptions!$A$15:$A$18,0)),"Yes","No"))</f>
        <v>Yes</v>
      </c>
    </row>
    <row r="177" customFormat="false" ht="15" hidden="false" customHeight="false" outlineLevel="0" collapsed="false">
      <c r="A177" s="31" t="s">
        <v>327</v>
      </c>
      <c r="B177" s="44" t="n">
        <v>46206</v>
      </c>
      <c r="C177" s="31" t="s">
        <v>60</v>
      </c>
      <c r="D177" s="31" t="s">
        <v>66</v>
      </c>
      <c r="E177" s="31" t="s">
        <v>51</v>
      </c>
      <c r="F177" s="31" t="s">
        <v>133</v>
      </c>
      <c r="G177" s="31" t="n">
        <v>8</v>
      </c>
      <c r="H177" s="41" t="n">
        <v>13.2</v>
      </c>
      <c r="I177" s="31" t="s">
        <v>149</v>
      </c>
      <c r="J177" s="31" t="n">
        <v>5</v>
      </c>
      <c r="K177" s="31" t="s">
        <v>150</v>
      </c>
      <c r="L177" s="45" t="n">
        <f aca="false">DATE(YEAR(B177),MONTH(B177),1)</f>
        <v>46204</v>
      </c>
      <c r="M177" s="31" t="n">
        <f aca="false">WEEKDAY(B177,2)</f>
        <v>5</v>
      </c>
      <c r="N177" s="31" t="str">
        <f aca="false">IF(G177&lt;=INDEX(Assumptions!$B$15:$B$18,MATCH(E177,Assumptions!$A$15:$A$18,0)),"Yes","No")</f>
        <v>Yes</v>
      </c>
      <c r="O177" s="31" t="str">
        <f aca="false">IF(H177="","Open",IF(H177&lt;=INDEX(Assumptions!$C$15:$C$18,MATCH(E177,Assumptions!$A$15:$A$18,0)),"Yes","No"))</f>
        <v>Yes</v>
      </c>
    </row>
    <row r="178" customFormat="false" ht="15" hidden="false" customHeight="false" outlineLevel="0" collapsed="false">
      <c r="A178" s="31" t="s">
        <v>328</v>
      </c>
      <c r="B178" s="44" t="n">
        <v>46206</v>
      </c>
      <c r="C178" s="31" t="s">
        <v>57</v>
      </c>
      <c r="D178" s="31" t="s">
        <v>68</v>
      </c>
      <c r="E178" s="31" t="s">
        <v>50</v>
      </c>
      <c r="F178" s="31" t="s">
        <v>131</v>
      </c>
      <c r="G178" s="31" t="n">
        <v>1</v>
      </c>
      <c r="H178" s="41" t="n">
        <v>0.5</v>
      </c>
      <c r="I178" s="31" t="s">
        <v>149</v>
      </c>
      <c r="J178" s="31"/>
      <c r="K178" s="31" t="s">
        <v>150</v>
      </c>
      <c r="L178" s="45" t="n">
        <f aca="false">DATE(YEAR(B178),MONTH(B178),1)</f>
        <v>46204</v>
      </c>
      <c r="M178" s="31" t="n">
        <f aca="false">WEEKDAY(B178,2)</f>
        <v>5</v>
      </c>
      <c r="N178" s="31" t="str">
        <f aca="false">IF(G178&lt;=INDEX(Assumptions!$B$15:$B$18,MATCH(E178,Assumptions!$A$15:$A$18,0)),"Yes","No")</f>
        <v>Yes</v>
      </c>
      <c r="O178" s="31" t="str">
        <f aca="false">IF(H178="","Open",IF(H178&lt;=INDEX(Assumptions!$C$15:$C$18,MATCH(E178,Assumptions!$A$15:$A$18,0)),"Yes","No"))</f>
        <v>Yes</v>
      </c>
    </row>
    <row r="179" customFormat="false" ht="15" hidden="false" customHeight="false" outlineLevel="0" collapsed="false">
      <c r="A179" s="31" t="s">
        <v>329</v>
      </c>
      <c r="B179" s="44" t="n">
        <v>46206</v>
      </c>
      <c r="C179" s="31" t="s">
        <v>59</v>
      </c>
      <c r="D179" s="31" t="s">
        <v>67</v>
      </c>
      <c r="E179" s="31" t="s">
        <v>50</v>
      </c>
      <c r="F179" s="31" t="s">
        <v>128</v>
      </c>
      <c r="G179" s="31" t="n">
        <v>202</v>
      </c>
      <c r="H179" s="41" t="n">
        <v>8.9</v>
      </c>
      <c r="I179" s="31" t="s">
        <v>149</v>
      </c>
      <c r="J179" s="31"/>
      <c r="K179" s="31" t="s">
        <v>150</v>
      </c>
      <c r="L179" s="45" t="n">
        <f aca="false">DATE(YEAR(B179),MONTH(B179),1)</f>
        <v>46204</v>
      </c>
      <c r="M179" s="31" t="n">
        <f aca="false">WEEKDAY(B179,2)</f>
        <v>5</v>
      </c>
      <c r="N179" s="31" t="str">
        <f aca="false">IF(G179&lt;=INDEX(Assumptions!$B$15:$B$18,MATCH(E179,Assumptions!$A$15:$A$18,0)),"Yes","No")</f>
        <v>No</v>
      </c>
      <c r="O179" s="31" t="str">
        <f aca="false">IF(H179="","Open",IF(H179&lt;=INDEX(Assumptions!$C$15:$C$18,MATCH(E179,Assumptions!$A$15:$A$18,0)),"Yes","No"))</f>
        <v>No</v>
      </c>
    </row>
    <row r="180" customFormat="false" ht="15" hidden="false" customHeight="false" outlineLevel="0" collapsed="false">
      <c r="A180" s="31" t="s">
        <v>330</v>
      </c>
      <c r="B180" s="44" t="n">
        <v>46206</v>
      </c>
      <c r="C180" s="31" t="s">
        <v>60</v>
      </c>
      <c r="D180" s="31" t="s">
        <v>67</v>
      </c>
      <c r="E180" s="31" t="s">
        <v>51</v>
      </c>
      <c r="F180" s="31" t="s">
        <v>120</v>
      </c>
      <c r="G180" s="31" t="n">
        <v>4</v>
      </c>
      <c r="H180" s="41" t="n">
        <v>34.7</v>
      </c>
      <c r="I180" s="31" t="s">
        <v>149</v>
      </c>
      <c r="J180" s="31" t="n">
        <v>2</v>
      </c>
      <c r="K180" s="31" t="s">
        <v>150</v>
      </c>
      <c r="L180" s="45" t="n">
        <f aca="false">DATE(YEAR(B180),MONTH(B180),1)</f>
        <v>46204</v>
      </c>
      <c r="M180" s="31" t="n">
        <f aca="false">WEEKDAY(B180,2)</f>
        <v>5</v>
      </c>
      <c r="N180" s="31" t="str">
        <f aca="false">IF(G180&lt;=INDEX(Assumptions!$B$15:$B$18,MATCH(E180,Assumptions!$A$15:$A$18,0)),"Yes","No")</f>
        <v>Yes</v>
      </c>
      <c r="O180" s="31" t="str">
        <f aca="false">IF(H180="","Open",IF(H180&lt;=INDEX(Assumptions!$C$15:$C$18,MATCH(E180,Assumptions!$A$15:$A$18,0)),"Yes","No"))</f>
        <v>No</v>
      </c>
    </row>
    <row r="181" customFormat="false" ht="15" hidden="false" customHeight="false" outlineLevel="0" collapsed="false">
      <c r="A181" s="31" t="s">
        <v>331</v>
      </c>
      <c r="B181" s="44" t="n">
        <v>46206</v>
      </c>
      <c r="C181" s="31" t="s">
        <v>59</v>
      </c>
      <c r="D181" s="31" t="s">
        <v>66</v>
      </c>
      <c r="E181" s="31" t="s">
        <v>51</v>
      </c>
      <c r="F181" s="31" t="s">
        <v>136</v>
      </c>
      <c r="G181" s="31" t="n">
        <v>45</v>
      </c>
      <c r="H181" s="41" t="n">
        <v>3.5</v>
      </c>
      <c r="I181" s="31" t="s">
        <v>149</v>
      </c>
      <c r="J181" s="31"/>
      <c r="K181" s="31" t="s">
        <v>150</v>
      </c>
      <c r="L181" s="45" t="n">
        <f aca="false">DATE(YEAR(B181),MONTH(B181),1)</f>
        <v>46204</v>
      </c>
      <c r="M181" s="31" t="n">
        <f aca="false">WEEKDAY(B181,2)</f>
        <v>5</v>
      </c>
      <c r="N181" s="31" t="str">
        <f aca="false">IF(G181&lt;=INDEX(Assumptions!$B$15:$B$18,MATCH(E181,Assumptions!$A$15:$A$18,0)),"Yes","No")</f>
        <v>Yes</v>
      </c>
      <c r="O181" s="31" t="str">
        <f aca="false">IF(H181="","Open",IF(H181&lt;=INDEX(Assumptions!$C$15:$C$18,MATCH(E181,Assumptions!$A$15:$A$18,0)),"Yes","No"))</f>
        <v>Yes</v>
      </c>
    </row>
    <row r="182" customFormat="false" ht="15" hidden="false" customHeight="false" outlineLevel="0" collapsed="false">
      <c r="A182" s="31" t="s">
        <v>332</v>
      </c>
      <c r="B182" s="44" t="n">
        <v>46206</v>
      </c>
      <c r="C182" s="31" t="s">
        <v>60</v>
      </c>
      <c r="D182" s="31" t="s">
        <v>68</v>
      </c>
      <c r="E182" s="31" t="s">
        <v>51</v>
      </c>
      <c r="F182" s="31" t="s">
        <v>129</v>
      </c>
      <c r="G182" s="31" t="n">
        <v>1</v>
      </c>
      <c r="H182" s="41" t="n">
        <v>3.6</v>
      </c>
      <c r="I182" s="31" t="s">
        <v>149</v>
      </c>
      <c r="J182" s="31"/>
      <c r="K182" s="31" t="s">
        <v>150</v>
      </c>
      <c r="L182" s="45" t="n">
        <f aca="false">DATE(YEAR(B182),MONTH(B182),1)</f>
        <v>46204</v>
      </c>
      <c r="M182" s="31" t="n">
        <f aca="false">WEEKDAY(B182,2)</f>
        <v>5</v>
      </c>
      <c r="N182" s="31" t="str">
        <f aca="false">IF(G182&lt;=INDEX(Assumptions!$B$15:$B$18,MATCH(E182,Assumptions!$A$15:$A$18,0)),"Yes","No")</f>
        <v>Yes</v>
      </c>
      <c r="O182" s="31" t="str">
        <f aca="false">IF(H182="","Open",IF(H182&lt;=INDEX(Assumptions!$C$15:$C$18,MATCH(E182,Assumptions!$A$15:$A$18,0)),"Yes","No"))</f>
        <v>Yes</v>
      </c>
    </row>
    <row r="183" customFormat="false" ht="15" hidden="false" customHeight="false" outlineLevel="0" collapsed="false">
      <c r="A183" s="31" t="s">
        <v>333</v>
      </c>
      <c r="B183" s="44" t="n">
        <v>46206</v>
      </c>
      <c r="C183" s="31" t="s">
        <v>57</v>
      </c>
      <c r="D183" s="31" t="s">
        <v>65</v>
      </c>
      <c r="E183" s="31" t="s">
        <v>50</v>
      </c>
      <c r="F183" s="31" t="s">
        <v>133</v>
      </c>
      <c r="G183" s="31" t="n">
        <v>6</v>
      </c>
      <c r="H183" s="41" t="n">
        <v>3.7</v>
      </c>
      <c r="I183" s="31" t="s">
        <v>149</v>
      </c>
      <c r="J183" s="31" t="n">
        <v>4</v>
      </c>
      <c r="K183" s="31" t="s">
        <v>150</v>
      </c>
      <c r="L183" s="45" t="n">
        <f aca="false">DATE(YEAR(B183),MONTH(B183),1)</f>
        <v>46204</v>
      </c>
      <c r="M183" s="31" t="n">
        <f aca="false">WEEKDAY(B183,2)</f>
        <v>5</v>
      </c>
      <c r="N183" s="31" t="str">
        <f aca="false">IF(G183&lt;=INDEX(Assumptions!$B$15:$B$18,MATCH(E183,Assumptions!$A$15:$A$18,0)),"Yes","No")</f>
        <v>Yes</v>
      </c>
      <c r="O183" s="31" t="str">
        <f aca="false">IF(H183="","Open",IF(H183&lt;=INDEX(Assumptions!$C$15:$C$18,MATCH(E183,Assumptions!$A$15:$A$18,0)),"Yes","No"))</f>
        <v>Yes</v>
      </c>
    </row>
    <row r="184" customFormat="false" ht="15" hidden="false" customHeight="false" outlineLevel="0" collapsed="false">
      <c r="A184" s="31" t="s">
        <v>334</v>
      </c>
      <c r="B184" s="44" t="n">
        <v>46206</v>
      </c>
      <c r="C184" s="31" t="s">
        <v>60</v>
      </c>
      <c r="D184" s="31" t="s">
        <v>69</v>
      </c>
      <c r="E184" s="31" t="s">
        <v>49</v>
      </c>
      <c r="F184" s="31" t="s">
        <v>124</v>
      </c>
      <c r="G184" s="31" t="n">
        <v>1</v>
      </c>
      <c r="H184" s="41" t="n">
        <v>2.4</v>
      </c>
      <c r="I184" s="31" t="s">
        <v>149</v>
      </c>
      <c r="J184" s="31"/>
      <c r="K184" s="31" t="s">
        <v>150</v>
      </c>
      <c r="L184" s="45" t="n">
        <f aca="false">DATE(YEAR(B184),MONTH(B184),1)</f>
        <v>46204</v>
      </c>
      <c r="M184" s="31" t="n">
        <f aca="false">WEEKDAY(B184,2)</f>
        <v>5</v>
      </c>
      <c r="N184" s="31" t="str">
        <f aca="false">IF(G184&lt;=INDEX(Assumptions!$B$15:$B$18,MATCH(E184,Assumptions!$A$15:$A$18,0)),"Yes","No")</f>
        <v>Yes</v>
      </c>
      <c r="O184" s="31" t="str">
        <f aca="false">IF(H184="","Open",IF(H184&lt;=INDEX(Assumptions!$C$15:$C$18,MATCH(E184,Assumptions!$A$15:$A$18,0)),"Yes","No"))</f>
        <v>Yes</v>
      </c>
    </row>
    <row r="185" customFormat="false" ht="15" hidden="false" customHeight="false" outlineLevel="0" collapsed="false">
      <c r="A185" s="31" t="s">
        <v>335</v>
      </c>
      <c r="B185" s="44" t="n">
        <v>46206</v>
      </c>
      <c r="C185" s="31" t="s">
        <v>57</v>
      </c>
      <c r="D185" s="31" t="s">
        <v>68</v>
      </c>
      <c r="E185" s="31" t="s">
        <v>51</v>
      </c>
      <c r="F185" s="31" t="s">
        <v>120</v>
      </c>
      <c r="G185" s="31" t="n">
        <v>6</v>
      </c>
      <c r="H185" s="41" t="n">
        <v>9.8</v>
      </c>
      <c r="I185" s="31" t="s">
        <v>149</v>
      </c>
      <c r="J185" s="31" t="n">
        <v>5</v>
      </c>
      <c r="K185" s="31" t="s">
        <v>153</v>
      </c>
      <c r="L185" s="45" t="n">
        <f aca="false">DATE(YEAR(B185),MONTH(B185),1)</f>
        <v>46204</v>
      </c>
      <c r="M185" s="31" t="n">
        <f aca="false">WEEKDAY(B185,2)</f>
        <v>5</v>
      </c>
      <c r="N185" s="31" t="str">
        <f aca="false">IF(G185&lt;=INDEX(Assumptions!$B$15:$B$18,MATCH(E185,Assumptions!$A$15:$A$18,0)),"Yes","No")</f>
        <v>Yes</v>
      </c>
      <c r="O185" s="31" t="str">
        <f aca="false">IF(H185="","Open",IF(H185&lt;=INDEX(Assumptions!$C$15:$C$18,MATCH(E185,Assumptions!$A$15:$A$18,0)),"Yes","No"))</f>
        <v>Yes</v>
      </c>
    </row>
    <row r="186" customFormat="false" ht="15" hidden="false" customHeight="false" outlineLevel="0" collapsed="false">
      <c r="A186" s="31" t="s">
        <v>336</v>
      </c>
      <c r="B186" s="44" t="n">
        <v>46206</v>
      </c>
      <c r="C186" s="31" t="s">
        <v>60</v>
      </c>
      <c r="D186" s="31" t="s">
        <v>66</v>
      </c>
      <c r="E186" s="31" t="s">
        <v>49</v>
      </c>
      <c r="F186" s="31" t="s">
        <v>126</v>
      </c>
      <c r="G186" s="31" t="n">
        <v>1</v>
      </c>
      <c r="H186" s="41" t="n">
        <v>2.2</v>
      </c>
      <c r="I186" s="31" t="s">
        <v>149</v>
      </c>
      <c r="J186" s="31"/>
      <c r="K186" s="31" t="s">
        <v>150</v>
      </c>
      <c r="L186" s="45" t="n">
        <f aca="false">DATE(YEAR(B186),MONTH(B186),1)</f>
        <v>46204</v>
      </c>
      <c r="M186" s="31" t="n">
        <f aca="false">WEEKDAY(B186,2)</f>
        <v>5</v>
      </c>
      <c r="N186" s="31" t="str">
        <f aca="false">IF(G186&lt;=INDEX(Assumptions!$B$15:$B$18,MATCH(E186,Assumptions!$A$15:$A$18,0)),"Yes","No")</f>
        <v>Yes</v>
      </c>
      <c r="O186" s="31" t="str">
        <f aca="false">IF(H186="","Open",IF(H186&lt;=INDEX(Assumptions!$C$15:$C$18,MATCH(E186,Assumptions!$A$15:$A$18,0)),"Yes","No"))</f>
        <v>Yes</v>
      </c>
    </row>
    <row r="187" customFormat="false" ht="15" hidden="false" customHeight="false" outlineLevel="0" collapsed="false">
      <c r="A187" s="31" t="s">
        <v>337</v>
      </c>
      <c r="B187" s="44" t="n">
        <v>46206</v>
      </c>
      <c r="C187" s="31" t="s">
        <v>58</v>
      </c>
      <c r="D187" s="31" t="s">
        <v>68</v>
      </c>
      <c r="E187" s="31" t="s">
        <v>52</v>
      </c>
      <c r="F187" s="31" t="s">
        <v>121</v>
      </c>
      <c r="G187" s="31" t="n">
        <v>24</v>
      </c>
      <c r="H187" s="41" t="n">
        <v>13.3</v>
      </c>
      <c r="I187" s="31" t="s">
        <v>149</v>
      </c>
      <c r="J187" s="31" t="n">
        <v>5</v>
      </c>
      <c r="K187" s="31" t="s">
        <v>150</v>
      </c>
      <c r="L187" s="45" t="n">
        <f aca="false">DATE(YEAR(B187),MONTH(B187),1)</f>
        <v>46204</v>
      </c>
      <c r="M187" s="31" t="n">
        <f aca="false">WEEKDAY(B187,2)</f>
        <v>5</v>
      </c>
      <c r="N187" s="31" t="str">
        <f aca="false">IF(G187&lt;=INDEX(Assumptions!$B$15:$B$18,MATCH(E187,Assumptions!$A$15:$A$18,0)),"Yes","No")</f>
        <v>Yes</v>
      </c>
      <c r="O187" s="31" t="str">
        <f aca="false">IF(H187="","Open",IF(H187&lt;=INDEX(Assumptions!$C$15:$C$18,MATCH(E187,Assumptions!$A$15:$A$18,0)),"Yes","No"))</f>
        <v>Yes</v>
      </c>
    </row>
    <row r="188" customFormat="false" ht="15" hidden="false" customHeight="false" outlineLevel="0" collapsed="false">
      <c r="A188" s="31" t="s">
        <v>338</v>
      </c>
      <c r="B188" s="44" t="n">
        <v>46206</v>
      </c>
      <c r="C188" s="31" t="s">
        <v>57</v>
      </c>
      <c r="D188" s="31" t="s">
        <v>65</v>
      </c>
      <c r="E188" s="31" t="s">
        <v>52</v>
      </c>
      <c r="F188" s="31" t="s">
        <v>135</v>
      </c>
      <c r="G188" s="31" t="n">
        <v>9</v>
      </c>
      <c r="H188" s="41" t="n">
        <v>30.5</v>
      </c>
      <c r="I188" s="31" t="s">
        <v>149</v>
      </c>
      <c r="J188" s="31"/>
      <c r="K188" s="31" t="s">
        <v>150</v>
      </c>
      <c r="L188" s="45" t="n">
        <f aca="false">DATE(YEAR(B188),MONTH(B188),1)</f>
        <v>46204</v>
      </c>
      <c r="M188" s="31" t="n">
        <f aca="false">WEEKDAY(B188,2)</f>
        <v>5</v>
      </c>
      <c r="N188" s="31" t="str">
        <f aca="false">IF(G188&lt;=INDEX(Assumptions!$B$15:$B$18,MATCH(E188,Assumptions!$A$15:$A$18,0)),"Yes","No")</f>
        <v>Yes</v>
      </c>
      <c r="O188" s="31" t="str">
        <f aca="false">IF(H188="","Open",IF(H188&lt;=INDEX(Assumptions!$C$15:$C$18,MATCH(E188,Assumptions!$A$15:$A$18,0)),"Yes","No"))</f>
        <v>Yes</v>
      </c>
    </row>
    <row r="189" customFormat="false" ht="15" hidden="false" customHeight="false" outlineLevel="0" collapsed="false">
      <c r="A189" s="31" t="s">
        <v>339</v>
      </c>
      <c r="B189" s="44" t="n">
        <v>46206</v>
      </c>
      <c r="C189" s="31" t="s">
        <v>57</v>
      </c>
      <c r="D189" s="31" t="s">
        <v>67</v>
      </c>
      <c r="E189" s="31" t="s">
        <v>50</v>
      </c>
      <c r="F189" s="31" t="s">
        <v>123</v>
      </c>
      <c r="G189" s="31" t="n">
        <v>10</v>
      </c>
      <c r="H189" s="41" t="n">
        <v>7.6</v>
      </c>
      <c r="I189" s="31" t="s">
        <v>149</v>
      </c>
      <c r="J189" s="31"/>
      <c r="K189" s="31" t="s">
        <v>150</v>
      </c>
      <c r="L189" s="45" t="n">
        <f aca="false">DATE(YEAR(B189),MONTH(B189),1)</f>
        <v>46204</v>
      </c>
      <c r="M189" s="31" t="n">
        <f aca="false">WEEKDAY(B189,2)</f>
        <v>5</v>
      </c>
      <c r="N189" s="31" t="str">
        <f aca="false">IF(G189&lt;=INDEX(Assumptions!$B$15:$B$18,MATCH(E189,Assumptions!$A$15:$A$18,0)),"Yes","No")</f>
        <v>Yes</v>
      </c>
      <c r="O189" s="31" t="str">
        <f aca="false">IF(H189="","Open",IF(H189&lt;=INDEX(Assumptions!$C$15:$C$18,MATCH(E189,Assumptions!$A$15:$A$18,0)),"Yes","No"))</f>
        <v>Yes</v>
      </c>
    </row>
    <row r="190" customFormat="false" ht="15" hidden="false" customHeight="false" outlineLevel="0" collapsed="false">
      <c r="A190" s="31" t="s">
        <v>340</v>
      </c>
      <c r="B190" s="44" t="n">
        <v>46206</v>
      </c>
      <c r="C190" s="31" t="s">
        <v>60</v>
      </c>
      <c r="D190" s="31" t="s">
        <v>65</v>
      </c>
      <c r="E190" s="31" t="s">
        <v>52</v>
      </c>
      <c r="F190" s="31" t="s">
        <v>133</v>
      </c>
      <c r="G190" s="31" t="n">
        <v>1</v>
      </c>
      <c r="H190" s="41" t="n">
        <v>28.1</v>
      </c>
      <c r="I190" s="31" t="s">
        <v>149</v>
      </c>
      <c r="J190" s="31" t="n">
        <v>5</v>
      </c>
      <c r="K190" s="31" t="s">
        <v>150</v>
      </c>
      <c r="L190" s="45" t="n">
        <f aca="false">DATE(YEAR(B190),MONTH(B190),1)</f>
        <v>46204</v>
      </c>
      <c r="M190" s="31" t="n">
        <f aca="false">WEEKDAY(B190,2)</f>
        <v>5</v>
      </c>
      <c r="N190" s="31" t="str">
        <f aca="false">IF(G190&lt;=INDEX(Assumptions!$B$15:$B$18,MATCH(E190,Assumptions!$A$15:$A$18,0)),"Yes","No")</f>
        <v>Yes</v>
      </c>
      <c r="O190" s="31" t="str">
        <f aca="false">IF(H190="","Open",IF(H190&lt;=INDEX(Assumptions!$C$15:$C$18,MATCH(E190,Assumptions!$A$15:$A$18,0)),"Yes","No"))</f>
        <v>Yes</v>
      </c>
    </row>
    <row r="191" customFormat="false" ht="15" hidden="false" customHeight="false" outlineLevel="0" collapsed="false">
      <c r="A191" s="31" t="s">
        <v>341</v>
      </c>
      <c r="B191" s="44" t="n">
        <v>46206</v>
      </c>
      <c r="C191" s="31" t="s">
        <v>58</v>
      </c>
      <c r="D191" s="31" t="s">
        <v>66</v>
      </c>
      <c r="E191" s="31" t="s">
        <v>51</v>
      </c>
      <c r="F191" s="31" t="s">
        <v>123</v>
      </c>
      <c r="G191" s="31" t="n">
        <v>14</v>
      </c>
      <c r="H191" s="41" t="n">
        <v>7.5</v>
      </c>
      <c r="I191" s="31" t="s">
        <v>149</v>
      </c>
      <c r="J191" s="31" t="n">
        <v>3</v>
      </c>
      <c r="K191" s="31" t="s">
        <v>150</v>
      </c>
      <c r="L191" s="45" t="n">
        <f aca="false">DATE(YEAR(B191),MONTH(B191),1)</f>
        <v>46204</v>
      </c>
      <c r="M191" s="31" t="n">
        <f aca="false">WEEKDAY(B191,2)</f>
        <v>5</v>
      </c>
      <c r="N191" s="31" t="str">
        <f aca="false">IF(G191&lt;=INDEX(Assumptions!$B$15:$B$18,MATCH(E191,Assumptions!$A$15:$A$18,0)),"Yes","No")</f>
        <v>Yes</v>
      </c>
      <c r="O191" s="31" t="str">
        <f aca="false">IF(H191="","Open",IF(H191&lt;=INDEX(Assumptions!$C$15:$C$18,MATCH(E191,Assumptions!$A$15:$A$18,0)),"Yes","No"))</f>
        <v>Yes</v>
      </c>
    </row>
    <row r="192" customFormat="false" ht="15" hidden="false" customHeight="false" outlineLevel="0" collapsed="false">
      <c r="A192" s="31" t="s">
        <v>342</v>
      </c>
      <c r="B192" s="44" t="n">
        <v>46206</v>
      </c>
      <c r="C192" s="31" t="s">
        <v>59</v>
      </c>
      <c r="D192" s="31" t="s">
        <v>67</v>
      </c>
      <c r="E192" s="31" t="s">
        <v>51</v>
      </c>
      <c r="F192" s="31" t="s">
        <v>124</v>
      </c>
      <c r="G192" s="31" t="n">
        <v>31</v>
      </c>
      <c r="H192" s="41" t="n">
        <v>13.4</v>
      </c>
      <c r="I192" s="31" t="s">
        <v>149</v>
      </c>
      <c r="J192" s="31"/>
      <c r="K192" s="31" t="s">
        <v>150</v>
      </c>
      <c r="L192" s="45" t="n">
        <f aca="false">DATE(YEAR(B192),MONTH(B192),1)</f>
        <v>46204</v>
      </c>
      <c r="M192" s="31" t="n">
        <f aca="false">WEEKDAY(B192,2)</f>
        <v>5</v>
      </c>
      <c r="N192" s="31" t="str">
        <f aca="false">IF(G192&lt;=INDEX(Assumptions!$B$15:$B$18,MATCH(E192,Assumptions!$A$15:$A$18,0)),"Yes","No")</f>
        <v>Yes</v>
      </c>
      <c r="O192" s="31" t="str">
        <f aca="false">IF(H192="","Open",IF(H192&lt;=INDEX(Assumptions!$C$15:$C$18,MATCH(E192,Assumptions!$A$15:$A$18,0)),"Yes","No"))</f>
        <v>Yes</v>
      </c>
    </row>
    <row r="193" customFormat="false" ht="15" hidden="false" customHeight="false" outlineLevel="0" collapsed="false">
      <c r="A193" s="31" t="s">
        <v>343</v>
      </c>
      <c r="B193" s="44" t="n">
        <v>46206</v>
      </c>
      <c r="C193" s="31" t="s">
        <v>57</v>
      </c>
      <c r="D193" s="31" t="s">
        <v>69</v>
      </c>
      <c r="E193" s="31" t="s">
        <v>52</v>
      </c>
      <c r="F193" s="31" t="s">
        <v>129</v>
      </c>
      <c r="G193" s="31" t="n">
        <v>5</v>
      </c>
      <c r="H193" s="41" t="n">
        <v>16.2</v>
      </c>
      <c r="I193" s="31" t="s">
        <v>149</v>
      </c>
      <c r="J193" s="31" t="n">
        <v>4</v>
      </c>
      <c r="K193" s="31" t="s">
        <v>150</v>
      </c>
      <c r="L193" s="45" t="n">
        <f aca="false">DATE(YEAR(B193),MONTH(B193),1)</f>
        <v>46204</v>
      </c>
      <c r="M193" s="31" t="n">
        <f aca="false">WEEKDAY(B193,2)</f>
        <v>5</v>
      </c>
      <c r="N193" s="31" t="str">
        <f aca="false">IF(G193&lt;=INDEX(Assumptions!$B$15:$B$18,MATCH(E193,Assumptions!$A$15:$A$18,0)),"Yes","No")</f>
        <v>Yes</v>
      </c>
      <c r="O193" s="31" t="str">
        <f aca="false">IF(H193="","Open",IF(H193&lt;=INDEX(Assumptions!$C$15:$C$18,MATCH(E193,Assumptions!$A$15:$A$18,0)),"Yes","No"))</f>
        <v>Yes</v>
      </c>
    </row>
    <row r="194" customFormat="false" ht="15" hidden="false" customHeight="false" outlineLevel="0" collapsed="false">
      <c r="A194" s="31" t="s">
        <v>344</v>
      </c>
      <c r="B194" s="44" t="n">
        <v>46206</v>
      </c>
      <c r="C194" s="31" t="s">
        <v>59</v>
      </c>
      <c r="D194" s="31" t="s">
        <v>65</v>
      </c>
      <c r="E194" s="31" t="s">
        <v>50</v>
      </c>
      <c r="F194" s="31" t="s">
        <v>124</v>
      </c>
      <c r="G194" s="31" t="n">
        <v>25</v>
      </c>
      <c r="H194" s="41" t="n">
        <v>3.6</v>
      </c>
      <c r="I194" s="31" t="s">
        <v>149</v>
      </c>
      <c r="J194" s="31"/>
      <c r="K194" s="31" t="s">
        <v>150</v>
      </c>
      <c r="L194" s="45" t="n">
        <f aca="false">DATE(YEAR(B194),MONTH(B194),1)</f>
        <v>46204</v>
      </c>
      <c r="M194" s="31" t="n">
        <f aca="false">WEEKDAY(B194,2)</f>
        <v>5</v>
      </c>
      <c r="N194" s="31" t="str">
        <f aca="false">IF(G194&lt;=INDEX(Assumptions!$B$15:$B$18,MATCH(E194,Assumptions!$A$15:$A$18,0)),"Yes","No")</f>
        <v>Yes</v>
      </c>
      <c r="O194" s="31" t="str">
        <f aca="false">IF(H194="","Open",IF(H194&lt;=INDEX(Assumptions!$C$15:$C$18,MATCH(E194,Assumptions!$A$15:$A$18,0)),"Yes","No"))</f>
        <v>Yes</v>
      </c>
    </row>
    <row r="195" customFormat="false" ht="15" hidden="false" customHeight="false" outlineLevel="0" collapsed="false">
      <c r="A195" s="31" t="s">
        <v>345</v>
      </c>
      <c r="B195" s="44" t="n">
        <v>46206</v>
      </c>
      <c r="C195" s="31" t="s">
        <v>57</v>
      </c>
      <c r="D195" s="31" t="s">
        <v>65</v>
      </c>
      <c r="E195" s="31" t="s">
        <v>52</v>
      </c>
      <c r="F195" s="31" t="s">
        <v>128</v>
      </c>
      <c r="G195" s="31" t="n">
        <v>6</v>
      </c>
      <c r="H195" s="41" t="n">
        <v>24.6</v>
      </c>
      <c r="I195" s="31" t="s">
        <v>149</v>
      </c>
      <c r="J195" s="31" t="n">
        <v>4</v>
      </c>
      <c r="K195" s="31" t="s">
        <v>150</v>
      </c>
      <c r="L195" s="45" t="n">
        <f aca="false">DATE(YEAR(B195),MONTH(B195),1)</f>
        <v>46204</v>
      </c>
      <c r="M195" s="31" t="n">
        <f aca="false">WEEKDAY(B195,2)</f>
        <v>5</v>
      </c>
      <c r="N195" s="31" t="str">
        <f aca="false">IF(G195&lt;=INDEX(Assumptions!$B$15:$B$18,MATCH(E195,Assumptions!$A$15:$A$18,0)),"Yes","No")</f>
        <v>Yes</v>
      </c>
      <c r="O195" s="31" t="str">
        <f aca="false">IF(H195="","Open",IF(H195&lt;=INDEX(Assumptions!$C$15:$C$18,MATCH(E195,Assumptions!$A$15:$A$18,0)),"Yes","No"))</f>
        <v>Yes</v>
      </c>
    </row>
    <row r="196" customFormat="false" ht="15" hidden="false" customHeight="false" outlineLevel="0" collapsed="false">
      <c r="A196" s="31" t="s">
        <v>346</v>
      </c>
      <c r="B196" s="44" t="n">
        <v>46206</v>
      </c>
      <c r="C196" s="31" t="s">
        <v>60</v>
      </c>
      <c r="D196" s="31" t="s">
        <v>65</v>
      </c>
      <c r="E196" s="31" t="s">
        <v>51</v>
      </c>
      <c r="F196" s="31" t="s">
        <v>126</v>
      </c>
      <c r="G196" s="31" t="n">
        <v>2</v>
      </c>
      <c r="H196" s="41" t="n">
        <v>11.7</v>
      </c>
      <c r="I196" s="31" t="s">
        <v>149</v>
      </c>
      <c r="J196" s="31"/>
      <c r="K196" s="31" t="s">
        <v>150</v>
      </c>
      <c r="L196" s="45" t="n">
        <f aca="false">DATE(YEAR(B196),MONTH(B196),1)</f>
        <v>46204</v>
      </c>
      <c r="M196" s="31" t="n">
        <f aca="false">WEEKDAY(B196,2)</f>
        <v>5</v>
      </c>
      <c r="N196" s="31" t="str">
        <f aca="false">IF(G196&lt;=INDEX(Assumptions!$B$15:$B$18,MATCH(E196,Assumptions!$A$15:$A$18,0)),"Yes","No")</f>
        <v>Yes</v>
      </c>
      <c r="O196" s="31" t="str">
        <f aca="false">IF(H196="","Open",IF(H196&lt;=INDEX(Assumptions!$C$15:$C$18,MATCH(E196,Assumptions!$A$15:$A$18,0)),"Yes","No"))</f>
        <v>Yes</v>
      </c>
    </row>
    <row r="197" customFormat="false" ht="15" hidden="false" customHeight="false" outlineLevel="0" collapsed="false">
      <c r="A197" s="31" t="s">
        <v>347</v>
      </c>
      <c r="B197" s="44" t="n">
        <v>46206</v>
      </c>
      <c r="C197" s="31" t="s">
        <v>57</v>
      </c>
      <c r="D197" s="31" t="s">
        <v>68</v>
      </c>
      <c r="E197" s="31" t="s">
        <v>52</v>
      </c>
      <c r="F197" s="31" t="s">
        <v>136</v>
      </c>
      <c r="G197" s="31" t="n">
        <v>5</v>
      </c>
      <c r="H197" s="41" t="n">
        <v>2.1</v>
      </c>
      <c r="I197" s="31" t="s">
        <v>149</v>
      </c>
      <c r="J197" s="31"/>
      <c r="K197" s="31" t="s">
        <v>150</v>
      </c>
      <c r="L197" s="45" t="n">
        <f aca="false">DATE(YEAR(B197),MONTH(B197),1)</f>
        <v>46204</v>
      </c>
      <c r="M197" s="31" t="n">
        <f aca="false">WEEKDAY(B197,2)</f>
        <v>5</v>
      </c>
      <c r="N197" s="31" t="str">
        <f aca="false">IF(G197&lt;=INDEX(Assumptions!$B$15:$B$18,MATCH(E197,Assumptions!$A$15:$A$18,0)),"Yes","No")</f>
        <v>Yes</v>
      </c>
      <c r="O197" s="31" t="str">
        <f aca="false">IF(H197="","Open",IF(H197&lt;=INDEX(Assumptions!$C$15:$C$18,MATCH(E197,Assumptions!$A$15:$A$18,0)),"Yes","No"))</f>
        <v>Yes</v>
      </c>
    </row>
    <row r="198" customFormat="false" ht="15" hidden="false" customHeight="false" outlineLevel="0" collapsed="false">
      <c r="A198" s="31" t="s">
        <v>348</v>
      </c>
      <c r="B198" s="44" t="n">
        <v>46206</v>
      </c>
      <c r="C198" s="31" t="s">
        <v>60</v>
      </c>
      <c r="D198" s="31" t="s">
        <v>67</v>
      </c>
      <c r="E198" s="31" t="s">
        <v>51</v>
      </c>
      <c r="F198" s="31" t="s">
        <v>122</v>
      </c>
      <c r="G198" s="31" t="n">
        <v>1</v>
      </c>
      <c r="H198" s="41" t="n">
        <v>6.9</v>
      </c>
      <c r="I198" s="31" t="s">
        <v>149</v>
      </c>
      <c r="J198" s="31" t="n">
        <v>4</v>
      </c>
      <c r="K198" s="31" t="s">
        <v>150</v>
      </c>
      <c r="L198" s="45" t="n">
        <f aca="false">DATE(YEAR(B198),MONTH(B198),1)</f>
        <v>46204</v>
      </c>
      <c r="M198" s="31" t="n">
        <f aca="false">WEEKDAY(B198,2)</f>
        <v>5</v>
      </c>
      <c r="N198" s="31" t="str">
        <f aca="false">IF(G198&lt;=INDEX(Assumptions!$B$15:$B$18,MATCH(E198,Assumptions!$A$15:$A$18,0)),"Yes","No")</f>
        <v>Yes</v>
      </c>
      <c r="O198" s="31" t="str">
        <f aca="false">IF(H198="","Open",IF(H198&lt;=INDEX(Assumptions!$C$15:$C$18,MATCH(E198,Assumptions!$A$15:$A$18,0)),"Yes","No"))</f>
        <v>Yes</v>
      </c>
    </row>
    <row r="199" customFormat="false" ht="15" hidden="false" customHeight="false" outlineLevel="0" collapsed="false">
      <c r="A199" s="31" t="s">
        <v>349</v>
      </c>
      <c r="B199" s="44" t="n">
        <v>46206</v>
      </c>
      <c r="C199" s="31" t="s">
        <v>59</v>
      </c>
      <c r="D199" s="31" t="s">
        <v>65</v>
      </c>
      <c r="E199" s="31" t="s">
        <v>50</v>
      </c>
      <c r="F199" s="31" t="s">
        <v>136</v>
      </c>
      <c r="G199" s="31" t="n">
        <v>13</v>
      </c>
      <c r="H199" s="41" t="n">
        <v>3.4</v>
      </c>
      <c r="I199" s="31" t="s">
        <v>149</v>
      </c>
      <c r="J199" s="31" t="n">
        <v>4</v>
      </c>
      <c r="K199" s="31" t="s">
        <v>150</v>
      </c>
      <c r="L199" s="45" t="n">
        <f aca="false">DATE(YEAR(B199),MONTH(B199),1)</f>
        <v>46204</v>
      </c>
      <c r="M199" s="31" t="n">
        <f aca="false">WEEKDAY(B199,2)</f>
        <v>5</v>
      </c>
      <c r="N199" s="31" t="str">
        <f aca="false">IF(G199&lt;=INDEX(Assumptions!$B$15:$B$18,MATCH(E199,Assumptions!$A$15:$A$18,0)),"Yes","No")</f>
        <v>Yes</v>
      </c>
      <c r="O199" s="31" t="str">
        <f aca="false">IF(H199="","Open",IF(H199&lt;=INDEX(Assumptions!$C$15:$C$18,MATCH(E199,Assumptions!$A$15:$A$18,0)),"Yes","No"))</f>
        <v>Yes</v>
      </c>
    </row>
    <row r="200" customFormat="false" ht="15" hidden="false" customHeight="false" outlineLevel="0" collapsed="false">
      <c r="A200" s="31" t="s">
        <v>350</v>
      </c>
      <c r="B200" s="44" t="n">
        <v>46206</v>
      </c>
      <c r="C200" s="31" t="s">
        <v>58</v>
      </c>
      <c r="D200" s="31" t="s">
        <v>68</v>
      </c>
      <c r="E200" s="31" t="s">
        <v>52</v>
      </c>
      <c r="F200" s="31" t="s">
        <v>123</v>
      </c>
      <c r="G200" s="31" t="n">
        <v>35</v>
      </c>
      <c r="H200" s="41" t="n">
        <v>5.4</v>
      </c>
      <c r="I200" s="31" t="s">
        <v>149</v>
      </c>
      <c r="J200" s="31" t="n">
        <v>3</v>
      </c>
      <c r="K200" s="31" t="s">
        <v>153</v>
      </c>
      <c r="L200" s="45" t="n">
        <f aca="false">DATE(YEAR(B200),MONTH(B200),1)</f>
        <v>46204</v>
      </c>
      <c r="M200" s="31" t="n">
        <f aca="false">WEEKDAY(B200,2)</f>
        <v>5</v>
      </c>
      <c r="N200" s="31" t="str">
        <f aca="false">IF(G200&lt;=INDEX(Assumptions!$B$15:$B$18,MATCH(E200,Assumptions!$A$15:$A$18,0)),"Yes","No")</f>
        <v>Yes</v>
      </c>
      <c r="O200" s="31" t="str">
        <f aca="false">IF(H200="","Open",IF(H200&lt;=INDEX(Assumptions!$C$15:$C$18,MATCH(E200,Assumptions!$A$15:$A$18,0)),"Yes","No"))</f>
        <v>Yes</v>
      </c>
    </row>
    <row r="201" customFormat="false" ht="15" hidden="false" customHeight="false" outlineLevel="0" collapsed="false">
      <c r="A201" s="31" t="s">
        <v>351</v>
      </c>
      <c r="B201" s="44" t="n">
        <v>46206</v>
      </c>
      <c r="C201" s="31" t="s">
        <v>59</v>
      </c>
      <c r="D201" s="31" t="s">
        <v>68</v>
      </c>
      <c r="E201" s="31" t="s">
        <v>52</v>
      </c>
      <c r="F201" s="31" t="s">
        <v>134</v>
      </c>
      <c r="G201" s="31" t="n">
        <v>98</v>
      </c>
      <c r="H201" s="41" t="n">
        <v>7.7</v>
      </c>
      <c r="I201" s="31" t="s">
        <v>149</v>
      </c>
      <c r="J201" s="31"/>
      <c r="K201" s="31" t="s">
        <v>150</v>
      </c>
      <c r="L201" s="45" t="n">
        <f aca="false">DATE(YEAR(B201),MONTH(B201),1)</f>
        <v>46204</v>
      </c>
      <c r="M201" s="31" t="n">
        <f aca="false">WEEKDAY(B201,2)</f>
        <v>5</v>
      </c>
      <c r="N201" s="31" t="str">
        <f aca="false">IF(G201&lt;=INDEX(Assumptions!$B$15:$B$18,MATCH(E201,Assumptions!$A$15:$A$18,0)),"Yes","No")</f>
        <v>Yes</v>
      </c>
      <c r="O201" s="31" t="str">
        <f aca="false">IF(H201="","Open",IF(H201&lt;=INDEX(Assumptions!$C$15:$C$18,MATCH(E201,Assumptions!$A$15:$A$18,0)),"Yes","No"))</f>
        <v>Yes</v>
      </c>
    </row>
    <row r="202" customFormat="false" ht="15" hidden="false" customHeight="false" outlineLevel="0" collapsed="false">
      <c r="A202" s="31" t="s">
        <v>352</v>
      </c>
      <c r="B202" s="44" t="n">
        <v>46206</v>
      </c>
      <c r="C202" s="31" t="s">
        <v>60</v>
      </c>
      <c r="D202" s="31" t="s">
        <v>68</v>
      </c>
      <c r="E202" s="31" t="s">
        <v>51</v>
      </c>
      <c r="F202" s="31" t="s">
        <v>129</v>
      </c>
      <c r="G202" s="31" t="n">
        <v>1</v>
      </c>
      <c r="H202" s="41" t="n">
        <v>12</v>
      </c>
      <c r="I202" s="31" t="s">
        <v>64</v>
      </c>
      <c r="J202" s="31"/>
      <c r="K202" s="31" t="s">
        <v>150</v>
      </c>
      <c r="L202" s="45" t="n">
        <f aca="false">DATE(YEAR(B202),MONTH(B202),1)</f>
        <v>46204</v>
      </c>
      <c r="M202" s="31" t="n">
        <f aca="false">WEEKDAY(B202,2)</f>
        <v>5</v>
      </c>
      <c r="N202" s="31" t="str">
        <f aca="false">IF(G202&lt;=INDEX(Assumptions!$B$15:$B$18,MATCH(E202,Assumptions!$A$15:$A$18,0)),"Yes","No")</f>
        <v>Yes</v>
      </c>
      <c r="O202" s="31" t="str">
        <f aca="false">IF(H202="","Open",IF(H202&lt;=INDEX(Assumptions!$C$15:$C$18,MATCH(E202,Assumptions!$A$15:$A$18,0)),"Yes","No"))</f>
        <v>Yes</v>
      </c>
    </row>
    <row r="203" customFormat="false" ht="15" hidden="false" customHeight="false" outlineLevel="0" collapsed="false">
      <c r="A203" s="31" t="s">
        <v>353</v>
      </c>
      <c r="B203" s="44" t="n">
        <v>46206</v>
      </c>
      <c r="C203" s="31" t="s">
        <v>58</v>
      </c>
      <c r="D203" s="31" t="s">
        <v>65</v>
      </c>
      <c r="E203" s="31" t="s">
        <v>52</v>
      </c>
      <c r="F203" s="31" t="s">
        <v>135</v>
      </c>
      <c r="G203" s="31" t="n">
        <v>17</v>
      </c>
      <c r="H203" s="41" t="n">
        <v>51.9</v>
      </c>
      <c r="I203" s="31" t="s">
        <v>149</v>
      </c>
      <c r="J203" s="31" t="n">
        <v>4</v>
      </c>
      <c r="K203" s="31" t="s">
        <v>150</v>
      </c>
      <c r="L203" s="45" t="n">
        <f aca="false">DATE(YEAR(B203),MONTH(B203),1)</f>
        <v>46204</v>
      </c>
      <c r="M203" s="31" t="n">
        <f aca="false">WEEKDAY(B203,2)</f>
        <v>5</v>
      </c>
      <c r="N203" s="31" t="str">
        <f aca="false">IF(G203&lt;=INDEX(Assumptions!$B$15:$B$18,MATCH(E203,Assumptions!$A$15:$A$18,0)),"Yes","No")</f>
        <v>Yes</v>
      </c>
      <c r="O203" s="31" t="str">
        <f aca="false">IF(H203="","Open",IF(H203&lt;=INDEX(Assumptions!$C$15:$C$18,MATCH(E203,Assumptions!$A$15:$A$18,0)),"Yes","No"))</f>
        <v>Yes</v>
      </c>
    </row>
    <row r="204" customFormat="false" ht="15" hidden="false" customHeight="false" outlineLevel="0" collapsed="false">
      <c r="A204" s="31" t="s">
        <v>354</v>
      </c>
      <c r="B204" s="44" t="n">
        <v>46206</v>
      </c>
      <c r="C204" s="31" t="s">
        <v>57</v>
      </c>
      <c r="D204" s="31" t="s">
        <v>67</v>
      </c>
      <c r="E204" s="31" t="s">
        <v>51</v>
      </c>
      <c r="F204" s="31" t="s">
        <v>120</v>
      </c>
      <c r="G204" s="31" t="n">
        <v>5</v>
      </c>
      <c r="H204" s="41" t="n">
        <v>45.6</v>
      </c>
      <c r="I204" s="31" t="s">
        <v>149</v>
      </c>
      <c r="J204" s="31" t="n">
        <v>4</v>
      </c>
      <c r="K204" s="31" t="s">
        <v>150</v>
      </c>
      <c r="L204" s="45" t="n">
        <f aca="false">DATE(YEAR(B204),MONTH(B204),1)</f>
        <v>46204</v>
      </c>
      <c r="M204" s="31" t="n">
        <f aca="false">WEEKDAY(B204,2)</f>
        <v>5</v>
      </c>
      <c r="N204" s="31" t="str">
        <f aca="false">IF(G204&lt;=INDEX(Assumptions!$B$15:$B$18,MATCH(E204,Assumptions!$A$15:$A$18,0)),"Yes","No")</f>
        <v>Yes</v>
      </c>
      <c r="O204" s="31" t="str">
        <f aca="false">IF(H204="","Open",IF(H204&lt;=INDEX(Assumptions!$C$15:$C$18,MATCH(E204,Assumptions!$A$15:$A$18,0)),"Yes","No"))</f>
        <v>No</v>
      </c>
    </row>
    <row r="205" customFormat="false" ht="15" hidden="false" customHeight="false" outlineLevel="0" collapsed="false">
      <c r="A205" s="31" t="s">
        <v>355</v>
      </c>
      <c r="B205" s="44" t="n">
        <v>46206</v>
      </c>
      <c r="C205" s="31" t="s">
        <v>58</v>
      </c>
      <c r="D205" s="31" t="s">
        <v>67</v>
      </c>
      <c r="E205" s="31" t="s">
        <v>49</v>
      </c>
      <c r="F205" s="31" t="s">
        <v>130</v>
      </c>
      <c r="G205" s="31" t="n">
        <v>2</v>
      </c>
      <c r="H205" s="41" t="n">
        <v>3.6</v>
      </c>
      <c r="I205" s="31" t="s">
        <v>149</v>
      </c>
      <c r="J205" s="31" t="n">
        <v>5</v>
      </c>
      <c r="K205" s="31" t="s">
        <v>150</v>
      </c>
      <c r="L205" s="45" t="n">
        <f aca="false">DATE(YEAR(B205),MONTH(B205),1)</f>
        <v>46204</v>
      </c>
      <c r="M205" s="31" t="n">
        <f aca="false">WEEKDAY(B205,2)</f>
        <v>5</v>
      </c>
      <c r="N205" s="31" t="str">
        <f aca="false">IF(G205&lt;=INDEX(Assumptions!$B$15:$B$18,MATCH(E205,Assumptions!$A$15:$A$18,0)),"Yes","No")</f>
        <v>Yes</v>
      </c>
      <c r="O205" s="31" t="str">
        <f aca="false">IF(H205="","Open",IF(H205&lt;=INDEX(Assumptions!$C$15:$C$18,MATCH(E205,Assumptions!$A$15:$A$18,0)),"Yes","No"))</f>
        <v>Yes</v>
      </c>
    </row>
    <row r="206" customFormat="false" ht="15" hidden="false" customHeight="false" outlineLevel="0" collapsed="false">
      <c r="A206" s="31" t="s">
        <v>356</v>
      </c>
      <c r="B206" s="44" t="n">
        <v>46206</v>
      </c>
      <c r="C206" s="31" t="s">
        <v>60</v>
      </c>
      <c r="D206" s="31" t="s">
        <v>67</v>
      </c>
      <c r="E206" s="31" t="s">
        <v>51</v>
      </c>
      <c r="F206" s="31" t="s">
        <v>128</v>
      </c>
      <c r="G206" s="31" t="n">
        <v>2</v>
      </c>
      <c r="H206" s="41" t="n">
        <v>39.8</v>
      </c>
      <c r="I206" s="31" t="s">
        <v>64</v>
      </c>
      <c r="J206" s="31"/>
      <c r="K206" s="31" t="s">
        <v>150</v>
      </c>
      <c r="L206" s="45" t="n">
        <f aca="false">DATE(YEAR(B206),MONTH(B206),1)</f>
        <v>46204</v>
      </c>
      <c r="M206" s="31" t="n">
        <f aca="false">WEEKDAY(B206,2)</f>
        <v>5</v>
      </c>
      <c r="N206" s="31" t="str">
        <f aca="false">IF(G206&lt;=INDEX(Assumptions!$B$15:$B$18,MATCH(E206,Assumptions!$A$15:$A$18,0)),"Yes","No")</f>
        <v>Yes</v>
      </c>
      <c r="O206" s="31" t="str">
        <f aca="false">IF(H206="","Open",IF(H206&lt;=INDEX(Assumptions!$C$15:$C$18,MATCH(E206,Assumptions!$A$15:$A$18,0)),"Yes","No"))</f>
        <v>No</v>
      </c>
    </row>
    <row r="207" customFormat="false" ht="15" hidden="false" customHeight="false" outlineLevel="0" collapsed="false">
      <c r="A207" s="31" t="s">
        <v>357</v>
      </c>
      <c r="B207" s="44" t="n">
        <v>46206</v>
      </c>
      <c r="C207" s="31" t="s">
        <v>57</v>
      </c>
      <c r="D207" s="31" t="s">
        <v>65</v>
      </c>
      <c r="E207" s="31" t="s">
        <v>51</v>
      </c>
      <c r="F207" s="31" t="s">
        <v>126</v>
      </c>
      <c r="G207" s="31" t="n">
        <v>1</v>
      </c>
      <c r="H207" s="41" t="n">
        <v>1.7</v>
      </c>
      <c r="I207" s="31" t="s">
        <v>149</v>
      </c>
      <c r="J207" s="31" t="n">
        <v>5</v>
      </c>
      <c r="K207" s="31" t="s">
        <v>150</v>
      </c>
      <c r="L207" s="45" t="n">
        <f aca="false">DATE(YEAR(B207),MONTH(B207),1)</f>
        <v>46204</v>
      </c>
      <c r="M207" s="31" t="n">
        <f aca="false">WEEKDAY(B207,2)</f>
        <v>5</v>
      </c>
      <c r="N207" s="31" t="str">
        <f aca="false">IF(G207&lt;=INDEX(Assumptions!$B$15:$B$18,MATCH(E207,Assumptions!$A$15:$A$18,0)),"Yes","No")</f>
        <v>Yes</v>
      </c>
      <c r="O207" s="31" t="str">
        <f aca="false">IF(H207="","Open",IF(H207&lt;=INDEX(Assumptions!$C$15:$C$18,MATCH(E207,Assumptions!$A$15:$A$18,0)),"Yes","No"))</f>
        <v>Yes</v>
      </c>
    </row>
    <row r="208" customFormat="false" ht="15" hidden="false" customHeight="false" outlineLevel="0" collapsed="false">
      <c r="A208" s="31" t="s">
        <v>358</v>
      </c>
      <c r="B208" s="44" t="n">
        <v>46206</v>
      </c>
      <c r="C208" s="31" t="s">
        <v>57</v>
      </c>
      <c r="D208" s="31" t="s">
        <v>68</v>
      </c>
      <c r="E208" s="31" t="s">
        <v>51</v>
      </c>
      <c r="F208" s="31" t="s">
        <v>121</v>
      </c>
      <c r="G208" s="31" t="n">
        <v>3</v>
      </c>
      <c r="H208" s="41" t="n">
        <v>19.7</v>
      </c>
      <c r="I208" s="31" t="s">
        <v>149</v>
      </c>
      <c r="J208" s="31" t="n">
        <v>3</v>
      </c>
      <c r="K208" s="31" t="s">
        <v>150</v>
      </c>
      <c r="L208" s="45" t="n">
        <f aca="false">DATE(YEAR(B208),MONTH(B208),1)</f>
        <v>46204</v>
      </c>
      <c r="M208" s="31" t="n">
        <f aca="false">WEEKDAY(B208,2)</f>
        <v>5</v>
      </c>
      <c r="N208" s="31" t="str">
        <f aca="false">IF(G208&lt;=INDEX(Assumptions!$B$15:$B$18,MATCH(E208,Assumptions!$A$15:$A$18,0)),"Yes","No")</f>
        <v>Yes</v>
      </c>
      <c r="O208" s="31" t="str">
        <f aca="false">IF(H208="","Open",IF(H208&lt;=INDEX(Assumptions!$C$15:$C$18,MATCH(E208,Assumptions!$A$15:$A$18,0)),"Yes","No"))</f>
        <v>Yes</v>
      </c>
    </row>
    <row r="209" customFormat="false" ht="15" hidden="false" customHeight="false" outlineLevel="0" collapsed="false">
      <c r="A209" s="31" t="s">
        <v>359</v>
      </c>
      <c r="B209" s="44" t="n">
        <v>46206</v>
      </c>
      <c r="C209" s="31" t="s">
        <v>60</v>
      </c>
      <c r="D209" s="31" t="s">
        <v>67</v>
      </c>
      <c r="E209" s="31" t="s">
        <v>51</v>
      </c>
      <c r="F209" s="31" t="s">
        <v>136</v>
      </c>
      <c r="G209" s="31" t="n">
        <v>1</v>
      </c>
      <c r="H209" s="41" t="n">
        <v>13.4</v>
      </c>
      <c r="I209" s="31" t="s">
        <v>64</v>
      </c>
      <c r="J209" s="31" t="n">
        <v>4</v>
      </c>
      <c r="K209" s="31" t="s">
        <v>150</v>
      </c>
      <c r="L209" s="45" t="n">
        <f aca="false">DATE(YEAR(B209),MONTH(B209),1)</f>
        <v>46204</v>
      </c>
      <c r="M209" s="31" t="n">
        <f aca="false">WEEKDAY(B209,2)</f>
        <v>5</v>
      </c>
      <c r="N209" s="31" t="str">
        <f aca="false">IF(G209&lt;=INDEX(Assumptions!$B$15:$B$18,MATCH(E209,Assumptions!$A$15:$A$18,0)),"Yes","No")</f>
        <v>Yes</v>
      </c>
      <c r="O209" s="31" t="str">
        <f aca="false">IF(H209="","Open",IF(H209&lt;=INDEX(Assumptions!$C$15:$C$18,MATCH(E209,Assumptions!$A$15:$A$18,0)),"Yes","No"))</f>
        <v>Yes</v>
      </c>
    </row>
    <row r="210" customFormat="false" ht="15" hidden="false" customHeight="false" outlineLevel="0" collapsed="false">
      <c r="A210" s="31" t="s">
        <v>360</v>
      </c>
      <c r="B210" s="44" t="n">
        <v>46206</v>
      </c>
      <c r="C210" s="31" t="s">
        <v>58</v>
      </c>
      <c r="D210" s="31" t="s">
        <v>66</v>
      </c>
      <c r="E210" s="31" t="s">
        <v>50</v>
      </c>
      <c r="F210" s="31" t="s">
        <v>136</v>
      </c>
      <c r="G210" s="31" t="n">
        <v>4</v>
      </c>
      <c r="H210" s="41" t="n">
        <v>3.1</v>
      </c>
      <c r="I210" s="31" t="s">
        <v>149</v>
      </c>
      <c r="J210" s="31" t="n">
        <v>4</v>
      </c>
      <c r="K210" s="31" t="s">
        <v>150</v>
      </c>
      <c r="L210" s="45" t="n">
        <f aca="false">DATE(YEAR(B210),MONTH(B210),1)</f>
        <v>46204</v>
      </c>
      <c r="M210" s="31" t="n">
        <f aca="false">WEEKDAY(B210,2)</f>
        <v>5</v>
      </c>
      <c r="N210" s="31" t="str">
        <f aca="false">IF(G210&lt;=INDEX(Assumptions!$B$15:$B$18,MATCH(E210,Assumptions!$A$15:$A$18,0)),"Yes","No")</f>
        <v>Yes</v>
      </c>
      <c r="O210" s="31" t="str">
        <f aca="false">IF(H210="","Open",IF(H210&lt;=INDEX(Assumptions!$C$15:$C$18,MATCH(E210,Assumptions!$A$15:$A$18,0)),"Yes","No"))</f>
        <v>Yes</v>
      </c>
    </row>
    <row r="211" customFormat="false" ht="15" hidden="false" customHeight="false" outlineLevel="0" collapsed="false">
      <c r="A211" s="31" t="s">
        <v>361</v>
      </c>
      <c r="B211" s="44" t="n">
        <v>46206</v>
      </c>
      <c r="C211" s="31" t="s">
        <v>57</v>
      </c>
      <c r="D211" s="31" t="s">
        <v>65</v>
      </c>
      <c r="E211" s="31" t="s">
        <v>52</v>
      </c>
      <c r="F211" s="31" t="s">
        <v>130</v>
      </c>
      <c r="G211" s="31" t="n">
        <v>10</v>
      </c>
      <c r="H211" s="41" t="n">
        <v>7.3</v>
      </c>
      <c r="I211" s="31" t="s">
        <v>149</v>
      </c>
      <c r="J211" s="31" t="n">
        <v>5</v>
      </c>
      <c r="K211" s="31" t="s">
        <v>150</v>
      </c>
      <c r="L211" s="45" t="n">
        <f aca="false">DATE(YEAR(B211),MONTH(B211),1)</f>
        <v>46204</v>
      </c>
      <c r="M211" s="31" t="n">
        <f aca="false">WEEKDAY(B211,2)</f>
        <v>5</v>
      </c>
      <c r="N211" s="31" t="str">
        <f aca="false">IF(G211&lt;=INDEX(Assumptions!$B$15:$B$18,MATCH(E211,Assumptions!$A$15:$A$18,0)),"Yes","No")</f>
        <v>Yes</v>
      </c>
      <c r="O211" s="31" t="str">
        <f aca="false">IF(H211="","Open",IF(H211&lt;=INDEX(Assumptions!$C$15:$C$18,MATCH(E211,Assumptions!$A$15:$A$18,0)),"Yes","No"))</f>
        <v>Yes</v>
      </c>
    </row>
    <row r="212" customFormat="false" ht="15" hidden="false" customHeight="false" outlineLevel="0" collapsed="false">
      <c r="A212" s="31" t="s">
        <v>362</v>
      </c>
      <c r="B212" s="44" t="n">
        <v>46206</v>
      </c>
      <c r="C212" s="31" t="s">
        <v>59</v>
      </c>
      <c r="D212" s="31" t="s">
        <v>68</v>
      </c>
      <c r="E212" s="31" t="s">
        <v>51</v>
      </c>
      <c r="F212" s="31" t="s">
        <v>127</v>
      </c>
      <c r="G212" s="31" t="n">
        <v>68</v>
      </c>
      <c r="H212" s="41"/>
      <c r="I212" s="31" t="s">
        <v>158</v>
      </c>
      <c r="J212" s="31"/>
      <c r="K212" s="31" t="s">
        <v>150</v>
      </c>
      <c r="L212" s="45" t="n">
        <f aca="false">DATE(YEAR(B212),MONTH(B212),1)</f>
        <v>46204</v>
      </c>
      <c r="M212" s="31" t="n">
        <f aca="false">WEEKDAY(B212,2)</f>
        <v>5</v>
      </c>
      <c r="N212" s="31" t="str">
        <f aca="false">IF(G212&lt;=INDEX(Assumptions!$B$15:$B$18,MATCH(E212,Assumptions!$A$15:$A$18,0)),"Yes","No")</f>
        <v>No</v>
      </c>
      <c r="O212" s="31" t="str">
        <f aca="false">IF(H212="","Open",IF(H212&lt;=INDEX(Assumptions!$C$15:$C$18,MATCH(E212,Assumptions!$A$15:$A$18,0)),"Yes","No"))</f>
        <v>Open</v>
      </c>
    </row>
    <row r="213" customFormat="false" ht="15" hidden="false" customHeight="false" outlineLevel="0" collapsed="false">
      <c r="A213" s="31" t="s">
        <v>363</v>
      </c>
      <c r="B213" s="44" t="n">
        <v>46206</v>
      </c>
      <c r="C213" s="31" t="s">
        <v>58</v>
      </c>
      <c r="D213" s="31" t="s">
        <v>67</v>
      </c>
      <c r="E213" s="31" t="s">
        <v>52</v>
      </c>
      <c r="F213" s="31" t="s">
        <v>122</v>
      </c>
      <c r="G213" s="31" t="n">
        <v>9</v>
      </c>
      <c r="H213" s="41" t="n">
        <v>24.1</v>
      </c>
      <c r="I213" s="31" t="s">
        <v>149</v>
      </c>
      <c r="J213" s="31"/>
      <c r="K213" s="31" t="s">
        <v>150</v>
      </c>
      <c r="L213" s="45" t="n">
        <f aca="false">DATE(YEAR(B213),MONTH(B213),1)</f>
        <v>46204</v>
      </c>
      <c r="M213" s="31" t="n">
        <f aca="false">WEEKDAY(B213,2)</f>
        <v>5</v>
      </c>
      <c r="N213" s="31" t="str">
        <f aca="false">IF(G213&lt;=INDEX(Assumptions!$B$15:$B$18,MATCH(E213,Assumptions!$A$15:$A$18,0)),"Yes","No")</f>
        <v>Yes</v>
      </c>
      <c r="O213" s="31" t="str">
        <f aca="false">IF(H213="","Open",IF(H213&lt;=INDEX(Assumptions!$C$15:$C$18,MATCH(E213,Assumptions!$A$15:$A$18,0)),"Yes","No"))</f>
        <v>Yes</v>
      </c>
    </row>
    <row r="214" customFormat="false" ht="15" hidden="false" customHeight="false" outlineLevel="0" collapsed="false">
      <c r="A214" s="31" t="s">
        <v>364</v>
      </c>
      <c r="B214" s="44" t="n">
        <v>46206</v>
      </c>
      <c r="C214" s="31" t="s">
        <v>58</v>
      </c>
      <c r="D214" s="31" t="s">
        <v>65</v>
      </c>
      <c r="E214" s="31" t="s">
        <v>50</v>
      </c>
      <c r="F214" s="31" t="s">
        <v>131</v>
      </c>
      <c r="G214" s="31" t="n">
        <v>7</v>
      </c>
      <c r="H214" s="41" t="n">
        <v>5.4</v>
      </c>
      <c r="I214" s="31" t="s">
        <v>149</v>
      </c>
      <c r="J214" s="31" t="n">
        <v>4</v>
      </c>
      <c r="K214" s="31" t="s">
        <v>150</v>
      </c>
      <c r="L214" s="45" t="n">
        <f aca="false">DATE(YEAR(B214),MONTH(B214),1)</f>
        <v>46204</v>
      </c>
      <c r="M214" s="31" t="n">
        <f aca="false">WEEKDAY(B214,2)</f>
        <v>5</v>
      </c>
      <c r="N214" s="31" t="str">
        <f aca="false">IF(G214&lt;=INDEX(Assumptions!$B$15:$B$18,MATCH(E214,Assumptions!$A$15:$A$18,0)),"Yes","No")</f>
        <v>Yes</v>
      </c>
      <c r="O214" s="31" t="str">
        <f aca="false">IF(H214="","Open",IF(H214&lt;=INDEX(Assumptions!$C$15:$C$18,MATCH(E214,Assumptions!$A$15:$A$18,0)),"Yes","No"))</f>
        <v>Yes</v>
      </c>
    </row>
    <row r="215" customFormat="false" ht="15" hidden="false" customHeight="false" outlineLevel="0" collapsed="false">
      <c r="A215" s="31" t="s">
        <v>365</v>
      </c>
      <c r="B215" s="44" t="n">
        <v>46206</v>
      </c>
      <c r="C215" s="31" t="s">
        <v>60</v>
      </c>
      <c r="D215" s="31" t="s">
        <v>67</v>
      </c>
      <c r="E215" s="31" t="s">
        <v>52</v>
      </c>
      <c r="F215" s="31" t="s">
        <v>119</v>
      </c>
      <c r="G215" s="31" t="n">
        <v>1</v>
      </c>
      <c r="H215" s="41" t="n">
        <v>13.6</v>
      </c>
      <c r="I215" s="31" t="s">
        <v>149</v>
      </c>
      <c r="J215" s="31" t="n">
        <v>4</v>
      </c>
      <c r="K215" s="31" t="s">
        <v>150</v>
      </c>
      <c r="L215" s="45" t="n">
        <f aca="false">DATE(YEAR(B215),MONTH(B215),1)</f>
        <v>46204</v>
      </c>
      <c r="M215" s="31" t="n">
        <f aca="false">WEEKDAY(B215,2)</f>
        <v>5</v>
      </c>
      <c r="N215" s="31" t="str">
        <f aca="false">IF(G215&lt;=INDEX(Assumptions!$B$15:$B$18,MATCH(E215,Assumptions!$A$15:$A$18,0)),"Yes","No")</f>
        <v>Yes</v>
      </c>
      <c r="O215" s="31" t="str">
        <f aca="false">IF(H215="","Open",IF(H215&lt;=INDEX(Assumptions!$C$15:$C$18,MATCH(E215,Assumptions!$A$15:$A$18,0)),"Yes","No"))</f>
        <v>Yes</v>
      </c>
    </row>
    <row r="216" customFormat="false" ht="15" hidden="false" customHeight="false" outlineLevel="0" collapsed="false">
      <c r="A216" s="31" t="s">
        <v>366</v>
      </c>
      <c r="B216" s="44" t="n">
        <v>46206</v>
      </c>
      <c r="C216" s="31" t="s">
        <v>59</v>
      </c>
      <c r="D216" s="31" t="s">
        <v>68</v>
      </c>
      <c r="E216" s="31" t="s">
        <v>50</v>
      </c>
      <c r="F216" s="31" t="s">
        <v>117</v>
      </c>
      <c r="G216" s="31" t="n">
        <v>14</v>
      </c>
      <c r="H216" s="41" t="n">
        <v>1.4</v>
      </c>
      <c r="I216" s="31" t="s">
        <v>149</v>
      </c>
      <c r="J216" s="31" t="n">
        <v>5</v>
      </c>
      <c r="K216" s="31" t="s">
        <v>150</v>
      </c>
      <c r="L216" s="45" t="n">
        <f aca="false">DATE(YEAR(B216),MONTH(B216),1)</f>
        <v>46204</v>
      </c>
      <c r="M216" s="31" t="n">
        <f aca="false">WEEKDAY(B216,2)</f>
        <v>5</v>
      </c>
      <c r="N216" s="31" t="str">
        <f aca="false">IF(G216&lt;=INDEX(Assumptions!$B$15:$B$18,MATCH(E216,Assumptions!$A$15:$A$18,0)),"Yes","No")</f>
        <v>Yes</v>
      </c>
      <c r="O216" s="31" t="str">
        <f aca="false">IF(H216="","Open",IF(H216&lt;=INDEX(Assumptions!$C$15:$C$18,MATCH(E216,Assumptions!$A$15:$A$18,0)),"Yes","No"))</f>
        <v>Yes</v>
      </c>
    </row>
    <row r="217" customFormat="false" ht="15" hidden="false" customHeight="false" outlineLevel="0" collapsed="false">
      <c r="A217" s="31" t="s">
        <v>367</v>
      </c>
      <c r="B217" s="44" t="n">
        <v>46206</v>
      </c>
      <c r="C217" s="31" t="s">
        <v>57</v>
      </c>
      <c r="D217" s="31" t="s">
        <v>65</v>
      </c>
      <c r="E217" s="31" t="s">
        <v>51</v>
      </c>
      <c r="F217" s="31" t="s">
        <v>135</v>
      </c>
      <c r="G217" s="31" t="n">
        <v>10</v>
      </c>
      <c r="H217" s="41" t="n">
        <v>22.8</v>
      </c>
      <c r="I217" s="31" t="s">
        <v>149</v>
      </c>
      <c r="J217" s="31" t="n">
        <v>4</v>
      </c>
      <c r="K217" s="31" t="s">
        <v>150</v>
      </c>
      <c r="L217" s="45" t="n">
        <f aca="false">DATE(YEAR(B217),MONTH(B217),1)</f>
        <v>46204</v>
      </c>
      <c r="M217" s="31" t="n">
        <f aca="false">WEEKDAY(B217,2)</f>
        <v>5</v>
      </c>
      <c r="N217" s="31" t="str">
        <f aca="false">IF(G217&lt;=INDEX(Assumptions!$B$15:$B$18,MATCH(E217,Assumptions!$A$15:$A$18,0)),"Yes","No")</f>
        <v>Yes</v>
      </c>
      <c r="O217" s="31" t="str">
        <f aca="false">IF(H217="","Open",IF(H217&lt;=INDEX(Assumptions!$C$15:$C$18,MATCH(E217,Assumptions!$A$15:$A$18,0)),"Yes","No"))</f>
        <v>Yes</v>
      </c>
    </row>
    <row r="218" customFormat="false" ht="15" hidden="false" customHeight="false" outlineLevel="0" collapsed="false">
      <c r="A218" s="31" t="s">
        <v>368</v>
      </c>
      <c r="B218" s="44" t="n">
        <v>46206</v>
      </c>
      <c r="C218" s="31" t="s">
        <v>57</v>
      </c>
      <c r="D218" s="31" t="s">
        <v>68</v>
      </c>
      <c r="E218" s="31" t="s">
        <v>51</v>
      </c>
      <c r="F218" s="31" t="s">
        <v>127</v>
      </c>
      <c r="G218" s="31" t="n">
        <v>1</v>
      </c>
      <c r="H218" s="41" t="n">
        <v>3.1</v>
      </c>
      <c r="I218" s="31" t="s">
        <v>149</v>
      </c>
      <c r="J218" s="31" t="n">
        <v>4</v>
      </c>
      <c r="K218" s="31" t="s">
        <v>150</v>
      </c>
      <c r="L218" s="45" t="n">
        <f aca="false">DATE(YEAR(B218),MONTH(B218),1)</f>
        <v>46204</v>
      </c>
      <c r="M218" s="31" t="n">
        <f aca="false">WEEKDAY(B218,2)</f>
        <v>5</v>
      </c>
      <c r="N218" s="31" t="str">
        <f aca="false">IF(G218&lt;=INDEX(Assumptions!$B$15:$B$18,MATCH(E218,Assumptions!$A$15:$A$18,0)),"Yes","No")</f>
        <v>Yes</v>
      </c>
      <c r="O218" s="31" t="str">
        <f aca="false">IF(H218="","Open",IF(H218&lt;=INDEX(Assumptions!$C$15:$C$18,MATCH(E218,Assumptions!$A$15:$A$18,0)),"Yes","No"))</f>
        <v>Yes</v>
      </c>
    </row>
    <row r="219" customFormat="false" ht="15" hidden="false" customHeight="false" outlineLevel="0" collapsed="false">
      <c r="A219" s="31" t="s">
        <v>369</v>
      </c>
      <c r="B219" s="44" t="n">
        <v>46206</v>
      </c>
      <c r="C219" s="31" t="s">
        <v>60</v>
      </c>
      <c r="D219" s="31" t="s">
        <v>69</v>
      </c>
      <c r="E219" s="31" t="s">
        <v>50</v>
      </c>
      <c r="F219" s="31" t="s">
        <v>133</v>
      </c>
      <c r="G219" s="31" t="n">
        <v>1</v>
      </c>
      <c r="H219" s="41" t="n">
        <v>0.8</v>
      </c>
      <c r="I219" s="31" t="s">
        <v>149</v>
      </c>
      <c r="J219" s="31" t="n">
        <v>4</v>
      </c>
      <c r="K219" s="31" t="s">
        <v>150</v>
      </c>
      <c r="L219" s="45" t="n">
        <f aca="false">DATE(YEAR(B219),MONTH(B219),1)</f>
        <v>46204</v>
      </c>
      <c r="M219" s="31" t="n">
        <f aca="false">WEEKDAY(B219,2)</f>
        <v>5</v>
      </c>
      <c r="N219" s="31" t="str">
        <f aca="false">IF(G219&lt;=INDEX(Assumptions!$B$15:$B$18,MATCH(E219,Assumptions!$A$15:$A$18,0)),"Yes","No")</f>
        <v>Yes</v>
      </c>
      <c r="O219" s="31" t="str">
        <f aca="false">IF(H219="","Open",IF(H219&lt;=INDEX(Assumptions!$C$15:$C$18,MATCH(E219,Assumptions!$A$15:$A$18,0)),"Yes","No"))</f>
        <v>Yes</v>
      </c>
    </row>
    <row r="220" customFormat="false" ht="15" hidden="false" customHeight="false" outlineLevel="0" collapsed="false">
      <c r="A220" s="31" t="s">
        <v>370</v>
      </c>
      <c r="B220" s="44" t="n">
        <v>46206</v>
      </c>
      <c r="C220" s="31" t="s">
        <v>59</v>
      </c>
      <c r="D220" s="31" t="s">
        <v>69</v>
      </c>
      <c r="E220" s="31" t="s">
        <v>50</v>
      </c>
      <c r="F220" s="31" t="s">
        <v>134</v>
      </c>
      <c r="G220" s="31" t="n">
        <v>92</v>
      </c>
      <c r="H220" s="41" t="n">
        <v>36.3</v>
      </c>
      <c r="I220" s="31" t="s">
        <v>149</v>
      </c>
      <c r="J220" s="31" t="n">
        <v>2</v>
      </c>
      <c r="K220" s="31" t="s">
        <v>150</v>
      </c>
      <c r="L220" s="45" t="n">
        <f aca="false">DATE(YEAR(B220),MONTH(B220),1)</f>
        <v>46204</v>
      </c>
      <c r="M220" s="31" t="n">
        <f aca="false">WEEKDAY(B220,2)</f>
        <v>5</v>
      </c>
      <c r="N220" s="31" t="str">
        <f aca="false">IF(G220&lt;=INDEX(Assumptions!$B$15:$B$18,MATCH(E220,Assumptions!$A$15:$A$18,0)),"Yes","No")</f>
        <v>No</v>
      </c>
      <c r="O220" s="31" t="str">
        <f aca="false">IF(H220="","Open",IF(H220&lt;=INDEX(Assumptions!$C$15:$C$18,MATCH(E220,Assumptions!$A$15:$A$18,0)),"Yes","No"))</f>
        <v>No</v>
      </c>
    </row>
    <row r="221" customFormat="false" ht="15" hidden="false" customHeight="false" outlineLevel="0" collapsed="false">
      <c r="A221" s="31" t="s">
        <v>371</v>
      </c>
      <c r="B221" s="44" t="n">
        <v>46206</v>
      </c>
      <c r="C221" s="31" t="s">
        <v>59</v>
      </c>
      <c r="D221" s="31" t="s">
        <v>67</v>
      </c>
      <c r="E221" s="31" t="s">
        <v>51</v>
      </c>
      <c r="F221" s="31" t="s">
        <v>126</v>
      </c>
      <c r="G221" s="31" t="n">
        <v>127</v>
      </c>
      <c r="H221" s="41" t="n">
        <v>31.9</v>
      </c>
      <c r="I221" s="31" t="s">
        <v>64</v>
      </c>
      <c r="J221" s="31" t="n">
        <v>2</v>
      </c>
      <c r="K221" s="31" t="s">
        <v>150</v>
      </c>
      <c r="L221" s="45" t="n">
        <f aca="false">DATE(YEAR(B221),MONTH(B221),1)</f>
        <v>46204</v>
      </c>
      <c r="M221" s="31" t="n">
        <f aca="false">WEEKDAY(B221,2)</f>
        <v>5</v>
      </c>
      <c r="N221" s="31" t="str">
        <f aca="false">IF(G221&lt;=INDEX(Assumptions!$B$15:$B$18,MATCH(E221,Assumptions!$A$15:$A$18,0)),"Yes","No")</f>
        <v>No</v>
      </c>
      <c r="O221" s="31" t="str">
        <f aca="false">IF(H221="","Open",IF(H221&lt;=INDEX(Assumptions!$C$15:$C$18,MATCH(E221,Assumptions!$A$15:$A$18,0)),"Yes","No"))</f>
        <v>No</v>
      </c>
    </row>
    <row r="222" customFormat="false" ht="15" hidden="false" customHeight="false" outlineLevel="0" collapsed="false">
      <c r="A222" s="31" t="s">
        <v>372</v>
      </c>
      <c r="B222" s="44" t="n">
        <v>46206</v>
      </c>
      <c r="C222" s="31" t="s">
        <v>60</v>
      </c>
      <c r="D222" s="31" t="s">
        <v>69</v>
      </c>
      <c r="E222" s="31" t="s">
        <v>52</v>
      </c>
      <c r="F222" s="31" t="s">
        <v>127</v>
      </c>
      <c r="G222" s="31" t="n">
        <v>2</v>
      </c>
      <c r="H222" s="41" t="n">
        <v>39.8</v>
      </c>
      <c r="I222" s="31" t="s">
        <v>149</v>
      </c>
      <c r="J222" s="31"/>
      <c r="K222" s="31" t="s">
        <v>150</v>
      </c>
      <c r="L222" s="45" t="n">
        <f aca="false">DATE(YEAR(B222),MONTH(B222),1)</f>
        <v>46204</v>
      </c>
      <c r="M222" s="31" t="n">
        <f aca="false">WEEKDAY(B222,2)</f>
        <v>5</v>
      </c>
      <c r="N222" s="31" t="str">
        <f aca="false">IF(G222&lt;=INDEX(Assumptions!$B$15:$B$18,MATCH(E222,Assumptions!$A$15:$A$18,0)),"Yes","No")</f>
        <v>Yes</v>
      </c>
      <c r="O222" s="31" t="str">
        <f aca="false">IF(H222="","Open",IF(H222&lt;=INDEX(Assumptions!$C$15:$C$18,MATCH(E222,Assumptions!$A$15:$A$18,0)),"Yes","No"))</f>
        <v>Yes</v>
      </c>
    </row>
    <row r="223" customFormat="false" ht="15" hidden="false" customHeight="false" outlineLevel="0" collapsed="false">
      <c r="A223" s="31" t="s">
        <v>373</v>
      </c>
      <c r="B223" s="44" t="n">
        <v>46206</v>
      </c>
      <c r="C223" s="31" t="s">
        <v>57</v>
      </c>
      <c r="D223" s="31" t="s">
        <v>66</v>
      </c>
      <c r="E223" s="31" t="s">
        <v>51</v>
      </c>
      <c r="F223" s="31" t="s">
        <v>122</v>
      </c>
      <c r="G223" s="31" t="n">
        <v>6</v>
      </c>
      <c r="H223" s="41" t="n">
        <v>1.8</v>
      </c>
      <c r="I223" s="31" t="s">
        <v>149</v>
      </c>
      <c r="J223" s="31"/>
      <c r="K223" s="31" t="s">
        <v>150</v>
      </c>
      <c r="L223" s="45" t="n">
        <f aca="false">DATE(YEAR(B223),MONTH(B223),1)</f>
        <v>46204</v>
      </c>
      <c r="M223" s="31" t="n">
        <f aca="false">WEEKDAY(B223,2)</f>
        <v>5</v>
      </c>
      <c r="N223" s="31" t="str">
        <f aca="false">IF(G223&lt;=INDEX(Assumptions!$B$15:$B$18,MATCH(E223,Assumptions!$A$15:$A$18,0)),"Yes","No")</f>
        <v>Yes</v>
      </c>
      <c r="O223" s="31" t="str">
        <f aca="false">IF(H223="","Open",IF(H223&lt;=INDEX(Assumptions!$C$15:$C$18,MATCH(E223,Assumptions!$A$15:$A$18,0)),"Yes","No"))</f>
        <v>Yes</v>
      </c>
    </row>
    <row r="224" customFormat="false" ht="15" hidden="false" customHeight="false" outlineLevel="0" collapsed="false">
      <c r="A224" s="31" t="s">
        <v>374</v>
      </c>
      <c r="B224" s="44" t="n">
        <v>46206</v>
      </c>
      <c r="C224" s="31" t="s">
        <v>57</v>
      </c>
      <c r="D224" s="31" t="s">
        <v>67</v>
      </c>
      <c r="E224" s="31" t="s">
        <v>51</v>
      </c>
      <c r="F224" s="31" t="s">
        <v>128</v>
      </c>
      <c r="G224" s="31" t="n">
        <v>7</v>
      </c>
      <c r="H224" s="41" t="n">
        <v>18.1</v>
      </c>
      <c r="I224" s="31" t="s">
        <v>149</v>
      </c>
      <c r="J224" s="31" t="n">
        <v>3</v>
      </c>
      <c r="K224" s="31" t="s">
        <v>150</v>
      </c>
      <c r="L224" s="45" t="n">
        <f aca="false">DATE(YEAR(B224),MONTH(B224),1)</f>
        <v>46204</v>
      </c>
      <c r="M224" s="31" t="n">
        <f aca="false">WEEKDAY(B224,2)</f>
        <v>5</v>
      </c>
      <c r="N224" s="31" t="str">
        <f aca="false">IF(G224&lt;=INDEX(Assumptions!$B$15:$B$18,MATCH(E224,Assumptions!$A$15:$A$18,0)),"Yes","No")</f>
        <v>Yes</v>
      </c>
      <c r="O224" s="31" t="str">
        <f aca="false">IF(H224="","Open",IF(H224&lt;=INDEX(Assumptions!$C$15:$C$18,MATCH(E224,Assumptions!$A$15:$A$18,0)),"Yes","No"))</f>
        <v>Yes</v>
      </c>
    </row>
    <row r="225" customFormat="false" ht="15" hidden="false" customHeight="false" outlineLevel="0" collapsed="false">
      <c r="A225" s="31" t="s">
        <v>375</v>
      </c>
      <c r="B225" s="44" t="n">
        <v>46206</v>
      </c>
      <c r="C225" s="31" t="s">
        <v>57</v>
      </c>
      <c r="D225" s="31" t="s">
        <v>67</v>
      </c>
      <c r="E225" s="31" t="s">
        <v>52</v>
      </c>
      <c r="F225" s="31" t="s">
        <v>137</v>
      </c>
      <c r="G225" s="31" t="n">
        <v>23</v>
      </c>
      <c r="H225" s="41"/>
      <c r="I225" s="31" t="s">
        <v>158</v>
      </c>
      <c r="J225" s="31"/>
      <c r="K225" s="31" t="s">
        <v>150</v>
      </c>
      <c r="L225" s="45" t="n">
        <f aca="false">DATE(YEAR(B225),MONTH(B225),1)</f>
        <v>46204</v>
      </c>
      <c r="M225" s="31" t="n">
        <f aca="false">WEEKDAY(B225,2)</f>
        <v>5</v>
      </c>
      <c r="N225" s="31" t="str">
        <f aca="false">IF(G225&lt;=INDEX(Assumptions!$B$15:$B$18,MATCH(E225,Assumptions!$A$15:$A$18,0)),"Yes","No")</f>
        <v>Yes</v>
      </c>
      <c r="O225" s="31" t="str">
        <f aca="false">IF(H225="","Open",IF(H225&lt;=INDEX(Assumptions!$C$15:$C$18,MATCH(E225,Assumptions!$A$15:$A$18,0)),"Yes","No"))</f>
        <v>Open</v>
      </c>
    </row>
    <row r="226" customFormat="false" ht="15" hidden="false" customHeight="false" outlineLevel="0" collapsed="false">
      <c r="A226" s="31" t="s">
        <v>376</v>
      </c>
      <c r="B226" s="44" t="n">
        <v>46206</v>
      </c>
      <c r="C226" s="31" t="s">
        <v>59</v>
      </c>
      <c r="D226" s="31" t="s">
        <v>68</v>
      </c>
      <c r="E226" s="31" t="s">
        <v>51</v>
      </c>
      <c r="F226" s="31" t="s">
        <v>129</v>
      </c>
      <c r="G226" s="31" t="n">
        <v>34</v>
      </c>
      <c r="H226" s="41" t="n">
        <v>1.1</v>
      </c>
      <c r="I226" s="31" t="s">
        <v>149</v>
      </c>
      <c r="J226" s="31"/>
      <c r="K226" s="31" t="s">
        <v>150</v>
      </c>
      <c r="L226" s="45" t="n">
        <f aca="false">DATE(YEAR(B226),MONTH(B226),1)</f>
        <v>46204</v>
      </c>
      <c r="M226" s="31" t="n">
        <f aca="false">WEEKDAY(B226,2)</f>
        <v>5</v>
      </c>
      <c r="N226" s="31" t="str">
        <f aca="false">IF(G226&lt;=INDEX(Assumptions!$B$15:$B$18,MATCH(E226,Assumptions!$A$15:$A$18,0)),"Yes","No")</f>
        <v>Yes</v>
      </c>
      <c r="O226" s="31" t="str">
        <f aca="false">IF(H226="","Open",IF(H226&lt;=INDEX(Assumptions!$C$15:$C$18,MATCH(E226,Assumptions!$A$15:$A$18,0)),"Yes","No"))</f>
        <v>Yes</v>
      </c>
    </row>
    <row r="227" customFormat="false" ht="15" hidden="false" customHeight="false" outlineLevel="0" collapsed="false">
      <c r="A227" s="31" t="s">
        <v>377</v>
      </c>
      <c r="B227" s="44" t="n">
        <v>46206</v>
      </c>
      <c r="C227" s="31" t="s">
        <v>57</v>
      </c>
      <c r="D227" s="31" t="s">
        <v>65</v>
      </c>
      <c r="E227" s="31" t="s">
        <v>52</v>
      </c>
      <c r="F227" s="31" t="s">
        <v>124</v>
      </c>
      <c r="G227" s="31" t="n">
        <v>14</v>
      </c>
      <c r="H227" s="41" t="n">
        <v>20.9</v>
      </c>
      <c r="I227" s="31" t="s">
        <v>149</v>
      </c>
      <c r="J227" s="31" t="n">
        <v>4</v>
      </c>
      <c r="K227" s="31" t="s">
        <v>150</v>
      </c>
      <c r="L227" s="45" t="n">
        <f aca="false">DATE(YEAR(B227),MONTH(B227),1)</f>
        <v>46204</v>
      </c>
      <c r="M227" s="31" t="n">
        <f aca="false">WEEKDAY(B227,2)</f>
        <v>5</v>
      </c>
      <c r="N227" s="31" t="str">
        <f aca="false">IF(G227&lt;=INDEX(Assumptions!$B$15:$B$18,MATCH(E227,Assumptions!$A$15:$A$18,0)),"Yes","No")</f>
        <v>Yes</v>
      </c>
      <c r="O227" s="31" t="str">
        <f aca="false">IF(H227="","Open",IF(H227&lt;=INDEX(Assumptions!$C$15:$C$18,MATCH(E227,Assumptions!$A$15:$A$18,0)),"Yes","No"))</f>
        <v>Yes</v>
      </c>
    </row>
    <row r="228" customFormat="false" ht="15" hidden="false" customHeight="false" outlineLevel="0" collapsed="false">
      <c r="A228" s="31" t="s">
        <v>378</v>
      </c>
      <c r="B228" s="44" t="n">
        <v>46206</v>
      </c>
      <c r="C228" s="31" t="s">
        <v>60</v>
      </c>
      <c r="D228" s="31" t="s">
        <v>66</v>
      </c>
      <c r="E228" s="31" t="s">
        <v>51</v>
      </c>
      <c r="F228" s="31" t="s">
        <v>137</v>
      </c>
      <c r="G228" s="31" t="n">
        <v>1</v>
      </c>
      <c r="H228" s="41" t="n">
        <v>5.2</v>
      </c>
      <c r="I228" s="31" t="s">
        <v>64</v>
      </c>
      <c r="J228" s="31"/>
      <c r="K228" s="31" t="s">
        <v>150</v>
      </c>
      <c r="L228" s="45" t="n">
        <f aca="false">DATE(YEAR(B228),MONTH(B228),1)</f>
        <v>46204</v>
      </c>
      <c r="M228" s="31" t="n">
        <f aca="false">WEEKDAY(B228,2)</f>
        <v>5</v>
      </c>
      <c r="N228" s="31" t="str">
        <f aca="false">IF(G228&lt;=INDEX(Assumptions!$B$15:$B$18,MATCH(E228,Assumptions!$A$15:$A$18,0)),"Yes","No")</f>
        <v>Yes</v>
      </c>
      <c r="O228" s="31" t="str">
        <f aca="false">IF(H228="","Open",IF(H228&lt;=INDEX(Assumptions!$C$15:$C$18,MATCH(E228,Assumptions!$A$15:$A$18,0)),"Yes","No"))</f>
        <v>Yes</v>
      </c>
    </row>
    <row r="229" customFormat="false" ht="15" hidden="false" customHeight="false" outlineLevel="0" collapsed="false">
      <c r="A229" s="31" t="s">
        <v>379</v>
      </c>
      <c r="B229" s="44" t="n">
        <v>46206</v>
      </c>
      <c r="C229" s="31" t="s">
        <v>59</v>
      </c>
      <c r="D229" s="31" t="s">
        <v>68</v>
      </c>
      <c r="E229" s="31" t="s">
        <v>51</v>
      </c>
      <c r="F229" s="31" t="s">
        <v>126</v>
      </c>
      <c r="G229" s="31" t="n">
        <v>20</v>
      </c>
      <c r="H229" s="41" t="n">
        <v>4.2</v>
      </c>
      <c r="I229" s="31" t="s">
        <v>149</v>
      </c>
      <c r="J229" s="31"/>
      <c r="K229" s="31" t="s">
        <v>150</v>
      </c>
      <c r="L229" s="45" t="n">
        <f aca="false">DATE(YEAR(B229),MONTH(B229),1)</f>
        <v>46204</v>
      </c>
      <c r="M229" s="31" t="n">
        <f aca="false">WEEKDAY(B229,2)</f>
        <v>5</v>
      </c>
      <c r="N229" s="31" t="str">
        <f aca="false">IF(G229&lt;=INDEX(Assumptions!$B$15:$B$18,MATCH(E229,Assumptions!$A$15:$A$18,0)),"Yes","No")</f>
        <v>Yes</v>
      </c>
      <c r="O229" s="31" t="str">
        <f aca="false">IF(H229="","Open",IF(H229&lt;=INDEX(Assumptions!$C$15:$C$18,MATCH(E229,Assumptions!$A$15:$A$18,0)),"Yes","No"))</f>
        <v>Yes</v>
      </c>
    </row>
    <row r="230" customFormat="false" ht="15" hidden="false" customHeight="false" outlineLevel="0" collapsed="false">
      <c r="A230" s="31" t="s">
        <v>380</v>
      </c>
      <c r="B230" s="44" t="n">
        <v>46206</v>
      </c>
      <c r="C230" s="31" t="s">
        <v>59</v>
      </c>
      <c r="D230" s="31" t="s">
        <v>67</v>
      </c>
      <c r="E230" s="31" t="s">
        <v>51</v>
      </c>
      <c r="F230" s="31" t="s">
        <v>123</v>
      </c>
      <c r="G230" s="31" t="n">
        <v>65</v>
      </c>
      <c r="H230" s="41" t="n">
        <v>13.1</v>
      </c>
      <c r="I230" s="31" t="s">
        <v>149</v>
      </c>
      <c r="J230" s="31" t="n">
        <v>5</v>
      </c>
      <c r="K230" s="31" t="s">
        <v>150</v>
      </c>
      <c r="L230" s="45" t="n">
        <f aca="false">DATE(YEAR(B230),MONTH(B230),1)</f>
        <v>46204</v>
      </c>
      <c r="M230" s="31" t="n">
        <f aca="false">WEEKDAY(B230,2)</f>
        <v>5</v>
      </c>
      <c r="N230" s="31" t="str">
        <f aca="false">IF(G230&lt;=INDEX(Assumptions!$B$15:$B$18,MATCH(E230,Assumptions!$A$15:$A$18,0)),"Yes","No")</f>
        <v>No</v>
      </c>
      <c r="O230" s="31" t="str">
        <f aca="false">IF(H230="","Open",IF(H230&lt;=INDEX(Assumptions!$C$15:$C$18,MATCH(E230,Assumptions!$A$15:$A$18,0)),"Yes","No"))</f>
        <v>Yes</v>
      </c>
    </row>
    <row r="231" customFormat="false" ht="15" hidden="false" customHeight="false" outlineLevel="0" collapsed="false">
      <c r="A231" s="31" t="s">
        <v>381</v>
      </c>
      <c r="B231" s="44" t="n">
        <v>46206</v>
      </c>
      <c r="C231" s="31" t="s">
        <v>57</v>
      </c>
      <c r="D231" s="31" t="s">
        <v>69</v>
      </c>
      <c r="E231" s="31" t="s">
        <v>52</v>
      </c>
      <c r="F231" s="31" t="s">
        <v>128</v>
      </c>
      <c r="G231" s="31" t="n">
        <v>7</v>
      </c>
      <c r="H231" s="41" t="n">
        <v>9</v>
      </c>
      <c r="I231" s="31" t="s">
        <v>149</v>
      </c>
      <c r="J231" s="31"/>
      <c r="K231" s="31" t="s">
        <v>150</v>
      </c>
      <c r="L231" s="45" t="n">
        <f aca="false">DATE(YEAR(B231),MONTH(B231),1)</f>
        <v>46204</v>
      </c>
      <c r="M231" s="31" t="n">
        <f aca="false">WEEKDAY(B231,2)</f>
        <v>5</v>
      </c>
      <c r="N231" s="31" t="str">
        <f aca="false">IF(G231&lt;=INDEX(Assumptions!$B$15:$B$18,MATCH(E231,Assumptions!$A$15:$A$18,0)),"Yes","No")</f>
        <v>Yes</v>
      </c>
      <c r="O231" s="31" t="str">
        <f aca="false">IF(H231="","Open",IF(H231&lt;=INDEX(Assumptions!$C$15:$C$18,MATCH(E231,Assumptions!$A$15:$A$18,0)),"Yes","No"))</f>
        <v>Yes</v>
      </c>
    </row>
    <row r="232" customFormat="false" ht="15" hidden="false" customHeight="false" outlineLevel="0" collapsed="false">
      <c r="A232" s="31" t="s">
        <v>382</v>
      </c>
      <c r="B232" s="44" t="n">
        <v>46206</v>
      </c>
      <c r="C232" s="31" t="s">
        <v>57</v>
      </c>
      <c r="D232" s="31" t="s">
        <v>67</v>
      </c>
      <c r="E232" s="31" t="s">
        <v>50</v>
      </c>
      <c r="F232" s="31" t="s">
        <v>120</v>
      </c>
      <c r="G232" s="31" t="n">
        <v>8</v>
      </c>
      <c r="H232" s="41" t="n">
        <v>15</v>
      </c>
      <c r="I232" s="31" t="s">
        <v>149</v>
      </c>
      <c r="J232" s="31" t="n">
        <v>1</v>
      </c>
      <c r="K232" s="31" t="s">
        <v>150</v>
      </c>
      <c r="L232" s="45" t="n">
        <f aca="false">DATE(YEAR(B232),MONTH(B232),1)</f>
        <v>46204</v>
      </c>
      <c r="M232" s="31" t="n">
        <f aca="false">WEEKDAY(B232,2)</f>
        <v>5</v>
      </c>
      <c r="N232" s="31" t="str">
        <f aca="false">IF(G232&lt;=INDEX(Assumptions!$B$15:$B$18,MATCH(E232,Assumptions!$A$15:$A$18,0)),"Yes","No")</f>
        <v>Yes</v>
      </c>
      <c r="O232" s="31" t="str">
        <f aca="false">IF(H232="","Open",IF(H232&lt;=INDEX(Assumptions!$C$15:$C$18,MATCH(E232,Assumptions!$A$15:$A$18,0)),"Yes","No"))</f>
        <v>No</v>
      </c>
    </row>
    <row r="233" customFormat="false" ht="15" hidden="false" customHeight="false" outlineLevel="0" collapsed="false">
      <c r="A233" s="31" t="s">
        <v>383</v>
      </c>
      <c r="B233" s="44" t="n">
        <v>46206</v>
      </c>
      <c r="C233" s="31" t="s">
        <v>59</v>
      </c>
      <c r="D233" s="31" t="s">
        <v>67</v>
      </c>
      <c r="E233" s="31" t="s">
        <v>50</v>
      </c>
      <c r="F233" s="31" t="s">
        <v>137</v>
      </c>
      <c r="G233" s="31" t="n">
        <v>175</v>
      </c>
      <c r="H233" s="41" t="n">
        <v>7.9</v>
      </c>
      <c r="I233" s="31" t="s">
        <v>149</v>
      </c>
      <c r="J233" s="31"/>
      <c r="K233" s="31" t="s">
        <v>150</v>
      </c>
      <c r="L233" s="45" t="n">
        <f aca="false">DATE(YEAR(B233),MONTH(B233),1)</f>
        <v>46204</v>
      </c>
      <c r="M233" s="31" t="n">
        <f aca="false">WEEKDAY(B233,2)</f>
        <v>5</v>
      </c>
      <c r="N233" s="31" t="str">
        <f aca="false">IF(G233&lt;=INDEX(Assumptions!$B$15:$B$18,MATCH(E233,Assumptions!$A$15:$A$18,0)),"Yes","No")</f>
        <v>No</v>
      </c>
      <c r="O233" s="31" t="str">
        <f aca="false">IF(H233="","Open",IF(H233&lt;=INDEX(Assumptions!$C$15:$C$18,MATCH(E233,Assumptions!$A$15:$A$18,0)),"Yes","No"))</f>
        <v>Yes</v>
      </c>
    </row>
    <row r="234" customFormat="false" ht="15" hidden="false" customHeight="false" outlineLevel="0" collapsed="false">
      <c r="A234" s="31" t="s">
        <v>384</v>
      </c>
      <c r="B234" s="44" t="n">
        <v>46206</v>
      </c>
      <c r="C234" s="31" t="s">
        <v>57</v>
      </c>
      <c r="D234" s="31" t="s">
        <v>65</v>
      </c>
      <c r="E234" s="31" t="s">
        <v>50</v>
      </c>
      <c r="F234" s="31" t="s">
        <v>123</v>
      </c>
      <c r="G234" s="31" t="n">
        <v>3</v>
      </c>
      <c r="H234" s="41" t="n">
        <v>1.8</v>
      </c>
      <c r="I234" s="31" t="s">
        <v>149</v>
      </c>
      <c r="J234" s="31"/>
      <c r="K234" s="31" t="s">
        <v>153</v>
      </c>
      <c r="L234" s="45" t="n">
        <f aca="false">DATE(YEAR(B234),MONTH(B234),1)</f>
        <v>46204</v>
      </c>
      <c r="M234" s="31" t="n">
        <f aca="false">WEEKDAY(B234,2)</f>
        <v>5</v>
      </c>
      <c r="N234" s="31" t="str">
        <f aca="false">IF(G234&lt;=INDEX(Assumptions!$B$15:$B$18,MATCH(E234,Assumptions!$A$15:$A$18,0)),"Yes","No")</f>
        <v>Yes</v>
      </c>
      <c r="O234" s="31" t="str">
        <f aca="false">IF(H234="","Open",IF(H234&lt;=INDEX(Assumptions!$C$15:$C$18,MATCH(E234,Assumptions!$A$15:$A$18,0)),"Yes","No"))</f>
        <v>Yes</v>
      </c>
    </row>
    <row r="235" customFormat="false" ht="15" hidden="false" customHeight="false" outlineLevel="0" collapsed="false">
      <c r="A235" s="31" t="s">
        <v>385</v>
      </c>
      <c r="B235" s="44" t="n">
        <v>46206</v>
      </c>
      <c r="C235" s="31" t="s">
        <v>57</v>
      </c>
      <c r="D235" s="31" t="s">
        <v>68</v>
      </c>
      <c r="E235" s="31" t="s">
        <v>52</v>
      </c>
      <c r="F235" s="31" t="s">
        <v>136</v>
      </c>
      <c r="G235" s="31" t="n">
        <v>4</v>
      </c>
      <c r="H235" s="41" t="n">
        <v>10.9</v>
      </c>
      <c r="I235" s="31" t="s">
        <v>149</v>
      </c>
      <c r="J235" s="31" t="n">
        <v>5</v>
      </c>
      <c r="K235" s="31" t="s">
        <v>150</v>
      </c>
      <c r="L235" s="45" t="n">
        <f aca="false">DATE(YEAR(B235),MONTH(B235),1)</f>
        <v>46204</v>
      </c>
      <c r="M235" s="31" t="n">
        <f aca="false">WEEKDAY(B235,2)</f>
        <v>5</v>
      </c>
      <c r="N235" s="31" t="str">
        <f aca="false">IF(G235&lt;=INDEX(Assumptions!$B$15:$B$18,MATCH(E235,Assumptions!$A$15:$A$18,0)),"Yes","No")</f>
        <v>Yes</v>
      </c>
      <c r="O235" s="31" t="str">
        <f aca="false">IF(H235="","Open",IF(H235&lt;=INDEX(Assumptions!$C$15:$C$18,MATCH(E235,Assumptions!$A$15:$A$18,0)),"Yes","No"))</f>
        <v>Yes</v>
      </c>
    </row>
    <row r="236" customFormat="false" ht="15" hidden="false" customHeight="false" outlineLevel="0" collapsed="false">
      <c r="A236" s="31" t="s">
        <v>386</v>
      </c>
      <c r="B236" s="44" t="n">
        <v>46206</v>
      </c>
      <c r="C236" s="31" t="s">
        <v>58</v>
      </c>
      <c r="D236" s="31" t="s">
        <v>68</v>
      </c>
      <c r="E236" s="31" t="s">
        <v>49</v>
      </c>
      <c r="F236" s="31" t="s">
        <v>131</v>
      </c>
      <c r="G236" s="31" t="n">
        <v>3</v>
      </c>
      <c r="H236" s="41" t="n">
        <v>0.3</v>
      </c>
      <c r="I236" s="31" t="s">
        <v>149</v>
      </c>
      <c r="J236" s="31"/>
      <c r="K236" s="31" t="s">
        <v>150</v>
      </c>
      <c r="L236" s="45" t="n">
        <f aca="false">DATE(YEAR(B236),MONTH(B236),1)</f>
        <v>46204</v>
      </c>
      <c r="M236" s="31" t="n">
        <f aca="false">WEEKDAY(B236,2)</f>
        <v>5</v>
      </c>
      <c r="N236" s="31" t="str">
        <f aca="false">IF(G236&lt;=INDEX(Assumptions!$B$15:$B$18,MATCH(E236,Assumptions!$A$15:$A$18,0)),"Yes","No")</f>
        <v>Yes</v>
      </c>
      <c r="O236" s="31" t="str">
        <f aca="false">IF(H236="","Open",IF(H236&lt;=INDEX(Assumptions!$C$15:$C$18,MATCH(E236,Assumptions!$A$15:$A$18,0)),"Yes","No"))</f>
        <v>Yes</v>
      </c>
    </row>
    <row r="237" customFormat="false" ht="15" hidden="false" customHeight="false" outlineLevel="0" collapsed="false">
      <c r="A237" s="31" t="s">
        <v>387</v>
      </c>
      <c r="B237" s="44" t="n">
        <v>46206</v>
      </c>
      <c r="C237" s="31" t="s">
        <v>58</v>
      </c>
      <c r="D237" s="31" t="s">
        <v>66</v>
      </c>
      <c r="E237" s="31" t="s">
        <v>51</v>
      </c>
      <c r="F237" s="31" t="s">
        <v>117</v>
      </c>
      <c r="G237" s="31" t="n">
        <v>6</v>
      </c>
      <c r="H237" s="41" t="n">
        <v>5.5</v>
      </c>
      <c r="I237" s="31" t="s">
        <v>149</v>
      </c>
      <c r="J237" s="31"/>
      <c r="K237" s="31" t="s">
        <v>150</v>
      </c>
      <c r="L237" s="45" t="n">
        <f aca="false">DATE(YEAR(B237),MONTH(B237),1)</f>
        <v>46204</v>
      </c>
      <c r="M237" s="31" t="n">
        <f aca="false">WEEKDAY(B237,2)</f>
        <v>5</v>
      </c>
      <c r="N237" s="31" t="str">
        <f aca="false">IF(G237&lt;=INDEX(Assumptions!$B$15:$B$18,MATCH(E237,Assumptions!$A$15:$A$18,0)),"Yes","No")</f>
        <v>Yes</v>
      </c>
      <c r="O237" s="31" t="str">
        <f aca="false">IF(H237="","Open",IF(H237&lt;=INDEX(Assumptions!$C$15:$C$18,MATCH(E237,Assumptions!$A$15:$A$18,0)),"Yes","No"))</f>
        <v>Yes</v>
      </c>
    </row>
    <row r="238" customFormat="false" ht="15" hidden="false" customHeight="false" outlineLevel="0" collapsed="false">
      <c r="A238" s="31" t="s">
        <v>388</v>
      </c>
      <c r="B238" s="44" t="n">
        <v>46206</v>
      </c>
      <c r="C238" s="31" t="s">
        <v>57</v>
      </c>
      <c r="D238" s="31" t="s">
        <v>68</v>
      </c>
      <c r="E238" s="31" t="s">
        <v>52</v>
      </c>
      <c r="F238" s="31" t="s">
        <v>127</v>
      </c>
      <c r="G238" s="31" t="n">
        <v>2</v>
      </c>
      <c r="H238" s="41" t="n">
        <v>2.4</v>
      </c>
      <c r="I238" s="31" t="s">
        <v>149</v>
      </c>
      <c r="J238" s="31"/>
      <c r="K238" s="31" t="s">
        <v>150</v>
      </c>
      <c r="L238" s="45" t="n">
        <f aca="false">DATE(YEAR(B238),MONTH(B238),1)</f>
        <v>46204</v>
      </c>
      <c r="M238" s="31" t="n">
        <f aca="false">WEEKDAY(B238,2)</f>
        <v>5</v>
      </c>
      <c r="N238" s="31" t="str">
        <f aca="false">IF(G238&lt;=INDEX(Assumptions!$B$15:$B$18,MATCH(E238,Assumptions!$A$15:$A$18,0)),"Yes","No")</f>
        <v>Yes</v>
      </c>
      <c r="O238" s="31" t="str">
        <f aca="false">IF(H238="","Open",IF(H238&lt;=INDEX(Assumptions!$C$15:$C$18,MATCH(E238,Assumptions!$A$15:$A$18,0)),"Yes","No"))</f>
        <v>Yes</v>
      </c>
    </row>
    <row r="239" customFormat="false" ht="15" hidden="false" customHeight="false" outlineLevel="0" collapsed="false">
      <c r="A239" s="31" t="s">
        <v>389</v>
      </c>
      <c r="B239" s="44" t="n">
        <v>46206</v>
      </c>
      <c r="C239" s="31" t="s">
        <v>58</v>
      </c>
      <c r="D239" s="31" t="s">
        <v>66</v>
      </c>
      <c r="E239" s="31" t="s">
        <v>52</v>
      </c>
      <c r="F239" s="31" t="s">
        <v>126</v>
      </c>
      <c r="G239" s="31" t="n">
        <v>19</v>
      </c>
      <c r="H239" s="41" t="n">
        <v>4.1</v>
      </c>
      <c r="I239" s="31" t="s">
        <v>149</v>
      </c>
      <c r="J239" s="31" t="n">
        <v>4</v>
      </c>
      <c r="K239" s="31" t="s">
        <v>150</v>
      </c>
      <c r="L239" s="45" t="n">
        <f aca="false">DATE(YEAR(B239),MONTH(B239),1)</f>
        <v>46204</v>
      </c>
      <c r="M239" s="31" t="n">
        <f aca="false">WEEKDAY(B239,2)</f>
        <v>5</v>
      </c>
      <c r="N239" s="31" t="str">
        <f aca="false">IF(G239&lt;=INDEX(Assumptions!$B$15:$B$18,MATCH(E239,Assumptions!$A$15:$A$18,0)),"Yes","No")</f>
        <v>Yes</v>
      </c>
      <c r="O239" s="31" t="str">
        <f aca="false">IF(H239="","Open",IF(H239&lt;=INDEX(Assumptions!$C$15:$C$18,MATCH(E239,Assumptions!$A$15:$A$18,0)),"Yes","No"))</f>
        <v>Yes</v>
      </c>
    </row>
    <row r="240" customFormat="false" ht="15" hidden="false" customHeight="false" outlineLevel="0" collapsed="false">
      <c r="A240" s="31" t="s">
        <v>390</v>
      </c>
      <c r="B240" s="44" t="n">
        <v>46206</v>
      </c>
      <c r="C240" s="31" t="s">
        <v>59</v>
      </c>
      <c r="D240" s="31" t="s">
        <v>66</v>
      </c>
      <c r="E240" s="31" t="s">
        <v>52</v>
      </c>
      <c r="F240" s="31" t="s">
        <v>129</v>
      </c>
      <c r="G240" s="31" t="n">
        <v>46</v>
      </c>
      <c r="H240" s="41" t="n">
        <v>4.2</v>
      </c>
      <c r="I240" s="31" t="s">
        <v>149</v>
      </c>
      <c r="J240" s="31" t="n">
        <v>4</v>
      </c>
      <c r="K240" s="31" t="s">
        <v>150</v>
      </c>
      <c r="L240" s="45" t="n">
        <f aca="false">DATE(YEAR(B240),MONTH(B240),1)</f>
        <v>46204</v>
      </c>
      <c r="M240" s="31" t="n">
        <f aca="false">WEEKDAY(B240,2)</f>
        <v>5</v>
      </c>
      <c r="N240" s="31" t="str">
        <f aca="false">IF(G240&lt;=INDEX(Assumptions!$B$15:$B$18,MATCH(E240,Assumptions!$A$15:$A$18,0)),"Yes","No")</f>
        <v>Yes</v>
      </c>
      <c r="O240" s="31" t="str">
        <f aca="false">IF(H240="","Open",IF(H240&lt;=INDEX(Assumptions!$C$15:$C$18,MATCH(E240,Assumptions!$A$15:$A$18,0)),"Yes","No"))</f>
        <v>Yes</v>
      </c>
    </row>
    <row r="241" customFormat="false" ht="15" hidden="false" customHeight="false" outlineLevel="0" collapsed="false">
      <c r="A241" s="31" t="s">
        <v>391</v>
      </c>
      <c r="B241" s="44" t="n">
        <v>46206</v>
      </c>
      <c r="C241" s="31" t="s">
        <v>57</v>
      </c>
      <c r="D241" s="31" t="s">
        <v>66</v>
      </c>
      <c r="E241" s="31" t="s">
        <v>49</v>
      </c>
      <c r="F241" s="31" t="s">
        <v>131</v>
      </c>
      <c r="G241" s="31" t="n">
        <v>2</v>
      </c>
      <c r="H241" s="41" t="n">
        <v>1.4</v>
      </c>
      <c r="I241" s="31" t="s">
        <v>149</v>
      </c>
      <c r="J241" s="31"/>
      <c r="K241" s="31" t="s">
        <v>150</v>
      </c>
      <c r="L241" s="45" t="n">
        <f aca="false">DATE(YEAR(B241),MONTH(B241),1)</f>
        <v>46204</v>
      </c>
      <c r="M241" s="31" t="n">
        <f aca="false">WEEKDAY(B241,2)</f>
        <v>5</v>
      </c>
      <c r="N241" s="31" t="str">
        <f aca="false">IF(G241&lt;=INDEX(Assumptions!$B$15:$B$18,MATCH(E241,Assumptions!$A$15:$A$18,0)),"Yes","No")</f>
        <v>Yes</v>
      </c>
      <c r="O241" s="31" t="str">
        <f aca="false">IF(H241="","Open",IF(H241&lt;=INDEX(Assumptions!$C$15:$C$18,MATCH(E241,Assumptions!$A$15:$A$18,0)),"Yes","No"))</f>
        <v>Yes</v>
      </c>
    </row>
    <row r="242" customFormat="false" ht="15" hidden="false" customHeight="false" outlineLevel="0" collapsed="false">
      <c r="A242" s="31" t="s">
        <v>392</v>
      </c>
      <c r="B242" s="44" t="n">
        <v>46206</v>
      </c>
      <c r="C242" s="31" t="s">
        <v>59</v>
      </c>
      <c r="D242" s="31" t="s">
        <v>68</v>
      </c>
      <c r="E242" s="31" t="s">
        <v>50</v>
      </c>
      <c r="F242" s="31" t="s">
        <v>124</v>
      </c>
      <c r="G242" s="31" t="n">
        <v>10</v>
      </c>
      <c r="H242" s="41" t="n">
        <v>2.7</v>
      </c>
      <c r="I242" s="31" t="s">
        <v>149</v>
      </c>
      <c r="J242" s="31" t="n">
        <v>4</v>
      </c>
      <c r="K242" s="31" t="s">
        <v>150</v>
      </c>
      <c r="L242" s="45" t="n">
        <f aca="false">DATE(YEAR(B242),MONTH(B242),1)</f>
        <v>46204</v>
      </c>
      <c r="M242" s="31" t="n">
        <f aca="false">WEEKDAY(B242,2)</f>
        <v>5</v>
      </c>
      <c r="N242" s="31" t="str">
        <f aca="false">IF(G242&lt;=INDEX(Assumptions!$B$15:$B$18,MATCH(E242,Assumptions!$A$15:$A$18,0)),"Yes","No")</f>
        <v>Yes</v>
      </c>
      <c r="O242" s="31" t="str">
        <f aca="false">IF(H242="","Open",IF(H242&lt;=INDEX(Assumptions!$C$15:$C$18,MATCH(E242,Assumptions!$A$15:$A$18,0)),"Yes","No"))</f>
        <v>Yes</v>
      </c>
    </row>
    <row r="243" customFormat="false" ht="15" hidden="false" customHeight="false" outlineLevel="0" collapsed="false">
      <c r="A243" s="31" t="s">
        <v>393</v>
      </c>
      <c r="B243" s="44" t="n">
        <v>46206</v>
      </c>
      <c r="C243" s="31" t="s">
        <v>57</v>
      </c>
      <c r="D243" s="31" t="s">
        <v>66</v>
      </c>
      <c r="E243" s="31" t="s">
        <v>49</v>
      </c>
      <c r="F243" s="31" t="s">
        <v>123</v>
      </c>
      <c r="G243" s="31" t="n">
        <v>3</v>
      </c>
      <c r="H243" s="41" t="n">
        <v>1.5</v>
      </c>
      <c r="I243" s="31" t="s">
        <v>149</v>
      </c>
      <c r="J243" s="31" t="n">
        <v>5</v>
      </c>
      <c r="K243" s="31" t="s">
        <v>150</v>
      </c>
      <c r="L243" s="45" t="n">
        <f aca="false">DATE(YEAR(B243),MONTH(B243),1)</f>
        <v>46204</v>
      </c>
      <c r="M243" s="31" t="n">
        <f aca="false">WEEKDAY(B243,2)</f>
        <v>5</v>
      </c>
      <c r="N243" s="31" t="str">
        <f aca="false">IF(G243&lt;=INDEX(Assumptions!$B$15:$B$18,MATCH(E243,Assumptions!$A$15:$A$18,0)),"Yes","No")</f>
        <v>Yes</v>
      </c>
      <c r="O243" s="31" t="str">
        <f aca="false">IF(H243="","Open",IF(H243&lt;=INDEX(Assumptions!$C$15:$C$18,MATCH(E243,Assumptions!$A$15:$A$18,0)),"Yes","No"))</f>
        <v>Yes</v>
      </c>
    </row>
    <row r="244" customFormat="false" ht="15" hidden="false" customHeight="false" outlineLevel="0" collapsed="false">
      <c r="A244" s="31" t="s">
        <v>394</v>
      </c>
      <c r="B244" s="44" t="n">
        <v>46206</v>
      </c>
      <c r="C244" s="31" t="s">
        <v>60</v>
      </c>
      <c r="D244" s="31" t="s">
        <v>69</v>
      </c>
      <c r="E244" s="31" t="s">
        <v>51</v>
      </c>
      <c r="F244" s="31" t="s">
        <v>135</v>
      </c>
      <c r="G244" s="31" t="n">
        <v>8</v>
      </c>
      <c r="H244" s="41" t="n">
        <v>17.5</v>
      </c>
      <c r="I244" s="31" t="s">
        <v>149</v>
      </c>
      <c r="J244" s="31" t="n">
        <v>4</v>
      </c>
      <c r="K244" s="31" t="s">
        <v>150</v>
      </c>
      <c r="L244" s="45" t="n">
        <f aca="false">DATE(YEAR(B244),MONTH(B244),1)</f>
        <v>46204</v>
      </c>
      <c r="M244" s="31" t="n">
        <f aca="false">WEEKDAY(B244,2)</f>
        <v>5</v>
      </c>
      <c r="N244" s="31" t="str">
        <f aca="false">IF(G244&lt;=INDEX(Assumptions!$B$15:$B$18,MATCH(E244,Assumptions!$A$15:$A$18,0)),"Yes","No")</f>
        <v>Yes</v>
      </c>
      <c r="O244" s="31" t="str">
        <f aca="false">IF(H244="","Open",IF(H244&lt;=INDEX(Assumptions!$C$15:$C$18,MATCH(E244,Assumptions!$A$15:$A$18,0)),"Yes","No"))</f>
        <v>Yes</v>
      </c>
    </row>
    <row r="245" customFormat="false" ht="15" hidden="false" customHeight="false" outlineLevel="0" collapsed="false">
      <c r="A245" s="31" t="s">
        <v>395</v>
      </c>
      <c r="B245" s="44" t="n">
        <v>46207</v>
      </c>
      <c r="C245" s="31" t="s">
        <v>60</v>
      </c>
      <c r="D245" s="31" t="s">
        <v>67</v>
      </c>
      <c r="E245" s="31" t="s">
        <v>51</v>
      </c>
      <c r="F245" s="31" t="s">
        <v>130</v>
      </c>
      <c r="G245" s="31" t="n">
        <v>2</v>
      </c>
      <c r="H245" s="41" t="n">
        <v>8.2</v>
      </c>
      <c r="I245" s="31" t="s">
        <v>149</v>
      </c>
      <c r="J245" s="31" t="n">
        <v>5</v>
      </c>
      <c r="K245" s="31" t="s">
        <v>150</v>
      </c>
      <c r="L245" s="45" t="n">
        <f aca="false">DATE(YEAR(B245),MONTH(B245),1)</f>
        <v>46204</v>
      </c>
      <c r="M245" s="31" t="n">
        <f aca="false">WEEKDAY(B245,2)</f>
        <v>6</v>
      </c>
      <c r="N245" s="31" t="str">
        <f aca="false">IF(G245&lt;=INDEX(Assumptions!$B$15:$B$18,MATCH(E245,Assumptions!$A$15:$A$18,0)),"Yes","No")</f>
        <v>Yes</v>
      </c>
      <c r="O245" s="31" t="str">
        <f aca="false">IF(H245="","Open",IF(H245&lt;=INDEX(Assumptions!$C$15:$C$18,MATCH(E245,Assumptions!$A$15:$A$18,0)),"Yes","No"))</f>
        <v>Yes</v>
      </c>
    </row>
    <row r="246" customFormat="false" ht="15" hidden="false" customHeight="false" outlineLevel="0" collapsed="false">
      <c r="A246" s="31" t="s">
        <v>396</v>
      </c>
      <c r="B246" s="44" t="n">
        <v>46207</v>
      </c>
      <c r="C246" s="31" t="s">
        <v>60</v>
      </c>
      <c r="D246" s="31" t="s">
        <v>66</v>
      </c>
      <c r="E246" s="31" t="s">
        <v>51</v>
      </c>
      <c r="F246" s="31" t="s">
        <v>133</v>
      </c>
      <c r="G246" s="31" t="n">
        <v>4</v>
      </c>
      <c r="H246" s="41" t="n">
        <v>3.2</v>
      </c>
      <c r="I246" s="31" t="s">
        <v>149</v>
      </c>
      <c r="J246" s="31"/>
      <c r="K246" s="31" t="s">
        <v>150</v>
      </c>
      <c r="L246" s="45" t="n">
        <f aca="false">DATE(YEAR(B246),MONTH(B246),1)</f>
        <v>46204</v>
      </c>
      <c r="M246" s="31" t="n">
        <f aca="false">WEEKDAY(B246,2)</f>
        <v>6</v>
      </c>
      <c r="N246" s="31" t="str">
        <f aca="false">IF(G246&lt;=INDEX(Assumptions!$B$15:$B$18,MATCH(E246,Assumptions!$A$15:$A$18,0)),"Yes","No")</f>
        <v>Yes</v>
      </c>
      <c r="O246" s="31" t="str">
        <f aca="false">IF(H246="","Open",IF(H246&lt;=INDEX(Assumptions!$C$15:$C$18,MATCH(E246,Assumptions!$A$15:$A$18,0)),"Yes","No"))</f>
        <v>Yes</v>
      </c>
    </row>
    <row r="247" customFormat="false" ht="15" hidden="false" customHeight="false" outlineLevel="0" collapsed="false">
      <c r="A247" s="31" t="s">
        <v>397</v>
      </c>
      <c r="B247" s="44" t="n">
        <v>46207</v>
      </c>
      <c r="C247" s="31" t="s">
        <v>59</v>
      </c>
      <c r="D247" s="31" t="s">
        <v>68</v>
      </c>
      <c r="E247" s="31" t="s">
        <v>52</v>
      </c>
      <c r="F247" s="31" t="s">
        <v>128</v>
      </c>
      <c r="G247" s="31" t="n">
        <v>171</v>
      </c>
      <c r="H247" s="41" t="n">
        <v>8</v>
      </c>
      <c r="I247" s="31" t="s">
        <v>149</v>
      </c>
      <c r="J247" s="31"/>
      <c r="K247" s="31" t="s">
        <v>150</v>
      </c>
      <c r="L247" s="45" t="n">
        <f aca="false">DATE(YEAR(B247),MONTH(B247),1)</f>
        <v>46204</v>
      </c>
      <c r="M247" s="31" t="n">
        <f aca="false">WEEKDAY(B247,2)</f>
        <v>6</v>
      </c>
      <c r="N247" s="31" t="str">
        <f aca="false">IF(G247&lt;=INDEX(Assumptions!$B$15:$B$18,MATCH(E247,Assumptions!$A$15:$A$18,0)),"Yes","No")</f>
        <v>Yes</v>
      </c>
      <c r="O247" s="31" t="str">
        <f aca="false">IF(H247="","Open",IF(H247&lt;=INDEX(Assumptions!$C$15:$C$18,MATCH(E247,Assumptions!$A$15:$A$18,0)),"Yes","No"))</f>
        <v>Yes</v>
      </c>
    </row>
    <row r="248" customFormat="false" ht="15" hidden="false" customHeight="false" outlineLevel="0" collapsed="false">
      <c r="A248" s="31" t="s">
        <v>398</v>
      </c>
      <c r="B248" s="44" t="n">
        <v>46207</v>
      </c>
      <c r="C248" s="31" t="s">
        <v>60</v>
      </c>
      <c r="D248" s="31" t="s">
        <v>66</v>
      </c>
      <c r="E248" s="31" t="s">
        <v>52</v>
      </c>
      <c r="F248" s="31" t="s">
        <v>117</v>
      </c>
      <c r="G248" s="31" t="n">
        <v>2</v>
      </c>
      <c r="H248" s="41" t="n">
        <v>3.2</v>
      </c>
      <c r="I248" s="31" t="s">
        <v>149</v>
      </c>
      <c r="J248" s="31" t="n">
        <v>5</v>
      </c>
      <c r="K248" s="31" t="s">
        <v>150</v>
      </c>
      <c r="L248" s="45" t="n">
        <f aca="false">DATE(YEAR(B248),MONTH(B248),1)</f>
        <v>46204</v>
      </c>
      <c r="M248" s="31" t="n">
        <f aca="false">WEEKDAY(B248,2)</f>
        <v>6</v>
      </c>
      <c r="N248" s="31" t="str">
        <f aca="false">IF(G248&lt;=INDEX(Assumptions!$B$15:$B$18,MATCH(E248,Assumptions!$A$15:$A$18,0)),"Yes","No")</f>
        <v>Yes</v>
      </c>
      <c r="O248" s="31" t="str">
        <f aca="false">IF(H248="","Open",IF(H248&lt;=INDEX(Assumptions!$C$15:$C$18,MATCH(E248,Assumptions!$A$15:$A$18,0)),"Yes","No"))</f>
        <v>Yes</v>
      </c>
    </row>
    <row r="249" customFormat="false" ht="15" hidden="false" customHeight="false" outlineLevel="0" collapsed="false">
      <c r="A249" s="31" t="s">
        <v>399</v>
      </c>
      <c r="B249" s="44" t="n">
        <v>46207</v>
      </c>
      <c r="C249" s="31" t="s">
        <v>57</v>
      </c>
      <c r="D249" s="31" t="s">
        <v>65</v>
      </c>
      <c r="E249" s="31" t="s">
        <v>52</v>
      </c>
      <c r="F249" s="31" t="s">
        <v>136</v>
      </c>
      <c r="G249" s="31" t="n">
        <v>4</v>
      </c>
      <c r="H249" s="41" t="n">
        <v>14.5</v>
      </c>
      <c r="I249" s="31" t="s">
        <v>149</v>
      </c>
      <c r="J249" s="31" t="n">
        <v>4</v>
      </c>
      <c r="K249" s="31" t="s">
        <v>150</v>
      </c>
      <c r="L249" s="45" t="n">
        <f aca="false">DATE(YEAR(B249),MONTH(B249),1)</f>
        <v>46204</v>
      </c>
      <c r="M249" s="31" t="n">
        <f aca="false">WEEKDAY(B249,2)</f>
        <v>6</v>
      </c>
      <c r="N249" s="31" t="str">
        <f aca="false">IF(G249&lt;=INDEX(Assumptions!$B$15:$B$18,MATCH(E249,Assumptions!$A$15:$A$18,0)),"Yes","No")</f>
        <v>Yes</v>
      </c>
      <c r="O249" s="31" t="str">
        <f aca="false">IF(H249="","Open",IF(H249&lt;=INDEX(Assumptions!$C$15:$C$18,MATCH(E249,Assumptions!$A$15:$A$18,0)),"Yes","No"))</f>
        <v>Yes</v>
      </c>
    </row>
    <row r="250" customFormat="false" ht="15" hidden="false" customHeight="false" outlineLevel="0" collapsed="false">
      <c r="A250" s="31" t="s">
        <v>400</v>
      </c>
      <c r="B250" s="44" t="n">
        <v>46207</v>
      </c>
      <c r="C250" s="31" t="s">
        <v>57</v>
      </c>
      <c r="D250" s="31" t="s">
        <v>65</v>
      </c>
      <c r="E250" s="31" t="s">
        <v>51</v>
      </c>
      <c r="F250" s="31" t="s">
        <v>137</v>
      </c>
      <c r="G250" s="31" t="n">
        <v>2</v>
      </c>
      <c r="H250" s="41" t="n">
        <v>36</v>
      </c>
      <c r="I250" s="31" t="s">
        <v>149</v>
      </c>
      <c r="J250" s="31"/>
      <c r="K250" s="31" t="s">
        <v>150</v>
      </c>
      <c r="L250" s="45" t="n">
        <f aca="false">DATE(YEAR(B250),MONTH(B250),1)</f>
        <v>46204</v>
      </c>
      <c r="M250" s="31" t="n">
        <f aca="false">WEEKDAY(B250,2)</f>
        <v>6</v>
      </c>
      <c r="N250" s="31" t="str">
        <f aca="false">IF(G250&lt;=INDEX(Assumptions!$B$15:$B$18,MATCH(E250,Assumptions!$A$15:$A$18,0)),"Yes","No")</f>
        <v>Yes</v>
      </c>
      <c r="O250" s="31" t="str">
        <f aca="false">IF(H250="","Open",IF(H250&lt;=INDEX(Assumptions!$C$15:$C$18,MATCH(E250,Assumptions!$A$15:$A$18,0)),"Yes","No"))</f>
        <v>No</v>
      </c>
    </row>
    <row r="251" customFormat="false" ht="15" hidden="false" customHeight="false" outlineLevel="0" collapsed="false">
      <c r="A251" s="31" t="s">
        <v>401</v>
      </c>
      <c r="B251" s="44" t="n">
        <v>46207</v>
      </c>
      <c r="C251" s="31" t="s">
        <v>58</v>
      </c>
      <c r="D251" s="31" t="s">
        <v>65</v>
      </c>
      <c r="E251" s="31" t="s">
        <v>52</v>
      </c>
      <c r="F251" s="31" t="s">
        <v>129</v>
      </c>
      <c r="G251" s="31" t="n">
        <v>10</v>
      </c>
      <c r="H251" s="41" t="n">
        <v>19.9</v>
      </c>
      <c r="I251" s="31" t="s">
        <v>149</v>
      </c>
      <c r="J251" s="31" t="n">
        <v>4</v>
      </c>
      <c r="K251" s="31" t="s">
        <v>150</v>
      </c>
      <c r="L251" s="45" t="n">
        <f aca="false">DATE(YEAR(B251),MONTH(B251),1)</f>
        <v>46204</v>
      </c>
      <c r="M251" s="31" t="n">
        <f aca="false">WEEKDAY(B251,2)</f>
        <v>6</v>
      </c>
      <c r="N251" s="31" t="str">
        <f aca="false">IF(G251&lt;=INDEX(Assumptions!$B$15:$B$18,MATCH(E251,Assumptions!$A$15:$A$18,0)),"Yes","No")</f>
        <v>Yes</v>
      </c>
      <c r="O251" s="31" t="str">
        <f aca="false">IF(H251="","Open",IF(H251&lt;=INDEX(Assumptions!$C$15:$C$18,MATCH(E251,Assumptions!$A$15:$A$18,0)),"Yes","No"))</f>
        <v>Yes</v>
      </c>
    </row>
    <row r="252" customFormat="false" ht="15" hidden="false" customHeight="false" outlineLevel="0" collapsed="false">
      <c r="A252" s="31" t="s">
        <v>402</v>
      </c>
      <c r="B252" s="44" t="n">
        <v>46207</v>
      </c>
      <c r="C252" s="31" t="s">
        <v>60</v>
      </c>
      <c r="D252" s="31" t="s">
        <v>68</v>
      </c>
      <c r="E252" s="31" t="s">
        <v>51</v>
      </c>
      <c r="F252" s="31" t="s">
        <v>128</v>
      </c>
      <c r="G252" s="31" t="n">
        <v>5</v>
      </c>
      <c r="H252" s="41" t="n">
        <v>7.8</v>
      </c>
      <c r="I252" s="31" t="s">
        <v>149</v>
      </c>
      <c r="J252" s="31"/>
      <c r="K252" s="31" t="s">
        <v>150</v>
      </c>
      <c r="L252" s="45" t="n">
        <f aca="false">DATE(YEAR(B252),MONTH(B252),1)</f>
        <v>46204</v>
      </c>
      <c r="M252" s="31" t="n">
        <f aca="false">WEEKDAY(B252,2)</f>
        <v>6</v>
      </c>
      <c r="N252" s="31" t="str">
        <f aca="false">IF(G252&lt;=INDEX(Assumptions!$B$15:$B$18,MATCH(E252,Assumptions!$A$15:$A$18,0)),"Yes","No")</f>
        <v>Yes</v>
      </c>
      <c r="O252" s="31" t="str">
        <f aca="false">IF(H252="","Open",IF(H252&lt;=INDEX(Assumptions!$C$15:$C$18,MATCH(E252,Assumptions!$A$15:$A$18,0)),"Yes","No"))</f>
        <v>Yes</v>
      </c>
    </row>
    <row r="253" customFormat="false" ht="15" hidden="false" customHeight="false" outlineLevel="0" collapsed="false">
      <c r="A253" s="31" t="s">
        <v>403</v>
      </c>
      <c r="B253" s="44" t="n">
        <v>46207</v>
      </c>
      <c r="C253" s="31" t="s">
        <v>58</v>
      </c>
      <c r="D253" s="31" t="s">
        <v>67</v>
      </c>
      <c r="E253" s="31" t="s">
        <v>49</v>
      </c>
      <c r="F253" s="31" t="s">
        <v>127</v>
      </c>
      <c r="G253" s="31" t="n">
        <v>25</v>
      </c>
      <c r="H253" s="41" t="n">
        <v>1</v>
      </c>
      <c r="I253" s="31" t="s">
        <v>149</v>
      </c>
      <c r="J253" s="31"/>
      <c r="K253" s="31" t="s">
        <v>150</v>
      </c>
      <c r="L253" s="45" t="n">
        <f aca="false">DATE(YEAR(B253),MONTH(B253),1)</f>
        <v>46204</v>
      </c>
      <c r="M253" s="31" t="n">
        <f aca="false">WEEKDAY(B253,2)</f>
        <v>6</v>
      </c>
      <c r="N253" s="31" t="str">
        <f aca="false">IF(G253&lt;=INDEX(Assumptions!$B$15:$B$18,MATCH(E253,Assumptions!$A$15:$A$18,0)),"Yes","No")</f>
        <v>No</v>
      </c>
      <c r="O253" s="31" t="str">
        <f aca="false">IF(H253="","Open",IF(H253&lt;=INDEX(Assumptions!$C$15:$C$18,MATCH(E253,Assumptions!$A$15:$A$18,0)),"Yes","No"))</f>
        <v>Yes</v>
      </c>
    </row>
    <row r="254" customFormat="false" ht="15" hidden="false" customHeight="false" outlineLevel="0" collapsed="false">
      <c r="A254" s="31" t="s">
        <v>404</v>
      </c>
      <c r="B254" s="44" t="n">
        <v>46207</v>
      </c>
      <c r="C254" s="31" t="s">
        <v>58</v>
      </c>
      <c r="D254" s="31" t="s">
        <v>67</v>
      </c>
      <c r="E254" s="31" t="s">
        <v>50</v>
      </c>
      <c r="F254" s="31" t="s">
        <v>136</v>
      </c>
      <c r="G254" s="31" t="n">
        <v>4</v>
      </c>
      <c r="H254" s="41"/>
      <c r="I254" s="31" t="s">
        <v>158</v>
      </c>
      <c r="J254" s="31"/>
      <c r="K254" s="31" t="s">
        <v>150</v>
      </c>
      <c r="L254" s="45" t="n">
        <f aca="false">DATE(YEAR(B254),MONTH(B254),1)</f>
        <v>46204</v>
      </c>
      <c r="M254" s="31" t="n">
        <f aca="false">WEEKDAY(B254,2)</f>
        <v>6</v>
      </c>
      <c r="N254" s="31" t="str">
        <f aca="false">IF(G254&lt;=INDEX(Assumptions!$B$15:$B$18,MATCH(E254,Assumptions!$A$15:$A$18,0)),"Yes","No")</f>
        <v>Yes</v>
      </c>
      <c r="O254" s="31" t="str">
        <f aca="false">IF(H254="","Open",IF(H254&lt;=INDEX(Assumptions!$C$15:$C$18,MATCH(E254,Assumptions!$A$15:$A$18,0)),"Yes","No"))</f>
        <v>Open</v>
      </c>
    </row>
    <row r="255" customFormat="false" ht="15" hidden="false" customHeight="false" outlineLevel="0" collapsed="false">
      <c r="A255" s="31" t="s">
        <v>405</v>
      </c>
      <c r="B255" s="44" t="n">
        <v>46207</v>
      </c>
      <c r="C255" s="31" t="s">
        <v>57</v>
      </c>
      <c r="D255" s="31" t="s">
        <v>68</v>
      </c>
      <c r="E255" s="31" t="s">
        <v>52</v>
      </c>
      <c r="F255" s="31" t="s">
        <v>134</v>
      </c>
      <c r="G255" s="31" t="n">
        <v>18</v>
      </c>
      <c r="H255" s="41" t="n">
        <v>7</v>
      </c>
      <c r="I255" s="31" t="s">
        <v>149</v>
      </c>
      <c r="J255" s="31" t="n">
        <v>4</v>
      </c>
      <c r="K255" s="31" t="s">
        <v>150</v>
      </c>
      <c r="L255" s="45" t="n">
        <f aca="false">DATE(YEAR(B255),MONTH(B255),1)</f>
        <v>46204</v>
      </c>
      <c r="M255" s="31" t="n">
        <f aca="false">WEEKDAY(B255,2)</f>
        <v>6</v>
      </c>
      <c r="N255" s="31" t="str">
        <f aca="false">IF(G255&lt;=INDEX(Assumptions!$B$15:$B$18,MATCH(E255,Assumptions!$A$15:$A$18,0)),"Yes","No")</f>
        <v>Yes</v>
      </c>
      <c r="O255" s="31" t="str">
        <f aca="false">IF(H255="","Open",IF(H255&lt;=INDEX(Assumptions!$C$15:$C$18,MATCH(E255,Assumptions!$A$15:$A$18,0)),"Yes","No"))</f>
        <v>Yes</v>
      </c>
    </row>
    <row r="256" customFormat="false" ht="15" hidden="false" customHeight="false" outlineLevel="0" collapsed="false">
      <c r="A256" s="31" t="s">
        <v>406</v>
      </c>
      <c r="B256" s="44" t="n">
        <v>46207</v>
      </c>
      <c r="C256" s="31" t="s">
        <v>57</v>
      </c>
      <c r="D256" s="31" t="s">
        <v>69</v>
      </c>
      <c r="E256" s="31" t="s">
        <v>52</v>
      </c>
      <c r="F256" s="31" t="s">
        <v>137</v>
      </c>
      <c r="G256" s="31" t="n">
        <v>11</v>
      </c>
      <c r="H256" s="41" t="n">
        <v>13</v>
      </c>
      <c r="I256" s="31" t="s">
        <v>149</v>
      </c>
      <c r="J256" s="31" t="n">
        <v>5</v>
      </c>
      <c r="K256" s="31" t="s">
        <v>150</v>
      </c>
      <c r="L256" s="45" t="n">
        <f aca="false">DATE(YEAR(B256),MONTH(B256),1)</f>
        <v>46204</v>
      </c>
      <c r="M256" s="31" t="n">
        <f aca="false">WEEKDAY(B256,2)</f>
        <v>6</v>
      </c>
      <c r="N256" s="31" t="str">
        <f aca="false">IF(G256&lt;=INDEX(Assumptions!$B$15:$B$18,MATCH(E256,Assumptions!$A$15:$A$18,0)),"Yes","No")</f>
        <v>Yes</v>
      </c>
      <c r="O256" s="31" t="str">
        <f aca="false">IF(H256="","Open",IF(H256&lt;=INDEX(Assumptions!$C$15:$C$18,MATCH(E256,Assumptions!$A$15:$A$18,0)),"Yes","No"))</f>
        <v>Yes</v>
      </c>
    </row>
    <row r="257" customFormat="false" ht="15" hidden="false" customHeight="false" outlineLevel="0" collapsed="false">
      <c r="A257" s="31" t="s">
        <v>407</v>
      </c>
      <c r="B257" s="44" t="n">
        <v>46207</v>
      </c>
      <c r="C257" s="31" t="s">
        <v>60</v>
      </c>
      <c r="D257" s="31" t="s">
        <v>65</v>
      </c>
      <c r="E257" s="31" t="s">
        <v>51</v>
      </c>
      <c r="F257" s="31" t="s">
        <v>129</v>
      </c>
      <c r="G257" s="31" t="n">
        <v>2</v>
      </c>
      <c r="H257" s="41" t="n">
        <v>11.6</v>
      </c>
      <c r="I257" s="31" t="s">
        <v>149</v>
      </c>
      <c r="J257" s="31"/>
      <c r="K257" s="31" t="s">
        <v>150</v>
      </c>
      <c r="L257" s="45" t="n">
        <f aca="false">DATE(YEAR(B257),MONTH(B257),1)</f>
        <v>46204</v>
      </c>
      <c r="M257" s="31" t="n">
        <f aca="false">WEEKDAY(B257,2)</f>
        <v>6</v>
      </c>
      <c r="N257" s="31" t="str">
        <f aca="false">IF(G257&lt;=INDEX(Assumptions!$B$15:$B$18,MATCH(E257,Assumptions!$A$15:$A$18,0)),"Yes","No")</f>
        <v>Yes</v>
      </c>
      <c r="O257" s="31" t="str">
        <f aca="false">IF(H257="","Open",IF(H257&lt;=INDEX(Assumptions!$C$15:$C$18,MATCH(E257,Assumptions!$A$15:$A$18,0)),"Yes","No"))</f>
        <v>Yes</v>
      </c>
    </row>
    <row r="258" customFormat="false" ht="15" hidden="false" customHeight="false" outlineLevel="0" collapsed="false">
      <c r="A258" s="31" t="s">
        <v>408</v>
      </c>
      <c r="B258" s="44" t="n">
        <v>46207</v>
      </c>
      <c r="C258" s="31" t="s">
        <v>60</v>
      </c>
      <c r="D258" s="31" t="s">
        <v>69</v>
      </c>
      <c r="E258" s="31" t="s">
        <v>51</v>
      </c>
      <c r="F258" s="31" t="s">
        <v>121</v>
      </c>
      <c r="G258" s="31" t="n">
        <v>3</v>
      </c>
      <c r="H258" s="41" t="n">
        <v>13.1</v>
      </c>
      <c r="I258" s="31" t="s">
        <v>149</v>
      </c>
      <c r="J258" s="31" t="n">
        <v>3</v>
      </c>
      <c r="K258" s="31" t="s">
        <v>150</v>
      </c>
      <c r="L258" s="45" t="n">
        <f aca="false">DATE(YEAR(B258),MONTH(B258),1)</f>
        <v>46204</v>
      </c>
      <c r="M258" s="31" t="n">
        <f aca="false">WEEKDAY(B258,2)</f>
        <v>6</v>
      </c>
      <c r="N258" s="31" t="str">
        <f aca="false">IF(G258&lt;=INDEX(Assumptions!$B$15:$B$18,MATCH(E258,Assumptions!$A$15:$A$18,0)),"Yes","No")</f>
        <v>Yes</v>
      </c>
      <c r="O258" s="31" t="str">
        <f aca="false">IF(H258="","Open",IF(H258&lt;=INDEX(Assumptions!$C$15:$C$18,MATCH(E258,Assumptions!$A$15:$A$18,0)),"Yes","No"))</f>
        <v>Yes</v>
      </c>
    </row>
    <row r="259" customFormat="false" ht="15" hidden="false" customHeight="false" outlineLevel="0" collapsed="false">
      <c r="A259" s="31" t="s">
        <v>409</v>
      </c>
      <c r="B259" s="44" t="n">
        <v>46207</v>
      </c>
      <c r="C259" s="31" t="s">
        <v>60</v>
      </c>
      <c r="D259" s="31" t="s">
        <v>69</v>
      </c>
      <c r="E259" s="31" t="s">
        <v>52</v>
      </c>
      <c r="F259" s="31" t="s">
        <v>127</v>
      </c>
      <c r="G259" s="31" t="n">
        <v>1</v>
      </c>
      <c r="H259" s="41" t="n">
        <v>13.2</v>
      </c>
      <c r="I259" s="31" t="s">
        <v>149</v>
      </c>
      <c r="J259" s="31" t="n">
        <v>5</v>
      </c>
      <c r="K259" s="31" t="s">
        <v>150</v>
      </c>
      <c r="L259" s="45" t="n">
        <f aca="false">DATE(YEAR(B259),MONTH(B259),1)</f>
        <v>46204</v>
      </c>
      <c r="M259" s="31" t="n">
        <f aca="false">WEEKDAY(B259,2)</f>
        <v>6</v>
      </c>
      <c r="N259" s="31" t="str">
        <f aca="false">IF(G259&lt;=INDEX(Assumptions!$B$15:$B$18,MATCH(E259,Assumptions!$A$15:$A$18,0)),"Yes","No")</f>
        <v>Yes</v>
      </c>
      <c r="O259" s="31" t="str">
        <f aca="false">IF(H259="","Open",IF(H259&lt;=INDEX(Assumptions!$C$15:$C$18,MATCH(E259,Assumptions!$A$15:$A$18,0)),"Yes","No"))</f>
        <v>Yes</v>
      </c>
    </row>
    <row r="260" customFormat="false" ht="15" hidden="false" customHeight="false" outlineLevel="0" collapsed="false">
      <c r="A260" s="31" t="s">
        <v>410</v>
      </c>
      <c r="B260" s="44" t="n">
        <v>46207</v>
      </c>
      <c r="C260" s="31" t="s">
        <v>59</v>
      </c>
      <c r="D260" s="31" t="s">
        <v>66</v>
      </c>
      <c r="E260" s="31" t="s">
        <v>52</v>
      </c>
      <c r="F260" s="31" t="s">
        <v>120</v>
      </c>
      <c r="G260" s="31" t="n">
        <v>215</v>
      </c>
      <c r="H260" s="41" t="n">
        <v>25</v>
      </c>
      <c r="I260" s="31" t="s">
        <v>149</v>
      </c>
      <c r="J260" s="31"/>
      <c r="K260" s="31" t="s">
        <v>153</v>
      </c>
      <c r="L260" s="45" t="n">
        <f aca="false">DATE(YEAR(B260),MONTH(B260),1)</f>
        <v>46204</v>
      </c>
      <c r="M260" s="31" t="n">
        <f aca="false">WEEKDAY(B260,2)</f>
        <v>6</v>
      </c>
      <c r="N260" s="31" t="str">
        <f aca="false">IF(G260&lt;=INDEX(Assumptions!$B$15:$B$18,MATCH(E260,Assumptions!$A$15:$A$18,0)),"Yes","No")</f>
        <v>Yes</v>
      </c>
      <c r="O260" s="31" t="str">
        <f aca="false">IF(H260="","Open",IF(H260&lt;=INDEX(Assumptions!$C$15:$C$18,MATCH(E260,Assumptions!$A$15:$A$18,0)),"Yes","No"))</f>
        <v>Yes</v>
      </c>
    </row>
    <row r="261" customFormat="false" ht="15" hidden="false" customHeight="false" outlineLevel="0" collapsed="false">
      <c r="A261" s="31" t="s">
        <v>411</v>
      </c>
      <c r="B261" s="44" t="n">
        <v>46207</v>
      </c>
      <c r="C261" s="31" t="s">
        <v>59</v>
      </c>
      <c r="D261" s="31" t="s">
        <v>66</v>
      </c>
      <c r="E261" s="31" t="s">
        <v>51</v>
      </c>
      <c r="F261" s="31" t="s">
        <v>128</v>
      </c>
      <c r="G261" s="31" t="n">
        <v>397</v>
      </c>
      <c r="H261" s="41" t="n">
        <v>22.4</v>
      </c>
      <c r="I261" s="31" t="s">
        <v>149</v>
      </c>
      <c r="J261" s="31"/>
      <c r="K261" s="31" t="s">
        <v>150</v>
      </c>
      <c r="L261" s="45" t="n">
        <f aca="false">DATE(YEAR(B261),MONTH(B261),1)</f>
        <v>46204</v>
      </c>
      <c r="M261" s="31" t="n">
        <f aca="false">WEEKDAY(B261,2)</f>
        <v>6</v>
      </c>
      <c r="N261" s="31" t="str">
        <f aca="false">IF(G261&lt;=INDEX(Assumptions!$B$15:$B$18,MATCH(E261,Assumptions!$A$15:$A$18,0)),"Yes","No")</f>
        <v>No</v>
      </c>
      <c r="O261" s="31" t="str">
        <f aca="false">IF(H261="","Open",IF(H261&lt;=INDEX(Assumptions!$C$15:$C$18,MATCH(E261,Assumptions!$A$15:$A$18,0)),"Yes","No"))</f>
        <v>Yes</v>
      </c>
    </row>
    <row r="262" customFormat="false" ht="15" hidden="false" customHeight="false" outlineLevel="0" collapsed="false">
      <c r="A262" s="31" t="s">
        <v>412</v>
      </c>
      <c r="B262" s="44" t="n">
        <v>46207</v>
      </c>
      <c r="C262" s="31" t="s">
        <v>59</v>
      </c>
      <c r="D262" s="31" t="s">
        <v>66</v>
      </c>
      <c r="E262" s="31" t="s">
        <v>50</v>
      </c>
      <c r="F262" s="31" t="s">
        <v>123</v>
      </c>
      <c r="G262" s="31" t="n">
        <v>37</v>
      </c>
      <c r="H262" s="41" t="n">
        <v>3</v>
      </c>
      <c r="I262" s="31" t="s">
        <v>149</v>
      </c>
      <c r="J262" s="31" t="n">
        <v>4</v>
      </c>
      <c r="K262" s="31" t="s">
        <v>150</v>
      </c>
      <c r="L262" s="45" t="n">
        <f aca="false">DATE(YEAR(B262),MONTH(B262),1)</f>
        <v>46204</v>
      </c>
      <c r="M262" s="31" t="n">
        <f aca="false">WEEKDAY(B262,2)</f>
        <v>6</v>
      </c>
      <c r="N262" s="31" t="str">
        <f aca="false">IF(G262&lt;=INDEX(Assumptions!$B$15:$B$18,MATCH(E262,Assumptions!$A$15:$A$18,0)),"Yes","No")</f>
        <v>No</v>
      </c>
      <c r="O262" s="31" t="str">
        <f aca="false">IF(H262="","Open",IF(H262&lt;=INDEX(Assumptions!$C$15:$C$18,MATCH(E262,Assumptions!$A$15:$A$18,0)),"Yes","No"))</f>
        <v>Yes</v>
      </c>
    </row>
    <row r="263" customFormat="false" ht="15" hidden="false" customHeight="false" outlineLevel="0" collapsed="false">
      <c r="A263" s="31" t="s">
        <v>413</v>
      </c>
      <c r="B263" s="44" t="n">
        <v>46207</v>
      </c>
      <c r="C263" s="31" t="s">
        <v>59</v>
      </c>
      <c r="D263" s="31" t="s">
        <v>66</v>
      </c>
      <c r="E263" s="31" t="s">
        <v>52</v>
      </c>
      <c r="F263" s="31" t="s">
        <v>134</v>
      </c>
      <c r="G263" s="31" t="n">
        <v>198</v>
      </c>
      <c r="H263" s="41" t="n">
        <v>19.3</v>
      </c>
      <c r="I263" s="31" t="s">
        <v>149</v>
      </c>
      <c r="J263" s="31"/>
      <c r="K263" s="31" t="s">
        <v>150</v>
      </c>
      <c r="L263" s="45" t="n">
        <f aca="false">DATE(YEAR(B263),MONTH(B263),1)</f>
        <v>46204</v>
      </c>
      <c r="M263" s="31" t="n">
        <f aca="false">WEEKDAY(B263,2)</f>
        <v>6</v>
      </c>
      <c r="N263" s="31" t="str">
        <f aca="false">IF(G263&lt;=INDEX(Assumptions!$B$15:$B$18,MATCH(E263,Assumptions!$A$15:$A$18,0)),"Yes","No")</f>
        <v>Yes</v>
      </c>
      <c r="O263" s="31" t="str">
        <f aca="false">IF(H263="","Open",IF(H263&lt;=INDEX(Assumptions!$C$15:$C$18,MATCH(E263,Assumptions!$A$15:$A$18,0)),"Yes","No"))</f>
        <v>Yes</v>
      </c>
    </row>
    <row r="264" customFormat="false" ht="15" hidden="false" customHeight="false" outlineLevel="0" collapsed="false">
      <c r="A264" s="31" t="s">
        <v>414</v>
      </c>
      <c r="B264" s="44" t="n">
        <v>46207</v>
      </c>
      <c r="C264" s="31" t="s">
        <v>59</v>
      </c>
      <c r="D264" s="31" t="s">
        <v>68</v>
      </c>
      <c r="E264" s="31" t="s">
        <v>51</v>
      </c>
      <c r="F264" s="31" t="s">
        <v>128</v>
      </c>
      <c r="G264" s="31" t="n">
        <v>66</v>
      </c>
      <c r="H264" s="41" t="n">
        <v>9</v>
      </c>
      <c r="I264" s="31" t="s">
        <v>149</v>
      </c>
      <c r="J264" s="31" t="n">
        <v>5</v>
      </c>
      <c r="K264" s="31" t="s">
        <v>150</v>
      </c>
      <c r="L264" s="45" t="n">
        <f aca="false">DATE(YEAR(B264),MONTH(B264),1)</f>
        <v>46204</v>
      </c>
      <c r="M264" s="31" t="n">
        <f aca="false">WEEKDAY(B264,2)</f>
        <v>6</v>
      </c>
      <c r="N264" s="31" t="str">
        <f aca="false">IF(G264&lt;=INDEX(Assumptions!$B$15:$B$18,MATCH(E264,Assumptions!$A$15:$A$18,0)),"Yes","No")</f>
        <v>No</v>
      </c>
      <c r="O264" s="31" t="str">
        <f aca="false">IF(H264="","Open",IF(H264&lt;=INDEX(Assumptions!$C$15:$C$18,MATCH(E264,Assumptions!$A$15:$A$18,0)),"Yes","No"))</f>
        <v>Yes</v>
      </c>
    </row>
    <row r="265" customFormat="false" ht="15" hidden="false" customHeight="false" outlineLevel="0" collapsed="false">
      <c r="A265" s="31" t="s">
        <v>415</v>
      </c>
      <c r="B265" s="44" t="n">
        <v>46207</v>
      </c>
      <c r="C265" s="31" t="s">
        <v>60</v>
      </c>
      <c r="D265" s="31" t="s">
        <v>69</v>
      </c>
      <c r="E265" s="31" t="s">
        <v>52</v>
      </c>
      <c r="F265" s="31" t="s">
        <v>120</v>
      </c>
      <c r="G265" s="31" t="n">
        <v>7</v>
      </c>
      <c r="H265" s="41" t="n">
        <v>48.8</v>
      </c>
      <c r="I265" s="31" t="s">
        <v>149</v>
      </c>
      <c r="J265" s="31"/>
      <c r="K265" s="31" t="s">
        <v>150</v>
      </c>
      <c r="L265" s="45" t="n">
        <f aca="false">DATE(YEAR(B265),MONTH(B265),1)</f>
        <v>46204</v>
      </c>
      <c r="M265" s="31" t="n">
        <f aca="false">WEEKDAY(B265,2)</f>
        <v>6</v>
      </c>
      <c r="N265" s="31" t="str">
        <f aca="false">IF(G265&lt;=INDEX(Assumptions!$B$15:$B$18,MATCH(E265,Assumptions!$A$15:$A$18,0)),"Yes","No")</f>
        <v>Yes</v>
      </c>
      <c r="O265" s="31" t="str">
        <f aca="false">IF(H265="","Open",IF(H265&lt;=INDEX(Assumptions!$C$15:$C$18,MATCH(E265,Assumptions!$A$15:$A$18,0)),"Yes","No"))</f>
        <v>Yes</v>
      </c>
    </row>
    <row r="266" customFormat="false" ht="15" hidden="false" customHeight="false" outlineLevel="0" collapsed="false">
      <c r="A266" s="31" t="s">
        <v>416</v>
      </c>
      <c r="B266" s="44" t="n">
        <v>46207</v>
      </c>
      <c r="C266" s="31" t="s">
        <v>57</v>
      </c>
      <c r="D266" s="31" t="s">
        <v>67</v>
      </c>
      <c r="E266" s="31" t="s">
        <v>50</v>
      </c>
      <c r="F266" s="31" t="s">
        <v>133</v>
      </c>
      <c r="G266" s="31" t="n">
        <v>1</v>
      </c>
      <c r="H266" s="41" t="n">
        <v>4.8</v>
      </c>
      <c r="I266" s="31" t="s">
        <v>149</v>
      </c>
      <c r="J266" s="31"/>
      <c r="K266" s="31" t="s">
        <v>150</v>
      </c>
      <c r="L266" s="45" t="n">
        <f aca="false">DATE(YEAR(B266),MONTH(B266),1)</f>
        <v>46204</v>
      </c>
      <c r="M266" s="31" t="n">
        <f aca="false">WEEKDAY(B266,2)</f>
        <v>6</v>
      </c>
      <c r="N266" s="31" t="str">
        <f aca="false">IF(G266&lt;=INDEX(Assumptions!$B$15:$B$18,MATCH(E266,Assumptions!$A$15:$A$18,0)),"Yes","No")</f>
        <v>Yes</v>
      </c>
      <c r="O266" s="31" t="str">
        <f aca="false">IF(H266="","Open",IF(H266&lt;=INDEX(Assumptions!$C$15:$C$18,MATCH(E266,Assumptions!$A$15:$A$18,0)),"Yes","No"))</f>
        <v>Yes</v>
      </c>
    </row>
    <row r="267" customFormat="false" ht="15" hidden="false" customHeight="false" outlineLevel="0" collapsed="false">
      <c r="A267" s="31" t="s">
        <v>417</v>
      </c>
      <c r="B267" s="44" t="n">
        <v>46207</v>
      </c>
      <c r="C267" s="31" t="s">
        <v>57</v>
      </c>
      <c r="D267" s="31" t="s">
        <v>68</v>
      </c>
      <c r="E267" s="31" t="s">
        <v>52</v>
      </c>
      <c r="F267" s="31" t="s">
        <v>135</v>
      </c>
      <c r="G267" s="31" t="n">
        <v>15</v>
      </c>
      <c r="H267" s="41" t="n">
        <v>15.3</v>
      </c>
      <c r="I267" s="31" t="s">
        <v>64</v>
      </c>
      <c r="J267" s="31"/>
      <c r="K267" s="31" t="s">
        <v>150</v>
      </c>
      <c r="L267" s="45" t="n">
        <f aca="false">DATE(YEAR(B267),MONTH(B267),1)</f>
        <v>46204</v>
      </c>
      <c r="M267" s="31" t="n">
        <f aca="false">WEEKDAY(B267,2)</f>
        <v>6</v>
      </c>
      <c r="N267" s="31" t="str">
        <f aca="false">IF(G267&lt;=INDEX(Assumptions!$B$15:$B$18,MATCH(E267,Assumptions!$A$15:$A$18,0)),"Yes","No")</f>
        <v>Yes</v>
      </c>
      <c r="O267" s="31" t="str">
        <f aca="false">IF(H267="","Open",IF(H267&lt;=INDEX(Assumptions!$C$15:$C$18,MATCH(E267,Assumptions!$A$15:$A$18,0)),"Yes","No"))</f>
        <v>Yes</v>
      </c>
    </row>
    <row r="268" customFormat="false" ht="15" hidden="false" customHeight="false" outlineLevel="0" collapsed="false">
      <c r="A268" s="31" t="s">
        <v>418</v>
      </c>
      <c r="B268" s="44" t="n">
        <v>46207</v>
      </c>
      <c r="C268" s="31" t="s">
        <v>60</v>
      </c>
      <c r="D268" s="31" t="s">
        <v>66</v>
      </c>
      <c r="E268" s="31" t="s">
        <v>51</v>
      </c>
      <c r="F268" s="31" t="s">
        <v>119</v>
      </c>
      <c r="G268" s="31" t="n">
        <v>1</v>
      </c>
      <c r="H268" s="41" t="n">
        <v>5.1</v>
      </c>
      <c r="I268" s="31" t="s">
        <v>149</v>
      </c>
      <c r="J268" s="31" t="n">
        <v>5</v>
      </c>
      <c r="K268" s="31" t="s">
        <v>150</v>
      </c>
      <c r="L268" s="45" t="n">
        <f aca="false">DATE(YEAR(B268),MONTH(B268),1)</f>
        <v>46204</v>
      </c>
      <c r="M268" s="31" t="n">
        <f aca="false">WEEKDAY(B268,2)</f>
        <v>6</v>
      </c>
      <c r="N268" s="31" t="str">
        <f aca="false">IF(G268&lt;=INDEX(Assumptions!$B$15:$B$18,MATCH(E268,Assumptions!$A$15:$A$18,0)),"Yes","No")</f>
        <v>Yes</v>
      </c>
      <c r="O268" s="31" t="str">
        <f aca="false">IF(H268="","Open",IF(H268&lt;=INDEX(Assumptions!$C$15:$C$18,MATCH(E268,Assumptions!$A$15:$A$18,0)),"Yes","No"))</f>
        <v>Yes</v>
      </c>
    </row>
    <row r="269" customFormat="false" ht="15" hidden="false" customHeight="false" outlineLevel="0" collapsed="false">
      <c r="A269" s="31" t="s">
        <v>419</v>
      </c>
      <c r="B269" s="44" t="n">
        <v>46207</v>
      </c>
      <c r="C269" s="31" t="s">
        <v>60</v>
      </c>
      <c r="D269" s="31" t="s">
        <v>67</v>
      </c>
      <c r="E269" s="31" t="s">
        <v>50</v>
      </c>
      <c r="F269" s="31" t="s">
        <v>127</v>
      </c>
      <c r="G269" s="31" t="n">
        <v>1</v>
      </c>
      <c r="H269" s="41" t="n">
        <v>5</v>
      </c>
      <c r="I269" s="31" t="s">
        <v>149</v>
      </c>
      <c r="J269" s="31"/>
      <c r="K269" s="31" t="s">
        <v>150</v>
      </c>
      <c r="L269" s="45" t="n">
        <f aca="false">DATE(YEAR(B269),MONTH(B269),1)</f>
        <v>46204</v>
      </c>
      <c r="M269" s="31" t="n">
        <f aca="false">WEEKDAY(B269,2)</f>
        <v>6</v>
      </c>
      <c r="N269" s="31" t="str">
        <f aca="false">IF(G269&lt;=INDEX(Assumptions!$B$15:$B$18,MATCH(E269,Assumptions!$A$15:$A$18,0)),"Yes","No")</f>
        <v>Yes</v>
      </c>
      <c r="O269" s="31" t="str">
        <f aca="false">IF(H269="","Open",IF(H269&lt;=INDEX(Assumptions!$C$15:$C$18,MATCH(E269,Assumptions!$A$15:$A$18,0)),"Yes","No"))</f>
        <v>Yes</v>
      </c>
    </row>
    <row r="270" customFormat="false" ht="15" hidden="false" customHeight="false" outlineLevel="0" collapsed="false">
      <c r="A270" s="31" t="s">
        <v>420</v>
      </c>
      <c r="B270" s="44" t="n">
        <v>46207</v>
      </c>
      <c r="C270" s="31" t="s">
        <v>59</v>
      </c>
      <c r="D270" s="31" t="s">
        <v>69</v>
      </c>
      <c r="E270" s="31" t="s">
        <v>52</v>
      </c>
      <c r="F270" s="31" t="s">
        <v>130</v>
      </c>
      <c r="G270" s="31" t="n">
        <v>52</v>
      </c>
      <c r="H270" s="41" t="n">
        <v>39.6</v>
      </c>
      <c r="I270" s="31" t="s">
        <v>149</v>
      </c>
      <c r="J270" s="31"/>
      <c r="K270" s="31" t="s">
        <v>150</v>
      </c>
      <c r="L270" s="45" t="n">
        <f aca="false">DATE(YEAR(B270),MONTH(B270),1)</f>
        <v>46204</v>
      </c>
      <c r="M270" s="31" t="n">
        <f aca="false">WEEKDAY(B270,2)</f>
        <v>6</v>
      </c>
      <c r="N270" s="31" t="str">
        <f aca="false">IF(G270&lt;=INDEX(Assumptions!$B$15:$B$18,MATCH(E270,Assumptions!$A$15:$A$18,0)),"Yes","No")</f>
        <v>Yes</v>
      </c>
      <c r="O270" s="31" t="str">
        <f aca="false">IF(H270="","Open",IF(H270&lt;=INDEX(Assumptions!$C$15:$C$18,MATCH(E270,Assumptions!$A$15:$A$18,0)),"Yes","No"))</f>
        <v>Yes</v>
      </c>
    </row>
    <row r="271" customFormat="false" ht="15" hidden="false" customHeight="false" outlineLevel="0" collapsed="false">
      <c r="A271" s="31" t="s">
        <v>421</v>
      </c>
      <c r="B271" s="44" t="n">
        <v>46207</v>
      </c>
      <c r="C271" s="31" t="s">
        <v>58</v>
      </c>
      <c r="D271" s="31" t="s">
        <v>67</v>
      </c>
      <c r="E271" s="31" t="s">
        <v>50</v>
      </c>
      <c r="F271" s="31" t="s">
        <v>126</v>
      </c>
      <c r="G271" s="31" t="n">
        <v>4</v>
      </c>
      <c r="H271" s="41" t="n">
        <v>3.1</v>
      </c>
      <c r="I271" s="31" t="s">
        <v>149</v>
      </c>
      <c r="J271" s="31" t="n">
        <v>5</v>
      </c>
      <c r="K271" s="31" t="s">
        <v>150</v>
      </c>
      <c r="L271" s="45" t="n">
        <f aca="false">DATE(YEAR(B271),MONTH(B271),1)</f>
        <v>46204</v>
      </c>
      <c r="M271" s="31" t="n">
        <f aca="false">WEEKDAY(B271,2)</f>
        <v>6</v>
      </c>
      <c r="N271" s="31" t="str">
        <f aca="false">IF(G271&lt;=INDEX(Assumptions!$B$15:$B$18,MATCH(E271,Assumptions!$A$15:$A$18,0)),"Yes","No")</f>
        <v>Yes</v>
      </c>
      <c r="O271" s="31" t="str">
        <f aca="false">IF(H271="","Open",IF(H271&lt;=INDEX(Assumptions!$C$15:$C$18,MATCH(E271,Assumptions!$A$15:$A$18,0)),"Yes","No"))</f>
        <v>Yes</v>
      </c>
    </row>
    <row r="272" customFormat="false" ht="15" hidden="false" customHeight="false" outlineLevel="0" collapsed="false">
      <c r="A272" s="31" t="s">
        <v>422</v>
      </c>
      <c r="B272" s="44" t="n">
        <v>46207</v>
      </c>
      <c r="C272" s="31" t="s">
        <v>59</v>
      </c>
      <c r="D272" s="31" t="s">
        <v>66</v>
      </c>
      <c r="E272" s="31" t="s">
        <v>50</v>
      </c>
      <c r="F272" s="31" t="s">
        <v>133</v>
      </c>
      <c r="G272" s="31" t="n">
        <v>55</v>
      </c>
      <c r="H272" s="41" t="n">
        <v>2.6</v>
      </c>
      <c r="I272" s="31" t="s">
        <v>149</v>
      </c>
      <c r="J272" s="31"/>
      <c r="K272" s="31" t="s">
        <v>150</v>
      </c>
      <c r="L272" s="45" t="n">
        <f aca="false">DATE(YEAR(B272),MONTH(B272),1)</f>
        <v>46204</v>
      </c>
      <c r="M272" s="31" t="n">
        <f aca="false">WEEKDAY(B272,2)</f>
        <v>6</v>
      </c>
      <c r="N272" s="31" t="str">
        <f aca="false">IF(G272&lt;=INDEX(Assumptions!$B$15:$B$18,MATCH(E272,Assumptions!$A$15:$A$18,0)),"Yes","No")</f>
        <v>No</v>
      </c>
      <c r="O272" s="31" t="str">
        <f aca="false">IF(H272="","Open",IF(H272&lt;=INDEX(Assumptions!$C$15:$C$18,MATCH(E272,Assumptions!$A$15:$A$18,0)),"Yes","No"))</f>
        <v>Yes</v>
      </c>
    </row>
    <row r="273" customFormat="false" ht="15" hidden="false" customHeight="false" outlineLevel="0" collapsed="false">
      <c r="A273" s="31" t="s">
        <v>423</v>
      </c>
      <c r="B273" s="44" t="n">
        <v>46207</v>
      </c>
      <c r="C273" s="31" t="s">
        <v>60</v>
      </c>
      <c r="D273" s="31" t="s">
        <v>65</v>
      </c>
      <c r="E273" s="31" t="s">
        <v>51</v>
      </c>
      <c r="F273" s="31" t="s">
        <v>128</v>
      </c>
      <c r="G273" s="31" t="n">
        <v>4</v>
      </c>
      <c r="H273" s="41" t="n">
        <v>10.3</v>
      </c>
      <c r="I273" s="31" t="s">
        <v>149</v>
      </c>
      <c r="J273" s="31"/>
      <c r="K273" s="31" t="s">
        <v>150</v>
      </c>
      <c r="L273" s="45" t="n">
        <f aca="false">DATE(YEAR(B273),MONTH(B273),1)</f>
        <v>46204</v>
      </c>
      <c r="M273" s="31" t="n">
        <f aca="false">WEEKDAY(B273,2)</f>
        <v>6</v>
      </c>
      <c r="N273" s="31" t="str">
        <f aca="false">IF(G273&lt;=INDEX(Assumptions!$B$15:$B$18,MATCH(E273,Assumptions!$A$15:$A$18,0)),"Yes","No")</f>
        <v>Yes</v>
      </c>
      <c r="O273" s="31" t="str">
        <f aca="false">IF(H273="","Open",IF(H273&lt;=INDEX(Assumptions!$C$15:$C$18,MATCH(E273,Assumptions!$A$15:$A$18,0)),"Yes","No"))</f>
        <v>Yes</v>
      </c>
    </row>
    <row r="274" customFormat="false" ht="15" hidden="false" customHeight="false" outlineLevel="0" collapsed="false">
      <c r="A274" s="31" t="s">
        <v>424</v>
      </c>
      <c r="B274" s="44" t="n">
        <v>46207</v>
      </c>
      <c r="C274" s="31" t="s">
        <v>60</v>
      </c>
      <c r="D274" s="31" t="s">
        <v>66</v>
      </c>
      <c r="E274" s="31" t="s">
        <v>50</v>
      </c>
      <c r="F274" s="31" t="s">
        <v>130</v>
      </c>
      <c r="G274" s="31" t="n">
        <v>1</v>
      </c>
      <c r="H274" s="41" t="n">
        <v>3.6</v>
      </c>
      <c r="I274" s="31" t="s">
        <v>149</v>
      </c>
      <c r="J274" s="31" t="n">
        <v>5</v>
      </c>
      <c r="K274" s="31" t="s">
        <v>150</v>
      </c>
      <c r="L274" s="45" t="n">
        <f aca="false">DATE(YEAR(B274),MONTH(B274),1)</f>
        <v>46204</v>
      </c>
      <c r="M274" s="31" t="n">
        <f aca="false">WEEKDAY(B274,2)</f>
        <v>6</v>
      </c>
      <c r="N274" s="31" t="str">
        <f aca="false">IF(G274&lt;=INDEX(Assumptions!$B$15:$B$18,MATCH(E274,Assumptions!$A$15:$A$18,0)),"Yes","No")</f>
        <v>Yes</v>
      </c>
      <c r="O274" s="31" t="str">
        <f aca="false">IF(H274="","Open",IF(H274&lt;=INDEX(Assumptions!$C$15:$C$18,MATCH(E274,Assumptions!$A$15:$A$18,0)),"Yes","No"))</f>
        <v>Yes</v>
      </c>
    </row>
    <row r="275" customFormat="false" ht="15" hidden="false" customHeight="false" outlineLevel="0" collapsed="false">
      <c r="A275" s="31" t="s">
        <v>425</v>
      </c>
      <c r="B275" s="44" t="n">
        <v>46207</v>
      </c>
      <c r="C275" s="31" t="s">
        <v>58</v>
      </c>
      <c r="D275" s="31" t="s">
        <v>65</v>
      </c>
      <c r="E275" s="31" t="s">
        <v>51</v>
      </c>
      <c r="F275" s="31" t="s">
        <v>136</v>
      </c>
      <c r="G275" s="31" t="n">
        <v>4</v>
      </c>
      <c r="H275" s="41" t="n">
        <v>17</v>
      </c>
      <c r="I275" s="31" t="s">
        <v>149</v>
      </c>
      <c r="J275" s="31" t="n">
        <v>5</v>
      </c>
      <c r="K275" s="31" t="s">
        <v>150</v>
      </c>
      <c r="L275" s="45" t="n">
        <f aca="false">DATE(YEAR(B275),MONTH(B275),1)</f>
        <v>46204</v>
      </c>
      <c r="M275" s="31" t="n">
        <f aca="false">WEEKDAY(B275,2)</f>
        <v>6</v>
      </c>
      <c r="N275" s="31" t="str">
        <f aca="false">IF(G275&lt;=INDEX(Assumptions!$B$15:$B$18,MATCH(E275,Assumptions!$A$15:$A$18,0)),"Yes","No")</f>
        <v>Yes</v>
      </c>
      <c r="O275" s="31" t="str">
        <f aca="false">IF(H275="","Open",IF(H275&lt;=INDEX(Assumptions!$C$15:$C$18,MATCH(E275,Assumptions!$A$15:$A$18,0)),"Yes","No"))</f>
        <v>Yes</v>
      </c>
    </row>
    <row r="276" customFormat="false" ht="15" hidden="false" customHeight="false" outlineLevel="0" collapsed="false">
      <c r="A276" s="31" t="s">
        <v>426</v>
      </c>
      <c r="B276" s="44" t="n">
        <v>46207</v>
      </c>
      <c r="C276" s="31" t="s">
        <v>60</v>
      </c>
      <c r="D276" s="31" t="s">
        <v>67</v>
      </c>
      <c r="E276" s="31" t="s">
        <v>52</v>
      </c>
      <c r="F276" s="31" t="s">
        <v>131</v>
      </c>
      <c r="G276" s="31" t="n">
        <v>1</v>
      </c>
      <c r="H276" s="41" t="n">
        <v>59.2</v>
      </c>
      <c r="I276" s="31" t="s">
        <v>149</v>
      </c>
      <c r="J276" s="31"/>
      <c r="K276" s="31" t="s">
        <v>150</v>
      </c>
      <c r="L276" s="45" t="n">
        <f aca="false">DATE(YEAR(B276),MONTH(B276),1)</f>
        <v>46204</v>
      </c>
      <c r="M276" s="31" t="n">
        <f aca="false">WEEKDAY(B276,2)</f>
        <v>6</v>
      </c>
      <c r="N276" s="31" t="str">
        <f aca="false">IF(G276&lt;=INDEX(Assumptions!$B$15:$B$18,MATCH(E276,Assumptions!$A$15:$A$18,0)),"Yes","No")</f>
        <v>Yes</v>
      </c>
      <c r="O276" s="31" t="str">
        <f aca="false">IF(H276="","Open",IF(H276&lt;=INDEX(Assumptions!$C$15:$C$18,MATCH(E276,Assumptions!$A$15:$A$18,0)),"Yes","No"))</f>
        <v>Yes</v>
      </c>
    </row>
    <row r="277" customFormat="false" ht="15" hidden="false" customHeight="false" outlineLevel="0" collapsed="false">
      <c r="A277" s="31" t="s">
        <v>427</v>
      </c>
      <c r="B277" s="44" t="n">
        <v>46207</v>
      </c>
      <c r="C277" s="31" t="s">
        <v>57</v>
      </c>
      <c r="D277" s="31" t="s">
        <v>65</v>
      </c>
      <c r="E277" s="31" t="s">
        <v>51</v>
      </c>
      <c r="F277" s="31" t="s">
        <v>123</v>
      </c>
      <c r="G277" s="31" t="n">
        <v>4</v>
      </c>
      <c r="H277" s="41" t="n">
        <v>24.8</v>
      </c>
      <c r="I277" s="31" t="s">
        <v>149</v>
      </c>
      <c r="J277" s="31" t="n">
        <v>4</v>
      </c>
      <c r="K277" s="31" t="s">
        <v>150</v>
      </c>
      <c r="L277" s="45" t="n">
        <f aca="false">DATE(YEAR(B277),MONTH(B277),1)</f>
        <v>46204</v>
      </c>
      <c r="M277" s="31" t="n">
        <f aca="false">WEEKDAY(B277,2)</f>
        <v>6</v>
      </c>
      <c r="N277" s="31" t="str">
        <f aca="false">IF(G277&lt;=INDEX(Assumptions!$B$15:$B$18,MATCH(E277,Assumptions!$A$15:$A$18,0)),"Yes","No")</f>
        <v>Yes</v>
      </c>
      <c r="O277" s="31" t="str">
        <f aca="false">IF(H277="","Open",IF(H277&lt;=INDEX(Assumptions!$C$15:$C$18,MATCH(E277,Assumptions!$A$15:$A$18,0)),"Yes","No"))</f>
        <v>No</v>
      </c>
    </row>
    <row r="278" customFormat="false" ht="15" hidden="false" customHeight="false" outlineLevel="0" collapsed="false">
      <c r="A278" s="31" t="s">
        <v>428</v>
      </c>
      <c r="B278" s="44" t="n">
        <v>46207</v>
      </c>
      <c r="C278" s="31" t="s">
        <v>58</v>
      </c>
      <c r="D278" s="31" t="s">
        <v>66</v>
      </c>
      <c r="E278" s="31" t="s">
        <v>52</v>
      </c>
      <c r="F278" s="31" t="s">
        <v>121</v>
      </c>
      <c r="G278" s="31" t="n">
        <v>8</v>
      </c>
      <c r="H278" s="41" t="n">
        <v>2.4</v>
      </c>
      <c r="I278" s="31" t="s">
        <v>149</v>
      </c>
      <c r="J278" s="31"/>
      <c r="K278" s="31" t="s">
        <v>150</v>
      </c>
      <c r="L278" s="45" t="n">
        <f aca="false">DATE(YEAR(B278),MONTH(B278),1)</f>
        <v>46204</v>
      </c>
      <c r="M278" s="31" t="n">
        <f aca="false">WEEKDAY(B278,2)</f>
        <v>6</v>
      </c>
      <c r="N278" s="31" t="str">
        <f aca="false">IF(G278&lt;=INDEX(Assumptions!$B$15:$B$18,MATCH(E278,Assumptions!$A$15:$A$18,0)),"Yes","No")</f>
        <v>Yes</v>
      </c>
      <c r="O278" s="31" t="str">
        <f aca="false">IF(H278="","Open",IF(H278&lt;=INDEX(Assumptions!$C$15:$C$18,MATCH(E278,Assumptions!$A$15:$A$18,0)),"Yes","No"))</f>
        <v>Yes</v>
      </c>
    </row>
    <row r="279" customFormat="false" ht="15" hidden="false" customHeight="false" outlineLevel="0" collapsed="false">
      <c r="A279" s="31" t="s">
        <v>429</v>
      </c>
      <c r="B279" s="44" t="n">
        <v>46207</v>
      </c>
      <c r="C279" s="31" t="s">
        <v>58</v>
      </c>
      <c r="D279" s="31" t="s">
        <v>66</v>
      </c>
      <c r="E279" s="31" t="s">
        <v>52</v>
      </c>
      <c r="F279" s="31" t="s">
        <v>133</v>
      </c>
      <c r="G279" s="31" t="n">
        <v>10</v>
      </c>
      <c r="H279" s="41" t="n">
        <v>1.6</v>
      </c>
      <c r="I279" s="31" t="s">
        <v>149</v>
      </c>
      <c r="J279" s="31"/>
      <c r="K279" s="31" t="s">
        <v>150</v>
      </c>
      <c r="L279" s="45" t="n">
        <f aca="false">DATE(YEAR(B279),MONTH(B279),1)</f>
        <v>46204</v>
      </c>
      <c r="M279" s="31" t="n">
        <f aca="false">WEEKDAY(B279,2)</f>
        <v>6</v>
      </c>
      <c r="N279" s="31" t="str">
        <f aca="false">IF(G279&lt;=INDEX(Assumptions!$B$15:$B$18,MATCH(E279,Assumptions!$A$15:$A$18,0)),"Yes","No")</f>
        <v>Yes</v>
      </c>
      <c r="O279" s="31" t="str">
        <f aca="false">IF(H279="","Open",IF(H279&lt;=INDEX(Assumptions!$C$15:$C$18,MATCH(E279,Assumptions!$A$15:$A$18,0)),"Yes","No"))</f>
        <v>Yes</v>
      </c>
    </row>
    <row r="280" customFormat="false" ht="15" hidden="false" customHeight="false" outlineLevel="0" collapsed="false">
      <c r="A280" s="31" t="s">
        <v>430</v>
      </c>
      <c r="B280" s="44" t="n">
        <v>46207</v>
      </c>
      <c r="C280" s="31" t="s">
        <v>58</v>
      </c>
      <c r="D280" s="31" t="s">
        <v>69</v>
      </c>
      <c r="E280" s="31" t="s">
        <v>51</v>
      </c>
      <c r="F280" s="31" t="s">
        <v>120</v>
      </c>
      <c r="G280" s="31" t="n">
        <v>49</v>
      </c>
      <c r="H280" s="41" t="n">
        <v>110.9</v>
      </c>
      <c r="I280" s="31" t="s">
        <v>64</v>
      </c>
      <c r="J280" s="31"/>
      <c r="K280" s="31" t="s">
        <v>150</v>
      </c>
      <c r="L280" s="45" t="n">
        <f aca="false">DATE(YEAR(B280),MONTH(B280),1)</f>
        <v>46204</v>
      </c>
      <c r="M280" s="31" t="n">
        <f aca="false">WEEKDAY(B280,2)</f>
        <v>6</v>
      </c>
      <c r="N280" s="31" t="str">
        <f aca="false">IF(G280&lt;=INDEX(Assumptions!$B$15:$B$18,MATCH(E280,Assumptions!$A$15:$A$18,0)),"Yes","No")</f>
        <v>Yes</v>
      </c>
      <c r="O280" s="31" t="str">
        <f aca="false">IF(H280="","Open",IF(H280&lt;=INDEX(Assumptions!$C$15:$C$18,MATCH(E280,Assumptions!$A$15:$A$18,0)),"Yes","No"))</f>
        <v>No</v>
      </c>
    </row>
    <row r="281" customFormat="false" ht="15" hidden="false" customHeight="false" outlineLevel="0" collapsed="false">
      <c r="A281" s="31" t="s">
        <v>431</v>
      </c>
      <c r="B281" s="44" t="n">
        <v>46207</v>
      </c>
      <c r="C281" s="31" t="s">
        <v>58</v>
      </c>
      <c r="D281" s="31" t="s">
        <v>68</v>
      </c>
      <c r="E281" s="31" t="s">
        <v>51</v>
      </c>
      <c r="F281" s="31" t="s">
        <v>123</v>
      </c>
      <c r="G281" s="31" t="n">
        <v>23</v>
      </c>
      <c r="H281" s="41" t="n">
        <v>4.7</v>
      </c>
      <c r="I281" s="31" t="s">
        <v>149</v>
      </c>
      <c r="J281" s="31"/>
      <c r="K281" s="31" t="s">
        <v>150</v>
      </c>
      <c r="L281" s="45" t="n">
        <f aca="false">DATE(YEAR(B281),MONTH(B281),1)</f>
        <v>46204</v>
      </c>
      <c r="M281" s="31" t="n">
        <f aca="false">WEEKDAY(B281,2)</f>
        <v>6</v>
      </c>
      <c r="N281" s="31" t="str">
        <f aca="false">IF(G281&lt;=INDEX(Assumptions!$B$15:$B$18,MATCH(E281,Assumptions!$A$15:$A$18,0)),"Yes","No")</f>
        <v>Yes</v>
      </c>
      <c r="O281" s="31" t="str">
        <f aca="false">IF(H281="","Open",IF(H281&lt;=INDEX(Assumptions!$C$15:$C$18,MATCH(E281,Assumptions!$A$15:$A$18,0)),"Yes","No"))</f>
        <v>Yes</v>
      </c>
    </row>
    <row r="282" customFormat="false" ht="15" hidden="false" customHeight="false" outlineLevel="0" collapsed="false">
      <c r="A282" s="31" t="s">
        <v>432</v>
      </c>
      <c r="B282" s="44" t="n">
        <v>46207</v>
      </c>
      <c r="C282" s="31" t="s">
        <v>59</v>
      </c>
      <c r="D282" s="31" t="s">
        <v>66</v>
      </c>
      <c r="E282" s="31" t="s">
        <v>52</v>
      </c>
      <c r="F282" s="31" t="s">
        <v>128</v>
      </c>
      <c r="G282" s="31" t="n">
        <v>191</v>
      </c>
      <c r="H282" s="41" t="n">
        <v>9.5</v>
      </c>
      <c r="I282" s="31" t="s">
        <v>64</v>
      </c>
      <c r="J282" s="31" t="n">
        <v>4</v>
      </c>
      <c r="K282" s="31" t="s">
        <v>150</v>
      </c>
      <c r="L282" s="45" t="n">
        <f aca="false">DATE(YEAR(B282),MONTH(B282),1)</f>
        <v>46204</v>
      </c>
      <c r="M282" s="31" t="n">
        <f aca="false">WEEKDAY(B282,2)</f>
        <v>6</v>
      </c>
      <c r="N282" s="31" t="str">
        <f aca="false">IF(G282&lt;=INDEX(Assumptions!$B$15:$B$18,MATCH(E282,Assumptions!$A$15:$A$18,0)),"Yes","No")</f>
        <v>Yes</v>
      </c>
      <c r="O282" s="31" t="str">
        <f aca="false">IF(H282="","Open",IF(H282&lt;=INDEX(Assumptions!$C$15:$C$18,MATCH(E282,Assumptions!$A$15:$A$18,0)),"Yes","No"))</f>
        <v>Yes</v>
      </c>
    </row>
    <row r="283" customFormat="false" ht="15" hidden="false" customHeight="false" outlineLevel="0" collapsed="false">
      <c r="A283" s="31" t="s">
        <v>433</v>
      </c>
      <c r="B283" s="44" t="n">
        <v>46207</v>
      </c>
      <c r="C283" s="31" t="s">
        <v>59</v>
      </c>
      <c r="D283" s="31" t="s">
        <v>66</v>
      </c>
      <c r="E283" s="31" t="s">
        <v>52</v>
      </c>
      <c r="F283" s="31" t="s">
        <v>123</v>
      </c>
      <c r="G283" s="31" t="n">
        <v>193</v>
      </c>
      <c r="H283" s="41" t="n">
        <v>5.9</v>
      </c>
      <c r="I283" s="31" t="s">
        <v>149</v>
      </c>
      <c r="J283" s="31"/>
      <c r="K283" s="31" t="s">
        <v>150</v>
      </c>
      <c r="L283" s="45" t="n">
        <f aca="false">DATE(YEAR(B283),MONTH(B283),1)</f>
        <v>46204</v>
      </c>
      <c r="M283" s="31" t="n">
        <f aca="false">WEEKDAY(B283,2)</f>
        <v>6</v>
      </c>
      <c r="N283" s="31" t="str">
        <f aca="false">IF(G283&lt;=INDEX(Assumptions!$B$15:$B$18,MATCH(E283,Assumptions!$A$15:$A$18,0)),"Yes","No")</f>
        <v>Yes</v>
      </c>
      <c r="O283" s="31" t="str">
        <f aca="false">IF(H283="","Open",IF(H283&lt;=INDEX(Assumptions!$C$15:$C$18,MATCH(E283,Assumptions!$A$15:$A$18,0)),"Yes","No"))</f>
        <v>Yes</v>
      </c>
    </row>
    <row r="284" customFormat="false" ht="15" hidden="false" customHeight="false" outlineLevel="0" collapsed="false">
      <c r="A284" s="31" t="s">
        <v>434</v>
      </c>
      <c r="B284" s="44" t="n">
        <v>46207</v>
      </c>
      <c r="C284" s="31" t="s">
        <v>59</v>
      </c>
      <c r="D284" s="31" t="s">
        <v>65</v>
      </c>
      <c r="E284" s="31" t="s">
        <v>49</v>
      </c>
      <c r="F284" s="31" t="s">
        <v>117</v>
      </c>
      <c r="G284" s="31" t="n">
        <v>17</v>
      </c>
      <c r="H284" s="41" t="n">
        <v>1.5</v>
      </c>
      <c r="I284" s="31" t="s">
        <v>149</v>
      </c>
      <c r="J284" s="31"/>
      <c r="K284" s="31" t="s">
        <v>150</v>
      </c>
      <c r="L284" s="45" t="n">
        <f aca="false">DATE(YEAR(B284),MONTH(B284),1)</f>
        <v>46204</v>
      </c>
      <c r="M284" s="31" t="n">
        <f aca="false">WEEKDAY(B284,2)</f>
        <v>6</v>
      </c>
      <c r="N284" s="31" t="str">
        <f aca="false">IF(G284&lt;=INDEX(Assumptions!$B$15:$B$18,MATCH(E284,Assumptions!$A$15:$A$18,0)),"Yes","No")</f>
        <v>No</v>
      </c>
      <c r="O284" s="31" t="str">
        <f aca="false">IF(H284="","Open",IF(H284&lt;=INDEX(Assumptions!$C$15:$C$18,MATCH(E284,Assumptions!$A$15:$A$18,0)),"Yes","No"))</f>
        <v>Yes</v>
      </c>
    </row>
    <row r="285" customFormat="false" ht="15" hidden="false" customHeight="false" outlineLevel="0" collapsed="false">
      <c r="A285" s="31" t="s">
        <v>435</v>
      </c>
      <c r="B285" s="44" t="n">
        <v>46207</v>
      </c>
      <c r="C285" s="31" t="s">
        <v>60</v>
      </c>
      <c r="D285" s="31" t="s">
        <v>68</v>
      </c>
      <c r="E285" s="31" t="s">
        <v>52</v>
      </c>
      <c r="F285" s="31" t="s">
        <v>128</v>
      </c>
      <c r="G285" s="31" t="n">
        <v>2</v>
      </c>
      <c r="H285" s="41" t="n">
        <v>2.8</v>
      </c>
      <c r="I285" s="31" t="s">
        <v>149</v>
      </c>
      <c r="J285" s="31" t="n">
        <v>4</v>
      </c>
      <c r="K285" s="31" t="s">
        <v>153</v>
      </c>
      <c r="L285" s="45" t="n">
        <f aca="false">DATE(YEAR(B285),MONTH(B285),1)</f>
        <v>46204</v>
      </c>
      <c r="M285" s="31" t="n">
        <f aca="false">WEEKDAY(B285,2)</f>
        <v>6</v>
      </c>
      <c r="N285" s="31" t="str">
        <f aca="false">IF(G285&lt;=INDEX(Assumptions!$B$15:$B$18,MATCH(E285,Assumptions!$A$15:$A$18,0)),"Yes","No")</f>
        <v>Yes</v>
      </c>
      <c r="O285" s="31" t="str">
        <f aca="false">IF(H285="","Open",IF(H285&lt;=INDEX(Assumptions!$C$15:$C$18,MATCH(E285,Assumptions!$A$15:$A$18,0)),"Yes","No"))</f>
        <v>Yes</v>
      </c>
    </row>
    <row r="286" customFormat="false" ht="15" hidden="false" customHeight="false" outlineLevel="0" collapsed="false">
      <c r="A286" s="31" t="s">
        <v>436</v>
      </c>
      <c r="B286" s="44" t="n">
        <v>46207</v>
      </c>
      <c r="C286" s="31" t="s">
        <v>60</v>
      </c>
      <c r="D286" s="31" t="s">
        <v>65</v>
      </c>
      <c r="E286" s="31" t="s">
        <v>52</v>
      </c>
      <c r="F286" s="31" t="s">
        <v>128</v>
      </c>
      <c r="G286" s="31" t="n">
        <v>4</v>
      </c>
      <c r="H286" s="41" t="n">
        <v>6.9</v>
      </c>
      <c r="I286" s="31" t="s">
        <v>149</v>
      </c>
      <c r="J286" s="31" t="n">
        <v>3</v>
      </c>
      <c r="K286" s="31" t="s">
        <v>150</v>
      </c>
      <c r="L286" s="45" t="n">
        <f aca="false">DATE(YEAR(B286),MONTH(B286),1)</f>
        <v>46204</v>
      </c>
      <c r="M286" s="31" t="n">
        <f aca="false">WEEKDAY(B286,2)</f>
        <v>6</v>
      </c>
      <c r="N286" s="31" t="str">
        <f aca="false">IF(G286&lt;=INDEX(Assumptions!$B$15:$B$18,MATCH(E286,Assumptions!$A$15:$A$18,0)),"Yes","No")</f>
        <v>Yes</v>
      </c>
      <c r="O286" s="31" t="str">
        <f aca="false">IF(H286="","Open",IF(H286&lt;=INDEX(Assumptions!$C$15:$C$18,MATCH(E286,Assumptions!$A$15:$A$18,0)),"Yes","No"))</f>
        <v>Yes</v>
      </c>
    </row>
    <row r="287" customFormat="false" ht="15" hidden="false" customHeight="false" outlineLevel="0" collapsed="false">
      <c r="A287" s="31" t="s">
        <v>437</v>
      </c>
      <c r="B287" s="44" t="n">
        <v>46207</v>
      </c>
      <c r="C287" s="31" t="s">
        <v>58</v>
      </c>
      <c r="D287" s="31" t="s">
        <v>68</v>
      </c>
      <c r="E287" s="31" t="s">
        <v>51</v>
      </c>
      <c r="F287" s="31" t="s">
        <v>123</v>
      </c>
      <c r="G287" s="31" t="n">
        <v>7</v>
      </c>
      <c r="H287" s="41" t="n">
        <v>1.2</v>
      </c>
      <c r="I287" s="31" t="s">
        <v>149</v>
      </c>
      <c r="J287" s="31"/>
      <c r="K287" s="31" t="s">
        <v>150</v>
      </c>
      <c r="L287" s="45" t="n">
        <f aca="false">DATE(YEAR(B287),MONTH(B287),1)</f>
        <v>46204</v>
      </c>
      <c r="M287" s="31" t="n">
        <f aca="false">WEEKDAY(B287,2)</f>
        <v>6</v>
      </c>
      <c r="N287" s="31" t="str">
        <f aca="false">IF(G287&lt;=INDEX(Assumptions!$B$15:$B$18,MATCH(E287,Assumptions!$A$15:$A$18,0)),"Yes","No")</f>
        <v>Yes</v>
      </c>
      <c r="O287" s="31" t="str">
        <f aca="false">IF(H287="","Open",IF(H287&lt;=INDEX(Assumptions!$C$15:$C$18,MATCH(E287,Assumptions!$A$15:$A$18,0)),"Yes","No"))</f>
        <v>Yes</v>
      </c>
    </row>
    <row r="288" customFormat="false" ht="15" hidden="false" customHeight="false" outlineLevel="0" collapsed="false">
      <c r="A288" s="31" t="s">
        <v>438</v>
      </c>
      <c r="B288" s="44" t="n">
        <v>46207</v>
      </c>
      <c r="C288" s="31" t="s">
        <v>57</v>
      </c>
      <c r="D288" s="31" t="s">
        <v>67</v>
      </c>
      <c r="E288" s="31" t="s">
        <v>52</v>
      </c>
      <c r="F288" s="31" t="s">
        <v>120</v>
      </c>
      <c r="G288" s="31" t="n">
        <v>8</v>
      </c>
      <c r="H288" s="41" t="n">
        <v>26.3</v>
      </c>
      <c r="I288" s="31" t="s">
        <v>149</v>
      </c>
      <c r="J288" s="31" t="n">
        <v>5</v>
      </c>
      <c r="K288" s="31" t="s">
        <v>150</v>
      </c>
      <c r="L288" s="45" t="n">
        <f aca="false">DATE(YEAR(B288),MONTH(B288),1)</f>
        <v>46204</v>
      </c>
      <c r="M288" s="31" t="n">
        <f aca="false">WEEKDAY(B288,2)</f>
        <v>6</v>
      </c>
      <c r="N288" s="31" t="str">
        <f aca="false">IF(G288&lt;=INDEX(Assumptions!$B$15:$B$18,MATCH(E288,Assumptions!$A$15:$A$18,0)),"Yes","No")</f>
        <v>Yes</v>
      </c>
      <c r="O288" s="31" t="str">
        <f aca="false">IF(H288="","Open",IF(H288&lt;=INDEX(Assumptions!$C$15:$C$18,MATCH(E288,Assumptions!$A$15:$A$18,0)),"Yes","No"))</f>
        <v>Yes</v>
      </c>
    </row>
    <row r="289" customFormat="false" ht="15" hidden="false" customHeight="false" outlineLevel="0" collapsed="false">
      <c r="A289" s="31" t="s">
        <v>439</v>
      </c>
      <c r="B289" s="44" t="n">
        <v>46207</v>
      </c>
      <c r="C289" s="31" t="s">
        <v>58</v>
      </c>
      <c r="D289" s="31" t="s">
        <v>68</v>
      </c>
      <c r="E289" s="31" t="s">
        <v>51</v>
      </c>
      <c r="F289" s="31" t="s">
        <v>123</v>
      </c>
      <c r="G289" s="31" t="n">
        <v>6</v>
      </c>
      <c r="H289" s="41" t="n">
        <v>1.2</v>
      </c>
      <c r="I289" s="31" t="s">
        <v>149</v>
      </c>
      <c r="J289" s="31" t="n">
        <v>4</v>
      </c>
      <c r="K289" s="31" t="s">
        <v>153</v>
      </c>
      <c r="L289" s="45" t="n">
        <f aca="false">DATE(YEAR(B289),MONTH(B289),1)</f>
        <v>46204</v>
      </c>
      <c r="M289" s="31" t="n">
        <f aca="false">WEEKDAY(B289,2)</f>
        <v>6</v>
      </c>
      <c r="N289" s="31" t="str">
        <f aca="false">IF(G289&lt;=INDEX(Assumptions!$B$15:$B$18,MATCH(E289,Assumptions!$A$15:$A$18,0)),"Yes","No")</f>
        <v>Yes</v>
      </c>
      <c r="O289" s="31" t="str">
        <f aca="false">IF(H289="","Open",IF(H289&lt;=INDEX(Assumptions!$C$15:$C$18,MATCH(E289,Assumptions!$A$15:$A$18,0)),"Yes","No"))</f>
        <v>Yes</v>
      </c>
    </row>
    <row r="290" customFormat="false" ht="15" hidden="false" customHeight="false" outlineLevel="0" collapsed="false">
      <c r="A290" s="31" t="s">
        <v>440</v>
      </c>
      <c r="B290" s="44" t="n">
        <v>46207</v>
      </c>
      <c r="C290" s="31" t="s">
        <v>58</v>
      </c>
      <c r="D290" s="31" t="s">
        <v>65</v>
      </c>
      <c r="E290" s="31" t="s">
        <v>50</v>
      </c>
      <c r="F290" s="31" t="s">
        <v>127</v>
      </c>
      <c r="G290" s="31" t="n">
        <v>2</v>
      </c>
      <c r="H290" s="41" t="n">
        <v>45.2</v>
      </c>
      <c r="I290" s="31" t="s">
        <v>149</v>
      </c>
      <c r="J290" s="31"/>
      <c r="K290" s="31" t="s">
        <v>150</v>
      </c>
      <c r="L290" s="45" t="n">
        <f aca="false">DATE(YEAR(B290),MONTH(B290),1)</f>
        <v>46204</v>
      </c>
      <c r="M290" s="31" t="n">
        <f aca="false">WEEKDAY(B290,2)</f>
        <v>6</v>
      </c>
      <c r="N290" s="31" t="str">
        <f aca="false">IF(G290&lt;=INDEX(Assumptions!$B$15:$B$18,MATCH(E290,Assumptions!$A$15:$A$18,0)),"Yes","No")</f>
        <v>Yes</v>
      </c>
      <c r="O290" s="31" t="str">
        <f aca="false">IF(H290="","Open",IF(H290&lt;=INDEX(Assumptions!$C$15:$C$18,MATCH(E290,Assumptions!$A$15:$A$18,0)),"Yes","No"))</f>
        <v>No</v>
      </c>
    </row>
    <row r="291" customFormat="false" ht="15" hidden="false" customHeight="false" outlineLevel="0" collapsed="false">
      <c r="A291" s="31" t="s">
        <v>441</v>
      </c>
      <c r="B291" s="44" t="n">
        <v>46207</v>
      </c>
      <c r="C291" s="31" t="s">
        <v>59</v>
      </c>
      <c r="D291" s="31" t="s">
        <v>69</v>
      </c>
      <c r="E291" s="31" t="s">
        <v>51</v>
      </c>
      <c r="F291" s="31" t="s">
        <v>126</v>
      </c>
      <c r="G291" s="31" t="n">
        <v>43</v>
      </c>
      <c r="H291" s="41" t="n">
        <v>22.5</v>
      </c>
      <c r="I291" s="31" t="s">
        <v>149</v>
      </c>
      <c r="J291" s="31" t="n">
        <v>4</v>
      </c>
      <c r="K291" s="31" t="s">
        <v>150</v>
      </c>
      <c r="L291" s="45" t="n">
        <f aca="false">DATE(YEAR(B291),MONTH(B291),1)</f>
        <v>46204</v>
      </c>
      <c r="M291" s="31" t="n">
        <f aca="false">WEEKDAY(B291,2)</f>
        <v>6</v>
      </c>
      <c r="N291" s="31" t="str">
        <f aca="false">IF(G291&lt;=INDEX(Assumptions!$B$15:$B$18,MATCH(E291,Assumptions!$A$15:$A$18,0)),"Yes","No")</f>
        <v>Yes</v>
      </c>
      <c r="O291" s="31" t="str">
        <f aca="false">IF(H291="","Open",IF(H291&lt;=INDEX(Assumptions!$C$15:$C$18,MATCH(E291,Assumptions!$A$15:$A$18,0)),"Yes","No"))</f>
        <v>Yes</v>
      </c>
    </row>
    <row r="292" customFormat="false" ht="15" hidden="false" customHeight="false" outlineLevel="0" collapsed="false">
      <c r="A292" s="31" t="s">
        <v>442</v>
      </c>
      <c r="B292" s="44" t="n">
        <v>46207</v>
      </c>
      <c r="C292" s="31" t="s">
        <v>57</v>
      </c>
      <c r="D292" s="31" t="s">
        <v>66</v>
      </c>
      <c r="E292" s="31" t="s">
        <v>51</v>
      </c>
      <c r="F292" s="31" t="s">
        <v>121</v>
      </c>
      <c r="G292" s="31" t="n">
        <v>10</v>
      </c>
      <c r="H292" s="41" t="n">
        <v>36.8</v>
      </c>
      <c r="I292" s="31" t="s">
        <v>149</v>
      </c>
      <c r="J292" s="31"/>
      <c r="K292" s="31" t="s">
        <v>150</v>
      </c>
      <c r="L292" s="45" t="n">
        <f aca="false">DATE(YEAR(B292),MONTH(B292),1)</f>
        <v>46204</v>
      </c>
      <c r="M292" s="31" t="n">
        <f aca="false">WEEKDAY(B292,2)</f>
        <v>6</v>
      </c>
      <c r="N292" s="31" t="str">
        <f aca="false">IF(G292&lt;=INDEX(Assumptions!$B$15:$B$18,MATCH(E292,Assumptions!$A$15:$A$18,0)),"Yes","No")</f>
        <v>Yes</v>
      </c>
      <c r="O292" s="31" t="str">
        <f aca="false">IF(H292="","Open",IF(H292&lt;=INDEX(Assumptions!$C$15:$C$18,MATCH(E292,Assumptions!$A$15:$A$18,0)),"Yes","No"))</f>
        <v>No</v>
      </c>
    </row>
    <row r="293" customFormat="false" ht="15" hidden="false" customHeight="false" outlineLevel="0" collapsed="false">
      <c r="A293" s="31" t="s">
        <v>443</v>
      </c>
      <c r="B293" s="44" t="n">
        <v>46207</v>
      </c>
      <c r="C293" s="31" t="s">
        <v>57</v>
      </c>
      <c r="D293" s="31" t="s">
        <v>65</v>
      </c>
      <c r="E293" s="31" t="s">
        <v>52</v>
      </c>
      <c r="F293" s="31" t="s">
        <v>127</v>
      </c>
      <c r="G293" s="31" t="n">
        <v>9</v>
      </c>
      <c r="H293" s="41" t="n">
        <v>8.6</v>
      </c>
      <c r="I293" s="31" t="s">
        <v>149</v>
      </c>
      <c r="J293" s="31" t="n">
        <v>5</v>
      </c>
      <c r="K293" s="31" t="s">
        <v>150</v>
      </c>
      <c r="L293" s="45" t="n">
        <f aca="false">DATE(YEAR(B293),MONTH(B293),1)</f>
        <v>46204</v>
      </c>
      <c r="M293" s="31" t="n">
        <f aca="false">WEEKDAY(B293,2)</f>
        <v>6</v>
      </c>
      <c r="N293" s="31" t="str">
        <f aca="false">IF(G293&lt;=INDEX(Assumptions!$B$15:$B$18,MATCH(E293,Assumptions!$A$15:$A$18,0)),"Yes","No")</f>
        <v>Yes</v>
      </c>
      <c r="O293" s="31" t="str">
        <f aca="false">IF(H293="","Open",IF(H293&lt;=INDEX(Assumptions!$C$15:$C$18,MATCH(E293,Assumptions!$A$15:$A$18,0)),"Yes","No"))</f>
        <v>Yes</v>
      </c>
    </row>
    <row r="294" customFormat="false" ht="15" hidden="false" customHeight="false" outlineLevel="0" collapsed="false">
      <c r="A294" s="31" t="s">
        <v>444</v>
      </c>
      <c r="B294" s="44" t="n">
        <v>46207</v>
      </c>
      <c r="C294" s="31" t="s">
        <v>57</v>
      </c>
      <c r="D294" s="31" t="s">
        <v>66</v>
      </c>
      <c r="E294" s="31" t="s">
        <v>51</v>
      </c>
      <c r="F294" s="31" t="s">
        <v>133</v>
      </c>
      <c r="G294" s="31" t="n">
        <v>1</v>
      </c>
      <c r="H294" s="41" t="n">
        <v>3.9</v>
      </c>
      <c r="I294" s="31" t="s">
        <v>149</v>
      </c>
      <c r="J294" s="31" t="n">
        <v>4</v>
      </c>
      <c r="K294" s="31" t="s">
        <v>150</v>
      </c>
      <c r="L294" s="45" t="n">
        <f aca="false">DATE(YEAR(B294),MONTH(B294),1)</f>
        <v>46204</v>
      </c>
      <c r="M294" s="31" t="n">
        <f aca="false">WEEKDAY(B294,2)</f>
        <v>6</v>
      </c>
      <c r="N294" s="31" t="str">
        <f aca="false">IF(G294&lt;=INDEX(Assumptions!$B$15:$B$18,MATCH(E294,Assumptions!$A$15:$A$18,0)),"Yes","No")</f>
        <v>Yes</v>
      </c>
      <c r="O294" s="31" t="str">
        <f aca="false">IF(H294="","Open",IF(H294&lt;=INDEX(Assumptions!$C$15:$C$18,MATCH(E294,Assumptions!$A$15:$A$18,0)),"Yes","No"))</f>
        <v>Yes</v>
      </c>
    </row>
    <row r="295" customFormat="false" ht="15" hidden="false" customHeight="false" outlineLevel="0" collapsed="false">
      <c r="A295" s="31" t="s">
        <v>445</v>
      </c>
      <c r="B295" s="44" t="n">
        <v>46207</v>
      </c>
      <c r="C295" s="31" t="s">
        <v>58</v>
      </c>
      <c r="D295" s="31" t="s">
        <v>65</v>
      </c>
      <c r="E295" s="31" t="s">
        <v>51</v>
      </c>
      <c r="F295" s="31" t="s">
        <v>124</v>
      </c>
      <c r="G295" s="31" t="n">
        <v>8</v>
      </c>
      <c r="H295" s="41" t="n">
        <v>5.9</v>
      </c>
      <c r="I295" s="31" t="s">
        <v>149</v>
      </c>
      <c r="J295" s="31"/>
      <c r="K295" s="31" t="s">
        <v>150</v>
      </c>
      <c r="L295" s="45" t="n">
        <f aca="false">DATE(YEAR(B295),MONTH(B295),1)</f>
        <v>46204</v>
      </c>
      <c r="M295" s="31" t="n">
        <f aca="false">WEEKDAY(B295,2)</f>
        <v>6</v>
      </c>
      <c r="N295" s="31" t="str">
        <f aca="false">IF(G295&lt;=INDEX(Assumptions!$B$15:$B$18,MATCH(E295,Assumptions!$A$15:$A$18,0)),"Yes","No")</f>
        <v>Yes</v>
      </c>
      <c r="O295" s="31" t="str">
        <f aca="false">IF(H295="","Open",IF(H295&lt;=INDEX(Assumptions!$C$15:$C$18,MATCH(E295,Assumptions!$A$15:$A$18,0)),"Yes","No"))</f>
        <v>Yes</v>
      </c>
    </row>
    <row r="296" customFormat="false" ht="15" hidden="false" customHeight="false" outlineLevel="0" collapsed="false">
      <c r="A296" s="31" t="s">
        <v>446</v>
      </c>
      <c r="B296" s="44" t="n">
        <v>46207</v>
      </c>
      <c r="C296" s="31" t="s">
        <v>58</v>
      </c>
      <c r="D296" s="31" t="s">
        <v>68</v>
      </c>
      <c r="E296" s="31" t="s">
        <v>50</v>
      </c>
      <c r="F296" s="31" t="s">
        <v>124</v>
      </c>
      <c r="G296" s="31" t="n">
        <v>4</v>
      </c>
      <c r="H296" s="41" t="n">
        <v>0.8</v>
      </c>
      <c r="I296" s="31" t="s">
        <v>149</v>
      </c>
      <c r="J296" s="31"/>
      <c r="K296" s="31" t="s">
        <v>150</v>
      </c>
      <c r="L296" s="45" t="n">
        <f aca="false">DATE(YEAR(B296),MONTH(B296),1)</f>
        <v>46204</v>
      </c>
      <c r="M296" s="31" t="n">
        <f aca="false">WEEKDAY(B296,2)</f>
        <v>6</v>
      </c>
      <c r="N296" s="31" t="str">
        <f aca="false">IF(G296&lt;=INDEX(Assumptions!$B$15:$B$18,MATCH(E296,Assumptions!$A$15:$A$18,0)),"Yes","No")</f>
        <v>Yes</v>
      </c>
      <c r="O296" s="31" t="str">
        <f aca="false">IF(H296="","Open",IF(H296&lt;=INDEX(Assumptions!$C$15:$C$18,MATCH(E296,Assumptions!$A$15:$A$18,0)),"Yes","No"))</f>
        <v>Yes</v>
      </c>
    </row>
    <row r="297" customFormat="false" ht="15" hidden="false" customHeight="false" outlineLevel="0" collapsed="false">
      <c r="A297" s="31" t="s">
        <v>447</v>
      </c>
      <c r="B297" s="44" t="n">
        <v>46207</v>
      </c>
      <c r="C297" s="31" t="s">
        <v>58</v>
      </c>
      <c r="D297" s="31" t="s">
        <v>67</v>
      </c>
      <c r="E297" s="31" t="s">
        <v>51</v>
      </c>
      <c r="F297" s="31" t="s">
        <v>131</v>
      </c>
      <c r="G297" s="31" t="n">
        <v>4</v>
      </c>
      <c r="H297" s="41" t="n">
        <v>21.6</v>
      </c>
      <c r="I297" s="31" t="s">
        <v>149</v>
      </c>
      <c r="J297" s="31" t="n">
        <v>5</v>
      </c>
      <c r="K297" s="31" t="s">
        <v>150</v>
      </c>
      <c r="L297" s="45" t="n">
        <f aca="false">DATE(YEAR(B297),MONTH(B297),1)</f>
        <v>46204</v>
      </c>
      <c r="M297" s="31" t="n">
        <f aca="false">WEEKDAY(B297,2)</f>
        <v>6</v>
      </c>
      <c r="N297" s="31" t="str">
        <f aca="false">IF(G297&lt;=INDEX(Assumptions!$B$15:$B$18,MATCH(E297,Assumptions!$A$15:$A$18,0)),"Yes","No")</f>
        <v>Yes</v>
      </c>
      <c r="O297" s="31" t="str">
        <f aca="false">IF(H297="","Open",IF(H297&lt;=INDEX(Assumptions!$C$15:$C$18,MATCH(E297,Assumptions!$A$15:$A$18,0)),"Yes","No"))</f>
        <v>Yes</v>
      </c>
    </row>
    <row r="298" customFormat="false" ht="15" hidden="false" customHeight="false" outlineLevel="0" collapsed="false">
      <c r="A298" s="31" t="s">
        <v>448</v>
      </c>
      <c r="B298" s="44" t="n">
        <v>46207</v>
      </c>
      <c r="C298" s="31" t="s">
        <v>58</v>
      </c>
      <c r="D298" s="31" t="s">
        <v>66</v>
      </c>
      <c r="E298" s="31" t="s">
        <v>50</v>
      </c>
      <c r="F298" s="31" t="s">
        <v>129</v>
      </c>
      <c r="G298" s="31" t="n">
        <v>8</v>
      </c>
      <c r="H298" s="41" t="n">
        <v>0.2</v>
      </c>
      <c r="I298" s="31" t="s">
        <v>149</v>
      </c>
      <c r="J298" s="31" t="n">
        <v>5</v>
      </c>
      <c r="K298" s="31" t="s">
        <v>150</v>
      </c>
      <c r="L298" s="45" t="n">
        <f aca="false">DATE(YEAR(B298),MONTH(B298),1)</f>
        <v>46204</v>
      </c>
      <c r="M298" s="31" t="n">
        <f aca="false">WEEKDAY(B298,2)</f>
        <v>6</v>
      </c>
      <c r="N298" s="31" t="str">
        <f aca="false">IF(G298&lt;=INDEX(Assumptions!$B$15:$B$18,MATCH(E298,Assumptions!$A$15:$A$18,0)),"Yes","No")</f>
        <v>Yes</v>
      </c>
      <c r="O298" s="31" t="str">
        <f aca="false">IF(H298="","Open",IF(H298&lt;=INDEX(Assumptions!$C$15:$C$18,MATCH(E298,Assumptions!$A$15:$A$18,0)),"Yes","No"))</f>
        <v>Yes</v>
      </c>
    </row>
    <row r="299" customFormat="false" ht="15" hidden="false" customHeight="false" outlineLevel="0" collapsed="false">
      <c r="A299" s="31" t="s">
        <v>449</v>
      </c>
      <c r="B299" s="44" t="n">
        <v>46208</v>
      </c>
      <c r="C299" s="31" t="s">
        <v>57</v>
      </c>
      <c r="D299" s="31" t="s">
        <v>67</v>
      </c>
      <c r="E299" s="31" t="s">
        <v>52</v>
      </c>
      <c r="F299" s="31" t="s">
        <v>124</v>
      </c>
      <c r="G299" s="31" t="n">
        <v>5</v>
      </c>
      <c r="H299" s="41" t="n">
        <v>31.4</v>
      </c>
      <c r="I299" s="31" t="s">
        <v>149</v>
      </c>
      <c r="J299" s="31"/>
      <c r="K299" s="31" t="s">
        <v>150</v>
      </c>
      <c r="L299" s="45" t="n">
        <f aca="false">DATE(YEAR(B299),MONTH(B299),1)</f>
        <v>46204</v>
      </c>
      <c r="M299" s="31" t="n">
        <f aca="false">WEEKDAY(B299,2)</f>
        <v>7</v>
      </c>
      <c r="N299" s="31" t="str">
        <f aca="false">IF(G299&lt;=INDEX(Assumptions!$B$15:$B$18,MATCH(E299,Assumptions!$A$15:$A$18,0)),"Yes","No")</f>
        <v>Yes</v>
      </c>
      <c r="O299" s="31" t="str">
        <f aca="false">IF(H299="","Open",IF(H299&lt;=INDEX(Assumptions!$C$15:$C$18,MATCH(E299,Assumptions!$A$15:$A$18,0)),"Yes","No"))</f>
        <v>Yes</v>
      </c>
    </row>
    <row r="300" customFormat="false" ht="15" hidden="false" customHeight="false" outlineLevel="0" collapsed="false">
      <c r="A300" s="31" t="s">
        <v>450</v>
      </c>
      <c r="B300" s="44" t="n">
        <v>46208</v>
      </c>
      <c r="C300" s="31" t="s">
        <v>59</v>
      </c>
      <c r="D300" s="31" t="s">
        <v>65</v>
      </c>
      <c r="E300" s="31" t="s">
        <v>51</v>
      </c>
      <c r="F300" s="31" t="s">
        <v>128</v>
      </c>
      <c r="G300" s="31" t="n">
        <v>286</v>
      </c>
      <c r="H300" s="41" t="n">
        <v>21.7</v>
      </c>
      <c r="I300" s="31" t="s">
        <v>149</v>
      </c>
      <c r="J300" s="31"/>
      <c r="K300" s="31" t="s">
        <v>150</v>
      </c>
      <c r="L300" s="45" t="n">
        <f aca="false">DATE(YEAR(B300),MONTH(B300),1)</f>
        <v>46204</v>
      </c>
      <c r="M300" s="31" t="n">
        <f aca="false">WEEKDAY(B300,2)</f>
        <v>7</v>
      </c>
      <c r="N300" s="31" t="str">
        <f aca="false">IF(G300&lt;=INDEX(Assumptions!$B$15:$B$18,MATCH(E300,Assumptions!$A$15:$A$18,0)),"Yes","No")</f>
        <v>No</v>
      </c>
      <c r="O300" s="31" t="str">
        <f aca="false">IF(H300="","Open",IF(H300&lt;=INDEX(Assumptions!$C$15:$C$18,MATCH(E300,Assumptions!$A$15:$A$18,0)),"Yes","No"))</f>
        <v>Yes</v>
      </c>
    </row>
    <row r="301" customFormat="false" ht="15" hidden="false" customHeight="false" outlineLevel="0" collapsed="false">
      <c r="A301" s="31" t="s">
        <v>451</v>
      </c>
      <c r="B301" s="44" t="n">
        <v>46208</v>
      </c>
      <c r="C301" s="31" t="s">
        <v>60</v>
      </c>
      <c r="D301" s="31" t="s">
        <v>69</v>
      </c>
      <c r="E301" s="31" t="s">
        <v>51</v>
      </c>
      <c r="F301" s="31" t="s">
        <v>133</v>
      </c>
      <c r="G301" s="31" t="n">
        <v>6</v>
      </c>
      <c r="H301" s="41" t="n">
        <v>16.6</v>
      </c>
      <c r="I301" s="31" t="s">
        <v>149</v>
      </c>
      <c r="J301" s="31"/>
      <c r="K301" s="31" t="s">
        <v>153</v>
      </c>
      <c r="L301" s="45" t="n">
        <f aca="false">DATE(YEAR(B301),MONTH(B301),1)</f>
        <v>46204</v>
      </c>
      <c r="M301" s="31" t="n">
        <f aca="false">WEEKDAY(B301,2)</f>
        <v>7</v>
      </c>
      <c r="N301" s="31" t="str">
        <f aca="false">IF(G301&lt;=INDEX(Assumptions!$B$15:$B$18,MATCH(E301,Assumptions!$A$15:$A$18,0)),"Yes","No")</f>
        <v>Yes</v>
      </c>
      <c r="O301" s="31" t="str">
        <f aca="false">IF(H301="","Open",IF(H301&lt;=INDEX(Assumptions!$C$15:$C$18,MATCH(E301,Assumptions!$A$15:$A$18,0)),"Yes","No"))</f>
        <v>Yes</v>
      </c>
    </row>
    <row r="302" customFormat="false" ht="15" hidden="false" customHeight="false" outlineLevel="0" collapsed="false">
      <c r="A302" s="31" t="s">
        <v>452</v>
      </c>
      <c r="B302" s="44" t="n">
        <v>46208</v>
      </c>
      <c r="C302" s="31" t="s">
        <v>60</v>
      </c>
      <c r="D302" s="31" t="s">
        <v>66</v>
      </c>
      <c r="E302" s="31" t="s">
        <v>52</v>
      </c>
      <c r="F302" s="31" t="s">
        <v>129</v>
      </c>
      <c r="G302" s="31" t="n">
        <v>3</v>
      </c>
      <c r="H302" s="41" t="n">
        <v>2.6</v>
      </c>
      <c r="I302" s="31" t="s">
        <v>149</v>
      </c>
      <c r="J302" s="31"/>
      <c r="K302" s="31" t="s">
        <v>150</v>
      </c>
      <c r="L302" s="45" t="n">
        <f aca="false">DATE(YEAR(B302),MONTH(B302),1)</f>
        <v>46204</v>
      </c>
      <c r="M302" s="31" t="n">
        <f aca="false">WEEKDAY(B302,2)</f>
        <v>7</v>
      </c>
      <c r="N302" s="31" t="str">
        <f aca="false">IF(G302&lt;=INDEX(Assumptions!$B$15:$B$18,MATCH(E302,Assumptions!$A$15:$A$18,0)),"Yes","No")</f>
        <v>Yes</v>
      </c>
      <c r="O302" s="31" t="str">
        <f aca="false">IF(H302="","Open",IF(H302&lt;=INDEX(Assumptions!$C$15:$C$18,MATCH(E302,Assumptions!$A$15:$A$18,0)),"Yes","No"))</f>
        <v>Yes</v>
      </c>
    </row>
    <row r="303" customFormat="false" ht="15" hidden="false" customHeight="false" outlineLevel="0" collapsed="false">
      <c r="A303" s="31" t="s">
        <v>453</v>
      </c>
      <c r="B303" s="44" t="n">
        <v>46208</v>
      </c>
      <c r="C303" s="31" t="s">
        <v>58</v>
      </c>
      <c r="D303" s="31" t="s">
        <v>65</v>
      </c>
      <c r="E303" s="31" t="s">
        <v>51</v>
      </c>
      <c r="F303" s="31" t="s">
        <v>134</v>
      </c>
      <c r="G303" s="31" t="n">
        <v>37</v>
      </c>
      <c r="H303" s="41" t="n">
        <v>17.4</v>
      </c>
      <c r="I303" s="31" t="s">
        <v>149</v>
      </c>
      <c r="J303" s="31" t="n">
        <v>5</v>
      </c>
      <c r="K303" s="31" t="s">
        <v>150</v>
      </c>
      <c r="L303" s="45" t="n">
        <f aca="false">DATE(YEAR(B303),MONTH(B303),1)</f>
        <v>46204</v>
      </c>
      <c r="M303" s="31" t="n">
        <f aca="false">WEEKDAY(B303,2)</f>
        <v>7</v>
      </c>
      <c r="N303" s="31" t="str">
        <f aca="false">IF(G303&lt;=INDEX(Assumptions!$B$15:$B$18,MATCH(E303,Assumptions!$A$15:$A$18,0)),"Yes","No")</f>
        <v>Yes</v>
      </c>
      <c r="O303" s="31" t="str">
        <f aca="false">IF(H303="","Open",IF(H303&lt;=INDEX(Assumptions!$C$15:$C$18,MATCH(E303,Assumptions!$A$15:$A$18,0)),"Yes","No"))</f>
        <v>Yes</v>
      </c>
    </row>
    <row r="304" customFormat="false" ht="15" hidden="false" customHeight="false" outlineLevel="0" collapsed="false">
      <c r="A304" s="31" t="s">
        <v>454</v>
      </c>
      <c r="B304" s="44" t="n">
        <v>46208</v>
      </c>
      <c r="C304" s="31" t="s">
        <v>57</v>
      </c>
      <c r="D304" s="31" t="s">
        <v>66</v>
      </c>
      <c r="E304" s="31" t="s">
        <v>52</v>
      </c>
      <c r="F304" s="31" t="s">
        <v>123</v>
      </c>
      <c r="G304" s="31" t="n">
        <v>5</v>
      </c>
      <c r="H304" s="41" t="n">
        <v>17.5</v>
      </c>
      <c r="I304" s="31" t="s">
        <v>149</v>
      </c>
      <c r="J304" s="31"/>
      <c r="K304" s="31" t="s">
        <v>150</v>
      </c>
      <c r="L304" s="45" t="n">
        <f aca="false">DATE(YEAR(B304),MONTH(B304),1)</f>
        <v>46204</v>
      </c>
      <c r="M304" s="31" t="n">
        <f aca="false">WEEKDAY(B304,2)</f>
        <v>7</v>
      </c>
      <c r="N304" s="31" t="str">
        <f aca="false">IF(G304&lt;=INDEX(Assumptions!$B$15:$B$18,MATCH(E304,Assumptions!$A$15:$A$18,0)),"Yes","No")</f>
        <v>Yes</v>
      </c>
      <c r="O304" s="31" t="str">
        <f aca="false">IF(H304="","Open",IF(H304&lt;=INDEX(Assumptions!$C$15:$C$18,MATCH(E304,Assumptions!$A$15:$A$18,0)),"Yes","No"))</f>
        <v>Yes</v>
      </c>
    </row>
    <row r="305" customFormat="false" ht="15" hidden="false" customHeight="false" outlineLevel="0" collapsed="false">
      <c r="A305" s="31" t="s">
        <v>455</v>
      </c>
      <c r="B305" s="44" t="n">
        <v>46208</v>
      </c>
      <c r="C305" s="31" t="s">
        <v>58</v>
      </c>
      <c r="D305" s="31" t="s">
        <v>65</v>
      </c>
      <c r="E305" s="31" t="s">
        <v>49</v>
      </c>
      <c r="F305" s="31" t="s">
        <v>119</v>
      </c>
      <c r="G305" s="31" t="n">
        <v>7</v>
      </c>
      <c r="H305" s="41" t="n">
        <v>2.5</v>
      </c>
      <c r="I305" s="31" t="s">
        <v>149</v>
      </c>
      <c r="J305" s="31"/>
      <c r="K305" s="31" t="s">
        <v>150</v>
      </c>
      <c r="L305" s="45" t="n">
        <f aca="false">DATE(YEAR(B305),MONTH(B305),1)</f>
        <v>46204</v>
      </c>
      <c r="M305" s="31" t="n">
        <f aca="false">WEEKDAY(B305,2)</f>
        <v>7</v>
      </c>
      <c r="N305" s="31" t="str">
        <f aca="false">IF(G305&lt;=INDEX(Assumptions!$B$15:$B$18,MATCH(E305,Assumptions!$A$15:$A$18,0)),"Yes","No")</f>
        <v>Yes</v>
      </c>
      <c r="O305" s="31" t="str">
        <f aca="false">IF(H305="","Open",IF(H305&lt;=INDEX(Assumptions!$C$15:$C$18,MATCH(E305,Assumptions!$A$15:$A$18,0)),"Yes","No"))</f>
        <v>Yes</v>
      </c>
    </row>
    <row r="306" customFormat="false" ht="15" hidden="false" customHeight="false" outlineLevel="0" collapsed="false">
      <c r="A306" s="31" t="s">
        <v>456</v>
      </c>
      <c r="B306" s="44" t="n">
        <v>46208</v>
      </c>
      <c r="C306" s="31" t="s">
        <v>57</v>
      </c>
      <c r="D306" s="31" t="s">
        <v>69</v>
      </c>
      <c r="E306" s="31" t="s">
        <v>49</v>
      </c>
      <c r="F306" s="31" t="s">
        <v>133</v>
      </c>
      <c r="G306" s="31" t="n">
        <v>3</v>
      </c>
      <c r="H306" s="41" t="n">
        <v>12.2</v>
      </c>
      <c r="I306" s="31" t="s">
        <v>149</v>
      </c>
      <c r="J306" s="31" t="n">
        <v>4</v>
      </c>
      <c r="K306" s="31" t="s">
        <v>150</v>
      </c>
      <c r="L306" s="45" t="n">
        <f aca="false">DATE(YEAR(B306),MONTH(B306),1)</f>
        <v>46204</v>
      </c>
      <c r="M306" s="31" t="n">
        <f aca="false">WEEKDAY(B306,2)</f>
        <v>7</v>
      </c>
      <c r="N306" s="31" t="str">
        <f aca="false">IF(G306&lt;=INDEX(Assumptions!$B$15:$B$18,MATCH(E306,Assumptions!$A$15:$A$18,0)),"Yes","No")</f>
        <v>Yes</v>
      </c>
      <c r="O306" s="31" t="str">
        <f aca="false">IF(H306="","Open",IF(H306&lt;=INDEX(Assumptions!$C$15:$C$18,MATCH(E306,Assumptions!$A$15:$A$18,0)),"Yes","No"))</f>
        <v>No</v>
      </c>
    </row>
    <row r="307" customFormat="false" ht="15" hidden="false" customHeight="false" outlineLevel="0" collapsed="false">
      <c r="A307" s="31" t="s">
        <v>457</v>
      </c>
      <c r="B307" s="44" t="n">
        <v>46208</v>
      </c>
      <c r="C307" s="31" t="s">
        <v>59</v>
      </c>
      <c r="D307" s="31" t="s">
        <v>66</v>
      </c>
      <c r="E307" s="31" t="s">
        <v>50</v>
      </c>
      <c r="F307" s="31" t="s">
        <v>136</v>
      </c>
      <c r="G307" s="31" t="n">
        <v>88</v>
      </c>
      <c r="H307" s="41" t="n">
        <v>1.3</v>
      </c>
      <c r="I307" s="31" t="s">
        <v>149</v>
      </c>
      <c r="J307" s="31" t="n">
        <v>4</v>
      </c>
      <c r="K307" s="31" t="s">
        <v>150</v>
      </c>
      <c r="L307" s="45" t="n">
        <f aca="false">DATE(YEAR(B307),MONTH(B307),1)</f>
        <v>46204</v>
      </c>
      <c r="M307" s="31" t="n">
        <f aca="false">WEEKDAY(B307,2)</f>
        <v>7</v>
      </c>
      <c r="N307" s="31" t="str">
        <f aca="false">IF(G307&lt;=INDEX(Assumptions!$B$15:$B$18,MATCH(E307,Assumptions!$A$15:$A$18,0)),"Yes","No")</f>
        <v>No</v>
      </c>
      <c r="O307" s="31" t="str">
        <f aca="false">IF(H307="","Open",IF(H307&lt;=INDEX(Assumptions!$C$15:$C$18,MATCH(E307,Assumptions!$A$15:$A$18,0)),"Yes","No"))</f>
        <v>Yes</v>
      </c>
    </row>
    <row r="308" customFormat="false" ht="15" hidden="false" customHeight="false" outlineLevel="0" collapsed="false">
      <c r="A308" s="31" t="s">
        <v>458</v>
      </c>
      <c r="B308" s="44" t="n">
        <v>46208</v>
      </c>
      <c r="C308" s="31" t="s">
        <v>60</v>
      </c>
      <c r="D308" s="31" t="s">
        <v>67</v>
      </c>
      <c r="E308" s="31" t="s">
        <v>52</v>
      </c>
      <c r="F308" s="31" t="s">
        <v>127</v>
      </c>
      <c r="G308" s="31" t="n">
        <v>2</v>
      </c>
      <c r="H308" s="41" t="n">
        <v>22</v>
      </c>
      <c r="I308" s="31" t="s">
        <v>149</v>
      </c>
      <c r="J308" s="31"/>
      <c r="K308" s="31" t="s">
        <v>150</v>
      </c>
      <c r="L308" s="45" t="n">
        <f aca="false">DATE(YEAR(B308),MONTH(B308),1)</f>
        <v>46204</v>
      </c>
      <c r="M308" s="31" t="n">
        <f aca="false">WEEKDAY(B308,2)</f>
        <v>7</v>
      </c>
      <c r="N308" s="31" t="str">
        <f aca="false">IF(G308&lt;=INDEX(Assumptions!$B$15:$B$18,MATCH(E308,Assumptions!$A$15:$A$18,0)),"Yes","No")</f>
        <v>Yes</v>
      </c>
      <c r="O308" s="31" t="str">
        <f aca="false">IF(H308="","Open",IF(H308&lt;=INDEX(Assumptions!$C$15:$C$18,MATCH(E308,Assumptions!$A$15:$A$18,0)),"Yes","No"))</f>
        <v>Yes</v>
      </c>
    </row>
    <row r="309" customFormat="false" ht="15" hidden="false" customHeight="false" outlineLevel="0" collapsed="false">
      <c r="A309" s="31" t="s">
        <v>459</v>
      </c>
      <c r="B309" s="44" t="n">
        <v>46208</v>
      </c>
      <c r="C309" s="31" t="s">
        <v>60</v>
      </c>
      <c r="D309" s="31" t="s">
        <v>66</v>
      </c>
      <c r="E309" s="31" t="s">
        <v>50</v>
      </c>
      <c r="F309" s="31" t="s">
        <v>120</v>
      </c>
      <c r="G309" s="31" t="n">
        <v>4</v>
      </c>
      <c r="H309" s="41" t="n">
        <v>3.6</v>
      </c>
      <c r="I309" s="31" t="s">
        <v>149</v>
      </c>
      <c r="J309" s="31" t="n">
        <v>4</v>
      </c>
      <c r="K309" s="31" t="s">
        <v>150</v>
      </c>
      <c r="L309" s="45" t="n">
        <f aca="false">DATE(YEAR(B309),MONTH(B309),1)</f>
        <v>46204</v>
      </c>
      <c r="M309" s="31" t="n">
        <f aca="false">WEEKDAY(B309,2)</f>
        <v>7</v>
      </c>
      <c r="N309" s="31" t="str">
        <f aca="false">IF(G309&lt;=INDEX(Assumptions!$B$15:$B$18,MATCH(E309,Assumptions!$A$15:$A$18,0)),"Yes","No")</f>
        <v>Yes</v>
      </c>
      <c r="O309" s="31" t="str">
        <f aca="false">IF(H309="","Open",IF(H309&lt;=INDEX(Assumptions!$C$15:$C$18,MATCH(E309,Assumptions!$A$15:$A$18,0)),"Yes","No"))</f>
        <v>Yes</v>
      </c>
    </row>
    <row r="310" customFormat="false" ht="15" hidden="false" customHeight="false" outlineLevel="0" collapsed="false">
      <c r="A310" s="31" t="s">
        <v>460</v>
      </c>
      <c r="B310" s="44" t="n">
        <v>46208</v>
      </c>
      <c r="C310" s="31" t="s">
        <v>57</v>
      </c>
      <c r="D310" s="31" t="s">
        <v>67</v>
      </c>
      <c r="E310" s="31" t="s">
        <v>52</v>
      </c>
      <c r="F310" s="31" t="s">
        <v>129</v>
      </c>
      <c r="G310" s="31" t="n">
        <v>2</v>
      </c>
      <c r="H310" s="41" t="n">
        <v>11</v>
      </c>
      <c r="I310" s="31" t="s">
        <v>149</v>
      </c>
      <c r="J310" s="31"/>
      <c r="K310" s="31" t="s">
        <v>150</v>
      </c>
      <c r="L310" s="45" t="n">
        <f aca="false">DATE(YEAR(B310),MONTH(B310),1)</f>
        <v>46204</v>
      </c>
      <c r="M310" s="31" t="n">
        <f aca="false">WEEKDAY(B310,2)</f>
        <v>7</v>
      </c>
      <c r="N310" s="31" t="str">
        <f aca="false">IF(G310&lt;=INDEX(Assumptions!$B$15:$B$18,MATCH(E310,Assumptions!$A$15:$A$18,0)),"Yes","No")</f>
        <v>Yes</v>
      </c>
      <c r="O310" s="31" t="str">
        <f aca="false">IF(H310="","Open",IF(H310&lt;=INDEX(Assumptions!$C$15:$C$18,MATCH(E310,Assumptions!$A$15:$A$18,0)),"Yes","No"))</f>
        <v>Yes</v>
      </c>
    </row>
    <row r="311" customFormat="false" ht="15" hidden="false" customHeight="false" outlineLevel="0" collapsed="false">
      <c r="A311" s="31" t="s">
        <v>461</v>
      </c>
      <c r="B311" s="44" t="n">
        <v>46208</v>
      </c>
      <c r="C311" s="31" t="s">
        <v>58</v>
      </c>
      <c r="D311" s="31" t="s">
        <v>65</v>
      </c>
      <c r="E311" s="31" t="s">
        <v>51</v>
      </c>
      <c r="F311" s="31" t="s">
        <v>137</v>
      </c>
      <c r="G311" s="31" t="n">
        <v>7</v>
      </c>
      <c r="H311" s="41" t="n">
        <v>2.2</v>
      </c>
      <c r="I311" s="31" t="s">
        <v>149</v>
      </c>
      <c r="J311" s="31"/>
      <c r="K311" s="31" t="s">
        <v>150</v>
      </c>
      <c r="L311" s="45" t="n">
        <f aca="false">DATE(YEAR(B311),MONTH(B311),1)</f>
        <v>46204</v>
      </c>
      <c r="M311" s="31" t="n">
        <f aca="false">WEEKDAY(B311,2)</f>
        <v>7</v>
      </c>
      <c r="N311" s="31" t="str">
        <f aca="false">IF(G311&lt;=INDEX(Assumptions!$B$15:$B$18,MATCH(E311,Assumptions!$A$15:$A$18,0)),"Yes","No")</f>
        <v>Yes</v>
      </c>
      <c r="O311" s="31" t="str">
        <f aca="false">IF(H311="","Open",IF(H311&lt;=INDEX(Assumptions!$C$15:$C$18,MATCH(E311,Assumptions!$A$15:$A$18,0)),"Yes","No"))</f>
        <v>Yes</v>
      </c>
    </row>
    <row r="312" customFormat="false" ht="15" hidden="false" customHeight="false" outlineLevel="0" collapsed="false">
      <c r="A312" s="31" t="s">
        <v>462</v>
      </c>
      <c r="B312" s="44" t="n">
        <v>46208</v>
      </c>
      <c r="C312" s="31" t="s">
        <v>58</v>
      </c>
      <c r="D312" s="31" t="s">
        <v>66</v>
      </c>
      <c r="E312" s="31" t="s">
        <v>51</v>
      </c>
      <c r="F312" s="31" t="s">
        <v>135</v>
      </c>
      <c r="G312" s="31" t="n">
        <v>11</v>
      </c>
      <c r="H312" s="41" t="n">
        <v>33.1</v>
      </c>
      <c r="I312" s="31" t="s">
        <v>64</v>
      </c>
      <c r="J312" s="31" t="n">
        <v>2</v>
      </c>
      <c r="K312" s="31" t="s">
        <v>150</v>
      </c>
      <c r="L312" s="45" t="n">
        <f aca="false">DATE(YEAR(B312),MONTH(B312),1)</f>
        <v>46204</v>
      </c>
      <c r="M312" s="31" t="n">
        <f aca="false">WEEKDAY(B312,2)</f>
        <v>7</v>
      </c>
      <c r="N312" s="31" t="str">
        <f aca="false">IF(G312&lt;=INDEX(Assumptions!$B$15:$B$18,MATCH(E312,Assumptions!$A$15:$A$18,0)),"Yes","No")</f>
        <v>Yes</v>
      </c>
      <c r="O312" s="31" t="str">
        <f aca="false">IF(H312="","Open",IF(H312&lt;=INDEX(Assumptions!$C$15:$C$18,MATCH(E312,Assumptions!$A$15:$A$18,0)),"Yes","No"))</f>
        <v>No</v>
      </c>
    </row>
    <row r="313" customFormat="false" ht="15" hidden="false" customHeight="false" outlineLevel="0" collapsed="false">
      <c r="A313" s="31" t="s">
        <v>463</v>
      </c>
      <c r="B313" s="44" t="n">
        <v>46208</v>
      </c>
      <c r="C313" s="31" t="s">
        <v>60</v>
      </c>
      <c r="D313" s="31" t="s">
        <v>65</v>
      </c>
      <c r="E313" s="31" t="s">
        <v>50</v>
      </c>
      <c r="F313" s="31" t="s">
        <v>120</v>
      </c>
      <c r="G313" s="31" t="n">
        <v>1</v>
      </c>
      <c r="H313" s="41" t="n">
        <v>30.4</v>
      </c>
      <c r="I313" s="31" t="s">
        <v>149</v>
      </c>
      <c r="J313" s="31" t="n">
        <v>2</v>
      </c>
      <c r="K313" s="31" t="s">
        <v>150</v>
      </c>
      <c r="L313" s="45" t="n">
        <f aca="false">DATE(YEAR(B313),MONTH(B313),1)</f>
        <v>46204</v>
      </c>
      <c r="M313" s="31" t="n">
        <f aca="false">WEEKDAY(B313,2)</f>
        <v>7</v>
      </c>
      <c r="N313" s="31" t="str">
        <f aca="false">IF(G313&lt;=INDEX(Assumptions!$B$15:$B$18,MATCH(E313,Assumptions!$A$15:$A$18,0)),"Yes","No")</f>
        <v>Yes</v>
      </c>
      <c r="O313" s="31" t="str">
        <f aca="false">IF(H313="","Open",IF(H313&lt;=INDEX(Assumptions!$C$15:$C$18,MATCH(E313,Assumptions!$A$15:$A$18,0)),"Yes","No"))</f>
        <v>No</v>
      </c>
    </row>
    <row r="314" customFormat="false" ht="15" hidden="false" customHeight="false" outlineLevel="0" collapsed="false">
      <c r="A314" s="31" t="s">
        <v>464</v>
      </c>
      <c r="B314" s="44" t="n">
        <v>46208</v>
      </c>
      <c r="C314" s="31" t="s">
        <v>60</v>
      </c>
      <c r="D314" s="31" t="s">
        <v>66</v>
      </c>
      <c r="E314" s="31" t="s">
        <v>52</v>
      </c>
      <c r="F314" s="31" t="s">
        <v>135</v>
      </c>
      <c r="G314" s="31" t="n">
        <v>4</v>
      </c>
      <c r="H314" s="41" t="n">
        <v>11.2</v>
      </c>
      <c r="I314" s="31" t="s">
        <v>149</v>
      </c>
      <c r="J314" s="31"/>
      <c r="K314" s="31" t="s">
        <v>153</v>
      </c>
      <c r="L314" s="45" t="n">
        <f aca="false">DATE(YEAR(B314),MONTH(B314),1)</f>
        <v>46204</v>
      </c>
      <c r="M314" s="31" t="n">
        <f aca="false">WEEKDAY(B314,2)</f>
        <v>7</v>
      </c>
      <c r="N314" s="31" t="str">
        <f aca="false">IF(G314&lt;=INDEX(Assumptions!$B$15:$B$18,MATCH(E314,Assumptions!$A$15:$A$18,0)),"Yes","No")</f>
        <v>Yes</v>
      </c>
      <c r="O314" s="31" t="str">
        <f aca="false">IF(H314="","Open",IF(H314&lt;=INDEX(Assumptions!$C$15:$C$18,MATCH(E314,Assumptions!$A$15:$A$18,0)),"Yes","No"))</f>
        <v>Yes</v>
      </c>
    </row>
    <row r="315" customFormat="false" ht="15" hidden="false" customHeight="false" outlineLevel="0" collapsed="false">
      <c r="A315" s="31" t="s">
        <v>465</v>
      </c>
      <c r="B315" s="44" t="n">
        <v>46208</v>
      </c>
      <c r="C315" s="31" t="s">
        <v>60</v>
      </c>
      <c r="D315" s="31" t="s">
        <v>65</v>
      </c>
      <c r="E315" s="31" t="s">
        <v>52</v>
      </c>
      <c r="F315" s="31" t="s">
        <v>123</v>
      </c>
      <c r="G315" s="31" t="n">
        <v>1</v>
      </c>
      <c r="H315" s="41" t="n">
        <v>53.7</v>
      </c>
      <c r="I315" s="31" t="s">
        <v>149</v>
      </c>
      <c r="J315" s="31"/>
      <c r="K315" s="31" t="s">
        <v>150</v>
      </c>
      <c r="L315" s="45" t="n">
        <f aca="false">DATE(YEAR(B315),MONTH(B315),1)</f>
        <v>46204</v>
      </c>
      <c r="M315" s="31" t="n">
        <f aca="false">WEEKDAY(B315,2)</f>
        <v>7</v>
      </c>
      <c r="N315" s="31" t="str">
        <f aca="false">IF(G315&lt;=INDEX(Assumptions!$B$15:$B$18,MATCH(E315,Assumptions!$A$15:$A$18,0)),"Yes","No")</f>
        <v>Yes</v>
      </c>
      <c r="O315" s="31" t="str">
        <f aca="false">IF(H315="","Open",IF(H315&lt;=INDEX(Assumptions!$C$15:$C$18,MATCH(E315,Assumptions!$A$15:$A$18,0)),"Yes","No"))</f>
        <v>Yes</v>
      </c>
    </row>
    <row r="316" customFormat="false" ht="15" hidden="false" customHeight="false" outlineLevel="0" collapsed="false">
      <c r="A316" s="31" t="s">
        <v>466</v>
      </c>
      <c r="B316" s="44" t="n">
        <v>46208</v>
      </c>
      <c r="C316" s="31" t="s">
        <v>57</v>
      </c>
      <c r="D316" s="31" t="s">
        <v>65</v>
      </c>
      <c r="E316" s="31" t="s">
        <v>50</v>
      </c>
      <c r="F316" s="31" t="s">
        <v>117</v>
      </c>
      <c r="G316" s="31" t="n">
        <v>1</v>
      </c>
      <c r="H316" s="41" t="n">
        <v>1.3</v>
      </c>
      <c r="I316" s="31" t="s">
        <v>149</v>
      </c>
      <c r="J316" s="31" t="n">
        <v>5</v>
      </c>
      <c r="K316" s="31" t="s">
        <v>150</v>
      </c>
      <c r="L316" s="45" t="n">
        <f aca="false">DATE(YEAR(B316),MONTH(B316),1)</f>
        <v>46204</v>
      </c>
      <c r="M316" s="31" t="n">
        <f aca="false">WEEKDAY(B316,2)</f>
        <v>7</v>
      </c>
      <c r="N316" s="31" t="str">
        <f aca="false">IF(G316&lt;=INDEX(Assumptions!$B$15:$B$18,MATCH(E316,Assumptions!$A$15:$A$18,0)),"Yes","No")</f>
        <v>Yes</v>
      </c>
      <c r="O316" s="31" t="str">
        <f aca="false">IF(H316="","Open",IF(H316&lt;=INDEX(Assumptions!$C$15:$C$18,MATCH(E316,Assumptions!$A$15:$A$18,0)),"Yes","No"))</f>
        <v>Yes</v>
      </c>
    </row>
    <row r="317" customFormat="false" ht="15" hidden="false" customHeight="false" outlineLevel="0" collapsed="false">
      <c r="A317" s="31" t="s">
        <v>467</v>
      </c>
      <c r="B317" s="44" t="n">
        <v>46208</v>
      </c>
      <c r="C317" s="31" t="s">
        <v>58</v>
      </c>
      <c r="D317" s="31" t="s">
        <v>67</v>
      </c>
      <c r="E317" s="31" t="s">
        <v>51</v>
      </c>
      <c r="F317" s="31" t="s">
        <v>137</v>
      </c>
      <c r="G317" s="31" t="n">
        <v>12</v>
      </c>
      <c r="H317" s="41" t="n">
        <v>24.7</v>
      </c>
      <c r="I317" s="31" t="s">
        <v>149</v>
      </c>
      <c r="J317" s="31" t="n">
        <v>3</v>
      </c>
      <c r="K317" s="31" t="s">
        <v>150</v>
      </c>
      <c r="L317" s="45" t="n">
        <f aca="false">DATE(YEAR(B317),MONTH(B317),1)</f>
        <v>46204</v>
      </c>
      <c r="M317" s="31" t="n">
        <f aca="false">WEEKDAY(B317,2)</f>
        <v>7</v>
      </c>
      <c r="N317" s="31" t="str">
        <f aca="false">IF(G317&lt;=INDEX(Assumptions!$B$15:$B$18,MATCH(E317,Assumptions!$A$15:$A$18,0)),"Yes","No")</f>
        <v>Yes</v>
      </c>
      <c r="O317" s="31" t="str">
        <f aca="false">IF(H317="","Open",IF(H317&lt;=INDEX(Assumptions!$C$15:$C$18,MATCH(E317,Assumptions!$A$15:$A$18,0)),"Yes","No"))</f>
        <v>No</v>
      </c>
    </row>
    <row r="318" customFormat="false" ht="15" hidden="false" customHeight="false" outlineLevel="0" collapsed="false">
      <c r="A318" s="31" t="s">
        <v>468</v>
      </c>
      <c r="B318" s="44" t="n">
        <v>46208</v>
      </c>
      <c r="C318" s="31" t="s">
        <v>57</v>
      </c>
      <c r="D318" s="31" t="s">
        <v>65</v>
      </c>
      <c r="E318" s="31" t="s">
        <v>51</v>
      </c>
      <c r="F318" s="31" t="s">
        <v>119</v>
      </c>
      <c r="G318" s="31" t="n">
        <v>3</v>
      </c>
      <c r="H318" s="41" t="n">
        <v>3.8</v>
      </c>
      <c r="I318" s="31" t="s">
        <v>149</v>
      </c>
      <c r="J318" s="31"/>
      <c r="K318" s="31" t="s">
        <v>150</v>
      </c>
      <c r="L318" s="45" t="n">
        <f aca="false">DATE(YEAR(B318),MONTH(B318),1)</f>
        <v>46204</v>
      </c>
      <c r="M318" s="31" t="n">
        <f aca="false">WEEKDAY(B318,2)</f>
        <v>7</v>
      </c>
      <c r="N318" s="31" t="str">
        <f aca="false">IF(G318&lt;=INDEX(Assumptions!$B$15:$B$18,MATCH(E318,Assumptions!$A$15:$A$18,0)),"Yes","No")</f>
        <v>Yes</v>
      </c>
      <c r="O318" s="31" t="str">
        <f aca="false">IF(H318="","Open",IF(H318&lt;=INDEX(Assumptions!$C$15:$C$18,MATCH(E318,Assumptions!$A$15:$A$18,0)),"Yes","No"))</f>
        <v>Yes</v>
      </c>
    </row>
    <row r="319" customFormat="false" ht="15" hidden="false" customHeight="false" outlineLevel="0" collapsed="false">
      <c r="A319" s="31" t="s">
        <v>469</v>
      </c>
      <c r="B319" s="44" t="n">
        <v>46208</v>
      </c>
      <c r="C319" s="31" t="s">
        <v>58</v>
      </c>
      <c r="D319" s="31" t="s">
        <v>66</v>
      </c>
      <c r="E319" s="31" t="s">
        <v>52</v>
      </c>
      <c r="F319" s="31" t="s">
        <v>130</v>
      </c>
      <c r="G319" s="31" t="n">
        <v>13</v>
      </c>
      <c r="H319" s="41" t="n">
        <v>6.6</v>
      </c>
      <c r="I319" s="31" t="s">
        <v>149</v>
      </c>
      <c r="J319" s="31" t="n">
        <v>5</v>
      </c>
      <c r="K319" s="31" t="s">
        <v>150</v>
      </c>
      <c r="L319" s="45" t="n">
        <f aca="false">DATE(YEAR(B319),MONTH(B319),1)</f>
        <v>46204</v>
      </c>
      <c r="M319" s="31" t="n">
        <f aca="false">WEEKDAY(B319,2)</f>
        <v>7</v>
      </c>
      <c r="N319" s="31" t="str">
        <f aca="false">IF(G319&lt;=INDEX(Assumptions!$B$15:$B$18,MATCH(E319,Assumptions!$A$15:$A$18,0)),"Yes","No")</f>
        <v>Yes</v>
      </c>
      <c r="O319" s="31" t="str">
        <f aca="false">IF(H319="","Open",IF(H319&lt;=INDEX(Assumptions!$C$15:$C$18,MATCH(E319,Assumptions!$A$15:$A$18,0)),"Yes","No"))</f>
        <v>Yes</v>
      </c>
    </row>
    <row r="320" customFormat="false" ht="15" hidden="false" customHeight="false" outlineLevel="0" collapsed="false">
      <c r="A320" s="31" t="s">
        <v>470</v>
      </c>
      <c r="B320" s="44" t="n">
        <v>46208</v>
      </c>
      <c r="C320" s="31" t="s">
        <v>60</v>
      </c>
      <c r="D320" s="31" t="s">
        <v>66</v>
      </c>
      <c r="E320" s="31" t="s">
        <v>51</v>
      </c>
      <c r="F320" s="31" t="s">
        <v>124</v>
      </c>
      <c r="G320" s="31" t="n">
        <v>1</v>
      </c>
      <c r="H320" s="41" t="n">
        <v>4.6</v>
      </c>
      <c r="I320" s="31" t="s">
        <v>149</v>
      </c>
      <c r="J320" s="31"/>
      <c r="K320" s="31" t="s">
        <v>150</v>
      </c>
      <c r="L320" s="45" t="n">
        <f aca="false">DATE(YEAR(B320),MONTH(B320),1)</f>
        <v>46204</v>
      </c>
      <c r="M320" s="31" t="n">
        <f aca="false">WEEKDAY(B320,2)</f>
        <v>7</v>
      </c>
      <c r="N320" s="31" t="str">
        <f aca="false">IF(G320&lt;=INDEX(Assumptions!$B$15:$B$18,MATCH(E320,Assumptions!$A$15:$A$18,0)),"Yes","No")</f>
        <v>Yes</v>
      </c>
      <c r="O320" s="31" t="str">
        <f aca="false">IF(H320="","Open",IF(H320&lt;=INDEX(Assumptions!$C$15:$C$18,MATCH(E320,Assumptions!$A$15:$A$18,0)),"Yes","No"))</f>
        <v>Yes</v>
      </c>
    </row>
    <row r="321" customFormat="false" ht="15" hidden="false" customHeight="false" outlineLevel="0" collapsed="false">
      <c r="A321" s="31" t="s">
        <v>471</v>
      </c>
      <c r="B321" s="44" t="n">
        <v>46208</v>
      </c>
      <c r="C321" s="31" t="s">
        <v>58</v>
      </c>
      <c r="D321" s="31" t="s">
        <v>65</v>
      </c>
      <c r="E321" s="31" t="s">
        <v>50</v>
      </c>
      <c r="F321" s="31" t="s">
        <v>134</v>
      </c>
      <c r="G321" s="31" t="n">
        <v>22</v>
      </c>
      <c r="H321" s="41" t="n">
        <v>11.1</v>
      </c>
      <c r="I321" s="31" t="s">
        <v>149</v>
      </c>
      <c r="J321" s="31" t="n">
        <v>4</v>
      </c>
      <c r="K321" s="31" t="s">
        <v>150</v>
      </c>
      <c r="L321" s="45" t="n">
        <f aca="false">DATE(YEAR(B321),MONTH(B321),1)</f>
        <v>46204</v>
      </c>
      <c r="M321" s="31" t="n">
        <f aca="false">WEEKDAY(B321,2)</f>
        <v>7</v>
      </c>
      <c r="N321" s="31" t="str">
        <f aca="false">IF(G321&lt;=INDEX(Assumptions!$B$15:$B$18,MATCH(E321,Assumptions!$A$15:$A$18,0)),"Yes","No")</f>
        <v>Yes</v>
      </c>
      <c r="O321" s="31" t="str">
        <f aca="false">IF(H321="","Open",IF(H321&lt;=INDEX(Assumptions!$C$15:$C$18,MATCH(E321,Assumptions!$A$15:$A$18,0)),"Yes","No"))</f>
        <v>No</v>
      </c>
    </row>
    <row r="322" customFormat="false" ht="15" hidden="false" customHeight="false" outlineLevel="0" collapsed="false">
      <c r="A322" s="31" t="s">
        <v>472</v>
      </c>
      <c r="B322" s="44" t="n">
        <v>46208</v>
      </c>
      <c r="C322" s="31" t="s">
        <v>60</v>
      </c>
      <c r="D322" s="31" t="s">
        <v>66</v>
      </c>
      <c r="E322" s="31" t="s">
        <v>52</v>
      </c>
      <c r="F322" s="31" t="s">
        <v>126</v>
      </c>
      <c r="G322" s="31" t="n">
        <v>2</v>
      </c>
      <c r="H322" s="41" t="n">
        <v>4.3</v>
      </c>
      <c r="I322" s="31" t="s">
        <v>149</v>
      </c>
      <c r="J322" s="31"/>
      <c r="K322" s="31" t="s">
        <v>150</v>
      </c>
      <c r="L322" s="45" t="n">
        <f aca="false">DATE(YEAR(B322),MONTH(B322),1)</f>
        <v>46204</v>
      </c>
      <c r="M322" s="31" t="n">
        <f aca="false">WEEKDAY(B322,2)</f>
        <v>7</v>
      </c>
      <c r="N322" s="31" t="str">
        <f aca="false">IF(G322&lt;=INDEX(Assumptions!$B$15:$B$18,MATCH(E322,Assumptions!$A$15:$A$18,0)),"Yes","No")</f>
        <v>Yes</v>
      </c>
      <c r="O322" s="31" t="str">
        <f aca="false">IF(H322="","Open",IF(H322&lt;=INDEX(Assumptions!$C$15:$C$18,MATCH(E322,Assumptions!$A$15:$A$18,0)),"Yes","No"))</f>
        <v>Yes</v>
      </c>
    </row>
    <row r="323" customFormat="false" ht="15" hidden="false" customHeight="false" outlineLevel="0" collapsed="false">
      <c r="A323" s="31" t="s">
        <v>473</v>
      </c>
      <c r="B323" s="44" t="n">
        <v>46208</v>
      </c>
      <c r="C323" s="31" t="s">
        <v>57</v>
      </c>
      <c r="D323" s="31" t="s">
        <v>66</v>
      </c>
      <c r="E323" s="31" t="s">
        <v>52</v>
      </c>
      <c r="F323" s="31" t="s">
        <v>129</v>
      </c>
      <c r="G323" s="31" t="n">
        <v>3</v>
      </c>
      <c r="H323" s="41" t="n">
        <v>3.4</v>
      </c>
      <c r="I323" s="31" t="s">
        <v>149</v>
      </c>
      <c r="J323" s="31" t="n">
        <v>3</v>
      </c>
      <c r="K323" s="31" t="s">
        <v>153</v>
      </c>
      <c r="L323" s="45" t="n">
        <f aca="false">DATE(YEAR(B323),MONTH(B323),1)</f>
        <v>46204</v>
      </c>
      <c r="M323" s="31" t="n">
        <f aca="false">WEEKDAY(B323,2)</f>
        <v>7</v>
      </c>
      <c r="N323" s="31" t="str">
        <f aca="false">IF(G323&lt;=INDEX(Assumptions!$B$15:$B$18,MATCH(E323,Assumptions!$A$15:$A$18,0)),"Yes","No")</f>
        <v>Yes</v>
      </c>
      <c r="O323" s="31" t="str">
        <f aca="false">IF(H323="","Open",IF(H323&lt;=INDEX(Assumptions!$C$15:$C$18,MATCH(E323,Assumptions!$A$15:$A$18,0)),"Yes","No"))</f>
        <v>Yes</v>
      </c>
    </row>
    <row r="324" customFormat="false" ht="15" hidden="false" customHeight="false" outlineLevel="0" collapsed="false">
      <c r="A324" s="31" t="s">
        <v>474</v>
      </c>
      <c r="B324" s="44" t="n">
        <v>46208</v>
      </c>
      <c r="C324" s="31" t="s">
        <v>60</v>
      </c>
      <c r="D324" s="31" t="s">
        <v>66</v>
      </c>
      <c r="E324" s="31" t="s">
        <v>50</v>
      </c>
      <c r="F324" s="31" t="s">
        <v>124</v>
      </c>
      <c r="G324" s="31" t="n">
        <v>2</v>
      </c>
      <c r="H324" s="41" t="n">
        <v>7.2</v>
      </c>
      <c r="I324" s="31" t="s">
        <v>149</v>
      </c>
      <c r="J324" s="31"/>
      <c r="K324" s="31" t="s">
        <v>153</v>
      </c>
      <c r="L324" s="45" t="n">
        <f aca="false">DATE(YEAR(B324),MONTH(B324),1)</f>
        <v>46204</v>
      </c>
      <c r="M324" s="31" t="n">
        <f aca="false">WEEKDAY(B324,2)</f>
        <v>7</v>
      </c>
      <c r="N324" s="31" t="str">
        <f aca="false">IF(G324&lt;=INDEX(Assumptions!$B$15:$B$18,MATCH(E324,Assumptions!$A$15:$A$18,0)),"Yes","No")</f>
        <v>Yes</v>
      </c>
      <c r="O324" s="31" t="str">
        <f aca="false">IF(H324="","Open",IF(H324&lt;=INDEX(Assumptions!$C$15:$C$18,MATCH(E324,Assumptions!$A$15:$A$18,0)),"Yes","No"))</f>
        <v>Yes</v>
      </c>
    </row>
    <row r="325" customFormat="false" ht="15" hidden="false" customHeight="false" outlineLevel="0" collapsed="false">
      <c r="A325" s="31" t="s">
        <v>475</v>
      </c>
      <c r="B325" s="44" t="n">
        <v>46208</v>
      </c>
      <c r="C325" s="31" t="s">
        <v>59</v>
      </c>
      <c r="D325" s="31" t="s">
        <v>68</v>
      </c>
      <c r="E325" s="31" t="s">
        <v>50</v>
      </c>
      <c r="F325" s="31" t="s">
        <v>137</v>
      </c>
      <c r="G325" s="31" t="n">
        <v>99</v>
      </c>
      <c r="H325" s="41" t="n">
        <v>0.8</v>
      </c>
      <c r="I325" s="31" t="s">
        <v>149</v>
      </c>
      <c r="J325" s="31"/>
      <c r="K325" s="31" t="s">
        <v>153</v>
      </c>
      <c r="L325" s="45" t="n">
        <f aca="false">DATE(YEAR(B325),MONTH(B325),1)</f>
        <v>46204</v>
      </c>
      <c r="M325" s="31" t="n">
        <f aca="false">WEEKDAY(B325,2)</f>
        <v>7</v>
      </c>
      <c r="N325" s="31" t="str">
        <f aca="false">IF(G325&lt;=INDEX(Assumptions!$B$15:$B$18,MATCH(E325,Assumptions!$A$15:$A$18,0)),"Yes","No")</f>
        <v>No</v>
      </c>
      <c r="O325" s="31" t="str">
        <f aca="false">IF(H325="","Open",IF(H325&lt;=INDEX(Assumptions!$C$15:$C$18,MATCH(E325,Assumptions!$A$15:$A$18,0)),"Yes","No"))</f>
        <v>Yes</v>
      </c>
    </row>
    <row r="326" customFormat="false" ht="15" hidden="false" customHeight="false" outlineLevel="0" collapsed="false">
      <c r="A326" s="31" t="s">
        <v>476</v>
      </c>
      <c r="B326" s="44" t="n">
        <v>46208</v>
      </c>
      <c r="C326" s="31" t="s">
        <v>59</v>
      </c>
      <c r="D326" s="31" t="s">
        <v>69</v>
      </c>
      <c r="E326" s="31" t="s">
        <v>50</v>
      </c>
      <c r="F326" s="31" t="s">
        <v>128</v>
      </c>
      <c r="G326" s="31" t="n">
        <v>106</v>
      </c>
      <c r="H326" s="41" t="n">
        <v>5.3</v>
      </c>
      <c r="I326" s="31" t="s">
        <v>149</v>
      </c>
      <c r="J326" s="31"/>
      <c r="K326" s="31" t="s">
        <v>150</v>
      </c>
      <c r="L326" s="45" t="n">
        <f aca="false">DATE(YEAR(B326),MONTH(B326),1)</f>
        <v>46204</v>
      </c>
      <c r="M326" s="31" t="n">
        <f aca="false">WEEKDAY(B326,2)</f>
        <v>7</v>
      </c>
      <c r="N326" s="31" t="str">
        <f aca="false">IF(G326&lt;=INDEX(Assumptions!$B$15:$B$18,MATCH(E326,Assumptions!$A$15:$A$18,0)),"Yes","No")</f>
        <v>No</v>
      </c>
      <c r="O326" s="31" t="str">
        <f aca="false">IF(H326="","Open",IF(H326&lt;=INDEX(Assumptions!$C$15:$C$18,MATCH(E326,Assumptions!$A$15:$A$18,0)),"Yes","No"))</f>
        <v>Yes</v>
      </c>
    </row>
    <row r="327" customFormat="false" ht="15" hidden="false" customHeight="false" outlineLevel="0" collapsed="false">
      <c r="A327" s="31" t="s">
        <v>477</v>
      </c>
      <c r="B327" s="44" t="n">
        <v>46208</v>
      </c>
      <c r="C327" s="31" t="s">
        <v>57</v>
      </c>
      <c r="D327" s="31" t="s">
        <v>66</v>
      </c>
      <c r="E327" s="31" t="s">
        <v>51</v>
      </c>
      <c r="F327" s="31" t="s">
        <v>124</v>
      </c>
      <c r="G327" s="31" t="n">
        <v>3</v>
      </c>
      <c r="H327" s="41" t="n">
        <v>1.3</v>
      </c>
      <c r="I327" s="31" t="s">
        <v>149</v>
      </c>
      <c r="J327" s="31"/>
      <c r="K327" s="31" t="s">
        <v>150</v>
      </c>
      <c r="L327" s="45" t="n">
        <f aca="false">DATE(YEAR(B327),MONTH(B327),1)</f>
        <v>46204</v>
      </c>
      <c r="M327" s="31" t="n">
        <f aca="false">WEEKDAY(B327,2)</f>
        <v>7</v>
      </c>
      <c r="N327" s="31" t="str">
        <f aca="false">IF(G327&lt;=INDEX(Assumptions!$B$15:$B$18,MATCH(E327,Assumptions!$A$15:$A$18,0)),"Yes","No")</f>
        <v>Yes</v>
      </c>
      <c r="O327" s="31" t="str">
        <f aca="false">IF(H327="","Open",IF(H327&lt;=INDEX(Assumptions!$C$15:$C$18,MATCH(E327,Assumptions!$A$15:$A$18,0)),"Yes","No"))</f>
        <v>Yes</v>
      </c>
    </row>
    <row r="328" customFormat="false" ht="15" hidden="false" customHeight="false" outlineLevel="0" collapsed="false">
      <c r="A328" s="31" t="s">
        <v>478</v>
      </c>
      <c r="B328" s="44" t="n">
        <v>46208</v>
      </c>
      <c r="C328" s="31" t="s">
        <v>58</v>
      </c>
      <c r="D328" s="31" t="s">
        <v>66</v>
      </c>
      <c r="E328" s="31" t="s">
        <v>51</v>
      </c>
      <c r="F328" s="31" t="s">
        <v>137</v>
      </c>
      <c r="G328" s="31" t="n">
        <v>11</v>
      </c>
      <c r="H328" s="41" t="n">
        <v>2.7</v>
      </c>
      <c r="I328" s="31" t="s">
        <v>149</v>
      </c>
      <c r="J328" s="31" t="n">
        <v>5</v>
      </c>
      <c r="K328" s="31" t="s">
        <v>150</v>
      </c>
      <c r="L328" s="45" t="n">
        <f aca="false">DATE(YEAR(B328),MONTH(B328),1)</f>
        <v>46204</v>
      </c>
      <c r="M328" s="31" t="n">
        <f aca="false">WEEKDAY(B328,2)</f>
        <v>7</v>
      </c>
      <c r="N328" s="31" t="str">
        <f aca="false">IF(G328&lt;=INDEX(Assumptions!$B$15:$B$18,MATCH(E328,Assumptions!$A$15:$A$18,0)),"Yes","No")</f>
        <v>Yes</v>
      </c>
      <c r="O328" s="31" t="str">
        <f aca="false">IF(H328="","Open",IF(H328&lt;=INDEX(Assumptions!$C$15:$C$18,MATCH(E328,Assumptions!$A$15:$A$18,0)),"Yes","No"))</f>
        <v>Yes</v>
      </c>
    </row>
    <row r="329" customFormat="false" ht="15" hidden="false" customHeight="false" outlineLevel="0" collapsed="false">
      <c r="A329" s="31" t="s">
        <v>479</v>
      </c>
      <c r="B329" s="44" t="n">
        <v>46208</v>
      </c>
      <c r="C329" s="31" t="s">
        <v>60</v>
      </c>
      <c r="D329" s="31" t="s">
        <v>66</v>
      </c>
      <c r="E329" s="31" t="s">
        <v>51</v>
      </c>
      <c r="F329" s="31" t="s">
        <v>121</v>
      </c>
      <c r="G329" s="31" t="n">
        <v>1</v>
      </c>
      <c r="H329" s="41" t="n">
        <v>6.6</v>
      </c>
      <c r="I329" s="31" t="s">
        <v>149</v>
      </c>
      <c r="J329" s="31" t="n">
        <v>4</v>
      </c>
      <c r="K329" s="31" t="s">
        <v>150</v>
      </c>
      <c r="L329" s="45" t="n">
        <f aca="false">DATE(YEAR(B329),MONTH(B329),1)</f>
        <v>46204</v>
      </c>
      <c r="M329" s="31" t="n">
        <f aca="false">WEEKDAY(B329,2)</f>
        <v>7</v>
      </c>
      <c r="N329" s="31" t="str">
        <f aca="false">IF(G329&lt;=INDEX(Assumptions!$B$15:$B$18,MATCH(E329,Assumptions!$A$15:$A$18,0)),"Yes","No")</f>
        <v>Yes</v>
      </c>
      <c r="O329" s="31" t="str">
        <f aca="false">IF(H329="","Open",IF(H329&lt;=INDEX(Assumptions!$C$15:$C$18,MATCH(E329,Assumptions!$A$15:$A$18,0)),"Yes","No"))</f>
        <v>Yes</v>
      </c>
    </row>
    <row r="330" customFormat="false" ht="15" hidden="false" customHeight="false" outlineLevel="0" collapsed="false">
      <c r="A330" s="31" t="s">
        <v>480</v>
      </c>
      <c r="B330" s="44" t="n">
        <v>46208</v>
      </c>
      <c r="C330" s="31" t="s">
        <v>58</v>
      </c>
      <c r="D330" s="31" t="s">
        <v>65</v>
      </c>
      <c r="E330" s="31" t="s">
        <v>50</v>
      </c>
      <c r="F330" s="31" t="s">
        <v>124</v>
      </c>
      <c r="G330" s="31" t="n">
        <v>15</v>
      </c>
      <c r="H330" s="41" t="n">
        <v>4.7</v>
      </c>
      <c r="I330" s="31" t="s">
        <v>64</v>
      </c>
      <c r="J330" s="31" t="n">
        <v>4</v>
      </c>
      <c r="K330" s="31" t="s">
        <v>153</v>
      </c>
      <c r="L330" s="45" t="n">
        <f aca="false">DATE(YEAR(B330),MONTH(B330),1)</f>
        <v>46204</v>
      </c>
      <c r="M330" s="31" t="n">
        <f aca="false">WEEKDAY(B330,2)</f>
        <v>7</v>
      </c>
      <c r="N330" s="31" t="str">
        <f aca="false">IF(G330&lt;=INDEX(Assumptions!$B$15:$B$18,MATCH(E330,Assumptions!$A$15:$A$18,0)),"Yes","No")</f>
        <v>Yes</v>
      </c>
      <c r="O330" s="31" t="str">
        <f aca="false">IF(H330="","Open",IF(H330&lt;=INDEX(Assumptions!$C$15:$C$18,MATCH(E330,Assumptions!$A$15:$A$18,0)),"Yes","No"))</f>
        <v>Yes</v>
      </c>
    </row>
    <row r="331" customFormat="false" ht="15" hidden="false" customHeight="false" outlineLevel="0" collapsed="false">
      <c r="A331" s="31" t="s">
        <v>481</v>
      </c>
      <c r="B331" s="44" t="n">
        <v>46208</v>
      </c>
      <c r="C331" s="31" t="s">
        <v>60</v>
      </c>
      <c r="D331" s="31" t="s">
        <v>66</v>
      </c>
      <c r="E331" s="31" t="s">
        <v>52</v>
      </c>
      <c r="F331" s="31" t="s">
        <v>119</v>
      </c>
      <c r="G331" s="31" t="n">
        <v>3</v>
      </c>
      <c r="H331" s="41" t="n">
        <v>7.9</v>
      </c>
      <c r="I331" s="31" t="s">
        <v>149</v>
      </c>
      <c r="J331" s="31" t="n">
        <v>4</v>
      </c>
      <c r="K331" s="31" t="s">
        <v>150</v>
      </c>
      <c r="L331" s="45" t="n">
        <f aca="false">DATE(YEAR(B331),MONTH(B331),1)</f>
        <v>46204</v>
      </c>
      <c r="M331" s="31" t="n">
        <f aca="false">WEEKDAY(B331,2)</f>
        <v>7</v>
      </c>
      <c r="N331" s="31" t="str">
        <f aca="false">IF(G331&lt;=INDEX(Assumptions!$B$15:$B$18,MATCH(E331,Assumptions!$A$15:$A$18,0)),"Yes","No")</f>
        <v>Yes</v>
      </c>
      <c r="O331" s="31" t="str">
        <f aca="false">IF(H331="","Open",IF(H331&lt;=INDEX(Assumptions!$C$15:$C$18,MATCH(E331,Assumptions!$A$15:$A$18,0)),"Yes","No"))</f>
        <v>Yes</v>
      </c>
    </row>
    <row r="332" customFormat="false" ht="15" hidden="false" customHeight="false" outlineLevel="0" collapsed="false">
      <c r="A332" s="31" t="s">
        <v>482</v>
      </c>
      <c r="B332" s="44" t="n">
        <v>46208</v>
      </c>
      <c r="C332" s="31" t="s">
        <v>57</v>
      </c>
      <c r="D332" s="31" t="s">
        <v>67</v>
      </c>
      <c r="E332" s="31" t="s">
        <v>51</v>
      </c>
      <c r="F332" s="31" t="s">
        <v>129</v>
      </c>
      <c r="G332" s="31" t="n">
        <v>4</v>
      </c>
      <c r="H332" s="41" t="n">
        <v>9.8</v>
      </c>
      <c r="I332" s="31" t="s">
        <v>149</v>
      </c>
      <c r="J332" s="31"/>
      <c r="K332" s="31" t="s">
        <v>150</v>
      </c>
      <c r="L332" s="45" t="n">
        <f aca="false">DATE(YEAR(B332),MONTH(B332),1)</f>
        <v>46204</v>
      </c>
      <c r="M332" s="31" t="n">
        <f aca="false">WEEKDAY(B332,2)</f>
        <v>7</v>
      </c>
      <c r="N332" s="31" t="str">
        <f aca="false">IF(G332&lt;=INDEX(Assumptions!$B$15:$B$18,MATCH(E332,Assumptions!$A$15:$A$18,0)),"Yes","No")</f>
        <v>Yes</v>
      </c>
      <c r="O332" s="31" t="str">
        <f aca="false">IF(H332="","Open",IF(H332&lt;=INDEX(Assumptions!$C$15:$C$18,MATCH(E332,Assumptions!$A$15:$A$18,0)),"Yes","No"))</f>
        <v>Yes</v>
      </c>
    </row>
    <row r="333" customFormat="false" ht="15" hidden="false" customHeight="false" outlineLevel="0" collapsed="false">
      <c r="A333" s="31" t="s">
        <v>483</v>
      </c>
      <c r="B333" s="44" t="n">
        <v>46208</v>
      </c>
      <c r="C333" s="31" t="s">
        <v>57</v>
      </c>
      <c r="D333" s="31" t="s">
        <v>69</v>
      </c>
      <c r="E333" s="31" t="s">
        <v>51</v>
      </c>
      <c r="F333" s="31" t="s">
        <v>117</v>
      </c>
      <c r="G333" s="31" t="n">
        <v>2</v>
      </c>
      <c r="H333" s="41" t="n">
        <v>18.5</v>
      </c>
      <c r="I333" s="31" t="s">
        <v>149</v>
      </c>
      <c r="J333" s="31"/>
      <c r="K333" s="31" t="s">
        <v>150</v>
      </c>
      <c r="L333" s="45" t="n">
        <f aca="false">DATE(YEAR(B333),MONTH(B333),1)</f>
        <v>46204</v>
      </c>
      <c r="M333" s="31" t="n">
        <f aca="false">WEEKDAY(B333,2)</f>
        <v>7</v>
      </c>
      <c r="N333" s="31" t="str">
        <f aca="false">IF(G333&lt;=INDEX(Assumptions!$B$15:$B$18,MATCH(E333,Assumptions!$A$15:$A$18,0)),"Yes","No")</f>
        <v>Yes</v>
      </c>
      <c r="O333" s="31" t="str">
        <f aca="false">IF(H333="","Open",IF(H333&lt;=INDEX(Assumptions!$C$15:$C$18,MATCH(E333,Assumptions!$A$15:$A$18,0)),"Yes","No"))</f>
        <v>Yes</v>
      </c>
    </row>
    <row r="334" customFormat="false" ht="15" hidden="false" customHeight="false" outlineLevel="0" collapsed="false">
      <c r="A334" s="31" t="s">
        <v>484</v>
      </c>
      <c r="B334" s="44" t="n">
        <v>46208</v>
      </c>
      <c r="C334" s="31" t="s">
        <v>60</v>
      </c>
      <c r="D334" s="31" t="s">
        <v>67</v>
      </c>
      <c r="E334" s="31" t="s">
        <v>52</v>
      </c>
      <c r="F334" s="31" t="s">
        <v>131</v>
      </c>
      <c r="G334" s="31" t="n">
        <v>9</v>
      </c>
      <c r="H334" s="41" t="n">
        <v>10.1</v>
      </c>
      <c r="I334" s="31" t="s">
        <v>149</v>
      </c>
      <c r="J334" s="31"/>
      <c r="K334" s="31" t="s">
        <v>150</v>
      </c>
      <c r="L334" s="45" t="n">
        <f aca="false">DATE(YEAR(B334),MONTH(B334),1)</f>
        <v>46204</v>
      </c>
      <c r="M334" s="31" t="n">
        <f aca="false">WEEKDAY(B334,2)</f>
        <v>7</v>
      </c>
      <c r="N334" s="31" t="str">
        <f aca="false">IF(G334&lt;=INDEX(Assumptions!$B$15:$B$18,MATCH(E334,Assumptions!$A$15:$A$18,0)),"Yes","No")</f>
        <v>Yes</v>
      </c>
      <c r="O334" s="31" t="str">
        <f aca="false">IF(H334="","Open",IF(H334&lt;=INDEX(Assumptions!$C$15:$C$18,MATCH(E334,Assumptions!$A$15:$A$18,0)),"Yes","No"))</f>
        <v>Yes</v>
      </c>
    </row>
    <row r="335" customFormat="false" ht="15" hidden="false" customHeight="false" outlineLevel="0" collapsed="false">
      <c r="A335" s="31" t="s">
        <v>485</v>
      </c>
      <c r="B335" s="44" t="n">
        <v>46208</v>
      </c>
      <c r="C335" s="31" t="s">
        <v>59</v>
      </c>
      <c r="D335" s="31" t="s">
        <v>66</v>
      </c>
      <c r="E335" s="31" t="s">
        <v>52</v>
      </c>
      <c r="F335" s="31" t="s">
        <v>133</v>
      </c>
      <c r="G335" s="31" t="n">
        <v>160</v>
      </c>
      <c r="H335" s="41" t="n">
        <v>4.5</v>
      </c>
      <c r="I335" s="31" t="s">
        <v>149</v>
      </c>
      <c r="J335" s="31"/>
      <c r="K335" s="31" t="s">
        <v>150</v>
      </c>
      <c r="L335" s="45" t="n">
        <f aca="false">DATE(YEAR(B335),MONTH(B335),1)</f>
        <v>46204</v>
      </c>
      <c r="M335" s="31" t="n">
        <f aca="false">WEEKDAY(B335,2)</f>
        <v>7</v>
      </c>
      <c r="N335" s="31" t="str">
        <f aca="false">IF(G335&lt;=INDEX(Assumptions!$B$15:$B$18,MATCH(E335,Assumptions!$A$15:$A$18,0)),"Yes","No")</f>
        <v>Yes</v>
      </c>
      <c r="O335" s="31" t="str">
        <f aca="false">IF(H335="","Open",IF(H335&lt;=INDEX(Assumptions!$C$15:$C$18,MATCH(E335,Assumptions!$A$15:$A$18,0)),"Yes","No"))</f>
        <v>Yes</v>
      </c>
    </row>
    <row r="336" customFormat="false" ht="15" hidden="false" customHeight="false" outlineLevel="0" collapsed="false">
      <c r="A336" s="31" t="s">
        <v>486</v>
      </c>
      <c r="B336" s="44" t="n">
        <v>46208</v>
      </c>
      <c r="C336" s="31" t="s">
        <v>59</v>
      </c>
      <c r="D336" s="31" t="s">
        <v>68</v>
      </c>
      <c r="E336" s="31" t="s">
        <v>50</v>
      </c>
      <c r="F336" s="31" t="s">
        <v>123</v>
      </c>
      <c r="G336" s="31" t="n">
        <v>26</v>
      </c>
      <c r="H336" s="41" t="n">
        <v>1</v>
      </c>
      <c r="I336" s="31" t="s">
        <v>149</v>
      </c>
      <c r="J336" s="31" t="n">
        <v>4</v>
      </c>
      <c r="K336" s="31" t="s">
        <v>150</v>
      </c>
      <c r="L336" s="45" t="n">
        <f aca="false">DATE(YEAR(B336),MONTH(B336),1)</f>
        <v>46204</v>
      </c>
      <c r="M336" s="31" t="n">
        <f aca="false">WEEKDAY(B336,2)</f>
        <v>7</v>
      </c>
      <c r="N336" s="31" t="str">
        <f aca="false">IF(G336&lt;=INDEX(Assumptions!$B$15:$B$18,MATCH(E336,Assumptions!$A$15:$A$18,0)),"Yes","No")</f>
        <v>Yes</v>
      </c>
      <c r="O336" s="31" t="str">
        <f aca="false">IF(H336="","Open",IF(H336&lt;=INDEX(Assumptions!$C$15:$C$18,MATCH(E336,Assumptions!$A$15:$A$18,0)),"Yes","No"))</f>
        <v>Yes</v>
      </c>
    </row>
    <row r="337" customFormat="false" ht="15" hidden="false" customHeight="false" outlineLevel="0" collapsed="false">
      <c r="A337" s="31" t="s">
        <v>487</v>
      </c>
      <c r="B337" s="44" t="n">
        <v>46208</v>
      </c>
      <c r="C337" s="31" t="s">
        <v>57</v>
      </c>
      <c r="D337" s="31" t="s">
        <v>67</v>
      </c>
      <c r="E337" s="31" t="s">
        <v>52</v>
      </c>
      <c r="F337" s="31" t="s">
        <v>124</v>
      </c>
      <c r="G337" s="31" t="n">
        <v>4</v>
      </c>
      <c r="H337" s="41" t="n">
        <v>11.5</v>
      </c>
      <c r="I337" s="31" t="s">
        <v>149</v>
      </c>
      <c r="J337" s="31"/>
      <c r="K337" s="31" t="s">
        <v>150</v>
      </c>
      <c r="L337" s="45" t="n">
        <f aca="false">DATE(YEAR(B337),MONTH(B337),1)</f>
        <v>46204</v>
      </c>
      <c r="M337" s="31" t="n">
        <f aca="false">WEEKDAY(B337,2)</f>
        <v>7</v>
      </c>
      <c r="N337" s="31" t="str">
        <f aca="false">IF(G337&lt;=INDEX(Assumptions!$B$15:$B$18,MATCH(E337,Assumptions!$A$15:$A$18,0)),"Yes","No")</f>
        <v>Yes</v>
      </c>
      <c r="O337" s="31" t="str">
        <f aca="false">IF(H337="","Open",IF(H337&lt;=INDEX(Assumptions!$C$15:$C$18,MATCH(E337,Assumptions!$A$15:$A$18,0)),"Yes","No"))</f>
        <v>Yes</v>
      </c>
    </row>
    <row r="338" customFormat="false" ht="15" hidden="false" customHeight="false" outlineLevel="0" collapsed="false">
      <c r="A338" s="31" t="s">
        <v>488</v>
      </c>
      <c r="B338" s="44" t="n">
        <v>46208</v>
      </c>
      <c r="C338" s="31" t="s">
        <v>60</v>
      </c>
      <c r="D338" s="31" t="s">
        <v>66</v>
      </c>
      <c r="E338" s="31" t="s">
        <v>51</v>
      </c>
      <c r="F338" s="31" t="s">
        <v>137</v>
      </c>
      <c r="G338" s="31" t="n">
        <v>2</v>
      </c>
      <c r="H338" s="41" t="n">
        <v>9.7</v>
      </c>
      <c r="I338" s="31" t="s">
        <v>149</v>
      </c>
      <c r="J338" s="31" t="n">
        <v>5</v>
      </c>
      <c r="K338" s="31" t="s">
        <v>153</v>
      </c>
      <c r="L338" s="45" t="n">
        <f aca="false">DATE(YEAR(B338),MONTH(B338),1)</f>
        <v>46204</v>
      </c>
      <c r="M338" s="31" t="n">
        <f aca="false">WEEKDAY(B338,2)</f>
        <v>7</v>
      </c>
      <c r="N338" s="31" t="str">
        <f aca="false">IF(G338&lt;=INDEX(Assumptions!$B$15:$B$18,MATCH(E338,Assumptions!$A$15:$A$18,0)),"Yes","No")</f>
        <v>Yes</v>
      </c>
      <c r="O338" s="31" t="str">
        <f aca="false">IF(H338="","Open",IF(H338&lt;=INDEX(Assumptions!$C$15:$C$18,MATCH(E338,Assumptions!$A$15:$A$18,0)),"Yes","No"))</f>
        <v>Yes</v>
      </c>
    </row>
    <row r="339" customFormat="false" ht="15" hidden="false" customHeight="false" outlineLevel="0" collapsed="false">
      <c r="A339" s="31" t="s">
        <v>489</v>
      </c>
      <c r="B339" s="44" t="n">
        <v>46208</v>
      </c>
      <c r="C339" s="31" t="s">
        <v>58</v>
      </c>
      <c r="D339" s="31" t="s">
        <v>66</v>
      </c>
      <c r="E339" s="31" t="s">
        <v>51</v>
      </c>
      <c r="F339" s="31" t="s">
        <v>133</v>
      </c>
      <c r="G339" s="31" t="n">
        <v>14</v>
      </c>
      <c r="H339" s="41" t="n">
        <v>3.6</v>
      </c>
      <c r="I339" s="31" t="s">
        <v>149</v>
      </c>
      <c r="J339" s="31" t="n">
        <v>3</v>
      </c>
      <c r="K339" s="31" t="s">
        <v>150</v>
      </c>
      <c r="L339" s="45" t="n">
        <f aca="false">DATE(YEAR(B339),MONTH(B339),1)</f>
        <v>46204</v>
      </c>
      <c r="M339" s="31" t="n">
        <f aca="false">WEEKDAY(B339,2)</f>
        <v>7</v>
      </c>
      <c r="N339" s="31" t="str">
        <f aca="false">IF(G339&lt;=INDEX(Assumptions!$B$15:$B$18,MATCH(E339,Assumptions!$A$15:$A$18,0)),"Yes","No")</f>
        <v>Yes</v>
      </c>
      <c r="O339" s="31" t="str">
        <f aca="false">IF(H339="","Open",IF(H339&lt;=INDEX(Assumptions!$C$15:$C$18,MATCH(E339,Assumptions!$A$15:$A$18,0)),"Yes","No"))</f>
        <v>Yes</v>
      </c>
    </row>
    <row r="340" customFormat="false" ht="15" hidden="false" customHeight="false" outlineLevel="0" collapsed="false">
      <c r="A340" s="31" t="s">
        <v>490</v>
      </c>
      <c r="B340" s="44" t="n">
        <v>46208</v>
      </c>
      <c r="C340" s="31" t="s">
        <v>59</v>
      </c>
      <c r="D340" s="31" t="s">
        <v>65</v>
      </c>
      <c r="E340" s="31" t="s">
        <v>52</v>
      </c>
      <c r="F340" s="31" t="s">
        <v>124</v>
      </c>
      <c r="G340" s="31" t="n">
        <v>126</v>
      </c>
      <c r="H340" s="41" t="n">
        <v>39.8</v>
      </c>
      <c r="I340" s="31" t="s">
        <v>149</v>
      </c>
      <c r="J340" s="31"/>
      <c r="K340" s="31" t="s">
        <v>153</v>
      </c>
      <c r="L340" s="45" t="n">
        <f aca="false">DATE(YEAR(B340),MONTH(B340),1)</f>
        <v>46204</v>
      </c>
      <c r="M340" s="31" t="n">
        <f aca="false">WEEKDAY(B340,2)</f>
        <v>7</v>
      </c>
      <c r="N340" s="31" t="str">
        <f aca="false">IF(G340&lt;=INDEX(Assumptions!$B$15:$B$18,MATCH(E340,Assumptions!$A$15:$A$18,0)),"Yes","No")</f>
        <v>Yes</v>
      </c>
      <c r="O340" s="31" t="str">
        <f aca="false">IF(H340="","Open",IF(H340&lt;=INDEX(Assumptions!$C$15:$C$18,MATCH(E340,Assumptions!$A$15:$A$18,0)),"Yes","No"))</f>
        <v>Yes</v>
      </c>
    </row>
    <row r="341" customFormat="false" ht="15" hidden="false" customHeight="false" outlineLevel="0" collapsed="false">
      <c r="A341" s="31" t="s">
        <v>491</v>
      </c>
      <c r="B341" s="44" t="n">
        <v>46208</v>
      </c>
      <c r="C341" s="31" t="s">
        <v>59</v>
      </c>
      <c r="D341" s="31" t="s">
        <v>68</v>
      </c>
      <c r="E341" s="31" t="s">
        <v>51</v>
      </c>
      <c r="F341" s="31" t="s">
        <v>126</v>
      </c>
      <c r="G341" s="31" t="n">
        <v>18</v>
      </c>
      <c r="H341" s="41" t="n">
        <v>3.5</v>
      </c>
      <c r="I341" s="31" t="s">
        <v>149</v>
      </c>
      <c r="J341" s="31"/>
      <c r="K341" s="31" t="s">
        <v>150</v>
      </c>
      <c r="L341" s="45" t="n">
        <f aca="false">DATE(YEAR(B341),MONTH(B341),1)</f>
        <v>46204</v>
      </c>
      <c r="M341" s="31" t="n">
        <f aca="false">WEEKDAY(B341,2)</f>
        <v>7</v>
      </c>
      <c r="N341" s="31" t="str">
        <f aca="false">IF(G341&lt;=INDEX(Assumptions!$B$15:$B$18,MATCH(E341,Assumptions!$A$15:$A$18,0)),"Yes","No")</f>
        <v>Yes</v>
      </c>
      <c r="O341" s="31" t="str">
        <f aca="false">IF(H341="","Open",IF(H341&lt;=INDEX(Assumptions!$C$15:$C$18,MATCH(E341,Assumptions!$A$15:$A$18,0)),"Yes","No"))</f>
        <v>Yes</v>
      </c>
    </row>
    <row r="342" customFormat="false" ht="15" hidden="false" customHeight="false" outlineLevel="0" collapsed="false">
      <c r="A342" s="31" t="s">
        <v>492</v>
      </c>
      <c r="B342" s="44" t="n">
        <v>46209</v>
      </c>
      <c r="C342" s="31" t="s">
        <v>57</v>
      </c>
      <c r="D342" s="31" t="s">
        <v>67</v>
      </c>
      <c r="E342" s="31" t="s">
        <v>50</v>
      </c>
      <c r="F342" s="31" t="s">
        <v>126</v>
      </c>
      <c r="G342" s="31" t="n">
        <v>3</v>
      </c>
      <c r="H342" s="41"/>
      <c r="I342" s="31" t="s">
        <v>158</v>
      </c>
      <c r="J342" s="31"/>
      <c r="K342" s="31" t="s">
        <v>150</v>
      </c>
      <c r="L342" s="45" t="n">
        <f aca="false">DATE(YEAR(B342),MONTH(B342),1)</f>
        <v>46204</v>
      </c>
      <c r="M342" s="31" t="n">
        <f aca="false">WEEKDAY(B342,2)</f>
        <v>1</v>
      </c>
      <c r="N342" s="31" t="str">
        <f aca="false">IF(G342&lt;=INDEX(Assumptions!$B$15:$B$18,MATCH(E342,Assumptions!$A$15:$A$18,0)),"Yes","No")</f>
        <v>Yes</v>
      </c>
      <c r="O342" s="31" t="str">
        <f aca="false">IF(H342="","Open",IF(H342&lt;=INDEX(Assumptions!$C$15:$C$18,MATCH(E342,Assumptions!$A$15:$A$18,0)),"Yes","No"))</f>
        <v>Open</v>
      </c>
    </row>
    <row r="343" customFormat="false" ht="15" hidden="false" customHeight="false" outlineLevel="0" collapsed="false">
      <c r="A343" s="31" t="s">
        <v>493</v>
      </c>
      <c r="B343" s="44" t="n">
        <v>46209</v>
      </c>
      <c r="C343" s="31" t="s">
        <v>59</v>
      </c>
      <c r="D343" s="31" t="s">
        <v>69</v>
      </c>
      <c r="E343" s="31" t="s">
        <v>51</v>
      </c>
      <c r="F343" s="31" t="s">
        <v>121</v>
      </c>
      <c r="G343" s="31" t="n">
        <v>134</v>
      </c>
      <c r="H343" s="41" t="n">
        <v>19.7</v>
      </c>
      <c r="I343" s="31" t="s">
        <v>149</v>
      </c>
      <c r="J343" s="31" t="n">
        <v>4</v>
      </c>
      <c r="K343" s="31" t="s">
        <v>150</v>
      </c>
      <c r="L343" s="45" t="n">
        <f aca="false">DATE(YEAR(B343),MONTH(B343),1)</f>
        <v>46204</v>
      </c>
      <c r="M343" s="31" t="n">
        <f aca="false">WEEKDAY(B343,2)</f>
        <v>1</v>
      </c>
      <c r="N343" s="31" t="str">
        <f aca="false">IF(G343&lt;=INDEX(Assumptions!$B$15:$B$18,MATCH(E343,Assumptions!$A$15:$A$18,0)),"Yes","No")</f>
        <v>No</v>
      </c>
      <c r="O343" s="31" t="str">
        <f aca="false">IF(H343="","Open",IF(H343&lt;=INDEX(Assumptions!$C$15:$C$18,MATCH(E343,Assumptions!$A$15:$A$18,0)),"Yes","No"))</f>
        <v>Yes</v>
      </c>
    </row>
    <row r="344" customFormat="false" ht="15" hidden="false" customHeight="false" outlineLevel="0" collapsed="false">
      <c r="A344" s="31" t="s">
        <v>494</v>
      </c>
      <c r="B344" s="44" t="n">
        <v>46209</v>
      </c>
      <c r="C344" s="31" t="s">
        <v>58</v>
      </c>
      <c r="D344" s="31" t="s">
        <v>69</v>
      </c>
      <c r="E344" s="31" t="s">
        <v>52</v>
      </c>
      <c r="F344" s="31" t="s">
        <v>130</v>
      </c>
      <c r="G344" s="31" t="n">
        <v>16</v>
      </c>
      <c r="H344" s="41" t="n">
        <v>142.5</v>
      </c>
      <c r="I344" s="31" t="s">
        <v>149</v>
      </c>
      <c r="J344" s="31" t="n">
        <v>4</v>
      </c>
      <c r="K344" s="31" t="s">
        <v>150</v>
      </c>
      <c r="L344" s="45" t="n">
        <f aca="false">DATE(YEAR(B344),MONTH(B344),1)</f>
        <v>46204</v>
      </c>
      <c r="M344" s="31" t="n">
        <f aca="false">WEEKDAY(B344,2)</f>
        <v>1</v>
      </c>
      <c r="N344" s="31" t="str">
        <f aca="false">IF(G344&lt;=INDEX(Assumptions!$B$15:$B$18,MATCH(E344,Assumptions!$A$15:$A$18,0)),"Yes","No")</f>
        <v>Yes</v>
      </c>
      <c r="O344" s="31" t="str">
        <f aca="false">IF(H344="","Open",IF(H344&lt;=INDEX(Assumptions!$C$15:$C$18,MATCH(E344,Assumptions!$A$15:$A$18,0)),"Yes","No"))</f>
        <v>No</v>
      </c>
    </row>
    <row r="345" customFormat="false" ht="15" hidden="false" customHeight="false" outlineLevel="0" collapsed="false">
      <c r="A345" s="31" t="s">
        <v>495</v>
      </c>
      <c r="B345" s="44" t="n">
        <v>46209</v>
      </c>
      <c r="C345" s="31" t="s">
        <v>60</v>
      </c>
      <c r="D345" s="31" t="s">
        <v>67</v>
      </c>
      <c r="E345" s="31" t="s">
        <v>52</v>
      </c>
      <c r="F345" s="31" t="s">
        <v>119</v>
      </c>
      <c r="G345" s="31" t="n">
        <v>2</v>
      </c>
      <c r="H345" s="41" t="n">
        <v>3</v>
      </c>
      <c r="I345" s="31" t="s">
        <v>149</v>
      </c>
      <c r="J345" s="31" t="n">
        <v>5</v>
      </c>
      <c r="K345" s="31" t="s">
        <v>150</v>
      </c>
      <c r="L345" s="45" t="n">
        <f aca="false">DATE(YEAR(B345),MONTH(B345),1)</f>
        <v>46204</v>
      </c>
      <c r="M345" s="31" t="n">
        <f aca="false">WEEKDAY(B345,2)</f>
        <v>1</v>
      </c>
      <c r="N345" s="31" t="str">
        <f aca="false">IF(G345&lt;=INDEX(Assumptions!$B$15:$B$18,MATCH(E345,Assumptions!$A$15:$A$18,0)),"Yes","No")</f>
        <v>Yes</v>
      </c>
      <c r="O345" s="31" t="str">
        <f aca="false">IF(H345="","Open",IF(H345&lt;=INDEX(Assumptions!$C$15:$C$18,MATCH(E345,Assumptions!$A$15:$A$18,0)),"Yes","No"))</f>
        <v>Yes</v>
      </c>
    </row>
    <row r="346" customFormat="false" ht="15" hidden="false" customHeight="false" outlineLevel="0" collapsed="false">
      <c r="A346" s="31" t="s">
        <v>496</v>
      </c>
      <c r="B346" s="44" t="n">
        <v>46209</v>
      </c>
      <c r="C346" s="31" t="s">
        <v>59</v>
      </c>
      <c r="D346" s="31" t="s">
        <v>69</v>
      </c>
      <c r="E346" s="31" t="s">
        <v>52</v>
      </c>
      <c r="F346" s="31" t="s">
        <v>131</v>
      </c>
      <c r="G346" s="31" t="n">
        <v>58</v>
      </c>
      <c r="H346" s="41" t="n">
        <v>16</v>
      </c>
      <c r="I346" s="31" t="s">
        <v>149</v>
      </c>
      <c r="J346" s="31" t="n">
        <v>4</v>
      </c>
      <c r="K346" s="31" t="s">
        <v>150</v>
      </c>
      <c r="L346" s="45" t="n">
        <f aca="false">DATE(YEAR(B346),MONTH(B346),1)</f>
        <v>46204</v>
      </c>
      <c r="M346" s="31" t="n">
        <f aca="false">WEEKDAY(B346,2)</f>
        <v>1</v>
      </c>
      <c r="N346" s="31" t="str">
        <f aca="false">IF(G346&lt;=INDEX(Assumptions!$B$15:$B$18,MATCH(E346,Assumptions!$A$15:$A$18,0)),"Yes","No")</f>
        <v>Yes</v>
      </c>
      <c r="O346" s="31" t="str">
        <f aca="false">IF(H346="","Open",IF(H346&lt;=INDEX(Assumptions!$C$15:$C$18,MATCH(E346,Assumptions!$A$15:$A$18,0)),"Yes","No"))</f>
        <v>Yes</v>
      </c>
    </row>
    <row r="347" customFormat="false" ht="15" hidden="false" customHeight="false" outlineLevel="0" collapsed="false">
      <c r="A347" s="31" t="s">
        <v>497</v>
      </c>
      <c r="B347" s="44" t="n">
        <v>46209</v>
      </c>
      <c r="C347" s="31" t="s">
        <v>57</v>
      </c>
      <c r="D347" s="31" t="s">
        <v>65</v>
      </c>
      <c r="E347" s="31" t="s">
        <v>50</v>
      </c>
      <c r="F347" s="31" t="s">
        <v>119</v>
      </c>
      <c r="G347" s="31" t="n">
        <v>15</v>
      </c>
      <c r="H347" s="41" t="n">
        <v>13.8</v>
      </c>
      <c r="I347" s="31" t="s">
        <v>149</v>
      </c>
      <c r="J347" s="31" t="n">
        <v>4</v>
      </c>
      <c r="K347" s="31" t="s">
        <v>150</v>
      </c>
      <c r="L347" s="45" t="n">
        <f aca="false">DATE(YEAR(B347),MONTH(B347),1)</f>
        <v>46204</v>
      </c>
      <c r="M347" s="31" t="n">
        <f aca="false">WEEKDAY(B347,2)</f>
        <v>1</v>
      </c>
      <c r="N347" s="31" t="str">
        <f aca="false">IF(G347&lt;=INDEX(Assumptions!$B$15:$B$18,MATCH(E347,Assumptions!$A$15:$A$18,0)),"Yes","No")</f>
        <v>Yes</v>
      </c>
      <c r="O347" s="31" t="str">
        <f aca="false">IF(H347="","Open",IF(H347&lt;=INDEX(Assumptions!$C$15:$C$18,MATCH(E347,Assumptions!$A$15:$A$18,0)),"Yes","No"))</f>
        <v>No</v>
      </c>
    </row>
    <row r="348" customFormat="false" ht="15" hidden="false" customHeight="false" outlineLevel="0" collapsed="false">
      <c r="A348" s="31" t="s">
        <v>498</v>
      </c>
      <c r="B348" s="44" t="n">
        <v>46209</v>
      </c>
      <c r="C348" s="31" t="s">
        <v>57</v>
      </c>
      <c r="D348" s="31" t="s">
        <v>67</v>
      </c>
      <c r="E348" s="31" t="s">
        <v>51</v>
      </c>
      <c r="F348" s="31" t="s">
        <v>131</v>
      </c>
      <c r="G348" s="31" t="n">
        <v>5</v>
      </c>
      <c r="H348" s="41" t="n">
        <v>17.8</v>
      </c>
      <c r="I348" s="31" t="s">
        <v>149</v>
      </c>
      <c r="J348" s="31" t="n">
        <v>5</v>
      </c>
      <c r="K348" s="31" t="s">
        <v>150</v>
      </c>
      <c r="L348" s="45" t="n">
        <f aca="false">DATE(YEAR(B348),MONTH(B348),1)</f>
        <v>46204</v>
      </c>
      <c r="M348" s="31" t="n">
        <f aca="false">WEEKDAY(B348,2)</f>
        <v>1</v>
      </c>
      <c r="N348" s="31" t="str">
        <f aca="false">IF(G348&lt;=INDEX(Assumptions!$B$15:$B$18,MATCH(E348,Assumptions!$A$15:$A$18,0)),"Yes","No")</f>
        <v>Yes</v>
      </c>
      <c r="O348" s="31" t="str">
        <f aca="false">IF(H348="","Open",IF(H348&lt;=INDEX(Assumptions!$C$15:$C$18,MATCH(E348,Assumptions!$A$15:$A$18,0)),"Yes","No"))</f>
        <v>Yes</v>
      </c>
    </row>
    <row r="349" customFormat="false" ht="15" hidden="false" customHeight="false" outlineLevel="0" collapsed="false">
      <c r="A349" s="31" t="s">
        <v>499</v>
      </c>
      <c r="B349" s="44" t="n">
        <v>46209</v>
      </c>
      <c r="C349" s="31" t="s">
        <v>59</v>
      </c>
      <c r="D349" s="31" t="s">
        <v>67</v>
      </c>
      <c r="E349" s="31" t="s">
        <v>49</v>
      </c>
      <c r="F349" s="31" t="s">
        <v>117</v>
      </c>
      <c r="G349" s="31" t="n">
        <v>31</v>
      </c>
      <c r="H349" s="41" t="n">
        <v>3.4</v>
      </c>
      <c r="I349" s="31" t="s">
        <v>149</v>
      </c>
      <c r="J349" s="31"/>
      <c r="K349" s="31" t="s">
        <v>150</v>
      </c>
      <c r="L349" s="45" t="n">
        <f aca="false">DATE(YEAR(B349),MONTH(B349),1)</f>
        <v>46204</v>
      </c>
      <c r="M349" s="31" t="n">
        <f aca="false">WEEKDAY(B349,2)</f>
        <v>1</v>
      </c>
      <c r="N349" s="31" t="str">
        <f aca="false">IF(G349&lt;=INDEX(Assumptions!$B$15:$B$18,MATCH(E349,Assumptions!$A$15:$A$18,0)),"Yes","No")</f>
        <v>No</v>
      </c>
      <c r="O349" s="31" t="str">
        <f aca="false">IF(H349="","Open",IF(H349&lt;=INDEX(Assumptions!$C$15:$C$18,MATCH(E349,Assumptions!$A$15:$A$18,0)),"Yes","No"))</f>
        <v>Yes</v>
      </c>
    </row>
    <row r="350" customFormat="false" ht="15" hidden="false" customHeight="false" outlineLevel="0" collapsed="false">
      <c r="A350" s="31" t="s">
        <v>500</v>
      </c>
      <c r="B350" s="44" t="n">
        <v>46209</v>
      </c>
      <c r="C350" s="31" t="s">
        <v>58</v>
      </c>
      <c r="D350" s="31" t="s">
        <v>69</v>
      </c>
      <c r="E350" s="31" t="s">
        <v>50</v>
      </c>
      <c r="F350" s="31" t="s">
        <v>137</v>
      </c>
      <c r="G350" s="31" t="n">
        <v>6</v>
      </c>
      <c r="H350" s="41" t="n">
        <v>15.7</v>
      </c>
      <c r="I350" s="31" t="s">
        <v>149</v>
      </c>
      <c r="J350" s="31" t="n">
        <v>5</v>
      </c>
      <c r="K350" s="31" t="s">
        <v>150</v>
      </c>
      <c r="L350" s="45" t="n">
        <f aca="false">DATE(YEAR(B350),MONTH(B350),1)</f>
        <v>46204</v>
      </c>
      <c r="M350" s="31" t="n">
        <f aca="false">WEEKDAY(B350,2)</f>
        <v>1</v>
      </c>
      <c r="N350" s="31" t="str">
        <f aca="false">IF(G350&lt;=INDEX(Assumptions!$B$15:$B$18,MATCH(E350,Assumptions!$A$15:$A$18,0)),"Yes","No")</f>
        <v>Yes</v>
      </c>
      <c r="O350" s="31" t="str">
        <f aca="false">IF(H350="","Open",IF(H350&lt;=INDEX(Assumptions!$C$15:$C$18,MATCH(E350,Assumptions!$A$15:$A$18,0)),"Yes","No"))</f>
        <v>No</v>
      </c>
    </row>
    <row r="351" customFormat="false" ht="15" hidden="false" customHeight="false" outlineLevel="0" collapsed="false">
      <c r="A351" s="31" t="s">
        <v>501</v>
      </c>
      <c r="B351" s="44" t="n">
        <v>46209</v>
      </c>
      <c r="C351" s="31" t="s">
        <v>59</v>
      </c>
      <c r="D351" s="31" t="s">
        <v>66</v>
      </c>
      <c r="E351" s="31" t="s">
        <v>52</v>
      </c>
      <c r="F351" s="31" t="s">
        <v>117</v>
      </c>
      <c r="G351" s="31" t="n">
        <v>159</v>
      </c>
      <c r="H351" s="41" t="n">
        <v>4.4</v>
      </c>
      <c r="I351" s="31" t="s">
        <v>149</v>
      </c>
      <c r="J351" s="31"/>
      <c r="K351" s="31" t="s">
        <v>150</v>
      </c>
      <c r="L351" s="45" t="n">
        <f aca="false">DATE(YEAR(B351),MONTH(B351),1)</f>
        <v>46204</v>
      </c>
      <c r="M351" s="31" t="n">
        <f aca="false">WEEKDAY(B351,2)</f>
        <v>1</v>
      </c>
      <c r="N351" s="31" t="str">
        <f aca="false">IF(G351&lt;=INDEX(Assumptions!$B$15:$B$18,MATCH(E351,Assumptions!$A$15:$A$18,0)),"Yes","No")</f>
        <v>Yes</v>
      </c>
      <c r="O351" s="31" t="str">
        <f aca="false">IF(H351="","Open",IF(H351&lt;=INDEX(Assumptions!$C$15:$C$18,MATCH(E351,Assumptions!$A$15:$A$18,0)),"Yes","No"))</f>
        <v>Yes</v>
      </c>
    </row>
    <row r="352" customFormat="false" ht="15" hidden="false" customHeight="false" outlineLevel="0" collapsed="false">
      <c r="A352" s="31" t="s">
        <v>502</v>
      </c>
      <c r="B352" s="44" t="n">
        <v>46209</v>
      </c>
      <c r="C352" s="31" t="s">
        <v>59</v>
      </c>
      <c r="D352" s="31" t="s">
        <v>65</v>
      </c>
      <c r="E352" s="31" t="s">
        <v>50</v>
      </c>
      <c r="F352" s="31" t="s">
        <v>133</v>
      </c>
      <c r="G352" s="31" t="n">
        <v>16</v>
      </c>
      <c r="H352" s="41" t="n">
        <v>8.7</v>
      </c>
      <c r="I352" s="31" t="s">
        <v>64</v>
      </c>
      <c r="J352" s="31" t="n">
        <v>3</v>
      </c>
      <c r="K352" s="31" t="s">
        <v>150</v>
      </c>
      <c r="L352" s="45" t="n">
        <f aca="false">DATE(YEAR(B352),MONTH(B352),1)</f>
        <v>46204</v>
      </c>
      <c r="M352" s="31" t="n">
        <f aca="false">WEEKDAY(B352,2)</f>
        <v>1</v>
      </c>
      <c r="N352" s="31" t="str">
        <f aca="false">IF(G352&lt;=INDEX(Assumptions!$B$15:$B$18,MATCH(E352,Assumptions!$A$15:$A$18,0)),"Yes","No")</f>
        <v>Yes</v>
      </c>
      <c r="O352" s="31" t="str">
        <f aca="false">IF(H352="","Open",IF(H352&lt;=INDEX(Assumptions!$C$15:$C$18,MATCH(E352,Assumptions!$A$15:$A$18,0)),"Yes","No"))</f>
        <v>No</v>
      </c>
    </row>
    <row r="353" customFormat="false" ht="15" hidden="false" customHeight="false" outlineLevel="0" collapsed="false">
      <c r="A353" s="31" t="s">
        <v>503</v>
      </c>
      <c r="B353" s="44" t="n">
        <v>46209</v>
      </c>
      <c r="C353" s="31" t="s">
        <v>57</v>
      </c>
      <c r="D353" s="31" t="s">
        <v>68</v>
      </c>
      <c r="E353" s="31" t="s">
        <v>51</v>
      </c>
      <c r="F353" s="31" t="s">
        <v>134</v>
      </c>
      <c r="G353" s="31" t="n">
        <v>5</v>
      </c>
      <c r="H353" s="41" t="n">
        <v>17.1</v>
      </c>
      <c r="I353" s="31" t="s">
        <v>149</v>
      </c>
      <c r="J353" s="31"/>
      <c r="K353" s="31" t="s">
        <v>150</v>
      </c>
      <c r="L353" s="45" t="n">
        <f aca="false">DATE(YEAR(B353),MONTH(B353),1)</f>
        <v>46204</v>
      </c>
      <c r="M353" s="31" t="n">
        <f aca="false">WEEKDAY(B353,2)</f>
        <v>1</v>
      </c>
      <c r="N353" s="31" t="str">
        <f aca="false">IF(G353&lt;=INDEX(Assumptions!$B$15:$B$18,MATCH(E353,Assumptions!$A$15:$A$18,0)),"Yes","No")</f>
        <v>Yes</v>
      </c>
      <c r="O353" s="31" t="str">
        <f aca="false">IF(H353="","Open",IF(H353&lt;=INDEX(Assumptions!$C$15:$C$18,MATCH(E353,Assumptions!$A$15:$A$18,0)),"Yes","No"))</f>
        <v>Yes</v>
      </c>
    </row>
    <row r="354" customFormat="false" ht="15" hidden="false" customHeight="false" outlineLevel="0" collapsed="false">
      <c r="A354" s="31" t="s">
        <v>504</v>
      </c>
      <c r="B354" s="44" t="n">
        <v>46209</v>
      </c>
      <c r="C354" s="31" t="s">
        <v>58</v>
      </c>
      <c r="D354" s="31" t="s">
        <v>65</v>
      </c>
      <c r="E354" s="31" t="s">
        <v>51</v>
      </c>
      <c r="F354" s="31" t="s">
        <v>119</v>
      </c>
      <c r="G354" s="31" t="n">
        <v>13</v>
      </c>
      <c r="H354" s="41" t="n">
        <v>17.5</v>
      </c>
      <c r="I354" s="31" t="s">
        <v>149</v>
      </c>
      <c r="J354" s="31" t="n">
        <v>5</v>
      </c>
      <c r="K354" s="31" t="s">
        <v>150</v>
      </c>
      <c r="L354" s="45" t="n">
        <f aca="false">DATE(YEAR(B354),MONTH(B354),1)</f>
        <v>46204</v>
      </c>
      <c r="M354" s="31" t="n">
        <f aca="false">WEEKDAY(B354,2)</f>
        <v>1</v>
      </c>
      <c r="N354" s="31" t="str">
        <f aca="false">IF(G354&lt;=INDEX(Assumptions!$B$15:$B$18,MATCH(E354,Assumptions!$A$15:$A$18,0)),"Yes","No")</f>
        <v>Yes</v>
      </c>
      <c r="O354" s="31" t="str">
        <f aca="false">IF(H354="","Open",IF(H354&lt;=INDEX(Assumptions!$C$15:$C$18,MATCH(E354,Assumptions!$A$15:$A$18,0)),"Yes","No"))</f>
        <v>Yes</v>
      </c>
    </row>
    <row r="355" customFormat="false" ht="15" hidden="false" customHeight="false" outlineLevel="0" collapsed="false">
      <c r="A355" s="31" t="s">
        <v>505</v>
      </c>
      <c r="B355" s="44" t="n">
        <v>46209</v>
      </c>
      <c r="C355" s="31" t="s">
        <v>57</v>
      </c>
      <c r="D355" s="31" t="s">
        <v>66</v>
      </c>
      <c r="E355" s="31" t="s">
        <v>50</v>
      </c>
      <c r="F355" s="31" t="s">
        <v>120</v>
      </c>
      <c r="G355" s="31" t="n">
        <v>43</v>
      </c>
      <c r="H355" s="41" t="n">
        <v>4.4</v>
      </c>
      <c r="I355" s="31" t="s">
        <v>149</v>
      </c>
      <c r="J355" s="31"/>
      <c r="K355" s="31" t="s">
        <v>150</v>
      </c>
      <c r="L355" s="45" t="n">
        <f aca="false">DATE(YEAR(B355),MONTH(B355),1)</f>
        <v>46204</v>
      </c>
      <c r="M355" s="31" t="n">
        <f aca="false">WEEKDAY(B355,2)</f>
        <v>1</v>
      </c>
      <c r="N355" s="31" t="str">
        <f aca="false">IF(G355&lt;=INDEX(Assumptions!$B$15:$B$18,MATCH(E355,Assumptions!$A$15:$A$18,0)),"Yes","No")</f>
        <v>No</v>
      </c>
      <c r="O355" s="31" t="str">
        <f aca="false">IF(H355="","Open",IF(H355&lt;=INDEX(Assumptions!$C$15:$C$18,MATCH(E355,Assumptions!$A$15:$A$18,0)),"Yes","No"))</f>
        <v>Yes</v>
      </c>
    </row>
    <row r="356" customFormat="false" ht="15" hidden="false" customHeight="false" outlineLevel="0" collapsed="false">
      <c r="A356" s="31" t="s">
        <v>506</v>
      </c>
      <c r="B356" s="44" t="n">
        <v>46209</v>
      </c>
      <c r="C356" s="31" t="s">
        <v>58</v>
      </c>
      <c r="D356" s="31" t="s">
        <v>69</v>
      </c>
      <c r="E356" s="31" t="s">
        <v>51</v>
      </c>
      <c r="F356" s="31" t="s">
        <v>135</v>
      </c>
      <c r="G356" s="31" t="n">
        <v>24</v>
      </c>
      <c r="H356" s="41" t="n">
        <v>45.9</v>
      </c>
      <c r="I356" s="31" t="s">
        <v>149</v>
      </c>
      <c r="J356" s="31" t="n">
        <v>5</v>
      </c>
      <c r="K356" s="31" t="s">
        <v>150</v>
      </c>
      <c r="L356" s="45" t="n">
        <f aca="false">DATE(YEAR(B356),MONTH(B356),1)</f>
        <v>46204</v>
      </c>
      <c r="M356" s="31" t="n">
        <f aca="false">WEEKDAY(B356,2)</f>
        <v>1</v>
      </c>
      <c r="N356" s="31" t="str">
        <f aca="false">IF(G356&lt;=INDEX(Assumptions!$B$15:$B$18,MATCH(E356,Assumptions!$A$15:$A$18,0)),"Yes","No")</f>
        <v>Yes</v>
      </c>
      <c r="O356" s="31" t="str">
        <f aca="false">IF(H356="","Open",IF(H356&lt;=INDEX(Assumptions!$C$15:$C$18,MATCH(E356,Assumptions!$A$15:$A$18,0)),"Yes","No"))</f>
        <v>No</v>
      </c>
    </row>
    <row r="357" customFormat="false" ht="15" hidden="false" customHeight="false" outlineLevel="0" collapsed="false">
      <c r="A357" s="31" t="s">
        <v>507</v>
      </c>
      <c r="B357" s="44" t="n">
        <v>46209</v>
      </c>
      <c r="C357" s="31" t="s">
        <v>59</v>
      </c>
      <c r="D357" s="31" t="s">
        <v>69</v>
      </c>
      <c r="E357" s="31" t="s">
        <v>51</v>
      </c>
      <c r="F357" s="31" t="s">
        <v>131</v>
      </c>
      <c r="G357" s="31" t="n">
        <v>12</v>
      </c>
      <c r="H357" s="41" t="n">
        <v>20.4</v>
      </c>
      <c r="I357" s="31" t="s">
        <v>149</v>
      </c>
      <c r="J357" s="31" t="n">
        <v>5</v>
      </c>
      <c r="K357" s="31" t="s">
        <v>150</v>
      </c>
      <c r="L357" s="45" t="n">
        <f aca="false">DATE(YEAR(B357),MONTH(B357),1)</f>
        <v>46204</v>
      </c>
      <c r="M357" s="31" t="n">
        <f aca="false">WEEKDAY(B357,2)</f>
        <v>1</v>
      </c>
      <c r="N357" s="31" t="str">
        <f aca="false">IF(G357&lt;=INDEX(Assumptions!$B$15:$B$18,MATCH(E357,Assumptions!$A$15:$A$18,0)),"Yes","No")</f>
        <v>Yes</v>
      </c>
      <c r="O357" s="31" t="str">
        <f aca="false">IF(H357="","Open",IF(H357&lt;=INDEX(Assumptions!$C$15:$C$18,MATCH(E357,Assumptions!$A$15:$A$18,0)),"Yes","No"))</f>
        <v>Yes</v>
      </c>
    </row>
    <row r="358" customFormat="false" ht="15" hidden="false" customHeight="false" outlineLevel="0" collapsed="false">
      <c r="A358" s="31" t="s">
        <v>508</v>
      </c>
      <c r="B358" s="44" t="n">
        <v>46209</v>
      </c>
      <c r="C358" s="31" t="s">
        <v>60</v>
      </c>
      <c r="D358" s="31" t="s">
        <v>66</v>
      </c>
      <c r="E358" s="31" t="s">
        <v>51</v>
      </c>
      <c r="F358" s="31" t="s">
        <v>126</v>
      </c>
      <c r="G358" s="31" t="n">
        <v>1</v>
      </c>
      <c r="H358" s="41" t="n">
        <v>11.3</v>
      </c>
      <c r="I358" s="31" t="s">
        <v>64</v>
      </c>
      <c r="J358" s="31" t="n">
        <v>3</v>
      </c>
      <c r="K358" s="31" t="s">
        <v>150</v>
      </c>
      <c r="L358" s="45" t="n">
        <f aca="false">DATE(YEAR(B358),MONTH(B358),1)</f>
        <v>46204</v>
      </c>
      <c r="M358" s="31" t="n">
        <f aca="false">WEEKDAY(B358,2)</f>
        <v>1</v>
      </c>
      <c r="N358" s="31" t="str">
        <f aca="false">IF(G358&lt;=INDEX(Assumptions!$B$15:$B$18,MATCH(E358,Assumptions!$A$15:$A$18,0)),"Yes","No")</f>
        <v>Yes</v>
      </c>
      <c r="O358" s="31" t="str">
        <f aca="false">IF(H358="","Open",IF(H358&lt;=INDEX(Assumptions!$C$15:$C$18,MATCH(E358,Assumptions!$A$15:$A$18,0)),"Yes","No"))</f>
        <v>Yes</v>
      </c>
    </row>
    <row r="359" customFormat="false" ht="15" hidden="false" customHeight="false" outlineLevel="0" collapsed="false">
      <c r="A359" s="31" t="s">
        <v>509</v>
      </c>
      <c r="B359" s="44" t="n">
        <v>46209</v>
      </c>
      <c r="C359" s="31" t="s">
        <v>60</v>
      </c>
      <c r="D359" s="31" t="s">
        <v>65</v>
      </c>
      <c r="E359" s="31" t="s">
        <v>51</v>
      </c>
      <c r="F359" s="31" t="s">
        <v>131</v>
      </c>
      <c r="G359" s="31" t="n">
        <v>2</v>
      </c>
      <c r="H359" s="41" t="n">
        <v>17.5</v>
      </c>
      <c r="I359" s="31" t="s">
        <v>149</v>
      </c>
      <c r="J359" s="31" t="n">
        <v>5</v>
      </c>
      <c r="K359" s="31" t="s">
        <v>150</v>
      </c>
      <c r="L359" s="45" t="n">
        <f aca="false">DATE(YEAR(B359),MONTH(B359),1)</f>
        <v>46204</v>
      </c>
      <c r="M359" s="31" t="n">
        <f aca="false">WEEKDAY(B359,2)</f>
        <v>1</v>
      </c>
      <c r="N359" s="31" t="str">
        <f aca="false">IF(G359&lt;=INDEX(Assumptions!$B$15:$B$18,MATCH(E359,Assumptions!$A$15:$A$18,0)),"Yes","No")</f>
        <v>Yes</v>
      </c>
      <c r="O359" s="31" t="str">
        <f aca="false">IF(H359="","Open",IF(H359&lt;=INDEX(Assumptions!$C$15:$C$18,MATCH(E359,Assumptions!$A$15:$A$18,0)),"Yes","No"))</f>
        <v>Yes</v>
      </c>
    </row>
    <row r="360" customFormat="false" ht="15" hidden="false" customHeight="false" outlineLevel="0" collapsed="false">
      <c r="A360" s="31" t="s">
        <v>510</v>
      </c>
      <c r="B360" s="44" t="n">
        <v>46209</v>
      </c>
      <c r="C360" s="31" t="s">
        <v>58</v>
      </c>
      <c r="D360" s="31" t="s">
        <v>66</v>
      </c>
      <c r="E360" s="31" t="s">
        <v>50</v>
      </c>
      <c r="F360" s="31" t="s">
        <v>121</v>
      </c>
      <c r="G360" s="31" t="n">
        <v>10</v>
      </c>
      <c r="H360" s="41" t="n">
        <v>1.8</v>
      </c>
      <c r="I360" s="31" t="s">
        <v>149</v>
      </c>
      <c r="J360" s="31" t="n">
        <v>4</v>
      </c>
      <c r="K360" s="31" t="s">
        <v>150</v>
      </c>
      <c r="L360" s="45" t="n">
        <f aca="false">DATE(YEAR(B360),MONTH(B360),1)</f>
        <v>46204</v>
      </c>
      <c r="M360" s="31" t="n">
        <f aca="false">WEEKDAY(B360,2)</f>
        <v>1</v>
      </c>
      <c r="N360" s="31" t="str">
        <f aca="false">IF(G360&lt;=INDEX(Assumptions!$B$15:$B$18,MATCH(E360,Assumptions!$A$15:$A$18,0)),"Yes","No")</f>
        <v>Yes</v>
      </c>
      <c r="O360" s="31" t="str">
        <f aca="false">IF(H360="","Open",IF(H360&lt;=INDEX(Assumptions!$C$15:$C$18,MATCH(E360,Assumptions!$A$15:$A$18,0)),"Yes","No"))</f>
        <v>Yes</v>
      </c>
    </row>
    <row r="361" customFormat="false" ht="15" hidden="false" customHeight="false" outlineLevel="0" collapsed="false">
      <c r="A361" s="31" t="s">
        <v>511</v>
      </c>
      <c r="B361" s="44" t="n">
        <v>46209</v>
      </c>
      <c r="C361" s="31" t="s">
        <v>60</v>
      </c>
      <c r="D361" s="31" t="s">
        <v>69</v>
      </c>
      <c r="E361" s="31" t="s">
        <v>51</v>
      </c>
      <c r="F361" s="31" t="s">
        <v>135</v>
      </c>
      <c r="G361" s="31" t="n">
        <v>2</v>
      </c>
      <c r="H361" s="41" t="n">
        <v>46.9</v>
      </c>
      <c r="I361" s="31" t="s">
        <v>149</v>
      </c>
      <c r="J361" s="31" t="n">
        <v>4</v>
      </c>
      <c r="K361" s="31" t="s">
        <v>150</v>
      </c>
      <c r="L361" s="45" t="n">
        <f aca="false">DATE(YEAR(B361),MONTH(B361),1)</f>
        <v>46204</v>
      </c>
      <c r="M361" s="31" t="n">
        <f aca="false">WEEKDAY(B361,2)</f>
        <v>1</v>
      </c>
      <c r="N361" s="31" t="str">
        <f aca="false">IF(G361&lt;=INDEX(Assumptions!$B$15:$B$18,MATCH(E361,Assumptions!$A$15:$A$18,0)),"Yes","No")</f>
        <v>Yes</v>
      </c>
      <c r="O361" s="31" t="str">
        <f aca="false">IF(H361="","Open",IF(H361&lt;=INDEX(Assumptions!$C$15:$C$18,MATCH(E361,Assumptions!$A$15:$A$18,0)),"Yes","No"))</f>
        <v>No</v>
      </c>
    </row>
    <row r="362" customFormat="false" ht="15" hidden="false" customHeight="false" outlineLevel="0" collapsed="false">
      <c r="A362" s="31" t="s">
        <v>512</v>
      </c>
      <c r="B362" s="44" t="n">
        <v>46209</v>
      </c>
      <c r="C362" s="31" t="s">
        <v>57</v>
      </c>
      <c r="D362" s="31" t="s">
        <v>68</v>
      </c>
      <c r="E362" s="31" t="s">
        <v>52</v>
      </c>
      <c r="F362" s="31" t="s">
        <v>117</v>
      </c>
      <c r="G362" s="31" t="n">
        <v>9</v>
      </c>
      <c r="H362" s="41" t="n">
        <v>5.4</v>
      </c>
      <c r="I362" s="31" t="s">
        <v>149</v>
      </c>
      <c r="J362" s="31" t="n">
        <v>3</v>
      </c>
      <c r="K362" s="31" t="s">
        <v>150</v>
      </c>
      <c r="L362" s="45" t="n">
        <f aca="false">DATE(YEAR(B362),MONTH(B362),1)</f>
        <v>46204</v>
      </c>
      <c r="M362" s="31" t="n">
        <f aca="false">WEEKDAY(B362,2)</f>
        <v>1</v>
      </c>
      <c r="N362" s="31" t="str">
        <f aca="false">IF(G362&lt;=INDEX(Assumptions!$B$15:$B$18,MATCH(E362,Assumptions!$A$15:$A$18,0)),"Yes","No")</f>
        <v>Yes</v>
      </c>
      <c r="O362" s="31" t="str">
        <f aca="false">IF(H362="","Open",IF(H362&lt;=INDEX(Assumptions!$C$15:$C$18,MATCH(E362,Assumptions!$A$15:$A$18,0)),"Yes","No"))</f>
        <v>Yes</v>
      </c>
    </row>
    <row r="363" customFormat="false" ht="15" hidden="false" customHeight="false" outlineLevel="0" collapsed="false">
      <c r="A363" s="31" t="s">
        <v>513</v>
      </c>
      <c r="B363" s="44" t="n">
        <v>46209</v>
      </c>
      <c r="C363" s="31" t="s">
        <v>58</v>
      </c>
      <c r="D363" s="31" t="s">
        <v>65</v>
      </c>
      <c r="E363" s="31" t="s">
        <v>51</v>
      </c>
      <c r="F363" s="31" t="s">
        <v>123</v>
      </c>
      <c r="G363" s="31" t="n">
        <v>14</v>
      </c>
      <c r="H363" s="41" t="n">
        <v>8.2</v>
      </c>
      <c r="I363" s="31" t="s">
        <v>149</v>
      </c>
      <c r="J363" s="31"/>
      <c r="K363" s="31" t="s">
        <v>150</v>
      </c>
      <c r="L363" s="45" t="n">
        <f aca="false">DATE(YEAR(B363),MONTH(B363),1)</f>
        <v>46204</v>
      </c>
      <c r="M363" s="31" t="n">
        <f aca="false">WEEKDAY(B363,2)</f>
        <v>1</v>
      </c>
      <c r="N363" s="31" t="str">
        <f aca="false">IF(G363&lt;=INDEX(Assumptions!$B$15:$B$18,MATCH(E363,Assumptions!$A$15:$A$18,0)),"Yes","No")</f>
        <v>Yes</v>
      </c>
      <c r="O363" s="31" t="str">
        <f aca="false">IF(H363="","Open",IF(H363&lt;=INDEX(Assumptions!$C$15:$C$18,MATCH(E363,Assumptions!$A$15:$A$18,0)),"Yes","No"))</f>
        <v>Yes</v>
      </c>
    </row>
    <row r="364" customFormat="false" ht="15" hidden="false" customHeight="false" outlineLevel="0" collapsed="false">
      <c r="A364" s="31" t="s">
        <v>514</v>
      </c>
      <c r="B364" s="44" t="n">
        <v>46209</v>
      </c>
      <c r="C364" s="31" t="s">
        <v>58</v>
      </c>
      <c r="D364" s="31" t="s">
        <v>68</v>
      </c>
      <c r="E364" s="31" t="s">
        <v>51</v>
      </c>
      <c r="F364" s="31" t="s">
        <v>131</v>
      </c>
      <c r="G364" s="31" t="n">
        <v>38</v>
      </c>
      <c r="H364" s="41" t="n">
        <v>0.2</v>
      </c>
      <c r="I364" s="31" t="s">
        <v>149</v>
      </c>
      <c r="J364" s="31"/>
      <c r="K364" s="31" t="s">
        <v>150</v>
      </c>
      <c r="L364" s="45" t="n">
        <f aca="false">DATE(YEAR(B364),MONTH(B364),1)</f>
        <v>46204</v>
      </c>
      <c r="M364" s="31" t="n">
        <f aca="false">WEEKDAY(B364,2)</f>
        <v>1</v>
      </c>
      <c r="N364" s="31" t="str">
        <f aca="false">IF(G364&lt;=INDEX(Assumptions!$B$15:$B$18,MATCH(E364,Assumptions!$A$15:$A$18,0)),"Yes","No")</f>
        <v>Yes</v>
      </c>
      <c r="O364" s="31" t="str">
        <f aca="false">IF(H364="","Open",IF(H364&lt;=INDEX(Assumptions!$C$15:$C$18,MATCH(E364,Assumptions!$A$15:$A$18,0)),"Yes","No"))</f>
        <v>Yes</v>
      </c>
    </row>
    <row r="365" customFormat="false" ht="15" hidden="false" customHeight="false" outlineLevel="0" collapsed="false">
      <c r="A365" s="31" t="s">
        <v>515</v>
      </c>
      <c r="B365" s="44" t="n">
        <v>46209</v>
      </c>
      <c r="C365" s="31" t="s">
        <v>58</v>
      </c>
      <c r="D365" s="31" t="s">
        <v>67</v>
      </c>
      <c r="E365" s="31" t="s">
        <v>52</v>
      </c>
      <c r="F365" s="31" t="s">
        <v>128</v>
      </c>
      <c r="G365" s="31" t="n">
        <v>28</v>
      </c>
      <c r="H365" s="41" t="n">
        <v>108.5</v>
      </c>
      <c r="I365" s="31" t="s">
        <v>149</v>
      </c>
      <c r="J365" s="31"/>
      <c r="K365" s="31" t="s">
        <v>150</v>
      </c>
      <c r="L365" s="45" t="n">
        <f aca="false">DATE(YEAR(B365),MONTH(B365),1)</f>
        <v>46204</v>
      </c>
      <c r="M365" s="31" t="n">
        <f aca="false">WEEKDAY(B365,2)</f>
        <v>1</v>
      </c>
      <c r="N365" s="31" t="str">
        <f aca="false">IF(G365&lt;=INDEX(Assumptions!$B$15:$B$18,MATCH(E365,Assumptions!$A$15:$A$18,0)),"Yes","No")</f>
        <v>Yes</v>
      </c>
      <c r="O365" s="31" t="str">
        <f aca="false">IF(H365="","Open",IF(H365&lt;=INDEX(Assumptions!$C$15:$C$18,MATCH(E365,Assumptions!$A$15:$A$18,0)),"Yes","No"))</f>
        <v>No</v>
      </c>
    </row>
    <row r="366" customFormat="false" ht="15" hidden="false" customHeight="false" outlineLevel="0" collapsed="false">
      <c r="A366" s="31" t="s">
        <v>516</v>
      </c>
      <c r="B366" s="44" t="n">
        <v>46209</v>
      </c>
      <c r="C366" s="31" t="s">
        <v>60</v>
      </c>
      <c r="D366" s="31" t="s">
        <v>67</v>
      </c>
      <c r="E366" s="31" t="s">
        <v>50</v>
      </c>
      <c r="F366" s="31" t="s">
        <v>124</v>
      </c>
      <c r="G366" s="31" t="n">
        <v>2</v>
      </c>
      <c r="H366" s="41" t="n">
        <v>5</v>
      </c>
      <c r="I366" s="31" t="s">
        <v>149</v>
      </c>
      <c r="J366" s="31"/>
      <c r="K366" s="31" t="s">
        <v>150</v>
      </c>
      <c r="L366" s="45" t="n">
        <f aca="false">DATE(YEAR(B366),MONTH(B366),1)</f>
        <v>46204</v>
      </c>
      <c r="M366" s="31" t="n">
        <f aca="false">WEEKDAY(B366,2)</f>
        <v>1</v>
      </c>
      <c r="N366" s="31" t="str">
        <f aca="false">IF(G366&lt;=INDEX(Assumptions!$B$15:$B$18,MATCH(E366,Assumptions!$A$15:$A$18,0)),"Yes","No")</f>
        <v>Yes</v>
      </c>
      <c r="O366" s="31" t="str">
        <f aca="false">IF(H366="","Open",IF(H366&lt;=INDEX(Assumptions!$C$15:$C$18,MATCH(E366,Assumptions!$A$15:$A$18,0)),"Yes","No"))</f>
        <v>Yes</v>
      </c>
    </row>
    <row r="367" customFormat="false" ht="15" hidden="false" customHeight="false" outlineLevel="0" collapsed="false">
      <c r="A367" s="31" t="s">
        <v>517</v>
      </c>
      <c r="B367" s="44" t="n">
        <v>46209</v>
      </c>
      <c r="C367" s="31" t="s">
        <v>60</v>
      </c>
      <c r="D367" s="31" t="s">
        <v>67</v>
      </c>
      <c r="E367" s="31" t="s">
        <v>51</v>
      </c>
      <c r="F367" s="31" t="s">
        <v>117</v>
      </c>
      <c r="G367" s="31" t="n">
        <v>1</v>
      </c>
      <c r="H367" s="41" t="n">
        <v>24</v>
      </c>
      <c r="I367" s="31" t="s">
        <v>149</v>
      </c>
      <c r="J367" s="31"/>
      <c r="K367" s="31" t="s">
        <v>150</v>
      </c>
      <c r="L367" s="45" t="n">
        <f aca="false">DATE(YEAR(B367),MONTH(B367),1)</f>
        <v>46204</v>
      </c>
      <c r="M367" s="31" t="n">
        <f aca="false">WEEKDAY(B367,2)</f>
        <v>1</v>
      </c>
      <c r="N367" s="31" t="str">
        <f aca="false">IF(G367&lt;=INDEX(Assumptions!$B$15:$B$18,MATCH(E367,Assumptions!$A$15:$A$18,0)),"Yes","No")</f>
        <v>Yes</v>
      </c>
      <c r="O367" s="31" t="str">
        <f aca="false">IF(H367="","Open",IF(H367&lt;=INDEX(Assumptions!$C$15:$C$18,MATCH(E367,Assumptions!$A$15:$A$18,0)),"Yes","No"))</f>
        <v>Yes</v>
      </c>
    </row>
    <row r="368" customFormat="false" ht="15" hidden="false" customHeight="false" outlineLevel="0" collapsed="false">
      <c r="A368" s="31" t="s">
        <v>518</v>
      </c>
      <c r="B368" s="44" t="n">
        <v>46209</v>
      </c>
      <c r="C368" s="31" t="s">
        <v>57</v>
      </c>
      <c r="D368" s="31" t="s">
        <v>65</v>
      </c>
      <c r="E368" s="31" t="s">
        <v>50</v>
      </c>
      <c r="F368" s="31" t="s">
        <v>121</v>
      </c>
      <c r="G368" s="31" t="n">
        <v>8</v>
      </c>
      <c r="H368" s="41" t="n">
        <v>8.7</v>
      </c>
      <c r="I368" s="31" t="s">
        <v>149</v>
      </c>
      <c r="J368" s="31" t="n">
        <v>4</v>
      </c>
      <c r="K368" s="31" t="s">
        <v>150</v>
      </c>
      <c r="L368" s="45" t="n">
        <f aca="false">DATE(YEAR(B368),MONTH(B368),1)</f>
        <v>46204</v>
      </c>
      <c r="M368" s="31" t="n">
        <f aca="false">WEEKDAY(B368,2)</f>
        <v>1</v>
      </c>
      <c r="N368" s="31" t="str">
        <f aca="false">IF(G368&lt;=INDEX(Assumptions!$B$15:$B$18,MATCH(E368,Assumptions!$A$15:$A$18,0)),"Yes","No")</f>
        <v>Yes</v>
      </c>
      <c r="O368" s="31" t="str">
        <f aca="false">IF(H368="","Open",IF(H368&lt;=INDEX(Assumptions!$C$15:$C$18,MATCH(E368,Assumptions!$A$15:$A$18,0)),"Yes","No"))</f>
        <v>No</v>
      </c>
    </row>
    <row r="369" customFormat="false" ht="15" hidden="false" customHeight="false" outlineLevel="0" collapsed="false">
      <c r="A369" s="31" t="s">
        <v>519</v>
      </c>
      <c r="B369" s="44" t="n">
        <v>46209</v>
      </c>
      <c r="C369" s="31" t="s">
        <v>57</v>
      </c>
      <c r="D369" s="31" t="s">
        <v>69</v>
      </c>
      <c r="E369" s="31" t="s">
        <v>52</v>
      </c>
      <c r="F369" s="31" t="s">
        <v>117</v>
      </c>
      <c r="G369" s="31" t="n">
        <v>3</v>
      </c>
      <c r="H369" s="41" t="n">
        <v>98.2</v>
      </c>
      <c r="I369" s="31" t="s">
        <v>64</v>
      </c>
      <c r="J369" s="31"/>
      <c r="K369" s="31" t="s">
        <v>150</v>
      </c>
      <c r="L369" s="45" t="n">
        <f aca="false">DATE(YEAR(B369),MONTH(B369),1)</f>
        <v>46204</v>
      </c>
      <c r="M369" s="31" t="n">
        <f aca="false">WEEKDAY(B369,2)</f>
        <v>1</v>
      </c>
      <c r="N369" s="31" t="str">
        <f aca="false">IF(G369&lt;=INDEX(Assumptions!$B$15:$B$18,MATCH(E369,Assumptions!$A$15:$A$18,0)),"Yes","No")</f>
        <v>Yes</v>
      </c>
      <c r="O369" s="31" t="str">
        <f aca="false">IF(H369="","Open",IF(H369&lt;=INDEX(Assumptions!$C$15:$C$18,MATCH(E369,Assumptions!$A$15:$A$18,0)),"Yes","No"))</f>
        <v>No</v>
      </c>
    </row>
    <row r="370" customFormat="false" ht="15" hidden="false" customHeight="false" outlineLevel="0" collapsed="false">
      <c r="A370" s="31" t="s">
        <v>520</v>
      </c>
      <c r="B370" s="44" t="n">
        <v>46209</v>
      </c>
      <c r="C370" s="31" t="s">
        <v>57</v>
      </c>
      <c r="D370" s="31" t="s">
        <v>65</v>
      </c>
      <c r="E370" s="31" t="s">
        <v>50</v>
      </c>
      <c r="F370" s="31" t="s">
        <v>133</v>
      </c>
      <c r="G370" s="31" t="n">
        <v>1</v>
      </c>
      <c r="H370" s="41" t="n">
        <v>4</v>
      </c>
      <c r="I370" s="31" t="s">
        <v>149</v>
      </c>
      <c r="J370" s="31" t="n">
        <v>4</v>
      </c>
      <c r="K370" s="31" t="s">
        <v>150</v>
      </c>
      <c r="L370" s="45" t="n">
        <f aca="false">DATE(YEAR(B370),MONTH(B370),1)</f>
        <v>46204</v>
      </c>
      <c r="M370" s="31" t="n">
        <f aca="false">WEEKDAY(B370,2)</f>
        <v>1</v>
      </c>
      <c r="N370" s="31" t="str">
        <f aca="false">IF(G370&lt;=INDEX(Assumptions!$B$15:$B$18,MATCH(E370,Assumptions!$A$15:$A$18,0)),"Yes","No")</f>
        <v>Yes</v>
      </c>
      <c r="O370" s="31" t="str">
        <f aca="false">IF(H370="","Open",IF(H370&lt;=INDEX(Assumptions!$C$15:$C$18,MATCH(E370,Assumptions!$A$15:$A$18,0)),"Yes","No"))</f>
        <v>Yes</v>
      </c>
    </row>
    <row r="371" customFormat="false" ht="15" hidden="false" customHeight="false" outlineLevel="0" collapsed="false">
      <c r="A371" s="31" t="s">
        <v>521</v>
      </c>
      <c r="B371" s="44" t="n">
        <v>46209</v>
      </c>
      <c r="C371" s="31" t="s">
        <v>58</v>
      </c>
      <c r="D371" s="31" t="s">
        <v>69</v>
      </c>
      <c r="E371" s="31" t="s">
        <v>51</v>
      </c>
      <c r="F371" s="31" t="s">
        <v>129</v>
      </c>
      <c r="G371" s="31" t="n">
        <v>45</v>
      </c>
      <c r="H371" s="41" t="n">
        <v>17.3</v>
      </c>
      <c r="I371" s="31" t="s">
        <v>149</v>
      </c>
      <c r="J371" s="31" t="n">
        <v>4</v>
      </c>
      <c r="K371" s="31" t="s">
        <v>150</v>
      </c>
      <c r="L371" s="45" t="n">
        <f aca="false">DATE(YEAR(B371),MONTH(B371),1)</f>
        <v>46204</v>
      </c>
      <c r="M371" s="31" t="n">
        <f aca="false">WEEKDAY(B371,2)</f>
        <v>1</v>
      </c>
      <c r="N371" s="31" t="str">
        <f aca="false">IF(G371&lt;=INDEX(Assumptions!$B$15:$B$18,MATCH(E371,Assumptions!$A$15:$A$18,0)),"Yes","No")</f>
        <v>Yes</v>
      </c>
      <c r="O371" s="31" t="str">
        <f aca="false">IF(H371="","Open",IF(H371&lt;=INDEX(Assumptions!$C$15:$C$18,MATCH(E371,Assumptions!$A$15:$A$18,0)),"Yes","No"))</f>
        <v>Yes</v>
      </c>
    </row>
    <row r="372" customFormat="false" ht="15" hidden="false" customHeight="false" outlineLevel="0" collapsed="false">
      <c r="A372" s="31" t="s">
        <v>522</v>
      </c>
      <c r="B372" s="44" t="n">
        <v>46209</v>
      </c>
      <c r="C372" s="31" t="s">
        <v>60</v>
      </c>
      <c r="D372" s="31" t="s">
        <v>66</v>
      </c>
      <c r="E372" s="31" t="s">
        <v>51</v>
      </c>
      <c r="F372" s="31" t="s">
        <v>135</v>
      </c>
      <c r="G372" s="31" t="n">
        <v>3</v>
      </c>
      <c r="H372" s="41" t="n">
        <v>2.7</v>
      </c>
      <c r="I372" s="31" t="s">
        <v>149</v>
      </c>
      <c r="J372" s="31"/>
      <c r="K372" s="31" t="s">
        <v>150</v>
      </c>
      <c r="L372" s="45" t="n">
        <f aca="false">DATE(YEAR(B372),MONTH(B372),1)</f>
        <v>46204</v>
      </c>
      <c r="M372" s="31" t="n">
        <f aca="false">WEEKDAY(B372,2)</f>
        <v>1</v>
      </c>
      <c r="N372" s="31" t="str">
        <f aca="false">IF(G372&lt;=INDEX(Assumptions!$B$15:$B$18,MATCH(E372,Assumptions!$A$15:$A$18,0)),"Yes","No")</f>
        <v>Yes</v>
      </c>
      <c r="O372" s="31" t="str">
        <f aca="false">IF(H372="","Open",IF(H372&lt;=INDEX(Assumptions!$C$15:$C$18,MATCH(E372,Assumptions!$A$15:$A$18,0)),"Yes","No"))</f>
        <v>Yes</v>
      </c>
    </row>
    <row r="373" customFormat="false" ht="15" hidden="false" customHeight="false" outlineLevel="0" collapsed="false">
      <c r="A373" s="31" t="s">
        <v>523</v>
      </c>
      <c r="B373" s="44" t="n">
        <v>46209</v>
      </c>
      <c r="C373" s="31" t="s">
        <v>58</v>
      </c>
      <c r="D373" s="31" t="s">
        <v>65</v>
      </c>
      <c r="E373" s="31" t="s">
        <v>50</v>
      </c>
      <c r="F373" s="31" t="s">
        <v>117</v>
      </c>
      <c r="G373" s="31" t="n">
        <v>7</v>
      </c>
      <c r="H373" s="41" t="n">
        <v>2.1</v>
      </c>
      <c r="I373" s="31" t="s">
        <v>149</v>
      </c>
      <c r="J373" s="31" t="n">
        <v>5</v>
      </c>
      <c r="K373" s="31" t="s">
        <v>150</v>
      </c>
      <c r="L373" s="45" t="n">
        <f aca="false">DATE(YEAR(B373),MONTH(B373),1)</f>
        <v>46204</v>
      </c>
      <c r="M373" s="31" t="n">
        <f aca="false">WEEKDAY(B373,2)</f>
        <v>1</v>
      </c>
      <c r="N373" s="31" t="str">
        <f aca="false">IF(G373&lt;=INDEX(Assumptions!$B$15:$B$18,MATCH(E373,Assumptions!$A$15:$A$18,0)),"Yes","No")</f>
        <v>Yes</v>
      </c>
      <c r="O373" s="31" t="str">
        <f aca="false">IF(H373="","Open",IF(H373&lt;=INDEX(Assumptions!$C$15:$C$18,MATCH(E373,Assumptions!$A$15:$A$18,0)),"Yes","No"))</f>
        <v>Yes</v>
      </c>
    </row>
    <row r="374" customFormat="false" ht="15" hidden="false" customHeight="false" outlineLevel="0" collapsed="false">
      <c r="A374" s="31" t="s">
        <v>524</v>
      </c>
      <c r="B374" s="44" t="n">
        <v>46209</v>
      </c>
      <c r="C374" s="31" t="s">
        <v>57</v>
      </c>
      <c r="D374" s="31" t="s">
        <v>65</v>
      </c>
      <c r="E374" s="31" t="s">
        <v>50</v>
      </c>
      <c r="F374" s="31" t="s">
        <v>135</v>
      </c>
      <c r="G374" s="31" t="n">
        <v>13</v>
      </c>
      <c r="H374" s="41" t="n">
        <v>6.5</v>
      </c>
      <c r="I374" s="31" t="s">
        <v>149</v>
      </c>
      <c r="J374" s="31" t="n">
        <v>4</v>
      </c>
      <c r="K374" s="31" t="s">
        <v>150</v>
      </c>
      <c r="L374" s="45" t="n">
        <f aca="false">DATE(YEAR(B374),MONTH(B374),1)</f>
        <v>46204</v>
      </c>
      <c r="M374" s="31" t="n">
        <f aca="false">WEEKDAY(B374,2)</f>
        <v>1</v>
      </c>
      <c r="N374" s="31" t="str">
        <f aca="false">IF(G374&lt;=INDEX(Assumptions!$B$15:$B$18,MATCH(E374,Assumptions!$A$15:$A$18,0)),"Yes","No")</f>
        <v>Yes</v>
      </c>
      <c r="O374" s="31" t="str">
        <f aca="false">IF(H374="","Open",IF(H374&lt;=INDEX(Assumptions!$C$15:$C$18,MATCH(E374,Assumptions!$A$15:$A$18,0)),"Yes","No"))</f>
        <v>Yes</v>
      </c>
    </row>
    <row r="375" customFormat="false" ht="15" hidden="false" customHeight="false" outlineLevel="0" collapsed="false">
      <c r="A375" s="31" t="s">
        <v>525</v>
      </c>
      <c r="B375" s="44" t="n">
        <v>46209</v>
      </c>
      <c r="C375" s="31" t="s">
        <v>57</v>
      </c>
      <c r="D375" s="31" t="s">
        <v>66</v>
      </c>
      <c r="E375" s="31" t="s">
        <v>50</v>
      </c>
      <c r="F375" s="31" t="s">
        <v>133</v>
      </c>
      <c r="G375" s="31" t="n">
        <v>7</v>
      </c>
      <c r="H375" s="41"/>
      <c r="I375" s="31" t="s">
        <v>158</v>
      </c>
      <c r="J375" s="31"/>
      <c r="K375" s="31" t="s">
        <v>150</v>
      </c>
      <c r="L375" s="45" t="n">
        <f aca="false">DATE(YEAR(B375),MONTH(B375),1)</f>
        <v>46204</v>
      </c>
      <c r="M375" s="31" t="n">
        <f aca="false">WEEKDAY(B375,2)</f>
        <v>1</v>
      </c>
      <c r="N375" s="31" t="str">
        <f aca="false">IF(G375&lt;=INDEX(Assumptions!$B$15:$B$18,MATCH(E375,Assumptions!$A$15:$A$18,0)),"Yes","No")</f>
        <v>Yes</v>
      </c>
      <c r="O375" s="31" t="str">
        <f aca="false">IF(H375="","Open",IF(H375&lt;=INDEX(Assumptions!$C$15:$C$18,MATCH(E375,Assumptions!$A$15:$A$18,0)),"Yes","No"))</f>
        <v>Open</v>
      </c>
    </row>
    <row r="376" customFormat="false" ht="15" hidden="false" customHeight="false" outlineLevel="0" collapsed="false">
      <c r="A376" s="31" t="s">
        <v>526</v>
      </c>
      <c r="B376" s="44" t="n">
        <v>46209</v>
      </c>
      <c r="C376" s="31" t="s">
        <v>59</v>
      </c>
      <c r="D376" s="31" t="s">
        <v>65</v>
      </c>
      <c r="E376" s="31" t="s">
        <v>52</v>
      </c>
      <c r="F376" s="31" t="s">
        <v>123</v>
      </c>
      <c r="G376" s="31" t="n">
        <v>81</v>
      </c>
      <c r="H376" s="41" t="n">
        <v>25.3</v>
      </c>
      <c r="I376" s="31" t="s">
        <v>149</v>
      </c>
      <c r="J376" s="31" t="n">
        <v>5</v>
      </c>
      <c r="K376" s="31" t="s">
        <v>150</v>
      </c>
      <c r="L376" s="45" t="n">
        <f aca="false">DATE(YEAR(B376),MONTH(B376),1)</f>
        <v>46204</v>
      </c>
      <c r="M376" s="31" t="n">
        <f aca="false">WEEKDAY(B376,2)</f>
        <v>1</v>
      </c>
      <c r="N376" s="31" t="str">
        <f aca="false">IF(G376&lt;=INDEX(Assumptions!$B$15:$B$18,MATCH(E376,Assumptions!$A$15:$A$18,0)),"Yes","No")</f>
        <v>Yes</v>
      </c>
      <c r="O376" s="31" t="str">
        <f aca="false">IF(H376="","Open",IF(H376&lt;=INDEX(Assumptions!$C$15:$C$18,MATCH(E376,Assumptions!$A$15:$A$18,0)),"Yes","No"))</f>
        <v>Yes</v>
      </c>
    </row>
    <row r="377" customFormat="false" ht="15" hidden="false" customHeight="false" outlineLevel="0" collapsed="false">
      <c r="A377" s="31" t="s">
        <v>527</v>
      </c>
      <c r="B377" s="44" t="n">
        <v>46209</v>
      </c>
      <c r="C377" s="31" t="s">
        <v>57</v>
      </c>
      <c r="D377" s="31" t="s">
        <v>66</v>
      </c>
      <c r="E377" s="31" t="s">
        <v>50</v>
      </c>
      <c r="F377" s="31" t="s">
        <v>122</v>
      </c>
      <c r="G377" s="31" t="n">
        <v>3</v>
      </c>
      <c r="H377" s="41" t="n">
        <v>3.7</v>
      </c>
      <c r="I377" s="31" t="s">
        <v>149</v>
      </c>
      <c r="J377" s="31"/>
      <c r="K377" s="31" t="s">
        <v>150</v>
      </c>
      <c r="L377" s="45" t="n">
        <f aca="false">DATE(YEAR(B377),MONTH(B377),1)</f>
        <v>46204</v>
      </c>
      <c r="M377" s="31" t="n">
        <f aca="false">WEEKDAY(B377,2)</f>
        <v>1</v>
      </c>
      <c r="N377" s="31" t="str">
        <f aca="false">IF(G377&lt;=INDEX(Assumptions!$B$15:$B$18,MATCH(E377,Assumptions!$A$15:$A$18,0)),"Yes","No")</f>
        <v>Yes</v>
      </c>
      <c r="O377" s="31" t="str">
        <f aca="false">IF(H377="","Open",IF(H377&lt;=INDEX(Assumptions!$C$15:$C$18,MATCH(E377,Assumptions!$A$15:$A$18,0)),"Yes","No"))</f>
        <v>Yes</v>
      </c>
    </row>
    <row r="378" customFormat="false" ht="15" hidden="false" customHeight="false" outlineLevel="0" collapsed="false">
      <c r="A378" s="31" t="s">
        <v>528</v>
      </c>
      <c r="B378" s="44" t="n">
        <v>46209</v>
      </c>
      <c r="C378" s="31" t="s">
        <v>59</v>
      </c>
      <c r="D378" s="31" t="s">
        <v>67</v>
      </c>
      <c r="E378" s="31" t="s">
        <v>52</v>
      </c>
      <c r="F378" s="31" t="s">
        <v>121</v>
      </c>
      <c r="G378" s="31" t="n">
        <v>131</v>
      </c>
      <c r="H378" s="41" t="n">
        <v>59.1</v>
      </c>
      <c r="I378" s="31" t="s">
        <v>149</v>
      </c>
      <c r="J378" s="31"/>
      <c r="K378" s="31" t="s">
        <v>153</v>
      </c>
      <c r="L378" s="45" t="n">
        <f aca="false">DATE(YEAR(B378),MONTH(B378),1)</f>
        <v>46204</v>
      </c>
      <c r="M378" s="31" t="n">
        <f aca="false">WEEKDAY(B378,2)</f>
        <v>1</v>
      </c>
      <c r="N378" s="31" t="str">
        <f aca="false">IF(G378&lt;=INDEX(Assumptions!$B$15:$B$18,MATCH(E378,Assumptions!$A$15:$A$18,0)),"Yes","No")</f>
        <v>Yes</v>
      </c>
      <c r="O378" s="31" t="str">
        <f aca="false">IF(H378="","Open",IF(H378&lt;=INDEX(Assumptions!$C$15:$C$18,MATCH(E378,Assumptions!$A$15:$A$18,0)),"Yes","No"))</f>
        <v>Yes</v>
      </c>
    </row>
    <row r="379" customFormat="false" ht="15" hidden="false" customHeight="false" outlineLevel="0" collapsed="false">
      <c r="A379" s="31" t="s">
        <v>529</v>
      </c>
      <c r="B379" s="44" t="n">
        <v>46209</v>
      </c>
      <c r="C379" s="31" t="s">
        <v>59</v>
      </c>
      <c r="D379" s="31" t="s">
        <v>65</v>
      </c>
      <c r="E379" s="31" t="s">
        <v>51</v>
      </c>
      <c r="F379" s="31" t="s">
        <v>124</v>
      </c>
      <c r="G379" s="31" t="n">
        <v>40</v>
      </c>
      <c r="H379" s="41" t="n">
        <v>34.9</v>
      </c>
      <c r="I379" s="31" t="s">
        <v>149</v>
      </c>
      <c r="J379" s="31" t="n">
        <v>4</v>
      </c>
      <c r="K379" s="31" t="s">
        <v>150</v>
      </c>
      <c r="L379" s="45" t="n">
        <f aca="false">DATE(YEAR(B379),MONTH(B379),1)</f>
        <v>46204</v>
      </c>
      <c r="M379" s="31" t="n">
        <f aca="false">WEEKDAY(B379,2)</f>
        <v>1</v>
      </c>
      <c r="N379" s="31" t="str">
        <f aca="false">IF(G379&lt;=INDEX(Assumptions!$B$15:$B$18,MATCH(E379,Assumptions!$A$15:$A$18,0)),"Yes","No")</f>
        <v>Yes</v>
      </c>
      <c r="O379" s="31" t="str">
        <f aca="false">IF(H379="","Open",IF(H379&lt;=INDEX(Assumptions!$C$15:$C$18,MATCH(E379,Assumptions!$A$15:$A$18,0)),"Yes","No"))</f>
        <v>No</v>
      </c>
    </row>
    <row r="380" customFormat="false" ht="15" hidden="false" customHeight="false" outlineLevel="0" collapsed="false">
      <c r="A380" s="31" t="s">
        <v>530</v>
      </c>
      <c r="B380" s="44" t="n">
        <v>46209</v>
      </c>
      <c r="C380" s="31" t="s">
        <v>58</v>
      </c>
      <c r="D380" s="31" t="s">
        <v>67</v>
      </c>
      <c r="E380" s="31" t="s">
        <v>52</v>
      </c>
      <c r="F380" s="31" t="s">
        <v>120</v>
      </c>
      <c r="G380" s="31" t="n">
        <v>31</v>
      </c>
      <c r="H380" s="41" t="n">
        <v>11.1</v>
      </c>
      <c r="I380" s="31" t="s">
        <v>149</v>
      </c>
      <c r="J380" s="31" t="n">
        <v>5</v>
      </c>
      <c r="K380" s="31" t="s">
        <v>150</v>
      </c>
      <c r="L380" s="45" t="n">
        <f aca="false">DATE(YEAR(B380),MONTH(B380),1)</f>
        <v>46204</v>
      </c>
      <c r="M380" s="31" t="n">
        <f aca="false">WEEKDAY(B380,2)</f>
        <v>1</v>
      </c>
      <c r="N380" s="31" t="str">
        <f aca="false">IF(G380&lt;=INDEX(Assumptions!$B$15:$B$18,MATCH(E380,Assumptions!$A$15:$A$18,0)),"Yes","No")</f>
        <v>Yes</v>
      </c>
      <c r="O380" s="31" t="str">
        <f aca="false">IF(H380="","Open",IF(H380&lt;=INDEX(Assumptions!$C$15:$C$18,MATCH(E380,Assumptions!$A$15:$A$18,0)),"Yes","No"))</f>
        <v>Yes</v>
      </c>
    </row>
    <row r="381" customFormat="false" ht="15" hidden="false" customHeight="false" outlineLevel="0" collapsed="false">
      <c r="A381" s="31" t="s">
        <v>531</v>
      </c>
      <c r="B381" s="44" t="n">
        <v>46209</v>
      </c>
      <c r="C381" s="31" t="s">
        <v>57</v>
      </c>
      <c r="D381" s="31" t="s">
        <v>65</v>
      </c>
      <c r="E381" s="31" t="s">
        <v>52</v>
      </c>
      <c r="F381" s="31" t="s">
        <v>120</v>
      </c>
      <c r="G381" s="31" t="n">
        <v>3</v>
      </c>
      <c r="H381" s="41"/>
      <c r="I381" s="31" t="s">
        <v>158</v>
      </c>
      <c r="J381" s="31"/>
      <c r="K381" s="31" t="s">
        <v>150</v>
      </c>
      <c r="L381" s="45" t="n">
        <f aca="false">DATE(YEAR(B381),MONTH(B381),1)</f>
        <v>46204</v>
      </c>
      <c r="M381" s="31" t="n">
        <f aca="false">WEEKDAY(B381,2)</f>
        <v>1</v>
      </c>
      <c r="N381" s="31" t="str">
        <f aca="false">IF(G381&lt;=INDEX(Assumptions!$B$15:$B$18,MATCH(E381,Assumptions!$A$15:$A$18,0)),"Yes","No")</f>
        <v>Yes</v>
      </c>
      <c r="O381" s="31" t="str">
        <f aca="false">IF(H381="","Open",IF(H381&lt;=INDEX(Assumptions!$C$15:$C$18,MATCH(E381,Assumptions!$A$15:$A$18,0)),"Yes","No"))</f>
        <v>Open</v>
      </c>
    </row>
    <row r="382" customFormat="false" ht="15" hidden="false" customHeight="false" outlineLevel="0" collapsed="false">
      <c r="A382" s="31" t="s">
        <v>532</v>
      </c>
      <c r="B382" s="44" t="n">
        <v>46209</v>
      </c>
      <c r="C382" s="31" t="s">
        <v>57</v>
      </c>
      <c r="D382" s="31" t="s">
        <v>65</v>
      </c>
      <c r="E382" s="31" t="s">
        <v>51</v>
      </c>
      <c r="F382" s="31" t="s">
        <v>130</v>
      </c>
      <c r="G382" s="31" t="n">
        <v>4</v>
      </c>
      <c r="H382" s="41" t="n">
        <v>21.1</v>
      </c>
      <c r="I382" s="31" t="s">
        <v>149</v>
      </c>
      <c r="J382" s="31" t="n">
        <v>4</v>
      </c>
      <c r="K382" s="31" t="s">
        <v>150</v>
      </c>
      <c r="L382" s="45" t="n">
        <f aca="false">DATE(YEAR(B382),MONTH(B382),1)</f>
        <v>46204</v>
      </c>
      <c r="M382" s="31" t="n">
        <f aca="false">WEEKDAY(B382,2)</f>
        <v>1</v>
      </c>
      <c r="N382" s="31" t="str">
        <f aca="false">IF(G382&lt;=INDEX(Assumptions!$B$15:$B$18,MATCH(E382,Assumptions!$A$15:$A$18,0)),"Yes","No")</f>
        <v>Yes</v>
      </c>
      <c r="O382" s="31" t="str">
        <f aca="false">IF(H382="","Open",IF(H382&lt;=INDEX(Assumptions!$C$15:$C$18,MATCH(E382,Assumptions!$A$15:$A$18,0)),"Yes","No"))</f>
        <v>Yes</v>
      </c>
    </row>
    <row r="383" customFormat="false" ht="15" hidden="false" customHeight="false" outlineLevel="0" collapsed="false">
      <c r="A383" s="31" t="s">
        <v>533</v>
      </c>
      <c r="B383" s="44" t="n">
        <v>46209</v>
      </c>
      <c r="C383" s="31" t="s">
        <v>58</v>
      </c>
      <c r="D383" s="31" t="s">
        <v>68</v>
      </c>
      <c r="E383" s="31" t="s">
        <v>52</v>
      </c>
      <c r="F383" s="31" t="s">
        <v>134</v>
      </c>
      <c r="G383" s="31" t="n">
        <v>40</v>
      </c>
      <c r="H383" s="41" t="n">
        <v>10.6</v>
      </c>
      <c r="I383" s="31" t="s">
        <v>149</v>
      </c>
      <c r="J383" s="31" t="n">
        <v>4</v>
      </c>
      <c r="K383" s="31" t="s">
        <v>150</v>
      </c>
      <c r="L383" s="45" t="n">
        <f aca="false">DATE(YEAR(B383),MONTH(B383),1)</f>
        <v>46204</v>
      </c>
      <c r="M383" s="31" t="n">
        <f aca="false">WEEKDAY(B383,2)</f>
        <v>1</v>
      </c>
      <c r="N383" s="31" t="str">
        <f aca="false">IF(G383&lt;=INDEX(Assumptions!$B$15:$B$18,MATCH(E383,Assumptions!$A$15:$A$18,0)),"Yes","No")</f>
        <v>Yes</v>
      </c>
      <c r="O383" s="31" t="str">
        <f aca="false">IF(H383="","Open",IF(H383&lt;=INDEX(Assumptions!$C$15:$C$18,MATCH(E383,Assumptions!$A$15:$A$18,0)),"Yes","No"))</f>
        <v>Yes</v>
      </c>
    </row>
    <row r="384" customFormat="false" ht="15" hidden="false" customHeight="false" outlineLevel="0" collapsed="false">
      <c r="A384" s="31" t="s">
        <v>534</v>
      </c>
      <c r="B384" s="44" t="n">
        <v>46209</v>
      </c>
      <c r="C384" s="31" t="s">
        <v>57</v>
      </c>
      <c r="D384" s="31" t="s">
        <v>66</v>
      </c>
      <c r="E384" s="31" t="s">
        <v>49</v>
      </c>
      <c r="F384" s="31" t="s">
        <v>128</v>
      </c>
      <c r="G384" s="31" t="n">
        <v>1</v>
      </c>
      <c r="H384" s="41" t="n">
        <v>1</v>
      </c>
      <c r="I384" s="31" t="s">
        <v>149</v>
      </c>
      <c r="J384" s="31" t="n">
        <v>4</v>
      </c>
      <c r="K384" s="31" t="s">
        <v>150</v>
      </c>
      <c r="L384" s="45" t="n">
        <f aca="false">DATE(YEAR(B384),MONTH(B384),1)</f>
        <v>46204</v>
      </c>
      <c r="M384" s="31" t="n">
        <f aca="false">WEEKDAY(B384,2)</f>
        <v>1</v>
      </c>
      <c r="N384" s="31" t="str">
        <f aca="false">IF(G384&lt;=INDEX(Assumptions!$B$15:$B$18,MATCH(E384,Assumptions!$A$15:$A$18,0)),"Yes","No")</f>
        <v>Yes</v>
      </c>
      <c r="O384" s="31" t="str">
        <f aca="false">IF(H384="","Open",IF(H384&lt;=INDEX(Assumptions!$C$15:$C$18,MATCH(E384,Assumptions!$A$15:$A$18,0)),"Yes","No"))</f>
        <v>Yes</v>
      </c>
    </row>
    <row r="385" customFormat="false" ht="15" hidden="false" customHeight="false" outlineLevel="0" collapsed="false">
      <c r="A385" s="31" t="s">
        <v>535</v>
      </c>
      <c r="B385" s="44" t="n">
        <v>46209</v>
      </c>
      <c r="C385" s="31" t="s">
        <v>59</v>
      </c>
      <c r="D385" s="31" t="s">
        <v>67</v>
      </c>
      <c r="E385" s="31" t="s">
        <v>51</v>
      </c>
      <c r="F385" s="31" t="s">
        <v>137</v>
      </c>
      <c r="G385" s="31" t="n">
        <v>41</v>
      </c>
      <c r="H385" s="41" t="n">
        <v>18.1</v>
      </c>
      <c r="I385" s="31" t="s">
        <v>149</v>
      </c>
      <c r="J385" s="31"/>
      <c r="K385" s="31" t="s">
        <v>153</v>
      </c>
      <c r="L385" s="45" t="n">
        <f aca="false">DATE(YEAR(B385),MONTH(B385),1)</f>
        <v>46204</v>
      </c>
      <c r="M385" s="31" t="n">
        <f aca="false">WEEKDAY(B385,2)</f>
        <v>1</v>
      </c>
      <c r="N385" s="31" t="str">
        <f aca="false">IF(G385&lt;=INDEX(Assumptions!$B$15:$B$18,MATCH(E385,Assumptions!$A$15:$A$18,0)),"Yes","No")</f>
        <v>Yes</v>
      </c>
      <c r="O385" s="31" t="str">
        <f aca="false">IF(H385="","Open",IF(H385&lt;=INDEX(Assumptions!$C$15:$C$18,MATCH(E385,Assumptions!$A$15:$A$18,0)),"Yes","No"))</f>
        <v>Yes</v>
      </c>
    </row>
    <row r="386" customFormat="false" ht="15" hidden="false" customHeight="false" outlineLevel="0" collapsed="false">
      <c r="A386" s="31" t="s">
        <v>536</v>
      </c>
      <c r="B386" s="44" t="n">
        <v>46209</v>
      </c>
      <c r="C386" s="31" t="s">
        <v>57</v>
      </c>
      <c r="D386" s="31" t="s">
        <v>68</v>
      </c>
      <c r="E386" s="31" t="s">
        <v>52</v>
      </c>
      <c r="F386" s="31" t="s">
        <v>124</v>
      </c>
      <c r="G386" s="31" t="n">
        <v>15</v>
      </c>
      <c r="H386" s="41" t="n">
        <v>2.3</v>
      </c>
      <c r="I386" s="31" t="s">
        <v>149</v>
      </c>
      <c r="J386" s="31"/>
      <c r="K386" s="31" t="s">
        <v>150</v>
      </c>
      <c r="L386" s="45" t="n">
        <f aca="false">DATE(YEAR(B386),MONTH(B386),1)</f>
        <v>46204</v>
      </c>
      <c r="M386" s="31" t="n">
        <f aca="false">WEEKDAY(B386,2)</f>
        <v>1</v>
      </c>
      <c r="N386" s="31" t="str">
        <f aca="false">IF(G386&lt;=INDEX(Assumptions!$B$15:$B$18,MATCH(E386,Assumptions!$A$15:$A$18,0)),"Yes","No")</f>
        <v>Yes</v>
      </c>
      <c r="O386" s="31" t="str">
        <f aca="false">IF(H386="","Open",IF(H386&lt;=INDEX(Assumptions!$C$15:$C$18,MATCH(E386,Assumptions!$A$15:$A$18,0)),"Yes","No"))</f>
        <v>Yes</v>
      </c>
    </row>
    <row r="387" customFormat="false" ht="15" hidden="false" customHeight="false" outlineLevel="0" collapsed="false">
      <c r="A387" s="31" t="s">
        <v>537</v>
      </c>
      <c r="B387" s="44" t="n">
        <v>46209</v>
      </c>
      <c r="C387" s="31" t="s">
        <v>60</v>
      </c>
      <c r="D387" s="31" t="s">
        <v>65</v>
      </c>
      <c r="E387" s="31" t="s">
        <v>51</v>
      </c>
      <c r="F387" s="31" t="s">
        <v>136</v>
      </c>
      <c r="G387" s="31" t="n">
        <v>3</v>
      </c>
      <c r="H387" s="41" t="n">
        <v>3.3</v>
      </c>
      <c r="I387" s="31" t="s">
        <v>149</v>
      </c>
      <c r="J387" s="31"/>
      <c r="K387" s="31" t="s">
        <v>150</v>
      </c>
      <c r="L387" s="45" t="n">
        <f aca="false">DATE(YEAR(B387),MONTH(B387),1)</f>
        <v>46204</v>
      </c>
      <c r="M387" s="31" t="n">
        <f aca="false">WEEKDAY(B387,2)</f>
        <v>1</v>
      </c>
      <c r="N387" s="31" t="str">
        <f aca="false">IF(G387&lt;=INDEX(Assumptions!$B$15:$B$18,MATCH(E387,Assumptions!$A$15:$A$18,0)),"Yes","No")</f>
        <v>Yes</v>
      </c>
      <c r="O387" s="31" t="str">
        <f aca="false">IF(H387="","Open",IF(H387&lt;=INDEX(Assumptions!$C$15:$C$18,MATCH(E387,Assumptions!$A$15:$A$18,0)),"Yes","No"))</f>
        <v>Yes</v>
      </c>
    </row>
    <row r="388" customFormat="false" ht="15" hidden="false" customHeight="false" outlineLevel="0" collapsed="false">
      <c r="A388" s="31" t="s">
        <v>538</v>
      </c>
      <c r="B388" s="44" t="n">
        <v>46209</v>
      </c>
      <c r="C388" s="31" t="s">
        <v>57</v>
      </c>
      <c r="D388" s="31" t="s">
        <v>69</v>
      </c>
      <c r="E388" s="31" t="s">
        <v>52</v>
      </c>
      <c r="F388" s="31" t="s">
        <v>133</v>
      </c>
      <c r="G388" s="31" t="n">
        <v>8</v>
      </c>
      <c r="H388" s="41" t="n">
        <v>89.4</v>
      </c>
      <c r="I388" s="31" t="s">
        <v>149</v>
      </c>
      <c r="J388" s="31"/>
      <c r="K388" s="31" t="s">
        <v>150</v>
      </c>
      <c r="L388" s="45" t="n">
        <f aca="false">DATE(YEAR(B388),MONTH(B388),1)</f>
        <v>46204</v>
      </c>
      <c r="M388" s="31" t="n">
        <f aca="false">WEEKDAY(B388,2)</f>
        <v>1</v>
      </c>
      <c r="N388" s="31" t="str">
        <f aca="false">IF(G388&lt;=INDEX(Assumptions!$B$15:$B$18,MATCH(E388,Assumptions!$A$15:$A$18,0)),"Yes","No")</f>
        <v>Yes</v>
      </c>
      <c r="O388" s="31" t="str">
        <f aca="false">IF(H388="","Open",IF(H388&lt;=INDEX(Assumptions!$C$15:$C$18,MATCH(E388,Assumptions!$A$15:$A$18,0)),"Yes","No"))</f>
        <v>No</v>
      </c>
    </row>
    <row r="389" customFormat="false" ht="15" hidden="false" customHeight="false" outlineLevel="0" collapsed="false">
      <c r="A389" s="31" t="s">
        <v>539</v>
      </c>
      <c r="B389" s="44" t="n">
        <v>46209</v>
      </c>
      <c r="C389" s="31" t="s">
        <v>57</v>
      </c>
      <c r="D389" s="31" t="s">
        <v>66</v>
      </c>
      <c r="E389" s="31" t="s">
        <v>51</v>
      </c>
      <c r="F389" s="31" t="s">
        <v>123</v>
      </c>
      <c r="G389" s="31" t="n">
        <v>2</v>
      </c>
      <c r="H389" s="41" t="n">
        <v>6.7</v>
      </c>
      <c r="I389" s="31" t="s">
        <v>149</v>
      </c>
      <c r="J389" s="31"/>
      <c r="K389" s="31" t="s">
        <v>150</v>
      </c>
      <c r="L389" s="45" t="n">
        <f aca="false">DATE(YEAR(B389),MONTH(B389),1)</f>
        <v>46204</v>
      </c>
      <c r="M389" s="31" t="n">
        <f aca="false">WEEKDAY(B389,2)</f>
        <v>1</v>
      </c>
      <c r="N389" s="31" t="str">
        <f aca="false">IF(G389&lt;=INDEX(Assumptions!$B$15:$B$18,MATCH(E389,Assumptions!$A$15:$A$18,0)),"Yes","No")</f>
        <v>Yes</v>
      </c>
      <c r="O389" s="31" t="str">
        <f aca="false">IF(H389="","Open",IF(H389&lt;=INDEX(Assumptions!$C$15:$C$18,MATCH(E389,Assumptions!$A$15:$A$18,0)),"Yes","No"))</f>
        <v>Yes</v>
      </c>
    </row>
    <row r="390" customFormat="false" ht="15" hidden="false" customHeight="false" outlineLevel="0" collapsed="false">
      <c r="A390" s="31" t="s">
        <v>540</v>
      </c>
      <c r="B390" s="44" t="n">
        <v>46209</v>
      </c>
      <c r="C390" s="31" t="s">
        <v>58</v>
      </c>
      <c r="D390" s="31" t="s">
        <v>66</v>
      </c>
      <c r="E390" s="31" t="s">
        <v>51</v>
      </c>
      <c r="F390" s="31" t="s">
        <v>133</v>
      </c>
      <c r="G390" s="31" t="n">
        <v>77</v>
      </c>
      <c r="H390" s="41" t="n">
        <v>4.3</v>
      </c>
      <c r="I390" s="31" t="s">
        <v>149</v>
      </c>
      <c r="J390" s="31" t="n">
        <v>4</v>
      </c>
      <c r="K390" s="31" t="s">
        <v>150</v>
      </c>
      <c r="L390" s="45" t="n">
        <f aca="false">DATE(YEAR(B390),MONTH(B390),1)</f>
        <v>46204</v>
      </c>
      <c r="M390" s="31" t="n">
        <f aca="false">WEEKDAY(B390,2)</f>
        <v>1</v>
      </c>
      <c r="N390" s="31" t="str">
        <f aca="false">IF(G390&lt;=INDEX(Assumptions!$B$15:$B$18,MATCH(E390,Assumptions!$A$15:$A$18,0)),"Yes","No")</f>
        <v>No</v>
      </c>
      <c r="O390" s="31" t="str">
        <f aca="false">IF(H390="","Open",IF(H390&lt;=INDEX(Assumptions!$C$15:$C$18,MATCH(E390,Assumptions!$A$15:$A$18,0)),"Yes","No"))</f>
        <v>Yes</v>
      </c>
    </row>
    <row r="391" customFormat="false" ht="15" hidden="false" customHeight="false" outlineLevel="0" collapsed="false">
      <c r="A391" s="31" t="s">
        <v>541</v>
      </c>
      <c r="B391" s="44" t="n">
        <v>46209</v>
      </c>
      <c r="C391" s="31" t="s">
        <v>57</v>
      </c>
      <c r="D391" s="31" t="s">
        <v>66</v>
      </c>
      <c r="E391" s="31" t="s">
        <v>51</v>
      </c>
      <c r="F391" s="31" t="s">
        <v>120</v>
      </c>
      <c r="G391" s="31" t="n">
        <v>5</v>
      </c>
      <c r="H391" s="41" t="n">
        <v>32.5</v>
      </c>
      <c r="I391" s="31" t="s">
        <v>64</v>
      </c>
      <c r="J391" s="31" t="n">
        <v>1</v>
      </c>
      <c r="K391" s="31" t="s">
        <v>153</v>
      </c>
      <c r="L391" s="45" t="n">
        <f aca="false">DATE(YEAR(B391),MONTH(B391),1)</f>
        <v>46204</v>
      </c>
      <c r="M391" s="31" t="n">
        <f aca="false">WEEKDAY(B391,2)</f>
        <v>1</v>
      </c>
      <c r="N391" s="31" t="str">
        <f aca="false">IF(G391&lt;=INDEX(Assumptions!$B$15:$B$18,MATCH(E391,Assumptions!$A$15:$A$18,0)),"Yes","No")</f>
        <v>Yes</v>
      </c>
      <c r="O391" s="31" t="str">
        <f aca="false">IF(H391="","Open",IF(H391&lt;=INDEX(Assumptions!$C$15:$C$18,MATCH(E391,Assumptions!$A$15:$A$18,0)),"Yes","No"))</f>
        <v>No</v>
      </c>
    </row>
    <row r="392" customFormat="false" ht="15" hidden="false" customHeight="false" outlineLevel="0" collapsed="false">
      <c r="A392" s="31" t="s">
        <v>542</v>
      </c>
      <c r="B392" s="44" t="n">
        <v>46209</v>
      </c>
      <c r="C392" s="31" t="s">
        <v>59</v>
      </c>
      <c r="D392" s="31" t="s">
        <v>65</v>
      </c>
      <c r="E392" s="31" t="s">
        <v>50</v>
      </c>
      <c r="F392" s="31" t="s">
        <v>135</v>
      </c>
      <c r="G392" s="31" t="n">
        <v>153</v>
      </c>
      <c r="H392" s="41" t="n">
        <v>7.3</v>
      </c>
      <c r="I392" s="31" t="s">
        <v>149</v>
      </c>
      <c r="J392" s="31" t="n">
        <v>5</v>
      </c>
      <c r="K392" s="31" t="s">
        <v>150</v>
      </c>
      <c r="L392" s="45" t="n">
        <f aca="false">DATE(YEAR(B392),MONTH(B392),1)</f>
        <v>46204</v>
      </c>
      <c r="M392" s="31" t="n">
        <f aca="false">WEEKDAY(B392,2)</f>
        <v>1</v>
      </c>
      <c r="N392" s="31" t="str">
        <f aca="false">IF(G392&lt;=INDEX(Assumptions!$B$15:$B$18,MATCH(E392,Assumptions!$A$15:$A$18,0)),"Yes","No")</f>
        <v>No</v>
      </c>
      <c r="O392" s="31" t="str">
        <f aca="false">IF(H392="","Open",IF(H392&lt;=INDEX(Assumptions!$C$15:$C$18,MATCH(E392,Assumptions!$A$15:$A$18,0)),"Yes","No"))</f>
        <v>Yes</v>
      </c>
    </row>
    <row r="393" customFormat="false" ht="15" hidden="false" customHeight="false" outlineLevel="0" collapsed="false">
      <c r="A393" s="31" t="s">
        <v>543</v>
      </c>
      <c r="B393" s="44" t="n">
        <v>46209</v>
      </c>
      <c r="C393" s="31" t="s">
        <v>59</v>
      </c>
      <c r="D393" s="31" t="s">
        <v>66</v>
      </c>
      <c r="E393" s="31" t="s">
        <v>51</v>
      </c>
      <c r="F393" s="31" t="s">
        <v>121</v>
      </c>
      <c r="G393" s="31" t="n">
        <v>342</v>
      </c>
      <c r="H393" s="41" t="n">
        <v>14.1</v>
      </c>
      <c r="I393" s="31" t="s">
        <v>149</v>
      </c>
      <c r="J393" s="31" t="n">
        <v>4</v>
      </c>
      <c r="K393" s="31" t="s">
        <v>150</v>
      </c>
      <c r="L393" s="45" t="n">
        <f aca="false">DATE(YEAR(B393),MONTH(B393),1)</f>
        <v>46204</v>
      </c>
      <c r="M393" s="31" t="n">
        <f aca="false">WEEKDAY(B393,2)</f>
        <v>1</v>
      </c>
      <c r="N393" s="31" t="str">
        <f aca="false">IF(G393&lt;=INDEX(Assumptions!$B$15:$B$18,MATCH(E393,Assumptions!$A$15:$A$18,0)),"Yes","No")</f>
        <v>No</v>
      </c>
      <c r="O393" s="31" t="str">
        <f aca="false">IF(H393="","Open",IF(H393&lt;=INDEX(Assumptions!$C$15:$C$18,MATCH(E393,Assumptions!$A$15:$A$18,0)),"Yes","No"))</f>
        <v>Yes</v>
      </c>
    </row>
    <row r="394" customFormat="false" ht="15" hidden="false" customHeight="false" outlineLevel="0" collapsed="false">
      <c r="A394" s="31" t="s">
        <v>544</v>
      </c>
      <c r="B394" s="44" t="n">
        <v>46209</v>
      </c>
      <c r="C394" s="31" t="s">
        <v>58</v>
      </c>
      <c r="D394" s="31" t="s">
        <v>67</v>
      </c>
      <c r="E394" s="31" t="s">
        <v>49</v>
      </c>
      <c r="F394" s="31" t="s">
        <v>120</v>
      </c>
      <c r="G394" s="31" t="n">
        <v>24</v>
      </c>
      <c r="H394" s="41" t="n">
        <v>11.9</v>
      </c>
      <c r="I394" s="31" t="s">
        <v>149</v>
      </c>
      <c r="J394" s="31" t="n">
        <v>2</v>
      </c>
      <c r="K394" s="31" t="s">
        <v>150</v>
      </c>
      <c r="L394" s="45" t="n">
        <f aca="false">DATE(YEAR(B394),MONTH(B394),1)</f>
        <v>46204</v>
      </c>
      <c r="M394" s="31" t="n">
        <f aca="false">WEEKDAY(B394,2)</f>
        <v>1</v>
      </c>
      <c r="N394" s="31" t="str">
        <f aca="false">IF(G394&lt;=INDEX(Assumptions!$B$15:$B$18,MATCH(E394,Assumptions!$A$15:$A$18,0)),"Yes","No")</f>
        <v>No</v>
      </c>
      <c r="O394" s="31" t="str">
        <f aca="false">IF(H394="","Open",IF(H394&lt;=INDEX(Assumptions!$C$15:$C$18,MATCH(E394,Assumptions!$A$15:$A$18,0)),"Yes","No"))</f>
        <v>No</v>
      </c>
    </row>
    <row r="395" customFormat="false" ht="15" hidden="false" customHeight="false" outlineLevel="0" collapsed="false">
      <c r="A395" s="31" t="s">
        <v>545</v>
      </c>
      <c r="B395" s="44" t="n">
        <v>46209</v>
      </c>
      <c r="C395" s="31" t="s">
        <v>57</v>
      </c>
      <c r="D395" s="31" t="s">
        <v>66</v>
      </c>
      <c r="E395" s="31" t="s">
        <v>51</v>
      </c>
      <c r="F395" s="31" t="s">
        <v>127</v>
      </c>
      <c r="G395" s="31" t="n">
        <v>1</v>
      </c>
      <c r="H395" s="41" t="n">
        <v>4.2</v>
      </c>
      <c r="I395" s="31" t="s">
        <v>149</v>
      </c>
      <c r="J395" s="31" t="n">
        <v>5</v>
      </c>
      <c r="K395" s="31" t="s">
        <v>150</v>
      </c>
      <c r="L395" s="45" t="n">
        <f aca="false">DATE(YEAR(B395),MONTH(B395),1)</f>
        <v>46204</v>
      </c>
      <c r="M395" s="31" t="n">
        <f aca="false">WEEKDAY(B395,2)</f>
        <v>1</v>
      </c>
      <c r="N395" s="31" t="str">
        <f aca="false">IF(G395&lt;=INDEX(Assumptions!$B$15:$B$18,MATCH(E395,Assumptions!$A$15:$A$18,0)),"Yes","No")</f>
        <v>Yes</v>
      </c>
      <c r="O395" s="31" t="str">
        <f aca="false">IF(H395="","Open",IF(H395&lt;=INDEX(Assumptions!$C$15:$C$18,MATCH(E395,Assumptions!$A$15:$A$18,0)),"Yes","No"))</f>
        <v>Yes</v>
      </c>
    </row>
    <row r="396" customFormat="false" ht="15" hidden="false" customHeight="false" outlineLevel="0" collapsed="false">
      <c r="A396" s="31" t="s">
        <v>546</v>
      </c>
      <c r="B396" s="44" t="n">
        <v>46209</v>
      </c>
      <c r="C396" s="31" t="s">
        <v>58</v>
      </c>
      <c r="D396" s="31" t="s">
        <v>65</v>
      </c>
      <c r="E396" s="31" t="s">
        <v>51</v>
      </c>
      <c r="F396" s="31" t="s">
        <v>131</v>
      </c>
      <c r="G396" s="31" t="n">
        <v>34</v>
      </c>
      <c r="H396" s="41" t="n">
        <v>9.6</v>
      </c>
      <c r="I396" s="31" t="s">
        <v>149</v>
      </c>
      <c r="J396" s="31" t="n">
        <v>5</v>
      </c>
      <c r="K396" s="31" t="s">
        <v>150</v>
      </c>
      <c r="L396" s="45" t="n">
        <f aca="false">DATE(YEAR(B396),MONTH(B396),1)</f>
        <v>46204</v>
      </c>
      <c r="M396" s="31" t="n">
        <f aca="false">WEEKDAY(B396,2)</f>
        <v>1</v>
      </c>
      <c r="N396" s="31" t="str">
        <f aca="false">IF(G396&lt;=INDEX(Assumptions!$B$15:$B$18,MATCH(E396,Assumptions!$A$15:$A$18,0)),"Yes","No")</f>
        <v>Yes</v>
      </c>
      <c r="O396" s="31" t="str">
        <f aca="false">IF(H396="","Open",IF(H396&lt;=INDEX(Assumptions!$C$15:$C$18,MATCH(E396,Assumptions!$A$15:$A$18,0)),"Yes","No"))</f>
        <v>Yes</v>
      </c>
    </row>
    <row r="397" customFormat="false" ht="15" hidden="false" customHeight="false" outlineLevel="0" collapsed="false">
      <c r="A397" s="31" t="s">
        <v>547</v>
      </c>
      <c r="B397" s="44" t="n">
        <v>46209</v>
      </c>
      <c r="C397" s="31" t="s">
        <v>60</v>
      </c>
      <c r="D397" s="31" t="s">
        <v>66</v>
      </c>
      <c r="E397" s="31" t="s">
        <v>50</v>
      </c>
      <c r="F397" s="31" t="s">
        <v>126</v>
      </c>
      <c r="G397" s="31" t="n">
        <v>5</v>
      </c>
      <c r="H397" s="41" t="n">
        <v>4.5</v>
      </c>
      <c r="I397" s="31" t="s">
        <v>149</v>
      </c>
      <c r="J397" s="31"/>
      <c r="K397" s="31" t="s">
        <v>150</v>
      </c>
      <c r="L397" s="45" t="n">
        <f aca="false">DATE(YEAR(B397),MONTH(B397),1)</f>
        <v>46204</v>
      </c>
      <c r="M397" s="31" t="n">
        <f aca="false">WEEKDAY(B397,2)</f>
        <v>1</v>
      </c>
      <c r="N397" s="31" t="str">
        <f aca="false">IF(G397&lt;=INDEX(Assumptions!$B$15:$B$18,MATCH(E397,Assumptions!$A$15:$A$18,0)),"Yes","No")</f>
        <v>Yes</v>
      </c>
      <c r="O397" s="31" t="str">
        <f aca="false">IF(H397="","Open",IF(H397&lt;=INDEX(Assumptions!$C$15:$C$18,MATCH(E397,Assumptions!$A$15:$A$18,0)),"Yes","No"))</f>
        <v>Yes</v>
      </c>
    </row>
    <row r="398" customFormat="false" ht="15" hidden="false" customHeight="false" outlineLevel="0" collapsed="false">
      <c r="A398" s="31" t="s">
        <v>548</v>
      </c>
      <c r="B398" s="44" t="n">
        <v>46209</v>
      </c>
      <c r="C398" s="31" t="s">
        <v>58</v>
      </c>
      <c r="D398" s="31" t="s">
        <v>65</v>
      </c>
      <c r="E398" s="31" t="s">
        <v>51</v>
      </c>
      <c r="F398" s="31" t="s">
        <v>121</v>
      </c>
      <c r="G398" s="31" t="n">
        <v>61</v>
      </c>
      <c r="H398" s="41" t="n">
        <v>35.7</v>
      </c>
      <c r="I398" s="31" t="s">
        <v>64</v>
      </c>
      <c r="J398" s="31" t="n">
        <v>2</v>
      </c>
      <c r="K398" s="31" t="s">
        <v>150</v>
      </c>
      <c r="L398" s="45" t="n">
        <f aca="false">DATE(YEAR(B398),MONTH(B398),1)</f>
        <v>46204</v>
      </c>
      <c r="M398" s="31" t="n">
        <f aca="false">WEEKDAY(B398,2)</f>
        <v>1</v>
      </c>
      <c r="N398" s="31" t="str">
        <f aca="false">IF(G398&lt;=INDEX(Assumptions!$B$15:$B$18,MATCH(E398,Assumptions!$A$15:$A$18,0)),"Yes","No")</f>
        <v>No</v>
      </c>
      <c r="O398" s="31" t="str">
        <f aca="false">IF(H398="","Open",IF(H398&lt;=INDEX(Assumptions!$C$15:$C$18,MATCH(E398,Assumptions!$A$15:$A$18,0)),"Yes","No"))</f>
        <v>No</v>
      </c>
    </row>
    <row r="399" customFormat="false" ht="15" hidden="false" customHeight="false" outlineLevel="0" collapsed="false">
      <c r="A399" s="31" t="s">
        <v>549</v>
      </c>
      <c r="B399" s="44" t="n">
        <v>46209</v>
      </c>
      <c r="C399" s="31" t="s">
        <v>58</v>
      </c>
      <c r="D399" s="31" t="s">
        <v>68</v>
      </c>
      <c r="E399" s="31" t="s">
        <v>52</v>
      </c>
      <c r="F399" s="31" t="s">
        <v>117</v>
      </c>
      <c r="G399" s="31" t="n">
        <v>31</v>
      </c>
      <c r="H399" s="41" t="n">
        <v>6.4</v>
      </c>
      <c r="I399" s="31" t="s">
        <v>149</v>
      </c>
      <c r="J399" s="31" t="n">
        <v>4</v>
      </c>
      <c r="K399" s="31" t="s">
        <v>150</v>
      </c>
      <c r="L399" s="45" t="n">
        <f aca="false">DATE(YEAR(B399),MONTH(B399),1)</f>
        <v>46204</v>
      </c>
      <c r="M399" s="31" t="n">
        <f aca="false">WEEKDAY(B399,2)</f>
        <v>1</v>
      </c>
      <c r="N399" s="31" t="str">
        <f aca="false">IF(G399&lt;=INDEX(Assumptions!$B$15:$B$18,MATCH(E399,Assumptions!$A$15:$A$18,0)),"Yes","No")</f>
        <v>Yes</v>
      </c>
      <c r="O399" s="31" t="str">
        <f aca="false">IF(H399="","Open",IF(H399&lt;=INDEX(Assumptions!$C$15:$C$18,MATCH(E399,Assumptions!$A$15:$A$18,0)),"Yes","No"))</f>
        <v>Yes</v>
      </c>
    </row>
    <row r="400" customFormat="false" ht="15" hidden="false" customHeight="false" outlineLevel="0" collapsed="false">
      <c r="A400" s="31" t="s">
        <v>550</v>
      </c>
      <c r="B400" s="44" t="n">
        <v>46209</v>
      </c>
      <c r="C400" s="31" t="s">
        <v>57</v>
      </c>
      <c r="D400" s="31" t="s">
        <v>67</v>
      </c>
      <c r="E400" s="31" t="s">
        <v>51</v>
      </c>
      <c r="F400" s="31" t="s">
        <v>126</v>
      </c>
      <c r="G400" s="31" t="n">
        <v>5</v>
      </c>
      <c r="H400" s="41" t="n">
        <v>5.8</v>
      </c>
      <c r="I400" s="31" t="s">
        <v>149</v>
      </c>
      <c r="J400" s="31"/>
      <c r="K400" s="31" t="s">
        <v>150</v>
      </c>
      <c r="L400" s="45" t="n">
        <f aca="false">DATE(YEAR(B400),MONTH(B400),1)</f>
        <v>46204</v>
      </c>
      <c r="M400" s="31" t="n">
        <f aca="false">WEEKDAY(B400,2)</f>
        <v>1</v>
      </c>
      <c r="N400" s="31" t="str">
        <f aca="false">IF(G400&lt;=INDEX(Assumptions!$B$15:$B$18,MATCH(E400,Assumptions!$A$15:$A$18,0)),"Yes","No")</f>
        <v>Yes</v>
      </c>
      <c r="O400" s="31" t="str">
        <f aca="false">IF(H400="","Open",IF(H400&lt;=INDEX(Assumptions!$C$15:$C$18,MATCH(E400,Assumptions!$A$15:$A$18,0)),"Yes","No"))</f>
        <v>Yes</v>
      </c>
    </row>
    <row r="401" customFormat="false" ht="15" hidden="false" customHeight="false" outlineLevel="0" collapsed="false">
      <c r="A401" s="31" t="s">
        <v>551</v>
      </c>
      <c r="B401" s="44" t="n">
        <v>46209</v>
      </c>
      <c r="C401" s="31" t="s">
        <v>59</v>
      </c>
      <c r="D401" s="31" t="s">
        <v>66</v>
      </c>
      <c r="E401" s="31" t="s">
        <v>52</v>
      </c>
      <c r="F401" s="31" t="s">
        <v>135</v>
      </c>
      <c r="G401" s="31" t="n">
        <v>69</v>
      </c>
      <c r="H401" s="41" t="n">
        <v>11.8</v>
      </c>
      <c r="I401" s="31" t="s">
        <v>149</v>
      </c>
      <c r="J401" s="31" t="n">
        <v>4</v>
      </c>
      <c r="K401" s="31" t="s">
        <v>153</v>
      </c>
      <c r="L401" s="45" t="n">
        <f aca="false">DATE(YEAR(B401),MONTH(B401),1)</f>
        <v>46204</v>
      </c>
      <c r="M401" s="31" t="n">
        <f aca="false">WEEKDAY(B401,2)</f>
        <v>1</v>
      </c>
      <c r="N401" s="31" t="str">
        <f aca="false">IF(G401&lt;=INDEX(Assumptions!$B$15:$B$18,MATCH(E401,Assumptions!$A$15:$A$18,0)),"Yes","No")</f>
        <v>Yes</v>
      </c>
      <c r="O401" s="31" t="str">
        <f aca="false">IF(H401="","Open",IF(H401&lt;=INDEX(Assumptions!$C$15:$C$18,MATCH(E401,Assumptions!$A$15:$A$18,0)),"Yes","No"))</f>
        <v>Yes</v>
      </c>
    </row>
    <row r="402" customFormat="false" ht="15" hidden="false" customHeight="false" outlineLevel="0" collapsed="false">
      <c r="A402" s="31" t="s">
        <v>552</v>
      </c>
      <c r="B402" s="44" t="n">
        <v>46209</v>
      </c>
      <c r="C402" s="31" t="s">
        <v>60</v>
      </c>
      <c r="D402" s="31" t="s">
        <v>66</v>
      </c>
      <c r="E402" s="31" t="s">
        <v>51</v>
      </c>
      <c r="F402" s="31" t="s">
        <v>120</v>
      </c>
      <c r="G402" s="31" t="n">
        <v>3</v>
      </c>
      <c r="H402" s="41" t="n">
        <v>10.3</v>
      </c>
      <c r="I402" s="31" t="s">
        <v>149</v>
      </c>
      <c r="J402" s="31" t="n">
        <v>4</v>
      </c>
      <c r="K402" s="31" t="s">
        <v>150</v>
      </c>
      <c r="L402" s="45" t="n">
        <f aca="false">DATE(YEAR(B402),MONTH(B402),1)</f>
        <v>46204</v>
      </c>
      <c r="M402" s="31" t="n">
        <f aca="false">WEEKDAY(B402,2)</f>
        <v>1</v>
      </c>
      <c r="N402" s="31" t="str">
        <f aca="false">IF(G402&lt;=INDEX(Assumptions!$B$15:$B$18,MATCH(E402,Assumptions!$A$15:$A$18,0)),"Yes","No")</f>
        <v>Yes</v>
      </c>
      <c r="O402" s="31" t="str">
        <f aca="false">IF(H402="","Open",IF(H402&lt;=INDEX(Assumptions!$C$15:$C$18,MATCH(E402,Assumptions!$A$15:$A$18,0)),"Yes","No"))</f>
        <v>Yes</v>
      </c>
    </row>
    <row r="403" customFormat="false" ht="15" hidden="false" customHeight="false" outlineLevel="0" collapsed="false">
      <c r="A403" s="31" t="s">
        <v>553</v>
      </c>
      <c r="B403" s="44" t="n">
        <v>46209</v>
      </c>
      <c r="C403" s="31" t="s">
        <v>58</v>
      </c>
      <c r="D403" s="31" t="s">
        <v>65</v>
      </c>
      <c r="E403" s="31" t="s">
        <v>52</v>
      </c>
      <c r="F403" s="31" t="s">
        <v>121</v>
      </c>
      <c r="G403" s="31" t="n">
        <v>18</v>
      </c>
      <c r="H403" s="41" t="n">
        <v>43.5</v>
      </c>
      <c r="I403" s="31" t="s">
        <v>149</v>
      </c>
      <c r="J403" s="31"/>
      <c r="K403" s="31" t="s">
        <v>150</v>
      </c>
      <c r="L403" s="45" t="n">
        <f aca="false">DATE(YEAR(B403),MONTH(B403),1)</f>
        <v>46204</v>
      </c>
      <c r="M403" s="31" t="n">
        <f aca="false">WEEKDAY(B403,2)</f>
        <v>1</v>
      </c>
      <c r="N403" s="31" t="str">
        <f aca="false">IF(G403&lt;=INDEX(Assumptions!$B$15:$B$18,MATCH(E403,Assumptions!$A$15:$A$18,0)),"Yes","No")</f>
        <v>Yes</v>
      </c>
      <c r="O403" s="31" t="str">
        <f aca="false">IF(H403="","Open",IF(H403&lt;=INDEX(Assumptions!$C$15:$C$18,MATCH(E403,Assumptions!$A$15:$A$18,0)),"Yes","No"))</f>
        <v>Yes</v>
      </c>
    </row>
    <row r="404" customFormat="false" ht="15" hidden="false" customHeight="false" outlineLevel="0" collapsed="false">
      <c r="A404" s="31" t="s">
        <v>554</v>
      </c>
      <c r="B404" s="44" t="n">
        <v>46209</v>
      </c>
      <c r="C404" s="31" t="s">
        <v>60</v>
      </c>
      <c r="D404" s="31" t="s">
        <v>66</v>
      </c>
      <c r="E404" s="31" t="s">
        <v>52</v>
      </c>
      <c r="F404" s="31" t="s">
        <v>129</v>
      </c>
      <c r="G404" s="31" t="n">
        <v>1</v>
      </c>
      <c r="H404" s="41" t="n">
        <v>15.4</v>
      </c>
      <c r="I404" s="31" t="s">
        <v>149</v>
      </c>
      <c r="J404" s="31"/>
      <c r="K404" s="31" t="s">
        <v>150</v>
      </c>
      <c r="L404" s="45" t="n">
        <f aca="false">DATE(YEAR(B404),MONTH(B404),1)</f>
        <v>46204</v>
      </c>
      <c r="M404" s="31" t="n">
        <f aca="false">WEEKDAY(B404,2)</f>
        <v>1</v>
      </c>
      <c r="N404" s="31" t="str">
        <f aca="false">IF(G404&lt;=INDEX(Assumptions!$B$15:$B$18,MATCH(E404,Assumptions!$A$15:$A$18,0)),"Yes","No")</f>
        <v>Yes</v>
      </c>
      <c r="O404" s="31" t="str">
        <f aca="false">IF(H404="","Open",IF(H404&lt;=INDEX(Assumptions!$C$15:$C$18,MATCH(E404,Assumptions!$A$15:$A$18,0)),"Yes","No"))</f>
        <v>Yes</v>
      </c>
    </row>
    <row r="405" customFormat="false" ht="15" hidden="false" customHeight="false" outlineLevel="0" collapsed="false">
      <c r="A405" s="31" t="s">
        <v>555</v>
      </c>
      <c r="B405" s="44" t="n">
        <v>46209</v>
      </c>
      <c r="C405" s="31" t="s">
        <v>58</v>
      </c>
      <c r="D405" s="31" t="s">
        <v>68</v>
      </c>
      <c r="E405" s="31" t="s">
        <v>52</v>
      </c>
      <c r="F405" s="31" t="s">
        <v>128</v>
      </c>
      <c r="G405" s="31" t="n">
        <v>50</v>
      </c>
      <c r="H405" s="41" t="n">
        <v>5</v>
      </c>
      <c r="I405" s="31" t="s">
        <v>149</v>
      </c>
      <c r="J405" s="31" t="n">
        <v>4</v>
      </c>
      <c r="K405" s="31" t="s">
        <v>150</v>
      </c>
      <c r="L405" s="45" t="n">
        <f aca="false">DATE(YEAR(B405),MONTH(B405),1)</f>
        <v>46204</v>
      </c>
      <c r="M405" s="31" t="n">
        <f aca="false">WEEKDAY(B405,2)</f>
        <v>1</v>
      </c>
      <c r="N405" s="31" t="str">
        <f aca="false">IF(G405&lt;=INDEX(Assumptions!$B$15:$B$18,MATCH(E405,Assumptions!$A$15:$A$18,0)),"Yes","No")</f>
        <v>Yes</v>
      </c>
      <c r="O405" s="31" t="str">
        <f aca="false">IF(H405="","Open",IF(H405&lt;=INDEX(Assumptions!$C$15:$C$18,MATCH(E405,Assumptions!$A$15:$A$18,0)),"Yes","No"))</f>
        <v>Yes</v>
      </c>
    </row>
    <row r="406" customFormat="false" ht="15" hidden="false" customHeight="false" outlineLevel="0" collapsed="false">
      <c r="A406" s="31" t="s">
        <v>556</v>
      </c>
      <c r="B406" s="44" t="n">
        <v>46209</v>
      </c>
      <c r="C406" s="31" t="s">
        <v>59</v>
      </c>
      <c r="D406" s="31" t="s">
        <v>66</v>
      </c>
      <c r="E406" s="31" t="s">
        <v>52</v>
      </c>
      <c r="F406" s="31" t="s">
        <v>126</v>
      </c>
      <c r="G406" s="31" t="n">
        <v>69</v>
      </c>
      <c r="H406" s="41" t="n">
        <v>3.3</v>
      </c>
      <c r="I406" s="31" t="s">
        <v>149</v>
      </c>
      <c r="J406" s="31"/>
      <c r="K406" s="31" t="s">
        <v>150</v>
      </c>
      <c r="L406" s="45" t="n">
        <f aca="false">DATE(YEAR(B406),MONTH(B406),1)</f>
        <v>46204</v>
      </c>
      <c r="M406" s="31" t="n">
        <f aca="false">WEEKDAY(B406,2)</f>
        <v>1</v>
      </c>
      <c r="N406" s="31" t="str">
        <f aca="false">IF(G406&lt;=INDEX(Assumptions!$B$15:$B$18,MATCH(E406,Assumptions!$A$15:$A$18,0)),"Yes","No")</f>
        <v>Yes</v>
      </c>
      <c r="O406" s="31" t="str">
        <f aca="false">IF(H406="","Open",IF(H406&lt;=INDEX(Assumptions!$C$15:$C$18,MATCH(E406,Assumptions!$A$15:$A$18,0)),"Yes","No"))</f>
        <v>Yes</v>
      </c>
    </row>
    <row r="407" customFormat="false" ht="15" hidden="false" customHeight="false" outlineLevel="0" collapsed="false">
      <c r="A407" s="31" t="s">
        <v>557</v>
      </c>
      <c r="B407" s="44" t="n">
        <v>46209</v>
      </c>
      <c r="C407" s="31" t="s">
        <v>60</v>
      </c>
      <c r="D407" s="31" t="s">
        <v>69</v>
      </c>
      <c r="E407" s="31" t="s">
        <v>50</v>
      </c>
      <c r="F407" s="31" t="s">
        <v>128</v>
      </c>
      <c r="G407" s="31" t="n">
        <v>11</v>
      </c>
      <c r="H407" s="41" t="n">
        <v>7.1</v>
      </c>
      <c r="I407" s="31" t="s">
        <v>149</v>
      </c>
      <c r="J407" s="31"/>
      <c r="K407" s="31" t="s">
        <v>150</v>
      </c>
      <c r="L407" s="45" t="n">
        <f aca="false">DATE(YEAR(B407),MONTH(B407),1)</f>
        <v>46204</v>
      </c>
      <c r="M407" s="31" t="n">
        <f aca="false">WEEKDAY(B407,2)</f>
        <v>1</v>
      </c>
      <c r="N407" s="31" t="str">
        <f aca="false">IF(G407&lt;=INDEX(Assumptions!$B$15:$B$18,MATCH(E407,Assumptions!$A$15:$A$18,0)),"Yes","No")</f>
        <v>Yes</v>
      </c>
      <c r="O407" s="31" t="str">
        <f aca="false">IF(H407="","Open",IF(H407&lt;=INDEX(Assumptions!$C$15:$C$18,MATCH(E407,Assumptions!$A$15:$A$18,0)),"Yes","No"))</f>
        <v>Yes</v>
      </c>
    </row>
    <row r="408" customFormat="false" ht="15" hidden="false" customHeight="false" outlineLevel="0" collapsed="false">
      <c r="A408" s="31" t="s">
        <v>558</v>
      </c>
      <c r="B408" s="44" t="n">
        <v>46209</v>
      </c>
      <c r="C408" s="31" t="s">
        <v>58</v>
      </c>
      <c r="D408" s="31" t="s">
        <v>68</v>
      </c>
      <c r="E408" s="31" t="s">
        <v>51</v>
      </c>
      <c r="F408" s="31" t="s">
        <v>119</v>
      </c>
      <c r="G408" s="31" t="n">
        <v>52</v>
      </c>
      <c r="H408" s="41" t="n">
        <v>2.1</v>
      </c>
      <c r="I408" s="31" t="s">
        <v>149</v>
      </c>
      <c r="J408" s="31"/>
      <c r="K408" s="31" t="s">
        <v>150</v>
      </c>
      <c r="L408" s="45" t="n">
        <f aca="false">DATE(YEAR(B408),MONTH(B408),1)</f>
        <v>46204</v>
      </c>
      <c r="M408" s="31" t="n">
        <f aca="false">WEEKDAY(B408,2)</f>
        <v>1</v>
      </c>
      <c r="N408" s="31" t="str">
        <f aca="false">IF(G408&lt;=INDEX(Assumptions!$B$15:$B$18,MATCH(E408,Assumptions!$A$15:$A$18,0)),"Yes","No")</f>
        <v>Yes</v>
      </c>
      <c r="O408" s="31" t="str">
        <f aca="false">IF(H408="","Open",IF(H408&lt;=INDEX(Assumptions!$C$15:$C$18,MATCH(E408,Assumptions!$A$15:$A$18,0)),"Yes","No"))</f>
        <v>Yes</v>
      </c>
    </row>
    <row r="409" customFormat="false" ht="15" hidden="false" customHeight="false" outlineLevel="0" collapsed="false">
      <c r="A409" s="31" t="s">
        <v>559</v>
      </c>
      <c r="B409" s="44" t="n">
        <v>46209</v>
      </c>
      <c r="C409" s="31" t="s">
        <v>59</v>
      </c>
      <c r="D409" s="31" t="s">
        <v>67</v>
      </c>
      <c r="E409" s="31" t="s">
        <v>50</v>
      </c>
      <c r="F409" s="31" t="s">
        <v>134</v>
      </c>
      <c r="G409" s="31" t="n">
        <v>50</v>
      </c>
      <c r="H409" s="41" t="n">
        <v>45</v>
      </c>
      <c r="I409" s="31" t="s">
        <v>149</v>
      </c>
      <c r="J409" s="31"/>
      <c r="K409" s="31" t="s">
        <v>150</v>
      </c>
      <c r="L409" s="45" t="n">
        <f aca="false">DATE(YEAR(B409),MONTH(B409),1)</f>
        <v>46204</v>
      </c>
      <c r="M409" s="31" t="n">
        <f aca="false">WEEKDAY(B409,2)</f>
        <v>1</v>
      </c>
      <c r="N409" s="31" t="str">
        <f aca="false">IF(G409&lt;=INDEX(Assumptions!$B$15:$B$18,MATCH(E409,Assumptions!$A$15:$A$18,0)),"Yes","No")</f>
        <v>No</v>
      </c>
      <c r="O409" s="31" t="str">
        <f aca="false">IF(H409="","Open",IF(H409&lt;=INDEX(Assumptions!$C$15:$C$18,MATCH(E409,Assumptions!$A$15:$A$18,0)),"Yes","No"))</f>
        <v>No</v>
      </c>
    </row>
    <row r="410" customFormat="false" ht="15" hidden="false" customHeight="false" outlineLevel="0" collapsed="false">
      <c r="A410" s="31" t="s">
        <v>560</v>
      </c>
      <c r="B410" s="44" t="n">
        <v>46209</v>
      </c>
      <c r="C410" s="31" t="s">
        <v>58</v>
      </c>
      <c r="D410" s="31" t="s">
        <v>69</v>
      </c>
      <c r="E410" s="31" t="s">
        <v>52</v>
      </c>
      <c r="F410" s="31" t="s">
        <v>131</v>
      </c>
      <c r="G410" s="31" t="n">
        <v>20</v>
      </c>
      <c r="H410" s="41" t="n">
        <v>49.7</v>
      </c>
      <c r="I410" s="31" t="s">
        <v>149</v>
      </c>
      <c r="J410" s="31" t="n">
        <v>5</v>
      </c>
      <c r="K410" s="31" t="s">
        <v>150</v>
      </c>
      <c r="L410" s="45" t="n">
        <f aca="false">DATE(YEAR(B410),MONTH(B410),1)</f>
        <v>46204</v>
      </c>
      <c r="M410" s="31" t="n">
        <f aca="false">WEEKDAY(B410,2)</f>
        <v>1</v>
      </c>
      <c r="N410" s="31" t="str">
        <f aca="false">IF(G410&lt;=INDEX(Assumptions!$B$15:$B$18,MATCH(E410,Assumptions!$A$15:$A$18,0)),"Yes","No")</f>
        <v>Yes</v>
      </c>
      <c r="O410" s="31" t="str">
        <f aca="false">IF(H410="","Open",IF(H410&lt;=INDEX(Assumptions!$C$15:$C$18,MATCH(E410,Assumptions!$A$15:$A$18,0)),"Yes","No"))</f>
        <v>Yes</v>
      </c>
    </row>
    <row r="411" customFormat="false" ht="15" hidden="false" customHeight="false" outlineLevel="0" collapsed="false">
      <c r="A411" s="31" t="s">
        <v>561</v>
      </c>
      <c r="B411" s="44" t="n">
        <v>46209</v>
      </c>
      <c r="C411" s="31" t="s">
        <v>60</v>
      </c>
      <c r="D411" s="31" t="s">
        <v>65</v>
      </c>
      <c r="E411" s="31" t="s">
        <v>52</v>
      </c>
      <c r="F411" s="31" t="s">
        <v>136</v>
      </c>
      <c r="G411" s="31" t="n">
        <v>8</v>
      </c>
      <c r="H411" s="41" t="n">
        <v>11.3</v>
      </c>
      <c r="I411" s="31" t="s">
        <v>149</v>
      </c>
      <c r="J411" s="31"/>
      <c r="K411" s="31" t="s">
        <v>150</v>
      </c>
      <c r="L411" s="45" t="n">
        <f aca="false">DATE(YEAR(B411),MONTH(B411),1)</f>
        <v>46204</v>
      </c>
      <c r="M411" s="31" t="n">
        <f aca="false">WEEKDAY(B411,2)</f>
        <v>1</v>
      </c>
      <c r="N411" s="31" t="str">
        <f aca="false">IF(G411&lt;=INDEX(Assumptions!$B$15:$B$18,MATCH(E411,Assumptions!$A$15:$A$18,0)),"Yes","No")</f>
        <v>Yes</v>
      </c>
      <c r="O411" s="31" t="str">
        <f aca="false">IF(H411="","Open",IF(H411&lt;=INDEX(Assumptions!$C$15:$C$18,MATCH(E411,Assumptions!$A$15:$A$18,0)),"Yes","No"))</f>
        <v>Yes</v>
      </c>
    </row>
    <row r="412" customFormat="false" ht="15" hidden="false" customHeight="false" outlineLevel="0" collapsed="false">
      <c r="A412" s="31" t="s">
        <v>562</v>
      </c>
      <c r="B412" s="44" t="n">
        <v>46209</v>
      </c>
      <c r="C412" s="31" t="s">
        <v>57</v>
      </c>
      <c r="D412" s="31" t="s">
        <v>68</v>
      </c>
      <c r="E412" s="31" t="s">
        <v>49</v>
      </c>
      <c r="F412" s="31" t="s">
        <v>130</v>
      </c>
      <c r="G412" s="31" t="n">
        <v>6</v>
      </c>
      <c r="H412" s="41" t="n">
        <v>0.7</v>
      </c>
      <c r="I412" s="31" t="s">
        <v>149</v>
      </c>
      <c r="J412" s="31"/>
      <c r="K412" s="31" t="s">
        <v>150</v>
      </c>
      <c r="L412" s="45" t="n">
        <f aca="false">DATE(YEAR(B412),MONTH(B412),1)</f>
        <v>46204</v>
      </c>
      <c r="M412" s="31" t="n">
        <f aca="false">WEEKDAY(B412,2)</f>
        <v>1</v>
      </c>
      <c r="N412" s="31" t="str">
        <f aca="false">IF(G412&lt;=INDEX(Assumptions!$B$15:$B$18,MATCH(E412,Assumptions!$A$15:$A$18,0)),"Yes","No")</f>
        <v>Yes</v>
      </c>
      <c r="O412" s="31" t="str">
        <f aca="false">IF(H412="","Open",IF(H412&lt;=INDEX(Assumptions!$C$15:$C$18,MATCH(E412,Assumptions!$A$15:$A$18,0)),"Yes","No"))</f>
        <v>Yes</v>
      </c>
    </row>
    <row r="413" customFormat="false" ht="15" hidden="false" customHeight="false" outlineLevel="0" collapsed="false">
      <c r="A413" s="31" t="s">
        <v>563</v>
      </c>
      <c r="B413" s="44" t="n">
        <v>46209</v>
      </c>
      <c r="C413" s="31" t="s">
        <v>60</v>
      </c>
      <c r="D413" s="31" t="s">
        <v>68</v>
      </c>
      <c r="E413" s="31" t="s">
        <v>50</v>
      </c>
      <c r="F413" s="31" t="s">
        <v>121</v>
      </c>
      <c r="G413" s="31" t="n">
        <v>2</v>
      </c>
      <c r="H413" s="41" t="n">
        <v>0.6</v>
      </c>
      <c r="I413" s="31" t="s">
        <v>149</v>
      </c>
      <c r="J413" s="31" t="n">
        <v>5</v>
      </c>
      <c r="K413" s="31" t="s">
        <v>150</v>
      </c>
      <c r="L413" s="45" t="n">
        <f aca="false">DATE(YEAR(B413),MONTH(B413),1)</f>
        <v>46204</v>
      </c>
      <c r="M413" s="31" t="n">
        <f aca="false">WEEKDAY(B413,2)</f>
        <v>1</v>
      </c>
      <c r="N413" s="31" t="str">
        <f aca="false">IF(G413&lt;=INDEX(Assumptions!$B$15:$B$18,MATCH(E413,Assumptions!$A$15:$A$18,0)),"Yes","No")</f>
        <v>Yes</v>
      </c>
      <c r="O413" s="31" t="str">
        <f aca="false">IF(H413="","Open",IF(H413&lt;=INDEX(Assumptions!$C$15:$C$18,MATCH(E413,Assumptions!$A$15:$A$18,0)),"Yes","No"))</f>
        <v>Yes</v>
      </c>
    </row>
    <row r="414" customFormat="false" ht="15" hidden="false" customHeight="false" outlineLevel="0" collapsed="false">
      <c r="A414" s="31" t="s">
        <v>564</v>
      </c>
      <c r="B414" s="44" t="n">
        <v>46209</v>
      </c>
      <c r="C414" s="31" t="s">
        <v>57</v>
      </c>
      <c r="D414" s="31" t="s">
        <v>67</v>
      </c>
      <c r="E414" s="31" t="s">
        <v>51</v>
      </c>
      <c r="F414" s="31" t="s">
        <v>124</v>
      </c>
      <c r="G414" s="31" t="n">
        <v>2</v>
      </c>
      <c r="H414" s="41"/>
      <c r="I414" s="31" t="s">
        <v>158</v>
      </c>
      <c r="J414" s="31"/>
      <c r="K414" s="31" t="s">
        <v>150</v>
      </c>
      <c r="L414" s="45" t="n">
        <f aca="false">DATE(YEAR(B414),MONTH(B414),1)</f>
        <v>46204</v>
      </c>
      <c r="M414" s="31" t="n">
        <f aca="false">WEEKDAY(B414,2)</f>
        <v>1</v>
      </c>
      <c r="N414" s="31" t="str">
        <f aca="false">IF(G414&lt;=INDEX(Assumptions!$B$15:$B$18,MATCH(E414,Assumptions!$A$15:$A$18,0)),"Yes","No")</f>
        <v>Yes</v>
      </c>
      <c r="O414" s="31" t="str">
        <f aca="false">IF(H414="","Open",IF(H414&lt;=INDEX(Assumptions!$C$15:$C$18,MATCH(E414,Assumptions!$A$15:$A$18,0)),"Yes","No"))</f>
        <v>Open</v>
      </c>
    </row>
    <row r="415" customFormat="false" ht="15" hidden="false" customHeight="false" outlineLevel="0" collapsed="false">
      <c r="A415" s="31" t="s">
        <v>565</v>
      </c>
      <c r="B415" s="44" t="n">
        <v>46209</v>
      </c>
      <c r="C415" s="31" t="s">
        <v>57</v>
      </c>
      <c r="D415" s="31" t="s">
        <v>66</v>
      </c>
      <c r="E415" s="31" t="s">
        <v>49</v>
      </c>
      <c r="F415" s="31" t="s">
        <v>121</v>
      </c>
      <c r="G415" s="31" t="n">
        <v>6</v>
      </c>
      <c r="H415" s="41" t="n">
        <v>1.1</v>
      </c>
      <c r="I415" s="31" t="s">
        <v>149</v>
      </c>
      <c r="J415" s="31"/>
      <c r="K415" s="31" t="s">
        <v>150</v>
      </c>
      <c r="L415" s="45" t="n">
        <f aca="false">DATE(YEAR(B415),MONTH(B415),1)</f>
        <v>46204</v>
      </c>
      <c r="M415" s="31" t="n">
        <f aca="false">WEEKDAY(B415,2)</f>
        <v>1</v>
      </c>
      <c r="N415" s="31" t="str">
        <f aca="false">IF(G415&lt;=INDEX(Assumptions!$B$15:$B$18,MATCH(E415,Assumptions!$A$15:$A$18,0)),"Yes","No")</f>
        <v>Yes</v>
      </c>
      <c r="O415" s="31" t="str">
        <f aca="false">IF(H415="","Open",IF(H415&lt;=INDEX(Assumptions!$C$15:$C$18,MATCH(E415,Assumptions!$A$15:$A$18,0)),"Yes","No"))</f>
        <v>Yes</v>
      </c>
    </row>
    <row r="416" customFormat="false" ht="15" hidden="false" customHeight="false" outlineLevel="0" collapsed="false">
      <c r="A416" s="31" t="s">
        <v>566</v>
      </c>
      <c r="B416" s="44" t="n">
        <v>46209</v>
      </c>
      <c r="C416" s="31" t="s">
        <v>57</v>
      </c>
      <c r="D416" s="31" t="s">
        <v>67</v>
      </c>
      <c r="E416" s="31" t="s">
        <v>51</v>
      </c>
      <c r="F416" s="31" t="s">
        <v>134</v>
      </c>
      <c r="G416" s="31" t="n">
        <v>5</v>
      </c>
      <c r="H416" s="41" t="n">
        <v>38.1</v>
      </c>
      <c r="I416" s="31" t="s">
        <v>149</v>
      </c>
      <c r="J416" s="31"/>
      <c r="K416" s="31" t="s">
        <v>153</v>
      </c>
      <c r="L416" s="45" t="n">
        <f aca="false">DATE(YEAR(B416),MONTH(B416),1)</f>
        <v>46204</v>
      </c>
      <c r="M416" s="31" t="n">
        <f aca="false">WEEKDAY(B416,2)</f>
        <v>1</v>
      </c>
      <c r="N416" s="31" t="str">
        <f aca="false">IF(G416&lt;=INDEX(Assumptions!$B$15:$B$18,MATCH(E416,Assumptions!$A$15:$A$18,0)),"Yes","No")</f>
        <v>Yes</v>
      </c>
      <c r="O416" s="31" t="str">
        <f aca="false">IF(H416="","Open",IF(H416&lt;=INDEX(Assumptions!$C$15:$C$18,MATCH(E416,Assumptions!$A$15:$A$18,0)),"Yes","No"))</f>
        <v>No</v>
      </c>
    </row>
    <row r="417" customFormat="false" ht="15" hidden="false" customHeight="false" outlineLevel="0" collapsed="false">
      <c r="A417" s="31" t="s">
        <v>567</v>
      </c>
      <c r="B417" s="44" t="n">
        <v>46209</v>
      </c>
      <c r="C417" s="31" t="s">
        <v>59</v>
      </c>
      <c r="D417" s="31" t="s">
        <v>65</v>
      </c>
      <c r="E417" s="31" t="s">
        <v>50</v>
      </c>
      <c r="F417" s="31" t="s">
        <v>128</v>
      </c>
      <c r="G417" s="31" t="n">
        <v>49</v>
      </c>
      <c r="H417" s="41" t="n">
        <v>5.3</v>
      </c>
      <c r="I417" s="31" t="s">
        <v>149</v>
      </c>
      <c r="J417" s="31" t="n">
        <v>5</v>
      </c>
      <c r="K417" s="31" t="s">
        <v>153</v>
      </c>
      <c r="L417" s="45" t="n">
        <f aca="false">DATE(YEAR(B417),MONTH(B417),1)</f>
        <v>46204</v>
      </c>
      <c r="M417" s="31" t="n">
        <f aca="false">WEEKDAY(B417,2)</f>
        <v>1</v>
      </c>
      <c r="N417" s="31" t="str">
        <f aca="false">IF(G417&lt;=INDEX(Assumptions!$B$15:$B$18,MATCH(E417,Assumptions!$A$15:$A$18,0)),"Yes","No")</f>
        <v>No</v>
      </c>
      <c r="O417" s="31" t="str">
        <f aca="false">IF(H417="","Open",IF(H417&lt;=INDEX(Assumptions!$C$15:$C$18,MATCH(E417,Assumptions!$A$15:$A$18,0)),"Yes","No"))</f>
        <v>Yes</v>
      </c>
    </row>
    <row r="418" customFormat="false" ht="15" hidden="false" customHeight="false" outlineLevel="0" collapsed="false">
      <c r="A418" s="31" t="s">
        <v>568</v>
      </c>
      <c r="B418" s="44" t="n">
        <v>46209</v>
      </c>
      <c r="C418" s="31" t="s">
        <v>58</v>
      </c>
      <c r="D418" s="31" t="s">
        <v>65</v>
      </c>
      <c r="E418" s="31" t="s">
        <v>51</v>
      </c>
      <c r="F418" s="31" t="s">
        <v>129</v>
      </c>
      <c r="G418" s="31" t="n">
        <v>15</v>
      </c>
      <c r="H418" s="41" t="n">
        <v>5.4</v>
      </c>
      <c r="I418" s="31" t="s">
        <v>149</v>
      </c>
      <c r="J418" s="31" t="n">
        <v>5</v>
      </c>
      <c r="K418" s="31" t="s">
        <v>150</v>
      </c>
      <c r="L418" s="45" t="n">
        <f aca="false">DATE(YEAR(B418),MONTH(B418),1)</f>
        <v>46204</v>
      </c>
      <c r="M418" s="31" t="n">
        <f aca="false">WEEKDAY(B418,2)</f>
        <v>1</v>
      </c>
      <c r="N418" s="31" t="str">
        <f aca="false">IF(G418&lt;=INDEX(Assumptions!$B$15:$B$18,MATCH(E418,Assumptions!$A$15:$A$18,0)),"Yes","No")</f>
        <v>Yes</v>
      </c>
      <c r="O418" s="31" t="str">
        <f aca="false">IF(H418="","Open",IF(H418&lt;=INDEX(Assumptions!$C$15:$C$18,MATCH(E418,Assumptions!$A$15:$A$18,0)),"Yes","No"))</f>
        <v>Yes</v>
      </c>
    </row>
    <row r="419" customFormat="false" ht="15" hidden="false" customHeight="false" outlineLevel="0" collapsed="false">
      <c r="A419" s="31" t="s">
        <v>569</v>
      </c>
      <c r="B419" s="44" t="n">
        <v>46209</v>
      </c>
      <c r="C419" s="31" t="s">
        <v>58</v>
      </c>
      <c r="D419" s="31" t="s">
        <v>66</v>
      </c>
      <c r="E419" s="31" t="s">
        <v>52</v>
      </c>
      <c r="F419" s="31" t="s">
        <v>133</v>
      </c>
      <c r="G419" s="31" t="n">
        <v>4</v>
      </c>
      <c r="H419" s="41" t="n">
        <v>13</v>
      </c>
      <c r="I419" s="31" t="s">
        <v>149</v>
      </c>
      <c r="J419" s="31"/>
      <c r="K419" s="31" t="s">
        <v>150</v>
      </c>
      <c r="L419" s="45" t="n">
        <f aca="false">DATE(YEAR(B419),MONTH(B419),1)</f>
        <v>46204</v>
      </c>
      <c r="M419" s="31" t="n">
        <f aca="false">WEEKDAY(B419,2)</f>
        <v>1</v>
      </c>
      <c r="N419" s="31" t="str">
        <f aca="false">IF(G419&lt;=INDEX(Assumptions!$B$15:$B$18,MATCH(E419,Assumptions!$A$15:$A$18,0)),"Yes","No")</f>
        <v>Yes</v>
      </c>
      <c r="O419" s="31" t="str">
        <f aca="false">IF(H419="","Open",IF(H419&lt;=INDEX(Assumptions!$C$15:$C$18,MATCH(E419,Assumptions!$A$15:$A$18,0)),"Yes","No"))</f>
        <v>Yes</v>
      </c>
    </row>
    <row r="420" customFormat="false" ht="15" hidden="false" customHeight="false" outlineLevel="0" collapsed="false">
      <c r="A420" s="31" t="s">
        <v>570</v>
      </c>
      <c r="B420" s="44" t="n">
        <v>46209</v>
      </c>
      <c r="C420" s="31" t="s">
        <v>57</v>
      </c>
      <c r="D420" s="31" t="s">
        <v>66</v>
      </c>
      <c r="E420" s="31" t="s">
        <v>51</v>
      </c>
      <c r="F420" s="31" t="s">
        <v>129</v>
      </c>
      <c r="G420" s="31" t="n">
        <v>3</v>
      </c>
      <c r="H420" s="41" t="n">
        <v>1</v>
      </c>
      <c r="I420" s="31" t="s">
        <v>149</v>
      </c>
      <c r="J420" s="31" t="n">
        <v>5</v>
      </c>
      <c r="K420" s="31" t="s">
        <v>150</v>
      </c>
      <c r="L420" s="45" t="n">
        <f aca="false">DATE(YEAR(B420),MONTH(B420),1)</f>
        <v>46204</v>
      </c>
      <c r="M420" s="31" t="n">
        <f aca="false">WEEKDAY(B420,2)</f>
        <v>1</v>
      </c>
      <c r="N420" s="31" t="str">
        <f aca="false">IF(G420&lt;=INDEX(Assumptions!$B$15:$B$18,MATCH(E420,Assumptions!$A$15:$A$18,0)),"Yes","No")</f>
        <v>Yes</v>
      </c>
      <c r="O420" s="31" t="str">
        <f aca="false">IF(H420="","Open",IF(H420&lt;=INDEX(Assumptions!$C$15:$C$18,MATCH(E420,Assumptions!$A$15:$A$18,0)),"Yes","No"))</f>
        <v>Yes</v>
      </c>
    </row>
    <row r="421" customFormat="false" ht="15" hidden="false" customHeight="false" outlineLevel="0" collapsed="false">
      <c r="A421" s="31" t="s">
        <v>571</v>
      </c>
      <c r="B421" s="44" t="n">
        <v>46209</v>
      </c>
      <c r="C421" s="31" t="s">
        <v>60</v>
      </c>
      <c r="D421" s="31" t="s">
        <v>66</v>
      </c>
      <c r="E421" s="31" t="s">
        <v>51</v>
      </c>
      <c r="F421" s="31" t="s">
        <v>120</v>
      </c>
      <c r="G421" s="31" t="n">
        <v>4</v>
      </c>
      <c r="H421" s="41" t="n">
        <v>6.5</v>
      </c>
      <c r="I421" s="31" t="s">
        <v>149</v>
      </c>
      <c r="J421" s="31" t="n">
        <v>4</v>
      </c>
      <c r="K421" s="31" t="s">
        <v>150</v>
      </c>
      <c r="L421" s="45" t="n">
        <f aca="false">DATE(YEAR(B421),MONTH(B421),1)</f>
        <v>46204</v>
      </c>
      <c r="M421" s="31" t="n">
        <f aca="false">WEEKDAY(B421,2)</f>
        <v>1</v>
      </c>
      <c r="N421" s="31" t="str">
        <f aca="false">IF(G421&lt;=INDEX(Assumptions!$B$15:$B$18,MATCH(E421,Assumptions!$A$15:$A$18,0)),"Yes","No")</f>
        <v>Yes</v>
      </c>
      <c r="O421" s="31" t="str">
        <f aca="false">IF(H421="","Open",IF(H421&lt;=INDEX(Assumptions!$C$15:$C$18,MATCH(E421,Assumptions!$A$15:$A$18,0)),"Yes","No"))</f>
        <v>Yes</v>
      </c>
    </row>
    <row r="422" customFormat="false" ht="15" hidden="false" customHeight="false" outlineLevel="0" collapsed="false">
      <c r="A422" s="31" t="s">
        <v>572</v>
      </c>
      <c r="B422" s="44" t="n">
        <v>46209</v>
      </c>
      <c r="C422" s="31" t="s">
        <v>57</v>
      </c>
      <c r="D422" s="31" t="s">
        <v>67</v>
      </c>
      <c r="E422" s="31" t="s">
        <v>51</v>
      </c>
      <c r="F422" s="31" t="s">
        <v>124</v>
      </c>
      <c r="G422" s="31" t="n">
        <v>3</v>
      </c>
      <c r="H422" s="41" t="n">
        <v>7.8</v>
      </c>
      <c r="I422" s="31" t="s">
        <v>149</v>
      </c>
      <c r="J422" s="31" t="n">
        <v>5</v>
      </c>
      <c r="K422" s="31" t="s">
        <v>150</v>
      </c>
      <c r="L422" s="45" t="n">
        <f aca="false">DATE(YEAR(B422),MONTH(B422),1)</f>
        <v>46204</v>
      </c>
      <c r="M422" s="31" t="n">
        <f aca="false">WEEKDAY(B422,2)</f>
        <v>1</v>
      </c>
      <c r="N422" s="31" t="str">
        <f aca="false">IF(G422&lt;=INDEX(Assumptions!$B$15:$B$18,MATCH(E422,Assumptions!$A$15:$A$18,0)),"Yes","No")</f>
        <v>Yes</v>
      </c>
      <c r="O422" s="31" t="str">
        <f aca="false">IF(H422="","Open",IF(H422&lt;=INDEX(Assumptions!$C$15:$C$18,MATCH(E422,Assumptions!$A$15:$A$18,0)),"Yes","No"))</f>
        <v>Yes</v>
      </c>
    </row>
    <row r="423" customFormat="false" ht="15" hidden="false" customHeight="false" outlineLevel="0" collapsed="false">
      <c r="A423" s="31" t="s">
        <v>573</v>
      </c>
      <c r="B423" s="44" t="n">
        <v>46209</v>
      </c>
      <c r="C423" s="31" t="s">
        <v>60</v>
      </c>
      <c r="D423" s="31" t="s">
        <v>69</v>
      </c>
      <c r="E423" s="31" t="s">
        <v>52</v>
      </c>
      <c r="F423" s="31" t="s">
        <v>136</v>
      </c>
      <c r="G423" s="31" t="n">
        <v>4</v>
      </c>
      <c r="H423" s="41" t="n">
        <v>20.9</v>
      </c>
      <c r="I423" s="31" t="s">
        <v>64</v>
      </c>
      <c r="J423" s="31" t="n">
        <v>4</v>
      </c>
      <c r="K423" s="31" t="s">
        <v>150</v>
      </c>
      <c r="L423" s="45" t="n">
        <f aca="false">DATE(YEAR(B423),MONTH(B423),1)</f>
        <v>46204</v>
      </c>
      <c r="M423" s="31" t="n">
        <f aca="false">WEEKDAY(B423,2)</f>
        <v>1</v>
      </c>
      <c r="N423" s="31" t="str">
        <f aca="false">IF(G423&lt;=INDEX(Assumptions!$B$15:$B$18,MATCH(E423,Assumptions!$A$15:$A$18,0)),"Yes","No")</f>
        <v>Yes</v>
      </c>
      <c r="O423" s="31" t="str">
        <f aca="false">IF(H423="","Open",IF(H423&lt;=INDEX(Assumptions!$C$15:$C$18,MATCH(E423,Assumptions!$A$15:$A$18,0)),"Yes","No"))</f>
        <v>Yes</v>
      </c>
    </row>
    <row r="424" customFormat="false" ht="15" hidden="false" customHeight="false" outlineLevel="0" collapsed="false">
      <c r="A424" s="31" t="s">
        <v>574</v>
      </c>
      <c r="B424" s="44" t="n">
        <v>46209</v>
      </c>
      <c r="C424" s="31" t="s">
        <v>57</v>
      </c>
      <c r="D424" s="31" t="s">
        <v>68</v>
      </c>
      <c r="E424" s="31" t="s">
        <v>51</v>
      </c>
      <c r="F424" s="31" t="s">
        <v>135</v>
      </c>
      <c r="G424" s="31" t="n">
        <v>5</v>
      </c>
      <c r="H424" s="41" t="n">
        <v>7.3</v>
      </c>
      <c r="I424" s="31" t="s">
        <v>149</v>
      </c>
      <c r="J424" s="31" t="n">
        <v>3</v>
      </c>
      <c r="K424" s="31" t="s">
        <v>150</v>
      </c>
      <c r="L424" s="45" t="n">
        <f aca="false">DATE(YEAR(B424),MONTH(B424),1)</f>
        <v>46204</v>
      </c>
      <c r="M424" s="31" t="n">
        <f aca="false">WEEKDAY(B424,2)</f>
        <v>1</v>
      </c>
      <c r="N424" s="31" t="str">
        <f aca="false">IF(G424&lt;=INDEX(Assumptions!$B$15:$B$18,MATCH(E424,Assumptions!$A$15:$A$18,0)),"Yes","No")</f>
        <v>Yes</v>
      </c>
      <c r="O424" s="31" t="str">
        <f aca="false">IF(H424="","Open",IF(H424&lt;=INDEX(Assumptions!$C$15:$C$18,MATCH(E424,Assumptions!$A$15:$A$18,0)),"Yes","No"))</f>
        <v>Yes</v>
      </c>
    </row>
    <row r="425" customFormat="false" ht="15" hidden="false" customHeight="false" outlineLevel="0" collapsed="false">
      <c r="A425" s="31" t="s">
        <v>575</v>
      </c>
      <c r="B425" s="44" t="n">
        <v>46209</v>
      </c>
      <c r="C425" s="31" t="s">
        <v>57</v>
      </c>
      <c r="D425" s="31" t="s">
        <v>67</v>
      </c>
      <c r="E425" s="31" t="s">
        <v>51</v>
      </c>
      <c r="F425" s="31" t="s">
        <v>120</v>
      </c>
      <c r="G425" s="31" t="n">
        <v>23</v>
      </c>
      <c r="H425" s="41" t="n">
        <v>54.7</v>
      </c>
      <c r="I425" s="31" t="s">
        <v>149</v>
      </c>
      <c r="J425" s="31" t="n">
        <v>2</v>
      </c>
      <c r="K425" s="31" t="s">
        <v>153</v>
      </c>
      <c r="L425" s="45" t="n">
        <f aca="false">DATE(YEAR(B425),MONTH(B425),1)</f>
        <v>46204</v>
      </c>
      <c r="M425" s="31" t="n">
        <f aca="false">WEEKDAY(B425,2)</f>
        <v>1</v>
      </c>
      <c r="N425" s="31" t="str">
        <f aca="false">IF(G425&lt;=INDEX(Assumptions!$B$15:$B$18,MATCH(E425,Assumptions!$A$15:$A$18,0)),"Yes","No")</f>
        <v>Yes</v>
      </c>
      <c r="O425" s="31" t="str">
        <f aca="false">IF(H425="","Open",IF(H425&lt;=INDEX(Assumptions!$C$15:$C$18,MATCH(E425,Assumptions!$A$15:$A$18,0)),"Yes","No"))</f>
        <v>No</v>
      </c>
    </row>
    <row r="426" customFormat="false" ht="15" hidden="false" customHeight="false" outlineLevel="0" collapsed="false">
      <c r="A426" s="31" t="s">
        <v>576</v>
      </c>
      <c r="B426" s="44" t="n">
        <v>46209</v>
      </c>
      <c r="C426" s="31" t="s">
        <v>59</v>
      </c>
      <c r="D426" s="31" t="s">
        <v>66</v>
      </c>
      <c r="E426" s="31" t="s">
        <v>52</v>
      </c>
      <c r="F426" s="31" t="s">
        <v>128</v>
      </c>
      <c r="G426" s="31" t="n">
        <v>226</v>
      </c>
      <c r="H426" s="41" t="n">
        <v>4.3</v>
      </c>
      <c r="I426" s="31" t="s">
        <v>149</v>
      </c>
      <c r="J426" s="31"/>
      <c r="K426" s="31" t="s">
        <v>150</v>
      </c>
      <c r="L426" s="45" t="n">
        <f aca="false">DATE(YEAR(B426),MONTH(B426),1)</f>
        <v>46204</v>
      </c>
      <c r="M426" s="31" t="n">
        <f aca="false">WEEKDAY(B426,2)</f>
        <v>1</v>
      </c>
      <c r="N426" s="31" t="str">
        <f aca="false">IF(G426&lt;=INDEX(Assumptions!$B$15:$B$18,MATCH(E426,Assumptions!$A$15:$A$18,0)),"Yes","No")</f>
        <v>Yes</v>
      </c>
      <c r="O426" s="31" t="str">
        <f aca="false">IF(H426="","Open",IF(H426&lt;=INDEX(Assumptions!$C$15:$C$18,MATCH(E426,Assumptions!$A$15:$A$18,0)),"Yes","No"))</f>
        <v>Yes</v>
      </c>
    </row>
    <row r="427" customFormat="false" ht="15" hidden="false" customHeight="false" outlineLevel="0" collapsed="false">
      <c r="A427" s="31" t="s">
        <v>577</v>
      </c>
      <c r="B427" s="44" t="n">
        <v>46209</v>
      </c>
      <c r="C427" s="31" t="s">
        <v>59</v>
      </c>
      <c r="D427" s="31" t="s">
        <v>65</v>
      </c>
      <c r="E427" s="31" t="s">
        <v>49</v>
      </c>
      <c r="F427" s="31" t="s">
        <v>124</v>
      </c>
      <c r="G427" s="31" t="n">
        <v>62</v>
      </c>
      <c r="H427" s="41" t="n">
        <v>3</v>
      </c>
      <c r="I427" s="31" t="s">
        <v>149</v>
      </c>
      <c r="J427" s="31" t="n">
        <v>3</v>
      </c>
      <c r="K427" s="31" t="s">
        <v>150</v>
      </c>
      <c r="L427" s="45" t="n">
        <f aca="false">DATE(YEAR(B427),MONTH(B427),1)</f>
        <v>46204</v>
      </c>
      <c r="M427" s="31" t="n">
        <f aca="false">WEEKDAY(B427,2)</f>
        <v>1</v>
      </c>
      <c r="N427" s="31" t="str">
        <f aca="false">IF(G427&lt;=INDEX(Assumptions!$B$15:$B$18,MATCH(E427,Assumptions!$A$15:$A$18,0)),"Yes","No")</f>
        <v>No</v>
      </c>
      <c r="O427" s="31" t="str">
        <f aca="false">IF(H427="","Open",IF(H427&lt;=INDEX(Assumptions!$C$15:$C$18,MATCH(E427,Assumptions!$A$15:$A$18,0)),"Yes","No"))</f>
        <v>Yes</v>
      </c>
    </row>
    <row r="428" customFormat="false" ht="15" hidden="false" customHeight="false" outlineLevel="0" collapsed="false">
      <c r="A428" s="31" t="s">
        <v>578</v>
      </c>
      <c r="B428" s="44" t="n">
        <v>46210</v>
      </c>
      <c r="C428" s="31" t="s">
        <v>60</v>
      </c>
      <c r="D428" s="31" t="s">
        <v>67</v>
      </c>
      <c r="E428" s="31" t="s">
        <v>52</v>
      </c>
      <c r="F428" s="31" t="s">
        <v>126</v>
      </c>
      <c r="G428" s="31" t="n">
        <v>1</v>
      </c>
      <c r="H428" s="41" t="n">
        <v>81.9</v>
      </c>
      <c r="I428" s="31" t="s">
        <v>149</v>
      </c>
      <c r="J428" s="31" t="n">
        <v>5</v>
      </c>
      <c r="K428" s="31" t="s">
        <v>153</v>
      </c>
      <c r="L428" s="45" t="n">
        <f aca="false">DATE(YEAR(B428),MONTH(B428),1)</f>
        <v>46204</v>
      </c>
      <c r="M428" s="31" t="n">
        <f aca="false">WEEKDAY(B428,2)</f>
        <v>2</v>
      </c>
      <c r="N428" s="31" t="str">
        <f aca="false">IF(G428&lt;=INDEX(Assumptions!$B$15:$B$18,MATCH(E428,Assumptions!$A$15:$A$18,0)),"Yes","No")</f>
        <v>Yes</v>
      </c>
      <c r="O428" s="31" t="str">
        <f aca="false">IF(H428="","Open",IF(H428&lt;=INDEX(Assumptions!$C$15:$C$18,MATCH(E428,Assumptions!$A$15:$A$18,0)),"Yes","No"))</f>
        <v>No</v>
      </c>
    </row>
    <row r="429" customFormat="false" ht="15" hidden="false" customHeight="false" outlineLevel="0" collapsed="false">
      <c r="A429" s="31" t="s">
        <v>579</v>
      </c>
      <c r="B429" s="44" t="n">
        <v>46210</v>
      </c>
      <c r="C429" s="31" t="s">
        <v>58</v>
      </c>
      <c r="D429" s="31" t="s">
        <v>69</v>
      </c>
      <c r="E429" s="31" t="s">
        <v>51</v>
      </c>
      <c r="F429" s="31" t="s">
        <v>133</v>
      </c>
      <c r="G429" s="31" t="n">
        <v>9</v>
      </c>
      <c r="H429" s="41" t="n">
        <v>53.8</v>
      </c>
      <c r="I429" s="31" t="s">
        <v>149</v>
      </c>
      <c r="J429" s="31" t="n">
        <v>4</v>
      </c>
      <c r="K429" s="31" t="s">
        <v>150</v>
      </c>
      <c r="L429" s="45" t="n">
        <f aca="false">DATE(YEAR(B429),MONTH(B429),1)</f>
        <v>46204</v>
      </c>
      <c r="M429" s="31" t="n">
        <f aca="false">WEEKDAY(B429,2)</f>
        <v>2</v>
      </c>
      <c r="N429" s="31" t="str">
        <f aca="false">IF(G429&lt;=INDEX(Assumptions!$B$15:$B$18,MATCH(E429,Assumptions!$A$15:$A$18,0)),"Yes","No")</f>
        <v>Yes</v>
      </c>
      <c r="O429" s="31" t="str">
        <f aca="false">IF(H429="","Open",IF(H429&lt;=INDEX(Assumptions!$C$15:$C$18,MATCH(E429,Assumptions!$A$15:$A$18,0)),"Yes","No"))</f>
        <v>No</v>
      </c>
    </row>
    <row r="430" customFormat="false" ht="15" hidden="false" customHeight="false" outlineLevel="0" collapsed="false">
      <c r="A430" s="31" t="s">
        <v>580</v>
      </c>
      <c r="B430" s="44" t="n">
        <v>46210</v>
      </c>
      <c r="C430" s="31" t="s">
        <v>60</v>
      </c>
      <c r="D430" s="31" t="s">
        <v>69</v>
      </c>
      <c r="E430" s="31" t="s">
        <v>52</v>
      </c>
      <c r="F430" s="31" t="s">
        <v>123</v>
      </c>
      <c r="G430" s="31" t="n">
        <v>2</v>
      </c>
      <c r="H430" s="41" t="n">
        <v>45.9</v>
      </c>
      <c r="I430" s="31" t="s">
        <v>149</v>
      </c>
      <c r="J430" s="31"/>
      <c r="K430" s="31" t="s">
        <v>150</v>
      </c>
      <c r="L430" s="45" t="n">
        <f aca="false">DATE(YEAR(B430),MONTH(B430),1)</f>
        <v>46204</v>
      </c>
      <c r="M430" s="31" t="n">
        <f aca="false">WEEKDAY(B430,2)</f>
        <v>2</v>
      </c>
      <c r="N430" s="31" t="str">
        <f aca="false">IF(G430&lt;=INDEX(Assumptions!$B$15:$B$18,MATCH(E430,Assumptions!$A$15:$A$18,0)),"Yes","No")</f>
        <v>Yes</v>
      </c>
      <c r="O430" s="31" t="str">
        <f aca="false">IF(H430="","Open",IF(H430&lt;=INDEX(Assumptions!$C$15:$C$18,MATCH(E430,Assumptions!$A$15:$A$18,0)),"Yes","No"))</f>
        <v>Yes</v>
      </c>
    </row>
    <row r="431" customFormat="false" ht="15" hidden="false" customHeight="false" outlineLevel="0" collapsed="false">
      <c r="A431" s="31" t="s">
        <v>581</v>
      </c>
      <c r="B431" s="44" t="n">
        <v>46210</v>
      </c>
      <c r="C431" s="31" t="s">
        <v>58</v>
      </c>
      <c r="D431" s="31" t="s">
        <v>65</v>
      </c>
      <c r="E431" s="31" t="s">
        <v>52</v>
      </c>
      <c r="F431" s="31" t="s">
        <v>135</v>
      </c>
      <c r="G431" s="31" t="n">
        <v>22</v>
      </c>
      <c r="H431" s="41" t="n">
        <v>43.8</v>
      </c>
      <c r="I431" s="31" t="s">
        <v>149</v>
      </c>
      <c r="J431" s="31" t="n">
        <v>5</v>
      </c>
      <c r="K431" s="31" t="s">
        <v>153</v>
      </c>
      <c r="L431" s="45" t="n">
        <f aca="false">DATE(YEAR(B431),MONTH(B431),1)</f>
        <v>46204</v>
      </c>
      <c r="M431" s="31" t="n">
        <f aca="false">WEEKDAY(B431,2)</f>
        <v>2</v>
      </c>
      <c r="N431" s="31" t="str">
        <f aca="false">IF(G431&lt;=INDEX(Assumptions!$B$15:$B$18,MATCH(E431,Assumptions!$A$15:$A$18,0)),"Yes","No")</f>
        <v>Yes</v>
      </c>
      <c r="O431" s="31" t="str">
        <f aca="false">IF(H431="","Open",IF(H431&lt;=INDEX(Assumptions!$C$15:$C$18,MATCH(E431,Assumptions!$A$15:$A$18,0)),"Yes","No"))</f>
        <v>Yes</v>
      </c>
    </row>
    <row r="432" customFormat="false" ht="15" hidden="false" customHeight="false" outlineLevel="0" collapsed="false">
      <c r="A432" s="31" t="s">
        <v>582</v>
      </c>
      <c r="B432" s="44" t="n">
        <v>46210</v>
      </c>
      <c r="C432" s="31" t="s">
        <v>58</v>
      </c>
      <c r="D432" s="31" t="s">
        <v>66</v>
      </c>
      <c r="E432" s="31" t="s">
        <v>51</v>
      </c>
      <c r="F432" s="31" t="s">
        <v>126</v>
      </c>
      <c r="G432" s="31" t="n">
        <v>4</v>
      </c>
      <c r="H432" s="41" t="n">
        <v>3</v>
      </c>
      <c r="I432" s="31" t="s">
        <v>149</v>
      </c>
      <c r="J432" s="31" t="n">
        <v>4</v>
      </c>
      <c r="K432" s="31" t="s">
        <v>150</v>
      </c>
      <c r="L432" s="45" t="n">
        <f aca="false">DATE(YEAR(B432),MONTH(B432),1)</f>
        <v>46204</v>
      </c>
      <c r="M432" s="31" t="n">
        <f aca="false">WEEKDAY(B432,2)</f>
        <v>2</v>
      </c>
      <c r="N432" s="31" t="str">
        <f aca="false">IF(G432&lt;=INDEX(Assumptions!$B$15:$B$18,MATCH(E432,Assumptions!$A$15:$A$18,0)),"Yes","No")</f>
        <v>Yes</v>
      </c>
      <c r="O432" s="31" t="str">
        <f aca="false">IF(H432="","Open",IF(H432&lt;=INDEX(Assumptions!$C$15:$C$18,MATCH(E432,Assumptions!$A$15:$A$18,0)),"Yes","No"))</f>
        <v>Yes</v>
      </c>
    </row>
    <row r="433" customFormat="false" ht="15" hidden="false" customHeight="false" outlineLevel="0" collapsed="false">
      <c r="A433" s="31" t="s">
        <v>583</v>
      </c>
      <c r="B433" s="44" t="n">
        <v>46210</v>
      </c>
      <c r="C433" s="31" t="s">
        <v>60</v>
      </c>
      <c r="D433" s="31" t="s">
        <v>65</v>
      </c>
      <c r="E433" s="31" t="s">
        <v>52</v>
      </c>
      <c r="F433" s="31" t="s">
        <v>123</v>
      </c>
      <c r="G433" s="31" t="n">
        <v>2</v>
      </c>
      <c r="H433" s="41" t="n">
        <v>38.1</v>
      </c>
      <c r="I433" s="31" t="s">
        <v>149</v>
      </c>
      <c r="J433" s="31"/>
      <c r="K433" s="31" t="s">
        <v>150</v>
      </c>
      <c r="L433" s="45" t="n">
        <f aca="false">DATE(YEAR(B433),MONTH(B433),1)</f>
        <v>46204</v>
      </c>
      <c r="M433" s="31" t="n">
        <f aca="false">WEEKDAY(B433,2)</f>
        <v>2</v>
      </c>
      <c r="N433" s="31" t="str">
        <f aca="false">IF(G433&lt;=INDEX(Assumptions!$B$15:$B$18,MATCH(E433,Assumptions!$A$15:$A$18,0)),"Yes","No")</f>
        <v>Yes</v>
      </c>
      <c r="O433" s="31" t="str">
        <f aca="false">IF(H433="","Open",IF(H433&lt;=INDEX(Assumptions!$C$15:$C$18,MATCH(E433,Assumptions!$A$15:$A$18,0)),"Yes","No"))</f>
        <v>Yes</v>
      </c>
    </row>
    <row r="434" customFormat="false" ht="15" hidden="false" customHeight="false" outlineLevel="0" collapsed="false">
      <c r="A434" s="31" t="s">
        <v>584</v>
      </c>
      <c r="B434" s="44" t="n">
        <v>46210</v>
      </c>
      <c r="C434" s="31" t="s">
        <v>57</v>
      </c>
      <c r="D434" s="31" t="s">
        <v>69</v>
      </c>
      <c r="E434" s="31" t="s">
        <v>50</v>
      </c>
      <c r="F434" s="31" t="s">
        <v>128</v>
      </c>
      <c r="G434" s="31" t="n">
        <v>15</v>
      </c>
      <c r="H434" s="41" t="n">
        <v>19.8</v>
      </c>
      <c r="I434" s="31" t="s">
        <v>149</v>
      </c>
      <c r="J434" s="31"/>
      <c r="K434" s="31" t="s">
        <v>150</v>
      </c>
      <c r="L434" s="45" t="n">
        <f aca="false">DATE(YEAR(B434),MONTH(B434),1)</f>
        <v>46204</v>
      </c>
      <c r="M434" s="31" t="n">
        <f aca="false">WEEKDAY(B434,2)</f>
        <v>2</v>
      </c>
      <c r="N434" s="31" t="str">
        <f aca="false">IF(G434&lt;=INDEX(Assumptions!$B$15:$B$18,MATCH(E434,Assumptions!$A$15:$A$18,0)),"Yes","No")</f>
        <v>Yes</v>
      </c>
      <c r="O434" s="31" t="str">
        <f aca="false">IF(H434="","Open",IF(H434&lt;=INDEX(Assumptions!$C$15:$C$18,MATCH(E434,Assumptions!$A$15:$A$18,0)),"Yes","No"))</f>
        <v>No</v>
      </c>
    </row>
    <row r="435" customFormat="false" ht="15" hidden="false" customHeight="false" outlineLevel="0" collapsed="false">
      <c r="A435" s="31" t="s">
        <v>585</v>
      </c>
      <c r="B435" s="44" t="n">
        <v>46210</v>
      </c>
      <c r="C435" s="31" t="s">
        <v>59</v>
      </c>
      <c r="D435" s="31" t="s">
        <v>66</v>
      </c>
      <c r="E435" s="31" t="s">
        <v>49</v>
      </c>
      <c r="F435" s="31" t="s">
        <v>126</v>
      </c>
      <c r="G435" s="31" t="n">
        <v>28</v>
      </c>
      <c r="H435" s="41" t="n">
        <v>1.7</v>
      </c>
      <c r="I435" s="31" t="s">
        <v>149</v>
      </c>
      <c r="J435" s="31"/>
      <c r="K435" s="31" t="s">
        <v>150</v>
      </c>
      <c r="L435" s="45" t="n">
        <f aca="false">DATE(YEAR(B435),MONTH(B435),1)</f>
        <v>46204</v>
      </c>
      <c r="M435" s="31" t="n">
        <f aca="false">WEEKDAY(B435,2)</f>
        <v>2</v>
      </c>
      <c r="N435" s="31" t="str">
        <f aca="false">IF(G435&lt;=INDEX(Assumptions!$B$15:$B$18,MATCH(E435,Assumptions!$A$15:$A$18,0)),"Yes","No")</f>
        <v>No</v>
      </c>
      <c r="O435" s="31" t="str">
        <f aca="false">IF(H435="","Open",IF(H435&lt;=INDEX(Assumptions!$C$15:$C$18,MATCH(E435,Assumptions!$A$15:$A$18,0)),"Yes","No"))</f>
        <v>Yes</v>
      </c>
    </row>
    <row r="436" customFormat="false" ht="15" hidden="false" customHeight="false" outlineLevel="0" collapsed="false">
      <c r="A436" s="31" t="s">
        <v>586</v>
      </c>
      <c r="B436" s="44" t="n">
        <v>46210</v>
      </c>
      <c r="C436" s="31" t="s">
        <v>59</v>
      </c>
      <c r="D436" s="31" t="s">
        <v>67</v>
      </c>
      <c r="E436" s="31" t="s">
        <v>52</v>
      </c>
      <c r="F436" s="31" t="s">
        <v>123</v>
      </c>
      <c r="G436" s="31" t="n">
        <v>57</v>
      </c>
      <c r="H436" s="41" t="n">
        <v>12.5</v>
      </c>
      <c r="I436" s="31" t="s">
        <v>149</v>
      </c>
      <c r="J436" s="31" t="n">
        <v>3</v>
      </c>
      <c r="K436" s="31" t="s">
        <v>153</v>
      </c>
      <c r="L436" s="45" t="n">
        <f aca="false">DATE(YEAR(B436),MONTH(B436),1)</f>
        <v>46204</v>
      </c>
      <c r="M436" s="31" t="n">
        <f aca="false">WEEKDAY(B436,2)</f>
        <v>2</v>
      </c>
      <c r="N436" s="31" t="str">
        <f aca="false">IF(G436&lt;=INDEX(Assumptions!$B$15:$B$18,MATCH(E436,Assumptions!$A$15:$A$18,0)),"Yes","No")</f>
        <v>Yes</v>
      </c>
      <c r="O436" s="31" t="str">
        <f aca="false">IF(H436="","Open",IF(H436&lt;=INDEX(Assumptions!$C$15:$C$18,MATCH(E436,Assumptions!$A$15:$A$18,0)),"Yes","No"))</f>
        <v>Yes</v>
      </c>
    </row>
    <row r="437" customFormat="false" ht="15" hidden="false" customHeight="false" outlineLevel="0" collapsed="false">
      <c r="A437" s="31" t="s">
        <v>587</v>
      </c>
      <c r="B437" s="44" t="n">
        <v>46210</v>
      </c>
      <c r="C437" s="31" t="s">
        <v>59</v>
      </c>
      <c r="D437" s="31" t="s">
        <v>66</v>
      </c>
      <c r="E437" s="31" t="s">
        <v>51</v>
      </c>
      <c r="F437" s="31" t="s">
        <v>131</v>
      </c>
      <c r="G437" s="31" t="n">
        <v>92</v>
      </c>
      <c r="H437" s="41" t="n">
        <v>2.1</v>
      </c>
      <c r="I437" s="31" t="s">
        <v>149</v>
      </c>
      <c r="J437" s="31"/>
      <c r="K437" s="31" t="s">
        <v>150</v>
      </c>
      <c r="L437" s="45" t="n">
        <f aca="false">DATE(YEAR(B437),MONTH(B437),1)</f>
        <v>46204</v>
      </c>
      <c r="M437" s="31" t="n">
        <f aca="false">WEEKDAY(B437,2)</f>
        <v>2</v>
      </c>
      <c r="N437" s="31" t="str">
        <f aca="false">IF(G437&lt;=INDEX(Assumptions!$B$15:$B$18,MATCH(E437,Assumptions!$A$15:$A$18,0)),"Yes","No")</f>
        <v>No</v>
      </c>
      <c r="O437" s="31" t="str">
        <f aca="false">IF(H437="","Open",IF(H437&lt;=INDEX(Assumptions!$C$15:$C$18,MATCH(E437,Assumptions!$A$15:$A$18,0)),"Yes","No"))</f>
        <v>Yes</v>
      </c>
    </row>
    <row r="438" customFormat="false" ht="15" hidden="false" customHeight="false" outlineLevel="0" collapsed="false">
      <c r="A438" s="31" t="s">
        <v>588</v>
      </c>
      <c r="B438" s="44" t="n">
        <v>46210</v>
      </c>
      <c r="C438" s="31" t="s">
        <v>58</v>
      </c>
      <c r="D438" s="31" t="s">
        <v>65</v>
      </c>
      <c r="E438" s="31" t="s">
        <v>51</v>
      </c>
      <c r="F438" s="31" t="s">
        <v>121</v>
      </c>
      <c r="G438" s="31" t="n">
        <v>12</v>
      </c>
      <c r="H438" s="41" t="n">
        <v>6.7</v>
      </c>
      <c r="I438" s="31" t="s">
        <v>149</v>
      </c>
      <c r="J438" s="31" t="n">
        <v>4</v>
      </c>
      <c r="K438" s="31" t="s">
        <v>150</v>
      </c>
      <c r="L438" s="45" t="n">
        <f aca="false">DATE(YEAR(B438),MONTH(B438),1)</f>
        <v>46204</v>
      </c>
      <c r="M438" s="31" t="n">
        <f aca="false">WEEKDAY(B438,2)</f>
        <v>2</v>
      </c>
      <c r="N438" s="31" t="str">
        <f aca="false">IF(G438&lt;=INDEX(Assumptions!$B$15:$B$18,MATCH(E438,Assumptions!$A$15:$A$18,0)),"Yes","No")</f>
        <v>Yes</v>
      </c>
      <c r="O438" s="31" t="str">
        <f aca="false">IF(H438="","Open",IF(H438&lt;=INDEX(Assumptions!$C$15:$C$18,MATCH(E438,Assumptions!$A$15:$A$18,0)),"Yes","No"))</f>
        <v>Yes</v>
      </c>
    </row>
    <row r="439" customFormat="false" ht="15" hidden="false" customHeight="false" outlineLevel="0" collapsed="false">
      <c r="A439" s="31" t="s">
        <v>589</v>
      </c>
      <c r="B439" s="44" t="n">
        <v>46210</v>
      </c>
      <c r="C439" s="31" t="s">
        <v>58</v>
      </c>
      <c r="D439" s="31" t="s">
        <v>65</v>
      </c>
      <c r="E439" s="31" t="s">
        <v>52</v>
      </c>
      <c r="F439" s="31" t="s">
        <v>124</v>
      </c>
      <c r="G439" s="31" t="n">
        <v>8</v>
      </c>
      <c r="H439" s="41" t="n">
        <v>11.8</v>
      </c>
      <c r="I439" s="31" t="s">
        <v>149</v>
      </c>
      <c r="J439" s="31" t="n">
        <v>4</v>
      </c>
      <c r="K439" s="31" t="s">
        <v>153</v>
      </c>
      <c r="L439" s="45" t="n">
        <f aca="false">DATE(YEAR(B439),MONTH(B439),1)</f>
        <v>46204</v>
      </c>
      <c r="M439" s="31" t="n">
        <f aca="false">WEEKDAY(B439,2)</f>
        <v>2</v>
      </c>
      <c r="N439" s="31" t="str">
        <f aca="false">IF(G439&lt;=INDEX(Assumptions!$B$15:$B$18,MATCH(E439,Assumptions!$A$15:$A$18,0)),"Yes","No")</f>
        <v>Yes</v>
      </c>
      <c r="O439" s="31" t="str">
        <f aca="false">IF(H439="","Open",IF(H439&lt;=INDEX(Assumptions!$C$15:$C$18,MATCH(E439,Assumptions!$A$15:$A$18,0)),"Yes","No"))</f>
        <v>Yes</v>
      </c>
    </row>
    <row r="440" customFormat="false" ht="15" hidden="false" customHeight="false" outlineLevel="0" collapsed="false">
      <c r="A440" s="31" t="s">
        <v>590</v>
      </c>
      <c r="B440" s="44" t="n">
        <v>46210</v>
      </c>
      <c r="C440" s="31" t="s">
        <v>58</v>
      </c>
      <c r="D440" s="31" t="s">
        <v>66</v>
      </c>
      <c r="E440" s="31" t="s">
        <v>50</v>
      </c>
      <c r="F440" s="31" t="s">
        <v>120</v>
      </c>
      <c r="G440" s="31" t="n">
        <v>26</v>
      </c>
      <c r="H440" s="41" t="n">
        <v>4.3</v>
      </c>
      <c r="I440" s="31" t="s">
        <v>149</v>
      </c>
      <c r="J440" s="31"/>
      <c r="K440" s="31" t="s">
        <v>150</v>
      </c>
      <c r="L440" s="45" t="n">
        <f aca="false">DATE(YEAR(B440),MONTH(B440),1)</f>
        <v>46204</v>
      </c>
      <c r="M440" s="31" t="n">
        <f aca="false">WEEKDAY(B440,2)</f>
        <v>2</v>
      </c>
      <c r="N440" s="31" t="str">
        <f aca="false">IF(G440&lt;=INDEX(Assumptions!$B$15:$B$18,MATCH(E440,Assumptions!$A$15:$A$18,0)),"Yes","No")</f>
        <v>Yes</v>
      </c>
      <c r="O440" s="31" t="str">
        <f aca="false">IF(H440="","Open",IF(H440&lt;=INDEX(Assumptions!$C$15:$C$18,MATCH(E440,Assumptions!$A$15:$A$18,0)),"Yes","No"))</f>
        <v>Yes</v>
      </c>
    </row>
    <row r="441" customFormat="false" ht="15" hidden="false" customHeight="false" outlineLevel="0" collapsed="false">
      <c r="A441" s="31" t="s">
        <v>591</v>
      </c>
      <c r="B441" s="44" t="n">
        <v>46210</v>
      </c>
      <c r="C441" s="31" t="s">
        <v>57</v>
      </c>
      <c r="D441" s="31" t="s">
        <v>65</v>
      </c>
      <c r="E441" s="31" t="s">
        <v>50</v>
      </c>
      <c r="F441" s="31" t="s">
        <v>135</v>
      </c>
      <c r="G441" s="31" t="n">
        <v>2</v>
      </c>
      <c r="H441" s="41" t="n">
        <v>12.2</v>
      </c>
      <c r="I441" s="31" t="s">
        <v>149</v>
      </c>
      <c r="J441" s="31" t="n">
        <v>3</v>
      </c>
      <c r="K441" s="31" t="s">
        <v>150</v>
      </c>
      <c r="L441" s="45" t="n">
        <f aca="false">DATE(YEAR(B441),MONTH(B441),1)</f>
        <v>46204</v>
      </c>
      <c r="M441" s="31" t="n">
        <f aca="false">WEEKDAY(B441,2)</f>
        <v>2</v>
      </c>
      <c r="N441" s="31" t="str">
        <f aca="false">IF(G441&lt;=INDEX(Assumptions!$B$15:$B$18,MATCH(E441,Assumptions!$A$15:$A$18,0)),"Yes","No")</f>
        <v>Yes</v>
      </c>
      <c r="O441" s="31" t="str">
        <f aca="false">IF(H441="","Open",IF(H441&lt;=INDEX(Assumptions!$C$15:$C$18,MATCH(E441,Assumptions!$A$15:$A$18,0)),"Yes","No"))</f>
        <v>No</v>
      </c>
    </row>
    <row r="442" customFormat="false" ht="15" hidden="false" customHeight="false" outlineLevel="0" collapsed="false">
      <c r="A442" s="31" t="s">
        <v>592</v>
      </c>
      <c r="B442" s="44" t="n">
        <v>46210</v>
      </c>
      <c r="C442" s="31" t="s">
        <v>59</v>
      </c>
      <c r="D442" s="31" t="s">
        <v>68</v>
      </c>
      <c r="E442" s="31" t="s">
        <v>51</v>
      </c>
      <c r="F442" s="31" t="s">
        <v>133</v>
      </c>
      <c r="G442" s="31" t="n">
        <v>79</v>
      </c>
      <c r="H442" s="41" t="n">
        <v>3.7</v>
      </c>
      <c r="I442" s="31" t="s">
        <v>149</v>
      </c>
      <c r="J442" s="31" t="n">
        <v>4</v>
      </c>
      <c r="K442" s="31" t="s">
        <v>150</v>
      </c>
      <c r="L442" s="45" t="n">
        <f aca="false">DATE(YEAR(B442),MONTH(B442),1)</f>
        <v>46204</v>
      </c>
      <c r="M442" s="31" t="n">
        <f aca="false">WEEKDAY(B442,2)</f>
        <v>2</v>
      </c>
      <c r="N442" s="31" t="str">
        <f aca="false">IF(G442&lt;=INDEX(Assumptions!$B$15:$B$18,MATCH(E442,Assumptions!$A$15:$A$18,0)),"Yes","No")</f>
        <v>No</v>
      </c>
      <c r="O442" s="31" t="str">
        <f aca="false">IF(H442="","Open",IF(H442&lt;=INDEX(Assumptions!$C$15:$C$18,MATCH(E442,Assumptions!$A$15:$A$18,0)),"Yes","No"))</f>
        <v>Yes</v>
      </c>
    </row>
    <row r="443" customFormat="false" ht="15" hidden="false" customHeight="false" outlineLevel="0" collapsed="false">
      <c r="A443" s="31" t="s">
        <v>593</v>
      </c>
      <c r="B443" s="44" t="n">
        <v>46210</v>
      </c>
      <c r="C443" s="31" t="s">
        <v>60</v>
      </c>
      <c r="D443" s="31" t="s">
        <v>67</v>
      </c>
      <c r="E443" s="31" t="s">
        <v>51</v>
      </c>
      <c r="F443" s="31" t="s">
        <v>119</v>
      </c>
      <c r="G443" s="31" t="n">
        <v>1</v>
      </c>
      <c r="H443" s="41" t="n">
        <v>26</v>
      </c>
      <c r="I443" s="31" t="s">
        <v>149</v>
      </c>
      <c r="J443" s="31" t="n">
        <v>3</v>
      </c>
      <c r="K443" s="31" t="s">
        <v>150</v>
      </c>
      <c r="L443" s="45" t="n">
        <f aca="false">DATE(YEAR(B443),MONTH(B443),1)</f>
        <v>46204</v>
      </c>
      <c r="M443" s="31" t="n">
        <f aca="false">WEEKDAY(B443,2)</f>
        <v>2</v>
      </c>
      <c r="N443" s="31" t="str">
        <f aca="false">IF(G443&lt;=INDEX(Assumptions!$B$15:$B$18,MATCH(E443,Assumptions!$A$15:$A$18,0)),"Yes","No")</f>
        <v>Yes</v>
      </c>
      <c r="O443" s="31" t="str">
        <f aca="false">IF(H443="","Open",IF(H443&lt;=INDEX(Assumptions!$C$15:$C$18,MATCH(E443,Assumptions!$A$15:$A$18,0)),"Yes","No"))</f>
        <v>No</v>
      </c>
    </row>
    <row r="444" customFormat="false" ht="15" hidden="false" customHeight="false" outlineLevel="0" collapsed="false">
      <c r="A444" s="31" t="s">
        <v>594</v>
      </c>
      <c r="B444" s="44" t="n">
        <v>46210</v>
      </c>
      <c r="C444" s="31" t="s">
        <v>60</v>
      </c>
      <c r="D444" s="31" t="s">
        <v>66</v>
      </c>
      <c r="E444" s="31" t="s">
        <v>51</v>
      </c>
      <c r="F444" s="31" t="s">
        <v>134</v>
      </c>
      <c r="G444" s="31" t="n">
        <v>8</v>
      </c>
      <c r="H444" s="41" t="n">
        <v>8</v>
      </c>
      <c r="I444" s="31" t="s">
        <v>149</v>
      </c>
      <c r="J444" s="31" t="n">
        <v>4</v>
      </c>
      <c r="K444" s="31" t="s">
        <v>150</v>
      </c>
      <c r="L444" s="45" t="n">
        <f aca="false">DATE(YEAR(B444),MONTH(B444),1)</f>
        <v>46204</v>
      </c>
      <c r="M444" s="31" t="n">
        <f aca="false">WEEKDAY(B444,2)</f>
        <v>2</v>
      </c>
      <c r="N444" s="31" t="str">
        <f aca="false">IF(G444&lt;=INDEX(Assumptions!$B$15:$B$18,MATCH(E444,Assumptions!$A$15:$A$18,0)),"Yes","No")</f>
        <v>Yes</v>
      </c>
      <c r="O444" s="31" t="str">
        <f aca="false">IF(H444="","Open",IF(H444&lt;=INDEX(Assumptions!$C$15:$C$18,MATCH(E444,Assumptions!$A$15:$A$18,0)),"Yes","No"))</f>
        <v>Yes</v>
      </c>
    </row>
    <row r="445" customFormat="false" ht="15" hidden="false" customHeight="false" outlineLevel="0" collapsed="false">
      <c r="A445" s="31" t="s">
        <v>595</v>
      </c>
      <c r="B445" s="44" t="n">
        <v>46210</v>
      </c>
      <c r="C445" s="31" t="s">
        <v>60</v>
      </c>
      <c r="D445" s="31" t="s">
        <v>67</v>
      </c>
      <c r="E445" s="31" t="s">
        <v>51</v>
      </c>
      <c r="F445" s="31" t="s">
        <v>134</v>
      </c>
      <c r="G445" s="31" t="n">
        <v>4</v>
      </c>
      <c r="H445" s="41" t="n">
        <v>15</v>
      </c>
      <c r="I445" s="31" t="s">
        <v>149</v>
      </c>
      <c r="J445" s="31"/>
      <c r="K445" s="31" t="s">
        <v>153</v>
      </c>
      <c r="L445" s="45" t="n">
        <f aca="false">DATE(YEAR(B445),MONTH(B445),1)</f>
        <v>46204</v>
      </c>
      <c r="M445" s="31" t="n">
        <f aca="false">WEEKDAY(B445,2)</f>
        <v>2</v>
      </c>
      <c r="N445" s="31" t="str">
        <f aca="false">IF(G445&lt;=INDEX(Assumptions!$B$15:$B$18,MATCH(E445,Assumptions!$A$15:$A$18,0)),"Yes","No")</f>
        <v>Yes</v>
      </c>
      <c r="O445" s="31" t="str">
        <f aca="false">IF(H445="","Open",IF(H445&lt;=INDEX(Assumptions!$C$15:$C$18,MATCH(E445,Assumptions!$A$15:$A$18,0)),"Yes","No"))</f>
        <v>Yes</v>
      </c>
    </row>
    <row r="446" customFormat="false" ht="15" hidden="false" customHeight="false" outlineLevel="0" collapsed="false">
      <c r="A446" s="31" t="s">
        <v>596</v>
      </c>
      <c r="B446" s="44" t="n">
        <v>46210</v>
      </c>
      <c r="C446" s="31" t="s">
        <v>60</v>
      </c>
      <c r="D446" s="31" t="s">
        <v>66</v>
      </c>
      <c r="E446" s="31" t="s">
        <v>52</v>
      </c>
      <c r="F446" s="31" t="s">
        <v>133</v>
      </c>
      <c r="G446" s="31" t="n">
        <v>1</v>
      </c>
      <c r="H446" s="41" t="n">
        <v>8</v>
      </c>
      <c r="I446" s="31" t="s">
        <v>149</v>
      </c>
      <c r="J446" s="31"/>
      <c r="K446" s="31" t="s">
        <v>150</v>
      </c>
      <c r="L446" s="45" t="n">
        <f aca="false">DATE(YEAR(B446),MONTH(B446),1)</f>
        <v>46204</v>
      </c>
      <c r="M446" s="31" t="n">
        <f aca="false">WEEKDAY(B446,2)</f>
        <v>2</v>
      </c>
      <c r="N446" s="31" t="str">
        <f aca="false">IF(G446&lt;=INDEX(Assumptions!$B$15:$B$18,MATCH(E446,Assumptions!$A$15:$A$18,0)),"Yes","No")</f>
        <v>Yes</v>
      </c>
      <c r="O446" s="31" t="str">
        <f aca="false">IF(H446="","Open",IF(H446&lt;=INDEX(Assumptions!$C$15:$C$18,MATCH(E446,Assumptions!$A$15:$A$18,0)),"Yes","No"))</f>
        <v>Yes</v>
      </c>
    </row>
    <row r="447" customFormat="false" ht="15" hidden="false" customHeight="false" outlineLevel="0" collapsed="false">
      <c r="A447" s="31" t="s">
        <v>597</v>
      </c>
      <c r="B447" s="44" t="n">
        <v>46210</v>
      </c>
      <c r="C447" s="31" t="s">
        <v>59</v>
      </c>
      <c r="D447" s="31" t="s">
        <v>68</v>
      </c>
      <c r="E447" s="31" t="s">
        <v>52</v>
      </c>
      <c r="F447" s="31" t="s">
        <v>128</v>
      </c>
      <c r="G447" s="31" t="n">
        <v>122</v>
      </c>
      <c r="H447" s="41" t="n">
        <v>5.2</v>
      </c>
      <c r="I447" s="31" t="s">
        <v>149</v>
      </c>
      <c r="J447" s="31" t="n">
        <v>5</v>
      </c>
      <c r="K447" s="31" t="s">
        <v>153</v>
      </c>
      <c r="L447" s="45" t="n">
        <f aca="false">DATE(YEAR(B447),MONTH(B447),1)</f>
        <v>46204</v>
      </c>
      <c r="M447" s="31" t="n">
        <f aca="false">WEEKDAY(B447,2)</f>
        <v>2</v>
      </c>
      <c r="N447" s="31" t="str">
        <f aca="false">IF(G447&lt;=INDEX(Assumptions!$B$15:$B$18,MATCH(E447,Assumptions!$A$15:$A$18,0)),"Yes","No")</f>
        <v>Yes</v>
      </c>
      <c r="O447" s="31" t="str">
        <f aca="false">IF(H447="","Open",IF(H447&lt;=INDEX(Assumptions!$C$15:$C$18,MATCH(E447,Assumptions!$A$15:$A$18,0)),"Yes","No"))</f>
        <v>Yes</v>
      </c>
    </row>
    <row r="448" customFormat="false" ht="15" hidden="false" customHeight="false" outlineLevel="0" collapsed="false">
      <c r="A448" s="31" t="s">
        <v>598</v>
      </c>
      <c r="B448" s="44" t="n">
        <v>46210</v>
      </c>
      <c r="C448" s="31" t="s">
        <v>58</v>
      </c>
      <c r="D448" s="31" t="s">
        <v>67</v>
      </c>
      <c r="E448" s="31" t="s">
        <v>51</v>
      </c>
      <c r="F448" s="31" t="s">
        <v>134</v>
      </c>
      <c r="G448" s="31" t="n">
        <v>20</v>
      </c>
      <c r="H448" s="41" t="n">
        <v>12.5</v>
      </c>
      <c r="I448" s="31" t="s">
        <v>149</v>
      </c>
      <c r="J448" s="31"/>
      <c r="K448" s="31" t="s">
        <v>150</v>
      </c>
      <c r="L448" s="45" t="n">
        <f aca="false">DATE(YEAR(B448),MONTH(B448),1)</f>
        <v>46204</v>
      </c>
      <c r="M448" s="31" t="n">
        <f aca="false">WEEKDAY(B448,2)</f>
        <v>2</v>
      </c>
      <c r="N448" s="31" t="str">
        <f aca="false">IF(G448&lt;=INDEX(Assumptions!$B$15:$B$18,MATCH(E448,Assumptions!$A$15:$A$18,0)),"Yes","No")</f>
        <v>Yes</v>
      </c>
      <c r="O448" s="31" t="str">
        <f aca="false">IF(H448="","Open",IF(H448&lt;=INDEX(Assumptions!$C$15:$C$18,MATCH(E448,Assumptions!$A$15:$A$18,0)),"Yes","No"))</f>
        <v>Yes</v>
      </c>
    </row>
    <row r="449" customFormat="false" ht="15" hidden="false" customHeight="false" outlineLevel="0" collapsed="false">
      <c r="A449" s="31" t="s">
        <v>599</v>
      </c>
      <c r="B449" s="44" t="n">
        <v>46210</v>
      </c>
      <c r="C449" s="31" t="s">
        <v>60</v>
      </c>
      <c r="D449" s="31" t="s">
        <v>65</v>
      </c>
      <c r="E449" s="31" t="s">
        <v>49</v>
      </c>
      <c r="F449" s="31" t="s">
        <v>131</v>
      </c>
      <c r="G449" s="31" t="n">
        <v>1</v>
      </c>
      <c r="H449" s="41" t="n">
        <v>0.7</v>
      </c>
      <c r="I449" s="31" t="s">
        <v>149</v>
      </c>
      <c r="J449" s="31"/>
      <c r="K449" s="31" t="s">
        <v>150</v>
      </c>
      <c r="L449" s="45" t="n">
        <f aca="false">DATE(YEAR(B449),MONTH(B449),1)</f>
        <v>46204</v>
      </c>
      <c r="M449" s="31" t="n">
        <f aca="false">WEEKDAY(B449,2)</f>
        <v>2</v>
      </c>
      <c r="N449" s="31" t="str">
        <f aca="false">IF(G449&lt;=INDEX(Assumptions!$B$15:$B$18,MATCH(E449,Assumptions!$A$15:$A$18,0)),"Yes","No")</f>
        <v>Yes</v>
      </c>
      <c r="O449" s="31" t="str">
        <f aca="false">IF(H449="","Open",IF(H449&lt;=INDEX(Assumptions!$C$15:$C$18,MATCH(E449,Assumptions!$A$15:$A$18,0)),"Yes","No"))</f>
        <v>Yes</v>
      </c>
    </row>
    <row r="450" customFormat="false" ht="15" hidden="false" customHeight="false" outlineLevel="0" collapsed="false">
      <c r="A450" s="31" t="s">
        <v>600</v>
      </c>
      <c r="B450" s="44" t="n">
        <v>46210</v>
      </c>
      <c r="C450" s="31" t="s">
        <v>57</v>
      </c>
      <c r="D450" s="31" t="s">
        <v>66</v>
      </c>
      <c r="E450" s="31" t="s">
        <v>51</v>
      </c>
      <c r="F450" s="31" t="s">
        <v>124</v>
      </c>
      <c r="G450" s="31" t="n">
        <v>2</v>
      </c>
      <c r="H450" s="41" t="n">
        <v>2.1</v>
      </c>
      <c r="I450" s="31" t="s">
        <v>149</v>
      </c>
      <c r="J450" s="31" t="n">
        <v>5</v>
      </c>
      <c r="K450" s="31" t="s">
        <v>150</v>
      </c>
      <c r="L450" s="45" t="n">
        <f aca="false">DATE(YEAR(B450),MONTH(B450),1)</f>
        <v>46204</v>
      </c>
      <c r="M450" s="31" t="n">
        <f aca="false">WEEKDAY(B450,2)</f>
        <v>2</v>
      </c>
      <c r="N450" s="31" t="str">
        <f aca="false">IF(G450&lt;=INDEX(Assumptions!$B$15:$B$18,MATCH(E450,Assumptions!$A$15:$A$18,0)),"Yes","No")</f>
        <v>Yes</v>
      </c>
      <c r="O450" s="31" t="str">
        <f aca="false">IF(H450="","Open",IF(H450&lt;=INDEX(Assumptions!$C$15:$C$18,MATCH(E450,Assumptions!$A$15:$A$18,0)),"Yes","No"))</f>
        <v>Yes</v>
      </c>
    </row>
    <row r="451" customFormat="false" ht="15" hidden="false" customHeight="false" outlineLevel="0" collapsed="false">
      <c r="A451" s="31" t="s">
        <v>601</v>
      </c>
      <c r="B451" s="44" t="n">
        <v>46210</v>
      </c>
      <c r="C451" s="31" t="s">
        <v>57</v>
      </c>
      <c r="D451" s="31" t="s">
        <v>66</v>
      </c>
      <c r="E451" s="31" t="s">
        <v>50</v>
      </c>
      <c r="F451" s="31" t="s">
        <v>134</v>
      </c>
      <c r="G451" s="31" t="n">
        <v>13</v>
      </c>
      <c r="H451" s="41" t="n">
        <v>1.6</v>
      </c>
      <c r="I451" s="31" t="s">
        <v>149</v>
      </c>
      <c r="J451" s="31"/>
      <c r="K451" s="31" t="s">
        <v>150</v>
      </c>
      <c r="L451" s="45" t="n">
        <f aca="false">DATE(YEAR(B451),MONTH(B451),1)</f>
        <v>46204</v>
      </c>
      <c r="M451" s="31" t="n">
        <f aca="false">WEEKDAY(B451,2)</f>
        <v>2</v>
      </c>
      <c r="N451" s="31" t="str">
        <f aca="false">IF(G451&lt;=INDEX(Assumptions!$B$15:$B$18,MATCH(E451,Assumptions!$A$15:$A$18,0)),"Yes","No")</f>
        <v>Yes</v>
      </c>
      <c r="O451" s="31" t="str">
        <f aca="false">IF(H451="","Open",IF(H451&lt;=INDEX(Assumptions!$C$15:$C$18,MATCH(E451,Assumptions!$A$15:$A$18,0)),"Yes","No"))</f>
        <v>Yes</v>
      </c>
    </row>
    <row r="452" customFormat="false" ht="15" hidden="false" customHeight="false" outlineLevel="0" collapsed="false">
      <c r="A452" s="31" t="s">
        <v>602</v>
      </c>
      <c r="B452" s="44" t="n">
        <v>46210</v>
      </c>
      <c r="C452" s="31" t="s">
        <v>60</v>
      </c>
      <c r="D452" s="31" t="s">
        <v>66</v>
      </c>
      <c r="E452" s="31" t="s">
        <v>51</v>
      </c>
      <c r="F452" s="31" t="s">
        <v>137</v>
      </c>
      <c r="G452" s="31" t="n">
        <v>3</v>
      </c>
      <c r="H452" s="41" t="n">
        <v>2.4</v>
      </c>
      <c r="I452" s="31" t="s">
        <v>149</v>
      </c>
      <c r="J452" s="31" t="n">
        <v>4</v>
      </c>
      <c r="K452" s="31" t="s">
        <v>150</v>
      </c>
      <c r="L452" s="45" t="n">
        <f aca="false">DATE(YEAR(B452),MONTH(B452),1)</f>
        <v>46204</v>
      </c>
      <c r="M452" s="31" t="n">
        <f aca="false">WEEKDAY(B452,2)</f>
        <v>2</v>
      </c>
      <c r="N452" s="31" t="str">
        <f aca="false">IF(G452&lt;=INDEX(Assumptions!$B$15:$B$18,MATCH(E452,Assumptions!$A$15:$A$18,0)),"Yes","No")</f>
        <v>Yes</v>
      </c>
      <c r="O452" s="31" t="str">
        <f aca="false">IF(H452="","Open",IF(H452&lt;=INDEX(Assumptions!$C$15:$C$18,MATCH(E452,Assumptions!$A$15:$A$18,0)),"Yes","No"))</f>
        <v>Yes</v>
      </c>
    </row>
    <row r="453" customFormat="false" ht="15" hidden="false" customHeight="false" outlineLevel="0" collapsed="false">
      <c r="A453" s="31" t="s">
        <v>603</v>
      </c>
      <c r="B453" s="44" t="n">
        <v>46210</v>
      </c>
      <c r="C453" s="31" t="s">
        <v>57</v>
      </c>
      <c r="D453" s="31" t="s">
        <v>69</v>
      </c>
      <c r="E453" s="31" t="s">
        <v>51</v>
      </c>
      <c r="F453" s="31" t="s">
        <v>117</v>
      </c>
      <c r="G453" s="31" t="n">
        <v>7</v>
      </c>
      <c r="H453" s="41" t="n">
        <v>14.8</v>
      </c>
      <c r="I453" s="31" t="s">
        <v>149</v>
      </c>
      <c r="J453" s="31" t="n">
        <v>5</v>
      </c>
      <c r="K453" s="31" t="s">
        <v>150</v>
      </c>
      <c r="L453" s="45" t="n">
        <f aca="false">DATE(YEAR(B453),MONTH(B453),1)</f>
        <v>46204</v>
      </c>
      <c r="M453" s="31" t="n">
        <f aca="false">WEEKDAY(B453,2)</f>
        <v>2</v>
      </c>
      <c r="N453" s="31" t="str">
        <f aca="false">IF(G453&lt;=INDEX(Assumptions!$B$15:$B$18,MATCH(E453,Assumptions!$A$15:$A$18,0)),"Yes","No")</f>
        <v>Yes</v>
      </c>
      <c r="O453" s="31" t="str">
        <f aca="false">IF(H453="","Open",IF(H453&lt;=INDEX(Assumptions!$C$15:$C$18,MATCH(E453,Assumptions!$A$15:$A$18,0)),"Yes","No"))</f>
        <v>Yes</v>
      </c>
    </row>
    <row r="454" customFormat="false" ht="15" hidden="false" customHeight="false" outlineLevel="0" collapsed="false">
      <c r="A454" s="31" t="s">
        <v>604</v>
      </c>
      <c r="B454" s="44" t="n">
        <v>46210</v>
      </c>
      <c r="C454" s="31" t="s">
        <v>58</v>
      </c>
      <c r="D454" s="31" t="s">
        <v>67</v>
      </c>
      <c r="E454" s="31" t="s">
        <v>51</v>
      </c>
      <c r="F454" s="31" t="s">
        <v>126</v>
      </c>
      <c r="G454" s="31" t="n">
        <v>32</v>
      </c>
      <c r="H454" s="41" t="n">
        <v>11.8</v>
      </c>
      <c r="I454" s="31" t="s">
        <v>149</v>
      </c>
      <c r="J454" s="31"/>
      <c r="K454" s="31" t="s">
        <v>150</v>
      </c>
      <c r="L454" s="45" t="n">
        <f aca="false">DATE(YEAR(B454),MONTH(B454),1)</f>
        <v>46204</v>
      </c>
      <c r="M454" s="31" t="n">
        <f aca="false">WEEKDAY(B454,2)</f>
        <v>2</v>
      </c>
      <c r="N454" s="31" t="str">
        <f aca="false">IF(G454&lt;=INDEX(Assumptions!$B$15:$B$18,MATCH(E454,Assumptions!$A$15:$A$18,0)),"Yes","No")</f>
        <v>Yes</v>
      </c>
      <c r="O454" s="31" t="str">
        <f aca="false">IF(H454="","Open",IF(H454&lt;=INDEX(Assumptions!$C$15:$C$18,MATCH(E454,Assumptions!$A$15:$A$18,0)),"Yes","No"))</f>
        <v>Yes</v>
      </c>
    </row>
    <row r="455" customFormat="false" ht="15" hidden="false" customHeight="false" outlineLevel="0" collapsed="false">
      <c r="A455" s="31" t="s">
        <v>605</v>
      </c>
      <c r="B455" s="44" t="n">
        <v>46210</v>
      </c>
      <c r="C455" s="31" t="s">
        <v>57</v>
      </c>
      <c r="D455" s="31" t="s">
        <v>66</v>
      </c>
      <c r="E455" s="31" t="s">
        <v>50</v>
      </c>
      <c r="F455" s="31" t="s">
        <v>117</v>
      </c>
      <c r="G455" s="31" t="n">
        <v>6</v>
      </c>
      <c r="H455" s="41" t="n">
        <v>0.6</v>
      </c>
      <c r="I455" s="31" t="s">
        <v>149</v>
      </c>
      <c r="J455" s="31" t="n">
        <v>4</v>
      </c>
      <c r="K455" s="31" t="s">
        <v>150</v>
      </c>
      <c r="L455" s="45" t="n">
        <f aca="false">DATE(YEAR(B455),MONTH(B455),1)</f>
        <v>46204</v>
      </c>
      <c r="M455" s="31" t="n">
        <f aca="false">WEEKDAY(B455,2)</f>
        <v>2</v>
      </c>
      <c r="N455" s="31" t="str">
        <f aca="false">IF(G455&lt;=INDEX(Assumptions!$B$15:$B$18,MATCH(E455,Assumptions!$A$15:$A$18,0)),"Yes","No")</f>
        <v>Yes</v>
      </c>
      <c r="O455" s="31" t="str">
        <f aca="false">IF(H455="","Open",IF(H455&lt;=INDEX(Assumptions!$C$15:$C$18,MATCH(E455,Assumptions!$A$15:$A$18,0)),"Yes","No"))</f>
        <v>Yes</v>
      </c>
    </row>
    <row r="456" customFormat="false" ht="15" hidden="false" customHeight="false" outlineLevel="0" collapsed="false">
      <c r="A456" s="31" t="s">
        <v>606</v>
      </c>
      <c r="B456" s="44" t="n">
        <v>46210</v>
      </c>
      <c r="C456" s="31" t="s">
        <v>57</v>
      </c>
      <c r="D456" s="31" t="s">
        <v>67</v>
      </c>
      <c r="E456" s="31" t="s">
        <v>52</v>
      </c>
      <c r="F456" s="31" t="s">
        <v>127</v>
      </c>
      <c r="G456" s="31" t="n">
        <v>6</v>
      </c>
      <c r="H456" s="41" t="n">
        <v>22.8</v>
      </c>
      <c r="I456" s="31" t="s">
        <v>64</v>
      </c>
      <c r="J456" s="31"/>
      <c r="K456" s="31" t="s">
        <v>150</v>
      </c>
      <c r="L456" s="45" t="n">
        <f aca="false">DATE(YEAR(B456),MONTH(B456),1)</f>
        <v>46204</v>
      </c>
      <c r="M456" s="31" t="n">
        <f aca="false">WEEKDAY(B456,2)</f>
        <v>2</v>
      </c>
      <c r="N456" s="31" t="str">
        <f aca="false">IF(G456&lt;=INDEX(Assumptions!$B$15:$B$18,MATCH(E456,Assumptions!$A$15:$A$18,0)),"Yes","No")</f>
        <v>Yes</v>
      </c>
      <c r="O456" s="31" t="str">
        <f aca="false">IF(H456="","Open",IF(H456&lt;=INDEX(Assumptions!$C$15:$C$18,MATCH(E456,Assumptions!$A$15:$A$18,0)),"Yes","No"))</f>
        <v>Yes</v>
      </c>
    </row>
    <row r="457" customFormat="false" ht="15" hidden="false" customHeight="false" outlineLevel="0" collapsed="false">
      <c r="A457" s="31" t="s">
        <v>607</v>
      </c>
      <c r="B457" s="44" t="n">
        <v>46210</v>
      </c>
      <c r="C457" s="31" t="s">
        <v>58</v>
      </c>
      <c r="D457" s="31" t="s">
        <v>65</v>
      </c>
      <c r="E457" s="31" t="s">
        <v>52</v>
      </c>
      <c r="F457" s="31" t="s">
        <v>120</v>
      </c>
      <c r="G457" s="31" t="n">
        <v>15</v>
      </c>
      <c r="H457" s="41" t="n">
        <v>31.2</v>
      </c>
      <c r="I457" s="31" t="s">
        <v>149</v>
      </c>
      <c r="J457" s="31"/>
      <c r="K457" s="31" t="s">
        <v>150</v>
      </c>
      <c r="L457" s="45" t="n">
        <f aca="false">DATE(YEAR(B457),MONTH(B457),1)</f>
        <v>46204</v>
      </c>
      <c r="M457" s="31" t="n">
        <f aca="false">WEEKDAY(B457,2)</f>
        <v>2</v>
      </c>
      <c r="N457" s="31" t="str">
        <f aca="false">IF(G457&lt;=INDEX(Assumptions!$B$15:$B$18,MATCH(E457,Assumptions!$A$15:$A$18,0)),"Yes","No")</f>
        <v>Yes</v>
      </c>
      <c r="O457" s="31" t="str">
        <f aca="false">IF(H457="","Open",IF(H457&lt;=INDEX(Assumptions!$C$15:$C$18,MATCH(E457,Assumptions!$A$15:$A$18,0)),"Yes","No"))</f>
        <v>Yes</v>
      </c>
    </row>
    <row r="458" customFormat="false" ht="15" hidden="false" customHeight="false" outlineLevel="0" collapsed="false">
      <c r="A458" s="31" t="s">
        <v>608</v>
      </c>
      <c r="B458" s="44" t="n">
        <v>46210</v>
      </c>
      <c r="C458" s="31" t="s">
        <v>59</v>
      </c>
      <c r="D458" s="31" t="s">
        <v>65</v>
      </c>
      <c r="E458" s="31" t="s">
        <v>52</v>
      </c>
      <c r="F458" s="31" t="s">
        <v>128</v>
      </c>
      <c r="G458" s="31" t="n">
        <v>44</v>
      </c>
      <c r="H458" s="41" t="n">
        <v>21.3</v>
      </c>
      <c r="I458" s="31" t="s">
        <v>149</v>
      </c>
      <c r="J458" s="31" t="n">
        <v>4</v>
      </c>
      <c r="K458" s="31" t="s">
        <v>150</v>
      </c>
      <c r="L458" s="45" t="n">
        <f aca="false">DATE(YEAR(B458),MONTH(B458),1)</f>
        <v>46204</v>
      </c>
      <c r="M458" s="31" t="n">
        <f aca="false">WEEKDAY(B458,2)</f>
        <v>2</v>
      </c>
      <c r="N458" s="31" t="str">
        <f aca="false">IF(G458&lt;=INDEX(Assumptions!$B$15:$B$18,MATCH(E458,Assumptions!$A$15:$A$18,0)),"Yes","No")</f>
        <v>Yes</v>
      </c>
      <c r="O458" s="31" t="str">
        <f aca="false">IF(H458="","Open",IF(H458&lt;=INDEX(Assumptions!$C$15:$C$18,MATCH(E458,Assumptions!$A$15:$A$18,0)),"Yes","No"))</f>
        <v>Yes</v>
      </c>
    </row>
    <row r="459" customFormat="false" ht="15" hidden="false" customHeight="false" outlineLevel="0" collapsed="false">
      <c r="A459" s="31" t="s">
        <v>609</v>
      </c>
      <c r="B459" s="44" t="n">
        <v>46210</v>
      </c>
      <c r="C459" s="31" t="s">
        <v>60</v>
      </c>
      <c r="D459" s="31" t="s">
        <v>65</v>
      </c>
      <c r="E459" s="31" t="s">
        <v>51</v>
      </c>
      <c r="F459" s="31" t="s">
        <v>131</v>
      </c>
      <c r="G459" s="31" t="n">
        <v>2</v>
      </c>
      <c r="H459" s="41" t="n">
        <v>2.6</v>
      </c>
      <c r="I459" s="31" t="s">
        <v>149</v>
      </c>
      <c r="J459" s="31" t="n">
        <v>4</v>
      </c>
      <c r="K459" s="31" t="s">
        <v>153</v>
      </c>
      <c r="L459" s="45" t="n">
        <f aca="false">DATE(YEAR(B459),MONTH(B459),1)</f>
        <v>46204</v>
      </c>
      <c r="M459" s="31" t="n">
        <f aca="false">WEEKDAY(B459,2)</f>
        <v>2</v>
      </c>
      <c r="N459" s="31" t="str">
        <f aca="false">IF(G459&lt;=INDEX(Assumptions!$B$15:$B$18,MATCH(E459,Assumptions!$A$15:$A$18,0)),"Yes","No")</f>
        <v>Yes</v>
      </c>
      <c r="O459" s="31" t="str">
        <f aca="false">IF(H459="","Open",IF(H459&lt;=INDEX(Assumptions!$C$15:$C$18,MATCH(E459,Assumptions!$A$15:$A$18,0)),"Yes","No"))</f>
        <v>Yes</v>
      </c>
    </row>
    <row r="460" customFormat="false" ht="15" hidden="false" customHeight="false" outlineLevel="0" collapsed="false">
      <c r="A460" s="31" t="s">
        <v>610</v>
      </c>
      <c r="B460" s="44" t="n">
        <v>46210</v>
      </c>
      <c r="C460" s="31" t="s">
        <v>60</v>
      </c>
      <c r="D460" s="31" t="s">
        <v>66</v>
      </c>
      <c r="E460" s="31" t="s">
        <v>49</v>
      </c>
      <c r="F460" s="31" t="s">
        <v>129</v>
      </c>
      <c r="G460" s="31" t="n">
        <v>1</v>
      </c>
      <c r="H460" s="41" t="n">
        <v>1.1</v>
      </c>
      <c r="I460" s="31" t="s">
        <v>149</v>
      </c>
      <c r="J460" s="31"/>
      <c r="K460" s="31" t="s">
        <v>150</v>
      </c>
      <c r="L460" s="45" t="n">
        <f aca="false">DATE(YEAR(B460),MONTH(B460),1)</f>
        <v>46204</v>
      </c>
      <c r="M460" s="31" t="n">
        <f aca="false">WEEKDAY(B460,2)</f>
        <v>2</v>
      </c>
      <c r="N460" s="31" t="str">
        <f aca="false">IF(G460&lt;=INDEX(Assumptions!$B$15:$B$18,MATCH(E460,Assumptions!$A$15:$A$18,0)),"Yes","No")</f>
        <v>Yes</v>
      </c>
      <c r="O460" s="31" t="str">
        <f aca="false">IF(H460="","Open",IF(H460&lt;=INDEX(Assumptions!$C$15:$C$18,MATCH(E460,Assumptions!$A$15:$A$18,0)),"Yes","No"))</f>
        <v>Yes</v>
      </c>
    </row>
    <row r="461" customFormat="false" ht="15" hidden="false" customHeight="false" outlineLevel="0" collapsed="false">
      <c r="A461" s="31" t="s">
        <v>611</v>
      </c>
      <c r="B461" s="44" t="n">
        <v>46210</v>
      </c>
      <c r="C461" s="31" t="s">
        <v>59</v>
      </c>
      <c r="D461" s="31" t="s">
        <v>65</v>
      </c>
      <c r="E461" s="31" t="s">
        <v>51</v>
      </c>
      <c r="F461" s="31" t="s">
        <v>134</v>
      </c>
      <c r="G461" s="31" t="n">
        <v>43</v>
      </c>
      <c r="H461" s="41" t="n">
        <v>47.6</v>
      </c>
      <c r="I461" s="31" t="s">
        <v>149</v>
      </c>
      <c r="J461" s="31" t="n">
        <v>3</v>
      </c>
      <c r="K461" s="31" t="s">
        <v>150</v>
      </c>
      <c r="L461" s="45" t="n">
        <f aca="false">DATE(YEAR(B461),MONTH(B461),1)</f>
        <v>46204</v>
      </c>
      <c r="M461" s="31" t="n">
        <f aca="false">WEEKDAY(B461,2)</f>
        <v>2</v>
      </c>
      <c r="N461" s="31" t="str">
        <f aca="false">IF(G461&lt;=INDEX(Assumptions!$B$15:$B$18,MATCH(E461,Assumptions!$A$15:$A$18,0)),"Yes","No")</f>
        <v>Yes</v>
      </c>
      <c r="O461" s="31" t="str">
        <f aca="false">IF(H461="","Open",IF(H461&lt;=INDEX(Assumptions!$C$15:$C$18,MATCH(E461,Assumptions!$A$15:$A$18,0)),"Yes","No"))</f>
        <v>No</v>
      </c>
    </row>
    <row r="462" customFormat="false" ht="15" hidden="false" customHeight="false" outlineLevel="0" collapsed="false">
      <c r="A462" s="31" t="s">
        <v>612</v>
      </c>
      <c r="B462" s="44" t="n">
        <v>46210</v>
      </c>
      <c r="C462" s="31" t="s">
        <v>60</v>
      </c>
      <c r="D462" s="31" t="s">
        <v>66</v>
      </c>
      <c r="E462" s="31" t="s">
        <v>51</v>
      </c>
      <c r="F462" s="31" t="s">
        <v>130</v>
      </c>
      <c r="G462" s="31" t="n">
        <v>4</v>
      </c>
      <c r="H462" s="41" t="n">
        <v>1.6</v>
      </c>
      <c r="I462" s="31" t="s">
        <v>149</v>
      </c>
      <c r="J462" s="31" t="n">
        <v>4</v>
      </c>
      <c r="K462" s="31" t="s">
        <v>150</v>
      </c>
      <c r="L462" s="45" t="n">
        <f aca="false">DATE(YEAR(B462),MONTH(B462),1)</f>
        <v>46204</v>
      </c>
      <c r="M462" s="31" t="n">
        <f aca="false">WEEKDAY(B462,2)</f>
        <v>2</v>
      </c>
      <c r="N462" s="31" t="str">
        <f aca="false">IF(G462&lt;=INDEX(Assumptions!$B$15:$B$18,MATCH(E462,Assumptions!$A$15:$A$18,0)),"Yes","No")</f>
        <v>Yes</v>
      </c>
      <c r="O462" s="31" t="str">
        <f aca="false">IF(H462="","Open",IF(H462&lt;=INDEX(Assumptions!$C$15:$C$18,MATCH(E462,Assumptions!$A$15:$A$18,0)),"Yes","No"))</f>
        <v>Yes</v>
      </c>
    </row>
    <row r="463" customFormat="false" ht="15" hidden="false" customHeight="false" outlineLevel="0" collapsed="false">
      <c r="A463" s="31" t="s">
        <v>613</v>
      </c>
      <c r="B463" s="44" t="n">
        <v>46210</v>
      </c>
      <c r="C463" s="31" t="s">
        <v>60</v>
      </c>
      <c r="D463" s="31" t="s">
        <v>68</v>
      </c>
      <c r="E463" s="31" t="s">
        <v>51</v>
      </c>
      <c r="F463" s="31" t="s">
        <v>137</v>
      </c>
      <c r="G463" s="31" t="n">
        <v>1</v>
      </c>
      <c r="H463" s="41" t="n">
        <v>3.9</v>
      </c>
      <c r="I463" s="31" t="s">
        <v>149</v>
      </c>
      <c r="J463" s="31" t="n">
        <v>4</v>
      </c>
      <c r="K463" s="31" t="s">
        <v>150</v>
      </c>
      <c r="L463" s="45" t="n">
        <f aca="false">DATE(YEAR(B463),MONTH(B463),1)</f>
        <v>46204</v>
      </c>
      <c r="M463" s="31" t="n">
        <f aca="false">WEEKDAY(B463,2)</f>
        <v>2</v>
      </c>
      <c r="N463" s="31" t="str">
        <f aca="false">IF(G463&lt;=INDEX(Assumptions!$B$15:$B$18,MATCH(E463,Assumptions!$A$15:$A$18,0)),"Yes","No")</f>
        <v>Yes</v>
      </c>
      <c r="O463" s="31" t="str">
        <f aca="false">IF(H463="","Open",IF(H463&lt;=INDEX(Assumptions!$C$15:$C$18,MATCH(E463,Assumptions!$A$15:$A$18,0)),"Yes","No"))</f>
        <v>Yes</v>
      </c>
    </row>
    <row r="464" customFormat="false" ht="15" hidden="false" customHeight="false" outlineLevel="0" collapsed="false">
      <c r="A464" s="31" t="s">
        <v>614</v>
      </c>
      <c r="B464" s="44" t="n">
        <v>46210</v>
      </c>
      <c r="C464" s="31" t="s">
        <v>57</v>
      </c>
      <c r="D464" s="31" t="s">
        <v>65</v>
      </c>
      <c r="E464" s="31" t="s">
        <v>52</v>
      </c>
      <c r="F464" s="31" t="s">
        <v>134</v>
      </c>
      <c r="G464" s="31" t="n">
        <v>8</v>
      </c>
      <c r="H464" s="41" t="n">
        <v>8.4</v>
      </c>
      <c r="I464" s="31" t="s">
        <v>149</v>
      </c>
      <c r="J464" s="31"/>
      <c r="K464" s="31" t="s">
        <v>150</v>
      </c>
      <c r="L464" s="45" t="n">
        <f aca="false">DATE(YEAR(B464),MONTH(B464),1)</f>
        <v>46204</v>
      </c>
      <c r="M464" s="31" t="n">
        <f aca="false">WEEKDAY(B464,2)</f>
        <v>2</v>
      </c>
      <c r="N464" s="31" t="str">
        <f aca="false">IF(G464&lt;=INDEX(Assumptions!$B$15:$B$18,MATCH(E464,Assumptions!$A$15:$A$18,0)),"Yes","No")</f>
        <v>Yes</v>
      </c>
      <c r="O464" s="31" t="str">
        <f aca="false">IF(H464="","Open",IF(H464&lt;=INDEX(Assumptions!$C$15:$C$18,MATCH(E464,Assumptions!$A$15:$A$18,0)),"Yes","No"))</f>
        <v>Yes</v>
      </c>
    </row>
    <row r="465" customFormat="false" ht="15" hidden="false" customHeight="false" outlineLevel="0" collapsed="false">
      <c r="A465" s="31" t="s">
        <v>615</v>
      </c>
      <c r="B465" s="44" t="n">
        <v>46210</v>
      </c>
      <c r="C465" s="31" t="s">
        <v>59</v>
      </c>
      <c r="D465" s="31" t="s">
        <v>66</v>
      </c>
      <c r="E465" s="31" t="s">
        <v>52</v>
      </c>
      <c r="F465" s="31" t="s">
        <v>122</v>
      </c>
      <c r="G465" s="31" t="n">
        <v>66</v>
      </c>
      <c r="H465" s="41" t="n">
        <v>32.2</v>
      </c>
      <c r="I465" s="31" t="s">
        <v>149</v>
      </c>
      <c r="J465" s="31" t="n">
        <v>4</v>
      </c>
      <c r="K465" s="31" t="s">
        <v>150</v>
      </c>
      <c r="L465" s="45" t="n">
        <f aca="false">DATE(YEAR(B465),MONTH(B465),1)</f>
        <v>46204</v>
      </c>
      <c r="M465" s="31" t="n">
        <f aca="false">WEEKDAY(B465,2)</f>
        <v>2</v>
      </c>
      <c r="N465" s="31" t="str">
        <f aca="false">IF(G465&lt;=INDEX(Assumptions!$B$15:$B$18,MATCH(E465,Assumptions!$A$15:$A$18,0)),"Yes","No")</f>
        <v>Yes</v>
      </c>
      <c r="O465" s="31" t="str">
        <f aca="false">IF(H465="","Open",IF(H465&lt;=INDEX(Assumptions!$C$15:$C$18,MATCH(E465,Assumptions!$A$15:$A$18,0)),"Yes","No"))</f>
        <v>Yes</v>
      </c>
    </row>
    <row r="466" customFormat="false" ht="15" hidden="false" customHeight="false" outlineLevel="0" collapsed="false">
      <c r="A466" s="31" t="s">
        <v>616</v>
      </c>
      <c r="B466" s="44" t="n">
        <v>46210</v>
      </c>
      <c r="C466" s="31" t="s">
        <v>58</v>
      </c>
      <c r="D466" s="31" t="s">
        <v>69</v>
      </c>
      <c r="E466" s="31" t="s">
        <v>52</v>
      </c>
      <c r="F466" s="31" t="s">
        <v>119</v>
      </c>
      <c r="G466" s="31" t="n">
        <v>19</v>
      </c>
      <c r="H466" s="41" t="n">
        <v>11.2</v>
      </c>
      <c r="I466" s="31" t="s">
        <v>149</v>
      </c>
      <c r="J466" s="31"/>
      <c r="K466" s="31" t="s">
        <v>150</v>
      </c>
      <c r="L466" s="45" t="n">
        <f aca="false">DATE(YEAR(B466),MONTH(B466),1)</f>
        <v>46204</v>
      </c>
      <c r="M466" s="31" t="n">
        <f aca="false">WEEKDAY(B466,2)</f>
        <v>2</v>
      </c>
      <c r="N466" s="31" t="str">
        <f aca="false">IF(G466&lt;=INDEX(Assumptions!$B$15:$B$18,MATCH(E466,Assumptions!$A$15:$A$18,0)),"Yes","No")</f>
        <v>Yes</v>
      </c>
      <c r="O466" s="31" t="str">
        <f aca="false">IF(H466="","Open",IF(H466&lt;=INDEX(Assumptions!$C$15:$C$18,MATCH(E466,Assumptions!$A$15:$A$18,0)),"Yes","No"))</f>
        <v>Yes</v>
      </c>
    </row>
    <row r="467" customFormat="false" ht="15" hidden="false" customHeight="false" outlineLevel="0" collapsed="false">
      <c r="A467" s="31" t="s">
        <v>617</v>
      </c>
      <c r="B467" s="44" t="n">
        <v>46210</v>
      </c>
      <c r="C467" s="31" t="s">
        <v>57</v>
      </c>
      <c r="D467" s="31" t="s">
        <v>65</v>
      </c>
      <c r="E467" s="31" t="s">
        <v>52</v>
      </c>
      <c r="F467" s="31" t="s">
        <v>133</v>
      </c>
      <c r="G467" s="31" t="n">
        <v>2</v>
      </c>
      <c r="H467" s="41" t="n">
        <v>10.7</v>
      </c>
      <c r="I467" s="31" t="s">
        <v>149</v>
      </c>
      <c r="J467" s="31"/>
      <c r="K467" s="31" t="s">
        <v>150</v>
      </c>
      <c r="L467" s="45" t="n">
        <f aca="false">DATE(YEAR(B467),MONTH(B467),1)</f>
        <v>46204</v>
      </c>
      <c r="M467" s="31" t="n">
        <f aca="false">WEEKDAY(B467,2)</f>
        <v>2</v>
      </c>
      <c r="N467" s="31" t="str">
        <f aca="false">IF(G467&lt;=INDEX(Assumptions!$B$15:$B$18,MATCH(E467,Assumptions!$A$15:$A$18,0)),"Yes","No")</f>
        <v>Yes</v>
      </c>
      <c r="O467" s="31" t="str">
        <f aca="false">IF(H467="","Open",IF(H467&lt;=INDEX(Assumptions!$C$15:$C$18,MATCH(E467,Assumptions!$A$15:$A$18,0)),"Yes","No"))</f>
        <v>Yes</v>
      </c>
    </row>
    <row r="468" customFormat="false" ht="15" hidden="false" customHeight="false" outlineLevel="0" collapsed="false">
      <c r="A468" s="31" t="s">
        <v>618</v>
      </c>
      <c r="B468" s="44" t="n">
        <v>46210</v>
      </c>
      <c r="C468" s="31" t="s">
        <v>57</v>
      </c>
      <c r="D468" s="31" t="s">
        <v>67</v>
      </c>
      <c r="E468" s="31" t="s">
        <v>52</v>
      </c>
      <c r="F468" s="31" t="s">
        <v>117</v>
      </c>
      <c r="G468" s="31" t="n">
        <v>3</v>
      </c>
      <c r="H468" s="41" t="n">
        <v>25</v>
      </c>
      <c r="I468" s="31" t="s">
        <v>149</v>
      </c>
      <c r="J468" s="31"/>
      <c r="K468" s="31" t="s">
        <v>150</v>
      </c>
      <c r="L468" s="45" t="n">
        <f aca="false">DATE(YEAR(B468),MONTH(B468),1)</f>
        <v>46204</v>
      </c>
      <c r="M468" s="31" t="n">
        <f aca="false">WEEKDAY(B468,2)</f>
        <v>2</v>
      </c>
      <c r="N468" s="31" t="str">
        <f aca="false">IF(G468&lt;=INDEX(Assumptions!$B$15:$B$18,MATCH(E468,Assumptions!$A$15:$A$18,0)),"Yes","No")</f>
        <v>Yes</v>
      </c>
      <c r="O468" s="31" t="str">
        <f aca="false">IF(H468="","Open",IF(H468&lt;=INDEX(Assumptions!$C$15:$C$18,MATCH(E468,Assumptions!$A$15:$A$18,0)),"Yes","No"))</f>
        <v>Yes</v>
      </c>
    </row>
    <row r="469" customFormat="false" ht="15" hidden="false" customHeight="false" outlineLevel="0" collapsed="false">
      <c r="A469" s="31" t="s">
        <v>619</v>
      </c>
      <c r="B469" s="44" t="n">
        <v>46210</v>
      </c>
      <c r="C469" s="31" t="s">
        <v>58</v>
      </c>
      <c r="D469" s="31" t="s">
        <v>69</v>
      </c>
      <c r="E469" s="31" t="s">
        <v>51</v>
      </c>
      <c r="F469" s="31" t="s">
        <v>126</v>
      </c>
      <c r="G469" s="31" t="n">
        <v>8</v>
      </c>
      <c r="H469" s="41" t="n">
        <v>19.9</v>
      </c>
      <c r="I469" s="31" t="s">
        <v>149</v>
      </c>
      <c r="J469" s="31"/>
      <c r="K469" s="31" t="s">
        <v>153</v>
      </c>
      <c r="L469" s="45" t="n">
        <f aca="false">DATE(YEAR(B469),MONTH(B469),1)</f>
        <v>46204</v>
      </c>
      <c r="M469" s="31" t="n">
        <f aca="false">WEEKDAY(B469,2)</f>
        <v>2</v>
      </c>
      <c r="N469" s="31" t="str">
        <f aca="false">IF(G469&lt;=INDEX(Assumptions!$B$15:$B$18,MATCH(E469,Assumptions!$A$15:$A$18,0)),"Yes","No")</f>
        <v>Yes</v>
      </c>
      <c r="O469" s="31" t="str">
        <f aca="false">IF(H469="","Open",IF(H469&lt;=INDEX(Assumptions!$C$15:$C$18,MATCH(E469,Assumptions!$A$15:$A$18,0)),"Yes","No"))</f>
        <v>Yes</v>
      </c>
    </row>
    <row r="470" customFormat="false" ht="15" hidden="false" customHeight="false" outlineLevel="0" collapsed="false">
      <c r="A470" s="31" t="s">
        <v>620</v>
      </c>
      <c r="B470" s="44" t="n">
        <v>46210</v>
      </c>
      <c r="C470" s="31" t="s">
        <v>60</v>
      </c>
      <c r="D470" s="31" t="s">
        <v>65</v>
      </c>
      <c r="E470" s="31" t="s">
        <v>51</v>
      </c>
      <c r="F470" s="31" t="s">
        <v>136</v>
      </c>
      <c r="G470" s="31" t="n">
        <v>1</v>
      </c>
      <c r="H470" s="41" t="n">
        <v>3.6</v>
      </c>
      <c r="I470" s="31" t="s">
        <v>149</v>
      </c>
      <c r="J470" s="31" t="n">
        <v>4</v>
      </c>
      <c r="K470" s="31" t="s">
        <v>150</v>
      </c>
      <c r="L470" s="45" t="n">
        <f aca="false">DATE(YEAR(B470),MONTH(B470),1)</f>
        <v>46204</v>
      </c>
      <c r="M470" s="31" t="n">
        <f aca="false">WEEKDAY(B470,2)</f>
        <v>2</v>
      </c>
      <c r="N470" s="31" t="str">
        <f aca="false">IF(G470&lt;=INDEX(Assumptions!$B$15:$B$18,MATCH(E470,Assumptions!$A$15:$A$18,0)),"Yes","No")</f>
        <v>Yes</v>
      </c>
      <c r="O470" s="31" t="str">
        <f aca="false">IF(H470="","Open",IF(H470&lt;=INDEX(Assumptions!$C$15:$C$18,MATCH(E470,Assumptions!$A$15:$A$18,0)),"Yes","No"))</f>
        <v>Yes</v>
      </c>
    </row>
    <row r="471" customFormat="false" ht="15" hidden="false" customHeight="false" outlineLevel="0" collapsed="false">
      <c r="A471" s="31" t="s">
        <v>621</v>
      </c>
      <c r="B471" s="44" t="n">
        <v>46210</v>
      </c>
      <c r="C471" s="31" t="s">
        <v>58</v>
      </c>
      <c r="D471" s="31" t="s">
        <v>66</v>
      </c>
      <c r="E471" s="31" t="s">
        <v>51</v>
      </c>
      <c r="F471" s="31" t="s">
        <v>117</v>
      </c>
      <c r="G471" s="31" t="n">
        <v>4</v>
      </c>
      <c r="H471" s="41" t="n">
        <v>1.1</v>
      </c>
      <c r="I471" s="31" t="s">
        <v>149</v>
      </c>
      <c r="J471" s="31" t="n">
        <v>5</v>
      </c>
      <c r="K471" s="31" t="s">
        <v>150</v>
      </c>
      <c r="L471" s="45" t="n">
        <f aca="false">DATE(YEAR(B471),MONTH(B471),1)</f>
        <v>46204</v>
      </c>
      <c r="M471" s="31" t="n">
        <f aca="false">WEEKDAY(B471,2)</f>
        <v>2</v>
      </c>
      <c r="N471" s="31" t="str">
        <f aca="false">IF(G471&lt;=INDEX(Assumptions!$B$15:$B$18,MATCH(E471,Assumptions!$A$15:$A$18,0)),"Yes","No")</f>
        <v>Yes</v>
      </c>
      <c r="O471" s="31" t="str">
        <f aca="false">IF(H471="","Open",IF(H471&lt;=INDEX(Assumptions!$C$15:$C$18,MATCH(E471,Assumptions!$A$15:$A$18,0)),"Yes","No"))</f>
        <v>Yes</v>
      </c>
    </row>
    <row r="472" customFormat="false" ht="15" hidden="false" customHeight="false" outlineLevel="0" collapsed="false">
      <c r="A472" s="31" t="s">
        <v>622</v>
      </c>
      <c r="B472" s="44" t="n">
        <v>46210</v>
      </c>
      <c r="C472" s="31" t="s">
        <v>59</v>
      </c>
      <c r="D472" s="31" t="s">
        <v>67</v>
      </c>
      <c r="E472" s="31" t="s">
        <v>52</v>
      </c>
      <c r="F472" s="31" t="s">
        <v>119</v>
      </c>
      <c r="G472" s="31" t="n">
        <v>193</v>
      </c>
      <c r="H472" s="41" t="n">
        <v>12.3</v>
      </c>
      <c r="I472" s="31" t="s">
        <v>149</v>
      </c>
      <c r="J472" s="31"/>
      <c r="K472" s="31" t="s">
        <v>150</v>
      </c>
      <c r="L472" s="45" t="n">
        <f aca="false">DATE(YEAR(B472),MONTH(B472),1)</f>
        <v>46204</v>
      </c>
      <c r="M472" s="31" t="n">
        <f aca="false">WEEKDAY(B472,2)</f>
        <v>2</v>
      </c>
      <c r="N472" s="31" t="str">
        <f aca="false">IF(G472&lt;=INDEX(Assumptions!$B$15:$B$18,MATCH(E472,Assumptions!$A$15:$A$18,0)),"Yes","No")</f>
        <v>Yes</v>
      </c>
      <c r="O472" s="31" t="str">
        <f aca="false">IF(H472="","Open",IF(H472&lt;=INDEX(Assumptions!$C$15:$C$18,MATCH(E472,Assumptions!$A$15:$A$18,0)),"Yes","No"))</f>
        <v>Yes</v>
      </c>
    </row>
    <row r="473" customFormat="false" ht="15" hidden="false" customHeight="false" outlineLevel="0" collapsed="false">
      <c r="A473" s="31" t="s">
        <v>623</v>
      </c>
      <c r="B473" s="44" t="n">
        <v>46210</v>
      </c>
      <c r="C473" s="31" t="s">
        <v>59</v>
      </c>
      <c r="D473" s="31" t="s">
        <v>67</v>
      </c>
      <c r="E473" s="31" t="s">
        <v>51</v>
      </c>
      <c r="F473" s="31" t="s">
        <v>123</v>
      </c>
      <c r="G473" s="31" t="n">
        <v>92</v>
      </c>
      <c r="H473" s="41" t="n">
        <v>6.2</v>
      </c>
      <c r="I473" s="31" t="s">
        <v>149</v>
      </c>
      <c r="J473" s="31" t="n">
        <v>4</v>
      </c>
      <c r="K473" s="31" t="s">
        <v>150</v>
      </c>
      <c r="L473" s="45" t="n">
        <f aca="false">DATE(YEAR(B473),MONTH(B473),1)</f>
        <v>46204</v>
      </c>
      <c r="M473" s="31" t="n">
        <f aca="false">WEEKDAY(B473,2)</f>
        <v>2</v>
      </c>
      <c r="N473" s="31" t="str">
        <f aca="false">IF(G473&lt;=INDEX(Assumptions!$B$15:$B$18,MATCH(E473,Assumptions!$A$15:$A$18,0)),"Yes","No")</f>
        <v>No</v>
      </c>
      <c r="O473" s="31" t="str">
        <f aca="false">IF(H473="","Open",IF(H473&lt;=INDEX(Assumptions!$C$15:$C$18,MATCH(E473,Assumptions!$A$15:$A$18,0)),"Yes","No"))</f>
        <v>Yes</v>
      </c>
    </row>
    <row r="474" customFormat="false" ht="15" hidden="false" customHeight="false" outlineLevel="0" collapsed="false">
      <c r="A474" s="31" t="s">
        <v>624</v>
      </c>
      <c r="B474" s="44" t="n">
        <v>46210</v>
      </c>
      <c r="C474" s="31" t="s">
        <v>58</v>
      </c>
      <c r="D474" s="31" t="s">
        <v>67</v>
      </c>
      <c r="E474" s="31" t="s">
        <v>51</v>
      </c>
      <c r="F474" s="31" t="s">
        <v>117</v>
      </c>
      <c r="G474" s="31" t="n">
        <v>6</v>
      </c>
      <c r="H474" s="41" t="n">
        <v>7.8</v>
      </c>
      <c r="I474" s="31" t="s">
        <v>149</v>
      </c>
      <c r="J474" s="31" t="n">
        <v>4</v>
      </c>
      <c r="K474" s="31" t="s">
        <v>150</v>
      </c>
      <c r="L474" s="45" t="n">
        <f aca="false">DATE(YEAR(B474),MONTH(B474),1)</f>
        <v>46204</v>
      </c>
      <c r="M474" s="31" t="n">
        <f aca="false">WEEKDAY(B474,2)</f>
        <v>2</v>
      </c>
      <c r="N474" s="31" t="str">
        <f aca="false">IF(G474&lt;=INDEX(Assumptions!$B$15:$B$18,MATCH(E474,Assumptions!$A$15:$A$18,0)),"Yes","No")</f>
        <v>Yes</v>
      </c>
      <c r="O474" s="31" t="str">
        <f aca="false">IF(H474="","Open",IF(H474&lt;=INDEX(Assumptions!$C$15:$C$18,MATCH(E474,Assumptions!$A$15:$A$18,0)),"Yes","No"))</f>
        <v>Yes</v>
      </c>
    </row>
    <row r="475" customFormat="false" ht="15" hidden="false" customHeight="false" outlineLevel="0" collapsed="false">
      <c r="A475" s="31" t="s">
        <v>625</v>
      </c>
      <c r="B475" s="44" t="n">
        <v>46210</v>
      </c>
      <c r="C475" s="31" t="s">
        <v>59</v>
      </c>
      <c r="D475" s="31" t="s">
        <v>65</v>
      </c>
      <c r="E475" s="31" t="s">
        <v>51</v>
      </c>
      <c r="F475" s="31" t="s">
        <v>121</v>
      </c>
      <c r="G475" s="31" t="n">
        <v>189</v>
      </c>
      <c r="H475" s="41" t="n">
        <v>23.7</v>
      </c>
      <c r="I475" s="31" t="s">
        <v>149</v>
      </c>
      <c r="J475" s="31"/>
      <c r="K475" s="31" t="s">
        <v>150</v>
      </c>
      <c r="L475" s="45" t="n">
        <f aca="false">DATE(YEAR(B475),MONTH(B475),1)</f>
        <v>46204</v>
      </c>
      <c r="M475" s="31" t="n">
        <f aca="false">WEEKDAY(B475,2)</f>
        <v>2</v>
      </c>
      <c r="N475" s="31" t="str">
        <f aca="false">IF(G475&lt;=INDEX(Assumptions!$B$15:$B$18,MATCH(E475,Assumptions!$A$15:$A$18,0)),"Yes","No")</f>
        <v>No</v>
      </c>
      <c r="O475" s="31" t="str">
        <f aca="false">IF(H475="","Open",IF(H475&lt;=INDEX(Assumptions!$C$15:$C$18,MATCH(E475,Assumptions!$A$15:$A$18,0)),"Yes","No"))</f>
        <v>Yes</v>
      </c>
    </row>
    <row r="476" customFormat="false" ht="15" hidden="false" customHeight="false" outlineLevel="0" collapsed="false">
      <c r="A476" s="31" t="s">
        <v>626</v>
      </c>
      <c r="B476" s="44" t="n">
        <v>46210</v>
      </c>
      <c r="C476" s="31" t="s">
        <v>59</v>
      </c>
      <c r="D476" s="31" t="s">
        <v>65</v>
      </c>
      <c r="E476" s="31" t="s">
        <v>51</v>
      </c>
      <c r="F476" s="31" t="s">
        <v>133</v>
      </c>
      <c r="G476" s="31" t="n">
        <v>32</v>
      </c>
      <c r="H476" s="41" t="n">
        <v>10.6</v>
      </c>
      <c r="I476" s="31" t="s">
        <v>149</v>
      </c>
      <c r="J476" s="31"/>
      <c r="K476" s="31" t="s">
        <v>150</v>
      </c>
      <c r="L476" s="45" t="n">
        <f aca="false">DATE(YEAR(B476),MONTH(B476),1)</f>
        <v>46204</v>
      </c>
      <c r="M476" s="31" t="n">
        <f aca="false">WEEKDAY(B476,2)</f>
        <v>2</v>
      </c>
      <c r="N476" s="31" t="str">
        <f aca="false">IF(G476&lt;=INDEX(Assumptions!$B$15:$B$18,MATCH(E476,Assumptions!$A$15:$A$18,0)),"Yes","No")</f>
        <v>Yes</v>
      </c>
      <c r="O476" s="31" t="str">
        <f aca="false">IF(H476="","Open",IF(H476&lt;=INDEX(Assumptions!$C$15:$C$18,MATCH(E476,Assumptions!$A$15:$A$18,0)),"Yes","No"))</f>
        <v>Yes</v>
      </c>
    </row>
    <row r="477" customFormat="false" ht="15" hidden="false" customHeight="false" outlineLevel="0" collapsed="false">
      <c r="A477" s="31" t="s">
        <v>627</v>
      </c>
      <c r="B477" s="44" t="n">
        <v>46210</v>
      </c>
      <c r="C477" s="31" t="s">
        <v>57</v>
      </c>
      <c r="D477" s="31" t="s">
        <v>66</v>
      </c>
      <c r="E477" s="31" t="s">
        <v>51</v>
      </c>
      <c r="F477" s="31" t="s">
        <v>134</v>
      </c>
      <c r="G477" s="31" t="n">
        <v>40</v>
      </c>
      <c r="H477" s="41" t="n">
        <v>2.1</v>
      </c>
      <c r="I477" s="31" t="s">
        <v>149</v>
      </c>
      <c r="J477" s="31"/>
      <c r="K477" s="31" t="s">
        <v>150</v>
      </c>
      <c r="L477" s="45" t="n">
        <f aca="false">DATE(YEAR(B477),MONTH(B477),1)</f>
        <v>46204</v>
      </c>
      <c r="M477" s="31" t="n">
        <f aca="false">WEEKDAY(B477,2)</f>
        <v>2</v>
      </c>
      <c r="N477" s="31" t="str">
        <f aca="false">IF(G477&lt;=INDEX(Assumptions!$B$15:$B$18,MATCH(E477,Assumptions!$A$15:$A$18,0)),"Yes","No")</f>
        <v>Yes</v>
      </c>
      <c r="O477" s="31" t="str">
        <f aca="false">IF(H477="","Open",IF(H477&lt;=INDEX(Assumptions!$C$15:$C$18,MATCH(E477,Assumptions!$A$15:$A$18,0)),"Yes","No"))</f>
        <v>Yes</v>
      </c>
    </row>
    <row r="478" customFormat="false" ht="15" hidden="false" customHeight="false" outlineLevel="0" collapsed="false">
      <c r="A478" s="31" t="s">
        <v>628</v>
      </c>
      <c r="B478" s="44" t="n">
        <v>46210</v>
      </c>
      <c r="C478" s="31" t="s">
        <v>59</v>
      </c>
      <c r="D478" s="31" t="s">
        <v>67</v>
      </c>
      <c r="E478" s="31" t="s">
        <v>52</v>
      </c>
      <c r="F478" s="31" t="s">
        <v>117</v>
      </c>
      <c r="G478" s="31" t="n">
        <v>71</v>
      </c>
      <c r="H478" s="41" t="n">
        <v>46.3</v>
      </c>
      <c r="I478" s="31" t="s">
        <v>149</v>
      </c>
      <c r="J478" s="31"/>
      <c r="K478" s="31" t="s">
        <v>150</v>
      </c>
      <c r="L478" s="45" t="n">
        <f aca="false">DATE(YEAR(B478),MONTH(B478),1)</f>
        <v>46204</v>
      </c>
      <c r="M478" s="31" t="n">
        <f aca="false">WEEKDAY(B478,2)</f>
        <v>2</v>
      </c>
      <c r="N478" s="31" t="str">
        <f aca="false">IF(G478&lt;=INDEX(Assumptions!$B$15:$B$18,MATCH(E478,Assumptions!$A$15:$A$18,0)),"Yes","No")</f>
        <v>Yes</v>
      </c>
      <c r="O478" s="31" t="str">
        <f aca="false">IF(H478="","Open",IF(H478&lt;=INDEX(Assumptions!$C$15:$C$18,MATCH(E478,Assumptions!$A$15:$A$18,0)),"Yes","No"))</f>
        <v>Yes</v>
      </c>
    </row>
    <row r="479" customFormat="false" ht="15" hidden="false" customHeight="false" outlineLevel="0" collapsed="false">
      <c r="A479" s="31" t="s">
        <v>629</v>
      </c>
      <c r="B479" s="44" t="n">
        <v>46210</v>
      </c>
      <c r="C479" s="31" t="s">
        <v>58</v>
      </c>
      <c r="D479" s="31" t="s">
        <v>68</v>
      </c>
      <c r="E479" s="31" t="s">
        <v>51</v>
      </c>
      <c r="F479" s="31" t="s">
        <v>122</v>
      </c>
      <c r="G479" s="31" t="n">
        <v>9</v>
      </c>
      <c r="H479" s="41" t="n">
        <v>2.5</v>
      </c>
      <c r="I479" s="31" t="s">
        <v>149</v>
      </c>
      <c r="J479" s="31" t="n">
        <v>4</v>
      </c>
      <c r="K479" s="31" t="s">
        <v>150</v>
      </c>
      <c r="L479" s="45" t="n">
        <f aca="false">DATE(YEAR(B479),MONTH(B479),1)</f>
        <v>46204</v>
      </c>
      <c r="M479" s="31" t="n">
        <f aca="false">WEEKDAY(B479,2)</f>
        <v>2</v>
      </c>
      <c r="N479" s="31" t="str">
        <f aca="false">IF(G479&lt;=INDEX(Assumptions!$B$15:$B$18,MATCH(E479,Assumptions!$A$15:$A$18,0)),"Yes","No")</f>
        <v>Yes</v>
      </c>
      <c r="O479" s="31" t="str">
        <f aca="false">IF(H479="","Open",IF(H479&lt;=INDEX(Assumptions!$C$15:$C$18,MATCH(E479,Assumptions!$A$15:$A$18,0)),"Yes","No"))</f>
        <v>Yes</v>
      </c>
    </row>
    <row r="480" customFormat="false" ht="15" hidden="false" customHeight="false" outlineLevel="0" collapsed="false">
      <c r="A480" s="31" t="s">
        <v>630</v>
      </c>
      <c r="B480" s="44" t="n">
        <v>46210</v>
      </c>
      <c r="C480" s="31" t="s">
        <v>57</v>
      </c>
      <c r="D480" s="31" t="s">
        <v>68</v>
      </c>
      <c r="E480" s="31" t="s">
        <v>51</v>
      </c>
      <c r="F480" s="31" t="s">
        <v>127</v>
      </c>
      <c r="G480" s="31" t="n">
        <v>10</v>
      </c>
      <c r="H480" s="41" t="n">
        <v>1</v>
      </c>
      <c r="I480" s="31" t="s">
        <v>149</v>
      </c>
      <c r="J480" s="31" t="n">
        <v>4</v>
      </c>
      <c r="K480" s="31" t="s">
        <v>150</v>
      </c>
      <c r="L480" s="45" t="n">
        <f aca="false">DATE(YEAR(B480),MONTH(B480),1)</f>
        <v>46204</v>
      </c>
      <c r="M480" s="31" t="n">
        <f aca="false">WEEKDAY(B480,2)</f>
        <v>2</v>
      </c>
      <c r="N480" s="31" t="str">
        <f aca="false">IF(G480&lt;=INDEX(Assumptions!$B$15:$B$18,MATCH(E480,Assumptions!$A$15:$A$18,0)),"Yes","No")</f>
        <v>Yes</v>
      </c>
      <c r="O480" s="31" t="str">
        <f aca="false">IF(H480="","Open",IF(H480&lt;=INDEX(Assumptions!$C$15:$C$18,MATCH(E480,Assumptions!$A$15:$A$18,0)),"Yes","No"))</f>
        <v>Yes</v>
      </c>
    </row>
    <row r="481" customFormat="false" ht="15" hidden="false" customHeight="false" outlineLevel="0" collapsed="false">
      <c r="A481" s="31" t="s">
        <v>631</v>
      </c>
      <c r="B481" s="44" t="n">
        <v>46210</v>
      </c>
      <c r="C481" s="31" t="s">
        <v>60</v>
      </c>
      <c r="D481" s="31" t="s">
        <v>65</v>
      </c>
      <c r="E481" s="31" t="s">
        <v>51</v>
      </c>
      <c r="F481" s="31" t="s">
        <v>137</v>
      </c>
      <c r="G481" s="31" t="n">
        <v>8</v>
      </c>
      <c r="H481" s="41" t="n">
        <v>11.7</v>
      </c>
      <c r="I481" s="31" t="s">
        <v>149</v>
      </c>
      <c r="J481" s="31"/>
      <c r="K481" s="31" t="s">
        <v>150</v>
      </c>
      <c r="L481" s="45" t="n">
        <f aca="false">DATE(YEAR(B481),MONTH(B481),1)</f>
        <v>46204</v>
      </c>
      <c r="M481" s="31" t="n">
        <f aca="false">WEEKDAY(B481,2)</f>
        <v>2</v>
      </c>
      <c r="N481" s="31" t="str">
        <f aca="false">IF(G481&lt;=INDEX(Assumptions!$B$15:$B$18,MATCH(E481,Assumptions!$A$15:$A$18,0)),"Yes","No")</f>
        <v>Yes</v>
      </c>
      <c r="O481" s="31" t="str">
        <f aca="false">IF(H481="","Open",IF(H481&lt;=INDEX(Assumptions!$C$15:$C$18,MATCH(E481,Assumptions!$A$15:$A$18,0)),"Yes","No"))</f>
        <v>Yes</v>
      </c>
    </row>
    <row r="482" customFormat="false" ht="15" hidden="false" customHeight="false" outlineLevel="0" collapsed="false">
      <c r="A482" s="31" t="s">
        <v>632</v>
      </c>
      <c r="B482" s="44" t="n">
        <v>46210</v>
      </c>
      <c r="C482" s="31" t="s">
        <v>59</v>
      </c>
      <c r="D482" s="31" t="s">
        <v>67</v>
      </c>
      <c r="E482" s="31" t="s">
        <v>49</v>
      </c>
      <c r="F482" s="31" t="s">
        <v>130</v>
      </c>
      <c r="G482" s="31" t="n">
        <v>24</v>
      </c>
      <c r="H482" s="41" t="n">
        <v>23.6</v>
      </c>
      <c r="I482" s="31" t="s">
        <v>149</v>
      </c>
      <c r="J482" s="31" t="n">
        <v>4</v>
      </c>
      <c r="K482" s="31" t="s">
        <v>150</v>
      </c>
      <c r="L482" s="45" t="n">
        <f aca="false">DATE(YEAR(B482),MONTH(B482),1)</f>
        <v>46204</v>
      </c>
      <c r="M482" s="31" t="n">
        <f aca="false">WEEKDAY(B482,2)</f>
        <v>2</v>
      </c>
      <c r="N482" s="31" t="str">
        <f aca="false">IF(G482&lt;=INDEX(Assumptions!$B$15:$B$18,MATCH(E482,Assumptions!$A$15:$A$18,0)),"Yes","No")</f>
        <v>No</v>
      </c>
      <c r="O482" s="31" t="str">
        <f aca="false">IF(H482="","Open",IF(H482&lt;=INDEX(Assumptions!$C$15:$C$18,MATCH(E482,Assumptions!$A$15:$A$18,0)),"Yes","No"))</f>
        <v>No</v>
      </c>
    </row>
    <row r="483" customFormat="false" ht="15" hidden="false" customHeight="false" outlineLevel="0" collapsed="false">
      <c r="A483" s="31" t="s">
        <v>633</v>
      </c>
      <c r="B483" s="44" t="n">
        <v>46210</v>
      </c>
      <c r="C483" s="31" t="s">
        <v>57</v>
      </c>
      <c r="D483" s="31" t="s">
        <v>68</v>
      </c>
      <c r="E483" s="31" t="s">
        <v>50</v>
      </c>
      <c r="F483" s="31" t="s">
        <v>136</v>
      </c>
      <c r="G483" s="31" t="n">
        <v>2</v>
      </c>
      <c r="H483" s="41" t="n">
        <v>2.3</v>
      </c>
      <c r="I483" s="31" t="s">
        <v>149</v>
      </c>
      <c r="J483" s="31" t="n">
        <v>5</v>
      </c>
      <c r="K483" s="31" t="s">
        <v>150</v>
      </c>
      <c r="L483" s="45" t="n">
        <f aca="false">DATE(YEAR(B483),MONTH(B483),1)</f>
        <v>46204</v>
      </c>
      <c r="M483" s="31" t="n">
        <f aca="false">WEEKDAY(B483,2)</f>
        <v>2</v>
      </c>
      <c r="N483" s="31" t="str">
        <f aca="false">IF(G483&lt;=INDEX(Assumptions!$B$15:$B$18,MATCH(E483,Assumptions!$A$15:$A$18,0)),"Yes","No")</f>
        <v>Yes</v>
      </c>
      <c r="O483" s="31" t="str">
        <f aca="false">IF(H483="","Open",IF(H483&lt;=INDEX(Assumptions!$C$15:$C$18,MATCH(E483,Assumptions!$A$15:$A$18,0)),"Yes","No"))</f>
        <v>Yes</v>
      </c>
    </row>
    <row r="484" customFormat="false" ht="15" hidden="false" customHeight="false" outlineLevel="0" collapsed="false">
      <c r="A484" s="31" t="s">
        <v>634</v>
      </c>
      <c r="B484" s="44" t="n">
        <v>46210</v>
      </c>
      <c r="C484" s="31" t="s">
        <v>58</v>
      </c>
      <c r="D484" s="31" t="s">
        <v>68</v>
      </c>
      <c r="E484" s="31" t="s">
        <v>51</v>
      </c>
      <c r="F484" s="31" t="s">
        <v>131</v>
      </c>
      <c r="G484" s="31" t="n">
        <v>7</v>
      </c>
      <c r="H484" s="41" t="n">
        <v>2.7</v>
      </c>
      <c r="I484" s="31" t="s">
        <v>149</v>
      </c>
      <c r="J484" s="31" t="n">
        <v>5</v>
      </c>
      <c r="K484" s="31" t="s">
        <v>150</v>
      </c>
      <c r="L484" s="45" t="n">
        <f aca="false">DATE(YEAR(B484),MONTH(B484),1)</f>
        <v>46204</v>
      </c>
      <c r="M484" s="31" t="n">
        <f aca="false">WEEKDAY(B484,2)</f>
        <v>2</v>
      </c>
      <c r="N484" s="31" t="str">
        <f aca="false">IF(G484&lt;=INDEX(Assumptions!$B$15:$B$18,MATCH(E484,Assumptions!$A$15:$A$18,0)),"Yes","No")</f>
        <v>Yes</v>
      </c>
      <c r="O484" s="31" t="str">
        <f aca="false">IF(H484="","Open",IF(H484&lt;=INDEX(Assumptions!$C$15:$C$18,MATCH(E484,Assumptions!$A$15:$A$18,0)),"Yes","No"))</f>
        <v>Yes</v>
      </c>
    </row>
    <row r="485" customFormat="false" ht="15" hidden="false" customHeight="false" outlineLevel="0" collapsed="false">
      <c r="A485" s="31" t="s">
        <v>635</v>
      </c>
      <c r="B485" s="44" t="n">
        <v>46210</v>
      </c>
      <c r="C485" s="31" t="s">
        <v>60</v>
      </c>
      <c r="D485" s="31" t="s">
        <v>65</v>
      </c>
      <c r="E485" s="31" t="s">
        <v>50</v>
      </c>
      <c r="F485" s="31" t="s">
        <v>136</v>
      </c>
      <c r="G485" s="31" t="n">
        <v>2</v>
      </c>
      <c r="H485" s="41" t="n">
        <v>4.4</v>
      </c>
      <c r="I485" s="31" t="s">
        <v>64</v>
      </c>
      <c r="J485" s="31"/>
      <c r="K485" s="31" t="s">
        <v>150</v>
      </c>
      <c r="L485" s="45" t="n">
        <f aca="false">DATE(YEAR(B485),MONTH(B485),1)</f>
        <v>46204</v>
      </c>
      <c r="M485" s="31" t="n">
        <f aca="false">WEEKDAY(B485,2)</f>
        <v>2</v>
      </c>
      <c r="N485" s="31" t="str">
        <f aca="false">IF(G485&lt;=INDEX(Assumptions!$B$15:$B$18,MATCH(E485,Assumptions!$A$15:$A$18,0)),"Yes","No")</f>
        <v>Yes</v>
      </c>
      <c r="O485" s="31" t="str">
        <f aca="false">IF(H485="","Open",IF(H485&lt;=INDEX(Assumptions!$C$15:$C$18,MATCH(E485,Assumptions!$A$15:$A$18,0)),"Yes","No"))</f>
        <v>Yes</v>
      </c>
    </row>
    <row r="486" customFormat="false" ht="15" hidden="false" customHeight="false" outlineLevel="0" collapsed="false">
      <c r="A486" s="31" t="s">
        <v>636</v>
      </c>
      <c r="B486" s="44" t="n">
        <v>46210</v>
      </c>
      <c r="C486" s="31" t="s">
        <v>57</v>
      </c>
      <c r="D486" s="31" t="s">
        <v>66</v>
      </c>
      <c r="E486" s="31" t="s">
        <v>52</v>
      </c>
      <c r="F486" s="31" t="s">
        <v>121</v>
      </c>
      <c r="G486" s="31" t="n">
        <v>3</v>
      </c>
      <c r="H486" s="41" t="n">
        <v>6.1</v>
      </c>
      <c r="I486" s="31" t="s">
        <v>149</v>
      </c>
      <c r="J486" s="31" t="n">
        <v>4</v>
      </c>
      <c r="K486" s="31" t="s">
        <v>150</v>
      </c>
      <c r="L486" s="45" t="n">
        <f aca="false">DATE(YEAR(B486),MONTH(B486),1)</f>
        <v>46204</v>
      </c>
      <c r="M486" s="31" t="n">
        <f aca="false">WEEKDAY(B486,2)</f>
        <v>2</v>
      </c>
      <c r="N486" s="31" t="str">
        <f aca="false">IF(G486&lt;=INDEX(Assumptions!$B$15:$B$18,MATCH(E486,Assumptions!$A$15:$A$18,0)),"Yes","No")</f>
        <v>Yes</v>
      </c>
      <c r="O486" s="31" t="str">
        <f aca="false">IF(H486="","Open",IF(H486&lt;=INDEX(Assumptions!$C$15:$C$18,MATCH(E486,Assumptions!$A$15:$A$18,0)),"Yes","No"))</f>
        <v>Yes</v>
      </c>
    </row>
    <row r="487" customFormat="false" ht="15" hidden="false" customHeight="false" outlineLevel="0" collapsed="false">
      <c r="A487" s="31" t="s">
        <v>637</v>
      </c>
      <c r="B487" s="44" t="n">
        <v>46210</v>
      </c>
      <c r="C487" s="31" t="s">
        <v>57</v>
      </c>
      <c r="D487" s="31" t="s">
        <v>67</v>
      </c>
      <c r="E487" s="31" t="s">
        <v>51</v>
      </c>
      <c r="F487" s="31" t="s">
        <v>121</v>
      </c>
      <c r="G487" s="31" t="n">
        <v>23</v>
      </c>
      <c r="H487" s="41" t="n">
        <v>42.5</v>
      </c>
      <c r="I487" s="31" t="s">
        <v>149</v>
      </c>
      <c r="J487" s="31" t="n">
        <v>3</v>
      </c>
      <c r="K487" s="31" t="s">
        <v>150</v>
      </c>
      <c r="L487" s="45" t="n">
        <f aca="false">DATE(YEAR(B487),MONTH(B487),1)</f>
        <v>46204</v>
      </c>
      <c r="M487" s="31" t="n">
        <f aca="false">WEEKDAY(B487,2)</f>
        <v>2</v>
      </c>
      <c r="N487" s="31" t="str">
        <f aca="false">IF(G487&lt;=INDEX(Assumptions!$B$15:$B$18,MATCH(E487,Assumptions!$A$15:$A$18,0)),"Yes","No")</f>
        <v>Yes</v>
      </c>
      <c r="O487" s="31" t="str">
        <f aca="false">IF(H487="","Open",IF(H487&lt;=INDEX(Assumptions!$C$15:$C$18,MATCH(E487,Assumptions!$A$15:$A$18,0)),"Yes","No"))</f>
        <v>No</v>
      </c>
    </row>
    <row r="488" customFormat="false" ht="15" hidden="false" customHeight="false" outlineLevel="0" collapsed="false">
      <c r="A488" s="31" t="s">
        <v>638</v>
      </c>
      <c r="B488" s="44" t="n">
        <v>46210</v>
      </c>
      <c r="C488" s="31" t="s">
        <v>57</v>
      </c>
      <c r="D488" s="31" t="s">
        <v>68</v>
      </c>
      <c r="E488" s="31" t="s">
        <v>50</v>
      </c>
      <c r="F488" s="31" t="s">
        <v>133</v>
      </c>
      <c r="G488" s="31" t="n">
        <v>1</v>
      </c>
      <c r="H488" s="41" t="n">
        <v>5.5</v>
      </c>
      <c r="I488" s="31" t="s">
        <v>149</v>
      </c>
      <c r="J488" s="31" t="n">
        <v>4</v>
      </c>
      <c r="K488" s="31" t="s">
        <v>150</v>
      </c>
      <c r="L488" s="45" t="n">
        <f aca="false">DATE(YEAR(B488),MONTH(B488),1)</f>
        <v>46204</v>
      </c>
      <c r="M488" s="31" t="n">
        <f aca="false">WEEKDAY(B488,2)</f>
        <v>2</v>
      </c>
      <c r="N488" s="31" t="str">
        <f aca="false">IF(G488&lt;=INDEX(Assumptions!$B$15:$B$18,MATCH(E488,Assumptions!$A$15:$A$18,0)),"Yes","No")</f>
        <v>Yes</v>
      </c>
      <c r="O488" s="31" t="str">
        <f aca="false">IF(H488="","Open",IF(H488&lt;=INDEX(Assumptions!$C$15:$C$18,MATCH(E488,Assumptions!$A$15:$A$18,0)),"Yes","No"))</f>
        <v>Yes</v>
      </c>
    </row>
    <row r="489" customFormat="false" ht="15" hidden="false" customHeight="false" outlineLevel="0" collapsed="false">
      <c r="A489" s="31" t="s">
        <v>639</v>
      </c>
      <c r="B489" s="44" t="n">
        <v>46210</v>
      </c>
      <c r="C489" s="31" t="s">
        <v>58</v>
      </c>
      <c r="D489" s="31" t="s">
        <v>66</v>
      </c>
      <c r="E489" s="31" t="s">
        <v>52</v>
      </c>
      <c r="F489" s="31" t="s">
        <v>120</v>
      </c>
      <c r="G489" s="31" t="n">
        <v>16</v>
      </c>
      <c r="H489" s="41" t="n">
        <v>6.9</v>
      </c>
      <c r="I489" s="31" t="s">
        <v>149</v>
      </c>
      <c r="J489" s="31" t="n">
        <v>4</v>
      </c>
      <c r="K489" s="31" t="s">
        <v>150</v>
      </c>
      <c r="L489" s="45" t="n">
        <f aca="false">DATE(YEAR(B489),MONTH(B489),1)</f>
        <v>46204</v>
      </c>
      <c r="M489" s="31" t="n">
        <f aca="false">WEEKDAY(B489,2)</f>
        <v>2</v>
      </c>
      <c r="N489" s="31" t="str">
        <f aca="false">IF(G489&lt;=INDEX(Assumptions!$B$15:$B$18,MATCH(E489,Assumptions!$A$15:$A$18,0)),"Yes","No")</f>
        <v>Yes</v>
      </c>
      <c r="O489" s="31" t="str">
        <f aca="false">IF(H489="","Open",IF(H489&lt;=INDEX(Assumptions!$C$15:$C$18,MATCH(E489,Assumptions!$A$15:$A$18,0)),"Yes","No"))</f>
        <v>Yes</v>
      </c>
    </row>
    <row r="490" customFormat="false" ht="15" hidden="false" customHeight="false" outlineLevel="0" collapsed="false">
      <c r="A490" s="31" t="s">
        <v>640</v>
      </c>
      <c r="B490" s="44" t="n">
        <v>46210</v>
      </c>
      <c r="C490" s="31" t="s">
        <v>59</v>
      </c>
      <c r="D490" s="31" t="s">
        <v>66</v>
      </c>
      <c r="E490" s="31" t="s">
        <v>50</v>
      </c>
      <c r="F490" s="31" t="s">
        <v>130</v>
      </c>
      <c r="G490" s="31" t="n">
        <v>108</v>
      </c>
      <c r="H490" s="41"/>
      <c r="I490" s="31" t="s">
        <v>158</v>
      </c>
      <c r="J490" s="31"/>
      <c r="K490" s="31" t="s">
        <v>150</v>
      </c>
      <c r="L490" s="45" t="n">
        <f aca="false">DATE(YEAR(B490),MONTH(B490),1)</f>
        <v>46204</v>
      </c>
      <c r="M490" s="31" t="n">
        <f aca="false">WEEKDAY(B490,2)</f>
        <v>2</v>
      </c>
      <c r="N490" s="31" t="str">
        <f aca="false">IF(G490&lt;=INDEX(Assumptions!$B$15:$B$18,MATCH(E490,Assumptions!$A$15:$A$18,0)),"Yes","No")</f>
        <v>No</v>
      </c>
      <c r="O490" s="31" t="str">
        <f aca="false">IF(H490="","Open",IF(H490&lt;=INDEX(Assumptions!$C$15:$C$18,MATCH(E490,Assumptions!$A$15:$A$18,0)),"Yes","No"))</f>
        <v>Open</v>
      </c>
    </row>
    <row r="491" customFormat="false" ht="15" hidden="false" customHeight="false" outlineLevel="0" collapsed="false">
      <c r="A491" s="31" t="s">
        <v>641</v>
      </c>
      <c r="B491" s="44" t="n">
        <v>46210</v>
      </c>
      <c r="C491" s="31" t="s">
        <v>57</v>
      </c>
      <c r="D491" s="31" t="s">
        <v>66</v>
      </c>
      <c r="E491" s="31" t="s">
        <v>52</v>
      </c>
      <c r="F491" s="31" t="s">
        <v>124</v>
      </c>
      <c r="G491" s="31" t="n">
        <v>1</v>
      </c>
      <c r="H491" s="41" t="n">
        <v>4.1</v>
      </c>
      <c r="I491" s="31" t="s">
        <v>149</v>
      </c>
      <c r="J491" s="31" t="n">
        <v>5</v>
      </c>
      <c r="K491" s="31" t="s">
        <v>150</v>
      </c>
      <c r="L491" s="45" t="n">
        <f aca="false">DATE(YEAR(B491),MONTH(B491),1)</f>
        <v>46204</v>
      </c>
      <c r="M491" s="31" t="n">
        <f aca="false">WEEKDAY(B491,2)</f>
        <v>2</v>
      </c>
      <c r="N491" s="31" t="str">
        <f aca="false">IF(G491&lt;=INDEX(Assumptions!$B$15:$B$18,MATCH(E491,Assumptions!$A$15:$A$18,0)),"Yes","No")</f>
        <v>Yes</v>
      </c>
      <c r="O491" s="31" t="str">
        <f aca="false">IF(H491="","Open",IF(H491&lt;=INDEX(Assumptions!$C$15:$C$18,MATCH(E491,Assumptions!$A$15:$A$18,0)),"Yes","No"))</f>
        <v>Yes</v>
      </c>
    </row>
    <row r="492" customFormat="false" ht="15" hidden="false" customHeight="false" outlineLevel="0" collapsed="false">
      <c r="A492" s="31" t="s">
        <v>642</v>
      </c>
      <c r="B492" s="44" t="n">
        <v>46210</v>
      </c>
      <c r="C492" s="31" t="s">
        <v>58</v>
      </c>
      <c r="D492" s="31" t="s">
        <v>65</v>
      </c>
      <c r="E492" s="31" t="s">
        <v>51</v>
      </c>
      <c r="F492" s="31" t="s">
        <v>131</v>
      </c>
      <c r="G492" s="31" t="n">
        <v>1</v>
      </c>
      <c r="H492" s="41" t="n">
        <v>15.5</v>
      </c>
      <c r="I492" s="31" t="s">
        <v>149</v>
      </c>
      <c r="J492" s="31"/>
      <c r="K492" s="31" t="s">
        <v>150</v>
      </c>
      <c r="L492" s="45" t="n">
        <f aca="false">DATE(YEAR(B492),MONTH(B492),1)</f>
        <v>46204</v>
      </c>
      <c r="M492" s="31" t="n">
        <f aca="false">WEEKDAY(B492,2)</f>
        <v>2</v>
      </c>
      <c r="N492" s="31" t="str">
        <f aca="false">IF(G492&lt;=INDEX(Assumptions!$B$15:$B$18,MATCH(E492,Assumptions!$A$15:$A$18,0)),"Yes","No")</f>
        <v>Yes</v>
      </c>
      <c r="O492" s="31" t="str">
        <f aca="false">IF(H492="","Open",IF(H492&lt;=INDEX(Assumptions!$C$15:$C$18,MATCH(E492,Assumptions!$A$15:$A$18,0)),"Yes","No"))</f>
        <v>Yes</v>
      </c>
    </row>
    <row r="493" customFormat="false" ht="15" hidden="false" customHeight="false" outlineLevel="0" collapsed="false">
      <c r="A493" s="31" t="s">
        <v>643</v>
      </c>
      <c r="B493" s="44" t="n">
        <v>46210</v>
      </c>
      <c r="C493" s="31" t="s">
        <v>58</v>
      </c>
      <c r="D493" s="31" t="s">
        <v>65</v>
      </c>
      <c r="E493" s="31" t="s">
        <v>51</v>
      </c>
      <c r="F493" s="31" t="s">
        <v>122</v>
      </c>
      <c r="G493" s="31" t="n">
        <v>6</v>
      </c>
      <c r="H493" s="41" t="n">
        <v>3.3</v>
      </c>
      <c r="I493" s="31" t="s">
        <v>149</v>
      </c>
      <c r="J493" s="31"/>
      <c r="K493" s="31" t="s">
        <v>153</v>
      </c>
      <c r="L493" s="45" t="n">
        <f aca="false">DATE(YEAR(B493),MONTH(B493),1)</f>
        <v>46204</v>
      </c>
      <c r="M493" s="31" t="n">
        <f aca="false">WEEKDAY(B493,2)</f>
        <v>2</v>
      </c>
      <c r="N493" s="31" t="str">
        <f aca="false">IF(G493&lt;=INDEX(Assumptions!$B$15:$B$18,MATCH(E493,Assumptions!$A$15:$A$18,0)),"Yes","No")</f>
        <v>Yes</v>
      </c>
      <c r="O493" s="31" t="str">
        <f aca="false">IF(H493="","Open",IF(H493&lt;=INDEX(Assumptions!$C$15:$C$18,MATCH(E493,Assumptions!$A$15:$A$18,0)),"Yes","No"))</f>
        <v>Yes</v>
      </c>
    </row>
    <row r="494" customFormat="false" ht="15" hidden="false" customHeight="false" outlineLevel="0" collapsed="false">
      <c r="A494" s="31" t="s">
        <v>644</v>
      </c>
      <c r="B494" s="44" t="n">
        <v>46210</v>
      </c>
      <c r="C494" s="31" t="s">
        <v>57</v>
      </c>
      <c r="D494" s="31" t="s">
        <v>66</v>
      </c>
      <c r="E494" s="31" t="s">
        <v>51</v>
      </c>
      <c r="F494" s="31" t="s">
        <v>119</v>
      </c>
      <c r="G494" s="31" t="n">
        <v>7</v>
      </c>
      <c r="H494" s="41" t="n">
        <v>5.9</v>
      </c>
      <c r="I494" s="31" t="s">
        <v>149</v>
      </c>
      <c r="J494" s="31"/>
      <c r="K494" s="31" t="s">
        <v>153</v>
      </c>
      <c r="L494" s="45" t="n">
        <f aca="false">DATE(YEAR(B494),MONTH(B494),1)</f>
        <v>46204</v>
      </c>
      <c r="M494" s="31" t="n">
        <f aca="false">WEEKDAY(B494,2)</f>
        <v>2</v>
      </c>
      <c r="N494" s="31" t="str">
        <f aca="false">IF(G494&lt;=INDEX(Assumptions!$B$15:$B$18,MATCH(E494,Assumptions!$A$15:$A$18,0)),"Yes","No")</f>
        <v>Yes</v>
      </c>
      <c r="O494" s="31" t="str">
        <f aca="false">IF(H494="","Open",IF(H494&lt;=INDEX(Assumptions!$C$15:$C$18,MATCH(E494,Assumptions!$A$15:$A$18,0)),"Yes","No"))</f>
        <v>Yes</v>
      </c>
    </row>
    <row r="495" customFormat="false" ht="15" hidden="false" customHeight="false" outlineLevel="0" collapsed="false">
      <c r="A495" s="31" t="s">
        <v>645</v>
      </c>
      <c r="B495" s="44" t="n">
        <v>46210</v>
      </c>
      <c r="C495" s="31" t="s">
        <v>60</v>
      </c>
      <c r="D495" s="31" t="s">
        <v>65</v>
      </c>
      <c r="E495" s="31" t="s">
        <v>51</v>
      </c>
      <c r="F495" s="31" t="s">
        <v>122</v>
      </c>
      <c r="G495" s="31" t="n">
        <v>4</v>
      </c>
      <c r="H495" s="41" t="n">
        <v>18.4</v>
      </c>
      <c r="I495" s="31" t="s">
        <v>149</v>
      </c>
      <c r="J495" s="31"/>
      <c r="K495" s="31" t="s">
        <v>150</v>
      </c>
      <c r="L495" s="45" t="n">
        <f aca="false">DATE(YEAR(B495),MONTH(B495),1)</f>
        <v>46204</v>
      </c>
      <c r="M495" s="31" t="n">
        <f aca="false">WEEKDAY(B495,2)</f>
        <v>2</v>
      </c>
      <c r="N495" s="31" t="str">
        <f aca="false">IF(G495&lt;=INDEX(Assumptions!$B$15:$B$18,MATCH(E495,Assumptions!$A$15:$A$18,0)),"Yes","No")</f>
        <v>Yes</v>
      </c>
      <c r="O495" s="31" t="str">
        <f aca="false">IF(H495="","Open",IF(H495&lt;=INDEX(Assumptions!$C$15:$C$18,MATCH(E495,Assumptions!$A$15:$A$18,0)),"Yes","No"))</f>
        <v>Yes</v>
      </c>
    </row>
    <row r="496" customFormat="false" ht="15" hidden="false" customHeight="false" outlineLevel="0" collapsed="false">
      <c r="A496" s="31" t="s">
        <v>646</v>
      </c>
      <c r="B496" s="44" t="n">
        <v>46210</v>
      </c>
      <c r="C496" s="31" t="s">
        <v>60</v>
      </c>
      <c r="D496" s="31" t="s">
        <v>65</v>
      </c>
      <c r="E496" s="31" t="s">
        <v>51</v>
      </c>
      <c r="F496" s="31" t="s">
        <v>134</v>
      </c>
      <c r="G496" s="31" t="n">
        <v>4</v>
      </c>
      <c r="H496" s="41" t="n">
        <v>56.5</v>
      </c>
      <c r="I496" s="31" t="s">
        <v>149</v>
      </c>
      <c r="J496" s="31" t="n">
        <v>3</v>
      </c>
      <c r="K496" s="31" t="s">
        <v>150</v>
      </c>
      <c r="L496" s="45" t="n">
        <f aca="false">DATE(YEAR(B496),MONTH(B496),1)</f>
        <v>46204</v>
      </c>
      <c r="M496" s="31" t="n">
        <f aca="false">WEEKDAY(B496,2)</f>
        <v>2</v>
      </c>
      <c r="N496" s="31" t="str">
        <f aca="false">IF(G496&lt;=INDEX(Assumptions!$B$15:$B$18,MATCH(E496,Assumptions!$A$15:$A$18,0)),"Yes","No")</f>
        <v>Yes</v>
      </c>
      <c r="O496" s="31" t="str">
        <f aca="false">IF(H496="","Open",IF(H496&lt;=INDEX(Assumptions!$C$15:$C$18,MATCH(E496,Assumptions!$A$15:$A$18,0)),"Yes","No"))</f>
        <v>No</v>
      </c>
    </row>
    <row r="497" customFormat="false" ht="15" hidden="false" customHeight="false" outlineLevel="0" collapsed="false">
      <c r="A497" s="31" t="s">
        <v>647</v>
      </c>
      <c r="B497" s="44" t="n">
        <v>46210</v>
      </c>
      <c r="C497" s="31" t="s">
        <v>57</v>
      </c>
      <c r="D497" s="31" t="s">
        <v>65</v>
      </c>
      <c r="E497" s="31" t="s">
        <v>51</v>
      </c>
      <c r="F497" s="31" t="s">
        <v>123</v>
      </c>
      <c r="G497" s="31" t="n">
        <v>16</v>
      </c>
      <c r="H497" s="41" t="n">
        <v>1.7</v>
      </c>
      <c r="I497" s="31" t="s">
        <v>149</v>
      </c>
      <c r="J497" s="31"/>
      <c r="K497" s="31" t="s">
        <v>150</v>
      </c>
      <c r="L497" s="45" t="n">
        <f aca="false">DATE(YEAR(B497),MONTH(B497),1)</f>
        <v>46204</v>
      </c>
      <c r="M497" s="31" t="n">
        <f aca="false">WEEKDAY(B497,2)</f>
        <v>2</v>
      </c>
      <c r="N497" s="31" t="str">
        <f aca="false">IF(G497&lt;=INDEX(Assumptions!$B$15:$B$18,MATCH(E497,Assumptions!$A$15:$A$18,0)),"Yes","No")</f>
        <v>Yes</v>
      </c>
      <c r="O497" s="31" t="str">
        <f aca="false">IF(H497="","Open",IF(H497&lt;=INDEX(Assumptions!$C$15:$C$18,MATCH(E497,Assumptions!$A$15:$A$18,0)),"Yes","No"))</f>
        <v>Yes</v>
      </c>
    </row>
    <row r="498" customFormat="false" ht="15" hidden="false" customHeight="false" outlineLevel="0" collapsed="false">
      <c r="A498" s="31" t="s">
        <v>648</v>
      </c>
      <c r="B498" s="44" t="n">
        <v>46210</v>
      </c>
      <c r="C498" s="31" t="s">
        <v>57</v>
      </c>
      <c r="D498" s="31" t="s">
        <v>65</v>
      </c>
      <c r="E498" s="31" t="s">
        <v>51</v>
      </c>
      <c r="F498" s="31" t="s">
        <v>124</v>
      </c>
      <c r="G498" s="31" t="n">
        <v>4</v>
      </c>
      <c r="H498" s="41" t="n">
        <v>8.7</v>
      </c>
      <c r="I498" s="31" t="s">
        <v>149</v>
      </c>
      <c r="J498" s="31"/>
      <c r="K498" s="31" t="s">
        <v>150</v>
      </c>
      <c r="L498" s="45" t="n">
        <f aca="false">DATE(YEAR(B498),MONTH(B498),1)</f>
        <v>46204</v>
      </c>
      <c r="M498" s="31" t="n">
        <f aca="false">WEEKDAY(B498,2)</f>
        <v>2</v>
      </c>
      <c r="N498" s="31" t="str">
        <f aca="false">IF(G498&lt;=INDEX(Assumptions!$B$15:$B$18,MATCH(E498,Assumptions!$A$15:$A$18,0)),"Yes","No")</f>
        <v>Yes</v>
      </c>
      <c r="O498" s="31" t="str">
        <f aca="false">IF(H498="","Open",IF(H498&lt;=INDEX(Assumptions!$C$15:$C$18,MATCH(E498,Assumptions!$A$15:$A$18,0)),"Yes","No"))</f>
        <v>Yes</v>
      </c>
    </row>
    <row r="499" customFormat="false" ht="15" hidden="false" customHeight="false" outlineLevel="0" collapsed="false">
      <c r="A499" s="31" t="s">
        <v>649</v>
      </c>
      <c r="B499" s="44" t="n">
        <v>46210</v>
      </c>
      <c r="C499" s="31" t="s">
        <v>60</v>
      </c>
      <c r="D499" s="31" t="s">
        <v>68</v>
      </c>
      <c r="E499" s="31" t="s">
        <v>52</v>
      </c>
      <c r="F499" s="31" t="s">
        <v>124</v>
      </c>
      <c r="G499" s="31" t="n">
        <v>3</v>
      </c>
      <c r="H499" s="41" t="n">
        <v>11</v>
      </c>
      <c r="I499" s="31" t="s">
        <v>149</v>
      </c>
      <c r="J499" s="31" t="n">
        <v>5</v>
      </c>
      <c r="K499" s="31" t="s">
        <v>153</v>
      </c>
      <c r="L499" s="45" t="n">
        <f aca="false">DATE(YEAR(B499),MONTH(B499),1)</f>
        <v>46204</v>
      </c>
      <c r="M499" s="31" t="n">
        <f aca="false">WEEKDAY(B499,2)</f>
        <v>2</v>
      </c>
      <c r="N499" s="31" t="str">
        <f aca="false">IF(G499&lt;=INDEX(Assumptions!$B$15:$B$18,MATCH(E499,Assumptions!$A$15:$A$18,0)),"Yes","No")</f>
        <v>Yes</v>
      </c>
      <c r="O499" s="31" t="str">
        <f aca="false">IF(H499="","Open",IF(H499&lt;=INDEX(Assumptions!$C$15:$C$18,MATCH(E499,Assumptions!$A$15:$A$18,0)),"Yes","No"))</f>
        <v>Yes</v>
      </c>
    </row>
    <row r="500" customFormat="false" ht="15" hidden="false" customHeight="false" outlineLevel="0" collapsed="false">
      <c r="A500" s="31" t="s">
        <v>650</v>
      </c>
      <c r="B500" s="44" t="n">
        <v>46210</v>
      </c>
      <c r="C500" s="31" t="s">
        <v>57</v>
      </c>
      <c r="D500" s="31" t="s">
        <v>65</v>
      </c>
      <c r="E500" s="31" t="s">
        <v>50</v>
      </c>
      <c r="F500" s="31" t="s">
        <v>131</v>
      </c>
      <c r="G500" s="31" t="n">
        <v>1</v>
      </c>
      <c r="H500" s="41" t="n">
        <v>7.4</v>
      </c>
      <c r="I500" s="31" t="s">
        <v>149</v>
      </c>
      <c r="J500" s="31" t="n">
        <v>5</v>
      </c>
      <c r="K500" s="31" t="s">
        <v>150</v>
      </c>
      <c r="L500" s="45" t="n">
        <f aca="false">DATE(YEAR(B500),MONTH(B500),1)</f>
        <v>46204</v>
      </c>
      <c r="M500" s="31" t="n">
        <f aca="false">WEEKDAY(B500,2)</f>
        <v>2</v>
      </c>
      <c r="N500" s="31" t="str">
        <f aca="false">IF(G500&lt;=INDEX(Assumptions!$B$15:$B$18,MATCH(E500,Assumptions!$A$15:$A$18,0)),"Yes","No")</f>
        <v>Yes</v>
      </c>
      <c r="O500" s="31" t="str">
        <f aca="false">IF(H500="","Open",IF(H500&lt;=INDEX(Assumptions!$C$15:$C$18,MATCH(E500,Assumptions!$A$15:$A$18,0)),"Yes","No"))</f>
        <v>Yes</v>
      </c>
    </row>
    <row r="501" customFormat="false" ht="15" hidden="false" customHeight="false" outlineLevel="0" collapsed="false">
      <c r="A501" s="31" t="s">
        <v>651</v>
      </c>
      <c r="B501" s="44" t="n">
        <v>46210</v>
      </c>
      <c r="C501" s="31" t="s">
        <v>58</v>
      </c>
      <c r="D501" s="31" t="s">
        <v>65</v>
      </c>
      <c r="E501" s="31" t="s">
        <v>51</v>
      </c>
      <c r="F501" s="31" t="s">
        <v>137</v>
      </c>
      <c r="G501" s="31" t="n">
        <v>6</v>
      </c>
      <c r="H501" s="41" t="n">
        <v>27.7</v>
      </c>
      <c r="I501" s="31" t="s">
        <v>64</v>
      </c>
      <c r="J501" s="31"/>
      <c r="K501" s="31" t="s">
        <v>150</v>
      </c>
      <c r="L501" s="45" t="n">
        <f aca="false">DATE(YEAR(B501),MONTH(B501),1)</f>
        <v>46204</v>
      </c>
      <c r="M501" s="31" t="n">
        <f aca="false">WEEKDAY(B501,2)</f>
        <v>2</v>
      </c>
      <c r="N501" s="31" t="str">
        <f aca="false">IF(G501&lt;=INDEX(Assumptions!$B$15:$B$18,MATCH(E501,Assumptions!$A$15:$A$18,0)),"Yes","No")</f>
        <v>Yes</v>
      </c>
      <c r="O501" s="31" t="str">
        <f aca="false">IF(H501="","Open",IF(H501&lt;=INDEX(Assumptions!$C$15:$C$18,MATCH(E501,Assumptions!$A$15:$A$18,0)),"Yes","No"))</f>
        <v>No</v>
      </c>
    </row>
    <row r="502" customFormat="false" ht="15" hidden="false" customHeight="false" outlineLevel="0" collapsed="false">
      <c r="A502" s="31" t="s">
        <v>652</v>
      </c>
      <c r="B502" s="44" t="n">
        <v>46210</v>
      </c>
      <c r="C502" s="31" t="s">
        <v>59</v>
      </c>
      <c r="D502" s="31" t="s">
        <v>68</v>
      </c>
      <c r="E502" s="31" t="s">
        <v>52</v>
      </c>
      <c r="F502" s="31" t="s">
        <v>134</v>
      </c>
      <c r="G502" s="31" t="n">
        <v>373</v>
      </c>
      <c r="H502" s="41" t="n">
        <v>102.3</v>
      </c>
      <c r="I502" s="31" t="s">
        <v>64</v>
      </c>
      <c r="J502" s="31"/>
      <c r="K502" s="31" t="s">
        <v>150</v>
      </c>
      <c r="L502" s="45" t="n">
        <f aca="false">DATE(YEAR(B502),MONTH(B502),1)</f>
        <v>46204</v>
      </c>
      <c r="M502" s="31" t="n">
        <f aca="false">WEEKDAY(B502,2)</f>
        <v>2</v>
      </c>
      <c r="N502" s="31" t="str">
        <f aca="false">IF(G502&lt;=INDEX(Assumptions!$B$15:$B$18,MATCH(E502,Assumptions!$A$15:$A$18,0)),"Yes","No")</f>
        <v>No</v>
      </c>
      <c r="O502" s="31" t="str">
        <f aca="false">IF(H502="","Open",IF(H502&lt;=INDEX(Assumptions!$C$15:$C$18,MATCH(E502,Assumptions!$A$15:$A$18,0)),"Yes","No"))</f>
        <v>No</v>
      </c>
    </row>
    <row r="503" customFormat="false" ht="15" hidden="false" customHeight="false" outlineLevel="0" collapsed="false">
      <c r="A503" s="31" t="s">
        <v>653</v>
      </c>
      <c r="B503" s="44" t="n">
        <v>46210</v>
      </c>
      <c r="C503" s="31" t="s">
        <v>57</v>
      </c>
      <c r="D503" s="31" t="s">
        <v>67</v>
      </c>
      <c r="E503" s="31" t="s">
        <v>49</v>
      </c>
      <c r="F503" s="31" t="s">
        <v>121</v>
      </c>
      <c r="G503" s="31" t="n">
        <v>1</v>
      </c>
      <c r="H503" s="41" t="n">
        <v>54</v>
      </c>
      <c r="I503" s="31" t="s">
        <v>64</v>
      </c>
      <c r="J503" s="31" t="n">
        <v>3</v>
      </c>
      <c r="K503" s="31" t="s">
        <v>150</v>
      </c>
      <c r="L503" s="45" t="n">
        <f aca="false">DATE(YEAR(B503),MONTH(B503),1)</f>
        <v>46204</v>
      </c>
      <c r="M503" s="31" t="n">
        <f aca="false">WEEKDAY(B503,2)</f>
        <v>2</v>
      </c>
      <c r="N503" s="31" t="str">
        <f aca="false">IF(G503&lt;=INDEX(Assumptions!$B$15:$B$18,MATCH(E503,Assumptions!$A$15:$A$18,0)),"Yes","No")</f>
        <v>Yes</v>
      </c>
      <c r="O503" s="31" t="str">
        <f aca="false">IF(H503="","Open",IF(H503&lt;=INDEX(Assumptions!$C$15:$C$18,MATCH(E503,Assumptions!$A$15:$A$18,0)),"Yes","No"))</f>
        <v>No</v>
      </c>
    </row>
    <row r="504" customFormat="false" ht="15" hidden="false" customHeight="false" outlineLevel="0" collapsed="false">
      <c r="A504" s="31" t="s">
        <v>654</v>
      </c>
      <c r="B504" s="44" t="n">
        <v>46210</v>
      </c>
      <c r="C504" s="31" t="s">
        <v>58</v>
      </c>
      <c r="D504" s="31" t="s">
        <v>69</v>
      </c>
      <c r="E504" s="31" t="s">
        <v>49</v>
      </c>
      <c r="F504" s="31" t="s">
        <v>131</v>
      </c>
      <c r="G504" s="31" t="n">
        <v>2</v>
      </c>
      <c r="H504" s="41" t="n">
        <v>2.9</v>
      </c>
      <c r="I504" s="31" t="s">
        <v>149</v>
      </c>
      <c r="J504" s="31"/>
      <c r="K504" s="31" t="s">
        <v>150</v>
      </c>
      <c r="L504" s="45" t="n">
        <f aca="false">DATE(YEAR(B504),MONTH(B504),1)</f>
        <v>46204</v>
      </c>
      <c r="M504" s="31" t="n">
        <f aca="false">WEEKDAY(B504,2)</f>
        <v>2</v>
      </c>
      <c r="N504" s="31" t="str">
        <f aca="false">IF(G504&lt;=INDEX(Assumptions!$B$15:$B$18,MATCH(E504,Assumptions!$A$15:$A$18,0)),"Yes","No")</f>
        <v>Yes</v>
      </c>
      <c r="O504" s="31" t="str">
        <f aca="false">IF(H504="","Open",IF(H504&lt;=INDEX(Assumptions!$C$15:$C$18,MATCH(E504,Assumptions!$A$15:$A$18,0)),"Yes","No"))</f>
        <v>Yes</v>
      </c>
    </row>
    <row r="505" customFormat="false" ht="15" hidden="false" customHeight="false" outlineLevel="0" collapsed="false">
      <c r="A505" s="31" t="s">
        <v>655</v>
      </c>
      <c r="B505" s="44" t="n">
        <v>46210</v>
      </c>
      <c r="C505" s="31" t="s">
        <v>57</v>
      </c>
      <c r="D505" s="31" t="s">
        <v>66</v>
      </c>
      <c r="E505" s="31" t="s">
        <v>51</v>
      </c>
      <c r="F505" s="31" t="s">
        <v>126</v>
      </c>
      <c r="G505" s="31" t="n">
        <v>5</v>
      </c>
      <c r="H505" s="41" t="n">
        <v>5</v>
      </c>
      <c r="I505" s="31" t="s">
        <v>149</v>
      </c>
      <c r="J505" s="31"/>
      <c r="K505" s="31" t="s">
        <v>150</v>
      </c>
      <c r="L505" s="45" t="n">
        <f aca="false">DATE(YEAR(B505),MONTH(B505),1)</f>
        <v>46204</v>
      </c>
      <c r="M505" s="31" t="n">
        <f aca="false">WEEKDAY(B505,2)</f>
        <v>2</v>
      </c>
      <c r="N505" s="31" t="str">
        <f aca="false">IF(G505&lt;=INDEX(Assumptions!$B$15:$B$18,MATCH(E505,Assumptions!$A$15:$A$18,0)),"Yes","No")</f>
        <v>Yes</v>
      </c>
      <c r="O505" s="31" t="str">
        <f aca="false">IF(H505="","Open",IF(H505&lt;=INDEX(Assumptions!$C$15:$C$18,MATCH(E505,Assumptions!$A$15:$A$18,0)),"Yes","No"))</f>
        <v>Yes</v>
      </c>
    </row>
    <row r="506" customFormat="false" ht="15" hidden="false" customHeight="false" outlineLevel="0" collapsed="false">
      <c r="A506" s="31" t="s">
        <v>656</v>
      </c>
      <c r="B506" s="44" t="n">
        <v>46210</v>
      </c>
      <c r="C506" s="31" t="s">
        <v>59</v>
      </c>
      <c r="D506" s="31" t="s">
        <v>67</v>
      </c>
      <c r="E506" s="31" t="s">
        <v>51</v>
      </c>
      <c r="F506" s="31" t="s">
        <v>117</v>
      </c>
      <c r="G506" s="31" t="n">
        <v>31</v>
      </c>
      <c r="H506" s="41" t="n">
        <v>6.4</v>
      </c>
      <c r="I506" s="31" t="s">
        <v>149</v>
      </c>
      <c r="J506" s="31" t="n">
        <v>5</v>
      </c>
      <c r="K506" s="31" t="s">
        <v>150</v>
      </c>
      <c r="L506" s="45" t="n">
        <f aca="false">DATE(YEAR(B506),MONTH(B506),1)</f>
        <v>46204</v>
      </c>
      <c r="M506" s="31" t="n">
        <f aca="false">WEEKDAY(B506,2)</f>
        <v>2</v>
      </c>
      <c r="N506" s="31" t="str">
        <f aca="false">IF(G506&lt;=INDEX(Assumptions!$B$15:$B$18,MATCH(E506,Assumptions!$A$15:$A$18,0)),"Yes","No")</f>
        <v>Yes</v>
      </c>
      <c r="O506" s="31" t="str">
        <f aca="false">IF(H506="","Open",IF(H506&lt;=INDEX(Assumptions!$C$15:$C$18,MATCH(E506,Assumptions!$A$15:$A$18,0)),"Yes","No"))</f>
        <v>Yes</v>
      </c>
    </row>
    <row r="507" customFormat="false" ht="15" hidden="false" customHeight="false" outlineLevel="0" collapsed="false">
      <c r="A507" s="31" t="s">
        <v>657</v>
      </c>
      <c r="B507" s="44" t="n">
        <v>46210</v>
      </c>
      <c r="C507" s="31" t="s">
        <v>57</v>
      </c>
      <c r="D507" s="31" t="s">
        <v>67</v>
      </c>
      <c r="E507" s="31" t="s">
        <v>51</v>
      </c>
      <c r="F507" s="31" t="s">
        <v>129</v>
      </c>
      <c r="G507" s="31" t="n">
        <v>2</v>
      </c>
      <c r="H507" s="41" t="n">
        <v>19.6</v>
      </c>
      <c r="I507" s="31" t="s">
        <v>149</v>
      </c>
      <c r="J507" s="31"/>
      <c r="K507" s="31" t="s">
        <v>150</v>
      </c>
      <c r="L507" s="45" t="n">
        <f aca="false">DATE(YEAR(B507),MONTH(B507),1)</f>
        <v>46204</v>
      </c>
      <c r="M507" s="31" t="n">
        <f aca="false">WEEKDAY(B507,2)</f>
        <v>2</v>
      </c>
      <c r="N507" s="31" t="str">
        <f aca="false">IF(G507&lt;=INDEX(Assumptions!$B$15:$B$18,MATCH(E507,Assumptions!$A$15:$A$18,0)),"Yes","No")</f>
        <v>Yes</v>
      </c>
      <c r="O507" s="31" t="str">
        <f aca="false">IF(H507="","Open",IF(H507&lt;=INDEX(Assumptions!$C$15:$C$18,MATCH(E507,Assumptions!$A$15:$A$18,0)),"Yes","No"))</f>
        <v>Yes</v>
      </c>
    </row>
    <row r="508" customFormat="false" ht="15" hidden="false" customHeight="false" outlineLevel="0" collapsed="false">
      <c r="A508" s="31" t="s">
        <v>658</v>
      </c>
      <c r="B508" s="44" t="n">
        <v>46211</v>
      </c>
      <c r="C508" s="31" t="s">
        <v>59</v>
      </c>
      <c r="D508" s="31" t="s">
        <v>67</v>
      </c>
      <c r="E508" s="31" t="s">
        <v>51</v>
      </c>
      <c r="F508" s="31" t="s">
        <v>134</v>
      </c>
      <c r="G508" s="31" t="n">
        <v>308</v>
      </c>
      <c r="H508" s="41" t="n">
        <v>13.1</v>
      </c>
      <c r="I508" s="31" t="s">
        <v>149</v>
      </c>
      <c r="J508" s="31"/>
      <c r="K508" s="31" t="s">
        <v>150</v>
      </c>
      <c r="L508" s="45" t="n">
        <f aca="false">DATE(YEAR(B508),MONTH(B508),1)</f>
        <v>46204</v>
      </c>
      <c r="M508" s="31" t="n">
        <f aca="false">WEEKDAY(B508,2)</f>
        <v>3</v>
      </c>
      <c r="N508" s="31" t="str">
        <f aca="false">IF(G508&lt;=INDEX(Assumptions!$B$15:$B$18,MATCH(E508,Assumptions!$A$15:$A$18,0)),"Yes","No")</f>
        <v>No</v>
      </c>
      <c r="O508" s="31" t="str">
        <f aca="false">IF(H508="","Open",IF(H508&lt;=INDEX(Assumptions!$C$15:$C$18,MATCH(E508,Assumptions!$A$15:$A$18,0)),"Yes","No"))</f>
        <v>Yes</v>
      </c>
    </row>
    <row r="509" customFormat="false" ht="15" hidden="false" customHeight="false" outlineLevel="0" collapsed="false">
      <c r="A509" s="31" t="s">
        <v>659</v>
      </c>
      <c r="B509" s="44" t="n">
        <v>46211</v>
      </c>
      <c r="C509" s="31" t="s">
        <v>60</v>
      </c>
      <c r="D509" s="31" t="s">
        <v>69</v>
      </c>
      <c r="E509" s="31" t="s">
        <v>51</v>
      </c>
      <c r="F509" s="31" t="s">
        <v>124</v>
      </c>
      <c r="G509" s="31" t="n">
        <v>1</v>
      </c>
      <c r="H509" s="41" t="n">
        <v>102.7</v>
      </c>
      <c r="I509" s="31" t="s">
        <v>149</v>
      </c>
      <c r="J509" s="31"/>
      <c r="K509" s="31" t="s">
        <v>150</v>
      </c>
      <c r="L509" s="45" t="n">
        <f aca="false">DATE(YEAR(B509),MONTH(B509),1)</f>
        <v>46204</v>
      </c>
      <c r="M509" s="31" t="n">
        <f aca="false">WEEKDAY(B509,2)</f>
        <v>3</v>
      </c>
      <c r="N509" s="31" t="str">
        <f aca="false">IF(G509&lt;=INDEX(Assumptions!$B$15:$B$18,MATCH(E509,Assumptions!$A$15:$A$18,0)),"Yes","No")</f>
        <v>Yes</v>
      </c>
      <c r="O509" s="31" t="str">
        <f aca="false">IF(H509="","Open",IF(H509&lt;=INDEX(Assumptions!$C$15:$C$18,MATCH(E509,Assumptions!$A$15:$A$18,0)),"Yes","No"))</f>
        <v>No</v>
      </c>
    </row>
    <row r="510" customFormat="false" ht="15" hidden="false" customHeight="false" outlineLevel="0" collapsed="false">
      <c r="A510" s="31" t="s">
        <v>660</v>
      </c>
      <c r="B510" s="44" t="n">
        <v>46211</v>
      </c>
      <c r="C510" s="31" t="s">
        <v>58</v>
      </c>
      <c r="D510" s="31" t="s">
        <v>69</v>
      </c>
      <c r="E510" s="31" t="s">
        <v>50</v>
      </c>
      <c r="F510" s="31" t="s">
        <v>135</v>
      </c>
      <c r="G510" s="31" t="n">
        <v>8</v>
      </c>
      <c r="H510" s="41" t="n">
        <v>15.6</v>
      </c>
      <c r="I510" s="31" t="s">
        <v>149</v>
      </c>
      <c r="J510" s="31"/>
      <c r="K510" s="31" t="s">
        <v>150</v>
      </c>
      <c r="L510" s="45" t="n">
        <f aca="false">DATE(YEAR(B510),MONTH(B510),1)</f>
        <v>46204</v>
      </c>
      <c r="M510" s="31" t="n">
        <f aca="false">WEEKDAY(B510,2)</f>
        <v>3</v>
      </c>
      <c r="N510" s="31" t="str">
        <f aca="false">IF(G510&lt;=INDEX(Assumptions!$B$15:$B$18,MATCH(E510,Assumptions!$A$15:$A$18,0)),"Yes","No")</f>
        <v>Yes</v>
      </c>
      <c r="O510" s="31" t="str">
        <f aca="false">IF(H510="","Open",IF(H510&lt;=INDEX(Assumptions!$C$15:$C$18,MATCH(E510,Assumptions!$A$15:$A$18,0)),"Yes","No"))</f>
        <v>No</v>
      </c>
    </row>
    <row r="511" customFormat="false" ht="15" hidden="false" customHeight="false" outlineLevel="0" collapsed="false">
      <c r="A511" s="31" t="s">
        <v>661</v>
      </c>
      <c r="B511" s="44" t="n">
        <v>46211</v>
      </c>
      <c r="C511" s="31" t="s">
        <v>58</v>
      </c>
      <c r="D511" s="31" t="s">
        <v>65</v>
      </c>
      <c r="E511" s="31" t="s">
        <v>51</v>
      </c>
      <c r="F511" s="31" t="s">
        <v>126</v>
      </c>
      <c r="G511" s="31" t="n">
        <v>3</v>
      </c>
      <c r="H511" s="41" t="n">
        <v>4.6</v>
      </c>
      <c r="I511" s="31" t="s">
        <v>149</v>
      </c>
      <c r="J511" s="31"/>
      <c r="K511" s="31" t="s">
        <v>150</v>
      </c>
      <c r="L511" s="45" t="n">
        <f aca="false">DATE(YEAR(B511),MONTH(B511),1)</f>
        <v>46204</v>
      </c>
      <c r="M511" s="31" t="n">
        <f aca="false">WEEKDAY(B511,2)</f>
        <v>3</v>
      </c>
      <c r="N511" s="31" t="str">
        <f aca="false">IF(G511&lt;=INDEX(Assumptions!$B$15:$B$18,MATCH(E511,Assumptions!$A$15:$A$18,0)),"Yes","No")</f>
        <v>Yes</v>
      </c>
      <c r="O511" s="31" t="str">
        <f aca="false">IF(H511="","Open",IF(H511&lt;=INDEX(Assumptions!$C$15:$C$18,MATCH(E511,Assumptions!$A$15:$A$18,0)),"Yes","No"))</f>
        <v>Yes</v>
      </c>
    </row>
    <row r="512" customFormat="false" ht="15" hidden="false" customHeight="false" outlineLevel="0" collapsed="false">
      <c r="A512" s="31" t="s">
        <v>662</v>
      </c>
      <c r="B512" s="44" t="n">
        <v>46211</v>
      </c>
      <c r="C512" s="31" t="s">
        <v>59</v>
      </c>
      <c r="D512" s="31" t="s">
        <v>66</v>
      </c>
      <c r="E512" s="31" t="s">
        <v>51</v>
      </c>
      <c r="F512" s="31" t="s">
        <v>117</v>
      </c>
      <c r="G512" s="31" t="n">
        <v>39</v>
      </c>
      <c r="H512" s="41" t="n">
        <v>4.3</v>
      </c>
      <c r="I512" s="31" t="s">
        <v>149</v>
      </c>
      <c r="J512" s="31" t="n">
        <v>4</v>
      </c>
      <c r="K512" s="31" t="s">
        <v>150</v>
      </c>
      <c r="L512" s="45" t="n">
        <f aca="false">DATE(YEAR(B512),MONTH(B512),1)</f>
        <v>46204</v>
      </c>
      <c r="M512" s="31" t="n">
        <f aca="false">WEEKDAY(B512,2)</f>
        <v>3</v>
      </c>
      <c r="N512" s="31" t="str">
        <f aca="false">IF(G512&lt;=INDEX(Assumptions!$B$15:$B$18,MATCH(E512,Assumptions!$A$15:$A$18,0)),"Yes","No")</f>
        <v>Yes</v>
      </c>
      <c r="O512" s="31" t="str">
        <f aca="false">IF(H512="","Open",IF(H512&lt;=INDEX(Assumptions!$C$15:$C$18,MATCH(E512,Assumptions!$A$15:$A$18,0)),"Yes","No"))</f>
        <v>Yes</v>
      </c>
    </row>
    <row r="513" customFormat="false" ht="15" hidden="false" customHeight="false" outlineLevel="0" collapsed="false">
      <c r="A513" s="31" t="s">
        <v>663</v>
      </c>
      <c r="B513" s="44" t="n">
        <v>46211</v>
      </c>
      <c r="C513" s="31" t="s">
        <v>57</v>
      </c>
      <c r="D513" s="31" t="s">
        <v>69</v>
      </c>
      <c r="E513" s="31" t="s">
        <v>52</v>
      </c>
      <c r="F513" s="31" t="s">
        <v>122</v>
      </c>
      <c r="G513" s="31" t="n">
        <v>6</v>
      </c>
      <c r="H513" s="41" t="n">
        <v>10.7</v>
      </c>
      <c r="I513" s="31" t="s">
        <v>149</v>
      </c>
      <c r="J513" s="31" t="n">
        <v>5</v>
      </c>
      <c r="K513" s="31" t="s">
        <v>150</v>
      </c>
      <c r="L513" s="45" t="n">
        <f aca="false">DATE(YEAR(B513),MONTH(B513),1)</f>
        <v>46204</v>
      </c>
      <c r="M513" s="31" t="n">
        <f aca="false">WEEKDAY(B513,2)</f>
        <v>3</v>
      </c>
      <c r="N513" s="31" t="str">
        <f aca="false">IF(G513&lt;=INDEX(Assumptions!$B$15:$B$18,MATCH(E513,Assumptions!$A$15:$A$18,0)),"Yes","No")</f>
        <v>Yes</v>
      </c>
      <c r="O513" s="31" t="str">
        <f aca="false">IF(H513="","Open",IF(H513&lt;=INDEX(Assumptions!$C$15:$C$18,MATCH(E513,Assumptions!$A$15:$A$18,0)),"Yes","No"))</f>
        <v>Yes</v>
      </c>
    </row>
    <row r="514" customFormat="false" ht="15" hidden="false" customHeight="false" outlineLevel="0" collapsed="false">
      <c r="A514" s="31" t="s">
        <v>664</v>
      </c>
      <c r="B514" s="44" t="n">
        <v>46211</v>
      </c>
      <c r="C514" s="31" t="s">
        <v>59</v>
      </c>
      <c r="D514" s="31" t="s">
        <v>68</v>
      </c>
      <c r="E514" s="31" t="s">
        <v>51</v>
      </c>
      <c r="F514" s="31" t="s">
        <v>131</v>
      </c>
      <c r="G514" s="31" t="n">
        <v>80</v>
      </c>
      <c r="H514" s="41" t="n">
        <v>3</v>
      </c>
      <c r="I514" s="31" t="s">
        <v>149</v>
      </c>
      <c r="J514" s="31"/>
      <c r="K514" s="31" t="s">
        <v>150</v>
      </c>
      <c r="L514" s="45" t="n">
        <f aca="false">DATE(YEAR(B514),MONTH(B514),1)</f>
        <v>46204</v>
      </c>
      <c r="M514" s="31" t="n">
        <f aca="false">WEEKDAY(B514,2)</f>
        <v>3</v>
      </c>
      <c r="N514" s="31" t="str">
        <f aca="false">IF(G514&lt;=INDEX(Assumptions!$B$15:$B$18,MATCH(E514,Assumptions!$A$15:$A$18,0)),"Yes","No")</f>
        <v>No</v>
      </c>
      <c r="O514" s="31" t="str">
        <f aca="false">IF(H514="","Open",IF(H514&lt;=INDEX(Assumptions!$C$15:$C$18,MATCH(E514,Assumptions!$A$15:$A$18,0)),"Yes","No"))</f>
        <v>Yes</v>
      </c>
    </row>
    <row r="515" customFormat="false" ht="15" hidden="false" customHeight="false" outlineLevel="0" collapsed="false">
      <c r="A515" s="31" t="s">
        <v>665</v>
      </c>
      <c r="B515" s="44" t="n">
        <v>46211</v>
      </c>
      <c r="C515" s="31" t="s">
        <v>59</v>
      </c>
      <c r="D515" s="31" t="s">
        <v>65</v>
      </c>
      <c r="E515" s="31" t="s">
        <v>51</v>
      </c>
      <c r="F515" s="31" t="s">
        <v>117</v>
      </c>
      <c r="G515" s="31" t="n">
        <v>32</v>
      </c>
      <c r="H515" s="41" t="n">
        <v>8.1</v>
      </c>
      <c r="I515" s="31" t="s">
        <v>149</v>
      </c>
      <c r="J515" s="31" t="n">
        <v>4</v>
      </c>
      <c r="K515" s="31" t="s">
        <v>150</v>
      </c>
      <c r="L515" s="45" t="n">
        <f aca="false">DATE(YEAR(B515),MONTH(B515),1)</f>
        <v>46204</v>
      </c>
      <c r="M515" s="31" t="n">
        <f aca="false">WEEKDAY(B515,2)</f>
        <v>3</v>
      </c>
      <c r="N515" s="31" t="str">
        <f aca="false">IF(G515&lt;=INDEX(Assumptions!$B$15:$B$18,MATCH(E515,Assumptions!$A$15:$A$18,0)),"Yes","No")</f>
        <v>Yes</v>
      </c>
      <c r="O515" s="31" t="str">
        <f aca="false">IF(H515="","Open",IF(H515&lt;=INDEX(Assumptions!$C$15:$C$18,MATCH(E515,Assumptions!$A$15:$A$18,0)),"Yes","No"))</f>
        <v>Yes</v>
      </c>
    </row>
    <row r="516" customFormat="false" ht="15" hidden="false" customHeight="false" outlineLevel="0" collapsed="false">
      <c r="A516" s="31" t="s">
        <v>666</v>
      </c>
      <c r="B516" s="44" t="n">
        <v>46211</v>
      </c>
      <c r="C516" s="31" t="s">
        <v>60</v>
      </c>
      <c r="D516" s="31" t="s">
        <v>67</v>
      </c>
      <c r="E516" s="31" t="s">
        <v>51</v>
      </c>
      <c r="F516" s="31" t="s">
        <v>129</v>
      </c>
      <c r="G516" s="31" t="n">
        <v>1</v>
      </c>
      <c r="H516" s="41" t="n">
        <v>20.8</v>
      </c>
      <c r="I516" s="31" t="s">
        <v>64</v>
      </c>
      <c r="J516" s="31" t="n">
        <v>4</v>
      </c>
      <c r="K516" s="31" t="s">
        <v>150</v>
      </c>
      <c r="L516" s="45" t="n">
        <f aca="false">DATE(YEAR(B516),MONTH(B516),1)</f>
        <v>46204</v>
      </c>
      <c r="M516" s="31" t="n">
        <f aca="false">WEEKDAY(B516,2)</f>
        <v>3</v>
      </c>
      <c r="N516" s="31" t="str">
        <f aca="false">IF(G516&lt;=INDEX(Assumptions!$B$15:$B$18,MATCH(E516,Assumptions!$A$15:$A$18,0)),"Yes","No")</f>
        <v>Yes</v>
      </c>
      <c r="O516" s="31" t="str">
        <f aca="false">IF(H516="","Open",IF(H516&lt;=INDEX(Assumptions!$C$15:$C$18,MATCH(E516,Assumptions!$A$15:$A$18,0)),"Yes","No"))</f>
        <v>Yes</v>
      </c>
    </row>
    <row r="517" customFormat="false" ht="15" hidden="false" customHeight="false" outlineLevel="0" collapsed="false">
      <c r="A517" s="31" t="s">
        <v>667</v>
      </c>
      <c r="B517" s="44" t="n">
        <v>46211</v>
      </c>
      <c r="C517" s="31" t="s">
        <v>60</v>
      </c>
      <c r="D517" s="31" t="s">
        <v>68</v>
      </c>
      <c r="E517" s="31" t="s">
        <v>52</v>
      </c>
      <c r="F517" s="31" t="s">
        <v>133</v>
      </c>
      <c r="G517" s="31" t="n">
        <v>2</v>
      </c>
      <c r="H517" s="41" t="n">
        <v>5.6</v>
      </c>
      <c r="I517" s="31" t="s">
        <v>149</v>
      </c>
      <c r="J517" s="31" t="n">
        <v>5</v>
      </c>
      <c r="K517" s="31" t="s">
        <v>150</v>
      </c>
      <c r="L517" s="45" t="n">
        <f aca="false">DATE(YEAR(B517),MONTH(B517),1)</f>
        <v>46204</v>
      </c>
      <c r="M517" s="31" t="n">
        <f aca="false">WEEKDAY(B517,2)</f>
        <v>3</v>
      </c>
      <c r="N517" s="31" t="str">
        <f aca="false">IF(G517&lt;=INDEX(Assumptions!$B$15:$B$18,MATCH(E517,Assumptions!$A$15:$A$18,0)),"Yes","No")</f>
        <v>Yes</v>
      </c>
      <c r="O517" s="31" t="str">
        <f aca="false">IF(H517="","Open",IF(H517&lt;=INDEX(Assumptions!$C$15:$C$18,MATCH(E517,Assumptions!$A$15:$A$18,0)),"Yes","No"))</f>
        <v>Yes</v>
      </c>
    </row>
    <row r="518" customFormat="false" ht="15" hidden="false" customHeight="false" outlineLevel="0" collapsed="false">
      <c r="A518" s="31" t="s">
        <v>668</v>
      </c>
      <c r="B518" s="44" t="n">
        <v>46211</v>
      </c>
      <c r="C518" s="31" t="s">
        <v>59</v>
      </c>
      <c r="D518" s="31" t="s">
        <v>67</v>
      </c>
      <c r="E518" s="31" t="s">
        <v>51</v>
      </c>
      <c r="F518" s="31" t="s">
        <v>117</v>
      </c>
      <c r="G518" s="31" t="n">
        <v>99</v>
      </c>
      <c r="H518" s="41" t="n">
        <v>4.6</v>
      </c>
      <c r="I518" s="31" t="s">
        <v>149</v>
      </c>
      <c r="J518" s="31" t="n">
        <v>4</v>
      </c>
      <c r="K518" s="31" t="s">
        <v>150</v>
      </c>
      <c r="L518" s="45" t="n">
        <f aca="false">DATE(YEAR(B518),MONTH(B518),1)</f>
        <v>46204</v>
      </c>
      <c r="M518" s="31" t="n">
        <f aca="false">WEEKDAY(B518,2)</f>
        <v>3</v>
      </c>
      <c r="N518" s="31" t="str">
        <f aca="false">IF(G518&lt;=INDEX(Assumptions!$B$15:$B$18,MATCH(E518,Assumptions!$A$15:$A$18,0)),"Yes","No")</f>
        <v>No</v>
      </c>
      <c r="O518" s="31" t="str">
        <f aca="false">IF(H518="","Open",IF(H518&lt;=INDEX(Assumptions!$C$15:$C$18,MATCH(E518,Assumptions!$A$15:$A$18,0)),"Yes","No"))</f>
        <v>Yes</v>
      </c>
    </row>
    <row r="519" customFormat="false" ht="15" hidden="false" customHeight="false" outlineLevel="0" collapsed="false">
      <c r="A519" s="31" t="s">
        <v>669</v>
      </c>
      <c r="B519" s="44" t="n">
        <v>46211</v>
      </c>
      <c r="C519" s="31" t="s">
        <v>60</v>
      </c>
      <c r="D519" s="31" t="s">
        <v>69</v>
      </c>
      <c r="E519" s="31" t="s">
        <v>52</v>
      </c>
      <c r="F519" s="31" t="s">
        <v>131</v>
      </c>
      <c r="G519" s="31" t="n">
        <v>2</v>
      </c>
      <c r="H519" s="41" t="n">
        <v>11.3</v>
      </c>
      <c r="I519" s="31" t="s">
        <v>149</v>
      </c>
      <c r="J519" s="31"/>
      <c r="K519" s="31" t="s">
        <v>150</v>
      </c>
      <c r="L519" s="45" t="n">
        <f aca="false">DATE(YEAR(B519),MONTH(B519),1)</f>
        <v>46204</v>
      </c>
      <c r="M519" s="31" t="n">
        <f aca="false">WEEKDAY(B519,2)</f>
        <v>3</v>
      </c>
      <c r="N519" s="31" t="str">
        <f aca="false">IF(G519&lt;=INDEX(Assumptions!$B$15:$B$18,MATCH(E519,Assumptions!$A$15:$A$18,0)),"Yes","No")</f>
        <v>Yes</v>
      </c>
      <c r="O519" s="31" t="str">
        <f aca="false">IF(H519="","Open",IF(H519&lt;=INDEX(Assumptions!$C$15:$C$18,MATCH(E519,Assumptions!$A$15:$A$18,0)),"Yes","No"))</f>
        <v>Yes</v>
      </c>
    </row>
    <row r="520" customFormat="false" ht="15" hidden="false" customHeight="false" outlineLevel="0" collapsed="false">
      <c r="A520" s="31" t="s">
        <v>670</v>
      </c>
      <c r="B520" s="44" t="n">
        <v>46211</v>
      </c>
      <c r="C520" s="31" t="s">
        <v>57</v>
      </c>
      <c r="D520" s="31" t="s">
        <v>69</v>
      </c>
      <c r="E520" s="31" t="s">
        <v>52</v>
      </c>
      <c r="F520" s="31" t="s">
        <v>126</v>
      </c>
      <c r="G520" s="31" t="n">
        <v>3</v>
      </c>
      <c r="H520" s="41" t="n">
        <v>23.5</v>
      </c>
      <c r="I520" s="31" t="s">
        <v>64</v>
      </c>
      <c r="J520" s="31" t="n">
        <v>4</v>
      </c>
      <c r="K520" s="31" t="s">
        <v>150</v>
      </c>
      <c r="L520" s="45" t="n">
        <f aca="false">DATE(YEAR(B520),MONTH(B520),1)</f>
        <v>46204</v>
      </c>
      <c r="M520" s="31" t="n">
        <f aca="false">WEEKDAY(B520,2)</f>
        <v>3</v>
      </c>
      <c r="N520" s="31" t="str">
        <f aca="false">IF(G520&lt;=INDEX(Assumptions!$B$15:$B$18,MATCH(E520,Assumptions!$A$15:$A$18,0)),"Yes","No")</f>
        <v>Yes</v>
      </c>
      <c r="O520" s="31" t="str">
        <f aca="false">IF(H520="","Open",IF(H520&lt;=INDEX(Assumptions!$C$15:$C$18,MATCH(E520,Assumptions!$A$15:$A$18,0)),"Yes","No"))</f>
        <v>Yes</v>
      </c>
    </row>
    <row r="521" customFormat="false" ht="15" hidden="false" customHeight="false" outlineLevel="0" collapsed="false">
      <c r="A521" s="31" t="s">
        <v>671</v>
      </c>
      <c r="B521" s="44" t="n">
        <v>46211</v>
      </c>
      <c r="C521" s="31" t="s">
        <v>57</v>
      </c>
      <c r="D521" s="31" t="s">
        <v>65</v>
      </c>
      <c r="E521" s="31" t="s">
        <v>49</v>
      </c>
      <c r="F521" s="31" t="s">
        <v>130</v>
      </c>
      <c r="G521" s="31" t="n">
        <v>3</v>
      </c>
      <c r="H521" s="41" t="n">
        <v>1.6</v>
      </c>
      <c r="I521" s="31" t="s">
        <v>149</v>
      </c>
      <c r="J521" s="31" t="n">
        <v>5</v>
      </c>
      <c r="K521" s="31" t="s">
        <v>150</v>
      </c>
      <c r="L521" s="45" t="n">
        <f aca="false">DATE(YEAR(B521),MONTH(B521),1)</f>
        <v>46204</v>
      </c>
      <c r="M521" s="31" t="n">
        <f aca="false">WEEKDAY(B521,2)</f>
        <v>3</v>
      </c>
      <c r="N521" s="31" t="str">
        <f aca="false">IF(G521&lt;=INDEX(Assumptions!$B$15:$B$18,MATCH(E521,Assumptions!$A$15:$A$18,0)),"Yes","No")</f>
        <v>Yes</v>
      </c>
      <c r="O521" s="31" t="str">
        <f aca="false">IF(H521="","Open",IF(H521&lt;=INDEX(Assumptions!$C$15:$C$18,MATCH(E521,Assumptions!$A$15:$A$18,0)),"Yes","No"))</f>
        <v>Yes</v>
      </c>
    </row>
    <row r="522" customFormat="false" ht="15" hidden="false" customHeight="false" outlineLevel="0" collapsed="false">
      <c r="A522" s="31" t="s">
        <v>672</v>
      </c>
      <c r="B522" s="44" t="n">
        <v>46211</v>
      </c>
      <c r="C522" s="31" t="s">
        <v>60</v>
      </c>
      <c r="D522" s="31" t="s">
        <v>67</v>
      </c>
      <c r="E522" s="31" t="s">
        <v>51</v>
      </c>
      <c r="F522" s="31" t="s">
        <v>123</v>
      </c>
      <c r="G522" s="31" t="n">
        <v>2</v>
      </c>
      <c r="H522" s="41" t="n">
        <v>23.2</v>
      </c>
      <c r="I522" s="31" t="s">
        <v>149</v>
      </c>
      <c r="J522" s="31"/>
      <c r="K522" s="31" t="s">
        <v>150</v>
      </c>
      <c r="L522" s="45" t="n">
        <f aca="false">DATE(YEAR(B522),MONTH(B522),1)</f>
        <v>46204</v>
      </c>
      <c r="M522" s="31" t="n">
        <f aca="false">WEEKDAY(B522,2)</f>
        <v>3</v>
      </c>
      <c r="N522" s="31" t="str">
        <f aca="false">IF(G522&lt;=INDEX(Assumptions!$B$15:$B$18,MATCH(E522,Assumptions!$A$15:$A$18,0)),"Yes","No")</f>
        <v>Yes</v>
      </c>
      <c r="O522" s="31" t="str">
        <f aca="false">IF(H522="","Open",IF(H522&lt;=INDEX(Assumptions!$C$15:$C$18,MATCH(E522,Assumptions!$A$15:$A$18,0)),"Yes","No"))</f>
        <v>Yes</v>
      </c>
    </row>
    <row r="523" customFormat="false" ht="15" hidden="false" customHeight="false" outlineLevel="0" collapsed="false">
      <c r="A523" s="31" t="s">
        <v>673</v>
      </c>
      <c r="B523" s="44" t="n">
        <v>46211</v>
      </c>
      <c r="C523" s="31" t="s">
        <v>58</v>
      </c>
      <c r="D523" s="31" t="s">
        <v>66</v>
      </c>
      <c r="E523" s="31" t="s">
        <v>52</v>
      </c>
      <c r="F523" s="31" t="s">
        <v>121</v>
      </c>
      <c r="G523" s="31" t="n">
        <v>9</v>
      </c>
      <c r="H523" s="41" t="n">
        <v>10.1</v>
      </c>
      <c r="I523" s="31" t="s">
        <v>149</v>
      </c>
      <c r="J523" s="31"/>
      <c r="K523" s="31" t="s">
        <v>150</v>
      </c>
      <c r="L523" s="45" t="n">
        <f aca="false">DATE(YEAR(B523),MONTH(B523),1)</f>
        <v>46204</v>
      </c>
      <c r="M523" s="31" t="n">
        <f aca="false">WEEKDAY(B523,2)</f>
        <v>3</v>
      </c>
      <c r="N523" s="31" t="str">
        <f aca="false">IF(G523&lt;=INDEX(Assumptions!$B$15:$B$18,MATCH(E523,Assumptions!$A$15:$A$18,0)),"Yes","No")</f>
        <v>Yes</v>
      </c>
      <c r="O523" s="31" t="str">
        <f aca="false">IF(H523="","Open",IF(H523&lt;=INDEX(Assumptions!$C$15:$C$18,MATCH(E523,Assumptions!$A$15:$A$18,0)),"Yes","No"))</f>
        <v>Yes</v>
      </c>
    </row>
    <row r="524" customFormat="false" ht="15" hidden="false" customHeight="false" outlineLevel="0" collapsed="false">
      <c r="A524" s="31" t="s">
        <v>674</v>
      </c>
      <c r="B524" s="44" t="n">
        <v>46211</v>
      </c>
      <c r="C524" s="31" t="s">
        <v>59</v>
      </c>
      <c r="D524" s="31" t="s">
        <v>69</v>
      </c>
      <c r="E524" s="31" t="s">
        <v>50</v>
      </c>
      <c r="F524" s="31" t="s">
        <v>124</v>
      </c>
      <c r="G524" s="31" t="n">
        <v>33</v>
      </c>
      <c r="H524" s="41"/>
      <c r="I524" s="31" t="s">
        <v>158</v>
      </c>
      <c r="J524" s="31"/>
      <c r="K524" s="31" t="s">
        <v>150</v>
      </c>
      <c r="L524" s="45" t="n">
        <f aca="false">DATE(YEAR(B524),MONTH(B524),1)</f>
        <v>46204</v>
      </c>
      <c r="M524" s="31" t="n">
        <f aca="false">WEEKDAY(B524,2)</f>
        <v>3</v>
      </c>
      <c r="N524" s="31" t="str">
        <f aca="false">IF(G524&lt;=INDEX(Assumptions!$B$15:$B$18,MATCH(E524,Assumptions!$A$15:$A$18,0)),"Yes","No")</f>
        <v>No</v>
      </c>
      <c r="O524" s="31" t="str">
        <f aca="false">IF(H524="","Open",IF(H524&lt;=INDEX(Assumptions!$C$15:$C$18,MATCH(E524,Assumptions!$A$15:$A$18,0)),"Yes","No"))</f>
        <v>Open</v>
      </c>
    </row>
    <row r="525" customFormat="false" ht="15" hidden="false" customHeight="false" outlineLevel="0" collapsed="false">
      <c r="A525" s="31" t="s">
        <v>675</v>
      </c>
      <c r="B525" s="44" t="n">
        <v>46211</v>
      </c>
      <c r="C525" s="31" t="s">
        <v>58</v>
      </c>
      <c r="D525" s="31" t="s">
        <v>65</v>
      </c>
      <c r="E525" s="31" t="s">
        <v>49</v>
      </c>
      <c r="F525" s="31" t="s">
        <v>136</v>
      </c>
      <c r="G525" s="31" t="n">
        <v>2</v>
      </c>
      <c r="H525" s="41" t="n">
        <v>2.4</v>
      </c>
      <c r="I525" s="31" t="s">
        <v>149</v>
      </c>
      <c r="J525" s="31" t="n">
        <v>5</v>
      </c>
      <c r="K525" s="31" t="s">
        <v>150</v>
      </c>
      <c r="L525" s="45" t="n">
        <f aca="false">DATE(YEAR(B525),MONTH(B525),1)</f>
        <v>46204</v>
      </c>
      <c r="M525" s="31" t="n">
        <f aca="false">WEEKDAY(B525,2)</f>
        <v>3</v>
      </c>
      <c r="N525" s="31" t="str">
        <f aca="false">IF(G525&lt;=INDEX(Assumptions!$B$15:$B$18,MATCH(E525,Assumptions!$A$15:$A$18,0)),"Yes","No")</f>
        <v>Yes</v>
      </c>
      <c r="O525" s="31" t="str">
        <f aca="false">IF(H525="","Open",IF(H525&lt;=INDEX(Assumptions!$C$15:$C$18,MATCH(E525,Assumptions!$A$15:$A$18,0)),"Yes","No"))</f>
        <v>Yes</v>
      </c>
    </row>
    <row r="526" customFormat="false" ht="15" hidden="false" customHeight="false" outlineLevel="0" collapsed="false">
      <c r="A526" s="31" t="s">
        <v>676</v>
      </c>
      <c r="B526" s="44" t="n">
        <v>46211</v>
      </c>
      <c r="C526" s="31" t="s">
        <v>60</v>
      </c>
      <c r="D526" s="31" t="s">
        <v>68</v>
      </c>
      <c r="E526" s="31" t="s">
        <v>51</v>
      </c>
      <c r="F526" s="31" t="s">
        <v>129</v>
      </c>
      <c r="G526" s="31" t="n">
        <v>1</v>
      </c>
      <c r="H526" s="41" t="n">
        <v>1.9</v>
      </c>
      <c r="I526" s="31" t="s">
        <v>149</v>
      </c>
      <c r="J526" s="31" t="n">
        <v>5</v>
      </c>
      <c r="K526" s="31" t="s">
        <v>150</v>
      </c>
      <c r="L526" s="45" t="n">
        <f aca="false">DATE(YEAR(B526),MONTH(B526),1)</f>
        <v>46204</v>
      </c>
      <c r="M526" s="31" t="n">
        <f aca="false">WEEKDAY(B526,2)</f>
        <v>3</v>
      </c>
      <c r="N526" s="31" t="str">
        <f aca="false">IF(G526&lt;=INDEX(Assumptions!$B$15:$B$18,MATCH(E526,Assumptions!$A$15:$A$18,0)),"Yes","No")</f>
        <v>Yes</v>
      </c>
      <c r="O526" s="31" t="str">
        <f aca="false">IF(H526="","Open",IF(H526&lt;=INDEX(Assumptions!$C$15:$C$18,MATCH(E526,Assumptions!$A$15:$A$18,0)),"Yes","No"))</f>
        <v>Yes</v>
      </c>
    </row>
    <row r="527" customFormat="false" ht="15" hidden="false" customHeight="false" outlineLevel="0" collapsed="false">
      <c r="A527" s="31" t="s">
        <v>677</v>
      </c>
      <c r="B527" s="44" t="n">
        <v>46211</v>
      </c>
      <c r="C527" s="31" t="s">
        <v>60</v>
      </c>
      <c r="D527" s="31" t="s">
        <v>68</v>
      </c>
      <c r="E527" s="31" t="s">
        <v>51</v>
      </c>
      <c r="F527" s="31" t="s">
        <v>135</v>
      </c>
      <c r="G527" s="31" t="n">
        <v>5</v>
      </c>
      <c r="H527" s="41" t="n">
        <v>1.4</v>
      </c>
      <c r="I527" s="31" t="s">
        <v>149</v>
      </c>
      <c r="J527" s="31" t="n">
        <v>5</v>
      </c>
      <c r="K527" s="31" t="s">
        <v>150</v>
      </c>
      <c r="L527" s="45" t="n">
        <f aca="false">DATE(YEAR(B527),MONTH(B527),1)</f>
        <v>46204</v>
      </c>
      <c r="M527" s="31" t="n">
        <f aca="false">WEEKDAY(B527,2)</f>
        <v>3</v>
      </c>
      <c r="N527" s="31" t="str">
        <f aca="false">IF(G527&lt;=INDEX(Assumptions!$B$15:$B$18,MATCH(E527,Assumptions!$A$15:$A$18,0)),"Yes","No")</f>
        <v>Yes</v>
      </c>
      <c r="O527" s="31" t="str">
        <f aca="false">IF(H527="","Open",IF(H527&lt;=INDEX(Assumptions!$C$15:$C$18,MATCH(E527,Assumptions!$A$15:$A$18,0)),"Yes","No"))</f>
        <v>Yes</v>
      </c>
    </row>
    <row r="528" customFormat="false" ht="15" hidden="false" customHeight="false" outlineLevel="0" collapsed="false">
      <c r="A528" s="31" t="s">
        <v>678</v>
      </c>
      <c r="B528" s="44" t="n">
        <v>46211</v>
      </c>
      <c r="C528" s="31" t="s">
        <v>59</v>
      </c>
      <c r="D528" s="31" t="s">
        <v>69</v>
      </c>
      <c r="E528" s="31" t="s">
        <v>51</v>
      </c>
      <c r="F528" s="31" t="s">
        <v>133</v>
      </c>
      <c r="G528" s="31" t="n">
        <v>60</v>
      </c>
      <c r="H528" s="41" t="n">
        <v>8.4</v>
      </c>
      <c r="I528" s="31" t="s">
        <v>149</v>
      </c>
      <c r="J528" s="31"/>
      <c r="K528" s="31" t="s">
        <v>150</v>
      </c>
      <c r="L528" s="45" t="n">
        <f aca="false">DATE(YEAR(B528),MONTH(B528),1)</f>
        <v>46204</v>
      </c>
      <c r="M528" s="31" t="n">
        <f aca="false">WEEKDAY(B528,2)</f>
        <v>3</v>
      </c>
      <c r="N528" s="31" t="str">
        <f aca="false">IF(G528&lt;=INDEX(Assumptions!$B$15:$B$18,MATCH(E528,Assumptions!$A$15:$A$18,0)),"Yes","No")</f>
        <v>Yes</v>
      </c>
      <c r="O528" s="31" t="str">
        <f aca="false">IF(H528="","Open",IF(H528&lt;=INDEX(Assumptions!$C$15:$C$18,MATCH(E528,Assumptions!$A$15:$A$18,0)),"Yes","No"))</f>
        <v>Yes</v>
      </c>
    </row>
    <row r="529" customFormat="false" ht="15" hidden="false" customHeight="false" outlineLevel="0" collapsed="false">
      <c r="A529" s="31" t="s">
        <v>679</v>
      </c>
      <c r="B529" s="44" t="n">
        <v>46211</v>
      </c>
      <c r="C529" s="31" t="s">
        <v>58</v>
      </c>
      <c r="D529" s="31" t="s">
        <v>68</v>
      </c>
      <c r="E529" s="31" t="s">
        <v>52</v>
      </c>
      <c r="F529" s="31" t="s">
        <v>124</v>
      </c>
      <c r="G529" s="31" t="n">
        <v>4</v>
      </c>
      <c r="H529" s="41"/>
      <c r="I529" s="31" t="s">
        <v>158</v>
      </c>
      <c r="J529" s="31"/>
      <c r="K529" s="31" t="s">
        <v>150</v>
      </c>
      <c r="L529" s="45" t="n">
        <f aca="false">DATE(YEAR(B529),MONTH(B529),1)</f>
        <v>46204</v>
      </c>
      <c r="M529" s="31" t="n">
        <f aca="false">WEEKDAY(B529,2)</f>
        <v>3</v>
      </c>
      <c r="N529" s="31" t="str">
        <f aca="false">IF(G529&lt;=INDEX(Assumptions!$B$15:$B$18,MATCH(E529,Assumptions!$A$15:$A$18,0)),"Yes","No")</f>
        <v>Yes</v>
      </c>
      <c r="O529" s="31" t="str">
        <f aca="false">IF(H529="","Open",IF(H529&lt;=INDEX(Assumptions!$C$15:$C$18,MATCH(E529,Assumptions!$A$15:$A$18,0)),"Yes","No"))</f>
        <v>Open</v>
      </c>
    </row>
    <row r="530" customFormat="false" ht="15" hidden="false" customHeight="false" outlineLevel="0" collapsed="false">
      <c r="A530" s="31" t="s">
        <v>680</v>
      </c>
      <c r="B530" s="44" t="n">
        <v>46211</v>
      </c>
      <c r="C530" s="31" t="s">
        <v>60</v>
      </c>
      <c r="D530" s="31" t="s">
        <v>65</v>
      </c>
      <c r="E530" s="31" t="s">
        <v>50</v>
      </c>
      <c r="F530" s="31" t="s">
        <v>121</v>
      </c>
      <c r="G530" s="31" t="n">
        <v>1</v>
      </c>
      <c r="H530" s="41" t="n">
        <v>2.5</v>
      </c>
      <c r="I530" s="31" t="s">
        <v>149</v>
      </c>
      <c r="J530" s="31" t="n">
        <v>4</v>
      </c>
      <c r="K530" s="31" t="s">
        <v>150</v>
      </c>
      <c r="L530" s="45" t="n">
        <f aca="false">DATE(YEAR(B530),MONTH(B530),1)</f>
        <v>46204</v>
      </c>
      <c r="M530" s="31" t="n">
        <f aca="false">WEEKDAY(B530,2)</f>
        <v>3</v>
      </c>
      <c r="N530" s="31" t="str">
        <f aca="false">IF(G530&lt;=INDEX(Assumptions!$B$15:$B$18,MATCH(E530,Assumptions!$A$15:$A$18,0)),"Yes","No")</f>
        <v>Yes</v>
      </c>
      <c r="O530" s="31" t="str">
        <f aca="false">IF(H530="","Open",IF(H530&lt;=INDEX(Assumptions!$C$15:$C$18,MATCH(E530,Assumptions!$A$15:$A$18,0)),"Yes","No"))</f>
        <v>Yes</v>
      </c>
    </row>
    <row r="531" customFormat="false" ht="15" hidden="false" customHeight="false" outlineLevel="0" collapsed="false">
      <c r="A531" s="31" t="s">
        <v>681</v>
      </c>
      <c r="B531" s="44" t="n">
        <v>46211</v>
      </c>
      <c r="C531" s="31" t="s">
        <v>59</v>
      </c>
      <c r="D531" s="31" t="s">
        <v>65</v>
      </c>
      <c r="E531" s="31" t="s">
        <v>50</v>
      </c>
      <c r="F531" s="31" t="s">
        <v>131</v>
      </c>
      <c r="G531" s="31" t="n">
        <v>42</v>
      </c>
      <c r="H531" s="41" t="n">
        <v>5.1</v>
      </c>
      <c r="I531" s="31" t="s">
        <v>149</v>
      </c>
      <c r="J531" s="31"/>
      <c r="K531" s="31" t="s">
        <v>150</v>
      </c>
      <c r="L531" s="45" t="n">
        <f aca="false">DATE(YEAR(B531),MONTH(B531),1)</f>
        <v>46204</v>
      </c>
      <c r="M531" s="31" t="n">
        <f aca="false">WEEKDAY(B531,2)</f>
        <v>3</v>
      </c>
      <c r="N531" s="31" t="str">
        <f aca="false">IF(G531&lt;=INDEX(Assumptions!$B$15:$B$18,MATCH(E531,Assumptions!$A$15:$A$18,0)),"Yes","No")</f>
        <v>No</v>
      </c>
      <c r="O531" s="31" t="str">
        <f aca="false">IF(H531="","Open",IF(H531&lt;=INDEX(Assumptions!$C$15:$C$18,MATCH(E531,Assumptions!$A$15:$A$18,0)),"Yes","No"))</f>
        <v>Yes</v>
      </c>
    </row>
    <row r="532" customFormat="false" ht="15" hidden="false" customHeight="false" outlineLevel="0" collapsed="false">
      <c r="A532" s="31" t="s">
        <v>682</v>
      </c>
      <c r="B532" s="44" t="n">
        <v>46211</v>
      </c>
      <c r="C532" s="31" t="s">
        <v>57</v>
      </c>
      <c r="D532" s="31" t="s">
        <v>67</v>
      </c>
      <c r="E532" s="31" t="s">
        <v>51</v>
      </c>
      <c r="F532" s="31" t="s">
        <v>131</v>
      </c>
      <c r="G532" s="31" t="n">
        <v>1</v>
      </c>
      <c r="H532" s="41" t="n">
        <v>29.6</v>
      </c>
      <c r="I532" s="31" t="s">
        <v>149</v>
      </c>
      <c r="J532" s="31"/>
      <c r="K532" s="31" t="s">
        <v>150</v>
      </c>
      <c r="L532" s="45" t="n">
        <f aca="false">DATE(YEAR(B532),MONTH(B532),1)</f>
        <v>46204</v>
      </c>
      <c r="M532" s="31" t="n">
        <f aca="false">WEEKDAY(B532,2)</f>
        <v>3</v>
      </c>
      <c r="N532" s="31" t="str">
        <f aca="false">IF(G532&lt;=INDEX(Assumptions!$B$15:$B$18,MATCH(E532,Assumptions!$A$15:$A$18,0)),"Yes","No")</f>
        <v>Yes</v>
      </c>
      <c r="O532" s="31" t="str">
        <f aca="false">IF(H532="","Open",IF(H532&lt;=INDEX(Assumptions!$C$15:$C$18,MATCH(E532,Assumptions!$A$15:$A$18,0)),"Yes","No"))</f>
        <v>No</v>
      </c>
    </row>
    <row r="533" customFormat="false" ht="15" hidden="false" customHeight="false" outlineLevel="0" collapsed="false">
      <c r="A533" s="31" t="s">
        <v>683</v>
      </c>
      <c r="B533" s="44" t="n">
        <v>46211</v>
      </c>
      <c r="C533" s="31" t="s">
        <v>57</v>
      </c>
      <c r="D533" s="31" t="s">
        <v>65</v>
      </c>
      <c r="E533" s="31" t="s">
        <v>51</v>
      </c>
      <c r="F533" s="31" t="s">
        <v>120</v>
      </c>
      <c r="G533" s="31" t="n">
        <v>8</v>
      </c>
      <c r="H533" s="41" t="n">
        <v>102.5</v>
      </c>
      <c r="I533" s="31" t="s">
        <v>149</v>
      </c>
      <c r="J533" s="31" t="n">
        <v>4</v>
      </c>
      <c r="K533" s="31" t="s">
        <v>153</v>
      </c>
      <c r="L533" s="45" t="n">
        <f aca="false">DATE(YEAR(B533),MONTH(B533),1)</f>
        <v>46204</v>
      </c>
      <c r="M533" s="31" t="n">
        <f aca="false">WEEKDAY(B533,2)</f>
        <v>3</v>
      </c>
      <c r="N533" s="31" t="str">
        <f aca="false">IF(G533&lt;=INDEX(Assumptions!$B$15:$B$18,MATCH(E533,Assumptions!$A$15:$A$18,0)),"Yes","No")</f>
        <v>Yes</v>
      </c>
      <c r="O533" s="31" t="str">
        <f aca="false">IF(H533="","Open",IF(H533&lt;=INDEX(Assumptions!$C$15:$C$18,MATCH(E533,Assumptions!$A$15:$A$18,0)),"Yes","No"))</f>
        <v>No</v>
      </c>
    </row>
    <row r="534" customFormat="false" ht="15" hidden="false" customHeight="false" outlineLevel="0" collapsed="false">
      <c r="A534" s="31" t="s">
        <v>684</v>
      </c>
      <c r="B534" s="44" t="n">
        <v>46211</v>
      </c>
      <c r="C534" s="31" t="s">
        <v>60</v>
      </c>
      <c r="D534" s="31" t="s">
        <v>68</v>
      </c>
      <c r="E534" s="31" t="s">
        <v>52</v>
      </c>
      <c r="F534" s="31" t="s">
        <v>131</v>
      </c>
      <c r="G534" s="31" t="n">
        <v>1</v>
      </c>
      <c r="H534" s="41" t="n">
        <v>6.9</v>
      </c>
      <c r="I534" s="31" t="s">
        <v>149</v>
      </c>
      <c r="J534" s="31" t="n">
        <v>5</v>
      </c>
      <c r="K534" s="31" t="s">
        <v>150</v>
      </c>
      <c r="L534" s="45" t="n">
        <f aca="false">DATE(YEAR(B534),MONTH(B534),1)</f>
        <v>46204</v>
      </c>
      <c r="M534" s="31" t="n">
        <f aca="false">WEEKDAY(B534,2)</f>
        <v>3</v>
      </c>
      <c r="N534" s="31" t="str">
        <f aca="false">IF(G534&lt;=INDEX(Assumptions!$B$15:$B$18,MATCH(E534,Assumptions!$A$15:$A$18,0)),"Yes","No")</f>
        <v>Yes</v>
      </c>
      <c r="O534" s="31" t="str">
        <f aca="false">IF(H534="","Open",IF(H534&lt;=INDEX(Assumptions!$C$15:$C$18,MATCH(E534,Assumptions!$A$15:$A$18,0)),"Yes","No"))</f>
        <v>Yes</v>
      </c>
    </row>
    <row r="535" customFormat="false" ht="15" hidden="false" customHeight="false" outlineLevel="0" collapsed="false">
      <c r="A535" s="31" t="s">
        <v>685</v>
      </c>
      <c r="B535" s="44" t="n">
        <v>46211</v>
      </c>
      <c r="C535" s="31" t="s">
        <v>58</v>
      </c>
      <c r="D535" s="31" t="s">
        <v>67</v>
      </c>
      <c r="E535" s="31" t="s">
        <v>52</v>
      </c>
      <c r="F535" s="31" t="s">
        <v>121</v>
      </c>
      <c r="G535" s="31" t="n">
        <v>15</v>
      </c>
      <c r="H535" s="41" t="n">
        <v>42.7</v>
      </c>
      <c r="I535" s="31" t="s">
        <v>149</v>
      </c>
      <c r="J535" s="31"/>
      <c r="K535" s="31" t="s">
        <v>150</v>
      </c>
      <c r="L535" s="45" t="n">
        <f aca="false">DATE(YEAR(B535),MONTH(B535),1)</f>
        <v>46204</v>
      </c>
      <c r="M535" s="31" t="n">
        <f aca="false">WEEKDAY(B535,2)</f>
        <v>3</v>
      </c>
      <c r="N535" s="31" t="str">
        <f aca="false">IF(G535&lt;=INDEX(Assumptions!$B$15:$B$18,MATCH(E535,Assumptions!$A$15:$A$18,0)),"Yes","No")</f>
        <v>Yes</v>
      </c>
      <c r="O535" s="31" t="str">
        <f aca="false">IF(H535="","Open",IF(H535&lt;=INDEX(Assumptions!$C$15:$C$18,MATCH(E535,Assumptions!$A$15:$A$18,0)),"Yes","No"))</f>
        <v>Yes</v>
      </c>
    </row>
    <row r="536" customFormat="false" ht="15" hidden="false" customHeight="false" outlineLevel="0" collapsed="false">
      <c r="A536" s="31" t="s">
        <v>686</v>
      </c>
      <c r="B536" s="44" t="n">
        <v>46211</v>
      </c>
      <c r="C536" s="31" t="s">
        <v>58</v>
      </c>
      <c r="D536" s="31" t="s">
        <v>67</v>
      </c>
      <c r="E536" s="31" t="s">
        <v>50</v>
      </c>
      <c r="F536" s="31" t="s">
        <v>124</v>
      </c>
      <c r="G536" s="31" t="n">
        <v>9</v>
      </c>
      <c r="H536" s="41" t="n">
        <v>6.8</v>
      </c>
      <c r="I536" s="31" t="s">
        <v>149</v>
      </c>
      <c r="J536" s="31" t="n">
        <v>4</v>
      </c>
      <c r="K536" s="31" t="s">
        <v>150</v>
      </c>
      <c r="L536" s="45" t="n">
        <f aca="false">DATE(YEAR(B536),MONTH(B536),1)</f>
        <v>46204</v>
      </c>
      <c r="M536" s="31" t="n">
        <f aca="false">WEEKDAY(B536,2)</f>
        <v>3</v>
      </c>
      <c r="N536" s="31" t="str">
        <f aca="false">IF(G536&lt;=INDEX(Assumptions!$B$15:$B$18,MATCH(E536,Assumptions!$A$15:$A$18,0)),"Yes","No")</f>
        <v>Yes</v>
      </c>
      <c r="O536" s="31" t="str">
        <f aca="false">IF(H536="","Open",IF(H536&lt;=INDEX(Assumptions!$C$15:$C$18,MATCH(E536,Assumptions!$A$15:$A$18,0)),"Yes","No"))</f>
        <v>Yes</v>
      </c>
    </row>
    <row r="537" customFormat="false" ht="15" hidden="false" customHeight="false" outlineLevel="0" collapsed="false">
      <c r="A537" s="31" t="s">
        <v>687</v>
      </c>
      <c r="B537" s="44" t="n">
        <v>46211</v>
      </c>
      <c r="C537" s="31" t="s">
        <v>58</v>
      </c>
      <c r="D537" s="31" t="s">
        <v>65</v>
      </c>
      <c r="E537" s="31" t="s">
        <v>49</v>
      </c>
      <c r="F537" s="31" t="s">
        <v>136</v>
      </c>
      <c r="G537" s="31" t="n">
        <v>5</v>
      </c>
      <c r="H537" s="41" t="n">
        <v>3.5</v>
      </c>
      <c r="I537" s="31" t="s">
        <v>149</v>
      </c>
      <c r="J537" s="31"/>
      <c r="K537" s="31" t="s">
        <v>150</v>
      </c>
      <c r="L537" s="45" t="n">
        <f aca="false">DATE(YEAR(B537),MONTH(B537),1)</f>
        <v>46204</v>
      </c>
      <c r="M537" s="31" t="n">
        <f aca="false">WEEKDAY(B537,2)</f>
        <v>3</v>
      </c>
      <c r="N537" s="31" t="str">
        <f aca="false">IF(G537&lt;=INDEX(Assumptions!$B$15:$B$18,MATCH(E537,Assumptions!$A$15:$A$18,0)),"Yes","No")</f>
        <v>Yes</v>
      </c>
      <c r="O537" s="31" t="str">
        <f aca="false">IF(H537="","Open",IF(H537&lt;=INDEX(Assumptions!$C$15:$C$18,MATCH(E537,Assumptions!$A$15:$A$18,0)),"Yes","No"))</f>
        <v>Yes</v>
      </c>
    </row>
    <row r="538" customFormat="false" ht="15" hidden="false" customHeight="false" outlineLevel="0" collapsed="false">
      <c r="A538" s="31" t="s">
        <v>688</v>
      </c>
      <c r="B538" s="44" t="n">
        <v>46211</v>
      </c>
      <c r="C538" s="31" t="s">
        <v>57</v>
      </c>
      <c r="D538" s="31" t="s">
        <v>65</v>
      </c>
      <c r="E538" s="31" t="s">
        <v>51</v>
      </c>
      <c r="F538" s="31" t="s">
        <v>135</v>
      </c>
      <c r="G538" s="31" t="n">
        <v>5</v>
      </c>
      <c r="H538" s="41" t="n">
        <v>9.5</v>
      </c>
      <c r="I538" s="31" t="s">
        <v>149</v>
      </c>
      <c r="J538" s="31" t="n">
        <v>5</v>
      </c>
      <c r="K538" s="31" t="s">
        <v>150</v>
      </c>
      <c r="L538" s="45" t="n">
        <f aca="false">DATE(YEAR(B538),MONTH(B538),1)</f>
        <v>46204</v>
      </c>
      <c r="M538" s="31" t="n">
        <f aca="false">WEEKDAY(B538,2)</f>
        <v>3</v>
      </c>
      <c r="N538" s="31" t="str">
        <f aca="false">IF(G538&lt;=INDEX(Assumptions!$B$15:$B$18,MATCH(E538,Assumptions!$A$15:$A$18,0)),"Yes","No")</f>
        <v>Yes</v>
      </c>
      <c r="O538" s="31" t="str">
        <f aca="false">IF(H538="","Open",IF(H538&lt;=INDEX(Assumptions!$C$15:$C$18,MATCH(E538,Assumptions!$A$15:$A$18,0)),"Yes","No"))</f>
        <v>Yes</v>
      </c>
    </row>
    <row r="539" customFormat="false" ht="15" hidden="false" customHeight="false" outlineLevel="0" collapsed="false">
      <c r="A539" s="31" t="s">
        <v>689</v>
      </c>
      <c r="B539" s="44" t="n">
        <v>46211</v>
      </c>
      <c r="C539" s="31" t="s">
        <v>59</v>
      </c>
      <c r="D539" s="31" t="s">
        <v>66</v>
      </c>
      <c r="E539" s="31" t="s">
        <v>52</v>
      </c>
      <c r="F539" s="31" t="s">
        <v>124</v>
      </c>
      <c r="G539" s="31" t="n">
        <v>40</v>
      </c>
      <c r="H539" s="41" t="n">
        <v>13.2</v>
      </c>
      <c r="I539" s="31" t="s">
        <v>149</v>
      </c>
      <c r="J539" s="31"/>
      <c r="K539" s="31" t="s">
        <v>150</v>
      </c>
      <c r="L539" s="45" t="n">
        <f aca="false">DATE(YEAR(B539),MONTH(B539),1)</f>
        <v>46204</v>
      </c>
      <c r="M539" s="31" t="n">
        <f aca="false">WEEKDAY(B539,2)</f>
        <v>3</v>
      </c>
      <c r="N539" s="31" t="str">
        <f aca="false">IF(G539&lt;=INDEX(Assumptions!$B$15:$B$18,MATCH(E539,Assumptions!$A$15:$A$18,0)),"Yes","No")</f>
        <v>Yes</v>
      </c>
      <c r="O539" s="31" t="str">
        <f aca="false">IF(H539="","Open",IF(H539&lt;=INDEX(Assumptions!$C$15:$C$18,MATCH(E539,Assumptions!$A$15:$A$18,0)),"Yes","No"))</f>
        <v>Yes</v>
      </c>
    </row>
    <row r="540" customFormat="false" ht="15" hidden="false" customHeight="false" outlineLevel="0" collapsed="false">
      <c r="A540" s="31" t="s">
        <v>690</v>
      </c>
      <c r="B540" s="44" t="n">
        <v>46211</v>
      </c>
      <c r="C540" s="31" t="s">
        <v>59</v>
      </c>
      <c r="D540" s="31" t="s">
        <v>65</v>
      </c>
      <c r="E540" s="31" t="s">
        <v>51</v>
      </c>
      <c r="F540" s="31" t="s">
        <v>124</v>
      </c>
      <c r="G540" s="31" t="n">
        <v>210</v>
      </c>
      <c r="H540" s="41" t="n">
        <v>16.7</v>
      </c>
      <c r="I540" s="31" t="s">
        <v>149</v>
      </c>
      <c r="J540" s="31"/>
      <c r="K540" s="31" t="s">
        <v>150</v>
      </c>
      <c r="L540" s="45" t="n">
        <f aca="false">DATE(YEAR(B540),MONTH(B540),1)</f>
        <v>46204</v>
      </c>
      <c r="M540" s="31" t="n">
        <f aca="false">WEEKDAY(B540,2)</f>
        <v>3</v>
      </c>
      <c r="N540" s="31" t="str">
        <f aca="false">IF(G540&lt;=INDEX(Assumptions!$B$15:$B$18,MATCH(E540,Assumptions!$A$15:$A$18,0)),"Yes","No")</f>
        <v>No</v>
      </c>
      <c r="O540" s="31" t="str">
        <f aca="false">IF(H540="","Open",IF(H540&lt;=INDEX(Assumptions!$C$15:$C$18,MATCH(E540,Assumptions!$A$15:$A$18,0)),"Yes","No"))</f>
        <v>Yes</v>
      </c>
    </row>
    <row r="541" customFormat="false" ht="15" hidden="false" customHeight="false" outlineLevel="0" collapsed="false">
      <c r="A541" s="31" t="s">
        <v>691</v>
      </c>
      <c r="B541" s="44" t="n">
        <v>46211</v>
      </c>
      <c r="C541" s="31" t="s">
        <v>57</v>
      </c>
      <c r="D541" s="31" t="s">
        <v>69</v>
      </c>
      <c r="E541" s="31" t="s">
        <v>52</v>
      </c>
      <c r="F541" s="31" t="s">
        <v>128</v>
      </c>
      <c r="G541" s="31" t="n">
        <v>11</v>
      </c>
      <c r="H541" s="41" t="n">
        <v>54.7</v>
      </c>
      <c r="I541" s="31" t="s">
        <v>149</v>
      </c>
      <c r="J541" s="31" t="n">
        <v>3</v>
      </c>
      <c r="K541" s="31" t="s">
        <v>153</v>
      </c>
      <c r="L541" s="45" t="n">
        <f aca="false">DATE(YEAR(B541),MONTH(B541),1)</f>
        <v>46204</v>
      </c>
      <c r="M541" s="31" t="n">
        <f aca="false">WEEKDAY(B541,2)</f>
        <v>3</v>
      </c>
      <c r="N541" s="31" t="str">
        <f aca="false">IF(G541&lt;=INDEX(Assumptions!$B$15:$B$18,MATCH(E541,Assumptions!$A$15:$A$18,0)),"Yes","No")</f>
        <v>Yes</v>
      </c>
      <c r="O541" s="31" t="str">
        <f aca="false">IF(H541="","Open",IF(H541&lt;=INDEX(Assumptions!$C$15:$C$18,MATCH(E541,Assumptions!$A$15:$A$18,0)),"Yes","No"))</f>
        <v>Yes</v>
      </c>
    </row>
    <row r="542" customFormat="false" ht="15" hidden="false" customHeight="false" outlineLevel="0" collapsed="false">
      <c r="A542" s="31" t="s">
        <v>692</v>
      </c>
      <c r="B542" s="44" t="n">
        <v>46211</v>
      </c>
      <c r="C542" s="31" t="s">
        <v>59</v>
      </c>
      <c r="D542" s="31" t="s">
        <v>66</v>
      </c>
      <c r="E542" s="31" t="s">
        <v>50</v>
      </c>
      <c r="F542" s="31" t="s">
        <v>128</v>
      </c>
      <c r="G542" s="31" t="n">
        <v>262</v>
      </c>
      <c r="H542" s="41"/>
      <c r="I542" s="31" t="s">
        <v>158</v>
      </c>
      <c r="J542" s="31"/>
      <c r="K542" s="31" t="s">
        <v>150</v>
      </c>
      <c r="L542" s="45" t="n">
        <f aca="false">DATE(YEAR(B542),MONTH(B542),1)</f>
        <v>46204</v>
      </c>
      <c r="M542" s="31" t="n">
        <f aca="false">WEEKDAY(B542,2)</f>
        <v>3</v>
      </c>
      <c r="N542" s="31" t="str">
        <f aca="false">IF(G542&lt;=INDEX(Assumptions!$B$15:$B$18,MATCH(E542,Assumptions!$A$15:$A$18,0)),"Yes","No")</f>
        <v>No</v>
      </c>
      <c r="O542" s="31" t="str">
        <f aca="false">IF(H542="","Open",IF(H542&lt;=INDEX(Assumptions!$C$15:$C$18,MATCH(E542,Assumptions!$A$15:$A$18,0)),"Yes","No"))</f>
        <v>Open</v>
      </c>
    </row>
    <row r="543" customFormat="false" ht="15" hidden="false" customHeight="false" outlineLevel="0" collapsed="false">
      <c r="A543" s="31" t="s">
        <v>693</v>
      </c>
      <c r="B543" s="44" t="n">
        <v>46211</v>
      </c>
      <c r="C543" s="31" t="s">
        <v>57</v>
      </c>
      <c r="D543" s="31" t="s">
        <v>67</v>
      </c>
      <c r="E543" s="31" t="s">
        <v>51</v>
      </c>
      <c r="F543" s="31" t="s">
        <v>131</v>
      </c>
      <c r="G543" s="31" t="n">
        <v>1</v>
      </c>
      <c r="H543" s="41" t="n">
        <v>8.8</v>
      </c>
      <c r="I543" s="31" t="s">
        <v>149</v>
      </c>
      <c r="J543" s="31"/>
      <c r="K543" s="31" t="s">
        <v>150</v>
      </c>
      <c r="L543" s="45" t="n">
        <f aca="false">DATE(YEAR(B543),MONTH(B543),1)</f>
        <v>46204</v>
      </c>
      <c r="M543" s="31" t="n">
        <f aca="false">WEEKDAY(B543,2)</f>
        <v>3</v>
      </c>
      <c r="N543" s="31" t="str">
        <f aca="false">IF(G543&lt;=INDEX(Assumptions!$B$15:$B$18,MATCH(E543,Assumptions!$A$15:$A$18,0)),"Yes","No")</f>
        <v>Yes</v>
      </c>
      <c r="O543" s="31" t="str">
        <f aca="false">IF(H543="","Open",IF(H543&lt;=INDEX(Assumptions!$C$15:$C$18,MATCH(E543,Assumptions!$A$15:$A$18,0)),"Yes","No"))</f>
        <v>Yes</v>
      </c>
    </row>
    <row r="544" customFormat="false" ht="15" hidden="false" customHeight="false" outlineLevel="0" collapsed="false">
      <c r="A544" s="31" t="s">
        <v>694</v>
      </c>
      <c r="B544" s="44" t="n">
        <v>46211</v>
      </c>
      <c r="C544" s="31" t="s">
        <v>58</v>
      </c>
      <c r="D544" s="31" t="s">
        <v>65</v>
      </c>
      <c r="E544" s="31" t="s">
        <v>51</v>
      </c>
      <c r="F544" s="31" t="s">
        <v>130</v>
      </c>
      <c r="G544" s="31" t="n">
        <v>7</v>
      </c>
      <c r="H544" s="41" t="n">
        <v>9.1</v>
      </c>
      <c r="I544" s="31" t="s">
        <v>149</v>
      </c>
      <c r="J544" s="31"/>
      <c r="K544" s="31" t="s">
        <v>150</v>
      </c>
      <c r="L544" s="45" t="n">
        <f aca="false">DATE(YEAR(B544),MONTH(B544),1)</f>
        <v>46204</v>
      </c>
      <c r="M544" s="31" t="n">
        <f aca="false">WEEKDAY(B544,2)</f>
        <v>3</v>
      </c>
      <c r="N544" s="31" t="str">
        <f aca="false">IF(G544&lt;=INDEX(Assumptions!$B$15:$B$18,MATCH(E544,Assumptions!$A$15:$A$18,0)),"Yes","No")</f>
        <v>Yes</v>
      </c>
      <c r="O544" s="31" t="str">
        <f aca="false">IF(H544="","Open",IF(H544&lt;=INDEX(Assumptions!$C$15:$C$18,MATCH(E544,Assumptions!$A$15:$A$18,0)),"Yes","No"))</f>
        <v>Yes</v>
      </c>
    </row>
    <row r="545" customFormat="false" ht="15" hidden="false" customHeight="false" outlineLevel="0" collapsed="false">
      <c r="A545" s="31" t="s">
        <v>695</v>
      </c>
      <c r="B545" s="44" t="n">
        <v>46211</v>
      </c>
      <c r="C545" s="31" t="s">
        <v>57</v>
      </c>
      <c r="D545" s="31" t="s">
        <v>66</v>
      </c>
      <c r="E545" s="31" t="s">
        <v>51</v>
      </c>
      <c r="F545" s="31" t="s">
        <v>127</v>
      </c>
      <c r="G545" s="31" t="n">
        <v>4</v>
      </c>
      <c r="H545" s="41" t="n">
        <v>4.8</v>
      </c>
      <c r="I545" s="31" t="s">
        <v>149</v>
      </c>
      <c r="J545" s="31" t="n">
        <v>5</v>
      </c>
      <c r="K545" s="31" t="s">
        <v>150</v>
      </c>
      <c r="L545" s="45" t="n">
        <f aca="false">DATE(YEAR(B545),MONTH(B545),1)</f>
        <v>46204</v>
      </c>
      <c r="M545" s="31" t="n">
        <f aca="false">WEEKDAY(B545,2)</f>
        <v>3</v>
      </c>
      <c r="N545" s="31" t="str">
        <f aca="false">IF(G545&lt;=INDEX(Assumptions!$B$15:$B$18,MATCH(E545,Assumptions!$A$15:$A$18,0)),"Yes","No")</f>
        <v>Yes</v>
      </c>
      <c r="O545" s="31" t="str">
        <f aca="false">IF(H545="","Open",IF(H545&lt;=INDEX(Assumptions!$C$15:$C$18,MATCH(E545,Assumptions!$A$15:$A$18,0)),"Yes","No"))</f>
        <v>Yes</v>
      </c>
    </row>
    <row r="546" customFormat="false" ht="15" hidden="false" customHeight="false" outlineLevel="0" collapsed="false">
      <c r="A546" s="31" t="s">
        <v>696</v>
      </c>
      <c r="B546" s="44" t="n">
        <v>46211</v>
      </c>
      <c r="C546" s="31" t="s">
        <v>57</v>
      </c>
      <c r="D546" s="31" t="s">
        <v>69</v>
      </c>
      <c r="E546" s="31" t="s">
        <v>52</v>
      </c>
      <c r="F546" s="31" t="s">
        <v>137</v>
      </c>
      <c r="G546" s="31" t="n">
        <v>7</v>
      </c>
      <c r="H546" s="41" t="n">
        <v>25.1</v>
      </c>
      <c r="I546" s="31" t="s">
        <v>149</v>
      </c>
      <c r="J546" s="31" t="n">
        <v>4</v>
      </c>
      <c r="K546" s="31" t="s">
        <v>150</v>
      </c>
      <c r="L546" s="45" t="n">
        <f aca="false">DATE(YEAR(B546),MONTH(B546),1)</f>
        <v>46204</v>
      </c>
      <c r="M546" s="31" t="n">
        <f aca="false">WEEKDAY(B546,2)</f>
        <v>3</v>
      </c>
      <c r="N546" s="31" t="str">
        <f aca="false">IF(G546&lt;=INDEX(Assumptions!$B$15:$B$18,MATCH(E546,Assumptions!$A$15:$A$18,0)),"Yes","No")</f>
        <v>Yes</v>
      </c>
      <c r="O546" s="31" t="str">
        <f aca="false">IF(H546="","Open",IF(H546&lt;=INDEX(Assumptions!$C$15:$C$18,MATCH(E546,Assumptions!$A$15:$A$18,0)),"Yes","No"))</f>
        <v>Yes</v>
      </c>
    </row>
    <row r="547" customFormat="false" ht="15" hidden="false" customHeight="false" outlineLevel="0" collapsed="false">
      <c r="A547" s="31" t="s">
        <v>697</v>
      </c>
      <c r="B547" s="44" t="n">
        <v>46211</v>
      </c>
      <c r="C547" s="31" t="s">
        <v>59</v>
      </c>
      <c r="D547" s="31" t="s">
        <v>67</v>
      </c>
      <c r="E547" s="31" t="s">
        <v>52</v>
      </c>
      <c r="F547" s="31" t="s">
        <v>122</v>
      </c>
      <c r="G547" s="31" t="n">
        <v>310</v>
      </c>
      <c r="H547" s="41" t="n">
        <v>11</v>
      </c>
      <c r="I547" s="31" t="s">
        <v>149</v>
      </c>
      <c r="J547" s="31" t="n">
        <v>5</v>
      </c>
      <c r="K547" s="31" t="s">
        <v>150</v>
      </c>
      <c r="L547" s="45" t="n">
        <f aca="false">DATE(YEAR(B547),MONTH(B547),1)</f>
        <v>46204</v>
      </c>
      <c r="M547" s="31" t="n">
        <f aca="false">WEEKDAY(B547,2)</f>
        <v>3</v>
      </c>
      <c r="N547" s="31" t="str">
        <f aca="false">IF(G547&lt;=INDEX(Assumptions!$B$15:$B$18,MATCH(E547,Assumptions!$A$15:$A$18,0)),"Yes","No")</f>
        <v>No</v>
      </c>
      <c r="O547" s="31" t="str">
        <f aca="false">IF(H547="","Open",IF(H547&lt;=INDEX(Assumptions!$C$15:$C$18,MATCH(E547,Assumptions!$A$15:$A$18,0)),"Yes","No"))</f>
        <v>Yes</v>
      </c>
    </row>
    <row r="548" customFormat="false" ht="15" hidden="false" customHeight="false" outlineLevel="0" collapsed="false">
      <c r="A548" s="31" t="s">
        <v>698</v>
      </c>
      <c r="B548" s="44" t="n">
        <v>46211</v>
      </c>
      <c r="C548" s="31" t="s">
        <v>58</v>
      </c>
      <c r="D548" s="31" t="s">
        <v>66</v>
      </c>
      <c r="E548" s="31" t="s">
        <v>52</v>
      </c>
      <c r="F548" s="31" t="s">
        <v>128</v>
      </c>
      <c r="G548" s="31" t="n">
        <v>48</v>
      </c>
      <c r="H548" s="41" t="n">
        <v>13.1</v>
      </c>
      <c r="I548" s="31" t="s">
        <v>149</v>
      </c>
      <c r="J548" s="31"/>
      <c r="K548" s="31" t="s">
        <v>150</v>
      </c>
      <c r="L548" s="45" t="n">
        <f aca="false">DATE(YEAR(B548),MONTH(B548),1)</f>
        <v>46204</v>
      </c>
      <c r="M548" s="31" t="n">
        <f aca="false">WEEKDAY(B548,2)</f>
        <v>3</v>
      </c>
      <c r="N548" s="31" t="str">
        <f aca="false">IF(G548&lt;=INDEX(Assumptions!$B$15:$B$18,MATCH(E548,Assumptions!$A$15:$A$18,0)),"Yes","No")</f>
        <v>Yes</v>
      </c>
      <c r="O548" s="31" t="str">
        <f aca="false">IF(H548="","Open",IF(H548&lt;=INDEX(Assumptions!$C$15:$C$18,MATCH(E548,Assumptions!$A$15:$A$18,0)),"Yes","No"))</f>
        <v>Yes</v>
      </c>
    </row>
    <row r="549" customFormat="false" ht="15" hidden="false" customHeight="false" outlineLevel="0" collapsed="false">
      <c r="A549" s="31" t="s">
        <v>699</v>
      </c>
      <c r="B549" s="44" t="n">
        <v>46211</v>
      </c>
      <c r="C549" s="31" t="s">
        <v>60</v>
      </c>
      <c r="D549" s="31" t="s">
        <v>65</v>
      </c>
      <c r="E549" s="31" t="s">
        <v>52</v>
      </c>
      <c r="F549" s="31" t="s">
        <v>131</v>
      </c>
      <c r="G549" s="31" t="n">
        <v>3</v>
      </c>
      <c r="H549" s="41" t="n">
        <v>14.8</v>
      </c>
      <c r="I549" s="31" t="s">
        <v>149</v>
      </c>
      <c r="J549" s="31"/>
      <c r="K549" s="31" t="s">
        <v>150</v>
      </c>
      <c r="L549" s="45" t="n">
        <f aca="false">DATE(YEAR(B549),MONTH(B549),1)</f>
        <v>46204</v>
      </c>
      <c r="M549" s="31" t="n">
        <f aca="false">WEEKDAY(B549,2)</f>
        <v>3</v>
      </c>
      <c r="N549" s="31" t="str">
        <f aca="false">IF(G549&lt;=INDEX(Assumptions!$B$15:$B$18,MATCH(E549,Assumptions!$A$15:$A$18,0)),"Yes","No")</f>
        <v>Yes</v>
      </c>
      <c r="O549" s="31" t="str">
        <f aca="false">IF(H549="","Open",IF(H549&lt;=INDEX(Assumptions!$C$15:$C$18,MATCH(E549,Assumptions!$A$15:$A$18,0)),"Yes","No"))</f>
        <v>Yes</v>
      </c>
    </row>
    <row r="550" customFormat="false" ht="15" hidden="false" customHeight="false" outlineLevel="0" collapsed="false">
      <c r="A550" s="31" t="s">
        <v>700</v>
      </c>
      <c r="B550" s="44" t="n">
        <v>46211</v>
      </c>
      <c r="C550" s="31" t="s">
        <v>57</v>
      </c>
      <c r="D550" s="31" t="s">
        <v>66</v>
      </c>
      <c r="E550" s="31" t="s">
        <v>51</v>
      </c>
      <c r="F550" s="31" t="s">
        <v>126</v>
      </c>
      <c r="G550" s="31" t="n">
        <v>2</v>
      </c>
      <c r="H550" s="41" t="n">
        <v>4.8</v>
      </c>
      <c r="I550" s="31" t="s">
        <v>149</v>
      </c>
      <c r="J550" s="31" t="n">
        <v>5</v>
      </c>
      <c r="K550" s="31" t="s">
        <v>150</v>
      </c>
      <c r="L550" s="45" t="n">
        <f aca="false">DATE(YEAR(B550),MONTH(B550),1)</f>
        <v>46204</v>
      </c>
      <c r="M550" s="31" t="n">
        <f aca="false">WEEKDAY(B550,2)</f>
        <v>3</v>
      </c>
      <c r="N550" s="31" t="str">
        <f aca="false">IF(G550&lt;=INDEX(Assumptions!$B$15:$B$18,MATCH(E550,Assumptions!$A$15:$A$18,0)),"Yes","No")</f>
        <v>Yes</v>
      </c>
      <c r="O550" s="31" t="str">
        <f aca="false">IF(H550="","Open",IF(H550&lt;=INDEX(Assumptions!$C$15:$C$18,MATCH(E550,Assumptions!$A$15:$A$18,0)),"Yes","No"))</f>
        <v>Yes</v>
      </c>
    </row>
    <row r="551" customFormat="false" ht="15" hidden="false" customHeight="false" outlineLevel="0" collapsed="false">
      <c r="A551" s="31" t="s">
        <v>701</v>
      </c>
      <c r="B551" s="44" t="n">
        <v>46211</v>
      </c>
      <c r="C551" s="31" t="s">
        <v>57</v>
      </c>
      <c r="D551" s="31" t="s">
        <v>66</v>
      </c>
      <c r="E551" s="31" t="s">
        <v>52</v>
      </c>
      <c r="F551" s="31" t="s">
        <v>128</v>
      </c>
      <c r="G551" s="31" t="n">
        <v>10</v>
      </c>
      <c r="H551" s="41" t="n">
        <v>46.6</v>
      </c>
      <c r="I551" s="31" t="s">
        <v>149</v>
      </c>
      <c r="J551" s="31"/>
      <c r="K551" s="31" t="s">
        <v>150</v>
      </c>
      <c r="L551" s="45" t="n">
        <f aca="false">DATE(YEAR(B551),MONTH(B551),1)</f>
        <v>46204</v>
      </c>
      <c r="M551" s="31" t="n">
        <f aca="false">WEEKDAY(B551,2)</f>
        <v>3</v>
      </c>
      <c r="N551" s="31" t="str">
        <f aca="false">IF(G551&lt;=INDEX(Assumptions!$B$15:$B$18,MATCH(E551,Assumptions!$A$15:$A$18,0)),"Yes","No")</f>
        <v>Yes</v>
      </c>
      <c r="O551" s="31" t="str">
        <f aca="false">IF(H551="","Open",IF(H551&lt;=INDEX(Assumptions!$C$15:$C$18,MATCH(E551,Assumptions!$A$15:$A$18,0)),"Yes","No"))</f>
        <v>Yes</v>
      </c>
    </row>
    <row r="552" customFormat="false" ht="15" hidden="false" customHeight="false" outlineLevel="0" collapsed="false">
      <c r="A552" s="31" t="s">
        <v>702</v>
      </c>
      <c r="B552" s="44" t="n">
        <v>46211</v>
      </c>
      <c r="C552" s="31" t="s">
        <v>59</v>
      </c>
      <c r="D552" s="31" t="s">
        <v>66</v>
      </c>
      <c r="E552" s="31" t="s">
        <v>50</v>
      </c>
      <c r="F552" s="31" t="s">
        <v>135</v>
      </c>
      <c r="G552" s="31" t="n">
        <v>108</v>
      </c>
      <c r="H552" s="41" t="n">
        <v>5</v>
      </c>
      <c r="I552" s="31" t="s">
        <v>64</v>
      </c>
      <c r="J552" s="31"/>
      <c r="K552" s="31" t="s">
        <v>150</v>
      </c>
      <c r="L552" s="45" t="n">
        <f aca="false">DATE(YEAR(B552),MONTH(B552),1)</f>
        <v>46204</v>
      </c>
      <c r="M552" s="31" t="n">
        <f aca="false">WEEKDAY(B552,2)</f>
        <v>3</v>
      </c>
      <c r="N552" s="31" t="str">
        <f aca="false">IF(G552&lt;=INDEX(Assumptions!$B$15:$B$18,MATCH(E552,Assumptions!$A$15:$A$18,0)),"Yes","No")</f>
        <v>No</v>
      </c>
      <c r="O552" s="31" t="str">
        <f aca="false">IF(H552="","Open",IF(H552&lt;=INDEX(Assumptions!$C$15:$C$18,MATCH(E552,Assumptions!$A$15:$A$18,0)),"Yes","No"))</f>
        <v>Yes</v>
      </c>
    </row>
    <row r="553" customFormat="false" ht="15" hidden="false" customHeight="false" outlineLevel="0" collapsed="false">
      <c r="A553" s="31" t="s">
        <v>703</v>
      </c>
      <c r="B553" s="44" t="n">
        <v>46211</v>
      </c>
      <c r="C553" s="31" t="s">
        <v>57</v>
      </c>
      <c r="D553" s="31" t="s">
        <v>69</v>
      </c>
      <c r="E553" s="31" t="s">
        <v>51</v>
      </c>
      <c r="F553" s="31" t="s">
        <v>129</v>
      </c>
      <c r="G553" s="31" t="n">
        <v>4</v>
      </c>
      <c r="H553" s="41" t="n">
        <v>67.5</v>
      </c>
      <c r="I553" s="31" t="s">
        <v>149</v>
      </c>
      <c r="J553" s="31"/>
      <c r="K553" s="31" t="s">
        <v>150</v>
      </c>
      <c r="L553" s="45" t="n">
        <f aca="false">DATE(YEAR(B553),MONTH(B553),1)</f>
        <v>46204</v>
      </c>
      <c r="M553" s="31" t="n">
        <f aca="false">WEEKDAY(B553,2)</f>
        <v>3</v>
      </c>
      <c r="N553" s="31" t="str">
        <f aca="false">IF(G553&lt;=INDEX(Assumptions!$B$15:$B$18,MATCH(E553,Assumptions!$A$15:$A$18,0)),"Yes","No")</f>
        <v>Yes</v>
      </c>
      <c r="O553" s="31" t="str">
        <f aca="false">IF(H553="","Open",IF(H553&lt;=INDEX(Assumptions!$C$15:$C$18,MATCH(E553,Assumptions!$A$15:$A$18,0)),"Yes","No"))</f>
        <v>No</v>
      </c>
    </row>
    <row r="554" customFormat="false" ht="15" hidden="false" customHeight="false" outlineLevel="0" collapsed="false">
      <c r="A554" s="31" t="s">
        <v>704</v>
      </c>
      <c r="B554" s="44" t="n">
        <v>46211</v>
      </c>
      <c r="C554" s="31" t="s">
        <v>57</v>
      </c>
      <c r="D554" s="31" t="s">
        <v>68</v>
      </c>
      <c r="E554" s="31" t="s">
        <v>51</v>
      </c>
      <c r="F554" s="31" t="s">
        <v>131</v>
      </c>
      <c r="G554" s="31" t="n">
        <v>7</v>
      </c>
      <c r="H554" s="41" t="n">
        <v>27.5</v>
      </c>
      <c r="I554" s="31" t="s">
        <v>149</v>
      </c>
      <c r="J554" s="31" t="n">
        <v>3</v>
      </c>
      <c r="K554" s="31" t="s">
        <v>150</v>
      </c>
      <c r="L554" s="45" t="n">
        <f aca="false">DATE(YEAR(B554),MONTH(B554),1)</f>
        <v>46204</v>
      </c>
      <c r="M554" s="31" t="n">
        <f aca="false">WEEKDAY(B554,2)</f>
        <v>3</v>
      </c>
      <c r="N554" s="31" t="str">
        <f aca="false">IF(G554&lt;=INDEX(Assumptions!$B$15:$B$18,MATCH(E554,Assumptions!$A$15:$A$18,0)),"Yes","No")</f>
        <v>Yes</v>
      </c>
      <c r="O554" s="31" t="str">
        <f aca="false">IF(H554="","Open",IF(H554&lt;=INDEX(Assumptions!$C$15:$C$18,MATCH(E554,Assumptions!$A$15:$A$18,0)),"Yes","No"))</f>
        <v>No</v>
      </c>
    </row>
    <row r="555" customFormat="false" ht="15" hidden="false" customHeight="false" outlineLevel="0" collapsed="false">
      <c r="A555" s="31" t="s">
        <v>705</v>
      </c>
      <c r="B555" s="44" t="n">
        <v>46211</v>
      </c>
      <c r="C555" s="31" t="s">
        <v>57</v>
      </c>
      <c r="D555" s="31" t="s">
        <v>67</v>
      </c>
      <c r="E555" s="31" t="s">
        <v>51</v>
      </c>
      <c r="F555" s="31" t="s">
        <v>134</v>
      </c>
      <c r="G555" s="31" t="n">
        <v>4</v>
      </c>
      <c r="H555" s="41" t="n">
        <v>45.5</v>
      </c>
      <c r="I555" s="31" t="s">
        <v>149</v>
      </c>
      <c r="J555" s="31"/>
      <c r="K555" s="31" t="s">
        <v>150</v>
      </c>
      <c r="L555" s="45" t="n">
        <f aca="false">DATE(YEAR(B555),MONTH(B555),1)</f>
        <v>46204</v>
      </c>
      <c r="M555" s="31" t="n">
        <f aca="false">WEEKDAY(B555,2)</f>
        <v>3</v>
      </c>
      <c r="N555" s="31" t="str">
        <f aca="false">IF(G555&lt;=INDEX(Assumptions!$B$15:$B$18,MATCH(E555,Assumptions!$A$15:$A$18,0)),"Yes","No")</f>
        <v>Yes</v>
      </c>
      <c r="O555" s="31" t="str">
        <f aca="false">IF(H555="","Open",IF(H555&lt;=INDEX(Assumptions!$C$15:$C$18,MATCH(E555,Assumptions!$A$15:$A$18,0)),"Yes","No"))</f>
        <v>No</v>
      </c>
    </row>
    <row r="556" customFormat="false" ht="15" hidden="false" customHeight="false" outlineLevel="0" collapsed="false">
      <c r="A556" s="31" t="s">
        <v>706</v>
      </c>
      <c r="B556" s="44" t="n">
        <v>46211</v>
      </c>
      <c r="C556" s="31" t="s">
        <v>57</v>
      </c>
      <c r="D556" s="31" t="s">
        <v>67</v>
      </c>
      <c r="E556" s="31" t="s">
        <v>51</v>
      </c>
      <c r="F556" s="31" t="s">
        <v>122</v>
      </c>
      <c r="G556" s="31" t="n">
        <v>3</v>
      </c>
      <c r="H556" s="41" t="n">
        <v>5</v>
      </c>
      <c r="I556" s="31" t="s">
        <v>149</v>
      </c>
      <c r="J556" s="31"/>
      <c r="K556" s="31" t="s">
        <v>150</v>
      </c>
      <c r="L556" s="45" t="n">
        <f aca="false">DATE(YEAR(B556),MONTH(B556),1)</f>
        <v>46204</v>
      </c>
      <c r="M556" s="31" t="n">
        <f aca="false">WEEKDAY(B556,2)</f>
        <v>3</v>
      </c>
      <c r="N556" s="31" t="str">
        <f aca="false">IF(G556&lt;=INDEX(Assumptions!$B$15:$B$18,MATCH(E556,Assumptions!$A$15:$A$18,0)),"Yes","No")</f>
        <v>Yes</v>
      </c>
      <c r="O556" s="31" t="str">
        <f aca="false">IF(H556="","Open",IF(H556&lt;=INDEX(Assumptions!$C$15:$C$18,MATCH(E556,Assumptions!$A$15:$A$18,0)),"Yes","No"))</f>
        <v>Yes</v>
      </c>
    </row>
    <row r="557" customFormat="false" ht="15" hidden="false" customHeight="false" outlineLevel="0" collapsed="false">
      <c r="A557" s="31" t="s">
        <v>707</v>
      </c>
      <c r="B557" s="44" t="n">
        <v>46211</v>
      </c>
      <c r="C557" s="31" t="s">
        <v>60</v>
      </c>
      <c r="D557" s="31" t="s">
        <v>65</v>
      </c>
      <c r="E557" s="31" t="s">
        <v>50</v>
      </c>
      <c r="F557" s="31" t="s">
        <v>126</v>
      </c>
      <c r="G557" s="31" t="n">
        <v>1</v>
      </c>
      <c r="H557" s="41" t="n">
        <v>21.8</v>
      </c>
      <c r="I557" s="31" t="s">
        <v>149</v>
      </c>
      <c r="J557" s="31"/>
      <c r="K557" s="31" t="s">
        <v>150</v>
      </c>
      <c r="L557" s="45" t="n">
        <f aca="false">DATE(YEAR(B557),MONTH(B557),1)</f>
        <v>46204</v>
      </c>
      <c r="M557" s="31" t="n">
        <f aca="false">WEEKDAY(B557,2)</f>
        <v>3</v>
      </c>
      <c r="N557" s="31" t="str">
        <f aca="false">IF(G557&lt;=INDEX(Assumptions!$B$15:$B$18,MATCH(E557,Assumptions!$A$15:$A$18,0)),"Yes","No")</f>
        <v>Yes</v>
      </c>
      <c r="O557" s="31" t="str">
        <f aca="false">IF(H557="","Open",IF(H557&lt;=INDEX(Assumptions!$C$15:$C$18,MATCH(E557,Assumptions!$A$15:$A$18,0)),"Yes","No"))</f>
        <v>No</v>
      </c>
    </row>
    <row r="558" customFormat="false" ht="15" hidden="false" customHeight="false" outlineLevel="0" collapsed="false">
      <c r="A558" s="31" t="s">
        <v>708</v>
      </c>
      <c r="B558" s="44" t="n">
        <v>46211</v>
      </c>
      <c r="C558" s="31" t="s">
        <v>57</v>
      </c>
      <c r="D558" s="31" t="s">
        <v>66</v>
      </c>
      <c r="E558" s="31" t="s">
        <v>51</v>
      </c>
      <c r="F558" s="31" t="s">
        <v>124</v>
      </c>
      <c r="G558" s="31" t="n">
        <v>7</v>
      </c>
      <c r="H558" s="41" t="n">
        <v>6</v>
      </c>
      <c r="I558" s="31" t="s">
        <v>149</v>
      </c>
      <c r="J558" s="31" t="n">
        <v>4</v>
      </c>
      <c r="K558" s="31" t="s">
        <v>150</v>
      </c>
      <c r="L558" s="45" t="n">
        <f aca="false">DATE(YEAR(B558),MONTH(B558),1)</f>
        <v>46204</v>
      </c>
      <c r="M558" s="31" t="n">
        <f aca="false">WEEKDAY(B558,2)</f>
        <v>3</v>
      </c>
      <c r="N558" s="31" t="str">
        <f aca="false">IF(G558&lt;=INDEX(Assumptions!$B$15:$B$18,MATCH(E558,Assumptions!$A$15:$A$18,0)),"Yes","No")</f>
        <v>Yes</v>
      </c>
      <c r="O558" s="31" t="str">
        <f aca="false">IF(H558="","Open",IF(H558&lt;=INDEX(Assumptions!$C$15:$C$18,MATCH(E558,Assumptions!$A$15:$A$18,0)),"Yes","No"))</f>
        <v>Yes</v>
      </c>
    </row>
    <row r="559" customFormat="false" ht="15" hidden="false" customHeight="false" outlineLevel="0" collapsed="false">
      <c r="A559" s="31" t="s">
        <v>709</v>
      </c>
      <c r="B559" s="44" t="n">
        <v>46211</v>
      </c>
      <c r="C559" s="31" t="s">
        <v>57</v>
      </c>
      <c r="D559" s="31" t="s">
        <v>67</v>
      </c>
      <c r="E559" s="31" t="s">
        <v>51</v>
      </c>
      <c r="F559" s="31" t="s">
        <v>130</v>
      </c>
      <c r="G559" s="31" t="n">
        <v>3</v>
      </c>
      <c r="H559" s="41" t="n">
        <v>17.2</v>
      </c>
      <c r="I559" s="31" t="s">
        <v>149</v>
      </c>
      <c r="J559" s="31"/>
      <c r="K559" s="31" t="s">
        <v>150</v>
      </c>
      <c r="L559" s="45" t="n">
        <f aca="false">DATE(YEAR(B559),MONTH(B559),1)</f>
        <v>46204</v>
      </c>
      <c r="M559" s="31" t="n">
        <f aca="false">WEEKDAY(B559,2)</f>
        <v>3</v>
      </c>
      <c r="N559" s="31" t="str">
        <f aca="false">IF(G559&lt;=INDEX(Assumptions!$B$15:$B$18,MATCH(E559,Assumptions!$A$15:$A$18,0)),"Yes","No")</f>
        <v>Yes</v>
      </c>
      <c r="O559" s="31" t="str">
        <f aca="false">IF(H559="","Open",IF(H559&lt;=INDEX(Assumptions!$C$15:$C$18,MATCH(E559,Assumptions!$A$15:$A$18,0)),"Yes","No"))</f>
        <v>Yes</v>
      </c>
    </row>
    <row r="560" customFormat="false" ht="15" hidden="false" customHeight="false" outlineLevel="0" collapsed="false">
      <c r="A560" s="31" t="s">
        <v>710</v>
      </c>
      <c r="B560" s="44" t="n">
        <v>46211</v>
      </c>
      <c r="C560" s="31" t="s">
        <v>58</v>
      </c>
      <c r="D560" s="31" t="s">
        <v>66</v>
      </c>
      <c r="E560" s="31" t="s">
        <v>52</v>
      </c>
      <c r="F560" s="31" t="s">
        <v>136</v>
      </c>
      <c r="G560" s="31" t="n">
        <v>7</v>
      </c>
      <c r="H560" s="41" t="n">
        <v>10.3</v>
      </c>
      <c r="I560" s="31" t="s">
        <v>149</v>
      </c>
      <c r="J560" s="31" t="n">
        <v>4</v>
      </c>
      <c r="K560" s="31" t="s">
        <v>150</v>
      </c>
      <c r="L560" s="45" t="n">
        <f aca="false">DATE(YEAR(B560),MONTH(B560),1)</f>
        <v>46204</v>
      </c>
      <c r="M560" s="31" t="n">
        <f aca="false">WEEKDAY(B560,2)</f>
        <v>3</v>
      </c>
      <c r="N560" s="31" t="str">
        <f aca="false">IF(G560&lt;=INDEX(Assumptions!$B$15:$B$18,MATCH(E560,Assumptions!$A$15:$A$18,0)),"Yes","No")</f>
        <v>Yes</v>
      </c>
      <c r="O560" s="31" t="str">
        <f aca="false">IF(H560="","Open",IF(H560&lt;=INDEX(Assumptions!$C$15:$C$18,MATCH(E560,Assumptions!$A$15:$A$18,0)),"Yes","No"))</f>
        <v>Yes</v>
      </c>
    </row>
    <row r="561" customFormat="false" ht="15" hidden="false" customHeight="false" outlineLevel="0" collapsed="false">
      <c r="A561" s="31" t="s">
        <v>711</v>
      </c>
      <c r="B561" s="44" t="n">
        <v>46211</v>
      </c>
      <c r="C561" s="31" t="s">
        <v>58</v>
      </c>
      <c r="D561" s="31" t="s">
        <v>67</v>
      </c>
      <c r="E561" s="31" t="s">
        <v>51</v>
      </c>
      <c r="F561" s="31" t="s">
        <v>130</v>
      </c>
      <c r="G561" s="31" t="n">
        <v>12</v>
      </c>
      <c r="H561" s="41" t="n">
        <v>29.3</v>
      </c>
      <c r="I561" s="31" t="s">
        <v>149</v>
      </c>
      <c r="J561" s="31"/>
      <c r="K561" s="31" t="s">
        <v>150</v>
      </c>
      <c r="L561" s="45" t="n">
        <f aca="false">DATE(YEAR(B561),MONTH(B561),1)</f>
        <v>46204</v>
      </c>
      <c r="M561" s="31" t="n">
        <f aca="false">WEEKDAY(B561,2)</f>
        <v>3</v>
      </c>
      <c r="N561" s="31" t="str">
        <f aca="false">IF(G561&lt;=INDEX(Assumptions!$B$15:$B$18,MATCH(E561,Assumptions!$A$15:$A$18,0)),"Yes","No")</f>
        <v>Yes</v>
      </c>
      <c r="O561" s="31" t="str">
        <f aca="false">IF(H561="","Open",IF(H561&lt;=INDEX(Assumptions!$C$15:$C$18,MATCH(E561,Assumptions!$A$15:$A$18,0)),"Yes","No"))</f>
        <v>No</v>
      </c>
    </row>
    <row r="562" customFormat="false" ht="15" hidden="false" customHeight="false" outlineLevel="0" collapsed="false">
      <c r="A562" s="31" t="s">
        <v>712</v>
      </c>
      <c r="B562" s="44" t="n">
        <v>46211</v>
      </c>
      <c r="C562" s="31" t="s">
        <v>57</v>
      </c>
      <c r="D562" s="31" t="s">
        <v>68</v>
      </c>
      <c r="E562" s="31" t="s">
        <v>51</v>
      </c>
      <c r="F562" s="31" t="s">
        <v>137</v>
      </c>
      <c r="G562" s="31" t="n">
        <v>2</v>
      </c>
      <c r="H562" s="41" t="n">
        <v>6</v>
      </c>
      <c r="I562" s="31" t="s">
        <v>149</v>
      </c>
      <c r="J562" s="31" t="n">
        <v>3</v>
      </c>
      <c r="K562" s="31" t="s">
        <v>150</v>
      </c>
      <c r="L562" s="45" t="n">
        <f aca="false">DATE(YEAR(B562),MONTH(B562),1)</f>
        <v>46204</v>
      </c>
      <c r="M562" s="31" t="n">
        <f aca="false">WEEKDAY(B562,2)</f>
        <v>3</v>
      </c>
      <c r="N562" s="31" t="str">
        <f aca="false">IF(G562&lt;=INDEX(Assumptions!$B$15:$B$18,MATCH(E562,Assumptions!$A$15:$A$18,0)),"Yes","No")</f>
        <v>Yes</v>
      </c>
      <c r="O562" s="31" t="str">
        <f aca="false">IF(H562="","Open",IF(H562&lt;=INDEX(Assumptions!$C$15:$C$18,MATCH(E562,Assumptions!$A$15:$A$18,0)),"Yes","No"))</f>
        <v>Yes</v>
      </c>
    </row>
    <row r="563" customFormat="false" ht="15" hidden="false" customHeight="false" outlineLevel="0" collapsed="false">
      <c r="A563" s="31" t="s">
        <v>713</v>
      </c>
      <c r="B563" s="44" t="n">
        <v>46211</v>
      </c>
      <c r="C563" s="31" t="s">
        <v>60</v>
      </c>
      <c r="D563" s="31" t="s">
        <v>66</v>
      </c>
      <c r="E563" s="31" t="s">
        <v>50</v>
      </c>
      <c r="F563" s="31" t="s">
        <v>120</v>
      </c>
      <c r="G563" s="31" t="n">
        <v>13</v>
      </c>
      <c r="H563" s="41" t="n">
        <v>2</v>
      </c>
      <c r="I563" s="31" t="s">
        <v>149</v>
      </c>
      <c r="J563" s="31" t="n">
        <v>4</v>
      </c>
      <c r="K563" s="31" t="s">
        <v>150</v>
      </c>
      <c r="L563" s="45" t="n">
        <f aca="false">DATE(YEAR(B563),MONTH(B563),1)</f>
        <v>46204</v>
      </c>
      <c r="M563" s="31" t="n">
        <f aca="false">WEEKDAY(B563,2)</f>
        <v>3</v>
      </c>
      <c r="N563" s="31" t="str">
        <f aca="false">IF(G563&lt;=INDEX(Assumptions!$B$15:$B$18,MATCH(E563,Assumptions!$A$15:$A$18,0)),"Yes","No")</f>
        <v>Yes</v>
      </c>
      <c r="O563" s="31" t="str">
        <f aca="false">IF(H563="","Open",IF(H563&lt;=INDEX(Assumptions!$C$15:$C$18,MATCH(E563,Assumptions!$A$15:$A$18,0)),"Yes","No"))</f>
        <v>Yes</v>
      </c>
    </row>
    <row r="564" customFormat="false" ht="15" hidden="false" customHeight="false" outlineLevel="0" collapsed="false">
      <c r="A564" s="31" t="s">
        <v>714</v>
      </c>
      <c r="B564" s="44" t="n">
        <v>46211</v>
      </c>
      <c r="C564" s="31" t="s">
        <v>57</v>
      </c>
      <c r="D564" s="31" t="s">
        <v>65</v>
      </c>
      <c r="E564" s="31" t="s">
        <v>51</v>
      </c>
      <c r="F564" s="31" t="s">
        <v>120</v>
      </c>
      <c r="G564" s="31" t="n">
        <v>5</v>
      </c>
      <c r="H564" s="41" t="n">
        <v>3.5</v>
      </c>
      <c r="I564" s="31" t="s">
        <v>149</v>
      </c>
      <c r="J564" s="31"/>
      <c r="K564" s="31" t="s">
        <v>150</v>
      </c>
      <c r="L564" s="45" t="n">
        <f aca="false">DATE(YEAR(B564),MONTH(B564),1)</f>
        <v>46204</v>
      </c>
      <c r="M564" s="31" t="n">
        <f aca="false">WEEKDAY(B564,2)</f>
        <v>3</v>
      </c>
      <c r="N564" s="31" t="str">
        <f aca="false">IF(G564&lt;=INDEX(Assumptions!$B$15:$B$18,MATCH(E564,Assumptions!$A$15:$A$18,0)),"Yes","No")</f>
        <v>Yes</v>
      </c>
      <c r="O564" s="31" t="str">
        <f aca="false">IF(H564="","Open",IF(H564&lt;=INDEX(Assumptions!$C$15:$C$18,MATCH(E564,Assumptions!$A$15:$A$18,0)),"Yes","No"))</f>
        <v>Yes</v>
      </c>
    </row>
    <row r="565" customFormat="false" ht="15" hidden="false" customHeight="false" outlineLevel="0" collapsed="false">
      <c r="A565" s="31" t="s">
        <v>715</v>
      </c>
      <c r="B565" s="44" t="n">
        <v>46211</v>
      </c>
      <c r="C565" s="31" t="s">
        <v>60</v>
      </c>
      <c r="D565" s="31" t="s">
        <v>65</v>
      </c>
      <c r="E565" s="31" t="s">
        <v>50</v>
      </c>
      <c r="F565" s="31" t="s">
        <v>126</v>
      </c>
      <c r="G565" s="31" t="n">
        <v>1</v>
      </c>
      <c r="H565" s="41" t="n">
        <v>27.8</v>
      </c>
      <c r="I565" s="31" t="s">
        <v>64</v>
      </c>
      <c r="J565" s="31" t="n">
        <v>4</v>
      </c>
      <c r="K565" s="31" t="s">
        <v>153</v>
      </c>
      <c r="L565" s="45" t="n">
        <f aca="false">DATE(YEAR(B565),MONTH(B565),1)</f>
        <v>46204</v>
      </c>
      <c r="M565" s="31" t="n">
        <f aca="false">WEEKDAY(B565,2)</f>
        <v>3</v>
      </c>
      <c r="N565" s="31" t="str">
        <f aca="false">IF(G565&lt;=INDEX(Assumptions!$B$15:$B$18,MATCH(E565,Assumptions!$A$15:$A$18,0)),"Yes","No")</f>
        <v>Yes</v>
      </c>
      <c r="O565" s="31" t="str">
        <f aca="false">IF(H565="","Open",IF(H565&lt;=INDEX(Assumptions!$C$15:$C$18,MATCH(E565,Assumptions!$A$15:$A$18,0)),"Yes","No"))</f>
        <v>No</v>
      </c>
    </row>
    <row r="566" customFormat="false" ht="15" hidden="false" customHeight="false" outlineLevel="0" collapsed="false">
      <c r="A566" s="31" t="s">
        <v>716</v>
      </c>
      <c r="B566" s="44" t="n">
        <v>46211</v>
      </c>
      <c r="C566" s="31" t="s">
        <v>58</v>
      </c>
      <c r="D566" s="31" t="s">
        <v>66</v>
      </c>
      <c r="E566" s="31" t="s">
        <v>51</v>
      </c>
      <c r="F566" s="31" t="s">
        <v>117</v>
      </c>
      <c r="G566" s="31" t="n">
        <v>12</v>
      </c>
      <c r="H566" s="41" t="n">
        <v>0.9</v>
      </c>
      <c r="I566" s="31" t="s">
        <v>149</v>
      </c>
      <c r="J566" s="31" t="n">
        <v>4</v>
      </c>
      <c r="K566" s="31" t="s">
        <v>150</v>
      </c>
      <c r="L566" s="45" t="n">
        <f aca="false">DATE(YEAR(B566),MONTH(B566),1)</f>
        <v>46204</v>
      </c>
      <c r="M566" s="31" t="n">
        <f aca="false">WEEKDAY(B566,2)</f>
        <v>3</v>
      </c>
      <c r="N566" s="31" t="str">
        <f aca="false">IF(G566&lt;=INDEX(Assumptions!$B$15:$B$18,MATCH(E566,Assumptions!$A$15:$A$18,0)),"Yes","No")</f>
        <v>Yes</v>
      </c>
      <c r="O566" s="31" t="str">
        <f aca="false">IF(H566="","Open",IF(H566&lt;=INDEX(Assumptions!$C$15:$C$18,MATCH(E566,Assumptions!$A$15:$A$18,0)),"Yes","No"))</f>
        <v>Yes</v>
      </c>
    </row>
    <row r="567" customFormat="false" ht="15" hidden="false" customHeight="false" outlineLevel="0" collapsed="false">
      <c r="A567" s="31" t="s">
        <v>717</v>
      </c>
      <c r="B567" s="44" t="n">
        <v>46211</v>
      </c>
      <c r="C567" s="31" t="s">
        <v>58</v>
      </c>
      <c r="D567" s="31" t="s">
        <v>66</v>
      </c>
      <c r="E567" s="31" t="s">
        <v>51</v>
      </c>
      <c r="F567" s="31" t="s">
        <v>128</v>
      </c>
      <c r="G567" s="31" t="n">
        <v>10</v>
      </c>
      <c r="H567" s="41" t="n">
        <v>13</v>
      </c>
      <c r="I567" s="31" t="s">
        <v>149</v>
      </c>
      <c r="J567" s="31" t="n">
        <v>5</v>
      </c>
      <c r="K567" s="31" t="s">
        <v>150</v>
      </c>
      <c r="L567" s="45" t="n">
        <f aca="false">DATE(YEAR(B567),MONTH(B567),1)</f>
        <v>46204</v>
      </c>
      <c r="M567" s="31" t="n">
        <f aca="false">WEEKDAY(B567,2)</f>
        <v>3</v>
      </c>
      <c r="N567" s="31" t="str">
        <f aca="false">IF(G567&lt;=INDEX(Assumptions!$B$15:$B$18,MATCH(E567,Assumptions!$A$15:$A$18,0)),"Yes","No")</f>
        <v>Yes</v>
      </c>
      <c r="O567" s="31" t="str">
        <f aca="false">IF(H567="","Open",IF(H567&lt;=INDEX(Assumptions!$C$15:$C$18,MATCH(E567,Assumptions!$A$15:$A$18,0)),"Yes","No"))</f>
        <v>Yes</v>
      </c>
    </row>
    <row r="568" customFormat="false" ht="15" hidden="false" customHeight="false" outlineLevel="0" collapsed="false">
      <c r="A568" s="31" t="s">
        <v>718</v>
      </c>
      <c r="B568" s="44" t="n">
        <v>46211</v>
      </c>
      <c r="C568" s="31" t="s">
        <v>58</v>
      </c>
      <c r="D568" s="31" t="s">
        <v>65</v>
      </c>
      <c r="E568" s="31" t="s">
        <v>50</v>
      </c>
      <c r="F568" s="31" t="s">
        <v>123</v>
      </c>
      <c r="G568" s="31" t="n">
        <v>8</v>
      </c>
      <c r="H568" s="41" t="n">
        <v>2.7</v>
      </c>
      <c r="I568" s="31" t="s">
        <v>149</v>
      </c>
      <c r="J568" s="31" t="n">
        <v>4</v>
      </c>
      <c r="K568" s="31" t="s">
        <v>150</v>
      </c>
      <c r="L568" s="45" t="n">
        <f aca="false">DATE(YEAR(B568),MONTH(B568),1)</f>
        <v>46204</v>
      </c>
      <c r="M568" s="31" t="n">
        <f aca="false">WEEKDAY(B568,2)</f>
        <v>3</v>
      </c>
      <c r="N568" s="31" t="str">
        <f aca="false">IF(G568&lt;=INDEX(Assumptions!$B$15:$B$18,MATCH(E568,Assumptions!$A$15:$A$18,0)),"Yes","No")</f>
        <v>Yes</v>
      </c>
      <c r="O568" s="31" t="str">
        <f aca="false">IF(H568="","Open",IF(H568&lt;=INDEX(Assumptions!$C$15:$C$18,MATCH(E568,Assumptions!$A$15:$A$18,0)),"Yes","No"))</f>
        <v>Yes</v>
      </c>
    </row>
    <row r="569" customFormat="false" ht="15" hidden="false" customHeight="false" outlineLevel="0" collapsed="false">
      <c r="A569" s="31" t="s">
        <v>719</v>
      </c>
      <c r="B569" s="44" t="n">
        <v>46211</v>
      </c>
      <c r="C569" s="31" t="s">
        <v>59</v>
      </c>
      <c r="D569" s="31" t="s">
        <v>67</v>
      </c>
      <c r="E569" s="31" t="s">
        <v>51</v>
      </c>
      <c r="F569" s="31" t="s">
        <v>121</v>
      </c>
      <c r="G569" s="31" t="n">
        <v>113</v>
      </c>
      <c r="H569" s="41" t="n">
        <v>10.1</v>
      </c>
      <c r="I569" s="31" t="s">
        <v>149</v>
      </c>
      <c r="J569" s="31" t="n">
        <v>5</v>
      </c>
      <c r="K569" s="31" t="s">
        <v>150</v>
      </c>
      <c r="L569" s="45" t="n">
        <f aca="false">DATE(YEAR(B569),MONTH(B569),1)</f>
        <v>46204</v>
      </c>
      <c r="M569" s="31" t="n">
        <f aca="false">WEEKDAY(B569,2)</f>
        <v>3</v>
      </c>
      <c r="N569" s="31" t="str">
        <f aca="false">IF(G569&lt;=INDEX(Assumptions!$B$15:$B$18,MATCH(E569,Assumptions!$A$15:$A$18,0)),"Yes","No")</f>
        <v>No</v>
      </c>
      <c r="O569" s="31" t="str">
        <f aca="false">IF(H569="","Open",IF(H569&lt;=INDEX(Assumptions!$C$15:$C$18,MATCH(E569,Assumptions!$A$15:$A$18,0)),"Yes","No"))</f>
        <v>Yes</v>
      </c>
    </row>
    <row r="570" customFormat="false" ht="15" hidden="false" customHeight="false" outlineLevel="0" collapsed="false">
      <c r="A570" s="31" t="s">
        <v>720</v>
      </c>
      <c r="B570" s="44" t="n">
        <v>46211</v>
      </c>
      <c r="C570" s="31" t="s">
        <v>60</v>
      </c>
      <c r="D570" s="31" t="s">
        <v>65</v>
      </c>
      <c r="E570" s="31" t="s">
        <v>52</v>
      </c>
      <c r="F570" s="31" t="s">
        <v>128</v>
      </c>
      <c r="G570" s="31" t="n">
        <v>6</v>
      </c>
      <c r="H570" s="41" t="n">
        <v>58.5</v>
      </c>
      <c r="I570" s="31" t="s">
        <v>149</v>
      </c>
      <c r="J570" s="31"/>
      <c r="K570" s="31" t="s">
        <v>150</v>
      </c>
      <c r="L570" s="45" t="n">
        <f aca="false">DATE(YEAR(B570),MONTH(B570),1)</f>
        <v>46204</v>
      </c>
      <c r="M570" s="31" t="n">
        <f aca="false">WEEKDAY(B570,2)</f>
        <v>3</v>
      </c>
      <c r="N570" s="31" t="str">
        <f aca="false">IF(G570&lt;=INDEX(Assumptions!$B$15:$B$18,MATCH(E570,Assumptions!$A$15:$A$18,0)),"Yes","No")</f>
        <v>Yes</v>
      </c>
      <c r="O570" s="31" t="str">
        <f aca="false">IF(H570="","Open",IF(H570&lt;=INDEX(Assumptions!$C$15:$C$18,MATCH(E570,Assumptions!$A$15:$A$18,0)),"Yes","No"))</f>
        <v>Yes</v>
      </c>
    </row>
    <row r="571" customFormat="false" ht="15" hidden="false" customHeight="false" outlineLevel="0" collapsed="false">
      <c r="A571" s="31" t="s">
        <v>721</v>
      </c>
      <c r="B571" s="44" t="n">
        <v>46211</v>
      </c>
      <c r="C571" s="31" t="s">
        <v>57</v>
      </c>
      <c r="D571" s="31" t="s">
        <v>68</v>
      </c>
      <c r="E571" s="31" t="s">
        <v>51</v>
      </c>
      <c r="F571" s="31" t="s">
        <v>124</v>
      </c>
      <c r="G571" s="31" t="n">
        <v>3</v>
      </c>
      <c r="H571" s="41" t="n">
        <v>9.5</v>
      </c>
      <c r="I571" s="31" t="s">
        <v>149</v>
      </c>
      <c r="J571" s="31" t="n">
        <v>4</v>
      </c>
      <c r="K571" s="31" t="s">
        <v>150</v>
      </c>
      <c r="L571" s="45" t="n">
        <f aca="false">DATE(YEAR(B571),MONTH(B571),1)</f>
        <v>46204</v>
      </c>
      <c r="M571" s="31" t="n">
        <f aca="false">WEEKDAY(B571,2)</f>
        <v>3</v>
      </c>
      <c r="N571" s="31" t="str">
        <f aca="false">IF(G571&lt;=INDEX(Assumptions!$B$15:$B$18,MATCH(E571,Assumptions!$A$15:$A$18,0)),"Yes","No")</f>
        <v>Yes</v>
      </c>
      <c r="O571" s="31" t="str">
        <f aca="false">IF(H571="","Open",IF(H571&lt;=INDEX(Assumptions!$C$15:$C$18,MATCH(E571,Assumptions!$A$15:$A$18,0)),"Yes","No"))</f>
        <v>Yes</v>
      </c>
    </row>
    <row r="572" customFormat="false" ht="15" hidden="false" customHeight="false" outlineLevel="0" collapsed="false">
      <c r="A572" s="31" t="s">
        <v>722</v>
      </c>
      <c r="B572" s="44" t="n">
        <v>46211</v>
      </c>
      <c r="C572" s="31" t="s">
        <v>57</v>
      </c>
      <c r="D572" s="31" t="s">
        <v>65</v>
      </c>
      <c r="E572" s="31" t="s">
        <v>52</v>
      </c>
      <c r="F572" s="31" t="s">
        <v>130</v>
      </c>
      <c r="G572" s="31" t="n">
        <v>1</v>
      </c>
      <c r="H572" s="41" t="n">
        <v>21.6</v>
      </c>
      <c r="I572" s="31" t="s">
        <v>149</v>
      </c>
      <c r="J572" s="31"/>
      <c r="K572" s="31" t="s">
        <v>153</v>
      </c>
      <c r="L572" s="45" t="n">
        <f aca="false">DATE(YEAR(B572),MONTH(B572),1)</f>
        <v>46204</v>
      </c>
      <c r="M572" s="31" t="n">
        <f aca="false">WEEKDAY(B572,2)</f>
        <v>3</v>
      </c>
      <c r="N572" s="31" t="str">
        <f aca="false">IF(G572&lt;=INDEX(Assumptions!$B$15:$B$18,MATCH(E572,Assumptions!$A$15:$A$18,0)),"Yes","No")</f>
        <v>Yes</v>
      </c>
      <c r="O572" s="31" t="str">
        <f aca="false">IF(H572="","Open",IF(H572&lt;=INDEX(Assumptions!$C$15:$C$18,MATCH(E572,Assumptions!$A$15:$A$18,0)),"Yes","No"))</f>
        <v>Yes</v>
      </c>
    </row>
    <row r="573" customFormat="false" ht="15" hidden="false" customHeight="false" outlineLevel="0" collapsed="false">
      <c r="A573" s="31" t="s">
        <v>723</v>
      </c>
      <c r="B573" s="44" t="n">
        <v>46211</v>
      </c>
      <c r="C573" s="31" t="s">
        <v>59</v>
      </c>
      <c r="D573" s="31" t="s">
        <v>65</v>
      </c>
      <c r="E573" s="31" t="s">
        <v>51</v>
      </c>
      <c r="F573" s="31" t="s">
        <v>136</v>
      </c>
      <c r="G573" s="31" t="n">
        <v>137</v>
      </c>
      <c r="H573" s="41" t="n">
        <v>38.6</v>
      </c>
      <c r="I573" s="31" t="s">
        <v>149</v>
      </c>
      <c r="J573" s="31"/>
      <c r="K573" s="31" t="s">
        <v>150</v>
      </c>
      <c r="L573" s="45" t="n">
        <f aca="false">DATE(YEAR(B573),MONTH(B573),1)</f>
        <v>46204</v>
      </c>
      <c r="M573" s="31" t="n">
        <f aca="false">WEEKDAY(B573,2)</f>
        <v>3</v>
      </c>
      <c r="N573" s="31" t="str">
        <f aca="false">IF(G573&lt;=INDEX(Assumptions!$B$15:$B$18,MATCH(E573,Assumptions!$A$15:$A$18,0)),"Yes","No")</f>
        <v>No</v>
      </c>
      <c r="O573" s="31" t="str">
        <f aca="false">IF(H573="","Open",IF(H573&lt;=INDEX(Assumptions!$C$15:$C$18,MATCH(E573,Assumptions!$A$15:$A$18,0)),"Yes","No"))</f>
        <v>No</v>
      </c>
    </row>
    <row r="574" customFormat="false" ht="15" hidden="false" customHeight="false" outlineLevel="0" collapsed="false">
      <c r="A574" s="31" t="s">
        <v>724</v>
      </c>
      <c r="B574" s="44" t="n">
        <v>46211</v>
      </c>
      <c r="C574" s="31" t="s">
        <v>59</v>
      </c>
      <c r="D574" s="31" t="s">
        <v>66</v>
      </c>
      <c r="E574" s="31" t="s">
        <v>52</v>
      </c>
      <c r="F574" s="31" t="s">
        <v>135</v>
      </c>
      <c r="G574" s="31" t="n">
        <v>79</v>
      </c>
      <c r="H574" s="41" t="n">
        <v>26.3</v>
      </c>
      <c r="I574" s="31" t="s">
        <v>149</v>
      </c>
      <c r="J574" s="31"/>
      <c r="K574" s="31" t="s">
        <v>150</v>
      </c>
      <c r="L574" s="45" t="n">
        <f aca="false">DATE(YEAR(B574),MONTH(B574),1)</f>
        <v>46204</v>
      </c>
      <c r="M574" s="31" t="n">
        <f aca="false">WEEKDAY(B574,2)</f>
        <v>3</v>
      </c>
      <c r="N574" s="31" t="str">
        <f aca="false">IF(G574&lt;=INDEX(Assumptions!$B$15:$B$18,MATCH(E574,Assumptions!$A$15:$A$18,0)),"Yes","No")</f>
        <v>Yes</v>
      </c>
      <c r="O574" s="31" t="str">
        <f aca="false">IF(H574="","Open",IF(H574&lt;=INDEX(Assumptions!$C$15:$C$18,MATCH(E574,Assumptions!$A$15:$A$18,0)),"Yes","No"))</f>
        <v>Yes</v>
      </c>
    </row>
    <row r="575" customFormat="false" ht="15" hidden="false" customHeight="false" outlineLevel="0" collapsed="false">
      <c r="A575" s="31" t="s">
        <v>725</v>
      </c>
      <c r="B575" s="44" t="n">
        <v>46211</v>
      </c>
      <c r="C575" s="31" t="s">
        <v>58</v>
      </c>
      <c r="D575" s="31" t="s">
        <v>66</v>
      </c>
      <c r="E575" s="31" t="s">
        <v>50</v>
      </c>
      <c r="F575" s="31" t="s">
        <v>127</v>
      </c>
      <c r="G575" s="31" t="n">
        <v>6</v>
      </c>
      <c r="H575" s="41" t="n">
        <v>3</v>
      </c>
      <c r="I575" s="31" t="s">
        <v>149</v>
      </c>
      <c r="J575" s="31" t="n">
        <v>5</v>
      </c>
      <c r="K575" s="31" t="s">
        <v>150</v>
      </c>
      <c r="L575" s="45" t="n">
        <f aca="false">DATE(YEAR(B575),MONTH(B575),1)</f>
        <v>46204</v>
      </c>
      <c r="M575" s="31" t="n">
        <f aca="false">WEEKDAY(B575,2)</f>
        <v>3</v>
      </c>
      <c r="N575" s="31" t="str">
        <f aca="false">IF(G575&lt;=INDEX(Assumptions!$B$15:$B$18,MATCH(E575,Assumptions!$A$15:$A$18,0)),"Yes","No")</f>
        <v>Yes</v>
      </c>
      <c r="O575" s="31" t="str">
        <f aca="false">IF(H575="","Open",IF(H575&lt;=INDEX(Assumptions!$C$15:$C$18,MATCH(E575,Assumptions!$A$15:$A$18,0)),"Yes","No"))</f>
        <v>Yes</v>
      </c>
    </row>
    <row r="576" customFormat="false" ht="15" hidden="false" customHeight="false" outlineLevel="0" collapsed="false">
      <c r="A576" s="31" t="s">
        <v>726</v>
      </c>
      <c r="B576" s="44" t="n">
        <v>46211</v>
      </c>
      <c r="C576" s="31" t="s">
        <v>59</v>
      </c>
      <c r="D576" s="31" t="s">
        <v>67</v>
      </c>
      <c r="E576" s="31" t="s">
        <v>52</v>
      </c>
      <c r="F576" s="31" t="s">
        <v>131</v>
      </c>
      <c r="G576" s="31" t="n">
        <v>37</v>
      </c>
      <c r="H576" s="41" t="n">
        <v>11.2</v>
      </c>
      <c r="I576" s="31" t="s">
        <v>149</v>
      </c>
      <c r="J576" s="31"/>
      <c r="K576" s="31" t="s">
        <v>150</v>
      </c>
      <c r="L576" s="45" t="n">
        <f aca="false">DATE(YEAR(B576),MONTH(B576),1)</f>
        <v>46204</v>
      </c>
      <c r="M576" s="31" t="n">
        <f aca="false">WEEKDAY(B576,2)</f>
        <v>3</v>
      </c>
      <c r="N576" s="31" t="str">
        <f aca="false">IF(G576&lt;=INDEX(Assumptions!$B$15:$B$18,MATCH(E576,Assumptions!$A$15:$A$18,0)),"Yes","No")</f>
        <v>Yes</v>
      </c>
      <c r="O576" s="31" t="str">
        <f aca="false">IF(H576="","Open",IF(H576&lt;=INDEX(Assumptions!$C$15:$C$18,MATCH(E576,Assumptions!$A$15:$A$18,0)),"Yes","No"))</f>
        <v>Yes</v>
      </c>
    </row>
    <row r="577" customFormat="false" ht="15" hidden="false" customHeight="false" outlineLevel="0" collapsed="false">
      <c r="A577" s="31" t="s">
        <v>727</v>
      </c>
      <c r="B577" s="44" t="n">
        <v>46211</v>
      </c>
      <c r="C577" s="31" t="s">
        <v>57</v>
      </c>
      <c r="D577" s="31" t="s">
        <v>68</v>
      </c>
      <c r="E577" s="31" t="s">
        <v>49</v>
      </c>
      <c r="F577" s="31" t="s">
        <v>137</v>
      </c>
      <c r="G577" s="31" t="n">
        <v>3</v>
      </c>
      <c r="H577" s="41" t="n">
        <v>1</v>
      </c>
      <c r="I577" s="31" t="s">
        <v>149</v>
      </c>
      <c r="J577" s="31" t="n">
        <v>5</v>
      </c>
      <c r="K577" s="31" t="s">
        <v>153</v>
      </c>
      <c r="L577" s="45" t="n">
        <f aca="false">DATE(YEAR(B577),MONTH(B577),1)</f>
        <v>46204</v>
      </c>
      <c r="M577" s="31" t="n">
        <f aca="false">WEEKDAY(B577,2)</f>
        <v>3</v>
      </c>
      <c r="N577" s="31" t="str">
        <f aca="false">IF(G577&lt;=INDEX(Assumptions!$B$15:$B$18,MATCH(E577,Assumptions!$A$15:$A$18,0)),"Yes","No")</f>
        <v>Yes</v>
      </c>
      <c r="O577" s="31" t="str">
        <f aca="false">IF(H577="","Open",IF(H577&lt;=INDEX(Assumptions!$C$15:$C$18,MATCH(E577,Assumptions!$A$15:$A$18,0)),"Yes","No"))</f>
        <v>Yes</v>
      </c>
    </row>
    <row r="578" customFormat="false" ht="15" hidden="false" customHeight="false" outlineLevel="0" collapsed="false">
      <c r="A578" s="31" t="s">
        <v>728</v>
      </c>
      <c r="B578" s="44" t="n">
        <v>46211</v>
      </c>
      <c r="C578" s="31" t="s">
        <v>57</v>
      </c>
      <c r="D578" s="31" t="s">
        <v>65</v>
      </c>
      <c r="E578" s="31" t="s">
        <v>51</v>
      </c>
      <c r="F578" s="31" t="s">
        <v>117</v>
      </c>
      <c r="G578" s="31" t="n">
        <v>2</v>
      </c>
      <c r="H578" s="41" t="n">
        <v>6.5</v>
      </c>
      <c r="I578" s="31" t="s">
        <v>149</v>
      </c>
      <c r="J578" s="31"/>
      <c r="K578" s="31" t="s">
        <v>150</v>
      </c>
      <c r="L578" s="45" t="n">
        <f aca="false">DATE(YEAR(B578),MONTH(B578),1)</f>
        <v>46204</v>
      </c>
      <c r="M578" s="31" t="n">
        <f aca="false">WEEKDAY(B578,2)</f>
        <v>3</v>
      </c>
      <c r="N578" s="31" t="str">
        <f aca="false">IF(G578&lt;=INDEX(Assumptions!$B$15:$B$18,MATCH(E578,Assumptions!$A$15:$A$18,0)),"Yes","No")</f>
        <v>Yes</v>
      </c>
      <c r="O578" s="31" t="str">
        <f aca="false">IF(H578="","Open",IF(H578&lt;=INDEX(Assumptions!$C$15:$C$18,MATCH(E578,Assumptions!$A$15:$A$18,0)),"Yes","No"))</f>
        <v>Yes</v>
      </c>
    </row>
    <row r="579" customFormat="false" ht="15" hidden="false" customHeight="false" outlineLevel="0" collapsed="false">
      <c r="A579" s="31" t="s">
        <v>729</v>
      </c>
      <c r="B579" s="44" t="n">
        <v>46211</v>
      </c>
      <c r="C579" s="31" t="s">
        <v>58</v>
      </c>
      <c r="D579" s="31" t="s">
        <v>65</v>
      </c>
      <c r="E579" s="31" t="s">
        <v>52</v>
      </c>
      <c r="F579" s="31" t="s">
        <v>124</v>
      </c>
      <c r="G579" s="31" t="n">
        <v>15</v>
      </c>
      <c r="H579" s="41" t="n">
        <v>61.5</v>
      </c>
      <c r="I579" s="31" t="s">
        <v>149</v>
      </c>
      <c r="J579" s="31"/>
      <c r="K579" s="31" t="s">
        <v>150</v>
      </c>
      <c r="L579" s="45" t="n">
        <f aca="false">DATE(YEAR(B579),MONTH(B579),1)</f>
        <v>46204</v>
      </c>
      <c r="M579" s="31" t="n">
        <f aca="false">WEEKDAY(B579,2)</f>
        <v>3</v>
      </c>
      <c r="N579" s="31" t="str">
        <f aca="false">IF(G579&lt;=INDEX(Assumptions!$B$15:$B$18,MATCH(E579,Assumptions!$A$15:$A$18,0)),"Yes","No")</f>
        <v>Yes</v>
      </c>
      <c r="O579" s="31" t="str">
        <f aca="false">IF(H579="","Open",IF(H579&lt;=INDEX(Assumptions!$C$15:$C$18,MATCH(E579,Assumptions!$A$15:$A$18,0)),"Yes","No"))</f>
        <v>Yes</v>
      </c>
    </row>
    <row r="580" customFormat="false" ht="15" hidden="false" customHeight="false" outlineLevel="0" collapsed="false">
      <c r="A580" s="31" t="s">
        <v>730</v>
      </c>
      <c r="B580" s="44" t="n">
        <v>46211</v>
      </c>
      <c r="C580" s="31" t="s">
        <v>59</v>
      </c>
      <c r="D580" s="31" t="s">
        <v>66</v>
      </c>
      <c r="E580" s="31" t="s">
        <v>49</v>
      </c>
      <c r="F580" s="31" t="s">
        <v>126</v>
      </c>
      <c r="G580" s="31" t="n">
        <v>143</v>
      </c>
      <c r="H580" s="41" t="n">
        <v>0.5</v>
      </c>
      <c r="I580" s="31" t="s">
        <v>149</v>
      </c>
      <c r="J580" s="31" t="n">
        <v>3</v>
      </c>
      <c r="K580" s="31" t="s">
        <v>150</v>
      </c>
      <c r="L580" s="45" t="n">
        <f aca="false">DATE(YEAR(B580),MONTH(B580),1)</f>
        <v>46204</v>
      </c>
      <c r="M580" s="31" t="n">
        <f aca="false">WEEKDAY(B580,2)</f>
        <v>3</v>
      </c>
      <c r="N580" s="31" t="str">
        <f aca="false">IF(G580&lt;=INDEX(Assumptions!$B$15:$B$18,MATCH(E580,Assumptions!$A$15:$A$18,0)),"Yes","No")</f>
        <v>No</v>
      </c>
      <c r="O580" s="31" t="str">
        <f aca="false">IF(H580="","Open",IF(H580&lt;=INDEX(Assumptions!$C$15:$C$18,MATCH(E580,Assumptions!$A$15:$A$18,0)),"Yes","No"))</f>
        <v>Yes</v>
      </c>
    </row>
    <row r="581" customFormat="false" ht="15" hidden="false" customHeight="false" outlineLevel="0" collapsed="false">
      <c r="A581" s="31" t="s">
        <v>731</v>
      </c>
      <c r="B581" s="44" t="n">
        <v>46211</v>
      </c>
      <c r="C581" s="31" t="s">
        <v>57</v>
      </c>
      <c r="D581" s="31" t="s">
        <v>65</v>
      </c>
      <c r="E581" s="31" t="s">
        <v>51</v>
      </c>
      <c r="F581" s="31" t="s">
        <v>130</v>
      </c>
      <c r="G581" s="31" t="n">
        <v>6</v>
      </c>
      <c r="H581" s="41" t="n">
        <v>6.9</v>
      </c>
      <c r="I581" s="31" t="s">
        <v>149</v>
      </c>
      <c r="J581" s="31"/>
      <c r="K581" s="31" t="s">
        <v>150</v>
      </c>
      <c r="L581" s="45" t="n">
        <f aca="false">DATE(YEAR(B581),MONTH(B581),1)</f>
        <v>46204</v>
      </c>
      <c r="M581" s="31" t="n">
        <f aca="false">WEEKDAY(B581,2)</f>
        <v>3</v>
      </c>
      <c r="N581" s="31" t="str">
        <f aca="false">IF(G581&lt;=INDEX(Assumptions!$B$15:$B$18,MATCH(E581,Assumptions!$A$15:$A$18,0)),"Yes","No")</f>
        <v>Yes</v>
      </c>
      <c r="O581" s="31" t="str">
        <f aca="false">IF(H581="","Open",IF(H581&lt;=INDEX(Assumptions!$C$15:$C$18,MATCH(E581,Assumptions!$A$15:$A$18,0)),"Yes","No"))</f>
        <v>Yes</v>
      </c>
    </row>
    <row r="582" customFormat="false" ht="15" hidden="false" customHeight="false" outlineLevel="0" collapsed="false">
      <c r="A582" s="31" t="s">
        <v>732</v>
      </c>
      <c r="B582" s="44" t="n">
        <v>46211</v>
      </c>
      <c r="C582" s="31" t="s">
        <v>58</v>
      </c>
      <c r="D582" s="31" t="s">
        <v>69</v>
      </c>
      <c r="E582" s="31" t="s">
        <v>52</v>
      </c>
      <c r="F582" s="31" t="s">
        <v>120</v>
      </c>
      <c r="G582" s="31" t="n">
        <v>8</v>
      </c>
      <c r="H582" s="41" t="n">
        <v>57.5</v>
      </c>
      <c r="I582" s="31" t="s">
        <v>149</v>
      </c>
      <c r="J582" s="31"/>
      <c r="K582" s="31" t="s">
        <v>150</v>
      </c>
      <c r="L582" s="45" t="n">
        <f aca="false">DATE(YEAR(B582),MONTH(B582),1)</f>
        <v>46204</v>
      </c>
      <c r="M582" s="31" t="n">
        <f aca="false">WEEKDAY(B582,2)</f>
        <v>3</v>
      </c>
      <c r="N582" s="31" t="str">
        <f aca="false">IF(G582&lt;=INDEX(Assumptions!$B$15:$B$18,MATCH(E582,Assumptions!$A$15:$A$18,0)),"Yes","No")</f>
        <v>Yes</v>
      </c>
      <c r="O582" s="31" t="str">
        <f aca="false">IF(H582="","Open",IF(H582&lt;=INDEX(Assumptions!$C$15:$C$18,MATCH(E582,Assumptions!$A$15:$A$18,0)),"Yes","No"))</f>
        <v>Yes</v>
      </c>
    </row>
    <row r="583" customFormat="false" ht="15" hidden="false" customHeight="false" outlineLevel="0" collapsed="false">
      <c r="A583" s="31" t="s">
        <v>733</v>
      </c>
      <c r="B583" s="44" t="n">
        <v>46211</v>
      </c>
      <c r="C583" s="31" t="s">
        <v>58</v>
      </c>
      <c r="D583" s="31" t="s">
        <v>65</v>
      </c>
      <c r="E583" s="31" t="s">
        <v>51</v>
      </c>
      <c r="F583" s="31" t="s">
        <v>133</v>
      </c>
      <c r="G583" s="31" t="n">
        <v>3</v>
      </c>
      <c r="H583" s="41" t="n">
        <v>5.7</v>
      </c>
      <c r="I583" s="31" t="s">
        <v>149</v>
      </c>
      <c r="J583" s="31"/>
      <c r="K583" s="31" t="s">
        <v>150</v>
      </c>
      <c r="L583" s="45" t="n">
        <f aca="false">DATE(YEAR(B583),MONTH(B583),1)</f>
        <v>46204</v>
      </c>
      <c r="M583" s="31" t="n">
        <f aca="false">WEEKDAY(B583,2)</f>
        <v>3</v>
      </c>
      <c r="N583" s="31" t="str">
        <f aca="false">IF(G583&lt;=INDEX(Assumptions!$B$15:$B$18,MATCH(E583,Assumptions!$A$15:$A$18,0)),"Yes","No")</f>
        <v>Yes</v>
      </c>
      <c r="O583" s="31" t="str">
        <f aca="false">IF(H583="","Open",IF(H583&lt;=INDEX(Assumptions!$C$15:$C$18,MATCH(E583,Assumptions!$A$15:$A$18,0)),"Yes","No"))</f>
        <v>Yes</v>
      </c>
    </row>
    <row r="584" customFormat="false" ht="15" hidden="false" customHeight="false" outlineLevel="0" collapsed="false">
      <c r="A584" s="31" t="s">
        <v>734</v>
      </c>
      <c r="B584" s="44" t="n">
        <v>46211</v>
      </c>
      <c r="C584" s="31" t="s">
        <v>57</v>
      </c>
      <c r="D584" s="31" t="s">
        <v>69</v>
      </c>
      <c r="E584" s="31" t="s">
        <v>52</v>
      </c>
      <c r="F584" s="31" t="s">
        <v>136</v>
      </c>
      <c r="G584" s="31" t="n">
        <v>7</v>
      </c>
      <c r="H584" s="41" t="n">
        <v>35.2</v>
      </c>
      <c r="I584" s="31" t="s">
        <v>149</v>
      </c>
      <c r="J584" s="31"/>
      <c r="K584" s="31" t="s">
        <v>150</v>
      </c>
      <c r="L584" s="45" t="n">
        <f aca="false">DATE(YEAR(B584),MONTH(B584),1)</f>
        <v>46204</v>
      </c>
      <c r="M584" s="31" t="n">
        <f aca="false">WEEKDAY(B584,2)</f>
        <v>3</v>
      </c>
      <c r="N584" s="31" t="str">
        <f aca="false">IF(G584&lt;=INDEX(Assumptions!$B$15:$B$18,MATCH(E584,Assumptions!$A$15:$A$18,0)),"Yes","No")</f>
        <v>Yes</v>
      </c>
      <c r="O584" s="31" t="str">
        <f aca="false">IF(H584="","Open",IF(H584&lt;=INDEX(Assumptions!$C$15:$C$18,MATCH(E584,Assumptions!$A$15:$A$18,0)),"Yes","No"))</f>
        <v>Yes</v>
      </c>
    </row>
    <row r="585" customFormat="false" ht="15" hidden="false" customHeight="false" outlineLevel="0" collapsed="false">
      <c r="A585" s="31" t="s">
        <v>735</v>
      </c>
      <c r="B585" s="44" t="n">
        <v>46211</v>
      </c>
      <c r="C585" s="31" t="s">
        <v>60</v>
      </c>
      <c r="D585" s="31" t="s">
        <v>65</v>
      </c>
      <c r="E585" s="31" t="s">
        <v>52</v>
      </c>
      <c r="F585" s="31" t="s">
        <v>120</v>
      </c>
      <c r="G585" s="31" t="n">
        <v>4</v>
      </c>
      <c r="H585" s="41" t="n">
        <v>8.4</v>
      </c>
      <c r="I585" s="31" t="s">
        <v>149</v>
      </c>
      <c r="J585" s="31"/>
      <c r="K585" s="31" t="s">
        <v>150</v>
      </c>
      <c r="L585" s="45" t="n">
        <f aca="false">DATE(YEAR(B585),MONTH(B585),1)</f>
        <v>46204</v>
      </c>
      <c r="M585" s="31" t="n">
        <f aca="false">WEEKDAY(B585,2)</f>
        <v>3</v>
      </c>
      <c r="N585" s="31" t="str">
        <f aca="false">IF(G585&lt;=INDEX(Assumptions!$B$15:$B$18,MATCH(E585,Assumptions!$A$15:$A$18,0)),"Yes","No")</f>
        <v>Yes</v>
      </c>
      <c r="O585" s="31" t="str">
        <f aca="false">IF(H585="","Open",IF(H585&lt;=INDEX(Assumptions!$C$15:$C$18,MATCH(E585,Assumptions!$A$15:$A$18,0)),"Yes","No"))</f>
        <v>Yes</v>
      </c>
    </row>
    <row r="586" customFormat="false" ht="15" hidden="false" customHeight="false" outlineLevel="0" collapsed="false">
      <c r="A586" s="31" t="s">
        <v>736</v>
      </c>
      <c r="B586" s="44" t="n">
        <v>46211</v>
      </c>
      <c r="C586" s="31" t="s">
        <v>59</v>
      </c>
      <c r="D586" s="31" t="s">
        <v>68</v>
      </c>
      <c r="E586" s="31" t="s">
        <v>51</v>
      </c>
      <c r="F586" s="31" t="s">
        <v>122</v>
      </c>
      <c r="G586" s="31" t="n">
        <v>96</v>
      </c>
      <c r="H586" s="41" t="n">
        <v>1.3</v>
      </c>
      <c r="I586" s="31" t="s">
        <v>149</v>
      </c>
      <c r="J586" s="31"/>
      <c r="K586" s="31" t="s">
        <v>150</v>
      </c>
      <c r="L586" s="45" t="n">
        <f aca="false">DATE(YEAR(B586),MONTH(B586),1)</f>
        <v>46204</v>
      </c>
      <c r="M586" s="31" t="n">
        <f aca="false">WEEKDAY(B586,2)</f>
        <v>3</v>
      </c>
      <c r="N586" s="31" t="str">
        <f aca="false">IF(G586&lt;=INDEX(Assumptions!$B$15:$B$18,MATCH(E586,Assumptions!$A$15:$A$18,0)),"Yes","No")</f>
        <v>No</v>
      </c>
      <c r="O586" s="31" t="str">
        <f aca="false">IF(H586="","Open",IF(H586&lt;=INDEX(Assumptions!$C$15:$C$18,MATCH(E586,Assumptions!$A$15:$A$18,0)),"Yes","No"))</f>
        <v>Yes</v>
      </c>
    </row>
    <row r="587" customFormat="false" ht="15" hidden="false" customHeight="false" outlineLevel="0" collapsed="false">
      <c r="A587" s="31" t="s">
        <v>737</v>
      </c>
      <c r="B587" s="44" t="n">
        <v>46211</v>
      </c>
      <c r="C587" s="31" t="s">
        <v>60</v>
      </c>
      <c r="D587" s="31" t="s">
        <v>66</v>
      </c>
      <c r="E587" s="31" t="s">
        <v>51</v>
      </c>
      <c r="F587" s="31" t="s">
        <v>130</v>
      </c>
      <c r="G587" s="31" t="n">
        <v>1</v>
      </c>
      <c r="H587" s="41" t="n">
        <v>2.7</v>
      </c>
      <c r="I587" s="31" t="s">
        <v>149</v>
      </c>
      <c r="J587" s="31" t="n">
        <v>5</v>
      </c>
      <c r="K587" s="31" t="s">
        <v>150</v>
      </c>
      <c r="L587" s="45" t="n">
        <f aca="false">DATE(YEAR(B587),MONTH(B587),1)</f>
        <v>46204</v>
      </c>
      <c r="M587" s="31" t="n">
        <f aca="false">WEEKDAY(B587,2)</f>
        <v>3</v>
      </c>
      <c r="N587" s="31" t="str">
        <f aca="false">IF(G587&lt;=INDEX(Assumptions!$B$15:$B$18,MATCH(E587,Assumptions!$A$15:$A$18,0)),"Yes","No")</f>
        <v>Yes</v>
      </c>
      <c r="O587" s="31" t="str">
        <f aca="false">IF(H587="","Open",IF(H587&lt;=INDEX(Assumptions!$C$15:$C$18,MATCH(E587,Assumptions!$A$15:$A$18,0)),"Yes","No"))</f>
        <v>Yes</v>
      </c>
    </row>
    <row r="588" customFormat="false" ht="15" hidden="false" customHeight="false" outlineLevel="0" collapsed="false">
      <c r="A588" s="31" t="s">
        <v>738</v>
      </c>
      <c r="B588" s="44" t="n">
        <v>46211</v>
      </c>
      <c r="C588" s="31" t="s">
        <v>58</v>
      </c>
      <c r="D588" s="31" t="s">
        <v>69</v>
      </c>
      <c r="E588" s="31" t="s">
        <v>52</v>
      </c>
      <c r="F588" s="31" t="s">
        <v>120</v>
      </c>
      <c r="G588" s="31" t="n">
        <v>50</v>
      </c>
      <c r="H588" s="41" t="n">
        <v>84.3</v>
      </c>
      <c r="I588" s="31" t="s">
        <v>149</v>
      </c>
      <c r="J588" s="31"/>
      <c r="K588" s="31" t="s">
        <v>150</v>
      </c>
      <c r="L588" s="45" t="n">
        <f aca="false">DATE(YEAR(B588),MONTH(B588),1)</f>
        <v>46204</v>
      </c>
      <c r="M588" s="31" t="n">
        <f aca="false">WEEKDAY(B588,2)</f>
        <v>3</v>
      </c>
      <c r="N588" s="31" t="str">
        <f aca="false">IF(G588&lt;=INDEX(Assumptions!$B$15:$B$18,MATCH(E588,Assumptions!$A$15:$A$18,0)),"Yes","No")</f>
        <v>Yes</v>
      </c>
      <c r="O588" s="31" t="str">
        <f aca="false">IF(H588="","Open",IF(H588&lt;=INDEX(Assumptions!$C$15:$C$18,MATCH(E588,Assumptions!$A$15:$A$18,0)),"Yes","No"))</f>
        <v>No</v>
      </c>
    </row>
    <row r="589" customFormat="false" ht="15" hidden="false" customHeight="false" outlineLevel="0" collapsed="false">
      <c r="A589" s="31" t="s">
        <v>739</v>
      </c>
      <c r="B589" s="44" t="n">
        <v>46211</v>
      </c>
      <c r="C589" s="31" t="s">
        <v>58</v>
      </c>
      <c r="D589" s="31" t="s">
        <v>66</v>
      </c>
      <c r="E589" s="31" t="s">
        <v>51</v>
      </c>
      <c r="F589" s="31" t="s">
        <v>128</v>
      </c>
      <c r="G589" s="31" t="n">
        <v>13</v>
      </c>
      <c r="H589" s="41" t="n">
        <v>2.2</v>
      </c>
      <c r="I589" s="31" t="s">
        <v>149</v>
      </c>
      <c r="J589" s="31" t="n">
        <v>3</v>
      </c>
      <c r="K589" s="31" t="s">
        <v>150</v>
      </c>
      <c r="L589" s="45" t="n">
        <f aca="false">DATE(YEAR(B589),MONTH(B589),1)</f>
        <v>46204</v>
      </c>
      <c r="M589" s="31" t="n">
        <f aca="false">WEEKDAY(B589,2)</f>
        <v>3</v>
      </c>
      <c r="N589" s="31" t="str">
        <f aca="false">IF(G589&lt;=INDEX(Assumptions!$B$15:$B$18,MATCH(E589,Assumptions!$A$15:$A$18,0)),"Yes","No")</f>
        <v>Yes</v>
      </c>
      <c r="O589" s="31" t="str">
        <f aca="false">IF(H589="","Open",IF(H589&lt;=INDEX(Assumptions!$C$15:$C$18,MATCH(E589,Assumptions!$A$15:$A$18,0)),"Yes","No"))</f>
        <v>Yes</v>
      </c>
    </row>
    <row r="590" customFormat="false" ht="15" hidden="false" customHeight="false" outlineLevel="0" collapsed="false">
      <c r="A590" s="31" t="s">
        <v>740</v>
      </c>
      <c r="B590" s="44" t="n">
        <v>46212</v>
      </c>
      <c r="C590" s="31" t="s">
        <v>59</v>
      </c>
      <c r="D590" s="31" t="s">
        <v>67</v>
      </c>
      <c r="E590" s="31" t="s">
        <v>52</v>
      </c>
      <c r="F590" s="31" t="s">
        <v>135</v>
      </c>
      <c r="G590" s="31" t="n">
        <v>188</v>
      </c>
      <c r="H590" s="41" t="n">
        <v>42.4</v>
      </c>
      <c r="I590" s="31" t="s">
        <v>149</v>
      </c>
      <c r="J590" s="31"/>
      <c r="K590" s="31" t="s">
        <v>150</v>
      </c>
      <c r="L590" s="45" t="n">
        <f aca="false">DATE(YEAR(B590),MONTH(B590),1)</f>
        <v>46204</v>
      </c>
      <c r="M590" s="31" t="n">
        <f aca="false">WEEKDAY(B590,2)</f>
        <v>4</v>
      </c>
      <c r="N590" s="31" t="str">
        <f aca="false">IF(G590&lt;=INDEX(Assumptions!$B$15:$B$18,MATCH(E590,Assumptions!$A$15:$A$18,0)),"Yes","No")</f>
        <v>Yes</v>
      </c>
      <c r="O590" s="31" t="str">
        <f aca="false">IF(H590="","Open",IF(H590&lt;=INDEX(Assumptions!$C$15:$C$18,MATCH(E590,Assumptions!$A$15:$A$18,0)),"Yes","No"))</f>
        <v>Yes</v>
      </c>
    </row>
    <row r="591" customFormat="false" ht="15" hidden="false" customHeight="false" outlineLevel="0" collapsed="false">
      <c r="A591" s="31" t="s">
        <v>741</v>
      </c>
      <c r="B591" s="44" t="n">
        <v>46212</v>
      </c>
      <c r="C591" s="31" t="s">
        <v>58</v>
      </c>
      <c r="D591" s="31" t="s">
        <v>68</v>
      </c>
      <c r="E591" s="31" t="s">
        <v>52</v>
      </c>
      <c r="F591" s="31" t="s">
        <v>135</v>
      </c>
      <c r="G591" s="31" t="n">
        <v>4</v>
      </c>
      <c r="H591" s="41" t="n">
        <v>9.6</v>
      </c>
      <c r="I591" s="31" t="s">
        <v>149</v>
      </c>
      <c r="J591" s="31" t="n">
        <v>3</v>
      </c>
      <c r="K591" s="31" t="s">
        <v>150</v>
      </c>
      <c r="L591" s="45" t="n">
        <f aca="false">DATE(YEAR(B591),MONTH(B591),1)</f>
        <v>46204</v>
      </c>
      <c r="M591" s="31" t="n">
        <f aca="false">WEEKDAY(B591,2)</f>
        <v>4</v>
      </c>
      <c r="N591" s="31" t="str">
        <f aca="false">IF(G591&lt;=INDEX(Assumptions!$B$15:$B$18,MATCH(E591,Assumptions!$A$15:$A$18,0)),"Yes","No")</f>
        <v>Yes</v>
      </c>
      <c r="O591" s="31" t="str">
        <f aca="false">IF(H591="","Open",IF(H591&lt;=INDEX(Assumptions!$C$15:$C$18,MATCH(E591,Assumptions!$A$15:$A$18,0)),"Yes","No"))</f>
        <v>Yes</v>
      </c>
    </row>
    <row r="592" customFormat="false" ht="15" hidden="false" customHeight="false" outlineLevel="0" collapsed="false">
      <c r="A592" s="31" t="s">
        <v>742</v>
      </c>
      <c r="B592" s="44" t="n">
        <v>46212</v>
      </c>
      <c r="C592" s="31" t="s">
        <v>60</v>
      </c>
      <c r="D592" s="31" t="s">
        <v>65</v>
      </c>
      <c r="E592" s="31" t="s">
        <v>52</v>
      </c>
      <c r="F592" s="31" t="s">
        <v>119</v>
      </c>
      <c r="G592" s="31" t="n">
        <v>5</v>
      </c>
      <c r="H592" s="41" t="n">
        <v>8.2</v>
      </c>
      <c r="I592" s="31" t="s">
        <v>149</v>
      </c>
      <c r="J592" s="31"/>
      <c r="K592" s="31" t="s">
        <v>150</v>
      </c>
      <c r="L592" s="45" t="n">
        <f aca="false">DATE(YEAR(B592),MONTH(B592),1)</f>
        <v>46204</v>
      </c>
      <c r="M592" s="31" t="n">
        <f aca="false">WEEKDAY(B592,2)</f>
        <v>4</v>
      </c>
      <c r="N592" s="31" t="str">
        <f aca="false">IF(G592&lt;=INDEX(Assumptions!$B$15:$B$18,MATCH(E592,Assumptions!$A$15:$A$18,0)),"Yes","No")</f>
        <v>Yes</v>
      </c>
      <c r="O592" s="31" t="str">
        <f aca="false">IF(H592="","Open",IF(H592&lt;=INDEX(Assumptions!$C$15:$C$18,MATCH(E592,Assumptions!$A$15:$A$18,0)),"Yes","No"))</f>
        <v>Yes</v>
      </c>
    </row>
    <row r="593" customFormat="false" ht="15" hidden="false" customHeight="false" outlineLevel="0" collapsed="false">
      <c r="A593" s="31" t="s">
        <v>743</v>
      </c>
      <c r="B593" s="44" t="n">
        <v>46212</v>
      </c>
      <c r="C593" s="31" t="s">
        <v>58</v>
      </c>
      <c r="D593" s="31" t="s">
        <v>68</v>
      </c>
      <c r="E593" s="31" t="s">
        <v>52</v>
      </c>
      <c r="F593" s="31" t="s">
        <v>127</v>
      </c>
      <c r="G593" s="31" t="n">
        <v>6</v>
      </c>
      <c r="H593" s="41" t="n">
        <v>3.7</v>
      </c>
      <c r="I593" s="31" t="s">
        <v>149</v>
      </c>
      <c r="J593" s="31"/>
      <c r="K593" s="31" t="s">
        <v>150</v>
      </c>
      <c r="L593" s="45" t="n">
        <f aca="false">DATE(YEAR(B593),MONTH(B593),1)</f>
        <v>46204</v>
      </c>
      <c r="M593" s="31" t="n">
        <f aca="false">WEEKDAY(B593,2)</f>
        <v>4</v>
      </c>
      <c r="N593" s="31" t="str">
        <f aca="false">IF(G593&lt;=INDEX(Assumptions!$B$15:$B$18,MATCH(E593,Assumptions!$A$15:$A$18,0)),"Yes","No")</f>
        <v>Yes</v>
      </c>
      <c r="O593" s="31" t="str">
        <f aca="false">IF(H593="","Open",IF(H593&lt;=INDEX(Assumptions!$C$15:$C$18,MATCH(E593,Assumptions!$A$15:$A$18,0)),"Yes","No"))</f>
        <v>Yes</v>
      </c>
    </row>
    <row r="594" customFormat="false" ht="15" hidden="false" customHeight="false" outlineLevel="0" collapsed="false">
      <c r="A594" s="31" t="s">
        <v>744</v>
      </c>
      <c r="B594" s="44" t="n">
        <v>46212</v>
      </c>
      <c r="C594" s="31" t="s">
        <v>60</v>
      </c>
      <c r="D594" s="31" t="s">
        <v>67</v>
      </c>
      <c r="E594" s="31" t="s">
        <v>50</v>
      </c>
      <c r="F594" s="31" t="s">
        <v>119</v>
      </c>
      <c r="G594" s="31" t="n">
        <v>2</v>
      </c>
      <c r="H594" s="41" t="n">
        <v>12.4</v>
      </c>
      <c r="I594" s="31" t="s">
        <v>149</v>
      </c>
      <c r="J594" s="31"/>
      <c r="K594" s="31" t="s">
        <v>150</v>
      </c>
      <c r="L594" s="45" t="n">
        <f aca="false">DATE(YEAR(B594),MONTH(B594),1)</f>
        <v>46204</v>
      </c>
      <c r="M594" s="31" t="n">
        <f aca="false">WEEKDAY(B594,2)</f>
        <v>4</v>
      </c>
      <c r="N594" s="31" t="str">
        <f aca="false">IF(G594&lt;=INDEX(Assumptions!$B$15:$B$18,MATCH(E594,Assumptions!$A$15:$A$18,0)),"Yes","No")</f>
        <v>Yes</v>
      </c>
      <c r="O594" s="31" t="str">
        <f aca="false">IF(H594="","Open",IF(H594&lt;=INDEX(Assumptions!$C$15:$C$18,MATCH(E594,Assumptions!$A$15:$A$18,0)),"Yes","No"))</f>
        <v>No</v>
      </c>
    </row>
    <row r="595" customFormat="false" ht="15" hidden="false" customHeight="false" outlineLevel="0" collapsed="false">
      <c r="A595" s="31" t="s">
        <v>745</v>
      </c>
      <c r="B595" s="44" t="n">
        <v>46212</v>
      </c>
      <c r="C595" s="31" t="s">
        <v>57</v>
      </c>
      <c r="D595" s="31" t="s">
        <v>66</v>
      </c>
      <c r="E595" s="31" t="s">
        <v>51</v>
      </c>
      <c r="F595" s="31" t="s">
        <v>128</v>
      </c>
      <c r="G595" s="31" t="n">
        <v>7</v>
      </c>
      <c r="H595" s="41" t="n">
        <v>15.2</v>
      </c>
      <c r="I595" s="31" t="s">
        <v>149</v>
      </c>
      <c r="J595" s="31"/>
      <c r="K595" s="31" t="s">
        <v>150</v>
      </c>
      <c r="L595" s="45" t="n">
        <f aca="false">DATE(YEAR(B595),MONTH(B595),1)</f>
        <v>46204</v>
      </c>
      <c r="M595" s="31" t="n">
        <f aca="false">WEEKDAY(B595,2)</f>
        <v>4</v>
      </c>
      <c r="N595" s="31" t="str">
        <f aca="false">IF(G595&lt;=INDEX(Assumptions!$B$15:$B$18,MATCH(E595,Assumptions!$A$15:$A$18,0)),"Yes","No")</f>
        <v>Yes</v>
      </c>
      <c r="O595" s="31" t="str">
        <f aca="false">IF(H595="","Open",IF(H595&lt;=INDEX(Assumptions!$C$15:$C$18,MATCH(E595,Assumptions!$A$15:$A$18,0)),"Yes","No"))</f>
        <v>Yes</v>
      </c>
    </row>
    <row r="596" customFormat="false" ht="15" hidden="false" customHeight="false" outlineLevel="0" collapsed="false">
      <c r="A596" s="31" t="s">
        <v>746</v>
      </c>
      <c r="B596" s="44" t="n">
        <v>46212</v>
      </c>
      <c r="C596" s="31" t="s">
        <v>59</v>
      </c>
      <c r="D596" s="31" t="s">
        <v>69</v>
      </c>
      <c r="E596" s="31" t="s">
        <v>49</v>
      </c>
      <c r="F596" s="31" t="s">
        <v>137</v>
      </c>
      <c r="G596" s="31" t="n">
        <v>193</v>
      </c>
      <c r="H596" s="41" t="n">
        <v>4.5</v>
      </c>
      <c r="I596" s="31" t="s">
        <v>149</v>
      </c>
      <c r="J596" s="31"/>
      <c r="K596" s="31" t="s">
        <v>150</v>
      </c>
      <c r="L596" s="45" t="n">
        <f aca="false">DATE(YEAR(B596),MONTH(B596),1)</f>
        <v>46204</v>
      </c>
      <c r="M596" s="31" t="n">
        <f aca="false">WEEKDAY(B596,2)</f>
        <v>4</v>
      </c>
      <c r="N596" s="31" t="str">
        <f aca="false">IF(G596&lt;=INDEX(Assumptions!$B$15:$B$18,MATCH(E596,Assumptions!$A$15:$A$18,0)),"Yes","No")</f>
        <v>No</v>
      </c>
      <c r="O596" s="31" t="str">
        <f aca="false">IF(H596="","Open",IF(H596&lt;=INDEX(Assumptions!$C$15:$C$18,MATCH(E596,Assumptions!$A$15:$A$18,0)),"Yes","No"))</f>
        <v>No</v>
      </c>
    </row>
    <row r="597" customFormat="false" ht="15" hidden="false" customHeight="false" outlineLevel="0" collapsed="false">
      <c r="A597" s="31" t="s">
        <v>747</v>
      </c>
      <c r="B597" s="44" t="n">
        <v>46212</v>
      </c>
      <c r="C597" s="31" t="s">
        <v>58</v>
      </c>
      <c r="D597" s="31" t="s">
        <v>68</v>
      </c>
      <c r="E597" s="31" t="s">
        <v>52</v>
      </c>
      <c r="F597" s="31" t="s">
        <v>129</v>
      </c>
      <c r="G597" s="31" t="n">
        <v>19</v>
      </c>
      <c r="H597" s="41" t="n">
        <v>3.2</v>
      </c>
      <c r="I597" s="31" t="s">
        <v>149</v>
      </c>
      <c r="J597" s="31" t="n">
        <v>5</v>
      </c>
      <c r="K597" s="31" t="s">
        <v>150</v>
      </c>
      <c r="L597" s="45" t="n">
        <f aca="false">DATE(YEAR(B597),MONTH(B597),1)</f>
        <v>46204</v>
      </c>
      <c r="M597" s="31" t="n">
        <f aca="false">WEEKDAY(B597,2)</f>
        <v>4</v>
      </c>
      <c r="N597" s="31" t="str">
        <f aca="false">IF(G597&lt;=INDEX(Assumptions!$B$15:$B$18,MATCH(E597,Assumptions!$A$15:$A$18,0)),"Yes","No")</f>
        <v>Yes</v>
      </c>
      <c r="O597" s="31" t="str">
        <f aca="false">IF(H597="","Open",IF(H597&lt;=INDEX(Assumptions!$C$15:$C$18,MATCH(E597,Assumptions!$A$15:$A$18,0)),"Yes","No"))</f>
        <v>Yes</v>
      </c>
    </row>
    <row r="598" customFormat="false" ht="15" hidden="false" customHeight="false" outlineLevel="0" collapsed="false">
      <c r="A598" s="31" t="s">
        <v>748</v>
      </c>
      <c r="B598" s="44" t="n">
        <v>46212</v>
      </c>
      <c r="C598" s="31" t="s">
        <v>59</v>
      </c>
      <c r="D598" s="31" t="s">
        <v>67</v>
      </c>
      <c r="E598" s="31" t="s">
        <v>51</v>
      </c>
      <c r="F598" s="31" t="s">
        <v>117</v>
      </c>
      <c r="G598" s="31" t="n">
        <v>30</v>
      </c>
      <c r="H598" s="41" t="n">
        <v>23.1</v>
      </c>
      <c r="I598" s="31" t="s">
        <v>149</v>
      </c>
      <c r="J598" s="31" t="n">
        <v>4</v>
      </c>
      <c r="K598" s="31" t="s">
        <v>150</v>
      </c>
      <c r="L598" s="45" t="n">
        <f aca="false">DATE(YEAR(B598),MONTH(B598),1)</f>
        <v>46204</v>
      </c>
      <c r="M598" s="31" t="n">
        <f aca="false">WEEKDAY(B598,2)</f>
        <v>4</v>
      </c>
      <c r="N598" s="31" t="str">
        <f aca="false">IF(G598&lt;=INDEX(Assumptions!$B$15:$B$18,MATCH(E598,Assumptions!$A$15:$A$18,0)),"Yes","No")</f>
        <v>Yes</v>
      </c>
      <c r="O598" s="31" t="str">
        <f aca="false">IF(H598="","Open",IF(H598&lt;=INDEX(Assumptions!$C$15:$C$18,MATCH(E598,Assumptions!$A$15:$A$18,0)),"Yes","No"))</f>
        <v>Yes</v>
      </c>
    </row>
    <row r="599" customFormat="false" ht="15" hidden="false" customHeight="false" outlineLevel="0" collapsed="false">
      <c r="A599" s="31" t="s">
        <v>749</v>
      </c>
      <c r="B599" s="44" t="n">
        <v>46212</v>
      </c>
      <c r="C599" s="31" t="s">
        <v>60</v>
      </c>
      <c r="D599" s="31" t="s">
        <v>65</v>
      </c>
      <c r="E599" s="31" t="s">
        <v>52</v>
      </c>
      <c r="F599" s="31" t="s">
        <v>128</v>
      </c>
      <c r="G599" s="31" t="n">
        <v>7</v>
      </c>
      <c r="H599" s="41" t="n">
        <v>12.5</v>
      </c>
      <c r="I599" s="31" t="s">
        <v>149</v>
      </c>
      <c r="J599" s="31"/>
      <c r="K599" s="31" t="s">
        <v>150</v>
      </c>
      <c r="L599" s="45" t="n">
        <f aca="false">DATE(YEAR(B599),MONTH(B599),1)</f>
        <v>46204</v>
      </c>
      <c r="M599" s="31" t="n">
        <f aca="false">WEEKDAY(B599,2)</f>
        <v>4</v>
      </c>
      <c r="N599" s="31" t="str">
        <f aca="false">IF(G599&lt;=INDEX(Assumptions!$B$15:$B$18,MATCH(E599,Assumptions!$A$15:$A$18,0)),"Yes","No")</f>
        <v>Yes</v>
      </c>
      <c r="O599" s="31" t="str">
        <f aca="false">IF(H599="","Open",IF(H599&lt;=INDEX(Assumptions!$C$15:$C$18,MATCH(E599,Assumptions!$A$15:$A$18,0)),"Yes","No"))</f>
        <v>Yes</v>
      </c>
    </row>
    <row r="600" customFormat="false" ht="15" hidden="false" customHeight="false" outlineLevel="0" collapsed="false">
      <c r="A600" s="31" t="s">
        <v>750</v>
      </c>
      <c r="B600" s="44" t="n">
        <v>46212</v>
      </c>
      <c r="C600" s="31" t="s">
        <v>57</v>
      </c>
      <c r="D600" s="31" t="s">
        <v>69</v>
      </c>
      <c r="E600" s="31" t="s">
        <v>51</v>
      </c>
      <c r="F600" s="31" t="s">
        <v>122</v>
      </c>
      <c r="G600" s="31" t="n">
        <v>3</v>
      </c>
      <c r="H600" s="41" t="n">
        <v>25.5</v>
      </c>
      <c r="I600" s="31" t="s">
        <v>149</v>
      </c>
      <c r="J600" s="31" t="n">
        <v>3</v>
      </c>
      <c r="K600" s="31" t="s">
        <v>153</v>
      </c>
      <c r="L600" s="45" t="n">
        <f aca="false">DATE(YEAR(B600),MONTH(B600),1)</f>
        <v>46204</v>
      </c>
      <c r="M600" s="31" t="n">
        <f aca="false">WEEKDAY(B600,2)</f>
        <v>4</v>
      </c>
      <c r="N600" s="31" t="str">
        <f aca="false">IF(G600&lt;=INDEX(Assumptions!$B$15:$B$18,MATCH(E600,Assumptions!$A$15:$A$18,0)),"Yes","No")</f>
        <v>Yes</v>
      </c>
      <c r="O600" s="31" t="str">
        <f aca="false">IF(H600="","Open",IF(H600&lt;=INDEX(Assumptions!$C$15:$C$18,MATCH(E600,Assumptions!$A$15:$A$18,0)),"Yes","No"))</f>
        <v>No</v>
      </c>
    </row>
    <row r="601" customFormat="false" ht="15" hidden="false" customHeight="false" outlineLevel="0" collapsed="false">
      <c r="A601" s="31" t="s">
        <v>751</v>
      </c>
      <c r="B601" s="44" t="n">
        <v>46212</v>
      </c>
      <c r="C601" s="31" t="s">
        <v>59</v>
      </c>
      <c r="D601" s="31" t="s">
        <v>68</v>
      </c>
      <c r="E601" s="31" t="s">
        <v>51</v>
      </c>
      <c r="F601" s="31" t="s">
        <v>121</v>
      </c>
      <c r="G601" s="31" t="n">
        <v>38</v>
      </c>
      <c r="H601" s="41" t="n">
        <v>7.8</v>
      </c>
      <c r="I601" s="31" t="s">
        <v>149</v>
      </c>
      <c r="J601" s="31" t="n">
        <v>4</v>
      </c>
      <c r="K601" s="31" t="s">
        <v>150</v>
      </c>
      <c r="L601" s="45" t="n">
        <f aca="false">DATE(YEAR(B601),MONTH(B601),1)</f>
        <v>46204</v>
      </c>
      <c r="M601" s="31" t="n">
        <f aca="false">WEEKDAY(B601,2)</f>
        <v>4</v>
      </c>
      <c r="N601" s="31" t="str">
        <f aca="false">IF(G601&lt;=INDEX(Assumptions!$B$15:$B$18,MATCH(E601,Assumptions!$A$15:$A$18,0)),"Yes","No")</f>
        <v>Yes</v>
      </c>
      <c r="O601" s="31" t="str">
        <f aca="false">IF(H601="","Open",IF(H601&lt;=INDEX(Assumptions!$C$15:$C$18,MATCH(E601,Assumptions!$A$15:$A$18,0)),"Yes","No"))</f>
        <v>Yes</v>
      </c>
    </row>
    <row r="602" customFormat="false" ht="15" hidden="false" customHeight="false" outlineLevel="0" collapsed="false">
      <c r="A602" s="31" t="s">
        <v>752</v>
      </c>
      <c r="B602" s="44" t="n">
        <v>46212</v>
      </c>
      <c r="C602" s="31" t="s">
        <v>60</v>
      </c>
      <c r="D602" s="31" t="s">
        <v>67</v>
      </c>
      <c r="E602" s="31" t="s">
        <v>52</v>
      </c>
      <c r="F602" s="31" t="s">
        <v>123</v>
      </c>
      <c r="G602" s="31" t="n">
        <v>5</v>
      </c>
      <c r="H602" s="41" t="n">
        <v>18.2</v>
      </c>
      <c r="I602" s="31" t="s">
        <v>149</v>
      </c>
      <c r="J602" s="31"/>
      <c r="K602" s="31" t="s">
        <v>150</v>
      </c>
      <c r="L602" s="45" t="n">
        <f aca="false">DATE(YEAR(B602),MONTH(B602),1)</f>
        <v>46204</v>
      </c>
      <c r="M602" s="31" t="n">
        <f aca="false">WEEKDAY(B602,2)</f>
        <v>4</v>
      </c>
      <c r="N602" s="31" t="str">
        <f aca="false">IF(G602&lt;=INDEX(Assumptions!$B$15:$B$18,MATCH(E602,Assumptions!$A$15:$A$18,0)),"Yes","No")</f>
        <v>Yes</v>
      </c>
      <c r="O602" s="31" t="str">
        <f aca="false">IF(H602="","Open",IF(H602&lt;=INDEX(Assumptions!$C$15:$C$18,MATCH(E602,Assumptions!$A$15:$A$18,0)),"Yes","No"))</f>
        <v>Yes</v>
      </c>
    </row>
    <row r="603" customFormat="false" ht="15" hidden="false" customHeight="false" outlineLevel="0" collapsed="false">
      <c r="A603" s="31" t="s">
        <v>753</v>
      </c>
      <c r="B603" s="44" t="n">
        <v>46212</v>
      </c>
      <c r="C603" s="31" t="s">
        <v>58</v>
      </c>
      <c r="D603" s="31" t="s">
        <v>66</v>
      </c>
      <c r="E603" s="31" t="s">
        <v>51</v>
      </c>
      <c r="F603" s="31" t="s">
        <v>128</v>
      </c>
      <c r="G603" s="31" t="n">
        <v>43</v>
      </c>
      <c r="H603" s="41" t="n">
        <v>6.1</v>
      </c>
      <c r="I603" s="31" t="s">
        <v>149</v>
      </c>
      <c r="J603" s="31" t="n">
        <v>3</v>
      </c>
      <c r="K603" s="31" t="s">
        <v>150</v>
      </c>
      <c r="L603" s="45" t="n">
        <f aca="false">DATE(YEAR(B603),MONTH(B603),1)</f>
        <v>46204</v>
      </c>
      <c r="M603" s="31" t="n">
        <f aca="false">WEEKDAY(B603,2)</f>
        <v>4</v>
      </c>
      <c r="N603" s="31" t="str">
        <f aca="false">IF(G603&lt;=INDEX(Assumptions!$B$15:$B$18,MATCH(E603,Assumptions!$A$15:$A$18,0)),"Yes","No")</f>
        <v>Yes</v>
      </c>
      <c r="O603" s="31" t="str">
        <f aca="false">IF(H603="","Open",IF(H603&lt;=INDEX(Assumptions!$C$15:$C$18,MATCH(E603,Assumptions!$A$15:$A$18,0)),"Yes","No"))</f>
        <v>Yes</v>
      </c>
    </row>
    <row r="604" customFormat="false" ht="15" hidden="false" customHeight="false" outlineLevel="0" collapsed="false">
      <c r="A604" s="31" t="s">
        <v>754</v>
      </c>
      <c r="B604" s="44" t="n">
        <v>46212</v>
      </c>
      <c r="C604" s="31" t="s">
        <v>57</v>
      </c>
      <c r="D604" s="31" t="s">
        <v>65</v>
      </c>
      <c r="E604" s="31" t="s">
        <v>52</v>
      </c>
      <c r="F604" s="31" t="s">
        <v>134</v>
      </c>
      <c r="G604" s="31" t="n">
        <v>5</v>
      </c>
      <c r="H604" s="41" t="n">
        <v>17.3</v>
      </c>
      <c r="I604" s="31" t="s">
        <v>149</v>
      </c>
      <c r="J604" s="31"/>
      <c r="K604" s="31" t="s">
        <v>150</v>
      </c>
      <c r="L604" s="45" t="n">
        <f aca="false">DATE(YEAR(B604),MONTH(B604),1)</f>
        <v>46204</v>
      </c>
      <c r="M604" s="31" t="n">
        <f aca="false">WEEKDAY(B604,2)</f>
        <v>4</v>
      </c>
      <c r="N604" s="31" t="str">
        <f aca="false">IF(G604&lt;=INDEX(Assumptions!$B$15:$B$18,MATCH(E604,Assumptions!$A$15:$A$18,0)),"Yes","No")</f>
        <v>Yes</v>
      </c>
      <c r="O604" s="31" t="str">
        <f aca="false">IF(H604="","Open",IF(H604&lt;=INDEX(Assumptions!$C$15:$C$18,MATCH(E604,Assumptions!$A$15:$A$18,0)),"Yes","No"))</f>
        <v>Yes</v>
      </c>
    </row>
    <row r="605" customFormat="false" ht="15" hidden="false" customHeight="false" outlineLevel="0" collapsed="false">
      <c r="A605" s="31" t="s">
        <v>755</v>
      </c>
      <c r="B605" s="44" t="n">
        <v>46212</v>
      </c>
      <c r="C605" s="31" t="s">
        <v>57</v>
      </c>
      <c r="D605" s="31" t="s">
        <v>69</v>
      </c>
      <c r="E605" s="31" t="s">
        <v>52</v>
      </c>
      <c r="F605" s="31" t="s">
        <v>136</v>
      </c>
      <c r="G605" s="31" t="n">
        <v>3</v>
      </c>
      <c r="H605" s="41" t="n">
        <v>15.2</v>
      </c>
      <c r="I605" s="31" t="s">
        <v>149</v>
      </c>
      <c r="J605" s="31"/>
      <c r="K605" s="31" t="s">
        <v>150</v>
      </c>
      <c r="L605" s="45" t="n">
        <f aca="false">DATE(YEAR(B605),MONTH(B605),1)</f>
        <v>46204</v>
      </c>
      <c r="M605" s="31" t="n">
        <f aca="false">WEEKDAY(B605,2)</f>
        <v>4</v>
      </c>
      <c r="N605" s="31" t="str">
        <f aca="false">IF(G605&lt;=INDEX(Assumptions!$B$15:$B$18,MATCH(E605,Assumptions!$A$15:$A$18,0)),"Yes","No")</f>
        <v>Yes</v>
      </c>
      <c r="O605" s="31" t="str">
        <f aca="false">IF(H605="","Open",IF(H605&lt;=INDEX(Assumptions!$C$15:$C$18,MATCH(E605,Assumptions!$A$15:$A$18,0)),"Yes","No"))</f>
        <v>Yes</v>
      </c>
    </row>
    <row r="606" customFormat="false" ht="15" hidden="false" customHeight="false" outlineLevel="0" collapsed="false">
      <c r="A606" s="31" t="s">
        <v>756</v>
      </c>
      <c r="B606" s="44" t="n">
        <v>46212</v>
      </c>
      <c r="C606" s="31" t="s">
        <v>58</v>
      </c>
      <c r="D606" s="31" t="s">
        <v>68</v>
      </c>
      <c r="E606" s="31" t="s">
        <v>50</v>
      </c>
      <c r="F606" s="31" t="s">
        <v>137</v>
      </c>
      <c r="G606" s="31" t="n">
        <v>4</v>
      </c>
      <c r="H606" s="41" t="n">
        <v>10.6</v>
      </c>
      <c r="I606" s="31" t="s">
        <v>149</v>
      </c>
      <c r="J606" s="31"/>
      <c r="K606" s="31" t="s">
        <v>153</v>
      </c>
      <c r="L606" s="45" t="n">
        <f aca="false">DATE(YEAR(B606),MONTH(B606),1)</f>
        <v>46204</v>
      </c>
      <c r="M606" s="31" t="n">
        <f aca="false">WEEKDAY(B606,2)</f>
        <v>4</v>
      </c>
      <c r="N606" s="31" t="str">
        <f aca="false">IF(G606&lt;=INDEX(Assumptions!$B$15:$B$18,MATCH(E606,Assumptions!$A$15:$A$18,0)),"Yes","No")</f>
        <v>Yes</v>
      </c>
      <c r="O606" s="31" t="str">
        <f aca="false">IF(H606="","Open",IF(H606&lt;=INDEX(Assumptions!$C$15:$C$18,MATCH(E606,Assumptions!$A$15:$A$18,0)),"Yes","No"))</f>
        <v>No</v>
      </c>
    </row>
    <row r="607" customFormat="false" ht="15" hidden="false" customHeight="false" outlineLevel="0" collapsed="false">
      <c r="A607" s="31" t="s">
        <v>757</v>
      </c>
      <c r="B607" s="44" t="n">
        <v>46212</v>
      </c>
      <c r="C607" s="31" t="s">
        <v>60</v>
      </c>
      <c r="D607" s="31" t="s">
        <v>66</v>
      </c>
      <c r="E607" s="31" t="s">
        <v>50</v>
      </c>
      <c r="F607" s="31" t="s">
        <v>123</v>
      </c>
      <c r="G607" s="31" t="n">
        <v>9</v>
      </c>
      <c r="H607" s="41" t="n">
        <v>1.8</v>
      </c>
      <c r="I607" s="31" t="s">
        <v>149</v>
      </c>
      <c r="J607" s="31"/>
      <c r="K607" s="31" t="s">
        <v>150</v>
      </c>
      <c r="L607" s="45" t="n">
        <f aca="false">DATE(YEAR(B607),MONTH(B607),1)</f>
        <v>46204</v>
      </c>
      <c r="M607" s="31" t="n">
        <f aca="false">WEEKDAY(B607,2)</f>
        <v>4</v>
      </c>
      <c r="N607" s="31" t="str">
        <f aca="false">IF(G607&lt;=INDEX(Assumptions!$B$15:$B$18,MATCH(E607,Assumptions!$A$15:$A$18,0)),"Yes","No")</f>
        <v>Yes</v>
      </c>
      <c r="O607" s="31" t="str">
        <f aca="false">IF(H607="","Open",IF(H607&lt;=INDEX(Assumptions!$C$15:$C$18,MATCH(E607,Assumptions!$A$15:$A$18,0)),"Yes","No"))</f>
        <v>Yes</v>
      </c>
    </row>
    <row r="608" customFormat="false" ht="15" hidden="false" customHeight="false" outlineLevel="0" collapsed="false">
      <c r="A608" s="31" t="s">
        <v>758</v>
      </c>
      <c r="B608" s="44" t="n">
        <v>46212</v>
      </c>
      <c r="C608" s="31" t="s">
        <v>60</v>
      </c>
      <c r="D608" s="31" t="s">
        <v>65</v>
      </c>
      <c r="E608" s="31" t="s">
        <v>51</v>
      </c>
      <c r="F608" s="31" t="s">
        <v>129</v>
      </c>
      <c r="G608" s="31" t="n">
        <v>1</v>
      </c>
      <c r="H608" s="41" t="n">
        <v>8.2</v>
      </c>
      <c r="I608" s="31" t="s">
        <v>149</v>
      </c>
      <c r="J608" s="31" t="n">
        <v>4</v>
      </c>
      <c r="K608" s="31" t="s">
        <v>150</v>
      </c>
      <c r="L608" s="45" t="n">
        <f aca="false">DATE(YEAR(B608),MONTH(B608),1)</f>
        <v>46204</v>
      </c>
      <c r="M608" s="31" t="n">
        <f aca="false">WEEKDAY(B608,2)</f>
        <v>4</v>
      </c>
      <c r="N608" s="31" t="str">
        <f aca="false">IF(G608&lt;=INDEX(Assumptions!$B$15:$B$18,MATCH(E608,Assumptions!$A$15:$A$18,0)),"Yes","No")</f>
        <v>Yes</v>
      </c>
      <c r="O608" s="31" t="str">
        <f aca="false">IF(H608="","Open",IF(H608&lt;=INDEX(Assumptions!$C$15:$C$18,MATCH(E608,Assumptions!$A$15:$A$18,0)),"Yes","No"))</f>
        <v>Yes</v>
      </c>
    </row>
    <row r="609" customFormat="false" ht="15" hidden="false" customHeight="false" outlineLevel="0" collapsed="false">
      <c r="A609" s="31" t="s">
        <v>759</v>
      </c>
      <c r="B609" s="44" t="n">
        <v>46212</v>
      </c>
      <c r="C609" s="31" t="s">
        <v>58</v>
      </c>
      <c r="D609" s="31" t="s">
        <v>65</v>
      </c>
      <c r="E609" s="31" t="s">
        <v>51</v>
      </c>
      <c r="F609" s="31" t="s">
        <v>119</v>
      </c>
      <c r="G609" s="31" t="n">
        <v>13</v>
      </c>
      <c r="H609" s="41" t="n">
        <v>36.8</v>
      </c>
      <c r="I609" s="31" t="s">
        <v>149</v>
      </c>
      <c r="J609" s="31" t="n">
        <v>3</v>
      </c>
      <c r="K609" s="31" t="s">
        <v>153</v>
      </c>
      <c r="L609" s="45" t="n">
        <f aca="false">DATE(YEAR(B609),MONTH(B609),1)</f>
        <v>46204</v>
      </c>
      <c r="M609" s="31" t="n">
        <f aca="false">WEEKDAY(B609,2)</f>
        <v>4</v>
      </c>
      <c r="N609" s="31" t="str">
        <f aca="false">IF(G609&lt;=INDEX(Assumptions!$B$15:$B$18,MATCH(E609,Assumptions!$A$15:$A$18,0)),"Yes","No")</f>
        <v>Yes</v>
      </c>
      <c r="O609" s="31" t="str">
        <f aca="false">IF(H609="","Open",IF(H609&lt;=INDEX(Assumptions!$C$15:$C$18,MATCH(E609,Assumptions!$A$15:$A$18,0)),"Yes","No"))</f>
        <v>No</v>
      </c>
    </row>
    <row r="610" customFormat="false" ht="15" hidden="false" customHeight="false" outlineLevel="0" collapsed="false">
      <c r="A610" s="31" t="s">
        <v>760</v>
      </c>
      <c r="B610" s="44" t="n">
        <v>46212</v>
      </c>
      <c r="C610" s="31" t="s">
        <v>60</v>
      </c>
      <c r="D610" s="31" t="s">
        <v>66</v>
      </c>
      <c r="E610" s="31" t="s">
        <v>51</v>
      </c>
      <c r="F610" s="31" t="s">
        <v>130</v>
      </c>
      <c r="G610" s="31" t="n">
        <v>1</v>
      </c>
      <c r="H610" s="41" t="n">
        <v>1.6</v>
      </c>
      <c r="I610" s="31" t="s">
        <v>149</v>
      </c>
      <c r="J610" s="31" t="n">
        <v>5</v>
      </c>
      <c r="K610" s="31" t="s">
        <v>150</v>
      </c>
      <c r="L610" s="45" t="n">
        <f aca="false">DATE(YEAR(B610),MONTH(B610),1)</f>
        <v>46204</v>
      </c>
      <c r="M610" s="31" t="n">
        <f aca="false">WEEKDAY(B610,2)</f>
        <v>4</v>
      </c>
      <c r="N610" s="31" t="str">
        <f aca="false">IF(G610&lt;=INDEX(Assumptions!$B$15:$B$18,MATCH(E610,Assumptions!$A$15:$A$18,0)),"Yes","No")</f>
        <v>Yes</v>
      </c>
      <c r="O610" s="31" t="str">
        <f aca="false">IF(H610="","Open",IF(H610&lt;=INDEX(Assumptions!$C$15:$C$18,MATCH(E610,Assumptions!$A$15:$A$18,0)),"Yes","No"))</f>
        <v>Yes</v>
      </c>
    </row>
    <row r="611" customFormat="false" ht="15" hidden="false" customHeight="false" outlineLevel="0" collapsed="false">
      <c r="A611" s="31" t="s">
        <v>761</v>
      </c>
      <c r="B611" s="44" t="n">
        <v>46212</v>
      </c>
      <c r="C611" s="31" t="s">
        <v>58</v>
      </c>
      <c r="D611" s="31" t="s">
        <v>66</v>
      </c>
      <c r="E611" s="31" t="s">
        <v>52</v>
      </c>
      <c r="F611" s="31" t="s">
        <v>129</v>
      </c>
      <c r="G611" s="31" t="n">
        <v>4</v>
      </c>
      <c r="H611" s="41" t="n">
        <v>4.8</v>
      </c>
      <c r="I611" s="31" t="s">
        <v>149</v>
      </c>
      <c r="J611" s="31"/>
      <c r="K611" s="31" t="s">
        <v>150</v>
      </c>
      <c r="L611" s="45" t="n">
        <f aca="false">DATE(YEAR(B611),MONTH(B611),1)</f>
        <v>46204</v>
      </c>
      <c r="M611" s="31" t="n">
        <f aca="false">WEEKDAY(B611,2)</f>
        <v>4</v>
      </c>
      <c r="N611" s="31" t="str">
        <f aca="false">IF(G611&lt;=INDEX(Assumptions!$B$15:$B$18,MATCH(E611,Assumptions!$A$15:$A$18,0)),"Yes","No")</f>
        <v>Yes</v>
      </c>
      <c r="O611" s="31" t="str">
        <f aca="false">IF(H611="","Open",IF(H611&lt;=INDEX(Assumptions!$C$15:$C$18,MATCH(E611,Assumptions!$A$15:$A$18,0)),"Yes","No"))</f>
        <v>Yes</v>
      </c>
    </row>
    <row r="612" customFormat="false" ht="15" hidden="false" customHeight="false" outlineLevel="0" collapsed="false">
      <c r="A612" s="31" t="s">
        <v>762</v>
      </c>
      <c r="B612" s="44" t="n">
        <v>46212</v>
      </c>
      <c r="C612" s="31" t="s">
        <v>60</v>
      </c>
      <c r="D612" s="31" t="s">
        <v>65</v>
      </c>
      <c r="E612" s="31" t="s">
        <v>51</v>
      </c>
      <c r="F612" s="31" t="s">
        <v>124</v>
      </c>
      <c r="G612" s="31" t="n">
        <v>2</v>
      </c>
      <c r="H612" s="41" t="n">
        <v>9.9</v>
      </c>
      <c r="I612" s="31" t="s">
        <v>149</v>
      </c>
      <c r="J612" s="31"/>
      <c r="K612" s="31" t="s">
        <v>150</v>
      </c>
      <c r="L612" s="45" t="n">
        <f aca="false">DATE(YEAR(B612),MONTH(B612),1)</f>
        <v>46204</v>
      </c>
      <c r="M612" s="31" t="n">
        <f aca="false">WEEKDAY(B612,2)</f>
        <v>4</v>
      </c>
      <c r="N612" s="31" t="str">
        <f aca="false">IF(G612&lt;=INDEX(Assumptions!$B$15:$B$18,MATCH(E612,Assumptions!$A$15:$A$18,0)),"Yes","No")</f>
        <v>Yes</v>
      </c>
      <c r="O612" s="31" t="str">
        <f aca="false">IF(H612="","Open",IF(H612&lt;=INDEX(Assumptions!$C$15:$C$18,MATCH(E612,Assumptions!$A$15:$A$18,0)),"Yes","No"))</f>
        <v>Yes</v>
      </c>
    </row>
    <row r="613" customFormat="false" ht="15" hidden="false" customHeight="false" outlineLevel="0" collapsed="false">
      <c r="A613" s="31" t="s">
        <v>763</v>
      </c>
      <c r="B613" s="44" t="n">
        <v>46212</v>
      </c>
      <c r="C613" s="31" t="s">
        <v>57</v>
      </c>
      <c r="D613" s="31" t="s">
        <v>65</v>
      </c>
      <c r="E613" s="31" t="s">
        <v>51</v>
      </c>
      <c r="F613" s="31" t="s">
        <v>135</v>
      </c>
      <c r="G613" s="31" t="n">
        <v>4</v>
      </c>
      <c r="H613" s="41" t="n">
        <v>68.4</v>
      </c>
      <c r="I613" s="31" t="s">
        <v>149</v>
      </c>
      <c r="J613" s="31" t="n">
        <v>4</v>
      </c>
      <c r="K613" s="31" t="s">
        <v>150</v>
      </c>
      <c r="L613" s="45" t="n">
        <f aca="false">DATE(YEAR(B613),MONTH(B613),1)</f>
        <v>46204</v>
      </c>
      <c r="M613" s="31" t="n">
        <f aca="false">WEEKDAY(B613,2)</f>
        <v>4</v>
      </c>
      <c r="N613" s="31" t="str">
        <f aca="false">IF(G613&lt;=INDEX(Assumptions!$B$15:$B$18,MATCH(E613,Assumptions!$A$15:$A$18,0)),"Yes","No")</f>
        <v>Yes</v>
      </c>
      <c r="O613" s="31" t="str">
        <f aca="false">IF(H613="","Open",IF(H613&lt;=INDEX(Assumptions!$C$15:$C$18,MATCH(E613,Assumptions!$A$15:$A$18,0)),"Yes","No"))</f>
        <v>No</v>
      </c>
    </row>
    <row r="614" customFormat="false" ht="15" hidden="false" customHeight="false" outlineLevel="0" collapsed="false">
      <c r="A614" s="31" t="s">
        <v>764</v>
      </c>
      <c r="B614" s="44" t="n">
        <v>46212</v>
      </c>
      <c r="C614" s="31" t="s">
        <v>58</v>
      </c>
      <c r="D614" s="31" t="s">
        <v>69</v>
      </c>
      <c r="E614" s="31" t="s">
        <v>50</v>
      </c>
      <c r="F614" s="31" t="s">
        <v>137</v>
      </c>
      <c r="G614" s="31" t="n">
        <v>11</v>
      </c>
      <c r="H614" s="41" t="n">
        <v>13.9</v>
      </c>
      <c r="I614" s="31" t="s">
        <v>149</v>
      </c>
      <c r="J614" s="31"/>
      <c r="K614" s="31" t="s">
        <v>150</v>
      </c>
      <c r="L614" s="45" t="n">
        <f aca="false">DATE(YEAR(B614),MONTH(B614),1)</f>
        <v>46204</v>
      </c>
      <c r="M614" s="31" t="n">
        <f aca="false">WEEKDAY(B614,2)</f>
        <v>4</v>
      </c>
      <c r="N614" s="31" t="str">
        <f aca="false">IF(G614&lt;=INDEX(Assumptions!$B$15:$B$18,MATCH(E614,Assumptions!$A$15:$A$18,0)),"Yes","No")</f>
        <v>Yes</v>
      </c>
      <c r="O614" s="31" t="str">
        <f aca="false">IF(H614="","Open",IF(H614&lt;=INDEX(Assumptions!$C$15:$C$18,MATCH(E614,Assumptions!$A$15:$A$18,0)),"Yes","No"))</f>
        <v>No</v>
      </c>
    </row>
    <row r="615" customFormat="false" ht="15" hidden="false" customHeight="false" outlineLevel="0" collapsed="false">
      <c r="A615" s="31" t="s">
        <v>765</v>
      </c>
      <c r="B615" s="44" t="n">
        <v>46212</v>
      </c>
      <c r="C615" s="31" t="s">
        <v>57</v>
      </c>
      <c r="D615" s="31" t="s">
        <v>67</v>
      </c>
      <c r="E615" s="31" t="s">
        <v>50</v>
      </c>
      <c r="F615" s="31" t="s">
        <v>121</v>
      </c>
      <c r="G615" s="31" t="n">
        <v>5</v>
      </c>
      <c r="H615" s="41" t="n">
        <v>12.1</v>
      </c>
      <c r="I615" s="31" t="s">
        <v>149</v>
      </c>
      <c r="J615" s="31"/>
      <c r="K615" s="31" t="s">
        <v>150</v>
      </c>
      <c r="L615" s="45" t="n">
        <f aca="false">DATE(YEAR(B615),MONTH(B615),1)</f>
        <v>46204</v>
      </c>
      <c r="M615" s="31" t="n">
        <f aca="false">WEEKDAY(B615,2)</f>
        <v>4</v>
      </c>
      <c r="N615" s="31" t="str">
        <f aca="false">IF(G615&lt;=INDEX(Assumptions!$B$15:$B$18,MATCH(E615,Assumptions!$A$15:$A$18,0)),"Yes","No")</f>
        <v>Yes</v>
      </c>
      <c r="O615" s="31" t="str">
        <f aca="false">IF(H615="","Open",IF(H615&lt;=INDEX(Assumptions!$C$15:$C$18,MATCH(E615,Assumptions!$A$15:$A$18,0)),"Yes","No"))</f>
        <v>No</v>
      </c>
    </row>
    <row r="616" customFormat="false" ht="15" hidden="false" customHeight="false" outlineLevel="0" collapsed="false">
      <c r="A616" s="31" t="s">
        <v>766</v>
      </c>
      <c r="B616" s="44" t="n">
        <v>46212</v>
      </c>
      <c r="C616" s="31" t="s">
        <v>58</v>
      </c>
      <c r="D616" s="31" t="s">
        <v>68</v>
      </c>
      <c r="E616" s="31" t="s">
        <v>52</v>
      </c>
      <c r="F616" s="31" t="s">
        <v>121</v>
      </c>
      <c r="G616" s="31" t="n">
        <v>11</v>
      </c>
      <c r="H616" s="41" t="n">
        <v>3.1</v>
      </c>
      <c r="I616" s="31" t="s">
        <v>149</v>
      </c>
      <c r="J616" s="31" t="n">
        <v>5</v>
      </c>
      <c r="K616" s="31" t="s">
        <v>150</v>
      </c>
      <c r="L616" s="45" t="n">
        <f aca="false">DATE(YEAR(B616),MONTH(B616),1)</f>
        <v>46204</v>
      </c>
      <c r="M616" s="31" t="n">
        <f aca="false">WEEKDAY(B616,2)</f>
        <v>4</v>
      </c>
      <c r="N616" s="31" t="str">
        <f aca="false">IF(G616&lt;=INDEX(Assumptions!$B$15:$B$18,MATCH(E616,Assumptions!$A$15:$A$18,0)),"Yes","No")</f>
        <v>Yes</v>
      </c>
      <c r="O616" s="31" t="str">
        <f aca="false">IF(H616="","Open",IF(H616&lt;=INDEX(Assumptions!$C$15:$C$18,MATCH(E616,Assumptions!$A$15:$A$18,0)),"Yes","No"))</f>
        <v>Yes</v>
      </c>
    </row>
    <row r="617" customFormat="false" ht="15" hidden="false" customHeight="false" outlineLevel="0" collapsed="false">
      <c r="A617" s="31" t="s">
        <v>767</v>
      </c>
      <c r="B617" s="44" t="n">
        <v>46212</v>
      </c>
      <c r="C617" s="31" t="s">
        <v>57</v>
      </c>
      <c r="D617" s="31" t="s">
        <v>65</v>
      </c>
      <c r="E617" s="31" t="s">
        <v>52</v>
      </c>
      <c r="F617" s="31" t="s">
        <v>119</v>
      </c>
      <c r="G617" s="31" t="n">
        <v>8</v>
      </c>
      <c r="H617" s="41" t="n">
        <v>12</v>
      </c>
      <c r="I617" s="31" t="s">
        <v>149</v>
      </c>
      <c r="J617" s="31" t="n">
        <v>5</v>
      </c>
      <c r="K617" s="31" t="s">
        <v>150</v>
      </c>
      <c r="L617" s="45" t="n">
        <f aca="false">DATE(YEAR(B617),MONTH(B617),1)</f>
        <v>46204</v>
      </c>
      <c r="M617" s="31" t="n">
        <f aca="false">WEEKDAY(B617,2)</f>
        <v>4</v>
      </c>
      <c r="N617" s="31" t="str">
        <f aca="false">IF(G617&lt;=INDEX(Assumptions!$B$15:$B$18,MATCH(E617,Assumptions!$A$15:$A$18,0)),"Yes","No")</f>
        <v>Yes</v>
      </c>
      <c r="O617" s="31" t="str">
        <f aca="false">IF(H617="","Open",IF(H617&lt;=INDEX(Assumptions!$C$15:$C$18,MATCH(E617,Assumptions!$A$15:$A$18,0)),"Yes","No"))</f>
        <v>Yes</v>
      </c>
    </row>
    <row r="618" customFormat="false" ht="15" hidden="false" customHeight="false" outlineLevel="0" collapsed="false">
      <c r="A618" s="31" t="s">
        <v>768</v>
      </c>
      <c r="B618" s="44" t="n">
        <v>46212</v>
      </c>
      <c r="C618" s="31" t="s">
        <v>60</v>
      </c>
      <c r="D618" s="31" t="s">
        <v>65</v>
      </c>
      <c r="E618" s="31" t="s">
        <v>51</v>
      </c>
      <c r="F618" s="31" t="s">
        <v>133</v>
      </c>
      <c r="G618" s="31" t="n">
        <v>1</v>
      </c>
      <c r="H618" s="41" t="n">
        <v>15.8</v>
      </c>
      <c r="I618" s="31" t="s">
        <v>149</v>
      </c>
      <c r="J618" s="31"/>
      <c r="K618" s="31" t="s">
        <v>150</v>
      </c>
      <c r="L618" s="45" t="n">
        <f aca="false">DATE(YEAR(B618),MONTH(B618),1)</f>
        <v>46204</v>
      </c>
      <c r="M618" s="31" t="n">
        <f aca="false">WEEKDAY(B618,2)</f>
        <v>4</v>
      </c>
      <c r="N618" s="31" t="str">
        <f aca="false">IF(G618&lt;=INDEX(Assumptions!$B$15:$B$18,MATCH(E618,Assumptions!$A$15:$A$18,0)),"Yes","No")</f>
        <v>Yes</v>
      </c>
      <c r="O618" s="31" t="str">
        <f aca="false">IF(H618="","Open",IF(H618&lt;=INDEX(Assumptions!$C$15:$C$18,MATCH(E618,Assumptions!$A$15:$A$18,0)),"Yes","No"))</f>
        <v>Yes</v>
      </c>
    </row>
    <row r="619" customFormat="false" ht="15" hidden="false" customHeight="false" outlineLevel="0" collapsed="false">
      <c r="A619" s="31" t="s">
        <v>769</v>
      </c>
      <c r="B619" s="44" t="n">
        <v>46212</v>
      </c>
      <c r="C619" s="31" t="s">
        <v>60</v>
      </c>
      <c r="D619" s="31" t="s">
        <v>66</v>
      </c>
      <c r="E619" s="31" t="s">
        <v>52</v>
      </c>
      <c r="F619" s="31" t="s">
        <v>126</v>
      </c>
      <c r="G619" s="31" t="n">
        <v>6</v>
      </c>
      <c r="H619" s="41" t="n">
        <v>1.5</v>
      </c>
      <c r="I619" s="31" t="s">
        <v>149</v>
      </c>
      <c r="J619" s="31" t="n">
        <v>5</v>
      </c>
      <c r="K619" s="31" t="s">
        <v>150</v>
      </c>
      <c r="L619" s="45" t="n">
        <f aca="false">DATE(YEAR(B619),MONTH(B619),1)</f>
        <v>46204</v>
      </c>
      <c r="M619" s="31" t="n">
        <f aca="false">WEEKDAY(B619,2)</f>
        <v>4</v>
      </c>
      <c r="N619" s="31" t="str">
        <f aca="false">IF(G619&lt;=INDEX(Assumptions!$B$15:$B$18,MATCH(E619,Assumptions!$A$15:$A$18,0)),"Yes","No")</f>
        <v>Yes</v>
      </c>
      <c r="O619" s="31" t="str">
        <f aca="false">IF(H619="","Open",IF(H619&lt;=INDEX(Assumptions!$C$15:$C$18,MATCH(E619,Assumptions!$A$15:$A$18,0)),"Yes","No"))</f>
        <v>Yes</v>
      </c>
    </row>
    <row r="620" customFormat="false" ht="15" hidden="false" customHeight="false" outlineLevel="0" collapsed="false">
      <c r="A620" s="31" t="s">
        <v>770</v>
      </c>
      <c r="B620" s="44" t="n">
        <v>46212</v>
      </c>
      <c r="C620" s="31" t="s">
        <v>57</v>
      </c>
      <c r="D620" s="31" t="s">
        <v>65</v>
      </c>
      <c r="E620" s="31" t="s">
        <v>50</v>
      </c>
      <c r="F620" s="31" t="s">
        <v>134</v>
      </c>
      <c r="G620" s="31" t="n">
        <v>2</v>
      </c>
      <c r="H620" s="41" t="n">
        <v>46.4</v>
      </c>
      <c r="I620" s="31" t="s">
        <v>149</v>
      </c>
      <c r="J620" s="31" t="n">
        <v>4</v>
      </c>
      <c r="K620" s="31" t="s">
        <v>150</v>
      </c>
      <c r="L620" s="45" t="n">
        <f aca="false">DATE(YEAR(B620),MONTH(B620),1)</f>
        <v>46204</v>
      </c>
      <c r="M620" s="31" t="n">
        <f aca="false">WEEKDAY(B620,2)</f>
        <v>4</v>
      </c>
      <c r="N620" s="31" t="str">
        <f aca="false">IF(G620&lt;=INDEX(Assumptions!$B$15:$B$18,MATCH(E620,Assumptions!$A$15:$A$18,0)),"Yes","No")</f>
        <v>Yes</v>
      </c>
      <c r="O620" s="31" t="str">
        <f aca="false">IF(H620="","Open",IF(H620&lt;=INDEX(Assumptions!$C$15:$C$18,MATCH(E620,Assumptions!$A$15:$A$18,0)),"Yes","No"))</f>
        <v>No</v>
      </c>
    </row>
    <row r="621" customFormat="false" ht="15" hidden="false" customHeight="false" outlineLevel="0" collapsed="false">
      <c r="A621" s="31" t="s">
        <v>771</v>
      </c>
      <c r="B621" s="44" t="n">
        <v>46212</v>
      </c>
      <c r="C621" s="31" t="s">
        <v>58</v>
      </c>
      <c r="D621" s="31" t="s">
        <v>69</v>
      </c>
      <c r="E621" s="31" t="s">
        <v>51</v>
      </c>
      <c r="F621" s="31" t="s">
        <v>119</v>
      </c>
      <c r="G621" s="31" t="n">
        <v>16</v>
      </c>
      <c r="H621" s="41" t="n">
        <v>12.1</v>
      </c>
      <c r="I621" s="31" t="s">
        <v>149</v>
      </c>
      <c r="J621" s="31" t="n">
        <v>3</v>
      </c>
      <c r="K621" s="31" t="s">
        <v>150</v>
      </c>
      <c r="L621" s="45" t="n">
        <f aca="false">DATE(YEAR(B621),MONTH(B621),1)</f>
        <v>46204</v>
      </c>
      <c r="M621" s="31" t="n">
        <f aca="false">WEEKDAY(B621,2)</f>
        <v>4</v>
      </c>
      <c r="N621" s="31" t="str">
        <f aca="false">IF(G621&lt;=INDEX(Assumptions!$B$15:$B$18,MATCH(E621,Assumptions!$A$15:$A$18,0)),"Yes","No")</f>
        <v>Yes</v>
      </c>
      <c r="O621" s="31" t="str">
        <f aca="false">IF(H621="","Open",IF(H621&lt;=INDEX(Assumptions!$C$15:$C$18,MATCH(E621,Assumptions!$A$15:$A$18,0)),"Yes","No"))</f>
        <v>Yes</v>
      </c>
    </row>
    <row r="622" customFormat="false" ht="15" hidden="false" customHeight="false" outlineLevel="0" collapsed="false">
      <c r="A622" s="31" t="s">
        <v>772</v>
      </c>
      <c r="B622" s="44" t="n">
        <v>46212</v>
      </c>
      <c r="C622" s="31" t="s">
        <v>57</v>
      </c>
      <c r="D622" s="31" t="s">
        <v>65</v>
      </c>
      <c r="E622" s="31" t="s">
        <v>52</v>
      </c>
      <c r="F622" s="31" t="s">
        <v>120</v>
      </c>
      <c r="G622" s="31" t="n">
        <v>6</v>
      </c>
      <c r="H622" s="41" t="n">
        <v>70.7</v>
      </c>
      <c r="I622" s="31" t="s">
        <v>149</v>
      </c>
      <c r="J622" s="31" t="n">
        <v>4</v>
      </c>
      <c r="K622" s="31" t="s">
        <v>150</v>
      </c>
      <c r="L622" s="45" t="n">
        <f aca="false">DATE(YEAR(B622),MONTH(B622),1)</f>
        <v>46204</v>
      </c>
      <c r="M622" s="31" t="n">
        <f aca="false">WEEKDAY(B622,2)</f>
        <v>4</v>
      </c>
      <c r="N622" s="31" t="str">
        <f aca="false">IF(G622&lt;=INDEX(Assumptions!$B$15:$B$18,MATCH(E622,Assumptions!$A$15:$A$18,0)),"Yes","No")</f>
        <v>Yes</v>
      </c>
      <c r="O622" s="31" t="str">
        <f aca="false">IF(H622="","Open",IF(H622&lt;=INDEX(Assumptions!$C$15:$C$18,MATCH(E622,Assumptions!$A$15:$A$18,0)),"Yes","No"))</f>
        <v>Yes</v>
      </c>
    </row>
    <row r="623" customFormat="false" ht="15" hidden="false" customHeight="false" outlineLevel="0" collapsed="false">
      <c r="A623" s="31" t="s">
        <v>773</v>
      </c>
      <c r="B623" s="44" t="n">
        <v>46212</v>
      </c>
      <c r="C623" s="31" t="s">
        <v>58</v>
      </c>
      <c r="D623" s="31" t="s">
        <v>65</v>
      </c>
      <c r="E623" s="31" t="s">
        <v>50</v>
      </c>
      <c r="F623" s="31" t="s">
        <v>137</v>
      </c>
      <c r="G623" s="31" t="n">
        <v>10</v>
      </c>
      <c r="H623" s="41" t="n">
        <v>27.8</v>
      </c>
      <c r="I623" s="31" t="s">
        <v>149</v>
      </c>
      <c r="J623" s="31" t="n">
        <v>4</v>
      </c>
      <c r="K623" s="31" t="s">
        <v>150</v>
      </c>
      <c r="L623" s="45" t="n">
        <f aca="false">DATE(YEAR(B623),MONTH(B623),1)</f>
        <v>46204</v>
      </c>
      <c r="M623" s="31" t="n">
        <f aca="false">WEEKDAY(B623,2)</f>
        <v>4</v>
      </c>
      <c r="N623" s="31" t="str">
        <f aca="false">IF(G623&lt;=INDEX(Assumptions!$B$15:$B$18,MATCH(E623,Assumptions!$A$15:$A$18,0)),"Yes","No")</f>
        <v>Yes</v>
      </c>
      <c r="O623" s="31" t="str">
        <f aca="false">IF(H623="","Open",IF(H623&lt;=INDEX(Assumptions!$C$15:$C$18,MATCH(E623,Assumptions!$A$15:$A$18,0)),"Yes","No"))</f>
        <v>No</v>
      </c>
    </row>
    <row r="624" customFormat="false" ht="15" hidden="false" customHeight="false" outlineLevel="0" collapsed="false">
      <c r="A624" s="31" t="s">
        <v>774</v>
      </c>
      <c r="B624" s="44" t="n">
        <v>46212</v>
      </c>
      <c r="C624" s="31" t="s">
        <v>58</v>
      </c>
      <c r="D624" s="31" t="s">
        <v>65</v>
      </c>
      <c r="E624" s="31" t="s">
        <v>52</v>
      </c>
      <c r="F624" s="31" t="s">
        <v>129</v>
      </c>
      <c r="G624" s="31" t="n">
        <v>4</v>
      </c>
      <c r="H624" s="41" t="n">
        <v>13.7</v>
      </c>
      <c r="I624" s="31" t="s">
        <v>149</v>
      </c>
      <c r="J624" s="31" t="n">
        <v>4</v>
      </c>
      <c r="K624" s="31" t="s">
        <v>150</v>
      </c>
      <c r="L624" s="45" t="n">
        <f aca="false">DATE(YEAR(B624),MONTH(B624),1)</f>
        <v>46204</v>
      </c>
      <c r="M624" s="31" t="n">
        <f aca="false">WEEKDAY(B624,2)</f>
        <v>4</v>
      </c>
      <c r="N624" s="31" t="str">
        <f aca="false">IF(G624&lt;=INDEX(Assumptions!$B$15:$B$18,MATCH(E624,Assumptions!$A$15:$A$18,0)),"Yes","No")</f>
        <v>Yes</v>
      </c>
      <c r="O624" s="31" t="str">
        <f aca="false">IF(H624="","Open",IF(H624&lt;=INDEX(Assumptions!$C$15:$C$18,MATCH(E624,Assumptions!$A$15:$A$18,0)),"Yes","No"))</f>
        <v>Yes</v>
      </c>
    </row>
    <row r="625" customFormat="false" ht="15" hidden="false" customHeight="false" outlineLevel="0" collapsed="false">
      <c r="A625" s="31" t="s">
        <v>775</v>
      </c>
      <c r="B625" s="44" t="n">
        <v>46212</v>
      </c>
      <c r="C625" s="31" t="s">
        <v>59</v>
      </c>
      <c r="D625" s="31" t="s">
        <v>65</v>
      </c>
      <c r="E625" s="31" t="s">
        <v>52</v>
      </c>
      <c r="F625" s="31" t="s">
        <v>130</v>
      </c>
      <c r="G625" s="31" t="n">
        <v>55</v>
      </c>
      <c r="H625" s="41" t="n">
        <v>24.1</v>
      </c>
      <c r="I625" s="31" t="s">
        <v>149</v>
      </c>
      <c r="J625" s="31" t="n">
        <v>4</v>
      </c>
      <c r="K625" s="31" t="s">
        <v>150</v>
      </c>
      <c r="L625" s="45" t="n">
        <f aca="false">DATE(YEAR(B625),MONTH(B625),1)</f>
        <v>46204</v>
      </c>
      <c r="M625" s="31" t="n">
        <f aca="false">WEEKDAY(B625,2)</f>
        <v>4</v>
      </c>
      <c r="N625" s="31" t="str">
        <f aca="false">IF(G625&lt;=INDEX(Assumptions!$B$15:$B$18,MATCH(E625,Assumptions!$A$15:$A$18,0)),"Yes","No")</f>
        <v>Yes</v>
      </c>
      <c r="O625" s="31" t="str">
        <f aca="false">IF(H625="","Open",IF(H625&lt;=INDEX(Assumptions!$C$15:$C$18,MATCH(E625,Assumptions!$A$15:$A$18,0)),"Yes","No"))</f>
        <v>Yes</v>
      </c>
    </row>
    <row r="626" customFormat="false" ht="15" hidden="false" customHeight="false" outlineLevel="0" collapsed="false">
      <c r="A626" s="31" t="s">
        <v>776</v>
      </c>
      <c r="B626" s="44" t="n">
        <v>46212</v>
      </c>
      <c r="C626" s="31" t="s">
        <v>57</v>
      </c>
      <c r="D626" s="31" t="s">
        <v>66</v>
      </c>
      <c r="E626" s="31" t="s">
        <v>52</v>
      </c>
      <c r="F626" s="31" t="s">
        <v>121</v>
      </c>
      <c r="G626" s="31" t="n">
        <v>9</v>
      </c>
      <c r="H626" s="41" t="n">
        <v>10.4</v>
      </c>
      <c r="I626" s="31" t="s">
        <v>149</v>
      </c>
      <c r="J626" s="31"/>
      <c r="K626" s="31" t="s">
        <v>150</v>
      </c>
      <c r="L626" s="45" t="n">
        <f aca="false">DATE(YEAR(B626),MONTH(B626),1)</f>
        <v>46204</v>
      </c>
      <c r="M626" s="31" t="n">
        <f aca="false">WEEKDAY(B626,2)</f>
        <v>4</v>
      </c>
      <c r="N626" s="31" t="str">
        <f aca="false">IF(G626&lt;=INDEX(Assumptions!$B$15:$B$18,MATCH(E626,Assumptions!$A$15:$A$18,0)),"Yes","No")</f>
        <v>Yes</v>
      </c>
      <c r="O626" s="31" t="str">
        <f aca="false">IF(H626="","Open",IF(H626&lt;=INDEX(Assumptions!$C$15:$C$18,MATCH(E626,Assumptions!$A$15:$A$18,0)),"Yes","No"))</f>
        <v>Yes</v>
      </c>
    </row>
    <row r="627" customFormat="false" ht="15" hidden="false" customHeight="false" outlineLevel="0" collapsed="false">
      <c r="A627" s="31" t="s">
        <v>777</v>
      </c>
      <c r="B627" s="44" t="n">
        <v>46212</v>
      </c>
      <c r="C627" s="31" t="s">
        <v>60</v>
      </c>
      <c r="D627" s="31" t="s">
        <v>65</v>
      </c>
      <c r="E627" s="31" t="s">
        <v>50</v>
      </c>
      <c r="F627" s="31" t="s">
        <v>121</v>
      </c>
      <c r="G627" s="31" t="n">
        <v>1</v>
      </c>
      <c r="H627" s="41" t="n">
        <v>2.9</v>
      </c>
      <c r="I627" s="31" t="s">
        <v>149</v>
      </c>
      <c r="J627" s="31" t="n">
        <v>4</v>
      </c>
      <c r="K627" s="31" t="s">
        <v>150</v>
      </c>
      <c r="L627" s="45" t="n">
        <f aca="false">DATE(YEAR(B627),MONTH(B627),1)</f>
        <v>46204</v>
      </c>
      <c r="M627" s="31" t="n">
        <f aca="false">WEEKDAY(B627,2)</f>
        <v>4</v>
      </c>
      <c r="N627" s="31" t="str">
        <f aca="false">IF(G627&lt;=INDEX(Assumptions!$B$15:$B$18,MATCH(E627,Assumptions!$A$15:$A$18,0)),"Yes","No")</f>
        <v>Yes</v>
      </c>
      <c r="O627" s="31" t="str">
        <f aca="false">IF(H627="","Open",IF(H627&lt;=INDEX(Assumptions!$C$15:$C$18,MATCH(E627,Assumptions!$A$15:$A$18,0)),"Yes","No"))</f>
        <v>Yes</v>
      </c>
    </row>
    <row r="628" customFormat="false" ht="15" hidden="false" customHeight="false" outlineLevel="0" collapsed="false">
      <c r="A628" s="31" t="s">
        <v>778</v>
      </c>
      <c r="B628" s="44" t="n">
        <v>46212</v>
      </c>
      <c r="C628" s="31" t="s">
        <v>58</v>
      </c>
      <c r="D628" s="31" t="s">
        <v>66</v>
      </c>
      <c r="E628" s="31" t="s">
        <v>52</v>
      </c>
      <c r="F628" s="31" t="s">
        <v>120</v>
      </c>
      <c r="G628" s="31" t="n">
        <v>31</v>
      </c>
      <c r="H628" s="41" t="n">
        <v>17.4</v>
      </c>
      <c r="I628" s="31" t="s">
        <v>149</v>
      </c>
      <c r="J628" s="31" t="n">
        <v>4</v>
      </c>
      <c r="K628" s="31" t="s">
        <v>150</v>
      </c>
      <c r="L628" s="45" t="n">
        <f aca="false">DATE(YEAR(B628),MONTH(B628),1)</f>
        <v>46204</v>
      </c>
      <c r="M628" s="31" t="n">
        <f aca="false">WEEKDAY(B628,2)</f>
        <v>4</v>
      </c>
      <c r="N628" s="31" t="str">
        <f aca="false">IF(G628&lt;=INDEX(Assumptions!$B$15:$B$18,MATCH(E628,Assumptions!$A$15:$A$18,0)),"Yes","No")</f>
        <v>Yes</v>
      </c>
      <c r="O628" s="31" t="str">
        <f aca="false">IF(H628="","Open",IF(H628&lt;=INDEX(Assumptions!$C$15:$C$18,MATCH(E628,Assumptions!$A$15:$A$18,0)),"Yes","No"))</f>
        <v>Yes</v>
      </c>
    </row>
    <row r="629" customFormat="false" ht="15" hidden="false" customHeight="false" outlineLevel="0" collapsed="false">
      <c r="A629" s="31" t="s">
        <v>779</v>
      </c>
      <c r="B629" s="44" t="n">
        <v>46212</v>
      </c>
      <c r="C629" s="31" t="s">
        <v>58</v>
      </c>
      <c r="D629" s="31" t="s">
        <v>67</v>
      </c>
      <c r="E629" s="31" t="s">
        <v>49</v>
      </c>
      <c r="F629" s="31" t="s">
        <v>135</v>
      </c>
      <c r="G629" s="31" t="n">
        <v>5</v>
      </c>
      <c r="H629" s="41" t="n">
        <v>16.2</v>
      </c>
      <c r="I629" s="31" t="s">
        <v>149</v>
      </c>
      <c r="J629" s="31"/>
      <c r="K629" s="31" t="s">
        <v>150</v>
      </c>
      <c r="L629" s="45" t="n">
        <f aca="false">DATE(YEAR(B629),MONTH(B629),1)</f>
        <v>46204</v>
      </c>
      <c r="M629" s="31" t="n">
        <f aca="false">WEEKDAY(B629,2)</f>
        <v>4</v>
      </c>
      <c r="N629" s="31" t="str">
        <f aca="false">IF(G629&lt;=INDEX(Assumptions!$B$15:$B$18,MATCH(E629,Assumptions!$A$15:$A$18,0)),"Yes","No")</f>
        <v>Yes</v>
      </c>
      <c r="O629" s="31" t="str">
        <f aca="false">IF(H629="","Open",IF(H629&lt;=INDEX(Assumptions!$C$15:$C$18,MATCH(E629,Assumptions!$A$15:$A$18,0)),"Yes","No"))</f>
        <v>No</v>
      </c>
    </row>
    <row r="630" customFormat="false" ht="15" hidden="false" customHeight="false" outlineLevel="0" collapsed="false">
      <c r="A630" s="31" t="s">
        <v>780</v>
      </c>
      <c r="B630" s="44" t="n">
        <v>46212</v>
      </c>
      <c r="C630" s="31" t="s">
        <v>59</v>
      </c>
      <c r="D630" s="31" t="s">
        <v>67</v>
      </c>
      <c r="E630" s="31" t="s">
        <v>51</v>
      </c>
      <c r="F630" s="31" t="s">
        <v>126</v>
      </c>
      <c r="G630" s="31" t="n">
        <v>94</v>
      </c>
      <c r="H630" s="41" t="n">
        <v>6.6</v>
      </c>
      <c r="I630" s="31" t="s">
        <v>149</v>
      </c>
      <c r="J630" s="31" t="n">
        <v>4</v>
      </c>
      <c r="K630" s="31" t="s">
        <v>150</v>
      </c>
      <c r="L630" s="45" t="n">
        <f aca="false">DATE(YEAR(B630),MONTH(B630),1)</f>
        <v>46204</v>
      </c>
      <c r="M630" s="31" t="n">
        <f aca="false">WEEKDAY(B630,2)</f>
        <v>4</v>
      </c>
      <c r="N630" s="31" t="str">
        <f aca="false">IF(G630&lt;=INDEX(Assumptions!$B$15:$B$18,MATCH(E630,Assumptions!$A$15:$A$18,0)),"Yes","No")</f>
        <v>No</v>
      </c>
      <c r="O630" s="31" t="str">
        <f aca="false">IF(H630="","Open",IF(H630&lt;=INDEX(Assumptions!$C$15:$C$18,MATCH(E630,Assumptions!$A$15:$A$18,0)),"Yes","No"))</f>
        <v>Yes</v>
      </c>
    </row>
    <row r="631" customFormat="false" ht="15" hidden="false" customHeight="false" outlineLevel="0" collapsed="false">
      <c r="A631" s="31" t="s">
        <v>781</v>
      </c>
      <c r="B631" s="44" t="n">
        <v>46212</v>
      </c>
      <c r="C631" s="31" t="s">
        <v>58</v>
      </c>
      <c r="D631" s="31" t="s">
        <v>65</v>
      </c>
      <c r="E631" s="31" t="s">
        <v>51</v>
      </c>
      <c r="F631" s="31" t="s">
        <v>127</v>
      </c>
      <c r="G631" s="31" t="n">
        <v>3</v>
      </c>
      <c r="H631" s="41" t="n">
        <v>5.1</v>
      </c>
      <c r="I631" s="31" t="s">
        <v>64</v>
      </c>
      <c r="J631" s="31" t="n">
        <v>3</v>
      </c>
      <c r="K631" s="31" t="s">
        <v>150</v>
      </c>
      <c r="L631" s="45" t="n">
        <f aca="false">DATE(YEAR(B631),MONTH(B631),1)</f>
        <v>46204</v>
      </c>
      <c r="M631" s="31" t="n">
        <f aca="false">WEEKDAY(B631,2)</f>
        <v>4</v>
      </c>
      <c r="N631" s="31" t="str">
        <f aca="false">IF(G631&lt;=INDEX(Assumptions!$B$15:$B$18,MATCH(E631,Assumptions!$A$15:$A$18,0)),"Yes","No")</f>
        <v>Yes</v>
      </c>
      <c r="O631" s="31" t="str">
        <f aca="false">IF(H631="","Open",IF(H631&lt;=INDEX(Assumptions!$C$15:$C$18,MATCH(E631,Assumptions!$A$15:$A$18,0)),"Yes","No"))</f>
        <v>Yes</v>
      </c>
    </row>
    <row r="632" customFormat="false" ht="15" hidden="false" customHeight="false" outlineLevel="0" collapsed="false">
      <c r="A632" s="31" t="s">
        <v>782</v>
      </c>
      <c r="B632" s="44" t="n">
        <v>46212</v>
      </c>
      <c r="C632" s="31" t="s">
        <v>58</v>
      </c>
      <c r="D632" s="31" t="s">
        <v>67</v>
      </c>
      <c r="E632" s="31" t="s">
        <v>49</v>
      </c>
      <c r="F632" s="31" t="s">
        <v>120</v>
      </c>
      <c r="G632" s="31" t="n">
        <v>13</v>
      </c>
      <c r="H632" s="41" t="n">
        <v>7.8</v>
      </c>
      <c r="I632" s="31" t="s">
        <v>149</v>
      </c>
      <c r="J632" s="31" t="n">
        <v>3</v>
      </c>
      <c r="K632" s="31" t="s">
        <v>150</v>
      </c>
      <c r="L632" s="45" t="n">
        <f aca="false">DATE(YEAR(B632),MONTH(B632),1)</f>
        <v>46204</v>
      </c>
      <c r="M632" s="31" t="n">
        <f aca="false">WEEKDAY(B632,2)</f>
        <v>4</v>
      </c>
      <c r="N632" s="31" t="str">
        <f aca="false">IF(G632&lt;=INDEX(Assumptions!$B$15:$B$18,MATCH(E632,Assumptions!$A$15:$A$18,0)),"Yes","No")</f>
        <v>Yes</v>
      </c>
      <c r="O632" s="31" t="str">
        <f aca="false">IF(H632="","Open",IF(H632&lt;=INDEX(Assumptions!$C$15:$C$18,MATCH(E632,Assumptions!$A$15:$A$18,0)),"Yes","No"))</f>
        <v>No</v>
      </c>
    </row>
    <row r="633" customFormat="false" ht="15" hidden="false" customHeight="false" outlineLevel="0" collapsed="false">
      <c r="A633" s="31" t="s">
        <v>783</v>
      </c>
      <c r="B633" s="44" t="n">
        <v>46212</v>
      </c>
      <c r="C633" s="31" t="s">
        <v>57</v>
      </c>
      <c r="D633" s="31" t="s">
        <v>67</v>
      </c>
      <c r="E633" s="31" t="s">
        <v>51</v>
      </c>
      <c r="F633" s="31" t="s">
        <v>136</v>
      </c>
      <c r="G633" s="31" t="n">
        <v>6</v>
      </c>
      <c r="H633" s="41" t="n">
        <v>50.9</v>
      </c>
      <c r="I633" s="31" t="s">
        <v>149</v>
      </c>
      <c r="J633" s="31"/>
      <c r="K633" s="31" t="s">
        <v>150</v>
      </c>
      <c r="L633" s="45" t="n">
        <f aca="false">DATE(YEAR(B633),MONTH(B633),1)</f>
        <v>46204</v>
      </c>
      <c r="M633" s="31" t="n">
        <f aca="false">WEEKDAY(B633,2)</f>
        <v>4</v>
      </c>
      <c r="N633" s="31" t="str">
        <f aca="false">IF(G633&lt;=INDEX(Assumptions!$B$15:$B$18,MATCH(E633,Assumptions!$A$15:$A$18,0)),"Yes","No")</f>
        <v>Yes</v>
      </c>
      <c r="O633" s="31" t="str">
        <f aca="false">IF(H633="","Open",IF(H633&lt;=INDEX(Assumptions!$C$15:$C$18,MATCH(E633,Assumptions!$A$15:$A$18,0)),"Yes","No"))</f>
        <v>No</v>
      </c>
    </row>
    <row r="634" customFormat="false" ht="15" hidden="false" customHeight="false" outlineLevel="0" collapsed="false">
      <c r="A634" s="31" t="s">
        <v>784</v>
      </c>
      <c r="B634" s="44" t="n">
        <v>46212</v>
      </c>
      <c r="C634" s="31" t="s">
        <v>59</v>
      </c>
      <c r="D634" s="31" t="s">
        <v>69</v>
      </c>
      <c r="E634" s="31" t="s">
        <v>50</v>
      </c>
      <c r="F634" s="31" t="s">
        <v>120</v>
      </c>
      <c r="G634" s="31" t="n">
        <v>50</v>
      </c>
      <c r="H634" s="41" t="n">
        <v>19.7</v>
      </c>
      <c r="I634" s="31" t="s">
        <v>149</v>
      </c>
      <c r="J634" s="31" t="n">
        <v>3</v>
      </c>
      <c r="K634" s="31" t="s">
        <v>150</v>
      </c>
      <c r="L634" s="45" t="n">
        <f aca="false">DATE(YEAR(B634),MONTH(B634),1)</f>
        <v>46204</v>
      </c>
      <c r="M634" s="31" t="n">
        <f aca="false">WEEKDAY(B634,2)</f>
        <v>4</v>
      </c>
      <c r="N634" s="31" t="str">
        <f aca="false">IF(G634&lt;=INDEX(Assumptions!$B$15:$B$18,MATCH(E634,Assumptions!$A$15:$A$18,0)),"Yes","No")</f>
        <v>No</v>
      </c>
      <c r="O634" s="31" t="str">
        <f aca="false">IF(H634="","Open",IF(H634&lt;=INDEX(Assumptions!$C$15:$C$18,MATCH(E634,Assumptions!$A$15:$A$18,0)),"Yes","No"))</f>
        <v>No</v>
      </c>
    </row>
    <row r="635" customFormat="false" ht="15" hidden="false" customHeight="false" outlineLevel="0" collapsed="false">
      <c r="A635" s="31" t="s">
        <v>785</v>
      </c>
      <c r="B635" s="44" t="n">
        <v>46212</v>
      </c>
      <c r="C635" s="31" t="s">
        <v>58</v>
      </c>
      <c r="D635" s="31" t="s">
        <v>65</v>
      </c>
      <c r="E635" s="31" t="s">
        <v>51</v>
      </c>
      <c r="F635" s="31" t="s">
        <v>123</v>
      </c>
      <c r="G635" s="31" t="n">
        <v>6</v>
      </c>
      <c r="H635" s="41"/>
      <c r="I635" s="31" t="s">
        <v>158</v>
      </c>
      <c r="J635" s="31"/>
      <c r="K635" s="31" t="s">
        <v>150</v>
      </c>
      <c r="L635" s="45" t="n">
        <f aca="false">DATE(YEAR(B635),MONTH(B635),1)</f>
        <v>46204</v>
      </c>
      <c r="M635" s="31" t="n">
        <f aca="false">WEEKDAY(B635,2)</f>
        <v>4</v>
      </c>
      <c r="N635" s="31" t="str">
        <f aca="false">IF(G635&lt;=INDEX(Assumptions!$B$15:$B$18,MATCH(E635,Assumptions!$A$15:$A$18,0)),"Yes","No")</f>
        <v>Yes</v>
      </c>
      <c r="O635" s="31" t="str">
        <f aca="false">IF(H635="","Open",IF(H635&lt;=INDEX(Assumptions!$C$15:$C$18,MATCH(E635,Assumptions!$A$15:$A$18,0)),"Yes","No"))</f>
        <v>Open</v>
      </c>
    </row>
    <row r="636" customFormat="false" ht="15" hidden="false" customHeight="false" outlineLevel="0" collapsed="false">
      <c r="A636" s="31" t="s">
        <v>786</v>
      </c>
      <c r="B636" s="44" t="n">
        <v>46212</v>
      </c>
      <c r="C636" s="31" t="s">
        <v>59</v>
      </c>
      <c r="D636" s="31" t="s">
        <v>66</v>
      </c>
      <c r="E636" s="31" t="s">
        <v>51</v>
      </c>
      <c r="F636" s="31" t="s">
        <v>120</v>
      </c>
      <c r="G636" s="31" t="n">
        <v>79</v>
      </c>
      <c r="H636" s="41" t="n">
        <v>25</v>
      </c>
      <c r="I636" s="31" t="s">
        <v>149</v>
      </c>
      <c r="J636" s="31"/>
      <c r="K636" s="31" t="s">
        <v>150</v>
      </c>
      <c r="L636" s="45" t="n">
        <f aca="false">DATE(YEAR(B636),MONTH(B636),1)</f>
        <v>46204</v>
      </c>
      <c r="M636" s="31" t="n">
        <f aca="false">WEEKDAY(B636,2)</f>
        <v>4</v>
      </c>
      <c r="N636" s="31" t="str">
        <f aca="false">IF(G636&lt;=INDEX(Assumptions!$B$15:$B$18,MATCH(E636,Assumptions!$A$15:$A$18,0)),"Yes","No")</f>
        <v>No</v>
      </c>
      <c r="O636" s="31" t="str">
        <f aca="false">IF(H636="","Open",IF(H636&lt;=INDEX(Assumptions!$C$15:$C$18,MATCH(E636,Assumptions!$A$15:$A$18,0)),"Yes","No"))</f>
        <v>No</v>
      </c>
    </row>
    <row r="637" customFormat="false" ht="15" hidden="false" customHeight="false" outlineLevel="0" collapsed="false">
      <c r="A637" s="31" t="s">
        <v>787</v>
      </c>
      <c r="B637" s="44" t="n">
        <v>46212</v>
      </c>
      <c r="C637" s="31" t="s">
        <v>59</v>
      </c>
      <c r="D637" s="31" t="s">
        <v>65</v>
      </c>
      <c r="E637" s="31" t="s">
        <v>51</v>
      </c>
      <c r="F637" s="31" t="s">
        <v>135</v>
      </c>
      <c r="G637" s="31" t="n">
        <v>205</v>
      </c>
      <c r="H637" s="41" t="n">
        <v>10.4</v>
      </c>
      <c r="I637" s="31" t="s">
        <v>149</v>
      </c>
      <c r="J637" s="31"/>
      <c r="K637" s="31" t="s">
        <v>150</v>
      </c>
      <c r="L637" s="45" t="n">
        <f aca="false">DATE(YEAR(B637),MONTH(B637),1)</f>
        <v>46204</v>
      </c>
      <c r="M637" s="31" t="n">
        <f aca="false">WEEKDAY(B637,2)</f>
        <v>4</v>
      </c>
      <c r="N637" s="31" t="str">
        <f aca="false">IF(G637&lt;=INDEX(Assumptions!$B$15:$B$18,MATCH(E637,Assumptions!$A$15:$A$18,0)),"Yes","No")</f>
        <v>No</v>
      </c>
      <c r="O637" s="31" t="str">
        <f aca="false">IF(H637="","Open",IF(H637&lt;=INDEX(Assumptions!$C$15:$C$18,MATCH(E637,Assumptions!$A$15:$A$18,0)),"Yes","No"))</f>
        <v>Yes</v>
      </c>
    </row>
    <row r="638" customFormat="false" ht="15" hidden="false" customHeight="false" outlineLevel="0" collapsed="false">
      <c r="A638" s="31" t="s">
        <v>788</v>
      </c>
      <c r="B638" s="44" t="n">
        <v>46212</v>
      </c>
      <c r="C638" s="31" t="s">
        <v>58</v>
      </c>
      <c r="D638" s="31" t="s">
        <v>65</v>
      </c>
      <c r="E638" s="31" t="s">
        <v>51</v>
      </c>
      <c r="F638" s="31" t="s">
        <v>136</v>
      </c>
      <c r="G638" s="31" t="n">
        <v>14</v>
      </c>
      <c r="H638" s="41" t="n">
        <v>3.7</v>
      </c>
      <c r="I638" s="31" t="s">
        <v>149</v>
      </c>
      <c r="J638" s="31" t="n">
        <v>4</v>
      </c>
      <c r="K638" s="31" t="s">
        <v>153</v>
      </c>
      <c r="L638" s="45" t="n">
        <f aca="false">DATE(YEAR(B638),MONTH(B638),1)</f>
        <v>46204</v>
      </c>
      <c r="M638" s="31" t="n">
        <f aca="false">WEEKDAY(B638,2)</f>
        <v>4</v>
      </c>
      <c r="N638" s="31" t="str">
        <f aca="false">IF(G638&lt;=INDEX(Assumptions!$B$15:$B$18,MATCH(E638,Assumptions!$A$15:$A$18,0)),"Yes","No")</f>
        <v>Yes</v>
      </c>
      <c r="O638" s="31" t="str">
        <f aca="false">IF(H638="","Open",IF(H638&lt;=INDEX(Assumptions!$C$15:$C$18,MATCH(E638,Assumptions!$A$15:$A$18,0)),"Yes","No"))</f>
        <v>Yes</v>
      </c>
    </row>
    <row r="639" customFormat="false" ht="15" hidden="false" customHeight="false" outlineLevel="0" collapsed="false">
      <c r="A639" s="31" t="s">
        <v>789</v>
      </c>
      <c r="B639" s="44" t="n">
        <v>46212</v>
      </c>
      <c r="C639" s="31" t="s">
        <v>59</v>
      </c>
      <c r="D639" s="31" t="s">
        <v>66</v>
      </c>
      <c r="E639" s="31" t="s">
        <v>49</v>
      </c>
      <c r="F639" s="31" t="s">
        <v>123</v>
      </c>
      <c r="G639" s="31" t="n">
        <v>27</v>
      </c>
      <c r="H639" s="41" t="n">
        <v>4.7</v>
      </c>
      <c r="I639" s="31" t="s">
        <v>149</v>
      </c>
      <c r="J639" s="31" t="n">
        <v>2</v>
      </c>
      <c r="K639" s="31" t="s">
        <v>150</v>
      </c>
      <c r="L639" s="45" t="n">
        <f aca="false">DATE(YEAR(B639),MONTH(B639),1)</f>
        <v>46204</v>
      </c>
      <c r="M639" s="31" t="n">
        <f aca="false">WEEKDAY(B639,2)</f>
        <v>4</v>
      </c>
      <c r="N639" s="31" t="str">
        <f aca="false">IF(G639&lt;=INDEX(Assumptions!$B$15:$B$18,MATCH(E639,Assumptions!$A$15:$A$18,0)),"Yes","No")</f>
        <v>No</v>
      </c>
      <c r="O639" s="31" t="str">
        <f aca="false">IF(H639="","Open",IF(H639&lt;=INDEX(Assumptions!$C$15:$C$18,MATCH(E639,Assumptions!$A$15:$A$18,0)),"Yes","No"))</f>
        <v>No</v>
      </c>
    </row>
    <row r="640" customFormat="false" ht="15" hidden="false" customHeight="false" outlineLevel="0" collapsed="false">
      <c r="A640" s="31" t="s">
        <v>790</v>
      </c>
      <c r="B640" s="44" t="n">
        <v>46212</v>
      </c>
      <c r="C640" s="31" t="s">
        <v>60</v>
      </c>
      <c r="D640" s="31" t="s">
        <v>69</v>
      </c>
      <c r="E640" s="31" t="s">
        <v>52</v>
      </c>
      <c r="F640" s="31" t="s">
        <v>130</v>
      </c>
      <c r="G640" s="31" t="n">
        <v>2</v>
      </c>
      <c r="H640" s="41" t="n">
        <v>29.8</v>
      </c>
      <c r="I640" s="31" t="s">
        <v>149</v>
      </c>
      <c r="J640" s="31" t="n">
        <v>5</v>
      </c>
      <c r="K640" s="31" t="s">
        <v>150</v>
      </c>
      <c r="L640" s="45" t="n">
        <f aca="false">DATE(YEAR(B640),MONTH(B640),1)</f>
        <v>46204</v>
      </c>
      <c r="M640" s="31" t="n">
        <f aca="false">WEEKDAY(B640,2)</f>
        <v>4</v>
      </c>
      <c r="N640" s="31" t="str">
        <f aca="false">IF(G640&lt;=INDEX(Assumptions!$B$15:$B$18,MATCH(E640,Assumptions!$A$15:$A$18,0)),"Yes","No")</f>
        <v>Yes</v>
      </c>
      <c r="O640" s="31" t="str">
        <f aca="false">IF(H640="","Open",IF(H640&lt;=INDEX(Assumptions!$C$15:$C$18,MATCH(E640,Assumptions!$A$15:$A$18,0)),"Yes","No"))</f>
        <v>Yes</v>
      </c>
    </row>
    <row r="641" customFormat="false" ht="15" hidden="false" customHeight="false" outlineLevel="0" collapsed="false">
      <c r="A641" s="31" t="s">
        <v>791</v>
      </c>
      <c r="B641" s="44" t="n">
        <v>46212</v>
      </c>
      <c r="C641" s="31" t="s">
        <v>57</v>
      </c>
      <c r="D641" s="31" t="s">
        <v>65</v>
      </c>
      <c r="E641" s="31" t="s">
        <v>52</v>
      </c>
      <c r="F641" s="31" t="s">
        <v>120</v>
      </c>
      <c r="G641" s="31" t="n">
        <v>7</v>
      </c>
      <c r="H641" s="41" t="n">
        <v>7.3</v>
      </c>
      <c r="I641" s="31" t="s">
        <v>149</v>
      </c>
      <c r="J641" s="31" t="n">
        <v>5</v>
      </c>
      <c r="K641" s="31" t="s">
        <v>150</v>
      </c>
      <c r="L641" s="45" t="n">
        <f aca="false">DATE(YEAR(B641),MONTH(B641),1)</f>
        <v>46204</v>
      </c>
      <c r="M641" s="31" t="n">
        <f aca="false">WEEKDAY(B641,2)</f>
        <v>4</v>
      </c>
      <c r="N641" s="31" t="str">
        <f aca="false">IF(G641&lt;=INDEX(Assumptions!$B$15:$B$18,MATCH(E641,Assumptions!$A$15:$A$18,0)),"Yes","No")</f>
        <v>Yes</v>
      </c>
      <c r="O641" s="31" t="str">
        <f aca="false">IF(H641="","Open",IF(H641&lt;=INDEX(Assumptions!$C$15:$C$18,MATCH(E641,Assumptions!$A$15:$A$18,0)),"Yes","No"))</f>
        <v>Yes</v>
      </c>
    </row>
    <row r="642" customFormat="false" ht="15" hidden="false" customHeight="false" outlineLevel="0" collapsed="false">
      <c r="A642" s="31" t="s">
        <v>792</v>
      </c>
      <c r="B642" s="44" t="n">
        <v>46212</v>
      </c>
      <c r="C642" s="31" t="s">
        <v>59</v>
      </c>
      <c r="D642" s="31" t="s">
        <v>69</v>
      </c>
      <c r="E642" s="31" t="s">
        <v>51</v>
      </c>
      <c r="F642" s="31" t="s">
        <v>122</v>
      </c>
      <c r="G642" s="31" t="n">
        <v>63</v>
      </c>
      <c r="H642" s="41" t="n">
        <v>10.9</v>
      </c>
      <c r="I642" s="31" t="s">
        <v>149</v>
      </c>
      <c r="J642" s="31"/>
      <c r="K642" s="31" t="s">
        <v>150</v>
      </c>
      <c r="L642" s="45" t="n">
        <f aca="false">DATE(YEAR(B642),MONTH(B642),1)</f>
        <v>46204</v>
      </c>
      <c r="M642" s="31" t="n">
        <f aca="false">WEEKDAY(B642,2)</f>
        <v>4</v>
      </c>
      <c r="N642" s="31" t="str">
        <f aca="false">IF(G642&lt;=INDEX(Assumptions!$B$15:$B$18,MATCH(E642,Assumptions!$A$15:$A$18,0)),"Yes","No")</f>
        <v>No</v>
      </c>
      <c r="O642" s="31" t="str">
        <f aca="false">IF(H642="","Open",IF(H642&lt;=INDEX(Assumptions!$C$15:$C$18,MATCH(E642,Assumptions!$A$15:$A$18,0)),"Yes","No"))</f>
        <v>Yes</v>
      </c>
    </row>
    <row r="643" customFormat="false" ht="15" hidden="false" customHeight="false" outlineLevel="0" collapsed="false">
      <c r="A643" s="31" t="s">
        <v>793</v>
      </c>
      <c r="B643" s="44" t="n">
        <v>46212</v>
      </c>
      <c r="C643" s="31" t="s">
        <v>58</v>
      </c>
      <c r="D643" s="31" t="s">
        <v>65</v>
      </c>
      <c r="E643" s="31" t="s">
        <v>51</v>
      </c>
      <c r="F643" s="31" t="s">
        <v>121</v>
      </c>
      <c r="G643" s="31" t="n">
        <v>26</v>
      </c>
      <c r="H643" s="41" t="n">
        <v>37.6</v>
      </c>
      <c r="I643" s="31" t="s">
        <v>149</v>
      </c>
      <c r="J643" s="31" t="n">
        <v>4</v>
      </c>
      <c r="K643" s="31" t="s">
        <v>150</v>
      </c>
      <c r="L643" s="45" t="n">
        <f aca="false">DATE(YEAR(B643),MONTH(B643),1)</f>
        <v>46204</v>
      </c>
      <c r="M643" s="31" t="n">
        <f aca="false">WEEKDAY(B643,2)</f>
        <v>4</v>
      </c>
      <c r="N643" s="31" t="str">
        <f aca="false">IF(G643&lt;=INDEX(Assumptions!$B$15:$B$18,MATCH(E643,Assumptions!$A$15:$A$18,0)),"Yes","No")</f>
        <v>Yes</v>
      </c>
      <c r="O643" s="31" t="str">
        <f aca="false">IF(H643="","Open",IF(H643&lt;=INDEX(Assumptions!$C$15:$C$18,MATCH(E643,Assumptions!$A$15:$A$18,0)),"Yes","No"))</f>
        <v>No</v>
      </c>
    </row>
    <row r="644" customFormat="false" ht="15" hidden="false" customHeight="false" outlineLevel="0" collapsed="false">
      <c r="A644" s="31" t="s">
        <v>794</v>
      </c>
      <c r="B644" s="44" t="n">
        <v>46212</v>
      </c>
      <c r="C644" s="31" t="s">
        <v>60</v>
      </c>
      <c r="D644" s="31" t="s">
        <v>67</v>
      </c>
      <c r="E644" s="31" t="s">
        <v>51</v>
      </c>
      <c r="F644" s="31" t="s">
        <v>136</v>
      </c>
      <c r="G644" s="31" t="n">
        <v>1</v>
      </c>
      <c r="H644" s="41" t="n">
        <v>19.6</v>
      </c>
      <c r="I644" s="31" t="s">
        <v>149</v>
      </c>
      <c r="J644" s="31"/>
      <c r="K644" s="31" t="s">
        <v>150</v>
      </c>
      <c r="L644" s="45" t="n">
        <f aca="false">DATE(YEAR(B644),MONTH(B644),1)</f>
        <v>46204</v>
      </c>
      <c r="M644" s="31" t="n">
        <f aca="false">WEEKDAY(B644,2)</f>
        <v>4</v>
      </c>
      <c r="N644" s="31" t="str">
        <f aca="false">IF(G644&lt;=INDEX(Assumptions!$B$15:$B$18,MATCH(E644,Assumptions!$A$15:$A$18,0)),"Yes","No")</f>
        <v>Yes</v>
      </c>
      <c r="O644" s="31" t="str">
        <f aca="false">IF(H644="","Open",IF(H644&lt;=INDEX(Assumptions!$C$15:$C$18,MATCH(E644,Assumptions!$A$15:$A$18,0)),"Yes","No"))</f>
        <v>Yes</v>
      </c>
    </row>
    <row r="645" customFormat="false" ht="15" hidden="false" customHeight="false" outlineLevel="0" collapsed="false">
      <c r="A645" s="31" t="s">
        <v>795</v>
      </c>
      <c r="B645" s="44" t="n">
        <v>46212</v>
      </c>
      <c r="C645" s="31" t="s">
        <v>60</v>
      </c>
      <c r="D645" s="31" t="s">
        <v>65</v>
      </c>
      <c r="E645" s="31" t="s">
        <v>52</v>
      </c>
      <c r="F645" s="31" t="s">
        <v>131</v>
      </c>
      <c r="G645" s="31" t="n">
        <v>1</v>
      </c>
      <c r="H645" s="41" t="n">
        <v>13.2</v>
      </c>
      <c r="I645" s="31" t="s">
        <v>149</v>
      </c>
      <c r="J645" s="31" t="n">
        <v>5</v>
      </c>
      <c r="K645" s="31" t="s">
        <v>150</v>
      </c>
      <c r="L645" s="45" t="n">
        <f aca="false">DATE(YEAR(B645),MONTH(B645),1)</f>
        <v>46204</v>
      </c>
      <c r="M645" s="31" t="n">
        <f aca="false">WEEKDAY(B645,2)</f>
        <v>4</v>
      </c>
      <c r="N645" s="31" t="str">
        <f aca="false">IF(G645&lt;=INDEX(Assumptions!$B$15:$B$18,MATCH(E645,Assumptions!$A$15:$A$18,0)),"Yes","No")</f>
        <v>Yes</v>
      </c>
      <c r="O645" s="31" t="str">
        <f aca="false">IF(H645="","Open",IF(H645&lt;=INDEX(Assumptions!$C$15:$C$18,MATCH(E645,Assumptions!$A$15:$A$18,0)),"Yes","No"))</f>
        <v>Yes</v>
      </c>
    </row>
    <row r="646" customFormat="false" ht="15" hidden="false" customHeight="false" outlineLevel="0" collapsed="false">
      <c r="A646" s="31" t="s">
        <v>796</v>
      </c>
      <c r="B646" s="44" t="n">
        <v>46212</v>
      </c>
      <c r="C646" s="31" t="s">
        <v>57</v>
      </c>
      <c r="D646" s="31" t="s">
        <v>66</v>
      </c>
      <c r="E646" s="31" t="s">
        <v>52</v>
      </c>
      <c r="F646" s="31" t="s">
        <v>121</v>
      </c>
      <c r="G646" s="31" t="n">
        <v>16</v>
      </c>
      <c r="H646" s="41" t="n">
        <v>4.2</v>
      </c>
      <c r="I646" s="31" t="s">
        <v>149</v>
      </c>
      <c r="J646" s="31"/>
      <c r="K646" s="31" t="s">
        <v>150</v>
      </c>
      <c r="L646" s="45" t="n">
        <f aca="false">DATE(YEAR(B646),MONTH(B646),1)</f>
        <v>46204</v>
      </c>
      <c r="M646" s="31" t="n">
        <f aca="false">WEEKDAY(B646,2)</f>
        <v>4</v>
      </c>
      <c r="N646" s="31" t="str">
        <f aca="false">IF(G646&lt;=INDEX(Assumptions!$B$15:$B$18,MATCH(E646,Assumptions!$A$15:$A$18,0)),"Yes","No")</f>
        <v>Yes</v>
      </c>
      <c r="O646" s="31" t="str">
        <f aca="false">IF(H646="","Open",IF(H646&lt;=INDEX(Assumptions!$C$15:$C$18,MATCH(E646,Assumptions!$A$15:$A$18,0)),"Yes","No"))</f>
        <v>Yes</v>
      </c>
    </row>
    <row r="647" customFormat="false" ht="15" hidden="false" customHeight="false" outlineLevel="0" collapsed="false">
      <c r="A647" s="31" t="s">
        <v>797</v>
      </c>
      <c r="B647" s="44" t="n">
        <v>46212</v>
      </c>
      <c r="C647" s="31" t="s">
        <v>60</v>
      </c>
      <c r="D647" s="31" t="s">
        <v>65</v>
      </c>
      <c r="E647" s="31" t="s">
        <v>51</v>
      </c>
      <c r="F647" s="31" t="s">
        <v>128</v>
      </c>
      <c r="G647" s="31" t="n">
        <v>6</v>
      </c>
      <c r="H647" s="41" t="n">
        <v>3.5</v>
      </c>
      <c r="I647" s="31" t="s">
        <v>149</v>
      </c>
      <c r="J647" s="31"/>
      <c r="K647" s="31" t="s">
        <v>150</v>
      </c>
      <c r="L647" s="45" t="n">
        <f aca="false">DATE(YEAR(B647),MONTH(B647),1)</f>
        <v>46204</v>
      </c>
      <c r="M647" s="31" t="n">
        <f aca="false">WEEKDAY(B647,2)</f>
        <v>4</v>
      </c>
      <c r="N647" s="31" t="str">
        <f aca="false">IF(G647&lt;=INDEX(Assumptions!$B$15:$B$18,MATCH(E647,Assumptions!$A$15:$A$18,0)),"Yes","No")</f>
        <v>Yes</v>
      </c>
      <c r="O647" s="31" t="str">
        <f aca="false">IF(H647="","Open",IF(H647&lt;=INDEX(Assumptions!$C$15:$C$18,MATCH(E647,Assumptions!$A$15:$A$18,0)),"Yes","No"))</f>
        <v>Yes</v>
      </c>
    </row>
    <row r="648" customFormat="false" ht="15" hidden="false" customHeight="false" outlineLevel="0" collapsed="false">
      <c r="A648" s="31" t="s">
        <v>798</v>
      </c>
      <c r="B648" s="44" t="n">
        <v>46212</v>
      </c>
      <c r="C648" s="31" t="s">
        <v>57</v>
      </c>
      <c r="D648" s="31" t="s">
        <v>65</v>
      </c>
      <c r="E648" s="31" t="s">
        <v>52</v>
      </c>
      <c r="F648" s="31" t="s">
        <v>127</v>
      </c>
      <c r="G648" s="31" t="n">
        <v>4</v>
      </c>
      <c r="H648" s="41" t="n">
        <v>29.9</v>
      </c>
      <c r="I648" s="31" t="s">
        <v>149</v>
      </c>
      <c r="J648" s="31" t="n">
        <v>3</v>
      </c>
      <c r="K648" s="31" t="s">
        <v>150</v>
      </c>
      <c r="L648" s="45" t="n">
        <f aca="false">DATE(YEAR(B648),MONTH(B648),1)</f>
        <v>46204</v>
      </c>
      <c r="M648" s="31" t="n">
        <f aca="false">WEEKDAY(B648,2)</f>
        <v>4</v>
      </c>
      <c r="N648" s="31" t="str">
        <f aca="false">IF(G648&lt;=INDEX(Assumptions!$B$15:$B$18,MATCH(E648,Assumptions!$A$15:$A$18,0)),"Yes","No")</f>
        <v>Yes</v>
      </c>
      <c r="O648" s="31" t="str">
        <f aca="false">IF(H648="","Open",IF(H648&lt;=INDEX(Assumptions!$C$15:$C$18,MATCH(E648,Assumptions!$A$15:$A$18,0)),"Yes","No"))</f>
        <v>Yes</v>
      </c>
    </row>
    <row r="649" customFormat="false" ht="15" hidden="false" customHeight="false" outlineLevel="0" collapsed="false">
      <c r="A649" s="31" t="s">
        <v>799</v>
      </c>
      <c r="B649" s="44" t="n">
        <v>46212</v>
      </c>
      <c r="C649" s="31" t="s">
        <v>57</v>
      </c>
      <c r="D649" s="31" t="s">
        <v>67</v>
      </c>
      <c r="E649" s="31" t="s">
        <v>52</v>
      </c>
      <c r="F649" s="31" t="s">
        <v>134</v>
      </c>
      <c r="G649" s="31" t="n">
        <v>8</v>
      </c>
      <c r="H649" s="41" t="n">
        <v>36.4</v>
      </c>
      <c r="I649" s="31" t="s">
        <v>149</v>
      </c>
      <c r="J649" s="31"/>
      <c r="K649" s="31" t="s">
        <v>150</v>
      </c>
      <c r="L649" s="45" t="n">
        <f aca="false">DATE(YEAR(B649),MONTH(B649),1)</f>
        <v>46204</v>
      </c>
      <c r="M649" s="31" t="n">
        <f aca="false">WEEKDAY(B649,2)</f>
        <v>4</v>
      </c>
      <c r="N649" s="31" t="str">
        <f aca="false">IF(G649&lt;=INDEX(Assumptions!$B$15:$B$18,MATCH(E649,Assumptions!$A$15:$A$18,0)),"Yes","No")</f>
        <v>Yes</v>
      </c>
      <c r="O649" s="31" t="str">
        <f aca="false">IF(H649="","Open",IF(H649&lt;=INDEX(Assumptions!$C$15:$C$18,MATCH(E649,Assumptions!$A$15:$A$18,0)),"Yes","No"))</f>
        <v>Yes</v>
      </c>
    </row>
    <row r="650" customFormat="false" ht="15" hidden="false" customHeight="false" outlineLevel="0" collapsed="false">
      <c r="A650" s="31" t="s">
        <v>800</v>
      </c>
      <c r="B650" s="44" t="n">
        <v>46212</v>
      </c>
      <c r="C650" s="31" t="s">
        <v>58</v>
      </c>
      <c r="D650" s="31" t="s">
        <v>69</v>
      </c>
      <c r="E650" s="31" t="s">
        <v>51</v>
      </c>
      <c r="F650" s="31" t="s">
        <v>117</v>
      </c>
      <c r="G650" s="31" t="n">
        <v>11</v>
      </c>
      <c r="H650" s="41" t="n">
        <v>10.8</v>
      </c>
      <c r="I650" s="31" t="s">
        <v>149</v>
      </c>
      <c r="J650" s="31"/>
      <c r="K650" s="31" t="s">
        <v>150</v>
      </c>
      <c r="L650" s="45" t="n">
        <f aca="false">DATE(YEAR(B650),MONTH(B650),1)</f>
        <v>46204</v>
      </c>
      <c r="M650" s="31" t="n">
        <f aca="false">WEEKDAY(B650,2)</f>
        <v>4</v>
      </c>
      <c r="N650" s="31" t="str">
        <f aca="false">IF(G650&lt;=INDEX(Assumptions!$B$15:$B$18,MATCH(E650,Assumptions!$A$15:$A$18,0)),"Yes","No")</f>
        <v>Yes</v>
      </c>
      <c r="O650" s="31" t="str">
        <f aca="false">IF(H650="","Open",IF(H650&lt;=INDEX(Assumptions!$C$15:$C$18,MATCH(E650,Assumptions!$A$15:$A$18,0)),"Yes","No"))</f>
        <v>Yes</v>
      </c>
    </row>
    <row r="651" customFormat="false" ht="15" hidden="false" customHeight="false" outlineLevel="0" collapsed="false">
      <c r="A651" s="31" t="s">
        <v>801</v>
      </c>
      <c r="B651" s="44" t="n">
        <v>46212</v>
      </c>
      <c r="C651" s="31" t="s">
        <v>57</v>
      </c>
      <c r="D651" s="31" t="s">
        <v>65</v>
      </c>
      <c r="E651" s="31" t="s">
        <v>52</v>
      </c>
      <c r="F651" s="31" t="s">
        <v>121</v>
      </c>
      <c r="G651" s="31" t="n">
        <v>11</v>
      </c>
      <c r="H651" s="41" t="n">
        <v>17.4</v>
      </c>
      <c r="I651" s="31" t="s">
        <v>149</v>
      </c>
      <c r="J651" s="31"/>
      <c r="K651" s="31" t="s">
        <v>150</v>
      </c>
      <c r="L651" s="45" t="n">
        <f aca="false">DATE(YEAR(B651),MONTH(B651),1)</f>
        <v>46204</v>
      </c>
      <c r="M651" s="31" t="n">
        <f aca="false">WEEKDAY(B651,2)</f>
        <v>4</v>
      </c>
      <c r="N651" s="31" t="str">
        <f aca="false">IF(G651&lt;=INDEX(Assumptions!$B$15:$B$18,MATCH(E651,Assumptions!$A$15:$A$18,0)),"Yes","No")</f>
        <v>Yes</v>
      </c>
      <c r="O651" s="31" t="str">
        <f aca="false">IF(H651="","Open",IF(H651&lt;=INDEX(Assumptions!$C$15:$C$18,MATCH(E651,Assumptions!$A$15:$A$18,0)),"Yes","No"))</f>
        <v>Yes</v>
      </c>
    </row>
    <row r="652" customFormat="false" ht="15" hidden="false" customHeight="false" outlineLevel="0" collapsed="false">
      <c r="A652" s="31" t="s">
        <v>802</v>
      </c>
      <c r="B652" s="44" t="n">
        <v>46212</v>
      </c>
      <c r="C652" s="31" t="s">
        <v>60</v>
      </c>
      <c r="D652" s="31" t="s">
        <v>68</v>
      </c>
      <c r="E652" s="31" t="s">
        <v>49</v>
      </c>
      <c r="F652" s="31" t="s">
        <v>128</v>
      </c>
      <c r="G652" s="31" t="n">
        <v>2</v>
      </c>
      <c r="H652" s="41" t="n">
        <v>1.7</v>
      </c>
      <c r="I652" s="31" t="s">
        <v>149</v>
      </c>
      <c r="J652" s="31"/>
      <c r="K652" s="31" t="s">
        <v>150</v>
      </c>
      <c r="L652" s="45" t="n">
        <f aca="false">DATE(YEAR(B652),MONTH(B652),1)</f>
        <v>46204</v>
      </c>
      <c r="M652" s="31" t="n">
        <f aca="false">WEEKDAY(B652,2)</f>
        <v>4</v>
      </c>
      <c r="N652" s="31" t="str">
        <f aca="false">IF(G652&lt;=INDEX(Assumptions!$B$15:$B$18,MATCH(E652,Assumptions!$A$15:$A$18,0)),"Yes","No")</f>
        <v>Yes</v>
      </c>
      <c r="O652" s="31" t="str">
        <f aca="false">IF(H652="","Open",IF(H652&lt;=INDEX(Assumptions!$C$15:$C$18,MATCH(E652,Assumptions!$A$15:$A$18,0)),"Yes","No"))</f>
        <v>Yes</v>
      </c>
    </row>
    <row r="653" customFormat="false" ht="15" hidden="false" customHeight="false" outlineLevel="0" collapsed="false">
      <c r="A653" s="31" t="s">
        <v>803</v>
      </c>
      <c r="B653" s="44" t="n">
        <v>46212</v>
      </c>
      <c r="C653" s="31" t="s">
        <v>57</v>
      </c>
      <c r="D653" s="31" t="s">
        <v>69</v>
      </c>
      <c r="E653" s="31" t="s">
        <v>52</v>
      </c>
      <c r="F653" s="31" t="s">
        <v>136</v>
      </c>
      <c r="G653" s="31" t="n">
        <v>8</v>
      </c>
      <c r="H653" s="41" t="n">
        <v>18.1</v>
      </c>
      <c r="I653" s="31" t="s">
        <v>149</v>
      </c>
      <c r="J653" s="31" t="n">
        <v>5</v>
      </c>
      <c r="K653" s="31" t="s">
        <v>150</v>
      </c>
      <c r="L653" s="45" t="n">
        <f aca="false">DATE(YEAR(B653),MONTH(B653),1)</f>
        <v>46204</v>
      </c>
      <c r="M653" s="31" t="n">
        <f aca="false">WEEKDAY(B653,2)</f>
        <v>4</v>
      </c>
      <c r="N653" s="31" t="str">
        <f aca="false">IF(G653&lt;=INDEX(Assumptions!$B$15:$B$18,MATCH(E653,Assumptions!$A$15:$A$18,0)),"Yes","No")</f>
        <v>Yes</v>
      </c>
      <c r="O653" s="31" t="str">
        <f aca="false">IF(H653="","Open",IF(H653&lt;=INDEX(Assumptions!$C$15:$C$18,MATCH(E653,Assumptions!$A$15:$A$18,0)),"Yes","No"))</f>
        <v>Yes</v>
      </c>
    </row>
    <row r="654" customFormat="false" ht="15" hidden="false" customHeight="false" outlineLevel="0" collapsed="false">
      <c r="A654" s="31" t="s">
        <v>804</v>
      </c>
      <c r="B654" s="44" t="n">
        <v>46212</v>
      </c>
      <c r="C654" s="31" t="s">
        <v>58</v>
      </c>
      <c r="D654" s="31" t="s">
        <v>66</v>
      </c>
      <c r="E654" s="31" t="s">
        <v>51</v>
      </c>
      <c r="F654" s="31" t="s">
        <v>130</v>
      </c>
      <c r="G654" s="31" t="n">
        <v>9</v>
      </c>
      <c r="H654" s="41" t="n">
        <v>4.1</v>
      </c>
      <c r="I654" s="31" t="s">
        <v>149</v>
      </c>
      <c r="J654" s="31" t="n">
        <v>4</v>
      </c>
      <c r="K654" s="31" t="s">
        <v>150</v>
      </c>
      <c r="L654" s="45" t="n">
        <f aca="false">DATE(YEAR(B654),MONTH(B654),1)</f>
        <v>46204</v>
      </c>
      <c r="M654" s="31" t="n">
        <f aca="false">WEEKDAY(B654,2)</f>
        <v>4</v>
      </c>
      <c r="N654" s="31" t="str">
        <f aca="false">IF(G654&lt;=INDEX(Assumptions!$B$15:$B$18,MATCH(E654,Assumptions!$A$15:$A$18,0)),"Yes","No")</f>
        <v>Yes</v>
      </c>
      <c r="O654" s="31" t="str">
        <f aca="false">IF(H654="","Open",IF(H654&lt;=INDEX(Assumptions!$C$15:$C$18,MATCH(E654,Assumptions!$A$15:$A$18,0)),"Yes","No"))</f>
        <v>Yes</v>
      </c>
    </row>
    <row r="655" customFormat="false" ht="15" hidden="false" customHeight="false" outlineLevel="0" collapsed="false">
      <c r="A655" s="31" t="s">
        <v>805</v>
      </c>
      <c r="B655" s="44" t="n">
        <v>46212</v>
      </c>
      <c r="C655" s="31" t="s">
        <v>59</v>
      </c>
      <c r="D655" s="31" t="s">
        <v>69</v>
      </c>
      <c r="E655" s="31" t="s">
        <v>52</v>
      </c>
      <c r="F655" s="31" t="s">
        <v>128</v>
      </c>
      <c r="G655" s="31" t="n">
        <v>1132</v>
      </c>
      <c r="H655" s="41" t="n">
        <v>89.2</v>
      </c>
      <c r="I655" s="31" t="s">
        <v>149</v>
      </c>
      <c r="J655" s="31" t="n">
        <v>3</v>
      </c>
      <c r="K655" s="31" t="s">
        <v>153</v>
      </c>
      <c r="L655" s="45" t="n">
        <f aca="false">DATE(YEAR(B655),MONTH(B655),1)</f>
        <v>46204</v>
      </c>
      <c r="M655" s="31" t="n">
        <f aca="false">WEEKDAY(B655,2)</f>
        <v>4</v>
      </c>
      <c r="N655" s="31" t="str">
        <f aca="false">IF(G655&lt;=INDEX(Assumptions!$B$15:$B$18,MATCH(E655,Assumptions!$A$15:$A$18,0)),"Yes","No")</f>
        <v>No</v>
      </c>
      <c r="O655" s="31" t="str">
        <f aca="false">IF(H655="","Open",IF(H655&lt;=INDEX(Assumptions!$C$15:$C$18,MATCH(E655,Assumptions!$A$15:$A$18,0)),"Yes","No"))</f>
        <v>No</v>
      </c>
    </row>
    <row r="656" customFormat="false" ht="15" hidden="false" customHeight="false" outlineLevel="0" collapsed="false">
      <c r="A656" s="31" t="s">
        <v>806</v>
      </c>
      <c r="B656" s="44" t="n">
        <v>46212</v>
      </c>
      <c r="C656" s="31" t="s">
        <v>57</v>
      </c>
      <c r="D656" s="31" t="s">
        <v>65</v>
      </c>
      <c r="E656" s="31" t="s">
        <v>51</v>
      </c>
      <c r="F656" s="31" t="s">
        <v>137</v>
      </c>
      <c r="G656" s="31" t="n">
        <v>4</v>
      </c>
      <c r="H656" s="41" t="n">
        <v>31.5</v>
      </c>
      <c r="I656" s="31" t="s">
        <v>149</v>
      </c>
      <c r="J656" s="31" t="n">
        <v>3</v>
      </c>
      <c r="K656" s="31" t="s">
        <v>150</v>
      </c>
      <c r="L656" s="45" t="n">
        <f aca="false">DATE(YEAR(B656),MONTH(B656),1)</f>
        <v>46204</v>
      </c>
      <c r="M656" s="31" t="n">
        <f aca="false">WEEKDAY(B656,2)</f>
        <v>4</v>
      </c>
      <c r="N656" s="31" t="str">
        <f aca="false">IF(G656&lt;=INDEX(Assumptions!$B$15:$B$18,MATCH(E656,Assumptions!$A$15:$A$18,0)),"Yes","No")</f>
        <v>Yes</v>
      </c>
      <c r="O656" s="31" t="str">
        <f aca="false">IF(H656="","Open",IF(H656&lt;=INDEX(Assumptions!$C$15:$C$18,MATCH(E656,Assumptions!$A$15:$A$18,0)),"Yes","No"))</f>
        <v>No</v>
      </c>
    </row>
    <row r="657" customFormat="false" ht="15" hidden="false" customHeight="false" outlineLevel="0" collapsed="false">
      <c r="A657" s="31" t="s">
        <v>807</v>
      </c>
      <c r="B657" s="44" t="n">
        <v>46212</v>
      </c>
      <c r="C657" s="31" t="s">
        <v>57</v>
      </c>
      <c r="D657" s="31" t="s">
        <v>66</v>
      </c>
      <c r="E657" s="31" t="s">
        <v>51</v>
      </c>
      <c r="F657" s="31" t="s">
        <v>124</v>
      </c>
      <c r="G657" s="31" t="n">
        <v>3</v>
      </c>
      <c r="H657" s="41" t="n">
        <v>2.4</v>
      </c>
      <c r="I657" s="31" t="s">
        <v>149</v>
      </c>
      <c r="J657" s="31" t="n">
        <v>3</v>
      </c>
      <c r="K657" s="31" t="s">
        <v>150</v>
      </c>
      <c r="L657" s="45" t="n">
        <f aca="false">DATE(YEAR(B657),MONTH(B657),1)</f>
        <v>46204</v>
      </c>
      <c r="M657" s="31" t="n">
        <f aca="false">WEEKDAY(B657,2)</f>
        <v>4</v>
      </c>
      <c r="N657" s="31" t="str">
        <f aca="false">IF(G657&lt;=INDEX(Assumptions!$B$15:$B$18,MATCH(E657,Assumptions!$A$15:$A$18,0)),"Yes","No")</f>
        <v>Yes</v>
      </c>
      <c r="O657" s="31" t="str">
        <f aca="false">IF(H657="","Open",IF(H657&lt;=INDEX(Assumptions!$C$15:$C$18,MATCH(E657,Assumptions!$A$15:$A$18,0)),"Yes","No"))</f>
        <v>Yes</v>
      </c>
    </row>
    <row r="658" customFormat="false" ht="15" hidden="false" customHeight="false" outlineLevel="0" collapsed="false">
      <c r="A658" s="31" t="s">
        <v>808</v>
      </c>
      <c r="B658" s="44" t="n">
        <v>46212</v>
      </c>
      <c r="C658" s="31" t="s">
        <v>58</v>
      </c>
      <c r="D658" s="31" t="s">
        <v>69</v>
      </c>
      <c r="E658" s="31" t="s">
        <v>52</v>
      </c>
      <c r="F658" s="31" t="s">
        <v>137</v>
      </c>
      <c r="G658" s="31" t="n">
        <v>4</v>
      </c>
      <c r="H658" s="41" t="n">
        <v>22.1</v>
      </c>
      <c r="I658" s="31" t="s">
        <v>149</v>
      </c>
      <c r="J658" s="31" t="n">
        <v>5</v>
      </c>
      <c r="K658" s="31" t="s">
        <v>153</v>
      </c>
      <c r="L658" s="45" t="n">
        <f aca="false">DATE(YEAR(B658),MONTH(B658),1)</f>
        <v>46204</v>
      </c>
      <c r="M658" s="31" t="n">
        <f aca="false">WEEKDAY(B658,2)</f>
        <v>4</v>
      </c>
      <c r="N658" s="31" t="str">
        <f aca="false">IF(G658&lt;=INDEX(Assumptions!$B$15:$B$18,MATCH(E658,Assumptions!$A$15:$A$18,0)),"Yes","No")</f>
        <v>Yes</v>
      </c>
      <c r="O658" s="31" t="str">
        <f aca="false">IF(H658="","Open",IF(H658&lt;=INDEX(Assumptions!$C$15:$C$18,MATCH(E658,Assumptions!$A$15:$A$18,0)),"Yes","No"))</f>
        <v>Yes</v>
      </c>
    </row>
    <row r="659" customFormat="false" ht="15" hidden="false" customHeight="false" outlineLevel="0" collapsed="false">
      <c r="A659" s="31" t="s">
        <v>809</v>
      </c>
      <c r="B659" s="44" t="n">
        <v>46212</v>
      </c>
      <c r="C659" s="31" t="s">
        <v>59</v>
      </c>
      <c r="D659" s="31" t="s">
        <v>66</v>
      </c>
      <c r="E659" s="31" t="s">
        <v>51</v>
      </c>
      <c r="F659" s="31" t="s">
        <v>130</v>
      </c>
      <c r="G659" s="31" t="n">
        <v>258</v>
      </c>
      <c r="H659" s="41" t="n">
        <v>17.9</v>
      </c>
      <c r="I659" s="31" t="s">
        <v>149</v>
      </c>
      <c r="J659" s="31"/>
      <c r="K659" s="31" t="s">
        <v>150</v>
      </c>
      <c r="L659" s="45" t="n">
        <f aca="false">DATE(YEAR(B659),MONTH(B659),1)</f>
        <v>46204</v>
      </c>
      <c r="M659" s="31" t="n">
        <f aca="false">WEEKDAY(B659,2)</f>
        <v>4</v>
      </c>
      <c r="N659" s="31" t="str">
        <f aca="false">IF(G659&lt;=INDEX(Assumptions!$B$15:$B$18,MATCH(E659,Assumptions!$A$15:$A$18,0)),"Yes","No")</f>
        <v>No</v>
      </c>
      <c r="O659" s="31" t="str">
        <f aca="false">IF(H659="","Open",IF(H659&lt;=INDEX(Assumptions!$C$15:$C$18,MATCH(E659,Assumptions!$A$15:$A$18,0)),"Yes","No"))</f>
        <v>Yes</v>
      </c>
    </row>
    <row r="660" customFormat="false" ht="15" hidden="false" customHeight="false" outlineLevel="0" collapsed="false">
      <c r="A660" s="31" t="s">
        <v>810</v>
      </c>
      <c r="B660" s="44" t="n">
        <v>46212</v>
      </c>
      <c r="C660" s="31" t="s">
        <v>57</v>
      </c>
      <c r="D660" s="31" t="s">
        <v>67</v>
      </c>
      <c r="E660" s="31" t="s">
        <v>51</v>
      </c>
      <c r="F660" s="31" t="s">
        <v>129</v>
      </c>
      <c r="G660" s="31" t="n">
        <v>4</v>
      </c>
      <c r="H660" s="41" t="n">
        <v>6.9</v>
      </c>
      <c r="I660" s="31" t="s">
        <v>149</v>
      </c>
      <c r="J660" s="31" t="n">
        <v>4</v>
      </c>
      <c r="K660" s="31" t="s">
        <v>150</v>
      </c>
      <c r="L660" s="45" t="n">
        <f aca="false">DATE(YEAR(B660),MONTH(B660),1)</f>
        <v>46204</v>
      </c>
      <c r="M660" s="31" t="n">
        <f aca="false">WEEKDAY(B660,2)</f>
        <v>4</v>
      </c>
      <c r="N660" s="31" t="str">
        <f aca="false">IF(G660&lt;=INDEX(Assumptions!$B$15:$B$18,MATCH(E660,Assumptions!$A$15:$A$18,0)),"Yes","No")</f>
        <v>Yes</v>
      </c>
      <c r="O660" s="31" t="str">
        <f aca="false">IF(H660="","Open",IF(H660&lt;=INDEX(Assumptions!$C$15:$C$18,MATCH(E660,Assumptions!$A$15:$A$18,0)),"Yes","No"))</f>
        <v>Yes</v>
      </c>
    </row>
    <row r="661" customFormat="false" ht="15" hidden="false" customHeight="false" outlineLevel="0" collapsed="false">
      <c r="A661" s="31" t="s">
        <v>811</v>
      </c>
      <c r="B661" s="44" t="n">
        <v>46212</v>
      </c>
      <c r="C661" s="31" t="s">
        <v>58</v>
      </c>
      <c r="D661" s="31" t="s">
        <v>66</v>
      </c>
      <c r="E661" s="31" t="s">
        <v>51</v>
      </c>
      <c r="F661" s="31" t="s">
        <v>129</v>
      </c>
      <c r="G661" s="31" t="n">
        <v>3</v>
      </c>
      <c r="H661" s="41" t="n">
        <v>0.8</v>
      </c>
      <c r="I661" s="31" t="s">
        <v>149</v>
      </c>
      <c r="J661" s="31"/>
      <c r="K661" s="31" t="s">
        <v>150</v>
      </c>
      <c r="L661" s="45" t="n">
        <f aca="false">DATE(YEAR(B661),MONTH(B661),1)</f>
        <v>46204</v>
      </c>
      <c r="M661" s="31" t="n">
        <f aca="false">WEEKDAY(B661,2)</f>
        <v>4</v>
      </c>
      <c r="N661" s="31" t="str">
        <f aca="false">IF(G661&lt;=INDEX(Assumptions!$B$15:$B$18,MATCH(E661,Assumptions!$A$15:$A$18,0)),"Yes","No")</f>
        <v>Yes</v>
      </c>
      <c r="O661" s="31" t="str">
        <f aca="false">IF(H661="","Open",IF(H661&lt;=INDEX(Assumptions!$C$15:$C$18,MATCH(E661,Assumptions!$A$15:$A$18,0)),"Yes","No"))</f>
        <v>Yes</v>
      </c>
    </row>
    <row r="662" customFormat="false" ht="15" hidden="false" customHeight="false" outlineLevel="0" collapsed="false">
      <c r="A662" s="31" t="s">
        <v>812</v>
      </c>
      <c r="B662" s="44" t="n">
        <v>46212</v>
      </c>
      <c r="C662" s="31" t="s">
        <v>57</v>
      </c>
      <c r="D662" s="31" t="s">
        <v>68</v>
      </c>
      <c r="E662" s="31" t="s">
        <v>51</v>
      </c>
      <c r="F662" s="31" t="s">
        <v>120</v>
      </c>
      <c r="G662" s="31" t="n">
        <v>14</v>
      </c>
      <c r="H662" s="41" t="n">
        <v>2</v>
      </c>
      <c r="I662" s="31" t="s">
        <v>149</v>
      </c>
      <c r="J662" s="31" t="n">
        <v>4</v>
      </c>
      <c r="K662" s="31" t="s">
        <v>150</v>
      </c>
      <c r="L662" s="45" t="n">
        <f aca="false">DATE(YEAR(B662),MONTH(B662),1)</f>
        <v>46204</v>
      </c>
      <c r="M662" s="31" t="n">
        <f aca="false">WEEKDAY(B662,2)</f>
        <v>4</v>
      </c>
      <c r="N662" s="31" t="str">
        <f aca="false">IF(G662&lt;=INDEX(Assumptions!$B$15:$B$18,MATCH(E662,Assumptions!$A$15:$A$18,0)),"Yes","No")</f>
        <v>Yes</v>
      </c>
      <c r="O662" s="31" t="str">
        <f aca="false">IF(H662="","Open",IF(H662&lt;=INDEX(Assumptions!$C$15:$C$18,MATCH(E662,Assumptions!$A$15:$A$18,0)),"Yes","No"))</f>
        <v>Yes</v>
      </c>
    </row>
    <row r="663" customFormat="false" ht="15" hidden="false" customHeight="false" outlineLevel="0" collapsed="false">
      <c r="A663" s="31" t="s">
        <v>813</v>
      </c>
      <c r="B663" s="44" t="n">
        <v>46212</v>
      </c>
      <c r="C663" s="31" t="s">
        <v>58</v>
      </c>
      <c r="D663" s="31" t="s">
        <v>68</v>
      </c>
      <c r="E663" s="31" t="s">
        <v>50</v>
      </c>
      <c r="F663" s="31" t="s">
        <v>124</v>
      </c>
      <c r="G663" s="31" t="n">
        <v>22</v>
      </c>
      <c r="H663" s="41" t="n">
        <v>1.2</v>
      </c>
      <c r="I663" s="31" t="s">
        <v>149</v>
      </c>
      <c r="J663" s="31" t="n">
        <v>5</v>
      </c>
      <c r="K663" s="31" t="s">
        <v>150</v>
      </c>
      <c r="L663" s="45" t="n">
        <f aca="false">DATE(YEAR(B663),MONTH(B663),1)</f>
        <v>46204</v>
      </c>
      <c r="M663" s="31" t="n">
        <f aca="false">WEEKDAY(B663,2)</f>
        <v>4</v>
      </c>
      <c r="N663" s="31" t="str">
        <f aca="false">IF(G663&lt;=INDEX(Assumptions!$B$15:$B$18,MATCH(E663,Assumptions!$A$15:$A$18,0)),"Yes","No")</f>
        <v>Yes</v>
      </c>
      <c r="O663" s="31" t="str">
        <f aca="false">IF(H663="","Open",IF(H663&lt;=INDEX(Assumptions!$C$15:$C$18,MATCH(E663,Assumptions!$A$15:$A$18,0)),"Yes","No"))</f>
        <v>Yes</v>
      </c>
    </row>
    <row r="664" customFormat="false" ht="15" hidden="false" customHeight="false" outlineLevel="0" collapsed="false">
      <c r="A664" s="31" t="s">
        <v>814</v>
      </c>
      <c r="B664" s="44" t="n">
        <v>46212</v>
      </c>
      <c r="C664" s="31" t="s">
        <v>60</v>
      </c>
      <c r="D664" s="31" t="s">
        <v>66</v>
      </c>
      <c r="E664" s="31" t="s">
        <v>51</v>
      </c>
      <c r="F664" s="31" t="s">
        <v>123</v>
      </c>
      <c r="G664" s="31" t="n">
        <v>1</v>
      </c>
      <c r="H664" s="41" t="n">
        <v>2.4</v>
      </c>
      <c r="I664" s="31" t="s">
        <v>149</v>
      </c>
      <c r="J664" s="31"/>
      <c r="K664" s="31" t="s">
        <v>150</v>
      </c>
      <c r="L664" s="45" t="n">
        <f aca="false">DATE(YEAR(B664),MONTH(B664),1)</f>
        <v>46204</v>
      </c>
      <c r="M664" s="31" t="n">
        <f aca="false">WEEKDAY(B664,2)</f>
        <v>4</v>
      </c>
      <c r="N664" s="31" t="str">
        <f aca="false">IF(G664&lt;=INDEX(Assumptions!$B$15:$B$18,MATCH(E664,Assumptions!$A$15:$A$18,0)),"Yes","No")</f>
        <v>Yes</v>
      </c>
      <c r="O664" s="31" t="str">
        <f aca="false">IF(H664="","Open",IF(H664&lt;=INDEX(Assumptions!$C$15:$C$18,MATCH(E664,Assumptions!$A$15:$A$18,0)),"Yes","No"))</f>
        <v>Yes</v>
      </c>
    </row>
    <row r="665" customFormat="false" ht="15" hidden="false" customHeight="false" outlineLevel="0" collapsed="false">
      <c r="A665" s="31" t="s">
        <v>815</v>
      </c>
      <c r="B665" s="44" t="n">
        <v>46212</v>
      </c>
      <c r="C665" s="31" t="s">
        <v>60</v>
      </c>
      <c r="D665" s="31" t="s">
        <v>69</v>
      </c>
      <c r="E665" s="31" t="s">
        <v>50</v>
      </c>
      <c r="F665" s="31" t="s">
        <v>120</v>
      </c>
      <c r="G665" s="31" t="n">
        <v>3</v>
      </c>
      <c r="H665" s="41" t="n">
        <v>16.9</v>
      </c>
      <c r="I665" s="31" t="s">
        <v>149</v>
      </c>
      <c r="J665" s="31" t="n">
        <v>3</v>
      </c>
      <c r="K665" s="31" t="s">
        <v>150</v>
      </c>
      <c r="L665" s="45" t="n">
        <f aca="false">DATE(YEAR(B665),MONTH(B665),1)</f>
        <v>46204</v>
      </c>
      <c r="M665" s="31" t="n">
        <f aca="false">WEEKDAY(B665,2)</f>
        <v>4</v>
      </c>
      <c r="N665" s="31" t="str">
        <f aca="false">IF(G665&lt;=INDEX(Assumptions!$B$15:$B$18,MATCH(E665,Assumptions!$A$15:$A$18,0)),"Yes","No")</f>
        <v>Yes</v>
      </c>
      <c r="O665" s="31" t="str">
        <f aca="false">IF(H665="","Open",IF(H665&lt;=INDEX(Assumptions!$C$15:$C$18,MATCH(E665,Assumptions!$A$15:$A$18,0)),"Yes","No"))</f>
        <v>No</v>
      </c>
    </row>
    <row r="666" customFormat="false" ht="15" hidden="false" customHeight="false" outlineLevel="0" collapsed="false">
      <c r="A666" s="31" t="s">
        <v>816</v>
      </c>
      <c r="B666" s="44" t="n">
        <v>46213</v>
      </c>
      <c r="C666" s="31" t="s">
        <v>59</v>
      </c>
      <c r="D666" s="31" t="s">
        <v>65</v>
      </c>
      <c r="E666" s="31" t="s">
        <v>50</v>
      </c>
      <c r="F666" s="31" t="s">
        <v>117</v>
      </c>
      <c r="G666" s="31" t="n">
        <v>108</v>
      </c>
      <c r="H666" s="41" t="n">
        <v>1.6</v>
      </c>
      <c r="I666" s="31" t="s">
        <v>149</v>
      </c>
      <c r="J666" s="31" t="n">
        <v>5</v>
      </c>
      <c r="K666" s="31" t="s">
        <v>150</v>
      </c>
      <c r="L666" s="45" t="n">
        <f aca="false">DATE(YEAR(B666),MONTH(B666),1)</f>
        <v>46204</v>
      </c>
      <c r="M666" s="31" t="n">
        <f aca="false">WEEKDAY(B666,2)</f>
        <v>5</v>
      </c>
      <c r="N666" s="31" t="str">
        <f aca="false">IF(G666&lt;=INDEX(Assumptions!$B$15:$B$18,MATCH(E666,Assumptions!$A$15:$A$18,0)),"Yes","No")</f>
        <v>No</v>
      </c>
      <c r="O666" s="31" t="str">
        <f aca="false">IF(H666="","Open",IF(H666&lt;=INDEX(Assumptions!$C$15:$C$18,MATCH(E666,Assumptions!$A$15:$A$18,0)),"Yes","No"))</f>
        <v>Yes</v>
      </c>
    </row>
    <row r="667" customFormat="false" ht="15" hidden="false" customHeight="false" outlineLevel="0" collapsed="false">
      <c r="A667" s="31" t="s">
        <v>817</v>
      </c>
      <c r="B667" s="44" t="n">
        <v>46213</v>
      </c>
      <c r="C667" s="31" t="s">
        <v>57</v>
      </c>
      <c r="D667" s="31" t="s">
        <v>65</v>
      </c>
      <c r="E667" s="31" t="s">
        <v>51</v>
      </c>
      <c r="F667" s="31" t="s">
        <v>124</v>
      </c>
      <c r="G667" s="31" t="n">
        <v>1</v>
      </c>
      <c r="H667" s="41" t="n">
        <v>0.6</v>
      </c>
      <c r="I667" s="31" t="s">
        <v>149</v>
      </c>
      <c r="J667" s="31" t="n">
        <v>4</v>
      </c>
      <c r="K667" s="31" t="s">
        <v>150</v>
      </c>
      <c r="L667" s="45" t="n">
        <f aca="false">DATE(YEAR(B667),MONTH(B667),1)</f>
        <v>46204</v>
      </c>
      <c r="M667" s="31" t="n">
        <f aca="false">WEEKDAY(B667,2)</f>
        <v>5</v>
      </c>
      <c r="N667" s="31" t="str">
        <f aca="false">IF(G667&lt;=INDEX(Assumptions!$B$15:$B$18,MATCH(E667,Assumptions!$A$15:$A$18,0)),"Yes","No")</f>
        <v>Yes</v>
      </c>
      <c r="O667" s="31" t="str">
        <f aca="false">IF(H667="","Open",IF(H667&lt;=INDEX(Assumptions!$C$15:$C$18,MATCH(E667,Assumptions!$A$15:$A$18,0)),"Yes","No"))</f>
        <v>Yes</v>
      </c>
    </row>
    <row r="668" customFormat="false" ht="15" hidden="false" customHeight="false" outlineLevel="0" collapsed="false">
      <c r="A668" s="31" t="s">
        <v>818</v>
      </c>
      <c r="B668" s="44" t="n">
        <v>46213</v>
      </c>
      <c r="C668" s="31" t="s">
        <v>60</v>
      </c>
      <c r="D668" s="31" t="s">
        <v>67</v>
      </c>
      <c r="E668" s="31" t="s">
        <v>52</v>
      </c>
      <c r="F668" s="31" t="s">
        <v>120</v>
      </c>
      <c r="G668" s="31" t="n">
        <v>9</v>
      </c>
      <c r="H668" s="41" t="n">
        <v>16.2</v>
      </c>
      <c r="I668" s="31" t="s">
        <v>149</v>
      </c>
      <c r="J668" s="31"/>
      <c r="K668" s="31" t="s">
        <v>150</v>
      </c>
      <c r="L668" s="45" t="n">
        <f aca="false">DATE(YEAR(B668),MONTH(B668),1)</f>
        <v>46204</v>
      </c>
      <c r="M668" s="31" t="n">
        <f aca="false">WEEKDAY(B668,2)</f>
        <v>5</v>
      </c>
      <c r="N668" s="31" t="str">
        <f aca="false">IF(G668&lt;=INDEX(Assumptions!$B$15:$B$18,MATCH(E668,Assumptions!$A$15:$A$18,0)),"Yes","No")</f>
        <v>Yes</v>
      </c>
      <c r="O668" s="31" t="str">
        <f aca="false">IF(H668="","Open",IF(H668&lt;=INDEX(Assumptions!$C$15:$C$18,MATCH(E668,Assumptions!$A$15:$A$18,0)),"Yes","No"))</f>
        <v>Yes</v>
      </c>
    </row>
    <row r="669" customFormat="false" ht="15" hidden="false" customHeight="false" outlineLevel="0" collapsed="false">
      <c r="A669" s="31" t="s">
        <v>819</v>
      </c>
      <c r="B669" s="44" t="n">
        <v>46213</v>
      </c>
      <c r="C669" s="31" t="s">
        <v>60</v>
      </c>
      <c r="D669" s="31" t="s">
        <v>69</v>
      </c>
      <c r="E669" s="31" t="s">
        <v>51</v>
      </c>
      <c r="F669" s="31" t="s">
        <v>133</v>
      </c>
      <c r="G669" s="31" t="n">
        <v>2</v>
      </c>
      <c r="H669" s="41" t="n">
        <v>8.2</v>
      </c>
      <c r="I669" s="31" t="s">
        <v>149</v>
      </c>
      <c r="J669" s="31" t="n">
        <v>4</v>
      </c>
      <c r="K669" s="31" t="s">
        <v>153</v>
      </c>
      <c r="L669" s="45" t="n">
        <f aca="false">DATE(YEAR(B669),MONTH(B669),1)</f>
        <v>46204</v>
      </c>
      <c r="M669" s="31" t="n">
        <f aca="false">WEEKDAY(B669,2)</f>
        <v>5</v>
      </c>
      <c r="N669" s="31" t="str">
        <f aca="false">IF(G669&lt;=INDEX(Assumptions!$B$15:$B$18,MATCH(E669,Assumptions!$A$15:$A$18,0)),"Yes","No")</f>
        <v>Yes</v>
      </c>
      <c r="O669" s="31" t="str">
        <f aca="false">IF(H669="","Open",IF(H669&lt;=INDEX(Assumptions!$C$15:$C$18,MATCH(E669,Assumptions!$A$15:$A$18,0)),"Yes","No"))</f>
        <v>Yes</v>
      </c>
    </row>
    <row r="670" customFormat="false" ht="15" hidden="false" customHeight="false" outlineLevel="0" collapsed="false">
      <c r="A670" s="31" t="s">
        <v>820</v>
      </c>
      <c r="B670" s="44" t="n">
        <v>46213</v>
      </c>
      <c r="C670" s="31" t="s">
        <v>57</v>
      </c>
      <c r="D670" s="31" t="s">
        <v>65</v>
      </c>
      <c r="E670" s="31" t="s">
        <v>49</v>
      </c>
      <c r="F670" s="31" t="s">
        <v>134</v>
      </c>
      <c r="G670" s="31" t="n">
        <v>5</v>
      </c>
      <c r="H670" s="41" t="n">
        <v>10</v>
      </c>
      <c r="I670" s="31" t="s">
        <v>149</v>
      </c>
      <c r="J670" s="31" t="n">
        <v>5</v>
      </c>
      <c r="K670" s="31" t="s">
        <v>153</v>
      </c>
      <c r="L670" s="45" t="n">
        <f aca="false">DATE(YEAR(B670),MONTH(B670),1)</f>
        <v>46204</v>
      </c>
      <c r="M670" s="31" t="n">
        <f aca="false">WEEKDAY(B670,2)</f>
        <v>5</v>
      </c>
      <c r="N670" s="31" t="str">
        <f aca="false">IF(G670&lt;=INDEX(Assumptions!$B$15:$B$18,MATCH(E670,Assumptions!$A$15:$A$18,0)),"Yes","No")</f>
        <v>Yes</v>
      </c>
      <c r="O670" s="31" t="str">
        <f aca="false">IF(H670="","Open",IF(H670&lt;=INDEX(Assumptions!$C$15:$C$18,MATCH(E670,Assumptions!$A$15:$A$18,0)),"Yes","No"))</f>
        <v>No</v>
      </c>
    </row>
    <row r="671" customFormat="false" ht="15" hidden="false" customHeight="false" outlineLevel="0" collapsed="false">
      <c r="A671" s="31" t="s">
        <v>821</v>
      </c>
      <c r="B671" s="44" t="n">
        <v>46213</v>
      </c>
      <c r="C671" s="31" t="s">
        <v>60</v>
      </c>
      <c r="D671" s="31" t="s">
        <v>69</v>
      </c>
      <c r="E671" s="31" t="s">
        <v>51</v>
      </c>
      <c r="F671" s="31" t="s">
        <v>117</v>
      </c>
      <c r="G671" s="31" t="n">
        <v>1</v>
      </c>
      <c r="H671" s="41" t="n">
        <v>22.9</v>
      </c>
      <c r="I671" s="31" t="s">
        <v>149</v>
      </c>
      <c r="J671" s="31"/>
      <c r="K671" s="31" t="s">
        <v>150</v>
      </c>
      <c r="L671" s="45" t="n">
        <f aca="false">DATE(YEAR(B671),MONTH(B671),1)</f>
        <v>46204</v>
      </c>
      <c r="M671" s="31" t="n">
        <f aca="false">WEEKDAY(B671,2)</f>
        <v>5</v>
      </c>
      <c r="N671" s="31" t="str">
        <f aca="false">IF(G671&lt;=INDEX(Assumptions!$B$15:$B$18,MATCH(E671,Assumptions!$A$15:$A$18,0)),"Yes","No")</f>
        <v>Yes</v>
      </c>
      <c r="O671" s="31" t="str">
        <f aca="false">IF(H671="","Open",IF(H671&lt;=INDEX(Assumptions!$C$15:$C$18,MATCH(E671,Assumptions!$A$15:$A$18,0)),"Yes","No"))</f>
        <v>Yes</v>
      </c>
    </row>
    <row r="672" customFormat="false" ht="15" hidden="false" customHeight="false" outlineLevel="0" collapsed="false">
      <c r="A672" s="31" t="s">
        <v>822</v>
      </c>
      <c r="B672" s="44" t="n">
        <v>46213</v>
      </c>
      <c r="C672" s="31" t="s">
        <v>58</v>
      </c>
      <c r="D672" s="31" t="s">
        <v>67</v>
      </c>
      <c r="E672" s="31" t="s">
        <v>52</v>
      </c>
      <c r="F672" s="31" t="s">
        <v>133</v>
      </c>
      <c r="G672" s="31" t="n">
        <v>19</v>
      </c>
      <c r="H672" s="41" t="n">
        <v>123.7</v>
      </c>
      <c r="I672" s="31" t="s">
        <v>149</v>
      </c>
      <c r="J672" s="31"/>
      <c r="K672" s="31" t="s">
        <v>150</v>
      </c>
      <c r="L672" s="45" t="n">
        <f aca="false">DATE(YEAR(B672),MONTH(B672),1)</f>
        <v>46204</v>
      </c>
      <c r="M672" s="31" t="n">
        <f aca="false">WEEKDAY(B672,2)</f>
        <v>5</v>
      </c>
      <c r="N672" s="31" t="str">
        <f aca="false">IF(G672&lt;=INDEX(Assumptions!$B$15:$B$18,MATCH(E672,Assumptions!$A$15:$A$18,0)),"Yes","No")</f>
        <v>Yes</v>
      </c>
      <c r="O672" s="31" t="str">
        <f aca="false">IF(H672="","Open",IF(H672&lt;=INDEX(Assumptions!$C$15:$C$18,MATCH(E672,Assumptions!$A$15:$A$18,0)),"Yes","No"))</f>
        <v>No</v>
      </c>
    </row>
    <row r="673" customFormat="false" ht="15" hidden="false" customHeight="false" outlineLevel="0" collapsed="false">
      <c r="A673" s="31" t="s">
        <v>823</v>
      </c>
      <c r="B673" s="44" t="n">
        <v>46213</v>
      </c>
      <c r="C673" s="31" t="s">
        <v>59</v>
      </c>
      <c r="D673" s="31" t="s">
        <v>68</v>
      </c>
      <c r="E673" s="31" t="s">
        <v>52</v>
      </c>
      <c r="F673" s="31" t="s">
        <v>127</v>
      </c>
      <c r="G673" s="31" t="n">
        <v>47</v>
      </c>
      <c r="H673" s="41" t="n">
        <v>8.4</v>
      </c>
      <c r="I673" s="31" t="s">
        <v>149</v>
      </c>
      <c r="J673" s="31" t="n">
        <v>4</v>
      </c>
      <c r="K673" s="31" t="s">
        <v>150</v>
      </c>
      <c r="L673" s="45" t="n">
        <f aca="false">DATE(YEAR(B673),MONTH(B673),1)</f>
        <v>46204</v>
      </c>
      <c r="M673" s="31" t="n">
        <f aca="false">WEEKDAY(B673,2)</f>
        <v>5</v>
      </c>
      <c r="N673" s="31" t="str">
        <f aca="false">IF(G673&lt;=INDEX(Assumptions!$B$15:$B$18,MATCH(E673,Assumptions!$A$15:$A$18,0)),"Yes","No")</f>
        <v>Yes</v>
      </c>
      <c r="O673" s="31" t="str">
        <f aca="false">IF(H673="","Open",IF(H673&lt;=INDEX(Assumptions!$C$15:$C$18,MATCH(E673,Assumptions!$A$15:$A$18,0)),"Yes","No"))</f>
        <v>Yes</v>
      </c>
    </row>
    <row r="674" customFormat="false" ht="15" hidden="false" customHeight="false" outlineLevel="0" collapsed="false">
      <c r="A674" s="31" t="s">
        <v>824</v>
      </c>
      <c r="B674" s="44" t="n">
        <v>46213</v>
      </c>
      <c r="C674" s="31" t="s">
        <v>58</v>
      </c>
      <c r="D674" s="31" t="s">
        <v>65</v>
      </c>
      <c r="E674" s="31" t="s">
        <v>51</v>
      </c>
      <c r="F674" s="31" t="s">
        <v>133</v>
      </c>
      <c r="G674" s="31" t="n">
        <v>5</v>
      </c>
      <c r="H674" s="41" t="n">
        <v>31.9</v>
      </c>
      <c r="I674" s="31" t="s">
        <v>149</v>
      </c>
      <c r="J674" s="31" t="n">
        <v>4</v>
      </c>
      <c r="K674" s="31" t="s">
        <v>150</v>
      </c>
      <c r="L674" s="45" t="n">
        <f aca="false">DATE(YEAR(B674),MONTH(B674),1)</f>
        <v>46204</v>
      </c>
      <c r="M674" s="31" t="n">
        <f aca="false">WEEKDAY(B674,2)</f>
        <v>5</v>
      </c>
      <c r="N674" s="31" t="str">
        <f aca="false">IF(G674&lt;=INDEX(Assumptions!$B$15:$B$18,MATCH(E674,Assumptions!$A$15:$A$18,0)),"Yes","No")</f>
        <v>Yes</v>
      </c>
      <c r="O674" s="31" t="str">
        <f aca="false">IF(H674="","Open",IF(H674&lt;=INDEX(Assumptions!$C$15:$C$18,MATCH(E674,Assumptions!$A$15:$A$18,0)),"Yes","No"))</f>
        <v>No</v>
      </c>
    </row>
    <row r="675" customFormat="false" ht="15" hidden="false" customHeight="false" outlineLevel="0" collapsed="false">
      <c r="A675" s="31" t="s">
        <v>825</v>
      </c>
      <c r="B675" s="44" t="n">
        <v>46213</v>
      </c>
      <c r="C675" s="31" t="s">
        <v>60</v>
      </c>
      <c r="D675" s="31" t="s">
        <v>67</v>
      </c>
      <c r="E675" s="31" t="s">
        <v>51</v>
      </c>
      <c r="F675" s="31" t="s">
        <v>137</v>
      </c>
      <c r="G675" s="31" t="n">
        <v>4</v>
      </c>
      <c r="H675" s="41" t="n">
        <v>39.1</v>
      </c>
      <c r="I675" s="31" t="s">
        <v>149</v>
      </c>
      <c r="J675" s="31"/>
      <c r="K675" s="31" t="s">
        <v>150</v>
      </c>
      <c r="L675" s="45" t="n">
        <f aca="false">DATE(YEAR(B675),MONTH(B675),1)</f>
        <v>46204</v>
      </c>
      <c r="M675" s="31" t="n">
        <f aca="false">WEEKDAY(B675,2)</f>
        <v>5</v>
      </c>
      <c r="N675" s="31" t="str">
        <f aca="false">IF(G675&lt;=INDEX(Assumptions!$B$15:$B$18,MATCH(E675,Assumptions!$A$15:$A$18,0)),"Yes","No")</f>
        <v>Yes</v>
      </c>
      <c r="O675" s="31" t="str">
        <f aca="false">IF(H675="","Open",IF(H675&lt;=INDEX(Assumptions!$C$15:$C$18,MATCH(E675,Assumptions!$A$15:$A$18,0)),"Yes","No"))</f>
        <v>No</v>
      </c>
    </row>
    <row r="676" customFormat="false" ht="15" hidden="false" customHeight="false" outlineLevel="0" collapsed="false">
      <c r="A676" s="31" t="s">
        <v>826</v>
      </c>
      <c r="B676" s="44" t="n">
        <v>46213</v>
      </c>
      <c r="C676" s="31" t="s">
        <v>58</v>
      </c>
      <c r="D676" s="31" t="s">
        <v>65</v>
      </c>
      <c r="E676" s="31" t="s">
        <v>52</v>
      </c>
      <c r="F676" s="31" t="s">
        <v>121</v>
      </c>
      <c r="G676" s="31" t="n">
        <v>10</v>
      </c>
      <c r="H676" s="41" t="n">
        <v>20.3</v>
      </c>
      <c r="I676" s="31" t="s">
        <v>149</v>
      </c>
      <c r="J676" s="31" t="n">
        <v>3</v>
      </c>
      <c r="K676" s="31" t="s">
        <v>150</v>
      </c>
      <c r="L676" s="45" t="n">
        <f aca="false">DATE(YEAR(B676),MONTH(B676),1)</f>
        <v>46204</v>
      </c>
      <c r="M676" s="31" t="n">
        <f aca="false">WEEKDAY(B676,2)</f>
        <v>5</v>
      </c>
      <c r="N676" s="31" t="str">
        <f aca="false">IF(G676&lt;=INDEX(Assumptions!$B$15:$B$18,MATCH(E676,Assumptions!$A$15:$A$18,0)),"Yes","No")</f>
        <v>Yes</v>
      </c>
      <c r="O676" s="31" t="str">
        <f aca="false">IF(H676="","Open",IF(H676&lt;=INDEX(Assumptions!$C$15:$C$18,MATCH(E676,Assumptions!$A$15:$A$18,0)),"Yes","No"))</f>
        <v>Yes</v>
      </c>
    </row>
    <row r="677" customFormat="false" ht="15" hidden="false" customHeight="false" outlineLevel="0" collapsed="false">
      <c r="A677" s="31" t="s">
        <v>827</v>
      </c>
      <c r="B677" s="44" t="n">
        <v>46213</v>
      </c>
      <c r="C677" s="31" t="s">
        <v>57</v>
      </c>
      <c r="D677" s="31" t="s">
        <v>66</v>
      </c>
      <c r="E677" s="31" t="s">
        <v>51</v>
      </c>
      <c r="F677" s="31" t="s">
        <v>122</v>
      </c>
      <c r="G677" s="31" t="n">
        <v>1</v>
      </c>
      <c r="H677" s="41" t="n">
        <v>3.3</v>
      </c>
      <c r="I677" s="31" t="s">
        <v>149</v>
      </c>
      <c r="J677" s="31"/>
      <c r="K677" s="31" t="s">
        <v>150</v>
      </c>
      <c r="L677" s="45" t="n">
        <f aca="false">DATE(YEAR(B677),MONTH(B677),1)</f>
        <v>46204</v>
      </c>
      <c r="M677" s="31" t="n">
        <f aca="false">WEEKDAY(B677,2)</f>
        <v>5</v>
      </c>
      <c r="N677" s="31" t="str">
        <f aca="false">IF(G677&lt;=INDEX(Assumptions!$B$15:$B$18,MATCH(E677,Assumptions!$A$15:$A$18,0)),"Yes","No")</f>
        <v>Yes</v>
      </c>
      <c r="O677" s="31" t="str">
        <f aca="false">IF(H677="","Open",IF(H677&lt;=INDEX(Assumptions!$C$15:$C$18,MATCH(E677,Assumptions!$A$15:$A$18,0)),"Yes","No"))</f>
        <v>Yes</v>
      </c>
    </row>
    <row r="678" customFormat="false" ht="15" hidden="false" customHeight="false" outlineLevel="0" collapsed="false">
      <c r="A678" s="31" t="s">
        <v>828</v>
      </c>
      <c r="B678" s="44" t="n">
        <v>46213</v>
      </c>
      <c r="C678" s="31" t="s">
        <v>60</v>
      </c>
      <c r="D678" s="31" t="s">
        <v>65</v>
      </c>
      <c r="E678" s="31" t="s">
        <v>51</v>
      </c>
      <c r="F678" s="31" t="s">
        <v>133</v>
      </c>
      <c r="G678" s="31" t="n">
        <v>1</v>
      </c>
      <c r="H678" s="41" t="n">
        <v>11.8</v>
      </c>
      <c r="I678" s="31" t="s">
        <v>149</v>
      </c>
      <c r="J678" s="31"/>
      <c r="K678" s="31" t="s">
        <v>150</v>
      </c>
      <c r="L678" s="45" t="n">
        <f aca="false">DATE(YEAR(B678),MONTH(B678),1)</f>
        <v>46204</v>
      </c>
      <c r="M678" s="31" t="n">
        <f aca="false">WEEKDAY(B678,2)</f>
        <v>5</v>
      </c>
      <c r="N678" s="31" t="str">
        <f aca="false">IF(G678&lt;=INDEX(Assumptions!$B$15:$B$18,MATCH(E678,Assumptions!$A$15:$A$18,0)),"Yes","No")</f>
        <v>Yes</v>
      </c>
      <c r="O678" s="31" t="str">
        <f aca="false">IF(H678="","Open",IF(H678&lt;=INDEX(Assumptions!$C$15:$C$18,MATCH(E678,Assumptions!$A$15:$A$18,0)),"Yes","No"))</f>
        <v>Yes</v>
      </c>
    </row>
    <row r="679" customFormat="false" ht="15" hidden="false" customHeight="false" outlineLevel="0" collapsed="false">
      <c r="A679" s="31" t="s">
        <v>829</v>
      </c>
      <c r="B679" s="44" t="n">
        <v>46213</v>
      </c>
      <c r="C679" s="31" t="s">
        <v>58</v>
      </c>
      <c r="D679" s="31" t="s">
        <v>68</v>
      </c>
      <c r="E679" s="31" t="s">
        <v>51</v>
      </c>
      <c r="F679" s="31" t="s">
        <v>128</v>
      </c>
      <c r="G679" s="31" t="n">
        <v>10</v>
      </c>
      <c r="H679" s="41" t="n">
        <v>15.1</v>
      </c>
      <c r="I679" s="31" t="s">
        <v>149</v>
      </c>
      <c r="J679" s="31" t="n">
        <v>4</v>
      </c>
      <c r="K679" s="31" t="s">
        <v>150</v>
      </c>
      <c r="L679" s="45" t="n">
        <f aca="false">DATE(YEAR(B679),MONTH(B679),1)</f>
        <v>46204</v>
      </c>
      <c r="M679" s="31" t="n">
        <f aca="false">WEEKDAY(B679,2)</f>
        <v>5</v>
      </c>
      <c r="N679" s="31" t="str">
        <f aca="false">IF(G679&lt;=INDEX(Assumptions!$B$15:$B$18,MATCH(E679,Assumptions!$A$15:$A$18,0)),"Yes","No")</f>
        <v>Yes</v>
      </c>
      <c r="O679" s="31" t="str">
        <f aca="false">IF(H679="","Open",IF(H679&lt;=INDEX(Assumptions!$C$15:$C$18,MATCH(E679,Assumptions!$A$15:$A$18,0)),"Yes","No"))</f>
        <v>Yes</v>
      </c>
    </row>
    <row r="680" customFormat="false" ht="15" hidden="false" customHeight="false" outlineLevel="0" collapsed="false">
      <c r="A680" s="31" t="s">
        <v>830</v>
      </c>
      <c r="B680" s="44" t="n">
        <v>46213</v>
      </c>
      <c r="C680" s="31" t="s">
        <v>58</v>
      </c>
      <c r="D680" s="31" t="s">
        <v>65</v>
      </c>
      <c r="E680" s="31" t="s">
        <v>52</v>
      </c>
      <c r="F680" s="31" t="s">
        <v>122</v>
      </c>
      <c r="G680" s="31" t="n">
        <v>9</v>
      </c>
      <c r="H680" s="41" t="n">
        <v>37</v>
      </c>
      <c r="I680" s="31" t="s">
        <v>149</v>
      </c>
      <c r="J680" s="31" t="n">
        <v>4</v>
      </c>
      <c r="K680" s="31" t="s">
        <v>150</v>
      </c>
      <c r="L680" s="45" t="n">
        <f aca="false">DATE(YEAR(B680),MONTH(B680),1)</f>
        <v>46204</v>
      </c>
      <c r="M680" s="31" t="n">
        <f aca="false">WEEKDAY(B680,2)</f>
        <v>5</v>
      </c>
      <c r="N680" s="31" t="str">
        <f aca="false">IF(G680&lt;=INDEX(Assumptions!$B$15:$B$18,MATCH(E680,Assumptions!$A$15:$A$18,0)),"Yes","No")</f>
        <v>Yes</v>
      </c>
      <c r="O680" s="31" t="str">
        <f aca="false">IF(H680="","Open",IF(H680&lt;=INDEX(Assumptions!$C$15:$C$18,MATCH(E680,Assumptions!$A$15:$A$18,0)),"Yes","No"))</f>
        <v>Yes</v>
      </c>
    </row>
    <row r="681" customFormat="false" ht="15" hidden="false" customHeight="false" outlineLevel="0" collapsed="false">
      <c r="A681" s="31" t="s">
        <v>831</v>
      </c>
      <c r="B681" s="44" t="n">
        <v>46213</v>
      </c>
      <c r="C681" s="31" t="s">
        <v>59</v>
      </c>
      <c r="D681" s="31" t="s">
        <v>66</v>
      </c>
      <c r="E681" s="31" t="s">
        <v>50</v>
      </c>
      <c r="F681" s="31" t="s">
        <v>131</v>
      </c>
      <c r="G681" s="31" t="n">
        <v>48</v>
      </c>
      <c r="H681" s="41" t="n">
        <v>1.4</v>
      </c>
      <c r="I681" s="31" t="s">
        <v>149</v>
      </c>
      <c r="J681" s="31" t="n">
        <v>5</v>
      </c>
      <c r="K681" s="31" t="s">
        <v>150</v>
      </c>
      <c r="L681" s="45" t="n">
        <f aca="false">DATE(YEAR(B681),MONTH(B681),1)</f>
        <v>46204</v>
      </c>
      <c r="M681" s="31" t="n">
        <f aca="false">WEEKDAY(B681,2)</f>
        <v>5</v>
      </c>
      <c r="N681" s="31" t="str">
        <f aca="false">IF(G681&lt;=INDEX(Assumptions!$B$15:$B$18,MATCH(E681,Assumptions!$A$15:$A$18,0)),"Yes","No")</f>
        <v>No</v>
      </c>
      <c r="O681" s="31" t="str">
        <f aca="false">IF(H681="","Open",IF(H681&lt;=INDEX(Assumptions!$C$15:$C$18,MATCH(E681,Assumptions!$A$15:$A$18,0)),"Yes","No"))</f>
        <v>Yes</v>
      </c>
    </row>
    <row r="682" customFormat="false" ht="15" hidden="false" customHeight="false" outlineLevel="0" collapsed="false">
      <c r="A682" s="31" t="s">
        <v>832</v>
      </c>
      <c r="B682" s="44" t="n">
        <v>46213</v>
      </c>
      <c r="C682" s="31" t="s">
        <v>59</v>
      </c>
      <c r="D682" s="31" t="s">
        <v>65</v>
      </c>
      <c r="E682" s="31" t="s">
        <v>52</v>
      </c>
      <c r="F682" s="31" t="s">
        <v>120</v>
      </c>
      <c r="G682" s="31" t="n">
        <v>387</v>
      </c>
      <c r="H682" s="41" t="n">
        <v>21.2</v>
      </c>
      <c r="I682" s="31" t="s">
        <v>149</v>
      </c>
      <c r="J682" s="31" t="n">
        <v>5</v>
      </c>
      <c r="K682" s="31" t="s">
        <v>150</v>
      </c>
      <c r="L682" s="45" t="n">
        <f aca="false">DATE(YEAR(B682),MONTH(B682),1)</f>
        <v>46204</v>
      </c>
      <c r="M682" s="31" t="n">
        <f aca="false">WEEKDAY(B682,2)</f>
        <v>5</v>
      </c>
      <c r="N682" s="31" t="str">
        <f aca="false">IF(G682&lt;=INDEX(Assumptions!$B$15:$B$18,MATCH(E682,Assumptions!$A$15:$A$18,0)),"Yes","No")</f>
        <v>No</v>
      </c>
      <c r="O682" s="31" t="str">
        <f aca="false">IF(H682="","Open",IF(H682&lt;=INDEX(Assumptions!$C$15:$C$18,MATCH(E682,Assumptions!$A$15:$A$18,0)),"Yes","No"))</f>
        <v>Yes</v>
      </c>
    </row>
    <row r="683" customFormat="false" ht="15" hidden="false" customHeight="false" outlineLevel="0" collapsed="false">
      <c r="A683" s="31" t="s">
        <v>833</v>
      </c>
      <c r="B683" s="44" t="n">
        <v>46213</v>
      </c>
      <c r="C683" s="31" t="s">
        <v>58</v>
      </c>
      <c r="D683" s="31" t="s">
        <v>65</v>
      </c>
      <c r="E683" s="31" t="s">
        <v>52</v>
      </c>
      <c r="F683" s="31" t="s">
        <v>134</v>
      </c>
      <c r="G683" s="31" t="n">
        <v>28</v>
      </c>
      <c r="H683" s="41" t="n">
        <v>22.7</v>
      </c>
      <c r="I683" s="31" t="s">
        <v>149</v>
      </c>
      <c r="J683" s="31" t="n">
        <v>5</v>
      </c>
      <c r="K683" s="31" t="s">
        <v>150</v>
      </c>
      <c r="L683" s="45" t="n">
        <f aca="false">DATE(YEAR(B683),MONTH(B683),1)</f>
        <v>46204</v>
      </c>
      <c r="M683" s="31" t="n">
        <f aca="false">WEEKDAY(B683,2)</f>
        <v>5</v>
      </c>
      <c r="N683" s="31" t="str">
        <f aca="false">IF(G683&lt;=INDEX(Assumptions!$B$15:$B$18,MATCH(E683,Assumptions!$A$15:$A$18,0)),"Yes","No")</f>
        <v>Yes</v>
      </c>
      <c r="O683" s="31" t="str">
        <f aca="false">IF(H683="","Open",IF(H683&lt;=INDEX(Assumptions!$C$15:$C$18,MATCH(E683,Assumptions!$A$15:$A$18,0)),"Yes","No"))</f>
        <v>Yes</v>
      </c>
    </row>
    <row r="684" customFormat="false" ht="15" hidden="false" customHeight="false" outlineLevel="0" collapsed="false">
      <c r="A684" s="31" t="s">
        <v>834</v>
      </c>
      <c r="B684" s="44" t="n">
        <v>46213</v>
      </c>
      <c r="C684" s="31" t="s">
        <v>59</v>
      </c>
      <c r="D684" s="31" t="s">
        <v>65</v>
      </c>
      <c r="E684" s="31" t="s">
        <v>50</v>
      </c>
      <c r="F684" s="31" t="s">
        <v>119</v>
      </c>
      <c r="G684" s="31" t="n">
        <v>28</v>
      </c>
      <c r="H684" s="41" t="n">
        <v>7.5</v>
      </c>
      <c r="I684" s="31" t="s">
        <v>149</v>
      </c>
      <c r="J684" s="31" t="n">
        <v>5</v>
      </c>
      <c r="K684" s="31" t="s">
        <v>150</v>
      </c>
      <c r="L684" s="45" t="n">
        <f aca="false">DATE(YEAR(B684),MONTH(B684),1)</f>
        <v>46204</v>
      </c>
      <c r="M684" s="31" t="n">
        <f aca="false">WEEKDAY(B684,2)</f>
        <v>5</v>
      </c>
      <c r="N684" s="31" t="str">
        <f aca="false">IF(G684&lt;=INDEX(Assumptions!$B$15:$B$18,MATCH(E684,Assumptions!$A$15:$A$18,0)),"Yes","No")</f>
        <v>Yes</v>
      </c>
      <c r="O684" s="31" t="str">
        <f aca="false">IF(H684="","Open",IF(H684&lt;=INDEX(Assumptions!$C$15:$C$18,MATCH(E684,Assumptions!$A$15:$A$18,0)),"Yes","No"))</f>
        <v>Yes</v>
      </c>
    </row>
    <row r="685" customFormat="false" ht="15" hidden="false" customHeight="false" outlineLevel="0" collapsed="false">
      <c r="A685" s="31" t="s">
        <v>835</v>
      </c>
      <c r="B685" s="44" t="n">
        <v>46213</v>
      </c>
      <c r="C685" s="31" t="s">
        <v>57</v>
      </c>
      <c r="D685" s="31" t="s">
        <v>66</v>
      </c>
      <c r="E685" s="31" t="s">
        <v>52</v>
      </c>
      <c r="F685" s="31" t="s">
        <v>119</v>
      </c>
      <c r="G685" s="31" t="n">
        <v>9</v>
      </c>
      <c r="H685" s="41" t="n">
        <v>4.6</v>
      </c>
      <c r="I685" s="31" t="s">
        <v>149</v>
      </c>
      <c r="J685" s="31"/>
      <c r="K685" s="31" t="s">
        <v>150</v>
      </c>
      <c r="L685" s="45" t="n">
        <f aca="false">DATE(YEAR(B685),MONTH(B685),1)</f>
        <v>46204</v>
      </c>
      <c r="M685" s="31" t="n">
        <f aca="false">WEEKDAY(B685,2)</f>
        <v>5</v>
      </c>
      <c r="N685" s="31" t="str">
        <f aca="false">IF(G685&lt;=INDEX(Assumptions!$B$15:$B$18,MATCH(E685,Assumptions!$A$15:$A$18,0)),"Yes","No")</f>
        <v>Yes</v>
      </c>
      <c r="O685" s="31" t="str">
        <f aca="false">IF(H685="","Open",IF(H685&lt;=INDEX(Assumptions!$C$15:$C$18,MATCH(E685,Assumptions!$A$15:$A$18,0)),"Yes","No"))</f>
        <v>Yes</v>
      </c>
    </row>
    <row r="686" customFormat="false" ht="15" hidden="false" customHeight="false" outlineLevel="0" collapsed="false">
      <c r="A686" s="31" t="s">
        <v>836</v>
      </c>
      <c r="B686" s="44" t="n">
        <v>46213</v>
      </c>
      <c r="C686" s="31" t="s">
        <v>58</v>
      </c>
      <c r="D686" s="31" t="s">
        <v>67</v>
      </c>
      <c r="E686" s="31" t="s">
        <v>49</v>
      </c>
      <c r="F686" s="31" t="s">
        <v>133</v>
      </c>
      <c r="G686" s="31" t="n">
        <v>4</v>
      </c>
      <c r="H686" s="41" t="n">
        <v>4.4</v>
      </c>
      <c r="I686" s="31" t="s">
        <v>149</v>
      </c>
      <c r="J686" s="31" t="n">
        <v>4</v>
      </c>
      <c r="K686" s="31" t="s">
        <v>150</v>
      </c>
      <c r="L686" s="45" t="n">
        <f aca="false">DATE(YEAR(B686),MONTH(B686),1)</f>
        <v>46204</v>
      </c>
      <c r="M686" s="31" t="n">
        <f aca="false">WEEKDAY(B686,2)</f>
        <v>5</v>
      </c>
      <c r="N686" s="31" t="str">
        <f aca="false">IF(G686&lt;=INDEX(Assumptions!$B$15:$B$18,MATCH(E686,Assumptions!$A$15:$A$18,0)),"Yes","No")</f>
        <v>Yes</v>
      </c>
      <c r="O686" s="31" t="str">
        <f aca="false">IF(H686="","Open",IF(H686&lt;=INDEX(Assumptions!$C$15:$C$18,MATCH(E686,Assumptions!$A$15:$A$18,0)),"Yes","No"))</f>
        <v>No</v>
      </c>
    </row>
    <row r="687" customFormat="false" ht="15" hidden="false" customHeight="false" outlineLevel="0" collapsed="false">
      <c r="A687" s="31" t="s">
        <v>837</v>
      </c>
      <c r="B687" s="44" t="n">
        <v>46213</v>
      </c>
      <c r="C687" s="31" t="s">
        <v>59</v>
      </c>
      <c r="D687" s="31" t="s">
        <v>68</v>
      </c>
      <c r="E687" s="31" t="s">
        <v>52</v>
      </c>
      <c r="F687" s="31" t="s">
        <v>126</v>
      </c>
      <c r="G687" s="31" t="n">
        <v>184</v>
      </c>
      <c r="H687" s="41" t="n">
        <v>2.6</v>
      </c>
      <c r="I687" s="31" t="s">
        <v>149</v>
      </c>
      <c r="J687" s="31" t="n">
        <v>5</v>
      </c>
      <c r="K687" s="31" t="s">
        <v>150</v>
      </c>
      <c r="L687" s="45" t="n">
        <f aca="false">DATE(YEAR(B687),MONTH(B687),1)</f>
        <v>46204</v>
      </c>
      <c r="M687" s="31" t="n">
        <f aca="false">WEEKDAY(B687,2)</f>
        <v>5</v>
      </c>
      <c r="N687" s="31" t="str">
        <f aca="false">IF(G687&lt;=INDEX(Assumptions!$B$15:$B$18,MATCH(E687,Assumptions!$A$15:$A$18,0)),"Yes","No")</f>
        <v>Yes</v>
      </c>
      <c r="O687" s="31" t="str">
        <f aca="false">IF(H687="","Open",IF(H687&lt;=INDEX(Assumptions!$C$15:$C$18,MATCH(E687,Assumptions!$A$15:$A$18,0)),"Yes","No"))</f>
        <v>Yes</v>
      </c>
    </row>
    <row r="688" customFormat="false" ht="15" hidden="false" customHeight="false" outlineLevel="0" collapsed="false">
      <c r="A688" s="31" t="s">
        <v>838</v>
      </c>
      <c r="B688" s="44" t="n">
        <v>46213</v>
      </c>
      <c r="C688" s="31" t="s">
        <v>58</v>
      </c>
      <c r="D688" s="31" t="s">
        <v>65</v>
      </c>
      <c r="E688" s="31" t="s">
        <v>51</v>
      </c>
      <c r="F688" s="31" t="s">
        <v>123</v>
      </c>
      <c r="G688" s="31" t="n">
        <v>20</v>
      </c>
      <c r="H688" s="41" t="n">
        <v>8.8</v>
      </c>
      <c r="I688" s="31" t="s">
        <v>64</v>
      </c>
      <c r="J688" s="31" t="n">
        <v>3</v>
      </c>
      <c r="K688" s="31" t="s">
        <v>150</v>
      </c>
      <c r="L688" s="45" t="n">
        <f aca="false">DATE(YEAR(B688),MONTH(B688),1)</f>
        <v>46204</v>
      </c>
      <c r="M688" s="31" t="n">
        <f aca="false">WEEKDAY(B688,2)</f>
        <v>5</v>
      </c>
      <c r="N688" s="31" t="str">
        <f aca="false">IF(G688&lt;=INDEX(Assumptions!$B$15:$B$18,MATCH(E688,Assumptions!$A$15:$A$18,0)),"Yes","No")</f>
        <v>Yes</v>
      </c>
      <c r="O688" s="31" t="str">
        <f aca="false">IF(H688="","Open",IF(H688&lt;=INDEX(Assumptions!$C$15:$C$18,MATCH(E688,Assumptions!$A$15:$A$18,0)),"Yes","No"))</f>
        <v>Yes</v>
      </c>
    </row>
    <row r="689" customFormat="false" ht="15" hidden="false" customHeight="false" outlineLevel="0" collapsed="false">
      <c r="A689" s="31" t="s">
        <v>839</v>
      </c>
      <c r="B689" s="44" t="n">
        <v>46213</v>
      </c>
      <c r="C689" s="31" t="s">
        <v>58</v>
      </c>
      <c r="D689" s="31" t="s">
        <v>65</v>
      </c>
      <c r="E689" s="31" t="s">
        <v>52</v>
      </c>
      <c r="F689" s="31" t="s">
        <v>137</v>
      </c>
      <c r="G689" s="31" t="n">
        <v>12</v>
      </c>
      <c r="H689" s="41" t="n">
        <v>21.2</v>
      </c>
      <c r="I689" s="31" t="s">
        <v>64</v>
      </c>
      <c r="J689" s="31" t="n">
        <v>3</v>
      </c>
      <c r="K689" s="31" t="s">
        <v>150</v>
      </c>
      <c r="L689" s="45" t="n">
        <f aca="false">DATE(YEAR(B689),MONTH(B689),1)</f>
        <v>46204</v>
      </c>
      <c r="M689" s="31" t="n">
        <f aca="false">WEEKDAY(B689,2)</f>
        <v>5</v>
      </c>
      <c r="N689" s="31" t="str">
        <f aca="false">IF(G689&lt;=INDEX(Assumptions!$B$15:$B$18,MATCH(E689,Assumptions!$A$15:$A$18,0)),"Yes","No")</f>
        <v>Yes</v>
      </c>
      <c r="O689" s="31" t="str">
        <f aca="false">IF(H689="","Open",IF(H689&lt;=INDEX(Assumptions!$C$15:$C$18,MATCH(E689,Assumptions!$A$15:$A$18,0)),"Yes","No"))</f>
        <v>Yes</v>
      </c>
    </row>
    <row r="690" customFormat="false" ht="15" hidden="false" customHeight="false" outlineLevel="0" collapsed="false">
      <c r="A690" s="31" t="s">
        <v>840</v>
      </c>
      <c r="B690" s="44" t="n">
        <v>46213</v>
      </c>
      <c r="C690" s="31" t="s">
        <v>60</v>
      </c>
      <c r="D690" s="31" t="s">
        <v>68</v>
      </c>
      <c r="E690" s="31" t="s">
        <v>52</v>
      </c>
      <c r="F690" s="31" t="s">
        <v>124</v>
      </c>
      <c r="G690" s="31" t="n">
        <v>2</v>
      </c>
      <c r="H690" s="41"/>
      <c r="I690" s="31" t="s">
        <v>158</v>
      </c>
      <c r="J690" s="31"/>
      <c r="K690" s="31" t="s">
        <v>150</v>
      </c>
      <c r="L690" s="45" t="n">
        <f aca="false">DATE(YEAR(B690),MONTH(B690),1)</f>
        <v>46204</v>
      </c>
      <c r="M690" s="31" t="n">
        <f aca="false">WEEKDAY(B690,2)</f>
        <v>5</v>
      </c>
      <c r="N690" s="31" t="str">
        <f aca="false">IF(G690&lt;=INDEX(Assumptions!$B$15:$B$18,MATCH(E690,Assumptions!$A$15:$A$18,0)),"Yes","No")</f>
        <v>Yes</v>
      </c>
      <c r="O690" s="31" t="str">
        <f aca="false">IF(H690="","Open",IF(H690&lt;=INDEX(Assumptions!$C$15:$C$18,MATCH(E690,Assumptions!$A$15:$A$18,0)),"Yes","No"))</f>
        <v>Open</v>
      </c>
    </row>
    <row r="691" customFormat="false" ht="15" hidden="false" customHeight="false" outlineLevel="0" collapsed="false">
      <c r="A691" s="31" t="s">
        <v>841</v>
      </c>
      <c r="B691" s="44" t="n">
        <v>46213</v>
      </c>
      <c r="C691" s="31" t="s">
        <v>60</v>
      </c>
      <c r="D691" s="31" t="s">
        <v>65</v>
      </c>
      <c r="E691" s="31" t="s">
        <v>51</v>
      </c>
      <c r="F691" s="31" t="s">
        <v>124</v>
      </c>
      <c r="G691" s="31" t="n">
        <v>1</v>
      </c>
      <c r="H691" s="41" t="n">
        <v>18.3</v>
      </c>
      <c r="I691" s="31" t="s">
        <v>149</v>
      </c>
      <c r="J691" s="31"/>
      <c r="K691" s="31" t="s">
        <v>153</v>
      </c>
      <c r="L691" s="45" t="n">
        <f aca="false">DATE(YEAR(B691),MONTH(B691),1)</f>
        <v>46204</v>
      </c>
      <c r="M691" s="31" t="n">
        <f aca="false">WEEKDAY(B691,2)</f>
        <v>5</v>
      </c>
      <c r="N691" s="31" t="str">
        <f aca="false">IF(G691&lt;=INDEX(Assumptions!$B$15:$B$18,MATCH(E691,Assumptions!$A$15:$A$18,0)),"Yes","No")</f>
        <v>Yes</v>
      </c>
      <c r="O691" s="31" t="str">
        <f aca="false">IF(H691="","Open",IF(H691&lt;=INDEX(Assumptions!$C$15:$C$18,MATCH(E691,Assumptions!$A$15:$A$18,0)),"Yes","No"))</f>
        <v>Yes</v>
      </c>
    </row>
    <row r="692" customFormat="false" ht="15" hidden="false" customHeight="false" outlineLevel="0" collapsed="false">
      <c r="A692" s="31" t="s">
        <v>842</v>
      </c>
      <c r="B692" s="44" t="n">
        <v>46213</v>
      </c>
      <c r="C692" s="31" t="s">
        <v>57</v>
      </c>
      <c r="D692" s="31" t="s">
        <v>65</v>
      </c>
      <c r="E692" s="31" t="s">
        <v>51</v>
      </c>
      <c r="F692" s="31" t="s">
        <v>137</v>
      </c>
      <c r="G692" s="31" t="n">
        <v>6</v>
      </c>
      <c r="H692" s="41" t="n">
        <v>10.4</v>
      </c>
      <c r="I692" s="31" t="s">
        <v>149</v>
      </c>
      <c r="J692" s="31" t="n">
        <v>5</v>
      </c>
      <c r="K692" s="31" t="s">
        <v>150</v>
      </c>
      <c r="L692" s="45" t="n">
        <f aca="false">DATE(YEAR(B692),MONTH(B692),1)</f>
        <v>46204</v>
      </c>
      <c r="M692" s="31" t="n">
        <f aca="false">WEEKDAY(B692,2)</f>
        <v>5</v>
      </c>
      <c r="N692" s="31" t="str">
        <f aca="false">IF(G692&lt;=INDEX(Assumptions!$B$15:$B$18,MATCH(E692,Assumptions!$A$15:$A$18,0)),"Yes","No")</f>
        <v>Yes</v>
      </c>
      <c r="O692" s="31" t="str">
        <f aca="false">IF(H692="","Open",IF(H692&lt;=INDEX(Assumptions!$C$15:$C$18,MATCH(E692,Assumptions!$A$15:$A$18,0)),"Yes","No"))</f>
        <v>Yes</v>
      </c>
    </row>
    <row r="693" customFormat="false" ht="15" hidden="false" customHeight="false" outlineLevel="0" collapsed="false">
      <c r="A693" s="31" t="s">
        <v>843</v>
      </c>
      <c r="B693" s="44" t="n">
        <v>46213</v>
      </c>
      <c r="C693" s="31" t="s">
        <v>58</v>
      </c>
      <c r="D693" s="31" t="s">
        <v>66</v>
      </c>
      <c r="E693" s="31" t="s">
        <v>51</v>
      </c>
      <c r="F693" s="31" t="s">
        <v>129</v>
      </c>
      <c r="G693" s="31" t="n">
        <v>9</v>
      </c>
      <c r="H693" s="41" t="n">
        <v>8.8</v>
      </c>
      <c r="I693" s="31" t="s">
        <v>149</v>
      </c>
      <c r="J693" s="31"/>
      <c r="K693" s="31" t="s">
        <v>150</v>
      </c>
      <c r="L693" s="45" t="n">
        <f aca="false">DATE(YEAR(B693),MONTH(B693),1)</f>
        <v>46204</v>
      </c>
      <c r="M693" s="31" t="n">
        <f aca="false">WEEKDAY(B693,2)</f>
        <v>5</v>
      </c>
      <c r="N693" s="31" t="str">
        <f aca="false">IF(G693&lt;=INDEX(Assumptions!$B$15:$B$18,MATCH(E693,Assumptions!$A$15:$A$18,0)),"Yes","No")</f>
        <v>Yes</v>
      </c>
      <c r="O693" s="31" t="str">
        <f aca="false">IF(H693="","Open",IF(H693&lt;=INDEX(Assumptions!$C$15:$C$18,MATCH(E693,Assumptions!$A$15:$A$18,0)),"Yes","No"))</f>
        <v>Yes</v>
      </c>
    </row>
    <row r="694" customFormat="false" ht="15" hidden="false" customHeight="false" outlineLevel="0" collapsed="false">
      <c r="A694" s="31" t="s">
        <v>844</v>
      </c>
      <c r="B694" s="44" t="n">
        <v>46213</v>
      </c>
      <c r="C694" s="31" t="s">
        <v>57</v>
      </c>
      <c r="D694" s="31" t="s">
        <v>67</v>
      </c>
      <c r="E694" s="31" t="s">
        <v>50</v>
      </c>
      <c r="F694" s="31" t="s">
        <v>127</v>
      </c>
      <c r="G694" s="31" t="n">
        <v>4</v>
      </c>
      <c r="H694" s="41" t="n">
        <v>9.2</v>
      </c>
      <c r="I694" s="31" t="s">
        <v>149</v>
      </c>
      <c r="J694" s="31" t="n">
        <v>4</v>
      </c>
      <c r="K694" s="31" t="s">
        <v>150</v>
      </c>
      <c r="L694" s="45" t="n">
        <f aca="false">DATE(YEAR(B694),MONTH(B694),1)</f>
        <v>46204</v>
      </c>
      <c r="M694" s="31" t="n">
        <f aca="false">WEEKDAY(B694,2)</f>
        <v>5</v>
      </c>
      <c r="N694" s="31" t="str">
        <f aca="false">IF(G694&lt;=INDEX(Assumptions!$B$15:$B$18,MATCH(E694,Assumptions!$A$15:$A$18,0)),"Yes","No")</f>
        <v>Yes</v>
      </c>
      <c r="O694" s="31" t="str">
        <f aca="false">IF(H694="","Open",IF(H694&lt;=INDEX(Assumptions!$C$15:$C$18,MATCH(E694,Assumptions!$A$15:$A$18,0)),"Yes","No"))</f>
        <v>No</v>
      </c>
    </row>
    <row r="695" customFormat="false" ht="15" hidden="false" customHeight="false" outlineLevel="0" collapsed="false">
      <c r="A695" s="31" t="s">
        <v>845</v>
      </c>
      <c r="B695" s="44" t="n">
        <v>46213</v>
      </c>
      <c r="C695" s="31" t="s">
        <v>58</v>
      </c>
      <c r="D695" s="31" t="s">
        <v>65</v>
      </c>
      <c r="E695" s="31" t="s">
        <v>51</v>
      </c>
      <c r="F695" s="31" t="s">
        <v>131</v>
      </c>
      <c r="G695" s="31" t="n">
        <v>2</v>
      </c>
      <c r="H695" s="41" t="n">
        <v>3.4</v>
      </c>
      <c r="I695" s="31" t="s">
        <v>149</v>
      </c>
      <c r="J695" s="31" t="n">
        <v>5</v>
      </c>
      <c r="K695" s="31" t="s">
        <v>150</v>
      </c>
      <c r="L695" s="45" t="n">
        <f aca="false">DATE(YEAR(B695),MONTH(B695),1)</f>
        <v>46204</v>
      </c>
      <c r="M695" s="31" t="n">
        <f aca="false">WEEKDAY(B695,2)</f>
        <v>5</v>
      </c>
      <c r="N695" s="31" t="str">
        <f aca="false">IF(G695&lt;=INDEX(Assumptions!$B$15:$B$18,MATCH(E695,Assumptions!$A$15:$A$18,0)),"Yes","No")</f>
        <v>Yes</v>
      </c>
      <c r="O695" s="31" t="str">
        <f aca="false">IF(H695="","Open",IF(H695&lt;=INDEX(Assumptions!$C$15:$C$18,MATCH(E695,Assumptions!$A$15:$A$18,0)),"Yes","No"))</f>
        <v>Yes</v>
      </c>
    </row>
    <row r="696" customFormat="false" ht="15" hidden="false" customHeight="false" outlineLevel="0" collapsed="false">
      <c r="A696" s="31" t="s">
        <v>846</v>
      </c>
      <c r="B696" s="44" t="n">
        <v>46213</v>
      </c>
      <c r="C696" s="31" t="s">
        <v>59</v>
      </c>
      <c r="D696" s="31" t="s">
        <v>69</v>
      </c>
      <c r="E696" s="31" t="s">
        <v>51</v>
      </c>
      <c r="F696" s="31" t="s">
        <v>128</v>
      </c>
      <c r="G696" s="31" t="n">
        <v>99</v>
      </c>
      <c r="H696" s="41" t="n">
        <v>179.2</v>
      </c>
      <c r="I696" s="31" t="s">
        <v>149</v>
      </c>
      <c r="J696" s="31" t="n">
        <v>1</v>
      </c>
      <c r="K696" s="31" t="s">
        <v>150</v>
      </c>
      <c r="L696" s="45" t="n">
        <f aca="false">DATE(YEAR(B696),MONTH(B696),1)</f>
        <v>46204</v>
      </c>
      <c r="M696" s="31" t="n">
        <f aca="false">WEEKDAY(B696,2)</f>
        <v>5</v>
      </c>
      <c r="N696" s="31" t="str">
        <f aca="false">IF(G696&lt;=INDEX(Assumptions!$B$15:$B$18,MATCH(E696,Assumptions!$A$15:$A$18,0)),"Yes","No")</f>
        <v>No</v>
      </c>
      <c r="O696" s="31" t="str">
        <f aca="false">IF(H696="","Open",IF(H696&lt;=INDEX(Assumptions!$C$15:$C$18,MATCH(E696,Assumptions!$A$15:$A$18,0)),"Yes","No"))</f>
        <v>No</v>
      </c>
    </row>
    <row r="697" customFormat="false" ht="15" hidden="false" customHeight="false" outlineLevel="0" collapsed="false">
      <c r="A697" s="31" t="s">
        <v>847</v>
      </c>
      <c r="B697" s="44" t="n">
        <v>46213</v>
      </c>
      <c r="C697" s="31" t="s">
        <v>60</v>
      </c>
      <c r="D697" s="31" t="s">
        <v>66</v>
      </c>
      <c r="E697" s="31" t="s">
        <v>51</v>
      </c>
      <c r="F697" s="31" t="s">
        <v>120</v>
      </c>
      <c r="G697" s="31" t="n">
        <v>1</v>
      </c>
      <c r="H697" s="41" t="n">
        <v>14.8</v>
      </c>
      <c r="I697" s="31" t="s">
        <v>149</v>
      </c>
      <c r="J697" s="31"/>
      <c r="K697" s="31" t="s">
        <v>150</v>
      </c>
      <c r="L697" s="45" t="n">
        <f aca="false">DATE(YEAR(B697),MONTH(B697),1)</f>
        <v>46204</v>
      </c>
      <c r="M697" s="31" t="n">
        <f aca="false">WEEKDAY(B697,2)</f>
        <v>5</v>
      </c>
      <c r="N697" s="31" t="str">
        <f aca="false">IF(G697&lt;=INDEX(Assumptions!$B$15:$B$18,MATCH(E697,Assumptions!$A$15:$A$18,0)),"Yes","No")</f>
        <v>Yes</v>
      </c>
      <c r="O697" s="31" t="str">
        <f aca="false">IF(H697="","Open",IF(H697&lt;=INDEX(Assumptions!$C$15:$C$18,MATCH(E697,Assumptions!$A$15:$A$18,0)),"Yes","No"))</f>
        <v>Yes</v>
      </c>
    </row>
    <row r="698" customFormat="false" ht="15" hidden="false" customHeight="false" outlineLevel="0" collapsed="false">
      <c r="A698" s="31" t="s">
        <v>848</v>
      </c>
      <c r="B698" s="44" t="n">
        <v>46213</v>
      </c>
      <c r="C698" s="31" t="s">
        <v>59</v>
      </c>
      <c r="D698" s="31" t="s">
        <v>65</v>
      </c>
      <c r="E698" s="31" t="s">
        <v>51</v>
      </c>
      <c r="F698" s="31" t="s">
        <v>134</v>
      </c>
      <c r="G698" s="31" t="n">
        <v>383</v>
      </c>
      <c r="H698" s="41" t="n">
        <v>32.4</v>
      </c>
      <c r="I698" s="31" t="s">
        <v>149</v>
      </c>
      <c r="J698" s="31" t="n">
        <v>4</v>
      </c>
      <c r="K698" s="31" t="s">
        <v>150</v>
      </c>
      <c r="L698" s="45" t="n">
        <f aca="false">DATE(YEAR(B698),MONTH(B698),1)</f>
        <v>46204</v>
      </c>
      <c r="M698" s="31" t="n">
        <f aca="false">WEEKDAY(B698,2)</f>
        <v>5</v>
      </c>
      <c r="N698" s="31" t="str">
        <f aca="false">IF(G698&lt;=INDEX(Assumptions!$B$15:$B$18,MATCH(E698,Assumptions!$A$15:$A$18,0)),"Yes","No")</f>
        <v>No</v>
      </c>
      <c r="O698" s="31" t="str">
        <f aca="false">IF(H698="","Open",IF(H698&lt;=INDEX(Assumptions!$C$15:$C$18,MATCH(E698,Assumptions!$A$15:$A$18,0)),"Yes","No"))</f>
        <v>No</v>
      </c>
    </row>
    <row r="699" customFormat="false" ht="15" hidden="false" customHeight="false" outlineLevel="0" collapsed="false">
      <c r="A699" s="31" t="s">
        <v>849</v>
      </c>
      <c r="B699" s="44" t="n">
        <v>46213</v>
      </c>
      <c r="C699" s="31" t="s">
        <v>59</v>
      </c>
      <c r="D699" s="31" t="s">
        <v>68</v>
      </c>
      <c r="E699" s="31" t="s">
        <v>50</v>
      </c>
      <c r="F699" s="31" t="s">
        <v>117</v>
      </c>
      <c r="G699" s="31" t="n">
        <v>39</v>
      </c>
      <c r="H699" s="41" t="n">
        <v>2</v>
      </c>
      <c r="I699" s="31" t="s">
        <v>149</v>
      </c>
      <c r="J699" s="31"/>
      <c r="K699" s="31" t="s">
        <v>150</v>
      </c>
      <c r="L699" s="45" t="n">
        <f aca="false">DATE(YEAR(B699),MONTH(B699),1)</f>
        <v>46204</v>
      </c>
      <c r="M699" s="31" t="n">
        <f aca="false">WEEKDAY(B699,2)</f>
        <v>5</v>
      </c>
      <c r="N699" s="31" t="str">
        <f aca="false">IF(G699&lt;=INDEX(Assumptions!$B$15:$B$18,MATCH(E699,Assumptions!$A$15:$A$18,0)),"Yes","No")</f>
        <v>No</v>
      </c>
      <c r="O699" s="31" t="str">
        <f aca="false">IF(H699="","Open",IF(H699&lt;=INDEX(Assumptions!$C$15:$C$18,MATCH(E699,Assumptions!$A$15:$A$18,0)),"Yes","No"))</f>
        <v>Yes</v>
      </c>
    </row>
    <row r="700" customFormat="false" ht="15" hidden="false" customHeight="false" outlineLevel="0" collapsed="false">
      <c r="A700" s="31" t="s">
        <v>850</v>
      </c>
      <c r="B700" s="44" t="n">
        <v>46213</v>
      </c>
      <c r="C700" s="31" t="s">
        <v>60</v>
      </c>
      <c r="D700" s="31" t="s">
        <v>65</v>
      </c>
      <c r="E700" s="31" t="s">
        <v>52</v>
      </c>
      <c r="F700" s="31" t="s">
        <v>122</v>
      </c>
      <c r="G700" s="31" t="n">
        <v>3</v>
      </c>
      <c r="H700" s="41" t="n">
        <v>17.6</v>
      </c>
      <c r="I700" s="31" t="s">
        <v>64</v>
      </c>
      <c r="J700" s="31" t="n">
        <v>4</v>
      </c>
      <c r="K700" s="31" t="s">
        <v>150</v>
      </c>
      <c r="L700" s="45" t="n">
        <f aca="false">DATE(YEAR(B700),MONTH(B700),1)</f>
        <v>46204</v>
      </c>
      <c r="M700" s="31" t="n">
        <f aca="false">WEEKDAY(B700,2)</f>
        <v>5</v>
      </c>
      <c r="N700" s="31" t="str">
        <f aca="false">IF(G700&lt;=INDEX(Assumptions!$B$15:$B$18,MATCH(E700,Assumptions!$A$15:$A$18,0)),"Yes","No")</f>
        <v>Yes</v>
      </c>
      <c r="O700" s="31" t="str">
        <f aca="false">IF(H700="","Open",IF(H700&lt;=INDEX(Assumptions!$C$15:$C$18,MATCH(E700,Assumptions!$A$15:$A$18,0)),"Yes","No"))</f>
        <v>Yes</v>
      </c>
    </row>
    <row r="701" customFormat="false" ht="15" hidden="false" customHeight="false" outlineLevel="0" collapsed="false">
      <c r="A701" s="31" t="s">
        <v>851</v>
      </c>
      <c r="B701" s="44" t="n">
        <v>46213</v>
      </c>
      <c r="C701" s="31" t="s">
        <v>60</v>
      </c>
      <c r="D701" s="31" t="s">
        <v>65</v>
      </c>
      <c r="E701" s="31" t="s">
        <v>49</v>
      </c>
      <c r="F701" s="31" t="s">
        <v>137</v>
      </c>
      <c r="G701" s="31" t="n">
        <v>1</v>
      </c>
      <c r="H701" s="41" t="n">
        <v>2.9</v>
      </c>
      <c r="I701" s="31" t="s">
        <v>149</v>
      </c>
      <c r="J701" s="31" t="n">
        <v>5</v>
      </c>
      <c r="K701" s="31" t="s">
        <v>150</v>
      </c>
      <c r="L701" s="45" t="n">
        <f aca="false">DATE(YEAR(B701),MONTH(B701),1)</f>
        <v>46204</v>
      </c>
      <c r="M701" s="31" t="n">
        <f aca="false">WEEKDAY(B701,2)</f>
        <v>5</v>
      </c>
      <c r="N701" s="31" t="str">
        <f aca="false">IF(G701&lt;=INDEX(Assumptions!$B$15:$B$18,MATCH(E701,Assumptions!$A$15:$A$18,0)),"Yes","No")</f>
        <v>Yes</v>
      </c>
      <c r="O701" s="31" t="str">
        <f aca="false">IF(H701="","Open",IF(H701&lt;=INDEX(Assumptions!$C$15:$C$18,MATCH(E701,Assumptions!$A$15:$A$18,0)),"Yes","No"))</f>
        <v>Yes</v>
      </c>
    </row>
    <row r="702" customFormat="false" ht="15" hidden="false" customHeight="false" outlineLevel="0" collapsed="false">
      <c r="A702" s="31" t="s">
        <v>852</v>
      </c>
      <c r="B702" s="44" t="n">
        <v>46213</v>
      </c>
      <c r="C702" s="31" t="s">
        <v>59</v>
      </c>
      <c r="D702" s="31" t="s">
        <v>69</v>
      </c>
      <c r="E702" s="31" t="s">
        <v>52</v>
      </c>
      <c r="F702" s="31" t="s">
        <v>128</v>
      </c>
      <c r="G702" s="31" t="n">
        <v>63</v>
      </c>
      <c r="H702" s="41" t="n">
        <v>47.6</v>
      </c>
      <c r="I702" s="31" t="s">
        <v>149</v>
      </c>
      <c r="J702" s="31" t="n">
        <v>5</v>
      </c>
      <c r="K702" s="31" t="s">
        <v>150</v>
      </c>
      <c r="L702" s="45" t="n">
        <f aca="false">DATE(YEAR(B702),MONTH(B702),1)</f>
        <v>46204</v>
      </c>
      <c r="M702" s="31" t="n">
        <f aca="false">WEEKDAY(B702,2)</f>
        <v>5</v>
      </c>
      <c r="N702" s="31" t="str">
        <f aca="false">IF(G702&lt;=INDEX(Assumptions!$B$15:$B$18,MATCH(E702,Assumptions!$A$15:$A$18,0)),"Yes","No")</f>
        <v>Yes</v>
      </c>
      <c r="O702" s="31" t="str">
        <f aca="false">IF(H702="","Open",IF(H702&lt;=INDEX(Assumptions!$C$15:$C$18,MATCH(E702,Assumptions!$A$15:$A$18,0)),"Yes","No"))</f>
        <v>Yes</v>
      </c>
    </row>
    <row r="703" customFormat="false" ht="15" hidden="false" customHeight="false" outlineLevel="0" collapsed="false">
      <c r="A703" s="31" t="s">
        <v>853</v>
      </c>
      <c r="B703" s="44" t="n">
        <v>46213</v>
      </c>
      <c r="C703" s="31" t="s">
        <v>57</v>
      </c>
      <c r="D703" s="31" t="s">
        <v>66</v>
      </c>
      <c r="E703" s="31" t="s">
        <v>51</v>
      </c>
      <c r="F703" s="31" t="s">
        <v>119</v>
      </c>
      <c r="G703" s="31" t="n">
        <v>2</v>
      </c>
      <c r="H703" s="41" t="n">
        <v>7.1</v>
      </c>
      <c r="I703" s="31" t="s">
        <v>149</v>
      </c>
      <c r="J703" s="31" t="n">
        <v>5</v>
      </c>
      <c r="K703" s="31" t="s">
        <v>150</v>
      </c>
      <c r="L703" s="45" t="n">
        <f aca="false">DATE(YEAR(B703),MONTH(B703),1)</f>
        <v>46204</v>
      </c>
      <c r="M703" s="31" t="n">
        <f aca="false">WEEKDAY(B703,2)</f>
        <v>5</v>
      </c>
      <c r="N703" s="31" t="str">
        <f aca="false">IF(G703&lt;=INDEX(Assumptions!$B$15:$B$18,MATCH(E703,Assumptions!$A$15:$A$18,0)),"Yes","No")</f>
        <v>Yes</v>
      </c>
      <c r="O703" s="31" t="str">
        <f aca="false">IF(H703="","Open",IF(H703&lt;=INDEX(Assumptions!$C$15:$C$18,MATCH(E703,Assumptions!$A$15:$A$18,0)),"Yes","No"))</f>
        <v>Yes</v>
      </c>
    </row>
    <row r="704" customFormat="false" ht="15" hidden="false" customHeight="false" outlineLevel="0" collapsed="false">
      <c r="A704" s="31" t="s">
        <v>854</v>
      </c>
      <c r="B704" s="44" t="n">
        <v>46213</v>
      </c>
      <c r="C704" s="31" t="s">
        <v>60</v>
      </c>
      <c r="D704" s="31" t="s">
        <v>66</v>
      </c>
      <c r="E704" s="31" t="s">
        <v>51</v>
      </c>
      <c r="F704" s="31" t="s">
        <v>117</v>
      </c>
      <c r="G704" s="31" t="n">
        <v>1</v>
      </c>
      <c r="H704" s="41" t="n">
        <v>13.7</v>
      </c>
      <c r="I704" s="31" t="s">
        <v>149</v>
      </c>
      <c r="J704" s="31"/>
      <c r="K704" s="31" t="s">
        <v>150</v>
      </c>
      <c r="L704" s="45" t="n">
        <f aca="false">DATE(YEAR(B704),MONTH(B704),1)</f>
        <v>46204</v>
      </c>
      <c r="M704" s="31" t="n">
        <f aca="false">WEEKDAY(B704,2)</f>
        <v>5</v>
      </c>
      <c r="N704" s="31" t="str">
        <f aca="false">IF(G704&lt;=INDEX(Assumptions!$B$15:$B$18,MATCH(E704,Assumptions!$A$15:$A$18,0)),"Yes","No")</f>
        <v>Yes</v>
      </c>
      <c r="O704" s="31" t="str">
        <f aca="false">IF(H704="","Open",IF(H704&lt;=INDEX(Assumptions!$C$15:$C$18,MATCH(E704,Assumptions!$A$15:$A$18,0)),"Yes","No"))</f>
        <v>Yes</v>
      </c>
    </row>
    <row r="705" customFormat="false" ht="15" hidden="false" customHeight="false" outlineLevel="0" collapsed="false">
      <c r="A705" s="31" t="s">
        <v>855</v>
      </c>
      <c r="B705" s="44" t="n">
        <v>46213</v>
      </c>
      <c r="C705" s="31" t="s">
        <v>60</v>
      </c>
      <c r="D705" s="31" t="s">
        <v>66</v>
      </c>
      <c r="E705" s="31" t="s">
        <v>51</v>
      </c>
      <c r="F705" s="31" t="s">
        <v>128</v>
      </c>
      <c r="G705" s="31" t="n">
        <v>1</v>
      </c>
      <c r="H705" s="41" t="n">
        <v>7.8</v>
      </c>
      <c r="I705" s="31" t="s">
        <v>149</v>
      </c>
      <c r="J705" s="31" t="n">
        <v>5</v>
      </c>
      <c r="K705" s="31" t="s">
        <v>150</v>
      </c>
      <c r="L705" s="45" t="n">
        <f aca="false">DATE(YEAR(B705),MONTH(B705),1)</f>
        <v>46204</v>
      </c>
      <c r="M705" s="31" t="n">
        <f aca="false">WEEKDAY(B705,2)</f>
        <v>5</v>
      </c>
      <c r="N705" s="31" t="str">
        <f aca="false">IF(G705&lt;=INDEX(Assumptions!$B$15:$B$18,MATCH(E705,Assumptions!$A$15:$A$18,0)),"Yes","No")</f>
        <v>Yes</v>
      </c>
      <c r="O705" s="31" t="str">
        <f aca="false">IF(H705="","Open",IF(H705&lt;=INDEX(Assumptions!$C$15:$C$18,MATCH(E705,Assumptions!$A$15:$A$18,0)),"Yes","No"))</f>
        <v>Yes</v>
      </c>
    </row>
    <row r="706" customFormat="false" ht="15" hidden="false" customHeight="false" outlineLevel="0" collapsed="false">
      <c r="A706" s="31" t="s">
        <v>856</v>
      </c>
      <c r="B706" s="44" t="n">
        <v>46213</v>
      </c>
      <c r="C706" s="31" t="s">
        <v>60</v>
      </c>
      <c r="D706" s="31" t="s">
        <v>67</v>
      </c>
      <c r="E706" s="31" t="s">
        <v>51</v>
      </c>
      <c r="F706" s="31" t="s">
        <v>135</v>
      </c>
      <c r="G706" s="31" t="n">
        <v>2</v>
      </c>
      <c r="H706" s="41" t="n">
        <v>40.4</v>
      </c>
      <c r="I706" s="31" t="s">
        <v>149</v>
      </c>
      <c r="J706" s="31" t="n">
        <v>4</v>
      </c>
      <c r="K706" s="31" t="s">
        <v>150</v>
      </c>
      <c r="L706" s="45" t="n">
        <f aca="false">DATE(YEAR(B706),MONTH(B706),1)</f>
        <v>46204</v>
      </c>
      <c r="M706" s="31" t="n">
        <f aca="false">WEEKDAY(B706,2)</f>
        <v>5</v>
      </c>
      <c r="N706" s="31" t="str">
        <f aca="false">IF(G706&lt;=INDEX(Assumptions!$B$15:$B$18,MATCH(E706,Assumptions!$A$15:$A$18,0)),"Yes","No")</f>
        <v>Yes</v>
      </c>
      <c r="O706" s="31" t="str">
        <f aca="false">IF(H706="","Open",IF(H706&lt;=INDEX(Assumptions!$C$15:$C$18,MATCH(E706,Assumptions!$A$15:$A$18,0)),"Yes","No"))</f>
        <v>No</v>
      </c>
    </row>
    <row r="707" customFormat="false" ht="15" hidden="false" customHeight="false" outlineLevel="0" collapsed="false">
      <c r="A707" s="31" t="s">
        <v>857</v>
      </c>
      <c r="B707" s="44" t="n">
        <v>46213</v>
      </c>
      <c r="C707" s="31" t="s">
        <v>58</v>
      </c>
      <c r="D707" s="31" t="s">
        <v>65</v>
      </c>
      <c r="E707" s="31" t="s">
        <v>52</v>
      </c>
      <c r="F707" s="31" t="s">
        <v>121</v>
      </c>
      <c r="G707" s="31" t="n">
        <v>17</v>
      </c>
      <c r="H707" s="41" t="n">
        <v>30.6</v>
      </c>
      <c r="I707" s="31" t="s">
        <v>149</v>
      </c>
      <c r="J707" s="31" t="n">
        <v>4</v>
      </c>
      <c r="K707" s="31" t="s">
        <v>150</v>
      </c>
      <c r="L707" s="45" t="n">
        <f aca="false">DATE(YEAR(B707),MONTH(B707),1)</f>
        <v>46204</v>
      </c>
      <c r="M707" s="31" t="n">
        <f aca="false">WEEKDAY(B707,2)</f>
        <v>5</v>
      </c>
      <c r="N707" s="31" t="str">
        <f aca="false">IF(G707&lt;=INDEX(Assumptions!$B$15:$B$18,MATCH(E707,Assumptions!$A$15:$A$18,0)),"Yes","No")</f>
        <v>Yes</v>
      </c>
      <c r="O707" s="31" t="str">
        <f aca="false">IF(H707="","Open",IF(H707&lt;=INDEX(Assumptions!$C$15:$C$18,MATCH(E707,Assumptions!$A$15:$A$18,0)),"Yes","No"))</f>
        <v>Yes</v>
      </c>
    </row>
    <row r="708" customFormat="false" ht="15" hidden="false" customHeight="false" outlineLevel="0" collapsed="false">
      <c r="A708" s="31" t="s">
        <v>858</v>
      </c>
      <c r="B708" s="44" t="n">
        <v>46213</v>
      </c>
      <c r="C708" s="31" t="s">
        <v>59</v>
      </c>
      <c r="D708" s="31" t="s">
        <v>66</v>
      </c>
      <c r="E708" s="31" t="s">
        <v>51</v>
      </c>
      <c r="F708" s="31" t="s">
        <v>121</v>
      </c>
      <c r="G708" s="31" t="n">
        <v>94</v>
      </c>
      <c r="H708" s="41" t="n">
        <v>2</v>
      </c>
      <c r="I708" s="31" t="s">
        <v>149</v>
      </c>
      <c r="J708" s="31"/>
      <c r="K708" s="31" t="s">
        <v>150</v>
      </c>
      <c r="L708" s="45" t="n">
        <f aca="false">DATE(YEAR(B708),MONTH(B708),1)</f>
        <v>46204</v>
      </c>
      <c r="M708" s="31" t="n">
        <f aca="false">WEEKDAY(B708,2)</f>
        <v>5</v>
      </c>
      <c r="N708" s="31" t="str">
        <f aca="false">IF(G708&lt;=INDEX(Assumptions!$B$15:$B$18,MATCH(E708,Assumptions!$A$15:$A$18,0)),"Yes","No")</f>
        <v>No</v>
      </c>
      <c r="O708" s="31" t="str">
        <f aca="false">IF(H708="","Open",IF(H708&lt;=INDEX(Assumptions!$C$15:$C$18,MATCH(E708,Assumptions!$A$15:$A$18,0)),"Yes","No"))</f>
        <v>Yes</v>
      </c>
    </row>
    <row r="709" customFormat="false" ht="15" hidden="false" customHeight="false" outlineLevel="0" collapsed="false">
      <c r="A709" s="31" t="s">
        <v>859</v>
      </c>
      <c r="B709" s="44" t="n">
        <v>46213</v>
      </c>
      <c r="C709" s="31" t="s">
        <v>58</v>
      </c>
      <c r="D709" s="31" t="s">
        <v>69</v>
      </c>
      <c r="E709" s="31" t="s">
        <v>51</v>
      </c>
      <c r="F709" s="31" t="s">
        <v>133</v>
      </c>
      <c r="G709" s="31" t="n">
        <v>24</v>
      </c>
      <c r="H709" s="41" t="n">
        <v>15.1</v>
      </c>
      <c r="I709" s="31" t="s">
        <v>149</v>
      </c>
      <c r="J709" s="31" t="n">
        <v>4</v>
      </c>
      <c r="K709" s="31" t="s">
        <v>150</v>
      </c>
      <c r="L709" s="45" t="n">
        <f aca="false">DATE(YEAR(B709),MONTH(B709),1)</f>
        <v>46204</v>
      </c>
      <c r="M709" s="31" t="n">
        <f aca="false">WEEKDAY(B709,2)</f>
        <v>5</v>
      </c>
      <c r="N709" s="31" t="str">
        <f aca="false">IF(G709&lt;=INDEX(Assumptions!$B$15:$B$18,MATCH(E709,Assumptions!$A$15:$A$18,0)),"Yes","No")</f>
        <v>Yes</v>
      </c>
      <c r="O709" s="31" t="str">
        <f aca="false">IF(H709="","Open",IF(H709&lt;=INDEX(Assumptions!$C$15:$C$18,MATCH(E709,Assumptions!$A$15:$A$18,0)),"Yes","No"))</f>
        <v>Yes</v>
      </c>
    </row>
    <row r="710" customFormat="false" ht="15" hidden="false" customHeight="false" outlineLevel="0" collapsed="false">
      <c r="A710" s="31" t="s">
        <v>860</v>
      </c>
      <c r="B710" s="44" t="n">
        <v>46213</v>
      </c>
      <c r="C710" s="31" t="s">
        <v>60</v>
      </c>
      <c r="D710" s="31" t="s">
        <v>67</v>
      </c>
      <c r="E710" s="31" t="s">
        <v>51</v>
      </c>
      <c r="F710" s="31" t="s">
        <v>127</v>
      </c>
      <c r="G710" s="31" t="n">
        <v>1</v>
      </c>
      <c r="H710" s="41" t="n">
        <v>19</v>
      </c>
      <c r="I710" s="31" t="s">
        <v>149</v>
      </c>
      <c r="J710" s="31"/>
      <c r="K710" s="31" t="s">
        <v>150</v>
      </c>
      <c r="L710" s="45" t="n">
        <f aca="false">DATE(YEAR(B710),MONTH(B710),1)</f>
        <v>46204</v>
      </c>
      <c r="M710" s="31" t="n">
        <f aca="false">WEEKDAY(B710,2)</f>
        <v>5</v>
      </c>
      <c r="N710" s="31" t="str">
        <f aca="false">IF(G710&lt;=INDEX(Assumptions!$B$15:$B$18,MATCH(E710,Assumptions!$A$15:$A$18,0)),"Yes","No")</f>
        <v>Yes</v>
      </c>
      <c r="O710" s="31" t="str">
        <f aca="false">IF(H710="","Open",IF(H710&lt;=INDEX(Assumptions!$C$15:$C$18,MATCH(E710,Assumptions!$A$15:$A$18,0)),"Yes","No"))</f>
        <v>Yes</v>
      </c>
    </row>
    <row r="711" customFormat="false" ht="15" hidden="false" customHeight="false" outlineLevel="0" collapsed="false">
      <c r="A711" s="31" t="s">
        <v>861</v>
      </c>
      <c r="B711" s="44" t="n">
        <v>46213</v>
      </c>
      <c r="C711" s="31" t="s">
        <v>57</v>
      </c>
      <c r="D711" s="31" t="s">
        <v>65</v>
      </c>
      <c r="E711" s="31" t="s">
        <v>51</v>
      </c>
      <c r="F711" s="31" t="s">
        <v>129</v>
      </c>
      <c r="G711" s="31" t="n">
        <v>3</v>
      </c>
      <c r="H711" s="41" t="n">
        <v>5.9</v>
      </c>
      <c r="I711" s="31" t="s">
        <v>149</v>
      </c>
      <c r="J711" s="31"/>
      <c r="K711" s="31" t="s">
        <v>150</v>
      </c>
      <c r="L711" s="45" t="n">
        <f aca="false">DATE(YEAR(B711),MONTH(B711),1)</f>
        <v>46204</v>
      </c>
      <c r="M711" s="31" t="n">
        <f aca="false">WEEKDAY(B711,2)</f>
        <v>5</v>
      </c>
      <c r="N711" s="31" t="str">
        <f aca="false">IF(G711&lt;=INDEX(Assumptions!$B$15:$B$18,MATCH(E711,Assumptions!$A$15:$A$18,0)),"Yes","No")</f>
        <v>Yes</v>
      </c>
      <c r="O711" s="31" t="str">
        <f aca="false">IF(H711="","Open",IF(H711&lt;=INDEX(Assumptions!$C$15:$C$18,MATCH(E711,Assumptions!$A$15:$A$18,0)),"Yes","No"))</f>
        <v>Yes</v>
      </c>
    </row>
    <row r="712" customFormat="false" ht="15" hidden="false" customHeight="false" outlineLevel="0" collapsed="false">
      <c r="A712" s="31" t="s">
        <v>862</v>
      </c>
      <c r="B712" s="44" t="n">
        <v>46213</v>
      </c>
      <c r="C712" s="31" t="s">
        <v>57</v>
      </c>
      <c r="D712" s="31" t="s">
        <v>65</v>
      </c>
      <c r="E712" s="31" t="s">
        <v>51</v>
      </c>
      <c r="F712" s="31" t="s">
        <v>119</v>
      </c>
      <c r="G712" s="31" t="n">
        <v>3</v>
      </c>
      <c r="H712" s="41" t="n">
        <v>2.4</v>
      </c>
      <c r="I712" s="31" t="s">
        <v>149</v>
      </c>
      <c r="J712" s="31" t="n">
        <v>5</v>
      </c>
      <c r="K712" s="31" t="s">
        <v>150</v>
      </c>
      <c r="L712" s="45" t="n">
        <f aca="false">DATE(YEAR(B712),MONTH(B712),1)</f>
        <v>46204</v>
      </c>
      <c r="M712" s="31" t="n">
        <f aca="false">WEEKDAY(B712,2)</f>
        <v>5</v>
      </c>
      <c r="N712" s="31" t="str">
        <f aca="false">IF(G712&lt;=INDEX(Assumptions!$B$15:$B$18,MATCH(E712,Assumptions!$A$15:$A$18,0)),"Yes","No")</f>
        <v>Yes</v>
      </c>
      <c r="O712" s="31" t="str">
        <f aca="false">IF(H712="","Open",IF(H712&lt;=INDEX(Assumptions!$C$15:$C$18,MATCH(E712,Assumptions!$A$15:$A$18,0)),"Yes","No"))</f>
        <v>Yes</v>
      </c>
    </row>
    <row r="713" customFormat="false" ht="15" hidden="false" customHeight="false" outlineLevel="0" collapsed="false">
      <c r="A713" s="31" t="s">
        <v>863</v>
      </c>
      <c r="B713" s="44" t="n">
        <v>46213</v>
      </c>
      <c r="C713" s="31" t="s">
        <v>57</v>
      </c>
      <c r="D713" s="31" t="s">
        <v>66</v>
      </c>
      <c r="E713" s="31" t="s">
        <v>51</v>
      </c>
      <c r="F713" s="31" t="s">
        <v>133</v>
      </c>
      <c r="G713" s="31" t="n">
        <v>7</v>
      </c>
      <c r="H713" s="41" t="n">
        <v>26.4</v>
      </c>
      <c r="I713" s="31" t="s">
        <v>149</v>
      </c>
      <c r="J713" s="31" t="n">
        <v>3</v>
      </c>
      <c r="K713" s="31" t="s">
        <v>150</v>
      </c>
      <c r="L713" s="45" t="n">
        <f aca="false">DATE(YEAR(B713),MONTH(B713),1)</f>
        <v>46204</v>
      </c>
      <c r="M713" s="31" t="n">
        <f aca="false">WEEKDAY(B713,2)</f>
        <v>5</v>
      </c>
      <c r="N713" s="31" t="str">
        <f aca="false">IF(G713&lt;=INDEX(Assumptions!$B$15:$B$18,MATCH(E713,Assumptions!$A$15:$A$18,0)),"Yes","No")</f>
        <v>Yes</v>
      </c>
      <c r="O713" s="31" t="str">
        <f aca="false">IF(H713="","Open",IF(H713&lt;=INDEX(Assumptions!$C$15:$C$18,MATCH(E713,Assumptions!$A$15:$A$18,0)),"Yes","No"))</f>
        <v>No</v>
      </c>
    </row>
    <row r="714" customFormat="false" ht="15" hidden="false" customHeight="false" outlineLevel="0" collapsed="false">
      <c r="A714" s="31" t="s">
        <v>864</v>
      </c>
      <c r="B714" s="44" t="n">
        <v>46213</v>
      </c>
      <c r="C714" s="31" t="s">
        <v>59</v>
      </c>
      <c r="D714" s="31" t="s">
        <v>65</v>
      </c>
      <c r="E714" s="31" t="s">
        <v>50</v>
      </c>
      <c r="F714" s="31" t="s">
        <v>133</v>
      </c>
      <c r="G714" s="31" t="n">
        <v>73</v>
      </c>
      <c r="H714" s="41" t="n">
        <v>2.2</v>
      </c>
      <c r="I714" s="31" t="s">
        <v>149</v>
      </c>
      <c r="J714" s="31" t="n">
        <v>5</v>
      </c>
      <c r="K714" s="31" t="s">
        <v>150</v>
      </c>
      <c r="L714" s="45" t="n">
        <f aca="false">DATE(YEAR(B714),MONTH(B714),1)</f>
        <v>46204</v>
      </c>
      <c r="M714" s="31" t="n">
        <f aca="false">WEEKDAY(B714,2)</f>
        <v>5</v>
      </c>
      <c r="N714" s="31" t="str">
        <f aca="false">IF(G714&lt;=INDEX(Assumptions!$B$15:$B$18,MATCH(E714,Assumptions!$A$15:$A$18,0)),"Yes","No")</f>
        <v>No</v>
      </c>
      <c r="O714" s="31" t="str">
        <f aca="false">IF(H714="","Open",IF(H714&lt;=INDEX(Assumptions!$C$15:$C$18,MATCH(E714,Assumptions!$A$15:$A$18,0)),"Yes","No"))</f>
        <v>Yes</v>
      </c>
    </row>
    <row r="715" customFormat="false" ht="15" hidden="false" customHeight="false" outlineLevel="0" collapsed="false">
      <c r="A715" s="31" t="s">
        <v>865</v>
      </c>
      <c r="B715" s="44" t="n">
        <v>46213</v>
      </c>
      <c r="C715" s="31" t="s">
        <v>58</v>
      </c>
      <c r="D715" s="31" t="s">
        <v>65</v>
      </c>
      <c r="E715" s="31" t="s">
        <v>52</v>
      </c>
      <c r="F715" s="31" t="s">
        <v>128</v>
      </c>
      <c r="G715" s="31" t="n">
        <v>40</v>
      </c>
      <c r="H715" s="41" t="n">
        <v>72.7</v>
      </c>
      <c r="I715" s="31" t="s">
        <v>149</v>
      </c>
      <c r="J715" s="31" t="n">
        <v>2</v>
      </c>
      <c r="K715" s="31" t="s">
        <v>150</v>
      </c>
      <c r="L715" s="45" t="n">
        <f aca="false">DATE(YEAR(B715),MONTH(B715),1)</f>
        <v>46204</v>
      </c>
      <c r="M715" s="31" t="n">
        <f aca="false">WEEKDAY(B715,2)</f>
        <v>5</v>
      </c>
      <c r="N715" s="31" t="str">
        <f aca="false">IF(G715&lt;=INDEX(Assumptions!$B$15:$B$18,MATCH(E715,Assumptions!$A$15:$A$18,0)),"Yes","No")</f>
        <v>Yes</v>
      </c>
      <c r="O715" s="31" t="str">
        <f aca="false">IF(H715="","Open",IF(H715&lt;=INDEX(Assumptions!$C$15:$C$18,MATCH(E715,Assumptions!$A$15:$A$18,0)),"Yes","No"))</f>
        <v>No</v>
      </c>
    </row>
    <row r="716" customFormat="false" ht="15" hidden="false" customHeight="false" outlineLevel="0" collapsed="false">
      <c r="A716" s="31" t="s">
        <v>866</v>
      </c>
      <c r="B716" s="44" t="n">
        <v>46213</v>
      </c>
      <c r="C716" s="31" t="s">
        <v>58</v>
      </c>
      <c r="D716" s="31" t="s">
        <v>66</v>
      </c>
      <c r="E716" s="31" t="s">
        <v>52</v>
      </c>
      <c r="F716" s="31" t="s">
        <v>129</v>
      </c>
      <c r="G716" s="31" t="n">
        <v>19</v>
      </c>
      <c r="H716" s="41" t="n">
        <v>1.5</v>
      </c>
      <c r="I716" s="31" t="s">
        <v>149</v>
      </c>
      <c r="J716" s="31" t="n">
        <v>5</v>
      </c>
      <c r="K716" s="31" t="s">
        <v>150</v>
      </c>
      <c r="L716" s="45" t="n">
        <f aca="false">DATE(YEAR(B716),MONTH(B716),1)</f>
        <v>46204</v>
      </c>
      <c r="M716" s="31" t="n">
        <f aca="false">WEEKDAY(B716,2)</f>
        <v>5</v>
      </c>
      <c r="N716" s="31" t="str">
        <f aca="false">IF(G716&lt;=INDEX(Assumptions!$B$15:$B$18,MATCH(E716,Assumptions!$A$15:$A$18,0)),"Yes","No")</f>
        <v>Yes</v>
      </c>
      <c r="O716" s="31" t="str">
        <f aca="false">IF(H716="","Open",IF(H716&lt;=INDEX(Assumptions!$C$15:$C$18,MATCH(E716,Assumptions!$A$15:$A$18,0)),"Yes","No"))</f>
        <v>Yes</v>
      </c>
    </row>
    <row r="717" customFormat="false" ht="15" hidden="false" customHeight="false" outlineLevel="0" collapsed="false">
      <c r="A717" s="31" t="s">
        <v>867</v>
      </c>
      <c r="B717" s="44" t="n">
        <v>46213</v>
      </c>
      <c r="C717" s="31" t="s">
        <v>57</v>
      </c>
      <c r="D717" s="31" t="s">
        <v>68</v>
      </c>
      <c r="E717" s="31" t="s">
        <v>51</v>
      </c>
      <c r="F717" s="31" t="s">
        <v>136</v>
      </c>
      <c r="G717" s="31" t="n">
        <v>5</v>
      </c>
      <c r="H717" s="41" t="n">
        <v>1.9</v>
      </c>
      <c r="I717" s="31" t="s">
        <v>149</v>
      </c>
      <c r="J717" s="31"/>
      <c r="K717" s="31" t="s">
        <v>150</v>
      </c>
      <c r="L717" s="45" t="n">
        <f aca="false">DATE(YEAR(B717),MONTH(B717),1)</f>
        <v>46204</v>
      </c>
      <c r="M717" s="31" t="n">
        <f aca="false">WEEKDAY(B717,2)</f>
        <v>5</v>
      </c>
      <c r="N717" s="31" t="str">
        <f aca="false">IF(G717&lt;=INDEX(Assumptions!$B$15:$B$18,MATCH(E717,Assumptions!$A$15:$A$18,0)),"Yes","No")</f>
        <v>Yes</v>
      </c>
      <c r="O717" s="31" t="str">
        <f aca="false">IF(H717="","Open",IF(H717&lt;=INDEX(Assumptions!$C$15:$C$18,MATCH(E717,Assumptions!$A$15:$A$18,0)),"Yes","No"))</f>
        <v>Yes</v>
      </c>
    </row>
    <row r="718" customFormat="false" ht="15" hidden="false" customHeight="false" outlineLevel="0" collapsed="false">
      <c r="A718" s="31" t="s">
        <v>868</v>
      </c>
      <c r="B718" s="44" t="n">
        <v>46213</v>
      </c>
      <c r="C718" s="31" t="s">
        <v>57</v>
      </c>
      <c r="D718" s="31" t="s">
        <v>68</v>
      </c>
      <c r="E718" s="31" t="s">
        <v>51</v>
      </c>
      <c r="F718" s="31" t="s">
        <v>117</v>
      </c>
      <c r="G718" s="31" t="n">
        <v>5</v>
      </c>
      <c r="H718" s="41" t="n">
        <v>4.5</v>
      </c>
      <c r="I718" s="31" t="s">
        <v>149</v>
      </c>
      <c r="J718" s="31" t="n">
        <v>5</v>
      </c>
      <c r="K718" s="31" t="s">
        <v>150</v>
      </c>
      <c r="L718" s="45" t="n">
        <f aca="false">DATE(YEAR(B718),MONTH(B718),1)</f>
        <v>46204</v>
      </c>
      <c r="M718" s="31" t="n">
        <f aca="false">WEEKDAY(B718,2)</f>
        <v>5</v>
      </c>
      <c r="N718" s="31" t="str">
        <f aca="false">IF(G718&lt;=INDEX(Assumptions!$B$15:$B$18,MATCH(E718,Assumptions!$A$15:$A$18,0)),"Yes","No")</f>
        <v>Yes</v>
      </c>
      <c r="O718" s="31" t="str">
        <f aca="false">IF(H718="","Open",IF(H718&lt;=INDEX(Assumptions!$C$15:$C$18,MATCH(E718,Assumptions!$A$15:$A$18,0)),"Yes","No"))</f>
        <v>Yes</v>
      </c>
    </row>
    <row r="719" customFormat="false" ht="15" hidden="false" customHeight="false" outlineLevel="0" collapsed="false">
      <c r="A719" s="31" t="s">
        <v>869</v>
      </c>
      <c r="B719" s="44" t="n">
        <v>46213</v>
      </c>
      <c r="C719" s="31" t="s">
        <v>57</v>
      </c>
      <c r="D719" s="31" t="s">
        <v>65</v>
      </c>
      <c r="E719" s="31" t="s">
        <v>50</v>
      </c>
      <c r="F719" s="31" t="s">
        <v>128</v>
      </c>
      <c r="G719" s="31" t="n">
        <v>10</v>
      </c>
      <c r="H719" s="41" t="n">
        <v>7.1</v>
      </c>
      <c r="I719" s="31" t="s">
        <v>149</v>
      </c>
      <c r="J719" s="31"/>
      <c r="K719" s="31" t="s">
        <v>150</v>
      </c>
      <c r="L719" s="45" t="n">
        <f aca="false">DATE(YEAR(B719),MONTH(B719),1)</f>
        <v>46204</v>
      </c>
      <c r="M719" s="31" t="n">
        <f aca="false">WEEKDAY(B719,2)</f>
        <v>5</v>
      </c>
      <c r="N719" s="31" t="str">
        <f aca="false">IF(G719&lt;=INDEX(Assumptions!$B$15:$B$18,MATCH(E719,Assumptions!$A$15:$A$18,0)),"Yes","No")</f>
        <v>Yes</v>
      </c>
      <c r="O719" s="31" t="str">
        <f aca="false">IF(H719="","Open",IF(H719&lt;=INDEX(Assumptions!$C$15:$C$18,MATCH(E719,Assumptions!$A$15:$A$18,0)),"Yes","No"))</f>
        <v>Yes</v>
      </c>
    </row>
    <row r="720" customFormat="false" ht="15" hidden="false" customHeight="false" outlineLevel="0" collapsed="false">
      <c r="A720" s="31" t="s">
        <v>870</v>
      </c>
      <c r="B720" s="44" t="n">
        <v>46213</v>
      </c>
      <c r="C720" s="31" t="s">
        <v>57</v>
      </c>
      <c r="D720" s="31" t="s">
        <v>67</v>
      </c>
      <c r="E720" s="31" t="s">
        <v>50</v>
      </c>
      <c r="F720" s="31" t="s">
        <v>121</v>
      </c>
      <c r="G720" s="31" t="n">
        <v>4</v>
      </c>
      <c r="H720" s="41" t="n">
        <v>1.5</v>
      </c>
      <c r="I720" s="31" t="s">
        <v>149</v>
      </c>
      <c r="J720" s="31"/>
      <c r="K720" s="31" t="s">
        <v>153</v>
      </c>
      <c r="L720" s="45" t="n">
        <f aca="false">DATE(YEAR(B720),MONTH(B720),1)</f>
        <v>46204</v>
      </c>
      <c r="M720" s="31" t="n">
        <f aca="false">WEEKDAY(B720,2)</f>
        <v>5</v>
      </c>
      <c r="N720" s="31" t="str">
        <f aca="false">IF(G720&lt;=INDEX(Assumptions!$B$15:$B$18,MATCH(E720,Assumptions!$A$15:$A$18,0)),"Yes","No")</f>
        <v>Yes</v>
      </c>
      <c r="O720" s="31" t="str">
        <f aca="false">IF(H720="","Open",IF(H720&lt;=INDEX(Assumptions!$C$15:$C$18,MATCH(E720,Assumptions!$A$15:$A$18,0)),"Yes","No"))</f>
        <v>Yes</v>
      </c>
    </row>
    <row r="721" customFormat="false" ht="15" hidden="false" customHeight="false" outlineLevel="0" collapsed="false">
      <c r="A721" s="31" t="s">
        <v>871</v>
      </c>
      <c r="B721" s="44" t="n">
        <v>46213</v>
      </c>
      <c r="C721" s="31" t="s">
        <v>58</v>
      </c>
      <c r="D721" s="31" t="s">
        <v>69</v>
      </c>
      <c r="E721" s="31" t="s">
        <v>51</v>
      </c>
      <c r="F721" s="31" t="s">
        <v>117</v>
      </c>
      <c r="G721" s="31" t="n">
        <v>15</v>
      </c>
      <c r="H721" s="41" t="n">
        <v>11</v>
      </c>
      <c r="I721" s="31" t="s">
        <v>149</v>
      </c>
      <c r="J721" s="31"/>
      <c r="K721" s="31" t="s">
        <v>150</v>
      </c>
      <c r="L721" s="45" t="n">
        <f aca="false">DATE(YEAR(B721),MONTH(B721),1)</f>
        <v>46204</v>
      </c>
      <c r="M721" s="31" t="n">
        <f aca="false">WEEKDAY(B721,2)</f>
        <v>5</v>
      </c>
      <c r="N721" s="31" t="str">
        <f aca="false">IF(G721&lt;=INDEX(Assumptions!$B$15:$B$18,MATCH(E721,Assumptions!$A$15:$A$18,0)),"Yes","No")</f>
        <v>Yes</v>
      </c>
      <c r="O721" s="31" t="str">
        <f aca="false">IF(H721="","Open",IF(H721&lt;=INDEX(Assumptions!$C$15:$C$18,MATCH(E721,Assumptions!$A$15:$A$18,0)),"Yes","No"))</f>
        <v>Yes</v>
      </c>
    </row>
    <row r="722" customFormat="false" ht="15" hidden="false" customHeight="false" outlineLevel="0" collapsed="false">
      <c r="A722" s="31" t="s">
        <v>872</v>
      </c>
      <c r="B722" s="44" t="n">
        <v>46213</v>
      </c>
      <c r="C722" s="31" t="s">
        <v>57</v>
      </c>
      <c r="D722" s="31" t="s">
        <v>67</v>
      </c>
      <c r="E722" s="31" t="s">
        <v>50</v>
      </c>
      <c r="F722" s="31" t="s">
        <v>136</v>
      </c>
      <c r="G722" s="31" t="n">
        <v>9</v>
      </c>
      <c r="H722" s="41" t="n">
        <v>10.2</v>
      </c>
      <c r="I722" s="31" t="s">
        <v>149</v>
      </c>
      <c r="J722" s="31"/>
      <c r="K722" s="31" t="s">
        <v>153</v>
      </c>
      <c r="L722" s="45" t="n">
        <f aca="false">DATE(YEAR(B722),MONTH(B722),1)</f>
        <v>46204</v>
      </c>
      <c r="M722" s="31" t="n">
        <f aca="false">WEEKDAY(B722,2)</f>
        <v>5</v>
      </c>
      <c r="N722" s="31" t="str">
        <f aca="false">IF(G722&lt;=INDEX(Assumptions!$B$15:$B$18,MATCH(E722,Assumptions!$A$15:$A$18,0)),"Yes","No")</f>
        <v>Yes</v>
      </c>
      <c r="O722" s="31" t="str">
        <f aca="false">IF(H722="","Open",IF(H722&lt;=INDEX(Assumptions!$C$15:$C$18,MATCH(E722,Assumptions!$A$15:$A$18,0)),"Yes","No"))</f>
        <v>No</v>
      </c>
    </row>
    <row r="723" customFormat="false" ht="15" hidden="false" customHeight="false" outlineLevel="0" collapsed="false">
      <c r="A723" s="31" t="s">
        <v>873</v>
      </c>
      <c r="B723" s="44" t="n">
        <v>46213</v>
      </c>
      <c r="C723" s="31" t="s">
        <v>59</v>
      </c>
      <c r="D723" s="31" t="s">
        <v>67</v>
      </c>
      <c r="E723" s="31" t="s">
        <v>52</v>
      </c>
      <c r="F723" s="31" t="s">
        <v>135</v>
      </c>
      <c r="G723" s="31" t="n">
        <v>586</v>
      </c>
      <c r="H723" s="41" t="n">
        <v>78</v>
      </c>
      <c r="I723" s="31" t="s">
        <v>149</v>
      </c>
      <c r="J723" s="31" t="n">
        <v>4</v>
      </c>
      <c r="K723" s="31" t="s">
        <v>150</v>
      </c>
      <c r="L723" s="45" t="n">
        <f aca="false">DATE(YEAR(B723),MONTH(B723),1)</f>
        <v>46204</v>
      </c>
      <c r="M723" s="31" t="n">
        <f aca="false">WEEKDAY(B723,2)</f>
        <v>5</v>
      </c>
      <c r="N723" s="31" t="str">
        <f aca="false">IF(G723&lt;=INDEX(Assumptions!$B$15:$B$18,MATCH(E723,Assumptions!$A$15:$A$18,0)),"Yes","No")</f>
        <v>No</v>
      </c>
      <c r="O723" s="31" t="str">
        <f aca="false">IF(H723="","Open",IF(H723&lt;=INDEX(Assumptions!$C$15:$C$18,MATCH(E723,Assumptions!$A$15:$A$18,0)),"Yes","No"))</f>
        <v>No</v>
      </c>
    </row>
    <row r="724" customFormat="false" ht="15" hidden="false" customHeight="false" outlineLevel="0" collapsed="false">
      <c r="A724" s="31" t="s">
        <v>874</v>
      </c>
      <c r="B724" s="44" t="n">
        <v>46213</v>
      </c>
      <c r="C724" s="31" t="s">
        <v>59</v>
      </c>
      <c r="D724" s="31" t="s">
        <v>66</v>
      </c>
      <c r="E724" s="31" t="s">
        <v>52</v>
      </c>
      <c r="F724" s="31" t="s">
        <v>129</v>
      </c>
      <c r="G724" s="31" t="n">
        <v>51</v>
      </c>
      <c r="H724" s="41" t="n">
        <v>8.2</v>
      </c>
      <c r="I724" s="31" t="s">
        <v>149</v>
      </c>
      <c r="J724" s="31" t="n">
        <v>3</v>
      </c>
      <c r="K724" s="31" t="s">
        <v>150</v>
      </c>
      <c r="L724" s="45" t="n">
        <f aca="false">DATE(YEAR(B724),MONTH(B724),1)</f>
        <v>46204</v>
      </c>
      <c r="M724" s="31" t="n">
        <f aca="false">WEEKDAY(B724,2)</f>
        <v>5</v>
      </c>
      <c r="N724" s="31" t="str">
        <f aca="false">IF(G724&lt;=INDEX(Assumptions!$B$15:$B$18,MATCH(E724,Assumptions!$A$15:$A$18,0)),"Yes","No")</f>
        <v>Yes</v>
      </c>
      <c r="O724" s="31" t="str">
        <f aca="false">IF(H724="","Open",IF(H724&lt;=INDEX(Assumptions!$C$15:$C$18,MATCH(E724,Assumptions!$A$15:$A$18,0)),"Yes","No"))</f>
        <v>Yes</v>
      </c>
    </row>
    <row r="725" customFormat="false" ht="15" hidden="false" customHeight="false" outlineLevel="0" collapsed="false">
      <c r="A725" s="31" t="s">
        <v>875</v>
      </c>
      <c r="B725" s="44" t="n">
        <v>46213</v>
      </c>
      <c r="C725" s="31" t="s">
        <v>57</v>
      </c>
      <c r="D725" s="31" t="s">
        <v>65</v>
      </c>
      <c r="E725" s="31" t="s">
        <v>51</v>
      </c>
      <c r="F725" s="31" t="s">
        <v>131</v>
      </c>
      <c r="G725" s="31" t="n">
        <v>6</v>
      </c>
      <c r="H725" s="41" t="n">
        <v>3.1</v>
      </c>
      <c r="I725" s="31" t="s">
        <v>149</v>
      </c>
      <c r="J725" s="31"/>
      <c r="K725" s="31" t="s">
        <v>150</v>
      </c>
      <c r="L725" s="45" t="n">
        <f aca="false">DATE(YEAR(B725),MONTH(B725),1)</f>
        <v>46204</v>
      </c>
      <c r="M725" s="31" t="n">
        <f aca="false">WEEKDAY(B725,2)</f>
        <v>5</v>
      </c>
      <c r="N725" s="31" t="str">
        <f aca="false">IF(G725&lt;=INDEX(Assumptions!$B$15:$B$18,MATCH(E725,Assumptions!$A$15:$A$18,0)),"Yes","No")</f>
        <v>Yes</v>
      </c>
      <c r="O725" s="31" t="str">
        <f aca="false">IF(H725="","Open",IF(H725&lt;=INDEX(Assumptions!$C$15:$C$18,MATCH(E725,Assumptions!$A$15:$A$18,0)),"Yes","No"))</f>
        <v>Yes</v>
      </c>
    </row>
    <row r="726" customFormat="false" ht="15" hidden="false" customHeight="false" outlineLevel="0" collapsed="false">
      <c r="A726" s="31" t="s">
        <v>876</v>
      </c>
      <c r="B726" s="44" t="n">
        <v>46213</v>
      </c>
      <c r="C726" s="31" t="s">
        <v>58</v>
      </c>
      <c r="D726" s="31" t="s">
        <v>66</v>
      </c>
      <c r="E726" s="31" t="s">
        <v>49</v>
      </c>
      <c r="F726" s="31" t="s">
        <v>134</v>
      </c>
      <c r="G726" s="31" t="n">
        <v>13</v>
      </c>
      <c r="H726" s="41" t="n">
        <v>8.4</v>
      </c>
      <c r="I726" s="31" t="s">
        <v>149</v>
      </c>
      <c r="J726" s="31"/>
      <c r="K726" s="31" t="s">
        <v>150</v>
      </c>
      <c r="L726" s="45" t="n">
        <f aca="false">DATE(YEAR(B726),MONTH(B726),1)</f>
        <v>46204</v>
      </c>
      <c r="M726" s="31" t="n">
        <f aca="false">WEEKDAY(B726,2)</f>
        <v>5</v>
      </c>
      <c r="N726" s="31" t="str">
        <f aca="false">IF(G726&lt;=INDEX(Assumptions!$B$15:$B$18,MATCH(E726,Assumptions!$A$15:$A$18,0)),"Yes","No")</f>
        <v>Yes</v>
      </c>
      <c r="O726" s="31" t="str">
        <f aca="false">IF(H726="","Open",IF(H726&lt;=INDEX(Assumptions!$C$15:$C$18,MATCH(E726,Assumptions!$A$15:$A$18,0)),"Yes","No"))</f>
        <v>No</v>
      </c>
    </row>
    <row r="727" customFormat="false" ht="15" hidden="false" customHeight="false" outlineLevel="0" collapsed="false">
      <c r="A727" s="31" t="s">
        <v>877</v>
      </c>
      <c r="B727" s="44" t="n">
        <v>46213</v>
      </c>
      <c r="C727" s="31" t="s">
        <v>60</v>
      </c>
      <c r="D727" s="31" t="s">
        <v>69</v>
      </c>
      <c r="E727" s="31" t="s">
        <v>50</v>
      </c>
      <c r="F727" s="31" t="s">
        <v>124</v>
      </c>
      <c r="G727" s="31" t="n">
        <v>1</v>
      </c>
      <c r="H727" s="41" t="n">
        <v>26.7</v>
      </c>
      <c r="I727" s="31" t="s">
        <v>149</v>
      </c>
      <c r="J727" s="31"/>
      <c r="K727" s="31" t="s">
        <v>150</v>
      </c>
      <c r="L727" s="45" t="n">
        <f aca="false">DATE(YEAR(B727),MONTH(B727),1)</f>
        <v>46204</v>
      </c>
      <c r="M727" s="31" t="n">
        <f aca="false">WEEKDAY(B727,2)</f>
        <v>5</v>
      </c>
      <c r="N727" s="31" t="str">
        <f aca="false">IF(G727&lt;=INDEX(Assumptions!$B$15:$B$18,MATCH(E727,Assumptions!$A$15:$A$18,0)),"Yes","No")</f>
        <v>Yes</v>
      </c>
      <c r="O727" s="31" t="str">
        <f aca="false">IF(H727="","Open",IF(H727&lt;=INDEX(Assumptions!$C$15:$C$18,MATCH(E727,Assumptions!$A$15:$A$18,0)),"Yes","No"))</f>
        <v>No</v>
      </c>
    </row>
    <row r="728" customFormat="false" ht="15" hidden="false" customHeight="false" outlineLevel="0" collapsed="false">
      <c r="A728" s="31" t="s">
        <v>878</v>
      </c>
      <c r="B728" s="44" t="n">
        <v>46213</v>
      </c>
      <c r="C728" s="31" t="s">
        <v>58</v>
      </c>
      <c r="D728" s="31" t="s">
        <v>65</v>
      </c>
      <c r="E728" s="31" t="s">
        <v>52</v>
      </c>
      <c r="F728" s="31" t="s">
        <v>130</v>
      </c>
      <c r="G728" s="31" t="n">
        <v>22</v>
      </c>
      <c r="H728" s="41" t="n">
        <v>12.1</v>
      </c>
      <c r="I728" s="31" t="s">
        <v>149</v>
      </c>
      <c r="J728" s="31"/>
      <c r="K728" s="31" t="s">
        <v>150</v>
      </c>
      <c r="L728" s="45" t="n">
        <f aca="false">DATE(YEAR(B728),MONTH(B728),1)</f>
        <v>46204</v>
      </c>
      <c r="M728" s="31" t="n">
        <f aca="false">WEEKDAY(B728,2)</f>
        <v>5</v>
      </c>
      <c r="N728" s="31" t="str">
        <f aca="false">IF(G728&lt;=INDEX(Assumptions!$B$15:$B$18,MATCH(E728,Assumptions!$A$15:$A$18,0)),"Yes","No")</f>
        <v>Yes</v>
      </c>
      <c r="O728" s="31" t="str">
        <f aca="false">IF(H728="","Open",IF(H728&lt;=INDEX(Assumptions!$C$15:$C$18,MATCH(E728,Assumptions!$A$15:$A$18,0)),"Yes","No"))</f>
        <v>Yes</v>
      </c>
    </row>
    <row r="729" customFormat="false" ht="15" hidden="false" customHeight="false" outlineLevel="0" collapsed="false">
      <c r="A729" s="31" t="s">
        <v>879</v>
      </c>
      <c r="B729" s="44" t="n">
        <v>46213</v>
      </c>
      <c r="C729" s="31" t="s">
        <v>57</v>
      </c>
      <c r="D729" s="31" t="s">
        <v>66</v>
      </c>
      <c r="E729" s="31" t="s">
        <v>52</v>
      </c>
      <c r="F729" s="31" t="s">
        <v>126</v>
      </c>
      <c r="G729" s="31" t="n">
        <v>4</v>
      </c>
      <c r="H729" s="41" t="n">
        <v>5.3</v>
      </c>
      <c r="I729" s="31" t="s">
        <v>149</v>
      </c>
      <c r="J729" s="31"/>
      <c r="K729" s="31" t="s">
        <v>150</v>
      </c>
      <c r="L729" s="45" t="n">
        <f aca="false">DATE(YEAR(B729),MONTH(B729),1)</f>
        <v>46204</v>
      </c>
      <c r="M729" s="31" t="n">
        <f aca="false">WEEKDAY(B729,2)</f>
        <v>5</v>
      </c>
      <c r="N729" s="31" t="str">
        <f aca="false">IF(G729&lt;=INDEX(Assumptions!$B$15:$B$18,MATCH(E729,Assumptions!$A$15:$A$18,0)),"Yes","No")</f>
        <v>Yes</v>
      </c>
      <c r="O729" s="31" t="str">
        <f aca="false">IF(H729="","Open",IF(H729&lt;=INDEX(Assumptions!$C$15:$C$18,MATCH(E729,Assumptions!$A$15:$A$18,0)),"Yes","No"))</f>
        <v>Yes</v>
      </c>
    </row>
    <row r="730" customFormat="false" ht="15" hidden="false" customHeight="false" outlineLevel="0" collapsed="false">
      <c r="A730" s="31" t="s">
        <v>880</v>
      </c>
      <c r="B730" s="44" t="n">
        <v>46213</v>
      </c>
      <c r="C730" s="31" t="s">
        <v>59</v>
      </c>
      <c r="D730" s="31" t="s">
        <v>69</v>
      </c>
      <c r="E730" s="31" t="s">
        <v>52</v>
      </c>
      <c r="F730" s="31" t="s">
        <v>127</v>
      </c>
      <c r="G730" s="31" t="n">
        <v>117</v>
      </c>
      <c r="H730" s="41" t="n">
        <v>64</v>
      </c>
      <c r="I730" s="31" t="s">
        <v>149</v>
      </c>
      <c r="J730" s="31"/>
      <c r="K730" s="31" t="s">
        <v>150</v>
      </c>
      <c r="L730" s="45" t="n">
        <f aca="false">DATE(YEAR(B730),MONTH(B730),1)</f>
        <v>46204</v>
      </c>
      <c r="M730" s="31" t="n">
        <f aca="false">WEEKDAY(B730,2)</f>
        <v>5</v>
      </c>
      <c r="N730" s="31" t="str">
        <f aca="false">IF(G730&lt;=INDEX(Assumptions!$B$15:$B$18,MATCH(E730,Assumptions!$A$15:$A$18,0)),"Yes","No")</f>
        <v>Yes</v>
      </c>
      <c r="O730" s="31" t="str">
        <f aca="false">IF(H730="","Open",IF(H730&lt;=INDEX(Assumptions!$C$15:$C$18,MATCH(E730,Assumptions!$A$15:$A$18,0)),"Yes","No"))</f>
        <v>Yes</v>
      </c>
    </row>
    <row r="731" customFormat="false" ht="15" hidden="false" customHeight="false" outlineLevel="0" collapsed="false">
      <c r="A731" s="31" t="s">
        <v>881</v>
      </c>
      <c r="B731" s="44" t="n">
        <v>46213</v>
      </c>
      <c r="C731" s="31" t="s">
        <v>59</v>
      </c>
      <c r="D731" s="31" t="s">
        <v>65</v>
      </c>
      <c r="E731" s="31" t="s">
        <v>52</v>
      </c>
      <c r="F731" s="31" t="s">
        <v>120</v>
      </c>
      <c r="G731" s="31" t="n">
        <v>66</v>
      </c>
      <c r="H731" s="41" t="n">
        <v>3.8</v>
      </c>
      <c r="I731" s="31" t="s">
        <v>149</v>
      </c>
      <c r="J731" s="31"/>
      <c r="K731" s="31" t="s">
        <v>150</v>
      </c>
      <c r="L731" s="45" t="n">
        <f aca="false">DATE(YEAR(B731),MONTH(B731),1)</f>
        <v>46204</v>
      </c>
      <c r="M731" s="31" t="n">
        <f aca="false">WEEKDAY(B731,2)</f>
        <v>5</v>
      </c>
      <c r="N731" s="31" t="str">
        <f aca="false">IF(G731&lt;=INDEX(Assumptions!$B$15:$B$18,MATCH(E731,Assumptions!$A$15:$A$18,0)),"Yes","No")</f>
        <v>Yes</v>
      </c>
      <c r="O731" s="31" t="str">
        <f aca="false">IF(H731="","Open",IF(H731&lt;=INDEX(Assumptions!$C$15:$C$18,MATCH(E731,Assumptions!$A$15:$A$18,0)),"Yes","No"))</f>
        <v>Yes</v>
      </c>
    </row>
    <row r="732" customFormat="false" ht="15" hidden="false" customHeight="false" outlineLevel="0" collapsed="false">
      <c r="A732" s="31" t="s">
        <v>882</v>
      </c>
      <c r="B732" s="44" t="n">
        <v>46213</v>
      </c>
      <c r="C732" s="31" t="s">
        <v>58</v>
      </c>
      <c r="D732" s="31" t="s">
        <v>67</v>
      </c>
      <c r="E732" s="31" t="s">
        <v>51</v>
      </c>
      <c r="F732" s="31" t="s">
        <v>137</v>
      </c>
      <c r="G732" s="31" t="n">
        <v>7</v>
      </c>
      <c r="H732" s="41" t="n">
        <v>18.8</v>
      </c>
      <c r="I732" s="31" t="s">
        <v>149</v>
      </c>
      <c r="J732" s="31"/>
      <c r="K732" s="31" t="s">
        <v>150</v>
      </c>
      <c r="L732" s="45" t="n">
        <f aca="false">DATE(YEAR(B732),MONTH(B732),1)</f>
        <v>46204</v>
      </c>
      <c r="M732" s="31" t="n">
        <f aca="false">WEEKDAY(B732,2)</f>
        <v>5</v>
      </c>
      <c r="N732" s="31" t="str">
        <f aca="false">IF(G732&lt;=INDEX(Assumptions!$B$15:$B$18,MATCH(E732,Assumptions!$A$15:$A$18,0)),"Yes","No")</f>
        <v>Yes</v>
      </c>
      <c r="O732" s="31" t="str">
        <f aca="false">IF(H732="","Open",IF(H732&lt;=INDEX(Assumptions!$C$15:$C$18,MATCH(E732,Assumptions!$A$15:$A$18,0)),"Yes","No"))</f>
        <v>Yes</v>
      </c>
    </row>
    <row r="733" customFormat="false" ht="15" hidden="false" customHeight="false" outlineLevel="0" collapsed="false">
      <c r="A733" s="31" t="s">
        <v>883</v>
      </c>
      <c r="B733" s="44" t="n">
        <v>46213</v>
      </c>
      <c r="C733" s="31" t="s">
        <v>60</v>
      </c>
      <c r="D733" s="31" t="s">
        <v>65</v>
      </c>
      <c r="E733" s="31" t="s">
        <v>50</v>
      </c>
      <c r="F733" s="31" t="s">
        <v>136</v>
      </c>
      <c r="G733" s="31" t="n">
        <v>2</v>
      </c>
      <c r="H733" s="41" t="n">
        <v>15.7</v>
      </c>
      <c r="I733" s="31" t="s">
        <v>149</v>
      </c>
      <c r="J733" s="31" t="n">
        <v>4</v>
      </c>
      <c r="K733" s="31" t="s">
        <v>150</v>
      </c>
      <c r="L733" s="45" t="n">
        <f aca="false">DATE(YEAR(B733),MONTH(B733),1)</f>
        <v>46204</v>
      </c>
      <c r="M733" s="31" t="n">
        <f aca="false">WEEKDAY(B733,2)</f>
        <v>5</v>
      </c>
      <c r="N733" s="31" t="str">
        <f aca="false">IF(G733&lt;=INDEX(Assumptions!$B$15:$B$18,MATCH(E733,Assumptions!$A$15:$A$18,0)),"Yes","No")</f>
        <v>Yes</v>
      </c>
      <c r="O733" s="31" t="str">
        <f aca="false">IF(H733="","Open",IF(H733&lt;=INDEX(Assumptions!$C$15:$C$18,MATCH(E733,Assumptions!$A$15:$A$18,0)),"Yes","No"))</f>
        <v>No</v>
      </c>
    </row>
    <row r="734" customFormat="false" ht="15" hidden="false" customHeight="false" outlineLevel="0" collapsed="false">
      <c r="A734" s="31" t="s">
        <v>884</v>
      </c>
      <c r="B734" s="44" t="n">
        <v>46213</v>
      </c>
      <c r="C734" s="31" t="s">
        <v>60</v>
      </c>
      <c r="D734" s="31" t="s">
        <v>67</v>
      </c>
      <c r="E734" s="31" t="s">
        <v>50</v>
      </c>
      <c r="F734" s="31" t="s">
        <v>127</v>
      </c>
      <c r="G734" s="31" t="n">
        <v>1</v>
      </c>
      <c r="H734" s="41"/>
      <c r="I734" s="31" t="s">
        <v>158</v>
      </c>
      <c r="J734" s="31"/>
      <c r="K734" s="31" t="s">
        <v>150</v>
      </c>
      <c r="L734" s="45" t="n">
        <f aca="false">DATE(YEAR(B734),MONTH(B734),1)</f>
        <v>46204</v>
      </c>
      <c r="M734" s="31" t="n">
        <f aca="false">WEEKDAY(B734,2)</f>
        <v>5</v>
      </c>
      <c r="N734" s="31" t="str">
        <f aca="false">IF(G734&lt;=INDEX(Assumptions!$B$15:$B$18,MATCH(E734,Assumptions!$A$15:$A$18,0)),"Yes","No")</f>
        <v>Yes</v>
      </c>
      <c r="O734" s="31" t="str">
        <f aca="false">IF(H734="","Open",IF(H734&lt;=INDEX(Assumptions!$C$15:$C$18,MATCH(E734,Assumptions!$A$15:$A$18,0)),"Yes","No"))</f>
        <v>Open</v>
      </c>
    </row>
    <row r="735" customFormat="false" ht="15" hidden="false" customHeight="false" outlineLevel="0" collapsed="false">
      <c r="A735" s="31" t="s">
        <v>885</v>
      </c>
      <c r="B735" s="44" t="n">
        <v>46213</v>
      </c>
      <c r="C735" s="31" t="s">
        <v>58</v>
      </c>
      <c r="D735" s="31" t="s">
        <v>66</v>
      </c>
      <c r="E735" s="31" t="s">
        <v>51</v>
      </c>
      <c r="F735" s="31" t="s">
        <v>136</v>
      </c>
      <c r="G735" s="31" t="n">
        <v>7</v>
      </c>
      <c r="H735" s="41" t="n">
        <v>1.5</v>
      </c>
      <c r="I735" s="31" t="s">
        <v>149</v>
      </c>
      <c r="J735" s="31"/>
      <c r="K735" s="31" t="s">
        <v>150</v>
      </c>
      <c r="L735" s="45" t="n">
        <f aca="false">DATE(YEAR(B735),MONTH(B735),1)</f>
        <v>46204</v>
      </c>
      <c r="M735" s="31" t="n">
        <f aca="false">WEEKDAY(B735,2)</f>
        <v>5</v>
      </c>
      <c r="N735" s="31" t="str">
        <f aca="false">IF(G735&lt;=INDEX(Assumptions!$B$15:$B$18,MATCH(E735,Assumptions!$A$15:$A$18,0)),"Yes","No")</f>
        <v>Yes</v>
      </c>
      <c r="O735" s="31" t="str">
        <f aca="false">IF(H735="","Open",IF(H735&lt;=INDEX(Assumptions!$C$15:$C$18,MATCH(E735,Assumptions!$A$15:$A$18,0)),"Yes","No"))</f>
        <v>Yes</v>
      </c>
    </row>
    <row r="736" customFormat="false" ht="15" hidden="false" customHeight="false" outlineLevel="0" collapsed="false">
      <c r="A736" s="31" t="s">
        <v>886</v>
      </c>
      <c r="B736" s="44" t="n">
        <v>46213</v>
      </c>
      <c r="C736" s="31" t="s">
        <v>60</v>
      </c>
      <c r="D736" s="31" t="s">
        <v>67</v>
      </c>
      <c r="E736" s="31" t="s">
        <v>51</v>
      </c>
      <c r="F736" s="31" t="s">
        <v>129</v>
      </c>
      <c r="G736" s="31" t="n">
        <v>1</v>
      </c>
      <c r="H736" s="41" t="n">
        <v>20.8</v>
      </c>
      <c r="I736" s="31" t="s">
        <v>149</v>
      </c>
      <c r="J736" s="31" t="n">
        <v>5</v>
      </c>
      <c r="K736" s="31" t="s">
        <v>150</v>
      </c>
      <c r="L736" s="45" t="n">
        <f aca="false">DATE(YEAR(B736),MONTH(B736),1)</f>
        <v>46204</v>
      </c>
      <c r="M736" s="31" t="n">
        <f aca="false">WEEKDAY(B736,2)</f>
        <v>5</v>
      </c>
      <c r="N736" s="31" t="str">
        <f aca="false">IF(G736&lt;=INDEX(Assumptions!$B$15:$B$18,MATCH(E736,Assumptions!$A$15:$A$18,0)),"Yes","No")</f>
        <v>Yes</v>
      </c>
      <c r="O736" s="31" t="str">
        <f aca="false">IF(H736="","Open",IF(H736&lt;=INDEX(Assumptions!$C$15:$C$18,MATCH(E736,Assumptions!$A$15:$A$18,0)),"Yes","No"))</f>
        <v>Yes</v>
      </c>
    </row>
    <row r="737" customFormat="false" ht="15" hidden="false" customHeight="false" outlineLevel="0" collapsed="false">
      <c r="A737" s="31" t="s">
        <v>887</v>
      </c>
      <c r="B737" s="44" t="n">
        <v>46213</v>
      </c>
      <c r="C737" s="31" t="s">
        <v>58</v>
      </c>
      <c r="D737" s="31" t="s">
        <v>65</v>
      </c>
      <c r="E737" s="31" t="s">
        <v>51</v>
      </c>
      <c r="F737" s="31" t="s">
        <v>121</v>
      </c>
      <c r="G737" s="31" t="n">
        <v>10</v>
      </c>
      <c r="H737" s="41" t="n">
        <v>4.4</v>
      </c>
      <c r="I737" s="31" t="s">
        <v>149</v>
      </c>
      <c r="J737" s="31" t="n">
        <v>4</v>
      </c>
      <c r="K737" s="31" t="s">
        <v>150</v>
      </c>
      <c r="L737" s="45" t="n">
        <f aca="false">DATE(YEAR(B737),MONTH(B737),1)</f>
        <v>46204</v>
      </c>
      <c r="M737" s="31" t="n">
        <f aca="false">WEEKDAY(B737,2)</f>
        <v>5</v>
      </c>
      <c r="N737" s="31" t="str">
        <f aca="false">IF(G737&lt;=INDEX(Assumptions!$B$15:$B$18,MATCH(E737,Assumptions!$A$15:$A$18,0)),"Yes","No")</f>
        <v>Yes</v>
      </c>
      <c r="O737" s="31" t="str">
        <f aca="false">IF(H737="","Open",IF(H737&lt;=INDEX(Assumptions!$C$15:$C$18,MATCH(E737,Assumptions!$A$15:$A$18,0)),"Yes","No"))</f>
        <v>Yes</v>
      </c>
    </row>
    <row r="738" customFormat="false" ht="15" hidden="false" customHeight="false" outlineLevel="0" collapsed="false">
      <c r="A738" s="31" t="s">
        <v>888</v>
      </c>
      <c r="B738" s="44" t="n">
        <v>46214</v>
      </c>
      <c r="C738" s="31" t="s">
        <v>60</v>
      </c>
      <c r="D738" s="31" t="s">
        <v>67</v>
      </c>
      <c r="E738" s="31" t="s">
        <v>51</v>
      </c>
      <c r="F738" s="31" t="s">
        <v>119</v>
      </c>
      <c r="G738" s="31" t="n">
        <v>2</v>
      </c>
      <c r="H738" s="41" t="n">
        <v>30.2</v>
      </c>
      <c r="I738" s="31" t="s">
        <v>149</v>
      </c>
      <c r="J738" s="31" t="n">
        <v>3</v>
      </c>
      <c r="K738" s="31" t="s">
        <v>150</v>
      </c>
      <c r="L738" s="45" t="n">
        <f aca="false">DATE(YEAR(B738),MONTH(B738),1)</f>
        <v>46204</v>
      </c>
      <c r="M738" s="31" t="n">
        <f aca="false">WEEKDAY(B738,2)</f>
        <v>6</v>
      </c>
      <c r="N738" s="31" t="str">
        <f aca="false">IF(G738&lt;=INDEX(Assumptions!$B$15:$B$18,MATCH(E738,Assumptions!$A$15:$A$18,0)),"Yes","No")</f>
        <v>Yes</v>
      </c>
      <c r="O738" s="31" t="str">
        <f aca="false">IF(H738="","Open",IF(H738&lt;=INDEX(Assumptions!$C$15:$C$18,MATCH(E738,Assumptions!$A$15:$A$18,0)),"Yes","No"))</f>
        <v>No</v>
      </c>
    </row>
    <row r="739" customFormat="false" ht="15" hidden="false" customHeight="false" outlineLevel="0" collapsed="false">
      <c r="A739" s="31" t="s">
        <v>889</v>
      </c>
      <c r="B739" s="44" t="n">
        <v>46214</v>
      </c>
      <c r="C739" s="31" t="s">
        <v>59</v>
      </c>
      <c r="D739" s="31" t="s">
        <v>65</v>
      </c>
      <c r="E739" s="31" t="s">
        <v>51</v>
      </c>
      <c r="F739" s="31" t="s">
        <v>130</v>
      </c>
      <c r="G739" s="31" t="n">
        <v>81</v>
      </c>
      <c r="H739" s="41" t="n">
        <v>14</v>
      </c>
      <c r="I739" s="31" t="s">
        <v>149</v>
      </c>
      <c r="J739" s="31" t="n">
        <v>4</v>
      </c>
      <c r="K739" s="31" t="s">
        <v>150</v>
      </c>
      <c r="L739" s="45" t="n">
        <f aca="false">DATE(YEAR(B739),MONTH(B739),1)</f>
        <v>46204</v>
      </c>
      <c r="M739" s="31" t="n">
        <f aca="false">WEEKDAY(B739,2)</f>
        <v>6</v>
      </c>
      <c r="N739" s="31" t="str">
        <f aca="false">IF(G739&lt;=INDEX(Assumptions!$B$15:$B$18,MATCH(E739,Assumptions!$A$15:$A$18,0)),"Yes","No")</f>
        <v>No</v>
      </c>
      <c r="O739" s="31" t="str">
        <f aca="false">IF(H739="","Open",IF(H739&lt;=INDEX(Assumptions!$C$15:$C$18,MATCH(E739,Assumptions!$A$15:$A$18,0)),"Yes","No"))</f>
        <v>Yes</v>
      </c>
    </row>
    <row r="740" customFormat="false" ht="15" hidden="false" customHeight="false" outlineLevel="0" collapsed="false">
      <c r="A740" s="31" t="s">
        <v>890</v>
      </c>
      <c r="B740" s="44" t="n">
        <v>46214</v>
      </c>
      <c r="C740" s="31" t="s">
        <v>58</v>
      </c>
      <c r="D740" s="31" t="s">
        <v>69</v>
      </c>
      <c r="E740" s="31" t="s">
        <v>50</v>
      </c>
      <c r="F740" s="31" t="s">
        <v>123</v>
      </c>
      <c r="G740" s="31" t="n">
        <v>10</v>
      </c>
      <c r="H740" s="41" t="n">
        <v>17.5</v>
      </c>
      <c r="I740" s="31" t="s">
        <v>149</v>
      </c>
      <c r="J740" s="31"/>
      <c r="K740" s="31" t="s">
        <v>150</v>
      </c>
      <c r="L740" s="45" t="n">
        <f aca="false">DATE(YEAR(B740),MONTH(B740),1)</f>
        <v>46204</v>
      </c>
      <c r="M740" s="31" t="n">
        <f aca="false">WEEKDAY(B740,2)</f>
        <v>6</v>
      </c>
      <c r="N740" s="31" t="str">
        <f aca="false">IF(G740&lt;=INDEX(Assumptions!$B$15:$B$18,MATCH(E740,Assumptions!$A$15:$A$18,0)),"Yes","No")</f>
        <v>Yes</v>
      </c>
      <c r="O740" s="31" t="str">
        <f aca="false">IF(H740="","Open",IF(H740&lt;=INDEX(Assumptions!$C$15:$C$18,MATCH(E740,Assumptions!$A$15:$A$18,0)),"Yes","No"))</f>
        <v>No</v>
      </c>
    </row>
    <row r="741" customFormat="false" ht="15" hidden="false" customHeight="false" outlineLevel="0" collapsed="false">
      <c r="A741" s="31" t="s">
        <v>891</v>
      </c>
      <c r="B741" s="44" t="n">
        <v>46214</v>
      </c>
      <c r="C741" s="31" t="s">
        <v>59</v>
      </c>
      <c r="D741" s="31" t="s">
        <v>66</v>
      </c>
      <c r="E741" s="31" t="s">
        <v>51</v>
      </c>
      <c r="F741" s="31" t="s">
        <v>121</v>
      </c>
      <c r="G741" s="31" t="n">
        <v>163</v>
      </c>
      <c r="H741" s="41" t="n">
        <v>2.6</v>
      </c>
      <c r="I741" s="31" t="s">
        <v>149</v>
      </c>
      <c r="J741" s="31"/>
      <c r="K741" s="31" t="s">
        <v>150</v>
      </c>
      <c r="L741" s="45" t="n">
        <f aca="false">DATE(YEAR(B741),MONTH(B741),1)</f>
        <v>46204</v>
      </c>
      <c r="M741" s="31" t="n">
        <f aca="false">WEEKDAY(B741,2)</f>
        <v>6</v>
      </c>
      <c r="N741" s="31" t="str">
        <f aca="false">IF(G741&lt;=INDEX(Assumptions!$B$15:$B$18,MATCH(E741,Assumptions!$A$15:$A$18,0)),"Yes","No")</f>
        <v>No</v>
      </c>
      <c r="O741" s="31" t="str">
        <f aca="false">IF(H741="","Open",IF(H741&lt;=INDEX(Assumptions!$C$15:$C$18,MATCH(E741,Assumptions!$A$15:$A$18,0)),"Yes","No"))</f>
        <v>Yes</v>
      </c>
    </row>
    <row r="742" customFormat="false" ht="15" hidden="false" customHeight="false" outlineLevel="0" collapsed="false">
      <c r="A742" s="31" t="s">
        <v>892</v>
      </c>
      <c r="B742" s="44" t="n">
        <v>46214</v>
      </c>
      <c r="C742" s="31" t="s">
        <v>58</v>
      </c>
      <c r="D742" s="31" t="s">
        <v>65</v>
      </c>
      <c r="E742" s="31" t="s">
        <v>51</v>
      </c>
      <c r="F742" s="31" t="s">
        <v>121</v>
      </c>
      <c r="G742" s="31" t="n">
        <v>13</v>
      </c>
      <c r="H742" s="41"/>
      <c r="I742" s="31" t="s">
        <v>158</v>
      </c>
      <c r="J742" s="31"/>
      <c r="K742" s="31" t="s">
        <v>150</v>
      </c>
      <c r="L742" s="45" t="n">
        <f aca="false">DATE(YEAR(B742),MONTH(B742),1)</f>
        <v>46204</v>
      </c>
      <c r="M742" s="31" t="n">
        <f aca="false">WEEKDAY(B742,2)</f>
        <v>6</v>
      </c>
      <c r="N742" s="31" t="str">
        <f aca="false">IF(G742&lt;=INDEX(Assumptions!$B$15:$B$18,MATCH(E742,Assumptions!$A$15:$A$18,0)),"Yes","No")</f>
        <v>Yes</v>
      </c>
      <c r="O742" s="31" t="str">
        <f aca="false">IF(H742="","Open",IF(H742&lt;=INDEX(Assumptions!$C$15:$C$18,MATCH(E742,Assumptions!$A$15:$A$18,0)),"Yes","No"))</f>
        <v>Open</v>
      </c>
    </row>
    <row r="743" customFormat="false" ht="15" hidden="false" customHeight="false" outlineLevel="0" collapsed="false">
      <c r="A743" s="31" t="s">
        <v>893</v>
      </c>
      <c r="B743" s="44" t="n">
        <v>46214</v>
      </c>
      <c r="C743" s="31" t="s">
        <v>58</v>
      </c>
      <c r="D743" s="31" t="s">
        <v>68</v>
      </c>
      <c r="E743" s="31" t="s">
        <v>49</v>
      </c>
      <c r="F743" s="31" t="s">
        <v>133</v>
      </c>
      <c r="G743" s="31" t="n">
        <v>14</v>
      </c>
      <c r="H743" s="41" t="n">
        <v>2.4</v>
      </c>
      <c r="I743" s="31" t="s">
        <v>64</v>
      </c>
      <c r="J743" s="31"/>
      <c r="K743" s="31" t="s">
        <v>150</v>
      </c>
      <c r="L743" s="45" t="n">
        <f aca="false">DATE(YEAR(B743),MONTH(B743),1)</f>
        <v>46204</v>
      </c>
      <c r="M743" s="31" t="n">
        <f aca="false">WEEKDAY(B743,2)</f>
        <v>6</v>
      </c>
      <c r="N743" s="31" t="str">
        <f aca="false">IF(G743&lt;=INDEX(Assumptions!$B$15:$B$18,MATCH(E743,Assumptions!$A$15:$A$18,0)),"Yes","No")</f>
        <v>Yes</v>
      </c>
      <c r="O743" s="31" t="str">
        <f aca="false">IF(H743="","Open",IF(H743&lt;=INDEX(Assumptions!$C$15:$C$18,MATCH(E743,Assumptions!$A$15:$A$18,0)),"Yes","No"))</f>
        <v>Yes</v>
      </c>
    </row>
    <row r="744" customFormat="false" ht="15" hidden="false" customHeight="false" outlineLevel="0" collapsed="false">
      <c r="A744" s="31" t="s">
        <v>894</v>
      </c>
      <c r="B744" s="44" t="n">
        <v>46214</v>
      </c>
      <c r="C744" s="31" t="s">
        <v>57</v>
      </c>
      <c r="D744" s="31" t="s">
        <v>68</v>
      </c>
      <c r="E744" s="31" t="s">
        <v>50</v>
      </c>
      <c r="F744" s="31" t="s">
        <v>126</v>
      </c>
      <c r="G744" s="31" t="n">
        <v>1</v>
      </c>
      <c r="H744" s="41" t="n">
        <v>1.5</v>
      </c>
      <c r="I744" s="31" t="s">
        <v>149</v>
      </c>
      <c r="J744" s="31" t="n">
        <v>5</v>
      </c>
      <c r="K744" s="31" t="s">
        <v>150</v>
      </c>
      <c r="L744" s="45" t="n">
        <f aca="false">DATE(YEAR(B744),MONTH(B744),1)</f>
        <v>46204</v>
      </c>
      <c r="M744" s="31" t="n">
        <f aca="false">WEEKDAY(B744,2)</f>
        <v>6</v>
      </c>
      <c r="N744" s="31" t="str">
        <f aca="false">IF(G744&lt;=INDEX(Assumptions!$B$15:$B$18,MATCH(E744,Assumptions!$A$15:$A$18,0)),"Yes","No")</f>
        <v>Yes</v>
      </c>
      <c r="O744" s="31" t="str">
        <f aca="false">IF(H744="","Open",IF(H744&lt;=INDEX(Assumptions!$C$15:$C$18,MATCH(E744,Assumptions!$A$15:$A$18,0)),"Yes","No"))</f>
        <v>Yes</v>
      </c>
    </row>
    <row r="745" customFormat="false" ht="15" hidden="false" customHeight="false" outlineLevel="0" collapsed="false">
      <c r="A745" s="31" t="s">
        <v>895</v>
      </c>
      <c r="B745" s="44" t="n">
        <v>46214</v>
      </c>
      <c r="C745" s="31" t="s">
        <v>59</v>
      </c>
      <c r="D745" s="31" t="s">
        <v>65</v>
      </c>
      <c r="E745" s="31" t="s">
        <v>52</v>
      </c>
      <c r="F745" s="31" t="s">
        <v>135</v>
      </c>
      <c r="G745" s="31" t="n">
        <v>472</v>
      </c>
      <c r="H745" s="41" t="n">
        <v>27.5</v>
      </c>
      <c r="I745" s="31" t="s">
        <v>149</v>
      </c>
      <c r="J745" s="31"/>
      <c r="K745" s="31" t="s">
        <v>150</v>
      </c>
      <c r="L745" s="45" t="n">
        <f aca="false">DATE(YEAR(B745),MONTH(B745),1)</f>
        <v>46204</v>
      </c>
      <c r="M745" s="31" t="n">
        <f aca="false">WEEKDAY(B745,2)</f>
        <v>6</v>
      </c>
      <c r="N745" s="31" t="str">
        <f aca="false">IF(G745&lt;=INDEX(Assumptions!$B$15:$B$18,MATCH(E745,Assumptions!$A$15:$A$18,0)),"Yes","No")</f>
        <v>No</v>
      </c>
      <c r="O745" s="31" t="str">
        <f aca="false">IF(H745="","Open",IF(H745&lt;=INDEX(Assumptions!$C$15:$C$18,MATCH(E745,Assumptions!$A$15:$A$18,0)),"Yes","No"))</f>
        <v>Yes</v>
      </c>
    </row>
    <row r="746" customFormat="false" ht="15" hidden="false" customHeight="false" outlineLevel="0" collapsed="false">
      <c r="A746" s="31" t="s">
        <v>896</v>
      </c>
      <c r="B746" s="44" t="n">
        <v>46214</v>
      </c>
      <c r="C746" s="31" t="s">
        <v>58</v>
      </c>
      <c r="D746" s="31" t="s">
        <v>67</v>
      </c>
      <c r="E746" s="31" t="s">
        <v>51</v>
      </c>
      <c r="F746" s="31" t="s">
        <v>136</v>
      </c>
      <c r="G746" s="31" t="n">
        <v>4</v>
      </c>
      <c r="H746" s="41" t="n">
        <v>35.6</v>
      </c>
      <c r="I746" s="31" t="s">
        <v>64</v>
      </c>
      <c r="J746" s="31" t="n">
        <v>3</v>
      </c>
      <c r="K746" s="31" t="s">
        <v>150</v>
      </c>
      <c r="L746" s="45" t="n">
        <f aca="false">DATE(YEAR(B746),MONTH(B746),1)</f>
        <v>46204</v>
      </c>
      <c r="M746" s="31" t="n">
        <f aca="false">WEEKDAY(B746,2)</f>
        <v>6</v>
      </c>
      <c r="N746" s="31" t="str">
        <f aca="false">IF(G746&lt;=INDEX(Assumptions!$B$15:$B$18,MATCH(E746,Assumptions!$A$15:$A$18,0)),"Yes","No")</f>
        <v>Yes</v>
      </c>
      <c r="O746" s="31" t="str">
        <f aca="false">IF(H746="","Open",IF(H746&lt;=INDEX(Assumptions!$C$15:$C$18,MATCH(E746,Assumptions!$A$15:$A$18,0)),"Yes","No"))</f>
        <v>No</v>
      </c>
    </row>
    <row r="747" customFormat="false" ht="15" hidden="false" customHeight="false" outlineLevel="0" collapsed="false">
      <c r="A747" s="31" t="s">
        <v>897</v>
      </c>
      <c r="B747" s="44" t="n">
        <v>46214</v>
      </c>
      <c r="C747" s="31" t="s">
        <v>59</v>
      </c>
      <c r="D747" s="31" t="s">
        <v>67</v>
      </c>
      <c r="E747" s="31" t="s">
        <v>50</v>
      </c>
      <c r="F747" s="31" t="s">
        <v>122</v>
      </c>
      <c r="G747" s="31" t="n">
        <v>15</v>
      </c>
      <c r="H747" s="41" t="n">
        <v>2.4</v>
      </c>
      <c r="I747" s="31" t="s">
        <v>149</v>
      </c>
      <c r="J747" s="31" t="n">
        <v>5</v>
      </c>
      <c r="K747" s="31" t="s">
        <v>150</v>
      </c>
      <c r="L747" s="45" t="n">
        <f aca="false">DATE(YEAR(B747),MONTH(B747),1)</f>
        <v>46204</v>
      </c>
      <c r="M747" s="31" t="n">
        <f aca="false">WEEKDAY(B747,2)</f>
        <v>6</v>
      </c>
      <c r="N747" s="31" t="str">
        <f aca="false">IF(G747&lt;=INDEX(Assumptions!$B$15:$B$18,MATCH(E747,Assumptions!$A$15:$A$18,0)),"Yes","No")</f>
        <v>Yes</v>
      </c>
      <c r="O747" s="31" t="str">
        <f aca="false">IF(H747="","Open",IF(H747&lt;=INDEX(Assumptions!$C$15:$C$18,MATCH(E747,Assumptions!$A$15:$A$18,0)),"Yes","No"))</f>
        <v>Yes</v>
      </c>
    </row>
    <row r="748" customFormat="false" ht="15" hidden="false" customHeight="false" outlineLevel="0" collapsed="false">
      <c r="A748" s="31" t="s">
        <v>898</v>
      </c>
      <c r="B748" s="44" t="n">
        <v>46214</v>
      </c>
      <c r="C748" s="31" t="s">
        <v>59</v>
      </c>
      <c r="D748" s="31" t="s">
        <v>65</v>
      </c>
      <c r="E748" s="31" t="s">
        <v>51</v>
      </c>
      <c r="F748" s="31" t="s">
        <v>124</v>
      </c>
      <c r="G748" s="31" t="n">
        <v>78</v>
      </c>
      <c r="H748" s="41" t="n">
        <v>3.5</v>
      </c>
      <c r="I748" s="31" t="s">
        <v>149</v>
      </c>
      <c r="J748" s="31" t="n">
        <v>4</v>
      </c>
      <c r="K748" s="31" t="s">
        <v>150</v>
      </c>
      <c r="L748" s="45" t="n">
        <f aca="false">DATE(YEAR(B748),MONTH(B748),1)</f>
        <v>46204</v>
      </c>
      <c r="M748" s="31" t="n">
        <f aca="false">WEEKDAY(B748,2)</f>
        <v>6</v>
      </c>
      <c r="N748" s="31" t="str">
        <f aca="false">IF(G748&lt;=INDEX(Assumptions!$B$15:$B$18,MATCH(E748,Assumptions!$A$15:$A$18,0)),"Yes","No")</f>
        <v>No</v>
      </c>
      <c r="O748" s="31" t="str">
        <f aca="false">IF(H748="","Open",IF(H748&lt;=INDEX(Assumptions!$C$15:$C$18,MATCH(E748,Assumptions!$A$15:$A$18,0)),"Yes","No"))</f>
        <v>Yes</v>
      </c>
    </row>
    <row r="749" customFormat="false" ht="15" hidden="false" customHeight="false" outlineLevel="0" collapsed="false">
      <c r="A749" s="31" t="s">
        <v>899</v>
      </c>
      <c r="B749" s="44" t="n">
        <v>46214</v>
      </c>
      <c r="C749" s="31" t="s">
        <v>58</v>
      </c>
      <c r="D749" s="31" t="s">
        <v>68</v>
      </c>
      <c r="E749" s="31" t="s">
        <v>52</v>
      </c>
      <c r="F749" s="31" t="s">
        <v>124</v>
      </c>
      <c r="G749" s="31" t="n">
        <v>5</v>
      </c>
      <c r="H749" s="41" t="n">
        <v>10.1</v>
      </c>
      <c r="I749" s="31" t="s">
        <v>149</v>
      </c>
      <c r="J749" s="31"/>
      <c r="K749" s="31" t="s">
        <v>150</v>
      </c>
      <c r="L749" s="45" t="n">
        <f aca="false">DATE(YEAR(B749),MONTH(B749),1)</f>
        <v>46204</v>
      </c>
      <c r="M749" s="31" t="n">
        <f aca="false">WEEKDAY(B749,2)</f>
        <v>6</v>
      </c>
      <c r="N749" s="31" t="str">
        <f aca="false">IF(G749&lt;=INDEX(Assumptions!$B$15:$B$18,MATCH(E749,Assumptions!$A$15:$A$18,0)),"Yes","No")</f>
        <v>Yes</v>
      </c>
      <c r="O749" s="31" t="str">
        <f aca="false">IF(H749="","Open",IF(H749&lt;=INDEX(Assumptions!$C$15:$C$18,MATCH(E749,Assumptions!$A$15:$A$18,0)),"Yes","No"))</f>
        <v>Yes</v>
      </c>
    </row>
    <row r="750" customFormat="false" ht="15" hidden="false" customHeight="false" outlineLevel="0" collapsed="false">
      <c r="A750" s="31" t="s">
        <v>900</v>
      </c>
      <c r="B750" s="44" t="n">
        <v>46214</v>
      </c>
      <c r="C750" s="31" t="s">
        <v>60</v>
      </c>
      <c r="D750" s="31" t="s">
        <v>67</v>
      </c>
      <c r="E750" s="31" t="s">
        <v>50</v>
      </c>
      <c r="F750" s="31" t="s">
        <v>136</v>
      </c>
      <c r="G750" s="31" t="n">
        <v>1</v>
      </c>
      <c r="H750" s="41" t="n">
        <v>5.9</v>
      </c>
      <c r="I750" s="31" t="s">
        <v>149</v>
      </c>
      <c r="J750" s="31" t="n">
        <v>5</v>
      </c>
      <c r="K750" s="31" t="s">
        <v>150</v>
      </c>
      <c r="L750" s="45" t="n">
        <f aca="false">DATE(YEAR(B750),MONTH(B750),1)</f>
        <v>46204</v>
      </c>
      <c r="M750" s="31" t="n">
        <f aca="false">WEEKDAY(B750,2)</f>
        <v>6</v>
      </c>
      <c r="N750" s="31" t="str">
        <f aca="false">IF(G750&lt;=INDEX(Assumptions!$B$15:$B$18,MATCH(E750,Assumptions!$A$15:$A$18,0)),"Yes","No")</f>
        <v>Yes</v>
      </c>
      <c r="O750" s="31" t="str">
        <f aca="false">IF(H750="","Open",IF(H750&lt;=INDEX(Assumptions!$C$15:$C$18,MATCH(E750,Assumptions!$A$15:$A$18,0)),"Yes","No"))</f>
        <v>Yes</v>
      </c>
    </row>
    <row r="751" customFormat="false" ht="15" hidden="false" customHeight="false" outlineLevel="0" collapsed="false">
      <c r="A751" s="31" t="s">
        <v>901</v>
      </c>
      <c r="B751" s="44" t="n">
        <v>46214</v>
      </c>
      <c r="C751" s="31" t="s">
        <v>58</v>
      </c>
      <c r="D751" s="31" t="s">
        <v>67</v>
      </c>
      <c r="E751" s="31" t="s">
        <v>51</v>
      </c>
      <c r="F751" s="31" t="s">
        <v>127</v>
      </c>
      <c r="G751" s="31" t="n">
        <v>7</v>
      </c>
      <c r="H751" s="41" t="n">
        <v>9.6</v>
      </c>
      <c r="I751" s="31" t="s">
        <v>149</v>
      </c>
      <c r="J751" s="31"/>
      <c r="K751" s="31" t="s">
        <v>150</v>
      </c>
      <c r="L751" s="45" t="n">
        <f aca="false">DATE(YEAR(B751),MONTH(B751),1)</f>
        <v>46204</v>
      </c>
      <c r="M751" s="31" t="n">
        <f aca="false">WEEKDAY(B751,2)</f>
        <v>6</v>
      </c>
      <c r="N751" s="31" t="str">
        <f aca="false">IF(G751&lt;=INDEX(Assumptions!$B$15:$B$18,MATCH(E751,Assumptions!$A$15:$A$18,0)),"Yes","No")</f>
        <v>Yes</v>
      </c>
      <c r="O751" s="31" t="str">
        <f aca="false">IF(H751="","Open",IF(H751&lt;=INDEX(Assumptions!$C$15:$C$18,MATCH(E751,Assumptions!$A$15:$A$18,0)),"Yes","No"))</f>
        <v>Yes</v>
      </c>
    </row>
    <row r="752" customFormat="false" ht="15" hidden="false" customHeight="false" outlineLevel="0" collapsed="false">
      <c r="A752" s="31" t="s">
        <v>902</v>
      </c>
      <c r="B752" s="44" t="n">
        <v>46214</v>
      </c>
      <c r="C752" s="31" t="s">
        <v>60</v>
      </c>
      <c r="D752" s="31" t="s">
        <v>66</v>
      </c>
      <c r="E752" s="31" t="s">
        <v>50</v>
      </c>
      <c r="F752" s="31" t="s">
        <v>131</v>
      </c>
      <c r="G752" s="31" t="n">
        <v>2</v>
      </c>
      <c r="H752" s="41" t="n">
        <v>2.9</v>
      </c>
      <c r="I752" s="31" t="s">
        <v>149</v>
      </c>
      <c r="J752" s="31"/>
      <c r="K752" s="31" t="s">
        <v>150</v>
      </c>
      <c r="L752" s="45" t="n">
        <f aca="false">DATE(YEAR(B752),MONTH(B752),1)</f>
        <v>46204</v>
      </c>
      <c r="M752" s="31" t="n">
        <f aca="false">WEEKDAY(B752,2)</f>
        <v>6</v>
      </c>
      <c r="N752" s="31" t="str">
        <f aca="false">IF(G752&lt;=INDEX(Assumptions!$B$15:$B$18,MATCH(E752,Assumptions!$A$15:$A$18,0)),"Yes","No")</f>
        <v>Yes</v>
      </c>
      <c r="O752" s="31" t="str">
        <f aca="false">IF(H752="","Open",IF(H752&lt;=INDEX(Assumptions!$C$15:$C$18,MATCH(E752,Assumptions!$A$15:$A$18,0)),"Yes","No"))</f>
        <v>Yes</v>
      </c>
    </row>
    <row r="753" customFormat="false" ht="15" hidden="false" customHeight="false" outlineLevel="0" collapsed="false">
      <c r="A753" s="31" t="s">
        <v>903</v>
      </c>
      <c r="B753" s="44" t="n">
        <v>46214</v>
      </c>
      <c r="C753" s="31" t="s">
        <v>57</v>
      </c>
      <c r="D753" s="31" t="s">
        <v>68</v>
      </c>
      <c r="E753" s="31" t="s">
        <v>51</v>
      </c>
      <c r="F753" s="31" t="s">
        <v>117</v>
      </c>
      <c r="G753" s="31" t="n">
        <v>8</v>
      </c>
      <c r="H753" s="41" t="n">
        <v>3.9</v>
      </c>
      <c r="I753" s="31" t="s">
        <v>149</v>
      </c>
      <c r="J753" s="31"/>
      <c r="K753" s="31" t="s">
        <v>150</v>
      </c>
      <c r="L753" s="45" t="n">
        <f aca="false">DATE(YEAR(B753),MONTH(B753),1)</f>
        <v>46204</v>
      </c>
      <c r="M753" s="31" t="n">
        <f aca="false">WEEKDAY(B753,2)</f>
        <v>6</v>
      </c>
      <c r="N753" s="31" t="str">
        <f aca="false">IF(G753&lt;=INDEX(Assumptions!$B$15:$B$18,MATCH(E753,Assumptions!$A$15:$A$18,0)),"Yes","No")</f>
        <v>Yes</v>
      </c>
      <c r="O753" s="31" t="str">
        <f aca="false">IF(H753="","Open",IF(H753&lt;=INDEX(Assumptions!$C$15:$C$18,MATCH(E753,Assumptions!$A$15:$A$18,0)),"Yes","No"))</f>
        <v>Yes</v>
      </c>
    </row>
    <row r="754" customFormat="false" ht="15" hidden="false" customHeight="false" outlineLevel="0" collapsed="false">
      <c r="A754" s="31" t="s">
        <v>904</v>
      </c>
      <c r="B754" s="44" t="n">
        <v>46214</v>
      </c>
      <c r="C754" s="31" t="s">
        <v>60</v>
      </c>
      <c r="D754" s="31" t="s">
        <v>67</v>
      </c>
      <c r="E754" s="31" t="s">
        <v>52</v>
      </c>
      <c r="F754" s="31" t="s">
        <v>128</v>
      </c>
      <c r="G754" s="31" t="n">
        <v>3</v>
      </c>
      <c r="H754" s="41" t="n">
        <v>7</v>
      </c>
      <c r="I754" s="31" t="s">
        <v>149</v>
      </c>
      <c r="J754" s="31" t="n">
        <v>4</v>
      </c>
      <c r="K754" s="31" t="s">
        <v>150</v>
      </c>
      <c r="L754" s="45" t="n">
        <f aca="false">DATE(YEAR(B754),MONTH(B754),1)</f>
        <v>46204</v>
      </c>
      <c r="M754" s="31" t="n">
        <f aca="false">WEEKDAY(B754,2)</f>
        <v>6</v>
      </c>
      <c r="N754" s="31" t="str">
        <f aca="false">IF(G754&lt;=INDEX(Assumptions!$B$15:$B$18,MATCH(E754,Assumptions!$A$15:$A$18,0)),"Yes","No")</f>
        <v>Yes</v>
      </c>
      <c r="O754" s="31" t="str">
        <f aca="false">IF(H754="","Open",IF(H754&lt;=INDEX(Assumptions!$C$15:$C$18,MATCH(E754,Assumptions!$A$15:$A$18,0)),"Yes","No"))</f>
        <v>Yes</v>
      </c>
    </row>
    <row r="755" customFormat="false" ht="15" hidden="false" customHeight="false" outlineLevel="0" collapsed="false">
      <c r="A755" s="31" t="s">
        <v>905</v>
      </c>
      <c r="B755" s="44" t="n">
        <v>46214</v>
      </c>
      <c r="C755" s="31" t="s">
        <v>57</v>
      </c>
      <c r="D755" s="31" t="s">
        <v>69</v>
      </c>
      <c r="E755" s="31" t="s">
        <v>51</v>
      </c>
      <c r="F755" s="31" t="s">
        <v>134</v>
      </c>
      <c r="G755" s="31" t="n">
        <v>7</v>
      </c>
      <c r="H755" s="41" t="n">
        <v>20.6</v>
      </c>
      <c r="I755" s="31" t="s">
        <v>149</v>
      </c>
      <c r="J755" s="31"/>
      <c r="K755" s="31" t="s">
        <v>153</v>
      </c>
      <c r="L755" s="45" t="n">
        <f aca="false">DATE(YEAR(B755),MONTH(B755),1)</f>
        <v>46204</v>
      </c>
      <c r="M755" s="31" t="n">
        <f aca="false">WEEKDAY(B755,2)</f>
        <v>6</v>
      </c>
      <c r="N755" s="31" t="str">
        <f aca="false">IF(G755&lt;=INDEX(Assumptions!$B$15:$B$18,MATCH(E755,Assumptions!$A$15:$A$18,0)),"Yes","No")</f>
        <v>Yes</v>
      </c>
      <c r="O755" s="31" t="str">
        <f aca="false">IF(H755="","Open",IF(H755&lt;=INDEX(Assumptions!$C$15:$C$18,MATCH(E755,Assumptions!$A$15:$A$18,0)),"Yes","No"))</f>
        <v>Yes</v>
      </c>
    </row>
    <row r="756" customFormat="false" ht="15" hidden="false" customHeight="false" outlineLevel="0" collapsed="false">
      <c r="A756" s="31" t="s">
        <v>906</v>
      </c>
      <c r="B756" s="44" t="n">
        <v>46214</v>
      </c>
      <c r="C756" s="31" t="s">
        <v>59</v>
      </c>
      <c r="D756" s="31" t="s">
        <v>65</v>
      </c>
      <c r="E756" s="31" t="s">
        <v>52</v>
      </c>
      <c r="F756" s="31" t="s">
        <v>128</v>
      </c>
      <c r="G756" s="31" t="n">
        <v>253</v>
      </c>
      <c r="H756" s="41" t="n">
        <v>85.4</v>
      </c>
      <c r="I756" s="31" t="s">
        <v>149</v>
      </c>
      <c r="J756" s="31"/>
      <c r="K756" s="31" t="s">
        <v>150</v>
      </c>
      <c r="L756" s="45" t="n">
        <f aca="false">DATE(YEAR(B756),MONTH(B756),1)</f>
        <v>46204</v>
      </c>
      <c r="M756" s="31" t="n">
        <f aca="false">WEEKDAY(B756,2)</f>
        <v>6</v>
      </c>
      <c r="N756" s="31" t="str">
        <f aca="false">IF(G756&lt;=INDEX(Assumptions!$B$15:$B$18,MATCH(E756,Assumptions!$A$15:$A$18,0)),"Yes","No")</f>
        <v>No</v>
      </c>
      <c r="O756" s="31" t="str">
        <f aca="false">IF(H756="","Open",IF(H756&lt;=INDEX(Assumptions!$C$15:$C$18,MATCH(E756,Assumptions!$A$15:$A$18,0)),"Yes","No"))</f>
        <v>No</v>
      </c>
    </row>
    <row r="757" customFormat="false" ht="15" hidden="false" customHeight="false" outlineLevel="0" collapsed="false">
      <c r="A757" s="31" t="s">
        <v>907</v>
      </c>
      <c r="B757" s="44" t="n">
        <v>46214</v>
      </c>
      <c r="C757" s="31" t="s">
        <v>59</v>
      </c>
      <c r="D757" s="31" t="s">
        <v>69</v>
      </c>
      <c r="E757" s="31" t="s">
        <v>52</v>
      </c>
      <c r="F757" s="31" t="s">
        <v>122</v>
      </c>
      <c r="G757" s="31" t="n">
        <v>152</v>
      </c>
      <c r="H757" s="41" t="n">
        <v>28.4</v>
      </c>
      <c r="I757" s="31" t="s">
        <v>149</v>
      </c>
      <c r="J757" s="31"/>
      <c r="K757" s="31" t="s">
        <v>150</v>
      </c>
      <c r="L757" s="45" t="n">
        <f aca="false">DATE(YEAR(B757),MONTH(B757),1)</f>
        <v>46204</v>
      </c>
      <c r="M757" s="31" t="n">
        <f aca="false">WEEKDAY(B757,2)</f>
        <v>6</v>
      </c>
      <c r="N757" s="31" t="str">
        <f aca="false">IF(G757&lt;=INDEX(Assumptions!$B$15:$B$18,MATCH(E757,Assumptions!$A$15:$A$18,0)),"Yes","No")</f>
        <v>Yes</v>
      </c>
      <c r="O757" s="31" t="str">
        <f aca="false">IF(H757="","Open",IF(H757&lt;=INDEX(Assumptions!$C$15:$C$18,MATCH(E757,Assumptions!$A$15:$A$18,0)),"Yes","No"))</f>
        <v>Yes</v>
      </c>
    </row>
    <row r="758" customFormat="false" ht="15" hidden="false" customHeight="false" outlineLevel="0" collapsed="false">
      <c r="A758" s="31" t="s">
        <v>908</v>
      </c>
      <c r="B758" s="44" t="n">
        <v>46214</v>
      </c>
      <c r="C758" s="31" t="s">
        <v>59</v>
      </c>
      <c r="D758" s="31" t="s">
        <v>66</v>
      </c>
      <c r="E758" s="31" t="s">
        <v>52</v>
      </c>
      <c r="F758" s="31" t="s">
        <v>126</v>
      </c>
      <c r="G758" s="31" t="n">
        <v>88</v>
      </c>
      <c r="H758" s="41" t="n">
        <v>19.7</v>
      </c>
      <c r="I758" s="31" t="s">
        <v>149</v>
      </c>
      <c r="J758" s="31"/>
      <c r="K758" s="31" t="s">
        <v>150</v>
      </c>
      <c r="L758" s="45" t="n">
        <f aca="false">DATE(YEAR(B758),MONTH(B758),1)</f>
        <v>46204</v>
      </c>
      <c r="M758" s="31" t="n">
        <f aca="false">WEEKDAY(B758,2)</f>
        <v>6</v>
      </c>
      <c r="N758" s="31" t="str">
        <f aca="false">IF(G758&lt;=INDEX(Assumptions!$B$15:$B$18,MATCH(E758,Assumptions!$A$15:$A$18,0)),"Yes","No")</f>
        <v>Yes</v>
      </c>
      <c r="O758" s="31" t="str">
        <f aca="false">IF(H758="","Open",IF(H758&lt;=INDEX(Assumptions!$C$15:$C$18,MATCH(E758,Assumptions!$A$15:$A$18,0)),"Yes","No"))</f>
        <v>Yes</v>
      </c>
    </row>
    <row r="759" customFormat="false" ht="15" hidden="false" customHeight="false" outlineLevel="0" collapsed="false">
      <c r="A759" s="31" t="s">
        <v>909</v>
      </c>
      <c r="B759" s="44" t="n">
        <v>46214</v>
      </c>
      <c r="C759" s="31" t="s">
        <v>58</v>
      </c>
      <c r="D759" s="31" t="s">
        <v>65</v>
      </c>
      <c r="E759" s="31" t="s">
        <v>51</v>
      </c>
      <c r="F759" s="31" t="s">
        <v>135</v>
      </c>
      <c r="G759" s="31" t="n">
        <v>18</v>
      </c>
      <c r="H759" s="41" t="n">
        <v>7.3</v>
      </c>
      <c r="I759" s="31" t="s">
        <v>149</v>
      </c>
      <c r="J759" s="31" t="n">
        <v>3</v>
      </c>
      <c r="K759" s="31" t="s">
        <v>150</v>
      </c>
      <c r="L759" s="45" t="n">
        <f aca="false">DATE(YEAR(B759),MONTH(B759),1)</f>
        <v>46204</v>
      </c>
      <c r="M759" s="31" t="n">
        <f aca="false">WEEKDAY(B759,2)</f>
        <v>6</v>
      </c>
      <c r="N759" s="31" t="str">
        <f aca="false">IF(G759&lt;=INDEX(Assumptions!$B$15:$B$18,MATCH(E759,Assumptions!$A$15:$A$18,0)),"Yes","No")</f>
        <v>Yes</v>
      </c>
      <c r="O759" s="31" t="str">
        <f aca="false">IF(H759="","Open",IF(H759&lt;=INDEX(Assumptions!$C$15:$C$18,MATCH(E759,Assumptions!$A$15:$A$18,0)),"Yes","No"))</f>
        <v>Yes</v>
      </c>
    </row>
    <row r="760" customFormat="false" ht="15" hidden="false" customHeight="false" outlineLevel="0" collapsed="false">
      <c r="A760" s="31" t="s">
        <v>910</v>
      </c>
      <c r="B760" s="44" t="n">
        <v>46214</v>
      </c>
      <c r="C760" s="31" t="s">
        <v>57</v>
      </c>
      <c r="D760" s="31" t="s">
        <v>68</v>
      </c>
      <c r="E760" s="31" t="s">
        <v>51</v>
      </c>
      <c r="F760" s="31" t="s">
        <v>135</v>
      </c>
      <c r="G760" s="31" t="n">
        <v>1</v>
      </c>
      <c r="H760" s="41" t="n">
        <v>0.5</v>
      </c>
      <c r="I760" s="31" t="s">
        <v>149</v>
      </c>
      <c r="J760" s="31" t="n">
        <v>3</v>
      </c>
      <c r="K760" s="31" t="s">
        <v>150</v>
      </c>
      <c r="L760" s="45" t="n">
        <f aca="false">DATE(YEAR(B760),MONTH(B760),1)</f>
        <v>46204</v>
      </c>
      <c r="M760" s="31" t="n">
        <f aca="false">WEEKDAY(B760,2)</f>
        <v>6</v>
      </c>
      <c r="N760" s="31" t="str">
        <f aca="false">IF(G760&lt;=INDEX(Assumptions!$B$15:$B$18,MATCH(E760,Assumptions!$A$15:$A$18,0)),"Yes","No")</f>
        <v>Yes</v>
      </c>
      <c r="O760" s="31" t="str">
        <f aca="false">IF(H760="","Open",IF(H760&lt;=INDEX(Assumptions!$C$15:$C$18,MATCH(E760,Assumptions!$A$15:$A$18,0)),"Yes","No"))</f>
        <v>Yes</v>
      </c>
    </row>
    <row r="761" customFormat="false" ht="15" hidden="false" customHeight="false" outlineLevel="0" collapsed="false">
      <c r="A761" s="31" t="s">
        <v>911</v>
      </c>
      <c r="B761" s="44" t="n">
        <v>46214</v>
      </c>
      <c r="C761" s="31" t="s">
        <v>58</v>
      </c>
      <c r="D761" s="31" t="s">
        <v>69</v>
      </c>
      <c r="E761" s="31" t="s">
        <v>52</v>
      </c>
      <c r="F761" s="31" t="s">
        <v>117</v>
      </c>
      <c r="G761" s="31" t="n">
        <v>5</v>
      </c>
      <c r="H761" s="41" t="n">
        <v>53.4</v>
      </c>
      <c r="I761" s="31" t="s">
        <v>149</v>
      </c>
      <c r="J761" s="31"/>
      <c r="K761" s="31" t="s">
        <v>150</v>
      </c>
      <c r="L761" s="45" t="n">
        <f aca="false">DATE(YEAR(B761),MONTH(B761),1)</f>
        <v>46204</v>
      </c>
      <c r="M761" s="31" t="n">
        <f aca="false">WEEKDAY(B761,2)</f>
        <v>6</v>
      </c>
      <c r="N761" s="31" t="str">
        <f aca="false">IF(G761&lt;=INDEX(Assumptions!$B$15:$B$18,MATCH(E761,Assumptions!$A$15:$A$18,0)),"Yes","No")</f>
        <v>Yes</v>
      </c>
      <c r="O761" s="31" t="str">
        <f aca="false">IF(H761="","Open",IF(H761&lt;=INDEX(Assumptions!$C$15:$C$18,MATCH(E761,Assumptions!$A$15:$A$18,0)),"Yes","No"))</f>
        <v>Yes</v>
      </c>
    </row>
    <row r="762" customFormat="false" ht="15" hidden="false" customHeight="false" outlineLevel="0" collapsed="false">
      <c r="A762" s="31" t="s">
        <v>912</v>
      </c>
      <c r="B762" s="44" t="n">
        <v>46214</v>
      </c>
      <c r="C762" s="31" t="s">
        <v>60</v>
      </c>
      <c r="D762" s="31" t="s">
        <v>66</v>
      </c>
      <c r="E762" s="31" t="s">
        <v>50</v>
      </c>
      <c r="F762" s="31" t="s">
        <v>117</v>
      </c>
      <c r="G762" s="31" t="n">
        <v>1</v>
      </c>
      <c r="H762" s="41" t="n">
        <v>2.9</v>
      </c>
      <c r="I762" s="31" t="s">
        <v>149</v>
      </c>
      <c r="J762" s="31"/>
      <c r="K762" s="31" t="s">
        <v>150</v>
      </c>
      <c r="L762" s="45" t="n">
        <f aca="false">DATE(YEAR(B762),MONTH(B762),1)</f>
        <v>46204</v>
      </c>
      <c r="M762" s="31" t="n">
        <f aca="false">WEEKDAY(B762,2)</f>
        <v>6</v>
      </c>
      <c r="N762" s="31" t="str">
        <f aca="false">IF(G762&lt;=INDEX(Assumptions!$B$15:$B$18,MATCH(E762,Assumptions!$A$15:$A$18,0)),"Yes","No")</f>
        <v>Yes</v>
      </c>
      <c r="O762" s="31" t="str">
        <f aca="false">IF(H762="","Open",IF(H762&lt;=INDEX(Assumptions!$C$15:$C$18,MATCH(E762,Assumptions!$A$15:$A$18,0)),"Yes","No"))</f>
        <v>Yes</v>
      </c>
    </row>
    <row r="763" customFormat="false" ht="15" hidden="false" customHeight="false" outlineLevel="0" collapsed="false">
      <c r="A763" s="31" t="s">
        <v>913</v>
      </c>
      <c r="B763" s="44" t="n">
        <v>46214</v>
      </c>
      <c r="C763" s="31" t="s">
        <v>59</v>
      </c>
      <c r="D763" s="31" t="s">
        <v>65</v>
      </c>
      <c r="E763" s="31" t="s">
        <v>52</v>
      </c>
      <c r="F763" s="31" t="s">
        <v>119</v>
      </c>
      <c r="G763" s="31" t="n">
        <v>98</v>
      </c>
      <c r="H763" s="41" t="n">
        <v>19</v>
      </c>
      <c r="I763" s="31" t="s">
        <v>64</v>
      </c>
      <c r="J763" s="31" t="n">
        <v>3</v>
      </c>
      <c r="K763" s="31" t="s">
        <v>150</v>
      </c>
      <c r="L763" s="45" t="n">
        <f aca="false">DATE(YEAR(B763),MONTH(B763),1)</f>
        <v>46204</v>
      </c>
      <c r="M763" s="31" t="n">
        <f aca="false">WEEKDAY(B763,2)</f>
        <v>6</v>
      </c>
      <c r="N763" s="31" t="str">
        <f aca="false">IF(G763&lt;=INDEX(Assumptions!$B$15:$B$18,MATCH(E763,Assumptions!$A$15:$A$18,0)),"Yes","No")</f>
        <v>Yes</v>
      </c>
      <c r="O763" s="31" t="str">
        <f aca="false">IF(H763="","Open",IF(H763&lt;=INDEX(Assumptions!$C$15:$C$18,MATCH(E763,Assumptions!$A$15:$A$18,0)),"Yes","No"))</f>
        <v>Yes</v>
      </c>
    </row>
    <row r="764" customFormat="false" ht="15" hidden="false" customHeight="false" outlineLevel="0" collapsed="false">
      <c r="A764" s="31" t="s">
        <v>914</v>
      </c>
      <c r="B764" s="44" t="n">
        <v>46214</v>
      </c>
      <c r="C764" s="31" t="s">
        <v>58</v>
      </c>
      <c r="D764" s="31" t="s">
        <v>67</v>
      </c>
      <c r="E764" s="31" t="s">
        <v>51</v>
      </c>
      <c r="F764" s="31" t="s">
        <v>126</v>
      </c>
      <c r="G764" s="31" t="n">
        <v>4</v>
      </c>
      <c r="H764" s="41" t="n">
        <v>62.3</v>
      </c>
      <c r="I764" s="31" t="s">
        <v>64</v>
      </c>
      <c r="J764" s="31" t="n">
        <v>3</v>
      </c>
      <c r="K764" s="31" t="s">
        <v>153</v>
      </c>
      <c r="L764" s="45" t="n">
        <f aca="false">DATE(YEAR(B764),MONTH(B764),1)</f>
        <v>46204</v>
      </c>
      <c r="M764" s="31" t="n">
        <f aca="false">WEEKDAY(B764,2)</f>
        <v>6</v>
      </c>
      <c r="N764" s="31" t="str">
        <f aca="false">IF(G764&lt;=INDEX(Assumptions!$B$15:$B$18,MATCH(E764,Assumptions!$A$15:$A$18,0)),"Yes","No")</f>
        <v>Yes</v>
      </c>
      <c r="O764" s="31" t="str">
        <f aca="false">IF(H764="","Open",IF(H764&lt;=INDEX(Assumptions!$C$15:$C$18,MATCH(E764,Assumptions!$A$15:$A$18,0)),"Yes","No"))</f>
        <v>No</v>
      </c>
    </row>
    <row r="765" customFormat="false" ht="15" hidden="false" customHeight="false" outlineLevel="0" collapsed="false">
      <c r="A765" s="31" t="s">
        <v>915</v>
      </c>
      <c r="B765" s="44" t="n">
        <v>46214</v>
      </c>
      <c r="C765" s="31" t="s">
        <v>60</v>
      </c>
      <c r="D765" s="31" t="s">
        <v>65</v>
      </c>
      <c r="E765" s="31" t="s">
        <v>51</v>
      </c>
      <c r="F765" s="31" t="s">
        <v>130</v>
      </c>
      <c r="G765" s="31" t="n">
        <v>6</v>
      </c>
      <c r="H765" s="41" t="n">
        <v>27.7</v>
      </c>
      <c r="I765" s="31" t="s">
        <v>149</v>
      </c>
      <c r="J765" s="31" t="n">
        <v>4</v>
      </c>
      <c r="K765" s="31" t="s">
        <v>150</v>
      </c>
      <c r="L765" s="45" t="n">
        <f aca="false">DATE(YEAR(B765),MONTH(B765),1)</f>
        <v>46204</v>
      </c>
      <c r="M765" s="31" t="n">
        <f aca="false">WEEKDAY(B765,2)</f>
        <v>6</v>
      </c>
      <c r="N765" s="31" t="str">
        <f aca="false">IF(G765&lt;=INDEX(Assumptions!$B$15:$B$18,MATCH(E765,Assumptions!$A$15:$A$18,0)),"Yes","No")</f>
        <v>Yes</v>
      </c>
      <c r="O765" s="31" t="str">
        <f aca="false">IF(H765="","Open",IF(H765&lt;=INDEX(Assumptions!$C$15:$C$18,MATCH(E765,Assumptions!$A$15:$A$18,0)),"Yes","No"))</f>
        <v>No</v>
      </c>
    </row>
    <row r="766" customFormat="false" ht="15" hidden="false" customHeight="false" outlineLevel="0" collapsed="false">
      <c r="A766" s="31" t="s">
        <v>916</v>
      </c>
      <c r="B766" s="44" t="n">
        <v>46214</v>
      </c>
      <c r="C766" s="31" t="s">
        <v>58</v>
      </c>
      <c r="D766" s="31" t="s">
        <v>66</v>
      </c>
      <c r="E766" s="31" t="s">
        <v>51</v>
      </c>
      <c r="F766" s="31" t="s">
        <v>126</v>
      </c>
      <c r="G766" s="31" t="n">
        <v>20</v>
      </c>
      <c r="H766" s="41" t="n">
        <v>9.7</v>
      </c>
      <c r="I766" s="31" t="s">
        <v>149</v>
      </c>
      <c r="J766" s="31" t="n">
        <v>5</v>
      </c>
      <c r="K766" s="31" t="s">
        <v>150</v>
      </c>
      <c r="L766" s="45" t="n">
        <f aca="false">DATE(YEAR(B766),MONTH(B766),1)</f>
        <v>46204</v>
      </c>
      <c r="M766" s="31" t="n">
        <f aca="false">WEEKDAY(B766,2)</f>
        <v>6</v>
      </c>
      <c r="N766" s="31" t="str">
        <f aca="false">IF(G766&lt;=INDEX(Assumptions!$B$15:$B$18,MATCH(E766,Assumptions!$A$15:$A$18,0)),"Yes","No")</f>
        <v>Yes</v>
      </c>
      <c r="O766" s="31" t="str">
        <f aca="false">IF(H766="","Open",IF(H766&lt;=INDEX(Assumptions!$C$15:$C$18,MATCH(E766,Assumptions!$A$15:$A$18,0)),"Yes","No"))</f>
        <v>Yes</v>
      </c>
    </row>
    <row r="767" customFormat="false" ht="15" hidden="false" customHeight="false" outlineLevel="0" collapsed="false">
      <c r="A767" s="31" t="s">
        <v>917</v>
      </c>
      <c r="B767" s="44" t="n">
        <v>46214</v>
      </c>
      <c r="C767" s="31" t="s">
        <v>59</v>
      </c>
      <c r="D767" s="31" t="s">
        <v>66</v>
      </c>
      <c r="E767" s="31" t="s">
        <v>52</v>
      </c>
      <c r="F767" s="31" t="s">
        <v>120</v>
      </c>
      <c r="G767" s="31" t="n">
        <v>318</v>
      </c>
      <c r="H767" s="41" t="n">
        <v>12.3</v>
      </c>
      <c r="I767" s="31" t="s">
        <v>149</v>
      </c>
      <c r="J767" s="31" t="n">
        <v>3</v>
      </c>
      <c r="K767" s="31" t="s">
        <v>150</v>
      </c>
      <c r="L767" s="45" t="n">
        <f aca="false">DATE(YEAR(B767),MONTH(B767),1)</f>
        <v>46204</v>
      </c>
      <c r="M767" s="31" t="n">
        <f aca="false">WEEKDAY(B767,2)</f>
        <v>6</v>
      </c>
      <c r="N767" s="31" t="str">
        <f aca="false">IF(G767&lt;=INDEX(Assumptions!$B$15:$B$18,MATCH(E767,Assumptions!$A$15:$A$18,0)),"Yes","No")</f>
        <v>No</v>
      </c>
      <c r="O767" s="31" t="str">
        <f aca="false">IF(H767="","Open",IF(H767&lt;=INDEX(Assumptions!$C$15:$C$18,MATCH(E767,Assumptions!$A$15:$A$18,0)),"Yes","No"))</f>
        <v>Yes</v>
      </c>
    </row>
    <row r="768" customFormat="false" ht="15" hidden="false" customHeight="false" outlineLevel="0" collapsed="false">
      <c r="A768" s="31" t="s">
        <v>918</v>
      </c>
      <c r="B768" s="44" t="n">
        <v>46214</v>
      </c>
      <c r="C768" s="31" t="s">
        <v>57</v>
      </c>
      <c r="D768" s="31" t="s">
        <v>67</v>
      </c>
      <c r="E768" s="31" t="s">
        <v>52</v>
      </c>
      <c r="F768" s="31" t="s">
        <v>130</v>
      </c>
      <c r="G768" s="31" t="n">
        <v>2</v>
      </c>
      <c r="H768" s="41" t="n">
        <v>7.2</v>
      </c>
      <c r="I768" s="31" t="s">
        <v>149</v>
      </c>
      <c r="J768" s="31"/>
      <c r="K768" s="31" t="s">
        <v>150</v>
      </c>
      <c r="L768" s="45" t="n">
        <f aca="false">DATE(YEAR(B768),MONTH(B768),1)</f>
        <v>46204</v>
      </c>
      <c r="M768" s="31" t="n">
        <f aca="false">WEEKDAY(B768,2)</f>
        <v>6</v>
      </c>
      <c r="N768" s="31" t="str">
        <f aca="false">IF(G768&lt;=INDEX(Assumptions!$B$15:$B$18,MATCH(E768,Assumptions!$A$15:$A$18,0)),"Yes","No")</f>
        <v>Yes</v>
      </c>
      <c r="O768" s="31" t="str">
        <f aca="false">IF(H768="","Open",IF(H768&lt;=INDEX(Assumptions!$C$15:$C$18,MATCH(E768,Assumptions!$A$15:$A$18,0)),"Yes","No"))</f>
        <v>Yes</v>
      </c>
    </row>
    <row r="769" customFormat="false" ht="15" hidden="false" customHeight="false" outlineLevel="0" collapsed="false">
      <c r="A769" s="31" t="s">
        <v>919</v>
      </c>
      <c r="B769" s="44" t="n">
        <v>46214</v>
      </c>
      <c r="C769" s="31" t="s">
        <v>58</v>
      </c>
      <c r="D769" s="31" t="s">
        <v>66</v>
      </c>
      <c r="E769" s="31" t="s">
        <v>50</v>
      </c>
      <c r="F769" s="31" t="s">
        <v>129</v>
      </c>
      <c r="G769" s="31" t="n">
        <v>8</v>
      </c>
      <c r="H769" s="41" t="n">
        <v>1.1</v>
      </c>
      <c r="I769" s="31" t="s">
        <v>149</v>
      </c>
      <c r="J769" s="31" t="n">
        <v>5</v>
      </c>
      <c r="K769" s="31" t="s">
        <v>150</v>
      </c>
      <c r="L769" s="45" t="n">
        <f aca="false">DATE(YEAR(B769),MONTH(B769),1)</f>
        <v>46204</v>
      </c>
      <c r="M769" s="31" t="n">
        <f aca="false">WEEKDAY(B769,2)</f>
        <v>6</v>
      </c>
      <c r="N769" s="31" t="str">
        <f aca="false">IF(G769&lt;=INDEX(Assumptions!$B$15:$B$18,MATCH(E769,Assumptions!$A$15:$A$18,0)),"Yes","No")</f>
        <v>Yes</v>
      </c>
      <c r="O769" s="31" t="str">
        <f aca="false">IF(H769="","Open",IF(H769&lt;=INDEX(Assumptions!$C$15:$C$18,MATCH(E769,Assumptions!$A$15:$A$18,0)),"Yes","No"))</f>
        <v>Yes</v>
      </c>
    </row>
    <row r="770" customFormat="false" ht="15" hidden="false" customHeight="false" outlineLevel="0" collapsed="false">
      <c r="A770" s="31" t="s">
        <v>920</v>
      </c>
      <c r="B770" s="44" t="n">
        <v>46214</v>
      </c>
      <c r="C770" s="31" t="s">
        <v>57</v>
      </c>
      <c r="D770" s="31" t="s">
        <v>65</v>
      </c>
      <c r="E770" s="31" t="s">
        <v>50</v>
      </c>
      <c r="F770" s="31" t="s">
        <v>121</v>
      </c>
      <c r="G770" s="31" t="n">
        <v>3</v>
      </c>
      <c r="H770" s="41" t="n">
        <v>43.5</v>
      </c>
      <c r="I770" s="31" t="s">
        <v>149</v>
      </c>
      <c r="J770" s="31" t="n">
        <v>4</v>
      </c>
      <c r="K770" s="31" t="s">
        <v>150</v>
      </c>
      <c r="L770" s="45" t="n">
        <f aca="false">DATE(YEAR(B770),MONTH(B770),1)</f>
        <v>46204</v>
      </c>
      <c r="M770" s="31" t="n">
        <f aca="false">WEEKDAY(B770,2)</f>
        <v>6</v>
      </c>
      <c r="N770" s="31" t="str">
        <f aca="false">IF(G770&lt;=INDEX(Assumptions!$B$15:$B$18,MATCH(E770,Assumptions!$A$15:$A$18,0)),"Yes","No")</f>
        <v>Yes</v>
      </c>
      <c r="O770" s="31" t="str">
        <f aca="false">IF(H770="","Open",IF(H770&lt;=INDEX(Assumptions!$C$15:$C$18,MATCH(E770,Assumptions!$A$15:$A$18,0)),"Yes","No"))</f>
        <v>No</v>
      </c>
    </row>
    <row r="771" customFormat="false" ht="15" hidden="false" customHeight="false" outlineLevel="0" collapsed="false">
      <c r="A771" s="31" t="s">
        <v>921</v>
      </c>
      <c r="B771" s="44" t="n">
        <v>46214</v>
      </c>
      <c r="C771" s="31" t="s">
        <v>58</v>
      </c>
      <c r="D771" s="31" t="s">
        <v>65</v>
      </c>
      <c r="E771" s="31" t="s">
        <v>52</v>
      </c>
      <c r="F771" s="31" t="s">
        <v>134</v>
      </c>
      <c r="G771" s="31" t="n">
        <v>10</v>
      </c>
      <c r="H771" s="41"/>
      <c r="I771" s="31" t="s">
        <v>158</v>
      </c>
      <c r="J771" s="31"/>
      <c r="K771" s="31" t="s">
        <v>150</v>
      </c>
      <c r="L771" s="45" t="n">
        <f aca="false">DATE(YEAR(B771),MONTH(B771),1)</f>
        <v>46204</v>
      </c>
      <c r="M771" s="31" t="n">
        <f aca="false">WEEKDAY(B771,2)</f>
        <v>6</v>
      </c>
      <c r="N771" s="31" t="str">
        <f aca="false">IF(G771&lt;=INDEX(Assumptions!$B$15:$B$18,MATCH(E771,Assumptions!$A$15:$A$18,0)),"Yes","No")</f>
        <v>Yes</v>
      </c>
      <c r="O771" s="31" t="str">
        <f aca="false">IF(H771="","Open",IF(H771&lt;=INDEX(Assumptions!$C$15:$C$18,MATCH(E771,Assumptions!$A$15:$A$18,0)),"Yes","No"))</f>
        <v>Open</v>
      </c>
    </row>
    <row r="772" customFormat="false" ht="15" hidden="false" customHeight="false" outlineLevel="0" collapsed="false">
      <c r="A772" s="31" t="s">
        <v>922</v>
      </c>
      <c r="B772" s="44" t="n">
        <v>46214</v>
      </c>
      <c r="C772" s="31" t="s">
        <v>57</v>
      </c>
      <c r="D772" s="31" t="s">
        <v>65</v>
      </c>
      <c r="E772" s="31" t="s">
        <v>49</v>
      </c>
      <c r="F772" s="31" t="s">
        <v>126</v>
      </c>
      <c r="G772" s="31" t="n">
        <v>3</v>
      </c>
      <c r="H772" s="41" t="n">
        <v>5.6</v>
      </c>
      <c r="I772" s="31" t="s">
        <v>149</v>
      </c>
      <c r="J772" s="31"/>
      <c r="K772" s="31" t="s">
        <v>150</v>
      </c>
      <c r="L772" s="45" t="n">
        <f aca="false">DATE(YEAR(B772),MONTH(B772),1)</f>
        <v>46204</v>
      </c>
      <c r="M772" s="31" t="n">
        <f aca="false">WEEKDAY(B772,2)</f>
        <v>6</v>
      </c>
      <c r="N772" s="31" t="str">
        <f aca="false">IF(G772&lt;=INDEX(Assumptions!$B$15:$B$18,MATCH(E772,Assumptions!$A$15:$A$18,0)),"Yes","No")</f>
        <v>Yes</v>
      </c>
      <c r="O772" s="31" t="str">
        <f aca="false">IF(H772="","Open",IF(H772&lt;=INDEX(Assumptions!$C$15:$C$18,MATCH(E772,Assumptions!$A$15:$A$18,0)),"Yes","No"))</f>
        <v>No</v>
      </c>
    </row>
    <row r="773" customFormat="false" ht="15" hidden="false" customHeight="false" outlineLevel="0" collapsed="false">
      <c r="A773" s="31" t="s">
        <v>923</v>
      </c>
      <c r="B773" s="44" t="n">
        <v>46214</v>
      </c>
      <c r="C773" s="31" t="s">
        <v>58</v>
      </c>
      <c r="D773" s="31" t="s">
        <v>69</v>
      </c>
      <c r="E773" s="31" t="s">
        <v>51</v>
      </c>
      <c r="F773" s="31" t="s">
        <v>135</v>
      </c>
      <c r="G773" s="31" t="n">
        <v>5</v>
      </c>
      <c r="H773" s="41" t="n">
        <v>26.1</v>
      </c>
      <c r="I773" s="31" t="s">
        <v>149</v>
      </c>
      <c r="J773" s="31" t="n">
        <v>4</v>
      </c>
      <c r="K773" s="31" t="s">
        <v>150</v>
      </c>
      <c r="L773" s="45" t="n">
        <f aca="false">DATE(YEAR(B773),MONTH(B773),1)</f>
        <v>46204</v>
      </c>
      <c r="M773" s="31" t="n">
        <f aca="false">WEEKDAY(B773,2)</f>
        <v>6</v>
      </c>
      <c r="N773" s="31" t="str">
        <f aca="false">IF(G773&lt;=INDEX(Assumptions!$B$15:$B$18,MATCH(E773,Assumptions!$A$15:$A$18,0)),"Yes","No")</f>
        <v>Yes</v>
      </c>
      <c r="O773" s="31" t="str">
        <f aca="false">IF(H773="","Open",IF(H773&lt;=INDEX(Assumptions!$C$15:$C$18,MATCH(E773,Assumptions!$A$15:$A$18,0)),"Yes","No"))</f>
        <v>No</v>
      </c>
    </row>
    <row r="774" customFormat="false" ht="15" hidden="false" customHeight="false" outlineLevel="0" collapsed="false">
      <c r="A774" s="31" t="s">
        <v>924</v>
      </c>
      <c r="B774" s="44" t="n">
        <v>46214</v>
      </c>
      <c r="C774" s="31" t="s">
        <v>60</v>
      </c>
      <c r="D774" s="31" t="s">
        <v>65</v>
      </c>
      <c r="E774" s="31" t="s">
        <v>51</v>
      </c>
      <c r="F774" s="31" t="s">
        <v>122</v>
      </c>
      <c r="G774" s="31" t="n">
        <v>2</v>
      </c>
      <c r="H774" s="41" t="n">
        <v>12.1</v>
      </c>
      <c r="I774" s="31" t="s">
        <v>149</v>
      </c>
      <c r="J774" s="31"/>
      <c r="K774" s="31" t="s">
        <v>150</v>
      </c>
      <c r="L774" s="45" t="n">
        <f aca="false">DATE(YEAR(B774),MONTH(B774),1)</f>
        <v>46204</v>
      </c>
      <c r="M774" s="31" t="n">
        <f aca="false">WEEKDAY(B774,2)</f>
        <v>6</v>
      </c>
      <c r="N774" s="31" t="str">
        <f aca="false">IF(G774&lt;=INDEX(Assumptions!$B$15:$B$18,MATCH(E774,Assumptions!$A$15:$A$18,0)),"Yes","No")</f>
        <v>Yes</v>
      </c>
      <c r="O774" s="31" t="str">
        <f aca="false">IF(H774="","Open",IF(H774&lt;=INDEX(Assumptions!$C$15:$C$18,MATCH(E774,Assumptions!$A$15:$A$18,0)),"Yes","No"))</f>
        <v>Yes</v>
      </c>
    </row>
    <row r="775" customFormat="false" ht="15" hidden="false" customHeight="false" outlineLevel="0" collapsed="false">
      <c r="A775" s="31" t="s">
        <v>925</v>
      </c>
      <c r="B775" s="44" t="n">
        <v>46214</v>
      </c>
      <c r="C775" s="31" t="s">
        <v>58</v>
      </c>
      <c r="D775" s="31" t="s">
        <v>68</v>
      </c>
      <c r="E775" s="31" t="s">
        <v>51</v>
      </c>
      <c r="F775" s="31" t="s">
        <v>117</v>
      </c>
      <c r="G775" s="31" t="n">
        <v>4</v>
      </c>
      <c r="H775" s="41" t="n">
        <v>9.9</v>
      </c>
      <c r="I775" s="31" t="s">
        <v>149</v>
      </c>
      <c r="J775" s="31" t="n">
        <v>5</v>
      </c>
      <c r="K775" s="31" t="s">
        <v>150</v>
      </c>
      <c r="L775" s="45" t="n">
        <f aca="false">DATE(YEAR(B775),MONTH(B775),1)</f>
        <v>46204</v>
      </c>
      <c r="M775" s="31" t="n">
        <f aca="false">WEEKDAY(B775,2)</f>
        <v>6</v>
      </c>
      <c r="N775" s="31" t="str">
        <f aca="false">IF(G775&lt;=INDEX(Assumptions!$B$15:$B$18,MATCH(E775,Assumptions!$A$15:$A$18,0)),"Yes","No")</f>
        <v>Yes</v>
      </c>
      <c r="O775" s="31" t="str">
        <f aca="false">IF(H775="","Open",IF(H775&lt;=INDEX(Assumptions!$C$15:$C$18,MATCH(E775,Assumptions!$A$15:$A$18,0)),"Yes","No"))</f>
        <v>Yes</v>
      </c>
    </row>
    <row r="776" customFormat="false" ht="15" hidden="false" customHeight="false" outlineLevel="0" collapsed="false">
      <c r="A776" s="31" t="s">
        <v>926</v>
      </c>
      <c r="B776" s="44" t="n">
        <v>46214</v>
      </c>
      <c r="C776" s="31" t="s">
        <v>60</v>
      </c>
      <c r="D776" s="31" t="s">
        <v>66</v>
      </c>
      <c r="E776" s="31" t="s">
        <v>50</v>
      </c>
      <c r="F776" s="31" t="s">
        <v>136</v>
      </c>
      <c r="G776" s="31" t="n">
        <v>1</v>
      </c>
      <c r="H776" s="41" t="n">
        <v>4.2</v>
      </c>
      <c r="I776" s="31" t="s">
        <v>149</v>
      </c>
      <c r="J776" s="31" t="n">
        <v>4</v>
      </c>
      <c r="K776" s="31" t="s">
        <v>150</v>
      </c>
      <c r="L776" s="45" t="n">
        <f aca="false">DATE(YEAR(B776),MONTH(B776),1)</f>
        <v>46204</v>
      </c>
      <c r="M776" s="31" t="n">
        <f aca="false">WEEKDAY(B776,2)</f>
        <v>6</v>
      </c>
      <c r="N776" s="31" t="str">
        <f aca="false">IF(G776&lt;=INDEX(Assumptions!$B$15:$B$18,MATCH(E776,Assumptions!$A$15:$A$18,0)),"Yes","No")</f>
        <v>Yes</v>
      </c>
      <c r="O776" s="31" t="str">
        <f aca="false">IF(H776="","Open",IF(H776&lt;=INDEX(Assumptions!$C$15:$C$18,MATCH(E776,Assumptions!$A$15:$A$18,0)),"Yes","No"))</f>
        <v>Yes</v>
      </c>
    </row>
    <row r="777" customFormat="false" ht="15" hidden="false" customHeight="false" outlineLevel="0" collapsed="false">
      <c r="A777" s="31" t="s">
        <v>927</v>
      </c>
      <c r="B777" s="44" t="n">
        <v>46214</v>
      </c>
      <c r="C777" s="31" t="s">
        <v>58</v>
      </c>
      <c r="D777" s="31" t="s">
        <v>67</v>
      </c>
      <c r="E777" s="31" t="s">
        <v>50</v>
      </c>
      <c r="F777" s="31" t="s">
        <v>120</v>
      </c>
      <c r="G777" s="31" t="n">
        <v>15</v>
      </c>
      <c r="H777" s="41" t="n">
        <v>40.1</v>
      </c>
      <c r="I777" s="31" t="s">
        <v>64</v>
      </c>
      <c r="J777" s="31"/>
      <c r="K777" s="31" t="s">
        <v>150</v>
      </c>
      <c r="L777" s="45" t="n">
        <f aca="false">DATE(YEAR(B777),MONTH(B777),1)</f>
        <v>46204</v>
      </c>
      <c r="M777" s="31" t="n">
        <f aca="false">WEEKDAY(B777,2)</f>
        <v>6</v>
      </c>
      <c r="N777" s="31" t="str">
        <f aca="false">IF(G777&lt;=INDEX(Assumptions!$B$15:$B$18,MATCH(E777,Assumptions!$A$15:$A$18,0)),"Yes","No")</f>
        <v>Yes</v>
      </c>
      <c r="O777" s="31" t="str">
        <f aca="false">IF(H777="","Open",IF(H777&lt;=INDEX(Assumptions!$C$15:$C$18,MATCH(E777,Assumptions!$A$15:$A$18,0)),"Yes","No"))</f>
        <v>No</v>
      </c>
    </row>
    <row r="778" customFormat="false" ht="15" hidden="false" customHeight="false" outlineLevel="0" collapsed="false">
      <c r="A778" s="31" t="s">
        <v>928</v>
      </c>
      <c r="B778" s="44" t="n">
        <v>46214</v>
      </c>
      <c r="C778" s="31" t="s">
        <v>59</v>
      </c>
      <c r="D778" s="31" t="s">
        <v>68</v>
      </c>
      <c r="E778" s="31" t="s">
        <v>52</v>
      </c>
      <c r="F778" s="31" t="s">
        <v>123</v>
      </c>
      <c r="G778" s="31" t="n">
        <v>45</v>
      </c>
      <c r="H778" s="41" t="n">
        <v>4.5</v>
      </c>
      <c r="I778" s="31" t="s">
        <v>149</v>
      </c>
      <c r="J778" s="31" t="n">
        <v>5</v>
      </c>
      <c r="K778" s="31" t="s">
        <v>150</v>
      </c>
      <c r="L778" s="45" t="n">
        <f aca="false">DATE(YEAR(B778),MONTH(B778),1)</f>
        <v>46204</v>
      </c>
      <c r="M778" s="31" t="n">
        <f aca="false">WEEKDAY(B778,2)</f>
        <v>6</v>
      </c>
      <c r="N778" s="31" t="str">
        <f aca="false">IF(G778&lt;=INDEX(Assumptions!$B$15:$B$18,MATCH(E778,Assumptions!$A$15:$A$18,0)),"Yes","No")</f>
        <v>Yes</v>
      </c>
      <c r="O778" s="31" t="str">
        <f aca="false">IF(H778="","Open",IF(H778&lt;=INDEX(Assumptions!$C$15:$C$18,MATCH(E778,Assumptions!$A$15:$A$18,0)),"Yes","No"))</f>
        <v>Yes</v>
      </c>
    </row>
    <row r="779" customFormat="false" ht="15" hidden="false" customHeight="false" outlineLevel="0" collapsed="false">
      <c r="A779" s="31" t="s">
        <v>929</v>
      </c>
      <c r="B779" s="44" t="n">
        <v>46214</v>
      </c>
      <c r="C779" s="31" t="s">
        <v>60</v>
      </c>
      <c r="D779" s="31" t="s">
        <v>65</v>
      </c>
      <c r="E779" s="31" t="s">
        <v>50</v>
      </c>
      <c r="F779" s="31" t="s">
        <v>133</v>
      </c>
      <c r="G779" s="31" t="n">
        <v>2</v>
      </c>
      <c r="H779" s="41" t="n">
        <v>44.5</v>
      </c>
      <c r="I779" s="31" t="s">
        <v>64</v>
      </c>
      <c r="J779" s="31"/>
      <c r="K779" s="31" t="s">
        <v>150</v>
      </c>
      <c r="L779" s="45" t="n">
        <f aca="false">DATE(YEAR(B779),MONTH(B779),1)</f>
        <v>46204</v>
      </c>
      <c r="M779" s="31" t="n">
        <f aca="false">WEEKDAY(B779,2)</f>
        <v>6</v>
      </c>
      <c r="N779" s="31" t="str">
        <f aca="false">IF(G779&lt;=INDEX(Assumptions!$B$15:$B$18,MATCH(E779,Assumptions!$A$15:$A$18,0)),"Yes","No")</f>
        <v>Yes</v>
      </c>
      <c r="O779" s="31" t="str">
        <f aca="false">IF(H779="","Open",IF(H779&lt;=INDEX(Assumptions!$C$15:$C$18,MATCH(E779,Assumptions!$A$15:$A$18,0)),"Yes","No"))</f>
        <v>No</v>
      </c>
    </row>
    <row r="780" customFormat="false" ht="15" hidden="false" customHeight="false" outlineLevel="0" collapsed="false">
      <c r="A780" s="31" t="s">
        <v>930</v>
      </c>
      <c r="B780" s="44" t="n">
        <v>46214</v>
      </c>
      <c r="C780" s="31" t="s">
        <v>59</v>
      </c>
      <c r="D780" s="31" t="s">
        <v>65</v>
      </c>
      <c r="E780" s="31" t="s">
        <v>52</v>
      </c>
      <c r="F780" s="31" t="s">
        <v>135</v>
      </c>
      <c r="G780" s="31" t="n">
        <v>108</v>
      </c>
      <c r="H780" s="41" t="n">
        <v>35.7</v>
      </c>
      <c r="I780" s="31" t="s">
        <v>64</v>
      </c>
      <c r="J780" s="31"/>
      <c r="K780" s="31" t="s">
        <v>150</v>
      </c>
      <c r="L780" s="45" t="n">
        <f aca="false">DATE(YEAR(B780),MONTH(B780),1)</f>
        <v>46204</v>
      </c>
      <c r="M780" s="31" t="n">
        <f aca="false">WEEKDAY(B780,2)</f>
        <v>6</v>
      </c>
      <c r="N780" s="31" t="str">
        <f aca="false">IF(G780&lt;=INDEX(Assumptions!$B$15:$B$18,MATCH(E780,Assumptions!$A$15:$A$18,0)),"Yes","No")</f>
        <v>Yes</v>
      </c>
      <c r="O780" s="31" t="str">
        <f aca="false">IF(H780="","Open",IF(H780&lt;=INDEX(Assumptions!$C$15:$C$18,MATCH(E780,Assumptions!$A$15:$A$18,0)),"Yes","No"))</f>
        <v>Yes</v>
      </c>
    </row>
    <row r="781" customFormat="false" ht="15" hidden="false" customHeight="false" outlineLevel="0" collapsed="false">
      <c r="A781" s="31" t="s">
        <v>931</v>
      </c>
      <c r="B781" s="44" t="n">
        <v>46214</v>
      </c>
      <c r="C781" s="31" t="s">
        <v>58</v>
      </c>
      <c r="D781" s="31" t="s">
        <v>65</v>
      </c>
      <c r="E781" s="31" t="s">
        <v>51</v>
      </c>
      <c r="F781" s="31" t="s">
        <v>121</v>
      </c>
      <c r="G781" s="31" t="n">
        <v>10</v>
      </c>
      <c r="H781" s="41" t="n">
        <v>11.8</v>
      </c>
      <c r="I781" s="31" t="s">
        <v>149</v>
      </c>
      <c r="J781" s="31" t="n">
        <v>3</v>
      </c>
      <c r="K781" s="31" t="s">
        <v>150</v>
      </c>
      <c r="L781" s="45" t="n">
        <f aca="false">DATE(YEAR(B781),MONTH(B781),1)</f>
        <v>46204</v>
      </c>
      <c r="M781" s="31" t="n">
        <f aca="false">WEEKDAY(B781,2)</f>
        <v>6</v>
      </c>
      <c r="N781" s="31" t="str">
        <f aca="false">IF(G781&lt;=INDEX(Assumptions!$B$15:$B$18,MATCH(E781,Assumptions!$A$15:$A$18,0)),"Yes","No")</f>
        <v>Yes</v>
      </c>
      <c r="O781" s="31" t="str">
        <f aca="false">IF(H781="","Open",IF(H781&lt;=INDEX(Assumptions!$C$15:$C$18,MATCH(E781,Assumptions!$A$15:$A$18,0)),"Yes","No"))</f>
        <v>Yes</v>
      </c>
    </row>
    <row r="782" customFormat="false" ht="15" hidden="false" customHeight="false" outlineLevel="0" collapsed="false">
      <c r="A782" s="31" t="s">
        <v>932</v>
      </c>
      <c r="B782" s="44" t="n">
        <v>46214</v>
      </c>
      <c r="C782" s="31" t="s">
        <v>59</v>
      </c>
      <c r="D782" s="31" t="s">
        <v>66</v>
      </c>
      <c r="E782" s="31" t="s">
        <v>52</v>
      </c>
      <c r="F782" s="31" t="s">
        <v>129</v>
      </c>
      <c r="G782" s="31" t="n">
        <v>22</v>
      </c>
      <c r="H782" s="41" t="n">
        <v>4.7</v>
      </c>
      <c r="I782" s="31" t="s">
        <v>149</v>
      </c>
      <c r="J782" s="31"/>
      <c r="K782" s="31" t="s">
        <v>150</v>
      </c>
      <c r="L782" s="45" t="n">
        <f aca="false">DATE(YEAR(B782),MONTH(B782),1)</f>
        <v>46204</v>
      </c>
      <c r="M782" s="31" t="n">
        <f aca="false">WEEKDAY(B782,2)</f>
        <v>6</v>
      </c>
      <c r="N782" s="31" t="str">
        <f aca="false">IF(G782&lt;=INDEX(Assumptions!$B$15:$B$18,MATCH(E782,Assumptions!$A$15:$A$18,0)),"Yes","No")</f>
        <v>Yes</v>
      </c>
      <c r="O782" s="31" t="str">
        <f aca="false">IF(H782="","Open",IF(H782&lt;=INDEX(Assumptions!$C$15:$C$18,MATCH(E782,Assumptions!$A$15:$A$18,0)),"Yes","No"))</f>
        <v>Yes</v>
      </c>
    </row>
    <row r="783" customFormat="false" ht="15" hidden="false" customHeight="false" outlineLevel="0" collapsed="false">
      <c r="A783" s="31" t="s">
        <v>933</v>
      </c>
      <c r="B783" s="44" t="n">
        <v>46214</v>
      </c>
      <c r="C783" s="31" t="s">
        <v>59</v>
      </c>
      <c r="D783" s="31" t="s">
        <v>65</v>
      </c>
      <c r="E783" s="31" t="s">
        <v>52</v>
      </c>
      <c r="F783" s="31" t="s">
        <v>121</v>
      </c>
      <c r="G783" s="31" t="n">
        <v>75</v>
      </c>
      <c r="H783" s="41" t="n">
        <v>40.4</v>
      </c>
      <c r="I783" s="31" t="s">
        <v>149</v>
      </c>
      <c r="J783" s="31" t="n">
        <v>5</v>
      </c>
      <c r="K783" s="31" t="s">
        <v>150</v>
      </c>
      <c r="L783" s="45" t="n">
        <f aca="false">DATE(YEAR(B783),MONTH(B783),1)</f>
        <v>46204</v>
      </c>
      <c r="M783" s="31" t="n">
        <f aca="false">WEEKDAY(B783,2)</f>
        <v>6</v>
      </c>
      <c r="N783" s="31" t="str">
        <f aca="false">IF(G783&lt;=INDEX(Assumptions!$B$15:$B$18,MATCH(E783,Assumptions!$A$15:$A$18,0)),"Yes","No")</f>
        <v>Yes</v>
      </c>
      <c r="O783" s="31" t="str">
        <f aca="false">IF(H783="","Open",IF(H783&lt;=INDEX(Assumptions!$C$15:$C$18,MATCH(E783,Assumptions!$A$15:$A$18,0)),"Yes","No"))</f>
        <v>Yes</v>
      </c>
    </row>
    <row r="784" customFormat="false" ht="15" hidden="false" customHeight="false" outlineLevel="0" collapsed="false">
      <c r="A784" s="31" t="s">
        <v>934</v>
      </c>
      <c r="B784" s="44" t="n">
        <v>46214</v>
      </c>
      <c r="C784" s="31" t="s">
        <v>57</v>
      </c>
      <c r="D784" s="31" t="s">
        <v>65</v>
      </c>
      <c r="E784" s="31" t="s">
        <v>51</v>
      </c>
      <c r="F784" s="31" t="s">
        <v>136</v>
      </c>
      <c r="G784" s="31" t="n">
        <v>2</v>
      </c>
      <c r="H784" s="41" t="n">
        <v>11</v>
      </c>
      <c r="I784" s="31" t="s">
        <v>149</v>
      </c>
      <c r="J784" s="31"/>
      <c r="K784" s="31" t="s">
        <v>150</v>
      </c>
      <c r="L784" s="45" t="n">
        <f aca="false">DATE(YEAR(B784),MONTH(B784),1)</f>
        <v>46204</v>
      </c>
      <c r="M784" s="31" t="n">
        <f aca="false">WEEKDAY(B784,2)</f>
        <v>6</v>
      </c>
      <c r="N784" s="31" t="str">
        <f aca="false">IF(G784&lt;=INDEX(Assumptions!$B$15:$B$18,MATCH(E784,Assumptions!$A$15:$A$18,0)),"Yes","No")</f>
        <v>Yes</v>
      </c>
      <c r="O784" s="31" t="str">
        <f aca="false">IF(H784="","Open",IF(H784&lt;=INDEX(Assumptions!$C$15:$C$18,MATCH(E784,Assumptions!$A$15:$A$18,0)),"Yes","No"))</f>
        <v>Yes</v>
      </c>
    </row>
    <row r="785" customFormat="false" ht="15" hidden="false" customHeight="false" outlineLevel="0" collapsed="false">
      <c r="A785" s="31" t="s">
        <v>935</v>
      </c>
      <c r="B785" s="44" t="n">
        <v>46214</v>
      </c>
      <c r="C785" s="31" t="s">
        <v>60</v>
      </c>
      <c r="D785" s="31" t="s">
        <v>67</v>
      </c>
      <c r="E785" s="31" t="s">
        <v>51</v>
      </c>
      <c r="F785" s="31" t="s">
        <v>134</v>
      </c>
      <c r="G785" s="31" t="n">
        <v>4</v>
      </c>
      <c r="H785" s="41" t="n">
        <v>13</v>
      </c>
      <c r="I785" s="31" t="s">
        <v>149</v>
      </c>
      <c r="J785" s="31" t="n">
        <v>4</v>
      </c>
      <c r="K785" s="31" t="s">
        <v>150</v>
      </c>
      <c r="L785" s="45" t="n">
        <f aca="false">DATE(YEAR(B785),MONTH(B785),1)</f>
        <v>46204</v>
      </c>
      <c r="M785" s="31" t="n">
        <f aca="false">WEEKDAY(B785,2)</f>
        <v>6</v>
      </c>
      <c r="N785" s="31" t="str">
        <f aca="false">IF(G785&lt;=INDEX(Assumptions!$B$15:$B$18,MATCH(E785,Assumptions!$A$15:$A$18,0)),"Yes","No")</f>
        <v>Yes</v>
      </c>
      <c r="O785" s="31" t="str">
        <f aca="false">IF(H785="","Open",IF(H785&lt;=INDEX(Assumptions!$C$15:$C$18,MATCH(E785,Assumptions!$A$15:$A$18,0)),"Yes","No"))</f>
        <v>Yes</v>
      </c>
    </row>
    <row r="786" customFormat="false" ht="15" hidden="false" customHeight="false" outlineLevel="0" collapsed="false">
      <c r="A786" s="31" t="s">
        <v>936</v>
      </c>
      <c r="B786" s="44" t="n">
        <v>46214</v>
      </c>
      <c r="C786" s="31" t="s">
        <v>59</v>
      </c>
      <c r="D786" s="31" t="s">
        <v>69</v>
      </c>
      <c r="E786" s="31" t="s">
        <v>51</v>
      </c>
      <c r="F786" s="31" t="s">
        <v>126</v>
      </c>
      <c r="G786" s="31" t="n">
        <v>85</v>
      </c>
      <c r="H786" s="41" t="n">
        <v>10.4</v>
      </c>
      <c r="I786" s="31" t="s">
        <v>149</v>
      </c>
      <c r="J786" s="31" t="n">
        <v>3</v>
      </c>
      <c r="K786" s="31" t="s">
        <v>150</v>
      </c>
      <c r="L786" s="45" t="n">
        <f aca="false">DATE(YEAR(B786),MONTH(B786),1)</f>
        <v>46204</v>
      </c>
      <c r="M786" s="31" t="n">
        <f aca="false">WEEKDAY(B786,2)</f>
        <v>6</v>
      </c>
      <c r="N786" s="31" t="str">
        <f aca="false">IF(G786&lt;=INDEX(Assumptions!$B$15:$B$18,MATCH(E786,Assumptions!$A$15:$A$18,0)),"Yes","No")</f>
        <v>No</v>
      </c>
      <c r="O786" s="31" t="str">
        <f aca="false">IF(H786="","Open",IF(H786&lt;=INDEX(Assumptions!$C$15:$C$18,MATCH(E786,Assumptions!$A$15:$A$18,0)),"Yes","No"))</f>
        <v>Yes</v>
      </c>
    </row>
    <row r="787" customFormat="false" ht="15" hidden="false" customHeight="false" outlineLevel="0" collapsed="false">
      <c r="A787" s="31" t="s">
        <v>937</v>
      </c>
      <c r="B787" s="44" t="n">
        <v>46215</v>
      </c>
      <c r="C787" s="31" t="s">
        <v>57</v>
      </c>
      <c r="D787" s="31" t="s">
        <v>66</v>
      </c>
      <c r="E787" s="31" t="s">
        <v>51</v>
      </c>
      <c r="F787" s="31" t="s">
        <v>133</v>
      </c>
      <c r="G787" s="31" t="n">
        <v>13</v>
      </c>
      <c r="H787" s="41" t="n">
        <v>2.7</v>
      </c>
      <c r="I787" s="31" t="s">
        <v>149</v>
      </c>
      <c r="J787" s="31"/>
      <c r="K787" s="31" t="s">
        <v>150</v>
      </c>
      <c r="L787" s="45" t="n">
        <f aca="false">DATE(YEAR(B787),MONTH(B787),1)</f>
        <v>46204</v>
      </c>
      <c r="M787" s="31" t="n">
        <f aca="false">WEEKDAY(B787,2)</f>
        <v>7</v>
      </c>
      <c r="N787" s="31" t="str">
        <f aca="false">IF(G787&lt;=INDEX(Assumptions!$B$15:$B$18,MATCH(E787,Assumptions!$A$15:$A$18,0)),"Yes","No")</f>
        <v>Yes</v>
      </c>
      <c r="O787" s="31" t="str">
        <f aca="false">IF(H787="","Open",IF(H787&lt;=INDEX(Assumptions!$C$15:$C$18,MATCH(E787,Assumptions!$A$15:$A$18,0)),"Yes","No"))</f>
        <v>Yes</v>
      </c>
    </row>
    <row r="788" customFormat="false" ht="15" hidden="false" customHeight="false" outlineLevel="0" collapsed="false">
      <c r="A788" s="31" t="s">
        <v>938</v>
      </c>
      <c r="B788" s="44" t="n">
        <v>46215</v>
      </c>
      <c r="C788" s="31" t="s">
        <v>58</v>
      </c>
      <c r="D788" s="31" t="s">
        <v>65</v>
      </c>
      <c r="E788" s="31" t="s">
        <v>51</v>
      </c>
      <c r="F788" s="31" t="s">
        <v>124</v>
      </c>
      <c r="G788" s="31" t="n">
        <v>11</v>
      </c>
      <c r="H788" s="41" t="n">
        <v>27.3</v>
      </c>
      <c r="I788" s="31" t="s">
        <v>149</v>
      </c>
      <c r="J788" s="31"/>
      <c r="K788" s="31" t="s">
        <v>150</v>
      </c>
      <c r="L788" s="45" t="n">
        <f aca="false">DATE(YEAR(B788),MONTH(B788),1)</f>
        <v>46204</v>
      </c>
      <c r="M788" s="31" t="n">
        <f aca="false">WEEKDAY(B788,2)</f>
        <v>7</v>
      </c>
      <c r="N788" s="31" t="str">
        <f aca="false">IF(G788&lt;=INDEX(Assumptions!$B$15:$B$18,MATCH(E788,Assumptions!$A$15:$A$18,0)),"Yes","No")</f>
        <v>Yes</v>
      </c>
      <c r="O788" s="31" t="str">
        <f aca="false">IF(H788="","Open",IF(H788&lt;=INDEX(Assumptions!$C$15:$C$18,MATCH(E788,Assumptions!$A$15:$A$18,0)),"Yes","No"))</f>
        <v>No</v>
      </c>
    </row>
    <row r="789" customFormat="false" ht="15" hidden="false" customHeight="false" outlineLevel="0" collapsed="false">
      <c r="A789" s="31" t="s">
        <v>939</v>
      </c>
      <c r="B789" s="44" t="n">
        <v>46215</v>
      </c>
      <c r="C789" s="31" t="s">
        <v>57</v>
      </c>
      <c r="D789" s="31" t="s">
        <v>65</v>
      </c>
      <c r="E789" s="31" t="s">
        <v>52</v>
      </c>
      <c r="F789" s="31" t="s">
        <v>134</v>
      </c>
      <c r="G789" s="31" t="n">
        <v>8</v>
      </c>
      <c r="H789" s="41" t="n">
        <v>19.8</v>
      </c>
      <c r="I789" s="31" t="s">
        <v>149</v>
      </c>
      <c r="J789" s="31"/>
      <c r="K789" s="31" t="s">
        <v>150</v>
      </c>
      <c r="L789" s="45" t="n">
        <f aca="false">DATE(YEAR(B789),MONTH(B789),1)</f>
        <v>46204</v>
      </c>
      <c r="M789" s="31" t="n">
        <f aca="false">WEEKDAY(B789,2)</f>
        <v>7</v>
      </c>
      <c r="N789" s="31" t="str">
        <f aca="false">IF(G789&lt;=INDEX(Assumptions!$B$15:$B$18,MATCH(E789,Assumptions!$A$15:$A$18,0)),"Yes","No")</f>
        <v>Yes</v>
      </c>
      <c r="O789" s="31" t="str">
        <f aca="false">IF(H789="","Open",IF(H789&lt;=INDEX(Assumptions!$C$15:$C$18,MATCH(E789,Assumptions!$A$15:$A$18,0)),"Yes","No"))</f>
        <v>Yes</v>
      </c>
    </row>
    <row r="790" customFormat="false" ht="15" hidden="false" customHeight="false" outlineLevel="0" collapsed="false">
      <c r="A790" s="31" t="s">
        <v>940</v>
      </c>
      <c r="B790" s="44" t="n">
        <v>46215</v>
      </c>
      <c r="C790" s="31" t="s">
        <v>59</v>
      </c>
      <c r="D790" s="31" t="s">
        <v>65</v>
      </c>
      <c r="E790" s="31" t="s">
        <v>52</v>
      </c>
      <c r="F790" s="31" t="s">
        <v>130</v>
      </c>
      <c r="G790" s="31" t="n">
        <v>88</v>
      </c>
      <c r="H790" s="41" t="n">
        <v>30.2</v>
      </c>
      <c r="I790" s="31" t="s">
        <v>149</v>
      </c>
      <c r="J790" s="31"/>
      <c r="K790" s="31" t="s">
        <v>150</v>
      </c>
      <c r="L790" s="45" t="n">
        <f aca="false">DATE(YEAR(B790),MONTH(B790),1)</f>
        <v>46204</v>
      </c>
      <c r="M790" s="31" t="n">
        <f aca="false">WEEKDAY(B790,2)</f>
        <v>7</v>
      </c>
      <c r="N790" s="31" t="str">
        <f aca="false">IF(G790&lt;=INDEX(Assumptions!$B$15:$B$18,MATCH(E790,Assumptions!$A$15:$A$18,0)),"Yes","No")</f>
        <v>Yes</v>
      </c>
      <c r="O790" s="31" t="str">
        <f aca="false">IF(H790="","Open",IF(H790&lt;=INDEX(Assumptions!$C$15:$C$18,MATCH(E790,Assumptions!$A$15:$A$18,0)),"Yes","No"))</f>
        <v>Yes</v>
      </c>
    </row>
    <row r="791" customFormat="false" ht="15" hidden="false" customHeight="false" outlineLevel="0" collapsed="false">
      <c r="A791" s="31" t="s">
        <v>941</v>
      </c>
      <c r="B791" s="44" t="n">
        <v>46215</v>
      </c>
      <c r="C791" s="31" t="s">
        <v>59</v>
      </c>
      <c r="D791" s="31" t="s">
        <v>66</v>
      </c>
      <c r="E791" s="31" t="s">
        <v>51</v>
      </c>
      <c r="F791" s="31" t="s">
        <v>123</v>
      </c>
      <c r="G791" s="31" t="n">
        <v>50</v>
      </c>
      <c r="H791" s="41" t="n">
        <v>6.7</v>
      </c>
      <c r="I791" s="31" t="s">
        <v>149</v>
      </c>
      <c r="J791" s="31" t="n">
        <v>4</v>
      </c>
      <c r="K791" s="31" t="s">
        <v>150</v>
      </c>
      <c r="L791" s="45" t="n">
        <f aca="false">DATE(YEAR(B791),MONTH(B791),1)</f>
        <v>46204</v>
      </c>
      <c r="M791" s="31" t="n">
        <f aca="false">WEEKDAY(B791,2)</f>
        <v>7</v>
      </c>
      <c r="N791" s="31" t="str">
        <f aca="false">IF(G791&lt;=INDEX(Assumptions!$B$15:$B$18,MATCH(E791,Assumptions!$A$15:$A$18,0)),"Yes","No")</f>
        <v>Yes</v>
      </c>
      <c r="O791" s="31" t="str">
        <f aca="false">IF(H791="","Open",IF(H791&lt;=INDEX(Assumptions!$C$15:$C$18,MATCH(E791,Assumptions!$A$15:$A$18,0)),"Yes","No"))</f>
        <v>Yes</v>
      </c>
    </row>
    <row r="792" customFormat="false" ht="15" hidden="false" customHeight="false" outlineLevel="0" collapsed="false">
      <c r="A792" s="31" t="s">
        <v>942</v>
      </c>
      <c r="B792" s="44" t="n">
        <v>46215</v>
      </c>
      <c r="C792" s="31" t="s">
        <v>57</v>
      </c>
      <c r="D792" s="31" t="s">
        <v>68</v>
      </c>
      <c r="E792" s="31" t="s">
        <v>51</v>
      </c>
      <c r="F792" s="31" t="s">
        <v>127</v>
      </c>
      <c r="G792" s="31" t="n">
        <v>5</v>
      </c>
      <c r="H792" s="41" t="n">
        <v>5</v>
      </c>
      <c r="I792" s="31" t="s">
        <v>64</v>
      </c>
      <c r="J792" s="31" t="n">
        <v>2</v>
      </c>
      <c r="K792" s="31" t="s">
        <v>153</v>
      </c>
      <c r="L792" s="45" t="n">
        <f aca="false">DATE(YEAR(B792),MONTH(B792),1)</f>
        <v>46204</v>
      </c>
      <c r="M792" s="31" t="n">
        <f aca="false">WEEKDAY(B792,2)</f>
        <v>7</v>
      </c>
      <c r="N792" s="31" t="str">
        <f aca="false">IF(G792&lt;=INDEX(Assumptions!$B$15:$B$18,MATCH(E792,Assumptions!$A$15:$A$18,0)),"Yes","No")</f>
        <v>Yes</v>
      </c>
      <c r="O792" s="31" t="str">
        <f aca="false">IF(H792="","Open",IF(H792&lt;=INDEX(Assumptions!$C$15:$C$18,MATCH(E792,Assumptions!$A$15:$A$18,0)),"Yes","No"))</f>
        <v>Yes</v>
      </c>
    </row>
    <row r="793" customFormat="false" ht="15" hidden="false" customHeight="false" outlineLevel="0" collapsed="false">
      <c r="A793" s="31" t="s">
        <v>943</v>
      </c>
      <c r="B793" s="44" t="n">
        <v>46215</v>
      </c>
      <c r="C793" s="31" t="s">
        <v>58</v>
      </c>
      <c r="D793" s="31" t="s">
        <v>65</v>
      </c>
      <c r="E793" s="31" t="s">
        <v>51</v>
      </c>
      <c r="F793" s="31" t="s">
        <v>129</v>
      </c>
      <c r="G793" s="31" t="n">
        <v>11</v>
      </c>
      <c r="H793" s="41" t="n">
        <v>3.3</v>
      </c>
      <c r="I793" s="31" t="s">
        <v>149</v>
      </c>
      <c r="J793" s="31" t="n">
        <v>5</v>
      </c>
      <c r="K793" s="31" t="s">
        <v>150</v>
      </c>
      <c r="L793" s="45" t="n">
        <f aca="false">DATE(YEAR(B793),MONTH(B793),1)</f>
        <v>46204</v>
      </c>
      <c r="M793" s="31" t="n">
        <f aca="false">WEEKDAY(B793,2)</f>
        <v>7</v>
      </c>
      <c r="N793" s="31" t="str">
        <f aca="false">IF(G793&lt;=INDEX(Assumptions!$B$15:$B$18,MATCH(E793,Assumptions!$A$15:$A$18,0)),"Yes","No")</f>
        <v>Yes</v>
      </c>
      <c r="O793" s="31" t="str">
        <f aca="false">IF(H793="","Open",IF(H793&lt;=INDEX(Assumptions!$C$15:$C$18,MATCH(E793,Assumptions!$A$15:$A$18,0)),"Yes","No"))</f>
        <v>Yes</v>
      </c>
    </row>
    <row r="794" customFormat="false" ht="15" hidden="false" customHeight="false" outlineLevel="0" collapsed="false">
      <c r="A794" s="31" t="s">
        <v>944</v>
      </c>
      <c r="B794" s="44" t="n">
        <v>46215</v>
      </c>
      <c r="C794" s="31" t="s">
        <v>57</v>
      </c>
      <c r="D794" s="31" t="s">
        <v>65</v>
      </c>
      <c r="E794" s="31" t="s">
        <v>51</v>
      </c>
      <c r="F794" s="31" t="s">
        <v>119</v>
      </c>
      <c r="G794" s="31" t="n">
        <v>5</v>
      </c>
      <c r="H794" s="41" t="n">
        <v>34</v>
      </c>
      <c r="I794" s="31" t="s">
        <v>149</v>
      </c>
      <c r="J794" s="31"/>
      <c r="K794" s="31" t="s">
        <v>150</v>
      </c>
      <c r="L794" s="45" t="n">
        <f aca="false">DATE(YEAR(B794),MONTH(B794),1)</f>
        <v>46204</v>
      </c>
      <c r="M794" s="31" t="n">
        <f aca="false">WEEKDAY(B794,2)</f>
        <v>7</v>
      </c>
      <c r="N794" s="31" t="str">
        <f aca="false">IF(G794&lt;=INDEX(Assumptions!$B$15:$B$18,MATCH(E794,Assumptions!$A$15:$A$18,0)),"Yes","No")</f>
        <v>Yes</v>
      </c>
      <c r="O794" s="31" t="str">
        <f aca="false">IF(H794="","Open",IF(H794&lt;=INDEX(Assumptions!$C$15:$C$18,MATCH(E794,Assumptions!$A$15:$A$18,0)),"Yes","No"))</f>
        <v>No</v>
      </c>
    </row>
    <row r="795" customFormat="false" ht="15" hidden="false" customHeight="false" outlineLevel="0" collapsed="false">
      <c r="A795" s="31" t="s">
        <v>945</v>
      </c>
      <c r="B795" s="44" t="n">
        <v>46215</v>
      </c>
      <c r="C795" s="31" t="s">
        <v>57</v>
      </c>
      <c r="D795" s="31" t="s">
        <v>65</v>
      </c>
      <c r="E795" s="31" t="s">
        <v>52</v>
      </c>
      <c r="F795" s="31" t="s">
        <v>131</v>
      </c>
      <c r="G795" s="31" t="n">
        <v>2</v>
      </c>
      <c r="H795" s="41" t="n">
        <v>37.8</v>
      </c>
      <c r="I795" s="31" t="s">
        <v>149</v>
      </c>
      <c r="J795" s="31" t="n">
        <v>4</v>
      </c>
      <c r="K795" s="31" t="s">
        <v>150</v>
      </c>
      <c r="L795" s="45" t="n">
        <f aca="false">DATE(YEAR(B795),MONTH(B795),1)</f>
        <v>46204</v>
      </c>
      <c r="M795" s="31" t="n">
        <f aca="false">WEEKDAY(B795,2)</f>
        <v>7</v>
      </c>
      <c r="N795" s="31" t="str">
        <f aca="false">IF(G795&lt;=INDEX(Assumptions!$B$15:$B$18,MATCH(E795,Assumptions!$A$15:$A$18,0)),"Yes","No")</f>
        <v>Yes</v>
      </c>
      <c r="O795" s="31" t="str">
        <f aca="false">IF(H795="","Open",IF(H795&lt;=INDEX(Assumptions!$C$15:$C$18,MATCH(E795,Assumptions!$A$15:$A$18,0)),"Yes","No"))</f>
        <v>Yes</v>
      </c>
    </row>
    <row r="796" customFormat="false" ht="15" hidden="false" customHeight="false" outlineLevel="0" collapsed="false">
      <c r="A796" s="31" t="s">
        <v>946</v>
      </c>
      <c r="B796" s="44" t="n">
        <v>46215</v>
      </c>
      <c r="C796" s="31" t="s">
        <v>58</v>
      </c>
      <c r="D796" s="31" t="s">
        <v>67</v>
      </c>
      <c r="E796" s="31" t="s">
        <v>52</v>
      </c>
      <c r="F796" s="31" t="s">
        <v>121</v>
      </c>
      <c r="G796" s="31" t="n">
        <v>19</v>
      </c>
      <c r="H796" s="41" t="n">
        <v>36.3</v>
      </c>
      <c r="I796" s="31" t="s">
        <v>149</v>
      </c>
      <c r="J796" s="31"/>
      <c r="K796" s="31" t="s">
        <v>150</v>
      </c>
      <c r="L796" s="45" t="n">
        <f aca="false">DATE(YEAR(B796),MONTH(B796),1)</f>
        <v>46204</v>
      </c>
      <c r="M796" s="31" t="n">
        <f aca="false">WEEKDAY(B796,2)</f>
        <v>7</v>
      </c>
      <c r="N796" s="31" t="str">
        <f aca="false">IF(G796&lt;=INDEX(Assumptions!$B$15:$B$18,MATCH(E796,Assumptions!$A$15:$A$18,0)),"Yes","No")</f>
        <v>Yes</v>
      </c>
      <c r="O796" s="31" t="str">
        <f aca="false">IF(H796="","Open",IF(H796&lt;=INDEX(Assumptions!$C$15:$C$18,MATCH(E796,Assumptions!$A$15:$A$18,0)),"Yes","No"))</f>
        <v>Yes</v>
      </c>
    </row>
    <row r="797" customFormat="false" ht="15" hidden="false" customHeight="false" outlineLevel="0" collapsed="false">
      <c r="A797" s="31" t="s">
        <v>947</v>
      </c>
      <c r="B797" s="44" t="n">
        <v>46215</v>
      </c>
      <c r="C797" s="31" t="s">
        <v>57</v>
      </c>
      <c r="D797" s="31" t="s">
        <v>69</v>
      </c>
      <c r="E797" s="31" t="s">
        <v>50</v>
      </c>
      <c r="F797" s="31" t="s">
        <v>127</v>
      </c>
      <c r="G797" s="31" t="n">
        <v>4</v>
      </c>
      <c r="H797" s="41" t="n">
        <v>4</v>
      </c>
      <c r="I797" s="31" t="s">
        <v>149</v>
      </c>
      <c r="J797" s="31" t="n">
        <v>4</v>
      </c>
      <c r="K797" s="31" t="s">
        <v>150</v>
      </c>
      <c r="L797" s="45" t="n">
        <f aca="false">DATE(YEAR(B797),MONTH(B797),1)</f>
        <v>46204</v>
      </c>
      <c r="M797" s="31" t="n">
        <f aca="false">WEEKDAY(B797,2)</f>
        <v>7</v>
      </c>
      <c r="N797" s="31" t="str">
        <f aca="false">IF(G797&lt;=INDEX(Assumptions!$B$15:$B$18,MATCH(E797,Assumptions!$A$15:$A$18,0)),"Yes","No")</f>
        <v>Yes</v>
      </c>
      <c r="O797" s="31" t="str">
        <f aca="false">IF(H797="","Open",IF(H797&lt;=INDEX(Assumptions!$C$15:$C$18,MATCH(E797,Assumptions!$A$15:$A$18,0)),"Yes","No"))</f>
        <v>Yes</v>
      </c>
    </row>
    <row r="798" customFormat="false" ht="15" hidden="false" customHeight="false" outlineLevel="0" collapsed="false">
      <c r="A798" s="31" t="s">
        <v>948</v>
      </c>
      <c r="B798" s="44" t="n">
        <v>46215</v>
      </c>
      <c r="C798" s="31" t="s">
        <v>57</v>
      </c>
      <c r="D798" s="31" t="s">
        <v>67</v>
      </c>
      <c r="E798" s="31" t="s">
        <v>52</v>
      </c>
      <c r="F798" s="31" t="s">
        <v>128</v>
      </c>
      <c r="G798" s="31" t="n">
        <v>8</v>
      </c>
      <c r="H798" s="41" t="n">
        <v>24.4</v>
      </c>
      <c r="I798" s="31" t="s">
        <v>149</v>
      </c>
      <c r="J798" s="31" t="n">
        <v>5</v>
      </c>
      <c r="K798" s="31" t="s">
        <v>150</v>
      </c>
      <c r="L798" s="45" t="n">
        <f aca="false">DATE(YEAR(B798),MONTH(B798),1)</f>
        <v>46204</v>
      </c>
      <c r="M798" s="31" t="n">
        <f aca="false">WEEKDAY(B798,2)</f>
        <v>7</v>
      </c>
      <c r="N798" s="31" t="str">
        <f aca="false">IF(G798&lt;=INDEX(Assumptions!$B$15:$B$18,MATCH(E798,Assumptions!$A$15:$A$18,0)),"Yes","No")</f>
        <v>Yes</v>
      </c>
      <c r="O798" s="31" t="str">
        <f aca="false">IF(H798="","Open",IF(H798&lt;=INDEX(Assumptions!$C$15:$C$18,MATCH(E798,Assumptions!$A$15:$A$18,0)),"Yes","No"))</f>
        <v>Yes</v>
      </c>
    </row>
    <row r="799" customFormat="false" ht="15" hidden="false" customHeight="false" outlineLevel="0" collapsed="false">
      <c r="A799" s="31" t="s">
        <v>949</v>
      </c>
      <c r="B799" s="44" t="n">
        <v>46215</v>
      </c>
      <c r="C799" s="31" t="s">
        <v>58</v>
      </c>
      <c r="D799" s="31" t="s">
        <v>69</v>
      </c>
      <c r="E799" s="31" t="s">
        <v>52</v>
      </c>
      <c r="F799" s="31" t="s">
        <v>119</v>
      </c>
      <c r="G799" s="31" t="n">
        <v>8</v>
      </c>
      <c r="H799" s="41" t="n">
        <v>30.6</v>
      </c>
      <c r="I799" s="31" t="s">
        <v>149</v>
      </c>
      <c r="J799" s="31" t="n">
        <v>4</v>
      </c>
      <c r="K799" s="31" t="s">
        <v>150</v>
      </c>
      <c r="L799" s="45" t="n">
        <f aca="false">DATE(YEAR(B799),MONTH(B799),1)</f>
        <v>46204</v>
      </c>
      <c r="M799" s="31" t="n">
        <f aca="false">WEEKDAY(B799,2)</f>
        <v>7</v>
      </c>
      <c r="N799" s="31" t="str">
        <f aca="false">IF(G799&lt;=INDEX(Assumptions!$B$15:$B$18,MATCH(E799,Assumptions!$A$15:$A$18,0)),"Yes","No")</f>
        <v>Yes</v>
      </c>
      <c r="O799" s="31" t="str">
        <f aca="false">IF(H799="","Open",IF(H799&lt;=INDEX(Assumptions!$C$15:$C$18,MATCH(E799,Assumptions!$A$15:$A$18,0)),"Yes","No"))</f>
        <v>Yes</v>
      </c>
    </row>
    <row r="800" customFormat="false" ht="15" hidden="false" customHeight="false" outlineLevel="0" collapsed="false">
      <c r="A800" s="31" t="s">
        <v>950</v>
      </c>
      <c r="B800" s="44" t="n">
        <v>46215</v>
      </c>
      <c r="C800" s="31" t="s">
        <v>59</v>
      </c>
      <c r="D800" s="31" t="s">
        <v>67</v>
      </c>
      <c r="E800" s="31" t="s">
        <v>51</v>
      </c>
      <c r="F800" s="31" t="s">
        <v>133</v>
      </c>
      <c r="G800" s="31" t="n">
        <v>43</v>
      </c>
      <c r="H800" s="41" t="n">
        <v>15.5</v>
      </c>
      <c r="I800" s="31" t="s">
        <v>149</v>
      </c>
      <c r="J800" s="31" t="n">
        <v>3</v>
      </c>
      <c r="K800" s="31" t="s">
        <v>150</v>
      </c>
      <c r="L800" s="45" t="n">
        <f aca="false">DATE(YEAR(B800),MONTH(B800),1)</f>
        <v>46204</v>
      </c>
      <c r="M800" s="31" t="n">
        <f aca="false">WEEKDAY(B800,2)</f>
        <v>7</v>
      </c>
      <c r="N800" s="31" t="str">
        <f aca="false">IF(G800&lt;=INDEX(Assumptions!$B$15:$B$18,MATCH(E800,Assumptions!$A$15:$A$18,0)),"Yes","No")</f>
        <v>Yes</v>
      </c>
      <c r="O800" s="31" t="str">
        <f aca="false">IF(H800="","Open",IF(H800&lt;=INDEX(Assumptions!$C$15:$C$18,MATCH(E800,Assumptions!$A$15:$A$18,0)),"Yes","No"))</f>
        <v>Yes</v>
      </c>
    </row>
    <row r="801" customFormat="false" ht="15" hidden="false" customHeight="false" outlineLevel="0" collapsed="false">
      <c r="A801" s="31" t="s">
        <v>951</v>
      </c>
      <c r="B801" s="44" t="n">
        <v>46215</v>
      </c>
      <c r="C801" s="31" t="s">
        <v>59</v>
      </c>
      <c r="D801" s="31" t="s">
        <v>66</v>
      </c>
      <c r="E801" s="31" t="s">
        <v>51</v>
      </c>
      <c r="F801" s="31" t="s">
        <v>136</v>
      </c>
      <c r="G801" s="31" t="n">
        <v>31</v>
      </c>
      <c r="H801" s="41" t="n">
        <v>5.4</v>
      </c>
      <c r="I801" s="31" t="s">
        <v>149</v>
      </c>
      <c r="J801" s="31"/>
      <c r="K801" s="31" t="s">
        <v>150</v>
      </c>
      <c r="L801" s="45" t="n">
        <f aca="false">DATE(YEAR(B801),MONTH(B801),1)</f>
        <v>46204</v>
      </c>
      <c r="M801" s="31" t="n">
        <f aca="false">WEEKDAY(B801,2)</f>
        <v>7</v>
      </c>
      <c r="N801" s="31" t="str">
        <f aca="false">IF(G801&lt;=INDEX(Assumptions!$B$15:$B$18,MATCH(E801,Assumptions!$A$15:$A$18,0)),"Yes","No")</f>
        <v>Yes</v>
      </c>
      <c r="O801" s="31" t="str">
        <f aca="false">IF(H801="","Open",IF(H801&lt;=INDEX(Assumptions!$C$15:$C$18,MATCH(E801,Assumptions!$A$15:$A$18,0)),"Yes","No"))</f>
        <v>Yes</v>
      </c>
    </row>
    <row r="802" customFormat="false" ht="15" hidden="false" customHeight="false" outlineLevel="0" collapsed="false">
      <c r="A802" s="31" t="s">
        <v>952</v>
      </c>
      <c r="B802" s="44" t="n">
        <v>46215</v>
      </c>
      <c r="C802" s="31" t="s">
        <v>57</v>
      </c>
      <c r="D802" s="31" t="s">
        <v>67</v>
      </c>
      <c r="E802" s="31" t="s">
        <v>51</v>
      </c>
      <c r="F802" s="31" t="s">
        <v>134</v>
      </c>
      <c r="G802" s="31" t="n">
        <v>4</v>
      </c>
      <c r="H802" s="41" t="n">
        <v>29.7</v>
      </c>
      <c r="I802" s="31" t="s">
        <v>149</v>
      </c>
      <c r="J802" s="31"/>
      <c r="K802" s="31" t="s">
        <v>150</v>
      </c>
      <c r="L802" s="45" t="n">
        <f aca="false">DATE(YEAR(B802),MONTH(B802),1)</f>
        <v>46204</v>
      </c>
      <c r="M802" s="31" t="n">
        <f aca="false">WEEKDAY(B802,2)</f>
        <v>7</v>
      </c>
      <c r="N802" s="31" t="str">
        <f aca="false">IF(G802&lt;=INDEX(Assumptions!$B$15:$B$18,MATCH(E802,Assumptions!$A$15:$A$18,0)),"Yes","No")</f>
        <v>Yes</v>
      </c>
      <c r="O802" s="31" t="str">
        <f aca="false">IF(H802="","Open",IF(H802&lt;=INDEX(Assumptions!$C$15:$C$18,MATCH(E802,Assumptions!$A$15:$A$18,0)),"Yes","No"))</f>
        <v>No</v>
      </c>
    </row>
    <row r="803" customFormat="false" ht="15" hidden="false" customHeight="false" outlineLevel="0" collapsed="false">
      <c r="A803" s="31" t="s">
        <v>953</v>
      </c>
      <c r="B803" s="44" t="n">
        <v>46215</v>
      </c>
      <c r="C803" s="31" t="s">
        <v>59</v>
      </c>
      <c r="D803" s="31" t="s">
        <v>66</v>
      </c>
      <c r="E803" s="31" t="s">
        <v>51</v>
      </c>
      <c r="F803" s="31" t="s">
        <v>126</v>
      </c>
      <c r="G803" s="31" t="n">
        <v>72</v>
      </c>
      <c r="H803" s="41" t="n">
        <v>8.1</v>
      </c>
      <c r="I803" s="31" t="s">
        <v>149</v>
      </c>
      <c r="J803" s="31" t="n">
        <v>4</v>
      </c>
      <c r="K803" s="31" t="s">
        <v>150</v>
      </c>
      <c r="L803" s="45" t="n">
        <f aca="false">DATE(YEAR(B803),MONTH(B803),1)</f>
        <v>46204</v>
      </c>
      <c r="M803" s="31" t="n">
        <f aca="false">WEEKDAY(B803,2)</f>
        <v>7</v>
      </c>
      <c r="N803" s="31" t="str">
        <f aca="false">IF(G803&lt;=INDEX(Assumptions!$B$15:$B$18,MATCH(E803,Assumptions!$A$15:$A$18,0)),"Yes","No")</f>
        <v>No</v>
      </c>
      <c r="O803" s="31" t="str">
        <f aca="false">IF(H803="","Open",IF(H803&lt;=INDEX(Assumptions!$C$15:$C$18,MATCH(E803,Assumptions!$A$15:$A$18,0)),"Yes","No"))</f>
        <v>Yes</v>
      </c>
    </row>
    <row r="804" customFormat="false" ht="15" hidden="false" customHeight="false" outlineLevel="0" collapsed="false">
      <c r="A804" s="31" t="s">
        <v>954</v>
      </c>
      <c r="B804" s="44" t="n">
        <v>46215</v>
      </c>
      <c r="C804" s="31" t="s">
        <v>60</v>
      </c>
      <c r="D804" s="31" t="s">
        <v>66</v>
      </c>
      <c r="E804" s="31" t="s">
        <v>51</v>
      </c>
      <c r="F804" s="31" t="s">
        <v>135</v>
      </c>
      <c r="G804" s="31" t="n">
        <v>5</v>
      </c>
      <c r="H804" s="41" t="n">
        <v>28.1</v>
      </c>
      <c r="I804" s="31" t="s">
        <v>149</v>
      </c>
      <c r="J804" s="31"/>
      <c r="K804" s="31" t="s">
        <v>150</v>
      </c>
      <c r="L804" s="45" t="n">
        <f aca="false">DATE(YEAR(B804),MONTH(B804),1)</f>
        <v>46204</v>
      </c>
      <c r="M804" s="31" t="n">
        <f aca="false">WEEKDAY(B804,2)</f>
        <v>7</v>
      </c>
      <c r="N804" s="31" t="str">
        <f aca="false">IF(G804&lt;=INDEX(Assumptions!$B$15:$B$18,MATCH(E804,Assumptions!$A$15:$A$18,0)),"Yes","No")</f>
        <v>Yes</v>
      </c>
      <c r="O804" s="31" t="str">
        <f aca="false">IF(H804="","Open",IF(H804&lt;=INDEX(Assumptions!$C$15:$C$18,MATCH(E804,Assumptions!$A$15:$A$18,0)),"Yes","No"))</f>
        <v>No</v>
      </c>
    </row>
    <row r="805" customFormat="false" ht="15" hidden="false" customHeight="false" outlineLevel="0" collapsed="false">
      <c r="A805" s="31" t="s">
        <v>955</v>
      </c>
      <c r="B805" s="44" t="n">
        <v>46215</v>
      </c>
      <c r="C805" s="31" t="s">
        <v>58</v>
      </c>
      <c r="D805" s="31" t="s">
        <v>65</v>
      </c>
      <c r="E805" s="31" t="s">
        <v>51</v>
      </c>
      <c r="F805" s="31" t="s">
        <v>122</v>
      </c>
      <c r="G805" s="31" t="n">
        <v>18</v>
      </c>
      <c r="H805" s="41" t="n">
        <v>3.7</v>
      </c>
      <c r="I805" s="31" t="s">
        <v>149</v>
      </c>
      <c r="J805" s="31" t="n">
        <v>5</v>
      </c>
      <c r="K805" s="31" t="s">
        <v>153</v>
      </c>
      <c r="L805" s="45" t="n">
        <f aca="false">DATE(YEAR(B805),MONTH(B805),1)</f>
        <v>46204</v>
      </c>
      <c r="M805" s="31" t="n">
        <f aca="false">WEEKDAY(B805,2)</f>
        <v>7</v>
      </c>
      <c r="N805" s="31" t="str">
        <f aca="false">IF(G805&lt;=INDEX(Assumptions!$B$15:$B$18,MATCH(E805,Assumptions!$A$15:$A$18,0)),"Yes","No")</f>
        <v>Yes</v>
      </c>
      <c r="O805" s="31" t="str">
        <f aca="false">IF(H805="","Open",IF(H805&lt;=INDEX(Assumptions!$C$15:$C$18,MATCH(E805,Assumptions!$A$15:$A$18,0)),"Yes","No"))</f>
        <v>Yes</v>
      </c>
    </row>
    <row r="806" customFormat="false" ht="15" hidden="false" customHeight="false" outlineLevel="0" collapsed="false">
      <c r="A806" s="31" t="s">
        <v>956</v>
      </c>
      <c r="B806" s="44" t="n">
        <v>46215</v>
      </c>
      <c r="C806" s="31" t="s">
        <v>58</v>
      </c>
      <c r="D806" s="31" t="s">
        <v>67</v>
      </c>
      <c r="E806" s="31" t="s">
        <v>51</v>
      </c>
      <c r="F806" s="31" t="s">
        <v>127</v>
      </c>
      <c r="G806" s="31" t="n">
        <v>11</v>
      </c>
      <c r="H806" s="41" t="n">
        <v>10.6</v>
      </c>
      <c r="I806" s="31" t="s">
        <v>149</v>
      </c>
      <c r="J806" s="31" t="n">
        <v>4</v>
      </c>
      <c r="K806" s="31" t="s">
        <v>150</v>
      </c>
      <c r="L806" s="45" t="n">
        <f aca="false">DATE(YEAR(B806),MONTH(B806),1)</f>
        <v>46204</v>
      </c>
      <c r="M806" s="31" t="n">
        <f aca="false">WEEKDAY(B806,2)</f>
        <v>7</v>
      </c>
      <c r="N806" s="31" t="str">
        <f aca="false">IF(G806&lt;=INDEX(Assumptions!$B$15:$B$18,MATCH(E806,Assumptions!$A$15:$A$18,0)),"Yes","No")</f>
        <v>Yes</v>
      </c>
      <c r="O806" s="31" t="str">
        <f aca="false">IF(H806="","Open",IF(H806&lt;=INDEX(Assumptions!$C$15:$C$18,MATCH(E806,Assumptions!$A$15:$A$18,0)),"Yes","No"))</f>
        <v>Yes</v>
      </c>
    </row>
    <row r="807" customFormat="false" ht="15" hidden="false" customHeight="false" outlineLevel="0" collapsed="false">
      <c r="A807" s="31" t="s">
        <v>957</v>
      </c>
      <c r="B807" s="44" t="n">
        <v>46215</v>
      </c>
      <c r="C807" s="31" t="s">
        <v>57</v>
      </c>
      <c r="D807" s="31" t="s">
        <v>68</v>
      </c>
      <c r="E807" s="31" t="s">
        <v>52</v>
      </c>
      <c r="F807" s="31" t="s">
        <v>128</v>
      </c>
      <c r="G807" s="31" t="n">
        <v>33</v>
      </c>
      <c r="H807" s="41" t="n">
        <v>17.4</v>
      </c>
      <c r="I807" s="31" t="s">
        <v>149</v>
      </c>
      <c r="J807" s="31" t="n">
        <v>5</v>
      </c>
      <c r="K807" s="31" t="s">
        <v>150</v>
      </c>
      <c r="L807" s="45" t="n">
        <f aca="false">DATE(YEAR(B807),MONTH(B807),1)</f>
        <v>46204</v>
      </c>
      <c r="M807" s="31" t="n">
        <f aca="false">WEEKDAY(B807,2)</f>
        <v>7</v>
      </c>
      <c r="N807" s="31" t="str">
        <f aca="false">IF(G807&lt;=INDEX(Assumptions!$B$15:$B$18,MATCH(E807,Assumptions!$A$15:$A$18,0)),"Yes","No")</f>
        <v>Yes</v>
      </c>
      <c r="O807" s="31" t="str">
        <f aca="false">IF(H807="","Open",IF(H807&lt;=INDEX(Assumptions!$C$15:$C$18,MATCH(E807,Assumptions!$A$15:$A$18,0)),"Yes","No"))</f>
        <v>Yes</v>
      </c>
    </row>
    <row r="808" customFormat="false" ht="15" hidden="false" customHeight="false" outlineLevel="0" collapsed="false">
      <c r="A808" s="31" t="s">
        <v>958</v>
      </c>
      <c r="B808" s="44" t="n">
        <v>46215</v>
      </c>
      <c r="C808" s="31" t="s">
        <v>59</v>
      </c>
      <c r="D808" s="31" t="s">
        <v>67</v>
      </c>
      <c r="E808" s="31" t="s">
        <v>51</v>
      </c>
      <c r="F808" s="31" t="s">
        <v>117</v>
      </c>
      <c r="G808" s="31" t="n">
        <v>24</v>
      </c>
      <c r="H808" s="41" t="n">
        <v>17.7</v>
      </c>
      <c r="I808" s="31" t="s">
        <v>149</v>
      </c>
      <c r="J808" s="31" t="n">
        <v>4</v>
      </c>
      <c r="K808" s="31" t="s">
        <v>153</v>
      </c>
      <c r="L808" s="45" t="n">
        <f aca="false">DATE(YEAR(B808),MONTH(B808),1)</f>
        <v>46204</v>
      </c>
      <c r="M808" s="31" t="n">
        <f aca="false">WEEKDAY(B808,2)</f>
        <v>7</v>
      </c>
      <c r="N808" s="31" t="str">
        <f aca="false">IF(G808&lt;=INDEX(Assumptions!$B$15:$B$18,MATCH(E808,Assumptions!$A$15:$A$18,0)),"Yes","No")</f>
        <v>Yes</v>
      </c>
      <c r="O808" s="31" t="str">
        <f aca="false">IF(H808="","Open",IF(H808&lt;=INDEX(Assumptions!$C$15:$C$18,MATCH(E808,Assumptions!$A$15:$A$18,0)),"Yes","No"))</f>
        <v>Yes</v>
      </c>
    </row>
    <row r="809" customFormat="false" ht="15" hidden="false" customHeight="false" outlineLevel="0" collapsed="false">
      <c r="A809" s="31" t="s">
        <v>959</v>
      </c>
      <c r="B809" s="44" t="n">
        <v>46215</v>
      </c>
      <c r="C809" s="31" t="s">
        <v>60</v>
      </c>
      <c r="D809" s="31" t="s">
        <v>66</v>
      </c>
      <c r="E809" s="31" t="s">
        <v>51</v>
      </c>
      <c r="F809" s="31" t="s">
        <v>120</v>
      </c>
      <c r="G809" s="31" t="n">
        <v>2</v>
      </c>
      <c r="H809" s="41" t="n">
        <v>7.4</v>
      </c>
      <c r="I809" s="31" t="s">
        <v>149</v>
      </c>
      <c r="J809" s="31"/>
      <c r="K809" s="31" t="s">
        <v>150</v>
      </c>
      <c r="L809" s="45" t="n">
        <f aca="false">DATE(YEAR(B809),MONTH(B809),1)</f>
        <v>46204</v>
      </c>
      <c r="M809" s="31" t="n">
        <f aca="false">WEEKDAY(B809,2)</f>
        <v>7</v>
      </c>
      <c r="N809" s="31" t="str">
        <f aca="false">IF(G809&lt;=INDEX(Assumptions!$B$15:$B$18,MATCH(E809,Assumptions!$A$15:$A$18,0)),"Yes","No")</f>
        <v>Yes</v>
      </c>
      <c r="O809" s="31" t="str">
        <f aca="false">IF(H809="","Open",IF(H809&lt;=INDEX(Assumptions!$C$15:$C$18,MATCH(E809,Assumptions!$A$15:$A$18,0)),"Yes","No"))</f>
        <v>Yes</v>
      </c>
    </row>
    <row r="810" customFormat="false" ht="15" hidden="false" customHeight="false" outlineLevel="0" collapsed="false">
      <c r="A810" s="31" t="s">
        <v>960</v>
      </c>
      <c r="B810" s="44" t="n">
        <v>46215</v>
      </c>
      <c r="C810" s="31" t="s">
        <v>58</v>
      </c>
      <c r="D810" s="31" t="s">
        <v>68</v>
      </c>
      <c r="E810" s="31" t="s">
        <v>52</v>
      </c>
      <c r="F810" s="31" t="s">
        <v>126</v>
      </c>
      <c r="G810" s="31" t="n">
        <v>10</v>
      </c>
      <c r="H810" s="41" t="n">
        <v>23.4</v>
      </c>
      <c r="I810" s="31" t="s">
        <v>149</v>
      </c>
      <c r="J810" s="31"/>
      <c r="K810" s="31" t="s">
        <v>150</v>
      </c>
      <c r="L810" s="45" t="n">
        <f aca="false">DATE(YEAR(B810),MONTH(B810),1)</f>
        <v>46204</v>
      </c>
      <c r="M810" s="31" t="n">
        <f aca="false">WEEKDAY(B810,2)</f>
        <v>7</v>
      </c>
      <c r="N810" s="31" t="str">
        <f aca="false">IF(G810&lt;=INDEX(Assumptions!$B$15:$B$18,MATCH(E810,Assumptions!$A$15:$A$18,0)),"Yes","No")</f>
        <v>Yes</v>
      </c>
      <c r="O810" s="31" t="str">
        <f aca="false">IF(H810="","Open",IF(H810&lt;=INDEX(Assumptions!$C$15:$C$18,MATCH(E810,Assumptions!$A$15:$A$18,0)),"Yes","No"))</f>
        <v>Yes</v>
      </c>
    </row>
    <row r="811" customFormat="false" ht="15" hidden="false" customHeight="false" outlineLevel="0" collapsed="false">
      <c r="A811" s="31" t="s">
        <v>961</v>
      </c>
      <c r="B811" s="44" t="n">
        <v>46215</v>
      </c>
      <c r="C811" s="31" t="s">
        <v>59</v>
      </c>
      <c r="D811" s="31" t="s">
        <v>68</v>
      </c>
      <c r="E811" s="31" t="s">
        <v>51</v>
      </c>
      <c r="F811" s="31" t="s">
        <v>136</v>
      </c>
      <c r="G811" s="31" t="n">
        <v>39</v>
      </c>
      <c r="H811" s="41" t="n">
        <v>5.4</v>
      </c>
      <c r="I811" s="31" t="s">
        <v>149</v>
      </c>
      <c r="J811" s="31"/>
      <c r="K811" s="31" t="s">
        <v>150</v>
      </c>
      <c r="L811" s="45" t="n">
        <f aca="false">DATE(YEAR(B811),MONTH(B811),1)</f>
        <v>46204</v>
      </c>
      <c r="M811" s="31" t="n">
        <f aca="false">WEEKDAY(B811,2)</f>
        <v>7</v>
      </c>
      <c r="N811" s="31" t="str">
        <f aca="false">IF(G811&lt;=INDEX(Assumptions!$B$15:$B$18,MATCH(E811,Assumptions!$A$15:$A$18,0)),"Yes","No")</f>
        <v>Yes</v>
      </c>
      <c r="O811" s="31" t="str">
        <f aca="false">IF(H811="","Open",IF(H811&lt;=INDEX(Assumptions!$C$15:$C$18,MATCH(E811,Assumptions!$A$15:$A$18,0)),"Yes","No"))</f>
        <v>Yes</v>
      </c>
    </row>
    <row r="812" customFormat="false" ht="15" hidden="false" customHeight="false" outlineLevel="0" collapsed="false">
      <c r="A812" s="31" t="s">
        <v>962</v>
      </c>
      <c r="B812" s="44" t="n">
        <v>46215</v>
      </c>
      <c r="C812" s="31" t="s">
        <v>59</v>
      </c>
      <c r="D812" s="31" t="s">
        <v>67</v>
      </c>
      <c r="E812" s="31" t="s">
        <v>51</v>
      </c>
      <c r="F812" s="31" t="s">
        <v>122</v>
      </c>
      <c r="G812" s="31" t="n">
        <v>40</v>
      </c>
      <c r="H812" s="41" t="n">
        <v>5.9</v>
      </c>
      <c r="I812" s="31" t="s">
        <v>149</v>
      </c>
      <c r="J812" s="31" t="n">
        <v>4</v>
      </c>
      <c r="K812" s="31" t="s">
        <v>150</v>
      </c>
      <c r="L812" s="45" t="n">
        <f aca="false">DATE(YEAR(B812),MONTH(B812),1)</f>
        <v>46204</v>
      </c>
      <c r="M812" s="31" t="n">
        <f aca="false">WEEKDAY(B812,2)</f>
        <v>7</v>
      </c>
      <c r="N812" s="31" t="str">
        <f aca="false">IF(G812&lt;=INDEX(Assumptions!$B$15:$B$18,MATCH(E812,Assumptions!$A$15:$A$18,0)),"Yes","No")</f>
        <v>Yes</v>
      </c>
      <c r="O812" s="31" t="str">
        <f aca="false">IF(H812="","Open",IF(H812&lt;=INDEX(Assumptions!$C$15:$C$18,MATCH(E812,Assumptions!$A$15:$A$18,0)),"Yes","No"))</f>
        <v>Yes</v>
      </c>
    </row>
    <row r="813" customFormat="false" ht="15" hidden="false" customHeight="false" outlineLevel="0" collapsed="false">
      <c r="A813" s="31" t="s">
        <v>963</v>
      </c>
      <c r="B813" s="44" t="n">
        <v>46215</v>
      </c>
      <c r="C813" s="31" t="s">
        <v>58</v>
      </c>
      <c r="D813" s="31" t="s">
        <v>66</v>
      </c>
      <c r="E813" s="31" t="s">
        <v>51</v>
      </c>
      <c r="F813" s="31" t="s">
        <v>129</v>
      </c>
      <c r="G813" s="31" t="n">
        <v>7</v>
      </c>
      <c r="H813" s="41" t="n">
        <v>0.8</v>
      </c>
      <c r="I813" s="31" t="s">
        <v>149</v>
      </c>
      <c r="J813" s="31" t="n">
        <v>5</v>
      </c>
      <c r="K813" s="31" t="s">
        <v>150</v>
      </c>
      <c r="L813" s="45" t="n">
        <f aca="false">DATE(YEAR(B813),MONTH(B813),1)</f>
        <v>46204</v>
      </c>
      <c r="M813" s="31" t="n">
        <f aca="false">WEEKDAY(B813,2)</f>
        <v>7</v>
      </c>
      <c r="N813" s="31" t="str">
        <f aca="false">IF(G813&lt;=INDEX(Assumptions!$B$15:$B$18,MATCH(E813,Assumptions!$A$15:$A$18,0)),"Yes","No")</f>
        <v>Yes</v>
      </c>
      <c r="O813" s="31" t="str">
        <f aca="false">IF(H813="","Open",IF(H813&lt;=INDEX(Assumptions!$C$15:$C$18,MATCH(E813,Assumptions!$A$15:$A$18,0)),"Yes","No"))</f>
        <v>Yes</v>
      </c>
    </row>
    <row r="814" customFormat="false" ht="15" hidden="false" customHeight="false" outlineLevel="0" collapsed="false">
      <c r="A814" s="31" t="s">
        <v>964</v>
      </c>
      <c r="B814" s="44" t="n">
        <v>46215</v>
      </c>
      <c r="C814" s="31" t="s">
        <v>57</v>
      </c>
      <c r="D814" s="31" t="s">
        <v>66</v>
      </c>
      <c r="E814" s="31" t="s">
        <v>51</v>
      </c>
      <c r="F814" s="31" t="s">
        <v>130</v>
      </c>
      <c r="G814" s="31" t="n">
        <v>1</v>
      </c>
      <c r="H814" s="41" t="n">
        <v>3.7</v>
      </c>
      <c r="I814" s="31" t="s">
        <v>149</v>
      </c>
      <c r="J814" s="31" t="n">
        <v>5</v>
      </c>
      <c r="K814" s="31" t="s">
        <v>150</v>
      </c>
      <c r="L814" s="45" t="n">
        <f aca="false">DATE(YEAR(B814),MONTH(B814),1)</f>
        <v>46204</v>
      </c>
      <c r="M814" s="31" t="n">
        <f aca="false">WEEKDAY(B814,2)</f>
        <v>7</v>
      </c>
      <c r="N814" s="31" t="str">
        <f aca="false">IF(G814&lt;=INDEX(Assumptions!$B$15:$B$18,MATCH(E814,Assumptions!$A$15:$A$18,0)),"Yes","No")</f>
        <v>Yes</v>
      </c>
      <c r="O814" s="31" t="str">
        <f aca="false">IF(H814="","Open",IF(H814&lt;=INDEX(Assumptions!$C$15:$C$18,MATCH(E814,Assumptions!$A$15:$A$18,0)),"Yes","No"))</f>
        <v>Yes</v>
      </c>
    </row>
    <row r="815" customFormat="false" ht="15" hidden="false" customHeight="false" outlineLevel="0" collapsed="false">
      <c r="A815" s="31" t="s">
        <v>965</v>
      </c>
      <c r="B815" s="44" t="n">
        <v>46215</v>
      </c>
      <c r="C815" s="31" t="s">
        <v>60</v>
      </c>
      <c r="D815" s="31" t="s">
        <v>69</v>
      </c>
      <c r="E815" s="31" t="s">
        <v>51</v>
      </c>
      <c r="F815" s="31" t="s">
        <v>135</v>
      </c>
      <c r="G815" s="31" t="n">
        <v>4</v>
      </c>
      <c r="H815" s="41" t="n">
        <v>182.4</v>
      </c>
      <c r="I815" s="31" t="s">
        <v>64</v>
      </c>
      <c r="J815" s="31"/>
      <c r="K815" s="31" t="s">
        <v>150</v>
      </c>
      <c r="L815" s="45" t="n">
        <f aca="false">DATE(YEAR(B815),MONTH(B815),1)</f>
        <v>46204</v>
      </c>
      <c r="M815" s="31" t="n">
        <f aca="false">WEEKDAY(B815,2)</f>
        <v>7</v>
      </c>
      <c r="N815" s="31" t="str">
        <f aca="false">IF(G815&lt;=INDEX(Assumptions!$B$15:$B$18,MATCH(E815,Assumptions!$A$15:$A$18,0)),"Yes","No")</f>
        <v>Yes</v>
      </c>
      <c r="O815" s="31" t="str">
        <f aca="false">IF(H815="","Open",IF(H815&lt;=INDEX(Assumptions!$C$15:$C$18,MATCH(E815,Assumptions!$A$15:$A$18,0)),"Yes","No"))</f>
        <v>No</v>
      </c>
    </row>
    <row r="816" customFormat="false" ht="15" hidden="false" customHeight="false" outlineLevel="0" collapsed="false">
      <c r="A816" s="31" t="s">
        <v>966</v>
      </c>
      <c r="B816" s="44" t="n">
        <v>46215</v>
      </c>
      <c r="C816" s="31" t="s">
        <v>57</v>
      </c>
      <c r="D816" s="31" t="s">
        <v>68</v>
      </c>
      <c r="E816" s="31" t="s">
        <v>51</v>
      </c>
      <c r="F816" s="31" t="s">
        <v>135</v>
      </c>
      <c r="G816" s="31" t="n">
        <v>3</v>
      </c>
      <c r="H816" s="41" t="n">
        <v>3.1</v>
      </c>
      <c r="I816" s="31" t="s">
        <v>149</v>
      </c>
      <c r="J816" s="31"/>
      <c r="K816" s="31" t="s">
        <v>150</v>
      </c>
      <c r="L816" s="45" t="n">
        <f aca="false">DATE(YEAR(B816),MONTH(B816),1)</f>
        <v>46204</v>
      </c>
      <c r="M816" s="31" t="n">
        <f aca="false">WEEKDAY(B816,2)</f>
        <v>7</v>
      </c>
      <c r="N816" s="31" t="str">
        <f aca="false">IF(G816&lt;=INDEX(Assumptions!$B$15:$B$18,MATCH(E816,Assumptions!$A$15:$A$18,0)),"Yes","No")</f>
        <v>Yes</v>
      </c>
      <c r="O816" s="31" t="str">
        <f aca="false">IF(H816="","Open",IF(H816&lt;=INDEX(Assumptions!$C$15:$C$18,MATCH(E816,Assumptions!$A$15:$A$18,0)),"Yes","No"))</f>
        <v>Yes</v>
      </c>
    </row>
    <row r="817" customFormat="false" ht="15" hidden="false" customHeight="false" outlineLevel="0" collapsed="false">
      <c r="A817" s="31" t="s">
        <v>967</v>
      </c>
      <c r="B817" s="44" t="n">
        <v>46215</v>
      </c>
      <c r="C817" s="31" t="s">
        <v>59</v>
      </c>
      <c r="D817" s="31" t="s">
        <v>68</v>
      </c>
      <c r="E817" s="31" t="s">
        <v>50</v>
      </c>
      <c r="F817" s="31" t="s">
        <v>121</v>
      </c>
      <c r="G817" s="31" t="n">
        <v>30</v>
      </c>
      <c r="H817" s="41" t="n">
        <v>6.9</v>
      </c>
      <c r="I817" s="31" t="s">
        <v>149</v>
      </c>
      <c r="J817" s="31"/>
      <c r="K817" s="31" t="s">
        <v>150</v>
      </c>
      <c r="L817" s="45" t="n">
        <f aca="false">DATE(YEAR(B817),MONTH(B817),1)</f>
        <v>46204</v>
      </c>
      <c r="M817" s="31" t="n">
        <f aca="false">WEEKDAY(B817,2)</f>
        <v>7</v>
      </c>
      <c r="N817" s="31" t="str">
        <f aca="false">IF(G817&lt;=INDEX(Assumptions!$B$15:$B$18,MATCH(E817,Assumptions!$A$15:$A$18,0)),"Yes","No")</f>
        <v>Yes</v>
      </c>
      <c r="O817" s="31" t="str">
        <f aca="false">IF(H817="","Open",IF(H817&lt;=INDEX(Assumptions!$C$15:$C$18,MATCH(E817,Assumptions!$A$15:$A$18,0)),"Yes","No"))</f>
        <v>Yes</v>
      </c>
    </row>
    <row r="818" customFormat="false" ht="15" hidden="false" customHeight="false" outlineLevel="0" collapsed="false">
      <c r="A818" s="31" t="s">
        <v>968</v>
      </c>
      <c r="B818" s="44" t="n">
        <v>46215</v>
      </c>
      <c r="C818" s="31" t="s">
        <v>57</v>
      </c>
      <c r="D818" s="31" t="s">
        <v>65</v>
      </c>
      <c r="E818" s="31" t="s">
        <v>51</v>
      </c>
      <c r="F818" s="31" t="s">
        <v>129</v>
      </c>
      <c r="G818" s="31" t="n">
        <v>1</v>
      </c>
      <c r="H818" s="41" t="n">
        <v>5.8</v>
      </c>
      <c r="I818" s="31" t="s">
        <v>149</v>
      </c>
      <c r="J818" s="31"/>
      <c r="K818" s="31" t="s">
        <v>150</v>
      </c>
      <c r="L818" s="45" t="n">
        <f aca="false">DATE(YEAR(B818),MONTH(B818),1)</f>
        <v>46204</v>
      </c>
      <c r="M818" s="31" t="n">
        <f aca="false">WEEKDAY(B818,2)</f>
        <v>7</v>
      </c>
      <c r="N818" s="31" t="str">
        <f aca="false">IF(G818&lt;=INDEX(Assumptions!$B$15:$B$18,MATCH(E818,Assumptions!$A$15:$A$18,0)),"Yes","No")</f>
        <v>Yes</v>
      </c>
      <c r="O818" s="31" t="str">
        <f aca="false">IF(H818="","Open",IF(H818&lt;=INDEX(Assumptions!$C$15:$C$18,MATCH(E818,Assumptions!$A$15:$A$18,0)),"Yes","No"))</f>
        <v>Yes</v>
      </c>
    </row>
    <row r="819" customFormat="false" ht="15" hidden="false" customHeight="false" outlineLevel="0" collapsed="false">
      <c r="A819" s="31" t="s">
        <v>969</v>
      </c>
      <c r="B819" s="44" t="n">
        <v>46215</v>
      </c>
      <c r="C819" s="31" t="s">
        <v>58</v>
      </c>
      <c r="D819" s="31" t="s">
        <v>69</v>
      </c>
      <c r="E819" s="31" t="s">
        <v>49</v>
      </c>
      <c r="F819" s="31" t="s">
        <v>127</v>
      </c>
      <c r="G819" s="31" t="n">
        <v>8</v>
      </c>
      <c r="H819" s="41" t="n">
        <v>2.7</v>
      </c>
      <c r="I819" s="31" t="s">
        <v>149</v>
      </c>
      <c r="J819" s="31" t="n">
        <v>5</v>
      </c>
      <c r="K819" s="31" t="s">
        <v>150</v>
      </c>
      <c r="L819" s="45" t="n">
        <f aca="false">DATE(YEAR(B819),MONTH(B819),1)</f>
        <v>46204</v>
      </c>
      <c r="M819" s="31" t="n">
        <f aca="false">WEEKDAY(B819,2)</f>
        <v>7</v>
      </c>
      <c r="N819" s="31" t="str">
        <f aca="false">IF(G819&lt;=INDEX(Assumptions!$B$15:$B$18,MATCH(E819,Assumptions!$A$15:$A$18,0)),"Yes","No")</f>
        <v>Yes</v>
      </c>
      <c r="O819" s="31" t="str">
        <f aca="false">IF(H819="","Open",IF(H819&lt;=INDEX(Assumptions!$C$15:$C$18,MATCH(E819,Assumptions!$A$15:$A$18,0)),"Yes","No"))</f>
        <v>Yes</v>
      </c>
    </row>
    <row r="820" customFormat="false" ht="15" hidden="false" customHeight="false" outlineLevel="0" collapsed="false">
      <c r="A820" s="31" t="s">
        <v>970</v>
      </c>
      <c r="B820" s="44" t="n">
        <v>46215</v>
      </c>
      <c r="C820" s="31" t="s">
        <v>60</v>
      </c>
      <c r="D820" s="31" t="s">
        <v>65</v>
      </c>
      <c r="E820" s="31" t="s">
        <v>51</v>
      </c>
      <c r="F820" s="31" t="s">
        <v>127</v>
      </c>
      <c r="G820" s="31" t="n">
        <v>1</v>
      </c>
      <c r="H820" s="41" t="n">
        <v>11.5</v>
      </c>
      <c r="I820" s="31" t="s">
        <v>149</v>
      </c>
      <c r="J820" s="31" t="n">
        <v>3</v>
      </c>
      <c r="K820" s="31" t="s">
        <v>150</v>
      </c>
      <c r="L820" s="45" t="n">
        <f aca="false">DATE(YEAR(B820),MONTH(B820),1)</f>
        <v>46204</v>
      </c>
      <c r="M820" s="31" t="n">
        <f aca="false">WEEKDAY(B820,2)</f>
        <v>7</v>
      </c>
      <c r="N820" s="31" t="str">
        <f aca="false">IF(G820&lt;=INDEX(Assumptions!$B$15:$B$18,MATCH(E820,Assumptions!$A$15:$A$18,0)),"Yes","No")</f>
        <v>Yes</v>
      </c>
      <c r="O820" s="31" t="str">
        <f aca="false">IF(H820="","Open",IF(H820&lt;=INDEX(Assumptions!$C$15:$C$18,MATCH(E820,Assumptions!$A$15:$A$18,0)),"Yes","No"))</f>
        <v>Yes</v>
      </c>
    </row>
    <row r="821" customFormat="false" ht="15" hidden="false" customHeight="false" outlineLevel="0" collapsed="false">
      <c r="A821" s="31" t="s">
        <v>971</v>
      </c>
      <c r="B821" s="44" t="n">
        <v>46215</v>
      </c>
      <c r="C821" s="31" t="s">
        <v>58</v>
      </c>
      <c r="D821" s="31" t="s">
        <v>65</v>
      </c>
      <c r="E821" s="31" t="s">
        <v>51</v>
      </c>
      <c r="F821" s="31" t="s">
        <v>133</v>
      </c>
      <c r="G821" s="31" t="n">
        <v>17</v>
      </c>
      <c r="H821" s="41" t="n">
        <v>26.1</v>
      </c>
      <c r="I821" s="31" t="s">
        <v>149</v>
      </c>
      <c r="J821" s="31" t="n">
        <v>3</v>
      </c>
      <c r="K821" s="31" t="s">
        <v>150</v>
      </c>
      <c r="L821" s="45" t="n">
        <f aca="false">DATE(YEAR(B821),MONTH(B821),1)</f>
        <v>46204</v>
      </c>
      <c r="M821" s="31" t="n">
        <f aca="false">WEEKDAY(B821,2)</f>
        <v>7</v>
      </c>
      <c r="N821" s="31" t="str">
        <f aca="false">IF(G821&lt;=INDEX(Assumptions!$B$15:$B$18,MATCH(E821,Assumptions!$A$15:$A$18,0)),"Yes","No")</f>
        <v>Yes</v>
      </c>
      <c r="O821" s="31" t="str">
        <f aca="false">IF(H821="","Open",IF(H821&lt;=INDEX(Assumptions!$C$15:$C$18,MATCH(E821,Assumptions!$A$15:$A$18,0)),"Yes","No"))</f>
        <v>No</v>
      </c>
    </row>
    <row r="822" customFormat="false" ht="15" hidden="false" customHeight="false" outlineLevel="0" collapsed="false">
      <c r="A822" s="31" t="s">
        <v>972</v>
      </c>
      <c r="B822" s="44" t="n">
        <v>46215</v>
      </c>
      <c r="C822" s="31" t="s">
        <v>57</v>
      </c>
      <c r="D822" s="31" t="s">
        <v>65</v>
      </c>
      <c r="E822" s="31" t="s">
        <v>51</v>
      </c>
      <c r="F822" s="31" t="s">
        <v>130</v>
      </c>
      <c r="G822" s="31" t="n">
        <v>1</v>
      </c>
      <c r="H822" s="41" t="n">
        <v>6.6</v>
      </c>
      <c r="I822" s="31" t="s">
        <v>149</v>
      </c>
      <c r="J822" s="31" t="n">
        <v>5</v>
      </c>
      <c r="K822" s="31" t="s">
        <v>150</v>
      </c>
      <c r="L822" s="45" t="n">
        <f aca="false">DATE(YEAR(B822),MONTH(B822),1)</f>
        <v>46204</v>
      </c>
      <c r="M822" s="31" t="n">
        <f aca="false">WEEKDAY(B822,2)</f>
        <v>7</v>
      </c>
      <c r="N822" s="31" t="str">
        <f aca="false">IF(G822&lt;=INDEX(Assumptions!$B$15:$B$18,MATCH(E822,Assumptions!$A$15:$A$18,0)),"Yes","No")</f>
        <v>Yes</v>
      </c>
      <c r="O822" s="31" t="str">
        <f aca="false">IF(H822="","Open",IF(H822&lt;=INDEX(Assumptions!$C$15:$C$18,MATCH(E822,Assumptions!$A$15:$A$18,0)),"Yes","No"))</f>
        <v>Yes</v>
      </c>
    </row>
    <row r="823" customFormat="false" ht="15" hidden="false" customHeight="false" outlineLevel="0" collapsed="false">
      <c r="A823" s="31" t="s">
        <v>973</v>
      </c>
      <c r="B823" s="44" t="n">
        <v>46215</v>
      </c>
      <c r="C823" s="31" t="s">
        <v>58</v>
      </c>
      <c r="D823" s="31" t="s">
        <v>65</v>
      </c>
      <c r="E823" s="31" t="s">
        <v>51</v>
      </c>
      <c r="F823" s="31" t="s">
        <v>135</v>
      </c>
      <c r="G823" s="31" t="n">
        <v>23</v>
      </c>
      <c r="H823" s="41" t="n">
        <v>12.2</v>
      </c>
      <c r="I823" s="31" t="s">
        <v>149</v>
      </c>
      <c r="J823" s="31" t="n">
        <v>4</v>
      </c>
      <c r="K823" s="31" t="s">
        <v>150</v>
      </c>
      <c r="L823" s="45" t="n">
        <f aca="false">DATE(YEAR(B823),MONTH(B823),1)</f>
        <v>46204</v>
      </c>
      <c r="M823" s="31" t="n">
        <f aca="false">WEEKDAY(B823,2)</f>
        <v>7</v>
      </c>
      <c r="N823" s="31" t="str">
        <f aca="false">IF(G823&lt;=INDEX(Assumptions!$B$15:$B$18,MATCH(E823,Assumptions!$A$15:$A$18,0)),"Yes","No")</f>
        <v>Yes</v>
      </c>
      <c r="O823" s="31" t="str">
        <f aca="false">IF(H823="","Open",IF(H823&lt;=INDEX(Assumptions!$C$15:$C$18,MATCH(E823,Assumptions!$A$15:$A$18,0)),"Yes","No"))</f>
        <v>Yes</v>
      </c>
    </row>
    <row r="824" customFormat="false" ht="15" hidden="false" customHeight="false" outlineLevel="0" collapsed="false">
      <c r="A824" s="31" t="s">
        <v>974</v>
      </c>
      <c r="B824" s="44" t="n">
        <v>46215</v>
      </c>
      <c r="C824" s="31" t="s">
        <v>59</v>
      </c>
      <c r="D824" s="31" t="s">
        <v>67</v>
      </c>
      <c r="E824" s="31" t="s">
        <v>50</v>
      </c>
      <c r="F824" s="31" t="s">
        <v>134</v>
      </c>
      <c r="G824" s="31" t="n">
        <v>65</v>
      </c>
      <c r="H824" s="41" t="n">
        <v>9.2</v>
      </c>
      <c r="I824" s="31" t="s">
        <v>149</v>
      </c>
      <c r="J824" s="31" t="n">
        <v>2</v>
      </c>
      <c r="K824" s="31" t="s">
        <v>150</v>
      </c>
      <c r="L824" s="45" t="n">
        <f aca="false">DATE(YEAR(B824),MONTH(B824),1)</f>
        <v>46204</v>
      </c>
      <c r="M824" s="31" t="n">
        <f aca="false">WEEKDAY(B824,2)</f>
        <v>7</v>
      </c>
      <c r="N824" s="31" t="str">
        <f aca="false">IF(G824&lt;=INDEX(Assumptions!$B$15:$B$18,MATCH(E824,Assumptions!$A$15:$A$18,0)),"Yes","No")</f>
        <v>No</v>
      </c>
      <c r="O824" s="31" t="str">
        <f aca="false">IF(H824="","Open",IF(H824&lt;=INDEX(Assumptions!$C$15:$C$18,MATCH(E824,Assumptions!$A$15:$A$18,0)),"Yes","No"))</f>
        <v>No</v>
      </c>
    </row>
    <row r="825" customFormat="false" ht="15" hidden="false" customHeight="false" outlineLevel="0" collapsed="false">
      <c r="A825" s="31" t="s">
        <v>975</v>
      </c>
      <c r="B825" s="44" t="n">
        <v>46215</v>
      </c>
      <c r="C825" s="31" t="s">
        <v>58</v>
      </c>
      <c r="D825" s="31" t="s">
        <v>68</v>
      </c>
      <c r="E825" s="31" t="s">
        <v>50</v>
      </c>
      <c r="F825" s="31" t="s">
        <v>131</v>
      </c>
      <c r="G825" s="31" t="n">
        <v>20</v>
      </c>
      <c r="H825" s="41" t="n">
        <v>2</v>
      </c>
      <c r="I825" s="31" t="s">
        <v>149</v>
      </c>
      <c r="J825" s="31" t="n">
        <v>4</v>
      </c>
      <c r="K825" s="31" t="s">
        <v>150</v>
      </c>
      <c r="L825" s="45" t="n">
        <f aca="false">DATE(YEAR(B825),MONTH(B825),1)</f>
        <v>46204</v>
      </c>
      <c r="M825" s="31" t="n">
        <f aca="false">WEEKDAY(B825,2)</f>
        <v>7</v>
      </c>
      <c r="N825" s="31" t="str">
        <f aca="false">IF(G825&lt;=INDEX(Assumptions!$B$15:$B$18,MATCH(E825,Assumptions!$A$15:$A$18,0)),"Yes","No")</f>
        <v>Yes</v>
      </c>
      <c r="O825" s="31" t="str">
        <f aca="false">IF(H825="","Open",IF(H825&lt;=INDEX(Assumptions!$C$15:$C$18,MATCH(E825,Assumptions!$A$15:$A$18,0)),"Yes","No"))</f>
        <v>Yes</v>
      </c>
    </row>
    <row r="826" customFormat="false" ht="15" hidden="false" customHeight="false" outlineLevel="0" collapsed="false">
      <c r="A826" s="31" t="s">
        <v>976</v>
      </c>
      <c r="B826" s="44" t="n">
        <v>46215</v>
      </c>
      <c r="C826" s="31" t="s">
        <v>57</v>
      </c>
      <c r="D826" s="31" t="s">
        <v>66</v>
      </c>
      <c r="E826" s="31" t="s">
        <v>51</v>
      </c>
      <c r="F826" s="31" t="s">
        <v>129</v>
      </c>
      <c r="G826" s="31" t="n">
        <v>4</v>
      </c>
      <c r="H826" s="41" t="n">
        <v>2.3</v>
      </c>
      <c r="I826" s="31" t="s">
        <v>149</v>
      </c>
      <c r="J826" s="31" t="n">
        <v>5</v>
      </c>
      <c r="K826" s="31" t="s">
        <v>150</v>
      </c>
      <c r="L826" s="45" t="n">
        <f aca="false">DATE(YEAR(B826),MONTH(B826),1)</f>
        <v>46204</v>
      </c>
      <c r="M826" s="31" t="n">
        <f aca="false">WEEKDAY(B826,2)</f>
        <v>7</v>
      </c>
      <c r="N826" s="31" t="str">
        <f aca="false">IF(G826&lt;=INDEX(Assumptions!$B$15:$B$18,MATCH(E826,Assumptions!$A$15:$A$18,0)),"Yes","No")</f>
        <v>Yes</v>
      </c>
      <c r="O826" s="31" t="str">
        <f aca="false">IF(H826="","Open",IF(H826&lt;=INDEX(Assumptions!$C$15:$C$18,MATCH(E826,Assumptions!$A$15:$A$18,0)),"Yes","No"))</f>
        <v>Yes</v>
      </c>
    </row>
    <row r="827" customFormat="false" ht="15" hidden="false" customHeight="false" outlineLevel="0" collapsed="false">
      <c r="A827" s="31" t="s">
        <v>977</v>
      </c>
      <c r="B827" s="44" t="n">
        <v>46215</v>
      </c>
      <c r="C827" s="31" t="s">
        <v>58</v>
      </c>
      <c r="D827" s="31" t="s">
        <v>69</v>
      </c>
      <c r="E827" s="31" t="s">
        <v>49</v>
      </c>
      <c r="F827" s="31" t="s">
        <v>133</v>
      </c>
      <c r="G827" s="31" t="n">
        <v>1</v>
      </c>
      <c r="H827" s="41" t="n">
        <v>1.5</v>
      </c>
      <c r="I827" s="31" t="s">
        <v>149</v>
      </c>
      <c r="J827" s="31" t="n">
        <v>4</v>
      </c>
      <c r="K827" s="31" t="s">
        <v>150</v>
      </c>
      <c r="L827" s="45" t="n">
        <f aca="false">DATE(YEAR(B827),MONTH(B827),1)</f>
        <v>46204</v>
      </c>
      <c r="M827" s="31" t="n">
        <f aca="false">WEEKDAY(B827,2)</f>
        <v>7</v>
      </c>
      <c r="N827" s="31" t="str">
        <f aca="false">IF(G827&lt;=INDEX(Assumptions!$B$15:$B$18,MATCH(E827,Assumptions!$A$15:$A$18,0)),"Yes","No")</f>
        <v>Yes</v>
      </c>
      <c r="O827" s="31" t="str">
        <f aca="false">IF(H827="","Open",IF(H827&lt;=INDEX(Assumptions!$C$15:$C$18,MATCH(E827,Assumptions!$A$15:$A$18,0)),"Yes","No"))</f>
        <v>Yes</v>
      </c>
    </row>
    <row r="828" customFormat="false" ht="15" hidden="false" customHeight="false" outlineLevel="0" collapsed="false">
      <c r="A828" s="31" t="s">
        <v>978</v>
      </c>
      <c r="B828" s="44" t="n">
        <v>46215</v>
      </c>
      <c r="C828" s="31" t="s">
        <v>58</v>
      </c>
      <c r="D828" s="31" t="s">
        <v>68</v>
      </c>
      <c r="E828" s="31" t="s">
        <v>51</v>
      </c>
      <c r="F828" s="31" t="s">
        <v>121</v>
      </c>
      <c r="G828" s="31" t="n">
        <v>9</v>
      </c>
      <c r="H828" s="41" t="n">
        <v>36.4</v>
      </c>
      <c r="I828" s="31" t="s">
        <v>149</v>
      </c>
      <c r="J828" s="31" t="n">
        <v>3</v>
      </c>
      <c r="K828" s="31" t="s">
        <v>150</v>
      </c>
      <c r="L828" s="45" t="n">
        <f aca="false">DATE(YEAR(B828),MONTH(B828),1)</f>
        <v>46204</v>
      </c>
      <c r="M828" s="31" t="n">
        <f aca="false">WEEKDAY(B828,2)</f>
        <v>7</v>
      </c>
      <c r="N828" s="31" t="str">
        <f aca="false">IF(G828&lt;=INDEX(Assumptions!$B$15:$B$18,MATCH(E828,Assumptions!$A$15:$A$18,0)),"Yes","No")</f>
        <v>Yes</v>
      </c>
      <c r="O828" s="31" t="str">
        <f aca="false">IF(H828="","Open",IF(H828&lt;=INDEX(Assumptions!$C$15:$C$18,MATCH(E828,Assumptions!$A$15:$A$18,0)),"Yes","No"))</f>
        <v>No</v>
      </c>
    </row>
    <row r="829" customFormat="false" ht="15" hidden="false" customHeight="false" outlineLevel="0" collapsed="false">
      <c r="A829" s="31" t="s">
        <v>979</v>
      </c>
      <c r="B829" s="44" t="n">
        <v>46215</v>
      </c>
      <c r="C829" s="31" t="s">
        <v>57</v>
      </c>
      <c r="D829" s="31" t="s">
        <v>66</v>
      </c>
      <c r="E829" s="31" t="s">
        <v>51</v>
      </c>
      <c r="F829" s="31" t="s">
        <v>131</v>
      </c>
      <c r="G829" s="31" t="n">
        <v>2</v>
      </c>
      <c r="H829" s="41" t="n">
        <v>4.8</v>
      </c>
      <c r="I829" s="31" t="s">
        <v>149</v>
      </c>
      <c r="J829" s="31"/>
      <c r="K829" s="31" t="s">
        <v>150</v>
      </c>
      <c r="L829" s="45" t="n">
        <f aca="false">DATE(YEAR(B829),MONTH(B829),1)</f>
        <v>46204</v>
      </c>
      <c r="M829" s="31" t="n">
        <f aca="false">WEEKDAY(B829,2)</f>
        <v>7</v>
      </c>
      <c r="N829" s="31" t="str">
        <f aca="false">IF(G829&lt;=INDEX(Assumptions!$B$15:$B$18,MATCH(E829,Assumptions!$A$15:$A$18,0)),"Yes","No")</f>
        <v>Yes</v>
      </c>
      <c r="O829" s="31" t="str">
        <f aca="false">IF(H829="","Open",IF(H829&lt;=INDEX(Assumptions!$C$15:$C$18,MATCH(E829,Assumptions!$A$15:$A$18,0)),"Yes","No"))</f>
        <v>Yes</v>
      </c>
    </row>
    <row r="830" customFormat="false" ht="15" hidden="false" customHeight="false" outlineLevel="0" collapsed="false">
      <c r="A830" s="31" t="s">
        <v>980</v>
      </c>
      <c r="B830" s="44" t="n">
        <v>46215</v>
      </c>
      <c r="C830" s="31" t="s">
        <v>59</v>
      </c>
      <c r="D830" s="31" t="s">
        <v>65</v>
      </c>
      <c r="E830" s="31" t="s">
        <v>52</v>
      </c>
      <c r="F830" s="31" t="s">
        <v>127</v>
      </c>
      <c r="G830" s="31" t="n">
        <v>100</v>
      </c>
      <c r="H830" s="41" t="n">
        <v>21.8</v>
      </c>
      <c r="I830" s="31" t="s">
        <v>149</v>
      </c>
      <c r="J830" s="31" t="n">
        <v>4</v>
      </c>
      <c r="K830" s="31" t="s">
        <v>150</v>
      </c>
      <c r="L830" s="45" t="n">
        <f aca="false">DATE(YEAR(B830),MONTH(B830),1)</f>
        <v>46204</v>
      </c>
      <c r="M830" s="31" t="n">
        <f aca="false">WEEKDAY(B830,2)</f>
        <v>7</v>
      </c>
      <c r="N830" s="31" t="str">
        <f aca="false">IF(G830&lt;=INDEX(Assumptions!$B$15:$B$18,MATCH(E830,Assumptions!$A$15:$A$18,0)),"Yes","No")</f>
        <v>Yes</v>
      </c>
      <c r="O830" s="31" t="str">
        <f aca="false">IF(H830="","Open",IF(H830&lt;=INDEX(Assumptions!$C$15:$C$18,MATCH(E830,Assumptions!$A$15:$A$18,0)),"Yes","No"))</f>
        <v>Yes</v>
      </c>
    </row>
    <row r="831" customFormat="false" ht="15" hidden="false" customHeight="false" outlineLevel="0" collapsed="false">
      <c r="A831" s="31" t="s">
        <v>981</v>
      </c>
      <c r="B831" s="44" t="n">
        <v>46215</v>
      </c>
      <c r="C831" s="31" t="s">
        <v>59</v>
      </c>
      <c r="D831" s="31" t="s">
        <v>65</v>
      </c>
      <c r="E831" s="31" t="s">
        <v>50</v>
      </c>
      <c r="F831" s="31" t="s">
        <v>130</v>
      </c>
      <c r="G831" s="31" t="n">
        <v>17</v>
      </c>
      <c r="H831" s="41" t="n">
        <v>4.7</v>
      </c>
      <c r="I831" s="31" t="s">
        <v>149</v>
      </c>
      <c r="J831" s="31" t="n">
        <v>5</v>
      </c>
      <c r="K831" s="31" t="s">
        <v>150</v>
      </c>
      <c r="L831" s="45" t="n">
        <f aca="false">DATE(YEAR(B831),MONTH(B831),1)</f>
        <v>46204</v>
      </c>
      <c r="M831" s="31" t="n">
        <f aca="false">WEEKDAY(B831,2)</f>
        <v>7</v>
      </c>
      <c r="N831" s="31" t="str">
        <f aca="false">IF(G831&lt;=INDEX(Assumptions!$B$15:$B$18,MATCH(E831,Assumptions!$A$15:$A$18,0)),"Yes","No")</f>
        <v>Yes</v>
      </c>
      <c r="O831" s="31" t="str">
        <f aca="false">IF(H831="","Open",IF(H831&lt;=INDEX(Assumptions!$C$15:$C$18,MATCH(E831,Assumptions!$A$15:$A$18,0)),"Yes","No"))</f>
        <v>Yes</v>
      </c>
    </row>
    <row r="832" customFormat="false" ht="15" hidden="false" customHeight="false" outlineLevel="0" collapsed="false">
      <c r="A832" s="31" t="s">
        <v>982</v>
      </c>
      <c r="B832" s="44" t="n">
        <v>46215</v>
      </c>
      <c r="C832" s="31" t="s">
        <v>57</v>
      </c>
      <c r="D832" s="31" t="s">
        <v>66</v>
      </c>
      <c r="E832" s="31" t="s">
        <v>52</v>
      </c>
      <c r="F832" s="31" t="s">
        <v>134</v>
      </c>
      <c r="G832" s="31" t="n">
        <v>11</v>
      </c>
      <c r="H832" s="41" t="n">
        <v>23.5</v>
      </c>
      <c r="I832" s="31" t="s">
        <v>149</v>
      </c>
      <c r="J832" s="31" t="n">
        <v>3</v>
      </c>
      <c r="K832" s="31" t="s">
        <v>150</v>
      </c>
      <c r="L832" s="45" t="n">
        <f aca="false">DATE(YEAR(B832),MONTH(B832),1)</f>
        <v>46204</v>
      </c>
      <c r="M832" s="31" t="n">
        <f aca="false">WEEKDAY(B832,2)</f>
        <v>7</v>
      </c>
      <c r="N832" s="31" t="str">
        <f aca="false">IF(G832&lt;=INDEX(Assumptions!$B$15:$B$18,MATCH(E832,Assumptions!$A$15:$A$18,0)),"Yes","No")</f>
        <v>Yes</v>
      </c>
      <c r="O832" s="31" t="str">
        <f aca="false">IF(H832="","Open",IF(H832&lt;=INDEX(Assumptions!$C$15:$C$18,MATCH(E832,Assumptions!$A$15:$A$18,0)),"Yes","No"))</f>
        <v>Yes</v>
      </c>
    </row>
    <row r="833" customFormat="false" ht="15" hidden="false" customHeight="false" outlineLevel="0" collapsed="false">
      <c r="A833" s="31" t="s">
        <v>983</v>
      </c>
      <c r="B833" s="44" t="n">
        <v>46215</v>
      </c>
      <c r="C833" s="31" t="s">
        <v>59</v>
      </c>
      <c r="D833" s="31" t="s">
        <v>69</v>
      </c>
      <c r="E833" s="31" t="s">
        <v>51</v>
      </c>
      <c r="F833" s="31" t="s">
        <v>121</v>
      </c>
      <c r="G833" s="31" t="n">
        <v>55</v>
      </c>
      <c r="H833" s="41" t="n">
        <v>66.1</v>
      </c>
      <c r="I833" s="31" t="s">
        <v>149</v>
      </c>
      <c r="J833" s="31" t="n">
        <v>2</v>
      </c>
      <c r="K833" s="31" t="s">
        <v>150</v>
      </c>
      <c r="L833" s="45" t="n">
        <f aca="false">DATE(YEAR(B833),MONTH(B833),1)</f>
        <v>46204</v>
      </c>
      <c r="M833" s="31" t="n">
        <f aca="false">WEEKDAY(B833,2)</f>
        <v>7</v>
      </c>
      <c r="N833" s="31" t="str">
        <f aca="false">IF(G833&lt;=INDEX(Assumptions!$B$15:$B$18,MATCH(E833,Assumptions!$A$15:$A$18,0)),"Yes","No")</f>
        <v>Yes</v>
      </c>
      <c r="O833" s="31" t="str">
        <f aca="false">IF(H833="","Open",IF(H833&lt;=INDEX(Assumptions!$C$15:$C$18,MATCH(E833,Assumptions!$A$15:$A$18,0)),"Yes","No"))</f>
        <v>No</v>
      </c>
    </row>
    <row r="834" customFormat="false" ht="15" hidden="false" customHeight="false" outlineLevel="0" collapsed="false">
      <c r="A834" s="31" t="s">
        <v>984</v>
      </c>
      <c r="B834" s="44" t="n">
        <v>46215</v>
      </c>
      <c r="C834" s="31" t="s">
        <v>57</v>
      </c>
      <c r="D834" s="31" t="s">
        <v>67</v>
      </c>
      <c r="E834" s="31" t="s">
        <v>51</v>
      </c>
      <c r="F834" s="31" t="s">
        <v>123</v>
      </c>
      <c r="G834" s="31" t="n">
        <v>6</v>
      </c>
      <c r="H834" s="41" t="n">
        <v>24.7</v>
      </c>
      <c r="I834" s="31" t="s">
        <v>149</v>
      </c>
      <c r="J834" s="31" t="n">
        <v>3</v>
      </c>
      <c r="K834" s="31" t="s">
        <v>150</v>
      </c>
      <c r="L834" s="45" t="n">
        <f aca="false">DATE(YEAR(B834),MONTH(B834),1)</f>
        <v>46204</v>
      </c>
      <c r="M834" s="31" t="n">
        <f aca="false">WEEKDAY(B834,2)</f>
        <v>7</v>
      </c>
      <c r="N834" s="31" t="str">
        <f aca="false">IF(G834&lt;=INDEX(Assumptions!$B$15:$B$18,MATCH(E834,Assumptions!$A$15:$A$18,0)),"Yes","No")</f>
        <v>Yes</v>
      </c>
      <c r="O834" s="31" t="str">
        <f aca="false">IF(H834="","Open",IF(H834&lt;=INDEX(Assumptions!$C$15:$C$18,MATCH(E834,Assumptions!$A$15:$A$18,0)),"Yes","No"))</f>
        <v>No</v>
      </c>
    </row>
    <row r="835" customFormat="false" ht="15" hidden="false" customHeight="false" outlineLevel="0" collapsed="false">
      <c r="A835" s="31" t="s">
        <v>985</v>
      </c>
      <c r="B835" s="44" t="n">
        <v>46215</v>
      </c>
      <c r="C835" s="31" t="s">
        <v>57</v>
      </c>
      <c r="D835" s="31" t="s">
        <v>67</v>
      </c>
      <c r="E835" s="31" t="s">
        <v>49</v>
      </c>
      <c r="F835" s="31" t="s">
        <v>130</v>
      </c>
      <c r="G835" s="31" t="n">
        <v>2</v>
      </c>
      <c r="H835" s="41" t="n">
        <v>38.3</v>
      </c>
      <c r="I835" s="31" t="s">
        <v>64</v>
      </c>
      <c r="J835" s="31" t="n">
        <v>3</v>
      </c>
      <c r="K835" s="31" t="s">
        <v>150</v>
      </c>
      <c r="L835" s="45" t="n">
        <f aca="false">DATE(YEAR(B835),MONTH(B835),1)</f>
        <v>46204</v>
      </c>
      <c r="M835" s="31" t="n">
        <f aca="false">WEEKDAY(B835,2)</f>
        <v>7</v>
      </c>
      <c r="N835" s="31" t="str">
        <f aca="false">IF(G835&lt;=INDEX(Assumptions!$B$15:$B$18,MATCH(E835,Assumptions!$A$15:$A$18,0)),"Yes","No")</f>
        <v>Yes</v>
      </c>
      <c r="O835" s="31" t="str">
        <f aca="false">IF(H835="","Open",IF(H835&lt;=INDEX(Assumptions!$C$15:$C$18,MATCH(E835,Assumptions!$A$15:$A$18,0)),"Yes","No"))</f>
        <v>No</v>
      </c>
    </row>
    <row r="836" customFormat="false" ht="15" hidden="false" customHeight="false" outlineLevel="0" collapsed="false">
      <c r="A836" s="31" t="s">
        <v>986</v>
      </c>
      <c r="B836" s="44" t="n">
        <v>46216</v>
      </c>
      <c r="C836" s="31" t="s">
        <v>58</v>
      </c>
      <c r="D836" s="31" t="s">
        <v>68</v>
      </c>
      <c r="E836" s="31" t="s">
        <v>51</v>
      </c>
      <c r="F836" s="31" t="s">
        <v>120</v>
      </c>
      <c r="G836" s="31" t="n">
        <v>45</v>
      </c>
      <c r="H836" s="41" t="n">
        <v>5.3</v>
      </c>
      <c r="I836" s="31" t="s">
        <v>64</v>
      </c>
      <c r="J836" s="31" t="n">
        <v>3</v>
      </c>
      <c r="K836" s="31" t="s">
        <v>150</v>
      </c>
      <c r="L836" s="45" t="n">
        <f aca="false">DATE(YEAR(B836),MONTH(B836),1)</f>
        <v>46204</v>
      </c>
      <c r="M836" s="31" t="n">
        <f aca="false">WEEKDAY(B836,2)</f>
        <v>1</v>
      </c>
      <c r="N836" s="31" t="str">
        <f aca="false">IF(G836&lt;=INDEX(Assumptions!$B$15:$B$18,MATCH(E836,Assumptions!$A$15:$A$18,0)),"Yes","No")</f>
        <v>Yes</v>
      </c>
      <c r="O836" s="31" t="str">
        <f aca="false">IF(H836="","Open",IF(H836&lt;=INDEX(Assumptions!$C$15:$C$18,MATCH(E836,Assumptions!$A$15:$A$18,0)),"Yes","No"))</f>
        <v>Yes</v>
      </c>
    </row>
    <row r="837" customFormat="false" ht="15" hidden="false" customHeight="false" outlineLevel="0" collapsed="false">
      <c r="A837" s="31" t="s">
        <v>987</v>
      </c>
      <c r="B837" s="44" t="n">
        <v>46216</v>
      </c>
      <c r="C837" s="31" t="s">
        <v>57</v>
      </c>
      <c r="D837" s="31" t="s">
        <v>65</v>
      </c>
      <c r="E837" s="31" t="s">
        <v>51</v>
      </c>
      <c r="F837" s="31" t="s">
        <v>126</v>
      </c>
      <c r="G837" s="31" t="n">
        <v>5</v>
      </c>
      <c r="H837" s="41" t="n">
        <v>13.8</v>
      </c>
      <c r="I837" s="31" t="s">
        <v>149</v>
      </c>
      <c r="J837" s="31" t="n">
        <v>4</v>
      </c>
      <c r="K837" s="31" t="s">
        <v>150</v>
      </c>
      <c r="L837" s="45" t="n">
        <f aca="false">DATE(YEAR(B837),MONTH(B837),1)</f>
        <v>46204</v>
      </c>
      <c r="M837" s="31" t="n">
        <f aca="false">WEEKDAY(B837,2)</f>
        <v>1</v>
      </c>
      <c r="N837" s="31" t="str">
        <f aca="false">IF(G837&lt;=INDEX(Assumptions!$B$15:$B$18,MATCH(E837,Assumptions!$A$15:$A$18,0)),"Yes","No")</f>
        <v>Yes</v>
      </c>
      <c r="O837" s="31" t="str">
        <f aca="false">IF(H837="","Open",IF(H837&lt;=INDEX(Assumptions!$C$15:$C$18,MATCH(E837,Assumptions!$A$15:$A$18,0)),"Yes","No"))</f>
        <v>Yes</v>
      </c>
    </row>
    <row r="838" customFormat="false" ht="15" hidden="false" customHeight="false" outlineLevel="0" collapsed="false">
      <c r="A838" s="31" t="s">
        <v>988</v>
      </c>
      <c r="B838" s="44" t="n">
        <v>46216</v>
      </c>
      <c r="C838" s="31" t="s">
        <v>58</v>
      </c>
      <c r="D838" s="31" t="s">
        <v>68</v>
      </c>
      <c r="E838" s="31" t="s">
        <v>50</v>
      </c>
      <c r="F838" s="31" t="s">
        <v>131</v>
      </c>
      <c r="G838" s="31" t="n">
        <v>8</v>
      </c>
      <c r="H838" s="41" t="n">
        <v>1.4</v>
      </c>
      <c r="I838" s="31" t="s">
        <v>149</v>
      </c>
      <c r="J838" s="31"/>
      <c r="K838" s="31" t="s">
        <v>150</v>
      </c>
      <c r="L838" s="45" t="n">
        <f aca="false">DATE(YEAR(B838),MONTH(B838),1)</f>
        <v>46204</v>
      </c>
      <c r="M838" s="31" t="n">
        <f aca="false">WEEKDAY(B838,2)</f>
        <v>1</v>
      </c>
      <c r="N838" s="31" t="str">
        <f aca="false">IF(G838&lt;=INDEX(Assumptions!$B$15:$B$18,MATCH(E838,Assumptions!$A$15:$A$18,0)),"Yes","No")</f>
        <v>Yes</v>
      </c>
      <c r="O838" s="31" t="str">
        <f aca="false">IF(H838="","Open",IF(H838&lt;=INDEX(Assumptions!$C$15:$C$18,MATCH(E838,Assumptions!$A$15:$A$18,0)),"Yes","No"))</f>
        <v>Yes</v>
      </c>
    </row>
    <row r="839" customFormat="false" ht="15" hidden="false" customHeight="false" outlineLevel="0" collapsed="false">
      <c r="A839" s="31" t="s">
        <v>989</v>
      </c>
      <c r="B839" s="44" t="n">
        <v>46216</v>
      </c>
      <c r="C839" s="31" t="s">
        <v>59</v>
      </c>
      <c r="D839" s="31" t="s">
        <v>67</v>
      </c>
      <c r="E839" s="31" t="s">
        <v>49</v>
      </c>
      <c r="F839" s="31" t="s">
        <v>126</v>
      </c>
      <c r="G839" s="31" t="n">
        <v>23</v>
      </c>
      <c r="H839" s="41" t="n">
        <v>4.8</v>
      </c>
      <c r="I839" s="31" t="s">
        <v>149</v>
      </c>
      <c r="J839" s="31" t="n">
        <v>4</v>
      </c>
      <c r="K839" s="31" t="s">
        <v>150</v>
      </c>
      <c r="L839" s="45" t="n">
        <f aca="false">DATE(YEAR(B839),MONTH(B839),1)</f>
        <v>46204</v>
      </c>
      <c r="M839" s="31" t="n">
        <f aca="false">WEEKDAY(B839,2)</f>
        <v>1</v>
      </c>
      <c r="N839" s="31" t="str">
        <f aca="false">IF(G839&lt;=INDEX(Assumptions!$B$15:$B$18,MATCH(E839,Assumptions!$A$15:$A$18,0)),"Yes","No")</f>
        <v>No</v>
      </c>
      <c r="O839" s="31" t="str">
        <f aca="false">IF(H839="","Open",IF(H839&lt;=INDEX(Assumptions!$C$15:$C$18,MATCH(E839,Assumptions!$A$15:$A$18,0)),"Yes","No"))</f>
        <v>No</v>
      </c>
    </row>
    <row r="840" customFormat="false" ht="15" hidden="false" customHeight="false" outlineLevel="0" collapsed="false">
      <c r="A840" s="31" t="s">
        <v>990</v>
      </c>
      <c r="B840" s="44" t="n">
        <v>46216</v>
      </c>
      <c r="C840" s="31" t="s">
        <v>58</v>
      </c>
      <c r="D840" s="31" t="s">
        <v>67</v>
      </c>
      <c r="E840" s="31" t="s">
        <v>51</v>
      </c>
      <c r="F840" s="31" t="s">
        <v>128</v>
      </c>
      <c r="G840" s="31" t="n">
        <v>14</v>
      </c>
      <c r="H840" s="41" t="n">
        <v>114.6</v>
      </c>
      <c r="I840" s="31" t="s">
        <v>149</v>
      </c>
      <c r="J840" s="31"/>
      <c r="K840" s="31" t="s">
        <v>150</v>
      </c>
      <c r="L840" s="45" t="n">
        <f aca="false">DATE(YEAR(B840),MONTH(B840),1)</f>
        <v>46204</v>
      </c>
      <c r="M840" s="31" t="n">
        <f aca="false">WEEKDAY(B840,2)</f>
        <v>1</v>
      </c>
      <c r="N840" s="31" t="str">
        <f aca="false">IF(G840&lt;=INDEX(Assumptions!$B$15:$B$18,MATCH(E840,Assumptions!$A$15:$A$18,0)),"Yes","No")</f>
        <v>Yes</v>
      </c>
      <c r="O840" s="31" t="str">
        <f aca="false">IF(H840="","Open",IF(H840&lt;=INDEX(Assumptions!$C$15:$C$18,MATCH(E840,Assumptions!$A$15:$A$18,0)),"Yes","No"))</f>
        <v>No</v>
      </c>
    </row>
    <row r="841" customFormat="false" ht="15" hidden="false" customHeight="false" outlineLevel="0" collapsed="false">
      <c r="A841" s="31" t="s">
        <v>991</v>
      </c>
      <c r="B841" s="44" t="n">
        <v>46216</v>
      </c>
      <c r="C841" s="31" t="s">
        <v>60</v>
      </c>
      <c r="D841" s="31" t="s">
        <v>65</v>
      </c>
      <c r="E841" s="31" t="s">
        <v>50</v>
      </c>
      <c r="F841" s="31" t="s">
        <v>130</v>
      </c>
      <c r="G841" s="31" t="n">
        <v>2</v>
      </c>
      <c r="H841" s="41" t="n">
        <v>18</v>
      </c>
      <c r="I841" s="31" t="s">
        <v>149</v>
      </c>
      <c r="J841" s="31"/>
      <c r="K841" s="31" t="s">
        <v>150</v>
      </c>
      <c r="L841" s="45" t="n">
        <f aca="false">DATE(YEAR(B841),MONTH(B841),1)</f>
        <v>46204</v>
      </c>
      <c r="M841" s="31" t="n">
        <f aca="false">WEEKDAY(B841,2)</f>
        <v>1</v>
      </c>
      <c r="N841" s="31" t="str">
        <f aca="false">IF(G841&lt;=INDEX(Assumptions!$B$15:$B$18,MATCH(E841,Assumptions!$A$15:$A$18,0)),"Yes","No")</f>
        <v>Yes</v>
      </c>
      <c r="O841" s="31" t="str">
        <f aca="false">IF(H841="","Open",IF(H841&lt;=INDEX(Assumptions!$C$15:$C$18,MATCH(E841,Assumptions!$A$15:$A$18,0)),"Yes","No"))</f>
        <v>No</v>
      </c>
    </row>
    <row r="842" customFormat="false" ht="15" hidden="false" customHeight="false" outlineLevel="0" collapsed="false">
      <c r="A842" s="31" t="s">
        <v>992</v>
      </c>
      <c r="B842" s="44" t="n">
        <v>46216</v>
      </c>
      <c r="C842" s="31" t="s">
        <v>60</v>
      </c>
      <c r="D842" s="31" t="s">
        <v>68</v>
      </c>
      <c r="E842" s="31" t="s">
        <v>52</v>
      </c>
      <c r="F842" s="31" t="s">
        <v>119</v>
      </c>
      <c r="G842" s="31" t="n">
        <v>1</v>
      </c>
      <c r="H842" s="41" t="n">
        <v>1.3</v>
      </c>
      <c r="I842" s="31" t="s">
        <v>149</v>
      </c>
      <c r="J842" s="31" t="n">
        <v>4</v>
      </c>
      <c r="K842" s="31" t="s">
        <v>150</v>
      </c>
      <c r="L842" s="45" t="n">
        <f aca="false">DATE(YEAR(B842),MONTH(B842),1)</f>
        <v>46204</v>
      </c>
      <c r="M842" s="31" t="n">
        <f aca="false">WEEKDAY(B842,2)</f>
        <v>1</v>
      </c>
      <c r="N842" s="31" t="str">
        <f aca="false">IF(G842&lt;=INDEX(Assumptions!$B$15:$B$18,MATCH(E842,Assumptions!$A$15:$A$18,0)),"Yes","No")</f>
        <v>Yes</v>
      </c>
      <c r="O842" s="31" t="str">
        <f aca="false">IF(H842="","Open",IF(H842&lt;=INDEX(Assumptions!$C$15:$C$18,MATCH(E842,Assumptions!$A$15:$A$18,0)),"Yes","No"))</f>
        <v>Yes</v>
      </c>
    </row>
    <row r="843" customFormat="false" ht="15" hidden="false" customHeight="false" outlineLevel="0" collapsed="false">
      <c r="A843" s="31" t="s">
        <v>993</v>
      </c>
      <c r="B843" s="44" t="n">
        <v>46216</v>
      </c>
      <c r="C843" s="31" t="s">
        <v>58</v>
      </c>
      <c r="D843" s="31" t="s">
        <v>65</v>
      </c>
      <c r="E843" s="31" t="s">
        <v>51</v>
      </c>
      <c r="F843" s="31" t="s">
        <v>124</v>
      </c>
      <c r="G843" s="31" t="n">
        <v>25</v>
      </c>
      <c r="H843" s="41" t="n">
        <v>6.9</v>
      </c>
      <c r="I843" s="31" t="s">
        <v>149</v>
      </c>
      <c r="J843" s="31"/>
      <c r="K843" s="31" t="s">
        <v>150</v>
      </c>
      <c r="L843" s="45" t="n">
        <f aca="false">DATE(YEAR(B843),MONTH(B843),1)</f>
        <v>46204</v>
      </c>
      <c r="M843" s="31" t="n">
        <f aca="false">WEEKDAY(B843,2)</f>
        <v>1</v>
      </c>
      <c r="N843" s="31" t="str">
        <f aca="false">IF(G843&lt;=INDEX(Assumptions!$B$15:$B$18,MATCH(E843,Assumptions!$A$15:$A$18,0)),"Yes","No")</f>
        <v>Yes</v>
      </c>
      <c r="O843" s="31" t="str">
        <f aca="false">IF(H843="","Open",IF(H843&lt;=INDEX(Assumptions!$C$15:$C$18,MATCH(E843,Assumptions!$A$15:$A$18,0)),"Yes","No"))</f>
        <v>Yes</v>
      </c>
    </row>
    <row r="844" customFormat="false" ht="15" hidden="false" customHeight="false" outlineLevel="0" collapsed="false">
      <c r="A844" s="31" t="s">
        <v>994</v>
      </c>
      <c r="B844" s="44" t="n">
        <v>46216</v>
      </c>
      <c r="C844" s="31" t="s">
        <v>60</v>
      </c>
      <c r="D844" s="31" t="s">
        <v>69</v>
      </c>
      <c r="E844" s="31" t="s">
        <v>51</v>
      </c>
      <c r="F844" s="31" t="s">
        <v>123</v>
      </c>
      <c r="G844" s="31" t="n">
        <v>5</v>
      </c>
      <c r="H844" s="41" t="n">
        <v>34.8</v>
      </c>
      <c r="I844" s="31" t="s">
        <v>149</v>
      </c>
      <c r="J844" s="31"/>
      <c r="K844" s="31" t="s">
        <v>150</v>
      </c>
      <c r="L844" s="45" t="n">
        <f aca="false">DATE(YEAR(B844),MONTH(B844),1)</f>
        <v>46204</v>
      </c>
      <c r="M844" s="31" t="n">
        <f aca="false">WEEKDAY(B844,2)</f>
        <v>1</v>
      </c>
      <c r="N844" s="31" t="str">
        <f aca="false">IF(G844&lt;=INDEX(Assumptions!$B$15:$B$18,MATCH(E844,Assumptions!$A$15:$A$18,0)),"Yes","No")</f>
        <v>Yes</v>
      </c>
      <c r="O844" s="31" t="str">
        <f aca="false">IF(H844="","Open",IF(H844&lt;=INDEX(Assumptions!$C$15:$C$18,MATCH(E844,Assumptions!$A$15:$A$18,0)),"Yes","No"))</f>
        <v>No</v>
      </c>
    </row>
    <row r="845" customFormat="false" ht="15" hidden="false" customHeight="false" outlineLevel="0" collapsed="false">
      <c r="A845" s="31" t="s">
        <v>995</v>
      </c>
      <c r="B845" s="44" t="n">
        <v>46216</v>
      </c>
      <c r="C845" s="31" t="s">
        <v>60</v>
      </c>
      <c r="D845" s="31" t="s">
        <v>68</v>
      </c>
      <c r="E845" s="31" t="s">
        <v>52</v>
      </c>
      <c r="F845" s="31" t="s">
        <v>130</v>
      </c>
      <c r="G845" s="31" t="n">
        <v>2</v>
      </c>
      <c r="H845" s="41" t="n">
        <v>11.9</v>
      </c>
      <c r="I845" s="31" t="s">
        <v>149</v>
      </c>
      <c r="J845" s="31"/>
      <c r="K845" s="31" t="s">
        <v>150</v>
      </c>
      <c r="L845" s="45" t="n">
        <f aca="false">DATE(YEAR(B845),MONTH(B845),1)</f>
        <v>46204</v>
      </c>
      <c r="M845" s="31" t="n">
        <f aca="false">WEEKDAY(B845,2)</f>
        <v>1</v>
      </c>
      <c r="N845" s="31" t="str">
        <f aca="false">IF(G845&lt;=INDEX(Assumptions!$B$15:$B$18,MATCH(E845,Assumptions!$A$15:$A$18,0)),"Yes","No")</f>
        <v>Yes</v>
      </c>
      <c r="O845" s="31" t="str">
        <f aca="false">IF(H845="","Open",IF(H845&lt;=INDEX(Assumptions!$C$15:$C$18,MATCH(E845,Assumptions!$A$15:$A$18,0)),"Yes","No"))</f>
        <v>Yes</v>
      </c>
    </row>
    <row r="846" customFormat="false" ht="15" hidden="false" customHeight="false" outlineLevel="0" collapsed="false">
      <c r="A846" s="31" t="s">
        <v>996</v>
      </c>
      <c r="B846" s="44" t="n">
        <v>46216</v>
      </c>
      <c r="C846" s="31" t="s">
        <v>57</v>
      </c>
      <c r="D846" s="31" t="s">
        <v>69</v>
      </c>
      <c r="E846" s="31" t="s">
        <v>51</v>
      </c>
      <c r="F846" s="31" t="s">
        <v>135</v>
      </c>
      <c r="G846" s="31" t="n">
        <v>3</v>
      </c>
      <c r="H846" s="41" t="n">
        <v>19.8</v>
      </c>
      <c r="I846" s="31" t="s">
        <v>149</v>
      </c>
      <c r="J846" s="31"/>
      <c r="K846" s="31" t="s">
        <v>150</v>
      </c>
      <c r="L846" s="45" t="n">
        <f aca="false">DATE(YEAR(B846),MONTH(B846),1)</f>
        <v>46204</v>
      </c>
      <c r="M846" s="31" t="n">
        <f aca="false">WEEKDAY(B846,2)</f>
        <v>1</v>
      </c>
      <c r="N846" s="31" t="str">
        <f aca="false">IF(G846&lt;=INDEX(Assumptions!$B$15:$B$18,MATCH(E846,Assumptions!$A$15:$A$18,0)),"Yes","No")</f>
        <v>Yes</v>
      </c>
      <c r="O846" s="31" t="str">
        <f aca="false">IF(H846="","Open",IF(H846&lt;=INDEX(Assumptions!$C$15:$C$18,MATCH(E846,Assumptions!$A$15:$A$18,0)),"Yes","No"))</f>
        <v>Yes</v>
      </c>
    </row>
    <row r="847" customFormat="false" ht="15" hidden="false" customHeight="false" outlineLevel="0" collapsed="false">
      <c r="A847" s="31" t="s">
        <v>997</v>
      </c>
      <c r="B847" s="44" t="n">
        <v>46216</v>
      </c>
      <c r="C847" s="31" t="s">
        <v>58</v>
      </c>
      <c r="D847" s="31" t="s">
        <v>65</v>
      </c>
      <c r="E847" s="31" t="s">
        <v>52</v>
      </c>
      <c r="F847" s="31" t="s">
        <v>124</v>
      </c>
      <c r="G847" s="31" t="n">
        <v>16</v>
      </c>
      <c r="H847" s="41" t="n">
        <v>5.6</v>
      </c>
      <c r="I847" s="31" t="s">
        <v>149</v>
      </c>
      <c r="J847" s="31" t="n">
        <v>5</v>
      </c>
      <c r="K847" s="31" t="s">
        <v>150</v>
      </c>
      <c r="L847" s="45" t="n">
        <f aca="false">DATE(YEAR(B847),MONTH(B847),1)</f>
        <v>46204</v>
      </c>
      <c r="M847" s="31" t="n">
        <f aca="false">WEEKDAY(B847,2)</f>
        <v>1</v>
      </c>
      <c r="N847" s="31" t="str">
        <f aca="false">IF(G847&lt;=INDEX(Assumptions!$B$15:$B$18,MATCH(E847,Assumptions!$A$15:$A$18,0)),"Yes","No")</f>
        <v>Yes</v>
      </c>
      <c r="O847" s="31" t="str">
        <f aca="false">IF(H847="","Open",IF(H847&lt;=INDEX(Assumptions!$C$15:$C$18,MATCH(E847,Assumptions!$A$15:$A$18,0)),"Yes","No"))</f>
        <v>Yes</v>
      </c>
    </row>
    <row r="848" customFormat="false" ht="15" hidden="false" customHeight="false" outlineLevel="0" collapsed="false">
      <c r="A848" s="31" t="s">
        <v>998</v>
      </c>
      <c r="B848" s="44" t="n">
        <v>46216</v>
      </c>
      <c r="C848" s="31" t="s">
        <v>60</v>
      </c>
      <c r="D848" s="31" t="s">
        <v>67</v>
      </c>
      <c r="E848" s="31" t="s">
        <v>50</v>
      </c>
      <c r="F848" s="31" t="s">
        <v>134</v>
      </c>
      <c r="G848" s="31" t="n">
        <v>2</v>
      </c>
      <c r="H848" s="41" t="n">
        <v>28.1</v>
      </c>
      <c r="I848" s="31" t="s">
        <v>149</v>
      </c>
      <c r="J848" s="31" t="n">
        <v>4</v>
      </c>
      <c r="K848" s="31" t="s">
        <v>150</v>
      </c>
      <c r="L848" s="45" t="n">
        <f aca="false">DATE(YEAR(B848),MONTH(B848),1)</f>
        <v>46204</v>
      </c>
      <c r="M848" s="31" t="n">
        <f aca="false">WEEKDAY(B848,2)</f>
        <v>1</v>
      </c>
      <c r="N848" s="31" t="str">
        <f aca="false">IF(G848&lt;=INDEX(Assumptions!$B$15:$B$18,MATCH(E848,Assumptions!$A$15:$A$18,0)),"Yes","No")</f>
        <v>Yes</v>
      </c>
      <c r="O848" s="31" t="str">
        <f aca="false">IF(H848="","Open",IF(H848&lt;=INDEX(Assumptions!$C$15:$C$18,MATCH(E848,Assumptions!$A$15:$A$18,0)),"Yes","No"))</f>
        <v>No</v>
      </c>
    </row>
    <row r="849" customFormat="false" ht="15" hidden="false" customHeight="false" outlineLevel="0" collapsed="false">
      <c r="A849" s="31" t="s">
        <v>999</v>
      </c>
      <c r="B849" s="44" t="n">
        <v>46216</v>
      </c>
      <c r="C849" s="31" t="s">
        <v>59</v>
      </c>
      <c r="D849" s="31" t="s">
        <v>68</v>
      </c>
      <c r="E849" s="31" t="s">
        <v>52</v>
      </c>
      <c r="F849" s="31" t="s">
        <v>121</v>
      </c>
      <c r="G849" s="31" t="n">
        <v>288</v>
      </c>
      <c r="H849" s="41" t="n">
        <v>40.1</v>
      </c>
      <c r="I849" s="31" t="s">
        <v>149</v>
      </c>
      <c r="J849" s="31" t="n">
        <v>4</v>
      </c>
      <c r="K849" s="31" t="s">
        <v>150</v>
      </c>
      <c r="L849" s="45" t="n">
        <f aca="false">DATE(YEAR(B849),MONTH(B849),1)</f>
        <v>46204</v>
      </c>
      <c r="M849" s="31" t="n">
        <f aca="false">WEEKDAY(B849,2)</f>
        <v>1</v>
      </c>
      <c r="N849" s="31" t="str">
        <f aca="false">IF(G849&lt;=INDEX(Assumptions!$B$15:$B$18,MATCH(E849,Assumptions!$A$15:$A$18,0)),"Yes","No")</f>
        <v>No</v>
      </c>
      <c r="O849" s="31" t="str">
        <f aca="false">IF(H849="","Open",IF(H849&lt;=INDEX(Assumptions!$C$15:$C$18,MATCH(E849,Assumptions!$A$15:$A$18,0)),"Yes","No"))</f>
        <v>Yes</v>
      </c>
    </row>
    <row r="850" customFormat="false" ht="15" hidden="false" customHeight="false" outlineLevel="0" collapsed="false">
      <c r="A850" s="31" t="s">
        <v>1000</v>
      </c>
      <c r="B850" s="44" t="n">
        <v>46216</v>
      </c>
      <c r="C850" s="31" t="s">
        <v>60</v>
      </c>
      <c r="D850" s="31" t="s">
        <v>67</v>
      </c>
      <c r="E850" s="31" t="s">
        <v>50</v>
      </c>
      <c r="F850" s="31" t="s">
        <v>124</v>
      </c>
      <c r="G850" s="31" t="n">
        <v>3</v>
      </c>
      <c r="H850" s="41" t="n">
        <v>20.6</v>
      </c>
      <c r="I850" s="31" t="s">
        <v>64</v>
      </c>
      <c r="J850" s="31"/>
      <c r="K850" s="31" t="s">
        <v>153</v>
      </c>
      <c r="L850" s="45" t="n">
        <f aca="false">DATE(YEAR(B850),MONTH(B850),1)</f>
        <v>46204</v>
      </c>
      <c r="M850" s="31" t="n">
        <f aca="false">WEEKDAY(B850,2)</f>
        <v>1</v>
      </c>
      <c r="N850" s="31" t="str">
        <f aca="false">IF(G850&lt;=INDEX(Assumptions!$B$15:$B$18,MATCH(E850,Assumptions!$A$15:$A$18,0)),"Yes","No")</f>
        <v>Yes</v>
      </c>
      <c r="O850" s="31" t="str">
        <f aca="false">IF(H850="","Open",IF(H850&lt;=INDEX(Assumptions!$C$15:$C$18,MATCH(E850,Assumptions!$A$15:$A$18,0)),"Yes","No"))</f>
        <v>No</v>
      </c>
    </row>
    <row r="851" customFormat="false" ht="15" hidden="false" customHeight="false" outlineLevel="0" collapsed="false">
      <c r="A851" s="31" t="s">
        <v>1001</v>
      </c>
      <c r="B851" s="44" t="n">
        <v>46216</v>
      </c>
      <c r="C851" s="31" t="s">
        <v>59</v>
      </c>
      <c r="D851" s="31" t="s">
        <v>65</v>
      </c>
      <c r="E851" s="31" t="s">
        <v>51</v>
      </c>
      <c r="F851" s="31" t="s">
        <v>131</v>
      </c>
      <c r="G851" s="31" t="n">
        <v>43</v>
      </c>
      <c r="H851" s="41" t="n">
        <v>14.4</v>
      </c>
      <c r="I851" s="31" t="s">
        <v>64</v>
      </c>
      <c r="J851" s="31"/>
      <c r="K851" s="31" t="s">
        <v>150</v>
      </c>
      <c r="L851" s="45" t="n">
        <f aca="false">DATE(YEAR(B851),MONTH(B851),1)</f>
        <v>46204</v>
      </c>
      <c r="M851" s="31" t="n">
        <f aca="false">WEEKDAY(B851,2)</f>
        <v>1</v>
      </c>
      <c r="N851" s="31" t="str">
        <f aca="false">IF(G851&lt;=INDEX(Assumptions!$B$15:$B$18,MATCH(E851,Assumptions!$A$15:$A$18,0)),"Yes","No")</f>
        <v>Yes</v>
      </c>
      <c r="O851" s="31" t="str">
        <f aca="false">IF(H851="","Open",IF(H851&lt;=INDEX(Assumptions!$C$15:$C$18,MATCH(E851,Assumptions!$A$15:$A$18,0)),"Yes","No"))</f>
        <v>Yes</v>
      </c>
    </row>
    <row r="852" customFormat="false" ht="15" hidden="false" customHeight="false" outlineLevel="0" collapsed="false">
      <c r="A852" s="31" t="s">
        <v>1002</v>
      </c>
      <c r="B852" s="44" t="n">
        <v>46216</v>
      </c>
      <c r="C852" s="31" t="s">
        <v>59</v>
      </c>
      <c r="D852" s="31" t="s">
        <v>66</v>
      </c>
      <c r="E852" s="31" t="s">
        <v>51</v>
      </c>
      <c r="F852" s="31" t="s">
        <v>134</v>
      </c>
      <c r="G852" s="31" t="n">
        <v>62</v>
      </c>
      <c r="H852" s="41" t="n">
        <v>20.1</v>
      </c>
      <c r="I852" s="31" t="s">
        <v>149</v>
      </c>
      <c r="J852" s="31" t="n">
        <v>4</v>
      </c>
      <c r="K852" s="31" t="s">
        <v>150</v>
      </c>
      <c r="L852" s="45" t="n">
        <f aca="false">DATE(YEAR(B852),MONTH(B852),1)</f>
        <v>46204</v>
      </c>
      <c r="M852" s="31" t="n">
        <f aca="false">WEEKDAY(B852,2)</f>
        <v>1</v>
      </c>
      <c r="N852" s="31" t="str">
        <f aca="false">IF(G852&lt;=INDEX(Assumptions!$B$15:$B$18,MATCH(E852,Assumptions!$A$15:$A$18,0)),"Yes","No")</f>
        <v>No</v>
      </c>
      <c r="O852" s="31" t="str">
        <f aca="false">IF(H852="","Open",IF(H852&lt;=INDEX(Assumptions!$C$15:$C$18,MATCH(E852,Assumptions!$A$15:$A$18,0)),"Yes","No"))</f>
        <v>Yes</v>
      </c>
    </row>
    <row r="853" customFormat="false" ht="15" hidden="false" customHeight="false" outlineLevel="0" collapsed="false">
      <c r="A853" s="31" t="s">
        <v>1003</v>
      </c>
      <c r="B853" s="44" t="n">
        <v>46216</v>
      </c>
      <c r="C853" s="31" t="s">
        <v>57</v>
      </c>
      <c r="D853" s="31" t="s">
        <v>69</v>
      </c>
      <c r="E853" s="31" t="s">
        <v>50</v>
      </c>
      <c r="F853" s="31" t="s">
        <v>134</v>
      </c>
      <c r="G853" s="31" t="n">
        <v>12</v>
      </c>
      <c r="H853" s="41" t="n">
        <v>27.8</v>
      </c>
      <c r="I853" s="31" t="s">
        <v>149</v>
      </c>
      <c r="J853" s="31" t="n">
        <v>4</v>
      </c>
      <c r="K853" s="31" t="s">
        <v>150</v>
      </c>
      <c r="L853" s="45" t="n">
        <f aca="false">DATE(YEAR(B853),MONTH(B853),1)</f>
        <v>46204</v>
      </c>
      <c r="M853" s="31" t="n">
        <f aca="false">WEEKDAY(B853,2)</f>
        <v>1</v>
      </c>
      <c r="N853" s="31" t="str">
        <f aca="false">IF(G853&lt;=INDEX(Assumptions!$B$15:$B$18,MATCH(E853,Assumptions!$A$15:$A$18,0)),"Yes","No")</f>
        <v>Yes</v>
      </c>
      <c r="O853" s="31" t="str">
        <f aca="false">IF(H853="","Open",IF(H853&lt;=INDEX(Assumptions!$C$15:$C$18,MATCH(E853,Assumptions!$A$15:$A$18,0)),"Yes","No"))</f>
        <v>No</v>
      </c>
    </row>
    <row r="854" customFormat="false" ht="15" hidden="false" customHeight="false" outlineLevel="0" collapsed="false">
      <c r="A854" s="31" t="s">
        <v>1004</v>
      </c>
      <c r="B854" s="44" t="n">
        <v>46216</v>
      </c>
      <c r="C854" s="31" t="s">
        <v>58</v>
      </c>
      <c r="D854" s="31" t="s">
        <v>65</v>
      </c>
      <c r="E854" s="31" t="s">
        <v>52</v>
      </c>
      <c r="F854" s="31" t="s">
        <v>137</v>
      </c>
      <c r="G854" s="31" t="n">
        <v>14</v>
      </c>
      <c r="H854" s="41" t="n">
        <v>17.6</v>
      </c>
      <c r="I854" s="31" t="s">
        <v>149</v>
      </c>
      <c r="J854" s="31" t="n">
        <v>4</v>
      </c>
      <c r="K854" s="31" t="s">
        <v>150</v>
      </c>
      <c r="L854" s="45" t="n">
        <f aca="false">DATE(YEAR(B854),MONTH(B854),1)</f>
        <v>46204</v>
      </c>
      <c r="M854" s="31" t="n">
        <f aca="false">WEEKDAY(B854,2)</f>
        <v>1</v>
      </c>
      <c r="N854" s="31" t="str">
        <f aca="false">IF(G854&lt;=INDEX(Assumptions!$B$15:$B$18,MATCH(E854,Assumptions!$A$15:$A$18,0)),"Yes","No")</f>
        <v>Yes</v>
      </c>
      <c r="O854" s="31" t="str">
        <f aca="false">IF(H854="","Open",IF(H854&lt;=INDEX(Assumptions!$C$15:$C$18,MATCH(E854,Assumptions!$A$15:$A$18,0)),"Yes","No"))</f>
        <v>Yes</v>
      </c>
    </row>
    <row r="855" customFormat="false" ht="15" hidden="false" customHeight="false" outlineLevel="0" collapsed="false">
      <c r="A855" s="31" t="s">
        <v>1005</v>
      </c>
      <c r="B855" s="44" t="n">
        <v>46216</v>
      </c>
      <c r="C855" s="31" t="s">
        <v>57</v>
      </c>
      <c r="D855" s="31" t="s">
        <v>68</v>
      </c>
      <c r="E855" s="31" t="s">
        <v>51</v>
      </c>
      <c r="F855" s="31" t="s">
        <v>119</v>
      </c>
      <c r="G855" s="31" t="n">
        <v>1</v>
      </c>
      <c r="H855" s="41" t="n">
        <v>4.6</v>
      </c>
      <c r="I855" s="31" t="s">
        <v>64</v>
      </c>
      <c r="J855" s="31"/>
      <c r="K855" s="31" t="s">
        <v>150</v>
      </c>
      <c r="L855" s="45" t="n">
        <f aca="false">DATE(YEAR(B855),MONTH(B855),1)</f>
        <v>46204</v>
      </c>
      <c r="M855" s="31" t="n">
        <f aca="false">WEEKDAY(B855,2)</f>
        <v>1</v>
      </c>
      <c r="N855" s="31" t="str">
        <f aca="false">IF(G855&lt;=INDEX(Assumptions!$B$15:$B$18,MATCH(E855,Assumptions!$A$15:$A$18,0)),"Yes","No")</f>
        <v>Yes</v>
      </c>
      <c r="O855" s="31" t="str">
        <f aca="false">IF(H855="","Open",IF(H855&lt;=INDEX(Assumptions!$C$15:$C$18,MATCH(E855,Assumptions!$A$15:$A$18,0)),"Yes","No"))</f>
        <v>Yes</v>
      </c>
    </row>
    <row r="856" customFormat="false" ht="15" hidden="false" customHeight="false" outlineLevel="0" collapsed="false">
      <c r="A856" s="31" t="s">
        <v>1006</v>
      </c>
      <c r="B856" s="44" t="n">
        <v>46216</v>
      </c>
      <c r="C856" s="31" t="s">
        <v>57</v>
      </c>
      <c r="D856" s="31" t="s">
        <v>67</v>
      </c>
      <c r="E856" s="31" t="s">
        <v>52</v>
      </c>
      <c r="F856" s="31" t="s">
        <v>123</v>
      </c>
      <c r="G856" s="31" t="n">
        <v>10</v>
      </c>
      <c r="H856" s="41" t="n">
        <v>16.3</v>
      </c>
      <c r="I856" s="31" t="s">
        <v>149</v>
      </c>
      <c r="J856" s="31" t="n">
        <v>4</v>
      </c>
      <c r="K856" s="31" t="s">
        <v>150</v>
      </c>
      <c r="L856" s="45" t="n">
        <f aca="false">DATE(YEAR(B856),MONTH(B856),1)</f>
        <v>46204</v>
      </c>
      <c r="M856" s="31" t="n">
        <f aca="false">WEEKDAY(B856,2)</f>
        <v>1</v>
      </c>
      <c r="N856" s="31" t="str">
        <f aca="false">IF(G856&lt;=INDEX(Assumptions!$B$15:$B$18,MATCH(E856,Assumptions!$A$15:$A$18,0)),"Yes","No")</f>
        <v>Yes</v>
      </c>
      <c r="O856" s="31" t="str">
        <f aca="false">IF(H856="","Open",IF(H856&lt;=INDEX(Assumptions!$C$15:$C$18,MATCH(E856,Assumptions!$A$15:$A$18,0)),"Yes","No"))</f>
        <v>Yes</v>
      </c>
    </row>
    <row r="857" customFormat="false" ht="15" hidden="false" customHeight="false" outlineLevel="0" collapsed="false">
      <c r="A857" s="31" t="s">
        <v>1007</v>
      </c>
      <c r="B857" s="44" t="n">
        <v>46216</v>
      </c>
      <c r="C857" s="31" t="s">
        <v>57</v>
      </c>
      <c r="D857" s="31" t="s">
        <v>67</v>
      </c>
      <c r="E857" s="31" t="s">
        <v>51</v>
      </c>
      <c r="F857" s="31" t="s">
        <v>128</v>
      </c>
      <c r="G857" s="31" t="n">
        <v>8</v>
      </c>
      <c r="H857" s="41" t="n">
        <v>11.8</v>
      </c>
      <c r="I857" s="31" t="s">
        <v>149</v>
      </c>
      <c r="J857" s="31"/>
      <c r="K857" s="31" t="s">
        <v>150</v>
      </c>
      <c r="L857" s="45" t="n">
        <f aca="false">DATE(YEAR(B857),MONTH(B857),1)</f>
        <v>46204</v>
      </c>
      <c r="M857" s="31" t="n">
        <f aca="false">WEEKDAY(B857,2)</f>
        <v>1</v>
      </c>
      <c r="N857" s="31" t="str">
        <f aca="false">IF(G857&lt;=INDEX(Assumptions!$B$15:$B$18,MATCH(E857,Assumptions!$A$15:$A$18,0)),"Yes","No")</f>
        <v>Yes</v>
      </c>
      <c r="O857" s="31" t="str">
        <f aca="false">IF(H857="","Open",IF(H857&lt;=INDEX(Assumptions!$C$15:$C$18,MATCH(E857,Assumptions!$A$15:$A$18,0)),"Yes","No"))</f>
        <v>Yes</v>
      </c>
    </row>
    <row r="858" customFormat="false" ht="15" hidden="false" customHeight="false" outlineLevel="0" collapsed="false">
      <c r="A858" s="31" t="s">
        <v>1008</v>
      </c>
      <c r="B858" s="44" t="n">
        <v>46216</v>
      </c>
      <c r="C858" s="31" t="s">
        <v>60</v>
      </c>
      <c r="D858" s="31" t="s">
        <v>66</v>
      </c>
      <c r="E858" s="31" t="s">
        <v>51</v>
      </c>
      <c r="F858" s="31" t="s">
        <v>133</v>
      </c>
      <c r="G858" s="31" t="n">
        <v>5</v>
      </c>
      <c r="H858" s="41"/>
      <c r="I858" s="31" t="s">
        <v>158</v>
      </c>
      <c r="J858" s="31"/>
      <c r="K858" s="31" t="s">
        <v>150</v>
      </c>
      <c r="L858" s="45" t="n">
        <f aca="false">DATE(YEAR(B858),MONTH(B858),1)</f>
        <v>46204</v>
      </c>
      <c r="M858" s="31" t="n">
        <f aca="false">WEEKDAY(B858,2)</f>
        <v>1</v>
      </c>
      <c r="N858" s="31" t="str">
        <f aca="false">IF(G858&lt;=INDEX(Assumptions!$B$15:$B$18,MATCH(E858,Assumptions!$A$15:$A$18,0)),"Yes","No")</f>
        <v>Yes</v>
      </c>
      <c r="O858" s="31" t="str">
        <f aca="false">IF(H858="","Open",IF(H858&lt;=INDEX(Assumptions!$C$15:$C$18,MATCH(E858,Assumptions!$A$15:$A$18,0)),"Yes","No"))</f>
        <v>Open</v>
      </c>
    </row>
    <row r="859" customFormat="false" ht="15" hidden="false" customHeight="false" outlineLevel="0" collapsed="false">
      <c r="A859" s="31" t="s">
        <v>1009</v>
      </c>
      <c r="B859" s="44" t="n">
        <v>46216</v>
      </c>
      <c r="C859" s="31" t="s">
        <v>60</v>
      </c>
      <c r="D859" s="31" t="s">
        <v>66</v>
      </c>
      <c r="E859" s="31" t="s">
        <v>51</v>
      </c>
      <c r="F859" s="31" t="s">
        <v>119</v>
      </c>
      <c r="G859" s="31" t="n">
        <v>3</v>
      </c>
      <c r="H859" s="41" t="n">
        <v>7.2</v>
      </c>
      <c r="I859" s="31" t="s">
        <v>149</v>
      </c>
      <c r="J859" s="31"/>
      <c r="K859" s="31" t="s">
        <v>150</v>
      </c>
      <c r="L859" s="45" t="n">
        <f aca="false">DATE(YEAR(B859),MONTH(B859),1)</f>
        <v>46204</v>
      </c>
      <c r="M859" s="31" t="n">
        <f aca="false">WEEKDAY(B859,2)</f>
        <v>1</v>
      </c>
      <c r="N859" s="31" t="str">
        <f aca="false">IF(G859&lt;=INDEX(Assumptions!$B$15:$B$18,MATCH(E859,Assumptions!$A$15:$A$18,0)),"Yes","No")</f>
        <v>Yes</v>
      </c>
      <c r="O859" s="31" t="str">
        <f aca="false">IF(H859="","Open",IF(H859&lt;=INDEX(Assumptions!$C$15:$C$18,MATCH(E859,Assumptions!$A$15:$A$18,0)),"Yes","No"))</f>
        <v>Yes</v>
      </c>
    </row>
    <row r="860" customFormat="false" ht="15" hidden="false" customHeight="false" outlineLevel="0" collapsed="false">
      <c r="A860" s="31" t="s">
        <v>1010</v>
      </c>
      <c r="B860" s="44" t="n">
        <v>46216</v>
      </c>
      <c r="C860" s="31" t="s">
        <v>60</v>
      </c>
      <c r="D860" s="31" t="s">
        <v>66</v>
      </c>
      <c r="E860" s="31" t="s">
        <v>51</v>
      </c>
      <c r="F860" s="31" t="s">
        <v>120</v>
      </c>
      <c r="G860" s="31" t="n">
        <v>9</v>
      </c>
      <c r="H860" s="41" t="n">
        <v>35.4</v>
      </c>
      <c r="I860" s="31" t="s">
        <v>149</v>
      </c>
      <c r="J860" s="31" t="n">
        <v>4</v>
      </c>
      <c r="K860" s="31" t="s">
        <v>150</v>
      </c>
      <c r="L860" s="45" t="n">
        <f aca="false">DATE(YEAR(B860),MONTH(B860),1)</f>
        <v>46204</v>
      </c>
      <c r="M860" s="31" t="n">
        <f aca="false">WEEKDAY(B860,2)</f>
        <v>1</v>
      </c>
      <c r="N860" s="31" t="str">
        <f aca="false">IF(G860&lt;=INDEX(Assumptions!$B$15:$B$18,MATCH(E860,Assumptions!$A$15:$A$18,0)),"Yes","No")</f>
        <v>Yes</v>
      </c>
      <c r="O860" s="31" t="str">
        <f aca="false">IF(H860="","Open",IF(H860&lt;=INDEX(Assumptions!$C$15:$C$18,MATCH(E860,Assumptions!$A$15:$A$18,0)),"Yes","No"))</f>
        <v>No</v>
      </c>
    </row>
    <row r="861" customFormat="false" ht="15" hidden="false" customHeight="false" outlineLevel="0" collapsed="false">
      <c r="A861" s="31" t="s">
        <v>1011</v>
      </c>
      <c r="B861" s="44" t="n">
        <v>46216</v>
      </c>
      <c r="C861" s="31" t="s">
        <v>60</v>
      </c>
      <c r="D861" s="31" t="s">
        <v>66</v>
      </c>
      <c r="E861" s="31" t="s">
        <v>51</v>
      </c>
      <c r="F861" s="31" t="s">
        <v>130</v>
      </c>
      <c r="G861" s="31" t="n">
        <v>3</v>
      </c>
      <c r="H861" s="41" t="n">
        <v>9.8</v>
      </c>
      <c r="I861" s="31" t="s">
        <v>149</v>
      </c>
      <c r="J861" s="31" t="n">
        <v>5</v>
      </c>
      <c r="K861" s="31" t="s">
        <v>150</v>
      </c>
      <c r="L861" s="45" t="n">
        <f aca="false">DATE(YEAR(B861),MONTH(B861),1)</f>
        <v>46204</v>
      </c>
      <c r="M861" s="31" t="n">
        <f aca="false">WEEKDAY(B861,2)</f>
        <v>1</v>
      </c>
      <c r="N861" s="31" t="str">
        <f aca="false">IF(G861&lt;=INDEX(Assumptions!$B$15:$B$18,MATCH(E861,Assumptions!$A$15:$A$18,0)),"Yes","No")</f>
        <v>Yes</v>
      </c>
      <c r="O861" s="31" t="str">
        <f aca="false">IF(H861="","Open",IF(H861&lt;=INDEX(Assumptions!$C$15:$C$18,MATCH(E861,Assumptions!$A$15:$A$18,0)),"Yes","No"))</f>
        <v>Yes</v>
      </c>
    </row>
    <row r="862" customFormat="false" ht="15" hidden="false" customHeight="false" outlineLevel="0" collapsed="false">
      <c r="A862" s="31" t="s">
        <v>1012</v>
      </c>
      <c r="B862" s="44" t="n">
        <v>46216</v>
      </c>
      <c r="C862" s="31" t="s">
        <v>58</v>
      </c>
      <c r="D862" s="31" t="s">
        <v>65</v>
      </c>
      <c r="E862" s="31" t="s">
        <v>51</v>
      </c>
      <c r="F862" s="31" t="s">
        <v>123</v>
      </c>
      <c r="G862" s="31" t="n">
        <v>26</v>
      </c>
      <c r="H862" s="41" t="n">
        <v>28</v>
      </c>
      <c r="I862" s="31" t="s">
        <v>149</v>
      </c>
      <c r="J862" s="31"/>
      <c r="K862" s="31" t="s">
        <v>150</v>
      </c>
      <c r="L862" s="45" t="n">
        <f aca="false">DATE(YEAR(B862),MONTH(B862),1)</f>
        <v>46204</v>
      </c>
      <c r="M862" s="31" t="n">
        <f aca="false">WEEKDAY(B862,2)</f>
        <v>1</v>
      </c>
      <c r="N862" s="31" t="str">
        <f aca="false">IF(G862&lt;=INDEX(Assumptions!$B$15:$B$18,MATCH(E862,Assumptions!$A$15:$A$18,0)),"Yes","No")</f>
        <v>Yes</v>
      </c>
      <c r="O862" s="31" t="str">
        <f aca="false">IF(H862="","Open",IF(H862&lt;=INDEX(Assumptions!$C$15:$C$18,MATCH(E862,Assumptions!$A$15:$A$18,0)),"Yes","No"))</f>
        <v>No</v>
      </c>
    </row>
    <row r="863" customFormat="false" ht="15" hidden="false" customHeight="false" outlineLevel="0" collapsed="false">
      <c r="A863" s="31" t="s">
        <v>1013</v>
      </c>
      <c r="B863" s="44" t="n">
        <v>46216</v>
      </c>
      <c r="C863" s="31" t="s">
        <v>60</v>
      </c>
      <c r="D863" s="31" t="s">
        <v>65</v>
      </c>
      <c r="E863" s="31" t="s">
        <v>51</v>
      </c>
      <c r="F863" s="31" t="s">
        <v>123</v>
      </c>
      <c r="G863" s="31" t="n">
        <v>4</v>
      </c>
      <c r="H863" s="41" t="n">
        <v>12.1</v>
      </c>
      <c r="I863" s="31" t="s">
        <v>149</v>
      </c>
      <c r="J863" s="31"/>
      <c r="K863" s="31" t="s">
        <v>150</v>
      </c>
      <c r="L863" s="45" t="n">
        <f aca="false">DATE(YEAR(B863),MONTH(B863),1)</f>
        <v>46204</v>
      </c>
      <c r="M863" s="31" t="n">
        <f aca="false">WEEKDAY(B863,2)</f>
        <v>1</v>
      </c>
      <c r="N863" s="31" t="str">
        <f aca="false">IF(G863&lt;=INDEX(Assumptions!$B$15:$B$18,MATCH(E863,Assumptions!$A$15:$A$18,0)),"Yes","No")</f>
        <v>Yes</v>
      </c>
      <c r="O863" s="31" t="str">
        <f aca="false">IF(H863="","Open",IF(H863&lt;=INDEX(Assumptions!$C$15:$C$18,MATCH(E863,Assumptions!$A$15:$A$18,0)),"Yes","No"))</f>
        <v>Yes</v>
      </c>
    </row>
    <row r="864" customFormat="false" ht="15" hidden="false" customHeight="false" outlineLevel="0" collapsed="false">
      <c r="A864" s="31" t="s">
        <v>1014</v>
      </c>
      <c r="B864" s="44" t="n">
        <v>46216</v>
      </c>
      <c r="C864" s="31" t="s">
        <v>57</v>
      </c>
      <c r="D864" s="31" t="s">
        <v>65</v>
      </c>
      <c r="E864" s="31" t="s">
        <v>51</v>
      </c>
      <c r="F864" s="31" t="s">
        <v>119</v>
      </c>
      <c r="G864" s="31" t="n">
        <v>4</v>
      </c>
      <c r="H864" s="41" t="n">
        <v>36.1</v>
      </c>
      <c r="I864" s="31" t="s">
        <v>149</v>
      </c>
      <c r="J864" s="31"/>
      <c r="K864" s="31" t="s">
        <v>150</v>
      </c>
      <c r="L864" s="45" t="n">
        <f aca="false">DATE(YEAR(B864),MONTH(B864),1)</f>
        <v>46204</v>
      </c>
      <c r="M864" s="31" t="n">
        <f aca="false">WEEKDAY(B864,2)</f>
        <v>1</v>
      </c>
      <c r="N864" s="31" t="str">
        <f aca="false">IF(G864&lt;=INDEX(Assumptions!$B$15:$B$18,MATCH(E864,Assumptions!$A$15:$A$18,0)),"Yes","No")</f>
        <v>Yes</v>
      </c>
      <c r="O864" s="31" t="str">
        <f aca="false">IF(H864="","Open",IF(H864&lt;=INDEX(Assumptions!$C$15:$C$18,MATCH(E864,Assumptions!$A$15:$A$18,0)),"Yes","No"))</f>
        <v>No</v>
      </c>
    </row>
    <row r="865" customFormat="false" ht="15" hidden="false" customHeight="false" outlineLevel="0" collapsed="false">
      <c r="A865" s="31" t="s">
        <v>1015</v>
      </c>
      <c r="B865" s="44" t="n">
        <v>46216</v>
      </c>
      <c r="C865" s="31" t="s">
        <v>60</v>
      </c>
      <c r="D865" s="31" t="s">
        <v>69</v>
      </c>
      <c r="E865" s="31" t="s">
        <v>51</v>
      </c>
      <c r="F865" s="31" t="s">
        <v>134</v>
      </c>
      <c r="G865" s="31" t="n">
        <v>1</v>
      </c>
      <c r="H865" s="41" t="n">
        <v>34.9</v>
      </c>
      <c r="I865" s="31" t="s">
        <v>149</v>
      </c>
      <c r="J865" s="31"/>
      <c r="K865" s="31" t="s">
        <v>150</v>
      </c>
      <c r="L865" s="45" t="n">
        <f aca="false">DATE(YEAR(B865),MONTH(B865),1)</f>
        <v>46204</v>
      </c>
      <c r="M865" s="31" t="n">
        <f aca="false">WEEKDAY(B865,2)</f>
        <v>1</v>
      </c>
      <c r="N865" s="31" t="str">
        <f aca="false">IF(G865&lt;=INDEX(Assumptions!$B$15:$B$18,MATCH(E865,Assumptions!$A$15:$A$18,0)),"Yes","No")</f>
        <v>Yes</v>
      </c>
      <c r="O865" s="31" t="str">
        <f aca="false">IF(H865="","Open",IF(H865&lt;=INDEX(Assumptions!$C$15:$C$18,MATCH(E865,Assumptions!$A$15:$A$18,0)),"Yes","No"))</f>
        <v>No</v>
      </c>
    </row>
    <row r="866" customFormat="false" ht="15" hidden="false" customHeight="false" outlineLevel="0" collapsed="false">
      <c r="A866" s="31" t="s">
        <v>1016</v>
      </c>
      <c r="B866" s="44" t="n">
        <v>46216</v>
      </c>
      <c r="C866" s="31" t="s">
        <v>58</v>
      </c>
      <c r="D866" s="31" t="s">
        <v>65</v>
      </c>
      <c r="E866" s="31" t="s">
        <v>51</v>
      </c>
      <c r="F866" s="31" t="s">
        <v>119</v>
      </c>
      <c r="G866" s="31" t="n">
        <v>26</v>
      </c>
      <c r="H866" s="41" t="n">
        <v>35.1</v>
      </c>
      <c r="I866" s="31" t="s">
        <v>149</v>
      </c>
      <c r="J866" s="31" t="n">
        <v>4</v>
      </c>
      <c r="K866" s="31" t="s">
        <v>150</v>
      </c>
      <c r="L866" s="45" t="n">
        <f aca="false">DATE(YEAR(B866),MONTH(B866),1)</f>
        <v>46204</v>
      </c>
      <c r="M866" s="31" t="n">
        <f aca="false">WEEKDAY(B866,2)</f>
        <v>1</v>
      </c>
      <c r="N866" s="31" t="str">
        <f aca="false">IF(G866&lt;=INDEX(Assumptions!$B$15:$B$18,MATCH(E866,Assumptions!$A$15:$A$18,0)),"Yes","No")</f>
        <v>Yes</v>
      </c>
      <c r="O866" s="31" t="str">
        <f aca="false">IF(H866="","Open",IF(H866&lt;=INDEX(Assumptions!$C$15:$C$18,MATCH(E866,Assumptions!$A$15:$A$18,0)),"Yes","No"))</f>
        <v>No</v>
      </c>
    </row>
    <row r="867" customFormat="false" ht="15" hidden="false" customHeight="false" outlineLevel="0" collapsed="false">
      <c r="A867" s="31" t="s">
        <v>1017</v>
      </c>
      <c r="B867" s="44" t="n">
        <v>46216</v>
      </c>
      <c r="C867" s="31" t="s">
        <v>59</v>
      </c>
      <c r="D867" s="31" t="s">
        <v>65</v>
      </c>
      <c r="E867" s="31" t="s">
        <v>49</v>
      </c>
      <c r="F867" s="31" t="s">
        <v>127</v>
      </c>
      <c r="G867" s="31" t="n">
        <v>76</v>
      </c>
      <c r="H867" s="41" t="n">
        <v>9.5</v>
      </c>
      <c r="I867" s="31" t="s">
        <v>149</v>
      </c>
      <c r="J867" s="31"/>
      <c r="K867" s="31" t="s">
        <v>150</v>
      </c>
      <c r="L867" s="45" t="n">
        <f aca="false">DATE(YEAR(B867),MONTH(B867),1)</f>
        <v>46204</v>
      </c>
      <c r="M867" s="31" t="n">
        <f aca="false">WEEKDAY(B867,2)</f>
        <v>1</v>
      </c>
      <c r="N867" s="31" t="str">
        <f aca="false">IF(G867&lt;=INDEX(Assumptions!$B$15:$B$18,MATCH(E867,Assumptions!$A$15:$A$18,0)),"Yes","No")</f>
        <v>No</v>
      </c>
      <c r="O867" s="31" t="str">
        <f aca="false">IF(H867="","Open",IF(H867&lt;=INDEX(Assumptions!$C$15:$C$18,MATCH(E867,Assumptions!$A$15:$A$18,0)),"Yes","No"))</f>
        <v>No</v>
      </c>
    </row>
    <row r="868" customFormat="false" ht="15" hidden="false" customHeight="false" outlineLevel="0" collapsed="false">
      <c r="A868" s="31" t="s">
        <v>1018</v>
      </c>
      <c r="B868" s="44" t="n">
        <v>46216</v>
      </c>
      <c r="C868" s="31" t="s">
        <v>57</v>
      </c>
      <c r="D868" s="31" t="s">
        <v>69</v>
      </c>
      <c r="E868" s="31" t="s">
        <v>50</v>
      </c>
      <c r="F868" s="31" t="s">
        <v>123</v>
      </c>
      <c r="G868" s="31" t="n">
        <v>3</v>
      </c>
      <c r="H868" s="41" t="n">
        <v>10.7</v>
      </c>
      <c r="I868" s="31" t="s">
        <v>149</v>
      </c>
      <c r="J868" s="31" t="n">
        <v>4</v>
      </c>
      <c r="K868" s="31" t="s">
        <v>150</v>
      </c>
      <c r="L868" s="45" t="n">
        <f aca="false">DATE(YEAR(B868),MONTH(B868),1)</f>
        <v>46204</v>
      </c>
      <c r="M868" s="31" t="n">
        <f aca="false">WEEKDAY(B868,2)</f>
        <v>1</v>
      </c>
      <c r="N868" s="31" t="str">
        <f aca="false">IF(G868&lt;=INDEX(Assumptions!$B$15:$B$18,MATCH(E868,Assumptions!$A$15:$A$18,0)),"Yes","No")</f>
        <v>Yes</v>
      </c>
      <c r="O868" s="31" t="str">
        <f aca="false">IF(H868="","Open",IF(H868&lt;=INDEX(Assumptions!$C$15:$C$18,MATCH(E868,Assumptions!$A$15:$A$18,0)),"Yes","No"))</f>
        <v>No</v>
      </c>
    </row>
    <row r="869" customFormat="false" ht="15" hidden="false" customHeight="false" outlineLevel="0" collapsed="false">
      <c r="A869" s="31" t="s">
        <v>1019</v>
      </c>
      <c r="B869" s="44" t="n">
        <v>46216</v>
      </c>
      <c r="C869" s="31" t="s">
        <v>57</v>
      </c>
      <c r="D869" s="31" t="s">
        <v>67</v>
      </c>
      <c r="E869" s="31" t="s">
        <v>52</v>
      </c>
      <c r="F869" s="31" t="s">
        <v>128</v>
      </c>
      <c r="G869" s="31" t="n">
        <v>10</v>
      </c>
      <c r="H869" s="41" t="n">
        <v>25.4</v>
      </c>
      <c r="I869" s="31" t="s">
        <v>149</v>
      </c>
      <c r="J869" s="31" t="n">
        <v>4</v>
      </c>
      <c r="K869" s="31" t="s">
        <v>150</v>
      </c>
      <c r="L869" s="45" t="n">
        <f aca="false">DATE(YEAR(B869),MONTH(B869),1)</f>
        <v>46204</v>
      </c>
      <c r="M869" s="31" t="n">
        <f aca="false">WEEKDAY(B869,2)</f>
        <v>1</v>
      </c>
      <c r="N869" s="31" t="str">
        <f aca="false">IF(G869&lt;=INDEX(Assumptions!$B$15:$B$18,MATCH(E869,Assumptions!$A$15:$A$18,0)),"Yes","No")</f>
        <v>Yes</v>
      </c>
      <c r="O869" s="31" t="str">
        <f aca="false">IF(H869="","Open",IF(H869&lt;=INDEX(Assumptions!$C$15:$C$18,MATCH(E869,Assumptions!$A$15:$A$18,0)),"Yes","No"))</f>
        <v>Yes</v>
      </c>
    </row>
    <row r="870" customFormat="false" ht="15" hidden="false" customHeight="false" outlineLevel="0" collapsed="false">
      <c r="A870" s="31" t="s">
        <v>1020</v>
      </c>
      <c r="B870" s="44" t="n">
        <v>46216</v>
      </c>
      <c r="C870" s="31" t="s">
        <v>57</v>
      </c>
      <c r="D870" s="31" t="s">
        <v>65</v>
      </c>
      <c r="E870" s="31" t="s">
        <v>52</v>
      </c>
      <c r="F870" s="31" t="s">
        <v>119</v>
      </c>
      <c r="G870" s="31" t="n">
        <v>4</v>
      </c>
      <c r="H870" s="41" t="n">
        <v>22.3</v>
      </c>
      <c r="I870" s="31" t="s">
        <v>149</v>
      </c>
      <c r="J870" s="31"/>
      <c r="K870" s="31" t="s">
        <v>150</v>
      </c>
      <c r="L870" s="45" t="n">
        <f aca="false">DATE(YEAR(B870),MONTH(B870),1)</f>
        <v>46204</v>
      </c>
      <c r="M870" s="31" t="n">
        <f aca="false">WEEKDAY(B870,2)</f>
        <v>1</v>
      </c>
      <c r="N870" s="31" t="str">
        <f aca="false">IF(G870&lt;=INDEX(Assumptions!$B$15:$B$18,MATCH(E870,Assumptions!$A$15:$A$18,0)),"Yes","No")</f>
        <v>Yes</v>
      </c>
      <c r="O870" s="31" t="str">
        <f aca="false">IF(H870="","Open",IF(H870&lt;=INDEX(Assumptions!$C$15:$C$18,MATCH(E870,Assumptions!$A$15:$A$18,0)),"Yes","No"))</f>
        <v>Yes</v>
      </c>
    </row>
    <row r="871" customFormat="false" ht="15" hidden="false" customHeight="false" outlineLevel="0" collapsed="false">
      <c r="A871" s="31" t="s">
        <v>1021</v>
      </c>
      <c r="B871" s="44" t="n">
        <v>46216</v>
      </c>
      <c r="C871" s="31" t="s">
        <v>58</v>
      </c>
      <c r="D871" s="31" t="s">
        <v>69</v>
      </c>
      <c r="E871" s="31" t="s">
        <v>50</v>
      </c>
      <c r="F871" s="31" t="s">
        <v>120</v>
      </c>
      <c r="G871" s="31" t="n">
        <v>29</v>
      </c>
      <c r="H871" s="41" t="n">
        <v>15.4</v>
      </c>
      <c r="I871" s="31" t="s">
        <v>149</v>
      </c>
      <c r="J871" s="31" t="n">
        <v>4</v>
      </c>
      <c r="K871" s="31" t="s">
        <v>150</v>
      </c>
      <c r="L871" s="45" t="n">
        <f aca="false">DATE(YEAR(B871),MONTH(B871),1)</f>
        <v>46204</v>
      </c>
      <c r="M871" s="31" t="n">
        <f aca="false">WEEKDAY(B871,2)</f>
        <v>1</v>
      </c>
      <c r="N871" s="31" t="str">
        <f aca="false">IF(G871&lt;=INDEX(Assumptions!$B$15:$B$18,MATCH(E871,Assumptions!$A$15:$A$18,0)),"Yes","No")</f>
        <v>Yes</v>
      </c>
      <c r="O871" s="31" t="str">
        <f aca="false">IF(H871="","Open",IF(H871&lt;=INDEX(Assumptions!$C$15:$C$18,MATCH(E871,Assumptions!$A$15:$A$18,0)),"Yes","No"))</f>
        <v>No</v>
      </c>
    </row>
    <row r="872" customFormat="false" ht="15" hidden="false" customHeight="false" outlineLevel="0" collapsed="false">
      <c r="A872" s="31" t="s">
        <v>1022</v>
      </c>
      <c r="B872" s="44" t="n">
        <v>46216</v>
      </c>
      <c r="C872" s="31" t="s">
        <v>57</v>
      </c>
      <c r="D872" s="31" t="s">
        <v>67</v>
      </c>
      <c r="E872" s="31" t="s">
        <v>51</v>
      </c>
      <c r="F872" s="31" t="s">
        <v>130</v>
      </c>
      <c r="G872" s="31" t="n">
        <v>2</v>
      </c>
      <c r="H872" s="41" t="n">
        <v>40.5</v>
      </c>
      <c r="I872" s="31" t="s">
        <v>149</v>
      </c>
      <c r="J872" s="31"/>
      <c r="K872" s="31" t="s">
        <v>150</v>
      </c>
      <c r="L872" s="45" t="n">
        <f aca="false">DATE(YEAR(B872),MONTH(B872),1)</f>
        <v>46204</v>
      </c>
      <c r="M872" s="31" t="n">
        <f aca="false">WEEKDAY(B872,2)</f>
        <v>1</v>
      </c>
      <c r="N872" s="31" t="str">
        <f aca="false">IF(G872&lt;=INDEX(Assumptions!$B$15:$B$18,MATCH(E872,Assumptions!$A$15:$A$18,0)),"Yes","No")</f>
        <v>Yes</v>
      </c>
      <c r="O872" s="31" t="str">
        <f aca="false">IF(H872="","Open",IF(H872&lt;=INDEX(Assumptions!$C$15:$C$18,MATCH(E872,Assumptions!$A$15:$A$18,0)),"Yes","No"))</f>
        <v>No</v>
      </c>
    </row>
    <row r="873" customFormat="false" ht="15" hidden="false" customHeight="false" outlineLevel="0" collapsed="false">
      <c r="A873" s="31" t="s">
        <v>1023</v>
      </c>
      <c r="B873" s="44" t="n">
        <v>46216</v>
      </c>
      <c r="C873" s="31" t="s">
        <v>57</v>
      </c>
      <c r="D873" s="31" t="s">
        <v>65</v>
      </c>
      <c r="E873" s="31" t="s">
        <v>51</v>
      </c>
      <c r="F873" s="31" t="s">
        <v>126</v>
      </c>
      <c r="G873" s="31" t="n">
        <v>3</v>
      </c>
      <c r="H873" s="41" t="n">
        <v>30.9</v>
      </c>
      <c r="I873" s="31" t="s">
        <v>149</v>
      </c>
      <c r="J873" s="31"/>
      <c r="K873" s="31" t="s">
        <v>150</v>
      </c>
      <c r="L873" s="45" t="n">
        <f aca="false">DATE(YEAR(B873),MONTH(B873),1)</f>
        <v>46204</v>
      </c>
      <c r="M873" s="31" t="n">
        <f aca="false">WEEKDAY(B873,2)</f>
        <v>1</v>
      </c>
      <c r="N873" s="31" t="str">
        <f aca="false">IF(G873&lt;=INDEX(Assumptions!$B$15:$B$18,MATCH(E873,Assumptions!$A$15:$A$18,0)),"Yes","No")</f>
        <v>Yes</v>
      </c>
      <c r="O873" s="31" t="str">
        <f aca="false">IF(H873="","Open",IF(H873&lt;=INDEX(Assumptions!$C$15:$C$18,MATCH(E873,Assumptions!$A$15:$A$18,0)),"Yes","No"))</f>
        <v>No</v>
      </c>
    </row>
    <row r="874" customFormat="false" ht="15" hidden="false" customHeight="false" outlineLevel="0" collapsed="false">
      <c r="A874" s="31" t="s">
        <v>1024</v>
      </c>
      <c r="B874" s="44" t="n">
        <v>46216</v>
      </c>
      <c r="C874" s="31" t="s">
        <v>58</v>
      </c>
      <c r="D874" s="31" t="s">
        <v>69</v>
      </c>
      <c r="E874" s="31" t="s">
        <v>49</v>
      </c>
      <c r="F874" s="31" t="s">
        <v>133</v>
      </c>
      <c r="G874" s="31" t="n">
        <v>2</v>
      </c>
      <c r="H874" s="41" t="n">
        <v>14.2</v>
      </c>
      <c r="I874" s="31" t="s">
        <v>149</v>
      </c>
      <c r="J874" s="31"/>
      <c r="K874" s="31" t="s">
        <v>150</v>
      </c>
      <c r="L874" s="45" t="n">
        <f aca="false">DATE(YEAR(B874),MONTH(B874),1)</f>
        <v>46204</v>
      </c>
      <c r="M874" s="31" t="n">
        <f aca="false">WEEKDAY(B874,2)</f>
        <v>1</v>
      </c>
      <c r="N874" s="31" t="str">
        <f aca="false">IF(G874&lt;=INDEX(Assumptions!$B$15:$B$18,MATCH(E874,Assumptions!$A$15:$A$18,0)),"Yes","No")</f>
        <v>Yes</v>
      </c>
      <c r="O874" s="31" t="str">
        <f aca="false">IF(H874="","Open",IF(H874&lt;=INDEX(Assumptions!$C$15:$C$18,MATCH(E874,Assumptions!$A$15:$A$18,0)),"Yes","No"))</f>
        <v>No</v>
      </c>
    </row>
    <row r="875" customFormat="false" ht="15" hidden="false" customHeight="false" outlineLevel="0" collapsed="false">
      <c r="A875" s="31" t="s">
        <v>1025</v>
      </c>
      <c r="B875" s="44" t="n">
        <v>46216</v>
      </c>
      <c r="C875" s="31" t="s">
        <v>57</v>
      </c>
      <c r="D875" s="31" t="s">
        <v>69</v>
      </c>
      <c r="E875" s="31" t="s">
        <v>52</v>
      </c>
      <c r="F875" s="31" t="s">
        <v>137</v>
      </c>
      <c r="G875" s="31" t="n">
        <v>15</v>
      </c>
      <c r="H875" s="41" t="n">
        <v>33.7</v>
      </c>
      <c r="I875" s="31" t="s">
        <v>149</v>
      </c>
      <c r="J875" s="31"/>
      <c r="K875" s="31" t="s">
        <v>150</v>
      </c>
      <c r="L875" s="45" t="n">
        <f aca="false">DATE(YEAR(B875),MONTH(B875),1)</f>
        <v>46204</v>
      </c>
      <c r="M875" s="31" t="n">
        <f aca="false">WEEKDAY(B875,2)</f>
        <v>1</v>
      </c>
      <c r="N875" s="31" t="str">
        <f aca="false">IF(G875&lt;=INDEX(Assumptions!$B$15:$B$18,MATCH(E875,Assumptions!$A$15:$A$18,0)),"Yes","No")</f>
        <v>Yes</v>
      </c>
      <c r="O875" s="31" t="str">
        <f aca="false">IF(H875="","Open",IF(H875&lt;=INDEX(Assumptions!$C$15:$C$18,MATCH(E875,Assumptions!$A$15:$A$18,0)),"Yes","No"))</f>
        <v>Yes</v>
      </c>
    </row>
    <row r="876" customFormat="false" ht="15" hidden="false" customHeight="false" outlineLevel="0" collapsed="false">
      <c r="A876" s="31" t="s">
        <v>1026</v>
      </c>
      <c r="B876" s="44" t="n">
        <v>46216</v>
      </c>
      <c r="C876" s="31" t="s">
        <v>57</v>
      </c>
      <c r="D876" s="31" t="s">
        <v>65</v>
      </c>
      <c r="E876" s="31" t="s">
        <v>52</v>
      </c>
      <c r="F876" s="31" t="s">
        <v>128</v>
      </c>
      <c r="G876" s="31" t="n">
        <v>10</v>
      </c>
      <c r="H876" s="41" t="n">
        <v>20.7</v>
      </c>
      <c r="I876" s="31" t="s">
        <v>149</v>
      </c>
      <c r="J876" s="31"/>
      <c r="K876" s="31" t="s">
        <v>150</v>
      </c>
      <c r="L876" s="45" t="n">
        <f aca="false">DATE(YEAR(B876),MONTH(B876),1)</f>
        <v>46204</v>
      </c>
      <c r="M876" s="31" t="n">
        <f aca="false">WEEKDAY(B876,2)</f>
        <v>1</v>
      </c>
      <c r="N876" s="31" t="str">
        <f aca="false">IF(G876&lt;=INDEX(Assumptions!$B$15:$B$18,MATCH(E876,Assumptions!$A$15:$A$18,0)),"Yes","No")</f>
        <v>Yes</v>
      </c>
      <c r="O876" s="31" t="str">
        <f aca="false">IF(H876="","Open",IF(H876&lt;=INDEX(Assumptions!$C$15:$C$18,MATCH(E876,Assumptions!$A$15:$A$18,0)),"Yes","No"))</f>
        <v>Yes</v>
      </c>
    </row>
    <row r="877" customFormat="false" ht="15" hidden="false" customHeight="false" outlineLevel="0" collapsed="false">
      <c r="A877" s="31" t="s">
        <v>1027</v>
      </c>
      <c r="B877" s="44" t="n">
        <v>46216</v>
      </c>
      <c r="C877" s="31" t="s">
        <v>57</v>
      </c>
      <c r="D877" s="31" t="s">
        <v>65</v>
      </c>
      <c r="E877" s="31" t="s">
        <v>51</v>
      </c>
      <c r="F877" s="31" t="s">
        <v>131</v>
      </c>
      <c r="G877" s="31" t="n">
        <v>3</v>
      </c>
      <c r="H877" s="41" t="n">
        <v>8</v>
      </c>
      <c r="I877" s="31" t="s">
        <v>149</v>
      </c>
      <c r="J877" s="31" t="n">
        <v>5</v>
      </c>
      <c r="K877" s="31" t="s">
        <v>150</v>
      </c>
      <c r="L877" s="45" t="n">
        <f aca="false">DATE(YEAR(B877),MONTH(B877),1)</f>
        <v>46204</v>
      </c>
      <c r="M877" s="31" t="n">
        <f aca="false">WEEKDAY(B877,2)</f>
        <v>1</v>
      </c>
      <c r="N877" s="31" t="str">
        <f aca="false">IF(G877&lt;=INDEX(Assumptions!$B$15:$B$18,MATCH(E877,Assumptions!$A$15:$A$18,0)),"Yes","No")</f>
        <v>Yes</v>
      </c>
      <c r="O877" s="31" t="str">
        <f aca="false">IF(H877="","Open",IF(H877&lt;=INDEX(Assumptions!$C$15:$C$18,MATCH(E877,Assumptions!$A$15:$A$18,0)),"Yes","No"))</f>
        <v>Yes</v>
      </c>
    </row>
    <row r="878" customFormat="false" ht="15" hidden="false" customHeight="false" outlineLevel="0" collapsed="false">
      <c r="A878" s="31" t="s">
        <v>1028</v>
      </c>
      <c r="B878" s="44" t="n">
        <v>46216</v>
      </c>
      <c r="C878" s="31" t="s">
        <v>58</v>
      </c>
      <c r="D878" s="31" t="s">
        <v>65</v>
      </c>
      <c r="E878" s="31" t="s">
        <v>51</v>
      </c>
      <c r="F878" s="31" t="s">
        <v>121</v>
      </c>
      <c r="G878" s="31" t="n">
        <v>5</v>
      </c>
      <c r="H878" s="41" t="n">
        <v>67.2</v>
      </c>
      <c r="I878" s="31" t="s">
        <v>149</v>
      </c>
      <c r="J878" s="31"/>
      <c r="K878" s="31" t="s">
        <v>150</v>
      </c>
      <c r="L878" s="45" t="n">
        <f aca="false">DATE(YEAR(B878),MONTH(B878),1)</f>
        <v>46204</v>
      </c>
      <c r="M878" s="31" t="n">
        <f aca="false">WEEKDAY(B878,2)</f>
        <v>1</v>
      </c>
      <c r="N878" s="31" t="str">
        <f aca="false">IF(G878&lt;=INDEX(Assumptions!$B$15:$B$18,MATCH(E878,Assumptions!$A$15:$A$18,0)),"Yes","No")</f>
        <v>Yes</v>
      </c>
      <c r="O878" s="31" t="str">
        <f aca="false">IF(H878="","Open",IF(H878&lt;=INDEX(Assumptions!$C$15:$C$18,MATCH(E878,Assumptions!$A$15:$A$18,0)),"Yes","No"))</f>
        <v>No</v>
      </c>
    </row>
    <row r="879" customFormat="false" ht="15" hidden="false" customHeight="false" outlineLevel="0" collapsed="false">
      <c r="A879" s="31" t="s">
        <v>1029</v>
      </c>
      <c r="B879" s="44" t="n">
        <v>46216</v>
      </c>
      <c r="C879" s="31" t="s">
        <v>59</v>
      </c>
      <c r="D879" s="31" t="s">
        <v>68</v>
      </c>
      <c r="E879" s="31" t="s">
        <v>51</v>
      </c>
      <c r="F879" s="31" t="s">
        <v>121</v>
      </c>
      <c r="G879" s="31" t="n">
        <v>111</v>
      </c>
      <c r="H879" s="41" t="n">
        <v>4.9</v>
      </c>
      <c r="I879" s="31" t="s">
        <v>149</v>
      </c>
      <c r="J879" s="31" t="n">
        <v>3</v>
      </c>
      <c r="K879" s="31" t="s">
        <v>153</v>
      </c>
      <c r="L879" s="45" t="n">
        <f aca="false">DATE(YEAR(B879),MONTH(B879),1)</f>
        <v>46204</v>
      </c>
      <c r="M879" s="31" t="n">
        <f aca="false">WEEKDAY(B879,2)</f>
        <v>1</v>
      </c>
      <c r="N879" s="31" t="str">
        <f aca="false">IF(G879&lt;=INDEX(Assumptions!$B$15:$B$18,MATCH(E879,Assumptions!$A$15:$A$18,0)),"Yes","No")</f>
        <v>No</v>
      </c>
      <c r="O879" s="31" t="str">
        <f aca="false">IF(H879="","Open",IF(H879&lt;=INDEX(Assumptions!$C$15:$C$18,MATCH(E879,Assumptions!$A$15:$A$18,0)),"Yes","No"))</f>
        <v>Yes</v>
      </c>
    </row>
    <row r="880" customFormat="false" ht="15" hidden="false" customHeight="false" outlineLevel="0" collapsed="false">
      <c r="A880" s="31" t="s">
        <v>1030</v>
      </c>
      <c r="B880" s="44" t="n">
        <v>46216</v>
      </c>
      <c r="C880" s="31" t="s">
        <v>58</v>
      </c>
      <c r="D880" s="31" t="s">
        <v>66</v>
      </c>
      <c r="E880" s="31" t="s">
        <v>51</v>
      </c>
      <c r="F880" s="31" t="s">
        <v>123</v>
      </c>
      <c r="G880" s="31" t="n">
        <v>7</v>
      </c>
      <c r="H880" s="41" t="n">
        <v>8.6</v>
      </c>
      <c r="I880" s="31" t="s">
        <v>149</v>
      </c>
      <c r="J880" s="31" t="n">
        <v>3</v>
      </c>
      <c r="K880" s="31" t="s">
        <v>150</v>
      </c>
      <c r="L880" s="45" t="n">
        <f aca="false">DATE(YEAR(B880),MONTH(B880),1)</f>
        <v>46204</v>
      </c>
      <c r="M880" s="31" t="n">
        <f aca="false">WEEKDAY(B880,2)</f>
        <v>1</v>
      </c>
      <c r="N880" s="31" t="str">
        <f aca="false">IF(G880&lt;=INDEX(Assumptions!$B$15:$B$18,MATCH(E880,Assumptions!$A$15:$A$18,0)),"Yes","No")</f>
        <v>Yes</v>
      </c>
      <c r="O880" s="31" t="str">
        <f aca="false">IF(H880="","Open",IF(H880&lt;=INDEX(Assumptions!$C$15:$C$18,MATCH(E880,Assumptions!$A$15:$A$18,0)),"Yes","No"))</f>
        <v>Yes</v>
      </c>
    </row>
    <row r="881" customFormat="false" ht="15" hidden="false" customHeight="false" outlineLevel="0" collapsed="false">
      <c r="A881" s="31" t="s">
        <v>1031</v>
      </c>
      <c r="B881" s="44" t="n">
        <v>46216</v>
      </c>
      <c r="C881" s="31" t="s">
        <v>57</v>
      </c>
      <c r="D881" s="31" t="s">
        <v>65</v>
      </c>
      <c r="E881" s="31" t="s">
        <v>51</v>
      </c>
      <c r="F881" s="31" t="s">
        <v>133</v>
      </c>
      <c r="G881" s="31" t="n">
        <v>2</v>
      </c>
      <c r="H881" s="41" t="n">
        <v>4.6</v>
      </c>
      <c r="I881" s="31" t="s">
        <v>149</v>
      </c>
      <c r="J881" s="31"/>
      <c r="K881" s="31" t="s">
        <v>150</v>
      </c>
      <c r="L881" s="45" t="n">
        <f aca="false">DATE(YEAR(B881),MONTH(B881),1)</f>
        <v>46204</v>
      </c>
      <c r="M881" s="31" t="n">
        <f aca="false">WEEKDAY(B881,2)</f>
        <v>1</v>
      </c>
      <c r="N881" s="31" t="str">
        <f aca="false">IF(G881&lt;=INDEX(Assumptions!$B$15:$B$18,MATCH(E881,Assumptions!$A$15:$A$18,0)),"Yes","No")</f>
        <v>Yes</v>
      </c>
      <c r="O881" s="31" t="str">
        <f aca="false">IF(H881="","Open",IF(H881&lt;=INDEX(Assumptions!$C$15:$C$18,MATCH(E881,Assumptions!$A$15:$A$18,0)),"Yes","No"))</f>
        <v>Yes</v>
      </c>
    </row>
    <row r="882" customFormat="false" ht="15" hidden="false" customHeight="false" outlineLevel="0" collapsed="false">
      <c r="A882" s="31" t="s">
        <v>1032</v>
      </c>
      <c r="B882" s="44" t="n">
        <v>46216</v>
      </c>
      <c r="C882" s="31" t="s">
        <v>59</v>
      </c>
      <c r="D882" s="31" t="s">
        <v>66</v>
      </c>
      <c r="E882" s="31" t="s">
        <v>50</v>
      </c>
      <c r="F882" s="31" t="s">
        <v>123</v>
      </c>
      <c r="G882" s="31" t="n">
        <v>134</v>
      </c>
      <c r="H882" s="41" t="n">
        <v>6</v>
      </c>
      <c r="I882" s="31" t="s">
        <v>149</v>
      </c>
      <c r="J882" s="31"/>
      <c r="K882" s="31" t="s">
        <v>150</v>
      </c>
      <c r="L882" s="45" t="n">
        <f aca="false">DATE(YEAR(B882),MONTH(B882),1)</f>
        <v>46204</v>
      </c>
      <c r="M882" s="31" t="n">
        <f aca="false">WEEKDAY(B882,2)</f>
        <v>1</v>
      </c>
      <c r="N882" s="31" t="str">
        <f aca="false">IF(G882&lt;=INDEX(Assumptions!$B$15:$B$18,MATCH(E882,Assumptions!$A$15:$A$18,0)),"Yes","No")</f>
        <v>No</v>
      </c>
      <c r="O882" s="31" t="str">
        <f aca="false">IF(H882="","Open",IF(H882&lt;=INDEX(Assumptions!$C$15:$C$18,MATCH(E882,Assumptions!$A$15:$A$18,0)),"Yes","No"))</f>
        <v>Yes</v>
      </c>
    </row>
    <row r="883" customFormat="false" ht="15" hidden="false" customHeight="false" outlineLevel="0" collapsed="false">
      <c r="A883" s="31" t="s">
        <v>1033</v>
      </c>
      <c r="B883" s="44" t="n">
        <v>46216</v>
      </c>
      <c r="C883" s="31" t="s">
        <v>58</v>
      </c>
      <c r="D883" s="31" t="s">
        <v>68</v>
      </c>
      <c r="E883" s="31" t="s">
        <v>51</v>
      </c>
      <c r="F883" s="31" t="s">
        <v>130</v>
      </c>
      <c r="G883" s="31" t="n">
        <v>5</v>
      </c>
      <c r="H883" s="41" t="n">
        <v>3.5</v>
      </c>
      <c r="I883" s="31" t="s">
        <v>149</v>
      </c>
      <c r="J883" s="31" t="n">
        <v>5</v>
      </c>
      <c r="K883" s="31" t="s">
        <v>150</v>
      </c>
      <c r="L883" s="45" t="n">
        <f aca="false">DATE(YEAR(B883),MONTH(B883),1)</f>
        <v>46204</v>
      </c>
      <c r="M883" s="31" t="n">
        <f aca="false">WEEKDAY(B883,2)</f>
        <v>1</v>
      </c>
      <c r="N883" s="31" t="str">
        <f aca="false">IF(G883&lt;=INDEX(Assumptions!$B$15:$B$18,MATCH(E883,Assumptions!$A$15:$A$18,0)),"Yes","No")</f>
        <v>Yes</v>
      </c>
      <c r="O883" s="31" t="str">
        <f aca="false">IF(H883="","Open",IF(H883&lt;=INDEX(Assumptions!$C$15:$C$18,MATCH(E883,Assumptions!$A$15:$A$18,0)),"Yes","No"))</f>
        <v>Yes</v>
      </c>
    </row>
    <row r="884" customFormat="false" ht="15" hidden="false" customHeight="false" outlineLevel="0" collapsed="false">
      <c r="A884" s="31" t="s">
        <v>1034</v>
      </c>
      <c r="B884" s="44" t="n">
        <v>46216</v>
      </c>
      <c r="C884" s="31" t="s">
        <v>59</v>
      </c>
      <c r="D884" s="31" t="s">
        <v>67</v>
      </c>
      <c r="E884" s="31" t="s">
        <v>51</v>
      </c>
      <c r="F884" s="31" t="s">
        <v>131</v>
      </c>
      <c r="G884" s="31" t="n">
        <v>50</v>
      </c>
      <c r="H884" s="41" t="n">
        <v>5.6</v>
      </c>
      <c r="I884" s="31" t="s">
        <v>149</v>
      </c>
      <c r="J884" s="31"/>
      <c r="K884" s="31" t="s">
        <v>150</v>
      </c>
      <c r="L884" s="45" t="n">
        <f aca="false">DATE(YEAR(B884),MONTH(B884),1)</f>
        <v>46204</v>
      </c>
      <c r="M884" s="31" t="n">
        <f aca="false">WEEKDAY(B884,2)</f>
        <v>1</v>
      </c>
      <c r="N884" s="31" t="str">
        <f aca="false">IF(G884&lt;=INDEX(Assumptions!$B$15:$B$18,MATCH(E884,Assumptions!$A$15:$A$18,0)),"Yes","No")</f>
        <v>Yes</v>
      </c>
      <c r="O884" s="31" t="str">
        <f aca="false">IF(H884="","Open",IF(H884&lt;=INDEX(Assumptions!$C$15:$C$18,MATCH(E884,Assumptions!$A$15:$A$18,0)),"Yes","No"))</f>
        <v>Yes</v>
      </c>
    </row>
    <row r="885" customFormat="false" ht="15" hidden="false" customHeight="false" outlineLevel="0" collapsed="false">
      <c r="A885" s="31" t="s">
        <v>1035</v>
      </c>
      <c r="B885" s="44" t="n">
        <v>46216</v>
      </c>
      <c r="C885" s="31" t="s">
        <v>58</v>
      </c>
      <c r="D885" s="31" t="s">
        <v>69</v>
      </c>
      <c r="E885" s="31" t="s">
        <v>52</v>
      </c>
      <c r="F885" s="31" t="s">
        <v>117</v>
      </c>
      <c r="G885" s="31" t="n">
        <v>19</v>
      </c>
      <c r="H885" s="41" t="n">
        <v>21.7</v>
      </c>
      <c r="I885" s="31" t="s">
        <v>149</v>
      </c>
      <c r="J885" s="31"/>
      <c r="K885" s="31" t="s">
        <v>150</v>
      </c>
      <c r="L885" s="45" t="n">
        <f aca="false">DATE(YEAR(B885),MONTH(B885),1)</f>
        <v>46204</v>
      </c>
      <c r="M885" s="31" t="n">
        <f aca="false">WEEKDAY(B885,2)</f>
        <v>1</v>
      </c>
      <c r="N885" s="31" t="str">
        <f aca="false">IF(G885&lt;=INDEX(Assumptions!$B$15:$B$18,MATCH(E885,Assumptions!$A$15:$A$18,0)),"Yes","No")</f>
        <v>Yes</v>
      </c>
      <c r="O885" s="31" t="str">
        <f aca="false">IF(H885="","Open",IF(H885&lt;=INDEX(Assumptions!$C$15:$C$18,MATCH(E885,Assumptions!$A$15:$A$18,0)),"Yes","No"))</f>
        <v>Yes</v>
      </c>
    </row>
    <row r="886" customFormat="false" ht="15" hidden="false" customHeight="false" outlineLevel="0" collapsed="false">
      <c r="A886" s="31" t="s">
        <v>1036</v>
      </c>
      <c r="B886" s="44" t="n">
        <v>46216</v>
      </c>
      <c r="C886" s="31" t="s">
        <v>60</v>
      </c>
      <c r="D886" s="31" t="s">
        <v>66</v>
      </c>
      <c r="E886" s="31" t="s">
        <v>52</v>
      </c>
      <c r="F886" s="31" t="s">
        <v>136</v>
      </c>
      <c r="G886" s="31" t="n">
        <v>10</v>
      </c>
      <c r="H886" s="41" t="n">
        <v>2.4</v>
      </c>
      <c r="I886" s="31" t="s">
        <v>149</v>
      </c>
      <c r="J886" s="31"/>
      <c r="K886" s="31" t="s">
        <v>150</v>
      </c>
      <c r="L886" s="45" t="n">
        <f aca="false">DATE(YEAR(B886),MONTH(B886),1)</f>
        <v>46204</v>
      </c>
      <c r="M886" s="31" t="n">
        <f aca="false">WEEKDAY(B886,2)</f>
        <v>1</v>
      </c>
      <c r="N886" s="31" t="str">
        <f aca="false">IF(G886&lt;=INDEX(Assumptions!$B$15:$B$18,MATCH(E886,Assumptions!$A$15:$A$18,0)),"Yes","No")</f>
        <v>Yes</v>
      </c>
      <c r="O886" s="31" t="str">
        <f aca="false">IF(H886="","Open",IF(H886&lt;=INDEX(Assumptions!$C$15:$C$18,MATCH(E886,Assumptions!$A$15:$A$18,0)),"Yes","No"))</f>
        <v>Yes</v>
      </c>
    </row>
    <row r="887" customFormat="false" ht="15" hidden="false" customHeight="false" outlineLevel="0" collapsed="false">
      <c r="A887" s="31" t="s">
        <v>1037</v>
      </c>
      <c r="B887" s="44" t="n">
        <v>46216</v>
      </c>
      <c r="C887" s="31" t="s">
        <v>58</v>
      </c>
      <c r="D887" s="31" t="s">
        <v>66</v>
      </c>
      <c r="E887" s="31" t="s">
        <v>50</v>
      </c>
      <c r="F887" s="31" t="s">
        <v>124</v>
      </c>
      <c r="G887" s="31" t="n">
        <v>6</v>
      </c>
      <c r="H887" s="41" t="n">
        <v>6.8</v>
      </c>
      <c r="I887" s="31" t="s">
        <v>149</v>
      </c>
      <c r="J887" s="31"/>
      <c r="K887" s="31" t="s">
        <v>150</v>
      </c>
      <c r="L887" s="45" t="n">
        <f aca="false">DATE(YEAR(B887),MONTH(B887),1)</f>
        <v>46204</v>
      </c>
      <c r="M887" s="31" t="n">
        <f aca="false">WEEKDAY(B887,2)</f>
        <v>1</v>
      </c>
      <c r="N887" s="31" t="str">
        <f aca="false">IF(G887&lt;=INDEX(Assumptions!$B$15:$B$18,MATCH(E887,Assumptions!$A$15:$A$18,0)),"Yes","No")</f>
        <v>Yes</v>
      </c>
      <c r="O887" s="31" t="str">
        <f aca="false">IF(H887="","Open",IF(H887&lt;=INDEX(Assumptions!$C$15:$C$18,MATCH(E887,Assumptions!$A$15:$A$18,0)),"Yes","No"))</f>
        <v>Yes</v>
      </c>
    </row>
    <row r="888" customFormat="false" ht="15" hidden="false" customHeight="false" outlineLevel="0" collapsed="false">
      <c r="A888" s="31" t="s">
        <v>1038</v>
      </c>
      <c r="B888" s="44" t="n">
        <v>46216</v>
      </c>
      <c r="C888" s="31" t="s">
        <v>60</v>
      </c>
      <c r="D888" s="31" t="s">
        <v>67</v>
      </c>
      <c r="E888" s="31" t="s">
        <v>52</v>
      </c>
      <c r="F888" s="31" t="s">
        <v>133</v>
      </c>
      <c r="G888" s="31" t="n">
        <v>3</v>
      </c>
      <c r="H888" s="41" t="n">
        <v>15.2</v>
      </c>
      <c r="I888" s="31" t="s">
        <v>149</v>
      </c>
      <c r="J888" s="31"/>
      <c r="K888" s="31" t="s">
        <v>153</v>
      </c>
      <c r="L888" s="45" t="n">
        <f aca="false">DATE(YEAR(B888),MONTH(B888),1)</f>
        <v>46204</v>
      </c>
      <c r="M888" s="31" t="n">
        <f aca="false">WEEKDAY(B888,2)</f>
        <v>1</v>
      </c>
      <c r="N888" s="31" t="str">
        <f aca="false">IF(G888&lt;=INDEX(Assumptions!$B$15:$B$18,MATCH(E888,Assumptions!$A$15:$A$18,0)),"Yes","No")</f>
        <v>Yes</v>
      </c>
      <c r="O888" s="31" t="str">
        <f aca="false">IF(H888="","Open",IF(H888&lt;=INDEX(Assumptions!$C$15:$C$18,MATCH(E888,Assumptions!$A$15:$A$18,0)),"Yes","No"))</f>
        <v>Yes</v>
      </c>
    </row>
    <row r="889" customFormat="false" ht="15" hidden="false" customHeight="false" outlineLevel="0" collapsed="false">
      <c r="A889" s="31" t="s">
        <v>1039</v>
      </c>
      <c r="B889" s="44" t="n">
        <v>46216</v>
      </c>
      <c r="C889" s="31" t="s">
        <v>57</v>
      </c>
      <c r="D889" s="31" t="s">
        <v>65</v>
      </c>
      <c r="E889" s="31" t="s">
        <v>52</v>
      </c>
      <c r="F889" s="31" t="s">
        <v>119</v>
      </c>
      <c r="G889" s="31" t="n">
        <v>5</v>
      </c>
      <c r="H889" s="41" t="n">
        <v>30.8</v>
      </c>
      <c r="I889" s="31" t="s">
        <v>149</v>
      </c>
      <c r="J889" s="31" t="n">
        <v>5</v>
      </c>
      <c r="K889" s="31" t="s">
        <v>153</v>
      </c>
      <c r="L889" s="45" t="n">
        <f aca="false">DATE(YEAR(B889),MONTH(B889),1)</f>
        <v>46204</v>
      </c>
      <c r="M889" s="31" t="n">
        <f aca="false">WEEKDAY(B889,2)</f>
        <v>1</v>
      </c>
      <c r="N889" s="31" t="str">
        <f aca="false">IF(G889&lt;=INDEX(Assumptions!$B$15:$B$18,MATCH(E889,Assumptions!$A$15:$A$18,0)),"Yes","No")</f>
        <v>Yes</v>
      </c>
      <c r="O889" s="31" t="str">
        <f aca="false">IF(H889="","Open",IF(H889&lt;=INDEX(Assumptions!$C$15:$C$18,MATCH(E889,Assumptions!$A$15:$A$18,0)),"Yes","No"))</f>
        <v>Yes</v>
      </c>
    </row>
    <row r="890" customFormat="false" ht="15" hidden="false" customHeight="false" outlineLevel="0" collapsed="false">
      <c r="A890" s="31" t="s">
        <v>1040</v>
      </c>
      <c r="B890" s="44" t="n">
        <v>46216</v>
      </c>
      <c r="C890" s="31" t="s">
        <v>57</v>
      </c>
      <c r="D890" s="31" t="s">
        <v>67</v>
      </c>
      <c r="E890" s="31" t="s">
        <v>50</v>
      </c>
      <c r="F890" s="31" t="s">
        <v>119</v>
      </c>
      <c r="G890" s="31" t="n">
        <v>4</v>
      </c>
      <c r="H890" s="41" t="n">
        <v>23.8</v>
      </c>
      <c r="I890" s="31" t="s">
        <v>149</v>
      </c>
      <c r="J890" s="31"/>
      <c r="K890" s="31" t="s">
        <v>150</v>
      </c>
      <c r="L890" s="45" t="n">
        <f aca="false">DATE(YEAR(B890),MONTH(B890),1)</f>
        <v>46204</v>
      </c>
      <c r="M890" s="31" t="n">
        <f aca="false">WEEKDAY(B890,2)</f>
        <v>1</v>
      </c>
      <c r="N890" s="31" t="str">
        <f aca="false">IF(G890&lt;=INDEX(Assumptions!$B$15:$B$18,MATCH(E890,Assumptions!$A$15:$A$18,0)),"Yes","No")</f>
        <v>Yes</v>
      </c>
      <c r="O890" s="31" t="str">
        <f aca="false">IF(H890="","Open",IF(H890&lt;=INDEX(Assumptions!$C$15:$C$18,MATCH(E890,Assumptions!$A$15:$A$18,0)),"Yes","No"))</f>
        <v>No</v>
      </c>
    </row>
    <row r="891" customFormat="false" ht="15" hidden="false" customHeight="false" outlineLevel="0" collapsed="false">
      <c r="A891" s="31" t="s">
        <v>1041</v>
      </c>
      <c r="B891" s="44" t="n">
        <v>46216</v>
      </c>
      <c r="C891" s="31" t="s">
        <v>57</v>
      </c>
      <c r="D891" s="31" t="s">
        <v>68</v>
      </c>
      <c r="E891" s="31" t="s">
        <v>50</v>
      </c>
      <c r="F891" s="31" t="s">
        <v>126</v>
      </c>
      <c r="G891" s="31" t="n">
        <v>9</v>
      </c>
      <c r="H891" s="41" t="n">
        <v>0.5</v>
      </c>
      <c r="I891" s="31" t="s">
        <v>149</v>
      </c>
      <c r="J891" s="31" t="n">
        <v>4</v>
      </c>
      <c r="K891" s="31" t="s">
        <v>150</v>
      </c>
      <c r="L891" s="45" t="n">
        <f aca="false">DATE(YEAR(B891),MONTH(B891),1)</f>
        <v>46204</v>
      </c>
      <c r="M891" s="31" t="n">
        <f aca="false">WEEKDAY(B891,2)</f>
        <v>1</v>
      </c>
      <c r="N891" s="31" t="str">
        <f aca="false">IF(G891&lt;=INDEX(Assumptions!$B$15:$B$18,MATCH(E891,Assumptions!$A$15:$A$18,0)),"Yes","No")</f>
        <v>Yes</v>
      </c>
      <c r="O891" s="31" t="str">
        <f aca="false">IF(H891="","Open",IF(H891&lt;=INDEX(Assumptions!$C$15:$C$18,MATCH(E891,Assumptions!$A$15:$A$18,0)),"Yes","No"))</f>
        <v>Yes</v>
      </c>
    </row>
    <row r="892" customFormat="false" ht="15" hidden="false" customHeight="false" outlineLevel="0" collapsed="false">
      <c r="A892" s="31" t="s">
        <v>1042</v>
      </c>
      <c r="B892" s="44" t="n">
        <v>46216</v>
      </c>
      <c r="C892" s="31" t="s">
        <v>58</v>
      </c>
      <c r="D892" s="31" t="s">
        <v>68</v>
      </c>
      <c r="E892" s="31" t="s">
        <v>49</v>
      </c>
      <c r="F892" s="31" t="s">
        <v>136</v>
      </c>
      <c r="G892" s="31" t="n">
        <v>11</v>
      </c>
      <c r="H892" s="41" t="n">
        <v>0.5</v>
      </c>
      <c r="I892" s="31" t="s">
        <v>149</v>
      </c>
      <c r="J892" s="31"/>
      <c r="K892" s="31" t="s">
        <v>150</v>
      </c>
      <c r="L892" s="45" t="n">
        <f aca="false">DATE(YEAR(B892),MONTH(B892),1)</f>
        <v>46204</v>
      </c>
      <c r="M892" s="31" t="n">
        <f aca="false">WEEKDAY(B892,2)</f>
        <v>1</v>
      </c>
      <c r="N892" s="31" t="str">
        <f aca="false">IF(G892&lt;=INDEX(Assumptions!$B$15:$B$18,MATCH(E892,Assumptions!$A$15:$A$18,0)),"Yes","No")</f>
        <v>Yes</v>
      </c>
      <c r="O892" s="31" t="str">
        <f aca="false">IF(H892="","Open",IF(H892&lt;=INDEX(Assumptions!$C$15:$C$18,MATCH(E892,Assumptions!$A$15:$A$18,0)),"Yes","No"))</f>
        <v>Yes</v>
      </c>
    </row>
    <row r="893" customFormat="false" ht="15" hidden="false" customHeight="false" outlineLevel="0" collapsed="false">
      <c r="A893" s="31" t="s">
        <v>1043</v>
      </c>
      <c r="B893" s="44" t="n">
        <v>46216</v>
      </c>
      <c r="C893" s="31" t="s">
        <v>58</v>
      </c>
      <c r="D893" s="31" t="s">
        <v>67</v>
      </c>
      <c r="E893" s="31" t="s">
        <v>51</v>
      </c>
      <c r="F893" s="31" t="s">
        <v>137</v>
      </c>
      <c r="G893" s="31" t="n">
        <v>9</v>
      </c>
      <c r="H893" s="41" t="n">
        <v>3.7</v>
      </c>
      <c r="I893" s="31" t="s">
        <v>149</v>
      </c>
      <c r="J893" s="31"/>
      <c r="K893" s="31" t="s">
        <v>150</v>
      </c>
      <c r="L893" s="45" t="n">
        <f aca="false">DATE(YEAR(B893),MONTH(B893),1)</f>
        <v>46204</v>
      </c>
      <c r="M893" s="31" t="n">
        <f aca="false">WEEKDAY(B893,2)</f>
        <v>1</v>
      </c>
      <c r="N893" s="31" t="str">
        <f aca="false">IF(G893&lt;=INDEX(Assumptions!$B$15:$B$18,MATCH(E893,Assumptions!$A$15:$A$18,0)),"Yes","No")</f>
        <v>Yes</v>
      </c>
      <c r="O893" s="31" t="str">
        <f aca="false">IF(H893="","Open",IF(H893&lt;=INDEX(Assumptions!$C$15:$C$18,MATCH(E893,Assumptions!$A$15:$A$18,0)),"Yes","No"))</f>
        <v>Yes</v>
      </c>
    </row>
    <row r="894" customFormat="false" ht="15" hidden="false" customHeight="false" outlineLevel="0" collapsed="false">
      <c r="A894" s="31" t="s">
        <v>1044</v>
      </c>
      <c r="B894" s="44" t="n">
        <v>46216</v>
      </c>
      <c r="C894" s="31" t="s">
        <v>58</v>
      </c>
      <c r="D894" s="31" t="s">
        <v>65</v>
      </c>
      <c r="E894" s="31" t="s">
        <v>52</v>
      </c>
      <c r="F894" s="31" t="s">
        <v>127</v>
      </c>
      <c r="G894" s="31" t="n">
        <v>7</v>
      </c>
      <c r="H894" s="41" t="n">
        <v>11.4</v>
      </c>
      <c r="I894" s="31" t="s">
        <v>149</v>
      </c>
      <c r="J894" s="31"/>
      <c r="K894" s="31" t="s">
        <v>150</v>
      </c>
      <c r="L894" s="45" t="n">
        <f aca="false">DATE(YEAR(B894),MONTH(B894),1)</f>
        <v>46204</v>
      </c>
      <c r="M894" s="31" t="n">
        <f aca="false">WEEKDAY(B894,2)</f>
        <v>1</v>
      </c>
      <c r="N894" s="31" t="str">
        <f aca="false">IF(G894&lt;=INDEX(Assumptions!$B$15:$B$18,MATCH(E894,Assumptions!$A$15:$A$18,0)),"Yes","No")</f>
        <v>Yes</v>
      </c>
      <c r="O894" s="31" t="str">
        <f aca="false">IF(H894="","Open",IF(H894&lt;=INDEX(Assumptions!$C$15:$C$18,MATCH(E894,Assumptions!$A$15:$A$18,0)),"Yes","No"))</f>
        <v>Yes</v>
      </c>
    </row>
    <row r="895" customFormat="false" ht="15" hidden="false" customHeight="false" outlineLevel="0" collapsed="false">
      <c r="A895" s="31" t="s">
        <v>1045</v>
      </c>
      <c r="B895" s="44" t="n">
        <v>46216</v>
      </c>
      <c r="C895" s="31" t="s">
        <v>57</v>
      </c>
      <c r="D895" s="31" t="s">
        <v>68</v>
      </c>
      <c r="E895" s="31" t="s">
        <v>51</v>
      </c>
      <c r="F895" s="31" t="s">
        <v>126</v>
      </c>
      <c r="G895" s="31" t="n">
        <v>13</v>
      </c>
      <c r="H895" s="41"/>
      <c r="I895" s="31" t="s">
        <v>158</v>
      </c>
      <c r="J895" s="31"/>
      <c r="K895" s="31" t="s">
        <v>150</v>
      </c>
      <c r="L895" s="45" t="n">
        <f aca="false">DATE(YEAR(B895),MONTH(B895),1)</f>
        <v>46204</v>
      </c>
      <c r="M895" s="31" t="n">
        <f aca="false">WEEKDAY(B895,2)</f>
        <v>1</v>
      </c>
      <c r="N895" s="31" t="str">
        <f aca="false">IF(G895&lt;=INDEX(Assumptions!$B$15:$B$18,MATCH(E895,Assumptions!$A$15:$A$18,0)),"Yes","No")</f>
        <v>Yes</v>
      </c>
      <c r="O895" s="31" t="str">
        <f aca="false">IF(H895="","Open",IF(H895&lt;=INDEX(Assumptions!$C$15:$C$18,MATCH(E895,Assumptions!$A$15:$A$18,0)),"Yes","No"))</f>
        <v>Open</v>
      </c>
    </row>
    <row r="896" customFormat="false" ht="15" hidden="false" customHeight="false" outlineLevel="0" collapsed="false">
      <c r="A896" s="31" t="s">
        <v>1046</v>
      </c>
      <c r="B896" s="44" t="n">
        <v>46216</v>
      </c>
      <c r="C896" s="31" t="s">
        <v>58</v>
      </c>
      <c r="D896" s="31" t="s">
        <v>69</v>
      </c>
      <c r="E896" s="31" t="s">
        <v>50</v>
      </c>
      <c r="F896" s="31" t="s">
        <v>119</v>
      </c>
      <c r="G896" s="31" t="n">
        <v>24</v>
      </c>
      <c r="H896" s="41" t="n">
        <v>12.9</v>
      </c>
      <c r="I896" s="31" t="s">
        <v>149</v>
      </c>
      <c r="J896" s="31"/>
      <c r="K896" s="31" t="s">
        <v>150</v>
      </c>
      <c r="L896" s="45" t="n">
        <f aca="false">DATE(YEAR(B896),MONTH(B896),1)</f>
        <v>46204</v>
      </c>
      <c r="M896" s="31" t="n">
        <f aca="false">WEEKDAY(B896,2)</f>
        <v>1</v>
      </c>
      <c r="N896" s="31" t="str">
        <f aca="false">IF(G896&lt;=INDEX(Assumptions!$B$15:$B$18,MATCH(E896,Assumptions!$A$15:$A$18,0)),"Yes","No")</f>
        <v>Yes</v>
      </c>
      <c r="O896" s="31" t="str">
        <f aca="false">IF(H896="","Open",IF(H896&lt;=INDEX(Assumptions!$C$15:$C$18,MATCH(E896,Assumptions!$A$15:$A$18,0)),"Yes","No"))</f>
        <v>No</v>
      </c>
    </row>
    <row r="897" customFormat="false" ht="15" hidden="false" customHeight="false" outlineLevel="0" collapsed="false">
      <c r="A897" s="31" t="s">
        <v>1047</v>
      </c>
      <c r="B897" s="44" t="n">
        <v>46216</v>
      </c>
      <c r="C897" s="31" t="s">
        <v>59</v>
      </c>
      <c r="D897" s="31" t="s">
        <v>65</v>
      </c>
      <c r="E897" s="31" t="s">
        <v>52</v>
      </c>
      <c r="F897" s="31" t="s">
        <v>130</v>
      </c>
      <c r="G897" s="31" t="n">
        <v>35</v>
      </c>
      <c r="H897" s="41"/>
      <c r="I897" s="31" t="s">
        <v>158</v>
      </c>
      <c r="J897" s="31"/>
      <c r="K897" s="31" t="s">
        <v>150</v>
      </c>
      <c r="L897" s="45" t="n">
        <f aca="false">DATE(YEAR(B897),MONTH(B897),1)</f>
        <v>46204</v>
      </c>
      <c r="M897" s="31" t="n">
        <f aca="false">WEEKDAY(B897,2)</f>
        <v>1</v>
      </c>
      <c r="N897" s="31" t="str">
        <f aca="false">IF(G897&lt;=INDEX(Assumptions!$B$15:$B$18,MATCH(E897,Assumptions!$A$15:$A$18,0)),"Yes","No")</f>
        <v>Yes</v>
      </c>
      <c r="O897" s="31" t="str">
        <f aca="false">IF(H897="","Open",IF(H897&lt;=INDEX(Assumptions!$C$15:$C$18,MATCH(E897,Assumptions!$A$15:$A$18,0)),"Yes","No"))</f>
        <v>Open</v>
      </c>
    </row>
    <row r="898" customFormat="false" ht="15" hidden="false" customHeight="false" outlineLevel="0" collapsed="false">
      <c r="A898" s="31" t="s">
        <v>1048</v>
      </c>
      <c r="B898" s="44" t="n">
        <v>46216</v>
      </c>
      <c r="C898" s="31" t="s">
        <v>57</v>
      </c>
      <c r="D898" s="31" t="s">
        <v>68</v>
      </c>
      <c r="E898" s="31" t="s">
        <v>51</v>
      </c>
      <c r="F898" s="31" t="s">
        <v>119</v>
      </c>
      <c r="G898" s="31" t="n">
        <v>7</v>
      </c>
      <c r="H898" s="41" t="n">
        <v>6.2</v>
      </c>
      <c r="I898" s="31" t="s">
        <v>149</v>
      </c>
      <c r="J898" s="31" t="n">
        <v>5</v>
      </c>
      <c r="K898" s="31" t="s">
        <v>150</v>
      </c>
      <c r="L898" s="45" t="n">
        <f aca="false">DATE(YEAR(B898),MONTH(B898),1)</f>
        <v>46204</v>
      </c>
      <c r="M898" s="31" t="n">
        <f aca="false">WEEKDAY(B898,2)</f>
        <v>1</v>
      </c>
      <c r="N898" s="31" t="str">
        <f aca="false">IF(G898&lt;=INDEX(Assumptions!$B$15:$B$18,MATCH(E898,Assumptions!$A$15:$A$18,0)),"Yes","No")</f>
        <v>Yes</v>
      </c>
      <c r="O898" s="31" t="str">
        <f aca="false">IF(H898="","Open",IF(H898&lt;=INDEX(Assumptions!$C$15:$C$18,MATCH(E898,Assumptions!$A$15:$A$18,0)),"Yes","No"))</f>
        <v>Yes</v>
      </c>
    </row>
    <row r="899" customFormat="false" ht="15" hidden="false" customHeight="false" outlineLevel="0" collapsed="false">
      <c r="A899" s="31" t="s">
        <v>1049</v>
      </c>
      <c r="B899" s="44" t="n">
        <v>46216</v>
      </c>
      <c r="C899" s="31" t="s">
        <v>60</v>
      </c>
      <c r="D899" s="31" t="s">
        <v>66</v>
      </c>
      <c r="E899" s="31" t="s">
        <v>52</v>
      </c>
      <c r="F899" s="31" t="s">
        <v>136</v>
      </c>
      <c r="G899" s="31" t="n">
        <v>9</v>
      </c>
      <c r="H899" s="41" t="n">
        <v>1.8</v>
      </c>
      <c r="I899" s="31" t="s">
        <v>149</v>
      </c>
      <c r="J899" s="31"/>
      <c r="K899" s="31" t="s">
        <v>150</v>
      </c>
      <c r="L899" s="45" t="n">
        <f aca="false">DATE(YEAR(B899),MONTH(B899),1)</f>
        <v>46204</v>
      </c>
      <c r="M899" s="31" t="n">
        <f aca="false">WEEKDAY(B899,2)</f>
        <v>1</v>
      </c>
      <c r="N899" s="31" t="str">
        <f aca="false">IF(G899&lt;=INDEX(Assumptions!$B$15:$B$18,MATCH(E899,Assumptions!$A$15:$A$18,0)),"Yes","No")</f>
        <v>Yes</v>
      </c>
      <c r="O899" s="31" t="str">
        <f aca="false">IF(H899="","Open",IF(H899&lt;=INDEX(Assumptions!$C$15:$C$18,MATCH(E899,Assumptions!$A$15:$A$18,0)),"Yes","No"))</f>
        <v>Yes</v>
      </c>
    </row>
    <row r="900" customFormat="false" ht="15" hidden="false" customHeight="false" outlineLevel="0" collapsed="false">
      <c r="A900" s="31" t="s">
        <v>1050</v>
      </c>
      <c r="B900" s="44" t="n">
        <v>46216</v>
      </c>
      <c r="C900" s="31" t="s">
        <v>58</v>
      </c>
      <c r="D900" s="31" t="s">
        <v>67</v>
      </c>
      <c r="E900" s="31" t="s">
        <v>52</v>
      </c>
      <c r="F900" s="31" t="s">
        <v>124</v>
      </c>
      <c r="G900" s="31" t="n">
        <v>5</v>
      </c>
      <c r="H900" s="41" t="n">
        <v>38.5</v>
      </c>
      <c r="I900" s="31" t="s">
        <v>149</v>
      </c>
      <c r="J900" s="31"/>
      <c r="K900" s="31" t="s">
        <v>150</v>
      </c>
      <c r="L900" s="45" t="n">
        <f aca="false">DATE(YEAR(B900),MONTH(B900),1)</f>
        <v>46204</v>
      </c>
      <c r="M900" s="31" t="n">
        <f aca="false">WEEKDAY(B900,2)</f>
        <v>1</v>
      </c>
      <c r="N900" s="31" t="str">
        <f aca="false">IF(G900&lt;=INDEX(Assumptions!$B$15:$B$18,MATCH(E900,Assumptions!$A$15:$A$18,0)),"Yes","No")</f>
        <v>Yes</v>
      </c>
      <c r="O900" s="31" t="str">
        <f aca="false">IF(H900="","Open",IF(H900&lt;=INDEX(Assumptions!$C$15:$C$18,MATCH(E900,Assumptions!$A$15:$A$18,0)),"Yes","No"))</f>
        <v>Yes</v>
      </c>
    </row>
    <row r="901" customFormat="false" ht="15" hidden="false" customHeight="false" outlineLevel="0" collapsed="false">
      <c r="A901" s="31" t="s">
        <v>1051</v>
      </c>
      <c r="B901" s="44" t="n">
        <v>46216</v>
      </c>
      <c r="C901" s="31" t="s">
        <v>60</v>
      </c>
      <c r="D901" s="31" t="s">
        <v>68</v>
      </c>
      <c r="E901" s="31" t="s">
        <v>51</v>
      </c>
      <c r="F901" s="31" t="s">
        <v>119</v>
      </c>
      <c r="G901" s="31" t="n">
        <v>1</v>
      </c>
      <c r="H901" s="41" t="n">
        <v>0.6</v>
      </c>
      <c r="I901" s="31" t="s">
        <v>149</v>
      </c>
      <c r="J901" s="31" t="n">
        <v>4</v>
      </c>
      <c r="K901" s="31" t="s">
        <v>153</v>
      </c>
      <c r="L901" s="45" t="n">
        <f aca="false">DATE(YEAR(B901),MONTH(B901),1)</f>
        <v>46204</v>
      </c>
      <c r="M901" s="31" t="n">
        <f aca="false">WEEKDAY(B901,2)</f>
        <v>1</v>
      </c>
      <c r="N901" s="31" t="str">
        <f aca="false">IF(G901&lt;=INDEX(Assumptions!$B$15:$B$18,MATCH(E901,Assumptions!$A$15:$A$18,0)),"Yes","No")</f>
        <v>Yes</v>
      </c>
      <c r="O901" s="31" t="str">
        <f aca="false">IF(H901="","Open",IF(H901&lt;=INDEX(Assumptions!$C$15:$C$18,MATCH(E901,Assumptions!$A$15:$A$18,0)),"Yes","No"))</f>
        <v>Yes</v>
      </c>
    </row>
    <row r="902" customFormat="false" ht="15" hidden="false" customHeight="false" outlineLevel="0" collapsed="false">
      <c r="A902" s="31" t="s">
        <v>1052</v>
      </c>
      <c r="B902" s="44" t="n">
        <v>46216</v>
      </c>
      <c r="C902" s="31" t="s">
        <v>57</v>
      </c>
      <c r="D902" s="31" t="s">
        <v>65</v>
      </c>
      <c r="E902" s="31" t="s">
        <v>50</v>
      </c>
      <c r="F902" s="31" t="s">
        <v>134</v>
      </c>
      <c r="G902" s="31" t="n">
        <v>4</v>
      </c>
      <c r="H902" s="41" t="n">
        <v>8.5</v>
      </c>
      <c r="I902" s="31" t="s">
        <v>149</v>
      </c>
      <c r="J902" s="31"/>
      <c r="K902" s="31" t="s">
        <v>150</v>
      </c>
      <c r="L902" s="45" t="n">
        <f aca="false">DATE(YEAR(B902),MONTH(B902),1)</f>
        <v>46204</v>
      </c>
      <c r="M902" s="31" t="n">
        <f aca="false">WEEKDAY(B902,2)</f>
        <v>1</v>
      </c>
      <c r="N902" s="31" t="str">
        <f aca="false">IF(G902&lt;=INDEX(Assumptions!$B$15:$B$18,MATCH(E902,Assumptions!$A$15:$A$18,0)),"Yes","No")</f>
        <v>Yes</v>
      </c>
      <c r="O902" s="31" t="str">
        <f aca="false">IF(H902="","Open",IF(H902&lt;=INDEX(Assumptions!$C$15:$C$18,MATCH(E902,Assumptions!$A$15:$A$18,0)),"Yes","No"))</f>
        <v>No</v>
      </c>
    </row>
    <row r="903" customFormat="false" ht="15" hidden="false" customHeight="false" outlineLevel="0" collapsed="false">
      <c r="A903" s="31" t="s">
        <v>1053</v>
      </c>
      <c r="B903" s="44" t="n">
        <v>46216</v>
      </c>
      <c r="C903" s="31" t="s">
        <v>58</v>
      </c>
      <c r="D903" s="31" t="s">
        <v>67</v>
      </c>
      <c r="E903" s="31" t="s">
        <v>52</v>
      </c>
      <c r="F903" s="31" t="s">
        <v>119</v>
      </c>
      <c r="G903" s="31" t="n">
        <v>8</v>
      </c>
      <c r="H903" s="41" t="n">
        <v>33</v>
      </c>
      <c r="I903" s="31" t="s">
        <v>149</v>
      </c>
      <c r="J903" s="31" t="n">
        <v>4</v>
      </c>
      <c r="K903" s="31" t="s">
        <v>150</v>
      </c>
      <c r="L903" s="45" t="n">
        <f aca="false">DATE(YEAR(B903),MONTH(B903),1)</f>
        <v>46204</v>
      </c>
      <c r="M903" s="31" t="n">
        <f aca="false">WEEKDAY(B903,2)</f>
        <v>1</v>
      </c>
      <c r="N903" s="31" t="str">
        <f aca="false">IF(G903&lt;=INDEX(Assumptions!$B$15:$B$18,MATCH(E903,Assumptions!$A$15:$A$18,0)),"Yes","No")</f>
        <v>Yes</v>
      </c>
      <c r="O903" s="31" t="str">
        <f aca="false">IF(H903="","Open",IF(H903&lt;=INDEX(Assumptions!$C$15:$C$18,MATCH(E903,Assumptions!$A$15:$A$18,0)),"Yes","No"))</f>
        <v>Yes</v>
      </c>
    </row>
    <row r="904" customFormat="false" ht="15" hidden="false" customHeight="false" outlineLevel="0" collapsed="false">
      <c r="A904" s="31" t="s">
        <v>1054</v>
      </c>
      <c r="B904" s="44" t="n">
        <v>46216</v>
      </c>
      <c r="C904" s="31" t="s">
        <v>58</v>
      </c>
      <c r="D904" s="31" t="s">
        <v>68</v>
      </c>
      <c r="E904" s="31" t="s">
        <v>52</v>
      </c>
      <c r="F904" s="31" t="s">
        <v>123</v>
      </c>
      <c r="G904" s="31" t="n">
        <v>10</v>
      </c>
      <c r="H904" s="41" t="n">
        <v>10.1</v>
      </c>
      <c r="I904" s="31" t="s">
        <v>149</v>
      </c>
      <c r="J904" s="31"/>
      <c r="K904" s="31" t="s">
        <v>150</v>
      </c>
      <c r="L904" s="45" t="n">
        <f aca="false">DATE(YEAR(B904),MONTH(B904),1)</f>
        <v>46204</v>
      </c>
      <c r="M904" s="31" t="n">
        <f aca="false">WEEKDAY(B904,2)</f>
        <v>1</v>
      </c>
      <c r="N904" s="31" t="str">
        <f aca="false">IF(G904&lt;=INDEX(Assumptions!$B$15:$B$18,MATCH(E904,Assumptions!$A$15:$A$18,0)),"Yes","No")</f>
        <v>Yes</v>
      </c>
      <c r="O904" s="31" t="str">
        <f aca="false">IF(H904="","Open",IF(H904&lt;=INDEX(Assumptions!$C$15:$C$18,MATCH(E904,Assumptions!$A$15:$A$18,0)),"Yes","No"))</f>
        <v>Yes</v>
      </c>
    </row>
    <row r="905" customFormat="false" ht="15" hidden="false" customHeight="false" outlineLevel="0" collapsed="false">
      <c r="A905" s="31" t="s">
        <v>1055</v>
      </c>
      <c r="B905" s="44" t="n">
        <v>46216</v>
      </c>
      <c r="C905" s="31" t="s">
        <v>57</v>
      </c>
      <c r="D905" s="31" t="s">
        <v>66</v>
      </c>
      <c r="E905" s="31" t="s">
        <v>50</v>
      </c>
      <c r="F905" s="31" t="s">
        <v>122</v>
      </c>
      <c r="G905" s="31" t="n">
        <v>8</v>
      </c>
      <c r="H905" s="41" t="n">
        <v>4.7</v>
      </c>
      <c r="I905" s="31" t="s">
        <v>149</v>
      </c>
      <c r="J905" s="31" t="n">
        <v>5</v>
      </c>
      <c r="K905" s="31" t="s">
        <v>150</v>
      </c>
      <c r="L905" s="45" t="n">
        <f aca="false">DATE(YEAR(B905),MONTH(B905),1)</f>
        <v>46204</v>
      </c>
      <c r="M905" s="31" t="n">
        <f aca="false">WEEKDAY(B905,2)</f>
        <v>1</v>
      </c>
      <c r="N905" s="31" t="str">
        <f aca="false">IF(G905&lt;=INDEX(Assumptions!$B$15:$B$18,MATCH(E905,Assumptions!$A$15:$A$18,0)),"Yes","No")</f>
        <v>Yes</v>
      </c>
      <c r="O905" s="31" t="str">
        <f aca="false">IF(H905="","Open",IF(H905&lt;=INDEX(Assumptions!$C$15:$C$18,MATCH(E905,Assumptions!$A$15:$A$18,0)),"Yes","No"))</f>
        <v>Yes</v>
      </c>
    </row>
    <row r="906" customFormat="false" ht="15" hidden="false" customHeight="false" outlineLevel="0" collapsed="false">
      <c r="A906" s="31" t="s">
        <v>1056</v>
      </c>
      <c r="B906" s="44" t="n">
        <v>46216</v>
      </c>
      <c r="C906" s="31" t="s">
        <v>59</v>
      </c>
      <c r="D906" s="31" t="s">
        <v>65</v>
      </c>
      <c r="E906" s="31" t="s">
        <v>51</v>
      </c>
      <c r="F906" s="31" t="s">
        <v>130</v>
      </c>
      <c r="G906" s="31" t="n">
        <v>126</v>
      </c>
      <c r="H906" s="41" t="n">
        <v>11.7</v>
      </c>
      <c r="I906" s="31" t="s">
        <v>64</v>
      </c>
      <c r="J906" s="31" t="n">
        <v>4</v>
      </c>
      <c r="K906" s="31" t="s">
        <v>150</v>
      </c>
      <c r="L906" s="45" t="n">
        <f aca="false">DATE(YEAR(B906),MONTH(B906),1)</f>
        <v>46204</v>
      </c>
      <c r="M906" s="31" t="n">
        <f aca="false">WEEKDAY(B906,2)</f>
        <v>1</v>
      </c>
      <c r="N906" s="31" t="str">
        <f aca="false">IF(G906&lt;=INDEX(Assumptions!$B$15:$B$18,MATCH(E906,Assumptions!$A$15:$A$18,0)),"Yes","No")</f>
        <v>No</v>
      </c>
      <c r="O906" s="31" t="str">
        <f aca="false">IF(H906="","Open",IF(H906&lt;=INDEX(Assumptions!$C$15:$C$18,MATCH(E906,Assumptions!$A$15:$A$18,0)),"Yes","No"))</f>
        <v>Yes</v>
      </c>
    </row>
    <row r="907" customFormat="false" ht="15" hidden="false" customHeight="false" outlineLevel="0" collapsed="false">
      <c r="A907" s="31" t="s">
        <v>1057</v>
      </c>
      <c r="B907" s="44" t="n">
        <v>46216</v>
      </c>
      <c r="C907" s="31" t="s">
        <v>58</v>
      </c>
      <c r="D907" s="31" t="s">
        <v>66</v>
      </c>
      <c r="E907" s="31" t="s">
        <v>52</v>
      </c>
      <c r="F907" s="31" t="s">
        <v>117</v>
      </c>
      <c r="G907" s="31" t="n">
        <v>5</v>
      </c>
      <c r="H907" s="41" t="n">
        <v>6.5</v>
      </c>
      <c r="I907" s="31" t="s">
        <v>149</v>
      </c>
      <c r="J907" s="31" t="n">
        <v>5</v>
      </c>
      <c r="K907" s="31" t="s">
        <v>150</v>
      </c>
      <c r="L907" s="45" t="n">
        <f aca="false">DATE(YEAR(B907),MONTH(B907),1)</f>
        <v>46204</v>
      </c>
      <c r="M907" s="31" t="n">
        <f aca="false">WEEKDAY(B907,2)</f>
        <v>1</v>
      </c>
      <c r="N907" s="31" t="str">
        <f aca="false">IF(G907&lt;=INDEX(Assumptions!$B$15:$B$18,MATCH(E907,Assumptions!$A$15:$A$18,0)),"Yes","No")</f>
        <v>Yes</v>
      </c>
      <c r="O907" s="31" t="str">
        <f aca="false">IF(H907="","Open",IF(H907&lt;=INDEX(Assumptions!$C$15:$C$18,MATCH(E907,Assumptions!$A$15:$A$18,0)),"Yes","No"))</f>
        <v>Yes</v>
      </c>
    </row>
    <row r="908" customFormat="false" ht="15" hidden="false" customHeight="false" outlineLevel="0" collapsed="false">
      <c r="A908" s="31" t="s">
        <v>1058</v>
      </c>
      <c r="B908" s="44" t="n">
        <v>46216</v>
      </c>
      <c r="C908" s="31" t="s">
        <v>57</v>
      </c>
      <c r="D908" s="31" t="s">
        <v>65</v>
      </c>
      <c r="E908" s="31" t="s">
        <v>50</v>
      </c>
      <c r="F908" s="31" t="s">
        <v>130</v>
      </c>
      <c r="G908" s="31" t="n">
        <v>2</v>
      </c>
      <c r="H908" s="41" t="n">
        <v>6.2</v>
      </c>
      <c r="I908" s="31" t="s">
        <v>149</v>
      </c>
      <c r="J908" s="31" t="n">
        <v>5</v>
      </c>
      <c r="K908" s="31" t="s">
        <v>150</v>
      </c>
      <c r="L908" s="45" t="n">
        <f aca="false">DATE(YEAR(B908),MONTH(B908),1)</f>
        <v>46204</v>
      </c>
      <c r="M908" s="31" t="n">
        <f aca="false">WEEKDAY(B908,2)</f>
        <v>1</v>
      </c>
      <c r="N908" s="31" t="str">
        <f aca="false">IF(G908&lt;=INDEX(Assumptions!$B$15:$B$18,MATCH(E908,Assumptions!$A$15:$A$18,0)),"Yes","No")</f>
        <v>Yes</v>
      </c>
      <c r="O908" s="31" t="str">
        <f aca="false">IF(H908="","Open",IF(H908&lt;=INDEX(Assumptions!$C$15:$C$18,MATCH(E908,Assumptions!$A$15:$A$18,0)),"Yes","No"))</f>
        <v>Yes</v>
      </c>
    </row>
    <row r="909" customFormat="false" ht="15" hidden="false" customHeight="false" outlineLevel="0" collapsed="false">
      <c r="A909" s="31" t="s">
        <v>1059</v>
      </c>
      <c r="B909" s="44" t="n">
        <v>46216</v>
      </c>
      <c r="C909" s="31" t="s">
        <v>57</v>
      </c>
      <c r="D909" s="31" t="s">
        <v>65</v>
      </c>
      <c r="E909" s="31" t="s">
        <v>51</v>
      </c>
      <c r="F909" s="31" t="s">
        <v>137</v>
      </c>
      <c r="G909" s="31" t="n">
        <v>13</v>
      </c>
      <c r="H909" s="41" t="n">
        <v>7.6</v>
      </c>
      <c r="I909" s="31" t="s">
        <v>149</v>
      </c>
      <c r="J909" s="31"/>
      <c r="K909" s="31" t="s">
        <v>150</v>
      </c>
      <c r="L909" s="45" t="n">
        <f aca="false">DATE(YEAR(B909),MONTH(B909),1)</f>
        <v>46204</v>
      </c>
      <c r="M909" s="31" t="n">
        <f aca="false">WEEKDAY(B909,2)</f>
        <v>1</v>
      </c>
      <c r="N909" s="31" t="str">
        <f aca="false">IF(G909&lt;=INDEX(Assumptions!$B$15:$B$18,MATCH(E909,Assumptions!$A$15:$A$18,0)),"Yes","No")</f>
        <v>Yes</v>
      </c>
      <c r="O909" s="31" t="str">
        <f aca="false">IF(H909="","Open",IF(H909&lt;=INDEX(Assumptions!$C$15:$C$18,MATCH(E909,Assumptions!$A$15:$A$18,0)),"Yes","No"))</f>
        <v>Yes</v>
      </c>
    </row>
    <row r="910" customFormat="false" ht="15" hidden="false" customHeight="false" outlineLevel="0" collapsed="false">
      <c r="A910" s="31" t="s">
        <v>1060</v>
      </c>
      <c r="B910" s="44" t="n">
        <v>46216</v>
      </c>
      <c r="C910" s="31" t="s">
        <v>57</v>
      </c>
      <c r="D910" s="31" t="s">
        <v>66</v>
      </c>
      <c r="E910" s="31" t="s">
        <v>50</v>
      </c>
      <c r="F910" s="31" t="s">
        <v>123</v>
      </c>
      <c r="G910" s="31" t="n">
        <v>6</v>
      </c>
      <c r="H910" s="41" t="n">
        <v>1.5</v>
      </c>
      <c r="I910" s="31" t="s">
        <v>149</v>
      </c>
      <c r="J910" s="31" t="n">
        <v>5</v>
      </c>
      <c r="K910" s="31" t="s">
        <v>150</v>
      </c>
      <c r="L910" s="45" t="n">
        <f aca="false">DATE(YEAR(B910),MONTH(B910),1)</f>
        <v>46204</v>
      </c>
      <c r="M910" s="31" t="n">
        <f aca="false">WEEKDAY(B910,2)</f>
        <v>1</v>
      </c>
      <c r="N910" s="31" t="str">
        <f aca="false">IF(G910&lt;=INDEX(Assumptions!$B$15:$B$18,MATCH(E910,Assumptions!$A$15:$A$18,0)),"Yes","No")</f>
        <v>Yes</v>
      </c>
      <c r="O910" s="31" t="str">
        <f aca="false">IF(H910="","Open",IF(H910&lt;=INDEX(Assumptions!$C$15:$C$18,MATCH(E910,Assumptions!$A$15:$A$18,0)),"Yes","No"))</f>
        <v>Yes</v>
      </c>
    </row>
    <row r="911" customFormat="false" ht="15" hidden="false" customHeight="false" outlineLevel="0" collapsed="false">
      <c r="A911" s="31" t="s">
        <v>1061</v>
      </c>
      <c r="B911" s="44" t="n">
        <v>46216</v>
      </c>
      <c r="C911" s="31" t="s">
        <v>59</v>
      </c>
      <c r="D911" s="31" t="s">
        <v>65</v>
      </c>
      <c r="E911" s="31" t="s">
        <v>52</v>
      </c>
      <c r="F911" s="31" t="s">
        <v>135</v>
      </c>
      <c r="G911" s="31" t="n">
        <v>42</v>
      </c>
      <c r="H911" s="41" t="n">
        <v>17.5</v>
      </c>
      <c r="I911" s="31" t="s">
        <v>149</v>
      </c>
      <c r="J911" s="31" t="n">
        <v>4</v>
      </c>
      <c r="K911" s="31" t="s">
        <v>150</v>
      </c>
      <c r="L911" s="45" t="n">
        <f aca="false">DATE(YEAR(B911),MONTH(B911),1)</f>
        <v>46204</v>
      </c>
      <c r="M911" s="31" t="n">
        <f aca="false">WEEKDAY(B911,2)</f>
        <v>1</v>
      </c>
      <c r="N911" s="31" t="str">
        <f aca="false">IF(G911&lt;=INDEX(Assumptions!$B$15:$B$18,MATCH(E911,Assumptions!$A$15:$A$18,0)),"Yes","No")</f>
        <v>Yes</v>
      </c>
      <c r="O911" s="31" t="str">
        <f aca="false">IF(H911="","Open",IF(H911&lt;=INDEX(Assumptions!$C$15:$C$18,MATCH(E911,Assumptions!$A$15:$A$18,0)),"Yes","No"))</f>
        <v>Yes</v>
      </c>
    </row>
    <row r="912" customFormat="false" ht="15" hidden="false" customHeight="false" outlineLevel="0" collapsed="false">
      <c r="A912" s="31" t="s">
        <v>1062</v>
      </c>
      <c r="B912" s="44" t="n">
        <v>46216</v>
      </c>
      <c r="C912" s="31" t="s">
        <v>58</v>
      </c>
      <c r="D912" s="31" t="s">
        <v>66</v>
      </c>
      <c r="E912" s="31" t="s">
        <v>52</v>
      </c>
      <c r="F912" s="31" t="s">
        <v>135</v>
      </c>
      <c r="G912" s="31" t="n">
        <v>13</v>
      </c>
      <c r="H912" s="41" t="n">
        <v>32.8</v>
      </c>
      <c r="I912" s="31" t="s">
        <v>149</v>
      </c>
      <c r="J912" s="31"/>
      <c r="K912" s="31" t="s">
        <v>150</v>
      </c>
      <c r="L912" s="45" t="n">
        <f aca="false">DATE(YEAR(B912),MONTH(B912),1)</f>
        <v>46204</v>
      </c>
      <c r="M912" s="31" t="n">
        <f aca="false">WEEKDAY(B912,2)</f>
        <v>1</v>
      </c>
      <c r="N912" s="31" t="str">
        <f aca="false">IF(G912&lt;=INDEX(Assumptions!$B$15:$B$18,MATCH(E912,Assumptions!$A$15:$A$18,0)),"Yes","No")</f>
        <v>Yes</v>
      </c>
      <c r="O912" s="31" t="str">
        <f aca="false">IF(H912="","Open",IF(H912&lt;=INDEX(Assumptions!$C$15:$C$18,MATCH(E912,Assumptions!$A$15:$A$18,0)),"Yes","No"))</f>
        <v>Yes</v>
      </c>
    </row>
    <row r="913" customFormat="false" ht="15" hidden="false" customHeight="false" outlineLevel="0" collapsed="false">
      <c r="A913" s="31" t="s">
        <v>1063</v>
      </c>
      <c r="B913" s="44" t="n">
        <v>46216</v>
      </c>
      <c r="C913" s="31" t="s">
        <v>60</v>
      </c>
      <c r="D913" s="31" t="s">
        <v>65</v>
      </c>
      <c r="E913" s="31" t="s">
        <v>51</v>
      </c>
      <c r="F913" s="31" t="s">
        <v>126</v>
      </c>
      <c r="G913" s="31" t="n">
        <v>3</v>
      </c>
      <c r="H913" s="41" t="n">
        <v>9.9</v>
      </c>
      <c r="I913" s="31" t="s">
        <v>149</v>
      </c>
      <c r="J913" s="31" t="n">
        <v>5</v>
      </c>
      <c r="K913" s="31" t="s">
        <v>150</v>
      </c>
      <c r="L913" s="45" t="n">
        <f aca="false">DATE(YEAR(B913),MONTH(B913),1)</f>
        <v>46204</v>
      </c>
      <c r="M913" s="31" t="n">
        <f aca="false">WEEKDAY(B913,2)</f>
        <v>1</v>
      </c>
      <c r="N913" s="31" t="str">
        <f aca="false">IF(G913&lt;=INDEX(Assumptions!$B$15:$B$18,MATCH(E913,Assumptions!$A$15:$A$18,0)),"Yes","No")</f>
        <v>Yes</v>
      </c>
      <c r="O913" s="31" t="str">
        <f aca="false">IF(H913="","Open",IF(H913&lt;=INDEX(Assumptions!$C$15:$C$18,MATCH(E913,Assumptions!$A$15:$A$18,0)),"Yes","No"))</f>
        <v>Yes</v>
      </c>
    </row>
    <row r="914" customFormat="false" ht="15" hidden="false" customHeight="false" outlineLevel="0" collapsed="false">
      <c r="A914" s="31" t="s">
        <v>1064</v>
      </c>
      <c r="B914" s="44" t="n">
        <v>46216</v>
      </c>
      <c r="C914" s="31" t="s">
        <v>58</v>
      </c>
      <c r="D914" s="31" t="s">
        <v>65</v>
      </c>
      <c r="E914" s="31" t="s">
        <v>49</v>
      </c>
      <c r="F914" s="31" t="s">
        <v>129</v>
      </c>
      <c r="G914" s="31" t="n">
        <v>15</v>
      </c>
      <c r="H914" s="41" t="n">
        <v>3.2</v>
      </c>
      <c r="I914" s="31" t="s">
        <v>149</v>
      </c>
      <c r="J914" s="31" t="n">
        <v>5</v>
      </c>
      <c r="K914" s="31" t="s">
        <v>150</v>
      </c>
      <c r="L914" s="45" t="n">
        <f aca="false">DATE(YEAR(B914),MONTH(B914),1)</f>
        <v>46204</v>
      </c>
      <c r="M914" s="31" t="n">
        <f aca="false">WEEKDAY(B914,2)</f>
        <v>1</v>
      </c>
      <c r="N914" s="31" t="str">
        <f aca="false">IF(G914&lt;=INDEX(Assumptions!$B$15:$B$18,MATCH(E914,Assumptions!$A$15:$A$18,0)),"Yes","No")</f>
        <v>Yes</v>
      </c>
      <c r="O914" s="31" t="str">
        <f aca="false">IF(H914="","Open",IF(H914&lt;=INDEX(Assumptions!$C$15:$C$18,MATCH(E914,Assumptions!$A$15:$A$18,0)),"Yes","No"))</f>
        <v>Yes</v>
      </c>
    </row>
    <row r="915" customFormat="false" ht="15" hidden="false" customHeight="false" outlineLevel="0" collapsed="false">
      <c r="A915" s="31" t="s">
        <v>1065</v>
      </c>
      <c r="B915" s="44" t="n">
        <v>46216</v>
      </c>
      <c r="C915" s="31" t="s">
        <v>57</v>
      </c>
      <c r="D915" s="31" t="s">
        <v>68</v>
      </c>
      <c r="E915" s="31" t="s">
        <v>50</v>
      </c>
      <c r="F915" s="31" t="s">
        <v>119</v>
      </c>
      <c r="G915" s="31" t="n">
        <v>3</v>
      </c>
      <c r="H915" s="41" t="n">
        <v>1.2</v>
      </c>
      <c r="I915" s="31" t="s">
        <v>149</v>
      </c>
      <c r="J915" s="31"/>
      <c r="K915" s="31" t="s">
        <v>150</v>
      </c>
      <c r="L915" s="45" t="n">
        <f aca="false">DATE(YEAR(B915),MONTH(B915),1)</f>
        <v>46204</v>
      </c>
      <c r="M915" s="31" t="n">
        <f aca="false">WEEKDAY(B915,2)</f>
        <v>1</v>
      </c>
      <c r="N915" s="31" t="str">
        <f aca="false">IF(G915&lt;=INDEX(Assumptions!$B$15:$B$18,MATCH(E915,Assumptions!$A$15:$A$18,0)),"Yes","No")</f>
        <v>Yes</v>
      </c>
      <c r="O915" s="31" t="str">
        <f aca="false">IF(H915="","Open",IF(H915&lt;=INDEX(Assumptions!$C$15:$C$18,MATCH(E915,Assumptions!$A$15:$A$18,0)),"Yes","No"))</f>
        <v>Yes</v>
      </c>
    </row>
    <row r="916" customFormat="false" ht="15" hidden="false" customHeight="false" outlineLevel="0" collapsed="false">
      <c r="A916" s="31" t="s">
        <v>1066</v>
      </c>
      <c r="B916" s="44" t="n">
        <v>46216</v>
      </c>
      <c r="C916" s="31" t="s">
        <v>59</v>
      </c>
      <c r="D916" s="31" t="s">
        <v>66</v>
      </c>
      <c r="E916" s="31" t="s">
        <v>51</v>
      </c>
      <c r="F916" s="31" t="s">
        <v>122</v>
      </c>
      <c r="G916" s="31" t="n">
        <v>67</v>
      </c>
      <c r="H916" s="41" t="n">
        <v>2.2</v>
      </c>
      <c r="I916" s="31" t="s">
        <v>149</v>
      </c>
      <c r="J916" s="31"/>
      <c r="K916" s="31" t="s">
        <v>150</v>
      </c>
      <c r="L916" s="45" t="n">
        <f aca="false">DATE(YEAR(B916),MONTH(B916),1)</f>
        <v>46204</v>
      </c>
      <c r="M916" s="31" t="n">
        <f aca="false">WEEKDAY(B916,2)</f>
        <v>1</v>
      </c>
      <c r="N916" s="31" t="str">
        <f aca="false">IF(G916&lt;=INDEX(Assumptions!$B$15:$B$18,MATCH(E916,Assumptions!$A$15:$A$18,0)),"Yes","No")</f>
        <v>No</v>
      </c>
      <c r="O916" s="31" t="str">
        <f aca="false">IF(H916="","Open",IF(H916&lt;=INDEX(Assumptions!$C$15:$C$18,MATCH(E916,Assumptions!$A$15:$A$18,0)),"Yes","No"))</f>
        <v>Yes</v>
      </c>
    </row>
    <row r="917" customFormat="false" ht="15" hidden="false" customHeight="false" outlineLevel="0" collapsed="false">
      <c r="A917" s="31" t="s">
        <v>1067</v>
      </c>
      <c r="B917" s="44" t="n">
        <v>46216</v>
      </c>
      <c r="C917" s="31" t="s">
        <v>59</v>
      </c>
      <c r="D917" s="31" t="s">
        <v>67</v>
      </c>
      <c r="E917" s="31" t="s">
        <v>51</v>
      </c>
      <c r="F917" s="31" t="s">
        <v>137</v>
      </c>
      <c r="G917" s="31" t="n">
        <v>254</v>
      </c>
      <c r="H917" s="41" t="n">
        <v>24.7</v>
      </c>
      <c r="I917" s="31" t="s">
        <v>149</v>
      </c>
      <c r="J917" s="31" t="n">
        <v>3</v>
      </c>
      <c r="K917" s="31" t="s">
        <v>150</v>
      </c>
      <c r="L917" s="45" t="n">
        <f aca="false">DATE(YEAR(B917),MONTH(B917),1)</f>
        <v>46204</v>
      </c>
      <c r="M917" s="31" t="n">
        <f aca="false">WEEKDAY(B917,2)</f>
        <v>1</v>
      </c>
      <c r="N917" s="31" t="str">
        <f aca="false">IF(G917&lt;=INDEX(Assumptions!$B$15:$B$18,MATCH(E917,Assumptions!$A$15:$A$18,0)),"Yes","No")</f>
        <v>No</v>
      </c>
      <c r="O917" s="31" t="str">
        <f aca="false">IF(H917="","Open",IF(H917&lt;=INDEX(Assumptions!$C$15:$C$18,MATCH(E917,Assumptions!$A$15:$A$18,0)),"Yes","No"))</f>
        <v>No</v>
      </c>
    </row>
    <row r="918" customFormat="false" ht="15" hidden="false" customHeight="false" outlineLevel="0" collapsed="false">
      <c r="A918" s="31" t="s">
        <v>1068</v>
      </c>
      <c r="B918" s="44" t="n">
        <v>46216</v>
      </c>
      <c r="C918" s="31" t="s">
        <v>59</v>
      </c>
      <c r="D918" s="31" t="s">
        <v>68</v>
      </c>
      <c r="E918" s="31" t="s">
        <v>52</v>
      </c>
      <c r="F918" s="31" t="s">
        <v>122</v>
      </c>
      <c r="G918" s="31" t="n">
        <v>35</v>
      </c>
      <c r="H918" s="41" t="n">
        <v>4.6</v>
      </c>
      <c r="I918" s="31" t="s">
        <v>149</v>
      </c>
      <c r="J918" s="31"/>
      <c r="K918" s="31" t="s">
        <v>150</v>
      </c>
      <c r="L918" s="45" t="n">
        <f aca="false">DATE(YEAR(B918),MONTH(B918),1)</f>
        <v>46204</v>
      </c>
      <c r="M918" s="31" t="n">
        <f aca="false">WEEKDAY(B918,2)</f>
        <v>1</v>
      </c>
      <c r="N918" s="31" t="str">
        <f aca="false">IF(G918&lt;=INDEX(Assumptions!$B$15:$B$18,MATCH(E918,Assumptions!$A$15:$A$18,0)),"Yes","No")</f>
        <v>Yes</v>
      </c>
      <c r="O918" s="31" t="str">
        <f aca="false">IF(H918="","Open",IF(H918&lt;=INDEX(Assumptions!$C$15:$C$18,MATCH(E918,Assumptions!$A$15:$A$18,0)),"Yes","No"))</f>
        <v>Yes</v>
      </c>
    </row>
    <row r="919" customFormat="false" ht="15" hidden="false" customHeight="false" outlineLevel="0" collapsed="false">
      <c r="A919" s="31" t="s">
        <v>1069</v>
      </c>
      <c r="B919" s="44" t="n">
        <v>46216</v>
      </c>
      <c r="C919" s="31" t="s">
        <v>57</v>
      </c>
      <c r="D919" s="31" t="s">
        <v>66</v>
      </c>
      <c r="E919" s="31" t="s">
        <v>50</v>
      </c>
      <c r="F919" s="31" t="s">
        <v>123</v>
      </c>
      <c r="G919" s="31" t="n">
        <v>2</v>
      </c>
      <c r="H919" s="41" t="n">
        <v>2.3</v>
      </c>
      <c r="I919" s="31" t="s">
        <v>149</v>
      </c>
      <c r="J919" s="31"/>
      <c r="K919" s="31" t="s">
        <v>150</v>
      </c>
      <c r="L919" s="45" t="n">
        <f aca="false">DATE(YEAR(B919),MONTH(B919),1)</f>
        <v>46204</v>
      </c>
      <c r="M919" s="31" t="n">
        <f aca="false">WEEKDAY(B919,2)</f>
        <v>1</v>
      </c>
      <c r="N919" s="31" t="str">
        <f aca="false">IF(G919&lt;=INDEX(Assumptions!$B$15:$B$18,MATCH(E919,Assumptions!$A$15:$A$18,0)),"Yes","No")</f>
        <v>Yes</v>
      </c>
      <c r="O919" s="31" t="str">
        <f aca="false">IF(H919="","Open",IF(H919&lt;=INDEX(Assumptions!$C$15:$C$18,MATCH(E919,Assumptions!$A$15:$A$18,0)),"Yes","No"))</f>
        <v>Yes</v>
      </c>
    </row>
    <row r="920" customFormat="false" ht="15" hidden="false" customHeight="false" outlineLevel="0" collapsed="false">
      <c r="A920" s="31" t="s">
        <v>1070</v>
      </c>
      <c r="B920" s="44" t="n">
        <v>46217</v>
      </c>
      <c r="C920" s="31" t="s">
        <v>58</v>
      </c>
      <c r="D920" s="31" t="s">
        <v>69</v>
      </c>
      <c r="E920" s="31" t="s">
        <v>51</v>
      </c>
      <c r="F920" s="31" t="s">
        <v>119</v>
      </c>
      <c r="G920" s="31" t="n">
        <v>13</v>
      </c>
      <c r="H920" s="41" t="n">
        <v>8.7</v>
      </c>
      <c r="I920" s="31" t="s">
        <v>149</v>
      </c>
      <c r="J920" s="31"/>
      <c r="K920" s="31" t="s">
        <v>150</v>
      </c>
      <c r="L920" s="45" t="n">
        <f aca="false">DATE(YEAR(B920),MONTH(B920),1)</f>
        <v>46204</v>
      </c>
      <c r="M920" s="31" t="n">
        <f aca="false">WEEKDAY(B920,2)</f>
        <v>2</v>
      </c>
      <c r="N920" s="31" t="str">
        <f aca="false">IF(G920&lt;=INDEX(Assumptions!$B$15:$B$18,MATCH(E920,Assumptions!$A$15:$A$18,0)),"Yes","No")</f>
        <v>Yes</v>
      </c>
      <c r="O920" s="31" t="str">
        <f aca="false">IF(H920="","Open",IF(H920&lt;=INDEX(Assumptions!$C$15:$C$18,MATCH(E920,Assumptions!$A$15:$A$18,0)),"Yes","No"))</f>
        <v>Yes</v>
      </c>
    </row>
    <row r="921" customFormat="false" ht="15" hidden="false" customHeight="false" outlineLevel="0" collapsed="false">
      <c r="A921" s="31" t="s">
        <v>1071</v>
      </c>
      <c r="B921" s="44" t="n">
        <v>46217</v>
      </c>
      <c r="C921" s="31" t="s">
        <v>58</v>
      </c>
      <c r="D921" s="31" t="s">
        <v>69</v>
      </c>
      <c r="E921" s="31" t="s">
        <v>51</v>
      </c>
      <c r="F921" s="31" t="s">
        <v>135</v>
      </c>
      <c r="G921" s="31" t="n">
        <v>24</v>
      </c>
      <c r="H921" s="41" t="n">
        <v>40.2</v>
      </c>
      <c r="I921" s="31" t="s">
        <v>149</v>
      </c>
      <c r="J921" s="31" t="n">
        <v>4</v>
      </c>
      <c r="K921" s="31" t="s">
        <v>150</v>
      </c>
      <c r="L921" s="45" t="n">
        <f aca="false">DATE(YEAR(B921),MONTH(B921),1)</f>
        <v>46204</v>
      </c>
      <c r="M921" s="31" t="n">
        <f aca="false">WEEKDAY(B921,2)</f>
        <v>2</v>
      </c>
      <c r="N921" s="31" t="str">
        <f aca="false">IF(G921&lt;=INDEX(Assumptions!$B$15:$B$18,MATCH(E921,Assumptions!$A$15:$A$18,0)),"Yes","No")</f>
        <v>Yes</v>
      </c>
      <c r="O921" s="31" t="str">
        <f aca="false">IF(H921="","Open",IF(H921&lt;=INDEX(Assumptions!$C$15:$C$18,MATCH(E921,Assumptions!$A$15:$A$18,0)),"Yes","No"))</f>
        <v>No</v>
      </c>
    </row>
    <row r="922" customFormat="false" ht="15" hidden="false" customHeight="false" outlineLevel="0" collapsed="false">
      <c r="A922" s="31" t="s">
        <v>1072</v>
      </c>
      <c r="B922" s="44" t="n">
        <v>46217</v>
      </c>
      <c r="C922" s="31" t="s">
        <v>57</v>
      </c>
      <c r="D922" s="31" t="s">
        <v>69</v>
      </c>
      <c r="E922" s="31" t="s">
        <v>51</v>
      </c>
      <c r="F922" s="31" t="s">
        <v>130</v>
      </c>
      <c r="G922" s="31" t="n">
        <v>1</v>
      </c>
      <c r="H922" s="41" t="n">
        <v>117.7</v>
      </c>
      <c r="I922" s="31" t="s">
        <v>149</v>
      </c>
      <c r="J922" s="31" t="n">
        <v>5</v>
      </c>
      <c r="K922" s="31" t="s">
        <v>150</v>
      </c>
      <c r="L922" s="45" t="n">
        <f aca="false">DATE(YEAR(B922),MONTH(B922),1)</f>
        <v>46204</v>
      </c>
      <c r="M922" s="31" t="n">
        <f aca="false">WEEKDAY(B922,2)</f>
        <v>2</v>
      </c>
      <c r="N922" s="31" t="str">
        <f aca="false">IF(G922&lt;=INDEX(Assumptions!$B$15:$B$18,MATCH(E922,Assumptions!$A$15:$A$18,0)),"Yes","No")</f>
        <v>Yes</v>
      </c>
      <c r="O922" s="31" t="str">
        <f aca="false">IF(H922="","Open",IF(H922&lt;=INDEX(Assumptions!$C$15:$C$18,MATCH(E922,Assumptions!$A$15:$A$18,0)),"Yes","No"))</f>
        <v>No</v>
      </c>
    </row>
    <row r="923" customFormat="false" ht="15" hidden="false" customHeight="false" outlineLevel="0" collapsed="false">
      <c r="A923" s="31" t="s">
        <v>1073</v>
      </c>
      <c r="B923" s="44" t="n">
        <v>46217</v>
      </c>
      <c r="C923" s="31" t="s">
        <v>60</v>
      </c>
      <c r="D923" s="31" t="s">
        <v>65</v>
      </c>
      <c r="E923" s="31" t="s">
        <v>51</v>
      </c>
      <c r="F923" s="31" t="s">
        <v>135</v>
      </c>
      <c r="G923" s="31" t="n">
        <v>2</v>
      </c>
      <c r="H923" s="41" t="n">
        <v>15.9</v>
      </c>
      <c r="I923" s="31" t="s">
        <v>149</v>
      </c>
      <c r="J923" s="31" t="n">
        <v>4</v>
      </c>
      <c r="K923" s="31" t="s">
        <v>150</v>
      </c>
      <c r="L923" s="45" t="n">
        <f aca="false">DATE(YEAR(B923),MONTH(B923),1)</f>
        <v>46204</v>
      </c>
      <c r="M923" s="31" t="n">
        <f aca="false">WEEKDAY(B923,2)</f>
        <v>2</v>
      </c>
      <c r="N923" s="31" t="str">
        <f aca="false">IF(G923&lt;=INDEX(Assumptions!$B$15:$B$18,MATCH(E923,Assumptions!$A$15:$A$18,0)),"Yes","No")</f>
        <v>Yes</v>
      </c>
      <c r="O923" s="31" t="str">
        <f aca="false">IF(H923="","Open",IF(H923&lt;=INDEX(Assumptions!$C$15:$C$18,MATCH(E923,Assumptions!$A$15:$A$18,0)),"Yes","No"))</f>
        <v>Yes</v>
      </c>
    </row>
    <row r="924" customFormat="false" ht="15" hidden="false" customHeight="false" outlineLevel="0" collapsed="false">
      <c r="A924" s="31" t="s">
        <v>1074</v>
      </c>
      <c r="B924" s="44" t="n">
        <v>46217</v>
      </c>
      <c r="C924" s="31" t="s">
        <v>60</v>
      </c>
      <c r="D924" s="31" t="s">
        <v>69</v>
      </c>
      <c r="E924" s="31" t="s">
        <v>51</v>
      </c>
      <c r="F924" s="31" t="s">
        <v>120</v>
      </c>
      <c r="G924" s="31" t="n">
        <v>2</v>
      </c>
      <c r="H924" s="41" t="n">
        <v>90.8</v>
      </c>
      <c r="I924" s="31" t="s">
        <v>149</v>
      </c>
      <c r="J924" s="31" t="n">
        <v>3</v>
      </c>
      <c r="K924" s="31" t="s">
        <v>150</v>
      </c>
      <c r="L924" s="45" t="n">
        <f aca="false">DATE(YEAR(B924),MONTH(B924),1)</f>
        <v>46204</v>
      </c>
      <c r="M924" s="31" t="n">
        <f aca="false">WEEKDAY(B924,2)</f>
        <v>2</v>
      </c>
      <c r="N924" s="31" t="str">
        <f aca="false">IF(G924&lt;=INDEX(Assumptions!$B$15:$B$18,MATCH(E924,Assumptions!$A$15:$A$18,0)),"Yes","No")</f>
        <v>Yes</v>
      </c>
      <c r="O924" s="31" t="str">
        <f aca="false">IF(H924="","Open",IF(H924&lt;=INDEX(Assumptions!$C$15:$C$18,MATCH(E924,Assumptions!$A$15:$A$18,0)),"Yes","No"))</f>
        <v>No</v>
      </c>
    </row>
    <row r="925" customFormat="false" ht="15" hidden="false" customHeight="false" outlineLevel="0" collapsed="false">
      <c r="A925" s="31" t="s">
        <v>1075</v>
      </c>
      <c r="B925" s="44" t="n">
        <v>46217</v>
      </c>
      <c r="C925" s="31" t="s">
        <v>58</v>
      </c>
      <c r="D925" s="31" t="s">
        <v>67</v>
      </c>
      <c r="E925" s="31" t="s">
        <v>51</v>
      </c>
      <c r="F925" s="31" t="s">
        <v>117</v>
      </c>
      <c r="G925" s="31" t="n">
        <v>1</v>
      </c>
      <c r="H925" s="41" t="n">
        <v>3.4</v>
      </c>
      <c r="I925" s="31" t="s">
        <v>149</v>
      </c>
      <c r="J925" s="31" t="n">
        <v>5</v>
      </c>
      <c r="K925" s="31" t="s">
        <v>150</v>
      </c>
      <c r="L925" s="45" t="n">
        <f aca="false">DATE(YEAR(B925),MONTH(B925),1)</f>
        <v>46204</v>
      </c>
      <c r="M925" s="31" t="n">
        <f aca="false">WEEKDAY(B925,2)</f>
        <v>2</v>
      </c>
      <c r="N925" s="31" t="str">
        <f aca="false">IF(G925&lt;=INDEX(Assumptions!$B$15:$B$18,MATCH(E925,Assumptions!$A$15:$A$18,0)),"Yes","No")</f>
        <v>Yes</v>
      </c>
      <c r="O925" s="31" t="str">
        <f aca="false">IF(H925="","Open",IF(H925&lt;=INDEX(Assumptions!$C$15:$C$18,MATCH(E925,Assumptions!$A$15:$A$18,0)),"Yes","No"))</f>
        <v>Yes</v>
      </c>
    </row>
    <row r="926" customFormat="false" ht="15" hidden="false" customHeight="false" outlineLevel="0" collapsed="false">
      <c r="A926" s="31" t="s">
        <v>1076</v>
      </c>
      <c r="B926" s="44" t="n">
        <v>46217</v>
      </c>
      <c r="C926" s="31" t="s">
        <v>58</v>
      </c>
      <c r="D926" s="31" t="s">
        <v>69</v>
      </c>
      <c r="E926" s="31" t="s">
        <v>51</v>
      </c>
      <c r="F926" s="31" t="s">
        <v>129</v>
      </c>
      <c r="G926" s="31" t="n">
        <v>16</v>
      </c>
      <c r="H926" s="41" t="n">
        <v>8.6</v>
      </c>
      <c r="I926" s="31" t="s">
        <v>149</v>
      </c>
      <c r="J926" s="31"/>
      <c r="K926" s="31" t="s">
        <v>150</v>
      </c>
      <c r="L926" s="45" t="n">
        <f aca="false">DATE(YEAR(B926),MONTH(B926),1)</f>
        <v>46204</v>
      </c>
      <c r="M926" s="31" t="n">
        <f aca="false">WEEKDAY(B926,2)</f>
        <v>2</v>
      </c>
      <c r="N926" s="31" t="str">
        <f aca="false">IF(G926&lt;=INDEX(Assumptions!$B$15:$B$18,MATCH(E926,Assumptions!$A$15:$A$18,0)),"Yes","No")</f>
        <v>Yes</v>
      </c>
      <c r="O926" s="31" t="str">
        <f aca="false">IF(H926="","Open",IF(H926&lt;=INDEX(Assumptions!$C$15:$C$18,MATCH(E926,Assumptions!$A$15:$A$18,0)),"Yes","No"))</f>
        <v>Yes</v>
      </c>
    </row>
    <row r="927" customFormat="false" ht="15" hidden="false" customHeight="false" outlineLevel="0" collapsed="false">
      <c r="A927" s="31" t="s">
        <v>1077</v>
      </c>
      <c r="B927" s="44" t="n">
        <v>46217</v>
      </c>
      <c r="C927" s="31" t="s">
        <v>57</v>
      </c>
      <c r="D927" s="31" t="s">
        <v>65</v>
      </c>
      <c r="E927" s="31" t="s">
        <v>51</v>
      </c>
      <c r="F927" s="31" t="s">
        <v>120</v>
      </c>
      <c r="G927" s="31" t="n">
        <v>3</v>
      </c>
      <c r="H927" s="41" t="n">
        <v>13.1</v>
      </c>
      <c r="I927" s="31" t="s">
        <v>149</v>
      </c>
      <c r="J927" s="31"/>
      <c r="K927" s="31" t="s">
        <v>150</v>
      </c>
      <c r="L927" s="45" t="n">
        <f aca="false">DATE(YEAR(B927),MONTH(B927),1)</f>
        <v>46204</v>
      </c>
      <c r="M927" s="31" t="n">
        <f aca="false">WEEKDAY(B927,2)</f>
        <v>2</v>
      </c>
      <c r="N927" s="31" t="str">
        <f aca="false">IF(G927&lt;=INDEX(Assumptions!$B$15:$B$18,MATCH(E927,Assumptions!$A$15:$A$18,0)),"Yes","No")</f>
        <v>Yes</v>
      </c>
      <c r="O927" s="31" t="str">
        <f aca="false">IF(H927="","Open",IF(H927&lt;=INDEX(Assumptions!$C$15:$C$18,MATCH(E927,Assumptions!$A$15:$A$18,0)),"Yes","No"))</f>
        <v>Yes</v>
      </c>
    </row>
    <row r="928" customFormat="false" ht="15" hidden="false" customHeight="false" outlineLevel="0" collapsed="false">
      <c r="A928" s="31" t="s">
        <v>1078</v>
      </c>
      <c r="B928" s="44" t="n">
        <v>46217</v>
      </c>
      <c r="C928" s="31" t="s">
        <v>60</v>
      </c>
      <c r="D928" s="31" t="s">
        <v>65</v>
      </c>
      <c r="E928" s="31" t="s">
        <v>51</v>
      </c>
      <c r="F928" s="31" t="s">
        <v>120</v>
      </c>
      <c r="G928" s="31" t="n">
        <v>2</v>
      </c>
      <c r="H928" s="41" t="n">
        <v>11.2</v>
      </c>
      <c r="I928" s="31" t="s">
        <v>149</v>
      </c>
      <c r="J928" s="31" t="n">
        <v>3</v>
      </c>
      <c r="K928" s="31" t="s">
        <v>150</v>
      </c>
      <c r="L928" s="45" t="n">
        <f aca="false">DATE(YEAR(B928),MONTH(B928),1)</f>
        <v>46204</v>
      </c>
      <c r="M928" s="31" t="n">
        <f aca="false">WEEKDAY(B928,2)</f>
        <v>2</v>
      </c>
      <c r="N928" s="31" t="str">
        <f aca="false">IF(G928&lt;=INDEX(Assumptions!$B$15:$B$18,MATCH(E928,Assumptions!$A$15:$A$18,0)),"Yes","No")</f>
        <v>Yes</v>
      </c>
      <c r="O928" s="31" t="str">
        <f aca="false">IF(H928="","Open",IF(H928&lt;=INDEX(Assumptions!$C$15:$C$18,MATCH(E928,Assumptions!$A$15:$A$18,0)),"Yes","No"))</f>
        <v>Yes</v>
      </c>
    </row>
    <row r="929" customFormat="false" ht="15" hidden="false" customHeight="false" outlineLevel="0" collapsed="false">
      <c r="A929" s="31" t="s">
        <v>1079</v>
      </c>
      <c r="B929" s="44" t="n">
        <v>46217</v>
      </c>
      <c r="C929" s="31" t="s">
        <v>60</v>
      </c>
      <c r="D929" s="31" t="s">
        <v>67</v>
      </c>
      <c r="E929" s="31" t="s">
        <v>52</v>
      </c>
      <c r="F929" s="31" t="s">
        <v>122</v>
      </c>
      <c r="G929" s="31" t="n">
        <v>5</v>
      </c>
      <c r="H929" s="41" t="n">
        <v>51.7</v>
      </c>
      <c r="I929" s="31" t="s">
        <v>149</v>
      </c>
      <c r="J929" s="31" t="n">
        <v>5</v>
      </c>
      <c r="K929" s="31" t="s">
        <v>150</v>
      </c>
      <c r="L929" s="45" t="n">
        <f aca="false">DATE(YEAR(B929),MONTH(B929),1)</f>
        <v>46204</v>
      </c>
      <c r="M929" s="31" t="n">
        <f aca="false">WEEKDAY(B929,2)</f>
        <v>2</v>
      </c>
      <c r="N929" s="31" t="str">
        <f aca="false">IF(G929&lt;=INDEX(Assumptions!$B$15:$B$18,MATCH(E929,Assumptions!$A$15:$A$18,0)),"Yes","No")</f>
        <v>Yes</v>
      </c>
      <c r="O929" s="31" t="str">
        <f aca="false">IF(H929="","Open",IF(H929&lt;=INDEX(Assumptions!$C$15:$C$18,MATCH(E929,Assumptions!$A$15:$A$18,0)),"Yes","No"))</f>
        <v>Yes</v>
      </c>
    </row>
    <row r="930" customFormat="false" ht="15" hidden="false" customHeight="false" outlineLevel="0" collapsed="false">
      <c r="A930" s="31" t="s">
        <v>1080</v>
      </c>
      <c r="B930" s="44" t="n">
        <v>46217</v>
      </c>
      <c r="C930" s="31" t="s">
        <v>57</v>
      </c>
      <c r="D930" s="31" t="s">
        <v>65</v>
      </c>
      <c r="E930" s="31" t="s">
        <v>52</v>
      </c>
      <c r="F930" s="31" t="s">
        <v>133</v>
      </c>
      <c r="G930" s="31" t="n">
        <v>2</v>
      </c>
      <c r="H930" s="41" t="n">
        <v>19.5</v>
      </c>
      <c r="I930" s="31" t="s">
        <v>149</v>
      </c>
      <c r="J930" s="31" t="n">
        <v>5</v>
      </c>
      <c r="K930" s="31" t="s">
        <v>150</v>
      </c>
      <c r="L930" s="45" t="n">
        <f aca="false">DATE(YEAR(B930),MONTH(B930),1)</f>
        <v>46204</v>
      </c>
      <c r="M930" s="31" t="n">
        <f aca="false">WEEKDAY(B930,2)</f>
        <v>2</v>
      </c>
      <c r="N930" s="31" t="str">
        <f aca="false">IF(G930&lt;=INDEX(Assumptions!$B$15:$B$18,MATCH(E930,Assumptions!$A$15:$A$18,0)),"Yes","No")</f>
        <v>Yes</v>
      </c>
      <c r="O930" s="31" t="str">
        <f aca="false">IF(H930="","Open",IF(H930&lt;=INDEX(Assumptions!$C$15:$C$18,MATCH(E930,Assumptions!$A$15:$A$18,0)),"Yes","No"))</f>
        <v>Yes</v>
      </c>
    </row>
    <row r="931" customFormat="false" ht="15" hidden="false" customHeight="false" outlineLevel="0" collapsed="false">
      <c r="A931" s="31" t="s">
        <v>1081</v>
      </c>
      <c r="B931" s="44" t="n">
        <v>46217</v>
      </c>
      <c r="C931" s="31" t="s">
        <v>58</v>
      </c>
      <c r="D931" s="31" t="s">
        <v>69</v>
      </c>
      <c r="E931" s="31" t="s">
        <v>52</v>
      </c>
      <c r="F931" s="31" t="s">
        <v>119</v>
      </c>
      <c r="G931" s="31" t="n">
        <v>39</v>
      </c>
      <c r="H931" s="41" t="n">
        <v>8.9</v>
      </c>
      <c r="I931" s="31" t="s">
        <v>149</v>
      </c>
      <c r="J931" s="31" t="n">
        <v>5</v>
      </c>
      <c r="K931" s="31" t="s">
        <v>150</v>
      </c>
      <c r="L931" s="45" t="n">
        <f aca="false">DATE(YEAR(B931),MONTH(B931),1)</f>
        <v>46204</v>
      </c>
      <c r="M931" s="31" t="n">
        <f aca="false">WEEKDAY(B931,2)</f>
        <v>2</v>
      </c>
      <c r="N931" s="31" t="str">
        <f aca="false">IF(G931&lt;=INDEX(Assumptions!$B$15:$B$18,MATCH(E931,Assumptions!$A$15:$A$18,0)),"Yes","No")</f>
        <v>Yes</v>
      </c>
      <c r="O931" s="31" t="str">
        <f aca="false">IF(H931="","Open",IF(H931&lt;=INDEX(Assumptions!$C$15:$C$18,MATCH(E931,Assumptions!$A$15:$A$18,0)),"Yes","No"))</f>
        <v>Yes</v>
      </c>
    </row>
    <row r="932" customFormat="false" ht="15" hidden="false" customHeight="false" outlineLevel="0" collapsed="false">
      <c r="A932" s="31" t="s">
        <v>1082</v>
      </c>
      <c r="B932" s="44" t="n">
        <v>46217</v>
      </c>
      <c r="C932" s="31" t="s">
        <v>59</v>
      </c>
      <c r="D932" s="31" t="s">
        <v>68</v>
      </c>
      <c r="E932" s="31" t="s">
        <v>51</v>
      </c>
      <c r="F932" s="31" t="s">
        <v>124</v>
      </c>
      <c r="G932" s="31" t="n">
        <v>80</v>
      </c>
      <c r="H932" s="41" t="n">
        <v>6.9</v>
      </c>
      <c r="I932" s="31" t="s">
        <v>149</v>
      </c>
      <c r="J932" s="31"/>
      <c r="K932" s="31" t="s">
        <v>150</v>
      </c>
      <c r="L932" s="45" t="n">
        <f aca="false">DATE(YEAR(B932),MONTH(B932),1)</f>
        <v>46204</v>
      </c>
      <c r="M932" s="31" t="n">
        <f aca="false">WEEKDAY(B932,2)</f>
        <v>2</v>
      </c>
      <c r="N932" s="31" t="str">
        <f aca="false">IF(G932&lt;=INDEX(Assumptions!$B$15:$B$18,MATCH(E932,Assumptions!$A$15:$A$18,0)),"Yes","No")</f>
        <v>No</v>
      </c>
      <c r="O932" s="31" t="str">
        <f aca="false">IF(H932="","Open",IF(H932&lt;=INDEX(Assumptions!$C$15:$C$18,MATCH(E932,Assumptions!$A$15:$A$18,0)),"Yes","No"))</f>
        <v>Yes</v>
      </c>
    </row>
    <row r="933" customFormat="false" ht="15" hidden="false" customHeight="false" outlineLevel="0" collapsed="false">
      <c r="A933" s="31" t="s">
        <v>1083</v>
      </c>
      <c r="B933" s="44" t="n">
        <v>46217</v>
      </c>
      <c r="C933" s="31" t="s">
        <v>60</v>
      </c>
      <c r="D933" s="31" t="s">
        <v>66</v>
      </c>
      <c r="E933" s="31" t="s">
        <v>51</v>
      </c>
      <c r="F933" s="31" t="s">
        <v>120</v>
      </c>
      <c r="G933" s="31" t="n">
        <v>2</v>
      </c>
      <c r="H933" s="41"/>
      <c r="I933" s="31" t="s">
        <v>158</v>
      </c>
      <c r="J933" s="31"/>
      <c r="K933" s="31" t="s">
        <v>150</v>
      </c>
      <c r="L933" s="45" t="n">
        <f aca="false">DATE(YEAR(B933),MONTH(B933),1)</f>
        <v>46204</v>
      </c>
      <c r="M933" s="31" t="n">
        <f aca="false">WEEKDAY(B933,2)</f>
        <v>2</v>
      </c>
      <c r="N933" s="31" t="str">
        <f aca="false">IF(G933&lt;=INDEX(Assumptions!$B$15:$B$18,MATCH(E933,Assumptions!$A$15:$A$18,0)),"Yes","No")</f>
        <v>Yes</v>
      </c>
      <c r="O933" s="31" t="str">
        <f aca="false">IF(H933="","Open",IF(H933&lt;=INDEX(Assumptions!$C$15:$C$18,MATCH(E933,Assumptions!$A$15:$A$18,0)),"Yes","No"))</f>
        <v>Open</v>
      </c>
    </row>
    <row r="934" customFormat="false" ht="15" hidden="false" customHeight="false" outlineLevel="0" collapsed="false">
      <c r="A934" s="31" t="s">
        <v>1084</v>
      </c>
      <c r="B934" s="44" t="n">
        <v>46217</v>
      </c>
      <c r="C934" s="31" t="s">
        <v>58</v>
      </c>
      <c r="D934" s="31" t="s">
        <v>65</v>
      </c>
      <c r="E934" s="31" t="s">
        <v>51</v>
      </c>
      <c r="F934" s="31" t="s">
        <v>122</v>
      </c>
      <c r="G934" s="31" t="n">
        <v>8</v>
      </c>
      <c r="H934" s="41" t="n">
        <v>2.7</v>
      </c>
      <c r="I934" s="31" t="s">
        <v>149</v>
      </c>
      <c r="J934" s="31" t="n">
        <v>5</v>
      </c>
      <c r="K934" s="31" t="s">
        <v>150</v>
      </c>
      <c r="L934" s="45" t="n">
        <f aca="false">DATE(YEAR(B934),MONTH(B934),1)</f>
        <v>46204</v>
      </c>
      <c r="M934" s="31" t="n">
        <f aca="false">WEEKDAY(B934,2)</f>
        <v>2</v>
      </c>
      <c r="N934" s="31" t="str">
        <f aca="false">IF(G934&lt;=INDEX(Assumptions!$B$15:$B$18,MATCH(E934,Assumptions!$A$15:$A$18,0)),"Yes","No")</f>
        <v>Yes</v>
      </c>
      <c r="O934" s="31" t="str">
        <f aca="false">IF(H934="","Open",IF(H934&lt;=INDEX(Assumptions!$C$15:$C$18,MATCH(E934,Assumptions!$A$15:$A$18,0)),"Yes","No"))</f>
        <v>Yes</v>
      </c>
    </row>
    <row r="935" customFormat="false" ht="15" hidden="false" customHeight="false" outlineLevel="0" collapsed="false">
      <c r="A935" s="31" t="s">
        <v>1085</v>
      </c>
      <c r="B935" s="44" t="n">
        <v>46217</v>
      </c>
      <c r="C935" s="31" t="s">
        <v>58</v>
      </c>
      <c r="D935" s="31" t="s">
        <v>66</v>
      </c>
      <c r="E935" s="31" t="s">
        <v>51</v>
      </c>
      <c r="F935" s="31" t="s">
        <v>137</v>
      </c>
      <c r="G935" s="31" t="n">
        <v>19</v>
      </c>
      <c r="H935" s="41" t="n">
        <v>0.8</v>
      </c>
      <c r="I935" s="31" t="s">
        <v>149</v>
      </c>
      <c r="J935" s="31"/>
      <c r="K935" s="31" t="s">
        <v>150</v>
      </c>
      <c r="L935" s="45" t="n">
        <f aca="false">DATE(YEAR(B935),MONTH(B935),1)</f>
        <v>46204</v>
      </c>
      <c r="M935" s="31" t="n">
        <f aca="false">WEEKDAY(B935,2)</f>
        <v>2</v>
      </c>
      <c r="N935" s="31" t="str">
        <f aca="false">IF(G935&lt;=INDEX(Assumptions!$B$15:$B$18,MATCH(E935,Assumptions!$A$15:$A$18,0)),"Yes","No")</f>
        <v>Yes</v>
      </c>
      <c r="O935" s="31" t="str">
        <f aca="false">IF(H935="","Open",IF(H935&lt;=INDEX(Assumptions!$C$15:$C$18,MATCH(E935,Assumptions!$A$15:$A$18,0)),"Yes","No"))</f>
        <v>Yes</v>
      </c>
    </row>
    <row r="936" customFormat="false" ht="15" hidden="false" customHeight="false" outlineLevel="0" collapsed="false">
      <c r="A936" s="31" t="s">
        <v>1086</v>
      </c>
      <c r="B936" s="44" t="n">
        <v>46217</v>
      </c>
      <c r="C936" s="31" t="s">
        <v>57</v>
      </c>
      <c r="D936" s="31" t="s">
        <v>68</v>
      </c>
      <c r="E936" s="31" t="s">
        <v>51</v>
      </c>
      <c r="F936" s="31" t="s">
        <v>134</v>
      </c>
      <c r="G936" s="31" t="n">
        <v>13</v>
      </c>
      <c r="H936" s="41" t="n">
        <v>9.1</v>
      </c>
      <c r="I936" s="31" t="s">
        <v>149</v>
      </c>
      <c r="J936" s="31" t="n">
        <v>5</v>
      </c>
      <c r="K936" s="31" t="s">
        <v>150</v>
      </c>
      <c r="L936" s="45" t="n">
        <f aca="false">DATE(YEAR(B936),MONTH(B936),1)</f>
        <v>46204</v>
      </c>
      <c r="M936" s="31" t="n">
        <f aca="false">WEEKDAY(B936,2)</f>
        <v>2</v>
      </c>
      <c r="N936" s="31" t="str">
        <f aca="false">IF(G936&lt;=INDEX(Assumptions!$B$15:$B$18,MATCH(E936,Assumptions!$A$15:$A$18,0)),"Yes","No")</f>
        <v>Yes</v>
      </c>
      <c r="O936" s="31" t="str">
        <f aca="false">IF(H936="","Open",IF(H936&lt;=INDEX(Assumptions!$C$15:$C$18,MATCH(E936,Assumptions!$A$15:$A$18,0)),"Yes","No"))</f>
        <v>Yes</v>
      </c>
    </row>
    <row r="937" customFormat="false" ht="15" hidden="false" customHeight="false" outlineLevel="0" collapsed="false">
      <c r="A937" s="31" t="s">
        <v>1087</v>
      </c>
      <c r="B937" s="44" t="n">
        <v>46217</v>
      </c>
      <c r="C937" s="31" t="s">
        <v>57</v>
      </c>
      <c r="D937" s="31" t="s">
        <v>65</v>
      </c>
      <c r="E937" s="31" t="s">
        <v>51</v>
      </c>
      <c r="F937" s="31" t="s">
        <v>122</v>
      </c>
      <c r="G937" s="31" t="n">
        <v>5</v>
      </c>
      <c r="H937" s="41" t="n">
        <v>9.9</v>
      </c>
      <c r="I937" s="31" t="s">
        <v>149</v>
      </c>
      <c r="J937" s="31" t="n">
        <v>4</v>
      </c>
      <c r="K937" s="31" t="s">
        <v>150</v>
      </c>
      <c r="L937" s="45" t="n">
        <f aca="false">DATE(YEAR(B937),MONTH(B937),1)</f>
        <v>46204</v>
      </c>
      <c r="M937" s="31" t="n">
        <f aca="false">WEEKDAY(B937,2)</f>
        <v>2</v>
      </c>
      <c r="N937" s="31" t="str">
        <f aca="false">IF(G937&lt;=INDEX(Assumptions!$B$15:$B$18,MATCH(E937,Assumptions!$A$15:$A$18,0)),"Yes","No")</f>
        <v>Yes</v>
      </c>
      <c r="O937" s="31" t="str">
        <f aca="false">IF(H937="","Open",IF(H937&lt;=INDEX(Assumptions!$C$15:$C$18,MATCH(E937,Assumptions!$A$15:$A$18,0)),"Yes","No"))</f>
        <v>Yes</v>
      </c>
    </row>
    <row r="938" customFormat="false" ht="15" hidden="false" customHeight="false" outlineLevel="0" collapsed="false">
      <c r="A938" s="31" t="s">
        <v>1088</v>
      </c>
      <c r="B938" s="44" t="n">
        <v>46217</v>
      </c>
      <c r="C938" s="31" t="s">
        <v>59</v>
      </c>
      <c r="D938" s="31" t="s">
        <v>65</v>
      </c>
      <c r="E938" s="31" t="s">
        <v>52</v>
      </c>
      <c r="F938" s="31" t="s">
        <v>122</v>
      </c>
      <c r="G938" s="31" t="n">
        <v>21</v>
      </c>
      <c r="H938" s="41" t="n">
        <v>19.9</v>
      </c>
      <c r="I938" s="31" t="s">
        <v>149</v>
      </c>
      <c r="J938" s="31" t="n">
        <v>4</v>
      </c>
      <c r="K938" s="31" t="s">
        <v>150</v>
      </c>
      <c r="L938" s="45" t="n">
        <f aca="false">DATE(YEAR(B938),MONTH(B938),1)</f>
        <v>46204</v>
      </c>
      <c r="M938" s="31" t="n">
        <f aca="false">WEEKDAY(B938,2)</f>
        <v>2</v>
      </c>
      <c r="N938" s="31" t="str">
        <f aca="false">IF(G938&lt;=INDEX(Assumptions!$B$15:$B$18,MATCH(E938,Assumptions!$A$15:$A$18,0)),"Yes","No")</f>
        <v>Yes</v>
      </c>
      <c r="O938" s="31" t="str">
        <f aca="false">IF(H938="","Open",IF(H938&lt;=INDEX(Assumptions!$C$15:$C$18,MATCH(E938,Assumptions!$A$15:$A$18,0)),"Yes","No"))</f>
        <v>Yes</v>
      </c>
    </row>
    <row r="939" customFormat="false" ht="15" hidden="false" customHeight="false" outlineLevel="0" collapsed="false">
      <c r="A939" s="31" t="s">
        <v>1089</v>
      </c>
      <c r="B939" s="44" t="n">
        <v>46217</v>
      </c>
      <c r="C939" s="31" t="s">
        <v>57</v>
      </c>
      <c r="D939" s="31" t="s">
        <v>67</v>
      </c>
      <c r="E939" s="31" t="s">
        <v>50</v>
      </c>
      <c r="F939" s="31" t="s">
        <v>126</v>
      </c>
      <c r="G939" s="31" t="n">
        <v>1</v>
      </c>
      <c r="H939" s="41" t="n">
        <v>22.7</v>
      </c>
      <c r="I939" s="31" t="s">
        <v>149</v>
      </c>
      <c r="J939" s="31" t="n">
        <v>4</v>
      </c>
      <c r="K939" s="31" t="s">
        <v>150</v>
      </c>
      <c r="L939" s="45" t="n">
        <f aca="false">DATE(YEAR(B939),MONTH(B939),1)</f>
        <v>46204</v>
      </c>
      <c r="M939" s="31" t="n">
        <f aca="false">WEEKDAY(B939,2)</f>
        <v>2</v>
      </c>
      <c r="N939" s="31" t="str">
        <f aca="false">IF(G939&lt;=INDEX(Assumptions!$B$15:$B$18,MATCH(E939,Assumptions!$A$15:$A$18,0)),"Yes","No")</f>
        <v>Yes</v>
      </c>
      <c r="O939" s="31" t="str">
        <f aca="false">IF(H939="","Open",IF(H939&lt;=INDEX(Assumptions!$C$15:$C$18,MATCH(E939,Assumptions!$A$15:$A$18,0)),"Yes","No"))</f>
        <v>No</v>
      </c>
    </row>
    <row r="940" customFormat="false" ht="15" hidden="false" customHeight="false" outlineLevel="0" collapsed="false">
      <c r="A940" s="31" t="s">
        <v>1090</v>
      </c>
      <c r="B940" s="44" t="n">
        <v>46217</v>
      </c>
      <c r="C940" s="31" t="s">
        <v>58</v>
      </c>
      <c r="D940" s="31" t="s">
        <v>65</v>
      </c>
      <c r="E940" s="31" t="s">
        <v>51</v>
      </c>
      <c r="F940" s="31" t="s">
        <v>130</v>
      </c>
      <c r="G940" s="31" t="n">
        <v>13</v>
      </c>
      <c r="H940" s="41" t="n">
        <v>22.9</v>
      </c>
      <c r="I940" s="31" t="s">
        <v>149</v>
      </c>
      <c r="J940" s="31" t="n">
        <v>3</v>
      </c>
      <c r="K940" s="31" t="s">
        <v>150</v>
      </c>
      <c r="L940" s="45" t="n">
        <f aca="false">DATE(YEAR(B940),MONTH(B940),1)</f>
        <v>46204</v>
      </c>
      <c r="M940" s="31" t="n">
        <f aca="false">WEEKDAY(B940,2)</f>
        <v>2</v>
      </c>
      <c r="N940" s="31" t="str">
        <f aca="false">IF(G940&lt;=INDEX(Assumptions!$B$15:$B$18,MATCH(E940,Assumptions!$A$15:$A$18,0)),"Yes","No")</f>
        <v>Yes</v>
      </c>
      <c r="O940" s="31" t="str">
        <f aca="false">IF(H940="","Open",IF(H940&lt;=INDEX(Assumptions!$C$15:$C$18,MATCH(E940,Assumptions!$A$15:$A$18,0)),"Yes","No"))</f>
        <v>Yes</v>
      </c>
    </row>
    <row r="941" customFormat="false" ht="15" hidden="false" customHeight="false" outlineLevel="0" collapsed="false">
      <c r="A941" s="31" t="s">
        <v>1091</v>
      </c>
      <c r="B941" s="44" t="n">
        <v>46217</v>
      </c>
      <c r="C941" s="31" t="s">
        <v>58</v>
      </c>
      <c r="D941" s="31" t="s">
        <v>66</v>
      </c>
      <c r="E941" s="31" t="s">
        <v>49</v>
      </c>
      <c r="F941" s="31" t="s">
        <v>127</v>
      </c>
      <c r="G941" s="31" t="n">
        <v>8</v>
      </c>
      <c r="H941" s="41" t="n">
        <v>2.4</v>
      </c>
      <c r="I941" s="31" t="s">
        <v>149</v>
      </c>
      <c r="J941" s="31" t="n">
        <v>5</v>
      </c>
      <c r="K941" s="31" t="s">
        <v>150</v>
      </c>
      <c r="L941" s="45" t="n">
        <f aca="false">DATE(YEAR(B941),MONTH(B941),1)</f>
        <v>46204</v>
      </c>
      <c r="M941" s="31" t="n">
        <f aca="false">WEEKDAY(B941,2)</f>
        <v>2</v>
      </c>
      <c r="N941" s="31" t="str">
        <f aca="false">IF(G941&lt;=INDEX(Assumptions!$B$15:$B$18,MATCH(E941,Assumptions!$A$15:$A$18,0)),"Yes","No")</f>
        <v>Yes</v>
      </c>
      <c r="O941" s="31" t="str">
        <f aca="false">IF(H941="","Open",IF(H941&lt;=INDEX(Assumptions!$C$15:$C$18,MATCH(E941,Assumptions!$A$15:$A$18,0)),"Yes","No"))</f>
        <v>Yes</v>
      </c>
    </row>
    <row r="942" customFormat="false" ht="15" hidden="false" customHeight="false" outlineLevel="0" collapsed="false">
      <c r="A942" s="31" t="s">
        <v>1092</v>
      </c>
      <c r="B942" s="44" t="n">
        <v>46217</v>
      </c>
      <c r="C942" s="31" t="s">
        <v>59</v>
      </c>
      <c r="D942" s="31" t="s">
        <v>66</v>
      </c>
      <c r="E942" s="31" t="s">
        <v>52</v>
      </c>
      <c r="F942" s="31" t="s">
        <v>123</v>
      </c>
      <c r="G942" s="31" t="n">
        <v>78</v>
      </c>
      <c r="H942" s="41" t="n">
        <v>4.5</v>
      </c>
      <c r="I942" s="31" t="s">
        <v>149</v>
      </c>
      <c r="J942" s="31" t="n">
        <v>5</v>
      </c>
      <c r="K942" s="31" t="s">
        <v>150</v>
      </c>
      <c r="L942" s="45" t="n">
        <f aca="false">DATE(YEAR(B942),MONTH(B942),1)</f>
        <v>46204</v>
      </c>
      <c r="M942" s="31" t="n">
        <f aca="false">WEEKDAY(B942,2)</f>
        <v>2</v>
      </c>
      <c r="N942" s="31" t="str">
        <f aca="false">IF(G942&lt;=INDEX(Assumptions!$B$15:$B$18,MATCH(E942,Assumptions!$A$15:$A$18,0)),"Yes","No")</f>
        <v>Yes</v>
      </c>
      <c r="O942" s="31" t="str">
        <f aca="false">IF(H942="","Open",IF(H942&lt;=INDEX(Assumptions!$C$15:$C$18,MATCH(E942,Assumptions!$A$15:$A$18,0)),"Yes","No"))</f>
        <v>Yes</v>
      </c>
    </row>
    <row r="943" customFormat="false" ht="15" hidden="false" customHeight="false" outlineLevel="0" collapsed="false">
      <c r="A943" s="31" t="s">
        <v>1093</v>
      </c>
      <c r="B943" s="44" t="n">
        <v>46217</v>
      </c>
      <c r="C943" s="31" t="s">
        <v>60</v>
      </c>
      <c r="D943" s="31" t="s">
        <v>67</v>
      </c>
      <c r="E943" s="31" t="s">
        <v>50</v>
      </c>
      <c r="F943" s="31" t="s">
        <v>128</v>
      </c>
      <c r="G943" s="31" t="n">
        <v>6</v>
      </c>
      <c r="H943" s="41" t="n">
        <v>9.4</v>
      </c>
      <c r="I943" s="31" t="s">
        <v>149</v>
      </c>
      <c r="J943" s="31" t="n">
        <v>4</v>
      </c>
      <c r="K943" s="31" t="s">
        <v>150</v>
      </c>
      <c r="L943" s="45" t="n">
        <f aca="false">DATE(YEAR(B943),MONTH(B943),1)</f>
        <v>46204</v>
      </c>
      <c r="M943" s="31" t="n">
        <f aca="false">WEEKDAY(B943,2)</f>
        <v>2</v>
      </c>
      <c r="N943" s="31" t="str">
        <f aca="false">IF(G943&lt;=INDEX(Assumptions!$B$15:$B$18,MATCH(E943,Assumptions!$A$15:$A$18,0)),"Yes","No")</f>
        <v>Yes</v>
      </c>
      <c r="O943" s="31" t="str">
        <f aca="false">IF(H943="","Open",IF(H943&lt;=INDEX(Assumptions!$C$15:$C$18,MATCH(E943,Assumptions!$A$15:$A$18,0)),"Yes","No"))</f>
        <v>No</v>
      </c>
    </row>
    <row r="944" customFormat="false" ht="15" hidden="false" customHeight="false" outlineLevel="0" collapsed="false">
      <c r="A944" s="31" t="s">
        <v>1094</v>
      </c>
      <c r="B944" s="44" t="n">
        <v>46217</v>
      </c>
      <c r="C944" s="31" t="s">
        <v>58</v>
      </c>
      <c r="D944" s="31" t="s">
        <v>65</v>
      </c>
      <c r="E944" s="31" t="s">
        <v>51</v>
      </c>
      <c r="F944" s="31" t="s">
        <v>126</v>
      </c>
      <c r="G944" s="31" t="n">
        <v>7</v>
      </c>
      <c r="H944" s="41" t="n">
        <v>18.7</v>
      </c>
      <c r="I944" s="31" t="s">
        <v>149</v>
      </c>
      <c r="J944" s="31" t="n">
        <v>5</v>
      </c>
      <c r="K944" s="31" t="s">
        <v>150</v>
      </c>
      <c r="L944" s="45" t="n">
        <f aca="false">DATE(YEAR(B944),MONTH(B944),1)</f>
        <v>46204</v>
      </c>
      <c r="M944" s="31" t="n">
        <f aca="false">WEEKDAY(B944,2)</f>
        <v>2</v>
      </c>
      <c r="N944" s="31" t="str">
        <f aca="false">IF(G944&lt;=INDEX(Assumptions!$B$15:$B$18,MATCH(E944,Assumptions!$A$15:$A$18,0)),"Yes","No")</f>
        <v>Yes</v>
      </c>
      <c r="O944" s="31" t="str">
        <f aca="false">IF(H944="","Open",IF(H944&lt;=INDEX(Assumptions!$C$15:$C$18,MATCH(E944,Assumptions!$A$15:$A$18,0)),"Yes","No"))</f>
        <v>Yes</v>
      </c>
    </row>
    <row r="945" customFormat="false" ht="15" hidden="false" customHeight="false" outlineLevel="0" collapsed="false">
      <c r="A945" s="31" t="s">
        <v>1095</v>
      </c>
      <c r="B945" s="44" t="n">
        <v>46217</v>
      </c>
      <c r="C945" s="31" t="s">
        <v>58</v>
      </c>
      <c r="D945" s="31" t="s">
        <v>66</v>
      </c>
      <c r="E945" s="31" t="s">
        <v>50</v>
      </c>
      <c r="F945" s="31" t="s">
        <v>123</v>
      </c>
      <c r="G945" s="31" t="n">
        <v>18</v>
      </c>
      <c r="H945" s="41" t="n">
        <v>3.8</v>
      </c>
      <c r="I945" s="31" t="s">
        <v>149</v>
      </c>
      <c r="J945" s="31" t="n">
        <v>4</v>
      </c>
      <c r="K945" s="31" t="s">
        <v>150</v>
      </c>
      <c r="L945" s="45" t="n">
        <f aca="false">DATE(YEAR(B945),MONTH(B945),1)</f>
        <v>46204</v>
      </c>
      <c r="M945" s="31" t="n">
        <f aca="false">WEEKDAY(B945,2)</f>
        <v>2</v>
      </c>
      <c r="N945" s="31" t="str">
        <f aca="false">IF(G945&lt;=INDEX(Assumptions!$B$15:$B$18,MATCH(E945,Assumptions!$A$15:$A$18,0)),"Yes","No")</f>
        <v>Yes</v>
      </c>
      <c r="O945" s="31" t="str">
        <f aca="false">IF(H945="","Open",IF(H945&lt;=INDEX(Assumptions!$C$15:$C$18,MATCH(E945,Assumptions!$A$15:$A$18,0)),"Yes","No"))</f>
        <v>Yes</v>
      </c>
    </row>
    <row r="946" customFormat="false" ht="15" hidden="false" customHeight="false" outlineLevel="0" collapsed="false">
      <c r="A946" s="31" t="s">
        <v>1096</v>
      </c>
      <c r="B946" s="44" t="n">
        <v>46217</v>
      </c>
      <c r="C946" s="31" t="s">
        <v>57</v>
      </c>
      <c r="D946" s="31" t="s">
        <v>68</v>
      </c>
      <c r="E946" s="31" t="s">
        <v>51</v>
      </c>
      <c r="F946" s="31" t="s">
        <v>137</v>
      </c>
      <c r="G946" s="31" t="n">
        <v>9</v>
      </c>
      <c r="H946" s="41" t="n">
        <v>5.6</v>
      </c>
      <c r="I946" s="31" t="s">
        <v>149</v>
      </c>
      <c r="J946" s="31" t="n">
        <v>3</v>
      </c>
      <c r="K946" s="31" t="s">
        <v>153</v>
      </c>
      <c r="L946" s="45" t="n">
        <f aca="false">DATE(YEAR(B946),MONTH(B946),1)</f>
        <v>46204</v>
      </c>
      <c r="M946" s="31" t="n">
        <f aca="false">WEEKDAY(B946,2)</f>
        <v>2</v>
      </c>
      <c r="N946" s="31" t="str">
        <f aca="false">IF(G946&lt;=INDEX(Assumptions!$B$15:$B$18,MATCH(E946,Assumptions!$A$15:$A$18,0)),"Yes","No")</f>
        <v>Yes</v>
      </c>
      <c r="O946" s="31" t="str">
        <f aca="false">IF(H946="","Open",IF(H946&lt;=INDEX(Assumptions!$C$15:$C$18,MATCH(E946,Assumptions!$A$15:$A$18,0)),"Yes","No"))</f>
        <v>Yes</v>
      </c>
    </row>
    <row r="947" customFormat="false" ht="15" hidden="false" customHeight="false" outlineLevel="0" collapsed="false">
      <c r="A947" s="31" t="s">
        <v>1097</v>
      </c>
      <c r="B947" s="44" t="n">
        <v>46217</v>
      </c>
      <c r="C947" s="31" t="s">
        <v>58</v>
      </c>
      <c r="D947" s="31" t="s">
        <v>67</v>
      </c>
      <c r="E947" s="31" t="s">
        <v>51</v>
      </c>
      <c r="F947" s="31" t="s">
        <v>128</v>
      </c>
      <c r="G947" s="31" t="n">
        <v>10</v>
      </c>
      <c r="H947" s="41" t="n">
        <v>18.2</v>
      </c>
      <c r="I947" s="31" t="s">
        <v>149</v>
      </c>
      <c r="J947" s="31"/>
      <c r="K947" s="31" t="s">
        <v>150</v>
      </c>
      <c r="L947" s="45" t="n">
        <f aca="false">DATE(YEAR(B947),MONTH(B947),1)</f>
        <v>46204</v>
      </c>
      <c r="M947" s="31" t="n">
        <f aca="false">WEEKDAY(B947,2)</f>
        <v>2</v>
      </c>
      <c r="N947" s="31" t="str">
        <f aca="false">IF(G947&lt;=INDEX(Assumptions!$B$15:$B$18,MATCH(E947,Assumptions!$A$15:$A$18,0)),"Yes","No")</f>
        <v>Yes</v>
      </c>
      <c r="O947" s="31" t="str">
        <f aca="false">IF(H947="","Open",IF(H947&lt;=INDEX(Assumptions!$C$15:$C$18,MATCH(E947,Assumptions!$A$15:$A$18,0)),"Yes","No"))</f>
        <v>Yes</v>
      </c>
    </row>
    <row r="948" customFormat="false" ht="15" hidden="false" customHeight="false" outlineLevel="0" collapsed="false">
      <c r="A948" s="31" t="s">
        <v>1098</v>
      </c>
      <c r="B948" s="44" t="n">
        <v>46217</v>
      </c>
      <c r="C948" s="31" t="s">
        <v>59</v>
      </c>
      <c r="D948" s="31" t="s">
        <v>65</v>
      </c>
      <c r="E948" s="31" t="s">
        <v>51</v>
      </c>
      <c r="F948" s="31" t="s">
        <v>131</v>
      </c>
      <c r="G948" s="31" t="n">
        <v>104</v>
      </c>
      <c r="H948" s="41" t="n">
        <v>6.8</v>
      </c>
      <c r="I948" s="31" t="s">
        <v>149</v>
      </c>
      <c r="J948" s="31" t="n">
        <v>4</v>
      </c>
      <c r="K948" s="31" t="s">
        <v>150</v>
      </c>
      <c r="L948" s="45" t="n">
        <f aca="false">DATE(YEAR(B948),MONTH(B948),1)</f>
        <v>46204</v>
      </c>
      <c r="M948" s="31" t="n">
        <f aca="false">WEEKDAY(B948,2)</f>
        <v>2</v>
      </c>
      <c r="N948" s="31" t="str">
        <f aca="false">IF(G948&lt;=INDEX(Assumptions!$B$15:$B$18,MATCH(E948,Assumptions!$A$15:$A$18,0)),"Yes","No")</f>
        <v>No</v>
      </c>
      <c r="O948" s="31" t="str">
        <f aca="false">IF(H948="","Open",IF(H948&lt;=INDEX(Assumptions!$C$15:$C$18,MATCH(E948,Assumptions!$A$15:$A$18,0)),"Yes","No"))</f>
        <v>Yes</v>
      </c>
    </row>
    <row r="949" customFormat="false" ht="15" hidden="false" customHeight="false" outlineLevel="0" collapsed="false">
      <c r="A949" s="31" t="s">
        <v>1099</v>
      </c>
      <c r="B949" s="44" t="n">
        <v>46217</v>
      </c>
      <c r="C949" s="31" t="s">
        <v>57</v>
      </c>
      <c r="D949" s="31" t="s">
        <v>69</v>
      </c>
      <c r="E949" s="31" t="s">
        <v>51</v>
      </c>
      <c r="F949" s="31" t="s">
        <v>130</v>
      </c>
      <c r="G949" s="31" t="n">
        <v>3</v>
      </c>
      <c r="H949" s="41" t="n">
        <v>11.7</v>
      </c>
      <c r="I949" s="31" t="s">
        <v>149</v>
      </c>
      <c r="J949" s="31"/>
      <c r="K949" s="31" t="s">
        <v>150</v>
      </c>
      <c r="L949" s="45" t="n">
        <f aca="false">DATE(YEAR(B949),MONTH(B949),1)</f>
        <v>46204</v>
      </c>
      <c r="M949" s="31" t="n">
        <f aca="false">WEEKDAY(B949,2)</f>
        <v>2</v>
      </c>
      <c r="N949" s="31" t="str">
        <f aca="false">IF(G949&lt;=INDEX(Assumptions!$B$15:$B$18,MATCH(E949,Assumptions!$A$15:$A$18,0)),"Yes","No")</f>
        <v>Yes</v>
      </c>
      <c r="O949" s="31" t="str">
        <f aca="false">IF(H949="","Open",IF(H949&lt;=INDEX(Assumptions!$C$15:$C$18,MATCH(E949,Assumptions!$A$15:$A$18,0)),"Yes","No"))</f>
        <v>Yes</v>
      </c>
    </row>
    <row r="950" customFormat="false" ht="15" hidden="false" customHeight="false" outlineLevel="0" collapsed="false">
      <c r="A950" s="31" t="s">
        <v>1100</v>
      </c>
      <c r="B950" s="44" t="n">
        <v>46217</v>
      </c>
      <c r="C950" s="31" t="s">
        <v>60</v>
      </c>
      <c r="D950" s="31" t="s">
        <v>67</v>
      </c>
      <c r="E950" s="31" t="s">
        <v>50</v>
      </c>
      <c r="F950" s="31" t="s">
        <v>123</v>
      </c>
      <c r="G950" s="31" t="n">
        <v>1</v>
      </c>
      <c r="H950" s="41" t="n">
        <v>10.5</v>
      </c>
      <c r="I950" s="31" t="s">
        <v>149</v>
      </c>
      <c r="J950" s="31" t="n">
        <v>4</v>
      </c>
      <c r="K950" s="31" t="s">
        <v>150</v>
      </c>
      <c r="L950" s="45" t="n">
        <f aca="false">DATE(YEAR(B950),MONTH(B950),1)</f>
        <v>46204</v>
      </c>
      <c r="M950" s="31" t="n">
        <f aca="false">WEEKDAY(B950,2)</f>
        <v>2</v>
      </c>
      <c r="N950" s="31" t="str">
        <f aca="false">IF(G950&lt;=INDEX(Assumptions!$B$15:$B$18,MATCH(E950,Assumptions!$A$15:$A$18,0)),"Yes","No")</f>
        <v>Yes</v>
      </c>
      <c r="O950" s="31" t="str">
        <f aca="false">IF(H950="","Open",IF(H950&lt;=INDEX(Assumptions!$C$15:$C$18,MATCH(E950,Assumptions!$A$15:$A$18,0)),"Yes","No"))</f>
        <v>No</v>
      </c>
    </row>
    <row r="951" customFormat="false" ht="15" hidden="false" customHeight="false" outlineLevel="0" collapsed="false">
      <c r="A951" s="31" t="s">
        <v>1101</v>
      </c>
      <c r="B951" s="44" t="n">
        <v>46217</v>
      </c>
      <c r="C951" s="31" t="s">
        <v>58</v>
      </c>
      <c r="D951" s="31" t="s">
        <v>67</v>
      </c>
      <c r="E951" s="31" t="s">
        <v>52</v>
      </c>
      <c r="F951" s="31" t="s">
        <v>123</v>
      </c>
      <c r="G951" s="31" t="n">
        <v>12</v>
      </c>
      <c r="H951" s="41" t="n">
        <v>17.6</v>
      </c>
      <c r="I951" s="31" t="s">
        <v>149</v>
      </c>
      <c r="J951" s="31" t="n">
        <v>5</v>
      </c>
      <c r="K951" s="31" t="s">
        <v>150</v>
      </c>
      <c r="L951" s="45" t="n">
        <f aca="false">DATE(YEAR(B951),MONTH(B951),1)</f>
        <v>46204</v>
      </c>
      <c r="M951" s="31" t="n">
        <f aca="false">WEEKDAY(B951,2)</f>
        <v>2</v>
      </c>
      <c r="N951" s="31" t="str">
        <f aca="false">IF(G951&lt;=INDEX(Assumptions!$B$15:$B$18,MATCH(E951,Assumptions!$A$15:$A$18,0)),"Yes","No")</f>
        <v>Yes</v>
      </c>
      <c r="O951" s="31" t="str">
        <f aca="false">IF(H951="","Open",IF(H951&lt;=INDEX(Assumptions!$C$15:$C$18,MATCH(E951,Assumptions!$A$15:$A$18,0)),"Yes","No"))</f>
        <v>Yes</v>
      </c>
    </row>
    <row r="952" customFormat="false" ht="15" hidden="false" customHeight="false" outlineLevel="0" collapsed="false">
      <c r="A952" s="31" t="s">
        <v>1102</v>
      </c>
      <c r="B952" s="44" t="n">
        <v>46217</v>
      </c>
      <c r="C952" s="31" t="s">
        <v>57</v>
      </c>
      <c r="D952" s="31" t="s">
        <v>65</v>
      </c>
      <c r="E952" s="31" t="s">
        <v>51</v>
      </c>
      <c r="F952" s="31" t="s">
        <v>129</v>
      </c>
      <c r="G952" s="31" t="n">
        <v>1</v>
      </c>
      <c r="H952" s="41" t="n">
        <v>11.1</v>
      </c>
      <c r="I952" s="31" t="s">
        <v>149</v>
      </c>
      <c r="J952" s="31" t="n">
        <v>5</v>
      </c>
      <c r="K952" s="31" t="s">
        <v>150</v>
      </c>
      <c r="L952" s="45" t="n">
        <f aca="false">DATE(YEAR(B952),MONTH(B952),1)</f>
        <v>46204</v>
      </c>
      <c r="M952" s="31" t="n">
        <f aca="false">WEEKDAY(B952,2)</f>
        <v>2</v>
      </c>
      <c r="N952" s="31" t="str">
        <f aca="false">IF(G952&lt;=INDEX(Assumptions!$B$15:$B$18,MATCH(E952,Assumptions!$A$15:$A$18,0)),"Yes","No")</f>
        <v>Yes</v>
      </c>
      <c r="O952" s="31" t="str">
        <f aca="false">IF(H952="","Open",IF(H952&lt;=INDEX(Assumptions!$C$15:$C$18,MATCH(E952,Assumptions!$A$15:$A$18,0)),"Yes","No"))</f>
        <v>Yes</v>
      </c>
    </row>
    <row r="953" customFormat="false" ht="15" hidden="false" customHeight="false" outlineLevel="0" collapsed="false">
      <c r="A953" s="31" t="s">
        <v>1103</v>
      </c>
      <c r="B953" s="44" t="n">
        <v>46217</v>
      </c>
      <c r="C953" s="31" t="s">
        <v>59</v>
      </c>
      <c r="D953" s="31" t="s">
        <v>65</v>
      </c>
      <c r="E953" s="31" t="s">
        <v>51</v>
      </c>
      <c r="F953" s="31" t="s">
        <v>117</v>
      </c>
      <c r="G953" s="31" t="n">
        <v>18</v>
      </c>
      <c r="H953" s="41" t="n">
        <v>5.7</v>
      </c>
      <c r="I953" s="31" t="s">
        <v>149</v>
      </c>
      <c r="J953" s="31" t="n">
        <v>5</v>
      </c>
      <c r="K953" s="31" t="s">
        <v>153</v>
      </c>
      <c r="L953" s="45" t="n">
        <f aca="false">DATE(YEAR(B953),MONTH(B953),1)</f>
        <v>46204</v>
      </c>
      <c r="M953" s="31" t="n">
        <f aca="false">WEEKDAY(B953,2)</f>
        <v>2</v>
      </c>
      <c r="N953" s="31" t="str">
        <f aca="false">IF(G953&lt;=INDEX(Assumptions!$B$15:$B$18,MATCH(E953,Assumptions!$A$15:$A$18,0)),"Yes","No")</f>
        <v>Yes</v>
      </c>
      <c r="O953" s="31" t="str">
        <f aca="false">IF(H953="","Open",IF(H953&lt;=INDEX(Assumptions!$C$15:$C$18,MATCH(E953,Assumptions!$A$15:$A$18,0)),"Yes","No"))</f>
        <v>Yes</v>
      </c>
    </row>
    <row r="954" customFormat="false" ht="15" hidden="false" customHeight="false" outlineLevel="0" collapsed="false">
      <c r="A954" s="31" t="s">
        <v>1104</v>
      </c>
      <c r="B954" s="44" t="n">
        <v>46217</v>
      </c>
      <c r="C954" s="31" t="s">
        <v>58</v>
      </c>
      <c r="D954" s="31" t="s">
        <v>66</v>
      </c>
      <c r="E954" s="31" t="s">
        <v>51</v>
      </c>
      <c r="F954" s="31" t="s">
        <v>123</v>
      </c>
      <c r="G954" s="31" t="n">
        <v>5</v>
      </c>
      <c r="H954" s="41" t="n">
        <v>6.4</v>
      </c>
      <c r="I954" s="31" t="s">
        <v>149</v>
      </c>
      <c r="J954" s="31"/>
      <c r="K954" s="31" t="s">
        <v>150</v>
      </c>
      <c r="L954" s="45" t="n">
        <f aca="false">DATE(YEAR(B954),MONTH(B954),1)</f>
        <v>46204</v>
      </c>
      <c r="M954" s="31" t="n">
        <f aca="false">WEEKDAY(B954,2)</f>
        <v>2</v>
      </c>
      <c r="N954" s="31" t="str">
        <f aca="false">IF(G954&lt;=INDEX(Assumptions!$B$15:$B$18,MATCH(E954,Assumptions!$A$15:$A$18,0)),"Yes","No")</f>
        <v>Yes</v>
      </c>
      <c r="O954" s="31" t="str">
        <f aca="false">IF(H954="","Open",IF(H954&lt;=INDEX(Assumptions!$C$15:$C$18,MATCH(E954,Assumptions!$A$15:$A$18,0)),"Yes","No"))</f>
        <v>Yes</v>
      </c>
    </row>
    <row r="955" customFormat="false" ht="15" hidden="false" customHeight="false" outlineLevel="0" collapsed="false">
      <c r="A955" s="31" t="s">
        <v>1105</v>
      </c>
      <c r="B955" s="44" t="n">
        <v>46217</v>
      </c>
      <c r="C955" s="31" t="s">
        <v>57</v>
      </c>
      <c r="D955" s="31" t="s">
        <v>66</v>
      </c>
      <c r="E955" s="31" t="s">
        <v>51</v>
      </c>
      <c r="F955" s="31" t="s">
        <v>128</v>
      </c>
      <c r="G955" s="31" t="n">
        <v>5</v>
      </c>
      <c r="H955" s="41" t="n">
        <v>1.6</v>
      </c>
      <c r="I955" s="31" t="s">
        <v>149</v>
      </c>
      <c r="J955" s="31" t="n">
        <v>3</v>
      </c>
      <c r="K955" s="31" t="s">
        <v>150</v>
      </c>
      <c r="L955" s="45" t="n">
        <f aca="false">DATE(YEAR(B955),MONTH(B955),1)</f>
        <v>46204</v>
      </c>
      <c r="M955" s="31" t="n">
        <f aca="false">WEEKDAY(B955,2)</f>
        <v>2</v>
      </c>
      <c r="N955" s="31" t="str">
        <f aca="false">IF(G955&lt;=INDEX(Assumptions!$B$15:$B$18,MATCH(E955,Assumptions!$A$15:$A$18,0)),"Yes","No")</f>
        <v>Yes</v>
      </c>
      <c r="O955" s="31" t="str">
        <f aca="false">IF(H955="","Open",IF(H955&lt;=INDEX(Assumptions!$C$15:$C$18,MATCH(E955,Assumptions!$A$15:$A$18,0)),"Yes","No"))</f>
        <v>Yes</v>
      </c>
    </row>
    <row r="956" customFormat="false" ht="15" hidden="false" customHeight="false" outlineLevel="0" collapsed="false">
      <c r="A956" s="31" t="s">
        <v>1106</v>
      </c>
      <c r="B956" s="44" t="n">
        <v>46217</v>
      </c>
      <c r="C956" s="31" t="s">
        <v>57</v>
      </c>
      <c r="D956" s="31" t="s">
        <v>65</v>
      </c>
      <c r="E956" s="31" t="s">
        <v>50</v>
      </c>
      <c r="F956" s="31" t="s">
        <v>135</v>
      </c>
      <c r="G956" s="31" t="n">
        <v>15</v>
      </c>
      <c r="H956" s="41" t="n">
        <v>5.8</v>
      </c>
      <c r="I956" s="31" t="s">
        <v>149</v>
      </c>
      <c r="J956" s="31" t="n">
        <v>3</v>
      </c>
      <c r="K956" s="31" t="s">
        <v>150</v>
      </c>
      <c r="L956" s="45" t="n">
        <f aca="false">DATE(YEAR(B956),MONTH(B956),1)</f>
        <v>46204</v>
      </c>
      <c r="M956" s="31" t="n">
        <f aca="false">WEEKDAY(B956,2)</f>
        <v>2</v>
      </c>
      <c r="N956" s="31" t="str">
        <f aca="false">IF(G956&lt;=INDEX(Assumptions!$B$15:$B$18,MATCH(E956,Assumptions!$A$15:$A$18,0)),"Yes","No")</f>
        <v>Yes</v>
      </c>
      <c r="O956" s="31" t="str">
        <f aca="false">IF(H956="","Open",IF(H956&lt;=INDEX(Assumptions!$C$15:$C$18,MATCH(E956,Assumptions!$A$15:$A$18,0)),"Yes","No"))</f>
        <v>Yes</v>
      </c>
    </row>
    <row r="957" customFormat="false" ht="15" hidden="false" customHeight="false" outlineLevel="0" collapsed="false">
      <c r="A957" s="31" t="s">
        <v>1107</v>
      </c>
      <c r="B957" s="44" t="n">
        <v>46217</v>
      </c>
      <c r="C957" s="31" t="s">
        <v>57</v>
      </c>
      <c r="D957" s="31" t="s">
        <v>68</v>
      </c>
      <c r="E957" s="31" t="s">
        <v>51</v>
      </c>
      <c r="F957" s="31" t="s">
        <v>117</v>
      </c>
      <c r="G957" s="31" t="n">
        <v>2</v>
      </c>
      <c r="H957" s="41" t="n">
        <v>1.2</v>
      </c>
      <c r="I957" s="31" t="s">
        <v>149</v>
      </c>
      <c r="J957" s="31"/>
      <c r="K957" s="31" t="s">
        <v>150</v>
      </c>
      <c r="L957" s="45" t="n">
        <f aca="false">DATE(YEAR(B957),MONTH(B957),1)</f>
        <v>46204</v>
      </c>
      <c r="M957" s="31" t="n">
        <f aca="false">WEEKDAY(B957,2)</f>
        <v>2</v>
      </c>
      <c r="N957" s="31" t="str">
        <f aca="false">IF(G957&lt;=INDEX(Assumptions!$B$15:$B$18,MATCH(E957,Assumptions!$A$15:$A$18,0)),"Yes","No")</f>
        <v>Yes</v>
      </c>
      <c r="O957" s="31" t="str">
        <f aca="false">IF(H957="","Open",IF(H957&lt;=INDEX(Assumptions!$C$15:$C$18,MATCH(E957,Assumptions!$A$15:$A$18,0)),"Yes","No"))</f>
        <v>Yes</v>
      </c>
    </row>
    <row r="958" customFormat="false" ht="15" hidden="false" customHeight="false" outlineLevel="0" collapsed="false">
      <c r="A958" s="31" t="s">
        <v>1108</v>
      </c>
      <c r="B958" s="44" t="n">
        <v>46217</v>
      </c>
      <c r="C958" s="31" t="s">
        <v>58</v>
      </c>
      <c r="D958" s="31" t="s">
        <v>68</v>
      </c>
      <c r="E958" s="31" t="s">
        <v>51</v>
      </c>
      <c r="F958" s="31" t="s">
        <v>117</v>
      </c>
      <c r="G958" s="31" t="n">
        <v>13</v>
      </c>
      <c r="H958" s="41" t="n">
        <v>4.8</v>
      </c>
      <c r="I958" s="31" t="s">
        <v>149</v>
      </c>
      <c r="J958" s="31"/>
      <c r="K958" s="31" t="s">
        <v>150</v>
      </c>
      <c r="L958" s="45" t="n">
        <f aca="false">DATE(YEAR(B958),MONTH(B958),1)</f>
        <v>46204</v>
      </c>
      <c r="M958" s="31" t="n">
        <f aca="false">WEEKDAY(B958,2)</f>
        <v>2</v>
      </c>
      <c r="N958" s="31" t="str">
        <f aca="false">IF(G958&lt;=INDEX(Assumptions!$B$15:$B$18,MATCH(E958,Assumptions!$A$15:$A$18,0)),"Yes","No")</f>
        <v>Yes</v>
      </c>
      <c r="O958" s="31" t="str">
        <f aca="false">IF(H958="","Open",IF(H958&lt;=INDEX(Assumptions!$C$15:$C$18,MATCH(E958,Assumptions!$A$15:$A$18,0)),"Yes","No"))</f>
        <v>Yes</v>
      </c>
    </row>
    <row r="959" customFormat="false" ht="15" hidden="false" customHeight="false" outlineLevel="0" collapsed="false">
      <c r="A959" s="31" t="s">
        <v>1109</v>
      </c>
      <c r="B959" s="44" t="n">
        <v>46217</v>
      </c>
      <c r="C959" s="31" t="s">
        <v>58</v>
      </c>
      <c r="D959" s="31" t="s">
        <v>66</v>
      </c>
      <c r="E959" s="31" t="s">
        <v>50</v>
      </c>
      <c r="F959" s="31" t="s">
        <v>128</v>
      </c>
      <c r="G959" s="31" t="n">
        <v>62</v>
      </c>
      <c r="H959" s="41" t="n">
        <v>3.3</v>
      </c>
      <c r="I959" s="31" t="s">
        <v>149</v>
      </c>
      <c r="J959" s="31" t="n">
        <v>4</v>
      </c>
      <c r="K959" s="31" t="s">
        <v>150</v>
      </c>
      <c r="L959" s="45" t="n">
        <f aca="false">DATE(YEAR(B959),MONTH(B959),1)</f>
        <v>46204</v>
      </c>
      <c r="M959" s="31" t="n">
        <f aca="false">WEEKDAY(B959,2)</f>
        <v>2</v>
      </c>
      <c r="N959" s="31" t="str">
        <f aca="false">IF(G959&lt;=INDEX(Assumptions!$B$15:$B$18,MATCH(E959,Assumptions!$A$15:$A$18,0)),"Yes","No")</f>
        <v>No</v>
      </c>
      <c r="O959" s="31" t="str">
        <f aca="false">IF(H959="","Open",IF(H959&lt;=INDEX(Assumptions!$C$15:$C$18,MATCH(E959,Assumptions!$A$15:$A$18,0)),"Yes","No"))</f>
        <v>Yes</v>
      </c>
    </row>
    <row r="960" customFormat="false" ht="15" hidden="false" customHeight="false" outlineLevel="0" collapsed="false">
      <c r="A960" s="31" t="s">
        <v>1110</v>
      </c>
      <c r="B960" s="44" t="n">
        <v>46217</v>
      </c>
      <c r="C960" s="31" t="s">
        <v>59</v>
      </c>
      <c r="D960" s="31" t="s">
        <v>68</v>
      </c>
      <c r="E960" s="31" t="s">
        <v>51</v>
      </c>
      <c r="F960" s="31" t="s">
        <v>133</v>
      </c>
      <c r="G960" s="31" t="n">
        <v>66</v>
      </c>
      <c r="H960" s="41" t="n">
        <v>4</v>
      </c>
      <c r="I960" s="31" t="s">
        <v>149</v>
      </c>
      <c r="J960" s="31"/>
      <c r="K960" s="31" t="s">
        <v>150</v>
      </c>
      <c r="L960" s="45" t="n">
        <f aca="false">DATE(YEAR(B960),MONTH(B960),1)</f>
        <v>46204</v>
      </c>
      <c r="M960" s="31" t="n">
        <f aca="false">WEEKDAY(B960,2)</f>
        <v>2</v>
      </c>
      <c r="N960" s="31" t="str">
        <f aca="false">IF(G960&lt;=INDEX(Assumptions!$B$15:$B$18,MATCH(E960,Assumptions!$A$15:$A$18,0)),"Yes","No")</f>
        <v>No</v>
      </c>
      <c r="O960" s="31" t="str">
        <f aca="false">IF(H960="","Open",IF(H960&lt;=INDEX(Assumptions!$C$15:$C$18,MATCH(E960,Assumptions!$A$15:$A$18,0)),"Yes","No"))</f>
        <v>Yes</v>
      </c>
    </row>
    <row r="961" customFormat="false" ht="15" hidden="false" customHeight="false" outlineLevel="0" collapsed="false">
      <c r="A961" s="31" t="s">
        <v>1111</v>
      </c>
      <c r="B961" s="44" t="n">
        <v>46217</v>
      </c>
      <c r="C961" s="31" t="s">
        <v>58</v>
      </c>
      <c r="D961" s="31" t="s">
        <v>66</v>
      </c>
      <c r="E961" s="31" t="s">
        <v>52</v>
      </c>
      <c r="F961" s="31" t="s">
        <v>123</v>
      </c>
      <c r="G961" s="31" t="n">
        <v>10</v>
      </c>
      <c r="H961" s="41" t="n">
        <v>10.5</v>
      </c>
      <c r="I961" s="31" t="s">
        <v>149</v>
      </c>
      <c r="J961" s="31"/>
      <c r="K961" s="31" t="s">
        <v>150</v>
      </c>
      <c r="L961" s="45" t="n">
        <f aca="false">DATE(YEAR(B961),MONTH(B961),1)</f>
        <v>46204</v>
      </c>
      <c r="M961" s="31" t="n">
        <f aca="false">WEEKDAY(B961,2)</f>
        <v>2</v>
      </c>
      <c r="N961" s="31" t="str">
        <f aca="false">IF(G961&lt;=INDEX(Assumptions!$B$15:$B$18,MATCH(E961,Assumptions!$A$15:$A$18,0)),"Yes","No")</f>
        <v>Yes</v>
      </c>
      <c r="O961" s="31" t="str">
        <f aca="false">IF(H961="","Open",IF(H961&lt;=INDEX(Assumptions!$C$15:$C$18,MATCH(E961,Assumptions!$A$15:$A$18,0)),"Yes","No"))</f>
        <v>Yes</v>
      </c>
    </row>
    <row r="962" customFormat="false" ht="15" hidden="false" customHeight="false" outlineLevel="0" collapsed="false">
      <c r="A962" s="31" t="s">
        <v>1112</v>
      </c>
      <c r="B962" s="44" t="n">
        <v>46217</v>
      </c>
      <c r="C962" s="31" t="s">
        <v>60</v>
      </c>
      <c r="D962" s="31" t="s">
        <v>66</v>
      </c>
      <c r="E962" s="31" t="s">
        <v>51</v>
      </c>
      <c r="F962" s="31" t="s">
        <v>122</v>
      </c>
      <c r="G962" s="31" t="n">
        <v>1</v>
      </c>
      <c r="H962" s="41" t="n">
        <v>1.5</v>
      </c>
      <c r="I962" s="31" t="s">
        <v>149</v>
      </c>
      <c r="J962" s="31"/>
      <c r="K962" s="31" t="s">
        <v>150</v>
      </c>
      <c r="L962" s="45" t="n">
        <f aca="false">DATE(YEAR(B962),MONTH(B962),1)</f>
        <v>46204</v>
      </c>
      <c r="M962" s="31" t="n">
        <f aca="false">WEEKDAY(B962,2)</f>
        <v>2</v>
      </c>
      <c r="N962" s="31" t="str">
        <f aca="false">IF(G962&lt;=INDEX(Assumptions!$B$15:$B$18,MATCH(E962,Assumptions!$A$15:$A$18,0)),"Yes","No")</f>
        <v>Yes</v>
      </c>
      <c r="O962" s="31" t="str">
        <f aca="false">IF(H962="","Open",IF(H962&lt;=INDEX(Assumptions!$C$15:$C$18,MATCH(E962,Assumptions!$A$15:$A$18,0)),"Yes","No"))</f>
        <v>Yes</v>
      </c>
    </row>
    <row r="963" customFormat="false" ht="15" hidden="false" customHeight="false" outlineLevel="0" collapsed="false">
      <c r="A963" s="31" t="s">
        <v>1113</v>
      </c>
      <c r="B963" s="44" t="n">
        <v>46217</v>
      </c>
      <c r="C963" s="31" t="s">
        <v>59</v>
      </c>
      <c r="D963" s="31" t="s">
        <v>67</v>
      </c>
      <c r="E963" s="31" t="s">
        <v>49</v>
      </c>
      <c r="F963" s="31" t="s">
        <v>137</v>
      </c>
      <c r="G963" s="31" t="n">
        <v>56</v>
      </c>
      <c r="H963" s="41" t="n">
        <v>5.9</v>
      </c>
      <c r="I963" s="31" t="s">
        <v>149</v>
      </c>
      <c r="J963" s="31" t="n">
        <v>3</v>
      </c>
      <c r="K963" s="31" t="s">
        <v>150</v>
      </c>
      <c r="L963" s="45" t="n">
        <f aca="false">DATE(YEAR(B963),MONTH(B963),1)</f>
        <v>46204</v>
      </c>
      <c r="M963" s="31" t="n">
        <f aca="false">WEEKDAY(B963,2)</f>
        <v>2</v>
      </c>
      <c r="N963" s="31" t="str">
        <f aca="false">IF(G963&lt;=INDEX(Assumptions!$B$15:$B$18,MATCH(E963,Assumptions!$A$15:$A$18,0)),"Yes","No")</f>
        <v>No</v>
      </c>
      <c r="O963" s="31" t="str">
        <f aca="false">IF(H963="","Open",IF(H963&lt;=INDEX(Assumptions!$C$15:$C$18,MATCH(E963,Assumptions!$A$15:$A$18,0)),"Yes","No"))</f>
        <v>No</v>
      </c>
    </row>
    <row r="964" customFormat="false" ht="15" hidden="false" customHeight="false" outlineLevel="0" collapsed="false">
      <c r="A964" s="31" t="s">
        <v>1114</v>
      </c>
      <c r="B964" s="44" t="n">
        <v>46217</v>
      </c>
      <c r="C964" s="31" t="s">
        <v>58</v>
      </c>
      <c r="D964" s="31" t="s">
        <v>65</v>
      </c>
      <c r="E964" s="31" t="s">
        <v>51</v>
      </c>
      <c r="F964" s="31" t="s">
        <v>133</v>
      </c>
      <c r="G964" s="31" t="n">
        <v>14</v>
      </c>
      <c r="H964" s="41" t="n">
        <v>3.3</v>
      </c>
      <c r="I964" s="31" t="s">
        <v>149</v>
      </c>
      <c r="J964" s="31"/>
      <c r="K964" s="31" t="s">
        <v>150</v>
      </c>
      <c r="L964" s="45" t="n">
        <f aca="false">DATE(YEAR(B964),MONTH(B964),1)</f>
        <v>46204</v>
      </c>
      <c r="M964" s="31" t="n">
        <f aca="false">WEEKDAY(B964,2)</f>
        <v>2</v>
      </c>
      <c r="N964" s="31" t="str">
        <f aca="false">IF(G964&lt;=INDEX(Assumptions!$B$15:$B$18,MATCH(E964,Assumptions!$A$15:$A$18,0)),"Yes","No")</f>
        <v>Yes</v>
      </c>
      <c r="O964" s="31" t="str">
        <f aca="false">IF(H964="","Open",IF(H964&lt;=INDEX(Assumptions!$C$15:$C$18,MATCH(E964,Assumptions!$A$15:$A$18,0)),"Yes","No"))</f>
        <v>Yes</v>
      </c>
    </row>
    <row r="965" customFormat="false" ht="15" hidden="false" customHeight="false" outlineLevel="0" collapsed="false">
      <c r="A965" s="31" t="s">
        <v>1115</v>
      </c>
      <c r="B965" s="44" t="n">
        <v>46217</v>
      </c>
      <c r="C965" s="31" t="s">
        <v>57</v>
      </c>
      <c r="D965" s="31" t="s">
        <v>67</v>
      </c>
      <c r="E965" s="31" t="s">
        <v>51</v>
      </c>
      <c r="F965" s="31" t="s">
        <v>133</v>
      </c>
      <c r="G965" s="31" t="n">
        <v>2</v>
      </c>
      <c r="H965" s="41" t="n">
        <v>7.9</v>
      </c>
      <c r="I965" s="31" t="s">
        <v>149</v>
      </c>
      <c r="J965" s="31"/>
      <c r="K965" s="31" t="s">
        <v>153</v>
      </c>
      <c r="L965" s="45" t="n">
        <f aca="false">DATE(YEAR(B965),MONTH(B965),1)</f>
        <v>46204</v>
      </c>
      <c r="M965" s="31" t="n">
        <f aca="false">WEEKDAY(B965,2)</f>
        <v>2</v>
      </c>
      <c r="N965" s="31" t="str">
        <f aca="false">IF(G965&lt;=INDEX(Assumptions!$B$15:$B$18,MATCH(E965,Assumptions!$A$15:$A$18,0)),"Yes","No")</f>
        <v>Yes</v>
      </c>
      <c r="O965" s="31" t="str">
        <f aca="false">IF(H965="","Open",IF(H965&lt;=INDEX(Assumptions!$C$15:$C$18,MATCH(E965,Assumptions!$A$15:$A$18,0)),"Yes","No"))</f>
        <v>Yes</v>
      </c>
    </row>
    <row r="966" customFormat="false" ht="15" hidden="false" customHeight="false" outlineLevel="0" collapsed="false">
      <c r="A966" s="31" t="s">
        <v>1116</v>
      </c>
      <c r="B966" s="44" t="n">
        <v>46217</v>
      </c>
      <c r="C966" s="31" t="s">
        <v>57</v>
      </c>
      <c r="D966" s="31" t="s">
        <v>69</v>
      </c>
      <c r="E966" s="31" t="s">
        <v>50</v>
      </c>
      <c r="F966" s="31" t="s">
        <v>119</v>
      </c>
      <c r="G966" s="31" t="n">
        <v>2</v>
      </c>
      <c r="H966" s="41" t="n">
        <v>19.6</v>
      </c>
      <c r="I966" s="31" t="s">
        <v>149</v>
      </c>
      <c r="J966" s="31" t="n">
        <v>3</v>
      </c>
      <c r="K966" s="31" t="s">
        <v>150</v>
      </c>
      <c r="L966" s="45" t="n">
        <f aca="false">DATE(YEAR(B966),MONTH(B966),1)</f>
        <v>46204</v>
      </c>
      <c r="M966" s="31" t="n">
        <f aca="false">WEEKDAY(B966,2)</f>
        <v>2</v>
      </c>
      <c r="N966" s="31" t="str">
        <f aca="false">IF(G966&lt;=INDEX(Assumptions!$B$15:$B$18,MATCH(E966,Assumptions!$A$15:$A$18,0)),"Yes","No")</f>
        <v>Yes</v>
      </c>
      <c r="O966" s="31" t="str">
        <f aca="false">IF(H966="","Open",IF(H966&lt;=INDEX(Assumptions!$C$15:$C$18,MATCH(E966,Assumptions!$A$15:$A$18,0)),"Yes","No"))</f>
        <v>No</v>
      </c>
    </row>
    <row r="967" customFormat="false" ht="15" hidden="false" customHeight="false" outlineLevel="0" collapsed="false">
      <c r="A967" s="31" t="s">
        <v>1117</v>
      </c>
      <c r="B967" s="44" t="n">
        <v>46217</v>
      </c>
      <c r="C967" s="31" t="s">
        <v>59</v>
      </c>
      <c r="D967" s="31" t="s">
        <v>67</v>
      </c>
      <c r="E967" s="31" t="s">
        <v>52</v>
      </c>
      <c r="F967" s="31" t="s">
        <v>121</v>
      </c>
      <c r="G967" s="31" t="n">
        <v>85</v>
      </c>
      <c r="H967" s="41" t="n">
        <v>9.4</v>
      </c>
      <c r="I967" s="31" t="s">
        <v>149</v>
      </c>
      <c r="J967" s="31" t="n">
        <v>4</v>
      </c>
      <c r="K967" s="31" t="s">
        <v>150</v>
      </c>
      <c r="L967" s="45" t="n">
        <f aca="false">DATE(YEAR(B967),MONTH(B967),1)</f>
        <v>46204</v>
      </c>
      <c r="M967" s="31" t="n">
        <f aca="false">WEEKDAY(B967,2)</f>
        <v>2</v>
      </c>
      <c r="N967" s="31" t="str">
        <f aca="false">IF(G967&lt;=INDEX(Assumptions!$B$15:$B$18,MATCH(E967,Assumptions!$A$15:$A$18,0)),"Yes","No")</f>
        <v>Yes</v>
      </c>
      <c r="O967" s="31" t="str">
        <f aca="false">IF(H967="","Open",IF(H967&lt;=INDEX(Assumptions!$C$15:$C$18,MATCH(E967,Assumptions!$A$15:$A$18,0)),"Yes","No"))</f>
        <v>Yes</v>
      </c>
    </row>
    <row r="968" customFormat="false" ht="15" hidden="false" customHeight="false" outlineLevel="0" collapsed="false">
      <c r="A968" s="31" t="s">
        <v>1118</v>
      </c>
      <c r="B968" s="44" t="n">
        <v>46217</v>
      </c>
      <c r="C968" s="31" t="s">
        <v>58</v>
      </c>
      <c r="D968" s="31" t="s">
        <v>68</v>
      </c>
      <c r="E968" s="31" t="s">
        <v>51</v>
      </c>
      <c r="F968" s="31" t="s">
        <v>131</v>
      </c>
      <c r="G968" s="31" t="n">
        <v>7</v>
      </c>
      <c r="H968" s="41" t="n">
        <v>7.7</v>
      </c>
      <c r="I968" s="31" t="s">
        <v>149</v>
      </c>
      <c r="J968" s="31" t="n">
        <v>4</v>
      </c>
      <c r="K968" s="31" t="s">
        <v>150</v>
      </c>
      <c r="L968" s="45" t="n">
        <f aca="false">DATE(YEAR(B968),MONTH(B968),1)</f>
        <v>46204</v>
      </c>
      <c r="M968" s="31" t="n">
        <f aca="false">WEEKDAY(B968,2)</f>
        <v>2</v>
      </c>
      <c r="N968" s="31" t="str">
        <f aca="false">IF(G968&lt;=INDEX(Assumptions!$B$15:$B$18,MATCH(E968,Assumptions!$A$15:$A$18,0)),"Yes","No")</f>
        <v>Yes</v>
      </c>
      <c r="O968" s="31" t="str">
        <f aca="false">IF(H968="","Open",IF(H968&lt;=INDEX(Assumptions!$C$15:$C$18,MATCH(E968,Assumptions!$A$15:$A$18,0)),"Yes","No"))</f>
        <v>Yes</v>
      </c>
    </row>
    <row r="969" customFormat="false" ht="15" hidden="false" customHeight="false" outlineLevel="0" collapsed="false">
      <c r="A969" s="31" t="s">
        <v>1119</v>
      </c>
      <c r="B969" s="44" t="n">
        <v>46217</v>
      </c>
      <c r="C969" s="31" t="s">
        <v>60</v>
      </c>
      <c r="D969" s="31" t="s">
        <v>66</v>
      </c>
      <c r="E969" s="31" t="s">
        <v>51</v>
      </c>
      <c r="F969" s="31" t="s">
        <v>122</v>
      </c>
      <c r="G969" s="31" t="n">
        <v>4</v>
      </c>
      <c r="H969" s="41" t="n">
        <v>6.6</v>
      </c>
      <c r="I969" s="31" t="s">
        <v>149</v>
      </c>
      <c r="J969" s="31"/>
      <c r="K969" s="31" t="s">
        <v>150</v>
      </c>
      <c r="L969" s="45" t="n">
        <f aca="false">DATE(YEAR(B969),MONTH(B969),1)</f>
        <v>46204</v>
      </c>
      <c r="M969" s="31" t="n">
        <f aca="false">WEEKDAY(B969,2)</f>
        <v>2</v>
      </c>
      <c r="N969" s="31" t="str">
        <f aca="false">IF(G969&lt;=INDEX(Assumptions!$B$15:$B$18,MATCH(E969,Assumptions!$A$15:$A$18,0)),"Yes","No")</f>
        <v>Yes</v>
      </c>
      <c r="O969" s="31" t="str">
        <f aca="false">IF(H969="","Open",IF(H969&lt;=INDEX(Assumptions!$C$15:$C$18,MATCH(E969,Assumptions!$A$15:$A$18,0)),"Yes","No"))</f>
        <v>Yes</v>
      </c>
    </row>
    <row r="970" customFormat="false" ht="15" hidden="false" customHeight="false" outlineLevel="0" collapsed="false">
      <c r="A970" s="31" t="s">
        <v>1120</v>
      </c>
      <c r="B970" s="44" t="n">
        <v>46217</v>
      </c>
      <c r="C970" s="31" t="s">
        <v>59</v>
      </c>
      <c r="D970" s="31" t="s">
        <v>65</v>
      </c>
      <c r="E970" s="31" t="s">
        <v>50</v>
      </c>
      <c r="F970" s="31" t="s">
        <v>137</v>
      </c>
      <c r="G970" s="31" t="n">
        <v>48</v>
      </c>
      <c r="H970" s="41" t="n">
        <v>5.7</v>
      </c>
      <c r="I970" s="31" t="s">
        <v>149</v>
      </c>
      <c r="J970" s="31" t="n">
        <v>4</v>
      </c>
      <c r="K970" s="31" t="s">
        <v>150</v>
      </c>
      <c r="L970" s="45" t="n">
        <f aca="false">DATE(YEAR(B970),MONTH(B970),1)</f>
        <v>46204</v>
      </c>
      <c r="M970" s="31" t="n">
        <f aca="false">WEEKDAY(B970,2)</f>
        <v>2</v>
      </c>
      <c r="N970" s="31" t="str">
        <f aca="false">IF(G970&lt;=INDEX(Assumptions!$B$15:$B$18,MATCH(E970,Assumptions!$A$15:$A$18,0)),"Yes","No")</f>
        <v>No</v>
      </c>
      <c r="O970" s="31" t="str">
        <f aca="false">IF(H970="","Open",IF(H970&lt;=INDEX(Assumptions!$C$15:$C$18,MATCH(E970,Assumptions!$A$15:$A$18,0)),"Yes","No"))</f>
        <v>Yes</v>
      </c>
    </row>
    <row r="971" customFormat="false" ht="15" hidden="false" customHeight="false" outlineLevel="0" collapsed="false">
      <c r="A971" s="31" t="s">
        <v>1121</v>
      </c>
      <c r="B971" s="44" t="n">
        <v>46217</v>
      </c>
      <c r="C971" s="31" t="s">
        <v>59</v>
      </c>
      <c r="D971" s="31" t="s">
        <v>66</v>
      </c>
      <c r="E971" s="31" t="s">
        <v>52</v>
      </c>
      <c r="F971" s="31" t="s">
        <v>126</v>
      </c>
      <c r="G971" s="31" t="n">
        <v>22</v>
      </c>
      <c r="H971" s="41" t="n">
        <v>7.6</v>
      </c>
      <c r="I971" s="31" t="s">
        <v>149</v>
      </c>
      <c r="J971" s="31" t="n">
        <v>4</v>
      </c>
      <c r="K971" s="31" t="s">
        <v>150</v>
      </c>
      <c r="L971" s="45" t="n">
        <f aca="false">DATE(YEAR(B971),MONTH(B971),1)</f>
        <v>46204</v>
      </c>
      <c r="M971" s="31" t="n">
        <f aca="false">WEEKDAY(B971,2)</f>
        <v>2</v>
      </c>
      <c r="N971" s="31" t="str">
        <f aca="false">IF(G971&lt;=INDEX(Assumptions!$B$15:$B$18,MATCH(E971,Assumptions!$A$15:$A$18,0)),"Yes","No")</f>
        <v>Yes</v>
      </c>
      <c r="O971" s="31" t="str">
        <f aca="false">IF(H971="","Open",IF(H971&lt;=INDEX(Assumptions!$C$15:$C$18,MATCH(E971,Assumptions!$A$15:$A$18,0)),"Yes","No"))</f>
        <v>Yes</v>
      </c>
    </row>
    <row r="972" customFormat="false" ht="15" hidden="false" customHeight="false" outlineLevel="0" collapsed="false">
      <c r="A972" s="31" t="s">
        <v>1122</v>
      </c>
      <c r="B972" s="44" t="n">
        <v>46217</v>
      </c>
      <c r="C972" s="31" t="s">
        <v>58</v>
      </c>
      <c r="D972" s="31" t="s">
        <v>67</v>
      </c>
      <c r="E972" s="31" t="s">
        <v>51</v>
      </c>
      <c r="F972" s="31" t="s">
        <v>136</v>
      </c>
      <c r="G972" s="31" t="n">
        <v>15</v>
      </c>
      <c r="H972" s="41" t="n">
        <v>3.9</v>
      </c>
      <c r="I972" s="31" t="s">
        <v>149</v>
      </c>
      <c r="J972" s="31" t="n">
        <v>4</v>
      </c>
      <c r="K972" s="31" t="s">
        <v>153</v>
      </c>
      <c r="L972" s="45" t="n">
        <f aca="false">DATE(YEAR(B972),MONTH(B972),1)</f>
        <v>46204</v>
      </c>
      <c r="M972" s="31" t="n">
        <f aca="false">WEEKDAY(B972,2)</f>
        <v>2</v>
      </c>
      <c r="N972" s="31" t="str">
        <f aca="false">IF(G972&lt;=INDEX(Assumptions!$B$15:$B$18,MATCH(E972,Assumptions!$A$15:$A$18,0)),"Yes","No")</f>
        <v>Yes</v>
      </c>
      <c r="O972" s="31" t="str">
        <f aca="false">IF(H972="","Open",IF(H972&lt;=INDEX(Assumptions!$C$15:$C$18,MATCH(E972,Assumptions!$A$15:$A$18,0)),"Yes","No"))</f>
        <v>Yes</v>
      </c>
    </row>
    <row r="973" customFormat="false" ht="15" hidden="false" customHeight="false" outlineLevel="0" collapsed="false">
      <c r="A973" s="31" t="s">
        <v>1123</v>
      </c>
      <c r="B973" s="44" t="n">
        <v>46217</v>
      </c>
      <c r="C973" s="31" t="s">
        <v>57</v>
      </c>
      <c r="D973" s="31" t="s">
        <v>65</v>
      </c>
      <c r="E973" s="31" t="s">
        <v>50</v>
      </c>
      <c r="F973" s="31" t="s">
        <v>131</v>
      </c>
      <c r="G973" s="31" t="n">
        <v>2</v>
      </c>
      <c r="H973" s="41" t="n">
        <v>8.8</v>
      </c>
      <c r="I973" s="31" t="s">
        <v>149</v>
      </c>
      <c r="J973" s="31" t="n">
        <v>3</v>
      </c>
      <c r="K973" s="31" t="s">
        <v>150</v>
      </c>
      <c r="L973" s="45" t="n">
        <f aca="false">DATE(YEAR(B973),MONTH(B973),1)</f>
        <v>46204</v>
      </c>
      <c r="M973" s="31" t="n">
        <f aca="false">WEEKDAY(B973,2)</f>
        <v>2</v>
      </c>
      <c r="N973" s="31" t="str">
        <f aca="false">IF(G973&lt;=INDEX(Assumptions!$B$15:$B$18,MATCH(E973,Assumptions!$A$15:$A$18,0)),"Yes","No")</f>
        <v>Yes</v>
      </c>
      <c r="O973" s="31" t="str">
        <f aca="false">IF(H973="","Open",IF(H973&lt;=INDEX(Assumptions!$C$15:$C$18,MATCH(E973,Assumptions!$A$15:$A$18,0)),"Yes","No"))</f>
        <v>No</v>
      </c>
    </row>
    <row r="974" customFormat="false" ht="15" hidden="false" customHeight="false" outlineLevel="0" collapsed="false">
      <c r="A974" s="31" t="s">
        <v>1124</v>
      </c>
      <c r="B974" s="44" t="n">
        <v>46217</v>
      </c>
      <c r="C974" s="31" t="s">
        <v>57</v>
      </c>
      <c r="D974" s="31" t="s">
        <v>67</v>
      </c>
      <c r="E974" s="31" t="s">
        <v>51</v>
      </c>
      <c r="F974" s="31" t="s">
        <v>126</v>
      </c>
      <c r="G974" s="31" t="n">
        <v>5</v>
      </c>
      <c r="H974" s="41" t="n">
        <v>7.6</v>
      </c>
      <c r="I974" s="31" t="s">
        <v>149</v>
      </c>
      <c r="J974" s="31"/>
      <c r="K974" s="31" t="s">
        <v>150</v>
      </c>
      <c r="L974" s="45" t="n">
        <f aca="false">DATE(YEAR(B974),MONTH(B974),1)</f>
        <v>46204</v>
      </c>
      <c r="M974" s="31" t="n">
        <f aca="false">WEEKDAY(B974,2)</f>
        <v>2</v>
      </c>
      <c r="N974" s="31" t="str">
        <f aca="false">IF(G974&lt;=INDEX(Assumptions!$B$15:$B$18,MATCH(E974,Assumptions!$A$15:$A$18,0)),"Yes","No")</f>
        <v>Yes</v>
      </c>
      <c r="O974" s="31" t="str">
        <f aca="false">IF(H974="","Open",IF(H974&lt;=INDEX(Assumptions!$C$15:$C$18,MATCH(E974,Assumptions!$A$15:$A$18,0)),"Yes","No"))</f>
        <v>Yes</v>
      </c>
    </row>
    <row r="975" customFormat="false" ht="15" hidden="false" customHeight="false" outlineLevel="0" collapsed="false">
      <c r="A975" s="31" t="s">
        <v>1125</v>
      </c>
      <c r="B975" s="44" t="n">
        <v>46217</v>
      </c>
      <c r="C975" s="31" t="s">
        <v>58</v>
      </c>
      <c r="D975" s="31" t="s">
        <v>66</v>
      </c>
      <c r="E975" s="31" t="s">
        <v>52</v>
      </c>
      <c r="F975" s="31" t="s">
        <v>119</v>
      </c>
      <c r="G975" s="31" t="n">
        <v>27</v>
      </c>
      <c r="H975" s="41" t="n">
        <v>3.2</v>
      </c>
      <c r="I975" s="31" t="s">
        <v>149</v>
      </c>
      <c r="J975" s="31" t="n">
        <v>4</v>
      </c>
      <c r="K975" s="31" t="s">
        <v>150</v>
      </c>
      <c r="L975" s="45" t="n">
        <f aca="false">DATE(YEAR(B975),MONTH(B975),1)</f>
        <v>46204</v>
      </c>
      <c r="M975" s="31" t="n">
        <f aca="false">WEEKDAY(B975,2)</f>
        <v>2</v>
      </c>
      <c r="N975" s="31" t="str">
        <f aca="false">IF(G975&lt;=INDEX(Assumptions!$B$15:$B$18,MATCH(E975,Assumptions!$A$15:$A$18,0)),"Yes","No")</f>
        <v>Yes</v>
      </c>
      <c r="O975" s="31" t="str">
        <f aca="false">IF(H975="","Open",IF(H975&lt;=INDEX(Assumptions!$C$15:$C$18,MATCH(E975,Assumptions!$A$15:$A$18,0)),"Yes","No"))</f>
        <v>Yes</v>
      </c>
    </row>
    <row r="976" customFormat="false" ht="15" hidden="false" customHeight="false" outlineLevel="0" collapsed="false">
      <c r="A976" s="31" t="s">
        <v>1126</v>
      </c>
      <c r="B976" s="44" t="n">
        <v>46217</v>
      </c>
      <c r="C976" s="31" t="s">
        <v>57</v>
      </c>
      <c r="D976" s="31" t="s">
        <v>67</v>
      </c>
      <c r="E976" s="31" t="s">
        <v>50</v>
      </c>
      <c r="F976" s="31" t="s">
        <v>120</v>
      </c>
      <c r="G976" s="31" t="n">
        <v>7</v>
      </c>
      <c r="H976" s="41" t="n">
        <v>7.5</v>
      </c>
      <c r="I976" s="31" t="s">
        <v>149</v>
      </c>
      <c r="J976" s="31" t="n">
        <v>4</v>
      </c>
      <c r="K976" s="31" t="s">
        <v>153</v>
      </c>
      <c r="L976" s="45" t="n">
        <f aca="false">DATE(YEAR(B976),MONTH(B976),1)</f>
        <v>46204</v>
      </c>
      <c r="M976" s="31" t="n">
        <f aca="false">WEEKDAY(B976,2)</f>
        <v>2</v>
      </c>
      <c r="N976" s="31" t="str">
        <f aca="false">IF(G976&lt;=INDEX(Assumptions!$B$15:$B$18,MATCH(E976,Assumptions!$A$15:$A$18,0)),"Yes","No")</f>
        <v>Yes</v>
      </c>
      <c r="O976" s="31" t="str">
        <f aca="false">IF(H976="","Open",IF(H976&lt;=INDEX(Assumptions!$C$15:$C$18,MATCH(E976,Assumptions!$A$15:$A$18,0)),"Yes","No"))</f>
        <v>Yes</v>
      </c>
    </row>
    <row r="977" customFormat="false" ht="15" hidden="false" customHeight="false" outlineLevel="0" collapsed="false">
      <c r="A977" s="31" t="s">
        <v>1127</v>
      </c>
      <c r="B977" s="44" t="n">
        <v>46217</v>
      </c>
      <c r="C977" s="31" t="s">
        <v>60</v>
      </c>
      <c r="D977" s="31" t="s">
        <v>65</v>
      </c>
      <c r="E977" s="31" t="s">
        <v>52</v>
      </c>
      <c r="F977" s="31" t="s">
        <v>134</v>
      </c>
      <c r="G977" s="31" t="n">
        <v>1</v>
      </c>
      <c r="H977" s="41" t="n">
        <v>21.9</v>
      </c>
      <c r="I977" s="31" t="s">
        <v>149</v>
      </c>
      <c r="J977" s="31"/>
      <c r="K977" s="31" t="s">
        <v>150</v>
      </c>
      <c r="L977" s="45" t="n">
        <f aca="false">DATE(YEAR(B977),MONTH(B977),1)</f>
        <v>46204</v>
      </c>
      <c r="M977" s="31" t="n">
        <f aca="false">WEEKDAY(B977,2)</f>
        <v>2</v>
      </c>
      <c r="N977" s="31" t="str">
        <f aca="false">IF(G977&lt;=INDEX(Assumptions!$B$15:$B$18,MATCH(E977,Assumptions!$A$15:$A$18,0)),"Yes","No")</f>
        <v>Yes</v>
      </c>
      <c r="O977" s="31" t="str">
        <f aca="false">IF(H977="","Open",IF(H977&lt;=INDEX(Assumptions!$C$15:$C$18,MATCH(E977,Assumptions!$A$15:$A$18,0)),"Yes","No"))</f>
        <v>Yes</v>
      </c>
    </row>
    <row r="978" customFormat="false" ht="15" hidden="false" customHeight="false" outlineLevel="0" collapsed="false">
      <c r="A978" s="31" t="s">
        <v>1128</v>
      </c>
      <c r="B978" s="44" t="n">
        <v>46217</v>
      </c>
      <c r="C978" s="31" t="s">
        <v>58</v>
      </c>
      <c r="D978" s="31" t="s">
        <v>69</v>
      </c>
      <c r="E978" s="31" t="s">
        <v>52</v>
      </c>
      <c r="F978" s="31" t="s">
        <v>129</v>
      </c>
      <c r="G978" s="31" t="n">
        <v>13</v>
      </c>
      <c r="H978" s="41" t="n">
        <v>110.4</v>
      </c>
      <c r="I978" s="31" t="s">
        <v>64</v>
      </c>
      <c r="J978" s="31" t="n">
        <v>3</v>
      </c>
      <c r="K978" s="31" t="s">
        <v>150</v>
      </c>
      <c r="L978" s="45" t="n">
        <f aca="false">DATE(YEAR(B978),MONTH(B978),1)</f>
        <v>46204</v>
      </c>
      <c r="M978" s="31" t="n">
        <f aca="false">WEEKDAY(B978,2)</f>
        <v>2</v>
      </c>
      <c r="N978" s="31" t="str">
        <f aca="false">IF(G978&lt;=INDEX(Assumptions!$B$15:$B$18,MATCH(E978,Assumptions!$A$15:$A$18,0)),"Yes","No")</f>
        <v>Yes</v>
      </c>
      <c r="O978" s="31" t="str">
        <f aca="false">IF(H978="","Open",IF(H978&lt;=INDEX(Assumptions!$C$15:$C$18,MATCH(E978,Assumptions!$A$15:$A$18,0)),"Yes","No"))</f>
        <v>No</v>
      </c>
    </row>
    <row r="979" customFormat="false" ht="15" hidden="false" customHeight="false" outlineLevel="0" collapsed="false">
      <c r="A979" s="31" t="s">
        <v>1129</v>
      </c>
      <c r="B979" s="44" t="n">
        <v>46217</v>
      </c>
      <c r="C979" s="31" t="s">
        <v>60</v>
      </c>
      <c r="D979" s="31" t="s">
        <v>67</v>
      </c>
      <c r="E979" s="31" t="s">
        <v>52</v>
      </c>
      <c r="F979" s="31" t="s">
        <v>126</v>
      </c>
      <c r="G979" s="31" t="n">
        <v>2</v>
      </c>
      <c r="H979" s="41" t="n">
        <v>12.9</v>
      </c>
      <c r="I979" s="31" t="s">
        <v>149</v>
      </c>
      <c r="J979" s="31" t="n">
        <v>5</v>
      </c>
      <c r="K979" s="31" t="s">
        <v>150</v>
      </c>
      <c r="L979" s="45" t="n">
        <f aca="false">DATE(YEAR(B979),MONTH(B979),1)</f>
        <v>46204</v>
      </c>
      <c r="M979" s="31" t="n">
        <f aca="false">WEEKDAY(B979,2)</f>
        <v>2</v>
      </c>
      <c r="N979" s="31" t="str">
        <f aca="false">IF(G979&lt;=INDEX(Assumptions!$B$15:$B$18,MATCH(E979,Assumptions!$A$15:$A$18,0)),"Yes","No")</f>
        <v>Yes</v>
      </c>
      <c r="O979" s="31" t="str">
        <f aca="false">IF(H979="","Open",IF(H979&lt;=INDEX(Assumptions!$C$15:$C$18,MATCH(E979,Assumptions!$A$15:$A$18,0)),"Yes","No"))</f>
        <v>Yes</v>
      </c>
    </row>
    <row r="980" customFormat="false" ht="15" hidden="false" customHeight="false" outlineLevel="0" collapsed="false">
      <c r="A980" s="31" t="s">
        <v>1130</v>
      </c>
      <c r="B980" s="44" t="n">
        <v>46217</v>
      </c>
      <c r="C980" s="31" t="s">
        <v>58</v>
      </c>
      <c r="D980" s="31" t="s">
        <v>67</v>
      </c>
      <c r="E980" s="31" t="s">
        <v>52</v>
      </c>
      <c r="F980" s="31" t="s">
        <v>121</v>
      </c>
      <c r="G980" s="31" t="n">
        <v>20</v>
      </c>
      <c r="H980" s="41"/>
      <c r="I980" s="31" t="s">
        <v>158</v>
      </c>
      <c r="J980" s="31"/>
      <c r="K980" s="31" t="s">
        <v>150</v>
      </c>
      <c r="L980" s="45" t="n">
        <f aca="false">DATE(YEAR(B980),MONTH(B980),1)</f>
        <v>46204</v>
      </c>
      <c r="M980" s="31" t="n">
        <f aca="false">WEEKDAY(B980,2)</f>
        <v>2</v>
      </c>
      <c r="N980" s="31" t="str">
        <f aca="false">IF(G980&lt;=INDEX(Assumptions!$B$15:$B$18,MATCH(E980,Assumptions!$A$15:$A$18,0)),"Yes","No")</f>
        <v>Yes</v>
      </c>
      <c r="O980" s="31" t="str">
        <f aca="false">IF(H980="","Open",IF(H980&lt;=INDEX(Assumptions!$C$15:$C$18,MATCH(E980,Assumptions!$A$15:$A$18,0)),"Yes","No"))</f>
        <v>Open</v>
      </c>
    </row>
    <row r="981" customFormat="false" ht="15" hidden="false" customHeight="false" outlineLevel="0" collapsed="false">
      <c r="A981" s="31" t="s">
        <v>1131</v>
      </c>
      <c r="B981" s="44" t="n">
        <v>46217</v>
      </c>
      <c r="C981" s="31" t="s">
        <v>57</v>
      </c>
      <c r="D981" s="31" t="s">
        <v>66</v>
      </c>
      <c r="E981" s="31" t="s">
        <v>51</v>
      </c>
      <c r="F981" s="31" t="s">
        <v>137</v>
      </c>
      <c r="G981" s="31" t="n">
        <v>4</v>
      </c>
      <c r="H981" s="41" t="n">
        <v>15.7</v>
      </c>
      <c r="I981" s="31" t="s">
        <v>64</v>
      </c>
      <c r="J981" s="31"/>
      <c r="K981" s="31" t="s">
        <v>150</v>
      </c>
      <c r="L981" s="45" t="n">
        <f aca="false">DATE(YEAR(B981),MONTH(B981),1)</f>
        <v>46204</v>
      </c>
      <c r="M981" s="31" t="n">
        <f aca="false">WEEKDAY(B981,2)</f>
        <v>2</v>
      </c>
      <c r="N981" s="31" t="str">
        <f aca="false">IF(G981&lt;=INDEX(Assumptions!$B$15:$B$18,MATCH(E981,Assumptions!$A$15:$A$18,0)),"Yes","No")</f>
        <v>Yes</v>
      </c>
      <c r="O981" s="31" t="str">
        <f aca="false">IF(H981="","Open",IF(H981&lt;=INDEX(Assumptions!$C$15:$C$18,MATCH(E981,Assumptions!$A$15:$A$18,0)),"Yes","No"))</f>
        <v>Yes</v>
      </c>
    </row>
    <row r="982" customFormat="false" ht="15" hidden="false" customHeight="false" outlineLevel="0" collapsed="false">
      <c r="A982" s="31" t="s">
        <v>1132</v>
      </c>
      <c r="B982" s="44" t="n">
        <v>46217</v>
      </c>
      <c r="C982" s="31" t="s">
        <v>57</v>
      </c>
      <c r="D982" s="31" t="s">
        <v>68</v>
      </c>
      <c r="E982" s="31" t="s">
        <v>51</v>
      </c>
      <c r="F982" s="31" t="s">
        <v>124</v>
      </c>
      <c r="G982" s="31" t="n">
        <v>7</v>
      </c>
      <c r="H982" s="41" t="n">
        <v>0.7</v>
      </c>
      <c r="I982" s="31" t="s">
        <v>149</v>
      </c>
      <c r="J982" s="31"/>
      <c r="K982" s="31" t="s">
        <v>150</v>
      </c>
      <c r="L982" s="45" t="n">
        <f aca="false">DATE(YEAR(B982),MONTH(B982),1)</f>
        <v>46204</v>
      </c>
      <c r="M982" s="31" t="n">
        <f aca="false">WEEKDAY(B982,2)</f>
        <v>2</v>
      </c>
      <c r="N982" s="31" t="str">
        <f aca="false">IF(G982&lt;=INDEX(Assumptions!$B$15:$B$18,MATCH(E982,Assumptions!$A$15:$A$18,0)),"Yes","No")</f>
        <v>Yes</v>
      </c>
      <c r="O982" s="31" t="str">
        <f aca="false">IF(H982="","Open",IF(H982&lt;=INDEX(Assumptions!$C$15:$C$18,MATCH(E982,Assumptions!$A$15:$A$18,0)),"Yes","No"))</f>
        <v>Yes</v>
      </c>
    </row>
    <row r="983" customFormat="false" ht="15" hidden="false" customHeight="false" outlineLevel="0" collapsed="false">
      <c r="A983" s="31" t="s">
        <v>1133</v>
      </c>
      <c r="B983" s="44" t="n">
        <v>46217</v>
      </c>
      <c r="C983" s="31" t="s">
        <v>58</v>
      </c>
      <c r="D983" s="31" t="s">
        <v>66</v>
      </c>
      <c r="E983" s="31" t="s">
        <v>49</v>
      </c>
      <c r="F983" s="31" t="s">
        <v>137</v>
      </c>
      <c r="G983" s="31" t="n">
        <v>25</v>
      </c>
      <c r="H983" s="41" t="n">
        <v>12.1</v>
      </c>
      <c r="I983" s="31" t="s">
        <v>149</v>
      </c>
      <c r="J983" s="31"/>
      <c r="K983" s="31" t="s">
        <v>150</v>
      </c>
      <c r="L983" s="45" t="n">
        <f aca="false">DATE(YEAR(B983),MONTH(B983),1)</f>
        <v>46204</v>
      </c>
      <c r="M983" s="31" t="n">
        <f aca="false">WEEKDAY(B983,2)</f>
        <v>2</v>
      </c>
      <c r="N983" s="31" t="str">
        <f aca="false">IF(G983&lt;=INDEX(Assumptions!$B$15:$B$18,MATCH(E983,Assumptions!$A$15:$A$18,0)),"Yes","No")</f>
        <v>No</v>
      </c>
      <c r="O983" s="31" t="str">
        <f aca="false">IF(H983="","Open",IF(H983&lt;=INDEX(Assumptions!$C$15:$C$18,MATCH(E983,Assumptions!$A$15:$A$18,0)),"Yes","No"))</f>
        <v>No</v>
      </c>
    </row>
    <row r="984" customFormat="false" ht="15" hidden="false" customHeight="false" outlineLevel="0" collapsed="false">
      <c r="A984" s="31" t="s">
        <v>1134</v>
      </c>
      <c r="B984" s="44" t="n">
        <v>46217</v>
      </c>
      <c r="C984" s="31" t="s">
        <v>59</v>
      </c>
      <c r="D984" s="31" t="s">
        <v>69</v>
      </c>
      <c r="E984" s="31" t="s">
        <v>51</v>
      </c>
      <c r="F984" s="31" t="s">
        <v>136</v>
      </c>
      <c r="G984" s="31" t="n">
        <v>20</v>
      </c>
      <c r="H984" s="41" t="n">
        <v>26.9</v>
      </c>
      <c r="I984" s="31" t="s">
        <v>149</v>
      </c>
      <c r="J984" s="31" t="n">
        <v>4</v>
      </c>
      <c r="K984" s="31" t="s">
        <v>150</v>
      </c>
      <c r="L984" s="45" t="n">
        <f aca="false">DATE(YEAR(B984),MONTH(B984),1)</f>
        <v>46204</v>
      </c>
      <c r="M984" s="31" t="n">
        <f aca="false">WEEKDAY(B984,2)</f>
        <v>2</v>
      </c>
      <c r="N984" s="31" t="str">
        <f aca="false">IF(G984&lt;=INDEX(Assumptions!$B$15:$B$18,MATCH(E984,Assumptions!$A$15:$A$18,0)),"Yes","No")</f>
        <v>Yes</v>
      </c>
      <c r="O984" s="31" t="str">
        <f aca="false">IF(H984="","Open",IF(H984&lt;=INDEX(Assumptions!$C$15:$C$18,MATCH(E984,Assumptions!$A$15:$A$18,0)),"Yes","No"))</f>
        <v>No</v>
      </c>
    </row>
    <row r="985" customFormat="false" ht="15" hidden="false" customHeight="false" outlineLevel="0" collapsed="false">
      <c r="A985" s="31" t="s">
        <v>1135</v>
      </c>
      <c r="B985" s="44" t="n">
        <v>46217</v>
      </c>
      <c r="C985" s="31" t="s">
        <v>59</v>
      </c>
      <c r="D985" s="31" t="s">
        <v>65</v>
      </c>
      <c r="E985" s="31" t="s">
        <v>51</v>
      </c>
      <c r="F985" s="31" t="s">
        <v>134</v>
      </c>
      <c r="G985" s="31" t="n">
        <v>239</v>
      </c>
      <c r="H985" s="41" t="n">
        <v>83.8</v>
      </c>
      <c r="I985" s="31" t="s">
        <v>149</v>
      </c>
      <c r="J985" s="31" t="n">
        <v>2</v>
      </c>
      <c r="K985" s="31" t="s">
        <v>150</v>
      </c>
      <c r="L985" s="45" t="n">
        <f aca="false">DATE(YEAR(B985),MONTH(B985),1)</f>
        <v>46204</v>
      </c>
      <c r="M985" s="31" t="n">
        <f aca="false">WEEKDAY(B985,2)</f>
        <v>2</v>
      </c>
      <c r="N985" s="31" t="str">
        <f aca="false">IF(G985&lt;=INDEX(Assumptions!$B$15:$B$18,MATCH(E985,Assumptions!$A$15:$A$18,0)),"Yes","No")</f>
        <v>No</v>
      </c>
      <c r="O985" s="31" t="str">
        <f aca="false">IF(H985="","Open",IF(H985&lt;=INDEX(Assumptions!$C$15:$C$18,MATCH(E985,Assumptions!$A$15:$A$18,0)),"Yes","No"))</f>
        <v>No</v>
      </c>
    </row>
    <row r="986" customFormat="false" ht="15" hidden="false" customHeight="false" outlineLevel="0" collapsed="false">
      <c r="A986" s="31" t="s">
        <v>1136</v>
      </c>
      <c r="B986" s="44" t="n">
        <v>46217</v>
      </c>
      <c r="C986" s="31" t="s">
        <v>58</v>
      </c>
      <c r="D986" s="31" t="s">
        <v>66</v>
      </c>
      <c r="E986" s="31" t="s">
        <v>52</v>
      </c>
      <c r="F986" s="31" t="s">
        <v>131</v>
      </c>
      <c r="G986" s="31" t="n">
        <v>13</v>
      </c>
      <c r="H986" s="41" t="n">
        <v>10.9</v>
      </c>
      <c r="I986" s="31" t="s">
        <v>64</v>
      </c>
      <c r="J986" s="31" t="n">
        <v>3</v>
      </c>
      <c r="K986" s="31" t="s">
        <v>153</v>
      </c>
      <c r="L986" s="45" t="n">
        <f aca="false">DATE(YEAR(B986),MONTH(B986),1)</f>
        <v>46204</v>
      </c>
      <c r="M986" s="31" t="n">
        <f aca="false">WEEKDAY(B986,2)</f>
        <v>2</v>
      </c>
      <c r="N986" s="31" t="str">
        <f aca="false">IF(G986&lt;=INDEX(Assumptions!$B$15:$B$18,MATCH(E986,Assumptions!$A$15:$A$18,0)),"Yes","No")</f>
        <v>Yes</v>
      </c>
      <c r="O986" s="31" t="str">
        <f aca="false">IF(H986="","Open",IF(H986&lt;=INDEX(Assumptions!$C$15:$C$18,MATCH(E986,Assumptions!$A$15:$A$18,0)),"Yes","No"))</f>
        <v>Yes</v>
      </c>
    </row>
    <row r="987" customFormat="false" ht="15" hidden="false" customHeight="false" outlineLevel="0" collapsed="false">
      <c r="A987" s="31" t="s">
        <v>1137</v>
      </c>
      <c r="B987" s="44" t="n">
        <v>46217</v>
      </c>
      <c r="C987" s="31" t="s">
        <v>59</v>
      </c>
      <c r="D987" s="31" t="s">
        <v>69</v>
      </c>
      <c r="E987" s="31" t="s">
        <v>52</v>
      </c>
      <c r="F987" s="31" t="s">
        <v>117</v>
      </c>
      <c r="G987" s="31" t="n">
        <v>172</v>
      </c>
      <c r="H987" s="41" t="n">
        <v>19.6</v>
      </c>
      <c r="I987" s="31" t="s">
        <v>149</v>
      </c>
      <c r="J987" s="31" t="n">
        <v>5</v>
      </c>
      <c r="K987" s="31" t="s">
        <v>150</v>
      </c>
      <c r="L987" s="45" t="n">
        <f aca="false">DATE(YEAR(B987),MONTH(B987),1)</f>
        <v>46204</v>
      </c>
      <c r="M987" s="31" t="n">
        <f aca="false">WEEKDAY(B987,2)</f>
        <v>2</v>
      </c>
      <c r="N987" s="31" t="str">
        <f aca="false">IF(G987&lt;=INDEX(Assumptions!$B$15:$B$18,MATCH(E987,Assumptions!$A$15:$A$18,0)),"Yes","No")</f>
        <v>Yes</v>
      </c>
      <c r="O987" s="31" t="str">
        <f aca="false">IF(H987="","Open",IF(H987&lt;=INDEX(Assumptions!$C$15:$C$18,MATCH(E987,Assumptions!$A$15:$A$18,0)),"Yes","No"))</f>
        <v>Yes</v>
      </c>
    </row>
    <row r="988" customFormat="false" ht="15" hidden="false" customHeight="false" outlineLevel="0" collapsed="false">
      <c r="A988" s="31" t="s">
        <v>1138</v>
      </c>
      <c r="B988" s="44" t="n">
        <v>46217</v>
      </c>
      <c r="C988" s="31" t="s">
        <v>57</v>
      </c>
      <c r="D988" s="31" t="s">
        <v>68</v>
      </c>
      <c r="E988" s="31" t="s">
        <v>51</v>
      </c>
      <c r="F988" s="31" t="s">
        <v>135</v>
      </c>
      <c r="G988" s="31" t="n">
        <v>17</v>
      </c>
      <c r="H988" s="41" t="n">
        <v>4.4</v>
      </c>
      <c r="I988" s="31" t="s">
        <v>149</v>
      </c>
      <c r="J988" s="31" t="n">
        <v>5</v>
      </c>
      <c r="K988" s="31" t="s">
        <v>150</v>
      </c>
      <c r="L988" s="45" t="n">
        <f aca="false">DATE(YEAR(B988),MONTH(B988),1)</f>
        <v>46204</v>
      </c>
      <c r="M988" s="31" t="n">
        <f aca="false">WEEKDAY(B988,2)</f>
        <v>2</v>
      </c>
      <c r="N988" s="31" t="str">
        <f aca="false">IF(G988&lt;=INDEX(Assumptions!$B$15:$B$18,MATCH(E988,Assumptions!$A$15:$A$18,0)),"Yes","No")</f>
        <v>Yes</v>
      </c>
      <c r="O988" s="31" t="str">
        <f aca="false">IF(H988="","Open",IF(H988&lt;=INDEX(Assumptions!$C$15:$C$18,MATCH(E988,Assumptions!$A$15:$A$18,0)),"Yes","No"))</f>
        <v>Yes</v>
      </c>
    </row>
    <row r="989" customFormat="false" ht="15" hidden="false" customHeight="false" outlineLevel="0" collapsed="false">
      <c r="A989" s="31" t="s">
        <v>1139</v>
      </c>
      <c r="B989" s="44" t="n">
        <v>46217</v>
      </c>
      <c r="C989" s="31" t="s">
        <v>58</v>
      </c>
      <c r="D989" s="31" t="s">
        <v>67</v>
      </c>
      <c r="E989" s="31" t="s">
        <v>50</v>
      </c>
      <c r="F989" s="31" t="s">
        <v>122</v>
      </c>
      <c r="G989" s="31" t="n">
        <v>8</v>
      </c>
      <c r="H989" s="41" t="n">
        <v>3.7</v>
      </c>
      <c r="I989" s="31" t="s">
        <v>149</v>
      </c>
      <c r="J989" s="31"/>
      <c r="K989" s="31" t="s">
        <v>150</v>
      </c>
      <c r="L989" s="45" t="n">
        <f aca="false">DATE(YEAR(B989),MONTH(B989),1)</f>
        <v>46204</v>
      </c>
      <c r="M989" s="31" t="n">
        <f aca="false">WEEKDAY(B989,2)</f>
        <v>2</v>
      </c>
      <c r="N989" s="31" t="str">
        <f aca="false">IF(G989&lt;=INDEX(Assumptions!$B$15:$B$18,MATCH(E989,Assumptions!$A$15:$A$18,0)),"Yes","No")</f>
        <v>Yes</v>
      </c>
      <c r="O989" s="31" t="str">
        <f aca="false">IF(H989="","Open",IF(H989&lt;=INDEX(Assumptions!$C$15:$C$18,MATCH(E989,Assumptions!$A$15:$A$18,0)),"Yes","No"))</f>
        <v>Yes</v>
      </c>
    </row>
    <row r="990" customFormat="false" ht="15" hidden="false" customHeight="false" outlineLevel="0" collapsed="false">
      <c r="A990" s="31" t="s">
        <v>1140</v>
      </c>
      <c r="B990" s="44" t="n">
        <v>46217</v>
      </c>
      <c r="C990" s="31" t="s">
        <v>58</v>
      </c>
      <c r="D990" s="31" t="s">
        <v>65</v>
      </c>
      <c r="E990" s="31" t="s">
        <v>50</v>
      </c>
      <c r="F990" s="31" t="s">
        <v>120</v>
      </c>
      <c r="G990" s="31" t="n">
        <v>26</v>
      </c>
      <c r="H990" s="41" t="n">
        <v>15.8</v>
      </c>
      <c r="I990" s="31" t="s">
        <v>149</v>
      </c>
      <c r="J990" s="31" t="n">
        <v>4</v>
      </c>
      <c r="K990" s="31" t="s">
        <v>150</v>
      </c>
      <c r="L990" s="45" t="n">
        <f aca="false">DATE(YEAR(B990),MONTH(B990),1)</f>
        <v>46204</v>
      </c>
      <c r="M990" s="31" t="n">
        <f aca="false">WEEKDAY(B990,2)</f>
        <v>2</v>
      </c>
      <c r="N990" s="31" t="str">
        <f aca="false">IF(G990&lt;=INDEX(Assumptions!$B$15:$B$18,MATCH(E990,Assumptions!$A$15:$A$18,0)),"Yes","No")</f>
        <v>Yes</v>
      </c>
      <c r="O990" s="31" t="str">
        <f aca="false">IF(H990="","Open",IF(H990&lt;=INDEX(Assumptions!$C$15:$C$18,MATCH(E990,Assumptions!$A$15:$A$18,0)),"Yes","No"))</f>
        <v>No</v>
      </c>
    </row>
    <row r="991" customFormat="false" ht="15" hidden="false" customHeight="false" outlineLevel="0" collapsed="false">
      <c r="A991" s="31" t="s">
        <v>1141</v>
      </c>
      <c r="B991" s="44" t="n">
        <v>46217</v>
      </c>
      <c r="C991" s="31" t="s">
        <v>59</v>
      </c>
      <c r="D991" s="31" t="s">
        <v>67</v>
      </c>
      <c r="E991" s="31" t="s">
        <v>52</v>
      </c>
      <c r="F991" s="31" t="s">
        <v>133</v>
      </c>
      <c r="G991" s="31" t="n">
        <v>234</v>
      </c>
      <c r="H991" s="41" t="n">
        <v>18.4</v>
      </c>
      <c r="I991" s="31" t="s">
        <v>149</v>
      </c>
      <c r="J991" s="31" t="n">
        <v>5</v>
      </c>
      <c r="K991" s="31" t="s">
        <v>150</v>
      </c>
      <c r="L991" s="45" t="n">
        <f aca="false">DATE(YEAR(B991),MONTH(B991),1)</f>
        <v>46204</v>
      </c>
      <c r="M991" s="31" t="n">
        <f aca="false">WEEKDAY(B991,2)</f>
        <v>2</v>
      </c>
      <c r="N991" s="31" t="str">
        <f aca="false">IF(G991&lt;=INDEX(Assumptions!$B$15:$B$18,MATCH(E991,Assumptions!$A$15:$A$18,0)),"Yes","No")</f>
        <v>Yes</v>
      </c>
      <c r="O991" s="31" t="str">
        <f aca="false">IF(H991="","Open",IF(H991&lt;=INDEX(Assumptions!$C$15:$C$18,MATCH(E991,Assumptions!$A$15:$A$18,0)),"Yes","No"))</f>
        <v>Yes</v>
      </c>
    </row>
    <row r="992" customFormat="false" ht="15" hidden="false" customHeight="false" outlineLevel="0" collapsed="false">
      <c r="A992" s="31" t="s">
        <v>1142</v>
      </c>
      <c r="B992" s="44" t="n">
        <v>46217</v>
      </c>
      <c r="C992" s="31" t="s">
        <v>58</v>
      </c>
      <c r="D992" s="31" t="s">
        <v>66</v>
      </c>
      <c r="E992" s="31" t="s">
        <v>50</v>
      </c>
      <c r="F992" s="31" t="s">
        <v>130</v>
      </c>
      <c r="G992" s="31" t="n">
        <v>8</v>
      </c>
      <c r="H992" s="41" t="n">
        <v>6.2</v>
      </c>
      <c r="I992" s="31" t="s">
        <v>149</v>
      </c>
      <c r="J992" s="31"/>
      <c r="K992" s="31" t="s">
        <v>150</v>
      </c>
      <c r="L992" s="45" t="n">
        <f aca="false">DATE(YEAR(B992),MONTH(B992),1)</f>
        <v>46204</v>
      </c>
      <c r="M992" s="31" t="n">
        <f aca="false">WEEKDAY(B992,2)</f>
        <v>2</v>
      </c>
      <c r="N992" s="31" t="str">
        <f aca="false">IF(G992&lt;=INDEX(Assumptions!$B$15:$B$18,MATCH(E992,Assumptions!$A$15:$A$18,0)),"Yes","No")</f>
        <v>Yes</v>
      </c>
      <c r="O992" s="31" t="str">
        <f aca="false">IF(H992="","Open",IF(H992&lt;=INDEX(Assumptions!$C$15:$C$18,MATCH(E992,Assumptions!$A$15:$A$18,0)),"Yes","No"))</f>
        <v>Yes</v>
      </c>
    </row>
    <row r="993" customFormat="false" ht="15" hidden="false" customHeight="false" outlineLevel="0" collapsed="false">
      <c r="A993" s="31" t="s">
        <v>1143</v>
      </c>
      <c r="B993" s="44" t="n">
        <v>46217</v>
      </c>
      <c r="C993" s="31" t="s">
        <v>59</v>
      </c>
      <c r="D993" s="31" t="s">
        <v>65</v>
      </c>
      <c r="E993" s="31" t="s">
        <v>51</v>
      </c>
      <c r="F993" s="31" t="s">
        <v>128</v>
      </c>
      <c r="G993" s="31" t="n">
        <v>128</v>
      </c>
      <c r="H993" s="41" t="n">
        <v>6.8</v>
      </c>
      <c r="I993" s="31" t="s">
        <v>149</v>
      </c>
      <c r="J993" s="31"/>
      <c r="K993" s="31" t="s">
        <v>150</v>
      </c>
      <c r="L993" s="45" t="n">
        <f aca="false">DATE(YEAR(B993),MONTH(B993),1)</f>
        <v>46204</v>
      </c>
      <c r="M993" s="31" t="n">
        <f aca="false">WEEKDAY(B993,2)</f>
        <v>2</v>
      </c>
      <c r="N993" s="31" t="str">
        <f aca="false">IF(G993&lt;=INDEX(Assumptions!$B$15:$B$18,MATCH(E993,Assumptions!$A$15:$A$18,0)),"Yes","No")</f>
        <v>No</v>
      </c>
      <c r="O993" s="31" t="str">
        <f aca="false">IF(H993="","Open",IF(H993&lt;=INDEX(Assumptions!$C$15:$C$18,MATCH(E993,Assumptions!$A$15:$A$18,0)),"Yes","No"))</f>
        <v>Yes</v>
      </c>
    </row>
    <row r="994" customFormat="false" ht="15" hidden="false" customHeight="false" outlineLevel="0" collapsed="false">
      <c r="A994" s="31" t="s">
        <v>1144</v>
      </c>
      <c r="B994" s="44" t="n">
        <v>46217</v>
      </c>
      <c r="C994" s="31" t="s">
        <v>57</v>
      </c>
      <c r="D994" s="31" t="s">
        <v>65</v>
      </c>
      <c r="E994" s="31" t="s">
        <v>50</v>
      </c>
      <c r="F994" s="31" t="s">
        <v>137</v>
      </c>
      <c r="G994" s="31" t="n">
        <v>1</v>
      </c>
      <c r="H994" s="41" t="n">
        <v>13.7</v>
      </c>
      <c r="I994" s="31" t="s">
        <v>149</v>
      </c>
      <c r="J994" s="31" t="n">
        <v>3</v>
      </c>
      <c r="K994" s="31" t="s">
        <v>150</v>
      </c>
      <c r="L994" s="45" t="n">
        <f aca="false">DATE(YEAR(B994),MONTH(B994),1)</f>
        <v>46204</v>
      </c>
      <c r="M994" s="31" t="n">
        <f aca="false">WEEKDAY(B994,2)</f>
        <v>2</v>
      </c>
      <c r="N994" s="31" t="str">
        <f aca="false">IF(G994&lt;=INDEX(Assumptions!$B$15:$B$18,MATCH(E994,Assumptions!$A$15:$A$18,0)),"Yes","No")</f>
        <v>Yes</v>
      </c>
      <c r="O994" s="31" t="str">
        <f aca="false">IF(H994="","Open",IF(H994&lt;=INDEX(Assumptions!$C$15:$C$18,MATCH(E994,Assumptions!$A$15:$A$18,0)),"Yes","No"))</f>
        <v>No</v>
      </c>
    </row>
    <row r="995" customFormat="false" ht="15" hidden="false" customHeight="false" outlineLevel="0" collapsed="false">
      <c r="A995" s="31" t="s">
        <v>1145</v>
      </c>
      <c r="B995" s="44" t="n">
        <v>46218</v>
      </c>
      <c r="C995" s="31" t="s">
        <v>58</v>
      </c>
      <c r="D995" s="31" t="s">
        <v>65</v>
      </c>
      <c r="E995" s="31" t="s">
        <v>51</v>
      </c>
      <c r="F995" s="31" t="s">
        <v>131</v>
      </c>
      <c r="G995" s="31" t="n">
        <v>12</v>
      </c>
      <c r="H995" s="41" t="n">
        <v>11.6</v>
      </c>
      <c r="I995" s="31" t="s">
        <v>149</v>
      </c>
      <c r="J995" s="31"/>
      <c r="K995" s="31" t="s">
        <v>150</v>
      </c>
      <c r="L995" s="45" t="n">
        <f aca="false">DATE(YEAR(B995),MONTH(B995),1)</f>
        <v>46204</v>
      </c>
      <c r="M995" s="31" t="n">
        <f aca="false">WEEKDAY(B995,2)</f>
        <v>3</v>
      </c>
      <c r="N995" s="31" t="str">
        <f aca="false">IF(G995&lt;=INDEX(Assumptions!$B$15:$B$18,MATCH(E995,Assumptions!$A$15:$A$18,0)),"Yes","No")</f>
        <v>Yes</v>
      </c>
      <c r="O995" s="31" t="str">
        <f aca="false">IF(H995="","Open",IF(H995&lt;=INDEX(Assumptions!$C$15:$C$18,MATCH(E995,Assumptions!$A$15:$A$18,0)),"Yes","No"))</f>
        <v>Yes</v>
      </c>
    </row>
    <row r="996" customFormat="false" ht="15" hidden="false" customHeight="false" outlineLevel="0" collapsed="false">
      <c r="A996" s="31" t="s">
        <v>1146</v>
      </c>
      <c r="B996" s="44" t="n">
        <v>46218</v>
      </c>
      <c r="C996" s="31" t="s">
        <v>60</v>
      </c>
      <c r="D996" s="31" t="s">
        <v>66</v>
      </c>
      <c r="E996" s="31" t="s">
        <v>50</v>
      </c>
      <c r="F996" s="31" t="s">
        <v>129</v>
      </c>
      <c r="G996" s="31" t="n">
        <v>1</v>
      </c>
      <c r="H996" s="41" t="n">
        <v>1.8</v>
      </c>
      <c r="I996" s="31" t="s">
        <v>149</v>
      </c>
      <c r="J996" s="31" t="n">
        <v>5</v>
      </c>
      <c r="K996" s="31" t="s">
        <v>153</v>
      </c>
      <c r="L996" s="45" t="n">
        <f aca="false">DATE(YEAR(B996),MONTH(B996),1)</f>
        <v>46204</v>
      </c>
      <c r="M996" s="31" t="n">
        <f aca="false">WEEKDAY(B996,2)</f>
        <v>3</v>
      </c>
      <c r="N996" s="31" t="str">
        <f aca="false">IF(G996&lt;=INDEX(Assumptions!$B$15:$B$18,MATCH(E996,Assumptions!$A$15:$A$18,0)),"Yes","No")</f>
        <v>Yes</v>
      </c>
      <c r="O996" s="31" t="str">
        <f aca="false">IF(H996="","Open",IF(H996&lt;=INDEX(Assumptions!$C$15:$C$18,MATCH(E996,Assumptions!$A$15:$A$18,0)),"Yes","No"))</f>
        <v>Yes</v>
      </c>
    </row>
    <row r="997" customFormat="false" ht="15" hidden="false" customHeight="false" outlineLevel="0" collapsed="false">
      <c r="A997" s="31" t="s">
        <v>1147</v>
      </c>
      <c r="B997" s="44" t="n">
        <v>46218</v>
      </c>
      <c r="C997" s="31" t="s">
        <v>58</v>
      </c>
      <c r="D997" s="31" t="s">
        <v>67</v>
      </c>
      <c r="E997" s="31" t="s">
        <v>50</v>
      </c>
      <c r="F997" s="31" t="s">
        <v>129</v>
      </c>
      <c r="G997" s="31" t="n">
        <v>8</v>
      </c>
      <c r="H997" s="41" t="n">
        <v>7.6</v>
      </c>
      <c r="I997" s="31" t="s">
        <v>149</v>
      </c>
      <c r="J997" s="31"/>
      <c r="K997" s="31" t="s">
        <v>150</v>
      </c>
      <c r="L997" s="45" t="n">
        <f aca="false">DATE(YEAR(B997),MONTH(B997),1)</f>
        <v>46204</v>
      </c>
      <c r="M997" s="31" t="n">
        <f aca="false">WEEKDAY(B997,2)</f>
        <v>3</v>
      </c>
      <c r="N997" s="31" t="str">
        <f aca="false">IF(G997&lt;=INDEX(Assumptions!$B$15:$B$18,MATCH(E997,Assumptions!$A$15:$A$18,0)),"Yes","No")</f>
        <v>Yes</v>
      </c>
      <c r="O997" s="31" t="str">
        <f aca="false">IF(H997="","Open",IF(H997&lt;=INDEX(Assumptions!$C$15:$C$18,MATCH(E997,Assumptions!$A$15:$A$18,0)),"Yes","No"))</f>
        <v>Yes</v>
      </c>
    </row>
    <row r="998" customFormat="false" ht="15" hidden="false" customHeight="false" outlineLevel="0" collapsed="false">
      <c r="A998" s="31" t="s">
        <v>1148</v>
      </c>
      <c r="B998" s="44" t="n">
        <v>46218</v>
      </c>
      <c r="C998" s="31" t="s">
        <v>60</v>
      </c>
      <c r="D998" s="31" t="s">
        <v>66</v>
      </c>
      <c r="E998" s="31" t="s">
        <v>51</v>
      </c>
      <c r="F998" s="31" t="s">
        <v>120</v>
      </c>
      <c r="G998" s="31" t="n">
        <v>2</v>
      </c>
      <c r="H998" s="41" t="n">
        <v>11.4</v>
      </c>
      <c r="I998" s="31" t="s">
        <v>149</v>
      </c>
      <c r="J998" s="31" t="n">
        <v>3</v>
      </c>
      <c r="K998" s="31" t="s">
        <v>150</v>
      </c>
      <c r="L998" s="45" t="n">
        <f aca="false">DATE(YEAR(B998),MONTH(B998),1)</f>
        <v>46204</v>
      </c>
      <c r="M998" s="31" t="n">
        <f aca="false">WEEKDAY(B998,2)</f>
        <v>3</v>
      </c>
      <c r="N998" s="31" t="str">
        <f aca="false">IF(G998&lt;=INDEX(Assumptions!$B$15:$B$18,MATCH(E998,Assumptions!$A$15:$A$18,0)),"Yes","No")</f>
        <v>Yes</v>
      </c>
      <c r="O998" s="31" t="str">
        <f aca="false">IF(H998="","Open",IF(H998&lt;=INDEX(Assumptions!$C$15:$C$18,MATCH(E998,Assumptions!$A$15:$A$18,0)),"Yes","No"))</f>
        <v>Yes</v>
      </c>
    </row>
    <row r="999" customFormat="false" ht="15" hidden="false" customHeight="false" outlineLevel="0" collapsed="false">
      <c r="A999" s="31" t="s">
        <v>1149</v>
      </c>
      <c r="B999" s="44" t="n">
        <v>46218</v>
      </c>
      <c r="C999" s="31" t="s">
        <v>57</v>
      </c>
      <c r="D999" s="31" t="s">
        <v>65</v>
      </c>
      <c r="E999" s="31" t="s">
        <v>52</v>
      </c>
      <c r="F999" s="31" t="s">
        <v>119</v>
      </c>
      <c r="G999" s="31" t="n">
        <v>4</v>
      </c>
      <c r="H999" s="41" t="n">
        <v>8.4</v>
      </c>
      <c r="I999" s="31" t="s">
        <v>149</v>
      </c>
      <c r="J999" s="31"/>
      <c r="K999" s="31" t="s">
        <v>150</v>
      </c>
      <c r="L999" s="45" t="n">
        <f aca="false">DATE(YEAR(B999),MONTH(B999),1)</f>
        <v>46204</v>
      </c>
      <c r="M999" s="31" t="n">
        <f aca="false">WEEKDAY(B999,2)</f>
        <v>3</v>
      </c>
      <c r="N999" s="31" t="str">
        <f aca="false">IF(G999&lt;=INDEX(Assumptions!$B$15:$B$18,MATCH(E999,Assumptions!$A$15:$A$18,0)),"Yes","No")</f>
        <v>Yes</v>
      </c>
      <c r="O999" s="31" t="str">
        <f aca="false">IF(H999="","Open",IF(H999&lt;=INDEX(Assumptions!$C$15:$C$18,MATCH(E999,Assumptions!$A$15:$A$18,0)),"Yes","No"))</f>
        <v>Yes</v>
      </c>
    </row>
    <row r="1000" customFormat="false" ht="15" hidden="false" customHeight="false" outlineLevel="0" collapsed="false">
      <c r="A1000" s="31" t="s">
        <v>1150</v>
      </c>
      <c r="B1000" s="44" t="n">
        <v>46218</v>
      </c>
      <c r="C1000" s="31" t="s">
        <v>57</v>
      </c>
      <c r="D1000" s="31" t="s">
        <v>67</v>
      </c>
      <c r="E1000" s="31" t="s">
        <v>51</v>
      </c>
      <c r="F1000" s="31" t="s">
        <v>123</v>
      </c>
      <c r="G1000" s="31" t="n">
        <v>1</v>
      </c>
      <c r="H1000" s="41" t="n">
        <v>14.2</v>
      </c>
      <c r="I1000" s="31" t="s">
        <v>149</v>
      </c>
      <c r="J1000" s="31" t="n">
        <v>5</v>
      </c>
      <c r="K1000" s="31" t="s">
        <v>150</v>
      </c>
      <c r="L1000" s="45" t="n">
        <f aca="false">DATE(YEAR(B1000),MONTH(B1000),1)</f>
        <v>46204</v>
      </c>
      <c r="M1000" s="31" t="n">
        <f aca="false">WEEKDAY(B1000,2)</f>
        <v>3</v>
      </c>
      <c r="N1000" s="31" t="str">
        <f aca="false">IF(G1000&lt;=INDEX(Assumptions!$B$15:$B$18,MATCH(E1000,Assumptions!$A$15:$A$18,0)),"Yes","No")</f>
        <v>Yes</v>
      </c>
      <c r="O1000" s="31" t="str">
        <f aca="false">IF(H1000="","Open",IF(H1000&lt;=INDEX(Assumptions!$C$15:$C$18,MATCH(E1000,Assumptions!$A$15:$A$18,0)),"Yes","No"))</f>
        <v>Yes</v>
      </c>
    </row>
    <row r="1001" customFormat="false" ht="15" hidden="false" customHeight="false" outlineLevel="0" collapsed="false">
      <c r="A1001" s="31" t="s">
        <v>1151</v>
      </c>
      <c r="B1001" s="44" t="n">
        <v>46218</v>
      </c>
      <c r="C1001" s="31" t="s">
        <v>60</v>
      </c>
      <c r="D1001" s="31" t="s">
        <v>66</v>
      </c>
      <c r="E1001" s="31" t="s">
        <v>51</v>
      </c>
      <c r="F1001" s="31" t="s">
        <v>131</v>
      </c>
      <c r="G1001" s="31" t="n">
        <v>1</v>
      </c>
      <c r="H1001" s="41" t="n">
        <v>10.2</v>
      </c>
      <c r="I1001" s="31" t="s">
        <v>149</v>
      </c>
      <c r="J1001" s="31"/>
      <c r="K1001" s="31" t="s">
        <v>150</v>
      </c>
      <c r="L1001" s="45" t="n">
        <f aca="false">DATE(YEAR(B1001),MONTH(B1001),1)</f>
        <v>46204</v>
      </c>
      <c r="M1001" s="31" t="n">
        <f aca="false">WEEKDAY(B1001,2)</f>
        <v>3</v>
      </c>
      <c r="N1001" s="31" t="str">
        <f aca="false">IF(G1001&lt;=INDEX(Assumptions!$B$15:$B$18,MATCH(E1001,Assumptions!$A$15:$A$18,0)),"Yes","No")</f>
        <v>Yes</v>
      </c>
      <c r="O1001" s="31" t="str">
        <f aca="false">IF(H1001="","Open",IF(H1001&lt;=INDEX(Assumptions!$C$15:$C$18,MATCH(E1001,Assumptions!$A$15:$A$18,0)),"Yes","No"))</f>
        <v>Yes</v>
      </c>
    </row>
    <row r="1002" customFormat="false" ht="15" hidden="false" customHeight="false" outlineLevel="0" collapsed="false">
      <c r="A1002" s="31" t="s">
        <v>1152</v>
      </c>
      <c r="B1002" s="44" t="n">
        <v>46218</v>
      </c>
      <c r="C1002" s="31" t="s">
        <v>58</v>
      </c>
      <c r="D1002" s="31" t="s">
        <v>67</v>
      </c>
      <c r="E1002" s="31" t="s">
        <v>52</v>
      </c>
      <c r="F1002" s="31" t="s">
        <v>135</v>
      </c>
      <c r="G1002" s="31" t="n">
        <v>54</v>
      </c>
      <c r="H1002" s="41" t="n">
        <v>117.5</v>
      </c>
      <c r="I1002" s="31" t="s">
        <v>149</v>
      </c>
      <c r="J1002" s="31" t="n">
        <v>3</v>
      </c>
      <c r="K1002" s="31" t="s">
        <v>150</v>
      </c>
      <c r="L1002" s="45" t="n">
        <f aca="false">DATE(YEAR(B1002),MONTH(B1002),1)</f>
        <v>46204</v>
      </c>
      <c r="M1002" s="31" t="n">
        <f aca="false">WEEKDAY(B1002,2)</f>
        <v>3</v>
      </c>
      <c r="N1002" s="31" t="str">
        <f aca="false">IF(G1002&lt;=INDEX(Assumptions!$B$15:$B$18,MATCH(E1002,Assumptions!$A$15:$A$18,0)),"Yes","No")</f>
        <v>Yes</v>
      </c>
      <c r="O1002" s="31" t="str">
        <f aca="false">IF(H1002="","Open",IF(H1002&lt;=INDEX(Assumptions!$C$15:$C$18,MATCH(E1002,Assumptions!$A$15:$A$18,0)),"Yes","No"))</f>
        <v>No</v>
      </c>
    </row>
    <row r="1003" customFormat="false" ht="15" hidden="false" customHeight="false" outlineLevel="0" collapsed="false">
      <c r="A1003" s="31" t="s">
        <v>1153</v>
      </c>
      <c r="B1003" s="44" t="n">
        <v>46218</v>
      </c>
      <c r="C1003" s="31" t="s">
        <v>57</v>
      </c>
      <c r="D1003" s="31" t="s">
        <v>65</v>
      </c>
      <c r="E1003" s="31" t="s">
        <v>51</v>
      </c>
      <c r="F1003" s="31" t="s">
        <v>137</v>
      </c>
      <c r="G1003" s="31" t="n">
        <v>3</v>
      </c>
      <c r="H1003" s="41" t="n">
        <v>4.1</v>
      </c>
      <c r="I1003" s="31" t="s">
        <v>149</v>
      </c>
      <c r="J1003" s="31" t="n">
        <v>4</v>
      </c>
      <c r="K1003" s="31" t="s">
        <v>150</v>
      </c>
      <c r="L1003" s="45" t="n">
        <f aca="false">DATE(YEAR(B1003),MONTH(B1003),1)</f>
        <v>46204</v>
      </c>
      <c r="M1003" s="31" t="n">
        <f aca="false">WEEKDAY(B1003,2)</f>
        <v>3</v>
      </c>
      <c r="N1003" s="31" t="str">
        <f aca="false">IF(G1003&lt;=INDEX(Assumptions!$B$15:$B$18,MATCH(E1003,Assumptions!$A$15:$A$18,0)),"Yes","No")</f>
        <v>Yes</v>
      </c>
      <c r="O1003" s="31" t="str">
        <f aca="false">IF(H1003="","Open",IF(H1003&lt;=INDEX(Assumptions!$C$15:$C$18,MATCH(E1003,Assumptions!$A$15:$A$18,0)),"Yes","No"))</f>
        <v>Yes</v>
      </c>
    </row>
    <row r="1004" customFormat="false" ht="15" hidden="false" customHeight="false" outlineLevel="0" collapsed="false">
      <c r="A1004" s="31" t="s">
        <v>1154</v>
      </c>
      <c r="B1004" s="44" t="n">
        <v>46218</v>
      </c>
      <c r="C1004" s="31" t="s">
        <v>58</v>
      </c>
      <c r="D1004" s="31" t="s">
        <v>66</v>
      </c>
      <c r="E1004" s="31" t="s">
        <v>51</v>
      </c>
      <c r="F1004" s="31" t="s">
        <v>126</v>
      </c>
      <c r="G1004" s="31" t="n">
        <v>16</v>
      </c>
      <c r="H1004" s="41" t="n">
        <v>5.4</v>
      </c>
      <c r="I1004" s="31" t="s">
        <v>149</v>
      </c>
      <c r="J1004" s="31" t="n">
        <v>4</v>
      </c>
      <c r="K1004" s="31" t="s">
        <v>150</v>
      </c>
      <c r="L1004" s="45" t="n">
        <f aca="false">DATE(YEAR(B1004),MONTH(B1004),1)</f>
        <v>46204</v>
      </c>
      <c r="M1004" s="31" t="n">
        <f aca="false">WEEKDAY(B1004,2)</f>
        <v>3</v>
      </c>
      <c r="N1004" s="31" t="str">
        <f aca="false">IF(G1004&lt;=INDEX(Assumptions!$B$15:$B$18,MATCH(E1004,Assumptions!$A$15:$A$18,0)),"Yes","No")</f>
        <v>Yes</v>
      </c>
      <c r="O1004" s="31" t="str">
        <f aca="false">IF(H1004="","Open",IF(H1004&lt;=INDEX(Assumptions!$C$15:$C$18,MATCH(E1004,Assumptions!$A$15:$A$18,0)),"Yes","No"))</f>
        <v>Yes</v>
      </c>
    </row>
    <row r="1005" customFormat="false" ht="15" hidden="false" customHeight="false" outlineLevel="0" collapsed="false">
      <c r="A1005" s="31" t="s">
        <v>1155</v>
      </c>
      <c r="B1005" s="44" t="n">
        <v>46218</v>
      </c>
      <c r="C1005" s="31" t="s">
        <v>59</v>
      </c>
      <c r="D1005" s="31" t="s">
        <v>67</v>
      </c>
      <c r="E1005" s="31" t="s">
        <v>52</v>
      </c>
      <c r="F1005" s="31" t="s">
        <v>137</v>
      </c>
      <c r="G1005" s="31" t="n">
        <v>105</v>
      </c>
      <c r="H1005" s="41" t="n">
        <v>15.3</v>
      </c>
      <c r="I1005" s="31" t="s">
        <v>149</v>
      </c>
      <c r="J1005" s="31" t="n">
        <v>4</v>
      </c>
      <c r="K1005" s="31" t="s">
        <v>150</v>
      </c>
      <c r="L1005" s="45" t="n">
        <f aca="false">DATE(YEAR(B1005),MONTH(B1005),1)</f>
        <v>46204</v>
      </c>
      <c r="M1005" s="31" t="n">
        <f aca="false">WEEKDAY(B1005,2)</f>
        <v>3</v>
      </c>
      <c r="N1005" s="31" t="str">
        <f aca="false">IF(G1005&lt;=INDEX(Assumptions!$B$15:$B$18,MATCH(E1005,Assumptions!$A$15:$A$18,0)),"Yes","No")</f>
        <v>Yes</v>
      </c>
      <c r="O1005" s="31" t="str">
        <f aca="false">IF(H1005="","Open",IF(H1005&lt;=INDEX(Assumptions!$C$15:$C$18,MATCH(E1005,Assumptions!$A$15:$A$18,0)),"Yes","No"))</f>
        <v>Yes</v>
      </c>
    </row>
    <row r="1006" customFormat="false" ht="15" hidden="false" customHeight="false" outlineLevel="0" collapsed="false">
      <c r="A1006" s="31" t="s">
        <v>1156</v>
      </c>
      <c r="B1006" s="44" t="n">
        <v>46218</v>
      </c>
      <c r="C1006" s="31" t="s">
        <v>57</v>
      </c>
      <c r="D1006" s="31" t="s">
        <v>66</v>
      </c>
      <c r="E1006" s="31" t="s">
        <v>51</v>
      </c>
      <c r="F1006" s="31" t="s">
        <v>129</v>
      </c>
      <c r="G1006" s="31" t="n">
        <v>5</v>
      </c>
      <c r="H1006" s="41" t="n">
        <v>6.3</v>
      </c>
      <c r="I1006" s="31" t="s">
        <v>149</v>
      </c>
      <c r="J1006" s="31"/>
      <c r="K1006" s="31" t="s">
        <v>150</v>
      </c>
      <c r="L1006" s="45" t="n">
        <f aca="false">DATE(YEAR(B1006),MONTH(B1006),1)</f>
        <v>46204</v>
      </c>
      <c r="M1006" s="31" t="n">
        <f aca="false">WEEKDAY(B1006,2)</f>
        <v>3</v>
      </c>
      <c r="N1006" s="31" t="str">
        <f aca="false">IF(G1006&lt;=INDEX(Assumptions!$B$15:$B$18,MATCH(E1006,Assumptions!$A$15:$A$18,0)),"Yes","No")</f>
        <v>Yes</v>
      </c>
      <c r="O1006" s="31" t="str">
        <f aca="false">IF(H1006="","Open",IF(H1006&lt;=INDEX(Assumptions!$C$15:$C$18,MATCH(E1006,Assumptions!$A$15:$A$18,0)),"Yes","No"))</f>
        <v>Yes</v>
      </c>
    </row>
    <row r="1007" customFormat="false" ht="15" hidden="false" customHeight="false" outlineLevel="0" collapsed="false">
      <c r="A1007" s="31" t="s">
        <v>1157</v>
      </c>
      <c r="B1007" s="44" t="n">
        <v>46218</v>
      </c>
      <c r="C1007" s="31" t="s">
        <v>58</v>
      </c>
      <c r="D1007" s="31" t="s">
        <v>68</v>
      </c>
      <c r="E1007" s="31" t="s">
        <v>50</v>
      </c>
      <c r="F1007" s="31" t="s">
        <v>130</v>
      </c>
      <c r="G1007" s="31" t="n">
        <v>4</v>
      </c>
      <c r="H1007" s="41" t="n">
        <v>4.7</v>
      </c>
      <c r="I1007" s="31" t="s">
        <v>64</v>
      </c>
      <c r="J1007" s="31" t="n">
        <v>3</v>
      </c>
      <c r="K1007" s="31" t="s">
        <v>150</v>
      </c>
      <c r="L1007" s="45" t="n">
        <f aca="false">DATE(YEAR(B1007),MONTH(B1007),1)</f>
        <v>46204</v>
      </c>
      <c r="M1007" s="31" t="n">
        <f aca="false">WEEKDAY(B1007,2)</f>
        <v>3</v>
      </c>
      <c r="N1007" s="31" t="str">
        <f aca="false">IF(G1007&lt;=INDEX(Assumptions!$B$15:$B$18,MATCH(E1007,Assumptions!$A$15:$A$18,0)),"Yes","No")</f>
        <v>Yes</v>
      </c>
      <c r="O1007" s="31" t="str">
        <f aca="false">IF(H1007="","Open",IF(H1007&lt;=INDEX(Assumptions!$C$15:$C$18,MATCH(E1007,Assumptions!$A$15:$A$18,0)),"Yes","No"))</f>
        <v>Yes</v>
      </c>
    </row>
    <row r="1008" customFormat="false" ht="15" hidden="false" customHeight="false" outlineLevel="0" collapsed="false">
      <c r="A1008" s="31" t="s">
        <v>1158</v>
      </c>
      <c r="B1008" s="44" t="n">
        <v>46218</v>
      </c>
      <c r="C1008" s="31" t="s">
        <v>57</v>
      </c>
      <c r="D1008" s="31" t="s">
        <v>66</v>
      </c>
      <c r="E1008" s="31" t="s">
        <v>51</v>
      </c>
      <c r="F1008" s="31" t="s">
        <v>134</v>
      </c>
      <c r="G1008" s="31" t="n">
        <v>5</v>
      </c>
      <c r="H1008" s="41" t="n">
        <v>9.8</v>
      </c>
      <c r="I1008" s="31" t="s">
        <v>149</v>
      </c>
      <c r="J1008" s="31" t="n">
        <v>5</v>
      </c>
      <c r="K1008" s="31" t="s">
        <v>150</v>
      </c>
      <c r="L1008" s="45" t="n">
        <f aca="false">DATE(YEAR(B1008),MONTH(B1008),1)</f>
        <v>46204</v>
      </c>
      <c r="M1008" s="31" t="n">
        <f aca="false">WEEKDAY(B1008,2)</f>
        <v>3</v>
      </c>
      <c r="N1008" s="31" t="str">
        <f aca="false">IF(G1008&lt;=INDEX(Assumptions!$B$15:$B$18,MATCH(E1008,Assumptions!$A$15:$A$18,0)),"Yes","No")</f>
        <v>Yes</v>
      </c>
      <c r="O1008" s="31" t="str">
        <f aca="false">IF(H1008="","Open",IF(H1008&lt;=INDEX(Assumptions!$C$15:$C$18,MATCH(E1008,Assumptions!$A$15:$A$18,0)),"Yes","No"))</f>
        <v>Yes</v>
      </c>
    </row>
    <row r="1009" customFormat="false" ht="15" hidden="false" customHeight="false" outlineLevel="0" collapsed="false">
      <c r="A1009" s="31" t="s">
        <v>1159</v>
      </c>
      <c r="B1009" s="44" t="n">
        <v>46218</v>
      </c>
      <c r="C1009" s="31" t="s">
        <v>60</v>
      </c>
      <c r="D1009" s="31" t="s">
        <v>65</v>
      </c>
      <c r="E1009" s="31" t="s">
        <v>50</v>
      </c>
      <c r="F1009" s="31" t="s">
        <v>120</v>
      </c>
      <c r="G1009" s="31" t="n">
        <v>6</v>
      </c>
      <c r="H1009" s="41" t="n">
        <v>6.5</v>
      </c>
      <c r="I1009" s="31" t="s">
        <v>149</v>
      </c>
      <c r="J1009" s="31" t="n">
        <v>3</v>
      </c>
      <c r="K1009" s="31" t="s">
        <v>150</v>
      </c>
      <c r="L1009" s="45" t="n">
        <f aca="false">DATE(YEAR(B1009),MONTH(B1009),1)</f>
        <v>46204</v>
      </c>
      <c r="M1009" s="31" t="n">
        <f aca="false">WEEKDAY(B1009,2)</f>
        <v>3</v>
      </c>
      <c r="N1009" s="31" t="str">
        <f aca="false">IF(G1009&lt;=INDEX(Assumptions!$B$15:$B$18,MATCH(E1009,Assumptions!$A$15:$A$18,0)),"Yes","No")</f>
        <v>Yes</v>
      </c>
      <c r="O1009" s="31" t="str">
        <f aca="false">IF(H1009="","Open",IF(H1009&lt;=INDEX(Assumptions!$C$15:$C$18,MATCH(E1009,Assumptions!$A$15:$A$18,0)),"Yes","No"))</f>
        <v>Yes</v>
      </c>
    </row>
    <row r="1010" customFormat="false" ht="15" hidden="false" customHeight="false" outlineLevel="0" collapsed="false">
      <c r="A1010" s="31" t="s">
        <v>1160</v>
      </c>
      <c r="B1010" s="44" t="n">
        <v>46218</v>
      </c>
      <c r="C1010" s="31" t="s">
        <v>57</v>
      </c>
      <c r="D1010" s="31" t="s">
        <v>68</v>
      </c>
      <c r="E1010" s="31" t="s">
        <v>51</v>
      </c>
      <c r="F1010" s="31" t="s">
        <v>135</v>
      </c>
      <c r="G1010" s="31" t="n">
        <v>4</v>
      </c>
      <c r="H1010" s="41" t="n">
        <v>5.9</v>
      </c>
      <c r="I1010" s="31" t="s">
        <v>149</v>
      </c>
      <c r="J1010" s="31" t="n">
        <v>4</v>
      </c>
      <c r="K1010" s="31" t="s">
        <v>150</v>
      </c>
      <c r="L1010" s="45" t="n">
        <f aca="false">DATE(YEAR(B1010),MONTH(B1010),1)</f>
        <v>46204</v>
      </c>
      <c r="M1010" s="31" t="n">
        <f aca="false">WEEKDAY(B1010,2)</f>
        <v>3</v>
      </c>
      <c r="N1010" s="31" t="str">
        <f aca="false">IF(G1010&lt;=INDEX(Assumptions!$B$15:$B$18,MATCH(E1010,Assumptions!$A$15:$A$18,0)),"Yes","No")</f>
        <v>Yes</v>
      </c>
      <c r="O1010" s="31" t="str">
        <f aca="false">IF(H1010="","Open",IF(H1010&lt;=INDEX(Assumptions!$C$15:$C$18,MATCH(E1010,Assumptions!$A$15:$A$18,0)),"Yes","No"))</f>
        <v>Yes</v>
      </c>
    </row>
    <row r="1011" customFormat="false" ht="15" hidden="false" customHeight="false" outlineLevel="0" collapsed="false">
      <c r="A1011" s="31" t="s">
        <v>1161</v>
      </c>
      <c r="B1011" s="44" t="n">
        <v>46218</v>
      </c>
      <c r="C1011" s="31" t="s">
        <v>59</v>
      </c>
      <c r="D1011" s="31" t="s">
        <v>66</v>
      </c>
      <c r="E1011" s="31" t="s">
        <v>51</v>
      </c>
      <c r="F1011" s="31" t="s">
        <v>126</v>
      </c>
      <c r="G1011" s="31" t="n">
        <v>226</v>
      </c>
      <c r="H1011" s="41" t="n">
        <v>16.2</v>
      </c>
      <c r="I1011" s="31" t="s">
        <v>149</v>
      </c>
      <c r="J1011" s="31" t="n">
        <v>4</v>
      </c>
      <c r="K1011" s="31" t="s">
        <v>150</v>
      </c>
      <c r="L1011" s="45" t="n">
        <f aca="false">DATE(YEAR(B1011),MONTH(B1011),1)</f>
        <v>46204</v>
      </c>
      <c r="M1011" s="31" t="n">
        <f aca="false">WEEKDAY(B1011,2)</f>
        <v>3</v>
      </c>
      <c r="N1011" s="31" t="str">
        <f aca="false">IF(G1011&lt;=INDEX(Assumptions!$B$15:$B$18,MATCH(E1011,Assumptions!$A$15:$A$18,0)),"Yes","No")</f>
        <v>No</v>
      </c>
      <c r="O1011" s="31" t="str">
        <f aca="false">IF(H1011="","Open",IF(H1011&lt;=INDEX(Assumptions!$C$15:$C$18,MATCH(E1011,Assumptions!$A$15:$A$18,0)),"Yes","No"))</f>
        <v>Yes</v>
      </c>
    </row>
    <row r="1012" customFormat="false" ht="15" hidden="false" customHeight="false" outlineLevel="0" collapsed="false">
      <c r="A1012" s="31" t="s">
        <v>1162</v>
      </c>
      <c r="B1012" s="44" t="n">
        <v>46218</v>
      </c>
      <c r="C1012" s="31" t="s">
        <v>57</v>
      </c>
      <c r="D1012" s="31" t="s">
        <v>66</v>
      </c>
      <c r="E1012" s="31" t="s">
        <v>51</v>
      </c>
      <c r="F1012" s="31" t="s">
        <v>129</v>
      </c>
      <c r="G1012" s="31" t="n">
        <v>4</v>
      </c>
      <c r="H1012" s="41" t="n">
        <v>9</v>
      </c>
      <c r="I1012" s="31" t="s">
        <v>149</v>
      </c>
      <c r="J1012" s="31"/>
      <c r="K1012" s="31" t="s">
        <v>150</v>
      </c>
      <c r="L1012" s="45" t="n">
        <f aca="false">DATE(YEAR(B1012),MONTH(B1012),1)</f>
        <v>46204</v>
      </c>
      <c r="M1012" s="31" t="n">
        <f aca="false">WEEKDAY(B1012,2)</f>
        <v>3</v>
      </c>
      <c r="N1012" s="31" t="str">
        <f aca="false">IF(G1012&lt;=INDEX(Assumptions!$B$15:$B$18,MATCH(E1012,Assumptions!$A$15:$A$18,0)),"Yes","No")</f>
        <v>Yes</v>
      </c>
      <c r="O1012" s="31" t="str">
        <f aca="false">IF(H1012="","Open",IF(H1012&lt;=INDEX(Assumptions!$C$15:$C$18,MATCH(E1012,Assumptions!$A$15:$A$18,0)),"Yes","No"))</f>
        <v>Yes</v>
      </c>
    </row>
    <row r="1013" customFormat="false" ht="15" hidden="false" customHeight="false" outlineLevel="0" collapsed="false">
      <c r="A1013" s="31" t="s">
        <v>1163</v>
      </c>
      <c r="B1013" s="44" t="n">
        <v>46218</v>
      </c>
      <c r="C1013" s="31" t="s">
        <v>57</v>
      </c>
      <c r="D1013" s="31" t="s">
        <v>67</v>
      </c>
      <c r="E1013" s="31" t="s">
        <v>52</v>
      </c>
      <c r="F1013" s="31" t="s">
        <v>123</v>
      </c>
      <c r="G1013" s="31" t="n">
        <v>8</v>
      </c>
      <c r="H1013" s="41" t="n">
        <v>27.4</v>
      </c>
      <c r="I1013" s="31" t="s">
        <v>149</v>
      </c>
      <c r="J1013" s="31" t="n">
        <v>4</v>
      </c>
      <c r="K1013" s="31" t="s">
        <v>153</v>
      </c>
      <c r="L1013" s="45" t="n">
        <f aca="false">DATE(YEAR(B1013),MONTH(B1013),1)</f>
        <v>46204</v>
      </c>
      <c r="M1013" s="31" t="n">
        <f aca="false">WEEKDAY(B1013,2)</f>
        <v>3</v>
      </c>
      <c r="N1013" s="31" t="str">
        <f aca="false">IF(G1013&lt;=INDEX(Assumptions!$B$15:$B$18,MATCH(E1013,Assumptions!$A$15:$A$18,0)),"Yes","No")</f>
        <v>Yes</v>
      </c>
      <c r="O1013" s="31" t="str">
        <f aca="false">IF(H1013="","Open",IF(H1013&lt;=INDEX(Assumptions!$C$15:$C$18,MATCH(E1013,Assumptions!$A$15:$A$18,0)),"Yes","No"))</f>
        <v>Yes</v>
      </c>
    </row>
    <row r="1014" customFormat="false" ht="15" hidden="false" customHeight="false" outlineLevel="0" collapsed="false">
      <c r="A1014" s="31" t="s">
        <v>1164</v>
      </c>
      <c r="B1014" s="44" t="n">
        <v>46218</v>
      </c>
      <c r="C1014" s="31" t="s">
        <v>59</v>
      </c>
      <c r="D1014" s="31" t="s">
        <v>69</v>
      </c>
      <c r="E1014" s="31" t="s">
        <v>51</v>
      </c>
      <c r="F1014" s="31" t="s">
        <v>121</v>
      </c>
      <c r="G1014" s="31" t="n">
        <v>77</v>
      </c>
      <c r="H1014" s="41" t="n">
        <v>27</v>
      </c>
      <c r="I1014" s="31" t="s">
        <v>149</v>
      </c>
      <c r="J1014" s="31" t="n">
        <v>3</v>
      </c>
      <c r="K1014" s="31" t="s">
        <v>153</v>
      </c>
      <c r="L1014" s="45" t="n">
        <f aca="false">DATE(YEAR(B1014),MONTH(B1014),1)</f>
        <v>46204</v>
      </c>
      <c r="M1014" s="31" t="n">
        <f aca="false">WEEKDAY(B1014,2)</f>
        <v>3</v>
      </c>
      <c r="N1014" s="31" t="str">
        <f aca="false">IF(G1014&lt;=INDEX(Assumptions!$B$15:$B$18,MATCH(E1014,Assumptions!$A$15:$A$18,0)),"Yes","No")</f>
        <v>No</v>
      </c>
      <c r="O1014" s="31" t="str">
        <f aca="false">IF(H1014="","Open",IF(H1014&lt;=INDEX(Assumptions!$C$15:$C$18,MATCH(E1014,Assumptions!$A$15:$A$18,0)),"Yes","No"))</f>
        <v>No</v>
      </c>
    </row>
    <row r="1015" customFormat="false" ht="15" hidden="false" customHeight="false" outlineLevel="0" collapsed="false">
      <c r="A1015" s="31" t="s">
        <v>1165</v>
      </c>
      <c r="B1015" s="44" t="n">
        <v>46218</v>
      </c>
      <c r="C1015" s="31" t="s">
        <v>60</v>
      </c>
      <c r="D1015" s="31" t="s">
        <v>65</v>
      </c>
      <c r="E1015" s="31" t="s">
        <v>51</v>
      </c>
      <c r="F1015" s="31" t="s">
        <v>117</v>
      </c>
      <c r="G1015" s="31" t="n">
        <v>2</v>
      </c>
      <c r="H1015" s="41" t="n">
        <v>18.7</v>
      </c>
      <c r="I1015" s="31" t="s">
        <v>64</v>
      </c>
      <c r="J1015" s="31" t="n">
        <v>4</v>
      </c>
      <c r="K1015" s="31" t="s">
        <v>150</v>
      </c>
      <c r="L1015" s="45" t="n">
        <f aca="false">DATE(YEAR(B1015),MONTH(B1015),1)</f>
        <v>46204</v>
      </c>
      <c r="M1015" s="31" t="n">
        <f aca="false">WEEKDAY(B1015,2)</f>
        <v>3</v>
      </c>
      <c r="N1015" s="31" t="str">
        <f aca="false">IF(G1015&lt;=INDEX(Assumptions!$B$15:$B$18,MATCH(E1015,Assumptions!$A$15:$A$18,0)),"Yes","No")</f>
        <v>Yes</v>
      </c>
      <c r="O1015" s="31" t="str">
        <f aca="false">IF(H1015="","Open",IF(H1015&lt;=INDEX(Assumptions!$C$15:$C$18,MATCH(E1015,Assumptions!$A$15:$A$18,0)),"Yes","No"))</f>
        <v>Yes</v>
      </c>
    </row>
    <row r="1016" customFormat="false" ht="15" hidden="false" customHeight="false" outlineLevel="0" collapsed="false">
      <c r="A1016" s="31" t="s">
        <v>1166</v>
      </c>
      <c r="B1016" s="44" t="n">
        <v>46218</v>
      </c>
      <c r="C1016" s="31" t="s">
        <v>60</v>
      </c>
      <c r="D1016" s="31" t="s">
        <v>67</v>
      </c>
      <c r="E1016" s="31" t="s">
        <v>50</v>
      </c>
      <c r="F1016" s="31" t="s">
        <v>128</v>
      </c>
      <c r="G1016" s="31" t="n">
        <v>2</v>
      </c>
      <c r="H1016" s="41" t="n">
        <v>66.1</v>
      </c>
      <c r="I1016" s="31" t="s">
        <v>149</v>
      </c>
      <c r="J1016" s="31"/>
      <c r="K1016" s="31" t="s">
        <v>150</v>
      </c>
      <c r="L1016" s="45" t="n">
        <f aca="false">DATE(YEAR(B1016),MONTH(B1016),1)</f>
        <v>46204</v>
      </c>
      <c r="M1016" s="31" t="n">
        <f aca="false">WEEKDAY(B1016,2)</f>
        <v>3</v>
      </c>
      <c r="N1016" s="31" t="str">
        <f aca="false">IF(G1016&lt;=INDEX(Assumptions!$B$15:$B$18,MATCH(E1016,Assumptions!$A$15:$A$18,0)),"Yes","No")</f>
        <v>Yes</v>
      </c>
      <c r="O1016" s="31" t="str">
        <f aca="false">IF(H1016="","Open",IF(H1016&lt;=INDEX(Assumptions!$C$15:$C$18,MATCH(E1016,Assumptions!$A$15:$A$18,0)),"Yes","No"))</f>
        <v>No</v>
      </c>
    </row>
    <row r="1017" customFormat="false" ht="15" hidden="false" customHeight="false" outlineLevel="0" collapsed="false">
      <c r="A1017" s="31" t="s">
        <v>1167</v>
      </c>
      <c r="B1017" s="44" t="n">
        <v>46218</v>
      </c>
      <c r="C1017" s="31" t="s">
        <v>59</v>
      </c>
      <c r="D1017" s="31" t="s">
        <v>65</v>
      </c>
      <c r="E1017" s="31" t="s">
        <v>51</v>
      </c>
      <c r="F1017" s="31" t="s">
        <v>123</v>
      </c>
      <c r="G1017" s="31" t="n">
        <v>107</v>
      </c>
      <c r="H1017" s="41" t="n">
        <v>10.5</v>
      </c>
      <c r="I1017" s="31" t="s">
        <v>149</v>
      </c>
      <c r="J1017" s="31"/>
      <c r="K1017" s="31" t="s">
        <v>150</v>
      </c>
      <c r="L1017" s="45" t="n">
        <f aca="false">DATE(YEAR(B1017),MONTH(B1017),1)</f>
        <v>46204</v>
      </c>
      <c r="M1017" s="31" t="n">
        <f aca="false">WEEKDAY(B1017,2)</f>
        <v>3</v>
      </c>
      <c r="N1017" s="31" t="str">
        <f aca="false">IF(G1017&lt;=INDEX(Assumptions!$B$15:$B$18,MATCH(E1017,Assumptions!$A$15:$A$18,0)),"Yes","No")</f>
        <v>No</v>
      </c>
      <c r="O1017" s="31" t="str">
        <f aca="false">IF(H1017="","Open",IF(H1017&lt;=INDEX(Assumptions!$C$15:$C$18,MATCH(E1017,Assumptions!$A$15:$A$18,0)),"Yes","No"))</f>
        <v>Yes</v>
      </c>
    </row>
    <row r="1018" customFormat="false" ht="15" hidden="false" customHeight="false" outlineLevel="0" collapsed="false">
      <c r="A1018" s="31" t="s">
        <v>1168</v>
      </c>
      <c r="B1018" s="44" t="n">
        <v>46218</v>
      </c>
      <c r="C1018" s="31" t="s">
        <v>59</v>
      </c>
      <c r="D1018" s="31" t="s">
        <v>65</v>
      </c>
      <c r="E1018" s="31" t="s">
        <v>51</v>
      </c>
      <c r="F1018" s="31" t="s">
        <v>121</v>
      </c>
      <c r="G1018" s="31" t="n">
        <v>124</v>
      </c>
      <c r="H1018" s="41" t="n">
        <v>21.8</v>
      </c>
      <c r="I1018" s="31" t="s">
        <v>149</v>
      </c>
      <c r="J1018" s="31"/>
      <c r="K1018" s="31" t="s">
        <v>150</v>
      </c>
      <c r="L1018" s="45" t="n">
        <f aca="false">DATE(YEAR(B1018),MONTH(B1018),1)</f>
        <v>46204</v>
      </c>
      <c r="M1018" s="31" t="n">
        <f aca="false">WEEKDAY(B1018,2)</f>
        <v>3</v>
      </c>
      <c r="N1018" s="31" t="str">
        <f aca="false">IF(G1018&lt;=INDEX(Assumptions!$B$15:$B$18,MATCH(E1018,Assumptions!$A$15:$A$18,0)),"Yes","No")</f>
        <v>No</v>
      </c>
      <c r="O1018" s="31" t="str">
        <f aca="false">IF(H1018="","Open",IF(H1018&lt;=INDEX(Assumptions!$C$15:$C$18,MATCH(E1018,Assumptions!$A$15:$A$18,0)),"Yes","No"))</f>
        <v>Yes</v>
      </c>
    </row>
    <row r="1019" customFormat="false" ht="15" hidden="false" customHeight="false" outlineLevel="0" collapsed="false">
      <c r="A1019" s="31" t="s">
        <v>1169</v>
      </c>
      <c r="B1019" s="44" t="n">
        <v>46218</v>
      </c>
      <c r="C1019" s="31" t="s">
        <v>59</v>
      </c>
      <c r="D1019" s="31" t="s">
        <v>69</v>
      </c>
      <c r="E1019" s="31" t="s">
        <v>51</v>
      </c>
      <c r="F1019" s="31" t="s">
        <v>127</v>
      </c>
      <c r="G1019" s="31" t="n">
        <v>28</v>
      </c>
      <c r="H1019" s="41" t="n">
        <v>10.6</v>
      </c>
      <c r="I1019" s="31" t="s">
        <v>149</v>
      </c>
      <c r="J1019" s="31" t="n">
        <v>5</v>
      </c>
      <c r="K1019" s="31" t="s">
        <v>150</v>
      </c>
      <c r="L1019" s="45" t="n">
        <f aca="false">DATE(YEAR(B1019),MONTH(B1019),1)</f>
        <v>46204</v>
      </c>
      <c r="M1019" s="31" t="n">
        <f aca="false">WEEKDAY(B1019,2)</f>
        <v>3</v>
      </c>
      <c r="N1019" s="31" t="str">
        <f aca="false">IF(G1019&lt;=INDEX(Assumptions!$B$15:$B$18,MATCH(E1019,Assumptions!$A$15:$A$18,0)),"Yes","No")</f>
        <v>Yes</v>
      </c>
      <c r="O1019" s="31" t="str">
        <f aca="false">IF(H1019="","Open",IF(H1019&lt;=INDEX(Assumptions!$C$15:$C$18,MATCH(E1019,Assumptions!$A$15:$A$18,0)),"Yes","No"))</f>
        <v>Yes</v>
      </c>
    </row>
    <row r="1020" customFormat="false" ht="15" hidden="false" customHeight="false" outlineLevel="0" collapsed="false">
      <c r="A1020" s="31" t="s">
        <v>1170</v>
      </c>
      <c r="B1020" s="44" t="n">
        <v>46218</v>
      </c>
      <c r="C1020" s="31" t="s">
        <v>59</v>
      </c>
      <c r="D1020" s="31" t="s">
        <v>65</v>
      </c>
      <c r="E1020" s="31" t="s">
        <v>51</v>
      </c>
      <c r="F1020" s="31" t="s">
        <v>129</v>
      </c>
      <c r="G1020" s="31" t="n">
        <v>422</v>
      </c>
      <c r="H1020" s="41" t="n">
        <v>27.2</v>
      </c>
      <c r="I1020" s="31" t="s">
        <v>149</v>
      </c>
      <c r="J1020" s="31"/>
      <c r="K1020" s="31" t="s">
        <v>150</v>
      </c>
      <c r="L1020" s="45" t="n">
        <f aca="false">DATE(YEAR(B1020),MONTH(B1020),1)</f>
        <v>46204</v>
      </c>
      <c r="M1020" s="31" t="n">
        <f aca="false">WEEKDAY(B1020,2)</f>
        <v>3</v>
      </c>
      <c r="N1020" s="31" t="str">
        <f aca="false">IF(G1020&lt;=INDEX(Assumptions!$B$15:$B$18,MATCH(E1020,Assumptions!$A$15:$A$18,0)),"Yes","No")</f>
        <v>No</v>
      </c>
      <c r="O1020" s="31" t="str">
        <f aca="false">IF(H1020="","Open",IF(H1020&lt;=INDEX(Assumptions!$C$15:$C$18,MATCH(E1020,Assumptions!$A$15:$A$18,0)),"Yes","No"))</f>
        <v>No</v>
      </c>
    </row>
    <row r="1021" customFormat="false" ht="15" hidden="false" customHeight="false" outlineLevel="0" collapsed="false">
      <c r="A1021" s="31" t="s">
        <v>1171</v>
      </c>
      <c r="B1021" s="44" t="n">
        <v>46218</v>
      </c>
      <c r="C1021" s="31" t="s">
        <v>58</v>
      </c>
      <c r="D1021" s="31" t="s">
        <v>66</v>
      </c>
      <c r="E1021" s="31" t="s">
        <v>51</v>
      </c>
      <c r="F1021" s="31" t="s">
        <v>122</v>
      </c>
      <c r="G1021" s="31" t="n">
        <v>13</v>
      </c>
      <c r="H1021" s="41" t="n">
        <v>2.9</v>
      </c>
      <c r="I1021" s="31" t="s">
        <v>149</v>
      </c>
      <c r="J1021" s="31" t="n">
        <v>4</v>
      </c>
      <c r="K1021" s="31" t="s">
        <v>150</v>
      </c>
      <c r="L1021" s="45" t="n">
        <f aca="false">DATE(YEAR(B1021),MONTH(B1021),1)</f>
        <v>46204</v>
      </c>
      <c r="M1021" s="31" t="n">
        <f aca="false">WEEKDAY(B1021,2)</f>
        <v>3</v>
      </c>
      <c r="N1021" s="31" t="str">
        <f aca="false">IF(G1021&lt;=INDEX(Assumptions!$B$15:$B$18,MATCH(E1021,Assumptions!$A$15:$A$18,0)),"Yes","No")</f>
        <v>Yes</v>
      </c>
      <c r="O1021" s="31" t="str">
        <f aca="false">IF(H1021="","Open",IF(H1021&lt;=INDEX(Assumptions!$C$15:$C$18,MATCH(E1021,Assumptions!$A$15:$A$18,0)),"Yes","No"))</f>
        <v>Yes</v>
      </c>
    </row>
    <row r="1022" customFormat="false" ht="15" hidden="false" customHeight="false" outlineLevel="0" collapsed="false">
      <c r="A1022" s="31" t="s">
        <v>1172</v>
      </c>
      <c r="B1022" s="44" t="n">
        <v>46218</v>
      </c>
      <c r="C1022" s="31" t="s">
        <v>57</v>
      </c>
      <c r="D1022" s="31" t="s">
        <v>66</v>
      </c>
      <c r="E1022" s="31" t="s">
        <v>51</v>
      </c>
      <c r="F1022" s="31" t="s">
        <v>129</v>
      </c>
      <c r="G1022" s="31" t="n">
        <v>6</v>
      </c>
      <c r="H1022" s="41" t="n">
        <v>2.5</v>
      </c>
      <c r="I1022" s="31" t="s">
        <v>149</v>
      </c>
      <c r="J1022" s="31"/>
      <c r="K1022" s="31" t="s">
        <v>150</v>
      </c>
      <c r="L1022" s="45" t="n">
        <f aca="false">DATE(YEAR(B1022),MONTH(B1022),1)</f>
        <v>46204</v>
      </c>
      <c r="M1022" s="31" t="n">
        <f aca="false">WEEKDAY(B1022,2)</f>
        <v>3</v>
      </c>
      <c r="N1022" s="31" t="str">
        <f aca="false">IF(G1022&lt;=INDEX(Assumptions!$B$15:$B$18,MATCH(E1022,Assumptions!$A$15:$A$18,0)),"Yes","No")</f>
        <v>Yes</v>
      </c>
      <c r="O1022" s="31" t="str">
        <f aca="false">IF(H1022="","Open",IF(H1022&lt;=INDEX(Assumptions!$C$15:$C$18,MATCH(E1022,Assumptions!$A$15:$A$18,0)),"Yes","No"))</f>
        <v>Yes</v>
      </c>
    </row>
    <row r="1023" customFormat="false" ht="15" hidden="false" customHeight="false" outlineLevel="0" collapsed="false">
      <c r="A1023" s="31" t="s">
        <v>1173</v>
      </c>
      <c r="B1023" s="44" t="n">
        <v>46218</v>
      </c>
      <c r="C1023" s="31" t="s">
        <v>57</v>
      </c>
      <c r="D1023" s="31" t="s">
        <v>66</v>
      </c>
      <c r="E1023" s="31" t="s">
        <v>52</v>
      </c>
      <c r="F1023" s="31" t="s">
        <v>124</v>
      </c>
      <c r="G1023" s="31" t="n">
        <v>5</v>
      </c>
      <c r="H1023" s="41" t="n">
        <v>6.7</v>
      </c>
      <c r="I1023" s="31" t="s">
        <v>149</v>
      </c>
      <c r="J1023" s="31" t="n">
        <v>4</v>
      </c>
      <c r="K1023" s="31" t="s">
        <v>150</v>
      </c>
      <c r="L1023" s="45" t="n">
        <f aca="false">DATE(YEAR(B1023),MONTH(B1023),1)</f>
        <v>46204</v>
      </c>
      <c r="M1023" s="31" t="n">
        <f aca="false">WEEKDAY(B1023,2)</f>
        <v>3</v>
      </c>
      <c r="N1023" s="31" t="str">
        <f aca="false">IF(G1023&lt;=INDEX(Assumptions!$B$15:$B$18,MATCH(E1023,Assumptions!$A$15:$A$18,0)),"Yes","No")</f>
        <v>Yes</v>
      </c>
      <c r="O1023" s="31" t="str">
        <f aca="false">IF(H1023="","Open",IF(H1023&lt;=INDEX(Assumptions!$C$15:$C$18,MATCH(E1023,Assumptions!$A$15:$A$18,0)),"Yes","No"))</f>
        <v>Yes</v>
      </c>
    </row>
    <row r="1024" customFormat="false" ht="15" hidden="false" customHeight="false" outlineLevel="0" collapsed="false">
      <c r="A1024" s="31" t="s">
        <v>1174</v>
      </c>
      <c r="B1024" s="44" t="n">
        <v>46218</v>
      </c>
      <c r="C1024" s="31" t="s">
        <v>59</v>
      </c>
      <c r="D1024" s="31" t="s">
        <v>68</v>
      </c>
      <c r="E1024" s="31" t="s">
        <v>49</v>
      </c>
      <c r="F1024" s="31" t="s">
        <v>133</v>
      </c>
      <c r="G1024" s="31" t="n">
        <v>86</v>
      </c>
      <c r="H1024" s="41" t="n">
        <v>0.6</v>
      </c>
      <c r="I1024" s="31" t="s">
        <v>149</v>
      </c>
      <c r="J1024" s="31"/>
      <c r="K1024" s="31" t="s">
        <v>150</v>
      </c>
      <c r="L1024" s="45" t="n">
        <f aca="false">DATE(YEAR(B1024),MONTH(B1024),1)</f>
        <v>46204</v>
      </c>
      <c r="M1024" s="31" t="n">
        <f aca="false">WEEKDAY(B1024,2)</f>
        <v>3</v>
      </c>
      <c r="N1024" s="31" t="str">
        <f aca="false">IF(G1024&lt;=INDEX(Assumptions!$B$15:$B$18,MATCH(E1024,Assumptions!$A$15:$A$18,0)),"Yes","No")</f>
        <v>No</v>
      </c>
      <c r="O1024" s="31" t="str">
        <f aca="false">IF(H1024="","Open",IF(H1024&lt;=INDEX(Assumptions!$C$15:$C$18,MATCH(E1024,Assumptions!$A$15:$A$18,0)),"Yes","No"))</f>
        <v>Yes</v>
      </c>
    </row>
    <row r="1025" customFormat="false" ht="15" hidden="false" customHeight="false" outlineLevel="0" collapsed="false">
      <c r="A1025" s="31" t="s">
        <v>1175</v>
      </c>
      <c r="B1025" s="44" t="n">
        <v>46218</v>
      </c>
      <c r="C1025" s="31" t="s">
        <v>57</v>
      </c>
      <c r="D1025" s="31" t="s">
        <v>68</v>
      </c>
      <c r="E1025" s="31" t="s">
        <v>52</v>
      </c>
      <c r="F1025" s="31" t="s">
        <v>126</v>
      </c>
      <c r="G1025" s="31" t="n">
        <v>6</v>
      </c>
      <c r="H1025" s="41" t="n">
        <v>8.1</v>
      </c>
      <c r="I1025" s="31" t="s">
        <v>149</v>
      </c>
      <c r="J1025" s="31" t="n">
        <v>5</v>
      </c>
      <c r="K1025" s="31" t="s">
        <v>150</v>
      </c>
      <c r="L1025" s="45" t="n">
        <f aca="false">DATE(YEAR(B1025),MONTH(B1025),1)</f>
        <v>46204</v>
      </c>
      <c r="M1025" s="31" t="n">
        <f aca="false">WEEKDAY(B1025,2)</f>
        <v>3</v>
      </c>
      <c r="N1025" s="31" t="str">
        <f aca="false">IF(G1025&lt;=INDEX(Assumptions!$B$15:$B$18,MATCH(E1025,Assumptions!$A$15:$A$18,0)),"Yes","No")</f>
        <v>Yes</v>
      </c>
      <c r="O1025" s="31" t="str">
        <f aca="false">IF(H1025="","Open",IF(H1025&lt;=INDEX(Assumptions!$C$15:$C$18,MATCH(E1025,Assumptions!$A$15:$A$18,0)),"Yes","No"))</f>
        <v>Yes</v>
      </c>
    </row>
    <row r="1026" customFormat="false" ht="15" hidden="false" customHeight="false" outlineLevel="0" collapsed="false">
      <c r="A1026" s="31" t="s">
        <v>1176</v>
      </c>
      <c r="B1026" s="44" t="n">
        <v>46218</v>
      </c>
      <c r="C1026" s="31" t="s">
        <v>60</v>
      </c>
      <c r="D1026" s="31" t="s">
        <v>65</v>
      </c>
      <c r="E1026" s="31" t="s">
        <v>50</v>
      </c>
      <c r="F1026" s="31" t="s">
        <v>135</v>
      </c>
      <c r="G1026" s="31" t="n">
        <v>2</v>
      </c>
      <c r="H1026" s="41" t="n">
        <v>24.5</v>
      </c>
      <c r="I1026" s="31" t="s">
        <v>149</v>
      </c>
      <c r="J1026" s="31"/>
      <c r="K1026" s="31" t="s">
        <v>150</v>
      </c>
      <c r="L1026" s="45" t="n">
        <f aca="false">DATE(YEAR(B1026),MONTH(B1026),1)</f>
        <v>46204</v>
      </c>
      <c r="M1026" s="31" t="n">
        <f aca="false">WEEKDAY(B1026,2)</f>
        <v>3</v>
      </c>
      <c r="N1026" s="31" t="str">
        <f aca="false">IF(G1026&lt;=INDEX(Assumptions!$B$15:$B$18,MATCH(E1026,Assumptions!$A$15:$A$18,0)),"Yes","No")</f>
        <v>Yes</v>
      </c>
      <c r="O1026" s="31" t="str">
        <f aca="false">IF(H1026="","Open",IF(H1026&lt;=INDEX(Assumptions!$C$15:$C$18,MATCH(E1026,Assumptions!$A$15:$A$18,0)),"Yes","No"))</f>
        <v>No</v>
      </c>
    </row>
    <row r="1027" customFormat="false" ht="15" hidden="false" customHeight="false" outlineLevel="0" collapsed="false">
      <c r="A1027" s="31" t="s">
        <v>1177</v>
      </c>
      <c r="B1027" s="44" t="n">
        <v>46218</v>
      </c>
      <c r="C1027" s="31" t="s">
        <v>58</v>
      </c>
      <c r="D1027" s="31" t="s">
        <v>67</v>
      </c>
      <c r="E1027" s="31" t="s">
        <v>49</v>
      </c>
      <c r="F1027" s="31" t="s">
        <v>133</v>
      </c>
      <c r="G1027" s="31" t="n">
        <v>14</v>
      </c>
      <c r="H1027" s="41"/>
      <c r="I1027" s="31" t="s">
        <v>158</v>
      </c>
      <c r="J1027" s="31"/>
      <c r="K1027" s="31" t="s">
        <v>150</v>
      </c>
      <c r="L1027" s="45" t="n">
        <f aca="false">DATE(YEAR(B1027),MONTH(B1027),1)</f>
        <v>46204</v>
      </c>
      <c r="M1027" s="31" t="n">
        <f aca="false">WEEKDAY(B1027,2)</f>
        <v>3</v>
      </c>
      <c r="N1027" s="31" t="str">
        <f aca="false">IF(G1027&lt;=INDEX(Assumptions!$B$15:$B$18,MATCH(E1027,Assumptions!$A$15:$A$18,0)),"Yes","No")</f>
        <v>Yes</v>
      </c>
      <c r="O1027" s="31" t="str">
        <f aca="false">IF(H1027="","Open",IF(H1027&lt;=INDEX(Assumptions!$C$15:$C$18,MATCH(E1027,Assumptions!$A$15:$A$18,0)),"Yes","No"))</f>
        <v>Open</v>
      </c>
    </row>
    <row r="1028" customFormat="false" ht="15" hidden="false" customHeight="false" outlineLevel="0" collapsed="false">
      <c r="A1028" s="31" t="s">
        <v>1178</v>
      </c>
      <c r="B1028" s="44" t="n">
        <v>46218</v>
      </c>
      <c r="C1028" s="31" t="s">
        <v>59</v>
      </c>
      <c r="D1028" s="31" t="s">
        <v>67</v>
      </c>
      <c r="E1028" s="31" t="s">
        <v>51</v>
      </c>
      <c r="F1028" s="31" t="s">
        <v>122</v>
      </c>
      <c r="G1028" s="31" t="n">
        <v>43</v>
      </c>
      <c r="H1028" s="41" t="n">
        <v>24.1</v>
      </c>
      <c r="I1028" s="31" t="s">
        <v>149</v>
      </c>
      <c r="J1028" s="31"/>
      <c r="K1028" s="31" t="s">
        <v>150</v>
      </c>
      <c r="L1028" s="45" t="n">
        <f aca="false">DATE(YEAR(B1028),MONTH(B1028),1)</f>
        <v>46204</v>
      </c>
      <c r="M1028" s="31" t="n">
        <f aca="false">WEEKDAY(B1028,2)</f>
        <v>3</v>
      </c>
      <c r="N1028" s="31" t="str">
        <f aca="false">IF(G1028&lt;=INDEX(Assumptions!$B$15:$B$18,MATCH(E1028,Assumptions!$A$15:$A$18,0)),"Yes","No")</f>
        <v>Yes</v>
      </c>
      <c r="O1028" s="31" t="str">
        <f aca="false">IF(H1028="","Open",IF(H1028&lt;=INDEX(Assumptions!$C$15:$C$18,MATCH(E1028,Assumptions!$A$15:$A$18,0)),"Yes","No"))</f>
        <v>No</v>
      </c>
    </row>
    <row r="1029" customFormat="false" ht="15" hidden="false" customHeight="false" outlineLevel="0" collapsed="false">
      <c r="A1029" s="31" t="s">
        <v>1179</v>
      </c>
      <c r="B1029" s="44" t="n">
        <v>46218</v>
      </c>
      <c r="C1029" s="31" t="s">
        <v>60</v>
      </c>
      <c r="D1029" s="31" t="s">
        <v>68</v>
      </c>
      <c r="E1029" s="31" t="s">
        <v>52</v>
      </c>
      <c r="F1029" s="31" t="s">
        <v>134</v>
      </c>
      <c r="G1029" s="31" t="n">
        <v>5</v>
      </c>
      <c r="H1029" s="41" t="n">
        <v>8.6</v>
      </c>
      <c r="I1029" s="31" t="s">
        <v>149</v>
      </c>
      <c r="J1029" s="31" t="n">
        <v>5</v>
      </c>
      <c r="K1029" s="31" t="s">
        <v>150</v>
      </c>
      <c r="L1029" s="45" t="n">
        <f aca="false">DATE(YEAR(B1029),MONTH(B1029),1)</f>
        <v>46204</v>
      </c>
      <c r="M1029" s="31" t="n">
        <f aca="false">WEEKDAY(B1029,2)</f>
        <v>3</v>
      </c>
      <c r="N1029" s="31" t="str">
        <f aca="false">IF(G1029&lt;=INDEX(Assumptions!$B$15:$B$18,MATCH(E1029,Assumptions!$A$15:$A$18,0)),"Yes","No")</f>
        <v>Yes</v>
      </c>
      <c r="O1029" s="31" t="str">
        <f aca="false">IF(H1029="","Open",IF(H1029&lt;=INDEX(Assumptions!$C$15:$C$18,MATCH(E1029,Assumptions!$A$15:$A$18,0)),"Yes","No"))</f>
        <v>Yes</v>
      </c>
    </row>
    <row r="1030" customFormat="false" ht="15" hidden="false" customHeight="false" outlineLevel="0" collapsed="false">
      <c r="A1030" s="31" t="s">
        <v>1180</v>
      </c>
      <c r="B1030" s="44" t="n">
        <v>46218</v>
      </c>
      <c r="C1030" s="31" t="s">
        <v>60</v>
      </c>
      <c r="D1030" s="31" t="s">
        <v>68</v>
      </c>
      <c r="E1030" s="31" t="s">
        <v>50</v>
      </c>
      <c r="F1030" s="31" t="s">
        <v>137</v>
      </c>
      <c r="G1030" s="31" t="n">
        <v>6</v>
      </c>
      <c r="H1030" s="41" t="n">
        <v>25.9</v>
      </c>
      <c r="I1030" s="31" t="s">
        <v>64</v>
      </c>
      <c r="J1030" s="31" t="n">
        <v>3</v>
      </c>
      <c r="K1030" s="31" t="s">
        <v>150</v>
      </c>
      <c r="L1030" s="45" t="n">
        <f aca="false">DATE(YEAR(B1030),MONTH(B1030),1)</f>
        <v>46204</v>
      </c>
      <c r="M1030" s="31" t="n">
        <f aca="false">WEEKDAY(B1030,2)</f>
        <v>3</v>
      </c>
      <c r="N1030" s="31" t="str">
        <f aca="false">IF(G1030&lt;=INDEX(Assumptions!$B$15:$B$18,MATCH(E1030,Assumptions!$A$15:$A$18,0)),"Yes","No")</f>
        <v>Yes</v>
      </c>
      <c r="O1030" s="31" t="str">
        <f aca="false">IF(H1030="","Open",IF(H1030&lt;=INDEX(Assumptions!$C$15:$C$18,MATCH(E1030,Assumptions!$A$15:$A$18,0)),"Yes","No"))</f>
        <v>No</v>
      </c>
    </row>
    <row r="1031" customFormat="false" ht="15" hidden="false" customHeight="false" outlineLevel="0" collapsed="false">
      <c r="A1031" s="31" t="s">
        <v>1181</v>
      </c>
      <c r="B1031" s="44" t="n">
        <v>46218</v>
      </c>
      <c r="C1031" s="31" t="s">
        <v>60</v>
      </c>
      <c r="D1031" s="31" t="s">
        <v>65</v>
      </c>
      <c r="E1031" s="31" t="s">
        <v>51</v>
      </c>
      <c r="F1031" s="31" t="s">
        <v>131</v>
      </c>
      <c r="G1031" s="31" t="n">
        <v>4</v>
      </c>
      <c r="H1031" s="41" t="n">
        <v>13.9</v>
      </c>
      <c r="I1031" s="31" t="s">
        <v>149</v>
      </c>
      <c r="J1031" s="31" t="n">
        <v>5</v>
      </c>
      <c r="K1031" s="31" t="s">
        <v>150</v>
      </c>
      <c r="L1031" s="45" t="n">
        <f aca="false">DATE(YEAR(B1031),MONTH(B1031),1)</f>
        <v>46204</v>
      </c>
      <c r="M1031" s="31" t="n">
        <f aca="false">WEEKDAY(B1031,2)</f>
        <v>3</v>
      </c>
      <c r="N1031" s="31" t="str">
        <f aca="false">IF(G1031&lt;=INDEX(Assumptions!$B$15:$B$18,MATCH(E1031,Assumptions!$A$15:$A$18,0)),"Yes","No")</f>
        <v>Yes</v>
      </c>
      <c r="O1031" s="31" t="str">
        <f aca="false">IF(H1031="","Open",IF(H1031&lt;=INDEX(Assumptions!$C$15:$C$18,MATCH(E1031,Assumptions!$A$15:$A$18,0)),"Yes","No"))</f>
        <v>Yes</v>
      </c>
    </row>
    <row r="1032" customFormat="false" ht="15" hidden="false" customHeight="false" outlineLevel="0" collapsed="false">
      <c r="A1032" s="31" t="s">
        <v>1182</v>
      </c>
      <c r="B1032" s="44" t="n">
        <v>46218</v>
      </c>
      <c r="C1032" s="31" t="s">
        <v>58</v>
      </c>
      <c r="D1032" s="31" t="s">
        <v>68</v>
      </c>
      <c r="E1032" s="31" t="s">
        <v>50</v>
      </c>
      <c r="F1032" s="31" t="s">
        <v>128</v>
      </c>
      <c r="G1032" s="31" t="n">
        <v>8</v>
      </c>
      <c r="H1032" s="41" t="n">
        <v>1.9</v>
      </c>
      <c r="I1032" s="31" t="s">
        <v>149</v>
      </c>
      <c r="J1032" s="31"/>
      <c r="K1032" s="31" t="s">
        <v>150</v>
      </c>
      <c r="L1032" s="45" t="n">
        <f aca="false">DATE(YEAR(B1032),MONTH(B1032),1)</f>
        <v>46204</v>
      </c>
      <c r="M1032" s="31" t="n">
        <f aca="false">WEEKDAY(B1032,2)</f>
        <v>3</v>
      </c>
      <c r="N1032" s="31" t="str">
        <f aca="false">IF(G1032&lt;=INDEX(Assumptions!$B$15:$B$18,MATCH(E1032,Assumptions!$A$15:$A$18,0)),"Yes","No")</f>
        <v>Yes</v>
      </c>
      <c r="O1032" s="31" t="str">
        <f aca="false">IF(H1032="","Open",IF(H1032&lt;=INDEX(Assumptions!$C$15:$C$18,MATCH(E1032,Assumptions!$A$15:$A$18,0)),"Yes","No"))</f>
        <v>Yes</v>
      </c>
    </row>
    <row r="1033" customFormat="false" ht="15" hidden="false" customHeight="false" outlineLevel="0" collapsed="false">
      <c r="A1033" s="31" t="s">
        <v>1183</v>
      </c>
      <c r="B1033" s="44" t="n">
        <v>46218</v>
      </c>
      <c r="C1033" s="31" t="s">
        <v>58</v>
      </c>
      <c r="D1033" s="31" t="s">
        <v>66</v>
      </c>
      <c r="E1033" s="31" t="s">
        <v>52</v>
      </c>
      <c r="F1033" s="31" t="s">
        <v>127</v>
      </c>
      <c r="G1033" s="31" t="n">
        <v>16</v>
      </c>
      <c r="H1033" s="41" t="n">
        <v>3.9</v>
      </c>
      <c r="I1033" s="31" t="s">
        <v>149</v>
      </c>
      <c r="J1033" s="31" t="n">
        <v>5</v>
      </c>
      <c r="K1033" s="31" t="s">
        <v>150</v>
      </c>
      <c r="L1033" s="45" t="n">
        <f aca="false">DATE(YEAR(B1033),MONTH(B1033),1)</f>
        <v>46204</v>
      </c>
      <c r="M1033" s="31" t="n">
        <f aca="false">WEEKDAY(B1033,2)</f>
        <v>3</v>
      </c>
      <c r="N1033" s="31" t="str">
        <f aca="false">IF(G1033&lt;=INDEX(Assumptions!$B$15:$B$18,MATCH(E1033,Assumptions!$A$15:$A$18,0)),"Yes","No")</f>
        <v>Yes</v>
      </c>
      <c r="O1033" s="31" t="str">
        <f aca="false">IF(H1033="","Open",IF(H1033&lt;=INDEX(Assumptions!$C$15:$C$18,MATCH(E1033,Assumptions!$A$15:$A$18,0)),"Yes","No"))</f>
        <v>Yes</v>
      </c>
    </row>
    <row r="1034" customFormat="false" ht="15" hidden="false" customHeight="false" outlineLevel="0" collapsed="false">
      <c r="A1034" s="31" t="s">
        <v>1184</v>
      </c>
      <c r="B1034" s="44" t="n">
        <v>46218</v>
      </c>
      <c r="C1034" s="31" t="s">
        <v>58</v>
      </c>
      <c r="D1034" s="31" t="s">
        <v>65</v>
      </c>
      <c r="E1034" s="31" t="s">
        <v>51</v>
      </c>
      <c r="F1034" s="31" t="s">
        <v>130</v>
      </c>
      <c r="G1034" s="31" t="n">
        <v>4</v>
      </c>
      <c r="H1034" s="41" t="n">
        <v>5.5</v>
      </c>
      <c r="I1034" s="31" t="s">
        <v>149</v>
      </c>
      <c r="J1034" s="31" t="n">
        <v>5</v>
      </c>
      <c r="K1034" s="31" t="s">
        <v>150</v>
      </c>
      <c r="L1034" s="45" t="n">
        <f aca="false">DATE(YEAR(B1034),MONTH(B1034),1)</f>
        <v>46204</v>
      </c>
      <c r="M1034" s="31" t="n">
        <f aca="false">WEEKDAY(B1034,2)</f>
        <v>3</v>
      </c>
      <c r="N1034" s="31" t="str">
        <f aca="false">IF(G1034&lt;=INDEX(Assumptions!$B$15:$B$18,MATCH(E1034,Assumptions!$A$15:$A$18,0)),"Yes","No")</f>
        <v>Yes</v>
      </c>
      <c r="O1034" s="31" t="str">
        <f aca="false">IF(H1034="","Open",IF(H1034&lt;=INDEX(Assumptions!$C$15:$C$18,MATCH(E1034,Assumptions!$A$15:$A$18,0)),"Yes","No"))</f>
        <v>Yes</v>
      </c>
    </row>
    <row r="1035" customFormat="false" ht="15" hidden="false" customHeight="false" outlineLevel="0" collapsed="false">
      <c r="A1035" s="31" t="s">
        <v>1185</v>
      </c>
      <c r="B1035" s="44" t="n">
        <v>46218</v>
      </c>
      <c r="C1035" s="31" t="s">
        <v>57</v>
      </c>
      <c r="D1035" s="31" t="s">
        <v>69</v>
      </c>
      <c r="E1035" s="31" t="s">
        <v>52</v>
      </c>
      <c r="F1035" s="31" t="s">
        <v>130</v>
      </c>
      <c r="G1035" s="31" t="n">
        <v>4</v>
      </c>
      <c r="H1035" s="41" t="n">
        <v>35.6</v>
      </c>
      <c r="I1035" s="31" t="s">
        <v>149</v>
      </c>
      <c r="J1035" s="31" t="n">
        <v>3</v>
      </c>
      <c r="K1035" s="31" t="s">
        <v>150</v>
      </c>
      <c r="L1035" s="45" t="n">
        <f aca="false">DATE(YEAR(B1035),MONTH(B1035),1)</f>
        <v>46204</v>
      </c>
      <c r="M1035" s="31" t="n">
        <f aca="false">WEEKDAY(B1035,2)</f>
        <v>3</v>
      </c>
      <c r="N1035" s="31" t="str">
        <f aca="false">IF(G1035&lt;=INDEX(Assumptions!$B$15:$B$18,MATCH(E1035,Assumptions!$A$15:$A$18,0)),"Yes","No")</f>
        <v>Yes</v>
      </c>
      <c r="O1035" s="31" t="str">
        <f aca="false">IF(H1035="","Open",IF(H1035&lt;=INDEX(Assumptions!$C$15:$C$18,MATCH(E1035,Assumptions!$A$15:$A$18,0)),"Yes","No"))</f>
        <v>Yes</v>
      </c>
    </row>
    <row r="1036" customFormat="false" ht="15" hidden="false" customHeight="false" outlineLevel="0" collapsed="false">
      <c r="A1036" s="31" t="s">
        <v>1186</v>
      </c>
      <c r="B1036" s="44" t="n">
        <v>46218</v>
      </c>
      <c r="C1036" s="31" t="s">
        <v>58</v>
      </c>
      <c r="D1036" s="31" t="s">
        <v>66</v>
      </c>
      <c r="E1036" s="31" t="s">
        <v>52</v>
      </c>
      <c r="F1036" s="31" t="s">
        <v>123</v>
      </c>
      <c r="G1036" s="31" t="n">
        <v>9</v>
      </c>
      <c r="H1036" s="41" t="n">
        <v>15.1</v>
      </c>
      <c r="I1036" s="31" t="s">
        <v>149</v>
      </c>
      <c r="J1036" s="31"/>
      <c r="K1036" s="31" t="s">
        <v>150</v>
      </c>
      <c r="L1036" s="45" t="n">
        <f aca="false">DATE(YEAR(B1036),MONTH(B1036),1)</f>
        <v>46204</v>
      </c>
      <c r="M1036" s="31" t="n">
        <f aca="false">WEEKDAY(B1036,2)</f>
        <v>3</v>
      </c>
      <c r="N1036" s="31" t="str">
        <f aca="false">IF(G1036&lt;=INDEX(Assumptions!$B$15:$B$18,MATCH(E1036,Assumptions!$A$15:$A$18,0)),"Yes","No")</f>
        <v>Yes</v>
      </c>
      <c r="O1036" s="31" t="str">
        <f aca="false">IF(H1036="","Open",IF(H1036&lt;=INDEX(Assumptions!$C$15:$C$18,MATCH(E1036,Assumptions!$A$15:$A$18,0)),"Yes","No"))</f>
        <v>Yes</v>
      </c>
    </row>
    <row r="1037" customFormat="false" ht="15" hidden="false" customHeight="false" outlineLevel="0" collapsed="false">
      <c r="A1037" s="31" t="s">
        <v>1187</v>
      </c>
      <c r="B1037" s="44" t="n">
        <v>46218</v>
      </c>
      <c r="C1037" s="31" t="s">
        <v>60</v>
      </c>
      <c r="D1037" s="31" t="s">
        <v>65</v>
      </c>
      <c r="E1037" s="31" t="s">
        <v>52</v>
      </c>
      <c r="F1037" s="31" t="s">
        <v>131</v>
      </c>
      <c r="G1037" s="31" t="n">
        <v>2</v>
      </c>
      <c r="H1037" s="41" t="n">
        <v>20.8</v>
      </c>
      <c r="I1037" s="31" t="s">
        <v>149</v>
      </c>
      <c r="J1037" s="31"/>
      <c r="K1037" s="31" t="s">
        <v>150</v>
      </c>
      <c r="L1037" s="45" t="n">
        <f aca="false">DATE(YEAR(B1037),MONTH(B1037),1)</f>
        <v>46204</v>
      </c>
      <c r="M1037" s="31" t="n">
        <f aca="false">WEEKDAY(B1037,2)</f>
        <v>3</v>
      </c>
      <c r="N1037" s="31" t="str">
        <f aca="false">IF(G1037&lt;=INDEX(Assumptions!$B$15:$B$18,MATCH(E1037,Assumptions!$A$15:$A$18,0)),"Yes","No")</f>
        <v>Yes</v>
      </c>
      <c r="O1037" s="31" t="str">
        <f aca="false">IF(H1037="","Open",IF(H1037&lt;=INDEX(Assumptions!$C$15:$C$18,MATCH(E1037,Assumptions!$A$15:$A$18,0)),"Yes","No"))</f>
        <v>Yes</v>
      </c>
    </row>
    <row r="1038" customFormat="false" ht="15" hidden="false" customHeight="false" outlineLevel="0" collapsed="false">
      <c r="A1038" s="31" t="s">
        <v>1188</v>
      </c>
      <c r="B1038" s="44" t="n">
        <v>46218</v>
      </c>
      <c r="C1038" s="31" t="s">
        <v>60</v>
      </c>
      <c r="D1038" s="31" t="s">
        <v>66</v>
      </c>
      <c r="E1038" s="31" t="s">
        <v>50</v>
      </c>
      <c r="F1038" s="31" t="s">
        <v>122</v>
      </c>
      <c r="G1038" s="31" t="n">
        <v>4</v>
      </c>
      <c r="H1038" s="41" t="n">
        <v>3.2</v>
      </c>
      <c r="I1038" s="31" t="s">
        <v>149</v>
      </c>
      <c r="J1038" s="31"/>
      <c r="K1038" s="31" t="s">
        <v>150</v>
      </c>
      <c r="L1038" s="45" t="n">
        <f aca="false">DATE(YEAR(B1038),MONTH(B1038),1)</f>
        <v>46204</v>
      </c>
      <c r="M1038" s="31" t="n">
        <f aca="false">WEEKDAY(B1038,2)</f>
        <v>3</v>
      </c>
      <c r="N1038" s="31" t="str">
        <f aca="false">IF(G1038&lt;=INDEX(Assumptions!$B$15:$B$18,MATCH(E1038,Assumptions!$A$15:$A$18,0)),"Yes","No")</f>
        <v>Yes</v>
      </c>
      <c r="O1038" s="31" t="str">
        <f aca="false">IF(H1038="","Open",IF(H1038&lt;=INDEX(Assumptions!$C$15:$C$18,MATCH(E1038,Assumptions!$A$15:$A$18,0)),"Yes","No"))</f>
        <v>Yes</v>
      </c>
    </row>
    <row r="1039" customFormat="false" ht="15" hidden="false" customHeight="false" outlineLevel="0" collapsed="false">
      <c r="A1039" s="31" t="s">
        <v>1189</v>
      </c>
      <c r="B1039" s="44" t="n">
        <v>46218</v>
      </c>
      <c r="C1039" s="31" t="s">
        <v>57</v>
      </c>
      <c r="D1039" s="31" t="s">
        <v>68</v>
      </c>
      <c r="E1039" s="31" t="s">
        <v>50</v>
      </c>
      <c r="F1039" s="31" t="s">
        <v>119</v>
      </c>
      <c r="G1039" s="31" t="n">
        <v>15</v>
      </c>
      <c r="H1039" s="41" t="n">
        <v>3.1</v>
      </c>
      <c r="I1039" s="31" t="s">
        <v>149</v>
      </c>
      <c r="J1039" s="31"/>
      <c r="K1039" s="31" t="s">
        <v>150</v>
      </c>
      <c r="L1039" s="45" t="n">
        <f aca="false">DATE(YEAR(B1039),MONTH(B1039),1)</f>
        <v>46204</v>
      </c>
      <c r="M1039" s="31" t="n">
        <f aca="false">WEEKDAY(B1039,2)</f>
        <v>3</v>
      </c>
      <c r="N1039" s="31" t="str">
        <f aca="false">IF(G1039&lt;=INDEX(Assumptions!$B$15:$B$18,MATCH(E1039,Assumptions!$A$15:$A$18,0)),"Yes","No")</f>
        <v>Yes</v>
      </c>
      <c r="O1039" s="31" t="str">
        <f aca="false">IF(H1039="","Open",IF(H1039&lt;=INDEX(Assumptions!$C$15:$C$18,MATCH(E1039,Assumptions!$A$15:$A$18,0)),"Yes","No"))</f>
        <v>Yes</v>
      </c>
    </row>
    <row r="1040" customFormat="false" ht="15" hidden="false" customHeight="false" outlineLevel="0" collapsed="false">
      <c r="A1040" s="31" t="s">
        <v>1190</v>
      </c>
      <c r="B1040" s="44" t="n">
        <v>46218</v>
      </c>
      <c r="C1040" s="31" t="s">
        <v>58</v>
      </c>
      <c r="D1040" s="31" t="s">
        <v>69</v>
      </c>
      <c r="E1040" s="31" t="s">
        <v>50</v>
      </c>
      <c r="F1040" s="31" t="s">
        <v>129</v>
      </c>
      <c r="G1040" s="31" t="n">
        <v>3</v>
      </c>
      <c r="H1040" s="41" t="n">
        <v>2.3</v>
      </c>
      <c r="I1040" s="31" t="s">
        <v>149</v>
      </c>
      <c r="J1040" s="31"/>
      <c r="K1040" s="31" t="s">
        <v>150</v>
      </c>
      <c r="L1040" s="45" t="n">
        <f aca="false">DATE(YEAR(B1040),MONTH(B1040),1)</f>
        <v>46204</v>
      </c>
      <c r="M1040" s="31" t="n">
        <f aca="false">WEEKDAY(B1040,2)</f>
        <v>3</v>
      </c>
      <c r="N1040" s="31" t="str">
        <f aca="false">IF(G1040&lt;=INDEX(Assumptions!$B$15:$B$18,MATCH(E1040,Assumptions!$A$15:$A$18,0)),"Yes","No")</f>
        <v>Yes</v>
      </c>
      <c r="O1040" s="31" t="str">
        <f aca="false">IF(H1040="","Open",IF(H1040&lt;=INDEX(Assumptions!$C$15:$C$18,MATCH(E1040,Assumptions!$A$15:$A$18,0)),"Yes","No"))</f>
        <v>Yes</v>
      </c>
    </row>
    <row r="1041" customFormat="false" ht="15" hidden="false" customHeight="false" outlineLevel="0" collapsed="false">
      <c r="A1041" s="31" t="s">
        <v>1191</v>
      </c>
      <c r="B1041" s="44" t="n">
        <v>46218</v>
      </c>
      <c r="C1041" s="31" t="s">
        <v>58</v>
      </c>
      <c r="D1041" s="31" t="s">
        <v>67</v>
      </c>
      <c r="E1041" s="31" t="s">
        <v>52</v>
      </c>
      <c r="F1041" s="31" t="s">
        <v>128</v>
      </c>
      <c r="G1041" s="31" t="n">
        <v>37</v>
      </c>
      <c r="H1041" s="41" t="n">
        <v>10.9</v>
      </c>
      <c r="I1041" s="31" t="s">
        <v>149</v>
      </c>
      <c r="J1041" s="31" t="n">
        <v>5</v>
      </c>
      <c r="K1041" s="31" t="s">
        <v>150</v>
      </c>
      <c r="L1041" s="45" t="n">
        <f aca="false">DATE(YEAR(B1041),MONTH(B1041),1)</f>
        <v>46204</v>
      </c>
      <c r="M1041" s="31" t="n">
        <f aca="false">WEEKDAY(B1041,2)</f>
        <v>3</v>
      </c>
      <c r="N1041" s="31" t="str">
        <f aca="false">IF(G1041&lt;=INDEX(Assumptions!$B$15:$B$18,MATCH(E1041,Assumptions!$A$15:$A$18,0)),"Yes","No")</f>
        <v>Yes</v>
      </c>
      <c r="O1041" s="31" t="str">
        <f aca="false">IF(H1041="","Open",IF(H1041&lt;=INDEX(Assumptions!$C$15:$C$18,MATCH(E1041,Assumptions!$A$15:$A$18,0)),"Yes","No"))</f>
        <v>Yes</v>
      </c>
    </row>
    <row r="1042" customFormat="false" ht="15" hidden="false" customHeight="false" outlineLevel="0" collapsed="false">
      <c r="A1042" s="31" t="s">
        <v>1192</v>
      </c>
      <c r="B1042" s="44" t="n">
        <v>46218</v>
      </c>
      <c r="C1042" s="31" t="s">
        <v>59</v>
      </c>
      <c r="D1042" s="31" t="s">
        <v>68</v>
      </c>
      <c r="E1042" s="31" t="s">
        <v>51</v>
      </c>
      <c r="F1042" s="31" t="s">
        <v>136</v>
      </c>
      <c r="G1042" s="31" t="n">
        <v>21</v>
      </c>
      <c r="H1042" s="41" t="n">
        <v>2</v>
      </c>
      <c r="I1042" s="31" t="s">
        <v>149</v>
      </c>
      <c r="J1042" s="31" t="n">
        <v>5</v>
      </c>
      <c r="K1042" s="31" t="s">
        <v>150</v>
      </c>
      <c r="L1042" s="45" t="n">
        <f aca="false">DATE(YEAR(B1042),MONTH(B1042),1)</f>
        <v>46204</v>
      </c>
      <c r="M1042" s="31" t="n">
        <f aca="false">WEEKDAY(B1042,2)</f>
        <v>3</v>
      </c>
      <c r="N1042" s="31" t="str">
        <f aca="false">IF(G1042&lt;=INDEX(Assumptions!$B$15:$B$18,MATCH(E1042,Assumptions!$A$15:$A$18,0)),"Yes","No")</f>
        <v>Yes</v>
      </c>
      <c r="O1042" s="31" t="str">
        <f aca="false">IF(H1042="","Open",IF(H1042&lt;=INDEX(Assumptions!$C$15:$C$18,MATCH(E1042,Assumptions!$A$15:$A$18,0)),"Yes","No"))</f>
        <v>Yes</v>
      </c>
    </row>
    <row r="1043" customFormat="false" ht="15" hidden="false" customHeight="false" outlineLevel="0" collapsed="false">
      <c r="A1043" s="31" t="s">
        <v>1193</v>
      </c>
      <c r="B1043" s="44" t="n">
        <v>46218</v>
      </c>
      <c r="C1043" s="31" t="s">
        <v>58</v>
      </c>
      <c r="D1043" s="31" t="s">
        <v>65</v>
      </c>
      <c r="E1043" s="31" t="s">
        <v>52</v>
      </c>
      <c r="F1043" s="31" t="s">
        <v>136</v>
      </c>
      <c r="G1043" s="31" t="n">
        <v>8</v>
      </c>
      <c r="H1043" s="41" t="n">
        <v>12.7</v>
      </c>
      <c r="I1043" s="31" t="s">
        <v>149</v>
      </c>
      <c r="J1043" s="31"/>
      <c r="K1043" s="31" t="s">
        <v>150</v>
      </c>
      <c r="L1043" s="45" t="n">
        <f aca="false">DATE(YEAR(B1043),MONTH(B1043),1)</f>
        <v>46204</v>
      </c>
      <c r="M1043" s="31" t="n">
        <f aca="false">WEEKDAY(B1043,2)</f>
        <v>3</v>
      </c>
      <c r="N1043" s="31" t="str">
        <f aca="false">IF(G1043&lt;=INDEX(Assumptions!$B$15:$B$18,MATCH(E1043,Assumptions!$A$15:$A$18,0)),"Yes","No")</f>
        <v>Yes</v>
      </c>
      <c r="O1043" s="31" t="str">
        <f aca="false">IF(H1043="","Open",IF(H1043&lt;=INDEX(Assumptions!$C$15:$C$18,MATCH(E1043,Assumptions!$A$15:$A$18,0)),"Yes","No"))</f>
        <v>Yes</v>
      </c>
    </row>
    <row r="1044" customFormat="false" ht="15" hidden="false" customHeight="false" outlineLevel="0" collapsed="false">
      <c r="A1044" s="31" t="s">
        <v>1194</v>
      </c>
      <c r="B1044" s="44" t="n">
        <v>46218</v>
      </c>
      <c r="C1044" s="31" t="s">
        <v>60</v>
      </c>
      <c r="D1044" s="31" t="s">
        <v>67</v>
      </c>
      <c r="E1044" s="31" t="s">
        <v>50</v>
      </c>
      <c r="F1044" s="31" t="s">
        <v>122</v>
      </c>
      <c r="G1044" s="31" t="n">
        <v>2</v>
      </c>
      <c r="H1044" s="41" t="n">
        <v>30.5</v>
      </c>
      <c r="I1044" s="31" t="s">
        <v>149</v>
      </c>
      <c r="J1044" s="31"/>
      <c r="K1044" s="31" t="s">
        <v>150</v>
      </c>
      <c r="L1044" s="45" t="n">
        <f aca="false">DATE(YEAR(B1044),MONTH(B1044),1)</f>
        <v>46204</v>
      </c>
      <c r="M1044" s="31" t="n">
        <f aca="false">WEEKDAY(B1044,2)</f>
        <v>3</v>
      </c>
      <c r="N1044" s="31" t="str">
        <f aca="false">IF(G1044&lt;=INDEX(Assumptions!$B$15:$B$18,MATCH(E1044,Assumptions!$A$15:$A$18,0)),"Yes","No")</f>
        <v>Yes</v>
      </c>
      <c r="O1044" s="31" t="str">
        <f aca="false">IF(H1044="","Open",IF(H1044&lt;=INDEX(Assumptions!$C$15:$C$18,MATCH(E1044,Assumptions!$A$15:$A$18,0)),"Yes","No"))</f>
        <v>No</v>
      </c>
    </row>
    <row r="1045" customFormat="false" ht="15" hidden="false" customHeight="false" outlineLevel="0" collapsed="false">
      <c r="A1045" s="31" t="s">
        <v>1195</v>
      </c>
      <c r="B1045" s="44" t="n">
        <v>46218</v>
      </c>
      <c r="C1045" s="31" t="s">
        <v>57</v>
      </c>
      <c r="D1045" s="31" t="s">
        <v>65</v>
      </c>
      <c r="E1045" s="31" t="s">
        <v>51</v>
      </c>
      <c r="F1045" s="31" t="s">
        <v>137</v>
      </c>
      <c r="G1045" s="31" t="n">
        <v>15</v>
      </c>
      <c r="H1045" s="41"/>
      <c r="I1045" s="31" t="s">
        <v>158</v>
      </c>
      <c r="J1045" s="31"/>
      <c r="K1045" s="31" t="s">
        <v>150</v>
      </c>
      <c r="L1045" s="45" t="n">
        <f aca="false">DATE(YEAR(B1045),MONTH(B1045),1)</f>
        <v>46204</v>
      </c>
      <c r="M1045" s="31" t="n">
        <f aca="false">WEEKDAY(B1045,2)</f>
        <v>3</v>
      </c>
      <c r="N1045" s="31" t="str">
        <f aca="false">IF(G1045&lt;=INDEX(Assumptions!$B$15:$B$18,MATCH(E1045,Assumptions!$A$15:$A$18,0)),"Yes","No")</f>
        <v>Yes</v>
      </c>
      <c r="O1045" s="31" t="str">
        <f aca="false">IF(H1045="","Open",IF(H1045&lt;=INDEX(Assumptions!$C$15:$C$18,MATCH(E1045,Assumptions!$A$15:$A$18,0)),"Yes","No"))</f>
        <v>Open</v>
      </c>
    </row>
    <row r="1046" customFormat="false" ht="15" hidden="false" customHeight="false" outlineLevel="0" collapsed="false">
      <c r="A1046" s="31" t="s">
        <v>1196</v>
      </c>
      <c r="B1046" s="44" t="n">
        <v>46218</v>
      </c>
      <c r="C1046" s="31" t="s">
        <v>60</v>
      </c>
      <c r="D1046" s="31" t="s">
        <v>68</v>
      </c>
      <c r="E1046" s="31" t="s">
        <v>51</v>
      </c>
      <c r="F1046" s="31" t="s">
        <v>123</v>
      </c>
      <c r="G1046" s="31" t="n">
        <v>4</v>
      </c>
      <c r="H1046" s="41" t="n">
        <v>5.4</v>
      </c>
      <c r="I1046" s="31" t="s">
        <v>149</v>
      </c>
      <c r="J1046" s="31" t="n">
        <v>4</v>
      </c>
      <c r="K1046" s="31" t="s">
        <v>150</v>
      </c>
      <c r="L1046" s="45" t="n">
        <f aca="false">DATE(YEAR(B1046),MONTH(B1046),1)</f>
        <v>46204</v>
      </c>
      <c r="M1046" s="31" t="n">
        <f aca="false">WEEKDAY(B1046,2)</f>
        <v>3</v>
      </c>
      <c r="N1046" s="31" t="str">
        <f aca="false">IF(G1046&lt;=INDEX(Assumptions!$B$15:$B$18,MATCH(E1046,Assumptions!$A$15:$A$18,0)),"Yes","No")</f>
        <v>Yes</v>
      </c>
      <c r="O1046" s="31" t="str">
        <f aca="false">IF(H1046="","Open",IF(H1046&lt;=INDEX(Assumptions!$C$15:$C$18,MATCH(E1046,Assumptions!$A$15:$A$18,0)),"Yes","No"))</f>
        <v>Yes</v>
      </c>
    </row>
    <row r="1047" customFormat="false" ht="15" hidden="false" customHeight="false" outlineLevel="0" collapsed="false">
      <c r="A1047" s="31" t="s">
        <v>1197</v>
      </c>
      <c r="B1047" s="44" t="n">
        <v>46218</v>
      </c>
      <c r="C1047" s="31" t="s">
        <v>60</v>
      </c>
      <c r="D1047" s="31" t="s">
        <v>65</v>
      </c>
      <c r="E1047" s="31" t="s">
        <v>52</v>
      </c>
      <c r="F1047" s="31" t="s">
        <v>117</v>
      </c>
      <c r="G1047" s="31" t="n">
        <v>1</v>
      </c>
      <c r="H1047" s="41" t="n">
        <v>31.7</v>
      </c>
      <c r="I1047" s="31" t="s">
        <v>149</v>
      </c>
      <c r="J1047" s="31"/>
      <c r="K1047" s="31" t="s">
        <v>150</v>
      </c>
      <c r="L1047" s="45" t="n">
        <f aca="false">DATE(YEAR(B1047),MONTH(B1047),1)</f>
        <v>46204</v>
      </c>
      <c r="M1047" s="31" t="n">
        <f aca="false">WEEKDAY(B1047,2)</f>
        <v>3</v>
      </c>
      <c r="N1047" s="31" t="str">
        <f aca="false">IF(G1047&lt;=INDEX(Assumptions!$B$15:$B$18,MATCH(E1047,Assumptions!$A$15:$A$18,0)),"Yes","No")</f>
        <v>Yes</v>
      </c>
      <c r="O1047" s="31" t="str">
        <f aca="false">IF(H1047="","Open",IF(H1047&lt;=INDEX(Assumptions!$C$15:$C$18,MATCH(E1047,Assumptions!$A$15:$A$18,0)),"Yes","No"))</f>
        <v>Yes</v>
      </c>
    </row>
    <row r="1048" customFormat="false" ht="15" hidden="false" customHeight="false" outlineLevel="0" collapsed="false">
      <c r="A1048" s="31" t="s">
        <v>1198</v>
      </c>
      <c r="B1048" s="44" t="n">
        <v>46218</v>
      </c>
      <c r="C1048" s="31" t="s">
        <v>59</v>
      </c>
      <c r="D1048" s="31" t="s">
        <v>65</v>
      </c>
      <c r="E1048" s="31" t="s">
        <v>50</v>
      </c>
      <c r="F1048" s="31" t="s">
        <v>135</v>
      </c>
      <c r="G1048" s="31" t="n">
        <v>186</v>
      </c>
      <c r="H1048" s="41" t="n">
        <v>18.3</v>
      </c>
      <c r="I1048" s="31" t="s">
        <v>64</v>
      </c>
      <c r="J1048" s="31" t="n">
        <v>2</v>
      </c>
      <c r="K1048" s="31" t="s">
        <v>150</v>
      </c>
      <c r="L1048" s="45" t="n">
        <f aca="false">DATE(YEAR(B1048),MONTH(B1048),1)</f>
        <v>46204</v>
      </c>
      <c r="M1048" s="31" t="n">
        <f aca="false">WEEKDAY(B1048,2)</f>
        <v>3</v>
      </c>
      <c r="N1048" s="31" t="str">
        <f aca="false">IF(G1048&lt;=INDEX(Assumptions!$B$15:$B$18,MATCH(E1048,Assumptions!$A$15:$A$18,0)),"Yes","No")</f>
        <v>No</v>
      </c>
      <c r="O1048" s="31" t="str">
        <f aca="false">IF(H1048="","Open",IF(H1048&lt;=INDEX(Assumptions!$C$15:$C$18,MATCH(E1048,Assumptions!$A$15:$A$18,0)),"Yes","No"))</f>
        <v>No</v>
      </c>
    </row>
    <row r="1049" customFormat="false" ht="15" hidden="false" customHeight="false" outlineLevel="0" collapsed="false">
      <c r="A1049" s="31" t="s">
        <v>1199</v>
      </c>
      <c r="B1049" s="44" t="n">
        <v>46218</v>
      </c>
      <c r="C1049" s="31" t="s">
        <v>58</v>
      </c>
      <c r="D1049" s="31" t="s">
        <v>67</v>
      </c>
      <c r="E1049" s="31" t="s">
        <v>52</v>
      </c>
      <c r="F1049" s="31" t="s">
        <v>129</v>
      </c>
      <c r="G1049" s="31" t="n">
        <v>9</v>
      </c>
      <c r="H1049" s="41" t="n">
        <v>23.4</v>
      </c>
      <c r="I1049" s="31" t="s">
        <v>149</v>
      </c>
      <c r="J1049" s="31"/>
      <c r="K1049" s="31" t="s">
        <v>150</v>
      </c>
      <c r="L1049" s="45" t="n">
        <f aca="false">DATE(YEAR(B1049),MONTH(B1049),1)</f>
        <v>46204</v>
      </c>
      <c r="M1049" s="31" t="n">
        <f aca="false">WEEKDAY(B1049,2)</f>
        <v>3</v>
      </c>
      <c r="N1049" s="31" t="str">
        <f aca="false">IF(G1049&lt;=INDEX(Assumptions!$B$15:$B$18,MATCH(E1049,Assumptions!$A$15:$A$18,0)),"Yes","No")</f>
        <v>Yes</v>
      </c>
      <c r="O1049" s="31" t="str">
        <f aca="false">IF(H1049="","Open",IF(H1049&lt;=INDEX(Assumptions!$C$15:$C$18,MATCH(E1049,Assumptions!$A$15:$A$18,0)),"Yes","No"))</f>
        <v>Yes</v>
      </c>
    </row>
    <row r="1050" customFormat="false" ht="15" hidden="false" customHeight="false" outlineLevel="0" collapsed="false">
      <c r="A1050" s="31" t="s">
        <v>1200</v>
      </c>
      <c r="B1050" s="44" t="n">
        <v>46218</v>
      </c>
      <c r="C1050" s="31" t="s">
        <v>60</v>
      </c>
      <c r="D1050" s="31" t="s">
        <v>68</v>
      </c>
      <c r="E1050" s="31" t="s">
        <v>51</v>
      </c>
      <c r="F1050" s="31" t="s">
        <v>126</v>
      </c>
      <c r="G1050" s="31" t="n">
        <v>3</v>
      </c>
      <c r="H1050" s="41" t="n">
        <v>7.7</v>
      </c>
      <c r="I1050" s="31" t="s">
        <v>149</v>
      </c>
      <c r="J1050" s="31"/>
      <c r="K1050" s="31" t="s">
        <v>150</v>
      </c>
      <c r="L1050" s="45" t="n">
        <f aca="false">DATE(YEAR(B1050),MONTH(B1050),1)</f>
        <v>46204</v>
      </c>
      <c r="M1050" s="31" t="n">
        <f aca="false">WEEKDAY(B1050,2)</f>
        <v>3</v>
      </c>
      <c r="N1050" s="31" t="str">
        <f aca="false">IF(G1050&lt;=INDEX(Assumptions!$B$15:$B$18,MATCH(E1050,Assumptions!$A$15:$A$18,0)),"Yes","No")</f>
        <v>Yes</v>
      </c>
      <c r="O1050" s="31" t="str">
        <f aca="false">IF(H1050="","Open",IF(H1050&lt;=INDEX(Assumptions!$C$15:$C$18,MATCH(E1050,Assumptions!$A$15:$A$18,0)),"Yes","No"))</f>
        <v>Yes</v>
      </c>
    </row>
    <row r="1051" customFormat="false" ht="15" hidden="false" customHeight="false" outlineLevel="0" collapsed="false">
      <c r="A1051" s="31" t="s">
        <v>1201</v>
      </c>
      <c r="B1051" s="44" t="n">
        <v>46218</v>
      </c>
      <c r="C1051" s="31" t="s">
        <v>60</v>
      </c>
      <c r="D1051" s="31" t="s">
        <v>65</v>
      </c>
      <c r="E1051" s="31" t="s">
        <v>52</v>
      </c>
      <c r="F1051" s="31" t="s">
        <v>129</v>
      </c>
      <c r="G1051" s="31" t="n">
        <v>1</v>
      </c>
      <c r="H1051" s="41" t="n">
        <v>6.5</v>
      </c>
      <c r="I1051" s="31" t="s">
        <v>149</v>
      </c>
      <c r="J1051" s="31" t="n">
        <v>5</v>
      </c>
      <c r="K1051" s="31" t="s">
        <v>150</v>
      </c>
      <c r="L1051" s="45" t="n">
        <f aca="false">DATE(YEAR(B1051),MONTH(B1051),1)</f>
        <v>46204</v>
      </c>
      <c r="M1051" s="31" t="n">
        <f aca="false">WEEKDAY(B1051,2)</f>
        <v>3</v>
      </c>
      <c r="N1051" s="31" t="str">
        <f aca="false">IF(G1051&lt;=INDEX(Assumptions!$B$15:$B$18,MATCH(E1051,Assumptions!$A$15:$A$18,0)),"Yes","No")</f>
        <v>Yes</v>
      </c>
      <c r="O1051" s="31" t="str">
        <f aca="false">IF(H1051="","Open",IF(H1051&lt;=INDEX(Assumptions!$C$15:$C$18,MATCH(E1051,Assumptions!$A$15:$A$18,0)),"Yes","No"))</f>
        <v>Yes</v>
      </c>
    </row>
    <row r="1052" customFormat="false" ht="15" hidden="false" customHeight="false" outlineLevel="0" collapsed="false">
      <c r="A1052" s="31" t="s">
        <v>1202</v>
      </c>
      <c r="B1052" s="44" t="n">
        <v>46218</v>
      </c>
      <c r="C1052" s="31" t="s">
        <v>57</v>
      </c>
      <c r="D1052" s="31" t="s">
        <v>65</v>
      </c>
      <c r="E1052" s="31" t="s">
        <v>51</v>
      </c>
      <c r="F1052" s="31" t="s">
        <v>135</v>
      </c>
      <c r="G1052" s="31" t="n">
        <v>15</v>
      </c>
      <c r="H1052" s="41" t="n">
        <v>26.4</v>
      </c>
      <c r="I1052" s="31" t="s">
        <v>149</v>
      </c>
      <c r="J1052" s="31"/>
      <c r="K1052" s="31" t="s">
        <v>153</v>
      </c>
      <c r="L1052" s="45" t="n">
        <f aca="false">DATE(YEAR(B1052),MONTH(B1052),1)</f>
        <v>46204</v>
      </c>
      <c r="M1052" s="31" t="n">
        <f aca="false">WEEKDAY(B1052,2)</f>
        <v>3</v>
      </c>
      <c r="N1052" s="31" t="str">
        <f aca="false">IF(G1052&lt;=INDEX(Assumptions!$B$15:$B$18,MATCH(E1052,Assumptions!$A$15:$A$18,0)),"Yes","No")</f>
        <v>Yes</v>
      </c>
      <c r="O1052" s="31" t="str">
        <f aca="false">IF(H1052="","Open",IF(H1052&lt;=INDEX(Assumptions!$C$15:$C$18,MATCH(E1052,Assumptions!$A$15:$A$18,0)),"Yes","No"))</f>
        <v>No</v>
      </c>
    </row>
    <row r="1053" customFormat="false" ht="15" hidden="false" customHeight="false" outlineLevel="0" collapsed="false">
      <c r="A1053" s="31" t="s">
        <v>1203</v>
      </c>
      <c r="B1053" s="44" t="n">
        <v>46218</v>
      </c>
      <c r="C1053" s="31" t="s">
        <v>57</v>
      </c>
      <c r="D1053" s="31" t="s">
        <v>68</v>
      </c>
      <c r="E1053" s="31" t="s">
        <v>51</v>
      </c>
      <c r="F1053" s="31" t="s">
        <v>129</v>
      </c>
      <c r="G1053" s="31" t="n">
        <v>5</v>
      </c>
      <c r="H1053" s="41" t="n">
        <v>21.5</v>
      </c>
      <c r="I1053" s="31" t="s">
        <v>149</v>
      </c>
      <c r="J1053" s="31"/>
      <c r="K1053" s="31" t="s">
        <v>150</v>
      </c>
      <c r="L1053" s="45" t="n">
        <f aca="false">DATE(YEAR(B1053),MONTH(B1053),1)</f>
        <v>46204</v>
      </c>
      <c r="M1053" s="31" t="n">
        <f aca="false">WEEKDAY(B1053,2)</f>
        <v>3</v>
      </c>
      <c r="N1053" s="31" t="str">
        <f aca="false">IF(G1053&lt;=INDEX(Assumptions!$B$15:$B$18,MATCH(E1053,Assumptions!$A$15:$A$18,0)),"Yes","No")</f>
        <v>Yes</v>
      </c>
      <c r="O1053" s="31" t="str">
        <f aca="false">IF(H1053="","Open",IF(H1053&lt;=INDEX(Assumptions!$C$15:$C$18,MATCH(E1053,Assumptions!$A$15:$A$18,0)),"Yes","No"))</f>
        <v>Yes</v>
      </c>
    </row>
    <row r="1054" customFormat="false" ht="15" hidden="false" customHeight="false" outlineLevel="0" collapsed="false">
      <c r="A1054" s="31" t="s">
        <v>1204</v>
      </c>
      <c r="B1054" s="44" t="n">
        <v>46218</v>
      </c>
      <c r="C1054" s="31" t="s">
        <v>58</v>
      </c>
      <c r="D1054" s="31" t="s">
        <v>66</v>
      </c>
      <c r="E1054" s="31" t="s">
        <v>51</v>
      </c>
      <c r="F1054" s="31" t="s">
        <v>136</v>
      </c>
      <c r="G1054" s="31" t="n">
        <v>4</v>
      </c>
      <c r="H1054" s="41" t="n">
        <v>27</v>
      </c>
      <c r="I1054" s="31" t="s">
        <v>64</v>
      </c>
      <c r="J1054" s="31"/>
      <c r="K1054" s="31" t="s">
        <v>150</v>
      </c>
      <c r="L1054" s="45" t="n">
        <f aca="false">DATE(YEAR(B1054),MONTH(B1054),1)</f>
        <v>46204</v>
      </c>
      <c r="M1054" s="31" t="n">
        <f aca="false">WEEKDAY(B1054,2)</f>
        <v>3</v>
      </c>
      <c r="N1054" s="31" t="str">
        <f aca="false">IF(G1054&lt;=INDEX(Assumptions!$B$15:$B$18,MATCH(E1054,Assumptions!$A$15:$A$18,0)),"Yes","No")</f>
        <v>Yes</v>
      </c>
      <c r="O1054" s="31" t="str">
        <f aca="false">IF(H1054="","Open",IF(H1054&lt;=INDEX(Assumptions!$C$15:$C$18,MATCH(E1054,Assumptions!$A$15:$A$18,0)),"Yes","No"))</f>
        <v>No</v>
      </c>
    </row>
    <row r="1055" customFormat="false" ht="15" hidden="false" customHeight="false" outlineLevel="0" collapsed="false">
      <c r="A1055" s="31" t="s">
        <v>1205</v>
      </c>
      <c r="B1055" s="44" t="n">
        <v>46218</v>
      </c>
      <c r="C1055" s="31" t="s">
        <v>60</v>
      </c>
      <c r="D1055" s="31" t="s">
        <v>65</v>
      </c>
      <c r="E1055" s="31" t="s">
        <v>50</v>
      </c>
      <c r="F1055" s="31" t="s">
        <v>122</v>
      </c>
      <c r="G1055" s="31" t="n">
        <v>2</v>
      </c>
      <c r="H1055" s="41" t="n">
        <v>5.5</v>
      </c>
      <c r="I1055" s="31" t="s">
        <v>149</v>
      </c>
      <c r="J1055" s="31"/>
      <c r="K1055" s="31" t="s">
        <v>150</v>
      </c>
      <c r="L1055" s="45" t="n">
        <f aca="false">DATE(YEAR(B1055),MONTH(B1055),1)</f>
        <v>46204</v>
      </c>
      <c r="M1055" s="31" t="n">
        <f aca="false">WEEKDAY(B1055,2)</f>
        <v>3</v>
      </c>
      <c r="N1055" s="31" t="str">
        <f aca="false">IF(G1055&lt;=INDEX(Assumptions!$B$15:$B$18,MATCH(E1055,Assumptions!$A$15:$A$18,0)),"Yes","No")</f>
        <v>Yes</v>
      </c>
      <c r="O1055" s="31" t="str">
        <f aca="false">IF(H1055="","Open",IF(H1055&lt;=INDEX(Assumptions!$C$15:$C$18,MATCH(E1055,Assumptions!$A$15:$A$18,0)),"Yes","No"))</f>
        <v>Yes</v>
      </c>
    </row>
    <row r="1056" customFormat="false" ht="15" hidden="false" customHeight="false" outlineLevel="0" collapsed="false">
      <c r="A1056" s="31" t="s">
        <v>1206</v>
      </c>
      <c r="B1056" s="44" t="n">
        <v>46218</v>
      </c>
      <c r="C1056" s="31" t="s">
        <v>57</v>
      </c>
      <c r="D1056" s="31" t="s">
        <v>68</v>
      </c>
      <c r="E1056" s="31" t="s">
        <v>50</v>
      </c>
      <c r="F1056" s="31" t="s">
        <v>122</v>
      </c>
      <c r="G1056" s="31" t="n">
        <v>2</v>
      </c>
      <c r="H1056" s="41" t="n">
        <v>1.8</v>
      </c>
      <c r="I1056" s="31" t="s">
        <v>149</v>
      </c>
      <c r="J1056" s="31"/>
      <c r="K1056" s="31" t="s">
        <v>150</v>
      </c>
      <c r="L1056" s="45" t="n">
        <f aca="false">DATE(YEAR(B1056),MONTH(B1056),1)</f>
        <v>46204</v>
      </c>
      <c r="M1056" s="31" t="n">
        <f aca="false">WEEKDAY(B1056,2)</f>
        <v>3</v>
      </c>
      <c r="N1056" s="31" t="str">
        <f aca="false">IF(G1056&lt;=INDEX(Assumptions!$B$15:$B$18,MATCH(E1056,Assumptions!$A$15:$A$18,0)),"Yes","No")</f>
        <v>Yes</v>
      </c>
      <c r="O1056" s="31" t="str">
        <f aca="false">IF(H1056="","Open",IF(H1056&lt;=INDEX(Assumptions!$C$15:$C$18,MATCH(E1056,Assumptions!$A$15:$A$18,0)),"Yes","No"))</f>
        <v>Yes</v>
      </c>
    </row>
    <row r="1057" customFormat="false" ht="15" hidden="false" customHeight="false" outlineLevel="0" collapsed="false">
      <c r="A1057" s="31" t="s">
        <v>1207</v>
      </c>
      <c r="B1057" s="44" t="n">
        <v>46218</v>
      </c>
      <c r="C1057" s="31" t="s">
        <v>58</v>
      </c>
      <c r="D1057" s="31" t="s">
        <v>66</v>
      </c>
      <c r="E1057" s="31" t="s">
        <v>51</v>
      </c>
      <c r="F1057" s="31" t="s">
        <v>134</v>
      </c>
      <c r="G1057" s="31" t="n">
        <v>7</v>
      </c>
      <c r="H1057" s="41" t="n">
        <v>4.8</v>
      </c>
      <c r="I1057" s="31" t="s">
        <v>149</v>
      </c>
      <c r="J1057" s="31"/>
      <c r="K1057" s="31" t="s">
        <v>150</v>
      </c>
      <c r="L1057" s="45" t="n">
        <f aca="false">DATE(YEAR(B1057),MONTH(B1057),1)</f>
        <v>46204</v>
      </c>
      <c r="M1057" s="31" t="n">
        <f aca="false">WEEKDAY(B1057,2)</f>
        <v>3</v>
      </c>
      <c r="N1057" s="31" t="str">
        <f aca="false">IF(G1057&lt;=INDEX(Assumptions!$B$15:$B$18,MATCH(E1057,Assumptions!$A$15:$A$18,0)),"Yes","No")</f>
        <v>Yes</v>
      </c>
      <c r="O1057" s="31" t="str">
        <f aca="false">IF(H1057="","Open",IF(H1057&lt;=INDEX(Assumptions!$C$15:$C$18,MATCH(E1057,Assumptions!$A$15:$A$18,0)),"Yes","No"))</f>
        <v>Yes</v>
      </c>
    </row>
    <row r="1058" customFormat="false" ht="15" hidden="false" customHeight="false" outlineLevel="0" collapsed="false">
      <c r="A1058" s="31" t="s">
        <v>1208</v>
      </c>
      <c r="B1058" s="44" t="n">
        <v>46218</v>
      </c>
      <c r="C1058" s="31" t="s">
        <v>57</v>
      </c>
      <c r="D1058" s="31" t="s">
        <v>68</v>
      </c>
      <c r="E1058" s="31" t="s">
        <v>51</v>
      </c>
      <c r="F1058" s="31" t="s">
        <v>124</v>
      </c>
      <c r="G1058" s="31" t="n">
        <v>2</v>
      </c>
      <c r="H1058" s="41" t="n">
        <v>4.5</v>
      </c>
      <c r="I1058" s="31" t="s">
        <v>149</v>
      </c>
      <c r="J1058" s="31"/>
      <c r="K1058" s="31" t="s">
        <v>150</v>
      </c>
      <c r="L1058" s="45" t="n">
        <f aca="false">DATE(YEAR(B1058),MONTH(B1058),1)</f>
        <v>46204</v>
      </c>
      <c r="M1058" s="31" t="n">
        <f aca="false">WEEKDAY(B1058,2)</f>
        <v>3</v>
      </c>
      <c r="N1058" s="31" t="str">
        <f aca="false">IF(G1058&lt;=INDEX(Assumptions!$B$15:$B$18,MATCH(E1058,Assumptions!$A$15:$A$18,0)),"Yes","No")</f>
        <v>Yes</v>
      </c>
      <c r="O1058" s="31" t="str">
        <f aca="false">IF(H1058="","Open",IF(H1058&lt;=INDEX(Assumptions!$C$15:$C$18,MATCH(E1058,Assumptions!$A$15:$A$18,0)),"Yes","No"))</f>
        <v>Yes</v>
      </c>
    </row>
    <row r="1059" customFormat="false" ht="15" hidden="false" customHeight="false" outlineLevel="0" collapsed="false">
      <c r="A1059" s="31" t="s">
        <v>1209</v>
      </c>
      <c r="B1059" s="44" t="n">
        <v>46218</v>
      </c>
      <c r="C1059" s="31" t="s">
        <v>57</v>
      </c>
      <c r="D1059" s="31" t="s">
        <v>69</v>
      </c>
      <c r="E1059" s="31" t="s">
        <v>51</v>
      </c>
      <c r="F1059" s="31" t="s">
        <v>137</v>
      </c>
      <c r="G1059" s="31" t="n">
        <v>10</v>
      </c>
      <c r="H1059" s="41" t="n">
        <v>17</v>
      </c>
      <c r="I1059" s="31" t="s">
        <v>149</v>
      </c>
      <c r="J1059" s="31"/>
      <c r="K1059" s="31" t="s">
        <v>150</v>
      </c>
      <c r="L1059" s="45" t="n">
        <f aca="false">DATE(YEAR(B1059),MONTH(B1059),1)</f>
        <v>46204</v>
      </c>
      <c r="M1059" s="31" t="n">
        <f aca="false">WEEKDAY(B1059,2)</f>
        <v>3</v>
      </c>
      <c r="N1059" s="31" t="str">
        <f aca="false">IF(G1059&lt;=INDEX(Assumptions!$B$15:$B$18,MATCH(E1059,Assumptions!$A$15:$A$18,0)),"Yes","No")</f>
        <v>Yes</v>
      </c>
      <c r="O1059" s="31" t="str">
        <f aca="false">IF(H1059="","Open",IF(H1059&lt;=INDEX(Assumptions!$C$15:$C$18,MATCH(E1059,Assumptions!$A$15:$A$18,0)),"Yes","No"))</f>
        <v>Yes</v>
      </c>
    </row>
    <row r="1060" customFormat="false" ht="15" hidden="false" customHeight="false" outlineLevel="0" collapsed="false">
      <c r="A1060" s="31" t="s">
        <v>1210</v>
      </c>
      <c r="B1060" s="44" t="n">
        <v>46218</v>
      </c>
      <c r="C1060" s="31" t="s">
        <v>58</v>
      </c>
      <c r="D1060" s="31" t="s">
        <v>65</v>
      </c>
      <c r="E1060" s="31" t="s">
        <v>51</v>
      </c>
      <c r="F1060" s="31" t="s">
        <v>131</v>
      </c>
      <c r="G1060" s="31" t="n">
        <v>10</v>
      </c>
      <c r="H1060" s="41" t="n">
        <v>3.9</v>
      </c>
      <c r="I1060" s="31" t="s">
        <v>149</v>
      </c>
      <c r="J1060" s="31" t="n">
        <v>4</v>
      </c>
      <c r="K1060" s="31" t="s">
        <v>150</v>
      </c>
      <c r="L1060" s="45" t="n">
        <f aca="false">DATE(YEAR(B1060),MONTH(B1060),1)</f>
        <v>46204</v>
      </c>
      <c r="M1060" s="31" t="n">
        <f aca="false">WEEKDAY(B1060,2)</f>
        <v>3</v>
      </c>
      <c r="N1060" s="31" t="str">
        <f aca="false">IF(G1060&lt;=INDEX(Assumptions!$B$15:$B$18,MATCH(E1060,Assumptions!$A$15:$A$18,0)),"Yes","No")</f>
        <v>Yes</v>
      </c>
      <c r="O1060" s="31" t="str">
        <f aca="false">IF(H1060="","Open",IF(H1060&lt;=INDEX(Assumptions!$C$15:$C$18,MATCH(E1060,Assumptions!$A$15:$A$18,0)),"Yes","No"))</f>
        <v>Yes</v>
      </c>
    </row>
    <row r="1061" customFormat="false" ht="15" hidden="false" customHeight="false" outlineLevel="0" collapsed="false">
      <c r="A1061" s="31" t="s">
        <v>1211</v>
      </c>
      <c r="B1061" s="44" t="n">
        <v>46218</v>
      </c>
      <c r="C1061" s="31" t="s">
        <v>57</v>
      </c>
      <c r="D1061" s="31" t="s">
        <v>69</v>
      </c>
      <c r="E1061" s="31" t="s">
        <v>51</v>
      </c>
      <c r="F1061" s="31" t="s">
        <v>119</v>
      </c>
      <c r="G1061" s="31" t="n">
        <v>3</v>
      </c>
      <c r="H1061" s="41" t="n">
        <v>60.4</v>
      </c>
      <c r="I1061" s="31" t="s">
        <v>149</v>
      </c>
      <c r="J1061" s="31" t="n">
        <v>3</v>
      </c>
      <c r="K1061" s="31" t="s">
        <v>153</v>
      </c>
      <c r="L1061" s="45" t="n">
        <f aca="false">DATE(YEAR(B1061),MONTH(B1061),1)</f>
        <v>46204</v>
      </c>
      <c r="M1061" s="31" t="n">
        <f aca="false">WEEKDAY(B1061,2)</f>
        <v>3</v>
      </c>
      <c r="N1061" s="31" t="str">
        <f aca="false">IF(G1061&lt;=INDEX(Assumptions!$B$15:$B$18,MATCH(E1061,Assumptions!$A$15:$A$18,0)),"Yes","No")</f>
        <v>Yes</v>
      </c>
      <c r="O1061" s="31" t="str">
        <f aca="false">IF(H1061="","Open",IF(H1061&lt;=INDEX(Assumptions!$C$15:$C$18,MATCH(E1061,Assumptions!$A$15:$A$18,0)),"Yes","No"))</f>
        <v>No</v>
      </c>
    </row>
    <row r="1062" customFormat="false" ht="15" hidden="false" customHeight="false" outlineLevel="0" collapsed="false">
      <c r="A1062" s="31" t="s">
        <v>1212</v>
      </c>
      <c r="B1062" s="44" t="n">
        <v>46218</v>
      </c>
      <c r="C1062" s="31" t="s">
        <v>59</v>
      </c>
      <c r="D1062" s="31" t="s">
        <v>65</v>
      </c>
      <c r="E1062" s="31" t="s">
        <v>52</v>
      </c>
      <c r="F1062" s="31" t="s">
        <v>137</v>
      </c>
      <c r="G1062" s="31" t="n">
        <v>147</v>
      </c>
      <c r="H1062" s="41" t="n">
        <v>10.9</v>
      </c>
      <c r="I1062" s="31" t="s">
        <v>149</v>
      </c>
      <c r="J1062" s="31"/>
      <c r="K1062" s="31" t="s">
        <v>150</v>
      </c>
      <c r="L1062" s="45" t="n">
        <f aca="false">DATE(YEAR(B1062),MONTH(B1062),1)</f>
        <v>46204</v>
      </c>
      <c r="M1062" s="31" t="n">
        <f aca="false">WEEKDAY(B1062,2)</f>
        <v>3</v>
      </c>
      <c r="N1062" s="31" t="str">
        <f aca="false">IF(G1062&lt;=INDEX(Assumptions!$B$15:$B$18,MATCH(E1062,Assumptions!$A$15:$A$18,0)),"Yes","No")</f>
        <v>Yes</v>
      </c>
      <c r="O1062" s="31" t="str">
        <f aca="false">IF(H1062="","Open",IF(H1062&lt;=INDEX(Assumptions!$C$15:$C$18,MATCH(E1062,Assumptions!$A$15:$A$18,0)),"Yes","No"))</f>
        <v>Yes</v>
      </c>
    </row>
    <row r="1063" customFormat="false" ht="15" hidden="false" customHeight="false" outlineLevel="0" collapsed="false">
      <c r="A1063" s="31" t="s">
        <v>1213</v>
      </c>
      <c r="B1063" s="44" t="n">
        <v>46218</v>
      </c>
      <c r="C1063" s="31" t="s">
        <v>57</v>
      </c>
      <c r="D1063" s="31" t="s">
        <v>68</v>
      </c>
      <c r="E1063" s="31" t="s">
        <v>50</v>
      </c>
      <c r="F1063" s="31" t="s">
        <v>120</v>
      </c>
      <c r="G1063" s="31" t="n">
        <v>5</v>
      </c>
      <c r="H1063" s="41" t="n">
        <v>1.7</v>
      </c>
      <c r="I1063" s="31" t="s">
        <v>149</v>
      </c>
      <c r="J1063" s="31" t="n">
        <v>5</v>
      </c>
      <c r="K1063" s="31" t="s">
        <v>150</v>
      </c>
      <c r="L1063" s="45" t="n">
        <f aca="false">DATE(YEAR(B1063),MONTH(B1063),1)</f>
        <v>46204</v>
      </c>
      <c r="M1063" s="31" t="n">
        <f aca="false">WEEKDAY(B1063,2)</f>
        <v>3</v>
      </c>
      <c r="N1063" s="31" t="str">
        <f aca="false">IF(G1063&lt;=INDEX(Assumptions!$B$15:$B$18,MATCH(E1063,Assumptions!$A$15:$A$18,0)),"Yes","No")</f>
        <v>Yes</v>
      </c>
      <c r="O1063" s="31" t="str">
        <f aca="false">IF(H1063="","Open",IF(H1063&lt;=INDEX(Assumptions!$C$15:$C$18,MATCH(E1063,Assumptions!$A$15:$A$18,0)),"Yes","No"))</f>
        <v>Yes</v>
      </c>
    </row>
    <row r="1064" customFormat="false" ht="15" hidden="false" customHeight="false" outlineLevel="0" collapsed="false">
      <c r="A1064" s="31" t="s">
        <v>1214</v>
      </c>
      <c r="B1064" s="44" t="n">
        <v>46218</v>
      </c>
      <c r="C1064" s="31" t="s">
        <v>59</v>
      </c>
      <c r="D1064" s="31" t="s">
        <v>66</v>
      </c>
      <c r="E1064" s="31" t="s">
        <v>51</v>
      </c>
      <c r="F1064" s="31" t="s">
        <v>119</v>
      </c>
      <c r="G1064" s="31" t="n">
        <v>45</v>
      </c>
      <c r="H1064" s="41" t="n">
        <v>3.7</v>
      </c>
      <c r="I1064" s="31" t="s">
        <v>149</v>
      </c>
      <c r="J1064" s="31" t="n">
        <v>4</v>
      </c>
      <c r="K1064" s="31" t="s">
        <v>150</v>
      </c>
      <c r="L1064" s="45" t="n">
        <f aca="false">DATE(YEAR(B1064),MONTH(B1064),1)</f>
        <v>46204</v>
      </c>
      <c r="M1064" s="31" t="n">
        <f aca="false">WEEKDAY(B1064,2)</f>
        <v>3</v>
      </c>
      <c r="N1064" s="31" t="str">
        <f aca="false">IF(G1064&lt;=INDEX(Assumptions!$B$15:$B$18,MATCH(E1064,Assumptions!$A$15:$A$18,0)),"Yes","No")</f>
        <v>Yes</v>
      </c>
      <c r="O1064" s="31" t="str">
        <f aca="false">IF(H1064="","Open",IF(H1064&lt;=INDEX(Assumptions!$C$15:$C$18,MATCH(E1064,Assumptions!$A$15:$A$18,0)),"Yes","No"))</f>
        <v>Yes</v>
      </c>
    </row>
    <row r="1065" customFormat="false" ht="15" hidden="false" customHeight="false" outlineLevel="0" collapsed="false">
      <c r="A1065" s="31" t="s">
        <v>1215</v>
      </c>
      <c r="B1065" s="44" t="n">
        <v>46218</v>
      </c>
      <c r="C1065" s="31" t="s">
        <v>58</v>
      </c>
      <c r="D1065" s="31" t="s">
        <v>65</v>
      </c>
      <c r="E1065" s="31" t="s">
        <v>51</v>
      </c>
      <c r="F1065" s="31" t="s">
        <v>133</v>
      </c>
      <c r="G1065" s="31" t="n">
        <v>24</v>
      </c>
      <c r="H1065" s="41" t="n">
        <v>68.8</v>
      </c>
      <c r="I1065" s="31" t="s">
        <v>149</v>
      </c>
      <c r="J1065" s="31"/>
      <c r="K1065" s="31" t="s">
        <v>150</v>
      </c>
      <c r="L1065" s="45" t="n">
        <f aca="false">DATE(YEAR(B1065),MONTH(B1065),1)</f>
        <v>46204</v>
      </c>
      <c r="M1065" s="31" t="n">
        <f aca="false">WEEKDAY(B1065,2)</f>
        <v>3</v>
      </c>
      <c r="N1065" s="31" t="str">
        <f aca="false">IF(G1065&lt;=INDEX(Assumptions!$B$15:$B$18,MATCH(E1065,Assumptions!$A$15:$A$18,0)),"Yes","No")</f>
        <v>Yes</v>
      </c>
      <c r="O1065" s="31" t="str">
        <f aca="false">IF(H1065="","Open",IF(H1065&lt;=INDEX(Assumptions!$C$15:$C$18,MATCH(E1065,Assumptions!$A$15:$A$18,0)),"Yes","No"))</f>
        <v>No</v>
      </c>
    </row>
    <row r="1066" customFormat="false" ht="15" hidden="false" customHeight="false" outlineLevel="0" collapsed="false">
      <c r="A1066" s="31" t="s">
        <v>1216</v>
      </c>
      <c r="B1066" s="44" t="n">
        <v>46218</v>
      </c>
      <c r="C1066" s="31" t="s">
        <v>60</v>
      </c>
      <c r="D1066" s="31" t="s">
        <v>68</v>
      </c>
      <c r="E1066" s="31" t="s">
        <v>50</v>
      </c>
      <c r="F1066" s="31" t="s">
        <v>117</v>
      </c>
      <c r="G1066" s="31" t="n">
        <v>1</v>
      </c>
      <c r="H1066" s="41" t="n">
        <v>0.9</v>
      </c>
      <c r="I1066" s="31" t="s">
        <v>149</v>
      </c>
      <c r="J1066" s="31"/>
      <c r="K1066" s="31" t="s">
        <v>150</v>
      </c>
      <c r="L1066" s="45" t="n">
        <f aca="false">DATE(YEAR(B1066),MONTH(B1066),1)</f>
        <v>46204</v>
      </c>
      <c r="M1066" s="31" t="n">
        <f aca="false">WEEKDAY(B1066,2)</f>
        <v>3</v>
      </c>
      <c r="N1066" s="31" t="str">
        <f aca="false">IF(G1066&lt;=INDEX(Assumptions!$B$15:$B$18,MATCH(E1066,Assumptions!$A$15:$A$18,0)),"Yes","No")</f>
        <v>Yes</v>
      </c>
      <c r="O1066" s="31" t="str">
        <f aca="false">IF(H1066="","Open",IF(H1066&lt;=INDEX(Assumptions!$C$15:$C$18,MATCH(E1066,Assumptions!$A$15:$A$18,0)),"Yes","No"))</f>
        <v>Yes</v>
      </c>
    </row>
    <row r="1067" customFormat="false" ht="15" hidden="false" customHeight="false" outlineLevel="0" collapsed="false">
      <c r="A1067" s="31" t="s">
        <v>1217</v>
      </c>
      <c r="B1067" s="44" t="n">
        <v>46218</v>
      </c>
      <c r="C1067" s="31" t="s">
        <v>59</v>
      </c>
      <c r="D1067" s="31" t="s">
        <v>67</v>
      </c>
      <c r="E1067" s="31" t="s">
        <v>49</v>
      </c>
      <c r="F1067" s="31" t="s">
        <v>131</v>
      </c>
      <c r="G1067" s="31" t="n">
        <v>48</v>
      </c>
      <c r="H1067" s="41" t="n">
        <v>9.8</v>
      </c>
      <c r="I1067" s="31" t="s">
        <v>149</v>
      </c>
      <c r="J1067" s="31" t="n">
        <v>3</v>
      </c>
      <c r="K1067" s="31" t="s">
        <v>150</v>
      </c>
      <c r="L1067" s="45" t="n">
        <f aca="false">DATE(YEAR(B1067),MONTH(B1067),1)</f>
        <v>46204</v>
      </c>
      <c r="M1067" s="31" t="n">
        <f aca="false">WEEKDAY(B1067,2)</f>
        <v>3</v>
      </c>
      <c r="N1067" s="31" t="str">
        <f aca="false">IF(G1067&lt;=INDEX(Assumptions!$B$15:$B$18,MATCH(E1067,Assumptions!$A$15:$A$18,0)),"Yes","No")</f>
        <v>No</v>
      </c>
      <c r="O1067" s="31" t="str">
        <f aca="false">IF(H1067="","Open",IF(H1067&lt;=INDEX(Assumptions!$C$15:$C$18,MATCH(E1067,Assumptions!$A$15:$A$18,0)),"Yes","No"))</f>
        <v>No</v>
      </c>
    </row>
    <row r="1068" customFormat="false" ht="15" hidden="false" customHeight="false" outlineLevel="0" collapsed="false">
      <c r="A1068" s="31" t="s">
        <v>1218</v>
      </c>
      <c r="B1068" s="44" t="n">
        <v>46218</v>
      </c>
      <c r="C1068" s="31" t="s">
        <v>57</v>
      </c>
      <c r="D1068" s="31" t="s">
        <v>66</v>
      </c>
      <c r="E1068" s="31" t="s">
        <v>52</v>
      </c>
      <c r="F1068" s="31" t="s">
        <v>123</v>
      </c>
      <c r="G1068" s="31" t="n">
        <v>5</v>
      </c>
      <c r="H1068" s="41" t="n">
        <v>1.1</v>
      </c>
      <c r="I1068" s="31" t="s">
        <v>149</v>
      </c>
      <c r="J1068" s="31" t="n">
        <v>4</v>
      </c>
      <c r="K1068" s="31" t="s">
        <v>150</v>
      </c>
      <c r="L1068" s="45" t="n">
        <f aca="false">DATE(YEAR(B1068),MONTH(B1068),1)</f>
        <v>46204</v>
      </c>
      <c r="M1068" s="31" t="n">
        <f aca="false">WEEKDAY(B1068,2)</f>
        <v>3</v>
      </c>
      <c r="N1068" s="31" t="str">
        <f aca="false">IF(G1068&lt;=INDEX(Assumptions!$B$15:$B$18,MATCH(E1068,Assumptions!$A$15:$A$18,0)),"Yes","No")</f>
        <v>Yes</v>
      </c>
      <c r="O1068" s="31" t="str">
        <f aca="false">IF(H1068="","Open",IF(H1068&lt;=INDEX(Assumptions!$C$15:$C$18,MATCH(E1068,Assumptions!$A$15:$A$18,0)),"Yes","No"))</f>
        <v>Yes</v>
      </c>
    </row>
    <row r="1069" customFormat="false" ht="15" hidden="false" customHeight="false" outlineLevel="0" collapsed="false">
      <c r="A1069" s="31" t="s">
        <v>1219</v>
      </c>
      <c r="B1069" s="44" t="n">
        <v>46218</v>
      </c>
      <c r="C1069" s="31" t="s">
        <v>60</v>
      </c>
      <c r="D1069" s="31" t="s">
        <v>67</v>
      </c>
      <c r="E1069" s="31" t="s">
        <v>51</v>
      </c>
      <c r="F1069" s="31" t="s">
        <v>120</v>
      </c>
      <c r="G1069" s="31" t="n">
        <v>2</v>
      </c>
      <c r="H1069" s="41" t="n">
        <v>12.2</v>
      </c>
      <c r="I1069" s="31" t="s">
        <v>149</v>
      </c>
      <c r="J1069" s="31" t="n">
        <v>3</v>
      </c>
      <c r="K1069" s="31" t="s">
        <v>150</v>
      </c>
      <c r="L1069" s="45" t="n">
        <f aca="false">DATE(YEAR(B1069),MONTH(B1069),1)</f>
        <v>46204</v>
      </c>
      <c r="M1069" s="31" t="n">
        <f aca="false">WEEKDAY(B1069,2)</f>
        <v>3</v>
      </c>
      <c r="N1069" s="31" t="str">
        <f aca="false">IF(G1069&lt;=INDEX(Assumptions!$B$15:$B$18,MATCH(E1069,Assumptions!$A$15:$A$18,0)),"Yes","No")</f>
        <v>Yes</v>
      </c>
      <c r="O1069" s="31" t="str">
        <f aca="false">IF(H1069="","Open",IF(H1069&lt;=INDEX(Assumptions!$C$15:$C$18,MATCH(E1069,Assumptions!$A$15:$A$18,0)),"Yes","No"))</f>
        <v>Yes</v>
      </c>
    </row>
    <row r="1070" customFormat="false" ht="15" hidden="false" customHeight="false" outlineLevel="0" collapsed="false">
      <c r="A1070" s="31" t="s">
        <v>1220</v>
      </c>
      <c r="B1070" s="44" t="n">
        <v>46218</v>
      </c>
      <c r="C1070" s="31" t="s">
        <v>60</v>
      </c>
      <c r="D1070" s="31" t="s">
        <v>69</v>
      </c>
      <c r="E1070" s="31" t="s">
        <v>51</v>
      </c>
      <c r="F1070" s="31" t="s">
        <v>135</v>
      </c>
      <c r="G1070" s="31" t="n">
        <v>3</v>
      </c>
      <c r="H1070" s="41" t="n">
        <v>71.4</v>
      </c>
      <c r="I1070" s="31" t="s">
        <v>149</v>
      </c>
      <c r="J1070" s="31"/>
      <c r="K1070" s="31" t="s">
        <v>150</v>
      </c>
      <c r="L1070" s="45" t="n">
        <f aca="false">DATE(YEAR(B1070),MONTH(B1070),1)</f>
        <v>46204</v>
      </c>
      <c r="M1070" s="31" t="n">
        <f aca="false">WEEKDAY(B1070,2)</f>
        <v>3</v>
      </c>
      <c r="N1070" s="31" t="str">
        <f aca="false">IF(G1070&lt;=INDEX(Assumptions!$B$15:$B$18,MATCH(E1070,Assumptions!$A$15:$A$18,0)),"Yes","No")</f>
        <v>Yes</v>
      </c>
      <c r="O1070" s="31" t="str">
        <f aca="false">IF(H1070="","Open",IF(H1070&lt;=INDEX(Assumptions!$C$15:$C$18,MATCH(E1070,Assumptions!$A$15:$A$18,0)),"Yes","No"))</f>
        <v>No</v>
      </c>
    </row>
    <row r="1071" customFormat="false" ht="15" hidden="false" customHeight="false" outlineLevel="0" collapsed="false">
      <c r="A1071" s="31" t="s">
        <v>1221</v>
      </c>
      <c r="B1071" s="44" t="n">
        <v>46218</v>
      </c>
      <c r="C1071" s="31" t="s">
        <v>58</v>
      </c>
      <c r="D1071" s="31" t="s">
        <v>69</v>
      </c>
      <c r="E1071" s="31" t="s">
        <v>51</v>
      </c>
      <c r="F1071" s="31" t="s">
        <v>128</v>
      </c>
      <c r="G1071" s="31" t="n">
        <v>53</v>
      </c>
      <c r="H1071" s="41" t="n">
        <v>23.2</v>
      </c>
      <c r="I1071" s="31" t="s">
        <v>149</v>
      </c>
      <c r="J1071" s="31"/>
      <c r="K1071" s="31" t="s">
        <v>150</v>
      </c>
      <c r="L1071" s="45" t="n">
        <f aca="false">DATE(YEAR(B1071),MONTH(B1071),1)</f>
        <v>46204</v>
      </c>
      <c r="M1071" s="31" t="n">
        <f aca="false">WEEKDAY(B1071,2)</f>
        <v>3</v>
      </c>
      <c r="N1071" s="31" t="str">
        <f aca="false">IF(G1071&lt;=INDEX(Assumptions!$B$15:$B$18,MATCH(E1071,Assumptions!$A$15:$A$18,0)),"Yes","No")</f>
        <v>Yes</v>
      </c>
      <c r="O1071" s="31" t="str">
        <f aca="false">IF(H1071="","Open",IF(H1071&lt;=INDEX(Assumptions!$C$15:$C$18,MATCH(E1071,Assumptions!$A$15:$A$18,0)),"Yes","No"))</f>
        <v>Yes</v>
      </c>
    </row>
    <row r="1072" customFormat="false" ht="15" hidden="false" customHeight="false" outlineLevel="0" collapsed="false">
      <c r="A1072" s="31" t="s">
        <v>1222</v>
      </c>
      <c r="B1072" s="44" t="n">
        <v>46218</v>
      </c>
      <c r="C1072" s="31" t="s">
        <v>58</v>
      </c>
      <c r="D1072" s="31" t="s">
        <v>66</v>
      </c>
      <c r="E1072" s="31" t="s">
        <v>51</v>
      </c>
      <c r="F1072" s="31" t="s">
        <v>129</v>
      </c>
      <c r="G1072" s="31" t="n">
        <v>4</v>
      </c>
      <c r="H1072" s="41" t="n">
        <v>7.8</v>
      </c>
      <c r="I1072" s="31" t="s">
        <v>149</v>
      </c>
      <c r="J1072" s="31" t="n">
        <v>4</v>
      </c>
      <c r="K1072" s="31" t="s">
        <v>150</v>
      </c>
      <c r="L1072" s="45" t="n">
        <f aca="false">DATE(YEAR(B1072),MONTH(B1072),1)</f>
        <v>46204</v>
      </c>
      <c r="M1072" s="31" t="n">
        <f aca="false">WEEKDAY(B1072,2)</f>
        <v>3</v>
      </c>
      <c r="N1072" s="31" t="str">
        <f aca="false">IF(G1072&lt;=INDEX(Assumptions!$B$15:$B$18,MATCH(E1072,Assumptions!$A$15:$A$18,0)),"Yes","No")</f>
        <v>Yes</v>
      </c>
      <c r="O1072" s="31" t="str">
        <f aca="false">IF(H1072="","Open",IF(H1072&lt;=INDEX(Assumptions!$C$15:$C$18,MATCH(E1072,Assumptions!$A$15:$A$18,0)),"Yes","No"))</f>
        <v>Yes</v>
      </c>
    </row>
    <row r="1073" customFormat="false" ht="15" hidden="false" customHeight="false" outlineLevel="0" collapsed="false">
      <c r="A1073" s="31" t="s">
        <v>1223</v>
      </c>
      <c r="B1073" s="44" t="n">
        <v>46218</v>
      </c>
      <c r="C1073" s="31" t="s">
        <v>60</v>
      </c>
      <c r="D1073" s="31" t="s">
        <v>65</v>
      </c>
      <c r="E1073" s="31" t="s">
        <v>52</v>
      </c>
      <c r="F1073" s="31" t="s">
        <v>124</v>
      </c>
      <c r="G1073" s="31" t="n">
        <v>5</v>
      </c>
      <c r="H1073" s="41" t="n">
        <v>9.8</v>
      </c>
      <c r="I1073" s="31" t="s">
        <v>149</v>
      </c>
      <c r="J1073" s="31" t="n">
        <v>4</v>
      </c>
      <c r="K1073" s="31" t="s">
        <v>150</v>
      </c>
      <c r="L1073" s="45" t="n">
        <f aca="false">DATE(YEAR(B1073),MONTH(B1073),1)</f>
        <v>46204</v>
      </c>
      <c r="M1073" s="31" t="n">
        <f aca="false">WEEKDAY(B1073,2)</f>
        <v>3</v>
      </c>
      <c r="N1073" s="31" t="str">
        <f aca="false">IF(G1073&lt;=INDEX(Assumptions!$B$15:$B$18,MATCH(E1073,Assumptions!$A$15:$A$18,0)),"Yes","No")</f>
        <v>Yes</v>
      </c>
      <c r="O1073" s="31" t="str">
        <f aca="false">IF(H1073="","Open",IF(H1073&lt;=INDEX(Assumptions!$C$15:$C$18,MATCH(E1073,Assumptions!$A$15:$A$18,0)),"Yes","No"))</f>
        <v>Yes</v>
      </c>
    </row>
    <row r="1074" customFormat="false" ht="15" hidden="false" customHeight="false" outlineLevel="0" collapsed="false">
      <c r="A1074" s="31" t="s">
        <v>1224</v>
      </c>
      <c r="B1074" s="44" t="n">
        <v>46218</v>
      </c>
      <c r="C1074" s="31" t="s">
        <v>57</v>
      </c>
      <c r="D1074" s="31" t="s">
        <v>69</v>
      </c>
      <c r="E1074" s="31" t="s">
        <v>52</v>
      </c>
      <c r="F1074" s="31" t="s">
        <v>133</v>
      </c>
      <c r="G1074" s="31" t="n">
        <v>2</v>
      </c>
      <c r="H1074" s="41" t="n">
        <v>9.3</v>
      </c>
      <c r="I1074" s="31" t="s">
        <v>149</v>
      </c>
      <c r="J1074" s="31" t="n">
        <v>5</v>
      </c>
      <c r="K1074" s="31" t="s">
        <v>150</v>
      </c>
      <c r="L1074" s="45" t="n">
        <f aca="false">DATE(YEAR(B1074),MONTH(B1074),1)</f>
        <v>46204</v>
      </c>
      <c r="M1074" s="31" t="n">
        <f aca="false">WEEKDAY(B1074,2)</f>
        <v>3</v>
      </c>
      <c r="N1074" s="31" t="str">
        <f aca="false">IF(G1074&lt;=INDEX(Assumptions!$B$15:$B$18,MATCH(E1074,Assumptions!$A$15:$A$18,0)),"Yes","No")</f>
        <v>Yes</v>
      </c>
      <c r="O1074" s="31" t="str">
        <f aca="false">IF(H1074="","Open",IF(H1074&lt;=INDEX(Assumptions!$C$15:$C$18,MATCH(E1074,Assumptions!$A$15:$A$18,0)),"Yes","No"))</f>
        <v>Yes</v>
      </c>
    </row>
    <row r="1075" customFormat="false" ht="15" hidden="false" customHeight="false" outlineLevel="0" collapsed="false">
      <c r="A1075" s="31" t="s">
        <v>1225</v>
      </c>
      <c r="B1075" s="44" t="n">
        <v>46218</v>
      </c>
      <c r="C1075" s="31" t="s">
        <v>60</v>
      </c>
      <c r="D1075" s="31" t="s">
        <v>67</v>
      </c>
      <c r="E1075" s="31" t="s">
        <v>52</v>
      </c>
      <c r="F1075" s="31" t="s">
        <v>124</v>
      </c>
      <c r="G1075" s="31" t="n">
        <v>2</v>
      </c>
      <c r="H1075" s="41" t="n">
        <v>17.7</v>
      </c>
      <c r="I1075" s="31" t="s">
        <v>149</v>
      </c>
      <c r="J1075" s="31" t="n">
        <v>4</v>
      </c>
      <c r="K1075" s="31" t="s">
        <v>150</v>
      </c>
      <c r="L1075" s="45" t="n">
        <f aca="false">DATE(YEAR(B1075),MONTH(B1075),1)</f>
        <v>46204</v>
      </c>
      <c r="M1075" s="31" t="n">
        <f aca="false">WEEKDAY(B1075,2)</f>
        <v>3</v>
      </c>
      <c r="N1075" s="31" t="str">
        <f aca="false">IF(G1075&lt;=INDEX(Assumptions!$B$15:$B$18,MATCH(E1075,Assumptions!$A$15:$A$18,0)),"Yes","No")</f>
        <v>Yes</v>
      </c>
      <c r="O1075" s="31" t="str">
        <f aca="false">IF(H1075="","Open",IF(H1075&lt;=INDEX(Assumptions!$C$15:$C$18,MATCH(E1075,Assumptions!$A$15:$A$18,0)),"Yes","No"))</f>
        <v>Yes</v>
      </c>
    </row>
    <row r="1076" customFormat="false" ht="15" hidden="false" customHeight="false" outlineLevel="0" collapsed="false">
      <c r="A1076" s="31" t="s">
        <v>1226</v>
      </c>
      <c r="B1076" s="44" t="n">
        <v>46218</v>
      </c>
      <c r="C1076" s="31" t="s">
        <v>60</v>
      </c>
      <c r="D1076" s="31" t="s">
        <v>68</v>
      </c>
      <c r="E1076" s="31" t="s">
        <v>51</v>
      </c>
      <c r="F1076" s="31" t="s">
        <v>133</v>
      </c>
      <c r="G1076" s="31" t="n">
        <v>4</v>
      </c>
      <c r="H1076" s="41" t="n">
        <v>26.3</v>
      </c>
      <c r="I1076" s="31" t="s">
        <v>149</v>
      </c>
      <c r="J1076" s="31" t="n">
        <v>4</v>
      </c>
      <c r="K1076" s="31" t="s">
        <v>150</v>
      </c>
      <c r="L1076" s="45" t="n">
        <f aca="false">DATE(YEAR(B1076),MONTH(B1076),1)</f>
        <v>46204</v>
      </c>
      <c r="M1076" s="31" t="n">
        <f aca="false">WEEKDAY(B1076,2)</f>
        <v>3</v>
      </c>
      <c r="N1076" s="31" t="str">
        <f aca="false">IF(G1076&lt;=INDEX(Assumptions!$B$15:$B$18,MATCH(E1076,Assumptions!$A$15:$A$18,0)),"Yes","No")</f>
        <v>Yes</v>
      </c>
      <c r="O1076" s="31" t="str">
        <f aca="false">IF(H1076="","Open",IF(H1076&lt;=INDEX(Assumptions!$C$15:$C$18,MATCH(E1076,Assumptions!$A$15:$A$18,0)),"Yes","No"))</f>
        <v>No</v>
      </c>
    </row>
    <row r="1077" customFormat="false" ht="15" hidden="false" customHeight="false" outlineLevel="0" collapsed="false">
      <c r="A1077" s="31" t="s">
        <v>1227</v>
      </c>
      <c r="B1077" s="44" t="n">
        <v>46218</v>
      </c>
      <c r="C1077" s="31" t="s">
        <v>60</v>
      </c>
      <c r="D1077" s="31" t="s">
        <v>69</v>
      </c>
      <c r="E1077" s="31" t="s">
        <v>51</v>
      </c>
      <c r="F1077" s="31" t="s">
        <v>127</v>
      </c>
      <c r="G1077" s="31" t="n">
        <v>1</v>
      </c>
      <c r="H1077" s="41" t="n">
        <v>6.6</v>
      </c>
      <c r="I1077" s="31" t="s">
        <v>149</v>
      </c>
      <c r="J1077" s="31"/>
      <c r="K1077" s="31" t="s">
        <v>150</v>
      </c>
      <c r="L1077" s="45" t="n">
        <f aca="false">DATE(YEAR(B1077),MONTH(B1077),1)</f>
        <v>46204</v>
      </c>
      <c r="M1077" s="31" t="n">
        <f aca="false">WEEKDAY(B1077,2)</f>
        <v>3</v>
      </c>
      <c r="N1077" s="31" t="str">
        <f aca="false">IF(G1077&lt;=INDEX(Assumptions!$B$15:$B$18,MATCH(E1077,Assumptions!$A$15:$A$18,0)),"Yes","No")</f>
        <v>Yes</v>
      </c>
      <c r="O1077" s="31" t="str">
        <f aca="false">IF(H1077="","Open",IF(H1077&lt;=INDEX(Assumptions!$C$15:$C$18,MATCH(E1077,Assumptions!$A$15:$A$18,0)),"Yes","No"))</f>
        <v>Yes</v>
      </c>
    </row>
    <row r="1078" customFormat="false" ht="15" hidden="false" customHeight="false" outlineLevel="0" collapsed="false">
      <c r="A1078" s="31" t="s">
        <v>1228</v>
      </c>
      <c r="B1078" s="44" t="n">
        <v>46218</v>
      </c>
      <c r="C1078" s="31" t="s">
        <v>58</v>
      </c>
      <c r="D1078" s="31" t="s">
        <v>66</v>
      </c>
      <c r="E1078" s="31" t="s">
        <v>51</v>
      </c>
      <c r="F1078" s="31" t="s">
        <v>122</v>
      </c>
      <c r="G1078" s="31" t="n">
        <v>6</v>
      </c>
      <c r="H1078" s="41" t="n">
        <v>9.2</v>
      </c>
      <c r="I1078" s="31" t="s">
        <v>149</v>
      </c>
      <c r="J1078" s="31"/>
      <c r="K1078" s="31" t="s">
        <v>150</v>
      </c>
      <c r="L1078" s="45" t="n">
        <f aca="false">DATE(YEAR(B1078),MONTH(B1078),1)</f>
        <v>46204</v>
      </c>
      <c r="M1078" s="31" t="n">
        <f aca="false">WEEKDAY(B1078,2)</f>
        <v>3</v>
      </c>
      <c r="N1078" s="31" t="str">
        <f aca="false">IF(G1078&lt;=INDEX(Assumptions!$B$15:$B$18,MATCH(E1078,Assumptions!$A$15:$A$18,0)),"Yes","No")</f>
        <v>Yes</v>
      </c>
      <c r="O1078" s="31" t="str">
        <f aca="false">IF(H1078="","Open",IF(H1078&lt;=INDEX(Assumptions!$C$15:$C$18,MATCH(E1078,Assumptions!$A$15:$A$18,0)),"Yes","No"))</f>
        <v>Yes</v>
      </c>
    </row>
    <row r="1079" customFormat="false" ht="15" hidden="false" customHeight="false" outlineLevel="0" collapsed="false">
      <c r="A1079" s="31" t="s">
        <v>1229</v>
      </c>
      <c r="B1079" s="44" t="n">
        <v>46219</v>
      </c>
      <c r="C1079" s="31" t="s">
        <v>58</v>
      </c>
      <c r="D1079" s="31" t="s">
        <v>66</v>
      </c>
      <c r="E1079" s="31" t="s">
        <v>50</v>
      </c>
      <c r="F1079" s="31" t="s">
        <v>133</v>
      </c>
      <c r="G1079" s="31" t="n">
        <v>6</v>
      </c>
      <c r="H1079" s="41" t="n">
        <v>0.4</v>
      </c>
      <c r="I1079" s="31" t="s">
        <v>149</v>
      </c>
      <c r="J1079" s="31"/>
      <c r="K1079" s="31" t="s">
        <v>150</v>
      </c>
      <c r="L1079" s="45" t="n">
        <f aca="false">DATE(YEAR(B1079),MONTH(B1079),1)</f>
        <v>46204</v>
      </c>
      <c r="M1079" s="31" t="n">
        <f aca="false">WEEKDAY(B1079,2)</f>
        <v>4</v>
      </c>
      <c r="N1079" s="31" t="str">
        <f aca="false">IF(G1079&lt;=INDEX(Assumptions!$B$15:$B$18,MATCH(E1079,Assumptions!$A$15:$A$18,0)),"Yes","No")</f>
        <v>Yes</v>
      </c>
      <c r="O1079" s="31" t="str">
        <f aca="false">IF(H1079="","Open",IF(H1079&lt;=INDEX(Assumptions!$C$15:$C$18,MATCH(E1079,Assumptions!$A$15:$A$18,0)),"Yes","No"))</f>
        <v>Yes</v>
      </c>
    </row>
    <row r="1080" customFormat="false" ht="15" hidden="false" customHeight="false" outlineLevel="0" collapsed="false">
      <c r="A1080" s="31" t="s">
        <v>1230</v>
      </c>
      <c r="B1080" s="44" t="n">
        <v>46219</v>
      </c>
      <c r="C1080" s="31" t="s">
        <v>60</v>
      </c>
      <c r="D1080" s="31" t="s">
        <v>66</v>
      </c>
      <c r="E1080" s="31" t="s">
        <v>50</v>
      </c>
      <c r="F1080" s="31" t="s">
        <v>135</v>
      </c>
      <c r="G1080" s="31" t="n">
        <v>3</v>
      </c>
      <c r="H1080" s="41" t="n">
        <v>5.4</v>
      </c>
      <c r="I1080" s="31" t="s">
        <v>149</v>
      </c>
      <c r="J1080" s="31"/>
      <c r="K1080" s="31" t="s">
        <v>150</v>
      </c>
      <c r="L1080" s="45" t="n">
        <f aca="false">DATE(YEAR(B1080),MONTH(B1080),1)</f>
        <v>46204</v>
      </c>
      <c r="M1080" s="31" t="n">
        <f aca="false">WEEKDAY(B1080,2)</f>
        <v>4</v>
      </c>
      <c r="N1080" s="31" t="str">
        <f aca="false">IF(G1080&lt;=INDEX(Assumptions!$B$15:$B$18,MATCH(E1080,Assumptions!$A$15:$A$18,0)),"Yes","No")</f>
        <v>Yes</v>
      </c>
      <c r="O1080" s="31" t="str">
        <f aca="false">IF(H1080="","Open",IF(H1080&lt;=INDEX(Assumptions!$C$15:$C$18,MATCH(E1080,Assumptions!$A$15:$A$18,0)),"Yes","No"))</f>
        <v>Yes</v>
      </c>
    </row>
    <row r="1081" customFormat="false" ht="15" hidden="false" customHeight="false" outlineLevel="0" collapsed="false">
      <c r="A1081" s="31" t="s">
        <v>1231</v>
      </c>
      <c r="B1081" s="44" t="n">
        <v>46219</v>
      </c>
      <c r="C1081" s="31" t="s">
        <v>60</v>
      </c>
      <c r="D1081" s="31" t="s">
        <v>66</v>
      </c>
      <c r="E1081" s="31" t="s">
        <v>50</v>
      </c>
      <c r="F1081" s="31" t="s">
        <v>137</v>
      </c>
      <c r="G1081" s="31" t="n">
        <v>3</v>
      </c>
      <c r="H1081" s="41" t="n">
        <v>18.1</v>
      </c>
      <c r="I1081" s="31" t="s">
        <v>149</v>
      </c>
      <c r="J1081" s="31"/>
      <c r="K1081" s="31" t="s">
        <v>150</v>
      </c>
      <c r="L1081" s="45" t="n">
        <f aca="false">DATE(YEAR(B1081),MONTH(B1081),1)</f>
        <v>46204</v>
      </c>
      <c r="M1081" s="31" t="n">
        <f aca="false">WEEKDAY(B1081,2)</f>
        <v>4</v>
      </c>
      <c r="N1081" s="31" t="str">
        <f aca="false">IF(G1081&lt;=INDEX(Assumptions!$B$15:$B$18,MATCH(E1081,Assumptions!$A$15:$A$18,0)),"Yes","No")</f>
        <v>Yes</v>
      </c>
      <c r="O1081" s="31" t="str">
        <f aca="false">IF(H1081="","Open",IF(H1081&lt;=INDEX(Assumptions!$C$15:$C$18,MATCH(E1081,Assumptions!$A$15:$A$18,0)),"Yes","No"))</f>
        <v>No</v>
      </c>
    </row>
    <row r="1082" customFormat="false" ht="15" hidden="false" customHeight="false" outlineLevel="0" collapsed="false">
      <c r="A1082" s="31" t="s">
        <v>1232</v>
      </c>
      <c r="B1082" s="44" t="n">
        <v>46219</v>
      </c>
      <c r="C1082" s="31" t="s">
        <v>60</v>
      </c>
      <c r="D1082" s="31" t="s">
        <v>68</v>
      </c>
      <c r="E1082" s="31" t="s">
        <v>50</v>
      </c>
      <c r="F1082" s="31" t="s">
        <v>121</v>
      </c>
      <c r="G1082" s="31" t="n">
        <v>4</v>
      </c>
      <c r="H1082" s="41" t="n">
        <v>5.9</v>
      </c>
      <c r="I1082" s="31" t="s">
        <v>149</v>
      </c>
      <c r="J1082" s="31" t="n">
        <v>5</v>
      </c>
      <c r="K1082" s="31" t="s">
        <v>153</v>
      </c>
      <c r="L1082" s="45" t="n">
        <f aca="false">DATE(YEAR(B1082),MONTH(B1082),1)</f>
        <v>46204</v>
      </c>
      <c r="M1082" s="31" t="n">
        <f aca="false">WEEKDAY(B1082,2)</f>
        <v>4</v>
      </c>
      <c r="N1082" s="31" t="str">
        <f aca="false">IF(G1082&lt;=INDEX(Assumptions!$B$15:$B$18,MATCH(E1082,Assumptions!$A$15:$A$18,0)),"Yes","No")</f>
        <v>Yes</v>
      </c>
      <c r="O1082" s="31" t="str">
        <f aca="false">IF(H1082="","Open",IF(H1082&lt;=INDEX(Assumptions!$C$15:$C$18,MATCH(E1082,Assumptions!$A$15:$A$18,0)),"Yes","No"))</f>
        <v>Yes</v>
      </c>
    </row>
    <row r="1083" customFormat="false" ht="15" hidden="false" customHeight="false" outlineLevel="0" collapsed="false">
      <c r="A1083" s="31" t="s">
        <v>1233</v>
      </c>
      <c r="B1083" s="44" t="n">
        <v>46219</v>
      </c>
      <c r="C1083" s="31" t="s">
        <v>57</v>
      </c>
      <c r="D1083" s="31" t="s">
        <v>68</v>
      </c>
      <c r="E1083" s="31" t="s">
        <v>51</v>
      </c>
      <c r="F1083" s="31" t="s">
        <v>126</v>
      </c>
      <c r="G1083" s="31" t="n">
        <v>5</v>
      </c>
      <c r="H1083" s="41" t="n">
        <v>3.4</v>
      </c>
      <c r="I1083" s="31" t="s">
        <v>149</v>
      </c>
      <c r="J1083" s="31" t="n">
        <v>5</v>
      </c>
      <c r="K1083" s="31" t="s">
        <v>150</v>
      </c>
      <c r="L1083" s="45" t="n">
        <f aca="false">DATE(YEAR(B1083),MONTH(B1083),1)</f>
        <v>46204</v>
      </c>
      <c r="M1083" s="31" t="n">
        <f aca="false">WEEKDAY(B1083,2)</f>
        <v>4</v>
      </c>
      <c r="N1083" s="31" t="str">
        <f aca="false">IF(G1083&lt;=INDEX(Assumptions!$B$15:$B$18,MATCH(E1083,Assumptions!$A$15:$A$18,0)),"Yes","No")</f>
        <v>Yes</v>
      </c>
      <c r="O1083" s="31" t="str">
        <f aca="false">IF(H1083="","Open",IF(H1083&lt;=INDEX(Assumptions!$C$15:$C$18,MATCH(E1083,Assumptions!$A$15:$A$18,0)),"Yes","No"))</f>
        <v>Yes</v>
      </c>
    </row>
    <row r="1084" customFormat="false" ht="15" hidden="false" customHeight="false" outlineLevel="0" collapsed="false">
      <c r="A1084" s="31" t="s">
        <v>1234</v>
      </c>
      <c r="B1084" s="44" t="n">
        <v>46219</v>
      </c>
      <c r="C1084" s="31" t="s">
        <v>59</v>
      </c>
      <c r="D1084" s="31" t="s">
        <v>68</v>
      </c>
      <c r="E1084" s="31" t="s">
        <v>51</v>
      </c>
      <c r="F1084" s="31" t="s">
        <v>128</v>
      </c>
      <c r="G1084" s="31" t="n">
        <v>103</v>
      </c>
      <c r="H1084" s="41" t="n">
        <v>7.4</v>
      </c>
      <c r="I1084" s="31" t="s">
        <v>149</v>
      </c>
      <c r="J1084" s="31" t="n">
        <v>3</v>
      </c>
      <c r="K1084" s="31" t="s">
        <v>153</v>
      </c>
      <c r="L1084" s="45" t="n">
        <f aca="false">DATE(YEAR(B1084),MONTH(B1084),1)</f>
        <v>46204</v>
      </c>
      <c r="M1084" s="31" t="n">
        <f aca="false">WEEKDAY(B1084,2)</f>
        <v>4</v>
      </c>
      <c r="N1084" s="31" t="str">
        <f aca="false">IF(G1084&lt;=INDEX(Assumptions!$B$15:$B$18,MATCH(E1084,Assumptions!$A$15:$A$18,0)),"Yes","No")</f>
        <v>No</v>
      </c>
      <c r="O1084" s="31" t="str">
        <f aca="false">IF(H1084="","Open",IF(H1084&lt;=INDEX(Assumptions!$C$15:$C$18,MATCH(E1084,Assumptions!$A$15:$A$18,0)),"Yes","No"))</f>
        <v>Yes</v>
      </c>
    </row>
    <row r="1085" customFormat="false" ht="15" hidden="false" customHeight="false" outlineLevel="0" collapsed="false">
      <c r="A1085" s="31" t="s">
        <v>1235</v>
      </c>
      <c r="B1085" s="44" t="n">
        <v>46219</v>
      </c>
      <c r="C1085" s="31" t="s">
        <v>57</v>
      </c>
      <c r="D1085" s="31" t="s">
        <v>69</v>
      </c>
      <c r="E1085" s="31" t="s">
        <v>51</v>
      </c>
      <c r="F1085" s="31" t="s">
        <v>127</v>
      </c>
      <c r="G1085" s="31" t="n">
        <v>8</v>
      </c>
      <c r="H1085" s="41" t="n">
        <v>8.8</v>
      </c>
      <c r="I1085" s="31" t="s">
        <v>149</v>
      </c>
      <c r="J1085" s="31"/>
      <c r="K1085" s="31" t="s">
        <v>150</v>
      </c>
      <c r="L1085" s="45" t="n">
        <f aca="false">DATE(YEAR(B1085),MONTH(B1085),1)</f>
        <v>46204</v>
      </c>
      <c r="M1085" s="31" t="n">
        <f aca="false">WEEKDAY(B1085,2)</f>
        <v>4</v>
      </c>
      <c r="N1085" s="31" t="str">
        <f aca="false">IF(G1085&lt;=INDEX(Assumptions!$B$15:$B$18,MATCH(E1085,Assumptions!$A$15:$A$18,0)),"Yes","No")</f>
        <v>Yes</v>
      </c>
      <c r="O1085" s="31" t="str">
        <f aca="false">IF(H1085="","Open",IF(H1085&lt;=INDEX(Assumptions!$C$15:$C$18,MATCH(E1085,Assumptions!$A$15:$A$18,0)),"Yes","No"))</f>
        <v>Yes</v>
      </c>
    </row>
    <row r="1086" customFormat="false" ht="15" hidden="false" customHeight="false" outlineLevel="0" collapsed="false">
      <c r="A1086" s="31" t="s">
        <v>1236</v>
      </c>
      <c r="B1086" s="44" t="n">
        <v>46219</v>
      </c>
      <c r="C1086" s="31" t="s">
        <v>58</v>
      </c>
      <c r="D1086" s="31" t="s">
        <v>66</v>
      </c>
      <c r="E1086" s="31" t="s">
        <v>51</v>
      </c>
      <c r="F1086" s="31" t="s">
        <v>122</v>
      </c>
      <c r="G1086" s="31" t="n">
        <v>8</v>
      </c>
      <c r="H1086" s="41" t="n">
        <v>7.7</v>
      </c>
      <c r="I1086" s="31" t="s">
        <v>149</v>
      </c>
      <c r="J1086" s="31" t="n">
        <v>5</v>
      </c>
      <c r="K1086" s="31" t="s">
        <v>150</v>
      </c>
      <c r="L1086" s="45" t="n">
        <f aca="false">DATE(YEAR(B1086),MONTH(B1086),1)</f>
        <v>46204</v>
      </c>
      <c r="M1086" s="31" t="n">
        <f aca="false">WEEKDAY(B1086,2)</f>
        <v>4</v>
      </c>
      <c r="N1086" s="31" t="str">
        <f aca="false">IF(G1086&lt;=INDEX(Assumptions!$B$15:$B$18,MATCH(E1086,Assumptions!$A$15:$A$18,0)),"Yes","No")</f>
        <v>Yes</v>
      </c>
      <c r="O1086" s="31" t="str">
        <f aca="false">IF(H1086="","Open",IF(H1086&lt;=INDEX(Assumptions!$C$15:$C$18,MATCH(E1086,Assumptions!$A$15:$A$18,0)),"Yes","No"))</f>
        <v>Yes</v>
      </c>
    </row>
    <row r="1087" customFormat="false" ht="15" hidden="false" customHeight="false" outlineLevel="0" collapsed="false">
      <c r="A1087" s="31" t="s">
        <v>1237</v>
      </c>
      <c r="B1087" s="44" t="n">
        <v>46219</v>
      </c>
      <c r="C1087" s="31" t="s">
        <v>57</v>
      </c>
      <c r="D1087" s="31" t="s">
        <v>66</v>
      </c>
      <c r="E1087" s="31" t="s">
        <v>52</v>
      </c>
      <c r="F1087" s="31" t="s">
        <v>119</v>
      </c>
      <c r="G1087" s="31" t="n">
        <v>2</v>
      </c>
      <c r="H1087" s="41" t="n">
        <v>11.9</v>
      </c>
      <c r="I1087" s="31" t="s">
        <v>149</v>
      </c>
      <c r="J1087" s="31"/>
      <c r="K1087" s="31" t="s">
        <v>150</v>
      </c>
      <c r="L1087" s="45" t="n">
        <f aca="false">DATE(YEAR(B1087),MONTH(B1087),1)</f>
        <v>46204</v>
      </c>
      <c r="M1087" s="31" t="n">
        <f aca="false">WEEKDAY(B1087,2)</f>
        <v>4</v>
      </c>
      <c r="N1087" s="31" t="str">
        <f aca="false">IF(G1087&lt;=INDEX(Assumptions!$B$15:$B$18,MATCH(E1087,Assumptions!$A$15:$A$18,0)),"Yes","No")</f>
        <v>Yes</v>
      </c>
      <c r="O1087" s="31" t="str">
        <f aca="false">IF(H1087="","Open",IF(H1087&lt;=INDEX(Assumptions!$C$15:$C$18,MATCH(E1087,Assumptions!$A$15:$A$18,0)),"Yes","No"))</f>
        <v>Yes</v>
      </c>
    </row>
    <row r="1088" customFormat="false" ht="15" hidden="false" customHeight="false" outlineLevel="0" collapsed="false">
      <c r="A1088" s="31" t="s">
        <v>1238</v>
      </c>
      <c r="B1088" s="44" t="n">
        <v>46219</v>
      </c>
      <c r="C1088" s="31" t="s">
        <v>57</v>
      </c>
      <c r="D1088" s="31" t="s">
        <v>68</v>
      </c>
      <c r="E1088" s="31" t="s">
        <v>50</v>
      </c>
      <c r="F1088" s="31" t="s">
        <v>129</v>
      </c>
      <c r="G1088" s="31" t="n">
        <v>4</v>
      </c>
      <c r="H1088" s="41" t="n">
        <v>2.8</v>
      </c>
      <c r="I1088" s="31" t="s">
        <v>149</v>
      </c>
      <c r="J1088" s="31"/>
      <c r="K1088" s="31" t="s">
        <v>150</v>
      </c>
      <c r="L1088" s="45" t="n">
        <f aca="false">DATE(YEAR(B1088),MONTH(B1088),1)</f>
        <v>46204</v>
      </c>
      <c r="M1088" s="31" t="n">
        <f aca="false">WEEKDAY(B1088,2)</f>
        <v>4</v>
      </c>
      <c r="N1088" s="31" t="str">
        <f aca="false">IF(G1088&lt;=INDEX(Assumptions!$B$15:$B$18,MATCH(E1088,Assumptions!$A$15:$A$18,0)),"Yes","No")</f>
        <v>Yes</v>
      </c>
      <c r="O1088" s="31" t="str">
        <f aca="false">IF(H1088="","Open",IF(H1088&lt;=INDEX(Assumptions!$C$15:$C$18,MATCH(E1088,Assumptions!$A$15:$A$18,0)),"Yes","No"))</f>
        <v>Yes</v>
      </c>
    </row>
    <row r="1089" customFormat="false" ht="15" hidden="false" customHeight="false" outlineLevel="0" collapsed="false">
      <c r="A1089" s="31" t="s">
        <v>1239</v>
      </c>
      <c r="B1089" s="44" t="n">
        <v>46219</v>
      </c>
      <c r="C1089" s="31" t="s">
        <v>58</v>
      </c>
      <c r="D1089" s="31" t="s">
        <v>68</v>
      </c>
      <c r="E1089" s="31" t="s">
        <v>51</v>
      </c>
      <c r="F1089" s="31" t="s">
        <v>124</v>
      </c>
      <c r="G1089" s="31" t="n">
        <v>8</v>
      </c>
      <c r="H1089" s="41" t="n">
        <v>1.9</v>
      </c>
      <c r="I1089" s="31" t="s">
        <v>149</v>
      </c>
      <c r="J1089" s="31"/>
      <c r="K1089" s="31" t="s">
        <v>150</v>
      </c>
      <c r="L1089" s="45" t="n">
        <f aca="false">DATE(YEAR(B1089),MONTH(B1089),1)</f>
        <v>46204</v>
      </c>
      <c r="M1089" s="31" t="n">
        <f aca="false">WEEKDAY(B1089,2)</f>
        <v>4</v>
      </c>
      <c r="N1089" s="31" t="str">
        <f aca="false">IF(G1089&lt;=INDEX(Assumptions!$B$15:$B$18,MATCH(E1089,Assumptions!$A$15:$A$18,0)),"Yes","No")</f>
        <v>Yes</v>
      </c>
      <c r="O1089" s="31" t="str">
        <f aca="false">IF(H1089="","Open",IF(H1089&lt;=INDEX(Assumptions!$C$15:$C$18,MATCH(E1089,Assumptions!$A$15:$A$18,0)),"Yes","No"))</f>
        <v>Yes</v>
      </c>
    </row>
    <row r="1090" customFormat="false" ht="15" hidden="false" customHeight="false" outlineLevel="0" collapsed="false">
      <c r="A1090" s="31" t="s">
        <v>1240</v>
      </c>
      <c r="B1090" s="44" t="n">
        <v>46219</v>
      </c>
      <c r="C1090" s="31" t="s">
        <v>60</v>
      </c>
      <c r="D1090" s="31" t="s">
        <v>66</v>
      </c>
      <c r="E1090" s="31" t="s">
        <v>51</v>
      </c>
      <c r="F1090" s="31" t="s">
        <v>129</v>
      </c>
      <c r="G1090" s="31" t="n">
        <v>1</v>
      </c>
      <c r="H1090" s="41" t="n">
        <v>7.7</v>
      </c>
      <c r="I1090" s="31" t="s">
        <v>149</v>
      </c>
      <c r="J1090" s="31" t="n">
        <v>3</v>
      </c>
      <c r="K1090" s="31" t="s">
        <v>150</v>
      </c>
      <c r="L1090" s="45" t="n">
        <f aca="false">DATE(YEAR(B1090),MONTH(B1090),1)</f>
        <v>46204</v>
      </c>
      <c r="M1090" s="31" t="n">
        <f aca="false">WEEKDAY(B1090,2)</f>
        <v>4</v>
      </c>
      <c r="N1090" s="31" t="str">
        <f aca="false">IF(G1090&lt;=INDEX(Assumptions!$B$15:$B$18,MATCH(E1090,Assumptions!$A$15:$A$18,0)),"Yes","No")</f>
        <v>Yes</v>
      </c>
      <c r="O1090" s="31" t="str">
        <f aca="false">IF(H1090="","Open",IF(H1090&lt;=INDEX(Assumptions!$C$15:$C$18,MATCH(E1090,Assumptions!$A$15:$A$18,0)),"Yes","No"))</f>
        <v>Yes</v>
      </c>
    </row>
    <row r="1091" customFormat="false" ht="15" hidden="false" customHeight="false" outlineLevel="0" collapsed="false">
      <c r="A1091" s="31" t="s">
        <v>1241</v>
      </c>
      <c r="B1091" s="44" t="n">
        <v>46219</v>
      </c>
      <c r="C1091" s="31" t="s">
        <v>59</v>
      </c>
      <c r="D1091" s="31" t="s">
        <v>69</v>
      </c>
      <c r="E1091" s="31" t="s">
        <v>50</v>
      </c>
      <c r="F1091" s="31" t="s">
        <v>128</v>
      </c>
      <c r="G1091" s="31" t="n">
        <v>157</v>
      </c>
      <c r="H1091" s="41" t="n">
        <v>27.2</v>
      </c>
      <c r="I1091" s="31" t="s">
        <v>149</v>
      </c>
      <c r="J1091" s="31"/>
      <c r="K1091" s="31" t="s">
        <v>150</v>
      </c>
      <c r="L1091" s="45" t="n">
        <f aca="false">DATE(YEAR(B1091),MONTH(B1091),1)</f>
        <v>46204</v>
      </c>
      <c r="M1091" s="31" t="n">
        <f aca="false">WEEKDAY(B1091,2)</f>
        <v>4</v>
      </c>
      <c r="N1091" s="31" t="str">
        <f aca="false">IF(G1091&lt;=INDEX(Assumptions!$B$15:$B$18,MATCH(E1091,Assumptions!$A$15:$A$18,0)),"Yes","No")</f>
        <v>No</v>
      </c>
      <c r="O1091" s="31" t="str">
        <f aca="false">IF(H1091="","Open",IF(H1091&lt;=INDEX(Assumptions!$C$15:$C$18,MATCH(E1091,Assumptions!$A$15:$A$18,0)),"Yes","No"))</f>
        <v>No</v>
      </c>
    </row>
    <row r="1092" customFormat="false" ht="15" hidden="false" customHeight="false" outlineLevel="0" collapsed="false">
      <c r="A1092" s="31" t="s">
        <v>1242</v>
      </c>
      <c r="B1092" s="44" t="n">
        <v>46219</v>
      </c>
      <c r="C1092" s="31" t="s">
        <v>60</v>
      </c>
      <c r="D1092" s="31" t="s">
        <v>67</v>
      </c>
      <c r="E1092" s="31" t="s">
        <v>51</v>
      </c>
      <c r="F1092" s="31" t="s">
        <v>130</v>
      </c>
      <c r="G1092" s="31" t="n">
        <v>2</v>
      </c>
      <c r="H1092" s="41" t="n">
        <v>68.6</v>
      </c>
      <c r="I1092" s="31" t="s">
        <v>149</v>
      </c>
      <c r="J1092" s="31" t="n">
        <v>4</v>
      </c>
      <c r="K1092" s="31" t="s">
        <v>150</v>
      </c>
      <c r="L1092" s="45" t="n">
        <f aca="false">DATE(YEAR(B1092),MONTH(B1092),1)</f>
        <v>46204</v>
      </c>
      <c r="M1092" s="31" t="n">
        <f aca="false">WEEKDAY(B1092,2)</f>
        <v>4</v>
      </c>
      <c r="N1092" s="31" t="str">
        <f aca="false">IF(G1092&lt;=INDEX(Assumptions!$B$15:$B$18,MATCH(E1092,Assumptions!$A$15:$A$18,0)),"Yes","No")</f>
        <v>Yes</v>
      </c>
      <c r="O1092" s="31" t="str">
        <f aca="false">IF(H1092="","Open",IF(H1092&lt;=INDEX(Assumptions!$C$15:$C$18,MATCH(E1092,Assumptions!$A$15:$A$18,0)),"Yes","No"))</f>
        <v>No</v>
      </c>
    </row>
    <row r="1093" customFormat="false" ht="15" hidden="false" customHeight="false" outlineLevel="0" collapsed="false">
      <c r="A1093" s="31" t="s">
        <v>1243</v>
      </c>
      <c r="B1093" s="44" t="n">
        <v>46219</v>
      </c>
      <c r="C1093" s="31" t="s">
        <v>57</v>
      </c>
      <c r="D1093" s="31" t="s">
        <v>66</v>
      </c>
      <c r="E1093" s="31" t="s">
        <v>51</v>
      </c>
      <c r="F1093" s="31" t="s">
        <v>127</v>
      </c>
      <c r="G1093" s="31" t="n">
        <v>6</v>
      </c>
      <c r="H1093" s="41" t="n">
        <v>6</v>
      </c>
      <c r="I1093" s="31" t="s">
        <v>149</v>
      </c>
      <c r="J1093" s="31" t="n">
        <v>5</v>
      </c>
      <c r="K1093" s="31" t="s">
        <v>150</v>
      </c>
      <c r="L1093" s="45" t="n">
        <f aca="false">DATE(YEAR(B1093),MONTH(B1093),1)</f>
        <v>46204</v>
      </c>
      <c r="M1093" s="31" t="n">
        <f aca="false">WEEKDAY(B1093,2)</f>
        <v>4</v>
      </c>
      <c r="N1093" s="31" t="str">
        <f aca="false">IF(G1093&lt;=INDEX(Assumptions!$B$15:$B$18,MATCH(E1093,Assumptions!$A$15:$A$18,0)),"Yes","No")</f>
        <v>Yes</v>
      </c>
      <c r="O1093" s="31" t="str">
        <f aca="false">IF(H1093="","Open",IF(H1093&lt;=INDEX(Assumptions!$C$15:$C$18,MATCH(E1093,Assumptions!$A$15:$A$18,0)),"Yes","No"))</f>
        <v>Yes</v>
      </c>
    </row>
    <row r="1094" customFormat="false" ht="15" hidden="false" customHeight="false" outlineLevel="0" collapsed="false">
      <c r="A1094" s="31" t="s">
        <v>1244</v>
      </c>
      <c r="B1094" s="44" t="n">
        <v>46219</v>
      </c>
      <c r="C1094" s="31" t="s">
        <v>59</v>
      </c>
      <c r="D1094" s="31" t="s">
        <v>65</v>
      </c>
      <c r="E1094" s="31" t="s">
        <v>51</v>
      </c>
      <c r="F1094" s="31" t="s">
        <v>134</v>
      </c>
      <c r="G1094" s="31" t="n">
        <v>93</v>
      </c>
      <c r="H1094" s="41" t="n">
        <v>9</v>
      </c>
      <c r="I1094" s="31" t="s">
        <v>149</v>
      </c>
      <c r="J1094" s="31" t="n">
        <v>3</v>
      </c>
      <c r="K1094" s="31" t="s">
        <v>150</v>
      </c>
      <c r="L1094" s="45" t="n">
        <f aca="false">DATE(YEAR(B1094),MONTH(B1094),1)</f>
        <v>46204</v>
      </c>
      <c r="M1094" s="31" t="n">
        <f aca="false">WEEKDAY(B1094,2)</f>
        <v>4</v>
      </c>
      <c r="N1094" s="31" t="str">
        <f aca="false">IF(G1094&lt;=INDEX(Assumptions!$B$15:$B$18,MATCH(E1094,Assumptions!$A$15:$A$18,0)),"Yes","No")</f>
        <v>No</v>
      </c>
      <c r="O1094" s="31" t="str">
        <f aca="false">IF(H1094="","Open",IF(H1094&lt;=INDEX(Assumptions!$C$15:$C$18,MATCH(E1094,Assumptions!$A$15:$A$18,0)),"Yes","No"))</f>
        <v>Yes</v>
      </c>
    </row>
    <row r="1095" customFormat="false" ht="15" hidden="false" customHeight="false" outlineLevel="0" collapsed="false">
      <c r="A1095" s="31" t="s">
        <v>1245</v>
      </c>
      <c r="B1095" s="44" t="n">
        <v>46219</v>
      </c>
      <c r="C1095" s="31" t="s">
        <v>59</v>
      </c>
      <c r="D1095" s="31" t="s">
        <v>67</v>
      </c>
      <c r="E1095" s="31" t="s">
        <v>51</v>
      </c>
      <c r="F1095" s="31" t="s">
        <v>130</v>
      </c>
      <c r="G1095" s="31" t="n">
        <v>139</v>
      </c>
      <c r="H1095" s="41" t="n">
        <v>4.2</v>
      </c>
      <c r="I1095" s="31" t="s">
        <v>149</v>
      </c>
      <c r="J1095" s="31" t="n">
        <v>5</v>
      </c>
      <c r="K1095" s="31" t="s">
        <v>153</v>
      </c>
      <c r="L1095" s="45" t="n">
        <f aca="false">DATE(YEAR(B1095),MONTH(B1095),1)</f>
        <v>46204</v>
      </c>
      <c r="M1095" s="31" t="n">
        <f aca="false">WEEKDAY(B1095,2)</f>
        <v>4</v>
      </c>
      <c r="N1095" s="31" t="str">
        <f aca="false">IF(G1095&lt;=INDEX(Assumptions!$B$15:$B$18,MATCH(E1095,Assumptions!$A$15:$A$18,0)),"Yes","No")</f>
        <v>No</v>
      </c>
      <c r="O1095" s="31" t="str">
        <f aca="false">IF(H1095="","Open",IF(H1095&lt;=INDEX(Assumptions!$C$15:$C$18,MATCH(E1095,Assumptions!$A$15:$A$18,0)),"Yes","No"))</f>
        <v>Yes</v>
      </c>
    </row>
    <row r="1096" customFormat="false" ht="15" hidden="false" customHeight="false" outlineLevel="0" collapsed="false">
      <c r="A1096" s="31" t="s">
        <v>1246</v>
      </c>
      <c r="B1096" s="44" t="n">
        <v>46219</v>
      </c>
      <c r="C1096" s="31" t="s">
        <v>60</v>
      </c>
      <c r="D1096" s="31" t="s">
        <v>65</v>
      </c>
      <c r="E1096" s="31" t="s">
        <v>50</v>
      </c>
      <c r="F1096" s="31" t="s">
        <v>119</v>
      </c>
      <c r="G1096" s="31" t="n">
        <v>1</v>
      </c>
      <c r="H1096" s="41" t="n">
        <v>2.8</v>
      </c>
      <c r="I1096" s="31" t="s">
        <v>149</v>
      </c>
      <c r="J1096" s="31" t="n">
        <v>4</v>
      </c>
      <c r="K1096" s="31" t="s">
        <v>150</v>
      </c>
      <c r="L1096" s="45" t="n">
        <f aca="false">DATE(YEAR(B1096),MONTH(B1096),1)</f>
        <v>46204</v>
      </c>
      <c r="M1096" s="31" t="n">
        <f aca="false">WEEKDAY(B1096,2)</f>
        <v>4</v>
      </c>
      <c r="N1096" s="31" t="str">
        <f aca="false">IF(G1096&lt;=INDEX(Assumptions!$B$15:$B$18,MATCH(E1096,Assumptions!$A$15:$A$18,0)),"Yes","No")</f>
        <v>Yes</v>
      </c>
      <c r="O1096" s="31" t="str">
        <f aca="false">IF(H1096="","Open",IF(H1096&lt;=INDEX(Assumptions!$C$15:$C$18,MATCH(E1096,Assumptions!$A$15:$A$18,0)),"Yes","No"))</f>
        <v>Yes</v>
      </c>
    </row>
    <row r="1097" customFormat="false" ht="15" hidden="false" customHeight="false" outlineLevel="0" collapsed="false">
      <c r="A1097" s="31" t="s">
        <v>1247</v>
      </c>
      <c r="B1097" s="44" t="n">
        <v>46219</v>
      </c>
      <c r="C1097" s="31" t="s">
        <v>60</v>
      </c>
      <c r="D1097" s="31" t="s">
        <v>66</v>
      </c>
      <c r="E1097" s="31" t="s">
        <v>51</v>
      </c>
      <c r="F1097" s="31" t="s">
        <v>133</v>
      </c>
      <c r="G1097" s="31" t="n">
        <v>2</v>
      </c>
      <c r="H1097" s="41" t="n">
        <v>0.7</v>
      </c>
      <c r="I1097" s="31" t="s">
        <v>149</v>
      </c>
      <c r="J1097" s="31"/>
      <c r="K1097" s="31" t="s">
        <v>150</v>
      </c>
      <c r="L1097" s="45" t="n">
        <f aca="false">DATE(YEAR(B1097),MONTH(B1097),1)</f>
        <v>46204</v>
      </c>
      <c r="M1097" s="31" t="n">
        <f aca="false">WEEKDAY(B1097,2)</f>
        <v>4</v>
      </c>
      <c r="N1097" s="31" t="str">
        <f aca="false">IF(G1097&lt;=INDEX(Assumptions!$B$15:$B$18,MATCH(E1097,Assumptions!$A$15:$A$18,0)),"Yes","No")</f>
        <v>Yes</v>
      </c>
      <c r="O1097" s="31" t="str">
        <f aca="false">IF(H1097="","Open",IF(H1097&lt;=INDEX(Assumptions!$C$15:$C$18,MATCH(E1097,Assumptions!$A$15:$A$18,0)),"Yes","No"))</f>
        <v>Yes</v>
      </c>
    </row>
    <row r="1098" customFormat="false" ht="15" hidden="false" customHeight="false" outlineLevel="0" collapsed="false">
      <c r="A1098" s="31" t="s">
        <v>1248</v>
      </c>
      <c r="B1098" s="44" t="n">
        <v>46219</v>
      </c>
      <c r="C1098" s="31" t="s">
        <v>60</v>
      </c>
      <c r="D1098" s="31" t="s">
        <v>66</v>
      </c>
      <c r="E1098" s="31" t="s">
        <v>51</v>
      </c>
      <c r="F1098" s="31" t="s">
        <v>121</v>
      </c>
      <c r="G1098" s="31" t="n">
        <v>1</v>
      </c>
      <c r="H1098" s="41" t="n">
        <v>3.1</v>
      </c>
      <c r="I1098" s="31" t="s">
        <v>149</v>
      </c>
      <c r="J1098" s="31"/>
      <c r="K1098" s="31" t="s">
        <v>153</v>
      </c>
      <c r="L1098" s="45" t="n">
        <f aca="false">DATE(YEAR(B1098),MONTH(B1098),1)</f>
        <v>46204</v>
      </c>
      <c r="M1098" s="31" t="n">
        <f aca="false">WEEKDAY(B1098,2)</f>
        <v>4</v>
      </c>
      <c r="N1098" s="31" t="str">
        <f aca="false">IF(G1098&lt;=INDEX(Assumptions!$B$15:$B$18,MATCH(E1098,Assumptions!$A$15:$A$18,0)),"Yes","No")</f>
        <v>Yes</v>
      </c>
      <c r="O1098" s="31" t="str">
        <f aca="false">IF(H1098="","Open",IF(H1098&lt;=INDEX(Assumptions!$C$15:$C$18,MATCH(E1098,Assumptions!$A$15:$A$18,0)),"Yes","No"))</f>
        <v>Yes</v>
      </c>
    </row>
    <row r="1099" customFormat="false" ht="15" hidden="false" customHeight="false" outlineLevel="0" collapsed="false">
      <c r="A1099" s="31" t="s">
        <v>1249</v>
      </c>
      <c r="B1099" s="44" t="n">
        <v>46219</v>
      </c>
      <c r="C1099" s="31" t="s">
        <v>59</v>
      </c>
      <c r="D1099" s="31" t="s">
        <v>67</v>
      </c>
      <c r="E1099" s="31" t="s">
        <v>51</v>
      </c>
      <c r="F1099" s="31" t="s">
        <v>133</v>
      </c>
      <c r="G1099" s="31" t="n">
        <v>321</v>
      </c>
      <c r="H1099" s="41" t="n">
        <v>8.4</v>
      </c>
      <c r="I1099" s="31" t="s">
        <v>149</v>
      </c>
      <c r="J1099" s="31" t="n">
        <v>5</v>
      </c>
      <c r="K1099" s="31" t="s">
        <v>150</v>
      </c>
      <c r="L1099" s="45" t="n">
        <f aca="false">DATE(YEAR(B1099),MONTH(B1099),1)</f>
        <v>46204</v>
      </c>
      <c r="M1099" s="31" t="n">
        <f aca="false">WEEKDAY(B1099,2)</f>
        <v>4</v>
      </c>
      <c r="N1099" s="31" t="str">
        <f aca="false">IF(G1099&lt;=INDEX(Assumptions!$B$15:$B$18,MATCH(E1099,Assumptions!$A$15:$A$18,0)),"Yes","No")</f>
        <v>No</v>
      </c>
      <c r="O1099" s="31" t="str">
        <f aca="false">IF(H1099="","Open",IF(H1099&lt;=INDEX(Assumptions!$C$15:$C$18,MATCH(E1099,Assumptions!$A$15:$A$18,0)),"Yes","No"))</f>
        <v>Yes</v>
      </c>
    </row>
    <row r="1100" customFormat="false" ht="15" hidden="false" customHeight="false" outlineLevel="0" collapsed="false">
      <c r="A1100" s="31" t="s">
        <v>1250</v>
      </c>
      <c r="B1100" s="44" t="n">
        <v>46219</v>
      </c>
      <c r="C1100" s="31" t="s">
        <v>60</v>
      </c>
      <c r="D1100" s="31" t="s">
        <v>65</v>
      </c>
      <c r="E1100" s="31" t="s">
        <v>52</v>
      </c>
      <c r="F1100" s="31" t="s">
        <v>134</v>
      </c>
      <c r="G1100" s="31" t="n">
        <v>13</v>
      </c>
      <c r="H1100" s="41" t="n">
        <v>50.6</v>
      </c>
      <c r="I1100" s="31" t="s">
        <v>149</v>
      </c>
      <c r="J1100" s="31"/>
      <c r="K1100" s="31" t="s">
        <v>150</v>
      </c>
      <c r="L1100" s="45" t="n">
        <f aca="false">DATE(YEAR(B1100),MONTH(B1100),1)</f>
        <v>46204</v>
      </c>
      <c r="M1100" s="31" t="n">
        <f aca="false">WEEKDAY(B1100,2)</f>
        <v>4</v>
      </c>
      <c r="N1100" s="31" t="str">
        <f aca="false">IF(G1100&lt;=INDEX(Assumptions!$B$15:$B$18,MATCH(E1100,Assumptions!$A$15:$A$18,0)),"Yes","No")</f>
        <v>Yes</v>
      </c>
      <c r="O1100" s="31" t="str">
        <f aca="false">IF(H1100="","Open",IF(H1100&lt;=INDEX(Assumptions!$C$15:$C$18,MATCH(E1100,Assumptions!$A$15:$A$18,0)),"Yes","No"))</f>
        <v>Yes</v>
      </c>
    </row>
    <row r="1101" customFormat="false" ht="15" hidden="false" customHeight="false" outlineLevel="0" collapsed="false">
      <c r="A1101" s="31" t="s">
        <v>1251</v>
      </c>
      <c r="B1101" s="44" t="n">
        <v>46219</v>
      </c>
      <c r="C1101" s="31" t="s">
        <v>59</v>
      </c>
      <c r="D1101" s="31" t="s">
        <v>65</v>
      </c>
      <c r="E1101" s="31" t="s">
        <v>51</v>
      </c>
      <c r="F1101" s="31" t="s">
        <v>124</v>
      </c>
      <c r="G1101" s="31" t="n">
        <v>35</v>
      </c>
      <c r="H1101" s="41" t="n">
        <v>3.5</v>
      </c>
      <c r="I1101" s="31" t="s">
        <v>149</v>
      </c>
      <c r="J1101" s="31"/>
      <c r="K1101" s="31" t="s">
        <v>150</v>
      </c>
      <c r="L1101" s="45" t="n">
        <f aca="false">DATE(YEAR(B1101),MONTH(B1101),1)</f>
        <v>46204</v>
      </c>
      <c r="M1101" s="31" t="n">
        <f aca="false">WEEKDAY(B1101,2)</f>
        <v>4</v>
      </c>
      <c r="N1101" s="31" t="str">
        <f aca="false">IF(G1101&lt;=INDEX(Assumptions!$B$15:$B$18,MATCH(E1101,Assumptions!$A$15:$A$18,0)),"Yes","No")</f>
        <v>Yes</v>
      </c>
      <c r="O1101" s="31" t="str">
        <f aca="false">IF(H1101="","Open",IF(H1101&lt;=INDEX(Assumptions!$C$15:$C$18,MATCH(E1101,Assumptions!$A$15:$A$18,0)),"Yes","No"))</f>
        <v>Yes</v>
      </c>
    </row>
    <row r="1102" customFormat="false" ht="15" hidden="false" customHeight="false" outlineLevel="0" collapsed="false">
      <c r="A1102" s="31" t="s">
        <v>1252</v>
      </c>
      <c r="B1102" s="44" t="n">
        <v>46219</v>
      </c>
      <c r="C1102" s="31" t="s">
        <v>57</v>
      </c>
      <c r="D1102" s="31" t="s">
        <v>69</v>
      </c>
      <c r="E1102" s="31" t="s">
        <v>52</v>
      </c>
      <c r="F1102" s="31" t="s">
        <v>134</v>
      </c>
      <c r="G1102" s="31" t="n">
        <v>11</v>
      </c>
      <c r="H1102" s="41" t="n">
        <v>47.3</v>
      </c>
      <c r="I1102" s="31" t="s">
        <v>149</v>
      </c>
      <c r="J1102" s="31"/>
      <c r="K1102" s="31" t="s">
        <v>150</v>
      </c>
      <c r="L1102" s="45" t="n">
        <f aca="false">DATE(YEAR(B1102),MONTH(B1102),1)</f>
        <v>46204</v>
      </c>
      <c r="M1102" s="31" t="n">
        <f aca="false">WEEKDAY(B1102,2)</f>
        <v>4</v>
      </c>
      <c r="N1102" s="31" t="str">
        <f aca="false">IF(G1102&lt;=INDEX(Assumptions!$B$15:$B$18,MATCH(E1102,Assumptions!$A$15:$A$18,0)),"Yes","No")</f>
        <v>Yes</v>
      </c>
      <c r="O1102" s="31" t="str">
        <f aca="false">IF(H1102="","Open",IF(H1102&lt;=INDEX(Assumptions!$C$15:$C$18,MATCH(E1102,Assumptions!$A$15:$A$18,0)),"Yes","No"))</f>
        <v>Yes</v>
      </c>
    </row>
    <row r="1103" customFormat="false" ht="15" hidden="false" customHeight="false" outlineLevel="0" collapsed="false">
      <c r="A1103" s="31" t="s">
        <v>1253</v>
      </c>
      <c r="B1103" s="44" t="n">
        <v>46219</v>
      </c>
      <c r="C1103" s="31" t="s">
        <v>59</v>
      </c>
      <c r="D1103" s="31" t="s">
        <v>65</v>
      </c>
      <c r="E1103" s="31" t="s">
        <v>52</v>
      </c>
      <c r="F1103" s="31" t="s">
        <v>137</v>
      </c>
      <c r="G1103" s="31" t="n">
        <v>122</v>
      </c>
      <c r="H1103" s="41" t="n">
        <v>60.8</v>
      </c>
      <c r="I1103" s="31" t="s">
        <v>149</v>
      </c>
      <c r="J1103" s="31"/>
      <c r="K1103" s="31" t="s">
        <v>150</v>
      </c>
      <c r="L1103" s="45" t="n">
        <f aca="false">DATE(YEAR(B1103),MONTH(B1103),1)</f>
        <v>46204</v>
      </c>
      <c r="M1103" s="31" t="n">
        <f aca="false">WEEKDAY(B1103,2)</f>
        <v>4</v>
      </c>
      <c r="N1103" s="31" t="str">
        <f aca="false">IF(G1103&lt;=INDEX(Assumptions!$B$15:$B$18,MATCH(E1103,Assumptions!$A$15:$A$18,0)),"Yes","No")</f>
        <v>Yes</v>
      </c>
      <c r="O1103" s="31" t="str">
        <f aca="false">IF(H1103="","Open",IF(H1103&lt;=INDEX(Assumptions!$C$15:$C$18,MATCH(E1103,Assumptions!$A$15:$A$18,0)),"Yes","No"))</f>
        <v>Yes</v>
      </c>
    </row>
    <row r="1104" customFormat="false" ht="15" hidden="false" customHeight="false" outlineLevel="0" collapsed="false">
      <c r="A1104" s="31" t="s">
        <v>1254</v>
      </c>
      <c r="B1104" s="44" t="n">
        <v>46219</v>
      </c>
      <c r="C1104" s="31" t="s">
        <v>60</v>
      </c>
      <c r="D1104" s="31" t="s">
        <v>66</v>
      </c>
      <c r="E1104" s="31" t="s">
        <v>51</v>
      </c>
      <c r="F1104" s="31" t="s">
        <v>121</v>
      </c>
      <c r="G1104" s="31" t="n">
        <v>8</v>
      </c>
      <c r="H1104" s="41" t="n">
        <v>3.2</v>
      </c>
      <c r="I1104" s="31" t="s">
        <v>149</v>
      </c>
      <c r="J1104" s="31" t="n">
        <v>5</v>
      </c>
      <c r="K1104" s="31" t="s">
        <v>150</v>
      </c>
      <c r="L1104" s="45" t="n">
        <f aca="false">DATE(YEAR(B1104),MONTH(B1104),1)</f>
        <v>46204</v>
      </c>
      <c r="M1104" s="31" t="n">
        <f aca="false">WEEKDAY(B1104,2)</f>
        <v>4</v>
      </c>
      <c r="N1104" s="31" t="str">
        <f aca="false">IF(G1104&lt;=INDEX(Assumptions!$B$15:$B$18,MATCH(E1104,Assumptions!$A$15:$A$18,0)),"Yes","No")</f>
        <v>Yes</v>
      </c>
      <c r="O1104" s="31" t="str">
        <f aca="false">IF(H1104="","Open",IF(H1104&lt;=INDEX(Assumptions!$C$15:$C$18,MATCH(E1104,Assumptions!$A$15:$A$18,0)),"Yes","No"))</f>
        <v>Yes</v>
      </c>
    </row>
    <row r="1105" customFormat="false" ht="15" hidden="false" customHeight="false" outlineLevel="0" collapsed="false">
      <c r="A1105" s="31" t="s">
        <v>1255</v>
      </c>
      <c r="B1105" s="44" t="n">
        <v>46219</v>
      </c>
      <c r="C1105" s="31" t="s">
        <v>59</v>
      </c>
      <c r="D1105" s="31" t="s">
        <v>66</v>
      </c>
      <c r="E1105" s="31" t="s">
        <v>51</v>
      </c>
      <c r="F1105" s="31" t="s">
        <v>137</v>
      </c>
      <c r="G1105" s="31" t="n">
        <v>79</v>
      </c>
      <c r="H1105" s="41" t="n">
        <v>4.4</v>
      </c>
      <c r="I1105" s="31" t="s">
        <v>149</v>
      </c>
      <c r="J1105" s="31"/>
      <c r="K1105" s="31" t="s">
        <v>150</v>
      </c>
      <c r="L1105" s="45" t="n">
        <f aca="false">DATE(YEAR(B1105),MONTH(B1105),1)</f>
        <v>46204</v>
      </c>
      <c r="M1105" s="31" t="n">
        <f aca="false">WEEKDAY(B1105,2)</f>
        <v>4</v>
      </c>
      <c r="N1105" s="31" t="str">
        <f aca="false">IF(G1105&lt;=INDEX(Assumptions!$B$15:$B$18,MATCH(E1105,Assumptions!$A$15:$A$18,0)),"Yes","No")</f>
        <v>No</v>
      </c>
      <c r="O1105" s="31" t="str">
        <f aca="false">IF(H1105="","Open",IF(H1105&lt;=INDEX(Assumptions!$C$15:$C$18,MATCH(E1105,Assumptions!$A$15:$A$18,0)),"Yes","No"))</f>
        <v>Yes</v>
      </c>
    </row>
    <row r="1106" customFormat="false" ht="15" hidden="false" customHeight="false" outlineLevel="0" collapsed="false">
      <c r="A1106" s="31" t="s">
        <v>1256</v>
      </c>
      <c r="B1106" s="44" t="n">
        <v>46219</v>
      </c>
      <c r="C1106" s="31" t="s">
        <v>57</v>
      </c>
      <c r="D1106" s="31" t="s">
        <v>68</v>
      </c>
      <c r="E1106" s="31" t="s">
        <v>51</v>
      </c>
      <c r="F1106" s="31" t="s">
        <v>123</v>
      </c>
      <c r="G1106" s="31" t="n">
        <v>4</v>
      </c>
      <c r="H1106" s="41" t="n">
        <v>7.5</v>
      </c>
      <c r="I1106" s="31" t="s">
        <v>64</v>
      </c>
      <c r="J1106" s="31"/>
      <c r="K1106" s="31" t="s">
        <v>150</v>
      </c>
      <c r="L1106" s="45" t="n">
        <f aca="false">DATE(YEAR(B1106),MONTH(B1106),1)</f>
        <v>46204</v>
      </c>
      <c r="M1106" s="31" t="n">
        <f aca="false">WEEKDAY(B1106,2)</f>
        <v>4</v>
      </c>
      <c r="N1106" s="31" t="str">
        <f aca="false">IF(G1106&lt;=INDEX(Assumptions!$B$15:$B$18,MATCH(E1106,Assumptions!$A$15:$A$18,0)),"Yes","No")</f>
        <v>Yes</v>
      </c>
      <c r="O1106" s="31" t="str">
        <f aca="false">IF(H1106="","Open",IF(H1106&lt;=INDEX(Assumptions!$C$15:$C$18,MATCH(E1106,Assumptions!$A$15:$A$18,0)),"Yes","No"))</f>
        <v>Yes</v>
      </c>
    </row>
    <row r="1107" customFormat="false" ht="15" hidden="false" customHeight="false" outlineLevel="0" collapsed="false">
      <c r="A1107" s="31" t="s">
        <v>1257</v>
      </c>
      <c r="B1107" s="44" t="n">
        <v>46219</v>
      </c>
      <c r="C1107" s="31" t="s">
        <v>60</v>
      </c>
      <c r="D1107" s="31" t="s">
        <v>66</v>
      </c>
      <c r="E1107" s="31" t="s">
        <v>51</v>
      </c>
      <c r="F1107" s="31" t="s">
        <v>128</v>
      </c>
      <c r="G1107" s="31" t="n">
        <v>8</v>
      </c>
      <c r="H1107" s="41" t="n">
        <v>4.6</v>
      </c>
      <c r="I1107" s="31" t="s">
        <v>149</v>
      </c>
      <c r="J1107" s="31"/>
      <c r="K1107" s="31" t="s">
        <v>150</v>
      </c>
      <c r="L1107" s="45" t="n">
        <f aca="false">DATE(YEAR(B1107),MONTH(B1107),1)</f>
        <v>46204</v>
      </c>
      <c r="M1107" s="31" t="n">
        <f aca="false">WEEKDAY(B1107,2)</f>
        <v>4</v>
      </c>
      <c r="N1107" s="31" t="str">
        <f aca="false">IF(G1107&lt;=INDEX(Assumptions!$B$15:$B$18,MATCH(E1107,Assumptions!$A$15:$A$18,0)),"Yes","No")</f>
        <v>Yes</v>
      </c>
      <c r="O1107" s="31" t="str">
        <f aca="false">IF(H1107="","Open",IF(H1107&lt;=INDEX(Assumptions!$C$15:$C$18,MATCH(E1107,Assumptions!$A$15:$A$18,0)),"Yes","No"))</f>
        <v>Yes</v>
      </c>
    </row>
    <row r="1108" customFormat="false" ht="15" hidden="false" customHeight="false" outlineLevel="0" collapsed="false">
      <c r="A1108" s="31" t="s">
        <v>1258</v>
      </c>
      <c r="B1108" s="44" t="n">
        <v>46219</v>
      </c>
      <c r="C1108" s="31" t="s">
        <v>59</v>
      </c>
      <c r="D1108" s="31" t="s">
        <v>69</v>
      </c>
      <c r="E1108" s="31" t="s">
        <v>51</v>
      </c>
      <c r="F1108" s="31" t="s">
        <v>122</v>
      </c>
      <c r="G1108" s="31" t="n">
        <v>82</v>
      </c>
      <c r="H1108" s="41" t="n">
        <v>26</v>
      </c>
      <c r="I1108" s="31" t="s">
        <v>149</v>
      </c>
      <c r="J1108" s="31" t="n">
        <v>3</v>
      </c>
      <c r="K1108" s="31" t="s">
        <v>150</v>
      </c>
      <c r="L1108" s="45" t="n">
        <f aca="false">DATE(YEAR(B1108),MONTH(B1108),1)</f>
        <v>46204</v>
      </c>
      <c r="M1108" s="31" t="n">
        <f aca="false">WEEKDAY(B1108,2)</f>
        <v>4</v>
      </c>
      <c r="N1108" s="31" t="str">
        <f aca="false">IF(G1108&lt;=INDEX(Assumptions!$B$15:$B$18,MATCH(E1108,Assumptions!$A$15:$A$18,0)),"Yes","No")</f>
        <v>No</v>
      </c>
      <c r="O1108" s="31" t="str">
        <f aca="false">IF(H1108="","Open",IF(H1108&lt;=INDEX(Assumptions!$C$15:$C$18,MATCH(E1108,Assumptions!$A$15:$A$18,0)),"Yes","No"))</f>
        <v>No</v>
      </c>
    </row>
    <row r="1109" customFormat="false" ht="15" hidden="false" customHeight="false" outlineLevel="0" collapsed="false">
      <c r="A1109" s="31" t="s">
        <v>1259</v>
      </c>
      <c r="B1109" s="44" t="n">
        <v>46219</v>
      </c>
      <c r="C1109" s="31" t="s">
        <v>60</v>
      </c>
      <c r="D1109" s="31" t="s">
        <v>65</v>
      </c>
      <c r="E1109" s="31" t="s">
        <v>49</v>
      </c>
      <c r="F1109" s="31" t="s">
        <v>133</v>
      </c>
      <c r="G1109" s="31" t="n">
        <v>1</v>
      </c>
      <c r="H1109" s="41" t="n">
        <v>0.3</v>
      </c>
      <c r="I1109" s="31" t="s">
        <v>149</v>
      </c>
      <c r="J1109" s="31" t="n">
        <v>5</v>
      </c>
      <c r="K1109" s="31" t="s">
        <v>150</v>
      </c>
      <c r="L1109" s="45" t="n">
        <f aca="false">DATE(YEAR(B1109),MONTH(B1109),1)</f>
        <v>46204</v>
      </c>
      <c r="M1109" s="31" t="n">
        <f aca="false">WEEKDAY(B1109,2)</f>
        <v>4</v>
      </c>
      <c r="N1109" s="31" t="str">
        <f aca="false">IF(G1109&lt;=INDEX(Assumptions!$B$15:$B$18,MATCH(E1109,Assumptions!$A$15:$A$18,0)),"Yes","No")</f>
        <v>Yes</v>
      </c>
      <c r="O1109" s="31" t="str">
        <f aca="false">IF(H1109="","Open",IF(H1109&lt;=INDEX(Assumptions!$C$15:$C$18,MATCH(E1109,Assumptions!$A$15:$A$18,0)),"Yes","No"))</f>
        <v>Yes</v>
      </c>
    </row>
    <row r="1110" customFormat="false" ht="15" hidden="false" customHeight="false" outlineLevel="0" collapsed="false">
      <c r="A1110" s="31" t="s">
        <v>1260</v>
      </c>
      <c r="B1110" s="44" t="n">
        <v>46219</v>
      </c>
      <c r="C1110" s="31" t="s">
        <v>58</v>
      </c>
      <c r="D1110" s="31" t="s">
        <v>65</v>
      </c>
      <c r="E1110" s="31" t="s">
        <v>52</v>
      </c>
      <c r="F1110" s="31" t="s">
        <v>136</v>
      </c>
      <c r="G1110" s="31" t="n">
        <v>22</v>
      </c>
      <c r="H1110" s="41" t="n">
        <v>74.4</v>
      </c>
      <c r="I1110" s="31" t="s">
        <v>64</v>
      </c>
      <c r="J1110" s="31"/>
      <c r="K1110" s="31" t="s">
        <v>150</v>
      </c>
      <c r="L1110" s="45" t="n">
        <f aca="false">DATE(YEAR(B1110),MONTH(B1110),1)</f>
        <v>46204</v>
      </c>
      <c r="M1110" s="31" t="n">
        <f aca="false">WEEKDAY(B1110,2)</f>
        <v>4</v>
      </c>
      <c r="N1110" s="31" t="str">
        <f aca="false">IF(G1110&lt;=INDEX(Assumptions!$B$15:$B$18,MATCH(E1110,Assumptions!$A$15:$A$18,0)),"Yes","No")</f>
        <v>Yes</v>
      </c>
      <c r="O1110" s="31" t="str">
        <f aca="false">IF(H1110="","Open",IF(H1110&lt;=INDEX(Assumptions!$C$15:$C$18,MATCH(E1110,Assumptions!$A$15:$A$18,0)),"Yes","No"))</f>
        <v>No</v>
      </c>
    </row>
    <row r="1111" customFormat="false" ht="15" hidden="false" customHeight="false" outlineLevel="0" collapsed="false">
      <c r="A1111" s="31" t="s">
        <v>1261</v>
      </c>
      <c r="B1111" s="44" t="n">
        <v>46219</v>
      </c>
      <c r="C1111" s="31" t="s">
        <v>59</v>
      </c>
      <c r="D1111" s="31" t="s">
        <v>66</v>
      </c>
      <c r="E1111" s="31" t="s">
        <v>51</v>
      </c>
      <c r="F1111" s="31" t="s">
        <v>128</v>
      </c>
      <c r="G1111" s="31" t="n">
        <v>92</v>
      </c>
      <c r="H1111" s="41" t="n">
        <v>16.7</v>
      </c>
      <c r="I1111" s="31" t="s">
        <v>149</v>
      </c>
      <c r="J1111" s="31" t="n">
        <v>4</v>
      </c>
      <c r="K1111" s="31" t="s">
        <v>153</v>
      </c>
      <c r="L1111" s="45" t="n">
        <f aca="false">DATE(YEAR(B1111),MONTH(B1111),1)</f>
        <v>46204</v>
      </c>
      <c r="M1111" s="31" t="n">
        <f aca="false">WEEKDAY(B1111,2)</f>
        <v>4</v>
      </c>
      <c r="N1111" s="31" t="str">
        <f aca="false">IF(G1111&lt;=INDEX(Assumptions!$B$15:$B$18,MATCH(E1111,Assumptions!$A$15:$A$18,0)),"Yes","No")</f>
        <v>No</v>
      </c>
      <c r="O1111" s="31" t="str">
        <f aca="false">IF(H1111="","Open",IF(H1111&lt;=INDEX(Assumptions!$C$15:$C$18,MATCH(E1111,Assumptions!$A$15:$A$18,0)),"Yes","No"))</f>
        <v>Yes</v>
      </c>
    </row>
    <row r="1112" customFormat="false" ht="15" hidden="false" customHeight="false" outlineLevel="0" collapsed="false">
      <c r="A1112" s="31" t="s">
        <v>1262</v>
      </c>
      <c r="B1112" s="44" t="n">
        <v>46219</v>
      </c>
      <c r="C1112" s="31" t="s">
        <v>57</v>
      </c>
      <c r="D1112" s="31" t="s">
        <v>68</v>
      </c>
      <c r="E1112" s="31" t="s">
        <v>50</v>
      </c>
      <c r="F1112" s="31" t="s">
        <v>136</v>
      </c>
      <c r="G1112" s="31" t="n">
        <v>5</v>
      </c>
      <c r="H1112" s="41" t="n">
        <v>1.4</v>
      </c>
      <c r="I1112" s="31" t="s">
        <v>149</v>
      </c>
      <c r="J1112" s="31"/>
      <c r="K1112" s="31" t="s">
        <v>150</v>
      </c>
      <c r="L1112" s="45" t="n">
        <f aca="false">DATE(YEAR(B1112),MONTH(B1112),1)</f>
        <v>46204</v>
      </c>
      <c r="M1112" s="31" t="n">
        <f aca="false">WEEKDAY(B1112,2)</f>
        <v>4</v>
      </c>
      <c r="N1112" s="31" t="str">
        <f aca="false">IF(G1112&lt;=INDEX(Assumptions!$B$15:$B$18,MATCH(E1112,Assumptions!$A$15:$A$18,0)),"Yes","No")</f>
        <v>Yes</v>
      </c>
      <c r="O1112" s="31" t="str">
        <f aca="false">IF(H1112="","Open",IF(H1112&lt;=INDEX(Assumptions!$C$15:$C$18,MATCH(E1112,Assumptions!$A$15:$A$18,0)),"Yes","No"))</f>
        <v>Yes</v>
      </c>
    </row>
    <row r="1113" customFormat="false" ht="15" hidden="false" customHeight="false" outlineLevel="0" collapsed="false">
      <c r="A1113" s="31" t="s">
        <v>1263</v>
      </c>
      <c r="B1113" s="44" t="n">
        <v>46219</v>
      </c>
      <c r="C1113" s="31" t="s">
        <v>59</v>
      </c>
      <c r="D1113" s="31" t="s">
        <v>66</v>
      </c>
      <c r="E1113" s="31" t="s">
        <v>52</v>
      </c>
      <c r="F1113" s="31" t="s">
        <v>131</v>
      </c>
      <c r="G1113" s="31" t="n">
        <v>121</v>
      </c>
      <c r="H1113" s="41" t="n">
        <v>1</v>
      </c>
      <c r="I1113" s="31" t="s">
        <v>149</v>
      </c>
      <c r="J1113" s="31"/>
      <c r="K1113" s="31" t="s">
        <v>150</v>
      </c>
      <c r="L1113" s="45" t="n">
        <f aca="false">DATE(YEAR(B1113),MONTH(B1113),1)</f>
        <v>46204</v>
      </c>
      <c r="M1113" s="31" t="n">
        <f aca="false">WEEKDAY(B1113,2)</f>
        <v>4</v>
      </c>
      <c r="N1113" s="31" t="str">
        <f aca="false">IF(G1113&lt;=INDEX(Assumptions!$B$15:$B$18,MATCH(E1113,Assumptions!$A$15:$A$18,0)),"Yes","No")</f>
        <v>Yes</v>
      </c>
      <c r="O1113" s="31" t="str">
        <f aca="false">IF(H1113="","Open",IF(H1113&lt;=INDEX(Assumptions!$C$15:$C$18,MATCH(E1113,Assumptions!$A$15:$A$18,0)),"Yes","No"))</f>
        <v>Yes</v>
      </c>
    </row>
    <row r="1114" customFormat="false" ht="15" hidden="false" customHeight="false" outlineLevel="0" collapsed="false">
      <c r="A1114" s="31" t="s">
        <v>1264</v>
      </c>
      <c r="B1114" s="44" t="n">
        <v>46219</v>
      </c>
      <c r="C1114" s="31" t="s">
        <v>58</v>
      </c>
      <c r="D1114" s="31" t="s">
        <v>67</v>
      </c>
      <c r="E1114" s="31" t="s">
        <v>50</v>
      </c>
      <c r="F1114" s="31" t="s">
        <v>117</v>
      </c>
      <c r="G1114" s="31" t="n">
        <v>9</v>
      </c>
      <c r="H1114" s="41" t="n">
        <v>8.1</v>
      </c>
      <c r="I1114" s="31" t="s">
        <v>149</v>
      </c>
      <c r="J1114" s="31"/>
      <c r="K1114" s="31" t="s">
        <v>153</v>
      </c>
      <c r="L1114" s="45" t="n">
        <f aca="false">DATE(YEAR(B1114),MONTH(B1114),1)</f>
        <v>46204</v>
      </c>
      <c r="M1114" s="31" t="n">
        <f aca="false">WEEKDAY(B1114,2)</f>
        <v>4</v>
      </c>
      <c r="N1114" s="31" t="str">
        <f aca="false">IF(G1114&lt;=INDEX(Assumptions!$B$15:$B$18,MATCH(E1114,Assumptions!$A$15:$A$18,0)),"Yes","No")</f>
        <v>Yes</v>
      </c>
      <c r="O1114" s="31" t="str">
        <f aca="false">IF(H1114="","Open",IF(H1114&lt;=INDEX(Assumptions!$C$15:$C$18,MATCH(E1114,Assumptions!$A$15:$A$18,0)),"Yes","No"))</f>
        <v>No</v>
      </c>
    </row>
    <row r="1115" customFormat="false" ht="15" hidden="false" customHeight="false" outlineLevel="0" collapsed="false">
      <c r="A1115" s="31" t="s">
        <v>1265</v>
      </c>
      <c r="B1115" s="44" t="n">
        <v>46219</v>
      </c>
      <c r="C1115" s="31" t="s">
        <v>58</v>
      </c>
      <c r="D1115" s="31" t="s">
        <v>69</v>
      </c>
      <c r="E1115" s="31" t="s">
        <v>52</v>
      </c>
      <c r="F1115" s="31" t="s">
        <v>128</v>
      </c>
      <c r="G1115" s="31" t="n">
        <v>47</v>
      </c>
      <c r="H1115" s="41" t="n">
        <v>34.2</v>
      </c>
      <c r="I1115" s="31" t="s">
        <v>149</v>
      </c>
      <c r="J1115" s="31" t="n">
        <v>3</v>
      </c>
      <c r="K1115" s="31" t="s">
        <v>150</v>
      </c>
      <c r="L1115" s="45" t="n">
        <f aca="false">DATE(YEAR(B1115),MONTH(B1115),1)</f>
        <v>46204</v>
      </c>
      <c r="M1115" s="31" t="n">
        <f aca="false">WEEKDAY(B1115,2)</f>
        <v>4</v>
      </c>
      <c r="N1115" s="31" t="str">
        <f aca="false">IF(G1115&lt;=INDEX(Assumptions!$B$15:$B$18,MATCH(E1115,Assumptions!$A$15:$A$18,0)),"Yes","No")</f>
        <v>Yes</v>
      </c>
      <c r="O1115" s="31" t="str">
        <f aca="false">IF(H1115="","Open",IF(H1115&lt;=INDEX(Assumptions!$C$15:$C$18,MATCH(E1115,Assumptions!$A$15:$A$18,0)),"Yes","No"))</f>
        <v>Yes</v>
      </c>
    </row>
    <row r="1116" customFormat="false" ht="15" hidden="false" customHeight="false" outlineLevel="0" collapsed="false">
      <c r="A1116" s="31" t="s">
        <v>1266</v>
      </c>
      <c r="B1116" s="44" t="n">
        <v>46219</v>
      </c>
      <c r="C1116" s="31" t="s">
        <v>59</v>
      </c>
      <c r="D1116" s="31" t="s">
        <v>65</v>
      </c>
      <c r="E1116" s="31" t="s">
        <v>51</v>
      </c>
      <c r="F1116" s="31" t="s">
        <v>133</v>
      </c>
      <c r="G1116" s="31" t="n">
        <v>112</v>
      </c>
      <c r="H1116" s="41" t="n">
        <v>4.9</v>
      </c>
      <c r="I1116" s="31" t="s">
        <v>149</v>
      </c>
      <c r="J1116" s="31"/>
      <c r="K1116" s="31" t="s">
        <v>150</v>
      </c>
      <c r="L1116" s="45" t="n">
        <f aca="false">DATE(YEAR(B1116),MONTH(B1116),1)</f>
        <v>46204</v>
      </c>
      <c r="M1116" s="31" t="n">
        <f aca="false">WEEKDAY(B1116,2)</f>
        <v>4</v>
      </c>
      <c r="N1116" s="31" t="str">
        <f aca="false">IF(G1116&lt;=INDEX(Assumptions!$B$15:$B$18,MATCH(E1116,Assumptions!$A$15:$A$18,0)),"Yes","No")</f>
        <v>No</v>
      </c>
      <c r="O1116" s="31" t="str">
        <f aca="false">IF(H1116="","Open",IF(H1116&lt;=INDEX(Assumptions!$C$15:$C$18,MATCH(E1116,Assumptions!$A$15:$A$18,0)),"Yes","No"))</f>
        <v>Yes</v>
      </c>
    </row>
    <row r="1117" customFormat="false" ht="15" hidden="false" customHeight="false" outlineLevel="0" collapsed="false">
      <c r="A1117" s="31" t="s">
        <v>1267</v>
      </c>
      <c r="B1117" s="44" t="n">
        <v>46219</v>
      </c>
      <c r="C1117" s="31" t="s">
        <v>57</v>
      </c>
      <c r="D1117" s="31" t="s">
        <v>66</v>
      </c>
      <c r="E1117" s="31" t="s">
        <v>51</v>
      </c>
      <c r="F1117" s="31" t="s">
        <v>131</v>
      </c>
      <c r="G1117" s="31" t="n">
        <v>3</v>
      </c>
      <c r="H1117" s="41" t="n">
        <v>11.9</v>
      </c>
      <c r="I1117" s="31" t="s">
        <v>149</v>
      </c>
      <c r="J1117" s="31"/>
      <c r="K1117" s="31" t="s">
        <v>150</v>
      </c>
      <c r="L1117" s="45" t="n">
        <f aca="false">DATE(YEAR(B1117),MONTH(B1117),1)</f>
        <v>46204</v>
      </c>
      <c r="M1117" s="31" t="n">
        <f aca="false">WEEKDAY(B1117,2)</f>
        <v>4</v>
      </c>
      <c r="N1117" s="31" t="str">
        <f aca="false">IF(G1117&lt;=INDEX(Assumptions!$B$15:$B$18,MATCH(E1117,Assumptions!$A$15:$A$18,0)),"Yes","No")</f>
        <v>Yes</v>
      </c>
      <c r="O1117" s="31" t="str">
        <f aca="false">IF(H1117="","Open",IF(H1117&lt;=INDEX(Assumptions!$C$15:$C$18,MATCH(E1117,Assumptions!$A$15:$A$18,0)),"Yes","No"))</f>
        <v>Yes</v>
      </c>
    </row>
    <row r="1118" customFormat="false" ht="15" hidden="false" customHeight="false" outlineLevel="0" collapsed="false">
      <c r="A1118" s="31" t="s">
        <v>1268</v>
      </c>
      <c r="B1118" s="44" t="n">
        <v>46219</v>
      </c>
      <c r="C1118" s="31" t="s">
        <v>60</v>
      </c>
      <c r="D1118" s="31" t="s">
        <v>66</v>
      </c>
      <c r="E1118" s="31" t="s">
        <v>51</v>
      </c>
      <c r="F1118" s="31" t="s">
        <v>129</v>
      </c>
      <c r="G1118" s="31" t="n">
        <v>2</v>
      </c>
      <c r="H1118" s="41" t="n">
        <v>23.4</v>
      </c>
      <c r="I1118" s="31" t="s">
        <v>149</v>
      </c>
      <c r="J1118" s="31" t="n">
        <v>5</v>
      </c>
      <c r="K1118" s="31" t="s">
        <v>150</v>
      </c>
      <c r="L1118" s="45" t="n">
        <f aca="false">DATE(YEAR(B1118),MONTH(B1118),1)</f>
        <v>46204</v>
      </c>
      <c r="M1118" s="31" t="n">
        <f aca="false">WEEKDAY(B1118,2)</f>
        <v>4</v>
      </c>
      <c r="N1118" s="31" t="str">
        <f aca="false">IF(G1118&lt;=INDEX(Assumptions!$B$15:$B$18,MATCH(E1118,Assumptions!$A$15:$A$18,0)),"Yes","No")</f>
        <v>Yes</v>
      </c>
      <c r="O1118" s="31" t="str">
        <f aca="false">IF(H1118="","Open",IF(H1118&lt;=INDEX(Assumptions!$C$15:$C$18,MATCH(E1118,Assumptions!$A$15:$A$18,0)),"Yes","No"))</f>
        <v>Yes</v>
      </c>
    </row>
    <row r="1119" customFormat="false" ht="15" hidden="false" customHeight="false" outlineLevel="0" collapsed="false">
      <c r="A1119" s="31" t="s">
        <v>1269</v>
      </c>
      <c r="B1119" s="44" t="n">
        <v>46219</v>
      </c>
      <c r="C1119" s="31" t="s">
        <v>57</v>
      </c>
      <c r="D1119" s="31" t="s">
        <v>66</v>
      </c>
      <c r="E1119" s="31" t="s">
        <v>51</v>
      </c>
      <c r="F1119" s="31" t="s">
        <v>130</v>
      </c>
      <c r="G1119" s="31" t="n">
        <v>2</v>
      </c>
      <c r="H1119" s="41" t="n">
        <v>4.2</v>
      </c>
      <c r="I1119" s="31" t="s">
        <v>149</v>
      </c>
      <c r="J1119" s="31" t="n">
        <v>5</v>
      </c>
      <c r="K1119" s="31" t="s">
        <v>150</v>
      </c>
      <c r="L1119" s="45" t="n">
        <f aca="false">DATE(YEAR(B1119),MONTH(B1119),1)</f>
        <v>46204</v>
      </c>
      <c r="M1119" s="31" t="n">
        <f aca="false">WEEKDAY(B1119,2)</f>
        <v>4</v>
      </c>
      <c r="N1119" s="31" t="str">
        <f aca="false">IF(G1119&lt;=INDEX(Assumptions!$B$15:$B$18,MATCH(E1119,Assumptions!$A$15:$A$18,0)),"Yes","No")</f>
        <v>Yes</v>
      </c>
      <c r="O1119" s="31" t="str">
        <f aca="false">IF(H1119="","Open",IF(H1119&lt;=INDEX(Assumptions!$C$15:$C$18,MATCH(E1119,Assumptions!$A$15:$A$18,0)),"Yes","No"))</f>
        <v>Yes</v>
      </c>
    </row>
    <row r="1120" customFormat="false" ht="15" hidden="false" customHeight="false" outlineLevel="0" collapsed="false">
      <c r="A1120" s="31" t="s">
        <v>1270</v>
      </c>
      <c r="B1120" s="44" t="n">
        <v>46219</v>
      </c>
      <c r="C1120" s="31" t="s">
        <v>57</v>
      </c>
      <c r="D1120" s="31" t="s">
        <v>66</v>
      </c>
      <c r="E1120" s="31" t="s">
        <v>51</v>
      </c>
      <c r="F1120" s="31" t="s">
        <v>137</v>
      </c>
      <c r="G1120" s="31" t="n">
        <v>4</v>
      </c>
      <c r="H1120" s="41" t="n">
        <v>1.6</v>
      </c>
      <c r="I1120" s="31" t="s">
        <v>149</v>
      </c>
      <c r="J1120" s="31" t="n">
        <v>4</v>
      </c>
      <c r="K1120" s="31" t="s">
        <v>150</v>
      </c>
      <c r="L1120" s="45" t="n">
        <f aca="false">DATE(YEAR(B1120),MONTH(B1120),1)</f>
        <v>46204</v>
      </c>
      <c r="M1120" s="31" t="n">
        <f aca="false">WEEKDAY(B1120,2)</f>
        <v>4</v>
      </c>
      <c r="N1120" s="31" t="str">
        <f aca="false">IF(G1120&lt;=INDEX(Assumptions!$B$15:$B$18,MATCH(E1120,Assumptions!$A$15:$A$18,0)),"Yes","No")</f>
        <v>Yes</v>
      </c>
      <c r="O1120" s="31" t="str">
        <f aca="false">IF(H1120="","Open",IF(H1120&lt;=INDEX(Assumptions!$C$15:$C$18,MATCH(E1120,Assumptions!$A$15:$A$18,0)),"Yes","No"))</f>
        <v>Yes</v>
      </c>
    </row>
    <row r="1121" customFormat="false" ht="15" hidden="false" customHeight="false" outlineLevel="0" collapsed="false">
      <c r="A1121" s="31" t="s">
        <v>1271</v>
      </c>
      <c r="B1121" s="44" t="n">
        <v>46219</v>
      </c>
      <c r="C1121" s="31" t="s">
        <v>60</v>
      </c>
      <c r="D1121" s="31" t="s">
        <v>66</v>
      </c>
      <c r="E1121" s="31" t="s">
        <v>50</v>
      </c>
      <c r="F1121" s="31" t="s">
        <v>135</v>
      </c>
      <c r="G1121" s="31" t="n">
        <v>2</v>
      </c>
      <c r="H1121" s="41" t="n">
        <v>3.7</v>
      </c>
      <c r="I1121" s="31" t="s">
        <v>149</v>
      </c>
      <c r="J1121" s="31" t="n">
        <v>4</v>
      </c>
      <c r="K1121" s="31" t="s">
        <v>150</v>
      </c>
      <c r="L1121" s="45" t="n">
        <f aca="false">DATE(YEAR(B1121),MONTH(B1121),1)</f>
        <v>46204</v>
      </c>
      <c r="M1121" s="31" t="n">
        <f aca="false">WEEKDAY(B1121,2)</f>
        <v>4</v>
      </c>
      <c r="N1121" s="31" t="str">
        <f aca="false">IF(G1121&lt;=INDEX(Assumptions!$B$15:$B$18,MATCH(E1121,Assumptions!$A$15:$A$18,0)),"Yes","No")</f>
        <v>Yes</v>
      </c>
      <c r="O1121" s="31" t="str">
        <f aca="false">IF(H1121="","Open",IF(H1121&lt;=INDEX(Assumptions!$C$15:$C$18,MATCH(E1121,Assumptions!$A$15:$A$18,0)),"Yes","No"))</f>
        <v>Yes</v>
      </c>
    </row>
    <row r="1122" customFormat="false" ht="15" hidden="false" customHeight="false" outlineLevel="0" collapsed="false">
      <c r="A1122" s="31" t="s">
        <v>1272</v>
      </c>
      <c r="B1122" s="44" t="n">
        <v>46219</v>
      </c>
      <c r="C1122" s="31" t="s">
        <v>59</v>
      </c>
      <c r="D1122" s="31" t="s">
        <v>69</v>
      </c>
      <c r="E1122" s="31" t="s">
        <v>50</v>
      </c>
      <c r="F1122" s="31" t="s">
        <v>136</v>
      </c>
      <c r="G1122" s="31" t="n">
        <v>53</v>
      </c>
      <c r="H1122" s="41" t="n">
        <v>9.8</v>
      </c>
      <c r="I1122" s="31" t="s">
        <v>149</v>
      </c>
      <c r="J1122" s="31"/>
      <c r="K1122" s="31" t="s">
        <v>150</v>
      </c>
      <c r="L1122" s="45" t="n">
        <f aca="false">DATE(YEAR(B1122),MONTH(B1122),1)</f>
        <v>46204</v>
      </c>
      <c r="M1122" s="31" t="n">
        <f aca="false">WEEKDAY(B1122,2)</f>
        <v>4</v>
      </c>
      <c r="N1122" s="31" t="str">
        <f aca="false">IF(G1122&lt;=INDEX(Assumptions!$B$15:$B$18,MATCH(E1122,Assumptions!$A$15:$A$18,0)),"Yes","No")</f>
        <v>No</v>
      </c>
      <c r="O1122" s="31" t="str">
        <f aca="false">IF(H1122="","Open",IF(H1122&lt;=INDEX(Assumptions!$C$15:$C$18,MATCH(E1122,Assumptions!$A$15:$A$18,0)),"Yes","No"))</f>
        <v>No</v>
      </c>
    </row>
    <row r="1123" customFormat="false" ht="15" hidden="false" customHeight="false" outlineLevel="0" collapsed="false">
      <c r="A1123" s="31" t="s">
        <v>1273</v>
      </c>
      <c r="B1123" s="44" t="n">
        <v>46219</v>
      </c>
      <c r="C1123" s="31" t="s">
        <v>59</v>
      </c>
      <c r="D1123" s="31" t="s">
        <v>66</v>
      </c>
      <c r="E1123" s="31" t="s">
        <v>52</v>
      </c>
      <c r="F1123" s="31" t="s">
        <v>133</v>
      </c>
      <c r="G1123" s="31" t="n">
        <v>55</v>
      </c>
      <c r="H1123" s="41" t="n">
        <v>3.9</v>
      </c>
      <c r="I1123" s="31" t="s">
        <v>149</v>
      </c>
      <c r="J1123" s="31"/>
      <c r="K1123" s="31" t="s">
        <v>150</v>
      </c>
      <c r="L1123" s="45" t="n">
        <f aca="false">DATE(YEAR(B1123),MONTH(B1123),1)</f>
        <v>46204</v>
      </c>
      <c r="M1123" s="31" t="n">
        <f aca="false">WEEKDAY(B1123,2)</f>
        <v>4</v>
      </c>
      <c r="N1123" s="31" t="str">
        <f aca="false">IF(G1123&lt;=INDEX(Assumptions!$B$15:$B$18,MATCH(E1123,Assumptions!$A$15:$A$18,0)),"Yes","No")</f>
        <v>Yes</v>
      </c>
      <c r="O1123" s="31" t="str">
        <f aca="false">IF(H1123="","Open",IF(H1123&lt;=INDEX(Assumptions!$C$15:$C$18,MATCH(E1123,Assumptions!$A$15:$A$18,0)),"Yes","No"))</f>
        <v>Yes</v>
      </c>
    </row>
    <row r="1124" customFormat="false" ht="15" hidden="false" customHeight="false" outlineLevel="0" collapsed="false">
      <c r="A1124" s="31" t="s">
        <v>1274</v>
      </c>
      <c r="B1124" s="44" t="n">
        <v>46219</v>
      </c>
      <c r="C1124" s="31" t="s">
        <v>57</v>
      </c>
      <c r="D1124" s="31" t="s">
        <v>69</v>
      </c>
      <c r="E1124" s="31" t="s">
        <v>52</v>
      </c>
      <c r="F1124" s="31" t="s">
        <v>133</v>
      </c>
      <c r="G1124" s="31" t="n">
        <v>7</v>
      </c>
      <c r="H1124" s="41" t="n">
        <v>117.4</v>
      </c>
      <c r="I1124" s="31" t="s">
        <v>149</v>
      </c>
      <c r="J1124" s="31"/>
      <c r="K1124" s="31" t="s">
        <v>150</v>
      </c>
      <c r="L1124" s="45" t="n">
        <f aca="false">DATE(YEAR(B1124),MONTH(B1124),1)</f>
        <v>46204</v>
      </c>
      <c r="M1124" s="31" t="n">
        <f aca="false">WEEKDAY(B1124,2)</f>
        <v>4</v>
      </c>
      <c r="N1124" s="31" t="str">
        <f aca="false">IF(G1124&lt;=INDEX(Assumptions!$B$15:$B$18,MATCH(E1124,Assumptions!$A$15:$A$18,0)),"Yes","No")</f>
        <v>Yes</v>
      </c>
      <c r="O1124" s="31" t="str">
        <f aca="false">IF(H1124="","Open",IF(H1124&lt;=INDEX(Assumptions!$C$15:$C$18,MATCH(E1124,Assumptions!$A$15:$A$18,0)),"Yes","No"))</f>
        <v>No</v>
      </c>
    </row>
    <row r="1125" customFormat="false" ht="15" hidden="false" customHeight="false" outlineLevel="0" collapsed="false">
      <c r="A1125" s="31" t="s">
        <v>1275</v>
      </c>
      <c r="B1125" s="44" t="n">
        <v>46219</v>
      </c>
      <c r="C1125" s="31" t="s">
        <v>58</v>
      </c>
      <c r="D1125" s="31" t="s">
        <v>67</v>
      </c>
      <c r="E1125" s="31" t="s">
        <v>51</v>
      </c>
      <c r="F1125" s="31" t="s">
        <v>131</v>
      </c>
      <c r="G1125" s="31" t="n">
        <v>29</v>
      </c>
      <c r="H1125" s="41" t="n">
        <v>10.3</v>
      </c>
      <c r="I1125" s="31" t="s">
        <v>149</v>
      </c>
      <c r="J1125" s="31"/>
      <c r="K1125" s="31" t="s">
        <v>150</v>
      </c>
      <c r="L1125" s="45" t="n">
        <f aca="false">DATE(YEAR(B1125),MONTH(B1125),1)</f>
        <v>46204</v>
      </c>
      <c r="M1125" s="31" t="n">
        <f aca="false">WEEKDAY(B1125,2)</f>
        <v>4</v>
      </c>
      <c r="N1125" s="31" t="str">
        <f aca="false">IF(G1125&lt;=INDEX(Assumptions!$B$15:$B$18,MATCH(E1125,Assumptions!$A$15:$A$18,0)),"Yes","No")</f>
        <v>Yes</v>
      </c>
      <c r="O1125" s="31" t="str">
        <f aca="false">IF(H1125="","Open",IF(H1125&lt;=INDEX(Assumptions!$C$15:$C$18,MATCH(E1125,Assumptions!$A$15:$A$18,0)),"Yes","No"))</f>
        <v>Yes</v>
      </c>
    </row>
    <row r="1126" customFormat="false" ht="15" hidden="false" customHeight="false" outlineLevel="0" collapsed="false">
      <c r="A1126" s="31" t="s">
        <v>1276</v>
      </c>
      <c r="B1126" s="44" t="n">
        <v>46219</v>
      </c>
      <c r="C1126" s="31" t="s">
        <v>57</v>
      </c>
      <c r="D1126" s="31" t="s">
        <v>66</v>
      </c>
      <c r="E1126" s="31" t="s">
        <v>50</v>
      </c>
      <c r="F1126" s="31" t="s">
        <v>133</v>
      </c>
      <c r="G1126" s="31" t="n">
        <v>1</v>
      </c>
      <c r="H1126" s="41" t="n">
        <v>1.3</v>
      </c>
      <c r="I1126" s="31" t="s">
        <v>149</v>
      </c>
      <c r="J1126" s="31"/>
      <c r="K1126" s="31" t="s">
        <v>150</v>
      </c>
      <c r="L1126" s="45" t="n">
        <f aca="false">DATE(YEAR(B1126),MONTH(B1126),1)</f>
        <v>46204</v>
      </c>
      <c r="M1126" s="31" t="n">
        <f aca="false">WEEKDAY(B1126,2)</f>
        <v>4</v>
      </c>
      <c r="N1126" s="31" t="str">
        <f aca="false">IF(G1126&lt;=INDEX(Assumptions!$B$15:$B$18,MATCH(E1126,Assumptions!$A$15:$A$18,0)),"Yes","No")</f>
        <v>Yes</v>
      </c>
      <c r="O1126" s="31" t="str">
        <f aca="false">IF(H1126="","Open",IF(H1126&lt;=INDEX(Assumptions!$C$15:$C$18,MATCH(E1126,Assumptions!$A$15:$A$18,0)),"Yes","No"))</f>
        <v>Yes</v>
      </c>
    </row>
    <row r="1127" customFormat="false" ht="15" hidden="false" customHeight="false" outlineLevel="0" collapsed="false">
      <c r="A1127" s="31" t="s">
        <v>1277</v>
      </c>
      <c r="B1127" s="44" t="n">
        <v>46219</v>
      </c>
      <c r="C1127" s="31" t="s">
        <v>58</v>
      </c>
      <c r="D1127" s="31" t="s">
        <v>65</v>
      </c>
      <c r="E1127" s="31" t="s">
        <v>52</v>
      </c>
      <c r="F1127" s="31" t="s">
        <v>136</v>
      </c>
      <c r="G1127" s="31" t="n">
        <v>16</v>
      </c>
      <c r="H1127" s="41" t="n">
        <v>5.6</v>
      </c>
      <c r="I1127" s="31" t="s">
        <v>149</v>
      </c>
      <c r="J1127" s="31" t="n">
        <v>5</v>
      </c>
      <c r="K1127" s="31" t="s">
        <v>150</v>
      </c>
      <c r="L1127" s="45" t="n">
        <f aca="false">DATE(YEAR(B1127),MONTH(B1127),1)</f>
        <v>46204</v>
      </c>
      <c r="M1127" s="31" t="n">
        <f aca="false">WEEKDAY(B1127,2)</f>
        <v>4</v>
      </c>
      <c r="N1127" s="31" t="str">
        <f aca="false">IF(G1127&lt;=INDEX(Assumptions!$B$15:$B$18,MATCH(E1127,Assumptions!$A$15:$A$18,0)),"Yes","No")</f>
        <v>Yes</v>
      </c>
      <c r="O1127" s="31" t="str">
        <f aca="false">IF(H1127="","Open",IF(H1127&lt;=INDEX(Assumptions!$C$15:$C$18,MATCH(E1127,Assumptions!$A$15:$A$18,0)),"Yes","No"))</f>
        <v>Yes</v>
      </c>
    </row>
    <row r="1128" customFormat="false" ht="15" hidden="false" customHeight="false" outlineLevel="0" collapsed="false">
      <c r="A1128" s="31" t="s">
        <v>1278</v>
      </c>
      <c r="B1128" s="44" t="n">
        <v>46219</v>
      </c>
      <c r="C1128" s="31" t="s">
        <v>58</v>
      </c>
      <c r="D1128" s="31" t="s">
        <v>67</v>
      </c>
      <c r="E1128" s="31" t="s">
        <v>50</v>
      </c>
      <c r="F1128" s="31" t="s">
        <v>130</v>
      </c>
      <c r="G1128" s="31" t="n">
        <v>5</v>
      </c>
      <c r="H1128" s="41" t="n">
        <v>1.8</v>
      </c>
      <c r="I1128" s="31" t="s">
        <v>149</v>
      </c>
      <c r="J1128" s="31" t="n">
        <v>4</v>
      </c>
      <c r="K1128" s="31" t="s">
        <v>150</v>
      </c>
      <c r="L1128" s="45" t="n">
        <f aca="false">DATE(YEAR(B1128),MONTH(B1128),1)</f>
        <v>46204</v>
      </c>
      <c r="M1128" s="31" t="n">
        <f aca="false">WEEKDAY(B1128,2)</f>
        <v>4</v>
      </c>
      <c r="N1128" s="31" t="str">
        <f aca="false">IF(G1128&lt;=INDEX(Assumptions!$B$15:$B$18,MATCH(E1128,Assumptions!$A$15:$A$18,0)),"Yes","No")</f>
        <v>Yes</v>
      </c>
      <c r="O1128" s="31" t="str">
        <f aca="false">IF(H1128="","Open",IF(H1128&lt;=INDEX(Assumptions!$C$15:$C$18,MATCH(E1128,Assumptions!$A$15:$A$18,0)),"Yes","No"))</f>
        <v>Yes</v>
      </c>
    </row>
    <row r="1129" customFormat="false" ht="15" hidden="false" customHeight="false" outlineLevel="0" collapsed="false">
      <c r="A1129" s="31" t="s">
        <v>1279</v>
      </c>
      <c r="B1129" s="44" t="n">
        <v>46219</v>
      </c>
      <c r="C1129" s="31" t="s">
        <v>60</v>
      </c>
      <c r="D1129" s="31" t="s">
        <v>69</v>
      </c>
      <c r="E1129" s="31" t="s">
        <v>51</v>
      </c>
      <c r="F1129" s="31" t="s">
        <v>117</v>
      </c>
      <c r="G1129" s="31" t="n">
        <v>4</v>
      </c>
      <c r="H1129" s="41" t="n">
        <v>27.4</v>
      </c>
      <c r="I1129" s="31" t="s">
        <v>149</v>
      </c>
      <c r="J1129" s="31" t="n">
        <v>4</v>
      </c>
      <c r="K1129" s="31" t="s">
        <v>150</v>
      </c>
      <c r="L1129" s="45" t="n">
        <f aca="false">DATE(YEAR(B1129),MONTH(B1129),1)</f>
        <v>46204</v>
      </c>
      <c r="M1129" s="31" t="n">
        <f aca="false">WEEKDAY(B1129,2)</f>
        <v>4</v>
      </c>
      <c r="N1129" s="31" t="str">
        <f aca="false">IF(G1129&lt;=INDEX(Assumptions!$B$15:$B$18,MATCH(E1129,Assumptions!$A$15:$A$18,0)),"Yes","No")</f>
        <v>Yes</v>
      </c>
      <c r="O1129" s="31" t="str">
        <f aca="false">IF(H1129="","Open",IF(H1129&lt;=INDEX(Assumptions!$C$15:$C$18,MATCH(E1129,Assumptions!$A$15:$A$18,0)),"Yes","No"))</f>
        <v>No</v>
      </c>
    </row>
    <row r="1130" customFormat="false" ht="15" hidden="false" customHeight="false" outlineLevel="0" collapsed="false">
      <c r="A1130" s="31" t="s">
        <v>1280</v>
      </c>
      <c r="B1130" s="44" t="n">
        <v>46219</v>
      </c>
      <c r="C1130" s="31" t="s">
        <v>60</v>
      </c>
      <c r="D1130" s="31" t="s">
        <v>66</v>
      </c>
      <c r="E1130" s="31" t="s">
        <v>51</v>
      </c>
      <c r="F1130" s="31" t="s">
        <v>134</v>
      </c>
      <c r="G1130" s="31" t="n">
        <v>1</v>
      </c>
      <c r="H1130" s="41" t="n">
        <v>17.7</v>
      </c>
      <c r="I1130" s="31" t="s">
        <v>149</v>
      </c>
      <c r="J1130" s="31"/>
      <c r="K1130" s="31" t="s">
        <v>150</v>
      </c>
      <c r="L1130" s="45" t="n">
        <f aca="false">DATE(YEAR(B1130),MONTH(B1130),1)</f>
        <v>46204</v>
      </c>
      <c r="M1130" s="31" t="n">
        <f aca="false">WEEKDAY(B1130,2)</f>
        <v>4</v>
      </c>
      <c r="N1130" s="31" t="str">
        <f aca="false">IF(G1130&lt;=INDEX(Assumptions!$B$15:$B$18,MATCH(E1130,Assumptions!$A$15:$A$18,0)),"Yes","No")</f>
        <v>Yes</v>
      </c>
      <c r="O1130" s="31" t="str">
        <f aca="false">IF(H1130="","Open",IF(H1130&lt;=INDEX(Assumptions!$C$15:$C$18,MATCH(E1130,Assumptions!$A$15:$A$18,0)),"Yes","No"))</f>
        <v>Yes</v>
      </c>
    </row>
    <row r="1131" customFormat="false" ht="15" hidden="false" customHeight="false" outlineLevel="0" collapsed="false">
      <c r="A1131" s="31" t="s">
        <v>1281</v>
      </c>
      <c r="B1131" s="44" t="n">
        <v>46219</v>
      </c>
      <c r="C1131" s="31" t="s">
        <v>57</v>
      </c>
      <c r="D1131" s="31" t="s">
        <v>66</v>
      </c>
      <c r="E1131" s="31" t="s">
        <v>50</v>
      </c>
      <c r="F1131" s="31" t="s">
        <v>136</v>
      </c>
      <c r="G1131" s="31" t="n">
        <v>3</v>
      </c>
      <c r="H1131" s="41" t="n">
        <v>13.9</v>
      </c>
      <c r="I1131" s="31" t="s">
        <v>64</v>
      </c>
      <c r="J1131" s="31" t="n">
        <v>2</v>
      </c>
      <c r="K1131" s="31" t="s">
        <v>150</v>
      </c>
      <c r="L1131" s="45" t="n">
        <f aca="false">DATE(YEAR(B1131),MONTH(B1131),1)</f>
        <v>46204</v>
      </c>
      <c r="M1131" s="31" t="n">
        <f aca="false">WEEKDAY(B1131,2)</f>
        <v>4</v>
      </c>
      <c r="N1131" s="31" t="str">
        <f aca="false">IF(G1131&lt;=INDEX(Assumptions!$B$15:$B$18,MATCH(E1131,Assumptions!$A$15:$A$18,0)),"Yes","No")</f>
        <v>Yes</v>
      </c>
      <c r="O1131" s="31" t="str">
        <f aca="false">IF(H1131="","Open",IF(H1131&lt;=INDEX(Assumptions!$C$15:$C$18,MATCH(E1131,Assumptions!$A$15:$A$18,0)),"Yes","No"))</f>
        <v>No</v>
      </c>
    </row>
    <row r="1132" customFormat="false" ht="15" hidden="false" customHeight="false" outlineLevel="0" collapsed="false">
      <c r="A1132" s="31" t="s">
        <v>1282</v>
      </c>
      <c r="B1132" s="44" t="n">
        <v>46219</v>
      </c>
      <c r="C1132" s="31" t="s">
        <v>57</v>
      </c>
      <c r="D1132" s="31" t="s">
        <v>68</v>
      </c>
      <c r="E1132" s="31" t="s">
        <v>51</v>
      </c>
      <c r="F1132" s="31" t="s">
        <v>129</v>
      </c>
      <c r="G1132" s="31" t="n">
        <v>8</v>
      </c>
      <c r="H1132" s="41" t="n">
        <v>3.5</v>
      </c>
      <c r="I1132" s="31" t="s">
        <v>149</v>
      </c>
      <c r="J1132" s="31" t="n">
        <v>5</v>
      </c>
      <c r="K1132" s="31" t="s">
        <v>150</v>
      </c>
      <c r="L1132" s="45" t="n">
        <f aca="false">DATE(YEAR(B1132),MONTH(B1132),1)</f>
        <v>46204</v>
      </c>
      <c r="M1132" s="31" t="n">
        <f aca="false">WEEKDAY(B1132,2)</f>
        <v>4</v>
      </c>
      <c r="N1132" s="31" t="str">
        <f aca="false">IF(G1132&lt;=INDEX(Assumptions!$B$15:$B$18,MATCH(E1132,Assumptions!$A$15:$A$18,0)),"Yes","No")</f>
        <v>Yes</v>
      </c>
      <c r="O1132" s="31" t="str">
        <f aca="false">IF(H1132="","Open",IF(H1132&lt;=INDEX(Assumptions!$C$15:$C$18,MATCH(E1132,Assumptions!$A$15:$A$18,0)),"Yes","No"))</f>
        <v>Yes</v>
      </c>
    </row>
    <row r="1133" customFormat="false" ht="15" hidden="false" customHeight="false" outlineLevel="0" collapsed="false">
      <c r="A1133" s="31" t="s">
        <v>1283</v>
      </c>
      <c r="B1133" s="44" t="n">
        <v>46219</v>
      </c>
      <c r="C1133" s="31" t="s">
        <v>58</v>
      </c>
      <c r="D1133" s="31" t="s">
        <v>68</v>
      </c>
      <c r="E1133" s="31" t="s">
        <v>49</v>
      </c>
      <c r="F1133" s="31" t="s">
        <v>134</v>
      </c>
      <c r="G1133" s="31" t="n">
        <v>8</v>
      </c>
      <c r="H1133" s="41" t="n">
        <v>3.1</v>
      </c>
      <c r="I1133" s="31" t="s">
        <v>149</v>
      </c>
      <c r="J1133" s="31" t="n">
        <v>5</v>
      </c>
      <c r="K1133" s="31" t="s">
        <v>150</v>
      </c>
      <c r="L1133" s="45" t="n">
        <f aca="false">DATE(YEAR(B1133),MONTH(B1133),1)</f>
        <v>46204</v>
      </c>
      <c r="M1133" s="31" t="n">
        <f aca="false">WEEKDAY(B1133,2)</f>
        <v>4</v>
      </c>
      <c r="N1133" s="31" t="str">
        <f aca="false">IF(G1133&lt;=INDEX(Assumptions!$B$15:$B$18,MATCH(E1133,Assumptions!$A$15:$A$18,0)),"Yes","No")</f>
        <v>Yes</v>
      </c>
      <c r="O1133" s="31" t="str">
        <f aca="false">IF(H1133="","Open",IF(H1133&lt;=INDEX(Assumptions!$C$15:$C$18,MATCH(E1133,Assumptions!$A$15:$A$18,0)),"Yes","No"))</f>
        <v>Yes</v>
      </c>
    </row>
    <row r="1134" customFormat="false" ht="15" hidden="false" customHeight="false" outlineLevel="0" collapsed="false">
      <c r="A1134" s="31" t="s">
        <v>1284</v>
      </c>
      <c r="B1134" s="44" t="n">
        <v>46219</v>
      </c>
      <c r="C1134" s="31" t="s">
        <v>57</v>
      </c>
      <c r="D1134" s="31" t="s">
        <v>65</v>
      </c>
      <c r="E1134" s="31" t="s">
        <v>50</v>
      </c>
      <c r="F1134" s="31" t="s">
        <v>117</v>
      </c>
      <c r="G1134" s="31" t="n">
        <v>3</v>
      </c>
      <c r="H1134" s="41" t="n">
        <v>18.9</v>
      </c>
      <c r="I1134" s="31" t="s">
        <v>64</v>
      </c>
      <c r="J1134" s="31"/>
      <c r="K1134" s="31" t="s">
        <v>150</v>
      </c>
      <c r="L1134" s="45" t="n">
        <f aca="false">DATE(YEAR(B1134),MONTH(B1134),1)</f>
        <v>46204</v>
      </c>
      <c r="M1134" s="31" t="n">
        <f aca="false">WEEKDAY(B1134,2)</f>
        <v>4</v>
      </c>
      <c r="N1134" s="31" t="str">
        <f aca="false">IF(G1134&lt;=INDEX(Assumptions!$B$15:$B$18,MATCH(E1134,Assumptions!$A$15:$A$18,0)),"Yes","No")</f>
        <v>Yes</v>
      </c>
      <c r="O1134" s="31" t="str">
        <f aca="false">IF(H1134="","Open",IF(H1134&lt;=INDEX(Assumptions!$C$15:$C$18,MATCH(E1134,Assumptions!$A$15:$A$18,0)),"Yes","No"))</f>
        <v>No</v>
      </c>
    </row>
    <row r="1135" customFormat="false" ht="15" hidden="false" customHeight="false" outlineLevel="0" collapsed="false">
      <c r="A1135" s="31" t="s">
        <v>1285</v>
      </c>
      <c r="B1135" s="44" t="n">
        <v>46219</v>
      </c>
      <c r="C1135" s="31" t="s">
        <v>60</v>
      </c>
      <c r="D1135" s="31" t="s">
        <v>67</v>
      </c>
      <c r="E1135" s="31" t="s">
        <v>51</v>
      </c>
      <c r="F1135" s="31" t="s">
        <v>130</v>
      </c>
      <c r="G1135" s="31" t="n">
        <v>2</v>
      </c>
      <c r="H1135" s="41" t="n">
        <v>17.6</v>
      </c>
      <c r="I1135" s="31" t="s">
        <v>149</v>
      </c>
      <c r="J1135" s="31" t="n">
        <v>3</v>
      </c>
      <c r="K1135" s="31" t="s">
        <v>150</v>
      </c>
      <c r="L1135" s="45" t="n">
        <f aca="false">DATE(YEAR(B1135),MONTH(B1135),1)</f>
        <v>46204</v>
      </c>
      <c r="M1135" s="31" t="n">
        <f aca="false">WEEKDAY(B1135,2)</f>
        <v>4</v>
      </c>
      <c r="N1135" s="31" t="str">
        <f aca="false">IF(G1135&lt;=INDEX(Assumptions!$B$15:$B$18,MATCH(E1135,Assumptions!$A$15:$A$18,0)),"Yes","No")</f>
        <v>Yes</v>
      </c>
      <c r="O1135" s="31" t="str">
        <f aca="false">IF(H1135="","Open",IF(H1135&lt;=INDEX(Assumptions!$C$15:$C$18,MATCH(E1135,Assumptions!$A$15:$A$18,0)),"Yes","No"))</f>
        <v>Yes</v>
      </c>
    </row>
    <row r="1136" customFormat="false" ht="15" hidden="false" customHeight="false" outlineLevel="0" collapsed="false">
      <c r="A1136" s="31" t="s">
        <v>1286</v>
      </c>
      <c r="B1136" s="44" t="n">
        <v>46219</v>
      </c>
      <c r="C1136" s="31" t="s">
        <v>57</v>
      </c>
      <c r="D1136" s="31" t="s">
        <v>68</v>
      </c>
      <c r="E1136" s="31" t="s">
        <v>51</v>
      </c>
      <c r="F1136" s="31" t="s">
        <v>136</v>
      </c>
      <c r="G1136" s="31" t="n">
        <v>13</v>
      </c>
      <c r="H1136" s="41" t="n">
        <v>1.4</v>
      </c>
      <c r="I1136" s="31" t="s">
        <v>149</v>
      </c>
      <c r="J1136" s="31" t="n">
        <v>4</v>
      </c>
      <c r="K1136" s="31" t="s">
        <v>150</v>
      </c>
      <c r="L1136" s="45" t="n">
        <f aca="false">DATE(YEAR(B1136),MONTH(B1136),1)</f>
        <v>46204</v>
      </c>
      <c r="M1136" s="31" t="n">
        <f aca="false">WEEKDAY(B1136,2)</f>
        <v>4</v>
      </c>
      <c r="N1136" s="31" t="str">
        <f aca="false">IF(G1136&lt;=INDEX(Assumptions!$B$15:$B$18,MATCH(E1136,Assumptions!$A$15:$A$18,0)),"Yes","No")</f>
        <v>Yes</v>
      </c>
      <c r="O1136" s="31" t="str">
        <f aca="false">IF(H1136="","Open",IF(H1136&lt;=INDEX(Assumptions!$C$15:$C$18,MATCH(E1136,Assumptions!$A$15:$A$18,0)),"Yes","No"))</f>
        <v>Yes</v>
      </c>
    </row>
    <row r="1137" customFormat="false" ht="15" hidden="false" customHeight="false" outlineLevel="0" collapsed="false">
      <c r="A1137" s="31" t="s">
        <v>1287</v>
      </c>
      <c r="B1137" s="44" t="n">
        <v>46219</v>
      </c>
      <c r="C1137" s="31" t="s">
        <v>59</v>
      </c>
      <c r="D1137" s="31" t="s">
        <v>67</v>
      </c>
      <c r="E1137" s="31" t="s">
        <v>52</v>
      </c>
      <c r="F1137" s="31" t="s">
        <v>124</v>
      </c>
      <c r="G1137" s="31" t="n">
        <v>81</v>
      </c>
      <c r="H1137" s="41" t="n">
        <v>15.1</v>
      </c>
      <c r="I1137" s="31" t="s">
        <v>149</v>
      </c>
      <c r="J1137" s="31" t="n">
        <v>5</v>
      </c>
      <c r="K1137" s="31" t="s">
        <v>150</v>
      </c>
      <c r="L1137" s="45" t="n">
        <f aca="false">DATE(YEAR(B1137),MONTH(B1137),1)</f>
        <v>46204</v>
      </c>
      <c r="M1137" s="31" t="n">
        <f aca="false">WEEKDAY(B1137,2)</f>
        <v>4</v>
      </c>
      <c r="N1137" s="31" t="str">
        <f aca="false">IF(G1137&lt;=INDEX(Assumptions!$B$15:$B$18,MATCH(E1137,Assumptions!$A$15:$A$18,0)),"Yes","No")</f>
        <v>Yes</v>
      </c>
      <c r="O1137" s="31" t="str">
        <f aca="false">IF(H1137="","Open",IF(H1137&lt;=INDEX(Assumptions!$C$15:$C$18,MATCH(E1137,Assumptions!$A$15:$A$18,0)),"Yes","No"))</f>
        <v>Yes</v>
      </c>
    </row>
    <row r="1138" customFormat="false" ht="15" hidden="false" customHeight="false" outlineLevel="0" collapsed="false">
      <c r="A1138" s="31" t="s">
        <v>1288</v>
      </c>
      <c r="B1138" s="44" t="n">
        <v>46219</v>
      </c>
      <c r="C1138" s="31" t="s">
        <v>57</v>
      </c>
      <c r="D1138" s="31" t="s">
        <v>68</v>
      </c>
      <c r="E1138" s="31" t="s">
        <v>50</v>
      </c>
      <c r="F1138" s="31" t="s">
        <v>133</v>
      </c>
      <c r="G1138" s="31" t="n">
        <v>3</v>
      </c>
      <c r="H1138" s="41" t="n">
        <v>5.7</v>
      </c>
      <c r="I1138" s="31" t="s">
        <v>149</v>
      </c>
      <c r="J1138" s="31" t="n">
        <v>5</v>
      </c>
      <c r="K1138" s="31" t="s">
        <v>150</v>
      </c>
      <c r="L1138" s="45" t="n">
        <f aca="false">DATE(YEAR(B1138),MONTH(B1138),1)</f>
        <v>46204</v>
      </c>
      <c r="M1138" s="31" t="n">
        <f aca="false">WEEKDAY(B1138,2)</f>
        <v>4</v>
      </c>
      <c r="N1138" s="31" t="str">
        <f aca="false">IF(G1138&lt;=INDEX(Assumptions!$B$15:$B$18,MATCH(E1138,Assumptions!$A$15:$A$18,0)),"Yes","No")</f>
        <v>Yes</v>
      </c>
      <c r="O1138" s="31" t="str">
        <f aca="false">IF(H1138="","Open",IF(H1138&lt;=INDEX(Assumptions!$C$15:$C$18,MATCH(E1138,Assumptions!$A$15:$A$18,0)),"Yes","No"))</f>
        <v>Yes</v>
      </c>
    </row>
    <row r="1139" customFormat="false" ht="15" hidden="false" customHeight="false" outlineLevel="0" collapsed="false">
      <c r="A1139" s="31" t="s">
        <v>1289</v>
      </c>
      <c r="B1139" s="44" t="n">
        <v>46219</v>
      </c>
      <c r="C1139" s="31" t="s">
        <v>58</v>
      </c>
      <c r="D1139" s="31" t="s">
        <v>69</v>
      </c>
      <c r="E1139" s="31" t="s">
        <v>51</v>
      </c>
      <c r="F1139" s="31" t="s">
        <v>121</v>
      </c>
      <c r="G1139" s="31" t="n">
        <v>16</v>
      </c>
      <c r="H1139" s="41" t="n">
        <v>23.3</v>
      </c>
      <c r="I1139" s="31" t="s">
        <v>149</v>
      </c>
      <c r="J1139" s="31" t="n">
        <v>4</v>
      </c>
      <c r="K1139" s="31" t="s">
        <v>150</v>
      </c>
      <c r="L1139" s="45" t="n">
        <f aca="false">DATE(YEAR(B1139),MONTH(B1139),1)</f>
        <v>46204</v>
      </c>
      <c r="M1139" s="31" t="n">
        <f aca="false">WEEKDAY(B1139,2)</f>
        <v>4</v>
      </c>
      <c r="N1139" s="31" t="str">
        <f aca="false">IF(G1139&lt;=INDEX(Assumptions!$B$15:$B$18,MATCH(E1139,Assumptions!$A$15:$A$18,0)),"Yes","No")</f>
        <v>Yes</v>
      </c>
      <c r="O1139" s="31" t="str">
        <f aca="false">IF(H1139="","Open",IF(H1139&lt;=INDEX(Assumptions!$C$15:$C$18,MATCH(E1139,Assumptions!$A$15:$A$18,0)),"Yes","No"))</f>
        <v>Yes</v>
      </c>
    </row>
    <row r="1140" customFormat="false" ht="15" hidden="false" customHeight="false" outlineLevel="0" collapsed="false">
      <c r="A1140" s="31" t="s">
        <v>1290</v>
      </c>
      <c r="B1140" s="44" t="n">
        <v>46219</v>
      </c>
      <c r="C1140" s="31" t="s">
        <v>57</v>
      </c>
      <c r="D1140" s="31" t="s">
        <v>66</v>
      </c>
      <c r="E1140" s="31" t="s">
        <v>50</v>
      </c>
      <c r="F1140" s="31" t="s">
        <v>130</v>
      </c>
      <c r="G1140" s="31" t="n">
        <v>1</v>
      </c>
      <c r="H1140" s="41" t="n">
        <v>9.7</v>
      </c>
      <c r="I1140" s="31" t="s">
        <v>149</v>
      </c>
      <c r="J1140" s="31"/>
      <c r="K1140" s="31" t="s">
        <v>150</v>
      </c>
      <c r="L1140" s="45" t="n">
        <f aca="false">DATE(YEAR(B1140),MONTH(B1140),1)</f>
        <v>46204</v>
      </c>
      <c r="M1140" s="31" t="n">
        <f aca="false">WEEKDAY(B1140,2)</f>
        <v>4</v>
      </c>
      <c r="N1140" s="31" t="str">
        <f aca="false">IF(G1140&lt;=INDEX(Assumptions!$B$15:$B$18,MATCH(E1140,Assumptions!$A$15:$A$18,0)),"Yes","No")</f>
        <v>Yes</v>
      </c>
      <c r="O1140" s="31" t="str">
        <f aca="false">IF(H1140="","Open",IF(H1140&lt;=INDEX(Assumptions!$C$15:$C$18,MATCH(E1140,Assumptions!$A$15:$A$18,0)),"Yes","No"))</f>
        <v>No</v>
      </c>
    </row>
    <row r="1141" customFormat="false" ht="15" hidden="false" customHeight="false" outlineLevel="0" collapsed="false">
      <c r="A1141" s="31" t="s">
        <v>1291</v>
      </c>
      <c r="B1141" s="44" t="n">
        <v>46219</v>
      </c>
      <c r="C1141" s="31" t="s">
        <v>59</v>
      </c>
      <c r="D1141" s="31" t="s">
        <v>66</v>
      </c>
      <c r="E1141" s="31" t="s">
        <v>51</v>
      </c>
      <c r="F1141" s="31" t="s">
        <v>119</v>
      </c>
      <c r="G1141" s="31" t="n">
        <v>76</v>
      </c>
      <c r="H1141" s="41" t="n">
        <v>3</v>
      </c>
      <c r="I1141" s="31" t="s">
        <v>149</v>
      </c>
      <c r="J1141" s="31"/>
      <c r="K1141" s="31" t="s">
        <v>150</v>
      </c>
      <c r="L1141" s="45" t="n">
        <f aca="false">DATE(YEAR(B1141),MONTH(B1141),1)</f>
        <v>46204</v>
      </c>
      <c r="M1141" s="31" t="n">
        <f aca="false">WEEKDAY(B1141,2)</f>
        <v>4</v>
      </c>
      <c r="N1141" s="31" t="str">
        <f aca="false">IF(G1141&lt;=INDEX(Assumptions!$B$15:$B$18,MATCH(E1141,Assumptions!$A$15:$A$18,0)),"Yes","No")</f>
        <v>No</v>
      </c>
      <c r="O1141" s="31" t="str">
        <f aca="false">IF(H1141="","Open",IF(H1141&lt;=INDEX(Assumptions!$C$15:$C$18,MATCH(E1141,Assumptions!$A$15:$A$18,0)),"Yes","No"))</f>
        <v>Yes</v>
      </c>
    </row>
    <row r="1142" customFormat="false" ht="15" hidden="false" customHeight="false" outlineLevel="0" collapsed="false">
      <c r="A1142" s="31" t="s">
        <v>1292</v>
      </c>
      <c r="B1142" s="44" t="n">
        <v>46219</v>
      </c>
      <c r="C1142" s="31" t="s">
        <v>60</v>
      </c>
      <c r="D1142" s="31" t="s">
        <v>68</v>
      </c>
      <c r="E1142" s="31" t="s">
        <v>52</v>
      </c>
      <c r="F1142" s="31" t="s">
        <v>133</v>
      </c>
      <c r="G1142" s="31" t="n">
        <v>3</v>
      </c>
      <c r="H1142" s="41" t="n">
        <v>4.2</v>
      </c>
      <c r="I1142" s="31" t="s">
        <v>149</v>
      </c>
      <c r="J1142" s="31" t="n">
        <v>5</v>
      </c>
      <c r="K1142" s="31" t="s">
        <v>150</v>
      </c>
      <c r="L1142" s="45" t="n">
        <f aca="false">DATE(YEAR(B1142),MONTH(B1142),1)</f>
        <v>46204</v>
      </c>
      <c r="M1142" s="31" t="n">
        <f aca="false">WEEKDAY(B1142,2)</f>
        <v>4</v>
      </c>
      <c r="N1142" s="31" t="str">
        <f aca="false">IF(G1142&lt;=INDEX(Assumptions!$B$15:$B$18,MATCH(E1142,Assumptions!$A$15:$A$18,0)),"Yes","No")</f>
        <v>Yes</v>
      </c>
      <c r="O1142" s="31" t="str">
        <f aca="false">IF(H1142="","Open",IF(H1142&lt;=INDEX(Assumptions!$C$15:$C$18,MATCH(E1142,Assumptions!$A$15:$A$18,0)),"Yes","No"))</f>
        <v>Yes</v>
      </c>
    </row>
    <row r="1143" customFormat="false" ht="15" hidden="false" customHeight="false" outlineLevel="0" collapsed="false">
      <c r="A1143" s="31" t="s">
        <v>1293</v>
      </c>
      <c r="B1143" s="44" t="n">
        <v>46219</v>
      </c>
      <c r="C1143" s="31" t="s">
        <v>60</v>
      </c>
      <c r="D1143" s="31" t="s">
        <v>67</v>
      </c>
      <c r="E1143" s="31" t="s">
        <v>50</v>
      </c>
      <c r="F1143" s="31" t="s">
        <v>137</v>
      </c>
      <c r="G1143" s="31" t="n">
        <v>2</v>
      </c>
      <c r="H1143" s="41" t="n">
        <v>4.1</v>
      </c>
      <c r="I1143" s="31" t="s">
        <v>149</v>
      </c>
      <c r="J1143" s="31" t="n">
        <v>4</v>
      </c>
      <c r="K1143" s="31" t="s">
        <v>150</v>
      </c>
      <c r="L1143" s="45" t="n">
        <f aca="false">DATE(YEAR(B1143),MONTH(B1143),1)</f>
        <v>46204</v>
      </c>
      <c r="M1143" s="31" t="n">
        <f aca="false">WEEKDAY(B1143,2)</f>
        <v>4</v>
      </c>
      <c r="N1143" s="31" t="str">
        <f aca="false">IF(G1143&lt;=INDEX(Assumptions!$B$15:$B$18,MATCH(E1143,Assumptions!$A$15:$A$18,0)),"Yes","No")</f>
        <v>Yes</v>
      </c>
      <c r="O1143" s="31" t="str">
        <f aca="false">IF(H1143="","Open",IF(H1143&lt;=INDEX(Assumptions!$C$15:$C$18,MATCH(E1143,Assumptions!$A$15:$A$18,0)),"Yes","No"))</f>
        <v>Yes</v>
      </c>
    </row>
    <row r="1144" customFormat="false" ht="15" hidden="false" customHeight="false" outlineLevel="0" collapsed="false">
      <c r="A1144" s="31" t="s">
        <v>1294</v>
      </c>
      <c r="B1144" s="44" t="n">
        <v>46219</v>
      </c>
      <c r="C1144" s="31" t="s">
        <v>58</v>
      </c>
      <c r="D1144" s="31" t="s">
        <v>69</v>
      </c>
      <c r="E1144" s="31" t="s">
        <v>51</v>
      </c>
      <c r="F1144" s="31" t="s">
        <v>133</v>
      </c>
      <c r="G1144" s="31" t="n">
        <v>9</v>
      </c>
      <c r="H1144" s="41" t="n">
        <v>29.9</v>
      </c>
      <c r="I1144" s="31" t="s">
        <v>149</v>
      </c>
      <c r="J1144" s="31" t="n">
        <v>4</v>
      </c>
      <c r="K1144" s="31" t="s">
        <v>150</v>
      </c>
      <c r="L1144" s="45" t="n">
        <f aca="false">DATE(YEAR(B1144),MONTH(B1144),1)</f>
        <v>46204</v>
      </c>
      <c r="M1144" s="31" t="n">
        <f aca="false">WEEKDAY(B1144,2)</f>
        <v>4</v>
      </c>
      <c r="N1144" s="31" t="str">
        <f aca="false">IF(G1144&lt;=INDEX(Assumptions!$B$15:$B$18,MATCH(E1144,Assumptions!$A$15:$A$18,0)),"Yes","No")</f>
        <v>Yes</v>
      </c>
      <c r="O1144" s="31" t="str">
        <f aca="false">IF(H1144="","Open",IF(H1144&lt;=INDEX(Assumptions!$C$15:$C$18,MATCH(E1144,Assumptions!$A$15:$A$18,0)),"Yes","No"))</f>
        <v>No</v>
      </c>
    </row>
    <row r="1145" customFormat="false" ht="15" hidden="false" customHeight="false" outlineLevel="0" collapsed="false">
      <c r="A1145" s="31" t="s">
        <v>1295</v>
      </c>
      <c r="B1145" s="44" t="n">
        <v>46219</v>
      </c>
      <c r="C1145" s="31" t="s">
        <v>59</v>
      </c>
      <c r="D1145" s="31" t="s">
        <v>67</v>
      </c>
      <c r="E1145" s="31" t="s">
        <v>50</v>
      </c>
      <c r="F1145" s="31" t="s">
        <v>131</v>
      </c>
      <c r="G1145" s="31" t="n">
        <v>46</v>
      </c>
      <c r="H1145" s="41" t="n">
        <v>4.2</v>
      </c>
      <c r="I1145" s="31" t="s">
        <v>149</v>
      </c>
      <c r="J1145" s="31" t="n">
        <v>5</v>
      </c>
      <c r="K1145" s="31" t="s">
        <v>150</v>
      </c>
      <c r="L1145" s="45" t="n">
        <f aca="false">DATE(YEAR(B1145),MONTH(B1145),1)</f>
        <v>46204</v>
      </c>
      <c r="M1145" s="31" t="n">
        <f aca="false">WEEKDAY(B1145,2)</f>
        <v>4</v>
      </c>
      <c r="N1145" s="31" t="str">
        <f aca="false">IF(G1145&lt;=INDEX(Assumptions!$B$15:$B$18,MATCH(E1145,Assumptions!$A$15:$A$18,0)),"Yes","No")</f>
        <v>No</v>
      </c>
      <c r="O1145" s="31" t="str">
        <f aca="false">IF(H1145="","Open",IF(H1145&lt;=INDEX(Assumptions!$C$15:$C$18,MATCH(E1145,Assumptions!$A$15:$A$18,0)),"Yes","No"))</f>
        <v>Yes</v>
      </c>
    </row>
    <row r="1146" customFormat="false" ht="15" hidden="false" customHeight="false" outlineLevel="0" collapsed="false">
      <c r="A1146" s="31" t="s">
        <v>1296</v>
      </c>
      <c r="B1146" s="44" t="n">
        <v>46219</v>
      </c>
      <c r="C1146" s="31" t="s">
        <v>59</v>
      </c>
      <c r="D1146" s="31" t="s">
        <v>65</v>
      </c>
      <c r="E1146" s="31" t="s">
        <v>51</v>
      </c>
      <c r="F1146" s="31" t="s">
        <v>122</v>
      </c>
      <c r="G1146" s="31" t="n">
        <v>67</v>
      </c>
      <c r="H1146" s="41" t="n">
        <v>7.7</v>
      </c>
      <c r="I1146" s="31" t="s">
        <v>149</v>
      </c>
      <c r="J1146" s="31"/>
      <c r="K1146" s="31" t="s">
        <v>150</v>
      </c>
      <c r="L1146" s="45" t="n">
        <f aca="false">DATE(YEAR(B1146),MONTH(B1146),1)</f>
        <v>46204</v>
      </c>
      <c r="M1146" s="31" t="n">
        <f aca="false">WEEKDAY(B1146,2)</f>
        <v>4</v>
      </c>
      <c r="N1146" s="31" t="str">
        <f aca="false">IF(G1146&lt;=INDEX(Assumptions!$B$15:$B$18,MATCH(E1146,Assumptions!$A$15:$A$18,0)),"Yes","No")</f>
        <v>No</v>
      </c>
      <c r="O1146" s="31" t="str">
        <f aca="false">IF(H1146="","Open",IF(H1146&lt;=INDEX(Assumptions!$C$15:$C$18,MATCH(E1146,Assumptions!$A$15:$A$18,0)),"Yes","No"))</f>
        <v>Yes</v>
      </c>
    </row>
    <row r="1147" customFormat="false" ht="15" hidden="false" customHeight="false" outlineLevel="0" collapsed="false">
      <c r="A1147" s="31" t="s">
        <v>1297</v>
      </c>
      <c r="B1147" s="44" t="n">
        <v>46219</v>
      </c>
      <c r="C1147" s="31" t="s">
        <v>57</v>
      </c>
      <c r="D1147" s="31" t="s">
        <v>68</v>
      </c>
      <c r="E1147" s="31" t="s">
        <v>52</v>
      </c>
      <c r="F1147" s="31" t="s">
        <v>135</v>
      </c>
      <c r="G1147" s="31" t="n">
        <v>13</v>
      </c>
      <c r="H1147" s="41" t="n">
        <v>16.8</v>
      </c>
      <c r="I1147" s="31" t="s">
        <v>149</v>
      </c>
      <c r="J1147" s="31"/>
      <c r="K1147" s="31" t="s">
        <v>150</v>
      </c>
      <c r="L1147" s="45" t="n">
        <f aca="false">DATE(YEAR(B1147),MONTH(B1147),1)</f>
        <v>46204</v>
      </c>
      <c r="M1147" s="31" t="n">
        <f aca="false">WEEKDAY(B1147,2)</f>
        <v>4</v>
      </c>
      <c r="N1147" s="31" t="str">
        <f aca="false">IF(G1147&lt;=INDEX(Assumptions!$B$15:$B$18,MATCH(E1147,Assumptions!$A$15:$A$18,0)),"Yes","No")</f>
        <v>Yes</v>
      </c>
      <c r="O1147" s="31" t="str">
        <f aca="false">IF(H1147="","Open",IF(H1147&lt;=INDEX(Assumptions!$C$15:$C$18,MATCH(E1147,Assumptions!$A$15:$A$18,0)),"Yes","No"))</f>
        <v>Yes</v>
      </c>
    </row>
    <row r="1148" customFormat="false" ht="15" hidden="false" customHeight="false" outlineLevel="0" collapsed="false">
      <c r="A1148" s="31" t="s">
        <v>1298</v>
      </c>
      <c r="B1148" s="44" t="n">
        <v>46219</v>
      </c>
      <c r="C1148" s="31" t="s">
        <v>58</v>
      </c>
      <c r="D1148" s="31" t="s">
        <v>65</v>
      </c>
      <c r="E1148" s="31" t="s">
        <v>51</v>
      </c>
      <c r="F1148" s="31" t="s">
        <v>117</v>
      </c>
      <c r="G1148" s="31" t="n">
        <v>3</v>
      </c>
      <c r="H1148" s="41" t="n">
        <v>2.3</v>
      </c>
      <c r="I1148" s="31" t="s">
        <v>149</v>
      </c>
      <c r="J1148" s="31"/>
      <c r="K1148" s="31" t="s">
        <v>150</v>
      </c>
      <c r="L1148" s="45" t="n">
        <f aca="false">DATE(YEAR(B1148),MONTH(B1148),1)</f>
        <v>46204</v>
      </c>
      <c r="M1148" s="31" t="n">
        <f aca="false">WEEKDAY(B1148,2)</f>
        <v>4</v>
      </c>
      <c r="N1148" s="31" t="str">
        <f aca="false">IF(G1148&lt;=INDEX(Assumptions!$B$15:$B$18,MATCH(E1148,Assumptions!$A$15:$A$18,0)),"Yes","No")</f>
        <v>Yes</v>
      </c>
      <c r="O1148" s="31" t="str">
        <f aca="false">IF(H1148="","Open",IF(H1148&lt;=INDEX(Assumptions!$C$15:$C$18,MATCH(E1148,Assumptions!$A$15:$A$18,0)),"Yes","No"))</f>
        <v>Yes</v>
      </c>
    </row>
    <row r="1149" customFormat="false" ht="15" hidden="false" customHeight="false" outlineLevel="0" collapsed="false">
      <c r="A1149" s="31" t="s">
        <v>1299</v>
      </c>
      <c r="B1149" s="44" t="n">
        <v>46219</v>
      </c>
      <c r="C1149" s="31" t="s">
        <v>59</v>
      </c>
      <c r="D1149" s="31" t="s">
        <v>67</v>
      </c>
      <c r="E1149" s="31" t="s">
        <v>52</v>
      </c>
      <c r="F1149" s="31" t="s">
        <v>137</v>
      </c>
      <c r="G1149" s="31" t="n">
        <v>135</v>
      </c>
      <c r="H1149" s="41" t="n">
        <v>50.3</v>
      </c>
      <c r="I1149" s="31" t="s">
        <v>149</v>
      </c>
      <c r="J1149" s="31"/>
      <c r="K1149" s="31" t="s">
        <v>150</v>
      </c>
      <c r="L1149" s="45" t="n">
        <f aca="false">DATE(YEAR(B1149),MONTH(B1149),1)</f>
        <v>46204</v>
      </c>
      <c r="M1149" s="31" t="n">
        <f aca="false">WEEKDAY(B1149,2)</f>
        <v>4</v>
      </c>
      <c r="N1149" s="31" t="str">
        <f aca="false">IF(G1149&lt;=INDEX(Assumptions!$B$15:$B$18,MATCH(E1149,Assumptions!$A$15:$A$18,0)),"Yes","No")</f>
        <v>Yes</v>
      </c>
      <c r="O1149" s="31" t="str">
        <f aca="false">IF(H1149="","Open",IF(H1149&lt;=INDEX(Assumptions!$C$15:$C$18,MATCH(E1149,Assumptions!$A$15:$A$18,0)),"Yes","No"))</f>
        <v>Yes</v>
      </c>
    </row>
    <row r="1150" customFormat="false" ht="15" hidden="false" customHeight="false" outlineLevel="0" collapsed="false">
      <c r="A1150" s="31" t="s">
        <v>1300</v>
      </c>
      <c r="B1150" s="44" t="n">
        <v>46219</v>
      </c>
      <c r="C1150" s="31" t="s">
        <v>58</v>
      </c>
      <c r="D1150" s="31" t="s">
        <v>66</v>
      </c>
      <c r="E1150" s="31" t="s">
        <v>51</v>
      </c>
      <c r="F1150" s="31" t="s">
        <v>121</v>
      </c>
      <c r="G1150" s="31" t="n">
        <v>31</v>
      </c>
      <c r="H1150" s="41" t="n">
        <v>5.4</v>
      </c>
      <c r="I1150" s="31" t="s">
        <v>149</v>
      </c>
      <c r="J1150" s="31"/>
      <c r="K1150" s="31" t="s">
        <v>150</v>
      </c>
      <c r="L1150" s="45" t="n">
        <f aca="false">DATE(YEAR(B1150),MONTH(B1150),1)</f>
        <v>46204</v>
      </c>
      <c r="M1150" s="31" t="n">
        <f aca="false">WEEKDAY(B1150,2)</f>
        <v>4</v>
      </c>
      <c r="N1150" s="31" t="str">
        <f aca="false">IF(G1150&lt;=INDEX(Assumptions!$B$15:$B$18,MATCH(E1150,Assumptions!$A$15:$A$18,0)),"Yes","No")</f>
        <v>Yes</v>
      </c>
      <c r="O1150" s="31" t="str">
        <f aca="false">IF(H1150="","Open",IF(H1150&lt;=INDEX(Assumptions!$C$15:$C$18,MATCH(E1150,Assumptions!$A$15:$A$18,0)),"Yes","No"))</f>
        <v>Yes</v>
      </c>
    </row>
    <row r="1151" customFormat="false" ht="15" hidden="false" customHeight="false" outlineLevel="0" collapsed="false">
      <c r="A1151" s="31" t="s">
        <v>1301</v>
      </c>
      <c r="B1151" s="44" t="n">
        <v>46219</v>
      </c>
      <c r="C1151" s="31" t="s">
        <v>57</v>
      </c>
      <c r="D1151" s="31" t="s">
        <v>65</v>
      </c>
      <c r="E1151" s="31" t="s">
        <v>50</v>
      </c>
      <c r="F1151" s="31" t="s">
        <v>124</v>
      </c>
      <c r="G1151" s="31" t="n">
        <v>6</v>
      </c>
      <c r="H1151" s="41" t="n">
        <v>2.8</v>
      </c>
      <c r="I1151" s="31" t="s">
        <v>149</v>
      </c>
      <c r="J1151" s="31" t="n">
        <v>5</v>
      </c>
      <c r="K1151" s="31" t="s">
        <v>150</v>
      </c>
      <c r="L1151" s="45" t="n">
        <f aca="false">DATE(YEAR(B1151),MONTH(B1151),1)</f>
        <v>46204</v>
      </c>
      <c r="M1151" s="31" t="n">
        <f aca="false">WEEKDAY(B1151,2)</f>
        <v>4</v>
      </c>
      <c r="N1151" s="31" t="str">
        <f aca="false">IF(G1151&lt;=INDEX(Assumptions!$B$15:$B$18,MATCH(E1151,Assumptions!$A$15:$A$18,0)),"Yes","No")</f>
        <v>Yes</v>
      </c>
      <c r="O1151" s="31" t="str">
        <f aca="false">IF(H1151="","Open",IF(H1151&lt;=INDEX(Assumptions!$C$15:$C$18,MATCH(E1151,Assumptions!$A$15:$A$18,0)),"Yes","No"))</f>
        <v>Yes</v>
      </c>
    </row>
    <row r="1152" customFormat="false" ht="15" hidden="false" customHeight="false" outlineLevel="0" collapsed="false">
      <c r="A1152" s="31" t="s">
        <v>1302</v>
      </c>
      <c r="B1152" s="44" t="n">
        <v>46219</v>
      </c>
      <c r="C1152" s="31" t="s">
        <v>58</v>
      </c>
      <c r="D1152" s="31" t="s">
        <v>66</v>
      </c>
      <c r="E1152" s="31" t="s">
        <v>51</v>
      </c>
      <c r="F1152" s="31" t="s">
        <v>130</v>
      </c>
      <c r="G1152" s="31" t="n">
        <v>27</v>
      </c>
      <c r="H1152" s="41" t="n">
        <v>8.6</v>
      </c>
      <c r="I1152" s="31" t="s">
        <v>149</v>
      </c>
      <c r="J1152" s="31" t="n">
        <v>5</v>
      </c>
      <c r="K1152" s="31" t="s">
        <v>150</v>
      </c>
      <c r="L1152" s="45" t="n">
        <f aca="false">DATE(YEAR(B1152),MONTH(B1152),1)</f>
        <v>46204</v>
      </c>
      <c r="M1152" s="31" t="n">
        <f aca="false">WEEKDAY(B1152,2)</f>
        <v>4</v>
      </c>
      <c r="N1152" s="31" t="str">
        <f aca="false">IF(G1152&lt;=INDEX(Assumptions!$B$15:$B$18,MATCH(E1152,Assumptions!$A$15:$A$18,0)),"Yes","No")</f>
        <v>Yes</v>
      </c>
      <c r="O1152" s="31" t="str">
        <f aca="false">IF(H1152="","Open",IF(H1152&lt;=INDEX(Assumptions!$C$15:$C$18,MATCH(E1152,Assumptions!$A$15:$A$18,0)),"Yes","No"))</f>
        <v>Yes</v>
      </c>
    </row>
    <row r="1153" customFormat="false" ht="15" hidden="false" customHeight="false" outlineLevel="0" collapsed="false">
      <c r="A1153" s="31" t="s">
        <v>1303</v>
      </c>
      <c r="B1153" s="44" t="n">
        <v>46219</v>
      </c>
      <c r="C1153" s="31" t="s">
        <v>58</v>
      </c>
      <c r="D1153" s="31" t="s">
        <v>67</v>
      </c>
      <c r="E1153" s="31" t="s">
        <v>51</v>
      </c>
      <c r="F1153" s="31" t="s">
        <v>129</v>
      </c>
      <c r="G1153" s="31" t="n">
        <v>10</v>
      </c>
      <c r="H1153" s="41" t="n">
        <v>10.3</v>
      </c>
      <c r="I1153" s="31" t="s">
        <v>149</v>
      </c>
      <c r="J1153" s="31"/>
      <c r="K1153" s="31" t="s">
        <v>150</v>
      </c>
      <c r="L1153" s="45" t="n">
        <f aca="false">DATE(YEAR(B1153),MONTH(B1153),1)</f>
        <v>46204</v>
      </c>
      <c r="M1153" s="31" t="n">
        <f aca="false">WEEKDAY(B1153,2)</f>
        <v>4</v>
      </c>
      <c r="N1153" s="31" t="str">
        <f aca="false">IF(G1153&lt;=INDEX(Assumptions!$B$15:$B$18,MATCH(E1153,Assumptions!$A$15:$A$18,0)),"Yes","No")</f>
        <v>Yes</v>
      </c>
      <c r="O1153" s="31" t="str">
        <f aca="false">IF(H1153="","Open",IF(H1153&lt;=INDEX(Assumptions!$C$15:$C$18,MATCH(E1153,Assumptions!$A$15:$A$18,0)),"Yes","No"))</f>
        <v>Yes</v>
      </c>
    </row>
    <row r="1154" customFormat="false" ht="15" hidden="false" customHeight="false" outlineLevel="0" collapsed="false">
      <c r="A1154" s="31" t="s">
        <v>1304</v>
      </c>
      <c r="B1154" s="44" t="n">
        <v>46219</v>
      </c>
      <c r="C1154" s="31" t="s">
        <v>57</v>
      </c>
      <c r="D1154" s="31" t="s">
        <v>68</v>
      </c>
      <c r="E1154" s="31" t="s">
        <v>52</v>
      </c>
      <c r="F1154" s="31" t="s">
        <v>129</v>
      </c>
      <c r="G1154" s="31" t="n">
        <v>2</v>
      </c>
      <c r="H1154" s="41" t="n">
        <v>16.6</v>
      </c>
      <c r="I1154" s="31" t="s">
        <v>149</v>
      </c>
      <c r="J1154" s="31"/>
      <c r="K1154" s="31" t="s">
        <v>150</v>
      </c>
      <c r="L1154" s="45" t="n">
        <f aca="false">DATE(YEAR(B1154),MONTH(B1154),1)</f>
        <v>46204</v>
      </c>
      <c r="M1154" s="31" t="n">
        <f aca="false">WEEKDAY(B1154,2)</f>
        <v>4</v>
      </c>
      <c r="N1154" s="31" t="str">
        <f aca="false">IF(G1154&lt;=INDEX(Assumptions!$B$15:$B$18,MATCH(E1154,Assumptions!$A$15:$A$18,0)),"Yes","No")</f>
        <v>Yes</v>
      </c>
      <c r="O1154" s="31" t="str">
        <f aca="false">IF(H1154="","Open",IF(H1154&lt;=INDEX(Assumptions!$C$15:$C$18,MATCH(E1154,Assumptions!$A$15:$A$18,0)),"Yes","No"))</f>
        <v>Yes</v>
      </c>
    </row>
    <row r="1155" customFormat="false" ht="15" hidden="false" customHeight="false" outlineLevel="0" collapsed="false">
      <c r="A1155" s="31" t="s">
        <v>1305</v>
      </c>
      <c r="B1155" s="44" t="n">
        <v>46219</v>
      </c>
      <c r="C1155" s="31" t="s">
        <v>58</v>
      </c>
      <c r="D1155" s="31" t="s">
        <v>67</v>
      </c>
      <c r="E1155" s="31" t="s">
        <v>51</v>
      </c>
      <c r="F1155" s="31" t="s">
        <v>119</v>
      </c>
      <c r="G1155" s="31" t="n">
        <v>5</v>
      </c>
      <c r="H1155" s="41" t="n">
        <v>16.7</v>
      </c>
      <c r="I1155" s="31" t="s">
        <v>149</v>
      </c>
      <c r="J1155" s="31" t="n">
        <v>4</v>
      </c>
      <c r="K1155" s="31" t="s">
        <v>150</v>
      </c>
      <c r="L1155" s="45" t="n">
        <f aca="false">DATE(YEAR(B1155),MONTH(B1155),1)</f>
        <v>46204</v>
      </c>
      <c r="M1155" s="31" t="n">
        <f aca="false">WEEKDAY(B1155,2)</f>
        <v>4</v>
      </c>
      <c r="N1155" s="31" t="str">
        <f aca="false">IF(G1155&lt;=INDEX(Assumptions!$B$15:$B$18,MATCH(E1155,Assumptions!$A$15:$A$18,0)),"Yes","No")</f>
        <v>Yes</v>
      </c>
      <c r="O1155" s="31" t="str">
        <f aca="false">IF(H1155="","Open",IF(H1155&lt;=INDEX(Assumptions!$C$15:$C$18,MATCH(E1155,Assumptions!$A$15:$A$18,0)),"Yes","No"))</f>
        <v>Yes</v>
      </c>
    </row>
    <row r="1156" customFormat="false" ht="15" hidden="false" customHeight="false" outlineLevel="0" collapsed="false">
      <c r="A1156" s="31" t="s">
        <v>1306</v>
      </c>
      <c r="B1156" s="44" t="n">
        <v>46220</v>
      </c>
      <c r="C1156" s="31" t="s">
        <v>59</v>
      </c>
      <c r="D1156" s="31" t="s">
        <v>69</v>
      </c>
      <c r="E1156" s="31" t="s">
        <v>49</v>
      </c>
      <c r="F1156" s="31" t="s">
        <v>119</v>
      </c>
      <c r="G1156" s="31" t="n">
        <v>20</v>
      </c>
      <c r="H1156" s="41" t="n">
        <v>11.2</v>
      </c>
      <c r="I1156" s="31" t="s">
        <v>149</v>
      </c>
      <c r="J1156" s="31"/>
      <c r="K1156" s="31" t="s">
        <v>150</v>
      </c>
      <c r="L1156" s="45" t="n">
        <f aca="false">DATE(YEAR(B1156),MONTH(B1156),1)</f>
        <v>46204</v>
      </c>
      <c r="M1156" s="31" t="n">
        <f aca="false">WEEKDAY(B1156,2)</f>
        <v>5</v>
      </c>
      <c r="N1156" s="31" t="str">
        <f aca="false">IF(G1156&lt;=INDEX(Assumptions!$B$15:$B$18,MATCH(E1156,Assumptions!$A$15:$A$18,0)),"Yes","No")</f>
        <v>No</v>
      </c>
      <c r="O1156" s="31" t="str">
        <f aca="false">IF(H1156="","Open",IF(H1156&lt;=INDEX(Assumptions!$C$15:$C$18,MATCH(E1156,Assumptions!$A$15:$A$18,0)),"Yes","No"))</f>
        <v>No</v>
      </c>
    </row>
    <row r="1157" customFormat="false" ht="15" hidden="false" customHeight="false" outlineLevel="0" collapsed="false">
      <c r="A1157" s="31" t="s">
        <v>1307</v>
      </c>
      <c r="B1157" s="44" t="n">
        <v>46220</v>
      </c>
      <c r="C1157" s="31" t="s">
        <v>59</v>
      </c>
      <c r="D1157" s="31" t="s">
        <v>65</v>
      </c>
      <c r="E1157" s="31" t="s">
        <v>52</v>
      </c>
      <c r="F1157" s="31" t="s">
        <v>117</v>
      </c>
      <c r="G1157" s="31" t="n">
        <v>169</v>
      </c>
      <c r="H1157" s="41" t="n">
        <v>50</v>
      </c>
      <c r="I1157" s="31" t="s">
        <v>149</v>
      </c>
      <c r="J1157" s="31"/>
      <c r="K1157" s="31" t="s">
        <v>150</v>
      </c>
      <c r="L1157" s="45" t="n">
        <f aca="false">DATE(YEAR(B1157),MONTH(B1157),1)</f>
        <v>46204</v>
      </c>
      <c r="M1157" s="31" t="n">
        <f aca="false">WEEKDAY(B1157,2)</f>
        <v>5</v>
      </c>
      <c r="N1157" s="31" t="str">
        <f aca="false">IF(G1157&lt;=INDEX(Assumptions!$B$15:$B$18,MATCH(E1157,Assumptions!$A$15:$A$18,0)),"Yes","No")</f>
        <v>Yes</v>
      </c>
      <c r="O1157" s="31" t="str">
        <f aca="false">IF(H1157="","Open",IF(H1157&lt;=INDEX(Assumptions!$C$15:$C$18,MATCH(E1157,Assumptions!$A$15:$A$18,0)),"Yes","No"))</f>
        <v>Yes</v>
      </c>
    </row>
    <row r="1158" customFormat="false" ht="15" hidden="false" customHeight="false" outlineLevel="0" collapsed="false">
      <c r="A1158" s="31" t="s">
        <v>1308</v>
      </c>
      <c r="B1158" s="44" t="n">
        <v>46220</v>
      </c>
      <c r="C1158" s="31" t="s">
        <v>58</v>
      </c>
      <c r="D1158" s="31" t="s">
        <v>66</v>
      </c>
      <c r="E1158" s="31" t="s">
        <v>51</v>
      </c>
      <c r="F1158" s="31" t="s">
        <v>120</v>
      </c>
      <c r="G1158" s="31" t="n">
        <v>9</v>
      </c>
      <c r="H1158" s="41" t="n">
        <v>40.1</v>
      </c>
      <c r="I1158" s="31" t="s">
        <v>149</v>
      </c>
      <c r="J1158" s="31"/>
      <c r="K1158" s="31" t="s">
        <v>150</v>
      </c>
      <c r="L1158" s="45" t="n">
        <f aca="false">DATE(YEAR(B1158),MONTH(B1158),1)</f>
        <v>46204</v>
      </c>
      <c r="M1158" s="31" t="n">
        <f aca="false">WEEKDAY(B1158,2)</f>
        <v>5</v>
      </c>
      <c r="N1158" s="31" t="str">
        <f aca="false">IF(G1158&lt;=INDEX(Assumptions!$B$15:$B$18,MATCH(E1158,Assumptions!$A$15:$A$18,0)),"Yes","No")</f>
        <v>Yes</v>
      </c>
      <c r="O1158" s="31" t="str">
        <f aca="false">IF(H1158="","Open",IF(H1158&lt;=INDEX(Assumptions!$C$15:$C$18,MATCH(E1158,Assumptions!$A$15:$A$18,0)),"Yes","No"))</f>
        <v>No</v>
      </c>
    </row>
    <row r="1159" customFormat="false" ht="15" hidden="false" customHeight="false" outlineLevel="0" collapsed="false">
      <c r="A1159" s="31" t="s">
        <v>1309</v>
      </c>
      <c r="B1159" s="44" t="n">
        <v>46220</v>
      </c>
      <c r="C1159" s="31" t="s">
        <v>58</v>
      </c>
      <c r="D1159" s="31" t="s">
        <v>69</v>
      </c>
      <c r="E1159" s="31" t="s">
        <v>52</v>
      </c>
      <c r="F1159" s="31" t="s">
        <v>122</v>
      </c>
      <c r="G1159" s="31" t="n">
        <v>4</v>
      </c>
      <c r="H1159" s="41" t="n">
        <v>53.4</v>
      </c>
      <c r="I1159" s="31" t="s">
        <v>149</v>
      </c>
      <c r="J1159" s="31" t="n">
        <v>5</v>
      </c>
      <c r="K1159" s="31" t="s">
        <v>150</v>
      </c>
      <c r="L1159" s="45" t="n">
        <f aca="false">DATE(YEAR(B1159),MONTH(B1159),1)</f>
        <v>46204</v>
      </c>
      <c r="M1159" s="31" t="n">
        <f aca="false">WEEKDAY(B1159,2)</f>
        <v>5</v>
      </c>
      <c r="N1159" s="31" t="str">
        <f aca="false">IF(G1159&lt;=INDEX(Assumptions!$B$15:$B$18,MATCH(E1159,Assumptions!$A$15:$A$18,0)),"Yes","No")</f>
        <v>Yes</v>
      </c>
      <c r="O1159" s="31" t="str">
        <f aca="false">IF(H1159="","Open",IF(H1159&lt;=INDEX(Assumptions!$C$15:$C$18,MATCH(E1159,Assumptions!$A$15:$A$18,0)),"Yes","No"))</f>
        <v>Yes</v>
      </c>
    </row>
    <row r="1160" customFormat="false" ht="15" hidden="false" customHeight="false" outlineLevel="0" collapsed="false">
      <c r="A1160" s="31" t="s">
        <v>1310</v>
      </c>
      <c r="B1160" s="44" t="n">
        <v>46220</v>
      </c>
      <c r="C1160" s="31" t="s">
        <v>58</v>
      </c>
      <c r="D1160" s="31" t="s">
        <v>66</v>
      </c>
      <c r="E1160" s="31" t="s">
        <v>51</v>
      </c>
      <c r="F1160" s="31" t="s">
        <v>123</v>
      </c>
      <c r="G1160" s="31" t="n">
        <v>8</v>
      </c>
      <c r="H1160" s="41" t="n">
        <v>5.5</v>
      </c>
      <c r="I1160" s="31" t="s">
        <v>149</v>
      </c>
      <c r="J1160" s="31" t="n">
        <v>5</v>
      </c>
      <c r="K1160" s="31" t="s">
        <v>150</v>
      </c>
      <c r="L1160" s="45" t="n">
        <f aca="false">DATE(YEAR(B1160),MONTH(B1160),1)</f>
        <v>46204</v>
      </c>
      <c r="M1160" s="31" t="n">
        <f aca="false">WEEKDAY(B1160,2)</f>
        <v>5</v>
      </c>
      <c r="N1160" s="31" t="str">
        <f aca="false">IF(G1160&lt;=INDEX(Assumptions!$B$15:$B$18,MATCH(E1160,Assumptions!$A$15:$A$18,0)),"Yes","No")</f>
        <v>Yes</v>
      </c>
      <c r="O1160" s="31" t="str">
        <f aca="false">IF(H1160="","Open",IF(H1160&lt;=INDEX(Assumptions!$C$15:$C$18,MATCH(E1160,Assumptions!$A$15:$A$18,0)),"Yes","No"))</f>
        <v>Yes</v>
      </c>
    </row>
    <row r="1161" customFormat="false" ht="15" hidden="false" customHeight="false" outlineLevel="0" collapsed="false">
      <c r="A1161" s="31" t="s">
        <v>1311</v>
      </c>
      <c r="B1161" s="44" t="n">
        <v>46220</v>
      </c>
      <c r="C1161" s="31" t="s">
        <v>59</v>
      </c>
      <c r="D1161" s="31" t="s">
        <v>66</v>
      </c>
      <c r="E1161" s="31" t="s">
        <v>51</v>
      </c>
      <c r="F1161" s="31" t="s">
        <v>123</v>
      </c>
      <c r="G1161" s="31" t="n">
        <v>43</v>
      </c>
      <c r="H1161" s="41" t="n">
        <v>5.5</v>
      </c>
      <c r="I1161" s="31" t="s">
        <v>149</v>
      </c>
      <c r="J1161" s="31" t="n">
        <v>4</v>
      </c>
      <c r="K1161" s="31" t="s">
        <v>150</v>
      </c>
      <c r="L1161" s="45" t="n">
        <f aca="false">DATE(YEAR(B1161),MONTH(B1161),1)</f>
        <v>46204</v>
      </c>
      <c r="M1161" s="31" t="n">
        <f aca="false">WEEKDAY(B1161,2)</f>
        <v>5</v>
      </c>
      <c r="N1161" s="31" t="str">
        <f aca="false">IF(G1161&lt;=INDEX(Assumptions!$B$15:$B$18,MATCH(E1161,Assumptions!$A$15:$A$18,0)),"Yes","No")</f>
        <v>Yes</v>
      </c>
      <c r="O1161" s="31" t="str">
        <f aca="false">IF(H1161="","Open",IF(H1161&lt;=INDEX(Assumptions!$C$15:$C$18,MATCH(E1161,Assumptions!$A$15:$A$18,0)),"Yes","No"))</f>
        <v>Yes</v>
      </c>
    </row>
    <row r="1162" customFormat="false" ht="15" hidden="false" customHeight="false" outlineLevel="0" collapsed="false">
      <c r="A1162" s="31" t="s">
        <v>1312</v>
      </c>
      <c r="B1162" s="44" t="n">
        <v>46220</v>
      </c>
      <c r="C1162" s="31" t="s">
        <v>60</v>
      </c>
      <c r="D1162" s="31" t="s">
        <v>69</v>
      </c>
      <c r="E1162" s="31" t="s">
        <v>50</v>
      </c>
      <c r="F1162" s="31" t="s">
        <v>120</v>
      </c>
      <c r="G1162" s="31" t="n">
        <v>2</v>
      </c>
      <c r="H1162" s="41" t="n">
        <v>50.4</v>
      </c>
      <c r="I1162" s="31" t="s">
        <v>64</v>
      </c>
      <c r="J1162" s="31" t="n">
        <v>4</v>
      </c>
      <c r="K1162" s="31" t="s">
        <v>153</v>
      </c>
      <c r="L1162" s="45" t="n">
        <f aca="false">DATE(YEAR(B1162),MONTH(B1162),1)</f>
        <v>46204</v>
      </c>
      <c r="M1162" s="31" t="n">
        <f aca="false">WEEKDAY(B1162,2)</f>
        <v>5</v>
      </c>
      <c r="N1162" s="31" t="str">
        <f aca="false">IF(G1162&lt;=INDEX(Assumptions!$B$15:$B$18,MATCH(E1162,Assumptions!$A$15:$A$18,0)),"Yes","No")</f>
        <v>Yes</v>
      </c>
      <c r="O1162" s="31" t="str">
        <f aca="false">IF(H1162="","Open",IF(H1162&lt;=INDEX(Assumptions!$C$15:$C$18,MATCH(E1162,Assumptions!$A$15:$A$18,0)),"Yes","No"))</f>
        <v>No</v>
      </c>
    </row>
    <row r="1163" customFormat="false" ht="15" hidden="false" customHeight="false" outlineLevel="0" collapsed="false">
      <c r="A1163" s="31" t="s">
        <v>1313</v>
      </c>
      <c r="B1163" s="44" t="n">
        <v>46220</v>
      </c>
      <c r="C1163" s="31" t="s">
        <v>57</v>
      </c>
      <c r="D1163" s="31" t="s">
        <v>66</v>
      </c>
      <c r="E1163" s="31" t="s">
        <v>51</v>
      </c>
      <c r="F1163" s="31" t="s">
        <v>131</v>
      </c>
      <c r="G1163" s="31" t="n">
        <v>4</v>
      </c>
      <c r="H1163" s="41" t="n">
        <v>9.6</v>
      </c>
      <c r="I1163" s="31" t="s">
        <v>149</v>
      </c>
      <c r="J1163" s="31"/>
      <c r="K1163" s="31" t="s">
        <v>150</v>
      </c>
      <c r="L1163" s="45" t="n">
        <f aca="false">DATE(YEAR(B1163),MONTH(B1163),1)</f>
        <v>46204</v>
      </c>
      <c r="M1163" s="31" t="n">
        <f aca="false">WEEKDAY(B1163,2)</f>
        <v>5</v>
      </c>
      <c r="N1163" s="31" t="str">
        <f aca="false">IF(G1163&lt;=INDEX(Assumptions!$B$15:$B$18,MATCH(E1163,Assumptions!$A$15:$A$18,0)),"Yes","No")</f>
        <v>Yes</v>
      </c>
      <c r="O1163" s="31" t="str">
        <f aca="false">IF(H1163="","Open",IF(H1163&lt;=INDEX(Assumptions!$C$15:$C$18,MATCH(E1163,Assumptions!$A$15:$A$18,0)),"Yes","No"))</f>
        <v>Yes</v>
      </c>
    </row>
    <row r="1164" customFormat="false" ht="15" hidden="false" customHeight="false" outlineLevel="0" collapsed="false">
      <c r="A1164" s="31" t="s">
        <v>1314</v>
      </c>
      <c r="B1164" s="44" t="n">
        <v>46220</v>
      </c>
      <c r="C1164" s="31" t="s">
        <v>57</v>
      </c>
      <c r="D1164" s="31" t="s">
        <v>69</v>
      </c>
      <c r="E1164" s="31" t="s">
        <v>51</v>
      </c>
      <c r="F1164" s="31" t="s">
        <v>130</v>
      </c>
      <c r="G1164" s="31" t="n">
        <v>4</v>
      </c>
      <c r="H1164" s="41" t="n">
        <v>63.2</v>
      </c>
      <c r="I1164" s="31" t="s">
        <v>149</v>
      </c>
      <c r="J1164" s="31"/>
      <c r="K1164" s="31" t="s">
        <v>150</v>
      </c>
      <c r="L1164" s="45" t="n">
        <f aca="false">DATE(YEAR(B1164),MONTH(B1164),1)</f>
        <v>46204</v>
      </c>
      <c r="M1164" s="31" t="n">
        <f aca="false">WEEKDAY(B1164,2)</f>
        <v>5</v>
      </c>
      <c r="N1164" s="31" t="str">
        <f aca="false">IF(G1164&lt;=INDEX(Assumptions!$B$15:$B$18,MATCH(E1164,Assumptions!$A$15:$A$18,0)),"Yes","No")</f>
        <v>Yes</v>
      </c>
      <c r="O1164" s="31" t="str">
        <f aca="false">IF(H1164="","Open",IF(H1164&lt;=INDEX(Assumptions!$C$15:$C$18,MATCH(E1164,Assumptions!$A$15:$A$18,0)),"Yes","No"))</f>
        <v>No</v>
      </c>
    </row>
    <row r="1165" customFormat="false" ht="15" hidden="false" customHeight="false" outlineLevel="0" collapsed="false">
      <c r="A1165" s="31" t="s">
        <v>1315</v>
      </c>
      <c r="B1165" s="44" t="n">
        <v>46220</v>
      </c>
      <c r="C1165" s="31" t="s">
        <v>58</v>
      </c>
      <c r="D1165" s="31" t="s">
        <v>65</v>
      </c>
      <c r="E1165" s="31" t="s">
        <v>52</v>
      </c>
      <c r="F1165" s="31" t="s">
        <v>124</v>
      </c>
      <c r="G1165" s="31" t="n">
        <v>26</v>
      </c>
      <c r="H1165" s="41" t="n">
        <v>18.3</v>
      </c>
      <c r="I1165" s="31" t="s">
        <v>149</v>
      </c>
      <c r="J1165" s="31"/>
      <c r="K1165" s="31" t="s">
        <v>150</v>
      </c>
      <c r="L1165" s="45" t="n">
        <f aca="false">DATE(YEAR(B1165),MONTH(B1165),1)</f>
        <v>46204</v>
      </c>
      <c r="M1165" s="31" t="n">
        <f aca="false">WEEKDAY(B1165,2)</f>
        <v>5</v>
      </c>
      <c r="N1165" s="31" t="str">
        <f aca="false">IF(G1165&lt;=INDEX(Assumptions!$B$15:$B$18,MATCH(E1165,Assumptions!$A$15:$A$18,0)),"Yes","No")</f>
        <v>Yes</v>
      </c>
      <c r="O1165" s="31" t="str">
        <f aca="false">IF(H1165="","Open",IF(H1165&lt;=INDEX(Assumptions!$C$15:$C$18,MATCH(E1165,Assumptions!$A$15:$A$18,0)),"Yes","No"))</f>
        <v>Yes</v>
      </c>
    </row>
    <row r="1166" customFormat="false" ht="15" hidden="false" customHeight="false" outlineLevel="0" collapsed="false">
      <c r="A1166" s="31" t="s">
        <v>1316</v>
      </c>
      <c r="B1166" s="44" t="n">
        <v>46220</v>
      </c>
      <c r="C1166" s="31" t="s">
        <v>60</v>
      </c>
      <c r="D1166" s="31" t="s">
        <v>65</v>
      </c>
      <c r="E1166" s="31" t="s">
        <v>52</v>
      </c>
      <c r="F1166" s="31" t="s">
        <v>133</v>
      </c>
      <c r="G1166" s="31" t="n">
        <v>4</v>
      </c>
      <c r="H1166" s="41" t="n">
        <v>97.4</v>
      </c>
      <c r="I1166" s="31" t="s">
        <v>64</v>
      </c>
      <c r="J1166" s="31"/>
      <c r="K1166" s="31" t="s">
        <v>150</v>
      </c>
      <c r="L1166" s="45" t="n">
        <f aca="false">DATE(YEAR(B1166),MONTH(B1166),1)</f>
        <v>46204</v>
      </c>
      <c r="M1166" s="31" t="n">
        <f aca="false">WEEKDAY(B1166,2)</f>
        <v>5</v>
      </c>
      <c r="N1166" s="31" t="str">
        <f aca="false">IF(G1166&lt;=INDEX(Assumptions!$B$15:$B$18,MATCH(E1166,Assumptions!$A$15:$A$18,0)),"Yes","No")</f>
        <v>Yes</v>
      </c>
      <c r="O1166" s="31" t="str">
        <f aca="false">IF(H1166="","Open",IF(H1166&lt;=INDEX(Assumptions!$C$15:$C$18,MATCH(E1166,Assumptions!$A$15:$A$18,0)),"Yes","No"))</f>
        <v>No</v>
      </c>
    </row>
    <row r="1167" customFormat="false" ht="15" hidden="false" customHeight="false" outlineLevel="0" collapsed="false">
      <c r="A1167" s="31" t="s">
        <v>1317</v>
      </c>
      <c r="B1167" s="44" t="n">
        <v>46220</v>
      </c>
      <c r="C1167" s="31" t="s">
        <v>59</v>
      </c>
      <c r="D1167" s="31" t="s">
        <v>66</v>
      </c>
      <c r="E1167" s="31" t="s">
        <v>52</v>
      </c>
      <c r="F1167" s="31" t="s">
        <v>120</v>
      </c>
      <c r="G1167" s="31" t="n">
        <v>322</v>
      </c>
      <c r="H1167" s="41" t="n">
        <v>24.8</v>
      </c>
      <c r="I1167" s="31" t="s">
        <v>149</v>
      </c>
      <c r="J1167" s="31"/>
      <c r="K1167" s="31" t="s">
        <v>150</v>
      </c>
      <c r="L1167" s="45" t="n">
        <f aca="false">DATE(YEAR(B1167),MONTH(B1167),1)</f>
        <v>46204</v>
      </c>
      <c r="M1167" s="31" t="n">
        <f aca="false">WEEKDAY(B1167,2)</f>
        <v>5</v>
      </c>
      <c r="N1167" s="31" t="str">
        <f aca="false">IF(G1167&lt;=INDEX(Assumptions!$B$15:$B$18,MATCH(E1167,Assumptions!$A$15:$A$18,0)),"Yes","No")</f>
        <v>No</v>
      </c>
      <c r="O1167" s="31" t="str">
        <f aca="false">IF(H1167="","Open",IF(H1167&lt;=INDEX(Assumptions!$C$15:$C$18,MATCH(E1167,Assumptions!$A$15:$A$18,0)),"Yes","No"))</f>
        <v>Yes</v>
      </c>
    </row>
    <row r="1168" customFormat="false" ht="15" hidden="false" customHeight="false" outlineLevel="0" collapsed="false">
      <c r="A1168" s="31" t="s">
        <v>1318</v>
      </c>
      <c r="B1168" s="44" t="n">
        <v>46220</v>
      </c>
      <c r="C1168" s="31" t="s">
        <v>60</v>
      </c>
      <c r="D1168" s="31" t="s">
        <v>68</v>
      </c>
      <c r="E1168" s="31" t="s">
        <v>50</v>
      </c>
      <c r="F1168" s="31" t="s">
        <v>137</v>
      </c>
      <c r="G1168" s="31" t="n">
        <v>1</v>
      </c>
      <c r="H1168" s="41" t="n">
        <v>3.5</v>
      </c>
      <c r="I1168" s="31" t="s">
        <v>149</v>
      </c>
      <c r="J1168" s="31" t="n">
        <v>5</v>
      </c>
      <c r="K1168" s="31" t="s">
        <v>150</v>
      </c>
      <c r="L1168" s="45" t="n">
        <f aca="false">DATE(YEAR(B1168),MONTH(B1168),1)</f>
        <v>46204</v>
      </c>
      <c r="M1168" s="31" t="n">
        <f aca="false">WEEKDAY(B1168,2)</f>
        <v>5</v>
      </c>
      <c r="N1168" s="31" t="str">
        <f aca="false">IF(G1168&lt;=INDEX(Assumptions!$B$15:$B$18,MATCH(E1168,Assumptions!$A$15:$A$18,0)),"Yes","No")</f>
        <v>Yes</v>
      </c>
      <c r="O1168" s="31" t="str">
        <f aca="false">IF(H1168="","Open",IF(H1168&lt;=INDEX(Assumptions!$C$15:$C$18,MATCH(E1168,Assumptions!$A$15:$A$18,0)),"Yes","No"))</f>
        <v>Yes</v>
      </c>
    </row>
    <row r="1169" customFormat="false" ht="15" hidden="false" customHeight="false" outlineLevel="0" collapsed="false">
      <c r="A1169" s="31" t="s">
        <v>1319</v>
      </c>
      <c r="B1169" s="44" t="n">
        <v>46220</v>
      </c>
      <c r="C1169" s="31" t="s">
        <v>57</v>
      </c>
      <c r="D1169" s="31" t="s">
        <v>67</v>
      </c>
      <c r="E1169" s="31" t="s">
        <v>51</v>
      </c>
      <c r="F1169" s="31" t="s">
        <v>134</v>
      </c>
      <c r="G1169" s="31" t="n">
        <v>6</v>
      </c>
      <c r="H1169" s="41" t="n">
        <v>62.9</v>
      </c>
      <c r="I1169" s="31" t="s">
        <v>149</v>
      </c>
      <c r="J1169" s="31"/>
      <c r="K1169" s="31" t="s">
        <v>153</v>
      </c>
      <c r="L1169" s="45" t="n">
        <f aca="false">DATE(YEAR(B1169),MONTH(B1169),1)</f>
        <v>46204</v>
      </c>
      <c r="M1169" s="31" t="n">
        <f aca="false">WEEKDAY(B1169,2)</f>
        <v>5</v>
      </c>
      <c r="N1169" s="31" t="str">
        <f aca="false">IF(G1169&lt;=INDEX(Assumptions!$B$15:$B$18,MATCH(E1169,Assumptions!$A$15:$A$18,0)),"Yes","No")</f>
        <v>Yes</v>
      </c>
      <c r="O1169" s="31" t="str">
        <f aca="false">IF(H1169="","Open",IF(H1169&lt;=INDEX(Assumptions!$C$15:$C$18,MATCH(E1169,Assumptions!$A$15:$A$18,0)),"Yes","No"))</f>
        <v>No</v>
      </c>
    </row>
    <row r="1170" customFormat="false" ht="15" hidden="false" customHeight="false" outlineLevel="0" collapsed="false">
      <c r="A1170" s="31" t="s">
        <v>1320</v>
      </c>
      <c r="B1170" s="44" t="n">
        <v>46220</v>
      </c>
      <c r="C1170" s="31" t="s">
        <v>58</v>
      </c>
      <c r="D1170" s="31" t="s">
        <v>65</v>
      </c>
      <c r="E1170" s="31" t="s">
        <v>52</v>
      </c>
      <c r="F1170" s="31" t="s">
        <v>135</v>
      </c>
      <c r="G1170" s="31" t="n">
        <v>45</v>
      </c>
      <c r="H1170" s="41" t="n">
        <v>9.8</v>
      </c>
      <c r="I1170" s="31" t="s">
        <v>149</v>
      </c>
      <c r="J1170" s="31" t="n">
        <v>4</v>
      </c>
      <c r="K1170" s="31" t="s">
        <v>150</v>
      </c>
      <c r="L1170" s="45" t="n">
        <f aca="false">DATE(YEAR(B1170),MONTH(B1170),1)</f>
        <v>46204</v>
      </c>
      <c r="M1170" s="31" t="n">
        <f aca="false">WEEKDAY(B1170,2)</f>
        <v>5</v>
      </c>
      <c r="N1170" s="31" t="str">
        <f aca="false">IF(G1170&lt;=INDEX(Assumptions!$B$15:$B$18,MATCH(E1170,Assumptions!$A$15:$A$18,0)),"Yes","No")</f>
        <v>Yes</v>
      </c>
      <c r="O1170" s="31" t="str">
        <f aca="false">IF(H1170="","Open",IF(H1170&lt;=INDEX(Assumptions!$C$15:$C$18,MATCH(E1170,Assumptions!$A$15:$A$18,0)),"Yes","No"))</f>
        <v>Yes</v>
      </c>
    </row>
    <row r="1171" customFormat="false" ht="15" hidden="false" customHeight="false" outlineLevel="0" collapsed="false">
      <c r="A1171" s="31" t="s">
        <v>1321</v>
      </c>
      <c r="B1171" s="44" t="n">
        <v>46220</v>
      </c>
      <c r="C1171" s="31" t="s">
        <v>60</v>
      </c>
      <c r="D1171" s="31" t="s">
        <v>66</v>
      </c>
      <c r="E1171" s="31" t="s">
        <v>51</v>
      </c>
      <c r="F1171" s="31" t="s">
        <v>120</v>
      </c>
      <c r="G1171" s="31" t="n">
        <v>4</v>
      </c>
      <c r="H1171" s="41" t="n">
        <v>2.9</v>
      </c>
      <c r="I1171" s="31" t="s">
        <v>149</v>
      </c>
      <c r="J1171" s="31"/>
      <c r="K1171" s="31" t="s">
        <v>150</v>
      </c>
      <c r="L1171" s="45" t="n">
        <f aca="false">DATE(YEAR(B1171),MONTH(B1171),1)</f>
        <v>46204</v>
      </c>
      <c r="M1171" s="31" t="n">
        <f aca="false">WEEKDAY(B1171,2)</f>
        <v>5</v>
      </c>
      <c r="N1171" s="31" t="str">
        <f aca="false">IF(G1171&lt;=INDEX(Assumptions!$B$15:$B$18,MATCH(E1171,Assumptions!$A$15:$A$18,0)),"Yes","No")</f>
        <v>Yes</v>
      </c>
      <c r="O1171" s="31" t="str">
        <f aca="false">IF(H1171="","Open",IF(H1171&lt;=INDEX(Assumptions!$C$15:$C$18,MATCH(E1171,Assumptions!$A$15:$A$18,0)),"Yes","No"))</f>
        <v>Yes</v>
      </c>
    </row>
    <row r="1172" customFormat="false" ht="15" hidden="false" customHeight="false" outlineLevel="0" collapsed="false">
      <c r="A1172" s="31" t="s">
        <v>1322</v>
      </c>
      <c r="B1172" s="44" t="n">
        <v>46220</v>
      </c>
      <c r="C1172" s="31" t="s">
        <v>60</v>
      </c>
      <c r="D1172" s="31" t="s">
        <v>65</v>
      </c>
      <c r="E1172" s="31" t="s">
        <v>51</v>
      </c>
      <c r="F1172" s="31" t="s">
        <v>137</v>
      </c>
      <c r="G1172" s="31" t="n">
        <v>1</v>
      </c>
      <c r="H1172" s="41" t="n">
        <v>26.3</v>
      </c>
      <c r="I1172" s="31" t="s">
        <v>149</v>
      </c>
      <c r="J1172" s="31" t="n">
        <v>4</v>
      </c>
      <c r="K1172" s="31" t="s">
        <v>150</v>
      </c>
      <c r="L1172" s="45" t="n">
        <f aca="false">DATE(YEAR(B1172),MONTH(B1172),1)</f>
        <v>46204</v>
      </c>
      <c r="M1172" s="31" t="n">
        <f aca="false">WEEKDAY(B1172,2)</f>
        <v>5</v>
      </c>
      <c r="N1172" s="31" t="str">
        <f aca="false">IF(G1172&lt;=INDEX(Assumptions!$B$15:$B$18,MATCH(E1172,Assumptions!$A$15:$A$18,0)),"Yes","No")</f>
        <v>Yes</v>
      </c>
      <c r="O1172" s="31" t="str">
        <f aca="false">IF(H1172="","Open",IF(H1172&lt;=INDEX(Assumptions!$C$15:$C$18,MATCH(E1172,Assumptions!$A$15:$A$18,0)),"Yes","No"))</f>
        <v>No</v>
      </c>
    </row>
    <row r="1173" customFormat="false" ht="15" hidden="false" customHeight="false" outlineLevel="0" collapsed="false">
      <c r="A1173" s="31" t="s">
        <v>1323</v>
      </c>
      <c r="B1173" s="44" t="n">
        <v>46220</v>
      </c>
      <c r="C1173" s="31" t="s">
        <v>57</v>
      </c>
      <c r="D1173" s="31" t="s">
        <v>65</v>
      </c>
      <c r="E1173" s="31" t="s">
        <v>51</v>
      </c>
      <c r="F1173" s="31" t="s">
        <v>136</v>
      </c>
      <c r="G1173" s="31" t="n">
        <v>3</v>
      </c>
      <c r="H1173" s="41" t="n">
        <v>8.1</v>
      </c>
      <c r="I1173" s="31" t="s">
        <v>149</v>
      </c>
      <c r="J1173" s="31" t="n">
        <v>5</v>
      </c>
      <c r="K1173" s="31" t="s">
        <v>150</v>
      </c>
      <c r="L1173" s="45" t="n">
        <f aca="false">DATE(YEAR(B1173),MONTH(B1173),1)</f>
        <v>46204</v>
      </c>
      <c r="M1173" s="31" t="n">
        <f aca="false">WEEKDAY(B1173,2)</f>
        <v>5</v>
      </c>
      <c r="N1173" s="31" t="str">
        <f aca="false">IF(G1173&lt;=INDEX(Assumptions!$B$15:$B$18,MATCH(E1173,Assumptions!$A$15:$A$18,0)),"Yes","No")</f>
        <v>Yes</v>
      </c>
      <c r="O1173" s="31" t="str">
        <f aca="false">IF(H1173="","Open",IF(H1173&lt;=INDEX(Assumptions!$C$15:$C$18,MATCH(E1173,Assumptions!$A$15:$A$18,0)),"Yes","No"))</f>
        <v>Yes</v>
      </c>
    </row>
    <row r="1174" customFormat="false" ht="15" hidden="false" customHeight="false" outlineLevel="0" collapsed="false">
      <c r="A1174" s="31" t="s">
        <v>1324</v>
      </c>
      <c r="B1174" s="44" t="n">
        <v>46220</v>
      </c>
      <c r="C1174" s="31" t="s">
        <v>59</v>
      </c>
      <c r="D1174" s="31" t="s">
        <v>65</v>
      </c>
      <c r="E1174" s="31" t="s">
        <v>51</v>
      </c>
      <c r="F1174" s="31" t="s">
        <v>134</v>
      </c>
      <c r="G1174" s="31" t="n">
        <v>112</v>
      </c>
      <c r="H1174" s="41" t="n">
        <v>25.8</v>
      </c>
      <c r="I1174" s="31" t="s">
        <v>149</v>
      </c>
      <c r="J1174" s="31" t="n">
        <v>3</v>
      </c>
      <c r="K1174" s="31" t="s">
        <v>150</v>
      </c>
      <c r="L1174" s="45" t="n">
        <f aca="false">DATE(YEAR(B1174),MONTH(B1174),1)</f>
        <v>46204</v>
      </c>
      <c r="M1174" s="31" t="n">
        <f aca="false">WEEKDAY(B1174,2)</f>
        <v>5</v>
      </c>
      <c r="N1174" s="31" t="str">
        <f aca="false">IF(G1174&lt;=INDEX(Assumptions!$B$15:$B$18,MATCH(E1174,Assumptions!$A$15:$A$18,0)),"Yes","No")</f>
        <v>No</v>
      </c>
      <c r="O1174" s="31" t="str">
        <f aca="false">IF(H1174="","Open",IF(H1174&lt;=INDEX(Assumptions!$C$15:$C$18,MATCH(E1174,Assumptions!$A$15:$A$18,0)),"Yes","No"))</f>
        <v>No</v>
      </c>
    </row>
    <row r="1175" customFormat="false" ht="15" hidden="false" customHeight="false" outlineLevel="0" collapsed="false">
      <c r="A1175" s="31" t="s">
        <v>1325</v>
      </c>
      <c r="B1175" s="44" t="n">
        <v>46220</v>
      </c>
      <c r="C1175" s="31" t="s">
        <v>58</v>
      </c>
      <c r="D1175" s="31" t="s">
        <v>67</v>
      </c>
      <c r="E1175" s="31" t="s">
        <v>52</v>
      </c>
      <c r="F1175" s="31" t="s">
        <v>131</v>
      </c>
      <c r="G1175" s="31" t="n">
        <v>7</v>
      </c>
      <c r="H1175" s="41" t="n">
        <v>10.3</v>
      </c>
      <c r="I1175" s="31" t="s">
        <v>149</v>
      </c>
      <c r="J1175" s="31"/>
      <c r="K1175" s="31" t="s">
        <v>150</v>
      </c>
      <c r="L1175" s="45" t="n">
        <f aca="false">DATE(YEAR(B1175),MONTH(B1175),1)</f>
        <v>46204</v>
      </c>
      <c r="M1175" s="31" t="n">
        <f aca="false">WEEKDAY(B1175,2)</f>
        <v>5</v>
      </c>
      <c r="N1175" s="31" t="str">
        <f aca="false">IF(G1175&lt;=INDEX(Assumptions!$B$15:$B$18,MATCH(E1175,Assumptions!$A$15:$A$18,0)),"Yes","No")</f>
        <v>Yes</v>
      </c>
      <c r="O1175" s="31" t="str">
        <f aca="false">IF(H1175="","Open",IF(H1175&lt;=INDEX(Assumptions!$C$15:$C$18,MATCH(E1175,Assumptions!$A$15:$A$18,0)),"Yes","No"))</f>
        <v>Yes</v>
      </c>
    </row>
    <row r="1176" customFormat="false" ht="15" hidden="false" customHeight="false" outlineLevel="0" collapsed="false">
      <c r="A1176" s="31" t="s">
        <v>1326</v>
      </c>
      <c r="B1176" s="44" t="n">
        <v>46220</v>
      </c>
      <c r="C1176" s="31" t="s">
        <v>59</v>
      </c>
      <c r="D1176" s="31" t="s">
        <v>65</v>
      </c>
      <c r="E1176" s="31" t="s">
        <v>51</v>
      </c>
      <c r="F1176" s="31" t="s">
        <v>126</v>
      </c>
      <c r="G1176" s="31" t="n">
        <v>167</v>
      </c>
      <c r="H1176" s="41" t="n">
        <v>18.1</v>
      </c>
      <c r="I1176" s="31" t="s">
        <v>149</v>
      </c>
      <c r="J1176" s="31"/>
      <c r="K1176" s="31" t="s">
        <v>150</v>
      </c>
      <c r="L1176" s="45" t="n">
        <f aca="false">DATE(YEAR(B1176),MONTH(B1176),1)</f>
        <v>46204</v>
      </c>
      <c r="M1176" s="31" t="n">
        <f aca="false">WEEKDAY(B1176,2)</f>
        <v>5</v>
      </c>
      <c r="N1176" s="31" t="str">
        <f aca="false">IF(G1176&lt;=INDEX(Assumptions!$B$15:$B$18,MATCH(E1176,Assumptions!$A$15:$A$18,0)),"Yes","No")</f>
        <v>No</v>
      </c>
      <c r="O1176" s="31" t="str">
        <f aca="false">IF(H1176="","Open",IF(H1176&lt;=INDEX(Assumptions!$C$15:$C$18,MATCH(E1176,Assumptions!$A$15:$A$18,0)),"Yes","No"))</f>
        <v>Yes</v>
      </c>
    </row>
    <row r="1177" customFormat="false" ht="15" hidden="false" customHeight="false" outlineLevel="0" collapsed="false">
      <c r="A1177" s="31" t="s">
        <v>1327</v>
      </c>
      <c r="B1177" s="44" t="n">
        <v>46220</v>
      </c>
      <c r="C1177" s="31" t="s">
        <v>58</v>
      </c>
      <c r="D1177" s="31" t="s">
        <v>65</v>
      </c>
      <c r="E1177" s="31" t="s">
        <v>51</v>
      </c>
      <c r="F1177" s="31" t="s">
        <v>119</v>
      </c>
      <c r="G1177" s="31" t="n">
        <v>7</v>
      </c>
      <c r="H1177" s="41" t="n">
        <v>17.7</v>
      </c>
      <c r="I1177" s="31" t="s">
        <v>64</v>
      </c>
      <c r="J1177" s="31" t="n">
        <v>3</v>
      </c>
      <c r="K1177" s="31" t="s">
        <v>150</v>
      </c>
      <c r="L1177" s="45" t="n">
        <f aca="false">DATE(YEAR(B1177),MONTH(B1177),1)</f>
        <v>46204</v>
      </c>
      <c r="M1177" s="31" t="n">
        <f aca="false">WEEKDAY(B1177,2)</f>
        <v>5</v>
      </c>
      <c r="N1177" s="31" t="str">
        <f aca="false">IF(G1177&lt;=INDEX(Assumptions!$B$15:$B$18,MATCH(E1177,Assumptions!$A$15:$A$18,0)),"Yes","No")</f>
        <v>Yes</v>
      </c>
      <c r="O1177" s="31" t="str">
        <f aca="false">IF(H1177="","Open",IF(H1177&lt;=INDEX(Assumptions!$C$15:$C$18,MATCH(E1177,Assumptions!$A$15:$A$18,0)),"Yes","No"))</f>
        <v>Yes</v>
      </c>
    </row>
    <row r="1178" customFormat="false" ht="15" hidden="false" customHeight="false" outlineLevel="0" collapsed="false">
      <c r="A1178" s="31" t="s">
        <v>1328</v>
      </c>
      <c r="B1178" s="44" t="n">
        <v>46220</v>
      </c>
      <c r="C1178" s="31" t="s">
        <v>60</v>
      </c>
      <c r="D1178" s="31" t="s">
        <v>69</v>
      </c>
      <c r="E1178" s="31" t="s">
        <v>51</v>
      </c>
      <c r="F1178" s="31" t="s">
        <v>137</v>
      </c>
      <c r="G1178" s="31" t="n">
        <v>3</v>
      </c>
      <c r="H1178" s="41" t="n">
        <v>9.9</v>
      </c>
      <c r="I1178" s="31" t="s">
        <v>149</v>
      </c>
      <c r="J1178" s="31" t="n">
        <v>5</v>
      </c>
      <c r="K1178" s="31" t="s">
        <v>150</v>
      </c>
      <c r="L1178" s="45" t="n">
        <f aca="false">DATE(YEAR(B1178),MONTH(B1178),1)</f>
        <v>46204</v>
      </c>
      <c r="M1178" s="31" t="n">
        <f aca="false">WEEKDAY(B1178,2)</f>
        <v>5</v>
      </c>
      <c r="N1178" s="31" t="str">
        <f aca="false">IF(G1178&lt;=INDEX(Assumptions!$B$15:$B$18,MATCH(E1178,Assumptions!$A$15:$A$18,0)),"Yes","No")</f>
        <v>Yes</v>
      </c>
      <c r="O1178" s="31" t="str">
        <f aca="false">IF(H1178="","Open",IF(H1178&lt;=INDEX(Assumptions!$C$15:$C$18,MATCH(E1178,Assumptions!$A$15:$A$18,0)),"Yes","No"))</f>
        <v>Yes</v>
      </c>
    </row>
    <row r="1179" customFormat="false" ht="15" hidden="false" customHeight="false" outlineLevel="0" collapsed="false">
      <c r="A1179" s="31" t="s">
        <v>1329</v>
      </c>
      <c r="B1179" s="44" t="n">
        <v>46220</v>
      </c>
      <c r="C1179" s="31" t="s">
        <v>59</v>
      </c>
      <c r="D1179" s="31" t="s">
        <v>67</v>
      </c>
      <c r="E1179" s="31" t="s">
        <v>52</v>
      </c>
      <c r="F1179" s="31" t="s">
        <v>131</v>
      </c>
      <c r="G1179" s="31" t="n">
        <v>62</v>
      </c>
      <c r="H1179" s="41" t="n">
        <v>15</v>
      </c>
      <c r="I1179" s="31" t="s">
        <v>149</v>
      </c>
      <c r="J1179" s="31" t="n">
        <v>5</v>
      </c>
      <c r="K1179" s="31" t="s">
        <v>150</v>
      </c>
      <c r="L1179" s="45" t="n">
        <f aca="false">DATE(YEAR(B1179),MONTH(B1179),1)</f>
        <v>46204</v>
      </c>
      <c r="M1179" s="31" t="n">
        <f aca="false">WEEKDAY(B1179,2)</f>
        <v>5</v>
      </c>
      <c r="N1179" s="31" t="str">
        <f aca="false">IF(G1179&lt;=INDEX(Assumptions!$B$15:$B$18,MATCH(E1179,Assumptions!$A$15:$A$18,0)),"Yes","No")</f>
        <v>Yes</v>
      </c>
      <c r="O1179" s="31" t="str">
        <f aca="false">IF(H1179="","Open",IF(H1179&lt;=INDEX(Assumptions!$C$15:$C$18,MATCH(E1179,Assumptions!$A$15:$A$18,0)),"Yes","No"))</f>
        <v>Yes</v>
      </c>
    </row>
    <row r="1180" customFormat="false" ht="15" hidden="false" customHeight="false" outlineLevel="0" collapsed="false">
      <c r="A1180" s="31" t="s">
        <v>1330</v>
      </c>
      <c r="B1180" s="44" t="n">
        <v>46220</v>
      </c>
      <c r="C1180" s="31" t="s">
        <v>57</v>
      </c>
      <c r="D1180" s="31" t="s">
        <v>65</v>
      </c>
      <c r="E1180" s="31" t="s">
        <v>51</v>
      </c>
      <c r="F1180" s="31" t="s">
        <v>133</v>
      </c>
      <c r="G1180" s="31" t="n">
        <v>2</v>
      </c>
      <c r="H1180" s="41" t="n">
        <v>13.1</v>
      </c>
      <c r="I1180" s="31" t="s">
        <v>149</v>
      </c>
      <c r="J1180" s="31" t="n">
        <v>4</v>
      </c>
      <c r="K1180" s="31" t="s">
        <v>150</v>
      </c>
      <c r="L1180" s="45" t="n">
        <f aca="false">DATE(YEAR(B1180),MONTH(B1180),1)</f>
        <v>46204</v>
      </c>
      <c r="M1180" s="31" t="n">
        <f aca="false">WEEKDAY(B1180,2)</f>
        <v>5</v>
      </c>
      <c r="N1180" s="31" t="str">
        <f aca="false">IF(G1180&lt;=INDEX(Assumptions!$B$15:$B$18,MATCH(E1180,Assumptions!$A$15:$A$18,0)),"Yes","No")</f>
        <v>Yes</v>
      </c>
      <c r="O1180" s="31" t="str">
        <f aca="false">IF(H1180="","Open",IF(H1180&lt;=INDEX(Assumptions!$C$15:$C$18,MATCH(E1180,Assumptions!$A$15:$A$18,0)),"Yes","No"))</f>
        <v>Yes</v>
      </c>
    </row>
    <row r="1181" customFormat="false" ht="15" hidden="false" customHeight="false" outlineLevel="0" collapsed="false">
      <c r="A1181" s="31" t="s">
        <v>1331</v>
      </c>
      <c r="B1181" s="44" t="n">
        <v>46220</v>
      </c>
      <c r="C1181" s="31" t="s">
        <v>59</v>
      </c>
      <c r="D1181" s="31" t="s">
        <v>69</v>
      </c>
      <c r="E1181" s="31" t="s">
        <v>51</v>
      </c>
      <c r="F1181" s="31" t="s">
        <v>123</v>
      </c>
      <c r="G1181" s="31" t="n">
        <v>187</v>
      </c>
      <c r="H1181" s="41" t="n">
        <v>30.1</v>
      </c>
      <c r="I1181" s="31" t="s">
        <v>149</v>
      </c>
      <c r="J1181" s="31" t="n">
        <v>4</v>
      </c>
      <c r="K1181" s="31" t="s">
        <v>150</v>
      </c>
      <c r="L1181" s="45" t="n">
        <f aca="false">DATE(YEAR(B1181),MONTH(B1181),1)</f>
        <v>46204</v>
      </c>
      <c r="M1181" s="31" t="n">
        <f aca="false">WEEKDAY(B1181,2)</f>
        <v>5</v>
      </c>
      <c r="N1181" s="31" t="str">
        <f aca="false">IF(G1181&lt;=INDEX(Assumptions!$B$15:$B$18,MATCH(E1181,Assumptions!$A$15:$A$18,0)),"Yes","No")</f>
        <v>No</v>
      </c>
      <c r="O1181" s="31" t="str">
        <f aca="false">IF(H1181="","Open",IF(H1181&lt;=INDEX(Assumptions!$C$15:$C$18,MATCH(E1181,Assumptions!$A$15:$A$18,0)),"Yes","No"))</f>
        <v>No</v>
      </c>
    </row>
    <row r="1182" customFormat="false" ht="15" hidden="false" customHeight="false" outlineLevel="0" collapsed="false">
      <c r="A1182" s="31" t="s">
        <v>1332</v>
      </c>
      <c r="B1182" s="44" t="n">
        <v>46220</v>
      </c>
      <c r="C1182" s="31" t="s">
        <v>58</v>
      </c>
      <c r="D1182" s="31" t="s">
        <v>65</v>
      </c>
      <c r="E1182" s="31" t="s">
        <v>52</v>
      </c>
      <c r="F1182" s="31" t="s">
        <v>124</v>
      </c>
      <c r="G1182" s="31" t="n">
        <v>11</v>
      </c>
      <c r="H1182" s="41" t="n">
        <v>6.6</v>
      </c>
      <c r="I1182" s="31" t="s">
        <v>149</v>
      </c>
      <c r="J1182" s="31" t="n">
        <v>4</v>
      </c>
      <c r="K1182" s="31" t="s">
        <v>150</v>
      </c>
      <c r="L1182" s="45" t="n">
        <f aca="false">DATE(YEAR(B1182),MONTH(B1182),1)</f>
        <v>46204</v>
      </c>
      <c r="M1182" s="31" t="n">
        <f aca="false">WEEKDAY(B1182,2)</f>
        <v>5</v>
      </c>
      <c r="N1182" s="31" t="str">
        <f aca="false">IF(G1182&lt;=INDEX(Assumptions!$B$15:$B$18,MATCH(E1182,Assumptions!$A$15:$A$18,0)),"Yes","No")</f>
        <v>Yes</v>
      </c>
      <c r="O1182" s="31" t="str">
        <f aca="false">IF(H1182="","Open",IF(H1182&lt;=INDEX(Assumptions!$C$15:$C$18,MATCH(E1182,Assumptions!$A$15:$A$18,0)),"Yes","No"))</f>
        <v>Yes</v>
      </c>
    </row>
    <row r="1183" customFormat="false" ht="15" hidden="false" customHeight="false" outlineLevel="0" collapsed="false">
      <c r="A1183" s="31" t="s">
        <v>1333</v>
      </c>
      <c r="B1183" s="44" t="n">
        <v>46220</v>
      </c>
      <c r="C1183" s="31" t="s">
        <v>60</v>
      </c>
      <c r="D1183" s="31" t="s">
        <v>66</v>
      </c>
      <c r="E1183" s="31" t="s">
        <v>52</v>
      </c>
      <c r="F1183" s="31" t="s">
        <v>127</v>
      </c>
      <c r="G1183" s="31" t="n">
        <v>10</v>
      </c>
      <c r="H1183" s="41" t="n">
        <v>18.6</v>
      </c>
      <c r="I1183" s="31" t="s">
        <v>149</v>
      </c>
      <c r="J1183" s="31"/>
      <c r="K1183" s="31" t="s">
        <v>150</v>
      </c>
      <c r="L1183" s="45" t="n">
        <f aca="false">DATE(YEAR(B1183),MONTH(B1183),1)</f>
        <v>46204</v>
      </c>
      <c r="M1183" s="31" t="n">
        <f aca="false">WEEKDAY(B1183,2)</f>
        <v>5</v>
      </c>
      <c r="N1183" s="31" t="str">
        <f aca="false">IF(G1183&lt;=INDEX(Assumptions!$B$15:$B$18,MATCH(E1183,Assumptions!$A$15:$A$18,0)),"Yes","No")</f>
        <v>Yes</v>
      </c>
      <c r="O1183" s="31" t="str">
        <f aca="false">IF(H1183="","Open",IF(H1183&lt;=INDEX(Assumptions!$C$15:$C$18,MATCH(E1183,Assumptions!$A$15:$A$18,0)),"Yes","No"))</f>
        <v>Yes</v>
      </c>
    </row>
    <row r="1184" customFormat="false" ht="15" hidden="false" customHeight="false" outlineLevel="0" collapsed="false">
      <c r="A1184" s="31" t="s">
        <v>1334</v>
      </c>
      <c r="B1184" s="44" t="n">
        <v>46220</v>
      </c>
      <c r="C1184" s="31" t="s">
        <v>59</v>
      </c>
      <c r="D1184" s="31" t="s">
        <v>67</v>
      </c>
      <c r="E1184" s="31" t="s">
        <v>50</v>
      </c>
      <c r="F1184" s="31" t="s">
        <v>117</v>
      </c>
      <c r="G1184" s="31" t="n">
        <v>49</v>
      </c>
      <c r="H1184" s="41" t="n">
        <v>10.2</v>
      </c>
      <c r="I1184" s="31" t="s">
        <v>149</v>
      </c>
      <c r="J1184" s="31"/>
      <c r="K1184" s="31" t="s">
        <v>150</v>
      </c>
      <c r="L1184" s="45" t="n">
        <f aca="false">DATE(YEAR(B1184),MONTH(B1184),1)</f>
        <v>46204</v>
      </c>
      <c r="M1184" s="31" t="n">
        <f aca="false">WEEKDAY(B1184,2)</f>
        <v>5</v>
      </c>
      <c r="N1184" s="31" t="str">
        <f aca="false">IF(G1184&lt;=INDEX(Assumptions!$B$15:$B$18,MATCH(E1184,Assumptions!$A$15:$A$18,0)),"Yes","No")</f>
        <v>No</v>
      </c>
      <c r="O1184" s="31" t="str">
        <f aca="false">IF(H1184="","Open",IF(H1184&lt;=INDEX(Assumptions!$C$15:$C$18,MATCH(E1184,Assumptions!$A$15:$A$18,0)),"Yes","No"))</f>
        <v>No</v>
      </c>
    </row>
    <row r="1185" customFormat="false" ht="15" hidden="false" customHeight="false" outlineLevel="0" collapsed="false">
      <c r="A1185" s="31" t="s">
        <v>1335</v>
      </c>
      <c r="B1185" s="44" t="n">
        <v>46220</v>
      </c>
      <c r="C1185" s="31" t="s">
        <v>58</v>
      </c>
      <c r="D1185" s="31" t="s">
        <v>65</v>
      </c>
      <c r="E1185" s="31" t="s">
        <v>51</v>
      </c>
      <c r="F1185" s="31" t="s">
        <v>128</v>
      </c>
      <c r="G1185" s="31" t="n">
        <v>111</v>
      </c>
      <c r="H1185" s="41" t="n">
        <v>2.2</v>
      </c>
      <c r="I1185" s="31" t="s">
        <v>149</v>
      </c>
      <c r="J1185" s="31"/>
      <c r="K1185" s="31" t="s">
        <v>150</v>
      </c>
      <c r="L1185" s="45" t="n">
        <f aca="false">DATE(YEAR(B1185),MONTH(B1185),1)</f>
        <v>46204</v>
      </c>
      <c r="M1185" s="31" t="n">
        <f aca="false">WEEKDAY(B1185,2)</f>
        <v>5</v>
      </c>
      <c r="N1185" s="31" t="str">
        <f aca="false">IF(G1185&lt;=INDEX(Assumptions!$B$15:$B$18,MATCH(E1185,Assumptions!$A$15:$A$18,0)),"Yes","No")</f>
        <v>No</v>
      </c>
      <c r="O1185" s="31" t="str">
        <f aca="false">IF(H1185="","Open",IF(H1185&lt;=INDEX(Assumptions!$C$15:$C$18,MATCH(E1185,Assumptions!$A$15:$A$18,0)),"Yes","No"))</f>
        <v>Yes</v>
      </c>
    </row>
    <row r="1186" customFormat="false" ht="15" hidden="false" customHeight="false" outlineLevel="0" collapsed="false">
      <c r="A1186" s="31" t="s">
        <v>1336</v>
      </c>
      <c r="B1186" s="44" t="n">
        <v>46220</v>
      </c>
      <c r="C1186" s="31" t="s">
        <v>59</v>
      </c>
      <c r="D1186" s="31" t="s">
        <v>66</v>
      </c>
      <c r="E1186" s="31" t="s">
        <v>52</v>
      </c>
      <c r="F1186" s="31" t="s">
        <v>117</v>
      </c>
      <c r="G1186" s="31" t="n">
        <v>61</v>
      </c>
      <c r="H1186" s="41" t="n">
        <v>12.5</v>
      </c>
      <c r="I1186" s="31" t="s">
        <v>149</v>
      </c>
      <c r="J1186" s="31" t="n">
        <v>5</v>
      </c>
      <c r="K1186" s="31" t="s">
        <v>150</v>
      </c>
      <c r="L1186" s="45" t="n">
        <f aca="false">DATE(YEAR(B1186),MONTH(B1186),1)</f>
        <v>46204</v>
      </c>
      <c r="M1186" s="31" t="n">
        <f aca="false">WEEKDAY(B1186,2)</f>
        <v>5</v>
      </c>
      <c r="N1186" s="31" t="str">
        <f aca="false">IF(G1186&lt;=INDEX(Assumptions!$B$15:$B$18,MATCH(E1186,Assumptions!$A$15:$A$18,0)),"Yes","No")</f>
        <v>Yes</v>
      </c>
      <c r="O1186" s="31" t="str">
        <f aca="false">IF(H1186="","Open",IF(H1186&lt;=INDEX(Assumptions!$C$15:$C$18,MATCH(E1186,Assumptions!$A$15:$A$18,0)),"Yes","No"))</f>
        <v>Yes</v>
      </c>
    </row>
    <row r="1187" customFormat="false" ht="15" hidden="false" customHeight="false" outlineLevel="0" collapsed="false">
      <c r="A1187" s="31" t="s">
        <v>1337</v>
      </c>
      <c r="B1187" s="44" t="n">
        <v>46220</v>
      </c>
      <c r="C1187" s="31" t="s">
        <v>58</v>
      </c>
      <c r="D1187" s="31" t="s">
        <v>68</v>
      </c>
      <c r="E1187" s="31" t="s">
        <v>51</v>
      </c>
      <c r="F1187" s="31" t="s">
        <v>136</v>
      </c>
      <c r="G1187" s="31" t="n">
        <v>5</v>
      </c>
      <c r="H1187" s="41" t="n">
        <v>2.6</v>
      </c>
      <c r="I1187" s="31" t="s">
        <v>149</v>
      </c>
      <c r="J1187" s="31" t="n">
        <v>5</v>
      </c>
      <c r="K1187" s="31" t="s">
        <v>150</v>
      </c>
      <c r="L1187" s="45" t="n">
        <f aca="false">DATE(YEAR(B1187),MONTH(B1187),1)</f>
        <v>46204</v>
      </c>
      <c r="M1187" s="31" t="n">
        <f aca="false">WEEKDAY(B1187,2)</f>
        <v>5</v>
      </c>
      <c r="N1187" s="31" t="str">
        <f aca="false">IF(G1187&lt;=INDEX(Assumptions!$B$15:$B$18,MATCH(E1187,Assumptions!$A$15:$A$18,0)),"Yes","No")</f>
        <v>Yes</v>
      </c>
      <c r="O1187" s="31" t="str">
        <f aca="false">IF(H1187="","Open",IF(H1187&lt;=INDEX(Assumptions!$C$15:$C$18,MATCH(E1187,Assumptions!$A$15:$A$18,0)),"Yes","No"))</f>
        <v>Yes</v>
      </c>
    </row>
    <row r="1188" customFormat="false" ht="15" hidden="false" customHeight="false" outlineLevel="0" collapsed="false">
      <c r="A1188" s="31" t="s">
        <v>1338</v>
      </c>
      <c r="B1188" s="44" t="n">
        <v>46220</v>
      </c>
      <c r="C1188" s="31" t="s">
        <v>57</v>
      </c>
      <c r="D1188" s="31" t="s">
        <v>66</v>
      </c>
      <c r="E1188" s="31" t="s">
        <v>51</v>
      </c>
      <c r="F1188" s="31" t="s">
        <v>117</v>
      </c>
      <c r="G1188" s="31" t="n">
        <v>7</v>
      </c>
      <c r="H1188" s="41" t="n">
        <v>1.4</v>
      </c>
      <c r="I1188" s="31" t="s">
        <v>149</v>
      </c>
      <c r="J1188" s="31" t="n">
        <v>5</v>
      </c>
      <c r="K1188" s="31" t="s">
        <v>150</v>
      </c>
      <c r="L1188" s="45" t="n">
        <f aca="false">DATE(YEAR(B1188),MONTH(B1188),1)</f>
        <v>46204</v>
      </c>
      <c r="M1188" s="31" t="n">
        <f aca="false">WEEKDAY(B1188,2)</f>
        <v>5</v>
      </c>
      <c r="N1188" s="31" t="str">
        <f aca="false">IF(G1188&lt;=INDEX(Assumptions!$B$15:$B$18,MATCH(E1188,Assumptions!$A$15:$A$18,0)),"Yes","No")</f>
        <v>Yes</v>
      </c>
      <c r="O1188" s="31" t="str">
        <f aca="false">IF(H1188="","Open",IF(H1188&lt;=INDEX(Assumptions!$C$15:$C$18,MATCH(E1188,Assumptions!$A$15:$A$18,0)),"Yes","No"))</f>
        <v>Yes</v>
      </c>
    </row>
    <row r="1189" customFormat="false" ht="15" hidden="false" customHeight="false" outlineLevel="0" collapsed="false">
      <c r="A1189" s="31" t="s">
        <v>1339</v>
      </c>
      <c r="B1189" s="44" t="n">
        <v>46220</v>
      </c>
      <c r="C1189" s="31" t="s">
        <v>58</v>
      </c>
      <c r="D1189" s="31" t="s">
        <v>68</v>
      </c>
      <c r="E1189" s="31" t="s">
        <v>51</v>
      </c>
      <c r="F1189" s="31" t="s">
        <v>137</v>
      </c>
      <c r="G1189" s="31" t="n">
        <v>11</v>
      </c>
      <c r="H1189" s="41" t="n">
        <v>2.6</v>
      </c>
      <c r="I1189" s="31" t="s">
        <v>149</v>
      </c>
      <c r="J1189" s="31"/>
      <c r="K1189" s="31" t="s">
        <v>150</v>
      </c>
      <c r="L1189" s="45" t="n">
        <f aca="false">DATE(YEAR(B1189),MONTH(B1189),1)</f>
        <v>46204</v>
      </c>
      <c r="M1189" s="31" t="n">
        <f aca="false">WEEKDAY(B1189,2)</f>
        <v>5</v>
      </c>
      <c r="N1189" s="31" t="str">
        <f aca="false">IF(G1189&lt;=INDEX(Assumptions!$B$15:$B$18,MATCH(E1189,Assumptions!$A$15:$A$18,0)),"Yes","No")</f>
        <v>Yes</v>
      </c>
      <c r="O1189" s="31" t="str">
        <f aca="false">IF(H1189="","Open",IF(H1189&lt;=INDEX(Assumptions!$C$15:$C$18,MATCH(E1189,Assumptions!$A$15:$A$18,0)),"Yes","No"))</f>
        <v>Yes</v>
      </c>
    </row>
    <row r="1190" customFormat="false" ht="15" hidden="false" customHeight="false" outlineLevel="0" collapsed="false">
      <c r="A1190" s="31" t="s">
        <v>1340</v>
      </c>
      <c r="B1190" s="44" t="n">
        <v>46220</v>
      </c>
      <c r="C1190" s="31" t="s">
        <v>58</v>
      </c>
      <c r="D1190" s="31" t="s">
        <v>65</v>
      </c>
      <c r="E1190" s="31" t="s">
        <v>51</v>
      </c>
      <c r="F1190" s="31" t="s">
        <v>129</v>
      </c>
      <c r="G1190" s="31" t="n">
        <v>5</v>
      </c>
      <c r="H1190" s="41" t="n">
        <v>11.1</v>
      </c>
      <c r="I1190" s="31" t="s">
        <v>149</v>
      </c>
      <c r="J1190" s="31"/>
      <c r="K1190" s="31" t="s">
        <v>150</v>
      </c>
      <c r="L1190" s="45" t="n">
        <f aca="false">DATE(YEAR(B1190),MONTH(B1190),1)</f>
        <v>46204</v>
      </c>
      <c r="M1190" s="31" t="n">
        <f aca="false">WEEKDAY(B1190,2)</f>
        <v>5</v>
      </c>
      <c r="N1190" s="31" t="str">
        <f aca="false">IF(G1190&lt;=INDEX(Assumptions!$B$15:$B$18,MATCH(E1190,Assumptions!$A$15:$A$18,0)),"Yes","No")</f>
        <v>Yes</v>
      </c>
      <c r="O1190" s="31" t="str">
        <f aca="false">IF(H1190="","Open",IF(H1190&lt;=INDEX(Assumptions!$C$15:$C$18,MATCH(E1190,Assumptions!$A$15:$A$18,0)),"Yes","No"))</f>
        <v>Yes</v>
      </c>
    </row>
    <row r="1191" customFormat="false" ht="15" hidden="false" customHeight="false" outlineLevel="0" collapsed="false">
      <c r="A1191" s="31" t="s">
        <v>1341</v>
      </c>
      <c r="B1191" s="44" t="n">
        <v>46220</v>
      </c>
      <c r="C1191" s="31" t="s">
        <v>57</v>
      </c>
      <c r="D1191" s="31" t="s">
        <v>67</v>
      </c>
      <c r="E1191" s="31" t="s">
        <v>50</v>
      </c>
      <c r="F1191" s="31" t="s">
        <v>129</v>
      </c>
      <c r="G1191" s="31" t="n">
        <v>3</v>
      </c>
      <c r="H1191" s="41" t="n">
        <v>2</v>
      </c>
      <c r="I1191" s="31" t="s">
        <v>149</v>
      </c>
      <c r="J1191" s="31"/>
      <c r="K1191" s="31" t="s">
        <v>150</v>
      </c>
      <c r="L1191" s="45" t="n">
        <f aca="false">DATE(YEAR(B1191),MONTH(B1191),1)</f>
        <v>46204</v>
      </c>
      <c r="M1191" s="31" t="n">
        <f aca="false">WEEKDAY(B1191,2)</f>
        <v>5</v>
      </c>
      <c r="N1191" s="31" t="str">
        <f aca="false">IF(G1191&lt;=INDEX(Assumptions!$B$15:$B$18,MATCH(E1191,Assumptions!$A$15:$A$18,0)),"Yes","No")</f>
        <v>Yes</v>
      </c>
      <c r="O1191" s="31" t="str">
        <f aca="false">IF(H1191="","Open",IF(H1191&lt;=INDEX(Assumptions!$C$15:$C$18,MATCH(E1191,Assumptions!$A$15:$A$18,0)),"Yes","No"))</f>
        <v>Yes</v>
      </c>
    </row>
    <row r="1192" customFormat="false" ht="15" hidden="false" customHeight="false" outlineLevel="0" collapsed="false">
      <c r="A1192" s="31" t="s">
        <v>1342</v>
      </c>
      <c r="B1192" s="44" t="n">
        <v>46220</v>
      </c>
      <c r="C1192" s="31" t="s">
        <v>57</v>
      </c>
      <c r="D1192" s="31" t="s">
        <v>65</v>
      </c>
      <c r="E1192" s="31" t="s">
        <v>50</v>
      </c>
      <c r="F1192" s="31" t="s">
        <v>133</v>
      </c>
      <c r="G1192" s="31" t="n">
        <v>2</v>
      </c>
      <c r="H1192" s="41" t="n">
        <v>10</v>
      </c>
      <c r="I1192" s="31" t="s">
        <v>149</v>
      </c>
      <c r="J1192" s="31"/>
      <c r="K1192" s="31" t="s">
        <v>150</v>
      </c>
      <c r="L1192" s="45" t="n">
        <f aca="false">DATE(YEAR(B1192),MONTH(B1192),1)</f>
        <v>46204</v>
      </c>
      <c r="M1192" s="31" t="n">
        <f aca="false">WEEKDAY(B1192,2)</f>
        <v>5</v>
      </c>
      <c r="N1192" s="31" t="str">
        <f aca="false">IF(G1192&lt;=INDEX(Assumptions!$B$15:$B$18,MATCH(E1192,Assumptions!$A$15:$A$18,0)),"Yes","No")</f>
        <v>Yes</v>
      </c>
      <c r="O1192" s="31" t="str">
        <f aca="false">IF(H1192="","Open",IF(H1192&lt;=INDEX(Assumptions!$C$15:$C$18,MATCH(E1192,Assumptions!$A$15:$A$18,0)),"Yes","No"))</f>
        <v>No</v>
      </c>
    </row>
    <row r="1193" customFormat="false" ht="15" hidden="false" customHeight="false" outlineLevel="0" collapsed="false">
      <c r="A1193" s="31" t="s">
        <v>1343</v>
      </c>
      <c r="B1193" s="44" t="n">
        <v>46220</v>
      </c>
      <c r="C1193" s="31" t="s">
        <v>58</v>
      </c>
      <c r="D1193" s="31" t="s">
        <v>66</v>
      </c>
      <c r="E1193" s="31" t="s">
        <v>51</v>
      </c>
      <c r="F1193" s="31" t="s">
        <v>131</v>
      </c>
      <c r="G1193" s="31" t="n">
        <v>8</v>
      </c>
      <c r="H1193" s="41" t="n">
        <v>7</v>
      </c>
      <c r="I1193" s="31" t="s">
        <v>149</v>
      </c>
      <c r="J1193" s="31" t="n">
        <v>4</v>
      </c>
      <c r="K1193" s="31" t="s">
        <v>150</v>
      </c>
      <c r="L1193" s="45" t="n">
        <f aca="false">DATE(YEAR(B1193),MONTH(B1193),1)</f>
        <v>46204</v>
      </c>
      <c r="M1193" s="31" t="n">
        <f aca="false">WEEKDAY(B1193,2)</f>
        <v>5</v>
      </c>
      <c r="N1193" s="31" t="str">
        <f aca="false">IF(G1193&lt;=INDEX(Assumptions!$B$15:$B$18,MATCH(E1193,Assumptions!$A$15:$A$18,0)),"Yes","No")</f>
        <v>Yes</v>
      </c>
      <c r="O1193" s="31" t="str">
        <f aca="false">IF(H1193="","Open",IF(H1193&lt;=INDEX(Assumptions!$C$15:$C$18,MATCH(E1193,Assumptions!$A$15:$A$18,0)),"Yes","No"))</f>
        <v>Yes</v>
      </c>
    </row>
    <row r="1194" customFormat="false" ht="15" hidden="false" customHeight="false" outlineLevel="0" collapsed="false">
      <c r="A1194" s="31" t="s">
        <v>1344</v>
      </c>
      <c r="B1194" s="44" t="n">
        <v>46220</v>
      </c>
      <c r="C1194" s="31" t="s">
        <v>57</v>
      </c>
      <c r="D1194" s="31" t="s">
        <v>67</v>
      </c>
      <c r="E1194" s="31" t="s">
        <v>49</v>
      </c>
      <c r="F1194" s="31" t="s">
        <v>122</v>
      </c>
      <c r="G1194" s="31" t="n">
        <v>1</v>
      </c>
      <c r="H1194" s="41" t="n">
        <v>7.3</v>
      </c>
      <c r="I1194" s="31" t="s">
        <v>149</v>
      </c>
      <c r="J1194" s="31"/>
      <c r="K1194" s="31" t="s">
        <v>150</v>
      </c>
      <c r="L1194" s="45" t="n">
        <f aca="false">DATE(YEAR(B1194),MONTH(B1194),1)</f>
        <v>46204</v>
      </c>
      <c r="M1194" s="31" t="n">
        <f aca="false">WEEKDAY(B1194,2)</f>
        <v>5</v>
      </c>
      <c r="N1194" s="31" t="str">
        <f aca="false">IF(G1194&lt;=INDEX(Assumptions!$B$15:$B$18,MATCH(E1194,Assumptions!$A$15:$A$18,0)),"Yes","No")</f>
        <v>Yes</v>
      </c>
      <c r="O1194" s="31" t="str">
        <f aca="false">IF(H1194="","Open",IF(H1194&lt;=INDEX(Assumptions!$C$15:$C$18,MATCH(E1194,Assumptions!$A$15:$A$18,0)),"Yes","No"))</f>
        <v>No</v>
      </c>
    </row>
    <row r="1195" customFormat="false" ht="15" hidden="false" customHeight="false" outlineLevel="0" collapsed="false">
      <c r="A1195" s="31" t="s">
        <v>1345</v>
      </c>
      <c r="B1195" s="44" t="n">
        <v>46220</v>
      </c>
      <c r="C1195" s="31" t="s">
        <v>57</v>
      </c>
      <c r="D1195" s="31" t="s">
        <v>68</v>
      </c>
      <c r="E1195" s="31" t="s">
        <v>51</v>
      </c>
      <c r="F1195" s="31" t="s">
        <v>119</v>
      </c>
      <c r="G1195" s="31" t="n">
        <v>2</v>
      </c>
      <c r="H1195" s="41" t="n">
        <v>3.6</v>
      </c>
      <c r="I1195" s="31" t="s">
        <v>149</v>
      </c>
      <c r="J1195" s="31"/>
      <c r="K1195" s="31" t="s">
        <v>150</v>
      </c>
      <c r="L1195" s="45" t="n">
        <f aca="false">DATE(YEAR(B1195),MONTH(B1195),1)</f>
        <v>46204</v>
      </c>
      <c r="M1195" s="31" t="n">
        <f aca="false">WEEKDAY(B1195,2)</f>
        <v>5</v>
      </c>
      <c r="N1195" s="31" t="str">
        <f aca="false">IF(G1195&lt;=INDEX(Assumptions!$B$15:$B$18,MATCH(E1195,Assumptions!$A$15:$A$18,0)),"Yes","No")</f>
        <v>Yes</v>
      </c>
      <c r="O1195" s="31" t="str">
        <f aca="false">IF(H1195="","Open",IF(H1195&lt;=INDEX(Assumptions!$C$15:$C$18,MATCH(E1195,Assumptions!$A$15:$A$18,0)),"Yes","No"))</f>
        <v>Yes</v>
      </c>
    </row>
    <row r="1196" customFormat="false" ht="15" hidden="false" customHeight="false" outlineLevel="0" collapsed="false">
      <c r="A1196" s="31" t="s">
        <v>1346</v>
      </c>
      <c r="B1196" s="44" t="n">
        <v>46220</v>
      </c>
      <c r="C1196" s="31" t="s">
        <v>59</v>
      </c>
      <c r="D1196" s="31" t="s">
        <v>65</v>
      </c>
      <c r="E1196" s="31" t="s">
        <v>51</v>
      </c>
      <c r="F1196" s="31" t="s">
        <v>135</v>
      </c>
      <c r="G1196" s="31" t="n">
        <v>20</v>
      </c>
      <c r="H1196" s="41" t="n">
        <v>1.6</v>
      </c>
      <c r="I1196" s="31" t="s">
        <v>149</v>
      </c>
      <c r="J1196" s="31" t="n">
        <v>5</v>
      </c>
      <c r="K1196" s="31" t="s">
        <v>150</v>
      </c>
      <c r="L1196" s="45" t="n">
        <f aca="false">DATE(YEAR(B1196),MONTH(B1196),1)</f>
        <v>46204</v>
      </c>
      <c r="M1196" s="31" t="n">
        <f aca="false">WEEKDAY(B1196,2)</f>
        <v>5</v>
      </c>
      <c r="N1196" s="31" t="str">
        <f aca="false">IF(G1196&lt;=INDEX(Assumptions!$B$15:$B$18,MATCH(E1196,Assumptions!$A$15:$A$18,0)),"Yes","No")</f>
        <v>Yes</v>
      </c>
      <c r="O1196" s="31" t="str">
        <f aca="false">IF(H1196="","Open",IF(H1196&lt;=INDEX(Assumptions!$C$15:$C$18,MATCH(E1196,Assumptions!$A$15:$A$18,0)),"Yes","No"))</f>
        <v>Yes</v>
      </c>
    </row>
    <row r="1197" customFormat="false" ht="15" hidden="false" customHeight="false" outlineLevel="0" collapsed="false">
      <c r="A1197" s="31" t="s">
        <v>1347</v>
      </c>
      <c r="B1197" s="44" t="n">
        <v>46220</v>
      </c>
      <c r="C1197" s="31" t="s">
        <v>59</v>
      </c>
      <c r="D1197" s="31" t="s">
        <v>65</v>
      </c>
      <c r="E1197" s="31" t="s">
        <v>52</v>
      </c>
      <c r="F1197" s="31" t="s">
        <v>129</v>
      </c>
      <c r="G1197" s="31" t="n">
        <v>86</v>
      </c>
      <c r="H1197" s="41" t="n">
        <v>15</v>
      </c>
      <c r="I1197" s="31" t="s">
        <v>149</v>
      </c>
      <c r="J1197" s="31" t="n">
        <v>5</v>
      </c>
      <c r="K1197" s="31" t="s">
        <v>150</v>
      </c>
      <c r="L1197" s="45" t="n">
        <f aca="false">DATE(YEAR(B1197),MONTH(B1197),1)</f>
        <v>46204</v>
      </c>
      <c r="M1197" s="31" t="n">
        <f aca="false">WEEKDAY(B1197,2)</f>
        <v>5</v>
      </c>
      <c r="N1197" s="31" t="str">
        <f aca="false">IF(G1197&lt;=INDEX(Assumptions!$B$15:$B$18,MATCH(E1197,Assumptions!$A$15:$A$18,0)),"Yes","No")</f>
        <v>Yes</v>
      </c>
      <c r="O1197" s="31" t="str">
        <f aca="false">IF(H1197="","Open",IF(H1197&lt;=INDEX(Assumptions!$C$15:$C$18,MATCH(E1197,Assumptions!$A$15:$A$18,0)),"Yes","No"))</f>
        <v>Yes</v>
      </c>
    </row>
    <row r="1198" customFormat="false" ht="15" hidden="false" customHeight="false" outlineLevel="0" collapsed="false">
      <c r="A1198" s="31" t="s">
        <v>1348</v>
      </c>
      <c r="B1198" s="44" t="n">
        <v>46220</v>
      </c>
      <c r="C1198" s="31" t="s">
        <v>58</v>
      </c>
      <c r="D1198" s="31" t="s">
        <v>66</v>
      </c>
      <c r="E1198" s="31" t="s">
        <v>52</v>
      </c>
      <c r="F1198" s="31" t="s">
        <v>119</v>
      </c>
      <c r="G1198" s="31" t="n">
        <v>8</v>
      </c>
      <c r="H1198" s="41" t="n">
        <v>19.2</v>
      </c>
      <c r="I1198" s="31" t="s">
        <v>149</v>
      </c>
      <c r="J1198" s="31"/>
      <c r="K1198" s="31" t="s">
        <v>150</v>
      </c>
      <c r="L1198" s="45" t="n">
        <f aca="false">DATE(YEAR(B1198),MONTH(B1198),1)</f>
        <v>46204</v>
      </c>
      <c r="M1198" s="31" t="n">
        <f aca="false">WEEKDAY(B1198,2)</f>
        <v>5</v>
      </c>
      <c r="N1198" s="31" t="str">
        <f aca="false">IF(G1198&lt;=INDEX(Assumptions!$B$15:$B$18,MATCH(E1198,Assumptions!$A$15:$A$18,0)),"Yes","No")</f>
        <v>Yes</v>
      </c>
      <c r="O1198" s="31" t="str">
        <f aca="false">IF(H1198="","Open",IF(H1198&lt;=INDEX(Assumptions!$C$15:$C$18,MATCH(E1198,Assumptions!$A$15:$A$18,0)),"Yes","No"))</f>
        <v>Yes</v>
      </c>
    </row>
    <row r="1199" customFormat="false" ht="15" hidden="false" customHeight="false" outlineLevel="0" collapsed="false">
      <c r="A1199" s="31" t="s">
        <v>1349</v>
      </c>
      <c r="B1199" s="44" t="n">
        <v>46220</v>
      </c>
      <c r="C1199" s="31" t="s">
        <v>58</v>
      </c>
      <c r="D1199" s="31" t="s">
        <v>65</v>
      </c>
      <c r="E1199" s="31" t="s">
        <v>52</v>
      </c>
      <c r="F1199" s="31" t="s">
        <v>134</v>
      </c>
      <c r="G1199" s="31" t="n">
        <v>48</v>
      </c>
      <c r="H1199" s="41" t="n">
        <v>11.2</v>
      </c>
      <c r="I1199" s="31" t="s">
        <v>149</v>
      </c>
      <c r="J1199" s="31"/>
      <c r="K1199" s="31" t="s">
        <v>150</v>
      </c>
      <c r="L1199" s="45" t="n">
        <f aca="false">DATE(YEAR(B1199),MONTH(B1199),1)</f>
        <v>46204</v>
      </c>
      <c r="M1199" s="31" t="n">
        <f aca="false">WEEKDAY(B1199,2)</f>
        <v>5</v>
      </c>
      <c r="N1199" s="31" t="str">
        <f aca="false">IF(G1199&lt;=INDEX(Assumptions!$B$15:$B$18,MATCH(E1199,Assumptions!$A$15:$A$18,0)),"Yes","No")</f>
        <v>Yes</v>
      </c>
      <c r="O1199" s="31" t="str">
        <f aca="false">IF(H1199="","Open",IF(H1199&lt;=INDEX(Assumptions!$C$15:$C$18,MATCH(E1199,Assumptions!$A$15:$A$18,0)),"Yes","No"))</f>
        <v>Yes</v>
      </c>
    </row>
    <row r="1200" customFormat="false" ht="15" hidden="false" customHeight="false" outlineLevel="0" collapsed="false">
      <c r="A1200" s="31" t="s">
        <v>1350</v>
      </c>
      <c r="B1200" s="44" t="n">
        <v>46220</v>
      </c>
      <c r="C1200" s="31" t="s">
        <v>57</v>
      </c>
      <c r="D1200" s="31" t="s">
        <v>65</v>
      </c>
      <c r="E1200" s="31" t="s">
        <v>52</v>
      </c>
      <c r="F1200" s="31" t="s">
        <v>137</v>
      </c>
      <c r="G1200" s="31" t="n">
        <v>7</v>
      </c>
      <c r="H1200" s="41" t="n">
        <v>10.2</v>
      </c>
      <c r="I1200" s="31" t="s">
        <v>149</v>
      </c>
      <c r="J1200" s="31"/>
      <c r="K1200" s="31" t="s">
        <v>150</v>
      </c>
      <c r="L1200" s="45" t="n">
        <f aca="false">DATE(YEAR(B1200),MONTH(B1200),1)</f>
        <v>46204</v>
      </c>
      <c r="M1200" s="31" t="n">
        <f aca="false">WEEKDAY(B1200,2)</f>
        <v>5</v>
      </c>
      <c r="N1200" s="31" t="str">
        <f aca="false">IF(G1200&lt;=INDEX(Assumptions!$B$15:$B$18,MATCH(E1200,Assumptions!$A$15:$A$18,0)),"Yes","No")</f>
        <v>Yes</v>
      </c>
      <c r="O1200" s="31" t="str">
        <f aca="false">IF(H1200="","Open",IF(H1200&lt;=INDEX(Assumptions!$C$15:$C$18,MATCH(E1200,Assumptions!$A$15:$A$18,0)),"Yes","No"))</f>
        <v>Yes</v>
      </c>
    </row>
    <row r="1201" customFormat="false" ht="15" hidden="false" customHeight="false" outlineLevel="0" collapsed="false">
      <c r="A1201" s="31" t="s">
        <v>1351</v>
      </c>
      <c r="B1201" s="44" t="n">
        <v>46220</v>
      </c>
      <c r="C1201" s="31" t="s">
        <v>57</v>
      </c>
      <c r="D1201" s="31" t="s">
        <v>65</v>
      </c>
      <c r="E1201" s="31" t="s">
        <v>51</v>
      </c>
      <c r="F1201" s="31" t="s">
        <v>131</v>
      </c>
      <c r="G1201" s="31" t="n">
        <v>4</v>
      </c>
      <c r="H1201" s="41" t="n">
        <v>6.9</v>
      </c>
      <c r="I1201" s="31" t="s">
        <v>149</v>
      </c>
      <c r="J1201" s="31"/>
      <c r="K1201" s="31" t="s">
        <v>150</v>
      </c>
      <c r="L1201" s="45" t="n">
        <f aca="false">DATE(YEAR(B1201),MONTH(B1201),1)</f>
        <v>46204</v>
      </c>
      <c r="M1201" s="31" t="n">
        <f aca="false">WEEKDAY(B1201,2)</f>
        <v>5</v>
      </c>
      <c r="N1201" s="31" t="str">
        <f aca="false">IF(G1201&lt;=INDEX(Assumptions!$B$15:$B$18,MATCH(E1201,Assumptions!$A$15:$A$18,0)),"Yes","No")</f>
        <v>Yes</v>
      </c>
      <c r="O1201" s="31" t="str">
        <f aca="false">IF(H1201="","Open",IF(H1201&lt;=INDEX(Assumptions!$C$15:$C$18,MATCH(E1201,Assumptions!$A$15:$A$18,0)),"Yes","No"))</f>
        <v>Yes</v>
      </c>
    </row>
    <row r="1202" customFormat="false" ht="15" hidden="false" customHeight="false" outlineLevel="0" collapsed="false">
      <c r="A1202" s="31" t="s">
        <v>1352</v>
      </c>
      <c r="B1202" s="44" t="n">
        <v>46220</v>
      </c>
      <c r="C1202" s="31" t="s">
        <v>59</v>
      </c>
      <c r="D1202" s="31" t="s">
        <v>67</v>
      </c>
      <c r="E1202" s="31" t="s">
        <v>49</v>
      </c>
      <c r="F1202" s="31" t="s">
        <v>117</v>
      </c>
      <c r="G1202" s="31" t="n">
        <v>45</v>
      </c>
      <c r="H1202" s="41" t="n">
        <v>2.7</v>
      </c>
      <c r="I1202" s="31" t="s">
        <v>149</v>
      </c>
      <c r="J1202" s="31"/>
      <c r="K1202" s="31" t="s">
        <v>150</v>
      </c>
      <c r="L1202" s="45" t="n">
        <f aca="false">DATE(YEAR(B1202),MONTH(B1202),1)</f>
        <v>46204</v>
      </c>
      <c r="M1202" s="31" t="n">
        <f aca="false">WEEKDAY(B1202,2)</f>
        <v>5</v>
      </c>
      <c r="N1202" s="31" t="str">
        <f aca="false">IF(G1202&lt;=INDEX(Assumptions!$B$15:$B$18,MATCH(E1202,Assumptions!$A$15:$A$18,0)),"Yes","No")</f>
        <v>No</v>
      </c>
      <c r="O1202" s="31" t="str">
        <f aca="false">IF(H1202="","Open",IF(H1202&lt;=INDEX(Assumptions!$C$15:$C$18,MATCH(E1202,Assumptions!$A$15:$A$18,0)),"Yes","No"))</f>
        <v>Yes</v>
      </c>
    </row>
    <row r="1203" customFormat="false" ht="15" hidden="false" customHeight="false" outlineLevel="0" collapsed="false">
      <c r="A1203" s="31" t="s">
        <v>1353</v>
      </c>
      <c r="B1203" s="44" t="n">
        <v>46220</v>
      </c>
      <c r="C1203" s="31" t="s">
        <v>58</v>
      </c>
      <c r="D1203" s="31" t="s">
        <v>67</v>
      </c>
      <c r="E1203" s="31" t="s">
        <v>50</v>
      </c>
      <c r="F1203" s="31" t="s">
        <v>127</v>
      </c>
      <c r="G1203" s="31" t="n">
        <v>10</v>
      </c>
      <c r="H1203" s="41" t="n">
        <v>4.2</v>
      </c>
      <c r="I1203" s="31" t="s">
        <v>149</v>
      </c>
      <c r="J1203" s="31"/>
      <c r="K1203" s="31" t="s">
        <v>150</v>
      </c>
      <c r="L1203" s="45" t="n">
        <f aca="false">DATE(YEAR(B1203),MONTH(B1203),1)</f>
        <v>46204</v>
      </c>
      <c r="M1203" s="31" t="n">
        <f aca="false">WEEKDAY(B1203,2)</f>
        <v>5</v>
      </c>
      <c r="N1203" s="31" t="str">
        <f aca="false">IF(G1203&lt;=INDEX(Assumptions!$B$15:$B$18,MATCH(E1203,Assumptions!$A$15:$A$18,0)),"Yes","No")</f>
        <v>Yes</v>
      </c>
      <c r="O1203" s="31" t="str">
        <f aca="false">IF(H1203="","Open",IF(H1203&lt;=INDEX(Assumptions!$C$15:$C$18,MATCH(E1203,Assumptions!$A$15:$A$18,0)),"Yes","No"))</f>
        <v>Yes</v>
      </c>
    </row>
    <row r="1204" customFormat="false" ht="15" hidden="false" customHeight="false" outlineLevel="0" collapsed="false">
      <c r="A1204" s="31" t="s">
        <v>1354</v>
      </c>
      <c r="B1204" s="44" t="n">
        <v>46220</v>
      </c>
      <c r="C1204" s="31" t="s">
        <v>58</v>
      </c>
      <c r="D1204" s="31" t="s">
        <v>69</v>
      </c>
      <c r="E1204" s="31" t="s">
        <v>51</v>
      </c>
      <c r="F1204" s="31" t="s">
        <v>136</v>
      </c>
      <c r="G1204" s="31" t="n">
        <v>10</v>
      </c>
      <c r="H1204" s="41" t="n">
        <v>18.2</v>
      </c>
      <c r="I1204" s="31" t="s">
        <v>149</v>
      </c>
      <c r="J1204" s="31" t="n">
        <v>4</v>
      </c>
      <c r="K1204" s="31" t="s">
        <v>150</v>
      </c>
      <c r="L1204" s="45" t="n">
        <f aca="false">DATE(YEAR(B1204),MONTH(B1204),1)</f>
        <v>46204</v>
      </c>
      <c r="M1204" s="31" t="n">
        <f aca="false">WEEKDAY(B1204,2)</f>
        <v>5</v>
      </c>
      <c r="N1204" s="31" t="str">
        <f aca="false">IF(G1204&lt;=INDEX(Assumptions!$B$15:$B$18,MATCH(E1204,Assumptions!$A$15:$A$18,0)),"Yes","No")</f>
        <v>Yes</v>
      </c>
      <c r="O1204" s="31" t="str">
        <f aca="false">IF(H1204="","Open",IF(H1204&lt;=INDEX(Assumptions!$C$15:$C$18,MATCH(E1204,Assumptions!$A$15:$A$18,0)),"Yes","No"))</f>
        <v>Yes</v>
      </c>
    </row>
    <row r="1205" customFormat="false" ht="15" hidden="false" customHeight="false" outlineLevel="0" collapsed="false">
      <c r="A1205" s="31" t="s">
        <v>1355</v>
      </c>
      <c r="B1205" s="44" t="n">
        <v>46220</v>
      </c>
      <c r="C1205" s="31" t="s">
        <v>58</v>
      </c>
      <c r="D1205" s="31" t="s">
        <v>66</v>
      </c>
      <c r="E1205" s="31" t="s">
        <v>51</v>
      </c>
      <c r="F1205" s="31" t="s">
        <v>124</v>
      </c>
      <c r="G1205" s="31" t="n">
        <v>10</v>
      </c>
      <c r="H1205" s="41" t="n">
        <v>3.5</v>
      </c>
      <c r="I1205" s="31" t="s">
        <v>149</v>
      </c>
      <c r="J1205" s="31" t="n">
        <v>4</v>
      </c>
      <c r="K1205" s="31" t="s">
        <v>150</v>
      </c>
      <c r="L1205" s="45" t="n">
        <f aca="false">DATE(YEAR(B1205),MONTH(B1205),1)</f>
        <v>46204</v>
      </c>
      <c r="M1205" s="31" t="n">
        <f aca="false">WEEKDAY(B1205,2)</f>
        <v>5</v>
      </c>
      <c r="N1205" s="31" t="str">
        <f aca="false">IF(G1205&lt;=INDEX(Assumptions!$B$15:$B$18,MATCH(E1205,Assumptions!$A$15:$A$18,0)),"Yes","No")</f>
        <v>Yes</v>
      </c>
      <c r="O1205" s="31" t="str">
        <f aca="false">IF(H1205="","Open",IF(H1205&lt;=INDEX(Assumptions!$C$15:$C$18,MATCH(E1205,Assumptions!$A$15:$A$18,0)),"Yes","No"))</f>
        <v>Yes</v>
      </c>
    </row>
    <row r="1206" customFormat="false" ht="15" hidden="false" customHeight="false" outlineLevel="0" collapsed="false">
      <c r="A1206" s="31" t="s">
        <v>1356</v>
      </c>
      <c r="B1206" s="44" t="n">
        <v>46220</v>
      </c>
      <c r="C1206" s="31" t="s">
        <v>57</v>
      </c>
      <c r="D1206" s="31" t="s">
        <v>65</v>
      </c>
      <c r="E1206" s="31" t="s">
        <v>52</v>
      </c>
      <c r="F1206" s="31" t="s">
        <v>124</v>
      </c>
      <c r="G1206" s="31" t="n">
        <v>5</v>
      </c>
      <c r="H1206" s="41" t="n">
        <v>9.2</v>
      </c>
      <c r="I1206" s="31" t="s">
        <v>149</v>
      </c>
      <c r="J1206" s="31" t="n">
        <v>5</v>
      </c>
      <c r="K1206" s="31" t="s">
        <v>150</v>
      </c>
      <c r="L1206" s="45" t="n">
        <f aca="false">DATE(YEAR(B1206),MONTH(B1206),1)</f>
        <v>46204</v>
      </c>
      <c r="M1206" s="31" t="n">
        <f aca="false">WEEKDAY(B1206,2)</f>
        <v>5</v>
      </c>
      <c r="N1206" s="31" t="str">
        <f aca="false">IF(G1206&lt;=INDEX(Assumptions!$B$15:$B$18,MATCH(E1206,Assumptions!$A$15:$A$18,0)),"Yes","No")</f>
        <v>Yes</v>
      </c>
      <c r="O1206" s="31" t="str">
        <f aca="false">IF(H1206="","Open",IF(H1206&lt;=INDEX(Assumptions!$C$15:$C$18,MATCH(E1206,Assumptions!$A$15:$A$18,0)),"Yes","No"))</f>
        <v>Yes</v>
      </c>
    </row>
    <row r="1207" customFormat="false" ht="15" hidden="false" customHeight="false" outlineLevel="0" collapsed="false">
      <c r="A1207" s="31" t="s">
        <v>1357</v>
      </c>
      <c r="B1207" s="44" t="n">
        <v>46220</v>
      </c>
      <c r="C1207" s="31" t="s">
        <v>59</v>
      </c>
      <c r="D1207" s="31" t="s">
        <v>65</v>
      </c>
      <c r="E1207" s="31" t="s">
        <v>52</v>
      </c>
      <c r="F1207" s="31" t="s">
        <v>134</v>
      </c>
      <c r="G1207" s="31" t="n">
        <v>198</v>
      </c>
      <c r="H1207" s="41" t="n">
        <v>33.4</v>
      </c>
      <c r="I1207" s="31" t="s">
        <v>149</v>
      </c>
      <c r="J1207" s="31"/>
      <c r="K1207" s="31" t="s">
        <v>150</v>
      </c>
      <c r="L1207" s="45" t="n">
        <f aca="false">DATE(YEAR(B1207),MONTH(B1207),1)</f>
        <v>46204</v>
      </c>
      <c r="M1207" s="31" t="n">
        <f aca="false">WEEKDAY(B1207,2)</f>
        <v>5</v>
      </c>
      <c r="N1207" s="31" t="str">
        <f aca="false">IF(G1207&lt;=INDEX(Assumptions!$B$15:$B$18,MATCH(E1207,Assumptions!$A$15:$A$18,0)),"Yes","No")</f>
        <v>Yes</v>
      </c>
      <c r="O1207" s="31" t="str">
        <f aca="false">IF(H1207="","Open",IF(H1207&lt;=INDEX(Assumptions!$C$15:$C$18,MATCH(E1207,Assumptions!$A$15:$A$18,0)),"Yes","No"))</f>
        <v>Yes</v>
      </c>
    </row>
    <row r="1208" customFormat="false" ht="15" hidden="false" customHeight="false" outlineLevel="0" collapsed="false">
      <c r="A1208" s="31" t="s">
        <v>1358</v>
      </c>
      <c r="B1208" s="44" t="n">
        <v>46220</v>
      </c>
      <c r="C1208" s="31" t="s">
        <v>60</v>
      </c>
      <c r="D1208" s="31" t="s">
        <v>67</v>
      </c>
      <c r="E1208" s="31" t="s">
        <v>51</v>
      </c>
      <c r="F1208" s="31" t="s">
        <v>127</v>
      </c>
      <c r="G1208" s="31" t="n">
        <v>1</v>
      </c>
      <c r="H1208" s="41" t="n">
        <v>11.4</v>
      </c>
      <c r="I1208" s="31" t="s">
        <v>149</v>
      </c>
      <c r="J1208" s="31" t="n">
        <v>5</v>
      </c>
      <c r="K1208" s="31" t="s">
        <v>150</v>
      </c>
      <c r="L1208" s="45" t="n">
        <f aca="false">DATE(YEAR(B1208),MONTH(B1208),1)</f>
        <v>46204</v>
      </c>
      <c r="M1208" s="31" t="n">
        <f aca="false">WEEKDAY(B1208,2)</f>
        <v>5</v>
      </c>
      <c r="N1208" s="31" t="str">
        <f aca="false">IF(G1208&lt;=INDEX(Assumptions!$B$15:$B$18,MATCH(E1208,Assumptions!$A$15:$A$18,0)),"Yes","No")</f>
        <v>Yes</v>
      </c>
      <c r="O1208" s="31" t="str">
        <f aca="false">IF(H1208="","Open",IF(H1208&lt;=INDEX(Assumptions!$C$15:$C$18,MATCH(E1208,Assumptions!$A$15:$A$18,0)),"Yes","No"))</f>
        <v>Yes</v>
      </c>
    </row>
    <row r="1209" customFormat="false" ht="15" hidden="false" customHeight="false" outlineLevel="0" collapsed="false">
      <c r="A1209" s="31" t="s">
        <v>1359</v>
      </c>
      <c r="B1209" s="44" t="n">
        <v>46220</v>
      </c>
      <c r="C1209" s="31" t="s">
        <v>58</v>
      </c>
      <c r="D1209" s="31" t="s">
        <v>65</v>
      </c>
      <c r="E1209" s="31" t="s">
        <v>51</v>
      </c>
      <c r="F1209" s="31" t="s">
        <v>130</v>
      </c>
      <c r="G1209" s="31" t="n">
        <v>10</v>
      </c>
      <c r="H1209" s="41" t="n">
        <v>22.2</v>
      </c>
      <c r="I1209" s="31" t="s">
        <v>149</v>
      </c>
      <c r="J1209" s="31"/>
      <c r="K1209" s="31" t="s">
        <v>150</v>
      </c>
      <c r="L1209" s="45" t="n">
        <f aca="false">DATE(YEAR(B1209),MONTH(B1209),1)</f>
        <v>46204</v>
      </c>
      <c r="M1209" s="31" t="n">
        <f aca="false">WEEKDAY(B1209,2)</f>
        <v>5</v>
      </c>
      <c r="N1209" s="31" t="str">
        <f aca="false">IF(G1209&lt;=INDEX(Assumptions!$B$15:$B$18,MATCH(E1209,Assumptions!$A$15:$A$18,0)),"Yes","No")</f>
        <v>Yes</v>
      </c>
      <c r="O1209" s="31" t="str">
        <f aca="false">IF(H1209="","Open",IF(H1209&lt;=INDEX(Assumptions!$C$15:$C$18,MATCH(E1209,Assumptions!$A$15:$A$18,0)),"Yes","No"))</f>
        <v>Yes</v>
      </c>
    </row>
    <row r="1210" customFormat="false" ht="15" hidden="false" customHeight="false" outlineLevel="0" collapsed="false">
      <c r="A1210" s="31" t="s">
        <v>1360</v>
      </c>
      <c r="B1210" s="44" t="n">
        <v>46220</v>
      </c>
      <c r="C1210" s="31" t="s">
        <v>58</v>
      </c>
      <c r="D1210" s="31" t="s">
        <v>66</v>
      </c>
      <c r="E1210" s="31" t="s">
        <v>52</v>
      </c>
      <c r="F1210" s="31" t="s">
        <v>131</v>
      </c>
      <c r="G1210" s="31" t="n">
        <v>4</v>
      </c>
      <c r="H1210" s="41" t="n">
        <v>3.8</v>
      </c>
      <c r="I1210" s="31" t="s">
        <v>149</v>
      </c>
      <c r="J1210" s="31" t="n">
        <v>5</v>
      </c>
      <c r="K1210" s="31" t="s">
        <v>153</v>
      </c>
      <c r="L1210" s="45" t="n">
        <f aca="false">DATE(YEAR(B1210),MONTH(B1210),1)</f>
        <v>46204</v>
      </c>
      <c r="M1210" s="31" t="n">
        <f aca="false">WEEKDAY(B1210,2)</f>
        <v>5</v>
      </c>
      <c r="N1210" s="31" t="str">
        <f aca="false">IF(G1210&lt;=INDEX(Assumptions!$B$15:$B$18,MATCH(E1210,Assumptions!$A$15:$A$18,0)),"Yes","No")</f>
        <v>Yes</v>
      </c>
      <c r="O1210" s="31" t="str">
        <f aca="false">IF(H1210="","Open",IF(H1210&lt;=INDEX(Assumptions!$C$15:$C$18,MATCH(E1210,Assumptions!$A$15:$A$18,0)),"Yes","No"))</f>
        <v>Yes</v>
      </c>
    </row>
    <row r="1211" customFormat="false" ht="15" hidden="false" customHeight="false" outlineLevel="0" collapsed="false">
      <c r="A1211" s="31" t="s">
        <v>1361</v>
      </c>
      <c r="B1211" s="44" t="n">
        <v>46220</v>
      </c>
      <c r="C1211" s="31" t="s">
        <v>59</v>
      </c>
      <c r="D1211" s="31" t="s">
        <v>66</v>
      </c>
      <c r="E1211" s="31" t="s">
        <v>50</v>
      </c>
      <c r="F1211" s="31" t="s">
        <v>123</v>
      </c>
      <c r="G1211" s="31" t="n">
        <v>29</v>
      </c>
      <c r="H1211" s="41" t="n">
        <v>3.9</v>
      </c>
      <c r="I1211" s="31" t="s">
        <v>149</v>
      </c>
      <c r="J1211" s="31" t="n">
        <v>4</v>
      </c>
      <c r="K1211" s="31" t="s">
        <v>150</v>
      </c>
      <c r="L1211" s="45" t="n">
        <f aca="false">DATE(YEAR(B1211),MONTH(B1211),1)</f>
        <v>46204</v>
      </c>
      <c r="M1211" s="31" t="n">
        <f aca="false">WEEKDAY(B1211,2)</f>
        <v>5</v>
      </c>
      <c r="N1211" s="31" t="str">
        <f aca="false">IF(G1211&lt;=INDEX(Assumptions!$B$15:$B$18,MATCH(E1211,Assumptions!$A$15:$A$18,0)),"Yes","No")</f>
        <v>Yes</v>
      </c>
      <c r="O1211" s="31" t="str">
        <f aca="false">IF(H1211="","Open",IF(H1211&lt;=INDEX(Assumptions!$C$15:$C$18,MATCH(E1211,Assumptions!$A$15:$A$18,0)),"Yes","No"))</f>
        <v>Yes</v>
      </c>
    </row>
    <row r="1212" customFormat="false" ht="15" hidden="false" customHeight="false" outlineLevel="0" collapsed="false">
      <c r="A1212" s="31" t="s">
        <v>1362</v>
      </c>
      <c r="B1212" s="44" t="n">
        <v>46220</v>
      </c>
      <c r="C1212" s="31" t="s">
        <v>58</v>
      </c>
      <c r="D1212" s="31" t="s">
        <v>68</v>
      </c>
      <c r="E1212" s="31" t="s">
        <v>51</v>
      </c>
      <c r="F1212" s="31" t="s">
        <v>122</v>
      </c>
      <c r="G1212" s="31" t="n">
        <v>5</v>
      </c>
      <c r="H1212" s="41" t="n">
        <v>7</v>
      </c>
      <c r="I1212" s="31" t="s">
        <v>149</v>
      </c>
      <c r="J1212" s="31" t="n">
        <v>5</v>
      </c>
      <c r="K1212" s="31" t="s">
        <v>150</v>
      </c>
      <c r="L1212" s="45" t="n">
        <f aca="false">DATE(YEAR(B1212),MONTH(B1212),1)</f>
        <v>46204</v>
      </c>
      <c r="M1212" s="31" t="n">
        <f aca="false">WEEKDAY(B1212,2)</f>
        <v>5</v>
      </c>
      <c r="N1212" s="31" t="str">
        <f aca="false">IF(G1212&lt;=INDEX(Assumptions!$B$15:$B$18,MATCH(E1212,Assumptions!$A$15:$A$18,0)),"Yes","No")</f>
        <v>Yes</v>
      </c>
      <c r="O1212" s="31" t="str">
        <f aca="false">IF(H1212="","Open",IF(H1212&lt;=INDEX(Assumptions!$C$15:$C$18,MATCH(E1212,Assumptions!$A$15:$A$18,0)),"Yes","No"))</f>
        <v>Yes</v>
      </c>
    </row>
    <row r="1213" customFormat="false" ht="15" hidden="false" customHeight="false" outlineLevel="0" collapsed="false">
      <c r="A1213" s="31" t="s">
        <v>1363</v>
      </c>
      <c r="B1213" s="44" t="n">
        <v>46220</v>
      </c>
      <c r="C1213" s="31" t="s">
        <v>58</v>
      </c>
      <c r="D1213" s="31" t="s">
        <v>68</v>
      </c>
      <c r="E1213" s="31" t="s">
        <v>50</v>
      </c>
      <c r="F1213" s="31" t="s">
        <v>122</v>
      </c>
      <c r="G1213" s="31" t="n">
        <v>6</v>
      </c>
      <c r="H1213" s="41" t="n">
        <v>1.9</v>
      </c>
      <c r="I1213" s="31" t="s">
        <v>149</v>
      </c>
      <c r="J1213" s="31" t="n">
        <v>5</v>
      </c>
      <c r="K1213" s="31" t="s">
        <v>150</v>
      </c>
      <c r="L1213" s="45" t="n">
        <f aca="false">DATE(YEAR(B1213),MONTH(B1213),1)</f>
        <v>46204</v>
      </c>
      <c r="M1213" s="31" t="n">
        <f aca="false">WEEKDAY(B1213,2)</f>
        <v>5</v>
      </c>
      <c r="N1213" s="31" t="str">
        <f aca="false">IF(G1213&lt;=INDEX(Assumptions!$B$15:$B$18,MATCH(E1213,Assumptions!$A$15:$A$18,0)),"Yes","No")</f>
        <v>Yes</v>
      </c>
      <c r="O1213" s="31" t="str">
        <f aca="false">IF(H1213="","Open",IF(H1213&lt;=INDEX(Assumptions!$C$15:$C$18,MATCH(E1213,Assumptions!$A$15:$A$18,0)),"Yes","No"))</f>
        <v>Yes</v>
      </c>
    </row>
    <row r="1214" customFormat="false" ht="15" hidden="false" customHeight="false" outlineLevel="0" collapsed="false">
      <c r="A1214" s="31" t="s">
        <v>1364</v>
      </c>
      <c r="B1214" s="44" t="n">
        <v>46220</v>
      </c>
      <c r="C1214" s="31" t="s">
        <v>57</v>
      </c>
      <c r="D1214" s="31" t="s">
        <v>68</v>
      </c>
      <c r="E1214" s="31" t="s">
        <v>50</v>
      </c>
      <c r="F1214" s="31" t="s">
        <v>134</v>
      </c>
      <c r="G1214" s="31" t="n">
        <v>13</v>
      </c>
      <c r="H1214" s="41" t="n">
        <v>3.3</v>
      </c>
      <c r="I1214" s="31" t="s">
        <v>149</v>
      </c>
      <c r="J1214" s="31"/>
      <c r="K1214" s="31" t="s">
        <v>150</v>
      </c>
      <c r="L1214" s="45" t="n">
        <f aca="false">DATE(YEAR(B1214),MONTH(B1214),1)</f>
        <v>46204</v>
      </c>
      <c r="M1214" s="31" t="n">
        <f aca="false">WEEKDAY(B1214,2)</f>
        <v>5</v>
      </c>
      <c r="N1214" s="31" t="str">
        <f aca="false">IF(G1214&lt;=INDEX(Assumptions!$B$15:$B$18,MATCH(E1214,Assumptions!$A$15:$A$18,0)),"Yes","No")</f>
        <v>Yes</v>
      </c>
      <c r="O1214" s="31" t="str">
        <f aca="false">IF(H1214="","Open",IF(H1214&lt;=INDEX(Assumptions!$C$15:$C$18,MATCH(E1214,Assumptions!$A$15:$A$18,0)),"Yes","No"))</f>
        <v>Yes</v>
      </c>
    </row>
    <row r="1215" customFormat="false" ht="15" hidden="false" customHeight="false" outlineLevel="0" collapsed="false">
      <c r="A1215" s="31" t="s">
        <v>1365</v>
      </c>
      <c r="B1215" s="44" t="n">
        <v>46220</v>
      </c>
      <c r="C1215" s="31" t="s">
        <v>57</v>
      </c>
      <c r="D1215" s="31" t="s">
        <v>69</v>
      </c>
      <c r="E1215" s="31" t="s">
        <v>51</v>
      </c>
      <c r="F1215" s="31" t="s">
        <v>129</v>
      </c>
      <c r="G1215" s="31" t="n">
        <v>4</v>
      </c>
      <c r="H1215" s="41" t="n">
        <v>27.7</v>
      </c>
      <c r="I1215" s="31" t="s">
        <v>149</v>
      </c>
      <c r="J1215" s="31" t="n">
        <v>5</v>
      </c>
      <c r="K1215" s="31" t="s">
        <v>153</v>
      </c>
      <c r="L1215" s="45" t="n">
        <f aca="false">DATE(YEAR(B1215),MONTH(B1215),1)</f>
        <v>46204</v>
      </c>
      <c r="M1215" s="31" t="n">
        <f aca="false">WEEKDAY(B1215,2)</f>
        <v>5</v>
      </c>
      <c r="N1215" s="31" t="str">
        <f aca="false">IF(G1215&lt;=INDEX(Assumptions!$B$15:$B$18,MATCH(E1215,Assumptions!$A$15:$A$18,0)),"Yes","No")</f>
        <v>Yes</v>
      </c>
      <c r="O1215" s="31" t="str">
        <f aca="false">IF(H1215="","Open",IF(H1215&lt;=INDEX(Assumptions!$C$15:$C$18,MATCH(E1215,Assumptions!$A$15:$A$18,0)),"Yes","No"))</f>
        <v>No</v>
      </c>
    </row>
    <row r="1216" customFormat="false" ht="15" hidden="false" customHeight="false" outlineLevel="0" collapsed="false">
      <c r="A1216" s="31" t="s">
        <v>1366</v>
      </c>
      <c r="B1216" s="44" t="n">
        <v>46220</v>
      </c>
      <c r="C1216" s="31" t="s">
        <v>57</v>
      </c>
      <c r="D1216" s="31" t="s">
        <v>65</v>
      </c>
      <c r="E1216" s="31" t="s">
        <v>49</v>
      </c>
      <c r="F1216" s="31" t="s">
        <v>120</v>
      </c>
      <c r="G1216" s="31" t="n">
        <v>5</v>
      </c>
      <c r="H1216" s="41" t="n">
        <v>7.7</v>
      </c>
      <c r="I1216" s="31" t="s">
        <v>149</v>
      </c>
      <c r="J1216" s="31"/>
      <c r="K1216" s="31" t="s">
        <v>150</v>
      </c>
      <c r="L1216" s="45" t="n">
        <f aca="false">DATE(YEAR(B1216),MONTH(B1216),1)</f>
        <v>46204</v>
      </c>
      <c r="M1216" s="31" t="n">
        <f aca="false">WEEKDAY(B1216,2)</f>
        <v>5</v>
      </c>
      <c r="N1216" s="31" t="str">
        <f aca="false">IF(G1216&lt;=INDEX(Assumptions!$B$15:$B$18,MATCH(E1216,Assumptions!$A$15:$A$18,0)),"Yes","No")</f>
        <v>Yes</v>
      </c>
      <c r="O1216" s="31" t="str">
        <f aca="false">IF(H1216="","Open",IF(H1216&lt;=INDEX(Assumptions!$C$15:$C$18,MATCH(E1216,Assumptions!$A$15:$A$18,0)),"Yes","No"))</f>
        <v>No</v>
      </c>
    </row>
    <row r="1217" customFormat="false" ht="15" hidden="false" customHeight="false" outlineLevel="0" collapsed="false">
      <c r="A1217" s="31" t="s">
        <v>1367</v>
      </c>
      <c r="B1217" s="44" t="n">
        <v>46220</v>
      </c>
      <c r="C1217" s="31" t="s">
        <v>58</v>
      </c>
      <c r="D1217" s="31" t="s">
        <v>67</v>
      </c>
      <c r="E1217" s="31" t="s">
        <v>51</v>
      </c>
      <c r="F1217" s="31" t="s">
        <v>133</v>
      </c>
      <c r="G1217" s="31" t="n">
        <v>7</v>
      </c>
      <c r="H1217" s="41" t="n">
        <v>6.6</v>
      </c>
      <c r="I1217" s="31" t="s">
        <v>149</v>
      </c>
      <c r="J1217" s="31" t="n">
        <v>4</v>
      </c>
      <c r="K1217" s="31" t="s">
        <v>150</v>
      </c>
      <c r="L1217" s="45" t="n">
        <f aca="false">DATE(YEAR(B1217),MONTH(B1217),1)</f>
        <v>46204</v>
      </c>
      <c r="M1217" s="31" t="n">
        <f aca="false">WEEKDAY(B1217,2)</f>
        <v>5</v>
      </c>
      <c r="N1217" s="31" t="str">
        <f aca="false">IF(G1217&lt;=INDEX(Assumptions!$B$15:$B$18,MATCH(E1217,Assumptions!$A$15:$A$18,0)),"Yes","No")</f>
        <v>Yes</v>
      </c>
      <c r="O1217" s="31" t="str">
        <f aca="false">IF(H1217="","Open",IF(H1217&lt;=INDEX(Assumptions!$C$15:$C$18,MATCH(E1217,Assumptions!$A$15:$A$18,0)),"Yes","No"))</f>
        <v>Yes</v>
      </c>
    </row>
    <row r="1218" customFormat="false" ht="15" hidden="false" customHeight="false" outlineLevel="0" collapsed="false">
      <c r="A1218" s="31" t="s">
        <v>1368</v>
      </c>
      <c r="B1218" s="44" t="n">
        <v>46220</v>
      </c>
      <c r="C1218" s="31" t="s">
        <v>57</v>
      </c>
      <c r="D1218" s="31" t="s">
        <v>68</v>
      </c>
      <c r="E1218" s="31" t="s">
        <v>52</v>
      </c>
      <c r="F1218" s="31" t="s">
        <v>124</v>
      </c>
      <c r="G1218" s="31" t="n">
        <v>2</v>
      </c>
      <c r="H1218" s="41" t="n">
        <v>1.3</v>
      </c>
      <c r="I1218" s="31" t="s">
        <v>149</v>
      </c>
      <c r="J1218" s="31"/>
      <c r="K1218" s="31" t="s">
        <v>150</v>
      </c>
      <c r="L1218" s="45" t="n">
        <f aca="false">DATE(YEAR(B1218),MONTH(B1218),1)</f>
        <v>46204</v>
      </c>
      <c r="M1218" s="31" t="n">
        <f aca="false">WEEKDAY(B1218,2)</f>
        <v>5</v>
      </c>
      <c r="N1218" s="31" t="str">
        <f aca="false">IF(G1218&lt;=INDEX(Assumptions!$B$15:$B$18,MATCH(E1218,Assumptions!$A$15:$A$18,0)),"Yes","No")</f>
        <v>Yes</v>
      </c>
      <c r="O1218" s="31" t="str">
        <f aca="false">IF(H1218="","Open",IF(H1218&lt;=INDEX(Assumptions!$C$15:$C$18,MATCH(E1218,Assumptions!$A$15:$A$18,0)),"Yes","No"))</f>
        <v>Yes</v>
      </c>
    </row>
    <row r="1219" customFormat="false" ht="15" hidden="false" customHeight="false" outlineLevel="0" collapsed="false">
      <c r="A1219" s="31" t="s">
        <v>1369</v>
      </c>
      <c r="B1219" s="44" t="n">
        <v>46220</v>
      </c>
      <c r="C1219" s="31" t="s">
        <v>60</v>
      </c>
      <c r="D1219" s="31" t="s">
        <v>65</v>
      </c>
      <c r="E1219" s="31" t="s">
        <v>51</v>
      </c>
      <c r="F1219" s="31" t="s">
        <v>127</v>
      </c>
      <c r="G1219" s="31" t="n">
        <v>1</v>
      </c>
      <c r="H1219" s="41" t="n">
        <v>15.7</v>
      </c>
      <c r="I1219" s="31" t="s">
        <v>149</v>
      </c>
      <c r="J1219" s="31" t="n">
        <v>5</v>
      </c>
      <c r="K1219" s="31" t="s">
        <v>150</v>
      </c>
      <c r="L1219" s="45" t="n">
        <f aca="false">DATE(YEAR(B1219),MONTH(B1219),1)</f>
        <v>46204</v>
      </c>
      <c r="M1219" s="31" t="n">
        <f aca="false">WEEKDAY(B1219,2)</f>
        <v>5</v>
      </c>
      <c r="N1219" s="31" t="str">
        <f aca="false">IF(G1219&lt;=INDEX(Assumptions!$B$15:$B$18,MATCH(E1219,Assumptions!$A$15:$A$18,0)),"Yes","No")</f>
        <v>Yes</v>
      </c>
      <c r="O1219" s="31" t="str">
        <f aca="false">IF(H1219="","Open",IF(H1219&lt;=INDEX(Assumptions!$C$15:$C$18,MATCH(E1219,Assumptions!$A$15:$A$18,0)),"Yes","No"))</f>
        <v>Yes</v>
      </c>
    </row>
    <row r="1220" customFormat="false" ht="15" hidden="false" customHeight="false" outlineLevel="0" collapsed="false">
      <c r="A1220" s="31" t="s">
        <v>1370</v>
      </c>
      <c r="B1220" s="44" t="n">
        <v>46220</v>
      </c>
      <c r="C1220" s="31" t="s">
        <v>59</v>
      </c>
      <c r="D1220" s="31" t="s">
        <v>69</v>
      </c>
      <c r="E1220" s="31" t="s">
        <v>51</v>
      </c>
      <c r="F1220" s="31" t="s">
        <v>133</v>
      </c>
      <c r="G1220" s="31" t="n">
        <v>125</v>
      </c>
      <c r="H1220" s="41" t="n">
        <v>29.8</v>
      </c>
      <c r="I1220" s="31" t="s">
        <v>149</v>
      </c>
      <c r="J1220" s="31" t="n">
        <v>3</v>
      </c>
      <c r="K1220" s="31" t="s">
        <v>150</v>
      </c>
      <c r="L1220" s="45" t="n">
        <f aca="false">DATE(YEAR(B1220),MONTH(B1220),1)</f>
        <v>46204</v>
      </c>
      <c r="M1220" s="31" t="n">
        <f aca="false">WEEKDAY(B1220,2)</f>
        <v>5</v>
      </c>
      <c r="N1220" s="31" t="str">
        <f aca="false">IF(G1220&lt;=INDEX(Assumptions!$B$15:$B$18,MATCH(E1220,Assumptions!$A$15:$A$18,0)),"Yes","No")</f>
        <v>No</v>
      </c>
      <c r="O1220" s="31" t="str">
        <f aca="false">IF(H1220="","Open",IF(H1220&lt;=INDEX(Assumptions!$C$15:$C$18,MATCH(E1220,Assumptions!$A$15:$A$18,0)),"Yes","No"))</f>
        <v>No</v>
      </c>
    </row>
    <row r="1221" customFormat="false" ht="15" hidden="false" customHeight="false" outlineLevel="0" collapsed="false">
      <c r="A1221" s="31" t="s">
        <v>1371</v>
      </c>
      <c r="B1221" s="44" t="n">
        <v>46220</v>
      </c>
      <c r="C1221" s="31" t="s">
        <v>59</v>
      </c>
      <c r="D1221" s="31" t="s">
        <v>67</v>
      </c>
      <c r="E1221" s="31" t="s">
        <v>49</v>
      </c>
      <c r="F1221" s="31" t="s">
        <v>127</v>
      </c>
      <c r="G1221" s="31" t="n">
        <v>18</v>
      </c>
      <c r="H1221" s="41" t="n">
        <v>4.9</v>
      </c>
      <c r="I1221" s="31" t="s">
        <v>149</v>
      </c>
      <c r="J1221" s="31" t="n">
        <v>3</v>
      </c>
      <c r="K1221" s="31" t="s">
        <v>150</v>
      </c>
      <c r="L1221" s="45" t="n">
        <f aca="false">DATE(YEAR(B1221),MONTH(B1221),1)</f>
        <v>46204</v>
      </c>
      <c r="M1221" s="31" t="n">
        <f aca="false">WEEKDAY(B1221,2)</f>
        <v>5</v>
      </c>
      <c r="N1221" s="31" t="str">
        <f aca="false">IF(G1221&lt;=INDEX(Assumptions!$B$15:$B$18,MATCH(E1221,Assumptions!$A$15:$A$18,0)),"Yes","No")</f>
        <v>No</v>
      </c>
      <c r="O1221" s="31" t="str">
        <f aca="false">IF(H1221="","Open",IF(H1221&lt;=INDEX(Assumptions!$C$15:$C$18,MATCH(E1221,Assumptions!$A$15:$A$18,0)),"Yes","No"))</f>
        <v>No</v>
      </c>
    </row>
    <row r="1222" customFormat="false" ht="15" hidden="false" customHeight="false" outlineLevel="0" collapsed="false">
      <c r="A1222" s="31" t="s">
        <v>1372</v>
      </c>
      <c r="B1222" s="44" t="n">
        <v>46220</v>
      </c>
      <c r="C1222" s="31" t="s">
        <v>59</v>
      </c>
      <c r="D1222" s="31" t="s">
        <v>69</v>
      </c>
      <c r="E1222" s="31" t="s">
        <v>52</v>
      </c>
      <c r="F1222" s="31" t="s">
        <v>123</v>
      </c>
      <c r="G1222" s="31" t="n">
        <v>196</v>
      </c>
      <c r="H1222" s="41" t="n">
        <v>12.1</v>
      </c>
      <c r="I1222" s="31" t="s">
        <v>149</v>
      </c>
      <c r="J1222" s="31" t="n">
        <v>4</v>
      </c>
      <c r="K1222" s="31" t="s">
        <v>150</v>
      </c>
      <c r="L1222" s="45" t="n">
        <f aca="false">DATE(YEAR(B1222),MONTH(B1222),1)</f>
        <v>46204</v>
      </c>
      <c r="M1222" s="31" t="n">
        <f aca="false">WEEKDAY(B1222,2)</f>
        <v>5</v>
      </c>
      <c r="N1222" s="31" t="str">
        <f aca="false">IF(G1222&lt;=INDEX(Assumptions!$B$15:$B$18,MATCH(E1222,Assumptions!$A$15:$A$18,0)),"Yes","No")</f>
        <v>Yes</v>
      </c>
      <c r="O1222" s="31" t="str">
        <f aca="false">IF(H1222="","Open",IF(H1222&lt;=INDEX(Assumptions!$C$15:$C$18,MATCH(E1222,Assumptions!$A$15:$A$18,0)),"Yes","No"))</f>
        <v>Yes</v>
      </c>
    </row>
    <row r="1223" customFormat="false" ht="15" hidden="false" customHeight="false" outlineLevel="0" collapsed="false">
      <c r="A1223" s="31" t="s">
        <v>1373</v>
      </c>
      <c r="B1223" s="44" t="n">
        <v>46220</v>
      </c>
      <c r="C1223" s="31" t="s">
        <v>59</v>
      </c>
      <c r="D1223" s="31" t="s">
        <v>68</v>
      </c>
      <c r="E1223" s="31" t="s">
        <v>51</v>
      </c>
      <c r="F1223" s="31" t="s">
        <v>127</v>
      </c>
      <c r="G1223" s="31" t="n">
        <v>15</v>
      </c>
      <c r="H1223" s="41" t="n">
        <v>3.3</v>
      </c>
      <c r="I1223" s="31" t="s">
        <v>149</v>
      </c>
      <c r="J1223" s="31" t="n">
        <v>4</v>
      </c>
      <c r="K1223" s="31" t="s">
        <v>150</v>
      </c>
      <c r="L1223" s="45" t="n">
        <f aca="false">DATE(YEAR(B1223),MONTH(B1223),1)</f>
        <v>46204</v>
      </c>
      <c r="M1223" s="31" t="n">
        <f aca="false">WEEKDAY(B1223,2)</f>
        <v>5</v>
      </c>
      <c r="N1223" s="31" t="str">
        <f aca="false">IF(G1223&lt;=INDEX(Assumptions!$B$15:$B$18,MATCH(E1223,Assumptions!$A$15:$A$18,0)),"Yes","No")</f>
        <v>Yes</v>
      </c>
      <c r="O1223" s="31" t="str">
        <f aca="false">IF(H1223="","Open",IF(H1223&lt;=INDEX(Assumptions!$C$15:$C$18,MATCH(E1223,Assumptions!$A$15:$A$18,0)),"Yes","No"))</f>
        <v>Yes</v>
      </c>
    </row>
    <row r="1224" customFormat="false" ht="15" hidden="false" customHeight="false" outlineLevel="0" collapsed="false">
      <c r="A1224" s="31" t="s">
        <v>1374</v>
      </c>
      <c r="B1224" s="44" t="n">
        <v>46220</v>
      </c>
      <c r="C1224" s="31" t="s">
        <v>57</v>
      </c>
      <c r="D1224" s="31" t="s">
        <v>65</v>
      </c>
      <c r="E1224" s="31" t="s">
        <v>50</v>
      </c>
      <c r="F1224" s="31" t="s">
        <v>130</v>
      </c>
      <c r="G1224" s="31" t="n">
        <v>18</v>
      </c>
      <c r="H1224" s="41" t="n">
        <v>0.9</v>
      </c>
      <c r="I1224" s="31" t="s">
        <v>149</v>
      </c>
      <c r="J1224" s="31" t="n">
        <v>5</v>
      </c>
      <c r="K1224" s="31" t="s">
        <v>153</v>
      </c>
      <c r="L1224" s="45" t="n">
        <f aca="false">DATE(YEAR(B1224),MONTH(B1224),1)</f>
        <v>46204</v>
      </c>
      <c r="M1224" s="31" t="n">
        <f aca="false">WEEKDAY(B1224,2)</f>
        <v>5</v>
      </c>
      <c r="N1224" s="31" t="str">
        <f aca="false">IF(G1224&lt;=INDEX(Assumptions!$B$15:$B$18,MATCH(E1224,Assumptions!$A$15:$A$18,0)),"Yes","No")</f>
        <v>Yes</v>
      </c>
      <c r="O1224" s="31" t="str">
        <f aca="false">IF(H1224="","Open",IF(H1224&lt;=INDEX(Assumptions!$C$15:$C$18,MATCH(E1224,Assumptions!$A$15:$A$18,0)),"Yes","No"))</f>
        <v>Yes</v>
      </c>
    </row>
    <row r="1225" customFormat="false" ht="15" hidden="false" customHeight="false" outlineLevel="0" collapsed="false">
      <c r="A1225" s="31" t="s">
        <v>1375</v>
      </c>
      <c r="B1225" s="44" t="n">
        <v>46220</v>
      </c>
      <c r="C1225" s="31" t="s">
        <v>60</v>
      </c>
      <c r="D1225" s="31" t="s">
        <v>65</v>
      </c>
      <c r="E1225" s="31" t="s">
        <v>52</v>
      </c>
      <c r="F1225" s="31" t="s">
        <v>119</v>
      </c>
      <c r="G1225" s="31" t="n">
        <v>6</v>
      </c>
      <c r="H1225" s="41" t="n">
        <v>15.5</v>
      </c>
      <c r="I1225" s="31" t="s">
        <v>149</v>
      </c>
      <c r="J1225" s="31"/>
      <c r="K1225" s="31" t="s">
        <v>153</v>
      </c>
      <c r="L1225" s="45" t="n">
        <f aca="false">DATE(YEAR(B1225),MONTH(B1225),1)</f>
        <v>46204</v>
      </c>
      <c r="M1225" s="31" t="n">
        <f aca="false">WEEKDAY(B1225,2)</f>
        <v>5</v>
      </c>
      <c r="N1225" s="31" t="str">
        <f aca="false">IF(G1225&lt;=INDEX(Assumptions!$B$15:$B$18,MATCH(E1225,Assumptions!$A$15:$A$18,0)),"Yes","No")</f>
        <v>Yes</v>
      </c>
      <c r="O1225" s="31" t="str">
        <f aca="false">IF(H1225="","Open",IF(H1225&lt;=INDEX(Assumptions!$C$15:$C$18,MATCH(E1225,Assumptions!$A$15:$A$18,0)),"Yes","No"))</f>
        <v>Yes</v>
      </c>
    </row>
    <row r="1226" customFormat="false" ht="15" hidden="false" customHeight="false" outlineLevel="0" collapsed="false">
      <c r="A1226" s="31" t="s">
        <v>1376</v>
      </c>
      <c r="B1226" s="44" t="n">
        <v>46220</v>
      </c>
      <c r="C1226" s="31" t="s">
        <v>60</v>
      </c>
      <c r="D1226" s="31" t="s">
        <v>65</v>
      </c>
      <c r="E1226" s="31" t="s">
        <v>52</v>
      </c>
      <c r="F1226" s="31" t="s">
        <v>127</v>
      </c>
      <c r="G1226" s="31" t="n">
        <v>1</v>
      </c>
      <c r="H1226" s="41" t="n">
        <v>18.3</v>
      </c>
      <c r="I1226" s="31" t="s">
        <v>149</v>
      </c>
      <c r="J1226" s="31" t="n">
        <v>5</v>
      </c>
      <c r="K1226" s="31" t="s">
        <v>150</v>
      </c>
      <c r="L1226" s="45" t="n">
        <f aca="false">DATE(YEAR(B1226),MONTH(B1226),1)</f>
        <v>46204</v>
      </c>
      <c r="M1226" s="31" t="n">
        <f aca="false">WEEKDAY(B1226,2)</f>
        <v>5</v>
      </c>
      <c r="N1226" s="31" t="str">
        <f aca="false">IF(G1226&lt;=INDEX(Assumptions!$B$15:$B$18,MATCH(E1226,Assumptions!$A$15:$A$18,0)),"Yes","No")</f>
        <v>Yes</v>
      </c>
      <c r="O1226" s="31" t="str">
        <f aca="false">IF(H1226="","Open",IF(H1226&lt;=INDEX(Assumptions!$C$15:$C$18,MATCH(E1226,Assumptions!$A$15:$A$18,0)),"Yes","No"))</f>
        <v>Yes</v>
      </c>
    </row>
    <row r="1227" customFormat="false" ht="15" hidden="false" customHeight="false" outlineLevel="0" collapsed="false">
      <c r="A1227" s="31" t="s">
        <v>1377</v>
      </c>
      <c r="B1227" s="44" t="n">
        <v>46220</v>
      </c>
      <c r="C1227" s="31" t="s">
        <v>60</v>
      </c>
      <c r="D1227" s="31" t="s">
        <v>67</v>
      </c>
      <c r="E1227" s="31" t="s">
        <v>50</v>
      </c>
      <c r="F1227" s="31" t="s">
        <v>134</v>
      </c>
      <c r="G1227" s="31" t="n">
        <v>3</v>
      </c>
      <c r="H1227" s="41" t="n">
        <v>17.2</v>
      </c>
      <c r="I1227" s="31" t="s">
        <v>149</v>
      </c>
      <c r="J1227" s="31" t="n">
        <v>3</v>
      </c>
      <c r="K1227" s="31" t="s">
        <v>150</v>
      </c>
      <c r="L1227" s="45" t="n">
        <f aca="false">DATE(YEAR(B1227),MONTH(B1227),1)</f>
        <v>46204</v>
      </c>
      <c r="M1227" s="31" t="n">
        <f aca="false">WEEKDAY(B1227,2)</f>
        <v>5</v>
      </c>
      <c r="N1227" s="31" t="str">
        <f aca="false">IF(G1227&lt;=INDEX(Assumptions!$B$15:$B$18,MATCH(E1227,Assumptions!$A$15:$A$18,0)),"Yes","No")</f>
        <v>Yes</v>
      </c>
      <c r="O1227" s="31" t="str">
        <f aca="false">IF(H1227="","Open",IF(H1227&lt;=INDEX(Assumptions!$C$15:$C$18,MATCH(E1227,Assumptions!$A$15:$A$18,0)),"Yes","No"))</f>
        <v>No</v>
      </c>
    </row>
    <row r="1228" customFormat="false" ht="15" hidden="false" customHeight="false" outlineLevel="0" collapsed="false">
      <c r="A1228" s="31" t="s">
        <v>1378</v>
      </c>
      <c r="B1228" s="44" t="n">
        <v>46220</v>
      </c>
      <c r="C1228" s="31" t="s">
        <v>60</v>
      </c>
      <c r="D1228" s="31" t="s">
        <v>65</v>
      </c>
      <c r="E1228" s="31" t="s">
        <v>52</v>
      </c>
      <c r="F1228" s="31" t="s">
        <v>137</v>
      </c>
      <c r="G1228" s="31" t="n">
        <v>10</v>
      </c>
      <c r="H1228" s="41" t="n">
        <v>25.3</v>
      </c>
      <c r="I1228" s="31" t="s">
        <v>149</v>
      </c>
      <c r="J1228" s="31" t="n">
        <v>4</v>
      </c>
      <c r="K1228" s="31" t="s">
        <v>150</v>
      </c>
      <c r="L1228" s="45" t="n">
        <f aca="false">DATE(YEAR(B1228),MONTH(B1228),1)</f>
        <v>46204</v>
      </c>
      <c r="M1228" s="31" t="n">
        <f aca="false">WEEKDAY(B1228,2)</f>
        <v>5</v>
      </c>
      <c r="N1228" s="31" t="str">
        <f aca="false">IF(G1228&lt;=INDEX(Assumptions!$B$15:$B$18,MATCH(E1228,Assumptions!$A$15:$A$18,0)),"Yes","No")</f>
        <v>Yes</v>
      </c>
      <c r="O1228" s="31" t="str">
        <f aca="false">IF(H1228="","Open",IF(H1228&lt;=INDEX(Assumptions!$C$15:$C$18,MATCH(E1228,Assumptions!$A$15:$A$18,0)),"Yes","No"))</f>
        <v>Yes</v>
      </c>
    </row>
    <row r="1229" customFormat="false" ht="15" hidden="false" customHeight="false" outlineLevel="0" collapsed="false">
      <c r="A1229" s="31" t="s">
        <v>1379</v>
      </c>
      <c r="B1229" s="44" t="n">
        <v>46220</v>
      </c>
      <c r="C1229" s="31" t="s">
        <v>58</v>
      </c>
      <c r="D1229" s="31" t="s">
        <v>66</v>
      </c>
      <c r="E1229" s="31" t="s">
        <v>52</v>
      </c>
      <c r="F1229" s="31" t="s">
        <v>124</v>
      </c>
      <c r="G1229" s="31" t="n">
        <v>19</v>
      </c>
      <c r="H1229" s="41" t="n">
        <v>8.6</v>
      </c>
      <c r="I1229" s="31" t="s">
        <v>149</v>
      </c>
      <c r="J1229" s="31"/>
      <c r="K1229" s="31" t="s">
        <v>150</v>
      </c>
      <c r="L1229" s="45" t="n">
        <f aca="false">DATE(YEAR(B1229),MONTH(B1229),1)</f>
        <v>46204</v>
      </c>
      <c r="M1229" s="31" t="n">
        <f aca="false">WEEKDAY(B1229,2)</f>
        <v>5</v>
      </c>
      <c r="N1229" s="31" t="str">
        <f aca="false">IF(G1229&lt;=INDEX(Assumptions!$B$15:$B$18,MATCH(E1229,Assumptions!$A$15:$A$18,0)),"Yes","No")</f>
        <v>Yes</v>
      </c>
      <c r="O1229" s="31" t="str">
        <f aca="false">IF(H1229="","Open",IF(H1229&lt;=INDEX(Assumptions!$C$15:$C$18,MATCH(E1229,Assumptions!$A$15:$A$18,0)),"Yes","No"))</f>
        <v>Yes</v>
      </c>
    </row>
    <row r="1230" customFormat="false" ht="15" hidden="false" customHeight="false" outlineLevel="0" collapsed="false">
      <c r="A1230" s="31" t="s">
        <v>1380</v>
      </c>
      <c r="B1230" s="44" t="n">
        <v>46220</v>
      </c>
      <c r="C1230" s="31" t="s">
        <v>60</v>
      </c>
      <c r="D1230" s="31" t="s">
        <v>67</v>
      </c>
      <c r="E1230" s="31" t="s">
        <v>51</v>
      </c>
      <c r="F1230" s="31" t="s">
        <v>136</v>
      </c>
      <c r="G1230" s="31" t="n">
        <v>3</v>
      </c>
      <c r="H1230" s="41" t="n">
        <v>2.7</v>
      </c>
      <c r="I1230" s="31" t="s">
        <v>149</v>
      </c>
      <c r="J1230" s="31"/>
      <c r="K1230" s="31" t="s">
        <v>150</v>
      </c>
      <c r="L1230" s="45" t="n">
        <f aca="false">DATE(YEAR(B1230),MONTH(B1230),1)</f>
        <v>46204</v>
      </c>
      <c r="M1230" s="31" t="n">
        <f aca="false">WEEKDAY(B1230,2)</f>
        <v>5</v>
      </c>
      <c r="N1230" s="31" t="str">
        <f aca="false">IF(G1230&lt;=INDEX(Assumptions!$B$15:$B$18,MATCH(E1230,Assumptions!$A$15:$A$18,0)),"Yes","No")</f>
        <v>Yes</v>
      </c>
      <c r="O1230" s="31" t="str">
        <f aca="false">IF(H1230="","Open",IF(H1230&lt;=INDEX(Assumptions!$C$15:$C$18,MATCH(E1230,Assumptions!$A$15:$A$18,0)),"Yes","No"))</f>
        <v>Yes</v>
      </c>
    </row>
    <row r="1231" customFormat="false" ht="15" hidden="false" customHeight="false" outlineLevel="0" collapsed="false">
      <c r="A1231" s="31" t="s">
        <v>1381</v>
      </c>
      <c r="B1231" s="44" t="n">
        <v>46220</v>
      </c>
      <c r="C1231" s="31" t="s">
        <v>57</v>
      </c>
      <c r="D1231" s="31" t="s">
        <v>69</v>
      </c>
      <c r="E1231" s="31" t="s">
        <v>52</v>
      </c>
      <c r="F1231" s="31" t="s">
        <v>126</v>
      </c>
      <c r="G1231" s="31" t="n">
        <v>3</v>
      </c>
      <c r="H1231" s="41" t="n">
        <v>45.7</v>
      </c>
      <c r="I1231" s="31" t="s">
        <v>149</v>
      </c>
      <c r="J1231" s="31"/>
      <c r="K1231" s="31" t="s">
        <v>150</v>
      </c>
      <c r="L1231" s="45" t="n">
        <f aca="false">DATE(YEAR(B1231),MONTH(B1231),1)</f>
        <v>46204</v>
      </c>
      <c r="M1231" s="31" t="n">
        <f aca="false">WEEKDAY(B1231,2)</f>
        <v>5</v>
      </c>
      <c r="N1231" s="31" t="str">
        <f aca="false">IF(G1231&lt;=INDEX(Assumptions!$B$15:$B$18,MATCH(E1231,Assumptions!$A$15:$A$18,0)),"Yes","No")</f>
        <v>Yes</v>
      </c>
      <c r="O1231" s="31" t="str">
        <f aca="false">IF(H1231="","Open",IF(H1231&lt;=INDEX(Assumptions!$C$15:$C$18,MATCH(E1231,Assumptions!$A$15:$A$18,0)),"Yes","No"))</f>
        <v>Yes</v>
      </c>
    </row>
    <row r="1232" customFormat="false" ht="15" hidden="false" customHeight="false" outlineLevel="0" collapsed="false">
      <c r="A1232" s="31" t="s">
        <v>1382</v>
      </c>
      <c r="B1232" s="44" t="n">
        <v>46220</v>
      </c>
      <c r="C1232" s="31" t="s">
        <v>59</v>
      </c>
      <c r="D1232" s="31" t="s">
        <v>65</v>
      </c>
      <c r="E1232" s="31" t="s">
        <v>50</v>
      </c>
      <c r="F1232" s="31" t="s">
        <v>119</v>
      </c>
      <c r="G1232" s="31" t="n">
        <v>83</v>
      </c>
      <c r="H1232" s="41" t="n">
        <v>4.4</v>
      </c>
      <c r="I1232" s="31" t="s">
        <v>149</v>
      </c>
      <c r="J1232" s="31" t="n">
        <v>4</v>
      </c>
      <c r="K1232" s="31" t="s">
        <v>150</v>
      </c>
      <c r="L1232" s="45" t="n">
        <f aca="false">DATE(YEAR(B1232),MONTH(B1232),1)</f>
        <v>46204</v>
      </c>
      <c r="M1232" s="31" t="n">
        <f aca="false">WEEKDAY(B1232,2)</f>
        <v>5</v>
      </c>
      <c r="N1232" s="31" t="str">
        <f aca="false">IF(G1232&lt;=INDEX(Assumptions!$B$15:$B$18,MATCH(E1232,Assumptions!$A$15:$A$18,0)),"Yes","No")</f>
        <v>No</v>
      </c>
      <c r="O1232" s="31" t="str">
        <f aca="false">IF(H1232="","Open",IF(H1232&lt;=INDEX(Assumptions!$C$15:$C$18,MATCH(E1232,Assumptions!$A$15:$A$18,0)),"Yes","No"))</f>
        <v>Yes</v>
      </c>
    </row>
    <row r="1233" customFormat="false" ht="15" hidden="false" customHeight="false" outlineLevel="0" collapsed="false">
      <c r="A1233" s="31" t="s">
        <v>1383</v>
      </c>
      <c r="B1233" s="44" t="n">
        <v>46220</v>
      </c>
      <c r="C1233" s="31" t="s">
        <v>57</v>
      </c>
      <c r="D1233" s="31" t="s">
        <v>65</v>
      </c>
      <c r="E1233" s="31" t="s">
        <v>52</v>
      </c>
      <c r="F1233" s="31" t="s">
        <v>124</v>
      </c>
      <c r="G1233" s="31" t="n">
        <v>8</v>
      </c>
      <c r="H1233" s="41" t="n">
        <v>108.1</v>
      </c>
      <c r="I1233" s="31" t="s">
        <v>64</v>
      </c>
      <c r="J1233" s="31" t="n">
        <v>2</v>
      </c>
      <c r="K1233" s="31" t="s">
        <v>150</v>
      </c>
      <c r="L1233" s="45" t="n">
        <f aca="false">DATE(YEAR(B1233),MONTH(B1233),1)</f>
        <v>46204</v>
      </c>
      <c r="M1233" s="31" t="n">
        <f aca="false">WEEKDAY(B1233,2)</f>
        <v>5</v>
      </c>
      <c r="N1233" s="31" t="str">
        <f aca="false">IF(G1233&lt;=INDEX(Assumptions!$B$15:$B$18,MATCH(E1233,Assumptions!$A$15:$A$18,0)),"Yes","No")</f>
        <v>Yes</v>
      </c>
      <c r="O1233" s="31" t="str">
        <f aca="false">IF(H1233="","Open",IF(H1233&lt;=INDEX(Assumptions!$C$15:$C$18,MATCH(E1233,Assumptions!$A$15:$A$18,0)),"Yes","No"))</f>
        <v>No</v>
      </c>
    </row>
    <row r="1234" customFormat="false" ht="15" hidden="false" customHeight="false" outlineLevel="0" collapsed="false">
      <c r="A1234" s="31" t="s">
        <v>1384</v>
      </c>
      <c r="B1234" s="44" t="n">
        <v>46220</v>
      </c>
      <c r="C1234" s="31" t="s">
        <v>60</v>
      </c>
      <c r="D1234" s="31" t="s">
        <v>65</v>
      </c>
      <c r="E1234" s="31" t="s">
        <v>52</v>
      </c>
      <c r="F1234" s="31" t="s">
        <v>133</v>
      </c>
      <c r="G1234" s="31" t="n">
        <v>2</v>
      </c>
      <c r="H1234" s="41" t="n">
        <v>44.1</v>
      </c>
      <c r="I1234" s="31" t="s">
        <v>64</v>
      </c>
      <c r="J1234" s="31"/>
      <c r="K1234" s="31" t="s">
        <v>150</v>
      </c>
      <c r="L1234" s="45" t="n">
        <f aca="false">DATE(YEAR(B1234),MONTH(B1234),1)</f>
        <v>46204</v>
      </c>
      <c r="M1234" s="31" t="n">
        <f aca="false">WEEKDAY(B1234,2)</f>
        <v>5</v>
      </c>
      <c r="N1234" s="31" t="str">
        <f aca="false">IF(G1234&lt;=INDEX(Assumptions!$B$15:$B$18,MATCH(E1234,Assumptions!$A$15:$A$18,0)),"Yes","No")</f>
        <v>Yes</v>
      </c>
      <c r="O1234" s="31" t="str">
        <f aca="false">IF(H1234="","Open",IF(H1234&lt;=INDEX(Assumptions!$C$15:$C$18,MATCH(E1234,Assumptions!$A$15:$A$18,0)),"Yes","No"))</f>
        <v>Yes</v>
      </c>
    </row>
    <row r="1235" customFormat="false" ht="15" hidden="false" customHeight="false" outlineLevel="0" collapsed="false">
      <c r="A1235" s="31" t="s">
        <v>1385</v>
      </c>
      <c r="B1235" s="44" t="n">
        <v>46220</v>
      </c>
      <c r="C1235" s="31" t="s">
        <v>58</v>
      </c>
      <c r="D1235" s="31" t="s">
        <v>67</v>
      </c>
      <c r="E1235" s="31" t="s">
        <v>51</v>
      </c>
      <c r="F1235" s="31" t="s">
        <v>127</v>
      </c>
      <c r="G1235" s="31" t="n">
        <v>20</v>
      </c>
      <c r="H1235" s="41" t="n">
        <v>16.7</v>
      </c>
      <c r="I1235" s="31" t="s">
        <v>149</v>
      </c>
      <c r="J1235" s="31" t="n">
        <v>5</v>
      </c>
      <c r="K1235" s="31" t="s">
        <v>150</v>
      </c>
      <c r="L1235" s="45" t="n">
        <f aca="false">DATE(YEAR(B1235),MONTH(B1235),1)</f>
        <v>46204</v>
      </c>
      <c r="M1235" s="31" t="n">
        <f aca="false">WEEKDAY(B1235,2)</f>
        <v>5</v>
      </c>
      <c r="N1235" s="31" t="str">
        <f aca="false">IF(G1235&lt;=INDEX(Assumptions!$B$15:$B$18,MATCH(E1235,Assumptions!$A$15:$A$18,0)),"Yes","No")</f>
        <v>Yes</v>
      </c>
      <c r="O1235" s="31" t="str">
        <f aca="false">IF(H1235="","Open",IF(H1235&lt;=INDEX(Assumptions!$C$15:$C$18,MATCH(E1235,Assumptions!$A$15:$A$18,0)),"Yes","No"))</f>
        <v>Yes</v>
      </c>
    </row>
    <row r="1236" customFormat="false" ht="15" hidden="false" customHeight="false" outlineLevel="0" collapsed="false">
      <c r="A1236" s="31" t="s">
        <v>1386</v>
      </c>
      <c r="B1236" s="44" t="n">
        <v>46220</v>
      </c>
      <c r="C1236" s="31" t="s">
        <v>58</v>
      </c>
      <c r="D1236" s="31" t="s">
        <v>65</v>
      </c>
      <c r="E1236" s="31" t="s">
        <v>50</v>
      </c>
      <c r="F1236" s="31" t="s">
        <v>133</v>
      </c>
      <c r="G1236" s="31" t="n">
        <v>4</v>
      </c>
      <c r="H1236" s="41" t="n">
        <v>15.1</v>
      </c>
      <c r="I1236" s="31" t="s">
        <v>149</v>
      </c>
      <c r="J1236" s="31"/>
      <c r="K1236" s="31" t="s">
        <v>150</v>
      </c>
      <c r="L1236" s="45" t="n">
        <f aca="false">DATE(YEAR(B1236),MONTH(B1236),1)</f>
        <v>46204</v>
      </c>
      <c r="M1236" s="31" t="n">
        <f aca="false">WEEKDAY(B1236,2)</f>
        <v>5</v>
      </c>
      <c r="N1236" s="31" t="str">
        <f aca="false">IF(G1236&lt;=INDEX(Assumptions!$B$15:$B$18,MATCH(E1236,Assumptions!$A$15:$A$18,0)),"Yes","No")</f>
        <v>Yes</v>
      </c>
      <c r="O1236" s="31" t="str">
        <f aca="false">IF(H1236="","Open",IF(H1236&lt;=INDEX(Assumptions!$C$15:$C$18,MATCH(E1236,Assumptions!$A$15:$A$18,0)),"Yes","No"))</f>
        <v>No</v>
      </c>
    </row>
    <row r="1237" customFormat="false" ht="15" hidden="false" customHeight="false" outlineLevel="0" collapsed="false">
      <c r="A1237" s="31" t="s">
        <v>1387</v>
      </c>
      <c r="B1237" s="44" t="n">
        <v>46220</v>
      </c>
      <c r="C1237" s="31" t="s">
        <v>60</v>
      </c>
      <c r="D1237" s="31" t="s">
        <v>65</v>
      </c>
      <c r="E1237" s="31" t="s">
        <v>51</v>
      </c>
      <c r="F1237" s="31" t="s">
        <v>136</v>
      </c>
      <c r="G1237" s="31" t="n">
        <v>2</v>
      </c>
      <c r="H1237" s="41" t="n">
        <v>26.1</v>
      </c>
      <c r="I1237" s="31" t="s">
        <v>149</v>
      </c>
      <c r="J1237" s="31"/>
      <c r="K1237" s="31" t="s">
        <v>150</v>
      </c>
      <c r="L1237" s="45" t="n">
        <f aca="false">DATE(YEAR(B1237),MONTH(B1237),1)</f>
        <v>46204</v>
      </c>
      <c r="M1237" s="31" t="n">
        <f aca="false">WEEKDAY(B1237,2)</f>
        <v>5</v>
      </c>
      <c r="N1237" s="31" t="str">
        <f aca="false">IF(G1237&lt;=INDEX(Assumptions!$B$15:$B$18,MATCH(E1237,Assumptions!$A$15:$A$18,0)),"Yes","No")</f>
        <v>Yes</v>
      </c>
      <c r="O1237" s="31" t="str">
        <f aca="false">IF(H1237="","Open",IF(H1237&lt;=INDEX(Assumptions!$C$15:$C$18,MATCH(E1237,Assumptions!$A$15:$A$18,0)),"Yes","No"))</f>
        <v>No</v>
      </c>
    </row>
    <row r="1238" customFormat="false" ht="15" hidden="false" customHeight="false" outlineLevel="0" collapsed="false">
      <c r="A1238" s="31" t="s">
        <v>1388</v>
      </c>
      <c r="B1238" s="44" t="n">
        <v>46220</v>
      </c>
      <c r="C1238" s="31" t="s">
        <v>59</v>
      </c>
      <c r="D1238" s="31" t="s">
        <v>67</v>
      </c>
      <c r="E1238" s="31" t="s">
        <v>51</v>
      </c>
      <c r="F1238" s="31" t="s">
        <v>122</v>
      </c>
      <c r="G1238" s="31" t="n">
        <v>245</v>
      </c>
      <c r="H1238" s="41" t="n">
        <v>31.2</v>
      </c>
      <c r="I1238" s="31" t="s">
        <v>149</v>
      </c>
      <c r="J1238" s="31" t="n">
        <v>4</v>
      </c>
      <c r="K1238" s="31" t="s">
        <v>150</v>
      </c>
      <c r="L1238" s="45" t="n">
        <f aca="false">DATE(YEAR(B1238),MONTH(B1238),1)</f>
        <v>46204</v>
      </c>
      <c r="M1238" s="31" t="n">
        <f aca="false">WEEKDAY(B1238,2)</f>
        <v>5</v>
      </c>
      <c r="N1238" s="31" t="str">
        <f aca="false">IF(G1238&lt;=INDEX(Assumptions!$B$15:$B$18,MATCH(E1238,Assumptions!$A$15:$A$18,0)),"Yes","No")</f>
        <v>No</v>
      </c>
      <c r="O1238" s="31" t="str">
        <f aca="false">IF(H1238="","Open",IF(H1238&lt;=INDEX(Assumptions!$C$15:$C$18,MATCH(E1238,Assumptions!$A$15:$A$18,0)),"Yes","No"))</f>
        <v>No</v>
      </c>
    </row>
    <row r="1239" customFormat="false" ht="15" hidden="false" customHeight="false" outlineLevel="0" collapsed="false">
      <c r="A1239" s="31" t="s">
        <v>1389</v>
      </c>
      <c r="B1239" s="44" t="n">
        <v>46220</v>
      </c>
      <c r="C1239" s="31" t="s">
        <v>59</v>
      </c>
      <c r="D1239" s="31" t="s">
        <v>67</v>
      </c>
      <c r="E1239" s="31" t="s">
        <v>52</v>
      </c>
      <c r="F1239" s="31" t="s">
        <v>121</v>
      </c>
      <c r="G1239" s="31" t="n">
        <v>140</v>
      </c>
      <c r="H1239" s="41" t="n">
        <v>19.3</v>
      </c>
      <c r="I1239" s="31" t="s">
        <v>149</v>
      </c>
      <c r="J1239" s="31"/>
      <c r="K1239" s="31" t="s">
        <v>150</v>
      </c>
      <c r="L1239" s="45" t="n">
        <f aca="false">DATE(YEAR(B1239),MONTH(B1239),1)</f>
        <v>46204</v>
      </c>
      <c r="M1239" s="31" t="n">
        <f aca="false">WEEKDAY(B1239,2)</f>
        <v>5</v>
      </c>
      <c r="N1239" s="31" t="str">
        <f aca="false">IF(G1239&lt;=INDEX(Assumptions!$B$15:$B$18,MATCH(E1239,Assumptions!$A$15:$A$18,0)),"Yes","No")</f>
        <v>Yes</v>
      </c>
      <c r="O1239" s="31" t="str">
        <f aca="false">IF(H1239="","Open",IF(H1239&lt;=INDEX(Assumptions!$C$15:$C$18,MATCH(E1239,Assumptions!$A$15:$A$18,0)),"Yes","No"))</f>
        <v>Yes</v>
      </c>
    </row>
    <row r="1240" customFormat="false" ht="15" hidden="false" customHeight="false" outlineLevel="0" collapsed="false">
      <c r="A1240" s="31" t="s">
        <v>1390</v>
      </c>
      <c r="B1240" s="44" t="n">
        <v>46221</v>
      </c>
      <c r="C1240" s="31" t="s">
        <v>58</v>
      </c>
      <c r="D1240" s="31" t="s">
        <v>66</v>
      </c>
      <c r="E1240" s="31" t="s">
        <v>51</v>
      </c>
      <c r="F1240" s="31" t="s">
        <v>127</v>
      </c>
      <c r="G1240" s="31" t="n">
        <v>5</v>
      </c>
      <c r="H1240" s="41" t="n">
        <v>6.5</v>
      </c>
      <c r="I1240" s="31" t="s">
        <v>149</v>
      </c>
      <c r="J1240" s="31" t="n">
        <v>4</v>
      </c>
      <c r="K1240" s="31" t="s">
        <v>150</v>
      </c>
      <c r="L1240" s="45" t="n">
        <f aca="false">DATE(YEAR(B1240),MONTH(B1240),1)</f>
        <v>46204</v>
      </c>
      <c r="M1240" s="31" t="n">
        <f aca="false">WEEKDAY(B1240,2)</f>
        <v>6</v>
      </c>
      <c r="N1240" s="31" t="str">
        <f aca="false">IF(G1240&lt;=INDEX(Assumptions!$B$15:$B$18,MATCH(E1240,Assumptions!$A$15:$A$18,0)),"Yes","No")</f>
        <v>Yes</v>
      </c>
      <c r="O1240" s="31" t="str">
        <f aca="false">IF(H1240="","Open",IF(H1240&lt;=INDEX(Assumptions!$C$15:$C$18,MATCH(E1240,Assumptions!$A$15:$A$18,0)),"Yes","No"))</f>
        <v>Yes</v>
      </c>
    </row>
    <row r="1241" customFormat="false" ht="15" hidden="false" customHeight="false" outlineLevel="0" collapsed="false">
      <c r="A1241" s="31" t="s">
        <v>1391</v>
      </c>
      <c r="B1241" s="44" t="n">
        <v>46221</v>
      </c>
      <c r="C1241" s="31" t="s">
        <v>58</v>
      </c>
      <c r="D1241" s="31" t="s">
        <v>65</v>
      </c>
      <c r="E1241" s="31" t="s">
        <v>52</v>
      </c>
      <c r="F1241" s="31" t="s">
        <v>137</v>
      </c>
      <c r="G1241" s="31" t="n">
        <v>28</v>
      </c>
      <c r="H1241" s="41" t="n">
        <v>8.6</v>
      </c>
      <c r="I1241" s="31" t="s">
        <v>149</v>
      </c>
      <c r="J1241" s="31"/>
      <c r="K1241" s="31" t="s">
        <v>150</v>
      </c>
      <c r="L1241" s="45" t="n">
        <f aca="false">DATE(YEAR(B1241),MONTH(B1241),1)</f>
        <v>46204</v>
      </c>
      <c r="M1241" s="31" t="n">
        <f aca="false">WEEKDAY(B1241,2)</f>
        <v>6</v>
      </c>
      <c r="N1241" s="31" t="str">
        <f aca="false">IF(G1241&lt;=INDEX(Assumptions!$B$15:$B$18,MATCH(E1241,Assumptions!$A$15:$A$18,0)),"Yes","No")</f>
        <v>Yes</v>
      </c>
      <c r="O1241" s="31" t="str">
        <f aca="false">IF(H1241="","Open",IF(H1241&lt;=INDEX(Assumptions!$C$15:$C$18,MATCH(E1241,Assumptions!$A$15:$A$18,0)),"Yes","No"))</f>
        <v>Yes</v>
      </c>
    </row>
    <row r="1242" customFormat="false" ht="15" hidden="false" customHeight="false" outlineLevel="0" collapsed="false">
      <c r="A1242" s="31" t="s">
        <v>1392</v>
      </c>
      <c r="B1242" s="44" t="n">
        <v>46221</v>
      </c>
      <c r="C1242" s="31" t="s">
        <v>59</v>
      </c>
      <c r="D1242" s="31" t="s">
        <v>67</v>
      </c>
      <c r="E1242" s="31" t="s">
        <v>51</v>
      </c>
      <c r="F1242" s="31" t="s">
        <v>128</v>
      </c>
      <c r="G1242" s="31" t="n">
        <v>218</v>
      </c>
      <c r="H1242" s="41" t="n">
        <v>69.2</v>
      </c>
      <c r="I1242" s="31" t="s">
        <v>149</v>
      </c>
      <c r="J1242" s="31" t="n">
        <v>3</v>
      </c>
      <c r="K1242" s="31" t="s">
        <v>150</v>
      </c>
      <c r="L1242" s="45" t="n">
        <f aca="false">DATE(YEAR(B1242),MONTH(B1242),1)</f>
        <v>46204</v>
      </c>
      <c r="M1242" s="31" t="n">
        <f aca="false">WEEKDAY(B1242,2)</f>
        <v>6</v>
      </c>
      <c r="N1242" s="31" t="str">
        <f aca="false">IF(G1242&lt;=INDEX(Assumptions!$B$15:$B$18,MATCH(E1242,Assumptions!$A$15:$A$18,0)),"Yes","No")</f>
        <v>No</v>
      </c>
      <c r="O1242" s="31" t="str">
        <f aca="false">IF(H1242="","Open",IF(H1242&lt;=INDEX(Assumptions!$C$15:$C$18,MATCH(E1242,Assumptions!$A$15:$A$18,0)),"Yes","No"))</f>
        <v>No</v>
      </c>
    </row>
    <row r="1243" customFormat="false" ht="15" hidden="false" customHeight="false" outlineLevel="0" collapsed="false">
      <c r="A1243" s="31" t="s">
        <v>1393</v>
      </c>
      <c r="B1243" s="44" t="n">
        <v>46221</v>
      </c>
      <c r="C1243" s="31" t="s">
        <v>59</v>
      </c>
      <c r="D1243" s="31" t="s">
        <v>67</v>
      </c>
      <c r="E1243" s="31" t="s">
        <v>52</v>
      </c>
      <c r="F1243" s="31" t="s">
        <v>133</v>
      </c>
      <c r="G1243" s="31" t="n">
        <v>88</v>
      </c>
      <c r="H1243" s="41" t="n">
        <v>26.9</v>
      </c>
      <c r="I1243" s="31" t="s">
        <v>149</v>
      </c>
      <c r="J1243" s="31"/>
      <c r="K1243" s="31" t="s">
        <v>150</v>
      </c>
      <c r="L1243" s="45" t="n">
        <f aca="false">DATE(YEAR(B1243),MONTH(B1243),1)</f>
        <v>46204</v>
      </c>
      <c r="M1243" s="31" t="n">
        <f aca="false">WEEKDAY(B1243,2)</f>
        <v>6</v>
      </c>
      <c r="N1243" s="31" t="str">
        <f aca="false">IF(G1243&lt;=INDEX(Assumptions!$B$15:$B$18,MATCH(E1243,Assumptions!$A$15:$A$18,0)),"Yes","No")</f>
        <v>Yes</v>
      </c>
      <c r="O1243" s="31" t="str">
        <f aca="false">IF(H1243="","Open",IF(H1243&lt;=INDEX(Assumptions!$C$15:$C$18,MATCH(E1243,Assumptions!$A$15:$A$18,0)),"Yes","No"))</f>
        <v>Yes</v>
      </c>
    </row>
    <row r="1244" customFormat="false" ht="15" hidden="false" customHeight="false" outlineLevel="0" collapsed="false">
      <c r="A1244" s="31" t="s">
        <v>1394</v>
      </c>
      <c r="B1244" s="44" t="n">
        <v>46221</v>
      </c>
      <c r="C1244" s="31" t="s">
        <v>60</v>
      </c>
      <c r="D1244" s="31" t="s">
        <v>65</v>
      </c>
      <c r="E1244" s="31" t="s">
        <v>52</v>
      </c>
      <c r="F1244" s="31" t="s">
        <v>136</v>
      </c>
      <c r="G1244" s="31" t="n">
        <v>4</v>
      </c>
      <c r="H1244" s="41" t="n">
        <v>19.1</v>
      </c>
      <c r="I1244" s="31" t="s">
        <v>149</v>
      </c>
      <c r="J1244" s="31"/>
      <c r="K1244" s="31" t="s">
        <v>150</v>
      </c>
      <c r="L1244" s="45" t="n">
        <f aca="false">DATE(YEAR(B1244),MONTH(B1244),1)</f>
        <v>46204</v>
      </c>
      <c r="M1244" s="31" t="n">
        <f aca="false">WEEKDAY(B1244,2)</f>
        <v>6</v>
      </c>
      <c r="N1244" s="31" t="str">
        <f aca="false">IF(G1244&lt;=INDEX(Assumptions!$B$15:$B$18,MATCH(E1244,Assumptions!$A$15:$A$18,0)),"Yes","No")</f>
        <v>Yes</v>
      </c>
      <c r="O1244" s="31" t="str">
        <f aca="false">IF(H1244="","Open",IF(H1244&lt;=INDEX(Assumptions!$C$15:$C$18,MATCH(E1244,Assumptions!$A$15:$A$18,0)),"Yes","No"))</f>
        <v>Yes</v>
      </c>
    </row>
    <row r="1245" customFormat="false" ht="15" hidden="false" customHeight="false" outlineLevel="0" collapsed="false">
      <c r="A1245" s="31" t="s">
        <v>1395</v>
      </c>
      <c r="B1245" s="44" t="n">
        <v>46221</v>
      </c>
      <c r="C1245" s="31" t="s">
        <v>57</v>
      </c>
      <c r="D1245" s="31" t="s">
        <v>67</v>
      </c>
      <c r="E1245" s="31" t="s">
        <v>51</v>
      </c>
      <c r="F1245" s="31" t="s">
        <v>122</v>
      </c>
      <c r="G1245" s="31" t="n">
        <v>7</v>
      </c>
      <c r="H1245" s="41" t="n">
        <v>10.7</v>
      </c>
      <c r="I1245" s="31" t="s">
        <v>149</v>
      </c>
      <c r="J1245" s="31"/>
      <c r="K1245" s="31" t="s">
        <v>150</v>
      </c>
      <c r="L1245" s="45" t="n">
        <f aca="false">DATE(YEAR(B1245),MONTH(B1245),1)</f>
        <v>46204</v>
      </c>
      <c r="M1245" s="31" t="n">
        <f aca="false">WEEKDAY(B1245,2)</f>
        <v>6</v>
      </c>
      <c r="N1245" s="31" t="str">
        <f aca="false">IF(G1245&lt;=INDEX(Assumptions!$B$15:$B$18,MATCH(E1245,Assumptions!$A$15:$A$18,0)),"Yes","No")</f>
        <v>Yes</v>
      </c>
      <c r="O1245" s="31" t="str">
        <f aca="false">IF(H1245="","Open",IF(H1245&lt;=INDEX(Assumptions!$C$15:$C$18,MATCH(E1245,Assumptions!$A$15:$A$18,0)),"Yes","No"))</f>
        <v>Yes</v>
      </c>
    </row>
    <row r="1246" customFormat="false" ht="15" hidden="false" customHeight="false" outlineLevel="0" collapsed="false">
      <c r="A1246" s="31" t="s">
        <v>1396</v>
      </c>
      <c r="B1246" s="44" t="n">
        <v>46221</v>
      </c>
      <c r="C1246" s="31" t="s">
        <v>60</v>
      </c>
      <c r="D1246" s="31" t="s">
        <v>69</v>
      </c>
      <c r="E1246" s="31" t="s">
        <v>50</v>
      </c>
      <c r="F1246" s="31" t="s">
        <v>137</v>
      </c>
      <c r="G1246" s="31" t="n">
        <v>6</v>
      </c>
      <c r="H1246" s="41" t="n">
        <v>5.9</v>
      </c>
      <c r="I1246" s="31" t="s">
        <v>149</v>
      </c>
      <c r="J1246" s="31" t="n">
        <v>3</v>
      </c>
      <c r="K1246" s="31" t="s">
        <v>150</v>
      </c>
      <c r="L1246" s="45" t="n">
        <f aca="false">DATE(YEAR(B1246),MONTH(B1246),1)</f>
        <v>46204</v>
      </c>
      <c r="M1246" s="31" t="n">
        <f aca="false">WEEKDAY(B1246,2)</f>
        <v>6</v>
      </c>
      <c r="N1246" s="31" t="str">
        <f aca="false">IF(G1246&lt;=INDEX(Assumptions!$B$15:$B$18,MATCH(E1246,Assumptions!$A$15:$A$18,0)),"Yes","No")</f>
        <v>Yes</v>
      </c>
      <c r="O1246" s="31" t="str">
        <f aca="false">IF(H1246="","Open",IF(H1246&lt;=INDEX(Assumptions!$C$15:$C$18,MATCH(E1246,Assumptions!$A$15:$A$18,0)),"Yes","No"))</f>
        <v>Yes</v>
      </c>
    </row>
    <row r="1247" customFormat="false" ht="15" hidden="false" customHeight="false" outlineLevel="0" collapsed="false">
      <c r="A1247" s="31" t="s">
        <v>1397</v>
      </c>
      <c r="B1247" s="44" t="n">
        <v>46221</v>
      </c>
      <c r="C1247" s="31" t="s">
        <v>59</v>
      </c>
      <c r="D1247" s="31" t="s">
        <v>67</v>
      </c>
      <c r="E1247" s="31" t="s">
        <v>51</v>
      </c>
      <c r="F1247" s="31" t="s">
        <v>121</v>
      </c>
      <c r="G1247" s="31" t="n">
        <v>115</v>
      </c>
      <c r="H1247" s="41" t="n">
        <v>17.6</v>
      </c>
      <c r="I1247" s="31" t="s">
        <v>149</v>
      </c>
      <c r="J1247" s="31" t="n">
        <v>4</v>
      </c>
      <c r="K1247" s="31" t="s">
        <v>150</v>
      </c>
      <c r="L1247" s="45" t="n">
        <f aca="false">DATE(YEAR(B1247),MONTH(B1247),1)</f>
        <v>46204</v>
      </c>
      <c r="M1247" s="31" t="n">
        <f aca="false">WEEKDAY(B1247,2)</f>
        <v>6</v>
      </c>
      <c r="N1247" s="31" t="str">
        <f aca="false">IF(G1247&lt;=INDEX(Assumptions!$B$15:$B$18,MATCH(E1247,Assumptions!$A$15:$A$18,0)),"Yes","No")</f>
        <v>No</v>
      </c>
      <c r="O1247" s="31" t="str">
        <f aca="false">IF(H1247="","Open",IF(H1247&lt;=INDEX(Assumptions!$C$15:$C$18,MATCH(E1247,Assumptions!$A$15:$A$18,0)),"Yes","No"))</f>
        <v>Yes</v>
      </c>
    </row>
    <row r="1248" customFormat="false" ht="15" hidden="false" customHeight="false" outlineLevel="0" collapsed="false">
      <c r="A1248" s="31" t="s">
        <v>1398</v>
      </c>
      <c r="B1248" s="44" t="n">
        <v>46221</v>
      </c>
      <c r="C1248" s="31" t="s">
        <v>59</v>
      </c>
      <c r="D1248" s="31" t="s">
        <v>68</v>
      </c>
      <c r="E1248" s="31" t="s">
        <v>52</v>
      </c>
      <c r="F1248" s="31" t="s">
        <v>126</v>
      </c>
      <c r="G1248" s="31" t="n">
        <v>33</v>
      </c>
      <c r="H1248" s="41" t="n">
        <v>2.8</v>
      </c>
      <c r="I1248" s="31" t="s">
        <v>149</v>
      </c>
      <c r="J1248" s="31" t="n">
        <v>4</v>
      </c>
      <c r="K1248" s="31" t="s">
        <v>150</v>
      </c>
      <c r="L1248" s="45" t="n">
        <f aca="false">DATE(YEAR(B1248),MONTH(B1248),1)</f>
        <v>46204</v>
      </c>
      <c r="M1248" s="31" t="n">
        <f aca="false">WEEKDAY(B1248,2)</f>
        <v>6</v>
      </c>
      <c r="N1248" s="31" t="str">
        <f aca="false">IF(G1248&lt;=INDEX(Assumptions!$B$15:$B$18,MATCH(E1248,Assumptions!$A$15:$A$18,0)),"Yes","No")</f>
        <v>Yes</v>
      </c>
      <c r="O1248" s="31" t="str">
        <f aca="false">IF(H1248="","Open",IF(H1248&lt;=INDEX(Assumptions!$C$15:$C$18,MATCH(E1248,Assumptions!$A$15:$A$18,0)),"Yes","No"))</f>
        <v>Yes</v>
      </c>
    </row>
    <row r="1249" customFormat="false" ht="15" hidden="false" customHeight="false" outlineLevel="0" collapsed="false">
      <c r="A1249" s="31" t="s">
        <v>1399</v>
      </c>
      <c r="B1249" s="44" t="n">
        <v>46221</v>
      </c>
      <c r="C1249" s="31" t="s">
        <v>57</v>
      </c>
      <c r="D1249" s="31" t="s">
        <v>69</v>
      </c>
      <c r="E1249" s="31" t="s">
        <v>52</v>
      </c>
      <c r="F1249" s="31" t="s">
        <v>135</v>
      </c>
      <c r="G1249" s="31" t="n">
        <v>17</v>
      </c>
      <c r="H1249" s="41" t="n">
        <v>125.8</v>
      </c>
      <c r="I1249" s="31" t="s">
        <v>149</v>
      </c>
      <c r="J1249" s="31" t="n">
        <v>2</v>
      </c>
      <c r="K1249" s="31" t="s">
        <v>153</v>
      </c>
      <c r="L1249" s="45" t="n">
        <f aca="false">DATE(YEAR(B1249),MONTH(B1249),1)</f>
        <v>46204</v>
      </c>
      <c r="M1249" s="31" t="n">
        <f aca="false">WEEKDAY(B1249,2)</f>
        <v>6</v>
      </c>
      <c r="N1249" s="31" t="str">
        <f aca="false">IF(G1249&lt;=INDEX(Assumptions!$B$15:$B$18,MATCH(E1249,Assumptions!$A$15:$A$18,0)),"Yes","No")</f>
        <v>Yes</v>
      </c>
      <c r="O1249" s="31" t="str">
        <f aca="false">IF(H1249="","Open",IF(H1249&lt;=INDEX(Assumptions!$C$15:$C$18,MATCH(E1249,Assumptions!$A$15:$A$18,0)),"Yes","No"))</f>
        <v>No</v>
      </c>
    </row>
    <row r="1250" customFormat="false" ht="15" hidden="false" customHeight="false" outlineLevel="0" collapsed="false">
      <c r="A1250" s="31" t="s">
        <v>1400</v>
      </c>
      <c r="B1250" s="44" t="n">
        <v>46221</v>
      </c>
      <c r="C1250" s="31" t="s">
        <v>57</v>
      </c>
      <c r="D1250" s="31" t="s">
        <v>66</v>
      </c>
      <c r="E1250" s="31" t="s">
        <v>51</v>
      </c>
      <c r="F1250" s="31" t="s">
        <v>124</v>
      </c>
      <c r="G1250" s="31" t="n">
        <v>6</v>
      </c>
      <c r="H1250" s="41" t="n">
        <v>5.3</v>
      </c>
      <c r="I1250" s="31" t="s">
        <v>149</v>
      </c>
      <c r="J1250" s="31" t="n">
        <v>4</v>
      </c>
      <c r="K1250" s="31" t="s">
        <v>150</v>
      </c>
      <c r="L1250" s="45" t="n">
        <f aca="false">DATE(YEAR(B1250),MONTH(B1250),1)</f>
        <v>46204</v>
      </c>
      <c r="M1250" s="31" t="n">
        <f aca="false">WEEKDAY(B1250,2)</f>
        <v>6</v>
      </c>
      <c r="N1250" s="31" t="str">
        <f aca="false">IF(G1250&lt;=INDEX(Assumptions!$B$15:$B$18,MATCH(E1250,Assumptions!$A$15:$A$18,0)),"Yes","No")</f>
        <v>Yes</v>
      </c>
      <c r="O1250" s="31" t="str">
        <f aca="false">IF(H1250="","Open",IF(H1250&lt;=INDEX(Assumptions!$C$15:$C$18,MATCH(E1250,Assumptions!$A$15:$A$18,0)),"Yes","No"))</f>
        <v>Yes</v>
      </c>
    </row>
    <row r="1251" customFormat="false" ht="15" hidden="false" customHeight="false" outlineLevel="0" collapsed="false">
      <c r="A1251" s="31" t="s">
        <v>1401</v>
      </c>
      <c r="B1251" s="44" t="n">
        <v>46221</v>
      </c>
      <c r="C1251" s="31" t="s">
        <v>58</v>
      </c>
      <c r="D1251" s="31" t="s">
        <v>65</v>
      </c>
      <c r="E1251" s="31" t="s">
        <v>52</v>
      </c>
      <c r="F1251" s="31" t="s">
        <v>126</v>
      </c>
      <c r="G1251" s="31" t="n">
        <v>15</v>
      </c>
      <c r="H1251" s="41" t="n">
        <v>23</v>
      </c>
      <c r="I1251" s="31" t="s">
        <v>149</v>
      </c>
      <c r="J1251" s="31"/>
      <c r="K1251" s="31" t="s">
        <v>150</v>
      </c>
      <c r="L1251" s="45" t="n">
        <f aca="false">DATE(YEAR(B1251),MONTH(B1251),1)</f>
        <v>46204</v>
      </c>
      <c r="M1251" s="31" t="n">
        <f aca="false">WEEKDAY(B1251,2)</f>
        <v>6</v>
      </c>
      <c r="N1251" s="31" t="str">
        <f aca="false">IF(G1251&lt;=INDEX(Assumptions!$B$15:$B$18,MATCH(E1251,Assumptions!$A$15:$A$18,0)),"Yes","No")</f>
        <v>Yes</v>
      </c>
      <c r="O1251" s="31" t="str">
        <f aca="false">IF(H1251="","Open",IF(H1251&lt;=INDEX(Assumptions!$C$15:$C$18,MATCH(E1251,Assumptions!$A$15:$A$18,0)),"Yes","No"))</f>
        <v>Yes</v>
      </c>
    </row>
    <row r="1252" customFormat="false" ht="15" hidden="false" customHeight="false" outlineLevel="0" collapsed="false">
      <c r="A1252" s="31" t="s">
        <v>1402</v>
      </c>
      <c r="B1252" s="44" t="n">
        <v>46221</v>
      </c>
      <c r="C1252" s="31" t="s">
        <v>58</v>
      </c>
      <c r="D1252" s="31" t="s">
        <v>66</v>
      </c>
      <c r="E1252" s="31" t="s">
        <v>52</v>
      </c>
      <c r="F1252" s="31" t="s">
        <v>117</v>
      </c>
      <c r="G1252" s="31" t="n">
        <v>3</v>
      </c>
      <c r="H1252" s="41" t="n">
        <v>8</v>
      </c>
      <c r="I1252" s="31" t="s">
        <v>149</v>
      </c>
      <c r="J1252" s="31" t="n">
        <v>5</v>
      </c>
      <c r="K1252" s="31" t="s">
        <v>150</v>
      </c>
      <c r="L1252" s="45" t="n">
        <f aca="false">DATE(YEAR(B1252),MONTH(B1252),1)</f>
        <v>46204</v>
      </c>
      <c r="M1252" s="31" t="n">
        <f aca="false">WEEKDAY(B1252,2)</f>
        <v>6</v>
      </c>
      <c r="N1252" s="31" t="str">
        <f aca="false">IF(G1252&lt;=INDEX(Assumptions!$B$15:$B$18,MATCH(E1252,Assumptions!$A$15:$A$18,0)),"Yes","No")</f>
        <v>Yes</v>
      </c>
      <c r="O1252" s="31" t="str">
        <f aca="false">IF(H1252="","Open",IF(H1252&lt;=INDEX(Assumptions!$C$15:$C$18,MATCH(E1252,Assumptions!$A$15:$A$18,0)),"Yes","No"))</f>
        <v>Yes</v>
      </c>
    </row>
    <row r="1253" customFormat="false" ht="15" hidden="false" customHeight="false" outlineLevel="0" collapsed="false">
      <c r="A1253" s="31" t="s">
        <v>1403</v>
      </c>
      <c r="B1253" s="44" t="n">
        <v>46221</v>
      </c>
      <c r="C1253" s="31" t="s">
        <v>60</v>
      </c>
      <c r="D1253" s="31" t="s">
        <v>65</v>
      </c>
      <c r="E1253" s="31" t="s">
        <v>51</v>
      </c>
      <c r="F1253" s="31" t="s">
        <v>117</v>
      </c>
      <c r="G1253" s="31" t="n">
        <v>1</v>
      </c>
      <c r="H1253" s="41" t="n">
        <v>3.2</v>
      </c>
      <c r="I1253" s="31" t="s">
        <v>149</v>
      </c>
      <c r="J1253" s="31" t="n">
        <v>3</v>
      </c>
      <c r="K1253" s="31" t="s">
        <v>153</v>
      </c>
      <c r="L1253" s="45" t="n">
        <f aca="false">DATE(YEAR(B1253),MONTH(B1253),1)</f>
        <v>46204</v>
      </c>
      <c r="M1253" s="31" t="n">
        <f aca="false">WEEKDAY(B1253,2)</f>
        <v>6</v>
      </c>
      <c r="N1253" s="31" t="str">
        <f aca="false">IF(G1253&lt;=INDEX(Assumptions!$B$15:$B$18,MATCH(E1253,Assumptions!$A$15:$A$18,0)),"Yes","No")</f>
        <v>Yes</v>
      </c>
      <c r="O1253" s="31" t="str">
        <f aca="false">IF(H1253="","Open",IF(H1253&lt;=INDEX(Assumptions!$C$15:$C$18,MATCH(E1253,Assumptions!$A$15:$A$18,0)),"Yes","No"))</f>
        <v>Yes</v>
      </c>
    </row>
    <row r="1254" customFormat="false" ht="15" hidden="false" customHeight="false" outlineLevel="0" collapsed="false">
      <c r="A1254" s="31" t="s">
        <v>1404</v>
      </c>
      <c r="B1254" s="44" t="n">
        <v>46221</v>
      </c>
      <c r="C1254" s="31" t="s">
        <v>57</v>
      </c>
      <c r="D1254" s="31" t="s">
        <v>66</v>
      </c>
      <c r="E1254" s="31" t="s">
        <v>51</v>
      </c>
      <c r="F1254" s="31" t="s">
        <v>135</v>
      </c>
      <c r="G1254" s="31" t="n">
        <v>10</v>
      </c>
      <c r="H1254" s="41" t="n">
        <v>5.3</v>
      </c>
      <c r="I1254" s="31" t="s">
        <v>149</v>
      </c>
      <c r="J1254" s="31"/>
      <c r="K1254" s="31" t="s">
        <v>150</v>
      </c>
      <c r="L1254" s="45" t="n">
        <f aca="false">DATE(YEAR(B1254),MONTH(B1254),1)</f>
        <v>46204</v>
      </c>
      <c r="M1254" s="31" t="n">
        <f aca="false">WEEKDAY(B1254,2)</f>
        <v>6</v>
      </c>
      <c r="N1254" s="31" t="str">
        <f aca="false">IF(G1254&lt;=INDEX(Assumptions!$B$15:$B$18,MATCH(E1254,Assumptions!$A$15:$A$18,0)),"Yes","No")</f>
        <v>Yes</v>
      </c>
      <c r="O1254" s="31" t="str">
        <f aca="false">IF(H1254="","Open",IF(H1254&lt;=INDEX(Assumptions!$C$15:$C$18,MATCH(E1254,Assumptions!$A$15:$A$18,0)),"Yes","No"))</f>
        <v>Yes</v>
      </c>
    </row>
    <row r="1255" customFormat="false" ht="15" hidden="false" customHeight="false" outlineLevel="0" collapsed="false">
      <c r="A1255" s="31" t="s">
        <v>1405</v>
      </c>
      <c r="B1255" s="44" t="n">
        <v>46221</v>
      </c>
      <c r="C1255" s="31" t="s">
        <v>59</v>
      </c>
      <c r="D1255" s="31" t="s">
        <v>68</v>
      </c>
      <c r="E1255" s="31" t="s">
        <v>52</v>
      </c>
      <c r="F1255" s="31" t="s">
        <v>122</v>
      </c>
      <c r="G1255" s="31" t="n">
        <v>59</v>
      </c>
      <c r="H1255" s="41" t="n">
        <v>7.8</v>
      </c>
      <c r="I1255" s="31" t="s">
        <v>149</v>
      </c>
      <c r="J1255" s="31"/>
      <c r="K1255" s="31" t="s">
        <v>150</v>
      </c>
      <c r="L1255" s="45" t="n">
        <f aca="false">DATE(YEAR(B1255),MONTH(B1255),1)</f>
        <v>46204</v>
      </c>
      <c r="M1255" s="31" t="n">
        <f aca="false">WEEKDAY(B1255,2)</f>
        <v>6</v>
      </c>
      <c r="N1255" s="31" t="str">
        <f aca="false">IF(G1255&lt;=INDEX(Assumptions!$B$15:$B$18,MATCH(E1255,Assumptions!$A$15:$A$18,0)),"Yes","No")</f>
        <v>Yes</v>
      </c>
      <c r="O1255" s="31" t="str">
        <f aca="false">IF(H1255="","Open",IF(H1255&lt;=INDEX(Assumptions!$C$15:$C$18,MATCH(E1255,Assumptions!$A$15:$A$18,0)),"Yes","No"))</f>
        <v>Yes</v>
      </c>
    </row>
    <row r="1256" customFormat="false" ht="15" hidden="false" customHeight="false" outlineLevel="0" collapsed="false">
      <c r="A1256" s="31" t="s">
        <v>1406</v>
      </c>
      <c r="B1256" s="44" t="n">
        <v>46221</v>
      </c>
      <c r="C1256" s="31" t="s">
        <v>58</v>
      </c>
      <c r="D1256" s="31" t="s">
        <v>67</v>
      </c>
      <c r="E1256" s="31" t="s">
        <v>51</v>
      </c>
      <c r="F1256" s="31" t="s">
        <v>134</v>
      </c>
      <c r="G1256" s="31" t="n">
        <v>19</v>
      </c>
      <c r="H1256" s="41" t="n">
        <v>6.8</v>
      </c>
      <c r="I1256" s="31" t="s">
        <v>149</v>
      </c>
      <c r="J1256" s="31" t="n">
        <v>4</v>
      </c>
      <c r="K1256" s="31" t="s">
        <v>150</v>
      </c>
      <c r="L1256" s="45" t="n">
        <f aca="false">DATE(YEAR(B1256),MONTH(B1256),1)</f>
        <v>46204</v>
      </c>
      <c r="M1256" s="31" t="n">
        <f aca="false">WEEKDAY(B1256,2)</f>
        <v>6</v>
      </c>
      <c r="N1256" s="31" t="str">
        <f aca="false">IF(G1256&lt;=INDEX(Assumptions!$B$15:$B$18,MATCH(E1256,Assumptions!$A$15:$A$18,0)),"Yes","No")</f>
        <v>Yes</v>
      </c>
      <c r="O1256" s="31" t="str">
        <f aca="false">IF(H1256="","Open",IF(H1256&lt;=INDEX(Assumptions!$C$15:$C$18,MATCH(E1256,Assumptions!$A$15:$A$18,0)),"Yes","No"))</f>
        <v>Yes</v>
      </c>
    </row>
    <row r="1257" customFormat="false" ht="15" hidden="false" customHeight="false" outlineLevel="0" collapsed="false">
      <c r="A1257" s="31" t="s">
        <v>1407</v>
      </c>
      <c r="B1257" s="44" t="n">
        <v>46221</v>
      </c>
      <c r="C1257" s="31" t="s">
        <v>60</v>
      </c>
      <c r="D1257" s="31" t="s">
        <v>65</v>
      </c>
      <c r="E1257" s="31" t="s">
        <v>51</v>
      </c>
      <c r="F1257" s="31" t="s">
        <v>124</v>
      </c>
      <c r="G1257" s="31" t="n">
        <v>1</v>
      </c>
      <c r="H1257" s="41" t="n">
        <v>10.4</v>
      </c>
      <c r="I1257" s="31" t="s">
        <v>149</v>
      </c>
      <c r="J1257" s="31" t="n">
        <v>5</v>
      </c>
      <c r="K1257" s="31" t="s">
        <v>150</v>
      </c>
      <c r="L1257" s="45" t="n">
        <f aca="false">DATE(YEAR(B1257),MONTH(B1257),1)</f>
        <v>46204</v>
      </c>
      <c r="M1257" s="31" t="n">
        <f aca="false">WEEKDAY(B1257,2)</f>
        <v>6</v>
      </c>
      <c r="N1257" s="31" t="str">
        <f aca="false">IF(G1257&lt;=INDEX(Assumptions!$B$15:$B$18,MATCH(E1257,Assumptions!$A$15:$A$18,0)),"Yes","No")</f>
        <v>Yes</v>
      </c>
      <c r="O1257" s="31" t="str">
        <f aca="false">IF(H1257="","Open",IF(H1257&lt;=INDEX(Assumptions!$C$15:$C$18,MATCH(E1257,Assumptions!$A$15:$A$18,0)),"Yes","No"))</f>
        <v>Yes</v>
      </c>
    </row>
    <row r="1258" customFormat="false" ht="15" hidden="false" customHeight="false" outlineLevel="0" collapsed="false">
      <c r="A1258" s="31" t="s">
        <v>1408</v>
      </c>
      <c r="B1258" s="44" t="n">
        <v>46221</v>
      </c>
      <c r="C1258" s="31" t="s">
        <v>57</v>
      </c>
      <c r="D1258" s="31" t="s">
        <v>65</v>
      </c>
      <c r="E1258" s="31" t="s">
        <v>52</v>
      </c>
      <c r="F1258" s="31" t="s">
        <v>133</v>
      </c>
      <c r="G1258" s="31" t="n">
        <v>2</v>
      </c>
      <c r="H1258" s="41" t="n">
        <v>7.3</v>
      </c>
      <c r="I1258" s="31" t="s">
        <v>149</v>
      </c>
      <c r="J1258" s="31" t="n">
        <v>4</v>
      </c>
      <c r="K1258" s="31" t="s">
        <v>150</v>
      </c>
      <c r="L1258" s="45" t="n">
        <f aca="false">DATE(YEAR(B1258),MONTH(B1258),1)</f>
        <v>46204</v>
      </c>
      <c r="M1258" s="31" t="n">
        <f aca="false">WEEKDAY(B1258,2)</f>
        <v>6</v>
      </c>
      <c r="N1258" s="31" t="str">
        <f aca="false">IF(G1258&lt;=INDEX(Assumptions!$B$15:$B$18,MATCH(E1258,Assumptions!$A$15:$A$18,0)),"Yes","No")</f>
        <v>Yes</v>
      </c>
      <c r="O1258" s="31" t="str">
        <f aca="false">IF(H1258="","Open",IF(H1258&lt;=INDEX(Assumptions!$C$15:$C$18,MATCH(E1258,Assumptions!$A$15:$A$18,0)),"Yes","No"))</f>
        <v>Yes</v>
      </c>
    </row>
    <row r="1259" customFormat="false" ht="15" hidden="false" customHeight="false" outlineLevel="0" collapsed="false">
      <c r="A1259" s="31" t="s">
        <v>1409</v>
      </c>
      <c r="B1259" s="44" t="n">
        <v>46221</v>
      </c>
      <c r="C1259" s="31" t="s">
        <v>58</v>
      </c>
      <c r="D1259" s="31" t="s">
        <v>67</v>
      </c>
      <c r="E1259" s="31" t="s">
        <v>52</v>
      </c>
      <c r="F1259" s="31" t="s">
        <v>131</v>
      </c>
      <c r="G1259" s="31" t="n">
        <v>9</v>
      </c>
      <c r="H1259" s="41" t="n">
        <v>54.8</v>
      </c>
      <c r="I1259" s="31" t="s">
        <v>149</v>
      </c>
      <c r="J1259" s="31" t="n">
        <v>5</v>
      </c>
      <c r="K1259" s="31" t="s">
        <v>150</v>
      </c>
      <c r="L1259" s="45" t="n">
        <f aca="false">DATE(YEAR(B1259),MONTH(B1259),1)</f>
        <v>46204</v>
      </c>
      <c r="M1259" s="31" t="n">
        <f aca="false">WEEKDAY(B1259,2)</f>
        <v>6</v>
      </c>
      <c r="N1259" s="31" t="str">
        <f aca="false">IF(G1259&lt;=INDEX(Assumptions!$B$15:$B$18,MATCH(E1259,Assumptions!$A$15:$A$18,0)),"Yes","No")</f>
        <v>Yes</v>
      </c>
      <c r="O1259" s="31" t="str">
        <f aca="false">IF(H1259="","Open",IF(H1259&lt;=INDEX(Assumptions!$C$15:$C$18,MATCH(E1259,Assumptions!$A$15:$A$18,0)),"Yes","No"))</f>
        <v>Yes</v>
      </c>
    </row>
    <row r="1260" customFormat="false" ht="15" hidden="false" customHeight="false" outlineLevel="0" collapsed="false">
      <c r="A1260" s="31" t="s">
        <v>1410</v>
      </c>
      <c r="B1260" s="44" t="n">
        <v>46221</v>
      </c>
      <c r="C1260" s="31" t="s">
        <v>58</v>
      </c>
      <c r="D1260" s="31" t="s">
        <v>68</v>
      </c>
      <c r="E1260" s="31" t="s">
        <v>51</v>
      </c>
      <c r="F1260" s="31" t="s">
        <v>122</v>
      </c>
      <c r="G1260" s="31" t="n">
        <v>39</v>
      </c>
      <c r="H1260" s="41" t="n">
        <v>14.9</v>
      </c>
      <c r="I1260" s="31" t="s">
        <v>149</v>
      </c>
      <c r="J1260" s="31" t="n">
        <v>5</v>
      </c>
      <c r="K1260" s="31" t="s">
        <v>150</v>
      </c>
      <c r="L1260" s="45" t="n">
        <f aca="false">DATE(YEAR(B1260),MONTH(B1260),1)</f>
        <v>46204</v>
      </c>
      <c r="M1260" s="31" t="n">
        <f aca="false">WEEKDAY(B1260,2)</f>
        <v>6</v>
      </c>
      <c r="N1260" s="31" t="str">
        <f aca="false">IF(G1260&lt;=INDEX(Assumptions!$B$15:$B$18,MATCH(E1260,Assumptions!$A$15:$A$18,0)),"Yes","No")</f>
        <v>Yes</v>
      </c>
      <c r="O1260" s="31" t="str">
        <f aca="false">IF(H1260="","Open",IF(H1260&lt;=INDEX(Assumptions!$C$15:$C$18,MATCH(E1260,Assumptions!$A$15:$A$18,0)),"Yes","No"))</f>
        <v>Yes</v>
      </c>
    </row>
    <row r="1261" customFormat="false" ht="15" hidden="false" customHeight="false" outlineLevel="0" collapsed="false">
      <c r="A1261" s="31" t="s">
        <v>1411</v>
      </c>
      <c r="B1261" s="44" t="n">
        <v>46221</v>
      </c>
      <c r="C1261" s="31" t="s">
        <v>58</v>
      </c>
      <c r="D1261" s="31" t="s">
        <v>68</v>
      </c>
      <c r="E1261" s="31" t="s">
        <v>52</v>
      </c>
      <c r="F1261" s="31" t="s">
        <v>124</v>
      </c>
      <c r="G1261" s="31" t="n">
        <v>9</v>
      </c>
      <c r="H1261" s="41" t="n">
        <v>2.3</v>
      </c>
      <c r="I1261" s="31" t="s">
        <v>149</v>
      </c>
      <c r="J1261" s="31"/>
      <c r="K1261" s="31" t="s">
        <v>150</v>
      </c>
      <c r="L1261" s="45" t="n">
        <f aca="false">DATE(YEAR(B1261),MONTH(B1261),1)</f>
        <v>46204</v>
      </c>
      <c r="M1261" s="31" t="n">
        <f aca="false">WEEKDAY(B1261,2)</f>
        <v>6</v>
      </c>
      <c r="N1261" s="31" t="str">
        <f aca="false">IF(G1261&lt;=INDEX(Assumptions!$B$15:$B$18,MATCH(E1261,Assumptions!$A$15:$A$18,0)),"Yes","No")</f>
        <v>Yes</v>
      </c>
      <c r="O1261" s="31" t="str">
        <f aca="false">IF(H1261="","Open",IF(H1261&lt;=INDEX(Assumptions!$C$15:$C$18,MATCH(E1261,Assumptions!$A$15:$A$18,0)),"Yes","No"))</f>
        <v>Yes</v>
      </c>
    </row>
    <row r="1262" customFormat="false" ht="15" hidden="false" customHeight="false" outlineLevel="0" collapsed="false">
      <c r="A1262" s="31" t="s">
        <v>1412</v>
      </c>
      <c r="B1262" s="44" t="n">
        <v>46221</v>
      </c>
      <c r="C1262" s="31" t="s">
        <v>60</v>
      </c>
      <c r="D1262" s="31" t="s">
        <v>66</v>
      </c>
      <c r="E1262" s="31" t="s">
        <v>52</v>
      </c>
      <c r="F1262" s="31" t="s">
        <v>128</v>
      </c>
      <c r="G1262" s="31" t="n">
        <v>6</v>
      </c>
      <c r="H1262" s="41" t="n">
        <v>6.2</v>
      </c>
      <c r="I1262" s="31" t="s">
        <v>149</v>
      </c>
      <c r="J1262" s="31" t="n">
        <v>4</v>
      </c>
      <c r="K1262" s="31" t="s">
        <v>153</v>
      </c>
      <c r="L1262" s="45" t="n">
        <f aca="false">DATE(YEAR(B1262),MONTH(B1262),1)</f>
        <v>46204</v>
      </c>
      <c r="M1262" s="31" t="n">
        <f aca="false">WEEKDAY(B1262,2)</f>
        <v>6</v>
      </c>
      <c r="N1262" s="31" t="str">
        <f aca="false">IF(G1262&lt;=INDEX(Assumptions!$B$15:$B$18,MATCH(E1262,Assumptions!$A$15:$A$18,0)),"Yes","No")</f>
        <v>Yes</v>
      </c>
      <c r="O1262" s="31" t="str">
        <f aca="false">IF(H1262="","Open",IF(H1262&lt;=INDEX(Assumptions!$C$15:$C$18,MATCH(E1262,Assumptions!$A$15:$A$18,0)),"Yes","No"))</f>
        <v>Yes</v>
      </c>
    </row>
    <row r="1263" customFormat="false" ht="15" hidden="false" customHeight="false" outlineLevel="0" collapsed="false">
      <c r="A1263" s="31" t="s">
        <v>1413</v>
      </c>
      <c r="B1263" s="44" t="n">
        <v>46221</v>
      </c>
      <c r="C1263" s="31" t="s">
        <v>59</v>
      </c>
      <c r="D1263" s="31" t="s">
        <v>67</v>
      </c>
      <c r="E1263" s="31" t="s">
        <v>51</v>
      </c>
      <c r="F1263" s="31" t="s">
        <v>119</v>
      </c>
      <c r="G1263" s="31" t="n">
        <v>52</v>
      </c>
      <c r="H1263" s="41" t="n">
        <v>60</v>
      </c>
      <c r="I1263" s="31" t="s">
        <v>64</v>
      </c>
      <c r="J1263" s="31"/>
      <c r="K1263" s="31" t="s">
        <v>150</v>
      </c>
      <c r="L1263" s="45" t="n">
        <f aca="false">DATE(YEAR(B1263),MONTH(B1263),1)</f>
        <v>46204</v>
      </c>
      <c r="M1263" s="31" t="n">
        <f aca="false">WEEKDAY(B1263,2)</f>
        <v>6</v>
      </c>
      <c r="N1263" s="31" t="str">
        <f aca="false">IF(G1263&lt;=INDEX(Assumptions!$B$15:$B$18,MATCH(E1263,Assumptions!$A$15:$A$18,0)),"Yes","No")</f>
        <v>Yes</v>
      </c>
      <c r="O1263" s="31" t="str">
        <f aca="false">IF(H1263="","Open",IF(H1263&lt;=INDEX(Assumptions!$C$15:$C$18,MATCH(E1263,Assumptions!$A$15:$A$18,0)),"Yes","No"))</f>
        <v>No</v>
      </c>
    </row>
    <row r="1264" customFormat="false" ht="15" hidden="false" customHeight="false" outlineLevel="0" collapsed="false">
      <c r="A1264" s="31" t="s">
        <v>1414</v>
      </c>
      <c r="B1264" s="44" t="n">
        <v>46221</v>
      </c>
      <c r="C1264" s="31" t="s">
        <v>57</v>
      </c>
      <c r="D1264" s="31" t="s">
        <v>65</v>
      </c>
      <c r="E1264" s="31" t="s">
        <v>52</v>
      </c>
      <c r="F1264" s="31" t="s">
        <v>123</v>
      </c>
      <c r="G1264" s="31" t="n">
        <v>4</v>
      </c>
      <c r="H1264" s="41" t="n">
        <v>16.5</v>
      </c>
      <c r="I1264" s="31" t="s">
        <v>149</v>
      </c>
      <c r="J1264" s="31"/>
      <c r="K1264" s="31" t="s">
        <v>150</v>
      </c>
      <c r="L1264" s="45" t="n">
        <f aca="false">DATE(YEAR(B1264),MONTH(B1264),1)</f>
        <v>46204</v>
      </c>
      <c r="M1264" s="31" t="n">
        <f aca="false">WEEKDAY(B1264,2)</f>
        <v>6</v>
      </c>
      <c r="N1264" s="31" t="str">
        <f aca="false">IF(G1264&lt;=INDEX(Assumptions!$B$15:$B$18,MATCH(E1264,Assumptions!$A$15:$A$18,0)),"Yes","No")</f>
        <v>Yes</v>
      </c>
      <c r="O1264" s="31" t="str">
        <f aca="false">IF(H1264="","Open",IF(H1264&lt;=INDEX(Assumptions!$C$15:$C$18,MATCH(E1264,Assumptions!$A$15:$A$18,0)),"Yes","No"))</f>
        <v>Yes</v>
      </c>
    </row>
    <row r="1265" customFormat="false" ht="15" hidden="false" customHeight="false" outlineLevel="0" collapsed="false">
      <c r="A1265" s="31" t="s">
        <v>1415</v>
      </c>
      <c r="B1265" s="44" t="n">
        <v>46221</v>
      </c>
      <c r="C1265" s="31" t="s">
        <v>58</v>
      </c>
      <c r="D1265" s="31" t="s">
        <v>69</v>
      </c>
      <c r="E1265" s="31" t="s">
        <v>52</v>
      </c>
      <c r="F1265" s="31" t="s">
        <v>121</v>
      </c>
      <c r="G1265" s="31" t="n">
        <v>23</v>
      </c>
      <c r="H1265" s="41"/>
      <c r="I1265" s="31" t="s">
        <v>158</v>
      </c>
      <c r="J1265" s="31"/>
      <c r="K1265" s="31" t="s">
        <v>150</v>
      </c>
      <c r="L1265" s="45" t="n">
        <f aca="false">DATE(YEAR(B1265),MONTH(B1265),1)</f>
        <v>46204</v>
      </c>
      <c r="M1265" s="31" t="n">
        <f aca="false">WEEKDAY(B1265,2)</f>
        <v>6</v>
      </c>
      <c r="N1265" s="31" t="str">
        <f aca="false">IF(G1265&lt;=INDEX(Assumptions!$B$15:$B$18,MATCH(E1265,Assumptions!$A$15:$A$18,0)),"Yes","No")</f>
        <v>Yes</v>
      </c>
      <c r="O1265" s="31" t="str">
        <f aca="false">IF(H1265="","Open",IF(H1265&lt;=INDEX(Assumptions!$C$15:$C$18,MATCH(E1265,Assumptions!$A$15:$A$18,0)),"Yes","No"))</f>
        <v>Open</v>
      </c>
    </row>
    <row r="1266" customFormat="false" ht="15" hidden="false" customHeight="false" outlineLevel="0" collapsed="false">
      <c r="A1266" s="31" t="s">
        <v>1416</v>
      </c>
      <c r="B1266" s="44" t="n">
        <v>46221</v>
      </c>
      <c r="C1266" s="31" t="s">
        <v>57</v>
      </c>
      <c r="D1266" s="31" t="s">
        <v>65</v>
      </c>
      <c r="E1266" s="31" t="s">
        <v>51</v>
      </c>
      <c r="F1266" s="31" t="s">
        <v>120</v>
      </c>
      <c r="G1266" s="31" t="n">
        <v>3</v>
      </c>
      <c r="H1266" s="41" t="n">
        <v>13.7</v>
      </c>
      <c r="I1266" s="31" t="s">
        <v>149</v>
      </c>
      <c r="J1266" s="31"/>
      <c r="K1266" s="31" t="s">
        <v>150</v>
      </c>
      <c r="L1266" s="45" t="n">
        <f aca="false">DATE(YEAR(B1266),MONTH(B1266),1)</f>
        <v>46204</v>
      </c>
      <c r="M1266" s="31" t="n">
        <f aca="false">WEEKDAY(B1266,2)</f>
        <v>6</v>
      </c>
      <c r="N1266" s="31" t="str">
        <f aca="false">IF(G1266&lt;=INDEX(Assumptions!$B$15:$B$18,MATCH(E1266,Assumptions!$A$15:$A$18,0)),"Yes","No")</f>
        <v>Yes</v>
      </c>
      <c r="O1266" s="31" t="str">
        <f aca="false">IF(H1266="","Open",IF(H1266&lt;=INDEX(Assumptions!$C$15:$C$18,MATCH(E1266,Assumptions!$A$15:$A$18,0)),"Yes","No"))</f>
        <v>Yes</v>
      </c>
    </row>
    <row r="1267" customFormat="false" ht="15" hidden="false" customHeight="false" outlineLevel="0" collapsed="false">
      <c r="A1267" s="31" t="s">
        <v>1417</v>
      </c>
      <c r="B1267" s="44" t="n">
        <v>46221</v>
      </c>
      <c r="C1267" s="31" t="s">
        <v>59</v>
      </c>
      <c r="D1267" s="31" t="s">
        <v>67</v>
      </c>
      <c r="E1267" s="31" t="s">
        <v>50</v>
      </c>
      <c r="F1267" s="31" t="s">
        <v>117</v>
      </c>
      <c r="G1267" s="31" t="n">
        <v>63</v>
      </c>
      <c r="H1267" s="41" t="n">
        <v>4</v>
      </c>
      <c r="I1267" s="31" t="s">
        <v>149</v>
      </c>
      <c r="J1267" s="31" t="n">
        <v>4</v>
      </c>
      <c r="K1267" s="31" t="s">
        <v>153</v>
      </c>
      <c r="L1267" s="45" t="n">
        <f aca="false">DATE(YEAR(B1267),MONTH(B1267),1)</f>
        <v>46204</v>
      </c>
      <c r="M1267" s="31" t="n">
        <f aca="false">WEEKDAY(B1267,2)</f>
        <v>6</v>
      </c>
      <c r="N1267" s="31" t="str">
        <f aca="false">IF(G1267&lt;=INDEX(Assumptions!$B$15:$B$18,MATCH(E1267,Assumptions!$A$15:$A$18,0)),"Yes","No")</f>
        <v>No</v>
      </c>
      <c r="O1267" s="31" t="str">
        <f aca="false">IF(H1267="","Open",IF(H1267&lt;=INDEX(Assumptions!$C$15:$C$18,MATCH(E1267,Assumptions!$A$15:$A$18,0)),"Yes","No"))</f>
        <v>Yes</v>
      </c>
    </row>
    <row r="1268" customFormat="false" ht="15" hidden="false" customHeight="false" outlineLevel="0" collapsed="false">
      <c r="A1268" s="31" t="s">
        <v>1418</v>
      </c>
      <c r="B1268" s="44" t="n">
        <v>46221</v>
      </c>
      <c r="C1268" s="31" t="s">
        <v>58</v>
      </c>
      <c r="D1268" s="31" t="s">
        <v>66</v>
      </c>
      <c r="E1268" s="31" t="s">
        <v>52</v>
      </c>
      <c r="F1268" s="31" t="s">
        <v>119</v>
      </c>
      <c r="G1268" s="31" t="n">
        <v>68</v>
      </c>
      <c r="H1268" s="41" t="n">
        <v>8.7</v>
      </c>
      <c r="I1268" s="31" t="s">
        <v>149</v>
      </c>
      <c r="J1268" s="31" t="n">
        <v>3</v>
      </c>
      <c r="K1268" s="31" t="s">
        <v>150</v>
      </c>
      <c r="L1268" s="45" t="n">
        <f aca="false">DATE(YEAR(B1268),MONTH(B1268),1)</f>
        <v>46204</v>
      </c>
      <c r="M1268" s="31" t="n">
        <f aca="false">WEEKDAY(B1268,2)</f>
        <v>6</v>
      </c>
      <c r="N1268" s="31" t="str">
        <f aca="false">IF(G1268&lt;=INDEX(Assumptions!$B$15:$B$18,MATCH(E1268,Assumptions!$A$15:$A$18,0)),"Yes","No")</f>
        <v>Yes</v>
      </c>
      <c r="O1268" s="31" t="str">
        <f aca="false">IF(H1268="","Open",IF(H1268&lt;=INDEX(Assumptions!$C$15:$C$18,MATCH(E1268,Assumptions!$A$15:$A$18,0)),"Yes","No"))</f>
        <v>Yes</v>
      </c>
    </row>
    <row r="1269" customFormat="false" ht="15" hidden="false" customHeight="false" outlineLevel="0" collapsed="false">
      <c r="A1269" s="31" t="s">
        <v>1419</v>
      </c>
      <c r="B1269" s="44" t="n">
        <v>46221</v>
      </c>
      <c r="C1269" s="31" t="s">
        <v>60</v>
      </c>
      <c r="D1269" s="31" t="s">
        <v>66</v>
      </c>
      <c r="E1269" s="31" t="s">
        <v>52</v>
      </c>
      <c r="F1269" s="31" t="s">
        <v>127</v>
      </c>
      <c r="G1269" s="31" t="n">
        <v>2</v>
      </c>
      <c r="H1269" s="41" t="n">
        <v>5.1</v>
      </c>
      <c r="I1269" s="31" t="s">
        <v>149</v>
      </c>
      <c r="J1269" s="31"/>
      <c r="K1269" s="31" t="s">
        <v>150</v>
      </c>
      <c r="L1269" s="45" t="n">
        <f aca="false">DATE(YEAR(B1269),MONTH(B1269),1)</f>
        <v>46204</v>
      </c>
      <c r="M1269" s="31" t="n">
        <f aca="false">WEEKDAY(B1269,2)</f>
        <v>6</v>
      </c>
      <c r="N1269" s="31" t="str">
        <f aca="false">IF(G1269&lt;=INDEX(Assumptions!$B$15:$B$18,MATCH(E1269,Assumptions!$A$15:$A$18,0)),"Yes","No")</f>
        <v>Yes</v>
      </c>
      <c r="O1269" s="31" t="str">
        <f aca="false">IF(H1269="","Open",IF(H1269&lt;=INDEX(Assumptions!$C$15:$C$18,MATCH(E1269,Assumptions!$A$15:$A$18,0)),"Yes","No"))</f>
        <v>Yes</v>
      </c>
    </row>
    <row r="1270" customFormat="false" ht="15" hidden="false" customHeight="false" outlineLevel="0" collapsed="false">
      <c r="A1270" s="31" t="s">
        <v>1420</v>
      </c>
      <c r="B1270" s="44" t="n">
        <v>46221</v>
      </c>
      <c r="C1270" s="31" t="s">
        <v>57</v>
      </c>
      <c r="D1270" s="31" t="s">
        <v>65</v>
      </c>
      <c r="E1270" s="31" t="s">
        <v>50</v>
      </c>
      <c r="F1270" s="31" t="s">
        <v>121</v>
      </c>
      <c r="G1270" s="31" t="n">
        <v>9</v>
      </c>
      <c r="H1270" s="41" t="n">
        <v>13</v>
      </c>
      <c r="I1270" s="31" t="s">
        <v>149</v>
      </c>
      <c r="J1270" s="31" t="n">
        <v>4</v>
      </c>
      <c r="K1270" s="31" t="s">
        <v>150</v>
      </c>
      <c r="L1270" s="45" t="n">
        <f aca="false">DATE(YEAR(B1270),MONTH(B1270),1)</f>
        <v>46204</v>
      </c>
      <c r="M1270" s="31" t="n">
        <f aca="false">WEEKDAY(B1270,2)</f>
        <v>6</v>
      </c>
      <c r="N1270" s="31" t="str">
        <f aca="false">IF(G1270&lt;=INDEX(Assumptions!$B$15:$B$18,MATCH(E1270,Assumptions!$A$15:$A$18,0)),"Yes","No")</f>
        <v>Yes</v>
      </c>
      <c r="O1270" s="31" t="str">
        <f aca="false">IF(H1270="","Open",IF(H1270&lt;=INDEX(Assumptions!$C$15:$C$18,MATCH(E1270,Assumptions!$A$15:$A$18,0)),"Yes","No"))</f>
        <v>No</v>
      </c>
    </row>
    <row r="1271" customFormat="false" ht="15" hidden="false" customHeight="false" outlineLevel="0" collapsed="false">
      <c r="A1271" s="31" t="s">
        <v>1421</v>
      </c>
      <c r="B1271" s="44" t="n">
        <v>46221</v>
      </c>
      <c r="C1271" s="31" t="s">
        <v>59</v>
      </c>
      <c r="D1271" s="31" t="s">
        <v>66</v>
      </c>
      <c r="E1271" s="31" t="s">
        <v>50</v>
      </c>
      <c r="F1271" s="31" t="s">
        <v>134</v>
      </c>
      <c r="G1271" s="31" t="n">
        <v>56</v>
      </c>
      <c r="H1271" s="41"/>
      <c r="I1271" s="31" t="s">
        <v>158</v>
      </c>
      <c r="J1271" s="31"/>
      <c r="K1271" s="31" t="s">
        <v>150</v>
      </c>
      <c r="L1271" s="45" t="n">
        <f aca="false">DATE(YEAR(B1271),MONTH(B1271),1)</f>
        <v>46204</v>
      </c>
      <c r="M1271" s="31" t="n">
        <f aca="false">WEEKDAY(B1271,2)</f>
        <v>6</v>
      </c>
      <c r="N1271" s="31" t="str">
        <f aca="false">IF(G1271&lt;=INDEX(Assumptions!$B$15:$B$18,MATCH(E1271,Assumptions!$A$15:$A$18,0)),"Yes","No")</f>
        <v>No</v>
      </c>
      <c r="O1271" s="31" t="str">
        <f aca="false">IF(H1271="","Open",IF(H1271&lt;=INDEX(Assumptions!$C$15:$C$18,MATCH(E1271,Assumptions!$A$15:$A$18,0)),"Yes","No"))</f>
        <v>Open</v>
      </c>
    </row>
    <row r="1272" customFormat="false" ht="15" hidden="false" customHeight="false" outlineLevel="0" collapsed="false">
      <c r="A1272" s="31" t="s">
        <v>1422</v>
      </c>
      <c r="B1272" s="44" t="n">
        <v>46221</v>
      </c>
      <c r="C1272" s="31" t="s">
        <v>59</v>
      </c>
      <c r="D1272" s="31" t="s">
        <v>68</v>
      </c>
      <c r="E1272" s="31" t="s">
        <v>50</v>
      </c>
      <c r="F1272" s="31" t="s">
        <v>122</v>
      </c>
      <c r="G1272" s="31" t="n">
        <v>35</v>
      </c>
      <c r="H1272" s="41" t="n">
        <v>9.1</v>
      </c>
      <c r="I1272" s="31" t="s">
        <v>149</v>
      </c>
      <c r="J1272" s="31"/>
      <c r="K1272" s="31" t="s">
        <v>150</v>
      </c>
      <c r="L1272" s="45" t="n">
        <f aca="false">DATE(YEAR(B1272),MONTH(B1272),1)</f>
        <v>46204</v>
      </c>
      <c r="M1272" s="31" t="n">
        <f aca="false">WEEKDAY(B1272,2)</f>
        <v>6</v>
      </c>
      <c r="N1272" s="31" t="str">
        <f aca="false">IF(G1272&lt;=INDEX(Assumptions!$B$15:$B$18,MATCH(E1272,Assumptions!$A$15:$A$18,0)),"Yes","No")</f>
        <v>No</v>
      </c>
      <c r="O1272" s="31" t="str">
        <f aca="false">IF(H1272="","Open",IF(H1272&lt;=INDEX(Assumptions!$C$15:$C$18,MATCH(E1272,Assumptions!$A$15:$A$18,0)),"Yes","No"))</f>
        <v>No</v>
      </c>
    </row>
    <row r="1273" customFormat="false" ht="15" hidden="false" customHeight="false" outlineLevel="0" collapsed="false">
      <c r="A1273" s="31" t="s">
        <v>1423</v>
      </c>
      <c r="B1273" s="44" t="n">
        <v>46221</v>
      </c>
      <c r="C1273" s="31" t="s">
        <v>59</v>
      </c>
      <c r="D1273" s="31" t="s">
        <v>65</v>
      </c>
      <c r="E1273" s="31" t="s">
        <v>52</v>
      </c>
      <c r="F1273" s="31" t="s">
        <v>129</v>
      </c>
      <c r="G1273" s="31" t="n">
        <v>34</v>
      </c>
      <c r="H1273" s="41" t="n">
        <v>6.4</v>
      </c>
      <c r="I1273" s="31" t="s">
        <v>149</v>
      </c>
      <c r="J1273" s="31" t="n">
        <v>5</v>
      </c>
      <c r="K1273" s="31" t="s">
        <v>150</v>
      </c>
      <c r="L1273" s="45" t="n">
        <f aca="false">DATE(YEAR(B1273),MONTH(B1273),1)</f>
        <v>46204</v>
      </c>
      <c r="M1273" s="31" t="n">
        <f aca="false">WEEKDAY(B1273,2)</f>
        <v>6</v>
      </c>
      <c r="N1273" s="31" t="str">
        <f aca="false">IF(G1273&lt;=INDEX(Assumptions!$B$15:$B$18,MATCH(E1273,Assumptions!$A$15:$A$18,0)),"Yes","No")</f>
        <v>Yes</v>
      </c>
      <c r="O1273" s="31" t="str">
        <f aca="false">IF(H1273="","Open",IF(H1273&lt;=INDEX(Assumptions!$C$15:$C$18,MATCH(E1273,Assumptions!$A$15:$A$18,0)),"Yes","No"))</f>
        <v>Yes</v>
      </c>
    </row>
    <row r="1274" customFormat="false" ht="15" hidden="false" customHeight="false" outlineLevel="0" collapsed="false">
      <c r="A1274" s="31" t="s">
        <v>1424</v>
      </c>
      <c r="B1274" s="44" t="n">
        <v>46221</v>
      </c>
      <c r="C1274" s="31" t="s">
        <v>59</v>
      </c>
      <c r="D1274" s="31" t="s">
        <v>67</v>
      </c>
      <c r="E1274" s="31" t="s">
        <v>52</v>
      </c>
      <c r="F1274" s="31" t="s">
        <v>121</v>
      </c>
      <c r="G1274" s="31" t="n">
        <v>42</v>
      </c>
      <c r="H1274" s="41" t="n">
        <v>106.6</v>
      </c>
      <c r="I1274" s="31" t="s">
        <v>149</v>
      </c>
      <c r="J1274" s="31" t="n">
        <v>4</v>
      </c>
      <c r="K1274" s="31" t="s">
        <v>153</v>
      </c>
      <c r="L1274" s="45" t="n">
        <f aca="false">DATE(YEAR(B1274),MONTH(B1274),1)</f>
        <v>46204</v>
      </c>
      <c r="M1274" s="31" t="n">
        <f aca="false">WEEKDAY(B1274,2)</f>
        <v>6</v>
      </c>
      <c r="N1274" s="31" t="str">
        <f aca="false">IF(G1274&lt;=INDEX(Assumptions!$B$15:$B$18,MATCH(E1274,Assumptions!$A$15:$A$18,0)),"Yes","No")</f>
        <v>Yes</v>
      </c>
      <c r="O1274" s="31" t="str">
        <f aca="false">IF(H1274="","Open",IF(H1274&lt;=INDEX(Assumptions!$C$15:$C$18,MATCH(E1274,Assumptions!$A$15:$A$18,0)),"Yes","No"))</f>
        <v>No</v>
      </c>
    </row>
    <row r="1275" customFormat="false" ht="15" hidden="false" customHeight="false" outlineLevel="0" collapsed="false">
      <c r="A1275" s="31" t="s">
        <v>1425</v>
      </c>
      <c r="B1275" s="44" t="n">
        <v>46221</v>
      </c>
      <c r="C1275" s="31" t="s">
        <v>58</v>
      </c>
      <c r="D1275" s="31" t="s">
        <v>66</v>
      </c>
      <c r="E1275" s="31" t="s">
        <v>52</v>
      </c>
      <c r="F1275" s="31" t="s">
        <v>121</v>
      </c>
      <c r="G1275" s="31" t="n">
        <v>21</v>
      </c>
      <c r="H1275" s="41"/>
      <c r="I1275" s="31" t="s">
        <v>158</v>
      </c>
      <c r="J1275" s="31"/>
      <c r="K1275" s="31" t="s">
        <v>150</v>
      </c>
      <c r="L1275" s="45" t="n">
        <f aca="false">DATE(YEAR(B1275),MONTH(B1275),1)</f>
        <v>46204</v>
      </c>
      <c r="M1275" s="31" t="n">
        <f aca="false">WEEKDAY(B1275,2)</f>
        <v>6</v>
      </c>
      <c r="N1275" s="31" t="str">
        <f aca="false">IF(G1275&lt;=INDEX(Assumptions!$B$15:$B$18,MATCH(E1275,Assumptions!$A$15:$A$18,0)),"Yes","No")</f>
        <v>Yes</v>
      </c>
      <c r="O1275" s="31" t="str">
        <f aca="false">IF(H1275="","Open",IF(H1275&lt;=INDEX(Assumptions!$C$15:$C$18,MATCH(E1275,Assumptions!$A$15:$A$18,0)),"Yes","No"))</f>
        <v>Open</v>
      </c>
    </row>
    <row r="1276" customFormat="false" ht="15" hidden="false" customHeight="false" outlineLevel="0" collapsed="false">
      <c r="A1276" s="31" t="s">
        <v>1426</v>
      </c>
      <c r="B1276" s="44" t="n">
        <v>46221</v>
      </c>
      <c r="C1276" s="31" t="s">
        <v>59</v>
      </c>
      <c r="D1276" s="31" t="s">
        <v>66</v>
      </c>
      <c r="E1276" s="31" t="s">
        <v>51</v>
      </c>
      <c r="F1276" s="31" t="s">
        <v>126</v>
      </c>
      <c r="G1276" s="31" t="n">
        <v>131</v>
      </c>
      <c r="H1276" s="41" t="n">
        <v>4.1</v>
      </c>
      <c r="I1276" s="31" t="s">
        <v>149</v>
      </c>
      <c r="J1276" s="31" t="n">
        <v>4</v>
      </c>
      <c r="K1276" s="31" t="s">
        <v>150</v>
      </c>
      <c r="L1276" s="45" t="n">
        <f aca="false">DATE(YEAR(B1276),MONTH(B1276),1)</f>
        <v>46204</v>
      </c>
      <c r="M1276" s="31" t="n">
        <f aca="false">WEEKDAY(B1276,2)</f>
        <v>6</v>
      </c>
      <c r="N1276" s="31" t="str">
        <f aca="false">IF(G1276&lt;=INDEX(Assumptions!$B$15:$B$18,MATCH(E1276,Assumptions!$A$15:$A$18,0)),"Yes","No")</f>
        <v>No</v>
      </c>
      <c r="O1276" s="31" t="str">
        <f aca="false">IF(H1276="","Open",IF(H1276&lt;=INDEX(Assumptions!$C$15:$C$18,MATCH(E1276,Assumptions!$A$15:$A$18,0)),"Yes","No"))</f>
        <v>Yes</v>
      </c>
    </row>
    <row r="1277" customFormat="false" ht="15" hidden="false" customHeight="false" outlineLevel="0" collapsed="false">
      <c r="A1277" s="31" t="s">
        <v>1427</v>
      </c>
      <c r="B1277" s="44" t="n">
        <v>46221</v>
      </c>
      <c r="C1277" s="31" t="s">
        <v>58</v>
      </c>
      <c r="D1277" s="31" t="s">
        <v>65</v>
      </c>
      <c r="E1277" s="31" t="s">
        <v>52</v>
      </c>
      <c r="F1277" s="31" t="s">
        <v>128</v>
      </c>
      <c r="G1277" s="31" t="n">
        <v>8</v>
      </c>
      <c r="H1277" s="41" t="n">
        <v>13.7</v>
      </c>
      <c r="I1277" s="31" t="s">
        <v>149</v>
      </c>
      <c r="J1277" s="31"/>
      <c r="K1277" s="31" t="s">
        <v>150</v>
      </c>
      <c r="L1277" s="45" t="n">
        <f aca="false">DATE(YEAR(B1277),MONTH(B1277),1)</f>
        <v>46204</v>
      </c>
      <c r="M1277" s="31" t="n">
        <f aca="false">WEEKDAY(B1277,2)</f>
        <v>6</v>
      </c>
      <c r="N1277" s="31" t="str">
        <f aca="false">IF(G1277&lt;=INDEX(Assumptions!$B$15:$B$18,MATCH(E1277,Assumptions!$A$15:$A$18,0)),"Yes","No")</f>
        <v>Yes</v>
      </c>
      <c r="O1277" s="31" t="str">
        <f aca="false">IF(H1277="","Open",IF(H1277&lt;=INDEX(Assumptions!$C$15:$C$18,MATCH(E1277,Assumptions!$A$15:$A$18,0)),"Yes","No"))</f>
        <v>Yes</v>
      </c>
    </row>
    <row r="1278" customFormat="false" ht="15" hidden="false" customHeight="false" outlineLevel="0" collapsed="false">
      <c r="A1278" s="31" t="s">
        <v>1428</v>
      </c>
      <c r="B1278" s="44" t="n">
        <v>46221</v>
      </c>
      <c r="C1278" s="31" t="s">
        <v>57</v>
      </c>
      <c r="D1278" s="31" t="s">
        <v>66</v>
      </c>
      <c r="E1278" s="31" t="s">
        <v>51</v>
      </c>
      <c r="F1278" s="31" t="s">
        <v>135</v>
      </c>
      <c r="G1278" s="31" t="n">
        <v>3</v>
      </c>
      <c r="H1278" s="41" t="n">
        <v>8.9</v>
      </c>
      <c r="I1278" s="31" t="s">
        <v>149</v>
      </c>
      <c r="J1278" s="31"/>
      <c r="K1278" s="31" t="s">
        <v>150</v>
      </c>
      <c r="L1278" s="45" t="n">
        <f aca="false">DATE(YEAR(B1278),MONTH(B1278),1)</f>
        <v>46204</v>
      </c>
      <c r="M1278" s="31" t="n">
        <f aca="false">WEEKDAY(B1278,2)</f>
        <v>6</v>
      </c>
      <c r="N1278" s="31" t="str">
        <f aca="false">IF(G1278&lt;=INDEX(Assumptions!$B$15:$B$18,MATCH(E1278,Assumptions!$A$15:$A$18,0)),"Yes","No")</f>
        <v>Yes</v>
      </c>
      <c r="O1278" s="31" t="str">
        <f aca="false">IF(H1278="","Open",IF(H1278&lt;=INDEX(Assumptions!$C$15:$C$18,MATCH(E1278,Assumptions!$A$15:$A$18,0)),"Yes","No"))</f>
        <v>Yes</v>
      </c>
    </row>
    <row r="1279" customFormat="false" ht="15" hidden="false" customHeight="false" outlineLevel="0" collapsed="false">
      <c r="A1279" s="31" t="s">
        <v>1429</v>
      </c>
      <c r="B1279" s="44" t="n">
        <v>46221</v>
      </c>
      <c r="C1279" s="31" t="s">
        <v>57</v>
      </c>
      <c r="D1279" s="31" t="s">
        <v>69</v>
      </c>
      <c r="E1279" s="31" t="s">
        <v>52</v>
      </c>
      <c r="F1279" s="31" t="s">
        <v>117</v>
      </c>
      <c r="G1279" s="31" t="n">
        <v>7</v>
      </c>
      <c r="H1279" s="41" t="n">
        <v>16.1</v>
      </c>
      <c r="I1279" s="31" t="s">
        <v>149</v>
      </c>
      <c r="J1279" s="31" t="n">
        <v>3</v>
      </c>
      <c r="K1279" s="31" t="s">
        <v>150</v>
      </c>
      <c r="L1279" s="45" t="n">
        <f aca="false">DATE(YEAR(B1279),MONTH(B1279),1)</f>
        <v>46204</v>
      </c>
      <c r="M1279" s="31" t="n">
        <f aca="false">WEEKDAY(B1279,2)</f>
        <v>6</v>
      </c>
      <c r="N1279" s="31" t="str">
        <f aca="false">IF(G1279&lt;=INDEX(Assumptions!$B$15:$B$18,MATCH(E1279,Assumptions!$A$15:$A$18,0)),"Yes","No")</f>
        <v>Yes</v>
      </c>
      <c r="O1279" s="31" t="str">
        <f aca="false">IF(H1279="","Open",IF(H1279&lt;=INDEX(Assumptions!$C$15:$C$18,MATCH(E1279,Assumptions!$A$15:$A$18,0)),"Yes","No"))</f>
        <v>Yes</v>
      </c>
    </row>
    <row r="1280" customFormat="false" ht="15" hidden="false" customHeight="false" outlineLevel="0" collapsed="false">
      <c r="A1280" s="31" t="s">
        <v>1430</v>
      </c>
      <c r="B1280" s="44" t="n">
        <v>46221</v>
      </c>
      <c r="C1280" s="31" t="s">
        <v>58</v>
      </c>
      <c r="D1280" s="31" t="s">
        <v>66</v>
      </c>
      <c r="E1280" s="31" t="s">
        <v>51</v>
      </c>
      <c r="F1280" s="31" t="s">
        <v>121</v>
      </c>
      <c r="G1280" s="31" t="n">
        <v>16</v>
      </c>
      <c r="H1280" s="41" t="n">
        <v>11.7</v>
      </c>
      <c r="I1280" s="31" t="s">
        <v>149</v>
      </c>
      <c r="J1280" s="31"/>
      <c r="K1280" s="31" t="s">
        <v>150</v>
      </c>
      <c r="L1280" s="45" t="n">
        <f aca="false">DATE(YEAR(B1280),MONTH(B1280),1)</f>
        <v>46204</v>
      </c>
      <c r="M1280" s="31" t="n">
        <f aca="false">WEEKDAY(B1280,2)</f>
        <v>6</v>
      </c>
      <c r="N1280" s="31" t="str">
        <f aca="false">IF(G1280&lt;=INDEX(Assumptions!$B$15:$B$18,MATCH(E1280,Assumptions!$A$15:$A$18,0)),"Yes","No")</f>
        <v>Yes</v>
      </c>
      <c r="O1280" s="31" t="str">
        <f aca="false">IF(H1280="","Open",IF(H1280&lt;=INDEX(Assumptions!$C$15:$C$18,MATCH(E1280,Assumptions!$A$15:$A$18,0)),"Yes","No"))</f>
        <v>Yes</v>
      </c>
    </row>
    <row r="1281" customFormat="false" ht="15" hidden="false" customHeight="false" outlineLevel="0" collapsed="false">
      <c r="A1281" s="31" t="s">
        <v>1431</v>
      </c>
      <c r="B1281" s="44" t="n">
        <v>46221</v>
      </c>
      <c r="C1281" s="31" t="s">
        <v>57</v>
      </c>
      <c r="D1281" s="31" t="s">
        <v>65</v>
      </c>
      <c r="E1281" s="31" t="s">
        <v>51</v>
      </c>
      <c r="F1281" s="31" t="s">
        <v>120</v>
      </c>
      <c r="G1281" s="31" t="n">
        <v>10</v>
      </c>
      <c r="H1281" s="41" t="n">
        <v>18.8</v>
      </c>
      <c r="I1281" s="31" t="s">
        <v>149</v>
      </c>
      <c r="J1281" s="31" t="n">
        <v>3</v>
      </c>
      <c r="K1281" s="31" t="s">
        <v>153</v>
      </c>
      <c r="L1281" s="45" t="n">
        <f aca="false">DATE(YEAR(B1281),MONTH(B1281),1)</f>
        <v>46204</v>
      </c>
      <c r="M1281" s="31" t="n">
        <f aca="false">WEEKDAY(B1281,2)</f>
        <v>6</v>
      </c>
      <c r="N1281" s="31" t="str">
        <f aca="false">IF(G1281&lt;=INDEX(Assumptions!$B$15:$B$18,MATCH(E1281,Assumptions!$A$15:$A$18,0)),"Yes","No")</f>
        <v>Yes</v>
      </c>
      <c r="O1281" s="31" t="str">
        <f aca="false">IF(H1281="","Open",IF(H1281&lt;=INDEX(Assumptions!$C$15:$C$18,MATCH(E1281,Assumptions!$A$15:$A$18,0)),"Yes","No"))</f>
        <v>Yes</v>
      </c>
    </row>
    <row r="1282" customFormat="false" ht="15" hidden="false" customHeight="false" outlineLevel="0" collapsed="false">
      <c r="A1282" s="31" t="s">
        <v>1432</v>
      </c>
      <c r="B1282" s="44" t="n">
        <v>46221</v>
      </c>
      <c r="C1282" s="31" t="s">
        <v>59</v>
      </c>
      <c r="D1282" s="31" t="s">
        <v>66</v>
      </c>
      <c r="E1282" s="31" t="s">
        <v>52</v>
      </c>
      <c r="F1282" s="31" t="s">
        <v>122</v>
      </c>
      <c r="G1282" s="31" t="n">
        <v>43</v>
      </c>
      <c r="H1282" s="41" t="n">
        <v>6.6</v>
      </c>
      <c r="I1282" s="31" t="s">
        <v>149</v>
      </c>
      <c r="J1282" s="31" t="n">
        <v>5</v>
      </c>
      <c r="K1282" s="31" t="s">
        <v>150</v>
      </c>
      <c r="L1282" s="45" t="n">
        <f aca="false">DATE(YEAR(B1282),MONTH(B1282),1)</f>
        <v>46204</v>
      </c>
      <c r="M1282" s="31" t="n">
        <f aca="false">WEEKDAY(B1282,2)</f>
        <v>6</v>
      </c>
      <c r="N1282" s="31" t="str">
        <f aca="false">IF(G1282&lt;=INDEX(Assumptions!$B$15:$B$18,MATCH(E1282,Assumptions!$A$15:$A$18,0)),"Yes","No")</f>
        <v>Yes</v>
      </c>
      <c r="O1282" s="31" t="str">
        <f aca="false">IF(H1282="","Open",IF(H1282&lt;=INDEX(Assumptions!$C$15:$C$18,MATCH(E1282,Assumptions!$A$15:$A$18,0)),"Yes","No"))</f>
        <v>Yes</v>
      </c>
    </row>
    <row r="1283" customFormat="false" ht="15" hidden="false" customHeight="false" outlineLevel="0" collapsed="false">
      <c r="A1283" s="31" t="s">
        <v>1433</v>
      </c>
      <c r="B1283" s="44" t="n">
        <v>46221</v>
      </c>
      <c r="C1283" s="31" t="s">
        <v>57</v>
      </c>
      <c r="D1283" s="31" t="s">
        <v>68</v>
      </c>
      <c r="E1283" s="31" t="s">
        <v>51</v>
      </c>
      <c r="F1283" s="31" t="s">
        <v>117</v>
      </c>
      <c r="G1283" s="31" t="n">
        <v>3</v>
      </c>
      <c r="H1283" s="41" t="n">
        <v>10.1</v>
      </c>
      <c r="I1283" s="31" t="s">
        <v>149</v>
      </c>
      <c r="J1283" s="31"/>
      <c r="K1283" s="31" t="s">
        <v>150</v>
      </c>
      <c r="L1283" s="45" t="n">
        <f aca="false">DATE(YEAR(B1283),MONTH(B1283),1)</f>
        <v>46204</v>
      </c>
      <c r="M1283" s="31" t="n">
        <f aca="false">WEEKDAY(B1283,2)</f>
        <v>6</v>
      </c>
      <c r="N1283" s="31" t="str">
        <f aca="false">IF(G1283&lt;=INDEX(Assumptions!$B$15:$B$18,MATCH(E1283,Assumptions!$A$15:$A$18,0)),"Yes","No")</f>
        <v>Yes</v>
      </c>
      <c r="O1283" s="31" t="str">
        <f aca="false">IF(H1283="","Open",IF(H1283&lt;=INDEX(Assumptions!$C$15:$C$18,MATCH(E1283,Assumptions!$A$15:$A$18,0)),"Yes","No"))</f>
        <v>Yes</v>
      </c>
    </row>
    <row r="1284" customFormat="false" ht="15" hidden="false" customHeight="false" outlineLevel="0" collapsed="false">
      <c r="A1284" s="31" t="s">
        <v>1434</v>
      </c>
      <c r="B1284" s="44" t="n">
        <v>46221</v>
      </c>
      <c r="C1284" s="31" t="s">
        <v>59</v>
      </c>
      <c r="D1284" s="31" t="s">
        <v>66</v>
      </c>
      <c r="E1284" s="31" t="s">
        <v>52</v>
      </c>
      <c r="F1284" s="31" t="s">
        <v>117</v>
      </c>
      <c r="G1284" s="31" t="n">
        <v>44</v>
      </c>
      <c r="H1284" s="41" t="n">
        <v>1.8</v>
      </c>
      <c r="I1284" s="31" t="s">
        <v>149</v>
      </c>
      <c r="J1284" s="31"/>
      <c r="K1284" s="31" t="s">
        <v>150</v>
      </c>
      <c r="L1284" s="45" t="n">
        <f aca="false">DATE(YEAR(B1284),MONTH(B1284),1)</f>
        <v>46204</v>
      </c>
      <c r="M1284" s="31" t="n">
        <f aca="false">WEEKDAY(B1284,2)</f>
        <v>6</v>
      </c>
      <c r="N1284" s="31" t="str">
        <f aca="false">IF(G1284&lt;=INDEX(Assumptions!$B$15:$B$18,MATCH(E1284,Assumptions!$A$15:$A$18,0)),"Yes","No")</f>
        <v>Yes</v>
      </c>
      <c r="O1284" s="31" t="str">
        <f aca="false">IF(H1284="","Open",IF(H1284&lt;=INDEX(Assumptions!$C$15:$C$18,MATCH(E1284,Assumptions!$A$15:$A$18,0)),"Yes","No"))</f>
        <v>Yes</v>
      </c>
    </row>
    <row r="1285" customFormat="false" ht="15" hidden="false" customHeight="false" outlineLevel="0" collapsed="false">
      <c r="A1285" s="31" t="s">
        <v>1435</v>
      </c>
      <c r="B1285" s="44" t="n">
        <v>46221</v>
      </c>
      <c r="C1285" s="31" t="s">
        <v>58</v>
      </c>
      <c r="D1285" s="31" t="s">
        <v>68</v>
      </c>
      <c r="E1285" s="31" t="s">
        <v>51</v>
      </c>
      <c r="F1285" s="31" t="s">
        <v>127</v>
      </c>
      <c r="G1285" s="31" t="n">
        <v>15</v>
      </c>
      <c r="H1285" s="41" t="n">
        <v>7</v>
      </c>
      <c r="I1285" s="31" t="s">
        <v>149</v>
      </c>
      <c r="J1285" s="31" t="n">
        <v>5</v>
      </c>
      <c r="K1285" s="31" t="s">
        <v>150</v>
      </c>
      <c r="L1285" s="45" t="n">
        <f aca="false">DATE(YEAR(B1285),MONTH(B1285),1)</f>
        <v>46204</v>
      </c>
      <c r="M1285" s="31" t="n">
        <f aca="false">WEEKDAY(B1285,2)</f>
        <v>6</v>
      </c>
      <c r="N1285" s="31" t="str">
        <f aca="false">IF(G1285&lt;=INDEX(Assumptions!$B$15:$B$18,MATCH(E1285,Assumptions!$A$15:$A$18,0)),"Yes","No")</f>
        <v>Yes</v>
      </c>
      <c r="O1285" s="31" t="str">
        <f aca="false">IF(H1285="","Open",IF(H1285&lt;=INDEX(Assumptions!$C$15:$C$18,MATCH(E1285,Assumptions!$A$15:$A$18,0)),"Yes","No"))</f>
        <v>Yes</v>
      </c>
    </row>
    <row r="1286" customFormat="false" ht="15" hidden="false" customHeight="false" outlineLevel="0" collapsed="false">
      <c r="A1286" s="31" t="s">
        <v>1436</v>
      </c>
      <c r="B1286" s="44" t="n">
        <v>46221</v>
      </c>
      <c r="C1286" s="31" t="s">
        <v>58</v>
      </c>
      <c r="D1286" s="31" t="s">
        <v>66</v>
      </c>
      <c r="E1286" s="31" t="s">
        <v>51</v>
      </c>
      <c r="F1286" s="31" t="s">
        <v>129</v>
      </c>
      <c r="G1286" s="31" t="n">
        <v>5</v>
      </c>
      <c r="H1286" s="41" t="n">
        <v>6.8</v>
      </c>
      <c r="I1286" s="31" t="s">
        <v>64</v>
      </c>
      <c r="J1286" s="31" t="n">
        <v>3</v>
      </c>
      <c r="K1286" s="31" t="s">
        <v>150</v>
      </c>
      <c r="L1286" s="45" t="n">
        <f aca="false">DATE(YEAR(B1286),MONTH(B1286),1)</f>
        <v>46204</v>
      </c>
      <c r="M1286" s="31" t="n">
        <f aca="false">WEEKDAY(B1286,2)</f>
        <v>6</v>
      </c>
      <c r="N1286" s="31" t="str">
        <f aca="false">IF(G1286&lt;=INDEX(Assumptions!$B$15:$B$18,MATCH(E1286,Assumptions!$A$15:$A$18,0)),"Yes","No")</f>
        <v>Yes</v>
      </c>
      <c r="O1286" s="31" t="str">
        <f aca="false">IF(H1286="","Open",IF(H1286&lt;=INDEX(Assumptions!$C$15:$C$18,MATCH(E1286,Assumptions!$A$15:$A$18,0)),"Yes","No"))</f>
        <v>Yes</v>
      </c>
    </row>
    <row r="1287" customFormat="false" ht="15" hidden="false" customHeight="false" outlineLevel="0" collapsed="false">
      <c r="A1287" s="31" t="s">
        <v>1437</v>
      </c>
      <c r="B1287" s="44" t="n">
        <v>46221</v>
      </c>
      <c r="C1287" s="31" t="s">
        <v>58</v>
      </c>
      <c r="D1287" s="31" t="s">
        <v>69</v>
      </c>
      <c r="E1287" s="31" t="s">
        <v>52</v>
      </c>
      <c r="F1287" s="31" t="s">
        <v>124</v>
      </c>
      <c r="G1287" s="31" t="n">
        <v>10</v>
      </c>
      <c r="H1287" s="41" t="n">
        <v>6.9</v>
      </c>
      <c r="I1287" s="31" t="s">
        <v>149</v>
      </c>
      <c r="J1287" s="31" t="n">
        <v>4</v>
      </c>
      <c r="K1287" s="31" t="s">
        <v>150</v>
      </c>
      <c r="L1287" s="45" t="n">
        <f aca="false">DATE(YEAR(B1287),MONTH(B1287),1)</f>
        <v>46204</v>
      </c>
      <c r="M1287" s="31" t="n">
        <f aca="false">WEEKDAY(B1287,2)</f>
        <v>6</v>
      </c>
      <c r="N1287" s="31" t="str">
        <f aca="false">IF(G1287&lt;=INDEX(Assumptions!$B$15:$B$18,MATCH(E1287,Assumptions!$A$15:$A$18,0)),"Yes","No")</f>
        <v>Yes</v>
      </c>
      <c r="O1287" s="31" t="str">
        <f aca="false">IF(H1287="","Open",IF(H1287&lt;=INDEX(Assumptions!$C$15:$C$18,MATCH(E1287,Assumptions!$A$15:$A$18,0)),"Yes","No"))</f>
        <v>Yes</v>
      </c>
    </row>
    <row r="1288" customFormat="false" ht="15" hidden="false" customHeight="false" outlineLevel="0" collapsed="false">
      <c r="A1288" s="31" t="s">
        <v>1438</v>
      </c>
      <c r="B1288" s="44" t="n">
        <v>46221</v>
      </c>
      <c r="C1288" s="31" t="s">
        <v>60</v>
      </c>
      <c r="D1288" s="31" t="s">
        <v>66</v>
      </c>
      <c r="E1288" s="31" t="s">
        <v>52</v>
      </c>
      <c r="F1288" s="31" t="s">
        <v>120</v>
      </c>
      <c r="G1288" s="31" t="n">
        <v>3</v>
      </c>
      <c r="H1288" s="41" t="n">
        <v>13.6</v>
      </c>
      <c r="I1288" s="31" t="s">
        <v>149</v>
      </c>
      <c r="J1288" s="31" t="n">
        <v>4</v>
      </c>
      <c r="K1288" s="31" t="s">
        <v>150</v>
      </c>
      <c r="L1288" s="45" t="n">
        <f aca="false">DATE(YEAR(B1288),MONTH(B1288),1)</f>
        <v>46204</v>
      </c>
      <c r="M1288" s="31" t="n">
        <f aca="false">WEEKDAY(B1288,2)</f>
        <v>6</v>
      </c>
      <c r="N1288" s="31" t="str">
        <f aca="false">IF(G1288&lt;=INDEX(Assumptions!$B$15:$B$18,MATCH(E1288,Assumptions!$A$15:$A$18,0)),"Yes","No")</f>
        <v>Yes</v>
      </c>
      <c r="O1288" s="31" t="str">
        <f aca="false">IF(H1288="","Open",IF(H1288&lt;=INDEX(Assumptions!$C$15:$C$18,MATCH(E1288,Assumptions!$A$15:$A$18,0)),"Yes","No"))</f>
        <v>Yes</v>
      </c>
    </row>
    <row r="1289" customFormat="false" ht="15" hidden="false" customHeight="false" outlineLevel="0" collapsed="false">
      <c r="A1289" s="31" t="s">
        <v>1439</v>
      </c>
      <c r="B1289" s="44" t="n">
        <v>46221</v>
      </c>
      <c r="C1289" s="31" t="s">
        <v>57</v>
      </c>
      <c r="D1289" s="31" t="s">
        <v>68</v>
      </c>
      <c r="E1289" s="31" t="s">
        <v>51</v>
      </c>
      <c r="F1289" s="31" t="s">
        <v>123</v>
      </c>
      <c r="G1289" s="31" t="n">
        <v>2</v>
      </c>
      <c r="H1289" s="41" t="n">
        <v>1.9</v>
      </c>
      <c r="I1289" s="31" t="s">
        <v>149</v>
      </c>
      <c r="J1289" s="31" t="n">
        <v>4</v>
      </c>
      <c r="K1289" s="31" t="s">
        <v>150</v>
      </c>
      <c r="L1289" s="45" t="n">
        <f aca="false">DATE(YEAR(B1289),MONTH(B1289),1)</f>
        <v>46204</v>
      </c>
      <c r="M1289" s="31" t="n">
        <f aca="false">WEEKDAY(B1289,2)</f>
        <v>6</v>
      </c>
      <c r="N1289" s="31" t="str">
        <f aca="false">IF(G1289&lt;=INDEX(Assumptions!$B$15:$B$18,MATCH(E1289,Assumptions!$A$15:$A$18,0)),"Yes","No")</f>
        <v>Yes</v>
      </c>
      <c r="O1289" s="31" t="str">
        <f aca="false">IF(H1289="","Open",IF(H1289&lt;=INDEX(Assumptions!$C$15:$C$18,MATCH(E1289,Assumptions!$A$15:$A$18,0)),"Yes","No"))</f>
        <v>Yes</v>
      </c>
    </row>
    <row r="1290" customFormat="false" ht="15" hidden="false" customHeight="false" outlineLevel="0" collapsed="false">
      <c r="A1290" s="31" t="s">
        <v>1440</v>
      </c>
      <c r="B1290" s="44" t="n">
        <v>46221</v>
      </c>
      <c r="C1290" s="31" t="s">
        <v>60</v>
      </c>
      <c r="D1290" s="31" t="s">
        <v>65</v>
      </c>
      <c r="E1290" s="31" t="s">
        <v>51</v>
      </c>
      <c r="F1290" s="31" t="s">
        <v>133</v>
      </c>
      <c r="G1290" s="31" t="n">
        <v>3</v>
      </c>
      <c r="H1290" s="41" t="n">
        <v>5.7</v>
      </c>
      <c r="I1290" s="31" t="s">
        <v>149</v>
      </c>
      <c r="J1290" s="31"/>
      <c r="K1290" s="31" t="s">
        <v>150</v>
      </c>
      <c r="L1290" s="45" t="n">
        <f aca="false">DATE(YEAR(B1290),MONTH(B1290),1)</f>
        <v>46204</v>
      </c>
      <c r="M1290" s="31" t="n">
        <f aca="false">WEEKDAY(B1290,2)</f>
        <v>6</v>
      </c>
      <c r="N1290" s="31" t="str">
        <f aca="false">IF(G1290&lt;=INDEX(Assumptions!$B$15:$B$18,MATCH(E1290,Assumptions!$A$15:$A$18,0)),"Yes","No")</f>
        <v>Yes</v>
      </c>
      <c r="O1290" s="31" t="str">
        <f aca="false">IF(H1290="","Open",IF(H1290&lt;=INDEX(Assumptions!$C$15:$C$18,MATCH(E1290,Assumptions!$A$15:$A$18,0)),"Yes","No"))</f>
        <v>Yes</v>
      </c>
    </row>
    <row r="1291" customFormat="false" ht="15" hidden="false" customHeight="false" outlineLevel="0" collapsed="false">
      <c r="A1291" s="31" t="s">
        <v>1441</v>
      </c>
      <c r="B1291" s="44" t="n">
        <v>46221</v>
      </c>
      <c r="C1291" s="31" t="s">
        <v>57</v>
      </c>
      <c r="D1291" s="31" t="s">
        <v>68</v>
      </c>
      <c r="E1291" s="31" t="s">
        <v>51</v>
      </c>
      <c r="F1291" s="31" t="s">
        <v>134</v>
      </c>
      <c r="G1291" s="31" t="n">
        <v>6</v>
      </c>
      <c r="H1291" s="41" t="n">
        <v>13.2</v>
      </c>
      <c r="I1291" s="31" t="s">
        <v>64</v>
      </c>
      <c r="J1291" s="31"/>
      <c r="K1291" s="31" t="s">
        <v>150</v>
      </c>
      <c r="L1291" s="45" t="n">
        <f aca="false">DATE(YEAR(B1291),MONTH(B1291),1)</f>
        <v>46204</v>
      </c>
      <c r="M1291" s="31" t="n">
        <f aca="false">WEEKDAY(B1291,2)</f>
        <v>6</v>
      </c>
      <c r="N1291" s="31" t="str">
        <f aca="false">IF(G1291&lt;=INDEX(Assumptions!$B$15:$B$18,MATCH(E1291,Assumptions!$A$15:$A$18,0)),"Yes","No")</f>
        <v>Yes</v>
      </c>
      <c r="O1291" s="31" t="str">
        <f aca="false">IF(H1291="","Open",IF(H1291&lt;=INDEX(Assumptions!$C$15:$C$18,MATCH(E1291,Assumptions!$A$15:$A$18,0)),"Yes","No"))</f>
        <v>Yes</v>
      </c>
    </row>
    <row r="1292" customFormat="false" ht="15" hidden="false" customHeight="false" outlineLevel="0" collapsed="false">
      <c r="A1292" s="31" t="s">
        <v>1442</v>
      </c>
      <c r="B1292" s="44" t="n">
        <v>46221</v>
      </c>
      <c r="C1292" s="31" t="s">
        <v>57</v>
      </c>
      <c r="D1292" s="31" t="s">
        <v>66</v>
      </c>
      <c r="E1292" s="31" t="s">
        <v>51</v>
      </c>
      <c r="F1292" s="31" t="s">
        <v>129</v>
      </c>
      <c r="G1292" s="31" t="n">
        <v>2</v>
      </c>
      <c r="H1292" s="41" t="n">
        <v>18.2</v>
      </c>
      <c r="I1292" s="31" t="s">
        <v>64</v>
      </c>
      <c r="J1292" s="31" t="n">
        <v>4</v>
      </c>
      <c r="K1292" s="31" t="s">
        <v>150</v>
      </c>
      <c r="L1292" s="45" t="n">
        <f aca="false">DATE(YEAR(B1292),MONTH(B1292),1)</f>
        <v>46204</v>
      </c>
      <c r="M1292" s="31" t="n">
        <f aca="false">WEEKDAY(B1292,2)</f>
        <v>6</v>
      </c>
      <c r="N1292" s="31" t="str">
        <f aca="false">IF(G1292&lt;=INDEX(Assumptions!$B$15:$B$18,MATCH(E1292,Assumptions!$A$15:$A$18,0)),"Yes","No")</f>
        <v>Yes</v>
      </c>
      <c r="O1292" s="31" t="str">
        <f aca="false">IF(H1292="","Open",IF(H1292&lt;=INDEX(Assumptions!$C$15:$C$18,MATCH(E1292,Assumptions!$A$15:$A$18,0)),"Yes","No"))</f>
        <v>Yes</v>
      </c>
    </row>
    <row r="1293" customFormat="false" ht="15" hidden="false" customHeight="false" outlineLevel="0" collapsed="false">
      <c r="A1293" s="31" t="s">
        <v>1443</v>
      </c>
      <c r="B1293" s="44" t="n">
        <v>46221</v>
      </c>
      <c r="C1293" s="31" t="s">
        <v>59</v>
      </c>
      <c r="D1293" s="31" t="s">
        <v>67</v>
      </c>
      <c r="E1293" s="31" t="s">
        <v>50</v>
      </c>
      <c r="F1293" s="31" t="s">
        <v>136</v>
      </c>
      <c r="G1293" s="31" t="n">
        <v>47</v>
      </c>
      <c r="H1293" s="41" t="n">
        <v>2.2</v>
      </c>
      <c r="I1293" s="31" t="s">
        <v>149</v>
      </c>
      <c r="J1293" s="31" t="n">
        <v>3</v>
      </c>
      <c r="K1293" s="31" t="s">
        <v>150</v>
      </c>
      <c r="L1293" s="45" t="n">
        <f aca="false">DATE(YEAR(B1293),MONTH(B1293),1)</f>
        <v>46204</v>
      </c>
      <c r="M1293" s="31" t="n">
        <f aca="false">WEEKDAY(B1293,2)</f>
        <v>6</v>
      </c>
      <c r="N1293" s="31" t="str">
        <f aca="false">IF(G1293&lt;=INDEX(Assumptions!$B$15:$B$18,MATCH(E1293,Assumptions!$A$15:$A$18,0)),"Yes","No")</f>
        <v>No</v>
      </c>
      <c r="O1293" s="31" t="str">
        <f aca="false">IF(H1293="","Open",IF(H1293&lt;=INDEX(Assumptions!$C$15:$C$18,MATCH(E1293,Assumptions!$A$15:$A$18,0)),"Yes","No"))</f>
        <v>Yes</v>
      </c>
    </row>
    <row r="1294" customFormat="false" ht="15" hidden="false" customHeight="false" outlineLevel="0" collapsed="false">
      <c r="A1294" s="31" t="s">
        <v>1444</v>
      </c>
      <c r="B1294" s="44" t="n">
        <v>46221</v>
      </c>
      <c r="C1294" s="31" t="s">
        <v>57</v>
      </c>
      <c r="D1294" s="31" t="s">
        <v>68</v>
      </c>
      <c r="E1294" s="31" t="s">
        <v>50</v>
      </c>
      <c r="F1294" s="31" t="s">
        <v>137</v>
      </c>
      <c r="G1294" s="31" t="n">
        <v>6</v>
      </c>
      <c r="H1294" s="41" t="n">
        <v>2</v>
      </c>
      <c r="I1294" s="31" t="s">
        <v>149</v>
      </c>
      <c r="J1294" s="31"/>
      <c r="K1294" s="31" t="s">
        <v>150</v>
      </c>
      <c r="L1294" s="45" t="n">
        <f aca="false">DATE(YEAR(B1294),MONTH(B1294),1)</f>
        <v>46204</v>
      </c>
      <c r="M1294" s="31" t="n">
        <f aca="false">WEEKDAY(B1294,2)</f>
        <v>6</v>
      </c>
      <c r="N1294" s="31" t="str">
        <f aca="false">IF(G1294&lt;=INDEX(Assumptions!$B$15:$B$18,MATCH(E1294,Assumptions!$A$15:$A$18,0)),"Yes","No")</f>
        <v>Yes</v>
      </c>
      <c r="O1294" s="31" t="str">
        <f aca="false">IF(H1294="","Open",IF(H1294&lt;=INDEX(Assumptions!$C$15:$C$18,MATCH(E1294,Assumptions!$A$15:$A$18,0)),"Yes","No"))</f>
        <v>Yes</v>
      </c>
    </row>
    <row r="1295" customFormat="false" ht="15" hidden="false" customHeight="false" outlineLevel="0" collapsed="false">
      <c r="A1295" s="31" t="s">
        <v>1445</v>
      </c>
      <c r="B1295" s="44" t="n">
        <v>46222</v>
      </c>
      <c r="C1295" s="31" t="s">
        <v>57</v>
      </c>
      <c r="D1295" s="31" t="s">
        <v>65</v>
      </c>
      <c r="E1295" s="31" t="s">
        <v>51</v>
      </c>
      <c r="F1295" s="31" t="s">
        <v>120</v>
      </c>
      <c r="G1295" s="31" t="n">
        <v>2</v>
      </c>
      <c r="H1295" s="41" t="n">
        <v>6.6</v>
      </c>
      <c r="I1295" s="31" t="s">
        <v>149</v>
      </c>
      <c r="J1295" s="31" t="n">
        <v>5</v>
      </c>
      <c r="K1295" s="31" t="s">
        <v>150</v>
      </c>
      <c r="L1295" s="45" t="n">
        <f aca="false">DATE(YEAR(B1295),MONTH(B1295),1)</f>
        <v>46204</v>
      </c>
      <c r="M1295" s="31" t="n">
        <f aca="false">WEEKDAY(B1295,2)</f>
        <v>7</v>
      </c>
      <c r="N1295" s="31" t="str">
        <f aca="false">IF(G1295&lt;=INDEX(Assumptions!$B$15:$B$18,MATCH(E1295,Assumptions!$A$15:$A$18,0)),"Yes","No")</f>
        <v>Yes</v>
      </c>
      <c r="O1295" s="31" t="str">
        <f aca="false">IF(H1295="","Open",IF(H1295&lt;=INDEX(Assumptions!$C$15:$C$18,MATCH(E1295,Assumptions!$A$15:$A$18,0)),"Yes","No"))</f>
        <v>Yes</v>
      </c>
    </row>
    <row r="1296" customFormat="false" ht="15" hidden="false" customHeight="false" outlineLevel="0" collapsed="false">
      <c r="A1296" s="31" t="s">
        <v>1446</v>
      </c>
      <c r="B1296" s="44" t="n">
        <v>46222</v>
      </c>
      <c r="C1296" s="31" t="s">
        <v>59</v>
      </c>
      <c r="D1296" s="31" t="s">
        <v>65</v>
      </c>
      <c r="E1296" s="31" t="s">
        <v>51</v>
      </c>
      <c r="F1296" s="31" t="s">
        <v>129</v>
      </c>
      <c r="G1296" s="31" t="n">
        <v>25</v>
      </c>
      <c r="H1296" s="41" t="n">
        <v>16.8</v>
      </c>
      <c r="I1296" s="31" t="s">
        <v>149</v>
      </c>
      <c r="J1296" s="31" t="n">
        <v>5</v>
      </c>
      <c r="K1296" s="31" t="s">
        <v>150</v>
      </c>
      <c r="L1296" s="45" t="n">
        <f aca="false">DATE(YEAR(B1296),MONTH(B1296),1)</f>
        <v>46204</v>
      </c>
      <c r="M1296" s="31" t="n">
        <f aca="false">WEEKDAY(B1296,2)</f>
        <v>7</v>
      </c>
      <c r="N1296" s="31" t="str">
        <f aca="false">IF(G1296&lt;=INDEX(Assumptions!$B$15:$B$18,MATCH(E1296,Assumptions!$A$15:$A$18,0)),"Yes","No")</f>
        <v>Yes</v>
      </c>
      <c r="O1296" s="31" t="str">
        <f aca="false">IF(H1296="","Open",IF(H1296&lt;=INDEX(Assumptions!$C$15:$C$18,MATCH(E1296,Assumptions!$A$15:$A$18,0)),"Yes","No"))</f>
        <v>Yes</v>
      </c>
    </row>
    <row r="1297" customFormat="false" ht="15" hidden="false" customHeight="false" outlineLevel="0" collapsed="false">
      <c r="A1297" s="31" t="s">
        <v>1447</v>
      </c>
      <c r="B1297" s="44" t="n">
        <v>46222</v>
      </c>
      <c r="C1297" s="31" t="s">
        <v>59</v>
      </c>
      <c r="D1297" s="31" t="s">
        <v>65</v>
      </c>
      <c r="E1297" s="31" t="s">
        <v>51</v>
      </c>
      <c r="F1297" s="31" t="s">
        <v>123</v>
      </c>
      <c r="G1297" s="31" t="n">
        <v>99</v>
      </c>
      <c r="H1297" s="41" t="n">
        <v>6.3</v>
      </c>
      <c r="I1297" s="31" t="s">
        <v>149</v>
      </c>
      <c r="J1297" s="31"/>
      <c r="K1297" s="31" t="s">
        <v>150</v>
      </c>
      <c r="L1297" s="45" t="n">
        <f aca="false">DATE(YEAR(B1297),MONTH(B1297),1)</f>
        <v>46204</v>
      </c>
      <c r="M1297" s="31" t="n">
        <f aca="false">WEEKDAY(B1297,2)</f>
        <v>7</v>
      </c>
      <c r="N1297" s="31" t="str">
        <f aca="false">IF(G1297&lt;=INDEX(Assumptions!$B$15:$B$18,MATCH(E1297,Assumptions!$A$15:$A$18,0)),"Yes","No")</f>
        <v>No</v>
      </c>
      <c r="O1297" s="31" t="str">
        <f aca="false">IF(H1297="","Open",IF(H1297&lt;=INDEX(Assumptions!$C$15:$C$18,MATCH(E1297,Assumptions!$A$15:$A$18,0)),"Yes","No"))</f>
        <v>Yes</v>
      </c>
    </row>
    <row r="1298" customFormat="false" ht="15" hidden="false" customHeight="false" outlineLevel="0" collapsed="false">
      <c r="A1298" s="31" t="s">
        <v>1448</v>
      </c>
      <c r="B1298" s="44" t="n">
        <v>46222</v>
      </c>
      <c r="C1298" s="31" t="s">
        <v>60</v>
      </c>
      <c r="D1298" s="31" t="s">
        <v>69</v>
      </c>
      <c r="E1298" s="31" t="s">
        <v>50</v>
      </c>
      <c r="F1298" s="31" t="s">
        <v>123</v>
      </c>
      <c r="G1298" s="31" t="n">
        <v>3</v>
      </c>
      <c r="H1298" s="41" t="n">
        <v>32.1</v>
      </c>
      <c r="I1298" s="31" t="s">
        <v>149</v>
      </c>
      <c r="J1298" s="31"/>
      <c r="K1298" s="31" t="s">
        <v>150</v>
      </c>
      <c r="L1298" s="45" t="n">
        <f aca="false">DATE(YEAR(B1298),MONTH(B1298),1)</f>
        <v>46204</v>
      </c>
      <c r="M1298" s="31" t="n">
        <f aca="false">WEEKDAY(B1298,2)</f>
        <v>7</v>
      </c>
      <c r="N1298" s="31" t="str">
        <f aca="false">IF(G1298&lt;=INDEX(Assumptions!$B$15:$B$18,MATCH(E1298,Assumptions!$A$15:$A$18,0)),"Yes","No")</f>
        <v>Yes</v>
      </c>
      <c r="O1298" s="31" t="str">
        <f aca="false">IF(H1298="","Open",IF(H1298&lt;=INDEX(Assumptions!$C$15:$C$18,MATCH(E1298,Assumptions!$A$15:$A$18,0)),"Yes","No"))</f>
        <v>No</v>
      </c>
    </row>
    <row r="1299" customFormat="false" ht="15" hidden="false" customHeight="false" outlineLevel="0" collapsed="false">
      <c r="A1299" s="31" t="s">
        <v>1449</v>
      </c>
      <c r="B1299" s="44" t="n">
        <v>46222</v>
      </c>
      <c r="C1299" s="31" t="s">
        <v>58</v>
      </c>
      <c r="D1299" s="31" t="s">
        <v>65</v>
      </c>
      <c r="E1299" s="31" t="s">
        <v>50</v>
      </c>
      <c r="F1299" s="31" t="s">
        <v>122</v>
      </c>
      <c r="G1299" s="31" t="n">
        <v>6</v>
      </c>
      <c r="H1299" s="41" t="n">
        <v>1.6</v>
      </c>
      <c r="I1299" s="31" t="s">
        <v>149</v>
      </c>
      <c r="J1299" s="31" t="n">
        <v>4</v>
      </c>
      <c r="K1299" s="31" t="s">
        <v>150</v>
      </c>
      <c r="L1299" s="45" t="n">
        <f aca="false">DATE(YEAR(B1299),MONTH(B1299),1)</f>
        <v>46204</v>
      </c>
      <c r="M1299" s="31" t="n">
        <f aca="false">WEEKDAY(B1299,2)</f>
        <v>7</v>
      </c>
      <c r="N1299" s="31" t="str">
        <f aca="false">IF(G1299&lt;=INDEX(Assumptions!$B$15:$B$18,MATCH(E1299,Assumptions!$A$15:$A$18,0)),"Yes","No")</f>
        <v>Yes</v>
      </c>
      <c r="O1299" s="31" t="str">
        <f aca="false">IF(H1299="","Open",IF(H1299&lt;=INDEX(Assumptions!$C$15:$C$18,MATCH(E1299,Assumptions!$A$15:$A$18,0)),"Yes","No"))</f>
        <v>Yes</v>
      </c>
    </row>
    <row r="1300" customFormat="false" ht="15" hidden="false" customHeight="false" outlineLevel="0" collapsed="false">
      <c r="A1300" s="31" t="s">
        <v>1450</v>
      </c>
      <c r="B1300" s="44" t="n">
        <v>46222</v>
      </c>
      <c r="C1300" s="31" t="s">
        <v>58</v>
      </c>
      <c r="D1300" s="31" t="s">
        <v>65</v>
      </c>
      <c r="E1300" s="31" t="s">
        <v>51</v>
      </c>
      <c r="F1300" s="31" t="s">
        <v>133</v>
      </c>
      <c r="G1300" s="31" t="n">
        <v>10</v>
      </c>
      <c r="H1300" s="41" t="n">
        <v>5.3</v>
      </c>
      <c r="I1300" s="31" t="s">
        <v>149</v>
      </c>
      <c r="J1300" s="31"/>
      <c r="K1300" s="31" t="s">
        <v>150</v>
      </c>
      <c r="L1300" s="45" t="n">
        <f aca="false">DATE(YEAR(B1300),MONTH(B1300),1)</f>
        <v>46204</v>
      </c>
      <c r="M1300" s="31" t="n">
        <f aca="false">WEEKDAY(B1300,2)</f>
        <v>7</v>
      </c>
      <c r="N1300" s="31" t="str">
        <f aca="false">IF(G1300&lt;=INDEX(Assumptions!$B$15:$B$18,MATCH(E1300,Assumptions!$A$15:$A$18,0)),"Yes","No")</f>
        <v>Yes</v>
      </c>
      <c r="O1300" s="31" t="str">
        <f aca="false">IF(H1300="","Open",IF(H1300&lt;=INDEX(Assumptions!$C$15:$C$18,MATCH(E1300,Assumptions!$A$15:$A$18,0)),"Yes","No"))</f>
        <v>Yes</v>
      </c>
    </row>
    <row r="1301" customFormat="false" ht="15" hidden="false" customHeight="false" outlineLevel="0" collapsed="false">
      <c r="A1301" s="31" t="s">
        <v>1451</v>
      </c>
      <c r="B1301" s="44" t="n">
        <v>46222</v>
      </c>
      <c r="C1301" s="31" t="s">
        <v>59</v>
      </c>
      <c r="D1301" s="31" t="s">
        <v>67</v>
      </c>
      <c r="E1301" s="31" t="s">
        <v>49</v>
      </c>
      <c r="F1301" s="31" t="s">
        <v>126</v>
      </c>
      <c r="G1301" s="31" t="n">
        <v>23</v>
      </c>
      <c r="H1301" s="41" t="n">
        <v>4.4</v>
      </c>
      <c r="I1301" s="31" t="s">
        <v>149</v>
      </c>
      <c r="J1301" s="31" t="n">
        <v>4</v>
      </c>
      <c r="K1301" s="31" t="s">
        <v>150</v>
      </c>
      <c r="L1301" s="45" t="n">
        <f aca="false">DATE(YEAR(B1301),MONTH(B1301),1)</f>
        <v>46204</v>
      </c>
      <c r="M1301" s="31" t="n">
        <f aca="false">WEEKDAY(B1301,2)</f>
        <v>7</v>
      </c>
      <c r="N1301" s="31" t="str">
        <f aca="false">IF(G1301&lt;=INDEX(Assumptions!$B$15:$B$18,MATCH(E1301,Assumptions!$A$15:$A$18,0)),"Yes","No")</f>
        <v>No</v>
      </c>
      <c r="O1301" s="31" t="str">
        <f aca="false">IF(H1301="","Open",IF(H1301&lt;=INDEX(Assumptions!$C$15:$C$18,MATCH(E1301,Assumptions!$A$15:$A$18,0)),"Yes","No"))</f>
        <v>No</v>
      </c>
    </row>
    <row r="1302" customFormat="false" ht="15" hidden="false" customHeight="false" outlineLevel="0" collapsed="false">
      <c r="A1302" s="31" t="s">
        <v>1452</v>
      </c>
      <c r="B1302" s="44" t="n">
        <v>46222</v>
      </c>
      <c r="C1302" s="31" t="s">
        <v>57</v>
      </c>
      <c r="D1302" s="31" t="s">
        <v>65</v>
      </c>
      <c r="E1302" s="31" t="s">
        <v>52</v>
      </c>
      <c r="F1302" s="31" t="s">
        <v>122</v>
      </c>
      <c r="G1302" s="31" t="n">
        <v>5</v>
      </c>
      <c r="H1302" s="41" t="n">
        <v>44.6</v>
      </c>
      <c r="I1302" s="31" t="s">
        <v>149</v>
      </c>
      <c r="J1302" s="31" t="n">
        <v>5</v>
      </c>
      <c r="K1302" s="31" t="s">
        <v>150</v>
      </c>
      <c r="L1302" s="45" t="n">
        <f aca="false">DATE(YEAR(B1302),MONTH(B1302),1)</f>
        <v>46204</v>
      </c>
      <c r="M1302" s="31" t="n">
        <f aca="false">WEEKDAY(B1302,2)</f>
        <v>7</v>
      </c>
      <c r="N1302" s="31" t="str">
        <f aca="false">IF(G1302&lt;=INDEX(Assumptions!$B$15:$B$18,MATCH(E1302,Assumptions!$A$15:$A$18,0)),"Yes","No")</f>
        <v>Yes</v>
      </c>
      <c r="O1302" s="31" t="str">
        <f aca="false">IF(H1302="","Open",IF(H1302&lt;=INDEX(Assumptions!$C$15:$C$18,MATCH(E1302,Assumptions!$A$15:$A$18,0)),"Yes","No"))</f>
        <v>Yes</v>
      </c>
    </row>
    <row r="1303" customFormat="false" ht="15" hidden="false" customHeight="false" outlineLevel="0" collapsed="false">
      <c r="A1303" s="31" t="s">
        <v>1453</v>
      </c>
      <c r="B1303" s="44" t="n">
        <v>46222</v>
      </c>
      <c r="C1303" s="31" t="s">
        <v>58</v>
      </c>
      <c r="D1303" s="31" t="s">
        <v>67</v>
      </c>
      <c r="E1303" s="31" t="s">
        <v>52</v>
      </c>
      <c r="F1303" s="31" t="s">
        <v>121</v>
      </c>
      <c r="G1303" s="31" t="n">
        <v>19</v>
      </c>
      <c r="H1303" s="41" t="n">
        <v>37.2</v>
      </c>
      <c r="I1303" s="31" t="s">
        <v>149</v>
      </c>
      <c r="J1303" s="31"/>
      <c r="K1303" s="31" t="s">
        <v>150</v>
      </c>
      <c r="L1303" s="45" t="n">
        <f aca="false">DATE(YEAR(B1303),MONTH(B1303),1)</f>
        <v>46204</v>
      </c>
      <c r="M1303" s="31" t="n">
        <f aca="false">WEEKDAY(B1303,2)</f>
        <v>7</v>
      </c>
      <c r="N1303" s="31" t="str">
        <f aca="false">IF(G1303&lt;=INDEX(Assumptions!$B$15:$B$18,MATCH(E1303,Assumptions!$A$15:$A$18,0)),"Yes","No")</f>
        <v>Yes</v>
      </c>
      <c r="O1303" s="31" t="str">
        <f aca="false">IF(H1303="","Open",IF(H1303&lt;=INDEX(Assumptions!$C$15:$C$18,MATCH(E1303,Assumptions!$A$15:$A$18,0)),"Yes","No"))</f>
        <v>Yes</v>
      </c>
    </row>
    <row r="1304" customFormat="false" ht="15" hidden="false" customHeight="false" outlineLevel="0" collapsed="false">
      <c r="A1304" s="31" t="s">
        <v>1454</v>
      </c>
      <c r="B1304" s="44" t="n">
        <v>46222</v>
      </c>
      <c r="C1304" s="31" t="s">
        <v>57</v>
      </c>
      <c r="D1304" s="31" t="s">
        <v>65</v>
      </c>
      <c r="E1304" s="31" t="s">
        <v>52</v>
      </c>
      <c r="F1304" s="31" t="s">
        <v>131</v>
      </c>
      <c r="G1304" s="31" t="n">
        <v>19</v>
      </c>
      <c r="H1304" s="41" t="n">
        <v>27.5</v>
      </c>
      <c r="I1304" s="31" t="s">
        <v>149</v>
      </c>
      <c r="J1304" s="31"/>
      <c r="K1304" s="31" t="s">
        <v>150</v>
      </c>
      <c r="L1304" s="45" t="n">
        <f aca="false">DATE(YEAR(B1304),MONTH(B1304),1)</f>
        <v>46204</v>
      </c>
      <c r="M1304" s="31" t="n">
        <f aca="false">WEEKDAY(B1304,2)</f>
        <v>7</v>
      </c>
      <c r="N1304" s="31" t="str">
        <f aca="false">IF(G1304&lt;=INDEX(Assumptions!$B$15:$B$18,MATCH(E1304,Assumptions!$A$15:$A$18,0)),"Yes","No")</f>
        <v>Yes</v>
      </c>
      <c r="O1304" s="31" t="str">
        <f aca="false">IF(H1304="","Open",IF(H1304&lt;=INDEX(Assumptions!$C$15:$C$18,MATCH(E1304,Assumptions!$A$15:$A$18,0)),"Yes","No"))</f>
        <v>Yes</v>
      </c>
    </row>
    <row r="1305" customFormat="false" ht="15" hidden="false" customHeight="false" outlineLevel="0" collapsed="false">
      <c r="A1305" s="31" t="s">
        <v>1455</v>
      </c>
      <c r="B1305" s="44" t="n">
        <v>46222</v>
      </c>
      <c r="C1305" s="31" t="s">
        <v>57</v>
      </c>
      <c r="D1305" s="31" t="s">
        <v>66</v>
      </c>
      <c r="E1305" s="31" t="s">
        <v>52</v>
      </c>
      <c r="F1305" s="31" t="s">
        <v>131</v>
      </c>
      <c r="G1305" s="31" t="n">
        <v>3</v>
      </c>
      <c r="H1305" s="41" t="n">
        <v>5.9</v>
      </c>
      <c r="I1305" s="31" t="s">
        <v>149</v>
      </c>
      <c r="J1305" s="31" t="n">
        <v>5</v>
      </c>
      <c r="K1305" s="31" t="s">
        <v>150</v>
      </c>
      <c r="L1305" s="45" t="n">
        <f aca="false">DATE(YEAR(B1305),MONTH(B1305),1)</f>
        <v>46204</v>
      </c>
      <c r="M1305" s="31" t="n">
        <f aca="false">WEEKDAY(B1305,2)</f>
        <v>7</v>
      </c>
      <c r="N1305" s="31" t="str">
        <f aca="false">IF(G1305&lt;=INDEX(Assumptions!$B$15:$B$18,MATCH(E1305,Assumptions!$A$15:$A$18,0)),"Yes","No")</f>
        <v>Yes</v>
      </c>
      <c r="O1305" s="31" t="str">
        <f aca="false">IF(H1305="","Open",IF(H1305&lt;=INDEX(Assumptions!$C$15:$C$18,MATCH(E1305,Assumptions!$A$15:$A$18,0)),"Yes","No"))</f>
        <v>Yes</v>
      </c>
    </row>
    <row r="1306" customFormat="false" ht="15" hidden="false" customHeight="false" outlineLevel="0" collapsed="false">
      <c r="A1306" s="31" t="s">
        <v>1456</v>
      </c>
      <c r="B1306" s="44" t="n">
        <v>46222</v>
      </c>
      <c r="C1306" s="31" t="s">
        <v>60</v>
      </c>
      <c r="D1306" s="31" t="s">
        <v>67</v>
      </c>
      <c r="E1306" s="31" t="s">
        <v>50</v>
      </c>
      <c r="F1306" s="31" t="s">
        <v>126</v>
      </c>
      <c r="G1306" s="31" t="n">
        <v>4</v>
      </c>
      <c r="H1306" s="41" t="n">
        <v>6.4</v>
      </c>
      <c r="I1306" s="31" t="s">
        <v>149</v>
      </c>
      <c r="J1306" s="31" t="n">
        <v>4</v>
      </c>
      <c r="K1306" s="31" t="s">
        <v>150</v>
      </c>
      <c r="L1306" s="45" t="n">
        <f aca="false">DATE(YEAR(B1306),MONTH(B1306),1)</f>
        <v>46204</v>
      </c>
      <c r="M1306" s="31" t="n">
        <f aca="false">WEEKDAY(B1306,2)</f>
        <v>7</v>
      </c>
      <c r="N1306" s="31" t="str">
        <f aca="false">IF(G1306&lt;=INDEX(Assumptions!$B$15:$B$18,MATCH(E1306,Assumptions!$A$15:$A$18,0)),"Yes","No")</f>
        <v>Yes</v>
      </c>
      <c r="O1306" s="31" t="str">
        <f aca="false">IF(H1306="","Open",IF(H1306&lt;=INDEX(Assumptions!$C$15:$C$18,MATCH(E1306,Assumptions!$A$15:$A$18,0)),"Yes","No"))</f>
        <v>Yes</v>
      </c>
    </row>
    <row r="1307" customFormat="false" ht="15" hidden="false" customHeight="false" outlineLevel="0" collapsed="false">
      <c r="A1307" s="31" t="s">
        <v>1457</v>
      </c>
      <c r="B1307" s="44" t="n">
        <v>46222</v>
      </c>
      <c r="C1307" s="31" t="s">
        <v>58</v>
      </c>
      <c r="D1307" s="31" t="s">
        <v>67</v>
      </c>
      <c r="E1307" s="31" t="s">
        <v>52</v>
      </c>
      <c r="F1307" s="31" t="s">
        <v>122</v>
      </c>
      <c r="G1307" s="31" t="n">
        <v>7</v>
      </c>
      <c r="H1307" s="41" t="n">
        <v>11.7</v>
      </c>
      <c r="I1307" s="31" t="s">
        <v>149</v>
      </c>
      <c r="J1307" s="31" t="n">
        <v>5</v>
      </c>
      <c r="K1307" s="31" t="s">
        <v>153</v>
      </c>
      <c r="L1307" s="45" t="n">
        <f aca="false">DATE(YEAR(B1307),MONTH(B1307),1)</f>
        <v>46204</v>
      </c>
      <c r="M1307" s="31" t="n">
        <f aca="false">WEEKDAY(B1307,2)</f>
        <v>7</v>
      </c>
      <c r="N1307" s="31" t="str">
        <f aca="false">IF(G1307&lt;=INDEX(Assumptions!$B$15:$B$18,MATCH(E1307,Assumptions!$A$15:$A$18,0)),"Yes","No")</f>
        <v>Yes</v>
      </c>
      <c r="O1307" s="31" t="str">
        <f aca="false">IF(H1307="","Open",IF(H1307&lt;=INDEX(Assumptions!$C$15:$C$18,MATCH(E1307,Assumptions!$A$15:$A$18,0)),"Yes","No"))</f>
        <v>Yes</v>
      </c>
    </row>
    <row r="1308" customFormat="false" ht="15" hidden="false" customHeight="false" outlineLevel="0" collapsed="false">
      <c r="A1308" s="31" t="s">
        <v>1458</v>
      </c>
      <c r="B1308" s="44" t="n">
        <v>46222</v>
      </c>
      <c r="C1308" s="31" t="s">
        <v>59</v>
      </c>
      <c r="D1308" s="31" t="s">
        <v>65</v>
      </c>
      <c r="E1308" s="31" t="s">
        <v>51</v>
      </c>
      <c r="F1308" s="31" t="s">
        <v>131</v>
      </c>
      <c r="G1308" s="31" t="n">
        <v>129</v>
      </c>
      <c r="H1308" s="41" t="n">
        <v>18.3</v>
      </c>
      <c r="I1308" s="31" t="s">
        <v>149</v>
      </c>
      <c r="J1308" s="31" t="n">
        <v>5</v>
      </c>
      <c r="K1308" s="31" t="s">
        <v>150</v>
      </c>
      <c r="L1308" s="45" t="n">
        <f aca="false">DATE(YEAR(B1308),MONTH(B1308),1)</f>
        <v>46204</v>
      </c>
      <c r="M1308" s="31" t="n">
        <f aca="false">WEEKDAY(B1308,2)</f>
        <v>7</v>
      </c>
      <c r="N1308" s="31" t="str">
        <f aca="false">IF(G1308&lt;=INDEX(Assumptions!$B$15:$B$18,MATCH(E1308,Assumptions!$A$15:$A$18,0)),"Yes","No")</f>
        <v>No</v>
      </c>
      <c r="O1308" s="31" t="str">
        <f aca="false">IF(H1308="","Open",IF(H1308&lt;=INDEX(Assumptions!$C$15:$C$18,MATCH(E1308,Assumptions!$A$15:$A$18,0)),"Yes","No"))</f>
        <v>Yes</v>
      </c>
    </row>
    <row r="1309" customFormat="false" ht="15" hidden="false" customHeight="false" outlineLevel="0" collapsed="false">
      <c r="A1309" s="31" t="s">
        <v>1459</v>
      </c>
      <c r="B1309" s="44" t="n">
        <v>46222</v>
      </c>
      <c r="C1309" s="31" t="s">
        <v>58</v>
      </c>
      <c r="D1309" s="31" t="s">
        <v>68</v>
      </c>
      <c r="E1309" s="31" t="s">
        <v>51</v>
      </c>
      <c r="F1309" s="31" t="s">
        <v>126</v>
      </c>
      <c r="G1309" s="31" t="n">
        <v>11</v>
      </c>
      <c r="H1309" s="41" t="n">
        <v>6.6</v>
      </c>
      <c r="I1309" s="31" t="s">
        <v>149</v>
      </c>
      <c r="J1309" s="31" t="n">
        <v>5</v>
      </c>
      <c r="K1309" s="31" t="s">
        <v>150</v>
      </c>
      <c r="L1309" s="45" t="n">
        <f aca="false">DATE(YEAR(B1309),MONTH(B1309),1)</f>
        <v>46204</v>
      </c>
      <c r="M1309" s="31" t="n">
        <f aca="false">WEEKDAY(B1309,2)</f>
        <v>7</v>
      </c>
      <c r="N1309" s="31" t="str">
        <f aca="false">IF(G1309&lt;=INDEX(Assumptions!$B$15:$B$18,MATCH(E1309,Assumptions!$A$15:$A$18,0)),"Yes","No")</f>
        <v>Yes</v>
      </c>
      <c r="O1309" s="31" t="str">
        <f aca="false">IF(H1309="","Open",IF(H1309&lt;=INDEX(Assumptions!$C$15:$C$18,MATCH(E1309,Assumptions!$A$15:$A$18,0)),"Yes","No"))</f>
        <v>Yes</v>
      </c>
    </row>
    <row r="1310" customFormat="false" ht="15" hidden="false" customHeight="false" outlineLevel="0" collapsed="false">
      <c r="A1310" s="31" t="s">
        <v>1460</v>
      </c>
      <c r="B1310" s="44" t="n">
        <v>46222</v>
      </c>
      <c r="C1310" s="31" t="s">
        <v>58</v>
      </c>
      <c r="D1310" s="31" t="s">
        <v>67</v>
      </c>
      <c r="E1310" s="31" t="s">
        <v>52</v>
      </c>
      <c r="F1310" s="31" t="s">
        <v>117</v>
      </c>
      <c r="G1310" s="31" t="n">
        <v>4</v>
      </c>
      <c r="H1310" s="41" t="n">
        <v>10</v>
      </c>
      <c r="I1310" s="31" t="s">
        <v>149</v>
      </c>
      <c r="J1310" s="31" t="n">
        <v>4</v>
      </c>
      <c r="K1310" s="31" t="s">
        <v>150</v>
      </c>
      <c r="L1310" s="45" t="n">
        <f aca="false">DATE(YEAR(B1310),MONTH(B1310),1)</f>
        <v>46204</v>
      </c>
      <c r="M1310" s="31" t="n">
        <f aca="false">WEEKDAY(B1310,2)</f>
        <v>7</v>
      </c>
      <c r="N1310" s="31" t="str">
        <f aca="false">IF(G1310&lt;=INDEX(Assumptions!$B$15:$B$18,MATCH(E1310,Assumptions!$A$15:$A$18,0)),"Yes","No")</f>
        <v>Yes</v>
      </c>
      <c r="O1310" s="31" t="str">
        <f aca="false">IF(H1310="","Open",IF(H1310&lt;=INDEX(Assumptions!$C$15:$C$18,MATCH(E1310,Assumptions!$A$15:$A$18,0)),"Yes","No"))</f>
        <v>Yes</v>
      </c>
    </row>
    <row r="1311" customFormat="false" ht="15" hidden="false" customHeight="false" outlineLevel="0" collapsed="false">
      <c r="A1311" s="31" t="s">
        <v>1461</v>
      </c>
      <c r="B1311" s="44" t="n">
        <v>46222</v>
      </c>
      <c r="C1311" s="31" t="s">
        <v>57</v>
      </c>
      <c r="D1311" s="31" t="s">
        <v>65</v>
      </c>
      <c r="E1311" s="31" t="s">
        <v>52</v>
      </c>
      <c r="F1311" s="31" t="s">
        <v>136</v>
      </c>
      <c r="G1311" s="31" t="n">
        <v>6</v>
      </c>
      <c r="H1311" s="41" t="n">
        <v>46</v>
      </c>
      <c r="I1311" s="31" t="s">
        <v>149</v>
      </c>
      <c r="J1311" s="31" t="n">
        <v>5</v>
      </c>
      <c r="K1311" s="31" t="s">
        <v>150</v>
      </c>
      <c r="L1311" s="45" t="n">
        <f aca="false">DATE(YEAR(B1311),MONTH(B1311),1)</f>
        <v>46204</v>
      </c>
      <c r="M1311" s="31" t="n">
        <f aca="false">WEEKDAY(B1311,2)</f>
        <v>7</v>
      </c>
      <c r="N1311" s="31" t="str">
        <f aca="false">IF(G1311&lt;=INDEX(Assumptions!$B$15:$B$18,MATCH(E1311,Assumptions!$A$15:$A$18,0)),"Yes","No")</f>
        <v>Yes</v>
      </c>
      <c r="O1311" s="31" t="str">
        <f aca="false">IF(H1311="","Open",IF(H1311&lt;=INDEX(Assumptions!$C$15:$C$18,MATCH(E1311,Assumptions!$A$15:$A$18,0)),"Yes","No"))</f>
        <v>Yes</v>
      </c>
    </row>
    <row r="1312" customFormat="false" ht="15" hidden="false" customHeight="false" outlineLevel="0" collapsed="false">
      <c r="A1312" s="31" t="s">
        <v>1462</v>
      </c>
      <c r="B1312" s="44" t="n">
        <v>46222</v>
      </c>
      <c r="C1312" s="31" t="s">
        <v>60</v>
      </c>
      <c r="D1312" s="31" t="s">
        <v>65</v>
      </c>
      <c r="E1312" s="31" t="s">
        <v>51</v>
      </c>
      <c r="F1312" s="31" t="s">
        <v>133</v>
      </c>
      <c r="G1312" s="31" t="n">
        <v>2</v>
      </c>
      <c r="H1312" s="41" t="n">
        <v>15.8</v>
      </c>
      <c r="I1312" s="31" t="s">
        <v>149</v>
      </c>
      <c r="J1312" s="31"/>
      <c r="K1312" s="31" t="s">
        <v>150</v>
      </c>
      <c r="L1312" s="45" t="n">
        <f aca="false">DATE(YEAR(B1312),MONTH(B1312),1)</f>
        <v>46204</v>
      </c>
      <c r="M1312" s="31" t="n">
        <f aca="false">WEEKDAY(B1312,2)</f>
        <v>7</v>
      </c>
      <c r="N1312" s="31" t="str">
        <f aca="false">IF(G1312&lt;=INDEX(Assumptions!$B$15:$B$18,MATCH(E1312,Assumptions!$A$15:$A$18,0)),"Yes","No")</f>
        <v>Yes</v>
      </c>
      <c r="O1312" s="31" t="str">
        <f aca="false">IF(H1312="","Open",IF(H1312&lt;=INDEX(Assumptions!$C$15:$C$18,MATCH(E1312,Assumptions!$A$15:$A$18,0)),"Yes","No"))</f>
        <v>Yes</v>
      </c>
    </row>
    <row r="1313" customFormat="false" ht="15" hidden="false" customHeight="false" outlineLevel="0" collapsed="false">
      <c r="A1313" s="31" t="s">
        <v>1463</v>
      </c>
      <c r="B1313" s="44" t="n">
        <v>46222</v>
      </c>
      <c r="C1313" s="31" t="s">
        <v>60</v>
      </c>
      <c r="D1313" s="31" t="s">
        <v>66</v>
      </c>
      <c r="E1313" s="31" t="s">
        <v>51</v>
      </c>
      <c r="F1313" s="31" t="s">
        <v>134</v>
      </c>
      <c r="G1313" s="31" t="n">
        <v>2</v>
      </c>
      <c r="H1313" s="41" t="n">
        <v>11.7</v>
      </c>
      <c r="I1313" s="31" t="s">
        <v>149</v>
      </c>
      <c r="J1313" s="31" t="n">
        <v>4</v>
      </c>
      <c r="K1313" s="31" t="s">
        <v>150</v>
      </c>
      <c r="L1313" s="45" t="n">
        <f aca="false">DATE(YEAR(B1313),MONTH(B1313),1)</f>
        <v>46204</v>
      </c>
      <c r="M1313" s="31" t="n">
        <f aca="false">WEEKDAY(B1313,2)</f>
        <v>7</v>
      </c>
      <c r="N1313" s="31" t="str">
        <f aca="false">IF(G1313&lt;=INDEX(Assumptions!$B$15:$B$18,MATCH(E1313,Assumptions!$A$15:$A$18,0)),"Yes","No")</f>
        <v>Yes</v>
      </c>
      <c r="O1313" s="31" t="str">
        <f aca="false">IF(H1313="","Open",IF(H1313&lt;=INDEX(Assumptions!$C$15:$C$18,MATCH(E1313,Assumptions!$A$15:$A$18,0)),"Yes","No"))</f>
        <v>Yes</v>
      </c>
    </row>
    <row r="1314" customFormat="false" ht="15" hidden="false" customHeight="false" outlineLevel="0" collapsed="false">
      <c r="A1314" s="31" t="s">
        <v>1464</v>
      </c>
      <c r="B1314" s="44" t="n">
        <v>46222</v>
      </c>
      <c r="C1314" s="31" t="s">
        <v>59</v>
      </c>
      <c r="D1314" s="31" t="s">
        <v>65</v>
      </c>
      <c r="E1314" s="31" t="s">
        <v>50</v>
      </c>
      <c r="F1314" s="31" t="s">
        <v>135</v>
      </c>
      <c r="G1314" s="31" t="n">
        <v>48</v>
      </c>
      <c r="H1314" s="41" t="n">
        <v>5.7</v>
      </c>
      <c r="I1314" s="31" t="s">
        <v>149</v>
      </c>
      <c r="J1314" s="31"/>
      <c r="K1314" s="31" t="s">
        <v>150</v>
      </c>
      <c r="L1314" s="45" t="n">
        <f aca="false">DATE(YEAR(B1314),MONTH(B1314),1)</f>
        <v>46204</v>
      </c>
      <c r="M1314" s="31" t="n">
        <f aca="false">WEEKDAY(B1314,2)</f>
        <v>7</v>
      </c>
      <c r="N1314" s="31" t="str">
        <f aca="false">IF(G1314&lt;=INDEX(Assumptions!$B$15:$B$18,MATCH(E1314,Assumptions!$A$15:$A$18,0)),"Yes","No")</f>
        <v>No</v>
      </c>
      <c r="O1314" s="31" t="str">
        <f aca="false">IF(H1314="","Open",IF(H1314&lt;=INDEX(Assumptions!$C$15:$C$18,MATCH(E1314,Assumptions!$A$15:$A$18,0)),"Yes","No"))</f>
        <v>Yes</v>
      </c>
    </row>
    <row r="1315" customFormat="false" ht="15" hidden="false" customHeight="false" outlineLevel="0" collapsed="false">
      <c r="A1315" s="31" t="s">
        <v>1465</v>
      </c>
      <c r="B1315" s="44" t="n">
        <v>46222</v>
      </c>
      <c r="C1315" s="31" t="s">
        <v>57</v>
      </c>
      <c r="D1315" s="31" t="s">
        <v>65</v>
      </c>
      <c r="E1315" s="31" t="s">
        <v>52</v>
      </c>
      <c r="F1315" s="31" t="s">
        <v>117</v>
      </c>
      <c r="G1315" s="31" t="n">
        <v>4</v>
      </c>
      <c r="H1315" s="41" t="n">
        <v>6</v>
      </c>
      <c r="I1315" s="31" t="s">
        <v>149</v>
      </c>
      <c r="J1315" s="31" t="n">
        <v>5</v>
      </c>
      <c r="K1315" s="31" t="s">
        <v>150</v>
      </c>
      <c r="L1315" s="45" t="n">
        <f aca="false">DATE(YEAR(B1315),MONTH(B1315),1)</f>
        <v>46204</v>
      </c>
      <c r="M1315" s="31" t="n">
        <f aca="false">WEEKDAY(B1315,2)</f>
        <v>7</v>
      </c>
      <c r="N1315" s="31" t="str">
        <f aca="false">IF(G1315&lt;=INDEX(Assumptions!$B$15:$B$18,MATCH(E1315,Assumptions!$A$15:$A$18,0)),"Yes","No")</f>
        <v>Yes</v>
      </c>
      <c r="O1315" s="31" t="str">
        <f aca="false">IF(H1315="","Open",IF(H1315&lt;=INDEX(Assumptions!$C$15:$C$18,MATCH(E1315,Assumptions!$A$15:$A$18,0)),"Yes","No"))</f>
        <v>Yes</v>
      </c>
    </row>
    <row r="1316" customFormat="false" ht="15" hidden="false" customHeight="false" outlineLevel="0" collapsed="false">
      <c r="A1316" s="31" t="s">
        <v>1466</v>
      </c>
      <c r="B1316" s="44" t="n">
        <v>46222</v>
      </c>
      <c r="C1316" s="31" t="s">
        <v>58</v>
      </c>
      <c r="D1316" s="31" t="s">
        <v>65</v>
      </c>
      <c r="E1316" s="31" t="s">
        <v>51</v>
      </c>
      <c r="F1316" s="31" t="s">
        <v>130</v>
      </c>
      <c r="G1316" s="31" t="n">
        <v>9</v>
      </c>
      <c r="H1316" s="41"/>
      <c r="I1316" s="31" t="s">
        <v>158</v>
      </c>
      <c r="J1316" s="31"/>
      <c r="K1316" s="31" t="s">
        <v>150</v>
      </c>
      <c r="L1316" s="45" t="n">
        <f aca="false">DATE(YEAR(B1316),MONTH(B1316),1)</f>
        <v>46204</v>
      </c>
      <c r="M1316" s="31" t="n">
        <f aca="false">WEEKDAY(B1316,2)</f>
        <v>7</v>
      </c>
      <c r="N1316" s="31" t="str">
        <f aca="false">IF(G1316&lt;=INDEX(Assumptions!$B$15:$B$18,MATCH(E1316,Assumptions!$A$15:$A$18,0)),"Yes","No")</f>
        <v>Yes</v>
      </c>
      <c r="O1316" s="31" t="str">
        <f aca="false">IF(H1316="","Open",IF(H1316&lt;=INDEX(Assumptions!$C$15:$C$18,MATCH(E1316,Assumptions!$A$15:$A$18,0)),"Yes","No"))</f>
        <v>Open</v>
      </c>
    </row>
    <row r="1317" customFormat="false" ht="15" hidden="false" customHeight="false" outlineLevel="0" collapsed="false">
      <c r="A1317" s="31" t="s">
        <v>1467</v>
      </c>
      <c r="B1317" s="44" t="n">
        <v>46222</v>
      </c>
      <c r="C1317" s="31" t="s">
        <v>59</v>
      </c>
      <c r="D1317" s="31" t="s">
        <v>67</v>
      </c>
      <c r="E1317" s="31" t="s">
        <v>50</v>
      </c>
      <c r="F1317" s="31" t="s">
        <v>127</v>
      </c>
      <c r="G1317" s="31" t="n">
        <v>21</v>
      </c>
      <c r="H1317" s="41" t="n">
        <v>14.7</v>
      </c>
      <c r="I1317" s="31" t="s">
        <v>149</v>
      </c>
      <c r="J1317" s="31"/>
      <c r="K1317" s="31" t="s">
        <v>150</v>
      </c>
      <c r="L1317" s="45" t="n">
        <f aca="false">DATE(YEAR(B1317),MONTH(B1317),1)</f>
        <v>46204</v>
      </c>
      <c r="M1317" s="31" t="n">
        <f aca="false">WEEKDAY(B1317,2)</f>
        <v>7</v>
      </c>
      <c r="N1317" s="31" t="str">
        <f aca="false">IF(G1317&lt;=INDEX(Assumptions!$B$15:$B$18,MATCH(E1317,Assumptions!$A$15:$A$18,0)),"Yes","No")</f>
        <v>Yes</v>
      </c>
      <c r="O1317" s="31" t="str">
        <f aca="false">IF(H1317="","Open",IF(H1317&lt;=INDEX(Assumptions!$C$15:$C$18,MATCH(E1317,Assumptions!$A$15:$A$18,0)),"Yes","No"))</f>
        <v>No</v>
      </c>
    </row>
    <row r="1318" customFormat="false" ht="15" hidden="false" customHeight="false" outlineLevel="0" collapsed="false">
      <c r="A1318" s="31" t="s">
        <v>1468</v>
      </c>
      <c r="B1318" s="44" t="n">
        <v>46222</v>
      </c>
      <c r="C1318" s="31" t="s">
        <v>57</v>
      </c>
      <c r="D1318" s="31" t="s">
        <v>66</v>
      </c>
      <c r="E1318" s="31" t="s">
        <v>51</v>
      </c>
      <c r="F1318" s="31" t="s">
        <v>124</v>
      </c>
      <c r="G1318" s="31" t="n">
        <v>6</v>
      </c>
      <c r="H1318" s="41" t="n">
        <v>8.3</v>
      </c>
      <c r="I1318" s="31" t="s">
        <v>149</v>
      </c>
      <c r="J1318" s="31" t="n">
        <v>4</v>
      </c>
      <c r="K1318" s="31" t="s">
        <v>150</v>
      </c>
      <c r="L1318" s="45" t="n">
        <f aca="false">DATE(YEAR(B1318),MONTH(B1318),1)</f>
        <v>46204</v>
      </c>
      <c r="M1318" s="31" t="n">
        <f aca="false">WEEKDAY(B1318,2)</f>
        <v>7</v>
      </c>
      <c r="N1318" s="31" t="str">
        <f aca="false">IF(G1318&lt;=INDEX(Assumptions!$B$15:$B$18,MATCH(E1318,Assumptions!$A$15:$A$18,0)),"Yes","No")</f>
        <v>Yes</v>
      </c>
      <c r="O1318" s="31" t="str">
        <f aca="false">IF(H1318="","Open",IF(H1318&lt;=INDEX(Assumptions!$C$15:$C$18,MATCH(E1318,Assumptions!$A$15:$A$18,0)),"Yes","No"))</f>
        <v>Yes</v>
      </c>
    </row>
    <row r="1319" customFormat="false" ht="15" hidden="false" customHeight="false" outlineLevel="0" collapsed="false">
      <c r="A1319" s="31" t="s">
        <v>1469</v>
      </c>
      <c r="B1319" s="44" t="n">
        <v>46222</v>
      </c>
      <c r="C1319" s="31" t="s">
        <v>58</v>
      </c>
      <c r="D1319" s="31" t="s">
        <v>66</v>
      </c>
      <c r="E1319" s="31" t="s">
        <v>52</v>
      </c>
      <c r="F1319" s="31" t="s">
        <v>123</v>
      </c>
      <c r="G1319" s="31" t="n">
        <v>19</v>
      </c>
      <c r="H1319" s="41" t="n">
        <v>14.1</v>
      </c>
      <c r="I1319" s="31" t="s">
        <v>149</v>
      </c>
      <c r="J1319" s="31"/>
      <c r="K1319" s="31" t="s">
        <v>150</v>
      </c>
      <c r="L1319" s="45" t="n">
        <f aca="false">DATE(YEAR(B1319),MONTH(B1319),1)</f>
        <v>46204</v>
      </c>
      <c r="M1319" s="31" t="n">
        <f aca="false">WEEKDAY(B1319,2)</f>
        <v>7</v>
      </c>
      <c r="N1319" s="31" t="str">
        <f aca="false">IF(G1319&lt;=INDEX(Assumptions!$B$15:$B$18,MATCH(E1319,Assumptions!$A$15:$A$18,0)),"Yes","No")</f>
        <v>Yes</v>
      </c>
      <c r="O1319" s="31" t="str">
        <f aca="false">IF(H1319="","Open",IF(H1319&lt;=INDEX(Assumptions!$C$15:$C$18,MATCH(E1319,Assumptions!$A$15:$A$18,0)),"Yes","No"))</f>
        <v>Yes</v>
      </c>
    </row>
    <row r="1320" customFormat="false" ht="15" hidden="false" customHeight="false" outlineLevel="0" collapsed="false">
      <c r="A1320" s="31" t="s">
        <v>1470</v>
      </c>
      <c r="B1320" s="44" t="n">
        <v>46222</v>
      </c>
      <c r="C1320" s="31" t="s">
        <v>59</v>
      </c>
      <c r="D1320" s="31" t="s">
        <v>67</v>
      </c>
      <c r="E1320" s="31" t="s">
        <v>50</v>
      </c>
      <c r="F1320" s="31" t="s">
        <v>136</v>
      </c>
      <c r="G1320" s="31" t="n">
        <v>73</v>
      </c>
      <c r="H1320" s="41" t="n">
        <v>7.3</v>
      </c>
      <c r="I1320" s="31" t="s">
        <v>149</v>
      </c>
      <c r="J1320" s="31" t="n">
        <v>4</v>
      </c>
      <c r="K1320" s="31" t="s">
        <v>150</v>
      </c>
      <c r="L1320" s="45" t="n">
        <f aca="false">DATE(YEAR(B1320),MONTH(B1320),1)</f>
        <v>46204</v>
      </c>
      <c r="M1320" s="31" t="n">
        <f aca="false">WEEKDAY(B1320,2)</f>
        <v>7</v>
      </c>
      <c r="N1320" s="31" t="str">
        <f aca="false">IF(G1320&lt;=INDEX(Assumptions!$B$15:$B$18,MATCH(E1320,Assumptions!$A$15:$A$18,0)),"Yes","No")</f>
        <v>No</v>
      </c>
      <c r="O1320" s="31" t="str">
        <f aca="false">IF(H1320="","Open",IF(H1320&lt;=INDEX(Assumptions!$C$15:$C$18,MATCH(E1320,Assumptions!$A$15:$A$18,0)),"Yes","No"))</f>
        <v>Yes</v>
      </c>
    </row>
    <row r="1321" customFormat="false" ht="15" hidden="false" customHeight="false" outlineLevel="0" collapsed="false">
      <c r="A1321" s="31" t="s">
        <v>1471</v>
      </c>
      <c r="B1321" s="44" t="n">
        <v>46222</v>
      </c>
      <c r="C1321" s="31" t="s">
        <v>57</v>
      </c>
      <c r="D1321" s="31" t="s">
        <v>65</v>
      </c>
      <c r="E1321" s="31" t="s">
        <v>51</v>
      </c>
      <c r="F1321" s="31" t="s">
        <v>130</v>
      </c>
      <c r="G1321" s="31" t="n">
        <v>3</v>
      </c>
      <c r="H1321" s="41" t="n">
        <v>2.7</v>
      </c>
      <c r="I1321" s="31" t="s">
        <v>149</v>
      </c>
      <c r="J1321" s="31"/>
      <c r="K1321" s="31" t="s">
        <v>150</v>
      </c>
      <c r="L1321" s="45" t="n">
        <f aca="false">DATE(YEAR(B1321),MONTH(B1321),1)</f>
        <v>46204</v>
      </c>
      <c r="M1321" s="31" t="n">
        <f aca="false">WEEKDAY(B1321,2)</f>
        <v>7</v>
      </c>
      <c r="N1321" s="31" t="str">
        <f aca="false">IF(G1321&lt;=INDEX(Assumptions!$B$15:$B$18,MATCH(E1321,Assumptions!$A$15:$A$18,0)),"Yes","No")</f>
        <v>Yes</v>
      </c>
      <c r="O1321" s="31" t="str">
        <f aca="false">IF(H1321="","Open",IF(H1321&lt;=INDEX(Assumptions!$C$15:$C$18,MATCH(E1321,Assumptions!$A$15:$A$18,0)),"Yes","No"))</f>
        <v>Yes</v>
      </c>
    </row>
    <row r="1322" customFormat="false" ht="15" hidden="false" customHeight="false" outlineLevel="0" collapsed="false">
      <c r="A1322" s="31" t="s">
        <v>1472</v>
      </c>
      <c r="B1322" s="44" t="n">
        <v>46222</v>
      </c>
      <c r="C1322" s="31" t="s">
        <v>60</v>
      </c>
      <c r="D1322" s="31" t="s">
        <v>68</v>
      </c>
      <c r="E1322" s="31" t="s">
        <v>51</v>
      </c>
      <c r="F1322" s="31" t="s">
        <v>127</v>
      </c>
      <c r="G1322" s="31" t="n">
        <v>3</v>
      </c>
      <c r="H1322" s="41" t="n">
        <v>9.6</v>
      </c>
      <c r="I1322" s="31" t="s">
        <v>149</v>
      </c>
      <c r="J1322" s="31" t="n">
        <v>4</v>
      </c>
      <c r="K1322" s="31" t="s">
        <v>150</v>
      </c>
      <c r="L1322" s="45" t="n">
        <f aca="false">DATE(YEAR(B1322),MONTH(B1322),1)</f>
        <v>46204</v>
      </c>
      <c r="M1322" s="31" t="n">
        <f aca="false">WEEKDAY(B1322,2)</f>
        <v>7</v>
      </c>
      <c r="N1322" s="31" t="str">
        <f aca="false">IF(G1322&lt;=INDEX(Assumptions!$B$15:$B$18,MATCH(E1322,Assumptions!$A$15:$A$18,0)),"Yes","No")</f>
        <v>Yes</v>
      </c>
      <c r="O1322" s="31" t="str">
        <f aca="false">IF(H1322="","Open",IF(H1322&lt;=INDEX(Assumptions!$C$15:$C$18,MATCH(E1322,Assumptions!$A$15:$A$18,0)),"Yes","No"))</f>
        <v>Yes</v>
      </c>
    </row>
    <row r="1323" customFormat="false" ht="15" hidden="false" customHeight="false" outlineLevel="0" collapsed="false">
      <c r="A1323" s="31" t="s">
        <v>1473</v>
      </c>
      <c r="B1323" s="44" t="n">
        <v>46222</v>
      </c>
      <c r="C1323" s="31" t="s">
        <v>57</v>
      </c>
      <c r="D1323" s="31" t="s">
        <v>69</v>
      </c>
      <c r="E1323" s="31" t="s">
        <v>51</v>
      </c>
      <c r="F1323" s="31" t="s">
        <v>122</v>
      </c>
      <c r="G1323" s="31" t="n">
        <v>5</v>
      </c>
      <c r="H1323" s="41" t="n">
        <v>73.9</v>
      </c>
      <c r="I1323" s="31" t="s">
        <v>149</v>
      </c>
      <c r="J1323" s="31"/>
      <c r="K1323" s="31" t="s">
        <v>150</v>
      </c>
      <c r="L1323" s="45" t="n">
        <f aca="false">DATE(YEAR(B1323),MONTH(B1323),1)</f>
        <v>46204</v>
      </c>
      <c r="M1323" s="31" t="n">
        <f aca="false">WEEKDAY(B1323,2)</f>
        <v>7</v>
      </c>
      <c r="N1323" s="31" t="str">
        <f aca="false">IF(G1323&lt;=INDEX(Assumptions!$B$15:$B$18,MATCH(E1323,Assumptions!$A$15:$A$18,0)),"Yes","No")</f>
        <v>Yes</v>
      </c>
      <c r="O1323" s="31" t="str">
        <f aca="false">IF(H1323="","Open",IF(H1323&lt;=INDEX(Assumptions!$C$15:$C$18,MATCH(E1323,Assumptions!$A$15:$A$18,0)),"Yes","No"))</f>
        <v>No</v>
      </c>
    </row>
    <row r="1324" customFormat="false" ht="15" hidden="false" customHeight="false" outlineLevel="0" collapsed="false">
      <c r="A1324" s="31" t="s">
        <v>1474</v>
      </c>
      <c r="B1324" s="44" t="n">
        <v>46222</v>
      </c>
      <c r="C1324" s="31" t="s">
        <v>57</v>
      </c>
      <c r="D1324" s="31" t="s">
        <v>66</v>
      </c>
      <c r="E1324" s="31" t="s">
        <v>51</v>
      </c>
      <c r="F1324" s="31" t="s">
        <v>123</v>
      </c>
      <c r="G1324" s="31" t="n">
        <v>9</v>
      </c>
      <c r="H1324" s="41" t="n">
        <v>2.2</v>
      </c>
      <c r="I1324" s="31" t="s">
        <v>149</v>
      </c>
      <c r="J1324" s="31" t="n">
        <v>5</v>
      </c>
      <c r="K1324" s="31" t="s">
        <v>150</v>
      </c>
      <c r="L1324" s="45" t="n">
        <f aca="false">DATE(YEAR(B1324),MONTH(B1324),1)</f>
        <v>46204</v>
      </c>
      <c r="M1324" s="31" t="n">
        <f aca="false">WEEKDAY(B1324,2)</f>
        <v>7</v>
      </c>
      <c r="N1324" s="31" t="str">
        <f aca="false">IF(G1324&lt;=INDEX(Assumptions!$B$15:$B$18,MATCH(E1324,Assumptions!$A$15:$A$18,0)),"Yes","No")</f>
        <v>Yes</v>
      </c>
      <c r="O1324" s="31" t="str">
        <f aca="false">IF(H1324="","Open",IF(H1324&lt;=INDEX(Assumptions!$C$15:$C$18,MATCH(E1324,Assumptions!$A$15:$A$18,0)),"Yes","No"))</f>
        <v>Yes</v>
      </c>
    </row>
    <row r="1325" customFormat="false" ht="15" hidden="false" customHeight="false" outlineLevel="0" collapsed="false">
      <c r="A1325" s="31" t="s">
        <v>1475</v>
      </c>
      <c r="B1325" s="44" t="n">
        <v>46222</v>
      </c>
      <c r="C1325" s="31" t="s">
        <v>57</v>
      </c>
      <c r="D1325" s="31" t="s">
        <v>66</v>
      </c>
      <c r="E1325" s="31" t="s">
        <v>51</v>
      </c>
      <c r="F1325" s="31" t="s">
        <v>135</v>
      </c>
      <c r="G1325" s="31" t="n">
        <v>9</v>
      </c>
      <c r="H1325" s="41" t="n">
        <v>8.8</v>
      </c>
      <c r="I1325" s="31" t="s">
        <v>149</v>
      </c>
      <c r="J1325" s="31" t="n">
        <v>5</v>
      </c>
      <c r="K1325" s="31" t="s">
        <v>150</v>
      </c>
      <c r="L1325" s="45" t="n">
        <f aca="false">DATE(YEAR(B1325),MONTH(B1325),1)</f>
        <v>46204</v>
      </c>
      <c r="M1325" s="31" t="n">
        <f aca="false">WEEKDAY(B1325,2)</f>
        <v>7</v>
      </c>
      <c r="N1325" s="31" t="str">
        <f aca="false">IF(G1325&lt;=INDEX(Assumptions!$B$15:$B$18,MATCH(E1325,Assumptions!$A$15:$A$18,0)),"Yes","No")</f>
        <v>Yes</v>
      </c>
      <c r="O1325" s="31" t="str">
        <f aca="false">IF(H1325="","Open",IF(H1325&lt;=INDEX(Assumptions!$C$15:$C$18,MATCH(E1325,Assumptions!$A$15:$A$18,0)),"Yes","No"))</f>
        <v>Yes</v>
      </c>
    </row>
    <row r="1326" customFormat="false" ht="15" hidden="false" customHeight="false" outlineLevel="0" collapsed="false">
      <c r="A1326" s="31" t="s">
        <v>1476</v>
      </c>
      <c r="B1326" s="44" t="n">
        <v>46222</v>
      </c>
      <c r="C1326" s="31" t="s">
        <v>59</v>
      </c>
      <c r="D1326" s="31" t="s">
        <v>68</v>
      </c>
      <c r="E1326" s="31" t="s">
        <v>52</v>
      </c>
      <c r="F1326" s="31" t="s">
        <v>121</v>
      </c>
      <c r="G1326" s="31" t="n">
        <v>120</v>
      </c>
      <c r="H1326" s="41" t="n">
        <v>10.3</v>
      </c>
      <c r="I1326" s="31" t="s">
        <v>149</v>
      </c>
      <c r="J1326" s="31"/>
      <c r="K1326" s="31" t="s">
        <v>150</v>
      </c>
      <c r="L1326" s="45" t="n">
        <f aca="false">DATE(YEAR(B1326),MONTH(B1326),1)</f>
        <v>46204</v>
      </c>
      <c r="M1326" s="31" t="n">
        <f aca="false">WEEKDAY(B1326,2)</f>
        <v>7</v>
      </c>
      <c r="N1326" s="31" t="str">
        <f aca="false">IF(G1326&lt;=INDEX(Assumptions!$B$15:$B$18,MATCH(E1326,Assumptions!$A$15:$A$18,0)),"Yes","No")</f>
        <v>Yes</v>
      </c>
      <c r="O1326" s="31" t="str">
        <f aca="false">IF(H1326="","Open",IF(H1326&lt;=INDEX(Assumptions!$C$15:$C$18,MATCH(E1326,Assumptions!$A$15:$A$18,0)),"Yes","No"))</f>
        <v>Yes</v>
      </c>
    </row>
    <row r="1327" customFormat="false" ht="15" hidden="false" customHeight="false" outlineLevel="0" collapsed="false">
      <c r="A1327" s="31" t="s">
        <v>1477</v>
      </c>
      <c r="B1327" s="44" t="n">
        <v>46222</v>
      </c>
      <c r="C1327" s="31" t="s">
        <v>58</v>
      </c>
      <c r="D1327" s="31" t="s">
        <v>65</v>
      </c>
      <c r="E1327" s="31" t="s">
        <v>51</v>
      </c>
      <c r="F1327" s="31" t="s">
        <v>121</v>
      </c>
      <c r="G1327" s="31" t="n">
        <v>34</v>
      </c>
      <c r="H1327" s="41" t="n">
        <v>7.6</v>
      </c>
      <c r="I1327" s="31" t="s">
        <v>149</v>
      </c>
      <c r="J1327" s="31" t="n">
        <v>3</v>
      </c>
      <c r="K1327" s="31" t="s">
        <v>150</v>
      </c>
      <c r="L1327" s="45" t="n">
        <f aca="false">DATE(YEAR(B1327),MONTH(B1327),1)</f>
        <v>46204</v>
      </c>
      <c r="M1327" s="31" t="n">
        <f aca="false">WEEKDAY(B1327,2)</f>
        <v>7</v>
      </c>
      <c r="N1327" s="31" t="str">
        <f aca="false">IF(G1327&lt;=INDEX(Assumptions!$B$15:$B$18,MATCH(E1327,Assumptions!$A$15:$A$18,0)),"Yes","No")</f>
        <v>Yes</v>
      </c>
      <c r="O1327" s="31" t="str">
        <f aca="false">IF(H1327="","Open",IF(H1327&lt;=INDEX(Assumptions!$C$15:$C$18,MATCH(E1327,Assumptions!$A$15:$A$18,0)),"Yes","No"))</f>
        <v>Yes</v>
      </c>
    </row>
    <row r="1328" customFormat="false" ht="15" hidden="false" customHeight="false" outlineLevel="0" collapsed="false">
      <c r="A1328" s="31" t="s">
        <v>1478</v>
      </c>
      <c r="B1328" s="44" t="n">
        <v>46222</v>
      </c>
      <c r="C1328" s="31" t="s">
        <v>58</v>
      </c>
      <c r="D1328" s="31" t="s">
        <v>66</v>
      </c>
      <c r="E1328" s="31" t="s">
        <v>52</v>
      </c>
      <c r="F1328" s="31" t="s">
        <v>121</v>
      </c>
      <c r="G1328" s="31" t="n">
        <v>16</v>
      </c>
      <c r="H1328" s="41" t="n">
        <v>2.6</v>
      </c>
      <c r="I1328" s="31" t="s">
        <v>149</v>
      </c>
      <c r="J1328" s="31" t="n">
        <v>4</v>
      </c>
      <c r="K1328" s="31" t="s">
        <v>150</v>
      </c>
      <c r="L1328" s="45" t="n">
        <f aca="false">DATE(YEAR(B1328),MONTH(B1328),1)</f>
        <v>46204</v>
      </c>
      <c r="M1328" s="31" t="n">
        <f aca="false">WEEKDAY(B1328,2)</f>
        <v>7</v>
      </c>
      <c r="N1328" s="31" t="str">
        <f aca="false">IF(G1328&lt;=INDEX(Assumptions!$B$15:$B$18,MATCH(E1328,Assumptions!$A$15:$A$18,0)),"Yes","No")</f>
        <v>Yes</v>
      </c>
      <c r="O1328" s="31" t="str">
        <f aca="false">IF(H1328="","Open",IF(H1328&lt;=INDEX(Assumptions!$C$15:$C$18,MATCH(E1328,Assumptions!$A$15:$A$18,0)),"Yes","No"))</f>
        <v>Yes</v>
      </c>
    </row>
    <row r="1329" customFormat="false" ht="15" hidden="false" customHeight="false" outlineLevel="0" collapsed="false">
      <c r="A1329" s="31" t="s">
        <v>1479</v>
      </c>
      <c r="B1329" s="44" t="n">
        <v>46222</v>
      </c>
      <c r="C1329" s="31" t="s">
        <v>57</v>
      </c>
      <c r="D1329" s="31" t="s">
        <v>68</v>
      </c>
      <c r="E1329" s="31" t="s">
        <v>50</v>
      </c>
      <c r="F1329" s="31" t="s">
        <v>126</v>
      </c>
      <c r="G1329" s="31" t="n">
        <v>2</v>
      </c>
      <c r="H1329" s="41" t="n">
        <v>1</v>
      </c>
      <c r="I1329" s="31" t="s">
        <v>149</v>
      </c>
      <c r="J1329" s="31"/>
      <c r="K1329" s="31" t="s">
        <v>150</v>
      </c>
      <c r="L1329" s="45" t="n">
        <f aca="false">DATE(YEAR(B1329),MONTH(B1329),1)</f>
        <v>46204</v>
      </c>
      <c r="M1329" s="31" t="n">
        <f aca="false">WEEKDAY(B1329,2)</f>
        <v>7</v>
      </c>
      <c r="N1329" s="31" t="str">
        <f aca="false">IF(G1329&lt;=INDEX(Assumptions!$B$15:$B$18,MATCH(E1329,Assumptions!$A$15:$A$18,0)),"Yes","No")</f>
        <v>Yes</v>
      </c>
      <c r="O1329" s="31" t="str">
        <f aca="false">IF(H1329="","Open",IF(H1329&lt;=INDEX(Assumptions!$C$15:$C$18,MATCH(E1329,Assumptions!$A$15:$A$18,0)),"Yes","No"))</f>
        <v>Yes</v>
      </c>
    </row>
    <row r="1330" customFormat="false" ht="15" hidden="false" customHeight="false" outlineLevel="0" collapsed="false">
      <c r="A1330" s="31" t="s">
        <v>1480</v>
      </c>
      <c r="B1330" s="44" t="n">
        <v>46222</v>
      </c>
      <c r="C1330" s="31" t="s">
        <v>59</v>
      </c>
      <c r="D1330" s="31" t="s">
        <v>66</v>
      </c>
      <c r="E1330" s="31" t="s">
        <v>52</v>
      </c>
      <c r="F1330" s="31" t="s">
        <v>127</v>
      </c>
      <c r="G1330" s="31" t="n">
        <v>72</v>
      </c>
      <c r="H1330" s="41" t="n">
        <v>6.5</v>
      </c>
      <c r="I1330" s="31" t="s">
        <v>149</v>
      </c>
      <c r="J1330" s="31" t="n">
        <v>5</v>
      </c>
      <c r="K1330" s="31" t="s">
        <v>150</v>
      </c>
      <c r="L1330" s="45" t="n">
        <f aca="false">DATE(YEAR(B1330),MONTH(B1330),1)</f>
        <v>46204</v>
      </c>
      <c r="M1330" s="31" t="n">
        <f aca="false">WEEKDAY(B1330,2)</f>
        <v>7</v>
      </c>
      <c r="N1330" s="31" t="str">
        <f aca="false">IF(G1330&lt;=INDEX(Assumptions!$B$15:$B$18,MATCH(E1330,Assumptions!$A$15:$A$18,0)),"Yes","No")</f>
        <v>Yes</v>
      </c>
      <c r="O1330" s="31" t="str">
        <f aca="false">IF(H1330="","Open",IF(H1330&lt;=INDEX(Assumptions!$C$15:$C$18,MATCH(E1330,Assumptions!$A$15:$A$18,0)),"Yes","No"))</f>
        <v>Yes</v>
      </c>
    </row>
    <row r="1331" customFormat="false" ht="15" hidden="false" customHeight="false" outlineLevel="0" collapsed="false">
      <c r="A1331" s="31" t="s">
        <v>1481</v>
      </c>
      <c r="B1331" s="44" t="n">
        <v>46222</v>
      </c>
      <c r="C1331" s="31" t="s">
        <v>57</v>
      </c>
      <c r="D1331" s="31" t="s">
        <v>66</v>
      </c>
      <c r="E1331" s="31" t="s">
        <v>51</v>
      </c>
      <c r="F1331" s="31" t="s">
        <v>129</v>
      </c>
      <c r="G1331" s="31" t="n">
        <v>10</v>
      </c>
      <c r="H1331" s="41" t="n">
        <v>4.3</v>
      </c>
      <c r="I1331" s="31" t="s">
        <v>149</v>
      </c>
      <c r="J1331" s="31" t="n">
        <v>5</v>
      </c>
      <c r="K1331" s="31" t="s">
        <v>150</v>
      </c>
      <c r="L1331" s="45" t="n">
        <f aca="false">DATE(YEAR(B1331),MONTH(B1331),1)</f>
        <v>46204</v>
      </c>
      <c r="M1331" s="31" t="n">
        <f aca="false">WEEKDAY(B1331,2)</f>
        <v>7</v>
      </c>
      <c r="N1331" s="31" t="str">
        <f aca="false">IF(G1331&lt;=INDEX(Assumptions!$B$15:$B$18,MATCH(E1331,Assumptions!$A$15:$A$18,0)),"Yes","No")</f>
        <v>Yes</v>
      </c>
      <c r="O1331" s="31" t="str">
        <f aca="false">IF(H1331="","Open",IF(H1331&lt;=INDEX(Assumptions!$C$15:$C$18,MATCH(E1331,Assumptions!$A$15:$A$18,0)),"Yes","No"))</f>
        <v>Yes</v>
      </c>
    </row>
    <row r="1332" customFormat="false" ht="15" hidden="false" customHeight="false" outlineLevel="0" collapsed="false">
      <c r="A1332" s="31" t="s">
        <v>1482</v>
      </c>
      <c r="B1332" s="44" t="n">
        <v>46222</v>
      </c>
      <c r="C1332" s="31" t="s">
        <v>59</v>
      </c>
      <c r="D1332" s="31" t="s">
        <v>66</v>
      </c>
      <c r="E1332" s="31" t="s">
        <v>51</v>
      </c>
      <c r="F1332" s="31" t="s">
        <v>133</v>
      </c>
      <c r="G1332" s="31" t="n">
        <v>205</v>
      </c>
      <c r="H1332" s="41" t="n">
        <v>3.3</v>
      </c>
      <c r="I1332" s="31" t="s">
        <v>149</v>
      </c>
      <c r="J1332" s="31"/>
      <c r="K1332" s="31" t="s">
        <v>150</v>
      </c>
      <c r="L1332" s="45" t="n">
        <f aca="false">DATE(YEAR(B1332),MONTH(B1332),1)</f>
        <v>46204</v>
      </c>
      <c r="M1332" s="31" t="n">
        <f aca="false">WEEKDAY(B1332,2)</f>
        <v>7</v>
      </c>
      <c r="N1332" s="31" t="str">
        <f aca="false">IF(G1332&lt;=INDEX(Assumptions!$B$15:$B$18,MATCH(E1332,Assumptions!$A$15:$A$18,0)),"Yes","No")</f>
        <v>No</v>
      </c>
      <c r="O1332" s="31" t="str">
        <f aca="false">IF(H1332="","Open",IF(H1332&lt;=INDEX(Assumptions!$C$15:$C$18,MATCH(E1332,Assumptions!$A$15:$A$18,0)),"Yes","No"))</f>
        <v>Yes</v>
      </c>
    </row>
    <row r="1333" customFormat="false" ht="15" hidden="false" customHeight="false" outlineLevel="0" collapsed="false">
      <c r="A1333" s="31" t="s">
        <v>1483</v>
      </c>
      <c r="B1333" s="44" t="n">
        <v>46222</v>
      </c>
      <c r="C1333" s="31" t="s">
        <v>59</v>
      </c>
      <c r="D1333" s="31" t="s">
        <v>66</v>
      </c>
      <c r="E1333" s="31" t="s">
        <v>52</v>
      </c>
      <c r="F1333" s="31" t="s">
        <v>136</v>
      </c>
      <c r="G1333" s="31" t="n">
        <v>108</v>
      </c>
      <c r="H1333" s="41" t="n">
        <v>6.3</v>
      </c>
      <c r="I1333" s="31" t="s">
        <v>149</v>
      </c>
      <c r="J1333" s="31" t="n">
        <v>4</v>
      </c>
      <c r="K1333" s="31" t="s">
        <v>150</v>
      </c>
      <c r="L1333" s="45" t="n">
        <f aca="false">DATE(YEAR(B1333),MONTH(B1333),1)</f>
        <v>46204</v>
      </c>
      <c r="M1333" s="31" t="n">
        <f aca="false">WEEKDAY(B1333,2)</f>
        <v>7</v>
      </c>
      <c r="N1333" s="31" t="str">
        <f aca="false">IF(G1333&lt;=INDEX(Assumptions!$B$15:$B$18,MATCH(E1333,Assumptions!$A$15:$A$18,0)),"Yes","No")</f>
        <v>Yes</v>
      </c>
      <c r="O1333" s="31" t="str">
        <f aca="false">IF(H1333="","Open",IF(H1333&lt;=INDEX(Assumptions!$C$15:$C$18,MATCH(E1333,Assumptions!$A$15:$A$18,0)),"Yes","No"))</f>
        <v>Yes</v>
      </c>
    </row>
    <row r="1334" customFormat="false" ht="15" hidden="false" customHeight="false" outlineLevel="0" collapsed="false">
      <c r="A1334" s="31" t="s">
        <v>1484</v>
      </c>
      <c r="B1334" s="44" t="n">
        <v>46222</v>
      </c>
      <c r="C1334" s="31" t="s">
        <v>58</v>
      </c>
      <c r="D1334" s="31" t="s">
        <v>65</v>
      </c>
      <c r="E1334" s="31" t="s">
        <v>49</v>
      </c>
      <c r="F1334" s="31" t="s">
        <v>122</v>
      </c>
      <c r="G1334" s="31" t="n">
        <v>7</v>
      </c>
      <c r="H1334" s="41" t="n">
        <v>6.9</v>
      </c>
      <c r="I1334" s="31" t="s">
        <v>149</v>
      </c>
      <c r="J1334" s="31"/>
      <c r="K1334" s="31" t="s">
        <v>150</v>
      </c>
      <c r="L1334" s="45" t="n">
        <f aca="false">DATE(YEAR(B1334),MONTH(B1334),1)</f>
        <v>46204</v>
      </c>
      <c r="M1334" s="31" t="n">
        <f aca="false">WEEKDAY(B1334,2)</f>
        <v>7</v>
      </c>
      <c r="N1334" s="31" t="str">
        <f aca="false">IF(G1334&lt;=INDEX(Assumptions!$B$15:$B$18,MATCH(E1334,Assumptions!$A$15:$A$18,0)),"Yes","No")</f>
        <v>Yes</v>
      </c>
      <c r="O1334" s="31" t="str">
        <f aca="false">IF(H1334="","Open",IF(H1334&lt;=INDEX(Assumptions!$C$15:$C$18,MATCH(E1334,Assumptions!$A$15:$A$18,0)),"Yes","No"))</f>
        <v>No</v>
      </c>
    </row>
    <row r="1335" customFormat="false" ht="15" hidden="false" customHeight="false" outlineLevel="0" collapsed="false">
      <c r="A1335" s="31" t="s">
        <v>1485</v>
      </c>
      <c r="B1335" s="44" t="n">
        <v>46222</v>
      </c>
      <c r="C1335" s="31" t="s">
        <v>60</v>
      </c>
      <c r="D1335" s="31" t="s">
        <v>68</v>
      </c>
      <c r="E1335" s="31" t="s">
        <v>51</v>
      </c>
      <c r="F1335" s="31" t="s">
        <v>129</v>
      </c>
      <c r="G1335" s="31" t="n">
        <v>1</v>
      </c>
      <c r="H1335" s="41" t="n">
        <v>7.2</v>
      </c>
      <c r="I1335" s="31" t="s">
        <v>149</v>
      </c>
      <c r="J1335" s="31"/>
      <c r="K1335" s="31" t="s">
        <v>150</v>
      </c>
      <c r="L1335" s="45" t="n">
        <f aca="false">DATE(YEAR(B1335),MONTH(B1335),1)</f>
        <v>46204</v>
      </c>
      <c r="M1335" s="31" t="n">
        <f aca="false">WEEKDAY(B1335,2)</f>
        <v>7</v>
      </c>
      <c r="N1335" s="31" t="str">
        <f aca="false">IF(G1335&lt;=INDEX(Assumptions!$B$15:$B$18,MATCH(E1335,Assumptions!$A$15:$A$18,0)),"Yes","No")</f>
        <v>Yes</v>
      </c>
      <c r="O1335" s="31" t="str">
        <f aca="false">IF(H1335="","Open",IF(H1335&lt;=INDEX(Assumptions!$C$15:$C$18,MATCH(E1335,Assumptions!$A$15:$A$18,0)),"Yes","No"))</f>
        <v>Yes</v>
      </c>
    </row>
    <row r="1336" customFormat="false" ht="15" hidden="false" customHeight="false" outlineLevel="0" collapsed="false">
      <c r="A1336" s="31" t="s">
        <v>1486</v>
      </c>
      <c r="B1336" s="44" t="n">
        <v>46222</v>
      </c>
      <c r="C1336" s="31" t="s">
        <v>60</v>
      </c>
      <c r="D1336" s="31" t="s">
        <v>65</v>
      </c>
      <c r="E1336" s="31" t="s">
        <v>50</v>
      </c>
      <c r="F1336" s="31" t="s">
        <v>126</v>
      </c>
      <c r="G1336" s="31" t="n">
        <v>1</v>
      </c>
      <c r="H1336" s="41" t="n">
        <v>0.8</v>
      </c>
      <c r="I1336" s="31" t="s">
        <v>149</v>
      </c>
      <c r="J1336" s="31" t="n">
        <v>5</v>
      </c>
      <c r="K1336" s="31" t="s">
        <v>150</v>
      </c>
      <c r="L1336" s="45" t="n">
        <f aca="false">DATE(YEAR(B1336),MONTH(B1336),1)</f>
        <v>46204</v>
      </c>
      <c r="M1336" s="31" t="n">
        <f aca="false">WEEKDAY(B1336,2)</f>
        <v>7</v>
      </c>
      <c r="N1336" s="31" t="str">
        <f aca="false">IF(G1336&lt;=INDEX(Assumptions!$B$15:$B$18,MATCH(E1336,Assumptions!$A$15:$A$18,0)),"Yes","No")</f>
        <v>Yes</v>
      </c>
      <c r="O1336" s="31" t="str">
        <f aca="false">IF(H1336="","Open",IF(H1336&lt;=INDEX(Assumptions!$C$15:$C$18,MATCH(E1336,Assumptions!$A$15:$A$18,0)),"Yes","No"))</f>
        <v>Yes</v>
      </c>
    </row>
    <row r="1337" customFormat="false" ht="15" hidden="false" customHeight="false" outlineLevel="0" collapsed="false">
      <c r="A1337" s="31" t="s">
        <v>1487</v>
      </c>
      <c r="B1337" s="44" t="n">
        <v>46222</v>
      </c>
      <c r="C1337" s="31" t="s">
        <v>58</v>
      </c>
      <c r="D1337" s="31" t="s">
        <v>65</v>
      </c>
      <c r="E1337" s="31" t="s">
        <v>51</v>
      </c>
      <c r="F1337" s="31" t="s">
        <v>131</v>
      </c>
      <c r="G1337" s="31" t="n">
        <v>4</v>
      </c>
      <c r="H1337" s="41" t="n">
        <v>6.7</v>
      </c>
      <c r="I1337" s="31" t="s">
        <v>64</v>
      </c>
      <c r="J1337" s="31" t="n">
        <v>4</v>
      </c>
      <c r="K1337" s="31" t="s">
        <v>150</v>
      </c>
      <c r="L1337" s="45" t="n">
        <f aca="false">DATE(YEAR(B1337),MONTH(B1337),1)</f>
        <v>46204</v>
      </c>
      <c r="M1337" s="31" t="n">
        <f aca="false">WEEKDAY(B1337,2)</f>
        <v>7</v>
      </c>
      <c r="N1337" s="31" t="str">
        <f aca="false">IF(G1337&lt;=INDEX(Assumptions!$B$15:$B$18,MATCH(E1337,Assumptions!$A$15:$A$18,0)),"Yes","No")</f>
        <v>Yes</v>
      </c>
      <c r="O1337" s="31" t="str">
        <f aca="false">IF(H1337="","Open",IF(H1337&lt;=INDEX(Assumptions!$C$15:$C$18,MATCH(E1337,Assumptions!$A$15:$A$18,0)),"Yes","No"))</f>
        <v>Yes</v>
      </c>
    </row>
    <row r="1338" customFormat="false" ht="15" hidden="false" customHeight="false" outlineLevel="0" collapsed="false">
      <c r="A1338" s="31" t="s">
        <v>1488</v>
      </c>
      <c r="B1338" s="44" t="n">
        <v>46223</v>
      </c>
      <c r="C1338" s="31" t="s">
        <v>59</v>
      </c>
      <c r="D1338" s="31" t="s">
        <v>66</v>
      </c>
      <c r="E1338" s="31" t="s">
        <v>52</v>
      </c>
      <c r="F1338" s="31" t="s">
        <v>131</v>
      </c>
      <c r="G1338" s="31" t="n">
        <v>49</v>
      </c>
      <c r="H1338" s="41" t="n">
        <v>8.6</v>
      </c>
      <c r="I1338" s="31" t="s">
        <v>149</v>
      </c>
      <c r="J1338" s="31"/>
      <c r="K1338" s="31" t="s">
        <v>150</v>
      </c>
      <c r="L1338" s="45" t="n">
        <f aca="false">DATE(YEAR(B1338),MONTH(B1338),1)</f>
        <v>46204</v>
      </c>
      <c r="M1338" s="31" t="n">
        <f aca="false">WEEKDAY(B1338,2)</f>
        <v>1</v>
      </c>
      <c r="N1338" s="31" t="str">
        <f aca="false">IF(G1338&lt;=INDEX(Assumptions!$B$15:$B$18,MATCH(E1338,Assumptions!$A$15:$A$18,0)),"Yes","No")</f>
        <v>Yes</v>
      </c>
      <c r="O1338" s="31" t="str">
        <f aca="false">IF(H1338="","Open",IF(H1338&lt;=INDEX(Assumptions!$C$15:$C$18,MATCH(E1338,Assumptions!$A$15:$A$18,0)),"Yes","No"))</f>
        <v>Yes</v>
      </c>
    </row>
    <row r="1339" customFormat="false" ht="15" hidden="false" customHeight="false" outlineLevel="0" collapsed="false">
      <c r="A1339" s="31" t="s">
        <v>1489</v>
      </c>
      <c r="B1339" s="44" t="n">
        <v>46223</v>
      </c>
      <c r="C1339" s="31" t="s">
        <v>59</v>
      </c>
      <c r="D1339" s="31" t="s">
        <v>65</v>
      </c>
      <c r="E1339" s="31" t="s">
        <v>51</v>
      </c>
      <c r="F1339" s="31" t="s">
        <v>120</v>
      </c>
      <c r="G1339" s="31" t="n">
        <v>81</v>
      </c>
      <c r="H1339" s="41" t="n">
        <v>16.9</v>
      </c>
      <c r="I1339" s="31" t="s">
        <v>149</v>
      </c>
      <c r="J1339" s="31"/>
      <c r="K1339" s="31" t="s">
        <v>153</v>
      </c>
      <c r="L1339" s="45" t="n">
        <f aca="false">DATE(YEAR(B1339),MONTH(B1339),1)</f>
        <v>46204</v>
      </c>
      <c r="M1339" s="31" t="n">
        <f aca="false">WEEKDAY(B1339,2)</f>
        <v>1</v>
      </c>
      <c r="N1339" s="31" t="str">
        <f aca="false">IF(G1339&lt;=INDEX(Assumptions!$B$15:$B$18,MATCH(E1339,Assumptions!$A$15:$A$18,0)),"Yes","No")</f>
        <v>No</v>
      </c>
      <c r="O1339" s="31" t="str">
        <f aca="false">IF(H1339="","Open",IF(H1339&lt;=INDEX(Assumptions!$C$15:$C$18,MATCH(E1339,Assumptions!$A$15:$A$18,0)),"Yes","No"))</f>
        <v>Yes</v>
      </c>
    </row>
    <row r="1340" customFormat="false" ht="15" hidden="false" customHeight="false" outlineLevel="0" collapsed="false">
      <c r="A1340" s="31" t="s">
        <v>1490</v>
      </c>
      <c r="B1340" s="44" t="n">
        <v>46223</v>
      </c>
      <c r="C1340" s="31" t="s">
        <v>60</v>
      </c>
      <c r="D1340" s="31" t="s">
        <v>68</v>
      </c>
      <c r="E1340" s="31" t="s">
        <v>51</v>
      </c>
      <c r="F1340" s="31" t="s">
        <v>120</v>
      </c>
      <c r="G1340" s="31" t="n">
        <v>1</v>
      </c>
      <c r="H1340" s="41" t="n">
        <v>2.6</v>
      </c>
      <c r="I1340" s="31" t="s">
        <v>149</v>
      </c>
      <c r="J1340" s="31" t="n">
        <v>4</v>
      </c>
      <c r="K1340" s="31" t="s">
        <v>150</v>
      </c>
      <c r="L1340" s="45" t="n">
        <f aca="false">DATE(YEAR(B1340),MONTH(B1340),1)</f>
        <v>46204</v>
      </c>
      <c r="M1340" s="31" t="n">
        <f aca="false">WEEKDAY(B1340,2)</f>
        <v>1</v>
      </c>
      <c r="N1340" s="31" t="str">
        <f aca="false">IF(G1340&lt;=INDEX(Assumptions!$B$15:$B$18,MATCH(E1340,Assumptions!$A$15:$A$18,0)),"Yes","No")</f>
        <v>Yes</v>
      </c>
      <c r="O1340" s="31" t="str">
        <f aca="false">IF(H1340="","Open",IF(H1340&lt;=INDEX(Assumptions!$C$15:$C$18,MATCH(E1340,Assumptions!$A$15:$A$18,0)),"Yes","No"))</f>
        <v>Yes</v>
      </c>
    </row>
    <row r="1341" customFormat="false" ht="15" hidden="false" customHeight="false" outlineLevel="0" collapsed="false">
      <c r="A1341" s="31" t="s">
        <v>1491</v>
      </c>
      <c r="B1341" s="44" t="n">
        <v>46223</v>
      </c>
      <c r="C1341" s="31" t="s">
        <v>58</v>
      </c>
      <c r="D1341" s="31" t="s">
        <v>65</v>
      </c>
      <c r="E1341" s="31" t="s">
        <v>51</v>
      </c>
      <c r="F1341" s="31" t="s">
        <v>122</v>
      </c>
      <c r="G1341" s="31" t="n">
        <v>22</v>
      </c>
      <c r="H1341" s="41" t="n">
        <v>4</v>
      </c>
      <c r="I1341" s="31" t="s">
        <v>149</v>
      </c>
      <c r="J1341" s="31" t="n">
        <v>5</v>
      </c>
      <c r="K1341" s="31" t="s">
        <v>150</v>
      </c>
      <c r="L1341" s="45" t="n">
        <f aca="false">DATE(YEAR(B1341),MONTH(B1341),1)</f>
        <v>46204</v>
      </c>
      <c r="M1341" s="31" t="n">
        <f aca="false">WEEKDAY(B1341,2)</f>
        <v>1</v>
      </c>
      <c r="N1341" s="31" t="str">
        <f aca="false">IF(G1341&lt;=INDEX(Assumptions!$B$15:$B$18,MATCH(E1341,Assumptions!$A$15:$A$18,0)),"Yes","No")</f>
        <v>Yes</v>
      </c>
      <c r="O1341" s="31" t="str">
        <f aca="false">IF(H1341="","Open",IF(H1341&lt;=INDEX(Assumptions!$C$15:$C$18,MATCH(E1341,Assumptions!$A$15:$A$18,0)),"Yes","No"))</f>
        <v>Yes</v>
      </c>
    </row>
    <row r="1342" customFormat="false" ht="15" hidden="false" customHeight="false" outlineLevel="0" collapsed="false">
      <c r="A1342" s="31" t="s">
        <v>1492</v>
      </c>
      <c r="B1342" s="44" t="n">
        <v>46223</v>
      </c>
      <c r="C1342" s="31" t="s">
        <v>60</v>
      </c>
      <c r="D1342" s="31" t="s">
        <v>65</v>
      </c>
      <c r="E1342" s="31" t="s">
        <v>51</v>
      </c>
      <c r="F1342" s="31" t="s">
        <v>136</v>
      </c>
      <c r="G1342" s="31" t="n">
        <v>1</v>
      </c>
      <c r="H1342" s="41" t="n">
        <v>5.9</v>
      </c>
      <c r="I1342" s="31" t="s">
        <v>149</v>
      </c>
      <c r="J1342" s="31" t="n">
        <v>5</v>
      </c>
      <c r="K1342" s="31" t="s">
        <v>150</v>
      </c>
      <c r="L1342" s="45" t="n">
        <f aca="false">DATE(YEAR(B1342),MONTH(B1342),1)</f>
        <v>46204</v>
      </c>
      <c r="M1342" s="31" t="n">
        <f aca="false">WEEKDAY(B1342,2)</f>
        <v>1</v>
      </c>
      <c r="N1342" s="31" t="str">
        <f aca="false">IF(G1342&lt;=INDEX(Assumptions!$B$15:$B$18,MATCH(E1342,Assumptions!$A$15:$A$18,0)),"Yes","No")</f>
        <v>Yes</v>
      </c>
      <c r="O1342" s="31" t="str">
        <f aca="false">IF(H1342="","Open",IF(H1342&lt;=INDEX(Assumptions!$C$15:$C$18,MATCH(E1342,Assumptions!$A$15:$A$18,0)),"Yes","No"))</f>
        <v>Yes</v>
      </c>
    </row>
    <row r="1343" customFormat="false" ht="15" hidden="false" customHeight="false" outlineLevel="0" collapsed="false">
      <c r="A1343" s="31" t="s">
        <v>1493</v>
      </c>
      <c r="B1343" s="44" t="n">
        <v>46223</v>
      </c>
      <c r="C1343" s="31" t="s">
        <v>57</v>
      </c>
      <c r="D1343" s="31" t="s">
        <v>66</v>
      </c>
      <c r="E1343" s="31" t="s">
        <v>51</v>
      </c>
      <c r="F1343" s="31" t="s">
        <v>117</v>
      </c>
      <c r="G1343" s="31" t="n">
        <v>7</v>
      </c>
      <c r="H1343" s="41" t="n">
        <v>8.5</v>
      </c>
      <c r="I1343" s="31" t="s">
        <v>149</v>
      </c>
      <c r="J1343" s="31" t="n">
        <v>3</v>
      </c>
      <c r="K1343" s="31" t="s">
        <v>153</v>
      </c>
      <c r="L1343" s="45" t="n">
        <f aca="false">DATE(YEAR(B1343),MONTH(B1343),1)</f>
        <v>46204</v>
      </c>
      <c r="M1343" s="31" t="n">
        <f aca="false">WEEKDAY(B1343,2)</f>
        <v>1</v>
      </c>
      <c r="N1343" s="31" t="str">
        <f aca="false">IF(G1343&lt;=INDEX(Assumptions!$B$15:$B$18,MATCH(E1343,Assumptions!$A$15:$A$18,0)),"Yes","No")</f>
        <v>Yes</v>
      </c>
      <c r="O1343" s="31" t="str">
        <f aca="false">IF(H1343="","Open",IF(H1343&lt;=INDEX(Assumptions!$C$15:$C$18,MATCH(E1343,Assumptions!$A$15:$A$18,0)),"Yes","No"))</f>
        <v>Yes</v>
      </c>
    </row>
    <row r="1344" customFormat="false" ht="15" hidden="false" customHeight="false" outlineLevel="0" collapsed="false">
      <c r="A1344" s="31" t="s">
        <v>1494</v>
      </c>
      <c r="B1344" s="44" t="n">
        <v>46223</v>
      </c>
      <c r="C1344" s="31" t="s">
        <v>60</v>
      </c>
      <c r="D1344" s="31" t="s">
        <v>65</v>
      </c>
      <c r="E1344" s="31" t="s">
        <v>51</v>
      </c>
      <c r="F1344" s="31" t="s">
        <v>134</v>
      </c>
      <c r="G1344" s="31" t="n">
        <v>6</v>
      </c>
      <c r="H1344" s="41" t="n">
        <v>27.8</v>
      </c>
      <c r="I1344" s="31" t="s">
        <v>149</v>
      </c>
      <c r="J1344" s="31"/>
      <c r="K1344" s="31" t="s">
        <v>150</v>
      </c>
      <c r="L1344" s="45" t="n">
        <f aca="false">DATE(YEAR(B1344),MONTH(B1344),1)</f>
        <v>46204</v>
      </c>
      <c r="M1344" s="31" t="n">
        <f aca="false">WEEKDAY(B1344,2)</f>
        <v>1</v>
      </c>
      <c r="N1344" s="31" t="str">
        <f aca="false">IF(G1344&lt;=INDEX(Assumptions!$B$15:$B$18,MATCH(E1344,Assumptions!$A$15:$A$18,0)),"Yes","No")</f>
        <v>Yes</v>
      </c>
      <c r="O1344" s="31" t="str">
        <f aca="false">IF(H1344="","Open",IF(H1344&lt;=INDEX(Assumptions!$C$15:$C$18,MATCH(E1344,Assumptions!$A$15:$A$18,0)),"Yes","No"))</f>
        <v>No</v>
      </c>
    </row>
    <row r="1345" customFormat="false" ht="15" hidden="false" customHeight="false" outlineLevel="0" collapsed="false">
      <c r="A1345" s="31" t="s">
        <v>1495</v>
      </c>
      <c r="B1345" s="44" t="n">
        <v>46223</v>
      </c>
      <c r="C1345" s="31" t="s">
        <v>57</v>
      </c>
      <c r="D1345" s="31" t="s">
        <v>67</v>
      </c>
      <c r="E1345" s="31" t="s">
        <v>51</v>
      </c>
      <c r="F1345" s="31" t="s">
        <v>137</v>
      </c>
      <c r="G1345" s="31" t="n">
        <v>4</v>
      </c>
      <c r="H1345" s="41" t="n">
        <v>17.5</v>
      </c>
      <c r="I1345" s="31" t="s">
        <v>149</v>
      </c>
      <c r="J1345" s="31"/>
      <c r="K1345" s="31" t="s">
        <v>150</v>
      </c>
      <c r="L1345" s="45" t="n">
        <f aca="false">DATE(YEAR(B1345),MONTH(B1345),1)</f>
        <v>46204</v>
      </c>
      <c r="M1345" s="31" t="n">
        <f aca="false">WEEKDAY(B1345,2)</f>
        <v>1</v>
      </c>
      <c r="N1345" s="31" t="str">
        <f aca="false">IF(G1345&lt;=INDEX(Assumptions!$B$15:$B$18,MATCH(E1345,Assumptions!$A$15:$A$18,0)),"Yes","No")</f>
        <v>Yes</v>
      </c>
      <c r="O1345" s="31" t="str">
        <f aca="false">IF(H1345="","Open",IF(H1345&lt;=INDEX(Assumptions!$C$15:$C$18,MATCH(E1345,Assumptions!$A$15:$A$18,0)),"Yes","No"))</f>
        <v>Yes</v>
      </c>
    </row>
    <row r="1346" customFormat="false" ht="15" hidden="false" customHeight="false" outlineLevel="0" collapsed="false">
      <c r="A1346" s="31" t="s">
        <v>1496</v>
      </c>
      <c r="B1346" s="44" t="n">
        <v>46223</v>
      </c>
      <c r="C1346" s="31" t="s">
        <v>59</v>
      </c>
      <c r="D1346" s="31" t="s">
        <v>66</v>
      </c>
      <c r="E1346" s="31" t="s">
        <v>50</v>
      </c>
      <c r="F1346" s="31" t="s">
        <v>129</v>
      </c>
      <c r="G1346" s="31" t="n">
        <v>62</v>
      </c>
      <c r="H1346" s="41" t="n">
        <v>2.4</v>
      </c>
      <c r="I1346" s="31" t="s">
        <v>149</v>
      </c>
      <c r="J1346" s="31" t="n">
        <v>4</v>
      </c>
      <c r="K1346" s="31" t="s">
        <v>153</v>
      </c>
      <c r="L1346" s="45" t="n">
        <f aca="false">DATE(YEAR(B1346),MONTH(B1346),1)</f>
        <v>46204</v>
      </c>
      <c r="M1346" s="31" t="n">
        <f aca="false">WEEKDAY(B1346,2)</f>
        <v>1</v>
      </c>
      <c r="N1346" s="31" t="str">
        <f aca="false">IF(G1346&lt;=INDEX(Assumptions!$B$15:$B$18,MATCH(E1346,Assumptions!$A$15:$A$18,0)),"Yes","No")</f>
        <v>No</v>
      </c>
      <c r="O1346" s="31" t="str">
        <f aca="false">IF(H1346="","Open",IF(H1346&lt;=INDEX(Assumptions!$C$15:$C$18,MATCH(E1346,Assumptions!$A$15:$A$18,0)),"Yes","No"))</f>
        <v>Yes</v>
      </c>
    </row>
    <row r="1347" customFormat="false" ht="15" hidden="false" customHeight="false" outlineLevel="0" collapsed="false">
      <c r="A1347" s="31" t="s">
        <v>1497</v>
      </c>
      <c r="B1347" s="44" t="n">
        <v>46223</v>
      </c>
      <c r="C1347" s="31" t="s">
        <v>59</v>
      </c>
      <c r="D1347" s="31" t="s">
        <v>69</v>
      </c>
      <c r="E1347" s="31" t="s">
        <v>51</v>
      </c>
      <c r="F1347" s="31" t="s">
        <v>127</v>
      </c>
      <c r="G1347" s="31" t="n">
        <v>82</v>
      </c>
      <c r="H1347" s="41" t="n">
        <v>15.6</v>
      </c>
      <c r="I1347" s="31" t="s">
        <v>149</v>
      </c>
      <c r="J1347" s="31" t="n">
        <v>3</v>
      </c>
      <c r="K1347" s="31" t="s">
        <v>150</v>
      </c>
      <c r="L1347" s="45" t="n">
        <f aca="false">DATE(YEAR(B1347),MONTH(B1347),1)</f>
        <v>46204</v>
      </c>
      <c r="M1347" s="31" t="n">
        <f aca="false">WEEKDAY(B1347,2)</f>
        <v>1</v>
      </c>
      <c r="N1347" s="31" t="str">
        <f aca="false">IF(G1347&lt;=INDEX(Assumptions!$B$15:$B$18,MATCH(E1347,Assumptions!$A$15:$A$18,0)),"Yes","No")</f>
        <v>No</v>
      </c>
      <c r="O1347" s="31" t="str">
        <f aca="false">IF(H1347="","Open",IF(H1347&lt;=INDEX(Assumptions!$C$15:$C$18,MATCH(E1347,Assumptions!$A$15:$A$18,0)),"Yes","No"))</f>
        <v>Yes</v>
      </c>
    </row>
    <row r="1348" customFormat="false" ht="15" hidden="false" customHeight="false" outlineLevel="0" collapsed="false">
      <c r="A1348" s="31" t="s">
        <v>1498</v>
      </c>
      <c r="B1348" s="44" t="n">
        <v>46223</v>
      </c>
      <c r="C1348" s="31" t="s">
        <v>59</v>
      </c>
      <c r="D1348" s="31" t="s">
        <v>69</v>
      </c>
      <c r="E1348" s="31" t="s">
        <v>51</v>
      </c>
      <c r="F1348" s="31" t="s">
        <v>122</v>
      </c>
      <c r="G1348" s="31" t="n">
        <v>148</v>
      </c>
      <c r="H1348" s="41" t="n">
        <v>4.7</v>
      </c>
      <c r="I1348" s="31" t="s">
        <v>149</v>
      </c>
      <c r="J1348" s="31"/>
      <c r="K1348" s="31" t="s">
        <v>150</v>
      </c>
      <c r="L1348" s="45" t="n">
        <f aca="false">DATE(YEAR(B1348),MONTH(B1348),1)</f>
        <v>46204</v>
      </c>
      <c r="M1348" s="31" t="n">
        <f aca="false">WEEKDAY(B1348,2)</f>
        <v>1</v>
      </c>
      <c r="N1348" s="31" t="str">
        <f aca="false">IF(G1348&lt;=INDEX(Assumptions!$B$15:$B$18,MATCH(E1348,Assumptions!$A$15:$A$18,0)),"Yes","No")</f>
        <v>No</v>
      </c>
      <c r="O1348" s="31" t="str">
        <f aca="false">IF(H1348="","Open",IF(H1348&lt;=INDEX(Assumptions!$C$15:$C$18,MATCH(E1348,Assumptions!$A$15:$A$18,0)),"Yes","No"))</f>
        <v>Yes</v>
      </c>
    </row>
    <row r="1349" customFormat="false" ht="15" hidden="false" customHeight="false" outlineLevel="0" collapsed="false">
      <c r="A1349" s="31" t="s">
        <v>1499</v>
      </c>
      <c r="B1349" s="44" t="n">
        <v>46223</v>
      </c>
      <c r="C1349" s="31" t="s">
        <v>58</v>
      </c>
      <c r="D1349" s="31" t="s">
        <v>65</v>
      </c>
      <c r="E1349" s="31" t="s">
        <v>51</v>
      </c>
      <c r="F1349" s="31" t="s">
        <v>130</v>
      </c>
      <c r="G1349" s="31" t="n">
        <v>35</v>
      </c>
      <c r="H1349" s="41" t="n">
        <v>7.3</v>
      </c>
      <c r="I1349" s="31" t="s">
        <v>149</v>
      </c>
      <c r="J1349" s="31" t="n">
        <v>5</v>
      </c>
      <c r="K1349" s="31" t="s">
        <v>150</v>
      </c>
      <c r="L1349" s="45" t="n">
        <f aca="false">DATE(YEAR(B1349),MONTH(B1349),1)</f>
        <v>46204</v>
      </c>
      <c r="M1349" s="31" t="n">
        <f aca="false">WEEKDAY(B1349,2)</f>
        <v>1</v>
      </c>
      <c r="N1349" s="31" t="str">
        <f aca="false">IF(G1349&lt;=INDEX(Assumptions!$B$15:$B$18,MATCH(E1349,Assumptions!$A$15:$A$18,0)),"Yes","No")</f>
        <v>Yes</v>
      </c>
      <c r="O1349" s="31" t="str">
        <f aca="false">IF(H1349="","Open",IF(H1349&lt;=INDEX(Assumptions!$C$15:$C$18,MATCH(E1349,Assumptions!$A$15:$A$18,0)),"Yes","No"))</f>
        <v>Yes</v>
      </c>
    </row>
    <row r="1350" customFormat="false" ht="15" hidden="false" customHeight="false" outlineLevel="0" collapsed="false">
      <c r="A1350" s="31" t="s">
        <v>1500</v>
      </c>
      <c r="B1350" s="44" t="n">
        <v>46223</v>
      </c>
      <c r="C1350" s="31" t="s">
        <v>59</v>
      </c>
      <c r="D1350" s="31" t="s">
        <v>68</v>
      </c>
      <c r="E1350" s="31" t="s">
        <v>51</v>
      </c>
      <c r="F1350" s="31" t="s">
        <v>128</v>
      </c>
      <c r="G1350" s="31" t="n">
        <v>213</v>
      </c>
      <c r="H1350" s="41" t="n">
        <v>7.9</v>
      </c>
      <c r="I1350" s="31" t="s">
        <v>149</v>
      </c>
      <c r="J1350" s="31" t="n">
        <v>3</v>
      </c>
      <c r="K1350" s="31" t="s">
        <v>153</v>
      </c>
      <c r="L1350" s="45" t="n">
        <f aca="false">DATE(YEAR(B1350),MONTH(B1350),1)</f>
        <v>46204</v>
      </c>
      <c r="M1350" s="31" t="n">
        <f aca="false">WEEKDAY(B1350,2)</f>
        <v>1</v>
      </c>
      <c r="N1350" s="31" t="str">
        <f aca="false">IF(G1350&lt;=INDEX(Assumptions!$B$15:$B$18,MATCH(E1350,Assumptions!$A$15:$A$18,0)),"Yes","No")</f>
        <v>No</v>
      </c>
      <c r="O1350" s="31" t="str">
        <f aca="false">IF(H1350="","Open",IF(H1350&lt;=INDEX(Assumptions!$C$15:$C$18,MATCH(E1350,Assumptions!$A$15:$A$18,0)),"Yes","No"))</f>
        <v>Yes</v>
      </c>
    </row>
    <row r="1351" customFormat="false" ht="15" hidden="false" customHeight="false" outlineLevel="0" collapsed="false">
      <c r="A1351" s="31" t="s">
        <v>1501</v>
      </c>
      <c r="B1351" s="44" t="n">
        <v>46223</v>
      </c>
      <c r="C1351" s="31" t="s">
        <v>57</v>
      </c>
      <c r="D1351" s="31" t="s">
        <v>67</v>
      </c>
      <c r="E1351" s="31" t="s">
        <v>51</v>
      </c>
      <c r="F1351" s="31" t="s">
        <v>128</v>
      </c>
      <c r="G1351" s="31" t="n">
        <v>21</v>
      </c>
      <c r="H1351" s="41" t="n">
        <v>23.7</v>
      </c>
      <c r="I1351" s="31" t="s">
        <v>64</v>
      </c>
      <c r="J1351" s="31" t="n">
        <v>4</v>
      </c>
      <c r="K1351" s="31" t="s">
        <v>150</v>
      </c>
      <c r="L1351" s="45" t="n">
        <f aca="false">DATE(YEAR(B1351),MONTH(B1351),1)</f>
        <v>46204</v>
      </c>
      <c r="M1351" s="31" t="n">
        <f aca="false">WEEKDAY(B1351,2)</f>
        <v>1</v>
      </c>
      <c r="N1351" s="31" t="str">
        <f aca="false">IF(G1351&lt;=INDEX(Assumptions!$B$15:$B$18,MATCH(E1351,Assumptions!$A$15:$A$18,0)),"Yes","No")</f>
        <v>Yes</v>
      </c>
      <c r="O1351" s="31" t="str">
        <f aca="false">IF(H1351="","Open",IF(H1351&lt;=INDEX(Assumptions!$C$15:$C$18,MATCH(E1351,Assumptions!$A$15:$A$18,0)),"Yes","No"))</f>
        <v>Yes</v>
      </c>
    </row>
    <row r="1352" customFormat="false" ht="15" hidden="false" customHeight="false" outlineLevel="0" collapsed="false">
      <c r="A1352" s="31" t="s">
        <v>1502</v>
      </c>
      <c r="B1352" s="44" t="n">
        <v>46223</v>
      </c>
      <c r="C1352" s="31" t="s">
        <v>58</v>
      </c>
      <c r="D1352" s="31" t="s">
        <v>69</v>
      </c>
      <c r="E1352" s="31" t="s">
        <v>50</v>
      </c>
      <c r="F1352" s="31" t="s">
        <v>124</v>
      </c>
      <c r="G1352" s="31" t="n">
        <v>6</v>
      </c>
      <c r="H1352" s="41" t="n">
        <v>2.5</v>
      </c>
      <c r="I1352" s="31" t="s">
        <v>149</v>
      </c>
      <c r="J1352" s="31" t="n">
        <v>4</v>
      </c>
      <c r="K1352" s="31" t="s">
        <v>150</v>
      </c>
      <c r="L1352" s="45" t="n">
        <f aca="false">DATE(YEAR(B1352),MONTH(B1352),1)</f>
        <v>46204</v>
      </c>
      <c r="M1352" s="31" t="n">
        <f aca="false">WEEKDAY(B1352,2)</f>
        <v>1</v>
      </c>
      <c r="N1352" s="31" t="str">
        <f aca="false">IF(G1352&lt;=INDEX(Assumptions!$B$15:$B$18,MATCH(E1352,Assumptions!$A$15:$A$18,0)),"Yes","No")</f>
        <v>Yes</v>
      </c>
      <c r="O1352" s="31" t="str">
        <f aca="false">IF(H1352="","Open",IF(H1352&lt;=INDEX(Assumptions!$C$15:$C$18,MATCH(E1352,Assumptions!$A$15:$A$18,0)),"Yes","No"))</f>
        <v>Yes</v>
      </c>
    </row>
    <row r="1353" customFormat="false" ht="15" hidden="false" customHeight="false" outlineLevel="0" collapsed="false">
      <c r="A1353" s="31" t="s">
        <v>1503</v>
      </c>
      <c r="B1353" s="44" t="n">
        <v>46223</v>
      </c>
      <c r="C1353" s="31" t="s">
        <v>57</v>
      </c>
      <c r="D1353" s="31" t="s">
        <v>66</v>
      </c>
      <c r="E1353" s="31" t="s">
        <v>51</v>
      </c>
      <c r="F1353" s="31" t="s">
        <v>127</v>
      </c>
      <c r="G1353" s="31" t="n">
        <v>21</v>
      </c>
      <c r="H1353" s="41" t="n">
        <v>11.9</v>
      </c>
      <c r="I1353" s="31" t="s">
        <v>149</v>
      </c>
      <c r="J1353" s="31" t="n">
        <v>3</v>
      </c>
      <c r="K1353" s="31" t="s">
        <v>150</v>
      </c>
      <c r="L1353" s="45" t="n">
        <f aca="false">DATE(YEAR(B1353),MONTH(B1353),1)</f>
        <v>46204</v>
      </c>
      <c r="M1353" s="31" t="n">
        <f aca="false">WEEKDAY(B1353,2)</f>
        <v>1</v>
      </c>
      <c r="N1353" s="31" t="str">
        <f aca="false">IF(G1353&lt;=INDEX(Assumptions!$B$15:$B$18,MATCH(E1353,Assumptions!$A$15:$A$18,0)),"Yes","No")</f>
        <v>Yes</v>
      </c>
      <c r="O1353" s="31" t="str">
        <f aca="false">IF(H1353="","Open",IF(H1353&lt;=INDEX(Assumptions!$C$15:$C$18,MATCH(E1353,Assumptions!$A$15:$A$18,0)),"Yes","No"))</f>
        <v>Yes</v>
      </c>
    </row>
    <row r="1354" customFormat="false" ht="15" hidden="false" customHeight="false" outlineLevel="0" collapsed="false">
      <c r="A1354" s="31" t="s">
        <v>1504</v>
      </c>
      <c r="B1354" s="44" t="n">
        <v>46223</v>
      </c>
      <c r="C1354" s="31" t="s">
        <v>59</v>
      </c>
      <c r="D1354" s="31" t="s">
        <v>69</v>
      </c>
      <c r="E1354" s="31" t="s">
        <v>50</v>
      </c>
      <c r="F1354" s="31" t="s">
        <v>135</v>
      </c>
      <c r="G1354" s="31" t="n">
        <v>87</v>
      </c>
      <c r="H1354" s="41" t="n">
        <v>42.7</v>
      </c>
      <c r="I1354" s="31" t="s">
        <v>149</v>
      </c>
      <c r="J1354" s="31" t="n">
        <v>3</v>
      </c>
      <c r="K1354" s="31" t="s">
        <v>153</v>
      </c>
      <c r="L1354" s="45" t="n">
        <f aca="false">DATE(YEAR(B1354),MONTH(B1354),1)</f>
        <v>46204</v>
      </c>
      <c r="M1354" s="31" t="n">
        <f aca="false">WEEKDAY(B1354,2)</f>
        <v>1</v>
      </c>
      <c r="N1354" s="31" t="str">
        <f aca="false">IF(G1354&lt;=INDEX(Assumptions!$B$15:$B$18,MATCH(E1354,Assumptions!$A$15:$A$18,0)),"Yes","No")</f>
        <v>No</v>
      </c>
      <c r="O1354" s="31" t="str">
        <f aca="false">IF(H1354="","Open",IF(H1354&lt;=INDEX(Assumptions!$C$15:$C$18,MATCH(E1354,Assumptions!$A$15:$A$18,0)),"Yes","No"))</f>
        <v>No</v>
      </c>
    </row>
    <row r="1355" customFormat="false" ht="15" hidden="false" customHeight="false" outlineLevel="0" collapsed="false">
      <c r="A1355" s="31" t="s">
        <v>1505</v>
      </c>
      <c r="B1355" s="44" t="n">
        <v>46223</v>
      </c>
      <c r="C1355" s="31" t="s">
        <v>59</v>
      </c>
      <c r="D1355" s="31" t="s">
        <v>69</v>
      </c>
      <c r="E1355" s="31" t="s">
        <v>50</v>
      </c>
      <c r="F1355" s="31" t="s">
        <v>126</v>
      </c>
      <c r="G1355" s="31" t="n">
        <v>103</v>
      </c>
      <c r="H1355" s="41" t="n">
        <v>12.9</v>
      </c>
      <c r="I1355" s="31" t="s">
        <v>149</v>
      </c>
      <c r="J1355" s="31" t="n">
        <v>4</v>
      </c>
      <c r="K1355" s="31" t="s">
        <v>150</v>
      </c>
      <c r="L1355" s="45" t="n">
        <f aca="false">DATE(YEAR(B1355),MONTH(B1355),1)</f>
        <v>46204</v>
      </c>
      <c r="M1355" s="31" t="n">
        <f aca="false">WEEKDAY(B1355,2)</f>
        <v>1</v>
      </c>
      <c r="N1355" s="31" t="str">
        <f aca="false">IF(G1355&lt;=INDEX(Assumptions!$B$15:$B$18,MATCH(E1355,Assumptions!$A$15:$A$18,0)),"Yes","No")</f>
        <v>No</v>
      </c>
      <c r="O1355" s="31" t="str">
        <f aca="false">IF(H1355="","Open",IF(H1355&lt;=INDEX(Assumptions!$C$15:$C$18,MATCH(E1355,Assumptions!$A$15:$A$18,0)),"Yes","No"))</f>
        <v>No</v>
      </c>
    </row>
    <row r="1356" customFormat="false" ht="15" hidden="false" customHeight="false" outlineLevel="0" collapsed="false">
      <c r="A1356" s="31" t="s">
        <v>1506</v>
      </c>
      <c r="B1356" s="44" t="n">
        <v>46223</v>
      </c>
      <c r="C1356" s="31" t="s">
        <v>59</v>
      </c>
      <c r="D1356" s="31" t="s">
        <v>65</v>
      </c>
      <c r="E1356" s="31" t="s">
        <v>51</v>
      </c>
      <c r="F1356" s="31" t="s">
        <v>137</v>
      </c>
      <c r="G1356" s="31" t="n">
        <v>225</v>
      </c>
      <c r="H1356" s="41" t="n">
        <v>3</v>
      </c>
      <c r="I1356" s="31" t="s">
        <v>149</v>
      </c>
      <c r="J1356" s="31"/>
      <c r="K1356" s="31" t="s">
        <v>150</v>
      </c>
      <c r="L1356" s="45" t="n">
        <f aca="false">DATE(YEAR(B1356),MONTH(B1356),1)</f>
        <v>46204</v>
      </c>
      <c r="M1356" s="31" t="n">
        <f aca="false">WEEKDAY(B1356,2)</f>
        <v>1</v>
      </c>
      <c r="N1356" s="31" t="str">
        <f aca="false">IF(G1356&lt;=INDEX(Assumptions!$B$15:$B$18,MATCH(E1356,Assumptions!$A$15:$A$18,0)),"Yes","No")</f>
        <v>No</v>
      </c>
      <c r="O1356" s="31" t="str">
        <f aca="false">IF(H1356="","Open",IF(H1356&lt;=INDEX(Assumptions!$C$15:$C$18,MATCH(E1356,Assumptions!$A$15:$A$18,0)),"Yes","No"))</f>
        <v>Yes</v>
      </c>
    </row>
    <row r="1357" customFormat="false" ht="15" hidden="false" customHeight="false" outlineLevel="0" collapsed="false">
      <c r="A1357" s="31" t="s">
        <v>1507</v>
      </c>
      <c r="B1357" s="44" t="n">
        <v>46223</v>
      </c>
      <c r="C1357" s="31" t="s">
        <v>59</v>
      </c>
      <c r="D1357" s="31" t="s">
        <v>66</v>
      </c>
      <c r="E1357" s="31" t="s">
        <v>52</v>
      </c>
      <c r="F1357" s="31" t="s">
        <v>136</v>
      </c>
      <c r="G1357" s="31" t="n">
        <v>166</v>
      </c>
      <c r="H1357" s="41" t="n">
        <v>1.7</v>
      </c>
      <c r="I1357" s="31" t="s">
        <v>149</v>
      </c>
      <c r="J1357" s="31"/>
      <c r="K1357" s="31" t="s">
        <v>150</v>
      </c>
      <c r="L1357" s="45" t="n">
        <f aca="false">DATE(YEAR(B1357),MONTH(B1357),1)</f>
        <v>46204</v>
      </c>
      <c r="M1357" s="31" t="n">
        <f aca="false">WEEKDAY(B1357,2)</f>
        <v>1</v>
      </c>
      <c r="N1357" s="31" t="str">
        <f aca="false">IF(G1357&lt;=INDEX(Assumptions!$B$15:$B$18,MATCH(E1357,Assumptions!$A$15:$A$18,0)),"Yes","No")</f>
        <v>Yes</v>
      </c>
      <c r="O1357" s="31" t="str">
        <f aca="false">IF(H1357="","Open",IF(H1357&lt;=INDEX(Assumptions!$C$15:$C$18,MATCH(E1357,Assumptions!$A$15:$A$18,0)),"Yes","No"))</f>
        <v>Yes</v>
      </c>
    </row>
    <row r="1358" customFormat="false" ht="15" hidden="false" customHeight="false" outlineLevel="0" collapsed="false">
      <c r="A1358" s="31" t="s">
        <v>1508</v>
      </c>
      <c r="B1358" s="44" t="n">
        <v>46223</v>
      </c>
      <c r="C1358" s="31" t="s">
        <v>57</v>
      </c>
      <c r="D1358" s="31" t="s">
        <v>67</v>
      </c>
      <c r="E1358" s="31" t="s">
        <v>50</v>
      </c>
      <c r="F1358" s="31" t="s">
        <v>129</v>
      </c>
      <c r="G1358" s="31" t="n">
        <v>3</v>
      </c>
      <c r="H1358" s="41" t="n">
        <v>43.1</v>
      </c>
      <c r="I1358" s="31" t="s">
        <v>64</v>
      </c>
      <c r="J1358" s="31" t="n">
        <v>3</v>
      </c>
      <c r="K1358" s="31" t="s">
        <v>150</v>
      </c>
      <c r="L1358" s="45" t="n">
        <f aca="false">DATE(YEAR(B1358),MONTH(B1358),1)</f>
        <v>46204</v>
      </c>
      <c r="M1358" s="31" t="n">
        <f aca="false">WEEKDAY(B1358,2)</f>
        <v>1</v>
      </c>
      <c r="N1358" s="31" t="str">
        <f aca="false">IF(G1358&lt;=INDEX(Assumptions!$B$15:$B$18,MATCH(E1358,Assumptions!$A$15:$A$18,0)),"Yes","No")</f>
        <v>Yes</v>
      </c>
      <c r="O1358" s="31" t="str">
        <f aca="false">IF(H1358="","Open",IF(H1358&lt;=INDEX(Assumptions!$C$15:$C$18,MATCH(E1358,Assumptions!$A$15:$A$18,0)),"Yes","No"))</f>
        <v>No</v>
      </c>
    </row>
    <row r="1359" customFormat="false" ht="15" hidden="false" customHeight="false" outlineLevel="0" collapsed="false">
      <c r="A1359" s="31" t="s">
        <v>1509</v>
      </c>
      <c r="B1359" s="44" t="n">
        <v>46223</v>
      </c>
      <c r="C1359" s="31" t="s">
        <v>60</v>
      </c>
      <c r="D1359" s="31" t="s">
        <v>65</v>
      </c>
      <c r="E1359" s="31" t="s">
        <v>50</v>
      </c>
      <c r="F1359" s="31" t="s">
        <v>128</v>
      </c>
      <c r="G1359" s="31" t="n">
        <v>3</v>
      </c>
      <c r="H1359" s="41" t="n">
        <v>51.4</v>
      </c>
      <c r="I1359" s="31" t="s">
        <v>149</v>
      </c>
      <c r="J1359" s="31" t="n">
        <v>3</v>
      </c>
      <c r="K1359" s="31" t="s">
        <v>150</v>
      </c>
      <c r="L1359" s="45" t="n">
        <f aca="false">DATE(YEAR(B1359),MONTH(B1359),1)</f>
        <v>46204</v>
      </c>
      <c r="M1359" s="31" t="n">
        <f aca="false">WEEKDAY(B1359,2)</f>
        <v>1</v>
      </c>
      <c r="N1359" s="31" t="str">
        <f aca="false">IF(G1359&lt;=INDEX(Assumptions!$B$15:$B$18,MATCH(E1359,Assumptions!$A$15:$A$18,0)),"Yes","No")</f>
        <v>Yes</v>
      </c>
      <c r="O1359" s="31" t="str">
        <f aca="false">IF(H1359="","Open",IF(H1359&lt;=INDEX(Assumptions!$C$15:$C$18,MATCH(E1359,Assumptions!$A$15:$A$18,0)),"Yes","No"))</f>
        <v>No</v>
      </c>
    </row>
    <row r="1360" customFormat="false" ht="15" hidden="false" customHeight="false" outlineLevel="0" collapsed="false">
      <c r="A1360" s="31" t="s">
        <v>1510</v>
      </c>
      <c r="B1360" s="44" t="n">
        <v>46223</v>
      </c>
      <c r="C1360" s="31" t="s">
        <v>58</v>
      </c>
      <c r="D1360" s="31" t="s">
        <v>68</v>
      </c>
      <c r="E1360" s="31" t="s">
        <v>51</v>
      </c>
      <c r="F1360" s="31" t="s">
        <v>134</v>
      </c>
      <c r="G1360" s="31" t="n">
        <v>4</v>
      </c>
      <c r="H1360" s="41" t="n">
        <v>6.8</v>
      </c>
      <c r="I1360" s="31" t="s">
        <v>149</v>
      </c>
      <c r="J1360" s="31"/>
      <c r="K1360" s="31" t="s">
        <v>153</v>
      </c>
      <c r="L1360" s="45" t="n">
        <f aca="false">DATE(YEAR(B1360),MONTH(B1360),1)</f>
        <v>46204</v>
      </c>
      <c r="M1360" s="31" t="n">
        <f aca="false">WEEKDAY(B1360,2)</f>
        <v>1</v>
      </c>
      <c r="N1360" s="31" t="str">
        <f aca="false">IF(G1360&lt;=INDEX(Assumptions!$B$15:$B$18,MATCH(E1360,Assumptions!$A$15:$A$18,0)),"Yes","No")</f>
        <v>Yes</v>
      </c>
      <c r="O1360" s="31" t="str">
        <f aca="false">IF(H1360="","Open",IF(H1360&lt;=INDEX(Assumptions!$C$15:$C$18,MATCH(E1360,Assumptions!$A$15:$A$18,0)),"Yes","No"))</f>
        <v>Yes</v>
      </c>
    </row>
    <row r="1361" customFormat="false" ht="15" hidden="false" customHeight="false" outlineLevel="0" collapsed="false">
      <c r="A1361" s="31" t="s">
        <v>1511</v>
      </c>
      <c r="B1361" s="44" t="n">
        <v>46223</v>
      </c>
      <c r="C1361" s="31" t="s">
        <v>58</v>
      </c>
      <c r="D1361" s="31" t="s">
        <v>65</v>
      </c>
      <c r="E1361" s="31" t="s">
        <v>49</v>
      </c>
      <c r="F1361" s="31" t="s">
        <v>133</v>
      </c>
      <c r="G1361" s="31" t="n">
        <v>8</v>
      </c>
      <c r="H1361" s="41" t="n">
        <v>3.3</v>
      </c>
      <c r="I1361" s="31" t="s">
        <v>149</v>
      </c>
      <c r="J1361" s="31"/>
      <c r="K1361" s="31" t="s">
        <v>150</v>
      </c>
      <c r="L1361" s="45" t="n">
        <f aca="false">DATE(YEAR(B1361),MONTH(B1361),1)</f>
        <v>46204</v>
      </c>
      <c r="M1361" s="31" t="n">
        <f aca="false">WEEKDAY(B1361,2)</f>
        <v>1</v>
      </c>
      <c r="N1361" s="31" t="str">
        <f aca="false">IF(G1361&lt;=INDEX(Assumptions!$B$15:$B$18,MATCH(E1361,Assumptions!$A$15:$A$18,0)),"Yes","No")</f>
        <v>Yes</v>
      </c>
      <c r="O1361" s="31" t="str">
        <f aca="false">IF(H1361="","Open",IF(H1361&lt;=INDEX(Assumptions!$C$15:$C$18,MATCH(E1361,Assumptions!$A$15:$A$18,0)),"Yes","No"))</f>
        <v>Yes</v>
      </c>
    </row>
    <row r="1362" customFormat="false" ht="15" hidden="false" customHeight="false" outlineLevel="0" collapsed="false">
      <c r="A1362" s="31" t="s">
        <v>1512</v>
      </c>
      <c r="B1362" s="44" t="n">
        <v>46223</v>
      </c>
      <c r="C1362" s="31" t="s">
        <v>58</v>
      </c>
      <c r="D1362" s="31" t="s">
        <v>66</v>
      </c>
      <c r="E1362" s="31" t="s">
        <v>51</v>
      </c>
      <c r="F1362" s="31" t="s">
        <v>119</v>
      </c>
      <c r="G1362" s="31" t="n">
        <v>31</v>
      </c>
      <c r="H1362" s="41" t="n">
        <v>3.2</v>
      </c>
      <c r="I1362" s="31" t="s">
        <v>149</v>
      </c>
      <c r="J1362" s="31" t="n">
        <v>5</v>
      </c>
      <c r="K1362" s="31" t="s">
        <v>150</v>
      </c>
      <c r="L1362" s="45" t="n">
        <f aca="false">DATE(YEAR(B1362),MONTH(B1362),1)</f>
        <v>46204</v>
      </c>
      <c r="M1362" s="31" t="n">
        <f aca="false">WEEKDAY(B1362,2)</f>
        <v>1</v>
      </c>
      <c r="N1362" s="31" t="str">
        <f aca="false">IF(G1362&lt;=INDEX(Assumptions!$B$15:$B$18,MATCH(E1362,Assumptions!$A$15:$A$18,0)),"Yes","No")</f>
        <v>Yes</v>
      </c>
      <c r="O1362" s="31" t="str">
        <f aca="false">IF(H1362="","Open",IF(H1362&lt;=INDEX(Assumptions!$C$15:$C$18,MATCH(E1362,Assumptions!$A$15:$A$18,0)),"Yes","No"))</f>
        <v>Yes</v>
      </c>
    </row>
    <row r="1363" customFormat="false" ht="15" hidden="false" customHeight="false" outlineLevel="0" collapsed="false">
      <c r="A1363" s="31" t="s">
        <v>1513</v>
      </c>
      <c r="B1363" s="44" t="n">
        <v>46223</v>
      </c>
      <c r="C1363" s="31" t="s">
        <v>60</v>
      </c>
      <c r="D1363" s="31" t="s">
        <v>67</v>
      </c>
      <c r="E1363" s="31" t="s">
        <v>51</v>
      </c>
      <c r="F1363" s="31" t="s">
        <v>120</v>
      </c>
      <c r="G1363" s="31" t="n">
        <v>9</v>
      </c>
      <c r="H1363" s="41" t="n">
        <v>12.5</v>
      </c>
      <c r="I1363" s="31" t="s">
        <v>149</v>
      </c>
      <c r="J1363" s="31"/>
      <c r="K1363" s="31" t="s">
        <v>150</v>
      </c>
      <c r="L1363" s="45" t="n">
        <f aca="false">DATE(YEAR(B1363),MONTH(B1363),1)</f>
        <v>46204</v>
      </c>
      <c r="M1363" s="31" t="n">
        <f aca="false">WEEKDAY(B1363,2)</f>
        <v>1</v>
      </c>
      <c r="N1363" s="31" t="str">
        <f aca="false">IF(G1363&lt;=INDEX(Assumptions!$B$15:$B$18,MATCH(E1363,Assumptions!$A$15:$A$18,0)),"Yes","No")</f>
        <v>Yes</v>
      </c>
      <c r="O1363" s="31" t="str">
        <f aca="false">IF(H1363="","Open",IF(H1363&lt;=INDEX(Assumptions!$C$15:$C$18,MATCH(E1363,Assumptions!$A$15:$A$18,0)),"Yes","No"))</f>
        <v>Yes</v>
      </c>
    </row>
    <row r="1364" customFormat="false" ht="15" hidden="false" customHeight="false" outlineLevel="0" collapsed="false">
      <c r="A1364" s="31" t="s">
        <v>1514</v>
      </c>
      <c r="B1364" s="44" t="n">
        <v>46223</v>
      </c>
      <c r="C1364" s="31" t="s">
        <v>60</v>
      </c>
      <c r="D1364" s="31" t="s">
        <v>65</v>
      </c>
      <c r="E1364" s="31" t="s">
        <v>52</v>
      </c>
      <c r="F1364" s="31" t="s">
        <v>128</v>
      </c>
      <c r="G1364" s="31" t="n">
        <v>2</v>
      </c>
      <c r="H1364" s="41" t="n">
        <v>51.6</v>
      </c>
      <c r="I1364" s="31" t="s">
        <v>64</v>
      </c>
      <c r="J1364" s="31"/>
      <c r="K1364" s="31" t="s">
        <v>150</v>
      </c>
      <c r="L1364" s="45" t="n">
        <f aca="false">DATE(YEAR(B1364),MONTH(B1364),1)</f>
        <v>46204</v>
      </c>
      <c r="M1364" s="31" t="n">
        <f aca="false">WEEKDAY(B1364,2)</f>
        <v>1</v>
      </c>
      <c r="N1364" s="31" t="str">
        <f aca="false">IF(G1364&lt;=INDEX(Assumptions!$B$15:$B$18,MATCH(E1364,Assumptions!$A$15:$A$18,0)),"Yes","No")</f>
        <v>Yes</v>
      </c>
      <c r="O1364" s="31" t="str">
        <f aca="false">IF(H1364="","Open",IF(H1364&lt;=INDEX(Assumptions!$C$15:$C$18,MATCH(E1364,Assumptions!$A$15:$A$18,0)),"Yes","No"))</f>
        <v>Yes</v>
      </c>
    </row>
    <row r="1365" customFormat="false" ht="15" hidden="false" customHeight="false" outlineLevel="0" collapsed="false">
      <c r="A1365" s="31" t="s">
        <v>1515</v>
      </c>
      <c r="B1365" s="44" t="n">
        <v>46223</v>
      </c>
      <c r="C1365" s="31" t="s">
        <v>57</v>
      </c>
      <c r="D1365" s="31" t="s">
        <v>65</v>
      </c>
      <c r="E1365" s="31" t="s">
        <v>52</v>
      </c>
      <c r="F1365" s="31" t="s">
        <v>124</v>
      </c>
      <c r="G1365" s="31" t="n">
        <v>7</v>
      </c>
      <c r="H1365" s="41" t="n">
        <v>3.2</v>
      </c>
      <c r="I1365" s="31" t="s">
        <v>149</v>
      </c>
      <c r="J1365" s="31"/>
      <c r="K1365" s="31" t="s">
        <v>150</v>
      </c>
      <c r="L1365" s="45" t="n">
        <f aca="false">DATE(YEAR(B1365),MONTH(B1365),1)</f>
        <v>46204</v>
      </c>
      <c r="M1365" s="31" t="n">
        <f aca="false">WEEKDAY(B1365,2)</f>
        <v>1</v>
      </c>
      <c r="N1365" s="31" t="str">
        <f aca="false">IF(G1365&lt;=INDEX(Assumptions!$B$15:$B$18,MATCH(E1365,Assumptions!$A$15:$A$18,0)),"Yes","No")</f>
        <v>Yes</v>
      </c>
      <c r="O1365" s="31" t="str">
        <f aca="false">IF(H1365="","Open",IF(H1365&lt;=INDEX(Assumptions!$C$15:$C$18,MATCH(E1365,Assumptions!$A$15:$A$18,0)),"Yes","No"))</f>
        <v>Yes</v>
      </c>
    </row>
    <row r="1366" customFormat="false" ht="15" hidden="false" customHeight="false" outlineLevel="0" collapsed="false">
      <c r="A1366" s="31" t="s">
        <v>1516</v>
      </c>
      <c r="B1366" s="44" t="n">
        <v>46223</v>
      </c>
      <c r="C1366" s="31" t="s">
        <v>59</v>
      </c>
      <c r="D1366" s="31" t="s">
        <v>65</v>
      </c>
      <c r="E1366" s="31" t="s">
        <v>50</v>
      </c>
      <c r="F1366" s="31" t="s">
        <v>128</v>
      </c>
      <c r="G1366" s="31" t="n">
        <v>261</v>
      </c>
      <c r="H1366" s="41" t="n">
        <v>47.3</v>
      </c>
      <c r="I1366" s="31" t="s">
        <v>64</v>
      </c>
      <c r="J1366" s="31"/>
      <c r="K1366" s="31" t="s">
        <v>150</v>
      </c>
      <c r="L1366" s="45" t="n">
        <f aca="false">DATE(YEAR(B1366),MONTH(B1366),1)</f>
        <v>46204</v>
      </c>
      <c r="M1366" s="31" t="n">
        <f aca="false">WEEKDAY(B1366,2)</f>
        <v>1</v>
      </c>
      <c r="N1366" s="31" t="str">
        <f aca="false">IF(G1366&lt;=INDEX(Assumptions!$B$15:$B$18,MATCH(E1366,Assumptions!$A$15:$A$18,0)),"Yes","No")</f>
        <v>No</v>
      </c>
      <c r="O1366" s="31" t="str">
        <f aca="false">IF(H1366="","Open",IF(H1366&lt;=INDEX(Assumptions!$C$15:$C$18,MATCH(E1366,Assumptions!$A$15:$A$18,0)),"Yes","No"))</f>
        <v>No</v>
      </c>
    </row>
    <row r="1367" customFormat="false" ht="15" hidden="false" customHeight="false" outlineLevel="0" collapsed="false">
      <c r="A1367" s="31" t="s">
        <v>1517</v>
      </c>
      <c r="B1367" s="44" t="n">
        <v>46223</v>
      </c>
      <c r="C1367" s="31" t="s">
        <v>57</v>
      </c>
      <c r="D1367" s="31" t="s">
        <v>68</v>
      </c>
      <c r="E1367" s="31" t="s">
        <v>51</v>
      </c>
      <c r="F1367" s="31" t="s">
        <v>127</v>
      </c>
      <c r="G1367" s="31" t="n">
        <v>1</v>
      </c>
      <c r="H1367" s="41" t="n">
        <v>1.7</v>
      </c>
      <c r="I1367" s="31" t="s">
        <v>64</v>
      </c>
      <c r="J1367" s="31" t="n">
        <v>3</v>
      </c>
      <c r="K1367" s="31" t="s">
        <v>150</v>
      </c>
      <c r="L1367" s="45" t="n">
        <f aca="false">DATE(YEAR(B1367),MONTH(B1367),1)</f>
        <v>46204</v>
      </c>
      <c r="M1367" s="31" t="n">
        <f aca="false">WEEKDAY(B1367,2)</f>
        <v>1</v>
      </c>
      <c r="N1367" s="31" t="str">
        <f aca="false">IF(G1367&lt;=INDEX(Assumptions!$B$15:$B$18,MATCH(E1367,Assumptions!$A$15:$A$18,0)),"Yes","No")</f>
        <v>Yes</v>
      </c>
      <c r="O1367" s="31" t="str">
        <f aca="false">IF(H1367="","Open",IF(H1367&lt;=INDEX(Assumptions!$C$15:$C$18,MATCH(E1367,Assumptions!$A$15:$A$18,0)),"Yes","No"))</f>
        <v>Yes</v>
      </c>
    </row>
    <row r="1368" customFormat="false" ht="15" hidden="false" customHeight="false" outlineLevel="0" collapsed="false">
      <c r="A1368" s="31" t="s">
        <v>1518</v>
      </c>
      <c r="B1368" s="44" t="n">
        <v>46223</v>
      </c>
      <c r="C1368" s="31" t="s">
        <v>57</v>
      </c>
      <c r="D1368" s="31" t="s">
        <v>69</v>
      </c>
      <c r="E1368" s="31" t="s">
        <v>51</v>
      </c>
      <c r="F1368" s="31" t="s">
        <v>121</v>
      </c>
      <c r="G1368" s="31" t="n">
        <v>15</v>
      </c>
      <c r="H1368" s="41" t="n">
        <v>8.5</v>
      </c>
      <c r="I1368" s="31" t="s">
        <v>149</v>
      </c>
      <c r="J1368" s="31"/>
      <c r="K1368" s="31" t="s">
        <v>153</v>
      </c>
      <c r="L1368" s="45" t="n">
        <f aca="false">DATE(YEAR(B1368),MONTH(B1368),1)</f>
        <v>46204</v>
      </c>
      <c r="M1368" s="31" t="n">
        <f aca="false">WEEKDAY(B1368,2)</f>
        <v>1</v>
      </c>
      <c r="N1368" s="31" t="str">
        <f aca="false">IF(G1368&lt;=INDEX(Assumptions!$B$15:$B$18,MATCH(E1368,Assumptions!$A$15:$A$18,0)),"Yes","No")</f>
        <v>Yes</v>
      </c>
      <c r="O1368" s="31" t="str">
        <f aca="false">IF(H1368="","Open",IF(H1368&lt;=INDEX(Assumptions!$C$15:$C$18,MATCH(E1368,Assumptions!$A$15:$A$18,0)),"Yes","No"))</f>
        <v>Yes</v>
      </c>
    </row>
    <row r="1369" customFormat="false" ht="15" hidden="false" customHeight="false" outlineLevel="0" collapsed="false">
      <c r="A1369" s="31" t="s">
        <v>1519</v>
      </c>
      <c r="B1369" s="44" t="n">
        <v>46223</v>
      </c>
      <c r="C1369" s="31" t="s">
        <v>57</v>
      </c>
      <c r="D1369" s="31" t="s">
        <v>65</v>
      </c>
      <c r="E1369" s="31" t="s">
        <v>52</v>
      </c>
      <c r="F1369" s="31" t="s">
        <v>117</v>
      </c>
      <c r="G1369" s="31" t="n">
        <v>2</v>
      </c>
      <c r="H1369" s="41" t="n">
        <v>3.4</v>
      </c>
      <c r="I1369" s="31" t="s">
        <v>149</v>
      </c>
      <c r="J1369" s="31"/>
      <c r="K1369" s="31" t="s">
        <v>150</v>
      </c>
      <c r="L1369" s="45" t="n">
        <f aca="false">DATE(YEAR(B1369),MONTH(B1369),1)</f>
        <v>46204</v>
      </c>
      <c r="M1369" s="31" t="n">
        <f aca="false">WEEKDAY(B1369,2)</f>
        <v>1</v>
      </c>
      <c r="N1369" s="31" t="str">
        <f aca="false">IF(G1369&lt;=INDEX(Assumptions!$B$15:$B$18,MATCH(E1369,Assumptions!$A$15:$A$18,0)),"Yes","No")</f>
        <v>Yes</v>
      </c>
      <c r="O1369" s="31" t="str">
        <f aca="false">IF(H1369="","Open",IF(H1369&lt;=INDEX(Assumptions!$C$15:$C$18,MATCH(E1369,Assumptions!$A$15:$A$18,0)),"Yes","No"))</f>
        <v>Yes</v>
      </c>
    </row>
    <row r="1370" customFormat="false" ht="15" hidden="false" customHeight="false" outlineLevel="0" collapsed="false">
      <c r="A1370" s="31" t="s">
        <v>1520</v>
      </c>
      <c r="B1370" s="44" t="n">
        <v>46223</v>
      </c>
      <c r="C1370" s="31" t="s">
        <v>57</v>
      </c>
      <c r="D1370" s="31" t="s">
        <v>69</v>
      </c>
      <c r="E1370" s="31" t="s">
        <v>50</v>
      </c>
      <c r="F1370" s="31" t="s">
        <v>131</v>
      </c>
      <c r="G1370" s="31" t="n">
        <v>2</v>
      </c>
      <c r="H1370" s="41" t="n">
        <v>21</v>
      </c>
      <c r="I1370" s="31" t="s">
        <v>149</v>
      </c>
      <c r="J1370" s="31"/>
      <c r="K1370" s="31" t="s">
        <v>150</v>
      </c>
      <c r="L1370" s="45" t="n">
        <f aca="false">DATE(YEAR(B1370),MONTH(B1370),1)</f>
        <v>46204</v>
      </c>
      <c r="M1370" s="31" t="n">
        <f aca="false">WEEKDAY(B1370,2)</f>
        <v>1</v>
      </c>
      <c r="N1370" s="31" t="str">
        <f aca="false">IF(G1370&lt;=INDEX(Assumptions!$B$15:$B$18,MATCH(E1370,Assumptions!$A$15:$A$18,0)),"Yes","No")</f>
        <v>Yes</v>
      </c>
      <c r="O1370" s="31" t="str">
        <f aca="false">IF(H1370="","Open",IF(H1370&lt;=INDEX(Assumptions!$C$15:$C$18,MATCH(E1370,Assumptions!$A$15:$A$18,0)),"Yes","No"))</f>
        <v>No</v>
      </c>
    </row>
    <row r="1371" customFormat="false" ht="15" hidden="false" customHeight="false" outlineLevel="0" collapsed="false">
      <c r="A1371" s="31" t="s">
        <v>1521</v>
      </c>
      <c r="B1371" s="44" t="n">
        <v>46223</v>
      </c>
      <c r="C1371" s="31" t="s">
        <v>57</v>
      </c>
      <c r="D1371" s="31" t="s">
        <v>65</v>
      </c>
      <c r="E1371" s="31" t="s">
        <v>51</v>
      </c>
      <c r="F1371" s="31" t="s">
        <v>117</v>
      </c>
      <c r="G1371" s="31" t="n">
        <v>4</v>
      </c>
      <c r="H1371" s="41" t="n">
        <v>3.5</v>
      </c>
      <c r="I1371" s="31" t="s">
        <v>149</v>
      </c>
      <c r="J1371" s="31" t="n">
        <v>5</v>
      </c>
      <c r="K1371" s="31" t="s">
        <v>150</v>
      </c>
      <c r="L1371" s="45" t="n">
        <f aca="false">DATE(YEAR(B1371),MONTH(B1371),1)</f>
        <v>46204</v>
      </c>
      <c r="M1371" s="31" t="n">
        <f aca="false">WEEKDAY(B1371,2)</f>
        <v>1</v>
      </c>
      <c r="N1371" s="31" t="str">
        <f aca="false">IF(G1371&lt;=INDEX(Assumptions!$B$15:$B$18,MATCH(E1371,Assumptions!$A$15:$A$18,0)),"Yes","No")</f>
        <v>Yes</v>
      </c>
      <c r="O1371" s="31" t="str">
        <f aca="false">IF(H1371="","Open",IF(H1371&lt;=INDEX(Assumptions!$C$15:$C$18,MATCH(E1371,Assumptions!$A$15:$A$18,0)),"Yes","No"))</f>
        <v>Yes</v>
      </c>
    </row>
    <row r="1372" customFormat="false" ht="15" hidden="false" customHeight="false" outlineLevel="0" collapsed="false">
      <c r="A1372" s="31" t="s">
        <v>1522</v>
      </c>
      <c r="B1372" s="44" t="n">
        <v>46223</v>
      </c>
      <c r="C1372" s="31" t="s">
        <v>57</v>
      </c>
      <c r="D1372" s="31" t="s">
        <v>66</v>
      </c>
      <c r="E1372" s="31" t="s">
        <v>52</v>
      </c>
      <c r="F1372" s="31" t="s">
        <v>124</v>
      </c>
      <c r="G1372" s="31" t="n">
        <v>4</v>
      </c>
      <c r="H1372" s="41" t="n">
        <v>10.3</v>
      </c>
      <c r="I1372" s="31" t="s">
        <v>149</v>
      </c>
      <c r="J1372" s="31"/>
      <c r="K1372" s="31" t="s">
        <v>150</v>
      </c>
      <c r="L1372" s="45" t="n">
        <f aca="false">DATE(YEAR(B1372),MONTH(B1372),1)</f>
        <v>46204</v>
      </c>
      <c r="M1372" s="31" t="n">
        <f aca="false">WEEKDAY(B1372,2)</f>
        <v>1</v>
      </c>
      <c r="N1372" s="31" t="str">
        <f aca="false">IF(G1372&lt;=INDEX(Assumptions!$B$15:$B$18,MATCH(E1372,Assumptions!$A$15:$A$18,0)),"Yes","No")</f>
        <v>Yes</v>
      </c>
      <c r="O1372" s="31" t="str">
        <f aca="false">IF(H1372="","Open",IF(H1372&lt;=INDEX(Assumptions!$C$15:$C$18,MATCH(E1372,Assumptions!$A$15:$A$18,0)),"Yes","No"))</f>
        <v>Yes</v>
      </c>
    </row>
    <row r="1373" customFormat="false" ht="15" hidden="false" customHeight="false" outlineLevel="0" collapsed="false">
      <c r="A1373" s="31" t="s">
        <v>1523</v>
      </c>
      <c r="B1373" s="44" t="n">
        <v>46223</v>
      </c>
      <c r="C1373" s="31" t="s">
        <v>57</v>
      </c>
      <c r="D1373" s="31" t="s">
        <v>68</v>
      </c>
      <c r="E1373" s="31" t="s">
        <v>51</v>
      </c>
      <c r="F1373" s="31" t="s">
        <v>126</v>
      </c>
      <c r="G1373" s="31" t="n">
        <v>2</v>
      </c>
      <c r="H1373" s="41" t="n">
        <v>9.3</v>
      </c>
      <c r="I1373" s="31" t="s">
        <v>149</v>
      </c>
      <c r="J1373" s="31" t="n">
        <v>5</v>
      </c>
      <c r="K1373" s="31" t="s">
        <v>150</v>
      </c>
      <c r="L1373" s="45" t="n">
        <f aca="false">DATE(YEAR(B1373),MONTH(B1373),1)</f>
        <v>46204</v>
      </c>
      <c r="M1373" s="31" t="n">
        <f aca="false">WEEKDAY(B1373,2)</f>
        <v>1</v>
      </c>
      <c r="N1373" s="31" t="str">
        <f aca="false">IF(G1373&lt;=INDEX(Assumptions!$B$15:$B$18,MATCH(E1373,Assumptions!$A$15:$A$18,0)),"Yes","No")</f>
        <v>Yes</v>
      </c>
      <c r="O1373" s="31" t="str">
        <f aca="false">IF(H1373="","Open",IF(H1373&lt;=INDEX(Assumptions!$C$15:$C$18,MATCH(E1373,Assumptions!$A$15:$A$18,0)),"Yes","No"))</f>
        <v>Yes</v>
      </c>
    </row>
    <row r="1374" customFormat="false" ht="15" hidden="false" customHeight="false" outlineLevel="0" collapsed="false">
      <c r="A1374" s="31" t="s">
        <v>1524</v>
      </c>
      <c r="B1374" s="44" t="n">
        <v>46223</v>
      </c>
      <c r="C1374" s="31" t="s">
        <v>60</v>
      </c>
      <c r="D1374" s="31" t="s">
        <v>65</v>
      </c>
      <c r="E1374" s="31" t="s">
        <v>50</v>
      </c>
      <c r="F1374" s="31" t="s">
        <v>120</v>
      </c>
      <c r="G1374" s="31" t="n">
        <v>2</v>
      </c>
      <c r="H1374" s="41" t="n">
        <v>12</v>
      </c>
      <c r="I1374" s="31" t="s">
        <v>149</v>
      </c>
      <c r="J1374" s="31" t="n">
        <v>4</v>
      </c>
      <c r="K1374" s="31" t="s">
        <v>150</v>
      </c>
      <c r="L1374" s="45" t="n">
        <f aca="false">DATE(YEAR(B1374),MONTH(B1374),1)</f>
        <v>46204</v>
      </c>
      <c r="M1374" s="31" t="n">
        <f aca="false">WEEKDAY(B1374,2)</f>
        <v>1</v>
      </c>
      <c r="N1374" s="31" t="str">
        <f aca="false">IF(G1374&lt;=INDEX(Assumptions!$B$15:$B$18,MATCH(E1374,Assumptions!$A$15:$A$18,0)),"Yes","No")</f>
        <v>Yes</v>
      </c>
      <c r="O1374" s="31" t="str">
        <f aca="false">IF(H1374="","Open",IF(H1374&lt;=INDEX(Assumptions!$C$15:$C$18,MATCH(E1374,Assumptions!$A$15:$A$18,0)),"Yes","No"))</f>
        <v>No</v>
      </c>
    </row>
    <row r="1375" customFormat="false" ht="15" hidden="false" customHeight="false" outlineLevel="0" collapsed="false">
      <c r="A1375" s="31" t="s">
        <v>1525</v>
      </c>
      <c r="B1375" s="44" t="n">
        <v>46223</v>
      </c>
      <c r="C1375" s="31" t="s">
        <v>57</v>
      </c>
      <c r="D1375" s="31" t="s">
        <v>65</v>
      </c>
      <c r="E1375" s="31" t="s">
        <v>50</v>
      </c>
      <c r="F1375" s="31" t="s">
        <v>134</v>
      </c>
      <c r="G1375" s="31" t="n">
        <v>4</v>
      </c>
      <c r="H1375" s="41" t="n">
        <v>8.9</v>
      </c>
      <c r="I1375" s="31" t="s">
        <v>149</v>
      </c>
      <c r="J1375" s="31" t="n">
        <v>4</v>
      </c>
      <c r="K1375" s="31" t="s">
        <v>150</v>
      </c>
      <c r="L1375" s="45" t="n">
        <f aca="false">DATE(YEAR(B1375),MONTH(B1375),1)</f>
        <v>46204</v>
      </c>
      <c r="M1375" s="31" t="n">
        <f aca="false">WEEKDAY(B1375,2)</f>
        <v>1</v>
      </c>
      <c r="N1375" s="31" t="str">
        <f aca="false">IF(G1375&lt;=INDEX(Assumptions!$B$15:$B$18,MATCH(E1375,Assumptions!$A$15:$A$18,0)),"Yes","No")</f>
        <v>Yes</v>
      </c>
      <c r="O1375" s="31" t="str">
        <f aca="false">IF(H1375="","Open",IF(H1375&lt;=INDEX(Assumptions!$C$15:$C$18,MATCH(E1375,Assumptions!$A$15:$A$18,0)),"Yes","No"))</f>
        <v>No</v>
      </c>
    </row>
    <row r="1376" customFormat="false" ht="15" hidden="false" customHeight="false" outlineLevel="0" collapsed="false">
      <c r="A1376" s="31" t="s">
        <v>1526</v>
      </c>
      <c r="B1376" s="44" t="n">
        <v>46223</v>
      </c>
      <c r="C1376" s="31" t="s">
        <v>59</v>
      </c>
      <c r="D1376" s="31" t="s">
        <v>66</v>
      </c>
      <c r="E1376" s="31" t="s">
        <v>51</v>
      </c>
      <c r="F1376" s="31" t="s">
        <v>126</v>
      </c>
      <c r="G1376" s="31" t="n">
        <v>110</v>
      </c>
      <c r="H1376" s="41" t="n">
        <v>2.9</v>
      </c>
      <c r="I1376" s="31" t="s">
        <v>64</v>
      </c>
      <c r="J1376" s="31"/>
      <c r="K1376" s="31" t="s">
        <v>150</v>
      </c>
      <c r="L1376" s="45" t="n">
        <f aca="false">DATE(YEAR(B1376),MONTH(B1376),1)</f>
        <v>46204</v>
      </c>
      <c r="M1376" s="31" t="n">
        <f aca="false">WEEKDAY(B1376,2)</f>
        <v>1</v>
      </c>
      <c r="N1376" s="31" t="str">
        <f aca="false">IF(G1376&lt;=INDEX(Assumptions!$B$15:$B$18,MATCH(E1376,Assumptions!$A$15:$A$18,0)),"Yes","No")</f>
        <v>No</v>
      </c>
      <c r="O1376" s="31" t="str">
        <f aca="false">IF(H1376="","Open",IF(H1376&lt;=INDEX(Assumptions!$C$15:$C$18,MATCH(E1376,Assumptions!$A$15:$A$18,0)),"Yes","No"))</f>
        <v>Yes</v>
      </c>
    </row>
    <row r="1377" customFormat="false" ht="15" hidden="false" customHeight="false" outlineLevel="0" collapsed="false">
      <c r="A1377" s="31" t="s">
        <v>1527</v>
      </c>
      <c r="B1377" s="44" t="n">
        <v>46223</v>
      </c>
      <c r="C1377" s="31" t="s">
        <v>57</v>
      </c>
      <c r="D1377" s="31" t="s">
        <v>67</v>
      </c>
      <c r="E1377" s="31" t="s">
        <v>50</v>
      </c>
      <c r="F1377" s="31" t="s">
        <v>133</v>
      </c>
      <c r="G1377" s="31" t="n">
        <v>2</v>
      </c>
      <c r="H1377" s="41" t="n">
        <v>6.2</v>
      </c>
      <c r="I1377" s="31" t="s">
        <v>149</v>
      </c>
      <c r="J1377" s="31"/>
      <c r="K1377" s="31" t="s">
        <v>150</v>
      </c>
      <c r="L1377" s="45" t="n">
        <f aca="false">DATE(YEAR(B1377),MONTH(B1377),1)</f>
        <v>46204</v>
      </c>
      <c r="M1377" s="31" t="n">
        <f aca="false">WEEKDAY(B1377,2)</f>
        <v>1</v>
      </c>
      <c r="N1377" s="31" t="str">
        <f aca="false">IF(G1377&lt;=INDEX(Assumptions!$B$15:$B$18,MATCH(E1377,Assumptions!$A$15:$A$18,0)),"Yes","No")</f>
        <v>Yes</v>
      </c>
      <c r="O1377" s="31" t="str">
        <f aca="false">IF(H1377="","Open",IF(H1377&lt;=INDEX(Assumptions!$C$15:$C$18,MATCH(E1377,Assumptions!$A$15:$A$18,0)),"Yes","No"))</f>
        <v>Yes</v>
      </c>
    </row>
    <row r="1378" customFormat="false" ht="15" hidden="false" customHeight="false" outlineLevel="0" collapsed="false">
      <c r="A1378" s="31" t="s">
        <v>1528</v>
      </c>
      <c r="B1378" s="44" t="n">
        <v>46223</v>
      </c>
      <c r="C1378" s="31" t="s">
        <v>59</v>
      </c>
      <c r="D1378" s="31" t="s">
        <v>69</v>
      </c>
      <c r="E1378" s="31" t="s">
        <v>51</v>
      </c>
      <c r="F1378" s="31" t="s">
        <v>135</v>
      </c>
      <c r="G1378" s="31" t="n">
        <v>123</v>
      </c>
      <c r="H1378" s="41" t="n">
        <v>210</v>
      </c>
      <c r="I1378" s="31" t="s">
        <v>149</v>
      </c>
      <c r="J1378" s="31"/>
      <c r="K1378" s="31" t="s">
        <v>150</v>
      </c>
      <c r="L1378" s="45" t="n">
        <f aca="false">DATE(YEAR(B1378),MONTH(B1378),1)</f>
        <v>46204</v>
      </c>
      <c r="M1378" s="31" t="n">
        <f aca="false">WEEKDAY(B1378,2)</f>
        <v>1</v>
      </c>
      <c r="N1378" s="31" t="str">
        <f aca="false">IF(G1378&lt;=INDEX(Assumptions!$B$15:$B$18,MATCH(E1378,Assumptions!$A$15:$A$18,0)),"Yes","No")</f>
        <v>No</v>
      </c>
      <c r="O1378" s="31" t="str">
        <f aca="false">IF(H1378="","Open",IF(H1378&lt;=INDEX(Assumptions!$C$15:$C$18,MATCH(E1378,Assumptions!$A$15:$A$18,0)),"Yes","No"))</f>
        <v>No</v>
      </c>
    </row>
    <row r="1379" customFormat="false" ht="15" hidden="false" customHeight="false" outlineLevel="0" collapsed="false">
      <c r="A1379" s="31" t="s">
        <v>1529</v>
      </c>
      <c r="B1379" s="44" t="n">
        <v>46223</v>
      </c>
      <c r="C1379" s="31" t="s">
        <v>59</v>
      </c>
      <c r="D1379" s="31" t="s">
        <v>67</v>
      </c>
      <c r="E1379" s="31" t="s">
        <v>52</v>
      </c>
      <c r="F1379" s="31" t="s">
        <v>120</v>
      </c>
      <c r="G1379" s="31" t="n">
        <v>124</v>
      </c>
      <c r="H1379" s="41" t="n">
        <v>8.5</v>
      </c>
      <c r="I1379" s="31" t="s">
        <v>149</v>
      </c>
      <c r="J1379" s="31" t="n">
        <v>3</v>
      </c>
      <c r="K1379" s="31" t="s">
        <v>150</v>
      </c>
      <c r="L1379" s="45" t="n">
        <f aca="false">DATE(YEAR(B1379),MONTH(B1379),1)</f>
        <v>46204</v>
      </c>
      <c r="M1379" s="31" t="n">
        <f aca="false">WEEKDAY(B1379,2)</f>
        <v>1</v>
      </c>
      <c r="N1379" s="31" t="str">
        <f aca="false">IF(G1379&lt;=INDEX(Assumptions!$B$15:$B$18,MATCH(E1379,Assumptions!$A$15:$A$18,0)),"Yes","No")</f>
        <v>Yes</v>
      </c>
      <c r="O1379" s="31" t="str">
        <f aca="false">IF(H1379="","Open",IF(H1379&lt;=INDEX(Assumptions!$C$15:$C$18,MATCH(E1379,Assumptions!$A$15:$A$18,0)),"Yes","No"))</f>
        <v>Yes</v>
      </c>
    </row>
    <row r="1380" customFormat="false" ht="15" hidden="false" customHeight="false" outlineLevel="0" collapsed="false">
      <c r="A1380" s="31" t="s">
        <v>1530</v>
      </c>
      <c r="B1380" s="44" t="n">
        <v>46223</v>
      </c>
      <c r="C1380" s="31" t="s">
        <v>60</v>
      </c>
      <c r="D1380" s="31" t="s">
        <v>67</v>
      </c>
      <c r="E1380" s="31" t="s">
        <v>52</v>
      </c>
      <c r="F1380" s="31" t="s">
        <v>130</v>
      </c>
      <c r="G1380" s="31" t="n">
        <v>5</v>
      </c>
      <c r="H1380" s="41" t="n">
        <v>22</v>
      </c>
      <c r="I1380" s="31" t="s">
        <v>149</v>
      </c>
      <c r="J1380" s="31" t="n">
        <v>4</v>
      </c>
      <c r="K1380" s="31" t="s">
        <v>150</v>
      </c>
      <c r="L1380" s="45" t="n">
        <f aca="false">DATE(YEAR(B1380),MONTH(B1380),1)</f>
        <v>46204</v>
      </c>
      <c r="M1380" s="31" t="n">
        <f aca="false">WEEKDAY(B1380,2)</f>
        <v>1</v>
      </c>
      <c r="N1380" s="31" t="str">
        <f aca="false">IF(G1380&lt;=INDEX(Assumptions!$B$15:$B$18,MATCH(E1380,Assumptions!$A$15:$A$18,0)),"Yes","No")</f>
        <v>Yes</v>
      </c>
      <c r="O1380" s="31" t="str">
        <f aca="false">IF(H1380="","Open",IF(H1380&lt;=INDEX(Assumptions!$C$15:$C$18,MATCH(E1380,Assumptions!$A$15:$A$18,0)),"Yes","No"))</f>
        <v>Yes</v>
      </c>
    </row>
    <row r="1381" customFormat="false" ht="15" hidden="false" customHeight="false" outlineLevel="0" collapsed="false">
      <c r="A1381" s="31" t="s">
        <v>1531</v>
      </c>
      <c r="B1381" s="44" t="n">
        <v>46223</v>
      </c>
      <c r="C1381" s="31" t="s">
        <v>60</v>
      </c>
      <c r="D1381" s="31" t="s">
        <v>69</v>
      </c>
      <c r="E1381" s="31" t="s">
        <v>49</v>
      </c>
      <c r="F1381" s="31" t="s">
        <v>123</v>
      </c>
      <c r="G1381" s="31" t="n">
        <v>2</v>
      </c>
      <c r="H1381" s="41" t="n">
        <v>3.4</v>
      </c>
      <c r="I1381" s="31" t="s">
        <v>149</v>
      </c>
      <c r="J1381" s="31" t="n">
        <v>4</v>
      </c>
      <c r="K1381" s="31" t="s">
        <v>150</v>
      </c>
      <c r="L1381" s="45" t="n">
        <f aca="false">DATE(YEAR(B1381),MONTH(B1381),1)</f>
        <v>46204</v>
      </c>
      <c r="M1381" s="31" t="n">
        <f aca="false">WEEKDAY(B1381,2)</f>
        <v>1</v>
      </c>
      <c r="N1381" s="31" t="str">
        <f aca="false">IF(G1381&lt;=INDEX(Assumptions!$B$15:$B$18,MATCH(E1381,Assumptions!$A$15:$A$18,0)),"Yes","No")</f>
        <v>Yes</v>
      </c>
      <c r="O1381" s="31" t="str">
        <f aca="false">IF(H1381="","Open",IF(H1381&lt;=INDEX(Assumptions!$C$15:$C$18,MATCH(E1381,Assumptions!$A$15:$A$18,0)),"Yes","No"))</f>
        <v>Yes</v>
      </c>
    </row>
    <row r="1382" customFormat="false" ht="15" hidden="false" customHeight="false" outlineLevel="0" collapsed="false">
      <c r="A1382" s="31" t="s">
        <v>1532</v>
      </c>
      <c r="B1382" s="44" t="n">
        <v>46223</v>
      </c>
      <c r="C1382" s="31" t="s">
        <v>57</v>
      </c>
      <c r="D1382" s="31" t="s">
        <v>66</v>
      </c>
      <c r="E1382" s="31" t="s">
        <v>51</v>
      </c>
      <c r="F1382" s="31" t="s">
        <v>128</v>
      </c>
      <c r="G1382" s="31" t="n">
        <v>7</v>
      </c>
      <c r="H1382" s="41" t="n">
        <v>3.4</v>
      </c>
      <c r="I1382" s="31" t="s">
        <v>149</v>
      </c>
      <c r="J1382" s="31"/>
      <c r="K1382" s="31" t="s">
        <v>150</v>
      </c>
      <c r="L1382" s="45" t="n">
        <f aca="false">DATE(YEAR(B1382),MONTH(B1382),1)</f>
        <v>46204</v>
      </c>
      <c r="M1382" s="31" t="n">
        <f aca="false">WEEKDAY(B1382,2)</f>
        <v>1</v>
      </c>
      <c r="N1382" s="31" t="str">
        <f aca="false">IF(G1382&lt;=INDEX(Assumptions!$B$15:$B$18,MATCH(E1382,Assumptions!$A$15:$A$18,0)),"Yes","No")</f>
        <v>Yes</v>
      </c>
      <c r="O1382" s="31" t="str">
        <f aca="false">IF(H1382="","Open",IF(H1382&lt;=INDEX(Assumptions!$C$15:$C$18,MATCH(E1382,Assumptions!$A$15:$A$18,0)),"Yes","No"))</f>
        <v>Yes</v>
      </c>
    </row>
    <row r="1383" customFormat="false" ht="15" hidden="false" customHeight="false" outlineLevel="0" collapsed="false">
      <c r="A1383" s="31" t="s">
        <v>1533</v>
      </c>
      <c r="B1383" s="44" t="n">
        <v>46223</v>
      </c>
      <c r="C1383" s="31" t="s">
        <v>57</v>
      </c>
      <c r="D1383" s="31" t="s">
        <v>66</v>
      </c>
      <c r="E1383" s="31" t="s">
        <v>52</v>
      </c>
      <c r="F1383" s="31" t="s">
        <v>122</v>
      </c>
      <c r="G1383" s="31" t="n">
        <v>17</v>
      </c>
      <c r="H1383" s="41" t="n">
        <v>20.2</v>
      </c>
      <c r="I1383" s="31" t="s">
        <v>149</v>
      </c>
      <c r="J1383" s="31"/>
      <c r="K1383" s="31" t="s">
        <v>153</v>
      </c>
      <c r="L1383" s="45" t="n">
        <f aca="false">DATE(YEAR(B1383),MONTH(B1383),1)</f>
        <v>46204</v>
      </c>
      <c r="M1383" s="31" t="n">
        <f aca="false">WEEKDAY(B1383,2)</f>
        <v>1</v>
      </c>
      <c r="N1383" s="31" t="str">
        <f aca="false">IF(G1383&lt;=INDEX(Assumptions!$B$15:$B$18,MATCH(E1383,Assumptions!$A$15:$A$18,0)),"Yes","No")</f>
        <v>Yes</v>
      </c>
      <c r="O1383" s="31" t="str">
        <f aca="false">IF(H1383="","Open",IF(H1383&lt;=INDEX(Assumptions!$C$15:$C$18,MATCH(E1383,Assumptions!$A$15:$A$18,0)),"Yes","No"))</f>
        <v>Yes</v>
      </c>
    </row>
    <row r="1384" customFormat="false" ht="15" hidden="false" customHeight="false" outlineLevel="0" collapsed="false">
      <c r="A1384" s="31" t="s">
        <v>1534</v>
      </c>
      <c r="B1384" s="44" t="n">
        <v>46223</v>
      </c>
      <c r="C1384" s="31" t="s">
        <v>57</v>
      </c>
      <c r="D1384" s="31" t="s">
        <v>67</v>
      </c>
      <c r="E1384" s="31" t="s">
        <v>51</v>
      </c>
      <c r="F1384" s="31" t="s">
        <v>130</v>
      </c>
      <c r="G1384" s="31" t="n">
        <v>4</v>
      </c>
      <c r="H1384" s="41" t="n">
        <v>5.6</v>
      </c>
      <c r="I1384" s="31" t="s">
        <v>149</v>
      </c>
      <c r="J1384" s="31"/>
      <c r="K1384" s="31" t="s">
        <v>150</v>
      </c>
      <c r="L1384" s="45" t="n">
        <f aca="false">DATE(YEAR(B1384),MONTH(B1384),1)</f>
        <v>46204</v>
      </c>
      <c r="M1384" s="31" t="n">
        <f aca="false">WEEKDAY(B1384,2)</f>
        <v>1</v>
      </c>
      <c r="N1384" s="31" t="str">
        <f aca="false">IF(G1384&lt;=INDEX(Assumptions!$B$15:$B$18,MATCH(E1384,Assumptions!$A$15:$A$18,0)),"Yes","No")</f>
        <v>Yes</v>
      </c>
      <c r="O1384" s="31" t="str">
        <f aca="false">IF(H1384="","Open",IF(H1384&lt;=INDEX(Assumptions!$C$15:$C$18,MATCH(E1384,Assumptions!$A$15:$A$18,0)),"Yes","No"))</f>
        <v>Yes</v>
      </c>
    </row>
    <row r="1385" customFormat="false" ht="15" hidden="false" customHeight="false" outlineLevel="0" collapsed="false">
      <c r="A1385" s="31" t="s">
        <v>1535</v>
      </c>
      <c r="B1385" s="44" t="n">
        <v>46223</v>
      </c>
      <c r="C1385" s="31" t="s">
        <v>58</v>
      </c>
      <c r="D1385" s="31" t="s">
        <v>66</v>
      </c>
      <c r="E1385" s="31" t="s">
        <v>51</v>
      </c>
      <c r="F1385" s="31" t="s">
        <v>119</v>
      </c>
      <c r="G1385" s="31" t="n">
        <v>4</v>
      </c>
      <c r="H1385" s="41" t="n">
        <v>4.9</v>
      </c>
      <c r="I1385" s="31" t="s">
        <v>149</v>
      </c>
      <c r="J1385" s="31" t="n">
        <v>4</v>
      </c>
      <c r="K1385" s="31" t="s">
        <v>150</v>
      </c>
      <c r="L1385" s="45" t="n">
        <f aca="false">DATE(YEAR(B1385),MONTH(B1385),1)</f>
        <v>46204</v>
      </c>
      <c r="M1385" s="31" t="n">
        <f aca="false">WEEKDAY(B1385,2)</f>
        <v>1</v>
      </c>
      <c r="N1385" s="31" t="str">
        <f aca="false">IF(G1385&lt;=INDEX(Assumptions!$B$15:$B$18,MATCH(E1385,Assumptions!$A$15:$A$18,0)),"Yes","No")</f>
        <v>Yes</v>
      </c>
      <c r="O1385" s="31" t="str">
        <f aca="false">IF(H1385="","Open",IF(H1385&lt;=INDEX(Assumptions!$C$15:$C$18,MATCH(E1385,Assumptions!$A$15:$A$18,0)),"Yes","No"))</f>
        <v>Yes</v>
      </c>
    </row>
    <row r="1386" customFormat="false" ht="15" hidden="false" customHeight="false" outlineLevel="0" collapsed="false">
      <c r="A1386" s="31" t="s">
        <v>1536</v>
      </c>
      <c r="B1386" s="44" t="n">
        <v>46223</v>
      </c>
      <c r="C1386" s="31" t="s">
        <v>59</v>
      </c>
      <c r="D1386" s="31" t="s">
        <v>68</v>
      </c>
      <c r="E1386" s="31" t="s">
        <v>50</v>
      </c>
      <c r="F1386" s="31" t="s">
        <v>123</v>
      </c>
      <c r="G1386" s="31" t="n">
        <v>38</v>
      </c>
      <c r="H1386" s="41" t="n">
        <v>2.3</v>
      </c>
      <c r="I1386" s="31" t="s">
        <v>149</v>
      </c>
      <c r="J1386" s="31" t="n">
        <v>4</v>
      </c>
      <c r="K1386" s="31" t="s">
        <v>150</v>
      </c>
      <c r="L1386" s="45" t="n">
        <f aca="false">DATE(YEAR(B1386),MONTH(B1386),1)</f>
        <v>46204</v>
      </c>
      <c r="M1386" s="31" t="n">
        <f aca="false">WEEKDAY(B1386,2)</f>
        <v>1</v>
      </c>
      <c r="N1386" s="31" t="str">
        <f aca="false">IF(G1386&lt;=INDEX(Assumptions!$B$15:$B$18,MATCH(E1386,Assumptions!$A$15:$A$18,0)),"Yes","No")</f>
        <v>No</v>
      </c>
      <c r="O1386" s="31" t="str">
        <f aca="false">IF(H1386="","Open",IF(H1386&lt;=INDEX(Assumptions!$C$15:$C$18,MATCH(E1386,Assumptions!$A$15:$A$18,0)),"Yes","No"))</f>
        <v>Yes</v>
      </c>
    </row>
    <row r="1387" customFormat="false" ht="15" hidden="false" customHeight="false" outlineLevel="0" collapsed="false">
      <c r="A1387" s="31" t="s">
        <v>1537</v>
      </c>
      <c r="B1387" s="44" t="n">
        <v>46223</v>
      </c>
      <c r="C1387" s="31" t="s">
        <v>58</v>
      </c>
      <c r="D1387" s="31" t="s">
        <v>69</v>
      </c>
      <c r="E1387" s="31" t="s">
        <v>51</v>
      </c>
      <c r="F1387" s="31" t="s">
        <v>135</v>
      </c>
      <c r="G1387" s="31" t="n">
        <v>10</v>
      </c>
      <c r="H1387" s="41" t="n">
        <v>22.1</v>
      </c>
      <c r="I1387" s="31" t="s">
        <v>149</v>
      </c>
      <c r="J1387" s="31" t="n">
        <v>5</v>
      </c>
      <c r="K1387" s="31" t="s">
        <v>150</v>
      </c>
      <c r="L1387" s="45" t="n">
        <f aca="false">DATE(YEAR(B1387),MONTH(B1387),1)</f>
        <v>46204</v>
      </c>
      <c r="M1387" s="31" t="n">
        <f aca="false">WEEKDAY(B1387,2)</f>
        <v>1</v>
      </c>
      <c r="N1387" s="31" t="str">
        <f aca="false">IF(G1387&lt;=INDEX(Assumptions!$B$15:$B$18,MATCH(E1387,Assumptions!$A$15:$A$18,0)),"Yes","No")</f>
        <v>Yes</v>
      </c>
      <c r="O1387" s="31" t="str">
        <f aca="false">IF(H1387="","Open",IF(H1387&lt;=INDEX(Assumptions!$C$15:$C$18,MATCH(E1387,Assumptions!$A$15:$A$18,0)),"Yes","No"))</f>
        <v>Yes</v>
      </c>
    </row>
    <row r="1388" customFormat="false" ht="15" hidden="false" customHeight="false" outlineLevel="0" collapsed="false">
      <c r="A1388" s="31" t="s">
        <v>1538</v>
      </c>
      <c r="B1388" s="44" t="n">
        <v>46223</v>
      </c>
      <c r="C1388" s="31" t="s">
        <v>58</v>
      </c>
      <c r="D1388" s="31" t="s">
        <v>68</v>
      </c>
      <c r="E1388" s="31" t="s">
        <v>51</v>
      </c>
      <c r="F1388" s="31" t="s">
        <v>129</v>
      </c>
      <c r="G1388" s="31" t="n">
        <v>8</v>
      </c>
      <c r="H1388" s="41" t="n">
        <v>5.6</v>
      </c>
      <c r="I1388" s="31" t="s">
        <v>149</v>
      </c>
      <c r="J1388" s="31" t="n">
        <v>5</v>
      </c>
      <c r="K1388" s="31" t="s">
        <v>150</v>
      </c>
      <c r="L1388" s="45" t="n">
        <f aca="false">DATE(YEAR(B1388),MONTH(B1388),1)</f>
        <v>46204</v>
      </c>
      <c r="M1388" s="31" t="n">
        <f aca="false">WEEKDAY(B1388,2)</f>
        <v>1</v>
      </c>
      <c r="N1388" s="31" t="str">
        <f aca="false">IF(G1388&lt;=INDEX(Assumptions!$B$15:$B$18,MATCH(E1388,Assumptions!$A$15:$A$18,0)),"Yes","No")</f>
        <v>Yes</v>
      </c>
      <c r="O1388" s="31" t="str">
        <f aca="false">IF(H1388="","Open",IF(H1388&lt;=INDEX(Assumptions!$C$15:$C$18,MATCH(E1388,Assumptions!$A$15:$A$18,0)),"Yes","No"))</f>
        <v>Yes</v>
      </c>
    </row>
    <row r="1389" customFormat="false" ht="15" hidden="false" customHeight="false" outlineLevel="0" collapsed="false">
      <c r="A1389" s="31" t="s">
        <v>1539</v>
      </c>
      <c r="B1389" s="44" t="n">
        <v>46223</v>
      </c>
      <c r="C1389" s="31" t="s">
        <v>59</v>
      </c>
      <c r="D1389" s="31" t="s">
        <v>65</v>
      </c>
      <c r="E1389" s="31" t="s">
        <v>51</v>
      </c>
      <c r="F1389" s="31" t="s">
        <v>134</v>
      </c>
      <c r="G1389" s="31" t="n">
        <v>200</v>
      </c>
      <c r="H1389" s="41" t="n">
        <v>11</v>
      </c>
      <c r="I1389" s="31" t="s">
        <v>149</v>
      </c>
      <c r="J1389" s="31" t="n">
        <v>2</v>
      </c>
      <c r="K1389" s="31" t="s">
        <v>153</v>
      </c>
      <c r="L1389" s="45" t="n">
        <f aca="false">DATE(YEAR(B1389),MONTH(B1389),1)</f>
        <v>46204</v>
      </c>
      <c r="M1389" s="31" t="n">
        <f aca="false">WEEKDAY(B1389,2)</f>
        <v>1</v>
      </c>
      <c r="N1389" s="31" t="str">
        <f aca="false">IF(G1389&lt;=INDEX(Assumptions!$B$15:$B$18,MATCH(E1389,Assumptions!$A$15:$A$18,0)),"Yes","No")</f>
        <v>No</v>
      </c>
      <c r="O1389" s="31" t="str">
        <f aca="false">IF(H1389="","Open",IF(H1389&lt;=INDEX(Assumptions!$C$15:$C$18,MATCH(E1389,Assumptions!$A$15:$A$18,0)),"Yes","No"))</f>
        <v>Yes</v>
      </c>
    </row>
    <row r="1390" customFormat="false" ht="15" hidden="false" customHeight="false" outlineLevel="0" collapsed="false">
      <c r="A1390" s="31" t="s">
        <v>1540</v>
      </c>
      <c r="B1390" s="44" t="n">
        <v>46223</v>
      </c>
      <c r="C1390" s="31" t="s">
        <v>57</v>
      </c>
      <c r="D1390" s="31" t="s">
        <v>66</v>
      </c>
      <c r="E1390" s="31" t="s">
        <v>51</v>
      </c>
      <c r="F1390" s="31" t="s">
        <v>121</v>
      </c>
      <c r="G1390" s="31" t="n">
        <v>4</v>
      </c>
      <c r="H1390" s="41" t="n">
        <v>5.2</v>
      </c>
      <c r="I1390" s="31" t="s">
        <v>149</v>
      </c>
      <c r="J1390" s="31" t="n">
        <v>5</v>
      </c>
      <c r="K1390" s="31" t="s">
        <v>150</v>
      </c>
      <c r="L1390" s="45" t="n">
        <f aca="false">DATE(YEAR(B1390),MONTH(B1390),1)</f>
        <v>46204</v>
      </c>
      <c r="M1390" s="31" t="n">
        <f aca="false">WEEKDAY(B1390,2)</f>
        <v>1</v>
      </c>
      <c r="N1390" s="31" t="str">
        <f aca="false">IF(G1390&lt;=INDEX(Assumptions!$B$15:$B$18,MATCH(E1390,Assumptions!$A$15:$A$18,0)),"Yes","No")</f>
        <v>Yes</v>
      </c>
      <c r="O1390" s="31" t="str">
        <f aca="false">IF(H1390="","Open",IF(H1390&lt;=INDEX(Assumptions!$C$15:$C$18,MATCH(E1390,Assumptions!$A$15:$A$18,0)),"Yes","No"))</f>
        <v>Yes</v>
      </c>
    </row>
    <row r="1391" customFormat="false" ht="15" hidden="false" customHeight="false" outlineLevel="0" collapsed="false">
      <c r="A1391" s="31" t="s">
        <v>1541</v>
      </c>
      <c r="B1391" s="44" t="n">
        <v>46223</v>
      </c>
      <c r="C1391" s="31" t="s">
        <v>59</v>
      </c>
      <c r="D1391" s="31" t="s">
        <v>65</v>
      </c>
      <c r="E1391" s="31" t="s">
        <v>51</v>
      </c>
      <c r="F1391" s="31" t="s">
        <v>133</v>
      </c>
      <c r="G1391" s="31" t="n">
        <v>593</v>
      </c>
      <c r="H1391" s="41" t="n">
        <v>17.3</v>
      </c>
      <c r="I1391" s="31" t="s">
        <v>149</v>
      </c>
      <c r="J1391" s="31" t="n">
        <v>5</v>
      </c>
      <c r="K1391" s="31" t="s">
        <v>150</v>
      </c>
      <c r="L1391" s="45" t="n">
        <f aca="false">DATE(YEAR(B1391),MONTH(B1391),1)</f>
        <v>46204</v>
      </c>
      <c r="M1391" s="31" t="n">
        <f aca="false">WEEKDAY(B1391,2)</f>
        <v>1</v>
      </c>
      <c r="N1391" s="31" t="str">
        <f aca="false">IF(G1391&lt;=INDEX(Assumptions!$B$15:$B$18,MATCH(E1391,Assumptions!$A$15:$A$18,0)),"Yes","No")</f>
        <v>No</v>
      </c>
      <c r="O1391" s="31" t="str">
        <f aca="false">IF(H1391="","Open",IF(H1391&lt;=INDEX(Assumptions!$C$15:$C$18,MATCH(E1391,Assumptions!$A$15:$A$18,0)),"Yes","No"))</f>
        <v>Yes</v>
      </c>
    </row>
    <row r="1392" customFormat="false" ht="15" hidden="false" customHeight="false" outlineLevel="0" collapsed="false">
      <c r="A1392" s="31" t="s">
        <v>1542</v>
      </c>
      <c r="B1392" s="44" t="n">
        <v>46223</v>
      </c>
      <c r="C1392" s="31" t="s">
        <v>58</v>
      </c>
      <c r="D1392" s="31" t="s">
        <v>65</v>
      </c>
      <c r="E1392" s="31" t="s">
        <v>51</v>
      </c>
      <c r="F1392" s="31" t="s">
        <v>121</v>
      </c>
      <c r="G1392" s="31" t="n">
        <v>24</v>
      </c>
      <c r="H1392" s="41" t="n">
        <v>20.7</v>
      </c>
      <c r="I1392" s="31" t="s">
        <v>149</v>
      </c>
      <c r="J1392" s="31" t="n">
        <v>4</v>
      </c>
      <c r="K1392" s="31" t="s">
        <v>150</v>
      </c>
      <c r="L1392" s="45" t="n">
        <f aca="false">DATE(YEAR(B1392),MONTH(B1392),1)</f>
        <v>46204</v>
      </c>
      <c r="M1392" s="31" t="n">
        <f aca="false">WEEKDAY(B1392,2)</f>
        <v>1</v>
      </c>
      <c r="N1392" s="31" t="str">
        <f aca="false">IF(G1392&lt;=INDEX(Assumptions!$B$15:$B$18,MATCH(E1392,Assumptions!$A$15:$A$18,0)),"Yes","No")</f>
        <v>Yes</v>
      </c>
      <c r="O1392" s="31" t="str">
        <f aca="false">IF(H1392="","Open",IF(H1392&lt;=INDEX(Assumptions!$C$15:$C$18,MATCH(E1392,Assumptions!$A$15:$A$18,0)),"Yes","No"))</f>
        <v>Yes</v>
      </c>
    </row>
    <row r="1393" customFormat="false" ht="15" hidden="false" customHeight="false" outlineLevel="0" collapsed="false">
      <c r="A1393" s="31" t="s">
        <v>1543</v>
      </c>
      <c r="B1393" s="44" t="n">
        <v>46223</v>
      </c>
      <c r="C1393" s="31" t="s">
        <v>59</v>
      </c>
      <c r="D1393" s="31" t="s">
        <v>68</v>
      </c>
      <c r="E1393" s="31" t="s">
        <v>52</v>
      </c>
      <c r="F1393" s="31" t="s">
        <v>136</v>
      </c>
      <c r="G1393" s="31" t="n">
        <v>836</v>
      </c>
      <c r="H1393" s="41" t="n">
        <v>1.8</v>
      </c>
      <c r="I1393" s="31" t="s">
        <v>149</v>
      </c>
      <c r="J1393" s="31" t="n">
        <v>4</v>
      </c>
      <c r="K1393" s="31" t="s">
        <v>150</v>
      </c>
      <c r="L1393" s="45" t="n">
        <f aca="false">DATE(YEAR(B1393),MONTH(B1393),1)</f>
        <v>46204</v>
      </c>
      <c r="M1393" s="31" t="n">
        <f aca="false">WEEKDAY(B1393,2)</f>
        <v>1</v>
      </c>
      <c r="N1393" s="31" t="str">
        <f aca="false">IF(G1393&lt;=INDEX(Assumptions!$B$15:$B$18,MATCH(E1393,Assumptions!$A$15:$A$18,0)),"Yes","No")</f>
        <v>No</v>
      </c>
      <c r="O1393" s="31" t="str">
        <f aca="false">IF(H1393="","Open",IF(H1393&lt;=INDEX(Assumptions!$C$15:$C$18,MATCH(E1393,Assumptions!$A$15:$A$18,0)),"Yes","No"))</f>
        <v>Yes</v>
      </c>
    </row>
    <row r="1394" customFormat="false" ht="15" hidden="false" customHeight="false" outlineLevel="0" collapsed="false">
      <c r="A1394" s="31" t="s">
        <v>1544</v>
      </c>
      <c r="B1394" s="44" t="n">
        <v>46223</v>
      </c>
      <c r="C1394" s="31" t="s">
        <v>60</v>
      </c>
      <c r="D1394" s="31" t="s">
        <v>69</v>
      </c>
      <c r="E1394" s="31" t="s">
        <v>51</v>
      </c>
      <c r="F1394" s="31" t="s">
        <v>129</v>
      </c>
      <c r="G1394" s="31" t="n">
        <v>4</v>
      </c>
      <c r="H1394" s="41" t="n">
        <v>4.9</v>
      </c>
      <c r="I1394" s="31" t="s">
        <v>149</v>
      </c>
      <c r="J1394" s="31" t="n">
        <v>5</v>
      </c>
      <c r="K1394" s="31" t="s">
        <v>150</v>
      </c>
      <c r="L1394" s="45" t="n">
        <f aca="false">DATE(YEAR(B1394),MONTH(B1394),1)</f>
        <v>46204</v>
      </c>
      <c r="M1394" s="31" t="n">
        <f aca="false">WEEKDAY(B1394,2)</f>
        <v>1</v>
      </c>
      <c r="N1394" s="31" t="str">
        <f aca="false">IF(G1394&lt;=INDEX(Assumptions!$B$15:$B$18,MATCH(E1394,Assumptions!$A$15:$A$18,0)),"Yes","No")</f>
        <v>Yes</v>
      </c>
      <c r="O1394" s="31" t="str">
        <f aca="false">IF(H1394="","Open",IF(H1394&lt;=INDEX(Assumptions!$C$15:$C$18,MATCH(E1394,Assumptions!$A$15:$A$18,0)),"Yes","No"))</f>
        <v>Yes</v>
      </c>
    </row>
    <row r="1395" customFormat="false" ht="15" hidden="false" customHeight="false" outlineLevel="0" collapsed="false">
      <c r="A1395" s="31" t="s">
        <v>1545</v>
      </c>
      <c r="B1395" s="44" t="n">
        <v>46223</v>
      </c>
      <c r="C1395" s="31" t="s">
        <v>60</v>
      </c>
      <c r="D1395" s="31" t="s">
        <v>68</v>
      </c>
      <c r="E1395" s="31" t="s">
        <v>52</v>
      </c>
      <c r="F1395" s="31" t="s">
        <v>135</v>
      </c>
      <c r="G1395" s="31" t="n">
        <v>7</v>
      </c>
      <c r="H1395" s="41" t="n">
        <v>9.2</v>
      </c>
      <c r="I1395" s="31" t="s">
        <v>149</v>
      </c>
      <c r="J1395" s="31"/>
      <c r="K1395" s="31" t="s">
        <v>150</v>
      </c>
      <c r="L1395" s="45" t="n">
        <f aca="false">DATE(YEAR(B1395),MONTH(B1395),1)</f>
        <v>46204</v>
      </c>
      <c r="M1395" s="31" t="n">
        <f aca="false">WEEKDAY(B1395,2)</f>
        <v>1</v>
      </c>
      <c r="N1395" s="31" t="str">
        <f aca="false">IF(G1395&lt;=INDEX(Assumptions!$B$15:$B$18,MATCH(E1395,Assumptions!$A$15:$A$18,0)),"Yes","No")</f>
        <v>Yes</v>
      </c>
      <c r="O1395" s="31" t="str">
        <f aca="false">IF(H1395="","Open",IF(H1395&lt;=INDEX(Assumptions!$C$15:$C$18,MATCH(E1395,Assumptions!$A$15:$A$18,0)),"Yes","No"))</f>
        <v>Yes</v>
      </c>
    </row>
    <row r="1396" customFormat="false" ht="15" hidden="false" customHeight="false" outlineLevel="0" collapsed="false">
      <c r="A1396" s="31" t="s">
        <v>1546</v>
      </c>
      <c r="B1396" s="44" t="n">
        <v>46223</v>
      </c>
      <c r="C1396" s="31" t="s">
        <v>57</v>
      </c>
      <c r="D1396" s="31" t="s">
        <v>67</v>
      </c>
      <c r="E1396" s="31" t="s">
        <v>52</v>
      </c>
      <c r="F1396" s="31" t="s">
        <v>119</v>
      </c>
      <c r="G1396" s="31" t="n">
        <v>3</v>
      </c>
      <c r="H1396" s="41" t="n">
        <v>20.2</v>
      </c>
      <c r="I1396" s="31" t="s">
        <v>149</v>
      </c>
      <c r="J1396" s="31" t="n">
        <v>3</v>
      </c>
      <c r="K1396" s="31" t="s">
        <v>150</v>
      </c>
      <c r="L1396" s="45" t="n">
        <f aca="false">DATE(YEAR(B1396),MONTH(B1396),1)</f>
        <v>46204</v>
      </c>
      <c r="M1396" s="31" t="n">
        <f aca="false">WEEKDAY(B1396,2)</f>
        <v>1</v>
      </c>
      <c r="N1396" s="31" t="str">
        <f aca="false">IF(G1396&lt;=INDEX(Assumptions!$B$15:$B$18,MATCH(E1396,Assumptions!$A$15:$A$18,0)),"Yes","No")</f>
        <v>Yes</v>
      </c>
      <c r="O1396" s="31" t="str">
        <f aca="false">IF(H1396="","Open",IF(H1396&lt;=INDEX(Assumptions!$C$15:$C$18,MATCH(E1396,Assumptions!$A$15:$A$18,0)),"Yes","No"))</f>
        <v>Yes</v>
      </c>
    </row>
    <row r="1397" customFormat="false" ht="15" hidden="false" customHeight="false" outlineLevel="0" collapsed="false">
      <c r="A1397" s="31" t="s">
        <v>1547</v>
      </c>
      <c r="B1397" s="44" t="n">
        <v>46223</v>
      </c>
      <c r="C1397" s="31" t="s">
        <v>57</v>
      </c>
      <c r="D1397" s="31" t="s">
        <v>65</v>
      </c>
      <c r="E1397" s="31" t="s">
        <v>52</v>
      </c>
      <c r="F1397" s="31" t="s">
        <v>126</v>
      </c>
      <c r="G1397" s="31" t="n">
        <v>4</v>
      </c>
      <c r="H1397" s="41" t="n">
        <v>12.4</v>
      </c>
      <c r="I1397" s="31" t="s">
        <v>149</v>
      </c>
      <c r="J1397" s="31" t="n">
        <v>3</v>
      </c>
      <c r="K1397" s="31" t="s">
        <v>150</v>
      </c>
      <c r="L1397" s="45" t="n">
        <f aca="false">DATE(YEAR(B1397),MONTH(B1397),1)</f>
        <v>46204</v>
      </c>
      <c r="M1397" s="31" t="n">
        <f aca="false">WEEKDAY(B1397,2)</f>
        <v>1</v>
      </c>
      <c r="N1397" s="31" t="str">
        <f aca="false">IF(G1397&lt;=INDEX(Assumptions!$B$15:$B$18,MATCH(E1397,Assumptions!$A$15:$A$18,0)),"Yes","No")</f>
        <v>Yes</v>
      </c>
      <c r="O1397" s="31" t="str">
        <f aca="false">IF(H1397="","Open",IF(H1397&lt;=INDEX(Assumptions!$C$15:$C$18,MATCH(E1397,Assumptions!$A$15:$A$18,0)),"Yes","No"))</f>
        <v>Yes</v>
      </c>
    </row>
    <row r="1398" customFormat="false" ht="15" hidden="false" customHeight="false" outlineLevel="0" collapsed="false">
      <c r="A1398" s="31" t="s">
        <v>1548</v>
      </c>
      <c r="B1398" s="44" t="n">
        <v>46223</v>
      </c>
      <c r="C1398" s="31" t="s">
        <v>58</v>
      </c>
      <c r="D1398" s="31" t="s">
        <v>65</v>
      </c>
      <c r="E1398" s="31" t="s">
        <v>51</v>
      </c>
      <c r="F1398" s="31" t="s">
        <v>123</v>
      </c>
      <c r="G1398" s="31" t="n">
        <v>15</v>
      </c>
      <c r="H1398" s="41" t="n">
        <v>8.9</v>
      </c>
      <c r="I1398" s="31" t="s">
        <v>149</v>
      </c>
      <c r="J1398" s="31" t="n">
        <v>4</v>
      </c>
      <c r="K1398" s="31" t="s">
        <v>150</v>
      </c>
      <c r="L1398" s="45" t="n">
        <f aca="false">DATE(YEAR(B1398),MONTH(B1398),1)</f>
        <v>46204</v>
      </c>
      <c r="M1398" s="31" t="n">
        <f aca="false">WEEKDAY(B1398,2)</f>
        <v>1</v>
      </c>
      <c r="N1398" s="31" t="str">
        <f aca="false">IF(G1398&lt;=INDEX(Assumptions!$B$15:$B$18,MATCH(E1398,Assumptions!$A$15:$A$18,0)),"Yes","No")</f>
        <v>Yes</v>
      </c>
      <c r="O1398" s="31" t="str">
        <f aca="false">IF(H1398="","Open",IF(H1398&lt;=INDEX(Assumptions!$C$15:$C$18,MATCH(E1398,Assumptions!$A$15:$A$18,0)),"Yes","No"))</f>
        <v>Yes</v>
      </c>
    </row>
    <row r="1399" customFormat="false" ht="15" hidden="false" customHeight="false" outlineLevel="0" collapsed="false">
      <c r="A1399" s="31" t="s">
        <v>1549</v>
      </c>
      <c r="B1399" s="44" t="n">
        <v>46223</v>
      </c>
      <c r="C1399" s="31" t="s">
        <v>57</v>
      </c>
      <c r="D1399" s="31" t="s">
        <v>67</v>
      </c>
      <c r="E1399" s="31" t="s">
        <v>51</v>
      </c>
      <c r="F1399" s="31" t="s">
        <v>124</v>
      </c>
      <c r="G1399" s="31" t="n">
        <v>2</v>
      </c>
      <c r="H1399" s="41" t="n">
        <v>13.4</v>
      </c>
      <c r="I1399" s="31" t="s">
        <v>149</v>
      </c>
      <c r="J1399" s="31"/>
      <c r="K1399" s="31" t="s">
        <v>150</v>
      </c>
      <c r="L1399" s="45" t="n">
        <f aca="false">DATE(YEAR(B1399),MONTH(B1399),1)</f>
        <v>46204</v>
      </c>
      <c r="M1399" s="31" t="n">
        <f aca="false">WEEKDAY(B1399,2)</f>
        <v>1</v>
      </c>
      <c r="N1399" s="31" t="str">
        <f aca="false">IF(G1399&lt;=INDEX(Assumptions!$B$15:$B$18,MATCH(E1399,Assumptions!$A$15:$A$18,0)),"Yes","No")</f>
        <v>Yes</v>
      </c>
      <c r="O1399" s="31" t="str">
        <f aca="false">IF(H1399="","Open",IF(H1399&lt;=INDEX(Assumptions!$C$15:$C$18,MATCH(E1399,Assumptions!$A$15:$A$18,0)),"Yes","No"))</f>
        <v>Yes</v>
      </c>
    </row>
    <row r="1400" customFormat="false" ht="15" hidden="false" customHeight="false" outlineLevel="0" collapsed="false">
      <c r="A1400" s="31" t="s">
        <v>1550</v>
      </c>
      <c r="B1400" s="44" t="n">
        <v>46223</v>
      </c>
      <c r="C1400" s="31" t="s">
        <v>58</v>
      </c>
      <c r="D1400" s="31" t="s">
        <v>65</v>
      </c>
      <c r="E1400" s="31" t="s">
        <v>49</v>
      </c>
      <c r="F1400" s="31" t="s">
        <v>128</v>
      </c>
      <c r="G1400" s="31" t="n">
        <v>11</v>
      </c>
      <c r="H1400" s="41" t="n">
        <v>3.5</v>
      </c>
      <c r="I1400" s="31" t="s">
        <v>149</v>
      </c>
      <c r="J1400" s="31" t="n">
        <v>4</v>
      </c>
      <c r="K1400" s="31" t="s">
        <v>150</v>
      </c>
      <c r="L1400" s="45" t="n">
        <f aca="false">DATE(YEAR(B1400),MONTH(B1400),1)</f>
        <v>46204</v>
      </c>
      <c r="M1400" s="31" t="n">
        <f aca="false">WEEKDAY(B1400,2)</f>
        <v>1</v>
      </c>
      <c r="N1400" s="31" t="str">
        <f aca="false">IF(G1400&lt;=INDEX(Assumptions!$B$15:$B$18,MATCH(E1400,Assumptions!$A$15:$A$18,0)),"Yes","No")</f>
        <v>Yes</v>
      </c>
      <c r="O1400" s="31" t="str">
        <f aca="false">IF(H1400="","Open",IF(H1400&lt;=INDEX(Assumptions!$C$15:$C$18,MATCH(E1400,Assumptions!$A$15:$A$18,0)),"Yes","No"))</f>
        <v>Yes</v>
      </c>
    </row>
    <row r="1401" customFormat="false" ht="15" hidden="false" customHeight="false" outlineLevel="0" collapsed="false">
      <c r="A1401" s="31" t="s">
        <v>1551</v>
      </c>
      <c r="B1401" s="44" t="n">
        <v>46223</v>
      </c>
      <c r="C1401" s="31" t="s">
        <v>60</v>
      </c>
      <c r="D1401" s="31" t="s">
        <v>67</v>
      </c>
      <c r="E1401" s="31" t="s">
        <v>51</v>
      </c>
      <c r="F1401" s="31" t="s">
        <v>136</v>
      </c>
      <c r="G1401" s="31" t="n">
        <v>2</v>
      </c>
      <c r="H1401" s="41" t="n">
        <v>6.3</v>
      </c>
      <c r="I1401" s="31" t="s">
        <v>149</v>
      </c>
      <c r="J1401" s="31" t="n">
        <v>5</v>
      </c>
      <c r="K1401" s="31" t="s">
        <v>150</v>
      </c>
      <c r="L1401" s="45" t="n">
        <f aca="false">DATE(YEAR(B1401),MONTH(B1401),1)</f>
        <v>46204</v>
      </c>
      <c r="M1401" s="31" t="n">
        <f aca="false">WEEKDAY(B1401,2)</f>
        <v>1</v>
      </c>
      <c r="N1401" s="31" t="str">
        <f aca="false">IF(G1401&lt;=INDEX(Assumptions!$B$15:$B$18,MATCH(E1401,Assumptions!$A$15:$A$18,0)),"Yes","No")</f>
        <v>Yes</v>
      </c>
      <c r="O1401" s="31" t="str">
        <f aca="false">IF(H1401="","Open",IF(H1401&lt;=INDEX(Assumptions!$C$15:$C$18,MATCH(E1401,Assumptions!$A$15:$A$18,0)),"Yes","No"))</f>
        <v>Yes</v>
      </c>
    </row>
    <row r="1402" customFormat="false" ht="15" hidden="false" customHeight="false" outlineLevel="0" collapsed="false">
      <c r="A1402" s="31" t="s">
        <v>1552</v>
      </c>
      <c r="B1402" s="44" t="n">
        <v>46223</v>
      </c>
      <c r="C1402" s="31" t="s">
        <v>58</v>
      </c>
      <c r="D1402" s="31" t="s">
        <v>66</v>
      </c>
      <c r="E1402" s="31" t="s">
        <v>51</v>
      </c>
      <c r="F1402" s="31" t="s">
        <v>122</v>
      </c>
      <c r="G1402" s="31" t="n">
        <v>20</v>
      </c>
      <c r="H1402" s="41" t="n">
        <v>3.7</v>
      </c>
      <c r="I1402" s="31" t="s">
        <v>149</v>
      </c>
      <c r="J1402" s="31" t="n">
        <v>4</v>
      </c>
      <c r="K1402" s="31" t="s">
        <v>150</v>
      </c>
      <c r="L1402" s="45" t="n">
        <f aca="false">DATE(YEAR(B1402),MONTH(B1402),1)</f>
        <v>46204</v>
      </c>
      <c r="M1402" s="31" t="n">
        <f aca="false">WEEKDAY(B1402,2)</f>
        <v>1</v>
      </c>
      <c r="N1402" s="31" t="str">
        <f aca="false">IF(G1402&lt;=INDEX(Assumptions!$B$15:$B$18,MATCH(E1402,Assumptions!$A$15:$A$18,0)),"Yes","No")</f>
        <v>Yes</v>
      </c>
      <c r="O1402" s="31" t="str">
        <f aca="false">IF(H1402="","Open",IF(H1402&lt;=INDEX(Assumptions!$C$15:$C$18,MATCH(E1402,Assumptions!$A$15:$A$18,0)),"Yes","No"))</f>
        <v>Yes</v>
      </c>
    </row>
    <row r="1403" customFormat="false" ht="15" hidden="false" customHeight="false" outlineLevel="0" collapsed="false">
      <c r="A1403" s="31" t="s">
        <v>1553</v>
      </c>
      <c r="B1403" s="44" t="n">
        <v>46223</v>
      </c>
      <c r="C1403" s="31" t="s">
        <v>58</v>
      </c>
      <c r="D1403" s="31" t="s">
        <v>65</v>
      </c>
      <c r="E1403" s="31" t="s">
        <v>51</v>
      </c>
      <c r="F1403" s="31" t="s">
        <v>122</v>
      </c>
      <c r="G1403" s="31" t="n">
        <v>9</v>
      </c>
      <c r="H1403" s="41" t="n">
        <v>9.9</v>
      </c>
      <c r="I1403" s="31" t="s">
        <v>149</v>
      </c>
      <c r="J1403" s="31" t="n">
        <v>5</v>
      </c>
      <c r="K1403" s="31" t="s">
        <v>150</v>
      </c>
      <c r="L1403" s="45" t="n">
        <f aca="false">DATE(YEAR(B1403),MONTH(B1403),1)</f>
        <v>46204</v>
      </c>
      <c r="M1403" s="31" t="n">
        <f aca="false">WEEKDAY(B1403,2)</f>
        <v>1</v>
      </c>
      <c r="N1403" s="31" t="str">
        <f aca="false">IF(G1403&lt;=INDEX(Assumptions!$B$15:$B$18,MATCH(E1403,Assumptions!$A$15:$A$18,0)),"Yes","No")</f>
        <v>Yes</v>
      </c>
      <c r="O1403" s="31" t="str">
        <f aca="false">IF(H1403="","Open",IF(H1403&lt;=INDEX(Assumptions!$C$15:$C$18,MATCH(E1403,Assumptions!$A$15:$A$18,0)),"Yes","No"))</f>
        <v>Yes</v>
      </c>
    </row>
    <row r="1404" customFormat="false" ht="15" hidden="false" customHeight="false" outlineLevel="0" collapsed="false">
      <c r="A1404" s="31" t="s">
        <v>1554</v>
      </c>
      <c r="B1404" s="44" t="n">
        <v>46223</v>
      </c>
      <c r="C1404" s="31" t="s">
        <v>57</v>
      </c>
      <c r="D1404" s="31" t="s">
        <v>67</v>
      </c>
      <c r="E1404" s="31" t="s">
        <v>49</v>
      </c>
      <c r="F1404" s="31" t="s">
        <v>129</v>
      </c>
      <c r="G1404" s="31" t="n">
        <v>3</v>
      </c>
      <c r="H1404" s="41" t="n">
        <v>1.8</v>
      </c>
      <c r="I1404" s="31" t="s">
        <v>149</v>
      </c>
      <c r="J1404" s="31"/>
      <c r="K1404" s="31" t="s">
        <v>150</v>
      </c>
      <c r="L1404" s="45" t="n">
        <f aca="false">DATE(YEAR(B1404),MONTH(B1404),1)</f>
        <v>46204</v>
      </c>
      <c r="M1404" s="31" t="n">
        <f aca="false">WEEKDAY(B1404,2)</f>
        <v>1</v>
      </c>
      <c r="N1404" s="31" t="str">
        <f aca="false">IF(G1404&lt;=INDEX(Assumptions!$B$15:$B$18,MATCH(E1404,Assumptions!$A$15:$A$18,0)),"Yes","No")</f>
        <v>Yes</v>
      </c>
      <c r="O1404" s="31" t="str">
        <f aca="false">IF(H1404="","Open",IF(H1404&lt;=INDEX(Assumptions!$C$15:$C$18,MATCH(E1404,Assumptions!$A$15:$A$18,0)),"Yes","No"))</f>
        <v>Yes</v>
      </c>
    </row>
    <row r="1405" customFormat="false" ht="15" hidden="false" customHeight="false" outlineLevel="0" collapsed="false">
      <c r="A1405" s="31" t="s">
        <v>1555</v>
      </c>
      <c r="B1405" s="44" t="n">
        <v>46223</v>
      </c>
      <c r="C1405" s="31" t="s">
        <v>57</v>
      </c>
      <c r="D1405" s="31" t="s">
        <v>66</v>
      </c>
      <c r="E1405" s="31" t="s">
        <v>49</v>
      </c>
      <c r="F1405" s="31" t="s">
        <v>136</v>
      </c>
      <c r="G1405" s="31" t="n">
        <v>1</v>
      </c>
      <c r="H1405" s="41" t="n">
        <v>1</v>
      </c>
      <c r="I1405" s="31" t="s">
        <v>149</v>
      </c>
      <c r="J1405" s="31" t="n">
        <v>5</v>
      </c>
      <c r="K1405" s="31" t="s">
        <v>150</v>
      </c>
      <c r="L1405" s="45" t="n">
        <f aca="false">DATE(YEAR(B1405),MONTH(B1405),1)</f>
        <v>46204</v>
      </c>
      <c r="M1405" s="31" t="n">
        <f aca="false">WEEKDAY(B1405,2)</f>
        <v>1</v>
      </c>
      <c r="N1405" s="31" t="str">
        <f aca="false">IF(G1405&lt;=INDEX(Assumptions!$B$15:$B$18,MATCH(E1405,Assumptions!$A$15:$A$18,0)),"Yes","No")</f>
        <v>Yes</v>
      </c>
      <c r="O1405" s="31" t="str">
        <f aca="false">IF(H1405="","Open",IF(H1405&lt;=INDEX(Assumptions!$C$15:$C$18,MATCH(E1405,Assumptions!$A$15:$A$18,0)),"Yes","No"))</f>
        <v>Yes</v>
      </c>
    </row>
    <row r="1406" customFormat="false" ht="15" hidden="false" customHeight="false" outlineLevel="0" collapsed="false">
      <c r="A1406" s="31" t="s">
        <v>1556</v>
      </c>
      <c r="B1406" s="44" t="n">
        <v>46223</v>
      </c>
      <c r="C1406" s="31" t="s">
        <v>57</v>
      </c>
      <c r="D1406" s="31" t="s">
        <v>67</v>
      </c>
      <c r="E1406" s="31" t="s">
        <v>50</v>
      </c>
      <c r="F1406" s="31" t="s">
        <v>134</v>
      </c>
      <c r="G1406" s="31" t="n">
        <v>18</v>
      </c>
      <c r="H1406" s="41" t="n">
        <v>11.6</v>
      </c>
      <c r="I1406" s="31" t="s">
        <v>149</v>
      </c>
      <c r="J1406" s="31" t="n">
        <v>4</v>
      </c>
      <c r="K1406" s="31" t="s">
        <v>150</v>
      </c>
      <c r="L1406" s="45" t="n">
        <f aca="false">DATE(YEAR(B1406),MONTH(B1406),1)</f>
        <v>46204</v>
      </c>
      <c r="M1406" s="31" t="n">
        <f aca="false">WEEKDAY(B1406,2)</f>
        <v>1</v>
      </c>
      <c r="N1406" s="31" t="str">
        <f aca="false">IF(G1406&lt;=INDEX(Assumptions!$B$15:$B$18,MATCH(E1406,Assumptions!$A$15:$A$18,0)),"Yes","No")</f>
        <v>Yes</v>
      </c>
      <c r="O1406" s="31" t="str">
        <f aca="false">IF(H1406="","Open",IF(H1406&lt;=INDEX(Assumptions!$C$15:$C$18,MATCH(E1406,Assumptions!$A$15:$A$18,0)),"Yes","No"))</f>
        <v>No</v>
      </c>
    </row>
    <row r="1407" customFormat="false" ht="15" hidden="false" customHeight="false" outlineLevel="0" collapsed="false">
      <c r="A1407" s="31" t="s">
        <v>1557</v>
      </c>
      <c r="B1407" s="44" t="n">
        <v>46223</v>
      </c>
      <c r="C1407" s="31" t="s">
        <v>59</v>
      </c>
      <c r="D1407" s="31" t="s">
        <v>69</v>
      </c>
      <c r="E1407" s="31" t="s">
        <v>51</v>
      </c>
      <c r="F1407" s="31" t="s">
        <v>128</v>
      </c>
      <c r="G1407" s="31" t="n">
        <v>223</v>
      </c>
      <c r="H1407" s="41" t="n">
        <v>22.5</v>
      </c>
      <c r="I1407" s="31" t="s">
        <v>64</v>
      </c>
      <c r="J1407" s="31"/>
      <c r="K1407" s="31" t="s">
        <v>150</v>
      </c>
      <c r="L1407" s="45" t="n">
        <f aca="false">DATE(YEAR(B1407),MONTH(B1407),1)</f>
        <v>46204</v>
      </c>
      <c r="M1407" s="31" t="n">
        <f aca="false">WEEKDAY(B1407,2)</f>
        <v>1</v>
      </c>
      <c r="N1407" s="31" t="str">
        <f aca="false">IF(G1407&lt;=INDEX(Assumptions!$B$15:$B$18,MATCH(E1407,Assumptions!$A$15:$A$18,0)),"Yes","No")</f>
        <v>No</v>
      </c>
      <c r="O1407" s="31" t="str">
        <f aca="false">IF(H1407="","Open",IF(H1407&lt;=INDEX(Assumptions!$C$15:$C$18,MATCH(E1407,Assumptions!$A$15:$A$18,0)),"Yes","No"))</f>
        <v>Yes</v>
      </c>
    </row>
    <row r="1408" customFormat="false" ht="15" hidden="false" customHeight="false" outlineLevel="0" collapsed="false">
      <c r="A1408" s="31" t="s">
        <v>1558</v>
      </c>
      <c r="B1408" s="44" t="n">
        <v>46223</v>
      </c>
      <c r="C1408" s="31" t="s">
        <v>60</v>
      </c>
      <c r="D1408" s="31" t="s">
        <v>69</v>
      </c>
      <c r="E1408" s="31" t="s">
        <v>50</v>
      </c>
      <c r="F1408" s="31" t="s">
        <v>128</v>
      </c>
      <c r="G1408" s="31" t="n">
        <v>2</v>
      </c>
      <c r="H1408" s="41" t="n">
        <v>37.6</v>
      </c>
      <c r="I1408" s="31" t="s">
        <v>149</v>
      </c>
      <c r="J1408" s="31"/>
      <c r="K1408" s="31" t="s">
        <v>150</v>
      </c>
      <c r="L1408" s="45" t="n">
        <f aca="false">DATE(YEAR(B1408),MONTH(B1408),1)</f>
        <v>46204</v>
      </c>
      <c r="M1408" s="31" t="n">
        <f aca="false">WEEKDAY(B1408,2)</f>
        <v>1</v>
      </c>
      <c r="N1408" s="31" t="str">
        <f aca="false">IF(G1408&lt;=INDEX(Assumptions!$B$15:$B$18,MATCH(E1408,Assumptions!$A$15:$A$18,0)),"Yes","No")</f>
        <v>Yes</v>
      </c>
      <c r="O1408" s="31" t="str">
        <f aca="false">IF(H1408="","Open",IF(H1408&lt;=INDEX(Assumptions!$C$15:$C$18,MATCH(E1408,Assumptions!$A$15:$A$18,0)),"Yes","No"))</f>
        <v>No</v>
      </c>
    </row>
    <row r="1409" customFormat="false" ht="15" hidden="false" customHeight="false" outlineLevel="0" collapsed="false">
      <c r="A1409" s="31" t="s">
        <v>1559</v>
      </c>
      <c r="B1409" s="44" t="n">
        <v>46223</v>
      </c>
      <c r="C1409" s="31" t="s">
        <v>60</v>
      </c>
      <c r="D1409" s="31" t="s">
        <v>66</v>
      </c>
      <c r="E1409" s="31" t="s">
        <v>50</v>
      </c>
      <c r="F1409" s="31" t="s">
        <v>127</v>
      </c>
      <c r="G1409" s="31" t="n">
        <v>5</v>
      </c>
      <c r="H1409" s="41" t="n">
        <v>1.1</v>
      </c>
      <c r="I1409" s="31" t="s">
        <v>149</v>
      </c>
      <c r="J1409" s="31" t="n">
        <v>5</v>
      </c>
      <c r="K1409" s="31" t="s">
        <v>150</v>
      </c>
      <c r="L1409" s="45" t="n">
        <f aca="false">DATE(YEAR(B1409),MONTH(B1409),1)</f>
        <v>46204</v>
      </c>
      <c r="M1409" s="31" t="n">
        <f aca="false">WEEKDAY(B1409,2)</f>
        <v>1</v>
      </c>
      <c r="N1409" s="31" t="str">
        <f aca="false">IF(G1409&lt;=INDEX(Assumptions!$B$15:$B$18,MATCH(E1409,Assumptions!$A$15:$A$18,0)),"Yes","No")</f>
        <v>Yes</v>
      </c>
      <c r="O1409" s="31" t="str">
        <f aca="false">IF(H1409="","Open",IF(H1409&lt;=INDEX(Assumptions!$C$15:$C$18,MATCH(E1409,Assumptions!$A$15:$A$18,0)),"Yes","No"))</f>
        <v>Yes</v>
      </c>
    </row>
    <row r="1410" customFormat="false" ht="15" hidden="false" customHeight="false" outlineLevel="0" collapsed="false">
      <c r="A1410" s="31" t="s">
        <v>1560</v>
      </c>
      <c r="B1410" s="44" t="n">
        <v>46223</v>
      </c>
      <c r="C1410" s="31" t="s">
        <v>58</v>
      </c>
      <c r="D1410" s="31" t="s">
        <v>66</v>
      </c>
      <c r="E1410" s="31" t="s">
        <v>52</v>
      </c>
      <c r="F1410" s="31" t="s">
        <v>124</v>
      </c>
      <c r="G1410" s="31" t="n">
        <v>13</v>
      </c>
      <c r="H1410" s="41" t="n">
        <v>6.4</v>
      </c>
      <c r="I1410" s="31" t="s">
        <v>149</v>
      </c>
      <c r="J1410" s="31"/>
      <c r="K1410" s="31" t="s">
        <v>150</v>
      </c>
      <c r="L1410" s="45" t="n">
        <f aca="false">DATE(YEAR(B1410),MONTH(B1410),1)</f>
        <v>46204</v>
      </c>
      <c r="M1410" s="31" t="n">
        <f aca="false">WEEKDAY(B1410,2)</f>
        <v>1</v>
      </c>
      <c r="N1410" s="31" t="str">
        <f aca="false">IF(G1410&lt;=INDEX(Assumptions!$B$15:$B$18,MATCH(E1410,Assumptions!$A$15:$A$18,0)),"Yes","No")</f>
        <v>Yes</v>
      </c>
      <c r="O1410" s="31" t="str">
        <f aca="false">IF(H1410="","Open",IF(H1410&lt;=INDEX(Assumptions!$C$15:$C$18,MATCH(E1410,Assumptions!$A$15:$A$18,0)),"Yes","No"))</f>
        <v>Yes</v>
      </c>
    </row>
    <row r="1411" customFormat="false" ht="15" hidden="false" customHeight="false" outlineLevel="0" collapsed="false">
      <c r="A1411" s="31" t="s">
        <v>1561</v>
      </c>
      <c r="B1411" s="44" t="n">
        <v>46223</v>
      </c>
      <c r="C1411" s="31" t="s">
        <v>57</v>
      </c>
      <c r="D1411" s="31" t="s">
        <v>66</v>
      </c>
      <c r="E1411" s="31" t="s">
        <v>51</v>
      </c>
      <c r="F1411" s="31" t="s">
        <v>123</v>
      </c>
      <c r="G1411" s="31" t="n">
        <v>2</v>
      </c>
      <c r="H1411" s="41" t="n">
        <v>3.3</v>
      </c>
      <c r="I1411" s="31" t="s">
        <v>149</v>
      </c>
      <c r="J1411" s="31" t="n">
        <v>5</v>
      </c>
      <c r="K1411" s="31" t="s">
        <v>150</v>
      </c>
      <c r="L1411" s="45" t="n">
        <f aca="false">DATE(YEAR(B1411),MONTH(B1411),1)</f>
        <v>46204</v>
      </c>
      <c r="M1411" s="31" t="n">
        <f aca="false">WEEKDAY(B1411,2)</f>
        <v>1</v>
      </c>
      <c r="N1411" s="31" t="str">
        <f aca="false">IF(G1411&lt;=INDEX(Assumptions!$B$15:$B$18,MATCH(E1411,Assumptions!$A$15:$A$18,0)),"Yes","No")</f>
        <v>Yes</v>
      </c>
      <c r="O1411" s="31" t="str">
        <f aca="false">IF(H1411="","Open",IF(H1411&lt;=INDEX(Assumptions!$C$15:$C$18,MATCH(E1411,Assumptions!$A$15:$A$18,0)),"Yes","No"))</f>
        <v>Yes</v>
      </c>
    </row>
    <row r="1412" customFormat="false" ht="15" hidden="false" customHeight="false" outlineLevel="0" collapsed="false">
      <c r="A1412" s="31" t="s">
        <v>1562</v>
      </c>
      <c r="B1412" s="44" t="n">
        <v>46223</v>
      </c>
      <c r="C1412" s="31" t="s">
        <v>58</v>
      </c>
      <c r="D1412" s="31" t="s">
        <v>67</v>
      </c>
      <c r="E1412" s="31" t="s">
        <v>52</v>
      </c>
      <c r="F1412" s="31" t="s">
        <v>121</v>
      </c>
      <c r="G1412" s="31" t="n">
        <v>34</v>
      </c>
      <c r="H1412" s="41" t="n">
        <v>11.5</v>
      </c>
      <c r="I1412" s="31" t="s">
        <v>149</v>
      </c>
      <c r="J1412" s="31"/>
      <c r="K1412" s="31" t="s">
        <v>150</v>
      </c>
      <c r="L1412" s="45" t="n">
        <f aca="false">DATE(YEAR(B1412),MONTH(B1412),1)</f>
        <v>46204</v>
      </c>
      <c r="M1412" s="31" t="n">
        <f aca="false">WEEKDAY(B1412,2)</f>
        <v>1</v>
      </c>
      <c r="N1412" s="31" t="str">
        <f aca="false">IF(G1412&lt;=INDEX(Assumptions!$B$15:$B$18,MATCH(E1412,Assumptions!$A$15:$A$18,0)),"Yes","No")</f>
        <v>Yes</v>
      </c>
      <c r="O1412" s="31" t="str">
        <f aca="false">IF(H1412="","Open",IF(H1412&lt;=INDEX(Assumptions!$C$15:$C$18,MATCH(E1412,Assumptions!$A$15:$A$18,0)),"Yes","No"))</f>
        <v>Yes</v>
      </c>
    </row>
    <row r="1413" customFormat="false" ht="15" hidden="false" customHeight="false" outlineLevel="0" collapsed="false">
      <c r="A1413" s="31" t="s">
        <v>1563</v>
      </c>
      <c r="B1413" s="44" t="n">
        <v>46223</v>
      </c>
      <c r="C1413" s="31" t="s">
        <v>59</v>
      </c>
      <c r="D1413" s="31" t="s">
        <v>65</v>
      </c>
      <c r="E1413" s="31" t="s">
        <v>51</v>
      </c>
      <c r="F1413" s="31" t="s">
        <v>120</v>
      </c>
      <c r="G1413" s="31" t="n">
        <v>60</v>
      </c>
      <c r="H1413" s="41" t="n">
        <v>5.5</v>
      </c>
      <c r="I1413" s="31" t="s">
        <v>149</v>
      </c>
      <c r="J1413" s="31" t="n">
        <v>3</v>
      </c>
      <c r="K1413" s="31" t="s">
        <v>150</v>
      </c>
      <c r="L1413" s="45" t="n">
        <f aca="false">DATE(YEAR(B1413),MONTH(B1413),1)</f>
        <v>46204</v>
      </c>
      <c r="M1413" s="31" t="n">
        <f aca="false">WEEKDAY(B1413,2)</f>
        <v>1</v>
      </c>
      <c r="N1413" s="31" t="str">
        <f aca="false">IF(G1413&lt;=INDEX(Assumptions!$B$15:$B$18,MATCH(E1413,Assumptions!$A$15:$A$18,0)),"Yes","No")</f>
        <v>Yes</v>
      </c>
      <c r="O1413" s="31" t="str">
        <f aca="false">IF(H1413="","Open",IF(H1413&lt;=INDEX(Assumptions!$C$15:$C$18,MATCH(E1413,Assumptions!$A$15:$A$18,0)),"Yes","No"))</f>
        <v>Yes</v>
      </c>
    </row>
    <row r="1414" customFormat="false" ht="15" hidden="false" customHeight="false" outlineLevel="0" collapsed="false">
      <c r="A1414" s="31" t="s">
        <v>1564</v>
      </c>
      <c r="B1414" s="44" t="n">
        <v>46223</v>
      </c>
      <c r="C1414" s="31" t="s">
        <v>60</v>
      </c>
      <c r="D1414" s="31" t="s">
        <v>68</v>
      </c>
      <c r="E1414" s="31" t="s">
        <v>51</v>
      </c>
      <c r="F1414" s="31" t="s">
        <v>127</v>
      </c>
      <c r="G1414" s="31" t="n">
        <v>1</v>
      </c>
      <c r="H1414" s="41" t="n">
        <v>5.6</v>
      </c>
      <c r="I1414" s="31" t="s">
        <v>149</v>
      </c>
      <c r="J1414" s="31" t="n">
        <v>5</v>
      </c>
      <c r="K1414" s="31" t="s">
        <v>150</v>
      </c>
      <c r="L1414" s="45" t="n">
        <f aca="false">DATE(YEAR(B1414),MONTH(B1414),1)</f>
        <v>46204</v>
      </c>
      <c r="M1414" s="31" t="n">
        <f aca="false">WEEKDAY(B1414,2)</f>
        <v>1</v>
      </c>
      <c r="N1414" s="31" t="str">
        <f aca="false">IF(G1414&lt;=INDEX(Assumptions!$B$15:$B$18,MATCH(E1414,Assumptions!$A$15:$A$18,0)),"Yes","No")</f>
        <v>Yes</v>
      </c>
      <c r="O1414" s="31" t="str">
        <f aca="false">IF(H1414="","Open",IF(H1414&lt;=INDEX(Assumptions!$C$15:$C$18,MATCH(E1414,Assumptions!$A$15:$A$18,0)),"Yes","No"))</f>
        <v>Yes</v>
      </c>
    </row>
    <row r="1415" customFormat="false" ht="15" hidden="false" customHeight="false" outlineLevel="0" collapsed="false">
      <c r="A1415" s="31" t="s">
        <v>1565</v>
      </c>
      <c r="B1415" s="44" t="n">
        <v>46223</v>
      </c>
      <c r="C1415" s="31" t="s">
        <v>57</v>
      </c>
      <c r="D1415" s="31" t="s">
        <v>67</v>
      </c>
      <c r="E1415" s="31" t="s">
        <v>52</v>
      </c>
      <c r="F1415" s="31" t="s">
        <v>136</v>
      </c>
      <c r="G1415" s="31" t="n">
        <v>25</v>
      </c>
      <c r="H1415" s="41" t="n">
        <v>24.3</v>
      </c>
      <c r="I1415" s="31" t="s">
        <v>149</v>
      </c>
      <c r="J1415" s="31"/>
      <c r="K1415" s="31" t="s">
        <v>150</v>
      </c>
      <c r="L1415" s="45" t="n">
        <f aca="false">DATE(YEAR(B1415),MONTH(B1415),1)</f>
        <v>46204</v>
      </c>
      <c r="M1415" s="31" t="n">
        <f aca="false">WEEKDAY(B1415,2)</f>
        <v>1</v>
      </c>
      <c r="N1415" s="31" t="str">
        <f aca="false">IF(G1415&lt;=INDEX(Assumptions!$B$15:$B$18,MATCH(E1415,Assumptions!$A$15:$A$18,0)),"Yes","No")</f>
        <v>Yes</v>
      </c>
      <c r="O1415" s="31" t="str">
        <f aca="false">IF(H1415="","Open",IF(H1415&lt;=INDEX(Assumptions!$C$15:$C$18,MATCH(E1415,Assumptions!$A$15:$A$18,0)),"Yes","No"))</f>
        <v>Yes</v>
      </c>
    </row>
    <row r="1416" customFormat="false" ht="15" hidden="false" customHeight="false" outlineLevel="0" collapsed="false">
      <c r="A1416" s="31" t="s">
        <v>1566</v>
      </c>
      <c r="B1416" s="44" t="n">
        <v>46223</v>
      </c>
      <c r="C1416" s="31" t="s">
        <v>59</v>
      </c>
      <c r="D1416" s="31" t="s">
        <v>68</v>
      </c>
      <c r="E1416" s="31" t="s">
        <v>52</v>
      </c>
      <c r="F1416" s="31" t="s">
        <v>135</v>
      </c>
      <c r="G1416" s="31" t="n">
        <v>408</v>
      </c>
      <c r="H1416" s="41" t="n">
        <v>15.8</v>
      </c>
      <c r="I1416" s="31" t="s">
        <v>149</v>
      </c>
      <c r="J1416" s="31"/>
      <c r="K1416" s="31" t="s">
        <v>150</v>
      </c>
      <c r="L1416" s="45" t="n">
        <f aca="false">DATE(YEAR(B1416),MONTH(B1416),1)</f>
        <v>46204</v>
      </c>
      <c r="M1416" s="31" t="n">
        <f aca="false">WEEKDAY(B1416,2)</f>
        <v>1</v>
      </c>
      <c r="N1416" s="31" t="str">
        <f aca="false">IF(G1416&lt;=INDEX(Assumptions!$B$15:$B$18,MATCH(E1416,Assumptions!$A$15:$A$18,0)),"Yes","No")</f>
        <v>No</v>
      </c>
      <c r="O1416" s="31" t="str">
        <f aca="false">IF(H1416="","Open",IF(H1416&lt;=INDEX(Assumptions!$C$15:$C$18,MATCH(E1416,Assumptions!$A$15:$A$18,0)),"Yes","No"))</f>
        <v>Yes</v>
      </c>
    </row>
    <row r="1417" customFormat="false" ht="15" hidden="false" customHeight="false" outlineLevel="0" collapsed="false">
      <c r="A1417" s="31" t="s">
        <v>1567</v>
      </c>
      <c r="B1417" s="44" t="n">
        <v>46223</v>
      </c>
      <c r="C1417" s="31" t="s">
        <v>60</v>
      </c>
      <c r="D1417" s="31" t="s">
        <v>67</v>
      </c>
      <c r="E1417" s="31" t="s">
        <v>51</v>
      </c>
      <c r="F1417" s="31" t="s">
        <v>123</v>
      </c>
      <c r="G1417" s="31" t="n">
        <v>1</v>
      </c>
      <c r="H1417" s="41" t="n">
        <v>7.6</v>
      </c>
      <c r="I1417" s="31" t="s">
        <v>149</v>
      </c>
      <c r="J1417" s="31"/>
      <c r="K1417" s="31" t="s">
        <v>150</v>
      </c>
      <c r="L1417" s="45" t="n">
        <f aca="false">DATE(YEAR(B1417),MONTH(B1417),1)</f>
        <v>46204</v>
      </c>
      <c r="M1417" s="31" t="n">
        <f aca="false">WEEKDAY(B1417,2)</f>
        <v>1</v>
      </c>
      <c r="N1417" s="31" t="str">
        <f aca="false">IF(G1417&lt;=INDEX(Assumptions!$B$15:$B$18,MATCH(E1417,Assumptions!$A$15:$A$18,0)),"Yes","No")</f>
        <v>Yes</v>
      </c>
      <c r="O1417" s="31" t="str">
        <f aca="false">IF(H1417="","Open",IF(H1417&lt;=INDEX(Assumptions!$C$15:$C$18,MATCH(E1417,Assumptions!$A$15:$A$18,0)),"Yes","No"))</f>
        <v>Yes</v>
      </c>
    </row>
    <row r="1418" customFormat="false" ht="15" hidden="false" customHeight="false" outlineLevel="0" collapsed="false">
      <c r="A1418" s="31" t="s">
        <v>1568</v>
      </c>
      <c r="B1418" s="44" t="n">
        <v>46223</v>
      </c>
      <c r="C1418" s="31" t="s">
        <v>57</v>
      </c>
      <c r="D1418" s="31" t="s">
        <v>65</v>
      </c>
      <c r="E1418" s="31" t="s">
        <v>51</v>
      </c>
      <c r="F1418" s="31" t="s">
        <v>133</v>
      </c>
      <c r="G1418" s="31" t="n">
        <v>3</v>
      </c>
      <c r="H1418" s="41" t="n">
        <v>17.1</v>
      </c>
      <c r="I1418" s="31" t="s">
        <v>149</v>
      </c>
      <c r="J1418" s="31" t="n">
        <v>4</v>
      </c>
      <c r="K1418" s="31" t="s">
        <v>150</v>
      </c>
      <c r="L1418" s="45" t="n">
        <f aca="false">DATE(YEAR(B1418),MONTH(B1418),1)</f>
        <v>46204</v>
      </c>
      <c r="M1418" s="31" t="n">
        <f aca="false">WEEKDAY(B1418,2)</f>
        <v>1</v>
      </c>
      <c r="N1418" s="31" t="str">
        <f aca="false">IF(G1418&lt;=INDEX(Assumptions!$B$15:$B$18,MATCH(E1418,Assumptions!$A$15:$A$18,0)),"Yes","No")</f>
        <v>Yes</v>
      </c>
      <c r="O1418" s="31" t="str">
        <f aca="false">IF(H1418="","Open",IF(H1418&lt;=INDEX(Assumptions!$C$15:$C$18,MATCH(E1418,Assumptions!$A$15:$A$18,0)),"Yes","No"))</f>
        <v>Yes</v>
      </c>
    </row>
    <row r="1419" customFormat="false" ht="15" hidden="false" customHeight="false" outlineLevel="0" collapsed="false">
      <c r="A1419" s="31" t="s">
        <v>1569</v>
      </c>
      <c r="B1419" s="44" t="n">
        <v>46223</v>
      </c>
      <c r="C1419" s="31" t="s">
        <v>57</v>
      </c>
      <c r="D1419" s="31" t="s">
        <v>65</v>
      </c>
      <c r="E1419" s="31" t="s">
        <v>50</v>
      </c>
      <c r="F1419" s="31" t="s">
        <v>124</v>
      </c>
      <c r="G1419" s="31" t="n">
        <v>6</v>
      </c>
      <c r="H1419" s="41" t="n">
        <v>17.5</v>
      </c>
      <c r="I1419" s="31" t="s">
        <v>149</v>
      </c>
      <c r="J1419" s="31"/>
      <c r="K1419" s="31" t="s">
        <v>150</v>
      </c>
      <c r="L1419" s="45" t="n">
        <f aca="false">DATE(YEAR(B1419),MONTH(B1419),1)</f>
        <v>46204</v>
      </c>
      <c r="M1419" s="31" t="n">
        <f aca="false">WEEKDAY(B1419,2)</f>
        <v>1</v>
      </c>
      <c r="N1419" s="31" t="str">
        <f aca="false">IF(G1419&lt;=INDEX(Assumptions!$B$15:$B$18,MATCH(E1419,Assumptions!$A$15:$A$18,0)),"Yes","No")</f>
        <v>Yes</v>
      </c>
      <c r="O1419" s="31" t="str">
        <f aca="false">IF(H1419="","Open",IF(H1419&lt;=INDEX(Assumptions!$C$15:$C$18,MATCH(E1419,Assumptions!$A$15:$A$18,0)),"Yes","No"))</f>
        <v>No</v>
      </c>
    </row>
    <row r="1420" customFormat="false" ht="15" hidden="false" customHeight="false" outlineLevel="0" collapsed="false">
      <c r="A1420" s="31" t="s">
        <v>1570</v>
      </c>
      <c r="B1420" s="44" t="n">
        <v>46223</v>
      </c>
      <c r="C1420" s="31" t="s">
        <v>60</v>
      </c>
      <c r="D1420" s="31" t="s">
        <v>65</v>
      </c>
      <c r="E1420" s="31" t="s">
        <v>49</v>
      </c>
      <c r="F1420" s="31" t="s">
        <v>124</v>
      </c>
      <c r="G1420" s="31" t="n">
        <v>1</v>
      </c>
      <c r="H1420" s="41" t="n">
        <v>2.1</v>
      </c>
      <c r="I1420" s="31" t="s">
        <v>149</v>
      </c>
      <c r="J1420" s="31" t="n">
        <v>5</v>
      </c>
      <c r="K1420" s="31" t="s">
        <v>150</v>
      </c>
      <c r="L1420" s="45" t="n">
        <f aca="false">DATE(YEAR(B1420),MONTH(B1420),1)</f>
        <v>46204</v>
      </c>
      <c r="M1420" s="31" t="n">
        <f aca="false">WEEKDAY(B1420,2)</f>
        <v>1</v>
      </c>
      <c r="N1420" s="31" t="str">
        <f aca="false">IF(G1420&lt;=INDEX(Assumptions!$B$15:$B$18,MATCH(E1420,Assumptions!$A$15:$A$18,0)),"Yes","No")</f>
        <v>Yes</v>
      </c>
      <c r="O1420" s="31" t="str">
        <f aca="false">IF(H1420="","Open",IF(H1420&lt;=INDEX(Assumptions!$C$15:$C$18,MATCH(E1420,Assumptions!$A$15:$A$18,0)),"Yes","No"))</f>
        <v>Yes</v>
      </c>
    </row>
    <row r="1421" customFormat="false" ht="15" hidden="false" customHeight="false" outlineLevel="0" collapsed="false">
      <c r="A1421" s="31" t="s">
        <v>1571</v>
      </c>
      <c r="B1421" s="44" t="n">
        <v>46223</v>
      </c>
      <c r="C1421" s="31" t="s">
        <v>60</v>
      </c>
      <c r="D1421" s="31" t="s">
        <v>65</v>
      </c>
      <c r="E1421" s="31" t="s">
        <v>51</v>
      </c>
      <c r="F1421" s="31" t="s">
        <v>131</v>
      </c>
      <c r="G1421" s="31" t="n">
        <v>2</v>
      </c>
      <c r="H1421" s="41" t="n">
        <v>16.4</v>
      </c>
      <c r="I1421" s="31" t="s">
        <v>149</v>
      </c>
      <c r="J1421" s="31" t="n">
        <v>4</v>
      </c>
      <c r="K1421" s="31" t="s">
        <v>150</v>
      </c>
      <c r="L1421" s="45" t="n">
        <f aca="false">DATE(YEAR(B1421),MONTH(B1421),1)</f>
        <v>46204</v>
      </c>
      <c r="M1421" s="31" t="n">
        <f aca="false">WEEKDAY(B1421,2)</f>
        <v>1</v>
      </c>
      <c r="N1421" s="31" t="str">
        <f aca="false">IF(G1421&lt;=INDEX(Assumptions!$B$15:$B$18,MATCH(E1421,Assumptions!$A$15:$A$18,0)),"Yes","No")</f>
        <v>Yes</v>
      </c>
      <c r="O1421" s="31" t="str">
        <f aca="false">IF(H1421="","Open",IF(H1421&lt;=INDEX(Assumptions!$C$15:$C$18,MATCH(E1421,Assumptions!$A$15:$A$18,0)),"Yes","No"))</f>
        <v>Yes</v>
      </c>
    </row>
    <row r="1422" customFormat="false" ht="15" hidden="false" customHeight="false" outlineLevel="0" collapsed="false">
      <c r="A1422" s="31" t="s">
        <v>1572</v>
      </c>
      <c r="B1422" s="44" t="n">
        <v>46223</v>
      </c>
      <c r="C1422" s="31" t="s">
        <v>57</v>
      </c>
      <c r="D1422" s="31" t="s">
        <v>68</v>
      </c>
      <c r="E1422" s="31" t="s">
        <v>51</v>
      </c>
      <c r="F1422" s="31" t="s">
        <v>128</v>
      </c>
      <c r="G1422" s="31" t="n">
        <v>2</v>
      </c>
      <c r="H1422" s="41" t="n">
        <v>10.4</v>
      </c>
      <c r="I1422" s="31" t="s">
        <v>149</v>
      </c>
      <c r="J1422" s="31" t="n">
        <v>4</v>
      </c>
      <c r="K1422" s="31" t="s">
        <v>150</v>
      </c>
      <c r="L1422" s="45" t="n">
        <f aca="false">DATE(YEAR(B1422),MONTH(B1422),1)</f>
        <v>46204</v>
      </c>
      <c r="M1422" s="31" t="n">
        <f aca="false">WEEKDAY(B1422,2)</f>
        <v>1</v>
      </c>
      <c r="N1422" s="31" t="str">
        <f aca="false">IF(G1422&lt;=INDEX(Assumptions!$B$15:$B$18,MATCH(E1422,Assumptions!$A$15:$A$18,0)),"Yes","No")</f>
        <v>Yes</v>
      </c>
      <c r="O1422" s="31" t="str">
        <f aca="false">IF(H1422="","Open",IF(H1422&lt;=INDEX(Assumptions!$C$15:$C$18,MATCH(E1422,Assumptions!$A$15:$A$18,0)),"Yes","No"))</f>
        <v>Yes</v>
      </c>
    </row>
    <row r="1423" customFormat="false" ht="15" hidden="false" customHeight="false" outlineLevel="0" collapsed="false">
      <c r="A1423" s="31" t="s">
        <v>1573</v>
      </c>
      <c r="B1423" s="44" t="n">
        <v>46223</v>
      </c>
      <c r="C1423" s="31" t="s">
        <v>58</v>
      </c>
      <c r="D1423" s="31" t="s">
        <v>68</v>
      </c>
      <c r="E1423" s="31" t="s">
        <v>51</v>
      </c>
      <c r="F1423" s="31" t="s">
        <v>129</v>
      </c>
      <c r="G1423" s="31" t="n">
        <v>22</v>
      </c>
      <c r="H1423" s="41" t="n">
        <v>0.5</v>
      </c>
      <c r="I1423" s="31" t="s">
        <v>149</v>
      </c>
      <c r="J1423" s="31"/>
      <c r="K1423" s="31" t="s">
        <v>150</v>
      </c>
      <c r="L1423" s="45" t="n">
        <f aca="false">DATE(YEAR(B1423),MONTH(B1423),1)</f>
        <v>46204</v>
      </c>
      <c r="M1423" s="31" t="n">
        <f aca="false">WEEKDAY(B1423,2)</f>
        <v>1</v>
      </c>
      <c r="N1423" s="31" t="str">
        <f aca="false">IF(G1423&lt;=INDEX(Assumptions!$B$15:$B$18,MATCH(E1423,Assumptions!$A$15:$A$18,0)),"Yes","No")</f>
        <v>Yes</v>
      </c>
      <c r="O1423" s="31" t="str">
        <f aca="false">IF(H1423="","Open",IF(H1423&lt;=INDEX(Assumptions!$C$15:$C$18,MATCH(E1423,Assumptions!$A$15:$A$18,0)),"Yes","No"))</f>
        <v>Yes</v>
      </c>
    </row>
    <row r="1424" customFormat="false" ht="15" hidden="false" customHeight="false" outlineLevel="0" collapsed="false">
      <c r="A1424" s="31" t="s">
        <v>1574</v>
      </c>
      <c r="B1424" s="44" t="n">
        <v>46223</v>
      </c>
      <c r="C1424" s="31" t="s">
        <v>60</v>
      </c>
      <c r="D1424" s="31" t="s">
        <v>67</v>
      </c>
      <c r="E1424" s="31" t="s">
        <v>51</v>
      </c>
      <c r="F1424" s="31" t="s">
        <v>121</v>
      </c>
      <c r="G1424" s="31" t="n">
        <v>9</v>
      </c>
      <c r="H1424" s="41" t="n">
        <v>29.4</v>
      </c>
      <c r="I1424" s="31" t="s">
        <v>149</v>
      </c>
      <c r="J1424" s="31"/>
      <c r="K1424" s="31" t="s">
        <v>150</v>
      </c>
      <c r="L1424" s="45" t="n">
        <f aca="false">DATE(YEAR(B1424),MONTH(B1424),1)</f>
        <v>46204</v>
      </c>
      <c r="M1424" s="31" t="n">
        <f aca="false">WEEKDAY(B1424,2)</f>
        <v>1</v>
      </c>
      <c r="N1424" s="31" t="str">
        <f aca="false">IF(G1424&lt;=INDEX(Assumptions!$B$15:$B$18,MATCH(E1424,Assumptions!$A$15:$A$18,0)),"Yes","No")</f>
        <v>Yes</v>
      </c>
      <c r="O1424" s="31" t="str">
        <f aca="false">IF(H1424="","Open",IF(H1424&lt;=INDEX(Assumptions!$C$15:$C$18,MATCH(E1424,Assumptions!$A$15:$A$18,0)),"Yes","No"))</f>
        <v>No</v>
      </c>
    </row>
    <row r="1425" customFormat="false" ht="15" hidden="false" customHeight="false" outlineLevel="0" collapsed="false">
      <c r="A1425" s="31" t="s">
        <v>1575</v>
      </c>
      <c r="B1425" s="44" t="n">
        <v>46223</v>
      </c>
      <c r="C1425" s="31" t="s">
        <v>60</v>
      </c>
      <c r="D1425" s="31" t="s">
        <v>66</v>
      </c>
      <c r="E1425" s="31" t="s">
        <v>51</v>
      </c>
      <c r="F1425" s="31" t="s">
        <v>121</v>
      </c>
      <c r="G1425" s="31" t="n">
        <v>2</v>
      </c>
      <c r="H1425" s="41" t="n">
        <v>13.1</v>
      </c>
      <c r="I1425" s="31" t="s">
        <v>149</v>
      </c>
      <c r="J1425" s="31"/>
      <c r="K1425" s="31" t="s">
        <v>153</v>
      </c>
      <c r="L1425" s="45" t="n">
        <f aca="false">DATE(YEAR(B1425),MONTH(B1425),1)</f>
        <v>46204</v>
      </c>
      <c r="M1425" s="31" t="n">
        <f aca="false">WEEKDAY(B1425,2)</f>
        <v>1</v>
      </c>
      <c r="N1425" s="31" t="str">
        <f aca="false">IF(G1425&lt;=INDEX(Assumptions!$B$15:$B$18,MATCH(E1425,Assumptions!$A$15:$A$18,0)),"Yes","No")</f>
        <v>Yes</v>
      </c>
      <c r="O1425" s="31" t="str">
        <f aca="false">IF(H1425="","Open",IF(H1425&lt;=INDEX(Assumptions!$C$15:$C$18,MATCH(E1425,Assumptions!$A$15:$A$18,0)),"Yes","No"))</f>
        <v>Yes</v>
      </c>
    </row>
    <row r="1426" customFormat="false" ht="15" hidden="false" customHeight="false" outlineLevel="0" collapsed="false">
      <c r="A1426" s="31" t="s">
        <v>1576</v>
      </c>
      <c r="B1426" s="44" t="n">
        <v>46223</v>
      </c>
      <c r="C1426" s="31" t="s">
        <v>57</v>
      </c>
      <c r="D1426" s="31" t="s">
        <v>68</v>
      </c>
      <c r="E1426" s="31" t="s">
        <v>51</v>
      </c>
      <c r="F1426" s="31" t="s">
        <v>117</v>
      </c>
      <c r="G1426" s="31" t="n">
        <v>8</v>
      </c>
      <c r="H1426" s="41" t="n">
        <v>6.4</v>
      </c>
      <c r="I1426" s="31" t="s">
        <v>149</v>
      </c>
      <c r="J1426" s="31"/>
      <c r="K1426" s="31" t="s">
        <v>150</v>
      </c>
      <c r="L1426" s="45" t="n">
        <f aca="false">DATE(YEAR(B1426),MONTH(B1426),1)</f>
        <v>46204</v>
      </c>
      <c r="M1426" s="31" t="n">
        <f aca="false">WEEKDAY(B1426,2)</f>
        <v>1</v>
      </c>
      <c r="N1426" s="31" t="str">
        <f aca="false">IF(G1426&lt;=INDEX(Assumptions!$B$15:$B$18,MATCH(E1426,Assumptions!$A$15:$A$18,0)),"Yes","No")</f>
        <v>Yes</v>
      </c>
      <c r="O1426" s="31" t="str">
        <f aca="false">IF(H1426="","Open",IF(H1426&lt;=INDEX(Assumptions!$C$15:$C$18,MATCH(E1426,Assumptions!$A$15:$A$18,0)),"Yes","No"))</f>
        <v>Yes</v>
      </c>
    </row>
    <row r="1427" customFormat="false" ht="15" hidden="false" customHeight="false" outlineLevel="0" collapsed="false">
      <c r="A1427" s="31" t="s">
        <v>1577</v>
      </c>
      <c r="B1427" s="44" t="n">
        <v>46223</v>
      </c>
      <c r="C1427" s="31" t="s">
        <v>59</v>
      </c>
      <c r="D1427" s="31" t="s">
        <v>68</v>
      </c>
      <c r="E1427" s="31" t="s">
        <v>51</v>
      </c>
      <c r="F1427" s="31" t="s">
        <v>136</v>
      </c>
      <c r="G1427" s="31" t="n">
        <v>115</v>
      </c>
      <c r="H1427" s="41" t="n">
        <v>1.2</v>
      </c>
      <c r="I1427" s="31" t="s">
        <v>64</v>
      </c>
      <c r="J1427" s="31" t="n">
        <v>3</v>
      </c>
      <c r="K1427" s="31" t="s">
        <v>150</v>
      </c>
      <c r="L1427" s="45" t="n">
        <f aca="false">DATE(YEAR(B1427),MONTH(B1427),1)</f>
        <v>46204</v>
      </c>
      <c r="M1427" s="31" t="n">
        <f aca="false">WEEKDAY(B1427,2)</f>
        <v>1</v>
      </c>
      <c r="N1427" s="31" t="str">
        <f aca="false">IF(G1427&lt;=INDEX(Assumptions!$B$15:$B$18,MATCH(E1427,Assumptions!$A$15:$A$18,0)),"Yes","No")</f>
        <v>No</v>
      </c>
      <c r="O1427" s="31" t="str">
        <f aca="false">IF(H1427="","Open",IF(H1427&lt;=INDEX(Assumptions!$C$15:$C$18,MATCH(E1427,Assumptions!$A$15:$A$18,0)),"Yes","No"))</f>
        <v>Yes</v>
      </c>
    </row>
    <row r="1428" customFormat="false" ht="15" hidden="false" customHeight="false" outlineLevel="0" collapsed="false">
      <c r="A1428" s="31" t="s">
        <v>1578</v>
      </c>
      <c r="B1428" s="44" t="n">
        <v>46223</v>
      </c>
      <c r="C1428" s="31" t="s">
        <v>57</v>
      </c>
      <c r="D1428" s="31" t="s">
        <v>68</v>
      </c>
      <c r="E1428" s="31" t="s">
        <v>51</v>
      </c>
      <c r="F1428" s="31" t="s">
        <v>120</v>
      </c>
      <c r="G1428" s="31" t="n">
        <v>10</v>
      </c>
      <c r="H1428" s="41" t="n">
        <v>19.2</v>
      </c>
      <c r="I1428" s="31" t="s">
        <v>149</v>
      </c>
      <c r="J1428" s="31"/>
      <c r="K1428" s="31" t="s">
        <v>150</v>
      </c>
      <c r="L1428" s="45" t="n">
        <f aca="false">DATE(YEAR(B1428),MONTH(B1428),1)</f>
        <v>46204</v>
      </c>
      <c r="M1428" s="31" t="n">
        <f aca="false">WEEKDAY(B1428,2)</f>
        <v>1</v>
      </c>
      <c r="N1428" s="31" t="str">
        <f aca="false">IF(G1428&lt;=INDEX(Assumptions!$B$15:$B$18,MATCH(E1428,Assumptions!$A$15:$A$18,0)),"Yes","No")</f>
        <v>Yes</v>
      </c>
      <c r="O1428" s="31" t="str">
        <f aca="false">IF(H1428="","Open",IF(H1428&lt;=INDEX(Assumptions!$C$15:$C$18,MATCH(E1428,Assumptions!$A$15:$A$18,0)),"Yes","No"))</f>
        <v>Yes</v>
      </c>
    </row>
    <row r="1429" customFormat="false" ht="15" hidden="false" customHeight="false" outlineLevel="0" collapsed="false">
      <c r="A1429" s="31" t="s">
        <v>1579</v>
      </c>
      <c r="B1429" s="44" t="n">
        <v>46224</v>
      </c>
      <c r="C1429" s="31" t="s">
        <v>58</v>
      </c>
      <c r="D1429" s="31" t="s">
        <v>65</v>
      </c>
      <c r="E1429" s="31" t="s">
        <v>51</v>
      </c>
      <c r="F1429" s="31" t="s">
        <v>117</v>
      </c>
      <c r="G1429" s="31" t="n">
        <v>4</v>
      </c>
      <c r="H1429" s="41" t="n">
        <v>5.6</v>
      </c>
      <c r="I1429" s="31" t="s">
        <v>149</v>
      </c>
      <c r="J1429" s="31"/>
      <c r="K1429" s="31" t="s">
        <v>150</v>
      </c>
      <c r="L1429" s="45" t="n">
        <f aca="false">DATE(YEAR(B1429),MONTH(B1429),1)</f>
        <v>46204</v>
      </c>
      <c r="M1429" s="31" t="n">
        <f aca="false">WEEKDAY(B1429,2)</f>
        <v>2</v>
      </c>
      <c r="N1429" s="31" t="str">
        <f aca="false">IF(G1429&lt;=INDEX(Assumptions!$B$15:$B$18,MATCH(E1429,Assumptions!$A$15:$A$18,0)),"Yes","No")</f>
        <v>Yes</v>
      </c>
      <c r="O1429" s="31" t="str">
        <f aca="false">IF(H1429="","Open",IF(H1429&lt;=INDEX(Assumptions!$C$15:$C$18,MATCH(E1429,Assumptions!$A$15:$A$18,0)),"Yes","No"))</f>
        <v>Yes</v>
      </c>
    </row>
    <row r="1430" customFormat="false" ht="15" hidden="false" customHeight="false" outlineLevel="0" collapsed="false">
      <c r="A1430" s="31" t="s">
        <v>1580</v>
      </c>
      <c r="B1430" s="44" t="n">
        <v>46224</v>
      </c>
      <c r="C1430" s="31" t="s">
        <v>57</v>
      </c>
      <c r="D1430" s="31" t="s">
        <v>66</v>
      </c>
      <c r="E1430" s="31" t="s">
        <v>52</v>
      </c>
      <c r="F1430" s="31" t="s">
        <v>130</v>
      </c>
      <c r="G1430" s="31" t="n">
        <v>3</v>
      </c>
      <c r="H1430" s="41" t="n">
        <v>16</v>
      </c>
      <c r="I1430" s="31" t="s">
        <v>149</v>
      </c>
      <c r="J1430" s="31"/>
      <c r="K1430" s="31" t="s">
        <v>150</v>
      </c>
      <c r="L1430" s="45" t="n">
        <f aca="false">DATE(YEAR(B1430),MONTH(B1430),1)</f>
        <v>46204</v>
      </c>
      <c r="M1430" s="31" t="n">
        <f aca="false">WEEKDAY(B1430,2)</f>
        <v>2</v>
      </c>
      <c r="N1430" s="31" t="str">
        <f aca="false">IF(G1430&lt;=INDEX(Assumptions!$B$15:$B$18,MATCH(E1430,Assumptions!$A$15:$A$18,0)),"Yes","No")</f>
        <v>Yes</v>
      </c>
      <c r="O1430" s="31" t="str">
        <f aca="false">IF(H1430="","Open",IF(H1430&lt;=INDEX(Assumptions!$C$15:$C$18,MATCH(E1430,Assumptions!$A$15:$A$18,0)),"Yes","No"))</f>
        <v>Yes</v>
      </c>
    </row>
    <row r="1431" customFormat="false" ht="15" hidden="false" customHeight="false" outlineLevel="0" collapsed="false">
      <c r="A1431" s="31" t="s">
        <v>1581</v>
      </c>
      <c r="B1431" s="44" t="n">
        <v>46224</v>
      </c>
      <c r="C1431" s="31" t="s">
        <v>57</v>
      </c>
      <c r="D1431" s="31" t="s">
        <v>69</v>
      </c>
      <c r="E1431" s="31" t="s">
        <v>52</v>
      </c>
      <c r="F1431" s="31" t="s">
        <v>128</v>
      </c>
      <c r="G1431" s="31" t="n">
        <v>14</v>
      </c>
      <c r="H1431" s="41" t="n">
        <v>66.6</v>
      </c>
      <c r="I1431" s="31" t="s">
        <v>149</v>
      </c>
      <c r="J1431" s="31"/>
      <c r="K1431" s="31" t="s">
        <v>150</v>
      </c>
      <c r="L1431" s="45" t="n">
        <f aca="false">DATE(YEAR(B1431),MONTH(B1431),1)</f>
        <v>46204</v>
      </c>
      <c r="M1431" s="31" t="n">
        <f aca="false">WEEKDAY(B1431,2)</f>
        <v>2</v>
      </c>
      <c r="N1431" s="31" t="str">
        <f aca="false">IF(G1431&lt;=INDEX(Assumptions!$B$15:$B$18,MATCH(E1431,Assumptions!$A$15:$A$18,0)),"Yes","No")</f>
        <v>Yes</v>
      </c>
      <c r="O1431" s="31" t="str">
        <f aca="false">IF(H1431="","Open",IF(H1431&lt;=INDEX(Assumptions!$C$15:$C$18,MATCH(E1431,Assumptions!$A$15:$A$18,0)),"Yes","No"))</f>
        <v>Yes</v>
      </c>
    </row>
    <row r="1432" customFormat="false" ht="15" hidden="false" customHeight="false" outlineLevel="0" collapsed="false">
      <c r="A1432" s="31" t="s">
        <v>1582</v>
      </c>
      <c r="B1432" s="44" t="n">
        <v>46224</v>
      </c>
      <c r="C1432" s="31" t="s">
        <v>60</v>
      </c>
      <c r="D1432" s="31" t="s">
        <v>65</v>
      </c>
      <c r="E1432" s="31" t="s">
        <v>49</v>
      </c>
      <c r="F1432" s="31" t="s">
        <v>133</v>
      </c>
      <c r="G1432" s="31" t="n">
        <v>1</v>
      </c>
      <c r="H1432" s="41" t="n">
        <v>2.9</v>
      </c>
      <c r="I1432" s="31" t="s">
        <v>149</v>
      </c>
      <c r="J1432" s="31" t="n">
        <v>4</v>
      </c>
      <c r="K1432" s="31" t="s">
        <v>150</v>
      </c>
      <c r="L1432" s="45" t="n">
        <f aca="false">DATE(YEAR(B1432),MONTH(B1432),1)</f>
        <v>46204</v>
      </c>
      <c r="M1432" s="31" t="n">
        <f aca="false">WEEKDAY(B1432,2)</f>
        <v>2</v>
      </c>
      <c r="N1432" s="31" t="str">
        <f aca="false">IF(G1432&lt;=INDEX(Assumptions!$B$15:$B$18,MATCH(E1432,Assumptions!$A$15:$A$18,0)),"Yes","No")</f>
        <v>Yes</v>
      </c>
      <c r="O1432" s="31" t="str">
        <f aca="false">IF(H1432="","Open",IF(H1432&lt;=INDEX(Assumptions!$C$15:$C$18,MATCH(E1432,Assumptions!$A$15:$A$18,0)),"Yes","No"))</f>
        <v>Yes</v>
      </c>
    </row>
    <row r="1433" customFormat="false" ht="15" hidden="false" customHeight="false" outlineLevel="0" collapsed="false">
      <c r="A1433" s="31" t="s">
        <v>1583</v>
      </c>
      <c r="B1433" s="44" t="n">
        <v>46224</v>
      </c>
      <c r="C1433" s="31" t="s">
        <v>57</v>
      </c>
      <c r="D1433" s="31" t="s">
        <v>67</v>
      </c>
      <c r="E1433" s="31" t="s">
        <v>52</v>
      </c>
      <c r="F1433" s="31" t="s">
        <v>121</v>
      </c>
      <c r="G1433" s="31" t="n">
        <v>23</v>
      </c>
      <c r="H1433" s="41" t="n">
        <v>99.6</v>
      </c>
      <c r="I1433" s="31" t="s">
        <v>64</v>
      </c>
      <c r="J1433" s="31"/>
      <c r="K1433" s="31" t="s">
        <v>153</v>
      </c>
      <c r="L1433" s="45" t="n">
        <f aca="false">DATE(YEAR(B1433),MONTH(B1433),1)</f>
        <v>46204</v>
      </c>
      <c r="M1433" s="31" t="n">
        <f aca="false">WEEKDAY(B1433,2)</f>
        <v>2</v>
      </c>
      <c r="N1433" s="31" t="str">
        <f aca="false">IF(G1433&lt;=INDEX(Assumptions!$B$15:$B$18,MATCH(E1433,Assumptions!$A$15:$A$18,0)),"Yes","No")</f>
        <v>Yes</v>
      </c>
      <c r="O1433" s="31" t="str">
        <f aca="false">IF(H1433="","Open",IF(H1433&lt;=INDEX(Assumptions!$C$15:$C$18,MATCH(E1433,Assumptions!$A$15:$A$18,0)),"Yes","No"))</f>
        <v>No</v>
      </c>
    </row>
    <row r="1434" customFormat="false" ht="15" hidden="false" customHeight="false" outlineLevel="0" collapsed="false">
      <c r="A1434" s="31" t="s">
        <v>1584</v>
      </c>
      <c r="B1434" s="44" t="n">
        <v>46224</v>
      </c>
      <c r="C1434" s="31" t="s">
        <v>60</v>
      </c>
      <c r="D1434" s="31" t="s">
        <v>65</v>
      </c>
      <c r="E1434" s="31" t="s">
        <v>52</v>
      </c>
      <c r="F1434" s="31" t="s">
        <v>133</v>
      </c>
      <c r="G1434" s="31" t="n">
        <v>3</v>
      </c>
      <c r="H1434" s="41" t="n">
        <v>31.6</v>
      </c>
      <c r="I1434" s="31" t="s">
        <v>149</v>
      </c>
      <c r="J1434" s="31" t="n">
        <v>5</v>
      </c>
      <c r="K1434" s="31" t="s">
        <v>150</v>
      </c>
      <c r="L1434" s="45" t="n">
        <f aca="false">DATE(YEAR(B1434),MONTH(B1434),1)</f>
        <v>46204</v>
      </c>
      <c r="M1434" s="31" t="n">
        <f aca="false">WEEKDAY(B1434,2)</f>
        <v>2</v>
      </c>
      <c r="N1434" s="31" t="str">
        <f aca="false">IF(G1434&lt;=INDEX(Assumptions!$B$15:$B$18,MATCH(E1434,Assumptions!$A$15:$A$18,0)),"Yes","No")</f>
        <v>Yes</v>
      </c>
      <c r="O1434" s="31" t="str">
        <f aca="false">IF(H1434="","Open",IF(H1434&lt;=INDEX(Assumptions!$C$15:$C$18,MATCH(E1434,Assumptions!$A$15:$A$18,0)),"Yes","No"))</f>
        <v>Yes</v>
      </c>
    </row>
    <row r="1435" customFormat="false" ht="15" hidden="false" customHeight="false" outlineLevel="0" collapsed="false">
      <c r="A1435" s="31" t="s">
        <v>1585</v>
      </c>
      <c r="B1435" s="44" t="n">
        <v>46224</v>
      </c>
      <c r="C1435" s="31" t="s">
        <v>59</v>
      </c>
      <c r="D1435" s="31" t="s">
        <v>66</v>
      </c>
      <c r="E1435" s="31" t="s">
        <v>51</v>
      </c>
      <c r="F1435" s="31" t="s">
        <v>123</v>
      </c>
      <c r="G1435" s="31" t="n">
        <v>35</v>
      </c>
      <c r="H1435" s="41" t="n">
        <v>2</v>
      </c>
      <c r="I1435" s="31" t="s">
        <v>149</v>
      </c>
      <c r="J1435" s="31" t="n">
        <v>4</v>
      </c>
      <c r="K1435" s="31" t="s">
        <v>150</v>
      </c>
      <c r="L1435" s="45" t="n">
        <f aca="false">DATE(YEAR(B1435),MONTH(B1435),1)</f>
        <v>46204</v>
      </c>
      <c r="M1435" s="31" t="n">
        <f aca="false">WEEKDAY(B1435,2)</f>
        <v>2</v>
      </c>
      <c r="N1435" s="31" t="str">
        <f aca="false">IF(G1435&lt;=INDEX(Assumptions!$B$15:$B$18,MATCH(E1435,Assumptions!$A$15:$A$18,0)),"Yes","No")</f>
        <v>Yes</v>
      </c>
      <c r="O1435" s="31" t="str">
        <f aca="false">IF(H1435="","Open",IF(H1435&lt;=INDEX(Assumptions!$C$15:$C$18,MATCH(E1435,Assumptions!$A$15:$A$18,0)),"Yes","No"))</f>
        <v>Yes</v>
      </c>
    </row>
    <row r="1436" customFormat="false" ht="15" hidden="false" customHeight="false" outlineLevel="0" collapsed="false">
      <c r="A1436" s="31" t="s">
        <v>1586</v>
      </c>
      <c r="B1436" s="44" t="n">
        <v>46224</v>
      </c>
      <c r="C1436" s="31" t="s">
        <v>60</v>
      </c>
      <c r="D1436" s="31" t="s">
        <v>67</v>
      </c>
      <c r="E1436" s="31" t="s">
        <v>51</v>
      </c>
      <c r="F1436" s="31" t="s">
        <v>120</v>
      </c>
      <c r="G1436" s="31" t="n">
        <v>4</v>
      </c>
      <c r="H1436" s="41" t="n">
        <v>61.6</v>
      </c>
      <c r="I1436" s="31" t="s">
        <v>149</v>
      </c>
      <c r="J1436" s="31" t="n">
        <v>4</v>
      </c>
      <c r="K1436" s="31" t="s">
        <v>150</v>
      </c>
      <c r="L1436" s="45" t="n">
        <f aca="false">DATE(YEAR(B1436),MONTH(B1436),1)</f>
        <v>46204</v>
      </c>
      <c r="M1436" s="31" t="n">
        <f aca="false">WEEKDAY(B1436,2)</f>
        <v>2</v>
      </c>
      <c r="N1436" s="31" t="str">
        <f aca="false">IF(G1436&lt;=INDEX(Assumptions!$B$15:$B$18,MATCH(E1436,Assumptions!$A$15:$A$18,0)),"Yes","No")</f>
        <v>Yes</v>
      </c>
      <c r="O1436" s="31" t="str">
        <f aca="false">IF(H1436="","Open",IF(H1436&lt;=INDEX(Assumptions!$C$15:$C$18,MATCH(E1436,Assumptions!$A$15:$A$18,0)),"Yes","No"))</f>
        <v>No</v>
      </c>
    </row>
    <row r="1437" customFormat="false" ht="15" hidden="false" customHeight="false" outlineLevel="0" collapsed="false">
      <c r="A1437" s="31" t="s">
        <v>1587</v>
      </c>
      <c r="B1437" s="44" t="n">
        <v>46224</v>
      </c>
      <c r="C1437" s="31" t="s">
        <v>58</v>
      </c>
      <c r="D1437" s="31" t="s">
        <v>67</v>
      </c>
      <c r="E1437" s="31" t="s">
        <v>52</v>
      </c>
      <c r="F1437" s="31" t="s">
        <v>122</v>
      </c>
      <c r="G1437" s="31" t="n">
        <v>9</v>
      </c>
      <c r="H1437" s="41" t="n">
        <v>100.7</v>
      </c>
      <c r="I1437" s="31" t="s">
        <v>149</v>
      </c>
      <c r="J1437" s="31" t="n">
        <v>5</v>
      </c>
      <c r="K1437" s="31" t="s">
        <v>150</v>
      </c>
      <c r="L1437" s="45" t="n">
        <f aca="false">DATE(YEAR(B1437),MONTH(B1437),1)</f>
        <v>46204</v>
      </c>
      <c r="M1437" s="31" t="n">
        <f aca="false">WEEKDAY(B1437,2)</f>
        <v>2</v>
      </c>
      <c r="N1437" s="31" t="str">
        <f aca="false">IF(G1437&lt;=INDEX(Assumptions!$B$15:$B$18,MATCH(E1437,Assumptions!$A$15:$A$18,0)),"Yes","No")</f>
        <v>Yes</v>
      </c>
      <c r="O1437" s="31" t="str">
        <f aca="false">IF(H1437="","Open",IF(H1437&lt;=INDEX(Assumptions!$C$15:$C$18,MATCH(E1437,Assumptions!$A$15:$A$18,0)),"Yes","No"))</f>
        <v>No</v>
      </c>
    </row>
    <row r="1438" customFormat="false" ht="15" hidden="false" customHeight="false" outlineLevel="0" collapsed="false">
      <c r="A1438" s="31" t="s">
        <v>1588</v>
      </c>
      <c r="B1438" s="44" t="n">
        <v>46224</v>
      </c>
      <c r="C1438" s="31" t="s">
        <v>57</v>
      </c>
      <c r="D1438" s="31" t="s">
        <v>65</v>
      </c>
      <c r="E1438" s="31" t="s">
        <v>52</v>
      </c>
      <c r="F1438" s="31" t="s">
        <v>117</v>
      </c>
      <c r="G1438" s="31" t="n">
        <v>7</v>
      </c>
      <c r="H1438" s="41" t="n">
        <v>36.4</v>
      </c>
      <c r="I1438" s="31" t="s">
        <v>149</v>
      </c>
      <c r="J1438" s="31"/>
      <c r="K1438" s="31" t="s">
        <v>150</v>
      </c>
      <c r="L1438" s="45" t="n">
        <f aca="false">DATE(YEAR(B1438),MONTH(B1438),1)</f>
        <v>46204</v>
      </c>
      <c r="M1438" s="31" t="n">
        <f aca="false">WEEKDAY(B1438,2)</f>
        <v>2</v>
      </c>
      <c r="N1438" s="31" t="str">
        <f aca="false">IF(G1438&lt;=INDEX(Assumptions!$B$15:$B$18,MATCH(E1438,Assumptions!$A$15:$A$18,0)),"Yes","No")</f>
        <v>Yes</v>
      </c>
      <c r="O1438" s="31" t="str">
        <f aca="false">IF(H1438="","Open",IF(H1438&lt;=INDEX(Assumptions!$C$15:$C$18,MATCH(E1438,Assumptions!$A$15:$A$18,0)),"Yes","No"))</f>
        <v>Yes</v>
      </c>
    </row>
    <row r="1439" customFormat="false" ht="15" hidden="false" customHeight="false" outlineLevel="0" collapsed="false">
      <c r="A1439" s="31" t="s">
        <v>1589</v>
      </c>
      <c r="B1439" s="44" t="n">
        <v>46224</v>
      </c>
      <c r="C1439" s="31" t="s">
        <v>60</v>
      </c>
      <c r="D1439" s="31" t="s">
        <v>66</v>
      </c>
      <c r="E1439" s="31" t="s">
        <v>51</v>
      </c>
      <c r="F1439" s="31" t="s">
        <v>137</v>
      </c>
      <c r="G1439" s="31" t="n">
        <v>2</v>
      </c>
      <c r="H1439" s="41" t="n">
        <v>2.4</v>
      </c>
      <c r="I1439" s="31" t="s">
        <v>149</v>
      </c>
      <c r="J1439" s="31" t="n">
        <v>3</v>
      </c>
      <c r="K1439" s="31" t="s">
        <v>150</v>
      </c>
      <c r="L1439" s="45" t="n">
        <f aca="false">DATE(YEAR(B1439),MONTH(B1439),1)</f>
        <v>46204</v>
      </c>
      <c r="M1439" s="31" t="n">
        <f aca="false">WEEKDAY(B1439,2)</f>
        <v>2</v>
      </c>
      <c r="N1439" s="31" t="str">
        <f aca="false">IF(G1439&lt;=INDEX(Assumptions!$B$15:$B$18,MATCH(E1439,Assumptions!$A$15:$A$18,0)),"Yes","No")</f>
        <v>Yes</v>
      </c>
      <c r="O1439" s="31" t="str">
        <f aca="false">IF(H1439="","Open",IF(H1439&lt;=INDEX(Assumptions!$C$15:$C$18,MATCH(E1439,Assumptions!$A$15:$A$18,0)),"Yes","No"))</f>
        <v>Yes</v>
      </c>
    </row>
    <row r="1440" customFormat="false" ht="15" hidden="false" customHeight="false" outlineLevel="0" collapsed="false">
      <c r="A1440" s="31" t="s">
        <v>1590</v>
      </c>
      <c r="B1440" s="44" t="n">
        <v>46224</v>
      </c>
      <c r="C1440" s="31" t="s">
        <v>60</v>
      </c>
      <c r="D1440" s="31" t="s">
        <v>69</v>
      </c>
      <c r="E1440" s="31" t="s">
        <v>51</v>
      </c>
      <c r="F1440" s="31" t="s">
        <v>137</v>
      </c>
      <c r="G1440" s="31" t="n">
        <v>2</v>
      </c>
      <c r="H1440" s="41" t="n">
        <v>73.2</v>
      </c>
      <c r="I1440" s="31" t="s">
        <v>149</v>
      </c>
      <c r="J1440" s="31"/>
      <c r="K1440" s="31" t="s">
        <v>150</v>
      </c>
      <c r="L1440" s="45" t="n">
        <f aca="false">DATE(YEAR(B1440),MONTH(B1440),1)</f>
        <v>46204</v>
      </c>
      <c r="M1440" s="31" t="n">
        <f aca="false">WEEKDAY(B1440,2)</f>
        <v>2</v>
      </c>
      <c r="N1440" s="31" t="str">
        <f aca="false">IF(G1440&lt;=INDEX(Assumptions!$B$15:$B$18,MATCH(E1440,Assumptions!$A$15:$A$18,0)),"Yes","No")</f>
        <v>Yes</v>
      </c>
      <c r="O1440" s="31" t="str">
        <f aca="false">IF(H1440="","Open",IF(H1440&lt;=INDEX(Assumptions!$C$15:$C$18,MATCH(E1440,Assumptions!$A$15:$A$18,0)),"Yes","No"))</f>
        <v>No</v>
      </c>
    </row>
    <row r="1441" customFormat="false" ht="15" hidden="false" customHeight="false" outlineLevel="0" collapsed="false">
      <c r="A1441" s="31" t="s">
        <v>1591</v>
      </c>
      <c r="B1441" s="44" t="n">
        <v>46224</v>
      </c>
      <c r="C1441" s="31" t="s">
        <v>57</v>
      </c>
      <c r="D1441" s="31" t="s">
        <v>67</v>
      </c>
      <c r="E1441" s="31" t="s">
        <v>51</v>
      </c>
      <c r="F1441" s="31" t="s">
        <v>127</v>
      </c>
      <c r="G1441" s="31" t="n">
        <v>11</v>
      </c>
      <c r="H1441" s="41" t="n">
        <v>1.7</v>
      </c>
      <c r="I1441" s="31" t="s">
        <v>149</v>
      </c>
      <c r="J1441" s="31"/>
      <c r="K1441" s="31" t="s">
        <v>150</v>
      </c>
      <c r="L1441" s="45" t="n">
        <f aca="false">DATE(YEAR(B1441),MONTH(B1441),1)</f>
        <v>46204</v>
      </c>
      <c r="M1441" s="31" t="n">
        <f aca="false">WEEKDAY(B1441,2)</f>
        <v>2</v>
      </c>
      <c r="N1441" s="31" t="str">
        <f aca="false">IF(G1441&lt;=INDEX(Assumptions!$B$15:$B$18,MATCH(E1441,Assumptions!$A$15:$A$18,0)),"Yes","No")</f>
        <v>Yes</v>
      </c>
      <c r="O1441" s="31" t="str">
        <f aca="false">IF(H1441="","Open",IF(H1441&lt;=INDEX(Assumptions!$C$15:$C$18,MATCH(E1441,Assumptions!$A$15:$A$18,0)),"Yes","No"))</f>
        <v>Yes</v>
      </c>
    </row>
    <row r="1442" customFormat="false" ht="15" hidden="false" customHeight="false" outlineLevel="0" collapsed="false">
      <c r="A1442" s="31" t="s">
        <v>1592</v>
      </c>
      <c r="B1442" s="44" t="n">
        <v>46224</v>
      </c>
      <c r="C1442" s="31" t="s">
        <v>59</v>
      </c>
      <c r="D1442" s="31" t="s">
        <v>69</v>
      </c>
      <c r="E1442" s="31" t="s">
        <v>51</v>
      </c>
      <c r="F1442" s="31" t="s">
        <v>131</v>
      </c>
      <c r="G1442" s="31" t="n">
        <v>13</v>
      </c>
      <c r="H1442" s="41" t="n">
        <v>5.6</v>
      </c>
      <c r="I1442" s="31" t="s">
        <v>149</v>
      </c>
      <c r="J1442" s="31"/>
      <c r="K1442" s="31" t="s">
        <v>150</v>
      </c>
      <c r="L1442" s="45" t="n">
        <f aca="false">DATE(YEAR(B1442),MONTH(B1442),1)</f>
        <v>46204</v>
      </c>
      <c r="M1442" s="31" t="n">
        <f aca="false">WEEKDAY(B1442,2)</f>
        <v>2</v>
      </c>
      <c r="N1442" s="31" t="str">
        <f aca="false">IF(G1442&lt;=INDEX(Assumptions!$B$15:$B$18,MATCH(E1442,Assumptions!$A$15:$A$18,0)),"Yes","No")</f>
        <v>Yes</v>
      </c>
      <c r="O1442" s="31" t="str">
        <f aca="false">IF(H1442="","Open",IF(H1442&lt;=INDEX(Assumptions!$C$15:$C$18,MATCH(E1442,Assumptions!$A$15:$A$18,0)),"Yes","No"))</f>
        <v>Yes</v>
      </c>
    </row>
    <row r="1443" customFormat="false" ht="15" hidden="false" customHeight="false" outlineLevel="0" collapsed="false">
      <c r="A1443" s="31" t="s">
        <v>1593</v>
      </c>
      <c r="B1443" s="44" t="n">
        <v>46224</v>
      </c>
      <c r="C1443" s="31" t="s">
        <v>59</v>
      </c>
      <c r="D1443" s="31" t="s">
        <v>65</v>
      </c>
      <c r="E1443" s="31" t="s">
        <v>52</v>
      </c>
      <c r="F1443" s="31" t="s">
        <v>134</v>
      </c>
      <c r="G1443" s="31" t="n">
        <v>410</v>
      </c>
      <c r="H1443" s="41" t="n">
        <v>17.6</v>
      </c>
      <c r="I1443" s="31" t="s">
        <v>149</v>
      </c>
      <c r="J1443" s="31" t="n">
        <v>3</v>
      </c>
      <c r="K1443" s="31" t="s">
        <v>150</v>
      </c>
      <c r="L1443" s="45" t="n">
        <f aca="false">DATE(YEAR(B1443),MONTH(B1443),1)</f>
        <v>46204</v>
      </c>
      <c r="M1443" s="31" t="n">
        <f aca="false">WEEKDAY(B1443,2)</f>
        <v>2</v>
      </c>
      <c r="N1443" s="31" t="str">
        <f aca="false">IF(G1443&lt;=INDEX(Assumptions!$B$15:$B$18,MATCH(E1443,Assumptions!$A$15:$A$18,0)),"Yes","No")</f>
        <v>No</v>
      </c>
      <c r="O1443" s="31" t="str">
        <f aca="false">IF(H1443="","Open",IF(H1443&lt;=INDEX(Assumptions!$C$15:$C$18,MATCH(E1443,Assumptions!$A$15:$A$18,0)),"Yes","No"))</f>
        <v>Yes</v>
      </c>
    </row>
    <row r="1444" customFormat="false" ht="15" hidden="false" customHeight="false" outlineLevel="0" collapsed="false">
      <c r="A1444" s="31" t="s">
        <v>1594</v>
      </c>
      <c r="B1444" s="44" t="n">
        <v>46224</v>
      </c>
      <c r="C1444" s="31" t="s">
        <v>57</v>
      </c>
      <c r="D1444" s="31" t="s">
        <v>68</v>
      </c>
      <c r="E1444" s="31" t="s">
        <v>52</v>
      </c>
      <c r="F1444" s="31" t="s">
        <v>123</v>
      </c>
      <c r="G1444" s="31" t="n">
        <v>5</v>
      </c>
      <c r="H1444" s="41" t="n">
        <v>2.1</v>
      </c>
      <c r="I1444" s="31" t="s">
        <v>149</v>
      </c>
      <c r="J1444" s="31" t="n">
        <v>4</v>
      </c>
      <c r="K1444" s="31" t="s">
        <v>150</v>
      </c>
      <c r="L1444" s="45" t="n">
        <f aca="false">DATE(YEAR(B1444),MONTH(B1444),1)</f>
        <v>46204</v>
      </c>
      <c r="M1444" s="31" t="n">
        <f aca="false">WEEKDAY(B1444,2)</f>
        <v>2</v>
      </c>
      <c r="N1444" s="31" t="str">
        <f aca="false">IF(G1444&lt;=INDEX(Assumptions!$B$15:$B$18,MATCH(E1444,Assumptions!$A$15:$A$18,0)),"Yes","No")</f>
        <v>Yes</v>
      </c>
      <c r="O1444" s="31" t="str">
        <f aca="false">IF(H1444="","Open",IF(H1444&lt;=INDEX(Assumptions!$C$15:$C$18,MATCH(E1444,Assumptions!$A$15:$A$18,0)),"Yes","No"))</f>
        <v>Yes</v>
      </c>
    </row>
    <row r="1445" customFormat="false" ht="15" hidden="false" customHeight="false" outlineLevel="0" collapsed="false">
      <c r="A1445" s="31" t="s">
        <v>1595</v>
      </c>
      <c r="B1445" s="44" t="n">
        <v>46224</v>
      </c>
      <c r="C1445" s="31" t="s">
        <v>59</v>
      </c>
      <c r="D1445" s="31" t="s">
        <v>69</v>
      </c>
      <c r="E1445" s="31" t="s">
        <v>52</v>
      </c>
      <c r="F1445" s="31" t="s">
        <v>129</v>
      </c>
      <c r="G1445" s="31" t="n">
        <v>43</v>
      </c>
      <c r="H1445" s="41" t="n">
        <v>15.7</v>
      </c>
      <c r="I1445" s="31" t="s">
        <v>149</v>
      </c>
      <c r="J1445" s="31"/>
      <c r="K1445" s="31" t="s">
        <v>150</v>
      </c>
      <c r="L1445" s="45" t="n">
        <f aca="false">DATE(YEAR(B1445),MONTH(B1445),1)</f>
        <v>46204</v>
      </c>
      <c r="M1445" s="31" t="n">
        <f aca="false">WEEKDAY(B1445,2)</f>
        <v>2</v>
      </c>
      <c r="N1445" s="31" t="str">
        <f aca="false">IF(G1445&lt;=INDEX(Assumptions!$B$15:$B$18,MATCH(E1445,Assumptions!$A$15:$A$18,0)),"Yes","No")</f>
        <v>Yes</v>
      </c>
      <c r="O1445" s="31" t="str">
        <f aca="false">IF(H1445="","Open",IF(H1445&lt;=INDEX(Assumptions!$C$15:$C$18,MATCH(E1445,Assumptions!$A$15:$A$18,0)),"Yes","No"))</f>
        <v>Yes</v>
      </c>
    </row>
    <row r="1446" customFormat="false" ht="15" hidden="false" customHeight="false" outlineLevel="0" collapsed="false">
      <c r="A1446" s="31" t="s">
        <v>1596</v>
      </c>
      <c r="B1446" s="44" t="n">
        <v>46224</v>
      </c>
      <c r="C1446" s="31" t="s">
        <v>59</v>
      </c>
      <c r="D1446" s="31" t="s">
        <v>66</v>
      </c>
      <c r="E1446" s="31" t="s">
        <v>51</v>
      </c>
      <c r="F1446" s="31" t="s">
        <v>136</v>
      </c>
      <c r="G1446" s="31" t="n">
        <v>81</v>
      </c>
      <c r="H1446" s="41" t="n">
        <v>17.1</v>
      </c>
      <c r="I1446" s="31" t="s">
        <v>149</v>
      </c>
      <c r="J1446" s="31"/>
      <c r="K1446" s="31" t="s">
        <v>150</v>
      </c>
      <c r="L1446" s="45" t="n">
        <f aca="false">DATE(YEAR(B1446),MONTH(B1446),1)</f>
        <v>46204</v>
      </c>
      <c r="M1446" s="31" t="n">
        <f aca="false">WEEKDAY(B1446,2)</f>
        <v>2</v>
      </c>
      <c r="N1446" s="31" t="str">
        <f aca="false">IF(G1446&lt;=INDEX(Assumptions!$B$15:$B$18,MATCH(E1446,Assumptions!$A$15:$A$18,0)),"Yes","No")</f>
        <v>No</v>
      </c>
      <c r="O1446" s="31" t="str">
        <f aca="false">IF(H1446="","Open",IF(H1446&lt;=INDEX(Assumptions!$C$15:$C$18,MATCH(E1446,Assumptions!$A$15:$A$18,0)),"Yes","No"))</f>
        <v>Yes</v>
      </c>
    </row>
    <row r="1447" customFormat="false" ht="15" hidden="false" customHeight="false" outlineLevel="0" collapsed="false">
      <c r="A1447" s="31" t="s">
        <v>1597</v>
      </c>
      <c r="B1447" s="44" t="n">
        <v>46224</v>
      </c>
      <c r="C1447" s="31" t="s">
        <v>57</v>
      </c>
      <c r="D1447" s="31" t="s">
        <v>67</v>
      </c>
      <c r="E1447" s="31" t="s">
        <v>51</v>
      </c>
      <c r="F1447" s="31" t="s">
        <v>117</v>
      </c>
      <c r="G1447" s="31" t="n">
        <v>1</v>
      </c>
      <c r="H1447" s="41" t="n">
        <v>2.8</v>
      </c>
      <c r="I1447" s="31" t="s">
        <v>149</v>
      </c>
      <c r="J1447" s="31" t="n">
        <v>5</v>
      </c>
      <c r="K1447" s="31" t="s">
        <v>150</v>
      </c>
      <c r="L1447" s="45" t="n">
        <f aca="false">DATE(YEAR(B1447),MONTH(B1447),1)</f>
        <v>46204</v>
      </c>
      <c r="M1447" s="31" t="n">
        <f aca="false">WEEKDAY(B1447,2)</f>
        <v>2</v>
      </c>
      <c r="N1447" s="31" t="str">
        <f aca="false">IF(G1447&lt;=INDEX(Assumptions!$B$15:$B$18,MATCH(E1447,Assumptions!$A$15:$A$18,0)),"Yes","No")</f>
        <v>Yes</v>
      </c>
      <c r="O1447" s="31" t="str">
        <f aca="false">IF(H1447="","Open",IF(H1447&lt;=INDEX(Assumptions!$C$15:$C$18,MATCH(E1447,Assumptions!$A$15:$A$18,0)),"Yes","No"))</f>
        <v>Yes</v>
      </c>
    </row>
    <row r="1448" customFormat="false" ht="15" hidden="false" customHeight="false" outlineLevel="0" collapsed="false">
      <c r="A1448" s="31" t="s">
        <v>1598</v>
      </c>
      <c r="B1448" s="44" t="n">
        <v>46224</v>
      </c>
      <c r="C1448" s="31" t="s">
        <v>57</v>
      </c>
      <c r="D1448" s="31" t="s">
        <v>66</v>
      </c>
      <c r="E1448" s="31" t="s">
        <v>52</v>
      </c>
      <c r="F1448" s="31" t="s">
        <v>121</v>
      </c>
      <c r="G1448" s="31" t="n">
        <v>6</v>
      </c>
      <c r="H1448" s="41" t="n">
        <v>14.5</v>
      </c>
      <c r="I1448" s="31" t="s">
        <v>149</v>
      </c>
      <c r="J1448" s="31"/>
      <c r="K1448" s="31" t="s">
        <v>150</v>
      </c>
      <c r="L1448" s="45" t="n">
        <f aca="false">DATE(YEAR(B1448),MONTH(B1448),1)</f>
        <v>46204</v>
      </c>
      <c r="M1448" s="31" t="n">
        <f aca="false">WEEKDAY(B1448,2)</f>
        <v>2</v>
      </c>
      <c r="N1448" s="31" t="str">
        <f aca="false">IF(G1448&lt;=INDEX(Assumptions!$B$15:$B$18,MATCH(E1448,Assumptions!$A$15:$A$18,0)),"Yes","No")</f>
        <v>Yes</v>
      </c>
      <c r="O1448" s="31" t="str">
        <f aca="false">IF(H1448="","Open",IF(H1448&lt;=INDEX(Assumptions!$C$15:$C$18,MATCH(E1448,Assumptions!$A$15:$A$18,0)),"Yes","No"))</f>
        <v>Yes</v>
      </c>
    </row>
    <row r="1449" customFormat="false" ht="15" hidden="false" customHeight="false" outlineLevel="0" collapsed="false">
      <c r="A1449" s="31" t="s">
        <v>1599</v>
      </c>
      <c r="B1449" s="44" t="n">
        <v>46224</v>
      </c>
      <c r="C1449" s="31" t="s">
        <v>58</v>
      </c>
      <c r="D1449" s="31" t="s">
        <v>65</v>
      </c>
      <c r="E1449" s="31" t="s">
        <v>51</v>
      </c>
      <c r="F1449" s="31" t="s">
        <v>134</v>
      </c>
      <c r="G1449" s="31" t="n">
        <v>14</v>
      </c>
      <c r="H1449" s="41" t="n">
        <v>25.3</v>
      </c>
      <c r="I1449" s="31" t="s">
        <v>149</v>
      </c>
      <c r="J1449" s="31" t="n">
        <v>2</v>
      </c>
      <c r="K1449" s="31" t="s">
        <v>150</v>
      </c>
      <c r="L1449" s="45" t="n">
        <f aca="false">DATE(YEAR(B1449),MONTH(B1449),1)</f>
        <v>46204</v>
      </c>
      <c r="M1449" s="31" t="n">
        <f aca="false">WEEKDAY(B1449,2)</f>
        <v>2</v>
      </c>
      <c r="N1449" s="31" t="str">
        <f aca="false">IF(G1449&lt;=INDEX(Assumptions!$B$15:$B$18,MATCH(E1449,Assumptions!$A$15:$A$18,0)),"Yes","No")</f>
        <v>Yes</v>
      </c>
      <c r="O1449" s="31" t="str">
        <f aca="false">IF(H1449="","Open",IF(H1449&lt;=INDEX(Assumptions!$C$15:$C$18,MATCH(E1449,Assumptions!$A$15:$A$18,0)),"Yes","No"))</f>
        <v>No</v>
      </c>
    </row>
    <row r="1450" customFormat="false" ht="15" hidden="false" customHeight="false" outlineLevel="0" collapsed="false">
      <c r="A1450" s="31" t="s">
        <v>1600</v>
      </c>
      <c r="B1450" s="44" t="n">
        <v>46224</v>
      </c>
      <c r="C1450" s="31" t="s">
        <v>57</v>
      </c>
      <c r="D1450" s="31" t="s">
        <v>65</v>
      </c>
      <c r="E1450" s="31" t="s">
        <v>50</v>
      </c>
      <c r="F1450" s="31" t="s">
        <v>133</v>
      </c>
      <c r="G1450" s="31" t="n">
        <v>3</v>
      </c>
      <c r="H1450" s="41" t="n">
        <v>1.4</v>
      </c>
      <c r="I1450" s="31" t="s">
        <v>64</v>
      </c>
      <c r="J1450" s="31" t="n">
        <v>4</v>
      </c>
      <c r="K1450" s="31" t="s">
        <v>150</v>
      </c>
      <c r="L1450" s="45" t="n">
        <f aca="false">DATE(YEAR(B1450),MONTH(B1450),1)</f>
        <v>46204</v>
      </c>
      <c r="M1450" s="31" t="n">
        <f aca="false">WEEKDAY(B1450,2)</f>
        <v>2</v>
      </c>
      <c r="N1450" s="31" t="str">
        <f aca="false">IF(G1450&lt;=INDEX(Assumptions!$B$15:$B$18,MATCH(E1450,Assumptions!$A$15:$A$18,0)),"Yes","No")</f>
        <v>Yes</v>
      </c>
      <c r="O1450" s="31" t="str">
        <f aca="false">IF(H1450="","Open",IF(H1450&lt;=INDEX(Assumptions!$C$15:$C$18,MATCH(E1450,Assumptions!$A$15:$A$18,0)),"Yes","No"))</f>
        <v>Yes</v>
      </c>
    </row>
    <row r="1451" customFormat="false" ht="15" hidden="false" customHeight="false" outlineLevel="0" collapsed="false">
      <c r="A1451" s="31" t="s">
        <v>1601</v>
      </c>
      <c r="B1451" s="44" t="n">
        <v>46224</v>
      </c>
      <c r="C1451" s="31" t="s">
        <v>58</v>
      </c>
      <c r="D1451" s="31" t="s">
        <v>65</v>
      </c>
      <c r="E1451" s="31" t="s">
        <v>51</v>
      </c>
      <c r="F1451" s="31" t="s">
        <v>136</v>
      </c>
      <c r="G1451" s="31" t="n">
        <v>8</v>
      </c>
      <c r="H1451" s="41" t="n">
        <v>21.1</v>
      </c>
      <c r="I1451" s="31" t="s">
        <v>149</v>
      </c>
      <c r="J1451" s="31"/>
      <c r="K1451" s="31" t="s">
        <v>150</v>
      </c>
      <c r="L1451" s="45" t="n">
        <f aca="false">DATE(YEAR(B1451),MONTH(B1451),1)</f>
        <v>46204</v>
      </c>
      <c r="M1451" s="31" t="n">
        <f aca="false">WEEKDAY(B1451,2)</f>
        <v>2</v>
      </c>
      <c r="N1451" s="31" t="str">
        <f aca="false">IF(G1451&lt;=INDEX(Assumptions!$B$15:$B$18,MATCH(E1451,Assumptions!$A$15:$A$18,0)),"Yes","No")</f>
        <v>Yes</v>
      </c>
      <c r="O1451" s="31" t="str">
        <f aca="false">IF(H1451="","Open",IF(H1451&lt;=INDEX(Assumptions!$C$15:$C$18,MATCH(E1451,Assumptions!$A$15:$A$18,0)),"Yes","No"))</f>
        <v>Yes</v>
      </c>
    </row>
    <row r="1452" customFormat="false" ht="15" hidden="false" customHeight="false" outlineLevel="0" collapsed="false">
      <c r="A1452" s="31" t="s">
        <v>1602</v>
      </c>
      <c r="B1452" s="44" t="n">
        <v>46224</v>
      </c>
      <c r="C1452" s="31" t="s">
        <v>58</v>
      </c>
      <c r="D1452" s="31" t="s">
        <v>68</v>
      </c>
      <c r="E1452" s="31" t="s">
        <v>52</v>
      </c>
      <c r="F1452" s="31" t="s">
        <v>135</v>
      </c>
      <c r="G1452" s="31" t="n">
        <v>22</v>
      </c>
      <c r="H1452" s="41" t="n">
        <v>15.9</v>
      </c>
      <c r="I1452" s="31" t="s">
        <v>149</v>
      </c>
      <c r="J1452" s="31"/>
      <c r="K1452" s="31" t="s">
        <v>150</v>
      </c>
      <c r="L1452" s="45" t="n">
        <f aca="false">DATE(YEAR(B1452),MONTH(B1452),1)</f>
        <v>46204</v>
      </c>
      <c r="M1452" s="31" t="n">
        <f aca="false">WEEKDAY(B1452,2)</f>
        <v>2</v>
      </c>
      <c r="N1452" s="31" t="str">
        <f aca="false">IF(G1452&lt;=INDEX(Assumptions!$B$15:$B$18,MATCH(E1452,Assumptions!$A$15:$A$18,0)),"Yes","No")</f>
        <v>Yes</v>
      </c>
      <c r="O1452" s="31" t="str">
        <f aca="false">IF(H1452="","Open",IF(H1452&lt;=INDEX(Assumptions!$C$15:$C$18,MATCH(E1452,Assumptions!$A$15:$A$18,0)),"Yes","No"))</f>
        <v>Yes</v>
      </c>
    </row>
    <row r="1453" customFormat="false" ht="15" hidden="false" customHeight="false" outlineLevel="0" collapsed="false">
      <c r="A1453" s="31" t="s">
        <v>1603</v>
      </c>
      <c r="B1453" s="44" t="n">
        <v>46224</v>
      </c>
      <c r="C1453" s="31" t="s">
        <v>60</v>
      </c>
      <c r="D1453" s="31" t="s">
        <v>65</v>
      </c>
      <c r="E1453" s="31" t="s">
        <v>52</v>
      </c>
      <c r="F1453" s="31" t="s">
        <v>124</v>
      </c>
      <c r="G1453" s="31" t="n">
        <v>2</v>
      </c>
      <c r="H1453" s="41" t="n">
        <v>9.5</v>
      </c>
      <c r="I1453" s="31" t="s">
        <v>149</v>
      </c>
      <c r="J1453" s="31" t="n">
        <v>5</v>
      </c>
      <c r="K1453" s="31" t="s">
        <v>150</v>
      </c>
      <c r="L1453" s="45" t="n">
        <f aca="false">DATE(YEAR(B1453),MONTH(B1453),1)</f>
        <v>46204</v>
      </c>
      <c r="M1453" s="31" t="n">
        <f aca="false">WEEKDAY(B1453,2)</f>
        <v>2</v>
      </c>
      <c r="N1453" s="31" t="str">
        <f aca="false">IF(G1453&lt;=INDEX(Assumptions!$B$15:$B$18,MATCH(E1453,Assumptions!$A$15:$A$18,0)),"Yes","No")</f>
        <v>Yes</v>
      </c>
      <c r="O1453" s="31" t="str">
        <f aca="false">IF(H1453="","Open",IF(H1453&lt;=INDEX(Assumptions!$C$15:$C$18,MATCH(E1453,Assumptions!$A$15:$A$18,0)),"Yes","No"))</f>
        <v>Yes</v>
      </c>
    </row>
    <row r="1454" customFormat="false" ht="15" hidden="false" customHeight="false" outlineLevel="0" collapsed="false">
      <c r="A1454" s="31" t="s">
        <v>1604</v>
      </c>
      <c r="B1454" s="44" t="n">
        <v>46224</v>
      </c>
      <c r="C1454" s="31" t="s">
        <v>60</v>
      </c>
      <c r="D1454" s="31" t="s">
        <v>67</v>
      </c>
      <c r="E1454" s="31" t="s">
        <v>51</v>
      </c>
      <c r="F1454" s="31" t="s">
        <v>133</v>
      </c>
      <c r="G1454" s="31" t="n">
        <v>2</v>
      </c>
      <c r="H1454" s="41" t="n">
        <v>33.6</v>
      </c>
      <c r="I1454" s="31" t="s">
        <v>64</v>
      </c>
      <c r="J1454" s="31"/>
      <c r="K1454" s="31" t="s">
        <v>150</v>
      </c>
      <c r="L1454" s="45" t="n">
        <f aca="false">DATE(YEAR(B1454),MONTH(B1454),1)</f>
        <v>46204</v>
      </c>
      <c r="M1454" s="31" t="n">
        <f aca="false">WEEKDAY(B1454,2)</f>
        <v>2</v>
      </c>
      <c r="N1454" s="31" t="str">
        <f aca="false">IF(G1454&lt;=INDEX(Assumptions!$B$15:$B$18,MATCH(E1454,Assumptions!$A$15:$A$18,0)),"Yes","No")</f>
        <v>Yes</v>
      </c>
      <c r="O1454" s="31" t="str">
        <f aca="false">IF(H1454="","Open",IF(H1454&lt;=INDEX(Assumptions!$C$15:$C$18,MATCH(E1454,Assumptions!$A$15:$A$18,0)),"Yes","No"))</f>
        <v>No</v>
      </c>
    </row>
    <row r="1455" customFormat="false" ht="15" hidden="false" customHeight="false" outlineLevel="0" collapsed="false">
      <c r="A1455" s="31" t="s">
        <v>1605</v>
      </c>
      <c r="B1455" s="44" t="n">
        <v>46224</v>
      </c>
      <c r="C1455" s="31" t="s">
        <v>57</v>
      </c>
      <c r="D1455" s="31" t="s">
        <v>65</v>
      </c>
      <c r="E1455" s="31" t="s">
        <v>50</v>
      </c>
      <c r="F1455" s="31" t="s">
        <v>134</v>
      </c>
      <c r="G1455" s="31" t="n">
        <v>6</v>
      </c>
      <c r="H1455" s="41" t="n">
        <v>4.2</v>
      </c>
      <c r="I1455" s="31" t="s">
        <v>149</v>
      </c>
      <c r="J1455" s="31"/>
      <c r="K1455" s="31" t="s">
        <v>153</v>
      </c>
      <c r="L1455" s="45" t="n">
        <f aca="false">DATE(YEAR(B1455),MONTH(B1455),1)</f>
        <v>46204</v>
      </c>
      <c r="M1455" s="31" t="n">
        <f aca="false">WEEKDAY(B1455,2)</f>
        <v>2</v>
      </c>
      <c r="N1455" s="31" t="str">
        <f aca="false">IF(G1455&lt;=INDEX(Assumptions!$B$15:$B$18,MATCH(E1455,Assumptions!$A$15:$A$18,0)),"Yes","No")</f>
        <v>Yes</v>
      </c>
      <c r="O1455" s="31" t="str">
        <f aca="false">IF(H1455="","Open",IF(H1455&lt;=INDEX(Assumptions!$C$15:$C$18,MATCH(E1455,Assumptions!$A$15:$A$18,0)),"Yes","No"))</f>
        <v>Yes</v>
      </c>
    </row>
    <row r="1456" customFormat="false" ht="15" hidden="false" customHeight="false" outlineLevel="0" collapsed="false">
      <c r="A1456" s="31" t="s">
        <v>1606</v>
      </c>
      <c r="B1456" s="44" t="n">
        <v>46224</v>
      </c>
      <c r="C1456" s="31" t="s">
        <v>57</v>
      </c>
      <c r="D1456" s="31" t="s">
        <v>66</v>
      </c>
      <c r="E1456" s="31" t="s">
        <v>51</v>
      </c>
      <c r="F1456" s="31" t="s">
        <v>119</v>
      </c>
      <c r="G1456" s="31" t="n">
        <v>1</v>
      </c>
      <c r="H1456" s="41" t="n">
        <v>3.3</v>
      </c>
      <c r="I1456" s="31" t="s">
        <v>149</v>
      </c>
      <c r="J1456" s="31"/>
      <c r="K1456" s="31" t="s">
        <v>150</v>
      </c>
      <c r="L1456" s="45" t="n">
        <f aca="false">DATE(YEAR(B1456),MONTH(B1456),1)</f>
        <v>46204</v>
      </c>
      <c r="M1456" s="31" t="n">
        <f aca="false">WEEKDAY(B1456,2)</f>
        <v>2</v>
      </c>
      <c r="N1456" s="31" t="str">
        <f aca="false">IF(G1456&lt;=INDEX(Assumptions!$B$15:$B$18,MATCH(E1456,Assumptions!$A$15:$A$18,0)),"Yes","No")</f>
        <v>Yes</v>
      </c>
      <c r="O1456" s="31" t="str">
        <f aca="false">IF(H1456="","Open",IF(H1456&lt;=INDEX(Assumptions!$C$15:$C$18,MATCH(E1456,Assumptions!$A$15:$A$18,0)),"Yes","No"))</f>
        <v>Yes</v>
      </c>
    </row>
    <row r="1457" customFormat="false" ht="15" hidden="false" customHeight="false" outlineLevel="0" collapsed="false">
      <c r="A1457" s="31" t="s">
        <v>1607</v>
      </c>
      <c r="B1457" s="44" t="n">
        <v>46224</v>
      </c>
      <c r="C1457" s="31" t="s">
        <v>60</v>
      </c>
      <c r="D1457" s="31" t="s">
        <v>65</v>
      </c>
      <c r="E1457" s="31" t="s">
        <v>51</v>
      </c>
      <c r="F1457" s="31" t="s">
        <v>124</v>
      </c>
      <c r="G1457" s="31" t="n">
        <v>2</v>
      </c>
      <c r="H1457" s="41" t="n">
        <v>9.4</v>
      </c>
      <c r="I1457" s="31" t="s">
        <v>149</v>
      </c>
      <c r="J1457" s="31" t="n">
        <v>5</v>
      </c>
      <c r="K1457" s="31" t="s">
        <v>150</v>
      </c>
      <c r="L1457" s="45" t="n">
        <f aca="false">DATE(YEAR(B1457),MONTH(B1457),1)</f>
        <v>46204</v>
      </c>
      <c r="M1457" s="31" t="n">
        <f aca="false">WEEKDAY(B1457,2)</f>
        <v>2</v>
      </c>
      <c r="N1457" s="31" t="str">
        <f aca="false">IF(G1457&lt;=INDEX(Assumptions!$B$15:$B$18,MATCH(E1457,Assumptions!$A$15:$A$18,0)),"Yes","No")</f>
        <v>Yes</v>
      </c>
      <c r="O1457" s="31" t="str">
        <f aca="false">IF(H1457="","Open",IF(H1457&lt;=INDEX(Assumptions!$C$15:$C$18,MATCH(E1457,Assumptions!$A$15:$A$18,0)),"Yes","No"))</f>
        <v>Yes</v>
      </c>
    </row>
    <row r="1458" customFormat="false" ht="15" hidden="false" customHeight="false" outlineLevel="0" collapsed="false">
      <c r="A1458" s="31" t="s">
        <v>1608</v>
      </c>
      <c r="B1458" s="44" t="n">
        <v>46224</v>
      </c>
      <c r="C1458" s="31" t="s">
        <v>59</v>
      </c>
      <c r="D1458" s="31" t="s">
        <v>65</v>
      </c>
      <c r="E1458" s="31" t="s">
        <v>52</v>
      </c>
      <c r="F1458" s="31" t="s">
        <v>121</v>
      </c>
      <c r="G1458" s="31" t="n">
        <v>61</v>
      </c>
      <c r="H1458" s="41" t="n">
        <v>8.2</v>
      </c>
      <c r="I1458" s="31" t="s">
        <v>149</v>
      </c>
      <c r="J1458" s="31" t="n">
        <v>4</v>
      </c>
      <c r="K1458" s="31" t="s">
        <v>150</v>
      </c>
      <c r="L1458" s="45" t="n">
        <f aca="false">DATE(YEAR(B1458),MONTH(B1458),1)</f>
        <v>46204</v>
      </c>
      <c r="M1458" s="31" t="n">
        <f aca="false">WEEKDAY(B1458,2)</f>
        <v>2</v>
      </c>
      <c r="N1458" s="31" t="str">
        <f aca="false">IF(G1458&lt;=INDEX(Assumptions!$B$15:$B$18,MATCH(E1458,Assumptions!$A$15:$A$18,0)),"Yes","No")</f>
        <v>Yes</v>
      </c>
      <c r="O1458" s="31" t="str">
        <f aca="false">IF(H1458="","Open",IF(H1458&lt;=INDEX(Assumptions!$C$15:$C$18,MATCH(E1458,Assumptions!$A$15:$A$18,0)),"Yes","No"))</f>
        <v>Yes</v>
      </c>
    </row>
    <row r="1459" customFormat="false" ht="15" hidden="false" customHeight="false" outlineLevel="0" collapsed="false">
      <c r="A1459" s="31" t="s">
        <v>1609</v>
      </c>
      <c r="B1459" s="44" t="n">
        <v>46224</v>
      </c>
      <c r="C1459" s="31" t="s">
        <v>60</v>
      </c>
      <c r="D1459" s="31" t="s">
        <v>66</v>
      </c>
      <c r="E1459" s="31" t="s">
        <v>52</v>
      </c>
      <c r="F1459" s="31" t="s">
        <v>127</v>
      </c>
      <c r="G1459" s="31" t="n">
        <v>5</v>
      </c>
      <c r="H1459" s="41" t="n">
        <v>4.7</v>
      </c>
      <c r="I1459" s="31" t="s">
        <v>149</v>
      </c>
      <c r="J1459" s="31" t="n">
        <v>4</v>
      </c>
      <c r="K1459" s="31" t="s">
        <v>150</v>
      </c>
      <c r="L1459" s="45" t="n">
        <f aca="false">DATE(YEAR(B1459),MONTH(B1459),1)</f>
        <v>46204</v>
      </c>
      <c r="M1459" s="31" t="n">
        <f aca="false">WEEKDAY(B1459,2)</f>
        <v>2</v>
      </c>
      <c r="N1459" s="31" t="str">
        <f aca="false">IF(G1459&lt;=INDEX(Assumptions!$B$15:$B$18,MATCH(E1459,Assumptions!$A$15:$A$18,0)),"Yes","No")</f>
        <v>Yes</v>
      </c>
      <c r="O1459" s="31" t="str">
        <f aca="false">IF(H1459="","Open",IF(H1459&lt;=INDEX(Assumptions!$C$15:$C$18,MATCH(E1459,Assumptions!$A$15:$A$18,0)),"Yes","No"))</f>
        <v>Yes</v>
      </c>
    </row>
    <row r="1460" customFormat="false" ht="15" hidden="false" customHeight="false" outlineLevel="0" collapsed="false">
      <c r="A1460" s="31" t="s">
        <v>1610</v>
      </c>
      <c r="B1460" s="44" t="n">
        <v>46224</v>
      </c>
      <c r="C1460" s="31" t="s">
        <v>57</v>
      </c>
      <c r="D1460" s="31" t="s">
        <v>65</v>
      </c>
      <c r="E1460" s="31" t="s">
        <v>52</v>
      </c>
      <c r="F1460" s="31" t="s">
        <v>122</v>
      </c>
      <c r="G1460" s="31" t="n">
        <v>2</v>
      </c>
      <c r="H1460" s="41" t="n">
        <v>12</v>
      </c>
      <c r="I1460" s="31" t="s">
        <v>149</v>
      </c>
      <c r="J1460" s="31" t="n">
        <v>3</v>
      </c>
      <c r="K1460" s="31" t="s">
        <v>150</v>
      </c>
      <c r="L1460" s="45" t="n">
        <f aca="false">DATE(YEAR(B1460),MONTH(B1460),1)</f>
        <v>46204</v>
      </c>
      <c r="M1460" s="31" t="n">
        <f aca="false">WEEKDAY(B1460,2)</f>
        <v>2</v>
      </c>
      <c r="N1460" s="31" t="str">
        <f aca="false">IF(G1460&lt;=INDEX(Assumptions!$B$15:$B$18,MATCH(E1460,Assumptions!$A$15:$A$18,0)),"Yes","No")</f>
        <v>Yes</v>
      </c>
      <c r="O1460" s="31" t="str">
        <f aca="false">IF(H1460="","Open",IF(H1460&lt;=INDEX(Assumptions!$C$15:$C$18,MATCH(E1460,Assumptions!$A$15:$A$18,0)),"Yes","No"))</f>
        <v>Yes</v>
      </c>
    </row>
    <row r="1461" customFormat="false" ht="15" hidden="false" customHeight="false" outlineLevel="0" collapsed="false">
      <c r="A1461" s="31" t="s">
        <v>1611</v>
      </c>
      <c r="B1461" s="44" t="n">
        <v>46224</v>
      </c>
      <c r="C1461" s="31" t="s">
        <v>60</v>
      </c>
      <c r="D1461" s="31" t="s">
        <v>66</v>
      </c>
      <c r="E1461" s="31" t="s">
        <v>52</v>
      </c>
      <c r="F1461" s="31" t="s">
        <v>121</v>
      </c>
      <c r="G1461" s="31" t="n">
        <v>2</v>
      </c>
      <c r="H1461" s="41" t="n">
        <v>5.7</v>
      </c>
      <c r="I1461" s="31" t="s">
        <v>149</v>
      </c>
      <c r="J1461" s="31" t="n">
        <v>4</v>
      </c>
      <c r="K1461" s="31" t="s">
        <v>150</v>
      </c>
      <c r="L1461" s="45" t="n">
        <f aca="false">DATE(YEAR(B1461),MONTH(B1461),1)</f>
        <v>46204</v>
      </c>
      <c r="M1461" s="31" t="n">
        <f aca="false">WEEKDAY(B1461,2)</f>
        <v>2</v>
      </c>
      <c r="N1461" s="31" t="str">
        <f aca="false">IF(G1461&lt;=INDEX(Assumptions!$B$15:$B$18,MATCH(E1461,Assumptions!$A$15:$A$18,0)),"Yes","No")</f>
        <v>Yes</v>
      </c>
      <c r="O1461" s="31" t="str">
        <f aca="false">IF(H1461="","Open",IF(H1461&lt;=INDEX(Assumptions!$C$15:$C$18,MATCH(E1461,Assumptions!$A$15:$A$18,0)),"Yes","No"))</f>
        <v>Yes</v>
      </c>
    </row>
    <row r="1462" customFormat="false" ht="15" hidden="false" customHeight="false" outlineLevel="0" collapsed="false">
      <c r="A1462" s="31" t="s">
        <v>1612</v>
      </c>
      <c r="B1462" s="44" t="n">
        <v>46224</v>
      </c>
      <c r="C1462" s="31" t="s">
        <v>59</v>
      </c>
      <c r="D1462" s="31" t="s">
        <v>66</v>
      </c>
      <c r="E1462" s="31" t="s">
        <v>51</v>
      </c>
      <c r="F1462" s="31" t="s">
        <v>117</v>
      </c>
      <c r="G1462" s="31" t="n">
        <v>36</v>
      </c>
      <c r="H1462" s="41" t="n">
        <v>4.2</v>
      </c>
      <c r="I1462" s="31" t="s">
        <v>149</v>
      </c>
      <c r="J1462" s="31"/>
      <c r="K1462" s="31" t="s">
        <v>153</v>
      </c>
      <c r="L1462" s="45" t="n">
        <f aca="false">DATE(YEAR(B1462),MONTH(B1462),1)</f>
        <v>46204</v>
      </c>
      <c r="M1462" s="31" t="n">
        <f aca="false">WEEKDAY(B1462,2)</f>
        <v>2</v>
      </c>
      <c r="N1462" s="31" t="str">
        <f aca="false">IF(G1462&lt;=INDEX(Assumptions!$B$15:$B$18,MATCH(E1462,Assumptions!$A$15:$A$18,0)),"Yes","No")</f>
        <v>Yes</v>
      </c>
      <c r="O1462" s="31" t="str">
        <f aca="false">IF(H1462="","Open",IF(H1462&lt;=INDEX(Assumptions!$C$15:$C$18,MATCH(E1462,Assumptions!$A$15:$A$18,0)),"Yes","No"))</f>
        <v>Yes</v>
      </c>
    </row>
    <row r="1463" customFormat="false" ht="15" hidden="false" customHeight="false" outlineLevel="0" collapsed="false">
      <c r="A1463" s="31" t="s">
        <v>1613</v>
      </c>
      <c r="B1463" s="44" t="n">
        <v>46224</v>
      </c>
      <c r="C1463" s="31" t="s">
        <v>60</v>
      </c>
      <c r="D1463" s="31" t="s">
        <v>67</v>
      </c>
      <c r="E1463" s="31" t="s">
        <v>51</v>
      </c>
      <c r="F1463" s="31" t="s">
        <v>127</v>
      </c>
      <c r="G1463" s="31" t="n">
        <v>1</v>
      </c>
      <c r="H1463" s="41" t="n">
        <v>30.2</v>
      </c>
      <c r="I1463" s="31" t="s">
        <v>149</v>
      </c>
      <c r="J1463" s="31" t="n">
        <v>4</v>
      </c>
      <c r="K1463" s="31" t="s">
        <v>150</v>
      </c>
      <c r="L1463" s="45" t="n">
        <f aca="false">DATE(YEAR(B1463),MONTH(B1463),1)</f>
        <v>46204</v>
      </c>
      <c r="M1463" s="31" t="n">
        <f aca="false">WEEKDAY(B1463,2)</f>
        <v>2</v>
      </c>
      <c r="N1463" s="31" t="str">
        <f aca="false">IF(G1463&lt;=INDEX(Assumptions!$B$15:$B$18,MATCH(E1463,Assumptions!$A$15:$A$18,0)),"Yes","No")</f>
        <v>Yes</v>
      </c>
      <c r="O1463" s="31" t="str">
        <f aca="false">IF(H1463="","Open",IF(H1463&lt;=INDEX(Assumptions!$C$15:$C$18,MATCH(E1463,Assumptions!$A$15:$A$18,0)),"Yes","No"))</f>
        <v>No</v>
      </c>
    </row>
    <row r="1464" customFormat="false" ht="15" hidden="false" customHeight="false" outlineLevel="0" collapsed="false">
      <c r="A1464" s="31" t="s">
        <v>1614</v>
      </c>
      <c r="B1464" s="44" t="n">
        <v>46224</v>
      </c>
      <c r="C1464" s="31" t="s">
        <v>57</v>
      </c>
      <c r="D1464" s="31" t="s">
        <v>69</v>
      </c>
      <c r="E1464" s="31" t="s">
        <v>51</v>
      </c>
      <c r="F1464" s="31" t="s">
        <v>128</v>
      </c>
      <c r="G1464" s="31" t="n">
        <v>5</v>
      </c>
      <c r="H1464" s="41" t="n">
        <v>26.9</v>
      </c>
      <c r="I1464" s="31" t="s">
        <v>149</v>
      </c>
      <c r="J1464" s="31" t="n">
        <v>4</v>
      </c>
      <c r="K1464" s="31" t="s">
        <v>150</v>
      </c>
      <c r="L1464" s="45" t="n">
        <f aca="false">DATE(YEAR(B1464),MONTH(B1464),1)</f>
        <v>46204</v>
      </c>
      <c r="M1464" s="31" t="n">
        <f aca="false">WEEKDAY(B1464,2)</f>
        <v>2</v>
      </c>
      <c r="N1464" s="31" t="str">
        <f aca="false">IF(G1464&lt;=INDEX(Assumptions!$B$15:$B$18,MATCH(E1464,Assumptions!$A$15:$A$18,0)),"Yes","No")</f>
        <v>Yes</v>
      </c>
      <c r="O1464" s="31" t="str">
        <f aca="false">IF(H1464="","Open",IF(H1464&lt;=INDEX(Assumptions!$C$15:$C$18,MATCH(E1464,Assumptions!$A$15:$A$18,0)),"Yes","No"))</f>
        <v>No</v>
      </c>
    </row>
    <row r="1465" customFormat="false" ht="15" hidden="false" customHeight="false" outlineLevel="0" collapsed="false">
      <c r="A1465" s="31" t="s">
        <v>1615</v>
      </c>
      <c r="B1465" s="44" t="n">
        <v>46224</v>
      </c>
      <c r="C1465" s="31" t="s">
        <v>57</v>
      </c>
      <c r="D1465" s="31" t="s">
        <v>66</v>
      </c>
      <c r="E1465" s="31" t="s">
        <v>51</v>
      </c>
      <c r="F1465" s="31" t="s">
        <v>119</v>
      </c>
      <c r="G1465" s="31" t="n">
        <v>6</v>
      </c>
      <c r="H1465" s="41" t="n">
        <v>1.7</v>
      </c>
      <c r="I1465" s="31" t="s">
        <v>149</v>
      </c>
      <c r="J1465" s="31"/>
      <c r="K1465" s="31" t="s">
        <v>150</v>
      </c>
      <c r="L1465" s="45" t="n">
        <f aca="false">DATE(YEAR(B1465),MONTH(B1465),1)</f>
        <v>46204</v>
      </c>
      <c r="M1465" s="31" t="n">
        <f aca="false">WEEKDAY(B1465,2)</f>
        <v>2</v>
      </c>
      <c r="N1465" s="31" t="str">
        <f aca="false">IF(G1465&lt;=INDEX(Assumptions!$B$15:$B$18,MATCH(E1465,Assumptions!$A$15:$A$18,0)),"Yes","No")</f>
        <v>Yes</v>
      </c>
      <c r="O1465" s="31" t="str">
        <f aca="false">IF(H1465="","Open",IF(H1465&lt;=INDEX(Assumptions!$C$15:$C$18,MATCH(E1465,Assumptions!$A$15:$A$18,0)),"Yes","No"))</f>
        <v>Yes</v>
      </c>
    </row>
    <row r="1466" customFormat="false" ht="15" hidden="false" customHeight="false" outlineLevel="0" collapsed="false">
      <c r="A1466" s="31" t="s">
        <v>1616</v>
      </c>
      <c r="B1466" s="44" t="n">
        <v>46224</v>
      </c>
      <c r="C1466" s="31" t="s">
        <v>58</v>
      </c>
      <c r="D1466" s="31" t="s">
        <v>68</v>
      </c>
      <c r="E1466" s="31" t="s">
        <v>51</v>
      </c>
      <c r="F1466" s="31" t="s">
        <v>127</v>
      </c>
      <c r="G1466" s="31" t="n">
        <v>9</v>
      </c>
      <c r="H1466" s="41" t="n">
        <v>8</v>
      </c>
      <c r="I1466" s="31" t="s">
        <v>149</v>
      </c>
      <c r="J1466" s="31" t="n">
        <v>5</v>
      </c>
      <c r="K1466" s="31" t="s">
        <v>150</v>
      </c>
      <c r="L1466" s="45" t="n">
        <f aca="false">DATE(YEAR(B1466),MONTH(B1466),1)</f>
        <v>46204</v>
      </c>
      <c r="M1466" s="31" t="n">
        <f aca="false">WEEKDAY(B1466,2)</f>
        <v>2</v>
      </c>
      <c r="N1466" s="31" t="str">
        <f aca="false">IF(G1466&lt;=INDEX(Assumptions!$B$15:$B$18,MATCH(E1466,Assumptions!$A$15:$A$18,0)),"Yes","No")</f>
        <v>Yes</v>
      </c>
      <c r="O1466" s="31" t="str">
        <f aca="false">IF(H1466="","Open",IF(H1466&lt;=INDEX(Assumptions!$C$15:$C$18,MATCH(E1466,Assumptions!$A$15:$A$18,0)),"Yes","No"))</f>
        <v>Yes</v>
      </c>
    </row>
    <row r="1467" customFormat="false" ht="15" hidden="false" customHeight="false" outlineLevel="0" collapsed="false">
      <c r="A1467" s="31" t="s">
        <v>1617</v>
      </c>
      <c r="B1467" s="44" t="n">
        <v>46224</v>
      </c>
      <c r="C1467" s="31" t="s">
        <v>57</v>
      </c>
      <c r="D1467" s="31" t="s">
        <v>65</v>
      </c>
      <c r="E1467" s="31" t="s">
        <v>52</v>
      </c>
      <c r="F1467" s="31" t="s">
        <v>137</v>
      </c>
      <c r="G1467" s="31" t="n">
        <v>4</v>
      </c>
      <c r="H1467" s="41" t="n">
        <v>39.7</v>
      </c>
      <c r="I1467" s="31" t="s">
        <v>149</v>
      </c>
      <c r="J1467" s="31" t="n">
        <v>4</v>
      </c>
      <c r="K1467" s="31" t="s">
        <v>150</v>
      </c>
      <c r="L1467" s="45" t="n">
        <f aca="false">DATE(YEAR(B1467),MONTH(B1467),1)</f>
        <v>46204</v>
      </c>
      <c r="M1467" s="31" t="n">
        <f aca="false">WEEKDAY(B1467,2)</f>
        <v>2</v>
      </c>
      <c r="N1467" s="31" t="str">
        <f aca="false">IF(G1467&lt;=INDEX(Assumptions!$B$15:$B$18,MATCH(E1467,Assumptions!$A$15:$A$18,0)),"Yes","No")</f>
        <v>Yes</v>
      </c>
      <c r="O1467" s="31" t="str">
        <f aca="false">IF(H1467="","Open",IF(H1467&lt;=INDEX(Assumptions!$C$15:$C$18,MATCH(E1467,Assumptions!$A$15:$A$18,0)),"Yes","No"))</f>
        <v>Yes</v>
      </c>
    </row>
    <row r="1468" customFormat="false" ht="15" hidden="false" customHeight="false" outlineLevel="0" collapsed="false">
      <c r="A1468" s="31" t="s">
        <v>1618</v>
      </c>
      <c r="B1468" s="44" t="n">
        <v>46224</v>
      </c>
      <c r="C1468" s="31" t="s">
        <v>59</v>
      </c>
      <c r="D1468" s="31" t="s">
        <v>69</v>
      </c>
      <c r="E1468" s="31" t="s">
        <v>52</v>
      </c>
      <c r="F1468" s="31" t="s">
        <v>128</v>
      </c>
      <c r="G1468" s="31" t="n">
        <v>87</v>
      </c>
      <c r="H1468" s="41" t="n">
        <v>23.3</v>
      </c>
      <c r="I1468" s="31" t="s">
        <v>149</v>
      </c>
      <c r="J1468" s="31" t="n">
        <v>4</v>
      </c>
      <c r="K1468" s="31" t="s">
        <v>150</v>
      </c>
      <c r="L1468" s="45" t="n">
        <f aca="false">DATE(YEAR(B1468),MONTH(B1468),1)</f>
        <v>46204</v>
      </c>
      <c r="M1468" s="31" t="n">
        <f aca="false">WEEKDAY(B1468,2)</f>
        <v>2</v>
      </c>
      <c r="N1468" s="31" t="str">
        <f aca="false">IF(G1468&lt;=INDEX(Assumptions!$B$15:$B$18,MATCH(E1468,Assumptions!$A$15:$A$18,0)),"Yes","No")</f>
        <v>Yes</v>
      </c>
      <c r="O1468" s="31" t="str">
        <f aca="false">IF(H1468="","Open",IF(H1468&lt;=INDEX(Assumptions!$C$15:$C$18,MATCH(E1468,Assumptions!$A$15:$A$18,0)),"Yes","No"))</f>
        <v>Yes</v>
      </c>
    </row>
    <row r="1469" customFormat="false" ht="15" hidden="false" customHeight="false" outlineLevel="0" collapsed="false">
      <c r="A1469" s="31" t="s">
        <v>1619</v>
      </c>
      <c r="B1469" s="44" t="n">
        <v>46224</v>
      </c>
      <c r="C1469" s="31" t="s">
        <v>57</v>
      </c>
      <c r="D1469" s="31" t="s">
        <v>65</v>
      </c>
      <c r="E1469" s="31" t="s">
        <v>51</v>
      </c>
      <c r="F1469" s="31" t="s">
        <v>137</v>
      </c>
      <c r="G1469" s="31" t="n">
        <v>2</v>
      </c>
      <c r="H1469" s="41" t="n">
        <v>4.2</v>
      </c>
      <c r="I1469" s="31" t="s">
        <v>149</v>
      </c>
      <c r="J1469" s="31" t="n">
        <v>4</v>
      </c>
      <c r="K1469" s="31" t="s">
        <v>150</v>
      </c>
      <c r="L1469" s="45" t="n">
        <f aca="false">DATE(YEAR(B1469),MONTH(B1469),1)</f>
        <v>46204</v>
      </c>
      <c r="M1469" s="31" t="n">
        <f aca="false">WEEKDAY(B1469,2)</f>
        <v>2</v>
      </c>
      <c r="N1469" s="31" t="str">
        <f aca="false">IF(G1469&lt;=INDEX(Assumptions!$B$15:$B$18,MATCH(E1469,Assumptions!$A$15:$A$18,0)),"Yes","No")</f>
        <v>Yes</v>
      </c>
      <c r="O1469" s="31" t="str">
        <f aca="false">IF(H1469="","Open",IF(H1469&lt;=INDEX(Assumptions!$C$15:$C$18,MATCH(E1469,Assumptions!$A$15:$A$18,0)),"Yes","No"))</f>
        <v>Yes</v>
      </c>
    </row>
    <row r="1470" customFormat="false" ht="15" hidden="false" customHeight="false" outlineLevel="0" collapsed="false">
      <c r="A1470" s="31" t="s">
        <v>1620</v>
      </c>
      <c r="B1470" s="44" t="n">
        <v>46224</v>
      </c>
      <c r="C1470" s="31" t="s">
        <v>57</v>
      </c>
      <c r="D1470" s="31" t="s">
        <v>69</v>
      </c>
      <c r="E1470" s="31" t="s">
        <v>51</v>
      </c>
      <c r="F1470" s="31" t="s">
        <v>122</v>
      </c>
      <c r="G1470" s="31" t="n">
        <v>1</v>
      </c>
      <c r="H1470" s="41" t="n">
        <v>7.6</v>
      </c>
      <c r="I1470" s="31" t="s">
        <v>149</v>
      </c>
      <c r="J1470" s="31" t="n">
        <v>5</v>
      </c>
      <c r="K1470" s="31" t="s">
        <v>150</v>
      </c>
      <c r="L1470" s="45" t="n">
        <f aca="false">DATE(YEAR(B1470),MONTH(B1470),1)</f>
        <v>46204</v>
      </c>
      <c r="M1470" s="31" t="n">
        <f aca="false">WEEKDAY(B1470,2)</f>
        <v>2</v>
      </c>
      <c r="N1470" s="31" t="str">
        <f aca="false">IF(G1470&lt;=INDEX(Assumptions!$B$15:$B$18,MATCH(E1470,Assumptions!$A$15:$A$18,0)),"Yes","No")</f>
        <v>Yes</v>
      </c>
      <c r="O1470" s="31" t="str">
        <f aca="false">IF(H1470="","Open",IF(H1470&lt;=INDEX(Assumptions!$C$15:$C$18,MATCH(E1470,Assumptions!$A$15:$A$18,0)),"Yes","No"))</f>
        <v>Yes</v>
      </c>
    </row>
    <row r="1471" customFormat="false" ht="15" hidden="false" customHeight="false" outlineLevel="0" collapsed="false">
      <c r="A1471" s="31" t="s">
        <v>1621</v>
      </c>
      <c r="B1471" s="44" t="n">
        <v>46224</v>
      </c>
      <c r="C1471" s="31" t="s">
        <v>58</v>
      </c>
      <c r="D1471" s="31" t="s">
        <v>67</v>
      </c>
      <c r="E1471" s="31" t="s">
        <v>50</v>
      </c>
      <c r="F1471" s="31" t="s">
        <v>126</v>
      </c>
      <c r="G1471" s="31" t="n">
        <v>8</v>
      </c>
      <c r="H1471" s="41" t="n">
        <v>7.5</v>
      </c>
      <c r="I1471" s="31" t="s">
        <v>149</v>
      </c>
      <c r="J1471" s="31" t="n">
        <v>5</v>
      </c>
      <c r="K1471" s="31" t="s">
        <v>150</v>
      </c>
      <c r="L1471" s="45" t="n">
        <f aca="false">DATE(YEAR(B1471),MONTH(B1471),1)</f>
        <v>46204</v>
      </c>
      <c r="M1471" s="31" t="n">
        <f aca="false">WEEKDAY(B1471,2)</f>
        <v>2</v>
      </c>
      <c r="N1471" s="31" t="str">
        <f aca="false">IF(G1471&lt;=INDEX(Assumptions!$B$15:$B$18,MATCH(E1471,Assumptions!$A$15:$A$18,0)),"Yes","No")</f>
        <v>Yes</v>
      </c>
      <c r="O1471" s="31" t="str">
        <f aca="false">IF(H1471="","Open",IF(H1471&lt;=INDEX(Assumptions!$C$15:$C$18,MATCH(E1471,Assumptions!$A$15:$A$18,0)),"Yes","No"))</f>
        <v>Yes</v>
      </c>
    </row>
    <row r="1472" customFormat="false" ht="15" hidden="false" customHeight="false" outlineLevel="0" collapsed="false">
      <c r="A1472" s="31" t="s">
        <v>1622</v>
      </c>
      <c r="B1472" s="44" t="n">
        <v>46224</v>
      </c>
      <c r="C1472" s="31" t="s">
        <v>59</v>
      </c>
      <c r="D1472" s="31" t="s">
        <v>65</v>
      </c>
      <c r="E1472" s="31" t="s">
        <v>51</v>
      </c>
      <c r="F1472" s="31" t="s">
        <v>135</v>
      </c>
      <c r="G1472" s="31" t="n">
        <v>229</v>
      </c>
      <c r="H1472" s="41" t="n">
        <v>26.3</v>
      </c>
      <c r="I1472" s="31" t="s">
        <v>149</v>
      </c>
      <c r="J1472" s="31" t="n">
        <v>3</v>
      </c>
      <c r="K1472" s="31" t="s">
        <v>150</v>
      </c>
      <c r="L1472" s="45" t="n">
        <f aca="false">DATE(YEAR(B1472),MONTH(B1472),1)</f>
        <v>46204</v>
      </c>
      <c r="M1472" s="31" t="n">
        <f aca="false">WEEKDAY(B1472,2)</f>
        <v>2</v>
      </c>
      <c r="N1472" s="31" t="str">
        <f aca="false">IF(G1472&lt;=INDEX(Assumptions!$B$15:$B$18,MATCH(E1472,Assumptions!$A$15:$A$18,0)),"Yes","No")</f>
        <v>No</v>
      </c>
      <c r="O1472" s="31" t="str">
        <f aca="false">IF(H1472="","Open",IF(H1472&lt;=INDEX(Assumptions!$C$15:$C$18,MATCH(E1472,Assumptions!$A$15:$A$18,0)),"Yes","No"))</f>
        <v>No</v>
      </c>
    </row>
    <row r="1473" customFormat="false" ht="15" hidden="false" customHeight="false" outlineLevel="0" collapsed="false">
      <c r="A1473" s="31" t="s">
        <v>1623</v>
      </c>
      <c r="B1473" s="44" t="n">
        <v>46224</v>
      </c>
      <c r="C1473" s="31" t="s">
        <v>59</v>
      </c>
      <c r="D1473" s="31" t="s">
        <v>65</v>
      </c>
      <c r="E1473" s="31" t="s">
        <v>51</v>
      </c>
      <c r="F1473" s="31" t="s">
        <v>124</v>
      </c>
      <c r="G1473" s="31" t="n">
        <v>99</v>
      </c>
      <c r="H1473" s="41" t="n">
        <v>30.4</v>
      </c>
      <c r="I1473" s="31" t="s">
        <v>149</v>
      </c>
      <c r="J1473" s="31"/>
      <c r="K1473" s="31" t="s">
        <v>150</v>
      </c>
      <c r="L1473" s="45" t="n">
        <f aca="false">DATE(YEAR(B1473),MONTH(B1473),1)</f>
        <v>46204</v>
      </c>
      <c r="M1473" s="31" t="n">
        <f aca="false">WEEKDAY(B1473,2)</f>
        <v>2</v>
      </c>
      <c r="N1473" s="31" t="str">
        <f aca="false">IF(G1473&lt;=INDEX(Assumptions!$B$15:$B$18,MATCH(E1473,Assumptions!$A$15:$A$18,0)),"Yes","No")</f>
        <v>No</v>
      </c>
      <c r="O1473" s="31" t="str">
        <f aca="false">IF(H1473="","Open",IF(H1473&lt;=INDEX(Assumptions!$C$15:$C$18,MATCH(E1473,Assumptions!$A$15:$A$18,0)),"Yes","No"))</f>
        <v>No</v>
      </c>
    </row>
    <row r="1474" customFormat="false" ht="15" hidden="false" customHeight="false" outlineLevel="0" collapsed="false">
      <c r="A1474" s="31" t="s">
        <v>1624</v>
      </c>
      <c r="B1474" s="44" t="n">
        <v>46224</v>
      </c>
      <c r="C1474" s="31" t="s">
        <v>59</v>
      </c>
      <c r="D1474" s="31" t="s">
        <v>65</v>
      </c>
      <c r="E1474" s="31" t="s">
        <v>52</v>
      </c>
      <c r="F1474" s="31" t="s">
        <v>127</v>
      </c>
      <c r="G1474" s="31" t="n">
        <v>84</v>
      </c>
      <c r="H1474" s="41" t="n">
        <v>14</v>
      </c>
      <c r="I1474" s="31" t="s">
        <v>149</v>
      </c>
      <c r="J1474" s="31" t="n">
        <v>4</v>
      </c>
      <c r="K1474" s="31" t="s">
        <v>150</v>
      </c>
      <c r="L1474" s="45" t="n">
        <f aca="false">DATE(YEAR(B1474),MONTH(B1474),1)</f>
        <v>46204</v>
      </c>
      <c r="M1474" s="31" t="n">
        <f aca="false">WEEKDAY(B1474,2)</f>
        <v>2</v>
      </c>
      <c r="N1474" s="31" t="str">
        <f aca="false">IF(G1474&lt;=INDEX(Assumptions!$B$15:$B$18,MATCH(E1474,Assumptions!$A$15:$A$18,0)),"Yes","No")</f>
        <v>Yes</v>
      </c>
      <c r="O1474" s="31" t="str">
        <f aca="false">IF(H1474="","Open",IF(H1474&lt;=INDEX(Assumptions!$C$15:$C$18,MATCH(E1474,Assumptions!$A$15:$A$18,0)),"Yes","No"))</f>
        <v>Yes</v>
      </c>
    </row>
    <row r="1475" customFormat="false" ht="15" hidden="false" customHeight="false" outlineLevel="0" collapsed="false">
      <c r="A1475" s="31" t="s">
        <v>1625</v>
      </c>
      <c r="B1475" s="44" t="n">
        <v>46224</v>
      </c>
      <c r="C1475" s="31" t="s">
        <v>59</v>
      </c>
      <c r="D1475" s="31" t="s">
        <v>68</v>
      </c>
      <c r="E1475" s="31" t="s">
        <v>52</v>
      </c>
      <c r="F1475" s="31" t="s">
        <v>131</v>
      </c>
      <c r="G1475" s="31" t="n">
        <v>154</v>
      </c>
      <c r="H1475" s="41" t="n">
        <v>3.5</v>
      </c>
      <c r="I1475" s="31" t="s">
        <v>149</v>
      </c>
      <c r="J1475" s="31" t="n">
        <v>4</v>
      </c>
      <c r="K1475" s="31" t="s">
        <v>150</v>
      </c>
      <c r="L1475" s="45" t="n">
        <f aca="false">DATE(YEAR(B1475),MONTH(B1475),1)</f>
        <v>46204</v>
      </c>
      <c r="M1475" s="31" t="n">
        <f aca="false">WEEKDAY(B1475,2)</f>
        <v>2</v>
      </c>
      <c r="N1475" s="31" t="str">
        <f aca="false">IF(G1475&lt;=INDEX(Assumptions!$B$15:$B$18,MATCH(E1475,Assumptions!$A$15:$A$18,0)),"Yes","No")</f>
        <v>Yes</v>
      </c>
      <c r="O1475" s="31" t="str">
        <f aca="false">IF(H1475="","Open",IF(H1475&lt;=INDEX(Assumptions!$C$15:$C$18,MATCH(E1475,Assumptions!$A$15:$A$18,0)),"Yes","No"))</f>
        <v>Yes</v>
      </c>
    </row>
    <row r="1476" customFormat="false" ht="15" hidden="false" customHeight="false" outlineLevel="0" collapsed="false">
      <c r="A1476" s="31" t="s">
        <v>1626</v>
      </c>
      <c r="B1476" s="44" t="n">
        <v>46224</v>
      </c>
      <c r="C1476" s="31" t="s">
        <v>60</v>
      </c>
      <c r="D1476" s="31" t="s">
        <v>67</v>
      </c>
      <c r="E1476" s="31" t="s">
        <v>51</v>
      </c>
      <c r="F1476" s="31" t="s">
        <v>123</v>
      </c>
      <c r="G1476" s="31" t="n">
        <v>3</v>
      </c>
      <c r="H1476" s="41" t="n">
        <v>3.3</v>
      </c>
      <c r="I1476" s="31" t="s">
        <v>149</v>
      </c>
      <c r="J1476" s="31"/>
      <c r="K1476" s="31" t="s">
        <v>150</v>
      </c>
      <c r="L1476" s="45" t="n">
        <f aca="false">DATE(YEAR(B1476),MONTH(B1476),1)</f>
        <v>46204</v>
      </c>
      <c r="M1476" s="31" t="n">
        <f aca="false">WEEKDAY(B1476,2)</f>
        <v>2</v>
      </c>
      <c r="N1476" s="31" t="str">
        <f aca="false">IF(G1476&lt;=INDEX(Assumptions!$B$15:$B$18,MATCH(E1476,Assumptions!$A$15:$A$18,0)),"Yes","No")</f>
        <v>Yes</v>
      </c>
      <c r="O1476" s="31" t="str">
        <f aca="false">IF(H1476="","Open",IF(H1476&lt;=INDEX(Assumptions!$C$15:$C$18,MATCH(E1476,Assumptions!$A$15:$A$18,0)),"Yes","No"))</f>
        <v>Yes</v>
      </c>
    </row>
    <row r="1477" customFormat="false" ht="15" hidden="false" customHeight="false" outlineLevel="0" collapsed="false">
      <c r="A1477" s="31" t="s">
        <v>1627</v>
      </c>
      <c r="B1477" s="44" t="n">
        <v>46224</v>
      </c>
      <c r="C1477" s="31" t="s">
        <v>57</v>
      </c>
      <c r="D1477" s="31" t="s">
        <v>66</v>
      </c>
      <c r="E1477" s="31" t="s">
        <v>52</v>
      </c>
      <c r="F1477" s="31" t="s">
        <v>133</v>
      </c>
      <c r="G1477" s="31" t="n">
        <v>9</v>
      </c>
      <c r="H1477" s="41"/>
      <c r="I1477" s="31" t="s">
        <v>158</v>
      </c>
      <c r="J1477" s="31"/>
      <c r="K1477" s="31" t="s">
        <v>150</v>
      </c>
      <c r="L1477" s="45" t="n">
        <f aca="false">DATE(YEAR(B1477),MONTH(B1477),1)</f>
        <v>46204</v>
      </c>
      <c r="M1477" s="31" t="n">
        <f aca="false">WEEKDAY(B1477,2)</f>
        <v>2</v>
      </c>
      <c r="N1477" s="31" t="str">
        <f aca="false">IF(G1477&lt;=INDEX(Assumptions!$B$15:$B$18,MATCH(E1477,Assumptions!$A$15:$A$18,0)),"Yes","No")</f>
        <v>Yes</v>
      </c>
      <c r="O1477" s="31" t="str">
        <f aca="false">IF(H1477="","Open",IF(H1477&lt;=INDEX(Assumptions!$C$15:$C$18,MATCH(E1477,Assumptions!$A$15:$A$18,0)),"Yes","No"))</f>
        <v>Open</v>
      </c>
    </row>
    <row r="1478" customFormat="false" ht="15" hidden="false" customHeight="false" outlineLevel="0" collapsed="false">
      <c r="A1478" s="31" t="s">
        <v>1628</v>
      </c>
      <c r="B1478" s="44" t="n">
        <v>46224</v>
      </c>
      <c r="C1478" s="31" t="s">
        <v>59</v>
      </c>
      <c r="D1478" s="31" t="s">
        <v>65</v>
      </c>
      <c r="E1478" s="31" t="s">
        <v>52</v>
      </c>
      <c r="F1478" s="31" t="s">
        <v>120</v>
      </c>
      <c r="G1478" s="31" t="n">
        <v>61</v>
      </c>
      <c r="H1478" s="41" t="n">
        <v>38.3</v>
      </c>
      <c r="I1478" s="31" t="s">
        <v>149</v>
      </c>
      <c r="J1478" s="31" t="n">
        <v>3</v>
      </c>
      <c r="K1478" s="31" t="s">
        <v>150</v>
      </c>
      <c r="L1478" s="45" t="n">
        <f aca="false">DATE(YEAR(B1478),MONTH(B1478),1)</f>
        <v>46204</v>
      </c>
      <c r="M1478" s="31" t="n">
        <f aca="false">WEEKDAY(B1478,2)</f>
        <v>2</v>
      </c>
      <c r="N1478" s="31" t="str">
        <f aca="false">IF(G1478&lt;=INDEX(Assumptions!$B$15:$B$18,MATCH(E1478,Assumptions!$A$15:$A$18,0)),"Yes","No")</f>
        <v>Yes</v>
      </c>
      <c r="O1478" s="31" t="str">
        <f aca="false">IF(H1478="","Open",IF(H1478&lt;=INDEX(Assumptions!$C$15:$C$18,MATCH(E1478,Assumptions!$A$15:$A$18,0)),"Yes","No"))</f>
        <v>Yes</v>
      </c>
    </row>
    <row r="1479" customFormat="false" ht="15" hidden="false" customHeight="false" outlineLevel="0" collapsed="false">
      <c r="A1479" s="31" t="s">
        <v>1629</v>
      </c>
      <c r="B1479" s="44" t="n">
        <v>46224</v>
      </c>
      <c r="C1479" s="31" t="s">
        <v>59</v>
      </c>
      <c r="D1479" s="31" t="s">
        <v>65</v>
      </c>
      <c r="E1479" s="31" t="s">
        <v>51</v>
      </c>
      <c r="F1479" s="31" t="s">
        <v>127</v>
      </c>
      <c r="G1479" s="31" t="n">
        <v>33</v>
      </c>
      <c r="H1479" s="41" t="n">
        <v>4.5</v>
      </c>
      <c r="I1479" s="31" t="s">
        <v>149</v>
      </c>
      <c r="J1479" s="31" t="n">
        <v>5</v>
      </c>
      <c r="K1479" s="31" t="s">
        <v>150</v>
      </c>
      <c r="L1479" s="45" t="n">
        <f aca="false">DATE(YEAR(B1479),MONTH(B1479),1)</f>
        <v>46204</v>
      </c>
      <c r="M1479" s="31" t="n">
        <f aca="false">WEEKDAY(B1479,2)</f>
        <v>2</v>
      </c>
      <c r="N1479" s="31" t="str">
        <f aca="false">IF(G1479&lt;=INDEX(Assumptions!$B$15:$B$18,MATCH(E1479,Assumptions!$A$15:$A$18,0)),"Yes","No")</f>
        <v>Yes</v>
      </c>
      <c r="O1479" s="31" t="str">
        <f aca="false">IF(H1479="","Open",IF(H1479&lt;=INDEX(Assumptions!$C$15:$C$18,MATCH(E1479,Assumptions!$A$15:$A$18,0)),"Yes","No"))</f>
        <v>Yes</v>
      </c>
    </row>
    <row r="1480" customFormat="false" ht="15" hidden="false" customHeight="false" outlineLevel="0" collapsed="false">
      <c r="A1480" s="31" t="s">
        <v>1630</v>
      </c>
      <c r="B1480" s="44" t="n">
        <v>46224</v>
      </c>
      <c r="C1480" s="31" t="s">
        <v>59</v>
      </c>
      <c r="D1480" s="31" t="s">
        <v>67</v>
      </c>
      <c r="E1480" s="31" t="s">
        <v>50</v>
      </c>
      <c r="F1480" s="31" t="s">
        <v>117</v>
      </c>
      <c r="G1480" s="31" t="n">
        <v>59</v>
      </c>
      <c r="H1480" s="41" t="n">
        <v>9</v>
      </c>
      <c r="I1480" s="31" t="s">
        <v>149</v>
      </c>
      <c r="J1480" s="31" t="n">
        <v>5</v>
      </c>
      <c r="K1480" s="31" t="s">
        <v>150</v>
      </c>
      <c r="L1480" s="45" t="n">
        <f aca="false">DATE(YEAR(B1480),MONTH(B1480),1)</f>
        <v>46204</v>
      </c>
      <c r="M1480" s="31" t="n">
        <f aca="false">WEEKDAY(B1480,2)</f>
        <v>2</v>
      </c>
      <c r="N1480" s="31" t="str">
        <f aca="false">IF(G1480&lt;=INDEX(Assumptions!$B$15:$B$18,MATCH(E1480,Assumptions!$A$15:$A$18,0)),"Yes","No")</f>
        <v>No</v>
      </c>
      <c r="O1480" s="31" t="str">
        <f aca="false">IF(H1480="","Open",IF(H1480&lt;=INDEX(Assumptions!$C$15:$C$18,MATCH(E1480,Assumptions!$A$15:$A$18,0)),"Yes","No"))</f>
        <v>No</v>
      </c>
    </row>
    <row r="1481" customFormat="false" ht="15" hidden="false" customHeight="false" outlineLevel="0" collapsed="false">
      <c r="A1481" s="31" t="s">
        <v>1631</v>
      </c>
      <c r="B1481" s="44" t="n">
        <v>46224</v>
      </c>
      <c r="C1481" s="31" t="s">
        <v>59</v>
      </c>
      <c r="D1481" s="31" t="s">
        <v>68</v>
      </c>
      <c r="E1481" s="31" t="s">
        <v>52</v>
      </c>
      <c r="F1481" s="31" t="s">
        <v>134</v>
      </c>
      <c r="G1481" s="31" t="n">
        <v>96</v>
      </c>
      <c r="H1481" s="41" t="n">
        <v>3.7</v>
      </c>
      <c r="I1481" s="31" t="s">
        <v>149</v>
      </c>
      <c r="J1481" s="31"/>
      <c r="K1481" s="31" t="s">
        <v>150</v>
      </c>
      <c r="L1481" s="45" t="n">
        <f aca="false">DATE(YEAR(B1481),MONTH(B1481),1)</f>
        <v>46204</v>
      </c>
      <c r="M1481" s="31" t="n">
        <f aca="false">WEEKDAY(B1481,2)</f>
        <v>2</v>
      </c>
      <c r="N1481" s="31" t="str">
        <f aca="false">IF(G1481&lt;=INDEX(Assumptions!$B$15:$B$18,MATCH(E1481,Assumptions!$A$15:$A$18,0)),"Yes","No")</f>
        <v>Yes</v>
      </c>
      <c r="O1481" s="31" t="str">
        <f aca="false">IF(H1481="","Open",IF(H1481&lt;=INDEX(Assumptions!$C$15:$C$18,MATCH(E1481,Assumptions!$A$15:$A$18,0)),"Yes","No"))</f>
        <v>Yes</v>
      </c>
    </row>
    <row r="1482" customFormat="false" ht="15" hidden="false" customHeight="false" outlineLevel="0" collapsed="false">
      <c r="A1482" s="31" t="s">
        <v>1632</v>
      </c>
      <c r="B1482" s="44" t="n">
        <v>46224</v>
      </c>
      <c r="C1482" s="31" t="s">
        <v>60</v>
      </c>
      <c r="D1482" s="31" t="s">
        <v>69</v>
      </c>
      <c r="E1482" s="31" t="s">
        <v>50</v>
      </c>
      <c r="F1482" s="31" t="s">
        <v>123</v>
      </c>
      <c r="G1482" s="31" t="n">
        <v>2</v>
      </c>
      <c r="H1482" s="41" t="n">
        <v>10.5</v>
      </c>
      <c r="I1482" s="31" t="s">
        <v>149</v>
      </c>
      <c r="J1482" s="31" t="n">
        <v>4</v>
      </c>
      <c r="K1482" s="31" t="s">
        <v>150</v>
      </c>
      <c r="L1482" s="45" t="n">
        <f aca="false">DATE(YEAR(B1482),MONTH(B1482),1)</f>
        <v>46204</v>
      </c>
      <c r="M1482" s="31" t="n">
        <f aca="false">WEEKDAY(B1482,2)</f>
        <v>2</v>
      </c>
      <c r="N1482" s="31" t="str">
        <f aca="false">IF(G1482&lt;=INDEX(Assumptions!$B$15:$B$18,MATCH(E1482,Assumptions!$A$15:$A$18,0)),"Yes","No")</f>
        <v>Yes</v>
      </c>
      <c r="O1482" s="31" t="str">
        <f aca="false">IF(H1482="","Open",IF(H1482&lt;=INDEX(Assumptions!$C$15:$C$18,MATCH(E1482,Assumptions!$A$15:$A$18,0)),"Yes","No"))</f>
        <v>No</v>
      </c>
    </row>
    <row r="1483" customFormat="false" ht="15" hidden="false" customHeight="false" outlineLevel="0" collapsed="false">
      <c r="A1483" s="31" t="s">
        <v>1633</v>
      </c>
      <c r="B1483" s="44" t="n">
        <v>46224</v>
      </c>
      <c r="C1483" s="31" t="s">
        <v>58</v>
      </c>
      <c r="D1483" s="31" t="s">
        <v>65</v>
      </c>
      <c r="E1483" s="31" t="s">
        <v>50</v>
      </c>
      <c r="F1483" s="31" t="s">
        <v>137</v>
      </c>
      <c r="G1483" s="31" t="n">
        <v>4</v>
      </c>
      <c r="H1483" s="41" t="n">
        <v>1.2</v>
      </c>
      <c r="I1483" s="31" t="s">
        <v>149</v>
      </c>
      <c r="J1483" s="31"/>
      <c r="K1483" s="31" t="s">
        <v>150</v>
      </c>
      <c r="L1483" s="45" t="n">
        <f aca="false">DATE(YEAR(B1483),MONTH(B1483),1)</f>
        <v>46204</v>
      </c>
      <c r="M1483" s="31" t="n">
        <f aca="false">WEEKDAY(B1483,2)</f>
        <v>2</v>
      </c>
      <c r="N1483" s="31" t="str">
        <f aca="false">IF(G1483&lt;=INDEX(Assumptions!$B$15:$B$18,MATCH(E1483,Assumptions!$A$15:$A$18,0)),"Yes","No")</f>
        <v>Yes</v>
      </c>
      <c r="O1483" s="31" t="str">
        <f aca="false">IF(H1483="","Open",IF(H1483&lt;=INDEX(Assumptions!$C$15:$C$18,MATCH(E1483,Assumptions!$A$15:$A$18,0)),"Yes","No"))</f>
        <v>Yes</v>
      </c>
    </row>
    <row r="1484" customFormat="false" ht="15" hidden="false" customHeight="false" outlineLevel="0" collapsed="false">
      <c r="A1484" s="31" t="s">
        <v>1634</v>
      </c>
      <c r="B1484" s="44" t="n">
        <v>46224</v>
      </c>
      <c r="C1484" s="31" t="s">
        <v>57</v>
      </c>
      <c r="D1484" s="31" t="s">
        <v>66</v>
      </c>
      <c r="E1484" s="31" t="s">
        <v>50</v>
      </c>
      <c r="F1484" s="31" t="s">
        <v>136</v>
      </c>
      <c r="G1484" s="31" t="n">
        <v>1</v>
      </c>
      <c r="H1484" s="41" t="n">
        <v>3</v>
      </c>
      <c r="I1484" s="31" t="s">
        <v>149</v>
      </c>
      <c r="J1484" s="31" t="n">
        <v>5</v>
      </c>
      <c r="K1484" s="31" t="s">
        <v>150</v>
      </c>
      <c r="L1484" s="45" t="n">
        <f aca="false">DATE(YEAR(B1484),MONTH(B1484),1)</f>
        <v>46204</v>
      </c>
      <c r="M1484" s="31" t="n">
        <f aca="false">WEEKDAY(B1484,2)</f>
        <v>2</v>
      </c>
      <c r="N1484" s="31" t="str">
        <f aca="false">IF(G1484&lt;=INDEX(Assumptions!$B$15:$B$18,MATCH(E1484,Assumptions!$A$15:$A$18,0)),"Yes","No")</f>
        <v>Yes</v>
      </c>
      <c r="O1484" s="31" t="str">
        <f aca="false">IF(H1484="","Open",IF(H1484&lt;=INDEX(Assumptions!$C$15:$C$18,MATCH(E1484,Assumptions!$A$15:$A$18,0)),"Yes","No"))</f>
        <v>Yes</v>
      </c>
    </row>
    <row r="1485" customFormat="false" ht="15" hidden="false" customHeight="false" outlineLevel="0" collapsed="false">
      <c r="A1485" s="31" t="s">
        <v>1635</v>
      </c>
      <c r="B1485" s="44" t="n">
        <v>46224</v>
      </c>
      <c r="C1485" s="31" t="s">
        <v>59</v>
      </c>
      <c r="D1485" s="31" t="s">
        <v>66</v>
      </c>
      <c r="E1485" s="31" t="s">
        <v>52</v>
      </c>
      <c r="F1485" s="31" t="s">
        <v>134</v>
      </c>
      <c r="G1485" s="31" t="n">
        <v>69</v>
      </c>
      <c r="H1485" s="41" t="n">
        <v>23.9</v>
      </c>
      <c r="I1485" s="31" t="s">
        <v>149</v>
      </c>
      <c r="J1485" s="31"/>
      <c r="K1485" s="31" t="s">
        <v>150</v>
      </c>
      <c r="L1485" s="45" t="n">
        <f aca="false">DATE(YEAR(B1485),MONTH(B1485),1)</f>
        <v>46204</v>
      </c>
      <c r="M1485" s="31" t="n">
        <f aca="false">WEEKDAY(B1485,2)</f>
        <v>2</v>
      </c>
      <c r="N1485" s="31" t="str">
        <f aca="false">IF(G1485&lt;=INDEX(Assumptions!$B$15:$B$18,MATCH(E1485,Assumptions!$A$15:$A$18,0)),"Yes","No")</f>
        <v>Yes</v>
      </c>
      <c r="O1485" s="31" t="str">
        <f aca="false">IF(H1485="","Open",IF(H1485&lt;=INDEX(Assumptions!$C$15:$C$18,MATCH(E1485,Assumptions!$A$15:$A$18,0)),"Yes","No"))</f>
        <v>Yes</v>
      </c>
    </row>
    <row r="1486" customFormat="false" ht="15" hidden="false" customHeight="false" outlineLevel="0" collapsed="false">
      <c r="A1486" s="31" t="s">
        <v>1636</v>
      </c>
      <c r="B1486" s="44" t="n">
        <v>46224</v>
      </c>
      <c r="C1486" s="31" t="s">
        <v>59</v>
      </c>
      <c r="D1486" s="31" t="s">
        <v>66</v>
      </c>
      <c r="E1486" s="31" t="s">
        <v>52</v>
      </c>
      <c r="F1486" s="31" t="s">
        <v>133</v>
      </c>
      <c r="G1486" s="31" t="n">
        <v>103</v>
      </c>
      <c r="H1486" s="41" t="n">
        <v>10.3</v>
      </c>
      <c r="I1486" s="31" t="s">
        <v>149</v>
      </c>
      <c r="J1486" s="31" t="n">
        <v>5</v>
      </c>
      <c r="K1486" s="31" t="s">
        <v>150</v>
      </c>
      <c r="L1486" s="45" t="n">
        <f aca="false">DATE(YEAR(B1486),MONTH(B1486),1)</f>
        <v>46204</v>
      </c>
      <c r="M1486" s="31" t="n">
        <f aca="false">WEEKDAY(B1486,2)</f>
        <v>2</v>
      </c>
      <c r="N1486" s="31" t="str">
        <f aca="false">IF(G1486&lt;=INDEX(Assumptions!$B$15:$B$18,MATCH(E1486,Assumptions!$A$15:$A$18,0)),"Yes","No")</f>
        <v>Yes</v>
      </c>
      <c r="O1486" s="31" t="str">
        <f aca="false">IF(H1486="","Open",IF(H1486&lt;=INDEX(Assumptions!$C$15:$C$18,MATCH(E1486,Assumptions!$A$15:$A$18,0)),"Yes","No"))</f>
        <v>Yes</v>
      </c>
    </row>
    <row r="1487" customFormat="false" ht="15" hidden="false" customHeight="false" outlineLevel="0" collapsed="false">
      <c r="A1487" s="31" t="s">
        <v>1637</v>
      </c>
      <c r="B1487" s="44" t="n">
        <v>46224</v>
      </c>
      <c r="C1487" s="31" t="s">
        <v>58</v>
      </c>
      <c r="D1487" s="31" t="s">
        <v>66</v>
      </c>
      <c r="E1487" s="31" t="s">
        <v>49</v>
      </c>
      <c r="F1487" s="31" t="s">
        <v>128</v>
      </c>
      <c r="G1487" s="31" t="n">
        <v>21</v>
      </c>
      <c r="H1487" s="41" t="n">
        <v>16.9</v>
      </c>
      <c r="I1487" s="31" t="s">
        <v>149</v>
      </c>
      <c r="J1487" s="31" t="n">
        <v>4</v>
      </c>
      <c r="K1487" s="31" t="s">
        <v>150</v>
      </c>
      <c r="L1487" s="45" t="n">
        <f aca="false">DATE(YEAR(B1487),MONTH(B1487),1)</f>
        <v>46204</v>
      </c>
      <c r="M1487" s="31" t="n">
        <f aca="false">WEEKDAY(B1487,2)</f>
        <v>2</v>
      </c>
      <c r="N1487" s="31" t="str">
        <f aca="false">IF(G1487&lt;=INDEX(Assumptions!$B$15:$B$18,MATCH(E1487,Assumptions!$A$15:$A$18,0)),"Yes","No")</f>
        <v>No</v>
      </c>
      <c r="O1487" s="31" t="str">
        <f aca="false">IF(H1487="","Open",IF(H1487&lt;=INDEX(Assumptions!$C$15:$C$18,MATCH(E1487,Assumptions!$A$15:$A$18,0)),"Yes","No"))</f>
        <v>No</v>
      </c>
    </row>
    <row r="1488" customFormat="false" ht="15" hidden="false" customHeight="false" outlineLevel="0" collapsed="false">
      <c r="A1488" s="31" t="s">
        <v>1638</v>
      </c>
      <c r="B1488" s="44" t="n">
        <v>46224</v>
      </c>
      <c r="C1488" s="31" t="s">
        <v>59</v>
      </c>
      <c r="D1488" s="31" t="s">
        <v>68</v>
      </c>
      <c r="E1488" s="31" t="s">
        <v>50</v>
      </c>
      <c r="F1488" s="31" t="s">
        <v>137</v>
      </c>
      <c r="G1488" s="31" t="n">
        <v>27</v>
      </c>
      <c r="H1488" s="41" t="n">
        <v>2.5</v>
      </c>
      <c r="I1488" s="31" t="s">
        <v>149</v>
      </c>
      <c r="J1488" s="31"/>
      <c r="K1488" s="31" t="s">
        <v>150</v>
      </c>
      <c r="L1488" s="45" t="n">
        <f aca="false">DATE(YEAR(B1488),MONTH(B1488),1)</f>
        <v>46204</v>
      </c>
      <c r="M1488" s="31" t="n">
        <f aca="false">WEEKDAY(B1488,2)</f>
        <v>2</v>
      </c>
      <c r="N1488" s="31" t="str">
        <f aca="false">IF(G1488&lt;=INDEX(Assumptions!$B$15:$B$18,MATCH(E1488,Assumptions!$A$15:$A$18,0)),"Yes","No")</f>
        <v>Yes</v>
      </c>
      <c r="O1488" s="31" t="str">
        <f aca="false">IF(H1488="","Open",IF(H1488&lt;=INDEX(Assumptions!$C$15:$C$18,MATCH(E1488,Assumptions!$A$15:$A$18,0)),"Yes","No"))</f>
        <v>Yes</v>
      </c>
    </row>
    <row r="1489" customFormat="false" ht="15" hidden="false" customHeight="false" outlineLevel="0" collapsed="false">
      <c r="A1489" s="31" t="s">
        <v>1639</v>
      </c>
      <c r="B1489" s="44" t="n">
        <v>46224</v>
      </c>
      <c r="C1489" s="31" t="s">
        <v>60</v>
      </c>
      <c r="D1489" s="31" t="s">
        <v>66</v>
      </c>
      <c r="E1489" s="31" t="s">
        <v>52</v>
      </c>
      <c r="F1489" s="31" t="s">
        <v>124</v>
      </c>
      <c r="G1489" s="31" t="n">
        <v>1</v>
      </c>
      <c r="H1489" s="41" t="n">
        <v>10</v>
      </c>
      <c r="I1489" s="31" t="s">
        <v>149</v>
      </c>
      <c r="J1489" s="31" t="n">
        <v>5</v>
      </c>
      <c r="K1489" s="31" t="s">
        <v>150</v>
      </c>
      <c r="L1489" s="45" t="n">
        <f aca="false">DATE(YEAR(B1489),MONTH(B1489),1)</f>
        <v>46204</v>
      </c>
      <c r="M1489" s="31" t="n">
        <f aca="false">WEEKDAY(B1489,2)</f>
        <v>2</v>
      </c>
      <c r="N1489" s="31" t="str">
        <f aca="false">IF(G1489&lt;=INDEX(Assumptions!$B$15:$B$18,MATCH(E1489,Assumptions!$A$15:$A$18,0)),"Yes","No")</f>
        <v>Yes</v>
      </c>
      <c r="O1489" s="31" t="str">
        <f aca="false">IF(H1489="","Open",IF(H1489&lt;=INDEX(Assumptions!$C$15:$C$18,MATCH(E1489,Assumptions!$A$15:$A$18,0)),"Yes","No"))</f>
        <v>Yes</v>
      </c>
    </row>
    <row r="1490" customFormat="false" ht="15" hidden="false" customHeight="false" outlineLevel="0" collapsed="false">
      <c r="A1490" s="31" t="s">
        <v>1640</v>
      </c>
      <c r="B1490" s="44" t="n">
        <v>46224</v>
      </c>
      <c r="C1490" s="31" t="s">
        <v>60</v>
      </c>
      <c r="D1490" s="31" t="s">
        <v>65</v>
      </c>
      <c r="E1490" s="31" t="s">
        <v>51</v>
      </c>
      <c r="F1490" s="31" t="s">
        <v>117</v>
      </c>
      <c r="G1490" s="31" t="n">
        <v>2</v>
      </c>
      <c r="H1490" s="41" t="n">
        <v>5</v>
      </c>
      <c r="I1490" s="31" t="s">
        <v>149</v>
      </c>
      <c r="J1490" s="31" t="n">
        <v>5</v>
      </c>
      <c r="K1490" s="31" t="s">
        <v>150</v>
      </c>
      <c r="L1490" s="45" t="n">
        <f aca="false">DATE(YEAR(B1490),MONTH(B1490),1)</f>
        <v>46204</v>
      </c>
      <c r="M1490" s="31" t="n">
        <f aca="false">WEEKDAY(B1490,2)</f>
        <v>2</v>
      </c>
      <c r="N1490" s="31" t="str">
        <f aca="false">IF(G1490&lt;=INDEX(Assumptions!$B$15:$B$18,MATCH(E1490,Assumptions!$A$15:$A$18,0)),"Yes","No")</f>
        <v>Yes</v>
      </c>
      <c r="O1490" s="31" t="str">
        <f aca="false">IF(H1490="","Open",IF(H1490&lt;=INDEX(Assumptions!$C$15:$C$18,MATCH(E1490,Assumptions!$A$15:$A$18,0)),"Yes","No"))</f>
        <v>Yes</v>
      </c>
    </row>
    <row r="1491" customFormat="false" ht="15" hidden="false" customHeight="false" outlineLevel="0" collapsed="false">
      <c r="A1491" s="31" t="s">
        <v>1641</v>
      </c>
      <c r="B1491" s="44" t="n">
        <v>46224</v>
      </c>
      <c r="C1491" s="31" t="s">
        <v>59</v>
      </c>
      <c r="D1491" s="31" t="s">
        <v>66</v>
      </c>
      <c r="E1491" s="31" t="s">
        <v>51</v>
      </c>
      <c r="F1491" s="31" t="s">
        <v>130</v>
      </c>
      <c r="G1491" s="31" t="n">
        <v>163</v>
      </c>
      <c r="H1491" s="41" t="n">
        <v>9.3</v>
      </c>
      <c r="I1491" s="31" t="s">
        <v>149</v>
      </c>
      <c r="J1491" s="31" t="n">
        <v>4</v>
      </c>
      <c r="K1491" s="31" t="s">
        <v>150</v>
      </c>
      <c r="L1491" s="45" t="n">
        <f aca="false">DATE(YEAR(B1491),MONTH(B1491),1)</f>
        <v>46204</v>
      </c>
      <c r="M1491" s="31" t="n">
        <f aca="false">WEEKDAY(B1491,2)</f>
        <v>2</v>
      </c>
      <c r="N1491" s="31" t="str">
        <f aca="false">IF(G1491&lt;=INDEX(Assumptions!$B$15:$B$18,MATCH(E1491,Assumptions!$A$15:$A$18,0)),"Yes","No")</f>
        <v>No</v>
      </c>
      <c r="O1491" s="31" t="str">
        <f aca="false">IF(H1491="","Open",IF(H1491&lt;=INDEX(Assumptions!$C$15:$C$18,MATCH(E1491,Assumptions!$A$15:$A$18,0)),"Yes","No"))</f>
        <v>Yes</v>
      </c>
    </row>
    <row r="1492" customFormat="false" ht="15" hidden="false" customHeight="false" outlineLevel="0" collapsed="false">
      <c r="A1492" s="31" t="s">
        <v>1642</v>
      </c>
      <c r="B1492" s="44" t="n">
        <v>46224</v>
      </c>
      <c r="C1492" s="31" t="s">
        <v>57</v>
      </c>
      <c r="D1492" s="31" t="s">
        <v>65</v>
      </c>
      <c r="E1492" s="31" t="s">
        <v>52</v>
      </c>
      <c r="F1492" s="31" t="s">
        <v>130</v>
      </c>
      <c r="G1492" s="31" t="n">
        <v>2</v>
      </c>
      <c r="H1492" s="41" t="n">
        <v>6.8</v>
      </c>
      <c r="I1492" s="31" t="s">
        <v>149</v>
      </c>
      <c r="J1492" s="31"/>
      <c r="K1492" s="31" t="s">
        <v>150</v>
      </c>
      <c r="L1492" s="45" t="n">
        <f aca="false">DATE(YEAR(B1492),MONTH(B1492),1)</f>
        <v>46204</v>
      </c>
      <c r="M1492" s="31" t="n">
        <f aca="false">WEEKDAY(B1492,2)</f>
        <v>2</v>
      </c>
      <c r="N1492" s="31" t="str">
        <f aca="false">IF(G1492&lt;=INDEX(Assumptions!$B$15:$B$18,MATCH(E1492,Assumptions!$A$15:$A$18,0)),"Yes","No")</f>
        <v>Yes</v>
      </c>
      <c r="O1492" s="31" t="str">
        <f aca="false">IF(H1492="","Open",IF(H1492&lt;=INDEX(Assumptions!$C$15:$C$18,MATCH(E1492,Assumptions!$A$15:$A$18,0)),"Yes","No"))</f>
        <v>Yes</v>
      </c>
    </row>
    <row r="1493" customFormat="false" ht="15" hidden="false" customHeight="false" outlineLevel="0" collapsed="false">
      <c r="A1493" s="31" t="s">
        <v>1643</v>
      </c>
      <c r="B1493" s="44" t="n">
        <v>46224</v>
      </c>
      <c r="C1493" s="31" t="s">
        <v>57</v>
      </c>
      <c r="D1493" s="31" t="s">
        <v>66</v>
      </c>
      <c r="E1493" s="31" t="s">
        <v>51</v>
      </c>
      <c r="F1493" s="31" t="s">
        <v>124</v>
      </c>
      <c r="G1493" s="31" t="n">
        <v>2</v>
      </c>
      <c r="H1493" s="41" t="n">
        <v>6.6</v>
      </c>
      <c r="I1493" s="31" t="s">
        <v>149</v>
      </c>
      <c r="J1493" s="31"/>
      <c r="K1493" s="31" t="s">
        <v>150</v>
      </c>
      <c r="L1493" s="45" t="n">
        <f aca="false">DATE(YEAR(B1493),MONTH(B1493),1)</f>
        <v>46204</v>
      </c>
      <c r="M1493" s="31" t="n">
        <f aca="false">WEEKDAY(B1493,2)</f>
        <v>2</v>
      </c>
      <c r="N1493" s="31" t="str">
        <f aca="false">IF(G1493&lt;=INDEX(Assumptions!$B$15:$B$18,MATCH(E1493,Assumptions!$A$15:$A$18,0)),"Yes","No")</f>
        <v>Yes</v>
      </c>
      <c r="O1493" s="31" t="str">
        <f aca="false">IF(H1493="","Open",IF(H1493&lt;=INDEX(Assumptions!$C$15:$C$18,MATCH(E1493,Assumptions!$A$15:$A$18,0)),"Yes","No"))</f>
        <v>Yes</v>
      </c>
    </row>
    <row r="1494" customFormat="false" ht="15" hidden="false" customHeight="false" outlineLevel="0" collapsed="false">
      <c r="A1494" s="31" t="s">
        <v>1644</v>
      </c>
      <c r="B1494" s="44" t="n">
        <v>46224</v>
      </c>
      <c r="C1494" s="31" t="s">
        <v>58</v>
      </c>
      <c r="D1494" s="31" t="s">
        <v>67</v>
      </c>
      <c r="E1494" s="31" t="s">
        <v>52</v>
      </c>
      <c r="F1494" s="31" t="s">
        <v>130</v>
      </c>
      <c r="G1494" s="31" t="n">
        <v>15</v>
      </c>
      <c r="H1494" s="41" t="n">
        <v>24.1</v>
      </c>
      <c r="I1494" s="31" t="s">
        <v>149</v>
      </c>
      <c r="J1494" s="31" t="n">
        <v>4</v>
      </c>
      <c r="K1494" s="31" t="s">
        <v>150</v>
      </c>
      <c r="L1494" s="45" t="n">
        <f aca="false">DATE(YEAR(B1494),MONTH(B1494),1)</f>
        <v>46204</v>
      </c>
      <c r="M1494" s="31" t="n">
        <f aca="false">WEEKDAY(B1494,2)</f>
        <v>2</v>
      </c>
      <c r="N1494" s="31" t="str">
        <f aca="false">IF(G1494&lt;=INDEX(Assumptions!$B$15:$B$18,MATCH(E1494,Assumptions!$A$15:$A$18,0)),"Yes","No")</f>
        <v>Yes</v>
      </c>
      <c r="O1494" s="31" t="str">
        <f aca="false">IF(H1494="","Open",IF(H1494&lt;=INDEX(Assumptions!$C$15:$C$18,MATCH(E1494,Assumptions!$A$15:$A$18,0)),"Yes","No"))</f>
        <v>Yes</v>
      </c>
    </row>
    <row r="1495" customFormat="false" ht="15" hidden="false" customHeight="false" outlineLevel="0" collapsed="false">
      <c r="A1495" s="31" t="s">
        <v>1645</v>
      </c>
      <c r="B1495" s="44" t="n">
        <v>46224</v>
      </c>
      <c r="C1495" s="31" t="s">
        <v>58</v>
      </c>
      <c r="D1495" s="31" t="s">
        <v>65</v>
      </c>
      <c r="E1495" s="31" t="s">
        <v>51</v>
      </c>
      <c r="F1495" s="31" t="s">
        <v>134</v>
      </c>
      <c r="G1495" s="31" t="n">
        <v>84</v>
      </c>
      <c r="H1495" s="41" t="n">
        <v>20.6</v>
      </c>
      <c r="I1495" s="31" t="s">
        <v>149</v>
      </c>
      <c r="J1495" s="31" t="n">
        <v>3</v>
      </c>
      <c r="K1495" s="31" t="s">
        <v>150</v>
      </c>
      <c r="L1495" s="45" t="n">
        <f aca="false">DATE(YEAR(B1495),MONTH(B1495),1)</f>
        <v>46204</v>
      </c>
      <c r="M1495" s="31" t="n">
        <f aca="false">WEEKDAY(B1495,2)</f>
        <v>2</v>
      </c>
      <c r="N1495" s="31" t="str">
        <f aca="false">IF(G1495&lt;=INDEX(Assumptions!$B$15:$B$18,MATCH(E1495,Assumptions!$A$15:$A$18,0)),"Yes","No")</f>
        <v>No</v>
      </c>
      <c r="O1495" s="31" t="str">
        <f aca="false">IF(H1495="","Open",IF(H1495&lt;=INDEX(Assumptions!$C$15:$C$18,MATCH(E1495,Assumptions!$A$15:$A$18,0)),"Yes","No"))</f>
        <v>Yes</v>
      </c>
    </row>
    <row r="1496" customFormat="false" ht="15" hidden="false" customHeight="false" outlineLevel="0" collapsed="false">
      <c r="A1496" s="31" t="s">
        <v>1646</v>
      </c>
      <c r="B1496" s="44" t="n">
        <v>46224</v>
      </c>
      <c r="C1496" s="31" t="s">
        <v>60</v>
      </c>
      <c r="D1496" s="31" t="s">
        <v>69</v>
      </c>
      <c r="E1496" s="31" t="s">
        <v>50</v>
      </c>
      <c r="F1496" s="31" t="s">
        <v>135</v>
      </c>
      <c r="G1496" s="31" t="n">
        <v>3</v>
      </c>
      <c r="H1496" s="41" t="n">
        <v>17.6</v>
      </c>
      <c r="I1496" s="31" t="s">
        <v>149</v>
      </c>
      <c r="J1496" s="31" t="n">
        <v>3</v>
      </c>
      <c r="K1496" s="31" t="s">
        <v>150</v>
      </c>
      <c r="L1496" s="45" t="n">
        <f aca="false">DATE(YEAR(B1496),MONTH(B1496),1)</f>
        <v>46204</v>
      </c>
      <c r="M1496" s="31" t="n">
        <f aca="false">WEEKDAY(B1496,2)</f>
        <v>2</v>
      </c>
      <c r="N1496" s="31" t="str">
        <f aca="false">IF(G1496&lt;=INDEX(Assumptions!$B$15:$B$18,MATCH(E1496,Assumptions!$A$15:$A$18,0)),"Yes","No")</f>
        <v>Yes</v>
      </c>
      <c r="O1496" s="31" t="str">
        <f aca="false">IF(H1496="","Open",IF(H1496&lt;=INDEX(Assumptions!$C$15:$C$18,MATCH(E1496,Assumptions!$A$15:$A$18,0)),"Yes","No"))</f>
        <v>No</v>
      </c>
    </row>
    <row r="1497" customFormat="false" ht="15" hidden="false" customHeight="false" outlineLevel="0" collapsed="false">
      <c r="A1497" s="31" t="s">
        <v>1647</v>
      </c>
      <c r="B1497" s="44" t="n">
        <v>46224</v>
      </c>
      <c r="C1497" s="31" t="s">
        <v>57</v>
      </c>
      <c r="D1497" s="31" t="s">
        <v>67</v>
      </c>
      <c r="E1497" s="31" t="s">
        <v>52</v>
      </c>
      <c r="F1497" s="31" t="s">
        <v>124</v>
      </c>
      <c r="G1497" s="31" t="n">
        <v>4</v>
      </c>
      <c r="H1497" s="41" t="n">
        <v>11.9</v>
      </c>
      <c r="I1497" s="31" t="s">
        <v>149</v>
      </c>
      <c r="J1497" s="31"/>
      <c r="K1497" s="31" t="s">
        <v>150</v>
      </c>
      <c r="L1497" s="45" t="n">
        <f aca="false">DATE(YEAR(B1497),MONTH(B1497),1)</f>
        <v>46204</v>
      </c>
      <c r="M1497" s="31" t="n">
        <f aca="false">WEEKDAY(B1497,2)</f>
        <v>2</v>
      </c>
      <c r="N1497" s="31" t="str">
        <f aca="false">IF(G1497&lt;=INDEX(Assumptions!$B$15:$B$18,MATCH(E1497,Assumptions!$A$15:$A$18,0)),"Yes","No")</f>
        <v>Yes</v>
      </c>
      <c r="O1497" s="31" t="str">
        <f aca="false">IF(H1497="","Open",IF(H1497&lt;=INDEX(Assumptions!$C$15:$C$18,MATCH(E1497,Assumptions!$A$15:$A$18,0)),"Yes","No"))</f>
        <v>Yes</v>
      </c>
    </row>
    <row r="1498" customFormat="false" ht="15" hidden="false" customHeight="false" outlineLevel="0" collapsed="false">
      <c r="A1498" s="31" t="s">
        <v>1648</v>
      </c>
      <c r="B1498" s="44" t="n">
        <v>46224</v>
      </c>
      <c r="C1498" s="31" t="s">
        <v>59</v>
      </c>
      <c r="D1498" s="31" t="s">
        <v>67</v>
      </c>
      <c r="E1498" s="31" t="s">
        <v>49</v>
      </c>
      <c r="F1498" s="31" t="s">
        <v>127</v>
      </c>
      <c r="G1498" s="31" t="n">
        <v>139</v>
      </c>
      <c r="H1498" s="41" t="n">
        <v>2.8</v>
      </c>
      <c r="I1498" s="31" t="s">
        <v>149</v>
      </c>
      <c r="J1498" s="31" t="n">
        <v>5</v>
      </c>
      <c r="K1498" s="31" t="s">
        <v>150</v>
      </c>
      <c r="L1498" s="45" t="n">
        <f aca="false">DATE(YEAR(B1498),MONTH(B1498),1)</f>
        <v>46204</v>
      </c>
      <c r="M1498" s="31" t="n">
        <f aca="false">WEEKDAY(B1498,2)</f>
        <v>2</v>
      </c>
      <c r="N1498" s="31" t="str">
        <f aca="false">IF(G1498&lt;=INDEX(Assumptions!$B$15:$B$18,MATCH(E1498,Assumptions!$A$15:$A$18,0)),"Yes","No")</f>
        <v>No</v>
      </c>
      <c r="O1498" s="31" t="str">
        <f aca="false">IF(H1498="","Open",IF(H1498&lt;=INDEX(Assumptions!$C$15:$C$18,MATCH(E1498,Assumptions!$A$15:$A$18,0)),"Yes","No"))</f>
        <v>Yes</v>
      </c>
    </row>
    <row r="1499" customFormat="false" ht="15" hidden="false" customHeight="false" outlineLevel="0" collapsed="false">
      <c r="A1499" s="31" t="s">
        <v>1649</v>
      </c>
      <c r="B1499" s="44" t="n">
        <v>46224</v>
      </c>
      <c r="C1499" s="31" t="s">
        <v>58</v>
      </c>
      <c r="D1499" s="31" t="s">
        <v>67</v>
      </c>
      <c r="E1499" s="31" t="s">
        <v>52</v>
      </c>
      <c r="F1499" s="31" t="s">
        <v>119</v>
      </c>
      <c r="G1499" s="31" t="n">
        <v>17</v>
      </c>
      <c r="H1499" s="41" t="n">
        <v>17.9</v>
      </c>
      <c r="I1499" s="31" t="s">
        <v>149</v>
      </c>
      <c r="J1499" s="31" t="n">
        <v>4</v>
      </c>
      <c r="K1499" s="31" t="s">
        <v>150</v>
      </c>
      <c r="L1499" s="45" t="n">
        <f aca="false">DATE(YEAR(B1499),MONTH(B1499),1)</f>
        <v>46204</v>
      </c>
      <c r="M1499" s="31" t="n">
        <f aca="false">WEEKDAY(B1499,2)</f>
        <v>2</v>
      </c>
      <c r="N1499" s="31" t="str">
        <f aca="false">IF(G1499&lt;=INDEX(Assumptions!$B$15:$B$18,MATCH(E1499,Assumptions!$A$15:$A$18,0)),"Yes","No")</f>
        <v>Yes</v>
      </c>
      <c r="O1499" s="31" t="str">
        <f aca="false">IF(H1499="","Open",IF(H1499&lt;=INDEX(Assumptions!$C$15:$C$18,MATCH(E1499,Assumptions!$A$15:$A$18,0)),"Yes","No"))</f>
        <v>Yes</v>
      </c>
    </row>
    <row r="1500" customFormat="false" ht="15" hidden="false" customHeight="false" outlineLevel="0" collapsed="false">
      <c r="A1500" s="31" t="s">
        <v>1650</v>
      </c>
      <c r="B1500" s="44" t="n">
        <v>46224</v>
      </c>
      <c r="C1500" s="31" t="s">
        <v>58</v>
      </c>
      <c r="D1500" s="31" t="s">
        <v>65</v>
      </c>
      <c r="E1500" s="31" t="s">
        <v>51</v>
      </c>
      <c r="F1500" s="31" t="s">
        <v>121</v>
      </c>
      <c r="G1500" s="31" t="n">
        <v>30</v>
      </c>
      <c r="H1500" s="41" t="n">
        <v>13.1</v>
      </c>
      <c r="I1500" s="31" t="s">
        <v>149</v>
      </c>
      <c r="J1500" s="31"/>
      <c r="K1500" s="31" t="s">
        <v>153</v>
      </c>
      <c r="L1500" s="45" t="n">
        <f aca="false">DATE(YEAR(B1500),MONTH(B1500),1)</f>
        <v>46204</v>
      </c>
      <c r="M1500" s="31" t="n">
        <f aca="false">WEEKDAY(B1500,2)</f>
        <v>2</v>
      </c>
      <c r="N1500" s="31" t="str">
        <f aca="false">IF(G1500&lt;=INDEX(Assumptions!$B$15:$B$18,MATCH(E1500,Assumptions!$A$15:$A$18,0)),"Yes","No")</f>
        <v>Yes</v>
      </c>
      <c r="O1500" s="31" t="str">
        <f aca="false">IF(H1500="","Open",IF(H1500&lt;=INDEX(Assumptions!$C$15:$C$18,MATCH(E1500,Assumptions!$A$15:$A$18,0)),"Yes","No"))</f>
        <v>Yes</v>
      </c>
    </row>
    <row r="1501" customFormat="false" ht="15" hidden="false" customHeight="false" outlineLevel="0" collapsed="false">
      <c r="A1501" s="31" t="s">
        <v>1651</v>
      </c>
      <c r="B1501" s="44" t="n">
        <v>46224</v>
      </c>
      <c r="C1501" s="31" t="s">
        <v>57</v>
      </c>
      <c r="D1501" s="31" t="s">
        <v>65</v>
      </c>
      <c r="E1501" s="31" t="s">
        <v>52</v>
      </c>
      <c r="F1501" s="31" t="s">
        <v>119</v>
      </c>
      <c r="G1501" s="31" t="n">
        <v>11</v>
      </c>
      <c r="H1501" s="41" t="n">
        <v>24.7</v>
      </c>
      <c r="I1501" s="31" t="s">
        <v>149</v>
      </c>
      <c r="J1501" s="31"/>
      <c r="K1501" s="31" t="s">
        <v>150</v>
      </c>
      <c r="L1501" s="45" t="n">
        <f aca="false">DATE(YEAR(B1501),MONTH(B1501),1)</f>
        <v>46204</v>
      </c>
      <c r="M1501" s="31" t="n">
        <f aca="false">WEEKDAY(B1501,2)</f>
        <v>2</v>
      </c>
      <c r="N1501" s="31" t="str">
        <f aca="false">IF(G1501&lt;=INDEX(Assumptions!$B$15:$B$18,MATCH(E1501,Assumptions!$A$15:$A$18,0)),"Yes","No")</f>
        <v>Yes</v>
      </c>
      <c r="O1501" s="31" t="str">
        <f aca="false">IF(H1501="","Open",IF(H1501&lt;=INDEX(Assumptions!$C$15:$C$18,MATCH(E1501,Assumptions!$A$15:$A$18,0)),"Yes","No"))</f>
        <v>Yes</v>
      </c>
    </row>
    <row r="1502" customFormat="false" ht="15" hidden="false" customHeight="false" outlineLevel="0" collapsed="false">
      <c r="A1502" s="31" t="s">
        <v>1652</v>
      </c>
      <c r="B1502" s="44" t="n">
        <v>46224</v>
      </c>
      <c r="C1502" s="31" t="s">
        <v>57</v>
      </c>
      <c r="D1502" s="31" t="s">
        <v>66</v>
      </c>
      <c r="E1502" s="31" t="s">
        <v>52</v>
      </c>
      <c r="F1502" s="31" t="s">
        <v>123</v>
      </c>
      <c r="G1502" s="31" t="n">
        <v>6</v>
      </c>
      <c r="H1502" s="41" t="n">
        <v>6.1</v>
      </c>
      <c r="I1502" s="31" t="s">
        <v>149</v>
      </c>
      <c r="J1502" s="31" t="n">
        <v>5</v>
      </c>
      <c r="K1502" s="31" t="s">
        <v>150</v>
      </c>
      <c r="L1502" s="45" t="n">
        <f aca="false">DATE(YEAR(B1502),MONTH(B1502),1)</f>
        <v>46204</v>
      </c>
      <c r="M1502" s="31" t="n">
        <f aca="false">WEEKDAY(B1502,2)</f>
        <v>2</v>
      </c>
      <c r="N1502" s="31" t="str">
        <f aca="false">IF(G1502&lt;=INDEX(Assumptions!$B$15:$B$18,MATCH(E1502,Assumptions!$A$15:$A$18,0)),"Yes","No")</f>
        <v>Yes</v>
      </c>
      <c r="O1502" s="31" t="str">
        <f aca="false">IF(H1502="","Open",IF(H1502&lt;=INDEX(Assumptions!$C$15:$C$18,MATCH(E1502,Assumptions!$A$15:$A$18,0)),"Yes","No"))</f>
        <v>Yes</v>
      </c>
    </row>
    <row r="1503" customFormat="false" ht="15" hidden="false" customHeight="false" outlineLevel="0" collapsed="false">
      <c r="A1503" s="31" t="s">
        <v>1653</v>
      </c>
      <c r="B1503" s="44" t="n">
        <v>46224</v>
      </c>
      <c r="C1503" s="31" t="s">
        <v>60</v>
      </c>
      <c r="D1503" s="31" t="s">
        <v>66</v>
      </c>
      <c r="E1503" s="31" t="s">
        <v>51</v>
      </c>
      <c r="F1503" s="31" t="s">
        <v>120</v>
      </c>
      <c r="G1503" s="31" t="n">
        <v>2</v>
      </c>
      <c r="H1503" s="41" t="n">
        <v>4.4</v>
      </c>
      <c r="I1503" s="31" t="s">
        <v>64</v>
      </c>
      <c r="J1503" s="31" t="n">
        <v>4</v>
      </c>
      <c r="K1503" s="31" t="s">
        <v>150</v>
      </c>
      <c r="L1503" s="45" t="n">
        <f aca="false">DATE(YEAR(B1503),MONTH(B1503),1)</f>
        <v>46204</v>
      </c>
      <c r="M1503" s="31" t="n">
        <f aca="false">WEEKDAY(B1503,2)</f>
        <v>2</v>
      </c>
      <c r="N1503" s="31" t="str">
        <f aca="false">IF(G1503&lt;=INDEX(Assumptions!$B$15:$B$18,MATCH(E1503,Assumptions!$A$15:$A$18,0)),"Yes","No")</f>
        <v>Yes</v>
      </c>
      <c r="O1503" s="31" t="str">
        <f aca="false">IF(H1503="","Open",IF(H1503&lt;=INDEX(Assumptions!$C$15:$C$18,MATCH(E1503,Assumptions!$A$15:$A$18,0)),"Yes","No"))</f>
        <v>Yes</v>
      </c>
    </row>
    <row r="1504" customFormat="false" ht="15" hidden="false" customHeight="false" outlineLevel="0" collapsed="false">
      <c r="A1504" s="31" t="s">
        <v>1654</v>
      </c>
      <c r="B1504" s="44" t="n">
        <v>46224</v>
      </c>
      <c r="C1504" s="31" t="s">
        <v>58</v>
      </c>
      <c r="D1504" s="31" t="s">
        <v>66</v>
      </c>
      <c r="E1504" s="31" t="s">
        <v>52</v>
      </c>
      <c r="F1504" s="31" t="s">
        <v>119</v>
      </c>
      <c r="G1504" s="31" t="n">
        <v>5</v>
      </c>
      <c r="H1504" s="41" t="n">
        <v>6.1</v>
      </c>
      <c r="I1504" s="31" t="s">
        <v>149</v>
      </c>
      <c r="J1504" s="31"/>
      <c r="K1504" s="31" t="s">
        <v>150</v>
      </c>
      <c r="L1504" s="45" t="n">
        <f aca="false">DATE(YEAR(B1504),MONTH(B1504),1)</f>
        <v>46204</v>
      </c>
      <c r="M1504" s="31" t="n">
        <f aca="false">WEEKDAY(B1504,2)</f>
        <v>2</v>
      </c>
      <c r="N1504" s="31" t="str">
        <f aca="false">IF(G1504&lt;=INDEX(Assumptions!$B$15:$B$18,MATCH(E1504,Assumptions!$A$15:$A$18,0)),"Yes","No")</f>
        <v>Yes</v>
      </c>
      <c r="O1504" s="31" t="str">
        <f aca="false">IF(H1504="","Open",IF(H1504&lt;=INDEX(Assumptions!$C$15:$C$18,MATCH(E1504,Assumptions!$A$15:$A$18,0)),"Yes","No"))</f>
        <v>Yes</v>
      </c>
    </row>
    <row r="1505" customFormat="false" ht="15" hidden="false" customHeight="false" outlineLevel="0" collapsed="false">
      <c r="A1505" s="31" t="s">
        <v>1655</v>
      </c>
      <c r="B1505" s="44" t="n">
        <v>46224</v>
      </c>
      <c r="C1505" s="31" t="s">
        <v>58</v>
      </c>
      <c r="D1505" s="31" t="s">
        <v>67</v>
      </c>
      <c r="E1505" s="31" t="s">
        <v>49</v>
      </c>
      <c r="F1505" s="31" t="s">
        <v>120</v>
      </c>
      <c r="G1505" s="31" t="n">
        <v>3</v>
      </c>
      <c r="H1505" s="41" t="n">
        <v>17.8</v>
      </c>
      <c r="I1505" s="31" t="s">
        <v>149</v>
      </c>
      <c r="J1505" s="31" t="n">
        <v>3</v>
      </c>
      <c r="K1505" s="31" t="s">
        <v>150</v>
      </c>
      <c r="L1505" s="45" t="n">
        <f aca="false">DATE(YEAR(B1505),MONTH(B1505),1)</f>
        <v>46204</v>
      </c>
      <c r="M1505" s="31" t="n">
        <f aca="false">WEEKDAY(B1505,2)</f>
        <v>2</v>
      </c>
      <c r="N1505" s="31" t="str">
        <f aca="false">IF(G1505&lt;=INDEX(Assumptions!$B$15:$B$18,MATCH(E1505,Assumptions!$A$15:$A$18,0)),"Yes","No")</f>
        <v>Yes</v>
      </c>
      <c r="O1505" s="31" t="str">
        <f aca="false">IF(H1505="","Open",IF(H1505&lt;=INDEX(Assumptions!$C$15:$C$18,MATCH(E1505,Assumptions!$A$15:$A$18,0)),"Yes","No"))</f>
        <v>No</v>
      </c>
    </row>
    <row r="1506" customFormat="false" ht="15" hidden="false" customHeight="false" outlineLevel="0" collapsed="false">
      <c r="A1506" s="31" t="s">
        <v>1656</v>
      </c>
      <c r="B1506" s="44" t="n">
        <v>46224</v>
      </c>
      <c r="C1506" s="31" t="s">
        <v>60</v>
      </c>
      <c r="D1506" s="31" t="s">
        <v>67</v>
      </c>
      <c r="E1506" s="31" t="s">
        <v>52</v>
      </c>
      <c r="F1506" s="31" t="s">
        <v>127</v>
      </c>
      <c r="G1506" s="31" t="n">
        <v>1</v>
      </c>
      <c r="H1506" s="41" t="n">
        <v>16.7</v>
      </c>
      <c r="I1506" s="31" t="s">
        <v>149</v>
      </c>
      <c r="J1506" s="31"/>
      <c r="K1506" s="31" t="s">
        <v>150</v>
      </c>
      <c r="L1506" s="45" t="n">
        <f aca="false">DATE(YEAR(B1506),MONTH(B1506),1)</f>
        <v>46204</v>
      </c>
      <c r="M1506" s="31" t="n">
        <f aca="false">WEEKDAY(B1506,2)</f>
        <v>2</v>
      </c>
      <c r="N1506" s="31" t="str">
        <f aca="false">IF(G1506&lt;=INDEX(Assumptions!$B$15:$B$18,MATCH(E1506,Assumptions!$A$15:$A$18,0)),"Yes","No")</f>
        <v>Yes</v>
      </c>
      <c r="O1506" s="31" t="str">
        <f aca="false">IF(H1506="","Open",IF(H1506&lt;=INDEX(Assumptions!$C$15:$C$18,MATCH(E1506,Assumptions!$A$15:$A$18,0)),"Yes","No"))</f>
        <v>Yes</v>
      </c>
    </row>
    <row r="1507" customFormat="false" ht="15" hidden="false" customHeight="false" outlineLevel="0" collapsed="false">
      <c r="A1507" s="31" t="s">
        <v>1657</v>
      </c>
      <c r="B1507" s="44" t="n">
        <v>46224</v>
      </c>
      <c r="C1507" s="31" t="s">
        <v>57</v>
      </c>
      <c r="D1507" s="31" t="s">
        <v>69</v>
      </c>
      <c r="E1507" s="31" t="s">
        <v>51</v>
      </c>
      <c r="F1507" s="31" t="s">
        <v>127</v>
      </c>
      <c r="G1507" s="31" t="n">
        <v>2</v>
      </c>
      <c r="H1507" s="41" t="n">
        <v>44.1</v>
      </c>
      <c r="I1507" s="31" t="s">
        <v>149</v>
      </c>
      <c r="J1507" s="31" t="n">
        <v>4</v>
      </c>
      <c r="K1507" s="31" t="s">
        <v>150</v>
      </c>
      <c r="L1507" s="45" t="n">
        <f aca="false">DATE(YEAR(B1507),MONTH(B1507),1)</f>
        <v>46204</v>
      </c>
      <c r="M1507" s="31" t="n">
        <f aca="false">WEEKDAY(B1507,2)</f>
        <v>2</v>
      </c>
      <c r="N1507" s="31" t="str">
        <f aca="false">IF(G1507&lt;=INDEX(Assumptions!$B$15:$B$18,MATCH(E1507,Assumptions!$A$15:$A$18,0)),"Yes","No")</f>
        <v>Yes</v>
      </c>
      <c r="O1507" s="31" t="str">
        <f aca="false">IF(H1507="","Open",IF(H1507&lt;=INDEX(Assumptions!$C$15:$C$18,MATCH(E1507,Assumptions!$A$15:$A$18,0)),"Yes","No"))</f>
        <v>No</v>
      </c>
    </row>
    <row r="1508" customFormat="false" ht="15" hidden="false" customHeight="false" outlineLevel="0" collapsed="false">
      <c r="A1508" s="31" t="s">
        <v>1658</v>
      </c>
      <c r="B1508" s="44" t="n">
        <v>46224</v>
      </c>
      <c r="C1508" s="31" t="s">
        <v>58</v>
      </c>
      <c r="D1508" s="31" t="s">
        <v>65</v>
      </c>
      <c r="E1508" s="31" t="s">
        <v>52</v>
      </c>
      <c r="F1508" s="31" t="s">
        <v>119</v>
      </c>
      <c r="G1508" s="31" t="n">
        <v>26</v>
      </c>
      <c r="H1508" s="41" t="n">
        <v>10.2</v>
      </c>
      <c r="I1508" s="31" t="s">
        <v>149</v>
      </c>
      <c r="J1508" s="31" t="n">
        <v>5</v>
      </c>
      <c r="K1508" s="31" t="s">
        <v>150</v>
      </c>
      <c r="L1508" s="45" t="n">
        <f aca="false">DATE(YEAR(B1508),MONTH(B1508),1)</f>
        <v>46204</v>
      </c>
      <c r="M1508" s="31" t="n">
        <f aca="false">WEEKDAY(B1508,2)</f>
        <v>2</v>
      </c>
      <c r="N1508" s="31" t="str">
        <f aca="false">IF(G1508&lt;=INDEX(Assumptions!$B$15:$B$18,MATCH(E1508,Assumptions!$A$15:$A$18,0)),"Yes","No")</f>
        <v>Yes</v>
      </c>
      <c r="O1508" s="31" t="str">
        <f aca="false">IF(H1508="","Open",IF(H1508&lt;=INDEX(Assumptions!$C$15:$C$18,MATCH(E1508,Assumptions!$A$15:$A$18,0)),"Yes","No"))</f>
        <v>Yes</v>
      </c>
    </row>
    <row r="1509" customFormat="false" ht="15" hidden="false" customHeight="false" outlineLevel="0" collapsed="false">
      <c r="A1509" s="31" t="s">
        <v>1659</v>
      </c>
      <c r="B1509" s="44" t="n">
        <v>46224</v>
      </c>
      <c r="C1509" s="31" t="s">
        <v>57</v>
      </c>
      <c r="D1509" s="31" t="s">
        <v>66</v>
      </c>
      <c r="E1509" s="31" t="s">
        <v>49</v>
      </c>
      <c r="F1509" s="31" t="s">
        <v>119</v>
      </c>
      <c r="G1509" s="31" t="n">
        <v>2</v>
      </c>
      <c r="H1509" s="41" t="n">
        <v>2</v>
      </c>
      <c r="I1509" s="31" t="s">
        <v>149</v>
      </c>
      <c r="J1509" s="31"/>
      <c r="K1509" s="31" t="s">
        <v>150</v>
      </c>
      <c r="L1509" s="45" t="n">
        <f aca="false">DATE(YEAR(B1509),MONTH(B1509),1)</f>
        <v>46204</v>
      </c>
      <c r="M1509" s="31" t="n">
        <f aca="false">WEEKDAY(B1509,2)</f>
        <v>2</v>
      </c>
      <c r="N1509" s="31" t="str">
        <f aca="false">IF(G1509&lt;=INDEX(Assumptions!$B$15:$B$18,MATCH(E1509,Assumptions!$A$15:$A$18,0)),"Yes","No")</f>
        <v>Yes</v>
      </c>
      <c r="O1509" s="31" t="str">
        <f aca="false">IF(H1509="","Open",IF(H1509&lt;=INDEX(Assumptions!$C$15:$C$18,MATCH(E1509,Assumptions!$A$15:$A$18,0)),"Yes","No"))</f>
        <v>Yes</v>
      </c>
    </row>
    <row r="1510" customFormat="false" ht="15" hidden="false" customHeight="false" outlineLevel="0" collapsed="false">
      <c r="A1510" s="31" t="s">
        <v>1660</v>
      </c>
      <c r="B1510" s="44" t="n">
        <v>46224</v>
      </c>
      <c r="C1510" s="31" t="s">
        <v>60</v>
      </c>
      <c r="D1510" s="31" t="s">
        <v>67</v>
      </c>
      <c r="E1510" s="31" t="s">
        <v>52</v>
      </c>
      <c r="F1510" s="31" t="s">
        <v>124</v>
      </c>
      <c r="G1510" s="31" t="n">
        <v>2</v>
      </c>
      <c r="H1510" s="41" t="n">
        <v>31.3</v>
      </c>
      <c r="I1510" s="31" t="s">
        <v>149</v>
      </c>
      <c r="J1510" s="31"/>
      <c r="K1510" s="31" t="s">
        <v>150</v>
      </c>
      <c r="L1510" s="45" t="n">
        <f aca="false">DATE(YEAR(B1510),MONTH(B1510),1)</f>
        <v>46204</v>
      </c>
      <c r="M1510" s="31" t="n">
        <f aca="false">WEEKDAY(B1510,2)</f>
        <v>2</v>
      </c>
      <c r="N1510" s="31" t="str">
        <f aca="false">IF(G1510&lt;=INDEX(Assumptions!$B$15:$B$18,MATCH(E1510,Assumptions!$A$15:$A$18,0)),"Yes","No")</f>
        <v>Yes</v>
      </c>
      <c r="O1510" s="31" t="str">
        <f aca="false">IF(H1510="","Open",IF(H1510&lt;=INDEX(Assumptions!$C$15:$C$18,MATCH(E1510,Assumptions!$A$15:$A$18,0)),"Yes","No"))</f>
        <v>Yes</v>
      </c>
    </row>
    <row r="1511" customFormat="false" ht="15" hidden="false" customHeight="false" outlineLevel="0" collapsed="false">
      <c r="A1511" s="31" t="s">
        <v>1661</v>
      </c>
      <c r="B1511" s="44" t="n">
        <v>46224</v>
      </c>
      <c r="C1511" s="31" t="s">
        <v>59</v>
      </c>
      <c r="D1511" s="31" t="s">
        <v>69</v>
      </c>
      <c r="E1511" s="31" t="s">
        <v>50</v>
      </c>
      <c r="F1511" s="31" t="s">
        <v>129</v>
      </c>
      <c r="G1511" s="31" t="n">
        <v>35</v>
      </c>
      <c r="H1511" s="41" t="n">
        <v>3.6</v>
      </c>
      <c r="I1511" s="31" t="s">
        <v>149</v>
      </c>
      <c r="J1511" s="31" t="n">
        <v>4</v>
      </c>
      <c r="K1511" s="31" t="s">
        <v>150</v>
      </c>
      <c r="L1511" s="45" t="n">
        <f aca="false">DATE(YEAR(B1511),MONTH(B1511),1)</f>
        <v>46204</v>
      </c>
      <c r="M1511" s="31" t="n">
        <f aca="false">WEEKDAY(B1511,2)</f>
        <v>2</v>
      </c>
      <c r="N1511" s="31" t="str">
        <f aca="false">IF(G1511&lt;=INDEX(Assumptions!$B$15:$B$18,MATCH(E1511,Assumptions!$A$15:$A$18,0)),"Yes","No")</f>
        <v>No</v>
      </c>
      <c r="O1511" s="31" t="str">
        <f aca="false">IF(H1511="","Open",IF(H1511&lt;=INDEX(Assumptions!$C$15:$C$18,MATCH(E1511,Assumptions!$A$15:$A$18,0)),"Yes","No"))</f>
        <v>Yes</v>
      </c>
    </row>
    <row r="1512" customFormat="false" ht="15" hidden="false" customHeight="false" outlineLevel="0" collapsed="false">
      <c r="A1512" s="31" t="s">
        <v>1662</v>
      </c>
      <c r="B1512" s="44" t="n">
        <v>46224</v>
      </c>
      <c r="C1512" s="31" t="s">
        <v>60</v>
      </c>
      <c r="D1512" s="31" t="s">
        <v>67</v>
      </c>
      <c r="E1512" s="31" t="s">
        <v>52</v>
      </c>
      <c r="F1512" s="31" t="s">
        <v>131</v>
      </c>
      <c r="G1512" s="31" t="n">
        <v>4</v>
      </c>
      <c r="H1512" s="41" t="n">
        <v>20</v>
      </c>
      <c r="I1512" s="31" t="s">
        <v>149</v>
      </c>
      <c r="J1512" s="31" t="n">
        <v>5</v>
      </c>
      <c r="K1512" s="31" t="s">
        <v>150</v>
      </c>
      <c r="L1512" s="45" t="n">
        <f aca="false">DATE(YEAR(B1512),MONTH(B1512),1)</f>
        <v>46204</v>
      </c>
      <c r="M1512" s="31" t="n">
        <f aca="false">WEEKDAY(B1512,2)</f>
        <v>2</v>
      </c>
      <c r="N1512" s="31" t="str">
        <f aca="false">IF(G1512&lt;=INDEX(Assumptions!$B$15:$B$18,MATCH(E1512,Assumptions!$A$15:$A$18,0)),"Yes","No")</f>
        <v>Yes</v>
      </c>
      <c r="O1512" s="31" t="str">
        <f aca="false">IF(H1512="","Open",IF(H1512&lt;=INDEX(Assumptions!$C$15:$C$18,MATCH(E1512,Assumptions!$A$15:$A$18,0)),"Yes","No"))</f>
        <v>Yes</v>
      </c>
    </row>
    <row r="1513" customFormat="false" ht="15" hidden="false" customHeight="false" outlineLevel="0" collapsed="false">
      <c r="A1513" s="31" t="s">
        <v>1663</v>
      </c>
      <c r="B1513" s="44" t="n">
        <v>46224</v>
      </c>
      <c r="C1513" s="31" t="s">
        <v>59</v>
      </c>
      <c r="D1513" s="31" t="s">
        <v>69</v>
      </c>
      <c r="E1513" s="31" t="s">
        <v>52</v>
      </c>
      <c r="F1513" s="31" t="s">
        <v>123</v>
      </c>
      <c r="G1513" s="31" t="n">
        <v>56</v>
      </c>
      <c r="H1513" s="41" t="n">
        <v>104.1</v>
      </c>
      <c r="I1513" s="31" t="s">
        <v>149</v>
      </c>
      <c r="J1513" s="31"/>
      <c r="K1513" s="31" t="s">
        <v>150</v>
      </c>
      <c r="L1513" s="45" t="n">
        <f aca="false">DATE(YEAR(B1513),MONTH(B1513),1)</f>
        <v>46204</v>
      </c>
      <c r="M1513" s="31" t="n">
        <f aca="false">WEEKDAY(B1513,2)</f>
        <v>2</v>
      </c>
      <c r="N1513" s="31" t="str">
        <f aca="false">IF(G1513&lt;=INDEX(Assumptions!$B$15:$B$18,MATCH(E1513,Assumptions!$A$15:$A$18,0)),"Yes","No")</f>
        <v>Yes</v>
      </c>
      <c r="O1513" s="31" t="str">
        <f aca="false">IF(H1513="","Open",IF(H1513&lt;=INDEX(Assumptions!$C$15:$C$18,MATCH(E1513,Assumptions!$A$15:$A$18,0)),"Yes","No"))</f>
        <v>No</v>
      </c>
    </row>
    <row r="1514" customFormat="false" ht="15" hidden="false" customHeight="false" outlineLevel="0" collapsed="false">
      <c r="A1514" s="31" t="s">
        <v>1664</v>
      </c>
      <c r="B1514" s="44" t="n">
        <v>46224</v>
      </c>
      <c r="C1514" s="31" t="s">
        <v>57</v>
      </c>
      <c r="D1514" s="31" t="s">
        <v>68</v>
      </c>
      <c r="E1514" s="31" t="s">
        <v>51</v>
      </c>
      <c r="F1514" s="31" t="s">
        <v>128</v>
      </c>
      <c r="G1514" s="31" t="n">
        <v>13</v>
      </c>
      <c r="H1514" s="41" t="n">
        <v>5</v>
      </c>
      <c r="I1514" s="31" t="s">
        <v>149</v>
      </c>
      <c r="J1514" s="31"/>
      <c r="K1514" s="31" t="s">
        <v>150</v>
      </c>
      <c r="L1514" s="45" t="n">
        <f aca="false">DATE(YEAR(B1514),MONTH(B1514),1)</f>
        <v>46204</v>
      </c>
      <c r="M1514" s="31" t="n">
        <f aca="false">WEEKDAY(B1514,2)</f>
        <v>2</v>
      </c>
      <c r="N1514" s="31" t="str">
        <f aca="false">IF(G1514&lt;=INDEX(Assumptions!$B$15:$B$18,MATCH(E1514,Assumptions!$A$15:$A$18,0)),"Yes","No")</f>
        <v>Yes</v>
      </c>
      <c r="O1514" s="31" t="str">
        <f aca="false">IF(H1514="","Open",IF(H1514&lt;=INDEX(Assumptions!$C$15:$C$18,MATCH(E1514,Assumptions!$A$15:$A$18,0)),"Yes","No"))</f>
        <v>Yes</v>
      </c>
    </row>
    <row r="1515" customFormat="false" ht="15" hidden="false" customHeight="false" outlineLevel="0" collapsed="false">
      <c r="A1515" s="31" t="s">
        <v>1665</v>
      </c>
      <c r="B1515" s="44" t="n">
        <v>46224</v>
      </c>
      <c r="C1515" s="31" t="s">
        <v>57</v>
      </c>
      <c r="D1515" s="31" t="s">
        <v>67</v>
      </c>
      <c r="E1515" s="31" t="s">
        <v>52</v>
      </c>
      <c r="F1515" s="31" t="s">
        <v>121</v>
      </c>
      <c r="G1515" s="31" t="n">
        <v>16</v>
      </c>
      <c r="H1515" s="41" t="n">
        <v>132.2</v>
      </c>
      <c r="I1515" s="31" t="s">
        <v>149</v>
      </c>
      <c r="J1515" s="31" t="n">
        <v>3</v>
      </c>
      <c r="K1515" s="31" t="s">
        <v>150</v>
      </c>
      <c r="L1515" s="45" t="n">
        <f aca="false">DATE(YEAR(B1515),MONTH(B1515),1)</f>
        <v>46204</v>
      </c>
      <c r="M1515" s="31" t="n">
        <f aca="false">WEEKDAY(B1515,2)</f>
        <v>2</v>
      </c>
      <c r="N1515" s="31" t="str">
        <f aca="false">IF(G1515&lt;=INDEX(Assumptions!$B$15:$B$18,MATCH(E1515,Assumptions!$A$15:$A$18,0)),"Yes","No")</f>
        <v>Yes</v>
      </c>
      <c r="O1515" s="31" t="str">
        <f aca="false">IF(H1515="","Open",IF(H1515&lt;=INDEX(Assumptions!$C$15:$C$18,MATCH(E1515,Assumptions!$A$15:$A$18,0)),"Yes","No"))</f>
        <v>No</v>
      </c>
    </row>
    <row r="1516" customFormat="false" ht="15" hidden="false" customHeight="false" outlineLevel="0" collapsed="false">
      <c r="A1516" s="31" t="s">
        <v>1666</v>
      </c>
      <c r="B1516" s="44" t="n">
        <v>46224</v>
      </c>
      <c r="C1516" s="31" t="s">
        <v>57</v>
      </c>
      <c r="D1516" s="31" t="s">
        <v>65</v>
      </c>
      <c r="E1516" s="31" t="s">
        <v>51</v>
      </c>
      <c r="F1516" s="31" t="s">
        <v>121</v>
      </c>
      <c r="G1516" s="31" t="n">
        <v>4</v>
      </c>
      <c r="H1516" s="41" t="n">
        <v>6.5</v>
      </c>
      <c r="I1516" s="31" t="s">
        <v>149</v>
      </c>
      <c r="J1516" s="31"/>
      <c r="K1516" s="31" t="s">
        <v>150</v>
      </c>
      <c r="L1516" s="45" t="n">
        <f aca="false">DATE(YEAR(B1516),MONTH(B1516),1)</f>
        <v>46204</v>
      </c>
      <c r="M1516" s="31" t="n">
        <f aca="false">WEEKDAY(B1516,2)</f>
        <v>2</v>
      </c>
      <c r="N1516" s="31" t="str">
        <f aca="false">IF(G1516&lt;=INDEX(Assumptions!$B$15:$B$18,MATCH(E1516,Assumptions!$A$15:$A$18,0)),"Yes","No")</f>
        <v>Yes</v>
      </c>
      <c r="O1516" s="31" t="str">
        <f aca="false">IF(H1516="","Open",IF(H1516&lt;=INDEX(Assumptions!$C$15:$C$18,MATCH(E1516,Assumptions!$A$15:$A$18,0)),"Yes","No"))</f>
        <v>Yes</v>
      </c>
    </row>
    <row r="1517" customFormat="false" ht="15" hidden="false" customHeight="false" outlineLevel="0" collapsed="false">
      <c r="A1517" s="31" t="s">
        <v>1667</v>
      </c>
      <c r="B1517" s="44" t="n">
        <v>46225</v>
      </c>
      <c r="C1517" s="31" t="s">
        <v>57</v>
      </c>
      <c r="D1517" s="31" t="s">
        <v>68</v>
      </c>
      <c r="E1517" s="31" t="s">
        <v>51</v>
      </c>
      <c r="F1517" s="31" t="s">
        <v>129</v>
      </c>
      <c r="G1517" s="31" t="n">
        <v>8</v>
      </c>
      <c r="H1517" s="41" t="n">
        <v>5.8</v>
      </c>
      <c r="I1517" s="31" t="s">
        <v>149</v>
      </c>
      <c r="J1517" s="31"/>
      <c r="K1517" s="31" t="s">
        <v>150</v>
      </c>
      <c r="L1517" s="45" t="n">
        <f aca="false">DATE(YEAR(B1517),MONTH(B1517),1)</f>
        <v>46204</v>
      </c>
      <c r="M1517" s="31" t="n">
        <f aca="false">WEEKDAY(B1517,2)</f>
        <v>3</v>
      </c>
      <c r="N1517" s="31" t="str">
        <f aca="false">IF(G1517&lt;=INDEX(Assumptions!$B$15:$B$18,MATCH(E1517,Assumptions!$A$15:$A$18,0)),"Yes","No")</f>
        <v>Yes</v>
      </c>
      <c r="O1517" s="31" t="str">
        <f aca="false">IF(H1517="","Open",IF(H1517&lt;=INDEX(Assumptions!$C$15:$C$18,MATCH(E1517,Assumptions!$A$15:$A$18,0)),"Yes","No"))</f>
        <v>Yes</v>
      </c>
    </row>
    <row r="1518" customFormat="false" ht="15" hidden="false" customHeight="false" outlineLevel="0" collapsed="false">
      <c r="A1518" s="31" t="s">
        <v>1668</v>
      </c>
      <c r="B1518" s="44" t="n">
        <v>46225</v>
      </c>
      <c r="C1518" s="31" t="s">
        <v>57</v>
      </c>
      <c r="D1518" s="31" t="s">
        <v>69</v>
      </c>
      <c r="E1518" s="31" t="s">
        <v>49</v>
      </c>
      <c r="F1518" s="31" t="s">
        <v>133</v>
      </c>
      <c r="G1518" s="31" t="n">
        <v>2</v>
      </c>
      <c r="H1518" s="41" t="n">
        <v>4.4</v>
      </c>
      <c r="I1518" s="31" t="s">
        <v>149</v>
      </c>
      <c r="J1518" s="31"/>
      <c r="K1518" s="31" t="s">
        <v>150</v>
      </c>
      <c r="L1518" s="45" t="n">
        <f aca="false">DATE(YEAR(B1518),MONTH(B1518),1)</f>
        <v>46204</v>
      </c>
      <c r="M1518" s="31" t="n">
        <f aca="false">WEEKDAY(B1518,2)</f>
        <v>3</v>
      </c>
      <c r="N1518" s="31" t="str">
        <f aca="false">IF(G1518&lt;=INDEX(Assumptions!$B$15:$B$18,MATCH(E1518,Assumptions!$A$15:$A$18,0)),"Yes","No")</f>
        <v>Yes</v>
      </c>
      <c r="O1518" s="31" t="str">
        <f aca="false">IF(H1518="","Open",IF(H1518&lt;=INDEX(Assumptions!$C$15:$C$18,MATCH(E1518,Assumptions!$A$15:$A$18,0)),"Yes","No"))</f>
        <v>No</v>
      </c>
    </row>
    <row r="1519" customFormat="false" ht="15" hidden="false" customHeight="false" outlineLevel="0" collapsed="false">
      <c r="A1519" s="31" t="s">
        <v>1669</v>
      </c>
      <c r="B1519" s="44" t="n">
        <v>46225</v>
      </c>
      <c r="C1519" s="31" t="s">
        <v>60</v>
      </c>
      <c r="D1519" s="31" t="s">
        <v>69</v>
      </c>
      <c r="E1519" s="31" t="s">
        <v>50</v>
      </c>
      <c r="F1519" s="31" t="s">
        <v>134</v>
      </c>
      <c r="G1519" s="31" t="n">
        <v>2</v>
      </c>
      <c r="H1519" s="41" t="n">
        <v>28</v>
      </c>
      <c r="I1519" s="31" t="s">
        <v>149</v>
      </c>
      <c r="J1519" s="31" t="n">
        <v>4</v>
      </c>
      <c r="K1519" s="31" t="s">
        <v>150</v>
      </c>
      <c r="L1519" s="45" t="n">
        <f aca="false">DATE(YEAR(B1519),MONTH(B1519),1)</f>
        <v>46204</v>
      </c>
      <c r="M1519" s="31" t="n">
        <f aca="false">WEEKDAY(B1519,2)</f>
        <v>3</v>
      </c>
      <c r="N1519" s="31" t="str">
        <f aca="false">IF(G1519&lt;=INDEX(Assumptions!$B$15:$B$18,MATCH(E1519,Assumptions!$A$15:$A$18,0)),"Yes","No")</f>
        <v>Yes</v>
      </c>
      <c r="O1519" s="31" t="str">
        <f aca="false">IF(H1519="","Open",IF(H1519&lt;=INDEX(Assumptions!$C$15:$C$18,MATCH(E1519,Assumptions!$A$15:$A$18,0)),"Yes","No"))</f>
        <v>No</v>
      </c>
    </row>
    <row r="1520" customFormat="false" ht="15" hidden="false" customHeight="false" outlineLevel="0" collapsed="false">
      <c r="A1520" s="31" t="s">
        <v>1670</v>
      </c>
      <c r="B1520" s="44" t="n">
        <v>46225</v>
      </c>
      <c r="C1520" s="31" t="s">
        <v>60</v>
      </c>
      <c r="D1520" s="31" t="s">
        <v>65</v>
      </c>
      <c r="E1520" s="31" t="s">
        <v>51</v>
      </c>
      <c r="F1520" s="31" t="s">
        <v>131</v>
      </c>
      <c r="G1520" s="31" t="n">
        <v>5</v>
      </c>
      <c r="H1520" s="41" t="n">
        <v>3.8</v>
      </c>
      <c r="I1520" s="31" t="s">
        <v>149</v>
      </c>
      <c r="J1520" s="31" t="n">
        <v>4</v>
      </c>
      <c r="K1520" s="31" t="s">
        <v>150</v>
      </c>
      <c r="L1520" s="45" t="n">
        <f aca="false">DATE(YEAR(B1520),MONTH(B1520),1)</f>
        <v>46204</v>
      </c>
      <c r="M1520" s="31" t="n">
        <f aca="false">WEEKDAY(B1520,2)</f>
        <v>3</v>
      </c>
      <c r="N1520" s="31" t="str">
        <f aca="false">IF(G1520&lt;=INDEX(Assumptions!$B$15:$B$18,MATCH(E1520,Assumptions!$A$15:$A$18,0)),"Yes","No")</f>
        <v>Yes</v>
      </c>
      <c r="O1520" s="31" t="str">
        <f aca="false">IF(H1520="","Open",IF(H1520&lt;=INDEX(Assumptions!$C$15:$C$18,MATCH(E1520,Assumptions!$A$15:$A$18,0)),"Yes","No"))</f>
        <v>Yes</v>
      </c>
    </row>
    <row r="1521" customFormat="false" ht="15" hidden="false" customHeight="false" outlineLevel="0" collapsed="false">
      <c r="A1521" s="31" t="s">
        <v>1671</v>
      </c>
      <c r="B1521" s="44" t="n">
        <v>46225</v>
      </c>
      <c r="C1521" s="31" t="s">
        <v>57</v>
      </c>
      <c r="D1521" s="31" t="s">
        <v>67</v>
      </c>
      <c r="E1521" s="31" t="s">
        <v>51</v>
      </c>
      <c r="F1521" s="31" t="s">
        <v>121</v>
      </c>
      <c r="G1521" s="31" t="n">
        <v>6</v>
      </c>
      <c r="H1521" s="41" t="n">
        <v>29.9</v>
      </c>
      <c r="I1521" s="31" t="s">
        <v>64</v>
      </c>
      <c r="J1521" s="31" t="n">
        <v>2</v>
      </c>
      <c r="K1521" s="31" t="s">
        <v>150</v>
      </c>
      <c r="L1521" s="45" t="n">
        <f aca="false">DATE(YEAR(B1521),MONTH(B1521),1)</f>
        <v>46204</v>
      </c>
      <c r="M1521" s="31" t="n">
        <f aca="false">WEEKDAY(B1521,2)</f>
        <v>3</v>
      </c>
      <c r="N1521" s="31" t="str">
        <f aca="false">IF(G1521&lt;=INDEX(Assumptions!$B$15:$B$18,MATCH(E1521,Assumptions!$A$15:$A$18,0)),"Yes","No")</f>
        <v>Yes</v>
      </c>
      <c r="O1521" s="31" t="str">
        <f aca="false">IF(H1521="","Open",IF(H1521&lt;=INDEX(Assumptions!$C$15:$C$18,MATCH(E1521,Assumptions!$A$15:$A$18,0)),"Yes","No"))</f>
        <v>No</v>
      </c>
    </row>
    <row r="1522" customFormat="false" ht="15" hidden="false" customHeight="false" outlineLevel="0" collapsed="false">
      <c r="A1522" s="31" t="s">
        <v>1672</v>
      </c>
      <c r="B1522" s="44" t="n">
        <v>46225</v>
      </c>
      <c r="C1522" s="31" t="s">
        <v>59</v>
      </c>
      <c r="D1522" s="31" t="s">
        <v>65</v>
      </c>
      <c r="E1522" s="31" t="s">
        <v>52</v>
      </c>
      <c r="F1522" s="31" t="s">
        <v>121</v>
      </c>
      <c r="G1522" s="31" t="n">
        <v>252</v>
      </c>
      <c r="H1522" s="41" t="n">
        <v>53</v>
      </c>
      <c r="I1522" s="31" t="s">
        <v>149</v>
      </c>
      <c r="J1522" s="31"/>
      <c r="K1522" s="31" t="s">
        <v>150</v>
      </c>
      <c r="L1522" s="45" t="n">
        <f aca="false">DATE(YEAR(B1522),MONTH(B1522),1)</f>
        <v>46204</v>
      </c>
      <c r="M1522" s="31" t="n">
        <f aca="false">WEEKDAY(B1522,2)</f>
        <v>3</v>
      </c>
      <c r="N1522" s="31" t="str">
        <f aca="false">IF(G1522&lt;=INDEX(Assumptions!$B$15:$B$18,MATCH(E1522,Assumptions!$A$15:$A$18,0)),"Yes","No")</f>
        <v>No</v>
      </c>
      <c r="O1522" s="31" t="str">
        <f aca="false">IF(H1522="","Open",IF(H1522&lt;=INDEX(Assumptions!$C$15:$C$18,MATCH(E1522,Assumptions!$A$15:$A$18,0)),"Yes","No"))</f>
        <v>Yes</v>
      </c>
    </row>
    <row r="1523" customFormat="false" ht="15" hidden="false" customHeight="false" outlineLevel="0" collapsed="false">
      <c r="A1523" s="31" t="s">
        <v>1673</v>
      </c>
      <c r="B1523" s="44" t="n">
        <v>46225</v>
      </c>
      <c r="C1523" s="31" t="s">
        <v>59</v>
      </c>
      <c r="D1523" s="31" t="s">
        <v>69</v>
      </c>
      <c r="E1523" s="31" t="s">
        <v>52</v>
      </c>
      <c r="F1523" s="31" t="s">
        <v>121</v>
      </c>
      <c r="G1523" s="31" t="n">
        <v>197</v>
      </c>
      <c r="H1523" s="41" t="n">
        <v>39.4</v>
      </c>
      <c r="I1523" s="31" t="s">
        <v>149</v>
      </c>
      <c r="J1523" s="31" t="n">
        <v>5</v>
      </c>
      <c r="K1523" s="31" t="s">
        <v>150</v>
      </c>
      <c r="L1523" s="45" t="n">
        <f aca="false">DATE(YEAR(B1523),MONTH(B1523),1)</f>
        <v>46204</v>
      </c>
      <c r="M1523" s="31" t="n">
        <f aca="false">WEEKDAY(B1523,2)</f>
        <v>3</v>
      </c>
      <c r="N1523" s="31" t="str">
        <f aca="false">IF(G1523&lt;=INDEX(Assumptions!$B$15:$B$18,MATCH(E1523,Assumptions!$A$15:$A$18,0)),"Yes","No")</f>
        <v>Yes</v>
      </c>
      <c r="O1523" s="31" t="str">
        <f aca="false">IF(H1523="","Open",IF(H1523&lt;=INDEX(Assumptions!$C$15:$C$18,MATCH(E1523,Assumptions!$A$15:$A$18,0)),"Yes","No"))</f>
        <v>Yes</v>
      </c>
    </row>
    <row r="1524" customFormat="false" ht="15" hidden="false" customHeight="false" outlineLevel="0" collapsed="false">
      <c r="A1524" s="31" t="s">
        <v>1674</v>
      </c>
      <c r="B1524" s="44" t="n">
        <v>46225</v>
      </c>
      <c r="C1524" s="31" t="s">
        <v>58</v>
      </c>
      <c r="D1524" s="31" t="s">
        <v>67</v>
      </c>
      <c r="E1524" s="31" t="s">
        <v>52</v>
      </c>
      <c r="F1524" s="31" t="s">
        <v>117</v>
      </c>
      <c r="G1524" s="31" t="n">
        <v>21</v>
      </c>
      <c r="H1524" s="41" t="n">
        <v>14.2</v>
      </c>
      <c r="I1524" s="31" t="s">
        <v>149</v>
      </c>
      <c r="J1524" s="31"/>
      <c r="K1524" s="31" t="s">
        <v>150</v>
      </c>
      <c r="L1524" s="45" t="n">
        <f aca="false">DATE(YEAR(B1524),MONTH(B1524),1)</f>
        <v>46204</v>
      </c>
      <c r="M1524" s="31" t="n">
        <f aca="false">WEEKDAY(B1524,2)</f>
        <v>3</v>
      </c>
      <c r="N1524" s="31" t="str">
        <f aca="false">IF(G1524&lt;=INDEX(Assumptions!$B$15:$B$18,MATCH(E1524,Assumptions!$A$15:$A$18,0)),"Yes","No")</f>
        <v>Yes</v>
      </c>
      <c r="O1524" s="31" t="str">
        <f aca="false">IF(H1524="","Open",IF(H1524&lt;=INDEX(Assumptions!$C$15:$C$18,MATCH(E1524,Assumptions!$A$15:$A$18,0)),"Yes","No"))</f>
        <v>Yes</v>
      </c>
    </row>
    <row r="1525" customFormat="false" ht="15" hidden="false" customHeight="false" outlineLevel="0" collapsed="false">
      <c r="A1525" s="31" t="s">
        <v>1675</v>
      </c>
      <c r="B1525" s="44" t="n">
        <v>46225</v>
      </c>
      <c r="C1525" s="31" t="s">
        <v>59</v>
      </c>
      <c r="D1525" s="31" t="s">
        <v>65</v>
      </c>
      <c r="E1525" s="31" t="s">
        <v>51</v>
      </c>
      <c r="F1525" s="31" t="s">
        <v>124</v>
      </c>
      <c r="G1525" s="31" t="n">
        <v>41</v>
      </c>
      <c r="H1525" s="41" t="n">
        <v>4.7</v>
      </c>
      <c r="I1525" s="31" t="s">
        <v>149</v>
      </c>
      <c r="J1525" s="31"/>
      <c r="K1525" s="31" t="s">
        <v>150</v>
      </c>
      <c r="L1525" s="45" t="n">
        <f aca="false">DATE(YEAR(B1525),MONTH(B1525),1)</f>
        <v>46204</v>
      </c>
      <c r="M1525" s="31" t="n">
        <f aca="false">WEEKDAY(B1525,2)</f>
        <v>3</v>
      </c>
      <c r="N1525" s="31" t="str">
        <f aca="false">IF(G1525&lt;=INDEX(Assumptions!$B$15:$B$18,MATCH(E1525,Assumptions!$A$15:$A$18,0)),"Yes","No")</f>
        <v>Yes</v>
      </c>
      <c r="O1525" s="31" t="str">
        <f aca="false">IF(H1525="","Open",IF(H1525&lt;=INDEX(Assumptions!$C$15:$C$18,MATCH(E1525,Assumptions!$A$15:$A$18,0)),"Yes","No"))</f>
        <v>Yes</v>
      </c>
    </row>
    <row r="1526" customFormat="false" ht="15" hidden="false" customHeight="false" outlineLevel="0" collapsed="false">
      <c r="A1526" s="31" t="s">
        <v>1676</v>
      </c>
      <c r="B1526" s="44" t="n">
        <v>46225</v>
      </c>
      <c r="C1526" s="31" t="s">
        <v>60</v>
      </c>
      <c r="D1526" s="31" t="s">
        <v>66</v>
      </c>
      <c r="E1526" s="31" t="s">
        <v>50</v>
      </c>
      <c r="F1526" s="31" t="s">
        <v>126</v>
      </c>
      <c r="G1526" s="31" t="n">
        <v>2</v>
      </c>
      <c r="H1526" s="41" t="n">
        <v>7.1</v>
      </c>
      <c r="I1526" s="31" t="s">
        <v>149</v>
      </c>
      <c r="J1526" s="31"/>
      <c r="K1526" s="31" t="s">
        <v>150</v>
      </c>
      <c r="L1526" s="45" t="n">
        <f aca="false">DATE(YEAR(B1526),MONTH(B1526),1)</f>
        <v>46204</v>
      </c>
      <c r="M1526" s="31" t="n">
        <f aca="false">WEEKDAY(B1526,2)</f>
        <v>3</v>
      </c>
      <c r="N1526" s="31" t="str">
        <f aca="false">IF(G1526&lt;=INDEX(Assumptions!$B$15:$B$18,MATCH(E1526,Assumptions!$A$15:$A$18,0)),"Yes","No")</f>
        <v>Yes</v>
      </c>
      <c r="O1526" s="31" t="str">
        <f aca="false">IF(H1526="","Open",IF(H1526&lt;=INDEX(Assumptions!$C$15:$C$18,MATCH(E1526,Assumptions!$A$15:$A$18,0)),"Yes","No"))</f>
        <v>Yes</v>
      </c>
    </row>
    <row r="1527" customFormat="false" ht="15" hidden="false" customHeight="false" outlineLevel="0" collapsed="false">
      <c r="A1527" s="31" t="s">
        <v>1677</v>
      </c>
      <c r="B1527" s="44" t="n">
        <v>46225</v>
      </c>
      <c r="C1527" s="31" t="s">
        <v>57</v>
      </c>
      <c r="D1527" s="31" t="s">
        <v>65</v>
      </c>
      <c r="E1527" s="31" t="s">
        <v>51</v>
      </c>
      <c r="F1527" s="31" t="s">
        <v>123</v>
      </c>
      <c r="G1527" s="31" t="n">
        <v>5</v>
      </c>
      <c r="H1527" s="41"/>
      <c r="I1527" s="31" t="s">
        <v>158</v>
      </c>
      <c r="J1527" s="31"/>
      <c r="K1527" s="31" t="s">
        <v>150</v>
      </c>
      <c r="L1527" s="45" t="n">
        <f aca="false">DATE(YEAR(B1527),MONTH(B1527),1)</f>
        <v>46204</v>
      </c>
      <c r="M1527" s="31" t="n">
        <f aca="false">WEEKDAY(B1527,2)</f>
        <v>3</v>
      </c>
      <c r="N1527" s="31" t="str">
        <f aca="false">IF(G1527&lt;=INDEX(Assumptions!$B$15:$B$18,MATCH(E1527,Assumptions!$A$15:$A$18,0)),"Yes","No")</f>
        <v>Yes</v>
      </c>
      <c r="O1527" s="31" t="str">
        <f aca="false">IF(H1527="","Open",IF(H1527&lt;=INDEX(Assumptions!$C$15:$C$18,MATCH(E1527,Assumptions!$A$15:$A$18,0)),"Yes","No"))</f>
        <v>Open</v>
      </c>
    </row>
    <row r="1528" customFormat="false" ht="15" hidden="false" customHeight="false" outlineLevel="0" collapsed="false">
      <c r="A1528" s="31" t="s">
        <v>1678</v>
      </c>
      <c r="B1528" s="44" t="n">
        <v>46225</v>
      </c>
      <c r="C1528" s="31" t="s">
        <v>59</v>
      </c>
      <c r="D1528" s="31" t="s">
        <v>68</v>
      </c>
      <c r="E1528" s="31" t="s">
        <v>52</v>
      </c>
      <c r="F1528" s="31" t="s">
        <v>130</v>
      </c>
      <c r="G1528" s="31" t="n">
        <v>151</v>
      </c>
      <c r="H1528" s="41" t="n">
        <v>1.2</v>
      </c>
      <c r="I1528" s="31" t="s">
        <v>149</v>
      </c>
      <c r="J1528" s="31"/>
      <c r="K1528" s="31" t="s">
        <v>150</v>
      </c>
      <c r="L1528" s="45" t="n">
        <f aca="false">DATE(YEAR(B1528),MONTH(B1528),1)</f>
        <v>46204</v>
      </c>
      <c r="M1528" s="31" t="n">
        <f aca="false">WEEKDAY(B1528,2)</f>
        <v>3</v>
      </c>
      <c r="N1528" s="31" t="str">
        <f aca="false">IF(G1528&lt;=INDEX(Assumptions!$B$15:$B$18,MATCH(E1528,Assumptions!$A$15:$A$18,0)),"Yes","No")</f>
        <v>Yes</v>
      </c>
      <c r="O1528" s="31" t="str">
        <f aca="false">IF(H1528="","Open",IF(H1528&lt;=INDEX(Assumptions!$C$15:$C$18,MATCH(E1528,Assumptions!$A$15:$A$18,0)),"Yes","No"))</f>
        <v>Yes</v>
      </c>
    </row>
    <row r="1529" customFormat="false" ht="15" hidden="false" customHeight="false" outlineLevel="0" collapsed="false">
      <c r="A1529" s="31" t="s">
        <v>1679</v>
      </c>
      <c r="B1529" s="44" t="n">
        <v>46225</v>
      </c>
      <c r="C1529" s="31" t="s">
        <v>58</v>
      </c>
      <c r="D1529" s="31" t="s">
        <v>65</v>
      </c>
      <c r="E1529" s="31" t="s">
        <v>51</v>
      </c>
      <c r="F1529" s="31" t="s">
        <v>135</v>
      </c>
      <c r="G1529" s="31" t="n">
        <v>7</v>
      </c>
      <c r="H1529" s="41" t="n">
        <v>12.2</v>
      </c>
      <c r="I1529" s="31" t="s">
        <v>149</v>
      </c>
      <c r="J1529" s="31" t="n">
        <v>5</v>
      </c>
      <c r="K1529" s="31" t="s">
        <v>150</v>
      </c>
      <c r="L1529" s="45" t="n">
        <f aca="false">DATE(YEAR(B1529),MONTH(B1529),1)</f>
        <v>46204</v>
      </c>
      <c r="M1529" s="31" t="n">
        <f aca="false">WEEKDAY(B1529,2)</f>
        <v>3</v>
      </c>
      <c r="N1529" s="31" t="str">
        <f aca="false">IF(G1529&lt;=INDEX(Assumptions!$B$15:$B$18,MATCH(E1529,Assumptions!$A$15:$A$18,0)),"Yes","No")</f>
        <v>Yes</v>
      </c>
      <c r="O1529" s="31" t="str">
        <f aca="false">IF(H1529="","Open",IF(H1529&lt;=INDEX(Assumptions!$C$15:$C$18,MATCH(E1529,Assumptions!$A$15:$A$18,0)),"Yes","No"))</f>
        <v>Yes</v>
      </c>
    </row>
    <row r="1530" customFormat="false" ht="15" hidden="false" customHeight="false" outlineLevel="0" collapsed="false">
      <c r="A1530" s="31" t="s">
        <v>1680</v>
      </c>
      <c r="B1530" s="44" t="n">
        <v>46225</v>
      </c>
      <c r="C1530" s="31" t="s">
        <v>57</v>
      </c>
      <c r="D1530" s="31" t="s">
        <v>68</v>
      </c>
      <c r="E1530" s="31" t="s">
        <v>51</v>
      </c>
      <c r="F1530" s="31" t="s">
        <v>128</v>
      </c>
      <c r="G1530" s="31" t="n">
        <v>11</v>
      </c>
      <c r="H1530" s="41" t="n">
        <v>5.3</v>
      </c>
      <c r="I1530" s="31" t="s">
        <v>149</v>
      </c>
      <c r="J1530" s="31" t="n">
        <v>5</v>
      </c>
      <c r="K1530" s="31" t="s">
        <v>153</v>
      </c>
      <c r="L1530" s="45" t="n">
        <f aca="false">DATE(YEAR(B1530),MONTH(B1530),1)</f>
        <v>46204</v>
      </c>
      <c r="M1530" s="31" t="n">
        <f aca="false">WEEKDAY(B1530,2)</f>
        <v>3</v>
      </c>
      <c r="N1530" s="31" t="str">
        <f aca="false">IF(G1530&lt;=INDEX(Assumptions!$B$15:$B$18,MATCH(E1530,Assumptions!$A$15:$A$18,0)),"Yes","No")</f>
        <v>Yes</v>
      </c>
      <c r="O1530" s="31" t="str">
        <f aca="false">IF(H1530="","Open",IF(H1530&lt;=INDEX(Assumptions!$C$15:$C$18,MATCH(E1530,Assumptions!$A$15:$A$18,0)),"Yes","No"))</f>
        <v>Yes</v>
      </c>
    </row>
    <row r="1531" customFormat="false" ht="15" hidden="false" customHeight="false" outlineLevel="0" collapsed="false">
      <c r="A1531" s="31" t="s">
        <v>1681</v>
      </c>
      <c r="B1531" s="44" t="n">
        <v>46225</v>
      </c>
      <c r="C1531" s="31" t="s">
        <v>59</v>
      </c>
      <c r="D1531" s="31" t="s">
        <v>66</v>
      </c>
      <c r="E1531" s="31" t="s">
        <v>52</v>
      </c>
      <c r="F1531" s="31" t="s">
        <v>122</v>
      </c>
      <c r="G1531" s="31" t="n">
        <v>101</v>
      </c>
      <c r="H1531" s="41" t="n">
        <v>18.9</v>
      </c>
      <c r="I1531" s="31" t="s">
        <v>149</v>
      </c>
      <c r="J1531" s="31" t="n">
        <v>5</v>
      </c>
      <c r="K1531" s="31" t="s">
        <v>150</v>
      </c>
      <c r="L1531" s="45" t="n">
        <f aca="false">DATE(YEAR(B1531),MONTH(B1531),1)</f>
        <v>46204</v>
      </c>
      <c r="M1531" s="31" t="n">
        <f aca="false">WEEKDAY(B1531,2)</f>
        <v>3</v>
      </c>
      <c r="N1531" s="31" t="str">
        <f aca="false">IF(G1531&lt;=INDEX(Assumptions!$B$15:$B$18,MATCH(E1531,Assumptions!$A$15:$A$18,0)),"Yes","No")</f>
        <v>Yes</v>
      </c>
      <c r="O1531" s="31" t="str">
        <f aca="false">IF(H1531="","Open",IF(H1531&lt;=INDEX(Assumptions!$C$15:$C$18,MATCH(E1531,Assumptions!$A$15:$A$18,0)),"Yes","No"))</f>
        <v>Yes</v>
      </c>
    </row>
    <row r="1532" customFormat="false" ht="15" hidden="false" customHeight="false" outlineLevel="0" collapsed="false">
      <c r="A1532" s="31" t="s">
        <v>1682</v>
      </c>
      <c r="B1532" s="44" t="n">
        <v>46225</v>
      </c>
      <c r="C1532" s="31" t="s">
        <v>57</v>
      </c>
      <c r="D1532" s="31" t="s">
        <v>69</v>
      </c>
      <c r="E1532" s="31" t="s">
        <v>49</v>
      </c>
      <c r="F1532" s="31" t="s">
        <v>130</v>
      </c>
      <c r="G1532" s="31" t="n">
        <v>4</v>
      </c>
      <c r="H1532" s="41" t="n">
        <v>3</v>
      </c>
      <c r="I1532" s="31" t="s">
        <v>149</v>
      </c>
      <c r="J1532" s="31" t="n">
        <v>5</v>
      </c>
      <c r="K1532" s="31" t="s">
        <v>150</v>
      </c>
      <c r="L1532" s="45" t="n">
        <f aca="false">DATE(YEAR(B1532),MONTH(B1532),1)</f>
        <v>46204</v>
      </c>
      <c r="M1532" s="31" t="n">
        <f aca="false">WEEKDAY(B1532,2)</f>
        <v>3</v>
      </c>
      <c r="N1532" s="31" t="str">
        <f aca="false">IF(G1532&lt;=INDEX(Assumptions!$B$15:$B$18,MATCH(E1532,Assumptions!$A$15:$A$18,0)),"Yes","No")</f>
        <v>Yes</v>
      </c>
      <c r="O1532" s="31" t="str">
        <f aca="false">IF(H1532="","Open",IF(H1532&lt;=INDEX(Assumptions!$C$15:$C$18,MATCH(E1532,Assumptions!$A$15:$A$18,0)),"Yes","No"))</f>
        <v>Yes</v>
      </c>
    </row>
    <row r="1533" customFormat="false" ht="15" hidden="false" customHeight="false" outlineLevel="0" collapsed="false">
      <c r="A1533" s="31" t="s">
        <v>1683</v>
      </c>
      <c r="B1533" s="44" t="n">
        <v>46225</v>
      </c>
      <c r="C1533" s="31" t="s">
        <v>58</v>
      </c>
      <c r="D1533" s="31" t="s">
        <v>66</v>
      </c>
      <c r="E1533" s="31" t="s">
        <v>51</v>
      </c>
      <c r="F1533" s="31" t="s">
        <v>129</v>
      </c>
      <c r="G1533" s="31" t="n">
        <v>29</v>
      </c>
      <c r="H1533" s="41" t="n">
        <v>38.6</v>
      </c>
      <c r="I1533" s="31" t="s">
        <v>149</v>
      </c>
      <c r="J1533" s="31"/>
      <c r="K1533" s="31" t="s">
        <v>150</v>
      </c>
      <c r="L1533" s="45" t="n">
        <f aca="false">DATE(YEAR(B1533),MONTH(B1533),1)</f>
        <v>46204</v>
      </c>
      <c r="M1533" s="31" t="n">
        <f aca="false">WEEKDAY(B1533,2)</f>
        <v>3</v>
      </c>
      <c r="N1533" s="31" t="str">
        <f aca="false">IF(G1533&lt;=INDEX(Assumptions!$B$15:$B$18,MATCH(E1533,Assumptions!$A$15:$A$18,0)),"Yes","No")</f>
        <v>Yes</v>
      </c>
      <c r="O1533" s="31" t="str">
        <f aca="false">IF(H1533="","Open",IF(H1533&lt;=INDEX(Assumptions!$C$15:$C$18,MATCH(E1533,Assumptions!$A$15:$A$18,0)),"Yes","No"))</f>
        <v>No</v>
      </c>
    </row>
    <row r="1534" customFormat="false" ht="15" hidden="false" customHeight="false" outlineLevel="0" collapsed="false">
      <c r="A1534" s="31" t="s">
        <v>1684</v>
      </c>
      <c r="B1534" s="44" t="n">
        <v>46225</v>
      </c>
      <c r="C1534" s="31" t="s">
        <v>57</v>
      </c>
      <c r="D1534" s="31" t="s">
        <v>67</v>
      </c>
      <c r="E1534" s="31" t="s">
        <v>51</v>
      </c>
      <c r="F1534" s="31" t="s">
        <v>126</v>
      </c>
      <c r="G1534" s="31" t="n">
        <v>4</v>
      </c>
      <c r="H1534" s="41" t="n">
        <v>8.4</v>
      </c>
      <c r="I1534" s="31" t="s">
        <v>149</v>
      </c>
      <c r="J1534" s="31"/>
      <c r="K1534" s="31" t="s">
        <v>150</v>
      </c>
      <c r="L1534" s="45" t="n">
        <f aca="false">DATE(YEAR(B1534),MONTH(B1534),1)</f>
        <v>46204</v>
      </c>
      <c r="M1534" s="31" t="n">
        <f aca="false">WEEKDAY(B1534,2)</f>
        <v>3</v>
      </c>
      <c r="N1534" s="31" t="str">
        <f aca="false">IF(G1534&lt;=INDEX(Assumptions!$B$15:$B$18,MATCH(E1534,Assumptions!$A$15:$A$18,0)),"Yes","No")</f>
        <v>Yes</v>
      </c>
      <c r="O1534" s="31" t="str">
        <f aca="false">IF(H1534="","Open",IF(H1534&lt;=INDEX(Assumptions!$C$15:$C$18,MATCH(E1534,Assumptions!$A$15:$A$18,0)),"Yes","No"))</f>
        <v>Yes</v>
      </c>
    </row>
    <row r="1535" customFormat="false" ht="15" hidden="false" customHeight="false" outlineLevel="0" collapsed="false">
      <c r="A1535" s="31" t="s">
        <v>1685</v>
      </c>
      <c r="B1535" s="44" t="n">
        <v>46225</v>
      </c>
      <c r="C1535" s="31" t="s">
        <v>58</v>
      </c>
      <c r="D1535" s="31" t="s">
        <v>68</v>
      </c>
      <c r="E1535" s="31" t="s">
        <v>51</v>
      </c>
      <c r="F1535" s="31" t="s">
        <v>131</v>
      </c>
      <c r="G1535" s="31" t="n">
        <v>6</v>
      </c>
      <c r="H1535" s="41" t="n">
        <v>6.2</v>
      </c>
      <c r="I1535" s="31" t="s">
        <v>149</v>
      </c>
      <c r="J1535" s="31" t="n">
        <v>4</v>
      </c>
      <c r="K1535" s="31" t="s">
        <v>150</v>
      </c>
      <c r="L1535" s="45" t="n">
        <f aca="false">DATE(YEAR(B1535),MONTH(B1535),1)</f>
        <v>46204</v>
      </c>
      <c r="M1535" s="31" t="n">
        <f aca="false">WEEKDAY(B1535,2)</f>
        <v>3</v>
      </c>
      <c r="N1535" s="31" t="str">
        <f aca="false">IF(G1535&lt;=INDEX(Assumptions!$B$15:$B$18,MATCH(E1535,Assumptions!$A$15:$A$18,0)),"Yes","No")</f>
        <v>Yes</v>
      </c>
      <c r="O1535" s="31" t="str">
        <f aca="false">IF(H1535="","Open",IF(H1535&lt;=INDEX(Assumptions!$C$15:$C$18,MATCH(E1535,Assumptions!$A$15:$A$18,0)),"Yes","No"))</f>
        <v>Yes</v>
      </c>
    </row>
    <row r="1536" customFormat="false" ht="15" hidden="false" customHeight="false" outlineLevel="0" collapsed="false">
      <c r="A1536" s="31" t="s">
        <v>1686</v>
      </c>
      <c r="B1536" s="44" t="n">
        <v>46225</v>
      </c>
      <c r="C1536" s="31" t="s">
        <v>58</v>
      </c>
      <c r="D1536" s="31" t="s">
        <v>66</v>
      </c>
      <c r="E1536" s="31" t="s">
        <v>52</v>
      </c>
      <c r="F1536" s="31" t="s">
        <v>117</v>
      </c>
      <c r="G1536" s="31" t="n">
        <v>6</v>
      </c>
      <c r="H1536" s="41" t="n">
        <v>5.7</v>
      </c>
      <c r="I1536" s="31" t="s">
        <v>149</v>
      </c>
      <c r="J1536" s="31" t="n">
        <v>5</v>
      </c>
      <c r="K1536" s="31" t="s">
        <v>150</v>
      </c>
      <c r="L1536" s="45" t="n">
        <f aca="false">DATE(YEAR(B1536),MONTH(B1536),1)</f>
        <v>46204</v>
      </c>
      <c r="M1536" s="31" t="n">
        <f aca="false">WEEKDAY(B1536,2)</f>
        <v>3</v>
      </c>
      <c r="N1536" s="31" t="str">
        <f aca="false">IF(G1536&lt;=INDEX(Assumptions!$B$15:$B$18,MATCH(E1536,Assumptions!$A$15:$A$18,0)),"Yes","No")</f>
        <v>Yes</v>
      </c>
      <c r="O1536" s="31" t="str">
        <f aca="false">IF(H1536="","Open",IF(H1536&lt;=INDEX(Assumptions!$C$15:$C$18,MATCH(E1536,Assumptions!$A$15:$A$18,0)),"Yes","No"))</f>
        <v>Yes</v>
      </c>
    </row>
    <row r="1537" customFormat="false" ht="15" hidden="false" customHeight="false" outlineLevel="0" collapsed="false">
      <c r="A1537" s="31" t="s">
        <v>1687</v>
      </c>
      <c r="B1537" s="44" t="n">
        <v>46225</v>
      </c>
      <c r="C1537" s="31" t="s">
        <v>60</v>
      </c>
      <c r="D1537" s="31" t="s">
        <v>65</v>
      </c>
      <c r="E1537" s="31" t="s">
        <v>51</v>
      </c>
      <c r="F1537" s="31" t="s">
        <v>130</v>
      </c>
      <c r="G1537" s="31" t="n">
        <v>1</v>
      </c>
      <c r="H1537" s="41" t="n">
        <v>13.7</v>
      </c>
      <c r="I1537" s="31" t="s">
        <v>64</v>
      </c>
      <c r="J1537" s="31"/>
      <c r="K1537" s="31" t="s">
        <v>150</v>
      </c>
      <c r="L1537" s="45" t="n">
        <f aca="false">DATE(YEAR(B1537),MONTH(B1537),1)</f>
        <v>46204</v>
      </c>
      <c r="M1537" s="31" t="n">
        <f aca="false">WEEKDAY(B1537,2)</f>
        <v>3</v>
      </c>
      <c r="N1537" s="31" t="str">
        <f aca="false">IF(G1537&lt;=INDEX(Assumptions!$B$15:$B$18,MATCH(E1537,Assumptions!$A$15:$A$18,0)),"Yes","No")</f>
        <v>Yes</v>
      </c>
      <c r="O1537" s="31" t="str">
        <f aca="false">IF(H1537="","Open",IF(H1537&lt;=INDEX(Assumptions!$C$15:$C$18,MATCH(E1537,Assumptions!$A$15:$A$18,0)),"Yes","No"))</f>
        <v>Yes</v>
      </c>
    </row>
    <row r="1538" customFormat="false" ht="15" hidden="false" customHeight="false" outlineLevel="0" collapsed="false">
      <c r="A1538" s="31" t="s">
        <v>1688</v>
      </c>
      <c r="B1538" s="44" t="n">
        <v>46225</v>
      </c>
      <c r="C1538" s="31" t="s">
        <v>57</v>
      </c>
      <c r="D1538" s="31" t="s">
        <v>67</v>
      </c>
      <c r="E1538" s="31" t="s">
        <v>50</v>
      </c>
      <c r="F1538" s="31" t="s">
        <v>136</v>
      </c>
      <c r="G1538" s="31" t="n">
        <v>2</v>
      </c>
      <c r="H1538" s="41" t="n">
        <v>5.7</v>
      </c>
      <c r="I1538" s="31" t="s">
        <v>149</v>
      </c>
      <c r="J1538" s="31" t="n">
        <v>5</v>
      </c>
      <c r="K1538" s="31" t="s">
        <v>150</v>
      </c>
      <c r="L1538" s="45" t="n">
        <f aca="false">DATE(YEAR(B1538),MONTH(B1538),1)</f>
        <v>46204</v>
      </c>
      <c r="M1538" s="31" t="n">
        <f aca="false">WEEKDAY(B1538,2)</f>
        <v>3</v>
      </c>
      <c r="N1538" s="31" t="str">
        <f aca="false">IF(G1538&lt;=INDEX(Assumptions!$B$15:$B$18,MATCH(E1538,Assumptions!$A$15:$A$18,0)),"Yes","No")</f>
        <v>Yes</v>
      </c>
      <c r="O1538" s="31" t="str">
        <f aca="false">IF(H1538="","Open",IF(H1538&lt;=INDEX(Assumptions!$C$15:$C$18,MATCH(E1538,Assumptions!$A$15:$A$18,0)),"Yes","No"))</f>
        <v>Yes</v>
      </c>
    </row>
    <row r="1539" customFormat="false" ht="15" hidden="false" customHeight="false" outlineLevel="0" collapsed="false">
      <c r="A1539" s="31" t="s">
        <v>1689</v>
      </c>
      <c r="B1539" s="44" t="n">
        <v>46225</v>
      </c>
      <c r="C1539" s="31" t="s">
        <v>58</v>
      </c>
      <c r="D1539" s="31" t="s">
        <v>68</v>
      </c>
      <c r="E1539" s="31" t="s">
        <v>51</v>
      </c>
      <c r="F1539" s="31" t="s">
        <v>117</v>
      </c>
      <c r="G1539" s="31" t="n">
        <v>21</v>
      </c>
      <c r="H1539" s="41" t="n">
        <v>2.2</v>
      </c>
      <c r="I1539" s="31" t="s">
        <v>64</v>
      </c>
      <c r="J1539" s="31"/>
      <c r="K1539" s="31" t="s">
        <v>150</v>
      </c>
      <c r="L1539" s="45" t="n">
        <f aca="false">DATE(YEAR(B1539),MONTH(B1539),1)</f>
        <v>46204</v>
      </c>
      <c r="M1539" s="31" t="n">
        <f aca="false">WEEKDAY(B1539,2)</f>
        <v>3</v>
      </c>
      <c r="N1539" s="31" t="str">
        <f aca="false">IF(G1539&lt;=INDEX(Assumptions!$B$15:$B$18,MATCH(E1539,Assumptions!$A$15:$A$18,0)),"Yes","No")</f>
        <v>Yes</v>
      </c>
      <c r="O1539" s="31" t="str">
        <f aca="false">IF(H1539="","Open",IF(H1539&lt;=INDEX(Assumptions!$C$15:$C$18,MATCH(E1539,Assumptions!$A$15:$A$18,0)),"Yes","No"))</f>
        <v>Yes</v>
      </c>
    </row>
    <row r="1540" customFormat="false" ht="15" hidden="false" customHeight="false" outlineLevel="0" collapsed="false">
      <c r="A1540" s="31" t="s">
        <v>1690</v>
      </c>
      <c r="B1540" s="44" t="n">
        <v>46225</v>
      </c>
      <c r="C1540" s="31" t="s">
        <v>59</v>
      </c>
      <c r="D1540" s="31" t="s">
        <v>65</v>
      </c>
      <c r="E1540" s="31" t="s">
        <v>51</v>
      </c>
      <c r="F1540" s="31" t="s">
        <v>122</v>
      </c>
      <c r="G1540" s="31" t="n">
        <v>122</v>
      </c>
      <c r="H1540" s="41" t="n">
        <v>5.7</v>
      </c>
      <c r="I1540" s="31" t="s">
        <v>149</v>
      </c>
      <c r="J1540" s="31"/>
      <c r="K1540" s="31" t="s">
        <v>150</v>
      </c>
      <c r="L1540" s="45" t="n">
        <f aca="false">DATE(YEAR(B1540),MONTH(B1540),1)</f>
        <v>46204</v>
      </c>
      <c r="M1540" s="31" t="n">
        <f aca="false">WEEKDAY(B1540,2)</f>
        <v>3</v>
      </c>
      <c r="N1540" s="31" t="str">
        <f aca="false">IF(G1540&lt;=INDEX(Assumptions!$B$15:$B$18,MATCH(E1540,Assumptions!$A$15:$A$18,0)),"Yes","No")</f>
        <v>No</v>
      </c>
      <c r="O1540" s="31" t="str">
        <f aca="false">IF(H1540="","Open",IF(H1540&lt;=INDEX(Assumptions!$C$15:$C$18,MATCH(E1540,Assumptions!$A$15:$A$18,0)),"Yes","No"))</f>
        <v>Yes</v>
      </c>
    </row>
    <row r="1541" customFormat="false" ht="15" hidden="false" customHeight="false" outlineLevel="0" collapsed="false">
      <c r="A1541" s="31" t="s">
        <v>1691</v>
      </c>
      <c r="B1541" s="44" t="n">
        <v>46225</v>
      </c>
      <c r="C1541" s="31" t="s">
        <v>59</v>
      </c>
      <c r="D1541" s="31" t="s">
        <v>65</v>
      </c>
      <c r="E1541" s="31" t="s">
        <v>52</v>
      </c>
      <c r="F1541" s="31" t="s">
        <v>134</v>
      </c>
      <c r="G1541" s="31" t="n">
        <v>260</v>
      </c>
      <c r="H1541" s="41" t="n">
        <v>43.7</v>
      </c>
      <c r="I1541" s="31" t="s">
        <v>149</v>
      </c>
      <c r="J1541" s="31" t="n">
        <v>4</v>
      </c>
      <c r="K1541" s="31" t="s">
        <v>150</v>
      </c>
      <c r="L1541" s="45" t="n">
        <f aca="false">DATE(YEAR(B1541),MONTH(B1541),1)</f>
        <v>46204</v>
      </c>
      <c r="M1541" s="31" t="n">
        <f aca="false">WEEKDAY(B1541,2)</f>
        <v>3</v>
      </c>
      <c r="N1541" s="31" t="str">
        <f aca="false">IF(G1541&lt;=INDEX(Assumptions!$B$15:$B$18,MATCH(E1541,Assumptions!$A$15:$A$18,0)),"Yes","No")</f>
        <v>No</v>
      </c>
      <c r="O1541" s="31" t="str">
        <f aca="false">IF(H1541="","Open",IF(H1541&lt;=INDEX(Assumptions!$C$15:$C$18,MATCH(E1541,Assumptions!$A$15:$A$18,0)),"Yes","No"))</f>
        <v>Yes</v>
      </c>
    </row>
    <row r="1542" customFormat="false" ht="15" hidden="false" customHeight="false" outlineLevel="0" collapsed="false">
      <c r="A1542" s="31" t="s">
        <v>1692</v>
      </c>
      <c r="B1542" s="44" t="n">
        <v>46225</v>
      </c>
      <c r="C1542" s="31" t="s">
        <v>58</v>
      </c>
      <c r="D1542" s="31" t="s">
        <v>67</v>
      </c>
      <c r="E1542" s="31" t="s">
        <v>52</v>
      </c>
      <c r="F1542" s="31" t="s">
        <v>133</v>
      </c>
      <c r="G1542" s="31" t="n">
        <v>21</v>
      </c>
      <c r="H1542" s="41" t="n">
        <v>17.6</v>
      </c>
      <c r="I1542" s="31" t="s">
        <v>149</v>
      </c>
      <c r="J1542" s="31"/>
      <c r="K1542" s="31" t="s">
        <v>150</v>
      </c>
      <c r="L1542" s="45" t="n">
        <f aca="false">DATE(YEAR(B1542),MONTH(B1542),1)</f>
        <v>46204</v>
      </c>
      <c r="M1542" s="31" t="n">
        <f aca="false">WEEKDAY(B1542,2)</f>
        <v>3</v>
      </c>
      <c r="N1542" s="31" t="str">
        <f aca="false">IF(G1542&lt;=INDEX(Assumptions!$B$15:$B$18,MATCH(E1542,Assumptions!$A$15:$A$18,0)),"Yes","No")</f>
        <v>Yes</v>
      </c>
      <c r="O1542" s="31" t="str">
        <f aca="false">IF(H1542="","Open",IF(H1542&lt;=INDEX(Assumptions!$C$15:$C$18,MATCH(E1542,Assumptions!$A$15:$A$18,0)),"Yes","No"))</f>
        <v>Yes</v>
      </c>
    </row>
    <row r="1543" customFormat="false" ht="15" hidden="false" customHeight="false" outlineLevel="0" collapsed="false">
      <c r="A1543" s="31" t="s">
        <v>1693</v>
      </c>
      <c r="B1543" s="44" t="n">
        <v>46225</v>
      </c>
      <c r="C1543" s="31" t="s">
        <v>57</v>
      </c>
      <c r="D1543" s="31" t="s">
        <v>67</v>
      </c>
      <c r="E1543" s="31" t="s">
        <v>52</v>
      </c>
      <c r="F1543" s="31" t="s">
        <v>137</v>
      </c>
      <c r="G1543" s="31" t="n">
        <v>3</v>
      </c>
      <c r="H1543" s="41" t="n">
        <v>85.3</v>
      </c>
      <c r="I1543" s="31" t="s">
        <v>149</v>
      </c>
      <c r="J1543" s="31" t="n">
        <v>4</v>
      </c>
      <c r="K1543" s="31" t="s">
        <v>150</v>
      </c>
      <c r="L1543" s="45" t="n">
        <f aca="false">DATE(YEAR(B1543),MONTH(B1543),1)</f>
        <v>46204</v>
      </c>
      <c r="M1543" s="31" t="n">
        <f aca="false">WEEKDAY(B1543,2)</f>
        <v>3</v>
      </c>
      <c r="N1543" s="31" t="str">
        <f aca="false">IF(G1543&lt;=INDEX(Assumptions!$B$15:$B$18,MATCH(E1543,Assumptions!$A$15:$A$18,0)),"Yes","No")</f>
        <v>Yes</v>
      </c>
      <c r="O1543" s="31" t="str">
        <f aca="false">IF(H1543="","Open",IF(H1543&lt;=INDEX(Assumptions!$C$15:$C$18,MATCH(E1543,Assumptions!$A$15:$A$18,0)),"Yes","No"))</f>
        <v>No</v>
      </c>
    </row>
    <row r="1544" customFormat="false" ht="15" hidden="false" customHeight="false" outlineLevel="0" collapsed="false">
      <c r="A1544" s="31" t="s">
        <v>1694</v>
      </c>
      <c r="B1544" s="44" t="n">
        <v>46225</v>
      </c>
      <c r="C1544" s="31" t="s">
        <v>60</v>
      </c>
      <c r="D1544" s="31" t="s">
        <v>67</v>
      </c>
      <c r="E1544" s="31" t="s">
        <v>52</v>
      </c>
      <c r="F1544" s="31" t="s">
        <v>122</v>
      </c>
      <c r="G1544" s="31" t="n">
        <v>2</v>
      </c>
      <c r="H1544" s="41" t="n">
        <v>248.1</v>
      </c>
      <c r="I1544" s="31" t="s">
        <v>149</v>
      </c>
      <c r="J1544" s="31"/>
      <c r="K1544" s="31" t="s">
        <v>150</v>
      </c>
      <c r="L1544" s="45" t="n">
        <f aca="false">DATE(YEAR(B1544),MONTH(B1544),1)</f>
        <v>46204</v>
      </c>
      <c r="M1544" s="31" t="n">
        <f aca="false">WEEKDAY(B1544,2)</f>
        <v>3</v>
      </c>
      <c r="N1544" s="31" t="str">
        <f aca="false">IF(G1544&lt;=INDEX(Assumptions!$B$15:$B$18,MATCH(E1544,Assumptions!$A$15:$A$18,0)),"Yes","No")</f>
        <v>Yes</v>
      </c>
      <c r="O1544" s="31" t="str">
        <f aca="false">IF(H1544="","Open",IF(H1544&lt;=INDEX(Assumptions!$C$15:$C$18,MATCH(E1544,Assumptions!$A$15:$A$18,0)),"Yes","No"))</f>
        <v>No</v>
      </c>
    </row>
    <row r="1545" customFormat="false" ht="15" hidden="false" customHeight="false" outlineLevel="0" collapsed="false">
      <c r="A1545" s="31" t="s">
        <v>1695</v>
      </c>
      <c r="B1545" s="44" t="n">
        <v>46225</v>
      </c>
      <c r="C1545" s="31" t="s">
        <v>58</v>
      </c>
      <c r="D1545" s="31" t="s">
        <v>67</v>
      </c>
      <c r="E1545" s="31" t="s">
        <v>52</v>
      </c>
      <c r="F1545" s="31" t="s">
        <v>120</v>
      </c>
      <c r="G1545" s="31" t="n">
        <v>23</v>
      </c>
      <c r="H1545" s="41" t="n">
        <v>59.4</v>
      </c>
      <c r="I1545" s="31" t="s">
        <v>149</v>
      </c>
      <c r="J1545" s="31" t="n">
        <v>5</v>
      </c>
      <c r="K1545" s="31" t="s">
        <v>150</v>
      </c>
      <c r="L1545" s="45" t="n">
        <f aca="false">DATE(YEAR(B1545),MONTH(B1545),1)</f>
        <v>46204</v>
      </c>
      <c r="M1545" s="31" t="n">
        <f aca="false">WEEKDAY(B1545,2)</f>
        <v>3</v>
      </c>
      <c r="N1545" s="31" t="str">
        <f aca="false">IF(G1545&lt;=INDEX(Assumptions!$B$15:$B$18,MATCH(E1545,Assumptions!$A$15:$A$18,0)),"Yes","No")</f>
        <v>Yes</v>
      </c>
      <c r="O1545" s="31" t="str">
        <f aca="false">IF(H1545="","Open",IF(H1545&lt;=INDEX(Assumptions!$C$15:$C$18,MATCH(E1545,Assumptions!$A$15:$A$18,0)),"Yes","No"))</f>
        <v>Yes</v>
      </c>
    </row>
    <row r="1546" customFormat="false" ht="15" hidden="false" customHeight="false" outlineLevel="0" collapsed="false">
      <c r="A1546" s="31" t="s">
        <v>1696</v>
      </c>
      <c r="B1546" s="44" t="n">
        <v>46225</v>
      </c>
      <c r="C1546" s="31" t="s">
        <v>60</v>
      </c>
      <c r="D1546" s="31" t="s">
        <v>66</v>
      </c>
      <c r="E1546" s="31" t="s">
        <v>52</v>
      </c>
      <c r="F1546" s="31" t="s">
        <v>124</v>
      </c>
      <c r="G1546" s="31" t="n">
        <v>1</v>
      </c>
      <c r="H1546" s="41" t="n">
        <v>19.4</v>
      </c>
      <c r="I1546" s="31" t="s">
        <v>149</v>
      </c>
      <c r="J1546" s="31"/>
      <c r="K1546" s="31" t="s">
        <v>153</v>
      </c>
      <c r="L1546" s="45" t="n">
        <f aca="false">DATE(YEAR(B1546),MONTH(B1546),1)</f>
        <v>46204</v>
      </c>
      <c r="M1546" s="31" t="n">
        <f aca="false">WEEKDAY(B1546,2)</f>
        <v>3</v>
      </c>
      <c r="N1546" s="31" t="str">
        <f aca="false">IF(G1546&lt;=INDEX(Assumptions!$B$15:$B$18,MATCH(E1546,Assumptions!$A$15:$A$18,0)),"Yes","No")</f>
        <v>Yes</v>
      </c>
      <c r="O1546" s="31" t="str">
        <f aca="false">IF(H1546="","Open",IF(H1546&lt;=INDEX(Assumptions!$C$15:$C$18,MATCH(E1546,Assumptions!$A$15:$A$18,0)),"Yes","No"))</f>
        <v>Yes</v>
      </c>
    </row>
    <row r="1547" customFormat="false" ht="15" hidden="false" customHeight="false" outlineLevel="0" collapsed="false">
      <c r="A1547" s="31" t="s">
        <v>1697</v>
      </c>
      <c r="B1547" s="44" t="n">
        <v>46225</v>
      </c>
      <c r="C1547" s="31" t="s">
        <v>58</v>
      </c>
      <c r="D1547" s="31" t="s">
        <v>67</v>
      </c>
      <c r="E1547" s="31" t="s">
        <v>52</v>
      </c>
      <c r="F1547" s="31" t="s">
        <v>128</v>
      </c>
      <c r="G1547" s="31" t="n">
        <v>6</v>
      </c>
      <c r="H1547" s="41" t="n">
        <v>121.4</v>
      </c>
      <c r="I1547" s="31" t="s">
        <v>149</v>
      </c>
      <c r="J1547" s="31" t="n">
        <v>3</v>
      </c>
      <c r="K1547" s="31" t="s">
        <v>150</v>
      </c>
      <c r="L1547" s="45" t="n">
        <f aca="false">DATE(YEAR(B1547),MONTH(B1547),1)</f>
        <v>46204</v>
      </c>
      <c r="M1547" s="31" t="n">
        <f aca="false">WEEKDAY(B1547,2)</f>
        <v>3</v>
      </c>
      <c r="N1547" s="31" t="str">
        <f aca="false">IF(G1547&lt;=INDEX(Assumptions!$B$15:$B$18,MATCH(E1547,Assumptions!$A$15:$A$18,0)),"Yes","No")</f>
        <v>Yes</v>
      </c>
      <c r="O1547" s="31" t="str">
        <f aca="false">IF(H1547="","Open",IF(H1547&lt;=INDEX(Assumptions!$C$15:$C$18,MATCH(E1547,Assumptions!$A$15:$A$18,0)),"Yes","No"))</f>
        <v>No</v>
      </c>
    </row>
    <row r="1548" customFormat="false" ht="15" hidden="false" customHeight="false" outlineLevel="0" collapsed="false">
      <c r="A1548" s="31" t="s">
        <v>1698</v>
      </c>
      <c r="B1548" s="44" t="n">
        <v>46225</v>
      </c>
      <c r="C1548" s="31" t="s">
        <v>58</v>
      </c>
      <c r="D1548" s="31" t="s">
        <v>67</v>
      </c>
      <c r="E1548" s="31" t="s">
        <v>52</v>
      </c>
      <c r="F1548" s="31" t="s">
        <v>128</v>
      </c>
      <c r="G1548" s="31" t="n">
        <v>12</v>
      </c>
      <c r="H1548" s="41" t="n">
        <v>26</v>
      </c>
      <c r="I1548" s="31" t="s">
        <v>149</v>
      </c>
      <c r="J1548" s="31" t="n">
        <v>4</v>
      </c>
      <c r="K1548" s="31" t="s">
        <v>150</v>
      </c>
      <c r="L1548" s="45" t="n">
        <f aca="false">DATE(YEAR(B1548),MONTH(B1548),1)</f>
        <v>46204</v>
      </c>
      <c r="M1548" s="31" t="n">
        <f aca="false">WEEKDAY(B1548,2)</f>
        <v>3</v>
      </c>
      <c r="N1548" s="31" t="str">
        <f aca="false">IF(G1548&lt;=INDEX(Assumptions!$B$15:$B$18,MATCH(E1548,Assumptions!$A$15:$A$18,0)),"Yes","No")</f>
        <v>Yes</v>
      </c>
      <c r="O1548" s="31" t="str">
        <f aca="false">IF(H1548="","Open",IF(H1548&lt;=INDEX(Assumptions!$C$15:$C$18,MATCH(E1548,Assumptions!$A$15:$A$18,0)),"Yes","No"))</f>
        <v>Yes</v>
      </c>
    </row>
    <row r="1549" customFormat="false" ht="15" hidden="false" customHeight="false" outlineLevel="0" collapsed="false">
      <c r="A1549" s="31" t="s">
        <v>1699</v>
      </c>
      <c r="B1549" s="44" t="n">
        <v>46225</v>
      </c>
      <c r="C1549" s="31" t="s">
        <v>60</v>
      </c>
      <c r="D1549" s="31" t="s">
        <v>65</v>
      </c>
      <c r="E1549" s="31" t="s">
        <v>51</v>
      </c>
      <c r="F1549" s="31" t="s">
        <v>117</v>
      </c>
      <c r="G1549" s="31" t="n">
        <v>3</v>
      </c>
      <c r="H1549" s="41" t="n">
        <v>0.5</v>
      </c>
      <c r="I1549" s="31" t="s">
        <v>149</v>
      </c>
      <c r="J1549" s="31"/>
      <c r="K1549" s="31" t="s">
        <v>150</v>
      </c>
      <c r="L1549" s="45" t="n">
        <f aca="false">DATE(YEAR(B1549),MONTH(B1549),1)</f>
        <v>46204</v>
      </c>
      <c r="M1549" s="31" t="n">
        <f aca="false">WEEKDAY(B1549,2)</f>
        <v>3</v>
      </c>
      <c r="N1549" s="31" t="str">
        <f aca="false">IF(G1549&lt;=INDEX(Assumptions!$B$15:$B$18,MATCH(E1549,Assumptions!$A$15:$A$18,0)),"Yes","No")</f>
        <v>Yes</v>
      </c>
      <c r="O1549" s="31" t="str">
        <f aca="false">IF(H1549="","Open",IF(H1549&lt;=INDEX(Assumptions!$C$15:$C$18,MATCH(E1549,Assumptions!$A$15:$A$18,0)),"Yes","No"))</f>
        <v>Yes</v>
      </c>
    </row>
    <row r="1550" customFormat="false" ht="15" hidden="false" customHeight="false" outlineLevel="0" collapsed="false">
      <c r="A1550" s="31" t="s">
        <v>1700</v>
      </c>
      <c r="B1550" s="44" t="n">
        <v>46225</v>
      </c>
      <c r="C1550" s="31" t="s">
        <v>58</v>
      </c>
      <c r="D1550" s="31" t="s">
        <v>65</v>
      </c>
      <c r="E1550" s="31" t="s">
        <v>52</v>
      </c>
      <c r="F1550" s="31" t="s">
        <v>129</v>
      </c>
      <c r="G1550" s="31" t="n">
        <v>3</v>
      </c>
      <c r="H1550" s="41" t="n">
        <v>9.8</v>
      </c>
      <c r="I1550" s="31" t="s">
        <v>149</v>
      </c>
      <c r="J1550" s="31" t="n">
        <v>5</v>
      </c>
      <c r="K1550" s="31" t="s">
        <v>150</v>
      </c>
      <c r="L1550" s="45" t="n">
        <f aca="false">DATE(YEAR(B1550),MONTH(B1550),1)</f>
        <v>46204</v>
      </c>
      <c r="M1550" s="31" t="n">
        <f aca="false">WEEKDAY(B1550,2)</f>
        <v>3</v>
      </c>
      <c r="N1550" s="31" t="str">
        <f aca="false">IF(G1550&lt;=INDEX(Assumptions!$B$15:$B$18,MATCH(E1550,Assumptions!$A$15:$A$18,0)),"Yes","No")</f>
        <v>Yes</v>
      </c>
      <c r="O1550" s="31" t="str">
        <f aca="false">IF(H1550="","Open",IF(H1550&lt;=INDEX(Assumptions!$C$15:$C$18,MATCH(E1550,Assumptions!$A$15:$A$18,0)),"Yes","No"))</f>
        <v>Yes</v>
      </c>
    </row>
    <row r="1551" customFormat="false" ht="15" hidden="false" customHeight="false" outlineLevel="0" collapsed="false">
      <c r="A1551" s="31" t="s">
        <v>1701</v>
      </c>
      <c r="B1551" s="44" t="n">
        <v>46225</v>
      </c>
      <c r="C1551" s="31" t="s">
        <v>59</v>
      </c>
      <c r="D1551" s="31" t="s">
        <v>65</v>
      </c>
      <c r="E1551" s="31" t="s">
        <v>50</v>
      </c>
      <c r="F1551" s="31" t="s">
        <v>131</v>
      </c>
      <c r="G1551" s="31" t="n">
        <v>27</v>
      </c>
      <c r="H1551" s="41" t="n">
        <v>4.7</v>
      </c>
      <c r="I1551" s="31" t="s">
        <v>149</v>
      </c>
      <c r="J1551" s="31" t="n">
        <v>5</v>
      </c>
      <c r="K1551" s="31" t="s">
        <v>150</v>
      </c>
      <c r="L1551" s="45" t="n">
        <f aca="false">DATE(YEAR(B1551),MONTH(B1551),1)</f>
        <v>46204</v>
      </c>
      <c r="M1551" s="31" t="n">
        <f aca="false">WEEKDAY(B1551,2)</f>
        <v>3</v>
      </c>
      <c r="N1551" s="31" t="str">
        <f aca="false">IF(G1551&lt;=INDEX(Assumptions!$B$15:$B$18,MATCH(E1551,Assumptions!$A$15:$A$18,0)),"Yes","No")</f>
        <v>Yes</v>
      </c>
      <c r="O1551" s="31" t="str">
        <f aca="false">IF(H1551="","Open",IF(H1551&lt;=INDEX(Assumptions!$C$15:$C$18,MATCH(E1551,Assumptions!$A$15:$A$18,0)),"Yes","No"))</f>
        <v>Yes</v>
      </c>
    </row>
    <row r="1552" customFormat="false" ht="15" hidden="false" customHeight="false" outlineLevel="0" collapsed="false">
      <c r="A1552" s="31" t="s">
        <v>1702</v>
      </c>
      <c r="B1552" s="44" t="n">
        <v>46225</v>
      </c>
      <c r="C1552" s="31" t="s">
        <v>57</v>
      </c>
      <c r="D1552" s="31" t="s">
        <v>66</v>
      </c>
      <c r="E1552" s="31" t="s">
        <v>51</v>
      </c>
      <c r="F1552" s="31" t="s">
        <v>120</v>
      </c>
      <c r="G1552" s="31" t="n">
        <v>20</v>
      </c>
      <c r="H1552" s="41" t="n">
        <v>12.1</v>
      </c>
      <c r="I1552" s="31" t="s">
        <v>149</v>
      </c>
      <c r="J1552" s="31" t="n">
        <v>4</v>
      </c>
      <c r="K1552" s="31" t="s">
        <v>150</v>
      </c>
      <c r="L1552" s="45" t="n">
        <f aca="false">DATE(YEAR(B1552),MONTH(B1552),1)</f>
        <v>46204</v>
      </c>
      <c r="M1552" s="31" t="n">
        <f aca="false">WEEKDAY(B1552,2)</f>
        <v>3</v>
      </c>
      <c r="N1552" s="31" t="str">
        <f aca="false">IF(G1552&lt;=INDEX(Assumptions!$B$15:$B$18,MATCH(E1552,Assumptions!$A$15:$A$18,0)),"Yes","No")</f>
        <v>Yes</v>
      </c>
      <c r="O1552" s="31" t="str">
        <f aca="false">IF(H1552="","Open",IF(H1552&lt;=INDEX(Assumptions!$C$15:$C$18,MATCH(E1552,Assumptions!$A$15:$A$18,0)),"Yes","No"))</f>
        <v>Yes</v>
      </c>
    </row>
    <row r="1553" customFormat="false" ht="15" hidden="false" customHeight="false" outlineLevel="0" collapsed="false">
      <c r="A1553" s="31" t="s">
        <v>1703</v>
      </c>
      <c r="B1553" s="44" t="n">
        <v>46225</v>
      </c>
      <c r="C1553" s="31" t="s">
        <v>60</v>
      </c>
      <c r="D1553" s="31" t="s">
        <v>67</v>
      </c>
      <c r="E1553" s="31" t="s">
        <v>50</v>
      </c>
      <c r="F1553" s="31" t="s">
        <v>127</v>
      </c>
      <c r="G1553" s="31" t="n">
        <v>1</v>
      </c>
      <c r="H1553" s="41" t="n">
        <v>2.1</v>
      </c>
      <c r="I1553" s="31" t="s">
        <v>149</v>
      </c>
      <c r="J1553" s="31"/>
      <c r="K1553" s="31" t="s">
        <v>150</v>
      </c>
      <c r="L1553" s="45" t="n">
        <f aca="false">DATE(YEAR(B1553),MONTH(B1553),1)</f>
        <v>46204</v>
      </c>
      <c r="M1553" s="31" t="n">
        <f aca="false">WEEKDAY(B1553,2)</f>
        <v>3</v>
      </c>
      <c r="N1553" s="31" t="str">
        <f aca="false">IF(G1553&lt;=INDEX(Assumptions!$B$15:$B$18,MATCH(E1553,Assumptions!$A$15:$A$18,0)),"Yes","No")</f>
        <v>Yes</v>
      </c>
      <c r="O1553" s="31" t="str">
        <f aca="false">IF(H1553="","Open",IF(H1553&lt;=INDEX(Assumptions!$C$15:$C$18,MATCH(E1553,Assumptions!$A$15:$A$18,0)),"Yes","No"))</f>
        <v>Yes</v>
      </c>
    </row>
    <row r="1554" customFormat="false" ht="15" hidden="false" customHeight="false" outlineLevel="0" collapsed="false">
      <c r="A1554" s="31" t="s">
        <v>1704</v>
      </c>
      <c r="B1554" s="44" t="n">
        <v>46225</v>
      </c>
      <c r="C1554" s="31" t="s">
        <v>58</v>
      </c>
      <c r="D1554" s="31" t="s">
        <v>65</v>
      </c>
      <c r="E1554" s="31" t="s">
        <v>50</v>
      </c>
      <c r="F1554" s="31" t="s">
        <v>129</v>
      </c>
      <c r="G1554" s="31" t="n">
        <v>11</v>
      </c>
      <c r="H1554" s="41" t="n">
        <v>5.1</v>
      </c>
      <c r="I1554" s="31" t="s">
        <v>149</v>
      </c>
      <c r="J1554" s="31"/>
      <c r="K1554" s="31" t="s">
        <v>150</v>
      </c>
      <c r="L1554" s="45" t="n">
        <f aca="false">DATE(YEAR(B1554),MONTH(B1554),1)</f>
        <v>46204</v>
      </c>
      <c r="M1554" s="31" t="n">
        <f aca="false">WEEKDAY(B1554,2)</f>
        <v>3</v>
      </c>
      <c r="N1554" s="31" t="str">
        <f aca="false">IF(G1554&lt;=INDEX(Assumptions!$B$15:$B$18,MATCH(E1554,Assumptions!$A$15:$A$18,0)),"Yes","No")</f>
        <v>Yes</v>
      </c>
      <c r="O1554" s="31" t="str">
        <f aca="false">IF(H1554="","Open",IF(H1554&lt;=INDEX(Assumptions!$C$15:$C$18,MATCH(E1554,Assumptions!$A$15:$A$18,0)),"Yes","No"))</f>
        <v>Yes</v>
      </c>
    </row>
    <row r="1555" customFormat="false" ht="15" hidden="false" customHeight="false" outlineLevel="0" collapsed="false">
      <c r="A1555" s="31" t="s">
        <v>1705</v>
      </c>
      <c r="B1555" s="44" t="n">
        <v>46225</v>
      </c>
      <c r="C1555" s="31" t="s">
        <v>57</v>
      </c>
      <c r="D1555" s="31" t="s">
        <v>68</v>
      </c>
      <c r="E1555" s="31" t="s">
        <v>52</v>
      </c>
      <c r="F1555" s="31" t="s">
        <v>137</v>
      </c>
      <c r="G1555" s="31" t="n">
        <v>1</v>
      </c>
      <c r="H1555" s="41" t="n">
        <v>25.4</v>
      </c>
      <c r="I1555" s="31" t="s">
        <v>149</v>
      </c>
      <c r="J1555" s="31"/>
      <c r="K1555" s="31" t="s">
        <v>150</v>
      </c>
      <c r="L1555" s="45" t="n">
        <f aca="false">DATE(YEAR(B1555),MONTH(B1555),1)</f>
        <v>46204</v>
      </c>
      <c r="M1555" s="31" t="n">
        <f aca="false">WEEKDAY(B1555,2)</f>
        <v>3</v>
      </c>
      <c r="N1555" s="31" t="str">
        <f aca="false">IF(G1555&lt;=INDEX(Assumptions!$B$15:$B$18,MATCH(E1555,Assumptions!$A$15:$A$18,0)),"Yes","No")</f>
        <v>Yes</v>
      </c>
      <c r="O1555" s="31" t="str">
        <f aca="false">IF(H1555="","Open",IF(H1555&lt;=INDEX(Assumptions!$C$15:$C$18,MATCH(E1555,Assumptions!$A$15:$A$18,0)),"Yes","No"))</f>
        <v>Yes</v>
      </c>
    </row>
    <row r="1556" customFormat="false" ht="15" hidden="false" customHeight="false" outlineLevel="0" collapsed="false">
      <c r="A1556" s="31" t="s">
        <v>1706</v>
      </c>
      <c r="B1556" s="44" t="n">
        <v>46225</v>
      </c>
      <c r="C1556" s="31" t="s">
        <v>59</v>
      </c>
      <c r="D1556" s="31" t="s">
        <v>68</v>
      </c>
      <c r="E1556" s="31" t="s">
        <v>51</v>
      </c>
      <c r="F1556" s="31" t="s">
        <v>133</v>
      </c>
      <c r="G1556" s="31" t="n">
        <v>86</v>
      </c>
      <c r="H1556" s="41" t="n">
        <v>1.2</v>
      </c>
      <c r="I1556" s="31" t="s">
        <v>149</v>
      </c>
      <c r="J1556" s="31"/>
      <c r="K1556" s="31" t="s">
        <v>150</v>
      </c>
      <c r="L1556" s="45" t="n">
        <f aca="false">DATE(YEAR(B1556),MONTH(B1556),1)</f>
        <v>46204</v>
      </c>
      <c r="M1556" s="31" t="n">
        <f aca="false">WEEKDAY(B1556,2)</f>
        <v>3</v>
      </c>
      <c r="N1556" s="31" t="str">
        <f aca="false">IF(G1556&lt;=INDEX(Assumptions!$B$15:$B$18,MATCH(E1556,Assumptions!$A$15:$A$18,0)),"Yes","No")</f>
        <v>No</v>
      </c>
      <c r="O1556" s="31" t="str">
        <f aca="false">IF(H1556="","Open",IF(H1556&lt;=INDEX(Assumptions!$C$15:$C$18,MATCH(E1556,Assumptions!$A$15:$A$18,0)),"Yes","No"))</f>
        <v>Yes</v>
      </c>
    </row>
    <row r="1557" customFormat="false" ht="15" hidden="false" customHeight="false" outlineLevel="0" collapsed="false">
      <c r="A1557" s="31" t="s">
        <v>1707</v>
      </c>
      <c r="B1557" s="44" t="n">
        <v>46225</v>
      </c>
      <c r="C1557" s="31" t="s">
        <v>59</v>
      </c>
      <c r="D1557" s="31" t="s">
        <v>66</v>
      </c>
      <c r="E1557" s="31" t="s">
        <v>52</v>
      </c>
      <c r="F1557" s="31" t="s">
        <v>120</v>
      </c>
      <c r="G1557" s="31" t="n">
        <v>157</v>
      </c>
      <c r="H1557" s="41" t="n">
        <v>6.2</v>
      </c>
      <c r="I1557" s="31" t="s">
        <v>64</v>
      </c>
      <c r="J1557" s="31" t="n">
        <v>3</v>
      </c>
      <c r="K1557" s="31" t="s">
        <v>150</v>
      </c>
      <c r="L1557" s="45" t="n">
        <f aca="false">DATE(YEAR(B1557),MONTH(B1557),1)</f>
        <v>46204</v>
      </c>
      <c r="M1557" s="31" t="n">
        <f aca="false">WEEKDAY(B1557,2)</f>
        <v>3</v>
      </c>
      <c r="N1557" s="31" t="str">
        <f aca="false">IF(G1557&lt;=INDEX(Assumptions!$B$15:$B$18,MATCH(E1557,Assumptions!$A$15:$A$18,0)),"Yes","No")</f>
        <v>Yes</v>
      </c>
      <c r="O1557" s="31" t="str">
        <f aca="false">IF(H1557="","Open",IF(H1557&lt;=INDEX(Assumptions!$C$15:$C$18,MATCH(E1557,Assumptions!$A$15:$A$18,0)),"Yes","No"))</f>
        <v>Yes</v>
      </c>
    </row>
    <row r="1558" customFormat="false" ht="15" hidden="false" customHeight="false" outlineLevel="0" collapsed="false">
      <c r="A1558" s="31" t="s">
        <v>1708</v>
      </c>
      <c r="B1558" s="44" t="n">
        <v>46225</v>
      </c>
      <c r="C1558" s="31" t="s">
        <v>58</v>
      </c>
      <c r="D1558" s="31" t="s">
        <v>66</v>
      </c>
      <c r="E1558" s="31" t="s">
        <v>52</v>
      </c>
      <c r="F1558" s="31" t="s">
        <v>133</v>
      </c>
      <c r="G1558" s="31" t="n">
        <v>7</v>
      </c>
      <c r="H1558" s="41" t="n">
        <v>4.6</v>
      </c>
      <c r="I1558" s="31" t="s">
        <v>149</v>
      </c>
      <c r="J1558" s="31"/>
      <c r="K1558" s="31" t="s">
        <v>150</v>
      </c>
      <c r="L1558" s="45" t="n">
        <f aca="false">DATE(YEAR(B1558),MONTH(B1558),1)</f>
        <v>46204</v>
      </c>
      <c r="M1558" s="31" t="n">
        <f aca="false">WEEKDAY(B1558,2)</f>
        <v>3</v>
      </c>
      <c r="N1558" s="31" t="str">
        <f aca="false">IF(G1558&lt;=INDEX(Assumptions!$B$15:$B$18,MATCH(E1558,Assumptions!$A$15:$A$18,0)),"Yes","No")</f>
        <v>Yes</v>
      </c>
      <c r="O1558" s="31" t="str">
        <f aca="false">IF(H1558="","Open",IF(H1558&lt;=INDEX(Assumptions!$C$15:$C$18,MATCH(E1558,Assumptions!$A$15:$A$18,0)),"Yes","No"))</f>
        <v>Yes</v>
      </c>
    </row>
    <row r="1559" customFormat="false" ht="15" hidden="false" customHeight="false" outlineLevel="0" collapsed="false">
      <c r="A1559" s="31" t="s">
        <v>1709</v>
      </c>
      <c r="B1559" s="44" t="n">
        <v>46225</v>
      </c>
      <c r="C1559" s="31" t="s">
        <v>57</v>
      </c>
      <c r="D1559" s="31" t="s">
        <v>69</v>
      </c>
      <c r="E1559" s="31" t="s">
        <v>51</v>
      </c>
      <c r="F1559" s="31" t="s">
        <v>134</v>
      </c>
      <c r="G1559" s="31" t="n">
        <v>34</v>
      </c>
      <c r="H1559" s="41" t="n">
        <v>33.8</v>
      </c>
      <c r="I1559" s="31" t="s">
        <v>149</v>
      </c>
      <c r="J1559" s="31" t="n">
        <v>3</v>
      </c>
      <c r="K1559" s="31" t="s">
        <v>150</v>
      </c>
      <c r="L1559" s="45" t="n">
        <f aca="false">DATE(YEAR(B1559),MONTH(B1559),1)</f>
        <v>46204</v>
      </c>
      <c r="M1559" s="31" t="n">
        <f aca="false">WEEKDAY(B1559,2)</f>
        <v>3</v>
      </c>
      <c r="N1559" s="31" t="str">
        <f aca="false">IF(G1559&lt;=INDEX(Assumptions!$B$15:$B$18,MATCH(E1559,Assumptions!$A$15:$A$18,0)),"Yes","No")</f>
        <v>Yes</v>
      </c>
      <c r="O1559" s="31" t="str">
        <f aca="false">IF(H1559="","Open",IF(H1559&lt;=INDEX(Assumptions!$C$15:$C$18,MATCH(E1559,Assumptions!$A$15:$A$18,0)),"Yes","No"))</f>
        <v>No</v>
      </c>
    </row>
    <row r="1560" customFormat="false" ht="15" hidden="false" customHeight="false" outlineLevel="0" collapsed="false">
      <c r="A1560" s="31" t="s">
        <v>1710</v>
      </c>
      <c r="B1560" s="44" t="n">
        <v>46225</v>
      </c>
      <c r="C1560" s="31" t="s">
        <v>57</v>
      </c>
      <c r="D1560" s="31" t="s">
        <v>67</v>
      </c>
      <c r="E1560" s="31" t="s">
        <v>50</v>
      </c>
      <c r="F1560" s="31" t="s">
        <v>124</v>
      </c>
      <c r="G1560" s="31" t="n">
        <v>7</v>
      </c>
      <c r="H1560" s="41" t="n">
        <v>6.5</v>
      </c>
      <c r="I1560" s="31" t="s">
        <v>149</v>
      </c>
      <c r="J1560" s="31" t="n">
        <v>4</v>
      </c>
      <c r="K1560" s="31" t="s">
        <v>150</v>
      </c>
      <c r="L1560" s="45" t="n">
        <f aca="false">DATE(YEAR(B1560),MONTH(B1560),1)</f>
        <v>46204</v>
      </c>
      <c r="M1560" s="31" t="n">
        <f aca="false">WEEKDAY(B1560,2)</f>
        <v>3</v>
      </c>
      <c r="N1560" s="31" t="str">
        <f aca="false">IF(G1560&lt;=INDEX(Assumptions!$B$15:$B$18,MATCH(E1560,Assumptions!$A$15:$A$18,0)),"Yes","No")</f>
        <v>Yes</v>
      </c>
      <c r="O1560" s="31" t="str">
        <f aca="false">IF(H1560="","Open",IF(H1560&lt;=INDEX(Assumptions!$C$15:$C$18,MATCH(E1560,Assumptions!$A$15:$A$18,0)),"Yes","No"))</f>
        <v>Yes</v>
      </c>
    </row>
    <row r="1561" customFormat="false" ht="15" hidden="false" customHeight="false" outlineLevel="0" collapsed="false">
      <c r="A1561" s="31" t="s">
        <v>1711</v>
      </c>
      <c r="B1561" s="44" t="n">
        <v>46225</v>
      </c>
      <c r="C1561" s="31" t="s">
        <v>59</v>
      </c>
      <c r="D1561" s="31" t="s">
        <v>65</v>
      </c>
      <c r="E1561" s="31" t="s">
        <v>51</v>
      </c>
      <c r="F1561" s="31" t="s">
        <v>124</v>
      </c>
      <c r="G1561" s="31" t="n">
        <v>43</v>
      </c>
      <c r="H1561" s="41" t="n">
        <v>6.3</v>
      </c>
      <c r="I1561" s="31" t="s">
        <v>149</v>
      </c>
      <c r="J1561" s="31" t="n">
        <v>4</v>
      </c>
      <c r="K1561" s="31" t="s">
        <v>150</v>
      </c>
      <c r="L1561" s="45" t="n">
        <f aca="false">DATE(YEAR(B1561),MONTH(B1561),1)</f>
        <v>46204</v>
      </c>
      <c r="M1561" s="31" t="n">
        <f aca="false">WEEKDAY(B1561,2)</f>
        <v>3</v>
      </c>
      <c r="N1561" s="31" t="str">
        <f aca="false">IF(G1561&lt;=INDEX(Assumptions!$B$15:$B$18,MATCH(E1561,Assumptions!$A$15:$A$18,0)),"Yes","No")</f>
        <v>Yes</v>
      </c>
      <c r="O1561" s="31" t="str">
        <f aca="false">IF(H1561="","Open",IF(H1561&lt;=INDEX(Assumptions!$C$15:$C$18,MATCH(E1561,Assumptions!$A$15:$A$18,0)),"Yes","No"))</f>
        <v>Yes</v>
      </c>
    </row>
    <row r="1562" customFormat="false" ht="15" hidden="false" customHeight="false" outlineLevel="0" collapsed="false">
      <c r="A1562" s="31" t="s">
        <v>1712</v>
      </c>
      <c r="B1562" s="44" t="n">
        <v>46225</v>
      </c>
      <c r="C1562" s="31" t="s">
        <v>60</v>
      </c>
      <c r="D1562" s="31" t="s">
        <v>65</v>
      </c>
      <c r="E1562" s="31" t="s">
        <v>51</v>
      </c>
      <c r="F1562" s="31" t="s">
        <v>126</v>
      </c>
      <c r="G1562" s="31" t="n">
        <v>1</v>
      </c>
      <c r="H1562" s="41" t="n">
        <v>5.4</v>
      </c>
      <c r="I1562" s="31" t="s">
        <v>149</v>
      </c>
      <c r="J1562" s="31"/>
      <c r="K1562" s="31" t="s">
        <v>150</v>
      </c>
      <c r="L1562" s="45" t="n">
        <f aca="false">DATE(YEAR(B1562),MONTH(B1562),1)</f>
        <v>46204</v>
      </c>
      <c r="M1562" s="31" t="n">
        <f aca="false">WEEKDAY(B1562,2)</f>
        <v>3</v>
      </c>
      <c r="N1562" s="31" t="str">
        <f aca="false">IF(G1562&lt;=INDEX(Assumptions!$B$15:$B$18,MATCH(E1562,Assumptions!$A$15:$A$18,0)),"Yes","No")</f>
        <v>Yes</v>
      </c>
      <c r="O1562" s="31" t="str">
        <f aca="false">IF(H1562="","Open",IF(H1562&lt;=INDEX(Assumptions!$C$15:$C$18,MATCH(E1562,Assumptions!$A$15:$A$18,0)),"Yes","No"))</f>
        <v>Yes</v>
      </c>
    </row>
    <row r="1563" customFormat="false" ht="15" hidden="false" customHeight="false" outlineLevel="0" collapsed="false">
      <c r="A1563" s="31" t="s">
        <v>1713</v>
      </c>
      <c r="B1563" s="44" t="n">
        <v>46225</v>
      </c>
      <c r="C1563" s="31" t="s">
        <v>57</v>
      </c>
      <c r="D1563" s="31" t="s">
        <v>65</v>
      </c>
      <c r="E1563" s="31" t="s">
        <v>51</v>
      </c>
      <c r="F1563" s="31" t="s">
        <v>134</v>
      </c>
      <c r="G1563" s="31" t="n">
        <v>4</v>
      </c>
      <c r="H1563" s="41" t="n">
        <v>11.7</v>
      </c>
      <c r="I1563" s="31" t="s">
        <v>149</v>
      </c>
      <c r="J1563" s="31"/>
      <c r="K1563" s="31" t="s">
        <v>150</v>
      </c>
      <c r="L1563" s="45" t="n">
        <f aca="false">DATE(YEAR(B1563),MONTH(B1563),1)</f>
        <v>46204</v>
      </c>
      <c r="M1563" s="31" t="n">
        <f aca="false">WEEKDAY(B1563,2)</f>
        <v>3</v>
      </c>
      <c r="N1563" s="31" t="str">
        <f aca="false">IF(G1563&lt;=INDEX(Assumptions!$B$15:$B$18,MATCH(E1563,Assumptions!$A$15:$A$18,0)),"Yes","No")</f>
        <v>Yes</v>
      </c>
      <c r="O1563" s="31" t="str">
        <f aca="false">IF(H1563="","Open",IF(H1563&lt;=INDEX(Assumptions!$C$15:$C$18,MATCH(E1563,Assumptions!$A$15:$A$18,0)),"Yes","No"))</f>
        <v>Yes</v>
      </c>
    </row>
    <row r="1564" customFormat="false" ht="15" hidden="false" customHeight="false" outlineLevel="0" collapsed="false">
      <c r="A1564" s="31" t="s">
        <v>1714</v>
      </c>
      <c r="B1564" s="44" t="n">
        <v>46225</v>
      </c>
      <c r="C1564" s="31" t="s">
        <v>58</v>
      </c>
      <c r="D1564" s="31" t="s">
        <v>65</v>
      </c>
      <c r="E1564" s="31" t="s">
        <v>52</v>
      </c>
      <c r="F1564" s="31" t="s">
        <v>136</v>
      </c>
      <c r="G1564" s="31" t="n">
        <v>65</v>
      </c>
      <c r="H1564" s="41" t="n">
        <v>14.1</v>
      </c>
      <c r="I1564" s="31" t="s">
        <v>149</v>
      </c>
      <c r="J1564" s="31" t="n">
        <v>5</v>
      </c>
      <c r="K1564" s="31" t="s">
        <v>150</v>
      </c>
      <c r="L1564" s="45" t="n">
        <f aca="false">DATE(YEAR(B1564),MONTH(B1564),1)</f>
        <v>46204</v>
      </c>
      <c r="M1564" s="31" t="n">
        <f aca="false">WEEKDAY(B1564,2)</f>
        <v>3</v>
      </c>
      <c r="N1564" s="31" t="str">
        <f aca="false">IF(G1564&lt;=INDEX(Assumptions!$B$15:$B$18,MATCH(E1564,Assumptions!$A$15:$A$18,0)),"Yes","No")</f>
        <v>Yes</v>
      </c>
      <c r="O1564" s="31" t="str">
        <f aca="false">IF(H1564="","Open",IF(H1564&lt;=INDEX(Assumptions!$C$15:$C$18,MATCH(E1564,Assumptions!$A$15:$A$18,0)),"Yes","No"))</f>
        <v>Yes</v>
      </c>
    </row>
    <row r="1565" customFormat="false" ht="15" hidden="false" customHeight="false" outlineLevel="0" collapsed="false">
      <c r="A1565" s="31" t="s">
        <v>1715</v>
      </c>
      <c r="B1565" s="44" t="n">
        <v>46225</v>
      </c>
      <c r="C1565" s="31" t="s">
        <v>57</v>
      </c>
      <c r="D1565" s="31" t="s">
        <v>67</v>
      </c>
      <c r="E1565" s="31" t="s">
        <v>51</v>
      </c>
      <c r="F1565" s="31" t="s">
        <v>135</v>
      </c>
      <c r="G1565" s="31" t="n">
        <v>3</v>
      </c>
      <c r="H1565" s="41" t="n">
        <v>27.6</v>
      </c>
      <c r="I1565" s="31" t="s">
        <v>149</v>
      </c>
      <c r="J1565" s="31"/>
      <c r="K1565" s="31" t="s">
        <v>150</v>
      </c>
      <c r="L1565" s="45" t="n">
        <f aca="false">DATE(YEAR(B1565),MONTH(B1565),1)</f>
        <v>46204</v>
      </c>
      <c r="M1565" s="31" t="n">
        <f aca="false">WEEKDAY(B1565,2)</f>
        <v>3</v>
      </c>
      <c r="N1565" s="31" t="str">
        <f aca="false">IF(G1565&lt;=INDEX(Assumptions!$B$15:$B$18,MATCH(E1565,Assumptions!$A$15:$A$18,0)),"Yes","No")</f>
        <v>Yes</v>
      </c>
      <c r="O1565" s="31" t="str">
        <f aca="false">IF(H1565="","Open",IF(H1565&lt;=INDEX(Assumptions!$C$15:$C$18,MATCH(E1565,Assumptions!$A$15:$A$18,0)),"Yes","No"))</f>
        <v>No</v>
      </c>
    </row>
    <row r="1566" customFormat="false" ht="15" hidden="false" customHeight="false" outlineLevel="0" collapsed="false">
      <c r="A1566" s="31" t="s">
        <v>1716</v>
      </c>
      <c r="B1566" s="44" t="n">
        <v>46225</v>
      </c>
      <c r="C1566" s="31" t="s">
        <v>58</v>
      </c>
      <c r="D1566" s="31" t="s">
        <v>65</v>
      </c>
      <c r="E1566" s="31" t="s">
        <v>52</v>
      </c>
      <c r="F1566" s="31" t="s">
        <v>137</v>
      </c>
      <c r="G1566" s="31" t="n">
        <v>20</v>
      </c>
      <c r="H1566" s="41" t="n">
        <v>38.7</v>
      </c>
      <c r="I1566" s="31" t="s">
        <v>149</v>
      </c>
      <c r="J1566" s="31"/>
      <c r="K1566" s="31" t="s">
        <v>150</v>
      </c>
      <c r="L1566" s="45" t="n">
        <f aca="false">DATE(YEAR(B1566),MONTH(B1566),1)</f>
        <v>46204</v>
      </c>
      <c r="M1566" s="31" t="n">
        <f aca="false">WEEKDAY(B1566,2)</f>
        <v>3</v>
      </c>
      <c r="N1566" s="31" t="str">
        <f aca="false">IF(G1566&lt;=INDEX(Assumptions!$B$15:$B$18,MATCH(E1566,Assumptions!$A$15:$A$18,0)),"Yes","No")</f>
        <v>Yes</v>
      </c>
      <c r="O1566" s="31" t="str">
        <f aca="false">IF(H1566="","Open",IF(H1566&lt;=INDEX(Assumptions!$C$15:$C$18,MATCH(E1566,Assumptions!$A$15:$A$18,0)),"Yes","No"))</f>
        <v>Yes</v>
      </c>
    </row>
    <row r="1567" customFormat="false" ht="15" hidden="false" customHeight="false" outlineLevel="0" collapsed="false">
      <c r="A1567" s="31" t="s">
        <v>1717</v>
      </c>
      <c r="B1567" s="44" t="n">
        <v>46225</v>
      </c>
      <c r="C1567" s="31" t="s">
        <v>59</v>
      </c>
      <c r="D1567" s="31" t="s">
        <v>68</v>
      </c>
      <c r="E1567" s="31" t="s">
        <v>51</v>
      </c>
      <c r="F1567" s="31" t="s">
        <v>121</v>
      </c>
      <c r="G1567" s="31" t="n">
        <v>190</v>
      </c>
      <c r="H1567" s="41" t="n">
        <v>4.9</v>
      </c>
      <c r="I1567" s="31" t="s">
        <v>149</v>
      </c>
      <c r="J1567" s="31"/>
      <c r="K1567" s="31" t="s">
        <v>150</v>
      </c>
      <c r="L1567" s="45" t="n">
        <f aca="false">DATE(YEAR(B1567),MONTH(B1567),1)</f>
        <v>46204</v>
      </c>
      <c r="M1567" s="31" t="n">
        <f aca="false">WEEKDAY(B1567,2)</f>
        <v>3</v>
      </c>
      <c r="N1567" s="31" t="str">
        <f aca="false">IF(G1567&lt;=INDEX(Assumptions!$B$15:$B$18,MATCH(E1567,Assumptions!$A$15:$A$18,0)),"Yes","No")</f>
        <v>No</v>
      </c>
      <c r="O1567" s="31" t="str">
        <f aca="false">IF(H1567="","Open",IF(H1567&lt;=INDEX(Assumptions!$C$15:$C$18,MATCH(E1567,Assumptions!$A$15:$A$18,0)),"Yes","No"))</f>
        <v>Yes</v>
      </c>
    </row>
    <row r="1568" customFormat="false" ht="15" hidden="false" customHeight="false" outlineLevel="0" collapsed="false">
      <c r="A1568" s="31" t="s">
        <v>1718</v>
      </c>
      <c r="B1568" s="44" t="n">
        <v>46225</v>
      </c>
      <c r="C1568" s="31" t="s">
        <v>57</v>
      </c>
      <c r="D1568" s="31" t="s">
        <v>65</v>
      </c>
      <c r="E1568" s="31" t="s">
        <v>52</v>
      </c>
      <c r="F1568" s="31" t="s">
        <v>136</v>
      </c>
      <c r="G1568" s="31" t="n">
        <v>8</v>
      </c>
      <c r="H1568" s="41" t="n">
        <v>11.3</v>
      </c>
      <c r="I1568" s="31" t="s">
        <v>149</v>
      </c>
      <c r="J1568" s="31" t="n">
        <v>4</v>
      </c>
      <c r="K1568" s="31" t="s">
        <v>150</v>
      </c>
      <c r="L1568" s="45" t="n">
        <f aca="false">DATE(YEAR(B1568),MONTH(B1568),1)</f>
        <v>46204</v>
      </c>
      <c r="M1568" s="31" t="n">
        <f aca="false">WEEKDAY(B1568,2)</f>
        <v>3</v>
      </c>
      <c r="N1568" s="31" t="str">
        <f aca="false">IF(G1568&lt;=INDEX(Assumptions!$B$15:$B$18,MATCH(E1568,Assumptions!$A$15:$A$18,0)),"Yes","No")</f>
        <v>Yes</v>
      </c>
      <c r="O1568" s="31" t="str">
        <f aca="false">IF(H1568="","Open",IF(H1568&lt;=INDEX(Assumptions!$C$15:$C$18,MATCH(E1568,Assumptions!$A$15:$A$18,0)),"Yes","No"))</f>
        <v>Yes</v>
      </c>
    </row>
    <row r="1569" customFormat="false" ht="15" hidden="false" customHeight="false" outlineLevel="0" collapsed="false">
      <c r="A1569" s="31" t="s">
        <v>1719</v>
      </c>
      <c r="B1569" s="44" t="n">
        <v>46225</v>
      </c>
      <c r="C1569" s="31" t="s">
        <v>58</v>
      </c>
      <c r="D1569" s="31" t="s">
        <v>65</v>
      </c>
      <c r="E1569" s="31" t="s">
        <v>50</v>
      </c>
      <c r="F1569" s="31" t="s">
        <v>130</v>
      </c>
      <c r="G1569" s="31" t="n">
        <v>4</v>
      </c>
      <c r="H1569" s="41" t="n">
        <v>19.9</v>
      </c>
      <c r="I1569" s="31" t="s">
        <v>149</v>
      </c>
      <c r="J1569" s="31"/>
      <c r="K1569" s="31" t="s">
        <v>150</v>
      </c>
      <c r="L1569" s="45" t="n">
        <f aca="false">DATE(YEAR(B1569),MONTH(B1569),1)</f>
        <v>46204</v>
      </c>
      <c r="M1569" s="31" t="n">
        <f aca="false">WEEKDAY(B1569,2)</f>
        <v>3</v>
      </c>
      <c r="N1569" s="31" t="str">
        <f aca="false">IF(G1569&lt;=INDEX(Assumptions!$B$15:$B$18,MATCH(E1569,Assumptions!$A$15:$A$18,0)),"Yes","No")</f>
        <v>Yes</v>
      </c>
      <c r="O1569" s="31" t="str">
        <f aca="false">IF(H1569="","Open",IF(H1569&lt;=INDEX(Assumptions!$C$15:$C$18,MATCH(E1569,Assumptions!$A$15:$A$18,0)),"Yes","No"))</f>
        <v>No</v>
      </c>
    </row>
    <row r="1570" customFormat="false" ht="15" hidden="false" customHeight="false" outlineLevel="0" collapsed="false">
      <c r="A1570" s="31" t="s">
        <v>1720</v>
      </c>
      <c r="B1570" s="44" t="n">
        <v>46225</v>
      </c>
      <c r="C1570" s="31" t="s">
        <v>59</v>
      </c>
      <c r="D1570" s="31" t="s">
        <v>65</v>
      </c>
      <c r="E1570" s="31" t="s">
        <v>51</v>
      </c>
      <c r="F1570" s="31" t="s">
        <v>117</v>
      </c>
      <c r="G1570" s="31" t="n">
        <v>73</v>
      </c>
      <c r="H1570" s="41" t="n">
        <v>5.9</v>
      </c>
      <c r="I1570" s="31" t="s">
        <v>149</v>
      </c>
      <c r="J1570" s="31" t="n">
        <v>5</v>
      </c>
      <c r="K1570" s="31" t="s">
        <v>150</v>
      </c>
      <c r="L1570" s="45" t="n">
        <f aca="false">DATE(YEAR(B1570),MONTH(B1570),1)</f>
        <v>46204</v>
      </c>
      <c r="M1570" s="31" t="n">
        <f aca="false">WEEKDAY(B1570,2)</f>
        <v>3</v>
      </c>
      <c r="N1570" s="31" t="str">
        <f aca="false">IF(G1570&lt;=INDEX(Assumptions!$B$15:$B$18,MATCH(E1570,Assumptions!$A$15:$A$18,0)),"Yes","No")</f>
        <v>No</v>
      </c>
      <c r="O1570" s="31" t="str">
        <f aca="false">IF(H1570="","Open",IF(H1570&lt;=INDEX(Assumptions!$C$15:$C$18,MATCH(E1570,Assumptions!$A$15:$A$18,0)),"Yes","No"))</f>
        <v>Yes</v>
      </c>
    </row>
    <row r="1571" customFormat="false" ht="15" hidden="false" customHeight="false" outlineLevel="0" collapsed="false">
      <c r="A1571" s="31" t="s">
        <v>1721</v>
      </c>
      <c r="B1571" s="44" t="n">
        <v>46225</v>
      </c>
      <c r="C1571" s="31" t="s">
        <v>59</v>
      </c>
      <c r="D1571" s="31" t="s">
        <v>65</v>
      </c>
      <c r="E1571" s="31" t="s">
        <v>52</v>
      </c>
      <c r="F1571" s="31" t="s">
        <v>137</v>
      </c>
      <c r="G1571" s="31" t="n">
        <v>91</v>
      </c>
      <c r="H1571" s="41" t="n">
        <v>29.1</v>
      </c>
      <c r="I1571" s="31" t="s">
        <v>149</v>
      </c>
      <c r="J1571" s="31" t="n">
        <v>3</v>
      </c>
      <c r="K1571" s="31" t="s">
        <v>150</v>
      </c>
      <c r="L1571" s="45" t="n">
        <f aca="false">DATE(YEAR(B1571),MONTH(B1571),1)</f>
        <v>46204</v>
      </c>
      <c r="M1571" s="31" t="n">
        <f aca="false">WEEKDAY(B1571,2)</f>
        <v>3</v>
      </c>
      <c r="N1571" s="31" t="str">
        <f aca="false">IF(G1571&lt;=INDEX(Assumptions!$B$15:$B$18,MATCH(E1571,Assumptions!$A$15:$A$18,0)),"Yes","No")</f>
        <v>Yes</v>
      </c>
      <c r="O1571" s="31" t="str">
        <f aca="false">IF(H1571="","Open",IF(H1571&lt;=INDEX(Assumptions!$C$15:$C$18,MATCH(E1571,Assumptions!$A$15:$A$18,0)),"Yes","No"))</f>
        <v>Yes</v>
      </c>
    </row>
    <row r="1572" customFormat="false" ht="15" hidden="false" customHeight="false" outlineLevel="0" collapsed="false">
      <c r="A1572" s="31" t="s">
        <v>1722</v>
      </c>
      <c r="B1572" s="44" t="n">
        <v>46225</v>
      </c>
      <c r="C1572" s="31" t="s">
        <v>58</v>
      </c>
      <c r="D1572" s="31" t="s">
        <v>68</v>
      </c>
      <c r="E1572" s="31" t="s">
        <v>51</v>
      </c>
      <c r="F1572" s="31" t="s">
        <v>117</v>
      </c>
      <c r="G1572" s="31" t="n">
        <v>6</v>
      </c>
      <c r="H1572" s="41" t="n">
        <v>8.1</v>
      </c>
      <c r="I1572" s="31" t="s">
        <v>149</v>
      </c>
      <c r="J1572" s="31" t="n">
        <v>4</v>
      </c>
      <c r="K1572" s="31" t="s">
        <v>150</v>
      </c>
      <c r="L1572" s="45" t="n">
        <f aca="false">DATE(YEAR(B1572),MONTH(B1572),1)</f>
        <v>46204</v>
      </c>
      <c r="M1572" s="31" t="n">
        <f aca="false">WEEKDAY(B1572,2)</f>
        <v>3</v>
      </c>
      <c r="N1572" s="31" t="str">
        <f aca="false">IF(G1572&lt;=INDEX(Assumptions!$B$15:$B$18,MATCH(E1572,Assumptions!$A$15:$A$18,0)),"Yes","No")</f>
        <v>Yes</v>
      </c>
      <c r="O1572" s="31" t="str">
        <f aca="false">IF(H1572="","Open",IF(H1572&lt;=INDEX(Assumptions!$C$15:$C$18,MATCH(E1572,Assumptions!$A$15:$A$18,0)),"Yes","No"))</f>
        <v>Yes</v>
      </c>
    </row>
    <row r="1573" customFormat="false" ht="15" hidden="false" customHeight="false" outlineLevel="0" collapsed="false">
      <c r="A1573" s="31" t="s">
        <v>1723</v>
      </c>
      <c r="B1573" s="44" t="n">
        <v>46225</v>
      </c>
      <c r="C1573" s="31" t="s">
        <v>58</v>
      </c>
      <c r="D1573" s="31" t="s">
        <v>67</v>
      </c>
      <c r="E1573" s="31" t="s">
        <v>52</v>
      </c>
      <c r="F1573" s="31" t="s">
        <v>137</v>
      </c>
      <c r="G1573" s="31" t="n">
        <v>9</v>
      </c>
      <c r="H1573" s="41" t="n">
        <v>47.8</v>
      </c>
      <c r="I1573" s="31" t="s">
        <v>149</v>
      </c>
      <c r="J1573" s="31" t="n">
        <v>4</v>
      </c>
      <c r="K1573" s="31" t="s">
        <v>150</v>
      </c>
      <c r="L1573" s="45" t="n">
        <f aca="false">DATE(YEAR(B1573),MONTH(B1573),1)</f>
        <v>46204</v>
      </c>
      <c r="M1573" s="31" t="n">
        <f aca="false">WEEKDAY(B1573,2)</f>
        <v>3</v>
      </c>
      <c r="N1573" s="31" t="str">
        <f aca="false">IF(G1573&lt;=INDEX(Assumptions!$B$15:$B$18,MATCH(E1573,Assumptions!$A$15:$A$18,0)),"Yes","No")</f>
        <v>Yes</v>
      </c>
      <c r="O1573" s="31" t="str">
        <f aca="false">IF(H1573="","Open",IF(H1573&lt;=INDEX(Assumptions!$C$15:$C$18,MATCH(E1573,Assumptions!$A$15:$A$18,0)),"Yes","No"))</f>
        <v>Yes</v>
      </c>
    </row>
    <row r="1574" customFormat="false" ht="15" hidden="false" customHeight="false" outlineLevel="0" collapsed="false">
      <c r="A1574" s="31" t="s">
        <v>1724</v>
      </c>
      <c r="B1574" s="44" t="n">
        <v>46225</v>
      </c>
      <c r="C1574" s="31" t="s">
        <v>59</v>
      </c>
      <c r="D1574" s="31" t="s">
        <v>66</v>
      </c>
      <c r="E1574" s="31" t="s">
        <v>51</v>
      </c>
      <c r="F1574" s="31" t="s">
        <v>127</v>
      </c>
      <c r="G1574" s="31" t="n">
        <v>72</v>
      </c>
      <c r="H1574" s="41" t="n">
        <v>4</v>
      </c>
      <c r="I1574" s="31" t="s">
        <v>64</v>
      </c>
      <c r="J1574" s="31" t="n">
        <v>4</v>
      </c>
      <c r="K1574" s="31" t="s">
        <v>150</v>
      </c>
      <c r="L1574" s="45" t="n">
        <f aca="false">DATE(YEAR(B1574),MONTH(B1574),1)</f>
        <v>46204</v>
      </c>
      <c r="M1574" s="31" t="n">
        <f aca="false">WEEKDAY(B1574,2)</f>
        <v>3</v>
      </c>
      <c r="N1574" s="31" t="str">
        <f aca="false">IF(G1574&lt;=INDEX(Assumptions!$B$15:$B$18,MATCH(E1574,Assumptions!$A$15:$A$18,0)),"Yes","No")</f>
        <v>No</v>
      </c>
      <c r="O1574" s="31" t="str">
        <f aca="false">IF(H1574="","Open",IF(H1574&lt;=INDEX(Assumptions!$C$15:$C$18,MATCH(E1574,Assumptions!$A$15:$A$18,0)),"Yes","No"))</f>
        <v>Yes</v>
      </c>
    </row>
    <row r="1575" customFormat="false" ht="15" hidden="false" customHeight="false" outlineLevel="0" collapsed="false">
      <c r="A1575" s="31" t="s">
        <v>1725</v>
      </c>
      <c r="B1575" s="44" t="n">
        <v>46225</v>
      </c>
      <c r="C1575" s="31" t="s">
        <v>58</v>
      </c>
      <c r="D1575" s="31" t="s">
        <v>65</v>
      </c>
      <c r="E1575" s="31" t="s">
        <v>51</v>
      </c>
      <c r="F1575" s="31" t="s">
        <v>131</v>
      </c>
      <c r="G1575" s="31" t="n">
        <v>22</v>
      </c>
      <c r="H1575" s="41" t="n">
        <v>5.5</v>
      </c>
      <c r="I1575" s="31" t="s">
        <v>149</v>
      </c>
      <c r="J1575" s="31"/>
      <c r="K1575" s="31" t="s">
        <v>150</v>
      </c>
      <c r="L1575" s="45" t="n">
        <f aca="false">DATE(YEAR(B1575),MONTH(B1575),1)</f>
        <v>46204</v>
      </c>
      <c r="M1575" s="31" t="n">
        <f aca="false">WEEKDAY(B1575,2)</f>
        <v>3</v>
      </c>
      <c r="N1575" s="31" t="str">
        <f aca="false">IF(G1575&lt;=INDEX(Assumptions!$B$15:$B$18,MATCH(E1575,Assumptions!$A$15:$A$18,0)),"Yes","No")</f>
        <v>Yes</v>
      </c>
      <c r="O1575" s="31" t="str">
        <f aca="false">IF(H1575="","Open",IF(H1575&lt;=INDEX(Assumptions!$C$15:$C$18,MATCH(E1575,Assumptions!$A$15:$A$18,0)),"Yes","No"))</f>
        <v>Yes</v>
      </c>
    </row>
    <row r="1576" customFormat="false" ht="15" hidden="false" customHeight="false" outlineLevel="0" collapsed="false">
      <c r="A1576" s="31" t="s">
        <v>1726</v>
      </c>
      <c r="B1576" s="44" t="n">
        <v>46225</v>
      </c>
      <c r="C1576" s="31" t="s">
        <v>60</v>
      </c>
      <c r="D1576" s="31" t="s">
        <v>66</v>
      </c>
      <c r="E1576" s="31" t="s">
        <v>51</v>
      </c>
      <c r="F1576" s="31" t="s">
        <v>127</v>
      </c>
      <c r="G1576" s="31" t="n">
        <v>2</v>
      </c>
      <c r="H1576" s="41" t="n">
        <v>1.3</v>
      </c>
      <c r="I1576" s="31" t="s">
        <v>149</v>
      </c>
      <c r="J1576" s="31" t="n">
        <v>5</v>
      </c>
      <c r="K1576" s="31" t="s">
        <v>150</v>
      </c>
      <c r="L1576" s="45" t="n">
        <f aca="false">DATE(YEAR(B1576),MONTH(B1576),1)</f>
        <v>46204</v>
      </c>
      <c r="M1576" s="31" t="n">
        <f aca="false">WEEKDAY(B1576,2)</f>
        <v>3</v>
      </c>
      <c r="N1576" s="31" t="str">
        <f aca="false">IF(G1576&lt;=INDEX(Assumptions!$B$15:$B$18,MATCH(E1576,Assumptions!$A$15:$A$18,0)),"Yes","No")</f>
        <v>Yes</v>
      </c>
      <c r="O1576" s="31" t="str">
        <f aca="false">IF(H1576="","Open",IF(H1576&lt;=INDEX(Assumptions!$C$15:$C$18,MATCH(E1576,Assumptions!$A$15:$A$18,0)),"Yes","No"))</f>
        <v>Yes</v>
      </c>
    </row>
    <row r="1577" customFormat="false" ht="15" hidden="false" customHeight="false" outlineLevel="0" collapsed="false">
      <c r="A1577" s="31" t="s">
        <v>1727</v>
      </c>
      <c r="B1577" s="44" t="n">
        <v>46225</v>
      </c>
      <c r="C1577" s="31" t="s">
        <v>57</v>
      </c>
      <c r="D1577" s="31" t="s">
        <v>67</v>
      </c>
      <c r="E1577" s="31" t="s">
        <v>52</v>
      </c>
      <c r="F1577" s="31" t="s">
        <v>127</v>
      </c>
      <c r="G1577" s="31" t="n">
        <v>1</v>
      </c>
      <c r="H1577" s="41" t="n">
        <v>7.8</v>
      </c>
      <c r="I1577" s="31" t="s">
        <v>149</v>
      </c>
      <c r="J1577" s="31"/>
      <c r="K1577" s="31" t="s">
        <v>150</v>
      </c>
      <c r="L1577" s="45" t="n">
        <f aca="false">DATE(YEAR(B1577),MONTH(B1577),1)</f>
        <v>46204</v>
      </c>
      <c r="M1577" s="31" t="n">
        <f aca="false">WEEKDAY(B1577,2)</f>
        <v>3</v>
      </c>
      <c r="N1577" s="31" t="str">
        <f aca="false">IF(G1577&lt;=INDEX(Assumptions!$B$15:$B$18,MATCH(E1577,Assumptions!$A$15:$A$18,0)),"Yes","No")</f>
        <v>Yes</v>
      </c>
      <c r="O1577" s="31" t="str">
        <f aca="false">IF(H1577="","Open",IF(H1577&lt;=INDEX(Assumptions!$C$15:$C$18,MATCH(E1577,Assumptions!$A$15:$A$18,0)),"Yes","No"))</f>
        <v>Yes</v>
      </c>
    </row>
    <row r="1578" customFormat="false" ht="15" hidden="false" customHeight="false" outlineLevel="0" collapsed="false">
      <c r="A1578" s="31" t="s">
        <v>1728</v>
      </c>
      <c r="B1578" s="44" t="n">
        <v>46225</v>
      </c>
      <c r="C1578" s="31" t="s">
        <v>59</v>
      </c>
      <c r="D1578" s="31" t="s">
        <v>67</v>
      </c>
      <c r="E1578" s="31" t="s">
        <v>51</v>
      </c>
      <c r="F1578" s="31" t="s">
        <v>120</v>
      </c>
      <c r="G1578" s="31" t="n">
        <v>134</v>
      </c>
      <c r="H1578" s="41"/>
      <c r="I1578" s="31" t="s">
        <v>158</v>
      </c>
      <c r="J1578" s="31"/>
      <c r="K1578" s="31" t="s">
        <v>150</v>
      </c>
      <c r="L1578" s="45" t="n">
        <f aca="false">DATE(YEAR(B1578),MONTH(B1578),1)</f>
        <v>46204</v>
      </c>
      <c r="M1578" s="31" t="n">
        <f aca="false">WEEKDAY(B1578,2)</f>
        <v>3</v>
      </c>
      <c r="N1578" s="31" t="str">
        <f aca="false">IF(G1578&lt;=INDEX(Assumptions!$B$15:$B$18,MATCH(E1578,Assumptions!$A$15:$A$18,0)),"Yes","No")</f>
        <v>No</v>
      </c>
      <c r="O1578" s="31" t="str">
        <f aca="false">IF(H1578="","Open",IF(H1578&lt;=INDEX(Assumptions!$C$15:$C$18,MATCH(E1578,Assumptions!$A$15:$A$18,0)),"Yes","No"))</f>
        <v>Open</v>
      </c>
    </row>
    <row r="1579" customFormat="false" ht="15" hidden="false" customHeight="false" outlineLevel="0" collapsed="false">
      <c r="A1579" s="31" t="s">
        <v>1729</v>
      </c>
      <c r="B1579" s="44" t="n">
        <v>46225</v>
      </c>
      <c r="C1579" s="31" t="s">
        <v>58</v>
      </c>
      <c r="D1579" s="31" t="s">
        <v>66</v>
      </c>
      <c r="E1579" s="31" t="s">
        <v>50</v>
      </c>
      <c r="F1579" s="31" t="s">
        <v>134</v>
      </c>
      <c r="G1579" s="31" t="n">
        <v>9</v>
      </c>
      <c r="H1579" s="41" t="n">
        <v>1</v>
      </c>
      <c r="I1579" s="31" t="s">
        <v>149</v>
      </c>
      <c r="J1579" s="31" t="n">
        <v>3</v>
      </c>
      <c r="K1579" s="31" t="s">
        <v>150</v>
      </c>
      <c r="L1579" s="45" t="n">
        <f aca="false">DATE(YEAR(B1579),MONTH(B1579),1)</f>
        <v>46204</v>
      </c>
      <c r="M1579" s="31" t="n">
        <f aca="false">WEEKDAY(B1579,2)</f>
        <v>3</v>
      </c>
      <c r="N1579" s="31" t="str">
        <f aca="false">IF(G1579&lt;=INDEX(Assumptions!$B$15:$B$18,MATCH(E1579,Assumptions!$A$15:$A$18,0)),"Yes","No")</f>
        <v>Yes</v>
      </c>
      <c r="O1579" s="31" t="str">
        <f aca="false">IF(H1579="","Open",IF(H1579&lt;=INDEX(Assumptions!$C$15:$C$18,MATCH(E1579,Assumptions!$A$15:$A$18,0)),"Yes","No"))</f>
        <v>Yes</v>
      </c>
    </row>
    <row r="1580" customFormat="false" ht="15" hidden="false" customHeight="false" outlineLevel="0" collapsed="false">
      <c r="A1580" s="31" t="s">
        <v>1730</v>
      </c>
      <c r="B1580" s="44" t="n">
        <v>46225</v>
      </c>
      <c r="C1580" s="31" t="s">
        <v>59</v>
      </c>
      <c r="D1580" s="31" t="s">
        <v>66</v>
      </c>
      <c r="E1580" s="31" t="s">
        <v>51</v>
      </c>
      <c r="F1580" s="31" t="s">
        <v>135</v>
      </c>
      <c r="G1580" s="31" t="n">
        <v>83</v>
      </c>
      <c r="H1580" s="41" t="n">
        <v>12.8</v>
      </c>
      <c r="I1580" s="31" t="s">
        <v>149</v>
      </c>
      <c r="J1580" s="31"/>
      <c r="K1580" s="31" t="s">
        <v>150</v>
      </c>
      <c r="L1580" s="45" t="n">
        <f aca="false">DATE(YEAR(B1580),MONTH(B1580),1)</f>
        <v>46204</v>
      </c>
      <c r="M1580" s="31" t="n">
        <f aca="false">WEEKDAY(B1580,2)</f>
        <v>3</v>
      </c>
      <c r="N1580" s="31" t="str">
        <f aca="false">IF(G1580&lt;=INDEX(Assumptions!$B$15:$B$18,MATCH(E1580,Assumptions!$A$15:$A$18,0)),"Yes","No")</f>
        <v>No</v>
      </c>
      <c r="O1580" s="31" t="str">
        <f aca="false">IF(H1580="","Open",IF(H1580&lt;=INDEX(Assumptions!$C$15:$C$18,MATCH(E1580,Assumptions!$A$15:$A$18,0)),"Yes","No"))</f>
        <v>Yes</v>
      </c>
    </row>
    <row r="1581" customFormat="false" ht="15" hidden="false" customHeight="false" outlineLevel="0" collapsed="false">
      <c r="A1581" s="31" t="s">
        <v>1731</v>
      </c>
      <c r="B1581" s="44" t="n">
        <v>46225</v>
      </c>
      <c r="C1581" s="31" t="s">
        <v>58</v>
      </c>
      <c r="D1581" s="31" t="s">
        <v>65</v>
      </c>
      <c r="E1581" s="31" t="s">
        <v>52</v>
      </c>
      <c r="F1581" s="31" t="s">
        <v>133</v>
      </c>
      <c r="G1581" s="31" t="n">
        <v>38</v>
      </c>
      <c r="H1581" s="41" t="n">
        <v>2.4</v>
      </c>
      <c r="I1581" s="31" t="s">
        <v>149</v>
      </c>
      <c r="J1581" s="31" t="n">
        <v>4</v>
      </c>
      <c r="K1581" s="31" t="s">
        <v>150</v>
      </c>
      <c r="L1581" s="45" t="n">
        <f aca="false">DATE(YEAR(B1581),MONTH(B1581),1)</f>
        <v>46204</v>
      </c>
      <c r="M1581" s="31" t="n">
        <f aca="false">WEEKDAY(B1581,2)</f>
        <v>3</v>
      </c>
      <c r="N1581" s="31" t="str">
        <f aca="false">IF(G1581&lt;=INDEX(Assumptions!$B$15:$B$18,MATCH(E1581,Assumptions!$A$15:$A$18,0)),"Yes","No")</f>
        <v>Yes</v>
      </c>
      <c r="O1581" s="31" t="str">
        <f aca="false">IF(H1581="","Open",IF(H1581&lt;=INDEX(Assumptions!$C$15:$C$18,MATCH(E1581,Assumptions!$A$15:$A$18,0)),"Yes","No"))</f>
        <v>Yes</v>
      </c>
    </row>
    <row r="1582" customFormat="false" ht="15" hidden="false" customHeight="false" outlineLevel="0" collapsed="false">
      <c r="A1582" s="31" t="s">
        <v>1732</v>
      </c>
      <c r="B1582" s="44" t="n">
        <v>46225</v>
      </c>
      <c r="C1582" s="31" t="s">
        <v>58</v>
      </c>
      <c r="D1582" s="31" t="s">
        <v>65</v>
      </c>
      <c r="E1582" s="31" t="s">
        <v>51</v>
      </c>
      <c r="F1582" s="31" t="s">
        <v>120</v>
      </c>
      <c r="G1582" s="31" t="n">
        <v>17</v>
      </c>
      <c r="H1582" s="41" t="n">
        <v>13.1</v>
      </c>
      <c r="I1582" s="31" t="s">
        <v>149</v>
      </c>
      <c r="J1582" s="31" t="n">
        <v>3</v>
      </c>
      <c r="K1582" s="31" t="s">
        <v>150</v>
      </c>
      <c r="L1582" s="45" t="n">
        <f aca="false">DATE(YEAR(B1582),MONTH(B1582),1)</f>
        <v>46204</v>
      </c>
      <c r="M1582" s="31" t="n">
        <f aca="false">WEEKDAY(B1582,2)</f>
        <v>3</v>
      </c>
      <c r="N1582" s="31" t="str">
        <f aca="false">IF(G1582&lt;=INDEX(Assumptions!$B$15:$B$18,MATCH(E1582,Assumptions!$A$15:$A$18,0)),"Yes","No")</f>
        <v>Yes</v>
      </c>
      <c r="O1582" s="31" t="str">
        <f aca="false">IF(H1582="","Open",IF(H1582&lt;=INDEX(Assumptions!$C$15:$C$18,MATCH(E1582,Assumptions!$A$15:$A$18,0)),"Yes","No"))</f>
        <v>Yes</v>
      </c>
    </row>
    <row r="1583" customFormat="false" ht="15" hidden="false" customHeight="false" outlineLevel="0" collapsed="false">
      <c r="A1583" s="31" t="s">
        <v>1733</v>
      </c>
      <c r="B1583" s="44" t="n">
        <v>46225</v>
      </c>
      <c r="C1583" s="31" t="s">
        <v>57</v>
      </c>
      <c r="D1583" s="31" t="s">
        <v>65</v>
      </c>
      <c r="E1583" s="31" t="s">
        <v>51</v>
      </c>
      <c r="F1583" s="31" t="s">
        <v>127</v>
      </c>
      <c r="G1583" s="31" t="n">
        <v>4</v>
      </c>
      <c r="H1583" s="41" t="n">
        <v>10.5</v>
      </c>
      <c r="I1583" s="31" t="s">
        <v>149</v>
      </c>
      <c r="J1583" s="31"/>
      <c r="K1583" s="31" t="s">
        <v>150</v>
      </c>
      <c r="L1583" s="45" t="n">
        <f aca="false">DATE(YEAR(B1583),MONTH(B1583),1)</f>
        <v>46204</v>
      </c>
      <c r="M1583" s="31" t="n">
        <f aca="false">WEEKDAY(B1583,2)</f>
        <v>3</v>
      </c>
      <c r="N1583" s="31" t="str">
        <f aca="false">IF(G1583&lt;=INDEX(Assumptions!$B$15:$B$18,MATCH(E1583,Assumptions!$A$15:$A$18,0)),"Yes","No")</f>
        <v>Yes</v>
      </c>
      <c r="O1583" s="31" t="str">
        <f aca="false">IF(H1583="","Open",IF(H1583&lt;=INDEX(Assumptions!$C$15:$C$18,MATCH(E1583,Assumptions!$A$15:$A$18,0)),"Yes","No"))</f>
        <v>Yes</v>
      </c>
    </row>
    <row r="1584" customFormat="false" ht="15" hidden="false" customHeight="false" outlineLevel="0" collapsed="false">
      <c r="A1584" s="31" t="s">
        <v>1734</v>
      </c>
      <c r="B1584" s="44" t="n">
        <v>46225</v>
      </c>
      <c r="C1584" s="31" t="s">
        <v>59</v>
      </c>
      <c r="D1584" s="31" t="s">
        <v>68</v>
      </c>
      <c r="E1584" s="31" t="s">
        <v>51</v>
      </c>
      <c r="F1584" s="31" t="s">
        <v>130</v>
      </c>
      <c r="G1584" s="31" t="n">
        <v>40</v>
      </c>
      <c r="H1584" s="41" t="n">
        <v>6.4</v>
      </c>
      <c r="I1584" s="31" t="s">
        <v>149</v>
      </c>
      <c r="J1584" s="31"/>
      <c r="K1584" s="31" t="s">
        <v>150</v>
      </c>
      <c r="L1584" s="45" t="n">
        <f aca="false">DATE(YEAR(B1584),MONTH(B1584),1)</f>
        <v>46204</v>
      </c>
      <c r="M1584" s="31" t="n">
        <f aca="false">WEEKDAY(B1584,2)</f>
        <v>3</v>
      </c>
      <c r="N1584" s="31" t="str">
        <f aca="false">IF(G1584&lt;=INDEX(Assumptions!$B$15:$B$18,MATCH(E1584,Assumptions!$A$15:$A$18,0)),"Yes","No")</f>
        <v>Yes</v>
      </c>
      <c r="O1584" s="31" t="str">
        <f aca="false">IF(H1584="","Open",IF(H1584&lt;=INDEX(Assumptions!$C$15:$C$18,MATCH(E1584,Assumptions!$A$15:$A$18,0)),"Yes","No"))</f>
        <v>Yes</v>
      </c>
    </row>
    <row r="1585" customFormat="false" ht="15" hidden="false" customHeight="false" outlineLevel="0" collapsed="false">
      <c r="A1585" s="31" t="s">
        <v>1735</v>
      </c>
      <c r="B1585" s="44" t="n">
        <v>46225</v>
      </c>
      <c r="C1585" s="31" t="s">
        <v>60</v>
      </c>
      <c r="D1585" s="31" t="s">
        <v>69</v>
      </c>
      <c r="E1585" s="31" t="s">
        <v>52</v>
      </c>
      <c r="F1585" s="31" t="s">
        <v>130</v>
      </c>
      <c r="G1585" s="31" t="n">
        <v>4</v>
      </c>
      <c r="H1585" s="41" t="n">
        <v>16.5</v>
      </c>
      <c r="I1585" s="31" t="s">
        <v>149</v>
      </c>
      <c r="J1585" s="31" t="n">
        <v>5</v>
      </c>
      <c r="K1585" s="31" t="s">
        <v>150</v>
      </c>
      <c r="L1585" s="45" t="n">
        <f aca="false">DATE(YEAR(B1585),MONTH(B1585),1)</f>
        <v>46204</v>
      </c>
      <c r="M1585" s="31" t="n">
        <f aca="false">WEEKDAY(B1585,2)</f>
        <v>3</v>
      </c>
      <c r="N1585" s="31" t="str">
        <f aca="false">IF(G1585&lt;=INDEX(Assumptions!$B$15:$B$18,MATCH(E1585,Assumptions!$A$15:$A$18,0)),"Yes","No")</f>
        <v>Yes</v>
      </c>
      <c r="O1585" s="31" t="str">
        <f aca="false">IF(H1585="","Open",IF(H1585&lt;=INDEX(Assumptions!$C$15:$C$18,MATCH(E1585,Assumptions!$A$15:$A$18,0)),"Yes","No"))</f>
        <v>Yes</v>
      </c>
    </row>
    <row r="1586" customFormat="false" ht="15" hidden="false" customHeight="false" outlineLevel="0" collapsed="false">
      <c r="A1586" s="31" t="s">
        <v>1736</v>
      </c>
      <c r="B1586" s="44" t="n">
        <v>46225</v>
      </c>
      <c r="C1586" s="31" t="s">
        <v>59</v>
      </c>
      <c r="D1586" s="31" t="s">
        <v>65</v>
      </c>
      <c r="E1586" s="31" t="s">
        <v>52</v>
      </c>
      <c r="F1586" s="31" t="s">
        <v>124</v>
      </c>
      <c r="G1586" s="31" t="n">
        <v>133</v>
      </c>
      <c r="H1586" s="41" t="n">
        <v>15.1</v>
      </c>
      <c r="I1586" s="31" t="s">
        <v>149</v>
      </c>
      <c r="J1586" s="31"/>
      <c r="K1586" s="31" t="s">
        <v>150</v>
      </c>
      <c r="L1586" s="45" t="n">
        <f aca="false">DATE(YEAR(B1586),MONTH(B1586),1)</f>
        <v>46204</v>
      </c>
      <c r="M1586" s="31" t="n">
        <f aca="false">WEEKDAY(B1586,2)</f>
        <v>3</v>
      </c>
      <c r="N1586" s="31" t="str">
        <f aca="false">IF(G1586&lt;=INDEX(Assumptions!$B$15:$B$18,MATCH(E1586,Assumptions!$A$15:$A$18,0)),"Yes","No")</f>
        <v>Yes</v>
      </c>
      <c r="O1586" s="31" t="str">
        <f aca="false">IF(H1586="","Open",IF(H1586&lt;=INDEX(Assumptions!$C$15:$C$18,MATCH(E1586,Assumptions!$A$15:$A$18,0)),"Yes","No"))</f>
        <v>Yes</v>
      </c>
    </row>
    <row r="1587" customFormat="false" ht="15" hidden="false" customHeight="false" outlineLevel="0" collapsed="false">
      <c r="A1587" s="31" t="s">
        <v>1737</v>
      </c>
      <c r="B1587" s="44" t="n">
        <v>46225</v>
      </c>
      <c r="C1587" s="31" t="s">
        <v>57</v>
      </c>
      <c r="D1587" s="31" t="s">
        <v>65</v>
      </c>
      <c r="E1587" s="31" t="s">
        <v>51</v>
      </c>
      <c r="F1587" s="31" t="s">
        <v>130</v>
      </c>
      <c r="G1587" s="31" t="n">
        <v>1</v>
      </c>
      <c r="H1587" s="41" t="n">
        <v>11</v>
      </c>
      <c r="I1587" s="31" t="s">
        <v>149</v>
      </c>
      <c r="J1587" s="31" t="n">
        <v>4</v>
      </c>
      <c r="K1587" s="31" t="s">
        <v>150</v>
      </c>
      <c r="L1587" s="45" t="n">
        <f aca="false">DATE(YEAR(B1587),MONTH(B1587),1)</f>
        <v>46204</v>
      </c>
      <c r="M1587" s="31" t="n">
        <f aca="false">WEEKDAY(B1587,2)</f>
        <v>3</v>
      </c>
      <c r="N1587" s="31" t="str">
        <f aca="false">IF(G1587&lt;=INDEX(Assumptions!$B$15:$B$18,MATCH(E1587,Assumptions!$A$15:$A$18,0)),"Yes","No")</f>
        <v>Yes</v>
      </c>
      <c r="O1587" s="31" t="str">
        <f aca="false">IF(H1587="","Open",IF(H1587&lt;=INDEX(Assumptions!$C$15:$C$18,MATCH(E1587,Assumptions!$A$15:$A$18,0)),"Yes","No"))</f>
        <v>Yes</v>
      </c>
    </row>
    <row r="1588" customFormat="false" ht="15" hidden="false" customHeight="false" outlineLevel="0" collapsed="false">
      <c r="A1588" s="31" t="s">
        <v>1738</v>
      </c>
      <c r="B1588" s="44" t="n">
        <v>46225</v>
      </c>
      <c r="C1588" s="31" t="s">
        <v>58</v>
      </c>
      <c r="D1588" s="31" t="s">
        <v>66</v>
      </c>
      <c r="E1588" s="31" t="s">
        <v>52</v>
      </c>
      <c r="F1588" s="31" t="s">
        <v>136</v>
      </c>
      <c r="G1588" s="31" t="n">
        <v>12</v>
      </c>
      <c r="H1588" s="41" t="n">
        <v>3.6</v>
      </c>
      <c r="I1588" s="31" t="s">
        <v>149</v>
      </c>
      <c r="J1588" s="31"/>
      <c r="K1588" s="31" t="s">
        <v>150</v>
      </c>
      <c r="L1588" s="45" t="n">
        <f aca="false">DATE(YEAR(B1588),MONTH(B1588),1)</f>
        <v>46204</v>
      </c>
      <c r="M1588" s="31" t="n">
        <f aca="false">WEEKDAY(B1588,2)</f>
        <v>3</v>
      </c>
      <c r="N1588" s="31" t="str">
        <f aca="false">IF(G1588&lt;=INDEX(Assumptions!$B$15:$B$18,MATCH(E1588,Assumptions!$A$15:$A$18,0)),"Yes","No")</f>
        <v>Yes</v>
      </c>
      <c r="O1588" s="31" t="str">
        <f aca="false">IF(H1588="","Open",IF(H1588&lt;=INDEX(Assumptions!$C$15:$C$18,MATCH(E1588,Assumptions!$A$15:$A$18,0)),"Yes","No"))</f>
        <v>Yes</v>
      </c>
    </row>
    <row r="1589" customFormat="false" ht="15" hidden="false" customHeight="false" outlineLevel="0" collapsed="false">
      <c r="A1589" s="31" t="s">
        <v>1739</v>
      </c>
      <c r="B1589" s="44" t="n">
        <v>46225</v>
      </c>
      <c r="C1589" s="31" t="s">
        <v>57</v>
      </c>
      <c r="D1589" s="31" t="s">
        <v>67</v>
      </c>
      <c r="E1589" s="31" t="s">
        <v>52</v>
      </c>
      <c r="F1589" s="31" t="s">
        <v>133</v>
      </c>
      <c r="G1589" s="31" t="n">
        <v>12</v>
      </c>
      <c r="H1589" s="41" t="n">
        <v>14.6</v>
      </c>
      <c r="I1589" s="31" t="s">
        <v>149</v>
      </c>
      <c r="J1589" s="31"/>
      <c r="K1589" s="31" t="s">
        <v>150</v>
      </c>
      <c r="L1589" s="45" t="n">
        <f aca="false">DATE(YEAR(B1589),MONTH(B1589),1)</f>
        <v>46204</v>
      </c>
      <c r="M1589" s="31" t="n">
        <f aca="false">WEEKDAY(B1589,2)</f>
        <v>3</v>
      </c>
      <c r="N1589" s="31" t="str">
        <f aca="false">IF(G1589&lt;=INDEX(Assumptions!$B$15:$B$18,MATCH(E1589,Assumptions!$A$15:$A$18,0)),"Yes","No")</f>
        <v>Yes</v>
      </c>
      <c r="O1589" s="31" t="str">
        <f aca="false">IF(H1589="","Open",IF(H1589&lt;=INDEX(Assumptions!$C$15:$C$18,MATCH(E1589,Assumptions!$A$15:$A$18,0)),"Yes","No"))</f>
        <v>Yes</v>
      </c>
    </row>
    <row r="1590" customFormat="false" ht="15" hidden="false" customHeight="false" outlineLevel="0" collapsed="false">
      <c r="A1590" s="31" t="s">
        <v>1740</v>
      </c>
      <c r="B1590" s="44" t="n">
        <v>46225</v>
      </c>
      <c r="C1590" s="31" t="s">
        <v>58</v>
      </c>
      <c r="D1590" s="31" t="s">
        <v>65</v>
      </c>
      <c r="E1590" s="31" t="s">
        <v>52</v>
      </c>
      <c r="F1590" s="31" t="s">
        <v>128</v>
      </c>
      <c r="G1590" s="31" t="n">
        <v>34</v>
      </c>
      <c r="H1590" s="41" t="n">
        <v>7.8</v>
      </c>
      <c r="I1590" s="31" t="s">
        <v>149</v>
      </c>
      <c r="J1590" s="31"/>
      <c r="K1590" s="31" t="s">
        <v>150</v>
      </c>
      <c r="L1590" s="45" t="n">
        <f aca="false">DATE(YEAR(B1590),MONTH(B1590),1)</f>
        <v>46204</v>
      </c>
      <c r="M1590" s="31" t="n">
        <f aca="false">WEEKDAY(B1590,2)</f>
        <v>3</v>
      </c>
      <c r="N1590" s="31" t="str">
        <f aca="false">IF(G1590&lt;=INDEX(Assumptions!$B$15:$B$18,MATCH(E1590,Assumptions!$A$15:$A$18,0)),"Yes","No")</f>
        <v>Yes</v>
      </c>
      <c r="O1590" s="31" t="str">
        <f aca="false">IF(H1590="","Open",IF(H1590&lt;=INDEX(Assumptions!$C$15:$C$18,MATCH(E1590,Assumptions!$A$15:$A$18,0)),"Yes","No"))</f>
        <v>Yes</v>
      </c>
    </row>
    <row r="1591" customFormat="false" ht="15" hidden="false" customHeight="false" outlineLevel="0" collapsed="false">
      <c r="A1591" s="31" t="s">
        <v>1741</v>
      </c>
      <c r="B1591" s="44" t="n">
        <v>46225</v>
      </c>
      <c r="C1591" s="31" t="s">
        <v>59</v>
      </c>
      <c r="D1591" s="31" t="s">
        <v>67</v>
      </c>
      <c r="E1591" s="31" t="s">
        <v>51</v>
      </c>
      <c r="F1591" s="31" t="s">
        <v>130</v>
      </c>
      <c r="G1591" s="31" t="n">
        <v>32</v>
      </c>
      <c r="H1591" s="41" t="n">
        <v>7.8</v>
      </c>
      <c r="I1591" s="31" t="s">
        <v>149</v>
      </c>
      <c r="J1591" s="31"/>
      <c r="K1591" s="31" t="s">
        <v>150</v>
      </c>
      <c r="L1591" s="45" t="n">
        <f aca="false">DATE(YEAR(B1591),MONTH(B1591),1)</f>
        <v>46204</v>
      </c>
      <c r="M1591" s="31" t="n">
        <f aca="false">WEEKDAY(B1591,2)</f>
        <v>3</v>
      </c>
      <c r="N1591" s="31" t="str">
        <f aca="false">IF(G1591&lt;=INDEX(Assumptions!$B$15:$B$18,MATCH(E1591,Assumptions!$A$15:$A$18,0)),"Yes","No")</f>
        <v>Yes</v>
      </c>
      <c r="O1591" s="31" t="str">
        <f aca="false">IF(H1591="","Open",IF(H1591&lt;=INDEX(Assumptions!$C$15:$C$18,MATCH(E1591,Assumptions!$A$15:$A$18,0)),"Yes","No"))</f>
        <v>Yes</v>
      </c>
    </row>
    <row r="1592" customFormat="false" ht="15" hidden="false" customHeight="false" outlineLevel="0" collapsed="false">
      <c r="A1592" s="31" t="s">
        <v>1742</v>
      </c>
      <c r="B1592" s="44" t="n">
        <v>46225</v>
      </c>
      <c r="C1592" s="31" t="s">
        <v>59</v>
      </c>
      <c r="D1592" s="31" t="s">
        <v>66</v>
      </c>
      <c r="E1592" s="31" t="s">
        <v>52</v>
      </c>
      <c r="F1592" s="31" t="s">
        <v>126</v>
      </c>
      <c r="G1592" s="31" t="n">
        <v>154</v>
      </c>
      <c r="H1592" s="41" t="n">
        <v>3.5</v>
      </c>
      <c r="I1592" s="31" t="s">
        <v>149</v>
      </c>
      <c r="J1592" s="31"/>
      <c r="K1592" s="31" t="s">
        <v>150</v>
      </c>
      <c r="L1592" s="45" t="n">
        <f aca="false">DATE(YEAR(B1592),MONTH(B1592),1)</f>
        <v>46204</v>
      </c>
      <c r="M1592" s="31" t="n">
        <f aca="false">WEEKDAY(B1592,2)</f>
        <v>3</v>
      </c>
      <c r="N1592" s="31" t="str">
        <f aca="false">IF(G1592&lt;=INDEX(Assumptions!$B$15:$B$18,MATCH(E1592,Assumptions!$A$15:$A$18,0)),"Yes","No")</f>
        <v>Yes</v>
      </c>
      <c r="O1592" s="31" t="str">
        <f aca="false">IF(H1592="","Open",IF(H1592&lt;=INDEX(Assumptions!$C$15:$C$18,MATCH(E1592,Assumptions!$A$15:$A$18,0)),"Yes","No"))</f>
        <v>Yes</v>
      </c>
    </row>
    <row r="1593" customFormat="false" ht="15" hidden="false" customHeight="false" outlineLevel="0" collapsed="false">
      <c r="A1593" s="31" t="s">
        <v>1743</v>
      </c>
      <c r="B1593" s="44" t="n">
        <v>46225</v>
      </c>
      <c r="C1593" s="31" t="s">
        <v>58</v>
      </c>
      <c r="D1593" s="31" t="s">
        <v>69</v>
      </c>
      <c r="E1593" s="31" t="s">
        <v>52</v>
      </c>
      <c r="F1593" s="31" t="s">
        <v>129</v>
      </c>
      <c r="G1593" s="31" t="n">
        <v>16</v>
      </c>
      <c r="H1593" s="41" t="n">
        <v>49.4</v>
      </c>
      <c r="I1593" s="31" t="s">
        <v>149</v>
      </c>
      <c r="J1593" s="31" t="n">
        <v>4</v>
      </c>
      <c r="K1593" s="31" t="s">
        <v>150</v>
      </c>
      <c r="L1593" s="45" t="n">
        <f aca="false">DATE(YEAR(B1593),MONTH(B1593),1)</f>
        <v>46204</v>
      </c>
      <c r="M1593" s="31" t="n">
        <f aca="false">WEEKDAY(B1593,2)</f>
        <v>3</v>
      </c>
      <c r="N1593" s="31" t="str">
        <f aca="false">IF(G1593&lt;=INDEX(Assumptions!$B$15:$B$18,MATCH(E1593,Assumptions!$A$15:$A$18,0)),"Yes","No")</f>
        <v>Yes</v>
      </c>
      <c r="O1593" s="31" t="str">
        <f aca="false">IF(H1593="","Open",IF(H1593&lt;=INDEX(Assumptions!$C$15:$C$18,MATCH(E1593,Assumptions!$A$15:$A$18,0)),"Yes","No"))</f>
        <v>Yes</v>
      </c>
    </row>
    <row r="1594" customFormat="false" ht="15" hidden="false" customHeight="false" outlineLevel="0" collapsed="false">
      <c r="A1594" s="31" t="s">
        <v>1744</v>
      </c>
      <c r="B1594" s="44" t="n">
        <v>46225</v>
      </c>
      <c r="C1594" s="31" t="s">
        <v>58</v>
      </c>
      <c r="D1594" s="31" t="s">
        <v>67</v>
      </c>
      <c r="E1594" s="31" t="s">
        <v>52</v>
      </c>
      <c r="F1594" s="31" t="s">
        <v>124</v>
      </c>
      <c r="G1594" s="31" t="n">
        <v>6</v>
      </c>
      <c r="H1594" s="41" t="n">
        <v>100.9</v>
      </c>
      <c r="I1594" s="31" t="s">
        <v>149</v>
      </c>
      <c r="J1594" s="31" t="n">
        <v>3</v>
      </c>
      <c r="K1594" s="31" t="s">
        <v>150</v>
      </c>
      <c r="L1594" s="45" t="n">
        <f aca="false">DATE(YEAR(B1594),MONTH(B1594),1)</f>
        <v>46204</v>
      </c>
      <c r="M1594" s="31" t="n">
        <f aca="false">WEEKDAY(B1594,2)</f>
        <v>3</v>
      </c>
      <c r="N1594" s="31" t="str">
        <f aca="false">IF(G1594&lt;=INDEX(Assumptions!$B$15:$B$18,MATCH(E1594,Assumptions!$A$15:$A$18,0)),"Yes","No")</f>
        <v>Yes</v>
      </c>
      <c r="O1594" s="31" t="str">
        <f aca="false">IF(H1594="","Open",IF(H1594&lt;=INDEX(Assumptions!$C$15:$C$18,MATCH(E1594,Assumptions!$A$15:$A$18,0)),"Yes","No"))</f>
        <v>No</v>
      </c>
    </row>
    <row r="1595" customFormat="false" ht="15" hidden="false" customHeight="false" outlineLevel="0" collapsed="false">
      <c r="A1595" s="31" t="s">
        <v>1745</v>
      </c>
      <c r="B1595" s="44" t="n">
        <v>46225</v>
      </c>
      <c r="C1595" s="31" t="s">
        <v>60</v>
      </c>
      <c r="D1595" s="31" t="s">
        <v>65</v>
      </c>
      <c r="E1595" s="31" t="s">
        <v>52</v>
      </c>
      <c r="F1595" s="31" t="s">
        <v>121</v>
      </c>
      <c r="G1595" s="31" t="n">
        <v>4</v>
      </c>
      <c r="H1595" s="41" t="n">
        <v>17.1</v>
      </c>
      <c r="I1595" s="31" t="s">
        <v>149</v>
      </c>
      <c r="J1595" s="31" t="n">
        <v>4</v>
      </c>
      <c r="K1595" s="31" t="s">
        <v>150</v>
      </c>
      <c r="L1595" s="45" t="n">
        <f aca="false">DATE(YEAR(B1595),MONTH(B1595),1)</f>
        <v>46204</v>
      </c>
      <c r="M1595" s="31" t="n">
        <f aca="false">WEEKDAY(B1595,2)</f>
        <v>3</v>
      </c>
      <c r="N1595" s="31" t="str">
        <f aca="false">IF(G1595&lt;=INDEX(Assumptions!$B$15:$B$18,MATCH(E1595,Assumptions!$A$15:$A$18,0)),"Yes","No")</f>
        <v>Yes</v>
      </c>
      <c r="O1595" s="31" t="str">
        <f aca="false">IF(H1595="","Open",IF(H1595&lt;=INDEX(Assumptions!$C$15:$C$18,MATCH(E1595,Assumptions!$A$15:$A$18,0)),"Yes","No"))</f>
        <v>Yes</v>
      </c>
    </row>
    <row r="1596" customFormat="false" ht="15" hidden="false" customHeight="false" outlineLevel="0" collapsed="false">
      <c r="A1596" s="31" t="s">
        <v>1746</v>
      </c>
      <c r="B1596" s="44" t="n">
        <v>46225</v>
      </c>
      <c r="C1596" s="31" t="s">
        <v>58</v>
      </c>
      <c r="D1596" s="31" t="s">
        <v>65</v>
      </c>
      <c r="E1596" s="31" t="s">
        <v>52</v>
      </c>
      <c r="F1596" s="31" t="s">
        <v>130</v>
      </c>
      <c r="G1596" s="31" t="n">
        <v>2</v>
      </c>
      <c r="H1596" s="41" t="n">
        <v>43.5</v>
      </c>
      <c r="I1596" s="31" t="s">
        <v>149</v>
      </c>
      <c r="J1596" s="31" t="n">
        <v>5</v>
      </c>
      <c r="K1596" s="31" t="s">
        <v>150</v>
      </c>
      <c r="L1596" s="45" t="n">
        <f aca="false">DATE(YEAR(B1596),MONTH(B1596),1)</f>
        <v>46204</v>
      </c>
      <c r="M1596" s="31" t="n">
        <f aca="false">WEEKDAY(B1596,2)</f>
        <v>3</v>
      </c>
      <c r="N1596" s="31" t="str">
        <f aca="false">IF(G1596&lt;=INDEX(Assumptions!$B$15:$B$18,MATCH(E1596,Assumptions!$A$15:$A$18,0)),"Yes","No")</f>
        <v>Yes</v>
      </c>
      <c r="O1596" s="31" t="str">
        <f aca="false">IF(H1596="","Open",IF(H1596&lt;=INDEX(Assumptions!$C$15:$C$18,MATCH(E1596,Assumptions!$A$15:$A$18,0)),"Yes","No"))</f>
        <v>Yes</v>
      </c>
    </row>
    <row r="1597" customFormat="false" ht="15" hidden="false" customHeight="false" outlineLevel="0" collapsed="false">
      <c r="A1597" s="31" t="s">
        <v>1747</v>
      </c>
      <c r="B1597" s="44" t="n">
        <v>46225</v>
      </c>
      <c r="C1597" s="31" t="s">
        <v>58</v>
      </c>
      <c r="D1597" s="31" t="s">
        <v>66</v>
      </c>
      <c r="E1597" s="31" t="s">
        <v>51</v>
      </c>
      <c r="F1597" s="31" t="s">
        <v>120</v>
      </c>
      <c r="G1597" s="31" t="n">
        <v>9</v>
      </c>
      <c r="H1597" s="41" t="n">
        <v>2</v>
      </c>
      <c r="I1597" s="31" t="s">
        <v>149</v>
      </c>
      <c r="J1597" s="31" t="n">
        <v>4</v>
      </c>
      <c r="K1597" s="31" t="s">
        <v>150</v>
      </c>
      <c r="L1597" s="45" t="n">
        <f aca="false">DATE(YEAR(B1597),MONTH(B1597),1)</f>
        <v>46204</v>
      </c>
      <c r="M1597" s="31" t="n">
        <f aca="false">WEEKDAY(B1597,2)</f>
        <v>3</v>
      </c>
      <c r="N1597" s="31" t="str">
        <f aca="false">IF(G1597&lt;=INDEX(Assumptions!$B$15:$B$18,MATCH(E1597,Assumptions!$A$15:$A$18,0)),"Yes","No")</f>
        <v>Yes</v>
      </c>
      <c r="O1597" s="31" t="str">
        <f aca="false">IF(H1597="","Open",IF(H1597&lt;=INDEX(Assumptions!$C$15:$C$18,MATCH(E1597,Assumptions!$A$15:$A$18,0)),"Yes","No"))</f>
        <v>Yes</v>
      </c>
    </row>
    <row r="1598" customFormat="false" ht="15" hidden="false" customHeight="false" outlineLevel="0" collapsed="false">
      <c r="A1598" s="31" t="s">
        <v>1748</v>
      </c>
      <c r="B1598" s="44" t="n">
        <v>46226</v>
      </c>
      <c r="C1598" s="31" t="s">
        <v>58</v>
      </c>
      <c r="D1598" s="31" t="s">
        <v>65</v>
      </c>
      <c r="E1598" s="31" t="s">
        <v>51</v>
      </c>
      <c r="F1598" s="31" t="s">
        <v>130</v>
      </c>
      <c r="G1598" s="31" t="n">
        <v>16</v>
      </c>
      <c r="H1598" s="41" t="n">
        <v>4.7</v>
      </c>
      <c r="I1598" s="31" t="s">
        <v>149</v>
      </c>
      <c r="J1598" s="31"/>
      <c r="K1598" s="31" t="s">
        <v>150</v>
      </c>
      <c r="L1598" s="45" t="n">
        <f aca="false">DATE(YEAR(B1598),MONTH(B1598),1)</f>
        <v>46204</v>
      </c>
      <c r="M1598" s="31" t="n">
        <f aca="false">WEEKDAY(B1598,2)</f>
        <v>4</v>
      </c>
      <c r="N1598" s="31" t="str">
        <f aca="false">IF(G1598&lt;=INDEX(Assumptions!$B$15:$B$18,MATCH(E1598,Assumptions!$A$15:$A$18,0)),"Yes","No")</f>
        <v>Yes</v>
      </c>
      <c r="O1598" s="31" t="str">
        <f aca="false">IF(H1598="","Open",IF(H1598&lt;=INDEX(Assumptions!$C$15:$C$18,MATCH(E1598,Assumptions!$A$15:$A$18,0)),"Yes","No"))</f>
        <v>Yes</v>
      </c>
    </row>
    <row r="1599" customFormat="false" ht="15" hidden="false" customHeight="false" outlineLevel="0" collapsed="false">
      <c r="A1599" s="31" t="s">
        <v>1749</v>
      </c>
      <c r="B1599" s="44" t="n">
        <v>46226</v>
      </c>
      <c r="C1599" s="31" t="s">
        <v>58</v>
      </c>
      <c r="D1599" s="31" t="s">
        <v>69</v>
      </c>
      <c r="E1599" s="31" t="s">
        <v>52</v>
      </c>
      <c r="F1599" s="31" t="s">
        <v>121</v>
      </c>
      <c r="G1599" s="31" t="n">
        <v>38</v>
      </c>
      <c r="H1599" s="41" t="n">
        <v>446.9</v>
      </c>
      <c r="I1599" s="31" t="s">
        <v>149</v>
      </c>
      <c r="J1599" s="31" t="n">
        <v>4</v>
      </c>
      <c r="K1599" s="31" t="s">
        <v>150</v>
      </c>
      <c r="L1599" s="45" t="n">
        <f aca="false">DATE(YEAR(B1599),MONTH(B1599),1)</f>
        <v>46204</v>
      </c>
      <c r="M1599" s="31" t="n">
        <f aca="false">WEEKDAY(B1599,2)</f>
        <v>4</v>
      </c>
      <c r="N1599" s="31" t="str">
        <f aca="false">IF(G1599&lt;=INDEX(Assumptions!$B$15:$B$18,MATCH(E1599,Assumptions!$A$15:$A$18,0)),"Yes","No")</f>
        <v>Yes</v>
      </c>
      <c r="O1599" s="31" t="str">
        <f aca="false">IF(H1599="","Open",IF(H1599&lt;=INDEX(Assumptions!$C$15:$C$18,MATCH(E1599,Assumptions!$A$15:$A$18,0)),"Yes","No"))</f>
        <v>No</v>
      </c>
    </row>
    <row r="1600" customFormat="false" ht="15" hidden="false" customHeight="false" outlineLevel="0" collapsed="false">
      <c r="A1600" s="31" t="s">
        <v>1750</v>
      </c>
      <c r="B1600" s="44" t="n">
        <v>46226</v>
      </c>
      <c r="C1600" s="31" t="s">
        <v>58</v>
      </c>
      <c r="D1600" s="31" t="s">
        <v>67</v>
      </c>
      <c r="E1600" s="31" t="s">
        <v>51</v>
      </c>
      <c r="F1600" s="31" t="s">
        <v>127</v>
      </c>
      <c r="G1600" s="31" t="n">
        <v>31</v>
      </c>
      <c r="H1600" s="41" t="n">
        <v>27.1</v>
      </c>
      <c r="I1600" s="31" t="s">
        <v>149</v>
      </c>
      <c r="J1600" s="31"/>
      <c r="K1600" s="31" t="s">
        <v>150</v>
      </c>
      <c r="L1600" s="45" t="n">
        <f aca="false">DATE(YEAR(B1600),MONTH(B1600),1)</f>
        <v>46204</v>
      </c>
      <c r="M1600" s="31" t="n">
        <f aca="false">WEEKDAY(B1600,2)</f>
        <v>4</v>
      </c>
      <c r="N1600" s="31" t="str">
        <f aca="false">IF(G1600&lt;=INDEX(Assumptions!$B$15:$B$18,MATCH(E1600,Assumptions!$A$15:$A$18,0)),"Yes","No")</f>
        <v>Yes</v>
      </c>
      <c r="O1600" s="31" t="str">
        <f aca="false">IF(H1600="","Open",IF(H1600&lt;=INDEX(Assumptions!$C$15:$C$18,MATCH(E1600,Assumptions!$A$15:$A$18,0)),"Yes","No"))</f>
        <v>No</v>
      </c>
    </row>
    <row r="1601" customFormat="false" ht="15" hidden="false" customHeight="false" outlineLevel="0" collapsed="false">
      <c r="A1601" s="31" t="s">
        <v>1751</v>
      </c>
      <c r="B1601" s="44" t="n">
        <v>46226</v>
      </c>
      <c r="C1601" s="31" t="s">
        <v>58</v>
      </c>
      <c r="D1601" s="31" t="s">
        <v>68</v>
      </c>
      <c r="E1601" s="31" t="s">
        <v>51</v>
      </c>
      <c r="F1601" s="31" t="s">
        <v>121</v>
      </c>
      <c r="G1601" s="31" t="n">
        <v>7</v>
      </c>
      <c r="H1601" s="41" t="n">
        <v>4.8</v>
      </c>
      <c r="I1601" s="31" t="s">
        <v>149</v>
      </c>
      <c r="J1601" s="31"/>
      <c r="K1601" s="31" t="s">
        <v>150</v>
      </c>
      <c r="L1601" s="45" t="n">
        <f aca="false">DATE(YEAR(B1601),MONTH(B1601),1)</f>
        <v>46204</v>
      </c>
      <c r="M1601" s="31" t="n">
        <f aca="false">WEEKDAY(B1601,2)</f>
        <v>4</v>
      </c>
      <c r="N1601" s="31" t="str">
        <f aca="false">IF(G1601&lt;=INDEX(Assumptions!$B$15:$B$18,MATCH(E1601,Assumptions!$A$15:$A$18,0)),"Yes","No")</f>
        <v>Yes</v>
      </c>
      <c r="O1601" s="31" t="str">
        <f aca="false">IF(H1601="","Open",IF(H1601&lt;=INDEX(Assumptions!$C$15:$C$18,MATCH(E1601,Assumptions!$A$15:$A$18,0)),"Yes","No"))</f>
        <v>Yes</v>
      </c>
    </row>
    <row r="1602" customFormat="false" ht="15" hidden="false" customHeight="false" outlineLevel="0" collapsed="false">
      <c r="A1602" s="31" t="s">
        <v>1752</v>
      </c>
      <c r="B1602" s="44" t="n">
        <v>46226</v>
      </c>
      <c r="C1602" s="31" t="s">
        <v>58</v>
      </c>
      <c r="D1602" s="31" t="s">
        <v>68</v>
      </c>
      <c r="E1602" s="31" t="s">
        <v>50</v>
      </c>
      <c r="F1602" s="31" t="s">
        <v>128</v>
      </c>
      <c r="G1602" s="31" t="n">
        <v>11</v>
      </c>
      <c r="H1602" s="41" t="n">
        <v>1.1</v>
      </c>
      <c r="I1602" s="31" t="s">
        <v>149</v>
      </c>
      <c r="J1602" s="31"/>
      <c r="K1602" s="31" t="s">
        <v>150</v>
      </c>
      <c r="L1602" s="45" t="n">
        <f aca="false">DATE(YEAR(B1602),MONTH(B1602),1)</f>
        <v>46204</v>
      </c>
      <c r="M1602" s="31" t="n">
        <f aca="false">WEEKDAY(B1602,2)</f>
        <v>4</v>
      </c>
      <c r="N1602" s="31" t="str">
        <f aca="false">IF(G1602&lt;=INDEX(Assumptions!$B$15:$B$18,MATCH(E1602,Assumptions!$A$15:$A$18,0)),"Yes","No")</f>
        <v>Yes</v>
      </c>
      <c r="O1602" s="31" t="str">
        <f aca="false">IF(H1602="","Open",IF(H1602&lt;=INDEX(Assumptions!$C$15:$C$18,MATCH(E1602,Assumptions!$A$15:$A$18,0)),"Yes","No"))</f>
        <v>Yes</v>
      </c>
    </row>
    <row r="1603" customFormat="false" ht="15" hidden="false" customHeight="false" outlineLevel="0" collapsed="false">
      <c r="A1603" s="31" t="s">
        <v>1753</v>
      </c>
      <c r="B1603" s="44" t="n">
        <v>46226</v>
      </c>
      <c r="C1603" s="31" t="s">
        <v>59</v>
      </c>
      <c r="D1603" s="31" t="s">
        <v>66</v>
      </c>
      <c r="E1603" s="31" t="s">
        <v>52</v>
      </c>
      <c r="F1603" s="31" t="s">
        <v>123</v>
      </c>
      <c r="G1603" s="31" t="n">
        <v>121</v>
      </c>
      <c r="H1603" s="41" t="n">
        <v>10.3</v>
      </c>
      <c r="I1603" s="31" t="s">
        <v>149</v>
      </c>
      <c r="J1603" s="31"/>
      <c r="K1603" s="31" t="s">
        <v>150</v>
      </c>
      <c r="L1603" s="45" t="n">
        <f aca="false">DATE(YEAR(B1603),MONTH(B1603),1)</f>
        <v>46204</v>
      </c>
      <c r="M1603" s="31" t="n">
        <f aca="false">WEEKDAY(B1603,2)</f>
        <v>4</v>
      </c>
      <c r="N1603" s="31" t="str">
        <f aca="false">IF(G1603&lt;=INDEX(Assumptions!$B$15:$B$18,MATCH(E1603,Assumptions!$A$15:$A$18,0)),"Yes","No")</f>
        <v>Yes</v>
      </c>
      <c r="O1603" s="31" t="str">
        <f aca="false">IF(H1603="","Open",IF(H1603&lt;=INDEX(Assumptions!$C$15:$C$18,MATCH(E1603,Assumptions!$A$15:$A$18,0)),"Yes","No"))</f>
        <v>Yes</v>
      </c>
    </row>
    <row r="1604" customFormat="false" ht="15" hidden="false" customHeight="false" outlineLevel="0" collapsed="false">
      <c r="A1604" s="31" t="s">
        <v>1754</v>
      </c>
      <c r="B1604" s="44" t="n">
        <v>46226</v>
      </c>
      <c r="C1604" s="31" t="s">
        <v>60</v>
      </c>
      <c r="D1604" s="31" t="s">
        <v>68</v>
      </c>
      <c r="E1604" s="31" t="s">
        <v>52</v>
      </c>
      <c r="F1604" s="31" t="s">
        <v>137</v>
      </c>
      <c r="G1604" s="31" t="n">
        <v>6</v>
      </c>
      <c r="H1604" s="41" t="n">
        <v>12.8</v>
      </c>
      <c r="I1604" s="31" t="s">
        <v>149</v>
      </c>
      <c r="J1604" s="31" t="n">
        <v>4</v>
      </c>
      <c r="K1604" s="31" t="s">
        <v>150</v>
      </c>
      <c r="L1604" s="45" t="n">
        <f aca="false">DATE(YEAR(B1604),MONTH(B1604),1)</f>
        <v>46204</v>
      </c>
      <c r="M1604" s="31" t="n">
        <f aca="false">WEEKDAY(B1604,2)</f>
        <v>4</v>
      </c>
      <c r="N1604" s="31" t="str">
        <f aca="false">IF(G1604&lt;=INDEX(Assumptions!$B$15:$B$18,MATCH(E1604,Assumptions!$A$15:$A$18,0)),"Yes","No")</f>
        <v>Yes</v>
      </c>
      <c r="O1604" s="31" t="str">
        <f aca="false">IF(H1604="","Open",IF(H1604&lt;=INDEX(Assumptions!$C$15:$C$18,MATCH(E1604,Assumptions!$A$15:$A$18,0)),"Yes","No"))</f>
        <v>Yes</v>
      </c>
    </row>
    <row r="1605" customFormat="false" ht="15" hidden="false" customHeight="false" outlineLevel="0" collapsed="false">
      <c r="A1605" s="31" t="s">
        <v>1755</v>
      </c>
      <c r="B1605" s="44" t="n">
        <v>46226</v>
      </c>
      <c r="C1605" s="31" t="s">
        <v>57</v>
      </c>
      <c r="D1605" s="31" t="s">
        <v>67</v>
      </c>
      <c r="E1605" s="31" t="s">
        <v>50</v>
      </c>
      <c r="F1605" s="31" t="s">
        <v>136</v>
      </c>
      <c r="G1605" s="31" t="n">
        <v>11</v>
      </c>
      <c r="H1605" s="41" t="n">
        <v>23.7</v>
      </c>
      <c r="I1605" s="31" t="s">
        <v>149</v>
      </c>
      <c r="J1605" s="31"/>
      <c r="K1605" s="31" t="s">
        <v>150</v>
      </c>
      <c r="L1605" s="45" t="n">
        <f aca="false">DATE(YEAR(B1605),MONTH(B1605),1)</f>
        <v>46204</v>
      </c>
      <c r="M1605" s="31" t="n">
        <f aca="false">WEEKDAY(B1605,2)</f>
        <v>4</v>
      </c>
      <c r="N1605" s="31" t="str">
        <f aca="false">IF(G1605&lt;=INDEX(Assumptions!$B$15:$B$18,MATCH(E1605,Assumptions!$A$15:$A$18,0)),"Yes","No")</f>
        <v>Yes</v>
      </c>
      <c r="O1605" s="31" t="str">
        <f aca="false">IF(H1605="","Open",IF(H1605&lt;=INDEX(Assumptions!$C$15:$C$18,MATCH(E1605,Assumptions!$A$15:$A$18,0)),"Yes","No"))</f>
        <v>No</v>
      </c>
    </row>
    <row r="1606" customFormat="false" ht="15" hidden="false" customHeight="false" outlineLevel="0" collapsed="false">
      <c r="A1606" s="31" t="s">
        <v>1756</v>
      </c>
      <c r="B1606" s="44" t="n">
        <v>46226</v>
      </c>
      <c r="C1606" s="31" t="s">
        <v>59</v>
      </c>
      <c r="D1606" s="31" t="s">
        <v>67</v>
      </c>
      <c r="E1606" s="31" t="s">
        <v>52</v>
      </c>
      <c r="F1606" s="31" t="s">
        <v>117</v>
      </c>
      <c r="G1606" s="31" t="n">
        <v>134</v>
      </c>
      <c r="H1606" s="41" t="n">
        <v>13.6</v>
      </c>
      <c r="I1606" s="31" t="s">
        <v>149</v>
      </c>
      <c r="J1606" s="31"/>
      <c r="K1606" s="31" t="s">
        <v>150</v>
      </c>
      <c r="L1606" s="45" t="n">
        <f aca="false">DATE(YEAR(B1606),MONTH(B1606),1)</f>
        <v>46204</v>
      </c>
      <c r="M1606" s="31" t="n">
        <f aca="false">WEEKDAY(B1606,2)</f>
        <v>4</v>
      </c>
      <c r="N1606" s="31" t="str">
        <f aca="false">IF(G1606&lt;=INDEX(Assumptions!$B$15:$B$18,MATCH(E1606,Assumptions!$A$15:$A$18,0)),"Yes","No")</f>
        <v>Yes</v>
      </c>
      <c r="O1606" s="31" t="str">
        <f aca="false">IF(H1606="","Open",IF(H1606&lt;=INDEX(Assumptions!$C$15:$C$18,MATCH(E1606,Assumptions!$A$15:$A$18,0)),"Yes","No"))</f>
        <v>Yes</v>
      </c>
    </row>
    <row r="1607" customFormat="false" ht="15" hidden="false" customHeight="false" outlineLevel="0" collapsed="false">
      <c r="A1607" s="31" t="s">
        <v>1757</v>
      </c>
      <c r="B1607" s="44" t="n">
        <v>46226</v>
      </c>
      <c r="C1607" s="31" t="s">
        <v>58</v>
      </c>
      <c r="D1607" s="31" t="s">
        <v>65</v>
      </c>
      <c r="E1607" s="31" t="s">
        <v>52</v>
      </c>
      <c r="F1607" s="31" t="s">
        <v>117</v>
      </c>
      <c r="G1607" s="31" t="n">
        <v>10</v>
      </c>
      <c r="H1607" s="41"/>
      <c r="I1607" s="31" t="s">
        <v>158</v>
      </c>
      <c r="J1607" s="31"/>
      <c r="K1607" s="31" t="s">
        <v>150</v>
      </c>
      <c r="L1607" s="45" t="n">
        <f aca="false">DATE(YEAR(B1607),MONTH(B1607),1)</f>
        <v>46204</v>
      </c>
      <c r="M1607" s="31" t="n">
        <f aca="false">WEEKDAY(B1607,2)</f>
        <v>4</v>
      </c>
      <c r="N1607" s="31" t="str">
        <f aca="false">IF(G1607&lt;=INDEX(Assumptions!$B$15:$B$18,MATCH(E1607,Assumptions!$A$15:$A$18,0)),"Yes","No")</f>
        <v>Yes</v>
      </c>
      <c r="O1607" s="31" t="str">
        <f aca="false">IF(H1607="","Open",IF(H1607&lt;=INDEX(Assumptions!$C$15:$C$18,MATCH(E1607,Assumptions!$A$15:$A$18,0)),"Yes","No"))</f>
        <v>Open</v>
      </c>
    </row>
    <row r="1608" customFormat="false" ht="15" hidden="false" customHeight="false" outlineLevel="0" collapsed="false">
      <c r="A1608" s="31" t="s">
        <v>1758</v>
      </c>
      <c r="B1608" s="44" t="n">
        <v>46226</v>
      </c>
      <c r="C1608" s="31" t="s">
        <v>57</v>
      </c>
      <c r="D1608" s="31" t="s">
        <v>68</v>
      </c>
      <c r="E1608" s="31" t="s">
        <v>52</v>
      </c>
      <c r="F1608" s="31" t="s">
        <v>126</v>
      </c>
      <c r="G1608" s="31" t="n">
        <v>22</v>
      </c>
      <c r="H1608" s="41" t="n">
        <v>5.5</v>
      </c>
      <c r="I1608" s="31" t="s">
        <v>149</v>
      </c>
      <c r="J1608" s="31"/>
      <c r="K1608" s="31" t="s">
        <v>150</v>
      </c>
      <c r="L1608" s="45" t="n">
        <f aca="false">DATE(YEAR(B1608),MONTH(B1608),1)</f>
        <v>46204</v>
      </c>
      <c r="M1608" s="31" t="n">
        <f aca="false">WEEKDAY(B1608,2)</f>
        <v>4</v>
      </c>
      <c r="N1608" s="31" t="str">
        <f aca="false">IF(G1608&lt;=INDEX(Assumptions!$B$15:$B$18,MATCH(E1608,Assumptions!$A$15:$A$18,0)),"Yes","No")</f>
        <v>Yes</v>
      </c>
      <c r="O1608" s="31" t="str">
        <f aca="false">IF(H1608="","Open",IF(H1608&lt;=INDEX(Assumptions!$C$15:$C$18,MATCH(E1608,Assumptions!$A$15:$A$18,0)),"Yes","No"))</f>
        <v>Yes</v>
      </c>
    </row>
    <row r="1609" customFormat="false" ht="15" hidden="false" customHeight="false" outlineLevel="0" collapsed="false">
      <c r="A1609" s="31" t="s">
        <v>1759</v>
      </c>
      <c r="B1609" s="44" t="n">
        <v>46226</v>
      </c>
      <c r="C1609" s="31" t="s">
        <v>57</v>
      </c>
      <c r="D1609" s="31" t="s">
        <v>66</v>
      </c>
      <c r="E1609" s="31" t="s">
        <v>52</v>
      </c>
      <c r="F1609" s="31" t="s">
        <v>129</v>
      </c>
      <c r="G1609" s="31" t="n">
        <v>2</v>
      </c>
      <c r="H1609" s="41" t="n">
        <v>13.5</v>
      </c>
      <c r="I1609" s="31" t="s">
        <v>149</v>
      </c>
      <c r="J1609" s="31" t="n">
        <v>4</v>
      </c>
      <c r="K1609" s="31" t="s">
        <v>150</v>
      </c>
      <c r="L1609" s="45" t="n">
        <f aca="false">DATE(YEAR(B1609),MONTH(B1609),1)</f>
        <v>46204</v>
      </c>
      <c r="M1609" s="31" t="n">
        <f aca="false">WEEKDAY(B1609,2)</f>
        <v>4</v>
      </c>
      <c r="N1609" s="31" t="str">
        <f aca="false">IF(G1609&lt;=INDEX(Assumptions!$B$15:$B$18,MATCH(E1609,Assumptions!$A$15:$A$18,0)),"Yes","No")</f>
        <v>Yes</v>
      </c>
      <c r="O1609" s="31" t="str">
        <f aca="false">IF(H1609="","Open",IF(H1609&lt;=INDEX(Assumptions!$C$15:$C$18,MATCH(E1609,Assumptions!$A$15:$A$18,0)),"Yes","No"))</f>
        <v>Yes</v>
      </c>
    </row>
    <row r="1610" customFormat="false" ht="15" hidden="false" customHeight="false" outlineLevel="0" collapsed="false">
      <c r="A1610" s="31" t="s">
        <v>1760</v>
      </c>
      <c r="B1610" s="44" t="n">
        <v>46226</v>
      </c>
      <c r="C1610" s="31" t="s">
        <v>60</v>
      </c>
      <c r="D1610" s="31" t="s">
        <v>67</v>
      </c>
      <c r="E1610" s="31" t="s">
        <v>51</v>
      </c>
      <c r="F1610" s="31" t="s">
        <v>120</v>
      </c>
      <c r="G1610" s="31" t="n">
        <v>8</v>
      </c>
      <c r="H1610" s="41" t="n">
        <v>18.5</v>
      </c>
      <c r="I1610" s="31" t="s">
        <v>64</v>
      </c>
      <c r="J1610" s="31" t="n">
        <v>3</v>
      </c>
      <c r="K1610" s="31" t="s">
        <v>150</v>
      </c>
      <c r="L1610" s="45" t="n">
        <f aca="false">DATE(YEAR(B1610),MONTH(B1610),1)</f>
        <v>46204</v>
      </c>
      <c r="M1610" s="31" t="n">
        <f aca="false">WEEKDAY(B1610,2)</f>
        <v>4</v>
      </c>
      <c r="N1610" s="31" t="str">
        <f aca="false">IF(G1610&lt;=INDEX(Assumptions!$B$15:$B$18,MATCH(E1610,Assumptions!$A$15:$A$18,0)),"Yes","No")</f>
        <v>Yes</v>
      </c>
      <c r="O1610" s="31" t="str">
        <f aca="false">IF(H1610="","Open",IF(H1610&lt;=INDEX(Assumptions!$C$15:$C$18,MATCH(E1610,Assumptions!$A$15:$A$18,0)),"Yes","No"))</f>
        <v>Yes</v>
      </c>
    </row>
    <row r="1611" customFormat="false" ht="15" hidden="false" customHeight="false" outlineLevel="0" collapsed="false">
      <c r="A1611" s="31" t="s">
        <v>1761</v>
      </c>
      <c r="B1611" s="44" t="n">
        <v>46226</v>
      </c>
      <c r="C1611" s="31" t="s">
        <v>57</v>
      </c>
      <c r="D1611" s="31" t="s">
        <v>65</v>
      </c>
      <c r="E1611" s="31" t="s">
        <v>51</v>
      </c>
      <c r="F1611" s="31" t="s">
        <v>122</v>
      </c>
      <c r="G1611" s="31" t="n">
        <v>1</v>
      </c>
      <c r="H1611" s="41" t="n">
        <v>15.9</v>
      </c>
      <c r="I1611" s="31" t="s">
        <v>149</v>
      </c>
      <c r="J1611" s="31"/>
      <c r="K1611" s="31" t="s">
        <v>150</v>
      </c>
      <c r="L1611" s="45" t="n">
        <f aca="false">DATE(YEAR(B1611),MONTH(B1611),1)</f>
        <v>46204</v>
      </c>
      <c r="M1611" s="31" t="n">
        <f aca="false">WEEKDAY(B1611,2)</f>
        <v>4</v>
      </c>
      <c r="N1611" s="31" t="str">
        <f aca="false">IF(G1611&lt;=INDEX(Assumptions!$B$15:$B$18,MATCH(E1611,Assumptions!$A$15:$A$18,0)),"Yes","No")</f>
        <v>Yes</v>
      </c>
      <c r="O1611" s="31" t="str">
        <f aca="false">IF(H1611="","Open",IF(H1611&lt;=INDEX(Assumptions!$C$15:$C$18,MATCH(E1611,Assumptions!$A$15:$A$18,0)),"Yes","No"))</f>
        <v>Yes</v>
      </c>
    </row>
    <row r="1612" customFormat="false" ht="15" hidden="false" customHeight="false" outlineLevel="0" collapsed="false">
      <c r="A1612" s="31" t="s">
        <v>1762</v>
      </c>
      <c r="B1612" s="44" t="n">
        <v>46226</v>
      </c>
      <c r="C1612" s="31" t="s">
        <v>58</v>
      </c>
      <c r="D1612" s="31" t="s">
        <v>65</v>
      </c>
      <c r="E1612" s="31" t="s">
        <v>51</v>
      </c>
      <c r="F1612" s="31" t="s">
        <v>121</v>
      </c>
      <c r="G1612" s="31" t="n">
        <v>9</v>
      </c>
      <c r="H1612" s="41" t="n">
        <v>27</v>
      </c>
      <c r="I1612" s="31" t="s">
        <v>149</v>
      </c>
      <c r="J1612" s="31"/>
      <c r="K1612" s="31" t="s">
        <v>150</v>
      </c>
      <c r="L1612" s="45" t="n">
        <f aca="false">DATE(YEAR(B1612),MONTH(B1612),1)</f>
        <v>46204</v>
      </c>
      <c r="M1612" s="31" t="n">
        <f aca="false">WEEKDAY(B1612,2)</f>
        <v>4</v>
      </c>
      <c r="N1612" s="31" t="str">
        <f aca="false">IF(G1612&lt;=INDEX(Assumptions!$B$15:$B$18,MATCH(E1612,Assumptions!$A$15:$A$18,0)),"Yes","No")</f>
        <v>Yes</v>
      </c>
      <c r="O1612" s="31" t="str">
        <f aca="false">IF(H1612="","Open",IF(H1612&lt;=INDEX(Assumptions!$C$15:$C$18,MATCH(E1612,Assumptions!$A$15:$A$18,0)),"Yes","No"))</f>
        <v>No</v>
      </c>
    </row>
    <row r="1613" customFormat="false" ht="15" hidden="false" customHeight="false" outlineLevel="0" collapsed="false">
      <c r="A1613" s="31" t="s">
        <v>1763</v>
      </c>
      <c r="B1613" s="44" t="n">
        <v>46226</v>
      </c>
      <c r="C1613" s="31" t="s">
        <v>58</v>
      </c>
      <c r="D1613" s="31" t="s">
        <v>68</v>
      </c>
      <c r="E1613" s="31" t="s">
        <v>51</v>
      </c>
      <c r="F1613" s="31" t="s">
        <v>136</v>
      </c>
      <c r="G1613" s="31" t="n">
        <v>5</v>
      </c>
      <c r="H1613" s="41" t="n">
        <v>11.9</v>
      </c>
      <c r="I1613" s="31" t="s">
        <v>149</v>
      </c>
      <c r="J1613" s="31" t="n">
        <v>5</v>
      </c>
      <c r="K1613" s="31" t="s">
        <v>150</v>
      </c>
      <c r="L1613" s="45" t="n">
        <f aca="false">DATE(YEAR(B1613),MONTH(B1613),1)</f>
        <v>46204</v>
      </c>
      <c r="M1613" s="31" t="n">
        <f aca="false">WEEKDAY(B1613,2)</f>
        <v>4</v>
      </c>
      <c r="N1613" s="31" t="str">
        <f aca="false">IF(G1613&lt;=INDEX(Assumptions!$B$15:$B$18,MATCH(E1613,Assumptions!$A$15:$A$18,0)),"Yes","No")</f>
        <v>Yes</v>
      </c>
      <c r="O1613" s="31" t="str">
        <f aca="false">IF(H1613="","Open",IF(H1613&lt;=INDEX(Assumptions!$C$15:$C$18,MATCH(E1613,Assumptions!$A$15:$A$18,0)),"Yes","No"))</f>
        <v>Yes</v>
      </c>
    </row>
    <row r="1614" customFormat="false" ht="15" hidden="false" customHeight="false" outlineLevel="0" collapsed="false">
      <c r="A1614" s="31" t="s">
        <v>1764</v>
      </c>
      <c r="B1614" s="44" t="n">
        <v>46226</v>
      </c>
      <c r="C1614" s="31" t="s">
        <v>58</v>
      </c>
      <c r="D1614" s="31" t="s">
        <v>65</v>
      </c>
      <c r="E1614" s="31" t="s">
        <v>52</v>
      </c>
      <c r="F1614" s="31" t="s">
        <v>130</v>
      </c>
      <c r="G1614" s="31" t="n">
        <v>36</v>
      </c>
      <c r="H1614" s="41" t="n">
        <v>3.1</v>
      </c>
      <c r="I1614" s="31" t="s">
        <v>149</v>
      </c>
      <c r="J1614" s="31"/>
      <c r="K1614" s="31" t="s">
        <v>150</v>
      </c>
      <c r="L1614" s="45" t="n">
        <f aca="false">DATE(YEAR(B1614),MONTH(B1614),1)</f>
        <v>46204</v>
      </c>
      <c r="M1614" s="31" t="n">
        <f aca="false">WEEKDAY(B1614,2)</f>
        <v>4</v>
      </c>
      <c r="N1614" s="31" t="str">
        <f aca="false">IF(G1614&lt;=INDEX(Assumptions!$B$15:$B$18,MATCH(E1614,Assumptions!$A$15:$A$18,0)),"Yes","No")</f>
        <v>Yes</v>
      </c>
      <c r="O1614" s="31" t="str">
        <f aca="false">IF(H1614="","Open",IF(H1614&lt;=INDEX(Assumptions!$C$15:$C$18,MATCH(E1614,Assumptions!$A$15:$A$18,0)),"Yes","No"))</f>
        <v>Yes</v>
      </c>
    </row>
    <row r="1615" customFormat="false" ht="15" hidden="false" customHeight="false" outlineLevel="0" collapsed="false">
      <c r="A1615" s="31" t="s">
        <v>1765</v>
      </c>
      <c r="B1615" s="44" t="n">
        <v>46226</v>
      </c>
      <c r="C1615" s="31" t="s">
        <v>59</v>
      </c>
      <c r="D1615" s="31" t="s">
        <v>65</v>
      </c>
      <c r="E1615" s="31" t="s">
        <v>51</v>
      </c>
      <c r="F1615" s="31" t="s">
        <v>119</v>
      </c>
      <c r="G1615" s="31" t="n">
        <v>51</v>
      </c>
      <c r="H1615" s="41" t="n">
        <v>11.9</v>
      </c>
      <c r="I1615" s="31" t="s">
        <v>149</v>
      </c>
      <c r="J1615" s="31" t="n">
        <v>5</v>
      </c>
      <c r="K1615" s="31" t="s">
        <v>150</v>
      </c>
      <c r="L1615" s="45" t="n">
        <f aca="false">DATE(YEAR(B1615),MONTH(B1615),1)</f>
        <v>46204</v>
      </c>
      <c r="M1615" s="31" t="n">
        <f aca="false">WEEKDAY(B1615,2)</f>
        <v>4</v>
      </c>
      <c r="N1615" s="31" t="str">
        <f aca="false">IF(G1615&lt;=INDEX(Assumptions!$B$15:$B$18,MATCH(E1615,Assumptions!$A$15:$A$18,0)),"Yes","No")</f>
        <v>Yes</v>
      </c>
      <c r="O1615" s="31" t="str">
        <f aca="false">IF(H1615="","Open",IF(H1615&lt;=INDEX(Assumptions!$C$15:$C$18,MATCH(E1615,Assumptions!$A$15:$A$18,0)),"Yes","No"))</f>
        <v>Yes</v>
      </c>
    </row>
    <row r="1616" customFormat="false" ht="15" hidden="false" customHeight="false" outlineLevel="0" collapsed="false">
      <c r="A1616" s="31" t="s">
        <v>1766</v>
      </c>
      <c r="B1616" s="44" t="n">
        <v>46226</v>
      </c>
      <c r="C1616" s="31" t="s">
        <v>57</v>
      </c>
      <c r="D1616" s="31" t="s">
        <v>69</v>
      </c>
      <c r="E1616" s="31" t="s">
        <v>51</v>
      </c>
      <c r="F1616" s="31" t="s">
        <v>129</v>
      </c>
      <c r="G1616" s="31" t="n">
        <v>4</v>
      </c>
      <c r="H1616" s="41" t="n">
        <v>8.2</v>
      </c>
      <c r="I1616" s="31" t="s">
        <v>149</v>
      </c>
      <c r="J1616" s="31" t="n">
        <v>4</v>
      </c>
      <c r="K1616" s="31" t="s">
        <v>150</v>
      </c>
      <c r="L1616" s="45" t="n">
        <f aca="false">DATE(YEAR(B1616),MONTH(B1616),1)</f>
        <v>46204</v>
      </c>
      <c r="M1616" s="31" t="n">
        <f aca="false">WEEKDAY(B1616,2)</f>
        <v>4</v>
      </c>
      <c r="N1616" s="31" t="str">
        <f aca="false">IF(G1616&lt;=INDEX(Assumptions!$B$15:$B$18,MATCH(E1616,Assumptions!$A$15:$A$18,0)),"Yes","No")</f>
        <v>Yes</v>
      </c>
      <c r="O1616" s="31" t="str">
        <f aca="false">IF(H1616="","Open",IF(H1616&lt;=INDEX(Assumptions!$C$15:$C$18,MATCH(E1616,Assumptions!$A$15:$A$18,0)),"Yes","No"))</f>
        <v>Yes</v>
      </c>
    </row>
    <row r="1617" customFormat="false" ht="15" hidden="false" customHeight="false" outlineLevel="0" collapsed="false">
      <c r="A1617" s="31" t="s">
        <v>1767</v>
      </c>
      <c r="B1617" s="44" t="n">
        <v>46226</v>
      </c>
      <c r="C1617" s="31" t="s">
        <v>59</v>
      </c>
      <c r="D1617" s="31" t="s">
        <v>67</v>
      </c>
      <c r="E1617" s="31" t="s">
        <v>52</v>
      </c>
      <c r="F1617" s="31" t="s">
        <v>136</v>
      </c>
      <c r="G1617" s="31" t="n">
        <v>27</v>
      </c>
      <c r="H1617" s="41" t="n">
        <v>22.8</v>
      </c>
      <c r="I1617" s="31" t="s">
        <v>149</v>
      </c>
      <c r="J1617" s="31" t="n">
        <v>5</v>
      </c>
      <c r="K1617" s="31" t="s">
        <v>150</v>
      </c>
      <c r="L1617" s="45" t="n">
        <f aca="false">DATE(YEAR(B1617),MONTH(B1617),1)</f>
        <v>46204</v>
      </c>
      <c r="M1617" s="31" t="n">
        <f aca="false">WEEKDAY(B1617,2)</f>
        <v>4</v>
      </c>
      <c r="N1617" s="31" t="str">
        <f aca="false">IF(G1617&lt;=INDEX(Assumptions!$B$15:$B$18,MATCH(E1617,Assumptions!$A$15:$A$18,0)),"Yes","No")</f>
        <v>Yes</v>
      </c>
      <c r="O1617" s="31" t="str">
        <f aca="false">IF(H1617="","Open",IF(H1617&lt;=INDEX(Assumptions!$C$15:$C$18,MATCH(E1617,Assumptions!$A$15:$A$18,0)),"Yes","No"))</f>
        <v>Yes</v>
      </c>
    </row>
    <row r="1618" customFormat="false" ht="15" hidden="false" customHeight="false" outlineLevel="0" collapsed="false">
      <c r="A1618" s="31" t="s">
        <v>1768</v>
      </c>
      <c r="B1618" s="44" t="n">
        <v>46226</v>
      </c>
      <c r="C1618" s="31" t="s">
        <v>57</v>
      </c>
      <c r="D1618" s="31" t="s">
        <v>68</v>
      </c>
      <c r="E1618" s="31" t="s">
        <v>52</v>
      </c>
      <c r="F1618" s="31" t="s">
        <v>123</v>
      </c>
      <c r="G1618" s="31" t="n">
        <v>3</v>
      </c>
      <c r="H1618" s="41" t="n">
        <v>4.7</v>
      </c>
      <c r="I1618" s="31" t="s">
        <v>149</v>
      </c>
      <c r="J1618" s="31" t="n">
        <v>5</v>
      </c>
      <c r="K1618" s="31" t="s">
        <v>150</v>
      </c>
      <c r="L1618" s="45" t="n">
        <f aca="false">DATE(YEAR(B1618),MONTH(B1618),1)</f>
        <v>46204</v>
      </c>
      <c r="M1618" s="31" t="n">
        <f aca="false">WEEKDAY(B1618,2)</f>
        <v>4</v>
      </c>
      <c r="N1618" s="31" t="str">
        <f aca="false">IF(G1618&lt;=INDEX(Assumptions!$B$15:$B$18,MATCH(E1618,Assumptions!$A$15:$A$18,0)),"Yes","No")</f>
        <v>Yes</v>
      </c>
      <c r="O1618" s="31" t="str">
        <f aca="false">IF(H1618="","Open",IF(H1618&lt;=INDEX(Assumptions!$C$15:$C$18,MATCH(E1618,Assumptions!$A$15:$A$18,0)),"Yes","No"))</f>
        <v>Yes</v>
      </c>
    </row>
    <row r="1619" customFormat="false" ht="15" hidden="false" customHeight="false" outlineLevel="0" collapsed="false">
      <c r="A1619" s="31" t="s">
        <v>1769</v>
      </c>
      <c r="B1619" s="44" t="n">
        <v>46226</v>
      </c>
      <c r="C1619" s="31" t="s">
        <v>60</v>
      </c>
      <c r="D1619" s="31" t="s">
        <v>65</v>
      </c>
      <c r="E1619" s="31" t="s">
        <v>51</v>
      </c>
      <c r="F1619" s="31" t="s">
        <v>123</v>
      </c>
      <c r="G1619" s="31" t="n">
        <v>2</v>
      </c>
      <c r="H1619" s="41" t="n">
        <v>21.3</v>
      </c>
      <c r="I1619" s="31" t="s">
        <v>149</v>
      </c>
      <c r="J1619" s="31"/>
      <c r="K1619" s="31" t="s">
        <v>150</v>
      </c>
      <c r="L1619" s="45" t="n">
        <f aca="false">DATE(YEAR(B1619),MONTH(B1619),1)</f>
        <v>46204</v>
      </c>
      <c r="M1619" s="31" t="n">
        <f aca="false">WEEKDAY(B1619,2)</f>
        <v>4</v>
      </c>
      <c r="N1619" s="31" t="str">
        <f aca="false">IF(G1619&lt;=INDEX(Assumptions!$B$15:$B$18,MATCH(E1619,Assumptions!$A$15:$A$18,0)),"Yes","No")</f>
        <v>Yes</v>
      </c>
      <c r="O1619" s="31" t="str">
        <f aca="false">IF(H1619="","Open",IF(H1619&lt;=INDEX(Assumptions!$C$15:$C$18,MATCH(E1619,Assumptions!$A$15:$A$18,0)),"Yes","No"))</f>
        <v>Yes</v>
      </c>
    </row>
    <row r="1620" customFormat="false" ht="15" hidden="false" customHeight="false" outlineLevel="0" collapsed="false">
      <c r="A1620" s="31" t="s">
        <v>1770</v>
      </c>
      <c r="B1620" s="44" t="n">
        <v>46226</v>
      </c>
      <c r="C1620" s="31" t="s">
        <v>58</v>
      </c>
      <c r="D1620" s="31" t="s">
        <v>69</v>
      </c>
      <c r="E1620" s="31" t="s">
        <v>51</v>
      </c>
      <c r="F1620" s="31" t="s">
        <v>117</v>
      </c>
      <c r="G1620" s="31" t="n">
        <v>5</v>
      </c>
      <c r="H1620" s="41" t="n">
        <v>67.9</v>
      </c>
      <c r="I1620" s="31" t="s">
        <v>149</v>
      </c>
      <c r="J1620" s="31"/>
      <c r="K1620" s="31" t="s">
        <v>150</v>
      </c>
      <c r="L1620" s="45" t="n">
        <f aca="false">DATE(YEAR(B1620),MONTH(B1620),1)</f>
        <v>46204</v>
      </c>
      <c r="M1620" s="31" t="n">
        <f aca="false">WEEKDAY(B1620,2)</f>
        <v>4</v>
      </c>
      <c r="N1620" s="31" t="str">
        <f aca="false">IF(G1620&lt;=INDEX(Assumptions!$B$15:$B$18,MATCH(E1620,Assumptions!$A$15:$A$18,0)),"Yes","No")</f>
        <v>Yes</v>
      </c>
      <c r="O1620" s="31" t="str">
        <f aca="false">IF(H1620="","Open",IF(H1620&lt;=INDEX(Assumptions!$C$15:$C$18,MATCH(E1620,Assumptions!$A$15:$A$18,0)),"Yes","No"))</f>
        <v>No</v>
      </c>
    </row>
    <row r="1621" customFormat="false" ht="15" hidden="false" customHeight="false" outlineLevel="0" collapsed="false">
      <c r="A1621" s="31" t="s">
        <v>1771</v>
      </c>
      <c r="B1621" s="44" t="n">
        <v>46226</v>
      </c>
      <c r="C1621" s="31" t="s">
        <v>58</v>
      </c>
      <c r="D1621" s="31" t="s">
        <v>65</v>
      </c>
      <c r="E1621" s="31" t="s">
        <v>51</v>
      </c>
      <c r="F1621" s="31" t="s">
        <v>130</v>
      </c>
      <c r="G1621" s="31" t="n">
        <v>4</v>
      </c>
      <c r="H1621" s="41" t="n">
        <v>7</v>
      </c>
      <c r="I1621" s="31" t="s">
        <v>149</v>
      </c>
      <c r="J1621" s="31" t="n">
        <v>5</v>
      </c>
      <c r="K1621" s="31" t="s">
        <v>150</v>
      </c>
      <c r="L1621" s="45" t="n">
        <f aca="false">DATE(YEAR(B1621),MONTH(B1621),1)</f>
        <v>46204</v>
      </c>
      <c r="M1621" s="31" t="n">
        <f aca="false">WEEKDAY(B1621,2)</f>
        <v>4</v>
      </c>
      <c r="N1621" s="31" t="str">
        <f aca="false">IF(G1621&lt;=INDEX(Assumptions!$B$15:$B$18,MATCH(E1621,Assumptions!$A$15:$A$18,0)),"Yes","No")</f>
        <v>Yes</v>
      </c>
      <c r="O1621" s="31" t="str">
        <f aca="false">IF(H1621="","Open",IF(H1621&lt;=INDEX(Assumptions!$C$15:$C$18,MATCH(E1621,Assumptions!$A$15:$A$18,0)),"Yes","No"))</f>
        <v>Yes</v>
      </c>
    </row>
    <row r="1622" customFormat="false" ht="15" hidden="false" customHeight="false" outlineLevel="0" collapsed="false">
      <c r="A1622" s="31" t="s">
        <v>1772</v>
      </c>
      <c r="B1622" s="44" t="n">
        <v>46226</v>
      </c>
      <c r="C1622" s="31" t="s">
        <v>58</v>
      </c>
      <c r="D1622" s="31" t="s">
        <v>66</v>
      </c>
      <c r="E1622" s="31" t="s">
        <v>50</v>
      </c>
      <c r="F1622" s="31" t="s">
        <v>123</v>
      </c>
      <c r="G1622" s="31" t="n">
        <v>10</v>
      </c>
      <c r="H1622" s="41" t="n">
        <v>10</v>
      </c>
      <c r="I1622" s="31" t="s">
        <v>64</v>
      </c>
      <c r="J1622" s="31" t="n">
        <v>3</v>
      </c>
      <c r="K1622" s="31" t="s">
        <v>150</v>
      </c>
      <c r="L1622" s="45" t="n">
        <f aca="false">DATE(YEAR(B1622),MONTH(B1622),1)</f>
        <v>46204</v>
      </c>
      <c r="M1622" s="31" t="n">
        <f aca="false">WEEKDAY(B1622,2)</f>
        <v>4</v>
      </c>
      <c r="N1622" s="31" t="str">
        <f aca="false">IF(G1622&lt;=INDEX(Assumptions!$B$15:$B$18,MATCH(E1622,Assumptions!$A$15:$A$18,0)),"Yes","No")</f>
        <v>Yes</v>
      </c>
      <c r="O1622" s="31" t="str">
        <f aca="false">IF(H1622="","Open",IF(H1622&lt;=INDEX(Assumptions!$C$15:$C$18,MATCH(E1622,Assumptions!$A$15:$A$18,0)),"Yes","No"))</f>
        <v>No</v>
      </c>
    </row>
    <row r="1623" customFormat="false" ht="15" hidden="false" customHeight="false" outlineLevel="0" collapsed="false">
      <c r="A1623" s="31" t="s">
        <v>1773</v>
      </c>
      <c r="B1623" s="44" t="n">
        <v>46226</v>
      </c>
      <c r="C1623" s="31" t="s">
        <v>57</v>
      </c>
      <c r="D1623" s="31" t="s">
        <v>66</v>
      </c>
      <c r="E1623" s="31" t="s">
        <v>52</v>
      </c>
      <c r="F1623" s="31" t="s">
        <v>124</v>
      </c>
      <c r="G1623" s="31" t="n">
        <v>21</v>
      </c>
      <c r="H1623" s="41" t="n">
        <v>16.2</v>
      </c>
      <c r="I1623" s="31" t="s">
        <v>149</v>
      </c>
      <c r="J1623" s="31"/>
      <c r="K1623" s="31" t="s">
        <v>150</v>
      </c>
      <c r="L1623" s="45" t="n">
        <f aca="false">DATE(YEAR(B1623),MONTH(B1623),1)</f>
        <v>46204</v>
      </c>
      <c r="M1623" s="31" t="n">
        <f aca="false">WEEKDAY(B1623,2)</f>
        <v>4</v>
      </c>
      <c r="N1623" s="31" t="str">
        <f aca="false">IF(G1623&lt;=INDEX(Assumptions!$B$15:$B$18,MATCH(E1623,Assumptions!$A$15:$A$18,0)),"Yes","No")</f>
        <v>Yes</v>
      </c>
      <c r="O1623" s="31" t="str">
        <f aca="false">IF(H1623="","Open",IF(H1623&lt;=INDEX(Assumptions!$C$15:$C$18,MATCH(E1623,Assumptions!$A$15:$A$18,0)),"Yes","No"))</f>
        <v>Yes</v>
      </c>
    </row>
    <row r="1624" customFormat="false" ht="15" hidden="false" customHeight="false" outlineLevel="0" collapsed="false">
      <c r="A1624" s="31" t="s">
        <v>1774</v>
      </c>
      <c r="B1624" s="44" t="n">
        <v>46226</v>
      </c>
      <c r="C1624" s="31" t="s">
        <v>58</v>
      </c>
      <c r="D1624" s="31" t="s">
        <v>65</v>
      </c>
      <c r="E1624" s="31" t="s">
        <v>51</v>
      </c>
      <c r="F1624" s="31" t="s">
        <v>129</v>
      </c>
      <c r="G1624" s="31" t="n">
        <v>12</v>
      </c>
      <c r="H1624" s="41" t="n">
        <v>10.2</v>
      </c>
      <c r="I1624" s="31" t="s">
        <v>149</v>
      </c>
      <c r="J1624" s="31"/>
      <c r="K1624" s="31" t="s">
        <v>150</v>
      </c>
      <c r="L1624" s="45" t="n">
        <f aca="false">DATE(YEAR(B1624),MONTH(B1624),1)</f>
        <v>46204</v>
      </c>
      <c r="M1624" s="31" t="n">
        <f aca="false">WEEKDAY(B1624,2)</f>
        <v>4</v>
      </c>
      <c r="N1624" s="31" t="str">
        <f aca="false">IF(G1624&lt;=INDEX(Assumptions!$B$15:$B$18,MATCH(E1624,Assumptions!$A$15:$A$18,0)),"Yes","No")</f>
        <v>Yes</v>
      </c>
      <c r="O1624" s="31" t="str">
        <f aca="false">IF(H1624="","Open",IF(H1624&lt;=INDEX(Assumptions!$C$15:$C$18,MATCH(E1624,Assumptions!$A$15:$A$18,0)),"Yes","No"))</f>
        <v>Yes</v>
      </c>
    </row>
    <row r="1625" customFormat="false" ht="15" hidden="false" customHeight="false" outlineLevel="0" collapsed="false">
      <c r="A1625" s="31" t="s">
        <v>1775</v>
      </c>
      <c r="B1625" s="44" t="n">
        <v>46226</v>
      </c>
      <c r="C1625" s="31" t="s">
        <v>60</v>
      </c>
      <c r="D1625" s="31" t="s">
        <v>66</v>
      </c>
      <c r="E1625" s="31" t="s">
        <v>52</v>
      </c>
      <c r="F1625" s="31" t="s">
        <v>127</v>
      </c>
      <c r="G1625" s="31" t="n">
        <v>4</v>
      </c>
      <c r="H1625" s="41" t="n">
        <v>19</v>
      </c>
      <c r="I1625" s="31" t="s">
        <v>149</v>
      </c>
      <c r="J1625" s="31"/>
      <c r="K1625" s="31" t="s">
        <v>150</v>
      </c>
      <c r="L1625" s="45" t="n">
        <f aca="false">DATE(YEAR(B1625),MONTH(B1625),1)</f>
        <v>46204</v>
      </c>
      <c r="M1625" s="31" t="n">
        <f aca="false">WEEKDAY(B1625,2)</f>
        <v>4</v>
      </c>
      <c r="N1625" s="31" t="str">
        <f aca="false">IF(G1625&lt;=INDEX(Assumptions!$B$15:$B$18,MATCH(E1625,Assumptions!$A$15:$A$18,0)),"Yes","No")</f>
        <v>Yes</v>
      </c>
      <c r="O1625" s="31" t="str">
        <f aca="false">IF(H1625="","Open",IF(H1625&lt;=INDEX(Assumptions!$C$15:$C$18,MATCH(E1625,Assumptions!$A$15:$A$18,0)),"Yes","No"))</f>
        <v>Yes</v>
      </c>
    </row>
    <row r="1626" customFormat="false" ht="15" hidden="false" customHeight="false" outlineLevel="0" collapsed="false">
      <c r="A1626" s="31" t="s">
        <v>1776</v>
      </c>
      <c r="B1626" s="44" t="n">
        <v>46226</v>
      </c>
      <c r="C1626" s="31" t="s">
        <v>58</v>
      </c>
      <c r="D1626" s="31" t="s">
        <v>66</v>
      </c>
      <c r="E1626" s="31" t="s">
        <v>51</v>
      </c>
      <c r="F1626" s="31" t="s">
        <v>136</v>
      </c>
      <c r="G1626" s="31" t="n">
        <v>12</v>
      </c>
      <c r="H1626" s="41" t="n">
        <v>10.6</v>
      </c>
      <c r="I1626" s="31" t="s">
        <v>149</v>
      </c>
      <c r="J1626" s="31" t="n">
        <v>3</v>
      </c>
      <c r="K1626" s="31" t="s">
        <v>150</v>
      </c>
      <c r="L1626" s="45" t="n">
        <f aca="false">DATE(YEAR(B1626),MONTH(B1626),1)</f>
        <v>46204</v>
      </c>
      <c r="M1626" s="31" t="n">
        <f aca="false">WEEKDAY(B1626,2)</f>
        <v>4</v>
      </c>
      <c r="N1626" s="31" t="str">
        <f aca="false">IF(G1626&lt;=INDEX(Assumptions!$B$15:$B$18,MATCH(E1626,Assumptions!$A$15:$A$18,0)),"Yes","No")</f>
        <v>Yes</v>
      </c>
      <c r="O1626" s="31" t="str">
        <f aca="false">IF(H1626="","Open",IF(H1626&lt;=INDEX(Assumptions!$C$15:$C$18,MATCH(E1626,Assumptions!$A$15:$A$18,0)),"Yes","No"))</f>
        <v>Yes</v>
      </c>
    </row>
    <row r="1627" customFormat="false" ht="15" hidden="false" customHeight="false" outlineLevel="0" collapsed="false">
      <c r="A1627" s="31" t="s">
        <v>1777</v>
      </c>
      <c r="B1627" s="44" t="n">
        <v>46226</v>
      </c>
      <c r="C1627" s="31" t="s">
        <v>57</v>
      </c>
      <c r="D1627" s="31" t="s">
        <v>69</v>
      </c>
      <c r="E1627" s="31" t="s">
        <v>51</v>
      </c>
      <c r="F1627" s="31" t="s">
        <v>120</v>
      </c>
      <c r="G1627" s="31" t="n">
        <v>15</v>
      </c>
      <c r="H1627" s="41" t="n">
        <v>28.7</v>
      </c>
      <c r="I1627" s="31" t="s">
        <v>149</v>
      </c>
      <c r="J1627" s="31"/>
      <c r="K1627" s="31" t="s">
        <v>150</v>
      </c>
      <c r="L1627" s="45" t="n">
        <f aca="false">DATE(YEAR(B1627),MONTH(B1627),1)</f>
        <v>46204</v>
      </c>
      <c r="M1627" s="31" t="n">
        <f aca="false">WEEKDAY(B1627,2)</f>
        <v>4</v>
      </c>
      <c r="N1627" s="31" t="str">
        <f aca="false">IF(G1627&lt;=INDEX(Assumptions!$B$15:$B$18,MATCH(E1627,Assumptions!$A$15:$A$18,0)),"Yes","No")</f>
        <v>Yes</v>
      </c>
      <c r="O1627" s="31" t="str">
        <f aca="false">IF(H1627="","Open",IF(H1627&lt;=INDEX(Assumptions!$C$15:$C$18,MATCH(E1627,Assumptions!$A$15:$A$18,0)),"Yes","No"))</f>
        <v>No</v>
      </c>
    </row>
    <row r="1628" customFormat="false" ht="15" hidden="false" customHeight="false" outlineLevel="0" collapsed="false">
      <c r="A1628" s="31" t="s">
        <v>1778</v>
      </c>
      <c r="B1628" s="44" t="n">
        <v>46226</v>
      </c>
      <c r="C1628" s="31" t="s">
        <v>57</v>
      </c>
      <c r="D1628" s="31" t="s">
        <v>65</v>
      </c>
      <c r="E1628" s="31" t="s">
        <v>52</v>
      </c>
      <c r="F1628" s="31" t="s">
        <v>136</v>
      </c>
      <c r="G1628" s="31" t="n">
        <v>5</v>
      </c>
      <c r="H1628" s="41" t="n">
        <v>7.8</v>
      </c>
      <c r="I1628" s="31" t="s">
        <v>149</v>
      </c>
      <c r="J1628" s="31" t="n">
        <v>3</v>
      </c>
      <c r="K1628" s="31" t="s">
        <v>150</v>
      </c>
      <c r="L1628" s="45" t="n">
        <f aca="false">DATE(YEAR(B1628),MONTH(B1628),1)</f>
        <v>46204</v>
      </c>
      <c r="M1628" s="31" t="n">
        <f aca="false">WEEKDAY(B1628,2)</f>
        <v>4</v>
      </c>
      <c r="N1628" s="31" t="str">
        <f aca="false">IF(G1628&lt;=INDEX(Assumptions!$B$15:$B$18,MATCH(E1628,Assumptions!$A$15:$A$18,0)),"Yes","No")</f>
        <v>Yes</v>
      </c>
      <c r="O1628" s="31" t="str">
        <f aca="false">IF(H1628="","Open",IF(H1628&lt;=INDEX(Assumptions!$C$15:$C$18,MATCH(E1628,Assumptions!$A$15:$A$18,0)),"Yes","No"))</f>
        <v>Yes</v>
      </c>
    </row>
    <row r="1629" customFormat="false" ht="15" hidden="false" customHeight="false" outlineLevel="0" collapsed="false">
      <c r="A1629" s="31" t="s">
        <v>1779</v>
      </c>
      <c r="B1629" s="44" t="n">
        <v>46226</v>
      </c>
      <c r="C1629" s="31" t="s">
        <v>58</v>
      </c>
      <c r="D1629" s="31" t="s">
        <v>65</v>
      </c>
      <c r="E1629" s="31" t="s">
        <v>52</v>
      </c>
      <c r="F1629" s="31" t="s">
        <v>129</v>
      </c>
      <c r="G1629" s="31" t="n">
        <v>9</v>
      </c>
      <c r="H1629" s="41" t="n">
        <v>19.1</v>
      </c>
      <c r="I1629" s="31" t="s">
        <v>149</v>
      </c>
      <c r="J1629" s="31" t="n">
        <v>5</v>
      </c>
      <c r="K1629" s="31" t="s">
        <v>150</v>
      </c>
      <c r="L1629" s="45" t="n">
        <f aca="false">DATE(YEAR(B1629),MONTH(B1629),1)</f>
        <v>46204</v>
      </c>
      <c r="M1629" s="31" t="n">
        <f aca="false">WEEKDAY(B1629,2)</f>
        <v>4</v>
      </c>
      <c r="N1629" s="31" t="str">
        <f aca="false">IF(G1629&lt;=INDEX(Assumptions!$B$15:$B$18,MATCH(E1629,Assumptions!$A$15:$A$18,0)),"Yes","No")</f>
        <v>Yes</v>
      </c>
      <c r="O1629" s="31" t="str">
        <f aca="false">IF(H1629="","Open",IF(H1629&lt;=INDEX(Assumptions!$C$15:$C$18,MATCH(E1629,Assumptions!$A$15:$A$18,0)),"Yes","No"))</f>
        <v>Yes</v>
      </c>
    </row>
    <row r="1630" customFormat="false" ht="15" hidden="false" customHeight="false" outlineLevel="0" collapsed="false">
      <c r="A1630" s="31" t="s">
        <v>1780</v>
      </c>
      <c r="B1630" s="44" t="n">
        <v>46226</v>
      </c>
      <c r="C1630" s="31" t="s">
        <v>58</v>
      </c>
      <c r="D1630" s="31" t="s">
        <v>68</v>
      </c>
      <c r="E1630" s="31" t="s">
        <v>51</v>
      </c>
      <c r="F1630" s="31" t="s">
        <v>126</v>
      </c>
      <c r="G1630" s="31" t="n">
        <v>10</v>
      </c>
      <c r="H1630" s="41" t="n">
        <v>5.5</v>
      </c>
      <c r="I1630" s="31" t="s">
        <v>149</v>
      </c>
      <c r="J1630" s="31"/>
      <c r="K1630" s="31" t="s">
        <v>150</v>
      </c>
      <c r="L1630" s="45" t="n">
        <f aca="false">DATE(YEAR(B1630),MONTH(B1630),1)</f>
        <v>46204</v>
      </c>
      <c r="M1630" s="31" t="n">
        <f aca="false">WEEKDAY(B1630,2)</f>
        <v>4</v>
      </c>
      <c r="N1630" s="31" t="str">
        <f aca="false">IF(G1630&lt;=INDEX(Assumptions!$B$15:$B$18,MATCH(E1630,Assumptions!$A$15:$A$18,0)),"Yes","No")</f>
        <v>Yes</v>
      </c>
      <c r="O1630" s="31" t="str">
        <f aca="false">IF(H1630="","Open",IF(H1630&lt;=INDEX(Assumptions!$C$15:$C$18,MATCH(E1630,Assumptions!$A$15:$A$18,0)),"Yes","No"))</f>
        <v>Yes</v>
      </c>
    </row>
    <row r="1631" customFormat="false" ht="15" hidden="false" customHeight="false" outlineLevel="0" collapsed="false">
      <c r="A1631" s="31" t="s">
        <v>1781</v>
      </c>
      <c r="B1631" s="44" t="n">
        <v>46226</v>
      </c>
      <c r="C1631" s="31" t="s">
        <v>58</v>
      </c>
      <c r="D1631" s="31" t="s">
        <v>68</v>
      </c>
      <c r="E1631" s="31" t="s">
        <v>51</v>
      </c>
      <c r="F1631" s="31" t="s">
        <v>131</v>
      </c>
      <c r="G1631" s="31" t="n">
        <v>5</v>
      </c>
      <c r="H1631" s="41" t="n">
        <v>4.3</v>
      </c>
      <c r="I1631" s="31" t="s">
        <v>149</v>
      </c>
      <c r="J1631" s="31" t="n">
        <v>5</v>
      </c>
      <c r="K1631" s="31" t="s">
        <v>150</v>
      </c>
      <c r="L1631" s="45" t="n">
        <f aca="false">DATE(YEAR(B1631),MONTH(B1631),1)</f>
        <v>46204</v>
      </c>
      <c r="M1631" s="31" t="n">
        <f aca="false">WEEKDAY(B1631,2)</f>
        <v>4</v>
      </c>
      <c r="N1631" s="31" t="str">
        <f aca="false">IF(G1631&lt;=INDEX(Assumptions!$B$15:$B$18,MATCH(E1631,Assumptions!$A$15:$A$18,0)),"Yes","No")</f>
        <v>Yes</v>
      </c>
      <c r="O1631" s="31" t="str">
        <f aca="false">IF(H1631="","Open",IF(H1631&lt;=INDEX(Assumptions!$C$15:$C$18,MATCH(E1631,Assumptions!$A$15:$A$18,0)),"Yes","No"))</f>
        <v>Yes</v>
      </c>
    </row>
    <row r="1632" customFormat="false" ht="15" hidden="false" customHeight="false" outlineLevel="0" collapsed="false">
      <c r="A1632" s="31" t="s">
        <v>1782</v>
      </c>
      <c r="B1632" s="44" t="n">
        <v>46226</v>
      </c>
      <c r="C1632" s="31" t="s">
        <v>59</v>
      </c>
      <c r="D1632" s="31" t="s">
        <v>66</v>
      </c>
      <c r="E1632" s="31" t="s">
        <v>50</v>
      </c>
      <c r="F1632" s="31" t="s">
        <v>135</v>
      </c>
      <c r="G1632" s="31" t="n">
        <v>196</v>
      </c>
      <c r="H1632" s="41" t="n">
        <v>6.3</v>
      </c>
      <c r="I1632" s="31" t="s">
        <v>149</v>
      </c>
      <c r="J1632" s="31" t="n">
        <v>3</v>
      </c>
      <c r="K1632" s="31" t="s">
        <v>150</v>
      </c>
      <c r="L1632" s="45" t="n">
        <f aca="false">DATE(YEAR(B1632),MONTH(B1632),1)</f>
        <v>46204</v>
      </c>
      <c r="M1632" s="31" t="n">
        <f aca="false">WEEKDAY(B1632,2)</f>
        <v>4</v>
      </c>
      <c r="N1632" s="31" t="str">
        <f aca="false">IF(G1632&lt;=INDEX(Assumptions!$B$15:$B$18,MATCH(E1632,Assumptions!$A$15:$A$18,0)),"Yes","No")</f>
        <v>No</v>
      </c>
      <c r="O1632" s="31" t="str">
        <f aca="false">IF(H1632="","Open",IF(H1632&lt;=INDEX(Assumptions!$C$15:$C$18,MATCH(E1632,Assumptions!$A$15:$A$18,0)),"Yes","No"))</f>
        <v>Yes</v>
      </c>
    </row>
    <row r="1633" customFormat="false" ht="15" hidden="false" customHeight="false" outlineLevel="0" collapsed="false">
      <c r="A1633" s="31" t="s">
        <v>1783</v>
      </c>
      <c r="B1633" s="44" t="n">
        <v>46226</v>
      </c>
      <c r="C1633" s="31" t="s">
        <v>59</v>
      </c>
      <c r="D1633" s="31" t="s">
        <v>67</v>
      </c>
      <c r="E1633" s="31" t="s">
        <v>51</v>
      </c>
      <c r="F1633" s="31" t="s">
        <v>117</v>
      </c>
      <c r="G1633" s="31" t="n">
        <v>65</v>
      </c>
      <c r="H1633" s="41" t="n">
        <v>7.1</v>
      </c>
      <c r="I1633" s="31" t="s">
        <v>149</v>
      </c>
      <c r="J1633" s="31"/>
      <c r="K1633" s="31" t="s">
        <v>150</v>
      </c>
      <c r="L1633" s="45" t="n">
        <f aca="false">DATE(YEAR(B1633),MONTH(B1633),1)</f>
        <v>46204</v>
      </c>
      <c r="M1633" s="31" t="n">
        <f aca="false">WEEKDAY(B1633,2)</f>
        <v>4</v>
      </c>
      <c r="N1633" s="31" t="str">
        <f aca="false">IF(G1633&lt;=INDEX(Assumptions!$B$15:$B$18,MATCH(E1633,Assumptions!$A$15:$A$18,0)),"Yes","No")</f>
        <v>No</v>
      </c>
      <c r="O1633" s="31" t="str">
        <f aca="false">IF(H1633="","Open",IF(H1633&lt;=INDEX(Assumptions!$C$15:$C$18,MATCH(E1633,Assumptions!$A$15:$A$18,0)),"Yes","No"))</f>
        <v>Yes</v>
      </c>
    </row>
    <row r="1634" customFormat="false" ht="15" hidden="false" customHeight="false" outlineLevel="0" collapsed="false">
      <c r="A1634" s="31" t="s">
        <v>1784</v>
      </c>
      <c r="B1634" s="44" t="n">
        <v>46226</v>
      </c>
      <c r="C1634" s="31" t="s">
        <v>60</v>
      </c>
      <c r="D1634" s="31" t="s">
        <v>66</v>
      </c>
      <c r="E1634" s="31" t="s">
        <v>52</v>
      </c>
      <c r="F1634" s="31" t="s">
        <v>137</v>
      </c>
      <c r="G1634" s="31" t="n">
        <v>4</v>
      </c>
      <c r="H1634" s="41" t="n">
        <v>10</v>
      </c>
      <c r="I1634" s="31" t="s">
        <v>149</v>
      </c>
      <c r="J1634" s="31" t="n">
        <v>4</v>
      </c>
      <c r="K1634" s="31" t="s">
        <v>150</v>
      </c>
      <c r="L1634" s="45" t="n">
        <f aca="false">DATE(YEAR(B1634),MONTH(B1634),1)</f>
        <v>46204</v>
      </c>
      <c r="M1634" s="31" t="n">
        <f aca="false">WEEKDAY(B1634,2)</f>
        <v>4</v>
      </c>
      <c r="N1634" s="31" t="str">
        <f aca="false">IF(G1634&lt;=INDEX(Assumptions!$B$15:$B$18,MATCH(E1634,Assumptions!$A$15:$A$18,0)),"Yes","No")</f>
        <v>Yes</v>
      </c>
      <c r="O1634" s="31" t="str">
        <f aca="false">IF(H1634="","Open",IF(H1634&lt;=INDEX(Assumptions!$C$15:$C$18,MATCH(E1634,Assumptions!$A$15:$A$18,0)),"Yes","No"))</f>
        <v>Yes</v>
      </c>
    </row>
    <row r="1635" customFormat="false" ht="15" hidden="false" customHeight="false" outlineLevel="0" collapsed="false">
      <c r="A1635" s="31" t="s">
        <v>1785</v>
      </c>
      <c r="B1635" s="44" t="n">
        <v>46226</v>
      </c>
      <c r="C1635" s="31" t="s">
        <v>57</v>
      </c>
      <c r="D1635" s="31" t="s">
        <v>66</v>
      </c>
      <c r="E1635" s="31" t="s">
        <v>51</v>
      </c>
      <c r="F1635" s="31" t="s">
        <v>130</v>
      </c>
      <c r="G1635" s="31" t="n">
        <v>1</v>
      </c>
      <c r="H1635" s="41" t="n">
        <v>5.8</v>
      </c>
      <c r="I1635" s="31" t="s">
        <v>64</v>
      </c>
      <c r="J1635" s="31" t="n">
        <v>3</v>
      </c>
      <c r="K1635" s="31" t="s">
        <v>150</v>
      </c>
      <c r="L1635" s="45" t="n">
        <f aca="false">DATE(YEAR(B1635),MONTH(B1635),1)</f>
        <v>46204</v>
      </c>
      <c r="M1635" s="31" t="n">
        <f aca="false">WEEKDAY(B1635,2)</f>
        <v>4</v>
      </c>
      <c r="N1635" s="31" t="str">
        <f aca="false">IF(G1635&lt;=INDEX(Assumptions!$B$15:$B$18,MATCH(E1635,Assumptions!$A$15:$A$18,0)),"Yes","No")</f>
        <v>Yes</v>
      </c>
      <c r="O1635" s="31" t="str">
        <f aca="false">IF(H1635="","Open",IF(H1635&lt;=INDEX(Assumptions!$C$15:$C$18,MATCH(E1635,Assumptions!$A$15:$A$18,0)),"Yes","No"))</f>
        <v>Yes</v>
      </c>
    </row>
    <row r="1636" customFormat="false" ht="15" hidden="false" customHeight="false" outlineLevel="0" collapsed="false">
      <c r="A1636" s="31" t="s">
        <v>1786</v>
      </c>
      <c r="B1636" s="44" t="n">
        <v>46226</v>
      </c>
      <c r="C1636" s="31" t="s">
        <v>57</v>
      </c>
      <c r="D1636" s="31" t="s">
        <v>67</v>
      </c>
      <c r="E1636" s="31" t="s">
        <v>49</v>
      </c>
      <c r="F1636" s="31" t="s">
        <v>123</v>
      </c>
      <c r="G1636" s="31" t="n">
        <v>1</v>
      </c>
      <c r="H1636" s="41" t="n">
        <v>7.6</v>
      </c>
      <c r="I1636" s="31" t="s">
        <v>149</v>
      </c>
      <c r="J1636" s="31" t="n">
        <v>4</v>
      </c>
      <c r="K1636" s="31" t="s">
        <v>150</v>
      </c>
      <c r="L1636" s="45" t="n">
        <f aca="false">DATE(YEAR(B1636),MONTH(B1636),1)</f>
        <v>46204</v>
      </c>
      <c r="M1636" s="31" t="n">
        <f aca="false">WEEKDAY(B1636,2)</f>
        <v>4</v>
      </c>
      <c r="N1636" s="31" t="str">
        <f aca="false">IF(G1636&lt;=INDEX(Assumptions!$B$15:$B$18,MATCH(E1636,Assumptions!$A$15:$A$18,0)),"Yes","No")</f>
        <v>Yes</v>
      </c>
      <c r="O1636" s="31" t="str">
        <f aca="false">IF(H1636="","Open",IF(H1636&lt;=INDEX(Assumptions!$C$15:$C$18,MATCH(E1636,Assumptions!$A$15:$A$18,0)),"Yes","No"))</f>
        <v>No</v>
      </c>
    </row>
    <row r="1637" customFormat="false" ht="15" hidden="false" customHeight="false" outlineLevel="0" collapsed="false">
      <c r="A1637" s="31" t="s">
        <v>1787</v>
      </c>
      <c r="B1637" s="44" t="n">
        <v>46226</v>
      </c>
      <c r="C1637" s="31" t="s">
        <v>58</v>
      </c>
      <c r="D1637" s="31" t="s">
        <v>67</v>
      </c>
      <c r="E1637" s="31" t="s">
        <v>51</v>
      </c>
      <c r="F1637" s="31" t="s">
        <v>119</v>
      </c>
      <c r="G1637" s="31" t="n">
        <v>5</v>
      </c>
      <c r="H1637" s="41" t="n">
        <v>31.8</v>
      </c>
      <c r="I1637" s="31" t="s">
        <v>149</v>
      </c>
      <c r="J1637" s="31"/>
      <c r="K1637" s="31" t="s">
        <v>150</v>
      </c>
      <c r="L1637" s="45" t="n">
        <f aca="false">DATE(YEAR(B1637),MONTH(B1637),1)</f>
        <v>46204</v>
      </c>
      <c r="M1637" s="31" t="n">
        <f aca="false">WEEKDAY(B1637,2)</f>
        <v>4</v>
      </c>
      <c r="N1637" s="31" t="str">
        <f aca="false">IF(G1637&lt;=INDEX(Assumptions!$B$15:$B$18,MATCH(E1637,Assumptions!$A$15:$A$18,0)),"Yes","No")</f>
        <v>Yes</v>
      </c>
      <c r="O1637" s="31" t="str">
        <f aca="false">IF(H1637="","Open",IF(H1637&lt;=INDEX(Assumptions!$C$15:$C$18,MATCH(E1637,Assumptions!$A$15:$A$18,0)),"Yes","No"))</f>
        <v>No</v>
      </c>
    </row>
    <row r="1638" customFormat="false" ht="15" hidden="false" customHeight="false" outlineLevel="0" collapsed="false">
      <c r="A1638" s="31" t="s">
        <v>1788</v>
      </c>
      <c r="B1638" s="44" t="n">
        <v>46226</v>
      </c>
      <c r="C1638" s="31" t="s">
        <v>59</v>
      </c>
      <c r="D1638" s="31" t="s">
        <v>66</v>
      </c>
      <c r="E1638" s="31" t="s">
        <v>49</v>
      </c>
      <c r="F1638" s="31" t="s">
        <v>128</v>
      </c>
      <c r="G1638" s="31" t="n">
        <v>36</v>
      </c>
      <c r="H1638" s="41" t="n">
        <v>0.9</v>
      </c>
      <c r="I1638" s="31" t="s">
        <v>149</v>
      </c>
      <c r="J1638" s="31" t="n">
        <v>4</v>
      </c>
      <c r="K1638" s="31" t="s">
        <v>150</v>
      </c>
      <c r="L1638" s="45" t="n">
        <f aca="false">DATE(YEAR(B1638),MONTH(B1638),1)</f>
        <v>46204</v>
      </c>
      <c r="M1638" s="31" t="n">
        <f aca="false">WEEKDAY(B1638,2)</f>
        <v>4</v>
      </c>
      <c r="N1638" s="31" t="str">
        <f aca="false">IF(G1638&lt;=INDEX(Assumptions!$B$15:$B$18,MATCH(E1638,Assumptions!$A$15:$A$18,0)),"Yes","No")</f>
        <v>No</v>
      </c>
      <c r="O1638" s="31" t="str">
        <f aca="false">IF(H1638="","Open",IF(H1638&lt;=INDEX(Assumptions!$C$15:$C$18,MATCH(E1638,Assumptions!$A$15:$A$18,0)),"Yes","No"))</f>
        <v>Yes</v>
      </c>
    </row>
    <row r="1639" customFormat="false" ht="15" hidden="false" customHeight="false" outlineLevel="0" collapsed="false">
      <c r="A1639" s="31" t="s">
        <v>1789</v>
      </c>
      <c r="B1639" s="44" t="n">
        <v>46226</v>
      </c>
      <c r="C1639" s="31" t="s">
        <v>60</v>
      </c>
      <c r="D1639" s="31" t="s">
        <v>65</v>
      </c>
      <c r="E1639" s="31" t="s">
        <v>51</v>
      </c>
      <c r="F1639" s="31" t="s">
        <v>126</v>
      </c>
      <c r="G1639" s="31" t="n">
        <v>5</v>
      </c>
      <c r="H1639" s="41" t="n">
        <v>9.4</v>
      </c>
      <c r="I1639" s="31" t="s">
        <v>149</v>
      </c>
      <c r="J1639" s="31" t="n">
        <v>5</v>
      </c>
      <c r="K1639" s="31" t="s">
        <v>150</v>
      </c>
      <c r="L1639" s="45" t="n">
        <f aca="false">DATE(YEAR(B1639),MONTH(B1639),1)</f>
        <v>46204</v>
      </c>
      <c r="M1639" s="31" t="n">
        <f aca="false">WEEKDAY(B1639,2)</f>
        <v>4</v>
      </c>
      <c r="N1639" s="31" t="str">
        <f aca="false">IF(G1639&lt;=INDEX(Assumptions!$B$15:$B$18,MATCH(E1639,Assumptions!$A$15:$A$18,0)),"Yes","No")</f>
        <v>Yes</v>
      </c>
      <c r="O1639" s="31" t="str">
        <f aca="false">IF(H1639="","Open",IF(H1639&lt;=INDEX(Assumptions!$C$15:$C$18,MATCH(E1639,Assumptions!$A$15:$A$18,0)),"Yes","No"))</f>
        <v>Yes</v>
      </c>
    </row>
    <row r="1640" customFormat="false" ht="15" hidden="false" customHeight="false" outlineLevel="0" collapsed="false">
      <c r="A1640" s="31" t="s">
        <v>1790</v>
      </c>
      <c r="B1640" s="44" t="n">
        <v>46226</v>
      </c>
      <c r="C1640" s="31" t="s">
        <v>60</v>
      </c>
      <c r="D1640" s="31" t="s">
        <v>67</v>
      </c>
      <c r="E1640" s="31" t="s">
        <v>51</v>
      </c>
      <c r="F1640" s="31" t="s">
        <v>120</v>
      </c>
      <c r="G1640" s="31" t="n">
        <v>7</v>
      </c>
      <c r="H1640" s="41" t="n">
        <v>58</v>
      </c>
      <c r="I1640" s="31" t="s">
        <v>149</v>
      </c>
      <c r="J1640" s="31" t="n">
        <v>4</v>
      </c>
      <c r="K1640" s="31" t="s">
        <v>150</v>
      </c>
      <c r="L1640" s="45" t="n">
        <f aca="false">DATE(YEAR(B1640),MONTH(B1640),1)</f>
        <v>46204</v>
      </c>
      <c r="M1640" s="31" t="n">
        <f aca="false">WEEKDAY(B1640,2)</f>
        <v>4</v>
      </c>
      <c r="N1640" s="31" t="str">
        <f aca="false">IF(G1640&lt;=INDEX(Assumptions!$B$15:$B$18,MATCH(E1640,Assumptions!$A$15:$A$18,0)),"Yes","No")</f>
        <v>Yes</v>
      </c>
      <c r="O1640" s="31" t="str">
        <f aca="false">IF(H1640="","Open",IF(H1640&lt;=INDEX(Assumptions!$C$15:$C$18,MATCH(E1640,Assumptions!$A$15:$A$18,0)),"Yes","No"))</f>
        <v>No</v>
      </c>
    </row>
    <row r="1641" customFormat="false" ht="15" hidden="false" customHeight="false" outlineLevel="0" collapsed="false">
      <c r="A1641" s="31" t="s">
        <v>1791</v>
      </c>
      <c r="B1641" s="44" t="n">
        <v>46226</v>
      </c>
      <c r="C1641" s="31" t="s">
        <v>60</v>
      </c>
      <c r="D1641" s="31" t="s">
        <v>69</v>
      </c>
      <c r="E1641" s="31" t="s">
        <v>50</v>
      </c>
      <c r="F1641" s="31" t="s">
        <v>120</v>
      </c>
      <c r="G1641" s="31" t="n">
        <v>3</v>
      </c>
      <c r="H1641" s="41"/>
      <c r="I1641" s="31" t="s">
        <v>158</v>
      </c>
      <c r="J1641" s="31"/>
      <c r="K1641" s="31" t="s">
        <v>150</v>
      </c>
      <c r="L1641" s="45" t="n">
        <f aca="false">DATE(YEAR(B1641),MONTH(B1641),1)</f>
        <v>46204</v>
      </c>
      <c r="M1641" s="31" t="n">
        <f aca="false">WEEKDAY(B1641,2)</f>
        <v>4</v>
      </c>
      <c r="N1641" s="31" t="str">
        <f aca="false">IF(G1641&lt;=INDEX(Assumptions!$B$15:$B$18,MATCH(E1641,Assumptions!$A$15:$A$18,0)),"Yes","No")</f>
        <v>Yes</v>
      </c>
      <c r="O1641" s="31" t="str">
        <f aca="false">IF(H1641="","Open",IF(H1641&lt;=INDEX(Assumptions!$C$15:$C$18,MATCH(E1641,Assumptions!$A$15:$A$18,0)),"Yes","No"))</f>
        <v>Open</v>
      </c>
    </row>
    <row r="1642" customFormat="false" ht="15" hidden="false" customHeight="false" outlineLevel="0" collapsed="false">
      <c r="A1642" s="31" t="s">
        <v>1792</v>
      </c>
      <c r="B1642" s="44" t="n">
        <v>46226</v>
      </c>
      <c r="C1642" s="31" t="s">
        <v>58</v>
      </c>
      <c r="D1642" s="31" t="s">
        <v>69</v>
      </c>
      <c r="E1642" s="31" t="s">
        <v>51</v>
      </c>
      <c r="F1642" s="31" t="s">
        <v>128</v>
      </c>
      <c r="G1642" s="31" t="n">
        <v>23</v>
      </c>
      <c r="H1642" s="41" t="n">
        <v>8.5</v>
      </c>
      <c r="I1642" s="31" t="s">
        <v>149</v>
      </c>
      <c r="J1642" s="31"/>
      <c r="K1642" s="31" t="s">
        <v>150</v>
      </c>
      <c r="L1642" s="45" t="n">
        <f aca="false">DATE(YEAR(B1642),MONTH(B1642),1)</f>
        <v>46204</v>
      </c>
      <c r="M1642" s="31" t="n">
        <f aca="false">WEEKDAY(B1642,2)</f>
        <v>4</v>
      </c>
      <c r="N1642" s="31" t="str">
        <f aca="false">IF(G1642&lt;=INDEX(Assumptions!$B$15:$B$18,MATCH(E1642,Assumptions!$A$15:$A$18,0)),"Yes","No")</f>
        <v>Yes</v>
      </c>
      <c r="O1642" s="31" t="str">
        <f aca="false">IF(H1642="","Open",IF(H1642&lt;=INDEX(Assumptions!$C$15:$C$18,MATCH(E1642,Assumptions!$A$15:$A$18,0)),"Yes","No"))</f>
        <v>Yes</v>
      </c>
    </row>
    <row r="1643" customFormat="false" ht="15" hidden="false" customHeight="false" outlineLevel="0" collapsed="false">
      <c r="A1643" s="31" t="s">
        <v>1793</v>
      </c>
      <c r="B1643" s="44" t="n">
        <v>46226</v>
      </c>
      <c r="C1643" s="31" t="s">
        <v>60</v>
      </c>
      <c r="D1643" s="31" t="s">
        <v>66</v>
      </c>
      <c r="E1643" s="31" t="s">
        <v>51</v>
      </c>
      <c r="F1643" s="31" t="s">
        <v>136</v>
      </c>
      <c r="G1643" s="31" t="n">
        <v>2</v>
      </c>
      <c r="H1643" s="41" t="n">
        <v>4.8</v>
      </c>
      <c r="I1643" s="31" t="s">
        <v>149</v>
      </c>
      <c r="J1643" s="31" t="n">
        <v>5</v>
      </c>
      <c r="K1643" s="31" t="s">
        <v>150</v>
      </c>
      <c r="L1643" s="45" t="n">
        <f aca="false">DATE(YEAR(B1643),MONTH(B1643),1)</f>
        <v>46204</v>
      </c>
      <c r="M1643" s="31" t="n">
        <f aca="false">WEEKDAY(B1643,2)</f>
        <v>4</v>
      </c>
      <c r="N1643" s="31" t="str">
        <f aca="false">IF(G1643&lt;=INDEX(Assumptions!$B$15:$B$18,MATCH(E1643,Assumptions!$A$15:$A$18,0)),"Yes","No")</f>
        <v>Yes</v>
      </c>
      <c r="O1643" s="31" t="str">
        <f aca="false">IF(H1643="","Open",IF(H1643&lt;=INDEX(Assumptions!$C$15:$C$18,MATCH(E1643,Assumptions!$A$15:$A$18,0)),"Yes","No"))</f>
        <v>Yes</v>
      </c>
    </row>
    <row r="1644" customFormat="false" ht="15" hidden="false" customHeight="false" outlineLevel="0" collapsed="false">
      <c r="A1644" s="31" t="s">
        <v>1794</v>
      </c>
      <c r="B1644" s="44" t="n">
        <v>46226</v>
      </c>
      <c r="C1644" s="31" t="s">
        <v>58</v>
      </c>
      <c r="D1644" s="31" t="s">
        <v>67</v>
      </c>
      <c r="E1644" s="31" t="s">
        <v>51</v>
      </c>
      <c r="F1644" s="31" t="s">
        <v>135</v>
      </c>
      <c r="G1644" s="31" t="n">
        <v>15</v>
      </c>
      <c r="H1644" s="41" t="n">
        <v>26.2</v>
      </c>
      <c r="I1644" s="31" t="s">
        <v>149</v>
      </c>
      <c r="J1644" s="31"/>
      <c r="K1644" s="31" t="s">
        <v>150</v>
      </c>
      <c r="L1644" s="45" t="n">
        <f aca="false">DATE(YEAR(B1644),MONTH(B1644),1)</f>
        <v>46204</v>
      </c>
      <c r="M1644" s="31" t="n">
        <f aca="false">WEEKDAY(B1644,2)</f>
        <v>4</v>
      </c>
      <c r="N1644" s="31" t="str">
        <f aca="false">IF(G1644&lt;=INDEX(Assumptions!$B$15:$B$18,MATCH(E1644,Assumptions!$A$15:$A$18,0)),"Yes","No")</f>
        <v>Yes</v>
      </c>
      <c r="O1644" s="31" t="str">
        <f aca="false">IF(H1644="","Open",IF(H1644&lt;=INDEX(Assumptions!$C$15:$C$18,MATCH(E1644,Assumptions!$A$15:$A$18,0)),"Yes","No"))</f>
        <v>No</v>
      </c>
    </row>
    <row r="1645" customFormat="false" ht="15" hidden="false" customHeight="false" outlineLevel="0" collapsed="false">
      <c r="A1645" s="31" t="s">
        <v>1795</v>
      </c>
      <c r="B1645" s="44" t="n">
        <v>46226</v>
      </c>
      <c r="C1645" s="31" t="s">
        <v>60</v>
      </c>
      <c r="D1645" s="31" t="s">
        <v>67</v>
      </c>
      <c r="E1645" s="31" t="s">
        <v>50</v>
      </c>
      <c r="F1645" s="31" t="s">
        <v>122</v>
      </c>
      <c r="G1645" s="31" t="n">
        <v>4</v>
      </c>
      <c r="H1645" s="41" t="n">
        <v>5.2</v>
      </c>
      <c r="I1645" s="31" t="s">
        <v>149</v>
      </c>
      <c r="J1645" s="31"/>
      <c r="K1645" s="31" t="s">
        <v>150</v>
      </c>
      <c r="L1645" s="45" t="n">
        <f aca="false">DATE(YEAR(B1645),MONTH(B1645),1)</f>
        <v>46204</v>
      </c>
      <c r="M1645" s="31" t="n">
        <f aca="false">WEEKDAY(B1645,2)</f>
        <v>4</v>
      </c>
      <c r="N1645" s="31" t="str">
        <f aca="false">IF(G1645&lt;=INDEX(Assumptions!$B$15:$B$18,MATCH(E1645,Assumptions!$A$15:$A$18,0)),"Yes","No")</f>
        <v>Yes</v>
      </c>
      <c r="O1645" s="31" t="str">
        <f aca="false">IF(H1645="","Open",IF(H1645&lt;=INDEX(Assumptions!$C$15:$C$18,MATCH(E1645,Assumptions!$A$15:$A$18,0)),"Yes","No"))</f>
        <v>Yes</v>
      </c>
    </row>
    <row r="1646" customFormat="false" ht="15" hidden="false" customHeight="false" outlineLevel="0" collapsed="false">
      <c r="A1646" s="31" t="s">
        <v>1796</v>
      </c>
      <c r="B1646" s="44" t="n">
        <v>46226</v>
      </c>
      <c r="C1646" s="31" t="s">
        <v>59</v>
      </c>
      <c r="D1646" s="31" t="s">
        <v>67</v>
      </c>
      <c r="E1646" s="31" t="s">
        <v>52</v>
      </c>
      <c r="F1646" s="31" t="s">
        <v>136</v>
      </c>
      <c r="G1646" s="31" t="n">
        <v>168</v>
      </c>
      <c r="H1646" s="41" t="n">
        <v>27</v>
      </c>
      <c r="I1646" s="31" t="s">
        <v>149</v>
      </c>
      <c r="J1646" s="31" t="n">
        <v>5</v>
      </c>
      <c r="K1646" s="31" t="s">
        <v>150</v>
      </c>
      <c r="L1646" s="45" t="n">
        <f aca="false">DATE(YEAR(B1646),MONTH(B1646),1)</f>
        <v>46204</v>
      </c>
      <c r="M1646" s="31" t="n">
        <f aca="false">WEEKDAY(B1646,2)</f>
        <v>4</v>
      </c>
      <c r="N1646" s="31" t="str">
        <f aca="false">IF(G1646&lt;=INDEX(Assumptions!$B$15:$B$18,MATCH(E1646,Assumptions!$A$15:$A$18,0)),"Yes","No")</f>
        <v>Yes</v>
      </c>
      <c r="O1646" s="31" t="str">
        <f aca="false">IF(H1646="","Open",IF(H1646&lt;=INDEX(Assumptions!$C$15:$C$18,MATCH(E1646,Assumptions!$A$15:$A$18,0)),"Yes","No"))</f>
        <v>Yes</v>
      </c>
    </row>
    <row r="1647" customFormat="false" ht="15" hidden="false" customHeight="false" outlineLevel="0" collapsed="false">
      <c r="A1647" s="31" t="s">
        <v>1797</v>
      </c>
      <c r="B1647" s="44" t="n">
        <v>46226</v>
      </c>
      <c r="C1647" s="31" t="s">
        <v>57</v>
      </c>
      <c r="D1647" s="31" t="s">
        <v>65</v>
      </c>
      <c r="E1647" s="31" t="s">
        <v>51</v>
      </c>
      <c r="F1647" s="31" t="s">
        <v>133</v>
      </c>
      <c r="G1647" s="31" t="n">
        <v>5</v>
      </c>
      <c r="H1647" s="41" t="n">
        <v>65.6</v>
      </c>
      <c r="I1647" s="31" t="s">
        <v>64</v>
      </c>
      <c r="J1647" s="31" t="n">
        <v>2</v>
      </c>
      <c r="K1647" s="31" t="s">
        <v>150</v>
      </c>
      <c r="L1647" s="45" t="n">
        <f aca="false">DATE(YEAR(B1647),MONTH(B1647),1)</f>
        <v>46204</v>
      </c>
      <c r="M1647" s="31" t="n">
        <f aca="false">WEEKDAY(B1647,2)</f>
        <v>4</v>
      </c>
      <c r="N1647" s="31" t="str">
        <f aca="false">IF(G1647&lt;=INDEX(Assumptions!$B$15:$B$18,MATCH(E1647,Assumptions!$A$15:$A$18,0)),"Yes","No")</f>
        <v>Yes</v>
      </c>
      <c r="O1647" s="31" t="str">
        <f aca="false">IF(H1647="","Open",IF(H1647&lt;=INDEX(Assumptions!$C$15:$C$18,MATCH(E1647,Assumptions!$A$15:$A$18,0)),"Yes","No"))</f>
        <v>No</v>
      </c>
    </row>
    <row r="1648" customFormat="false" ht="15" hidden="false" customHeight="false" outlineLevel="0" collapsed="false">
      <c r="A1648" s="31" t="s">
        <v>1798</v>
      </c>
      <c r="B1648" s="44" t="n">
        <v>46226</v>
      </c>
      <c r="C1648" s="31" t="s">
        <v>57</v>
      </c>
      <c r="D1648" s="31" t="s">
        <v>68</v>
      </c>
      <c r="E1648" s="31" t="s">
        <v>51</v>
      </c>
      <c r="F1648" s="31" t="s">
        <v>135</v>
      </c>
      <c r="G1648" s="31" t="n">
        <v>3</v>
      </c>
      <c r="H1648" s="41" t="n">
        <v>3.9</v>
      </c>
      <c r="I1648" s="31" t="s">
        <v>149</v>
      </c>
      <c r="J1648" s="31" t="n">
        <v>5</v>
      </c>
      <c r="K1648" s="31" t="s">
        <v>153</v>
      </c>
      <c r="L1648" s="45" t="n">
        <f aca="false">DATE(YEAR(B1648),MONTH(B1648),1)</f>
        <v>46204</v>
      </c>
      <c r="M1648" s="31" t="n">
        <f aca="false">WEEKDAY(B1648,2)</f>
        <v>4</v>
      </c>
      <c r="N1648" s="31" t="str">
        <f aca="false">IF(G1648&lt;=INDEX(Assumptions!$B$15:$B$18,MATCH(E1648,Assumptions!$A$15:$A$18,0)),"Yes","No")</f>
        <v>Yes</v>
      </c>
      <c r="O1648" s="31" t="str">
        <f aca="false">IF(H1648="","Open",IF(H1648&lt;=INDEX(Assumptions!$C$15:$C$18,MATCH(E1648,Assumptions!$A$15:$A$18,0)),"Yes","No"))</f>
        <v>Yes</v>
      </c>
    </row>
    <row r="1649" customFormat="false" ht="15" hidden="false" customHeight="false" outlineLevel="0" collapsed="false">
      <c r="A1649" s="31" t="s">
        <v>1799</v>
      </c>
      <c r="B1649" s="44" t="n">
        <v>46226</v>
      </c>
      <c r="C1649" s="31" t="s">
        <v>59</v>
      </c>
      <c r="D1649" s="31" t="s">
        <v>65</v>
      </c>
      <c r="E1649" s="31" t="s">
        <v>51</v>
      </c>
      <c r="F1649" s="31" t="s">
        <v>124</v>
      </c>
      <c r="G1649" s="31" t="n">
        <v>124</v>
      </c>
      <c r="H1649" s="41" t="n">
        <v>6.1</v>
      </c>
      <c r="I1649" s="31" t="s">
        <v>149</v>
      </c>
      <c r="J1649" s="31" t="n">
        <v>5</v>
      </c>
      <c r="K1649" s="31" t="s">
        <v>150</v>
      </c>
      <c r="L1649" s="45" t="n">
        <f aca="false">DATE(YEAR(B1649),MONTH(B1649),1)</f>
        <v>46204</v>
      </c>
      <c r="M1649" s="31" t="n">
        <f aca="false">WEEKDAY(B1649,2)</f>
        <v>4</v>
      </c>
      <c r="N1649" s="31" t="str">
        <f aca="false">IF(G1649&lt;=INDEX(Assumptions!$B$15:$B$18,MATCH(E1649,Assumptions!$A$15:$A$18,0)),"Yes","No")</f>
        <v>No</v>
      </c>
      <c r="O1649" s="31" t="str">
        <f aca="false">IF(H1649="","Open",IF(H1649&lt;=INDEX(Assumptions!$C$15:$C$18,MATCH(E1649,Assumptions!$A$15:$A$18,0)),"Yes","No"))</f>
        <v>Yes</v>
      </c>
    </row>
    <row r="1650" customFormat="false" ht="15" hidden="false" customHeight="false" outlineLevel="0" collapsed="false">
      <c r="A1650" s="31" t="s">
        <v>1800</v>
      </c>
      <c r="B1650" s="44" t="n">
        <v>46226</v>
      </c>
      <c r="C1650" s="31" t="s">
        <v>60</v>
      </c>
      <c r="D1650" s="31" t="s">
        <v>68</v>
      </c>
      <c r="E1650" s="31" t="s">
        <v>52</v>
      </c>
      <c r="F1650" s="31" t="s">
        <v>128</v>
      </c>
      <c r="G1650" s="31" t="n">
        <v>5</v>
      </c>
      <c r="H1650" s="41" t="n">
        <v>3.7</v>
      </c>
      <c r="I1650" s="31" t="s">
        <v>149</v>
      </c>
      <c r="J1650" s="31"/>
      <c r="K1650" s="31" t="s">
        <v>150</v>
      </c>
      <c r="L1650" s="45" t="n">
        <f aca="false">DATE(YEAR(B1650),MONTH(B1650),1)</f>
        <v>46204</v>
      </c>
      <c r="M1650" s="31" t="n">
        <f aca="false">WEEKDAY(B1650,2)</f>
        <v>4</v>
      </c>
      <c r="N1650" s="31" t="str">
        <f aca="false">IF(G1650&lt;=INDEX(Assumptions!$B$15:$B$18,MATCH(E1650,Assumptions!$A$15:$A$18,0)),"Yes","No")</f>
        <v>Yes</v>
      </c>
      <c r="O1650" s="31" t="str">
        <f aca="false">IF(H1650="","Open",IF(H1650&lt;=INDEX(Assumptions!$C$15:$C$18,MATCH(E1650,Assumptions!$A$15:$A$18,0)),"Yes","No"))</f>
        <v>Yes</v>
      </c>
    </row>
    <row r="1651" customFormat="false" ht="15" hidden="false" customHeight="false" outlineLevel="0" collapsed="false">
      <c r="A1651" s="31" t="s">
        <v>1801</v>
      </c>
      <c r="B1651" s="44" t="n">
        <v>46226</v>
      </c>
      <c r="C1651" s="31" t="s">
        <v>60</v>
      </c>
      <c r="D1651" s="31" t="s">
        <v>67</v>
      </c>
      <c r="E1651" s="31" t="s">
        <v>50</v>
      </c>
      <c r="F1651" s="31" t="s">
        <v>124</v>
      </c>
      <c r="G1651" s="31" t="n">
        <v>2</v>
      </c>
      <c r="H1651" s="41" t="n">
        <v>3.3</v>
      </c>
      <c r="I1651" s="31" t="s">
        <v>149</v>
      </c>
      <c r="J1651" s="31" t="n">
        <v>4</v>
      </c>
      <c r="K1651" s="31" t="s">
        <v>150</v>
      </c>
      <c r="L1651" s="45" t="n">
        <f aca="false">DATE(YEAR(B1651),MONTH(B1651),1)</f>
        <v>46204</v>
      </c>
      <c r="M1651" s="31" t="n">
        <f aca="false">WEEKDAY(B1651,2)</f>
        <v>4</v>
      </c>
      <c r="N1651" s="31" t="str">
        <f aca="false">IF(G1651&lt;=INDEX(Assumptions!$B$15:$B$18,MATCH(E1651,Assumptions!$A$15:$A$18,0)),"Yes","No")</f>
        <v>Yes</v>
      </c>
      <c r="O1651" s="31" t="str">
        <f aca="false">IF(H1651="","Open",IF(H1651&lt;=INDEX(Assumptions!$C$15:$C$18,MATCH(E1651,Assumptions!$A$15:$A$18,0)),"Yes","No"))</f>
        <v>Yes</v>
      </c>
    </row>
    <row r="1652" customFormat="false" ht="15" hidden="false" customHeight="false" outlineLevel="0" collapsed="false">
      <c r="A1652" s="31" t="s">
        <v>1802</v>
      </c>
      <c r="B1652" s="44" t="n">
        <v>46226</v>
      </c>
      <c r="C1652" s="31" t="s">
        <v>57</v>
      </c>
      <c r="D1652" s="31" t="s">
        <v>65</v>
      </c>
      <c r="E1652" s="31" t="s">
        <v>50</v>
      </c>
      <c r="F1652" s="31" t="s">
        <v>135</v>
      </c>
      <c r="G1652" s="31" t="n">
        <v>7</v>
      </c>
      <c r="H1652" s="41" t="n">
        <v>20.8</v>
      </c>
      <c r="I1652" s="31" t="s">
        <v>149</v>
      </c>
      <c r="J1652" s="31" t="n">
        <v>4</v>
      </c>
      <c r="K1652" s="31" t="s">
        <v>150</v>
      </c>
      <c r="L1652" s="45" t="n">
        <f aca="false">DATE(YEAR(B1652),MONTH(B1652),1)</f>
        <v>46204</v>
      </c>
      <c r="M1652" s="31" t="n">
        <f aca="false">WEEKDAY(B1652,2)</f>
        <v>4</v>
      </c>
      <c r="N1652" s="31" t="str">
        <f aca="false">IF(G1652&lt;=INDEX(Assumptions!$B$15:$B$18,MATCH(E1652,Assumptions!$A$15:$A$18,0)),"Yes","No")</f>
        <v>Yes</v>
      </c>
      <c r="O1652" s="31" t="str">
        <f aca="false">IF(H1652="","Open",IF(H1652&lt;=INDEX(Assumptions!$C$15:$C$18,MATCH(E1652,Assumptions!$A$15:$A$18,0)),"Yes","No"))</f>
        <v>No</v>
      </c>
    </row>
    <row r="1653" customFormat="false" ht="15" hidden="false" customHeight="false" outlineLevel="0" collapsed="false">
      <c r="A1653" s="31" t="s">
        <v>1803</v>
      </c>
      <c r="B1653" s="44" t="n">
        <v>46226</v>
      </c>
      <c r="C1653" s="31" t="s">
        <v>60</v>
      </c>
      <c r="D1653" s="31" t="s">
        <v>68</v>
      </c>
      <c r="E1653" s="31" t="s">
        <v>50</v>
      </c>
      <c r="F1653" s="31" t="s">
        <v>136</v>
      </c>
      <c r="G1653" s="31" t="n">
        <v>1</v>
      </c>
      <c r="H1653" s="41" t="n">
        <v>7.3</v>
      </c>
      <c r="I1653" s="31" t="s">
        <v>149</v>
      </c>
      <c r="J1653" s="31" t="n">
        <v>5</v>
      </c>
      <c r="K1653" s="31" t="s">
        <v>150</v>
      </c>
      <c r="L1653" s="45" t="n">
        <f aca="false">DATE(YEAR(B1653),MONTH(B1653),1)</f>
        <v>46204</v>
      </c>
      <c r="M1653" s="31" t="n">
        <f aca="false">WEEKDAY(B1653,2)</f>
        <v>4</v>
      </c>
      <c r="N1653" s="31" t="str">
        <f aca="false">IF(G1653&lt;=INDEX(Assumptions!$B$15:$B$18,MATCH(E1653,Assumptions!$A$15:$A$18,0)),"Yes","No")</f>
        <v>Yes</v>
      </c>
      <c r="O1653" s="31" t="str">
        <f aca="false">IF(H1653="","Open",IF(H1653&lt;=INDEX(Assumptions!$C$15:$C$18,MATCH(E1653,Assumptions!$A$15:$A$18,0)),"Yes","No"))</f>
        <v>Yes</v>
      </c>
    </row>
    <row r="1654" customFormat="false" ht="15" hidden="false" customHeight="false" outlineLevel="0" collapsed="false">
      <c r="A1654" s="31" t="s">
        <v>1804</v>
      </c>
      <c r="B1654" s="44" t="n">
        <v>46226</v>
      </c>
      <c r="C1654" s="31" t="s">
        <v>58</v>
      </c>
      <c r="D1654" s="31" t="s">
        <v>66</v>
      </c>
      <c r="E1654" s="31" t="s">
        <v>51</v>
      </c>
      <c r="F1654" s="31" t="s">
        <v>134</v>
      </c>
      <c r="G1654" s="31" t="n">
        <v>7</v>
      </c>
      <c r="H1654" s="41" t="n">
        <v>4.8</v>
      </c>
      <c r="I1654" s="31" t="s">
        <v>149</v>
      </c>
      <c r="J1654" s="31" t="n">
        <v>4</v>
      </c>
      <c r="K1654" s="31" t="s">
        <v>150</v>
      </c>
      <c r="L1654" s="45" t="n">
        <f aca="false">DATE(YEAR(B1654),MONTH(B1654),1)</f>
        <v>46204</v>
      </c>
      <c r="M1654" s="31" t="n">
        <f aca="false">WEEKDAY(B1654,2)</f>
        <v>4</v>
      </c>
      <c r="N1654" s="31" t="str">
        <f aca="false">IF(G1654&lt;=INDEX(Assumptions!$B$15:$B$18,MATCH(E1654,Assumptions!$A$15:$A$18,0)),"Yes","No")</f>
        <v>Yes</v>
      </c>
      <c r="O1654" s="31" t="str">
        <f aca="false">IF(H1654="","Open",IF(H1654&lt;=INDEX(Assumptions!$C$15:$C$18,MATCH(E1654,Assumptions!$A$15:$A$18,0)),"Yes","No"))</f>
        <v>Yes</v>
      </c>
    </row>
    <row r="1655" customFormat="false" ht="15" hidden="false" customHeight="false" outlineLevel="0" collapsed="false">
      <c r="A1655" s="31" t="s">
        <v>1805</v>
      </c>
      <c r="B1655" s="44" t="n">
        <v>46226</v>
      </c>
      <c r="C1655" s="31" t="s">
        <v>60</v>
      </c>
      <c r="D1655" s="31" t="s">
        <v>65</v>
      </c>
      <c r="E1655" s="31" t="s">
        <v>52</v>
      </c>
      <c r="F1655" s="31" t="s">
        <v>135</v>
      </c>
      <c r="G1655" s="31" t="n">
        <v>2</v>
      </c>
      <c r="H1655" s="41" t="n">
        <v>19.7</v>
      </c>
      <c r="I1655" s="31" t="s">
        <v>149</v>
      </c>
      <c r="J1655" s="31" t="n">
        <v>5</v>
      </c>
      <c r="K1655" s="31" t="s">
        <v>150</v>
      </c>
      <c r="L1655" s="45" t="n">
        <f aca="false">DATE(YEAR(B1655),MONTH(B1655),1)</f>
        <v>46204</v>
      </c>
      <c r="M1655" s="31" t="n">
        <f aca="false">WEEKDAY(B1655,2)</f>
        <v>4</v>
      </c>
      <c r="N1655" s="31" t="str">
        <f aca="false">IF(G1655&lt;=INDEX(Assumptions!$B$15:$B$18,MATCH(E1655,Assumptions!$A$15:$A$18,0)),"Yes","No")</f>
        <v>Yes</v>
      </c>
      <c r="O1655" s="31" t="str">
        <f aca="false">IF(H1655="","Open",IF(H1655&lt;=INDEX(Assumptions!$C$15:$C$18,MATCH(E1655,Assumptions!$A$15:$A$18,0)),"Yes","No"))</f>
        <v>Yes</v>
      </c>
    </row>
    <row r="1656" customFormat="false" ht="15" hidden="false" customHeight="false" outlineLevel="0" collapsed="false">
      <c r="A1656" s="31" t="s">
        <v>1806</v>
      </c>
      <c r="B1656" s="44" t="n">
        <v>46226</v>
      </c>
      <c r="C1656" s="31" t="s">
        <v>57</v>
      </c>
      <c r="D1656" s="31" t="s">
        <v>68</v>
      </c>
      <c r="E1656" s="31" t="s">
        <v>52</v>
      </c>
      <c r="F1656" s="31" t="s">
        <v>130</v>
      </c>
      <c r="G1656" s="31" t="n">
        <v>5</v>
      </c>
      <c r="H1656" s="41" t="n">
        <v>2.7</v>
      </c>
      <c r="I1656" s="31" t="s">
        <v>149</v>
      </c>
      <c r="J1656" s="31" t="n">
        <v>5</v>
      </c>
      <c r="K1656" s="31" t="s">
        <v>153</v>
      </c>
      <c r="L1656" s="45" t="n">
        <f aca="false">DATE(YEAR(B1656),MONTH(B1656),1)</f>
        <v>46204</v>
      </c>
      <c r="M1656" s="31" t="n">
        <f aca="false">WEEKDAY(B1656,2)</f>
        <v>4</v>
      </c>
      <c r="N1656" s="31" t="str">
        <f aca="false">IF(G1656&lt;=INDEX(Assumptions!$B$15:$B$18,MATCH(E1656,Assumptions!$A$15:$A$18,0)),"Yes","No")</f>
        <v>Yes</v>
      </c>
      <c r="O1656" s="31" t="str">
        <f aca="false">IF(H1656="","Open",IF(H1656&lt;=INDEX(Assumptions!$C$15:$C$18,MATCH(E1656,Assumptions!$A$15:$A$18,0)),"Yes","No"))</f>
        <v>Yes</v>
      </c>
    </row>
    <row r="1657" customFormat="false" ht="15" hidden="false" customHeight="false" outlineLevel="0" collapsed="false">
      <c r="A1657" s="31" t="s">
        <v>1807</v>
      </c>
      <c r="B1657" s="44" t="n">
        <v>46226</v>
      </c>
      <c r="C1657" s="31" t="s">
        <v>57</v>
      </c>
      <c r="D1657" s="31" t="s">
        <v>65</v>
      </c>
      <c r="E1657" s="31" t="s">
        <v>52</v>
      </c>
      <c r="F1657" s="31" t="s">
        <v>127</v>
      </c>
      <c r="G1657" s="31" t="n">
        <v>13</v>
      </c>
      <c r="H1657" s="41" t="n">
        <v>27.3</v>
      </c>
      <c r="I1657" s="31" t="s">
        <v>64</v>
      </c>
      <c r="J1657" s="31" t="n">
        <v>4</v>
      </c>
      <c r="K1657" s="31" t="s">
        <v>150</v>
      </c>
      <c r="L1657" s="45" t="n">
        <f aca="false">DATE(YEAR(B1657),MONTH(B1657),1)</f>
        <v>46204</v>
      </c>
      <c r="M1657" s="31" t="n">
        <f aca="false">WEEKDAY(B1657,2)</f>
        <v>4</v>
      </c>
      <c r="N1657" s="31" t="str">
        <f aca="false">IF(G1657&lt;=INDEX(Assumptions!$B$15:$B$18,MATCH(E1657,Assumptions!$A$15:$A$18,0)),"Yes","No")</f>
        <v>Yes</v>
      </c>
      <c r="O1657" s="31" t="str">
        <f aca="false">IF(H1657="","Open",IF(H1657&lt;=INDEX(Assumptions!$C$15:$C$18,MATCH(E1657,Assumptions!$A$15:$A$18,0)),"Yes","No"))</f>
        <v>Yes</v>
      </c>
    </row>
    <row r="1658" customFormat="false" ht="15" hidden="false" customHeight="false" outlineLevel="0" collapsed="false">
      <c r="A1658" s="31" t="s">
        <v>1808</v>
      </c>
      <c r="B1658" s="44" t="n">
        <v>46226</v>
      </c>
      <c r="C1658" s="31" t="s">
        <v>57</v>
      </c>
      <c r="D1658" s="31" t="s">
        <v>65</v>
      </c>
      <c r="E1658" s="31" t="s">
        <v>51</v>
      </c>
      <c r="F1658" s="31" t="s">
        <v>119</v>
      </c>
      <c r="G1658" s="31" t="n">
        <v>1</v>
      </c>
      <c r="H1658" s="41" t="n">
        <v>5.9</v>
      </c>
      <c r="I1658" s="31" t="s">
        <v>149</v>
      </c>
      <c r="J1658" s="31"/>
      <c r="K1658" s="31" t="s">
        <v>150</v>
      </c>
      <c r="L1658" s="45" t="n">
        <f aca="false">DATE(YEAR(B1658),MONTH(B1658),1)</f>
        <v>46204</v>
      </c>
      <c r="M1658" s="31" t="n">
        <f aca="false">WEEKDAY(B1658,2)</f>
        <v>4</v>
      </c>
      <c r="N1658" s="31" t="str">
        <f aca="false">IF(G1658&lt;=INDEX(Assumptions!$B$15:$B$18,MATCH(E1658,Assumptions!$A$15:$A$18,0)),"Yes","No")</f>
        <v>Yes</v>
      </c>
      <c r="O1658" s="31" t="str">
        <f aca="false">IF(H1658="","Open",IF(H1658&lt;=INDEX(Assumptions!$C$15:$C$18,MATCH(E1658,Assumptions!$A$15:$A$18,0)),"Yes","No"))</f>
        <v>Yes</v>
      </c>
    </row>
    <row r="1659" customFormat="false" ht="15" hidden="false" customHeight="false" outlineLevel="0" collapsed="false">
      <c r="A1659" s="31" t="s">
        <v>1809</v>
      </c>
      <c r="B1659" s="44" t="n">
        <v>46226</v>
      </c>
      <c r="C1659" s="31" t="s">
        <v>58</v>
      </c>
      <c r="D1659" s="31" t="s">
        <v>66</v>
      </c>
      <c r="E1659" s="31" t="s">
        <v>52</v>
      </c>
      <c r="F1659" s="31" t="s">
        <v>126</v>
      </c>
      <c r="G1659" s="31" t="n">
        <v>9</v>
      </c>
      <c r="H1659" s="41" t="n">
        <v>18.3</v>
      </c>
      <c r="I1659" s="31" t="s">
        <v>149</v>
      </c>
      <c r="J1659" s="31"/>
      <c r="K1659" s="31" t="s">
        <v>150</v>
      </c>
      <c r="L1659" s="45" t="n">
        <f aca="false">DATE(YEAR(B1659),MONTH(B1659),1)</f>
        <v>46204</v>
      </c>
      <c r="M1659" s="31" t="n">
        <f aca="false">WEEKDAY(B1659,2)</f>
        <v>4</v>
      </c>
      <c r="N1659" s="31" t="str">
        <f aca="false">IF(G1659&lt;=INDEX(Assumptions!$B$15:$B$18,MATCH(E1659,Assumptions!$A$15:$A$18,0)),"Yes","No")</f>
        <v>Yes</v>
      </c>
      <c r="O1659" s="31" t="str">
        <f aca="false">IF(H1659="","Open",IF(H1659&lt;=INDEX(Assumptions!$C$15:$C$18,MATCH(E1659,Assumptions!$A$15:$A$18,0)),"Yes","No"))</f>
        <v>Yes</v>
      </c>
    </row>
    <row r="1660" customFormat="false" ht="15" hidden="false" customHeight="false" outlineLevel="0" collapsed="false">
      <c r="A1660" s="31" t="s">
        <v>1810</v>
      </c>
      <c r="B1660" s="44" t="n">
        <v>46226</v>
      </c>
      <c r="C1660" s="31" t="s">
        <v>59</v>
      </c>
      <c r="D1660" s="31" t="s">
        <v>67</v>
      </c>
      <c r="E1660" s="31" t="s">
        <v>51</v>
      </c>
      <c r="F1660" s="31" t="s">
        <v>119</v>
      </c>
      <c r="G1660" s="31" t="n">
        <v>33</v>
      </c>
      <c r="H1660" s="41" t="n">
        <v>15.9</v>
      </c>
      <c r="I1660" s="31" t="s">
        <v>149</v>
      </c>
      <c r="J1660" s="31"/>
      <c r="K1660" s="31" t="s">
        <v>150</v>
      </c>
      <c r="L1660" s="45" t="n">
        <f aca="false">DATE(YEAR(B1660),MONTH(B1660),1)</f>
        <v>46204</v>
      </c>
      <c r="M1660" s="31" t="n">
        <f aca="false">WEEKDAY(B1660,2)</f>
        <v>4</v>
      </c>
      <c r="N1660" s="31" t="str">
        <f aca="false">IF(G1660&lt;=INDEX(Assumptions!$B$15:$B$18,MATCH(E1660,Assumptions!$A$15:$A$18,0)),"Yes","No")</f>
        <v>Yes</v>
      </c>
      <c r="O1660" s="31" t="str">
        <f aca="false">IF(H1660="","Open",IF(H1660&lt;=INDEX(Assumptions!$C$15:$C$18,MATCH(E1660,Assumptions!$A$15:$A$18,0)),"Yes","No"))</f>
        <v>Yes</v>
      </c>
    </row>
    <row r="1661" customFormat="false" ht="15" hidden="false" customHeight="false" outlineLevel="0" collapsed="false">
      <c r="A1661" s="31" t="s">
        <v>1811</v>
      </c>
      <c r="B1661" s="44" t="n">
        <v>46226</v>
      </c>
      <c r="C1661" s="31" t="s">
        <v>59</v>
      </c>
      <c r="D1661" s="31" t="s">
        <v>67</v>
      </c>
      <c r="E1661" s="31" t="s">
        <v>50</v>
      </c>
      <c r="F1661" s="31" t="s">
        <v>126</v>
      </c>
      <c r="G1661" s="31" t="n">
        <v>42</v>
      </c>
      <c r="H1661" s="41" t="n">
        <v>19.2</v>
      </c>
      <c r="I1661" s="31" t="s">
        <v>149</v>
      </c>
      <c r="J1661" s="31"/>
      <c r="K1661" s="31" t="s">
        <v>150</v>
      </c>
      <c r="L1661" s="45" t="n">
        <f aca="false">DATE(YEAR(B1661),MONTH(B1661),1)</f>
        <v>46204</v>
      </c>
      <c r="M1661" s="31" t="n">
        <f aca="false">WEEKDAY(B1661,2)</f>
        <v>4</v>
      </c>
      <c r="N1661" s="31" t="str">
        <f aca="false">IF(G1661&lt;=INDEX(Assumptions!$B$15:$B$18,MATCH(E1661,Assumptions!$A$15:$A$18,0)),"Yes","No")</f>
        <v>No</v>
      </c>
      <c r="O1661" s="31" t="str">
        <f aca="false">IF(H1661="","Open",IF(H1661&lt;=INDEX(Assumptions!$C$15:$C$18,MATCH(E1661,Assumptions!$A$15:$A$18,0)),"Yes","No"))</f>
        <v>No</v>
      </c>
    </row>
    <row r="1662" customFormat="false" ht="15" hidden="false" customHeight="false" outlineLevel="0" collapsed="false">
      <c r="A1662" s="31" t="s">
        <v>1812</v>
      </c>
      <c r="B1662" s="44" t="n">
        <v>46226</v>
      </c>
      <c r="C1662" s="31" t="s">
        <v>59</v>
      </c>
      <c r="D1662" s="31" t="s">
        <v>65</v>
      </c>
      <c r="E1662" s="31" t="s">
        <v>52</v>
      </c>
      <c r="F1662" s="31" t="s">
        <v>117</v>
      </c>
      <c r="G1662" s="31" t="n">
        <v>109</v>
      </c>
      <c r="H1662" s="41" t="n">
        <v>25</v>
      </c>
      <c r="I1662" s="31" t="s">
        <v>64</v>
      </c>
      <c r="J1662" s="31" t="n">
        <v>3</v>
      </c>
      <c r="K1662" s="31" t="s">
        <v>150</v>
      </c>
      <c r="L1662" s="45" t="n">
        <f aca="false">DATE(YEAR(B1662),MONTH(B1662),1)</f>
        <v>46204</v>
      </c>
      <c r="M1662" s="31" t="n">
        <f aca="false">WEEKDAY(B1662,2)</f>
        <v>4</v>
      </c>
      <c r="N1662" s="31" t="str">
        <f aca="false">IF(G1662&lt;=INDEX(Assumptions!$B$15:$B$18,MATCH(E1662,Assumptions!$A$15:$A$18,0)),"Yes","No")</f>
        <v>Yes</v>
      </c>
      <c r="O1662" s="31" t="str">
        <f aca="false">IF(H1662="","Open",IF(H1662&lt;=INDEX(Assumptions!$C$15:$C$18,MATCH(E1662,Assumptions!$A$15:$A$18,0)),"Yes","No"))</f>
        <v>Yes</v>
      </c>
    </row>
    <row r="1663" customFormat="false" ht="15" hidden="false" customHeight="false" outlineLevel="0" collapsed="false">
      <c r="A1663" s="31" t="s">
        <v>1813</v>
      </c>
      <c r="B1663" s="44" t="n">
        <v>46226</v>
      </c>
      <c r="C1663" s="31" t="s">
        <v>59</v>
      </c>
      <c r="D1663" s="31" t="s">
        <v>65</v>
      </c>
      <c r="E1663" s="31" t="s">
        <v>50</v>
      </c>
      <c r="F1663" s="31" t="s">
        <v>137</v>
      </c>
      <c r="G1663" s="31" t="n">
        <v>22</v>
      </c>
      <c r="H1663" s="41" t="n">
        <v>4.3</v>
      </c>
      <c r="I1663" s="31" t="s">
        <v>149</v>
      </c>
      <c r="J1663" s="31"/>
      <c r="K1663" s="31" t="s">
        <v>150</v>
      </c>
      <c r="L1663" s="45" t="n">
        <f aca="false">DATE(YEAR(B1663),MONTH(B1663),1)</f>
        <v>46204</v>
      </c>
      <c r="M1663" s="31" t="n">
        <f aca="false">WEEKDAY(B1663,2)</f>
        <v>4</v>
      </c>
      <c r="N1663" s="31" t="str">
        <f aca="false">IF(G1663&lt;=INDEX(Assumptions!$B$15:$B$18,MATCH(E1663,Assumptions!$A$15:$A$18,0)),"Yes","No")</f>
        <v>Yes</v>
      </c>
      <c r="O1663" s="31" t="str">
        <f aca="false">IF(H1663="","Open",IF(H1663&lt;=INDEX(Assumptions!$C$15:$C$18,MATCH(E1663,Assumptions!$A$15:$A$18,0)),"Yes","No"))</f>
        <v>Yes</v>
      </c>
    </row>
    <row r="1664" customFormat="false" ht="15" hidden="false" customHeight="false" outlineLevel="0" collapsed="false">
      <c r="A1664" s="31" t="s">
        <v>1814</v>
      </c>
      <c r="B1664" s="44" t="n">
        <v>46226</v>
      </c>
      <c r="C1664" s="31" t="s">
        <v>59</v>
      </c>
      <c r="D1664" s="31" t="s">
        <v>68</v>
      </c>
      <c r="E1664" s="31" t="s">
        <v>52</v>
      </c>
      <c r="F1664" s="31" t="s">
        <v>126</v>
      </c>
      <c r="G1664" s="31" t="n">
        <v>79</v>
      </c>
      <c r="H1664" s="41" t="n">
        <v>5.6</v>
      </c>
      <c r="I1664" s="31" t="s">
        <v>149</v>
      </c>
      <c r="J1664" s="31"/>
      <c r="K1664" s="31" t="s">
        <v>150</v>
      </c>
      <c r="L1664" s="45" t="n">
        <f aca="false">DATE(YEAR(B1664),MONTH(B1664),1)</f>
        <v>46204</v>
      </c>
      <c r="M1664" s="31" t="n">
        <f aca="false">WEEKDAY(B1664,2)</f>
        <v>4</v>
      </c>
      <c r="N1664" s="31" t="str">
        <f aca="false">IF(G1664&lt;=INDEX(Assumptions!$B$15:$B$18,MATCH(E1664,Assumptions!$A$15:$A$18,0)),"Yes","No")</f>
        <v>Yes</v>
      </c>
      <c r="O1664" s="31" t="str">
        <f aca="false">IF(H1664="","Open",IF(H1664&lt;=INDEX(Assumptions!$C$15:$C$18,MATCH(E1664,Assumptions!$A$15:$A$18,0)),"Yes","No"))</f>
        <v>Yes</v>
      </c>
    </row>
    <row r="1665" customFormat="false" ht="15" hidden="false" customHeight="false" outlineLevel="0" collapsed="false">
      <c r="A1665" s="31" t="s">
        <v>1815</v>
      </c>
      <c r="B1665" s="44" t="n">
        <v>46226</v>
      </c>
      <c r="C1665" s="31" t="s">
        <v>59</v>
      </c>
      <c r="D1665" s="31" t="s">
        <v>66</v>
      </c>
      <c r="E1665" s="31" t="s">
        <v>52</v>
      </c>
      <c r="F1665" s="31" t="s">
        <v>128</v>
      </c>
      <c r="G1665" s="31" t="n">
        <v>107</v>
      </c>
      <c r="H1665" s="41" t="n">
        <v>11.5</v>
      </c>
      <c r="I1665" s="31" t="s">
        <v>149</v>
      </c>
      <c r="J1665" s="31" t="n">
        <v>4</v>
      </c>
      <c r="K1665" s="31" t="s">
        <v>150</v>
      </c>
      <c r="L1665" s="45" t="n">
        <f aca="false">DATE(YEAR(B1665),MONTH(B1665),1)</f>
        <v>46204</v>
      </c>
      <c r="M1665" s="31" t="n">
        <f aca="false">WEEKDAY(B1665,2)</f>
        <v>4</v>
      </c>
      <c r="N1665" s="31" t="str">
        <f aca="false">IF(G1665&lt;=INDEX(Assumptions!$B$15:$B$18,MATCH(E1665,Assumptions!$A$15:$A$18,0)),"Yes","No")</f>
        <v>Yes</v>
      </c>
      <c r="O1665" s="31" t="str">
        <f aca="false">IF(H1665="","Open",IF(H1665&lt;=INDEX(Assumptions!$C$15:$C$18,MATCH(E1665,Assumptions!$A$15:$A$18,0)),"Yes","No"))</f>
        <v>Yes</v>
      </c>
    </row>
    <row r="1666" customFormat="false" ht="15" hidden="false" customHeight="false" outlineLevel="0" collapsed="false">
      <c r="A1666" s="31" t="s">
        <v>1816</v>
      </c>
      <c r="B1666" s="44" t="n">
        <v>46226</v>
      </c>
      <c r="C1666" s="31" t="s">
        <v>57</v>
      </c>
      <c r="D1666" s="31" t="s">
        <v>66</v>
      </c>
      <c r="E1666" s="31" t="s">
        <v>51</v>
      </c>
      <c r="F1666" s="31" t="s">
        <v>124</v>
      </c>
      <c r="G1666" s="31" t="n">
        <v>3</v>
      </c>
      <c r="H1666" s="41" t="n">
        <v>4.2</v>
      </c>
      <c r="I1666" s="31" t="s">
        <v>149</v>
      </c>
      <c r="J1666" s="31"/>
      <c r="K1666" s="31" t="s">
        <v>150</v>
      </c>
      <c r="L1666" s="45" t="n">
        <f aca="false">DATE(YEAR(B1666),MONTH(B1666),1)</f>
        <v>46204</v>
      </c>
      <c r="M1666" s="31" t="n">
        <f aca="false">WEEKDAY(B1666,2)</f>
        <v>4</v>
      </c>
      <c r="N1666" s="31" t="str">
        <f aca="false">IF(G1666&lt;=INDEX(Assumptions!$B$15:$B$18,MATCH(E1666,Assumptions!$A$15:$A$18,0)),"Yes","No")</f>
        <v>Yes</v>
      </c>
      <c r="O1666" s="31" t="str">
        <f aca="false">IF(H1666="","Open",IF(H1666&lt;=INDEX(Assumptions!$C$15:$C$18,MATCH(E1666,Assumptions!$A$15:$A$18,0)),"Yes","No"))</f>
        <v>Yes</v>
      </c>
    </row>
    <row r="1667" customFormat="false" ht="15" hidden="false" customHeight="false" outlineLevel="0" collapsed="false">
      <c r="A1667" s="31" t="s">
        <v>1817</v>
      </c>
      <c r="B1667" s="44" t="n">
        <v>46226</v>
      </c>
      <c r="C1667" s="31" t="s">
        <v>59</v>
      </c>
      <c r="D1667" s="31" t="s">
        <v>66</v>
      </c>
      <c r="E1667" s="31" t="s">
        <v>51</v>
      </c>
      <c r="F1667" s="31" t="s">
        <v>128</v>
      </c>
      <c r="G1667" s="31" t="n">
        <v>61</v>
      </c>
      <c r="H1667" s="41" t="n">
        <v>21</v>
      </c>
      <c r="I1667" s="31" t="s">
        <v>149</v>
      </c>
      <c r="J1667" s="31" t="n">
        <v>2</v>
      </c>
      <c r="K1667" s="31" t="s">
        <v>150</v>
      </c>
      <c r="L1667" s="45" t="n">
        <f aca="false">DATE(YEAR(B1667),MONTH(B1667),1)</f>
        <v>46204</v>
      </c>
      <c r="M1667" s="31" t="n">
        <f aca="false">WEEKDAY(B1667,2)</f>
        <v>4</v>
      </c>
      <c r="N1667" s="31" t="str">
        <f aca="false">IF(G1667&lt;=INDEX(Assumptions!$B$15:$B$18,MATCH(E1667,Assumptions!$A$15:$A$18,0)),"Yes","No")</f>
        <v>No</v>
      </c>
      <c r="O1667" s="31" t="str">
        <f aca="false">IF(H1667="","Open",IF(H1667&lt;=INDEX(Assumptions!$C$15:$C$18,MATCH(E1667,Assumptions!$A$15:$A$18,0)),"Yes","No"))</f>
        <v>Yes</v>
      </c>
    </row>
    <row r="1668" customFormat="false" ht="15" hidden="false" customHeight="false" outlineLevel="0" collapsed="false">
      <c r="A1668" s="31" t="s">
        <v>1818</v>
      </c>
      <c r="B1668" s="44" t="n">
        <v>46226</v>
      </c>
      <c r="C1668" s="31" t="s">
        <v>59</v>
      </c>
      <c r="D1668" s="31" t="s">
        <v>68</v>
      </c>
      <c r="E1668" s="31" t="s">
        <v>51</v>
      </c>
      <c r="F1668" s="31" t="s">
        <v>128</v>
      </c>
      <c r="G1668" s="31" t="n">
        <v>93</v>
      </c>
      <c r="H1668" s="41" t="n">
        <v>2.9</v>
      </c>
      <c r="I1668" s="31" t="s">
        <v>149</v>
      </c>
      <c r="J1668" s="31" t="n">
        <v>4</v>
      </c>
      <c r="K1668" s="31" t="s">
        <v>150</v>
      </c>
      <c r="L1668" s="45" t="n">
        <f aca="false">DATE(YEAR(B1668),MONTH(B1668),1)</f>
        <v>46204</v>
      </c>
      <c r="M1668" s="31" t="n">
        <f aca="false">WEEKDAY(B1668,2)</f>
        <v>4</v>
      </c>
      <c r="N1668" s="31" t="str">
        <f aca="false">IF(G1668&lt;=INDEX(Assumptions!$B$15:$B$18,MATCH(E1668,Assumptions!$A$15:$A$18,0)),"Yes","No")</f>
        <v>No</v>
      </c>
      <c r="O1668" s="31" t="str">
        <f aca="false">IF(H1668="","Open",IF(H1668&lt;=INDEX(Assumptions!$C$15:$C$18,MATCH(E1668,Assumptions!$A$15:$A$18,0)),"Yes","No"))</f>
        <v>Yes</v>
      </c>
    </row>
    <row r="1669" customFormat="false" ht="15" hidden="false" customHeight="false" outlineLevel="0" collapsed="false">
      <c r="A1669" s="31" t="s">
        <v>1819</v>
      </c>
      <c r="B1669" s="44" t="n">
        <v>46226</v>
      </c>
      <c r="C1669" s="31" t="s">
        <v>57</v>
      </c>
      <c r="D1669" s="31" t="s">
        <v>66</v>
      </c>
      <c r="E1669" s="31" t="s">
        <v>51</v>
      </c>
      <c r="F1669" s="31" t="s">
        <v>117</v>
      </c>
      <c r="G1669" s="31" t="n">
        <v>10</v>
      </c>
      <c r="H1669" s="41" t="n">
        <v>1.2</v>
      </c>
      <c r="I1669" s="31" t="s">
        <v>149</v>
      </c>
      <c r="J1669" s="31"/>
      <c r="K1669" s="31" t="s">
        <v>150</v>
      </c>
      <c r="L1669" s="45" t="n">
        <f aca="false">DATE(YEAR(B1669),MONTH(B1669),1)</f>
        <v>46204</v>
      </c>
      <c r="M1669" s="31" t="n">
        <f aca="false">WEEKDAY(B1669,2)</f>
        <v>4</v>
      </c>
      <c r="N1669" s="31" t="str">
        <f aca="false">IF(G1669&lt;=INDEX(Assumptions!$B$15:$B$18,MATCH(E1669,Assumptions!$A$15:$A$18,0)),"Yes","No")</f>
        <v>Yes</v>
      </c>
      <c r="O1669" s="31" t="str">
        <f aca="false">IF(H1669="","Open",IF(H1669&lt;=INDEX(Assumptions!$C$15:$C$18,MATCH(E1669,Assumptions!$A$15:$A$18,0)),"Yes","No"))</f>
        <v>Yes</v>
      </c>
    </row>
    <row r="1670" customFormat="false" ht="15" hidden="false" customHeight="false" outlineLevel="0" collapsed="false">
      <c r="A1670" s="31" t="s">
        <v>1820</v>
      </c>
      <c r="B1670" s="44" t="n">
        <v>46226</v>
      </c>
      <c r="C1670" s="31" t="s">
        <v>57</v>
      </c>
      <c r="D1670" s="31" t="s">
        <v>68</v>
      </c>
      <c r="E1670" s="31" t="s">
        <v>51</v>
      </c>
      <c r="F1670" s="31" t="s">
        <v>133</v>
      </c>
      <c r="G1670" s="31" t="n">
        <v>4</v>
      </c>
      <c r="H1670" s="41" t="n">
        <v>2.2</v>
      </c>
      <c r="I1670" s="31" t="s">
        <v>149</v>
      </c>
      <c r="J1670" s="31" t="n">
        <v>4</v>
      </c>
      <c r="K1670" s="31" t="s">
        <v>153</v>
      </c>
      <c r="L1670" s="45" t="n">
        <f aca="false">DATE(YEAR(B1670),MONTH(B1670),1)</f>
        <v>46204</v>
      </c>
      <c r="M1670" s="31" t="n">
        <f aca="false">WEEKDAY(B1670,2)</f>
        <v>4</v>
      </c>
      <c r="N1670" s="31" t="str">
        <f aca="false">IF(G1670&lt;=INDEX(Assumptions!$B$15:$B$18,MATCH(E1670,Assumptions!$A$15:$A$18,0)),"Yes","No")</f>
        <v>Yes</v>
      </c>
      <c r="O1670" s="31" t="str">
        <f aca="false">IF(H1670="","Open",IF(H1670&lt;=INDEX(Assumptions!$C$15:$C$18,MATCH(E1670,Assumptions!$A$15:$A$18,0)),"Yes","No"))</f>
        <v>Yes</v>
      </c>
    </row>
    <row r="1671" customFormat="false" ht="15" hidden="false" customHeight="false" outlineLevel="0" collapsed="false">
      <c r="A1671" s="31" t="s">
        <v>1821</v>
      </c>
      <c r="B1671" s="44" t="n">
        <v>46227</v>
      </c>
      <c r="C1671" s="31" t="s">
        <v>57</v>
      </c>
      <c r="D1671" s="31" t="s">
        <v>68</v>
      </c>
      <c r="E1671" s="31" t="s">
        <v>51</v>
      </c>
      <c r="F1671" s="31" t="s">
        <v>131</v>
      </c>
      <c r="G1671" s="31" t="n">
        <v>3</v>
      </c>
      <c r="H1671" s="41" t="n">
        <v>8.2</v>
      </c>
      <c r="I1671" s="31" t="s">
        <v>149</v>
      </c>
      <c r="J1671" s="31" t="n">
        <v>5</v>
      </c>
      <c r="K1671" s="31" t="s">
        <v>150</v>
      </c>
      <c r="L1671" s="45" t="n">
        <f aca="false">DATE(YEAR(B1671),MONTH(B1671),1)</f>
        <v>46204</v>
      </c>
      <c r="M1671" s="31" t="n">
        <f aca="false">WEEKDAY(B1671,2)</f>
        <v>5</v>
      </c>
      <c r="N1671" s="31" t="str">
        <f aca="false">IF(G1671&lt;=INDEX(Assumptions!$B$15:$B$18,MATCH(E1671,Assumptions!$A$15:$A$18,0)),"Yes","No")</f>
        <v>Yes</v>
      </c>
      <c r="O1671" s="31" t="str">
        <f aca="false">IF(H1671="","Open",IF(H1671&lt;=INDEX(Assumptions!$C$15:$C$18,MATCH(E1671,Assumptions!$A$15:$A$18,0)),"Yes","No"))</f>
        <v>Yes</v>
      </c>
    </row>
    <row r="1672" customFormat="false" ht="15" hidden="false" customHeight="false" outlineLevel="0" collapsed="false">
      <c r="A1672" s="31" t="s">
        <v>1822</v>
      </c>
      <c r="B1672" s="44" t="n">
        <v>46227</v>
      </c>
      <c r="C1672" s="31" t="s">
        <v>57</v>
      </c>
      <c r="D1672" s="31" t="s">
        <v>68</v>
      </c>
      <c r="E1672" s="31" t="s">
        <v>51</v>
      </c>
      <c r="F1672" s="31" t="s">
        <v>134</v>
      </c>
      <c r="G1672" s="31" t="n">
        <v>7</v>
      </c>
      <c r="H1672" s="41" t="n">
        <v>10.2</v>
      </c>
      <c r="I1672" s="31" t="s">
        <v>149</v>
      </c>
      <c r="J1672" s="31" t="n">
        <v>4</v>
      </c>
      <c r="K1672" s="31" t="s">
        <v>150</v>
      </c>
      <c r="L1672" s="45" t="n">
        <f aca="false">DATE(YEAR(B1672),MONTH(B1672),1)</f>
        <v>46204</v>
      </c>
      <c r="M1672" s="31" t="n">
        <f aca="false">WEEKDAY(B1672,2)</f>
        <v>5</v>
      </c>
      <c r="N1672" s="31" t="str">
        <f aca="false">IF(G1672&lt;=INDEX(Assumptions!$B$15:$B$18,MATCH(E1672,Assumptions!$A$15:$A$18,0)),"Yes","No")</f>
        <v>Yes</v>
      </c>
      <c r="O1672" s="31" t="str">
        <f aca="false">IF(H1672="","Open",IF(H1672&lt;=INDEX(Assumptions!$C$15:$C$18,MATCH(E1672,Assumptions!$A$15:$A$18,0)),"Yes","No"))</f>
        <v>Yes</v>
      </c>
    </row>
    <row r="1673" customFormat="false" ht="15" hidden="false" customHeight="false" outlineLevel="0" collapsed="false">
      <c r="A1673" s="31" t="s">
        <v>1823</v>
      </c>
      <c r="B1673" s="44" t="n">
        <v>46227</v>
      </c>
      <c r="C1673" s="31" t="s">
        <v>57</v>
      </c>
      <c r="D1673" s="31" t="s">
        <v>65</v>
      </c>
      <c r="E1673" s="31" t="s">
        <v>50</v>
      </c>
      <c r="F1673" s="31" t="s">
        <v>128</v>
      </c>
      <c r="G1673" s="31" t="n">
        <v>4</v>
      </c>
      <c r="H1673" s="41" t="n">
        <v>14.6</v>
      </c>
      <c r="I1673" s="31" t="s">
        <v>149</v>
      </c>
      <c r="J1673" s="31" t="n">
        <v>4</v>
      </c>
      <c r="K1673" s="31" t="s">
        <v>153</v>
      </c>
      <c r="L1673" s="45" t="n">
        <f aca="false">DATE(YEAR(B1673),MONTH(B1673),1)</f>
        <v>46204</v>
      </c>
      <c r="M1673" s="31" t="n">
        <f aca="false">WEEKDAY(B1673,2)</f>
        <v>5</v>
      </c>
      <c r="N1673" s="31" t="str">
        <f aca="false">IF(G1673&lt;=INDEX(Assumptions!$B$15:$B$18,MATCH(E1673,Assumptions!$A$15:$A$18,0)),"Yes","No")</f>
        <v>Yes</v>
      </c>
      <c r="O1673" s="31" t="str">
        <f aca="false">IF(H1673="","Open",IF(H1673&lt;=INDEX(Assumptions!$C$15:$C$18,MATCH(E1673,Assumptions!$A$15:$A$18,0)),"Yes","No"))</f>
        <v>No</v>
      </c>
    </row>
    <row r="1674" customFormat="false" ht="15" hidden="false" customHeight="false" outlineLevel="0" collapsed="false">
      <c r="A1674" s="31" t="s">
        <v>1824</v>
      </c>
      <c r="B1674" s="44" t="n">
        <v>46227</v>
      </c>
      <c r="C1674" s="31" t="s">
        <v>58</v>
      </c>
      <c r="D1674" s="31" t="s">
        <v>69</v>
      </c>
      <c r="E1674" s="31" t="s">
        <v>52</v>
      </c>
      <c r="F1674" s="31" t="s">
        <v>129</v>
      </c>
      <c r="G1674" s="31" t="n">
        <v>12</v>
      </c>
      <c r="H1674" s="41" t="n">
        <v>39.9</v>
      </c>
      <c r="I1674" s="31" t="s">
        <v>149</v>
      </c>
      <c r="J1674" s="31"/>
      <c r="K1674" s="31" t="s">
        <v>150</v>
      </c>
      <c r="L1674" s="45" t="n">
        <f aca="false">DATE(YEAR(B1674),MONTH(B1674),1)</f>
        <v>46204</v>
      </c>
      <c r="M1674" s="31" t="n">
        <f aca="false">WEEKDAY(B1674,2)</f>
        <v>5</v>
      </c>
      <c r="N1674" s="31" t="str">
        <f aca="false">IF(G1674&lt;=INDEX(Assumptions!$B$15:$B$18,MATCH(E1674,Assumptions!$A$15:$A$18,0)),"Yes","No")</f>
        <v>Yes</v>
      </c>
      <c r="O1674" s="31" t="str">
        <f aca="false">IF(H1674="","Open",IF(H1674&lt;=INDEX(Assumptions!$C$15:$C$18,MATCH(E1674,Assumptions!$A$15:$A$18,0)),"Yes","No"))</f>
        <v>Yes</v>
      </c>
    </row>
    <row r="1675" customFormat="false" ht="15" hidden="false" customHeight="false" outlineLevel="0" collapsed="false">
      <c r="A1675" s="31" t="s">
        <v>1825</v>
      </c>
      <c r="B1675" s="44" t="n">
        <v>46227</v>
      </c>
      <c r="C1675" s="31" t="s">
        <v>60</v>
      </c>
      <c r="D1675" s="31" t="s">
        <v>67</v>
      </c>
      <c r="E1675" s="31" t="s">
        <v>52</v>
      </c>
      <c r="F1675" s="31" t="s">
        <v>120</v>
      </c>
      <c r="G1675" s="31" t="n">
        <v>16</v>
      </c>
      <c r="H1675" s="41" t="n">
        <v>20.7</v>
      </c>
      <c r="I1675" s="31" t="s">
        <v>149</v>
      </c>
      <c r="J1675" s="31"/>
      <c r="K1675" s="31" t="s">
        <v>150</v>
      </c>
      <c r="L1675" s="45" t="n">
        <f aca="false">DATE(YEAR(B1675),MONTH(B1675),1)</f>
        <v>46204</v>
      </c>
      <c r="M1675" s="31" t="n">
        <f aca="false">WEEKDAY(B1675,2)</f>
        <v>5</v>
      </c>
      <c r="N1675" s="31" t="str">
        <f aca="false">IF(G1675&lt;=INDEX(Assumptions!$B$15:$B$18,MATCH(E1675,Assumptions!$A$15:$A$18,0)),"Yes","No")</f>
        <v>Yes</v>
      </c>
      <c r="O1675" s="31" t="str">
        <f aca="false">IF(H1675="","Open",IF(H1675&lt;=INDEX(Assumptions!$C$15:$C$18,MATCH(E1675,Assumptions!$A$15:$A$18,0)),"Yes","No"))</f>
        <v>Yes</v>
      </c>
    </row>
    <row r="1676" customFormat="false" ht="15" hidden="false" customHeight="false" outlineLevel="0" collapsed="false">
      <c r="A1676" s="31" t="s">
        <v>1826</v>
      </c>
      <c r="B1676" s="44" t="n">
        <v>46227</v>
      </c>
      <c r="C1676" s="31" t="s">
        <v>58</v>
      </c>
      <c r="D1676" s="31" t="s">
        <v>65</v>
      </c>
      <c r="E1676" s="31" t="s">
        <v>52</v>
      </c>
      <c r="F1676" s="31" t="s">
        <v>129</v>
      </c>
      <c r="G1676" s="31" t="n">
        <v>10</v>
      </c>
      <c r="H1676" s="41" t="n">
        <v>29.3</v>
      </c>
      <c r="I1676" s="31" t="s">
        <v>64</v>
      </c>
      <c r="J1676" s="31"/>
      <c r="K1676" s="31" t="s">
        <v>150</v>
      </c>
      <c r="L1676" s="45" t="n">
        <f aca="false">DATE(YEAR(B1676),MONTH(B1676),1)</f>
        <v>46204</v>
      </c>
      <c r="M1676" s="31" t="n">
        <f aca="false">WEEKDAY(B1676,2)</f>
        <v>5</v>
      </c>
      <c r="N1676" s="31" t="str">
        <f aca="false">IF(G1676&lt;=INDEX(Assumptions!$B$15:$B$18,MATCH(E1676,Assumptions!$A$15:$A$18,0)),"Yes","No")</f>
        <v>Yes</v>
      </c>
      <c r="O1676" s="31" t="str">
        <f aca="false">IF(H1676="","Open",IF(H1676&lt;=INDEX(Assumptions!$C$15:$C$18,MATCH(E1676,Assumptions!$A$15:$A$18,0)),"Yes","No"))</f>
        <v>Yes</v>
      </c>
    </row>
    <row r="1677" customFormat="false" ht="15" hidden="false" customHeight="false" outlineLevel="0" collapsed="false">
      <c r="A1677" s="31" t="s">
        <v>1827</v>
      </c>
      <c r="B1677" s="44" t="n">
        <v>46227</v>
      </c>
      <c r="C1677" s="31" t="s">
        <v>59</v>
      </c>
      <c r="D1677" s="31" t="s">
        <v>65</v>
      </c>
      <c r="E1677" s="31" t="s">
        <v>51</v>
      </c>
      <c r="F1677" s="31" t="s">
        <v>130</v>
      </c>
      <c r="G1677" s="31" t="n">
        <v>59</v>
      </c>
      <c r="H1677" s="41" t="n">
        <v>4.3</v>
      </c>
      <c r="I1677" s="31" t="s">
        <v>149</v>
      </c>
      <c r="J1677" s="31"/>
      <c r="K1677" s="31" t="s">
        <v>150</v>
      </c>
      <c r="L1677" s="45" t="n">
        <f aca="false">DATE(YEAR(B1677),MONTH(B1677),1)</f>
        <v>46204</v>
      </c>
      <c r="M1677" s="31" t="n">
        <f aca="false">WEEKDAY(B1677,2)</f>
        <v>5</v>
      </c>
      <c r="N1677" s="31" t="str">
        <f aca="false">IF(G1677&lt;=INDEX(Assumptions!$B$15:$B$18,MATCH(E1677,Assumptions!$A$15:$A$18,0)),"Yes","No")</f>
        <v>Yes</v>
      </c>
      <c r="O1677" s="31" t="str">
        <f aca="false">IF(H1677="","Open",IF(H1677&lt;=INDEX(Assumptions!$C$15:$C$18,MATCH(E1677,Assumptions!$A$15:$A$18,0)),"Yes","No"))</f>
        <v>Yes</v>
      </c>
    </row>
    <row r="1678" customFormat="false" ht="15" hidden="false" customHeight="false" outlineLevel="0" collapsed="false">
      <c r="A1678" s="31" t="s">
        <v>1828</v>
      </c>
      <c r="B1678" s="44" t="n">
        <v>46227</v>
      </c>
      <c r="C1678" s="31" t="s">
        <v>58</v>
      </c>
      <c r="D1678" s="31" t="s">
        <v>67</v>
      </c>
      <c r="E1678" s="31" t="s">
        <v>52</v>
      </c>
      <c r="F1678" s="31" t="s">
        <v>117</v>
      </c>
      <c r="G1678" s="31" t="n">
        <v>21</v>
      </c>
      <c r="H1678" s="41" t="n">
        <v>41.4</v>
      </c>
      <c r="I1678" s="31" t="s">
        <v>64</v>
      </c>
      <c r="J1678" s="31" t="n">
        <v>4</v>
      </c>
      <c r="K1678" s="31" t="s">
        <v>150</v>
      </c>
      <c r="L1678" s="45" t="n">
        <f aca="false">DATE(YEAR(B1678),MONTH(B1678),1)</f>
        <v>46204</v>
      </c>
      <c r="M1678" s="31" t="n">
        <f aca="false">WEEKDAY(B1678,2)</f>
        <v>5</v>
      </c>
      <c r="N1678" s="31" t="str">
        <f aca="false">IF(G1678&lt;=INDEX(Assumptions!$B$15:$B$18,MATCH(E1678,Assumptions!$A$15:$A$18,0)),"Yes","No")</f>
        <v>Yes</v>
      </c>
      <c r="O1678" s="31" t="str">
        <f aca="false">IF(H1678="","Open",IF(H1678&lt;=INDEX(Assumptions!$C$15:$C$18,MATCH(E1678,Assumptions!$A$15:$A$18,0)),"Yes","No"))</f>
        <v>Yes</v>
      </c>
    </row>
    <row r="1679" customFormat="false" ht="15" hidden="false" customHeight="false" outlineLevel="0" collapsed="false">
      <c r="A1679" s="31" t="s">
        <v>1829</v>
      </c>
      <c r="B1679" s="44" t="n">
        <v>46227</v>
      </c>
      <c r="C1679" s="31" t="s">
        <v>59</v>
      </c>
      <c r="D1679" s="31" t="s">
        <v>65</v>
      </c>
      <c r="E1679" s="31" t="s">
        <v>51</v>
      </c>
      <c r="F1679" s="31" t="s">
        <v>129</v>
      </c>
      <c r="G1679" s="31" t="n">
        <v>101</v>
      </c>
      <c r="H1679" s="41" t="n">
        <v>15.1</v>
      </c>
      <c r="I1679" s="31" t="s">
        <v>149</v>
      </c>
      <c r="J1679" s="31"/>
      <c r="K1679" s="31" t="s">
        <v>150</v>
      </c>
      <c r="L1679" s="45" t="n">
        <f aca="false">DATE(YEAR(B1679),MONTH(B1679),1)</f>
        <v>46204</v>
      </c>
      <c r="M1679" s="31" t="n">
        <f aca="false">WEEKDAY(B1679,2)</f>
        <v>5</v>
      </c>
      <c r="N1679" s="31" t="str">
        <f aca="false">IF(G1679&lt;=INDEX(Assumptions!$B$15:$B$18,MATCH(E1679,Assumptions!$A$15:$A$18,0)),"Yes","No")</f>
        <v>No</v>
      </c>
      <c r="O1679" s="31" t="str">
        <f aca="false">IF(H1679="","Open",IF(H1679&lt;=INDEX(Assumptions!$C$15:$C$18,MATCH(E1679,Assumptions!$A$15:$A$18,0)),"Yes","No"))</f>
        <v>Yes</v>
      </c>
    </row>
    <row r="1680" customFormat="false" ht="15" hidden="false" customHeight="false" outlineLevel="0" collapsed="false">
      <c r="A1680" s="31" t="s">
        <v>1830</v>
      </c>
      <c r="B1680" s="44" t="n">
        <v>46227</v>
      </c>
      <c r="C1680" s="31" t="s">
        <v>59</v>
      </c>
      <c r="D1680" s="31" t="s">
        <v>67</v>
      </c>
      <c r="E1680" s="31" t="s">
        <v>51</v>
      </c>
      <c r="F1680" s="31" t="s">
        <v>119</v>
      </c>
      <c r="G1680" s="31" t="n">
        <v>20</v>
      </c>
      <c r="H1680" s="41" t="n">
        <v>19.1</v>
      </c>
      <c r="I1680" s="31" t="s">
        <v>149</v>
      </c>
      <c r="J1680" s="31" t="n">
        <v>4</v>
      </c>
      <c r="K1680" s="31" t="s">
        <v>150</v>
      </c>
      <c r="L1680" s="45" t="n">
        <f aca="false">DATE(YEAR(B1680),MONTH(B1680),1)</f>
        <v>46204</v>
      </c>
      <c r="M1680" s="31" t="n">
        <f aca="false">WEEKDAY(B1680,2)</f>
        <v>5</v>
      </c>
      <c r="N1680" s="31" t="str">
        <f aca="false">IF(G1680&lt;=INDEX(Assumptions!$B$15:$B$18,MATCH(E1680,Assumptions!$A$15:$A$18,0)),"Yes","No")</f>
        <v>Yes</v>
      </c>
      <c r="O1680" s="31" t="str">
        <f aca="false">IF(H1680="","Open",IF(H1680&lt;=INDEX(Assumptions!$C$15:$C$18,MATCH(E1680,Assumptions!$A$15:$A$18,0)),"Yes","No"))</f>
        <v>Yes</v>
      </c>
    </row>
    <row r="1681" customFormat="false" ht="15" hidden="false" customHeight="false" outlineLevel="0" collapsed="false">
      <c r="A1681" s="31" t="s">
        <v>1831</v>
      </c>
      <c r="B1681" s="44" t="n">
        <v>46227</v>
      </c>
      <c r="C1681" s="31" t="s">
        <v>57</v>
      </c>
      <c r="D1681" s="31" t="s">
        <v>65</v>
      </c>
      <c r="E1681" s="31" t="s">
        <v>52</v>
      </c>
      <c r="F1681" s="31" t="s">
        <v>117</v>
      </c>
      <c r="G1681" s="31" t="n">
        <v>4</v>
      </c>
      <c r="H1681" s="41" t="n">
        <v>4.1</v>
      </c>
      <c r="I1681" s="31" t="s">
        <v>149</v>
      </c>
      <c r="J1681" s="31" t="n">
        <v>4</v>
      </c>
      <c r="K1681" s="31" t="s">
        <v>150</v>
      </c>
      <c r="L1681" s="45" t="n">
        <f aca="false">DATE(YEAR(B1681),MONTH(B1681),1)</f>
        <v>46204</v>
      </c>
      <c r="M1681" s="31" t="n">
        <f aca="false">WEEKDAY(B1681,2)</f>
        <v>5</v>
      </c>
      <c r="N1681" s="31" t="str">
        <f aca="false">IF(G1681&lt;=INDEX(Assumptions!$B$15:$B$18,MATCH(E1681,Assumptions!$A$15:$A$18,0)),"Yes","No")</f>
        <v>Yes</v>
      </c>
      <c r="O1681" s="31" t="str">
        <f aca="false">IF(H1681="","Open",IF(H1681&lt;=INDEX(Assumptions!$C$15:$C$18,MATCH(E1681,Assumptions!$A$15:$A$18,0)),"Yes","No"))</f>
        <v>Yes</v>
      </c>
    </row>
    <row r="1682" customFormat="false" ht="15" hidden="false" customHeight="false" outlineLevel="0" collapsed="false">
      <c r="A1682" s="31" t="s">
        <v>1832</v>
      </c>
      <c r="B1682" s="44" t="n">
        <v>46227</v>
      </c>
      <c r="C1682" s="31" t="s">
        <v>59</v>
      </c>
      <c r="D1682" s="31" t="s">
        <v>68</v>
      </c>
      <c r="E1682" s="31" t="s">
        <v>50</v>
      </c>
      <c r="F1682" s="31" t="s">
        <v>124</v>
      </c>
      <c r="G1682" s="31" t="n">
        <v>32</v>
      </c>
      <c r="H1682" s="41" t="n">
        <v>2.9</v>
      </c>
      <c r="I1682" s="31" t="s">
        <v>149</v>
      </c>
      <c r="J1682" s="31"/>
      <c r="K1682" s="31" t="s">
        <v>150</v>
      </c>
      <c r="L1682" s="45" t="n">
        <f aca="false">DATE(YEAR(B1682),MONTH(B1682),1)</f>
        <v>46204</v>
      </c>
      <c r="M1682" s="31" t="n">
        <f aca="false">WEEKDAY(B1682,2)</f>
        <v>5</v>
      </c>
      <c r="N1682" s="31" t="str">
        <f aca="false">IF(G1682&lt;=INDEX(Assumptions!$B$15:$B$18,MATCH(E1682,Assumptions!$A$15:$A$18,0)),"Yes","No")</f>
        <v>No</v>
      </c>
      <c r="O1682" s="31" t="str">
        <f aca="false">IF(H1682="","Open",IF(H1682&lt;=INDEX(Assumptions!$C$15:$C$18,MATCH(E1682,Assumptions!$A$15:$A$18,0)),"Yes","No"))</f>
        <v>Yes</v>
      </c>
    </row>
    <row r="1683" customFormat="false" ht="15" hidden="false" customHeight="false" outlineLevel="0" collapsed="false">
      <c r="A1683" s="31" t="s">
        <v>1833</v>
      </c>
      <c r="B1683" s="44" t="n">
        <v>46227</v>
      </c>
      <c r="C1683" s="31" t="s">
        <v>57</v>
      </c>
      <c r="D1683" s="31" t="s">
        <v>65</v>
      </c>
      <c r="E1683" s="31" t="s">
        <v>51</v>
      </c>
      <c r="F1683" s="31" t="s">
        <v>131</v>
      </c>
      <c r="G1683" s="31" t="n">
        <v>3</v>
      </c>
      <c r="H1683" s="41" t="n">
        <v>11.5</v>
      </c>
      <c r="I1683" s="31" t="s">
        <v>149</v>
      </c>
      <c r="J1683" s="31"/>
      <c r="K1683" s="31" t="s">
        <v>150</v>
      </c>
      <c r="L1683" s="45" t="n">
        <f aca="false">DATE(YEAR(B1683),MONTH(B1683),1)</f>
        <v>46204</v>
      </c>
      <c r="M1683" s="31" t="n">
        <f aca="false">WEEKDAY(B1683,2)</f>
        <v>5</v>
      </c>
      <c r="N1683" s="31" t="str">
        <f aca="false">IF(G1683&lt;=INDEX(Assumptions!$B$15:$B$18,MATCH(E1683,Assumptions!$A$15:$A$18,0)),"Yes","No")</f>
        <v>Yes</v>
      </c>
      <c r="O1683" s="31" t="str">
        <f aca="false">IF(H1683="","Open",IF(H1683&lt;=INDEX(Assumptions!$C$15:$C$18,MATCH(E1683,Assumptions!$A$15:$A$18,0)),"Yes","No"))</f>
        <v>Yes</v>
      </c>
    </row>
    <row r="1684" customFormat="false" ht="15" hidden="false" customHeight="false" outlineLevel="0" collapsed="false">
      <c r="A1684" s="31" t="s">
        <v>1834</v>
      </c>
      <c r="B1684" s="44" t="n">
        <v>46227</v>
      </c>
      <c r="C1684" s="31" t="s">
        <v>59</v>
      </c>
      <c r="D1684" s="31" t="s">
        <v>68</v>
      </c>
      <c r="E1684" s="31" t="s">
        <v>50</v>
      </c>
      <c r="F1684" s="31" t="s">
        <v>137</v>
      </c>
      <c r="G1684" s="31" t="n">
        <v>166</v>
      </c>
      <c r="H1684" s="41" t="n">
        <v>2.4</v>
      </c>
      <c r="I1684" s="31" t="s">
        <v>149</v>
      </c>
      <c r="J1684" s="31" t="n">
        <v>4</v>
      </c>
      <c r="K1684" s="31" t="s">
        <v>150</v>
      </c>
      <c r="L1684" s="45" t="n">
        <f aca="false">DATE(YEAR(B1684),MONTH(B1684),1)</f>
        <v>46204</v>
      </c>
      <c r="M1684" s="31" t="n">
        <f aca="false">WEEKDAY(B1684,2)</f>
        <v>5</v>
      </c>
      <c r="N1684" s="31" t="str">
        <f aca="false">IF(G1684&lt;=INDEX(Assumptions!$B$15:$B$18,MATCH(E1684,Assumptions!$A$15:$A$18,0)),"Yes","No")</f>
        <v>No</v>
      </c>
      <c r="O1684" s="31" t="str">
        <f aca="false">IF(H1684="","Open",IF(H1684&lt;=INDEX(Assumptions!$C$15:$C$18,MATCH(E1684,Assumptions!$A$15:$A$18,0)),"Yes","No"))</f>
        <v>Yes</v>
      </c>
    </row>
    <row r="1685" customFormat="false" ht="15" hidden="false" customHeight="false" outlineLevel="0" collapsed="false">
      <c r="A1685" s="31" t="s">
        <v>1835</v>
      </c>
      <c r="B1685" s="44" t="n">
        <v>46227</v>
      </c>
      <c r="C1685" s="31" t="s">
        <v>60</v>
      </c>
      <c r="D1685" s="31" t="s">
        <v>67</v>
      </c>
      <c r="E1685" s="31" t="s">
        <v>51</v>
      </c>
      <c r="F1685" s="31" t="s">
        <v>124</v>
      </c>
      <c r="G1685" s="31" t="n">
        <v>2</v>
      </c>
      <c r="H1685" s="41" t="n">
        <v>6.9</v>
      </c>
      <c r="I1685" s="31" t="s">
        <v>149</v>
      </c>
      <c r="J1685" s="31" t="n">
        <v>5</v>
      </c>
      <c r="K1685" s="31" t="s">
        <v>150</v>
      </c>
      <c r="L1685" s="45" t="n">
        <f aca="false">DATE(YEAR(B1685),MONTH(B1685),1)</f>
        <v>46204</v>
      </c>
      <c r="M1685" s="31" t="n">
        <f aca="false">WEEKDAY(B1685,2)</f>
        <v>5</v>
      </c>
      <c r="N1685" s="31" t="str">
        <f aca="false">IF(G1685&lt;=INDEX(Assumptions!$B$15:$B$18,MATCH(E1685,Assumptions!$A$15:$A$18,0)),"Yes","No")</f>
        <v>Yes</v>
      </c>
      <c r="O1685" s="31" t="str">
        <f aca="false">IF(H1685="","Open",IF(H1685&lt;=INDEX(Assumptions!$C$15:$C$18,MATCH(E1685,Assumptions!$A$15:$A$18,0)),"Yes","No"))</f>
        <v>Yes</v>
      </c>
    </row>
    <row r="1686" customFormat="false" ht="15" hidden="false" customHeight="false" outlineLevel="0" collapsed="false">
      <c r="A1686" s="31" t="s">
        <v>1836</v>
      </c>
      <c r="B1686" s="44" t="n">
        <v>46227</v>
      </c>
      <c r="C1686" s="31" t="s">
        <v>60</v>
      </c>
      <c r="D1686" s="31" t="s">
        <v>66</v>
      </c>
      <c r="E1686" s="31" t="s">
        <v>49</v>
      </c>
      <c r="F1686" s="31" t="s">
        <v>130</v>
      </c>
      <c r="G1686" s="31" t="n">
        <v>1</v>
      </c>
      <c r="H1686" s="41" t="n">
        <v>8.2</v>
      </c>
      <c r="I1686" s="31" t="s">
        <v>64</v>
      </c>
      <c r="J1686" s="31" t="n">
        <v>4</v>
      </c>
      <c r="K1686" s="31" t="s">
        <v>150</v>
      </c>
      <c r="L1686" s="45" t="n">
        <f aca="false">DATE(YEAR(B1686),MONTH(B1686),1)</f>
        <v>46204</v>
      </c>
      <c r="M1686" s="31" t="n">
        <f aca="false">WEEKDAY(B1686,2)</f>
        <v>5</v>
      </c>
      <c r="N1686" s="31" t="str">
        <f aca="false">IF(G1686&lt;=INDEX(Assumptions!$B$15:$B$18,MATCH(E1686,Assumptions!$A$15:$A$18,0)),"Yes","No")</f>
        <v>Yes</v>
      </c>
      <c r="O1686" s="31" t="str">
        <f aca="false">IF(H1686="","Open",IF(H1686&lt;=INDEX(Assumptions!$C$15:$C$18,MATCH(E1686,Assumptions!$A$15:$A$18,0)),"Yes","No"))</f>
        <v>No</v>
      </c>
    </row>
    <row r="1687" customFormat="false" ht="15" hidden="false" customHeight="false" outlineLevel="0" collapsed="false">
      <c r="A1687" s="31" t="s">
        <v>1837</v>
      </c>
      <c r="B1687" s="44" t="n">
        <v>46227</v>
      </c>
      <c r="C1687" s="31" t="s">
        <v>60</v>
      </c>
      <c r="D1687" s="31" t="s">
        <v>65</v>
      </c>
      <c r="E1687" s="31" t="s">
        <v>51</v>
      </c>
      <c r="F1687" s="31" t="s">
        <v>127</v>
      </c>
      <c r="G1687" s="31" t="n">
        <v>2</v>
      </c>
      <c r="H1687" s="41" t="n">
        <v>8.5</v>
      </c>
      <c r="I1687" s="31" t="s">
        <v>149</v>
      </c>
      <c r="J1687" s="31" t="n">
        <v>5</v>
      </c>
      <c r="K1687" s="31" t="s">
        <v>150</v>
      </c>
      <c r="L1687" s="45" t="n">
        <f aca="false">DATE(YEAR(B1687),MONTH(B1687),1)</f>
        <v>46204</v>
      </c>
      <c r="M1687" s="31" t="n">
        <f aca="false">WEEKDAY(B1687,2)</f>
        <v>5</v>
      </c>
      <c r="N1687" s="31" t="str">
        <f aca="false">IF(G1687&lt;=INDEX(Assumptions!$B$15:$B$18,MATCH(E1687,Assumptions!$A$15:$A$18,0)),"Yes","No")</f>
        <v>Yes</v>
      </c>
      <c r="O1687" s="31" t="str">
        <f aca="false">IF(H1687="","Open",IF(H1687&lt;=INDEX(Assumptions!$C$15:$C$18,MATCH(E1687,Assumptions!$A$15:$A$18,0)),"Yes","No"))</f>
        <v>Yes</v>
      </c>
    </row>
    <row r="1688" customFormat="false" ht="15" hidden="false" customHeight="false" outlineLevel="0" collapsed="false">
      <c r="A1688" s="31" t="s">
        <v>1838</v>
      </c>
      <c r="B1688" s="44" t="n">
        <v>46227</v>
      </c>
      <c r="C1688" s="31" t="s">
        <v>57</v>
      </c>
      <c r="D1688" s="31" t="s">
        <v>67</v>
      </c>
      <c r="E1688" s="31" t="s">
        <v>51</v>
      </c>
      <c r="F1688" s="31" t="s">
        <v>128</v>
      </c>
      <c r="G1688" s="31" t="n">
        <v>5</v>
      </c>
      <c r="H1688" s="41" t="n">
        <v>22.2</v>
      </c>
      <c r="I1688" s="31" t="s">
        <v>149</v>
      </c>
      <c r="J1688" s="31"/>
      <c r="K1688" s="31" t="s">
        <v>150</v>
      </c>
      <c r="L1688" s="45" t="n">
        <f aca="false">DATE(YEAR(B1688),MONTH(B1688),1)</f>
        <v>46204</v>
      </c>
      <c r="M1688" s="31" t="n">
        <f aca="false">WEEKDAY(B1688,2)</f>
        <v>5</v>
      </c>
      <c r="N1688" s="31" t="str">
        <f aca="false">IF(G1688&lt;=INDEX(Assumptions!$B$15:$B$18,MATCH(E1688,Assumptions!$A$15:$A$18,0)),"Yes","No")</f>
        <v>Yes</v>
      </c>
      <c r="O1688" s="31" t="str">
        <f aca="false">IF(H1688="","Open",IF(H1688&lt;=INDEX(Assumptions!$C$15:$C$18,MATCH(E1688,Assumptions!$A$15:$A$18,0)),"Yes","No"))</f>
        <v>Yes</v>
      </c>
    </row>
    <row r="1689" customFormat="false" ht="15" hidden="false" customHeight="false" outlineLevel="0" collapsed="false">
      <c r="A1689" s="31" t="s">
        <v>1839</v>
      </c>
      <c r="B1689" s="44" t="n">
        <v>46227</v>
      </c>
      <c r="C1689" s="31" t="s">
        <v>59</v>
      </c>
      <c r="D1689" s="31" t="s">
        <v>67</v>
      </c>
      <c r="E1689" s="31" t="s">
        <v>51</v>
      </c>
      <c r="F1689" s="31" t="s">
        <v>128</v>
      </c>
      <c r="G1689" s="31" t="n">
        <v>168</v>
      </c>
      <c r="H1689" s="41" t="n">
        <v>31</v>
      </c>
      <c r="I1689" s="31" t="s">
        <v>149</v>
      </c>
      <c r="J1689" s="31" t="n">
        <v>3</v>
      </c>
      <c r="K1689" s="31" t="s">
        <v>150</v>
      </c>
      <c r="L1689" s="45" t="n">
        <f aca="false">DATE(YEAR(B1689),MONTH(B1689),1)</f>
        <v>46204</v>
      </c>
      <c r="M1689" s="31" t="n">
        <f aca="false">WEEKDAY(B1689,2)</f>
        <v>5</v>
      </c>
      <c r="N1689" s="31" t="str">
        <f aca="false">IF(G1689&lt;=INDEX(Assumptions!$B$15:$B$18,MATCH(E1689,Assumptions!$A$15:$A$18,0)),"Yes","No")</f>
        <v>No</v>
      </c>
      <c r="O1689" s="31" t="str">
        <f aca="false">IF(H1689="","Open",IF(H1689&lt;=INDEX(Assumptions!$C$15:$C$18,MATCH(E1689,Assumptions!$A$15:$A$18,0)),"Yes","No"))</f>
        <v>No</v>
      </c>
    </row>
    <row r="1690" customFormat="false" ht="15" hidden="false" customHeight="false" outlineLevel="0" collapsed="false">
      <c r="A1690" s="31" t="s">
        <v>1840</v>
      </c>
      <c r="B1690" s="44" t="n">
        <v>46227</v>
      </c>
      <c r="C1690" s="31" t="s">
        <v>57</v>
      </c>
      <c r="D1690" s="31" t="s">
        <v>65</v>
      </c>
      <c r="E1690" s="31" t="s">
        <v>51</v>
      </c>
      <c r="F1690" s="31" t="s">
        <v>122</v>
      </c>
      <c r="G1690" s="31" t="n">
        <v>5</v>
      </c>
      <c r="H1690" s="41" t="n">
        <v>17.6</v>
      </c>
      <c r="I1690" s="31" t="s">
        <v>149</v>
      </c>
      <c r="J1690" s="31" t="n">
        <v>5</v>
      </c>
      <c r="K1690" s="31" t="s">
        <v>150</v>
      </c>
      <c r="L1690" s="45" t="n">
        <f aca="false">DATE(YEAR(B1690),MONTH(B1690),1)</f>
        <v>46204</v>
      </c>
      <c r="M1690" s="31" t="n">
        <f aca="false">WEEKDAY(B1690,2)</f>
        <v>5</v>
      </c>
      <c r="N1690" s="31" t="str">
        <f aca="false">IF(G1690&lt;=INDEX(Assumptions!$B$15:$B$18,MATCH(E1690,Assumptions!$A$15:$A$18,0)),"Yes","No")</f>
        <v>Yes</v>
      </c>
      <c r="O1690" s="31" t="str">
        <f aca="false">IF(H1690="","Open",IF(H1690&lt;=INDEX(Assumptions!$C$15:$C$18,MATCH(E1690,Assumptions!$A$15:$A$18,0)),"Yes","No"))</f>
        <v>Yes</v>
      </c>
    </row>
    <row r="1691" customFormat="false" ht="15" hidden="false" customHeight="false" outlineLevel="0" collapsed="false">
      <c r="A1691" s="31" t="s">
        <v>1841</v>
      </c>
      <c r="B1691" s="44" t="n">
        <v>46227</v>
      </c>
      <c r="C1691" s="31" t="s">
        <v>59</v>
      </c>
      <c r="D1691" s="31" t="s">
        <v>66</v>
      </c>
      <c r="E1691" s="31" t="s">
        <v>51</v>
      </c>
      <c r="F1691" s="31" t="s">
        <v>129</v>
      </c>
      <c r="G1691" s="31" t="n">
        <v>55</v>
      </c>
      <c r="H1691" s="41" t="n">
        <v>3.5</v>
      </c>
      <c r="I1691" s="31" t="s">
        <v>149</v>
      </c>
      <c r="J1691" s="31" t="n">
        <v>5</v>
      </c>
      <c r="K1691" s="31" t="s">
        <v>150</v>
      </c>
      <c r="L1691" s="45" t="n">
        <f aca="false">DATE(YEAR(B1691),MONTH(B1691),1)</f>
        <v>46204</v>
      </c>
      <c r="M1691" s="31" t="n">
        <f aca="false">WEEKDAY(B1691,2)</f>
        <v>5</v>
      </c>
      <c r="N1691" s="31" t="str">
        <f aca="false">IF(G1691&lt;=INDEX(Assumptions!$B$15:$B$18,MATCH(E1691,Assumptions!$A$15:$A$18,0)),"Yes","No")</f>
        <v>Yes</v>
      </c>
      <c r="O1691" s="31" t="str">
        <f aca="false">IF(H1691="","Open",IF(H1691&lt;=INDEX(Assumptions!$C$15:$C$18,MATCH(E1691,Assumptions!$A$15:$A$18,0)),"Yes","No"))</f>
        <v>Yes</v>
      </c>
    </row>
    <row r="1692" customFormat="false" ht="15" hidden="false" customHeight="false" outlineLevel="0" collapsed="false">
      <c r="A1692" s="31" t="s">
        <v>1842</v>
      </c>
      <c r="B1692" s="44" t="n">
        <v>46227</v>
      </c>
      <c r="C1692" s="31" t="s">
        <v>60</v>
      </c>
      <c r="D1692" s="31" t="s">
        <v>68</v>
      </c>
      <c r="E1692" s="31" t="s">
        <v>51</v>
      </c>
      <c r="F1692" s="31" t="s">
        <v>121</v>
      </c>
      <c r="G1692" s="31" t="n">
        <v>2</v>
      </c>
      <c r="H1692" s="41" t="n">
        <v>0.4</v>
      </c>
      <c r="I1692" s="31" t="s">
        <v>149</v>
      </c>
      <c r="J1692" s="31"/>
      <c r="K1692" s="31" t="s">
        <v>150</v>
      </c>
      <c r="L1692" s="45" t="n">
        <f aca="false">DATE(YEAR(B1692),MONTH(B1692),1)</f>
        <v>46204</v>
      </c>
      <c r="M1692" s="31" t="n">
        <f aca="false">WEEKDAY(B1692,2)</f>
        <v>5</v>
      </c>
      <c r="N1692" s="31" t="str">
        <f aca="false">IF(G1692&lt;=INDEX(Assumptions!$B$15:$B$18,MATCH(E1692,Assumptions!$A$15:$A$18,0)),"Yes","No")</f>
        <v>Yes</v>
      </c>
      <c r="O1692" s="31" t="str">
        <f aca="false">IF(H1692="","Open",IF(H1692&lt;=INDEX(Assumptions!$C$15:$C$18,MATCH(E1692,Assumptions!$A$15:$A$18,0)),"Yes","No"))</f>
        <v>Yes</v>
      </c>
    </row>
    <row r="1693" customFormat="false" ht="15" hidden="false" customHeight="false" outlineLevel="0" collapsed="false">
      <c r="A1693" s="31" t="s">
        <v>1843</v>
      </c>
      <c r="B1693" s="44" t="n">
        <v>46227</v>
      </c>
      <c r="C1693" s="31" t="s">
        <v>60</v>
      </c>
      <c r="D1693" s="31" t="s">
        <v>65</v>
      </c>
      <c r="E1693" s="31" t="s">
        <v>52</v>
      </c>
      <c r="F1693" s="31" t="s">
        <v>122</v>
      </c>
      <c r="G1693" s="31" t="n">
        <v>7</v>
      </c>
      <c r="H1693" s="41" t="n">
        <v>38.7</v>
      </c>
      <c r="I1693" s="31" t="s">
        <v>149</v>
      </c>
      <c r="J1693" s="31"/>
      <c r="K1693" s="31" t="s">
        <v>150</v>
      </c>
      <c r="L1693" s="45" t="n">
        <f aca="false">DATE(YEAR(B1693),MONTH(B1693),1)</f>
        <v>46204</v>
      </c>
      <c r="M1693" s="31" t="n">
        <f aca="false">WEEKDAY(B1693,2)</f>
        <v>5</v>
      </c>
      <c r="N1693" s="31" t="str">
        <f aca="false">IF(G1693&lt;=INDEX(Assumptions!$B$15:$B$18,MATCH(E1693,Assumptions!$A$15:$A$18,0)),"Yes","No")</f>
        <v>Yes</v>
      </c>
      <c r="O1693" s="31" t="str">
        <f aca="false">IF(H1693="","Open",IF(H1693&lt;=INDEX(Assumptions!$C$15:$C$18,MATCH(E1693,Assumptions!$A$15:$A$18,0)),"Yes","No"))</f>
        <v>Yes</v>
      </c>
    </row>
    <row r="1694" customFormat="false" ht="15" hidden="false" customHeight="false" outlineLevel="0" collapsed="false">
      <c r="A1694" s="31" t="s">
        <v>1844</v>
      </c>
      <c r="B1694" s="44" t="n">
        <v>46227</v>
      </c>
      <c r="C1694" s="31" t="s">
        <v>57</v>
      </c>
      <c r="D1694" s="31" t="s">
        <v>66</v>
      </c>
      <c r="E1694" s="31" t="s">
        <v>50</v>
      </c>
      <c r="F1694" s="31" t="s">
        <v>124</v>
      </c>
      <c r="G1694" s="31" t="n">
        <v>2</v>
      </c>
      <c r="H1694" s="41" t="n">
        <v>16.9</v>
      </c>
      <c r="I1694" s="31" t="s">
        <v>149</v>
      </c>
      <c r="J1694" s="31" t="n">
        <v>3</v>
      </c>
      <c r="K1694" s="31" t="s">
        <v>150</v>
      </c>
      <c r="L1694" s="45" t="n">
        <f aca="false">DATE(YEAR(B1694),MONTH(B1694),1)</f>
        <v>46204</v>
      </c>
      <c r="M1694" s="31" t="n">
        <f aca="false">WEEKDAY(B1694,2)</f>
        <v>5</v>
      </c>
      <c r="N1694" s="31" t="str">
        <f aca="false">IF(G1694&lt;=INDEX(Assumptions!$B$15:$B$18,MATCH(E1694,Assumptions!$A$15:$A$18,0)),"Yes","No")</f>
        <v>Yes</v>
      </c>
      <c r="O1694" s="31" t="str">
        <f aca="false">IF(H1694="","Open",IF(H1694&lt;=INDEX(Assumptions!$C$15:$C$18,MATCH(E1694,Assumptions!$A$15:$A$18,0)),"Yes","No"))</f>
        <v>No</v>
      </c>
    </row>
    <row r="1695" customFormat="false" ht="15" hidden="false" customHeight="false" outlineLevel="0" collapsed="false">
      <c r="A1695" s="31" t="s">
        <v>1845</v>
      </c>
      <c r="B1695" s="44" t="n">
        <v>46227</v>
      </c>
      <c r="C1695" s="31" t="s">
        <v>59</v>
      </c>
      <c r="D1695" s="31" t="s">
        <v>65</v>
      </c>
      <c r="E1695" s="31" t="s">
        <v>51</v>
      </c>
      <c r="F1695" s="31" t="s">
        <v>123</v>
      </c>
      <c r="G1695" s="31" t="n">
        <v>69</v>
      </c>
      <c r="H1695" s="41" t="n">
        <v>14.2</v>
      </c>
      <c r="I1695" s="31" t="s">
        <v>149</v>
      </c>
      <c r="J1695" s="31" t="n">
        <v>3</v>
      </c>
      <c r="K1695" s="31" t="s">
        <v>150</v>
      </c>
      <c r="L1695" s="45" t="n">
        <f aca="false">DATE(YEAR(B1695),MONTH(B1695),1)</f>
        <v>46204</v>
      </c>
      <c r="M1695" s="31" t="n">
        <f aca="false">WEEKDAY(B1695,2)</f>
        <v>5</v>
      </c>
      <c r="N1695" s="31" t="str">
        <f aca="false">IF(G1695&lt;=INDEX(Assumptions!$B$15:$B$18,MATCH(E1695,Assumptions!$A$15:$A$18,0)),"Yes","No")</f>
        <v>No</v>
      </c>
      <c r="O1695" s="31" t="str">
        <f aca="false">IF(H1695="","Open",IF(H1695&lt;=INDEX(Assumptions!$C$15:$C$18,MATCH(E1695,Assumptions!$A$15:$A$18,0)),"Yes","No"))</f>
        <v>Yes</v>
      </c>
    </row>
    <row r="1696" customFormat="false" ht="15" hidden="false" customHeight="false" outlineLevel="0" collapsed="false">
      <c r="A1696" s="31" t="s">
        <v>1846</v>
      </c>
      <c r="B1696" s="44" t="n">
        <v>46227</v>
      </c>
      <c r="C1696" s="31" t="s">
        <v>60</v>
      </c>
      <c r="D1696" s="31" t="s">
        <v>66</v>
      </c>
      <c r="E1696" s="31" t="s">
        <v>51</v>
      </c>
      <c r="F1696" s="31" t="s">
        <v>126</v>
      </c>
      <c r="G1696" s="31" t="n">
        <v>1</v>
      </c>
      <c r="H1696" s="41" t="n">
        <v>5.9</v>
      </c>
      <c r="I1696" s="31" t="s">
        <v>149</v>
      </c>
      <c r="J1696" s="31" t="n">
        <v>5</v>
      </c>
      <c r="K1696" s="31" t="s">
        <v>150</v>
      </c>
      <c r="L1696" s="45" t="n">
        <f aca="false">DATE(YEAR(B1696),MONTH(B1696),1)</f>
        <v>46204</v>
      </c>
      <c r="M1696" s="31" t="n">
        <f aca="false">WEEKDAY(B1696,2)</f>
        <v>5</v>
      </c>
      <c r="N1696" s="31" t="str">
        <f aca="false">IF(G1696&lt;=INDEX(Assumptions!$B$15:$B$18,MATCH(E1696,Assumptions!$A$15:$A$18,0)),"Yes","No")</f>
        <v>Yes</v>
      </c>
      <c r="O1696" s="31" t="str">
        <f aca="false">IF(H1696="","Open",IF(H1696&lt;=INDEX(Assumptions!$C$15:$C$18,MATCH(E1696,Assumptions!$A$15:$A$18,0)),"Yes","No"))</f>
        <v>Yes</v>
      </c>
    </row>
    <row r="1697" customFormat="false" ht="15" hidden="false" customHeight="false" outlineLevel="0" collapsed="false">
      <c r="A1697" s="31" t="s">
        <v>1847</v>
      </c>
      <c r="B1697" s="44" t="n">
        <v>46227</v>
      </c>
      <c r="C1697" s="31" t="s">
        <v>58</v>
      </c>
      <c r="D1697" s="31" t="s">
        <v>66</v>
      </c>
      <c r="E1697" s="31" t="s">
        <v>50</v>
      </c>
      <c r="F1697" s="31" t="s">
        <v>129</v>
      </c>
      <c r="G1697" s="31" t="n">
        <v>5</v>
      </c>
      <c r="H1697" s="41" t="n">
        <v>1.4</v>
      </c>
      <c r="I1697" s="31" t="s">
        <v>149</v>
      </c>
      <c r="J1697" s="31" t="n">
        <v>5</v>
      </c>
      <c r="K1697" s="31" t="s">
        <v>150</v>
      </c>
      <c r="L1697" s="45" t="n">
        <f aca="false">DATE(YEAR(B1697),MONTH(B1697),1)</f>
        <v>46204</v>
      </c>
      <c r="M1697" s="31" t="n">
        <f aca="false">WEEKDAY(B1697,2)</f>
        <v>5</v>
      </c>
      <c r="N1697" s="31" t="str">
        <f aca="false">IF(G1697&lt;=INDEX(Assumptions!$B$15:$B$18,MATCH(E1697,Assumptions!$A$15:$A$18,0)),"Yes","No")</f>
        <v>Yes</v>
      </c>
      <c r="O1697" s="31" t="str">
        <f aca="false">IF(H1697="","Open",IF(H1697&lt;=INDEX(Assumptions!$C$15:$C$18,MATCH(E1697,Assumptions!$A$15:$A$18,0)),"Yes","No"))</f>
        <v>Yes</v>
      </c>
    </row>
    <row r="1698" customFormat="false" ht="15" hidden="false" customHeight="false" outlineLevel="0" collapsed="false">
      <c r="A1698" s="31" t="s">
        <v>1848</v>
      </c>
      <c r="B1698" s="44" t="n">
        <v>46227</v>
      </c>
      <c r="C1698" s="31" t="s">
        <v>57</v>
      </c>
      <c r="D1698" s="31" t="s">
        <v>67</v>
      </c>
      <c r="E1698" s="31" t="s">
        <v>50</v>
      </c>
      <c r="F1698" s="31" t="s">
        <v>122</v>
      </c>
      <c r="G1698" s="31" t="n">
        <v>10</v>
      </c>
      <c r="H1698" s="41" t="n">
        <v>8</v>
      </c>
      <c r="I1698" s="31" t="s">
        <v>149</v>
      </c>
      <c r="J1698" s="31" t="n">
        <v>5</v>
      </c>
      <c r="K1698" s="31" t="s">
        <v>150</v>
      </c>
      <c r="L1698" s="45" t="n">
        <f aca="false">DATE(YEAR(B1698),MONTH(B1698),1)</f>
        <v>46204</v>
      </c>
      <c r="M1698" s="31" t="n">
        <f aca="false">WEEKDAY(B1698,2)</f>
        <v>5</v>
      </c>
      <c r="N1698" s="31" t="str">
        <f aca="false">IF(G1698&lt;=INDEX(Assumptions!$B$15:$B$18,MATCH(E1698,Assumptions!$A$15:$A$18,0)),"Yes","No")</f>
        <v>Yes</v>
      </c>
      <c r="O1698" s="31" t="str">
        <f aca="false">IF(H1698="","Open",IF(H1698&lt;=INDEX(Assumptions!$C$15:$C$18,MATCH(E1698,Assumptions!$A$15:$A$18,0)),"Yes","No"))</f>
        <v>Yes</v>
      </c>
    </row>
    <row r="1699" customFormat="false" ht="15" hidden="false" customHeight="false" outlineLevel="0" collapsed="false">
      <c r="A1699" s="31" t="s">
        <v>1849</v>
      </c>
      <c r="B1699" s="44" t="n">
        <v>46227</v>
      </c>
      <c r="C1699" s="31" t="s">
        <v>60</v>
      </c>
      <c r="D1699" s="31" t="s">
        <v>65</v>
      </c>
      <c r="E1699" s="31" t="s">
        <v>51</v>
      </c>
      <c r="F1699" s="31" t="s">
        <v>119</v>
      </c>
      <c r="G1699" s="31" t="n">
        <v>3</v>
      </c>
      <c r="H1699" s="41" t="n">
        <v>30.5</v>
      </c>
      <c r="I1699" s="31" t="s">
        <v>149</v>
      </c>
      <c r="J1699" s="31" t="n">
        <v>2</v>
      </c>
      <c r="K1699" s="31" t="s">
        <v>150</v>
      </c>
      <c r="L1699" s="45" t="n">
        <f aca="false">DATE(YEAR(B1699),MONTH(B1699),1)</f>
        <v>46204</v>
      </c>
      <c r="M1699" s="31" t="n">
        <f aca="false">WEEKDAY(B1699,2)</f>
        <v>5</v>
      </c>
      <c r="N1699" s="31" t="str">
        <f aca="false">IF(G1699&lt;=INDEX(Assumptions!$B$15:$B$18,MATCH(E1699,Assumptions!$A$15:$A$18,0)),"Yes","No")</f>
        <v>Yes</v>
      </c>
      <c r="O1699" s="31" t="str">
        <f aca="false">IF(H1699="","Open",IF(H1699&lt;=INDEX(Assumptions!$C$15:$C$18,MATCH(E1699,Assumptions!$A$15:$A$18,0)),"Yes","No"))</f>
        <v>No</v>
      </c>
    </row>
    <row r="1700" customFormat="false" ht="15" hidden="false" customHeight="false" outlineLevel="0" collapsed="false">
      <c r="A1700" s="31" t="s">
        <v>1850</v>
      </c>
      <c r="B1700" s="44" t="n">
        <v>46227</v>
      </c>
      <c r="C1700" s="31" t="s">
        <v>59</v>
      </c>
      <c r="D1700" s="31" t="s">
        <v>65</v>
      </c>
      <c r="E1700" s="31" t="s">
        <v>52</v>
      </c>
      <c r="F1700" s="31" t="s">
        <v>124</v>
      </c>
      <c r="G1700" s="31" t="n">
        <v>102</v>
      </c>
      <c r="H1700" s="41" t="n">
        <v>14.6</v>
      </c>
      <c r="I1700" s="31" t="s">
        <v>149</v>
      </c>
      <c r="J1700" s="31" t="n">
        <v>4</v>
      </c>
      <c r="K1700" s="31" t="s">
        <v>153</v>
      </c>
      <c r="L1700" s="45" t="n">
        <f aca="false">DATE(YEAR(B1700),MONTH(B1700),1)</f>
        <v>46204</v>
      </c>
      <c r="M1700" s="31" t="n">
        <f aca="false">WEEKDAY(B1700,2)</f>
        <v>5</v>
      </c>
      <c r="N1700" s="31" t="str">
        <f aca="false">IF(G1700&lt;=INDEX(Assumptions!$B$15:$B$18,MATCH(E1700,Assumptions!$A$15:$A$18,0)),"Yes","No")</f>
        <v>Yes</v>
      </c>
      <c r="O1700" s="31" t="str">
        <f aca="false">IF(H1700="","Open",IF(H1700&lt;=INDEX(Assumptions!$C$15:$C$18,MATCH(E1700,Assumptions!$A$15:$A$18,0)),"Yes","No"))</f>
        <v>Yes</v>
      </c>
    </row>
    <row r="1701" customFormat="false" ht="15" hidden="false" customHeight="false" outlineLevel="0" collapsed="false">
      <c r="A1701" s="31" t="s">
        <v>1851</v>
      </c>
      <c r="B1701" s="44" t="n">
        <v>46227</v>
      </c>
      <c r="C1701" s="31" t="s">
        <v>57</v>
      </c>
      <c r="D1701" s="31" t="s">
        <v>65</v>
      </c>
      <c r="E1701" s="31" t="s">
        <v>52</v>
      </c>
      <c r="F1701" s="31" t="s">
        <v>135</v>
      </c>
      <c r="G1701" s="31" t="n">
        <v>7</v>
      </c>
      <c r="H1701" s="41" t="n">
        <v>20.4</v>
      </c>
      <c r="I1701" s="31" t="s">
        <v>149</v>
      </c>
      <c r="J1701" s="31"/>
      <c r="K1701" s="31" t="s">
        <v>150</v>
      </c>
      <c r="L1701" s="45" t="n">
        <f aca="false">DATE(YEAR(B1701),MONTH(B1701),1)</f>
        <v>46204</v>
      </c>
      <c r="M1701" s="31" t="n">
        <f aca="false">WEEKDAY(B1701,2)</f>
        <v>5</v>
      </c>
      <c r="N1701" s="31" t="str">
        <f aca="false">IF(G1701&lt;=INDEX(Assumptions!$B$15:$B$18,MATCH(E1701,Assumptions!$A$15:$A$18,0)),"Yes","No")</f>
        <v>Yes</v>
      </c>
      <c r="O1701" s="31" t="str">
        <f aca="false">IF(H1701="","Open",IF(H1701&lt;=INDEX(Assumptions!$C$15:$C$18,MATCH(E1701,Assumptions!$A$15:$A$18,0)),"Yes","No"))</f>
        <v>Yes</v>
      </c>
    </row>
    <row r="1702" customFormat="false" ht="15" hidden="false" customHeight="false" outlineLevel="0" collapsed="false">
      <c r="A1702" s="31" t="s">
        <v>1852</v>
      </c>
      <c r="B1702" s="44" t="n">
        <v>46227</v>
      </c>
      <c r="C1702" s="31" t="s">
        <v>57</v>
      </c>
      <c r="D1702" s="31" t="s">
        <v>69</v>
      </c>
      <c r="E1702" s="31" t="s">
        <v>51</v>
      </c>
      <c r="F1702" s="31" t="s">
        <v>120</v>
      </c>
      <c r="G1702" s="31" t="n">
        <v>3</v>
      </c>
      <c r="H1702" s="41" t="n">
        <v>28.4</v>
      </c>
      <c r="I1702" s="31" t="s">
        <v>149</v>
      </c>
      <c r="J1702" s="31" t="n">
        <v>4</v>
      </c>
      <c r="K1702" s="31" t="s">
        <v>150</v>
      </c>
      <c r="L1702" s="45" t="n">
        <f aca="false">DATE(YEAR(B1702),MONTH(B1702),1)</f>
        <v>46204</v>
      </c>
      <c r="M1702" s="31" t="n">
        <f aca="false">WEEKDAY(B1702,2)</f>
        <v>5</v>
      </c>
      <c r="N1702" s="31" t="str">
        <f aca="false">IF(G1702&lt;=INDEX(Assumptions!$B$15:$B$18,MATCH(E1702,Assumptions!$A$15:$A$18,0)),"Yes","No")</f>
        <v>Yes</v>
      </c>
      <c r="O1702" s="31" t="str">
        <f aca="false">IF(H1702="","Open",IF(H1702&lt;=INDEX(Assumptions!$C$15:$C$18,MATCH(E1702,Assumptions!$A$15:$A$18,0)),"Yes","No"))</f>
        <v>No</v>
      </c>
    </row>
    <row r="1703" customFormat="false" ht="15" hidden="false" customHeight="false" outlineLevel="0" collapsed="false">
      <c r="A1703" s="31" t="s">
        <v>1853</v>
      </c>
      <c r="B1703" s="44" t="n">
        <v>46227</v>
      </c>
      <c r="C1703" s="31" t="s">
        <v>59</v>
      </c>
      <c r="D1703" s="31" t="s">
        <v>65</v>
      </c>
      <c r="E1703" s="31" t="s">
        <v>50</v>
      </c>
      <c r="F1703" s="31" t="s">
        <v>130</v>
      </c>
      <c r="G1703" s="31" t="n">
        <v>48</v>
      </c>
      <c r="H1703" s="41" t="n">
        <v>5.7</v>
      </c>
      <c r="I1703" s="31" t="s">
        <v>149</v>
      </c>
      <c r="J1703" s="31" t="n">
        <v>4</v>
      </c>
      <c r="K1703" s="31" t="s">
        <v>150</v>
      </c>
      <c r="L1703" s="45" t="n">
        <f aca="false">DATE(YEAR(B1703),MONTH(B1703),1)</f>
        <v>46204</v>
      </c>
      <c r="M1703" s="31" t="n">
        <f aca="false">WEEKDAY(B1703,2)</f>
        <v>5</v>
      </c>
      <c r="N1703" s="31" t="str">
        <f aca="false">IF(G1703&lt;=INDEX(Assumptions!$B$15:$B$18,MATCH(E1703,Assumptions!$A$15:$A$18,0)),"Yes","No")</f>
        <v>No</v>
      </c>
      <c r="O1703" s="31" t="str">
        <f aca="false">IF(H1703="","Open",IF(H1703&lt;=INDEX(Assumptions!$C$15:$C$18,MATCH(E1703,Assumptions!$A$15:$A$18,0)),"Yes","No"))</f>
        <v>Yes</v>
      </c>
    </row>
    <row r="1704" customFormat="false" ht="15" hidden="false" customHeight="false" outlineLevel="0" collapsed="false">
      <c r="A1704" s="31" t="s">
        <v>1854</v>
      </c>
      <c r="B1704" s="44" t="n">
        <v>46227</v>
      </c>
      <c r="C1704" s="31" t="s">
        <v>57</v>
      </c>
      <c r="D1704" s="31" t="s">
        <v>66</v>
      </c>
      <c r="E1704" s="31" t="s">
        <v>51</v>
      </c>
      <c r="F1704" s="31" t="s">
        <v>137</v>
      </c>
      <c r="G1704" s="31" t="n">
        <v>2</v>
      </c>
      <c r="H1704" s="41" t="n">
        <v>0.9</v>
      </c>
      <c r="I1704" s="31" t="s">
        <v>149</v>
      </c>
      <c r="J1704" s="31" t="n">
        <v>5</v>
      </c>
      <c r="K1704" s="31" t="s">
        <v>150</v>
      </c>
      <c r="L1704" s="45" t="n">
        <f aca="false">DATE(YEAR(B1704),MONTH(B1704),1)</f>
        <v>46204</v>
      </c>
      <c r="M1704" s="31" t="n">
        <f aca="false">WEEKDAY(B1704,2)</f>
        <v>5</v>
      </c>
      <c r="N1704" s="31" t="str">
        <f aca="false">IF(G1704&lt;=INDEX(Assumptions!$B$15:$B$18,MATCH(E1704,Assumptions!$A$15:$A$18,0)),"Yes","No")</f>
        <v>Yes</v>
      </c>
      <c r="O1704" s="31" t="str">
        <f aca="false">IF(H1704="","Open",IF(H1704&lt;=INDEX(Assumptions!$C$15:$C$18,MATCH(E1704,Assumptions!$A$15:$A$18,0)),"Yes","No"))</f>
        <v>Yes</v>
      </c>
    </row>
    <row r="1705" customFormat="false" ht="15" hidden="false" customHeight="false" outlineLevel="0" collapsed="false">
      <c r="A1705" s="31" t="s">
        <v>1855</v>
      </c>
      <c r="B1705" s="44" t="n">
        <v>46227</v>
      </c>
      <c r="C1705" s="31" t="s">
        <v>58</v>
      </c>
      <c r="D1705" s="31" t="s">
        <v>66</v>
      </c>
      <c r="E1705" s="31" t="s">
        <v>50</v>
      </c>
      <c r="F1705" s="31" t="s">
        <v>130</v>
      </c>
      <c r="G1705" s="31" t="n">
        <v>5</v>
      </c>
      <c r="H1705" s="41" t="n">
        <v>1.4</v>
      </c>
      <c r="I1705" s="31" t="s">
        <v>149</v>
      </c>
      <c r="J1705" s="31" t="n">
        <v>4</v>
      </c>
      <c r="K1705" s="31" t="s">
        <v>150</v>
      </c>
      <c r="L1705" s="45" t="n">
        <f aca="false">DATE(YEAR(B1705),MONTH(B1705),1)</f>
        <v>46204</v>
      </c>
      <c r="M1705" s="31" t="n">
        <f aca="false">WEEKDAY(B1705,2)</f>
        <v>5</v>
      </c>
      <c r="N1705" s="31" t="str">
        <f aca="false">IF(G1705&lt;=INDEX(Assumptions!$B$15:$B$18,MATCH(E1705,Assumptions!$A$15:$A$18,0)),"Yes","No")</f>
        <v>Yes</v>
      </c>
      <c r="O1705" s="31" t="str">
        <f aca="false">IF(H1705="","Open",IF(H1705&lt;=INDEX(Assumptions!$C$15:$C$18,MATCH(E1705,Assumptions!$A$15:$A$18,0)),"Yes","No"))</f>
        <v>Yes</v>
      </c>
    </row>
    <row r="1706" customFormat="false" ht="15" hidden="false" customHeight="false" outlineLevel="0" collapsed="false">
      <c r="A1706" s="31" t="s">
        <v>1856</v>
      </c>
      <c r="B1706" s="44" t="n">
        <v>46227</v>
      </c>
      <c r="C1706" s="31" t="s">
        <v>57</v>
      </c>
      <c r="D1706" s="31" t="s">
        <v>66</v>
      </c>
      <c r="E1706" s="31" t="s">
        <v>52</v>
      </c>
      <c r="F1706" s="31" t="s">
        <v>129</v>
      </c>
      <c r="G1706" s="31" t="n">
        <v>1</v>
      </c>
      <c r="H1706" s="41" t="n">
        <v>3.8</v>
      </c>
      <c r="I1706" s="31" t="s">
        <v>149</v>
      </c>
      <c r="J1706" s="31"/>
      <c r="K1706" s="31" t="s">
        <v>150</v>
      </c>
      <c r="L1706" s="45" t="n">
        <f aca="false">DATE(YEAR(B1706),MONTH(B1706),1)</f>
        <v>46204</v>
      </c>
      <c r="M1706" s="31" t="n">
        <f aca="false">WEEKDAY(B1706,2)</f>
        <v>5</v>
      </c>
      <c r="N1706" s="31" t="str">
        <f aca="false">IF(G1706&lt;=INDEX(Assumptions!$B$15:$B$18,MATCH(E1706,Assumptions!$A$15:$A$18,0)),"Yes","No")</f>
        <v>Yes</v>
      </c>
      <c r="O1706" s="31" t="str">
        <f aca="false">IF(H1706="","Open",IF(H1706&lt;=INDEX(Assumptions!$C$15:$C$18,MATCH(E1706,Assumptions!$A$15:$A$18,0)),"Yes","No"))</f>
        <v>Yes</v>
      </c>
    </row>
    <row r="1707" customFormat="false" ht="15" hidden="false" customHeight="false" outlineLevel="0" collapsed="false">
      <c r="A1707" s="31" t="s">
        <v>1857</v>
      </c>
      <c r="B1707" s="44" t="n">
        <v>46227</v>
      </c>
      <c r="C1707" s="31" t="s">
        <v>57</v>
      </c>
      <c r="D1707" s="31" t="s">
        <v>65</v>
      </c>
      <c r="E1707" s="31" t="s">
        <v>50</v>
      </c>
      <c r="F1707" s="31" t="s">
        <v>122</v>
      </c>
      <c r="G1707" s="31" t="n">
        <v>3</v>
      </c>
      <c r="H1707" s="41" t="n">
        <v>13</v>
      </c>
      <c r="I1707" s="31" t="s">
        <v>64</v>
      </c>
      <c r="J1707" s="31"/>
      <c r="K1707" s="31" t="s">
        <v>150</v>
      </c>
      <c r="L1707" s="45" t="n">
        <f aca="false">DATE(YEAR(B1707),MONTH(B1707),1)</f>
        <v>46204</v>
      </c>
      <c r="M1707" s="31" t="n">
        <f aca="false">WEEKDAY(B1707,2)</f>
        <v>5</v>
      </c>
      <c r="N1707" s="31" t="str">
        <f aca="false">IF(G1707&lt;=INDEX(Assumptions!$B$15:$B$18,MATCH(E1707,Assumptions!$A$15:$A$18,0)),"Yes","No")</f>
        <v>Yes</v>
      </c>
      <c r="O1707" s="31" t="str">
        <f aca="false">IF(H1707="","Open",IF(H1707&lt;=INDEX(Assumptions!$C$15:$C$18,MATCH(E1707,Assumptions!$A$15:$A$18,0)),"Yes","No"))</f>
        <v>No</v>
      </c>
    </row>
    <row r="1708" customFormat="false" ht="15" hidden="false" customHeight="false" outlineLevel="0" collapsed="false">
      <c r="A1708" s="31" t="s">
        <v>1858</v>
      </c>
      <c r="B1708" s="44" t="n">
        <v>46227</v>
      </c>
      <c r="C1708" s="31" t="s">
        <v>60</v>
      </c>
      <c r="D1708" s="31" t="s">
        <v>67</v>
      </c>
      <c r="E1708" s="31" t="s">
        <v>51</v>
      </c>
      <c r="F1708" s="31" t="s">
        <v>127</v>
      </c>
      <c r="G1708" s="31" t="n">
        <v>2</v>
      </c>
      <c r="H1708" s="41" t="n">
        <v>14.7</v>
      </c>
      <c r="I1708" s="31" t="s">
        <v>149</v>
      </c>
      <c r="J1708" s="31" t="n">
        <v>5</v>
      </c>
      <c r="K1708" s="31" t="s">
        <v>150</v>
      </c>
      <c r="L1708" s="45" t="n">
        <f aca="false">DATE(YEAR(B1708),MONTH(B1708),1)</f>
        <v>46204</v>
      </c>
      <c r="M1708" s="31" t="n">
        <f aca="false">WEEKDAY(B1708,2)</f>
        <v>5</v>
      </c>
      <c r="N1708" s="31" t="str">
        <f aca="false">IF(G1708&lt;=INDEX(Assumptions!$B$15:$B$18,MATCH(E1708,Assumptions!$A$15:$A$18,0)),"Yes","No")</f>
        <v>Yes</v>
      </c>
      <c r="O1708" s="31" t="str">
        <f aca="false">IF(H1708="","Open",IF(H1708&lt;=INDEX(Assumptions!$C$15:$C$18,MATCH(E1708,Assumptions!$A$15:$A$18,0)),"Yes","No"))</f>
        <v>Yes</v>
      </c>
    </row>
    <row r="1709" customFormat="false" ht="15" hidden="false" customHeight="false" outlineLevel="0" collapsed="false">
      <c r="A1709" s="31" t="s">
        <v>1859</v>
      </c>
      <c r="B1709" s="44" t="n">
        <v>46227</v>
      </c>
      <c r="C1709" s="31" t="s">
        <v>60</v>
      </c>
      <c r="D1709" s="31" t="s">
        <v>66</v>
      </c>
      <c r="E1709" s="31" t="s">
        <v>51</v>
      </c>
      <c r="F1709" s="31" t="s">
        <v>133</v>
      </c>
      <c r="G1709" s="31" t="n">
        <v>2</v>
      </c>
      <c r="H1709" s="41" t="n">
        <v>10.1</v>
      </c>
      <c r="I1709" s="31" t="s">
        <v>149</v>
      </c>
      <c r="J1709" s="31" t="n">
        <v>3</v>
      </c>
      <c r="K1709" s="31" t="s">
        <v>150</v>
      </c>
      <c r="L1709" s="45" t="n">
        <f aca="false">DATE(YEAR(B1709),MONTH(B1709),1)</f>
        <v>46204</v>
      </c>
      <c r="M1709" s="31" t="n">
        <f aca="false">WEEKDAY(B1709,2)</f>
        <v>5</v>
      </c>
      <c r="N1709" s="31" t="str">
        <f aca="false">IF(G1709&lt;=INDEX(Assumptions!$B$15:$B$18,MATCH(E1709,Assumptions!$A$15:$A$18,0)),"Yes","No")</f>
        <v>Yes</v>
      </c>
      <c r="O1709" s="31" t="str">
        <f aca="false">IF(H1709="","Open",IF(H1709&lt;=INDEX(Assumptions!$C$15:$C$18,MATCH(E1709,Assumptions!$A$15:$A$18,0)),"Yes","No"))</f>
        <v>Yes</v>
      </c>
    </row>
    <row r="1710" customFormat="false" ht="15" hidden="false" customHeight="false" outlineLevel="0" collapsed="false">
      <c r="A1710" s="31" t="s">
        <v>1860</v>
      </c>
      <c r="B1710" s="44" t="n">
        <v>46227</v>
      </c>
      <c r="C1710" s="31" t="s">
        <v>58</v>
      </c>
      <c r="D1710" s="31" t="s">
        <v>67</v>
      </c>
      <c r="E1710" s="31" t="s">
        <v>50</v>
      </c>
      <c r="F1710" s="31" t="s">
        <v>129</v>
      </c>
      <c r="G1710" s="31" t="n">
        <v>5</v>
      </c>
      <c r="H1710" s="41" t="n">
        <v>15</v>
      </c>
      <c r="I1710" s="31" t="s">
        <v>149</v>
      </c>
      <c r="J1710" s="31" t="n">
        <v>5</v>
      </c>
      <c r="K1710" s="31" t="s">
        <v>150</v>
      </c>
      <c r="L1710" s="45" t="n">
        <f aca="false">DATE(YEAR(B1710),MONTH(B1710),1)</f>
        <v>46204</v>
      </c>
      <c r="M1710" s="31" t="n">
        <f aca="false">WEEKDAY(B1710,2)</f>
        <v>5</v>
      </c>
      <c r="N1710" s="31" t="str">
        <f aca="false">IF(G1710&lt;=INDEX(Assumptions!$B$15:$B$18,MATCH(E1710,Assumptions!$A$15:$A$18,0)),"Yes","No")</f>
        <v>Yes</v>
      </c>
      <c r="O1710" s="31" t="str">
        <f aca="false">IF(H1710="","Open",IF(H1710&lt;=INDEX(Assumptions!$C$15:$C$18,MATCH(E1710,Assumptions!$A$15:$A$18,0)),"Yes","No"))</f>
        <v>No</v>
      </c>
    </row>
    <row r="1711" customFormat="false" ht="15" hidden="false" customHeight="false" outlineLevel="0" collapsed="false">
      <c r="A1711" s="31" t="s">
        <v>1861</v>
      </c>
      <c r="B1711" s="44" t="n">
        <v>46227</v>
      </c>
      <c r="C1711" s="31" t="s">
        <v>58</v>
      </c>
      <c r="D1711" s="31" t="s">
        <v>65</v>
      </c>
      <c r="E1711" s="31" t="s">
        <v>51</v>
      </c>
      <c r="F1711" s="31" t="s">
        <v>117</v>
      </c>
      <c r="G1711" s="31" t="n">
        <v>11</v>
      </c>
      <c r="H1711" s="41" t="n">
        <v>2</v>
      </c>
      <c r="I1711" s="31" t="s">
        <v>149</v>
      </c>
      <c r="J1711" s="31" t="n">
        <v>5</v>
      </c>
      <c r="K1711" s="31" t="s">
        <v>150</v>
      </c>
      <c r="L1711" s="45" t="n">
        <f aca="false">DATE(YEAR(B1711),MONTH(B1711),1)</f>
        <v>46204</v>
      </c>
      <c r="M1711" s="31" t="n">
        <f aca="false">WEEKDAY(B1711,2)</f>
        <v>5</v>
      </c>
      <c r="N1711" s="31" t="str">
        <f aca="false">IF(G1711&lt;=INDEX(Assumptions!$B$15:$B$18,MATCH(E1711,Assumptions!$A$15:$A$18,0)),"Yes","No")</f>
        <v>Yes</v>
      </c>
      <c r="O1711" s="31" t="str">
        <f aca="false">IF(H1711="","Open",IF(H1711&lt;=INDEX(Assumptions!$C$15:$C$18,MATCH(E1711,Assumptions!$A$15:$A$18,0)),"Yes","No"))</f>
        <v>Yes</v>
      </c>
    </row>
    <row r="1712" customFormat="false" ht="15" hidden="false" customHeight="false" outlineLevel="0" collapsed="false">
      <c r="A1712" s="31" t="s">
        <v>1862</v>
      </c>
      <c r="B1712" s="44" t="n">
        <v>46227</v>
      </c>
      <c r="C1712" s="31" t="s">
        <v>58</v>
      </c>
      <c r="D1712" s="31" t="s">
        <v>69</v>
      </c>
      <c r="E1712" s="31" t="s">
        <v>51</v>
      </c>
      <c r="F1712" s="31" t="s">
        <v>133</v>
      </c>
      <c r="G1712" s="31" t="n">
        <v>12</v>
      </c>
      <c r="H1712" s="41" t="n">
        <v>8.4</v>
      </c>
      <c r="I1712" s="31" t="s">
        <v>149</v>
      </c>
      <c r="J1712" s="31"/>
      <c r="K1712" s="31" t="s">
        <v>150</v>
      </c>
      <c r="L1712" s="45" t="n">
        <f aca="false">DATE(YEAR(B1712),MONTH(B1712),1)</f>
        <v>46204</v>
      </c>
      <c r="M1712" s="31" t="n">
        <f aca="false">WEEKDAY(B1712,2)</f>
        <v>5</v>
      </c>
      <c r="N1712" s="31" t="str">
        <f aca="false">IF(G1712&lt;=INDEX(Assumptions!$B$15:$B$18,MATCH(E1712,Assumptions!$A$15:$A$18,0)),"Yes","No")</f>
        <v>Yes</v>
      </c>
      <c r="O1712" s="31" t="str">
        <f aca="false">IF(H1712="","Open",IF(H1712&lt;=INDEX(Assumptions!$C$15:$C$18,MATCH(E1712,Assumptions!$A$15:$A$18,0)),"Yes","No"))</f>
        <v>Yes</v>
      </c>
    </row>
    <row r="1713" customFormat="false" ht="15" hidden="false" customHeight="false" outlineLevel="0" collapsed="false">
      <c r="A1713" s="31" t="s">
        <v>1863</v>
      </c>
      <c r="B1713" s="44" t="n">
        <v>46227</v>
      </c>
      <c r="C1713" s="31" t="s">
        <v>57</v>
      </c>
      <c r="D1713" s="31" t="s">
        <v>65</v>
      </c>
      <c r="E1713" s="31" t="s">
        <v>51</v>
      </c>
      <c r="F1713" s="31" t="s">
        <v>135</v>
      </c>
      <c r="G1713" s="31" t="n">
        <v>7</v>
      </c>
      <c r="H1713" s="41" t="n">
        <v>38.8</v>
      </c>
      <c r="I1713" s="31" t="s">
        <v>149</v>
      </c>
      <c r="J1713" s="31"/>
      <c r="K1713" s="31" t="s">
        <v>150</v>
      </c>
      <c r="L1713" s="45" t="n">
        <f aca="false">DATE(YEAR(B1713),MONTH(B1713),1)</f>
        <v>46204</v>
      </c>
      <c r="M1713" s="31" t="n">
        <f aca="false">WEEKDAY(B1713,2)</f>
        <v>5</v>
      </c>
      <c r="N1713" s="31" t="str">
        <f aca="false">IF(G1713&lt;=INDEX(Assumptions!$B$15:$B$18,MATCH(E1713,Assumptions!$A$15:$A$18,0)),"Yes","No")</f>
        <v>Yes</v>
      </c>
      <c r="O1713" s="31" t="str">
        <f aca="false">IF(H1713="","Open",IF(H1713&lt;=INDEX(Assumptions!$C$15:$C$18,MATCH(E1713,Assumptions!$A$15:$A$18,0)),"Yes","No"))</f>
        <v>No</v>
      </c>
    </row>
    <row r="1714" customFormat="false" ht="15" hidden="false" customHeight="false" outlineLevel="0" collapsed="false">
      <c r="A1714" s="31" t="s">
        <v>1864</v>
      </c>
      <c r="B1714" s="44" t="n">
        <v>46227</v>
      </c>
      <c r="C1714" s="31" t="s">
        <v>59</v>
      </c>
      <c r="D1714" s="31" t="s">
        <v>69</v>
      </c>
      <c r="E1714" s="31" t="s">
        <v>51</v>
      </c>
      <c r="F1714" s="31" t="s">
        <v>122</v>
      </c>
      <c r="G1714" s="31" t="n">
        <v>38</v>
      </c>
      <c r="H1714" s="41" t="n">
        <v>78</v>
      </c>
      <c r="I1714" s="31" t="s">
        <v>149</v>
      </c>
      <c r="J1714" s="31"/>
      <c r="K1714" s="31" t="s">
        <v>150</v>
      </c>
      <c r="L1714" s="45" t="n">
        <f aca="false">DATE(YEAR(B1714),MONTH(B1714),1)</f>
        <v>46204</v>
      </c>
      <c r="M1714" s="31" t="n">
        <f aca="false">WEEKDAY(B1714,2)</f>
        <v>5</v>
      </c>
      <c r="N1714" s="31" t="str">
        <f aca="false">IF(G1714&lt;=INDEX(Assumptions!$B$15:$B$18,MATCH(E1714,Assumptions!$A$15:$A$18,0)),"Yes","No")</f>
        <v>Yes</v>
      </c>
      <c r="O1714" s="31" t="str">
        <f aca="false">IF(H1714="","Open",IF(H1714&lt;=INDEX(Assumptions!$C$15:$C$18,MATCH(E1714,Assumptions!$A$15:$A$18,0)),"Yes","No"))</f>
        <v>No</v>
      </c>
    </row>
    <row r="1715" customFormat="false" ht="15" hidden="false" customHeight="false" outlineLevel="0" collapsed="false">
      <c r="A1715" s="31" t="s">
        <v>1865</v>
      </c>
      <c r="B1715" s="44" t="n">
        <v>46227</v>
      </c>
      <c r="C1715" s="31" t="s">
        <v>57</v>
      </c>
      <c r="D1715" s="31" t="s">
        <v>69</v>
      </c>
      <c r="E1715" s="31" t="s">
        <v>51</v>
      </c>
      <c r="F1715" s="31" t="s">
        <v>133</v>
      </c>
      <c r="G1715" s="31" t="n">
        <v>4</v>
      </c>
      <c r="H1715" s="41" t="n">
        <v>44.9</v>
      </c>
      <c r="I1715" s="31" t="s">
        <v>149</v>
      </c>
      <c r="J1715" s="31" t="n">
        <v>3</v>
      </c>
      <c r="K1715" s="31" t="s">
        <v>150</v>
      </c>
      <c r="L1715" s="45" t="n">
        <f aca="false">DATE(YEAR(B1715),MONTH(B1715),1)</f>
        <v>46204</v>
      </c>
      <c r="M1715" s="31" t="n">
        <f aca="false">WEEKDAY(B1715,2)</f>
        <v>5</v>
      </c>
      <c r="N1715" s="31" t="str">
        <f aca="false">IF(G1715&lt;=INDEX(Assumptions!$B$15:$B$18,MATCH(E1715,Assumptions!$A$15:$A$18,0)),"Yes","No")</f>
        <v>Yes</v>
      </c>
      <c r="O1715" s="31" t="str">
        <f aca="false">IF(H1715="","Open",IF(H1715&lt;=INDEX(Assumptions!$C$15:$C$18,MATCH(E1715,Assumptions!$A$15:$A$18,0)),"Yes","No"))</f>
        <v>No</v>
      </c>
    </row>
    <row r="1716" customFormat="false" ht="15" hidden="false" customHeight="false" outlineLevel="0" collapsed="false">
      <c r="A1716" s="31" t="s">
        <v>1866</v>
      </c>
      <c r="B1716" s="44" t="n">
        <v>46227</v>
      </c>
      <c r="C1716" s="31" t="s">
        <v>59</v>
      </c>
      <c r="D1716" s="31" t="s">
        <v>66</v>
      </c>
      <c r="E1716" s="31" t="s">
        <v>49</v>
      </c>
      <c r="F1716" s="31" t="s">
        <v>134</v>
      </c>
      <c r="G1716" s="31" t="n">
        <v>36</v>
      </c>
      <c r="H1716" s="41" t="n">
        <v>2.6</v>
      </c>
      <c r="I1716" s="31" t="s">
        <v>149</v>
      </c>
      <c r="J1716" s="31"/>
      <c r="K1716" s="31" t="s">
        <v>150</v>
      </c>
      <c r="L1716" s="45" t="n">
        <f aca="false">DATE(YEAR(B1716),MONTH(B1716),1)</f>
        <v>46204</v>
      </c>
      <c r="M1716" s="31" t="n">
        <f aca="false">WEEKDAY(B1716,2)</f>
        <v>5</v>
      </c>
      <c r="N1716" s="31" t="str">
        <f aca="false">IF(G1716&lt;=INDEX(Assumptions!$B$15:$B$18,MATCH(E1716,Assumptions!$A$15:$A$18,0)),"Yes","No")</f>
        <v>No</v>
      </c>
      <c r="O1716" s="31" t="str">
        <f aca="false">IF(H1716="","Open",IF(H1716&lt;=INDEX(Assumptions!$C$15:$C$18,MATCH(E1716,Assumptions!$A$15:$A$18,0)),"Yes","No"))</f>
        <v>Yes</v>
      </c>
    </row>
    <row r="1717" customFormat="false" ht="15" hidden="false" customHeight="false" outlineLevel="0" collapsed="false">
      <c r="A1717" s="31" t="s">
        <v>1867</v>
      </c>
      <c r="B1717" s="44" t="n">
        <v>46227</v>
      </c>
      <c r="C1717" s="31" t="s">
        <v>58</v>
      </c>
      <c r="D1717" s="31" t="s">
        <v>65</v>
      </c>
      <c r="E1717" s="31" t="s">
        <v>50</v>
      </c>
      <c r="F1717" s="31" t="s">
        <v>134</v>
      </c>
      <c r="G1717" s="31" t="n">
        <v>4</v>
      </c>
      <c r="H1717" s="41" t="n">
        <v>8</v>
      </c>
      <c r="I1717" s="31" t="s">
        <v>149</v>
      </c>
      <c r="J1717" s="31"/>
      <c r="K1717" s="31" t="s">
        <v>150</v>
      </c>
      <c r="L1717" s="45" t="n">
        <f aca="false">DATE(YEAR(B1717),MONTH(B1717),1)</f>
        <v>46204</v>
      </c>
      <c r="M1717" s="31" t="n">
        <f aca="false">WEEKDAY(B1717,2)</f>
        <v>5</v>
      </c>
      <c r="N1717" s="31" t="str">
        <f aca="false">IF(G1717&lt;=INDEX(Assumptions!$B$15:$B$18,MATCH(E1717,Assumptions!$A$15:$A$18,0)),"Yes","No")</f>
        <v>Yes</v>
      </c>
      <c r="O1717" s="31" t="str">
        <f aca="false">IF(H1717="","Open",IF(H1717&lt;=INDEX(Assumptions!$C$15:$C$18,MATCH(E1717,Assumptions!$A$15:$A$18,0)),"Yes","No"))</f>
        <v>Yes</v>
      </c>
    </row>
    <row r="1718" customFormat="false" ht="15" hidden="false" customHeight="false" outlineLevel="0" collapsed="false">
      <c r="A1718" s="31" t="s">
        <v>1868</v>
      </c>
      <c r="B1718" s="44" t="n">
        <v>46227</v>
      </c>
      <c r="C1718" s="31" t="s">
        <v>57</v>
      </c>
      <c r="D1718" s="31" t="s">
        <v>69</v>
      </c>
      <c r="E1718" s="31" t="s">
        <v>49</v>
      </c>
      <c r="F1718" s="31" t="s">
        <v>126</v>
      </c>
      <c r="G1718" s="31" t="n">
        <v>2</v>
      </c>
      <c r="H1718" s="41" t="n">
        <v>7.8</v>
      </c>
      <c r="I1718" s="31" t="s">
        <v>149</v>
      </c>
      <c r="J1718" s="31" t="n">
        <v>4</v>
      </c>
      <c r="K1718" s="31" t="s">
        <v>150</v>
      </c>
      <c r="L1718" s="45" t="n">
        <f aca="false">DATE(YEAR(B1718),MONTH(B1718),1)</f>
        <v>46204</v>
      </c>
      <c r="M1718" s="31" t="n">
        <f aca="false">WEEKDAY(B1718,2)</f>
        <v>5</v>
      </c>
      <c r="N1718" s="31" t="str">
        <f aca="false">IF(G1718&lt;=INDEX(Assumptions!$B$15:$B$18,MATCH(E1718,Assumptions!$A$15:$A$18,0)),"Yes","No")</f>
        <v>Yes</v>
      </c>
      <c r="O1718" s="31" t="str">
        <f aca="false">IF(H1718="","Open",IF(H1718&lt;=INDEX(Assumptions!$C$15:$C$18,MATCH(E1718,Assumptions!$A$15:$A$18,0)),"Yes","No"))</f>
        <v>No</v>
      </c>
    </row>
    <row r="1719" customFormat="false" ht="15" hidden="false" customHeight="false" outlineLevel="0" collapsed="false">
      <c r="A1719" s="31" t="s">
        <v>1869</v>
      </c>
      <c r="B1719" s="44" t="n">
        <v>46227</v>
      </c>
      <c r="C1719" s="31" t="s">
        <v>60</v>
      </c>
      <c r="D1719" s="31" t="s">
        <v>69</v>
      </c>
      <c r="E1719" s="31" t="s">
        <v>52</v>
      </c>
      <c r="F1719" s="31" t="s">
        <v>129</v>
      </c>
      <c r="G1719" s="31" t="n">
        <v>2</v>
      </c>
      <c r="H1719" s="41" t="n">
        <v>15.7</v>
      </c>
      <c r="I1719" s="31" t="s">
        <v>149</v>
      </c>
      <c r="J1719" s="31" t="n">
        <v>5</v>
      </c>
      <c r="K1719" s="31" t="s">
        <v>150</v>
      </c>
      <c r="L1719" s="45" t="n">
        <f aca="false">DATE(YEAR(B1719),MONTH(B1719),1)</f>
        <v>46204</v>
      </c>
      <c r="M1719" s="31" t="n">
        <f aca="false">WEEKDAY(B1719,2)</f>
        <v>5</v>
      </c>
      <c r="N1719" s="31" t="str">
        <f aca="false">IF(G1719&lt;=INDEX(Assumptions!$B$15:$B$18,MATCH(E1719,Assumptions!$A$15:$A$18,0)),"Yes","No")</f>
        <v>Yes</v>
      </c>
      <c r="O1719" s="31" t="str">
        <f aca="false">IF(H1719="","Open",IF(H1719&lt;=INDEX(Assumptions!$C$15:$C$18,MATCH(E1719,Assumptions!$A$15:$A$18,0)),"Yes","No"))</f>
        <v>Yes</v>
      </c>
    </row>
    <row r="1720" customFormat="false" ht="15" hidden="false" customHeight="false" outlineLevel="0" collapsed="false">
      <c r="A1720" s="31" t="s">
        <v>1870</v>
      </c>
      <c r="B1720" s="44" t="n">
        <v>46227</v>
      </c>
      <c r="C1720" s="31" t="s">
        <v>59</v>
      </c>
      <c r="D1720" s="31" t="s">
        <v>69</v>
      </c>
      <c r="E1720" s="31" t="s">
        <v>51</v>
      </c>
      <c r="F1720" s="31" t="s">
        <v>127</v>
      </c>
      <c r="G1720" s="31" t="n">
        <v>93</v>
      </c>
      <c r="H1720" s="41" t="n">
        <v>3.6</v>
      </c>
      <c r="I1720" s="31" t="s">
        <v>149</v>
      </c>
      <c r="J1720" s="31"/>
      <c r="K1720" s="31" t="s">
        <v>150</v>
      </c>
      <c r="L1720" s="45" t="n">
        <f aca="false">DATE(YEAR(B1720),MONTH(B1720),1)</f>
        <v>46204</v>
      </c>
      <c r="M1720" s="31" t="n">
        <f aca="false">WEEKDAY(B1720,2)</f>
        <v>5</v>
      </c>
      <c r="N1720" s="31" t="str">
        <f aca="false">IF(G1720&lt;=INDEX(Assumptions!$B$15:$B$18,MATCH(E1720,Assumptions!$A$15:$A$18,0)),"Yes","No")</f>
        <v>No</v>
      </c>
      <c r="O1720" s="31" t="str">
        <f aca="false">IF(H1720="","Open",IF(H1720&lt;=INDEX(Assumptions!$C$15:$C$18,MATCH(E1720,Assumptions!$A$15:$A$18,0)),"Yes","No"))</f>
        <v>Yes</v>
      </c>
    </row>
    <row r="1721" customFormat="false" ht="15" hidden="false" customHeight="false" outlineLevel="0" collapsed="false">
      <c r="A1721" s="31" t="s">
        <v>1871</v>
      </c>
      <c r="B1721" s="44" t="n">
        <v>46227</v>
      </c>
      <c r="C1721" s="31" t="s">
        <v>57</v>
      </c>
      <c r="D1721" s="31" t="s">
        <v>66</v>
      </c>
      <c r="E1721" s="31" t="s">
        <v>51</v>
      </c>
      <c r="F1721" s="31" t="s">
        <v>136</v>
      </c>
      <c r="G1721" s="31" t="n">
        <v>3</v>
      </c>
      <c r="H1721" s="41" t="n">
        <v>1.4</v>
      </c>
      <c r="I1721" s="31" t="s">
        <v>149</v>
      </c>
      <c r="J1721" s="31"/>
      <c r="K1721" s="31" t="s">
        <v>150</v>
      </c>
      <c r="L1721" s="45" t="n">
        <f aca="false">DATE(YEAR(B1721),MONTH(B1721),1)</f>
        <v>46204</v>
      </c>
      <c r="M1721" s="31" t="n">
        <f aca="false">WEEKDAY(B1721,2)</f>
        <v>5</v>
      </c>
      <c r="N1721" s="31" t="str">
        <f aca="false">IF(G1721&lt;=INDEX(Assumptions!$B$15:$B$18,MATCH(E1721,Assumptions!$A$15:$A$18,0)),"Yes","No")</f>
        <v>Yes</v>
      </c>
      <c r="O1721" s="31" t="str">
        <f aca="false">IF(H1721="","Open",IF(H1721&lt;=INDEX(Assumptions!$C$15:$C$18,MATCH(E1721,Assumptions!$A$15:$A$18,0)),"Yes","No"))</f>
        <v>Yes</v>
      </c>
    </row>
    <row r="1722" customFormat="false" ht="15" hidden="false" customHeight="false" outlineLevel="0" collapsed="false">
      <c r="A1722" s="31" t="s">
        <v>1872</v>
      </c>
      <c r="B1722" s="44" t="n">
        <v>46227</v>
      </c>
      <c r="C1722" s="31" t="s">
        <v>59</v>
      </c>
      <c r="D1722" s="31" t="s">
        <v>66</v>
      </c>
      <c r="E1722" s="31" t="s">
        <v>51</v>
      </c>
      <c r="F1722" s="31" t="s">
        <v>121</v>
      </c>
      <c r="G1722" s="31" t="n">
        <v>36</v>
      </c>
      <c r="H1722" s="41" t="n">
        <v>27.5</v>
      </c>
      <c r="I1722" s="31" t="s">
        <v>149</v>
      </c>
      <c r="J1722" s="31" t="n">
        <v>3</v>
      </c>
      <c r="K1722" s="31" t="s">
        <v>150</v>
      </c>
      <c r="L1722" s="45" t="n">
        <f aca="false">DATE(YEAR(B1722),MONTH(B1722),1)</f>
        <v>46204</v>
      </c>
      <c r="M1722" s="31" t="n">
        <f aca="false">WEEKDAY(B1722,2)</f>
        <v>5</v>
      </c>
      <c r="N1722" s="31" t="str">
        <f aca="false">IF(G1722&lt;=INDEX(Assumptions!$B$15:$B$18,MATCH(E1722,Assumptions!$A$15:$A$18,0)),"Yes","No")</f>
        <v>Yes</v>
      </c>
      <c r="O1722" s="31" t="str">
        <f aca="false">IF(H1722="","Open",IF(H1722&lt;=INDEX(Assumptions!$C$15:$C$18,MATCH(E1722,Assumptions!$A$15:$A$18,0)),"Yes","No"))</f>
        <v>No</v>
      </c>
    </row>
    <row r="1723" customFormat="false" ht="15" hidden="false" customHeight="false" outlineLevel="0" collapsed="false">
      <c r="A1723" s="31" t="s">
        <v>1873</v>
      </c>
      <c r="B1723" s="44" t="n">
        <v>46227</v>
      </c>
      <c r="C1723" s="31" t="s">
        <v>58</v>
      </c>
      <c r="D1723" s="31" t="s">
        <v>65</v>
      </c>
      <c r="E1723" s="31" t="s">
        <v>51</v>
      </c>
      <c r="F1723" s="31" t="s">
        <v>129</v>
      </c>
      <c r="G1723" s="31" t="n">
        <v>6</v>
      </c>
      <c r="H1723" s="41" t="n">
        <v>3.7</v>
      </c>
      <c r="I1723" s="31" t="s">
        <v>149</v>
      </c>
      <c r="J1723" s="31"/>
      <c r="K1723" s="31" t="s">
        <v>150</v>
      </c>
      <c r="L1723" s="45" t="n">
        <f aca="false">DATE(YEAR(B1723),MONTH(B1723),1)</f>
        <v>46204</v>
      </c>
      <c r="M1723" s="31" t="n">
        <f aca="false">WEEKDAY(B1723,2)</f>
        <v>5</v>
      </c>
      <c r="N1723" s="31" t="str">
        <f aca="false">IF(G1723&lt;=INDEX(Assumptions!$B$15:$B$18,MATCH(E1723,Assumptions!$A$15:$A$18,0)),"Yes","No")</f>
        <v>Yes</v>
      </c>
      <c r="O1723" s="31" t="str">
        <f aca="false">IF(H1723="","Open",IF(H1723&lt;=INDEX(Assumptions!$C$15:$C$18,MATCH(E1723,Assumptions!$A$15:$A$18,0)),"Yes","No"))</f>
        <v>Yes</v>
      </c>
    </row>
    <row r="1724" customFormat="false" ht="15" hidden="false" customHeight="false" outlineLevel="0" collapsed="false">
      <c r="A1724" s="31" t="s">
        <v>1874</v>
      </c>
      <c r="B1724" s="44" t="n">
        <v>46227</v>
      </c>
      <c r="C1724" s="31" t="s">
        <v>58</v>
      </c>
      <c r="D1724" s="31" t="s">
        <v>66</v>
      </c>
      <c r="E1724" s="31" t="s">
        <v>51</v>
      </c>
      <c r="F1724" s="31" t="s">
        <v>128</v>
      </c>
      <c r="G1724" s="31" t="n">
        <v>58</v>
      </c>
      <c r="H1724" s="41" t="n">
        <v>15.4</v>
      </c>
      <c r="I1724" s="31" t="s">
        <v>149</v>
      </c>
      <c r="J1724" s="31"/>
      <c r="K1724" s="31" t="s">
        <v>150</v>
      </c>
      <c r="L1724" s="45" t="n">
        <f aca="false">DATE(YEAR(B1724),MONTH(B1724),1)</f>
        <v>46204</v>
      </c>
      <c r="M1724" s="31" t="n">
        <f aca="false">WEEKDAY(B1724,2)</f>
        <v>5</v>
      </c>
      <c r="N1724" s="31" t="str">
        <f aca="false">IF(G1724&lt;=INDEX(Assumptions!$B$15:$B$18,MATCH(E1724,Assumptions!$A$15:$A$18,0)),"Yes","No")</f>
        <v>Yes</v>
      </c>
      <c r="O1724" s="31" t="str">
        <f aca="false">IF(H1724="","Open",IF(H1724&lt;=INDEX(Assumptions!$C$15:$C$18,MATCH(E1724,Assumptions!$A$15:$A$18,0)),"Yes","No"))</f>
        <v>Yes</v>
      </c>
    </row>
    <row r="1725" customFormat="false" ht="15" hidden="false" customHeight="false" outlineLevel="0" collapsed="false">
      <c r="A1725" s="31" t="s">
        <v>1875</v>
      </c>
      <c r="B1725" s="44" t="n">
        <v>46227</v>
      </c>
      <c r="C1725" s="31" t="s">
        <v>57</v>
      </c>
      <c r="D1725" s="31" t="s">
        <v>66</v>
      </c>
      <c r="E1725" s="31" t="s">
        <v>52</v>
      </c>
      <c r="F1725" s="31" t="s">
        <v>123</v>
      </c>
      <c r="G1725" s="31" t="n">
        <v>4</v>
      </c>
      <c r="H1725" s="41" t="n">
        <v>8.5</v>
      </c>
      <c r="I1725" s="31" t="s">
        <v>149</v>
      </c>
      <c r="J1725" s="31"/>
      <c r="K1725" s="31" t="s">
        <v>150</v>
      </c>
      <c r="L1725" s="45" t="n">
        <f aca="false">DATE(YEAR(B1725),MONTH(B1725),1)</f>
        <v>46204</v>
      </c>
      <c r="M1725" s="31" t="n">
        <f aca="false">WEEKDAY(B1725,2)</f>
        <v>5</v>
      </c>
      <c r="N1725" s="31" t="str">
        <f aca="false">IF(G1725&lt;=INDEX(Assumptions!$B$15:$B$18,MATCH(E1725,Assumptions!$A$15:$A$18,0)),"Yes","No")</f>
        <v>Yes</v>
      </c>
      <c r="O1725" s="31" t="str">
        <f aca="false">IF(H1725="","Open",IF(H1725&lt;=INDEX(Assumptions!$C$15:$C$18,MATCH(E1725,Assumptions!$A$15:$A$18,0)),"Yes","No"))</f>
        <v>Yes</v>
      </c>
    </row>
    <row r="1726" customFormat="false" ht="15" hidden="false" customHeight="false" outlineLevel="0" collapsed="false">
      <c r="A1726" s="31" t="s">
        <v>1876</v>
      </c>
      <c r="B1726" s="44" t="n">
        <v>46227</v>
      </c>
      <c r="C1726" s="31" t="s">
        <v>58</v>
      </c>
      <c r="D1726" s="31" t="s">
        <v>67</v>
      </c>
      <c r="E1726" s="31" t="s">
        <v>51</v>
      </c>
      <c r="F1726" s="31" t="s">
        <v>117</v>
      </c>
      <c r="G1726" s="31" t="n">
        <v>4</v>
      </c>
      <c r="H1726" s="41" t="n">
        <v>4.9</v>
      </c>
      <c r="I1726" s="31" t="s">
        <v>149</v>
      </c>
      <c r="J1726" s="31"/>
      <c r="K1726" s="31" t="s">
        <v>150</v>
      </c>
      <c r="L1726" s="45" t="n">
        <f aca="false">DATE(YEAR(B1726),MONTH(B1726),1)</f>
        <v>46204</v>
      </c>
      <c r="M1726" s="31" t="n">
        <f aca="false">WEEKDAY(B1726,2)</f>
        <v>5</v>
      </c>
      <c r="N1726" s="31" t="str">
        <f aca="false">IF(G1726&lt;=INDEX(Assumptions!$B$15:$B$18,MATCH(E1726,Assumptions!$A$15:$A$18,0)),"Yes","No")</f>
        <v>Yes</v>
      </c>
      <c r="O1726" s="31" t="str">
        <f aca="false">IF(H1726="","Open",IF(H1726&lt;=INDEX(Assumptions!$C$15:$C$18,MATCH(E1726,Assumptions!$A$15:$A$18,0)),"Yes","No"))</f>
        <v>Yes</v>
      </c>
    </row>
    <row r="1727" customFormat="false" ht="15" hidden="false" customHeight="false" outlineLevel="0" collapsed="false">
      <c r="A1727" s="31" t="s">
        <v>1877</v>
      </c>
      <c r="B1727" s="44" t="n">
        <v>46227</v>
      </c>
      <c r="C1727" s="31" t="s">
        <v>60</v>
      </c>
      <c r="D1727" s="31" t="s">
        <v>67</v>
      </c>
      <c r="E1727" s="31" t="s">
        <v>51</v>
      </c>
      <c r="F1727" s="31" t="s">
        <v>127</v>
      </c>
      <c r="G1727" s="31" t="n">
        <v>1</v>
      </c>
      <c r="H1727" s="41" t="n">
        <v>5.7</v>
      </c>
      <c r="I1727" s="31" t="s">
        <v>149</v>
      </c>
      <c r="J1727" s="31"/>
      <c r="K1727" s="31" t="s">
        <v>150</v>
      </c>
      <c r="L1727" s="45" t="n">
        <f aca="false">DATE(YEAR(B1727),MONTH(B1727),1)</f>
        <v>46204</v>
      </c>
      <c r="M1727" s="31" t="n">
        <f aca="false">WEEKDAY(B1727,2)</f>
        <v>5</v>
      </c>
      <c r="N1727" s="31" t="str">
        <f aca="false">IF(G1727&lt;=INDEX(Assumptions!$B$15:$B$18,MATCH(E1727,Assumptions!$A$15:$A$18,0)),"Yes","No")</f>
        <v>Yes</v>
      </c>
      <c r="O1727" s="31" t="str">
        <f aca="false">IF(H1727="","Open",IF(H1727&lt;=INDEX(Assumptions!$C$15:$C$18,MATCH(E1727,Assumptions!$A$15:$A$18,0)),"Yes","No"))</f>
        <v>Yes</v>
      </c>
    </row>
    <row r="1728" customFormat="false" ht="15" hidden="false" customHeight="false" outlineLevel="0" collapsed="false">
      <c r="A1728" s="31" t="s">
        <v>1878</v>
      </c>
      <c r="B1728" s="44" t="n">
        <v>46227</v>
      </c>
      <c r="C1728" s="31" t="s">
        <v>57</v>
      </c>
      <c r="D1728" s="31" t="s">
        <v>68</v>
      </c>
      <c r="E1728" s="31" t="s">
        <v>51</v>
      </c>
      <c r="F1728" s="31" t="s">
        <v>127</v>
      </c>
      <c r="G1728" s="31" t="n">
        <v>1</v>
      </c>
      <c r="H1728" s="41" t="n">
        <v>2</v>
      </c>
      <c r="I1728" s="31" t="s">
        <v>149</v>
      </c>
      <c r="J1728" s="31" t="n">
        <v>5</v>
      </c>
      <c r="K1728" s="31" t="s">
        <v>150</v>
      </c>
      <c r="L1728" s="45" t="n">
        <f aca="false">DATE(YEAR(B1728),MONTH(B1728),1)</f>
        <v>46204</v>
      </c>
      <c r="M1728" s="31" t="n">
        <f aca="false">WEEKDAY(B1728,2)</f>
        <v>5</v>
      </c>
      <c r="N1728" s="31" t="str">
        <f aca="false">IF(G1728&lt;=INDEX(Assumptions!$B$15:$B$18,MATCH(E1728,Assumptions!$A$15:$A$18,0)),"Yes","No")</f>
        <v>Yes</v>
      </c>
      <c r="O1728" s="31" t="str">
        <f aca="false">IF(H1728="","Open",IF(H1728&lt;=INDEX(Assumptions!$C$15:$C$18,MATCH(E1728,Assumptions!$A$15:$A$18,0)),"Yes","No"))</f>
        <v>Yes</v>
      </c>
    </row>
    <row r="1729" customFormat="false" ht="15" hidden="false" customHeight="false" outlineLevel="0" collapsed="false">
      <c r="A1729" s="31" t="s">
        <v>1879</v>
      </c>
      <c r="B1729" s="44" t="n">
        <v>46227</v>
      </c>
      <c r="C1729" s="31" t="s">
        <v>58</v>
      </c>
      <c r="D1729" s="31" t="s">
        <v>67</v>
      </c>
      <c r="E1729" s="31" t="s">
        <v>49</v>
      </c>
      <c r="F1729" s="31" t="s">
        <v>130</v>
      </c>
      <c r="G1729" s="31" t="n">
        <v>4</v>
      </c>
      <c r="H1729" s="41" t="n">
        <v>2.2</v>
      </c>
      <c r="I1729" s="31" t="s">
        <v>149</v>
      </c>
      <c r="J1729" s="31" t="n">
        <v>3</v>
      </c>
      <c r="K1729" s="31" t="s">
        <v>150</v>
      </c>
      <c r="L1729" s="45" t="n">
        <f aca="false">DATE(YEAR(B1729),MONTH(B1729),1)</f>
        <v>46204</v>
      </c>
      <c r="M1729" s="31" t="n">
        <f aca="false">WEEKDAY(B1729,2)</f>
        <v>5</v>
      </c>
      <c r="N1729" s="31" t="str">
        <f aca="false">IF(G1729&lt;=INDEX(Assumptions!$B$15:$B$18,MATCH(E1729,Assumptions!$A$15:$A$18,0)),"Yes","No")</f>
        <v>Yes</v>
      </c>
      <c r="O1729" s="31" t="str">
        <f aca="false">IF(H1729="","Open",IF(H1729&lt;=INDEX(Assumptions!$C$15:$C$18,MATCH(E1729,Assumptions!$A$15:$A$18,0)),"Yes","No"))</f>
        <v>Yes</v>
      </c>
    </row>
    <row r="1730" customFormat="false" ht="15" hidden="false" customHeight="false" outlineLevel="0" collapsed="false">
      <c r="A1730" s="31" t="s">
        <v>1880</v>
      </c>
      <c r="B1730" s="44" t="n">
        <v>46227</v>
      </c>
      <c r="C1730" s="31" t="s">
        <v>58</v>
      </c>
      <c r="D1730" s="31" t="s">
        <v>65</v>
      </c>
      <c r="E1730" s="31" t="s">
        <v>51</v>
      </c>
      <c r="F1730" s="31" t="s">
        <v>120</v>
      </c>
      <c r="G1730" s="31" t="n">
        <v>9</v>
      </c>
      <c r="H1730" s="41" t="n">
        <v>18</v>
      </c>
      <c r="I1730" s="31" t="s">
        <v>149</v>
      </c>
      <c r="J1730" s="31" t="n">
        <v>5</v>
      </c>
      <c r="K1730" s="31" t="s">
        <v>150</v>
      </c>
      <c r="L1730" s="45" t="n">
        <f aca="false">DATE(YEAR(B1730),MONTH(B1730),1)</f>
        <v>46204</v>
      </c>
      <c r="M1730" s="31" t="n">
        <f aca="false">WEEKDAY(B1730,2)</f>
        <v>5</v>
      </c>
      <c r="N1730" s="31" t="str">
        <f aca="false">IF(G1730&lt;=INDEX(Assumptions!$B$15:$B$18,MATCH(E1730,Assumptions!$A$15:$A$18,0)),"Yes","No")</f>
        <v>Yes</v>
      </c>
      <c r="O1730" s="31" t="str">
        <f aca="false">IF(H1730="","Open",IF(H1730&lt;=INDEX(Assumptions!$C$15:$C$18,MATCH(E1730,Assumptions!$A$15:$A$18,0)),"Yes","No"))</f>
        <v>Yes</v>
      </c>
    </row>
    <row r="1731" customFormat="false" ht="15" hidden="false" customHeight="false" outlineLevel="0" collapsed="false">
      <c r="A1731" s="31" t="s">
        <v>1881</v>
      </c>
      <c r="B1731" s="44" t="n">
        <v>46227</v>
      </c>
      <c r="C1731" s="31" t="s">
        <v>58</v>
      </c>
      <c r="D1731" s="31" t="s">
        <v>66</v>
      </c>
      <c r="E1731" s="31" t="s">
        <v>52</v>
      </c>
      <c r="F1731" s="31" t="s">
        <v>121</v>
      </c>
      <c r="G1731" s="31" t="n">
        <v>65</v>
      </c>
      <c r="H1731" s="41" t="n">
        <v>6.3</v>
      </c>
      <c r="I1731" s="31" t="s">
        <v>149</v>
      </c>
      <c r="J1731" s="31" t="n">
        <v>4</v>
      </c>
      <c r="K1731" s="31" t="s">
        <v>150</v>
      </c>
      <c r="L1731" s="45" t="n">
        <f aca="false">DATE(YEAR(B1731),MONTH(B1731),1)</f>
        <v>46204</v>
      </c>
      <c r="M1731" s="31" t="n">
        <f aca="false">WEEKDAY(B1731,2)</f>
        <v>5</v>
      </c>
      <c r="N1731" s="31" t="str">
        <f aca="false">IF(G1731&lt;=INDEX(Assumptions!$B$15:$B$18,MATCH(E1731,Assumptions!$A$15:$A$18,0)),"Yes","No")</f>
        <v>Yes</v>
      </c>
      <c r="O1731" s="31" t="str">
        <f aca="false">IF(H1731="","Open",IF(H1731&lt;=INDEX(Assumptions!$C$15:$C$18,MATCH(E1731,Assumptions!$A$15:$A$18,0)),"Yes","No"))</f>
        <v>Yes</v>
      </c>
    </row>
    <row r="1732" customFormat="false" ht="15" hidden="false" customHeight="false" outlineLevel="0" collapsed="false">
      <c r="A1732" s="31" t="s">
        <v>1882</v>
      </c>
      <c r="B1732" s="44" t="n">
        <v>46227</v>
      </c>
      <c r="C1732" s="31" t="s">
        <v>59</v>
      </c>
      <c r="D1732" s="31" t="s">
        <v>65</v>
      </c>
      <c r="E1732" s="31" t="s">
        <v>50</v>
      </c>
      <c r="F1732" s="31" t="s">
        <v>135</v>
      </c>
      <c r="G1732" s="31" t="n">
        <v>126</v>
      </c>
      <c r="H1732" s="41" t="n">
        <v>14</v>
      </c>
      <c r="I1732" s="31" t="s">
        <v>149</v>
      </c>
      <c r="J1732" s="31"/>
      <c r="K1732" s="31" t="s">
        <v>150</v>
      </c>
      <c r="L1732" s="45" t="n">
        <f aca="false">DATE(YEAR(B1732),MONTH(B1732),1)</f>
        <v>46204</v>
      </c>
      <c r="M1732" s="31" t="n">
        <f aca="false">WEEKDAY(B1732,2)</f>
        <v>5</v>
      </c>
      <c r="N1732" s="31" t="str">
        <f aca="false">IF(G1732&lt;=INDEX(Assumptions!$B$15:$B$18,MATCH(E1732,Assumptions!$A$15:$A$18,0)),"Yes","No")</f>
        <v>No</v>
      </c>
      <c r="O1732" s="31" t="str">
        <f aca="false">IF(H1732="","Open",IF(H1732&lt;=INDEX(Assumptions!$C$15:$C$18,MATCH(E1732,Assumptions!$A$15:$A$18,0)),"Yes","No"))</f>
        <v>No</v>
      </c>
    </row>
    <row r="1733" customFormat="false" ht="15" hidden="false" customHeight="false" outlineLevel="0" collapsed="false">
      <c r="A1733" s="31" t="s">
        <v>1883</v>
      </c>
      <c r="B1733" s="44" t="n">
        <v>46227</v>
      </c>
      <c r="C1733" s="31" t="s">
        <v>59</v>
      </c>
      <c r="D1733" s="31" t="s">
        <v>65</v>
      </c>
      <c r="E1733" s="31" t="s">
        <v>52</v>
      </c>
      <c r="F1733" s="31" t="s">
        <v>134</v>
      </c>
      <c r="G1733" s="31" t="n">
        <v>80</v>
      </c>
      <c r="H1733" s="41" t="n">
        <v>9.9</v>
      </c>
      <c r="I1733" s="31" t="s">
        <v>149</v>
      </c>
      <c r="J1733" s="31" t="n">
        <v>4</v>
      </c>
      <c r="K1733" s="31" t="s">
        <v>150</v>
      </c>
      <c r="L1733" s="45" t="n">
        <f aca="false">DATE(YEAR(B1733),MONTH(B1733),1)</f>
        <v>46204</v>
      </c>
      <c r="M1733" s="31" t="n">
        <f aca="false">WEEKDAY(B1733,2)</f>
        <v>5</v>
      </c>
      <c r="N1733" s="31" t="str">
        <f aca="false">IF(G1733&lt;=INDEX(Assumptions!$B$15:$B$18,MATCH(E1733,Assumptions!$A$15:$A$18,0)),"Yes","No")</f>
        <v>Yes</v>
      </c>
      <c r="O1733" s="31" t="str">
        <f aca="false">IF(H1733="","Open",IF(H1733&lt;=INDEX(Assumptions!$C$15:$C$18,MATCH(E1733,Assumptions!$A$15:$A$18,0)),"Yes","No"))</f>
        <v>Yes</v>
      </c>
    </row>
    <row r="1734" customFormat="false" ht="15" hidden="false" customHeight="false" outlineLevel="0" collapsed="false">
      <c r="A1734" s="31" t="s">
        <v>1884</v>
      </c>
      <c r="B1734" s="44" t="n">
        <v>46227</v>
      </c>
      <c r="C1734" s="31" t="s">
        <v>60</v>
      </c>
      <c r="D1734" s="31" t="s">
        <v>66</v>
      </c>
      <c r="E1734" s="31" t="s">
        <v>51</v>
      </c>
      <c r="F1734" s="31" t="s">
        <v>127</v>
      </c>
      <c r="G1734" s="31" t="n">
        <v>4</v>
      </c>
      <c r="H1734" s="41" t="n">
        <v>3.8</v>
      </c>
      <c r="I1734" s="31" t="s">
        <v>149</v>
      </c>
      <c r="J1734" s="31"/>
      <c r="K1734" s="31" t="s">
        <v>150</v>
      </c>
      <c r="L1734" s="45" t="n">
        <f aca="false">DATE(YEAR(B1734),MONTH(B1734),1)</f>
        <v>46204</v>
      </c>
      <c r="M1734" s="31" t="n">
        <f aca="false">WEEKDAY(B1734,2)</f>
        <v>5</v>
      </c>
      <c r="N1734" s="31" t="str">
        <f aca="false">IF(G1734&lt;=INDEX(Assumptions!$B$15:$B$18,MATCH(E1734,Assumptions!$A$15:$A$18,0)),"Yes","No")</f>
        <v>Yes</v>
      </c>
      <c r="O1734" s="31" t="str">
        <f aca="false">IF(H1734="","Open",IF(H1734&lt;=INDEX(Assumptions!$C$15:$C$18,MATCH(E1734,Assumptions!$A$15:$A$18,0)),"Yes","No"))</f>
        <v>Yes</v>
      </c>
    </row>
    <row r="1735" customFormat="false" ht="15" hidden="false" customHeight="false" outlineLevel="0" collapsed="false">
      <c r="A1735" s="31" t="s">
        <v>1885</v>
      </c>
      <c r="B1735" s="44" t="n">
        <v>46227</v>
      </c>
      <c r="C1735" s="31" t="s">
        <v>59</v>
      </c>
      <c r="D1735" s="31" t="s">
        <v>66</v>
      </c>
      <c r="E1735" s="31" t="s">
        <v>51</v>
      </c>
      <c r="F1735" s="31" t="s">
        <v>135</v>
      </c>
      <c r="G1735" s="31" t="n">
        <v>133</v>
      </c>
      <c r="H1735" s="41" t="n">
        <v>2.6</v>
      </c>
      <c r="I1735" s="31" t="s">
        <v>149</v>
      </c>
      <c r="J1735" s="31"/>
      <c r="K1735" s="31" t="s">
        <v>150</v>
      </c>
      <c r="L1735" s="45" t="n">
        <f aca="false">DATE(YEAR(B1735),MONTH(B1735),1)</f>
        <v>46204</v>
      </c>
      <c r="M1735" s="31" t="n">
        <f aca="false">WEEKDAY(B1735,2)</f>
        <v>5</v>
      </c>
      <c r="N1735" s="31" t="str">
        <f aca="false">IF(G1735&lt;=INDEX(Assumptions!$B$15:$B$18,MATCH(E1735,Assumptions!$A$15:$A$18,0)),"Yes","No")</f>
        <v>No</v>
      </c>
      <c r="O1735" s="31" t="str">
        <f aca="false">IF(H1735="","Open",IF(H1735&lt;=INDEX(Assumptions!$C$15:$C$18,MATCH(E1735,Assumptions!$A$15:$A$18,0)),"Yes","No"))</f>
        <v>Yes</v>
      </c>
    </row>
    <row r="1736" customFormat="false" ht="15" hidden="false" customHeight="false" outlineLevel="0" collapsed="false">
      <c r="A1736" s="31" t="s">
        <v>1886</v>
      </c>
      <c r="B1736" s="44" t="n">
        <v>46227</v>
      </c>
      <c r="C1736" s="31" t="s">
        <v>59</v>
      </c>
      <c r="D1736" s="31" t="s">
        <v>66</v>
      </c>
      <c r="E1736" s="31" t="s">
        <v>52</v>
      </c>
      <c r="F1736" s="31" t="s">
        <v>123</v>
      </c>
      <c r="G1736" s="31" t="n">
        <v>98</v>
      </c>
      <c r="H1736" s="41" t="n">
        <v>4.5</v>
      </c>
      <c r="I1736" s="31" t="s">
        <v>149</v>
      </c>
      <c r="J1736" s="31"/>
      <c r="K1736" s="31" t="s">
        <v>153</v>
      </c>
      <c r="L1736" s="45" t="n">
        <f aca="false">DATE(YEAR(B1736),MONTH(B1736),1)</f>
        <v>46204</v>
      </c>
      <c r="M1736" s="31" t="n">
        <f aca="false">WEEKDAY(B1736,2)</f>
        <v>5</v>
      </c>
      <c r="N1736" s="31" t="str">
        <f aca="false">IF(G1736&lt;=INDEX(Assumptions!$B$15:$B$18,MATCH(E1736,Assumptions!$A$15:$A$18,0)),"Yes","No")</f>
        <v>Yes</v>
      </c>
      <c r="O1736" s="31" t="str">
        <f aca="false">IF(H1736="","Open",IF(H1736&lt;=INDEX(Assumptions!$C$15:$C$18,MATCH(E1736,Assumptions!$A$15:$A$18,0)),"Yes","No"))</f>
        <v>Yes</v>
      </c>
    </row>
    <row r="1737" customFormat="false" ht="15" hidden="false" customHeight="false" outlineLevel="0" collapsed="false">
      <c r="A1737" s="31" t="s">
        <v>1887</v>
      </c>
      <c r="B1737" s="44" t="n">
        <v>46227</v>
      </c>
      <c r="C1737" s="31" t="s">
        <v>60</v>
      </c>
      <c r="D1737" s="31" t="s">
        <v>69</v>
      </c>
      <c r="E1737" s="31" t="s">
        <v>51</v>
      </c>
      <c r="F1737" s="31" t="s">
        <v>120</v>
      </c>
      <c r="G1737" s="31" t="n">
        <v>1</v>
      </c>
      <c r="H1737" s="41" t="n">
        <v>8.8</v>
      </c>
      <c r="I1737" s="31" t="s">
        <v>149</v>
      </c>
      <c r="J1737" s="31"/>
      <c r="K1737" s="31" t="s">
        <v>150</v>
      </c>
      <c r="L1737" s="45" t="n">
        <f aca="false">DATE(YEAR(B1737),MONTH(B1737),1)</f>
        <v>46204</v>
      </c>
      <c r="M1737" s="31" t="n">
        <f aca="false">WEEKDAY(B1737,2)</f>
        <v>5</v>
      </c>
      <c r="N1737" s="31" t="str">
        <f aca="false">IF(G1737&lt;=INDEX(Assumptions!$B$15:$B$18,MATCH(E1737,Assumptions!$A$15:$A$18,0)),"Yes","No")</f>
        <v>Yes</v>
      </c>
      <c r="O1737" s="31" t="str">
        <f aca="false">IF(H1737="","Open",IF(H1737&lt;=INDEX(Assumptions!$C$15:$C$18,MATCH(E1737,Assumptions!$A$15:$A$18,0)),"Yes","No"))</f>
        <v>Yes</v>
      </c>
    </row>
    <row r="1738" customFormat="false" ht="15" hidden="false" customHeight="false" outlineLevel="0" collapsed="false">
      <c r="A1738" s="31" t="s">
        <v>1888</v>
      </c>
      <c r="B1738" s="44" t="n">
        <v>46227</v>
      </c>
      <c r="C1738" s="31" t="s">
        <v>58</v>
      </c>
      <c r="D1738" s="31" t="s">
        <v>68</v>
      </c>
      <c r="E1738" s="31" t="s">
        <v>51</v>
      </c>
      <c r="F1738" s="31" t="s">
        <v>130</v>
      </c>
      <c r="G1738" s="31" t="n">
        <v>5</v>
      </c>
      <c r="H1738" s="41" t="n">
        <v>3</v>
      </c>
      <c r="I1738" s="31" t="s">
        <v>149</v>
      </c>
      <c r="J1738" s="31" t="n">
        <v>5</v>
      </c>
      <c r="K1738" s="31" t="s">
        <v>150</v>
      </c>
      <c r="L1738" s="45" t="n">
        <f aca="false">DATE(YEAR(B1738),MONTH(B1738),1)</f>
        <v>46204</v>
      </c>
      <c r="M1738" s="31" t="n">
        <f aca="false">WEEKDAY(B1738,2)</f>
        <v>5</v>
      </c>
      <c r="N1738" s="31" t="str">
        <f aca="false">IF(G1738&lt;=INDEX(Assumptions!$B$15:$B$18,MATCH(E1738,Assumptions!$A$15:$A$18,0)),"Yes","No")</f>
        <v>Yes</v>
      </c>
      <c r="O1738" s="31" t="str">
        <f aca="false">IF(H1738="","Open",IF(H1738&lt;=INDEX(Assumptions!$C$15:$C$18,MATCH(E1738,Assumptions!$A$15:$A$18,0)),"Yes","No"))</f>
        <v>Yes</v>
      </c>
    </row>
    <row r="1739" customFormat="false" ht="15" hidden="false" customHeight="false" outlineLevel="0" collapsed="false">
      <c r="A1739" s="31" t="s">
        <v>1889</v>
      </c>
      <c r="B1739" s="44" t="n">
        <v>46227</v>
      </c>
      <c r="C1739" s="31" t="s">
        <v>57</v>
      </c>
      <c r="D1739" s="31" t="s">
        <v>68</v>
      </c>
      <c r="E1739" s="31" t="s">
        <v>52</v>
      </c>
      <c r="F1739" s="31" t="s">
        <v>117</v>
      </c>
      <c r="G1739" s="31" t="n">
        <v>5</v>
      </c>
      <c r="H1739" s="41" t="n">
        <v>2.3</v>
      </c>
      <c r="I1739" s="31" t="s">
        <v>149</v>
      </c>
      <c r="J1739" s="31" t="n">
        <v>5</v>
      </c>
      <c r="K1739" s="31" t="s">
        <v>150</v>
      </c>
      <c r="L1739" s="45" t="n">
        <f aca="false">DATE(YEAR(B1739),MONTH(B1739),1)</f>
        <v>46204</v>
      </c>
      <c r="M1739" s="31" t="n">
        <f aca="false">WEEKDAY(B1739,2)</f>
        <v>5</v>
      </c>
      <c r="N1739" s="31" t="str">
        <f aca="false">IF(G1739&lt;=INDEX(Assumptions!$B$15:$B$18,MATCH(E1739,Assumptions!$A$15:$A$18,0)),"Yes","No")</f>
        <v>Yes</v>
      </c>
      <c r="O1739" s="31" t="str">
        <f aca="false">IF(H1739="","Open",IF(H1739&lt;=INDEX(Assumptions!$C$15:$C$18,MATCH(E1739,Assumptions!$A$15:$A$18,0)),"Yes","No"))</f>
        <v>Yes</v>
      </c>
    </row>
    <row r="1740" customFormat="false" ht="15" hidden="false" customHeight="false" outlineLevel="0" collapsed="false">
      <c r="A1740" s="31" t="s">
        <v>1890</v>
      </c>
      <c r="B1740" s="44" t="n">
        <v>46227</v>
      </c>
      <c r="C1740" s="31" t="s">
        <v>57</v>
      </c>
      <c r="D1740" s="31" t="s">
        <v>69</v>
      </c>
      <c r="E1740" s="31" t="s">
        <v>49</v>
      </c>
      <c r="F1740" s="31" t="s">
        <v>124</v>
      </c>
      <c r="G1740" s="31" t="n">
        <v>4</v>
      </c>
      <c r="H1740" s="41" t="n">
        <v>5.4</v>
      </c>
      <c r="I1740" s="31" t="s">
        <v>149</v>
      </c>
      <c r="J1740" s="31" t="n">
        <v>3</v>
      </c>
      <c r="K1740" s="31" t="s">
        <v>150</v>
      </c>
      <c r="L1740" s="45" t="n">
        <f aca="false">DATE(YEAR(B1740),MONTH(B1740),1)</f>
        <v>46204</v>
      </c>
      <c r="M1740" s="31" t="n">
        <f aca="false">WEEKDAY(B1740,2)</f>
        <v>5</v>
      </c>
      <c r="N1740" s="31" t="str">
        <f aca="false">IF(G1740&lt;=INDEX(Assumptions!$B$15:$B$18,MATCH(E1740,Assumptions!$A$15:$A$18,0)),"Yes","No")</f>
        <v>Yes</v>
      </c>
      <c r="O1740" s="31" t="str">
        <f aca="false">IF(H1740="","Open",IF(H1740&lt;=INDEX(Assumptions!$C$15:$C$18,MATCH(E1740,Assumptions!$A$15:$A$18,0)),"Yes","No"))</f>
        <v>No</v>
      </c>
    </row>
    <row r="1741" customFormat="false" ht="15" hidden="false" customHeight="false" outlineLevel="0" collapsed="false">
      <c r="A1741" s="31" t="s">
        <v>1891</v>
      </c>
      <c r="B1741" s="44" t="n">
        <v>46227</v>
      </c>
      <c r="C1741" s="31" t="s">
        <v>59</v>
      </c>
      <c r="D1741" s="31" t="s">
        <v>65</v>
      </c>
      <c r="E1741" s="31" t="s">
        <v>52</v>
      </c>
      <c r="F1741" s="31" t="s">
        <v>124</v>
      </c>
      <c r="G1741" s="31" t="n">
        <v>67</v>
      </c>
      <c r="H1741" s="41" t="n">
        <v>12.7</v>
      </c>
      <c r="I1741" s="31" t="s">
        <v>149</v>
      </c>
      <c r="J1741" s="31"/>
      <c r="K1741" s="31" t="s">
        <v>150</v>
      </c>
      <c r="L1741" s="45" t="n">
        <f aca="false">DATE(YEAR(B1741),MONTH(B1741),1)</f>
        <v>46204</v>
      </c>
      <c r="M1741" s="31" t="n">
        <f aca="false">WEEKDAY(B1741,2)</f>
        <v>5</v>
      </c>
      <c r="N1741" s="31" t="str">
        <f aca="false">IF(G1741&lt;=INDEX(Assumptions!$B$15:$B$18,MATCH(E1741,Assumptions!$A$15:$A$18,0)),"Yes","No")</f>
        <v>Yes</v>
      </c>
      <c r="O1741" s="31" t="str">
        <f aca="false">IF(H1741="","Open",IF(H1741&lt;=INDEX(Assumptions!$C$15:$C$18,MATCH(E1741,Assumptions!$A$15:$A$18,0)),"Yes","No"))</f>
        <v>Yes</v>
      </c>
    </row>
    <row r="1742" customFormat="false" ht="15" hidden="false" customHeight="false" outlineLevel="0" collapsed="false">
      <c r="A1742" s="31" t="s">
        <v>1892</v>
      </c>
      <c r="B1742" s="44" t="n">
        <v>46227</v>
      </c>
      <c r="C1742" s="31" t="s">
        <v>57</v>
      </c>
      <c r="D1742" s="31" t="s">
        <v>66</v>
      </c>
      <c r="E1742" s="31" t="s">
        <v>52</v>
      </c>
      <c r="F1742" s="31" t="s">
        <v>121</v>
      </c>
      <c r="G1742" s="31" t="n">
        <v>5</v>
      </c>
      <c r="H1742" s="41" t="n">
        <v>30.3</v>
      </c>
      <c r="I1742" s="31" t="s">
        <v>149</v>
      </c>
      <c r="J1742" s="31"/>
      <c r="K1742" s="31" t="s">
        <v>150</v>
      </c>
      <c r="L1742" s="45" t="n">
        <f aca="false">DATE(YEAR(B1742),MONTH(B1742),1)</f>
        <v>46204</v>
      </c>
      <c r="M1742" s="31" t="n">
        <f aca="false">WEEKDAY(B1742,2)</f>
        <v>5</v>
      </c>
      <c r="N1742" s="31" t="str">
        <f aca="false">IF(G1742&lt;=INDEX(Assumptions!$B$15:$B$18,MATCH(E1742,Assumptions!$A$15:$A$18,0)),"Yes","No")</f>
        <v>Yes</v>
      </c>
      <c r="O1742" s="31" t="str">
        <f aca="false">IF(H1742="","Open",IF(H1742&lt;=INDEX(Assumptions!$C$15:$C$18,MATCH(E1742,Assumptions!$A$15:$A$18,0)),"Yes","No"))</f>
        <v>Yes</v>
      </c>
    </row>
    <row r="1743" customFormat="false" ht="15" hidden="false" customHeight="false" outlineLevel="0" collapsed="false">
      <c r="A1743" s="31" t="s">
        <v>1893</v>
      </c>
      <c r="B1743" s="44" t="n">
        <v>46227</v>
      </c>
      <c r="C1743" s="31" t="s">
        <v>58</v>
      </c>
      <c r="D1743" s="31" t="s">
        <v>66</v>
      </c>
      <c r="E1743" s="31" t="s">
        <v>50</v>
      </c>
      <c r="F1743" s="31" t="s">
        <v>129</v>
      </c>
      <c r="G1743" s="31" t="n">
        <v>18</v>
      </c>
      <c r="H1743" s="41" t="n">
        <v>3.4</v>
      </c>
      <c r="I1743" s="31" t="s">
        <v>149</v>
      </c>
      <c r="J1743" s="31" t="n">
        <v>3</v>
      </c>
      <c r="K1743" s="31" t="s">
        <v>150</v>
      </c>
      <c r="L1743" s="45" t="n">
        <f aca="false">DATE(YEAR(B1743),MONTH(B1743),1)</f>
        <v>46204</v>
      </c>
      <c r="M1743" s="31" t="n">
        <f aca="false">WEEKDAY(B1743,2)</f>
        <v>5</v>
      </c>
      <c r="N1743" s="31" t="str">
        <f aca="false">IF(G1743&lt;=INDEX(Assumptions!$B$15:$B$18,MATCH(E1743,Assumptions!$A$15:$A$18,0)),"Yes","No")</f>
        <v>Yes</v>
      </c>
      <c r="O1743" s="31" t="str">
        <f aca="false">IF(H1743="","Open",IF(H1743&lt;=INDEX(Assumptions!$C$15:$C$18,MATCH(E1743,Assumptions!$A$15:$A$18,0)),"Yes","No"))</f>
        <v>Yes</v>
      </c>
    </row>
    <row r="1744" customFormat="false" ht="15" hidden="false" customHeight="false" outlineLevel="0" collapsed="false">
      <c r="A1744" s="31" t="s">
        <v>1894</v>
      </c>
      <c r="B1744" s="44" t="n">
        <v>46227</v>
      </c>
      <c r="C1744" s="31" t="s">
        <v>59</v>
      </c>
      <c r="D1744" s="31" t="s">
        <v>67</v>
      </c>
      <c r="E1744" s="31" t="s">
        <v>50</v>
      </c>
      <c r="F1744" s="31" t="s">
        <v>127</v>
      </c>
      <c r="G1744" s="31" t="n">
        <v>13</v>
      </c>
      <c r="H1744" s="41" t="n">
        <v>22.3</v>
      </c>
      <c r="I1744" s="31" t="s">
        <v>149</v>
      </c>
      <c r="J1744" s="31" t="n">
        <v>3</v>
      </c>
      <c r="K1744" s="31" t="s">
        <v>150</v>
      </c>
      <c r="L1744" s="45" t="n">
        <f aca="false">DATE(YEAR(B1744),MONTH(B1744),1)</f>
        <v>46204</v>
      </c>
      <c r="M1744" s="31" t="n">
        <f aca="false">WEEKDAY(B1744,2)</f>
        <v>5</v>
      </c>
      <c r="N1744" s="31" t="str">
        <f aca="false">IF(G1744&lt;=INDEX(Assumptions!$B$15:$B$18,MATCH(E1744,Assumptions!$A$15:$A$18,0)),"Yes","No")</f>
        <v>Yes</v>
      </c>
      <c r="O1744" s="31" t="str">
        <f aca="false">IF(H1744="","Open",IF(H1744&lt;=INDEX(Assumptions!$C$15:$C$18,MATCH(E1744,Assumptions!$A$15:$A$18,0)),"Yes","No"))</f>
        <v>No</v>
      </c>
    </row>
    <row r="1745" customFormat="false" ht="15" hidden="false" customHeight="false" outlineLevel="0" collapsed="false">
      <c r="A1745" s="31" t="s">
        <v>1895</v>
      </c>
      <c r="B1745" s="44" t="n">
        <v>46227</v>
      </c>
      <c r="C1745" s="31" t="s">
        <v>59</v>
      </c>
      <c r="D1745" s="31" t="s">
        <v>66</v>
      </c>
      <c r="E1745" s="31" t="s">
        <v>52</v>
      </c>
      <c r="F1745" s="31" t="s">
        <v>124</v>
      </c>
      <c r="G1745" s="31" t="n">
        <v>117</v>
      </c>
      <c r="H1745" s="41" t="n">
        <v>3</v>
      </c>
      <c r="I1745" s="31" t="s">
        <v>149</v>
      </c>
      <c r="J1745" s="31"/>
      <c r="K1745" s="31" t="s">
        <v>150</v>
      </c>
      <c r="L1745" s="45" t="n">
        <f aca="false">DATE(YEAR(B1745),MONTH(B1745),1)</f>
        <v>46204</v>
      </c>
      <c r="M1745" s="31" t="n">
        <f aca="false">WEEKDAY(B1745,2)</f>
        <v>5</v>
      </c>
      <c r="N1745" s="31" t="str">
        <f aca="false">IF(G1745&lt;=INDEX(Assumptions!$B$15:$B$18,MATCH(E1745,Assumptions!$A$15:$A$18,0)),"Yes","No")</f>
        <v>Yes</v>
      </c>
      <c r="O1745" s="31" t="str">
        <f aca="false">IF(H1745="","Open",IF(H1745&lt;=INDEX(Assumptions!$C$15:$C$18,MATCH(E1745,Assumptions!$A$15:$A$18,0)),"Yes","No"))</f>
        <v>Yes</v>
      </c>
    </row>
    <row r="1746" customFormat="false" ht="15" hidden="false" customHeight="false" outlineLevel="0" collapsed="false">
      <c r="A1746" s="31" t="s">
        <v>1896</v>
      </c>
      <c r="B1746" s="44" t="n">
        <v>46227</v>
      </c>
      <c r="C1746" s="31" t="s">
        <v>59</v>
      </c>
      <c r="D1746" s="31" t="s">
        <v>65</v>
      </c>
      <c r="E1746" s="31" t="s">
        <v>51</v>
      </c>
      <c r="F1746" s="31" t="s">
        <v>136</v>
      </c>
      <c r="G1746" s="31" t="n">
        <v>52</v>
      </c>
      <c r="H1746" s="41" t="n">
        <v>8.1</v>
      </c>
      <c r="I1746" s="31" t="s">
        <v>149</v>
      </c>
      <c r="J1746" s="31" t="n">
        <v>4</v>
      </c>
      <c r="K1746" s="31" t="s">
        <v>150</v>
      </c>
      <c r="L1746" s="45" t="n">
        <f aca="false">DATE(YEAR(B1746),MONTH(B1746),1)</f>
        <v>46204</v>
      </c>
      <c r="M1746" s="31" t="n">
        <f aca="false">WEEKDAY(B1746,2)</f>
        <v>5</v>
      </c>
      <c r="N1746" s="31" t="str">
        <f aca="false">IF(G1746&lt;=INDEX(Assumptions!$B$15:$B$18,MATCH(E1746,Assumptions!$A$15:$A$18,0)),"Yes","No")</f>
        <v>Yes</v>
      </c>
      <c r="O1746" s="31" t="str">
        <f aca="false">IF(H1746="","Open",IF(H1746&lt;=INDEX(Assumptions!$C$15:$C$18,MATCH(E1746,Assumptions!$A$15:$A$18,0)),"Yes","No"))</f>
        <v>Yes</v>
      </c>
    </row>
    <row r="1747" customFormat="false" ht="15" hidden="false" customHeight="false" outlineLevel="0" collapsed="false">
      <c r="A1747" s="31" t="s">
        <v>1897</v>
      </c>
      <c r="B1747" s="44" t="n">
        <v>46227</v>
      </c>
      <c r="C1747" s="31" t="s">
        <v>58</v>
      </c>
      <c r="D1747" s="31" t="s">
        <v>69</v>
      </c>
      <c r="E1747" s="31" t="s">
        <v>51</v>
      </c>
      <c r="F1747" s="31" t="s">
        <v>129</v>
      </c>
      <c r="G1747" s="31" t="n">
        <v>14</v>
      </c>
      <c r="H1747" s="41" t="n">
        <v>44.2</v>
      </c>
      <c r="I1747" s="31" t="s">
        <v>149</v>
      </c>
      <c r="J1747" s="31" t="n">
        <v>3</v>
      </c>
      <c r="K1747" s="31" t="s">
        <v>150</v>
      </c>
      <c r="L1747" s="45" t="n">
        <f aca="false">DATE(YEAR(B1747),MONTH(B1747),1)</f>
        <v>46204</v>
      </c>
      <c r="M1747" s="31" t="n">
        <f aca="false">WEEKDAY(B1747,2)</f>
        <v>5</v>
      </c>
      <c r="N1747" s="31" t="str">
        <f aca="false">IF(G1747&lt;=INDEX(Assumptions!$B$15:$B$18,MATCH(E1747,Assumptions!$A$15:$A$18,0)),"Yes","No")</f>
        <v>Yes</v>
      </c>
      <c r="O1747" s="31" t="str">
        <f aca="false">IF(H1747="","Open",IF(H1747&lt;=INDEX(Assumptions!$C$15:$C$18,MATCH(E1747,Assumptions!$A$15:$A$18,0)),"Yes","No"))</f>
        <v>No</v>
      </c>
    </row>
    <row r="1748" customFormat="false" ht="15" hidden="false" customHeight="false" outlineLevel="0" collapsed="false">
      <c r="A1748" s="31" t="s">
        <v>1898</v>
      </c>
      <c r="B1748" s="44" t="n">
        <v>46227</v>
      </c>
      <c r="C1748" s="31" t="s">
        <v>60</v>
      </c>
      <c r="D1748" s="31" t="s">
        <v>66</v>
      </c>
      <c r="E1748" s="31" t="s">
        <v>50</v>
      </c>
      <c r="F1748" s="31" t="s">
        <v>129</v>
      </c>
      <c r="G1748" s="31" t="n">
        <v>2</v>
      </c>
      <c r="H1748" s="41" t="n">
        <v>1.9</v>
      </c>
      <c r="I1748" s="31" t="s">
        <v>149</v>
      </c>
      <c r="J1748" s="31"/>
      <c r="K1748" s="31" t="s">
        <v>150</v>
      </c>
      <c r="L1748" s="45" t="n">
        <f aca="false">DATE(YEAR(B1748),MONTH(B1748),1)</f>
        <v>46204</v>
      </c>
      <c r="M1748" s="31" t="n">
        <f aca="false">WEEKDAY(B1748,2)</f>
        <v>5</v>
      </c>
      <c r="N1748" s="31" t="str">
        <f aca="false">IF(G1748&lt;=INDEX(Assumptions!$B$15:$B$18,MATCH(E1748,Assumptions!$A$15:$A$18,0)),"Yes","No")</f>
        <v>Yes</v>
      </c>
      <c r="O1748" s="31" t="str">
        <f aca="false">IF(H1748="","Open",IF(H1748&lt;=INDEX(Assumptions!$C$15:$C$18,MATCH(E1748,Assumptions!$A$15:$A$18,0)),"Yes","No"))</f>
        <v>Yes</v>
      </c>
    </row>
    <row r="1749" customFormat="false" ht="15" hidden="false" customHeight="false" outlineLevel="0" collapsed="false">
      <c r="A1749" s="31" t="s">
        <v>1899</v>
      </c>
      <c r="B1749" s="44" t="n">
        <v>46227</v>
      </c>
      <c r="C1749" s="31" t="s">
        <v>60</v>
      </c>
      <c r="D1749" s="31" t="s">
        <v>68</v>
      </c>
      <c r="E1749" s="31" t="s">
        <v>50</v>
      </c>
      <c r="F1749" s="31" t="s">
        <v>123</v>
      </c>
      <c r="G1749" s="31" t="n">
        <v>1</v>
      </c>
      <c r="H1749" s="41" t="n">
        <v>3.8</v>
      </c>
      <c r="I1749" s="31" t="s">
        <v>149</v>
      </c>
      <c r="J1749" s="31" t="n">
        <v>4</v>
      </c>
      <c r="K1749" s="31" t="s">
        <v>150</v>
      </c>
      <c r="L1749" s="45" t="n">
        <f aca="false">DATE(YEAR(B1749),MONTH(B1749),1)</f>
        <v>46204</v>
      </c>
      <c r="M1749" s="31" t="n">
        <f aca="false">WEEKDAY(B1749,2)</f>
        <v>5</v>
      </c>
      <c r="N1749" s="31" t="str">
        <f aca="false">IF(G1749&lt;=INDEX(Assumptions!$B$15:$B$18,MATCH(E1749,Assumptions!$A$15:$A$18,0)),"Yes","No")</f>
        <v>Yes</v>
      </c>
      <c r="O1749" s="31" t="str">
        <f aca="false">IF(H1749="","Open",IF(H1749&lt;=INDEX(Assumptions!$C$15:$C$18,MATCH(E1749,Assumptions!$A$15:$A$18,0)),"Yes","No"))</f>
        <v>Yes</v>
      </c>
    </row>
    <row r="1750" customFormat="false" ht="15" hidden="false" customHeight="false" outlineLevel="0" collapsed="false">
      <c r="A1750" s="31" t="s">
        <v>1900</v>
      </c>
      <c r="B1750" s="44" t="n">
        <v>46227</v>
      </c>
      <c r="C1750" s="31" t="s">
        <v>59</v>
      </c>
      <c r="D1750" s="31" t="s">
        <v>69</v>
      </c>
      <c r="E1750" s="31" t="s">
        <v>50</v>
      </c>
      <c r="F1750" s="31" t="s">
        <v>128</v>
      </c>
      <c r="G1750" s="31" t="n">
        <v>26</v>
      </c>
      <c r="H1750" s="41" t="n">
        <v>14.4</v>
      </c>
      <c r="I1750" s="31" t="s">
        <v>149</v>
      </c>
      <c r="J1750" s="31" t="n">
        <v>2</v>
      </c>
      <c r="K1750" s="31" t="s">
        <v>153</v>
      </c>
      <c r="L1750" s="45" t="n">
        <f aca="false">DATE(YEAR(B1750),MONTH(B1750),1)</f>
        <v>46204</v>
      </c>
      <c r="M1750" s="31" t="n">
        <f aca="false">WEEKDAY(B1750,2)</f>
        <v>5</v>
      </c>
      <c r="N1750" s="31" t="str">
        <f aca="false">IF(G1750&lt;=INDEX(Assumptions!$B$15:$B$18,MATCH(E1750,Assumptions!$A$15:$A$18,0)),"Yes","No")</f>
        <v>Yes</v>
      </c>
      <c r="O1750" s="31" t="str">
        <f aca="false">IF(H1750="","Open",IF(H1750&lt;=INDEX(Assumptions!$C$15:$C$18,MATCH(E1750,Assumptions!$A$15:$A$18,0)),"Yes","No"))</f>
        <v>No</v>
      </c>
    </row>
    <row r="1751" customFormat="false" ht="15" hidden="false" customHeight="false" outlineLevel="0" collapsed="false">
      <c r="A1751" s="31" t="s">
        <v>1901</v>
      </c>
      <c r="B1751" s="44" t="n">
        <v>46227</v>
      </c>
      <c r="C1751" s="31" t="s">
        <v>58</v>
      </c>
      <c r="D1751" s="31" t="s">
        <v>67</v>
      </c>
      <c r="E1751" s="31" t="s">
        <v>50</v>
      </c>
      <c r="F1751" s="31" t="s">
        <v>131</v>
      </c>
      <c r="G1751" s="31" t="n">
        <v>5</v>
      </c>
      <c r="H1751" s="41" t="n">
        <v>4.1</v>
      </c>
      <c r="I1751" s="31" t="s">
        <v>149</v>
      </c>
      <c r="J1751" s="31" t="n">
        <v>4</v>
      </c>
      <c r="K1751" s="31" t="s">
        <v>150</v>
      </c>
      <c r="L1751" s="45" t="n">
        <f aca="false">DATE(YEAR(B1751),MONTH(B1751),1)</f>
        <v>46204</v>
      </c>
      <c r="M1751" s="31" t="n">
        <f aca="false">WEEKDAY(B1751,2)</f>
        <v>5</v>
      </c>
      <c r="N1751" s="31" t="str">
        <f aca="false">IF(G1751&lt;=INDEX(Assumptions!$B$15:$B$18,MATCH(E1751,Assumptions!$A$15:$A$18,0)),"Yes","No")</f>
        <v>Yes</v>
      </c>
      <c r="O1751" s="31" t="str">
        <f aca="false">IF(H1751="","Open",IF(H1751&lt;=INDEX(Assumptions!$C$15:$C$18,MATCH(E1751,Assumptions!$A$15:$A$18,0)),"Yes","No"))</f>
        <v>Yes</v>
      </c>
    </row>
    <row r="1752" customFormat="false" ht="15" hidden="false" customHeight="false" outlineLevel="0" collapsed="false">
      <c r="A1752" s="31" t="s">
        <v>1902</v>
      </c>
      <c r="B1752" s="44" t="n">
        <v>46228</v>
      </c>
      <c r="C1752" s="31" t="s">
        <v>60</v>
      </c>
      <c r="D1752" s="31" t="s">
        <v>68</v>
      </c>
      <c r="E1752" s="31" t="s">
        <v>51</v>
      </c>
      <c r="F1752" s="31" t="s">
        <v>134</v>
      </c>
      <c r="G1752" s="31" t="n">
        <v>3</v>
      </c>
      <c r="H1752" s="41" t="n">
        <v>9.7</v>
      </c>
      <c r="I1752" s="31" t="s">
        <v>149</v>
      </c>
      <c r="J1752" s="31"/>
      <c r="K1752" s="31" t="s">
        <v>150</v>
      </c>
      <c r="L1752" s="45" t="n">
        <f aca="false">DATE(YEAR(B1752),MONTH(B1752),1)</f>
        <v>46204</v>
      </c>
      <c r="M1752" s="31" t="n">
        <f aca="false">WEEKDAY(B1752,2)</f>
        <v>6</v>
      </c>
      <c r="N1752" s="31" t="str">
        <f aca="false">IF(G1752&lt;=INDEX(Assumptions!$B$15:$B$18,MATCH(E1752,Assumptions!$A$15:$A$18,0)),"Yes","No")</f>
        <v>Yes</v>
      </c>
      <c r="O1752" s="31" t="str">
        <f aca="false">IF(H1752="","Open",IF(H1752&lt;=INDEX(Assumptions!$C$15:$C$18,MATCH(E1752,Assumptions!$A$15:$A$18,0)),"Yes","No"))</f>
        <v>Yes</v>
      </c>
    </row>
    <row r="1753" customFormat="false" ht="15" hidden="false" customHeight="false" outlineLevel="0" collapsed="false">
      <c r="A1753" s="31" t="s">
        <v>1903</v>
      </c>
      <c r="B1753" s="44" t="n">
        <v>46228</v>
      </c>
      <c r="C1753" s="31" t="s">
        <v>57</v>
      </c>
      <c r="D1753" s="31" t="s">
        <v>66</v>
      </c>
      <c r="E1753" s="31" t="s">
        <v>51</v>
      </c>
      <c r="F1753" s="31" t="s">
        <v>119</v>
      </c>
      <c r="G1753" s="31" t="n">
        <v>3</v>
      </c>
      <c r="H1753" s="41" t="n">
        <v>4.8</v>
      </c>
      <c r="I1753" s="31" t="s">
        <v>149</v>
      </c>
      <c r="J1753" s="31" t="n">
        <v>5</v>
      </c>
      <c r="K1753" s="31" t="s">
        <v>150</v>
      </c>
      <c r="L1753" s="45" t="n">
        <f aca="false">DATE(YEAR(B1753),MONTH(B1753),1)</f>
        <v>46204</v>
      </c>
      <c r="M1753" s="31" t="n">
        <f aca="false">WEEKDAY(B1753,2)</f>
        <v>6</v>
      </c>
      <c r="N1753" s="31" t="str">
        <f aca="false">IF(G1753&lt;=INDEX(Assumptions!$B$15:$B$18,MATCH(E1753,Assumptions!$A$15:$A$18,0)),"Yes","No")</f>
        <v>Yes</v>
      </c>
      <c r="O1753" s="31" t="str">
        <f aca="false">IF(H1753="","Open",IF(H1753&lt;=INDEX(Assumptions!$C$15:$C$18,MATCH(E1753,Assumptions!$A$15:$A$18,0)),"Yes","No"))</f>
        <v>Yes</v>
      </c>
    </row>
    <row r="1754" customFormat="false" ht="15" hidden="false" customHeight="false" outlineLevel="0" collapsed="false">
      <c r="A1754" s="31" t="s">
        <v>1904</v>
      </c>
      <c r="B1754" s="44" t="n">
        <v>46228</v>
      </c>
      <c r="C1754" s="31" t="s">
        <v>57</v>
      </c>
      <c r="D1754" s="31" t="s">
        <v>66</v>
      </c>
      <c r="E1754" s="31" t="s">
        <v>52</v>
      </c>
      <c r="F1754" s="31" t="s">
        <v>120</v>
      </c>
      <c r="G1754" s="31" t="n">
        <v>6</v>
      </c>
      <c r="H1754" s="41" t="n">
        <v>8.6</v>
      </c>
      <c r="I1754" s="31" t="s">
        <v>149</v>
      </c>
      <c r="J1754" s="31"/>
      <c r="K1754" s="31" t="s">
        <v>150</v>
      </c>
      <c r="L1754" s="45" t="n">
        <f aca="false">DATE(YEAR(B1754),MONTH(B1754),1)</f>
        <v>46204</v>
      </c>
      <c r="M1754" s="31" t="n">
        <f aca="false">WEEKDAY(B1754,2)</f>
        <v>6</v>
      </c>
      <c r="N1754" s="31" t="str">
        <f aca="false">IF(G1754&lt;=INDEX(Assumptions!$B$15:$B$18,MATCH(E1754,Assumptions!$A$15:$A$18,0)),"Yes","No")</f>
        <v>Yes</v>
      </c>
      <c r="O1754" s="31" t="str">
        <f aca="false">IF(H1754="","Open",IF(H1754&lt;=INDEX(Assumptions!$C$15:$C$18,MATCH(E1754,Assumptions!$A$15:$A$18,0)),"Yes","No"))</f>
        <v>Yes</v>
      </c>
    </row>
    <row r="1755" customFormat="false" ht="15" hidden="false" customHeight="false" outlineLevel="0" collapsed="false">
      <c r="A1755" s="31" t="s">
        <v>1905</v>
      </c>
      <c r="B1755" s="44" t="n">
        <v>46228</v>
      </c>
      <c r="C1755" s="31" t="s">
        <v>59</v>
      </c>
      <c r="D1755" s="31" t="s">
        <v>68</v>
      </c>
      <c r="E1755" s="31" t="s">
        <v>52</v>
      </c>
      <c r="F1755" s="31" t="s">
        <v>129</v>
      </c>
      <c r="G1755" s="31" t="n">
        <v>62</v>
      </c>
      <c r="H1755" s="41" t="n">
        <v>2.8</v>
      </c>
      <c r="I1755" s="31" t="s">
        <v>149</v>
      </c>
      <c r="J1755" s="31" t="n">
        <v>5</v>
      </c>
      <c r="K1755" s="31" t="s">
        <v>150</v>
      </c>
      <c r="L1755" s="45" t="n">
        <f aca="false">DATE(YEAR(B1755),MONTH(B1755),1)</f>
        <v>46204</v>
      </c>
      <c r="M1755" s="31" t="n">
        <f aca="false">WEEKDAY(B1755,2)</f>
        <v>6</v>
      </c>
      <c r="N1755" s="31" t="str">
        <f aca="false">IF(G1755&lt;=INDEX(Assumptions!$B$15:$B$18,MATCH(E1755,Assumptions!$A$15:$A$18,0)),"Yes","No")</f>
        <v>Yes</v>
      </c>
      <c r="O1755" s="31" t="str">
        <f aca="false">IF(H1755="","Open",IF(H1755&lt;=INDEX(Assumptions!$C$15:$C$18,MATCH(E1755,Assumptions!$A$15:$A$18,0)),"Yes","No"))</f>
        <v>Yes</v>
      </c>
    </row>
    <row r="1756" customFormat="false" ht="15" hidden="false" customHeight="false" outlineLevel="0" collapsed="false">
      <c r="A1756" s="31" t="s">
        <v>1906</v>
      </c>
      <c r="B1756" s="44" t="n">
        <v>46228</v>
      </c>
      <c r="C1756" s="31" t="s">
        <v>58</v>
      </c>
      <c r="D1756" s="31" t="s">
        <v>66</v>
      </c>
      <c r="E1756" s="31" t="s">
        <v>52</v>
      </c>
      <c r="F1756" s="31" t="s">
        <v>123</v>
      </c>
      <c r="G1756" s="31" t="n">
        <v>2</v>
      </c>
      <c r="H1756" s="41" t="n">
        <v>4.9</v>
      </c>
      <c r="I1756" s="31" t="s">
        <v>149</v>
      </c>
      <c r="J1756" s="31"/>
      <c r="K1756" s="31" t="s">
        <v>150</v>
      </c>
      <c r="L1756" s="45" t="n">
        <f aca="false">DATE(YEAR(B1756),MONTH(B1756),1)</f>
        <v>46204</v>
      </c>
      <c r="M1756" s="31" t="n">
        <f aca="false">WEEKDAY(B1756,2)</f>
        <v>6</v>
      </c>
      <c r="N1756" s="31" t="str">
        <f aca="false">IF(G1756&lt;=INDEX(Assumptions!$B$15:$B$18,MATCH(E1756,Assumptions!$A$15:$A$18,0)),"Yes","No")</f>
        <v>Yes</v>
      </c>
      <c r="O1756" s="31" t="str">
        <f aca="false">IF(H1756="","Open",IF(H1756&lt;=INDEX(Assumptions!$C$15:$C$18,MATCH(E1756,Assumptions!$A$15:$A$18,0)),"Yes","No"))</f>
        <v>Yes</v>
      </c>
    </row>
    <row r="1757" customFormat="false" ht="15" hidden="false" customHeight="false" outlineLevel="0" collapsed="false">
      <c r="A1757" s="31" t="s">
        <v>1907</v>
      </c>
      <c r="B1757" s="44" t="n">
        <v>46228</v>
      </c>
      <c r="C1757" s="31" t="s">
        <v>60</v>
      </c>
      <c r="D1757" s="31" t="s">
        <v>66</v>
      </c>
      <c r="E1757" s="31" t="s">
        <v>49</v>
      </c>
      <c r="F1757" s="31" t="s">
        <v>127</v>
      </c>
      <c r="G1757" s="31" t="n">
        <v>1</v>
      </c>
      <c r="H1757" s="41" t="n">
        <v>1.4</v>
      </c>
      <c r="I1757" s="31" t="s">
        <v>149</v>
      </c>
      <c r="J1757" s="31"/>
      <c r="K1757" s="31" t="s">
        <v>150</v>
      </c>
      <c r="L1757" s="45" t="n">
        <f aca="false">DATE(YEAR(B1757),MONTH(B1757),1)</f>
        <v>46204</v>
      </c>
      <c r="M1757" s="31" t="n">
        <f aca="false">WEEKDAY(B1757,2)</f>
        <v>6</v>
      </c>
      <c r="N1757" s="31" t="str">
        <f aca="false">IF(G1757&lt;=INDEX(Assumptions!$B$15:$B$18,MATCH(E1757,Assumptions!$A$15:$A$18,0)),"Yes","No")</f>
        <v>Yes</v>
      </c>
      <c r="O1757" s="31" t="str">
        <f aca="false">IF(H1757="","Open",IF(H1757&lt;=INDEX(Assumptions!$C$15:$C$18,MATCH(E1757,Assumptions!$A$15:$A$18,0)),"Yes","No"))</f>
        <v>Yes</v>
      </c>
    </row>
    <row r="1758" customFormat="false" ht="15" hidden="false" customHeight="false" outlineLevel="0" collapsed="false">
      <c r="A1758" s="31" t="s">
        <v>1908</v>
      </c>
      <c r="B1758" s="44" t="n">
        <v>46228</v>
      </c>
      <c r="C1758" s="31" t="s">
        <v>59</v>
      </c>
      <c r="D1758" s="31" t="s">
        <v>69</v>
      </c>
      <c r="E1758" s="31" t="s">
        <v>51</v>
      </c>
      <c r="F1758" s="31" t="s">
        <v>129</v>
      </c>
      <c r="G1758" s="31" t="n">
        <v>13</v>
      </c>
      <c r="H1758" s="41" t="n">
        <v>6.5</v>
      </c>
      <c r="I1758" s="31" t="s">
        <v>149</v>
      </c>
      <c r="J1758" s="31" t="n">
        <v>4</v>
      </c>
      <c r="K1758" s="31" t="s">
        <v>153</v>
      </c>
      <c r="L1758" s="45" t="n">
        <f aca="false">DATE(YEAR(B1758),MONTH(B1758),1)</f>
        <v>46204</v>
      </c>
      <c r="M1758" s="31" t="n">
        <f aca="false">WEEKDAY(B1758,2)</f>
        <v>6</v>
      </c>
      <c r="N1758" s="31" t="str">
        <f aca="false">IF(G1758&lt;=INDEX(Assumptions!$B$15:$B$18,MATCH(E1758,Assumptions!$A$15:$A$18,0)),"Yes","No")</f>
        <v>Yes</v>
      </c>
      <c r="O1758" s="31" t="str">
        <f aca="false">IF(H1758="","Open",IF(H1758&lt;=INDEX(Assumptions!$C$15:$C$18,MATCH(E1758,Assumptions!$A$15:$A$18,0)),"Yes","No"))</f>
        <v>Yes</v>
      </c>
    </row>
    <row r="1759" customFormat="false" ht="15" hidden="false" customHeight="false" outlineLevel="0" collapsed="false">
      <c r="A1759" s="31" t="s">
        <v>1909</v>
      </c>
      <c r="B1759" s="44" t="n">
        <v>46228</v>
      </c>
      <c r="C1759" s="31" t="s">
        <v>59</v>
      </c>
      <c r="D1759" s="31" t="s">
        <v>65</v>
      </c>
      <c r="E1759" s="31" t="s">
        <v>51</v>
      </c>
      <c r="F1759" s="31" t="s">
        <v>134</v>
      </c>
      <c r="G1759" s="31" t="n">
        <v>18</v>
      </c>
      <c r="H1759" s="41" t="n">
        <v>22.8</v>
      </c>
      <c r="I1759" s="31" t="s">
        <v>149</v>
      </c>
      <c r="J1759" s="31"/>
      <c r="K1759" s="31" t="s">
        <v>150</v>
      </c>
      <c r="L1759" s="45" t="n">
        <f aca="false">DATE(YEAR(B1759),MONTH(B1759),1)</f>
        <v>46204</v>
      </c>
      <c r="M1759" s="31" t="n">
        <f aca="false">WEEKDAY(B1759,2)</f>
        <v>6</v>
      </c>
      <c r="N1759" s="31" t="str">
        <f aca="false">IF(G1759&lt;=INDEX(Assumptions!$B$15:$B$18,MATCH(E1759,Assumptions!$A$15:$A$18,0)),"Yes","No")</f>
        <v>Yes</v>
      </c>
      <c r="O1759" s="31" t="str">
        <f aca="false">IF(H1759="","Open",IF(H1759&lt;=INDEX(Assumptions!$C$15:$C$18,MATCH(E1759,Assumptions!$A$15:$A$18,0)),"Yes","No"))</f>
        <v>Yes</v>
      </c>
    </row>
    <row r="1760" customFormat="false" ht="15" hidden="false" customHeight="false" outlineLevel="0" collapsed="false">
      <c r="A1760" s="31" t="s">
        <v>1910</v>
      </c>
      <c r="B1760" s="44" t="n">
        <v>46228</v>
      </c>
      <c r="C1760" s="31" t="s">
        <v>58</v>
      </c>
      <c r="D1760" s="31" t="s">
        <v>65</v>
      </c>
      <c r="E1760" s="31" t="s">
        <v>51</v>
      </c>
      <c r="F1760" s="31" t="s">
        <v>126</v>
      </c>
      <c r="G1760" s="31" t="n">
        <v>7</v>
      </c>
      <c r="H1760" s="41" t="n">
        <v>4.4</v>
      </c>
      <c r="I1760" s="31" t="s">
        <v>149</v>
      </c>
      <c r="J1760" s="31"/>
      <c r="K1760" s="31" t="s">
        <v>150</v>
      </c>
      <c r="L1760" s="45" t="n">
        <f aca="false">DATE(YEAR(B1760),MONTH(B1760),1)</f>
        <v>46204</v>
      </c>
      <c r="M1760" s="31" t="n">
        <f aca="false">WEEKDAY(B1760,2)</f>
        <v>6</v>
      </c>
      <c r="N1760" s="31" t="str">
        <f aca="false">IF(G1760&lt;=INDEX(Assumptions!$B$15:$B$18,MATCH(E1760,Assumptions!$A$15:$A$18,0)),"Yes","No")</f>
        <v>Yes</v>
      </c>
      <c r="O1760" s="31" t="str">
        <f aca="false">IF(H1760="","Open",IF(H1760&lt;=INDEX(Assumptions!$C$15:$C$18,MATCH(E1760,Assumptions!$A$15:$A$18,0)),"Yes","No"))</f>
        <v>Yes</v>
      </c>
    </row>
    <row r="1761" customFormat="false" ht="15" hidden="false" customHeight="false" outlineLevel="0" collapsed="false">
      <c r="A1761" s="31" t="s">
        <v>1911</v>
      </c>
      <c r="B1761" s="44" t="n">
        <v>46228</v>
      </c>
      <c r="C1761" s="31" t="s">
        <v>57</v>
      </c>
      <c r="D1761" s="31" t="s">
        <v>68</v>
      </c>
      <c r="E1761" s="31" t="s">
        <v>52</v>
      </c>
      <c r="F1761" s="31" t="s">
        <v>122</v>
      </c>
      <c r="G1761" s="31" t="n">
        <v>2</v>
      </c>
      <c r="H1761" s="41" t="n">
        <v>6.1</v>
      </c>
      <c r="I1761" s="31" t="s">
        <v>149</v>
      </c>
      <c r="J1761" s="31"/>
      <c r="K1761" s="31" t="s">
        <v>153</v>
      </c>
      <c r="L1761" s="45" t="n">
        <f aca="false">DATE(YEAR(B1761),MONTH(B1761),1)</f>
        <v>46204</v>
      </c>
      <c r="M1761" s="31" t="n">
        <f aca="false">WEEKDAY(B1761,2)</f>
        <v>6</v>
      </c>
      <c r="N1761" s="31" t="str">
        <f aca="false">IF(G1761&lt;=INDEX(Assumptions!$B$15:$B$18,MATCH(E1761,Assumptions!$A$15:$A$18,0)),"Yes","No")</f>
        <v>Yes</v>
      </c>
      <c r="O1761" s="31" t="str">
        <f aca="false">IF(H1761="","Open",IF(H1761&lt;=INDEX(Assumptions!$C$15:$C$18,MATCH(E1761,Assumptions!$A$15:$A$18,0)),"Yes","No"))</f>
        <v>Yes</v>
      </c>
    </row>
    <row r="1762" customFormat="false" ht="15" hidden="false" customHeight="false" outlineLevel="0" collapsed="false">
      <c r="A1762" s="31" t="s">
        <v>1912</v>
      </c>
      <c r="B1762" s="44" t="n">
        <v>46228</v>
      </c>
      <c r="C1762" s="31" t="s">
        <v>57</v>
      </c>
      <c r="D1762" s="31" t="s">
        <v>68</v>
      </c>
      <c r="E1762" s="31" t="s">
        <v>51</v>
      </c>
      <c r="F1762" s="31" t="s">
        <v>133</v>
      </c>
      <c r="G1762" s="31" t="n">
        <v>9</v>
      </c>
      <c r="H1762" s="41" t="n">
        <v>4.3</v>
      </c>
      <c r="I1762" s="31" t="s">
        <v>149</v>
      </c>
      <c r="J1762" s="31" t="n">
        <v>4</v>
      </c>
      <c r="K1762" s="31" t="s">
        <v>150</v>
      </c>
      <c r="L1762" s="45" t="n">
        <f aca="false">DATE(YEAR(B1762),MONTH(B1762),1)</f>
        <v>46204</v>
      </c>
      <c r="M1762" s="31" t="n">
        <f aca="false">WEEKDAY(B1762,2)</f>
        <v>6</v>
      </c>
      <c r="N1762" s="31" t="str">
        <f aca="false">IF(G1762&lt;=INDEX(Assumptions!$B$15:$B$18,MATCH(E1762,Assumptions!$A$15:$A$18,0)),"Yes","No")</f>
        <v>Yes</v>
      </c>
      <c r="O1762" s="31" t="str">
        <f aca="false">IF(H1762="","Open",IF(H1762&lt;=INDEX(Assumptions!$C$15:$C$18,MATCH(E1762,Assumptions!$A$15:$A$18,0)),"Yes","No"))</f>
        <v>Yes</v>
      </c>
    </row>
    <row r="1763" customFormat="false" ht="15" hidden="false" customHeight="false" outlineLevel="0" collapsed="false">
      <c r="A1763" s="31" t="s">
        <v>1913</v>
      </c>
      <c r="B1763" s="44" t="n">
        <v>46228</v>
      </c>
      <c r="C1763" s="31" t="s">
        <v>57</v>
      </c>
      <c r="D1763" s="31" t="s">
        <v>67</v>
      </c>
      <c r="E1763" s="31" t="s">
        <v>50</v>
      </c>
      <c r="F1763" s="31" t="s">
        <v>126</v>
      </c>
      <c r="G1763" s="31" t="n">
        <v>2</v>
      </c>
      <c r="H1763" s="41" t="n">
        <v>2.5</v>
      </c>
      <c r="I1763" s="31" t="s">
        <v>149</v>
      </c>
      <c r="J1763" s="31" t="n">
        <v>4</v>
      </c>
      <c r="K1763" s="31" t="s">
        <v>150</v>
      </c>
      <c r="L1763" s="45" t="n">
        <f aca="false">DATE(YEAR(B1763),MONTH(B1763),1)</f>
        <v>46204</v>
      </c>
      <c r="M1763" s="31" t="n">
        <f aca="false">WEEKDAY(B1763,2)</f>
        <v>6</v>
      </c>
      <c r="N1763" s="31" t="str">
        <f aca="false">IF(G1763&lt;=INDEX(Assumptions!$B$15:$B$18,MATCH(E1763,Assumptions!$A$15:$A$18,0)),"Yes","No")</f>
        <v>Yes</v>
      </c>
      <c r="O1763" s="31" t="str">
        <f aca="false">IF(H1763="","Open",IF(H1763&lt;=INDEX(Assumptions!$C$15:$C$18,MATCH(E1763,Assumptions!$A$15:$A$18,0)),"Yes","No"))</f>
        <v>Yes</v>
      </c>
    </row>
    <row r="1764" customFormat="false" ht="15" hidden="false" customHeight="false" outlineLevel="0" collapsed="false">
      <c r="A1764" s="31" t="s">
        <v>1914</v>
      </c>
      <c r="B1764" s="44" t="n">
        <v>46228</v>
      </c>
      <c r="C1764" s="31" t="s">
        <v>57</v>
      </c>
      <c r="D1764" s="31" t="s">
        <v>66</v>
      </c>
      <c r="E1764" s="31" t="s">
        <v>50</v>
      </c>
      <c r="F1764" s="31" t="s">
        <v>123</v>
      </c>
      <c r="G1764" s="31" t="n">
        <v>4</v>
      </c>
      <c r="H1764" s="41" t="n">
        <v>2.4</v>
      </c>
      <c r="I1764" s="31" t="s">
        <v>149</v>
      </c>
      <c r="J1764" s="31"/>
      <c r="K1764" s="31" t="s">
        <v>150</v>
      </c>
      <c r="L1764" s="45" t="n">
        <f aca="false">DATE(YEAR(B1764),MONTH(B1764),1)</f>
        <v>46204</v>
      </c>
      <c r="M1764" s="31" t="n">
        <f aca="false">WEEKDAY(B1764,2)</f>
        <v>6</v>
      </c>
      <c r="N1764" s="31" t="str">
        <f aca="false">IF(G1764&lt;=INDEX(Assumptions!$B$15:$B$18,MATCH(E1764,Assumptions!$A$15:$A$18,0)),"Yes","No")</f>
        <v>Yes</v>
      </c>
      <c r="O1764" s="31" t="str">
        <f aca="false">IF(H1764="","Open",IF(H1764&lt;=INDEX(Assumptions!$C$15:$C$18,MATCH(E1764,Assumptions!$A$15:$A$18,0)),"Yes","No"))</f>
        <v>Yes</v>
      </c>
    </row>
    <row r="1765" customFormat="false" ht="15" hidden="false" customHeight="false" outlineLevel="0" collapsed="false">
      <c r="A1765" s="31" t="s">
        <v>1915</v>
      </c>
      <c r="B1765" s="44" t="n">
        <v>46228</v>
      </c>
      <c r="C1765" s="31" t="s">
        <v>58</v>
      </c>
      <c r="D1765" s="31" t="s">
        <v>65</v>
      </c>
      <c r="E1765" s="31" t="s">
        <v>51</v>
      </c>
      <c r="F1765" s="31" t="s">
        <v>124</v>
      </c>
      <c r="G1765" s="31" t="n">
        <v>10</v>
      </c>
      <c r="H1765" s="41" t="n">
        <v>11.8</v>
      </c>
      <c r="I1765" s="31" t="s">
        <v>149</v>
      </c>
      <c r="J1765" s="31" t="n">
        <v>5</v>
      </c>
      <c r="K1765" s="31" t="s">
        <v>150</v>
      </c>
      <c r="L1765" s="45" t="n">
        <f aca="false">DATE(YEAR(B1765),MONTH(B1765),1)</f>
        <v>46204</v>
      </c>
      <c r="M1765" s="31" t="n">
        <f aca="false">WEEKDAY(B1765,2)</f>
        <v>6</v>
      </c>
      <c r="N1765" s="31" t="str">
        <f aca="false">IF(G1765&lt;=INDEX(Assumptions!$B$15:$B$18,MATCH(E1765,Assumptions!$A$15:$A$18,0)),"Yes","No")</f>
        <v>Yes</v>
      </c>
      <c r="O1765" s="31" t="str">
        <f aca="false">IF(H1765="","Open",IF(H1765&lt;=INDEX(Assumptions!$C$15:$C$18,MATCH(E1765,Assumptions!$A$15:$A$18,0)),"Yes","No"))</f>
        <v>Yes</v>
      </c>
    </row>
    <row r="1766" customFormat="false" ht="15" hidden="false" customHeight="false" outlineLevel="0" collapsed="false">
      <c r="A1766" s="31" t="s">
        <v>1916</v>
      </c>
      <c r="B1766" s="44" t="n">
        <v>46228</v>
      </c>
      <c r="C1766" s="31" t="s">
        <v>58</v>
      </c>
      <c r="D1766" s="31" t="s">
        <v>68</v>
      </c>
      <c r="E1766" s="31" t="s">
        <v>51</v>
      </c>
      <c r="F1766" s="31" t="s">
        <v>128</v>
      </c>
      <c r="G1766" s="31" t="n">
        <v>29</v>
      </c>
      <c r="H1766" s="41" t="n">
        <v>10.2</v>
      </c>
      <c r="I1766" s="31" t="s">
        <v>149</v>
      </c>
      <c r="J1766" s="31" t="n">
        <v>4</v>
      </c>
      <c r="K1766" s="31" t="s">
        <v>150</v>
      </c>
      <c r="L1766" s="45" t="n">
        <f aca="false">DATE(YEAR(B1766),MONTH(B1766),1)</f>
        <v>46204</v>
      </c>
      <c r="M1766" s="31" t="n">
        <f aca="false">WEEKDAY(B1766,2)</f>
        <v>6</v>
      </c>
      <c r="N1766" s="31" t="str">
        <f aca="false">IF(G1766&lt;=INDEX(Assumptions!$B$15:$B$18,MATCH(E1766,Assumptions!$A$15:$A$18,0)),"Yes","No")</f>
        <v>Yes</v>
      </c>
      <c r="O1766" s="31" t="str">
        <f aca="false">IF(H1766="","Open",IF(H1766&lt;=INDEX(Assumptions!$C$15:$C$18,MATCH(E1766,Assumptions!$A$15:$A$18,0)),"Yes","No"))</f>
        <v>Yes</v>
      </c>
    </row>
    <row r="1767" customFormat="false" ht="15" hidden="false" customHeight="false" outlineLevel="0" collapsed="false">
      <c r="A1767" s="31" t="s">
        <v>1917</v>
      </c>
      <c r="B1767" s="44" t="n">
        <v>46228</v>
      </c>
      <c r="C1767" s="31" t="s">
        <v>60</v>
      </c>
      <c r="D1767" s="31" t="s">
        <v>65</v>
      </c>
      <c r="E1767" s="31" t="s">
        <v>52</v>
      </c>
      <c r="F1767" s="31" t="s">
        <v>117</v>
      </c>
      <c r="G1767" s="31" t="n">
        <v>1</v>
      </c>
      <c r="H1767" s="41" t="n">
        <v>5.8</v>
      </c>
      <c r="I1767" s="31" t="s">
        <v>149</v>
      </c>
      <c r="J1767" s="31" t="n">
        <v>4</v>
      </c>
      <c r="K1767" s="31" t="s">
        <v>150</v>
      </c>
      <c r="L1767" s="45" t="n">
        <f aca="false">DATE(YEAR(B1767),MONTH(B1767),1)</f>
        <v>46204</v>
      </c>
      <c r="M1767" s="31" t="n">
        <f aca="false">WEEKDAY(B1767,2)</f>
        <v>6</v>
      </c>
      <c r="N1767" s="31" t="str">
        <f aca="false">IF(G1767&lt;=INDEX(Assumptions!$B$15:$B$18,MATCH(E1767,Assumptions!$A$15:$A$18,0)),"Yes","No")</f>
        <v>Yes</v>
      </c>
      <c r="O1767" s="31" t="str">
        <f aca="false">IF(H1767="","Open",IF(H1767&lt;=INDEX(Assumptions!$C$15:$C$18,MATCH(E1767,Assumptions!$A$15:$A$18,0)),"Yes","No"))</f>
        <v>Yes</v>
      </c>
    </row>
    <row r="1768" customFormat="false" ht="15" hidden="false" customHeight="false" outlineLevel="0" collapsed="false">
      <c r="A1768" s="31" t="s">
        <v>1918</v>
      </c>
      <c r="B1768" s="44" t="n">
        <v>46228</v>
      </c>
      <c r="C1768" s="31" t="s">
        <v>57</v>
      </c>
      <c r="D1768" s="31" t="s">
        <v>66</v>
      </c>
      <c r="E1768" s="31" t="s">
        <v>52</v>
      </c>
      <c r="F1768" s="31" t="s">
        <v>126</v>
      </c>
      <c r="G1768" s="31" t="n">
        <v>3</v>
      </c>
      <c r="H1768" s="41" t="n">
        <v>2.1</v>
      </c>
      <c r="I1768" s="31" t="s">
        <v>149</v>
      </c>
      <c r="J1768" s="31" t="n">
        <v>5</v>
      </c>
      <c r="K1768" s="31" t="s">
        <v>150</v>
      </c>
      <c r="L1768" s="45" t="n">
        <f aca="false">DATE(YEAR(B1768),MONTH(B1768),1)</f>
        <v>46204</v>
      </c>
      <c r="M1768" s="31" t="n">
        <f aca="false">WEEKDAY(B1768,2)</f>
        <v>6</v>
      </c>
      <c r="N1768" s="31" t="str">
        <f aca="false">IF(G1768&lt;=INDEX(Assumptions!$B$15:$B$18,MATCH(E1768,Assumptions!$A$15:$A$18,0)),"Yes","No")</f>
        <v>Yes</v>
      </c>
      <c r="O1768" s="31" t="str">
        <f aca="false">IF(H1768="","Open",IF(H1768&lt;=INDEX(Assumptions!$C$15:$C$18,MATCH(E1768,Assumptions!$A$15:$A$18,0)),"Yes","No"))</f>
        <v>Yes</v>
      </c>
    </row>
    <row r="1769" customFormat="false" ht="15" hidden="false" customHeight="false" outlineLevel="0" collapsed="false">
      <c r="A1769" s="31" t="s">
        <v>1919</v>
      </c>
      <c r="B1769" s="44" t="n">
        <v>46228</v>
      </c>
      <c r="C1769" s="31" t="s">
        <v>60</v>
      </c>
      <c r="D1769" s="31" t="s">
        <v>66</v>
      </c>
      <c r="E1769" s="31" t="s">
        <v>51</v>
      </c>
      <c r="F1769" s="31" t="s">
        <v>127</v>
      </c>
      <c r="G1769" s="31" t="n">
        <v>1</v>
      </c>
      <c r="H1769" s="41" t="n">
        <v>2.3</v>
      </c>
      <c r="I1769" s="31" t="s">
        <v>149</v>
      </c>
      <c r="J1769" s="31" t="n">
        <v>4</v>
      </c>
      <c r="K1769" s="31" t="s">
        <v>150</v>
      </c>
      <c r="L1769" s="45" t="n">
        <f aca="false">DATE(YEAR(B1769),MONTH(B1769),1)</f>
        <v>46204</v>
      </c>
      <c r="M1769" s="31" t="n">
        <f aca="false">WEEKDAY(B1769,2)</f>
        <v>6</v>
      </c>
      <c r="N1769" s="31" t="str">
        <f aca="false">IF(G1769&lt;=INDEX(Assumptions!$B$15:$B$18,MATCH(E1769,Assumptions!$A$15:$A$18,0)),"Yes","No")</f>
        <v>Yes</v>
      </c>
      <c r="O1769" s="31" t="str">
        <f aca="false">IF(H1769="","Open",IF(H1769&lt;=INDEX(Assumptions!$C$15:$C$18,MATCH(E1769,Assumptions!$A$15:$A$18,0)),"Yes","No"))</f>
        <v>Yes</v>
      </c>
    </row>
    <row r="1770" customFormat="false" ht="15" hidden="false" customHeight="false" outlineLevel="0" collapsed="false">
      <c r="A1770" s="31" t="s">
        <v>1920</v>
      </c>
      <c r="B1770" s="44" t="n">
        <v>46228</v>
      </c>
      <c r="C1770" s="31" t="s">
        <v>58</v>
      </c>
      <c r="D1770" s="31" t="s">
        <v>65</v>
      </c>
      <c r="E1770" s="31" t="s">
        <v>50</v>
      </c>
      <c r="F1770" s="31" t="s">
        <v>137</v>
      </c>
      <c r="G1770" s="31" t="n">
        <v>5</v>
      </c>
      <c r="H1770" s="41" t="n">
        <v>14.2</v>
      </c>
      <c r="I1770" s="31" t="s">
        <v>149</v>
      </c>
      <c r="J1770" s="31"/>
      <c r="K1770" s="31" t="s">
        <v>153</v>
      </c>
      <c r="L1770" s="45" t="n">
        <f aca="false">DATE(YEAR(B1770),MONTH(B1770),1)</f>
        <v>46204</v>
      </c>
      <c r="M1770" s="31" t="n">
        <f aca="false">WEEKDAY(B1770,2)</f>
        <v>6</v>
      </c>
      <c r="N1770" s="31" t="str">
        <f aca="false">IF(G1770&lt;=INDEX(Assumptions!$B$15:$B$18,MATCH(E1770,Assumptions!$A$15:$A$18,0)),"Yes","No")</f>
        <v>Yes</v>
      </c>
      <c r="O1770" s="31" t="str">
        <f aca="false">IF(H1770="","Open",IF(H1770&lt;=INDEX(Assumptions!$C$15:$C$18,MATCH(E1770,Assumptions!$A$15:$A$18,0)),"Yes","No"))</f>
        <v>No</v>
      </c>
    </row>
    <row r="1771" customFormat="false" ht="15" hidden="false" customHeight="false" outlineLevel="0" collapsed="false">
      <c r="A1771" s="31" t="s">
        <v>1921</v>
      </c>
      <c r="B1771" s="44" t="n">
        <v>46228</v>
      </c>
      <c r="C1771" s="31" t="s">
        <v>60</v>
      </c>
      <c r="D1771" s="31" t="s">
        <v>66</v>
      </c>
      <c r="E1771" s="31" t="s">
        <v>50</v>
      </c>
      <c r="F1771" s="31" t="s">
        <v>119</v>
      </c>
      <c r="G1771" s="31" t="n">
        <v>3</v>
      </c>
      <c r="H1771" s="41" t="n">
        <v>1.4</v>
      </c>
      <c r="I1771" s="31" t="s">
        <v>149</v>
      </c>
      <c r="J1771" s="31" t="n">
        <v>4</v>
      </c>
      <c r="K1771" s="31" t="s">
        <v>150</v>
      </c>
      <c r="L1771" s="45" t="n">
        <f aca="false">DATE(YEAR(B1771),MONTH(B1771),1)</f>
        <v>46204</v>
      </c>
      <c r="M1771" s="31" t="n">
        <f aca="false">WEEKDAY(B1771,2)</f>
        <v>6</v>
      </c>
      <c r="N1771" s="31" t="str">
        <f aca="false">IF(G1771&lt;=INDEX(Assumptions!$B$15:$B$18,MATCH(E1771,Assumptions!$A$15:$A$18,0)),"Yes","No")</f>
        <v>Yes</v>
      </c>
      <c r="O1771" s="31" t="str">
        <f aca="false">IF(H1771="","Open",IF(H1771&lt;=INDEX(Assumptions!$C$15:$C$18,MATCH(E1771,Assumptions!$A$15:$A$18,0)),"Yes","No"))</f>
        <v>Yes</v>
      </c>
    </row>
    <row r="1772" customFormat="false" ht="15" hidden="false" customHeight="false" outlineLevel="0" collapsed="false">
      <c r="A1772" s="31" t="s">
        <v>1922</v>
      </c>
      <c r="B1772" s="44" t="n">
        <v>46228</v>
      </c>
      <c r="C1772" s="31" t="s">
        <v>59</v>
      </c>
      <c r="D1772" s="31" t="s">
        <v>65</v>
      </c>
      <c r="E1772" s="31" t="s">
        <v>51</v>
      </c>
      <c r="F1772" s="31" t="s">
        <v>137</v>
      </c>
      <c r="G1772" s="31" t="n">
        <v>69</v>
      </c>
      <c r="H1772" s="41" t="n">
        <v>10.6</v>
      </c>
      <c r="I1772" s="31" t="s">
        <v>149</v>
      </c>
      <c r="J1772" s="31" t="n">
        <v>5</v>
      </c>
      <c r="K1772" s="31" t="s">
        <v>150</v>
      </c>
      <c r="L1772" s="45" t="n">
        <f aca="false">DATE(YEAR(B1772),MONTH(B1772),1)</f>
        <v>46204</v>
      </c>
      <c r="M1772" s="31" t="n">
        <f aca="false">WEEKDAY(B1772,2)</f>
        <v>6</v>
      </c>
      <c r="N1772" s="31" t="str">
        <f aca="false">IF(G1772&lt;=INDEX(Assumptions!$B$15:$B$18,MATCH(E1772,Assumptions!$A$15:$A$18,0)),"Yes","No")</f>
        <v>No</v>
      </c>
      <c r="O1772" s="31" t="str">
        <f aca="false">IF(H1772="","Open",IF(H1772&lt;=INDEX(Assumptions!$C$15:$C$18,MATCH(E1772,Assumptions!$A$15:$A$18,0)),"Yes","No"))</f>
        <v>Yes</v>
      </c>
    </row>
    <row r="1773" customFormat="false" ht="15" hidden="false" customHeight="false" outlineLevel="0" collapsed="false">
      <c r="A1773" s="31" t="s">
        <v>1923</v>
      </c>
      <c r="B1773" s="44" t="n">
        <v>46228</v>
      </c>
      <c r="C1773" s="31" t="s">
        <v>57</v>
      </c>
      <c r="D1773" s="31" t="s">
        <v>68</v>
      </c>
      <c r="E1773" s="31" t="s">
        <v>51</v>
      </c>
      <c r="F1773" s="31" t="s">
        <v>126</v>
      </c>
      <c r="G1773" s="31" t="n">
        <v>2</v>
      </c>
      <c r="H1773" s="41" t="n">
        <v>14.9</v>
      </c>
      <c r="I1773" s="31" t="s">
        <v>64</v>
      </c>
      <c r="J1773" s="31" t="n">
        <v>4</v>
      </c>
      <c r="K1773" s="31" t="s">
        <v>150</v>
      </c>
      <c r="L1773" s="45" t="n">
        <f aca="false">DATE(YEAR(B1773),MONTH(B1773),1)</f>
        <v>46204</v>
      </c>
      <c r="M1773" s="31" t="n">
        <f aca="false">WEEKDAY(B1773,2)</f>
        <v>6</v>
      </c>
      <c r="N1773" s="31" t="str">
        <f aca="false">IF(G1773&lt;=INDEX(Assumptions!$B$15:$B$18,MATCH(E1773,Assumptions!$A$15:$A$18,0)),"Yes","No")</f>
        <v>Yes</v>
      </c>
      <c r="O1773" s="31" t="str">
        <f aca="false">IF(H1773="","Open",IF(H1773&lt;=INDEX(Assumptions!$C$15:$C$18,MATCH(E1773,Assumptions!$A$15:$A$18,0)),"Yes","No"))</f>
        <v>Yes</v>
      </c>
    </row>
    <row r="1774" customFormat="false" ht="15" hidden="false" customHeight="false" outlineLevel="0" collapsed="false">
      <c r="A1774" s="31" t="s">
        <v>1924</v>
      </c>
      <c r="B1774" s="44" t="n">
        <v>46228</v>
      </c>
      <c r="C1774" s="31" t="s">
        <v>60</v>
      </c>
      <c r="D1774" s="31" t="s">
        <v>66</v>
      </c>
      <c r="E1774" s="31" t="s">
        <v>52</v>
      </c>
      <c r="F1774" s="31" t="s">
        <v>130</v>
      </c>
      <c r="G1774" s="31" t="n">
        <v>1</v>
      </c>
      <c r="H1774" s="41" t="n">
        <v>3.3</v>
      </c>
      <c r="I1774" s="31" t="s">
        <v>149</v>
      </c>
      <c r="J1774" s="31"/>
      <c r="K1774" s="31" t="s">
        <v>150</v>
      </c>
      <c r="L1774" s="45" t="n">
        <f aca="false">DATE(YEAR(B1774),MONTH(B1774),1)</f>
        <v>46204</v>
      </c>
      <c r="M1774" s="31" t="n">
        <f aca="false">WEEKDAY(B1774,2)</f>
        <v>6</v>
      </c>
      <c r="N1774" s="31" t="str">
        <f aca="false">IF(G1774&lt;=INDEX(Assumptions!$B$15:$B$18,MATCH(E1774,Assumptions!$A$15:$A$18,0)),"Yes","No")</f>
        <v>Yes</v>
      </c>
      <c r="O1774" s="31" t="str">
        <f aca="false">IF(H1774="","Open",IF(H1774&lt;=INDEX(Assumptions!$C$15:$C$18,MATCH(E1774,Assumptions!$A$15:$A$18,0)),"Yes","No"))</f>
        <v>Yes</v>
      </c>
    </row>
    <row r="1775" customFormat="false" ht="15" hidden="false" customHeight="false" outlineLevel="0" collapsed="false">
      <c r="A1775" s="31" t="s">
        <v>1925</v>
      </c>
      <c r="B1775" s="44" t="n">
        <v>46228</v>
      </c>
      <c r="C1775" s="31" t="s">
        <v>57</v>
      </c>
      <c r="D1775" s="31" t="s">
        <v>66</v>
      </c>
      <c r="E1775" s="31" t="s">
        <v>52</v>
      </c>
      <c r="F1775" s="31" t="s">
        <v>131</v>
      </c>
      <c r="G1775" s="31" t="n">
        <v>9</v>
      </c>
      <c r="H1775" s="41" t="n">
        <v>3.6</v>
      </c>
      <c r="I1775" s="31" t="s">
        <v>149</v>
      </c>
      <c r="J1775" s="31" t="n">
        <v>4</v>
      </c>
      <c r="K1775" s="31" t="s">
        <v>150</v>
      </c>
      <c r="L1775" s="45" t="n">
        <f aca="false">DATE(YEAR(B1775),MONTH(B1775),1)</f>
        <v>46204</v>
      </c>
      <c r="M1775" s="31" t="n">
        <f aca="false">WEEKDAY(B1775,2)</f>
        <v>6</v>
      </c>
      <c r="N1775" s="31" t="str">
        <f aca="false">IF(G1775&lt;=INDEX(Assumptions!$B$15:$B$18,MATCH(E1775,Assumptions!$A$15:$A$18,0)),"Yes","No")</f>
        <v>Yes</v>
      </c>
      <c r="O1775" s="31" t="str">
        <f aca="false">IF(H1775="","Open",IF(H1775&lt;=INDEX(Assumptions!$C$15:$C$18,MATCH(E1775,Assumptions!$A$15:$A$18,0)),"Yes","No"))</f>
        <v>Yes</v>
      </c>
    </row>
    <row r="1776" customFormat="false" ht="15" hidden="false" customHeight="false" outlineLevel="0" collapsed="false">
      <c r="A1776" s="31" t="s">
        <v>1926</v>
      </c>
      <c r="B1776" s="44" t="n">
        <v>46228</v>
      </c>
      <c r="C1776" s="31" t="s">
        <v>59</v>
      </c>
      <c r="D1776" s="31" t="s">
        <v>67</v>
      </c>
      <c r="E1776" s="31" t="s">
        <v>52</v>
      </c>
      <c r="F1776" s="31" t="s">
        <v>133</v>
      </c>
      <c r="G1776" s="31" t="n">
        <v>51</v>
      </c>
      <c r="H1776" s="41" t="n">
        <v>20</v>
      </c>
      <c r="I1776" s="31" t="s">
        <v>149</v>
      </c>
      <c r="J1776" s="31"/>
      <c r="K1776" s="31" t="s">
        <v>150</v>
      </c>
      <c r="L1776" s="45" t="n">
        <f aca="false">DATE(YEAR(B1776),MONTH(B1776),1)</f>
        <v>46204</v>
      </c>
      <c r="M1776" s="31" t="n">
        <f aca="false">WEEKDAY(B1776,2)</f>
        <v>6</v>
      </c>
      <c r="N1776" s="31" t="str">
        <f aca="false">IF(G1776&lt;=INDEX(Assumptions!$B$15:$B$18,MATCH(E1776,Assumptions!$A$15:$A$18,0)),"Yes","No")</f>
        <v>Yes</v>
      </c>
      <c r="O1776" s="31" t="str">
        <f aca="false">IF(H1776="","Open",IF(H1776&lt;=INDEX(Assumptions!$C$15:$C$18,MATCH(E1776,Assumptions!$A$15:$A$18,0)),"Yes","No"))</f>
        <v>Yes</v>
      </c>
    </row>
    <row r="1777" customFormat="false" ht="15" hidden="false" customHeight="false" outlineLevel="0" collapsed="false">
      <c r="A1777" s="31" t="s">
        <v>1927</v>
      </c>
      <c r="B1777" s="44" t="n">
        <v>46228</v>
      </c>
      <c r="C1777" s="31" t="s">
        <v>60</v>
      </c>
      <c r="D1777" s="31" t="s">
        <v>67</v>
      </c>
      <c r="E1777" s="31" t="s">
        <v>51</v>
      </c>
      <c r="F1777" s="31" t="s">
        <v>131</v>
      </c>
      <c r="G1777" s="31" t="n">
        <v>2</v>
      </c>
      <c r="H1777" s="41" t="n">
        <v>23.2</v>
      </c>
      <c r="I1777" s="31" t="s">
        <v>149</v>
      </c>
      <c r="J1777" s="31" t="n">
        <v>5</v>
      </c>
      <c r="K1777" s="31" t="s">
        <v>150</v>
      </c>
      <c r="L1777" s="45" t="n">
        <f aca="false">DATE(YEAR(B1777),MONTH(B1777),1)</f>
        <v>46204</v>
      </c>
      <c r="M1777" s="31" t="n">
        <f aca="false">WEEKDAY(B1777,2)</f>
        <v>6</v>
      </c>
      <c r="N1777" s="31" t="str">
        <f aca="false">IF(G1777&lt;=INDEX(Assumptions!$B$15:$B$18,MATCH(E1777,Assumptions!$A$15:$A$18,0)),"Yes","No")</f>
        <v>Yes</v>
      </c>
      <c r="O1777" s="31" t="str">
        <f aca="false">IF(H1777="","Open",IF(H1777&lt;=INDEX(Assumptions!$C$15:$C$18,MATCH(E1777,Assumptions!$A$15:$A$18,0)),"Yes","No"))</f>
        <v>Yes</v>
      </c>
    </row>
    <row r="1778" customFormat="false" ht="15" hidden="false" customHeight="false" outlineLevel="0" collapsed="false">
      <c r="A1778" s="31" t="s">
        <v>1928</v>
      </c>
      <c r="B1778" s="44" t="n">
        <v>46228</v>
      </c>
      <c r="C1778" s="31" t="s">
        <v>60</v>
      </c>
      <c r="D1778" s="31" t="s">
        <v>67</v>
      </c>
      <c r="E1778" s="31" t="s">
        <v>52</v>
      </c>
      <c r="F1778" s="31" t="s">
        <v>133</v>
      </c>
      <c r="G1778" s="31" t="n">
        <v>1</v>
      </c>
      <c r="H1778" s="41" t="n">
        <v>12.3</v>
      </c>
      <c r="I1778" s="31" t="s">
        <v>149</v>
      </c>
      <c r="J1778" s="31" t="n">
        <v>5</v>
      </c>
      <c r="K1778" s="31" t="s">
        <v>150</v>
      </c>
      <c r="L1778" s="45" t="n">
        <f aca="false">DATE(YEAR(B1778),MONTH(B1778),1)</f>
        <v>46204</v>
      </c>
      <c r="M1778" s="31" t="n">
        <f aca="false">WEEKDAY(B1778,2)</f>
        <v>6</v>
      </c>
      <c r="N1778" s="31" t="str">
        <f aca="false">IF(G1778&lt;=INDEX(Assumptions!$B$15:$B$18,MATCH(E1778,Assumptions!$A$15:$A$18,0)),"Yes","No")</f>
        <v>Yes</v>
      </c>
      <c r="O1778" s="31" t="str">
        <f aca="false">IF(H1778="","Open",IF(H1778&lt;=INDEX(Assumptions!$C$15:$C$18,MATCH(E1778,Assumptions!$A$15:$A$18,0)),"Yes","No"))</f>
        <v>Yes</v>
      </c>
    </row>
    <row r="1779" customFormat="false" ht="15" hidden="false" customHeight="false" outlineLevel="0" collapsed="false">
      <c r="A1779" s="31" t="s">
        <v>1929</v>
      </c>
      <c r="B1779" s="44" t="n">
        <v>46228</v>
      </c>
      <c r="C1779" s="31" t="s">
        <v>58</v>
      </c>
      <c r="D1779" s="31" t="s">
        <v>68</v>
      </c>
      <c r="E1779" s="31" t="s">
        <v>50</v>
      </c>
      <c r="F1779" s="31" t="s">
        <v>127</v>
      </c>
      <c r="G1779" s="31" t="n">
        <v>4</v>
      </c>
      <c r="H1779" s="41" t="n">
        <v>4.4</v>
      </c>
      <c r="I1779" s="31" t="s">
        <v>149</v>
      </c>
      <c r="J1779" s="31" t="n">
        <v>5</v>
      </c>
      <c r="K1779" s="31" t="s">
        <v>150</v>
      </c>
      <c r="L1779" s="45" t="n">
        <f aca="false">DATE(YEAR(B1779),MONTH(B1779),1)</f>
        <v>46204</v>
      </c>
      <c r="M1779" s="31" t="n">
        <f aca="false">WEEKDAY(B1779,2)</f>
        <v>6</v>
      </c>
      <c r="N1779" s="31" t="str">
        <f aca="false">IF(G1779&lt;=INDEX(Assumptions!$B$15:$B$18,MATCH(E1779,Assumptions!$A$15:$A$18,0)),"Yes","No")</f>
        <v>Yes</v>
      </c>
      <c r="O1779" s="31" t="str">
        <f aca="false">IF(H1779="","Open",IF(H1779&lt;=INDEX(Assumptions!$C$15:$C$18,MATCH(E1779,Assumptions!$A$15:$A$18,0)),"Yes","No"))</f>
        <v>Yes</v>
      </c>
    </row>
    <row r="1780" customFormat="false" ht="15" hidden="false" customHeight="false" outlineLevel="0" collapsed="false">
      <c r="A1780" s="31" t="s">
        <v>1930</v>
      </c>
      <c r="B1780" s="44" t="n">
        <v>46228</v>
      </c>
      <c r="C1780" s="31" t="s">
        <v>58</v>
      </c>
      <c r="D1780" s="31" t="s">
        <v>67</v>
      </c>
      <c r="E1780" s="31" t="s">
        <v>51</v>
      </c>
      <c r="F1780" s="31" t="s">
        <v>133</v>
      </c>
      <c r="G1780" s="31" t="n">
        <v>18</v>
      </c>
      <c r="H1780" s="41" t="n">
        <v>6.9</v>
      </c>
      <c r="I1780" s="31" t="s">
        <v>149</v>
      </c>
      <c r="J1780" s="31" t="n">
        <v>4</v>
      </c>
      <c r="K1780" s="31" t="s">
        <v>150</v>
      </c>
      <c r="L1780" s="45" t="n">
        <f aca="false">DATE(YEAR(B1780),MONTH(B1780),1)</f>
        <v>46204</v>
      </c>
      <c r="M1780" s="31" t="n">
        <f aca="false">WEEKDAY(B1780,2)</f>
        <v>6</v>
      </c>
      <c r="N1780" s="31" t="str">
        <f aca="false">IF(G1780&lt;=INDEX(Assumptions!$B$15:$B$18,MATCH(E1780,Assumptions!$A$15:$A$18,0)),"Yes","No")</f>
        <v>Yes</v>
      </c>
      <c r="O1780" s="31" t="str">
        <f aca="false">IF(H1780="","Open",IF(H1780&lt;=INDEX(Assumptions!$C$15:$C$18,MATCH(E1780,Assumptions!$A$15:$A$18,0)),"Yes","No"))</f>
        <v>Yes</v>
      </c>
    </row>
    <row r="1781" customFormat="false" ht="15" hidden="false" customHeight="false" outlineLevel="0" collapsed="false">
      <c r="A1781" s="31" t="s">
        <v>1931</v>
      </c>
      <c r="B1781" s="44" t="n">
        <v>46228</v>
      </c>
      <c r="C1781" s="31" t="s">
        <v>59</v>
      </c>
      <c r="D1781" s="31" t="s">
        <v>68</v>
      </c>
      <c r="E1781" s="31" t="s">
        <v>50</v>
      </c>
      <c r="F1781" s="31" t="s">
        <v>129</v>
      </c>
      <c r="G1781" s="31" t="n">
        <v>33</v>
      </c>
      <c r="H1781" s="41" t="n">
        <v>3</v>
      </c>
      <c r="I1781" s="31" t="s">
        <v>149</v>
      </c>
      <c r="J1781" s="31" t="n">
        <v>4</v>
      </c>
      <c r="K1781" s="31" t="s">
        <v>153</v>
      </c>
      <c r="L1781" s="45" t="n">
        <f aca="false">DATE(YEAR(B1781),MONTH(B1781),1)</f>
        <v>46204</v>
      </c>
      <c r="M1781" s="31" t="n">
        <f aca="false">WEEKDAY(B1781,2)</f>
        <v>6</v>
      </c>
      <c r="N1781" s="31" t="str">
        <f aca="false">IF(G1781&lt;=INDEX(Assumptions!$B$15:$B$18,MATCH(E1781,Assumptions!$A$15:$A$18,0)),"Yes","No")</f>
        <v>No</v>
      </c>
      <c r="O1781" s="31" t="str">
        <f aca="false">IF(H1781="","Open",IF(H1781&lt;=INDEX(Assumptions!$C$15:$C$18,MATCH(E1781,Assumptions!$A$15:$A$18,0)),"Yes","No"))</f>
        <v>Yes</v>
      </c>
    </row>
    <row r="1782" customFormat="false" ht="15" hidden="false" customHeight="false" outlineLevel="0" collapsed="false">
      <c r="A1782" s="31" t="s">
        <v>1932</v>
      </c>
      <c r="B1782" s="44" t="n">
        <v>46228</v>
      </c>
      <c r="C1782" s="31" t="s">
        <v>58</v>
      </c>
      <c r="D1782" s="31" t="s">
        <v>67</v>
      </c>
      <c r="E1782" s="31" t="s">
        <v>52</v>
      </c>
      <c r="F1782" s="31" t="s">
        <v>117</v>
      </c>
      <c r="G1782" s="31" t="n">
        <v>47</v>
      </c>
      <c r="H1782" s="41" t="n">
        <v>8.3</v>
      </c>
      <c r="I1782" s="31" t="s">
        <v>149</v>
      </c>
      <c r="J1782" s="31"/>
      <c r="K1782" s="31" t="s">
        <v>150</v>
      </c>
      <c r="L1782" s="45" t="n">
        <f aca="false">DATE(YEAR(B1782),MONTH(B1782),1)</f>
        <v>46204</v>
      </c>
      <c r="M1782" s="31" t="n">
        <f aca="false">WEEKDAY(B1782,2)</f>
        <v>6</v>
      </c>
      <c r="N1782" s="31" t="str">
        <f aca="false">IF(G1782&lt;=INDEX(Assumptions!$B$15:$B$18,MATCH(E1782,Assumptions!$A$15:$A$18,0)),"Yes","No")</f>
        <v>Yes</v>
      </c>
      <c r="O1782" s="31" t="str">
        <f aca="false">IF(H1782="","Open",IF(H1782&lt;=INDEX(Assumptions!$C$15:$C$18,MATCH(E1782,Assumptions!$A$15:$A$18,0)),"Yes","No"))</f>
        <v>Yes</v>
      </c>
    </row>
    <row r="1783" customFormat="false" ht="15" hidden="false" customHeight="false" outlineLevel="0" collapsed="false">
      <c r="A1783" s="31" t="s">
        <v>1933</v>
      </c>
      <c r="B1783" s="44" t="n">
        <v>46228</v>
      </c>
      <c r="C1783" s="31" t="s">
        <v>60</v>
      </c>
      <c r="D1783" s="31" t="s">
        <v>68</v>
      </c>
      <c r="E1783" s="31" t="s">
        <v>51</v>
      </c>
      <c r="F1783" s="31" t="s">
        <v>128</v>
      </c>
      <c r="G1783" s="31" t="n">
        <v>12</v>
      </c>
      <c r="H1783" s="41" t="n">
        <v>5.2</v>
      </c>
      <c r="I1783" s="31" t="s">
        <v>64</v>
      </c>
      <c r="J1783" s="31" t="n">
        <v>4</v>
      </c>
      <c r="K1783" s="31" t="s">
        <v>150</v>
      </c>
      <c r="L1783" s="45" t="n">
        <f aca="false">DATE(YEAR(B1783),MONTH(B1783),1)</f>
        <v>46204</v>
      </c>
      <c r="M1783" s="31" t="n">
        <f aca="false">WEEKDAY(B1783,2)</f>
        <v>6</v>
      </c>
      <c r="N1783" s="31" t="str">
        <f aca="false">IF(G1783&lt;=INDEX(Assumptions!$B$15:$B$18,MATCH(E1783,Assumptions!$A$15:$A$18,0)),"Yes","No")</f>
        <v>Yes</v>
      </c>
      <c r="O1783" s="31" t="str">
        <f aca="false">IF(H1783="","Open",IF(H1783&lt;=INDEX(Assumptions!$C$15:$C$18,MATCH(E1783,Assumptions!$A$15:$A$18,0)),"Yes","No"))</f>
        <v>Yes</v>
      </c>
    </row>
    <row r="1784" customFormat="false" ht="15" hidden="false" customHeight="false" outlineLevel="0" collapsed="false">
      <c r="A1784" s="31" t="s">
        <v>1934</v>
      </c>
      <c r="B1784" s="44" t="n">
        <v>46228</v>
      </c>
      <c r="C1784" s="31" t="s">
        <v>60</v>
      </c>
      <c r="D1784" s="31" t="s">
        <v>66</v>
      </c>
      <c r="E1784" s="31" t="s">
        <v>52</v>
      </c>
      <c r="F1784" s="31" t="s">
        <v>128</v>
      </c>
      <c r="G1784" s="31" t="n">
        <v>10</v>
      </c>
      <c r="H1784" s="41" t="n">
        <v>7.5</v>
      </c>
      <c r="I1784" s="31" t="s">
        <v>149</v>
      </c>
      <c r="J1784" s="31" t="n">
        <v>3</v>
      </c>
      <c r="K1784" s="31" t="s">
        <v>150</v>
      </c>
      <c r="L1784" s="45" t="n">
        <f aca="false">DATE(YEAR(B1784),MONTH(B1784),1)</f>
        <v>46204</v>
      </c>
      <c r="M1784" s="31" t="n">
        <f aca="false">WEEKDAY(B1784,2)</f>
        <v>6</v>
      </c>
      <c r="N1784" s="31" t="str">
        <f aca="false">IF(G1784&lt;=INDEX(Assumptions!$B$15:$B$18,MATCH(E1784,Assumptions!$A$15:$A$18,0)),"Yes","No")</f>
        <v>Yes</v>
      </c>
      <c r="O1784" s="31" t="str">
        <f aca="false">IF(H1784="","Open",IF(H1784&lt;=INDEX(Assumptions!$C$15:$C$18,MATCH(E1784,Assumptions!$A$15:$A$18,0)),"Yes","No"))</f>
        <v>Yes</v>
      </c>
    </row>
    <row r="1785" customFormat="false" ht="15" hidden="false" customHeight="false" outlineLevel="0" collapsed="false">
      <c r="A1785" s="31" t="s">
        <v>1935</v>
      </c>
      <c r="B1785" s="44" t="n">
        <v>46228</v>
      </c>
      <c r="C1785" s="31" t="s">
        <v>57</v>
      </c>
      <c r="D1785" s="31" t="s">
        <v>65</v>
      </c>
      <c r="E1785" s="31" t="s">
        <v>52</v>
      </c>
      <c r="F1785" s="31" t="s">
        <v>128</v>
      </c>
      <c r="G1785" s="31" t="n">
        <v>8</v>
      </c>
      <c r="H1785" s="41" t="n">
        <v>12.3</v>
      </c>
      <c r="I1785" s="31" t="s">
        <v>149</v>
      </c>
      <c r="J1785" s="31"/>
      <c r="K1785" s="31" t="s">
        <v>153</v>
      </c>
      <c r="L1785" s="45" t="n">
        <f aca="false">DATE(YEAR(B1785),MONTH(B1785),1)</f>
        <v>46204</v>
      </c>
      <c r="M1785" s="31" t="n">
        <f aca="false">WEEKDAY(B1785,2)</f>
        <v>6</v>
      </c>
      <c r="N1785" s="31" t="str">
        <f aca="false">IF(G1785&lt;=INDEX(Assumptions!$B$15:$B$18,MATCH(E1785,Assumptions!$A$15:$A$18,0)),"Yes","No")</f>
        <v>Yes</v>
      </c>
      <c r="O1785" s="31" t="str">
        <f aca="false">IF(H1785="","Open",IF(H1785&lt;=INDEX(Assumptions!$C$15:$C$18,MATCH(E1785,Assumptions!$A$15:$A$18,0)),"Yes","No"))</f>
        <v>Yes</v>
      </c>
    </row>
    <row r="1786" customFormat="false" ht="15" hidden="false" customHeight="false" outlineLevel="0" collapsed="false">
      <c r="A1786" s="31" t="s">
        <v>1936</v>
      </c>
      <c r="B1786" s="44" t="n">
        <v>46228</v>
      </c>
      <c r="C1786" s="31" t="s">
        <v>59</v>
      </c>
      <c r="D1786" s="31" t="s">
        <v>66</v>
      </c>
      <c r="E1786" s="31" t="s">
        <v>51</v>
      </c>
      <c r="F1786" s="31" t="s">
        <v>136</v>
      </c>
      <c r="G1786" s="31" t="n">
        <v>52</v>
      </c>
      <c r="H1786" s="41" t="n">
        <v>7.6</v>
      </c>
      <c r="I1786" s="31" t="s">
        <v>149</v>
      </c>
      <c r="J1786" s="31" t="n">
        <v>4</v>
      </c>
      <c r="K1786" s="31" t="s">
        <v>150</v>
      </c>
      <c r="L1786" s="45" t="n">
        <f aca="false">DATE(YEAR(B1786),MONTH(B1786),1)</f>
        <v>46204</v>
      </c>
      <c r="M1786" s="31" t="n">
        <f aca="false">WEEKDAY(B1786,2)</f>
        <v>6</v>
      </c>
      <c r="N1786" s="31" t="str">
        <f aca="false">IF(G1786&lt;=INDEX(Assumptions!$B$15:$B$18,MATCH(E1786,Assumptions!$A$15:$A$18,0)),"Yes","No")</f>
        <v>Yes</v>
      </c>
      <c r="O1786" s="31" t="str">
        <f aca="false">IF(H1786="","Open",IF(H1786&lt;=INDEX(Assumptions!$C$15:$C$18,MATCH(E1786,Assumptions!$A$15:$A$18,0)),"Yes","No"))</f>
        <v>Yes</v>
      </c>
    </row>
    <row r="1787" customFormat="false" ht="15" hidden="false" customHeight="false" outlineLevel="0" collapsed="false">
      <c r="A1787" s="31" t="s">
        <v>1937</v>
      </c>
      <c r="B1787" s="44" t="n">
        <v>46228</v>
      </c>
      <c r="C1787" s="31" t="s">
        <v>58</v>
      </c>
      <c r="D1787" s="31" t="s">
        <v>65</v>
      </c>
      <c r="E1787" s="31" t="s">
        <v>51</v>
      </c>
      <c r="F1787" s="31" t="s">
        <v>121</v>
      </c>
      <c r="G1787" s="31" t="n">
        <v>15</v>
      </c>
      <c r="H1787" s="41" t="n">
        <v>9.8</v>
      </c>
      <c r="I1787" s="31" t="s">
        <v>149</v>
      </c>
      <c r="J1787" s="31" t="n">
        <v>3</v>
      </c>
      <c r="K1787" s="31" t="s">
        <v>150</v>
      </c>
      <c r="L1787" s="45" t="n">
        <f aca="false">DATE(YEAR(B1787),MONTH(B1787),1)</f>
        <v>46204</v>
      </c>
      <c r="M1787" s="31" t="n">
        <f aca="false">WEEKDAY(B1787,2)</f>
        <v>6</v>
      </c>
      <c r="N1787" s="31" t="str">
        <f aca="false">IF(G1787&lt;=INDEX(Assumptions!$B$15:$B$18,MATCH(E1787,Assumptions!$A$15:$A$18,0)),"Yes","No")</f>
        <v>Yes</v>
      </c>
      <c r="O1787" s="31" t="str">
        <f aca="false">IF(H1787="","Open",IF(H1787&lt;=INDEX(Assumptions!$C$15:$C$18,MATCH(E1787,Assumptions!$A$15:$A$18,0)),"Yes","No"))</f>
        <v>Yes</v>
      </c>
    </row>
    <row r="1788" customFormat="false" ht="15" hidden="false" customHeight="false" outlineLevel="0" collapsed="false">
      <c r="A1788" s="31" t="s">
        <v>1938</v>
      </c>
      <c r="B1788" s="44" t="n">
        <v>46228</v>
      </c>
      <c r="C1788" s="31" t="s">
        <v>57</v>
      </c>
      <c r="D1788" s="31" t="s">
        <v>68</v>
      </c>
      <c r="E1788" s="31" t="s">
        <v>52</v>
      </c>
      <c r="F1788" s="31" t="s">
        <v>122</v>
      </c>
      <c r="G1788" s="31" t="n">
        <v>5</v>
      </c>
      <c r="H1788" s="41" t="n">
        <v>12.1</v>
      </c>
      <c r="I1788" s="31" t="s">
        <v>149</v>
      </c>
      <c r="J1788" s="31" t="n">
        <v>4</v>
      </c>
      <c r="K1788" s="31" t="s">
        <v>150</v>
      </c>
      <c r="L1788" s="45" t="n">
        <f aca="false">DATE(YEAR(B1788),MONTH(B1788),1)</f>
        <v>46204</v>
      </c>
      <c r="M1788" s="31" t="n">
        <f aca="false">WEEKDAY(B1788,2)</f>
        <v>6</v>
      </c>
      <c r="N1788" s="31" t="str">
        <f aca="false">IF(G1788&lt;=INDEX(Assumptions!$B$15:$B$18,MATCH(E1788,Assumptions!$A$15:$A$18,0)),"Yes","No")</f>
        <v>Yes</v>
      </c>
      <c r="O1788" s="31" t="str">
        <f aca="false">IF(H1788="","Open",IF(H1788&lt;=INDEX(Assumptions!$C$15:$C$18,MATCH(E1788,Assumptions!$A$15:$A$18,0)),"Yes","No"))</f>
        <v>Yes</v>
      </c>
    </row>
    <row r="1789" customFormat="false" ht="15" hidden="false" customHeight="false" outlineLevel="0" collapsed="false">
      <c r="A1789" s="31" t="s">
        <v>1939</v>
      </c>
      <c r="B1789" s="44" t="n">
        <v>46228</v>
      </c>
      <c r="C1789" s="31" t="s">
        <v>57</v>
      </c>
      <c r="D1789" s="31" t="s">
        <v>67</v>
      </c>
      <c r="E1789" s="31" t="s">
        <v>52</v>
      </c>
      <c r="F1789" s="31" t="s">
        <v>122</v>
      </c>
      <c r="G1789" s="31" t="n">
        <v>2</v>
      </c>
      <c r="H1789" s="41" t="n">
        <v>17.1</v>
      </c>
      <c r="I1789" s="31" t="s">
        <v>149</v>
      </c>
      <c r="J1789" s="31"/>
      <c r="K1789" s="31" t="s">
        <v>150</v>
      </c>
      <c r="L1789" s="45" t="n">
        <f aca="false">DATE(YEAR(B1789),MONTH(B1789),1)</f>
        <v>46204</v>
      </c>
      <c r="M1789" s="31" t="n">
        <f aca="false">WEEKDAY(B1789,2)</f>
        <v>6</v>
      </c>
      <c r="N1789" s="31" t="str">
        <f aca="false">IF(G1789&lt;=INDEX(Assumptions!$B$15:$B$18,MATCH(E1789,Assumptions!$A$15:$A$18,0)),"Yes","No")</f>
        <v>Yes</v>
      </c>
      <c r="O1789" s="31" t="str">
        <f aca="false">IF(H1789="","Open",IF(H1789&lt;=INDEX(Assumptions!$C$15:$C$18,MATCH(E1789,Assumptions!$A$15:$A$18,0)),"Yes","No"))</f>
        <v>Yes</v>
      </c>
    </row>
    <row r="1790" customFormat="false" ht="15" hidden="false" customHeight="false" outlineLevel="0" collapsed="false">
      <c r="A1790" s="31" t="s">
        <v>1940</v>
      </c>
      <c r="B1790" s="44" t="n">
        <v>46228</v>
      </c>
      <c r="C1790" s="31" t="s">
        <v>58</v>
      </c>
      <c r="D1790" s="31" t="s">
        <v>66</v>
      </c>
      <c r="E1790" s="31" t="s">
        <v>52</v>
      </c>
      <c r="F1790" s="31" t="s">
        <v>126</v>
      </c>
      <c r="G1790" s="31" t="n">
        <v>17</v>
      </c>
      <c r="H1790" s="41" t="n">
        <v>2.9</v>
      </c>
      <c r="I1790" s="31" t="s">
        <v>149</v>
      </c>
      <c r="J1790" s="31" t="n">
        <v>5</v>
      </c>
      <c r="K1790" s="31" t="s">
        <v>150</v>
      </c>
      <c r="L1790" s="45" t="n">
        <f aca="false">DATE(YEAR(B1790),MONTH(B1790),1)</f>
        <v>46204</v>
      </c>
      <c r="M1790" s="31" t="n">
        <f aca="false">WEEKDAY(B1790,2)</f>
        <v>6</v>
      </c>
      <c r="N1790" s="31" t="str">
        <f aca="false">IF(G1790&lt;=INDEX(Assumptions!$B$15:$B$18,MATCH(E1790,Assumptions!$A$15:$A$18,0)),"Yes","No")</f>
        <v>Yes</v>
      </c>
      <c r="O1790" s="31" t="str">
        <f aca="false">IF(H1790="","Open",IF(H1790&lt;=INDEX(Assumptions!$C$15:$C$18,MATCH(E1790,Assumptions!$A$15:$A$18,0)),"Yes","No"))</f>
        <v>Yes</v>
      </c>
    </row>
    <row r="1791" customFormat="false" ht="15" hidden="false" customHeight="false" outlineLevel="0" collapsed="false">
      <c r="A1791" s="31" t="s">
        <v>1941</v>
      </c>
      <c r="B1791" s="44" t="n">
        <v>46228</v>
      </c>
      <c r="C1791" s="31" t="s">
        <v>58</v>
      </c>
      <c r="D1791" s="31" t="s">
        <v>68</v>
      </c>
      <c r="E1791" s="31" t="s">
        <v>51</v>
      </c>
      <c r="F1791" s="31" t="s">
        <v>131</v>
      </c>
      <c r="G1791" s="31" t="n">
        <v>4</v>
      </c>
      <c r="H1791" s="41" t="n">
        <v>2.3</v>
      </c>
      <c r="I1791" s="31" t="s">
        <v>149</v>
      </c>
      <c r="J1791" s="31" t="n">
        <v>5</v>
      </c>
      <c r="K1791" s="31" t="s">
        <v>150</v>
      </c>
      <c r="L1791" s="45" t="n">
        <f aca="false">DATE(YEAR(B1791),MONTH(B1791),1)</f>
        <v>46204</v>
      </c>
      <c r="M1791" s="31" t="n">
        <f aca="false">WEEKDAY(B1791,2)</f>
        <v>6</v>
      </c>
      <c r="N1791" s="31" t="str">
        <f aca="false">IF(G1791&lt;=INDEX(Assumptions!$B$15:$B$18,MATCH(E1791,Assumptions!$A$15:$A$18,0)),"Yes","No")</f>
        <v>Yes</v>
      </c>
      <c r="O1791" s="31" t="str">
        <f aca="false">IF(H1791="","Open",IF(H1791&lt;=INDEX(Assumptions!$C$15:$C$18,MATCH(E1791,Assumptions!$A$15:$A$18,0)),"Yes","No"))</f>
        <v>Yes</v>
      </c>
    </row>
    <row r="1792" customFormat="false" ht="15" hidden="false" customHeight="false" outlineLevel="0" collapsed="false">
      <c r="A1792" s="31" t="s">
        <v>1942</v>
      </c>
      <c r="B1792" s="44" t="n">
        <v>46228</v>
      </c>
      <c r="C1792" s="31" t="s">
        <v>57</v>
      </c>
      <c r="D1792" s="31" t="s">
        <v>65</v>
      </c>
      <c r="E1792" s="31" t="s">
        <v>51</v>
      </c>
      <c r="F1792" s="31" t="s">
        <v>131</v>
      </c>
      <c r="G1792" s="31" t="n">
        <v>2</v>
      </c>
      <c r="H1792" s="41" t="n">
        <v>6.3</v>
      </c>
      <c r="I1792" s="31" t="s">
        <v>149</v>
      </c>
      <c r="J1792" s="31"/>
      <c r="K1792" s="31" t="s">
        <v>150</v>
      </c>
      <c r="L1792" s="45" t="n">
        <f aca="false">DATE(YEAR(B1792),MONTH(B1792),1)</f>
        <v>46204</v>
      </c>
      <c r="M1792" s="31" t="n">
        <f aca="false">WEEKDAY(B1792,2)</f>
        <v>6</v>
      </c>
      <c r="N1792" s="31" t="str">
        <f aca="false">IF(G1792&lt;=INDEX(Assumptions!$B$15:$B$18,MATCH(E1792,Assumptions!$A$15:$A$18,0)),"Yes","No")</f>
        <v>Yes</v>
      </c>
      <c r="O1792" s="31" t="str">
        <f aca="false">IF(H1792="","Open",IF(H1792&lt;=INDEX(Assumptions!$C$15:$C$18,MATCH(E1792,Assumptions!$A$15:$A$18,0)),"Yes","No"))</f>
        <v>Yes</v>
      </c>
    </row>
    <row r="1793" customFormat="false" ht="15" hidden="false" customHeight="false" outlineLevel="0" collapsed="false">
      <c r="A1793" s="31" t="s">
        <v>1943</v>
      </c>
      <c r="B1793" s="44" t="n">
        <v>46228</v>
      </c>
      <c r="C1793" s="31" t="s">
        <v>57</v>
      </c>
      <c r="D1793" s="31" t="s">
        <v>67</v>
      </c>
      <c r="E1793" s="31" t="s">
        <v>52</v>
      </c>
      <c r="F1793" s="31" t="s">
        <v>120</v>
      </c>
      <c r="G1793" s="31" t="n">
        <v>8</v>
      </c>
      <c r="H1793" s="41" t="n">
        <v>51.4</v>
      </c>
      <c r="I1793" s="31" t="s">
        <v>149</v>
      </c>
      <c r="J1793" s="31"/>
      <c r="K1793" s="31" t="s">
        <v>150</v>
      </c>
      <c r="L1793" s="45" t="n">
        <f aca="false">DATE(YEAR(B1793),MONTH(B1793),1)</f>
        <v>46204</v>
      </c>
      <c r="M1793" s="31" t="n">
        <f aca="false">WEEKDAY(B1793,2)</f>
        <v>6</v>
      </c>
      <c r="N1793" s="31" t="str">
        <f aca="false">IF(G1793&lt;=INDEX(Assumptions!$B$15:$B$18,MATCH(E1793,Assumptions!$A$15:$A$18,0)),"Yes","No")</f>
        <v>Yes</v>
      </c>
      <c r="O1793" s="31" t="str">
        <f aca="false">IF(H1793="","Open",IF(H1793&lt;=INDEX(Assumptions!$C$15:$C$18,MATCH(E1793,Assumptions!$A$15:$A$18,0)),"Yes","No"))</f>
        <v>Yes</v>
      </c>
    </row>
    <row r="1794" customFormat="false" ht="15" hidden="false" customHeight="false" outlineLevel="0" collapsed="false">
      <c r="A1794" s="31" t="s">
        <v>1944</v>
      </c>
      <c r="B1794" s="44" t="n">
        <v>46228</v>
      </c>
      <c r="C1794" s="31" t="s">
        <v>57</v>
      </c>
      <c r="D1794" s="31" t="s">
        <v>68</v>
      </c>
      <c r="E1794" s="31" t="s">
        <v>50</v>
      </c>
      <c r="F1794" s="31" t="s">
        <v>134</v>
      </c>
      <c r="G1794" s="31" t="n">
        <v>3</v>
      </c>
      <c r="H1794" s="41" t="n">
        <v>1.4</v>
      </c>
      <c r="I1794" s="31" t="s">
        <v>149</v>
      </c>
      <c r="J1794" s="31" t="n">
        <v>4</v>
      </c>
      <c r="K1794" s="31" t="s">
        <v>153</v>
      </c>
      <c r="L1794" s="45" t="n">
        <f aca="false">DATE(YEAR(B1794),MONTH(B1794),1)</f>
        <v>46204</v>
      </c>
      <c r="M1794" s="31" t="n">
        <f aca="false">WEEKDAY(B1794,2)</f>
        <v>6</v>
      </c>
      <c r="N1794" s="31" t="str">
        <f aca="false">IF(G1794&lt;=INDEX(Assumptions!$B$15:$B$18,MATCH(E1794,Assumptions!$A$15:$A$18,0)),"Yes","No")</f>
        <v>Yes</v>
      </c>
      <c r="O1794" s="31" t="str">
        <f aca="false">IF(H1794="","Open",IF(H1794&lt;=INDEX(Assumptions!$C$15:$C$18,MATCH(E1794,Assumptions!$A$15:$A$18,0)),"Yes","No"))</f>
        <v>Yes</v>
      </c>
    </row>
    <row r="1795" customFormat="false" ht="15" hidden="false" customHeight="false" outlineLevel="0" collapsed="false">
      <c r="A1795" s="31" t="s">
        <v>1945</v>
      </c>
      <c r="B1795" s="44" t="n">
        <v>46228</v>
      </c>
      <c r="C1795" s="31" t="s">
        <v>58</v>
      </c>
      <c r="D1795" s="31" t="s">
        <v>67</v>
      </c>
      <c r="E1795" s="31" t="s">
        <v>51</v>
      </c>
      <c r="F1795" s="31" t="s">
        <v>123</v>
      </c>
      <c r="G1795" s="31" t="n">
        <v>4</v>
      </c>
      <c r="H1795" s="41" t="n">
        <v>30.1</v>
      </c>
      <c r="I1795" s="31" t="s">
        <v>149</v>
      </c>
      <c r="J1795" s="31"/>
      <c r="K1795" s="31" t="s">
        <v>150</v>
      </c>
      <c r="L1795" s="45" t="n">
        <f aca="false">DATE(YEAR(B1795),MONTH(B1795),1)</f>
        <v>46204</v>
      </c>
      <c r="M1795" s="31" t="n">
        <f aca="false">WEEKDAY(B1795,2)</f>
        <v>6</v>
      </c>
      <c r="N1795" s="31" t="str">
        <f aca="false">IF(G1795&lt;=INDEX(Assumptions!$B$15:$B$18,MATCH(E1795,Assumptions!$A$15:$A$18,0)),"Yes","No")</f>
        <v>Yes</v>
      </c>
      <c r="O1795" s="31" t="str">
        <f aca="false">IF(H1795="","Open",IF(H1795&lt;=INDEX(Assumptions!$C$15:$C$18,MATCH(E1795,Assumptions!$A$15:$A$18,0)),"Yes","No"))</f>
        <v>No</v>
      </c>
    </row>
    <row r="1796" customFormat="false" ht="15" hidden="false" customHeight="false" outlineLevel="0" collapsed="false">
      <c r="A1796" s="31" t="s">
        <v>1946</v>
      </c>
      <c r="B1796" s="44" t="n">
        <v>46228</v>
      </c>
      <c r="C1796" s="31" t="s">
        <v>58</v>
      </c>
      <c r="D1796" s="31" t="s">
        <v>69</v>
      </c>
      <c r="E1796" s="31" t="s">
        <v>51</v>
      </c>
      <c r="F1796" s="31" t="s">
        <v>127</v>
      </c>
      <c r="G1796" s="31" t="n">
        <v>3</v>
      </c>
      <c r="H1796" s="41" t="n">
        <v>2.3</v>
      </c>
      <c r="I1796" s="31" t="s">
        <v>149</v>
      </c>
      <c r="J1796" s="31" t="n">
        <v>4</v>
      </c>
      <c r="K1796" s="31" t="s">
        <v>150</v>
      </c>
      <c r="L1796" s="45" t="n">
        <f aca="false">DATE(YEAR(B1796),MONTH(B1796),1)</f>
        <v>46204</v>
      </c>
      <c r="M1796" s="31" t="n">
        <f aca="false">WEEKDAY(B1796,2)</f>
        <v>6</v>
      </c>
      <c r="N1796" s="31" t="str">
        <f aca="false">IF(G1796&lt;=INDEX(Assumptions!$B$15:$B$18,MATCH(E1796,Assumptions!$A$15:$A$18,0)),"Yes","No")</f>
        <v>Yes</v>
      </c>
      <c r="O1796" s="31" t="str">
        <f aca="false">IF(H1796="","Open",IF(H1796&lt;=INDEX(Assumptions!$C$15:$C$18,MATCH(E1796,Assumptions!$A$15:$A$18,0)),"Yes","No"))</f>
        <v>Yes</v>
      </c>
    </row>
    <row r="1797" customFormat="false" ht="15" hidden="false" customHeight="false" outlineLevel="0" collapsed="false">
      <c r="A1797" s="31" t="s">
        <v>1947</v>
      </c>
      <c r="B1797" s="44" t="n">
        <v>46228</v>
      </c>
      <c r="C1797" s="31" t="s">
        <v>60</v>
      </c>
      <c r="D1797" s="31" t="s">
        <v>69</v>
      </c>
      <c r="E1797" s="31" t="s">
        <v>52</v>
      </c>
      <c r="F1797" s="31" t="s">
        <v>137</v>
      </c>
      <c r="G1797" s="31" t="n">
        <v>1</v>
      </c>
      <c r="H1797" s="41" t="n">
        <v>44.4</v>
      </c>
      <c r="I1797" s="31" t="s">
        <v>149</v>
      </c>
      <c r="J1797" s="31"/>
      <c r="K1797" s="31" t="s">
        <v>150</v>
      </c>
      <c r="L1797" s="45" t="n">
        <f aca="false">DATE(YEAR(B1797),MONTH(B1797),1)</f>
        <v>46204</v>
      </c>
      <c r="M1797" s="31" t="n">
        <f aca="false">WEEKDAY(B1797,2)</f>
        <v>6</v>
      </c>
      <c r="N1797" s="31" t="str">
        <f aca="false">IF(G1797&lt;=INDEX(Assumptions!$B$15:$B$18,MATCH(E1797,Assumptions!$A$15:$A$18,0)),"Yes","No")</f>
        <v>Yes</v>
      </c>
      <c r="O1797" s="31" t="str">
        <f aca="false">IF(H1797="","Open",IF(H1797&lt;=INDEX(Assumptions!$C$15:$C$18,MATCH(E1797,Assumptions!$A$15:$A$18,0)),"Yes","No"))</f>
        <v>Yes</v>
      </c>
    </row>
    <row r="1798" customFormat="false" ht="15" hidden="false" customHeight="false" outlineLevel="0" collapsed="false">
      <c r="A1798" s="31" t="s">
        <v>1948</v>
      </c>
      <c r="B1798" s="44" t="n">
        <v>46229</v>
      </c>
      <c r="C1798" s="31" t="s">
        <v>58</v>
      </c>
      <c r="D1798" s="31" t="s">
        <v>65</v>
      </c>
      <c r="E1798" s="31" t="s">
        <v>52</v>
      </c>
      <c r="F1798" s="31" t="s">
        <v>130</v>
      </c>
      <c r="G1798" s="31" t="n">
        <v>4</v>
      </c>
      <c r="H1798" s="41" t="n">
        <v>2.5</v>
      </c>
      <c r="I1798" s="31" t="s">
        <v>149</v>
      </c>
      <c r="J1798" s="31" t="n">
        <v>4</v>
      </c>
      <c r="K1798" s="31" t="s">
        <v>150</v>
      </c>
      <c r="L1798" s="45" t="n">
        <f aca="false">DATE(YEAR(B1798),MONTH(B1798),1)</f>
        <v>46204</v>
      </c>
      <c r="M1798" s="31" t="n">
        <f aca="false">WEEKDAY(B1798,2)</f>
        <v>7</v>
      </c>
      <c r="N1798" s="31" t="str">
        <f aca="false">IF(G1798&lt;=INDEX(Assumptions!$B$15:$B$18,MATCH(E1798,Assumptions!$A$15:$A$18,0)),"Yes","No")</f>
        <v>Yes</v>
      </c>
      <c r="O1798" s="31" t="str">
        <f aca="false">IF(H1798="","Open",IF(H1798&lt;=INDEX(Assumptions!$C$15:$C$18,MATCH(E1798,Assumptions!$A$15:$A$18,0)),"Yes","No"))</f>
        <v>Yes</v>
      </c>
    </row>
    <row r="1799" customFormat="false" ht="15" hidden="false" customHeight="false" outlineLevel="0" collapsed="false">
      <c r="A1799" s="31" t="s">
        <v>1949</v>
      </c>
      <c r="B1799" s="44" t="n">
        <v>46229</v>
      </c>
      <c r="C1799" s="31" t="s">
        <v>57</v>
      </c>
      <c r="D1799" s="31" t="s">
        <v>66</v>
      </c>
      <c r="E1799" s="31" t="s">
        <v>52</v>
      </c>
      <c r="F1799" s="31" t="s">
        <v>123</v>
      </c>
      <c r="G1799" s="31" t="n">
        <v>7</v>
      </c>
      <c r="H1799" s="41" t="n">
        <v>17.8</v>
      </c>
      <c r="I1799" s="31" t="s">
        <v>149</v>
      </c>
      <c r="J1799" s="31" t="n">
        <v>4</v>
      </c>
      <c r="K1799" s="31" t="s">
        <v>150</v>
      </c>
      <c r="L1799" s="45" t="n">
        <f aca="false">DATE(YEAR(B1799),MONTH(B1799),1)</f>
        <v>46204</v>
      </c>
      <c r="M1799" s="31" t="n">
        <f aca="false">WEEKDAY(B1799,2)</f>
        <v>7</v>
      </c>
      <c r="N1799" s="31" t="str">
        <f aca="false">IF(G1799&lt;=INDEX(Assumptions!$B$15:$B$18,MATCH(E1799,Assumptions!$A$15:$A$18,0)),"Yes","No")</f>
        <v>Yes</v>
      </c>
      <c r="O1799" s="31" t="str">
        <f aca="false">IF(H1799="","Open",IF(H1799&lt;=INDEX(Assumptions!$C$15:$C$18,MATCH(E1799,Assumptions!$A$15:$A$18,0)),"Yes","No"))</f>
        <v>Yes</v>
      </c>
    </row>
    <row r="1800" customFormat="false" ht="15" hidden="false" customHeight="false" outlineLevel="0" collapsed="false">
      <c r="A1800" s="31" t="s">
        <v>1950</v>
      </c>
      <c r="B1800" s="44" t="n">
        <v>46229</v>
      </c>
      <c r="C1800" s="31" t="s">
        <v>57</v>
      </c>
      <c r="D1800" s="31" t="s">
        <v>67</v>
      </c>
      <c r="E1800" s="31" t="s">
        <v>51</v>
      </c>
      <c r="F1800" s="31" t="s">
        <v>124</v>
      </c>
      <c r="G1800" s="31" t="n">
        <v>7</v>
      </c>
      <c r="H1800" s="41" t="n">
        <v>12.6</v>
      </c>
      <c r="I1800" s="31" t="s">
        <v>149</v>
      </c>
      <c r="J1800" s="31" t="n">
        <v>5</v>
      </c>
      <c r="K1800" s="31" t="s">
        <v>150</v>
      </c>
      <c r="L1800" s="45" t="n">
        <f aca="false">DATE(YEAR(B1800),MONTH(B1800),1)</f>
        <v>46204</v>
      </c>
      <c r="M1800" s="31" t="n">
        <f aca="false">WEEKDAY(B1800,2)</f>
        <v>7</v>
      </c>
      <c r="N1800" s="31" t="str">
        <f aca="false">IF(G1800&lt;=INDEX(Assumptions!$B$15:$B$18,MATCH(E1800,Assumptions!$A$15:$A$18,0)),"Yes","No")</f>
        <v>Yes</v>
      </c>
      <c r="O1800" s="31" t="str">
        <f aca="false">IF(H1800="","Open",IF(H1800&lt;=INDEX(Assumptions!$C$15:$C$18,MATCH(E1800,Assumptions!$A$15:$A$18,0)),"Yes","No"))</f>
        <v>Yes</v>
      </c>
    </row>
    <row r="1801" customFormat="false" ht="15" hidden="false" customHeight="false" outlineLevel="0" collapsed="false">
      <c r="A1801" s="31" t="s">
        <v>1951</v>
      </c>
      <c r="B1801" s="44" t="n">
        <v>46229</v>
      </c>
      <c r="C1801" s="31" t="s">
        <v>59</v>
      </c>
      <c r="D1801" s="31" t="s">
        <v>67</v>
      </c>
      <c r="E1801" s="31" t="s">
        <v>51</v>
      </c>
      <c r="F1801" s="31" t="s">
        <v>127</v>
      </c>
      <c r="G1801" s="31" t="n">
        <v>28</v>
      </c>
      <c r="H1801" s="41" t="n">
        <v>13</v>
      </c>
      <c r="I1801" s="31" t="s">
        <v>64</v>
      </c>
      <c r="J1801" s="31"/>
      <c r="K1801" s="31" t="s">
        <v>150</v>
      </c>
      <c r="L1801" s="45" t="n">
        <f aca="false">DATE(YEAR(B1801),MONTH(B1801),1)</f>
        <v>46204</v>
      </c>
      <c r="M1801" s="31" t="n">
        <f aca="false">WEEKDAY(B1801,2)</f>
        <v>7</v>
      </c>
      <c r="N1801" s="31" t="str">
        <f aca="false">IF(G1801&lt;=INDEX(Assumptions!$B$15:$B$18,MATCH(E1801,Assumptions!$A$15:$A$18,0)),"Yes","No")</f>
        <v>Yes</v>
      </c>
      <c r="O1801" s="31" t="str">
        <f aca="false">IF(H1801="","Open",IF(H1801&lt;=INDEX(Assumptions!$C$15:$C$18,MATCH(E1801,Assumptions!$A$15:$A$18,0)),"Yes","No"))</f>
        <v>Yes</v>
      </c>
    </row>
    <row r="1802" customFormat="false" ht="15" hidden="false" customHeight="false" outlineLevel="0" collapsed="false">
      <c r="A1802" s="31" t="s">
        <v>1952</v>
      </c>
      <c r="B1802" s="44" t="n">
        <v>46229</v>
      </c>
      <c r="C1802" s="31" t="s">
        <v>60</v>
      </c>
      <c r="D1802" s="31" t="s">
        <v>67</v>
      </c>
      <c r="E1802" s="31" t="s">
        <v>51</v>
      </c>
      <c r="F1802" s="31" t="s">
        <v>131</v>
      </c>
      <c r="G1802" s="31" t="n">
        <v>3</v>
      </c>
      <c r="H1802" s="41" t="n">
        <v>15.8</v>
      </c>
      <c r="I1802" s="31" t="s">
        <v>149</v>
      </c>
      <c r="J1802" s="31" t="n">
        <v>5</v>
      </c>
      <c r="K1802" s="31" t="s">
        <v>150</v>
      </c>
      <c r="L1802" s="45" t="n">
        <f aca="false">DATE(YEAR(B1802),MONTH(B1802),1)</f>
        <v>46204</v>
      </c>
      <c r="M1802" s="31" t="n">
        <f aca="false">WEEKDAY(B1802,2)</f>
        <v>7</v>
      </c>
      <c r="N1802" s="31" t="str">
        <f aca="false">IF(G1802&lt;=INDEX(Assumptions!$B$15:$B$18,MATCH(E1802,Assumptions!$A$15:$A$18,0)),"Yes","No")</f>
        <v>Yes</v>
      </c>
      <c r="O1802" s="31" t="str">
        <f aca="false">IF(H1802="","Open",IF(H1802&lt;=INDEX(Assumptions!$C$15:$C$18,MATCH(E1802,Assumptions!$A$15:$A$18,0)),"Yes","No"))</f>
        <v>Yes</v>
      </c>
    </row>
    <row r="1803" customFormat="false" ht="15" hidden="false" customHeight="false" outlineLevel="0" collapsed="false">
      <c r="A1803" s="31" t="s">
        <v>1953</v>
      </c>
      <c r="B1803" s="44" t="n">
        <v>46229</v>
      </c>
      <c r="C1803" s="31" t="s">
        <v>59</v>
      </c>
      <c r="D1803" s="31" t="s">
        <v>66</v>
      </c>
      <c r="E1803" s="31" t="s">
        <v>51</v>
      </c>
      <c r="F1803" s="31" t="s">
        <v>131</v>
      </c>
      <c r="G1803" s="31" t="n">
        <v>73</v>
      </c>
      <c r="H1803" s="41" t="n">
        <v>3.4</v>
      </c>
      <c r="I1803" s="31" t="s">
        <v>149</v>
      </c>
      <c r="J1803" s="31" t="n">
        <v>4</v>
      </c>
      <c r="K1803" s="31" t="s">
        <v>150</v>
      </c>
      <c r="L1803" s="45" t="n">
        <f aca="false">DATE(YEAR(B1803),MONTH(B1803),1)</f>
        <v>46204</v>
      </c>
      <c r="M1803" s="31" t="n">
        <f aca="false">WEEKDAY(B1803,2)</f>
        <v>7</v>
      </c>
      <c r="N1803" s="31" t="str">
        <f aca="false">IF(G1803&lt;=INDEX(Assumptions!$B$15:$B$18,MATCH(E1803,Assumptions!$A$15:$A$18,0)),"Yes","No")</f>
        <v>No</v>
      </c>
      <c r="O1803" s="31" t="str">
        <f aca="false">IF(H1803="","Open",IF(H1803&lt;=INDEX(Assumptions!$C$15:$C$18,MATCH(E1803,Assumptions!$A$15:$A$18,0)),"Yes","No"))</f>
        <v>Yes</v>
      </c>
    </row>
    <row r="1804" customFormat="false" ht="15" hidden="false" customHeight="false" outlineLevel="0" collapsed="false">
      <c r="A1804" s="31" t="s">
        <v>1954</v>
      </c>
      <c r="B1804" s="44" t="n">
        <v>46229</v>
      </c>
      <c r="C1804" s="31" t="s">
        <v>59</v>
      </c>
      <c r="D1804" s="31" t="s">
        <v>65</v>
      </c>
      <c r="E1804" s="31" t="s">
        <v>50</v>
      </c>
      <c r="F1804" s="31" t="s">
        <v>128</v>
      </c>
      <c r="G1804" s="31" t="n">
        <v>46</v>
      </c>
      <c r="H1804" s="41" t="n">
        <v>4.1</v>
      </c>
      <c r="I1804" s="31" t="s">
        <v>149</v>
      </c>
      <c r="J1804" s="31" t="n">
        <v>3</v>
      </c>
      <c r="K1804" s="31" t="s">
        <v>150</v>
      </c>
      <c r="L1804" s="45" t="n">
        <f aca="false">DATE(YEAR(B1804),MONTH(B1804),1)</f>
        <v>46204</v>
      </c>
      <c r="M1804" s="31" t="n">
        <f aca="false">WEEKDAY(B1804,2)</f>
        <v>7</v>
      </c>
      <c r="N1804" s="31" t="str">
        <f aca="false">IF(G1804&lt;=INDEX(Assumptions!$B$15:$B$18,MATCH(E1804,Assumptions!$A$15:$A$18,0)),"Yes","No")</f>
        <v>No</v>
      </c>
      <c r="O1804" s="31" t="str">
        <f aca="false">IF(H1804="","Open",IF(H1804&lt;=INDEX(Assumptions!$C$15:$C$18,MATCH(E1804,Assumptions!$A$15:$A$18,0)),"Yes","No"))</f>
        <v>Yes</v>
      </c>
    </row>
    <row r="1805" customFormat="false" ht="15" hidden="false" customHeight="false" outlineLevel="0" collapsed="false">
      <c r="A1805" s="31" t="s">
        <v>1955</v>
      </c>
      <c r="B1805" s="44" t="n">
        <v>46229</v>
      </c>
      <c r="C1805" s="31" t="s">
        <v>57</v>
      </c>
      <c r="D1805" s="31" t="s">
        <v>65</v>
      </c>
      <c r="E1805" s="31" t="s">
        <v>51</v>
      </c>
      <c r="F1805" s="31" t="s">
        <v>130</v>
      </c>
      <c r="G1805" s="31" t="n">
        <v>1</v>
      </c>
      <c r="H1805" s="41" t="n">
        <v>11.9</v>
      </c>
      <c r="I1805" s="31" t="s">
        <v>149</v>
      </c>
      <c r="J1805" s="31"/>
      <c r="K1805" s="31" t="s">
        <v>150</v>
      </c>
      <c r="L1805" s="45" t="n">
        <f aca="false">DATE(YEAR(B1805),MONTH(B1805),1)</f>
        <v>46204</v>
      </c>
      <c r="M1805" s="31" t="n">
        <f aca="false">WEEKDAY(B1805,2)</f>
        <v>7</v>
      </c>
      <c r="N1805" s="31" t="str">
        <f aca="false">IF(G1805&lt;=INDEX(Assumptions!$B$15:$B$18,MATCH(E1805,Assumptions!$A$15:$A$18,0)),"Yes","No")</f>
        <v>Yes</v>
      </c>
      <c r="O1805" s="31" t="str">
        <f aca="false">IF(H1805="","Open",IF(H1805&lt;=INDEX(Assumptions!$C$15:$C$18,MATCH(E1805,Assumptions!$A$15:$A$18,0)),"Yes","No"))</f>
        <v>Yes</v>
      </c>
    </row>
    <row r="1806" customFormat="false" ht="15" hidden="false" customHeight="false" outlineLevel="0" collapsed="false">
      <c r="A1806" s="31" t="s">
        <v>1956</v>
      </c>
      <c r="B1806" s="44" t="n">
        <v>46229</v>
      </c>
      <c r="C1806" s="31" t="s">
        <v>59</v>
      </c>
      <c r="D1806" s="31" t="s">
        <v>65</v>
      </c>
      <c r="E1806" s="31" t="s">
        <v>52</v>
      </c>
      <c r="F1806" s="31" t="s">
        <v>117</v>
      </c>
      <c r="G1806" s="31" t="n">
        <v>125</v>
      </c>
      <c r="H1806" s="41" t="n">
        <v>4.4</v>
      </c>
      <c r="I1806" s="31" t="s">
        <v>149</v>
      </c>
      <c r="J1806" s="31"/>
      <c r="K1806" s="31" t="s">
        <v>150</v>
      </c>
      <c r="L1806" s="45" t="n">
        <f aca="false">DATE(YEAR(B1806),MONTH(B1806),1)</f>
        <v>46204</v>
      </c>
      <c r="M1806" s="31" t="n">
        <f aca="false">WEEKDAY(B1806,2)</f>
        <v>7</v>
      </c>
      <c r="N1806" s="31" t="str">
        <f aca="false">IF(G1806&lt;=INDEX(Assumptions!$B$15:$B$18,MATCH(E1806,Assumptions!$A$15:$A$18,0)),"Yes","No")</f>
        <v>Yes</v>
      </c>
      <c r="O1806" s="31" t="str">
        <f aca="false">IF(H1806="","Open",IF(H1806&lt;=INDEX(Assumptions!$C$15:$C$18,MATCH(E1806,Assumptions!$A$15:$A$18,0)),"Yes","No"))</f>
        <v>Yes</v>
      </c>
    </row>
    <row r="1807" customFormat="false" ht="15" hidden="false" customHeight="false" outlineLevel="0" collapsed="false">
      <c r="A1807" s="31" t="s">
        <v>1957</v>
      </c>
      <c r="B1807" s="44" t="n">
        <v>46229</v>
      </c>
      <c r="C1807" s="31" t="s">
        <v>57</v>
      </c>
      <c r="D1807" s="31" t="s">
        <v>67</v>
      </c>
      <c r="E1807" s="31" t="s">
        <v>50</v>
      </c>
      <c r="F1807" s="31" t="s">
        <v>117</v>
      </c>
      <c r="G1807" s="31" t="n">
        <v>2</v>
      </c>
      <c r="H1807" s="41" t="n">
        <v>6.2</v>
      </c>
      <c r="I1807" s="31" t="s">
        <v>149</v>
      </c>
      <c r="J1807" s="31"/>
      <c r="K1807" s="31" t="s">
        <v>150</v>
      </c>
      <c r="L1807" s="45" t="n">
        <f aca="false">DATE(YEAR(B1807),MONTH(B1807),1)</f>
        <v>46204</v>
      </c>
      <c r="M1807" s="31" t="n">
        <f aca="false">WEEKDAY(B1807,2)</f>
        <v>7</v>
      </c>
      <c r="N1807" s="31" t="str">
        <f aca="false">IF(G1807&lt;=INDEX(Assumptions!$B$15:$B$18,MATCH(E1807,Assumptions!$A$15:$A$18,0)),"Yes","No")</f>
        <v>Yes</v>
      </c>
      <c r="O1807" s="31" t="str">
        <f aca="false">IF(H1807="","Open",IF(H1807&lt;=INDEX(Assumptions!$C$15:$C$18,MATCH(E1807,Assumptions!$A$15:$A$18,0)),"Yes","No"))</f>
        <v>Yes</v>
      </c>
    </row>
    <row r="1808" customFormat="false" ht="15" hidden="false" customHeight="false" outlineLevel="0" collapsed="false">
      <c r="A1808" s="31" t="s">
        <v>1958</v>
      </c>
      <c r="B1808" s="44" t="n">
        <v>46229</v>
      </c>
      <c r="C1808" s="31" t="s">
        <v>58</v>
      </c>
      <c r="D1808" s="31" t="s">
        <v>65</v>
      </c>
      <c r="E1808" s="31" t="s">
        <v>51</v>
      </c>
      <c r="F1808" s="31" t="s">
        <v>129</v>
      </c>
      <c r="G1808" s="31" t="n">
        <v>8</v>
      </c>
      <c r="H1808" s="41" t="n">
        <v>12.3</v>
      </c>
      <c r="I1808" s="31" t="s">
        <v>149</v>
      </c>
      <c r="J1808" s="31" t="n">
        <v>5</v>
      </c>
      <c r="K1808" s="31" t="s">
        <v>150</v>
      </c>
      <c r="L1808" s="45" t="n">
        <f aca="false">DATE(YEAR(B1808),MONTH(B1808),1)</f>
        <v>46204</v>
      </c>
      <c r="M1808" s="31" t="n">
        <f aca="false">WEEKDAY(B1808,2)</f>
        <v>7</v>
      </c>
      <c r="N1808" s="31" t="str">
        <f aca="false">IF(G1808&lt;=INDEX(Assumptions!$B$15:$B$18,MATCH(E1808,Assumptions!$A$15:$A$18,0)),"Yes","No")</f>
        <v>Yes</v>
      </c>
      <c r="O1808" s="31" t="str">
        <f aca="false">IF(H1808="","Open",IF(H1808&lt;=INDEX(Assumptions!$C$15:$C$18,MATCH(E1808,Assumptions!$A$15:$A$18,0)),"Yes","No"))</f>
        <v>Yes</v>
      </c>
    </row>
    <row r="1809" customFormat="false" ht="15" hidden="false" customHeight="false" outlineLevel="0" collapsed="false">
      <c r="A1809" s="31" t="s">
        <v>1959</v>
      </c>
      <c r="B1809" s="44" t="n">
        <v>46229</v>
      </c>
      <c r="C1809" s="31" t="s">
        <v>58</v>
      </c>
      <c r="D1809" s="31" t="s">
        <v>65</v>
      </c>
      <c r="E1809" s="31" t="s">
        <v>51</v>
      </c>
      <c r="F1809" s="31" t="s">
        <v>129</v>
      </c>
      <c r="G1809" s="31" t="n">
        <v>5</v>
      </c>
      <c r="H1809" s="41" t="n">
        <v>4.1</v>
      </c>
      <c r="I1809" s="31" t="s">
        <v>149</v>
      </c>
      <c r="J1809" s="31"/>
      <c r="K1809" s="31" t="s">
        <v>150</v>
      </c>
      <c r="L1809" s="45" t="n">
        <f aca="false">DATE(YEAR(B1809),MONTH(B1809),1)</f>
        <v>46204</v>
      </c>
      <c r="M1809" s="31" t="n">
        <f aca="false">WEEKDAY(B1809,2)</f>
        <v>7</v>
      </c>
      <c r="N1809" s="31" t="str">
        <f aca="false">IF(G1809&lt;=INDEX(Assumptions!$B$15:$B$18,MATCH(E1809,Assumptions!$A$15:$A$18,0)),"Yes","No")</f>
        <v>Yes</v>
      </c>
      <c r="O1809" s="31" t="str">
        <f aca="false">IF(H1809="","Open",IF(H1809&lt;=INDEX(Assumptions!$C$15:$C$18,MATCH(E1809,Assumptions!$A$15:$A$18,0)),"Yes","No"))</f>
        <v>Yes</v>
      </c>
    </row>
    <row r="1810" customFormat="false" ht="15" hidden="false" customHeight="false" outlineLevel="0" collapsed="false">
      <c r="A1810" s="31" t="s">
        <v>1960</v>
      </c>
      <c r="B1810" s="44" t="n">
        <v>46229</v>
      </c>
      <c r="C1810" s="31" t="s">
        <v>58</v>
      </c>
      <c r="D1810" s="31" t="s">
        <v>66</v>
      </c>
      <c r="E1810" s="31" t="s">
        <v>52</v>
      </c>
      <c r="F1810" s="31" t="s">
        <v>133</v>
      </c>
      <c r="G1810" s="31" t="n">
        <v>7</v>
      </c>
      <c r="H1810" s="41" t="n">
        <v>11.7</v>
      </c>
      <c r="I1810" s="31" t="s">
        <v>149</v>
      </c>
      <c r="J1810" s="31" t="n">
        <v>5</v>
      </c>
      <c r="K1810" s="31" t="s">
        <v>153</v>
      </c>
      <c r="L1810" s="45" t="n">
        <f aca="false">DATE(YEAR(B1810),MONTH(B1810),1)</f>
        <v>46204</v>
      </c>
      <c r="M1810" s="31" t="n">
        <f aca="false">WEEKDAY(B1810,2)</f>
        <v>7</v>
      </c>
      <c r="N1810" s="31" t="str">
        <f aca="false">IF(G1810&lt;=INDEX(Assumptions!$B$15:$B$18,MATCH(E1810,Assumptions!$A$15:$A$18,0)),"Yes","No")</f>
        <v>Yes</v>
      </c>
      <c r="O1810" s="31" t="str">
        <f aca="false">IF(H1810="","Open",IF(H1810&lt;=INDEX(Assumptions!$C$15:$C$18,MATCH(E1810,Assumptions!$A$15:$A$18,0)),"Yes","No"))</f>
        <v>Yes</v>
      </c>
    </row>
    <row r="1811" customFormat="false" ht="15" hidden="false" customHeight="false" outlineLevel="0" collapsed="false">
      <c r="A1811" s="31" t="s">
        <v>1961</v>
      </c>
      <c r="B1811" s="44" t="n">
        <v>46229</v>
      </c>
      <c r="C1811" s="31" t="s">
        <v>59</v>
      </c>
      <c r="D1811" s="31" t="s">
        <v>66</v>
      </c>
      <c r="E1811" s="31" t="s">
        <v>51</v>
      </c>
      <c r="F1811" s="31" t="s">
        <v>120</v>
      </c>
      <c r="G1811" s="31" t="n">
        <v>49</v>
      </c>
      <c r="H1811" s="41" t="n">
        <v>1.2</v>
      </c>
      <c r="I1811" s="31" t="s">
        <v>149</v>
      </c>
      <c r="J1811" s="31"/>
      <c r="K1811" s="31" t="s">
        <v>150</v>
      </c>
      <c r="L1811" s="45" t="n">
        <f aca="false">DATE(YEAR(B1811),MONTH(B1811),1)</f>
        <v>46204</v>
      </c>
      <c r="M1811" s="31" t="n">
        <f aca="false">WEEKDAY(B1811,2)</f>
        <v>7</v>
      </c>
      <c r="N1811" s="31" t="str">
        <f aca="false">IF(G1811&lt;=INDEX(Assumptions!$B$15:$B$18,MATCH(E1811,Assumptions!$A$15:$A$18,0)),"Yes","No")</f>
        <v>Yes</v>
      </c>
      <c r="O1811" s="31" t="str">
        <f aca="false">IF(H1811="","Open",IF(H1811&lt;=INDEX(Assumptions!$C$15:$C$18,MATCH(E1811,Assumptions!$A$15:$A$18,0)),"Yes","No"))</f>
        <v>Yes</v>
      </c>
    </row>
    <row r="1812" customFormat="false" ht="15" hidden="false" customHeight="false" outlineLevel="0" collapsed="false">
      <c r="A1812" s="31" t="s">
        <v>1962</v>
      </c>
      <c r="B1812" s="44" t="n">
        <v>46229</v>
      </c>
      <c r="C1812" s="31" t="s">
        <v>58</v>
      </c>
      <c r="D1812" s="31" t="s">
        <v>67</v>
      </c>
      <c r="E1812" s="31" t="s">
        <v>51</v>
      </c>
      <c r="F1812" s="31" t="s">
        <v>126</v>
      </c>
      <c r="G1812" s="31" t="n">
        <v>7</v>
      </c>
      <c r="H1812" s="41" t="n">
        <v>5.4</v>
      </c>
      <c r="I1812" s="31" t="s">
        <v>149</v>
      </c>
      <c r="J1812" s="31"/>
      <c r="K1812" s="31" t="s">
        <v>150</v>
      </c>
      <c r="L1812" s="45" t="n">
        <f aca="false">DATE(YEAR(B1812),MONTH(B1812),1)</f>
        <v>46204</v>
      </c>
      <c r="M1812" s="31" t="n">
        <f aca="false">WEEKDAY(B1812,2)</f>
        <v>7</v>
      </c>
      <c r="N1812" s="31" t="str">
        <f aca="false">IF(G1812&lt;=INDEX(Assumptions!$B$15:$B$18,MATCH(E1812,Assumptions!$A$15:$A$18,0)),"Yes","No")</f>
        <v>Yes</v>
      </c>
      <c r="O1812" s="31" t="str">
        <f aca="false">IF(H1812="","Open",IF(H1812&lt;=INDEX(Assumptions!$C$15:$C$18,MATCH(E1812,Assumptions!$A$15:$A$18,0)),"Yes","No"))</f>
        <v>Yes</v>
      </c>
    </row>
    <row r="1813" customFormat="false" ht="15" hidden="false" customHeight="false" outlineLevel="0" collapsed="false">
      <c r="A1813" s="31" t="s">
        <v>1963</v>
      </c>
      <c r="B1813" s="44" t="n">
        <v>46229</v>
      </c>
      <c r="C1813" s="31" t="s">
        <v>57</v>
      </c>
      <c r="D1813" s="31" t="s">
        <v>65</v>
      </c>
      <c r="E1813" s="31" t="s">
        <v>52</v>
      </c>
      <c r="F1813" s="31" t="s">
        <v>131</v>
      </c>
      <c r="G1813" s="31" t="n">
        <v>5</v>
      </c>
      <c r="H1813" s="41" t="n">
        <v>30.1</v>
      </c>
      <c r="I1813" s="31" t="s">
        <v>149</v>
      </c>
      <c r="J1813" s="31"/>
      <c r="K1813" s="31" t="s">
        <v>150</v>
      </c>
      <c r="L1813" s="45" t="n">
        <f aca="false">DATE(YEAR(B1813),MONTH(B1813),1)</f>
        <v>46204</v>
      </c>
      <c r="M1813" s="31" t="n">
        <f aca="false">WEEKDAY(B1813,2)</f>
        <v>7</v>
      </c>
      <c r="N1813" s="31" t="str">
        <f aca="false">IF(G1813&lt;=INDEX(Assumptions!$B$15:$B$18,MATCH(E1813,Assumptions!$A$15:$A$18,0)),"Yes","No")</f>
        <v>Yes</v>
      </c>
      <c r="O1813" s="31" t="str">
        <f aca="false">IF(H1813="","Open",IF(H1813&lt;=INDEX(Assumptions!$C$15:$C$18,MATCH(E1813,Assumptions!$A$15:$A$18,0)),"Yes","No"))</f>
        <v>Yes</v>
      </c>
    </row>
    <row r="1814" customFormat="false" ht="15" hidden="false" customHeight="false" outlineLevel="0" collapsed="false">
      <c r="A1814" s="31" t="s">
        <v>1964</v>
      </c>
      <c r="B1814" s="44" t="n">
        <v>46229</v>
      </c>
      <c r="C1814" s="31" t="s">
        <v>57</v>
      </c>
      <c r="D1814" s="31" t="s">
        <v>69</v>
      </c>
      <c r="E1814" s="31" t="s">
        <v>52</v>
      </c>
      <c r="F1814" s="31" t="s">
        <v>127</v>
      </c>
      <c r="G1814" s="31" t="n">
        <v>4</v>
      </c>
      <c r="H1814" s="41" t="n">
        <v>26.5</v>
      </c>
      <c r="I1814" s="31" t="s">
        <v>149</v>
      </c>
      <c r="J1814" s="31"/>
      <c r="K1814" s="31" t="s">
        <v>150</v>
      </c>
      <c r="L1814" s="45" t="n">
        <f aca="false">DATE(YEAR(B1814),MONTH(B1814),1)</f>
        <v>46204</v>
      </c>
      <c r="M1814" s="31" t="n">
        <f aca="false">WEEKDAY(B1814,2)</f>
        <v>7</v>
      </c>
      <c r="N1814" s="31" t="str">
        <f aca="false">IF(G1814&lt;=INDEX(Assumptions!$B$15:$B$18,MATCH(E1814,Assumptions!$A$15:$A$18,0)),"Yes","No")</f>
        <v>Yes</v>
      </c>
      <c r="O1814" s="31" t="str">
        <f aca="false">IF(H1814="","Open",IF(H1814&lt;=INDEX(Assumptions!$C$15:$C$18,MATCH(E1814,Assumptions!$A$15:$A$18,0)),"Yes","No"))</f>
        <v>Yes</v>
      </c>
    </row>
    <row r="1815" customFormat="false" ht="15" hidden="false" customHeight="false" outlineLevel="0" collapsed="false">
      <c r="A1815" s="31" t="s">
        <v>1965</v>
      </c>
      <c r="B1815" s="44" t="n">
        <v>46229</v>
      </c>
      <c r="C1815" s="31" t="s">
        <v>58</v>
      </c>
      <c r="D1815" s="31" t="s">
        <v>66</v>
      </c>
      <c r="E1815" s="31" t="s">
        <v>52</v>
      </c>
      <c r="F1815" s="31" t="s">
        <v>124</v>
      </c>
      <c r="G1815" s="31" t="n">
        <v>8</v>
      </c>
      <c r="H1815" s="41" t="n">
        <v>4.1</v>
      </c>
      <c r="I1815" s="31" t="s">
        <v>149</v>
      </c>
      <c r="J1815" s="31" t="n">
        <v>4</v>
      </c>
      <c r="K1815" s="31" t="s">
        <v>153</v>
      </c>
      <c r="L1815" s="45" t="n">
        <f aca="false">DATE(YEAR(B1815),MONTH(B1815),1)</f>
        <v>46204</v>
      </c>
      <c r="M1815" s="31" t="n">
        <f aca="false">WEEKDAY(B1815,2)</f>
        <v>7</v>
      </c>
      <c r="N1815" s="31" t="str">
        <f aca="false">IF(G1815&lt;=INDEX(Assumptions!$B$15:$B$18,MATCH(E1815,Assumptions!$A$15:$A$18,0)),"Yes","No")</f>
        <v>Yes</v>
      </c>
      <c r="O1815" s="31" t="str">
        <f aca="false">IF(H1815="","Open",IF(H1815&lt;=INDEX(Assumptions!$C$15:$C$18,MATCH(E1815,Assumptions!$A$15:$A$18,0)),"Yes","No"))</f>
        <v>Yes</v>
      </c>
    </row>
    <row r="1816" customFormat="false" ht="15" hidden="false" customHeight="false" outlineLevel="0" collapsed="false">
      <c r="A1816" s="31" t="s">
        <v>1966</v>
      </c>
      <c r="B1816" s="44" t="n">
        <v>46229</v>
      </c>
      <c r="C1816" s="31" t="s">
        <v>59</v>
      </c>
      <c r="D1816" s="31" t="s">
        <v>65</v>
      </c>
      <c r="E1816" s="31" t="s">
        <v>49</v>
      </c>
      <c r="F1816" s="31" t="s">
        <v>120</v>
      </c>
      <c r="G1816" s="31" t="n">
        <v>155</v>
      </c>
      <c r="H1816" s="41" t="n">
        <v>2.1</v>
      </c>
      <c r="I1816" s="31" t="s">
        <v>149</v>
      </c>
      <c r="J1816" s="31" t="n">
        <v>4</v>
      </c>
      <c r="K1816" s="31" t="s">
        <v>150</v>
      </c>
      <c r="L1816" s="45" t="n">
        <f aca="false">DATE(YEAR(B1816),MONTH(B1816),1)</f>
        <v>46204</v>
      </c>
      <c r="M1816" s="31" t="n">
        <f aca="false">WEEKDAY(B1816,2)</f>
        <v>7</v>
      </c>
      <c r="N1816" s="31" t="str">
        <f aca="false">IF(G1816&lt;=INDEX(Assumptions!$B$15:$B$18,MATCH(E1816,Assumptions!$A$15:$A$18,0)),"Yes","No")</f>
        <v>No</v>
      </c>
      <c r="O1816" s="31" t="str">
        <f aca="false">IF(H1816="","Open",IF(H1816&lt;=INDEX(Assumptions!$C$15:$C$18,MATCH(E1816,Assumptions!$A$15:$A$18,0)),"Yes","No"))</f>
        <v>Yes</v>
      </c>
    </row>
    <row r="1817" customFormat="false" ht="15" hidden="false" customHeight="false" outlineLevel="0" collapsed="false">
      <c r="A1817" s="31" t="s">
        <v>1967</v>
      </c>
      <c r="B1817" s="44" t="n">
        <v>46229</v>
      </c>
      <c r="C1817" s="31" t="s">
        <v>57</v>
      </c>
      <c r="D1817" s="31" t="s">
        <v>65</v>
      </c>
      <c r="E1817" s="31" t="s">
        <v>51</v>
      </c>
      <c r="F1817" s="31" t="s">
        <v>134</v>
      </c>
      <c r="G1817" s="31" t="n">
        <v>16</v>
      </c>
      <c r="H1817" s="41" t="n">
        <v>17.7</v>
      </c>
      <c r="I1817" s="31" t="s">
        <v>149</v>
      </c>
      <c r="J1817" s="31"/>
      <c r="K1817" s="31" t="s">
        <v>150</v>
      </c>
      <c r="L1817" s="45" t="n">
        <f aca="false">DATE(YEAR(B1817),MONTH(B1817),1)</f>
        <v>46204</v>
      </c>
      <c r="M1817" s="31" t="n">
        <f aca="false">WEEKDAY(B1817,2)</f>
        <v>7</v>
      </c>
      <c r="N1817" s="31" t="str">
        <f aca="false">IF(G1817&lt;=INDEX(Assumptions!$B$15:$B$18,MATCH(E1817,Assumptions!$A$15:$A$18,0)),"Yes","No")</f>
        <v>Yes</v>
      </c>
      <c r="O1817" s="31" t="str">
        <f aca="false">IF(H1817="","Open",IF(H1817&lt;=INDEX(Assumptions!$C$15:$C$18,MATCH(E1817,Assumptions!$A$15:$A$18,0)),"Yes","No"))</f>
        <v>Yes</v>
      </c>
    </row>
    <row r="1818" customFormat="false" ht="15" hidden="false" customHeight="false" outlineLevel="0" collapsed="false">
      <c r="A1818" s="31" t="s">
        <v>1968</v>
      </c>
      <c r="B1818" s="44" t="n">
        <v>46229</v>
      </c>
      <c r="C1818" s="31" t="s">
        <v>60</v>
      </c>
      <c r="D1818" s="31" t="s">
        <v>69</v>
      </c>
      <c r="E1818" s="31" t="s">
        <v>51</v>
      </c>
      <c r="F1818" s="31" t="s">
        <v>133</v>
      </c>
      <c r="G1818" s="31" t="n">
        <v>2</v>
      </c>
      <c r="H1818" s="41" t="n">
        <v>4.7</v>
      </c>
      <c r="I1818" s="31" t="s">
        <v>149</v>
      </c>
      <c r="J1818" s="31" t="n">
        <v>5</v>
      </c>
      <c r="K1818" s="31" t="s">
        <v>150</v>
      </c>
      <c r="L1818" s="45" t="n">
        <f aca="false">DATE(YEAR(B1818),MONTH(B1818),1)</f>
        <v>46204</v>
      </c>
      <c r="M1818" s="31" t="n">
        <f aca="false">WEEKDAY(B1818,2)</f>
        <v>7</v>
      </c>
      <c r="N1818" s="31" t="str">
        <f aca="false">IF(G1818&lt;=INDEX(Assumptions!$B$15:$B$18,MATCH(E1818,Assumptions!$A$15:$A$18,0)),"Yes","No")</f>
        <v>Yes</v>
      </c>
      <c r="O1818" s="31" t="str">
        <f aca="false">IF(H1818="","Open",IF(H1818&lt;=INDEX(Assumptions!$C$15:$C$18,MATCH(E1818,Assumptions!$A$15:$A$18,0)),"Yes","No"))</f>
        <v>Yes</v>
      </c>
    </row>
    <row r="1819" customFormat="false" ht="15" hidden="false" customHeight="false" outlineLevel="0" collapsed="false">
      <c r="A1819" s="31" t="s">
        <v>1969</v>
      </c>
      <c r="B1819" s="44" t="n">
        <v>46229</v>
      </c>
      <c r="C1819" s="31" t="s">
        <v>60</v>
      </c>
      <c r="D1819" s="31" t="s">
        <v>67</v>
      </c>
      <c r="E1819" s="31" t="s">
        <v>50</v>
      </c>
      <c r="F1819" s="31" t="s">
        <v>121</v>
      </c>
      <c r="G1819" s="31" t="n">
        <v>2</v>
      </c>
      <c r="H1819" s="41" t="n">
        <v>18.8</v>
      </c>
      <c r="I1819" s="31" t="s">
        <v>149</v>
      </c>
      <c r="J1819" s="31" t="n">
        <v>4</v>
      </c>
      <c r="K1819" s="31" t="s">
        <v>150</v>
      </c>
      <c r="L1819" s="45" t="n">
        <f aca="false">DATE(YEAR(B1819),MONTH(B1819),1)</f>
        <v>46204</v>
      </c>
      <c r="M1819" s="31" t="n">
        <f aca="false">WEEKDAY(B1819,2)</f>
        <v>7</v>
      </c>
      <c r="N1819" s="31" t="str">
        <f aca="false">IF(G1819&lt;=INDEX(Assumptions!$B$15:$B$18,MATCH(E1819,Assumptions!$A$15:$A$18,0)),"Yes","No")</f>
        <v>Yes</v>
      </c>
      <c r="O1819" s="31" t="str">
        <f aca="false">IF(H1819="","Open",IF(H1819&lt;=INDEX(Assumptions!$C$15:$C$18,MATCH(E1819,Assumptions!$A$15:$A$18,0)),"Yes","No"))</f>
        <v>No</v>
      </c>
    </row>
    <row r="1820" customFormat="false" ht="15" hidden="false" customHeight="false" outlineLevel="0" collapsed="false">
      <c r="A1820" s="31" t="s">
        <v>1970</v>
      </c>
      <c r="B1820" s="44" t="n">
        <v>46229</v>
      </c>
      <c r="C1820" s="31" t="s">
        <v>59</v>
      </c>
      <c r="D1820" s="31" t="s">
        <v>66</v>
      </c>
      <c r="E1820" s="31" t="s">
        <v>51</v>
      </c>
      <c r="F1820" s="31" t="s">
        <v>120</v>
      </c>
      <c r="G1820" s="31" t="n">
        <v>117</v>
      </c>
      <c r="H1820" s="41" t="n">
        <v>20.8</v>
      </c>
      <c r="I1820" s="31" t="s">
        <v>64</v>
      </c>
      <c r="J1820" s="31" t="n">
        <v>3</v>
      </c>
      <c r="K1820" s="31" t="s">
        <v>150</v>
      </c>
      <c r="L1820" s="45" t="n">
        <f aca="false">DATE(YEAR(B1820),MONTH(B1820),1)</f>
        <v>46204</v>
      </c>
      <c r="M1820" s="31" t="n">
        <f aca="false">WEEKDAY(B1820,2)</f>
        <v>7</v>
      </c>
      <c r="N1820" s="31" t="str">
        <f aca="false">IF(G1820&lt;=INDEX(Assumptions!$B$15:$B$18,MATCH(E1820,Assumptions!$A$15:$A$18,0)),"Yes","No")</f>
        <v>No</v>
      </c>
      <c r="O1820" s="31" t="str">
        <f aca="false">IF(H1820="","Open",IF(H1820&lt;=INDEX(Assumptions!$C$15:$C$18,MATCH(E1820,Assumptions!$A$15:$A$18,0)),"Yes","No"))</f>
        <v>Yes</v>
      </c>
    </row>
    <row r="1821" customFormat="false" ht="15" hidden="false" customHeight="false" outlineLevel="0" collapsed="false">
      <c r="A1821" s="31" t="s">
        <v>1971</v>
      </c>
      <c r="B1821" s="44" t="n">
        <v>46229</v>
      </c>
      <c r="C1821" s="31" t="s">
        <v>59</v>
      </c>
      <c r="D1821" s="31" t="s">
        <v>67</v>
      </c>
      <c r="E1821" s="31" t="s">
        <v>50</v>
      </c>
      <c r="F1821" s="31" t="s">
        <v>120</v>
      </c>
      <c r="G1821" s="31" t="n">
        <v>47</v>
      </c>
      <c r="H1821" s="41" t="n">
        <v>8.1</v>
      </c>
      <c r="I1821" s="31" t="s">
        <v>149</v>
      </c>
      <c r="J1821" s="31" t="n">
        <v>3</v>
      </c>
      <c r="K1821" s="31" t="s">
        <v>150</v>
      </c>
      <c r="L1821" s="45" t="n">
        <f aca="false">DATE(YEAR(B1821),MONTH(B1821),1)</f>
        <v>46204</v>
      </c>
      <c r="M1821" s="31" t="n">
        <f aca="false">WEEKDAY(B1821,2)</f>
        <v>7</v>
      </c>
      <c r="N1821" s="31" t="str">
        <f aca="false">IF(G1821&lt;=INDEX(Assumptions!$B$15:$B$18,MATCH(E1821,Assumptions!$A$15:$A$18,0)),"Yes","No")</f>
        <v>No</v>
      </c>
      <c r="O1821" s="31" t="str">
        <f aca="false">IF(H1821="","Open",IF(H1821&lt;=INDEX(Assumptions!$C$15:$C$18,MATCH(E1821,Assumptions!$A$15:$A$18,0)),"Yes","No"))</f>
        <v>No</v>
      </c>
    </row>
    <row r="1822" customFormat="false" ht="15" hidden="false" customHeight="false" outlineLevel="0" collapsed="false">
      <c r="A1822" s="31" t="s">
        <v>1972</v>
      </c>
      <c r="B1822" s="44" t="n">
        <v>46229</v>
      </c>
      <c r="C1822" s="31" t="s">
        <v>57</v>
      </c>
      <c r="D1822" s="31" t="s">
        <v>66</v>
      </c>
      <c r="E1822" s="31" t="s">
        <v>51</v>
      </c>
      <c r="F1822" s="31" t="s">
        <v>130</v>
      </c>
      <c r="G1822" s="31" t="n">
        <v>3</v>
      </c>
      <c r="H1822" s="41" t="n">
        <v>27.8</v>
      </c>
      <c r="I1822" s="31" t="s">
        <v>149</v>
      </c>
      <c r="J1822" s="31" t="n">
        <v>4</v>
      </c>
      <c r="K1822" s="31" t="s">
        <v>150</v>
      </c>
      <c r="L1822" s="45" t="n">
        <f aca="false">DATE(YEAR(B1822),MONTH(B1822),1)</f>
        <v>46204</v>
      </c>
      <c r="M1822" s="31" t="n">
        <f aca="false">WEEKDAY(B1822,2)</f>
        <v>7</v>
      </c>
      <c r="N1822" s="31" t="str">
        <f aca="false">IF(G1822&lt;=INDEX(Assumptions!$B$15:$B$18,MATCH(E1822,Assumptions!$A$15:$A$18,0)),"Yes","No")</f>
        <v>Yes</v>
      </c>
      <c r="O1822" s="31" t="str">
        <f aca="false">IF(H1822="","Open",IF(H1822&lt;=INDEX(Assumptions!$C$15:$C$18,MATCH(E1822,Assumptions!$A$15:$A$18,0)),"Yes","No"))</f>
        <v>No</v>
      </c>
    </row>
    <row r="1823" customFormat="false" ht="15" hidden="false" customHeight="false" outlineLevel="0" collapsed="false">
      <c r="A1823" s="31" t="s">
        <v>1973</v>
      </c>
      <c r="B1823" s="44" t="n">
        <v>46229</v>
      </c>
      <c r="C1823" s="31" t="s">
        <v>57</v>
      </c>
      <c r="D1823" s="31" t="s">
        <v>65</v>
      </c>
      <c r="E1823" s="31" t="s">
        <v>51</v>
      </c>
      <c r="F1823" s="31" t="s">
        <v>123</v>
      </c>
      <c r="G1823" s="31" t="n">
        <v>5</v>
      </c>
      <c r="H1823" s="41" t="n">
        <v>22.5</v>
      </c>
      <c r="I1823" s="31" t="s">
        <v>149</v>
      </c>
      <c r="J1823" s="31" t="n">
        <v>4</v>
      </c>
      <c r="K1823" s="31" t="s">
        <v>150</v>
      </c>
      <c r="L1823" s="45" t="n">
        <f aca="false">DATE(YEAR(B1823),MONTH(B1823),1)</f>
        <v>46204</v>
      </c>
      <c r="M1823" s="31" t="n">
        <f aca="false">WEEKDAY(B1823,2)</f>
        <v>7</v>
      </c>
      <c r="N1823" s="31" t="str">
        <f aca="false">IF(G1823&lt;=INDEX(Assumptions!$B$15:$B$18,MATCH(E1823,Assumptions!$A$15:$A$18,0)),"Yes","No")</f>
        <v>Yes</v>
      </c>
      <c r="O1823" s="31" t="str">
        <f aca="false">IF(H1823="","Open",IF(H1823&lt;=INDEX(Assumptions!$C$15:$C$18,MATCH(E1823,Assumptions!$A$15:$A$18,0)),"Yes","No"))</f>
        <v>Yes</v>
      </c>
    </row>
    <row r="1824" customFormat="false" ht="15" hidden="false" customHeight="false" outlineLevel="0" collapsed="false">
      <c r="A1824" s="31" t="s">
        <v>1974</v>
      </c>
      <c r="B1824" s="44" t="n">
        <v>46229</v>
      </c>
      <c r="C1824" s="31" t="s">
        <v>57</v>
      </c>
      <c r="D1824" s="31" t="s">
        <v>66</v>
      </c>
      <c r="E1824" s="31" t="s">
        <v>52</v>
      </c>
      <c r="F1824" s="31" t="s">
        <v>126</v>
      </c>
      <c r="G1824" s="31" t="n">
        <v>2</v>
      </c>
      <c r="H1824" s="41" t="n">
        <v>24.1</v>
      </c>
      <c r="I1824" s="31" t="s">
        <v>64</v>
      </c>
      <c r="J1824" s="31" t="n">
        <v>5</v>
      </c>
      <c r="K1824" s="31" t="s">
        <v>150</v>
      </c>
      <c r="L1824" s="45" t="n">
        <f aca="false">DATE(YEAR(B1824),MONTH(B1824),1)</f>
        <v>46204</v>
      </c>
      <c r="M1824" s="31" t="n">
        <f aca="false">WEEKDAY(B1824,2)</f>
        <v>7</v>
      </c>
      <c r="N1824" s="31" t="str">
        <f aca="false">IF(G1824&lt;=INDEX(Assumptions!$B$15:$B$18,MATCH(E1824,Assumptions!$A$15:$A$18,0)),"Yes","No")</f>
        <v>Yes</v>
      </c>
      <c r="O1824" s="31" t="str">
        <f aca="false">IF(H1824="","Open",IF(H1824&lt;=INDEX(Assumptions!$C$15:$C$18,MATCH(E1824,Assumptions!$A$15:$A$18,0)),"Yes","No"))</f>
        <v>Yes</v>
      </c>
    </row>
    <row r="1825" customFormat="false" ht="15" hidden="false" customHeight="false" outlineLevel="0" collapsed="false">
      <c r="A1825" s="31" t="s">
        <v>1975</v>
      </c>
      <c r="B1825" s="44" t="n">
        <v>46229</v>
      </c>
      <c r="C1825" s="31" t="s">
        <v>59</v>
      </c>
      <c r="D1825" s="31" t="s">
        <v>66</v>
      </c>
      <c r="E1825" s="31" t="s">
        <v>52</v>
      </c>
      <c r="F1825" s="31" t="s">
        <v>126</v>
      </c>
      <c r="G1825" s="31" t="n">
        <v>39</v>
      </c>
      <c r="H1825" s="41" t="n">
        <v>4.6</v>
      </c>
      <c r="I1825" s="31" t="s">
        <v>149</v>
      </c>
      <c r="J1825" s="31" t="n">
        <v>5</v>
      </c>
      <c r="K1825" s="31" t="s">
        <v>150</v>
      </c>
      <c r="L1825" s="45" t="n">
        <f aca="false">DATE(YEAR(B1825),MONTH(B1825),1)</f>
        <v>46204</v>
      </c>
      <c r="M1825" s="31" t="n">
        <f aca="false">WEEKDAY(B1825,2)</f>
        <v>7</v>
      </c>
      <c r="N1825" s="31" t="str">
        <f aca="false">IF(G1825&lt;=INDEX(Assumptions!$B$15:$B$18,MATCH(E1825,Assumptions!$A$15:$A$18,0)),"Yes","No")</f>
        <v>Yes</v>
      </c>
      <c r="O1825" s="31" t="str">
        <f aca="false">IF(H1825="","Open",IF(H1825&lt;=INDEX(Assumptions!$C$15:$C$18,MATCH(E1825,Assumptions!$A$15:$A$18,0)),"Yes","No"))</f>
        <v>Yes</v>
      </c>
    </row>
    <row r="1826" customFormat="false" ht="15" hidden="false" customHeight="false" outlineLevel="0" collapsed="false">
      <c r="A1826" s="31" t="s">
        <v>1976</v>
      </c>
      <c r="B1826" s="44" t="n">
        <v>46229</v>
      </c>
      <c r="C1826" s="31" t="s">
        <v>57</v>
      </c>
      <c r="D1826" s="31" t="s">
        <v>68</v>
      </c>
      <c r="E1826" s="31" t="s">
        <v>52</v>
      </c>
      <c r="F1826" s="31" t="s">
        <v>120</v>
      </c>
      <c r="G1826" s="31" t="n">
        <v>9</v>
      </c>
      <c r="H1826" s="41" t="n">
        <v>11.9</v>
      </c>
      <c r="I1826" s="31" t="s">
        <v>149</v>
      </c>
      <c r="J1826" s="31"/>
      <c r="K1826" s="31" t="s">
        <v>150</v>
      </c>
      <c r="L1826" s="45" t="n">
        <f aca="false">DATE(YEAR(B1826),MONTH(B1826),1)</f>
        <v>46204</v>
      </c>
      <c r="M1826" s="31" t="n">
        <f aca="false">WEEKDAY(B1826,2)</f>
        <v>7</v>
      </c>
      <c r="N1826" s="31" t="str">
        <f aca="false">IF(G1826&lt;=INDEX(Assumptions!$B$15:$B$18,MATCH(E1826,Assumptions!$A$15:$A$18,0)),"Yes","No")</f>
        <v>Yes</v>
      </c>
      <c r="O1826" s="31" t="str">
        <f aca="false">IF(H1826="","Open",IF(H1826&lt;=INDEX(Assumptions!$C$15:$C$18,MATCH(E1826,Assumptions!$A$15:$A$18,0)),"Yes","No"))</f>
        <v>Yes</v>
      </c>
    </row>
    <row r="1827" customFormat="false" ht="15" hidden="false" customHeight="false" outlineLevel="0" collapsed="false">
      <c r="A1827" s="31" t="s">
        <v>1977</v>
      </c>
      <c r="B1827" s="44" t="n">
        <v>46229</v>
      </c>
      <c r="C1827" s="31" t="s">
        <v>60</v>
      </c>
      <c r="D1827" s="31" t="s">
        <v>65</v>
      </c>
      <c r="E1827" s="31" t="s">
        <v>49</v>
      </c>
      <c r="F1827" s="31" t="s">
        <v>131</v>
      </c>
      <c r="G1827" s="31" t="n">
        <v>2</v>
      </c>
      <c r="H1827" s="41" t="n">
        <v>2.2</v>
      </c>
      <c r="I1827" s="31" t="s">
        <v>149</v>
      </c>
      <c r="J1827" s="31" t="n">
        <v>5</v>
      </c>
      <c r="K1827" s="31" t="s">
        <v>150</v>
      </c>
      <c r="L1827" s="45" t="n">
        <f aca="false">DATE(YEAR(B1827),MONTH(B1827),1)</f>
        <v>46204</v>
      </c>
      <c r="M1827" s="31" t="n">
        <f aca="false">WEEKDAY(B1827,2)</f>
        <v>7</v>
      </c>
      <c r="N1827" s="31" t="str">
        <f aca="false">IF(G1827&lt;=INDEX(Assumptions!$B$15:$B$18,MATCH(E1827,Assumptions!$A$15:$A$18,0)),"Yes","No")</f>
        <v>Yes</v>
      </c>
      <c r="O1827" s="31" t="str">
        <f aca="false">IF(H1827="","Open",IF(H1827&lt;=INDEX(Assumptions!$C$15:$C$18,MATCH(E1827,Assumptions!$A$15:$A$18,0)),"Yes","No"))</f>
        <v>Yes</v>
      </c>
    </row>
    <row r="1828" customFormat="false" ht="15" hidden="false" customHeight="false" outlineLevel="0" collapsed="false">
      <c r="A1828" s="31" t="s">
        <v>1978</v>
      </c>
      <c r="B1828" s="44" t="n">
        <v>46229</v>
      </c>
      <c r="C1828" s="31" t="s">
        <v>57</v>
      </c>
      <c r="D1828" s="31" t="s">
        <v>67</v>
      </c>
      <c r="E1828" s="31" t="s">
        <v>52</v>
      </c>
      <c r="F1828" s="31" t="s">
        <v>122</v>
      </c>
      <c r="G1828" s="31" t="n">
        <v>1</v>
      </c>
      <c r="H1828" s="41" t="n">
        <v>15.7</v>
      </c>
      <c r="I1828" s="31" t="s">
        <v>149</v>
      </c>
      <c r="J1828" s="31" t="n">
        <v>4</v>
      </c>
      <c r="K1828" s="31" t="s">
        <v>150</v>
      </c>
      <c r="L1828" s="45" t="n">
        <f aca="false">DATE(YEAR(B1828),MONTH(B1828),1)</f>
        <v>46204</v>
      </c>
      <c r="M1828" s="31" t="n">
        <f aca="false">WEEKDAY(B1828,2)</f>
        <v>7</v>
      </c>
      <c r="N1828" s="31" t="str">
        <f aca="false">IF(G1828&lt;=INDEX(Assumptions!$B$15:$B$18,MATCH(E1828,Assumptions!$A$15:$A$18,0)),"Yes","No")</f>
        <v>Yes</v>
      </c>
      <c r="O1828" s="31" t="str">
        <f aca="false">IF(H1828="","Open",IF(H1828&lt;=INDEX(Assumptions!$C$15:$C$18,MATCH(E1828,Assumptions!$A$15:$A$18,0)),"Yes","No"))</f>
        <v>Yes</v>
      </c>
    </row>
    <row r="1829" customFormat="false" ht="15" hidden="false" customHeight="false" outlineLevel="0" collapsed="false">
      <c r="A1829" s="31" t="s">
        <v>1979</v>
      </c>
      <c r="B1829" s="44" t="n">
        <v>46229</v>
      </c>
      <c r="C1829" s="31" t="s">
        <v>57</v>
      </c>
      <c r="D1829" s="31" t="s">
        <v>67</v>
      </c>
      <c r="E1829" s="31" t="s">
        <v>52</v>
      </c>
      <c r="F1829" s="31" t="s">
        <v>120</v>
      </c>
      <c r="G1829" s="31" t="n">
        <v>8</v>
      </c>
      <c r="H1829" s="41" t="n">
        <v>70.9</v>
      </c>
      <c r="I1829" s="31" t="s">
        <v>149</v>
      </c>
      <c r="J1829" s="31" t="n">
        <v>3</v>
      </c>
      <c r="K1829" s="31" t="s">
        <v>150</v>
      </c>
      <c r="L1829" s="45" t="n">
        <f aca="false">DATE(YEAR(B1829),MONTH(B1829),1)</f>
        <v>46204</v>
      </c>
      <c r="M1829" s="31" t="n">
        <f aca="false">WEEKDAY(B1829,2)</f>
        <v>7</v>
      </c>
      <c r="N1829" s="31" t="str">
        <f aca="false">IF(G1829&lt;=INDEX(Assumptions!$B$15:$B$18,MATCH(E1829,Assumptions!$A$15:$A$18,0)),"Yes","No")</f>
        <v>Yes</v>
      </c>
      <c r="O1829" s="31" t="str">
        <f aca="false">IF(H1829="","Open",IF(H1829&lt;=INDEX(Assumptions!$C$15:$C$18,MATCH(E1829,Assumptions!$A$15:$A$18,0)),"Yes","No"))</f>
        <v>Yes</v>
      </c>
    </row>
    <row r="1830" customFormat="false" ht="15" hidden="false" customHeight="false" outlineLevel="0" collapsed="false">
      <c r="A1830" s="31" t="s">
        <v>1980</v>
      </c>
      <c r="B1830" s="44" t="n">
        <v>46229</v>
      </c>
      <c r="C1830" s="31" t="s">
        <v>60</v>
      </c>
      <c r="D1830" s="31" t="s">
        <v>66</v>
      </c>
      <c r="E1830" s="31" t="s">
        <v>51</v>
      </c>
      <c r="F1830" s="31" t="s">
        <v>130</v>
      </c>
      <c r="G1830" s="31" t="n">
        <v>6</v>
      </c>
      <c r="H1830" s="41" t="n">
        <v>3.2</v>
      </c>
      <c r="I1830" s="31" t="s">
        <v>149</v>
      </c>
      <c r="J1830" s="31"/>
      <c r="K1830" s="31" t="s">
        <v>150</v>
      </c>
      <c r="L1830" s="45" t="n">
        <f aca="false">DATE(YEAR(B1830),MONTH(B1830),1)</f>
        <v>46204</v>
      </c>
      <c r="M1830" s="31" t="n">
        <f aca="false">WEEKDAY(B1830,2)</f>
        <v>7</v>
      </c>
      <c r="N1830" s="31" t="str">
        <f aca="false">IF(G1830&lt;=INDEX(Assumptions!$B$15:$B$18,MATCH(E1830,Assumptions!$A$15:$A$18,0)),"Yes","No")</f>
        <v>Yes</v>
      </c>
      <c r="O1830" s="31" t="str">
        <f aca="false">IF(H1830="","Open",IF(H1830&lt;=INDEX(Assumptions!$C$15:$C$18,MATCH(E1830,Assumptions!$A$15:$A$18,0)),"Yes","No"))</f>
        <v>Yes</v>
      </c>
    </row>
    <row r="1831" customFormat="false" ht="15" hidden="false" customHeight="false" outlineLevel="0" collapsed="false">
      <c r="A1831" s="31" t="s">
        <v>1981</v>
      </c>
      <c r="B1831" s="44" t="n">
        <v>46229</v>
      </c>
      <c r="C1831" s="31" t="s">
        <v>57</v>
      </c>
      <c r="D1831" s="31" t="s">
        <v>66</v>
      </c>
      <c r="E1831" s="31" t="s">
        <v>51</v>
      </c>
      <c r="F1831" s="31" t="s">
        <v>131</v>
      </c>
      <c r="G1831" s="31" t="n">
        <v>5</v>
      </c>
      <c r="H1831" s="41" t="n">
        <v>2.6</v>
      </c>
      <c r="I1831" s="31" t="s">
        <v>149</v>
      </c>
      <c r="J1831" s="31"/>
      <c r="K1831" s="31" t="s">
        <v>150</v>
      </c>
      <c r="L1831" s="45" t="n">
        <f aca="false">DATE(YEAR(B1831),MONTH(B1831),1)</f>
        <v>46204</v>
      </c>
      <c r="M1831" s="31" t="n">
        <f aca="false">WEEKDAY(B1831,2)</f>
        <v>7</v>
      </c>
      <c r="N1831" s="31" t="str">
        <f aca="false">IF(G1831&lt;=INDEX(Assumptions!$B$15:$B$18,MATCH(E1831,Assumptions!$A$15:$A$18,0)),"Yes","No")</f>
        <v>Yes</v>
      </c>
      <c r="O1831" s="31" t="str">
        <f aca="false">IF(H1831="","Open",IF(H1831&lt;=INDEX(Assumptions!$C$15:$C$18,MATCH(E1831,Assumptions!$A$15:$A$18,0)),"Yes","No"))</f>
        <v>Yes</v>
      </c>
    </row>
    <row r="1832" customFormat="false" ht="15" hidden="false" customHeight="false" outlineLevel="0" collapsed="false">
      <c r="A1832" s="31" t="s">
        <v>1982</v>
      </c>
      <c r="B1832" s="44" t="n">
        <v>46229</v>
      </c>
      <c r="C1832" s="31" t="s">
        <v>59</v>
      </c>
      <c r="D1832" s="31" t="s">
        <v>69</v>
      </c>
      <c r="E1832" s="31" t="s">
        <v>52</v>
      </c>
      <c r="F1832" s="31" t="s">
        <v>134</v>
      </c>
      <c r="G1832" s="31" t="n">
        <v>278</v>
      </c>
      <c r="H1832" s="41" t="n">
        <v>18.1</v>
      </c>
      <c r="I1832" s="31" t="s">
        <v>149</v>
      </c>
      <c r="J1832" s="31" t="n">
        <v>4</v>
      </c>
      <c r="K1832" s="31" t="s">
        <v>150</v>
      </c>
      <c r="L1832" s="45" t="n">
        <f aca="false">DATE(YEAR(B1832),MONTH(B1832),1)</f>
        <v>46204</v>
      </c>
      <c r="M1832" s="31" t="n">
        <f aca="false">WEEKDAY(B1832,2)</f>
        <v>7</v>
      </c>
      <c r="N1832" s="31" t="str">
        <f aca="false">IF(G1832&lt;=INDEX(Assumptions!$B$15:$B$18,MATCH(E1832,Assumptions!$A$15:$A$18,0)),"Yes","No")</f>
        <v>No</v>
      </c>
      <c r="O1832" s="31" t="str">
        <f aca="false">IF(H1832="","Open",IF(H1832&lt;=INDEX(Assumptions!$C$15:$C$18,MATCH(E1832,Assumptions!$A$15:$A$18,0)),"Yes","No"))</f>
        <v>Yes</v>
      </c>
    </row>
    <row r="1833" customFormat="false" ht="15" hidden="false" customHeight="false" outlineLevel="0" collapsed="false">
      <c r="A1833" s="31" t="s">
        <v>1983</v>
      </c>
      <c r="B1833" s="44" t="n">
        <v>46229</v>
      </c>
      <c r="C1833" s="31" t="s">
        <v>60</v>
      </c>
      <c r="D1833" s="31" t="s">
        <v>68</v>
      </c>
      <c r="E1833" s="31" t="s">
        <v>51</v>
      </c>
      <c r="F1833" s="31" t="s">
        <v>126</v>
      </c>
      <c r="G1833" s="31" t="n">
        <v>2</v>
      </c>
      <c r="H1833" s="41" t="n">
        <v>7</v>
      </c>
      <c r="I1833" s="31" t="s">
        <v>149</v>
      </c>
      <c r="J1833" s="31"/>
      <c r="K1833" s="31" t="s">
        <v>150</v>
      </c>
      <c r="L1833" s="45" t="n">
        <f aca="false">DATE(YEAR(B1833),MONTH(B1833),1)</f>
        <v>46204</v>
      </c>
      <c r="M1833" s="31" t="n">
        <f aca="false">WEEKDAY(B1833,2)</f>
        <v>7</v>
      </c>
      <c r="N1833" s="31" t="str">
        <f aca="false">IF(G1833&lt;=INDEX(Assumptions!$B$15:$B$18,MATCH(E1833,Assumptions!$A$15:$A$18,0)),"Yes","No")</f>
        <v>Yes</v>
      </c>
      <c r="O1833" s="31" t="str">
        <f aca="false">IF(H1833="","Open",IF(H1833&lt;=INDEX(Assumptions!$C$15:$C$18,MATCH(E1833,Assumptions!$A$15:$A$18,0)),"Yes","No"))</f>
        <v>Yes</v>
      </c>
    </row>
    <row r="1834" customFormat="false" ht="15" hidden="false" customHeight="false" outlineLevel="0" collapsed="false">
      <c r="A1834" s="31" t="s">
        <v>1984</v>
      </c>
      <c r="B1834" s="44" t="n">
        <v>46229</v>
      </c>
      <c r="C1834" s="31" t="s">
        <v>60</v>
      </c>
      <c r="D1834" s="31" t="s">
        <v>66</v>
      </c>
      <c r="E1834" s="31" t="s">
        <v>52</v>
      </c>
      <c r="F1834" s="31" t="s">
        <v>127</v>
      </c>
      <c r="G1834" s="31" t="n">
        <v>2</v>
      </c>
      <c r="H1834" s="41" t="n">
        <v>3.5</v>
      </c>
      <c r="I1834" s="31" t="s">
        <v>149</v>
      </c>
      <c r="J1834" s="31"/>
      <c r="K1834" s="31" t="s">
        <v>150</v>
      </c>
      <c r="L1834" s="45" t="n">
        <f aca="false">DATE(YEAR(B1834),MONTH(B1834),1)</f>
        <v>46204</v>
      </c>
      <c r="M1834" s="31" t="n">
        <f aca="false">WEEKDAY(B1834,2)</f>
        <v>7</v>
      </c>
      <c r="N1834" s="31" t="str">
        <f aca="false">IF(G1834&lt;=INDEX(Assumptions!$B$15:$B$18,MATCH(E1834,Assumptions!$A$15:$A$18,0)),"Yes","No")</f>
        <v>Yes</v>
      </c>
      <c r="O1834" s="31" t="str">
        <f aca="false">IF(H1834="","Open",IF(H1834&lt;=INDEX(Assumptions!$C$15:$C$18,MATCH(E1834,Assumptions!$A$15:$A$18,0)),"Yes","No"))</f>
        <v>Yes</v>
      </c>
    </row>
    <row r="1835" customFormat="false" ht="15" hidden="false" customHeight="false" outlineLevel="0" collapsed="false">
      <c r="A1835" s="31" t="s">
        <v>1985</v>
      </c>
      <c r="B1835" s="44" t="n">
        <v>46229</v>
      </c>
      <c r="C1835" s="31" t="s">
        <v>57</v>
      </c>
      <c r="D1835" s="31" t="s">
        <v>65</v>
      </c>
      <c r="E1835" s="31" t="s">
        <v>51</v>
      </c>
      <c r="F1835" s="31" t="s">
        <v>123</v>
      </c>
      <c r="G1835" s="31" t="n">
        <v>3</v>
      </c>
      <c r="H1835" s="41" t="n">
        <v>5.3</v>
      </c>
      <c r="I1835" s="31" t="s">
        <v>149</v>
      </c>
      <c r="J1835" s="31"/>
      <c r="K1835" s="31" t="s">
        <v>150</v>
      </c>
      <c r="L1835" s="45" t="n">
        <f aca="false">DATE(YEAR(B1835),MONTH(B1835),1)</f>
        <v>46204</v>
      </c>
      <c r="M1835" s="31" t="n">
        <f aca="false">WEEKDAY(B1835,2)</f>
        <v>7</v>
      </c>
      <c r="N1835" s="31" t="str">
        <f aca="false">IF(G1835&lt;=INDEX(Assumptions!$B$15:$B$18,MATCH(E1835,Assumptions!$A$15:$A$18,0)),"Yes","No")</f>
        <v>Yes</v>
      </c>
      <c r="O1835" s="31" t="str">
        <f aca="false">IF(H1835="","Open",IF(H1835&lt;=INDEX(Assumptions!$C$15:$C$18,MATCH(E1835,Assumptions!$A$15:$A$18,0)),"Yes","No"))</f>
        <v>Yes</v>
      </c>
    </row>
    <row r="1836" customFormat="false" ht="15" hidden="false" customHeight="false" outlineLevel="0" collapsed="false">
      <c r="A1836" s="31" t="s">
        <v>1986</v>
      </c>
      <c r="B1836" s="44" t="n">
        <v>46229</v>
      </c>
      <c r="C1836" s="31" t="s">
        <v>60</v>
      </c>
      <c r="D1836" s="31" t="s">
        <v>65</v>
      </c>
      <c r="E1836" s="31" t="s">
        <v>51</v>
      </c>
      <c r="F1836" s="31" t="s">
        <v>130</v>
      </c>
      <c r="G1836" s="31" t="n">
        <v>1</v>
      </c>
      <c r="H1836" s="41" t="n">
        <v>17.6</v>
      </c>
      <c r="I1836" s="31" t="s">
        <v>64</v>
      </c>
      <c r="J1836" s="31" t="n">
        <v>4</v>
      </c>
      <c r="K1836" s="31" t="s">
        <v>150</v>
      </c>
      <c r="L1836" s="45" t="n">
        <f aca="false">DATE(YEAR(B1836),MONTH(B1836),1)</f>
        <v>46204</v>
      </c>
      <c r="M1836" s="31" t="n">
        <f aca="false">WEEKDAY(B1836,2)</f>
        <v>7</v>
      </c>
      <c r="N1836" s="31" t="str">
        <f aca="false">IF(G1836&lt;=INDEX(Assumptions!$B$15:$B$18,MATCH(E1836,Assumptions!$A$15:$A$18,0)),"Yes","No")</f>
        <v>Yes</v>
      </c>
      <c r="O1836" s="31" t="str">
        <f aca="false">IF(H1836="","Open",IF(H1836&lt;=INDEX(Assumptions!$C$15:$C$18,MATCH(E1836,Assumptions!$A$15:$A$18,0)),"Yes","No"))</f>
        <v>Yes</v>
      </c>
    </row>
    <row r="1837" customFormat="false" ht="15" hidden="false" customHeight="false" outlineLevel="0" collapsed="false">
      <c r="A1837" s="31" t="s">
        <v>1987</v>
      </c>
      <c r="B1837" s="44" t="n">
        <v>46229</v>
      </c>
      <c r="C1837" s="31" t="s">
        <v>58</v>
      </c>
      <c r="D1837" s="31" t="s">
        <v>69</v>
      </c>
      <c r="E1837" s="31" t="s">
        <v>51</v>
      </c>
      <c r="F1837" s="31" t="s">
        <v>122</v>
      </c>
      <c r="G1837" s="31" t="n">
        <v>23</v>
      </c>
      <c r="H1837" s="41" t="n">
        <v>34.7</v>
      </c>
      <c r="I1837" s="31" t="s">
        <v>149</v>
      </c>
      <c r="J1837" s="31"/>
      <c r="K1837" s="31" t="s">
        <v>150</v>
      </c>
      <c r="L1837" s="45" t="n">
        <f aca="false">DATE(YEAR(B1837),MONTH(B1837),1)</f>
        <v>46204</v>
      </c>
      <c r="M1837" s="31" t="n">
        <f aca="false">WEEKDAY(B1837,2)</f>
        <v>7</v>
      </c>
      <c r="N1837" s="31" t="str">
        <f aca="false">IF(G1837&lt;=INDEX(Assumptions!$B$15:$B$18,MATCH(E1837,Assumptions!$A$15:$A$18,0)),"Yes","No")</f>
        <v>Yes</v>
      </c>
      <c r="O1837" s="31" t="str">
        <f aca="false">IF(H1837="","Open",IF(H1837&lt;=INDEX(Assumptions!$C$15:$C$18,MATCH(E1837,Assumptions!$A$15:$A$18,0)),"Yes","No"))</f>
        <v>No</v>
      </c>
    </row>
    <row r="1838" customFormat="false" ht="15" hidden="false" customHeight="false" outlineLevel="0" collapsed="false">
      <c r="A1838" s="31" t="s">
        <v>1988</v>
      </c>
      <c r="B1838" s="44" t="n">
        <v>46230</v>
      </c>
      <c r="C1838" s="31" t="s">
        <v>58</v>
      </c>
      <c r="D1838" s="31" t="s">
        <v>69</v>
      </c>
      <c r="E1838" s="31" t="s">
        <v>51</v>
      </c>
      <c r="F1838" s="31" t="s">
        <v>136</v>
      </c>
      <c r="G1838" s="31" t="n">
        <v>20</v>
      </c>
      <c r="H1838" s="41" t="n">
        <v>4.2</v>
      </c>
      <c r="I1838" s="31" t="s">
        <v>149</v>
      </c>
      <c r="J1838" s="31" t="n">
        <v>4</v>
      </c>
      <c r="K1838" s="31" t="s">
        <v>150</v>
      </c>
      <c r="L1838" s="45" t="n">
        <f aca="false">DATE(YEAR(B1838),MONTH(B1838),1)</f>
        <v>46204</v>
      </c>
      <c r="M1838" s="31" t="n">
        <f aca="false">WEEKDAY(B1838,2)</f>
        <v>1</v>
      </c>
      <c r="N1838" s="31" t="str">
        <f aca="false">IF(G1838&lt;=INDEX(Assumptions!$B$15:$B$18,MATCH(E1838,Assumptions!$A$15:$A$18,0)),"Yes","No")</f>
        <v>Yes</v>
      </c>
      <c r="O1838" s="31" t="str">
        <f aca="false">IF(H1838="","Open",IF(H1838&lt;=INDEX(Assumptions!$C$15:$C$18,MATCH(E1838,Assumptions!$A$15:$A$18,0)),"Yes","No"))</f>
        <v>Yes</v>
      </c>
    </row>
    <row r="1839" customFormat="false" ht="15" hidden="false" customHeight="false" outlineLevel="0" collapsed="false">
      <c r="A1839" s="31" t="s">
        <v>1989</v>
      </c>
      <c r="B1839" s="44" t="n">
        <v>46230</v>
      </c>
      <c r="C1839" s="31" t="s">
        <v>59</v>
      </c>
      <c r="D1839" s="31" t="s">
        <v>65</v>
      </c>
      <c r="E1839" s="31" t="s">
        <v>51</v>
      </c>
      <c r="F1839" s="31" t="s">
        <v>136</v>
      </c>
      <c r="G1839" s="31" t="n">
        <v>216</v>
      </c>
      <c r="H1839" s="41" t="n">
        <v>3.2</v>
      </c>
      <c r="I1839" s="31" t="s">
        <v>149</v>
      </c>
      <c r="J1839" s="31"/>
      <c r="K1839" s="31" t="s">
        <v>150</v>
      </c>
      <c r="L1839" s="45" t="n">
        <f aca="false">DATE(YEAR(B1839),MONTH(B1839),1)</f>
        <v>46204</v>
      </c>
      <c r="M1839" s="31" t="n">
        <f aca="false">WEEKDAY(B1839,2)</f>
        <v>1</v>
      </c>
      <c r="N1839" s="31" t="str">
        <f aca="false">IF(G1839&lt;=INDEX(Assumptions!$B$15:$B$18,MATCH(E1839,Assumptions!$A$15:$A$18,0)),"Yes","No")</f>
        <v>No</v>
      </c>
      <c r="O1839" s="31" t="str">
        <f aca="false">IF(H1839="","Open",IF(H1839&lt;=INDEX(Assumptions!$C$15:$C$18,MATCH(E1839,Assumptions!$A$15:$A$18,0)),"Yes","No"))</f>
        <v>Yes</v>
      </c>
    </row>
    <row r="1840" customFormat="false" ht="15" hidden="false" customHeight="false" outlineLevel="0" collapsed="false">
      <c r="A1840" s="31" t="s">
        <v>1990</v>
      </c>
      <c r="B1840" s="44" t="n">
        <v>46230</v>
      </c>
      <c r="C1840" s="31" t="s">
        <v>60</v>
      </c>
      <c r="D1840" s="31" t="s">
        <v>66</v>
      </c>
      <c r="E1840" s="31" t="s">
        <v>50</v>
      </c>
      <c r="F1840" s="31" t="s">
        <v>129</v>
      </c>
      <c r="G1840" s="31" t="n">
        <v>2</v>
      </c>
      <c r="H1840" s="41" t="n">
        <v>3.4</v>
      </c>
      <c r="I1840" s="31" t="s">
        <v>149</v>
      </c>
      <c r="J1840" s="31"/>
      <c r="K1840" s="31" t="s">
        <v>150</v>
      </c>
      <c r="L1840" s="45" t="n">
        <f aca="false">DATE(YEAR(B1840),MONTH(B1840),1)</f>
        <v>46204</v>
      </c>
      <c r="M1840" s="31" t="n">
        <f aca="false">WEEKDAY(B1840,2)</f>
        <v>1</v>
      </c>
      <c r="N1840" s="31" t="str">
        <f aca="false">IF(G1840&lt;=INDEX(Assumptions!$B$15:$B$18,MATCH(E1840,Assumptions!$A$15:$A$18,0)),"Yes","No")</f>
        <v>Yes</v>
      </c>
      <c r="O1840" s="31" t="str">
        <f aca="false">IF(H1840="","Open",IF(H1840&lt;=INDEX(Assumptions!$C$15:$C$18,MATCH(E1840,Assumptions!$A$15:$A$18,0)),"Yes","No"))</f>
        <v>Yes</v>
      </c>
    </row>
    <row r="1841" customFormat="false" ht="15" hidden="false" customHeight="false" outlineLevel="0" collapsed="false">
      <c r="A1841" s="31" t="s">
        <v>1991</v>
      </c>
      <c r="B1841" s="44" t="n">
        <v>46230</v>
      </c>
      <c r="C1841" s="31" t="s">
        <v>58</v>
      </c>
      <c r="D1841" s="31" t="s">
        <v>68</v>
      </c>
      <c r="E1841" s="31" t="s">
        <v>51</v>
      </c>
      <c r="F1841" s="31" t="s">
        <v>128</v>
      </c>
      <c r="G1841" s="31" t="n">
        <v>8</v>
      </c>
      <c r="H1841" s="41" t="n">
        <v>8.3</v>
      </c>
      <c r="I1841" s="31" t="s">
        <v>149</v>
      </c>
      <c r="J1841" s="31"/>
      <c r="K1841" s="31" t="s">
        <v>150</v>
      </c>
      <c r="L1841" s="45" t="n">
        <f aca="false">DATE(YEAR(B1841),MONTH(B1841),1)</f>
        <v>46204</v>
      </c>
      <c r="M1841" s="31" t="n">
        <f aca="false">WEEKDAY(B1841,2)</f>
        <v>1</v>
      </c>
      <c r="N1841" s="31" t="str">
        <f aca="false">IF(G1841&lt;=INDEX(Assumptions!$B$15:$B$18,MATCH(E1841,Assumptions!$A$15:$A$18,0)),"Yes","No")</f>
        <v>Yes</v>
      </c>
      <c r="O1841" s="31" t="str">
        <f aca="false">IF(H1841="","Open",IF(H1841&lt;=INDEX(Assumptions!$C$15:$C$18,MATCH(E1841,Assumptions!$A$15:$A$18,0)),"Yes","No"))</f>
        <v>Yes</v>
      </c>
    </row>
    <row r="1842" customFormat="false" ht="15" hidden="false" customHeight="false" outlineLevel="0" collapsed="false">
      <c r="A1842" s="31" t="s">
        <v>1992</v>
      </c>
      <c r="B1842" s="44" t="n">
        <v>46230</v>
      </c>
      <c r="C1842" s="31" t="s">
        <v>57</v>
      </c>
      <c r="D1842" s="31" t="s">
        <v>65</v>
      </c>
      <c r="E1842" s="31" t="s">
        <v>50</v>
      </c>
      <c r="F1842" s="31" t="s">
        <v>133</v>
      </c>
      <c r="G1842" s="31" t="n">
        <v>2</v>
      </c>
      <c r="H1842" s="41" t="n">
        <v>2.4</v>
      </c>
      <c r="I1842" s="31" t="s">
        <v>149</v>
      </c>
      <c r="J1842" s="31"/>
      <c r="K1842" s="31" t="s">
        <v>150</v>
      </c>
      <c r="L1842" s="45" t="n">
        <f aca="false">DATE(YEAR(B1842),MONTH(B1842),1)</f>
        <v>46204</v>
      </c>
      <c r="M1842" s="31" t="n">
        <f aca="false">WEEKDAY(B1842,2)</f>
        <v>1</v>
      </c>
      <c r="N1842" s="31" t="str">
        <f aca="false">IF(G1842&lt;=INDEX(Assumptions!$B$15:$B$18,MATCH(E1842,Assumptions!$A$15:$A$18,0)),"Yes","No")</f>
        <v>Yes</v>
      </c>
      <c r="O1842" s="31" t="str">
        <f aca="false">IF(H1842="","Open",IF(H1842&lt;=INDEX(Assumptions!$C$15:$C$18,MATCH(E1842,Assumptions!$A$15:$A$18,0)),"Yes","No"))</f>
        <v>Yes</v>
      </c>
    </row>
    <row r="1843" customFormat="false" ht="15" hidden="false" customHeight="false" outlineLevel="0" collapsed="false">
      <c r="A1843" s="31" t="s">
        <v>1993</v>
      </c>
      <c r="B1843" s="44" t="n">
        <v>46230</v>
      </c>
      <c r="C1843" s="31" t="s">
        <v>57</v>
      </c>
      <c r="D1843" s="31" t="s">
        <v>65</v>
      </c>
      <c r="E1843" s="31" t="s">
        <v>52</v>
      </c>
      <c r="F1843" s="31" t="s">
        <v>122</v>
      </c>
      <c r="G1843" s="31" t="n">
        <v>5</v>
      </c>
      <c r="H1843" s="41" t="n">
        <v>25.2</v>
      </c>
      <c r="I1843" s="31" t="s">
        <v>149</v>
      </c>
      <c r="J1843" s="31" t="n">
        <v>4</v>
      </c>
      <c r="K1843" s="31" t="s">
        <v>150</v>
      </c>
      <c r="L1843" s="45" t="n">
        <f aca="false">DATE(YEAR(B1843),MONTH(B1843),1)</f>
        <v>46204</v>
      </c>
      <c r="M1843" s="31" t="n">
        <f aca="false">WEEKDAY(B1843,2)</f>
        <v>1</v>
      </c>
      <c r="N1843" s="31" t="str">
        <f aca="false">IF(G1843&lt;=INDEX(Assumptions!$B$15:$B$18,MATCH(E1843,Assumptions!$A$15:$A$18,0)),"Yes","No")</f>
        <v>Yes</v>
      </c>
      <c r="O1843" s="31" t="str">
        <f aca="false">IF(H1843="","Open",IF(H1843&lt;=INDEX(Assumptions!$C$15:$C$18,MATCH(E1843,Assumptions!$A$15:$A$18,0)),"Yes","No"))</f>
        <v>Yes</v>
      </c>
    </row>
    <row r="1844" customFormat="false" ht="15" hidden="false" customHeight="false" outlineLevel="0" collapsed="false">
      <c r="A1844" s="31" t="s">
        <v>1994</v>
      </c>
      <c r="B1844" s="44" t="n">
        <v>46230</v>
      </c>
      <c r="C1844" s="31" t="s">
        <v>57</v>
      </c>
      <c r="D1844" s="31" t="s">
        <v>65</v>
      </c>
      <c r="E1844" s="31" t="s">
        <v>50</v>
      </c>
      <c r="F1844" s="31" t="s">
        <v>137</v>
      </c>
      <c r="G1844" s="31" t="n">
        <v>3</v>
      </c>
      <c r="H1844" s="41" t="n">
        <v>2.8</v>
      </c>
      <c r="I1844" s="31" t="s">
        <v>149</v>
      </c>
      <c r="J1844" s="31"/>
      <c r="K1844" s="31" t="s">
        <v>150</v>
      </c>
      <c r="L1844" s="45" t="n">
        <f aca="false">DATE(YEAR(B1844),MONTH(B1844),1)</f>
        <v>46204</v>
      </c>
      <c r="M1844" s="31" t="n">
        <f aca="false">WEEKDAY(B1844,2)</f>
        <v>1</v>
      </c>
      <c r="N1844" s="31" t="str">
        <f aca="false">IF(G1844&lt;=INDEX(Assumptions!$B$15:$B$18,MATCH(E1844,Assumptions!$A$15:$A$18,0)),"Yes","No")</f>
        <v>Yes</v>
      </c>
      <c r="O1844" s="31" t="str">
        <f aca="false">IF(H1844="","Open",IF(H1844&lt;=INDEX(Assumptions!$C$15:$C$18,MATCH(E1844,Assumptions!$A$15:$A$18,0)),"Yes","No"))</f>
        <v>Yes</v>
      </c>
    </row>
    <row r="1845" customFormat="false" ht="15" hidden="false" customHeight="false" outlineLevel="0" collapsed="false">
      <c r="A1845" s="31" t="s">
        <v>1995</v>
      </c>
      <c r="B1845" s="44" t="n">
        <v>46230</v>
      </c>
      <c r="C1845" s="31" t="s">
        <v>57</v>
      </c>
      <c r="D1845" s="31" t="s">
        <v>66</v>
      </c>
      <c r="E1845" s="31" t="s">
        <v>50</v>
      </c>
      <c r="F1845" s="31" t="s">
        <v>123</v>
      </c>
      <c r="G1845" s="31" t="n">
        <v>17</v>
      </c>
      <c r="H1845" s="41" t="n">
        <v>3.1</v>
      </c>
      <c r="I1845" s="31" t="s">
        <v>149</v>
      </c>
      <c r="J1845" s="31" t="n">
        <v>4</v>
      </c>
      <c r="K1845" s="31" t="s">
        <v>150</v>
      </c>
      <c r="L1845" s="45" t="n">
        <f aca="false">DATE(YEAR(B1845),MONTH(B1845),1)</f>
        <v>46204</v>
      </c>
      <c r="M1845" s="31" t="n">
        <f aca="false">WEEKDAY(B1845,2)</f>
        <v>1</v>
      </c>
      <c r="N1845" s="31" t="str">
        <f aca="false">IF(G1845&lt;=INDEX(Assumptions!$B$15:$B$18,MATCH(E1845,Assumptions!$A$15:$A$18,0)),"Yes","No")</f>
        <v>Yes</v>
      </c>
      <c r="O1845" s="31" t="str">
        <f aca="false">IF(H1845="","Open",IF(H1845&lt;=INDEX(Assumptions!$C$15:$C$18,MATCH(E1845,Assumptions!$A$15:$A$18,0)),"Yes","No"))</f>
        <v>Yes</v>
      </c>
    </row>
    <row r="1846" customFormat="false" ht="15" hidden="false" customHeight="false" outlineLevel="0" collapsed="false">
      <c r="A1846" s="31" t="s">
        <v>1996</v>
      </c>
      <c r="B1846" s="44" t="n">
        <v>46230</v>
      </c>
      <c r="C1846" s="31" t="s">
        <v>58</v>
      </c>
      <c r="D1846" s="31" t="s">
        <v>65</v>
      </c>
      <c r="E1846" s="31" t="s">
        <v>51</v>
      </c>
      <c r="F1846" s="31" t="s">
        <v>130</v>
      </c>
      <c r="G1846" s="31" t="n">
        <v>6</v>
      </c>
      <c r="H1846" s="41" t="n">
        <v>3.5</v>
      </c>
      <c r="I1846" s="31" t="s">
        <v>149</v>
      </c>
      <c r="J1846" s="31" t="n">
        <v>5</v>
      </c>
      <c r="K1846" s="31" t="s">
        <v>153</v>
      </c>
      <c r="L1846" s="45" t="n">
        <f aca="false">DATE(YEAR(B1846),MONTH(B1846),1)</f>
        <v>46204</v>
      </c>
      <c r="M1846" s="31" t="n">
        <f aca="false">WEEKDAY(B1846,2)</f>
        <v>1</v>
      </c>
      <c r="N1846" s="31" t="str">
        <f aca="false">IF(G1846&lt;=INDEX(Assumptions!$B$15:$B$18,MATCH(E1846,Assumptions!$A$15:$A$18,0)),"Yes","No")</f>
        <v>Yes</v>
      </c>
      <c r="O1846" s="31" t="str">
        <f aca="false">IF(H1846="","Open",IF(H1846&lt;=INDEX(Assumptions!$C$15:$C$18,MATCH(E1846,Assumptions!$A$15:$A$18,0)),"Yes","No"))</f>
        <v>Yes</v>
      </c>
    </row>
    <row r="1847" customFormat="false" ht="15" hidden="false" customHeight="false" outlineLevel="0" collapsed="false">
      <c r="A1847" s="31" t="s">
        <v>1997</v>
      </c>
      <c r="B1847" s="44" t="n">
        <v>46230</v>
      </c>
      <c r="C1847" s="31" t="s">
        <v>59</v>
      </c>
      <c r="D1847" s="31" t="s">
        <v>69</v>
      </c>
      <c r="E1847" s="31" t="s">
        <v>51</v>
      </c>
      <c r="F1847" s="31" t="s">
        <v>130</v>
      </c>
      <c r="G1847" s="31" t="n">
        <v>40</v>
      </c>
      <c r="H1847" s="41" t="n">
        <v>19.5</v>
      </c>
      <c r="I1847" s="31" t="s">
        <v>149</v>
      </c>
      <c r="J1847" s="31"/>
      <c r="K1847" s="31" t="s">
        <v>150</v>
      </c>
      <c r="L1847" s="45" t="n">
        <f aca="false">DATE(YEAR(B1847),MONTH(B1847),1)</f>
        <v>46204</v>
      </c>
      <c r="M1847" s="31" t="n">
        <f aca="false">WEEKDAY(B1847,2)</f>
        <v>1</v>
      </c>
      <c r="N1847" s="31" t="str">
        <f aca="false">IF(G1847&lt;=INDEX(Assumptions!$B$15:$B$18,MATCH(E1847,Assumptions!$A$15:$A$18,0)),"Yes","No")</f>
        <v>Yes</v>
      </c>
      <c r="O1847" s="31" t="str">
        <f aca="false">IF(H1847="","Open",IF(H1847&lt;=INDEX(Assumptions!$C$15:$C$18,MATCH(E1847,Assumptions!$A$15:$A$18,0)),"Yes","No"))</f>
        <v>Yes</v>
      </c>
    </row>
    <row r="1848" customFormat="false" ht="15" hidden="false" customHeight="false" outlineLevel="0" collapsed="false">
      <c r="A1848" s="31" t="s">
        <v>1998</v>
      </c>
      <c r="B1848" s="44" t="n">
        <v>46230</v>
      </c>
      <c r="C1848" s="31" t="s">
        <v>57</v>
      </c>
      <c r="D1848" s="31" t="s">
        <v>67</v>
      </c>
      <c r="E1848" s="31" t="s">
        <v>51</v>
      </c>
      <c r="F1848" s="31" t="s">
        <v>133</v>
      </c>
      <c r="G1848" s="31" t="n">
        <v>4</v>
      </c>
      <c r="H1848" s="41" t="n">
        <v>10.2</v>
      </c>
      <c r="I1848" s="31" t="s">
        <v>149</v>
      </c>
      <c r="J1848" s="31" t="n">
        <v>4</v>
      </c>
      <c r="K1848" s="31" t="s">
        <v>150</v>
      </c>
      <c r="L1848" s="45" t="n">
        <f aca="false">DATE(YEAR(B1848),MONTH(B1848),1)</f>
        <v>46204</v>
      </c>
      <c r="M1848" s="31" t="n">
        <f aca="false">WEEKDAY(B1848,2)</f>
        <v>1</v>
      </c>
      <c r="N1848" s="31" t="str">
        <f aca="false">IF(G1848&lt;=INDEX(Assumptions!$B$15:$B$18,MATCH(E1848,Assumptions!$A$15:$A$18,0)),"Yes","No")</f>
        <v>Yes</v>
      </c>
      <c r="O1848" s="31" t="str">
        <f aca="false">IF(H1848="","Open",IF(H1848&lt;=INDEX(Assumptions!$C$15:$C$18,MATCH(E1848,Assumptions!$A$15:$A$18,0)),"Yes","No"))</f>
        <v>Yes</v>
      </c>
    </row>
    <row r="1849" customFormat="false" ht="15" hidden="false" customHeight="false" outlineLevel="0" collapsed="false">
      <c r="A1849" s="31" t="s">
        <v>1999</v>
      </c>
      <c r="B1849" s="44" t="n">
        <v>46230</v>
      </c>
      <c r="C1849" s="31" t="s">
        <v>57</v>
      </c>
      <c r="D1849" s="31" t="s">
        <v>69</v>
      </c>
      <c r="E1849" s="31" t="s">
        <v>52</v>
      </c>
      <c r="F1849" s="31" t="s">
        <v>121</v>
      </c>
      <c r="G1849" s="31" t="n">
        <v>9</v>
      </c>
      <c r="H1849" s="41" t="n">
        <v>11.6</v>
      </c>
      <c r="I1849" s="31" t="s">
        <v>149</v>
      </c>
      <c r="J1849" s="31"/>
      <c r="K1849" s="31" t="s">
        <v>150</v>
      </c>
      <c r="L1849" s="45" t="n">
        <f aca="false">DATE(YEAR(B1849),MONTH(B1849),1)</f>
        <v>46204</v>
      </c>
      <c r="M1849" s="31" t="n">
        <f aca="false">WEEKDAY(B1849,2)</f>
        <v>1</v>
      </c>
      <c r="N1849" s="31" t="str">
        <f aca="false">IF(G1849&lt;=INDEX(Assumptions!$B$15:$B$18,MATCH(E1849,Assumptions!$A$15:$A$18,0)),"Yes","No")</f>
        <v>Yes</v>
      </c>
      <c r="O1849" s="31" t="str">
        <f aca="false">IF(H1849="","Open",IF(H1849&lt;=INDEX(Assumptions!$C$15:$C$18,MATCH(E1849,Assumptions!$A$15:$A$18,0)),"Yes","No"))</f>
        <v>Yes</v>
      </c>
    </row>
    <row r="1850" customFormat="false" ht="15" hidden="false" customHeight="false" outlineLevel="0" collapsed="false">
      <c r="A1850" s="31" t="s">
        <v>2000</v>
      </c>
      <c r="B1850" s="44" t="n">
        <v>46230</v>
      </c>
      <c r="C1850" s="31" t="s">
        <v>60</v>
      </c>
      <c r="D1850" s="31" t="s">
        <v>66</v>
      </c>
      <c r="E1850" s="31" t="s">
        <v>50</v>
      </c>
      <c r="F1850" s="31" t="s">
        <v>127</v>
      </c>
      <c r="G1850" s="31" t="n">
        <v>2</v>
      </c>
      <c r="H1850" s="41" t="n">
        <v>0.4</v>
      </c>
      <c r="I1850" s="31" t="s">
        <v>149</v>
      </c>
      <c r="J1850" s="31"/>
      <c r="K1850" s="31" t="s">
        <v>150</v>
      </c>
      <c r="L1850" s="45" t="n">
        <f aca="false">DATE(YEAR(B1850),MONTH(B1850),1)</f>
        <v>46204</v>
      </c>
      <c r="M1850" s="31" t="n">
        <f aca="false">WEEKDAY(B1850,2)</f>
        <v>1</v>
      </c>
      <c r="N1850" s="31" t="str">
        <f aca="false">IF(G1850&lt;=INDEX(Assumptions!$B$15:$B$18,MATCH(E1850,Assumptions!$A$15:$A$18,0)),"Yes","No")</f>
        <v>Yes</v>
      </c>
      <c r="O1850" s="31" t="str">
        <f aca="false">IF(H1850="","Open",IF(H1850&lt;=INDEX(Assumptions!$C$15:$C$18,MATCH(E1850,Assumptions!$A$15:$A$18,0)),"Yes","No"))</f>
        <v>Yes</v>
      </c>
    </row>
    <row r="1851" customFormat="false" ht="15" hidden="false" customHeight="false" outlineLevel="0" collapsed="false">
      <c r="A1851" s="31" t="s">
        <v>2001</v>
      </c>
      <c r="B1851" s="44" t="n">
        <v>46230</v>
      </c>
      <c r="C1851" s="31" t="s">
        <v>58</v>
      </c>
      <c r="D1851" s="31" t="s">
        <v>67</v>
      </c>
      <c r="E1851" s="31" t="s">
        <v>51</v>
      </c>
      <c r="F1851" s="31" t="s">
        <v>127</v>
      </c>
      <c r="G1851" s="31" t="n">
        <v>2</v>
      </c>
      <c r="H1851" s="41" t="n">
        <v>4.7</v>
      </c>
      <c r="I1851" s="31" t="s">
        <v>149</v>
      </c>
      <c r="J1851" s="31"/>
      <c r="K1851" s="31" t="s">
        <v>150</v>
      </c>
      <c r="L1851" s="45" t="n">
        <f aca="false">DATE(YEAR(B1851),MONTH(B1851),1)</f>
        <v>46204</v>
      </c>
      <c r="M1851" s="31" t="n">
        <f aca="false">WEEKDAY(B1851,2)</f>
        <v>1</v>
      </c>
      <c r="N1851" s="31" t="str">
        <f aca="false">IF(G1851&lt;=INDEX(Assumptions!$B$15:$B$18,MATCH(E1851,Assumptions!$A$15:$A$18,0)),"Yes","No")</f>
        <v>Yes</v>
      </c>
      <c r="O1851" s="31" t="str">
        <f aca="false">IF(H1851="","Open",IF(H1851&lt;=INDEX(Assumptions!$C$15:$C$18,MATCH(E1851,Assumptions!$A$15:$A$18,0)),"Yes","No"))</f>
        <v>Yes</v>
      </c>
    </row>
    <row r="1852" customFormat="false" ht="15" hidden="false" customHeight="false" outlineLevel="0" collapsed="false">
      <c r="A1852" s="31" t="s">
        <v>2002</v>
      </c>
      <c r="B1852" s="44" t="n">
        <v>46230</v>
      </c>
      <c r="C1852" s="31" t="s">
        <v>57</v>
      </c>
      <c r="D1852" s="31" t="s">
        <v>67</v>
      </c>
      <c r="E1852" s="31" t="s">
        <v>51</v>
      </c>
      <c r="F1852" s="31" t="s">
        <v>123</v>
      </c>
      <c r="G1852" s="31" t="n">
        <v>13</v>
      </c>
      <c r="H1852" s="41" t="n">
        <v>6.3</v>
      </c>
      <c r="I1852" s="31" t="s">
        <v>149</v>
      </c>
      <c r="J1852" s="31" t="n">
        <v>4</v>
      </c>
      <c r="K1852" s="31" t="s">
        <v>150</v>
      </c>
      <c r="L1852" s="45" t="n">
        <f aca="false">DATE(YEAR(B1852),MONTH(B1852),1)</f>
        <v>46204</v>
      </c>
      <c r="M1852" s="31" t="n">
        <f aca="false">WEEKDAY(B1852,2)</f>
        <v>1</v>
      </c>
      <c r="N1852" s="31" t="str">
        <f aca="false">IF(G1852&lt;=INDEX(Assumptions!$B$15:$B$18,MATCH(E1852,Assumptions!$A$15:$A$18,0)),"Yes","No")</f>
        <v>Yes</v>
      </c>
      <c r="O1852" s="31" t="str">
        <f aca="false">IF(H1852="","Open",IF(H1852&lt;=INDEX(Assumptions!$C$15:$C$18,MATCH(E1852,Assumptions!$A$15:$A$18,0)),"Yes","No"))</f>
        <v>Yes</v>
      </c>
    </row>
    <row r="1853" customFormat="false" ht="15" hidden="false" customHeight="false" outlineLevel="0" collapsed="false">
      <c r="A1853" s="31" t="s">
        <v>2003</v>
      </c>
      <c r="B1853" s="44" t="n">
        <v>46230</v>
      </c>
      <c r="C1853" s="31" t="s">
        <v>58</v>
      </c>
      <c r="D1853" s="31" t="s">
        <v>67</v>
      </c>
      <c r="E1853" s="31" t="s">
        <v>51</v>
      </c>
      <c r="F1853" s="31" t="s">
        <v>130</v>
      </c>
      <c r="G1853" s="31" t="n">
        <v>20</v>
      </c>
      <c r="H1853" s="41" t="n">
        <v>10.6</v>
      </c>
      <c r="I1853" s="31" t="s">
        <v>149</v>
      </c>
      <c r="J1853" s="31" t="n">
        <v>5</v>
      </c>
      <c r="K1853" s="31" t="s">
        <v>153</v>
      </c>
      <c r="L1853" s="45" t="n">
        <f aca="false">DATE(YEAR(B1853),MONTH(B1853),1)</f>
        <v>46204</v>
      </c>
      <c r="M1853" s="31" t="n">
        <f aca="false">WEEKDAY(B1853,2)</f>
        <v>1</v>
      </c>
      <c r="N1853" s="31" t="str">
        <f aca="false">IF(G1853&lt;=INDEX(Assumptions!$B$15:$B$18,MATCH(E1853,Assumptions!$A$15:$A$18,0)),"Yes","No")</f>
        <v>Yes</v>
      </c>
      <c r="O1853" s="31" t="str">
        <f aca="false">IF(H1853="","Open",IF(H1853&lt;=INDEX(Assumptions!$C$15:$C$18,MATCH(E1853,Assumptions!$A$15:$A$18,0)),"Yes","No"))</f>
        <v>Yes</v>
      </c>
    </row>
    <row r="1854" customFormat="false" ht="15" hidden="false" customHeight="false" outlineLevel="0" collapsed="false">
      <c r="A1854" s="31" t="s">
        <v>2004</v>
      </c>
      <c r="B1854" s="44" t="n">
        <v>46230</v>
      </c>
      <c r="C1854" s="31" t="s">
        <v>57</v>
      </c>
      <c r="D1854" s="31" t="s">
        <v>68</v>
      </c>
      <c r="E1854" s="31" t="s">
        <v>51</v>
      </c>
      <c r="F1854" s="31" t="s">
        <v>120</v>
      </c>
      <c r="G1854" s="31" t="n">
        <v>11</v>
      </c>
      <c r="H1854" s="41" t="n">
        <v>3.7</v>
      </c>
      <c r="I1854" s="31" t="s">
        <v>149</v>
      </c>
      <c r="J1854" s="31" t="n">
        <v>3</v>
      </c>
      <c r="K1854" s="31" t="s">
        <v>150</v>
      </c>
      <c r="L1854" s="45" t="n">
        <f aca="false">DATE(YEAR(B1854),MONTH(B1854),1)</f>
        <v>46204</v>
      </c>
      <c r="M1854" s="31" t="n">
        <f aca="false">WEEKDAY(B1854,2)</f>
        <v>1</v>
      </c>
      <c r="N1854" s="31" t="str">
        <f aca="false">IF(G1854&lt;=INDEX(Assumptions!$B$15:$B$18,MATCH(E1854,Assumptions!$A$15:$A$18,0)),"Yes","No")</f>
        <v>Yes</v>
      </c>
      <c r="O1854" s="31" t="str">
        <f aca="false">IF(H1854="","Open",IF(H1854&lt;=INDEX(Assumptions!$C$15:$C$18,MATCH(E1854,Assumptions!$A$15:$A$18,0)),"Yes","No"))</f>
        <v>Yes</v>
      </c>
    </row>
    <row r="1855" customFormat="false" ht="15" hidden="false" customHeight="false" outlineLevel="0" collapsed="false">
      <c r="A1855" s="31" t="s">
        <v>2005</v>
      </c>
      <c r="B1855" s="44" t="n">
        <v>46230</v>
      </c>
      <c r="C1855" s="31" t="s">
        <v>58</v>
      </c>
      <c r="D1855" s="31" t="s">
        <v>66</v>
      </c>
      <c r="E1855" s="31" t="s">
        <v>50</v>
      </c>
      <c r="F1855" s="31" t="s">
        <v>123</v>
      </c>
      <c r="G1855" s="31" t="n">
        <v>2</v>
      </c>
      <c r="H1855" s="41" t="n">
        <v>9</v>
      </c>
      <c r="I1855" s="31" t="s">
        <v>149</v>
      </c>
      <c r="J1855" s="31" t="n">
        <v>4</v>
      </c>
      <c r="K1855" s="31" t="s">
        <v>150</v>
      </c>
      <c r="L1855" s="45" t="n">
        <f aca="false">DATE(YEAR(B1855),MONTH(B1855),1)</f>
        <v>46204</v>
      </c>
      <c r="M1855" s="31" t="n">
        <f aca="false">WEEKDAY(B1855,2)</f>
        <v>1</v>
      </c>
      <c r="N1855" s="31" t="str">
        <f aca="false">IF(G1855&lt;=INDEX(Assumptions!$B$15:$B$18,MATCH(E1855,Assumptions!$A$15:$A$18,0)),"Yes","No")</f>
        <v>Yes</v>
      </c>
      <c r="O1855" s="31" t="str">
        <f aca="false">IF(H1855="","Open",IF(H1855&lt;=INDEX(Assumptions!$C$15:$C$18,MATCH(E1855,Assumptions!$A$15:$A$18,0)),"Yes","No"))</f>
        <v>No</v>
      </c>
    </row>
    <row r="1856" customFormat="false" ht="15" hidden="false" customHeight="false" outlineLevel="0" collapsed="false">
      <c r="A1856" s="31" t="s">
        <v>2006</v>
      </c>
      <c r="B1856" s="44" t="n">
        <v>46230</v>
      </c>
      <c r="C1856" s="31" t="s">
        <v>58</v>
      </c>
      <c r="D1856" s="31" t="s">
        <v>65</v>
      </c>
      <c r="E1856" s="31" t="s">
        <v>52</v>
      </c>
      <c r="F1856" s="31" t="s">
        <v>123</v>
      </c>
      <c r="G1856" s="31" t="n">
        <v>7</v>
      </c>
      <c r="H1856" s="41" t="n">
        <v>15</v>
      </c>
      <c r="I1856" s="31" t="s">
        <v>149</v>
      </c>
      <c r="J1856" s="31"/>
      <c r="K1856" s="31" t="s">
        <v>150</v>
      </c>
      <c r="L1856" s="45" t="n">
        <f aca="false">DATE(YEAR(B1856),MONTH(B1856),1)</f>
        <v>46204</v>
      </c>
      <c r="M1856" s="31" t="n">
        <f aca="false">WEEKDAY(B1856,2)</f>
        <v>1</v>
      </c>
      <c r="N1856" s="31" t="str">
        <f aca="false">IF(G1856&lt;=INDEX(Assumptions!$B$15:$B$18,MATCH(E1856,Assumptions!$A$15:$A$18,0)),"Yes","No")</f>
        <v>Yes</v>
      </c>
      <c r="O1856" s="31" t="str">
        <f aca="false">IF(H1856="","Open",IF(H1856&lt;=INDEX(Assumptions!$C$15:$C$18,MATCH(E1856,Assumptions!$A$15:$A$18,0)),"Yes","No"))</f>
        <v>Yes</v>
      </c>
    </row>
    <row r="1857" customFormat="false" ht="15" hidden="false" customHeight="false" outlineLevel="0" collapsed="false">
      <c r="A1857" s="31" t="s">
        <v>2007</v>
      </c>
      <c r="B1857" s="44" t="n">
        <v>46230</v>
      </c>
      <c r="C1857" s="31" t="s">
        <v>60</v>
      </c>
      <c r="D1857" s="31" t="s">
        <v>66</v>
      </c>
      <c r="E1857" s="31" t="s">
        <v>52</v>
      </c>
      <c r="F1857" s="31" t="s">
        <v>130</v>
      </c>
      <c r="G1857" s="31" t="n">
        <v>6</v>
      </c>
      <c r="H1857" s="41" t="n">
        <v>21.9</v>
      </c>
      <c r="I1857" s="31" t="s">
        <v>149</v>
      </c>
      <c r="J1857" s="31"/>
      <c r="K1857" s="31" t="s">
        <v>150</v>
      </c>
      <c r="L1857" s="45" t="n">
        <f aca="false">DATE(YEAR(B1857),MONTH(B1857),1)</f>
        <v>46204</v>
      </c>
      <c r="M1857" s="31" t="n">
        <f aca="false">WEEKDAY(B1857,2)</f>
        <v>1</v>
      </c>
      <c r="N1857" s="31" t="str">
        <f aca="false">IF(G1857&lt;=INDEX(Assumptions!$B$15:$B$18,MATCH(E1857,Assumptions!$A$15:$A$18,0)),"Yes","No")</f>
        <v>Yes</v>
      </c>
      <c r="O1857" s="31" t="str">
        <f aca="false">IF(H1857="","Open",IF(H1857&lt;=INDEX(Assumptions!$C$15:$C$18,MATCH(E1857,Assumptions!$A$15:$A$18,0)),"Yes","No"))</f>
        <v>Yes</v>
      </c>
    </row>
    <row r="1858" customFormat="false" ht="15" hidden="false" customHeight="false" outlineLevel="0" collapsed="false">
      <c r="A1858" s="31" t="s">
        <v>2008</v>
      </c>
      <c r="B1858" s="44" t="n">
        <v>46230</v>
      </c>
      <c r="C1858" s="31" t="s">
        <v>57</v>
      </c>
      <c r="D1858" s="31" t="s">
        <v>67</v>
      </c>
      <c r="E1858" s="31" t="s">
        <v>52</v>
      </c>
      <c r="F1858" s="31" t="s">
        <v>120</v>
      </c>
      <c r="G1858" s="31" t="n">
        <v>2</v>
      </c>
      <c r="H1858" s="41" t="n">
        <v>61.9</v>
      </c>
      <c r="I1858" s="31" t="s">
        <v>149</v>
      </c>
      <c r="J1858" s="31"/>
      <c r="K1858" s="31" t="s">
        <v>150</v>
      </c>
      <c r="L1858" s="45" t="n">
        <f aca="false">DATE(YEAR(B1858),MONTH(B1858),1)</f>
        <v>46204</v>
      </c>
      <c r="M1858" s="31" t="n">
        <f aca="false">WEEKDAY(B1858,2)</f>
        <v>1</v>
      </c>
      <c r="N1858" s="31" t="str">
        <f aca="false">IF(G1858&lt;=INDEX(Assumptions!$B$15:$B$18,MATCH(E1858,Assumptions!$A$15:$A$18,0)),"Yes","No")</f>
        <v>Yes</v>
      </c>
      <c r="O1858" s="31" t="str">
        <f aca="false">IF(H1858="","Open",IF(H1858&lt;=INDEX(Assumptions!$C$15:$C$18,MATCH(E1858,Assumptions!$A$15:$A$18,0)),"Yes","No"))</f>
        <v>Yes</v>
      </c>
    </row>
    <row r="1859" customFormat="false" ht="15" hidden="false" customHeight="false" outlineLevel="0" collapsed="false">
      <c r="A1859" s="31" t="s">
        <v>2009</v>
      </c>
      <c r="B1859" s="44" t="n">
        <v>46230</v>
      </c>
      <c r="C1859" s="31" t="s">
        <v>60</v>
      </c>
      <c r="D1859" s="31" t="s">
        <v>66</v>
      </c>
      <c r="E1859" s="31" t="s">
        <v>51</v>
      </c>
      <c r="F1859" s="31" t="s">
        <v>131</v>
      </c>
      <c r="G1859" s="31" t="n">
        <v>3</v>
      </c>
      <c r="H1859" s="41" t="n">
        <v>7.5</v>
      </c>
      <c r="I1859" s="31" t="s">
        <v>149</v>
      </c>
      <c r="J1859" s="31" t="n">
        <v>3</v>
      </c>
      <c r="K1859" s="31" t="s">
        <v>150</v>
      </c>
      <c r="L1859" s="45" t="n">
        <f aca="false">DATE(YEAR(B1859),MONTH(B1859),1)</f>
        <v>46204</v>
      </c>
      <c r="M1859" s="31" t="n">
        <f aca="false">WEEKDAY(B1859,2)</f>
        <v>1</v>
      </c>
      <c r="N1859" s="31" t="str">
        <f aca="false">IF(G1859&lt;=INDEX(Assumptions!$B$15:$B$18,MATCH(E1859,Assumptions!$A$15:$A$18,0)),"Yes","No")</f>
        <v>Yes</v>
      </c>
      <c r="O1859" s="31" t="str">
        <f aca="false">IF(H1859="","Open",IF(H1859&lt;=INDEX(Assumptions!$C$15:$C$18,MATCH(E1859,Assumptions!$A$15:$A$18,0)),"Yes","No"))</f>
        <v>Yes</v>
      </c>
    </row>
    <row r="1860" customFormat="false" ht="15" hidden="false" customHeight="false" outlineLevel="0" collapsed="false">
      <c r="A1860" s="31" t="s">
        <v>2010</v>
      </c>
      <c r="B1860" s="44" t="n">
        <v>46230</v>
      </c>
      <c r="C1860" s="31" t="s">
        <v>58</v>
      </c>
      <c r="D1860" s="31" t="s">
        <v>68</v>
      </c>
      <c r="E1860" s="31" t="s">
        <v>50</v>
      </c>
      <c r="F1860" s="31" t="s">
        <v>128</v>
      </c>
      <c r="G1860" s="31" t="n">
        <v>23</v>
      </c>
      <c r="H1860" s="41" t="n">
        <v>15.5</v>
      </c>
      <c r="I1860" s="31" t="s">
        <v>64</v>
      </c>
      <c r="J1860" s="31"/>
      <c r="K1860" s="31" t="s">
        <v>150</v>
      </c>
      <c r="L1860" s="45" t="n">
        <f aca="false">DATE(YEAR(B1860),MONTH(B1860),1)</f>
        <v>46204</v>
      </c>
      <c r="M1860" s="31" t="n">
        <f aca="false">WEEKDAY(B1860,2)</f>
        <v>1</v>
      </c>
      <c r="N1860" s="31" t="str">
        <f aca="false">IF(G1860&lt;=INDEX(Assumptions!$B$15:$B$18,MATCH(E1860,Assumptions!$A$15:$A$18,0)),"Yes","No")</f>
        <v>Yes</v>
      </c>
      <c r="O1860" s="31" t="str">
        <f aca="false">IF(H1860="","Open",IF(H1860&lt;=INDEX(Assumptions!$C$15:$C$18,MATCH(E1860,Assumptions!$A$15:$A$18,0)),"Yes","No"))</f>
        <v>No</v>
      </c>
    </row>
    <row r="1861" customFormat="false" ht="15" hidden="false" customHeight="false" outlineLevel="0" collapsed="false">
      <c r="A1861" s="31" t="s">
        <v>2011</v>
      </c>
      <c r="B1861" s="44" t="n">
        <v>46230</v>
      </c>
      <c r="C1861" s="31" t="s">
        <v>58</v>
      </c>
      <c r="D1861" s="31" t="s">
        <v>68</v>
      </c>
      <c r="E1861" s="31" t="s">
        <v>51</v>
      </c>
      <c r="F1861" s="31" t="s">
        <v>129</v>
      </c>
      <c r="G1861" s="31" t="n">
        <v>8</v>
      </c>
      <c r="H1861" s="41" t="n">
        <v>7.8</v>
      </c>
      <c r="I1861" s="31" t="s">
        <v>149</v>
      </c>
      <c r="J1861" s="31" t="n">
        <v>5</v>
      </c>
      <c r="K1861" s="31" t="s">
        <v>150</v>
      </c>
      <c r="L1861" s="45" t="n">
        <f aca="false">DATE(YEAR(B1861),MONTH(B1861),1)</f>
        <v>46204</v>
      </c>
      <c r="M1861" s="31" t="n">
        <f aca="false">WEEKDAY(B1861,2)</f>
        <v>1</v>
      </c>
      <c r="N1861" s="31" t="str">
        <f aca="false">IF(G1861&lt;=INDEX(Assumptions!$B$15:$B$18,MATCH(E1861,Assumptions!$A$15:$A$18,0)),"Yes","No")</f>
        <v>Yes</v>
      </c>
      <c r="O1861" s="31" t="str">
        <f aca="false">IF(H1861="","Open",IF(H1861&lt;=INDEX(Assumptions!$C$15:$C$18,MATCH(E1861,Assumptions!$A$15:$A$18,0)),"Yes","No"))</f>
        <v>Yes</v>
      </c>
    </row>
    <row r="1862" customFormat="false" ht="15" hidden="false" customHeight="false" outlineLevel="0" collapsed="false">
      <c r="A1862" s="31" t="s">
        <v>2012</v>
      </c>
      <c r="B1862" s="44" t="n">
        <v>46230</v>
      </c>
      <c r="C1862" s="31" t="s">
        <v>58</v>
      </c>
      <c r="D1862" s="31" t="s">
        <v>66</v>
      </c>
      <c r="E1862" s="31" t="s">
        <v>50</v>
      </c>
      <c r="F1862" s="31" t="s">
        <v>123</v>
      </c>
      <c r="G1862" s="31" t="n">
        <v>14</v>
      </c>
      <c r="H1862" s="41" t="n">
        <v>3.9</v>
      </c>
      <c r="I1862" s="31" t="s">
        <v>149</v>
      </c>
      <c r="J1862" s="31"/>
      <c r="K1862" s="31" t="s">
        <v>150</v>
      </c>
      <c r="L1862" s="45" t="n">
        <f aca="false">DATE(YEAR(B1862),MONTH(B1862),1)</f>
        <v>46204</v>
      </c>
      <c r="M1862" s="31" t="n">
        <f aca="false">WEEKDAY(B1862,2)</f>
        <v>1</v>
      </c>
      <c r="N1862" s="31" t="str">
        <f aca="false">IF(G1862&lt;=INDEX(Assumptions!$B$15:$B$18,MATCH(E1862,Assumptions!$A$15:$A$18,0)),"Yes","No")</f>
        <v>Yes</v>
      </c>
      <c r="O1862" s="31" t="str">
        <f aca="false">IF(H1862="","Open",IF(H1862&lt;=INDEX(Assumptions!$C$15:$C$18,MATCH(E1862,Assumptions!$A$15:$A$18,0)),"Yes","No"))</f>
        <v>Yes</v>
      </c>
    </row>
    <row r="1863" customFormat="false" ht="15" hidden="false" customHeight="false" outlineLevel="0" collapsed="false">
      <c r="A1863" s="31" t="s">
        <v>2013</v>
      </c>
      <c r="B1863" s="44" t="n">
        <v>46230</v>
      </c>
      <c r="C1863" s="31" t="s">
        <v>57</v>
      </c>
      <c r="D1863" s="31" t="s">
        <v>66</v>
      </c>
      <c r="E1863" s="31" t="s">
        <v>50</v>
      </c>
      <c r="F1863" s="31" t="s">
        <v>128</v>
      </c>
      <c r="G1863" s="31" t="n">
        <v>11</v>
      </c>
      <c r="H1863" s="41" t="n">
        <v>1.1</v>
      </c>
      <c r="I1863" s="31" t="s">
        <v>149</v>
      </c>
      <c r="J1863" s="31"/>
      <c r="K1863" s="31" t="s">
        <v>150</v>
      </c>
      <c r="L1863" s="45" t="n">
        <f aca="false">DATE(YEAR(B1863),MONTH(B1863),1)</f>
        <v>46204</v>
      </c>
      <c r="M1863" s="31" t="n">
        <f aca="false">WEEKDAY(B1863,2)</f>
        <v>1</v>
      </c>
      <c r="N1863" s="31" t="str">
        <f aca="false">IF(G1863&lt;=INDEX(Assumptions!$B$15:$B$18,MATCH(E1863,Assumptions!$A$15:$A$18,0)),"Yes","No")</f>
        <v>Yes</v>
      </c>
      <c r="O1863" s="31" t="str">
        <f aca="false">IF(H1863="","Open",IF(H1863&lt;=INDEX(Assumptions!$C$15:$C$18,MATCH(E1863,Assumptions!$A$15:$A$18,0)),"Yes","No"))</f>
        <v>Yes</v>
      </c>
    </row>
    <row r="1864" customFormat="false" ht="15" hidden="false" customHeight="false" outlineLevel="0" collapsed="false">
      <c r="A1864" s="31" t="s">
        <v>2014</v>
      </c>
      <c r="B1864" s="44" t="n">
        <v>46230</v>
      </c>
      <c r="C1864" s="31" t="s">
        <v>57</v>
      </c>
      <c r="D1864" s="31" t="s">
        <v>69</v>
      </c>
      <c r="E1864" s="31" t="s">
        <v>52</v>
      </c>
      <c r="F1864" s="31" t="s">
        <v>121</v>
      </c>
      <c r="G1864" s="31" t="n">
        <v>13</v>
      </c>
      <c r="H1864" s="41" t="n">
        <v>90.1</v>
      </c>
      <c r="I1864" s="31" t="s">
        <v>149</v>
      </c>
      <c r="J1864" s="31"/>
      <c r="K1864" s="31" t="s">
        <v>150</v>
      </c>
      <c r="L1864" s="45" t="n">
        <f aca="false">DATE(YEAR(B1864),MONTH(B1864),1)</f>
        <v>46204</v>
      </c>
      <c r="M1864" s="31" t="n">
        <f aca="false">WEEKDAY(B1864,2)</f>
        <v>1</v>
      </c>
      <c r="N1864" s="31" t="str">
        <f aca="false">IF(G1864&lt;=INDEX(Assumptions!$B$15:$B$18,MATCH(E1864,Assumptions!$A$15:$A$18,0)),"Yes","No")</f>
        <v>Yes</v>
      </c>
      <c r="O1864" s="31" t="str">
        <f aca="false">IF(H1864="","Open",IF(H1864&lt;=INDEX(Assumptions!$C$15:$C$18,MATCH(E1864,Assumptions!$A$15:$A$18,0)),"Yes","No"))</f>
        <v>No</v>
      </c>
    </row>
    <row r="1865" customFormat="false" ht="15" hidden="false" customHeight="false" outlineLevel="0" collapsed="false">
      <c r="A1865" s="31" t="s">
        <v>2015</v>
      </c>
      <c r="B1865" s="44" t="n">
        <v>46230</v>
      </c>
      <c r="C1865" s="31" t="s">
        <v>60</v>
      </c>
      <c r="D1865" s="31" t="s">
        <v>65</v>
      </c>
      <c r="E1865" s="31" t="s">
        <v>51</v>
      </c>
      <c r="F1865" s="31" t="s">
        <v>123</v>
      </c>
      <c r="G1865" s="31" t="n">
        <v>2</v>
      </c>
      <c r="H1865" s="41" t="n">
        <v>12.8</v>
      </c>
      <c r="I1865" s="31" t="s">
        <v>149</v>
      </c>
      <c r="J1865" s="31" t="n">
        <v>5</v>
      </c>
      <c r="K1865" s="31" t="s">
        <v>150</v>
      </c>
      <c r="L1865" s="45" t="n">
        <f aca="false">DATE(YEAR(B1865),MONTH(B1865),1)</f>
        <v>46204</v>
      </c>
      <c r="M1865" s="31" t="n">
        <f aca="false">WEEKDAY(B1865,2)</f>
        <v>1</v>
      </c>
      <c r="N1865" s="31" t="str">
        <f aca="false">IF(G1865&lt;=INDEX(Assumptions!$B$15:$B$18,MATCH(E1865,Assumptions!$A$15:$A$18,0)),"Yes","No")</f>
        <v>Yes</v>
      </c>
      <c r="O1865" s="31" t="str">
        <f aca="false">IF(H1865="","Open",IF(H1865&lt;=INDEX(Assumptions!$C$15:$C$18,MATCH(E1865,Assumptions!$A$15:$A$18,0)),"Yes","No"))</f>
        <v>Yes</v>
      </c>
    </row>
    <row r="1866" customFormat="false" ht="15" hidden="false" customHeight="false" outlineLevel="0" collapsed="false">
      <c r="A1866" s="31" t="s">
        <v>2016</v>
      </c>
      <c r="B1866" s="44" t="n">
        <v>46230</v>
      </c>
      <c r="C1866" s="31" t="s">
        <v>59</v>
      </c>
      <c r="D1866" s="31" t="s">
        <v>66</v>
      </c>
      <c r="E1866" s="31" t="s">
        <v>50</v>
      </c>
      <c r="F1866" s="31" t="s">
        <v>121</v>
      </c>
      <c r="G1866" s="31" t="n">
        <v>137</v>
      </c>
      <c r="H1866" s="41" t="n">
        <v>8.2</v>
      </c>
      <c r="I1866" s="31" t="s">
        <v>64</v>
      </c>
      <c r="J1866" s="31"/>
      <c r="K1866" s="31" t="s">
        <v>150</v>
      </c>
      <c r="L1866" s="45" t="n">
        <f aca="false">DATE(YEAR(B1866),MONTH(B1866),1)</f>
        <v>46204</v>
      </c>
      <c r="M1866" s="31" t="n">
        <f aca="false">WEEKDAY(B1866,2)</f>
        <v>1</v>
      </c>
      <c r="N1866" s="31" t="str">
        <f aca="false">IF(G1866&lt;=INDEX(Assumptions!$B$15:$B$18,MATCH(E1866,Assumptions!$A$15:$A$18,0)),"Yes","No")</f>
        <v>No</v>
      </c>
      <c r="O1866" s="31" t="str">
        <f aca="false">IF(H1866="","Open",IF(H1866&lt;=INDEX(Assumptions!$C$15:$C$18,MATCH(E1866,Assumptions!$A$15:$A$18,0)),"Yes","No"))</f>
        <v>No</v>
      </c>
    </row>
    <row r="1867" customFormat="false" ht="15" hidden="false" customHeight="false" outlineLevel="0" collapsed="false">
      <c r="A1867" s="31" t="s">
        <v>2017</v>
      </c>
      <c r="B1867" s="44" t="n">
        <v>46230</v>
      </c>
      <c r="C1867" s="31" t="s">
        <v>59</v>
      </c>
      <c r="D1867" s="31" t="s">
        <v>66</v>
      </c>
      <c r="E1867" s="31" t="s">
        <v>52</v>
      </c>
      <c r="F1867" s="31" t="s">
        <v>129</v>
      </c>
      <c r="G1867" s="31" t="n">
        <v>104</v>
      </c>
      <c r="H1867" s="41" t="n">
        <v>13.3</v>
      </c>
      <c r="I1867" s="31" t="s">
        <v>149</v>
      </c>
      <c r="J1867" s="31"/>
      <c r="K1867" s="31" t="s">
        <v>150</v>
      </c>
      <c r="L1867" s="45" t="n">
        <f aca="false">DATE(YEAR(B1867),MONTH(B1867),1)</f>
        <v>46204</v>
      </c>
      <c r="M1867" s="31" t="n">
        <f aca="false">WEEKDAY(B1867,2)</f>
        <v>1</v>
      </c>
      <c r="N1867" s="31" t="str">
        <f aca="false">IF(G1867&lt;=INDEX(Assumptions!$B$15:$B$18,MATCH(E1867,Assumptions!$A$15:$A$18,0)),"Yes","No")</f>
        <v>Yes</v>
      </c>
      <c r="O1867" s="31" t="str">
        <f aca="false">IF(H1867="","Open",IF(H1867&lt;=INDEX(Assumptions!$C$15:$C$18,MATCH(E1867,Assumptions!$A$15:$A$18,0)),"Yes","No"))</f>
        <v>Yes</v>
      </c>
    </row>
    <row r="1868" customFormat="false" ht="15" hidden="false" customHeight="false" outlineLevel="0" collapsed="false">
      <c r="A1868" s="31" t="s">
        <v>2018</v>
      </c>
      <c r="B1868" s="44" t="n">
        <v>46230</v>
      </c>
      <c r="C1868" s="31" t="s">
        <v>58</v>
      </c>
      <c r="D1868" s="31" t="s">
        <v>66</v>
      </c>
      <c r="E1868" s="31" t="s">
        <v>52</v>
      </c>
      <c r="F1868" s="31" t="s">
        <v>135</v>
      </c>
      <c r="G1868" s="31" t="n">
        <v>26</v>
      </c>
      <c r="H1868" s="41" t="n">
        <v>176.2</v>
      </c>
      <c r="I1868" s="31" t="s">
        <v>64</v>
      </c>
      <c r="J1868" s="31" t="n">
        <v>3</v>
      </c>
      <c r="K1868" s="31" t="s">
        <v>150</v>
      </c>
      <c r="L1868" s="45" t="n">
        <f aca="false">DATE(YEAR(B1868),MONTH(B1868),1)</f>
        <v>46204</v>
      </c>
      <c r="M1868" s="31" t="n">
        <f aca="false">WEEKDAY(B1868,2)</f>
        <v>1</v>
      </c>
      <c r="N1868" s="31" t="str">
        <f aca="false">IF(G1868&lt;=INDEX(Assumptions!$B$15:$B$18,MATCH(E1868,Assumptions!$A$15:$A$18,0)),"Yes","No")</f>
        <v>Yes</v>
      </c>
      <c r="O1868" s="31" t="str">
        <f aca="false">IF(H1868="","Open",IF(H1868&lt;=INDEX(Assumptions!$C$15:$C$18,MATCH(E1868,Assumptions!$A$15:$A$18,0)),"Yes","No"))</f>
        <v>No</v>
      </c>
    </row>
    <row r="1869" customFormat="false" ht="15" hidden="false" customHeight="false" outlineLevel="0" collapsed="false">
      <c r="A1869" s="31" t="s">
        <v>2019</v>
      </c>
      <c r="B1869" s="44" t="n">
        <v>46230</v>
      </c>
      <c r="C1869" s="31" t="s">
        <v>58</v>
      </c>
      <c r="D1869" s="31" t="s">
        <v>65</v>
      </c>
      <c r="E1869" s="31" t="s">
        <v>52</v>
      </c>
      <c r="F1869" s="31" t="s">
        <v>119</v>
      </c>
      <c r="G1869" s="31" t="n">
        <v>31</v>
      </c>
      <c r="H1869" s="41" t="n">
        <v>55.2</v>
      </c>
      <c r="I1869" s="31" t="s">
        <v>149</v>
      </c>
      <c r="J1869" s="31"/>
      <c r="K1869" s="31" t="s">
        <v>150</v>
      </c>
      <c r="L1869" s="45" t="n">
        <f aca="false">DATE(YEAR(B1869),MONTH(B1869),1)</f>
        <v>46204</v>
      </c>
      <c r="M1869" s="31" t="n">
        <f aca="false">WEEKDAY(B1869,2)</f>
        <v>1</v>
      </c>
      <c r="N1869" s="31" t="str">
        <f aca="false">IF(G1869&lt;=INDEX(Assumptions!$B$15:$B$18,MATCH(E1869,Assumptions!$A$15:$A$18,0)),"Yes","No")</f>
        <v>Yes</v>
      </c>
      <c r="O1869" s="31" t="str">
        <f aca="false">IF(H1869="","Open",IF(H1869&lt;=INDEX(Assumptions!$C$15:$C$18,MATCH(E1869,Assumptions!$A$15:$A$18,0)),"Yes","No"))</f>
        <v>Yes</v>
      </c>
    </row>
    <row r="1870" customFormat="false" ht="15" hidden="false" customHeight="false" outlineLevel="0" collapsed="false">
      <c r="A1870" s="31" t="s">
        <v>2020</v>
      </c>
      <c r="B1870" s="44" t="n">
        <v>46230</v>
      </c>
      <c r="C1870" s="31" t="s">
        <v>59</v>
      </c>
      <c r="D1870" s="31" t="s">
        <v>66</v>
      </c>
      <c r="E1870" s="31" t="s">
        <v>51</v>
      </c>
      <c r="F1870" s="31" t="s">
        <v>120</v>
      </c>
      <c r="G1870" s="31" t="n">
        <v>321</v>
      </c>
      <c r="H1870" s="41" t="n">
        <v>12.4</v>
      </c>
      <c r="I1870" s="31" t="s">
        <v>149</v>
      </c>
      <c r="J1870" s="31"/>
      <c r="K1870" s="31" t="s">
        <v>150</v>
      </c>
      <c r="L1870" s="45" t="n">
        <f aca="false">DATE(YEAR(B1870),MONTH(B1870),1)</f>
        <v>46204</v>
      </c>
      <c r="M1870" s="31" t="n">
        <f aca="false">WEEKDAY(B1870,2)</f>
        <v>1</v>
      </c>
      <c r="N1870" s="31" t="str">
        <f aca="false">IF(G1870&lt;=INDEX(Assumptions!$B$15:$B$18,MATCH(E1870,Assumptions!$A$15:$A$18,0)),"Yes","No")</f>
        <v>No</v>
      </c>
      <c r="O1870" s="31" t="str">
        <f aca="false">IF(H1870="","Open",IF(H1870&lt;=INDEX(Assumptions!$C$15:$C$18,MATCH(E1870,Assumptions!$A$15:$A$18,0)),"Yes","No"))</f>
        <v>Yes</v>
      </c>
    </row>
    <row r="1871" customFormat="false" ht="15" hidden="false" customHeight="false" outlineLevel="0" collapsed="false">
      <c r="A1871" s="31" t="s">
        <v>2021</v>
      </c>
      <c r="B1871" s="44" t="n">
        <v>46230</v>
      </c>
      <c r="C1871" s="31" t="s">
        <v>60</v>
      </c>
      <c r="D1871" s="31" t="s">
        <v>65</v>
      </c>
      <c r="E1871" s="31" t="s">
        <v>51</v>
      </c>
      <c r="F1871" s="31" t="s">
        <v>128</v>
      </c>
      <c r="G1871" s="31" t="n">
        <v>2</v>
      </c>
      <c r="H1871" s="41" t="n">
        <v>34.6</v>
      </c>
      <c r="I1871" s="31" t="s">
        <v>149</v>
      </c>
      <c r="J1871" s="31" t="n">
        <v>3</v>
      </c>
      <c r="K1871" s="31" t="s">
        <v>150</v>
      </c>
      <c r="L1871" s="45" t="n">
        <f aca="false">DATE(YEAR(B1871),MONTH(B1871),1)</f>
        <v>46204</v>
      </c>
      <c r="M1871" s="31" t="n">
        <f aca="false">WEEKDAY(B1871,2)</f>
        <v>1</v>
      </c>
      <c r="N1871" s="31" t="str">
        <f aca="false">IF(G1871&lt;=INDEX(Assumptions!$B$15:$B$18,MATCH(E1871,Assumptions!$A$15:$A$18,0)),"Yes","No")</f>
        <v>Yes</v>
      </c>
      <c r="O1871" s="31" t="str">
        <f aca="false">IF(H1871="","Open",IF(H1871&lt;=INDEX(Assumptions!$C$15:$C$18,MATCH(E1871,Assumptions!$A$15:$A$18,0)),"Yes","No"))</f>
        <v>No</v>
      </c>
    </row>
    <row r="1872" customFormat="false" ht="15" hidden="false" customHeight="false" outlineLevel="0" collapsed="false">
      <c r="A1872" s="31" t="s">
        <v>2022</v>
      </c>
      <c r="B1872" s="44" t="n">
        <v>46230</v>
      </c>
      <c r="C1872" s="31" t="s">
        <v>58</v>
      </c>
      <c r="D1872" s="31" t="s">
        <v>65</v>
      </c>
      <c r="E1872" s="31" t="s">
        <v>52</v>
      </c>
      <c r="F1872" s="31" t="s">
        <v>120</v>
      </c>
      <c r="G1872" s="31" t="n">
        <v>48</v>
      </c>
      <c r="H1872" s="41" t="n">
        <v>109.5</v>
      </c>
      <c r="I1872" s="31" t="s">
        <v>64</v>
      </c>
      <c r="J1872" s="31"/>
      <c r="K1872" s="31" t="s">
        <v>150</v>
      </c>
      <c r="L1872" s="45" t="n">
        <f aca="false">DATE(YEAR(B1872),MONTH(B1872),1)</f>
        <v>46204</v>
      </c>
      <c r="M1872" s="31" t="n">
        <f aca="false">WEEKDAY(B1872,2)</f>
        <v>1</v>
      </c>
      <c r="N1872" s="31" t="str">
        <f aca="false">IF(G1872&lt;=INDEX(Assumptions!$B$15:$B$18,MATCH(E1872,Assumptions!$A$15:$A$18,0)),"Yes","No")</f>
        <v>Yes</v>
      </c>
      <c r="O1872" s="31" t="str">
        <f aca="false">IF(H1872="","Open",IF(H1872&lt;=INDEX(Assumptions!$C$15:$C$18,MATCH(E1872,Assumptions!$A$15:$A$18,0)),"Yes","No"))</f>
        <v>No</v>
      </c>
    </row>
    <row r="1873" customFormat="false" ht="15" hidden="false" customHeight="false" outlineLevel="0" collapsed="false">
      <c r="A1873" s="31" t="s">
        <v>2023</v>
      </c>
      <c r="B1873" s="44" t="n">
        <v>46230</v>
      </c>
      <c r="C1873" s="31" t="s">
        <v>57</v>
      </c>
      <c r="D1873" s="31" t="s">
        <v>67</v>
      </c>
      <c r="E1873" s="31" t="s">
        <v>52</v>
      </c>
      <c r="F1873" s="31" t="s">
        <v>124</v>
      </c>
      <c r="G1873" s="31" t="n">
        <v>2</v>
      </c>
      <c r="H1873" s="41" t="n">
        <v>13</v>
      </c>
      <c r="I1873" s="31" t="s">
        <v>149</v>
      </c>
      <c r="J1873" s="31" t="n">
        <v>5</v>
      </c>
      <c r="K1873" s="31" t="s">
        <v>150</v>
      </c>
      <c r="L1873" s="45" t="n">
        <f aca="false">DATE(YEAR(B1873),MONTH(B1873),1)</f>
        <v>46204</v>
      </c>
      <c r="M1873" s="31" t="n">
        <f aca="false">WEEKDAY(B1873,2)</f>
        <v>1</v>
      </c>
      <c r="N1873" s="31" t="str">
        <f aca="false">IF(G1873&lt;=INDEX(Assumptions!$B$15:$B$18,MATCH(E1873,Assumptions!$A$15:$A$18,0)),"Yes","No")</f>
        <v>Yes</v>
      </c>
      <c r="O1873" s="31" t="str">
        <f aca="false">IF(H1873="","Open",IF(H1873&lt;=INDEX(Assumptions!$C$15:$C$18,MATCH(E1873,Assumptions!$A$15:$A$18,0)),"Yes","No"))</f>
        <v>Yes</v>
      </c>
    </row>
    <row r="1874" customFormat="false" ht="15" hidden="false" customHeight="false" outlineLevel="0" collapsed="false">
      <c r="A1874" s="31" t="s">
        <v>2024</v>
      </c>
      <c r="B1874" s="44" t="n">
        <v>46230</v>
      </c>
      <c r="C1874" s="31" t="s">
        <v>59</v>
      </c>
      <c r="D1874" s="31" t="s">
        <v>68</v>
      </c>
      <c r="E1874" s="31" t="s">
        <v>52</v>
      </c>
      <c r="F1874" s="31" t="s">
        <v>130</v>
      </c>
      <c r="G1874" s="31" t="n">
        <v>98</v>
      </c>
      <c r="H1874" s="41" t="n">
        <v>2</v>
      </c>
      <c r="I1874" s="31" t="s">
        <v>149</v>
      </c>
      <c r="J1874" s="31"/>
      <c r="K1874" s="31" t="s">
        <v>150</v>
      </c>
      <c r="L1874" s="45" t="n">
        <f aca="false">DATE(YEAR(B1874),MONTH(B1874),1)</f>
        <v>46204</v>
      </c>
      <c r="M1874" s="31" t="n">
        <f aca="false">WEEKDAY(B1874,2)</f>
        <v>1</v>
      </c>
      <c r="N1874" s="31" t="str">
        <f aca="false">IF(G1874&lt;=INDEX(Assumptions!$B$15:$B$18,MATCH(E1874,Assumptions!$A$15:$A$18,0)),"Yes","No")</f>
        <v>Yes</v>
      </c>
      <c r="O1874" s="31" t="str">
        <f aca="false">IF(H1874="","Open",IF(H1874&lt;=INDEX(Assumptions!$C$15:$C$18,MATCH(E1874,Assumptions!$A$15:$A$18,0)),"Yes","No"))</f>
        <v>Yes</v>
      </c>
    </row>
    <row r="1875" customFormat="false" ht="15" hidden="false" customHeight="false" outlineLevel="0" collapsed="false">
      <c r="A1875" s="31" t="s">
        <v>2025</v>
      </c>
      <c r="B1875" s="44" t="n">
        <v>46230</v>
      </c>
      <c r="C1875" s="31" t="s">
        <v>58</v>
      </c>
      <c r="D1875" s="31" t="s">
        <v>65</v>
      </c>
      <c r="E1875" s="31" t="s">
        <v>51</v>
      </c>
      <c r="F1875" s="31" t="s">
        <v>130</v>
      </c>
      <c r="G1875" s="31" t="n">
        <v>11</v>
      </c>
      <c r="H1875" s="41" t="n">
        <v>4.9</v>
      </c>
      <c r="I1875" s="31" t="s">
        <v>149</v>
      </c>
      <c r="J1875" s="31" t="n">
        <v>4</v>
      </c>
      <c r="K1875" s="31" t="s">
        <v>150</v>
      </c>
      <c r="L1875" s="45" t="n">
        <f aca="false">DATE(YEAR(B1875),MONTH(B1875),1)</f>
        <v>46204</v>
      </c>
      <c r="M1875" s="31" t="n">
        <f aca="false">WEEKDAY(B1875,2)</f>
        <v>1</v>
      </c>
      <c r="N1875" s="31" t="str">
        <f aca="false">IF(G1875&lt;=INDEX(Assumptions!$B$15:$B$18,MATCH(E1875,Assumptions!$A$15:$A$18,0)),"Yes","No")</f>
        <v>Yes</v>
      </c>
      <c r="O1875" s="31" t="str">
        <f aca="false">IF(H1875="","Open",IF(H1875&lt;=INDEX(Assumptions!$C$15:$C$18,MATCH(E1875,Assumptions!$A$15:$A$18,0)),"Yes","No"))</f>
        <v>Yes</v>
      </c>
    </row>
    <row r="1876" customFormat="false" ht="15" hidden="false" customHeight="false" outlineLevel="0" collapsed="false">
      <c r="A1876" s="31" t="s">
        <v>2026</v>
      </c>
      <c r="B1876" s="44" t="n">
        <v>46230</v>
      </c>
      <c r="C1876" s="31" t="s">
        <v>60</v>
      </c>
      <c r="D1876" s="31" t="s">
        <v>65</v>
      </c>
      <c r="E1876" s="31" t="s">
        <v>49</v>
      </c>
      <c r="F1876" s="31" t="s">
        <v>120</v>
      </c>
      <c r="G1876" s="31" t="n">
        <v>4</v>
      </c>
      <c r="H1876" s="41" t="n">
        <v>8.1</v>
      </c>
      <c r="I1876" s="31" t="s">
        <v>149</v>
      </c>
      <c r="J1876" s="31" t="n">
        <v>3</v>
      </c>
      <c r="K1876" s="31" t="s">
        <v>150</v>
      </c>
      <c r="L1876" s="45" t="n">
        <f aca="false">DATE(YEAR(B1876),MONTH(B1876),1)</f>
        <v>46204</v>
      </c>
      <c r="M1876" s="31" t="n">
        <f aca="false">WEEKDAY(B1876,2)</f>
        <v>1</v>
      </c>
      <c r="N1876" s="31" t="str">
        <f aca="false">IF(G1876&lt;=INDEX(Assumptions!$B$15:$B$18,MATCH(E1876,Assumptions!$A$15:$A$18,0)),"Yes","No")</f>
        <v>Yes</v>
      </c>
      <c r="O1876" s="31" t="str">
        <f aca="false">IF(H1876="","Open",IF(H1876&lt;=INDEX(Assumptions!$C$15:$C$18,MATCH(E1876,Assumptions!$A$15:$A$18,0)),"Yes","No"))</f>
        <v>No</v>
      </c>
    </row>
    <row r="1877" customFormat="false" ht="15" hidden="false" customHeight="false" outlineLevel="0" collapsed="false">
      <c r="A1877" s="31" t="s">
        <v>2027</v>
      </c>
      <c r="B1877" s="44" t="n">
        <v>46230</v>
      </c>
      <c r="C1877" s="31" t="s">
        <v>60</v>
      </c>
      <c r="D1877" s="31" t="s">
        <v>68</v>
      </c>
      <c r="E1877" s="31" t="s">
        <v>49</v>
      </c>
      <c r="F1877" s="31" t="s">
        <v>131</v>
      </c>
      <c r="G1877" s="31" t="n">
        <v>1</v>
      </c>
      <c r="H1877" s="41" t="n">
        <v>4</v>
      </c>
      <c r="I1877" s="31" t="s">
        <v>149</v>
      </c>
      <c r="J1877" s="31"/>
      <c r="K1877" s="31" t="s">
        <v>150</v>
      </c>
      <c r="L1877" s="45" t="n">
        <f aca="false">DATE(YEAR(B1877),MONTH(B1877),1)</f>
        <v>46204</v>
      </c>
      <c r="M1877" s="31" t="n">
        <f aca="false">WEEKDAY(B1877,2)</f>
        <v>1</v>
      </c>
      <c r="N1877" s="31" t="str">
        <f aca="false">IF(G1877&lt;=INDEX(Assumptions!$B$15:$B$18,MATCH(E1877,Assumptions!$A$15:$A$18,0)),"Yes","No")</f>
        <v>Yes</v>
      </c>
      <c r="O1877" s="31" t="str">
        <f aca="false">IF(H1877="","Open",IF(H1877&lt;=INDEX(Assumptions!$C$15:$C$18,MATCH(E1877,Assumptions!$A$15:$A$18,0)),"Yes","No"))</f>
        <v>Yes</v>
      </c>
    </row>
    <row r="1878" customFormat="false" ht="15" hidden="false" customHeight="false" outlineLevel="0" collapsed="false">
      <c r="A1878" s="31" t="s">
        <v>2028</v>
      </c>
      <c r="B1878" s="44" t="n">
        <v>46230</v>
      </c>
      <c r="C1878" s="31" t="s">
        <v>57</v>
      </c>
      <c r="D1878" s="31" t="s">
        <v>68</v>
      </c>
      <c r="E1878" s="31" t="s">
        <v>51</v>
      </c>
      <c r="F1878" s="31" t="s">
        <v>129</v>
      </c>
      <c r="G1878" s="31" t="n">
        <v>5</v>
      </c>
      <c r="H1878" s="41" t="n">
        <v>14.3</v>
      </c>
      <c r="I1878" s="31" t="s">
        <v>149</v>
      </c>
      <c r="J1878" s="31"/>
      <c r="K1878" s="31" t="s">
        <v>150</v>
      </c>
      <c r="L1878" s="45" t="n">
        <f aca="false">DATE(YEAR(B1878),MONTH(B1878),1)</f>
        <v>46204</v>
      </c>
      <c r="M1878" s="31" t="n">
        <f aca="false">WEEKDAY(B1878,2)</f>
        <v>1</v>
      </c>
      <c r="N1878" s="31" t="str">
        <f aca="false">IF(G1878&lt;=INDEX(Assumptions!$B$15:$B$18,MATCH(E1878,Assumptions!$A$15:$A$18,0)),"Yes","No")</f>
        <v>Yes</v>
      </c>
      <c r="O1878" s="31" t="str">
        <f aca="false">IF(H1878="","Open",IF(H1878&lt;=INDEX(Assumptions!$C$15:$C$18,MATCH(E1878,Assumptions!$A$15:$A$18,0)),"Yes","No"))</f>
        <v>Yes</v>
      </c>
    </row>
    <row r="1879" customFormat="false" ht="15" hidden="false" customHeight="false" outlineLevel="0" collapsed="false">
      <c r="A1879" s="31" t="s">
        <v>2029</v>
      </c>
      <c r="B1879" s="44" t="n">
        <v>46230</v>
      </c>
      <c r="C1879" s="31" t="s">
        <v>58</v>
      </c>
      <c r="D1879" s="31" t="s">
        <v>68</v>
      </c>
      <c r="E1879" s="31" t="s">
        <v>51</v>
      </c>
      <c r="F1879" s="31" t="s">
        <v>137</v>
      </c>
      <c r="G1879" s="31" t="n">
        <v>7</v>
      </c>
      <c r="H1879" s="41" t="n">
        <v>12.2</v>
      </c>
      <c r="I1879" s="31" t="s">
        <v>149</v>
      </c>
      <c r="J1879" s="31"/>
      <c r="K1879" s="31" t="s">
        <v>150</v>
      </c>
      <c r="L1879" s="45" t="n">
        <f aca="false">DATE(YEAR(B1879),MONTH(B1879),1)</f>
        <v>46204</v>
      </c>
      <c r="M1879" s="31" t="n">
        <f aca="false">WEEKDAY(B1879,2)</f>
        <v>1</v>
      </c>
      <c r="N1879" s="31" t="str">
        <f aca="false">IF(G1879&lt;=INDEX(Assumptions!$B$15:$B$18,MATCH(E1879,Assumptions!$A$15:$A$18,0)),"Yes","No")</f>
        <v>Yes</v>
      </c>
      <c r="O1879" s="31" t="str">
        <f aca="false">IF(H1879="","Open",IF(H1879&lt;=INDEX(Assumptions!$C$15:$C$18,MATCH(E1879,Assumptions!$A$15:$A$18,0)),"Yes","No"))</f>
        <v>Yes</v>
      </c>
    </row>
    <row r="1880" customFormat="false" ht="15" hidden="false" customHeight="false" outlineLevel="0" collapsed="false">
      <c r="A1880" s="31" t="s">
        <v>2030</v>
      </c>
      <c r="B1880" s="44" t="n">
        <v>46230</v>
      </c>
      <c r="C1880" s="31" t="s">
        <v>60</v>
      </c>
      <c r="D1880" s="31" t="s">
        <v>67</v>
      </c>
      <c r="E1880" s="31" t="s">
        <v>51</v>
      </c>
      <c r="F1880" s="31" t="s">
        <v>120</v>
      </c>
      <c r="G1880" s="31" t="n">
        <v>6</v>
      </c>
      <c r="H1880" s="41" t="n">
        <v>25.8</v>
      </c>
      <c r="I1880" s="31" t="s">
        <v>149</v>
      </c>
      <c r="J1880" s="31" t="n">
        <v>3</v>
      </c>
      <c r="K1880" s="31" t="s">
        <v>150</v>
      </c>
      <c r="L1880" s="45" t="n">
        <f aca="false">DATE(YEAR(B1880),MONTH(B1880),1)</f>
        <v>46204</v>
      </c>
      <c r="M1880" s="31" t="n">
        <f aca="false">WEEKDAY(B1880,2)</f>
        <v>1</v>
      </c>
      <c r="N1880" s="31" t="str">
        <f aca="false">IF(G1880&lt;=INDEX(Assumptions!$B$15:$B$18,MATCH(E1880,Assumptions!$A$15:$A$18,0)),"Yes","No")</f>
        <v>Yes</v>
      </c>
      <c r="O1880" s="31" t="str">
        <f aca="false">IF(H1880="","Open",IF(H1880&lt;=INDEX(Assumptions!$C$15:$C$18,MATCH(E1880,Assumptions!$A$15:$A$18,0)),"Yes","No"))</f>
        <v>No</v>
      </c>
    </row>
    <row r="1881" customFormat="false" ht="15" hidden="false" customHeight="false" outlineLevel="0" collapsed="false">
      <c r="A1881" s="31" t="s">
        <v>2031</v>
      </c>
      <c r="B1881" s="44" t="n">
        <v>46230</v>
      </c>
      <c r="C1881" s="31" t="s">
        <v>58</v>
      </c>
      <c r="D1881" s="31" t="s">
        <v>66</v>
      </c>
      <c r="E1881" s="31" t="s">
        <v>51</v>
      </c>
      <c r="F1881" s="31" t="s">
        <v>133</v>
      </c>
      <c r="G1881" s="31" t="n">
        <v>17</v>
      </c>
      <c r="H1881" s="41" t="n">
        <v>3</v>
      </c>
      <c r="I1881" s="31" t="s">
        <v>149</v>
      </c>
      <c r="J1881" s="31" t="n">
        <v>5</v>
      </c>
      <c r="K1881" s="31" t="s">
        <v>150</v>
      </c>
      <c r="L1881" s="45" t="n">
        <f aca="false">DATE(YEAR(B1881),MONTH(B1881),1)</f>
        <v>46204</v>
      </c>
      <c r="M1881" s="31" t="n">
        <f aca="false">WEEKDAY(B1881,2)</f>
        <v>1</v>
      </c>
      <c r="N1881" s="31" t="str">
        <f aca="false">IF(G1881&lt;=INDEX(Assumptions!$B$15:$B$18,MATCH(E1881,Assumptions!$A$15:$A$18,0)),"Yes","No")</f>
        <v>Yes</v>
      </c>
      <c r="O1881" s="31" t="str">
        <f aca="false">IF(H1881="","Open",IF(H1881&lt;=INDEX(Assumptions!$C$15:$C$18,MATCH(E1881,Assumptions!$A$15:$A$18,0)),"Yes","No"))</f>
        <v>Yes</v>
      </c>
    </row>
    <row r="1882" customFormat="false" ht="15" hidden="false" customHeight="false" outlineLevel="0" collapsed="false">
      <c r="A1882" s="31" t="s">
        <v>2032</v>
      </c>
      <c r="B1882" s="44" t="n">
        <v>46230</v>
      </c>
      <c r="C1882" s="31" t="s">
        <v>57</v>
      </c>
      <c r="D1882" s="31" t="s">
        <v>65</v>
      </c>
      <c r="E1882" s="31" t="s">
        <v>51</v>
      </c>
      <c r="F1882" s="31" t="s">
        <v>128</v>
      </c>
      <c r="G1882" s="31" t="n">
        <v>9</v>
      </c>
      <c r="H1882" s="41" t="n">
        <v>24.3</v>
      </c>
      <c r="I1882" s="31" t="s">
        <v>149</v>
      </c>
      <c r="J1882" s="31" t="n">
        <v>2</v>
      </c>
      <c r="K1882" s="31" t="s">
        <v>150</v>
      </c>
      <c r="L1882" s="45" t="n">
        <f aca="false">DATE(YEAR(B1882),MONTH(B1882),1)</f>
        <v>46204</v>
      </c>
      <c r="M1882" s="31" t="n">
        <f aca="false">WEEKDAY(B1882,2)</f>
        <v>1</v>
      </c>
      <c r="N1882" s="31" t="str">
        <f aca="false">IF(G1882&lt;=INDEX(Assumptions!$B$15:$B$18,MATCH(E1882,Assumptions!$A$15:$A$18,0)),"Yes","No")</f>
        <v>Yes</v>
      </c>
      <c r="O1882" s="31" t="str">
        <f aca="false">IF(H1882="","Open",IF(H1882&lt;=INDEX(Assumptions!$C$15:$C$18,MATCH(E1882,Assumptions!$A$15:$A$18,0)),"Yes","No"))</f>
        <v>No</v>
      </c>
    </row>
    <row r="1883" customFormat="false" ht="15" hidden="false" customHeight="false" outlineLevel="0" collapsed="false">
      <c r="A1883" s="31" t="s">
        <v>2033</v>
      </c>
      <c r="B1883" s="44" t="n">
        <v>46230</v>
      </c>
      <c r="C1883" s="31" t="s">
        <v>59</v>
      </c>
      <c r="D1883" s="31" t="s">
        <v>67</v>
      </c>
      <c r="E1883" s="31" t="s">
        <v>51</v>
      </c>
      <c r="F1883" s="31" t="s">
        <v>134</v>
      </c>
      <c r="G1883" s="31" t="n">
        <v>112</v>
      </c>
      <c r="H1883" s="41" t="n">
        <v>16.3</v>
      </c>
      <c r="I1883" s="31" t="s">
        <v>149</v>
      </c>
      <c r="J1883" s="31" t="n">
        <v>4</v>
      </c>
      <c r="K1883" s="31" t="s">
        <v>150</v>
      </c>
      <c r="L1883" s="45" t="n">
        <f aca="false">DATE(YEAR(B1883),MONTH(B1883),1)</f>
        <v>46204</v>
      </c>
      <c r="M1883" s="31" t="n">
        <f aca="false">WEEKDAY(B1883,2)</f>
        <v>1</v>
      </c>
      <c r="N1883" s="31" t="str">
        <f aca="false">IF(G1883&lt;=INDEX(Assumptions!$B$15:$B$18,MATCH(E1883,Assumptions!$A$15:$A$18,0)),"Yes","No")</f>
        <v>No</v>
      </c>
      <c r="O1883" s="31" t="str">
        <f aca="false">IF(H1883="","Open",IF(H1883&lt;=INDEX(Assumptions!$C$15:$C$18,MATCH(E1883,Assumptions!$A$15:$A$18,0)),"Yes","No"))</f>
        <v>Yes</v>
      </c>
    </row>
    <row r="1884" customFormat="false" ht="15" hidden="false" customHeight="false" outlineLevel="0" collapsed="false">
      <c r="A1884" s="31" t="s">
        <v>2034</v>
      </c>
      <c r="B1884" s="44" t="n">
        <v>46230</v>
      </c>
      <c r="C1884" s="31" t="s">
        <v>58</v>
      </c>
      <c r="D1884" s="31" t="s">
        <v>66</v>
      </c>
      <c r="E1884" s="31" t="s">
        <v>52</v>
      </c>
      <c r="F1884" s="31" t="s">
        <v>130</v>
      </c>
      <c r="G1884" s="31" t="n">
        <v>34</v>
      </c>
      <c r="H1884" s="41" t="n">
        <v>9.3</v>
      </c>
      <c r="I1884" s="31" t="s">
        <v>149</v>
      </c>
      <c r="J1884" s="31"/>
      <c r="K1884" s="31" t="s">
        <v>150</v>
      </c>
      <c r="L1884" s="45" t="n">
        <f aca="false">DATE(YEAR(B1884),MONTH(B1884),1)</f>
        <v>46204</v>
      </c>
      <c r="M1884" s="31" t="n">
        <f aca="false">WEEKDAY(B1884,2)</f>
        <v>1</v>
      </c>
      <c r="N1884" s="31" t="str">
        <f aca="false">IF(G1884&lt;=INDEX(Assumptions!$B$15:$B$18,MATCH(E1884,Assumptions!$A$15:$A$18,0)),"Yes","No")</f>
        <v>Yes</v>
      </c>
      <c r="O1884" s="31" t="str">
        <f aca="false">IF(H1884="","Open",IF(H1884&lt;=INDEX(Assumptions!$C$15:$C$18,MATCH(E1884,Assumptions!$A$15:$A$18,0)),"Yes","No"))</f>
        <v>Yes</v>
      </c>
    </row>
    <row r="1885" customFormat="false" ht="15" hidden="false" customHeight="false" outlineLevel="0" collapsed="false">
      <c r="A1885" s="31" t="s">
        <v>2035</v>
      </c>
      <c r="B1885" s="44" t="n">
        <v>46230</v>
      </c>
      <c r="C1885" s="31" t="s">
        <v>57</v>
      </c>
      <c r="D1885" s="31" t="s">
        <v>65</v>
      </c>
      <c r="E1885" s="31" t="s">
        <v>52</v>
      </c>
      <c r="F1885" s="31" t="s">
        <v>122</v>
      </c>
      <c r="G1885" s="31" t="n">
        <v>2</v>
      </c>
      <c r="H1885" s="41" t="n">
        <v>8</v>
      </c>
      <c r="I1885" s="31" t="s">
        <v>149</v>
      </c>
      <c r="J1885" s="31" t="n">
        <v>5</v>
      </c>
      <c r="K1885" s="31" t="s">
        <v>150</v>
      </c>
      <c r="L1885" s="45" t="n">
        <f aca="false">DATE(YEAR(B1885),MONTH(B1885),1)</f>
        <v>46204</v>
      </c>
      <c r="M1885" s="31" t="n">
        <f aca="false">WEEKDAY(B1885,2)</f>
        <v>1</v>
      </c>
      <c r="N1885" s="31" t="str">
        <f aca="false">IF(G1885&lt;=INDEX(Assumptions!$B$15:$B$18,MATCH(E1885,Assumptions!$A$15:$A$18,0)),"Yes","No")</f>
        <v>Yes</v>
      </c>
      <c r="O1885" s="31" t="str">
        <f aca="false">IF(H1885="","Open",IF(H1885&lt;=INDEX(Assumptions!$C$15:$C$18,MATCH(E1885,Assumptions!$A$15:$A$18,0)),"Yes","No"))</f>
        <v>Yes</v>
      </c>
    </row>
    <row r="1886" customFormat="false" ht="15" hidden="false" customHeight="false" outlineLevel="0" collapsed="false">
      <c r="A1886" s="31" t="s">
        <v>2036</v>
      </c>
      <c r="B1886" s="44" t="n">
        <v>46230</v>
      </c>
      <c r="C1886" s="31" t="s">
        <v>58</v>
      </c>
      <c r="D1886" s="31" t="s">
        <v>69</v>
      </c>
      <c r="E1886" s="31" t="s">
        <v>50</v>
      </c>
      <c r="F1886" s="31" t="s">
        <v>122</v>
      </c>
      <c r="G1886" s="31" t="n">
        <v>5</v>
      </c>
      <c r="H1886" s="41" t="n">
        <v>25.7</v>
      </c>
      <c r="I1886" s="31" t="s">
        <v>149</v>
      </c>
      <c r="J1886" s="31" t="n">
        <v>3</v>
      </c>
      <c r="K1886" s="31" t="s">
        <v>150</v>
      </c>
      <c r="L1886" s="45" t="n">
        <f aca="false">DATE(YEAR(B1886),MONTH(B1886),1)</f>
        <v>46204</v>
      </c>
      <c r="M1886" s="31" t="n">
        <f aca="false">WEEKDAY(B1886,2)</f>
        <v>1</v>
      </c>
      <c r="N1886" s="31" t="str">
        <f aca="false">IF(G1886&lt;=INDEX(Assumptions!$B$15:$B$18,MATCH(E1886,Assumptions!$A$15:$A$18,0)),"Yes","No")</f>
        <v>Yes</v>
      </c>
      <c r="O1886" s="31" t="str">
        <f aca="false">IF(H1886="","Open",IF(H1886&lt;=INDEX(Assumptions!$C$15:$C$18,MATCH(E1886,Assumptions!$A$15:$A$18,0)),"Yes","No"))</f>
        <v>No</v>
      </c>
    </row>
    <row r="1887" customFormat="false" ht="15" hidden="false" customHeight="false" outlineLevel="0" collapsed="false">
      <c r="A1887" s="31" t="s">
        <v>2037</v>
      </c>
      <c r="B1887" s="44" t="n">
        <v>46230</v>
      </c>
      <c r="C1887" s="31" t="s">
        <v>60</v>
      </c>
      <c r="D1887" s="31" t="s">
        <v>66</v>
      </c>
      <c r="E1887" s="31" t="s">
        <v>51</v>
      </c>
      <c r="F1887" s="31" t="s">
        <v>136</v>
      </c>
      <c r="G1887" s="31" t="n">
        <v>2</v>
      </c>
      <c r="H1887" s="41" t="n">
        <v>4.3</v>
      </c>
      <c r="I1887" s="31" t="s">
        <v>149</v>
      </c>
      <c r="J1887" s="31" t="n">
        <v>5</v>
      </c>
      <c r="K1887" s="31" t="s">
        <v>150</v>
      </c>
      <c r="L1887" s="45" t="n">
        <f aca="false">DATE(YEAR(B1887),MONTH(B1887),1)</f>
        <v>46204</v>
      </c>
      <c r="M1887" s="31" t="n">
        <f aca="false">WEEKDAY(B1887,2)</f>
        <v>1</v>
      </c>
      <c r="N1887" s="31" t="str">
        <f aca="false">IF(G1887&lt;=INDEX(Assumptions!$B$15:$B$18,MATCH(E1887,Assumptions!$A$15:$A$18,0)),"Yes","No")</f>
        <v>Yes</v>
      </c>
      <c r="O1887" s="31" t="str">
        <f aca="false">IF(H1887="","Open",IF(H1887&lt;=INDEX(Assumptions!$C$15:$C$18,MATCH(E1887,Assumptions!$A$15:$A$18,0)),"Yes","No"))</f>
        <v>Yes</v>
      </c>
    </row>
    <row r="1888" customFormat="false" ht="15" hidden="false" customHeight="false" outlineLevel="0" collapsed="false">
      <c r="A1888" s="31" t="s">
        <v>2038</v>
      </c>
      <c r="B1888" s="44" t="n">
        <v>46230</v>
      </c>
      <c r="C1888" s="31" t="s">
        <v>57</v>
      </c>
      <c r="D1888" s="31" t="s">
        <v>69</v>
      </c>
      <c r="E1888" s="31" t="s">
        <v>52</v>
      </c>
      <c r="F1888" s="31" t="s">
        <v>134</v>
      </c>
      <c r="G1888" s="31" t="n">
        <v>11</v>
      </c>
      <c r="H1888" s="41" t="n">
        <v>39.5</v>
      </c>
      <c r="I1888" s="31" t="s">
        <v>149</v>
      </c>
      <c r="J1888" s="31" t="n">
        <v>4</v>
      </c>
      <c r="K1888" s="31" t="s">
        <v>150</v>
      </c>
      <c r="L1888" s="45" t="n">
        <f aca="false">DATE(YEAR(B1888),MONTH(B1888),1)</f>
        <v>46204</v>
      </c>
      <c r="M1888" s="31" t="n">
        <f aca="false">WEEKDAY(B1888,2)</f>
        <v>1</v>
      </c>
      <c r="N1888" s="31" t="str">
        <f aca="false">IF(G1888&lt;=INDEX(Assumptions!$B$15:$B$18,MATCH(E1888,Assumptions!$A$15:$A$18,0)),"Yes","No")</f>
        <v>Yes</v>
      </c>
      <c r="O1888" s="31" t="str">
        <f aca="false">IF(H1888="","Open",IF(H1888&lt;=INDEX(Assumptions!$C$15:$C$18,MATCH(E1888,Assumptions!$A$15:$A$18,0)),"Yes","No"))</f>
        <v>Yes</v>
      </c>
    </row>
    <row r="1889" customFormat="false" ht="15" hidden="false" customHeight="false" outlineLevel="0" collapsed="false">
      <c r="A1889" s="31" t="s">
        <v>2039</v>
      </c>
      <c r="B1889" s="44" t="n">
        <v>46230</v>
      </c>
      <c r="C1889" s="31" t="s">
        <v>58</v>
      </c>
      <c r="D1889" s="31" t="s">
        <v>66</v>
      </c>
      <c r="E1889" s="31" t="s">
        <v>51</v>
      </c>
      <c r="F1889" s="31" t="s">
        <v>122</v>
      </c>
      <c r="G1889" s="31" t="n">
        <v>42</v>
      </c>
      <c r="H1889" s="41" t="n">
        <v>4.9</v>
      </c>
      <c r="I1889" s="31" t="s">
        <v>149</v>
      </c>
      <c r="J1889" s="31" t="n">
        <v>5</v>
      </c>
      <c r="K1889" s="31" t="s">
        <v>150</v>
      </c>
      <c r="L1889" s="45" t="n">
        <f aca="false">DATE(YEAR(B1889),MONTH(B1889),1)</f>
        <v>46204</v>
      </c>
      <c r="M1889" s="31" t="n">
        <f aca="false">WEEKDAY(B1889,2)</f>
        <v>1</v>
      </c>
      <c r="N1889" s="31" t="str">
        <f aca="false">IF(G1889&lt;=INDEX(Assumptions!$B$15:$B$18,MATCH(E1889,Assumptions!$A$15:$A$18,0)),"Yes","No")</f>
        <v>Yes</v>
      </c>
      <c r="O1889" s="31" t="str">
        <f aca="false">IF(H1889="","Open",IF(H1889&lt;=INDEX(Assumptions!$C$15:$C$18,MATCH(E1889,Assumptions!$A$15:$A$18,0)),"Yes","No"))</f>
        <v>Yes</v>
      </c>
    </row>
    <row r="1890" customFormat="false" ht="15" hidden="false" customHeight="false" outlineLevel="0" collapsed="false">
      <c r="A1890" s="31" t="s">
        <v>2040</v>
      </c>
      <c r="B1890" s="44" t="n">
        <v>46230</v>
      </c>
      <c r="C1890" s="31" t="s">
        <v>60</v>
      </c>
      <c r="D1890" s="31" t="s">
        <v>66</v>
      </c>
      <c r="E1890" s="31" t="s">
        <v>51</v>
      </c>
      <c r="F1890" s="31" t="s">
        <v>137</v>
      </c>
      <c r="G1890" s="31" t="n">
        <v>12</v>
      </c>
      <c r="H1890" s="41" t="n">
        <v>5.7</v>
      </c>
      <c r="I1890" s="31" t="s">
        <v>149</v>
      </c>
      <c r="J1890" s="31" t="n">
        <v>4</v>
      </c>
      <c r="K1890" s="31" t="s">
        <v>150</v>
      </c>
      <c r="L1890" s="45" t="n">
        <f aca="false">DATE(YEAR(B1890),MONTH(B1890),1)</f>
        <v>46204</v>
      </c>
      <c r="M1890" s="31" t="n">
        <f aca="false">WEEKDAY(B1890,2)</f>
        <v>1</v>
      </c>
      <c r="N1890" s="31" t="str">
        <f aca="false">IF(G1890&lt;=INDEX(Assumptions!$B$15:$B$18,MATCH(E1890,Assumptions!$A$15:$A$18,0)),"Yes","No")</f>
        <v>Yes</v>
      </c>
      <c r="O1890" s="31" t="str">
        <f aca="false">IF(H1890="","Open",IF(H1890&lt;=INDEX(Assumptions!$C$15:$C$18,MATCH(E1890,Assumptions!$A$15:$A$18,0)),"Yes","No"))</f>
        <v>Yes</v>
      </c>
    </row>
    <row r="1891" customFormat="false" ht="15" hidden="false" customHeight="false" outlineLevel="0" collapsed="false">
      <c r="A1891" s="31" t="s">
        <v>2041</v>
      </c>
      <c r="B1891" s="44" t="n">
        <v>46230</v>
      </c>
      <c r="C1891" s="31" t="s">
        <v>59</v>
      </c>
      <c r="D1891" s="31" t="s">
        <v>67</v>
      </c>
      <c r="E1891" s="31" t="s">
        <v>51</v>
      </c>
      <c r="F1891" s="31" t="s">
        <v>126</v>
      </c>
      <c r="G1891" s="31" t="n">
        <v>70</v>
      </c>
      <c r="H1891" s="41" t="n">
        <v>12.1</v>
      </c>
      <c r="I1891" s="31" t="s">
        <v>149</v>
      </c>
      <c r="J1891" s="31" t="n">
        <v>5</v>
      </c>
      <c r="K1891" s="31" t="s">
        <v>150</v>
      </c>
      <c r="L1891" s="45" t="n">
        <f aca="false">DATE(YEAR(B1891),MONTH(B1891),1)</f>
        <v>46204</v>
      </c>
      <c r="M1891" s="31" t="n">
        <f aca="false">WEEKDAY(B1891,2)</f>
        <v>1</v>
      </c>
      <c r="N1891" s="31" t="str">
        <f aca="false">IF(G1891&lt;=INDEX(Assumptions!$B$15:$B$18,MATCH(E1891,Assumptions!$A$15:$A$18,0)),"Yes","No")</f>
        <v>No</v>
      </c>
      <c r="O1891" s="31" t="str">
        <f aca="false">IF(H1891="","Open",IF(H1891&lt;=INDEX(Assumptions!$C$15:$C$18,MATCH(E1891,Assumptions!$A$15:$A$18,0)),"Yes","No"))</f>
        <v>Yes</v>
      </c>
    </row>
    <row r="1892" customFormat="false" ht="15" hidden="false" customHeight="false" outlineLevel="0" collapsed="false">
      <c r="A1892" s="31" t="s">
        <v>2042</v>
      </c>
      <c r="B1892" s="44" t="n">
        <v>46230</v>
      </c>
      <c r="C1892" s="31" t="s">
        <v>57</v>
      </c>
      <c r="D1892" s="31" t="s">
        <v>67</v>
      </c>
      <c r="E1892" s="31" t="s">
        <v>50</v>
      </c>
      <c r="F1892" s="31" t="s">
        <v>129</v>
      </c>
      <c r="G1892" s="31" t="n">
        <v>13</v>
      </c>
      <c r="H1892" s="41" t="n">
        <v>3.2</v>
      </c>
      <c r="I1892" s="31" t="s">
        <v>149</v>
      </c>
      <c r="J1892" s="31"/>
      <c r="K1892" s="31" t="s">
        <v>150</v>
      </c>
      <c r="L1892" s="45" t="n">
        <f aca="false">DATE(YEAR(B1892),MONTH(B1892),1)</f>
        <v>46204</v>
      </c>
      <c r="M1892" s="31" t="n">
        <f aca="false">WEEKDAY(B1892,2)</f>
        <v>1</v>
      </c>
      <c r="N1892" s="31" t="str">
        <f aca="false">IF(G1892&lt;=INDEX(Assumptions!$B$15:$B$18,MATCH(E1892,Assumptions!$A$15:$A$18,0)),"Yes","No")</f>
        <v>Yes</v>
      </c>
      <c r="O1892" s="31" t="str">
        <f aca="false">IF(H1892="","Open",IF(H1892&lt;=INDEX(Assumptions!$C$15:$C$18,MATCH(E1892,Assumptions!$A$15:$A$18,0)),"Yes","No"))</f>
        <v>Yes</v>
      </c>
    </row>
    <row r="1893" customFormat="false" ht="15" hidden="false" customHeight="false" outlineLevel="0" collapsed="false">
      <c r="A1893" s="31" t="s">
        <v>2043</v>
      </c>
      <c r="B1893" s="44" t="n">
        <v>46230</v>
      </c>
      <c r="C1893" s="31" t="s">
        <v>59</v>
      </c>
      <c r="D1893" s="31" t="s">
        <v>66</v>
      </c>
      <c r="E1893" s="31" t="s">
        <v>51</v>
      </c>
      <c r="F1893" s="31" t="s">
        <v>126</v>
      </c>
      <c r="G1893" s="31" t="n">
        <v>118</v>
      </c>
      <c r="H1893" s="41" t="n">
        <v>10</v>
      </c>
      <c r="I1893" s="31" t="s">
        <v>64</v>
      </c>
      <c r="J1893" s="31"/>
      <c r="K1893" s="31" t="s">
        <v>153</v>
      </c>
      <c r="L1893" s="45" t="n">
        <f aca="false">DATE(YEAR(B1893),MONTH(B1893),1)</f>
        <v>46204</v>
      </c>
      <c r="M1893" s="31" t="n">
        <f aca="false">WEEKDAY(B1893,2)</f>
        <v>1</v>
      </c>
      <c r="N1893" s="31" t="str">
        <f aca="false">IF(G1893&lt;=INDEX(Assumptions!$B$15:$B$18,MATCH(E1893,Assumptions!$A$15:$A$18,0)),"Yes","No")</f>
        <v>No</v>
      </c>
      <c r="O1893" s="31" t="str">
        <f aca="false">IF(H1893="","Open",IF(H1893&lt;=INDEX(Assumptions!$C$15:$C$18,MATCH(E1893,Assumptions!$A$15:$A$18,0)),"Yes","No"))</f>
        <v>Yes</v>
      </c>
    </row>
    <row r="1894" customFormat="false" ht="15" hidden="false" customHeight="false" outlineLevel="0" collapsed="false">
      <c r="A1894" s="31" t="s">
        <v>2044</v>
      </c>
      <c r="B1894" s="44" t="n">
        <v>46230</v>
      </c>
      <c r="C1894" s="31" t="s">
        <v>57</v>
      </c>
      <c r="D1894" s="31" t="s">
        <v>69</v>
      </c>
      <c r="E1894" s="31" t="s">
        <v>50</v>
      </c>
      <c r="F1894" s="31" t="s">
        <v>123</v>
      </c>
      <c r="G1894" s="31" t="n">
        <v>4</v>
      </c>
      <c r="H1894" s="41" t="n">
        <v>20.1</v>
      </c>
      <c r="I1894" s="31" t="s">
        <v>149</v>
      </c>
      <c r="J1894" s="31" t="n">
        <v>4</v>
      </c>
      <c r="K1894" s="31" t="s">
        <v>153</v>
      </c>
      <c r="L1894" s="45" t="n">
        <f aca="false">DATE(YEAR(B1894),MONTH(B1894),1)</f>
        <v>46204</v>
      </c>
      <c r="M1894" s="31" t="n">
        <f aca="false">WEEKDAY(B1894,2)</f>
        <v>1</v>
      </c>
      <c r="N1894" s="31" t="str">
        <f aca="false">IF(G1894&lt;=INDEX(Assumptions!$B$15:$B$18,MATCH(E1894,Assumptions!$A$15:$A$18,0)),"Yes","No")</f>
        <v>Yes</v>
      </c>
      <c r="O1894" s="31" t="str">
        <f aca="false">IF(H1894="","Open",IF(H1894&lt;=INDEX(Assumptions!$C$15:$C$18,MATCH(E1894,Assumptions!$A$15:$A$18,0)),"Yes","No"))</f>
        <v>No</v>
      </c>
    </row>
    <row r="1895" customFormat="false" ht="15" hidden="false" customHeight="false" outlineLevel="0" collapsed="false">
      <c r="A1895" s="31" t="s">
        <v>2045</v>
      </c>
      <c r="B1895" s="44" t="n">
        <v>46230</v>
      </c>
      <c r="C1895" s="31" t="s">
        <v>57</v>
      </c>
      <c r="D1895" s="31" t="s">
        <v>69</v>
      </c>
      <c r="E1895" s="31" t="s">
        <v>51</v>
      </c>
      <c r="F1895" s="31" t="s">
        <v>133</v>
      </c>
      <c r="G1895" s="31" t="n">
        <v>7</v>
      </c>
      <c r="H1895" s="41"/>
      <c r="I1895" s="31" t="s">
        <v>158</v>
      </c>
      <c r="J1895" s="31"/>
      <c r="K1895" s="31" t="s">
        <v>150</v>
      </c>
      <c r="L1895" s="45" t="n">
        <f aca="false">DATE(YEAR(B1895),MONTH(B1895),1)</f>
        <v>46204</v>
      </c>
      <c r="M1895" s="31" t="n">
        <f aca="false">WEEKDAY(B1895,2)</f>
        <v>1</v>
      </c>
      <c r="N1895" s="31" t="str">
        <f aca="false">IF(G1895&lt;=INDEX(Assumptions!$B$15:$B$18,MATCH(E1895,Assumptions!$A$15:$A$18,0)),"Yes","No")</f>
        <v>Yes</v>
      </c>
      <c r="O1895" s="31" t="str">
        <f aca="false">IF(H1895="","Open",IF(H1895&lt;=INDEX(Assumptions!$C$15:$C$18,MATCH(E1895,Assumptions!$A$15:$A$18,0)),"Yes","No"))</f>
        <v>Open</v>
      </c>
    </row>
    <row r="1896" customFormat="false" ht="15" hidden="false" customHeight="false" outlineLevel="0" collapsed="false">
      <c r="A1896" s="31" t="s">
        <v>2046</v>
      </c>
      <c r="B1896" s="44" t="n">
        <v>46230</v>
      </c>
      <c r="C1896" s="31" t="s">
        <v>57</v>
      </c>
      <c r="D1896" s="31" t="s">
        <v>65</v>
      </c>
      <c r="E1896" s="31" t="s">
        <v>51</v>
      </c>
      <c r="F1896" s="31" t="s">
        <v>136</v>
      </c>
      <c r="G1896" s="31" t="n">
        <v>2</v>
      </c>
      <c r="H1896" s="41" t="n">
        <v>5.4</v>
      </c>
      <c r="I1896" s="31" t="s">
        <v>149</v>
      </c>
      <c r="J1896" s="31" t="n">
        <v>5</v>
      </c>
      <c r="K1896" s="31" t="s">
        <v>150</v>
      </c>
      <c r="L1896" s="45" t="n">
        <f aca="false">DATE(YEAR(B1896),MONTH(B1896),1)</f>
        <v>46204</v>
      </c>
      <c r="M1896" s="31" t="n">
        <f aca="false">WEEKDAY(B1896,2)</f>
        <v>1</v>
      </c>
      <c r="N1896" s="31" t="str">
        <f aca="false">IF(G1896&lt;=INDEX(Assumptions!$B$15:$B$18,MATCH(E1896,Assumptions!$A$15:$A$18,0)),"Yes","No")</f>
        <v>Yes</v>
      </c>
      <c r="O1896" s="31" t="str">
        <f aca="false">IF(H1896="","Open",IF(H1896&lt;=INDEX(Assumptions!$C$15:$C$18,MATCH(E1896,Assumptions!$A$15:$A$18,0)),"Yes","No"))</f>
        <v>Yes</v>
      </c>
    </row>
    <row r="1897" customFormat="false" ht="15" hidden="false" customHeight="false" outlineLevel="0" collapsed="false">
      <c r="A1897" s="31" t="s">
        <v>2047</v>
      </c>
      <c r="B1897" s="44" t="n">
        <v>46230</v>
      </c>
      <c r="C1897" s="31" t="s">
        <v>57</v>
      </c>
      <c r="D1897" s="31" t="s">
        <v>65</v>
      </c>
      <c r="E1897" s="31" t="s">
        <v>50</v>
      </c>
      <c r="F1897" s="31" t="s">
        <v>133</v>
      </c>
      <c r="G1897" s="31" t="n">
        <v>7</v>
      </c>
      <c r="H1897" s="41" t="n">
        <v>5.7</v>
      </c>
      <c r="I1897" s="31" t="s">
        <v>149</v>
      </c>
      <c r="J1897" s="31" t="n">
        <v>5</v>
      </c>
      <c r="K1897" s="31" t="s">
        <v>150</v>
      </c>
      <c r="L1897" s="45" t="n">
        <f aca="false">DATE(YEAR(B1897),MONTH(B1897),1)</f>
        <v>46204</v>
      </c>
      <c r="M1897" s="31" t="n">
        <f aca="false">WEEKDAY(B1897,2)</f>
        <v>1</v>
      </c>
      <c r="N1897" s="31" t="str">
        <f aca="false">IF(G1897&lt;=INDEX(Assumptions!$B$15:$B$18,MATCH(E1897,Assumptions!$A$15:$A$18,0)),"Yes","No")</f>
        <v>Yes</v>
      </c>
      <c r="O1897" s="31" t="str">
        <f aca="false">IF(H1897="","Open",IF(H1897&lt;=INDEX(Assumptions!$C$15:$C$18,MATCH(E1897,Assumptions!$A$15:$A$18,0)),"Yes","No"))</f>
        <v>Yes</v>
      </c>
    </row>
    <row r="1898" customFormat="false" ht="15" hidden="false" customHeight="false" outlineLevel="0" collapsed="false">
      <c r="A1898" s="31" t="s">
        <v>2048</v>
      </c>
      <c r="B1898" s="44" t="n">
        <v>46230</v>
      </c>
      <c r="C1898" s="31" t="s">
        <v>60</v>
      </c>
      <c r="D1898" s="31" t="s">
        <v>65</v>
      </c>
      <c r="E1898" s="31" t="s">
        <v>52</v>
      </c>
      <c r="F1898" s="31" t="s">
        <v>129</v>
      </c>
      <c r="G1898" s="31" t="n">
        <v>1</v>
      </c>
      <c r="H1898" s="41" t="n">
        <v>26.7</v>
      </c>
      <c r="I1898" s="31" t="s">
        <v>149</v>
      </c>
      <c r="J1898" s="31" t="n">
        <v>5</v>
      </c>
      <c r="K1898" s="31" t="s">
        <v>150</v>
      </c>
      <c r="L1898" s="45" t="n">
        <f aca="false">DATE(YEAR(B1898),MONTH(B1898),1)</f>
        <v>46204</v>
      </c>
      <c r="M1898" s="31" t="n">
        <f aca="false">WEEKDAY(B1898,2)</f>
        <v>1</v>
      </c>
      <c r="N1898" s="31" t="str">
        <f aca="false">IF(G1898&lt;=INDEX(Assumptions!$B$15:$B$18,MATCH(E1898,Assumptions!$A$15:$A$18,0)),"Yes","No")</f>
        <v>Yes</v>
      </c>
      <c r="O1898" s="31" t="str">
        <f aca="false">IF(H1898="","Open",IF(H1898&lt;=INDEX(Assumptions!$C$15:$C$18,MATCH(E1898,Assumptions!$A$15:$A$18,0)),"Yes","No"))</f>
        <v>Yes</v>
      </c>
    </row>
    <row r="1899" customFormat="false" ht="15" hidden="false" customHeight="false" outlineLevel="0" collapsed="false">
      <c r="A1899" s="31" t="s">
        <v>2049</v>
      </c>
      <c r="B1899" s="44" t="n">
        <v>46230</v>
      </c>
      <c r="C1899" s="31" t="s">
        <v>57</v>
      </c>
      <c r="D1899" s="31" t="s">
        <v>65</v>
      </c>
      <c r="E1899" s="31" t="s">
        <v>52</v>
      </c>
      <c r="F1899" s="31" t="s">
        <v>122</v>
      </c>
      <c r="G1899" s="31" t="n">
        <v>11</v>
      </c>
      <c r="H1899" s="41" t="n">
        <v>35</v>
      </c>
      <c r="I1899" s="31" t="s">
        <v>149</v>
      </c>
      <c r="J1899" s="31"/>
      <c r="K1899" s="31" t="s">
        <v>150</v>
      </c>
      <c r="L1899" s="45" t="n">
        <f aca="false">DATE(YEAR(B1899),MONTH(B1899),1)</f>
        <v>46204</v>
      </c>
      <c r="M1899" s="31" t="n">
        <f aca="false">WEEKDAY(B1899,2)</f>
        <v>1</v>
      </c>
      <c r="N1899" s="31" t="str">
        <f aca="false">IF(G1899&lt;=INDEX(Assumptions!$B$15:$B$18,MATCH(E1899,Assumptions!$A$15:$A$18,0)),"Yes","No")</f>
        <v>Yes</v>
      </c>
      <c r="O1899" s="31" t="str">
        <f aca="false">IF(H1899="","Open",IF(H1899&lt;=INDEX(Assumptions!$C$15:$C$18,MATCH(E1899,Assumptions!$A$15:$A$18,0)),"Yes","No"))</f>
        <v>Yes</v>
      </c>
    </row>
    <row r="1900" customFormat="false" ht="15" hidden="false" customHeight="false" outlineLevel="0" collapsed="false">
      <c r="A1900" s="31" t="s">
        <v>2050</v>
      </c>
      <c r="B1900" s="44" t="n">
        <v>46230</v>
      </c>
      <c r="C1900" s="31" t="s">
        <v>60</v>
      </c>
      <c r="D1900" s="31" t="s">
        <v>69</v>
      </c>
      <c r="E1900" s="31" t="s">
        <v>50</v>
      </c>
      <c r="F1900" s="31" t="s">
        <v>135</v>
      </c>
      <c r="G1900" s="31" t="n">
        <v>10</v>
      </c>
      <c r="H1900" s="41" t="n">
        <v>37.9</v>
      </c>
      <c r="I1900" s="31" t="s">
        <v>149</v>
      </c>
      <c r="J1900" s="31" t="n">
        <v>3</v>
      </c>
      <c r="K1900" s="31" t="s">
        <v>150</v>
      </c>
      <c r="L1900" s="45" t="n">
        <f aca="false">DATE(YEAR(B1900),MONTH(B1900),1)</f>
        <v>46204</v>
      </c>
      <c r="M1900" s="31" t="n">
        <f aca="false">WEEKDAY(B1900,2)</f>
        <v>1</v>
      </c>
      <c r="N1900" s="31" t="str">
        <f aca="false">IF(G1900&lt;=INDEX(Assumptions!$B$15:$B$18,MATCH(E1900,Assumptions!$A$15:$A$18,0)),"Yes","No")</f>
        <v>Yes</v>
      </c>
      <c r="O1900" s="31" t="str">
        <f aca="false">IF(H1900="","Open",IF(H1900&lt;=INDEX(Assumptions!$C$15:$C$18,MATCH(E1900,Assumptions!$A$15:$A$18,0)),"Yes","No"))</f>
        <v>No</v>
      </c>
    </row>
    <row r="1901" customFormat="false" ht="15" hidden="false" customHeight="false" outlineLevel="0" collapsed="false">
      <c r="A1901" s="31" t="s">
        <v>2051</v>
      </c>
      <c r="B1901" s="44" t="n">
        <v>46230</v>
      </c>
      <c r="C1901" s="31" t="s">
        <v>60</v>
      </c>
      <c r="D1901" s="31" t="s">
        <v>69</v>
      </c>
      <c r="E1901" s="31" t="s">
        <v>52</v>
      </c>
      <c r="F1901" s="31" t="s">
        <v>136</v>
      </c>
      <c r="G1901" s="31" t="n">
        <v>5</v>
      </c>
      <c r="H1901" s="41" t="n">
        <v>52.6</v>
      </c>
      <c r="I1901" s="31" t="s">
        <v>149</v>
      </c>
      <c r="J1901" s="31" t="n">
        <v>4</v>
      </c>
      <c r="K1901" s="31" t="s">
        <v>150</v>
      </c>
      <c r="L1901" s="45" t="n">
        <f aca="false">DATE(YEAR(B1901),MONTH(B1901),1)</f>
        <v>46204</v>
      </c>
      <c r="M1901" s="31" t="n">
        <f aca="false">WEEKDAY(B1901,2)</f>
        <v>1</v>
      </c>
      <c r="N1901" s="31" t="str">
        <f aca="false">IF(G1901&lt;=INDEX(Assumptions!$B$15:$B$18,MATCH(E1901,Assumptions!$A$15:$A$18,0)),"Yes","No")</f>
        <v>Yes</v>
      </c>
      <c r="O1901" s="31" t="str">
        <f aca="false">IF(H1901="","Open",IF(H1901&lt;=INDEX(Assumptions!$C$15:$C$18,MATCH(E1901,Assumptions!$A$15:$A$18,0)),"Yes","No"))</f>
        <v>Yes</v>
      </c>
    </row>
    <row r="1902" customFormat="false" ht="15" hidden="false" customHeight="false" outlineLevel="0" collapsed="false">
      <c r="A1902" s="31" t="s">
        <v>2052</v>
      </c>
      <c r="B1902" s="44" t="n">
        <v>46230</v>
      </c>
      <c r="C1902" s="31" t="s">
        <v>60</v>
      </c>
      <c r="D1902" s="31" t="s">
        <v>68</v>
      </c>
      <c r="E1902" s="31" t="s">
        <v>50</v>
      </c>
      <c r="F1902" s="31" t="s">
        <v>129</v>
      </c>
      <c r="G1902" s="31" t="n">
        <v>1</v>
      </c>
      <c r="H1902" s="41" t="n">
        <v>5.1</v>
      </c>
      <c r="I1902" s="31" t="s">
        <v>149</v>
      </c>
      <c r="J1902" s="31" t="n">
        <v>5</v>
      </c>
      <c r="K1902" s="31" t="s">
        <v>150</v>
      </c>
      <c r="L1902" s="45" t="n">
        <f aca="false">DATE(YEAR(B1902),MONTH(B1902),1)</f>
        <v>46204</v>
      </c>
      <c r="M1902" s="31" t="n">
        <f aca="false">WEEKDAY(B1902,2)</f>
        <v>1</v>
      </c>
      <c r="N1902" s="31" t="str">
        <f aca="false">IF(G1902&lt;=INDEX(Assumptions!$B$15:$B$18,MATCH(E1902,Assumptions!$A$15:$A$18,0)),"Yes","No")</f>
        <v>Yes</v>
      </c>
      <c r="O1902" s="31" t="str">
        <f aca="false">IF(H1902="","Open",IF(H1902&lt;=INDEX(Assumptions!$C$15:$C$18,MATCH(E1902,Assumptions!$A$15:$A$18,0)),"Yes","No"))</f>
        <v>Yes</v>
      </c>
    </row>
    <row r="1903" customFormat="false" ht="15" hidden="false" customHeight="false" outlineLevel="0" collapsed="false">
      <c r="A1903" s="31" t="s">
        <v>2053</v>
      </c>
      <c r="B1903" s="44" t="n">
        <v>46230</v>
      </c>
      <c r="C1903" s="31" t="s">
        <v>58</v>
      </c>
      <c r="D1903" s="31" t="s">
        <v>65</v>
      </c>
      <c r="E1903" s="31" t="s">
        <v>52</v>
      </c>
      <c r="F1903" s="31" t="s">
        <v>124</v>
      </c>
      <c r="G1903" s="31" t="n">
        <v>26</v>
      </c>
      <c r="H1903" s="41" t="n">
        <v>17.3</v>
      </c>
      <c r="I1903" s="31" t="s">
        <v>149</v>
      </c>
      <c r="J1903" s="31" t="n">
        <v>5</v>
      </c>
      <c r="K1903" s="31" t="s">
        <v>150</v>
      </c>
      <c r="L1903" s="45" t="n">
        <f aca="false">DATE(YEAR(B1903),MONTH(B1903),1)</f>
        <v>46204</v>
      </c>
      <c r="M1903" s="31" t="n">
        <f aca="false">WEEKDAY(B1903,2)</f>
        <v>1</v>
      </c>
      <c r="N1903" s="31" t="str">
        <f aca="false">IF(G1903&lt;=INDEX(Assumptions!$B$15:$B$18,MATCH(E1903,Assumptions!$A$15:$A$18,0)),"Yes","No")</f>
        <v>Yes</v>
      </c>
      <c r="O1903" s="31" t="str">
        <f aca="false">IF(H1903="","Open",IF(H1903&lt;=INDEX(Assumptions!$C$15:$C$18,MATCH(E1903,Assumptions!$A$15:$A$18,0)),"Yes","No"))</f>
        <v>Yes</v>
      </c>
    </row>
    <row r="1904" customFormat="false" ht="15" hidden="false" customHeight="false" outlineLevel="0" collapsed="false">
      <c r="A1904" s="31" t="s">
        <v>2054</v>
      </c>
      <c r="B1904" s="44" t="n">
        <v>46230</v>
      </c>
      <c r="C1904" s="31" t="s">
        <v>58</v>
      </c>
      <c r="D1904" s="31" t="s">
        <v>69</v>
      </c>
      <c r="E1904" s="31" t="s">
        <v>49</v>
      </c>
      <c r="F1904" s="31" t="s">
        <v>136</v>
      </c>
      <c r="G1904" s="31" t="n">
        <v>10</v>
      </c>
      <c r="H1904" s="41" t="n">
        <v>2.4</v>
      </c>
      <c r="I1904" s="31" t="s">
        <v>149</v>
      </c>
      <c r="J1904" s="31"/>
      <c r="K1904" s="31" t="s">
        <v>150</v>
      </c>
      <c r="L1904" s="45" t="n">
        <f aca="false">DATE(YEAR(B1904),MONTH(B1904),1)</f>
        <v>46204</v>
      </c>
      <c r="M1904" s="31" t="n">
        <f aca="false">WEEKDAY(B1904,2)</f>
        <v>1</v>
      </c>
      <c r="N1904" s="31" t="str">
        <f aca="false">IF(G1904&lt;=INDEX(Assumptions!$B$15:$B$18,MATCH(E1904,Assumptions!$A$15:$A$18,0)),"Yes","No")</f>
        <v>Yes</v>
      </c>
      <c r="O1904" s="31" t="str">
        <f aca="false">IF(H1904="","Open",IF(H1904&lt;=INDEX(Assumptions!$C$15:$C$18,MATCH(E1904,Assumptions!$A$15:$A$18,0)),"Yes","No"))</f>
        <v>Yes</v>
      </c>
    </row>
    <row r="1905" customFormat="false" ht="15" hidden="false" customHeight="false" outlineLevel="0" collapsed="false">
      <c r="A1905" s="31" t="s">
        <v>2055</v>
      </c>
      <c r="B1905" s="44" t="n">
        <v>46230</v>
      </c>
      <c r="C1905" s="31" t="s">
        <v>57</v>
      </c>
      <c r="D1905" s="31" t="s">
        <v>66</v>
      </c>
      <c r="E1905" s="31" t="s">
        <v>50</v>
      </c>
      <c r="F1905" s="31" t="s">
        <v>130</v>
      </c>
      <c r="G1905" s="31" t="n">
        <v>7</v>
      </c>
      <c r="H1905" s="41" t="n">
        <v>0.8</v>
      </c>
      <c r="I1905" s="31" t="s">
        <v>149</v>
      </c>
      <c r="J1905" s="31"/>
      <c r="K1905" s="31" t="s">
        <v>150</v>
      </c>
      <c r="L1905" s="45" t="n">
        <f aca="false">DATE(YEAR(B1905),MONTH(B1905),1)</f>
        <v>46204</v>
      </c>
      <c r="M1905" s="31" t="n">
        <f aca="false">WEEKDAY(B1905,2)</f>
        <v>1</v>
      </c>
      <c r="N1905" s="31" t="str">
        <f aca="false">IF(G1905&lt;=INDEX(Assumptions!$B$15:$B$18,MATCH(E1905,Assumptions!$A$15:$A$18,0)),"Yes","No")</f>
        <v>Yes</v>
      </c>
      <c r="O1905" s="31" t="str">
        <f aca="false">IF(H1905="","Open",IF(H1905&lt;=INDEX(Assumptions!$C$15:$C$18,MATCH(E1905,Assumptions!$A$15:$A$18,0)),"Yes","No"))</f>
        <v>Yes</v>
      </c>
    </row>
    <row r="1906" customFormat="false" ht="15" hidden="false" customHeight="false" outlineLevel="0" collapsed="false">
      <c r="A1906" s="31" t="s">
        <v>2056</v>
      </c>
      <c r="B1906" s="44" t="n">
        <v>46230</v>
      </c>
      <c r="C1906" s="31" t="s">
        <v>58</v>
      </c>
      <c r="D1906" s="31" t="s">
        <v>66</v>
      </c>
      <c r="E1906" s="31" t="s">
        <v>52</v>
      </c>
      <c r="F1906" s="31" t="s">
        <v>122</v>
      </c>
      <c r="G1906" s="31" t="n">
        <v>22</v>
      </c>
      <c r="H1906" s="41" t="n">
        <v>4.4</v>
      </c>
      <c r="I1906" s="31" t="s">
        <v>149</v>
      </c>
      <c r="J1906" s="31" t="n">
        <v>4</v>
      </c>
      <c r="K1906" s="31" t="s">
        <v>150</v>
      </c>
      <c r="L1906" s="45" t="n">
        <f aca="false">DATE(YEAR(B1906),MONTH(B1906),1)</f>
        <v>46204</v>
      </c>
      <c r="M1906" s="31" t="n">
        <f aca="false">WEEKDAY(B1906,2)</f>
        <v>1</v>
      </c>
      <c r="N1906" s="31" t="str">
        <f aca="false">IF(G1906&lt;=INDEX(Assumptions!$B$15:$B$18,MATCH(E1906,Assumptions!$A$15:$A$18,0)),"Yes","No")</f>
        <v>Yes</v>
      </c>
      <c r="O1906" s="31" t="str">
        <f aca="false">IF(H1906="","Open",IF(H1906&lt;=INDEX(Assumptions!$C$15:$C$18,MATCH(E1906,Assumptions!$A$15:$A$18,0)),"Yes","No"))</f>
        <v>Yes</v>
      </c>
    </row>
    <row r="1907" customFormat="false" ht="15" hidden="false" customHeight="false" outlineLevel="0" collapsed="false">
      <c r="A1907" s="31" t="s">
        <v>2057</v>
      </c>
      <c r="B1907" s="44" t="n">
        <v>46230</v>
      </c>
      <c r="C1907" s="31" t="s">
        <v>59</v>
      </c>
      <c r="D1907" s="31" t="s">
        <v>68</v>
      </c>
      <c r="E1907" s="31" t="s">
        <v>52</v>
      </c>
      <c r="F1907" s="31" t="s">
        <v>130</v>
      </c>
      <c r="G1907" s="31" t="n">
        <v>204</v>
      </c>
      <c r="H1907" s="41" t="n">
        <v>1.1</v>
      </c>
      <c r="I1907" s="31" t="s">
        <v>149</v>
      </c>
      <c r="J1907" s="31" t="n">
        <v>5</v>
      </c>
      <c r="K1907" s="31" t="s">
        <v>150</v>
      </c>
      <c r="L1907" s="45" t="n">
        <f aca="false">DATE(YEAR(B1907),MONTH(B1907),1)</f>
        <v>46204</v>
      </c>
      <c r="M1907" s="31" t="n">
        <f aca="false">WEEKDAY(B1907,2)</f>
        <v>1</v>
      </c>
      <c r="N1907" s="31" t="str">
        <f aca="false">IF(G1907&lt;=INDEX(Assumptions!$B$15:$B$18,MATCH(E1907,Assumptions!$A$15:$A$18,0)),"Yes","No")</f>
        <v>Yes</v>
      </c>
      <c r="O1907" s="31" t="str">
        <f aca="false">IF(H1907="","Open",IF(H1907&lt;=INDEX(Assumptions!$C$15:$C$18,MATCH(E1907,Assumptions!$A$15:$A$18,0)),"Yes","No"))</f>
        <v>Yes</v>
      </c>
    </row>
    <row r="1908" customFormat="false" ht="15" hidden="false" customHeight="false" outlineLevel="0" collapsed="false">
      <c r="A1908" s="31" t="s">
        <v>2058</v>
      </c>
      <c r="B1908" s="44" t="n">
        <v>46230</v>
      </c>
      <c r="C1908" s="31" t="s">
        <v>60</v>
      </c>
      <c r="D1908" s="31" t="s">
        <v>66</v>
      </c>
      <c r="E1908" s="31" t="s">
        <v>52</v>
      </c>
      <c r="F1908" s="31" t="s">
        <v>134</v>
      </c>
      <c r="G1908" s="31" t="n">
        <v>9</v>
      </c>
      <c r="H1908" s="41" t="n">
        <v>24.3</v>
      </c>
      <c r="I1908" s="31" t="s">
        <v>149</v>
      </c>
      <c r="J1908" s="31" t="n">
        <v>5</v>
      </c>
      <c r="K1908" s="31" t="s">
        <v>150</v>
      </c>
      <c r="L1908" s="45" t="n">
        <f aca="false">DATE(YEAR(B1908),MONTH(B1908),1)</f>
        <v>46204</v>
      </c>
      <c r="M1908" s="31" t="n">
        <f aca="false">WEEKDAY(B1908,2)</f>
        <v>1</v>
      </c>
      <c r="N1908" s="31" t="str">
        <f aca="false">IF(G1908&lt;=INDEX(Assumptions!$B$15:$B$18,MATCH(E1908,Assumptions!$A$15:$A$18,0)),"Yes","No")</f>
        <v>Yes</v>
      </c>
      <c r="O1908" s="31" t="str">
        <f aca="false">IF(H1908="","Open",IF(H1908&lt;=INDEX(Assumptions!$C$15:$C$18,MATCH(E1908,Assumptions!$A$15:$A$18,0)),"Yes","No"))</f>
        <v>Yes</v>
      </c>
    </row>
    <row r="1909" customFormat="false" ht="15" hidden="false" customHeight="false" outlineLevel="0" collapsed="false">
      <c r="A1909" s="31" t="s">
        <v>2059</v>
      </c>
      <c r="B1909" s="44" t="n">
        <v>46230</v>
      </c>
      <c r="C1909" s="31" t="s">
        <v>59</v>
      </c>
      <c r="D1909" s="31" t="s">
        <v>67</v>
      </c>
      <c r="E1909" s="31" t="s">
        <v>52</v>
      </c>
      <c r="F1909" s="31" t="s">
        <v>128</v>
      </c>
      <c r="G1909" s="31" t="n">
        <v>353</v>
      </c>
      <c r="H1909" s="41" t="n">
        <v>33.5</v>
      </c>
      <c r="I1909" s="31" t="s">
        <v>149</v>
      </c>
      <c r="J1909" s="31" t="n">
        <v>4</v>
      </c>
      <c r="K1909" s="31" t="s">
        <v>150</v>
      </c>
      <c r="L1909" s="45" t="n">
        <f aca="false">DATE(YEAR(B1909),MONTH(B1909),1)</f>
        <v>46204</v>
      </c>
      <c r="M1909" s="31" t="n">
        <f aca="false">WEEKDAY(B1909,2)</f>
        <v>1</v>
      </c>
      <c r="N1909" s="31" t="str">
        <f aca="false">IF(G1909&lt;=INDEX(Assumptions!$B$15:$B$18,MATCH(E1909,Assumptions!$A$15:$A$18,0)),"Yes","No")</f>
        <v>No</v>
      </c>
      <c r="O1909" s="31" t="str">
        <f aca="false">IF(H1909="","Open",IF(H1909&lt;=INDEX(Assumptions!$C$15:$C$18,MATCH(E1909,Assumptions!$A$15:$A$18,0)),"Yes","No"))</f>
        <v>Yes</v>
      </c>
    </row>
    <row r="1910" customFormat="false" ht="15" hidden="false" customHeight="false" outlineLevel="0" collapsed="false">
      <c r="A1910" s="31" t="s">
        <v>2060</v>
      </c>
      <c r="B1910" s="44" t="n">
        <v>46230</v>
      </c>
      <c r="C1910" s="31" t="s">
        <v>58</v>
      </c>
      <c r="D1910" s="31" t="s">
        <v>67</v>
      </c>
      <c r="E1910" s="31" t="s">
        <v>52</v>
      </c>
      <c r="F1910" s="31" t="s">
        <v>129</v>
      </c>
      <c r="G1910" s="31" t="n">
        <v>9</v>
      </c>
      <c r="H1910" s="41" t="n">
        <v>10.6</v>
      </c>
      <c r="I1910" s="31" t="s">
        <v>64</v>
      </c>
      <c r="J1910" s="31"/>
      <c r="K1910" s="31" t="s">
        <v>150</v>
      </c>
      <c r="L1910" s="45" t="n">
        <f aca="false">DATE(YEAR(B1910),MONTH(B1910),1)</f>
        <v>46204</v>
      </c>
      <c r="M1910" s="31" t="n">
        <f aca="false">WEEKDAY(B1910,2)</f>
        <v>1</v>
      </c>
      <c r="N1910" s="31" t="str">
        <f aca="false">IF(G1910&lt;=INDEX(Assumptions!$B$15:$B$18,MATCH(E1910,Assumptions!$A$15:$A$18,0)),"Yes","No")</f>
        <v>Yes</v>
      </c>
      <c r="O1910" s="31" t="str">
        <f aca="false">IF(H1910="","Open",IF(H1910&lt;=INDEX(Assumptions!$C$15:$C$18,MATCH(E1910,Assumptions!$A$15:$A$18,0)),"Yes","No"))</f>
        <v>Yes</v>
      </c>
    </row>
    <row r="1911" customFormat="false" ht="15" hidden="false" customHeight="false" outlineLevel="0" collapsed="false">
      <c r="A1911" s="31" t="s">
        <v>2061</v>
      </c>
      <c r="B1911" s="44" t="n">
        <v>46230</v>
      </c>
      <c r="C1911" s="31" t="s">
        <v>58</v>
      </c>
      <c r="D1911" s="31" t="s">
        <v>65</v>
      </c>
      <c r="E1911" s="31" t="s">
        <v>51</v>
      </c>
      <c r="F1911" s="31" t="s">
        <v>127</v>
      </c>
      <c r="G1911" s="31" t="n">
        <v>12</v>
      </c>
      <c r="H1911" s="41" t="n">
        <v>5</v>
      </c>
      <c r="I1911" s="31" t="s">
        <v>149</v>
      </c>
      <c r="J1911" s="31"/>
      <c r="K1911" s="31" t="s">
        <v>150</v>
      </c>
      <c r="L1911" s="45" t="n">
        <f aca="false">DATE(YEAR(B1911),MONTH(B1911),1)</f>
        <v>46204</v>
      </c>
      <c r="M1911" s="31" t="n">
        <f aca="false">WEEKDAY(B1911,2)</f>
        <v>1</v>
      </c>
      <c r="N1911" s="31" t="str">
        <f aca="false">IF(G1911&lt;=INDEX(Assumptions!$B$15:$B$18,MATCH(E1911,Assumptions!$A$15:$A$18,0)),"Yes","No")</f>
        <v>Yes</v>
      </c>
      <c r="O1911" s="31" t="str">
        <f aca="false">IF(H1911="","Open",IF(H1911&lt;=INDEX(Assumptions!$C$15:$C$18,MATCH(E1911,Assumptions!$A$15:$A$18,0)),"Yes","No"))</f>
        <v>Yes</v>
      </c>
    </row>
    <row r="1912" customFormat="false" ht="15" hidden="false" customHeight="false" outlineLevel="0" collapsed="false">
      <c r="A1912" s="31" t="s">
        <v>2062</v>
      </c>
      <c r="B1912" s="44" t="n">
        <v>46230</v>
      </c>
      <c r="C1912" s="31" t="s">
        <v>57</v>
      </c>
      <c r="D1912" s="31" t="s">
        <v>65</v>
      </c>
      <c r="E1912" s="31" t="s">
        <v>51</v>
      </c>
      <c r="F1912" s="31" t="s">
        <v>120</v>
      </c>
      <c r="G1912" s="31" t="n">
        <v>4</v>
      </c>
      <c r="H1912" s="41" t="n">
        <v>9.9</v>
      </c>
      <c r="I1912" s="31" t="s">
        <v>149</v>
      </c>
      <c r="J1912" s="31"/>
      <c r="K1912" s="31" t="s">
        <v>153</v>
      </c>
      <c r="L1912" s="45" t="n">
        <f aca="false">DATE(YEAR(B1912),MONTH(B1912),1)</f>
        <v>46204</v>
      </c>
      <c r="M1912" s="31" t="n">
        <f aca="false">WEEKDAY(B1912,2)</f>
        <v>1</v>
      </c>
      <c r="N1912" s="31" t="str">
        <f aca="false">IF(G1912&lt;=INDEX(Assumptions!$B$15:$B$18,MATCH(E1912,Assumptions!$A$15:$A$18,0)),"Yes","No")</f>
        <v>Yes</v>
      </c>
      <c r="O1912" s="31" t="str">
        <f aca="false">IF(H1912="","Open",IF(H1912&lt;=INDEX(Assumptions!$C$15:$C$18,MATCH(E1912,Assumptions!$A$15:$A$18,0)),"Yes","No"))</f>
        <v>Yes</v>
      </c>
    </row>
    <row r="1913" customFormat="false" ht="15" hidden="false" customHeight="false" outlineLevel="0" collapsed="false">
      <c r="A1913" s="31" t="s">
        <v>2063</v>
      </c>
      <c r="B1913" s="44" t="n">
        <v>46230</v>
      </c>
      <c r="C1913" s="31" t="s">
        <v>58</v>
      </c>
      <c r="D1913" s="31" t="s">
        <v>67</v>
      </c>
      <c r="E1913" s="31" t="s">
        <v>51</v>
      </c>
      <c r="F1913" s="31" t="s">
        <v>124</v>
      </c>
      <c r="G1913" s="31" t="n">
        <v>9</v>
      </c>
      <c r="H1913" s="41" t="n">
        <v>12.8</v>
      </c>
      <c r="I1913" s="31" t="s">
        <v>149</v>
      </c>
      <c r="J1913" s="31"/>
      <c r="K1913" s="31" t="s">
        <v>150</v>
      </c>
      <c r="L1913" s="45" t="n">
        <f aca="false">DATE(YEAR(B1913),MONTH(B1913),1)</f>
        <v>46204</v>
      </c>
      <c r="M1913" s="31" t="n">
        <f aca="false">WEEKDAY(B1913,2)</f>
        <v>1</v>
      </c>
      <c r="N1913" s="31" t="str">
        <f aca="false">IF(G1913&lt;=INDEX(Assumptions!$B$15:$B$18,MATCH(E1913,Assumptions!$A$15:$A$18,0)),"Yes","No")</f>
        <v>Yes</v>
      </c>
      <c r="O1913" s="31" t="str">
        <f aca="false">IF(H1913="","Open",IF(H1913&lt;=INDEX(Assumptions!$C$15:$C$18,MATCH(E1913,Assumptions!$A$15:$A$18,0)),"Yes","No"))</f>
        <v>Yes</v>
      </c>
    </row>
    <row r="1914" customFormat="false" ht="15" hidden="false" customHeight="false" outlineLevel="0" collapsed="false">
      <c r="A1914" s="31" t="s">
        <v>2064</v>
      </c>
      <c r="B1914" s="44" t="n">
        <v>46230</v>
      </c>
      <c r="C1914" s="31" t="s">
        <v>57</v>
      </c>
      <c r="D1914" s="31" t="s">
        <v>65</v>
      </c>
      <c r="E1914" s="31" t="s">
        <v>49</v>
      </c>
      <c r="F1914" s="31" t="s">
        <v>133</v>
      </c>
      <c r="G1914" s="31" t="n">
        <v>3</v>
      </c>
      <c r="H1914" s="41" t="n">
        <v>1.7</v>
      </c>
      <c r="I1914" s="31" t="s">
        <v>149</v>
      </c>
      <c r="J1914" s="31"/>
      <c r="K1914" s="31" t="s">
        <v>150</v>
      </c>
      <c r="L1914" s="45" t="n">
        <f aca="false">DATE(YEAR(B1914),MONTH(B1914),1)</f>
        <v>46204</v>
      </c>
      <c r="M1914" s="31" t="n">
        <f aca="false">WEEKDAY(B1914,2)</f>
        <v>1</v>
      </c>
      <c r="N1914" s="31" t="str">
        <f aca="false">IF(G1914&lt;=INDEX(Assumptions!$B$15:$B$18,MATCH(E1914,Assumptions!$A$15:$A$18,0)),"Yes","No")</f>
        <v>Yes</v>
      </c>
      <c r="O1914" s="31" t="str">
        <f aca="false">IF(H1914="","Open",IF(H1914&lt;=INDEX(Assumptions!$C$15:$C$18,MATCH(E1914,Assumptions!$A$15:$A$18,0)),"Yes","No"))</f>
        <v>Yes</v>
      </c>
    </row>
    <row r="1915" customFormat="false" ht="15" hidden="false" customHeight="false" outlineLevel="0" collapsed="false">
      <c r="A1915" s="31" t="s">
        <v>2065</v>
      </c>
      <c r="B1915" s="44" t="n">
        <v>46230</v>
      </c>
      <c r="C1915" s="31" t="s">
        <v>60</v>
      </c>
      <c r="D1915" s="31" t="s">
        <v>66</v>
      </c>
      <c r="E1915" s="31" t="s">
        <v>50</v>
      </c>
      <c r="F1915" s="31" t="s">
        <v>120</v>
      </c>
      <c r="G1915" s="31" t="n">
        <v>2</v>
      </c>
      <c r="H1915" s="41" t="n">
        <v>9.1</v>
      </c>
      <c r="I1915" s="31" t="s">
        <v>149</v>
      </c>
      <c r="J1915" s="31" t="n">
        <v>4</v>
      </c>
      <c r="K1915" s="31" t="s">
        <v>150</v>
      </c>
      <c r="L1915" s="45" t="n">
        <f aca="false">DATE(YEAR(B1915),MONTH(B1915),1)</f>
        <v>46204</v>
      </c>
      <c r="M1915" s="31" t="n">
        <f aca="false">WEEKDAY(B1915,2)</f>
        <v>1</v>
      </c>
      <c r="N1915" s="31" t="str">
        <f aca="false">IF(G1915&lt;=INDEX(Assumptions!$B$15:$B$18,MATCH(E1915,Assumptions!$A$15:$A$18,0)),"Yes","No")</f>
        <v>Yes</v>
      </c>
      <c r="O1915" s="31" t="str">
        <f aca="false">IF(H1915="","Open",IF(H1915&lt;=INDEX(Assumptions!$C$15:$C$18,MATCH(E1915,Assumptions!$A$15:$A$18,0)),"Yes","No"))</f>
        <v>No</v>
      </c>
    </row>
    <row r="1916" customFormat="false" ht="15" hidden="false" customHeight="false" outlineLevel="0" collapsed="false">
      <c r="A1916" s="31" t="s">
        <v>2066</v>
      </c>
      <c r="B1916" s="44" t="n">
        <v>46230</v>
      </c>
      <c r="C1916" s="31" t="s">
        <v>57</v>
      </c>
      <c r="D1916" s="31" t="s">
        <v>66</v>
      </c>
      <c r="E1916" s="31" t="s">
        <v>52</v>
      </c>
      <c r="F1916" s="31" t="s">
        <v>129</v>
      </c>
      <c r="G1916" s="31" t="n">
        <v>2</v>
      </c>
      <c r="H1916" s="41" t="n">
        <v>6.6</v>
      </c>
      <c r="I1916" s="31" t="s">
        <v>149</v>
      </c>
      <c r="J1916" s="31" t="n">
        <v>4</v>
      </c>
      <c r="K1916" s="31" t="s">
        <v>150</v>
      </c>
      <c r="L1916" s="45" t="n">
        <f aca="false">DATE(YEAR(B1916),MONTH(B1916),1)</f>
        <v>46204</v>
      </c>
      <c r="M1916" s="31" t="n">
        <f aca="false">WEEKDAY(B1916,2)</f>
        <v>1</v>
      </c>
      <c r="N1916" s="31" t="str">
        <f aca="false">IF(G1916&lt;=INDEX(Assumptions!$B$15:$B$18,MATCH(E1916,Assumptions!$A$15:$A$18,0)),"Yes","No")</f>
        <v>Yes</v>
      </c>
      <c r="O1916" s="31" t="str">
        <f aca="false">IF(H1916="","Open",IF(H1916&lt;=INDEX(Assumptions!$C$15:$C$18,MATCH(E1916,Assumptions!$A$15:$A$18,0)),"Yes","No"))</f>
        <v>Yes</v>
      </c>
    </row>
    <row r="1917" customFormat="false" ht="15" hidden="false" customHeight="false" outlineLevel="0" collapsed="false">
      <c r="A1917" s="31" t="s">
        <v>2067</v>
      </c>
      <c r="B1917" s="44" t="n">
        <v>46230</v>
      </c>
      <c r="C1917" s="31" t="s">
        <v>60</v>
      </c>
      <c r="D1917" s="31" t="s">
        <v>65</v>
      </c>
      <c r="E1917" s="31" t="s">
        <v>51</v>
      </c>
      <c r="F1917" s="31" t="s">
        <v>136</v>
      </c>
      <c r="G1917" s="31" t="n">
        <v>2</v>
      </c>
      <c r="H1917" s="41" t="n">
        <v>14.5</v>
      </c>
      <c r="I1917" s="31" t="s">
        <v>149</v>
      </c>
      <c r="J1917" s="31" t="n">
        <v>4</v>
      </c>
      <c r="K1917" s="31" t="s">
        <v>150</v>
      </c>
      <c r="L1917" s="45" t="n">
        <f aca="false">DATE(YEAR(B1917),MONTH(B1917),1)</f>
        <v>46204</v>
      </c>
      <c r="M1917" s="31" t="n">
        <f aca="false">WEEKDAY(B1917,2)</f>
        <v>1</v>
      </c>
      <c r="N1917" s="31" t="str">
        <f aca="false">IF(G1917&lt;=INDEX(Assumptions!$B$15:$B$18,MATCH(E1917,Assumptions!$A$15:$A$18,0)),"Yes","No")</f>
        <v>Yes</v>
      </c>
      <c r="O1917" s="31" t="str">
        <f aca="false">IF(H1917="","Open",IF(H1917&lt;=INDEX(Assumptions!$C$15:$C$18,MATCH(E1917,Assumptions!$A$15:$A$18,0)),"Yes","No"))</f>
        <v>Yes</v>
      </c>
    </row>
    <row r="1918" customFormat="false" ht="15" hidden="false" customHeight="false" outlineLevel="0" collapsed="false">
      <c r="A1918" s="31" t="s">
        <v>2068</v>
      </c>
      <c r="B1918" s="44" t="n">
        <v>46230</v>
      </c>
      <c r="C1918" s="31" t="s">
        <v>58</v>
      </c>
      <c r="D1918" s="31" t="s">
        <v>69</v>
      </c>
      <c r="E1918" s="31" t="s">
        <v>49</v>
      </c>
      <c r="F1918" s="31" t="s">
        <v>126</v>
      </c>
      <c r="G1918" s="31" t="n">
        <v>13</v>
      </c>
      <c r="H1918" s="41" t="n">
        <v>3.8</v>
      </c>
      <c r="I1918" s="31" t="s">
        <v>149</v>
      </c>
      <c r="J1918" s="31" t="n">
        <v>5</v>
      </c>
      <c r="K1918" s="31" t="s">
        <v>150</v>
      </c>
      <c r="L1918" s="45" t="n">
        <f aca="false">DATE(YEAR(B1918),MONTH(B1918),1)</f>
        <v>46204</v>
      </c>
      <c r="M1918" s="31" t="n">
        <f aca="false">WEEKDAY(B1918,2)</f>
        <v>1</v>
      </c>
      <c r="N1918" s="31" t="str">
        <f aca="false">IF(G1918&lt;=INDEX(Assumptions!$B$15:$B$18,MATCH(E1918,Assumptions!$A$15:$A$18,0)),"Yes","No")</f>
        <v>Yes</v>
      </c>
      <c r="O1918" s="31" t="str">
        <f aca="false">IF(H1918="","Open",IF(H1918&lt;=INDEX(Assumptions!$C$15:$C$18,MATCH(E1918,Assumptions!$A$15:$A$18,0)),"Yes","No"))</f>
        <v>Yes</v>
      </c>
    </row>
    <row r="1919" customFormat="false" ht="15" hidden="false" customHeight="false" outlineLevel="0" collapsed="false">
      <c r="A1919" s="31" t="s">
        <v>2069</v>
      </c>
      <c r="B1919" s="44" t="n">
        <v>46230</v>
      </c>
      <c r="C1919" s="31" t="s">
        <v>59</v>
      </c>
      <c r="D1919" s="31" t="s">
        <v>65</v>
      </c>
      <c r="E1919" s="31" t="s">
        <v>52</v>
      </c>
      <c r="F1919" s="31" t="s">
        <v>119</v>
      </c>
      <c r="G1919" s="31" t="n">
        <v>57</v>
      </c>
      <c r="H1919" s="41" t="n">
        <v>13.1</v>
      </c>
      <c r="I1919" s="31" t="s">
        <v>149</v>
      </c>
      <c r="J1919" s="31" t="n">
        <v>5</v>
      </c>
      <c r="K1919" s="31" t="s">
        <v>150</v>
      </c>
      <c r="L1919" s="45" t="n">
        <f aca="false">DATE(YEAR(B1919),MONTH(B1919),1)</f>
        <v>46204</v>
      </c>
      <c r="M1919" s="31" t="n">
        <f aca="false">WEEKDAY(B1919,2)</f>
        <v>1</v>
      </c>
      <c r="N1919" s="31" t="str">
        <f aca="false">IF(G1919&lt;=INDEX(Assumptions!$B$15:$B$18,MATCH(E1919,Assumptions!$A$15:$A$18,0)),"Yes","No")</f>
        <v>Yes</v>
      </c>
      <c r="O1919" s="31" t="str">
        <f aca="false">IF(H1919="","Open",IF(H1919&lt;=INDEX(Assumptions!$C$15:$C$18,MATCH(E1919,Assumptions!$A$15:$A$18,0)),"Yes","No"))</f>
        <v>Yes</v>
      </c>
    </row>
    <row r="1920" customFormat="false" ht="15" hidden="false" customHeight="false" outlineLevel="0" collapsed="false">
      <c r="A1920" s="31" t="s">
        <v>2070</v>
      </c>
      <c r="B1920" s="44" t="n">
        <v>46230</v>
      </c>
      <c r="C1920" s="31" t="s">
        <v>57</v>
      </c>
      <c r="D1920" s="31" t="s">
        <v>69</v>
      </c>
      <c r="E1920" s="31" t="s">
        <v>51</v>
      </c>
      <c r="F1920" s="31" t="s">
        <v>131</v>
      </c>
      <c r="G1920" s="31" t="n">
        <v>12</v>
      </c>
      <c r="H1920" s="41" t="n">
        <v>18.5</v>
      </c>
      <c r="I1920" s="31" t="s">
        <v>149</v>
      </c>
      <c r="J1920" s="31"/>
      <c r="K1920" s="31" t="s">
        <v>150</v>
      </c>
      <c r="L1920" s="45" t="n">
        <f aca="false">DATE(YEAR(B1920),MONTH(B1920),1)</f>
        <v>46204</v>
      </c>
      <c r="M1920" s="31" t="n">
        <f aca="false">WEEKDAY(B1920,2)</f>
        <v>1</v>
      </c>
      <c r="N1920" s="31" t="str">
        <f aca="false">IF(G1920&lt;=INDEX(Assumptions!$B$15:$B$18,MATCH(E1920,Assumptions!$A$15:$A$18,0)),"Yes","No")</f>
        <v>Yes</v>
      </c>
      <c r="O1920" s="31" t="str">
        <f aca="false">IF(H1920="","Open",IF(H1920&lt;=INDEX(Assumptions!$C$15:$C$18,MATCH(E1920,Assumptions!$A$15:$A$18,0)),"Yes","No"))</f>
        <v>Yes</v>
      </c>
    </row>
    <row r="1921" customFormat="false" ht="15" hidden="false" customHeight="false" outlineLevel="0" collapsed="false">
      <c r="A1921" s="31" t="s">
        <v>2071</v>
      </c>
      <c r="B1921" s="44" t="n">
        <v>46230</v>
      </c>
      <c r="C1921" s="31" t="s">
        <v>59</v>
      </c>
      <c r="D1921" s="31" t="s">
        <v>66</v>
      </c>
      <c r="E1921" s="31" t="s">
        <v>50</v>
      </c>
      <c r="F1921" s="31" t="s">
        <v>120</v>
      </c>
      <c r="G1921" s="31" t="n">
        <v>102</v>
      </c>
      <c r="H1921" s="41" t="n">
        <v>2</v>
      </c>
      <c r="I1921" s="31" t="s">
        <v>149</v>
      </c>
      <c r="J1921" s="31" t="n">
        <v>4</v>
      </c>
      <c r="K1921" s="31" t="s">
        <v>150</v>
      </c>
      <c r="L1921" s="45" t="n">
        <f aca="false">DATE(YEAR(B1921),MONTH(B1921),1)</f>
        <v>46204</v>
      </c>
      <c r="M1921" s="31" t="n">
        <f aca="false">WEEKDAY(B1921,2)</f>
        <v>1</v>
      </c>
      <c r="N1921" s="31" t="str">
        <f aca="false">IF(G1921&lt;=INDEX(Assumptions!$B$15:$B$18,MATCH(E1921,Assumptions!$A$15:$A$18,0)),"Yes","No")</f>
        <v>No</v>
      </c>
      <c r="O1921" s="31" t="str">
        <f aca="false">IF(H1921="","Open",IF(H1921&lt;=INDEX(Assumptions!$C$15:$C$18,MATCH(E1921,Assumptions!$A$15:$A$18,0)),"Yes","No"))</f>
        <v>Yes</v>
      </c>
    </row>
    <row r="1922" customFormat="false" ht="15" hidden="false" customHeight="false" outlineLevel="0" collapsed="false">
      <c r="A1922" s="31" t="s">
        <v>2072</v>
      </c>
      <c r="B1922" s="44" t="n">
        <v>46230</v>
      </c>
      <c r="C1922" s="31" t="s">
        <v>59</v>
      </c>
      <c r="D1922" s="31" t="s">
        <v>66</v>
      </c>
      <c r="E1922" s="31" t="s">
        <v>52</v>
      </c>
      <c r="F1922" s="31" t="s">
        <v>117</v>
      </c>
      <c r="G1922" s="31" t="n">
        <v>39</v>
      </c>
      <c r="H1922" s="41" t="n">
        <v>1.9</v>
      </c>
      <c r="I1922" s="31" t="s">
        <v>149</v>
      </c>
      <c r="J1922" s="31"/>
      <c r="K1922" s="31" t="s">
        <v>150</v>
      </c>
      <c r="L1922" s="45" t="n">
        <f aca="false">DATE(YEAR(B1922),MONTH(B1922),1)</f>
        <v>46204</v>
      </c>
      <c r="M1922" s="31" t="n">
        <f aca="false">WEEKDAY(B1922,2)</f>
        <v>1</v>
      </c>
      <c r="N1922" s="31" t="str">
        <f aca="false">IF(G1922&lt;=INDEX(Assumptions!$B$15:$B$18,MATCH(E1922,Assumptions!$A$15:$A$18,0)),"Yes","No")</f>
        <v>Yes</v>
      </c>
      <c r="O1922" s="31" t="str">
        <f aca="false">IF(H1922="","Open",IF(H1922&lt;=INDEX(Assumptions!$C$15:$C$18,MATCH(E1922,Assumptions!$A$15:$A$18,0)),"Yes","No"))</f>
        <v>Yes</v>
      </c>
    </row>
    <row r="1923" customFormat="false" ht="15" hidden="false" customHeight="false" outlineLevel="0" collapsed="false">
      <c r="A1923" s="31" t="s">
        <v>2073</v>
      </c>
      <c r="B1923" s="44" t="n">
        <v>46230</v>
      </c>
      <c r="C1923" s="31" t="s">
        <v>57</v>
      </c>
      <c r="D1923" s="31" t="s">
        <v>65</v>
      </c>
      <c r="E1923" s="31" t="s">
        <v>51</v>
      </c>
      <c r="F1923" s="31" t="s">
        <v>128</v>
      </c>
      <c r="G1923" s="31" t="n">
        <v>17</v>
      </c>
      <c r="H1923" s="41" t="n">
        <v>8</v>
      </c>
      <c r="I1923" s="31" t="s">
        <v>149</v>
      </c>
      <c r="J1923" s="31" t="n">
        <v>3</v>
      </c>
      <c r="K1923" s="31" t="s">
        <v>150</v>
      </c>
      <c r="L1923" s="45" t="n">
        <f aca="false">DATE(YEAR(B1923),MONTH(B1923),1)</f>
        <v>46204</v>
      </c>
      <c r="M1923" s="31" t="n">
        <f aca="false">WEEKDAY(B1923,2)</f>
        <v>1</v>
      </c>
      <c r="N1923" s="31" t="str">
        <f aca="false">IF(G1923&lt;=INDEX(Assumptions!$B$15:$B$18,MATCH(E1923,Assumptions!$A$15:$A$18,0)),"Yes","No")</f>
        <v>Yes</v>
      </c>
      <c r="O1923" s="31" t="str">
        <f aca="false">IF(H1923="","Open",IF(H1923&lt;=INDEX(Assumptions!$C$15:$C$18,MATCH(E1923,Assumptions!$A$15:$A$18,0)),"Yes","No"))</f>
        <v>Yes</v>
      </c>
    </row>
    <row r="1924" customFormat="false" ht="15" hidden="false" customHeight="false" outlineLevel="0" collapsed="false">
      <c r="A1924" s="31" t="s">
        <v>2074</v>
      </c>
      <c r="B1924" s="44" t="n">
        <v>46230</v>
      </c>
      <c r="C1924" s="31" t="s">
        <v>59</v>
      </c>
      <c r="D1924" s="31" t="s">
        <v>67</v>
      </c>
      <c r="E1924" s="31" t="s">
        <v>50</v>
      </c>
      <c r="F1924" s="31" t="s">
        <v>119</v>
      </c>
      <c r="G1924" s="31" t="n">
        <v>61</v>
      </c>
      <c r="H1924" s="41" t="n">
        <v>4.1</v>
      </c>
      <c r="I1924" s="31" t="s">
        <v>149</v>
      </c>
      <c r="J1924" s="31" t="n">
        <v>4</v>
      </c>
      <c r="K1924" s="31" t="s">
        <v>150</v>
      </c>
      <c r="L1924" s="45" t="n">
        <f aca="false">DATE(YEAR(B1924),MONTH(B1924),1)</f>
        <v>46204</v>
      </c>
      <c r="M1924" s="31" t="n">
        <f aca="false">WEEKDAY(B1924,2)</f>
        <v>1</v>
      </c>
      <c r="N1924" s="31" t="str">
        <f aca="false">IF(G1924&lt;=INDEX(Assumptions!$B$15:$B$18,MATCH(E1924,Assumptions!$A$15:$A$18,0)),"Yes","No")</f>
        <v>No</v>
      </c>
      <c r="O1924" s="31" t="str">
        <f aca="false">IF(H1924="","Open",IF(H1924&lt;=INDEX(Assumptions!$C$15:$C$18,MATCH(E1924,Assumptions!$A$15:$A$18,0)),"Yes","No"))</f>
        <v>Yes</v>
      </c>
    </row>
    <row r="1925" customFormat="false" ht="15" hidden="false" customHeight="false" outlineLevel="0" collapsed="false">
      <c r="A1925" s="31" t="s">
        <v>2075</v>
      </c>
      <c r="B1925" s="44" t="n">
        <v>46230</v>
      </c>
      <c r="C1925" s="31" t="s">
        <v>57</v>
      </c>
      <c r="D1925" s="31" t="s">
        <v>66</v>
      </c>
      <c r="E1925" s="31" t="s">
        <v>51</v>
      </c>
      <c r="F1925" s="31" t="s">
        <v>120</v>
      </c>
      <c r="G1925" s="31" t="n">
        <v>5</v>
      </c>
      <c r="H1925" s="41" t="n">
        <v>2.9</v>
      </c>
      <c r="I1925" s="31" t="s">
        <v>149</v>
      </c>
      <c r="J1925" s="31" t="n">
        <v>5</v>
      </c>
      <c r="K1925" s="31" t="s">
        <v>150</v>
      </c>
      <c r="L1925" s="45" t="n">
        <f aca="false">DATE(YEAR(B1925),MONTH(B1925),1)</f>
        <v>46204</v>
      </c>
      <c r="M1925" s="31" t="n">
        <f aca="false">WEEKDAY(B1925,2)</f>
        <v>1</v>
      </c>
      <c r="N1925" s="31" t="str">
        <f aca="false">IF(G1925&lt;=INDEX(Assumptions!$B$15:$B$18,MATCH(E1925,Assumptions!$A$15:$A$18,0)),"Yes","No")</f>
        <v>Yes</v>
      </c>
      <c r="O1925" s="31" t="str">
        <f aca="false">IF(H1925="","Open",IF(H1925&lt;=INDEX(Assumptions!$C$15:$C$18,MATCH(E1925,Assumptions!$A$15:$A$18,0)),"Yes","No"))</f>
        <v>Yes</v>
      </c>
    </row>
    <row r="1926" customFormat="false" ht="15" hidden="false" customHeight="false" outlineLevel="0" collapsed="false">
      <c r="A1926" s="31" t="s">
        <v>2076</v>
      </c>
      <c r="B1926" s="44" t="n">
        <v>46230</v>
      </c>
      <c r="C1926" s="31" t="s">
        <v>59</v>
      </c>
      <c r="D1926" s="31" t="s">
        <v>66</v>
      </c>
      <c r="E1926" s="31" t="s">
        <v>52</v>
      </c>
      <c r="F1926" s="31" t="s">
        <v>127</v>
      </c>
      <c r="G1926" s="31" t="n">
        <v>43</v>
      </c>
      <c r="H1926" s="41" t="n">
        <v>4.2</v>
      </c>
      <c r="I1926" s="31" t="s">
        <v>149</v>
      </c>
      <c r="J1926" s="31" t="n">
        <v>4</v>
      </c>
      <c r="K1926" s="31" t="s">
        <v>150</v>
      </c>
      <c r="L1926" s="45" t="n">
        <f aca="false">DATE(YEAR(B1926),MONTH(B1926),1)</f>
        <v>46204</v>
      </c>
      <c r="M1926" s="31" t="n">
        <f aca="false">WEEKDAY(B1926,2)</f>
        <v>1</v>
      </c>
      <c r="N1926" s="31" t="str">
        <f aca="false">IF(G1926&lt;=INDEX(Assumptions!$B$15:$B$18,MATCH(E1926,Assumptions!$A$15:$A$18,0)),"Yes","No")</f>
        <v>Yes</v>
      </c>
      <c r="O1926" s="31" t="str">
        <f aca="false">IF(H1926="","Open",IF(H1926&lt;=INDEX(Assumptions!$C$15:$C$18,MATCH(E1926,Assumptions!$A$15:$A$18,0)),"Yes","No"))</f>
        <v>Yes</v>
      </c>
    </row>
    <row r="1927" customFormat="false" ht="15" hidden="false" customHeight="false" outlineLevel="0" collapsed="false">
      <c r="A1927" s="31" t="s">
        <v>2077</v>
      </c>
      <c r="B1927" s="44" t="n">
        <v>46231</v>
      </c>
      <c r="C1927" s="31" t="s">
        <v>58</v>
      </c>
      <c r="D1927" s="31" t="s">
        <v>65</v>
      </c>
      <c r="E1927" s="31" t="s">
        <v>50</v>
      </c>
      <c r="F1927" s="31" t="s">
        <v>136</v>
      </c>
      <c r="G1927" s="31" t="n">
        <v>4</v>
      </c>
      <c r="H1927" s="41" t="n">
        <v>3.7</v>
      </c>
      <c r="I1927" s="31" t="s">
        <v>149</v>
      </c>
      <c r="J1927" s="31" t="n">
        <v>5</v>
      </c>
      <c r="K1927" s="31" t="s">
        <v>150</v>
      </c>
      <c r="L1927" s="45" t="n">
        <f aca="false">DATE(YEAR(B1927),MONTH(B1927),1)</f>
        <v>46204</v>
      </c>
      <c r="M1927" s="31" t="n">
        <f aca="false">WEEKDAY(B1927,2)</f>
        <v>2</v>
      </c>
      <c r="N1927" s="31" t="str">
        <f aca="false">IF(G1927&lt;=INDEX(Assumptions!$B$15:$B$18,MATCH(E1927,Assumptions!$A$15:$A$18,0)),"Yes","No")</f>
        <v>Yes</v>
      </c>
      <c r="O1927" s="31" t="str">
        <f aca="false">IF(H1927="","Open",IF(H1927&lt;=INDEX(Assumptions!$C$15:$C$18,MATCH(E1927,Assumptions!$A$15:$A$18,0)),"Yes","No"))</f>
        <v>Yes</v>
      </c>
    </row>
    <row r="1928" customFormat="false" ht="15" hidden="false" customHeight="false" outlineLevel="0" collapsed="false">
      <c r="A1928" s="31" t="s">
        <v>2078</v>
      </c>
      <c r="B1928" s="44" t="n">
        <v>46231</v>
      </c>
      <c r="C1928" s="31" t="s">
        <v>58</v>
      </c>
      <c r="D1928" s="31" t="s">
        <v>65</v>
      </c>
      <c r="E1928" s="31" t="s">
        <v>51</v>
      </c>
      <c r="F1928" s="31" t="s">
        <v>121</v>
      </c>
      <c r="G1928" s="31" t="n">
        <v>10</v>
      </c>
      <c r="H1928" s="41" t="n">
        <v>14</v>
      </c>
      <c r="I1928" s="31" t="s">
        <v>149</v>
      </c>
      <c r="J1928" s="31"/>
      <c r="K1928" s="31" t="s">
        <v>150</v>
      </c>
      <c r="L1928" s="45" t="n">
        <f aca="false">DATE(YEAR(B1928),MONTH(B1928),1)</f>
        <v>46204</v>
      </c>
      <c r="M1928" s="31" t="n">
        <f aca="false">WEEKDAY(B1928,2)</f>
        <v>2</v>
      </c>
      <c r="N1928" s="31" t="str">
        <f aca="false">IF(G1928&lt;=INDEX(Assumptions!$B$15:$B$18,MATCH(E1928,Assumptions!$A$15:$A$18,0)),"Yes","No")</f>
        <v>Yes</v>
      </c>
      <c r="O1928" s="31" t="str">
        <f aca="false">IF(H1928="","Open",IF(H1928&lt;=INDEX(Assumptions!$C$15:$C$18,MATCH(E1928,Assumptions!$A$15:$A$18,0)),"Yes","No"))</f>
        <v>Yes</v>
      </c>
    </row>
    <row r="1929" customFormat="false" ht="15" hidden="false" customHeight="false" outlineLevel="0" collapsed="false">
      <c r="A1929" s="31" t="s">
        <v>2079</v>
      </c>
      <c r="B1929" s="44" t="n">
        <v>46231</v>
      </c>
      <c r="C1929" s="31" t="s">
        <v>59</v>
      </c>
      <c r="D1929" s="31" t="s">
        <v>65</v>
      </c>
      <c r="E1929" s="31" t="s">
        <v>49</v>
      </c>
      <c r="F1929" s="31" t="s">
        <v>117</v>
      </c>
      <c r="G1929" s="31" t="n">
        <v>18</v>
      </c>
      <c r="H1929" s="41" t="n">
        <v>5.2</v>
      </c>
      <c r="I1929" s="31" t="s">
        <v>149</v>
      </c>
      <c r="J1929" s="31" t="n">
        <v>4</v>
      </c>
      <c r="K1929" s="31" t="s">
        <v>150</v>
      </c>
      <c r="L1929" s="45" t="n">
        <f aca="false">DATE(YEAR(B1929),MONTH(B1929),1)</f>
        <v>46204</v>
      </c>
      <c r="M1929" s="31" t="n">
        <f aca="false">WEEKDAY(B1929,2)</f>
        <v>2</v>
      </c>
      <c r="N1929" s="31" t="str">
        <f aca="false">IF(G1929&lt;=INDEX(Assumptions!$B$15:$B$18,MATCH(E1929,Assumptions!$A$15:$A$18,0)),"Yes","No")</f>
        <v>No</v>
      </c>
      <c r="O1929" s="31" t="str">
        <f aca="false">IF(H1929="","Open",IF(H1929&lt;=INDEX(Assumptions!$C$15:$C$18,MATCH(E1929,Assumptions!$A$15:$A$18,0)),"Yes","No"))</f>
        <v>No</v>
      </c>
    </row>
    <row r="1930" customFormat="false" ht="15" hidden="false" customHeight="false" outlineLevel="0" collapsed="false">
      <c r="A1930" s="31" t="s">
        <v>2080</v>
      </c>
      <c r="B1930" s="44" t="n">
        <v>46231</v>
      </c>
      <c r="C1930" s="31" t="s">
        <v>57</v>
      </c>
      <c r="D1930" s="31" t="s">
        <v>66</v>
      </c>
      <c r="E1930" s="31" t="s">
        <v>51</v>
      </c>
      <c r="F1930" s="31" t="s">
        <v>120</v>
      </c>
      <c r="G1930" s="31" t="n">
        <v>2</v>
      </c>
      <c r="H1930" s="41" t="n">
        <v>4.2</v>
      </c>
      <c r="I1930" s="31" t="s">
        <v>149</v>
      </c>
      <c r="J1930" s="31"/>
      <c r="K1930" s="31" t="s">
        <v>150</v>
      </c>
      <c r="L1930" s="45" t="n">
        <f aca="false">DATE(YEAR(B1930),MONTH(B1930),1)</f>
        <v>46204</v>
      </c>
      <c r="M1930" s="31" t="n">
        <f aca="false">WEEKDAY(B1930,2)</f>
        <v>2</v>
      </c>
      <c r="N1930" s="31" t="str">
        <f aca="false">IF(G1930&lt;=INDEX(Assumptions!$B$15:$B$18,MATCH(E1930,Assumptions!$A$15:$A$18,0)),"Yes","No")</f>
        <v>Yes</v>
      </c>
      <c r="O1930" s="31" t="str">
        <f aca="false">IF(H1930="","Open",IF(H1930&lt;=INDEX(Assumptions!$C$15:$C$18,MATCH(E1930,Assumptions!$A$15:$A$18,0)),"Yes","No"))</f>
        <v>Yes</v>
      </c>
    </row>
    <row r="1931" customFormat="false" ht="15" hidden="false" customHeight="false" outlineLevel="0" collapsed="false">
      <c r="A1931" s="31" t="s">
        <v>2081</v>
      </c>
      <c r="B1931" s="44" t="n">
        <v>46231</v>
      </c>
      <c r="C1931" s="31" t="s">
        <v>58</v>
      </c>
      <c r="D1931" s="31" t="s">
        <v>66</v>
      </c>
      <c r="E1931" s="31" t="s">
        <v>52</v>
      </c>
      <c r="F1931" s="31" t="s">
        <v>119</v>
      </c>
      <c r="G1931" s="31" t="n">
        <v>4</v>
      </c>
      <c r="H1931" s="41" t="n">
        <v>5.6</v>
      </c>
      <c r="I1931" s="31" t="s">
        <v>149</v>
      </c>
      <c r="J1931" s="31" t="n">
        <v>5</v>
      </c>
      <c r="K1931" s="31" t="s">
        <v>150</v>
      </c>
      <c r="L1931" s="45" t="n">
        <f aca="false">DATE(YEAR(B1931),MONTH(B1931),1)</f>
        <v>46204</v>
      </c>
      <c r="M1931" s="31" t="n">
        <f aca="false">WEEKDAY(B1931,2)</f>
        <v>2</v>
      </c>
      <c r="N1931" s="31" t="str">
        <f aca="false">IF(G1931&lt;=INDEX(Assumptions!$B$15:$B$18,MATCH(E1931,Assumptions!$A$15:$A$18,0)),"Yes","No")</f>
        <v>Yes</v>
      </c>
      <c r="O1931" s="31" t="str">
        <f aca="false">IF(H1931="","Open",IF(H1931&lt;=INDEX(Assumptions!$C$15:$C$18,MATCH(E1931,Assumptions!$A$15:$A$18,0)),"Yes","No"))</f>
        <v>Yes</v>
      </c>
    </row>
    <row r="1932" customFormat="false" ht="15" hidden="false" customHeight="false" outlineLevel="0" collapsed="false">
      <c r="A1932" s="31" t="s">
        <v>2082</v>
      </c>
      <c r="B1932" s="44" t="n">
        <v>46231</v>
      </c>
      <c r="C1932" s="31" t="s">
        <v>59</v>
      </c>
      <c r="D1932" s="31" t="s">
        <v>66</v>
      </c>
      <c r="E1932" s="31" t="s">
        <v>51</v>
      </c>
      <c r="F1932" s="31" t="s">
        <v>136</v>
      </c>
      <c r="G1932" s="31" t="n">
        <v>56</v>
      </c>
      <c r="H1932" s="41" t="n">
        <v>10.7</v>
      </c>
      <c r="I1932" s="31" t="s">
        <v>64</v>
      </c>
      <c r="J1932" s="31"/>
      <c r="K1932" s="31" t="s">
        <v>150</v>
      </c>
      <c r="L1932" s="45" t="n">
        <f aca="false">DATE(YEAR(B1932),MONTH(B1932),1)</f>
        <v>46204</v>
      </c>
      <c r="M1932" s="31" t="n">
        <f aca="false">WEEKDAY(B1932,2)</f>
        <v>2</v>
      </c>
      <c r="N1932" s="31" t="str">
        <f aca="false">IF(G1932&lt;=INDEX(Assumptions!$B$15:$B$18,MATCH(E1932,Assumptions!$A$15:$A$18,0)),"Yes","No")</f>
        <v>Yes</v>
      </c>
      <c r="O1932" s="31" t="str">
        <f aca="false">IF(H1932="","Open",IF(H1932&lt;=INDEX(Assumptions!$C$15:$C$18,MATCH(E1932,Assumptions!$A$15:$A$18,0)),"Yes","No"))</f>
        <v>Yes</v>
      </c>
    </row>
    <row r="1933" customFormat="false" ht="15" hidden="false" customHeight="false" outlineLevel="0" collapsed="false">
      <c r="A1933" s="31" t="s">
        <v>2083</v>
      </c>
      <c r="B1933" s="44" t="n">
        <v>46231</v>
      </c>
      <c r="C1933" s="31" t="s">
        <v>59</v>
      </c>
      <c r="D1933" s="31" t="s">
        <v>65</v>
      </c>
      <c r="E1933" s="31" t="s">
        <v>51</v>
      </c>
      <c r="F1933" s="31" t="s">
        <v>121</v>
      </c>
      <c r="G1933" s="31" t="n">
        <v>56</v>
      </c>
      <c r="H1933" s="41" t="n">
        <v>10.8</v>
      </c>
      <c r="I1933" s="31" t="s">
        <v>149</v>
      </c>
      <c r="J1933" s="31" t="n">
        <v>3</v>
      </c>
      <c r="K1933" s="31" t="s">
        <v>150</v>
      </c>
      <c r="L1933" s="45" t="n">
        <f aca="false">DATE(YEAR(B1933),MONTH(B1933),1)</f>
        <v>46204</v>
      </c>
      <c r="M1933" s="31" t="n">
        <f aca="false">WEEKDAY(B1933,2)</f>
        <v>2</v>
      </c>
      <c r="N1933" s="31" t="str">
        <f aca="false">IF(G1933&lt;=INDEX(Assumptions!$B$15:$B$18,MATCH(E1933,Assumptions!$A$15:$A$18,0)),"Yes","No")</f>
        <v>Yes</v>
      </c>
      <c r="O1933" s="31" t="str">
        <f aca="false">IF(H1933="","Open",IF(H1933&lt;=INDEX(Assumptions!$C$15:$C$18,MATCH(E1933,Assumptions!$A$15:$A$18,0)),"Yes","No"))</f>
        <v>Yes</v>
      </c>
    </row>
    <row r="1934" customFormat="false" ht="15" hidden="false" customHeight="false" outlineLevel="0" collapsed="false">
      <c r="A1934" s="31" t="s">
        <v>2084</v>
      </c>
      <c r="B1934" s="44" t="n">
        <v>46231</v>
      </c>
      <c r="C1934" s="31" t="s">
        <v>59</v>
      </c>
      <c r="D1934" s="31" t="s">
        <v>67</v>
      </c>
      <c r="E1934" s="31" t="s">
        <v>49</v>
      </c>
      <c r="F1934" s="31" t="s">
        <v>120</v>
      </c>
      <c r="G1934" s="31" t="n">
        <v>49</v>
      </c>
      <c r="H1934" s="41" t="n">
        <v>5.2</v>
      </c>
      <c r="I1934" s="31" t="s">
        <v>149</v>
      </c>
      <c r="J1934" s="31" t="n">
        <v>4</v>
      </c>
      <c r="K1934" s="31" t="s">
        <v>150</v>
      </c>
      <c r="L1934" s="45" t="n">
        <f aca="false">DATE(YEAR(B1934),MONTH(B1934),1)</f>
        <v>46204</v>
      </c>
      <c r="M1934" s="31" t="n">
        <f aca="false">WEEKDAY(B1934,2)</f>
        <v>2</v>
      </c>
      <c r="N1934" s="31" t="str">
        <f aca="false">IF(G1934&lt;=INDEX(Assumptions!$B$15:$B$18,MATCH(E1934,Assumptions!$A$15:$A$18,0)),"Yes","No")</f>
        <v>No</v>
      </c>
      <c r="O1934" s="31" t="str">
        <f aca="false">IF(H1934="","Open",IF(H1934&lt;=INDEX(Assumptions!$C$15:$C$18,MATCH(E1934,Assumptions!$A$15:$A$18,0)),"Yes","No"))</f>
        <v>No</v>
      </c>
    </row>
    <row r="1935" customFormat="false" ht="15" hidden="false" customHeight="false" outlineLevel="0" collapsed="false">
      <c r="A1935" s="31" t="s">
        <v>2085</v>
      </c>
      <c r="B1935" s="44" t="n">
        <v>46231</v>
      </c>
      <c r="C1935" s="31" t="s">
        <v>57</v>
      </c>
      <c r="D1935" s="31" t="s">
        <v>65</v>
      </c>
      <c r="E1935" s="31" t="s">
        <v>50</v>
      </c>
      <c r="F1935" s="31" t="s">
        <v>129</v>
      </c>
      <c r="G1935" s="31" t="n">
        <v>3</v>
      </c>
      <c r="H1935" s="41" t="n">
        <v>0.7</v>
      </c>
      <c r="I1935" s="31" t="s">
        <v>149</v>
      </c>
      <c r="J1935" s="31"/>
      <c r="K1935" s="31" t="s">
        <v>150</v>
      </c>
      <c r="L1935" s="45" t="n">
        <f aca="false">DATE(YEAR(B1935),MONTH(B1935),1)</f>
        <v>46204</v>
      </c>
      <c r="M1935" s="31" t="n">
        <f aca="false">WEEKDAY(B1935,2)</f>
        <v>2</v>
      </c>
      <c r="N1935" s="31" t="str">
        <f aca="false">IF(G1935&lt;=INDEX(Assumptions!$B$15:$B$18,MATCH(E1935,Assumptions!$A$15:$A$18,0)),"Yes","No")</f>
        <v>Yes</v>
      </c>
      <c r="O1935" s="31" t="str">
        <f aca="false">IF(H1935="","Open",IF(H1935&lt;=INDEX(Assumptions!$C$15:$C$18,MATCH(E1935,Assumptions!$A$15:$A$18,0)),"Yes","No"))</f>
        <v>Yes</v>
      </c>
    </row>
    <row r="1936" customFormat="false" ht="15" hidden="false" customHeight="false" outlineLevel="0" collapsed="false">
      <c r="A1936" s="31" t="s">
        <v>2086</v>
      </c>
      <c r="B1936" s="44" t="n">
        <v>46231</v>
      </c>
      <c r="C1936" s="31" t="s">
        <v>58</v>
      </c>
      <c r="D1936" s="31" t="s">
        <v>65</v>
      </c>
      <c r="E1936" s="31" t="s">
        <v>50</v>
      </c>
      <c r="F1936" s="31" t="s">
        <v>133</v>
      </c>
      <c r="G1936" s="31" t="n">
        <v>8</v>
      </c>
      <c r="H1936" s="41" t="n">
        <v>3.3</v>
      </c>
      <c r="I1936" s="31" t="s">
        <v>149</v>
      </c>
      <c r="J1936" s="31" t="n">
        <v>5</v>
      </c>
      <c r="K1936" s="31" t="s">
        <v>150</v>
      </c>
      <c r="L1936" s="45" t="n">
        <f aca="false">DATE(YEAR(B1936),MONTH(B1936),1)</f>
        <v>46204</v>
      </c>
      <c r="M1936" s="31" t="n">
        <f aca="false">WEEKDAY(B1936,2)</f>
        <v>2</v>
      </c>
      <c r="N1936" s="31" t="str">
        <f aca="false">IF(G1936&lt;=INDEX(Assumptions!$B$15:$B$18,MATCH(E1936,Assumptions!$A$15:$A$18,0)),"Yes","No")</f>
        <v>Yes</v>
      </c>
      <c r="O1936" s="31" t="str">
        <f aca="false">IF(H1936="","Open",IF(H1936&lt;=INDEX(Assumptions!$C$15:$C$18,MATCH(E1936,Assumptions!$A$15:$A$18,0)),"Yes","No"))</f>
        <v>Yes</v>
      </c>
    </row>
    <row r="1937" customFormat="false" ht="15" hidden="false" customHeight="false" outlineLevel="0" collapsed="false">
      <c r="A1937" s="31" t="s">
        <v>2087</v>
      </c>
      <c r="B1937" s="44" t="n">
        <v>46231</v>
      </c>
      <c r="C1937" s="31" t="s">
        <v>57</v>
      </c>
      <c r="D1937" s="31" t="s">
        <v>69</v>
      </c>
      <c r="E1937" s="31" t="s">
        <v>51</v>
      </c>
      <c r="F1937" s="31" t="s">
        <v>130</v>
      </c>
      <c r="G1937" s="31" t="n">
        <v>4</v>
      </c>
      <c r="H1937" s="41" t="n">
        <v>51.2</v>
      </c>
      <c r="I1937" s="31" t="s">
        <v>149</v>
      </c>
      <c r="J1937" s="31" t="n">
        <v>4</v>
      </c>
      <c r="K1937" s="31" t="s">
        <v>150</v>
      </c>
      <c r="L1937" s="45" t="n">
        <f aca="false">DATE(YEAR(B1937),MONTH(B1937),1)</f>
        <v>46204</v>
      </c>
      <c r="M1937" s="31" t="n">
        <f aca="false">WEEKDAY(B1937,2)</f>
        <v>2</v>
      </c>
      <c r="N1937" s="31" t="str">
        <f aca="false">IF(G1937&lt;=INDEX(Assumptions!$B$15:$B$18,MATCH(E1937,Assumptions!$A$15:$A$18,0)),"Yes","No")</f>
        <v>Yes</v>
      </c>
      <c r="O1937" s="31" t="str">
        <f aca="false">IF(H1937="","Open",IF(H1937&lt;=INDEX(Assumptions!$C$15:$C$18,MATCH(E1937,Assumptions!$A$15:$A$18,0)),"Yes","No"))</f>
        <v>No</v>
      </c>
    </row>
    <row r="1938" customFormat="false" ht="15" hidden="false" customHeight="false" outlineLevel="0" collapsed="false">
      <c r="A1938" s="31" t="s">
        <v>2088</v>
      </c>
      <c r="B1938" s="44" t="n">
        <v>46231</v>
      </c>
      <c r="C1938" s="31" t="s">
        <v>60</v>
      </c>
      <c r="D1938" s="31" t="s">
        <v>67</v>
      </c>
      <c r="E1938" s="31" t="s">
        <v>51</v>
      </c>
      <c r="F1938" s="31" t="s">
        <v>130</v>
      </c>
      <c r="G1938" s="31" t="n">
        <v>2</v>
      </c>
      <c r="H1938" s="41" t="n">
        <v>29.1</v>
      </c>
      <c r="I1938" s="31" t="s">
        <v>149</v>
      </c>
      <c r="J1938" s="31"/>
      <c r="K1938" s="31" t="s">
        <v>150</v>
      </c>
      <c r="L1938" s="45" t="n">
        <f aca="false">DATE(YEAR(B1938),MONTH(B1938),1)</f>
        <v>46204</v>
      </c>
      <c r="M1938" s="31" t="n">
        <f aca="false">WEEKDAY(B1938,2)</f>
        <v>2</v>
      </c>
      <c r="N1938" s="31" t="str">
        <f aca="false">IF(G1938&lt;=INDEX(Assumptions!$B$15:$B$18,MATCH(E1938,Assumptions!$A$15:$A$18,0)),"Yes","No")</f>
        <v>Yes</v>
      </c>
      <c r="O1938" s="31" t="str">
        <f aca="false">IF(H1938="","Open",IF(H1938&lt;=INDEX(Assumptions!$C$15:$C$18,MATCH(E1938,Assumptions!$A$15:$A$18,0)),"Yes","No"))</f>
        <v>No</v>
      </c>
    </row>
    <row r="1939" customFormat="false" ht="15" hidden="false" customHeight="false" outlineLevel="0" collapsed="false">
      <c r="A1939" s="31" t="s">
        <v>2089</v>
      </c>
      <c r="B1939" s="44" t="n">
        <v>46231</v>
      </c>
      <c r="C1939" s="31" t="s">
        <v>60</v>
      </c>
      <c r="D1939" s="31" t="s">
        <v>65</v>
      </c>
      <c r="E1939" s="31" t="s">
        <v>51</v>
      </c>
      <c r="F1939" s="31" t="s">
        <v>119</v>
      </c>
      <c r="G1939" s="31" t="n">
        <v>2</v>
      </c>
      <c r="H1939" s="41" t="n">
        <v>26.4</v>
      </c>
      <c r="I1939" s="31" t="s">
        <v>149</v>
      </c>
      <c r="J1939" s="31"/>
      <c r="K1939" s="31" t="s">
        <v>150</v>
      </c>
      <c r="L1939" s="45" t="n">
        <f aca="false">DATE(YEAR(B1939),MONTH(B1939),1)</f>
        <v>46204</v>
      </c>
      <c r="M1939" s="31" t="n">
        <f aca="false">WEEKDAY(B1939,2)</f>
        <v>2</v>
      </c>
      <c r="N1939" s="31" t="str">
        <f aca="false">IF(G1939&lt;=INDEX(Assumptions!$B$15:$B$18,MATCH(E1939,Assumptions!$A$15:$A$18,0)),"Yes","No")</f>
        <v>Yes</v>
      </c>
      <c r="O1939" s="31" t="str">
        <f aca="false">IF(H1939="","Open",IF(H1939&lt;=INDEX(Assumptions!$C$15:$C$18,MATCH(E1939,Assumptions!$A$15:$A$18,0)),"Yes","No"))</f>
        <v>No</v>
      </c>
    </row>
    <row r="1940" customFormat="false" ht="15" hidden="false" customHeight="false" outlineLevel="0" collapsed="false">
      <c r="A1940" s="31" t="s">
        <v>2090</v>
      </c>
      <c r="B1940" s="44" t="n">
        <v>46231</v>
      </c>
      <c r="C1940" s="31" t="s">
        <v>58</v>
      </c>
      <c r="D1940" s="31" t="s">
        <v>67</v>
      </c>
      <c r="E1940" s="31" t="s">
        <v>51</v>
      </c>
      <c r="F1940" s="31" t="s">
        <v>121</v>
      </c>
      <c r="G1940" s="31" t="n">
        <v>21</v>
      </c>
      <c r="H1940" s="41" t="n">
        <v>13.5</v>
      </c>
      <c r="I1940" s="31" t="s">
        <v>149</v>
      </c>
      <c r="J1940" s="31"/>
      <c r="K1940" s="31" t="s">
        <v>150</v>
      </c>
      <c r="L1940" s="45" t="n">
        <f aca="false">DATE(YEAR(B1940),MONTH(B1940),1)</f>
        <v>46204</v>
      </c>
      <c r="M1940" s="31" t="n">
        <f aca="false">WEEKDAY(B1940,2)</f>
        <v>2</v>
      </c>
      <c r="N1940" s="31" t="str">
        <f aca="false">IF(G1940&lt;=INDEX(Assumptions!$B$15:$B$18,MATCH(E1940,Assumptions!$A$15:$A$18,0)),"Yes","No")</f>
        <v>Yes</v>
      </c>
      <c r="O1940" s="31" t="str">
        <f aca="false">IF(H1940="","Open",IF(H1940&lt;=INDEX(Assumptions!$C$15:$C$18,MATCH(E1940,Assumptions!$A$15:$A$18,0)),"Yes","No"))</f>
        <v>Yes</v>
      </c>
    </row>
    <row r="1941" customFormat="false" ht="15" hidden="false" customHeight="false" outlineLevel="0" collapsed="false">
      <c r="A1941" s="31" t="s">
        <v>2091</v>
      </c>
      <c r="B1941" s="44" t="n">
        <v>46231</v>
      </c>
      <c r="C1941" s="31" t="s">
        <v>59</v>
      </c>
      <c r="D1941" s="31" t="s">
        <v>65</v>
      </c>
      <c r="E1941" s="31" t="s">
        <v>50</v>
      </c>
      <c r="F1941" s="31" t="s">
        <v>136</v>
      </c>
      <c r="G1941" s="31" t="n">
        <v>64</v>
      </c>
      <c r="H1941" s="41" t="n">
        <v>22.1</v>
      </c>
      <c r="I1941" s="31" t="s">
        <v>149</v>
      </c>
      <c r="J1941" s="31" t="n">
        <v>2</v>
      </c>
      <c r="K1941" s="31" t="s">
        <v>150</v>
      </c>
      <c r="L1941" s="45" t="n">
        <f aca="false">DATE(YEAR(B1941),MONTH(B1941),1)</f>
        <v>46204</v>
      </c>
      <c r="M1941" s="31" t="n">
        <f aca="false">WEEKDAY(B1941,2)</f>
        <v>2</v>
      </c>
      <c r="N1941" s="31" t="str">
        <f aca="false">IF(G1941&lt;=INDEX(Assumptions!$B$15:$B$18,MATCH(E1941,Assumptions!$A$15:$A$18,0)),"Yes","No")</f>
        <v>No</v>
      </c>
      <c r="O1941" s="31" t="str">
        <f aca="false">IF(H1941="","Open",IF(H1941&lt;=INDEX(Assumptions!$C$15:$C$18,MATCH(E1941,Assumptions!$A$15:$A$18,0)),"Yes","No"))</f>
        <v>No</v>
      </c>
    </row>
    <row r="1942" customFormat="false" ht="15" hidden="false" customHeight="false" outlineLevel="0" collapsed="false">
      <c r="A1942" s="31" t="s">
        <v>2092</v>
      </c>
      <c r="B1942" s="44" t="n">
        <v>46231</v>
      </c>
      <c r="C1942" s="31" t="s">
        <v>59</v>
      </c>
      <c r="D1942" s="31" t="s">
        <v>66</v>
      </c>
      <c r="E1942" s="31" t="s">
        <v>51</v>
      </c>
      <c r="F1942" s="31" t="s">
        <v>130</v>
      </c>
      <c r="G1942" s="31" t="n">
        <v>154</v>
      </c>
      <c r="H1942" s="41"/>
      <c r="I1942" s="31" t="s">
        <v>158</v>
      </c>
      <c r="J1942" s="31"/>
      <c r="K1942" s="31" t="s">
        <v>150</v>
      </c>
      <c r="L1942" s="45" t="n">
        <f aca="false">DATE(YEAR(B1942),MONTH(B1942),1)</f>
        <v>46204</v>
      </c>
      <c r="M1942" s="31" t="n">
        <f aca="false">WEEKDAY(B1942,2)</f>
        <v>2</v>
      </c>
      <c r="N1942" s="31" t="str">
        <f aca="false">IF(G1942&lt;=INDEX(Assumptions!$B$15:$B$18,MATCH(E1942,Assumptions!$A$15:$A$18,0)),"Yes","No")</f>
        <v>No</v>
      </c>
      <c r="O1942" s="31" t="str">
        <f aca="false">IF(H1942="","Open",IF(H1942&lt;=INDEX(Assumptions!$C$15:$C$18,MATCH(E1942,Assumptions!$A$15:$A$18,0)),"Yes","No"))</f>
        <v>Open</v>
      </c>
    </row>
    <row r="1943" customFormat="false" ht="15" hidden="false" customHeight="false" outlineLevel="0" collapsed="false">
      <c r="A1943" s="31" t="s">
        <v>2093</v>
      </c>
      <c r="B1943" s="44" t="n">
        <v>46231</v>
      </c>
      <c r="C1943" s="31" t="s">
        <v>59</v>
      </c>
      <c r="D1943" s="31" t="s">
        <v>69</v>
      </c>
      <c r="E1943" s="31" t="s">
        <v>51</v>
      </c>
      <c r="F1943" s="31" t="s">
        <v>129</v>
      </c>
      <c r="G1943" s="31" t="n">
        <v>144</v>
      </c>
      <c r="H1943" s="41" t="n">
        <v>22.8</v>
      </c>
      <c r="I1943" s="31" t="s">
        <v>149</v>
      </c>
      <c r="J1943" s="31"/>
      <c r="K1943" s="31" t="s">
        <v>150</v>
      </c>
      <c r="L1943" s="45" t="n">
        <f aca="false">DATE(YEAR(B1943),MONTH(B1943),1)</f>
        <v>46204</v>
      </c>
      <c r="M1943" s="31" t="n">
        <f aca="false">WEEKDAY(B1943,2)</f>
        <v>2</v>
      </c>
      <c r="N1943" s="31" t="str">
        <f aca="false">IF(G1943&lt;=INDEX(Assumptions!$B$15:$B$18,MATCH(E1943,Assumptions!$A$15:$A$18,0)),"Yes","No")</f>
        <v>No</v>
      </c>
      <c r="O1943" s="31" t="str">
        <f aca="false">IF(H1943="","Open",IF(H1943&lt;=INDEX(Assumptions!$C$15:$C$18,MATCH(E1943,Assumptions!$A$15:$A$18,0)),"Yes","No"))</f>
        <v>Yes</v>
      </c>
    </row>
    <row r="1944" customFormat="false" ht="15" hidden="false" customHeight="false" outlineLevel="0" collapsed="false">
      <c r="A1944" s="31" t="s">
        <v>2094</v>
      </c>
      <c r="B1944" s="44" t="n">
        <v>46231</v>
      </c>
      <c r="C1944" s="31" t="s">
        <v>57</v>
      </c>
      <c r="D1944" s="31" t="s">
        <v>66</v>
      </c>
      <c r="E1944" s="31" t="s">
        <v>52</v>
      </c>
      <c r="F1944" s="31" t="s">
        <v>122</v>
      </c>
      <c r="G1944" s="31" t="n">
        <v>8</v>
      </c>
      <c r="H1944" s="41" t="n">
        <v>37.2</v>
      </c>
      <c r="I1944" s="31" t="s">
        <v>149</v>
      </c>
      <c r="J1944" s="31" t="n">
        <v>4</v>
      </c>
      <c r="K1944" s="31" t="s">
        <v>150</v>
      </c>
      <c r="L1944" s="45" t="n">
        <f aca="false">DATE(YEAR(B1944),MONTH(B1944),1)</f>
        <v>46204</v>
      </c>
      <c r="M1944" s="31" t="n">
        <f aca="false">WEEKDAY(B1944,2)</f>
        <v>2</v>
      </c>
      <c r="N1944" s="31" t="str">
        <f aca="false">IF(G1944&lt;=INDEX(Assumptions!$B$15:$B$18,MATCH(E1944,Assumptions!$A$15:$A$18,0)),"Yes","No")</f>
        <v>Yes</v>
      </c>
      <c r="O1944" s="31" t="str">
        <f aca="false">IF(H1944="","Open",IF(H1944&lt;=INDEX(Assumptions!$C$15:$C$18,MATCH(E1944,Assumptions!$A$15:$A$18,0)),"Yes","No"))</f>
        <v>Yes</v>
      </c>
    </row>
    <row r="1945" customFormat="false" ht="15" hidden="false" customHeight="false" outlineLevel="0" collapsed="false">
      <c r="A1945" s="31" t="s">
        <v>2095</v>
      </c>
      <c r="B1945" s="44" t="n">
        <v>46231</v>
      </c>
      <c r="C1945" s="31" t="s">
        <v>57</v>
      </c>
      <c r="D1945" s="31" t="s">
        <v>68</v>
      </c>
      <c r="E1945" s="31" t="s">
        <v>50</v>
      </c>
      <c r="F1945" s="31" t="s">
        <v>128</v>
      </c>
      <c r="G1945" s="31" t="n">
        <v>4</v>
      </c>
      <c r="H1945" s="41" t="n">
        <v>6.7</v>
      </c>
      <c r="I1945" s="31" t="s">
        <v>149</v>
      </c>
      <c r="J1945" s="31" t="n">
        <v>5</v>
      </c>
      <c r="K1945" s="31" t="s">
        <v>150</v>
      </c>
      <c r="L1945" s="45" t="n">
        <f aca="false">DATE(YEAR(B1945),MONTH(B1945),1)</f>
        <v>46204</v>
      </c>
      <c r="M1945" s="31" t="n">
        <f aca="false">WEEKDAY(B1945,2)</f>
        <v>2</v>
      </c>
      <c r="N1945" s="31" t="str">
        <f aca="false">IF(G1945&lt;=INDEX(Assumptions!$B$15:$B$18,MATCH(E1945,Assumptions!$A$15:$A$18,0)),"Yes","No")</f>
        <v>Yes</v>
      </c>
      <c r="O1945" s="31" t="str">
        <f aca="false">IF(H1945="","Open",IF(H1945&lt;=INDEX(Assumptions!$C$15:$C$18,MATCH(E1945,Assumptions!$A$15:$A$18,0)),"Yes","No"))</f>
        <v>Yes</v>
      </c>
    </row>
    <row r="1946" customFormat="false" ht="15" hidden="false" customHeight="false" outlineLevel="0" collapsed="false">
      <c r="A1946" s="31" t="s">
        <v>2096</v>
      </c>
      <c r="B1946" s="44" t="n">
        <v>46231</v>
      </c>
      <c r="C1946" s="31" t="s">
        <v>58</v>
      </c>
      <c r="D1946" s="31" t="s">
        <v>67</v>
      </c>
      <c r="E1946" s="31" t="s">
        <v>51</v>
      </c>
      <c r="F1946" s="31" t="s">
        <v>128</v>
      </c>
      <c r="G1946" s="31" t="n">
        <v>8</v>
      </c>
      <c r="H1946" s="41" t="n">
        <v>27.5</v>
      </c>
      <c r="I1946" s="31" t="s">
        <v>149</v>
      </c>
      <c r="J1946" s="31"/>
      <c r="K1946" s="31" t="s">
        <v>150</v>
      </c>
      <c r="L1946" s="45" t="n">
        <f aca="false">DATE(YEAR(B1946),MONTH(B1946),1)</f>
        <v>46204</v>
      </c>
      <c r="M1946" s="31" t="n">
        <f aca="false">WEEKDAY(B1946,2)</f>
        <v>2</v>
      </c>
      <c r="N1946" s="31" t="str">
        <f aca="false">IF(G1946&lt;=INDEX(Assumptions!$B$15:$B$18,MATCH(E1946,Assumptions!$A$15:$A$18,0)),"Yes","No")</f>
        <v>Yes</v>
      </c>
      <c r="O1946" s="31" t="str">
        <f aca="false">IF(H1946="","Open",IF(H1946&lt;=INDEX(Assumptions!$C$15:$C$18,MATCH(E1946,Assumptions!$A$15:$A$18,0)),"Yes","No"))</f>
        <v>No</v>
      </c>
    </row>
    <row r="1947" customFormat="false" ht="15" hidden="false" customHeight="false" outlineLevel="0" collapsed="false">
      <c r="A1947" s="31" t="s">
        <v>2097</v>
      </c>
      <c r="B1947" s="44" t="n">
        <v>46231</v>
      </c>
      <c r="C1947" s="31" t="s">
        <v>60</v>
      </c>
      <c r="D1947" s="31" t="s">
        <v>65</v>
      </c>
      <c r="E1947" s="31" t="s">
        <v>51</v>
      </c>
      <c r="F1947" s="31" t="s">
        <v>127</v>
      </c>
      <c r="G1947" s="31" t="n">
        <v>1</v>
      </c>
      <c r="H1947" s="41" t="n">
        <v>12.7</v>
      </c>
      <c r="I1947" s="31" t="s">
        <v>64</v>
      </c>
      <c r="J1947" s="31" t="n">
        <v>4</v>
      </c>
      <c r="K1947" s="31" t="s">
        <v>150</v>
      </c>
      <c r="L1947" s="45" t="n">
        <f aca="false">DATE(YEAR(B1947),MONTH(B1947),1)</f>
        <v>46204</v>
      </c>
      <c r="M1947" s="31" t="n">
        <f aca="false">WEEKDAY(B1947,2)</f>
        <v>2</v>
      </c>
      <c r="N1947" s="31" t="str">
        <f aca="false">IF(G1947&lt;=INDEX(Assumptions!$B$15:$B$18,MATCH(E1947,Assumptions!$A$15:$A$18,0)),"Yes","No")</f>
        <v>Yes</v>
      </c>
      <c r="O1947" s="31" t="str">
        <f aca="false">IF(H1947="","Open",IF(H1947&lt;=INDEX(Assumptions!$C$15:$C$18,MATCH(E1947,Assumptions!$A$15:$A$18,0)),"Yes","No"))</f>
        <v>Yes</v>
      </c>
    </row>
    <row r="1948" customFormat="false" ht="15" hidden="false" customHeight="false" outlineLevel="0" collapsed="false">
      <c r="A1948" s="31" t="s">
        <v>2098</v>
      </c>
      <c r="B1948" s="44" t="n">
        <v>46231</v>
      </c>
      <c r="C1948" s="31" t="s">
        <v>59</v>
      </c>
      <c r="D1948" s="31" t="s">
        <v>66</v>
      </c>
      <c r="E1948" s="31" t="s">
        <v>52</v>
      </c>
      <c r="F1948" s="31" t="s">
        <v>130</v>
      </c>
      <c r="G1948" s="31" t="n">
        <v>34</v>
      </c>
      <c r="H1948" s="41" t="n">
        <v>5.7</v>
      </c>
      <c r="I1948" s="31" t="s">
        <v>149</v>
      </c>
      <c r="J1948" s="31"/>
      <c r="K1948" s="31" t="s">
        <v>150</v>
      </c>
      <c r="L1948" s="45" t="n">
        <f aca="false">DATE(YEAR(B1948),MONTH(B1948),1)</f>
        <v>46204</v>
      </c>
      <c r="M1948" s="31" t="n">
        <f aca="false">WEEKDAY(B1948,2)</f>
        <v>2</v>
      </c>
      <c r="N1948" s="31" t="str">
        <f aca="false">IF(G1948&lt;=INDEX(Assumptions!$B$15:$B$18,MATCH(E1948,Assumptions!$A$15:$A$18,0)),"Yes","No")</f>
        <v>Yes</v>
      </c>
      <c r="O1948" s="31" t="str">
        <f aca="false">IF(H1948="","Open",IF(H1948&lt;=INDEX(Assumptions!$C$15:$C$18,MATCH(E1948,Assumptions!$A$15:$A$18,0)),"Yes","No"))</f>
        <v>Yes</v>
      </c>
    </row>
    <row r="1949" customFormat="false" ht="15" hidden="false" customHeight="false" outlineLevel="0" collapsed="false">
      <c r="A1949" s="31" t="s">
        <v>2099</v>
      </c>
      <c r="B1949" s="44" t="n">
        <v>46231</v>
      </c>
      <c r="C1949" s="31" t="s">
        <v>58</v>
      </c>
      <c r="D1949" s="31" t="s">
        <v>65</v>
      </c>
      <c r="E1949" s="31" t="s">
        <v>50</v>
      </c>
      <c r="F1949" s="31" t="s">
        <v>124</v>
      </c>
      <c r="G1949" s="31" t="n">
        <v>6</v>
      </c>
      <c r="H1949" s="41" t="n">
        <v>10.4</v>
      </c>
      <c r="I1949" s="31" t="s">
        <v>149</v>
      </c>
      <c r="J1949" s="31" t="n">
        <v>5</v>
      </c>
      <c r="K1949" s="31" t="s">
        <v>150</v>
      </c>
      <c r="L1949" s="45" t="n">
        <f aca="false">DATE(YEAR(B1949),MONTH(B1949),1)</f>
        <v>46204</v>
      </c>
      <c r="M1949" s="31" t="n">
        <f aca="false">WEEKDAY(B1949,2)</f>
        <v>2</v>
      </c>
      <c r="N1949" s="31" t="str">
        <f aca="false">IF(G1949&lt;=INDEX(Assumptions!$B$15:$B$18,MATCH(E1949,Assumptions!$A$15:$A$18,0)),"Yes","No")</f>
        <v>Yes</v>
      </c>
      <c r="O1949" s="31" t="str">
        <f aca="false">IF(H1949="","Open",IF(H1949&lt;=INDEX(Assumptions!$C$15:$C$18,MATCH(E1949,Assumptions!$A$15:$A$18,0)),"Yes","No"))</f>
        <v>No</v>
      </c>
    </row>
    <row r="1950" customFormat="false" ht="15" hidden="false" customHeight="false" outlineLevel="0" collapsed="false">
      <c r="A1950" s="31" t="s">
        <v>2100</v>
      </c>
      <c r="B1950" s="44" t="n">
        <v>46231</v>
      </c>
      <c r="C1950" s="31" t="s">
        <v>57</v>
      </c>
      <c r="D1950" s="31" t="s">
        <v>65</v>
      </c>
      <c r="E1950" s="31" t="s">
        <v>51</v>
      </c>
      <c r="F1950" s="31" t="s">
        <v>129</v>
      </c>
      <c r="G1950" s="31" t="n">
        <v>3</v>
      </c>
      <c r="H1950" s="41" t="n">
        <v>6.3</v>
      </c>
      <c r="I1950" s="31" t="s">
        <v>149</v>
      </c>
      <c r="J1950" s="31" t="n">
        <v>5</v>
      </c>
      <c r="K1950" s="31" t="s">
        <v>150</v>
      </c>
      <c r="L1950" s="45" t="n">
        <f aca="false">DATE(YEAR(B1950),MONTH(B1950),1)</f>
        <v>46204</v>
      </c>
      <c r="M1950" s="31" t="n">
        <f aca="false">WEEKDAY(B1950,2)</f>
        <v>2</v>
      </c>
      <c r="N1950" s="31" t="str">
        <f aca="false">IF(G1950&lt;=INDEX(Assumptions!$B$15:$B$18,MATCH(E1950,Assumptions!$A$15:$A$18,0)),"Yes","No")</f>
        <v>Yes</v>
      </c>
      <c r="O1950" s="31" t="str">
        <f aca="false">IF(H1950="","Open",IF(H1950&lt;=INDEX(Assumptions!$C$15:$C$18,MATCH(E1950,Assumptions!$A$15:$A$18,0)),"Yes","No"))</f>
        <v>Yes</v>
      </c>
    </row>
    <row r="1951" customFormat="false" ht="15" hidden="false" customHeight="false" outlineLevel="0" collapsed="false">
      <c r="A1951" s="31" t="s">
        <v>2101</v>
      </c>
      <c r="B1951" s="44" t="n">
        <v>46231</v>
      </c>
      <c r="C1951" s="31" t="s">
        <v>59</v>
      </c>
      <c r="D1951" s="31" t="s">
        <v>66</v>
      </c>
      <c r="E1951" s="31" t="s">
        <v>49</v>
      </c>
      <c r="F1951" s="31" t="s">
        <v>137</v>
      </c>
      <c r="G1951" s="31" t="n">
        <v>65</v>
      </c>
      <c r="H1951" s="41" t="n">
        <v>1.4</v>
      </c>
      <c r="I1951" s="31" t="s">
        <v>149</v>
      </c>
      <c r="J1951" s="31" t="n">
        <v>5</v>
      </c>
      <c r="K1951" s="31" t="s">
        <v>150</v>
      </c>
      <c r="L1951" s="45" t="n">
        <f aca="false">DATE(YEAR(B1951),MONTH(B1951),1)</f>
        <v>46204</v>
      </c>
      <c r="M1951" s="31" t="n">
        <f aca="false">WEEKDAY(B1951,2)</f>
        <v>2</v>
      </c>
      <c r="N1951" s="31" t="str">
        <f aca="false">IF(G1951&lt;=INDEX(Assumptions!$B$15:$B$18,MATCH(E1951,Assumptions!$A$15:$A$18,0)),"Yes","No")</f>
        <v>No</v>
      </c>
      <c r="O1951" s="31" t="str">
        <f aca="false">IF(H1951="","Open",IF(H1951&lt;=INDEX(Assumptions!$C$15:$C$18,MATCH(E1951,Assumptions!$A$15:$A$18,0)),"Yes","No"))</f>
        <v>Yes</v>
      </c>
    </row>
    <row r="1952" customFormat="false" ht="15" hidden="false" customHeight="false" outlineLevel="0" collapsed="false">
      <c r="A1952" s="31" t="s">
        <v>2102</v>
      </c>
      <c r="B1952" s="44" t="n">
        <v>46231</v>
      </c>
      <c r="C1952" s="31" t="s">
        <v>60</v>
      </c>
      <c r="D1952" s="31" t="s">
        <v>68</v>
      </c>
      <c r="E1952" s="31" t="s">
        <v>51</v>
      </c>
      <c r="F1952" s="31" t="s">
        <v>130</v>
      </c>
      <c r="G1952" s="31" t="n">
        <v>4</v>
      </c>
      <c r="H1952" s="41" t="n">
        <v>8.9</v>
      </c>
      <c r="I1952" s="31" t="s">
        <v>149</v>
      </c>
      <c r="J1952" s="31" t="n">
        <v>4</v>
      </c>
      <c r="K1952" s="31" t="s">
        <v>150</v>
      </c>
      <c r="L1952" s="45" t="n">
        <f aca="false">DATE(YEAR(B1952),MONTH(B1952),1)</f>
        <v>46204</v>
      </c>
      <c r="M1952" s="31" t="n">
        <f aca="false">WEEKDAY(B1952,2)</f>
        <v>2</v>
      </c>
      <c r="N1952" s="31" t="str">
        <f aca="false">IF(G1952&lt;=INDEX(Assumptions!$B$15:$B$18,MATCH(E1952,Assumptions!$A$15:$A$18,0)),"Yes","No")</f>
        <v>Yes</v>
      </c>
      <c r="O1952" s="31" t="str">
        <f aca="false">IF(H1952="","Open",IF(H1952&lt;=INDEX(Assumptions!$C$15:$C$18,MATCH(E1952,Assumptions!$A$15:$A$18,0)),"Yes","No"))</f>
        <v>Yes</v>
      </c>
    </row>
    <row r="1953" customFormat="false" ht="15" hidden="false" customHeight="false" outlineLevel="0" collapsed="false">
      <c r="A1953" s="31" t="s">
        <v>2103</v>
      </c>
      <c r="B1953" s="44" t="n">
        <v>46231</v>
      </c>
      <c r="C1953" s="31" t="s">
        <v>60</v>
      </c>
      <c r="D1953" s="31" t="s">
        <v>65</v>
      </c>
      <c r="E1953" s="31" t="s">
        <v>52</v>
      </c>
      <c r="F1953" s="31" t="s">
        <v>117</v>
      </c>
      <c r="G1953" s="31" t="n">
        <v>2</v>
      </c>
      <c r="H1953" s="41" t="n">
        <v>8.2</v>
      </c>
      <c r="I1953" s="31" t="s">
        <v>149</v>
      </c>
      <c r="J1953" s="31"/>
      <c r="K1953" s="31" t="s">
        <v>150</v>
      </c>
      <c r="L1953" s="45" t="n">
        <f aca="false">DATE(YEAR(B1953),MONTH(B1953),1)</f>
        <v>46204</v>
      </c>
      <c r="M1953" s="31" t="n">
        <f aca="false">WEEKDAY(B1953,2)</f>
        <v>2</v>
      </c>
      <c r="N1953" s="31" t="str">
        <f aca="false">IF(G1953&lt;=INDEX(Assumptions!$B$15:$B$18,MATCH(E1953,Assumptions!$A$15:$A$18,0)),"Yes","No")</f>
        <v>Yes</v>
      </c>
      <c r="O1953" s="31" t="str">
        <f aca="false">IF(H1953="","Open",IF(H1953&lt;=INDEX(Assumptions!$C$15:$C$18,MATCH(E1953,Assumptions!$A$15:$A$18,0)),"Yes","No"))</f>
        <v>Yes</v>
      </c>
    </row>
    <row r="1954" customFormat="false" ht="15" hidden="false" customHeight="false" outlineLevel="0" collapsed="false">
      <c r="A1954" s="31" t="s">
        <v>2104</v>
      </c>
      <c r="B1954" s="44" t="n">
        <v>46231</v>
      </c>
      <c r="C1954" s="31" t="s">
        <v>59</v>
      </c>
      <c r="D1954" s="31" t="s">
        <v>66</v>
      </c>
      <c r="E1954" s="31" t="s">
        <v>52</v>
      </c>
      <c r="F1954" s="31" t="s">
        <v>131</v>
      </c>
      <c r="G1954" s="31" t="n">
        <v>89</v>
      </c>
      <c r="H1954" s="41" t="n">
        <v>18.6</v>
      </c>
      <c r="I1954" s="31" t="s">
        <v>149</v>
      </c>
      <c r="J1954" s="31"/>
      <c r="K1954" s="31" t="s">
        <v>150</v>
      </c>
      <c r="L1954" s="45" t="n">
        <f aca="false">DATE(YEAR(B1954),MONTH(B1954),1)</f>
        <v>46204</v>
      </c>
      <c r="M1954" s="31" t="n">
        <f aca="false">WEEKDAY(B1954,2)</f>
        <v>2</v>
      </c>
      <c r="N1954" s="31" t="str">
        <f aca="false">IF(G1954&lt;=INDEX(Assumptions!$B$15:$B$18,MATCH(E1954,Assumptions!$A$15:$A$18,0)),"Yes","No")</f>
        <v>Yes</v>
      </c>
      <c r="O1954" s="31" t="str">
        <f aca="false">IF(H1954="","Open",IF(H1954&lt;=INDEX(Assumptions!$C$15:$C$18,MATCH(E1954,Assumptions!$A$15:$A$18,0)),"Yes","No"))</f>
        <v>Yes</v>
      </c>
    </row>
    <row r="1955" customFormat="false" ht="15" hidden="false" customHeight="false" outlineLevel="0" collapsed="false">
      <c r="A1955" s="31" t="s">
        <v>2105</v>
      </c>
      <c r="B1955" s="44" t="n">
        <v>46231</v>
      </c>
      <c r="C1955" s="31" t="s">
        <v>58</v>
      </c>
      <c r="D1955" s="31" t="s">
        <v>66</v>
      </c>
      <c r="E1955" s="31" t="s">
        <v>50</v>
      </c>
      <c r="F1955" s="31" t="s">
        <v>119</v>
      </c>
      <c r="G1955" s="31" t="n">
        <v>2</v>
      </c>
      <c r="H1955" s="41" t="n">
        <v>2.3</v>
      </c>
      <c r="I1955" s="31" t="s">
        <v>149</v>
      </c>
      <c r="J1955" s="31" t="n">
        <v>3</v>
      </c>
      <c r="K1955" s="31" t="s">
        <v>150</v>
      </c>
      <c r="L1955" s="45" t="n">
        <f aca="false">DATE(YEAR(B1955),MONTH(B1955),1)</f>
        <v>46204</v>
      </c>
      <c r="M1955" s="31" t="n">
        <f aca="false">WEEKDAY(B1955,2)</f>
        <v>2</v>
      </c>
      <c r="N1955" s="31" t="str">
        <f aca="false">IF(G1955&lt;=INDEX(Assumptions!$B$15:$B$18,MATCH(E1955,Assumptions!$A$15:$A$18,0)),"Yes","No")</f>
        <v>Yes</v>
      </c>
      <c r="O1955" s="31" t="str">
        <f aca="false">IF(H1955="","Open",IF(H1955&lt;=INDEX(Assumptions!$C$15:$C$18,MATCH(E1955,Assumptions!$A$15:$A$18,0)),"Yes","No"))</f>
        <v>Yes</v>
      </c>
    </row>
    <row r="1956" customFormat="false" ht="15" hidden="false" customHeight="false" outlineLevel="0" collapsed="false">
      <c r="A1956" s="31" t="s">
        <v>2106</v>
      </c>
      <c r="B1956" s="44" t="n">
        <v>46231</v>
      </c>
      <c r="C1956" s="31" t="s">
        <v>58</v>
      </c>
      <c r="D1956" s="31" t="s">
        <v>65</v>
      </c>
      <c r="E1956" s="31" t="s">
        <v>52</v>
      </c>
      <c r="F1956" s="31" t="s">
        <v>124</v>
      </c>
      <c r="G1956" s="31" t="n">
        <v>20</v>
      </c>
      <c r="H1956" s="41" t="n">
        <v>6.8</v>
      </c>
      <c r="I1956" s="31" t="s">
        <v>149</v>
      </c>
      <c r="J1956" s="31"/>
      <c r="K1956" s="31" t="s">
        <v>153</v>
      </c>
      <c r="L1956" s="45" t="n">
        <f aca="false">DATE(YEAR(B1956),MONTH(B1956),1)</f>
        <v>46204</v>
      </c>
      <c r="M1956" s="31" t="n">
        <f aca="false">WEEKDAY(B1956,2)</f>
        <v>2</v>
      </c>
      <c r="N1956" s="31" t="str">
        <f aca="false">IF(G1956&lt;=INDEX(Assumptions!$B$15:$B$18,MATCH(E1956,Assumptions!$A$15:$A$18,0)),"Yes","No")</f>
        <v>Yes</v>
      </c>
      <c r="O1956" s="31" t="str">
        <f aca="false">IF(H1956="","Open",IF(H1956&lt;=INDEX(Assumptions!$C$15:$C$18,MATCH(E1956,Assumptions!$A$15:$A$18,0)),"Yes","No"))</f>
        <v>Yes</v>
      </c>
    </row>
    <row r="1957" customFormat="false" ht="15" hidden="false" customHeight="false" outlineLevel="0" collapsed="false">
      <c r="A1957" s="31" t="s">
        <v>2107</v>
      </c>
      <c r="B1957" s="44" t="n">
        <v>46231</v>
      </c>
      <c r="C1957" s="31" t="s">
        <v>59</v>
      </c>
      <c r="D1957" s="31" t="s">
        <v>66</v>
      </c>
      <c r="E1957" s="31" t="s">
        <v>52</v>
      </c>
      <c r="F1957" s="31" t="s">
        <v>123</v>
      </c>
      <c r="G1957" s="31" t="n">
        <v>68</v>
      </c>
      <c r="H1957" s="41" t="n">
        <v>7.5</v>
      </c>
      <c r="I1957" s="31" t="s">
        <v>149</v>
      </c>
      <c r="J1957" s="31"/>
      <c r="K1957" s="31" t="s">
        <v>150</v>
      </c>
      <c r="L1957" s="45" t="n">
        <f aca="false">DATE(YEAR(B1957),MONTH(B1957),1)</f>
        <v>46204</v>
      </c>
      <c r="M1957" s="31" t="n">
        <f aca="false">WEEKDAY(B1957,2)</f>
        <v>2</v>
      </c>
      <c r="N1957" s="31" t="str">
        <f aca="false">IF(G1957&lt;=INDEX(Assumptions!$B$15:$B$18,MATCH(E1957,Assumptions!$A$15:$A$18,0)),"Yes","No")</f>
        <v>Yes</v>
      </c>
      <c r="O1957" s="31" t="str">
        <f aca="false">IF(H1957="","Open",IF(H1957&lt;=INDEX(Assumptions!$C$15:$C$18,MATCH(E1957,Assumptions!$A$15:$A$18,0)),"Yes","No"))</f>
        <v>Yes</v>
      </c>
    </row>
    <row r="1958" customFormat="false" ht="15" hidden="false" customHeight="false" outlineLevel="0" collapsed="false">
      <c r="A1958" s="31" t="s">
        <v>2108</v>
      </c>
      <c r="B1958" s="44" t="n">
        <v>46231</v>
      </c>
      <c r="C1958" s="31" t="s">
        <v>59</v>
      </c>
      <c r="D1958" s="31" t="s">
        <v>66</v>
      </c>
      <c r="E1958" s="31" t="s">
        <v>52</v>
      </c>
      <c r="F1958" s="31" t="s">
        <v>130</v>
      </c>
      <c r="G1958" s="31" t="n">
        <v>147</v>
      </c>
      <c r="H1958" s="41" t="n">
        <v>5.1</v>
      </c>
      <c r="I1958" s="31" t="s">
        <v>64</v>
      </c>
      <c r="J1958" s="31" t="n">
        <v>2</v>
      </c>
      <c r="K1958" s="31" t="s">
        <v>150</v>
      </c>
      <c r="L1958" s="45" t="n">
        <f aca="false">DATE(YEAR(B1958),MONTH(B1958),1)</f>
        <v>46204</v>
      </c>
      <c r="M1958" s="31" t="n">
        <f aca="false">WEEKDAY(B1958,2)</f>
        <v>2</v>
      </c>
      <c r="N1958" s="31" t="str">
        <f aca="false">IF(G1958&lt;=INDEX(Assumptions!$B$15:$B$18,MATCH(E1958,Assumptions!$A$15:$A$18,0)),"Yes","No")</f>
        <v>Yes</v>
      </c>
      <c r="O1958" s="31" t="str">
        <f aca="false">IF(H1958="","Open",IF(H1958&lt;=INDEX(Assumptions!$C$15:$C$18,MATCH(E1958,Assumptions!$A$15:$A$18,0)),"Yes","No"))</f>
        <v>Yes</v>
      </c>
    </row>
    <row r="1959" customFormat="false" ht="15" hidden="false" customHeight="false" outlineLevel="0" collapsed="false">
      <c r="A1959" s="31" t="s">
        <v>2109</v>
      </c>
      <c r="B1959" s="44" t="n">
        <v>46231</v>
      </c>
      <c r="C1959" s="31" t="s">
        <v>57</v>
      </c>
      <c r="D1959" s="31" t="s">
        <v>66</v>
      </c>
      <c r="E1959" s="31" t="s">
        <v>51</v>
      </c>
      <c r="F1959" s="31" t="s">
        <v>135</v>
      </c>
      <c r="G1959" s="31" t="n">
        <v>5</v>
      </c>
      <c r="H1959" s="41" t="n">
        <v>9.2</v>
      </c>
      <c r="I1959" s="31" t="s">
        <v>149</v>
      </c>
      <c r="J1959" s="31" t="n">
        <v>4</v>
      </c>
      <c r="K1959" s="31" t="s">
        <v>150</v>
      </c>
      <c r="L1959" s="45" t="n">
        <f aca="false">DATE(YEAR(B1959),MONTH(B1959),1)</f>
        <v>46204</v>
      </c>
      <c r="M1959" s="31" t="n">
        <f aca="false">WEEKDAY(B1959,2)</f>
        <v>2</v>
      </c>
      <c r="N1959" s="31" t="str">
        <f aca="false">IF(G1959&lt;=INDEX(Assumptions!$B$15:$B$18,MATCH(E1959,Assumptions!$A$15:$A$18,0)),"Yes","No")</f>
        <v>Yes</v>
      </c>
      <c r="O1959" s="31" t="str">
        <f aca="false">IF(H1959="","Open",IF(H1959&lt;=INDEX(Assumptions!$C$15:$C$18,MATCH(E1959,Assumptions!$A$15:$A$18,0)),"Yes","No"))</f>
        <v>Yes</v>
      </c>
    </row>
    <row r="1960" customFormat="false" ht="15" hidden="false" customHeight="false" outlineLevel="0" collapsed="false">
      <c r="A1960" s="31" t="s">
        <v>2110</v>
      </c>
      <c r="B1960" s="44" t="n">
        <v>46231</v>
      </c>
      <c r="C1960" s="31" t="s">
        <v>59</v>
      </c>
      <c r="D1960" s="31" t="s">
        <v>68</v>
      </c>
      <c r="E1960" s="31" t="s">
        <v>50</v>
      </c>
      <c r="F1960" s="31" t="s">
        <v>122</v>
      </c>
      <c r="G1960" s="31" t="n">
        <v>47</v>
      </c>
      <c r="H1960" s="41" t="n">
        <v>1.7</v>
      </c>
      <c r="I1960" s="31" t="s">
        <v>149</v>
      </c>
      <c r="J1960" s="31" t="n">
        <v>3</v>
      </c>
      <c r="K1960" s="31" t="s">
        <v>153</v>
      </c>
      <c r="L1960" s="45" t="n">
        <f aca="false">DATE(YEAR(B1960),MONTH(B1960),1)</f>
        <v>46204</v>
      </c>
      <c r="M1960" s="31" t="n">
        <f aca="false">WEEKDAY(B1960,2)</f>
        <v>2</v>
      </c>
      <c r="N1960" s="31" t="str">
        <f aca="false">IF(G1960&lt;=INDEX(Assumptions!$B$15:$B$18,MATCH(E1960,Assumptions!$A$15:$A$18,0)),"Yes","No")</f>
        <v>No</v>
      </c>
      <c r="O1960" s="31" t="str">
        <f aca="false">IF(H1960="","Open",IF(H1960&lt;=INDEX(Assumptions!$C$15:$C$18,MATCH(E1960,Assumptions!$A$15:$A$18,0)),"Yes","No"))</f>
        <v>Yes</v>
      </c>
    </row>
    <row r="1961" customFormat="false" ht="15" hidden="false" customHeight="false" outlineLevel="0" collapsed="false">
      <c r="A1961" s="31" t="s">
        <v>2111</v>
      </c>
      <c r="B1961" s="44" t="n">
        <v>46231</v>
      </c>
      <c r="C1961" s="31" t="s">
        <v>59</v>
      </c>
      <c r="D1961" s="31" t="s">
        <v>65</v>
      </c>
      <c r="E1961" s="31" t="s">
        <v>52</v>
      </c>
      <c r="F1961" s="31" t="s">
        <v>121</v>
      </c>
      <c r="G1961" s="31" t="n">
        <v>116</v>
      </c>
      <c r="H1961" s="41" t="n">
        <v>28.7</v>
      </c>
      <c r="I1961" s="31" t="s">
        <v>149</v>
      </c>
      <c r="J1961" s="31"/>
      <c r="K1961" s="31" t="s">
        <v>150</v>
      </c>
      <c r="L1961" s="45" t="n">
        <f aca="false">DATE(YEAR(B1961),MONTH(B1961),1)</f>
        <v>46204</v>
      </c>
      <c r="M1961" s="31" t="n">
        <f aca="false">WEEKDAY(B1961,2)</f>
        <v>2</v>
      </c>
      <c r="N1961" s="31" t="str">
        <f aca="false">IF(G1961&lt;=INDEX(Assumptions!$B$15:$B$18,MATCH(E1961,Assumptions!$A$15:$A$18,0)),"Yes","No")</f>
        <v>Yes</v>
      </c>
      <c r="O1961" s="31" t="str">
        <f aca="false">IF(H1961="","Open",IF(H1961&lt;=INDEX(Assumptions!$C$15:$C$18,MATCH(E1961,Assumptions!$A$15:$A$18,0)),"Yes","No"))</f>
        <v>Yes</v>
      </c>
    </row>
    <row r="1962" customFormat="false" ht="15" hidden="false" customHeight="false" outlineLevel="0" collapsed="false">
      <c r="A1962" s="31" t="s">
        <v>2112</v>
      </c>
      <c r="B1962" s="44" t="n">
        <v>46231</v>
      </c>
      <c r="C1962" s="31" t="s">
        <v>58</v>
      </c>
      <c r="D1962" s="31" t="s">
        <v>66</v>
      </c>
      <c r="E1962" s="31" t="s">
        <v>50</v>
      </c>
      <c r="F1962" s="31" t="s">
        <v>117</v>
      </c>
      <c r="G1962" s="31" t="n">
        <v>12</v>
      </c>
      <c r="H1962" s="41" t="n">
        <v>0.8</v>
      </c>
      <c r="I1962" s="31" t="s">
        <v>149</v>
      </c>
      <c r="J1962" s="31" t="n">
        <v>3</v>
      </c>
      <c r="K1962" s="31" t="s">
        <v>150</v>
      </c>
      <c r="L1962" s="45" t="n">
        <f aca="false">DATE(YEAR(B1962),MONTH(B1962),1)</f>
        <v>46204</v>
      </c>
      <c r="M1962" s="31" t="n">
        <f aca="false">WEEKDAY(B1962,2)</f>
        <v>2</v>
      </c>
      <c r="N1962" s="31" t="str">
        <f aca="false">IF(G1962&lt;=INDEX(Assumptions!$B$15:$B$18,MATCH(E1962,Assumptions!$A$15:$A$18,0)),"Yes","No")</f>
        <v>Yes</v>
      </c>
      <c r="O1962" s="31" t="str">
        <f aca="false">IF(H1962="","Open",IF(H1962&lt;=INDEX(Assumptions!$C$15:$C$18,MATCH(E1962,Assumptions!$A$15:$A$18,0)),"Yes","No"))</f>
        <v>Yes</v>
      </c>
    </row>
    <row r="1963" customFormat="false" ht="15" hidden="false" customHeight="false" outlineLevel="0" collapsed="false">
      <c r="A1963" s="31" t="s">
        <v>2113</v>
      </c>
      <c r="B1963" s="44" t="n">
        <v>46231</v>
      </c>
      <c r="C1963" s="31" t="s">
        <v>60</v>
      </c>
      <c r="D1963" s="31" t="s">
        <v>69</v>
      </c>
      <c r="E1963" s="31" t="s">
        <v>51</v>
      </c>
      <c r="F1963" s="31" t="s">
        <v>129</v>
      </c>
      <c r="G1963" s="31" t="n">
        <v>1</v>
      </c>
      <c r="H1963" s="41" t="n">
        <v>20</v>
      </c>
      <c r="I1963" s="31" t="s">
        <v>149</v>
      </c>
      <c r="J1963" s="31" t="n">
        <v>5</v>
      </c>
      <c r="K1963" s="31" t="s">
        <v>150</v>
      </c>
      <c r="L1963" s="45" t="n">
        <f aca="false">DATE(YEAR(B1963),MONTH(B1963),1)</f>
        <v>46204</v>
      </c>
      <c r="M1963" s="31" t="n">
        <f aca="false">WEEKDAY(B1963,2)</f>
        <v>2</v>
      </c>
      <c r="N1963" s="31" t="str">
        <f aca="false">IF(G1963&lt;=INDEX(Assumptions!$B$15:$B$18,MATCH(E1963,Assumptions!$A$15:$A$18,0)),"Yes","No")</f>
        <v>Yes</v>
      </c>
      <c r="O1963" s="31" t="str">
        <f aca="false">IF(H1963="","Open",IF(H1963&lt;=INDEX(Assumptions!$C$15:$C$18,MATCH(E1963,Assumptions!$A$15:$A$18,0)),"Yes","No"))</f>
        <v>Yes</v>
      </c>
    </row>
    <row r="1964" customFormat="false" ht="15" hidden="false" customHeight="false" outlineLevel="0" collapsed="false">
      <c r="A1964" s="31" t="s">
        <v>2114</v>
      </c>
      <c r="B1964" s="44" t="n">
        <v>46231</v>
      </c>
      <c r="C1964" s="31" t="s">
        <v>57</v>
      </c>
      <c r="D1964" s="31" t="s">
        <v>68</v>
      </c>
      <c r="E1964" s="31" t="s">
        <v>49</v>
      </c>
      <c r="F1964" s="31" t="s">
        <v>120</v>
      </c>
      <c r="G1964" s="31" t="n">
        <v>4</v>
      </c>
      <c r="H1964" s="41" t="n">
        <v>0.2</v>
      </c>
      <c r="I1964" s="31" t="s">
        <v>149</v>
      </c>
      <c r="J1964" s="31" t="n">
        <v>4</v>
      </c>
      <c r="K1964" s="31" t="s">
        <v>150</v>
      </c>
      <c r="L1964" s="45" t="n">
        <f aca="false">DATE(YEAR(B1964),MONTH(B1964),1)</f>
        <v>46204</v>
      </c>
      <c r="M1964" s="31" t="n">
        <f aca="false">WEEKDAY(B1964,2)</f>
        <v>2</v>
      </c>
      <c r="N1964" s="31" t="str">
        <f aca="false">IF(G1964&lt;=INDEX(Assumptions!$B$15:$B$18,MATCH(E1964,Assumptions!$A$15:$A$18,0)),"Yes","No")</f>
        <v>Yes</v>
      </c>
      <c r="O1964" s="31" t="str">
        <f aca="false">IF(H1964="","Open",IF(H1964&lt;=INDEX(Assumptions!$C$15:$C$18,MATCH(E1964,Assumptions!$A$15:$A$18,0)),"Yes","No"))</f>
        <v>Yes</v>
      </c>
    </row>
    <row r="1965" customFormat="false" ht="15" hidden="false" customHeight="false" outlineLevel="0" collapsed="false">
      <c r="A1965" s="31" t="s">
        <v>2115</v>
      </c>
      <c r="B1965" s="44" t="n">
        <v>46231</v>
      </c>
      <c r="C1965" s="31" t="s">
        <v>58</v>
      </c>
      <c r="D1965" s="31" t="s">
        <v>66</v>
      </c>
      <c r="E1965" s="31" t="s">
        <v>51</v>
      </c>
      <c r="F1965" s="31" t="s">
        <v>126</v>
      </c>
      <c r="G1965" s="31" t="n">
        <v>17</v>
      </c>
      <c r="H1965" s="41" t="n">
        <v>7.3</v>
      </c>
      <c r="I1965" s="31" t="s">
        <v>149</v>
      </c>
      <c r="J1965" s="31" t="n">
        <v>5</v>
      </c>
      <c r="K1965" s="31" t="s">
        <v>150</v>
      </c>
      <c r="L1965" s="45" t="n">
        <f aca="false">DATE(YEAR(B1965),MONTH(B1965),1)</f>
        <v>46204</v>
      </c>
      <c r="M1965" s="31" t="n">
        <f aca="false">WEEKDAY(B1965,2)</f>
        <v>2</v>
      </c>
      <c r="N1965" s="31" t="str">
        <f aca="false">IF(G1965&lt;=INDEX(Assumptions!$B$15:$B$18,MATCH(E1965,Assumptions!$A$15:$A$18,0)),"Yes","No")</f>
        <v>Yes</v>
      </c>
      <c r="O1965" s="31" t="str">
        <f aca="false">IF(H1965="","Open",IF(H1965&lt;=INDEX(Assumptions!$C$15:$C$18,MATCH(E1965,Assumptions!$A$15:$A$18,0)),"Yes","No"))</f>
        <v>Yes</v>
      </c>
    </row>
    <row r="1966" customFormat="false" ht="15" hidden="false" customHeight="false" outlineLevel="0" collapsed="false">
      <c r="A1966" s="31" t="s">
        <v>2116</v>
      </c>
      <c r="B1966" s="44" t="n">
        <v>46231</v>
      </c>
      <c r="C1966" s="31" t="s">
        <v>58</v>
      </c>
      <c r="D1966" s="31" t="s">
        <v>66</v>
      </c>
      <c r="E1966" s="31" t="s">
        <v>52</v>
      </c>
      <c r="F1966" s="31" t="s">
        <v>120</v>
      </c>
      <c r="G1966" s="31" t="n">
        <v>25</v>
      </c>
      <c r="H1966" s="41" t="n">
        <v>4.8</v>
      </c>
      <c r="I1966" s="31" t="s">
        <v>149</v>
      </c>
      <c r="J1966" s="31" t="n">
        <v>4</v>
      </c>
      <c r="K1966" s="31" t="s">
        <v>150</v>
      </c>
      <c r="L1966" s="45" t="n">
        <f aca="false">DATE(YEAR(B1966),MONTH(B1966),1)</f>
        <v>46204</v>
      </c>
      <c r="M1966" s="31" t="n">
        <f aca="false">WEEKDAY(B1966,2)</f>
        <v>2</v>
      </c>
      <c r="N1966" s="31" t="str">
        <f aca="false">IF(G1966&lt;=INDEX(Assumptions!$B$15:$B$18,MATCH(E1966,Assumptions!$A$15:$A$18,0)),"Yes","No")</f>
        <v>Yes</v>
      </c>
      <c r="O1966" s="31" t="str">
        <f aca="false">IF(H1966="","Open",IF(H1966&lt;=INDEX(Assumptions!$C$15:$C$18,MATCH(E1966,Assumptions!$A$15:$A$18,0)),"Yes","No"))</f>
        <v>Yes</v>
      </c>
    </row>
    <row r="1967" customFormat="false" ht="15" hidden="false" customHeight="false" outlineLevel="0" collapsed="false">
      <c r="A1967" s="31" t="s">
        <v>2117</v>
      </c>
      <c r="B1967" s="44" t="n">
        <v>46231</v>
      </c>
      <c r="C1967" s="31" t="s">
        <v>60</v>
      </c>
      <c r="D1967" s="31" t="s">
        <v>65</v>
      </c>
      <c r="E1967" s="31" t="s">
        <v>51</v>
      </c>
      <c r="F1967" s="31" t="s">
        <v>126</v>
      </c>
      <c r="G1967" s="31" t="n">
        <v>2</v>
      </c>
      <c r="H1967" s="41" t="n">
        <v>10.1</v>
      </c>
      <c r="I1967" s="31" t="s">
        <v>149</v>
      </c>
      <c r="J1967" s="31"/>
      <c r="K1967" s="31" t="s">
        <v>150</v>
      </c>
      <c r="L1967" s="45" t="n">
        <f aca="false">DATE(YEAR(B1967),MONTH(B1967),1)</f>
        <v>46204</v>
      </c>
      <c r="M1967" s="31" t="n">
        <f aca="false">WEEKDAY(B1967,2)</f>
        <v>2</v>
      </c>
      <c r="N1967" s="31" t="str">
        <f aca="false">IF(G1967&lt;=INDEX(Assumptions!$B$15:$B$18,MATCH(E1967,Assumptions!$A$15:$A$18,0)),"Yes","No")</f>
        <v>Yes</v>
      </c>
      <c r="O1967" s="31" t="str">
        <f aca="false">IF(H1967="","Open",IF(H1967&lt;=INDEX(Assumptions!$C$15:$C$18,MATCH(E1967,Assumptions!$A$15:$A$18,0)),"Yes","No"))</f>
        <v>Yes</v>
      </c>
    </row>
    <row r="1968" customFormat="false" ht="15" hidden="false" customHeight="false" outlineLevel="0" collapsed="false">
      <c r="A1968" s="31" t="s">
        <v>2118</v>
      </c>
      <c r="B1968" s="44" t="n">
        <v>46231</v>
      </c>
      <c r="C1968" s="31" t="s">
        <v>57</v>
      </c>
      <c r="D1968" s="31" t="s">
        <v>65</v>
      </c>
      <c r="E1968" s="31" t="s">
        <v>51</v>
      </c>
      <c r="F1968" s="31" t="s">
        <v>128</v>
      </c>
      <c r="G1968" s="31" t="n">
        <v>11</v>
      </c>
      <c r="H1968" s="41" t="n">
        <v>21.3</v>
      </c>
      <c r="I1968" s="31" t="s">
        <v>149</v>
      </c>
      <c r="J1968" s="31" t="n">
        <v>4</v>
      </c>
      <c r="K1968" s="31" t="s">
        <v>150</v>
      </c>
      <c r="L1968" s="45" t="n">
        <f aca="false">DATE(YEAR(B1968),MONTH(B1968),1)</f>
        <v>46204</v>
      </c>
      <c r="M1968" s="31" t="n">
        <f aca="false">WEEKDAY(B1968,2)</f>
        <v>2</v>
      </c>
      <c r="N1968" s="31" t="str">
        <f aca="false">IF(G1968&lt;=INDEX(Assumptions!$B$15:$B$18,MATCH(E1968,Assumptions!$A$15:$A$18,0)),"Yes","No")</f>
        <v>Yes</v>
      </c>
      <c r="O1968" s="31" t="str">
        <f aca="false">IF(H1968="","Open",IF(H1968&lt;=INDEX(Assumptions!$C$15:$C$18,MATCH(E1968,Assumptions!$A$15:$A$18,0)),"Yes","No"))</f>
        <v>Yes</v>
      </c>
    </row>
    <row r="1969" customFormat="false" ht="15" hidden="false" customHeight="false" outlineLevel="0" collapsed="false">
      <c r="A1969" s="31" t="s">
        <v>2119</v>
      </c>
      <c r="B1969" s="44" t="n">
        <v>46231</v>
      </c>
      <c r="C1969" s="31" t="s">
        <v>59</v>
      </c>
      <c r="D1969" s="31" t="s">
        <v>65</v>
      </c>
      <c r="E1969" s="31" t="s">
        <v>50</v>
      </c>
      <c r="F1969" s="31" t="s">
        <v>134</v>
      </c>
      <c r="G1969" s="31" t="n">
        <v>131</v>
      </c>
      <c r="H1969" s="41" t="n">
        <v>11</v>
      </c>
      <c r="I1969" s="31" t="s">
        <v>149</v>
      </c>
      <c r="J1969" s="31"/>
      <c r="K1969" s="31" t="s">
        <v>153</v>
      </c>
      <c r="L1969" s="45" t="n">
        <f aca="false">DATE(YEAR(B1969),MONTH(B1969),1)</f>
        <v>46204</v>
      </c>
      <c r="M1969" s="31" t="n">
        <f aca="false">WEEKDAY(B1969,2)</f>
        <v>2</v>
      </c>
      <c r="N1969" s="31" t="str">
        <f aca="false">IF(G1969&lt;=INDEX(Assumptions!$B$15:$B$18,MATCH(E1969,Assumptions!$A$15:$A$18,0)),"Yes","No")</f>
        <v>No</v>
      </c>
      <c r="O1969" s="31" t="str">
        <f aca="false">IF(H1969="","Open",IF(H1969&lt;=INDEX(Assumptions!$C$15:$C$18,MATCH(E1969,Assumptions!$A$15:$A$18,0)),"Yes","No"))</f>
        <v>No</v>
      </c>
    </row>
    <row r="1970" customFormat="false" ht="15" hidden="false" customHeight="false" outlineLevel="0" collapsed="false">
      <c r="A1970" s="31" t="s">
        <v>2120</v>
      </c>
      <c r="B1970" s="44" t="n">
        <v>46231</v>
      </c>
      <c r="C1970" s="31" t="s">
        <v>57</v>
      </c>
      <c r="D1970" s="31" t="s">
        <v>65</v>
      </c>
      <c r="E1970" s="31" t="s">
        <v>51</v>
      </c>
      <c r="F1970" s="31" t="s">
        <v>136</v>
      </c>
      <c r="G1970" s="31" t="n">
        <v>6</v>
      </c>
      <c r="H1970" s="41" t="n">
        <v>25.1</v>
      </c>
      <c r="I1970" s="31" t="s">
        <v>149</v>
      </c>
      <c r="J1970" s="31"/>
      <c r="K1970" s="31" t="s">
        <v>150</v>
      </c>
      <c r="L1970" s="45" t="n">
        <f aca="false">DATE(YEAR(B1970),MONTH(B1970),1)</f>
        <v>46204</v>
      </c>
      <c r="M1970" s="31" t="n">
        <f aca="false">WEEKDAY(B1970,2)</f>
        <v>2</v>
      </c>
      <c r="N1970" s="31" t="str">
        <f aca="false">IF(G1970&lt;=INDEX(Assumptions!$B$15:$B$18,MATCH(E1970,Assumptions!$A$15:$A$18,0)),"Yes","No")</f>
        <v>Yes</v>
      </c>
      <c r="O1970" s="31" t="str">
        <f aca="false">IF(H1970="","Open",IF(H1970&lt;=INDEX(Assumptions!$C$15:$C$18,MATCH(E1970,Assumptions!$A$15:$A$18,0)),"Yes","No"))</f>
        <v>No</v>
      </c>
    </row>
    <row r="1971" customFormat="false" ht="15" hidden="false" customHeight="false" outlineLevel="0" collapsed="false">
      <c r="A1971" s="31" t="s">
        <v>2121</v>
      </c>
      <c r="B1971" s="44" t="n">
        <v>46231</v>
      </c>
      <c r="C1971" s="31" t="s">
        <v>57</v>
      </c>
      <c r="D1971" s="31" t="s">
        <v>65</v>
      </c>
      <c r="E1971" s="31" t="s">
        <v>51</v>
      </c>
      <c r="F1971" s="31" t="s">
        <v>135</v>
      </c>
      <c r="G1971" s="31" t="n">
        <v>8</v>
      </c>
      <c r="H1971" s="41" t="n">
        <v>5.7</v>
      </c>
      <c r="I1971" s="31" t="s">
        <v>149</v>
      </c>
      <c r="J1971" s="31"/>
      <c r="K1971" s="31" t="s">
        <v>150</v>
      </c>
      <c r="L1971" s="45" t="n">
        <f aca="false">DATE(YEAR(B1971),MONTH(B1971),1)</f>
        <v>46204</v>
      </c>
      <c r="M1971" s="31" t="n">
        <f aca="false">WEEKDAY(B1971,2)</f>
        <v>2</v>
      </c>
      <c r="N1971" s="31" t="str">
        <f aca="false">IF(G1971&lt;=INDEX(Assumptions!$B$15:$B$18,MATCH(E1971,Assumptions!$A$15:$A$18,0)),"Yes","No")</f>
        <v>Yes</v>
      </c>
      <c r="O1971" s="31" t="str">
        <f aca="false">IF(H1971="","Open",IF(H1971&lt;=INDEX(Assumptions!$C$15:$C$18,MATCH(E1971,Assumptions!$A$15:$A$18,0)),"Yes","No"))</f>
        <v>Yes</v>
      </c>
    </row>
    <row r="1972" customFormat="false" ht="15" hidden="false" customHeight="false" outlineLevel="0" collapsed="false">
      <c r="A1972" s="31" t="s">
        <v>2122</v>
      </c>
      <c r="B1972" s="44" t="n">
        <v>46231</v>
      </c>
      <c r="C1972" s="31" t="s">
        <v>57</v>
      </c>
      <c r="D1972" s="31" t="s">
        <v>66</v>
      </c>
      <c r="E1972" s="31" t="s">
        <v>49</v>
      </c>
      <c r="F1972" s="31" t="s">
        <v>133</v>
      </c>
      <c r="G1972" s="31" t="n">
        <v>1</v>
      </c>
      <c r="H1972" s="41" t="n">
        <v>1.5</v>
      </c>
      <c r="I1972" s="31" t="s">
        <v>149</v>
      </c>
      <c r="J1972" s="31"/>
      <c r="K1972" s="31" t="s">
        <v>150</v>
      </c>
      <c r="L1972" s="45" t="n">
        <f aca="false">DATE(YEAR(B1972),MONTH(B1972),1)</f>
        <v>46204</v>
      </c>
      <c r="M1972" s="31" t="n">
        <f aca="false">WEEKDAY(B1972,2)</f>
        <v>2</v>
      </c>
      <c r="N1972" s="31" t="str">
        <f aca="false">IF(G1972&lt;=INDEX(Assumptions!$B$15:$B$18,MATCH(E1972,Assumptions!$A$15:$A$18,0)),"Yes","No")</f>
        <v>Yes</v>
      </c>
      <c r="O1972" s="31" t="str">
        <f aca="false">IF(H1972="","Open",IF(H1972&lt;=INDEX(Assumptions!$C$15:$C$18,MATCH(E1972,Assumptions!$A$15:$A$18,0)),"Yes","No"))</f>
        <v>Yes</v>
      </c>
    </row>
    <row r="1973" customFormat="false" ht="15" hidden="false" customHeight="false" outlineLevel="0" collapsed="false">
      <c r="A1973" s="31" t="s">
        <v>2123</v>
      </c>
      <c r="B1973" s="44" t="n">
        <v>46231</v>
      </c>
      <c r="C1973" s="31" t="s">
        <v>59</v>
      </c>
      <c r="D1973" s="31" t="s">
        <v>65</v>
      </c>
      <c r="E1973" s="31" t="s">
        <v>50</v>
      </c>
      <c r="F1973" s="31" t="s">
        <v>126</v>
      </c>
      <c r="G1973" s="31" t="n">
        <v>67</v>
      </c>
      <c r="H1973" s="41" t="n">
        <v>20.9</v>
      </c>
      <c r="I1973" s="31" t="s">
        <v>149</v>
      </c>
      <c r="J1973" s="31" t="n">
        <v>3</v>
      </c>
      <c r="K1973" s="31" t="s">
        <v>150</v>
      </c>
      <c r="L1973" s="45" t="n">
        <f aca="false">DATE(YEAR(B1973),MONTH(B1973),1)</f>
        <v>46204</v>
      </c>
      <c r="M1973" s="31" t="n">
        <f aca="false">WEEKDAY(B1973,2)</f>
        <v>2</v>
      </c>
      <c r="N1973" s="31" t="str">
        <f aca="false">IF(G1973&lt;=INDEX(Assumptions!$B$15:$B$18,MATCH(E1973,Assumptions!$A$15:$A$18,0)),"Yes","No")</f>
        <v>No</v>
      </c>
      <c r="O1973" s="31" t="str">
        <f aca="false">IF(H1973="","Open",IF(H1973&lt;=INDEX(Assumptions!$C$15:$C$18,MATCH(E1973,Assumptions!$A$15:$A$18,0)),"Yes","No"))</f>
        <v>No</v>
      </c>
    </row>
    <row r="1974" customFormat="false" ht="15" hidden="false" customHeight="false" outlineLevel="0" collapsed="false">
      <c r="A1974" s="31" t="s">
        <v>2124</v>
      </c>
      <c r="B1974" s="44" t="n">
        <v>46231</v>
      </c>
      <c r="C1974" s="31" t="s">
        <v>60</v>
      </c>
      <c r="D1974" s="31" t="s">
        <v>67</v>
      </c>
      <c r="E1974" s="31" t="s">
        <v>51</v>
      </c>
      <c r="F1974" s="31" t="s">
        <v>126</v>
      </c>
      <c r="G1974" s="31" t="n">
        <v>4</v>
      </c>
      <c r="H1974" s="41" t="n">
        <v>15.2</v>
      </c>
      <c r="I1974" s="31" t="s">
        <v>149</v>
      </c>
      <c r="J1974" s="31"/>
      <c r="K1974" s="31" t="s">
        <v>150</v>
      </c>
      <c r="L1974" s="45" t="n">
        <f aca="false">DATE(YEAR(B1974),MONTH(B1974),1)</f>
        <v>46204</v>
      </c>
      <c r="M1974" s="31" t="n">
        <f aca="false">WEEKDAY(B1974,2)</f>
        <v>2</v>
      </c>
      <c r="N1974" s="31" t="str">
        <f aca="false">IF(G1974&lt;=INDEX(Assumptions!$B$15:$B$18,MATCH(E1974,Assumptions!$A$15:$A$18,0)),"Yes","No")</f>
        <v>Yes</v>
      </c>
      <c r="O1974" s="31" t="str">
        <f aca="false">IF(H1974="","Open",IF(H1974&lt;=INDEX(Assumptions!$C$15:$C$18,MATCH(E1974,Assumptions!$A$15:$A$18,0)),"Yes","No"))</f>
        <v>Yes</v>
      </c>
    </row>
    <row r="1975" customFormat="false" ht="15" hidden="false" customHeight="false" outlineLevel="0" collapsed="false">
      <c r="A1975" s="31" t="s">
        <v>2125</v>
      </c>
      <c r="B1975" s="44" t="n">
        <v>46231</v>
      </c>
      <c r="C1975" s="31" t="s">
        <v>60</v>
      </c>
      <c r="D1975" s="31" t="s">
        <v>66</v>
      </c>
      <c r="E1975" s="31" t="s">
        <v>51</v>
      </c>
      <c r="F1975" s="31" t="s">
        <v>124</v>
      </c>
      <c r="G1975" s="31" t="n">
        <v>1</v>
      </c>
      <c r="H1975" s="41" t="n">
        <v>2.4</v>
      </c>
      <c r="I1975" s="31" t="s">
        <v>149</v>
      </c>
      <c r="J1975" s="31" t="n">
        <v>5</v>
      </c>
      <c r="K1975" s="31" t="s">
        <v>150</v>
      </c>
      <c r="L1975" s="45" t="n">
        <f aca="false">DATE(YEAR(B1975),MONTH(B1975),1)</f>
        <v>46204</v>
      </c>
      <c r="M1975" s="31" t="n">
        <f aca="false">WEEKDAY(B1975,2)</f>
        <v>2</v>
      </c>
      <c r="N1975" s="31" t="str">
        <f aca="false">IF(G1975&lt;=INDEX(Assumptions!$B$15:$B$18,MATCH(E1975,Assumptions!$A$15:$A$18,0)),"Yes","No")</f>
        <v>Yes</v>
      </c>
      <c r="O1975" s="31" t="str">
        <f aca="false">IF(H1975="","Open",IF(H1975&lt;=INDEX(Assumptions!$C$15:$C$18,MATCH(E1975,Assumptions!$A$15:$A$18,0)),"Yes","No"))</f>
        <v>Yes</v>
      </c>
    </row>
    <row r="1976" customFormat="false" ht="15" hidden="false" customHeight="false" outlineLevel="0" collapsed="false">
      <c r="A1976" s="31" t="s">
        <v>2126</v>
      </c>
      <c r="B1976" s="44" t="n">
        <v>46231</v>
      </c>
      <c r="C1976" s="31" t="s">
        <v>58</v>
      </c>
      <c r="D1976" s="31" t="s">
        <v>69</v>
      </c>
      <c r="E1976" s="31" t="s">
        <v>52</v>
      </c>
      <c r="F1976" s="31" t="s">
        <v>128</v>
      </c>
      <c r="G1976" s="31" t="n">
        <v>20</v>
      </c>
      <c r="H1976" s="41" t="n">
        <v>19</v>
      </c>
      <c r="I1976" s="31" t="s">
        <v>149</v>
      </c>
      <c r="J1976" s="31"/>
      <c r="K1976" s="31" t="s">
        <v>150</v>
      </c>
      <c r="L1976" s="45" t="n">
        <f aca="false">DATE(YEAR(B1976),MONTH(B1976),1)</f>
        <v>46204</v>
      </c>
      <c r="M1976" s="31" t="n">
        <f aca="false">WEEKDAY(B1976,2)</f>
        <v>2</v>
      </c>
      <c r="N1976" s="31" t="str">
        <f aca="false">IF(G1976&lt;=INDEX(Assumptions!$B$15:$B$18,MATCH(E1976,Assumptions!$A$15:$A$18,0)),"Yes","No")</f>
        <v>Yes</v>
      </c>
      <c r="O1976" s="31" t="str">
        <f aca="false">IF(H1976="","Open",IF(H1976&lt;=INDEX(Assumptions!$C$15:$C$18,MATCH(E1976,Assumptions!$A$15:$A$18,0)),"Yes","No"))</f>
        <v>Yes</v>
      </c>
    </row>
    <row r="1977" customFormat="false" ht="15" hidden="false" customHeight="false" outlineLevel="0" collapsed="false">
      <c r="A1977" s="31" t="s">
        <v>2127</v>
      </c>
      <c r="B1977" s="44" t="n">
        <v>46231</v>
      </c>
      <c r="C1977" s="31" t="s">
        <v>59</v>
      </c>
      <c r="D1977" s="31" t="s">
        <v>69</v>
      </c>
      <c r="E1977" s="31" t="s">
        <v>52</v>
      </c>
      <c r="F1977" s="31" t="s">
        <v>136</v>
      </c>
      <c r="G1977" s="31" t="n">
        <v>122</v>
      </c>
      <c r="H1977" s="41" t="n">
        <v>44.5</v>
      </c>
      <c r="I1977" s="31" t="s">
        <v>149</v>
      </c>
      <c r="J1977" s="31" t="n">
        <v>5</v>
      </c>
      <c r="K1977" s="31" t="s">
        <v>150</v>
      </c>
      <c r="L1977" s="45" t="n">
        <f aca="false">DATE(YEAR(B1977),MONTH(B1977),1)</f>
        <v>46204</v>
      </c>
      <c r="M1977" s="31" t="n">
        <f aca="false">WEEKDAY(B1977,2)</f>
        <v>2</v>
      </c>
      <c r="N1977" s="31" t="str">
        <f aca="false">IF(G1977&lt;=INDEX(Assumptions!$B$15:$B$18,MATCH(E1977,Assumptions!$A$15:$A$18,0)),"Yes","No")</f>
        <v>Yes</v>
      </c>
      <c r="O1977" s="31" t="str">
        <f aca="false">IF(H1977="","Open",IF(H1977&lt;=INDEX(Assumptions!$C$15:$C$18,MATCH(E1977,Assumptions!$A$15:$A$18,0)),"Yes","No"))</f>
        <v>Yes</v>
      </c>
    </row>
    <row r="1978" customFormat="false" ht="15" hidden="false" customHeight="false" outlineLevel="0" collapsed="false">
      <c r="A1978" s="31" t="s">
        <v>2128</v>
      </c>
      <c r="B1978" s="44" t="n">
        <v>46231</v>
      </c>
      <c r="C1978" s="31" t="s">
        <v>58</v>
      </c>
      <c r="D1978" s="31" t="s">
        <v>67</v>
      </c>
      <c r="E1978" s="31" t="s">
        <v>51</v>
      </c>
      <c r="F1978" s="31" t="s">
        <v>137</v>
      </c>
      <c r="G1978" s="31" t="n">
        <v>17</v>
      </c>
      <c r="H1978" s="41" t="n">
        <v>46.6</v>
      </c>
      <c r="I1978" s="31" t="s">
        <v>149</v>
      </c>
      <c r="J1978" s="31" t="n">
        <v>3</v>
      </c>
      <c r="K1978" s="31" t="s">
        <v>150</v>
      </c>
      <c r="L1978" s="45" t="n">
        <f aca="false">DATE(YEAR(B1978),MONTH(B1978),1)</f>
        <v>46204</v>
      </c>
      <c r="M1978" s="31" t="n">
        <f aca="false">WEEKDAY(B1978,2)</f>
        <v>2</v>
      </c>
      <c r="N1978" s="31" t="str">
        <f aca="false">IF(G1978&lt;=INDEX(Assumptions!$B$15:$B$18,MATCH(E1978,Assumptions!$A$15:$A$18,0)),"Yes","No")</f>
        <v>Yes</v>
      </c>
      <c r="O1978" s="31" t="str">
        <f aca="false">IF(H1978="","Open",IF(H1978&lt;=INDEX(Assumptions!$C$15:$C$18,MATCH(E1978,Assumptions!$A$15:$A$18,0)),"Yes","No"))</f>
        <v>No</v>
      </c>
    </row>
    <row r="1979" customFormat="false" ht="15" hidden="false" customHeight="false" outlineLevel="0" collapsed="false">
      <c r="A1979" s="31" t="s">
        <v>2129</v>
      </c>
      <c r="B1979" s="44" t="n">
        <v>46231</v>
      </c>
      <c r="C1979" s="31" t="s">
        <v>57</v>
      </c>
      <c r="D1979" s="31" t="s">
        <v>66</v>
      </c>
      <c r="E1979" s="31" t="s">
        <v>49</v>
      </c>
      <c r="F1979" s="31" t="s">
        <v>121</v>
      </c>
      <c r="G1979" s="31" t="n">
        <v>3</v>
      </c>
      <c r="H1979" s="41" t="n">
        <v>1</v>
      </c>
      <c r="I1979" s="31" t="s">
        <v>149</v>
      </c>
      <c r="J1979" s="31" t="n">
        <v>5</v>
      </c>
      <c r="K1979" s="31" t="s">
        <v>150</v>
      </c>
      <c r="L1979" s="45" t="n">
        <f aca="false">DATE(YEAR(B1979),MONTH(B1979),1)</f>
        <v>46204</v>
      </c>
      <c r="M1979" s="31" t="n">
        <f aca="false">WEEKDAY(B1979,2)</f>
        <v>2</v>
      </c>
      <c r="N1979" s="31" t="str">
        <f aca="false">IF(G1979&lt;=INDEX(Assumptions!$B$15:$B$18,MATCH(E1979,Assumptions!$A$15:$A$18,0)),"Yes","No")</f>
        <v>Yes</v>
      </c>
      <c r="O1979" s="31" t="str">
        <f aca="false">IF(H1979="","Open",IF(H1979&lt;=INDEX(Assumptions!$C$15:$C$18,MATCH(E1979,Assumptions!$A$15:$A$18,0)),"Yes","No"))</f>
        <v>Yes</v>
      </c>
    </row>
    <row r="1980" customFormat="false" ht="15" hidden="false" customHeight="false" outlineLevel="0" collapsed="false">
      <c r="A1980" s="31" t="s">
        <v>2130</v>
      </c>
      <c r="B1980" s="44" t="n">
        <v>46231</v>
      </c>
      <c r="C1980" s="31" t="s">
        <v>57</v>
      </c>
      <c r="D1980" s="31" t="s">
        <v>68</v>
      </c>
      <c r="E1980" s="31" t="s">
        <v>51</v>
      </c>
      <c r="F1980" s="31" t="s">
        <v>134</v>
      </c>
      <c r="G1980" s="31" t="n">
        <v>4</v>
      </c>
      <c r="H1980" s="41" t="n">
        <v>3.8</v>
      </c>
      <c r="I1980" s="31" t="s">
        <v>149</v>
      </c>
      <c r="J1980" s="31"/>
      <c r="K1980" s="31" t="s">
        <v>150</v>
      </c>
      <c r="L1980" s="45" t="n">
        <f aca="false">DATE(YEAR(B1980),MONTH(B1980),1)</f>
        <v>46204</v>
      </c>
      <c r="M1980" s="31" t="n">
        <f aca="false">WEEKDAY(B1980,2)</f>
        <v>2</v>
      </c>
      <c r="N1980" s="31" t="str">
        <f aca="false">IF(G1980&lt;=INDEX(Assumptions!$B$15:$B$18,MATCH(E1980,Assumptions!$A$15:$A$18,0)),"Yes","No")</f>
        <v>Yes</v>
      </c>
      <c r="O1980" s="31" t="str">
        <f aca="false">IF(H1980="","Open",IF(H1980&lt;=INDEX(Assumptions!$C$15:$C$18,MATCH(E1980,Assumptions!$A$15:$A$18,0)),"Yes","No"))</f>
        <v>Yes</v>
      </c>
    </row>
    <row r="1981" customFormat="false" ht="15" hidden="false" customHeight="false" outlineLevel="0" collapsed="false">
      <c r="A1981" s="31" t="s">
        <v>2131</v>
      </c>
      <c r="B1981" s="44" t="n">
        <v>46231</v>
      </c>
      <c r="C1981" s="31" t="s">
        <v>60</v>
      </c>
      <c r="D1981" s="31" t="s">
        <v>66</v>
      </c>
      <c r="E1981" s="31" t="s">
        <v>49</v>
      </c>
      <c r="F1981" s="31" t="s">
        <v>127</v>
      </c>
      <c r="G1981" s="31" t="n">
        <v>1</v>
      </c>
      <c r="H1981" s="41" t="n">
        <v>2.2</v>
      </c>
      <c r="I1981" s="31" t="s">
        <v>149</v>
      </c>
      <c r="J1981" s="31" t="n">
        <v>4</v>
      </c>
      <c r="K1981" s="31" t="s">
        <v>150</v>
      </c>
      <c r="L1981" s="45" t="n">
        <f aca="false">DATE(YEAR(B1981),MONTH(B1981),1)</f>
        <v>46204</v>
      </c>
      <c r="M1981" s="31" t="n">
        <f aca="false">WEEKDAY(B1981,2)</f>
        <v>2</v>
      </c>
      <c r="N1981" s="31" t="str">
        <f aca="false">IF(G1981&lt;=INDEX(Assumptions!$B$15:$B$18,MATCH(E1981,Assumptions!$A$15:$A$18,0)),"Yes","No")</f>
        <v>Yes</v>
      </c>
      <c r="O1981" s="31" t="str">
        <f aca="false">IF(H1981="","Open",IF(H1981&lt;=INDEX(Assumptions!$C$15:$C$18,MATCH(E1981,Assumptions!$A$15:$A$18,0)),"Yes","No"))</f>
        <v>Yes</v>
      </c>
    </row>
    <row r="1982" customFormat="false" ht="15" hidden="false" customHeight="false" outlineLevel="0" collapsed="false">
      <c r="A1982" s="31" t="s">
        <v>2132</v>
      </c>
      <c r="B1982" s="44" t="n">
        <v>46231</v>
      </c>
      <c r="C1982" s="31" t="s">
        <v>57</v>
      </c>
      <c r="D1982" s="31" t="s">
        <v>65</v>
      </c>
      <c r="E1982" s="31" t="s">
        <v>50</v>
      </c>
      <c r="F1982" s="31" t="s">
        <v>137</v>
      </c>
      <c r="G1982" s="31" t="n">
        <v>1</v>
      </c>
      <c r="H1982" s="41" t="n">
        <v>6.8</v>
      </c>
      <c r="I1982" s="31" t="s">
        <v>149</v>
      </c>
      <c r="J1982" s="31" t="n">
        <v>4</v>
      </c>
      <c r="K1982" s="31" t="s">
        <v>153</v>
      </c>
      <c r="L1982" s="45" t="n">
        <f aca="false">DATE(YEAR(B1982),MONTH(B1982),1)</f>
        <v>46204</v>
      </c>
      <c r="M1982" s="31" t="n">
        <f aca="false">WEEKDAY(B1982,2)</f>
        <v>2</v>
      </c>
      <c r="N1982" s="31" t="str">
        <f aca="false">IF(G1982&lt;=INDEX(Assumptions!$B$15:$B$18,MATCH(E1982,Assumptions!$A$15:$A$18,0)),"Yes","No")</f>
        <v>Yes</v>
      </c>
      <c r="O1982" s="31" t="str">
        <f aca="false">IF(H1982="","Open",IF(H1982&lt;=INDEX(Assumptions!$C$15:$C$18,MATCH(E1982,Assumptions!$A$15:$A$18,0)),"Yes","No"))</f>
        <v>Yes</v>
      </c>
    </row>
    <row r="1983" customFormat="false" ht="15" hidden="false" customHeight="false" outlineLevel="0" collapsed="false">
      <c r="A1983" s="31" t="s">
        <v>2133</v>
      </c>
      <c r="B1983" s="44" t="n">
        <v>46231</v>
      </c>
      <c r="C1983" s="31" t="s">
        <v>57</v>
      </c>
      <c r="D1983" s="31" t="s">
        <v>67</v>
      </c>
      <c r="E1983" s="31" t="s">
        <v>52</v>
      </c>
      <c r="F1983" s="31" t="s">
        <v>134</v>
      </c>
      <c r="G1983" s="31" t="n">
        <v>18</v>
      </c>
      <c r="H1983" s="41" t="n">
        <v>9.6</v>
      </c>
      <c r="I1983" s="31" t="s">
        <v>149</v>
      </c>
      <c r="J1983" s="31"/>
      <c r="K1983" s="31" t="s">
        <v>150</v>
      </c>
      <c r="L1983" s="45" t="n">
        <f aca="false">DATE(YEAR(B1983),MONTH(B1983),1)</f>
        <v>46204</v>
      </c>
      <c r="M1983" s="31" t="n">
        <f aca="false">WEEKDAY(B1983,2)</f>
        <v>2</v>
      </c>
      <c r="N1983" s="31" t="str">
        <f aca="false">IF(G1983&lt;=INDEX(Assumptions!$B$15:$B$18,MATCH(E1983,Assumptions!$A$15:$A$18,0)),"Yes","No")</f>
        <v>Yes</v>
      </c>
      <c r="O1983" s="31" t="str">
        <f aca="false">IF(H1983="","Open",IF(H1983&lt;=INDEX(Assumptions!$C$15:$C$18,MATCH(E1983,Assumptions!$A$15:$A$18,0)),"Yes","No"))</f>
        <v>Yes</v>
      </c>
    </row>
    <row r="1984" customFormat="false" ht="15" hidden="false" customHeight="false" outlineLevel="0" collapsed="false">
      <c r="A1984" s="31" t="s">
        <v>2134</v>
      </c>
      <c r="B1984" s="44" t="n">
        <v>46231</v>
      </c>
      <c r="C1984" s="31" t="s">
        <v>59</v>
      </c>
      <c r="D1984" s="31" t="s">
        <v>65</v>
      </c>
      <c r="E1984" s="31" t="s">
        <v>51</v>
      </c>
      <c r="F1984" s="31" t="s">
        <v>124</v>
      </c>
      <c r="G1984" s="31" t="n">
        <v>66</v>
      </c>
      <c r="H1984" s="41" t="n">
        <v>10.2</v>
      </c>
      <c r="I1984" s="31" t="s">
        <v>149</v>
      </c>
      <c r="J1984" s="31" t="n">
        <v>5</v>
      </c>
      <c r="K1984" s="31" t="s">
        <v>150</v>
      </c>
      <c r="L1984" s="45" t="n">
        <f aca="false">DATE(YEAR(B1984),MONTH(B1984),1)</f>
        <v>46204</v>
      </c>
      <c r="M1984" s="31" t="n">
        <f aca="false">WEEKDAY(B1984,2)</f>
        <v>2</v>
      </c>
      <c r="N1984" s="31" t="str">
        <f aca="false">IF(G1984&lt;=INDEX(Assumptions!$B$15:$B$18,MATCH(E1984,Assumptions!$A$15:$A$18,0)),"Yes","No")</f>
        <v>No</v>
      </c>
      <c r="O1984" s="31" t="str">
        <f aca="false">IF(H1984="","Open",IF(H1984&lt;=INDEX(Assumptions!$C$15:$C$18,MATCH(E1984,Assumptions!$A$15:$A$18,0)),"Yes","No"))</f>
        <v>Yes</v>
      </c>
    </row>
    <row r="1985" customFormat="false" ht="15" hidden="false" customHeight="false" outlineLevel="0" collapsed="false">
      <c r="A1985" s="31" t="s">
        <v>2135</v>
      </c>
      <c r="B1985" s="44" t="n">
        <v>46231</v>
      </c>
      <c r="C1985" s="31" t="s">
        <v>57</v>
      </c>
      <c r="D1985" s="31" t="s">
        <v>68</v>
      </c>
      <c r="E1985" s="31" t="s">
        <v>49</v>
      </c>
      <c r="F1985" s="31" t="s">
        <v>127</v>
      </c>
      <c r="G1985" s="31" t="n">
        <v>1</v>
      </c>
      <c r="H1985" s="41" t="n">
        <v>0.9</v>
      </c>
      <c r="I1985" s="31" t="s">
        <v>149</v>
      </c>
      <c r="J1985" s="31"/>
      <c r="K1985" s="31" t="s">
        <v>150</v>
      </c>
      <c r="L1985" s="45" t="n">
        <f aca="false">DATE(YEAR(B1985),MONTH(B1985),1)</f>
        <v>46204</v>
      </c>
      <c r="M1985" s="31" t="n">
        <f aca="false">WEEKDAY(B1985,2)</f>
        <v>2</v>
      </c>
      <c r="N1985" s="31" t="str">
        <f aca="false">IF(G1985&lt;=INDEX(Assumptions!$B$15:$B$18,MATCH(E1985,Assumptions!$A$15:$A$18,0)),"Yes","No")</f>
        <v>Yes</v>
      </c>
      <c r="O1985" s="31" t="str">
        <f aca="false">IF(H1985="","Open",IF(H1985&lt;=INDEX(Assumptions!$C$15:$C$18,MATCH(E1985,Assumptions!$A$15:$A$18,0)),"Yes","No"))</f>
        <v>Yes</v>
      </c>
    </row>
    <row r="1986" customFormat="false" ht="15" hidden="false" customHeight="false" outlineLevel="0" collapsed="false">
      <c r="A1986" s="31" t="s">
        <v>2136</v>
      </c>
      <c r="B1986" s="44" t="n">
        <v>46231</v>
      </c>
      <c r="C1986" s="31" t="s">
        <v>57</v>
      </c>
      <c r="D1986" s="31" t="s">
        <v>69</v>
      </c>
      <c r="E1986" s="31" t="s">
        <v>52</v>
      </c>
      <c r="F1986" s="31" t="s">
        <v>127</v>
      </c>
      <c r="G1986" s="31" t="n">
        <v>11</v>
      </c>
      <c r="H1986" s="41" t="n">
        <v>8.7</v>
      </c>
      <c r="I1986" s="31" t="s">
        <v>149</v>
      </c>
      <c r="J1986" s="31" t="n">
        <v>5</v>
      </c>
      <c r="K1986" s="31" t="s">
        <v>150</v>
      </c>
      <c r="L1986" s="45" t="n">
        <f aca="false">DATE(YEAR(B1986),MONTH(B1986),1)</f>
        <v>46204</v>
      </c>
      <c r="M1986" s="31" t="n">
        <f aca="false">WEEKDAY(B1986,2)</f>
        <v>2</v>
      </c>
      <c r="N1986" s="31" t="str">
        <f aca="false">IF(G1986&lt;=INDEX(Assumptions!$B$15:$B$18,MATCH(E1986,Assumptions!$A$15:$A$18,0)),"Yes","No")</f>
        <v>Yes</v>
      </c>
      <c r="O1986" s="31" t="str">
        <f aca="false">IF(H1986="","Open",IF(H1986&lt;=INDEX(Assumptions!$C$15:$C$18,MATCH(E1986,Assumptions!$A$15:$A$18,0)),"Yes","No"))</f>
        <v>Yes</v>
      </c>
    </row>
    <row r="1987" customFormat="false" ht="15" hidden="false" customHeight="false" outlineLevel="0" collapsed="false">
      <c r="A1987" s="31" t="s">
        <v>2137</v>
      </c>
      <c r="B1987" s="44" t="n">
        <v>46231</v>
      </c>
      <c r="C1987" s="31" t="s">
        <v>59</v>
      </c>
      <c r="D1987" s="31" t="s">
        <v>65</v>
      </c>
      <c r="E1987" s="31" t="s">
        <v>52</v>
      </c>
      <c r="F1987" s="31" t="s">
        <v>123</v>
      </c>
      <c r="G1987" s="31" t="n">
        <v>101</v>
      </c>
      <c r="H1987" s="41" t="n">
        <v>22.5</v>
      </c>
      <c r="I1987" s="31" t="s">
        <v>149</v>
      </c>
      <c r="J1987" s="31" t="n">
        <v>3</v>
      </c>
      <c r="K1987" s="31" t="s">
        <v>150</v>
      </c>
      <c r="L1987" s="45" t="n">
        <f aca="false">DATE(YEAR(B1987),MONTH(B1987),1)</f>
        <v>46204</v>
      </c>
      <c r="M1987" s="31" t="n">
        <f aca="false">WEEKDAY(B1987,2)</f>
        <v>2</v>
      </c>
      <c r="N1987" s="31" t="str">
        <f aca="false">IF(G1987&lt;=INDEX(Assumptions!$B$15:$B$18,MATCH(E1987,Assumptions!$A$15:$A$18,0)),"Yes","No")</f>
        <v>Yes</v>
      </c>
      <c r="O1987" s="31" t="str">
        <f aca="false">IF(H1987="","Open",IF(H1987&lt;=INDEX(Assumptions!$C$15:$C$18,MATCH(E1987,Assumptions!$A$15:$A$18,0)),"Yes","No"))</f>
        <v>Yes</v>
      </c>
    </row>
    <row r="1988" customFormat="false" ht="15" hidden="false" customHeight="false" outlineLevel="0" collapsed="false">
      <c r="A1988" s="31" t="s">
        <v>2138</v>
      </c>
      <c r="B1988" s="44" t="n">
        <v>46231</v>
      </c>
      <c r="C1988" s="31" t="s">
        <v>60</v>
      </c>
      <c r="D1988" s="31" t="s">
        <v>69</v>
      </c>
      <c r="E1988" s="31" t="s">
        <v>51</v>
      </c>
      <c r="F1988" s="31" t="s">
        <v>127</v>
      </c>
      <c r="G1988" s="31" t="n">
        <v>1</v>
      </c>
      <c r="H1988" s="41" t="n">
        <v>4.5</v>
      </c>
      <c r="I1988" s="31" t="s">
        <v>149</v>
      </c>
      <c r="J1988" s="31" t="n">
        <v>5</v>
      </c>
      <c r="K1988" s="31" t="s">
        <v>150</v>
      </c>
      <c r="L1988" s="45" t="n">
        <f aca="false">DATE(YEAR(B1988),MONTH(B1988),1)</f>
        <v>46204</v>
      </c>
      <c r="M1988" s="31" t="n">
        <f aca="false">WEEKDAY(B1988,2)</f>
        <v>2</v>
      </c>
      <c r="N1988" s="31" t="str">
        <f aca="false">IF(G1988&lt;=INDEX(Assumptions!$B$15:$B$18,MATCH(E1988,Assumptions!$A$15:$A$18,0)),"Yes","No")</f>
        <v>Yes</v>
      </c>
      <c r="O1988" s="31" t="str">
        <f aca="false">IF(H1988="","Open",IF(H1988&lt;=INDEX(Assumptions!$C$15:$C$18,MATCH(E1988,Assumptions!$A$15:$A$18,0)),"Yes","No"))</f>
        <v>Yes</v>
      </c>
    </row>
    <row r="1989" customFormat="false" ht="15" hidden="false" customHeight="false" outlineLevel="0" collapsed="false">
      <c r="A1989" s="31" t="s">
        <v>2139</v>
      </c>
      <c r="B1989" s="44" t="n">
        <v>46231</v>
      </c>
      <c r="C1989" s="31" t="s">
        <v>59</v>
      </c>
      <c r="D1989" s="31" t="s">
        <v>69</v>
      </c>
      <c r="E1989" s="31" t="s">
        <v>49</v>
      </c>
      <c r="F1989" s="31" t="s">
        <v>120</v>
      </c>
      <c r="G1989" s="31" t="n">
        <v>33</v>
      </c>
      <c r="H1989" s="41" t="n">
        <v>10.7</v>
      </c>
      <c r="I1989" s="31" t="s">
        <v>149</v>
      </c>
      <c r="J1989" s="31"/>
      <c r="K1989" s="31" t="s">
        <v>150</v>
      </c>
      <c r="L1989" s="45" t="n">
        <f aca="false">DATE(YEAR(B1989),MONTH(B1989),1)</f>
        <v>46204</v>
      </c>
      <c r="M1989" s="31" t="n">
        <f aca="false">WEEKDAY(B1989,2)</f>
        <v>2</v>
      </c>
      <c r="N1989" s="31" t="str">
        <f aca="false">IF(G1989&lt;=INDEX(Assumptions!$B$15:$B$18,MATCH(E1989,Assumptions!$A$15:$A$18,0)),"Yes","No")</f>
        <v>No</v>
      </c>
      <c r="O1989" s="31" t="str">
        <f aca="false">IF(H1989="","Open",IF(H1989&lt;=INDEX(Assumptions!$C$15:$C$18,MATCH(E1989,Assumptions!$A$15:$A$18,0)),"Yes","No"))</f>
        <v>No</v>
      </c>
    </row>
    <row r="1990" customFormat="false" ht="15" hidden="false" customHeight="false" outlineLevel="0" collapsed="false">
      <c r="A1990" s="31" t="s">
        <v>2140</v>
      </c>
      <c r="B1990" s="44" t="n">
        <v>46231</v>
      </c>
      <c r="C1990" s="31" t="s">
        <v>57</v>
      </c>
      <c r="D1990" s="31" t="s">
        <v>67</v>
      </c>
      <c r="E1990" s="31" t="s">
        <v>51</v>
      </c>
      <c r="F1990" s="31" t="s">
        <v>124</v>
      </c>
      <c r="G1990" s="31" t="n">
        <v>4</v>
      </c>
      <c r="H1990" s="41" t="n">
        <v>5.4</v>
      </c>
      <c r="I1990" s="31" t="s">
        <v>149</v>
      </c>
      <c r="J1990" s="31"/>
      <c r="K1990" s="31" t="s">
        <v>150</v>
      </c>
      <c r="L1990" s="45" t="n">
        <f aca="false">DATE(YEAR(B1990),MONTH(B1990),1)</f>
        <v>46204</v>
      </c>
      <c r="M1990" s="31" t="n">
        <f aca="false">WEEKDAY(B1990,2)</f>
        <v>2</v>
      </c>
      <c r="N1990" s="31" t="str">
        <f aca="false">IF(G1990&lt;=INDEX(Assumptions!$B$15:$B$18,MATCH(E1990,Assumptions!$A$15:$A$18,0)),"Yes","No")</f>
        <v>Yes</v>
      </c>
      <c r="O1990" s="31" t="str">
        <f aca="false">IF(H1990="","Open",IF(H1990&lt;=INDEX(Assumptions!$C$15:$C$18,MATCH(E1990,Assumptions!$A$15:$A$18,0)),"Yes","No"))</f>
        <v>Yes</v>
      </c>
    </row>
    <row r="1991" customFormat="false" ht="15" hidden="false" customHeight="false" outlineLevel="0" collapsed="false">
      <c r="A1991" s="31" t="s">
        <v>2141</v>
      </c>
      <c r="B1991" s="44" t="n">
        <v>46231</v>
      </c>
      <c r="C1991" s="31" t="s">
        <v>57</v>
      </c>
      <c r="D1991" s="31" t="s">
        <v>68</v>
      </c>
      <c r="E1991" s="31" t="s">
        <v>51</v>
      </c>
      <c r="F1991" s="31" t="s">
        <v>128</v>
      </c>
      <c r="G1991" s="31" t="n">
        <v>8</v>
      </c>
      <c r="H1991" s="41" t="n">
        <v>3.7</v>
      </c>
      <c r="I1991" s="31" t="s">
        <v>149</v>
      </c>
      <c r="J1991" s="31" t="n">
        <v>3</v>
      </c>
      <c r="K1991" s="31" t="s">
        <v>150</v>
      </c>
      <c r="L1991" s="45" t="n">
        <f aca="false">DATE(YEAR(B1991),MONTH(B1991),1)</f>
        <v>46204</v>
      </c>
      <c r="M1991" s="31" t="n">
        <f aca="false">WEEKDAY(B1991,2)</f>
        <v>2</v>
      </c>
      <c r="N1991" s="31" t="str">
        <f aca="false">IF(G1991&lt;=INDEX(Assumptions!$B$15:$B$18,MATCH(E1991,Assumptions!$A$15:$A$18,0)),"Yes","No")</f>
        <v>Yes</v>
      </c>
      <c r="O1991" s="31" t="str">
        <f aca="false">IF(H1991="","Open",IF(H1991&lt;=INDEX(Assumptions!$C$15:$C$18,MATCH(E1991,Assumptions!$A$15:$A$18,0)),"Yes","No"))</f>
        <v>Yes</v>
      </c>
    </row>
    <row r="1992" customFormat="false" ht="15" hidden="false" customHeight="false" outlineLevel="0" collapsed="false">
      <c r="A1992" s="31" t="s">
        <v>2142</v>
      </c>
      <c r="B1992" s="44" t="n">
        <v>46231</v>
      </c>
      <c r="C1992" s="31" t="s">
        <v>57</v>
      </c>
      <c r="D1992" s="31" t="s">
        <v>65</v>
      </c>
      <c r="E1992" s="31" t="s">
        <v>49</v>
      </c>
      <c r="F1992" s="31" t="s">
        <v>137</v>
      </c>
      <c r="G1992" s="31" t="n">
        <v>2</v>
      </c>
      <c r="H1992" s="41" t="n">
        <v>7.7</v>
      </c>
      <c r="I1992" s="31" t="s">
        <v>149</v>
      </c>
      <c r="J1992" s="31" t="n">
        <v>4</v>
      </c>
      <c r="K1992" s="31" t="s">
        <v>150</v>
      </c>
      <c r="L1992" s="45" t="n">
        <f aca="false">DATE(YEAR(B1992),MONTH(B1992),1)</f>
        <v>46204</v>
      </c>
      <c r="M1992" s="31" t="n">
        <f aca="false">WEEKDAY(B1992,2)</f>
        <v>2</v>
      </c>
      <c r="N1992" s="31" t="str">
        <f aca="false">IF(G1992&lt;=INDEX(Assumptions!$B$15:$B$18,MATCH(E1992,Assumptions!$A$15:$A$18,0)),"Yes","No")</f>
        <v>Yes</v>
      </c>
      <c r="O1992" s="31" t="str">
        <f aca="false">IF(H1992="","Open",IF(H1992&lt;=INDEX(Assumptions!$C$15:$C$18,MATCH(E1992,Assumptions!$A$15:$A$18,0)),"Yes","No"))</f>
        <v>No</v>
      </c>
    </row>
    <row r="1993" customFormat="false" ht="15" hidden="false" customHeight="false" outlineLevel="0" collapsed="false">
      <c r="A1993" s="31" t="s">
        <v>2143</v>
      </c>
      <c r="B1993" s="44" t="n">
        <v>46231</v>
      </c>
      <c r="C1993" s="31" t="s">
        <v>58</v>
      </c>
      <c r="D1993" s="31" t="s">
        <v>66</v>
      </c>
      <c r="E1993" s="31" t="s">
        <v>51</v>
      </c>
      <c r="F1993" s="31" t="s">
        <v>134</v>
      </c>
      <c r="G1993" s="31" t="n">
        <v>11</v>
      </c>
      <c r="H1993" s="41" t="n">
        <v>4.2</v>
      </c>
      <c r="I1993" s="31" t="s">
        <v>149</v>
      </c>
      <c r="J1993" s="31" t="n">
        <v>5</v>
      </c>
      <c r="K1993" s="31" t="s">
        <v>150</v>
      </c>
      <c r="L1993" s="45" t="n">
        <f aca="false">DATE(YEAR(B1993),MONTH(B1993),1)</f>
        <v>46204</v>
      </c>
      <c r="M1993" s="31" t="n">
        <f aca="false">WEEKDAY(B1993,2)</f>
        <v>2</v>
      </c>
      <c r="N1993" s="31" t="str">
        <f aca="false">IF(G1993&lt;=INDEX(Assumptions!$B$15:$B$18,MATCH(E1993,Assumptions!$A$15:$A$18,0)),"Yes","No")</f>
        <v>Yes</v>
      </c>
      <c r="O1993" s="31" t="str">
        <f aca="false">IF(H1993="","Open",IF(H1993&lt;=INDEX(Assumptions!$C$15:$C$18,MATCH(E1993,Assumptions!$A$15:$A$18,0)),"Yes","No"))</f>
        <v>Yes</v>
      </c>
    </row>
    <row r="1994" customFormat="false" ht="15" hidden="false" customHeight="false" outlineLevel="0" collapsed="false">
      <c r="A1994" s="31" t="s">
        <v>2144</v>
      </c>
      <c r="B1994" s="44" t="n">
        <v>46231</v>
      </c>
      <c r="C1994" s="31" t="s">
        <v>60</v>
      </c>
      <c r="D1994" s="31" t="s">
        <v>65</v>
      </c>
      <c r="E1994" s="31" t="s">
        <v>51</v>
      </c>
      <c r="F1994" s="31" t="s">
        <v>122</v>
      </c>
      <c r="G1994" s="31" t="n">
        <v>2</v>
      </c>
      <c r="H1994" s="41" t="n">
        <v>3.5</v>
      </c>
      <c r="I1994" s="31" t="s">
        <v>149</v>
      </c>
      <c r="J1994" s="31" t="n">
        <v>3</v>
      </c>
      <c r="K1994" s="31" t="s">
        <v>150</v>
      </c>
      <c r="L1994" s="45" t="n">
        <f aca="false">DATE(YEAR(B1994),MONTH(B1994),1)</f>
        <v>46204</v>
      </c>
      <c r="M1994" s="31" t="n">
        <f aca="false">WEEKDAY(B1994,2)</f>
        <v>2</v>
      </c>
      <c r="N1994" s="31" t="str">
        <f aca="false">IF(G1994&lt;=INDEX(Assumptions!$B$15:$B$18,MATCH(E1994,Assumptions!$A$15:$A$18,0)),"Yes","No")</f>
        <v>Yes</v>
      </c>
      <c r="O1994" s="31" t="str">
        <f aca="false">IF(H1994="","Open",IF(H1994&lt;=INDEX(Assumptions!$C$15:$C$18,MATCH(E1994,Assumptions!$A$15:$A$18,0)),"Yes","No"))</f>
        <v>Yes</v>
      </c>
    </row>
    <row r="1995" customFormat="false" ht="15" hidden="false" customHeight="false" outlineLevel="0" collapsed="false">
      <c r="A1995" s="31" t="s">
        <v>2145</v>
      </c>
      <c r="B1995" s="44" t="n">
        <v>46231</v>
      </c>
      <c r="C1995" s="31" t="s">
        <v>58</v>
      </c>
      <c r="D1995" s="31" t="s">
        <v>67</v>
      </c>
      <c r="E1995" s="31" t="s">
        <v>52</v>
      </c>
      <c r="F1995" s="31" t="s">
        <v>122</v>
      </c>
      <c r="G1995" s="31" t="n">
        <v>16</v>
      </c>
      <c r="H1995" s="41"/>
      <c r="I1995" s="31" t="s">
        <v>158</v>
      </c>
      <c r="J1995" s="31"/>
      <c r="K1995" s="31" t="s">
        <v>150</v>
      </c>
      <c r="L1995" s="45" t="n">
        <f aca="false">DATE(YEAR(B1995),MONTH(B1995),1)</f>
        <v>46204</v>
      </c>
      <c r="M1995" s="31" t="n">
        <f aca="false">WEEKDAY(B1995,2)</f>
        <v>2</v>
      </c>
      <c r="N1995" s="31" t="str">
        <f aca="false">IF(G1995&lt;=INDEX(Assumptions!$B$15:$B$18,MATCH(E1995,Assumptions!$A$15:$A$18,0)),"Yes","No")</f>
        <v>Yes</v>
      </c>
      <c r="O1995" s="31" t="str">
        <f aca="false">IF(H1995="","Open",IF(H1995&lt;=INDEX(Assumptions!$C$15:$C$18,MATCH(E1995,Assumptions!$A$15:$A$18,0)),"Yes","No"))</f>
        <v>Open</v>
      </c>
    </row>
    <row r="1996" customFormat="false" ht="15" hidden="false" customHeight="false" outlineLevel="0" collapsed="false">
      <c r="A1996" s="31" t="s">
        <v>2146</v>
      </c>
      <c r="B1996" s="44" t="n">
        <v>46231</v>
      </c>
      <c r="C1996" s="31" t="s">
        <v>59</v>
      </c>
      <c r="D1996" s="31" t="s">
        <v>66</v>
      </c>
      <c r="E1996" s="31" t="s">
        <v>51</v>
      </c>
      <c r="F1996" s="31" t="s">
        <v>127</v>
      </c>
      <c r="G1996" s="31" t="n">
        <v>65</v>
      </c>
      <c r="H1996" s="41" t="n">
        <v>2.4</v>
      </c>
      <c r="I1996" s="31" t="s">
        <v>149</v>
      </c>
      <c r="J1996" s="31"/>
      <c r="K1996" s="31" t="s">
        <v>150</v>
      </c>
      <c r="L1996" s="45" t="n">
        <f aca="false">DATE(YEAR(B1996),MONTH(B1996),1)</f>
        <v>46204</v>
      </c>
      <c r="M1996" s="31" t="n">
        <f aca="false">WEEKDAY(B1996,2)</f>
        <v>2</v>
      </c>
      <c r="N1996" s="31" t="str">
        <f aca="false">IF(G1996&lt;=INDEX(Assumptions!$B$15:$B$18,MATCH(E1996,Assumptions!$A$15:$A$18,0)),"Yes","No")</f>
        <v>No</v>
      </c>
      <c r="O1996" s="31" t="str">
        <f aca="false">IF(H1996="","Open",IF(H1996&lt;=INDEX(Assumptions!$C$15:$C$18,MATCH(E1996,Assumptions!$A$15:$A$18,0)),"Yes","No"))</f>
        <v>Yes</v>
      </c>
    </row>
    <row r="1997" customFormat="false" ht="15" hidden="false" customHeight="false" outlineLevel="0" collapsed="false">
      <c r="A1997" s="31" t="s">
        <v>2147</v>
      </c>
      <c r="B1997" s="44" t="n">
        <v>46231</v>
      </c>
      <c r="C1997" s="31" t="s">
        <v>57</v>
      </c>
      <c r="D1997" s="31" t="s">
        <v>67</v>
      </c>
      <c r="E1997" s="31" t="s">
        <v>50</v>
      </c>
      <c r="F1997" s="31" t="s">
        <v>126</v>
      </c>
      <c r="G1997" s="31" t="n">
        <v>3</v>
      </c>
      <c r="H1997" s="41" t="n">
        <v>10.2</v>
      </c>
      <c r="I1997" s="31" t="s">
        <v>149</v>
      </c>
      <c r="J1997" s="31"/>
      <c r="K1997" s="31" t="s">
        <v>150</v>
      </c>
      <c r="L1997" s="45" t="n">
        <f aca="false">DATE(YEAR(B1997),MONTH(B1997),1)</f>
        <v>46204</v>
      </c>
      <c r="M1997" s="31" t="n">
        <f aca="false">WEEKDAY(B1997,2)</f>
        <v>2</v>
      </c>
      <c r="N1997" s="31" t="str">
        <f aca="false">IF(G1997&lt;=INDEX(Assumptions!$B$15:$B$18,MATCH(E1997,Assumptions!$A$15:$A$18,0)),"Yes","No")</f>
        <v>Yes</v>
      </c>
      <c r="O1997" s="31" t="str">
        <f aca="false">IF(H1997="","Open",IF(H1997&lt;=INDEX(Assumptions!$C$15:$C$18,MATCH(E1997,Assumptions!$A$15:$A$18,0)),"Yes","No"))</f>
        <v>No</v>
      </c>
    </row>
    <row r="1998" customFormat="false" ht="15" hidden="false" customHeight="false" outlineLevel="0" collapsed="false">
      <c r="A1998" s="31" t="s">
        <v>2148</v>
      </c>
      <c r="B1998" s="44" t="n">
        <v>46231</v>
      </c>
      <c r="C1998" s="31" t="s">
        <v>59</v>
      </c>
      <c r="D1998" s="31" t="s">
        <v>66</v>
      </c>
      <c r="E1998" s="31" t="s">
        <v>52</v>
      </c>
      <c r="F1998" s="31" t="s">
        <v>122</v>
      </c>
      <c r="G1998" s="31" t="n">
        <v>159</v>
      </c>
      <c r="H1998" s="41" t="n">
        <v>3.3</v>
      </c>
      <c r="I1998" s="31" t="s">
        <v>149</v>
      </c>
      <c r="J1998" s="31" t="n">
        <v>4</v>
      </c>
      <c r="K1998" s="31" t="s">
        <v>150</v>
      </c>
      <c r="L1998" s="45" t="n">
        <f aca="false">DATE(YEAR(B1998),MONTH(B1998),1)</f>
        <v>46204</v>
      </c>
      <c r="M1998" s="31" t="n">
        <f aca="false">WEEKDAY(B1998,2)</f>
        <v>2</v>
      </c>
      <c r="N1998" s="31" t="str">
        <f aca="false">IF(G1998&lt;=INDEX(Assumptions!$B$15:$B$18,MATCH(E1998,Assumptions!$A$15:$A$18,0)),"Yes","No")</f>
        <v>Yes</v>
      </c>
      <c r="O1998" s="31" t="str">
        <f aca="false">IF(H1998="","Open",IF(H1998&lt;=INDEX(Assumptions!$C$15:$C$18,MATCH(E1998,Assumptions!$A$15:$A$18,0)),"Yes","No"))</f>
        <v>Yes</v>
      </c>
    </row>
    <row r="1999" customFormat="false" ht="15" hidden="false" customHeight="false" outlineLevel="0" collapsed="false">
      <c r="A1999" s="31" t="s">
        <v>2149</v>
      </c>
      <c r="B1999" s="44" t="n">
        <v>46231</v>
      </c>
      <c r="C1999" s="31" t="s">
        <v>58</v>
      </c>
      <c r="D1999" s="31" t="s">
        <v>65</v>
      </c>
      <c r="E1999" s="31" t="s">
        <v>52</v>
      </c>
      <c r="F1999" s="31" t="s">
        <v>123</v>
      </c>
      <c r="G1999" s="31" t="n">
        <v>16</v>
      </c>
      <c r="H1999" s="41" t="n">
        <v>18.4</v>
      </c>
      <c r="I1999" s="31" t="s">
        <v>149</v>
      </c>
      <c r="J1999" s="31"/>
      <c r="K1999" s="31" t="s">
        <v>150</v>
      </c>
      <c r="L1999" s="45" t="n">
        <f aca="false">DATE(YEAR(B1999),MONTH(B1999),1)</f>
        <v>46204</v>
      </c>
      <c r="M1999" s="31" t="n">
        <f aca="false">WEEKDAY(B1999,2)</f>
        <v>2</v>
      </c>
      <c r="N1999" s="31" t="str">
        <f aca="false">IF(G1999&lt;=INDEX(Assumptions!$B$15:$B$18,MATCH(E1999,Assumptions!$A$15:$A$18,0)),"Yes","No")</f>
        <v>Yes</v>
      </c>
      <c r="O1999" s="31" t="str">
        <f aca="false">IF(H1999="","Open",IF(H1999&lt;=INDEX(Assumptions!$C$15:$C$18,MATCH(E1999,Assumptions!$A$15:$A$18,0)),"Yes","No"))</f>
        <v>Yes</v>
      </c>
    </row>
    <row r="2000" customFormat="false" ht="15" hidden="false" customHeight="false" outlineLevel="0" collapsed="false">
      <c r="A2000" s="31" t="s">
        <v>2150</v>
      </c>
      <c r="B2000" s="44" t="n">
        <v>46231</v>
      </c>
      <c r="C2000" s="31" t="s">
        <v>58</v>
      </c>
      <c r="D2000" s="31" t="s">
        <v>65</v>
      </c>
      <c r="E2000" s="31" t="s">
        <v>52</v>
      </c>
      <c r="F2000" s="31" t="s">
        <v>133</v>
      </c>
      <c r="G2000" s="31" t="n">
        <v>11</v>
      </c>
      <c r="H2000" s="41" t="n">
        <v>20.7</v>
      </c>
      <c r="I2000" s="31" t="s">
        <v>149</v>
      </c>
      <c r="J2000" s="31" t="n">
        <v>5</v>
      </c>
      <c r="K2000" s="31" t="s">
        <v>150</v>
      </c>
      <c r="L2000" s="45" t="n">
        <f aca="false">DATE(YEAR(B2000),MONTH(B2000),1)</f>
        <v>46204</v>
      </c>
      <c r="M2000" s="31" t="n">
        <f aca="false">WEEKDAY(B2000,2)</f>
        <v>2</v>
      </c>
      <c r="N2000" s="31" t="str">
        <f aca="false">IF(G2000&lt;=INDEX(Assumptions!$B$15:$B$18,MATCH(E2000,Assumptions!$A$15:$A$18,0)),"Yes","No")</f>
        <v>Yes</v>
      </c>
      <c r="O2000" s="31" t="str">
        <f aca="false">IF(H2000="","Open",IF(H2000&lt;=INDEX(Assumptions!$C$15:$C$18,MATCH(E2000,Assumptions!$A$15:$A$18,0)),"Yes","No"))</f>
        <v>Yes</v>
      </c>
    </row>
    <row r="2001" customFormat="false" ht="15" hidden="false" customHeight="false" outlineLevel="0" collapsed="false">
      <c r="A2001" s="31" t="s">
        <v>2151</v>
      </c>
      <c r="B2001" s="44" t="n">
        <v>46231</v>
      </c>
      <c r="C2001" s="31" t="s">
        <v>58</v>
      </c>
      <c r="D2001" s="31" t="s">
        <v>67</v>
      </c>
      <c r="E2001" s="31" t="s">
        <v>51</v>
      </c>
      <c r="F2001" s="31" t="s">
        <v>134</v>
      </c>
      <c r="G2001" s="31" t="n">
        <v>15</v>
      </c>
      <c r="H2001" s="41" t="n">
        <v>11.5</v>
      </c>
      <c r="I2001" s="31" t="s">
        <v>149</v>
      </c>
      <c r="J2001" s="31"/>
      <c r="K2001" s="31" t="s">
        <v>150</v>
      </c>
      <c r="L2001" s="45" t="n">
        <f aca="false">DATE(YEAR(B2001),MONTH(B2001),1)</f>
        <v>46204</v>
      </c>
      <c r="M2001" s="31" t="n">
        <f aca="false">WEEKDAY(B2001,2)</f>
        <v>2</v>
      </c>
      <c r="N2001" s="31" t="str">
        <f aca="false">IF(G2001&lt;=INDEX(Assumptions!$B$15:$B$18,MATCH(E2001,Assumptions!$A$15:$A$18,0)),"Yes","No")</f>
        <v>Yes</v>
      </c>
      <c r="O2001" s="31" t="str">
        <f aca="false">IF(H2001="","Open",IF(H2001&lt;=INDEX(Assumptions!$C$15:$C$18,MATCH(E2001,Assumptions!$A$15:$A$18,0)),"Yes","No"))</f>
        <v>Yes</v>
      </c>
    </row>
    <row r="2002" customFormat="false" ht="15" hidden="false" customHeight="false" outlineLevel="0" collapsed="false">
      <c r="A2002" s="31" t="s">
        <v>2152</v>
      </c>
      <c r="B2002" s="44" t="n">
        <v>46231</v>
      </c>
      <c r="C2002" s="31" t="s">
        <v>59</v>
      </c>
      <c r="D2002" s="31" t="s">
        <v>66</v>
      </c>
      <c r="E2002" s="31" t="s">
        <v>51</v>
      </c>
      <c r="F2002" s="31" t="s">
        <v>123</v>
      </c>
      <c r="G2002" s="31" t="n">
        <v>44</v>
      </c>
      <c r="H2002" s="41" t="n">
        <v>3.4</v>
      </c>
      <c r="I2002" s="31" t="s">
        <v>149</v>
      </c>
      <c r="J2002" s="31" t="n">
        <v>4</v>
      </c>
      <c r="K2002" s="31" t="s">
        <v>150</v>
      </c>
      <c r="L2002" s="45" t="n">
        <f aca="false">DATE(YEAR(B2002),MONTH(B2002),1)</f>
        <v>46204</v>
      </c>
      <c r="M2002" s="31" t="n">
        <f aca="false">WEEKDAY(B2002,2)</f>
        <v>2</v>
      </c>
      <c r="N2002" s="31" t="str">
        <f aca="false">IF(G2002&lt;=INDEX(Assumptions!$B$15:$B$18,MATCH(E2002,Assumptions!$A$15:$A$18,0)),"Yes","No")</f>
        <v>Yes</v>
      </c>
      <c r="O2002" s="31" t="str">
        <f aca="false">IF(H2002="","Open",IF(H2002&lt;=INDEX(Assumptions!$C$15:$C$18,MATCH(E2002,Assumptions!$A$15:$A$18,0)),"Yes","No"))</f>
        <v>Yes</v>
      </c>
    </row>
    <row r="2003" customFormat="false" ht="15" hidden="false" customHeight="false" outlineLevel="0" collapsed="false">
      <c r="A2003" s="31" t="s">
        <v>2153</v>
      </c>
      <c r="B2003" s="44" t="n">
        <v>46231</v>
      </c>
      <c r="C2003" s="31" t="s">
        <v>60</v>
      </c>
      <c r="D2003" s="31" t="s">
        <v>67</v>
      </c>
      <c r="E2003" s="31" t="s">
        <v>51</v>
      </c>
      <c r="F2003" s="31" t="s">
        <v>133</v>
      </c>
      <c r="G2003" s="31" t="n">
        <v>1</v>
      </c>
      <c r="H2003" s="41" t="n">
        <v>4.7</v>
      </c>
      <c r="I2003" s="31" t="s">
        <v>149</v>
      </c>
      <c r="J2003" s="31"/>
      <c r="K2003" s="31" t="s">
        <v>150</v>
      </c>
      <c r="L2003" s="45" t="n">
        <f aca="false">DATE(YEAR(B2003),MONTH(B2003),1)</f>
        <v>46204</v>
      </c>
      <c r="M2003" s="31" t="n">
        <f aca="false">WEEKDAY(B2003,2)</f>
        <v>2</v>
      </c>
      <c r="N2003" s="31" t="str">
        <f aca="false">IF(G2003&lt;=INDEX(Assumptions!$B$15:$B$18,MATCH(E2003,Assumptions!$A$15:$A$18,0)),"Yes","No")</f>
        <v>Yes</v>
      </c>
      <c r="O2003" s="31" t="str">
        <f aca="false">IF(H2003="","Open",IF(H2003&lt;=INDEX(Assumptions!$C$15:$C$18,MATCH(E2003,Assumptions!$A$15:$A$18,0)),"Yes","No"))</f>
        <v>Yes</v>
      </c>
    </row>
    <row r="2004" customFormat="false" ht="15" hidden="false" customHeight="false" outlineLevel="0" collapsed="false">
      <c r="A2004" s="31" t="s">
        <v>2154</v>
      </c>
      <c r="B2004" s="44" t="n">
        <v>46231</v>
      </c>
      <c r="C2004" s="31" t="s">
        <v>58</v>
      </c>
      <c r="D2004" s="31" t="s">
        <v>67</v>
      </c>
      <c r="E2004" s="31" t="s">
        <v>50</v>
      </c>
      <c r="F2004" s="31" t="s">
        <v>133</v>
      </c>
      <c r="G2004" s="31" t="n">
        <v>8</v>
      </c>
      <c r="H2004" s="41" t="n">
        <v>2.2</v>
      </c>
      <c r="I2004" s="31" t="s">
        <v>149</v>
      </c>
      <c r="J2004" s="31"/>
      <c r="K2004" s="31" t="s">
        <v>150</v>
      </c>
      <c r="L2004" s="45" t="n">
        <f aca="false">DATE(YEAR(B2004),MONTH(B2004),1)</f>
        <v>46204</v>
      </c>
      <c r="M2004" s="31" t="n">
        <f aca="false">WEEKDAY(B2004,2)</f>
        <v>2</v>
      </c>
      <c r="N2004" s="31" t="str">
        <f aca="false">IF(G2004&lt;=INDEX(Assumptions!$B$15:$B$18,MATCH(E2004,Assumptions!$A$15:$A$18,0)),"Yes","No")</f>
        <v>Yes</v>
      </c>
      <c r="O2004" s="31" t="str">
        <f aca="false">IF(H2004="","Open",IF(H2004&lt;=INDEX(Assumptions!$C$15:$C$18,MATCH(E2004,Assumptions!$A$15:$A$18,0)),"Yes","No"))</f>
        <v>Yes</v>
      </c>
    </row>
    <row r="2005" customFormat="false" ht="15" hidden="false" customHeight="false" outlineLevel="0" collapsed="false">
      <c r="A2005" s="31" t="s">
        <v>2155</v>
      </c>
      <c r="B2005" s="44" t="n">
        <v>46231</v>
      </c>
      <c r="C2005" s="31" t="s">
        <v>58</v>
      </c>
      <c r="D2005" s="31" t="s">
        <v>68</v>
      </c>
      <c r="E2005" s="31" t="s">
        <v>50</v>
      </c>
      <c r="F2005" s="31" t="s">
        <v>127</v>
      </c>
      <c r="G2005" s="31" t="n">
        <v>5</v>
      </c>
      <c r="H2005" s="41" t="n">
        <v>1.9</v>
      </c>
      <c r="I2005" s="31" t="s">
        <v>149</v>
      </c>
      <c r="J2005" s="31"/>
      <c r="K2005" s="31" t="s">
        <v>150</v>
      </c>
      <c r="L2005" s="45" t="n">
        <f aca="false">DATE(YEAR(B2005),MONTH(B2005),1)</f>
        <v>46204</v>
      </c>
      <c r="M2005" s="31" t="n">
        <f aca="false">WEEKDAY(B2005,2)</f>
        <v>2</v>
      </c>
      <c r="N2005" s="31" t="str">
        <f aca="false">IF(G2005&lt;=INDEX(Assumptions!$B$15:$B$18,MATCH(E2005,Assumptions!$A$15:$A$18,0)),"Yes","No")</f>
        <v>Yes</v>
      </c>
      <c r="O2005" s="31" t="str">
        <f aca="false">IF(H2005="","Open",IF(H2005&lt;=INDEX(Assumptions!$C$15:$C$18,MATCH(E2005,Assumptions!$A$15:$A$18,0)),"Yes","No"))</f>
        <v>Yes</v>
      </c>
    </row>
    <row r="2006" customFormat="false" ht="15" hidden="false" customHeight="false" outlineLevel="0" collapsed="false">
      <c r="A2006" s="31" t="s">
        <v>2156</v>
      </c>
      <c r="B2006" s="44" t="n">
        <v>46231</v>
      </c>
      <c r="C2006" s="31" t="s">
        <v>59</v>
      </c>
      <c r="D2006" s="31" t="s">
        <v>67</v>
      </c>
      <c r="E2006" s="31" t="s">
        <v>51</v>
      </c>
      <c r="F2006" s="31" t="s">
        <v>124</v>
      </c>
      <c r="G2006" s="31" t="n">
        <v>42</v>
      </c>
      <c r="H2006" s="41" t="n">
        <v>15.9</v>
      </c>
      <c r="I2006" s="31" t="s">
        <v>149</v>
      </c>
      <c r="J2006" s="31"/>
      <c r="K2006" s="31" t="s">
        <v>150</v>
      </c>
      <c r="L2006" s="45" t="n">
        <f aca="false">DATE(YEAR(B2006),MONTH(B2006),1)</f>
        <v>46204</v>
      </c>
      <c r="M2006" s="31" t="n">
        <f aca="false">WEEKDAY(B2006,2)</f>
        <v>2</v>
      </c>
      <c r="N2006" s="31" t="str">
        <f aca="false">IF(G2006&lt;=INDEX(Assumptions!$B$15:$B$18,MATCH(E2006,Assumptions!$A$15:$A$18,0)),"Yes","No")</f>
        <v>Yes</v>
      </c>
      <c r="O2006" s="31" t="str">
        <f aca="false">IF(H2006="","Open",IF(H2006&lt;=INDEX(Assumptions!$C$15:$C$18,MATCH(E2006,Assumptions!$A$15:$A$18,0)),"Yes","No"))</f>
        <v>Yes</v>
      </c>
    </row>
    <row r="2007" customFormat="false" ht="15" hidden="false" customHeight="false" outlineLevel="0" collapsed="false">
      <c r="A2007" s="31" t="s">
        <v>2157</v>
      </c>
      <c r="B2007" s="44" t="n">
        <v>46231</v>
      </c>
      <c r="C2007" s="31" t="s">
        <v>57</v>
      </c>
      <c r="D2007" s="31" t="s">
        <v>65</v>
      </c>
      <c r="E2007" s="31" t="s">
        <v>51</v>
      </c>
      <c r="F2007" s="31" t="s">
        <v>137</v>
      </c>
      <c r="G2007" s="31" t="n">
        <v>5</v>
      </c>
      <c r="H2007" s="41" t="n">
        <v>9.1</v>
      </c>
      <c r="I2007" s="31" t="s">
        <v>149</v>
      </c>
      <c r="J2007" s="31"/>
      <c r="K2007" s="31" t="s">
        <v>150</v>
      </c>
      <c r="L2007" s="45" t="n">
        <f aca="false">DATE(YEAR(B2007),MONTH(B2007),1)</f>
        <v>46204</v>
      </c>
      <c r="M2007" s="31" t="n">
        <f aca="false">WEEKDAY(B2007,2)</f>
        <v>2</v>
      </c>
      <c r="N2007" s="31" t="str">
        <f aca="false">IF(G2007&lt;=INDEX(Assumptions!$B$15:$B$18,MATCH(E2007,Assumptions!$A$15:$A$18,0)),"Yes","No")</f>
        <v>Yes</v>
      </c>
      <c r="O2007" s="31" t="str">
        <f aca="false">IF(H2007="","Open",IF(H2007&lt;=INDEX(Assumptions!$C$15:$C$18,MATCH(E2007,Assumptions!$A$15:$A$18,0)),"Yes","No"))</f>
        <v>Yes</v>
      </c>
    </row>
    <row r="2008" customFormat="false" ht="15" hidden="false" customHeight="false" outlineLevel="0" collapsed="false">
      <c r="A2008" s="31" t="s">
        <v>2158</v>
      </c>
      <c r="B2008" s="44" t="n">
        <v>46231</v>
      </c>
      <c r="C2008" s="31" t="s">
        <v>59</v>
      </c>
      <c r="D2008" s="31" t="s">
        <v>65</v>
      </c>
      <c r="E2008" s="31" t="s">
        <v>51</v>
      </c>
      <c r="F2008" s="31" t="s">
        <v>134</v>
      </c>
      <c r="G2008" s="31" t="n">
        <v>69</v>
      </c>
      <c r="H2008" s="41" t="n">
        <v>46.3</v>
      </c>
      <c r="I2008" s="31" t="s">
        <v>149</v>
      </c>
      <c r="J2008" s="31" t="n">
        <v>3</v>
      </c>
      <c r="K2008" s="31" t="s">
        <v>150</v>
      </c>
      <c r="L2008" s="45" t="n">
        <f aca="false">DATE(YEAR(B2008),MONTH(B2008),1)</f>
        <v>46204</v>
      </c>
      <c r="M2008" s="31" t="n">
        <f aca="false">WEEKDAY(B2008,2)</f>
        <v>2</v>
      </c>
      <c r="N2008" s="31" t="str">
        <f aca="false">IF(G2008&lt;=INDEX(Assumptions!$B$15:$B$18,MATCH(E2008,Assumptions!$A$15:$A$18,0)),"Yes","No")</f>
        <v>No</v>
      </c>
      <c r="O2008" s="31" t="str">
        <f aca="false">IF(H2008="","Open",IF(H2008&lt;=INDEX(Assumptions!$C$15:$C$18,MATCH(E2008,Assumptions!$A$15:$A$18,0)),"Yes","No"))</f>
        <v>No</v>
      </c>
    </row>
    <row r="2009" customFormat="false" ht="15" hidden="false" customHeight="false" outlineLevel="0" collapsed="false">
      <c r="A2009" s="31" t="s">
        <v>2159</v>
      </c>
      <c r="B2009" s="44" t="n">
        <v>46231</v>
      </c>
      <c r="C2009" s="31" t="s">
        <v>57</v>
      </c>
      <c r="D2009" s="31" t="s">
        <v>65</v>
      </c>
      <c r="E2009" s="31" t="s">
        <v>52</v>
      </c>
      <c r="F2009" s="31" t="s">
        <v>128</v>
      </c>
      <c r="G2009" s="31" t="n">
        <v>6</v>
      </c>
      <c r="H2009" s="41" t="n">
        <v>154.5</v>
      </c>
      <c r="I2009" s="31" t="s">
        <v>149</v>
      </c>
      <c r="J2009" s="31" t="n">
        <v>4</v>
      </c>
      <c r="K2009" s="31" t="s">
        <v>150</v>
      </c>
      <c r="L2009" s="45" t="n">
        <f aca="false">DATE(YEAR(B2009),MONTH(B2009),1)</f>
        <v>46204</v>
      </c>
      <c r="M2009" s="31" t="n">
        <f aca="false">WEEKDAY(B2009,2)</f>
        <v>2</v>
      </c>
      <c r="N2009" s="31" t="str">
        <f aca="false">IF(G2009&lt;=INDEX(Assumptions!$B$15:$B$18,MATCH(E2009,Assumptions!$A$15:$A$18,0)),"Yes","No")</f>
        <v>Yes</v>
      </c>
      <c r="O2009" s="31" t="str">
        <f aca="false">IF(H2009="","Open",IF(H2009&lt;=INDEX(Assumptions!$C$15:$C$18,MATCH(E2009,Assumptions!$A$15:$A$18,0)),"Yes","No"))</f>
        <v>No</v>
      </c>
    </row>
    <row r="2010" customFormat="false" ht="15" hidden="false" customHeight="false" outlineLevel="0" collapsed="false">
      <c r="A2010" s="31" t="s">
        <v>2160</v>
      </c>
      <c r="B2010" s="44" t="n">
        <v>46231</v>
      </c>
      <c r="C2010" s="31" t="s">
        <v>57</v>
      </c>
      <c r="D2010" s="31" t="s">
        <v>65</v>
      </c>
      <c r="E2010" s="31" t="s">
        <v>52</v>
      </c>
      <c r="F2010" s="31" t="s">
        <v>117</v>
      </c>
      <c r="G2010" s="31" t="n">
        <v>2</v>
      </c>
      <c r="H2010" s="41" t="n">
        <v>31.2</v>
      </c>
      <c r="I2010" s="31" t="s">
        <v>64</v>
      </c>
      <c r="J2010" s="31" t="n">
        <v>3</v>
      </c>
      <c r="K2010" s="31" t="s">
        <v>150</v>
      </c>
      <c r="L2010" s="45" t="n">
        <f aca="false">DATE(YEAR(B2010),MONTH(B2010),1)</f>
        <v>46204</v>
      </c>
      <c r="M2010" s="31" t="n">
        <f aca="false">WEEKDAY(B2010,2)</f>
        <v>2</v>
      </c>
      <c r="N2010" s="31" t="str">
        <f aca="false">IF(G2010&lt;=INDEX(Assumptions!$B$15:$B$18,MATCH(E2010,Assumptions!$A$15:$A$18,0)),"Yes","No")</f>
        <v>Yes</v>
      </c>
      <c r="O2010" s="31" t="str">
        <f aca="false">IF(H2010="","Open",IF(H2010&lt;=INDEX(Assumptions!$C$15:$C$18,MATCH(E2010,Assumptions!$A$15:$A$18,0)),"Yes","No"))</f>
        <v>Yes</v>
      </c>
    </row>
    <row r="2011" customFormat="false" ht="15" hidden="false" customHeight="false" outlineLevel="0" collapsed="false">
      <c r="A2011" s="31" t="s">
        <v>2161</v>
      </c>
      <c r="B2011" s="44" t="n">
        <v>46231</v>
      </c>
      <c r="C2011" s="31" t="s">
        <v>58</v>
      </c>
      <c r="D2011" s="31" t="s">
        <v>67</v>
      </c>
      <c r="E2011" s="31" t="s">
        <v>52</v>
      </c>
      <c r="F2011" s="31" t="s">
        <v>120</v>
      </c>
      <c r="G2011" s="31" t="n">
        <v>52</v>
      </c>
      <c r="H2011" s="41" t="n">
        <v>33.6</v>
      </c>
      <c r="I2011" s="31" t="s">
        <v>149</v>
      </c>
      <c r="J2011" s="31"/>
      <c r="K2011" s="31" t="s">
        <v>150</v>
      </c>
      <c r="L2011" s="45" t="n">
        <f aca="false">DATE(YEAR(B2011),MONTH(B2011),1)</f>
        <v>46204</v>
      </c>
      <c r="M2011" s="31" t="n">
        <f aca="false">WEEKDAY(B2011,2)</f>
        <v>2</v>
      </c>
      <c r="N2011" s="31" t="str">
        <f aca="false">IF(G2011&lt;=INDEX(Assumptions!$B$15:$B$18,MATCH(E2011,Assumptions!$A$15:$A$18,0)),"Yes","No")</f>
        <v>Yes</v>
      </c>
      <c r="O2011" s="31" t="str">
        <f aca="false">IF(H2011="","Open",IF(H2011&lt;=INDEX(Assumptions!$C$15:$C$18,MATCH(E2011,Assumptions!$A$15:$A$18,0)),"Yes","No"))</f>
        <v>Yes</v>
      </c>
    </row>
    <row r="2012" customFormat="false" ht="15" hidden="false" customHeight="false" outlineLevel="0" collapsed="false">
      <c r="A2012" s="31" t="s">
        <v>2162</v>
      </c>
      <c r="B2012" s="44" t="n">
        <v>46231</v>
      </c>
      <c r="C2012" s="31" t="s">
        <v>58</v>
      </c>
      <c r="D2012" s="31" t="s">
        <v>68</v>
      </c>
      <c r="E2012" s="31" t="s">
        <v>49</v>
      </c>
      <c r="F2012" s="31" t="s">
        <v>129</v>
      </c>
      <c r="G2012" s="31" t="n">
        <v>4</v>
      </c>
      <c r="H2012" s="41" t="n">
        <v>0.6</v>
      </c>
      <c r="I2012" s="31" t="s">
        <v>149</v>
      </c>
      <c r="J2012" s="31"/>
      <c r="K2012" s="31" t="s">
        <v>150</v>
      </c>
      <c r="L2012" s="45" t="n">
        <f aca="false">DATE(YEAR(B2012),MONTH(B2012),1)</f>
        <v>46204</v>
      </c>
      <c r="M2012" s="31" t="n">
        <f aca="false">WEEKDAY(B2012,2)</f>
        <v>2</v>
      </c>
      <c r="N2012" s="31" t="str">
        <f aca="false">IF(G2012&lt;=INDEX(Assumptions!$B$15:$B$18,MATCH(E2012,Assumptions!$A$15:$A$18,0)),"Yes","No")</f>
        <v>Yes</v>
      </c>
      <c r="O2012" s="31" t="str">
        <f aca="false">IF(H2012="","Open",IF(H2012&lt;=INDEX(Assumptions!$C$15:$C$18,MATCH(E2012,Assumptions!$A$15:$A$18,0)),"Yes","No"))</f>
        <v>Yes</v>
      </c>
    </row>
    <row r="2013" customFormat="false" ht="15" hidden="false" customHeight="false" outlineLevel="0" collapsed="false">
      <c r="A2013" s="31" t="s">
        <v>2163</v>
      </c>
      <c r="B2013" s="44" t="n">
        <v>46231</v>
      </c>
      <c r="C2013" s="31" t="s">
        <v>58</v>
      </c>
      <c r="D2013" s="31" t="s">
        <v>67</v>
      </c>
      <c r="E2013" s="31" t="s">
        <v>50</v>
      </c>
      <c r="F2013" s="31" t="s">
        <v>133</v>
      </c>
      <c r="G2013" s="31" t="n">
        <v>6</v>
      </c>
      <c r="H2013" s="41" t="n">
        <v>10.3</v>
      </c>
      <c r="I2013" s="31" t="s">
        <v>149</v>
      </c>
      <c r="J2013" s="31"/>
      <c r="K2013" s="31" t="s">
        <v>150</v>
      </c>
      <c r="L2013" s="45" t="n">
        <f aca="false">DATE(YEAR(B2013),MONTH(B2013),1)</f>
        <v>46204</v>
      </c>
      <c r="M2013" s="31" t="n">
        <f aca="false">WEEKDAY(B2013,2)</f>
        <v>2</v>
      </c>
      <c r="N2013" s="31" t="str">
        <f aca="false">IF(G2013&lt;=INDEX(Assumptions!$B$15:$B$18,MATCH(E2013,Assumptions!$A$15:$A$18,0)),"Yes","No")</f>
        <v>Yes</v>
      </c>
      <c r="O2013" s="31" t="str">
        <f aca="false">IF(H2013="","Open",IF(H2013&lt;=INDEX(Assumptions!$C$15:$C$18,MATCH(E2013,Assumptions!$A$15:$A$18,0)),"Yes","No"))</f>
        <v>No</v>
      </c>
    </row>
    <row r="2014" customFormat="false" ht="15" hidden="false" customHeight="false" outlineLevel="0" collapsed="false">
      <c r="A2014" s="31" t="s">
        <v>2164</v>
      </c>
      <c r="B2014" s="44" t="n">
        <v>46231</v>
      </c>
      <c r="C2014" s="31" t="s">
        <v>57</v>
      </c>
      <c r="D2014" s="31" t="s">
        <v>66</v>
      </c>
      <c r="E2014" s="31" t="s">
        <v>51</v>
      </c>
      <c r="F2014" s="31" t="s">
        <v>129</v>
      </c>
      <c r="G2014" s="31" t="n">
        <v>3</v>
      </c>
      <c r="H2014" s="41" t="n">
        <v>10.9</v>
      </c>
      <c r="I2014" s="31" t="s">
        <v>149</v>
      </c>
      <c r="J2014" s="31" t="n">
        <v>5</v>
      </c>
      <c r="K2014" s="31" t="s">
        <v>150</v>
      </c>
      <c r="L2014" s="45" t="n">
        <f aca="false">DATE(YEAR(B2014),MONTH(B2014),1)</f>
        <v>46204</v>
      </c>
      <c r="M2014" s="31" t="n">
        <f aca="false">WEEKDAY(B2014,2)</f>
        <v>2</v>
      </c>
      <c r="N2014" s="31" t="str">
        <f aca="false">IF(G2014&lt;=INDEX(Assumptions!$B$15:$B$18,MATCH(E2014,Assumptions!$A$15:$A$18,0)),"Yes","No")</f>
        <v>Yes</v>
      </c>
      <c r="O2014" s="31" t="str">
        <f aca="false">IF(H2014="","Open",IF(H2014&lt;=INDEX(Assumptions!$C$15:$C$18,MATCH(E2014,Assumptions!$A$15:$A$18,0)),"Yes","No"))</f>
        <v>Yes</v>
      </c>
    </row>
    <row r="2015" customFormat="false" ht="15" hidden="false" customHeight="false" outlineLevel="0" collapsed="false">
      <c r="A2015" s="31" t="s">
        <v>2165</v>
      </c>
      <c r="B2015" s="44" t="n">
        <v>46231</v>
      </c>
      <c r="C2015" s="31" t="s">
        <v>57</v>
      </c>
      <c r="D2015" s="31" t="s">
        <v>65</v>
      </c>
      <c r="E2015" s="31" t="s">
        <v>51</v>
      </c>
      <c r="F2015" s="31" t="s">
        <v>122</v>
      </c>
      <c r="G2015" s="31" t="n">
        <v>6</v>
      </c>
      <c r="H2015" s="41" t="n">
        <v>9.6</v>
      </c>
      <c r="I2015" s="31" t="s">
        <v>149</v>
      </c>
      <c r="J2015" s="31"/>
      <c r="K2015" s="31" t="s">
        <v>150</v>
      </c>
      <c r="L2015" s="45" t="n">
        <f aca="false">DATE(YEAR(B2015),MONTH(B2015),1)</f>
        <v>46204</v>
      </c>
      <c r="M2015" s="31" t="n">
        <f aca="false">WEEKDAY(B2015,2)</f>
        <v>2</v>
      </c>
      <c r="N2015" s="31" t="str">
        <f aca="false">IF(G2015&lt;=INDEX(Assumptions!$B$15:$B$18,MATCH(E2015,Assumptions!$A$15:$A$18,0)),"Yes","No")</f>
        <v>Yes</v>
      </c>
      <c r="O2015" s="31" t="str">
        <f aca="false">IF(H2015="","Open",IF(H2015&lt;=INDEX(Assumptions!$C$15:$C$18,MATCH(E2015,Assumptions!$A$15:$A$18,0)),"Yes","No"))</f>
        <v>Yes</v>
      </c>
    </row>
    <row r="2016" customFormat="false" ht="15" hidden="false" customHeight="false" outlineLevel="0" collapsed="false">
      <c r="A2016" s="31" t="s">
        <v>2166</v>
      </c>
      <c r="B2016" s="44" t="n">
        <v>46231</v>
      </c>
      <c r="C2016" s="31" t="s">
        <v>60</v>
      </c>
      <c r="D2016" s="31" t="s">
        <v>65</v>
      </c>
      <c r="E2016" s="31" t="s">
        <v>52</v>
      </c>
      <c r="F2016" s="31" t="s">
        <v>127</v>
      </c>
      <c r="G2016" s="31" t="n">
        <v>9</v>
      </c>
      <c r="H2016" s="41" t="n">
        <v>13</v>
      </c>
      <c r="I2016" s="31" t="s">
        <v>149</v>
      </c>
      <c r="J2016" s="31" t="n">
        <v>4</v>
      </c>
      <c r="K2016" s="31" t="s">
        <v>153</v>
      </c>
      <c r="L2016" s="45" t="n">
        <f aca="false">DATE(YEAR(B2016),MONTH(B2016),1)</f>
        <v>46204</v>
      </c>
      <c r="M2016" s="31" t="n">
        <f aca="false">WEEKDAY(B2016,2)</f>
        <v>2</v>
      </c>
      <c r="N2016" s="31" t="str">
        <f aca="false">IF(G2016&lt;=INDEX(Assumptions!$B$15:$B$18,MATCH(E2016,Assumptions!$A$15:$A$18,0)),"Yes","No")</f>
        <v>Yes</v>
      </c>
      <c r="O2016" s="31" t="str">
        <f aca="false">IF(H2016="","Open",IF(H2016&lt;=INDEX(Assumptions!$C$15:$C$18,MATCH(E2016,Assumptions!$A$15:$A$18,0)),"Yes","No"))</f>
        <v>Yes</v>
      </c>
    </row>
    <row r="2017" customFormat="false" ht="15" hidden="false" customHeight="false" outlineLevel="0" collapsed="false">
      <c r="A2017" s="31" t="s">
        <v>2167</v>
      </c>
      <c r="B2017" s="44" t="n">
        <v>46231</v>
      </c>
      <c r="C2017" s="31" t="s">
        <v>59</v>
      </c>
      <c r="D2017" s="31" t="s">
        <v>66</v>
      </c>
      <c r="E2017" s="31" t="s">
        <v>52</v>
      </c>
      <c r="F2017" s="31" t="s">
        <v>119</v>
      </c>
      <c r="G2017" s="31" t="n">
        <v>319</v>
      </c>
      <c r="H2017" s="41" t="n">
        <v>16.9</v>
      </c>
      <c r="I2017" s="31" t="s">
        <v>149</v>
      </c>
      <c r="J2017" s="31"/>
      <c r="K2017" s="31" t="s">
        <v>150</v>
      </c>
      <c r="L2017" s="45" t="n">
        <f aca="false">DATE(YEAR(B2017),MONTH(B2017),1)</f>
        <v>46204</v>
      </c>
      <c r="M2017" s="31" t="n">
        <f aca="false">WEEKDAY(B2017,2)</f>
        <v>2</v>
      </c>
      <c r="N2017" s="31" t="str">
        <f aca="false">IF(G2017&lt;=INDEX(Assumptions!$B$15:$B$18,MATCH(E2017,Assumptions!$A$15:$A$18,0)),"Yes","No")</f>
        <v>No</v>
      </c>
      <c r="O2017" s="31" t="str">
        <f aca="false">IF(H2017="","Open",IF(H2017&lt;=INDEX(Assumptions!$C$15:$C$18,MATCH(E2017,Assumptions!$A$15:$A$18,0)),"Yes","No"))</f>
        <v>Yes</v>
      </c>
    </row>
    <row r="2018" customFormat="false" ht="15" hidden="false" customHeight="false" outlineLevel="0" collapsed="false">
      <c r="A2018" s="31" t="s">
        <v>2168</v>
      </c>
      <c r="B2018" s="44" t="n">
        <v>46231</v>
      </c>
      <c r="C2018" s="31" t="s">
        <v>58</v>
      </c>
      <c r="D2018" s="31" t="s">
        <v>65</v>
      </c>
      <c r="E2018" s="31" t="s">
        <v>51</v>
      </c>
      <c r="F2018" s="31" t="s">
        <v>137</v>
      </c>
      <c r="G2018" s="31" t="n">
        <v>9</v>
      </c>
      <c r="H2018" s="41" t="n">
        <v>62.6</v>
      </c>
      <c r="I2018" s="31" t="s">
        <v>149</v>
      </c>
      <c r="J2018" s="31" t="n">
        <v>3</v>
      </c>
      <c r="K2018" s="31" t="s">
        <v>150</v>
      </c>
      <c r="L2018" s="45" t="n">
        <f aca="false">DATE(YEAR(B2018),MONTH(B2018),1)</f>
        <v>46204</v>
      </c>
      <c r="M2018" s="31" t="n">
        <f aca="false">WEEKDAY(B2018,2)</f>
        <v>2</v>
      </c>
      <c r="N2018" s="31" t="str">
        <f aca="false">IF(G2018&lt;=INDEX(Assumptions!$B$15:$B$18,MATCH(E2018,Assumptions!$A$15:$A$18,0)),"Yes","No")</f>
        <v>Yes</v>
      </c>
      <c r="O2018" s="31" t="str">
        <f aca="false">IF(H2018="","Open",IF(H2018&lt;=INDEX(Assumptions!$C$15:$C$18,MATCH(E2018,Assumptions!$A$15:$A$18,0)),"Yes","No"))</f>
        <v>No</v>
      </c>
    </row>
    <row r="2019" customFormat="false" ht="15" hidden="false" customHeight="false" outlineLevel="0" collapsed="false">
      <c r="A2019" s="31" t="s">
        <v>2169</v>
      </c>
      <c r="B2019" s="44" t="n">
        <v>46231</v>
      </c>
      <c r="C2019" s="31" t="s">
        <v>60</v>
      </c>
      <c r="D2019" s="31" t="s">
        <v>65</v>
      </c>
      <c r="E2019" s="31" t="s">
        <v>51</v>
      </c>
      <c r="F2019" s="31" t="s">
        <v>131</v>
      </c>
      <c r="G2019" s="31" t="n">
        <v>1</v>
      </c>
      <c r="H2019" s="41" t="n">
        <v>10.6</v>
      </c>
      <c r="I2019" s="31" t="s">
        <v>149</v>
      </c>
      <c r="J2019" s="31" t="n">
        <v>4</v>
      </c>
      <c r="K2019" s="31" t="s">
        <v>150</v>
      </c>
      <c r="L2019" s="45" t="n">
        <f aca="false">DATE(YEAR(B2019),MONTH(B2019),1)</f>
        <v>46204</v>
      </c>
      <c r="M2019" s="31" t="n">
        <f aca="false">WEEKDAY(B2019,2)</f>
        <v>2</v>
      </c>
      <c r="N2019" s="31" t="str">
        <f aca="false">IF(G2019&lt;=INDEX(Assumptions!$B$15:$B$18,MATCH(E2019,Assumptions!$A$15:$A$18,0)),"Yes","No")</f>
        <v>Yes</v>
      </c>
      <c r="O2019" s="31" t="str">
        <f aca="false">IF(H2019="","Open",IF(H2019&lt;=INDEX(Assumptions!$C$15:$C$18,MATCH(E2019,Assumptions!$A$15:$A$18,0)),"Yes","No"))</f>
        <v>Yes</v>
      </c>
    </row>
    <row r="2020" customFormat="false" ht="15" hidden="false" customHeight="false" outlineLevel="0" collapsed="false">
      <c r="A2020" s="31" t="s">
        <v>2170</v>
      </c>
      <c r="B2020" s="44" t="n">
        <v>46231</v>
      </c>
      <c r="C2020" s="31" t="s">
        <v>57</v>
      </c>
      <c r="D2020" s="31" t="s">
        <v>67</v>
      </c>
      <c r="E2020" s="31" t="s">
        <v>50</v>
      </c>
      <c r="F2020" s="31" t="s">
        <v>131</v>
      </c>
      <c r="G2020" s="31" t="n">
        <v>1</v>
      </c>
      <c r="H2020" s="41" t="n">
        <v>6.4</v>
      </c>
      <c r="I2020" s="31" t="s">
        <v>149</v>
      </c>
      <c r="J2020" s="31"/>
      <c r="K2020" s="31" t="s">
        <v>153</v>
      </c>
      <c r="L2020" s="45" t="n">
        <f aca="false">DATE(YEAR(B2020),MONTH(B2020),1)</f>
        <v>46204</v>
      </c>
      <c r="M2020" s="31" t="n">
        <f aca="false">WEEKDAY(B2020,2)</f>
        <v>2</v>
      </c>
      <c r="N2020" s="31" t="str">
        <f aca="false">IF(G2020&lt;=INDEX(Assumptions!$B$15:$B$18,MATCH(E2020,Assumptions!$A$15:$A$18,0)),"Yes","No")</f>
        <v>Yes</v>
      </c>
      <c r="O2020" s="31" t="str">
        <f aca="false">IF(H2020="","Open",IF(H2020&lt;=INDEX(Assumptions!$C$15:$C$18,MATCH(E2020,Assumptions!$A$15:$A$18,0)),"Yes","No"))</f>
        <v>Yes</v>
      </c>
    </row>
    <row r="2021" customFormat="false" ht="15" hidden="false" customHeight="false" outlineLevel="0" collapsed="false">
      <c r="A2021" s="31" t="s">
        <v>2171</v>
      </c>
      <c r="B2021" s="44" t="n">
        <v>46231</v>
      </c>
      <c r="C2021" s="31" t="s">
        <v>57</v>
      </c>
      <c r="D2021" s="31" t="s">
        <v>65</v>
      </c>
      <c r="E2021" s="31" t="s">
        <v>52</v>
      </c>
      <c r="F2021" s="31" t="s">
        <v>119</v>
      </c>
      <c r="G2021" s="31" t="n">
        <v>4</v>
      </c>
      <c r="H2021" s="41" t="n">
        <v>5</v>
      </c>
      <c r="I2021" s="31" t="s">
        <v>149</v>
      </c>
      <c r="J2021" s="31"/>
      <c r="K2021" s="31" t="s">
        <v>150</v>
      </c>
      <c r="L2021" s="45" t="n">
        <f aca="false">DATE(YEAR(B2021),MONTH(B2021),1)</f>
        <v>46204</v>
      </c>
      <c r="M2021" s="31" t="n">
        <f aca="false">WEEKDAY(B2021,2)</f>
        <v>2</v>
      </c>
      <c r="N2021" s="31" t="str">
        <f aca="false">IF(G2021&lt;=INDEX(Assumptions!$B$15:$B$18,MATCH(E2021,Assumptions!$A$15:$A$18,0)),"Yes","No")</f>
        <v>Yes</v>
      </c>
      <c r="O2021" s="31" t="str">
        <f aca="false">IF(H2021="","Open",IF(H2021&lt;=INDEX(Assumptions!$C$15:$C$18,MATCH(E2021,Assumptions!$A$15:$A$18,0)),"Yes","No"))</f>
        <v>Yes</v>
      </c>
    </row>
    <row r="2022" customFormat="false" ht="15" hidden="false" customHeight="false" outlineLevel="0" collapsed="false">
      <c r="A2022" s="31" t="s">
        <v>2172</v>
      </c>
      <c r="B2022" s="44" t="n">
        <v>46231</v>
      </c>
      <c r="C2022" s="31" t="s">
        <v>60</v>
      </c>
      <c r="D2022" s="31" t="s">
        <v>67</v>
      </c>
      <c r="E2022" s="31" t="s">
        <v>51</v>
      </c>
      <c r="F2022" s="31" t="s">
        <v>134</v>
      </c>
      <c r="G2022" s="31" t="n">
        <v>3</v>
      </c>
      <c r="H2022" s="41" t="n">
        <v>15.4</v>
      </c>
      <c r="I2022" s="31" t="s">
        <v>149</v>
      </c>
      <c r="J2022" s="31"/>
      <c r="K2022" s="31" t="s">
        <v>150</v>
      </c>
      <c r="L2022" s="45" t="n">
        <f aca="false">DATE(YEAR(B2022),MONTH(B2022),1)</f>
        <v>46204</v>
      </c>
      <c r="M2022" s="31" t="n">
        <f aca="false">WEEKDAY(B2022,2)</f>
        <v>2</v>
      </c>
      <c r="N2022" s="31" t="str">
        <f aca="false">IF(G2022&lt;=INDEX(Assumptions!$B$15:$B$18,MATCH(E2022,Assumptions!$A$15:$A$18,0)),"Yes","No")</f>
        <v>Yes</v>
      </c>
      <c r="O2022" s="31" t="str">
        <f aca="false">IF(H2022="","Open",IF(H2022&lt;=INDEX(Assumptions!$C$15:$C$18,MATCH(E2022,Assumptions!$A$15:$A$18,0)),"Yes","No"))</f>
        <v>Yes</v>
      </c>
    </row>
    <row r="2023" customFormat="false" ht="15" hidden="false" customHeight="false" outlineLevel="0" collapsed="false">
      <c r="A2023" s="31" t="s">
        <v>2173</v>
      </c>
      <c r="B2023" s="44" t="n">
        <v>46232</v>
      </c>
      <c r="C2023" s="31" t="s">
        <v>59</v>
      </c>
      <c r="D2023" s="31" t="s">
        <v>69</v>
      </c>
      <c r="E2023" s="31" t="s">
        <v>50</v>
      </c>
      <c r="F2023" s="31" t="s">
        <v>130</v>
      </c>
      <c r="G2023" s="31" t="n">
        <v>27</v>
      </c>
      <c r="H2023" s="41" t="n">
        <v>54.2</v>
      </c>
      <c r="I2023" s="31" t="s">
        <v>149</v>
      </c>
      <c r="J2023" s="31"/>
      <c r="K2023" s="31" t="s">
        <v>150</v>
      </c>
      <c r="L2023" s="45" t="n">
        <f aca="false">DATE(YEAR(B2023),MONTH(B2023),1)</f>
        <v>46204</v>
      </c>
      <c r="M2023" s="31" t="n">
        <f aca="false">WEEKDAY(B2023,2)</f>
        <v>3</v>
      </c>
      <c r="N2023" s="31" t="str">
        <f aca="false">IF(G2023&lt;=INDEX(Assumptions!$B$15:$B$18,MATCH(E2023,Assumptions!$A$15:$A$18,0)),"Yes","No")</f>
        <v>Yes</v>
      </c>
      <c r="O2023" s="31" t="str">
        <f aca="false">IF(H2023="","Open",IF(H2023&lt;=INDEX(Assumptions!$C$15:$C$18,MATCH(E2023,Assumptions!$A$15:$A$18,0)),"Yes","No"))</f>
        <v>No</v>
      </c>
    </row>
    <row r="2024" customFormat="false" ht="15" hidden="false" customHeight="false" outlineLevel="0" collapsed="false">
      <c r="A2024" s="31" t="s">
        <v>2174</v>
      </c>
      <c r="B2024" s="44" t="n">
        <v>46232</v>
      </c>
      <c r="C2024" s="31" t="s">
        <v>60</v>
      </c>
      <c r="D2024" s="31" t="s">
        <v>66</v>
      </c>
      <c r="E2024" s="31" t="s">
        <v>51</v>
      </c>
      <c r="F2024" s="31" t="s">
        <v>121</v>
      </c>
      <c r="G2024" s="31" t="n">
        <v>5</v>
      </c>
      <c r="H2024" s="41" t="n">
        <v>7</v>
      </c>
      <c r="I2024" s="31" t="s">
        <v>149</v>
      </c>
      <c r="J2024" s="31"/>
      <c r="K2024" s="31" t="s">
        <v>150</v>
      </c>
      <c r="L2024" s="45" t="n">
        <f aca="false">DATE(YEAR(B2024),MONTH(B2024),1)</f>
        <v>46204</v>
      </c>
      <c r="M2024" s="31" t="n">
        <f aca="false">WEEKDAY(B2024,2)</f>
        <v>3</v>
      </c>
      <c r="N2024" s="31" t="str">
        <f aca="false">IF(G2024&lt;=INDEX(Assumptions!$B$15:$B$18,MATCH(E2024,Assumptions!$A$15:$A$18,0)),"Yes","No")</f>
        <v>Yes</v>
      </c>
      <c r="O2024" s="31" t="str">
        <f aca="false">IF(H2024="","Open",IF(H2024&lt;=INDEX(Assumptions!$C$15:$C$18,MATCH(E2024,Assumptions!$A$15:$A$18,0)),"Yes","No"))</f>
        <v>Yes</v>
      </c>
    </row>
    <row r="2025" customFormat="false" ht="15" hidden="false" customHeight="false" outlineLevel="0" collapsed="false">
      <c r="A2025" s="31" t="s">
        <v>2175</v>
      </c>
      <c r="B2025" s="44" t="n">
        <v>46232</v>
      </c>
      <c r="C2025" s="31" t="s">
        <v>60</v>
      </c>
      <c r="D2025" s="31" t="s">
        <v>65</v>
      </c>
      <c r="E2025" s="31" t="s">
        <v>51</v>
      </c>
      <c r="F2025" s="31" t="s">
        <v>136</v>
      </c>
      <c r="G2025" s="31" t="n">
        <v>1</v>
      </c>
      <c r="H2025" s="41" t="n">
        <v>18.5</v>
      </c>
      <c r="I2025" s="31" t="s">
        <v>149</v>
      </c>
      <c r="J2025" s="31" t="n">
        <v>4</v>
      </c>
      <c r="K2025" s="31" t="s">
        <v>150</v>
      </c>
      <c r="L2025" s="45" t="n">
        <f aca="false">DATE(YEAR(B2025),MONTH(B2025),1)</f>
        <v>46204</v>
      </c>
      <c r="M2025" s="31" t="n">
        <f aca="false">WEEKDAY(B2025,2)</f>
        <v>3</v>
      </c>
      <c r="N2025" s="31" t="str">
        <f aca="false">IF(G2025&lt;=INDEX(Assumptions!$B$15:$B$18,MATCH(E2025,Assumptions!$A$15:$A$18,0)),"Yes","No")</f>
        <v>Yes</v>
      </c>
      <c r="O2025" s="31" t="str">
        <f aca="false">IF(H2025="","Open",IF(H2025&lt;=INDEX(Assumptions!$C$15:$C$18,MATCH(E2025,Assumptions!$A$15:$A$18,0)),"Yes","No"))</f>
        <v>Yes</v>
      </c>
    </row>
    <row r="2026" customFormat="false" ht="15" hidden="false" customHeight="false" outlineLevel="0" collapsed="false">
      <c r="A2026" s="31" t="s">
        <v>2176</v>
      </c>
      <c r="B2026" s="44" t="n">
        <v>46232</v>
      </c>
      <c r="C2026" s="31" t="s">
        <v>58</v>
      </c>
      <c r="D2026" s="31" t="s">
        <v>65</v>
      </c>
      <c r="E2026" s="31" t="s">
        <v>52</v>
      </c>
      <c r="F2026" s="31" t="s">
        <v>130</v>
      </c>
      <c r="G2026" s="31" t="n">
        <v>6</v>
      </c>
      <c r="H2026" s="41" t="n">
        <v>23</v>
      </c>
      <c r="I2026" s="31" t="s">
        <v>149</v>
      </c>
      <c r="J2026" s="31" t="n">
        <v>5</v>
      </c>
      <c r="K2026" s="31" t="s">
        <v>150</v>
      </c>
      <c r="L2026" s="45" t="n">
        <f aca="false">DATE(YEAR(B2026),MONTH(B2026),1)</f>
        <v>46204</v>
      </c>
      <c r="M2026" s="31" t="n">
        <f aca="false">WEEKDAY(B2026,2)</f>
        <v>3</v>
      </c>
      <c r="N2026" s="31" t="str">
        <f aca="false">IF(G2026&lt;=INDEX(Assumptions!$B$15:$B$18,MATCH(E2026,Assumptions!$A$15:$A$18,0)),"Yes","No")</f>
        <v>Yes</v>
      </c>
      <c r="O2026" s="31" t="str">
        <f aca="false">IF(H2026="","Open",IF(H2026&lt;=INDEX(Assumptions!$C$15:$C$18,MATCH(E2026,Assumptions!$A$15:$A$18,0)),"Yes","No"))</f>
        <v>Yes</v>
      </c>
    </row>
    <row r="2027" customFormat="false" ht="15" hidden="false" customHeight="false" outlineLevel="0" collapsed="false">
      <c r="A2027" s="31" t="s">
        <v>2177</v>
      </c>
      <c r="B2027" s="44" t="n">
        <v>46232</v>
      </c>
      <c r="C2027" s="31" t="s">
        <v>59</v>
      </c>
      <c r="D2027" s="31" t="s">
        <v>68</v>
      </c>
      <c r="E2027" s="31" t="s">
        <v>51</v>
      </c>
      <c r="F2027" s="31" t="s">
        <v>123</v>
      </c>
      <c r="G2027" s="31" t="n">
        <v>120</v>
      </c>
      <c r="H2027" s="41" t="n">
        <v>1.7</v>
      </c>
      <c r="I2027" s="31" t="s">
        <v>149</v>
      </c>
      <c r="J2027" s="31"/>
      <c r="K2027" s="31" t="s">
        <v>150</v>
      </c>
      <c r="L2027" s="45" t="n">
        <f aca="false">DATE(YEAR(B2027),MONTH(B2027),1)</f>
        <v>46204</v>
      </c>
      <c r="M2027" s="31" t="n">
        <f aca="false">WEEKDAY(B2027,2)</f>
        <v>3</v>
      </c>
      <c r="N2027" s="31" t="str">
        <f aca="false">IF(G2027&lt;=INDEX(Assumptions!$B$15:$B$18,MATCH(E2027,Assumptions!$A$15:$A$18,0)),"Yes","No")</f>
        <v>No</v>
      </c>
      <c r="O2027" s="31" t="str">
        <f aca="false">IF(H2027="","Open",IF(H2027&lt;=INDEX(Assumptions!$C$15:$C$18,MATCH(E2027,Assumptions!$A$15:$A$18,0)),"Yes","No"))</f>
        <v>Yes</v>
      </c>
    </row>
    <row r="2028" customFormat="false" ht="15" hidden="false" customHeight="false" outlineLevel="0" collapsed="false">
      <c r="A2028" s="31" t="s">
        <v>2178</v>
      </c>
      <c r="B2028" s="44" t="n">
        <v>46232</v>
      </c>
      <c r="C2028" s="31" t="s">
        <v>57</v>
      </c>
      <c r="D2028" s="31" t="s">
        <v>69</v>
      </c>
      <c r="E2028" s="31" t="s">
        <v>52</v>
      </c>
      <c r="F2028" s="31" t="s">
        <v>131</v>
      </c>
      <c r="G2028" s="31" t="n">
        <v>3</v>
      </c>
      <c r="H2028" s="41" t="n">
        <v>21.7</v>
      </c>
      <c r="I2028" s="31" t="s">
        <v>149</v>
      </c>
      <c r="J2028" s="31" t="n">
        <v>5</v>
      </c>
      <c r="K2028" s="31" t="s">
        <v>150</v>
      </c>
      <c r="L2028" s="45" t="n">
        <f aca="false">DATE(YEAR(B2028),MONTH(B2028),1)</f>
        <v>46204</v>
      </c>
      <c r="M2028" s="31" t="n">
        <f aca="false">WEEKDAY(B2028,2)</f>
        <v>3</v>
      </c>
      <c r="N2028" s="31" t="str">
        <f aca="false">IF(G2028&lt;=INDEX(Assumptions!$B$15:$B$18,MATCH(E2028,Assumptions!$A$15:$A$18,0)),"Yes","No")</f>
        <v>Yes</v>
      </c>
      <c r="O2028" s="31" t="str">
        <f aca="false">IF(H2028="","Open",IF(H2028&lt;=INDEX(Assumptions!$C$15:$C$18,MATCH(E2028,Assumptions!$A$15:$A$18,0)),"Yes","No"))</f>
        <v>Yes</v>
      </c>
    </row>
    <row r="2029" customFormat="false" ht="15" hidden="false" customHeight="false" outlineLevel="0" collapsed="false">
      <c r="A2029" s="31" t="s">
        <v>2179</v>
      </c>
      <c r="B2029" s="44" t="n">
        <v>46232</v>
      </c>
      <c r="C2029" s="31" t="s">
        <v>60</v>
      </c>
      <c r="D2029" s="31" t="s">
        <v>69</v>
      </c>
      <c r="E2029" s="31" t="s">
        <v>52</v>
      </c>
      <c r="F2029" s="31" t="s">
        <v>117</v>
      </c>
      <c r="G2029" s="31" t="n">
        <v>1</v>
      </c>
      <c r="H2029" s="41" t="n">
        <v>12.7</v>
      </c>
      <c r="I2029" s="31" t="s">
        <v>149</v>
      </c>
      <c r="J2029" s="31"/>
      <c r="K2029" s="31" t="s">
        <v>150</v>
      </c>
      <c r="L2029" s="45" t="n">
        <f aca="false">DATE(YEAR(B2029),MONTH(B2029),1)</f>
        <v>46204</v>
      </c>
      <c r="M2029" s="31" t="n">
        <f aca="false">WEEKDAY(B2029,2)</f>
        <v>3</v>
      </c>
      <c r="N2029" s="31" t="str">
        <f aca="false">IF(G2029&lt;=INDEX(Assumptions!$B$15:$B$18,MATCH(E2029,Assumptions!$A$15:$A$18,0)),"Yes","No")</f>
        <v>Yes</v>
      </c>
      <c r="O2029" s="31" t="str">
        <f aca="false">IF(H2029="","Open",IF(H2029&lt;=INDEX(Assumptions!$C$15:$C$18,MATCH(E2029,Assumptions!$A$15:$A$18,0)),"Yes","No"))</f>
        <v>Yes</v>
      </c>
    </row>
    <row r="2030" customFormat="false" ht="15" hidden="false" customHeight="false" outlineLevel="0" collapsed="false">
      <c r="A2030" s="31" t="s">
        <v>2180</v>
      </c>
      <c r="B2030" s="44" t="n">
        <v>46232</v>
      </c>
      <c r="C2030" s="31" t="s">
        <v>60</v>
      </c>
      <c r="D2030" s="31" t="s">
        <v>67</v>
      </c>
      <c r="E2030" s="31" t="s">
        <v>50</v>
      </c>
      <c r="F2030" s="31" t="s">
        <v>137</v>
      </c>
      <c r="G2030" s="31" t="n">
        <v>1</v>
      </c>
      <c r="H2030" s="41" t="n">
        <v>4.2</v>
      </c>
      <c r="I2030" s="31" t="s">
        <v>149</v>
      </c>
      <c r="J2030" s="31" t="n">
        <v>3</v>
      </c>
      <c r="K2030" s="31" t="s">
        <v>150</v>
      </c>
      <c r="L2030" s="45" t="n">
        <f aca="false">DATE(YEAR(B2030),MONTH(B2030),1)</f>
        <v>46204</v>
      </c>
      <c r="M2030" s="31" t="n">
        <f aca="false">WEEKDAY(B2030,2)</f>
        <v>3</v>
      </c>
      <c r="N2030" s="31" t="str">
        <f aca="false">IF(G2030&lt;=INDEX(Assumptions!$B$15:$B$18,MATCH(E2030,Assumptions!$A$15:$A$18,0)),"Yes","No")</f>
        <v>Yes</v>
      </c>
      <c r="O2030" s="31" t="str">
        <f aca="false">IF(H2030="","Open",IF(H2030&lt;=INDEX(Assumptions!$C$15:$C$18,MATCH(E2030,Assumptions!$A$15:$A$18,0)),"Yes","No"))</f>
        <v>Yes</v>
      </c>
    </row>
    <row r="2031" customFormat="false" ht="15" hidden="false" customHeight="false" outlineLevel="0" collapsed="false">
      <c r="A2031" s="31" t="s">
        <v>2181</v>
      </c>
      <c r="B2031" s="44" t="n">
        <v>46232</v>
      </c>
      <c r="C2031" s="31" t="s">
        <v>57</v>
      </c>
      <c r="D2031" s="31" t="s">
        <v>65</v>
      </c>
      <c r="E2031" s="31" t="s">
        <v>51</v>
      </c>
      <c r="F2031" s="31" t="s">
        <v>127</v>
      </c>
      <c r="G2031" s="31" t="n">
        <v>6</v>
      </c>
      <c r="H2031" s="41" t="n">
        <v>16.3</v>
      </c>
      <c r="I2031" s="31" t="s">
        <v>149</v>
      </c>
      <c r="J2031" s="31" t="n">
        <v>5</v>
      </c>
      <c r="K2031" s="31" t="s">
        <v>150</v>
      </c>
      <c r="L2031" s="45" t="n">
        <f aca="false">DATE(YEAR(B2031),MONTH(B2031),1)</f>
        <v>46204</v>
      </c>
      <c r="M2031" s="31" t="n">
        <f aca="false">WEEKDAY(B2031,2)</f>
        <v>3</v>
      </c>
      <c r="N2031" s="31" t="str">
        <f aca="false">IF(G2031&lt;=INDEX(Assumptions!$B$15:$B$18,MATCH(E2031,Assumptions!$A$15:$A$18,0)),"Yes","No")</f>
        <v>Yes</v>
      </c>
      <c r="O2031" s="31" t="str">
        <f aca="false">IF(H2031="","Open",IF(H2031&lt;=INDEX(Assumptions!$C$15:$C$18,MATCH(E2031,Assumptions!$A$15:$A$18,0)),"Yes","No"))</f>
        <v>Yes</v>
      </c>
    </row>
    <row r="2032" customFormat="false" ht="15" hidden="false" customHeight="false" outlineLevel="0" collapsed="false">
      <c r="A2032" s="31" t="s">
        <v>2182</v>
      </c>
      <c r="B2032" s="44" t="n">
        <v>46232</v>
      </c>
      <c r="C2032" s="31" t="s">
        <v>58</v>
      </c>
      <c r="D2032" s="31" t="s">
        <v>66</v>
      </c>
      <c r="E2032" s="31" t="s">
        <v>51</v>
      </c>
      <c r="F2032" s="31" t="s">
        <v>135</v>
      </c>
      <c r="G2032" s="31" t="n">
        <v>9</v>
      </c>
      <c r="H2032" s="41"/>
      <c r="I2032" s="31" t="s">
        <v>158</v>
      </c>
      <c r="J2032" s="31"/>
      <c r="K2032" s="31" t="s">
        <v>150</v>
      </c>
      <c r="L2032" s="45" t="n">
        <f aca="false">DATE(YEAR(B2032),MONTH(B2032),1)</f>
        <v>46204</v>
      </c>
      <c r="M2032" s="31" t="n">
        <f aca="false">WEEKDAY(B2032,2)</f>
        <v>3</v>
      </c>
      <c r="N2032" s="31" t="str">
        <f aca="false">IF(G2032&lt;=INDEX(Assumptions!$B$15:$B$18,MATCH(E2032,Assumptions!$A$15:$A$18,0)),"Yes","No")</f>
        <v>Yes</v>
      </c>
      <c r="O2032" s="31" t="str">
        <f aca="false">IF(H2032="","Open",IF(H2032&lt;=INDEX(Assumptions!$C$15:$C$18,MATCH(E2032,Assumptions!$A$15:$A$18,0)),"Yes","No"))</f>
        <v>Open</v>
      </c>
    </row>
    <row r="2033" customFormat="false" ht="15" hidden="false" customHeight="false" outlineLevel="0" collapsed="false">
      <c r="A2033" s="31" t="s">
        <v>2183</v>
      </c>
      <c r="B2033" s="44" t="n">
        <v>46232</v>
      </c>
      <c r="C2033" s="31" t="s">
        <v>60</v>
      </c>
      <c r="D2033" s="31" t="s">
        <v>65</v>
      </c>
      <c r="E2033" s="31" t="s">
        <v>51</v>
      </c>
      <c r="F2033" s="31" t="s">
        <v>137</v>
      </c>
      <c r="G2033" s="31" t="n">
        <v>1</v>
      </c>
      <c r="H2033" s="41" t="n">
        <v>5.8</v>
      </c>
      <c r="I2033" s="31" t="s">
        <v>149</v>
      </c>
      <c r="J2033" s="31" t="n">
        <v>5</v>
      </c>
      <c r="K2033" s="31" t="s">
        <v>150</v>
      </c>
      <c r="L2033" s="45" t="n">
        <f aca="false">DATE(YEAR(B2033),MONTH(B2033),1)</f>
        <v>46204</v>
      </c>
      <c r="M2033" s="31" t="n">
        <f aca="false">WEEKDAY(B2033,2)</f>
        <v>3</v>
      </c>
      <c r="N2033" s="31" t="str">
        <f aca="false">IF(G2033&lt;=INDEX(Assumptions!$B$15:$B$18,MATCH(E2033,Assumptions!$A$15:$A$18,0)),"Yes","No")</f>
        <v>Yes</v>
      </c>
      <c r="O2033" s="31" t="str">
        <f aca="false">IF(H2033="","Open",IF(H2033&lt;=INDEX(Assumptions!$C$15:$C$18,MATCH(E2033,Assumptions!$A$15:$A$18,0)),"Yes","No"))</f>
        <v>Yes</v>
      </c>
    </row>
    <row r="2034" customFormat="false" ht="15" hidden="false" customHeight="false" outlineLevel="0" collapsed="false">
      <c r="A2034" s="31" t="s">
        <v>2184</v>
      </c>
      <c r="B2034" s="44" t="n">
        <v>46232</v>
      </c>
      <c r="C2034" s="31" t="s">
        <v>59</v>
      </c>
      <c r="D2034" s="31" t="s">
        <v>66</v>
      </c>
      <c r="E2034" s="31" t="s">
        <v>50</v>
      </c>
      <c r="F2034" s="31" t="s">
        <v>134</v>
      </c>
      <c r="G2034" s="31" t="n">
        <v>113</v>
      </c>
      <c r="H2034" s="41" t="n">
        <v>3.9</v>
      </c>
      <c r="I2034" s="31" t="s">
        <v>149</v>
      </c>
      <c r="J2034" s="31"/>
      <c r="K2034" s="31" t="s">
        <v>150</v>
      </c>
      <c r="L2034" s="45" t="n">
        <f aca="false">DATE(YEAR(B2034),MONTH(B2034),1)</f>
        <v>46204</v>
      </c>
      <c r="M2034" s="31" t="n">
        <f aca="false">WEEKDAY(B2034,2)</f>
        <v>3</v>
      </c>
      <c r="N2034" s="31" t="str">
        <f aca="false">IF(G2034&lt;=INDEX(Assumptions!$B$15:$B$18,MATCH(E2034,Assumptions!$A$15:$A$18,0)),"Yes","No")</f>
        <v>No</v>
      </c>
      <c r="O2034" s="31" t="str">
        <f aca="false">IF(H2034="","Open",IF(H2034&lt;=INDEX(Assumptions!$C$15:$C$18,MATCH(E2034,Assumptions!$A$15:$A$18,0)),"Yes","No"))</f>
        <v>Yes</v>
      </c>
    </row>
    <row r="2035" customFormat="false" ht="15" hidden="false" customHeight="false" outlineLevel="0" collapsed="false">
      <c r="A2035" s="31" t="s">
        <v>2185</v>
      </c>
      <c r="B2035" s="44" t="n">
        <v>46232</v>
      </c>
      <c r="C2035" s="31" t="s">
        <v>58</v>
      </c>
      <c r="D2035" s="31" t="s">
        <v>65</v>
      </c>
      <c r="E2035" s="31" t="s">
        <v>52</v>
      </c>
      <c r="F2035" s="31" t="s">
        <v>128</v>
      </c>
      <c r="G2035" s="31" t="n">
        <v>16</v>
      </c>
      <c r="H2035" s="41" t="n">
        <v>56.9</v>
      </c>
      <c r="I2035" s="31" t="s">
        <v>149</v>
      </c>
      <c r="J2035" s="31" t="n">
        <v>5</v>
      </c>
      <c r="K2035" s="31" t="s">
        <v>150</v>
      </c>
      <c r="L2035" s="45" t="n">
        <f aca="false">DATE(YEAR(B2035),MONTH(B2035),1)</f>
        <v>46204</v>
      </c>
      <c r="M2035" s="31" t="n">
        <f aca="false">WEEKDAY(B2035,2)</f>
        <v>3</v>
      </c>
      <c r="N2035" s="31" t="str">
        <f aca="false">IF(G2035&lt;=INDEX(Assumptions!$B$15:$B$18,MATCH(E2035,Assumptions!$A$15:$A$18,0)),"Yes","No")</f>
        <v>Yes</v>
      </c>
      <c r="O2035" s="31" t="str">
        <f aca="false">IF(H2035="","Open",IF(H2035&lt;=INDEX(Assumptions!$C$15:$C$18,MATCH(E2035,Assumptions!$A$15:$A$18,0)),"Yes","No"))</f>
        <v>Yes</v>
      </c>
    </row>
    <row r="2036" customFormat="false" ht="15" hidden="false" customHeight="false" outlineLevel="0" collapsed="false">
      <c r="A2036" s="31" t="s">
        <v>2186</v>
      </c>
      <c r="B2036" s="44" t="n">
        <v>46232</v>
      </c>
      <c r="C2036" s="31" t="s">
        <v>57</v>
      </c>
      <c r="D2036" s="31" t="s">
        <v>67</v>
      </c>
      <c r="E2036" s="31" t="s">
        <v>52</v>
      </c>
      <c r="F2036" s="31" t="s">
        <v>117</v>
      </c>
      <c r="G2036" s="31" t="n">
        <v>4</v>
      </c>
      <c r="H2036" s="41" t="n">
        <v>38.9</v>
      </c>
      <c r="I2036" s="31" t="s">
        <v>149</v>
      </c>
      <c r="J2036" s="31" t="n">
        <v>4</v>
      </c>
      <c r="K2036" s="31" t="s">
        <v>150</v>
      </c>
      <c r="L2036" s="45" t="n">
        <f aca="false">DATE(YEAR(B2036),MONTH(B2036),1)</f>
        <v>46204</v>
      </c>
      <c r="M2036" s="31" t="n">
        <f aca="false">WEEKDAY(B2036,2)</f>
        <v>3</v>
      </c>
      <c r="N2036" s="31" t="str">
        <f aca="false">IF(G2036&lt;=INDEX(Assumptions!$B$15:$B$18,MATCH(E2036,Assumptions!$A$15:$A$18,0)),"Yes","No")</f>
        <v>Yes</v>
      </c>
      <c r="O2036" s="31" t="str">
        <f aca="false">IF(H2036="","Open",IF(H2036&lt;=INDEX(Assumptions!$C$15:$C$18,MATCH(E2036,Assumptions!$A$15:$A$18,0)),"Yes","No"))</f>
        <v>Yes</v>
      </c>
    </row>
    <row r="2037" customFormat="false" ht="15" hidden="false" customHeight="false" outlineLevel="0" collapsed="false">
      <c r="A2037" s="31" t="s">
        <v>2187</v>
      </c>
      <c r="B2037" s="44" t="n">
        <v>46232</v>
      </c>
      <c r="C2037" s="31" t="s">
        <v>58</v>
      </c>
      <c r="D2037" s="31" t="s">
        <v>69</v>
      </c>
      <c r="E2037" s="31" t="s">
        <v>52</v>
      </c>
      <c r="F2037" s="31" t="s">
        <v>136</v>
      </c>
      <c r="G2037" s="31" t="n">
        <v>21</v>
      </c>
      <c r="H2037" s="41" t="n">
        <v>9</v>
      </c>
      <c r="I2037" s="31" t="s">
        <v>149</v>
      </c>
      <c r="J2037" s="31" t="n">
        <v>5</v>
      </c>
      <c r="K2037" s="31" t="s">
        <v>150</v>
      </c>
      <c r="L2037" s="45" t="n">
        <f aca="false">DATE(YEAR(B2037),MONTH(B2037),1)</f>
        <v>46204</v>
      </c>
      <c r="M2037" s="31" t="n">
        <f aca="false">WEEKDAY(B2037,2)</f>
        <v>3</v>
      </c>
      <c r="N2037" s="31" t="str">
        <f aca="false">IF(G2037&lt;=INDEX(Assumptions!$B$15:$B$18,MATCH(E2037,Assumptions!$A$15:$A$18,0)),"Yes","No")</f>
        <v>Yes</v>
      </c>
      <c r="O2037" s="31" t="str">
        <f aca="false">IF(H2037="","Open",IF(H2037&lt;=INDEX(Assumptions!$C$15:$C$18,MATCH(E2037,Assumptions!$A$15:$A$18,0)),"Yes","No"))</f>
        <v>Yes</v>
      </c>
    </row>
    <row r="2038" customFormat="false" ht="15" hidden="false" customHeight="false" outlineLevel="0" collapsed="false">
      <c r="A2038" s="31" t="s">
        <v>2188</v>
      </c>
      <c r="B2038" s="44" t="n">
        <v>46232</v>
      </c>
      <c r="C2038" s="31" t="s">
        <v>57</v>
      </c>
      <c r="D2038" s="31" t="s">
        <v>66</v>
      </c>
      <c r="E2038" s="31" t="s">
        <v>51</v>
      </c>
      <c r="F2038" s="31" t="s">
        <v>131</v>
      </c>
      <c r="G2038" s="31" t="n">
        <v>3</v>
      </c>
      <c r="H2038" s="41" t="n">
        <v>7.1</v>
      </c>
      <c r="I2038" s="31" t="s">
        <v>149</v>
      </c>
      <c r="J2038" s="31"/>
      <c r="K2038" s="31" t="s">
        <v>150</v>
      </c>
      <c r="L2038" s="45" t="n">
        <f aca="false">DATE(YEAR(B2038),MONTH(B2038),1)</f>
        <v>46204</v>
      </c>
      <c r="M2038" s="31" t="n">
        <f aca="false">WEEKDAY(B2038,2)</f>
        <v>3</v>
      </c>
      <c r="N2038" s="31" t="str">
        <f aca="false">IF(G2038&lt;=INDEX(Assumptions!$B$15:$B$18,MATCH(E2038,Assumptions!$A$15:$A$18,0)),"Yes","No")</f>
        <v>Yes</v>
      </c>
      <c r="O2038" s="31" t="str">
        <f aca="false">IF(H2038="","Open",IF(H2038&lt;=INDEX(Assumptions!$C$15:$C$18,MATCH(E2038,Assumptions!$A$15:$A$18,0)),"Yes","No"))</f>
        <v>Yes</v>
      </c>
    </row>
    <row r="2039" customFormat="false" ht="15" hidden="false" customHeight="false" outlineLevel="0" collapsed="false">
      <c r="A2039" s="31" t="s">
        <v>2189</v>
      </c>
      <c r="B2039" s="44" t="n">
        <v>46232</v>
      </c>
      <c r="C2039" s="31" t="s">
        <v>60</v>
      </c>
      <c r="D2039" s="31" t="s">
        <v>66</v>
      </c>
      <c r="E2039" s="31" t="s">
        <v>51</v>
      </c>
      <c r="F2039" s="31" t="s">
        <v>120</v>
      </c>
      <c r="G2039" s="31" t="n">
        <v>4</v>
      </c>
      <c r="H2039" s="41" t="n">
        <v>13.4</v>
      </c>
      <c r="I2039" s="31" t="s">
        <v>149</v>
      </c>
      <c r="J2039" s="31" t="n">
        <v>4</v>
      </c>
      <c r="K2039" s="31" t="s">
        <v>150</v>
      </c>
      <c r="L2039" s="45" t="n">
        <f aca="false">DATE(YEAR(B2039),MONTH(B2039),1)</f>
        <v>46204</v>
      </c>
      <c r="M2039" s="31" t="n">
        <f aca="false">WEEKDAY(B2039,2)</f>
        <v>3</v>
      </c>
      <c r="N2039" s="31" t="str">
        <f aca="false">IF(G2039&lt;=INDEX(Assumptions!$B$15:$B$18,MATCH(E2039,Assumptions!$A$15:$A$18,0)),"Yes","No")</f>
        <v>Yes</v>
      </c>
      <c r="O2039" s="31" t="str">
        <f aca="false">IF(H2039="","Open",IF(H2039&lt;=INDEX(Assumptions!$C$15:$C$18,MATCH(E2039,Assumptions!$A$15:$A$18,0)),"Yes","No"))</f>
        <v>Yes</v>
      </c>
    </row>
    <row r="2040" customFormat="false" ht="15" hidden="false" customHeight="false" outlineLevel="0" collapsed="false">
      <c r="A2040" s="31" t="s">
        <v>2190</v>
      </c>
      <c r="B2040" s="44" t="n">
        <v>46232</v>
      </c>
      <c r="C2040" s="31" t="s">
        <v>57</v>
      </c>
      <c r="D2040" s="31" t="s">
        <v>67</v>
      </c>
      <c r="E2040" s="31" t="s">
        <v>51</v>
      </c>
      <c r="F2040" s="31" t="s">
        <v>131</v>
      </c>
      <c r="G2040" s="31" t="n">
        <v>8</v>
      </c>
      <c r="H2040" s="41" t="n">
        <v>9.4</v>
      </c>
      <c r="I2040" s="31" t="s">
        <v>149</v>
      </c>
      <c r="J2040" s="31" t="n">
        <v>5</v>
      </c>
      <c r="K2040" s="31" t="s">
        <v>150</v>
      </c>
      <c r="L2040" s="45" t="n">
        <f aca="false">DATE(YEAR(B2040),MONTH(B2040),1)</f>
        <v>46204</v>
      </c>
      <c r="M2040" s="31" t="n">
        <f aca="false">WEEKDAY(B2040,2)</f>
        <v>3</v>
      </c>
      <c r="N2040" s="31" t="str">
        <f aca="false">IF(G2040&lt;=INDEX(Assumptions!$B$15:$B$18,MATCH(E2040,Assumptions!$A$15:$A$18,0)),"Yes","No")</f>
        <v>Yes</v>
      </c>
      <c r="O2040" s="31" t="str">
        <f aca="false">IF(H2040="","Open",IF(H2040&lt;=INDEX(Assumptions!$C$15:$C$18,MATCH(E2040,Assumptions!$A$15:$A$18,0)),"Yes","No"))</f>
        <v>Yes</v>
      </c>
    </row>
    <row r="2041" customFormat="false" ht="15" hidden="false" customHeight="false" outlineLevel="0" collapsed="false">
      <c r="A2041" s="31" t="s">
        <v>2191</v>
      </c>
      <c r="B2041" s="44" t="n">
        <v>46232</v>
      </c>
      <c r="C2041" s="31" t="s">
        <v>57</v>
      </c>
      <c r="D2041" s="31" t="s">
        <v>66</v>
      </c>
      <c r="E2041" s="31" t="s">
        <v>51</v>
      </c>
      <c r="F2041" s="31" t="s">
        <v>129</v>
      </c>
      <c r="G2041" s="31" t="n">
        <v>5</v>
      </c>
      <c r="H2041" s="41" t="n">
        <v>22.4</v>
      </c>
      <c r="I2041" s="31" t="s">
        <v>149</v>
      </c>
      <c r="J2041" s="31"/>
      <c r="K2041" s="31" t="s">
        <v>150</v>
      </c>
      <c r="L2041" s="45" t="n">
        <f aca="false">DATE(YEAR(B2041),MONTH(B2041),1)</f>
        <v>46204</v>
      </c>
      <c r="M2041" s="31" t="n">
        <f aca="false">WEEKDAY(B2041,2)</f>
        <v>3</v>
      </c>
      <c r="N2041" s="31" t="str">
        <f aca="false">IF(G2041&lt;=INDEX(Assumptions!$B$15:$B$18,MATCH(E2041,Assumptions!$A$15:$A$18,0)),"Yes","No")</f>
        <v>Yes</v>
      </c>
      <c r="O2041" s="31" t="str">
        <f aca="false">IF(H2041="","Open",IF(H2041&lt;=INDEX(Assumptions!$C$15:$C$18,MATCH(E2041,Assumptions!$A$15:$A$18,0)),"Yes","No"))</f>
        <v>Yes</v>
      </c>
    </row>
    <row r="2042" customFormat="false" ht="15" hidden="false" customHeight="false" outlineLevel="0" collapsed="false">
      <c r="A2042" s="31" t="s">
        <v>2192</v>
      </c>
      <c r="B2042" s="44" t="n">
        <v>46232</v>
      </c>
      <c r="C2042" s="31" t="s">
        <v>57</v>
      </c>
      <c r="D2042" s="31" t="s">
        <v>65</v>
      </c>
      <c r="E2042" s="31" t="s">
        <v>51</v>
      </c>
      <c r="F2042" s="31" t="s">
        <v>136</v>
      </c>
      <c r="G2042" s="31" t="n">
        <v>2</v>
      </c>
      <c r="H2042" s="41" t="n">
        <v>19</v>
      </c>
      <c r="I2042" s="31" t="s">
        <v>149</v>
      </c>
      <c r="J2042" s="31"/>
      <c r="K2042" s="31" t="s">
        <v>150</v>
      </c>
      <c r="L2042" s="45" t="n">
        <f aca="false">DATE(YEAR(B2042),MONTH(B2042),1)</f>
        <v>46204</v>
      </c>
      <c r="M2042" s="31" t="n">
        <f aca="false">WEEKDAY(B2042,2)</f>
        <v>3</v>
      </c>
      <c r="N2042" s="31" t="str">
        <f aca="false">IF(G2042&lt;=INDEX(Assumptions!$B$15:$B$18,MATCH(E2042,Assumptions!$A$15:$A$18,0)),"Yes","No")</f>
        <v>Yes</v>
      </c>
      <c r="O2042" s="31" t="str">
        <f aca="false">IF(H2042="","Open",IF(H2042&lt;=INDEX(Assumptions!$C$15:$C$18,MATCH(E2042,Assumptions!$A$15:$A$18,0)),"Yes","No"))</f>
        <v>Yes</v>
      </c>
    </row>
    <row r="2043" customFormat="false" ht="15" hidden="false" customHeight="false" outlineLevel="0" collapsed="false">
      <c r="A2043" s="31" t="s">
        <v>2193</v>
      </c>
      <c r="B2043" s="44" t="n">
        <v>46232</v>
      </c>
      <c r="C2043" s="31" t="s">
        <v>59</v>
      </c>
      <c r="D2043" s="31" t="s">
        <v>65</v>
      </c>
      <c r="E2043" s="31" t="s">
        <v>52</v>
      </c>
      <c r="F2043" s="31" t="s">
        <v>122</v>
      </c>
      <c r="G2043" s="31" t="n">
        <v>105</v>
      </c>
      <c r="H2043" s="41" t="n">
        <v>11.1</v>
      </c>
      <c r="I2043" s="31" t="s">
        <v>149</v>
      </c>
      <c r="J2043" s="31"/>
      <c r="K2043" s="31" t="s">
        <v>150</v>
      </c>
      <c r="L2043" s="45" t="n">
        <f aca="false">DATE(YEAR(B2043),MONTH(B2043),1)</f>
        <v>46204</v>
      </c>
      <c r="M2043" s="31" t="n">
        <f aca="false">WEEKDAY(B2043,2)</f>
        <v>3</v>
      </c>
      <c r="N2043" s="31" t="str">
        <f aca="false">IF(G2043&lt;=INDEX(Assumptions!$B$15:$B$18,MATCH(E2043,Assumptions!$A$15:$A$18,0)),"Yes","No")</f>
        <v>Yes</v>
      </c>
      <c r="O2043" s="31" t="str">
        <f aca="false">IF(H2043="","Open",IF(H2043&lt;=INDEX(Assumptions!$C$15:$C$18,MATCH(E2043,Assumptions!$A$15:$A$18,0)),"Yes","No"))</f>
        <v>Yes</v>
      </c>
    </row>
    <row r="2044" customFormat="false" ht="15" hidden="false" customHeight="false" outlineLevel="0" collapsed="false">
      <c r="A2044" s="31" t="s">
        <v>2194</v>
      </c>
      <c r="B2044" s="44" t="n">
        <v>46232</v>
      </c>
      <c r="C2044" s="31" t="s">
        <v>57</v>
      </c>
      <c r="D2044" s="31" t="s">
        <v>65</v>
      </c>
      <c r="E2044" s="31" t="s">
        <v>49</v>
      </c>
      <c r="F2044" s="31" t="s">
        <v>123</v>
      </c>
      <c r="G2044" s="31" t="n">
        <v>4</v>
      </c>
      <c r="H2044" s="41" t="n">
        <v>3</v>
      </c>
      <c r="I2044" s="31" t="s">
        <v>149</v>
      </c>
      <c r="J2044" s="31" t="n">
        <v>4</v>
      </c>
      <c r="K2044" s="31" t="s">
        <v>150</v>
      </c>
      <c r="L2044" s="45" t="n">
        <f aca="false">DATE(YEAR(B2044),MONTH(B2044),1)</f>
        <v>46204</v>
      </c>
      <c r="M2044" s="31" t="n">
        <f aca="false">WEEKDAY(B2044,2)</f>
        <v>3</v>
      </c>
      <c r="N2044" s="31" t="str">
        <f aca="false">IF(G2044&lt;=INDEX(Assumptions!$B$15:$B$18,MATCH(E2044,Assumptions!$A$15:$A$18,0)),"Yes","No")</f>
        <v>Yes</v>
      </c>
      <c r="O2044" s="31" t="str">
        <f aca="false">IF(H2044="","Open",IF(H2044&lt;=INDEX(Assumptions!$C$15:$C$18,MATCH(E2044,Assumptions!$A$15:$A$18,0)),"Yes","No"))</f>
        <v>Yes</v>
      </c>
    </row>
    <row r="2045" customFormat="false" ht="15" hidden="false" customHeight="false" outlineLevel="0" collapsed="false">
      <c r="A2045" s="31" t="s">
        <v>2195</v>
      </c>
      <c r="B2045" s="44" t="n">
        <v>46232</v>
      </c>
      <c r="C2045" s="31" t="s">
        <v>59</v>
      </c>
      <c r="D2045" s="31" t="s">
        <v>68</v>
      </c>
      <c r="E2045" s="31" t="s">
        <v>50</v>
      </c>
      <c r="F2045" s="31" t="s">
        <v>130</v>
      </c>
      <c r="G2045" s="31" t="n">
        <v>41</v>
      </c>
      <c r="H2045" s="41" t="n">
        <v>7</v>
      </c>
      <c r="I2045" s="31" t="s">
        <v>149</v>
      </c>
      <c r="J2045" s="31"/>
      <c r="K2045" s="31" t="s">
        <v>150</v>
      </c>
      <c r="L2045" s="45" t="n">
        <f aca="false">DATE(YEAR(B2045),MONTH(B2045),1)</f>
        <v>46204</v>
      </c>
      <c r="M2045" s="31" t="n">
        <f aca="false">WEEKDAY(B2045,2)</f>
        <v>3</v>
      </c>
      <c r="N2045" s="31" t="str">
        <f aca="false">IF(G2045&lt;=INDEX(Assumptions!$B$15:$B$18,MATCH(E2045,Assumptions!$A$15:$A$18,0)),"Yes","No")</f>
        <v>No</v>
      </c>
      <c r="O2045" s="31" t="str">
        <f aca="false">IF(H2045="","Open",IF(H2045&lt;=INDEX(Assumptions!$C$15:$C$18,MATCH(E2045,Assumptions!$A$15:$A$18,0)),"Yes","No"))</f>
        <v>Yes</v>
      </c>
    </row>
    <row r="2046" customFormat="false" ht="15" hidden="false" customHeight="false" outlineLevel="0" collapsed="false">
      <c r="A2046" s="31" t="s">
        <v>2196</v>
      </c>
      <c r="B2046" s="44" t="n">
        <v>46232</v>
      </c>
      <c r="C2046" s="31" t="s">
        <v>60</v>
      </c>
      <c r="D2046" s="31" t="s">
        <v>67</v>
      </c>
      <c r="E2046" s="31" t="s">
        <v>51</v>
      </c>
      <c r="F2046" s="31" t="s">
        <v>136</v>
      </c>
      <c r="G2046" s="31" t="n">
        <v>3</v>
      </c>
      <c r="H2046" s="41" t="n">
        <v>4.5</v>
      </c>
      <c r="I2046" s="31" t="s">
        <v>149</v>
      </c>
      <c r="J2046" s="31"/>
      <c r="K2046" s="31" t="s">
        <v>150</v>
      </c>
      <c r="L2046" s="45" t="n">
        <f aca="false">DATE(YEAR(B2046),MONTH(B2046),1)</f>
        <v>46204</v>
      </c>
      <c r="M2046" s="31" t="n">
        <f aca="false">WEEKDAY(B2046,2)</f>
        <v>3</v>
      </c>
      <c r="N2046" s="31" t="str">
        <f aca="false">IF(G2046&lt;=INDEX(Assumptions!$B$15:$B$18,MATCH(E2046,Assumptions!$A$15:$A$18,0)),"Yes","No")</f>
        <v>Yes</v>
      </c>
      <c r="O2046" s="31" t="str">
        <f aca="false">IF(H2046="","Open",IF(H2046&lt;=INDEX(Assumptions!$C$15:$C$18,MATCH(E2046,Assumptions!$A$15:$A$18,0)),"Yes","No"))</f>
        <v>Yes</v>
      </c>
    </row>
    <row r="2047" customFormat="false" ht="15" hidden="false" customHeight="false" outlineLevel="0" collapsed="false">
      <c r="A2047" s="31" t="s">
        <v>2197</v>
      </c>
      <c r="B2047" s="44" t="n">
        <v>46232</v>
      </c>
      <c r="C2047" s="31" t="s">
        <v>57</v>
      </c>
      <c r="D2047" s="31" t="s">
        <v>68</v>
      </c>
      <c r="E2047" s="31" t="s">
        <v>50</v>
      </c>
      <c r="F2047" s="31" t="s">
        <v>119</v>
      </c>
      <c r="G2047" s="31" t="n">
        <v>3</v>
      </c>
      <c r="H2047" s="41" t="n">
        <v>7.1</v>
      </c>
      <c r="I2047" s="31" t="s">
        <v>149</v>
      </c>
      <c r="J2047" s="31"/>
      <c r="K2047" s="31" t="s">
        <v>150</v>
      </c>
      <c r="L2047" s="45" t="n">
        <f aca="false">DATE(YEAR(B2047),MONTH(B2047),1)</f>
        <v>46204</v>
      </c>
      <c r="M2047" s="31" t="n">
        <f aca="false">WEEKDAY(B2047,2)</f>
        <v>3</v>
      </c>
      <c r="N2047" s="31" t="str">
        <f aca="false">IF(G2047&lt;=INDEX(Assumptions!$B$15:$B$18,MATCH(E2047,Assumptions!$A$15:$A$18,0)),"Yes","No")</f>
        <v>Yes</v>
      </c>
      <c r="O2047" s="31" t="str">
        <f aca="false">IF(H2047="","Open",IF(H2047&lt;=INDEX(Assumptions!$C$15:$C$18,MATCH(E2047,Assumptions!$A$15:$A$18,0)),"Yes","No"))</f>
        <v>Yes</v>
      </c>
    </row>
    <row r="2048" customFormat="false" ht="15" hidden="false" customHeight="false" outlineLevel="0" collapsed="false">
      <c r="A2048" s="31" t="s">
        <v>2198</v>
      </c>
      <c r="B2048" s="44" t="n">
        <v>46232</v>
      </c>
      <c r="C2048" s="31" t="s">
        <v>58</v>
      </c>
      <c r="D2048" s="31" t="s">
        <v>65</v>
      </c>
      <c r="E2048" s="31" t="s">
        <v>51</v>
      </c>
      <c r="F2048" s="31" t="s">
        <v>128</v>
      </c>
      <c r="G2048" s="31" t="n">
        <v>14</v>
      </c>
      <c r="H2048" s="41" t="n">
        <v>3.5</v>
      </c>
      <c r="I2048" s="31" t="s">
        <v>149</v>
      </c>
      <c r="J2048" s="31" t="n">
        <v>3</v>
      </c>
      <c r="K2048" s="31" t="s">
        <v>150</v>
      </c>
      <c r="L2048" s="45" t="n">
        <f aca="false">DATE(YEAR(B2048),MONTH(B2048),1)</f>
        <v>46204</v>
      </c>
      <c r="M2048" s="31" t="n">
        <f aca="false">WEEKDAY(B2048,2)</f>
        <v>3</v>
      </c>
      <c r="N2048" s="31" t="str">
        <f aca="false">IF(G2048&lt;=INDEX(Assumptions!$B$15:$B$18,MATCH(E2048,Assumptions!$A$15:$A$18,0)),"Yes","No")</f>
        <v>Yes</v>
      </c>
      <c r="O2048" s="31" t="str">
        <f aca="false">IF(H2048="","Open",IF(H2048&lt;=INDEX(Assumptions!$C$15:$C$18,MATCH(E2048,Assumptions!$A$15:$A$18,0)),"Yes","No"))</f>
        <v>Yes</v>
      </c>
    </row>
    <row r="2049" customFormat="false" ht="15" hidden="false" customHeight="false" outlineLevel="0" collapsed="false">
      <c r="A2049" s="31" t="s">
        <v>2199</v>
      </c>
      <c r="B2049" s="44" t="n">
        <v>46232</v>
      </c>
      <c r="C2049" s="31" t="s">
        <v>60</v>
      </c>
      <c r="D2049" s="31" t="s">
        <v>68</v>
      </c>
      <c r="E2049" s="31" t="s">
        <v>52</v>
      </c>
      <c r="F2049" s="31" t="s">
        <v>121</v>
      </c>
      <c r="G2049" s="31" t="n">
        <v>4</v>
      </c>
      <c r="H2049" s="41" t="n">
        <v>2.6</v>
      </c>
      <c r="I2049" s="31" t="s">
        <v>149</v>
      </c>
      <c r="J2049" s="31" t="n">
        <v>4</v>
      </c>
      <c r="K2049" s="31" t="s">
        <v>150</v>
      </c>
      <c r="L2049" s="45" t="n">
        <f aca="false">DATE(YEAR(B2049),MONTH(B2049),1)</f>
        <v>46204</v>
      </c>
      <c r="M2049" s="31" t="n">
        <f aca="false">WEEKDAY(B2049,2)</f>
        <v>3</v>
      </c>
      <c r="N2049" s="31" t="str">
        <f aca="false">IF(G2049&lt;=INDEX(Assumptions!$B$15:$B$18,MATCH(E2049,Assumptions!$A$15:$A$18,0)),"Yes","No")</f>
        <v>Yes</v>
      </c>
      <c r="O2049" s="31" t="str">
        <f aca="false">IF(H2049="","Open",IF(H2049&lt;=INDEX(Assumptions!$C$15:$C$18,MATCH(E2049,Assumptions!$A$15:$A$18,0)),"Yes","No"))</f>
        <v>Yes</v>
      </c>
    </row>
    <row r="2050" customFormat="false" ht="15" hidden="false" customHeight="false" outlineLevel="0" collapsed="false">
      <c r="A2050" s="31" t="s">
        <v>2200</v>
      </c>
      <c r="B2050" s="44" t="n">
        <v>46232</v>
      </c>
      <c r="C2050" s="31" t="s">
        <v>57</v>
      </c>
      <c r="D2050" s="31" t="s">
        <v>69</v>
      </c>
      <c r="E2050" s="31" t="s">
        <v>51</v>
      </c>
      <c r="F2050" s="31" t="s">
        <v>123</v>
      </c>
      <c r="G2050" s="31" t="n">
        <v>1</v>
      </c>
      <c r="H2050" s="41" t="n">
        <v>10.9</v>
      </c>
      <c r="I2050" s="31" t="s">
        <v>149</v>
      </c>
      <c r="J2050" s="31"/>
      <c r="K2050" s="31" t="s">
        <v>150</v>
      </c>
      <c r="L2050" s="45" t="n">
        <f aca="false">DATE(YEAR(B2050),MONTH(B2050),1)</f>
        <v>46204</v>
      </c>
      <c r="M2050" s="31" t="n">
        <f aca="false">WEEKDAY(B2050,2)</f>
        <v>3</v>
      </c>
      <c r="N2050" s="31" t="str">
        <f aca="false">IF(G2050&lt;=INDEX(Assumptions!$B$15:$B$18,MATCH(E2050,Assumptions!$A$15:$A$18,0)),"Yes","No")</f>
        <v>Yes</v>
      </c>
      <c r="O2050" s="31" t="str">
        <f aca="false">IF(H2050="","Open",IF(H2050&lt;=INDEX(Assumptions!$C$15:$C$18,MATCH(E2050,Assumptions!$A$15:$A$18,0)),"Yes","No"))</f>
        <v>Yes</v>
      </c>
    </row>
    <row r="2051" customFormat="false" ht="15" hidden="false" customHeight="false" outlineLevel="0" collapsed="false">
      <c r="A2051" s="31" t="s">
        <v>2201</v>
      </c>
      <c r="B2051" s="44" t="n">
        <v>46232</v>
      </c>
      <c r="C2051" s="31" t="s">
        <v>59</v>
      </c>
      <c r="D2051" s="31" t="s">
        <v>65</v>
      </c>
      <c r="E2051" s="31" t="s">
        <v>51</v>
      </c>
      <c r="F2051" s="31" t="s">
        <v>126</v>
      </c>
      <c r="G2051" s="31" t="n">
        <v>159</v>
      </c>
      <c r="H2051" s="41" t="n">
        <v>18.5</v>
      </c>
      <c r="I2051" s="31" t="s">
        <v>149</v>
      </c>
      <c r="J2051" s="31"/>
      <c r="K2051" s="31" t="s">
        <v>150</v>
      </c>
      <c r="L2051" s="45" t="n">
        <f aca="false">DATE(YEAR(B2051),MONTH(B2051),1)</f>
        <v>46204</v>
      </c>
      <c r="M2051" s="31" t="n">
        <f aca="false">WEEKDAY(B2051,2)</f>
        <v>3</v>
      </c>
      <c r="N2051" s="31" t="str">
        <f aca="false">IF(G2051&lt;=INDEX(Assumptions!$B$15:$B$18,MATCH(E2051,Assumptions!$A$15:$A$18,0)),"Yes","No")</f>
        <v>No</v>
      </c>
      <c r="O2051" s="31" t="str">
        <f aca="false">IF(H2051="","Open",IF(H2051&lt;=INDEX(Assumptions!$C$15:$C$18,MATCH(E2051,Assumptions!$A$15:$A$18,0)),"Yes","No"))</f>
        <v>Yes</v>
      </c>
    </row>
    <row r="2052" customFormat="false" ht="15" hidden="false" customHeight="false" outlineLevel="0" collapsed="false">
      <c r="A2052" s="31" t="s">
        <v>2202</v>
      </c>
      <c r="B2052" s="44" t="n">
        <v>46232</v>
      </c>
      <c r="C2052" s="31" t="s">
        <v>57</v>
      </c>
      <c r="D2052" s="31" t="s">
        <v>66</v>
      </c>
      <c r="E2052" s="31" t="s">
        <v>51</v>
      </c>
      <c r="F2052" s="31" t="s">
        <v>123</v>
      </c>
      <c r="G2052" s="31" t="n">
        <v>2</v>
      </c>
      <c r="H2052" s="41" t="n">
        <v>1</v>
      </c>
      <c r="I2052" s="31" t="s">
        <v>149</v>
      </c>
      <c r="J2052" s="31" t="n">
        <v>4</v>
      </c>
      <c r="K2052" s="31" t="s">
        <v>150</v>
      </c>
      <c r="L2052" s="45" t="n">
        <f aca="false">DATE(YEAR(B2052),MONTH(B2052),1)</f>
        <v>46204</v>
      </c>
      <c r="M2052" s="31" t="n">
        <f aca="false">WEEKDAY(B2052,2)</f>
        <v>3</v>
      </c>
      <c r="N2052" s="31" t="str">
        <f aca="false">IF(G2052&lt;=INDEX(Assumptions!$B$15:$B$18,MATCH(E2052,Assumptions!$A$15:$A$18,0)),"Yes","No")</f>
        <v>Yes</v>
      </c>
      <c r="O2052" s="31" t="str">
        <f aca="false">IF(H2052="","Open",IF(H2052&lt;=INDEX(Assumptions!$C$15:$C$18,MATCH(E2052,Assumptions!$A$15:$A$18,0)),"Yes","No"))</f>
        <v>Yes</v>
      </c>
    </row>
    <row r="2053" customFormat="false" ht="15" hidden="false" customHeight="false" outlineLevel="0" collapsed="false">
      <c r="A2053" s="31" t="s">
        <v>2203</v>
      </c>
      <c r="B2053" s="44" t="n">
        <v>46232</v>
      </c>
      <c r="C2053" s="31" t="s">
        <v>58</v>
      </c>
      <c r="D2053" s="31" t="s">
        <v>66</v>
      </c>
      <c r="E2053" s="31" t="s">
        <v>50</v>
      </c>
      <c r="F2053" s="31" t="s">
        <v>130</v>
      </c>
      <c r="G2053" s="31" t="n">
        <v>3</v>
      </c>
      <c r="H2053" s="41" t="n">
        <v>2.7</v>
      </c>
      <c r="I2053" s="31" t="s">
        <v>149</v>
      </c>
      <c r="J2053" s="31"/>
      <c r="K2053" s="31" t="s">
        <v>150</v>
      </c>
      <c r="L2053" s="45" t="n">
        <f aca="false">DATE(YEAR(B2053),MONTH(B2053),1)</f>
        <v>46204</v>
      </c>
      <c r="M2053" s="31" t="n">
        <f aca="false">WEEKDAY(B2053,2)</f>
        <v>3</v>
      </c>
      <c r="N2053" s="31" t="str">
        <f aca="false">IF(G2053&lt;=INDEX(Assumptions!$B$15:$B$18,MATCH(E2053,Assumptions!$A$15:$A$18,0)),"Yes","No")</f>
        <v>Yes</v>
      </c>
      <c r="O2053" s="31" t="str">
        <f aca="false">IF(H2053="","Open",IF(H2053&lt;=INDEX(Assumptions!$C$15:$C$18,MATCH(E2053,Assumptions!$A$15:$A$18,0)),"Yes","No"))</f>
        <v>Yes</v>
      </c>
    </row>
    <row r="2054" customFormat="false" ht="15" hidden="false" customHeight="false" outlineLevel="0" collapsed="false">
      <c r="A2054" s="31" t="s">
        <v>2204</v>
      </c>
      <c r="B2054" s="44" t="n">
        <v>46232</v>
      </c>
      <c r="C2054" s="31" t="s">
        <v>57</v>
      </c>
      <c r="D2054" s="31" t="s">
        <v>65</v>
      </c>
      <c r="E2054" s="31" t="s">
        <v>51</v>
      </c>
      <c r="F2054" s="31" t="s">
        <v>129</v>
      </c>
      <c r="G2054" s="31" t="n">
        <v>6</v>
      </c>
      <c r="H2054" s="41" t="n">
        <v>19.2</v>
      </c>
      <c r="I2054" s="31" t="s">
        <v>149</v>
      </c>
      <c r="J2054" s="31" t="n">
        <v>4</v>
      </c>
      <c r="K2054" s="31" t="s">
        <v>150</v>
      </c>
      <c r="L2054" s="45" t="n">
        <f aca="false">DATE(YEAR(B2054),MONTH(B2054),1)</f>
        <v>46204</v>
      </c>
      <c r="M2054" s="31" t="n">
        <f aca="false">WEEKDAY(B2054,2)</f>
        <v>3</v>
      </c>
      <c r="N2054" s="31" t="str">
        <f aca="false">IF(G2054&lt;=INDEX(Assumptions!$B$15:$B$18,MATCH(E2054,Assumptions!$A$15:$A$18,0)),"Yes","No")</f>
        <v>Yes</v>
      </c>
      <c r="O2054" s="31" t="str">
        <f aca="false">IF(H2054="","Open",IF(H2054&lt;=INDEX(Assumptions!$C$15:$C$18,MATCH(E2054,Assumptions!$A$15:$A$18,0)),"Yes","No"))</f>
        <v>Yes</v>
      </c>
    </row>
    <row r="2055" customFormat="false" ht="15" hidden="false" customHeight="false" outlineLevel="0" collapsed="false">
      <c r="A2055" s="31" t="s">
        <v>2205</v>
      </c>
      <c r="B2055" s="44" t="n">
        <v>46232</v>
      </c>
      <c r="C2055" s="31" t="s">
        <v>57</v>
      </c>
      <c r="D2055" s="31" t="s">
        <v>66</v>
      </c>
      <c r="E2055" s="31" t="s">
        <v>52</v>
      </c>
      <c r="F2055" s="31" t="s">
        <v>136</v>
      </c>
      <c r="G2055" s="31" t="n">
        <v>5</v>
      </c>
      <c r="H2055" s="41" t="n">
        <v>4.4</v>
      </c>
      <c r="I2055" s="31" t="s">
        <v>149</v>
      </c>
      <c r="J2055" s="31"/>
      <c r="K2055" s="31" t="s">
        <v>150</v>
      </c>
      <c r="L2055" s="45" t="n">
        <f aca="false">DATE(YEAR(B2055),MONTH(B2055),1)</f>
        <v>46204</v>
      </c>
      <c r="M2055" s="31" t="n">
        <f aca="false">WEEKDAY(B2055,2)</f>
        <v>3</v>
      </c>
      <c r="N2055" s="31" t="str">
        <f aca="false">IF(G2055&lt;=INDEX(Assumptions!$B$15:$B$18,MATCH(E2055,Assumptions!$A$15:$A$18,0)),"Yes","No")</f>
        <v>Yes</v>
      </c>
      <c r="O2055" s="31" t="str">
        <f aca="false">IF(H2055="","Open",IF(H2055&lt;=INDEX(Assumptions!$C$15:$C$18,MATCH(E2055,Assumptions!$A$15:$A$18,0)),"Yes","No"))</f>
        <v>Yes</v>
      </c>
    </row>
    <row r="2056" customFormat="false" ht="15" hidden="false" customHeight="false" outlineLevel="0" collapsed="false">
      <c r="A2056" s="31" t="s">
        <v>2206</v>
      </c>
      <c r="B2056" s="44" t="n">
        <v>46232</v>
      </c>
      <c r="C2056" s="31" t="s">
        <v>59</v>
      </c>
      <c r="D2056" s="31" t="s">
        <v>66</v>
      </c>
      <c r="E2056" s="31" t="s">
        <v>51</v>
      </c>
      <c r="F2056" s="31" t="s">
        <v>121</v>
      </c>
      <c r="G2056" s="31" t="n">
        <v>74</v>
      </c>
      <c r="H2056" s="41" t="n">
        <v>5.5</v>
      </c>
      <c r="I2056" s="31" t="s">
        <v>149</v>
      </c>
      <c r="J2056" s="31" t="n">
        <v>3</v>
      </c>
      <c r="K2056" s="31" t="s">
        <v>150</v>
      </c>
      <c r="L2056" s="45" t="n">
        <f aca="false">DATE(YEAR(B2056),MONTH(B2056),1)</f>
        <v>46204</v>
      </c>
      <c r="M2056" s="31" t="n">
        <f aca="false">WEEKDAY(B2056,2)</f>
        <v>3</v>
      </c>
      <c r="N2056" s="31" t="str">
        <f aca="false">IF(G2056&lt;=INDEX(Assumptions!$B$15:$B$18,MATCH(E2056,Assumptions!$A$15:$A$18,0)),"Yes","No")</f>
        <v>No</v>
      </c>
      <c r="O2056" s="31" t="str">
        <f aca="false">IF(H2056="","Open",IF(H2056&lt;=INDEX(Assumptions!$C$15:$C$18,MATCH(E2056,Assumptions!$A$15:$A$18,0)),"Yes","No"))</f>
        <v>Yes</v>
      </c>
    </row>
    <row r="2057" customFormat="false" ht="15" hidden="false" customHeight="false" outlineLevel="0" collapsed="false">
      <c r="A2057" s="31" t="s">
        <v>2207</v>
      </c>
      <c r="B2057" s="44" t="n">
        <v>46232</v>
      </c>
      <c r="C2057" s="31" t="s">
        <v>60</v>
      </c>
      <c r="D2057" s="31" t="s">
        <v>66</v>
      </c>
      <c r="E2057" s="31" t="s">
        <v>51</v>
      </c>
      <c r="F2057" s="31" t="s">
        <v>129</v>
      </c>
      <c r="G2057" s="31" t="n">
        <v>1</v>
      </c>
      <c r="H2057" s="41" t="n">
        <v>1.7</v>
      </c>
      <c r="I2057" s="31" t="s">
        <v>149</v>
      </c>
      <c r="J2057" s="31" t="n">
        <v>5</v>
      </c>
      <c r="K2057" s="31" t="s">
        <v>150</v>
      </c>
      <c r="L2057" s="45" t="n">
        <f aca="false">DATE(YEAR(B2057),MONTH(B2057),1)</f>
        <v>46204</v>
      </c>
      <c r="M2057" s="31" t="n">
        <f aca="false">WEEKDAY(B2057,2)</f>
        <v>3</v>
      </c>
      <c r="N2057" s="31" t="str">
        <f aca="false">IF(G2057&lt;=INDEX(Assumptions!$B$15:$B$18,MATCH(E2057,Assumptions!$A$15:$A$18,0)),"Yes","No")</f>
        <v>Yes</v>
      </c>
      <c r="O2057" s="31" t="str">
        <f aca="false">IF(H2057="","Open",IF(H2057&lt;=INDEX(Assumptions!$C$15:$C$18,MATCH(E2057,Assumptions!$A$15:$A$18,0)),"Yes","No"))</f>
        <v>Yes</v>
      </c>
    </row>
    <row r="2058" customFormat="false" ht="15" hidden="false" customHeight="false" outlineLevel="0" collapsed="false">
      <c r="A2058" s="31" t="s">
        <v>2208</v>
      </c>
      <c r="B2058" s="44" t="n">
        <v>46232</v>
      </c>
      <c r="C2058" s="31" t="s">
        <v>58</v>
      </c>
      <c r="D2058" s="31" t="s">
        <v>68</v>
      </c>
      <c r="E2058" s="31" t="s">
        <v>51</v>
      </c>
      <c r="F2058" s="31" t="s">
        <v>122</v>
      </c>
      <c r="G2058" s="31" t="n">
        <v>11</v>
      </c>
      <c r="H2058" s="41" t="n">
        <v>0.5</v>
      </c>
      <c r="I2058" s="31" t="s">
        <v>149</v>
      </c>
      <c r="J2058" s="31" t="n">
        <v>5</v>
      </c>
      <c r="K2058" s="31" t="s">
        <v>150</v>
      </c>
      <c r="L2058" s="45" t="n">
        <f aca="false">DATE(YEAR(B2058),MONTH(B2058),1)</f>
        <v>46204</v>
      </c>
      <c r="M2058" s="31" t="n">
        <f aca="false">WEEKDAY(B2058,2)</f>
        <v>3</v>
      </c>
      <c r="N2058" s="31" t="str">
        <f aca="false">IF(G2058&lt;=INDEX(Assumptions!$B$15:$B$18,MATCH(E2058,Assumptions!$A$15:$A$18,0)),"Yes","No")</f>
        <v>Yes</v>
      </c>
      <c r="O2058" s="31" t="str">
        <f aca="false">IF(H2058="","Open",IF(H2058&lt;=INDEX(Assumptions!$C$15:$C$18,MATCH(E2058,Assumptions!$A$15:$A$18,0)),"Yes","No"))</f>
        <v>Yes</v>
      </c>
    </row>
    <row r="2059" customFormat="false" ht="15" hidden="false" customHeight="false" outlineLevel="0" collapsed="false">
      <c r="A2059" s="31" t="s">
        <v>2209</v>
      </c>
      <c r="B2059" s="44" t="n">
        <v>46232</v>
      </c>
      <c r="C2059" s="31" t="s">
        <v>58</v>
      </c>
      <c r="D2059" s="31" t="s">
        <v>66</v>
      </c>
      <c r="E2059" s="31" t="s">
        <v>50</v>
      </c>
      <c r="F2059" s="31" t="s">
        <v>136</v>
      </c>
      <c r="G2059" s="31" t="n">
        <v>21</v>
      </c>
      <c r="H2059" s="41" t="n">
        <v>1.3</v>
      </c>
      <c r="I2059" s="31" t="s">
        <v>149</v>
      </c>
      <c r="J2059" s="31" t="n">
        <v>4</v>
      </c>
      <c r="K2059" s="31" t="s">
        <v>150</v>
      </c>
      <c r="L2059" s="45" t="n">
        <f aca="false">DATE(YEAR(B2059),MONTH(B2059),1)</f>
        <v>46204</v>
      </c>
      <c r="M2059" s="31" t="n">
        <f aca="false">WEEKDAY(B2059,2)</f>
        <v>3</v>
      </c>
      <c r="N2059" s="31" t="str">
        <f aca="false">IF(G2059&lt;=INDEX(Assumptions!$B$15:$B$18,MATCH(E2059,Assumptions!$A$15:$A$18,0)),"Yes","No")</f>
        <v>Yes</v>
      </c>
      <c r="O2059" s="31" t="str">
        <f aca="false">IF(H2059="","Open",IF(H2059&lt;=INDEX(Assumptions!$C$15:$C$18,MATCH(E2059,Assumptions!$A$15:$A$18,0)),"Yes","No"))</f>
        <v>Yes</v>
      </c>
    </row>
    <row r="2060" customFormat="false" ht="15" hidden="false" customHeight="false" outlineLevel="0" collapsed="false">
      <c r="A2060" s="31" t="s">
        <v>2210</v>
      </c>
      <c r="B2060" s="44" t="n">
        <v>46232</v>
      </c>
      <c r="C2060" s="31" t="s">
        <v>57</v>
      </c>
      <c r="D2060" s="31" t="s">
        <v>65</v>
      </c>
      <c r="E2060" s="31" t="s">
        <v>50</v>
      </c>
      <c r="F2060" s="31" t="s">
        <v>127</v>
      </c>
      <c r="G2060" s="31" t="n">
        <v>2</v>
      </c>
      <c r="H2060" s="41" t="n">
        <v>7.9</v>
      </c>
      <c r="I2060" s="31" t="s">
        <v>149</v>
      </c>
      <c r="J2060" s="31"/>
      <c r="K2060" s="31" t="s">
        <v>150</v>
      </c>
      <c r="L2060" s="45" t="n">
        <f aca="false">DATE(YEAR(B2060),MONTH(B2060),1)</f>
        <v>46204</v>
      </c>
      <c r="M2060" s="31" t="n">
        <f aca="false">WEEKDAY(B2060,2)</f>
        <v>3</v>
      </c>
      <c r="N2060" s="31" t="str">
        <f aca="false">IF(G2060&lt;=INDEX(Assumptions!$B$15:$B$18,MATCH(E2060,Assumptions!$A$15:$A$18,0)),"Yes","No")</f>
        <v>Yes</v>
      </c>
      <c r="O2060" s="31" t="str">
        <f aca="false">IF(H2060="","Open",IF(H2060&lt;=INDEX(Assumptions!$C$15:$C$18,MATCH(E2060,Assumptions!$A$15:$A$18,0)),"Yes","No"))</f>
        <v>Yes</v>
      </c>
    </row>
    <row r="2061" customFormat="false" ht="15" hidden="false" customHeight="false" outlineLevel="0" collapsed="false">
      <c r="A2061" s="31" t="s">
        <v>2211</v>
      </c>
      <c r="B2061" s="44" t="n">
        <v>46232</v>
      </c>
      <c r="C2061" s="31" t="s">
        <v>59</v>
      </c>
      <c r="D2061" s="31" t="s">
        <v>65</v>
      </c>
      <c r="E2061" s="31" t="s">
        <v>51</v>
      </c>
      <c r="F2061" s="31" t="s">
        <v>119</v>
      </c>
      <c r="G2061" s="31" t="n">
        <v>26</v>
      </c>
      <c r="H2061" s="41" t="n">
        <v>6.7</v>
      </c>
      <c r="I2061" s="31" t="s">
        <v>149</v>
      </c>
      <c r="J2061" s="31" t="n">
        <v>4</v>
      </c>
      <c r="K2061" s="31" t="s">
        <v>150</v>
      </c>
      <c r="L2061" s="45" t="n">
        <f aca="false">DATE(YEAR(B2061),MONTH(B2061),1)</f>
        <v>46204</v>
      </c>
      <c r="M2061" s="31" t="n">
        <f aca="false">WEEKDAY(B2061,2)</f>
        <v>3</v>
      </c>
      <c r="N2061" s="31" t="str">
        <f aca="false">IF(G2061&lt;=INDEX(Assumptions!$B$15:$B$18,MATCH(E2061,Assumptions!$A$15:$A$18,0)),"Yes","No")</f>
        <v>Yes</v>
      </c>
      <c r="O2061" s="31" t="str">
        <f aca="false">IF(H2061="","Open",IF(H2061&lt;=INDEX(Assumptions!$C$15:$C$18,MATCH(E2061,Assumptions!$A$15:$A$18,0)),"Yes","No"))</f>
        <v>Yes</v>
      </c>
    </row>
    <row r="2062" customFormat="false" ht="15" hidden="false" customHeight="false" outlineLevel="0" collapsed="false">
      <c r="A2062" s="31" t="s">
        <v>2212</v>
      </c>
      <c r="B2062" s="44" t="n">
        <v>46232</v>
      </c>
      <c r="C2062" s="31" t="s">
        <v>59</v>
      </c>
      <c r="D2062" s="31" t="s">
        <v>68</v>
      </c>
      <c r="E2062" s="31" t="s">
        <v>51</v>
      </c>
      <c r="F2062" s="31" t="s">
        <v>121</v>
      </c>
      <c r="G2062" s="31" t="n">
        <v>116</v>
      </c>
      <c r="H2062" s="41" t="n">
        <v>6.6</v>
      </c>
      <c r="I2062" s="31" t="s">
        <v>64</v>
      </c>
      <c r="J2062" s="31" t="n">
        <v>3</v>
      </c>
      <c r="K2062" s="31" t="s">
        <v>150</v>
      </c>
      <c r="L2062" s="45" t="n">
        <f aca="false">DATE(YEAR(B2062),MONTH(B2062),1)</f>
        <v>46204</v>
      </c>
      <c r="M2062" s="31" t="n">
        <f aca="false">WEEKDAY(B2062,2)</f>
        <v>3</v>
      </c>
      <c r="N2062" s="31" t="str">
        <f aca="false">IF(G2062&lt;=INDEX(Assumptions!$B$15:$B$18,MATCH(E2062,Assumptions!$A$15:$A$18,0)),"Yes","No")</f>
        <v>No</v>
      </c>
      <c r="O2062" s="31" t="str">
        <f aca="false">IF(H2062="","Open",IF(H2062&lt;=INDEX(Assumptions!$C$15:$C$18,MATCH(E2062,Assumptions!$A$15:$A$18,0)),"Yes","No"))</f>
        <v>Yes</v>
      </c>
    </row>
    <row r="2063" customFormat="false" ht="15" hidden="false" customHeight="false" outlineLevel="0" collapsed="false">
      <c r="A2063" s="31" t="s">
        <v>2213</v>
      </c>
      <c r="B2063" s="44" t="n">
        <v>46232</v>
      </c>
      <c r="C2063" s="31" t="s">
        <v>59</v>
      </c>
      <c r="D2063" s="31" t="s">
        <v>66</v>
      </c>
      <c r="E2063" s="31" t="s">
        <v>49</v>
      </c>
      <c r="F2063" s="31" t="s">
        <v>130</v>
      </c>
      <c r="G2063" s="31" t="n">
        <v>55</v>
      </c>
      <c r="H2063" s="41"/>
      <c r="I2063" s="31" t="s">
        <v>158</v>
      </c>
      <c r="J2063" s="31"/>
      <c r="K2063" s="31" t="s">
        <v>150</v>
      </c>
      <c r="L2063" s="45" t="n">
        <f aca="false">DATE(YEAR(B2063),MONTH(B2063),1)</f>
        <v>46204</v>
      </c>
      <c r="M2063" s="31" t="n">
        <f aca="false">WEEKDAY(B2063,2)</f>
        <v>3</v>
      </c>
      <c r="N2063" s="31" t="str">
        <f aca="false">IF(G2063&lt;=INDEX(Assumptions!$B$15:$B$18,MATCH(E2063,Assumptions!$A$15:$A$18,0)),"Yes","No")</f>
        <v>No</v>
      </c>
      <c r="O2063" s="31" t="str">
        <f aca="false">IF(H2063="","Open",IF(H2063&lt;=INDEX(Assumptions!$C$15:$C$18,MATCH(E2063,Assumptions!$A$15:$A$18,0)),"Yes","No"))</f>
        <v>Open</v>
      </c>
    </row>
    <row r="2064" customFormat="false" ht="15" hidden="false" customHeight="false" outlineLevel="0" collapsed="false">
      <c r="A2064" s="31" t="s">
        <v>2214</v>
      </c>
      <c r="B2064" s="44" t="n">
        <v>46232</v>
      </c>
      <c r="C2064" s="31" t="s">
        <v>58</v>
      </c>
      <c r="D2064" s="31" t="s">
        <v>69</v>
      </c>
      <c r="E2064" s="31" t="s">
        <v>50</v>
      </c>
      <c r="F2064" s="31" t="s">
        <v>128</v>
      </c>
      <c r="G2064" s="31" t="n">
        <v>7</v>
      </c>
      <c r="H2064" s="41" t="n">
        <v>19.1</v>
      </c>
      <c r="I2064" s="31" t="s">
        <v>149</v>
      </c>
      <c r="J2064" s="31" t="n">
        <v>3</v>
      </c>
      <c r="K2064" s="31" t="s">
        <v>150</v>
      </c>
      <c r="L2064" s="45" t="n">
        <f aca="false">DATE(YEAR(B2064),MONTH(B2064),1)</f>
        <v>46204</v>
      </c>
      <c r="M2064" s="31" t="n">
        <f aca="false">WEEKDAY(B2064,2)</f>
        <v>3</v>
      </c>
      <c r="N2064" s="31" t="str">
        <f aca="false">IF(G2064&lt;=INDEX(Assumptions!$B$15:$B$18,MATCH(E2064,Assumptions!$A$15:$A$18,0)),"Yes","No")</f>
        <v>Yes</v>
      </c>
      <c r="O2064" s="31" t="str">
        <f aca="false">IF(H2064="","Open",IF(H2064&lt;=INDEX(Assumptions!$C$15:$C$18,MATCH(E2064,Assumptions!$A$15:$A$18,0)),"Yes","No"))</f>
        <v>No</v>
      </c>
    </row>
    <row r="2065" customFormat="false" ht="15" hidden="false" customHeight="false" outlineLevel="0" collapsed="false">
      <c r="A2065" s="31" t="s">
        <v>2215</v>
      </c>
      <c r="B2065" s="44" t="n">
        <v>46232</v>
      </c>
      <c r="C2065" s="31" t="s">
        <v>57</v>
      </c>
      <c r="D2065" s="31" t="s">
        <v>66</v>
      </c>
      <c r="E2065" s="31" t="s">
        <v>50</v>
      </c>
      <c r="F2065" s="31" t="s">
        <v>131</v>
      </c>
      <c r="G2065" s="31" t="n">
        <v>1</v>
      </c>
      <c r="H2065" s="41" t="n">
        <v>7.1</v>
      </c>
      <c r="I2065" s="31" t="s">
        <v>149</v>
      </c>
      <c r="J2065" s="31"/>
      <c r="K2065" s="31" t="s">
        <v>150</v>
      </c>
      <c r="L2065" s="45" t="n">
        <f aca="false">DATE(YEAR(B2065),MONTH(B2065),1)</f>
        <v>46204</v>
      </c>
      <c r="M2065" s="31" t="n">
        <f aca="false">WEEKDAY(B2065,2)</f>
        <v>3</v>
      </c>
      <c r="N2065" s="31" t="str">
        <f aca="false">IF(G2065&lt;=INDEX(Assumptions!$B$15:$B$18,MATCH(E2065,Assumptions!$A$15:$A$18,0)),"Yes","No")</f>
        <v>Yes</v>
      </c>
      <c r="O2065" s="31" t="str">
        <f aca="false">IF(H2065="","Open",IF(H2065&lt;=INDEX(Assumptions!$C$15:$C$18,MATCH(E2065,Assumptions!$A$15:$A$18,0)),"Yes","No"))</f>
        <v>Yes</v>
      </c>
    </row>
    <row r="2066" customFormat="false" ht="15" hidden="false" customHeight="false" outlineLevel="0" collapsed="false">
      <c r="A2066" s="31" t="s">
        <v>2216</v>
      </c>
      <c r="B2066" s="44" t="n">
        <v>46232</v>
      </c>
      <c r="C2066" s="31" t="s">
        <v>57</v>
      </c>
      <c r="D2066" s="31" t="s">
        <v>68</v>
      </c>
      <c r="E2066" s="31" t="s">
        <v>52</v>
      </c>
      <c r="F2066" s="31" t="s">
        <v>131</v>
      </c>
      <c r="G2066" s="31" t="n">
        <v>19</v>
      </c>
      <c r="H2066" s="41" t="n">
        <v>11.5</v>
      </c>
      <c r="I2066" s="31" t="s">
        <v>149</v>
      </c>
      <c r="J2066" s="31"/>
      <c r="K2066" s="31" t="s">
        <v>150</v>
      </c>
      <c r="L2066" s="45" t="n">
        <f aca="false">DATE(YEAR(B2066),MONTH(B2066),1)</f>
        <v>46204</v>
      </c>
      <c r="M2066" s="31" t="n">
        <f aca="false">WEEKDAY(B2066,2)</f>
        <v>3</v>
      </c>
      <c r="N2066" s="31" t="str">
        <f aca="false">IF(G2066&lt;=INDEX(Assumptions!$B$15:$B$18,MATCH(E2066,Assumptions!$A$15:$A$18,0)),"Yes","No")</f>
        <v>Yes</v>
      </c>
      <c r="O2066" s="31" t="str">
        <f aca="false">IF(H2066="","Open",IF(H2066&lt;=INDEX(Assumptions!$C$15:$C$18,MATCH(E2066,Assumptions!$A$15:$A$18,0)),"Yes","No"))</f>
        <v>Yes</v>
      </c>
    </row>
    <row r="2067" customFormat="false" ht="15" hidden="false" customHeight="false" outlineLevel="0" collapsed="false">
      <c r="A2067" s="31" t="s">
        <v>2217</v>
      </c>
      <c r="B2067" s="44" t="n">
        <v>46232</v>
      </c>
      <c r="C2067" s="31" t="s">
        <v>60</v>
      </c>
      <c r="D2067" s="31" t="s">
        <v>68</v>
      </c>
      <c r="E2067" s="31" t="s">
        <v>51</v>
      </c>
      <c r="F2067" s="31" t="s">
        <v>130</v>
      </c>
      <c r="G2067" s="31" t="n">
        <v>1</v>
      </c>
      <c r="H2067" s="41" t="n">
        <v>1.4</v>
      </c>
      <c r="I2067" s="31" t="s">
        <v>149</v>
      </c>
      <c r="J2067" s="31"/>
      <c r="K2067" s="31" t="s">
        <v>150</v>
      </c>
      <c r="L2067" s="45" t="n">
        <f aca="false">DATE(YEAR(B2067),MONTH(B2067),1)</f>
        <v>46204</v>
      </c>
      <c r="M2067" s="31" t="n">
        <f aca="false">WEEKDAY(B2067,2)</f>
        <v>3</v>
      </c>
      <c r="N2067" s="31" t="str">
        <f aca="false">IF(G2067&lt;=INDEX(Assumptions!$B$15:$B$18,MATCH(E2067,Assumptions!$A$15:$A$18,0)),"Yes","No")</f>
        <v>Yes</v>
      </c>
      <c r="O2067" s="31" t="str">
        <f aca="false">IF(H2067="","Open",IF(H2067&lt;=INDEX(Assumptions!$C$15:$C$18,MATCH(E2067,Assumptions!$A$15:$A$18,0)),"Yes","No"))</f>
        <v>Yes</v>
      </c>
    </row>
    <row r="2068" customFormat="false" ht="15" hidden="false" customHeight="false" outlineLevel="0" collapsed="false">
      <c r="A2068" s="31" t="s">
        <v>2218</v>
      </c>
      <c r="B2068" s="44" t="n">
        <v>46232</v>
      </c>
      <c r="C2068" s="31" t="s">
        <v>58</v>
      </c>
      <c r="D2068" s="31" t="s">
        <v>66</v>
      </c>
      <c r="E2068" s="31" t="s">
        <v>51</v>
      </c>
      <c r="F2068" s="31" t="s">
        <v>120</v>
      </c>
      <c r="G2068" s="31" t="n">
        <v>19</v>
      </c>
      <c r="H2068" s="41" t="n">
        <v>3.8</v>
      </c>
      <c r="I2068" s="31" t="s">
        <v>149</v>
      </c>
      <c r="J2068" s="31" t="n">
        <v>4</v>
      </c>
      <c r="K2068" s="31" t="s">
        <v>150</v>
      </c>
      <c r="L2068" s="45" t="n">
        <f aca="false">DATE(YEAR(B2068),MONTH(B2068),1)</f>
        <v>46204</v>
      </c>
      <c r="M2068" s="31" t="n">
        <f aca="false">WEEKDAY(B2068,2)</f>
        <v>3</v>
      </c>
      <c r="N2068" s="31" t="str">
        <f aca="false">IF(G2068&lt;=INDEX(Assumptions!$B$15:$B$18,MATCH(E2068,Assumptions!$A$15:$A$18,0)),"Yes","No")</f>
        <v>Yes</v>
      </c>
      <c r="O2068" s="31" t="str">
        <f aca="false">IF(H2068="","Open",IF(H2068&lt;=INDEX(Assumptions!$C$15:$C$18,MATCH(E2068,Assumptions!$A$15:$A$18,0)),"Yes","No"))</f>
        <v>Yes</v>
      </c>
    </row>
    <row r="2069" customFormat="false" ht="15" hidden="false" customHeight="false" outlineLevel="0" collapsed="false">
      <c r="A2069" s="31" t="s">
        <v>2219</v>
      </c>
      <c r="B2069" s="44" t="n">
        <v>46232</v>
      </c>
      <c r="C2069" s="31" t="s">
        <v>60</v>
      </c>
      <c r="D2069" s="31" t="s">
        <v>66</v>
      </c>
      <c r="E2069" s="31" t="s">
        <v>51</v>
      </c>
      <c r="F2069" s="31" t="s">
        <v>120</v>
      </c>
      <c r="G2069" s="31" t="n">
        <v>5</v>
      </c>
      <c r="H2069" s="41" t="n">
        <v>3.9</v>
      </c>
      <c r="I2069" s="31" t="s">
        <v>149</v>
      </c>
      <c r="J2069" s="31" t="n">
        <v>4</v>
      </c>
      <c r="K2069" s="31" t="s">
        <v>150</v>
      </c>
      <c r="L2069" s="45" t="n">
        <f aca="false">DATE(YEAR(B2069),MONTH(B2069),1)</f>
        <v>46204</v>
      </c>
      <c r="M2069" s="31" t="n">
        <f aca="false">WEEKDAY(B2069,2)</f>
        <v>3</v>
      </c>
      <c r="N2069" s="31" t="str">
        <f aca="false">IF(G2069&lt;=INDEX(Assumptions!$B$15:$B$18,MATCH(E2069,Assumptions!$A$15:$A$18,0)),"Yes","No")</f>
        <v>Yes</v>
      </c>
      <c r="O2069" s="31" t="str">
        <f aca="false">IF(H2069="","Open",IF(H2069&lt;=INDEX(Assumptions!$C$15:$C$18,MATCH(E2069,Assumptions!$A$15:$A$18,0)),"Yes","No"))</f>
        <v>Yes</v>
      </c>
    </row>
    <row r="2070" customFormat="false" ht="15" hidden="false" customHeight="false" outlineLevel="0" collapsed="false">
      <c r="A2070" s="31" t="s">
        <v>2220</v>
      </c>
      <c r="B2070" s="44" t="n">
        <v>46232</v>
      </c>
      <c r="C2070" s="31" t="s">
        <v>58</v>
      </c>
      <c r="D2070" s="31" t="s">
        <v>66</v>
      </c>
      <c r="E2070" s="31" t="s">
        <v>50</v>
      </c>
      <c r="F2070" s="31" t="s">
        <v>136</v>
      </c>
      <c r="G2070" s="31" t="n">
        <v>5</v>
      </c>
      <c r="H2070" s="41"/>
      <c r="I2070" s="31" t="s">
        <v>158</v>
      </c>
      <c r="J2070" s="31"/>
      <c r="K2070" s="31" t="s">
        <v>150</v>
      </c>
      <c r="L2070" s="45" t="n">
        <f aca="false">DATE(YEAR(B2070),MONTH(B2070),1)</f>
        <v>46204</v>
      </c>
      <c r="M2070" s="31" t="n">
        <f aca="false">WEEKDAY(B2070,2)</f>
        <v>3</v>
      </c>
      <c r="N2070" s="31" t="str">
        <f aca="false">IF(G2070&lt;=INDEX(Assumptions!$B$15:$B$18,MATCH(E2070,Assumptions!$A$15:$A$18,0)),"Yes","No")</f>
        <v>Yes</v>
      </c>
      <c r="O2070" s="31" t="str">
        <f aca="false">IF(H2070="","Open",IF(H2070&lt;=INDEX(Assumptions!$C$15:$C$18,MATCH(E2070,Assumptions!$A$15:$A$18,0)),"Yes","No"))</f>
        <v>Open</v>
      </c>
    </row>
    <row r="2071" customFormat="false" ht="15" hidden="false" customHeight="false" outlineLevel="0" collapsed="false">
      <c r="A2071" s="31" t="s">
        <v>2221</v>
      </c>
      <c r="B2071" s="44" t="n">
        <v>46232</v>
      </c>
      <c r="C2071" s="31" t="s">
        <v>57</v>
      </c>
      <c r="D2071" s="31" t="s">
        <v>68</v>
      </c>
      <c r="E2071" s="31" t="s">
        <v>51</v>
      </c>
      <c r="F2071" s="31" t="s">
        <v>126</v>
      </c>
      <c r="G2071" s="31" t="n">
        <v>8</v>
      </c>
      <c r="H2071" s="41" t="n">
        <v>1</v>
      </c>
      <c r="I2071" s="31" t="s">
        <v>149</v>
      </c>
      <c r="J2071" s="31" t="n">
        <v>5</v>
      </c>
      <c r="K2071" s="31" t="s">
        <v>150</v>
      </c>
      <c r="L2071" s="45" t="n">
        <f aca="false">DATE(YEAR(B2071),MONTH(B2071),1)</f>
        <v>46204</v>
      </c>
      <c r="M2071" s="31" t="n">
        <f aca="false">WEEKDAY(B2071,2)</f>
        <v>3</v>
      </c>
      <c r="N2071" s="31" t="str">
        <f aca="false">IF(G2071&lt;=INDEX(Assumptions!$B$15:$B$18,MATCH(E2071,Assumptions!$A$15:$A$18,0)),"Yes","No")</f>
        <v>Yes</v>
      </c>
      <c r="O2071" s="31" t="str">
        <f aca="false">IF(H2071="","Open",IF(H2071&lt;=INDEX(Assumptions!$C$15:$C$18,MATCH(E2071,Assumptions!$A$15:$A$18,0)),"Yes","No"))</f>
        <v>Yes</v>
      </c>
    </row>
    <row r="2072" customFormat="false" ht="15" hidden="false" customHeight="false" outlineLevel="0" collapsed="false">
      <c r="A2072" s="31" t="s">
        <v>2222</v>
      </c>
      <c r="B2072" s="44" t="n">
        <v>46232</v>
      </c>
      <c r="C2072" s="31" t="s">
        <v>59</v>
      </c>
      <c r="D2072" s="31" t="s">
        <v>68</v>
      </c>
      <c r="E2072" s="31" t="s">
        <v>51</v>
      </c>
      <c r="F2072" s="31" t="s">
        <v>122</v>
      </c>
      <c r="G2072" s="31" t="n">
        <v>541</v>
      </c>
      <c r="H2072" s="41" t="n">
        <v>2.2</v>
      </c>
      <c r="I2072" s="31" t="s">
        <v>149</v>
      </c>
      <c r="J2072" s="31"/>
      <c r="K2072" s="31" t="s">
        <v>153</v>
      </c>
      <c r="L2072" s="45" t="n">
        <f aca="false">DATE(YEAR(B2072),MONTH(B2072),1)</f>
        <v>46204</v>
      </c>
      <c r="M2072" s="31" t="n">
        <f aca="false">WEEKDAY(B2072,2)</f>
        <v>3</v>
      </c>
      <c r="N2072" s="31" t="str">
        <f aca="false">IF(G2072&lt;=INDEX(Assumptions!$B$15:$B$18,MATCH(E2072,Assumptions!$A$15:$A$18,0)),"Yes","No")</f>
        <v>No</v>
      </c>
      <c r="O2072" s="31" t="str">
        <f aca="false">IF(H2072="","Open",IF(H2072&lt;=INDEX(Assumptions!$C$15:$C$18,MATCH(E2072,Assumptions!$A$15:$A$18,0)),"Yes","No"))</f>
        <v>Yes</v>
      </c>
    </row>
    <row r="2073" customFormat="false" ht="15" hidden="false" customHeight="false" outlineLevel="0" collapsed="false">
      <c r="A2073" s="31" t="s">
        <v>2223</v>
      </c>
      <c r="B2073" s="44" t="n">
        <v>46232</v>
      </c>
      <c r="C2073" s="31" t="s">
        <v>57</v>
      </c>
      <c r="D2073" s="31" t="s">
        <v>65</v>
      </c>
      <c r="E2073" s="31" t="s">
        <v>51</v>
      </c>
      <c r="F2073" s="31" t="s">
        <v>124</v>
      </c>
      <c r="G2073" s="31" t="n">
        <v>2</v>
      </c>
      <c r="H2073" s="41" t="n">
        <v>4.1</v>
      </c>
      <c r="I2073" s="31" t="s">
        <v>149</v>
      </c>
      <c r="J2073" s="31" t="n">
        <v>5</v>
      </c>
      <c r="K2073" s="31" t="s">
        <v>150</v>
      </c>
      <c r="L2073" s="45" t="n">
        <f aca="false">DATE(YEAR(B2073),MONTH(B2073),1)</f>
        <v>46204</v>
      </c>
      <c r="M2073" s="31" t="n">
        <f aca="false">WEEKDAY(B2073,2)</f>
        <v>3</v>
      </c>
      <c r="N2073" s="31" t="str">
        <f aca="false">IF(G2073&lt;=INDEX(Assumptions!$B$15:$B$18,MATCH(E2073,Assumptions!$A$15:$A$18,0)),"Yes","No")</f>
        <v>Yes</v>
      </c>
      <c r="O2073" s="31" t="str">
        <f aca="false">IF(H2073="","Open",IF(H2073&lt;=INDEX(Assumptions!$C$15:$C$18,MATCH(E2073,Assumptions!$A$15:$A$18,0)),"Yes","No"))</f>
        <v>Yes</v>
      </c>
    </row>
    <row r="2074" customFormat="false" ht="15" hidden="false" customHeight="false" outlineLevel="0" collapsed="false">
      <c r="A2074" s="31" t="s">
        <v>2224</v>
      </c>
      <c r="B2074" s="44" t="n">
        <v>46232</v>
      </c>
      <c r="C2074" s="31" t="s">
        <v>58</v>
      </c>
      <c r="D2074" s="31" t="s">
        <v>66</v>
      </c>
      <c r="E2074" s="31" t="s">
        <v>49</v>
      </c>
      <c r="F2074" s="31" t="s">
        <v>133</v>
      </c>
      <c r="G2074" s="31" t="n">
        <v>5</v>
      </c>
      <c r="H2074" s="41" t="n">
        <v>0.4</v>
      </c>
      <c r="I2074" s="31" t="s">
        <v>149</v>
      </c>
      <c r="J2074" s="31" t="n">
        <v>4</v>
      </c>
      <c r="K2074" s="31" t="s">
        <v>150</v>
      </c>
      <c r="L2074" s="45" t="n">
        <f aca="false">DATE(YEAR(B2074),MONTH(B2074),1)</f>
        <v>46204</v>
      </c>
      <c r="M2074" s="31" t="n">
        <f aca="false">WEEKDAY(B2074,2)</f>
        <v>3</v>
      </c>
      <c r="N2074" s="31" t="str">
        <f aca="false">IF(G2074&lt;=INDEX(Assumptions!$B$15:$B$18,MATCH(E2074,Assumptions!$A$15:$A$18,0)),"Yes","No")</f>
        <v>Yes</v>
      </c>
      <c r="O2074" s="31" t="str">
        <f aca="false">IF(H2074="","Open",IF(H2074&lt;=INDEX(Assumptions!$C$15:$C$18,MATCH(E2074,Assumptions!$A$15:$A$18,0)),"Yes","No"))</f>
        <v>Yes</v>
      </c>
    </row>
    <row r="2075" customFormat="false" ht="15" hidden="false" customHeight="false" outlineLevel="0" collapsed="false">
      <c r="A2075" s="31" t="s">
        <v>2225</v>
      </c>
      <c r="B2075" s="44" t="n">
        <v>46232</v>
      </c>
      <c r="C2075" s="31" t="s">
        <v>60</v>
      </c>
      <c r="D2075" s="31" t="s">
        <v>65</v>
      </c>
      <c r="E2075" s="31" t="s">
        <v>51</v>
      </c>
      <c r="F2075" s="31" t="s">
        <v>131</v>
      </c>
      <c r="G2075" s="31" t="n">
        <v>2</v>
      </c>
      <c r="H2075" s="41" t="n">
        <v>47</v>
      </c>
      <c r="I2075" s="31" t="s">
        <v>149</v>
      </c>
      <c r="J2075" s="31" t="n">
        <v>5</v>
      </c>
      <c r="K2075" s="31" t="s">
        <v>150</v>
      </c>
      <c r="L2075" s="45" t="n">
        <f aca="false">DATE(YEAR(B2075),MONTH(B2075),1)</f>
        <v>46204</v>
      </c>
      <c r="M2075" s="31" t="n">
        <f aca="false">WEEKDAY(B2075,2)</f>
        <v>3</v>
      </c>
      <c r="N2075" s="31" t="str">
        <f aca="false">IF(G2075&lt;=INDEX(Assumptions!$B$15:$B$18,MATCH(E2075,Assumptions!$A$15:$A$18,0)),"Yes","No")</f>
        <v>Yes</v>
      </c>
      <c r="O2075" s="31" t="str">
        <f aca="false">IF(H2075="","Open",IF(H2075&lt;=INDEX(Assumptions!$C$15:$C$18,MATCH(E2075,Assumptions!$A$15:$A$18,0)),"Yes","No"))</f>
        <v>No</v>
      </c>
    </row>
    <row r="2076" customFormat="false" ht="15" hidden="false" customHeight="false" outlineLevel="0" collapsed="false">
      <c r="A2076" s="31" t="s">
        <v>2226</v>
      </c>
      <c r="B2076" s="44" t="n">
        <v>46232</v>
      </c>
      <c r="C2076" s="31" t="s">
        <v>57</v>
      </c>
      <c r="D2076" s="31" t="s">
        <v>67</v>
      </c>
      <c r="E2076" s="31" t="s">
        <v>52</v>
      </c>
      <c r="F2076" s="31" t="s">
        <v>126</v>
      </c>
      <c r="G2076" s="31" t="n">
        <v>5</v>
      </c>
      <c r="H2076" s="41" t="n">
        <v>13.1</v>
      </c>
      <c r="I2076" s="31" t="s">
        <v>149</v>
      </c>
      <c r="J2076" s="31"/>
      <c r="K2076" s="31" t="s">
        <v>150</v>
      </c>
      <c r="L2076" s="45" t="n">
        <f aca="false">DATE(YEAR(B2076),MONTH(B2076),1)</f>
        <v>46204</v>
      </c>
      <c r="M2076" s="31" t="n">
        <f aca="false">WEEKDAY(B2076,2)</f>
        <v>3</v>
      </c>
      <c r="N2076" s="31" t="str">
        <f aca="false">IF(G2076&lt;=INDEX(Assumptions!$B$15:$B$18,MATCH(E2076,Assumptions!$A$15:$A$18,0)),"Yes","No")</f>
        <v>Yes</v>
      </c>
      <c r="O2076" s="31" t="str">
        <f aca="false">IF(H2076="","Open",IF(H2076&lt;=INDEX(Assumptions!$C$15:$C$18,MATCH(E2076,Assumptions!$A$15:$A$18,0)),"Yes","No"))</f>
        <v>Yes</v>
      </c>
    </row>
    <row r="2077" customFormat="false" ht="15" hidden="false" customHeight="false" outlineLevel="0" collapsed="false">
      <c r="A2077" s="31" t="s">
        <v>2227</v>
      </c>
      <c r="B2077" s="44" t="n">
        <v>46232</v>
      </c>
      <c r="C2077" s="31" t="s">
        <v>60</v>
      </c>
      <c r="D2077" s="31" t="s">
        <v>67</v>
      </c>
      <c r="E2077" s="31" t="s">
        <v>51</v>
      </c>
      <c r="F2077" s="31" t="s">
        <v>131</v>
      </c>
      <c r="G2077" s="31" t="n">
        <v>1</v>
      </c>
      <c r="H2077" s="41" t="n">
        <v>4.2</v>
      </c>
      <c r="I2077" s="31" t="s">
        <v>149</v>
      </c>
      <c r="J2077" s="31" t="n">
        <v>5</v>
      </c>
      <c r="K2077" s="31" t="s">
        <v>150</v>
      </c>
      <c r="L2077" s="45" t="n">
        <f aca="false">DATE(YEAR(B2077),MONTH(B2077),1)</f>
        <v>46204</v>
      </c>
      <c r="M2077" s="31" t="n">
        <f aca="false">WEEKDAY(B2077,2)</f>
        <v>3</v>
      </c>
      <c r="N2077" s="31" t="str">
        <f aca="false">IF(G2077&lt;=INDEX(Assumptions!$B$15:$B$18,MATCH(E2077,Assumptions!$A$15:$A$18,0)),"Yes","No")</f>
        <v>Yes</v>
      </c>
      <c r="O2077" s="31" t="str">
        <f aca="false">IF(H2077="","Open",IF(H2077&lt;=INDEX(Assumptions!$C$15:$C$18,MATCH(E2077,Assumptions!$A$15:$A$18,0)),"Yes","No"))</f>
        <v>Yes</v>
      </c>
    </row>
    <row r="2078" customFormat="false" ht="15" hidden="false" customHeight="false" outlineLevel="0" collapsed="false">
      <c r="A2078" s="31" t="s">
        <v>2228</v>
      </c>
      <c r="B2078" s="44" t="n">
        <v>46232</v>
      </c>
      <c r="C2078" s="31" t="s">
        <v>58</v>
      </c>
      <c r="D2078" s="31" t="s">
        <v>65</v>
      </c>
      <c r="E2078" s="31" t="s">
        <v>49</v>
      </c>
      <c r="F2078" s="31" t="s">
        <v>126</v>
      </c>
      <c r="G2078" s="31" t="n">
        <v>2</v>
      </c>
      <c r="H2078" s="41" t="n">
        <v>3.5</v>
      </c>
      <c r="I2078" s="31" t="s">
        <v>149</v>
      </c>
      <c r="J2078" s="31"/>
      <c r="K2078" s="31" t="s">
        <v>150</v>
      </c>
      <c r="L2078" s="45" t="n">
        <f aca="false">DATE(YEAR(B2078),MONTH(B2078),1)</f>
        <v>46204</v>
      </c>
      <c r="M2078" s="31" t="n">
        <f aca="false">WEEKDAY(B2078,2)</f>
        <v>3</v>
      </c>
      <c r="N2078" s="31" t="str">
        <f aca="false">IF(G2078&lt;=INDEX(Assumptions!$B$15:$B$18,MATCH(E2078,Assumptions!$A$15:$A$18,0)),"Yes","No")</f>
        <v>Yes</v>
      </c>
      <c r="O2078" s="31" t="str">
        <f aca="false">IF(H2078="","Open",IF(H2078&lt;=INDEX(Assumptions!$C$15:$C$18,MATCH(E2078,Assumptions!$A$15:$A$18,0)),"Yes","No"))</f>
        <v>Yes</v>
      </c>
    </row>
    <row r="2079" customFormat="false" ht="15" hidden="false" customHeight="false" outlineLevel="0" collapsed="false">
      <c r="A2079" s="31" t="s">
        <v>2229</v>
      </c>
      <c r="B2079" s="44" t="n">
        <v>46232</v>
      </c>
      <c r="C2079" s="31" t="s">
        <v>58</v>
      </c>
      <c r="D2079" s="31" t="s">
        <v>69</v>
      </c>
      <c r="E2079" s="31" t="s">
        <v>51</v>
      </c>
      <c r="F2079" s="31" t="s">
        <v>136</v>
      </c>
      <c r="G2079" s="31" t="n">
        <v>15</v>
      </c>
      <c r="H2079" s="41" t="n">
        <v>11.4</v>
      </c>
      <c r="I2079" s="31" t="s">
        <v>149</v>
      </c>
      <c r="J2079" s="31"/>
      <c r="K2079" s="31" t="s">
        <v>150</v>
      </c>
      <c r="L2079" s="45" t="n">
        <f aca="false">DATE(YEAR(B2079),MONTH(B2079),1)</f>
        <v>46204</v>
      </c>
      <c r="M2079" s="31" t="n">
        <f aca="false">WEEKDAY(B2079,2)</f>
        <v>3</v>
      </c>
      <c r="N2079" s="31" t="str">
        <f aca="false">IF(G2079&lt;=INDEX(Assumptions!$B$15:$B$18,MATCH(E2079,Assumptions!$A$15:$A$18,0)),"Yes","No")</f>
        <v>Yes</v>
      </c>
      <c r="O2079" s="31" t="str">
        <f aca="false">IF(H2079="","Open",IF(H2079&lt;=INDEX(Assumptions!$C$15:$C$18,MATCH(E2079,Assumptions!$A$15:$A$18,0)),"Yes","No"))</f>
        <v>Yes</v>
      </c>
    </row>
    <row r="2080" customFormat="false" ht="15" hidden="false" customHeight="false" outlineLevel="0" collapsed="false">
      <c r="A2080" s="31" t="s">
        <v>2230</v>
      </c>
      <c r="B2080" s="44" t="n">
        <v>46232</v>
      </c>
      <c r="C2080" s="31" t="s">
        <v>57</v>
      </c>
      <c r="D2080" s="31" t="s">
        <v>69</v>
      </c>
      <c r="E2080" s="31" t="s">
        <v>52</v>
      </c>
      <c r="F2080" s="31" t="s">
        <v>129</v>
      </c>
      <c r="G2080" s="31" t="n">
        <v>2</v>
      </c>
      <c r="H2080" s="41" t="n">
        <v>1.6</v>
      </c>
      <c r="I2080" s="31" t="s">
        <v>149</v>
      </c>
      <c r="J2080" s="31"/>
      <c r="K2080" s="31" t="s">
        <v>150</v>
      </c>
      <c r="L2080" s="45" t="n">
        <f aca="false">DATE(YEAR(B2080),MONTH(B2080),1)</f>
        <v>46204</v>
      </c>
      <c r="M2080" s="31" t="n">
        <f aca="false">WEEKDAY(B2080,2)</f>
        <v>3</v>
      </c>
      <c r="N2080" s="31" t="str">
        <f aca="false">IF(G2080&lt;=INDEX(Assumptions!$B$15:$B$18,MATCH(E2080,Assumptions!$A$15:$A$18,0)),"Yes","No")</f>
        <v>Yes</v>
      </c>
      <c r="O2080" s="31" t="str">
        <f aca="false">IF(H2080="","Open",IF(H2080&lt;=INDEX(Assumptions!$C$15:$C$18,MATCH(E2080,Assumptions!$A$15:$A$18,0)),"Yes","No"))</f>
        <v>Yes</v>
      </c>
    </row>
    <row r="2081" customFormat="false" ht="15" hidden="false" customHeight="false" outlineLevel="0" collapsed="false">
      <c r="A2081" s="31" t="s">
        <v>2231</v>
      </c>
      <c r="B2081" s="44" t="n">
        <v>46232</v>
      </c>
      <c r="C2081" s="31" t="s">
        <v>60</v>
      </c>
      <c r="D2081" s="31" t="s">
        <v>65</v>
      </c>
      <c r="E2081" s="31" t="s">
        <v>51</v>
      </c>
      <c r="F2081" s="31" t="s">
        <v>119</v>
      </c>
      <c r="G2081" s="31" t="n">
        <v>5</v>
      </c>
      <c r="H2081" s="41" t="n">
        <v>44</v>
      </c>
      <c r="I2081" s="31" t="s">
        <v>149</v>
      </c>
      <c r="J2081" s="31"/>
      <c r="K2081" s="31" t="s">
        <v>150</v>
      </c>
      <c r="L2081" s="45" t="n">
        <f aca="false">DATE(YEAR(B2081),MONTH(B2081),1)</f>
        <v>46204</v>
      </c>
      <c r="M2081" s="31" t="n">
        <f aca="false">WEEKDAY(B2081,2)</f>
        <v>3</v>
      </c>
      <c r="N2081" s="31" t="str">
        <f aca="false">IF(G2081&lt;=INDEX(Assumptions!$B$15:$B$18,MATCH(E2081,Assumptions!$A$15:$A$18,0)),"Yes","No")</f>
        <v>Yes</v>
      </c>
      <c r="O2081" s="31" t="str">
        <f aca="false">IF(H2081="","Open",IF(H2081&lt;=INDEX(Assumptions!$C$15:$C$18,MATCH(E2081,Assumptions!$A$15:$A$18,0)),"Yes","No"))</f>
        <v>No</v>
      </c>
    </row>
    <row r="2082" customFormat="false" ht="15" hidden="false" customHeight="false" outlineLevel="0" collapsed="false">
      <c r="A2082" s="31" t="s">
        <v>2232</v>
      </c>
      <c r="B2082" s="44" t="n">
        <v>46232</v>
      </c>
      <c r="C2082" s="31" t="s">
        <v>57</v>
      </c>
      <c r="D2082" s="31" t="s">
        <v>65</v>
      </c>
      <c r="E2082" s="31" t="s">
        <v>50</v>
      </c>
      <c r="F2082" s="31" t="s">
        <v>120</v>
      </c>
      <c r="G2082" s="31" t="n">
        <v>6</v>
      </c>
      <c r="H2082" s="41" t="n">
        <v>14.5</v>
      </c>
      <c r="I2082" s="31" t="s">
        <v>149</v>
      </c>
      <c r="J2082" s="31"/>
      <c r="K2082" s="31" t="s">
        <v>150</v>
      </c>
      <c r="L2082" s="45" t="n">
        <f aca="false">DATE(YEAR(B2082),MONTH(B2082),1)</f>
        <v>46204</v>
      </c>
      <c r="M2082" s="31" t="n">
        <f aca="false">WEEKDAY(B2082,2)</f>
        <v>3</v>
      </c>
      <c r="N2082" s="31" t="str">
        <f aca="false">IF(G2082&lt;=INDEX(Assumptions!$B$15:$B$18,MATCH(E2082,Assumptions!$A$15:$A$18,0)),"Yes","No")</f>
        <v>Yes</v>
      </c>
      <c r="O2082" s="31" t="str">
        <f aca="false">IF(H2082="","Open",IF(H2082&lt;=INDEX(Assumptions!$C$15:$C$18,MATCH(E2082,Assumptions!$A$15:$A$18,0)),"Yes","No"))</f>
        <v>No</v>
      </c>
    </row>
    <row r="2083" customFormat="false" ht="15" hidden="false" customHeight="false" outlineLevel="0" collapsed="false">
      <c r="A2083" s="31" t="s">
        <v>2233</v>
      </c>
      <c r="B2083" s="44" t="n">
        <v>46232</v>
      </c>
      <c r="C2083" s="31" t="s">
        <v>58</v>
      </c>
      <c r="D2083" s="31" t="s">
        <v>66</v>
      </c>
      <c r="E2083" s="31" t="s">
        <v>50</v>
      </c>
      <c r="F2083" s="31" t="s">
        <v>134</v>
      </c>
      <c r="G2083" s="31" t="n">
        <v>48</v>
      </c>
      <c r="H2083" s="41" t="n">
        <v>4.3</v>
      </c>
      <c r="I2083" s="31" t="s">
        <v>149</v>
      </c>
      <c r="J2083" s="31" t="n">
        <v>4</v>
      </c>
      <c r="K2083" s="31" t="s">
        <v>153</v>
      </c>
      <c r="L2083" s="45" t="n">
        <f aca="false">DATE(YEAR(B2083),MONTH(B2083),1)</f>
        <v>46204</v>
      </c>
      <c r="M2083" s="31" t="n">
        <f aca="false">WEEKDAY(B2083,2)</f>
        <v>3</v>
      </c>
      <c r="N2083" s="31" t="str">
        <f aca="false">IF(G2083&lt;=INDEX(Assumptions!$B$15:$B$18,MATCH(E2083,Assumptions!$A$15:$A$18,0)),"Yes","No")</f>
        <v>No</v>
      </c>
      <c r="O2083" s="31" t="str">
        <f aca="false">IF(H2083="","Open",IF(H2083&lt;=INDEX(Assumptions!$C$15:$C$18,MATCH(E2083,Assumptions!$A$15:$A$18,0)),"Yes","No"))</f>
        <v>Yes</v>
      </c>
    </row>
    <row r="2084" customFormat="false" ht="15" hidden="false" customHeight="false" outlineLevel="0" collapsed="false">
      <c r="A2084" s="31" t="s">
        <v>2234</v>
      </c>
      <c r="B2084" s="44" t="n">
        <v>46233</v>
      </c>
      <c r="C2084" s="31" t="s">
        <v>60</v>
      </c>
      <c r="D2084" s="31" t="s">
        <v>69</v>
      </c>
      <c r="E2084" s="31" t="s">
        <v>51</v>
      </c>
      <c r="F2084" s="31" t="s">
        <v>137</v>
      </c>
      <c r="G2084" s="31" t="n">
        <v>3</v>
      </c>
      <c r="H2084" s="41" t="n">
        <v>93.5</v>
      </c>
      <c r="I2084" s="31" t="s">
        <v>149</v>
      </c>
      <c r="J2084" s="31"/>
      <c r="K2084" s="31" t="s">
        <v>153</v>
      </c>
      <c r="L2084" s="45" t="n">
        <f aca="false">DATE(YEAR(B2084),MONTH(B2084),1)</f>
        <v>46204</v>
      </c>
      <c r="M2084" s="31" t="n">
        <f aca="false">WEEKDAY(B2084,2)</f>
        <v>4</v>
      </c>
      <c r="N2084" s="31" t="str">
        <f aca="false">IF(G2084&lt;=INDEX(Assumptions!$B$15:$B$18,MATCH(E2084,Assumptions!$A$15:$A$18,0)),"Yes","No")</f>
        <v>Yes</v>
      </c>
      <c r="O2084" s="31" t="str">
        <f aca="false">IF(H2084="","Open",IF(H2084&lt;=INDEX(Assumptions!$C$15:$C$18,MATCH(E2084,Assumptions!$A$15:$A$18,0)),"Yes","No"))</f>
        <v>No</v>
      </c>
    </row>
    <row r="2085" customFormat="false" ht="15" hidden="false" customHeight="false" outlineLevel="0" collapsed="false">
      <c r="A2085" s="31" t="s">
        <v>2235</v>
      </c>
      <c r="B2085" s="44" t="n">
        <v>46233</v>
      </c>
      <c r="C2085" s="31" t="s">
        <v>57</v>
      </c>
      <c r="D2085" s="31" t="s">
        <v>65</v>
      </c>
      <c r="E2085" s="31" t="s">
        <v>52</v>
      </c>
      <c r="F2085" s="31" t="s">
        <v>136</v>
      </c>
      <c r="G2085" s="31" t="n">
        <v>1</v>
      </c>
      <c r="H2085" s="41" t="n">
        <v>7.3</v>
      </c>
      <c r="I2085" s="31" t="s">
        <v>149</v>
      </c>
      <c r="J2085" s="31"/>
      <c r="K2085" s="31" t="s">
        <v>150</v>
      </c>
      <c r="L2085" s="45" t="n">
        <f aca="false">DATE(YEAR(B2085),MONTH(B2085),1)</f>
        <v>46204</v>
      </c>
      <c r="M2085" s="31" t="n">
        <f aca="false">WEEKDAY(B2085,2)</f>
        <v>4</v>
      </c>
      <c r="N2085" s="31" t="str">
        <f aca="false">IF(G2085&lt;=INDEX(Assumptions!$B$15:$B$18,MATCH(E2085,Assumptions!$A$15:$A$18,0)),"Yes","No")</f>
        <v>Yes</v>
      </c>
      <c r="O2085" s="31" t="str">
        <f aca="false">IF(H2085="","Open",IF(H2085&lt;=INDEX(Assumptions!$C$15:$C$18,MATCH(E2085,Assumptions!$A$15:$A$18,0)),"Yes","No"))</f>
        <v>Yes</v>
      </c>
    </row>
    <row r="2086" customFormat="false" ht="15" hidden="false" customHeight="false" outlineLevel="0" collapsed="false">
      <c r="A2086" s="31" t="s">
        <v>2236</v>
      </c>
      <c r="B2086" s="44" t="n">
        <v>46233</v>
      </c>
      <c r="C2086" s="31" t="s">
        <v>60</v>
      </c>
      <c r="D2086" s="31" t="s">
        <v>65</v>
      </c>
      <c r="E2086" s="31" t="s">
        <v>51</v>
      </c>
      <c r="F2086" s="31" t="s">
        <v>133</v>
      </c>
      <c r="G2086" s="31" t="n">
        <v>1</v>
      </c>
      <c r="H2086" s="41" t="n">
        <v>1.6</v>
      </c>
      <c r="I2086" s="31" t="s">
        <v>149</v>
      </c>
      <c r="J2086" s="31"/>
      <c r="K2086" s="31" t="s">
        <v>150</v>
      </c>
      <c r="L2086" s="45" t="n">
        <f aca="false">DATE(YEAR(B2086),MONTH(B2086),1)</f>
        <v>46204</v>
      </c>
      <c r="M2086" s="31" t="n">
        <f aca="false">WEEKDAY(B2086,2)</f>
        <v>4</v>
      </c>
      <c r="N2086" s="31" t="str">
        <f aca="false">IF(G2086&lt;=INDEX(Assumptions!$B$15:$B$18,MATCH(E2086,Assumptions!$A$15:$A$18,0)),"Yes","No")</f>
        <v>Yes</v>
      </c>
      <c r="O2086" s="31" t="str">
        <f aca="false">IF(H2086="","Open",IF(H2086&lt;=INDEX(Assumptions!$C$15:$C$18,MATCH(E2086,Assumptions!$A$15:$A$18,0)),"Yes","No"))</f>
        <v>Yes</v>
      </c>
    </row>
    <row r="2087" customFormat="false" ht="15" hidden="false" customHeight="false" outlineLevel="0" collapsed="false">
      <c r="A2087" s="31" t="s">
        <v>2237</v>
      </c>
      <c r="B2087" s="44" t="n">
        <v>46233</v>
      </c>
      <c r="C2087" s="31" t="s">
        <v>60</v>
      </c>
      <c r="D2087" s="31" t="s">
        <v>69</v>
      </c>
      <c r="E2087" s="31" t="s">
        <v>51</v>
      </c>
      <c r="F2087" s="31" t="s">
        <v>126</v>
      </c>
      <c r="G2087" s="31" t="n">
        <v>1</v>
      </c>
      <c r="H2087" s="41" t="n">
        <v>163.9</v>
      </c>
      <c r="I2087" s="31" t="s">
        <v>149</v>
      </c>
      <c r="J2087" s="31" t="n">
        <v>3</v>
      </c>
      <c r="K2087" s="31" t="s">
        <v>150</v>
      </c>
      <c r="L2087" s="45" t="n">
        <f aca="false">DATE(YEAR(B2087),MONTH(B2087),1)</f>
        <v>46204</v>
      </c>
      <c r="M2087" s="31" t="n">
        <f aca="false">WEEKDAY(B2087,2)</f>
        <v>4</v>
      </c>
      <c r="N2087" s="31" t="str">
        <f aca="false">IF(G2087&lt;=INDEX(Assumptions!$B$15:$B$18,MATCH(E2087,Assumptions!$A$15:$A$18,0)),"Yes","No")</f>
        <v>Yes</v>
      </c>
      <c r="O2087" s="31" t="str">
        <f aca="false">IF(H2087="","Open",IF(H2087&lt;=INDEX(Assumptions!$C$15:$C$18,MATCH(E2087,Assumptions!$A$15:$A$18,0)),"Yes","No"))</f>
        <v>No</v>
      </c>
    </row>
    <row r="2088" customFormat="false" ht="15" hidden="false" customHeight="false" outlineLevel="0" collapsed="false">
      <c r="A2088" s="31" t="s">
        <v>2238</v>
      </c>
      <c r="B2088" s="44" t="n">
        <v>46233</v>
      </c>
      <c r="C2088" s="31" t="s">
        <v>60</v>
      </c>
      <c r="D2088" s="31" t="s">
        <v>68</v>
      </c>
      <c r="E2088" s="31" t="s">
        <v>52</v>
      </c>
      <c r="F2088" s="31" t="s">
        <v>121</v>
      </c>
      <c r="G2088" s="31" t="n">
        <v>3</v>
      </c>
      <c r="H2088" s="41" t="n">
        <v>1.5</v>
      </c>
      <c r="I2088" s="31" t="s">
        <v>149</v>
      </c>
      <c r="J2088" s="31"/>
      <c r="K2088" s="31" t="s">
        <v>150</v>
      </c>
      <c r="L2088" s="45" t="n">
        <f aca="false">DATE(YEAR(B2088),MONTH(B2088),1)</f>
        <v>46204</v>
      </c>
      <c r="M2088" s="31" t="n">
        <f aca="false">WEEKDAY(B2088,2)</f>
        <v>4</v>
      </c>
      <c r="N2088" s="31" t="str">
        <f aca="false">IF(G2088&lt;=INDEX(Assumptions!$B$15:$B$18,MATCH(E2088,Assumptions!$A$15:$A$18,0)),"Yes","No")</f>
        <v>Yes</v>
      </c>
      <c r="O2088" s="31" t="str">
        <f aca="false">IF(H2088="","Open",IF(H2088&lt;=INDEX(Assumptions!$C$15:$C$18,MATCH(E2088,Assumptions!$A$15:$A$18,0)),"Yes","No"))</f>
        <v>Yes</v>
      </c>
    </row>
    <row r="2089" customFormat="false" ht="15" hidden="false" customHeight="false" outlineLevel="0" collapsed="false">
      <c r="A2089" s="31" t="s">
        <v>2239</v>
      </c>
      <c r="B2089" s="44" t="n">
        <v>46233</v>
      </c>
      <c r="C2089" s="31" t="s">
        <v>57</v>
      </c>
      <c r="D2089" s="31" t="s">
        <v>69</v>
      </c>
      <c r="E2089" s="31" t="s">
        <v>52</v>
      </c>
      <c r="F2089" s="31" t="s">
        <v>133</v>
      </c>
      <c r="G2089" s="31" t="n">
        <v>17</v>
      </c>
      <c r="H2089" s="41" t="n">
        <v>6.9</v>
      </c>
      <c r="I2089" s="31" t="s">
        <v>149</v>
      </c>
      <c r="J2089" s="31" t="n">
        <v>5</v>
      </c>
      <c r="K2089" s="31" t="s">
        <v>150</v>
      </c>
      <c r="L2089" s="45" t="n">
        <f aca="false">DATE(YEAR(B2089),MONTH(B2089),1)</f>
        <v>46204</v>
      </c>
      <c r="M2089" s="31" t="n">
        <f aca="false">WEEKDAY(B2089,2)</f>
        <v>4</v>
      </c>
      <c r="N2089" s="31" t="str">
        <f aca="false">IF(G2089&lt;=INDEX(Assumptions!$B$15:$B$18,MATCH(E2089,Assumptions!$A$15:$A$18,0)),"Yes","No")</f>
        <v>Yes</v>
      </c>
      <c r="O2089" s="31" t="str">
        <f aca="false">IF(H2089="","Open",IF(H2089&lt;=INDEX(Assumptions!$C$15:$C$18,MATCH(E2089,Assumptions!$A$15:$A$18,0)),"Yes","No"))</f>
        <v>Yes</v>
      </c>
    </row>
    <row r="2090" customFormat="false" ht="15" hidden="false" customHeight="false" outlineLevel="0" collapsed="false">
      <c r="A2090" s="31" t="s">
        <v>2240</v>
      </c>
      <c r="B2090" s="44" t="n">
        <v>46233</v>
      </c>
      <c r="C2090" s="31" t="s">
        <v>57</v>
      </c>
      <c r="D2090" s="31" t="s">
        <v>65</v>
      </c>
      <c r="E2090" s="31" t="s">
        <v>50</v>
      </c>
      <c r="F2090" s="31" t="s">
        <v>119</v>
      </c>
      <c r="G2090" s="31" t="n">
        <v>3</v>
      </c>
      <c r="H2090" s="41" t="n">
        <v>2.6</v>
      </c>
      <c r="I2090" s="31" t="s">
        <v>149</v>
      </c>
      <c r="J2090" s="31"/>
      <c r="K2090" s="31" t="s">
        <v>150</v>
      </c>
      <c r="L2090" s="45" t="n">
        <f aca="false">DATE(YEAR(B2090),MONTH(B2090),1)</f>
        <v>46204</v>
      </c>
      <c r="M2090" s="31" t="n">
        <f aca="false">WEEKDAY(B2090,2)</f>
        <v>4</v>
      </c>
      <c r="N2090" s="31" t="str">
        <f aca="false">IF(G2090&lt;=INDEX(Assumptions!$B$15:$B$18,MATCH(E2090,Assumptions!$A$15:$A$18,0)),"Yes","No")</f>
        <v>Yes</v>
      </c>
      <c r="O2090" s="31" t="str">
        <f aca="false">IF(H2090="","Open",IF(H2090&lt;=INDEX(Assumptions!$C$15:$C$18,MATCH(E2090,Assumptions!$A$15:$A$18,0)),"Yes","No"))</f>
        <v>Yes</v>
      </c>
    </row>
    <row r="2091" customFormat="false" ht="15" hidden="false" customHeight="false" outlineLevel="0" collapsed="false">
      <c r="A2091" s="31" t="s">
        <v>2241</v>
      </c>
      <c r="B2091" s="44" t="n">
        <v>46233</v>
      </c>
      <c r="C2091" s="31" t="s">
        <v>59</v>
      </c>
      <c r="D2091" s="31" t="s">
        <v>69</v>
      </c>
      <c r="E2091" s="31" t="s">
        <v>52</v>
      </c>
      <c r="F2091" s="31" t="s">
        <v>131</v>
      </c>
      <c r="G2091" s="31" t="n">
        <v>170</v>
      </c>
      <c r="H2091" s="41" t="n">
        <v>15</v>
      </c>
      <c r="I2091" s="31" t="s">
        <v>149</v>
      </c>
      <c r="J2091" s="31" t="n">
        <v>3</v>
      </c>
      <c r="K2091" s="31" t="s">
        <v>150</v>
      </c>
      <c r="L2091" s="45" t="n">
        <f aca="false">DATE(YEAR(B2091),MONTH(B2091),1)</f>
        <v>46204</v>
      </c>
      <c r="M2091" s="31" t="n">
        <f aca="false">WEEKDAY(B2091,2)</f>
        <v>4</v>
      </c>
      <c r="N2091" s="31" t="str">
        <f aca="false">IF(G2091&lt;=INDEX(Assumptions!$B$15:$B$18,MATCH(E2091,Assumptions!$A$15:$A$18,0)),"Yes","No")</f>
        <v>Yes</v>
      </c>
      <c r="O2091" s="31" t="str">
        <f aca="false">IF(H2091="","Open",IF(H2091&lt;=INDEX(Assumptions!$C$15:$C$18,MATCH(E2091,Assumptions!$A$15:$A$18,0)),"Yes","No"))</f>
        <v>Yes</v>
      </c>
    </row>
    <row r="2092" customFormat="false" ht="15" hidden="false" customHeight="false" outlineLevel="0" collapsed="false">
      <c r="A2092" s="31" t="s">
        <v>2242</v>
      </c>
      <c r="B2092" s="44" t="n">
        <v>46233</v>
      </c>
      <c r="C2092" s="31" t="s">
        <v>58</v>
      </c>
      <c r="D2092" s="31" t="s">
        <v>65</v>
      </c>
      <c r="E2092" s="31" t="s">
        <v>52</v>
      </c>
      <c r="F2092" s="31" t="s">
        <v>133</v>
      </c>
      <c r="G2092" s="31" t="n">
        <v>27</v>
      </c>
      <c r="H2092" s="41" t="n">
        <v>7</v>
      </c>
      <c r="I2092" s="31" t="s">
        <v>149</v>
      </c>
      <c r="J2092" s="31"/>
      <c r="K2092" s="31" t="s">
        <v>150</v>
      </c>
      <c r="L2092" s="45" t="n">
        <f aca="false">DATE(YEAR(B2092),MONTH(B2092),1)</f>
        <v>46204</v>
      </c>
      <c r="M2092" s="31" t="n">
        <f aca="false">WEEKDAY(B2092,2)</f>
        <v>4</v>
      </c>
      <c r="N2092" s="31" t="str">
        <f aca="false">IF(G2092&lt;=INDEX(Assumptions!$B$15:$B$18,MATCH(E2092,Assumptions!$A$15:$A$18,0)),"Yes","No")</f>
        <v>Yes</v>
      </c>
      <c r="O2092" s="31" t="str">
        <f aca="false">IF(H2092="","Open",IF(H2092&lt;=INDEX(Assumptions!$C$15:$C$18,MATCH(E2092,Assumptions!$A$15:$A$18,0)),"Yes","No"))</f>
        <v>Yes</v>
      </c>
    </row>
    <row r="2093" customFormat="false" ht="15" hidden="false" customHeight="false" outlineLevel="0" collapsed="false">
      <c r="A2093" s="31" t="s">
        <v>2243</v>
      </c>
      <c r="B2093" s="44" t="n">
        <v>46233</v>
      </c>
      <c r="C2093" s="31" t="s">
        <v>57</v>
      </c>
      <c r="D2093" s="31" t="s">
        <v>68</v>
      </c>
      <c r="E2093" s="31" t="s">
        <v>51</v>
      </c>
      <c r="F2093" s="31" t="s">
        <v>126</v>
      </c>
      <c r="G2093" s="31" t="n">
        <v>3</v>
      </c>
      <c r="H2093" s="41" t="n">
        <v>4.5</v>
      </c>
      <c r="I2093" s="31" t="s">
        <v>149</v>
      </c>
      <c r="J2093" s="31"/>
      <c r="K2093" s="31" t="s">
        <v>150</v>
      </c>
      <c r="L2093" s="45" t="n">
        <f aca="false">DATE(YEAR(B2093),MONTH(B2093),1)</f>
        <v>46204</v>
      </c>
      <c r="M2093" s="31" t="n">
        <f aca="false">WEEKDAY(B2093,2)</f>
        <v>4</v>
      </c>
      <c r="N2093" s="31" t="str">
        <f aca="false">IF(G2093&lt;=INDEX(Assumptions!$B$15:$B$18,MATCH(E2093,Assumptions!$A$15:$A$18,0)),"Yes","No")</f>
        <v>Yes</v>
      </c>
      <c r="O2093" s="31" t="str">
        <f aca="false">IF(H2093="","Open",IF(H2093&lt;=INDEX(Assumptions!$C$15:$C$18,MATCH(E2093,Assumptions!$A$15:$A$18,0)),"Yes","No"))</f>
        <v>Yes</v>
      </c>
    </row>
    <row r="2094" customFormat="false" ht="15" hidden="false" customHeight="false" outlineLevel="0" collapsed="false">
      <c r="A2094" s="31" t="s">
        <v>2244</v>
      </c>
      <c r="B2094" s="44" t="n">
        <v>46233</v>
      </c>
      <c r="C2094" s="31" t="s">
        <v>57</v>
      </c>
      <c r="D2094" s="31" t="s">
        <v>69</v>
      </c>
      <c r="E2094" s="31" t="s">
        <v>50</v>
      </c>
      <c r="F2094" s="31" t="s">
        <v>128</v>
      </c>
      <c r="G2094" s="31" t="n">
        <v>12</v>
      </c>
      <c r="H2094" s="41" t="n">
        <v>3.6</v>
      </c>
      <c r="I2094" s="31" t="s">
        <v>149</v>
      </c>
      <c r="J2094" s="31"/>
      <c r="K2094" s="31" t="s">
        <v>150</v>
      </c>
      <c r="L2094" s="45" t="n">
        <f aca="false">DATE(YEAR(B2094),MONTH(B2094),1)</f>
        <v>46204</v>
      </c>
      <c r="M2094" s="31" t="n">
        <f aca="false">WEEKDAY(B2094,2)</f>
        <v>4</v>
      </c>
      <c r="N2094" s="31" t="str">
        <f aca="false">IF(G2094&lt;=INDEX(Assumptions!$B$15:$B$18,MATCH(E2094,Assumptions!$A$15:$A$18,0)),"Yes","No")</f>
        <v>Yes</v>
      </c>
      <c r="O2094" s="31" t="str">
        <f aca="false">IF(H2094="","Open",IF(H2094&lt;=INDEX(Assumptions!$C$15:$C$18,MATCH(E2094,Assumptions!$A$15:$A$18,0)),"Yes","No"))</f>
        <v>Yes</v>
      </c>
    </row>
    <row r="2095" customFormat="false" ht="15" hidden="false" customHeight="false" outlineLevel="0" collapsed="false">
      <c r="A2095" s="31" t="s">
        <v>2245</v>
      </c>
      <c r="B2095" s="44" t="n">
        <v>46233</v>
      </c>
      <c r="C2095" s="31" t="s">
        <v>59</v>
      </c>
      <c r="D2095" s="31" t="s">
        <v>65</v>
      </c>
      <c r="E2095" s="31" t="s">
        <v>51</v>
      </c>
      <c r="F2095" s="31" t="s">
        <v>134</v>
      </c>
      <c r="G2095" s="31" t="n">
        <v>52</v>
      </c>
      <c r="H2095" s="41" t="n">
        <v>47.9</v>
      </c>
      <c r="I2095" s="31" t="s">
        <v>64</v>
      </c>
      <c r="J2095" s="31"/>
      <c r="K2095" s="31" t="s">
        <v>153</v>
      </c>
      <c r="L2095" s="45" t="n">
        <f aca="false">DATE(YEAR(B2095),MONTH(B2095),1)</f>
        <v>46204</v>
      </c>
      <c r="M2095" s="31" t="n">
        <f aca="false">WEEKDAY(B2095,2)</f>
        <v>4</v>
      </c>
      <c r="N2095" s="31" t="str">
        <f aca="false">IF(G2095&lt;=INDEX(Assumptions!$B$15:$B$18,MATCH(E2095,Assumptions!$A$15:$A$18,0)),"Yes","No")</f>
        <v>Yes</v>
      </c>
      <c r="O2095" s="31" t="str">
        <f aca="false">IF(H2095="","Open",IF(H2095&lt;=INDEX(Assumptions!$C$15:$C$18,MATCH(E2095,Assumptions!$A$15:$A$18,0)),"Yes","No"))</f>
        <v>No</v>
      </c>
    </row>
    <row r="2096" customFormat="false" ht="15" hidden="false" customHeight="false" outlineLevel="0" collapsed="false">
      <c r="A2096" s="31" t="s">
        <v>2246</v>
      </c>
      <c r="B2096" s="44" t="n">
        <v>46233</v>
      </c>
      <c r="C2096" s="31" t="s">
        <v>57</v>
      </c>
      <c r="D2096" s="31" t="s">
        <v>65</v>
      </c>
      <c r="E2096" s="31" t="s">
        <v>51</v>
      </c>
      <c r="F2096" s="31" t="s">
        <v>135</v>
      </c>
      <c r="G2096" s="31" t="n">
        <v>14</v>
      </c>
      <c r="H2096" s="41" t="n">
        <v>15.9</v>
      </c>
      <c r="I2096" s="31" t="s">
        <v>149</v>
      </c>
      <c r="J2096" s="31"/>
      <c r="K2096" s="31" t="s">
        <v>150</v>
      </c>
      <c r="L2096" s="45" t="n">
        <f aca="false">DATE(YEAR(B2096),MONTH(B2096),1)</f>
        <v>46204</v>
      </c>
      <c r="M2096" s="31" t="n">
        <f aca="false">WEEKDAY(B2096,2)</f>
        <v>4</v>
      </c>
      <c r="N2096" s="31" t="str">
        <f aca="false">IF(G2096&lt;=INDEX(Assumptions!$B$15:$B$18,MATCH(E2096,Assumptions!$A$15:$A$18,0)),"Yes","No")</f>
        <v>Yes</v>
      </c>
      <c r="O2096" s="31" t="str">
        <f aca="false">IF(H2096="","Open",IF(H2096&lt;=INDEX(Assumptions!$C$15:$C$18,MATCH(E2096,Assumptions!$A$15:$A$18,0)),"Yes","No"))</f>
        <v>Yes</v>
      </c>
    </row>
    <row r="2097" customFormat="false" ht="15" hidden="false" customHeight="false" outlineLevel="0" collapsed="false">
      <c r="A2097" s="31" t="s">
        <v>2247</v>
      </c>
      <c r="B2097" s="44" t="n">
        <v>46233</v>
      </c>
      <c r="C2097" s="31" t="s">
        <v>58</v>
      </c>
      <c r="D2097" s="31" t="s">
        <v>66</v>
      </c>
      <c r="E2097" s="31" t="s">
        <v>52</v>
      </c>
      <c r="F2097" s="31" t="s">
        <v>133</v>
      </c>
      <c r="G2097" s="31" t="n">
        <v>13</v>
      </c>
      <c r="H2097" s="41" t="n">
        <v>27.7</v>
      </c>
      <c r="I2097" s="31" t="s">
        <v>149</v>
      </c>
      <c r="J2097" s="31" t="n">
        <v>4</v>
      </c>
      <c r="K2097" s="31" t="s">
        <v>150</v>
      </c>
      <c r="L2097" s="45" t="n">
        <f aca="false">DATE(YEAR(B2097),MONTH(B2097),1)</f>
        <v>46204</v>
      </c>
      <c r="M2097" s="31" t="n">
        <f aca="false">WEEKDAY(B2097,2)</f>
        <v>4</v>
      </c>
      <c r="N2097" s="31" t="str">
        <f aca="false">IF(G2097&lt;=INDEX(Assumptions!$B$15:$B$18,MATCH(E2097,Assumptions!$A$15:$A$18,0)),"Yes","No")</f>
        <v>Yes</v>
      </c>
      <c r="O2097" s="31" t="str">
        <f aca="false">IF(H2097="","Open",IF(H2097&lt;=INDEX(Assumptions!$C$15:$C$18,MATCH(E2097,Assumptions!$A$15:$A$18,0)),"Yes","No"))</f>
        <v>Yes</v>
      </c>
    </row>
    <row r="2098" customFormat="false" ht="15" hidden="false" customHeight="false" outlineLevel="0" collapsed="false">
      <c r="A2098" s="31" t="s">
        <v>2248</v>
      </c>
      <c r="B2098" s="44" t="n">
        <v>46233</v>
      </c>
      <c r="C2098" s="31" t="s">
        <v>59</v>
      </c>
      <c r="D2098" s="31" t="s">
        <v>66</v>
      </c>
      <c r="E2098" s="31" t="s">
        <v>51</v>
      </c>
      <c r="F2098" s="31" t="s">
        <v>123</v>
      </c>
      <c r="G2098" s="31" t="n">
        <v>70</v>
      </c>
      <c r="H2098" s="41" t="n">
        <v>11.7</v>
      </c>
      <c r="I2098" s="31" t="s">
        <v>149</v>
      </c>
      <c r="J2098" s="31"/>
      <c r="K2098" s="31" t="s">
        <v>153</v>
      </c>
      <c r="L2098" s="45" t="n">
        <f aca="false">DATE(YEAR(B2098),MONTH(B2098),1)</f>
        <v>46204</v>
      </c>
      <c r="M2098" s="31" t="n">
        <f aca="false">WEEKDAY(B2098,2)</f>
        <v>4</v>
      </c>
      <c r="N2098" s="31" t="str">
        <f aca="false">IF(G2098&lt;=INDEX(Assumptions!$B$15:$B$18,MATCH(E2098,Assumptions!$A$15:$A$18,0)),"Yes","No")</f>
        <v>No</v>
      </c>
      <c r="O2098" s="31" t="str">
        <f aca="false">IF(H2098="","Open",IF(H2098&lt;=INDEX(Assumptions!$C$15:$C$18,MATCH(E2098,Assumptions!$A$15:$A$18,0)),"Yes","No"))</f>
        <v>Yes</v>
      </c>
    </row>
    <row r="2099" customFormat="false" ht="15" hidden="false" customHeight="false" outlineLevel="0" collapsed="false">
      <c r="A2099" s="31" t="s">
        <v>2249</v>
      </c>
      <c r="B2099" s="44" t="n">
        <v>46233</v>
      </c>
      <c r="C2099" s="31" t="s">
        <v>57</v>
      </c>
      <c r="D2099" s="31" t="s">
        <v>69</v>
      </c>
      <c r="E2099" s="31" t="s">
        <v>52</v>
      </c>
      <c r="F2099" s="31" t="s">
        <v>133</v>
      </c>
      <c r="G2099" s="31" t="n">
        <v>4</v>
      </c>
      <c r="H2099" s="41" t="n">
        <v>32.4</v>
      </c>
      <c r="I2099" s="31" t="s">
        <v>149</v>
      </c>
      <c r="J2099" s="31"/>
      <c r="K2099" s="31" t="s">
        <v>150</v>
      </c>
      <c r="L2099" s="45" t="n">
        <f aca="false">DATE(YEAR(B2099),MONTH(B2099),1)</f>
        <v>46204</v>
      </c>
      <c r="M2099" s="31" t="n">
        <f aca="false">WEEKDAY(B2099,2)</f>
        <v>4</v>
      </c>
      <c r="N2099" s="31" t="str">
        <f aca="false">IF(G2099&lt;=INDEX(Assumptions!$B$15:$B$18,MATCH(E2099,Assumptions!$A$15:$A$18,0)),"Yes","No")</f>
        <v>Yes</v>
      </c>
      <c r="O2099" s="31" t="str">
        <f aca="false">IF(H2099="","Open",IF(H2099&lt;=INDEX(Assumptions!$C$15:$C$18,MATCH(E2099,Assumptions!$A$15:$A$18,0)),"Yes","No"))</f>
        <v>Yes</v>
      </c>
    </row>
    <row r="2100" customFormat="false" ht="15" hidden="false" customHeight="false" outlineLevel="0" collapsed="false">
      <c r="A2100" s="31" t="s">
        <v>2250</v>
      </c>
      <c r="B2100" s="44" t="n">
        <v>46233</v>
      </c>
      <c r="C2100" s="31" t="s">
        <v>59</v>
      </c>
      <c r="D2100" s="31" t="s">
        <v>68</v>
      </c>
      <c r="E2100" s="31" t="s">
        <v>52</v>
      </c>
      <c r="F2100" s="31" t="s">
        <v>135</v>
      </c>
      <c r="G2100" s="31" t="n">
        <v>198</v>
      </c>
      <c r="H2100" s="41" t="n">
        <v>10</v>
      </c>
      <c r="I2100" s="31" t="s">
        <v>149</v>
      </c>
      <c r="J2100" s="31" t="n">
        <v>4</v>
      </c>
      <c r="K2100" s="31" t="s">
        <v>150</v>
      </c>
      <c r="L2100" s="45" t="n">
        <f aca="false">DATE(YEAR(B2100),MONTH(B2100),1)</f>
        <v>46204</v>
      </c>
      <c r="M2100" s="31" t="n">
        <f aca="false">WEEKDAY(B2100,2)</f>
        <v>4</v>
      </c>
      <c r="N2100" s="31" t="str">
        <f aca="false">IF(G2100&lt;=INDEX(Assumptions!$B$15:$B$18,MATCH(E2100,Assumptions!$A$15:$A$18,0)),"Yes","No")</f>
        <v>Yes</v>
      </c>
      <c r="O2100" s="31" t="str">
        <f aca="false">IF(H2100="","Open",IF(H2100&lt;=INDEX(Assumptions!$C$15:$C$18,MATCH(E2100,Assumptions!$A$15:$A$18,0)),"Yes","No"))</f>
        <v>Yes</v>
      </c>
    </row>
    <row r="2101" customFormat="false" ht="15" hidden="false" customHeight="false" outlineLevel="0" collapsed="false">
      <c r="A2101" s="31" t="s">
        <v>2251</v>
      </c>
      <c r="B2101" s="44" t="n">
        <v>46233</v>
      </c>
      <c r="C2101" s="31" t="s">
        <v>60</v>
      </c>
      <c r="D2101" s="31" t="s">
        <v>68</v>
      </c>
      <c r="E2101" s="31" t="s">
        <v>51</v>
      </c>
      <c r="F2101" s="31" t="s">
        <v>119</v>
      </c>
      <c r="G2101" s="31" t="n">
        <v>4</v>
      </c>
      <c r="H2101" s="41" t="n">
        <v>2.4</v>
      </c>
      <c r="I2101" s="31" t="s">
        <v>149</v>
      </c>
      <c r="J2101" s="31" t="n">
        <v>4</v>
      </c>
      <c r="K2101" s="31" t="s">
        <v>150</v>
      </c>
      <c r="L2101" s="45" t="n">
        <f aca="false">DATE(YEAR(B2101),MONTH(B2101),1)</f>
        <v>46204</v>
      </c>
      <c r="M2101" s="31" t="n">
        <f aca="false">WEEKDAY(B2101,2)</f>
        <v>4</v>
      </c>
      <c r="N2101" s="31" t="str">
        <f aca="false">IF(G2101&lt;=INDEX(Assumptions!$B$15:$B$18,MATCH(E2101,Assumptions!$A$15:$A$18,0)),"Yes","No")</f>
        <v>Yes</v>
      </c>
      <c r="O2101" s="31" t="str">
        <f aca="false">IF(H2101="","Open",IF(H2101&lt;=INDEX(Assumptions!$C$15:$C$18,MATCH(E2101,Assumptions!$A$15:$A$18,0)),"Yes","No"))</f>
        <v>Yes</v>
      </c>
    </row>
    <row r="2102" customFormat="false" ht="15" hidden="false" customHeight="false" outlineLevel="0" collapsed="false">
      <c r="A2102" s="31" t="s">
        <v>2252</v>
      </c>
      <c r="B2102" s="44" t="n">
        <v>46233</v>
      </c>
      <c r="C2102" s="31" t="s">
        <v>57</v>
      </c>
      <c r="D2102" s="31" t="s">
        <v>66</v>
      </c>
      <c r="E2102" s="31" t="s">
        <v>50</v>
      </c>
      <c r="F2102" s="31" t="s">
        <v>127</v>
      </c>
      <c r="G2102" s="31" t="n">
        <v>3</v>
      </c>
      <c r="H2102" s="41" t="n">
        <v>1.7</v>
      </c>
      <c r="I2102" s="31" t="s">
        <v>149</v>
      </c>
      <c r="J2102" s="31" t="n">
        <v>5</v>
      </c>
      <c r="K2102" s="31" t="s">
        <v>150</v>
      </c>
      <c r="L2102" s="45" t="n">
        <f aca="false">DATE(YEAR(B2102),MONTH(B2102),1)</f>
        <v>46204</v>
      </c>
      <c r="M2102" s="31" t="n">
        <f aca="false">WEEKDAY(B2102,2)</f>
        <v>4</v>
      </c>
      <c r="N2102" s="31" t="str">
        <f aca="false">IF(G2102&lt;=INDEX(Assumptions!$B$15:$B$18,MATCH(E2102,Assumptions!$A$15:$A$18,0)),"Yes","No")</f>
        <v>Yes</v>
      </c>
      <c r="O2102" s="31" t="str">
        <f aca="false">IF(H2102="","Open",IF(H2102&lt;=INDEX(Assumptions!$C$15:$C$18,MATCH(E2102,Assumptions!$A$15:$A$18,0)),"Yes","No"))</f>
        <v>Yes</v>
      </c>
    </row>
    <row r="2103" customFormat="false" ht="15" hidden="false" customHeight="false" outlineLevel="0" collapsed="false">
      <c r="A2103" s="31" t="s">
        <v>2253</v>
      </c>
      <c r="B2103" s="44" t="n">
        <v>46233</v>
      </c>
      <c r="C2103" s="31" t="s">
        <v>59</v>
      </c>
      <c r="D2103" s="31" t="s">
        <v>66</v>
      </c>
      <c r="E2103" s="31" t="s">
        <v>50</v>
      </c>
      <c r="F2103" s="31" t="s">
        <v>117</v>
      </c>
      <c r="G2103" s="31" t="n">
        <v>52</v>
      </c>
      <c r="H2103" s="41" t="n">
        <v>1.2</v>
      </c>
      <c r="I2103" s="31" t="s">
        <v>149</v>
      </c>
      <c r="J2103" s="31"/>
      <c r="K2103" s="31" t="s">
        <v>150</v>
      </c>
      <c r="L2103" s="45" t="n">
        <f aca="false">DATE(YEAR(B2103),MONTH(B2103),1)</f>
        <v>46204</v>
      </c>
      <c r="M2103" s="31" t="n">
        <f aca="false">WEEKDAY(B2103,2)</f>
        <v>4</v>
      </c>
      <c r="N2103" s="31" t="str">
        <f aca="false">IF(G2103&lt;=INDEX(Assumptions!$B$15:$B$18,MATCH(E2103,Assumptions!$A$15:$A$18,0)),"Yes","No")</f>
        <v>No</v>
      </c>
      <c r="O2103" s="31" t="str">
        <f aca="false">IF(H2103="","Open",IF(H2103&lt;=INDEX(Assumptions!$C$15:$C$18,MATCH(E2103,Assumptions!$A$15:$A$18,0)),"Yes","No"))</f>
        <v>Yes</v>
      </c>
    </row>
    <row r="2104" customFormat="false" ht="15" hidden="false" customHeight="false" outlineLevel="0" collapsed="false">
      <c r="A2104" s="31" t="s">
        <v>2254</v>
      </c>
      <c r="B2104" s="44" t="n">
        <v>46233</v>
      </c>
      <c r="C2104" s="31" t="s">
        <v>60</v>
      </c>
      <c r="D2104" s="31" t="s">
        <v>67</v>
      </c>
      <c r="E2104" s="31" t="s">
        <v>50</v>
      </c>
      <c r="F2104" s="31" t="s">
        <v>133</v>
      </c>
      <c r="G2104" s="31" t="n">
        <v>3</v>
      </c>
      <c r="H2104" s="41" t="n">
        <v>3.6</v>
      </c>
      <c r="I2104" s="31" t="s">
        <v>149</v>
      </c>
      <c r="J2104" s="31" t="n">
        <v>3</v>
      </c>
      <c r="K2104" s="31" t="s">
        <v>150</v>
      </c>
      <c r="L2104" s="45" t="n">
        <f aca="false">DATE(YEAR(B2104),MONTH(B2104),1)</f>
        <v>46204</v>
      </c>
      <c r="M2104" s="31" t="n">
        <f aca="false">WEEKDAY(B2104,2)</f>
        <v>4</v>
      </c>
      <c r="N2104" s="31" t="str">
        <f aca="false">IF(G2104&lt;=INDEX(Assumptions!$B$15:$B$18,MATCH(E2104,Assumptions!$A$15:$A$18,0)),"Yes","No")</f>
        <v>Yes</v>
      </c>
      <c r="O2104" s="31" t="str">
        <f aca="false">IF(H2104="","Open",IF(H2104&lt;=INDEX(Assumptions!$C$15:$C$18,MATCH(E2104,Assumptions!$A$15:$A$18,0)),"Yes","No"))</f>
        <v>Yes</v>
      </c>
    </row>
    <row r="2105" customFormat="false" ht="15" hidden="false" customHeight="false" outlineLevel="0" collapsed="false">
      <c r="A2105" s="31" t="s">
        <v>2255</v>
      </c>
      <c r="B2105" s="44" t="n">
        <v>46233</v>
      </c>
      <c r="C2105" s="31" t="s">
        <v>57</v>
      </c>
      <c r="D2105" s="31" t="s">
        <v>68</v>
      </c>
      <c r="E2105" s="31" t="s">
        <v>50</v>
      </c>
      <c r="F2105" s="31" t="s">
        <v>121</v>
      </c>
      <c r="G2105" s="31" t="n">
        <v>2</v>
      </c>
      <c r="H2105" s="41" t="n">
        <v>2.2</v>
      </c>
      <c r="I2105" s="31" t="s">
        <v>149</v>
      </c>
      <c r="J2105" s="31" t="n">
        <v>5</v>
      </c>
      <c r="K2105" s="31" t="s">
        <v>150</v>
      </c>
      <c r="L2105" s="45" t="n">
        <f aca="false">DATE(YEAR(B2105),MONTH(B2105),1)</f>
        <v>46204</v>
      </c>
      <c r="M2105" s="31" t="n">
        <f aca="false">WEEKDAY(B2105,2)</f>
        <v>4</v>
      </c>
      <c r="N2105" s="31" t="str">
        <f aca="false">IF(G2105&lt;=INDEX(Assumptions!$B$15:$B$18,MATCH(E2105,Assumptions!$A$15:$A$18,0)),"Yes","No")</f>
        <v>Yes</v>
      </c>
      <c r="O2105" s="31" t="str">
        <f aca="false">IF(H2105="","Open",IF(H2105&lt;=INDEX(Assumptions!$C$15:$C$18,MATCH(E2105,Assumptions!$A$15:$A$18,0)),"Yes","No"))</f>
        <v>Yes</v>
      </c>
    </row>
    <row r="2106" customFormat="false" ht="15" hidden="false" customHeight="false" outlineLevel="0" collapsed="false">
      <c r="A2106" s="31" t="s">
        <v>2256</v>
      </c>
      <c r="B2106" s="44" t="n">
        <v>46233</v>
      </c>
      <c r="C2106" s="31" t="s">
        <v>58</v>
      </c>
      <c r="D2106" s="31" t="s">
        <v>66</v>
      </c>
      <c r="E2106" s="31" t="s">
        <v>51</v>
      </c>
      <c r="F2106" s="31" t="s">
        <v>123</v>
      </c>
      <c r="G2106" s="31" t="n">
        <v>6</v>
      </c>
      <c r="H2106" s="41" t="n">
        <v>3.5</v>
      </c>
      <c r="I2106" s="31" t="s">
        <v>149</v>
      </c>
      <c r="J2106" s="31"/>
      <c r="K2106" s="31" t="s">
        <v>150</v>
      </c>
      <c r="L2106" s="45" t="n">
        <f aca="false">DATE(YEAR(B2106),MONTH(B2106),1)</f>
        <v>46204</v>
      </c>
      <c r="M2106" s="31" t="n">
        <f aca="false">WEEKDAY(B2106,2)</f>
        <v>4</v>
      </c>
      <c r="N2106" s="31" t="str">
        <f aca="false">IF(G2106&lt;=INDEX(Assumptions!$B$15:$B$18,MATCH(E2106,Assumptions!$A$15:$A$18,0)),"Yes","No")</f>
        <v>Yes</v>
      </c>
      <c r="O2106" s="31" t="str">
        <f aca="false">IF(H2106="","Open",IF(H2106&lt;=INDEX(Assumptions!$C$15:$C$18,MATCH(E2106,Assumptions!$A$15:$A$18,0)),"Yes","No"))</f>
        <v>Yes</v>
      </c>
    </row>
    <row r="2107" customFormat="false" ht="15" hidden="false" customHeight="false" outlineLevel="0" collapsed="false">
      <c r="A2107" s="31" t="s">
        <v>2257</v>
      </c>
      <c r="B2107" s="44" t="n">
        <v>46233</v>
      </c>
      <c r="C2107" s="31" t="s">
        <v>58</v>
      </c>
      <c r="D2107" s="31" t="s">
        <v>69</v>
      </c>
      <c r="E2107" s="31" t="s">
        <v>51</v>
      </c>
      <c r="F2107" s="31" t="s">
        <v>122</v>
      </c>
      <c r="G2107" s="31" t="n">
        <v>9</v>
      </c>
      <c r="H2107" s="41" t="n">
        <v>27.1</v>
      </c>
      <c r="I2107" s="31" t="s">
        <v>149</v>
      </c>
      <c r="J2107" s="31"/>
      <c r="K2107" s="31" t="s">
        <v>150</v>
      </c>
      <c r="L2107" s="45" t="n">
        <f aca="false">DATE(YEAR(B2107),MONTH(B2107),1)</f>
        <v>46204</v>
      </c>
      <c r="M2107" s="31" t="n">
        <f aca="false">WEEKDAY(B2107,2)</f>
        <v>4</v>
      </c>
      <c r="N2107" s="31" t="str">
        <f aca="false">IF(G2107&lt;=INDEX(Assumptions!$B$15:$B$18,MATCH(E2107,Assumptions!$A$15:$A$18,0)),"Yes","No")</f>
        <v>Yes</v>
      </c>
      <c r="O2107" s="31" t="str">
        <f aca="false">IF(H2107="","Open",IF(H2107&lt;=INDEX(Assumptions!$C$15:$C$18,MATCH(E2107,Assumptions!$A$15:$A$18,0)),"Yes","No"))</f>
        <v>No</v>
      </c>
    </row>
    <row r="2108" customFormat="false" ht="15" hidden="false" customHeight="false" outlineLevel="0" collapsed="false">
      <c r="A2108" s="31" t="s">
        <v>2258</v>
      </c>
      <c r="B2108" s="44" t="n">
        <v>46233</v>
      </c>
      <c r="C2108" s="31" t="s">
        <v>60</v>
      </c>
      <c r="D2108" s="31" t="s">
        <v>65</v>
      </c>
      <c r="E2108" s="31" t="s">
        <v>52</v>
      </c>
      <c r="F2108" s="31" t="s">
        <v>120</v>
      </c>
      <c r="G2108" s="31" t="n">
        <v>5</v>
      </c>
      <c r="H2108" s="41" t="n">
        <v>4.2</v>
      </c>
      <c r="I2108" s="31" t="s">
        <v>149</v>
      </c>
      <c r="J2108" s="31" t="n">
        <v>5</v>
      </c>
      <c r="K2108" s="31" t="s">
        <v>150</v>
      </c>
      <c r="L2108" s="45" t="n">
        <f aca="false">DATE(YEAR(B2108),MONTH(B2108),1)</f>
        <v>46204</v>
      </c>
      <c r="M2108" s="31" t="n">
        <f aca="false">WEEKDAY(B2108,2)</f>
        <v>4</v>
      </c>
      <c r="N2108" s="31" t="str">
        <f aca="false">IF(G2108&lt;=INDEX(Assumptions!$B$15:$B$18,MATCH(E2108,Assumptions!$A$15:$A$18,0)),"Yes","No")</f>
        <v>Yes</v>
      </c>
      <c r="O2108" s="31" t="str">
        <f aca="false">IF(H2108="","Open",IF(H2108&lt;=INDEX(Assumptions!$C$15:$C$18,MATCH(E2108,Assumptions!$A$15:$A$18,0)),"Yes","No"))</f>
        <v>Yes</v>
      </c>
    </row>
    <row r="2109" customFormat="false" ht="15" hidden="false" customHeight="false" outlineLevel="0" collapsed="false">
      <c r="A2109" s="31" t="s">
        <v>2259</v>
      </c>
      <c r="B2109" s="44" t="n">
        <v>46233</v>
      </c>
      <c r="C2109" s="31" t="s">
        <v>59</v>
      </c>
      <c r="D2109" s="31" t="s">
        <v>68</v>
      </c>
      <c r="E2109" s="31" t="s">
        <v>51</v>
      </c>
      <c r="F2109" s="31" t="s">
        <v>134</v>
      </c>
      <c r="G2109" s="31" t="n">
        <v>83</v>
      </c>
      <c r="H2109" s="41" t="n">
        <v>3</v>
      </c>
      <c r="I2109" s="31" t="s">
        <v>149</v>
      </c>
      <c r="J2109" s="31" t="n">
        <v>4</v>
      </c>
      <c r="K2109" s="31" t="s">
        <v>150</v>
      </c>
      <c r="L2109" s="45" t="n">
        <f aca="false">DATE(YEAR(B2109),MONTH(B2109),1)</f>
        <v>46204</v>
      </c>
      <c r="M2109" s="31" t="n">
        <f aca="false">WEEKDAY(B2109,2)</f>
        <v>4</v>
      </c>
      <c r="N2109" s="31" t="str">
        <f aca="false">IF(G2109&lt;=INDEX(Assumptions!$B$15:$B$18,MATCH(E2109,Assumptions!$A$15:$A$18,0)),"Yes","No")</f>
        <v>No</v>
      </c>
      <c r="O2109" s="31" t="str">
        <f aca="false">IF(H2109="","Open",IF(H2109&lt;=INDEX(Assumptions!$C$15:$C$18,MATCH(E2109,Assumptions!$A$15:$A$18,0)),"Yes","No"))</f>
        <v>Yes</v>
      </c>
    </row>
    <row r="2110" customFormat="false" ht="15" hidden="false" customHeight="false" outlineLevel="0" collapsed="false">
      <c r="A2110" s="31" t="s">
        <v>2260</v>
      </c>
      <c r="B2110" s="44" t="n">
        <v>46233</v>
      </c>
      <c r="C2110" s="31" t="s">
        <v>57</v>
      </c>
      <c r="D2110" s="31" t="s">
        <v>65</v>
      </c>
      <c r="E2110" s="31" t="s">
        <v>50</v>
      </c>
      <c r="F2110" s="31" t="s">
        <v>136</v>
      </c>
      <c r="G2110" s="31" t="n">
        <v>5</v>
      </c>
      <c r="H2110" s="41" t="n">
        <v>22.7</v>
      </c>
      <c r="I2110" s="31" t="s">
        <v>149</v>
      </c>
      <c r="J2110" s="31"/>
      <c r="K2110" s="31" t="s">
        <v>150</v>
      </c>
      <c r="L2110" s="45" t="n">
        <f aca="false">DATE(YEAR(B2110),MONTH(B2110),1)</f>
        <v>46204</v>
      </c>
      <c r="M2110" s="31" t="n">
        <f aca="false">WEEKDAY(B2110,2)</f>
        <v>4</v>
      </c>
      <c r="N2110" s="31" t="str">
        <f aca="false">IF(G2110&lt;=INDEX(Assumptions!$B$15:$B$18,MATCH(E2110,Assumptions!$A$15:$A$18,0)),"Yes","No")</f>
        <v>Yes</v>
      </c>
      <c r="O2110" s="31" t="str">
        <f aca="false">IF(H2110="","Open",IF(H2110&lt;=INDEX(Assumptions!$C$15:$C$18,MATCH(E2110,Assumptions!$A$15:$A$18,0)),"Yes","No"))</f>
        <v>No</v>
      </c>
    </row>
    <row r="2111" customFormat="false" ht="15" hidden="false" customHeight="false" outlineLevel="0" collapsed="false">
      <c r="A2111" s="31" t="s">
        <v>2261</v>
      </c>
      <c r="B2111" s="44" t="n">
        <v>46233</v>
      </c>
      <c r="C2111" s="31" t="s">
        <v>59</v>
      </c>
      <c r="D2111" s="31" t="s">
        <v>66</v>
      </c>
      <c r="E2111" s="31" t="s">
        <v>51</v>
      </c>
      <c r="F2111" s="31" t="s">
        <v>127</v>
      </c>
      <c r="G2111" s="31" t="n">
        <v>100</v>
      </c>
      <c r="H2111" s="41" t="n">
        <v>5.5</v>
      </c>
      <c r="I2111" s="31" t="s">
        <v>149</v>
      </c>
      <c r="J2111" s="31" t="n">
        <v>4</v>
      </c>
      <c r="K2111" s="31" t="s">
        <v>150</v>
      </c>
      <c r="L2111" s="45" t="n">
        <f aca="false">DATE(YEAR(B2111),MONTH(B2111),1)</f>
        <v>46204</v>
      </c>
      <c r="M2111" s="31" t="n">
        <f aca="false">WEEKDAY(B2111,2)</f>
        <v>4</v>
      </c>
      <c r="N2111" s="31" t="str">
        <f aca="false">IF(G2111&lt;=INDEX(Assumptions!$B$15:$B$18,MATCH(E2111,Assumptions!$A$15:$A$18,0)),"Yes","No")</f>
        <v>No</v>
      </c>
      <c r="O2111" s="31" t="str">
        <f aca="false">IF(H2111="","Open",IF(H2111&lt;=INDEX(Assumptions!$C$15:$C$18,MATCH(E2111,Assumptions!$A$15:$A$18,0)),"Yes","No"))</f>
        <v>Yes</v>
      </c>
    </row>
    <row r="2112" customFormat="false" ht="15" hidden="false" customHeight="false" outlineLevel="0" collapsed="false">
      <c r="A2112" s="31" t="s">
        <v>2262</v>
      </c>
      <c r="B2112" s="44" t="n">
        <v>46233</v>
      </c>
      <c r="C2112" s="31" t="s">
        <v>60</v>
      </c>
      <c r="D2112" s="31" t="s">
        <v>66</v>
      </c>
      <c r="E2112" s="31" t="s">
        <v>50</v>
      </c>
      <c r="F2112" s="31" t="s">
        <v>131</v>
      </c>
      <c r="G2112" s="31" t="n">
        <v>1</v>
      </c>
      <c r="H2112" s="41" t="n">
        <v>3</v>
      </c>
      <c r="I2112" s="31" t="s">
        <v>149</v>
      </c>
      <c r="J2112" s="31" t="n">
        <v>5</v>
      </c>
      <c r="K2112" s="31" t="s">
        <v>150</v>
      </c>
      <c r="L2112" s="45" t="n">
        <f aca="false">DATE(YEAR(B2112),MONTH(B2112),1)</f>
        <v>46204</v>
      </c>
      <c r="M2112" s="31" t="n">
        <f aca="false">WEEKDAY(B2112,2)</f>
        <v>4</v>
      </c>
      <c r="N2112" s="31" t="str">
        <f aca="false">IF(G2112&lt;=INDEX(Assumptions!$B$15:$B$18,MATCH(E2112,Assumptions!$A$15:$A$18,0)),"Yes","No")</f>
        <v>Yes</v>
      </c>
      <c r="O2112" s="31" t="str">
        <f aca="false">IF(H2112="","Open",IF(H2112&lt;=INDEX(Assumptions!$C$15:$C$18,MATCH(E2112,Assumptions!$A$15:$A$18,0)),"Yes","No"))</f>
        <v>Yes</v>
      </c>
    </row>
    <row r="2113" customFormat="false" ht="15" hidden="false" customHeight="false" outlineLevel="0" collapsed="false">
      <c r="A2113" s="31" t="s">
        <v>2263</v>
      </c>
      <c r="B2113" s="44" t="n">
        <v>46233</v>
      </c>
      <c r="C2113" s="31" t="s">
        <v>59</v>
      </c>
      <c r="D2113" s="31" t="s">
        <v>69</v>
      </c>
      <c r="E2113" s="31" t="s">
        <v>52</v>
      </c>
      <c r="F2113" s="31" t="s">
        <v>128</v>
      </c>
      <c r="G2113" s="31" t="n">
        <v>108</v>
      </c>
      <c r="H2113" s="41" t="n">
        <v>22.2</v>
      </c>
      <c r="I2113" s="31" t="s">
        <v>149</v>
      </c>
      <c r="J2113" s="31"/>
      <c r="K2113" s="31" t="s">
        <v>150</v>
      </c>
      <c r="L2113" s="45" t="n">
        <f aca="false">DATE(YEAR(B2113),MONTH(B2113),1)</f>
        <v>46204</v>
      </c>
      <c r="M2113" s="31" t="n">
        <f aca="false">WEEKDAY(B2113,2)</f>
        <v>4</v>
      </c>
      <c r="N2113" s="31" t="str">
        <f aca="false">IF(G2113&lt;=INDEX(Assumptions!$B$15:$B$18,MATCH(E2113,Assumptions!$A$15:$A$18,0)),"Yes","No")</f>
        <v>Yes</v>
      </c>
      <c r="O2113" s="31" t="str">
        <f aca="false">IF(H2113="","Open",IF(H2113&lt;=INDEX(Assumptions!$C$15:$C$18,MATCH(E2113,Assumptions!$A$15:$A$18,0)),"Yes","No"))</f>
        <v>Yes</v>
      </c>
    </row>
    <row r="2114" customFormat="false" ht="15" hidden="false" customHeight="false" outlineLevel="0" collapsed="false">
      <c r="A2114" s="31" t="s">
        <v>2264</v>
      </c>
      <c r="B2114" s="44" t="n">
        <v>46233</v>
      </c>
      <c r="C2114" s="31" t="s">
        <v>58</v>
      </c>
      <c r="D2114" s="31" t="s">
        <v>66</v>
      </c>
      <c r="E2114" s="31" t="s">
        <v>51</v>
      </c>
      <c r="F2114" s="31" t="s">
        <v>117</v>
      </c>
      <c r="G2114" s="31" t="n">
        <v>7</v>
      </c>
      <c r="H2114" s="41" t="n">
        <v>3.7</v>
      </c>
      <c r="I2114" s="31" t="s">
        <v>149</v>
      </c>
      <c r="J2114" s="31" t="n">
        <v>5</v>
      </c>
      <c r="K2114" s="31" t="s">
        <v>150</v>
      </c>
      <c r="L2114" s="45" t="n">
        <f aca="false">DATE(YEAR(B2114),MONTH(B2114),1)</f>
        <v>46204</v>
      </c>
      <c r="M2114" s="31" t="n">
        <f aca="false">WEEKDAY(B2114,2)</f>
        <v>4</v>
      </c>
      <c r="N2114" s="31" t="str">
        <f aca="false">IF(G2114&lt;=INDEX(Assumptions!$B$15:$B$18,MATCH(E2114,Assumptions!$A$15:$A$18,0)),"Yes","No")</f>
        <v>Yes</v>
      </c>
      <c r="O2114" s="31" t="str">
        <f aca="false">IF(H2114="","Open",IF(H2114&lt;=INDEX(Assumptions!$C$15:$C$18,MATCH(E2114,Assumptions!$A$15:$A$18,0)),"Yes","No"))</f>
        <v>Yes</v>
      </c>
    </row>
    <row r="2115" customFormat="false" ht="15" hidden="false" customHeight="false" outlineLevel="0" collapsed="false">
      <c r="A2115" s="31" t="s">
        <v>2265</v>
      </c>
      <c r="B2115" s="44" t="n">
        <v>46233</v>
      </c>
      <c r="C2115" s="31" t="s">
        <v>60</v>
      </c>
      <c r="D2115" s="31" t="s">
        <v>67</v>
      </c>
      <c r="E2115" s="31" t="s">
        <v>50</v>
      </c>
      <c r="F2115" s="31" t="s">
        <v>122</v>
      </c>
      <c r="G2115" s="31" t="n">
        <v>2</v>
      </c>
      <c r="H2115" s="41" t="n">
        <v>11.1</v>
      </c>
      <c r="I2115" s="31" t="s">
        <v>149</v>
      </c>
      <c r="J2115" s="31" t="n">
        <v>3</v>
      </c>
      <c r="K2115" s="31" t="s">
        <v>150</v>
      </c>
      <c r="L2115" s="45" t="n">
        <f aca="false">DATE(YEAR(B2115),MONTH(B2115),1)</f>
        <v>46204</v>
      </c>
      <c r="M2115" s="31" t="n">
        <f aca="false">WEEKDAY(B2115,2)</f>
        <v>4</v>
      </c>
      <c r="N2115" s="31" t="str">
        <f aca="false">IF(G2115&lt;=INDEX(Assumptions!$B$15:$B$18,MATCH(E2115,Assumptions!$A$15:$A$18,0)),"Yes","No")</f>
        <v>Yes</v>
      </c>
      <c r="O2115" s="31" t="str">
        <f aca="false">IF(H2115="","Open",IF(H2115&lt;=INDEX(Assumptions!$C$15:$C$18,MATCH(E2115,Assumptions!$A$15:$A$18,0)),"Yes","No"))</f>
        <v>No</v>
      </c>
    </row>
    <row r="2116" customFormat="false" ht="15" hidden="false" customHeight="false" outlineLevel="0" collapsed="false">
      <c r="A2116" s="31" t="s">
        <v>2266</v>
      </c>
      <c r="B2116" s="44" t="n">
        <v>46233</v>
      </c>
      <c r="C2116" s="31" t="s">
        <v>60</v>
      </c>
      <c r="D2116" s="31" t="s">
        <v>66</v>
      </c>
      <c r="E2116" s="31" t="s">
        <v>51</v>
      </c>
      <c r="F2116" s="31" t="s">
        <v>134</v>
      </c>
      <c r="G2116" s="31" t="n">
        <v>5</v>
      </c>
      <c r="H2116" s="41" t="n">
        <v>17.5</v>
      </c>
      <c r="I2116" s="31" t="s">
        <v>64</v>
      </c>
      <c r="J2116" s="31" t="n">
        <v>2</v>
      </c>
      <c r="K2116" s="31" t="s">
        <v>150</v>
      </c>
      <c r="L2116" s="45" t="n">
        <f aca="false">DATE(YEAR(B2116),MONTH(B2116),1)</f>
        <v>46204</v>
      </c>
      <c r="M2116" s="31" t="n">
        <f aca="false">WEEKDAY(B2116,2)</f>
        <v>4</v>
      </c>
      <c r="N2116" s="31" t="str">
        <f aca="false">IF(G2116&lt;=INDEX(Assumptions!$B$15:$B$18,MATCH(E2116,Assumptions!$A$15:$A$18,0)),"Yes","No")</f>
        <v>Yes</v>
      </c>
      <c r="O2116" s="31" t="str">
        <f aca="false">IF(H2116="","Open",IF(H2116&lt;=INDEX(Assumptions!$C$15:$C$18,MATCH(E2116,Assumptions!$A$15:$A$18,0)),"Yes","No"))</f>
        <v>Yes</v>
      </c>
    </row>
    <row r="2117" customFormat="false" ht="15" hidden="false" customHeight="false" outlineLevel="0" collapsed="false">
      <c r="A2117" s="31" t="s">
        <v>2267</v>
      </c>
      <c r="B2117" s="44" t="n">
        <v>46233</v>
      </c>
      <c r="C2117" s="31" t="s">
        <v>57</v>
      </c>
      <c r="D2117" s="31" t="s">
        <v>67</v>
      </c>
      <c r="E2117" s="31" t="s">
        <v>52</v>
      </c>
      <c r="F2117" s="31" t="s">
        <v>117</v>
      </c>
      <c r="G2117" s="31" t="n">
        <v>5</v>
      </c>
      <c r="H2117" s="41" t="n">
        <v>45.4</v>
      </c>
      <c r="I2117" s="31" t="s">
        <v>149</v>
      </c>
      <c r="J2117" s="31" t="n">
        <v>5</v>
      </c>
      <c r="K2117" s="31" t="s">
        <v>150</v>
      </c>
      <c r="L2117" s="45" t="n">
        <f aca="false">DATE(YEAR(B2117),MONTH(B2117),1)</f>
        <v>46204</v>
      </c>
      <c r="M2117" s="31" t="n">
        <f aca="false">WEEKDAY(B2117,2)</f>
        <v>4</v>
      </c>
      <c r="N2117" s="31" t="str">
        <f aca="false">IF(G2117&lt;=INDEX(Assumptions!$B$15:$B$18,MATCH(E2117,Assumptions!$A$15:$A$18,0)),"Yes","No")</f>
        <v>Yes</v>
      </c>
      <c r="O2117" s="31" t="str">
        <f aca="false">IF(H2117="","Open",IF(H2117&lt;=INDEX(Assumptions!$C$15:$C$18,MATCH(E2117,Assumptions!$A$15:$A$18,0)),"Yes","No"))</f>
        <v>Yes</v>
      </c>
    </row>
    <row r="2118" customFormat="false" ht="15" hidden="false" customHeight="false" outlineLevel="0" collapsed="false">
      <c r="A2118" s="31" t="s">
        <v>2268</v>
      </c>
      <c r="B2118" s="44" t="n">
        <v>46233</v>
      </c>
      <c r="C2118" s="31" t="s">
        <v>58</v>
      </c>
      <c r="D2118" s="31" t="s">
        <v>67</v>
      </c>
      <c r="E2118" s="31" t="s">
        <v>51</v>
      </c>
      <c r="F2118" s="31" t="s">
        <v>120</v>
      </c>
      <c r="G2118" s="31" t="n">
        <v>10</v>
      </c>
      <c r="H2118" s="41" t="n">
        <v>43.6</v>
      </c>
      <c r="I2118" s="31" t="s">
        <v>149</v>
      </c>
      <c r="J2118" s="31" t="n">
        <v>3</v>
      </c>
      <c r="K2118" s="31" t="s">
        <v>150</v>
      </c>
      <c r="L2118" s="45" t="n">
        <f aca="false">DATE(YEAR(B2118),MONTH(B2118),1)</f>
        <v>46204</v>
      </c>
      <c r="M2118" s="31" t="n">
        <f aca="false">WEEKDAY(B2118,2)</f>
        <v>4</v>
      </c>
      <c r="N2118" s="31" t="str">
        <f aca="false">IF(G2118&lt;=INDEX(Assumptions!$B$15:$B$18,MATCH(E2118,Assumptions!$A$15:$A$18,0)),"Yes","No")</f>
        <v>Yes</v>
      </c>
      <c r="O2118" s="31" t="str">
        <f aca="false">IF(H2118="","Open",IF(H2118&lt;=INDEX(Assumptions!$C$15:$C$18,MATCH(E2118,Assumptions!$A$15:$A$18,0)),"Yes","No"))</f>
        <v>No</v>
      </c>
    </row>
    <row r="2119" customFormat="false" ht="15" hidden="false" customHeight="false" outlineLevel="0" collapsed="false">
      <c r="A2119" s="31" t="s">
        <v>2269</v>
      </c>
      <c r="B2119" s="44" t="n">
        <v>46233</v>
      </c>
      <c r="C2119" s="31" t="s">
        <v>59</v>
      </c>
      <c r="D2119" s="31" t="s">
        <v>66</v>
      </c>
      <c r="E2119" s="31" t="s">
        <v>50</v>
      </c>
      <c r="F2119" s="31" t="s">
        <v>130</v>
      </c>
      <c r="G2119" s="31" t="n">
        <v>36</v>
      </c>
      <c r="H2119" s="41" t="n">
        <v>7.1</v>
      </c>
      <c r="I2119" s="31" t="s">
        <v>149</v>
      </c>
      <c r="J2119" s="31"/>
      <c r="K2119" s="31" t="s">
        <v>150</v>
      </c>
      <c r="L2119" s="45" t="n">
        <f aca="false">DATE(YEAR(B2119),MONTH(B2119),1)</f>
        <v>46204</v>
      </c>
      <c r="M2119" s="31" t="n">
        <f aca="false">WEEKDAY(B2119,2)</f>
        <v>4</v>
      </c>
      <c r="N2119" s="31" t="str">
        <f aca="false">IF(G2119&lt;=INDEX(Assumptions!$B$15:$B$18,MATCH(E2119,Assumptions!$A$15:$A$18,0)),"Yes","No")</f>
        <v>No</v>
      </c>
      <c r="O2119" s="31" t="str">
        <f aca="false">IF(H2119="","Open",IF(H2119&lt;=INDEX(Assumptions!$C$15:$C$18,MATCH(E2119,Assumptions!$A$15:$A$18,0)),"Yes","No"))</f>
        <v>Yes</v>
      </c>
    </row>
    <row r="2120" customFormat="false" ht="15" hidden="false" customHeight="false" outlineLevel="0" collapsed="false">
      <c r="A2120" s="31" t="s">
        <v>2270</v>
      </c>
      <c r="B2120" s="44" t="n">
        <v>46233</v>
      </c>
      <c r="C2120" s="31" t="s">
        <v>58</v>
      </c>
      <c r="D2120" s="31" t="s">
        <v>65</v>
      </c>
      <c r="E2120" s="31" t="s">
        <v>51</v>
      </c>
      <c r="F2120" s="31" t="s">
        <v>123</v>
      </c>
      <c r="G2120" s="31" t="n">
        <v>10</v>
      </c>
      <c r="H2120" s="41" t="n">
        <v>1.7</v>
      </c>
      <c r="I2120" s="31" t="s">
        <v>149</v>
      </c>
      <c r="J2120" s="31" t="n">
        <v>5</v>
      </c>
      <c r="K2120" s="31" t="s">
        <v>150</v>
      </c>
      <c r="L2120" s="45" t="n">
        <f aca="false">DATE(YEAR(B2120),MONTH(B2120),1)</f>
        <v>46204</v>
      </c>
      <c r="M2120" s="31" t="n">
        <f aca="false">WEEKDAY(B2120,2)</f>
        <v>4</v>
      </c>
      <c r="N2120" s="31" t="str">
        <f aca="false">IF(G2120&lt;=INDEX(Assumptions!$B$15:$B$18,MATCH(E2120,Assumptions!$A$15:$A$18,0)),"Yes","No")</f>
        <v>Yes</v>
      </c>
      <c r="O2120" s="31" t="str">
        <f aca="false">IF(H2120="","Open",IF(H2120&lt;=INDEX(Assumptions!$C$15:$C$18,MATCH(E2120,Assumptions!$A$15:$A$18,0)),"Yes","No"))</f>
        <v>Yes</v>
      </c>
    </row>
    <row r="2121" customFormat="false" ht="15" hidden="false" customHeight="false" outlineLevel="0" collapsed="false">
      <c r="A2121" s="31" t="s">
        <v>2271</v>
      </c>
      <c r="B2121" s="44" t="n">
        <v>46233</v>
      </c>
      <c r="C2121" s="31" t="s">
        <v>58</v>
      </c>
      <c r="D2121" s="31" t="s">
        <v>69</v>
      </c>
      <c r="E2121" s="31" t="s">
        <v>52</v>
      </c>
      <c r="F2121" s="31" t="s">
        <v>128</v>
      </c>
      <c r="G2121" s="31" t="n">
        <v>43</v>
      </c>
      <c r="H2121" s="41" t="n">
        <v>25.7</v>
      </c>
      <c r="I2121" s="31" t="s">
        <v>149</v>
      </c>
      <c r="J2121" s="31" t="n">
        <v>4</v>
      </c>
      <c r="K2121" s="31" t="s">
        <v>150</v>
      </c>
      <c r="L2121" s="45" t="n">
        <f aca="false">DATE(YEAR(B2121),MONTH(B2121),1)</f>
        <v>46204</v>
      </c>
      <c r="M2121" s="31" t="n">
        <f aca="false">WEEKDAY(B2121,2)</f>
        <v>4</v>
      </c>
      <c r="N2121" s="31" t="str">
        <f aca="false">IF(G2121&lt;=INDEX(Assumptions!$B$15:$B$18,MATCH(E2121,Assumptions!$A$15:$A$18,0)),"Yes","No")</f>
        <v>Yes</v>
      </c>
      <c r="O2121" s="31" t="str">
        <f aca="false">IF(H2121="","Open",IF(H2121&lt;=INDEX(Assumptions!$C$15:$C$18,MATCH(E2121,Assumptions!$A$15:$A$18,0)),"Yes","No"))</f>
        <v>Yes</v>
      </c>
    </row>
    <row r="2122" customFormat="false" ht="15" hidden="false" customHeight="false" outlineLevel="0" collapsed="false">
      <c r="A2122" s="31" t="s">
        <v>2272</v>
      </c>
      <c r="B2122" s="44" t="n">
        <v>46233</v>
      </c>
      <c r="C2122" s="31" t="s">
        <v>59</v>
      </c>
      <c r="D2122" s="31" t="s">
        <v>69</v>
      </c>
      <c r="E2122" s="31" t="s">
        <v>51</v>
      </c>
      <c r="F2122" s="31" t="s">
        <v>136</v>
      </c>
      <c r="G2122" s="31" t="n">
        <v>96</v>
      </c>
      <c r="H2122" s="41" t="n">
        <v>15.2</v>
      </c>
      <c r="I2122" s="31" t="s">
        <v>149</v>
      </c>
      <c r="J2122" s="31"/>
      <c r="K2122" s="31" t="s">
        <v>150</v>
      </c>
      <c r="L2122" s="45" t="n">
        <f aca="false">DATE(YEAR(B2122),MONTH(B2122),1)</f>
        <v>46204</v>
      </c>
      <c r="M2122" s="31" t="n">
        <f aca="false">WEEKDAY(B2122,2)</f>
        <v>4</v>
      </c>
      <c r="N2122" s="31" t="str">
        <f aca="false">IF(G2122&lt;=INDEX(Assumptions!$B$15:$B$18,MATCH(E2122,Assumptions!$A$15:$A$18,0)),"Yes","No")</f>
        <v>No</v>
      </c>
      <c r="O2122" s="31" t="str">
        <f aca="false">IF(H2122="","Open",IF(H2122&lt;=INDEX(Assumptions!$C$15:$C$18,MATCH(E2122,Assumptions!$A$15:$A$18,0)),"Yes","No"))</f>
        <v>Yes</v>
      </c>
    </row>
    <row r="2123" customFormat="false" ht="15" hidden="false" customHeight="false" outlineLevel="0" collapsed="false">
      <c r="A2123" s="31" t="s">
        <v>2273</v>
      </c>
      <c r="B2123" s="44" t="n">
        <v>46233</v>
      </c>
      <c r="C2123" s="31" t="s">
        <v>59</v>
      </c>
      <c r="D2123" s="31" t="s">
        <v>66</v>
      </c>
      <c r="E2123" s="31" t="s">
        <v>52</v>
      </c>
      <c r="F2123" s="31" t="s">
        <v>136</v>
      </c>
      <c r="G2123" s="31" t="n">
        <v>177</v>
      </c>
      <c r="H2123" s="41" t="n">
        <v>5.2</v>
      </c>
      <c r="I2123" s="31" t="s">
        <v>149</v>
      </c>
      <c r="J2123" s="31" t="n">
        <v>4</v>
      </c>
      <c r="K2123" s="31" t="s">
        <v>150</v>
      </c>
      <c r="L2123" s="45" t="n">
        <f aca="false">DATE(YEAR(B2123),MONTH(B2123),1)</f>
        <v>46204</v>
      </c>
      <c r="M2123" s="31" t="n">
        <f aca="false">WEEKDAY(B2123,2)</f>
        <v>4</v>
      </c>
      <c r="N2123" s="31" t="str">
        <f aca="false">IF(G2123&lt;=INDEX(Assumptions!$B$15:$B$18,MATCH(E2123,Assumptions!$A$15:$A$18,0)),"Yes","No")</f>
        <v>Yes</v>
      </c>
      <c r="O2123" s="31" t="str">
        <f aca="false">IF(H2123="","Open",IF(H2123&lt;=INDEX(Assumptions!$C$15:$C$18,MATCH(E2123,Assumptions!$A$15:$A$18,0)),"Yes","No"))</f>
        <v>Yes</v>
      </c>
    </row>
    <row r="2124" customFormat="false" ht="15" hidden="false" customHeight="false" outlineLevel="0" collapsed="false">
      <c r="A2124" s="31" t="s">
        <v>2274</v>
      </c>
      <c r="B2124" s="44" t="n">
        <v>46233</v>
      </c>
      <c r="C2124" s="31" t="s">
        <v>58</v>
      </c>
      <c r="D2124" s="31" t="s">
        <v>68</v>
      </c>
      <c r="E2124" s="31" t="s">
        <v>49</v>
      </c>
      <c r="F2124" s="31" t="s">
        <v>136</v>
      </c>
      <c r="G2124" s="31" t="n">
        <v>4</v>
      </c>
      <c r="H2124" s="41" t="n">
        <v>3.3</v>
      </c>
      <c r="I2124" s="31" t="s">
        <v>149</v>
      </c>
      <c r="J2124" s="31"/>
      <c r="K2124" s="31" t="s">
        <v>150</v>
      </c>
      <c r="L2124" s="45" t="n">
        <f aca="false">DATE(YEAR(B2124),MONTH(B2124),1)</f>
        <v>46204</v>
      </c>
      <c r="M2124" s="31" t="n">
        <f aca="false">WEEKDAY(B2124,2)</f>
        <v>4</v>
      </c>
      <c r="N2124" s="31" t="str">
        <f aca="false">IF(G2124&lt;=INDEX(Assumptions!$B$15:$B$18,MATCH(E2124,Assumptions!$A$15:$A$18,0)),"Yes","No")</f>
        <v>Yes</v>
      </c>
      <c r="O2124" s="31" t="str">
        <f aca="false">IF(H2124="","Open",IF(H2124&lt;=INDEX(Assumptions!$C$15:$C$18,MATCH(E2124,Assumptions!$A$15:$A$18,0)),"Yes","No"))</f>
        <v>Yes</v>
      </c>
    </row>
    <row r="2125" customFormat="false" ht="15" hidden="false" customHeight="false" outlineLevel="0" collapsed="false">
      <c r="A2125" s="31" t="s">
        <v>2275</v>
      </c>
      <c r="B2125" s="44" t="n">
        <v>46233</v>
      </c>
      <c r="C2125" s="31" t="s">
        <v>60</v>
      </c>
      <c r="D2125" s="31" t="s">
        <v>67</v>
      </c>
      <c r="E2125" s="31" t="s">
        <v>50</v>
      </c>
      <c r="F2125" s="31" t="s">
        <v>129</v>
      </c>
      <c r="G2125" s="31" t="n">
        <v>1</v>
      </c>
      <c r="H2125" s="41" t="n">
        <v>6</v>
      </c>
      <c r="I2125" s="31" t="s">
        <v>149</v>
      </c>
      <c r="J2125" s="31" t="n">
        <v>5</v>
      </c>
      <c r="K2125" s="31" t="s">
        <v>150</v>
      </c>
      <c r="L2125" s="45" t="n">
        <f aca="false">DATE(YEAR(B2125),MONTH(B2125),1)</f>
        <v>46204</v>
      </c>
      <c r="M2125" s="31" t="n">
        <f aca="false">WEEKDAY(B2125,2)</f>
        <v>4</v>
      </c>
      <c r="N2125" s="31" t="str">
        <f aca="false">IF(G2125&lt;=INDEX(Assumptions!$B$15:$B$18,MATCH(E2125,Assumptions!$A$15:$A$18,0)),"Yes","No")</f>
        <v>Yes</v>
      </c>
      <c r="O2125" s="31" t="str">
        <f aca="false">IF(H2125="","Open",IF(H2125&lt;=INDEX(Assumptions!$C$15:$C$18,MATCH(E2125,Assumptions!$A$15:$A$18,0)),"Yes","No"))</f>
        <v>Yes</v>
      </c>
    </row>
    <row r="2126" customFormat="false" ht="15" hidden="false" customHeight="false" outlineLevel="0" collapsed="false">
      <c r="A2126" s="31" t="s">
        <v>2276</v>
      </c>
      <c r="B2126" s="44" t="n">
        <v>46233</v>
      </c>
      <c r="C2126" s="31" t="s">
        <v>59</v>
      </c>
      <c r="D2126" s="31" t="s">
        <v>68</v>
      </c>
      <c r="E2126" s="31" t="s">
        <v>52</v>
      </c>
      <c r="F2126" s="31" t="s">
        <v>127</v>
      </c>
      <c r="G2126" s="31" t="n">
        <v>125</v>
      </c>
      <c r="H2126" s="41" t="n">
        <v>5.3</v>
      </c>
      <c r="I2126" s="31" t="s">
        <v>149</v>
      </c>
      <c r="J2126" s="31"/>
      <c r="K2126" s="31" t="s">
        <v>150</v>
      </c>
      <c r="L2126" s="45" t="n">
        <f aca="false">DATE(YEAR(B2126),MONTH(B2126),1)</f>
        <v>46204</v>
      </c>
      <c r="M2126" s="31" t="n">
        <f aca="false">WEEKDAY(B2126,2)</f>
        <v>4</v>
      </c>
      <c r="N2126" s="31" t="str">
        <f aca="false">IF(G2126&lt;=INDEX(Assumptions!$B$15:$B$18,MATCH(E2126,Assumptions!$A$15:$A$18,0)),"Yes","No")</f>
        <v>Yes</v>
      </c>
      <c r="O2126" s="31" t="str">
        <f aca="false">IF(H2126="","Open",IF(H2126&lt;=INDEX(Assumptions!$C$15:$C$18,MATCH(E2126,Assumptions!$A$15:$A$18,0)),"Yes","No"))</f>
        <v>Yes</v>
      </c>
    </row>
    <row r="2127" customFormat="false" ht="15" hidden="false" customHeight="false" outlineLevel="0" collapsed="false">
      <c r="A2127" s="31" t="s">
        <v>2277</v>
      </c>
      <c r="B2127" s="44" t="n">
        <v>46233</v>
      </c>
      <c r="C2127" s="31" t="s">
        <v>57</v>
      </c>
      <c r="D2127" s="31" t="s">
        <v>68</v>
      </c>
      <c r="E2127" s="31" t="s">
        <v>52</v>
      </c>
      <c r="F2127" s="31" t="s">
        <v>137</v>
      </c>
      <c r="G2127" s="31" t="n">
        <v>5</v>
      </c>
      <c r="H2127" s="41" t="n">
        <v>6.6</v>
      </c>
      <c r="I2127" s="31" t="s">
        <v>149</v>
      </c>
      <c r="J2127" s="31" t="n">
        <v>5</v>
      </c>
      <c r="K2127" s="31" t="s">
        <v>150</v>
      </c>
      <c r="L2127" s="45" t="n">
        <f aca="false">DATE(YEAR(B2127),MONTH(B2127),1)</f>
        <v>46204</v>
      </c>
      <c r="M2127" s="31" t="n">
        <f aca="false">WEEKDAY(B2127,2)</f>
        <v>4</v>
      </c>
      <c r="N2127" s="31" t="str">
        <f aca="false">IF(G2127&lt;=INDEX(Assumptions!$B$15:$B$18,MATCH(E2127,Assumptions!$A$15:$A$18,0)),"Yes","No")</f>
        <v>Yes</v>
      </c>
      <c r="O2127" s="31" t="str">
        <f aca="false">IF(H2127="","Open",IF(H2127&lt;=INDEX(Assumptions!$C$15:$C$18,MATCH(E2127,Assumptions!$A$15:$A$18,0)),"Yes","No"))</f>
        <v>Yes</v>
      </c>
    </row>
    <row r="2128" customFormat="false" ht="15" hidden="false" customHeight="false" outlineLevel="0" collapsed="false">
      <c r="A2128" s="31" t="s">
        <v>2278</v>
      </c>
      <c r="B2128" s="44" t="n">
        <v>46233</v>
      </c>
      <c r="C2128" s="31" t="s">
        <v>58</v>
      </c>
      <c r="D2128" s="31" t="s">
        <v>67</v>
      </c>
      <c r="E2128" s="31" t="s">
        <v>52</v>
      </c>
      <c r="F2128" s="31" t="s">
        <v>124</v>
      </c>
      <c r="G2128" s="31" t="n">
        <v>4</v>
      </c>
      <c r="H2128" s="41" t="n">
        <v>25.3</v>
      </c>
      <c r="I2128" s="31" t="s">
        <v>149</v>
      </c>
      <c r="J2128" s="31"/>
      <c r="K2128" s="31" t="s">
        <v>150</v>
      </c>
      <c r="L2128" s="45" t="n">
        <f aca="false">DATE(YEAR(B2128),MONTH(B2128),1)</f>
        <v>46204</v>
      </c>
      <c r="M2128" s="31" t="n">
        <f aca="false">WEEKDAY(B2128,2)</f>
        <v>4</v>
      </c>
      <c r="N2128" s="31" t="str">
        <f aca="false">IF(G2128&lt;=INDEX(Assumptions!$B$15:$B$18,MATCH(E2128,Assumptions!$A$15:$A$18,0)),"Yes","No")</f>
        <v>Yes</v>
      </c>
      <c r="O2128" s="31" t="str">
        <f aca="false">IF(H2128="","Open",IF(H2128&lt;=INDEX(Assumptions!$C$15:$C$18,MATCH(E2128,Assumptions!$A$15:$A$18,0)),"Yes","No"))</f>
        <v>Yes</v>
      </c>
    </row>
    <row r="2129" customFormat="false" ht="15" hidden="false" customHeight="false" outlineLevel="0" collapsed="false">
      <c r="A2129" s="31" t="s">
        <v>2279</v>
      </c>
      <c r="B2129" s="44" t="n">
        <v>46233</v>
      </c>
      <c r="C2129" s="31" t="s">
        <v>58</v>
      </c>
      <c r="D2129" s="31" t="s">
        <v>67</v>
      </c>
      <c r="E2129" s="31" t="s">
        <v>51</v>
      </c>
      <c r="F2129" s="31" t="s">
        <v>126</v>
      </c>
      <c r="G2129" s="31" t="n">
        <v>7</v>
      </c>
      <c r="H2129" s="41" t="n">
        <v>15</v>
      </c>
      <c r="I2129" s="31" t="s">
        <v>149</v>
      </c>
      <c r="J2129" s="31" t="n">
        <v>4</v>
      </c>
      <c r="K2129" s="31" t="s">
        <v>150</v>
      </c>
      <c r="L2129" s="45" t="n">
        <f aca="false">DATE(YEAR(B2129),MONTH(B2129),1)</f>
        <v>46204</v>
      </c>
      <c r="M2129" s="31" t="n">
        <f aca="false">WEEKDAY(B2129,2)</f>
        <v>4</v>
      </c>
      <c r="N2129" s="31" t="str">
        <f aca="false">IF(G2129&lt;=INDEX(Assumptions!$B$15:$B$18,MATCH(E2129,Assumptions!$A$15:$A$18,0)),"Yes","No")</f>
        <v>Yes</v>
      </c>
      <c r="O2129" s="31" t="str">
        <f aca="false">IF(H2129="","Open",IF(H2129&lt;=INDEX(Assumptions!$C$15:$C$18,MATCH(E2129,Assumptions!$A$15:$A$18,0)),"Yes","No"))</f>
        <v>Yes</v>
      </c>
    </row>
    <row r="2130" customFormat="false" ht="15" hidden="false" customHeight="false" outlineLevel="0" collapsed="false">
      <c r="A2130" s="31" t="s">
        <v>2280</v>
      </c>
      <c r="B2130" s="44" t="n">
        <v>46233</v>
      </c>
      <c r="C2130" s="31" t="s">
        <v>57</v>
      </c>
      <c r="D2130" s="31" t="s">
        <v>66</v>
      </c>
      <c r="E2130" s="31" t="s">
        <v>51</v>
      </c>
      <c r="F2130" s="31" t="s">
        <v>137</v>
      </c>
      <c r="G2130" s="31" t="n">
        <v>3</v>
      </c>
      <c r="H2130" s="41" t="n">
        <v>11.6</v>
      </c>
      <c r="I2130" s="31" t="s">
        <v>149</v>
      </c>
      <c r="J2130" s="31" t="n">
        <v>4</v>
      </c>
      <c r="K2130" s="31" t="s">
        <v>153</v>
      </c>
      <c r="L2130" s="45" t="n">
        <f aca="false">DATE(YEAR(B2130),MONTH(B2130),1)</f>
        <v>46204</v>
      </c>
      <c r="M2130" s="31" t="n">
        <f aca="false">WEEKDAY(B2130,2)</f>
        <v>4</v>
      </c>
      <c r="N2130" s="31" t="str">
        <f aca="false">IF(G2130&lt;=INDEX(Assumptions!$B$15:$B$18,MATCH(E2130,Assumptions!$A$15:$A$18,0)),"Yes","No")</f>
        <v>Yes</v>
      </c>
      <c r="O2130" s="31" t="str">
        <f aca="false">IF(H2130="","Open",IF(H2130&lt;=INDEX(Assumptions!$C$15:$C$18,MATCH(E2130,Assumptions!$A$15:$A$18,0)),"Yes","No"))</f>
        <v>Yes</v>
      </c>
    </row>
    <row r="2131" customFormat="false" ht="15" hidden="false" customHeight="false" outlineLevel="0" collapsed="false">
      <c r="A2131" s="31" t="s">
        <v>2281</v>
      </c>
      <c r="B2131" s="44" t="n">
        <v>46233</v>
      </c>
      <c r="C2131" s="31" t="s">
        <v>58</v>
      </c>
      <c r="D2131" s="31" t="s">
        <v>66</v>
      </c>
      <c r="E2131" s="31" t="s">
        <v>51</v>
      </c>
      <c r="F2131" s="31" t="s">
        <v>122</v>
      </c>
      <c r="G2131" s="31" t="n">
        <v>6</v>
      </c>
      <c r="H2131" s="41" t="n">
        <v>9.3</v>
      </c>
      <c r="I2131" s="31" t="s">
        <v>149</v>
      </c>
      <c r="J2131" s="31"/>
      <c r="K2131" s="31" t="s">
        <v>150</v>
      </c>
      <c r="L2131" s="45" t="n">
        <f aca="false">DATE(YEAR(B2131),MONTH(B2131),1)</f>
        <v>46204</v>
      </c>
      <c r="M2131" s="31" t="n">
        <f aca="false">WEEKDAY(B2131,2)</f>
        <v>4</v>
      </c>
      <c r="N2131" s="31" t="str">
        <f aca="false">IF(G2131&lt;=INDEX(Assumptions!$B$15:$B$18,MATCH(E2131,Assumptions!$A$15:$A$18,0)),"Yes","No")</f>
        <v>Yes</v>
      </c>
      <c r="O2131" s="31" t="str">
        <f aca="false">IF(H2131="","Open",IF(H2131&lt;=INDEX(Assumptions!$C$15:$C$18,MATCH(E2131,Assumptions!$A$15:$A$18,0)),"Yes","No"))</f>
        <v>Yes</v>
      </c>
    </row>
    <row r="2132" customFormat="false" ht="15" hidden="false" customHeight="false" outlineLevel="0" collapsed="false">
      <c r="A2132" s="31" t="s">
        <v>2282</v>
      </c>
      <c r="B2132" s="44" t="n">
        <v>46233</v>
      </c>
      <c r="C2132" s="31" t="s">
        <v>57</v>
      </c>
      <c r="D2132" s="31" t="s">
        <v>69</v>
      </c>
      <c r="E2132" s="31" t="s">
        <v>52</v>
      </c>
      <c r="F2132" s="31" t="s">
        <v>124</v>
      </c>
      <c r="G2132" s="31" t="n">
        <v>5</v>
      </c>
      <c r="H2132" s="41" t="n">
        <v>63.5</v>
      </c>
      <c r="I2132" s="31" t="s">
        <v>149</v>
      </c>
      <c r="J2132" s="31"/>
      <c r="K2132" s="31" t="s">
        <v>150</v>
      </c>
      <c r="L2132" s="45" t="n">
        <f aca="false">DATE(YEAR(B2132),MONTH(B2132),1)</f>
        <v>46204</v>
      </c>
      <c r="M2132" s="31" t="n">
        <f aca="false">WEEKDAY(B2132,2)</f>
        <v>4</v>
      </c>
      <c r="N2132" s="31" t="str">
        <f aca="false">IF(G2132&lt;=INDEX(Assumptions!$B$15:$B$18,MATCH(E2132,Assumptions!$A$15:$A$18,0)),"Yes","No")</f>
        <v>Yes</v>
      </c>
      <c r="O2132" s="31" t="str">
        <f aca="false">IF(H2132="","Open",IF(H2132&lt;=INDEX(Assumptions!$C$15:$C$18,MATCH(E2132,Assumptions!$A$15:$A$18,0)),"Yes","No"))</f>
        <v>Yes</v>
      </c>
    </row>
    <row r="2133" customFormat="false" ht="15" hidden="false" customHeight="false" outlineLevel="0" collapsed="false">
      <c r="A2133" s="31" t="s">
        <v>2283</v>
      </c>
      <c r="B2133" s="44" t="n">
        <v>46233</v>
      </c>
      <c r="C2133" s="31" t="s">
        <v>58</v>
      </c>
      <c r="D2133" s="31" t="s">
        <v>68</v>
      </c>
      <c r="E2133" s="31" t="s">
        <v>52</v>
      </c>
      <c r="F2133" s="31" t="s">
        <v>135</v>
      </c>
      <c r="G2133" s="31" t="n">
        <v>29</v>
      </c>
      <c r="H2133" s="41" t="n">
        <v>10.5</v>
      </c>
      <c r="I2133" s="31" t="s">
        <v>149</v>
      </c>
      <c r="J2133" s="31"/>
      <c r="K2133" s="31" t="s">
        <v>150</v>
      </c>
      <c r="L2133" s="45" t="n">
        <f aca="false">DATE(YEAR(B2133),MONTH(B2133),1)</f>
        <v>46204</v>
      </c>
      <c r="M2133" s="31" t="n">
        <f aca="false">WEEKDAY(B2133,2)</f>
        <v>4</v>
      </c>
      <c r="N2133" s="31" t="str">
        <f aca="false">IF(G2133&lt;=INDEX(Assumptions!$B$15:$B$18,MATCH(E2133,Assumptions!$A$15:$A$18,0)),"Yes","No")</f>
        <v>Yes</v>
      </c>
      <c r="O2133" s="31" t="str">
        <f aca="false">IF(H2133="","Open",IF(H2133&lt;=INDEX(Assumptions!$C$15:$C$18,MATCH(E2133,Assumptions!$A$15:$A$18,0)),"Yes","No"))</f>
        <v>Yes</v>
      </c>
    </row>
    <row r="2134" customFormat="false" ht="15" hidden="false" customHeight="false" outlineLevel="0" collapsed="false">
      <c r="A2134" s="31" t="s">
        <v>2284</v>
      </c>
      <c r="B2134" s="44" t="n">
        <v>46233</v>
      </c>
      <c r="C2134" s="31" t="s">
        <v>59</v>
      </c>
      <c r="D2134" s="31" t="s">
        <v>65</v>
      </c>
      <c r="E2134" s="31" t="s">
        <v>51</v>
      </c>
      <c r="F2134" s="31" t="s">
        <v>119</v>
      </c>
      <c r="G2134" s="31" t="n">
        <v>65</v>
      </c>
      <c r="H2134" s="41" t="n">
        <v>12.6</v>
      </c>
      <c r="I2134" s="31" t="s">
        <v>149</v>
      </c>
      <c r="J2134" s="31"/>
      <c r="K2134" s="31" t="s">
        <v>150</v>
      </c>
      <c r="L2134" s="45" t="n">
        <f aca="false">DATE(YEAR(B2134),MONTH(B2134),1)</f>
        <v>46204</v>
      </c>
      <c r="M2134" s="31" t="n">
        <f aca="false">WEEKDAY(B2134,2)</f>
        <v>4</v>
      </c>
      <c r="N2134" s="31" t="str">
        <f aca="false">IF(G2134&lt;=INDEX(Assumptions!$B$15:$B$18,MATCH(E2134,Assumptions!$A$15:$A$18,0)),"Yes","No")</f>
        <v>No</v>
      </c>
      <c r="O2134" s="31" t="str">
        <f aca="false">IF(H2134="","Open",IF(H2134&lt;=INDEX(Assumptions!$C$15:$C$18,MATCH(E2134,Assumptions!$A$15:$A$18,0)),"Yes","No"))</f>
        <v>Yes</v>
      </c>
    </row>
    <row r="2135" customFormat="false" ht="15" hidden="false" customHeight="false" outlineLevel="0" collapsed="false">
      <c r="A2135" s="31" t="s">
        <v>2285</v>
      </c>
      <c r="B2135" s="44" t="n">
        <v>46233</v>
      </c>
      <c r="C2135" s="31" t="s">
        <v>57</v>
      </c>
      <c r="D2135" s="31" t="s">
        <v>65</v>
      </c>
      <c r="E2135" s="31" t="s">
        <v>52</v>
      </c>
      <c r="F2135" s="31" t="s">
        <v>135</v>
      </c>
      <c r="G2135" s="31" t="n">
        <v>7</v>
      </c>
      <c r="H2135" s="41" t="n">
        <v>44.9</v>
      </c>
      <c r="I2135" s="31" t="s">
        <v>149</v>
      </c>
      <c r="J2135" s="31"/>
      <c r="K2135" s="31" t="s">
        <v>150</v>
      </c>
      <c r="L2135" s="45" t="n">
        <f aca="false">DATE(YEAR(B2135),MONTH(B2135),1)</f>
        <v>46204</v>
      </c>
      <c r="M2135" s="31" t="n">
        <f aca="false">WEEKDAY(B2135,2)</f>
        <v>4</v>
      </c>
      <c r="N2135" s="31" t="str">
        <f aca="false">IF(G2135&lt;=INDEX(Assumptions!$B$15:$B$18,MATCH(E2135,Assumptions!$A$15:$A$18,0)),"Yes","No")</f>
        <v>Yes</v>
      </c>
      <c r="O2135" s="31" t="str">
        <f aca="false">IF(H2135="","Open",IF(H2135&lt;=INDEX(Assumptions!$C$15:$C$18,MATCH(E2135,Assumptions!$A$15:$A$18,0)),"Yes","No"))</f>
        <v>Yes</v>
      </c>
    </row>
    <row r="2136" customFormat="false" ht="15" hidden="false" customHeight="false" outlineLevel="0" collapsed="false">
      <c r="A2136" s="31" t="s">
        <v>2286</v>
      </c>
      <c r="B2136" s="44" t="n">
        <v>46233</v>
      </c>
      <c r="C2136" s="31" t="s">
        <v>58</v>
      </c>
      <c r="D2136" s="31" t="s">
        <v>67</v>
      </c>
      <c r="E2136" s="31" t="s">
        <v>52</v>
      </c>
      <c r="F2136" s="31" t="s">
        <v>123</v>
      </c>
      <c r="G2136" s="31" t="n">
        <v>53</v>
      </c>
      <c r="H2136" s="41" t="n">
        <v>32</v>
      </c>
      <c r="I2136" s="31" t="s">
        <v>149</v>
      </c>
      <c r="J2136" s="31" t="n">
        <v>5</v>
      </c>
      <c r="K2136" s="31" t="s">
        <v>150</v>
      </c>
      <c r="L2136" s="45" t="n">
        <f aca="false">DATE(YEAR(B2136),MONTH(B2136),1)</f>
        <v>46204</v>
      </c>
      <c r="M2136" s="31" t="n">
        <f aca="false">WEEKDAY(B2136,2)</f>
        <v>4</v>
      </c>
      <c r="N2136" s="31" t="str">
        <f aca="false">IF(G2136&lt;=INDEX(Assumptions!$B$15:$B$18,MATCH(E2136,Assumptions!$A$15:$A$18,0)),"Yes","No")</f>
        <v>Yes</v>
      </c>
      <c r="O2136" s="31" t="str">
        <f aca="false">IF(H2136="","Open",IF(H2136&lt;=INDEX(Assumptions!$C$15:$C$18,MATCH(E2136,Assumptions!$A$15:$A$18,0)),"Yes","No"))</f>
        <v>Yes</v>
      </c>
    </row>
    <row r="2137" customFormat="false" ht="15" hidden="false" customHeight="false" outlineLevel="0" collapsed="false">
      <c r="A2137" s="31" t="s">
        <v>2287</v>
      </c>
      <c r="B2137" s="44" t="n">
        <v>46233</v>
      </c>
      <c r="C2137" s="31" t="s">
        <v>59</v>
      </c>
      <c r="D2137" s="31" t="s">
        <v>68</v>
      </c>
      <c r="E2137" s="31" t="s">
        <v>51</v>
      </c>
      <c r="F2137" s="31" t="s">
        <v>135</v>
      </c>
      <c r="G2137" s="31" t="n">
        <v>45</v>
      </c>
      <c r="H2137" s="41" t="n">
        <v>2.4</v>
      </c>
      <c r="I2137" s="31" t="s">
        <v>149</v>
      </c>
      <c r="J2137" s="31"/>
      <c r="K2137" s="31" t="s">
        <v>150</v>
      </c>
      <c r="L2137" s="45" t="n">
        <f aca="false">DATE(YEAR(B2137),MONTH(B2137),1)</f>
        <v>46204</v>
      </c>
      <c r="M2137" s="31" t="n">
        <f aca="false">WEEKDAY(B2137,2)</f>
        <v>4</v>
      </c>
      <c r="N2137" s="31" t="str">
        <f aca="false">IF(G2137&lt;=INDEX(Assumptions!$B$15:$B$18,MATCH(E2137,Assumptions!$A$15:$A$18,0)),"Yes","No")</f>
        <v>Yes</v>
      </c>
      <c r="O2137" s="31" t="str">
        <f aca="false">IF(H2137="","Open",IF(H2137&lt;=INDEX(Assumptions!$C$15:$C$18,MATCH(E2137,Assumptions!$A$15:$A$18,0)),"Yes","No"))</f>
        <v>Yes</v>
      </c>
    </row>
    <row r="2138" customFormat="false" ht="15" hidden="false" customHeight="false" outlineLevel="0" collapsed="false">
      <c r="A2138" s="31" t="s">
        <v>2288</v>
      </c>
      <c r="B2138" s="44" t="n">
        <v>46233</v>
      </c>
      <c r="C2138" s="31" t="s">
        <v>57</v>
      </c>
      <c r="D2138" s="31" t="s">
        <v>66</v>
      </c>
      <c r="E2138" s="31" t="s">
        <v>51</v>
      </c>
      <c r="F2138" s="31" t="s">
        <v>123</v>
      </c>
      <c r="G2138" s="31" t="n">
        <v>1</v>
      </c>
      <c r="H2138" s="41" t="n">
        <v>16.2</v>
      </c>
      <c r="I2138" s="31" t="s">
        <v>149</v>
      </c>
      <c r="J2138" s="31" t="n">
        <v>5</v>
      </c>
      <c r="K2138" s="31" t="s">
        <v>150</v>
      </c>
      <c r="L2138" s="45" t="n">
        <f aca="false">DATE(YEAR(B2138),MONTH(B2138),1)</f>
        <v>46204</v>
      </c>
      <c r="M2138" s="31" t="n">
        <f aca="false">WEEKDAY(B2138,2)</f>
        <v>4</v>
      </c>
      <c r="N2138" s="31" t="str">
        <f aca="false">IF(G2138&lt;=INDEX(Assumptions!$B$15:$B$18,MATCH(E2138,Assumptions!$A$15:$A$18,0)),"Yes","No")</f>
        <v>Yes</v>
      </c>
      <c r="O2138" s="31" t="str">
        <f aca="false">IF(H2138="","Open",IF(H2138&lt;=INDEX(Assumptions!$C$15:$C$18,MATCH(E2138,Assumptions!$A$15:$A$18,0)),"Yes","No"))</f>
        <v>Yes</v>
      </c>
    </row>
    <row r="2139" customFormat="false" ht="15" hidden="false" customHeight="false" outlineLevel="0" collapsed="false">
      <c r="A2139" s="31" t="s">
        <v>2289</v>
      </c>
      <c r="B2139" s="44" t="n">
        <v>46233</v>
      </c>
      <c r="C2139" s="31" t="s">
        <v>59</v>
      </c>
      <c r="D2139" s="31" t="s">
        <v>67</v>
      </c>
      <c r="E2139" s="31" t="s">
        <v>52</v>
      </c>
      <c r="F2139" s="31" t="s">
        <v>120</v>
      </c>
      <c r="G2139" s="31" t="n">
        <v>179</v>
      </c>
      <c r="H2139" s="41" t="n">
        <v>22.6</v>
      </c>
      <c r="I2139" s="31" t="s">
        <v>149</v>
      </c>
      <c r="J2139" s="31"/>
      <c r="K2139" s="31" t="s">
        <v>150</v>
      </c>
      <c r="L2139" s="45" t="n">
        <f aca="false">DATE(YEAR(B2139),MONTH(B2139),1)</f>
        <v>46204</v>
      </c>
      <c r="M2139" s="31" t="n">
        <f aca="false">WEEKDAY(B2139,2)</f>
        <v>4</v>
      </c>
      <c r="N2139" s="31" t="str">
        <f aca="false">IF(G2139&lt;=INDEX(Assumptions!$B$15:$B$18,MATCH(E2139,Assumptions!$A$15:$A$18,0)),"Yes","No")</f>
        <v>Yes</v>
      </c>
      <c r="O2139" s="31" t="str">
        <f aca="false">IF(H2139="","Open",IF(H2139&lt;=INDEX(Assumptions!$C$15:$C$18,MATCH(E2139,Assumptions!$A$15:$A$18,0)),"Yes","No"))</f>
        <v>Yes</v>
      </c>
    </row>
    <row r="2140" customFormat="false" ht="15" hidden="false" customHeight="false" outlineLevel="0" collapsed="false">
      <c r="A2140" s="31" t="s">
        <v>2290</v>
      </c>
      <c r="B2140" s="44" t="n">
        <v>46233</v>
      </c>
      <c r="C2140" s="31" t="s">
        <v>57</v>
      </c>
      <c r="D2140" s="31" t="s">
        <v>65</v>
      </c>
      <c r="E2140" s="31" t="s">
        <v>50</v>
      </c>
      <c r="F2140" s="31" t="s">
        <v>135</v>
      </c>
      <c r="G2140" s="31" t="n">
        <v>6</v>
      </c>
      <c r="H2140" s="41" t="n">
        <v>7.6</v>
      </c>
      <c r="I2140" s="31" t="s">
        <v>149</v>
      </c>
      <c r="J2140" s="31"/>
      <c r="K2140" s="31" t="s">
        <v>150</v>
      </c>
      <c r="L2140" s="45" t="n">
        <f aca="false">DATE(YEAR(B2140),MONTH(B2140),1)</f>
        <v>46204</v>
      </c>
      <c r="M2140" s="31" t="n">
        <f aca="false">WEEKDAY(B2140,2)</f>
        <v>4</v>
      </c>
      <c r="N2140" s="31" t="str">
        <f aca="false">IF(G2140&lt;=INDEX(Assumptions!$B$15:$B$18,MATCH(E2140,Assumptions!$A$15:$A$18,0)),"Yes","No")</f>
        <v>Yes</v>
      </c>
      <c r="O2140" s="31" t="str">
        <f aca="false">IF(H2140="","Open",IF(H2140&lt;=INDEX(Assumptions!$C$15:$C$18,MATCH(E2140,Assumptions!$A$15:$A$18,0)),"Yes","No"))</f>
        <v>Yes</v>
      </c>
    </row>
    <row r="2141" customFormat="false" ht="15" hidden="false" customHeight="false" outlineLevel="0" collapsed="false">
      <c r="A2141" s="31" t="s">
        <v>2291</v>
      </c>
      <c r="B2141" s="44" t="n">
        <v>46233</v>
      </c>
      <c r="C2141" s="31" t="s">
        <v>60</v>
      </c>
      <c r="D2141" s="31" t="s">
        <v>66</v>
      </c>
      <c r="E2141" s="31" t="s">
        <v>51</v>
      </c>
      <c r="F2141" s="31" t="s">
        <v>122</v>
      </c>
      <c r="G2141" s="31" t="n">
        <v>1</v>
      </c>
      <c r="H2141" s="41" t="n">
        <v>3.3</v>
      </c>
      <c r="I2141" s="31" t="s">
        <v>149</v>
      </c>
      <c r="J2141" s="31" t="n">
        <v>5</v>
      </c>
      <c r="K2141" s="31" t="s">
        <v>150</v>
      </c>
      <c r="L2141" s="45" t="n">
        <f aca="false">DATE(YEAR(B2141),MONTH(B2141),1)</f>
        <v>46204</v>
      </c>
      <c r="M2141" s="31" t="n">
        <f aca="false">WEEKDAY(B2141,2)</f>
        <v>4</v>
      </c>
      <c r="N2141" s="31" t="str">
        <f aca="false">IF(G2141&lt;=INDEX(Assumptions!$B$15:$B$18,MATCH(E2141,Assumptions!$A$15:$A$18,0)),"Yes","No")</f>
        <v>Yes</v>
      </c>
      <c r="O2141" s="31" t="str">
        <f aca="false">IF(H2141="","Open",IF(H2141&lt;=INDEX(Assumptions!$C$15:$C$18,MATCH(E2141,Assumptions!$A$15:$A$18,0)),"Yes","No"))</f>
        <v>Yes</v>
      </c>
    </row>
    <row r="2142" customFormat="false" ht="15" hidden="false" customHeight="false" outlineLevel="0" collapsed="false">
      <c r="A2142" s="31" t="s">
        <v>2292</v>
      </c>
      <c r="B2142" s="44" t="n">
        <v>46233</v>
      </c>
      <c r="C2142" s="31" t="s">
        <v>60</v>
      </c>
      <c r="D2142" s="31" t="s">
        <v>65</v>
      </c>
      <c r="E2142" s="31" t="s">
        <v>51</v>
      </c>
      <c r="F2142" s="31" t="s">
        <v>131</v>
      </c>
      <c r="G2142" s="31" t="n">
        <v>3</v>
      </c>
      <c r="H2142" s="41" t="n">
        <v>6.5</v>
      </c>
      <c r="I2142" s="31" t="s">
        <v>149</v>
      </c>
      <c r="J2142" s="31" t="n">
        <v>5</v>
      </c>
      <c r="K2142" s="31" t="s">
        <v>150</v>
      </c>
      <c r="L2142" s="45" t="n">
        <f aca="false">DATE(YEAR(B2142),MONTH(B2142),1)</f>
        <v>46204</v>
      </c>
      <c r="M2142" s="31" t="n">
        <f aca="false">WEEKDAY(B2142,2)</f>
        <v>4</v>
      </c>
      <c r="N2142" s="31" t="str">
        <f aca="false">IF(G2142&lt;=INDEX(Assumptions!$B$15:$B$18,MATCH(E2142,Assumptions!$A$15:$A$18,0)),"Yes","No")</f>
        <v>Yes</v>
      </c>
      <c r="O2142" s="31" t="str">
        <f aca="false">IF(H2142="","Open",IF(H2142&lt;=INDEX(Assumptions!$C$15:$C$18,MATCH(E2142,Assumptions!$A$15:$A$18,0)),"Yes","No"))</f>
        <v>Yes</v>
      </c>
    </row>
    <row r="2143" customFormat="false" ht="15" hidden="false" customHeight="false" outlineLevel="0" collapsed="false">
      <c r="A2143" s="31" t="s">
        <v>2293</v>
      </c>
      <c r="B2143" s="44" t="n">
        <v>46233</v>
      </c>
      <c r="C2143" s="31" t="s">
        <v>58</v>
      </c>
      <c r="D2143" s="31" t="s">
        <v>66</v>
      </c>
      <c r="E2143" s="31" t="s">
        <v>51</v>
      </c>
      <c r="F2143" s="31" t="s">
        <v>121</v>
      </c>
      <c r="G2143" s="31" t="n">
        <v>9</v>
      </c>
      <c r="H2143" s="41" t="n">
        <v>4.3</v>
      </c>
      <c r="I2143" s="31" t="s">
        <v>149</v>
      </c>
      <c r="J2143" s="31"/>
      <c r="K2143" s="31" t="s">
        <v>150</v>
      </c>
      <c r="L2143" s="45" t="n">
        <f aca="false">DATE(YEAR(B2143),MONTH(B2143),1)</f>
        <v>46204</v>
      </c>
      <c r="M2143" s="31" t="n">
        <f aca="false">WEEKDAY(B2143,2)</f>
        <v>4</v>
      </c>
      <c r="N2143" s="31" t="str">
        <f aca="false">IF(G2143&lt;=INDEX(Assumptions!$B$15:$B$18,MATCH(E2143,Assumptions!$A$15:$A$18,0)),"Yes","No")</f>
        <v>Yes</v>
      </c>
      <c r="O2143" s="31" t="str">
        <f aca="false">IF(H2143="","Open",IF(H2143&lt;=INDEX(Assumptions!$C$15:$C$18,MATCH(E2143,Assumptions!$A$15:$A$18,0)),"Yes","No"))</f>
        <v>Yes</v>
      </c>
    </row>
    <row r="2144" customFormat="false" ht="15" hidden="false" customHeight="false" outlineLevel="0" collapsed="false">
      <c r="A2144" s="31" t="s">
        <v>2294</v>
      </c>
      <c r="B2144" s="44" t="n">
        <v>46233</v>
      </c>
      <c r="C2144" s="31" t="s">
        <v>59</v>
      </c>
      <c r="D2144" s="31" t="s">
        <v>66</v>
      </c>
      <c r="E2144" s="31" t="s">
        <v>50</v>
      </c>
      <c r="F2144" s="31" t="s">
        <v>135</v>
      </c>
      <c r="G2144" s="31" t="n">
        <v>13</v>
      </c>
      <c r="H2144" s="41" t="n">
        <v>6</v>
      </c>
      <c r="I2144" s="31" t="s">
        <v>149</v>
      </c>
      <c r="J2144" s="31" t="n">
        <v>4</v>
      </c>
      <c r="K2144" s="31" t="s">
        <v>150</v>
      </c>
      <c r="L2144" s="45" t="n">
        <f aca="false">DATE(YEAR(B2144),MONTH(B2144),1)</f>
        <v>46204</v>
      </c>
      <c r="M2144" s="31" t="n">
        <f aca="false">WEEKDAY(B2144,2)</f>
        <v>4</v>
      </c>
      <c r="N2144" s="31" t="str">
        <f aca="false">IF(G2144&lt;=INDEX(Assumptions!$B$15:$B$18,MATCH(E2144,Assumptions!$A$15:$A$18,0)),"Yes","No")</f>
        <v>Yes</v>
      </c>
      <c r="O2144" s="31" t="str">
        <f aca="false">IF(H2144="","Open",IF(H2144&lt;=INDEX(Assumptions!$C$15:$C$18,MATCH(E2144,Assumptions!$A$15:$A$18,0)),"Yes","No"))</f>
        <v>Yes</v>
      </c>
    </row>
    <row r="2145" customFormat="false" ht="15" hidden="false" customHeight="false" outlineLevel="0" collapsed="false">
      <c r="A2145" s="31" t="s">
        <v>2295</v>
      </c>
      <c r="B2145" s="44" t="n">
        <v>46233</v>
      </c>
      <c r="C2145" s="31" t="s">
        <v>58</v>
      </c>
      <c r="D2145" s="31" t="s">
        <v>65</v>
      </c>
      <c r="E2145" s="31" t="s">
        <v>50</v>
      </c>
      <c r="F2145" s="31" t="s">
        <v>128</v>
      </c>
      <c r="G2145" s="31" t="n">
        <v>4</v>
      </c>
      <c r="H2145" s="41" t="n">
        <v>21.7</v>
      </c>
      <c r="I2145" s="31" t="s">
        <v>149</v>
      </c>
      <c r="J2145" s="31"/>
      <c r="K2145" s="31" t="s">
        <v>153</v>
      </c>
      <c r="L2145" s="45" t="n">
        <f aca="false">DATE(YEAR(B2145),MONTH(B2145),1)</f>
        <v>46204</v>
      </c>
      <c r="M2145" s="31" t="n">
        <f aca="false">WEEKDAY(B2145,2)</f>
        <v>4</v>
      </c>
      <c r="N2145" s="31" t="str">
        <f aca="false">IF(G2145&lt;=INDEX(Assumptions!$B$15:$B$18,MATCH(E2145,Assumptions!$A$15:$A$18,0)),"Yes","No")</f>
        <v>Yes</v>
      </c>
      <c r="O2145" s="31" t="str">
        <f aca="false">IF(H2145="","Open",IF(H2145&lt;=INDEX(Assumptions!$C$15:$C$18,MATCH(E2145,Assumptions!$A$15:$A$18,0)),"Yes","No"))</f>
        <v>No</v>
      </c>
    </row>
    <row r="2146" customFormat="false" ht="15" hidden="false" customHeight="false" outlineLevel="0" collapsed="false">
      <c r="A2146" s="31" t="s">
        <v>2296</v>
      </c>
      <c r="B2146" s="44" t="n">
        <v>46233</v>
      </c>
      <c r="C2146" s="31" t="s">
        <v>58</v>
      </c>
      <c r="D2146" s="31" t="s">
        <v>69</v>
      </c>
      <c r="E2146" s="31" t="s">
        <v>51</v>
      </c>
      <c r="F2146" s="31" t="s">
        <v>129</v>
      </c>
      <c r="G2146" s="31" t="n">
        <v>7</v>
      </c>
      <c r="H2146" s="41" t="n">
        <v>9.2</v>
      </c>
      <c r="I2146" s="31" t="s">
        <v>149</v>
      </c>
      <c r="J2146" s="31"/>
      <c r="K2146" s="31" t="s">
        <v>150</v>
      </c>
      <c r="L2146" s="45" t="n">
        <f aca="false">DATE(YEAR(B2146),MONTH(B2146),1)</f>
        <v>46204</v>
      </c>
      <c r="M2146" s="31" t="n">
        <f aca="false">WEEKDAY(B2146,2)</f>
        <v>4</v>
      </c>
      <c r="N2146" s="31" t="str">
        <f aca="false">IF(G2146&lt;=INDEX(Assumptions!$B$15:$B$18,MATCH(E2146,Assumptions!$A$15:$A$18,0)),"Yes","No")</f>
        <v>Yes</v>
      </c>
      <c r="O2146" s="31" t="str">
        <f aca="false">IF(H2146="","Open",IF(H2146&lt;=INDEX(Assumptions!$C$15:$C$18,MATCH(E2146,Assumptions!$A$15:$A$18,0)),"Yes","No"))</f>
        <v>Yes</v>
      </c>
    </row>
    <row r="2147" customFormat="false" ht="15" hidden="false" customHeight="false" outlineLevel="0" collapsed="false">
      <c r="A2147" s="31" t="s">
        <v>2297</v>
      </c>
      <c r="B2147" s="44" t="n">
        <v>46233</v>
      </c>
      <c r="C2147" s="31" t="s">
        <v>60</v>
      </c>
      <c r="D2147" s="31" t="s">
        <v>66</v>
      </c>
      <c r="E2147" s="31" t="s">
        <v>51</v>
      </c>
      <c r="F2147" s="31" t="s">
        <v>130</v>
      </c>
      <c r="G2147" s="31" t="n">
        <v>2</v>
      </c>
      <c r="H2147" s="41" t="n">
        <v>7</v>
      </c>
      <c r="I2147" s="31" t="s">
        <v>149</v>
      </c>
      <c r="J2147" s="31"/>
      <c r="K2147" s="31" t="s">
        <v>150</v>
      </c>
      <c r="L2147" s="45" t="n">
        <f aca="false">DATE(YEAR(B2147),MONTH(B2147),1)</f>
        <v>46204</v>
      </c>
      <c r="M2147" s="31" t="n">
        <f aca="false">WEEKDAY(B2147,2)</f>
        <v>4</v>
      </c>
      <c r="N2147" s="31" t="str">
        <f aca="false">IF(G2147&lt;=INDEX(Assumptions!$B$15:$B$18,MATCH(E2147,Assumptions!$A$15:$A$18,0)),"Yes","No")</f>
        <v>Yes</v>
      </c>
      <c r="O2147" s="31" t="str">
        <f aca="false">IF(H2147="","Open",IF(H2147&lt;=INDEX(Assumptions!$C$15:$C$18,MATCH(E2147,Assumptions!$A$15:$A$18,0)),"Yes","No"))</f>
        <v>Yes</v>
      </c>
    </row>
    <row r="2148" customFormat="false" ht="15" hidden="false" customHeight="false" outlineLevel="0" collapsed="false">
      <c r="A2148" s="31" t="s">
        <v>2298</v>
      </c>
      <c r="B2148" s="44" t="n">
        <v>46233</v>
      </c>
      <c r="C2148" s="31" t="s">
        <v>58</v>
      </c>
      <c r="D2148" s="31" t="s">
        <v>69</v>
      </c>
      <c r="E2148" s="31" t="s">
        <v>51</v>
      </c>
      <c r="F2148" s="31" t="s">
        <v>126</v>
      </c>
      <c r="G2148" s="31" t="n">
        <v>12</v>
      </c>
      <c r="H2148" s="41" t="n">
        <v>21.2</v>
      </c>
      <c r="I2148" s="31" t="s">
        <v>64</v>
      </c>
      <c r="J2148" s="31" t="n">
        <v>4</v>
      </c>
      <c r="K2148" s="31" t="s">
        <v>150</v>
      </c>
      <c r="L2148" s="45" t="n">
        <f aca="false">DATE(YEAR(B2148),MONTH(B2148),1)</f>
        <v>46204</v>
      </c>
      <c r="M2148" s="31" t="n">
        <f aca="false">WEEKDAY(B2148,2)</f>
        <v>4</v>
      </c>
      <c r="N2148" s="31" t="str">
        <f aca="false">IF(G2148&lt;=INDEX(Assumptions!$B$15:$B$18,MATCH(E2148,Assumptions!$A$15:$A$18,0)),"Yes","No")</f>
        <v>Yes</v>
      </c>
      <c r="O2148" s="31" t="str">
        <f aca="false">IF(H2148="","Open",IF(H2148&lt;=INDEX(Assumptions!$C$15:$C$18,MATCH(E2148,Assumptions!$A$15:$A$18,0)),"Yes","No"))</f>
        <v>Yes</v>
      </c>
    </row>
    <row r="2149" customFormat="false" ht="15" hidden="false" customHeight="false" outlineLevel="0" collapsed="false">
      <c r="A2149" s="31" t="s">
        <v>2299</v>
      </c>
      <c r="B2149" s="44" t="n">
        <v>46233</v>
      </c>
      <c r="C2149" s="31" t="s">
        <v>58</v>
      </c>
      <c r="D2149" s="31" t="s">
        <v>66</v>
      </c>
      <c r="E2149" s="31" t="s">
        <v>52</v>
      </c>
      <c r="F2149" s="31" t="s">
        <v>121</v>
      </c>
      <c r="G2149" s="31" t="n">
        <v>18</v>
      </c>
      <c r="H2149" s="41" t="n">
        <v>9.8</v>
      </c>
      <c r="I2149" s="31" t="s">
        <v>149</v>
      </c>
      <c r="J2149" s="31"/>
      <c r="K2149" s="31" t="s">
        <v>150</v>
      </c>
      <c r="L2149" s="45" t="n">
        <f aca="false">DATE(YEAR(B2149),MONTH(B2149),1)</f>
        <v>46204</v>
      </c>
      <c r="M2149" s="31" t="n">
        <f aca="false">WEEKDAY(B2149,2)</f>
        <v>4</v>
      </c>
      <c r="N2149" s="31" t="str">
        <f aca="false">IF(G2149&lt;=INDEX(Assumptions!$B$15:$B$18,MATCH(E2149,Assumptions!$A$15:$A$18,0)),"Yes","No")</f>
        <v>Yes</v>
      </c>
      <c r="O2149" s="31" t="str">
        <f aca="false">IF(H2149="","Open",IF(H2149&lt;=INDEX(Assumptions!$C$15:$C$18,MATCH(E2149,Assumptions!$A$15:$A$18,0)),"Yes","No"))</f>
        <v>Yes</v>
      </c>
    </row>
    <row r="2150" customFormat="false" ht="15" hidden="false" customHeight="false" outlineLevel="0" collapsed="false">
      <c r="A2150" s="31" t="s">
        <v>2300</v>
      </c>
      <c r="B2150" s="44" t="n">
        <v>46233</v>
      </c>
      <c r="C2150" s="31" t="s">
        <v>58</v>
      </c>
      <c r="D2150" s="31" t="s">
        <v>65</v>
      </c>
      <c r="E2150" s="31" t="s">
        <v>50</v>
      </c>
      <c r="F2150" s="31" t="s">
        <v>131</v>
      </c>
      <c r="G2150" s="31" t="n">
        <v>11</v>
      </c>
      <c r="H2150" s="41" t="n">
        <v>4.1</v>
      </c>
      <c r="I2150" s="31" t="s">
        <v>149</v>
      </c>
      <c r="J2150" s="31" t="n">
        <v>4</v>
      </c>
      <c r="K2150" s="31" t="s">
        <v>150</v>
      </c>
      <c r="L2150" s="45" t="n">
        <f aca="false">DATE(YEAR(B2150),MONTH(B2150),1)</f>
        <v>46204</v>
      </c>
      <c r="M2150" s="31" t="n">
        <f aca="false">WEEKDAY(B2150,2)</f>
        <v>4</v>
      </c>
      <c r="N2150" s="31" t="str">
        <f aca="false">IF(G2150&lt;=INDEX(Assumptions!$B$15:$B$18,MATCH(E2150,Assumptions!$A$15:$A$18,0)),"Yes","No")</f>
        <v>Yes</v>
      </c>
      <c r="O2150" s="31" t="str">
        <f aca="false">IF(H2150="","Open",IF(H2150&lt;=INDEX(Assumptions!$C$15:$C$18,MATCH(E2150,Assumptions!$A$15:$A$18,0)),"Yes","No"))</f>
        <v>Yes</v>
      </c>
    </row>
    <row r="2151" customFormat="false" ht="15" hidden="false" customHeight="false" outlineLevel="0" collapsed="false">
      <c r="A2151" s="31" t="s">
        <v>2301</v>
      </c>
      <c r="B2151" s="44" t="n">
        <v>46233</v>
      </c>
      <c r="C2151" s="31" t="s">
        <v>58</v>
      </c>
      <c r="D2151" s="31" t="s">
        <v>65</v>
      </c>
      <c r="E2151" s="31" t="s">
        <v>51</v>
      </c>
      <c r="F2151" s="31" t="s">
        <v>130</v>
      </c>
      <c r="G2151" s="31" t="n">
        <v>23</v>
      </c>
      <c r="H2151" s="41" t="n">
        <v>3</v>
      </c>
      <c r="I2151" s="31" t="s">
        <v>149</v>
      </c>
      <c r="J2151" s="31" t="n">
        <v>3</v>
      </c>
      <c r="K2151" s="31" t="s">
        <v>150</v>
      </c>
      <c r="L2151" s="45" t="n">
        <f aca="false">DATE(YEAR(B2151),MONTH(B2151),1)</f>
        <v>46204</v>
      </c>
      <c r="M2151" s="31" t="n">
        <f aca="false">WEEKDAY(B2151,2)</f>
        <v>4</v>
      </c>
      <c r="N2151" s="31" t="str">
        <f aca="false">IF(G2151&lt;=INDEX(Assumptions!$B$15:$B$18,MATCH(E2151,Assumptions!$A$15:$A$18,0)),"Yes","No")</f>
        <v>Yes</v>
      </c>
      <c r="O2151" s="31" t="str">
        <f aca="false">IF(H2151="","Open",IF(H2151&lt;=INDEX(Assumptions!$C$15:$C$18,MATCH(E2151,Assumptions!$A$15:$A$18,0)),"Yes","No"))</f>
        <v>Yes</v>
      </c>
    </row>
    <row r="2152" customFormat="false" ht="15" hidden="false" customHeight="false" outlineLevel="0" collapsed="false">
      <c r="A2152" s="31" t="s">
        <v>2302</v>
      </c>
      <c r="B2152" s="44" t="n">
        <v>46233</v>
      </c>
      <c r="C2152" s="31" t="s">
        <v>60</v>
      </c>
      <c r="D2152" s="31" t="s">
        <v>69</v>
      </c>
      <c r="E2152" s="31" t="s">
        <v>52</v>
      </c>
      <c r="F2152" s="31" t="s">
        <v>135</v>
      </c>
      <c r="G2152" s="31" t="n">
        <v>7</v>
      </c>
      <c r="H2152" s="41" t="n">
        <v>11.1</v>
      </c>
      <c r="I2152" s="31" t="s">
        <v>149</v>
      </c>
      <c r="J2152" s="31"/>
      <c r="K2152" s="31" t="s">
        <v>150</v>
      </c>
      <c r="L2152" s="45" t="n">
        <f aca="false">DATE(YEAR(B2152),MONTH(B2152),1)</f>
        <v>46204</v>
      </c>
      <c r="M2152" s="31" t="n">
        <f aca="false">WEEKDAY(B2152,2)</f>
        <v>4</v>
      </c>
      <c r="N2152" s="31" t="str">
        <f aca="false">IF(G2152&lt;=INDEX(Assumptions!$B$15:$B$18,MATCH(E2152,Assumptions!$A$15:$A$18,0)),"Yes","No")</f>
        <v>Yes</v>
      </c>
      <c r="O2152" s="31" t="str">
        <f aca="false">IF(H2152="","Open",IF(H2152&lt;=INDEX(Assumptions!$C$15:$C$18,MATCH(E2152,Assumptions!$A$15:$A$18,0)),"Yes","No"))</f>
        <v>Yes</v>
      </c>
    </row>
    <row r="2153" customFormat="false" ht="15" hidden="false" customHeight="false" outlineLevel="0" collapsed="false">
      <c r="A2153" s="31" t="s">
        <v>2303</v>
      </c>
      <c r="B2153" s="44" t="n">
        <v>46233</v>
      </c>
      <c r="C2153" s="31" t="s">
        <v>59</v>
      </c>
      <c r="D2153" s="31" t="s">
        <v>66</v>
      </c>
      <c r="E2153" s="31" t="s">
        <v>52</v>
      </c>
      <c r="F2153" s="31" t="s">
        <v>117</v>
      </c>
      <c r="G2153" s="31" t="n">
        <v>95</v>
      </c>
      <c r="H2153" s="41" t="n">
        <v>44.5</v>
      </c>
      <c r="I2153" s="31" t="s">
        <v>64</v>
      </c>
      <c r="J2153" s="31" t="n">
        <v>4</v>
      </c>
      <c r="K2153" s="31" t="s">
        <v>150</v>
      </c>
      <c r="L2153" s="45" t="n">
        <f aca="false">DATE(YEAR(B2153),MONTH(B2153),1)</f>
        <v>46204</v>
      </c>
      <c r="M2153" s="31" t="n">
        <f aca="false">WEEKDAY(B2153,2)</f>
        <v>4</v>
      </c>
      <c r="N2153" s="31" t="str">
        <f aca="false">IF(G2153&lt;=INDEX(Assumptions!$B$15:$B$18,MATCH(E2153,Assumptions!$A$15:$A$18,0)),"Yes","No")</f>
        <v>Yes</v>
      </c>
      <c r="O2153" s="31" t="str">
        <f aca="false">IF(H2153="","Open",IF(H2153&lt;=INDEX(Assumptions!$C$15:$C$18,MATCH(E2153,Assumptions!$A$15:$A$18,0)),"Yes","No"))</f>
        <v>Yes</v>
      </c>
    </row>
    <row r="2154" customFormat="false" ht="15" hidden="false" customHeight="false" outlineLevel="0" collapsed="false">
      <c r="A2154" s="31" t="s">
        <v>2304</v>
      </c>
      <c r="B2154" s="44" t="n">
        <v>46233</v>
      </c>
      <c r="C2154" s="31" t="s">
        <v>58</v>
      </c>
      <c r="D2154" s="31" t="s">
        <v>66</v>
      </c>
      <c r="E2154" s="31" t="s">
        <v>51</v>
      </c>
      <c r="F2154" s="31" t="s">
        <v>130</v>
      </c>
      <c r="G2154" s="31" t="n">
        <v>5</v>
      </c>
      <c r="H2154" s="41" t="n">
        <v>7.4</v>
      </c>
      <c r="I2154" s="31" t="s">
        <v>149</v>
      </c>
      <c r="J2154" s="31" t="n">
        <v>3</v>
      </c>
      <c r="K2154" s="31" t="s">
        <v>150</v>
      </c>
      <c r="L2154" s="45" t="n">
        <f aca="false">DATE(YEAR(B2154),MONTH(B2154),1)</f>
        <v>46204</v>
      </c>
      <c r="M2154" s="31" t="n">
        <f aca="false">WEEKDAY(B2154,2)</f>
        <v>4</v>
      </c>
      <c r="N2154" s="31" t="str">
        <f aca="false">IF(G2154&lt;=INDEX(Assumptions!$B$15:$B$18,MATCH(E2154,Assumptions!$A$15:$A$18,0)),"Yes","No")</f>
        <v>Yes</v>
      </c>
      <c r="O2154" s="31" t="str">
        <f aca="false">IF(H2154="","Open",IF(H2154&lt;=INDEX(Assumptions!$C$15:$C$18,MATCH(E2154,Assumptions!$A$15:$A$18,0)),"Yes","No"))</f>
        <v>Yes</v>
      </c>
    </row>
    <row r="2155" customFormat="false" ht="15" hidden="false" customHeight="false" outlineLevel="0" collapsed="false">
      <c r="A2155" s="31" t="s">
        <v>2305</v>
      </c>
      <c r="B2155" s="44" t="n">
        <v>46233</v>
      </c>
      <c r="C2155" s="31" t="s">
        <v>57</v>
      </c>
      <c r="D2155" s="31" t="s">
        <v>66</v>
      </c>
      <c r="E2155" s="31" t="s">
        <v>51</v>
      </c>
      <c r="F2155" s="31" t="s">
        <v>122</v>
      </c>
      <c r="G2155" s="31" t="n">
        <v>17</v>
      </c>
      <c r="H2155" s="41" t="n">
        <v>11.4</v>
      </c>
      <c r="I2155" s="31" t="s">
        <v>149</v>
      </c>
      <c r="J2155" s="31" t="n">
        <v>4</v>
      </c>
      <c r="K2155" s="31" t="s">
        <v>150</v>
      </c>
      <c r="L2155" s="45" t="n">
        <f aca="false">DATE(YEAR(B2155),MONTH(B2155),1)</f>
        <v>46204</v>
      </c>
      <c r="M2155" s="31" t="n">
        <f aca="false">WEEKDAY(B2155,2)</f>
        <v>4</v>
      </c>
      <c r="N2155" s="31" t="str">
        <f aca="false">IF(G2155&lt;=INDEX(Assumptions!$B$15:$B$18,MATCH(E2155,Assumptions!$A$15:$A$18,0)),"Yes","No")</f>
        <v>Yes</v>
      </c>
      <c r="O2155" s="31" t="str">
        <f aca="false">IF(H2155="","Open",IF(H2155&lt;=INDEX(Assumptions!$C$15:$C$18,MATCH(E2155,Assumptions!$A$15:$A$18,0)),"Yes","No"))</f>
        <v>Yes</v>
      </c>
    </row>
    <row r="2156" customFormat="false" ht="15" hidden="false" customHeight="false" outlineLevel="0" collapsed="false">
      <c r="A2156" s="31" t="s">
        <v>2306</v>
      </c>
      <c r="B2156" s="44" t="n">
        <v>46233</v>
      </c>
      <c r="C2156" s="31" t="s">
        <v>58</v>
      </c>
      <c r="D2156" s="31" t="s">
        <v>66</v>
      </c>
      <c r="E2156" s="31" t="s">
        <v>52</v>
      </c>
      <c r="F2156" s="31" t="s">
        <v>117</v>
      </c>
      <c r="G2156" s="31" t="n">
        <v>20</v>
      </c>
      <c r="H2156" s="41" t="n">
        <v>5.4</v>
      </c>
      <c r="I2156" s="31" t="s">
        <v>149</v>
      </c>
      <c r="J2156" s="31" t="n">
        <v>4</v>
      </c>
      <c r="K2156" s="31" t="s">
        <v>150</v>
      </c>
      <c r="L2156" s="45" t="n">
        <f aca="false">DATE(YEAR(B2156),MONTH(B2156),1)</f>
        <v>46204</v>
      </c>
      <c r="M2156" s="31" t="n">
        <f aca="false">WEEKDAY(B2156,2)</f>
        <v>4</v>
      </c>
      <c r="N2156" s="31" t="str">
        <f aca="false">IF(G2156&lt;=INDEX(Assumptions!$B$15:$B$18,MATCH(E2156,Assumptions!$A$15:$A$18,0)),"Yes","No")</f>
        <v>Yes</v>
      </c>
      <c r="O2156" s="31" t="str">
        <f aca="false">IF(H2156="","Open",IF(H2156&lt;=INDEX(Assumptions!$C$15:$C$18,MATCH(E2156,Assumptions!$A$15:$A$18,0)),"Yes","No"))</f>
        <v>Yes</v>
      </c>
    </row>
    <row r="2157" customFormat="false" ht="15" hidden="false" customHeight="false" outlineLevel="0" collapsed="false">
      <c r="A2157" s="31" t="s">
        <v>2307</v>
      </c>
      <c r="B2157" s="44" t="n">
        <v>46233</v>
      </c>
      <c r="C2157" s="31" t="s">
        <v>57</v>
      </c>
      <c r="D2157" s="31" t="s">
        <v>68</v>
      </c>
      <c r="E2157" s="31" t="s">
        <v>50</v>
      </c>
      <c r="F2157" s="31" t="s">
        <v>130</v>
      </c>
      <c r="G2157" s="31" t="n">
        <v>8</v>
      </c>
      <c r="H2157" s="41" t="n">
        <v>5.8</v>
      </c>
      <c r="I2157" s="31" t="s">
        <v>149</v>
      </c>
      <c r="J2157" s="31" t="n">
        <v>5</v>
      </c>
      <c r="K2157" s="31" t="s">
        <v>150</v>
      </c>
      <c r="L2157" s="45" t="n">
        <f aca="false">DATE(YEAR(B2157),MONTH(B2157),1)</f>
        <v>46204</v>
      </c>
      <c r="M2157" s="31" t="n">
        <f aca="false">WEEKDAY(B2157,2)</f>
        <v>4</v>
      </c>
      <c r="N2157" s="31" t="str">
        <f aca="false">IF(G2157&lt;=INDEX(Assumptions!$B$15:$B$18,MATCH(E2157,Assumptions!$A$15:$A$18,0)),"Yes","No")</f>
        <v>Yes</v>
      </c>
      <c r="O2157" s="31" t="str">
        <f aca="false">IF(H2157="","Open",IF(H2157&lt;=INDEX(Assumptions!$C$15:$C$18,MATCH(E2157,Assumptions!$A$15:$A$18,0)),"Yes","No"))</f>
        <v>Yes</v>
      </c>
    </row>
    <row r="2158" customFormat="false" ht="15" hidden="false" customHeight="false" outlineLevel="0" collapsed="false">
      <c r="A2158" s="31" t="s">
        <v>2308</v>
      </c>
      <c r="B2158" s="44" t="n">
        <v>46233</v>
      </c>
      <c r="C2158" s="31" t="s">
        <v>57</v>
      </c>
      <c r="D2158" s="31" t="s">
        <v>69</v>
      </c>
      <c r="E2158" s="31" t="s">
        <v>51</v>
      </c>
      <c r="F2158" s="31" t="s">
        <v>133</v>
      </c>
      <c r="G2158" s="31" t="n">
        <v>9</v>
      </c>
      <c r="H2158" s="41" t="n">
        <v>62.8</v>
      </c>
      <c r="I2158" s="31" t="s">
        <v>64</v>
      </c>
      <c r="J2158" s="31"/>
      <c r="K2158" s="31" t="s">
        <v>150</v>
      </c>
      <c r="L2158" s="45" t="n">
        <f aca="false">DATE(YEAR(B2158),MONTH(B2158),1)</f>
        <v>46204</v>
      </c>
      <c r="M2158" s="31" t="n">
        <f aca="false">WEEKDAY(B2158,2)</f>
        <v>4</v>
      </c>
      <c r="N2158" s="31" t="str">
        <f aca="false">IF(G2158&lt;=INDEX(Assumptions!$B$15:$B$18,MATCH(E2158,Assumptions!$A$15:$A$18,0)),"Yes","No")</f>
        <v>Yes</v>
      </c>
      <c r="O2158" s="31" t="str">
        <f aca="false">IF(H2158="","Open",IF(H2158&lt;=INDEX(Assumptions!$C$15:$C$18,MATCH(E2158,Assumptions!$A$15:$A$18,0)),"Yes","No"))</f>
        <v>No</v>
      </c>
    </row>
    <row r="2159" customFormat="false" ht="15" hidden="false" customHeight="false" outlineLevel="0" collapsed="false">
      <c r="A2159" s="31" t="s">
        <v>2309</v>
      </c>
      <c r="B2159" s="44" t="n">
        <v>46233</v>
      </c>
      <c r="C2159" s="31" t="s">
        <v>58</v>
      </c>
      <c r="D2159" s="31" t="s">
        <v>65</v>
      </c>
      <c r="E2159" s="31" t="s">
        <v>50</v>
      </c>
      <c r="F2159" s="31" t="s">
        <v>122</v>
      </c>
      <c r="G2159" s="31" t="n">
        <v>5</v>
      </c>
      <c r="H2159" s="41" t="n">
        <v>2.3</v>
      </c>
      <c r="I2159" s="31" t="s">
        <v>149</v>
      </c>
      <c r="J2159" s="31"/>
      <c r="K2159" s="31" t="s">
        <v>150</v>
      </c>
      <c r="L2159" s="45" t="n">
        <f aca="false">DATE(YEAR(B2159),MONTH(B2159),1)</f>
        <v>46204</v>
      </c>
      <c r="M2159" s="31" t="n">
        <f aca="false">WEEKDAY(B2159,2)</f>
        <v>4</v>
      </c>
      <c r="N2159" s="31" t="str">
        <f aca="false">IF(G2159&lt;=INDEX(Assumptions!$B$15:$B$18,MATCH(E2159,Assumptions!$A$15:$A$18,0)),"Yes","No")</f>
        <v>Yes</v>
      </c>
      <c r="O2159" s="31" t="str">
        <f aca="false">IF(H2159="","Open",IF(H2159&lt;=INDEX(Assumptions!$C$15:$C$18,MATCH(E2159,Assumptions!$A$15:$A$18,0)),"Yes","No"))</f>
        <v>Yes</v>
      </c>
    </row>
    <row r="2160" customFormat="false" ht="15" hidden="false" customHeight="false" outlineLevel="0" collapsed="false">
      <c r="A2160" s="31" t="s">
        <v>2310</v>
      </c>
      <c r="B2160" s="44" t="n">
        <v>46233</v>
      </c>
      <c r="C2160" s="31" t="s">
        <v>58</v>
      </c>
      <c r="D2160" s="31" t="s">
        <v>67</v>
      </c>
      <c r="E2160" s="31" t="s">
        <v>52</v>
      </c>
      <c r="F2160" s="31" t="s">
        <v>131</v>
      </c>
      <c r="G2160" s="31" t="n">
        <v>5</v>
      </c>
      <c r="H2160" s="41" t="n">
        <v>20.8</v>
      </c>
      <c r="I2160" s="31" t="s">
        <v>149</v>
      </c>
      <c r="J2160" s="31"/>
      <c r="K2160" s="31" t="s">
        <v>150</v>
      </c>
      <c r="L2160" s="45" t="n">
        <f aca="false">DATE(YEAR(B2160),MONTH(B2160),1)</f>
        <v>46204</v>
      </c>
      <c r="M2160" s="31" t="n">
        <f aca="false">WEEKDAY(B2160,2)</f>
        <v>4</v>
      </c>
      <c r="N2160" s="31" t="str">
        <f aca="false">IF(G2160&lt;=INDEX(Assumptions!$B$15:$B$18,MATCH(E2160,Assumptions!$A$15:$A$18,0)),"Yes","No")</f>
        <v>Yes</v>
      </c>
      <c r="O2160" s="31" t="str">
        <f aca="false">IF(H2160="","Open",IF(H2160&lt;=INDEX(Assumptions!$C$15:$C$18,MATCH(E2160,Assumptions!$A$15:$A$18,0)),"Yes","No"))</f>
        <v>Yes</v>
      </c>
    </row>
    <row r="2161" customFormat="false" ht="15" hidden="false" customHeight="false" outlineLevel="0" collapsed="false">
      <c r="A2161" s="31" t="s">
        <v>2311</v>
      </c>
      <c r="B2161" s="44" t="n">
        <v>46233</v>
      </c>
      <c r="C2161" s="31" t="s">
        <v>58</v>
      </c>
      <c r="D2161" s="31" t="s">
        <v>65</v>
      </c>
      <c r="E2161" s="31" t="s">
        <v>52</v>
      </c>
      <c r="F2161" s="31" t="s">
        <v>130</v>
      </c>
      <c r="G2161" s="31" t="n">
        <v>6</v>
      </c>
      <c r="H2161" s="41" t="n">
        <v>16.1</v>
      </c>
      <c r="I2161" s="31" t="s">
        <v>149</v>
      </c>
      <c r="J2161" s="31"/>
      <c r="K2161" s="31" t="s">
        <v>153</v>
      </c>
      <c r="L2161" s="45" t="n">
        <f aca="false">DATE(YEAR(B2161),MONTH(B2161),1)</f>
        <v>46204</v>
      </c>
      <c r="M2161" s="31" t="n">
        <f aca="false">WEEKDAY(B2161,2)</f>
        <v>4</v>
      </c>
      <c r="N2161" s="31" t="str">
        <f aca="false">IF(G2161&lt;=INDEX(Assumptions!$B$15:$B$18,MATCH(E2161,Assumptions!$A$15:$A$18,0)),"Yes","No")</f>
        <v>Yes</v>
      </c>
      <c r="O2161" s="31" t="str">
        <f aca="false">IF(H2161="","Open",IF(H2161&lt;=INDEX(Assumptions!$C$15:$C$18,MATCH(E2161,Assumptions!$A$15:$A$18,0)),"Yes","No"))</f>
        <v>Yes</v>
      </c>
    </row>
    <row r="2162" customFormat="false" ht="15" hidden="false" customHeight="false" outlineLevel="0" collapsed="false">
      <c r="A2162" s="31" t="s">
        <v>2312</v>
      </c>
      <c r="B2162" s="44" t="n">
        <v>46233</v>
      </c>
      <c r="C2162" s="31" t="s">
        <v>58</v>
      </c>
      <c r="D2162" s="31" t="s">
        <v>65</v>
      </c>
      <c r="E2162" s="31" t="s">
        <v>51</v>
      </c>
      <c r="F2162" s="31" t="s">
        <v>130</v>
      </c>
      <c r="G2162" s="31" t="n">
        <v>16</v>
      </c>
      <c r="H2162" s="41" t="n">
        <v>20.3</v>
      </c>
      <c r="I2162" s="31" t="s">
        <v>149</v>
      </c>
      <c r="J2162" s="31" t="n">
        <v>5</v>
      </c>
      <c r="K2162" s="31" t="s">
        <v>150</v>
      </c>
      <c r="L2162" s="45" t="n">
        <f aca="false">DATE(YEAR(B2162),MONTH(B2162),1)</f>
        <v>46204</v>
      </c>
      <c r="M2162" s="31" t="n">
        <f aca="false">WEEKDAY(B2162,2)</f>
        <v>4</v>
      </c>
      <c r="N2162" s="31" t="str">
        <f aca="false">IF(G2162&lt;=INDEX(Assumptions!$B$15:$B$18,MATCH(E2162,Assumptions!$A$15:$A$18,0)),"Yes","No")</f>
        <v>Yes</v>
      </c>
      <c r="O2162" s="31" t="str">
        <f aca="false">IF(H2162="","Open",IF(H2162&lt;=INDEX(Assumptions!$C$15:$C$18,MATCH(E2162,Assumptions!$A$15:$A$18,0)),"Yes","No"))</f>
        <v>Yes</v>
      </c>
    </row>
    <row r="2163" customFormat="false" ht="15" hidden="false" customHeight="false" outlineLevel="0" collapsed="false">
      <c r="A2163" s="31" t="s">
        <v>2313</v>
      </c>
      <c r="B2163" s="44" t="n">
        <v>46233</v>
      </c>
      <c r="C2163" s="31" t="s">
        <v>60</v>
      </c>
      <c r="D2163" s="31" t="s">
        <v>65</v>
      </c>
      <c r="E2163" s="31" t="s">
        <v>50</v>
      </c>
      <c r="F2163" s="31" t="s">
        <v>126</v>
      </c>
      <c r="G2163" s="31" t="n">
        <v>1</v>
      </c>
      <c r="H2163" s="41" t="n">
        <v>2.5</v>
      </c>
      <c r="I2163" s="31" t="s">
        <v>149</v>
      </c>
      <c r="J2163" s="31"/>
      <c r="K2163" s="31" t="s">
        <v>150</v>
      </c>
      <c r="L2163" s="45" t="n">
        <f aca="false">DATE(YEAR(B2163),MONTH(B2163),1)</f>
        <v>46204</v>
      </c>
      <c r="M2163" s="31" t="n">
        <f aca="false">WEEKDAY(B2163,2)</f>
        <v>4</v>
      </c>
      <c r="N2163" s="31" t="str">
        <f aca="false">IF(G2163&lt;=INDEX(Assumptions!$B$15:$B$18,MATCH(E2163,Assumptions!$A$15:$A$18,0)),"Yes","No")</f>
        <v>Yes</v>
      </c>
      <c r="O2163" s="31" t="str">
        <f aca="false">IF(H2163="","Open",IF(H2163&lt;=INDEX(Assumptions!$C$15:$C$18,MATCH(E2163,Assumptions!$A$15:$A$18,0)),"Yes","No"))</f>
        <v>Yes</v>
      </c>
    </row>
    <row r="2164" customFormat="false" ht="15" hidden="false" customHeight="false" outlineLevel="0" collapsed="false">
      <c r="A2164" s="31" t="s">
        <v>2314</v>
      </c>
      <c r="B2164" s="44" t="n">
        <v>46233</v>
      </c>
      <c r="C2164" s="31" t="s">
        <v>60</v>
      </c>
      <c r="D2164" s="31" t="s">
        <v>68</v>
      </c>
      <c r="E2164" s="31" t="s">
        <v>51</v>
      </c>
      <c r="F2164" s="31" t="s">
        <v>131</v>
      </c>
      <c r="G2164" s="31" t="n">
        <v>2</v>
      </c>
      <c r="H2164" s="41" t="n">
        <v>4.6</v>
      </c>
      <c r="I2164" s="31" t="s">
        <v>149</v>
      </c>
      <c r="J2164" s="31" t="n">
        <v>5</v>
      </c>
      <c r="K2164" s="31" t="s">
        <v>150</v>
      </c>
      <c r="L2164" s="45" t="n">
        <f aca="false">DATE(YEAR(B2164),MONTH(B2164),1)</f>
        <v>46204</v>
      </c>
      <c r="M2164" s="31" t="n">
        <f aca="false">WEEKDAY(B2164,2)</f>
        <v>4</v>
      </c>
      <c r="N2164" s="31" t="str">
        <f aca="false">IF(G2164&lt;=INDEX(Assumptions!$B$15:$B$18,MATCH(E2164,Assumptions!$A$15:$A$18,0)),"Yes","No")</f>
        <v>Yes</v>
      </c>
      <c r="O2164" s="31" t="str">
        <f aca="false">IF(H2164="","Open",IF(H2164&lt;=INDEX(Assumptions!$C$15:$C$18,MATCH(E2164,Assumptions!$A$15:$A$18,0)),"Yes","No"))</f>
        <v>Yes</v>
      </c>
    </row>
    <row r="2165" customFormat="false" ht="15" hidden="false" customHeight="false" outlineLevel="0" collapsed="false">
      <c r="A2165" s="31" t="s">
        <v>2315</v>
      </c>
      <c r="B2165" s="44" t="n">
        <v>46233</v>
      </c>
      <c r="C2165" s="31" t="s">
        <v>58</v>
      </c>
      <c r="D2165" s="31" t="s">
        <v>68</v>
      </c>
      <c r="E2165" s="31" t="s">
        <v>50</v>
      </c>
      <c r="F2165" s="31" t="s">
        <v>127</v>
      </c>
      <c r="G2165" s="31" t="n">
        <v>7</v>
      </c>
      <c r="H2165" s="41" t="n">
        <v>1.5</v>
      </c>
      <c r="I2165" s="31" t="s">
        <v>149</v>
      </c>
      <c r="J2165" s="31" t="n">
        <v>4</v>
      </c>
      <c r="K2165" s="31" t="s">
        <v>150</v>
      </c>
      <c r="L2165" s="45" t="n">
        <f aca="false">DATE(YEAR(B2165),MONTH(B2165),1)</f>
        <v>46204</v>
      </c>
      <c r="M2165" s="31" t="n">
        <f aca="false">WEEKDAY(B2165,2)</f>
        <v>4</v>
      </c>
      <c r="N2165" s="31" t="str">
        <f aca="false">IF(G2165&lt;=INDEX(Assumptions!$B$15:$B$18,MATCH(E2165,Assumptions!$A$15:$A$18,0)),"Yes","No")</f>
        <v>Yes</v>
      </c>
      <c r="O2165" s="31" t="str">
        <f aca="false">IF(H2165="","Open",IF(H2165&lt;=INDEX(Assumptions!$C$15:$C$18,MATCH(E2165,Assumptions!$A$15:$A$18,0)),"Yes","No"))</f>
        <v>Yes</v>
      </c>
    </row>
    <row r="2166" customFormat="false" ht="15" hidden="false" customHeight="false" outlineLevel="0" collapsed="false">
      <c r="A2166" s="31" t="s">
        <v>2316</v>
      </c>
      <c r="B2166" s="44" t="n">
        <v>46233</v>
      </c>
      <c r="C2166" s="31" t="s">
        <v>57</v>
      </c>
      <c r="D2166" s="31" t="s">
        <v>69</v>
      </c>
      <c r="E2166" s="31" t="s">
        <v>51</v>
      </c>
      <c r="F2166" s="31" t="s">
        <v>130</v>
      </c>
      <c r="G2166" s="31" t="n">
        <v>2</v>
      </c>
      <c r="H2166" s="41" t="n">
        <v>4.1</v>
      </c>
      <c r="I2166" s="31" t="s">
        <v>149</v>
      </c>
      <c r="J2166" s="31"/>
      <c r="K2166" s="31" t="s">
        <v>150</v>
      </c>
      <c r="L2166" s="45" t="n">
        <f aca="false">DATE(YEAR(B2166),MONTH(B2166),1)</f>
        <v>46204</v>
      </c>
      <c r="M2166" s="31" t="n">
        <f aca="false">WEEKDAY(B2166,2)</f>
        <v>4</v>
      </c>
      <c r="N2166" s="31" t="str">
        <f aca="false">IF(G2166&lt;=INDEX(Assumptions!$B$15:$B$18,MATCH(E2166,Assumptions!$A$15:$A$18,0)),"Yes","No")</f>
        <v>Yes</v>
      </c>
      <c r="O2166" s="31" t="str">
        <f aca="false">IF(H2166="","Open",IF(H2166&lt;=INDEX(Assumptions!$C$15:$C$18,MATCH(E2166,Assumptions!$A$15:$A$18,0)),"Yes","No"))</f>
        <v>Yes</v>
      </c>
    </row>
    <row r="2167" customFormat="false" ht="15" hidden="false" customHeight="false" outlineLevel="0" collapsed="false">
      <c r="A2167" s="31" t="s">
        <v>2317</v>
      </c>
      <c r="B2167" s="44" t="n">
        <v>46233</v>
      </c>
      <c r="C2167" s="31" t="s">
        <v>57</v>
      </c>
      <c r="D2167" s="31" t="s">
        <v>65</v>
      </c>
      <c r="E2167" s="31" t="s">
        <v>49</v>
      </c>
      <c r="F2167" s="31" t="s">
        <v>133</v>
      </c>
      <c r="G2167" s="31" t="n">
        <v>1</v>
      </c>
      <c r="H2167" s="41" t="n">
        <v>3.5</v>
      </c>
      <c r="I2167" s="31" t="s">
        <v>64</v>
      </c>
      <c r="J2167" s="31"/>
      <c r="K2167" s="31" t="s">
        <v>150</v>
      </c>
      <c r="L2167" s="45" t="n">
        <f aca="false">DATE(YEAR(B2167),MONTH(B2167),1)</f>
        <v>46204</v>
      </c>
      <c r="M2167" s="31" t="n">
        <f aca="false">WEEKDAY(B2167,2)</f>
        <v>4</v>
      </c>
      <c r="N2167" s="31" t="str">
        <f aca="false">IF(G2167&lt;=INDEX(Assumptions!$B$15:$B$18,MATCH(E2167,Assumptions!$A$15:$A$18,0)),"Yes","No")</f>
        <v>Yes</v>
      </c>
      <c r="O2167" s="31" t="str">
        <f aca="false">IF(H2167="","Open",IF(H2167&lt;=INDEX(Assumptions!$C$15:$C$18,MATCH(E2167,Assumptions!$A$15:$A$18,0)),"Yes","No"))</f>
        <v>Yes</v>
      </c>
    </row>
    <row r="2168" customFormat="false" ht="15" hidden="false" customHeight="false" outlineLevel="0" collapsed="false">
      <c r="A2168" s="31" t="s">
        <v>2318</v>
      </c>
      <c r="B2168" s="44" t="n">
        <v>46233</v>
      </c>
      <c r="C2168" s="31" t="s">
        <v>58</v>
      </c>
      <c r="D2168" s="31" t="s">
        <v>66</v>
      </c>
      <c r="E2168" s="31" t="s">
        <v>51</v>
      </c>
      <c r="F2168" s="31" t="s">
        <v>123</v>
      </c>
      <c r="G2168" s="31" t="n">
        <v>8</v>
      </c>
      <c r="H2168" s="41" t="n">
        <v>5.1</v>
      </c>
      <c r="I2168" s="31" t="s">
        <v>149</v>
      </c>
      <c r="J2168" s="31"/>
      <c r="K2168" s="31" t="s">
        <v>150</v>
      </c>
      <c r="L2168" s="45" t="n">
        <f aca="false">DATE(YEAR(B2168),MONTH(B2168),1)</f>
        <v>46204</v>
      </c>
      <c r="M2168" s="31" t="n">
        <f aca="false">WEEKDAY(B2168,2)</f>
        <v>4</v>
      </c>
      <c r="N2168" s="31" t="str">
        <f aca="false">IF(G2168&lt;=INDEX(Assumptions!$B$15:$B$18,MATCH(E2168,Assumptions!$A$15:$A$18,0)),"Yes","No")</f>
        <v>Yes</v>
      </c>
      <c r="O2168" s="31" t="str">
        <f aca="false">IF(H2168="","Open",IF(H2168&lt;=INDEX(Assumptions!$C$15:$C$18,MATCH(E2168,Assumptions!$A$15:$A$18,0)),"Yes","No"))</f>
        <v>Yes</v>
      </c>
    </row>
    <row r="2169" customFormat="false" ht="15" hidden="false" customHeight="false" outlineLevel="0" collapsed="false">
      <c r="A2169" s="31" t="s">
        <v>2319</v>
      </c>
      <c r="B2169" s="44" t="n">
        <v>46233</v>
      </c>
      <c r="C2169" s="31" t="s">
        <v>59</v>
      </c>
      <c r="D2169" s="31" t="s">
        <v>69</v>
      </c>
      <c r="E2169" s="31" t="s">
        <v>51</v>
      </c>
      <c r="F2169" s="31" t="s">
        <v>134</v>
      </c>
      <c r="G2169" s="31" t="n">
        <v>142</v>
      </c>
      <c r="H2169" s="41" t="n">
        <v>14.1</v>
      </c>
      <c r="I2169" s="31" t="s">
        <v>149</v>
      </c>
      <c r="J2169" s="31"/>
      <c r="K2169" s="31" t="s">
        <v>150</v>
      </c>
      <c r="L2169" s="45" t="n">
        <f aca="false">DATE(YEAR(B2169),MONTH(B2169),1)</f>
        <v>46204</v>
      </c>
      <c r="M2169" s="31" t="n">
        <f aca="false">WEEKDAY(B2169,2)</f>
        <v>4</v>
      </c>
      <c r="N2169" s="31" t="str">
        <f aca="false">IF(G2169&lt;=INDEX(Assumptions!$B$15:$B$18,MATCH(E2169,Assumptions!$A$15:$A$18,0)),"Yes","No")</f>
        <v>No</v>
      </c>
      <c r="O2169" s="31" t="str">
        <f aca="false">IF(H2169="","Open",IF(H2169&lt;=INDEX(Assumptions!$C$15:$C$18,MATCH(E2169,Assumptions!$A$15:$A$18,0)),"Yes","No"))</f>
        <v>Yes</v>
      </c>
    </row>
    <row r="2170" customFormat="false" ht="15" hidden="false" customHeight="false" outlineLevel="0" collapsed="false">
      <c r="A2170" s="31" t="s">
        <v>2320</v>
      </c>
      <c r="B2170" s="44" t="n">
        <v>46233</v>
      </c>
      <c r="C2170" s="31" t="s">
        <v>60</v>
      </c>
      <c r="D2170" s="31" t="s">
        <v>67</v>
      </c>
      <c r="E2170" s="31" t="s">
        <v>52</v>
      </c>
      <c r="F2170" s="31" t="s">
        <v>130</v>
      </c>
      <c r="G2170" s="31" t="n">
        <v>1</v>
      </c>
      <c r="H2170" s="41" t="n">
        <v>19.6</v>
      </c>
      <c r="I2170" s="31" t="s">
        <v>149</v>
      </c>
      <c r="J2170" s="31" t="n">
        <v>5</v>
      </c>
      <c r="K2170" s="31" t="s">
        <v>150</v>
      </c>
      <c r="L2170" s="45" t="n">
        <f aca="false">DATE(YEAR(B2170),MONTH(B2170),1)</f>
        <v>46204</v>
      </c>
      <c r="M2170" s="31" t="n">
        <f aca="false">WEEKDAY(B2170,2)</f>
        <v>4</v>
      </c>
      <c r="N2170" s="31" t="str">
        <f aca="false">IF(G2170&lt;=INDEX(Assumptions!$B$15:$B$18,MATCH(E2170,Assumptions!$A$15:$A$18,0)),"Yes","No")</f>
        <v>Yes</v>
      </c>
      <c r="O2170" s="31" t="str">
        <f aca="false">IF(H2170="","Open",IF(H2170&lt;=INDEX(Assumptions!$C$15:$C$18,MATCH(E2170,Assumptions!$A$15:$A$18,0)),"Yes","No"))</f>
        <v>Yes</v>
      </c>
    </row>
    <row r="2171" customFormat="false" ht="15" hidden="false" customHeight="false" outlineLevel="0" collapsed="false">
      <c r="A2171" s="31" t="s">
        <v>2321</v>
      </c>
      <c r="B2171" s="44" t="n">
        <v>46233</v>
      </c>
      <c r="C2171" s="31" t="s">
        <v>58</v>
      </c>
      <c r="D2171" s="31" t="s">
        <v>65</v>
      </c>
      <c r="E2171" s="31" t="s">
        <v>52</v>
      </c>
      <c r="F2171" s="31" t="s">
        <v>136</v>
      </c>
      <c r="G2171" s="31" t="n">
        <v>28</v>
      </c>
      <c r="H2171" s="41" t="n">
        <v>56</v>
      </c>
      <c r="I2171" s="31" t="s">
        <v>149</v>
      </c>
      <c r="J2171" s="31" t="n">
        <v>5</v>
      </c>
      <c r="K2171" s="31" t="s">
        <v>150</v>
      </c>
      <c r="L2171" s="45" t="n">
        <f aca="false">DATE(YEAR(B2171),MONTH(B2171),1)</f>
        <v>46204</v>
      </c>
      <c r="M2171" s="31" t="n">
        <f aca="false">WEEKDAY(B2171,2)</f>
        <v>4</v>
      </c>
      <c r="N2171" s="31" t="str">
        <f aca="false">IF(G2171&lt;=INDEX(Assumptions!$B$15:$B$18,MATCH(E2171,Assumptions!$A$15:$A$18,0)),"Yes","No")</f>
        <v>Yes</v>
      </c>
      <c r="O2171" s="31" t="str">
        <f aca="false">IF(H2171="","Open",IF(H2171&lt;=INDEX(Assumptions!$C$15:$C$18,MATCH(E2171,Assumptions!$A$15:$A$18,0)),"Yes","No"))</f>
        <v>Yes</v>
      </c>
    </row>
    <row r="2172" customFormat="false" ht="15" hidden="false" customHeight="false" outlineLevel="0" collapsed="false">
      <c r="A2172" s="31" t="s">
        <v>2322</v>
      </c>
      <c r="B2172" s="44" t="n">
        <v>46233</v>
      </c>
      <c r="C2172" s="31" t="s">
        <v>60</v>
      </c>
      <c r="D2172" s="31" t="s">
        <v>65</v>
      </c>
      <c r="E2172" s="31" t="s">
        <v>49</v>
      </c>
      <c r="F2172" s="31" t="s">
        <v>137</v>
      </c>
      <c r="G2172" s="31" t="n">
        <v>1</v>
      </c>
      <c r="H2172" s="41" t="n">
        <v>2.2</v>
      </c>
      <c r="I2172" s="31" t="s">
        <v>149</v>
      </c>
      <c r="J2172" s="31" t="n">
        <v>5</v>
      </c>
      <c r="K2172" s="31" t="s">
        <v>150</v>
      </c>
      <c r="L2172" s="45" t="n">
        <f aca="false">DATE(YEAR(B2172),MONTH(B2172),1)</f>
        <v>46204</v>
      </c>
      <c r="M2172" s="31" t="n">
        <f aca="false">WEEKDAY(B2172,2)</f>
        <v>4</v>
      </c>
      <c r="N2172" s="31" t="str">
        <f aca="false">IF(G2172&lt;=INDEX(Assumptions!$B$15:$B$18,MATCH(E2172,Assumptions!$A$15:$A$18,0)),"Yes","No")</f>
        <v>Yes</v>
      </c>
      <c r="O2172" s="31" t="str">
        <f aca="false">IF(H2172="","Open",IF(H2172&lt;=INDEX(Assumptions!$C$15:$C$18,MATCH(E2172,Assumptions!$A$15:$A$18,0)),"Yes","No"))</f>
        <v>Yes</v>
      </c>
    </row>
    <row r="2173" customFormat="false" ht="15" hidden="false" customHeight="false" outlineLevel="0" collapsed="false">
      <c r="A2173" s="31" t="s">
        <v>2323</v>
      </c>
      <c r="B2173" s="44" t="n">
        <v>46233</v>
      </c>
      <c r="C2173" s="31" t="s">
        <v>59</v>
      </c>
      <c r="D2173" s="31" t="s">
        <v>69</v>
      </c>
      <c r="E2173" s="31" t="s">
        <v>51</v>
      </c>
      <c r="F2173" s="31" t="s">
        <v>134</v>
      </c>
      <c r="G2173" s="31" t="n">
        <v>55</v>
      </c>
      <c r="H2173" s="41" t="n">
        <v>24.3</v>
      </c>
      <c r="I2173" s="31" t="s">
        <v>149</v>
      </c>
      <c r="J2173" s="31" t="n">
        <v>5</v>
      </c>
      <c r="K2173" s="31" t="s">
        <v>150</v>
      </c>
      <c r="L2173" s="45" t="n">
        <f aca="false">DATE(YEAR(B2173),MONTH(B2173),1)</f>
        <v>46204</v>
      </c>
      <c r="M2173" s="31" t="n">
        <f aca="false">WEEKDAY(B2173,2)</f>
        <v>4</v>
      </c>
      <c r="N2173" s="31" t="str">
        <f aca="false">IF(G2173&lt;=INDEX(Assumptions!$B$15:$B$18,MATCH(E2173,Assumptions!$A$15:$A$18,0)),"Yes","No")</f>
        <v>Yes</v>
      </c>
      <c r="O2173" s="31" t="str">
        <f aca="false">IF(H2173="","Open",IF(H2173&lt;=INDEX(Assumptions!$C$15:$C$18,MATCH(E2173,Assumptions!$A$15:$A$18,0)),"Yes","No"))</f>
        <v>No</v>
      </c>
    </row>
    <row r="2174" customFormat="false" ht="15" hidden="false" customHeight="false" outlineLevel="0" collapsed="false">
      <c r="A2174" s="31" t="s">
        <v>2324</v>
      </c>
      <c r="B2174" s="44" t="n">
        <v>46233</v>
      </c>
      <c r="C2174" s="31" t="s">
        <v>59</v>
      </c>
      <c r="D2174" s="31" t="s">
        <v>65</v>
      </c>
      <c r="E2174" s="31" t="s">
        <v>51</v>
      </c>
      <c r="F2174" s="31" t="s">
        <v>126</v>
      </c>
      <c r="G2174" s="31" t="n">
        <v>60</v>
      </c>
      <c r="H2174" s="41" t="n">
        <v>4.7</v>
      </c>
      <c r="I2174" s="31" t="s">
        <v>149</v>
      </c>
      <c r="J2174" s="31"/>
      <c r="K2174" s="31" t="s">
        <v>150</v>
      </c>
      <c r="L2174" s="45" t="n">
        <f aca="false">DATE(YEAR(B2174),MONTH(B2174),1)</f>
        <v>46204</v>
      </c>
      <c r="M2174" s="31" t="n">
        <f aca="false">WEEKDAY(B2174,2)</f>
        <v>4</v>
      </c>
      <c r="N2174" s="31" t="str">
        <f aca="false">IF(G2174&lt;=INDEX(Assumptions!$B$15:$B$18,MATCH(E2174,Assumptions!$A$15:$A$18,0)),"Yes","No")</f>
        <v>Yes</v>
      </c>
      <c r="O2174" s="31" t="str">
        <f aca="false">IF(H2174="","Open",IF(H2174&lt;=INDEX(Assumptions!$C$15:$C$18,MATCH(E2174,Assumptions!$A$15:$A$18,0)),"Yes","No"))</f>
        <v>Yes</v>
      </c>
    </row>
    <row r="2175" customFormat="false" ht="15" hidden="false" customHeight="false" outlineLevel="0" collapsed="false">
      <c r="A2175" s="31" t="s">
        <v>2325</v>
      </c>
      <c r="B2175" s="44" t="n">
        <v>46233</v>
      </c>
      <c r="C2175" s="31" t="s">
        <v>57</v>
      </c>
      <c r="D2175" s="31" t="s">
        <v>68</v>
      </c>
      <c r="E2175" s="31" t="s">
        <v>51</v>
      </c>
      <c r="F2175" s="31" t="s">
        <v>133</v>
      </c>
      <c r="G2175" s="31" t="n">
        <v>3</v>
      </c>
      <c r="H2175" s="41" t="n">
        <v>8.1</v>
      </c>
      <c r="I2175" s="31" t="s">
        <v>149</v>
      </c>
      <c r="J2175" s="31" t="n">
        <v>5</v>
      </c>
      <c r="K2175" s="31" t="s">
        <v>150</v>
      </c>
      <c r="L2175" s="45" t="n">
        <f aca="false">DATE(YEAR(B2175),MONTH(B2175),1)</f>
        <v>46204</v>
      </c>
      <c r="M2175" s="31" t="n">
        <f aca="false">WEEKDAY(B2175,2)</f>
        <v>4</v>
      </c>
      <c r="N2175" s="31" t="str">
        <f aca="false">IF(G2175&lt;=INDEX(Assumptions!$B$15:$B$18,MATCH(E2175,Assumptions!$A$15:$A$18,0)),"Yes","No")</f>
        <v>Yes</v>
      </c>
      <c r="O2175" s="31" t="str">
        <f aca="false">IF(H2175="","Open",IF(H2175&lt;=INDEX(Assumptions!$C$15:$C$18,MATCH(E2175,Assumptions!$A$15:$A$18,0)),"Yes","No"))</f>
        <v>Yes</v>
      </c>
    </row>
    <row r="2176" customFormat="false" ht="15" hidden="false" customHeight="false" outlineLevel="0" collapsed="false">
      <c r="A2176" s="31" t="s">
        <v>2326</v>
      </c>
      <c r="B2176" s="44" t="n">
        <v>46233</v>
      </c>
      <c r="C2176" s="31" t="s">
        <v>60</v>
      </c>
      <c r="D2176" s="31" t="s">
        <v>68</v>
      </c>
      <c r="E2176" s="31" t="s">
        <v>50</v>
      </c>
      <c r="F2176" s="31" t="s">
        <v>119</v>
      </c>
      <c r="G2176" s="31" t="n">
        <v>1</v>
      </c>
      <c r="H2176" s="41" t="n">
        <v>1.7</v>
      </c>
      <c r="I2176" s="31" t="s">
        <v>149</v>
      </c>
      <c r="J2176" s="31" t="n">
        <v>4</v>
      </c>
      <c r="K2176" s="31" t="s">
        <v>150</v>
      </c>
      <c r="L2176" s="45" t="n">
        <f aca="false">DATE(YEAR(B2176),MONTH(B2176),1)</f>
        <v>46204</v>
      </c>
      <c r="M2176" s="31" t="n">
        <f aca="false">WEEKDAY(B2176,2)</f>
        <v>4</v>
      </c>
      <c r="N2176" s="31" t="str">
        <f aca="false">IF(G2176&lt;=INDEX(Assumptions!$B$15:$B$18,MATCH(E2176,Assumptions!$A$15:$A$18,0)),"Yes","No")</f>
        <v>Yes</v>
      </c>
      <c r="O2176" s="31" t="str">
        <f aca="false">IF(H2176="","Open",IF(H2176&lt;=INDEX(Assumptions!$C$15:$C$18,MATCH(E2176,Assumptions!$A$15:$A$18,0)),"Yes","No"))</f>
        <v>Yes</v>
      </c>
    </row>
    <row r="2177" customFormat="false" ht="15" hidden="false" customHeight="false" outlineLevel="0" collapsed="false">
      <c r="A2177" s="31" t="s">
        <v>2327</v>
      </c>
      <c r="B2177" s="44" t="n">
        <v>46233</v>
      </c>
      <c r="C2177" s="31" t="s">
        <v>57</v>
      </c>
      <c r="D2177" s="31" t="s">
        <v>66</v>
      </c>
      <c r="E2177" s="31" t="s">
        <v>51</v>
      </c>
      <c r="F2177" s="31" t="s">
        <v>126</v>
      </c>
      <c r="G2177" s="31" t="n">
        <v>2</v>
      </c>
      <c r="H2177" s="41" t="n">
        <v>10.5</v>
      </c>
      <c r="I2177" s="31" t="s">
        <v>149</v>
      </c>
      <c r="J2177" s="31"/>
      <c r="K2177" s="31" t="s">
        <v>150</v>
      </c>
      <c r="L2177" s="45" t="n">
        <f aca="false">DATE(YEAR(B2177),MONTH(B2177),1)</f>
        <v>46204</v>
      </c>
      <c r="M2177" s="31" t="n">
        <f aca="false">WEEKDAY(B2177,2)</f>
        <v>4</v>
      </c>
      <c r="N2177" s="31" t="str">
        <f aca="false">IF(G2177&lt;=INDEX(Assumptions!$B$15:$B$18,MATCH(E2177,Assumptions!$A$15:$A$18,0)),"Yes","No")</f>
        <v>Yes</v>
      </c>
      <c r="O2177" s="31" t="str">
        <f aca="false">IF(H2177="","Open",IF(H2177&lt;=INDEX(Assumptions!$C$15:$C$18,MATCH(E2177,Assumptions!$A$15:$A$18,0)),"Yes","No"))</f>
        <v>Yes</v>
      </c>
    </row>
    <row r="2178" customFormat="false" ht="15" hidden="false" customHeight="false" outlineLevel="0" collapsed="false">
      <c r="A2178" s="31" t="s">
        <v>2328</v>
      </c>
      <c r="B2178" s="44" t="n">
        <v>46234</v>
      </c>
      <c r="C2178" s="31" t="s">
        <v>57</v>
      </c>
      <c r="D2178" s="31" t="s">
        <v>66</v>
      </c>
      <c r="E2178" s="31" t="s">
        <v>52</v>
      </c>
      <c r="F2178" s="31" t="s">
        <v>135</v>
      </c>
      <c r="G2178" s="31" t="n">
        <v>6</v>
      </c>
      <c r="H2178" s="41" t="n">
        <v>11.7</v>
      </c>
      <c r="I2178" s="31" t="s">
        <v>149</v>
      </c>
      <c r="J2178" s="31"/>
      <c r="K2178" s="31" t="s">
        <v>150</v>
      </c>
      <c r="L2178" s="45" t="n">
        <f aca="false">DATE(YEAR(B2178),MONTH(B2178),1)</f>
        <v>46204</v>
      </c>
      <c r="M2178" s="31" t="n">
        <f aca="false">WEEKDAY(B2178,2)</f>
        <v>5</v>
      </c>
      <c r="N2178" s="31" t="str">
        <f aca="false">IF(G2178&lt;=INDEX(Assumptions!$B$15:$B$18,MATCH(E2178,Assumptions!$A$15:$A$18,0)),"Yes","No")</f>
        <v>Yes</v>
      </c>
      <c r="O2178" s="31" t="str">
        <f aca="false">IF(H2178="","Open",IF(H2178&lt;=INDEX(Assumptions!$C$15:$C$18,MATCH(E2178,Assumptions!$A$15:$A$18,0)),"Yes","No"))</f>
        <v>Yes</v>
      </c>
    </row>
    <row r="2179" customFormat="false" ht="15" hidden="false" customHeight="false" outlineLevel="0" collapsed="false">
      <c r="A2179" s="31" t="s">
        <v>2329</v>
      </c>
      <c r="B2179" s="44" t="n">
        <v>46234</v>
      </c>
      <c r="C2179" s="31" t="s">
        <v>60</v>
      </c>
      <c r="D2179" s="31" t="s">
        <v>65</v>
      </c>
      <c r="E2179" s="31" t="s">
        <v>50</v>
      </c>
      <c r="F2179" s="31" t="s">
        <v>137</v>
      </c>
      <c r="G2179" s="31" t="n">
        <v>2</v>
      </c>
      <c r="H2179" s="41" t="n">
        <v>4.5</v>
      </c>
      <c r="I2179" s="31" t="s">
        <v>149</v>
      </c>
      <c r="J2179" s="31" t="n">
        <v>5</v>
      </c>
      <c r="K2179" s="31" t="s">
        <v>150</v>
      </c>
      <c r="L2179" s="45" t="n">
        <f aca="false">DATE(YEAR(B2179),MONTH(B2179),1)</f>
        <v>46204</v>
      </c>
      <c r="M2179" s="31" t="n">
        <f aca="false">WEEKDAY(B2179,2)</f>
        <v>5</v>
      </c>
      <c r="N2179" s="31" t="str">
        <f aca="false">IF(G2179&lt;=INDEX(Assumptions!$B$15:$B$18,MATCH(E2179,Assumptions!$A$15:$A$18,0)),"Yes","No")</f>
        <v>Yes</v>
      </c>
      <c r="O2179" s="31" t="str">
        <f aca="false">IF(H2179="","Open",IF(H2179&lt;=INDEX(Assumptions!$C$15:$C$18,MATCH(E2179,Assumptions!$A$15:$A$18,0)),"Yes","No"))</f>
        <v>Yes</v>
      </c>
    </row>
    <row r="2180" customFormat="false" ht="15" hidden="false" customHeight="false" outlineLevel="0" collapsed="false">
      <c r="A2180" s="31" t="s">
        <v>2330</v>
      </c>
      <c r="B2180" s="44" t="n">
        <v>46234</v>
      </c>
      <c r="C2180" s="31" t="s">
        <v>60</v>
      </c>
      <c r="D2180" s="31" t="s">
        <v>67</v>
      </c>
      <c r="E2180" s="31" t="s">
        <v>52</v>
      </c>
      <c r="F2180" s="31" t="s">
        <v>122</v>
      </c>
      <c r="G2180" s="31" t="n">
        <v>1</v>
      </c>
      <c r="H2180" s="41" t="n">
        <v>5.4</v>
      </c>
      <c r="I2180" s="31" t="s">
        <v>149</v>
      </c>
      <c r="J2180" s="31" t="n">
        <v>5</v>
      </c>
      <c r="K2180" s="31" t="s">
        <v>150</v>
      </c>
      <c r="L2180" s="45" t="n">
        <f aca="false">DATE(YEAR(B2180),MONTH(B2180),1)</f>
        <v>46204</v>
      </c>
      <c r="M2180" s="31" t="n">
        <f aca="false">WEEKDAY(B2180,2)</f>
        <v>5</v>
      </c>
      <c r="N2180" s="31" t="str">
        <f aca="false">IF(G2180&lt;=INDEX(Assumptions!$B$15:$B$18,MATCH(E2180,Assumptions!$A$15:$A$18,0)),"Yes","No")</f>
        <v>Yes</v>
      </c>
      <c r="O2180" s="31" t="str">
        <f aca="false">IF(H2180="","Open",IF(H2180&lt;=INDEX(Assumptions!$C$15:$C$18,MATCH(E2180,Assumptions!$A$15:$A$18,0)),"Yes","No"))</f>
        <v>Yes</v>
      </c>
    </row>
    <row r="2181" customFormat="false" ht="15" hidden="false" customHeight="false" outlineLevel="0" collapsed="false">
      <c r="A2181" s="31" t="s">
        <v>2331</v>
      </c>
      <c r="B2181" s="44" t="n">
        <v>46234</v>
      </c>
      <c r="C2181" s="31" t="s">
        <v>59</v>
      </c>
      <c r="D2181" s="31" t="s">
        <v>68</v>
      </c>
      <c r="E2181" s="31" t="s">
        <v>49</v>
      </c>
      <c r="F2181" s="31" t="s">
        <v>122</v>
      </c>
      <c r="G2181" s="31" t="n">
        <v>15</v>
      </c>
      <c r="H2181" s="41" t="n">
        <v>4</v>
      </c>
      <c r="I2181" s="31" t="s">
        <v>64</v>
      </c>
      <c r="J2181" s="31" t="n">
        <v>3</v>
      </c>
      <c r="K2181" s="31" t="s">
        <v>150</v>
      </c>
      <c r="L2181" s="45" t="n">
        <f aca="false">DATE(YEAR(B2181),MONTH(B2181),1)</f>
        <v>46204</v>
      </c>
      <c r="M2181" s="31" t="n">
        <f aca="false">WEEKDAY(B2181,2)</f>
        <v>5</v>
      </c>
      <c r="N2181" s="31" t="str">
        <f aca="false">IF(G2181&lt;=INDEX(Assumptions!$B$15:$B$18,MATCH(E2181,Assumptions!$A$15:$A$18,0)),"Yes","No")</f>
        <v>Yes</v>
      </c>
      <c r="O2181" s="31" t="str">
        <f aca="false">IF(H2181="","Open",IF(H2181&lt;=INDEX(Assumptions!$C$15:$C$18,MATCH(E2181,Assumptions!$A$15:$A$18,0)),"Yes","No"))</f>
        <v>Yes</v>
      </c>
    </row>
    <row r="2182" customFormat="false" ht="15" hidden="false" customHeight="false" outlineLevel="0" collapsed="false">
      <c r="A2182" s="31" t="s">
        <v>2332</v>
      </c>
      <c r="B2182" s="44" t="n">
        <v>46234</v>
      </c>
      <c r="C2182" s="31" t="s">
        <v>59</v>
      </c>
      <c r="D2182" s="31" t="s">
        <v>68</v>
      </c>
      <c r="E2182" s="31" t="s">
        <v>51</v>
      </c>
      <c r="F2182" s="31" t="s">
        <v>117</v>
      </c>
      <c r="G2182" s="31" t="n">
        <v>296</v>
      </c>
      <c r="H2182" s="41" t="n">
        <v>11.1</v>
      </c>
      <c r="I2182" s="31" t="s">
        <v>64</v>
      </c>
      <c r="J2182" s="31" t="n">
        <v>3</v>
      </c>
      <c r="K2182" s="31" t="s">
        <v>150</v>
      </c>
      <c r="L2182" s="45" t="n">
        <f aca="false">DATE(YEAR(B2182),MONTH(B2182),1)</f>
        <v>46204</v>
      </c>
      <c r="M2182" s="31" t="n">
        <f aca="false">WEEKDAY(B2182,2)</f>
        <v>5</v>
      </c>
      <c r="N2182" s="31" t="str">
        <f aca="false">IF(G2182&lt;=INDEX(Assumptions!$B$15:$B$18,MATCH(E2182,Assumptions!$A$15:$A$18,0)),"Yes","No")</f>
        <v>No</v>
      </c>
      <c r="O2182" s="31" t="str">
        <f aca="false">IF(H2182="","Open",IF(H2182&lt;=INDEX(Assumptions!$C$15:$C$18,MATCH(E2182,Assumptions!$A$15:$A$18,0)),"Yes","No"))</f>
        <v>Yes</v>
      </c>
    </row>
    <row r="2183" customFormat="false" ht="15" hidden="false" customHeight="false" outlineLevel="0" collapsed="false">
      <c r="A2183" s="31" t="s">
        <v>2333</v>
      </c>
      <c r="B2183" s="44" t="n">
        <v>46234</v>
      </c>
      <c r="C2183" s="31" t="s">
        <v>57</v>
      </c>
      <c r="D2183" s="31" t="s">
        <v>65</v>
      </c>
      <c r="E2183" s="31" t="s">
        <v>52</v>
      </c>
      <c r="F2183" s="31" t="s">
        <v>122</v>
      </c>
      <c r="G2183" s="31" t="n">
        <v>20</v>
      </c>
      <c r="H2183" s="41" t="n">
        <v>29.9</v>
      </c>
      <c r="I2183" s="31" t="s">
        <v>149</v>
      </c>
      <c r="J2183" s="31"/>
      <c r="K2183" s="31" t="s">
        <v>153</v>
      </c>
      <c r="L2183" s="45" t="n">
        <f aca="false">DATE(YEAR(B2183),MONTH(B2183),1)</f>
        <v>46204</v>
      </c>
      <c r="M2183" s="31" t="n">
        <f aca="false">WEEKDAY(B2183,2)</f>
        <v>5</v>
      </c>
      <c r="N2183" s="31" t="str">
        <f aca="false">IF(G2183&lt;=INDEX(Assumptions!$B$15:$B$18,MATCH(E2183,Assumptions!$A$15:$A$18,0)),"Yes","No")</f>
        <v>Yes</v>
      </c>
      <c r="O2183" s="31" t="str">
        <f aca="false">IF(H2183="","Open",IF(H2183&lt;=INDEX(Assumptions!$C$15:$C$18,MATCH(E2183,Assumptions!$A$15:$A$18,0)),"Yes","No"))</f>
        <v>Yes</v>
      </c>
    </row>
    <row r="2184" customFormat="false" ht="15" hidden="false" customHeight="false" outlineLevel="0" collapsed="false">
      <c r="A2184" s="31" t="s">
        <v>2334</v>
      </c>
      <c r="B2184" s="44" t="n">
        <v>46234</v>
      </c>
      <c r="C2184" s="31" t="s">
        <v>60</v>
      </c>
      <c r="D2184" s="31" t="s">
        <v>67</v>
      </c>
      <c r="E2184" s="31" t="s">
        <v>51</v>
      </c>
      <c r="F2184" s="31" t="s">
        <v>129</v>
      </c>
      <c r="G2184" s="31" t="n">
        <v>3</v>
      </c>
      <c r="H2184" s="41" t="n">
        <v>4.2</v>
      </c>
      <c r="I2184" s="31" t="s">
        <v>149</v>
      </c>
      <c r="J2184" s="31" t="n">
        <v>5</v>
      </c>
      <c r="K2184" s="31" t="s">
        <v>150</v>
      </c>
      <c r="L2184" s="45" t="n">
        <f aca="false">DATE(YEAR(B2184),MONTH(B2184),1)</f>
        <v>46204</v>
      </c>
      <c r="M2184" s="31" t="n">
        <f aca="false">WEEKDAY(B2184,2)</f>
        <v>5</v>
      </c>
      <c r="N2184" s="31" t="str">
        <f aca="false">IF(G2184&lt;=INDEX(Assumptions!$B$15:$B$18,MATCH(E2184,Assumptions!$A$15:$A$18,0)),"Yes","No")</f>
        <v>Yes</v>
      </c>
      <c r="O2184" s="31" t="str">
        <f aca="false">IF(H2184="","Open",IF(H2184&lt;=INDEX(Assumptions!$C$15:$C$18,MATCH(E2184,Assumptions!$A$15:$A$18,0)),"Yes","No"))</f>
        <v>Yes</v>
      </c>
    </row>
    <row r="2185" customFormat="false" ht="15" hidden="false" customHeight="false" outlineLevel="0" collapsed="false">
      <c r="A2185" s="31" t="s">
        <v>2335</v>
      </c>
      <c r="B2185" s="44" t="n">
        <v>46234</v>
      </c>
      <c r="C2185" s="31" t="s">
        <v>57</v>
      </c>
      <c r="D2185" s="31" t="s">
        <v>65</v>
      </c>
      <c r="E2185" s="31" t="s">
        <v>52</v>
      </c>
      <c r="F2185" s="31" t="s">
        <v>136</v>
      </c>
      <c r="G2185" s="31" t="n">
        <v>5</v>
      </c>
      <c r="H2185" s="41" t="n">
        <v>14.5</v>
      </c>
      <c r="I2185" s="31" t="s">
        <v>149</v>
      </c>
      <c r="J2185" s="31" t="n">
        <v>4</v>
      </c>
      <c r="K2185" s="31" t="s">
        <v>150</v>
      </c>
      <c r="L2185" s="45" t="n">
        <f aca="false">DATE(YEAR(B2185),MONTH(B2185),1)</f>
        <v>46204</v>
      </c>
      <c r="M2185" s="31" t="n">
        <f aca="false">WEEKDAY(B2185,2)</f>
        <v>5</v>
      </c>
      <c r="N2185" s="31" t="str">
        <f aca="false">IF(G2185&lt;=INDEX(Assumptions!$B$15:$B$18,MATCH(E2185,Assumptions!$A$15:$A$18,0)),"Yes","No")</f>
        <v>Yes</v>
      </c>
      <c r="O2185" s="31" t="str">
        <f aca="false">IF(H2185="","Open",IF(H2185&lt;=INDEX(Assumptions!$C$15:$C$18,MATCH(E2185,Assumptions!$A$15:$A$18,0)),"Yes","No"))</f>
        <v>Yes</v>
      </c>
    </row>
    <row r="2186" customFormat="false" ht="15" hidden="false" customHeight="false" outlineLevel="0" collapsed="false">
      <c r="A2186" s="31" t="s">
        <v>2336</v>
      </c>
      <c r="B2186" s="44" t="n">
        <v>46234</v>
      </c>
      <c r="C2186" s="31" t="s">
        <v>60</v>
      </c>
      <c r="D2186" s="31" t="s">
        <v>68</v>
      </c>
      <c r="E2186" s="31" t="s">
        <v>50</v>
      </c>
      <c r="F2186" s="31" t="s">
        <v>122</v>
      </c>
      <c r="G2186" s="31" t="n">
        <v>5</v>
      </c>
      <c r="H2186" s="41" t="n">
        <v>0.9</v>
      </c>
      <c r="I2186" s="31" t="s">
        <v>149</v>
      </c>
      <c r="J2186" s="31"/>
      <c r="K2186" s="31" t="s">
        <v>150</v>
      </c>
      <c r="L2186" s="45" t="n">
        <f aca="false">DATE(YEAR(B2186),MONTH(B2186),1)</f>
        <v>46204</v>
      </c>
      <c r="M2186" s="31" t="n">
        <f aca="false">WEEKDAY(B2186,2)</f>
        <v>5</v>
      </c>
      <c r="N2186" s="31" t="str">
        <f aca="false">IF(G2186&lt;=INDEX(Assumptions!$B$15:$B$18,MATCH(E2186,Assumptions!$A$15:$A$18,0)),"Yes","No")</f>
        <v>Yes</v>
      </c>
      <c r="O2186" s="31" t="str">
        <f aca="false">IF(H2186="","Open",IF(H2186&lt;=INDEX(Assumptions!$C$15:$C$18,MATCH(E2186,Assumptions!$A$15:$A$18,0)),"Yes","No"))</f>
        <v>Yes</v>
      </c>
    </row>
    <row r="2187" customFormat="false" ht="15" hidden="false" customHeight="false" outlineLevel="0" collapsed="false">
      <c r="A2187" s="31" t="s">
        <v>2337</v>
      </c>
      <c r="B2187" s="44" t="n">
        <v>46234</v>
      </c>
      <c r="C2187" s="31" t="s">
        <v>57</v>
      </c>
      <c r="D2187" s="31" t="s">
        <v>66</v>
      </c>
      <c r="E2187" s="31" t="s">
        <v>51</v>
      </c>
      <c r="F2187" s="31" t="s">
        <v>135</v>
      </c>
      <c r="G2187" s="31" t="n">
        <v>5</v>
      </c>
      <c r="H2187" s="41" t="n">
        <v>10.8</v>
      </c>
      <c r="I2187" s="31" t="s">
        <v>149</v>
      </c>
      <c r="J2187" s="31" t="n">
        <v>4</v>
      </c>
      <c r="K2187" s="31" t="s">
        <v>150</v>
      </c>
      <c r="L2187" s="45" t="n">
        <f aca="false">DATE(YEAR(B2187),MONTH(B2187),1)</f>
        <v>46204</v>
      </c>
      <c r="M2187" s="31" t="n">
        <f aca="false">WEEKDAY(B2187,2)</f>
        <v>5</v>
      </c>
      <c r="N2187" s="31" t="str">
        <f aca="false">IF(G2187&lt;=INDEX(Assumptions!$B$15:$B$18,MATCH(E2187,Assumptions!$A$15:$A$18,0)),"Yes","No")</f>
        <v>Yes</v>
      </c>
      <c r="O2187" s="31" t="str">
        <f aca="false">IF(H2187="","Open",IF(H2187&lt;=INDEX(Assumptions!$C$15:$C$18,MATCH(E2187,Assumptions!$A$15:$A$18,0)),"Yes","No"))</f>
        <v>Yes</v>
      </c>
    </row>
    <row r="2188" customFormat="false" ht="15" hidden="false" customHeight="false" outlineLevel="0" collapsed="false">
      <c r="A2188" s="31" t="s">
        <v>2338</v>
      </c>
      <c r="B2188" s="44" t="n">
        <v>46234</v>
      </c>
      <c r="C2188" s="31" t="s">
        <v>58</v>
      </c>
      <c r="D2188" s="31" t="s">
        <v>69</v>
      </c>
      <c r="E2188" s="31" t="s">
        <v>52</v>
      </c>
      <c r="F2188" s="31" t="s">
        <v>124</v>
      </c>
      <c r="G2188" s="31" t="n">
        <v>8</v>
      </c>
      <c r="H2188" s="41" t="n">
        <v>13.8</v>
      </c>
      <c r="I2188" s="31" t="s">
        <v>149</v>
      </c>
      <c r="J2188" s="31"/>
      <c r="K2188" s="31" t="s">
        <v>150</v>
      </c>
      <c r="L2188" s="45" t="n">
        <f aca="false">DATE(YEAR(B2188),MONTH(B2188),1)</f>
        <v>46204</v>
      </c>
      <c r="M2188" s="31" t="n">
        <f aca="false">WEEKDAY(B2188,2)</f>
        <v>5</v>
      </c>
      <c r="N2188" s="31" t="str">
        <f aca="false">IF(G2188&lt;=INDEX(Assumptions!$B$15:$B$18,MATCH(E2188,Assumptions!$A$15:$A$18,0)),"Yes","No")</f>
        <v>Yes</v>
      </c>
      <c r="O2188" s="31" t="str">
        <f aca="false">IF(H2188="","Open",IF(H2188&lt;=INDEX(Assumptions!$C$15:$C$18,MATCH(E2188,Assumptions!$A$15:$A$18,0)),"Yes","No"))</f>
        <v>Yes</v>
      </c>
    </row>
    <row r="2189" customFormat="false" ht="15" hidden="false" customHeight="false" outlineLevel="0" collapsed="false">
      <c r="A2189" s="31" t="s">
        <v>2339</v>
      </c>
      <c r="B2189" s="44" t="n">
        <v>46234</v>
      </c>
      <c r="C2189" s="31" t="s">
        <v>57</v>
      </c>
      <c r="D2189" s="31" t="s">
        <v>67</v>
      </c>
      <c r="E2189" s="31" t="s">
        <v>52</v>
      </c>
      <c r="F2189" s="31" t="s">
        <v>136</v>
      </c>
      <c r="G2189" s="31" t="n">
        <v>7</v>
      </c>
      <c r="H2189" s="41" t="n">
        <v>1.4</v>
      </c>
      <c r="I2189" s="31" t="s">
        <v>149</v>
      </c>
      <c r="J2189" s="31" t="n">
        <v>5</v>
      </c>
      <c r="K2189" s="31" t="s">
        <v>150</v>
      </c>
      <c r="L2189" s="45" t="n">
        <f aca="false">DATE(YEAR(B2189),MONTH(B2189),1)</f>
        <v>46204</v>
      </c>
      <c r="M2189" s="31" t="n">
        <f aca="false">WEEKDAY(B2189,2)</f>
        <v>5</v>
      </c>
      <c r="N2189" s="31" t="str">
        <f aca="false">IF(G2189&lt;=INDEX(Assumptions!$B$15:$B$18,MATCH(E2189,Assumptions!$A$15:$A$18,0)),"Yes","No")</f>
        <v>Yes</v>
      </c>
      <c r="O2189" s="31" t="str">
        <f aca="false">IF(H2189="","Open",IF(H2189&lt;=INDEX(Assumptions!$C$15:$C$18,MATCH(E2189,Assumptions!$A$15:$A$18,0)),"Yes","No"))</f>
        <v>Yes</v>
      </c>
    </row>
    <row r="2190" customFormat="false" ht="15" hidden="false" customHeight="false" outlineLevel="0" collapsed="false">
      <c r="A2190" s="31" t="s">
        <v>2340</v>
      </c>
      <c r="B2190" s="44" t="n">
        <v>46234</v>
      </c>
      <c r="C2190" s="31" t="s">
        <v>57</v>
      </c>
      <c r="D2190" s="31" t="s">
        <v>66</v>
      </c>
      <c r="E2190" s="31" t="s">
        <v>51</v>
      </c>
      <c r="F2190" s="31" t="s">
        <v>134</v>
      </c>
      <c r="G2190" s="31" t="n">
        <v>3</v>
      </c>
      <c r="H2190" s="41" t="n">
        <v>8.6</v>
      </c>
      <c r="I2190" s="31" t="s">
        <v>149</v>
      </c>
      <c r="J2190" s="31" t="n">
        <v>5</v>
      </c>
      <c r="K2190" s="31" t="s">
        <v>150</v>
      </c>
      <c r="L2190" s="45" t="n">
        <f aca="false">DATE(YEAR(B2190),MONTH(B2190),1)</f>
        <v>46204</v>
      </c>
      <c r="M2190" s="31" t="n">
        <f aca="false">WEEKDAY(B2190,2)</f>
        <v>5</v>
      </c>
      <c r="N2190" s="31" t="str">
        <f aca="false">IF(G2190&lt;=INDEX(Assumptions!$B$15:$B$18,MATCH(E2190,Assumptions!$A$15:$A$18,0)),"Yes","No")</f>
        <v>Yes</v>
      </c>
      <c r="O2190" s="31" t="str">
        <f aca="false">IF(H2190="","Open",IF(H2190&lt;=INDEX(Assumptions!$C$15:$C$18,MATCH(E2190,Assumptions!$A$15:$A$18,0)),"Yes","No"))</f>
        <v>Yes</v>
      </c>
    </row>
    <row r="2191" customFormat="false" ht="15" hidden="false" customHeight="false" outlineLevel="0" collapsed="false">
      <c r="A2191" s="31" t="s">
        <v>2341</v>
      </c>
      <c r="B2191" s="44" t="n">
        <v>46234</v>
      </c>
      <c r="C2191" s="31" t="s">
        <v>59</v>
      </c>
      <c r="D2191" s="31" t="s">
        <v>66</v>
      </c>
      <c r="E2191" s="31" t="s">
        <v>51</v>
      </c>
      <c r="F2191" s="31" t="s">
        <v>122</v>
      </c>
      <c r="G2191" s="31" t="n">
        <v>117</v>
      </c>
      <c r="H2191" s="41" t="n">
        <v>0.7</v>
      </c>
      <c r="I2191" s="31" t="s">
        <v>149</v>
      </c>
      <c r="J2191" s="31"/>
      <c r="K2191" s="31" t="s">
        <v>153</v>
      </c>
      <c r="L2191" s="45" t="n">
        <f aca="false">DATE(YEAR(B2191),MONTH(B2191),1)</f>
        <v>46204</v>
      </c>
      <c r="M2191" s="31" t="n">
        <f aca="false">WEEKDAY(B2191,2)</f>
        <v>5</v>
      </c>
      <c r="N2191" s="31" t="str">
        <f aca="false">IF(G2191&lt;=INDEX(Assumptions!$B$15:$B$18,MATCH(E2191,Assumptions!$A$15:$A$18,0)),"Yes","No")</f>
        <v>No</v>
      </c>
      <c r="O2191" s="31" t="str">
        <f aca="false">IF(H2191="","Open",IF(H2191&lt;=INDEX(Assumptions!$C$15:$C$18,MATCH(E2191,Assumptions!$A$15:$A$18,0)),"Yes","No"))</f>
        <v>Yes</v>
      </c>
    </row>
    <row r="2192" customFormat="false" ht="15" hidden="false" customHeight="false" outlineLevel="0" collapsed="false">
      <c r="A2192" s="31" t="s">
        <v>2342</v>
      </c>
      <c r="B2192" s="44" t="n">
        <v>46234</v>
      </c>
      <c r="C2192" s="31" t="s">
        <v>57</v>
      </c>
      <c r="D2192" s="31" t="s">
        <v>69</v>
      </c>
      <c r="E2192" s="31" t="s">
        <v>51</v>
      </c>
      <c r="F2192" s="31" t="s">
        <v>130</v>
      </c>
      <c r="G2192" s="31" t="n">
        <v>6</v>
      </c>
      <c r="H2192" s="41" t="n">
        <v>35.6</v>
      </c>
      <c r="I2192" s="31" t="s">
        <v>149</v>
      </c>
      <c r="J2192" s="31"/>
      <c r="K2192" s="31" t="s">
        <v>150</v>
      </c>
      <c r="L2192" s="45" t="n">
        <f aca="false">DATE(YEAR(B2192),MONTH(B2192),1)</f>
        <v>46204</v>
      </c>
      <c r="M2192" s="31" t="n">
        <f aca="false">WEEKDAY(B2192,2)</f>
        <v>5</v>
      </c>
      <c r="N2192" s="31" t="str">
        <f aca="false">IF(G2192&lt;=INDEX(Assumptions!$B$15:$B$18,MATCH(E2192,Assumptions!$A$15:$A$18,0)),"Yes","No")</f>
        <v>Yes</v>
      </c>
      <c r="O2192" s="31" t="str">
        <f aca="false">IF(H2192="","Open",IF(H2192&lt;=INDEX(Assumptions!$C$15:$C$18,MATCH(E2192,Assumptions!$A$15:$A$18,0)),"Yes","No"))</f>
        <v>No</v>
      </c>
    </row>
    <row r="2193" customFormat="false" ht="15" hidden="false" customHeight="false" outlineLevel="0" collapsed="false">
      <c r="A2193" s="31" t="s">
        <v>2343</v>
      </c>
      <c r="B2193" s="44" t="n">
        <v>46234</v>
      </c>
      <c r="C2193" s="31" t="s">
        <v>58</v>
      </c>
      <c r="D2193" s="31" t="s">
        <v>66</v>
      </c>
      <c r="E2193" s="31" t="s">
        <v>51</v>
      </c>
      <c r="F2193" s="31" t="s">
        <v>137</v>
      </c>
      <c r="G2193" s="31" t="n">
        <v>16</v>
      </c>
      <c r="H2193" s="41" t="n">
        <v>6.9</v>
      </c>
      <c r="I2193" s="31" t="s">
        <v>149</v>
      </c>
      <c r="J2193" s="31" t="n">
        <v>4</v>
      </c>
      <c r="K2193" s="31" t="s">
        <v>150</v>
      </c>
      <c r="L2193" s="45" t="n">
        <f aca="false">DATE(YEAR(B2193),MONTH(B2193),1)</f>
        <v>46204</v>
      </c>
      <c r="M2193" s="31" t="n">
        <f aca="false">WEEKDAY(B2193,2)</f>
        <v>5</v>
      </c>
      <c r="N2193" s="31" t="str">
        <f aca="false">IF(G2193&lt;=INDEX(Assumptions!$B$15:$B$18,MATCH(E2193,Assumptions!$A$15:$A$18,0)),"Yes","No")</f>
        <v>Yes</v>
      </c>
      <c r="O2193" s="31" t="str">
        <f aca="false">IF(H2193="","Open",IF(H2193&lt;=INDEX(Assumptions!$C$15:$C$18,MATCH(E2193,Assumptions!$A$15:$A$18,0)),"Yes","No"))</f>
        <v>Yes</v>
      </c>
    </row>
    <row r="2194" customFormat="false" ht="15" hidden="false" customHeight="false" outlineLevel="0" collapsed="false">
      <c r="A2194" s="31" t="s">
        <v>2344</v>
      </c>
      <c r="B2194" s="44" t="n">
        <v>46234</v>
      </c>
      <c r="C2194" s="31" t="s">
        <v>57</v>
      </c>
      <c r="D2194" s="31" t="s">
        <v>69</v>
      </c>
      <c r="E2194" s="31" t="s">
        <v>50</v>
      </c>
      <c r="F2194" s="31" t="s">
        <v>131</v>
      </c>
      <c r="G2194" s="31" t="n">
        <v>2</v>
      </c>
      <c r="H2194" s="41" t="n">
        <v>8.7</v>
      </c>
      <c r="I2194" s="31" t="s">
        <v>149</v>
      </c>
      <c r="J2194" s="31"/>
      <c r="K2194" s="31" t="s">
        <v>150</v>
      </c>
      <c r="L2194" s="45" t="n">
        <f aca="false">DATE(YEAR(B2194),MONTH(B2194),1)</f>
        <v>46204</v>
      </c>
      <c r="M2194" s="31" t="n">
        <f aca="false">WEEKDAY(B2194,2)</f>
        <v>5</v>
      </c>
      <c r="N2194" s="31" t="str">
        <f aca="false">IF(G2194&lt;=INDEX(Assumptions!$B$15:$B$18,MATCH(E2194,Assumptions!$A$15:$A$18,0)),"Yes","No")</f>
        <v>Yes</v>
      </c>
      <c r="O2194" s="31" t="str">
        <f aca="false">IF(H2194="","Open",IF(H2194&lt;=INDEX(Assumptions!$C$15:$C$18,MATCH(E2194,Assumptions!$A$15:$A$18,0)),"Yes","No"))</f>
        <v>No</v>
      </c>
    </row>
    <row r="2195" customFormat="false" ht="15" hidden="false" customHeight="false" outlineLevel="0" collapsed="false">
      <c r="A2195" s="31" t="s">
        <v>2345</v>
      </c>
      <c r="B2195" s="44" t="n">
        <v>46234</v>
      </c>
      <c r="C2195" s="31" t="s">
        <v>58</v>
      </c>
      <c r="D2195" s="31" t="s">
        <v>69</v>
      </c>
      <c r="E2195" s="31" t="s">
        <v>52</v>
      </c>
      <c r="F2195" s="31" t="s">
        <v>133</v>
      </c>
      <c r="G2195" s="31" t="n">
        <v>18</v>
      </c>
      <c r="H2195" s="41" t="n">
        <v>36.7</v>
      </c>
      <c r="I2195" s="31" t="s">
        <v>149</v>
      </c>
      <c r="J2195" s="31" t="n">
        <v>5</v>
      </c>
      <c r="K2195" s="31" t="s">
        <v>150</v>
      </c>
      <c r="L2195" s="45" t="n">
        <f aca="false">DATE(YEAR(B2195),MONTH(B2195),1)</f>
        <v>46204</v>
      </c>
      <c r="M2195" s="31" t="n">
        <f aca="false">WEEKDAY(B2195,2)</f>
        <v>5</v>
      </c>
      <c r="N2195" s="31" t="str">
        <f aca="false">IF(G2195&lt;=INDEX(Assumptions!$B$15:$B$18,MATCH(E2195,Assumptions!$A$15:$A$18,0)),"Yes","No")</f>
        <v>Yes</v>
      </c>
      <c r="O2195" s="31" t="str">
        <f aca="false">IF(H2195="","Open",IF(H2195&lt;=INDEX(Assumptions!$C$15:$C$18,MATCH(E2195,Assumptions!$A$15:$A$18,0)),"Yes","No"))</f>
        <v>Yes</v>
      </c>
    </row>
    <row r="2196" customFormat="false" ht="15" hidden="false" customHeight="false" outlineLevel="0" collapsed="false">
      <c r="A2196" s="31" t="s">
        <v>2346</v>
      </c>
      <c r="B2196" s="44" t="n">
        <v>46234</v>
      </c>
      <c r="C2196" s="31" t="s">
        <v>57</v>
      </c>
      <c r="D2196" s="31" t="s">
        <v>67</v>
      </c>
      <c r="E2196" s="31" t="s">
        <v>51</v>
      </c>
      <c r="F2196" s="31" t="s">
        <v>134</v>
      </c>
      <c r="G2196" s="31" t="n">
        <v>7</v>
      </c>
      <c r="H2196" s="41" t="n">
        <v>17.2</v>
      </c>
      <c r="I2196" s="31" t="s">
        <v>149</v>
      </c>
      <c r="J2196" s="31"/>
      <c r="K2196" s="31" t="s">
        <v>150</v>
      </c>
      <c r="L2196" s="45" t="n">
        <f aca="false">DATE(YEAR(B2196),MONTH(B2196),1)</f>
        <v>46204</v>
      </c>
      <c r="M2196" s="31" t="n">
        <f aca="false">WEEKDAY(B2196,2)</f>
        <v>5</v>
      </c>
      <c r="N2196" s="31" t="str">
        <f aca="false">IF(G2196&lt;=INDEX(Assumptions!$B$15:$B$18,MATCH(E2196,Assumptions!$A$15:$A$18,0)),"Yes","No")</f>
        <v>Yes</v>
      </c>
      <c r="O2196" s="31" t="str">
        <f aca="false">IF(H2196="","Open",IF(H2196&lt;=INDEX(Assumptions!$C$15:$C$18,MATCH(E2196,Assumptions!$A$15:$A$18,0)),"Yes","No"))</f>
        <v>Yes</v>
      </c>
    </row>
    <row r="2197" customFormat="false" ht="15" hidden="false" customHeight="false" outlineLevel="0" collapsed="false">
      <c r="A2197" s="31" t="s">
        <v>2347</v>
      </c>
      <c r="B2197" s="44" t="n">
        <v>46234</v>
      </c>
      <c r="C2197" s="31" t="s">
        <v>60</v>
      </c>
      <c r="D2197" s="31" t="s">
        <v>69</v>
      </c>
      <c r="E2197" s="31" t="s">
        <v>52</v>
      </c>
      <c r="F2197" s="31" t="s">
        <v>123</v>
      </c>
      <c r="G2197" s="31" t="n">
        <v>2</v>
      </c>
      <c r="H2197" s="41" t="n">
        <v>4.9</v>
      </c>
      <c r="I2197" s="31" t="s">
        <v>149</v>
      </c>
      <c r="J2197" s="31" t="n">
        <v>3</v>
      </c>
      <c r="K2197" s="31" t="s">
        <v>150</v>
      </c>
      <c r="L2197" s="45" t="n">
        <f aca="false">DATE(YEAR(B2197),MONTH(B2197),1)</f>
        <v>46204</v>
      </c>
      <c r="M2197" s="31" t="n">
        <f aca="false">WEEKDAY(B2197,2)</f>
        <v>5</v>
      </c>
      <c r="N2197" s="31" t="str">
        <f aca="false">IF(G2197&lt;=INDEX(Assumptions!$B$15:$B$18,MATCH(E2197,Assumptions!$A$15:$A$18,0)),"Yes","No")</f>
        <v>Yes</v>
      </c>
      <c r="O2197" s="31" t="str">
        <f aca="false">IF(H2197="","Open",IF(H2197&lt;=INDEX(Assumptions!$C$15:$C$18,MATCH(E2197,Assumptions!$A$15:$A$18,0)),"Yes","No"))</f>
        <v>Yes</v>
      </c>
    </row>
    <row r="2198" customFormat="false" ht="15" hidden="false" customHeight="false" outlineLevel="0" collapsed="false">
      <c r="A2198" s="31" t="s">
        <v>2348</v>
      </c>
      <c r="B2198" s="44" t="n">
        <v>46234</v>
      </c>
      <c r="C2198" s="31" t="s">
        <v>57</v>
      </c>
      <c r="D2198" s="31" t="s">
        <v>68</v>
      </c>
      <c r="E2198" s="31" t="s">
        <v>50</v>
      </c>
      <c r="F2198" s="31" t="s">
        <v>117</v>
      </c>
      <c r="G2198" s="31" t="n">
        <v>2</v>
      </c>
      <c r="H2198" s="41" t="n">
        <v>2.8</v>
      </c>
      <c r="I2198" s="31" t="s">
        <v>149</v>
      </c>
      <c r="J2198" s="31"/>
      <c r="K2198" s="31" t="s">
        <v>150</v>
      </c>
      <c r="L2198" s="45" t="n">
        <f aca="false">DATE(YEAR(B2198),MONTH(B2198),1)</f>
        <v>46204</v>
      </c>
      <c r="M2198" s="31" t="n">
        <f aca="false">WEEKDAY(B2198,2)</f>
        <v>5</v>
      </c>
      <c r="N2198" s="31" t="str">
        <f aca="false">IF(G2198&lt;=INDEX(Assumptions!$B$15:$B$18,MATCH(E2198,Assumptions!$A$15:$A$18,0)),"Yes","No")</f>
        <v>Yes</v>
      </c>
      <c r="O2198" s="31" t="str">
        <f aca="false">IF(H2198="","Open",IF(H2198&lt;=INDEX(Assumptions!$C$15:$C$18,MATCH(E2198,Assumptions!$A$15:$A$18,0)),"Yes","No"))</f>
        <v>Yes</v>
      </c>
    </row>
    <row r="2199" customFormat="false" ht="15" hidden="false" customHeight="false" outlineLevel="0" collapsed="false">
      <c r="A2199" s="31" t="s">
        <v>2349</v>
      </c>
      <c r="B2199" s="44" t="n">
        <v>46234</v>
      </c>
      <c r="C2199" s="31" t="s">
        <v>58</v>
      </c>
      <c r="D2199" s="31" t="s">
        <v>65</v>
      </c>
      <c r="E2199" s="31" t="s">
        <v>52</v>
      </c>
      <c r="F2199" s="31" t="s">
        <v>122</v>
      </c>
      <c r="G2199" s="31" t="n">
        <v>6</v>
      </c>
      <c r="H2199" s="41" t="n">
        <v>19.9</v>
      </c>
      <c r="I2199" s="31" t="s">
        <v>149</v>
      </c>
      <c r="J2199" s="31"/>
      <c r="K2199" s="31" t="s">
        <v>150</v>
      </c>
      <c r="L2199" s="45" t="n">
        <f aca="false">DATE(YEAR(B2199),MONTH(B2199),1)</f>
        <v>46204</v>
      </c>
      <c r="M2199" s="31" t="n">
        <f aca="false">WEEKDAY(B2199,2)</f>
        <v>5</v>
      </c>
      <c r="N2199" s="31" t="str">
        <f aca="false">IF(G2199&lt;=INDEX(Assumptions!$B$15:$B$18,MATCH(E2199,Assumptions!$A$15:$A$18,0)),"Yes","No")</f>
        <v>Yes</v>
      </c>
      <c r="O2199" s="31" t="str">
        <f aca="false">IF(H2199="","Open",IF(H2199&lt;=INDEX(Assumptions!$C$15:$C$18,MATCH(E2199,Assumptions!$A$15:$A$18,0)),"Yes","No"))</f>
        <v>Yes</v>
      </c>
    </row>
    <row r="2200" customFormat="false" ht="15" hidden="false" customHeight="false" outlineLevel="0" collapsed="false">
      <c r="A2200" s="31" t="s">
        <v>2350</v>
      </c>
      <c r="B2200" s="44" t="n">
        <v>46234</v>
      </c>
      <c r="C2200" s="31" t="s">
        <v>58</v>
      </c>
      <c r="D2200" s="31" t="s">
        <v>66</v>
      </c>
      <c r="E2200" s="31" t="s">
        <v>51</v>
      </c>
      <c r="F2200" s="31" t="s">
        <v>120</v>
      </c>
      <c r="G2200" s="31" t="n">
        <v>18</v>
      </c>
      <c r="H2200" s="41" t="n">
        <v>1.7</v>
      </c>
      <c r="I2200" s="31" t="s">
        <v>149</v>
      </c>
      <c r="J2200" s="31" t="n">
        <v>2</v>
      </c>
      <c r="K2200" s="31" t="s">
        <v>150</v>
      </c>
      <c r="L2200" s="45" t="n">
        <f aca="false">DATE(YEAR(B2200),MONTH(B2200),1)</f>
        <v>46204</v>
      </c>
      <c r="M2200" s="31" t="n">
        <f aca="false">WEEKDAY(B2200,2)</f>
        <v>5</v>
      </c>
      <c r="N2200" s="31" t="str">
        <f aca="false">IF(G2200&lt;=INDEX(Assumptions!$B$15:$B$18,MATCH(E2200,Assumptions!$A$15:$A$18,0)),"Yes","No")</f>
        <v>Yes</v>
      </c>
      <c r="O2200" s="31" t="str">
        <f aca="false">IF(H2200="","Open",IF(H2200&lt;=INDEX(Assumptions!$C$15:$C$18,MATCH(E2200,Assumptions!$A$15:$A$18,0)),"Yes","No"))</f>
        <v>Yes</v>
      </c>
    </row>
    <row r="2201" customFormat="false" ht="15" hidden="false" customHeight="false" outlineLevel="0" collapsed="false">
      <c r="A2201" s="31" t="s">
        <v>2351</v>
      </c>
      <c r="B2201" s="44" t="n">
        <v>46234</v>
      </c>
      <c r="C2201" s="31" t="s">
        <v>57</v>
      </c>
      <c r="D2201" s="31" t="s">
        <v>65</v>
      </c>
      <c r="E2201" s="31" t="s">
        <v>50</v>
      </c>
      <c r="F2201" s="31" t="s">
        <v>123</v>
      </c>
      <c r="G2201" s="31" t="n">
        <v>10</v>
      </c>
      <c r="H2201" s="41" t="n">
        <v>1.6</v>
      </c>
      <c r="I2201" s="31" t="s">
        <v>149</v>
      </c>
      <c r="J2201" s="31" t="n">
        <v>4</v>
      </c>
      <c r="K2201" s="31" t="s">
        <v>153</v>
      </c>
      <c r="L2201" s="45" t="n">
        <f aca="false">DATE(YEAR(B2201),MONTH(B2201),1)</f>
        <v>46204</v>
      </c>
      <c r="M2201" s="31" t="n">
        <f aca="false">WEEKDAY(B2201,2)</f>
        <v>5</v>
      </c>
      <c r="N2201" s="31" t="str">
        <f aca="false">IF(G2201&lt;=INDEX(Assumptions!$B$15:$B$18,MATCH(E2201,Assumptions!$A$15:$A$18,0)),"Yes","No")</f>
        <v>Yes</v>
      </c>
      <c r="O2201" s="31" t="str">
        <f aca="false">IF(H2201="","Open",IF(H2201&lt;=INDEX(Assumptions!$C$15:$C$18,MATCH(E2201,Assumptions!$A$15:$A$18,0)),"Yes","No"))</f>
        <v>Yes</v>
      </c>
    </row>
    <row r="2202" customFormat="false" ht="15" hidden="false" customHeight="false" outlineLevel="0" collapsed="false">
      <c r="A2202" s="31" t="s">
        <v>2352</v>
      </c>
      <c r="B2202" s="44" t="n">
        <v>46234</v>
      </c>
      <c r="C2202" s="31" t="s">
        <v>58</v>
      </c>
      <c r="D2202" s="31" t="s">
        <v>69</v>
      </c>
      <c r="E2202" s="31" t="s">
        <v>51</v>
      </c>
      <c r="F2202" s="31" t="s">
        <v>124</v>
      </c>
      <c r="G2202" s="31" t="n">
        <v>9</v>
      </c>
      <c r="H2202" s="41"/>
      <c r="I2202" s="31" t="s">
        <v>158</v>
      </c>
      <c r="J2202" s="31"/>
      <c r="K2202" s="31" t="s">
        <v>150</v>
      </c>
      <c r="L2202" s="45" t="n">
        <f aca="false">DATE(YEAR(B2202),MONTH(B2202),1)</f>
        <v>46204</v>
      </c>
      <c r="M2202" s="31" t="n">
        <f aca="false">WEEKDAY(B2202,2)</f>
        <v>5</v>
      </c>
      <c r="N2202" s="31" t="str">
        <f aca="false">IF(G2202&lt;=INDEX(Assumptions!$B$15:$B$18,MATCH(E2202,Assumptions!$A$15:$A$18,0)),"Yes","No")</f>
        <v>Yes</v>
      </c>
      <c r="O2202" s="31" t="str">
        <f aca="false">IF(H2202="","Open",IF(H2202&lt;=INDEX(Assumptions!$C$15:$C$18,MATCH(E2202,Assumptions!$A$15:$A$18,0)),"Yes","No"))</f>
        <v>Open</v>
      </c>
    </row>
    <row r="2203" customFormat="false" ht="15" hidden="false" customHeight="false" outlineLevel="0" collapsed="false">
      <c r="A2203" s="31" t="s">
        <v>2353</v>
      </c>
      <c r="B2203" s="44" t="n">
        <v>46234</v>
      </c>
      <c r="C2203" s="31" t="s">
        <v>60</v>
      </c>
      <c r="D2203" s="31" t="s">
        <v>69</v>
      </c>
      <c r="E2203" s="31" t="s">
        <v>51</v>
      </c>
      <c r="F2203" s="31" t="s">
        <v>121</v>
      </c>
      <c r="G2203" s="31" t="n">
        <v>2</v>
      </c>
      <c r="H2203" s="41" t="n">
        <v>35.6</v>
      </c>
      <c r="I2203" s="31" t="s">
        <v>149</v>
      </c>
      <c r="J2203" s="31" t="n">
        <v>4</v>
      </c>
      <c r="K2203" s="31" t="s">
        <v>150</v>
      </c>
      <c r="L2203" s="45" t="n">
        <f aca="false">DATE(YEAR(B2203),MONTH(B2203),1)</f>
        <v>46204</v>
      </c>
      <c r="M2203" s="31" t="n">
        <f aca="false">WEEKDAY(B2203,2)</f>
        <v>5</v>
      </c>
      <c r="N2203" s="31" t="str">
        <f aca="false">IF(G2203&lt;=INDEX(Assumptions!$B$15:$B$18,MATCH(E2203,Assumptions!$A$15:$A$18,0)),"Yes","No")</f>
        <v>Yes</v>
      </c>
      <c r="O2203" s="31" t="str">
        <f aca="false">IF(H2203="","Open",IF(H2203&lt;=INDEX(Assumptions!$C$15:$C$18,MATCH(E2203,Assumptions!$A$15:$A$18,0)),"Yes","No"))</f>
        <v>No</v>
      </c>
    </row>
    <row r="2204" customFormat="false" ht="15" hidden="false" customHeight="false" outlineLevel="0" collapsed="false">
      <c r="A2204" s="31" t="s">
        <v>2354</v>
      </c>
      <c r="B2204" s="44" t="n">
        <v>46234</v>
      </c>
      <c r="C2204" s="31" t="s">
        <v>58</v>
      </c>
      <c r="D2204" s="31" t="s">
        <v>66</v>
      </c>
      <c r="E2204" s="31" t="s">
        <v>50</v>
      </c>
      <c r="F2204" s="31" t="s">
        <v>123</v>
      </c>
      <c r="G2204" s="31" t="n">
        <v>9</v>
      </c>
      <c r="H2204" s="41" t="n">
        <v>10.5</v>
      </c>
      <c r="I2204" s="31" t="s">
        <v>149</v>
      </c>
      <c r="J2204" s="31" t="n">
        <v>3</v>
      </c>
      <c r="K2204" s="31" t="s">
        <v>150</v>
      </c>
      <c r="L2204" s="45" t="n">
        <f aca="false">DATE(YEAR(B2204),MONTH(B2204),1)</f>
        <v>46204</v>
      </c>
      <c r="M2204" s="31" t="n">
        <f aca="false">WEEKDAY(B2204,2)</f>
        <v>5</v>
      </c>
      <c r="N2204" s="31" t="str">
        <f aca="false">IF(G2204&lt;=INDEX(Assumptions!$B$15:$B$18,MATCH(E2204,Assumptions!$A$15:$A$18,0)),"Yes","No")</f>
        <v>Yes</v>
      </c>
      <c r="O2204" s="31" t="str">
        <f aca="false">IF(H2204="","Open",IF(H2204&lt;=INDEX(Assumptions!$C$15:$C$18,MATCH(E2204,Assumptions!$A$15:$A$18,0)),"Yes","No"))</f>
        <v>No</v>
      </c>
    </row>
    <row r="2205" customFormat="false" ht="15" hidden="false" customHeight="false" outlineLevel="0" collapsed="false">
      <c r="A2205" s="31" t="s">
        <v>2355</v>
      </c>
      <c r="B2205" s="44" t="n">
        <v>46234</v>
      </c>
      <c r="C2205" s="31" t="s">
        <v>59</v>
      </c>
      <c r="D2205" s="31" t="s">
        <v>69</v>
      </c>
      <c r="E2205" s="31" t="s">
        <v>50</v>
      </c>
      <c r="F2205" s="31" t="s">
        <v>137</v>
      </c>
      <c r="G2205" s="31" t="n">
        <v>37</v>
      </c>
      <c r="H2205" s="41" t="n">
        <v>42.2</v>
      </c>
      <c r="I2205" s="31" t="s">
        <v>149</v>
      </c>
      <c r="J2205" s="31" t="n">
        <v>3</v>
      </c>
      <c r="K2205" s="31" t="s">
        <v>150</v>
      </c>
      <c r="L2205" s="45" t="n">
        <f aca="false">DATE(YEAR(B2205),MONTH(B2205),1)</f>
        <v>46204</v>
      </c>
      <c r="M2205" s="31" t="n">
        <f aca="false">WEEKDAY(B2205,2)</f>
        <v>5</v>
      </c>
      <c r="N2205" s="31" t="str">
        <f aca="false">IF(G2205&lt;=INDEX(Assumptions!$B$15:$B$18,MATCH(E2205,Assumptions!$A$15:$A$18,0)),"Yes","No")</f>
        <v>No</v>
      </c>
      <c r="O2205" s="31" t="str">
        <f aca="false">IF(H2205="","Open",IF(H2205&lt;=INDEX(Assumptions!$C$15:$C$18,MATCH(E2205,Assumptions!$A$15:$A$18,0)),"Yes","No"))</f>
        <v>No</v>
      </c>
    </row>
    <row r="2206" customFormat="false" ht="15" hidden="false" customHeight="false" outlineLevel="0" collapsed="false">
      <c r="A2206" s="31" t="s">
        <v>2356</v>
      </c>
      <c r="B2206" s="44" t="n">
        <v>46234</v>
      </c>
      <c r="C2206" s="31" t="s">
        <v>58</v>
      </c>
      <c r="D2206" s="31" t="s">
        <v>65</v>
      </c>
      <c r="E2206" s="31" t="s">
        <v>51</v>
      </c>
      <c r="F2206" s="31" t="s">
        <v>135</v>
      </c>
      <c r="G2206" s="31" t="n">
        <v>7</v>
      </c>
      <c r="H2206" s="41" t="n">
        <v>25.7</v>
      </c>
      <c r="I2206" s="31" t="s">
        <v>149</v>
      </c>
      <c r="J2206" s="31"/>
      <c r="K2206" s="31" t="s">
        <v>150</v>
      </c>
      <c r="L2206" s="45" t="n">
        <f aca="false">DATE(YEAR(B2206),MONTH(B2206),1)</f>
        <v>46204</v>
      </c>
      <c r="M2206" s="31" t="n">
        <f aca="false">WEEKDAY(B2206,2)</f>
        <v>5</v>
      </c>
      <c r="N2206" s="31" t="str">
        <f aca="false">IF(G2206&lt;=INDEX(Assumptions!$B$15:$B$18,MATCH(E2206,Assumptions!$A$15:$A$18,0)),"Yes","No")</f>
        <v>Yes</v>
      </c>
      <c r="O2206" s="31" t="str">
        <f aca="false">IF(H2206="","Open",IF(H2206&lt;=INDEX(Assumptions!$C$15:$C$18,MATCH(E2206,Assumptions!$A$15:$A$18,0)),"Yes","No"))</f>
        <v>No</v>
      </c>
    </row>
    <row r="2207" customFormat="false" ht="15" hidden="false" customHeight="false" outlineLevel="0" collapsed="false">
      <c r="A2207" s="31" t="s">
        <v>2357</v>
      </c>
      <c r="B2207" s="44" t="n">
        <v>46234</v>
      </c>
      <c r="C2207" s="31" t="s">
        <v>60</v>
      </c>
      <c r="D2207" s="31" t="s">
        <v>66</v>
      </c>
      <c r="E2207" s="31" t="s">
        <v>50</v>
      </c>
      <c r="F2207" s="31" t="s">
        <v>136</v>
      </c>
      <c r="G2207" s="31" t="n">
        <v>1</v>
      </c>
      <c r="H2207" s="41" t="n">
        <v>1.2</v>
      </c>
      <c r="I2207" s="31" t="s">
        <v>149</v>
      </c>
      <c r="J2207" s="31"/>
      <c r="K2207" s="31" t="s">
        <v>150</v>
      </c>
      <c r="L2207" s="45" t="n">
        <f aca="false">DATE(YEAR(B2207),MONTH(B2207),1)</f>
        <v>46204</v>
      </c>
      <c r="M2207" s="31" t="n">
        <f aca="false">WEEKDAY(B2207,2)</f>
        <v>5</v>
      </c>
      <c r="N2207" s="31" t="str">
        <f aca="false">IF(G2207&lt;=INDEX(Assumptions!$B$15:$B$18,MATCH(E2207,Assumptions!$A$15:$A$18,0)),"Yes","No")</f>
        <v>Yes</v>
      </c>
      <c r="O2207" s="31" t="str">
        <f aca="false">IF(H2207="","Open",IF(H2207&lt;=INDEX(Assumptions!$C$15:$C$18,MATCH(E2207,Assumptions!$A$15:$A$18,0)),"Yes","No"))</f>
        <v>Yes</v>
      </c>
    </row>
    <row r="2208" customFormat="false" ht="15" hidden="false" customHeight="false" outlineLevel="0" collapsed="false">
      <c r="A2208" s="31" t="s">
        <v>2358</v>
      </c>
      <c r="B2208" s="44" t="n">
        <v>46234</v>
      </c>
      <c r="C2208" s="31" t="s">
        <v>60</v>
      </c>
      <c r="D2208" s="31" t="s">
        <v>66</v>
      </c>
      <c r="E2208" s="31" t="s">
        <v>51</v>
      </c>
      <c r="F2208" s="31" t="s">
        <v>137</v>
      </c>
      <c r="G2208" s="31" t="n">
        <v>1</v>
      </c>
      <c r="H2208" s="41" t="n">
        <v>3.3</v>
      </c>
      <c r="I2208" s="31" t="s">
        <v>149</v>
      </c>
      <c r="J2208" s="31"/>
      <c r="K2208" s="31" t="s">
        <v>150</v>
      </c>
      <c r="L2208" s="45" t="n">
        <f aca="false">DATE(YEAR(B2208),MONTH(B2208),1)</f>
        <v>46204</v>
      </c>
      <c r="M2208" s="31" t="n">
        <f aca="false">WEEKDAY(B2208,2)</f>
        <v>5</v>
      </c>
      <c r="N2208" s="31" t="str">
        <f aca="false">IF(G2208&lt;=INDEX(Assumptions!$B$15:$B$18,MATCH(E2208,Assumptions!$A$15:$A$18,0)),"Yes","No")</f>
        <v>Yes</v>
      </c>
      <c r="O2208" s="31" t="str">
        <f aca="false">IF(H2208="","Open",IF(H2208&lt;=INDEX(Assumptions!$C$15:$C$18,MATCH(E2208,Assumptions!$A$15:$A$18,0)),"Yes","No"))</f>
        <v>Yes</v>
      </c>
    </row>
    <row r="2209" customFormat="false" ht="15" hidden="false" customHeight="false" outlineLevel="0" collapsed="false">
      <c r="A2209" s="31" t="s">
        <v>2359</v>
      </c>
      <c r="B2209" s="44" t="n">
        <v>46234</v>
      </c>
      <c r="C2209" s="31" t="s">
        <v>59</v>
      </c>
      <c r="D2209" s="31" t="s">
        <v>68</v>
      </c>
      <c r="E2209" s="31" t="s">
        <v>52</v>
      </c>
      <c r="F2209" s="31" t="s">
        <v>122</v>
      </c>
      <c r="G2209" s="31" t="n">
        <v>242</v>
      </c>
      <c r="H2209" s="41" t="n">
        <v>3.1</v>
      </c>
      <c r="I2209" s="31" t="s">
        <v>149</v>
      </c>
      <c r="J2209" s="31" t="n">
        <v>4</v>
      </c>
      <c r="K2209" s="31" t="s">
        <v>150</v>
      </c>
      <c r="L2209" s="45" t="n">
        <f aca="false">DATE(YEAR(B2209),MONTH(B2209),1)</f>
        <v>46204</v>
      </c>
      <c r="M2209" s="31" t="n">
        <f aca="false">WEEKDAY(B2209,2)</f>
        <v>5</v>
      </c>
      <c r="N2209" s="31" t="str">
        <f aca="false">IF(G2209&lt;=INDEX(Assumptions!$B$15:$B$18,MATCH(E2209,Assumptions!$A$15:$A$18,0)),"Yes","No")</f>
        <v>No</v>
      </c>
      <c r="O2209" s="31" t="str">
        <f aca="false">IF(H2209="","Open",IF(H2209&lt;=INDEX(Assumptions!$C$15:$C$18,MATCH(E2209,Assumptions!$A$15:$A$18,0)),"Yes","No"))</f>
        <v>Yes</v>
      </c>
    </row>
    <row r="2210" customFormat="false" ht="15" hidden="false" customHeight="false" outlineLevel="0" collapsed="false">
      <c r="A2210" s="31" t="s">
        <v>2360</v>
      </c>
      <c r="B2210" s="44" t="n">
        <v>46234</v>
      </c>
      <c r="C2210" s="31" t="s">
        <v>57</v>
      </c>
      <c r="D2210" s="31" t="s">
        <v>66</v>
      </c>
      <c r="E2210" s="31" t="s">
        <v>52</v>
      </c>
      <c r="F2210" s="31" t="s">
        <v>130</v>
      </c>
      <c r="G2210" s="31" t="n">
        <v>3</v>
      </c>
      <c r="H2210" s="41" t="n">
        <v>3.2</v>
      </c>
      <c r="I2210" s="31" t="s">
        <v>149</v>
      </c>
      <c r="J2210" s="31" t="n">
        <v>5</v>
      </c>
      <c r="K2210" s="31" t="s">
        <v>150</v>
      </c>
      <c r="L2210" s="45" t="n">
        <f aca="false">DATE(YEAR(B2210),MONTH(B2210),1)</f>
        <v>46204</v>
      </c>
      <c r="M2210" s="31" t="n">
        <f aca="false">WEEKDAY(B2210,2)</f>
        <v>5</v>
      </c>
      <c r="N2210" s="31" t="str">
        <f aca="false">IF(G2210&lt;=INDEX(Assumptions!$B$15:$B$18,MATCH(E2210,Assumptions!$A$15:$A$18,0)),"Yes","No")</f>
        <v>Yes</v>
      </c>
      <c r="O2210" s="31" t="str">
        <f aca="false">IF(H2210="","Open",IF(H2210&lt;=INDEX(Assumptions!$C$15:$C$18,MATCH(E2210,Assumptions!$A$15:$A$18,0)),"Yes","No"))</f>
        <v>Yes</v>
      </c>
    </row>
    <row r="2211" customFormat="false" ht="15" hidden="false" customHeight="false" outlineLevel="0" collapsed="false">
      <c r="A2211" s="31" t="s">
        <v>2361</v>
      </c>
      <c r="B2211" s="44" t="n">
        <v>46234</v>
      </c>
      <c r="C2211" s="31" t="s">
        <v>57</v>
      </c>
      <c r="D2211" s="31" t="s">
        <v>68</v>
      </c>
      <c r="E2211" s="31" t="s">
        <v>51</v>
      </c>
      <c r="F2211" s="31" t="s">
        <v>122</v>
      </c>
      <c r="G2211" s="31" t="n">
        <v>9</v>
      </c>
      <c r="H2211" s="41" t="n">
        <v>4.2</v>
      </c>
      <c r="I2211" s="31" t="s">
        <v>149</v>
      </c>
      <c r="J2211" s="31"/>
      <c r="K2211" s="31" t="s">
        <v>150</v>
      </c>
      <c r="L2211" s="45" t="n">
        <f aca="false">DATE(YEAR(B2211),MONTH(B2211),1)</f>
        <v>46204</v>
      </c>
      <c r="M2211" s="31" t="n">
        <f aca="false">WEEKDAY(B2211,2)</f>
        <v>5</v>
      </c>
      <c r="N2211" s="31" t="str">
        <f aca="false">IF(G2211&lt;=INDEX(Assumptions!$B$15:$B$18,MATCH(E2211,Assumptions!$A$15:$A$18,0)),"Yes","No")</f>
        <v>Yes</v>
      </c>
      <c r="O2211" s="31" t="str">
        <f aca="false">IF(H2211="","Open",IF(H2211&lt;=INDEX(Assumptions!$C$15:$C$18,MATCH(E2211,Assumptions!$A$15:$A$18,0)),"Yes","No"))</f>
        <v>Yes</v>
      </c>
    </row>
    <row r="2212" customFormat="false" ht="15" hidden="false" customHeight="false" outlineLevel="0" collapsed="false">
      <c r="A2212" s="31" t="s">
        <v>2362</v>
      </c>
      <c r="B2212" s="44" t="n">
        <v>46234</v>
      </c>
      <c r="C2212" s="31" t="s">
        <v>57</v>
      </c>
      <c r="D2212" s="31" t="s">
        <v>67</v>
      </c>
      <c r="E2212" s="31" t="s">
        <v>51</v>
      </c>
      <c r="F2212" s="31" t="s">
        <v>124</v>
      </c>
      <c r="G2212" s="31" t="n">
        <v>2</v>
      </c>
      <c r="H2212" s="41" t="n">
        <v>4.8</v>
      </c>
      <c r="I2212" s="31" t="s">
        <v>149</v>
      </c>
      <c r="J2212" s="31"/>
      <c r="K2212" s="31" t="s">
        <v>150</v>
      </c>
      <c r="L2212" s="45" t="n">
        <f aca="false">DATE(YEAR(B2212),MONTH(B2212),1)</f>
        <v>46204</v>
      </c>
      <c r="M2212" s="31" t="n">
        <f aca="false">WEEKDAY(B2212,2)</f>
        <v>5</v>
      </c>
      <c r="N2212" s="31" t="str">
        <f aca="false">IF(G2212&lt;=INDEX(Assumptions!$B$15:$B$18,MATCH(E2212,Assumptions!$A$15:$A$18,0)),"Yes","No")</f>
        <v>Yes</v>
      </c>
      <c r="O2212" s="31" t="str">
        <f aca="false">IF(H2212="","Open",IF(H2212&lt;=INDEX(Assumptions!$C$15:$C$18,MATCH(E2212,Assumptions!$A$15:$A$18,0)),"Yes","No"))</f>
        <v>Yes</v>
      </c>
    </row>
    <row r="2213" customFormat="false" ht="15" hidden="false" customHeight="false" outlineLevel="0" collapsed="false">
      <c r="A2213" s="31" t="s">
        <v>2363</v>
      </c>
      <c r="B2213" s="44" t="n">
        <v>46234</v>
      </c>
      <c r="C2213" s="31" t="s">
        <v>58</v>
      </c>
      <c r="D2213" s="31" t="s">
        <v>67</v>
      </c>
      <c r="E2213" s="31" t="s">
        <v>52</v>
      </c>
      <c r="F2213" s="31" t="s">
        <v>127</v>
      </c>
      <c r="G2213" s="31" t="n">
        <v>23</v>
      </c>
      <c r="H2213" s="41" t="n">
        <v>12.9</v>
      </c>
      <c r="I2213" s="31" t="s">
        <v>149</v>
      </c>
      <c r="J2213" s="31" t="n">
        <v>3</v>
      </c>
      <c r="K2213" s="31" t="s">
        <v>150</v>
      </c>
      <c r="L2213" s="45" t="n">
        <f aca="false">DATE(YEAR(B2213),MONTH(B2213),1)</f>
        <v>46204</v>
      </c>
      <c r="M2213" s="31" t="n">
        <f aca="false">WEEKDAY(B2213,2)</f>
        <v>5</v>
      </c>
      <c r="N2213" s="31" t="str">
        <f aca="false">IF(G2213&lt;=INDEX(Assumptions!$B$15:$B$18,MATCH(E2213,Assumptions!$A$15:$A$18,0)),"Yes","No")</f>
        <v>Yes</v>
      </c>
      <c r="O2213" s="31" t="str">
        <f aca="false">IF(H2213="","Open",IF(H2213&lt;=INDEX(Assumptions!$C$15:$C$18,MATCH(E2213,Assumptions!$A$15:$A$18,0)),"Yes","No"))</f>
        <v>Yes</v>
      </c>
    </row>
    <row r="2214" customFormat="false" ht="15" hidden="false" customHeight="false" outlineLevel="0" collapsed="false">
      <c r="A2214" s="31" t="s">
        <v>2364</v>
      </c>
      <c r="B2214" s="44" t="n">
        <v>46234</v>
      </c>
      <c r="C2214" s="31" t="s">
        <v>57</v>
      </c>
      <c r="D2214" s="31" t="s">
        <v>65</v>
      </c>
      <c r="E2214" s="31" t="s">
        <v>52</v>
      </c>
      <c r="F2214" s="31" t="s">
        <v>134</v>
      </c>
      <c r="G2214" s="31" t="n">
        <v>6</v>
      </c>
      <c r="H2214" s="41" t="n">
        <v>15.6</v>
      </c>
      <c r="I2214" s="31" t="s">
        <v>149</v>
      </c>
      <c r="J2214" s="31"/>
      <c r="K2214" s="31" t="s">
        <v>153</v>
      </c>
      <c r="L2214" s="45" t="n">
        <f aca="false">DATE(YEAR(B2214),MONTH(B2214),1)</f>
        <v>46204</v>
      </c>
      <c r="M2214" s="31" t="n">
        <f aca="false">WEEKDAY(B2214,2)</f>
        <v>5</v>
      </c>
      <c r="N2214" s="31" t="str">
        <f aca="false">IF(G2214&lt;=INDEX(Assumptions!$B$15:$B$18,MATCH(E2214,Assumptions!$A$15:$A$18,0)),"Yes","No")</f>
        <v>Yes</v>
      </c>
      <c r="O2214" s="31" t="str">
        <f aca="false">IF(H2214="","Open",IF(H2214&lt;=INDEX(Assumptions!$C$15:$C$18,MATCH(E2214,Assumptions!$A$15:$A$18,0)),"Yes","No"))</f>
        <v>Yes</v>
      </c>
    </row>
    <row r="2215" customFormat="false" ht="15" hidden="false" customHeight="false" outlineLevel="0" collapsed="false">
      <c r="A2215" s="31" t="s">
        <v>2365</v>
      </c>
      <c r="B2215" s="44" t="n">
        <v>46234</v>
      </c>
      <c r="C2215" s="31" t="s">
        <v>60</v>
      </c>
      <c r="D2215" s="31" t="s">
        <v>65</v>
      </c>
      <c r="E2215" s="31" t="s">
        <v>51</v>
      </c>
      <c r="F2215" s="31" t="s">
        <v>134</v>
      </c>
      <c r="G2215" s="31" t="n">
        <v>2</v>
      </c>
      <c r="H2215" s="41" t="n">
        <v>5.9</v>
      </c>
      <c r="I2215" s="31" t="s">
        <v>149</v>
      </c>
      <c r="J2215" s="31"/>
      <c r="K2215" s="31" t="s">
        <v>150</v>
      </c>
      <c r="L2215" s="45" t="n">
        <f aca="false">DATE(YEAR(B2215),MONTH(B2215),1)</f>
        <v>46204</v>
      </c>
      <c r="M2215" s="31" t="n">
        <f aca="false">WEEKDAY(B2215,2)</f>
        <v>5</v>
      </c>
      <c r="N2215" s="31" t="str">
        <f aca="false">IF(G2215&lt;=INDEX(Assumptions!$B$15:$B$18,MATCH(E2215,Assumptions!$A$15:$A$18,0)),"Yes","No")</f>
        <v>Yes</v>
      </c>
      <c r="O2215" s="31" t="str">
        <f aca="false">IF(H2215="","Open",IF(H2215&lt;=INDEX(Assumptions!$C$15:$C$18,MATCH(E2215,Assumptions!$A$15:$A$18,0)),"Yes","No"))</f>
        <v>Yes</v>
      </c>
    </row>
    <row r="2216" customFormat="false" ht="15" hidden="false" customHeight="false" outlineLevel="0" collapsed="false">
      <c r="A2216" s="31" t="s">
        <v>2366</v>
      </c>
      <c r="B2216" s="44" t="n">
        <v>46234</v>
      </c>
      <c r="C2216" s="31" t="s">
        <v>60</v>
      </c>
      <c r="D2216" s="31" t="s">
        <v>68</v>
      </c>
      <c r="E2216" s="31" t="s">
        <v>51</v>
      </c>
      <c r="F2216" s="31" t="s">
        <v>130</v>
      </c>
      <c r="G2216" s="31" t="n">
        <v>2</v>
      </c>
      <c r="H2216" s="41" t="n">
        <v>4.1</v>
      </c>
      <c r="I2216" s="31" t="s">
        <v>149</v>
      </c>
      <c r="J2216" s="31" t="n">
        <v>4</v>
      </c>
      <c r="K2216" s="31" t="s">
        <v>150</v>
      </c>
      <c r="L2216" s="45" t="n">
        <f aca="false">DATE(YEAR(B2216),MONTH(B2216),1)</f>
        <v>46204</v>
      </c>
      <c r="M2216" s="31" t="n">
        <f aca="false">WEEKDAY(B2216,2)</f>
        <v>5</v>
      </c>
      <c r="N2216" s="31" t="str">
        <f aca="false">IF(G2216&lt;=INDEX(Assumptions!$B$15:$B$18,MATCH(E2216,Assumptions!$A$15:$A$18,0)),"Yes","No")</f>
        <v>Yes</v>
      </c>
      <c r="O2216" s="31" t="str">
        <f aca="false">IF(H2216="","Open",IF(H2216&lt;=INDEX(Assumptions!$C$15:$C$18,MATCH(E2216,Assumptions!$A$15:$A$18,0)),"Yes","No"))</f>
        <v>Yes</v>
      </c>
    </row>
    <row r="2217" customFormat="false" ht="15" hidden="false" customHeight="false" outlineLevel="0" collapsed="false">
      <c r="A2217" s="31" t="s">
        <v>2367</v>
      </c>
      <c r="B2217" s="44" t="n">
        <v>46234</v>
      </c>
      <c r="C2217" s="31" t="s">
        <v>57</v>
      </c>
      <c r="D2217" s="31" t="s">
        <v>69</v>
      </c>
      <c r="E2217" s="31" t="s">
        <v>50</v>
      </c>
      <c r="F2217" s="31" t="s">
        <v>133</v>
      </c>
      <c r="G2217" s="31" t="n">
        <v>4</v>
      </c>
      <c r="H2217" s="41" t="n">
        <v>9.3</v>
      </c>
      <c r="I2217" s="31" t="s">
        <v>149</v>
      </c>
      <c r="J2217" s="31"/>
      <c r="K2217" s="31" t="s">
        <v>150</v>
      </c>
      <c r="L2217" s="45" t="n">
        <f aca="false">DATE(YEAR(B2217),MONTH(B2217),1)</f>
        <v>46204</v>
      </c>
      <c r="M2217" s="31" t="n">
        <f aca="false">WEEKDAY(B2217,2)</f>
        <v>5</v>
      </c>
      <c r="N2217" s="31" t="str">
        <f aca="false">IF(G2217&lt;=INDEX(Assumptions!$B$15:$B$18,MATCH(E2217,Assumptions!$A$15:$A$18,0)),"Yes","No")</f>
        <v>Yes</v>
      </c>
      <c r="O2217" s="31" t="str">
        <f aca="false">IF(H2217="","Open",IF(H2217&lt;=INDEX(Assumptions!$C$15:$C$18,MATCH(E2217,Assumptions!$A$15:$A$18,0)),"Yes","No"))</f>
        <v>No</v>
      </c>
    </row>
    <row r="2218" customFormat="false" ht="15" hidden="false" customHeight="false" outlineLevel="0" collapsed="false">
      <c r="A2218" s="31" t="s">
        <v>2368</v>
      </c>
      <c r="B2218" s="44" t="n">
        <v>46234</v>
      </c>
      <c r="C2218" s="31" t="s">
        <v>60</v>
      </c>
      <c r="D2218" s="31" t="s">
        <v>67</v>
      </c>
      <c r="E2218" s="31" t="s">
        <v>52</v>
      </c>
      <c r="F2218" s="31" t="s">
        <v>121</v>
      </c>
      <c r="G2218" s="31" t="n">
        <v>7</v>
      </c>
      <c r="H2218" s="41" t="n">
        <v>18.7</v>
      </c>
      <c r="I2218" s="31" t="s">
        <v>149</v>
      </c>
      <c r="J2218" s="31"/>
      <c r="K2218" s="31" t="s">
        <v>153</v>
      </c>
      <c r="L2218" s="45" t="n">
        <f aca="false">DATE(YEAR(B2218),MONTH(B2218),1)</f>
        <v>46204</v>
      </c>
      <c r="M2218" s="31" t="n">
        <f aca="false">WEEKDAY(B2218,2)</f>
        <v>5</v>
      </c>
      <c r="N2218" s="31" t="str">
        <f aca="false">IF(G2218&lt;=INDEX(Assumptions!$B$15:$B$18,MATCH(E2218,Assumptions!$A$15:$A$18,0)),"Yes","No")</f>
        <v>Yes</v>
      </c>
      <c r="O2218" s="31" t="str">
        <f aca="false">IF(H2218="","Open",IF(H2218&lt;=INDEX(Assumptions!$C$15:$C$18,MATCH(E2218,Assumptions!$A$15:$A$18,0)),"Yes","No"))</f>
        <v>Yes</v>
      </c>
    </row>
    <row r="2219" customFormat="false" ht="15" hidden="false" customHeight="false" outlineLevel="0" collapsed="false">
      <c r="A2219" s="31" t="s">
        <v>2369</v>
      </c>
      <c r="B2219" s="44" t="n">
        <v>46234</v>
      </c>
      <c r="C2219" s="31" t="s">
        <v>60</v>
      </c>
      <c r="D2219" s="31" t="s">
        <v>65</v>
      </c>
      <c r="E2219" s="31" t="s">
        <v>51</v>
      </c>
      <c r="F2219" s="31" t="s">
        <v>137</v>
      </c>
      <c r="G2219" s="31" t="n">
        <v>3</v>
      </c>
      <c r="H2219" s="41" t="n">
        <v>7.2</v>
      </c>
      <c r="I2219" s="31" t="s">
        <v>149</v>
      </c>
      <c r="J2219" s="31" t="n">
        <v>5</v>
      </c>
      <c r="K2219" s="31" t="s">
        <v>150</v>
      </c>
      <c r="L2219" s="45" t="n">
        <f aca="false">DATE(YEAR(B2219),MONTH(B2219),1)</f>
        <v>46204</v>
      </c>
      <c r="M2219" s="31" t="n">
        <f aca="false">WEEKDAY(B2219,2)</f>
        <v>5</v>
      </c>
      <c r="N2219" s="31" t="str">
        <f aca="false">IF(G2219&lt;=INDEX(Assumptions!$B$15:$B$18,MATCH(E2219,Assumptions!$A$15:$A$18,0)),"Yes","No")</f>
        <v>Yes</v>
      </c>
      <c r="O2219" s="31" t="str">
        <f aca="false">IF(H2219="","Open",IF(H2219&lt;=INDEX(Assumptions!$C$15:$C$18,MATCH(E2219,Assumptions!$A$15:$A$18,0)),"Yes","No"))</f>
        <v>Yes</v>
      </c>
    </row>
    <row r="2220" customFormat="false" ht="15" hidden="false" customHeight="false" outlineLevel="0" collapsed="false">
      <c r="A2220" s="31" t="s">
        <v>2370</v>
      </c>
      <c r="B2220" s="44" t="n">
        <v>46234</v>
      </c>
      <c r="C2220" s="31" t="s">
        <v>60</v>
      </c>
      <c r="D2220" s="31" t="s">
        <v>67</v>
      </c>
      <c r="E2220" s="31" t="s">
        <v>49</v>
      </c>
      <c r="F2220" s="31" t="s">
        <v>124</v>
      </c>
      <c r="G2220" s="31" t="n">
        <v>1</v>
      </c>
      <c r="H2220" s="41" t="n">
        <v>27.1</v>
      </c>
      <c r="I2220" s="31" t="s">
        <v>149</v>
      </c>
      <c r="J2220" s="31" t="n">
        <v>3</v>
      </c>
      <c r="K2220" s="31" t="s">
        <v>150</v>
      </c>
      <c r="L2220" s="45" t="n">
        <f aca="false">DATE(YEAR(B2220),MONTH(B2220),1)</f>
        <v>46204</v>
      </c>
      <c r="M2220" s="31" t="n">
        <f aca="false">WEEKDAY(B2220,2)</f>
        <v>5</v>
      </c>
      <c r="N2220" s="31" t="str">
        <f aca="false">IF(G2220&lt;=INDEX(Assumptions!$B$15:$B$18,MATCH(E2220,Assumptions!$A$15:$A$18,0)),"Yes","No")</f>
        <v>Yes</v>
      </c>
      <c r="O2220" s="31" t="str">
        <f aca="false">IF(H2220="","Open",IF(H2220&lt;=INDEX(Assumptions!$C$15:$C$18,MATCH(E2220,Assumptions!$A$15:$A$18,0)),"Yes","No"))</f>
        <v>No</v>
      </c>
    </row>
    <row r="2221" customFormat="false" ht="15" hidden="false" customHeight="false" outlineLevel="0" collapsed="false">
      <c r="A2221" s="31" t="s">
        <v>2371</v>
      </c>
      <c r="B2221" s="44" t="n">
        <v>46234</v>
      </c>
      <c r="C2221" s="31" t="s">
        <v>58</v>
      </c>
      <c r="D2221" s="31" t="s">
        <v>66</v>
      </c>
      <c r="E2221" s="31" t="s">
        <v>51</v>
      </c>
      <c r="F2221" s="31" t="s">
        <v>131</v>
      </c>
      <c r="G2221" s="31" t="n">
        <v>1</v>
      </c>
      <c r="H2221" s="41" t="n">
        <v>34.1</v>
      </c>
      <c r="I2221" s="31" t="s">
        <v>149</v>
      </c>
      <c r="J2221" s="31"/>
      <c r="K2221" s="31" t="s">
        <v>150</v>
      </c>
      <c r="L2221" s="45" t="n">
        <f aca="false">DATE(YEAR(B2221),MONTH(B2221),1)</f>
        <v>46204</v>
      </c>
      <c r="M2221" s="31" t="n">
        <f aca="false">WEEKDAY(B2221,2)</f>
        <v>5</v>
      </c>
      <c r="N2221" s="31" t="str">
        <f aca="false">IF(G2221&lt;=INDEX(Assumptions!$B$15:$B$18,MATCH(E2221,Assumptions!$A$15:$A$18,0)),"Yes","No")</f>
        <v>Yes</v>
      </c>
      <c r="O2221" s="31" t="str">
        <f aca="false">IF(H2221="","Open",IF(H2221&lt;=INDEX(Assumptions!$C$15:$C$18,MATCH(E2221,Assumptions!$A$15:$A$18,0)),"Yes","No"))</f>
        <v>No</v>
      </c>
    </row>
    <row r="2222" customFormat="false" ht="15" hidden="false" customHeight="false" outlineLevel="0" collapsed="false">
      <c r="A2222" s="31" t="s">
        <v>2372</v>
      </c>
      <c r="B2222" s="44" t="n">
        <v>46234</v>
      </c>
      <c r="C2222" s="31" t="s">
        <v>57</v>
      </c>
      <c r="D2222" s="31" t="s">
        <v>69</v>
      </c>
      <c r="E2222" s="31" t="s">
        <v>51</v>
      </c>
      <c r="F2222" s="31" t="s">
        <v>127</v>
      </c>
      <c r="G2222" s="31" t="n">
        <v>6</v>
      </c>
      <c r="H2222" s="41" t="n">
        <v>32.3</v>
      </c>
      <c r="I2222" s="31" t="s">
        <v>64</v>
      </c>
      <c r="J2222" s="31" t="n">
        <v>4</v>
      </c>
      <c r="K2222" s="31" t="s">
        <v>153</v>
      </c>
      <c r="L2222" s="45" t="n">
        <f aca="false">DATE(YEAR(B2222),MONTH(B2222),1)</f>
        <v>46204</v>
      </c>
      <c r="M2222" s="31" t="n">
        <f aca="false">WEEKDAY(B2222,2)</f>
        <v>5</v>
      </c>
      <c r="N2222" s="31" t="str">
        <f aca="false">IF(G2222&lt;=INDEX(Assumptions!$B$15:$B$18,MATCH(E2222,Assumptions!$A$15:$A$18,0)),"Yes","No")</f>
        <v>Yes</v>
      </c>
      <c r="O2222" s="31" t="str">
        <f aca="false">IF(H2222="","Open",IF(H2222&lt;=INDEX(Assumptions!$C$15:$C$18,MATCH(E2222,Assumptions!$A$15:$A$18,0)),"Yes","No"))</f>
        <v>No</v>
      </c>
    </row>
    <row r="2223" customFormat="false" ht="15" hidden="false" customHeight="false" outlineLevel="0" collapsed="false">
      <c r="A2223" s="31" t="s">
        <v>2373</v>
      </c>
      <c r="B2223" s="44" t="n">
        <v>46234</v>
      </c>
      <c r="C2223" s="31" t="s">
        <v>60</v>
      </c>
      <c r="D2223" s="31" t="s">
        <v>66</v>
      </c>
      <c r="E2223" s="31" t="s">
        <v>51</v>
      </c>
      <c r="F2223" s="31" t="s">
        <v>130</v>
      </c>
      <c r="G2223" s="31" t="n">
        <v>4</v>
      </c>
      <c r="H2223" s="41" t="n">
        <v>2.1</v>
      </c>
      <c r="I2223" s="31" t="s">
        <v>149</v>
      </c>
      <c r="J2223" s="31" t="n">
        <v>5</v>
      </c>
      <c r="K2223" s="31" t="s">
        <v>150</v>
      </c>
      <c r="L2223" s="45" t="n">
        <f aca="false">DATE(YEAR(B2223),MONTH(B2223),1)</f>
        <v>46204</v>
      </c>
      <c r="M2223" s="31" t="n">
        <f aca="false">WEEKDAY(B2223,2)</f>
        <v>5</v>
      </c>
      <c r="N2223" s="31" t="str">
        <f aca="false">IF(G2223&lt;=INDEX(Assumptions!$B$15:$B$18,MATCH(E2223,Assumptions!$A$15:$A$18,0)),"Yes","No")</f>
        <v>Yes</v>
      </c>
      <c r="O2223" s="31" t="str">
        <f aca="false">IF(H2223="","Open",IF(H2223&lt;=INDEX(Assumptions!$C$15:$C$18,MATCH(E2223,Assumptions!$A$15:$A$18,0)),"Yes","No"))</f>
        <v>Yes</v>
      </c>
    </row>
    <row r="2224" customFormat="false" ht="15" hidden="false" customHeight="false" outlineLevel="0" collapsed="false">
      <c r="A2224" s="31" t="s">
        <v>2374</v>
      </c>
      <c r="B2224" s="44" t="n">
        <v>46234</v>
      </c>
      <c r="C2224" s="31" t="s">
        <v>57</v>
      </c>
      <c r="D2224" s="31" t="s">
        <v>68</v>
      </c>
      <c r="E2224" s="31" t="s">
        <v>52</v>
      </c>
      <c r="F2224" s="31" t="s">
        <v>129</v>
      </c>
      <c r="G2224" s="31" t="n">
        <v>8</v>
      </c>
      <c r="H2224" s="41" t="n">
        <v>2.4</v>
      </c>
      <c r="I2224" s="31" t="s">
        <v>149</v>
      </c>
      <c r="J2224" s="31"/>
      <c r="K2224" s="31" t="s">
        <v>150</v>
      </c>
      <c r="L2224" s="45" t="n">
        <f aca="false">DATE(YEAR(B2224),MONTH(B2224),1)</f>
        <v>46204</v>
      </c>
      <c r="M2224" s="31" t="n">
        <f aca="false">WEEKDAY(B2224,2)</f>
        <v>5</v>
      </c>
      <c r="N2224" s="31" t="str">
        <f aca="false">IF(G2224&lt;=INDEX(Assumptions!$B$15:$B$18,MATCH(E2224,Assumptions!$A$15:$A$18,0)),"Yes","No")</f>
        <v>Yes</v>
      </c>
      <c r="O2224" s="31" t="str">
        <f aca="false">IF(H2224="","Open",IF(H2224&lt;=INDEX(Assumptions!$C$15:$C$18,MATCH(E2224,Assumptions!$A$15:$A$18,0)),"Yes","No"))</f>
        <v>Yes</v>
      </c>
    </row>
    <row r="2225" customFormat="false" ht="15" hidden="false" customHeight="false" outlineLevel="0" collapsed="false">
      <c r="A2225" s="31" t="s">
        <v>2375</v>
      </c>
      <c r="B2225" s="44" t="n">
        <v>46234</v>
      </c>
      <c r="C2225" s="31" t="s">
        <v>58</v>
      </c>
      <c r="D2225" s="31" t="s">
        <v>68</v>
      </c>
      <c r="E2225" s="31" t="s">
        <v>51</v>
      </c>
      <c r="F2225" s="31" t="s">
        <v>128</v>
      </c>
      <c r="G2225" s="31" t="n">
        <v>34</v>
      </c>
      <c r="H2225" s="41" t="n">
        <v>2.9</v>
      </c>
      <c r="I2225" s="31" t="s">
        <v>149</v>
      </c>
      <c r="J2225" s="31" t="n">
        <v>3</v>
      </c>
      <c r="K2225" s="31" t="s">
        <v>150</v>
      </c>
      <c r="L2225" s="45" t="n">
        <f aca="false">DATE(YEAR(B2225),MONTH(B2225),1)</f>
        <v>46204</v>
      </c>
      <c r="M2225" s="31" t="n">
        <f aca="false">WEEKDAY(B2225,2)</f>
        <v>5</v>
      </c>
      <c r="N2225" s="31" t="str">
        <f aca="false">IF(G2225&lt;=INDEX(Assumptions!$B$15:$B$18,MATCH(E2225,Assumptions!$A$15:$A$18,0)),"Yes","No")</f>
        <v>Yes</v>
      </c>
      <c r="O2225" s="31" t="str">
        <f aca="false">IF(H2225="","Open",IF(H2225&lt;=INDEX(Assumptions!$C$15:$C$18,MATCH(E2225,Assumptions!$A$15:$A$18,0)),"Yes","No"))</f>
        <v>Yes</v>
      </c>
    </row>
    <row r="2226" customFormat="false" ht="15" hidden="false" customHeight="false" outlineLevel="0" collapsed="false">
      <c r="A2226" s="31" t="s">
        <v>2376</v>
      </c>
      <c r="B2226" s="44" t="n">
        <v>46234</v>
      </c>
      <c r="C2226" s="31" t="s">
        <v>57</v>
      </c>
      <c r="D2226" s="31" t="s">
        <v>66</v>
      </c>
      <c r="E2226" s="31" t="s">
        <v>49</v>
      </c>
      <c r="F2226" s="31" t="s">
        <v>128</v>
      </c>
      <c r="G2226" s="31" t="n">
        <v>4</v>
      </c>
      <c r="H2226" s="41" t="n">
        <v>2.4</v>
      </c>
      <c r="I2226" s="31" t="s">
        <v>149</v>
      </c>
      <c r="J2226" s="31"/>
      <c r="K2226" s="31" t="s">
        <v>150</v>
      </c>
      <c r="L2226" s="45" t="n">
        <f aca="false">DATE(YEAR(B2226),MONTH(B2226),1)</f>
        <v>46204</v>
      </c>
      <c r="M2226" s="31" t="n">
        <f aca="false">WEEKDAY(B2226,2)</f>
        <v>5</v>
      </c>
      <c r="N2226" s="31" t="str">
        <f aca="false">IF(G2226&lt;=INDEX(Assumptions!$B$15:$B$18,MATCH(E2226,Assumptions!$A$15:$A$18,0)),"Yes","No")</f>
        <v>Yes</v>
      </c>
      <c r="O2226" s="31" t="str">
        <f aca="false">IF(H2226="","Open",IF(H2226&lt;=INDEX(Assumptions!$C$15:$C$18,MATCH(E2226,Assumptions!$A$15:$A$18,0)),"Yes","No"))</f>
        <v>Yes</v>
      </c>
    </row>
    <row r="2227" customFormat="false" ht="15" hidden="false" customHeight="false" outlineLevel="0" collapsed="false">
      <c r="A2227" s="31" t="s">
        <v>2377</v>
      </c>
      <c r="B2227" s="44" t="n">
        <v>46234</v>
      </c>
      <c r="C2227" s="31" t="s">
        <v>60</v>
      </c>
      <c r="D2227" s="31" t="s">
        <v>68</v>
      </c>
      <c r="E2227" s="31" t="s">
        <v>51</v>
      </c>
      <c r="F2227" s="31" t="s">
        <v>124</v>
      </c>
      <c r="G2227" s="31" t="n">
        <v>2</v>
      </c>
      <c r="H2227" s="41" t="n">
        <v>1.9</v>
      </c>
      <c r="I2227" s="31" t="s">
        <v>149</v>
      </c>
      <c r="J2227" s="31" t="n">
        <v>5</v>
      </c>
      <c r="K2227" s="31" t="s">
        <v>150</v>
      </c>
      <c r="L2227" s="45" t="n">
        <f aca="false">DATE(YEAR(B2227),MONTH(B2227),1)</f>
        <v>46204</v>
      </c>
      <c r="M2227" s="31" t="n">
        <f aca="false">WEEKDAY(B2227,2)</f>
        <v>5</v>
      </c>
      <c r="N2227" s="31" t="str">
        <f aca="false">IF(G2227&lt;=INDEX(Assumptions!$B$15:$B$18,MATCH(E2227,Assumptions!$A$15:$A$18,0)),"Yes","No")</f>
        <v>Yes</v>
      </c>
      <c r="O2227" s="31" t="str">
        <f aca="false">IF(H2227="","Open",IF(H2227&lt;=INDEX(Assumptions!$C$15:$C$18,MATCH(E2227,Assumptions!$A$15:$A$18,0)),"Yes","No"))</f>
        <v>Yes</v>
      </c>
    </row>
    <row r="2228" customFormat="false" ht="15" hidden="false" customHeight="false" outlineLevel="0" collapsed="false">
      <c r="A2228" s="31" t="s">
        <v>2378</v>
      </c>
      <c r="B2228" s="44" t="n">
        <v>46234</v>
      </c>
      <c r="C2228" s="31" t="s">
        <v>57</v>
      </c>
      <c r="D2228" s="31" t="s">
        <v>68</v>
      </c>
      <c r="E2228" s="31" t="s">
        <v>51</v>
      </c>
      <c r="F2228" s="31" t="s">
        <v>136</v>
      </c>
      <c r="G2228" s="31" t="n">
        <v>6</v>
      </c>
      <c r="H2228" s="41" t="n">
        <v>1.3</v>
      </c>
      <c r="I2228" s="31" t="s">
        <v>149</v>
      </c>
      <c r="J2228" s="31" t="n">
        <v>4</v>
      </c>
      <c r="K2228" s="31" t="s">
        <v>150</v>
      </c>
      <c r="L2228" s="45" t="n">
        <f aca="false">DATE(YEAR(B2228),MONTH(B2228),1)</f>
        <v>46204</v>
      </c>
      <c r="M2228" s="31" t="n">
        <f aca="false">WEEKDAY(B2228,2)</f>
        <v>5</v>
      </c>
      <c r="N2228" s="31" t="str">
        <f aca="false">IF(G2228&lt;=INDEX(Assumptions!$B$15:$B$18,MATCH(E2228,Assumptions!$A$15:$A$18,0)),"Yes","No")</f>
        <v>Yes</v>
      </c>
      <c r="O2228" s="31" t="str">
        <f aca="false">IF(H2228="","Open",IF(H2228&lt;=INDEX(Assumptions!$C$15:$C$18,MATCH(E2228,Assumptions!$A$15:$A$18,0)),"Yes","No"))</f>
        <v>Yes</v>
      </c>
    </row>
    <row r="2229" customFormat="false" ht="15" hidden="false" customHeight="false" outlineLevel="0" collapsed="false">
      <c r="A2229" s="31" t="s">
        <v>2379</v>
      </c>
      <c r="B2229" s="44" t="n">
        <v>46234</v>
      </c>
      <c r="C2229" s="31" t="s">
        <v>59</v>
      </c>
      <c r="D2229" s="31" t="s">
        <v>67</v>
      </c>
      <c r="E2229" s="31" t="s">
        <v>50</v>
      </c>
      <c r="F2229" s="31" t="s">
        <v>129</v>
      </c>
      <c r="G2229" s="31" t="n">
        <v>26</v>
      </c>
      <c r="H2229" s="41" t="n">
        <v>26.6</v>
      </c>
      <c r="I2229" s="31" t="s">
        <v>64</v>
      </c>
      <c r="J2229" s="31" t="n">
        <v>3</v>
      </c>
      <c r="K2229" s="31" t="s">
        <v>150</v>
      </c>
      <c r="L2229" s="45" t="n">
        <f aca="false">DATE(YEAR(B2229),MONTH(B2229),1)</f>
        <v>46204</v>
      </c>
      <c r="M2229" s="31" t="n">
        <f aca="false">WEEKDAY(B2229,2)</f>
        <v>5</v>
      </c>
      <c r="N2229" s="31" t="str">
        <f aca="false">IF(G2229&lt;=INDEX(Assumptions!$B$15:$B$18,MATCH(E2229,Assumptions!$A$15:$A$18,0)),"Yes","No")</f>
        <v>Yes</v>
      </c>
      <c r="O2229" s="31" t="str">
        <f aca="false">IF(H2229="","Open",IF(H2229&lt;=INDEX(Assumptions!$C$15:$C$18,MATCH(E2229,Assumptions!$A$15:$A$18,0)),"Yes","No"))</f>
        <v>No</v>
      </c>
    </row>
    <row r="2230" customFormat="false" ht="15" hidden="false" customHeight="false" outlineLevel="0" collapsed="false">
      <c r="A2230" s="31" t="s">
        <v>2380</v>
      </c>
      <c r="B2230" s="44" t="n">
        <v>46234</v>
      </c>
      <c r="C2230" s="31" t="s">
        <v>57</v>
      </c>
      <c r="D2230" s="31" t="s">
        <v>68</v>
      </c>
      <c r="E2230" s="31" t="s">
        <v>52</v>
      </c>
      <c r="F2230" s="31" t="s">
        <v>122</v>
      </c>
      <c r="G2230" s="31" t="n">
        <v>2</v>
      </c>
      <c r="H2230" s="41" t="n">
        <v>9.5</v>
      </c>
      <c r="I2230" s="31" t="s">
        <v>64</v>
      </c>
      <c r="J2230" s="31"/>
      <c r="K2230" s="31" t="s">
        <v>150</v>
      </c>
      <c r="L2230" s="45" t="n">
        <f aca="false">DATE(YEAR(B2230),MONTH(B2230),1)</f>
        <v>46204</v>
      </c>
      <c r="M2230" s="31" t="n">
        <f aca="false">WEEKDAY(B2230,2)</f>
        <v>5</v>
      </c>
      <c r="N2230" s="31" t="str">
        <f aca="false">IF(G2230&lt;=INDEX(Assumptions!$B$15:$B$18,MATCH(E2230,Assumptions!$A$15:$A$18,0)),"Yes","No")</f>
        <v>Yes</v>
      </c>
      <c r="O2230" s="31" t="str">
        <f aca="false">IF(H2230="","Open",IF(H2230&lt;=INDEX(Assumptions!$C$15:$C$18,MATCH(E2230,Assumptions!$A$15:$A$18,0)),"Yes","No"))</f>
        <v>Yes</v>
      </c>
    </row>
    <row r="2231" customFormat="false" ht="15" hidden="false" customHeight="false" outlineLevel="0" collapsed="false">
      <c r="A2231" s="31" t="s">
        <v>2381</v>
      </c>
      <c r="B2231" s="44" t="n">
        <v>46234</v>
      </c>
      <c r="C2231" s="31" t="s">
        <v>57</v>
      </c>
      <c r="D2231" s="31" t="s">
        <v>69</v>
      </c>
      <c r="E2231" s="31" t="s">
        <v>51</v>
      </c>
      <c r="F2231" s="31" t="s">
        <v>130</v>
      </c>
      <c r="G2231" s="31" t="n">
        <v>12</v>
      </c>
      <c r="H2231" s="41" t="n">
        <v>13.8</v>
      </c>
      <c r="I2231" s="31" t="s">
        <v>149</v>
      </c>
      <c r="J2231" s="31" t="n">
        <v>3</v>
      </c>
      <c r="K2231" s="31" t="s">
        <v>150</v>
      </c>
      <c r="L2231" s="45" t="n">
        <f aca="false">DATE(YEAR(B2231),MONTH(B2231),1)</f>
        <v>46204</v>
      </c>
      <c r="M2231" s="31" t="n">
        <f aca="false">WEEKDAY(B2231,2)</f>
        <v>5</v>
      </c>
      <c r="N2231" s="31" t="str">
        <f aca="false">IF(G2231&lt;=INDEX(Assumptions!$B$15:$B$18,MATCH(E2231,Assumptions!$A$15:$A$18,0)),"Yes","No")</f>
        <v>Yes</v>
      </c>
      <c r="O2231" s="31" t="str">
        <f aca="false">IF(H2231="","Open",IF(H2231&lt;=INDEX(Assumptions!$C$15:$C$18,MATCH(E2231,Assumptions!$A$15:$A$18,0)),"Yes","No"))</f>
        <v>Yes</v>
      </c>
    </row>
    <row r="2232" customFormat="false" ht="15" hidden="false" customHeight="false" outlineLevel="0" collapsed="false">
      <c r="A2232" s="31" t="s">
        <v>2382</v>
      </c>
      <c r="B2232" s="44" t="n">
        <v>46234</v>
      </c>
      <c r="C2232" s="31" t="s">
        <v>59</v>
      </c>
      <c r="D2232" s="31" t="s">
        <v>68</v>
      </c>
      <c r="E2232" s="31" t="s">
        <v>49</v>
      </c>
      <c r="F2232" s="31" t="s">
        <v>123</v>
      </c>
      <c r="G2232" s="31" t="n">
        <v>17</v>
      </c>
      <c r="H2232" s="41" t="n">
        <v>0.2</v>
      </c>
      <c r="I2232" s="31" t="s">
        <v>149</v>
      </c>
      <c r="J2232" s="31" t="n">
        <v>4</v>
      </c>
      <c r="K2232" s="31" t="s">
        <v>150</v>
      </c>
      <c r="L2232" s="45" t="n">
        <f aca="false">DATE(YEAR(B2232),MONTH(B2232),1)</f>
        <v>46204</v>
      </c>
      <c r="M2232" s="31" t="n">
        <f aca="false">WEEKDAY(B2232,2)</f>
        <v>5</v>
      </c>
      <c r="N2232" s="31" t="str">
        <f aca="false">IF(G2232&lt;=INDEX(Assumptions!$B$15:$B$18,MATCH(E2232,Assumptions!$A$15:$A$18,0)),"Yes","No")</f>
        <v>No</v>
      </c>
      <c r="O2232" s="31" t="str">
        <f aca="false">IF(H2232="","Open",IF(H2232&lt;=INDEX(Assumptions!$C$15:$C$18,MATCH(E2232,Assumptions!$A$15:$A$18,0)),"Yes","No"))</f>
        <v>Yes</v>
      </c>
    </row>
    <row r="2233" customFormat="false" ht="15" hidden="false" customHeight="false" outlineLevel="0" collapsed="false">
      <c r="A2233" s="31" t="s">
        <v>2383</v>
      </c>
      <c r="B2233" s="44" t="n">
        <v>46234</v>
      </c>
      <c r="C2233" s="31" t="s">
        <v>59</v>
      </c>
      <c r="D2233" s="31" t="s">
        <v>67</v>
      </c>
      <c r="E2233" s="31" t="s">
        <v>51</v>
      </c>
      <c r="F2233" s="31" t="s">
        <v>122</v>
      </c>
      <c r="G2233" s="31" t="n">
        <v>48</v>
      </c>
      <c r="H2233" s="41" t="n">
        <v>10.4</v>
      </c>
      <c r="I2233" s="31" t="s">
        <v>149</v>
      </c>
      <c r="J2233" s="31"/>
      <c r="K2233" s="31" t="s">
        <v>150</v>
      </c>
      <c r="L2233" s="45" t="n">
        <f aca="false">DATE(YEAR(B2233),MONTH(B2233),1)</f>
        <v>46204</v>
      </c>
      <c r="M2233" s="31" t="n">
        <f aca="false">WEEKDAY(B2233,2)</f>
        <v>5</v>
      </c>
      <c r="N2233" s="31" t="str">
        <f aca="false">IF(G2233&lt;=INDEX(Assumptions!$B$15:$B$18,MATCH(E2233,Assumptions!$A$15:$A$18,0)),"Yes","No")</f>
        <v>Yes</v>
      </c>
      <c r="O2233" s="31" t="str">
        <f aca="false">IF(H2233="","Open",IF(H2233&lt;=INDEX(Assumptions!$C$15:$C$18,MATCH(E2233,Assumptions!$A$15:$A$18,0)),"Yes","No"))</f>
        <v>Yes</v>
      </c>
    </row>
    <row r="2234" customFormat="false" ht="15" hidden="false" customHeight="false" outlineLevel="0" collapsed="false">
      <c r="A2234" s="31" t="s">
        <v>2384</v>
      </c>
      <c r="B2234" s="44" t="n">
        <v>46234</v>
      </c>
      <c r="C2234" s="31" t="s">
        <v>59</v>
      </c>
      <c r="D2234" s="31" t="s">
        <v>67</v>
      </c>
      <c r="E2234" s="31" t="s">
        <v>52</v>
      </c>
      <c r="F2234" s="31" t="s">
        <v>123</v>
      </c>
      <c r="G2234" s="31" t="n">
        <v>74</v>
      </c>
      <c r="H2234" s="41" t="n">
        <v>27.5</v>
      </c>
      <c r="I2234" s="31" t="s">
        <v>149</v>
      </c>
      <c r="J2234" s="31" t="n">
        <v>4</v>
      </c>
      <c r="K2234" s="31" t="s">
        <v>150</v>
      </c>
      <c r="L2234" s="45" t="n">
        <f aca="false">DATE(YEAR(B2234),MONTH(B2234),1)</f>
        <v>46204</v>
      </c>
      <c r="M2234" s="31" t="n">
        <f aca="false">WEEKDAY(B2234,2)</f>
        <v>5</v>
      </c>
      <c r="N2234" s="31" t="str">
        <f aca="false">IF(G2234&lt;=INDEX(Assumptions!$B$15:$B$18,MATCH(E2234,Assumptions!$A$15:$A$18,0)),"Yes","No")</f>
        <v>Yes</v>
      </c>
      <c r="O2234" s="31" t="str">
        <f aca="false">IF(H2234="","Open",IF(H2234&lt;=INDEX(Assumptions!$C$15:$C$18,MATCH(E2234,Assumptions!$A$15:$A$18,0)),"Yes","No"))</f>
        <v>Yes</v>
      </c>
    </row>
    <row r="2235" customFormat="false" ht="15" hidden="false" customHeight="false" outlineLevel="0" collapsed="false">
      <c r="A2235" s="31" t="s">
        <v>2385</v>
      </c>
      <c r="B2235" s="44" t="n">
        <v>46234</v>
      </c>
      <c r="C2235" s="31" t="s">
        <v>57</v>
      </c>
      <c r="D2235" s="31" t="s">
        <v>65</v>
      </c>
      <c r="E2235" s="31" t="s">
        <v>50</v>
      </c>
      <c r="F2235" s="31" t="s">
        <v>124</v>
      </c>
      <c r="G2235" s="31" t="n">
        <v>4</v>
      </c>
      <c r="H2235" s="41" t="n">
        <v>17.5</v>
      </c>
      <c r="I2235" s="31" t="s">
        <v>149</v>
      </c>
      <c r="J2235" s="31" t="n">
        <v>4</v>
      </c>
      <c r="K2235" s="31" t="s">
        <v>150</v>
      </c>
      <c r="L2235" s="45" t="n">
        <f aca="false">DATE(YEAR(B2235),MONTH(B2235),1)</f>
        <v>46204</v>
      </c>
      <c r="M2235" s="31" t="n">
        <f aca="false">WEEKDAY(B2235,2)</f>
        <v>5</v>
      </c>
      <c r="N2235" s="31" t="str">
        <f aca="false">IF(G2235&lt;=INDEX(Assumptions!$B$15:$B$18,MATCH(E2235,Assumptions!$A$15:$A$18,0)),"Yes","No")</f>
        <v>Yes</v>
      </c>
      <c r="O2235" s="31" t="str">
        <f aca="false">IF(H2235="","Open",IF(H2235&lt;=INDEX(Assumptions!$C$15:$C$18,MATCH(E2235,Assumptions!$A$15:$A$18,0)),"Yes","No"))</f>
        <v>No</v>
      </c>
    </row>
    <row r="2236" customFormat="false" ht="15" hidden="false" customHeight="false" outlineLevel="0" collapsed="false">
      <c r="A2236" s="31" t="s">
        <v>2386</v>
      </c>
      <c r="B2236" s="44" t="n">
        <v>46234</v>
      </c>
      <c r="C2236" s="31" t="s">
        <v>59</v>
      </c>
      <c r="D2236" s="31" t="s">
        <v>66</v>
      </c>
      <c r="E2236" s="31" t="s">
        <v>49</v>
      </c>
      <c r="F2236" s="31" t="s">
        <v>124</v>
      </c>
      <c r="G2236" s="31" t="n">
        <v>23</v>
      </c>
      <c r="H2236" s="41" t="n">
        <v>0.6</v>
      </c>
      <c r="I2236" s="31" t="s">
        <v>149</v>
      </c>
      <c r="J2236" s="31"/>
      <c r="K2236" s="31" t="s">
        <v>153</v>
      </c>
      <c r="L2236" s="45" t="n">
        <f aca="false">DATE(YEAR(B2236),MONTH(B2236),1)</f>
        <v>46204</v>
      </c>
      <c r="M2236" s="31" t="n">
        <f aca="false">WEEKDAY(B2236,2)</f>
        <v>5</v>
      </c>
      <c r="N2236" s="31" t="str">
        <f aca="false">IF(G2236&lt;=INDEX(Assumptions!$B$15:$B$18,MATCH(E2236,Assumptions!$A$15:$A$18,0)),"Yes","No")</f>
        <v>No</v>
      </c>
      <c r="O2236" s="31" t="str">
        <f aca="false">IF(H2236="","Open",IF(H2236&lt;=INDEX(Assumptions!$C$15:$C$18,MATCH(E2236,Assumptions!$A$15:$A$18,0)),"Yes","No"))</f>
        <v>Yes</v>
      </c>
    </row>
    <row r="2237" customFormat="false" ht="15" hidden="false" customHeight="false" outlineLevel="0" collapsed="false">
      <c r="A2237" s="31" t="s">
        <v>2387</v>
      </c>
      <c r="B2237" s="44" t="n">
        <v>46234</v>
      </c>
      <c r="C2237" s="31" t="s">
        <v>59</v>
      </c>
      <c r="D2237" s="31" t="s">
        <v>69</v>
      </c>
      <c r="E2237" s="31" t="s">
        <v>52</v>
      </c>
      <c r="F2237" s="31" t="s">
        <v>128</v>
      </c>
      <c r="G2237" s="31" t="n">
        <v>133</v>
      </c>
      <c r="H2237" s="41" t="n">
        <v>97.8</v>
      </c>
      <c r="I2237" s="31" t="s">
        <v>149</v>
      </c>
      <c r="J2237" s="31" t="n">
        <v>5</v>
      </c>
      <c r="K2237" s="31" t="s">
        <v>150</v>
      </c>
      <c r="L2237" s="45" t="n">
        <f aca="false">DATE(YEAR(B2237),MONTH(B2237),1)</f>
        <v>46204</v>
      </c>
      <c r="M2237" s="31" t="n">
        <f aca="false">WEEKDAY(B2237,2)</f>
        <v>5</v>
      </c>
      <c r="N2237" s="31" t="str">
        <f aca="false">IF(G2237&lt;=INDEX(Assumptions!$B$15:$B$18,MATCH(E2237,Assumptions!$A$15:$A$18,0)),"Yes","No")</f>
        <v>Yes</v>
      </c>
      <c r="O2237" s="31" t="str">
        <f aca="false">IF(H2237="","Open",IF(H2237&lt;=INDEX(Assumptions!$C$15:$C$18,MATCH(E2237,Assumptions!$A$15:$A$18,0)),"Yes","No"))</f>
        <v>No</v>
      </c>
    </row>
    <row r="2238" customFormat="false" ht="15" hidden="false" customHeight="false" outlineLevel="0" collapsed="false">
      <c r="A2238" s="31" t="s">
        <v>2388</v>
      </c>
      <c r="B2238" s="44" t="n">
        <v>46234</v>
      </c>
      <c r="C2238" s="31" t="s">
        <v>58</v>
      </c>
      <c r="D2238" s="31" t="s">
        <v>68</v>
      </c>
      <c r="E2238" s="31" t="s">
        <v>49</v>
      </c>
      <c r="F2238" s="31" t="s">
        <v>119</v>
      </c>
      <c r="G2238" s="31" t="n">
        <v>16</v>
      </c>
      <c r="H2238" s="41" t="n">
        <v>1.6</v>
      </c>
      <c r="I2238" s="31" t="s">
        <v>149</v>
      </c>
      <c r="J2238" s="31" t="n">
        <v>4</v>
      </c>
      <c r="K2238" s="31" t="s">
        <v>150</v>
      </c>
      <c r="L2238" s="45" t="n">
        <f aca="false">DATE(YEAR(B2238),MONTH(B2238),1)</f>
        <v>46204</v>
      </c>
      <c r="M2238" s="31" t="n">
        <f aca="false">WEEKDAY(B2238,2)</f>
        <v>5</v>
      </c>
      <c r="N2238" s="31" t="str">
        <f aca="false">IF(G2238&lt;=INDEX(Assumptions!$B$15:$B$18,MATCH(E2238,Assumptions!$A$15:$A$18,0)),"Yes","No")</f>
        <v>No</v>
      </c>
      <c r="O2238" s="31" t="str">
        <f aca="false">IF(H2238="","Open",IF(H2238&lt;=INDEX(Assumptions!$C$15:$C$18,MATCH(E2238,Assumptions!$A$15:$A$18,0)),"Yes","No"))</f>
        <v>Yes</v>
      </c>
    </row>
    <row r="2239" customFormat="false" ht="15" hidden="false" customHeight="false" outlineLevel="0" collapsed="false">
      <c r="A2239" s="31" t="s">
        <v>2389</v>
      </c>
      <c r="B2239" s="44" t="n">
        <v>46234</v>
      </c>
      <c r="C2239" s="31" t="s">
        <v>60</v>
      </c>
      <c r="D2239" s="31" t="s">
        <v>65</v>
      </c>
      <c r="E2239" s="31" t="s">
        <v>51</v>
      </c>
      <c r="F2239" s="31" t="s">
        <v>117</v>
      </c>
      <c r="G2239" s="31" t="n">
        <v>3</v>
      </c>
      <c r="H2239" s="41" t="n">
        <v>12</v>
      </c>
      <c r="I2239" s="31" t="s">
        <v>149</v>
      </c>
      <c r="J2239" s="31" t="n">
        <v>5</v>
      </c>
      <c r="K2239" s="31" t="s">
        <v>150</v>
      </c>
      <c r="L2239" s="45" t="n">
        <f aca="false">DATE(YEAR(B2239),MONTH(B2239),1)</f>
        <v>46204</v>
      </c>
      <c r="M2239" s="31" t="n">
        <f aca="false">WEEKDAY(B2239,2)</f>
        <v>5</v>
      </c>
      <c r="N2239" s="31" t="str">
        <f aca="false">IF(G2239&lt;=INDEX(Assumptions!$B$15:$B$18,MATCH(E2239,Assumptions!$A$15:$A$18,0)),"Yes","No")</f>
        <v>Yes</v>
      </c>
      <c r="O2239" s="31" t="str">
        <f aca="false">IF(H2239="","Open",IF(H2239&lt;=INDEX(Assumptions!$C$15:$C$18,MATCH(E2239,Assumptions!$A$15:$A$18,0)),"Yes","No"))</f>
        <v>Yes</v>
      </c>
    </row>
    <row r="2240" customFormat="false" ht="15" hidden="false" customHeight="false" outlineLevel="0" collapsed="false">
      <c r="A2240" s="31" t="s">
        <v>2390</v>
      </c>
      <c r="B2240" s="44" t="n">
        <v>46234</v>
      </c>
      <c r="C2240" s="31" t="s">
        <v>57</v>
      </c>
      <c r="D2240" s="31" t="s">
        <v>69</v>
      </c>
      <c r="E2240" s="31" t="s">
        <v>50</v>
      </c>
      <c r="F2240" s="31" t="s">
        <v>121</v>
      </c>
      <c r="G2240" s="31" t="n">
        <v>4</v>
      </c>
      <c r="H2240" s="41" t="n">
        <v>67.5</v>
      </c>
      <c r="I2240" s="31" t="s">
        <v>149</v>
      </c>
      <c r="J2240" s="31" t="n">
        <v>3</v>
      </c>
      <c r="K2240" s="31" t="s">
        <v>150</v>
      </c>
      <c r="L2240" s="45" t="n">
        <f aca="false">DATE(YEAR(B2240),MONTH(B2240),1)</f>
        <v>46204</v>
      </c>
      <c r="M2240" s="31" t="n">
        <f aca="false">WEEKDAY(B2240,2)</f>
        <v>5</v>
      </c>
      <c r="N2240" s="31" t="str">
        <f aca="false">IF(G2240&lt;=INDEX(Assumptions!$B$15:$B$18,MATCH(E2240,Assumptions!$A$15:$A$18,0)),"Yes","No")</f>
        <v>Yes</v>
      </c>
      <c r="O2240" s="31" t="str">
        <f aca="false">IF(H2240="","Open",IF(H2240&lt;=INDEX(Assumptions!$C$15:$C$18,MATCH(E2240,Assumptions!$A$15:$A$18,0)),"Yes","No"))</f>
        <v>No</v>
      </c>
    </row>
    <row r="2241" customFormat="false" ht="15" hidden="false" customHeight="false" outlineLevel="0" collapsed="false">
      <c r="A2241" s="31" t="s">
        <v>2391</v>
      </c>
      <c r="B2241" s="44" t="n">
        <v>46234</v>
      </c>
      <c r="C2241" s="31" t="s">
        <v>59</v>
      </c>
      <c r="D2241" s="31" t="s">
        <v>66</v>
      </c>
      <c r="E2241" s="31" t="s">
        <v>51</v>
      </c>
      <c r="F2241" s="31" t="s">
        <v>136</v>
      </c>
      <c r="G2241" s="31" t="n">
        <v>336</v>
      </c>
      <c r="H2241" s="41" t="n">
        <v>4.5</v>
      </c>
      <c r="I2241" s="31" t="s">
        <v>149</v>
      </c>
      <c r="J2241" s="31" t="n">
        <v>4</v>
      </c>
      <c r="K2241" s="31" t="s">
        <v>150</v>
      </c>
      <c r="L2241" s="45" t="n">
        <f aca="false">DATE(YEAR(B2241),MONTH(B2241),1)</f>
        <v>46204</v>
      </c>
      <c r="M2241" s="31" t="n">
        <f aca="false">WEEKDAY(B2241,2)</f>
        <v>5</v>
      </c>
      <c r="N2241" s="31" t="str">
        <f aca="false">IF(G2241&lt;=INDEX(Assumptions!$B$15:$B$18,MATCH(E2241,Assumptions!$A$15:$A$18,0)),"Yes","No")</f>
        <v>No</v>
      </c>
      <c r="O2241" s="31" t="str">
        <f aca="false">IF(H2241="","Open",IF(H2241&lt;=INDEX(Assumptions!$C$15:$C$18,MATCH(E2241,Assumptions!$A$15:$A$18,0)),"Yes","No"))</f>
        <v>Yes</v>
      </c>
    </row>
    <row r="2242" customFormat="false" ht="15" hidden="false" customHeight="false" outlineLevel="0" collapsed="false">
      <c r="A2242" s="31" t="s">
        <v>2392</v>
      </c>
      <c r="B2242" s="44" t="n">
        <v>46234</v>
      </c>
      <c r="C2242" s="31" t="s">
        <v>58</v>
      </c>
      <c r="D2242" s="31" t="s">
        <v>65</v>
      </c>
      <c r="E2242" s="31" t="s">
        <v>49</v>
      </c>
      <c r="F2242" s="31" t="s">
        <v>131</v>
      </c>
      <c r="G2242" s="31" t="n">
        <v>6</v>
      </c>
      <c r="H2242" s="41" t="n">
        <v>1.6</v>
      </c>
      <c r="I2242" s="31" t="s">
        <v>64</v>
      </c>
      <c r="J2242" s="31"/>
      <c r="K2242" s="31" t="s">
        <v>150</v>
      </c>
      <c r="L2242" s="45" t="n">
        <f aca="false">DATE(YEAR(B2242),MONTH(B2242),1)</f>
        <v>46204</v>
      </c>
      <c r="M2242" s="31" t="n">
        <f aca="false">WEEKDAY(B2242,2)</f>
        <v>5</v>
      </c>
      <c r="N2242" s="31" t="str">
        <f aca="false">IF(G2242&lt;=INDEX(Assumptions!$B$15:$B$18,MATCH(E2242,Assumptions!$A$15:$A$18,0)),"Yes","No")</f>
        <v>Yes</v>
      </c>
      <c r="O2242" s="31" t="str">
        <f aca="false">IF(H2242="","Open",IF(H2242&lt;=INDEX(Assumptions!$C$15:$C$18,MATCH(E2242,Assumptions!$A$15:$A$18,0)),"Yes","No"))</f>
        <v>Yes</v>
      </c>
    </row>
    <row r="2243" customFormat="false" ht="15" hidden="false" customHeight="false" outlineLevel="0" collapsed="false">
      <c r="A2243" s="31" t="s">
        <v>2393</v>
      </c>
      <c r="B2243" s="44" t="n">
        <v>46234</v>
      </c>
      <c r="C2243" s="31" t="s">
        <v>58</v>
      </c>
      <c r="D2243" s="31" t="s">
        <v>65</v>
      </c>
      <c r="E2243" s="31" t="s">
        <v>52</v>
      </c>
      <c r="F2243" s="31" t="s">
        <v>136</v>
      </c>
      <c r="G2243" s="31" t="n">
        <v>15</v>
      </c>
      <c r="H2243" s="41" t="n">
        <v>9.4</v>
      </c>
      <c r="I2243" s="31" t="s">
        <v>149</v>
      </c>
      <c r="J2243" s="31" t="n">
        <v>4</v>
      </c>
      <c r="K2243" s="31" t="s">
        <v>150</v>
      </c>
      <c r="L2243" s="45" t="n">
        <f aca="false">DATE(YEAR(B2243),MONTH(B2243),1)</f>
        <v>46204</v>
      </c>
      <c r="M2243" s="31" t="n">
        <f aca="false">WEEKDAY(B2243,2)</f>
        <v>5</v>
      </c>
      <c r="N2243" s="31" t="str">
        <f aca="false">IF(G2243&lt;=INDEX(Assumptions!$B$15:$B$18,MATCH(E2243,Assumptions!$A$15:$A$18,0)),"Yes","No")</f>
        <v>Yes</v>
      </c>
      <c r="O2243" s="31" t="str">
        <f aca="false">IF(H2243="","Open",IF(H2243&lt;=INDEX(Assumptions!$C$15:$C$18,MATCH(E2243,Assumptions!$A$15:$A$18,0)),"Yes","No"))</f>
        <v>Yes</v>
      </c>
    </row>
    <row r="2244" customFormat="false" ht="15" hidden="false" customHeight="false" outlineLevel="0" collapsed="false">
      <c r="A2244" s="31" t="s">
        <v>2394</v>
      </c>
      <c r="B2244" s="44" t="n">
        <v>46234</v>
      </c>
      <c r="C2244" s="31" t="s">
        <v>59</v>
      </c>
      <c r="D2244" s="31" t="s">
        <v>67</v>
      </c>
      <c r="E2244" s="31" t="s">
        <v>50</v>
      </c>
      <c r="F2244" s="31" t="s">
        <v>121</v>
      </c>
      <c r="G2244" s="31" t="n">
        <v>41</v>
      </c>
      <c r="H2244" s="41" t="n">
        <v>18.1</v>
      </c>
      <c r="I2244" s="31" t="s">
        <v>149</v>
      </c>
      <c r="J2244" s="31"/>
      <c r="K2244" s="31" t="s">
        <v>150</v>
      </c>
      <c r="L2244" s="45" t="n">
        <f aca="false">DATE(YEAR(B2244),MONTH(B2244),1)</f>
        <v>46204</v>
      </c>
      <c r="M2244" s="31" t="n">
        <f aca="false">WEEKDAY(B2244,2)</f>
        <v>5</v>
      </c>
      <c r="N2244" s="31" t="str">
        <f aca="false">IF(G2244&lt;=INDEX(Assumptions!$B$15:$B$18,MATCH(E2244,Assumptions!$A$15:$A$18,0)),"Yes","No")</f>
        <v>No</v>
      </c>
      <c r="O2244" s="31" t="str">
        <f aca="false">IF(H2244="","Open",IF(H2244&lt;=INDEX(Assumptions!$C$15:$C$18,MATCH(E2244,Assumptions!$A$15:$A$18,0)),"Yes","No"))</f>
        <v>No</v>
      </c>
    </row>
    <row r="2245" customFormat="false" ht="15" hidden="false" customHeight="false" outlineLevel="0" collapsed="false">
      <c r="A2245" s="31" t="s">
        <v>2395</v>
      </c>
      <c r="B2245" s="44" t="n">
        <v>46234</v>
      </c>
      <c r="C2245" s="31" t="s">
        <v>57</v>
      </c>
      <c r="D2245" s="31" t="s">
        <v>66</v>
      </c>
      <c r="E2245" s="31" t="s">
        <v>51</v>
      </c>
      <c r="F2245" s="31" t="s">
        <v>131</v>
      </c>
      <c r="G2245" s="31" t="n">
        <v>6</v>
      </c>
      <c r="H2245" s="41" t="n">
        <v>1.3</v>
      </c>
      <c r="I2245" s="31" t="s">
        <v>149</v>
      </c>
      <c r="J2245" s="31"/>
      <c r="K2245" s="31" t="s">
        <v>150</v>
      </c>
      <c r="L2245" s="45" t="n">
        <f aca="false">DATE(YEAR(B2245),MONTH(B2245),1)</f>
        <v>46204</v>
      </c>
      <c r="M2245" s="31" t="n">
        <f aca="false">WEEKDAY(B2245,2)</f>
        <v>5</v>
      </c>
      <c r="N2245" s="31" t="str">
        <f aca="false">IF(G2245&lt;=INDEX(Assumptions!$B$15:$B$18,MATCH(E2245,Assumptions!$A$15:$A$18,0)),"Yes","No")</f>
        <v>Yes</v>
      </c>
      <c r="O2245" s="31" t="str">
        <f aca="false">IF(H2245="","Open",IF(H2245&lt;=INDEX(Assumptions!$C$15:$C$18,MATCH(E2245,Assumptions!$A$15:$A$18,0)),"Yes","No"))</f>
        <v>Yes</v>
      </c>
    </row>
    <row r="2246" customFormat="false" ht="15" hidden="false" customHeight="false" outlineLevel="0" collapsed="false">
      <c r="A2246" s="31" t="s">
        <v>2396</v>
      </c>
      <c r="B2246" s="44" t="n">
        <v>46234</v>
      </c>
      <c r="C2246" s="31" t="s">
        <v>58</v>
      </c>
      <c r="D2246" s="31" t="s">
        <v>65</v>
      </c>
      <c r="E2246" s="31" t="s">
        <v>50</v>
      </c>
      <c r="F2246" s="31" t="s">
        <v>121</v>
      </c>
      <c r="G2246" s="31" t="n">
        <v>21</v>
      </c>
      <c r="H2246" s="41" t="n">
        <v>3.3</v>
      </c>
      <c r="I2246" s="31" t="s">
        <v>149</v>
      </c>
      <c r="J2246" s="31"/>
      <c r="K2246" s="31" t="s">
        <v>150</v>
      </c>
      <c r="L2246" s="45" t="n">
        <f aca="false">DATE(YEAR(B2246),MONTH(B2246),1)</f>
        <v>46204</v>
      </c>
      <c r="M2246" s="31" t="n">
        <f aca="false">WEEKDAY(B2246,2)</f>
        <v>5</v>
      </c>
      <c r="N2246" s="31" t="str">
        <f aca="false">IF(G2246&lt;=INDEX(Assumptions!$B$15:$B$18,MATCH(E2246,Assumptions!$A$15:$A$18,0)),"Yes","No")</f>
        <v>Yes</v>
      </c>
      <c r="O2246" s="31" t="str">
        <f aca="false">IF(H2246="","Open",IF(H2246&lt;=INDEX(Assumptions!$C$15:$C$18,MATCH(E2246,Assumptions!$A$15:$A$18,0)),"Yes","No"))</f>
        <v>Yes</v>
      </c>
    </row>
    <row r="2247" customFormat="false" ht="15" hidden="false" customHeight="false" outlineLevel="0" collapsed="false">
      <c r="A2247" s="31" t="s">
        <v>2397</v>
      </c>
      <c r="B2247" s="44" t="n">
        <v>46234</v>
      </c>
      <c r="C2247" s="31" t="s">
        <v>60</v>
      </c>
      <c r="D2247" s="31" t="s">
        <v>68</v>
      </c>
      <c r="E2247" s="31" t="s">
        <v>51</v>
      </c>
      <c r="F2247" s="31" t="s">
        <v>129</v>
      </c>
      <c r="G2247" s="31" t="n">
        <v>2</v>
      </c>
      <c r="H2247" s="41"/>
      <c r="I2247" s="31" t="s">
        <v>158</v>
      </c>
      <c r="J2247" s="31"/>
      <c r="K2247" s="31" t="s">
        <v>150</v>
      </c>
      <c r="L2247" s="45" t="n">
        <f aca="false">DATE(YEAR(B2247),MONTH(B2247),1)</f>
        <v>46204</v>
      </c>
      <c r="M2247" s="31" t="n">
        <f aca="false">WEEKDAY(B2247,2)</f>
        <v>5</v>
      </c>
      <c r="N2247" s="31" t="str">
        <f aca="false">IF(G2247&lt;=INDEX(Assumptions!$B$15:$B$18,MATCH(E2247,Assumptions!$A$15:$A$18,0)),"Yes","No")</f>
        <v>Yes</v>
      </c>
      <c r="O2247" s="31" t="str">
        <f aca="false">IF(H2247="","Open",IF(H2247&lt;=INDEX(Assumptions!$C$15:$C$18,MATCH(E2247,Assumptions!$A$15:$A$18,0)),"Yes","No"))</f>
        <v>Open</v>
      </c>
    </row>
    <row r="2248" customFormat="false" ht="15" hidden="false" customHeight="false" outlineLevel="0" collapsed="false">
      <c r="A2248" s="31" t="s">
        <v>2398</v>
      </c>
      <c r="B2248" s="44" t="n">
        <v>46234</v>
      </c>
      <c r="C2248" s="31" t="s">
        <v>58</v>
      </c>
      <c r="D2248" s="31" t="s">
        <v>67</v>
      </c>
      <c r="E2248" s="31" t="s">
        <v>51</v>
      </c>
      <c r="F2248" s="31" t="s">
        <v>117</v>
      </c>
      <c r="G2248" s="31" t="n">
        <v>16</v>
      </c>
      <c r="H2248" s="41" t="n">
        <v>21.7</v>
      </c>
      <c r="I2248" s="31" t="s">
        <v>149</v>
      </c>
      <c r="J2248" s="31"/>
      <c r="K2248" s="31" t="s">
        <v>150</v>
      </c>
      <c r="L2248" s="45" t="n">
        <f aca="false">DATE(YEAR(B2248),MONTH(B2248),1)</f>
        <v>46204</v>
      </c>
      <c r="M2248" s="31" t="n">
        <f aca="false">WEEKDAY(B2248,2)</f>
        <v>5</v>
      </c>
      <c r="N2248" s="31" t="str">
        <f aca="false">IF(G2248&lt;=INDEX(Assumptions!$B$15:$B$18,MATCH(E2248,Assumptions!$A$15:$A$18,0)),"Yes","No")</f>
        <v>Yes</v>
      </c>
      <c r="O2248" s="31" t="str">
        <f aca="false">IF(H2248="","Open",IF(H2248&lt;=INDEX(Assumptions!$C$15:$C$18,MATCH(E2248,Assumptions!$A$15:$A$18,0)),"Yes","No"))</f>
        <v>Yes</v>
      </c>
    </row>
    <row r="2249" customFormat="false" ht="15" hidden="false" customHeight="false" outlineLevel="0" collapsed="false">
      <c r="A2249" s="31" t="s">
        <v>2399</v>
      </c>
      <c r="B2249" s="44" t="n">
        <v>46234</v>
      </c>
      <c r="C2249" s="31" t="s">
        <v>58</v>
      </c>
      <c r="D2249" s="31" t="s">
        <v>68</v>
      </c>
      <c r="E2249" s="31" t="s">
        <v>52</v>
      </c>
      <c r="F2249" s="31" t="s">
        <v>128</v>
      </c>
      <c r="G2249" s="31" t="n">
        <v>9</v>
      </c>
      <c r="H2249" s="41" t="n">
        <v>7.5</v>
      </c>
      <c r="I2249" s="31" t="s">
        <v>149</v>
      </c>
      <c r="J2249" s="31" t="n">
        <v>5</v>
      </c>
      <c r="K2249" s="31" t="s">
        <v>150</v>
      </c>
      <c r="L2249" s="45" t="n">
        <f aca="false">DATE(YEAR(B2249),MONTH(B2249),1)</f>
        <v>46204</v>
      </c>
      <c r="M2249" s="31" t="n">
        <f aca="false">WEEKDAY(B2249,2)</f>
        <v>5</v>
      </c>
      <c r="N2249" s="31" t="str">
        <f aca="false">IF(G2249&lt;=INDEX(Assumptions!$B$15:$B$18,MATCH(E2249,Assumptions!$A$15:$A$18,0)),"Yes","No")</f>
        <v>Yes</v>
      </c>
      <c r="O2249" s="31" t="str">
        <f aca="false">IF(H2249="","Open",IF(H2249&lt;=INDEX(Assumptions!$C$15:$C$18,MATCH(E2249,Assumptions!$A$15:$A$18,0)),"Yes","No"))</f>
        <v>Yes</v>
      </c>
    </row>
    <row r="2250" customFormat="false" ht="15" hidden="false" customHeight="false" outlineLevel="0" collapsed="false">
      <c r="A2250" s="31" t="s">
        <v>2400</v>
      </c>
      <c r="B2250" s="44" t="n">
        <v>46234</v>
      </c>
      <c r="C2250" s="31" t="s">
        <v>57</v>
      </c>
      <c r="D2250" s="31" t="s">
        <v>66</v>
      </c>
      <c r="E2250" s="31" t="s">
        <v>51</v>
      </c>
      <c r="F2250" s="31" t="s">
        <v>117</v>
      </c>
      <c r="G2250" s="31" t="n">
        <v>5</v>
      </c>
      <c r="H2250" s="41" t="n">
        <v>4.6</v>
      </c>
      <c r="I2250" s="31" t="s">
        <v>149</v>
      </c>
      <c r="J2250" s="31"/>
      <c r="K2250" s="31" t="s">
        <v>153</v>
      </c>
      <c r="L2250" s="45" t="n">
        <f aca="false">DATE(YEAR(B2250),MONTH(B2250),1)</f>
        <v>46204</v>
      </c>
      <c r="M2250" s="31" t="n">
        <f aca="false">WEEKDAY(B2250,2)</f>
        <v>5</v>
      </c>
      <c r="N2250" s="31" t="str">
        <f aca="false">IF(G2250&lt;=INDEX(Assumptions!$B$15:$B$18,MATCH(E2250,Assumptions!$A$15:$A$18,0)),"Yes","No")</f>
        <v>Yes</v>
      </c>
      <c r="O2250" s="31" t="str">
        <f aca="false">IF(H2250="","Open",IF(H2250&lt;=INDEX(Assumptions!$C$15:$C$18,MATCH(E2250,Assumptions!$A$15:$A$18,0)),"Yes","No"))</f>
        <v>Yes</v>
      </c>
    </row>
    <row r="2251" customFormat="false" ht="15" hidden="false" customHeight="false" outlineLevel="0" collapsed="false">
      <c r="A2251" s="31" t="s">
        <v>2401</v>
      </c>
      <c r="B2251" s="44" t="n">
        <v>46234</v>
      </c>
      <c r="C2251" s="31" t="s">
        <v>60</v>
      </c>
      <c r="D2251" s="31" t="s">
        <v>66</v>
      </c>
      <c r="E2251" s="31" t="s">
        <v>52</v>
      </c>
      <c r="F2251" s="31" t="s">
        <v>134</v>
      </c>
      <c r="G2251" s="31" t="n">
        <v>1</v>
      </c>
      <c r="H2251" s="41" t="n">
        <v>6.3</v>
      </c>
      <c r="I2251" s="31" t="s">
        <v>149</v>
      </c>
      <c r="J2251" s="31"/>
      <c r="K2251" s="31" t="s">
        <v>150</v>
      </c>
      <c r="L2251" s="45" t="n">
        <f aca="false">DATE(YEAR(B2251),MONTH(B2251),1)</f>
        <v>46204</v>
      </c>
      <c r="M2251" s="31" t="n">
        <f aca="false">WEEKDAY(B2251,2)</f>
        <v>5</v>
      </c>
      <c r="N2251" s="31" t="str">
        <f aca="false">IF(G2251&lt;=INDEX(Assumptions!$B$15:$B$18,MATCH(E2251,Assumptions!$A$15:$A$18,0)),"Yes","No")</f>
        <v>Yes</v>
      </c>
      <c r="O2251" s="31" t="str">
        <f aca="false">IF(H2251="","Open",IF(H2251&lt;=INDEX(Assumptions!$C$15:$C$18,MATCH(E2251,Assumptions!$A$15:$A$18,0)),"Yes","No"))</f>
        <v>Yes</v>
      </c>
    </row>
    <row r="2252" customFormat="false" ht="15" hidden="false" customHeight="false" outlineLevel="0" collapsed="false">
      <c r="A2252" s="31" t="s">
        <v>2402</v>
      </c>
      <c r="B2252" s="44" t="n">
        <v>46234</v>
      </c>
      <c r="C2252" s="31" t="s">
        <v>60</v>
      </c>
      <c r="D2252" s="31" t="s">
        <v>65</v>
      </c>
      <c r="E2252" s="31" t="s">
        <v>52</v>
      </c>
      <c r="F2252" s="31" t="s">
        <v>129</v>
      </c>
      <c r="G2252" s="31" t="n">
        <v>3</v>
      </c>
      <c r="H2252" s="41" t="n">
        <v>25.5</v>
      </c>
      <c r="I2252" s="31" t="s">
        <v>149</v>
      </c>
      <c r="J2252" s="31"/>
      <c r="K2252" s="31" t="s">
        <v>150</v>
      </c>
      <c r="L2252" s="45" t="n">
        <f aca="false">DATE(YEAR(B2252),MONTH(B2252),1)</f>
        <v>46204</v>
      </c>
      <c r="M2252" s="31" t="n">
        <f aca="false">WEEKDAY(B2252,2)</f>
        <v>5</v>
      </c>
      <c r="N2252" s="31" t="str">
        <f aca="false">IF(G2252&lt;=INDEX(Assumptions!$B$15:$B$18,MATCH(E2252,Assumptions!$A$15:$A$18,0)),"Yes","No")</f>
        <v>Yes</v>
      </c>
      <c r="O2252" s="31" t="str">
        <f aca="false">IF(H2252="","Open",IF(H2252&lt;=INDEX(Assumptions!$C$15:$C$18,MATCH(E2252,Assumptions!$A$15:$A$18,0)),"Yes","No"))</f>
        <v>Yes</v>
      </c>
    </row>
    <row r="2253" customFormat="false" ht="15" hidden="false" customHeight="false" outlineLevel="0" collapsed="false">
      <c r="A2253" s="31" t="s">
        <v>2403</v>
      </c>
      <c r="B2253" s="44" t="n">
        <v>46235</v>
      </c>
      <c r="C2253" s="31" t="s">
        <v>58</v>
      </c>
      <c r="D2253" s="31" t="s">
        <v>67</v>
      </c>
      <c r="E2253" s="31" t="s">
        <v>52</v>
      </c>
      <c r="F2253" s="31" t="s">
        <v>124</v>
      </c>
      <c r="G2253" s="31" t="n">
        <v>5</v>
      </c>
      <c r="H2253" s="41" t="n">
        <v>39</v>
      </c>
      <c r="I2253" s="31" t="s">
        <v>149</v>
      </c>
      <c r="J2253" s="31"/>
      <c r="K2253" s="31" t="s">
        <v>150</v>
      </c>
      <c r="L2253" s="45" t="n">
        <f aca="false">DATE(YEAR(B2253),MONTH(B2253),1)</f>
        <v>46235</v>
      </c>
      <c r="M2253" s="31" t="n">
        <f aca="false">WEEKDAY(B2253,2)</f>
        <v>6</v>
      </c>
      <c r="N2253" s="31" t="str">
        <f aca="false">IF(G2253&lt;=INDEX(Assumptions!$B$15:$B$18,MATCH(E2253,Assumptions!$A$15:$A$18,0)),"Yes","No")</f>
        <v>Yes</v>
      </c>
      <c r="O2253" s="31" t="str">
        <f aca="false">IF(H2253="","Open",IF(H2253&lt;=INDEX(Assumptions!$C$15:$C$18,MATCH(E2253,Assumptions!$A$15:$A$18,0)),"Yes","No"))</f>
        <v>Yes</v>
      </c>
    </row>
    <row r="2254" customFormat="false" ht="15" hidden="false" customHeight="false" outlineLevel="0" collapsed="false">
      <c r="A2254" s="31" t="s">
        <v>2404</v>
      </c>
      <c r="B2254" s="44" t="n">
        <v>46235</v>
      </c>
      <c r="C2254" s="31" t="s">
        <v>59</v>
      </c>
      <c r="D2254" s="31" t="s">
        <v>66</v>
      </c>
      <c r="E2254" s="31" t="s">
        <v>52</v>
      </c>
      <c r="F2254" s="31" t="s">
        <v>135</v>
      </c>
      <c r="G2254" s="31" t="n">
        <v>106</v>
      </c>
      <c r="H2254" s="41" t="n">
        <v>4.4</v>
      </c>
      <c r="I2254" s="31" t="s">
        <v>149</v>
      </c>
      <c r="J2254" s="31"/>
      <c r="K2254" s="31" t="s">
        <v>150</v>
      </c>
      <c r="L2254" s="45" t="n">
        <f aca="false">DATE(YEAR(B2254),MONTH(B2254),1)</f>
        <v>46235</v>
      </c>
      <c r="M2254" s="31" t="n">
        <f aca="false">WEEKDAY(B2254,2)</f>
        <v>6</v>
      </c>
      <c r="N2254" s="31" t="str">
        <f aca="false">IF(G2254&lt;=INDEX(Assumptions!$B$15:$B$18,MATCH(E2254,Assumptions!$A$15:$A$18,0)),"Yes","No")</f>
        <v>Yes</v>
      </c>
      <c r="O2254" s="31" t="str">
        <f aca="false">IF(H2254="","Open",IF(H2254&lt;=INDEX(Assumptions!$C$15:$C$18,MATCH(E2254,Assumptions!$A$15:$A$18,0)),"Yes","No"))</f>
        <v>Yes</v>
      </c>
    </row>
    <row r="2255" customFormat="false" ht="15" hidden="false" customHeight="false" outlineLevel="0" collapsed="false">
      <c r="A2255" s="31" t="s">
        <v>2405</v>
      </c>
      <c r="B2255" s="44" t="n">
        <v>46235</v>
      </c>
      <c r="C2255" s="31" t="s">
        <v>57</v>
      </c>
      <c r="D2255" s="31" t="s">
        <v>65</v>
      </c>
      <c r="E2255" s="31" t="s">
        <v>52</v>
      </c>
      <c r="F2255" s="31" t="s">
        <v>119</v>
      </c>
      <c r="G2255" s="31" t="n">
        <v>6</v>
      </c>
      <c r="H2255" s="41" t="n">
        <v>18.5</v>
      </c>
      <c r="I2255" s="31" t="s">
        <v>149</v>
      </c>
      <c r="J2255" s="31"/>
      <c r="K2255" s="31" t="s">
        <v>150</v>
      </c>
      <c r="L2255" s="45" t="n">
        <f aca="false">DATE(YEAR(B2255),MONTH(B2255),1)</f>
        <v>46235</v>
      </c>
      <c r="M2255" s="31" t="n">
        <f aca="false">WEEKDAY(B2255,2)</f>
        <v>6</v>
      </c>
      <c r="N2255" s="31" t="str">
        <f aca="false">IF(G2255&lt;=INDEX(Assumptions!$B$15:$B$18,MATCH(E2255,Assumptions!$A$15:$A$18,0)),"Yes","No")</f>
        <v>Yes</v>
      </c>
      <c r="O2255" s="31" t="str">
        <f aca="false">IF(H2255="","Open",IF(H2255&lt;=INDEX(Assumptions!$C$15:$C$18,MATCH(E2255,Assumptions!$A$15:$A$18,0)),"Yes","No"))</f>
        <v>Yes</v>
      </c>
    </row>
    <row r="2256" customFormat="false" ht="15" hidden="false" customHeight="false" outlineLevel="0" collapsed="false">
      <c r="A2256" s="31" t="s">
        <v>2406</v>
      </c>
      <c r="B2256" s="44" t="n">
        <v>46235</v>
      </c>
      <c r="C2256" s="31" t="s">
        <v>58</v>
      </c>
      <c r="D2256" s="31" t="s">
        <v>67</v>
      </c>
      <c r="E2256" s="31" t="s">
        <v>51</v>
      </c>
      <c r="F2256" s="31" t="s">
        <v>127</v>
      </c>
      <c r="G2256" s="31" t="n">
        <v>2</v>
      </c>
      <c r="H2256" s="41" t="n">
        <v>7.6</v>
      </c>
      <c r="I2256" s="31" t="s">
        <v>149</v>
      </c>
      <c r="J2256" s="31" t="n">
        <v>4</v>
      </c>
      <c r="K2256" s="31" t="s">
        <v>150</v>
      </c>
      <c r="L2256" s="45" t="n">
        <f aca="false">DATE(YEAR(B2256),MONTH(B2256),1)</f>
        <v>46235</v>
      </c>
      <c r="M2256" s="31" t="n">
        <f aca="false">WEEKDAY(B2256,2)</f>
        <v>6</v>
      </c>
      <c r="N2256" s="31" t="str">
        <f aca="false">IF(G2256&lt;=INDEX(Assumptions!$B$15:$B$18,MATCH(E2256,Assumptions!$A$15:$A$18,0)),"Yes","No")</f>
        <v>Yes</v>
      </c>
      <c r="O2256" s="31" t="str">
        <f aca="false">IF(H2256="","Open",IF(H2256&lt;=INDEX(Assumptions!$C$15:$C$18,MATCH(E2256,Assumptions!$A$15:$A$18,0)),"Yes","No"))</f>
        <v>Yes</v>
      </c>
    </row>
    <row r="2257" customFormat="false" ht="15" hidden="false" customHeight="false" outlineLevel="0" collapsed="false">
      <c r="A2257" s="31" t="s">
        <v>2407</v>
      </c>
      <c r="B2257" s="44" t="n">
        <v>46235</v>
      </c>
      <c r="C2257" s="31" t="s">
        <v>58</v>
      </c>
      <c r="D2257" s="31" t="s">
        <v>66</v>
      </c>
      <c r="E2257" s="31" t="s">
        <v>50</v>
      </c>
      <c r="F2257" s="31" t="s">
        <v>124</v>
      </c>
      <c r="G2257" s="31" t="n">
        <v>7</v>
      </c>
      <c r="H2257" s="41" t="n">
        <v>0.8</v>
      </c>
      <c r="I2257" s="31" t="s">
        <v>149</v>
      </c>
      <c r="J2257" s="31" t="n">
        <v>4</v>
      </c>
      <c r="K2257" s="31" t="s">
        <v>150</v>
      </c>
      <c r="L2257" s="45" t="n">
        <f aca="false">DATE(YEAR(B2257),MONTH(B2257),1)</f>
        <v>46235</v>
      </c>
      <c r="M2257" s="31" t="n">
        <f aca="false">WEEKDAY(B2257,2)</f>
        <v>6</v>
      </c>
      <c r="N2257" s="31" t="str">
        <f aca="false">IF(G2257&lt;=INDEX(Assumptions!$B$15:$B$18,MATCH(E2257,Assumptions!$A$15:$A$18,0)),"Yes","No")</f>
        <v>Yes</v>
      </c>
      <c r="O2257" s="31" t="str">
        <f aca="false">IF(H2257="","Open",IF(H2257&lt;=INDEX(Assumptions!$C$15:$C$18,MATCH(E2257,Assumptions!$A$15:$A$18,0)),"Yes","No"))</f>
        <v>Yes</v>
      </c>
    </row>
    <row r="2258" customFormat="false" ht="15" hidden="false" customHeight="false" outlineLevel="0" collapsed="false">
      <c r="A2258" s="31" t="s">
        <v>2408</v>
      </c>
      <c r="B2258" s="44" t="n">
        <v>46235</v>
      </c>
      <c r="C2258" s="31" t="s">
        <v>59</v>
      </c>
      <c r="D2258" s="31" t="s">
        <v>66</v>
      </c>
      <c r="E2258" s="31" t="s">
        <v>52</v>
      </c>
      <c r="F2258" s="31" t="s">
        <v>131</v>
      </c>
      <c r="G2258" s="31" t="n">
        <v>81</v>
      </c>
      <c r="H2258" s="41" t="n">
        <v>10.7</v>
      </c>
      <c r="I2258" s="31" t="s">
        <v>149</v>
      </c>
      <c r="J2258" s="31" t="n">
        <v>4</v>
      </c>
      <c r="K2258" s="31" t="s">
        <v>150</v>
      </c>
      <c r="L2258" s="45" t="n">
        <f aca="false">DATE(YEAR(B2258),MONTH(B2258),1)</f>
        <v>46235</v>
      </c>
      <c r="M2258" s="31" t="n">
        <f aca="false">WEEKDAY(B2258,2)</f>
        <v>6</v>
      </c>
      <c r="N2258" s="31" t="str">
        <f aca="false">IF(G2258&lt;=INDEX(Assumptions!$B$15:$B$18,MATCH(E2258,Assumptions!$A$15:$A$18,0)),"Yes","No")</f>
        <v>Yes</v>
      </c>
      <c r="O2258" s="31" t="str">
        <f aca="false">IF(H2258="","Open",IF(H2258&lt;=INDEX(Assumptions!$C$15:$C$18,MATCH(E2258,Assumptions!$A$15:$A$18,0)),"Yes","No"))</f>
        <v>Yes</v>
      </c>
    </row>
    <row r="2259" customFormat="false" ht="15" hidden="false" customHeight="false" outlineLevel="0" collapsed="false">
      <c r="A2259" s="31" t="s">
        <v>2409</v>
      </c>
      <c r="B2259" s="44" t="n">
        <v>46235</v>
      </c>
      <c r="C2259" s="31" t="s">
        <v>57</v>
      </c>
      <c r="D2259" s="31" t="s">
        <v>67</v>
      </c>
      <c r="E2259" s="31" t="s">
        <v>52</v>
      </c>
      <c r="F2259" s="31" t="s">
        <v>119</v>
      </c>
      <c r="G2259" s="31" t="n">
        <v>8</v>
      </c>
      <c r="H2259" s="41" t="n">
        <v>50.1</v>
      </c>
      <c r="I2259" s="31" t="s">
        <v>149</v>
      </c>
      <c r="J2259" s="31"/>
      <c r="K2259" s="31" t="s">
        <v>150</v>
      </c>
      <c r="L2259" s="45" t="n">
        <f aca="false">DATE(YEAR(B2259),MONTH(B2259),1)</f>
        <v>46235</v>
      </c>
      <c r="M2259" s="31" t="n">
        <f aca="false">WEEKDAY(B2259,2)</f>
        <v>6</v>
      </c>
      <c r="N2259" s="31" t="str">
        <f aca="false">IF(G2259&lt;=INDEX(Assumptions!$B$15:$B$18,MATCH(E2259,Assumptions!$A$15:$A$18,0)),"Yes","No")</f>
        <v>Yes</v>
      </c>
      <c r="O2259" s="31" t="str">
        <f aca="false">IF(H2259="","Open",IF(H2259&lt;=INDEX(Assumptions!$C$15:$C$18,MATCH(E2259,Assumptions!$A$15:$A$18,0)),"Yes","No"))</f>
        <v>Yes</v>
      </c>
    </row>
    <row r="2260" customFormat="false" ht="15" hidden="false" customHeight="false" outlineLevel="0" collapsed="false">
      <c r="A2260" s="31" t="s">
        <v>2410</v>
      </c>
      <c r="B2260" s="44" t="n">
        <v>46235</v>
      </c>
      <c r="C2260" s="31" t="s">
        <v>58</v>
      </c>
      <c r="D2260" s="31" t="s">
        <v>65</v>
      </c>
      <c r="E2260" s="31" t="s">
        <v>51</v>
      </c>
      <c r="F2260" s="31" t="s">
        <v>133</v>
      </c>
      <c r="G2260" s="31" t="n">
        <v>7</v>
      </c>
      <c r="H2260" s="41" t="n">
        <v>11.1</v>
      </c>
      <c r="I2260" s="31" t="s">
        <v>149</v>
      </c>
      <c r="J2260" s="31"/>
      <c r="K2260" s="31" t="s">
        <v>150</v>
      </c>
      <c r="L2260" s="45" t="n">
        <f aca="false">DATE(YEAR(B2260),MONTH(B2260),1)</f>
        <v>46235</v>
      </c>
      <c r="M2260" s="31" t="n">
        <f aca="false">WEEKDAY(B2260,2)</f>
        <v>6</v>
      </c>
      <c r="N2260" s="31" t="str">
        <f aca="false">IF(G2260&lt;=INDEX(Assumptions!$B$15:$B$18,MATCH(E2260,Assumptions!$A$15:$A$18,0)),"Yes","No")</f>
        <v>Yes</v>
      </c>
      <c r="O2260" s="31" t="str">
        <f aca="false">IF(H2260="","Open",IF(H2260&lt;=INDEX(Assumptions!$C$15:$C$18,MATCH(E2260,Assumptions!$A$15:$A$18,0)),"Yes","No"))</f>
        <v>Yes</v>
      </c>
    </row>
    <row r="2261" customFormat="false" ht="15" hidden="false" customHeight="false" outlineLevel="0" collapsed="false">
      <c r="A2261" s="31" t="s">
        <v>2411</v>
      </c>
      <c r="B2261" s="44" t="n">
        <v>46235</v>
      </c>
      <c r="C2261" s="31" t="s">
        <v>59</v>
      </c>
      <c r="D2261" s="31" t="s">
        <v>65</v>
      </c>
      <c r="E2261" s="31" t="s">
        <v>52</v>
      </c>
      <c r="F2261" s="31" t="s">
        <v>128</v>
      </c>
      <c r="G2261" s="31" t="n">
        <v>94</v>
      </c>
      <c r="H2261" s="41" t="n">
        <v>19.8</v>
      </c>
      <c r="I2261" s="31" t="s">
        <v>149</v>
      </c>
      <c r="J2261" s="31" t="n">
        <v>4</v>
      </c>
      <c r="K2261" s="31" t="s">
        <v>150</v>
      </c>
      <c r="L2261" s="45" t="n">
        <f aca="false">DATE(YEAR(B2261),MONTH(B2261),1)</f>
        <v>46235</v>
      </c>
      <c r="M2261" s="31" t="n">
        <f aca="false">WEEKDAY(B2261,2)</f>
        <v>6</v>
      </c>
      <c r="N2261" s="31" t="str">
        <f aca="false">IF(G2261&lt;=INDEX(Assumptions!$B$15:$B$18,MATCH(E2261,Assumptions!$A$15:$A$18,0)),"Yes","No")</f>
        <v>Yes</v>
      </c>
      <c r="O2261" s="31" t="str">
        <f aca="false">IF(H2261="","Open",IF(H2261&lt;=INDEX(Assumptions!$C$15:$C$18,MATCH(E2261,Assumptions!$A$15:$A$18,0)),"Yes","No"))</f>
        <v>Yes</v>
      </c>
    </row>
    <row r="2262" customFormat="false" ht="15" hidden="false" customHeight="false" outlineLevel="0" collapsed="false">
      <c r="A2262" s="31" t="s">
        <v>2412</v>
      </c>
      <c r="B2262" s="44" t="n">
        <v>46235</v>
      </c>
      <c r="C2262" s="31" t="s">
        <v>57</v>
      </c>
      <c r="D2262" s="31" t="s">
        <v>68</v>
      </c>
      <c r="E2262" s="31" t="s">
        <v>52</v>
      </c>
      <c r="F2262" s="31" t="s">
        <v>137</v>
      </c>
      <c r="G2262" s="31" t="n">
        <v>7</v>
      </c>
      <c r="H2262" s="41" t="n">
        <v>8.4</v>
      </c>
      <c r="I2262" s="31" t="s">
        <v>149</v>
      </c>
      <c r="J2262" s="31" t="n">
        <v>3</v>
      </c>
      <c r="K2262" s="31" t="s">
        <v>150</v>
      </c>
      <c r="L2262" s="45" t="n">
        <f aca="false">DATE(YEAR(B2262),MONTH(B2262),1)</f>
        <v>46235</v>
      </c>
      <c r="M2262" s="31" t="n">
        <f aca="false">WEEKDAY(B2262,2)</f>
        <v>6</v>
      </c>
      <c r="N2262" s="31" t="str">
        <f aca="false">IF(G2262&lt;=INDEX(Assumptions!$B$15:$B$18,MATCH(E2262,Assumptions!$A$15:$A$18,0)),"Yes","No")</f>
        <v>Yes</v>
      </c>
      <c r="O2262" s="31" t="str">
        <f aca="false">IF(H2262="","Open",IF(H2262&lt;=INDEX(Assumptions!$C$15:$C$18,MATCH(E2262,Assumptions!$A$15:$A$18,0)),"Yes","No"))</f>
        <v>Yes</v>
      </c>
    </row>
    <row r="2263" customFormat="false" ht="15" hidden="false" customHeight="false" outlineLevel="0" collapsed="false">
      <c r="A2263" s="31" t="s">
        <v>2413</v>
      </c>
      <c r="B2263" s="44" t="n">
        <v>46235</v>
      </c>
      <c r="C2263" s="31" t="s">
        <v>60</v>
      </c>
      <c r="D2263" s="31" t="s">
        <v>65</v>
      </c>
      <c r="E2263" s="31" t="s">
        <v>50</v>
      </c>
      <c r="F2263" s="31" t="s">
        <v>134</v>
      </c>
      <c r="G2263" s="31" t="n">
        <v>4</v>
      </c>
      <c r="H2263" s="41" t="n">
        <v>7.3</v>
      </c>
      <c r="I2263" s="31" t="s">
        <v>149</v>
      </c>
      <c r="J2263" s="31" t="n">
        <v>3</v>
      </c>
      <c r="K2263" s="31" t="s">
        <v>150</v>
      </c>
      <c r="L2263" s="45" t="n">
        <f aca="false">DATE(YEAR(B2263),MONTH(B2263),1)</f>
        <v>46235</v>
      </c>
      <c r="M2263" s="31" t="n">
        <f aca="false">WEEKDAY(B2263,2)</f>
        <v>6</v>
      </c>
      <c r="N2263" s="31" t="str">
        <f aca="false">IF(G2263&lt;=INDEX(Assumptions!$B$15:$B$18,MATCH(E2263,Assumptions!$A$15:$A$18,0)),"Yes","No")</f>
        <v>Yes</v>
      </c>
      <c r="O2263" s="31" t="str">
        <f aca="false">IF(H2263="","Open",IF(H2263&lt;=INDEX(Assumptions!$C$15:$C$18,MATCH(E2263,Assumptions!$A$15:$A$18,0)),"Yes","No"))</f>
        <v>Yes</v>
      </c>
    </row>
    <row r="2264" customFormat="false" ht="15" hidden="false" customHeight="false" outlineLevel="0" collapsed="false">
      <c r="A2264" s="31" t="s">
        <v>2414</v>
      </c>
      <c r="B2264" s="44" t="n">
        <v>46235</v>
      </c>
      <c r="C2264" s="31" t="s">
        <v>57</v>
      </c>
      <c r="D2264" s="31" t="s">
        <v>67</v>
      </c>
      <c r="E2264" s="31" t="s">
        <v>52</v>
      </c>
      <c r="F2264" s="31" t="s">
        <v>120</v>
      </c>
      <c r="G2264" s="31" t="n">
        <v>4</v>
      </c>
      <c r="H2264" s="41" t="n">
        <v>29.5</v>
      </c>
      <c r="I2264" s="31" t="s">
        <v>149</v>
      </c>
      <c r="J2264" s="31" t="n">
        <v>3</v>
      </c>
      <c r="K2264" s="31" t="s">
        <v>150</v>
      </c>
      <c r="L2264" s="45" t="n">
        <f aca="false">DATE(YEAR(B2264),MONTH(B2264),1)</f>
        <v>46235</v>
      </c>
      <c r="M2264" s="31" t="n">
        <f aca="false">WEEKDAY(B2264,2)</f>
        <v>6</v>
      </c>
      <c r="N2264" s="31" t="str">
        <f aca="false">IF(G2264&lt;=INDEX(Assumptions!$B$15:$B$18,MATCH(E2264,Assumptions!$A$15:$A$18,0)),"Yes","No")</f>
        <v>Yes</v>
      </c>
      <c r="O2264" s="31" t="str">
        <f aca="false">IF(H2264="","Open",IF(H2264&lt;=INDEX(Assumptions!$C$15:$C$18,MATCH(E2264,Assumptions!$A$15:$A$18,0)),"Yes","No"))</f>
        <v>Yes</v>
      </c>
    </row>
    <row r="2265" customFormat="false" ht="15" hidden="false" customHeight="false" outlineLevel="0" collapsed="false">
      <c r="A2265" s="31" t="s">
        <v>2415</v>
      </c>
      <c r="B2265" s="44" t="n">
        <v>46235</v>
      </c>
      <c r="C2265" s="31" t="s">
        <v>57</v>
      </c>
      <c r="D2265" s="31" t="s">
        <v>67</v>
      </c>
      <c r="E2265" s="31" t="s">
        <v>51</v>
      </c>
      <c r="F2265" s="31" t="s">
        <v>135</v>
      </c>
      <c r="G2265" s="31" t="n">
        <v>4</v>
      </c>
      <c r="H2265" s="41" t="n">
        <v>14.6</v>
      </c>
      <c r="I2265" s="31" t="s">
        <v>149</v>
      </c>
      <c r="J2265" s="31"/>
      <c r="K2265" s="31" t="s">
        <v>150</v>
      </c>
      <c r="L2265" s="45" t="n">
        <f aca="false">DATE(YEAR(B2265),MONTH(B2265),1)</f>
        <v>46235</v>
      </c>
      <c r="M2265" s="31" t="n">
        <f aca="false">WEEKDAY(B2265,2)</f>
        <v>6</v>
      </c>
      <c r="N2265" s="31" t="str">
        <f aca="false">IF(G2265&lt;=INDEX(Assumptions!$B$15:$B$18,MATCH(E2265,Assumptions!$A$15:$A$18,0)),"Yes","No")</f>
        <v>Yes</v>
      </c>
      <c r="O2265" s="31" t="str">
        <f aca="false">IF(H2265="","Open",IF(H2265&lt;=INDEX(Assumptions!$C$15:$C$18,MATCH(E2265,Assumptions!$A$15:$A$18,0)),"Yes","No"))</f>
        <v>Yes</v>
      </c>
    </row>
    <row r="2266" customFormat="false" ht="15" hidden="false" customHeight="false" outlineLevel="0" collapsed="false">
      <c r="A2266" s="31" t="s">
        <v>2416</v>
      </c>
      <c r="B2266" s="44" t="n">
        <v>46235</v>
      </c>
      <c r="C2266" s="31" t="s">
        <v>60</v>
      </c>
      <c r="D2266" s="31" t="s">
        <v>65</v>
      </c>
      <c r="E2266" s="31" t="s">
        <v>52</v>
      </c>
      <c r="F2266" s="31" t="s">
        <v>137</v>
      </c>
      <c r="G2266" s="31" t="n">
        <v>1</v>
      </c>
      <c r="H2266" s="41" t="n">
        <v>26</v>
      </c>
      <c r="I2266" s="31" t="s">
        <v>149</v>
      </c>
      <c r="J2266" s="31" t="n">
        <v>5</v>
      </c>
      <c r="K2266" s="31" t="s">
        <v>150</v>
      </c>
      <c r="L2266" s="45" t="n">
        <f aca="false">DATE(YEAR(B2266),MONTH(B2266),1)</f>
        <v>46235</v>
      </c>
      <c r="M2266" s="31" t="n">
        <f aca="false">WEEKDAY(B2266,2)</f>
        <v>6</v>
      </c>
      <c r="N2266" s="31" t="str">
        <f aca="false">IF(G2266&lt;=INDEX(Assumptions!$B$15:$B$18,MATCH(E2266,Assumptions!$A$15:$A$18,0)),"Yes","No")</f>
        <v>Yes</v>
      </c>
      <c r="O2266" s="31" t="str">
        <f aca="false">IF(H2266="","Open",IF(H2266&lt;=INDEX(Assumptions!$C$15:$C$18,MATCH(E2266,Assumptions!$A$15:$A$18,0)),"Yes","No"))</f>
        <v>Yes</v>
      </c>
    </row>
    <row r="2267" customFormat="false" ht="15" hidden="false" customHeight="false" outlineLevel="0" collapsed="false">
      <c r="A2267" s="31" t="s">
        <v>2417</v>
      </c>
      <c r="B2267" s="44" t="n">
        <v>46235</v>
      </c>
      <c r="C2267" s="31" t="s">
        <v>57</v>
      </c>
      <c r="D2267" s="31" t="s">
        <v>66</v>
      </c>
      <c r="E2267" s="31" t="s">
        <v>52</v>
      </c>
      <c r="F2267" s="31" t="s">
        <v>130</v>
      </c>
      <c r="G2267" s="31" t="n">
        <v>2</v>
      </c>
      <c r="H2267" s="41" t="n">
        <v>18.3</v>
      </c>
      <c r="I2267" s="31" t="s">
        <v>149</v>
      </c>
      <c r="J2267" s="31"/>
      <c r="K2267" s="31" t="s">
        <v>150</v>
      </c>
      <c r="L2267" s="45" t="n">
        <f aca="false">DATE(YEAR(B2267),MONTH(B2267),1)</f>
        <v>46235</v>
      </c>
      <c r="M2267" s="31" t="n">
        <f aca="false">WEEKDAY(B2267,2)</f>
        <v>6</v>
      </c>
      <c r="N2267" s="31" t="str">
        <f aca="false">IF(G2267&lt;=INDEX(Assumptions!$B$15:$B$18,MATCH(E2267,Assumptions!$A$15:$A$18,0)),"Yes","No")</f>
        <v>Yes</v>
      </c>
      <c r="O2267" s="31" t="str">
        <f aca="false">IF(H2267="","Open",IF(H2267&lt;=INDEX(Assumptions!$C$15:$C$18,MATCH(E2267,Assumptions!$A$15:$A$18,0)),"Yes","No"))</f>
        <v>Yes</v>
      </c>
    </row>
    <row r="2268" customFormat="false" ht="15" hidden="false" customHeight="false" outlineLevel="0" collapsed="false">
      <c r="A2268" s="31" t="s">
        <v>2418</v>
      </c>
      <c r="B2268" s="44" t="n">
        <v>46235</v>
      </c>
      <c r="C2268" s="31" t="s">
        <v>57</v>
      </c>
      <c r="D2268" s="31" t="s">
        <v>69</v>
      </c>
      <c r="E2268" s="31" t="s">
        <v>52</v>
      </c>
      <c r="F2268" s="31" t="s">
        <v>117</v>
      </c>
      <c r="G2268" s="31" t="n">
        <v>8</v>
      </c>
      <c r="H2268" s="41" t="n">
        <v>97.5</v>
      </c>
      <c r="I2268" s="31" t="s">
        <v>149</v>
      </c>
      <c r="J2268" s="31" t="n">
        <v>5</v>
      </c>
      <c r="K2268" s="31" t="s">
        <v>150</v>
      </c>
      <c r="L2268" s="45" t="n">
        <f aca="false">DATE(YEAR(B2268),MONTH(B2268),1)</f>
        <v>46235</v>
      </c>
      <c r="M2268" s="31" t="n">
        <f aca="false">WEEKDAY(B2268,2)</f>
        <v>6</v>
      </c>
      <c r="N2268" s="31" t="str">
        <f aca="false">IF(G2268&lt;=INDEX(Assumptions!$B$15:$B$18,MATCH(E2268,Assumptions!$A$15:$A$18,0)),"Yes","No")</f>
        <v>Yes</v>
      </c>
      <c r="O2268" s="31" t="str">
        <f aca="false">IF(H2268="","Open",IF(H2268&lt;=INDEX(Assumptions!$C$15:$C$18,MATCH(E2268,Assumptions!$A$15:$A$18,0)),"Yes","No"))</f>
        <v>No</v>
      </c>
    </row>
    <row r="2269" customFormat="false" ht="15" hidden="false" customHeight="false" outlineLevel="0" collapsed="false">
      <c r="A2269" s="31" t="s">
        <v>2419</v>
      </c>
      <c r="B2269" s="44" t="n">
        <v>46235</v>
      </c>
      <c r="C2269" s="31" t="s">
        <v>59</v>
      </c>
      <c r="D2269" s="31" t="s">
        <v>66</v>
      </c>
      <c r="E2269" s="31" t="s">
        <v>52</v>
      </c>
      <c r="F2269" s="31" t="s">
        <v>123</v>
      </c>
      <c r="G2269" s="31" t="n">
        <v>135</v>
      </c>
      <c r="H2269" s="41" t="n">
        <v>2.5</v>
      </c>
      <c r="I2269" s="31" t="s">
        <v>149</v>
      </c>
      <c r="J2269" s="31" t="n">
        <v>5</v>
      </c>
      <c r="K2269" s="31" t="s">
        <v>150</v>
      </c>
      <c r="L2269" s="45" t="n">
        <f aca="false">DATE(YEAR(B2269),MONTH(B2269),1)</f>
        <v>46235</v>
      </c>
      <c r="M2269" s="31" t="n">
        <f aca="false">WEEKDAY(B2269,2)</f>
        <v>6</v>
      </c>
      <c r="N2269" s="31" t="str">
        <f aca="false">IF(G2269&lt;=INDEX(Assumptions!$B$15:$B$18,MATCH(E2269,Assumptions!$A$15:$A$18,0)),"Yes","No")</f>
        <v>Yes</v>
      </c>
      <c r="O2269" s="31" t="str">
        <f aca="false">IF(H2269="","Open",IF(H2269&lt;=INDEX(Assumptions!$C$15:$C$18,MATCH(E2269,Assumptions!$A$15:$A$18,0)),"Yes","No"))</f>
        <v>Yes</v>
      </c>
    </row>
    <row r="2270" customFormat="false" ht="15" hidden="false" customHeight="false" outlineLevel="0" collapsed="false">
      <c r="A2270" s="31" t="s">
        <v>2420</v>
      </c>
      <c r="B2270" s="44" t="n">
        <v>46235</v>
      </c>
      <c r="C2270" s="31" t="s">
        <v>60</v>
      </c>
      <c r="D2270" s="31" t="s">
        <v>68</v>
      </c>
      <c r="E2270" s="31" t="s">
        <v>51</v>
      </c>
      <c r="F2270" s="31" t="s">
        <v>127</v>
      </c>
      <c r="G2270" s="31" t="n">
        <v>3</v>
      </c>
      <c r="H2270" s="41" t="n">
        <v>11</v>
      </c>
      <c r="I2270" s="31" t="s">
        <v>149</v>
      </c>
      <c r="J2270" s="31"/>
      <c r="K2270" s="31" t="s">
        <v>153</v>
      </c>
      <c r="L2270" s="45" t="n">
        <f aca="false">DATE(YEAR(B2270),MONTH(B2270),1)</f>
        <v>46235</v>
      </c>
      <c r="M2270" s="31" t="n">
        <f aca="false">WEEKDAY(B2270,2)</f>
        <v>6</v>
      </c>
      <c r="N2270" s="31" t="str">
        <f aca="false">IF(G2270&lt;=INDEX(Assumptions!$B$15:$B$18,MATCH(E2270,Assumptions!$A$15:$A$18,0)),"Yes","No")</f>
        <v>Yes</v>
      </c>
      <c r="O2270" s="31" t="str">
        <f aca="false">IF(H2270="","Open",IF(H2270&lt;=INDEX(Assumptions!$C$15:$C$18,MATCH(E2270,Assumptions!$A$15:$A$18,0)),"Yes","No"))</f>
        <v>Yes</v>
      </c>
    </row>
    <row r="2271" customFormat="false" ht="15" hidden="false" customHeight="false" outlineLevel="0" collapsed="false">
      <c r="A2271" s="31" t="s">
        <v>2421</v>
      </c>
      <c r="B2271" s="44" t="n">
        <v>46235</v>
      </c>
      <c r="C2271" s="31" t="s">
        <v>58</v>
      </c>
      <c r="D2271" s="31" t="s">
        <v>67</v>
      </c>
      <c r="E2271" s="31" t="s">
        <v>51</v>
      </c>
      <c r="F2271" s="31" t="s">
        <v>120</v>
      </c>
      <c r="G2271" s="31" t="n">
        <v>14</v>
      </c>
      <c r="H2271" s="41" t="n">
        <v>23</v>
      </c>
      <c r="I2271" s="31" t="s">
        <v>149</v>
      </c>
      <c r="J2271" s="31" t="n">
        <v>5</v>
      </c>
      <c r="K2271" s="31" t="s">
        <v>150</v>
      </c>
      <c r="L2271" s="45" t="n">
        <f aca="false">DATE(YEAR(B2271),MONTH(B2271),1)</f>
        <v>46235</v>
      </c>
      <c r="M2271" s="31" t="n">
        <f aca="false">WEEKDAY(B2271,2)</f>
        <v>6</v>
      </c>
      <c r="N2271" s="31" t="str">
        <f aca="false">IF(G2271&lt;=INDEX(Assumptions!$B$15:$B$18,MATCH(E2271,Assumptions!$A$15:$A$18,0)),"Yes","No")</f>
        <v>Yes</v>
      </c>
      <c r="O2271" s="31" t="str">
        <f aca="false">IF(H2271="","Open",IF(H2271&lt;=INDEX(Assumptions!$C$15:$C$18,MATCH(E2271,Assumptions!$A$15:$A$18,0)),"Yes","No"))</f>
        <v>Yes</v>
      </c>
    </row>
    <row r="2272" customFormat="false" ht="15" hidden="false" customHeight="false" outlineLevel="0" collapsed="false">
      <c r="A2272" s="31" t="s">
        <v>2422</v>
      </c>
      <c r="B2272" s="44" t="n">
        <v>46235</v>
      </c>
      <c r="C2272" s="31" t="s">
        <v>60</v>
      </c>
      <c r="D2272" s="31" t="s">
        <v>66</v>
      </c>
      <c r="E2272" s="31" t="s">
        <v>50</v>
      </c>
      <c r="F2272" s="31" t="s">
        <v>121</v>
      </c>
      <c r="G2272" s="31" t="n">
        <v>1</v>
      </c>
      <c r="H2272" s="41" t="n">
        <v>1.3</v>
      </c>
      <c r="I2272" s="31" t="s">
        <v>149</v>
      </c>
      <c r="J2272" s="31"/>
      <c r="K2272" s="31" t="s">
        <v>150</v>
      </c>
      <c r="L2272" s="45" t="n">
        <f aca="false">DATE(YEAR(B2272),MONTH(B2272),1)</f>
        <v>46235</v>
      </c>
      <c r="M2272" s="31" t="n">
        <f aca="false">WEEKDAY(B2272,2)</f>
        <v>6</v>
      </c>
      <c r="N2272" s="31" t="str">
        <f aca="false">IF(G2272&lt;=INDEX(Assumptions!$B$15:$B$18,MATCH(E2272,Assumptions!$A$15:$A$18,0)),"Yes","No")</f>
        <v>Yes</v>
      </c>
      <c r="O2272" s="31" t="str">
        <f aca="false">IF(H2272="","Open",IF(H2272&lt;=INDEX(Assumptions!$C$15:$C$18,MATCH(E2272,Assumptions!$A$15:$A$18,0)),"Yes","No"))</f>
        <v>Yes</v>
      </c>
    </row>
    <row r="2273" customFormat="false" ht="15" hidden="false" customHeight="false" outlineLevel="0" collapsed="false">
      <c r="A2273" s="31" t="s">
        <v>2423</v>
      </c>
      <c r="B2273" s="44" t="n">
        <v>46235</v>
      </c>
      <c r="C2273" s="31" t="s">
        <v>57</v>
      </c>
      <c r="D2273" s="31" t="s">
        <v>65</v>
      </c>
      <c r="E2273" s="31" t="s">
        <v>51</v>
      </c>
      <c r="F2273" s="31" t="s">
        <v>129</v>
      </c>
      <c r="G2273" s="31" t="n">
        <v>5</v>
      </c>
      <c r="H2273" s="41" t="n">
        <v>2.9</v>
      </c>
      <c r="I2273" s="31" t="s">
        <v>149</v>
      </c>
      <c r="J2273" s="31"/>
      <c r="K2273" s="31" t="s">
        <v>150</v>
      </c>
      <c r="L2273" s="45" t="n">
        <f aca="false">DATE(YEAR(B2273),MONTH(B2273),1)</f>
        <v>46235</v>
      </c>
      <c r="M2273" s="31" t="n">
        <f aca="false">WEEKDAY(B2273,2)</f>
        <v>6</v>
      </c>
      <c r="N2273" s="31" t="str">
        <f aca="false">IF(G2273&lt;=INDEX(Assumptions!$B$15:$B$18,MATCH(E2273,Assumptions!$A$15:$A$18,0)),"Yes","No")</f>
        <v>Yes</v>
      </c>
      <c r="O2273" s="31" t="str">
        <f aca="false">IF(H2273="","Open",IF(H2273&lt;=INDEX(Assumptions!$C$15:$C$18,MATCH(E2273,Assumptions!$A$15:$A$18,0)),"Yes","No"))</f>
        <v>Yes</v>
      </c>
    </row>
    <row r="2274" customFormat="false" ht="15" hidden="false" customHeight="false" outlineLevel="0" collapsed="false">
      <c r="A2274" s="31" t="s">
        <v>2424</v>
      </c>
      <c r="B2274" s="44" t="n">
        <v>46235</v>
      </c>
      <c r="C2274" s="31" t="s">
        <v>59</v>
      </c>
      <c r="D2274" s="31" t="s">
        <v>69</v>
      </c>
      <c r="E2274" s="31" t="s">
        <v>51</v>
      </c>
      <c r="F2274" s="31" t="s">
        <v>135</v>
      </c>
      <c r="G2274" s="31" t="n">
        <v>134</v>
      </c>
      <c r="H2274" s="41" t="n">
        <v>32.5</v>
      </c>
      <c r="I2274" s="31" t="s">
        <v>149</v>
      </c>
      <c r="J2274" s="31" t="n">
        <v>4</v>
      </c>
      <c r="K2274" s="31" t="s">
        <v>150</v>
      </c>
      <c r="L2274" s="45" t="n">
        <f aca="false">DATE(YEAR(B2274),MONTH(B2274),1)</f>
        <v>46235</v>
      </c>
      <c r="M2274" s="31" t="n">
        <f aca="false">WEEKDAY(B2274,2)</f>
        <v>6</v>
      </c>
      <c r="N2274" s="31" t="str">
        <f aca="false">IF(G2274&lt;=INDEX(Assumptions!$B$15:$B$18,MATCH(E2274,Assumptions!$A$15:$A$18,0)),"Yes","No")</f>
        <v>No</v>
      </c>
      <c r="O2274" s="31" t="str">
        <f aca="false">IF(H2274="","Open",IF(H2274&lt;=INDEX(Assumptions!$C$15:$C$18,MATCH(E2274,Assumptions!$A$15:$A$18,0)),"Yes","No"))</f>
        <v>No</v>
      </c>
    </row>
    <row r="2275" customFormat="false" ht="15" hidden="false" customHeight="false" outlineLevel="0" collapsed="false">
      <c r="A2275" s="31" t="s">
        <v>2425</v>
      </c>
      <c r="B2275" s="44" t="n">
        <v>46235</v>
      </c>
      <c r="C2275" s="31" t="s">
        <v>60</v>
      </c>
      <c r="D2275" s="31" t="s">
        <v>67</v>
      </c>
      <c r="E2275" s="31" t="s">
        <v>51</v>
      </c>
      <c r="F2275" s="31" t="s">
        <v>134</v>
      </c>
      <c r="G2275" s="31" t="n">
        <v>7</v>
      </c>
      <c r="H2275" s="41" t="n">
        <v>12</v>
      </c>
      <c r="I2275" s="31" t="s">
        <v>149</v>
      </c>
      <c r="J2275" s="31" t="n">
        <v>3</v>
      </c>
      <c r="K2275" s="31" t="s">
        <v>150</v>
      </c>
      <c r="L2275" s="45" t="n">
        <f aca="false">DATE(YEAR(B2275),MONTH(B2275),1)</f>
        <v>46235</v>
      </c>
      <c r="M2275" s="31" t="n">
        <f aca="false">WEEKDAY(B2275,2)</f>
        <v>6</v>
      </c>
      <c r="N2275" s="31" t="str">
        <f aca="false">IF(G2275&lt;=INDEX(Assumptions!$B$15:$B$18,MATCH(E2275,Assumptions!$A$15:$A$18,0)),"Yes","No")</f>
        <v>Yes</v>
      </c>
      <c r="O2275" s="31" t="str">
        <f aca="false">IF(H2275="","Open",IF(H2275&lt;=INDEX(Assumptions!$C$15:$C$18,MATCH(E2275,Assumptions!$A$15:$A$18,0)),"Yes","No"))</f>
        <v>Yes</v>
      </c>
    </row>
    <row r="2276" customFormat="false" ht="15" hidden="false" customHeight="false" outlineLevel="0" collapsed="false">
      <c r="A2276" s="31" t="s">
        <v>2426</v>
      </c>
      <c r="B2276" s="44" t="n">
        <v>46235</v>
      </c>
      <c r="C2276" s="31" t="s">
        <v>60</v>
      </c>
      <c r="D2276" s="31" t="s">
        <v>67</v>
      </c>
      <c r="E2276" s="31" t="s">
        <v>51</v>
      </c>
      <c r="F2276" s="31" t="s">
        <v>128</v>
      </c>
      <c r="G2276" s="31" t="n">
        <v>6</v>
      </c>
      <c r="H2276" s="41" t="n">
        <v>45</v>
      </c>
      <c r="I2276" s="31" t="s">
        <v>149</v>
      </c>
      <c r="J2276" s="31" t="n">
        <v>4</v>
      </c>
      <c r="K2276" s="31" t="s">
        <v>150</v>
      </c>
      <c r="L2276" s="45" t="n">
        <f aca="false">DATE(YEAR(B2276),MONTH(B2276),1)</f>
        <v>46235</v>
      </c>
      <c r="M2276" s="31" t="n">
        <f aca="false">WEEKDAY(B2276,2)</f>
        <v>6</v>
      </c>
      <c r="N2276" s="31" t="str">
        <f aca="false">IF(G2276&lt;=INDEX(Assumptions!$B$15:$B$18,MATCH(E2276,Assumptions!$A$15:$A$18,0)),"Yes","No")</f>
        <v>Yes</v>
      </c>
      <c r="O2276" s="31" t="str">
        <f aca="false">IF(H2276="","Open",IF(H2276&lt;=INDEX(Assumptions!$C$15:$C$18,MATCH(E2276,Assumptions!$A$15:$A$18,0)),"Yes","No"))</f>
        <v>No</v>
      </c>
    </row>
    <row r="2277" customFormat="false" ht="15" hidden="false" customHeight="false" outlineLevel="0" collapsed="false">
      <c r="A2277" s="31" t="s">
        <v>2427</v>
      </c>
      <c r="B2277" s="44" t="n">
        <v>46235</v>
      </c>
      <c r="C2277" s="31" t="s">
        <v>58</v>
      </c>
      <c r="D2277" s="31" t="s">
        <v>67</v>
      </c>
      <c r="E2277" s="31" t="s">
        <v>51</v>
      </c>
      <c r="F2277" s="31" t="s">
        <v>128</v>
      </c>
      <c r="G2277" s="31" t="n">
        <v>16</v>
      </c>
      <c r="H2277" s="41" t="n">
        <v>62.9</v>
      </c>
      <c r="I2277" s="31" t="s">
        <v>149</v>
      </c>
      <c r="J2277" s="31"/>
      <c r="K2277" s="31" t="s">
        <v>150</v>
      </c>
      <c r="L2277" s="45" t="n">
        <f aca="false">DATE(YEAR(B2277),MONTH(B2277),1)</f>
        <v>46235</v>
      </c>
      <c r="M2277" s="31" t="n">
        <f aca="false">WEEKDAY(B2277,2)</f>
        <v>6</v>
      </c>
      <c r="N2277" s="31" t="str">
        <f aca="false">IF(G2277&lt;=INDEX(Assumptions!$B$15:$B$18,MATCH(E2277,Assumptions!$A$15:$A$18,0)),"Yes","No")</f>
        <v>Yes</v>
      </c>
      <c r="O2277" s="31" t="str">
        <f aca="false">IF(H2277="","Open",IF(H2277&lt;=INDEX(Assumptions!$C$15:$C$18,MATCH(E2277,Assumptions!$A$15:$A$18,0)),"Yes","No"))</f>
        <v>No</v>
      </c>
    </row>
    <row r="2278" customFormat="false" ht="15" hidden="false" customHeight="false" outlineLevel="0" collapsed="false">
      <c r="A2278" s="31" t="s">
        <v>2428</v>
      </c>
      <c r="B2278" s="44" t="n">
        <v>46235</v>
      </c>
      <c r="C2278" s="31" t="s">
        <v>60</v>
      </c>
      <c r="D2278" s="31" t="s">
        <v>66</v>
      </c>
      <c r="E2278" s="31" t="s">
        <v>51</v>
      </c>
      <c r="F2278" s="31" t="s">
        <v>119</v>
      </c>
      <c r="G2278" s="31" t="n">
        <v>2</v>
      </c>
      <c r="H2278" s="41" t="n">
        <v>5.5</v>
      </c>
      <c r="I2278" s="31" t="s">
        <v>149</v>
      </c>
      <c r="J2278" s="31" t="n">
        <v>4</v>
      </c>
      <c r="K2278" s="31" t="s">
        <v>150</v>
      </c>
      <c r="L2278" s="45" t="n">
        <f aca="false">DATE(YEAR(B2278),MONTH(B2278),1)</f>
        <v>46235</v>
      </c>
      <c r="M2278" s="31" t="n">
        <f aca="false">WEEKDAY(B2278,2)</f>
        <v>6</v>
      </c>
      <c r="N2278" s="31" t="str">
        <f aca="false">IF(G2278&lt;=INDEX(Assumptions!$B$15:$B$18,MATCH(E2278,Assumptions!$A$15:$A$18,0)),"Yes","No")</f>
        <v>Yes</v>
      </c>
      <c r="O2278" s="31" t="str">
        <f aca="false">IF(H2278="","Open",IF(H2278&lt;=INDEX(Assumptions!$C$15:$C$18,MATCH(E2278,Assumptions!$A$15:$A$18,0)),"Yes","No"))</f>
        <v>Yes</v>
      </c>
    </row>
    <row r="2279" customFormat="false" ht="15" hidden="false" customHeight="false" outlineLevel="0" collapsed="false">
      <c r="A2279" s="31" t="s">
        <v>2429</v>
      </c>
      <c r="B2279" s="44" t="n">
        <v>46235</v>
      </c>
      <c r="C2279" s="31" t="s">
        <v>57</v>
      </c>
      <c r="D2279" s="31" t="s">
        <v>65</v>
      </c>
      <c r="E2279" s="31" t="s">
        <v>51</v>
      </c>
      <c r="F2279" s="31" t="s">
        <v>123</v>
      </c>
      <c r="G2279" s="31" t="n">
        <v>3</v>
      </c>
      <c r="H2279" s="41"/>
      <c r="I2279" s="31" t="s">
        <v>158</v>
      </c>
      <c r="J2279" s="31"/>
      <c r="K2279" s="31" t="s">
        <v>150</v>
      </c>
      <c r="L2279" s="45" t="n">
        <f aca="false">DATE(YEAR(B2279),MONTH(B2279),1)</f>
        <v>46235</v>
      </c>
      <c r="M2279" s="31" t="n">
        <f aca="false">WEEKDAY(B2279,2)</f>
        <v>6</v>
      </c>
      <c r="N2279" s="31" t="str">
        <f aca="false">IF(G2279&lt;=INDEX(Assumptions!$B$15:$B$18,MATCH(E2279,Assumptions!$A$15:$A$18,0)),"Yes","No")</f>
        <v>Yes</v>
      </c>
      <c r="O2279" s="31" t="str">
        <f aca="false">IF(H2279="","Open",IF(H2279&lt;=INDEX(Assumptions!$C$15:$C$18,MATCH(E2279,Assumptions!$A$15:$A$18,0)),"Yes","No"))</f>
        <v>Open</v>
      </c>
    </row>
    <row r="2280" customFormat="false" ht="15" hidden="false" customHeight="false" outlineLevel="0" collapsed="false">
      <c r="A2280" s="31" t="s">
        <v>2430</v>
      </c>
      <c r="B2280" s="44" t="n">
        <v>46235</v>
      </c>
      <c r="C2280" s="31" t="s">
        <v>57</v>
      </c>
      <c r="D2280" s="31" t="s">
        <v>67</v>
      </c>
      <c r="E2280" s="31" t="s">
        <v>52</v>
      </c>
      <c r="F2280" s="31" t="s">
        <v>126</v>
      </c>
      <c r="G2280" s="31" t="n">
        <v>10</v>
      </c>
      <c r="H2280" s="41" t="n">
        <v>13.5</v>
      </c>
      <c r="I2280" s="31" t="s">
        <v>149</v>
      </c>
      <c r="J2280" s="31" t="n">
        <v>4</v>
      </c>
      <c r="K2280" s="31" t="s">
        <v>150</v>
      </c>
      <c r="L2280" s="45" t="n">
        <f aca="false">DATE(YEAR(B2280),MONTH(B2280),1)</f>
        <v>46235</v>
      </c>
      <c r="M2280" s="31" t="n">
        <f aca="false">WEEKDAY(B2280,2)</f>
        <v>6</v>
      </c>
      <c r="N2280" s="31" t="str">
        <f aca="false">IF(G2280&lt;=INDEX(Assumptions!$B$15:$B$18,MATCH(E2280,Assumptions!$A$15:$A$18,0)),"Yes","No")</f>
        <v>Yes</v>
      </c>
      <c r="O2280" s="31" t="str">
        <f aca="false">IF(H2280="","Open",IF(H2280&lt;=INDEX(Assumptions!$C$15:$C$18,MATCH(E2280,Assumptions!$A$15:$A$18,0)),"Yes","No"))</f>
        <v>Yes</v>
      </c>
    </row>
    <row r="2281" customFormat="false" ht="15" hidden="false" customHeight="false" outlineLevel="0" collapsed="false">
      <c r="A2281" s="31" t="s">
        <v>2431</v>
      </c>
      <c r="B2281" s="44" t="n">
        <v>46235</v>
      </c>
      <c r="C2281" s="31" t="s">
        <v>59</v>
      </c>
      <c r="D2281" s="31" t="s">
        <v>66</v>
      </c>
      <c r="E2281" s="31" t="s">
        <v>50</v>
      </c>
      <c r="F2281" s="31" t="s">
        <v>127</v>
      </c>
      <c r="G2281" s="31" t="n">
        <v>62</v>
      </c>
      <c r="H2281" s="41" t="n">
        <v>1.7</v>
      </c>
      <c r="I2281" s="31" t="s">
        <v>149</v>
      </c>
      <c r="J2281" s="31" t="n">
        <v>5</v>
      </c>
      <c r="K2281" s="31" t="s">
        <v>150</v>
      </c>
      <c r="L2281" s="45" t="n">
        <f aca="false">DATE(YEAR(B2281),MONTH(B2281),1)</f>
        <v>46235</v>
      </c>
      <c r="M2281" s="31" t="n">
        <f aca="false">WEEKDAY(B2281,2)</f>
        <v>6</v>
      </c>
      <c r="N2281" s="31" t="str">
        <f aca="false">IF(G2281&lt;=INDEX(Assumptions!$B$15:$B$18,MATCH(E2281,Assumptions!$A$15:$A$18,0)),"Yes","No")</f>
        <v>No</v>
      </c>
      <c r="O2281" s="31" t="str">
        <f aca="false">IF(H2281="","Open",IF(H2281&lt;=INDEX(Assumptions!$C$15:$C$18,MATCH(E2281,Assumptions!$A$15:$A$18,0)),"Yes","No"))</f>
        <v>Yes</v>
      </c>
    </row>
    <row r="2282" customFormat="false" ht="15" hidden="false" customHeight="false" outlineLevel="0" collapsed="false">
      <c r="A2282" s="31" t="s">
        <v>2432</v>
      </c>
      <c r="B2282" s="44" t="n">
        <v>46235</v>
      </c>
      <c r="C2282" s="31" t="s">
        <v>58</v>
      </c>
      <c r="D2282" s="31" t="s">
        <v>67</v>
      </c>
      <c r="E2282" s="31" t="s">
        <v>52</v>
      </c>
      <c r="F2282" s="31" t="s">
        <v>136</v>
      </c>
      <c r="G2282" s="31" t="n">
        <v>16</v>
      </c>
      <c r="H2282" s="41" t="n">
        <v>140</v>
      </c>
      <c r="I2282" s="31" t="s">
        <v>149</v>
      </c>
      <c r="J2282" s="31"/>
      <c r="K2282" s="31" t="s">
        <v>150</v>
      </c>
      <c r="L2282" s="45" t="n">
        <f aca="false">DATE(YEAR(B2282),MONTH(B2282),1)</f>
        <v>46235</v>
      </c>
      <c r="M2282" s="31" t="n">
        <f aca="false">WEEKDAY(B2282,2)</f>
        <v>6</v>
      </c>
      <c r="N2282" s="31" t="str">
        <f aca="false">IF(G2282&lt;=INDEX(Assumptions!$B$15:$B$18,MATCH(E2282,Assumptions!$A$15:$A$18,0)),"Yes","No")</f>
        <v>Yes</v>
      </c>
      <c r="O2282" s="31" t="str">
        <f aca="false">IF(H2282="","Open",IF(H2282&lt;=INDEX(Assumptions!$C$15:$C$18,MATCH(E2282,Assumptions!$A$15:$A$18,0)),"Yes","No"))</f>
        <v>No</v>
      </c>
    </row>
    <row r="2283" customFormat="false" ht="15" hidden="false" customHeight="false" outlineLevel="0" collapsed="false">
      <c r="A2283" s="31" t="s">
        <v>2433</v>
      </c>
      <c r="B2283" s="44" t="n">
        <v>46235</v>
      </c>
      <c r="C2283" s="31" t="s">
        <v>58</v>
      </c>
      <c r="D2283" s="31" t="s">
        <v>69</v>
      </c>
      <c r="E2283" s="31" t="s">
        <v>51</v>
      </c>
      <c r="F2283" s="31" t="s">
        <v>131</v>
      </c>
      <c r="G2283" s="31" t="n">
        <v>5</v>
      </c>
      <c r="H2283" s="41" t="n">
        <v>3.9</v>
      </c>
      <c r="I2283" s="31" t="s">
        <v>149</v>
      </c>
      <c r="J2283" s="31" t="n">
        <v>5</v>
      </c>
      <c r="K2283" s="31" t="s">
        <v>150</v>
      </c>
      <c r="L2283" s="45" t="n">
        <f aca="false">DATE(YEAR(B2283),MONTH(B2283),1)</f>
        <v>46235</v>
      </c>
      <c r="M2283" s="31" t="n">
        <f aca="false">WEEKDAY(B2283,2)</f>
        <v>6</v>
      </c>
      <c r="N2283" s="31" t="str">
        <f aca="false">IF(G2283&lt;=INDEX(Assumptions!$B$15:$B$18,MATCH(E2283,Assumptions!$A$15:$A$18,0)),"Yes","No")</f>
        <v>Yes</v>
      </c>
      <c r="O2283" s="31" t="str">
        <f aca="false">IF(H2283="","Open",IF(H2283&lt;=INDEX(Assumptions!$C$15:$C$18,MATCH(E2283,Assumptions!$A$15:$A$18,0)),"Yes","No"))</f>
        <v>Yes</v>
      </c>
    </row>
    <row r="2284" customFormat="false" ht="15" hidden="false" customHeight="false" outlineLevel="0" collapsed="false">
      <c r="A2284" s="31" t="s">
        <v>2434</v>
      </c>
      <c r="B2284" s="44" t="n">
        <v>46235</v>
      </c>
      <c r="C2284" s="31" t="s">
        <v>57</v>
      </c>
      <c r="D2284" s="31" t="s">
        <v>65</v>
      </c>
      <c r="E2284" s="31" t="s">
        <v>51</v>
      </c>
      <c r="F2284" s="31" t="s">
        <v>135</v>
      </c>
      <c r="G2284" s="31" t="n">
        <v>10</v>
      </c>
      <c r="H2284" s="41" t="n">
        <v>55.2</v>
      </c>
      <c r="I2284" s="31" t="s">
        <v>149</v>
      </c>
      <c r="J2284" s="31"/>
      <c r="K2284" s="31" t="s">
        <v>150</v>
      </c>
      <c r="L2284" s="45" t="n">
        <f aca="false">DATE(YEAR(B2284),MONTH(B2284),1)</f>
        <v>46235</v>
      </c>
      <c r="M2284" s="31" t="n">
        <f aca="false">WEEKDAY(B2284,2)</f>
        <v>6</v>
      </c>
      <c r="N2284" s="31" t="str">
        <f aca="false">IF(G2284&lt;=INDEX(Assumptions!$B$15:$B$18,MATCH(E2284,Assumptions!$A$15:$A$18,0)),"Yes","No")</f>
        <v>Yes</v>
      </c>
      <c r="O2284" s="31" t="str">
        <f aca="false">IF(H2284="","Open",IF(H2284&lt;=INDEX(Assumptions!$C$15:$C$18,MATCH(E2284,Assumptions!$A$15:$A$18,0)),"Yes","No"))</f>
        <v>No</v>
      </c>
    </row>
    <row r="2285" customFormat="false" ht="15" hidden="false" customHeight="false" outlineLevel="0" collapsed="false">
      <c r="A2285" s="31" t="s">
        <v>2435</v>
      </c>
      <c r="B2285" s="44" t="n">
        <v>46235</v>
      </c>
      <c r="C2285" s="31" t="s">
        <v>60</v>
      </c>
      <c r="D2285" s="31" t="s">
        <v>67</v>
      </c>
      <c r="E2285" s="31" t="s">
        <v>51</v>
      </c>
      <c r="F2285" s="31" t="s">
        <v>122</v>
      </c>
      <c r="G2285" s="31" t="n">
        <v>4</v>
      </c>
      <c r="H2285" s="41" t="n">
        <v>37.8</v>
      </c>
      <c r="I2285" s="31" t="s">
        <v>149</v>
      </c>
      <c r="J2285" s="31"/>
      <c r="K2285" s="31" t="s">
        <v>150</v>
      </c>
      <c r="L2285" s="45" t="n">
        <f aca="false">DATE(YEAR(B2285),MONTH(B2285),1)</f>
        <v>46235</v>
      </c>
      <c r="M2285" s="31" t="n">
        <f aca="false">WEEKDAY(B2285,2)</f>
        <v>6</v>
      </c>
      <c r="N2285" s="31" t="str">
        <f aca="false">IF(G2285&lt;=INDEX(Assumptions!$B$15:$B$18,MATCH(E2285,Assumptions!$A$15:$A$18,0)),"Yes","No")</f>
        <v>Yes</v>
      </c>
      <c r="O2285" s="31" t="str">
        <f aca="false">IF(H2285="","Open",IF(H2285&lt;=INDEX(Assumptions!$C$15:$C$18,MATCH(E2285,Assumptions!$A$15:$A$18,0)),"Yes","No"))</f>
        <v>No</v>
      </c>
    </row>
    <row r="2286" customFormat="false" ht="15" hidden="false" customHeight="false" outlineLevel="0" collapsed="false">
      <c r="A2286" s="31" t="s">
        <v>2436</v>
      </c>
      <c r="B2286" s="44" t="n">
        <v>46235</v>
      </c>
      <c r="C2286" s="31" t="s">
        <v>57</v>
      </c>
      <c r="D2286" s="31" t="s">
        <v>67</v>
      </c>
      <c r="E2286" s="31" t="s">
        <v>52</v>
      </c>
      <c r="F2286" s="31" t="s">
        <v>126</v>
      </c>
      <c r="G2286" s="31" t="n">
        <v>3</v>
      </c>
      <c r="H2286" s="41" t="n">
        <v>15.8</v>
      </c>
      <c r="I2286" s="31" t="s">
        <v>149</v>
      </c>
      <c r="J2286" s="31" t="n">
        <v>5</v>
      </c>
      <c r="K2286" s="31" t="s">
        <v>150</v>
      </c>
      <c r="L2286" s="45" t="n">
        <f aca="false">DATE(YEAR(B2286),MONTH(B2286),1)</f>
        <v>46235</v>
      </c>
      <c r="M2286" s="31" t="n">
        <f aca="false">WEEKDAY(B2286,2)</f>
        <v>6</v>
      </c>
      <c r="N2286" s="31" t="str">
        <f aca="false">IF(G2286&lt;=INDEX(Assumptions!$B$15:$B$18,MATCH(E2286,Assumptions!$A$15:$A$18,0)),"Yes","No")</f>
        <v>Yes</v>
      </c>
      <c r="O2286" s="31" t="str">
        <f aca="false">IF(H2286="","Open",IF(H2286&lt;=INDEX(Assumptions!$C$15:$C$18,MATCH(E2286,Assumptions!$A$15:$A$18,0)),"Yes","No"))</f>
        <v>Yes</v>
      </c>
    </row>
    <row r="2287" customFormat="false" ht="15" hidden="false" customHeight="false" outlineLevel="0" collapsed="false">
      <c r="A2287" s="31" t="s">
        <v>2437</v>
      </c>
      <c r="B2287" s="44" t="n">
        <v>46235</v>
      </c>
      <c r="C2287" s="31" t="s">
        <v>59</v>
      </c>
      <c r="D2287" s="31" t="s">
        <v>69</v>
      </c>
      <c r="E2287" s="31" t="s">
        <v>52</v>
      </c>
      <c r="F2287" s="31" t="s">
        <v>129</v>
      </c>
      <c r="G2287" s="31" t="n">
        <v>86</v>
      </c>
      <c r="H2287" s="41" t="n">
        <v>70.5</v>
      </c>
      <c r="I2287" s="31" t="s">
        <v>149</v>
      </c>
      <c r="J2287" s="31" t="n">
        <v>4</v>
      </c>
      <c r="K2287" s="31" t="s">
        <v>150</v>
      </c>
      <c r="L2287" s="45" t="n">
        <f aca="false">DATE(YEAR(B2287),MONTH(B2287),1)</f>
        <v>46235</v>
      </c>
      <c r="M2287" s="31" t="n">
        <f aca="false">WEEKDAY(B2287,2)</f>
        <v>6</v>
      </c>
      <c r="N2287" s="31" t="str">
        <f aca="false">IF(G2287&lt;=INDEX(Assumptions!$B$15:$B$18,MATCH(E2287,Assumptions!$A$15:$A$18,0)),"Yes","No")</f>
        <v>Yes</v>
      </c>
      <c r="O2287" s="31" t="str">
        <f aca="false">IF(H2287="","Open",IF(H2287&lt;=INDEX(Assumptions!$C$15:$C$18,MATCH(E2287,Assumptions!$A$15:$A$18,0)),"Yes","No"))</f>
        <v>Yes</v>
      </c>
    </row>
    <row r="2288" customFormat="false" ht="15" hidden="false" customHeight="false" outlineLevel="0" collapsed="false">
      <c r="A2288" s="31" t="s">
        <v>2438</v>
      </c>
      <c r="B2288" s="44" t="n">
        <v>46235</v>
      </c>
      <c r="C2288" s="31" t="s">
        <v>59</v>
      </c>
      <c r="D2288" s="31" t="s">
        <v>67</v>
      </c>
      <c r="E2288" s="31" t="s">
        <v>52</v>
      </c>
      <c r="F2288" s="31" t="s">
        <v>133</v>
      </c>
      <c r="G2288" s="31" t="n">
        <v>30</v>
      </c>
      <c r="H2288" s="41" t="n">
        <v>4.5</v>
      </c>
      <c r="I2288" s="31" t="s">
        <v>149</v>
      </c>
      <c r="J2288" s="31"/>
      <c r="K2288" s="31" t="s">
        <v>150</v>
      </c>
      <c r="L2288" s="45" t="n">
        <f aca="false">DATE(YEAR(B2288),MONTH(B2288),1)</f>
        <v>46235</v>
      </c>
      <c r="M2288" s="31" t="n">
        <f aca="false">WEEKDAY(B2288,2)</f>
        <v>6</v>
      </c>
      <c r="N2288" s="31" t="str">
        <f aca="false">IF(G2288&lt;=INDEX(Assumptions!$B$15:$B$18,MATCH(E2288,Assumptions!$A$15:$A$18,0)),"Yes","No")</f>
        <v>Yes</v>
      </c>
      <c r="O2288" s="31" t="str">
        <f aca="false">IF(H2288="","Open",IF(H2288&lt;=INDEX(Assumptions!$C$15:$C$18,MATCH(E2288,Assumptions!$A$15:$A$18,0)),"Yes","No"))</f>
        <v>Yes</v>
      </c>
    </row>
    <row r="2289" customFormat="false" ht="15" hidden="false" customHeight="false" outlineLevel="0" collapsed="false">
      <c r="A2289" s="31" t="s">
        <v>2439</v>
      </c>
      <c r="B2289" s="44" t="n">
        <v>46235</v>
      </c>
      <c r="C2289" s="31" t="s">
        <v>57</v>
      </c>
      <c r="D2289" s="31" t="s">
        <v>65</v>
      </c>
      <c r="E2289" s="31" t="s">
        <v>52</v>
      </c>
      <c r="F2289" s="31" t="s">
        <v>117</v>
      </c>
      <c r="G2289" s="31" t="n">
        <v>9</v>
      </c>
      <c r="H2289" s="41" t="n">
        <v>7.5</v>
      </c>
      <c r="I2289" s="31" t="s">
        <v>149</v>
      </c>
      <c r="J2289" s="31"/>
      <c r="K2289" s="31" t="s">
        <v>150</v>
      </c>
      <c r="L2289" s="45" t="n">
        <f aca="false">DATE(YEAR(B2289),MONTH(B2289),1)</f>
        <v>46235</v>
      </c>
      <c r="M2289" s="31" t="n">
        <f aca="false">WEEKDAY(B2289,2)</f>
        <v>6</v>
      </c>
      <c r="N2289" s="31" t="str">
        <f aca="false">IF(G2289&lt;=INDEX(Assumptions!$B$15:$B$18,MATCH(E2289,Assumptions!$A$15:$A$18,0)),"Yes","No")</f>
        <v>Yes</v>
      </c>
      <c r="O2289" s="31" t="str">
        <f aca="false">IF(H2289="","Open",IF(H2289&lt;=INDEX(Assumptions!$C$15:$C$18,MATCH(E2289,Assumptions!$A$15:$A$18,0)),"Yes","No"))</f>
        <v>Yes</v>
      </c>
    </row>
    <row r="2290" customFormat="false" ht="15" hidden="false" customHeight="false" outlineLevel="0" collapsed="false">
      <c r="A2290" s="31" t="s">
        <v>2440</v>
      </c>
      <c r="B2290" s="44" t="n">
        <v>46235</v>
      </c>
      <c r="C2290" s="31" t="s">
        <v>59</v>
      </c>
      <c r="D2290" s="31" t="s">
        <v>66</v>
      </c>
      <c r="E2290" s="31" t="s">
        <v>52</v>
      </c>
      <c r="F2290" s="31" t="s">
        <v>119</v>
      </c>
      <c r="G2290" s="31" t="n">
        <v>67</v>
      </c>
      <c r="H2290" s="41" t="n">
        <v>13.8</v>
      </c>
      <c r="I2290" s="31" t="s">
        <v>64</v>
      </c>
      <c r="J2290" s="31" t="n">
        <v>4</v>
      </c>
      <c r="K2290" s="31" t="s">
        <v>150</v>
      </c>
      <c r="L2290" s="45" t="n">
        <f aca="false">DATE(YEAR(B2290),MONTH(B2290),1)</f>
        <v>46235</v>
      </c>
      <c r="M2290" s="31" t="n">
        <f aca="false">WEEKDAY(B2290,2)</f>
        <v>6</v>
      </c>
      <c r="N2290" s="31" t="str">
        <f aca="false">IF(G2290&lt;=INDEX(Assumptions!$B$15:$B$18,MATCH(E2290,Assumptions!$A$15:$A$18,0)),"Yes","No")</f>
        <v>Yes</v>
      </c>
      <c r="O2290" s="31" t="str">
        <f aca="false">IF(H2290="","Open",IF(H2290&lt;=INDEX(Assumptions!$C$15:$C$18,MATCH(E2290,Assumptions!$A$15:$A$18,0)),"Yes","No"))</f>
        <v>Yes</v>
      </c>
    </row>
    <row r="2291" customFormat="false" ht="15" hidden="false" customHeight="false" outlineLevel="0" collapsed="false">
      <c r="A2291" s="31" t="s">
        <v>2441</v>
      </c>
      <c r="B2291" s="44" t="n">
        <v>46235</v>
      </c>
      <c r="C2291" s="31" t="s">
        <v>60</v>
      </c>
      <c r="D2291" s="31" t="s">
        <v>69</v>
      </c>
      <c r="E2291" s="31" t="s">
        <v>50</v>
      </c>
      <c r="F2291" s="31" t="s">
        <v>137</v>
      </c>
      <c r="G2291" s="31" t="n">
        <v>2</v>
      </c>
      <c r="H2291" s="41" t="n">
        <v>19.3</v>
      </c>
      <c r="I2291" s="31" t="s">
        <v>149</v>
      </c>
      <c r="J2291" s="31" t="n">
        <v>3</v>
      </c>
      <c r="K2291" s="31" t="s">
        <v>150</v>
      </c>
      <c r="L2291" s="45" t="n">
        <f aca="false">DATE(YEAR(B2291),MONTH(B2291),1)</f>
        <v>46235</v>
      </c>
      <c r="M2291" s="31" t="n">
        <f aca="false">WEEKDAY(B2291,2)</f>
        <v>6</v>
      </c>
      <c r="N2291" s="31" t="str">
        <f aca="false">IF(G2291&lt;=INDEX(Assumptions!$B$15:$B$18,MATCH(E2291,Assumptions!$A$15:$A$18,0)),"Yes","No")</f>
        <v>Yes</v>
      </c>
      <c r="O2291" s="31" t="str">
        <f aca="false">IF(H2291="","Open",IF(H2291&lt;=INDEX(Assumptions!$C$15:$C$18,MATCH(E2291,Assumptions!$A$15:$A$18,0)),"Yes","No"))</f>
        <v>No</v>
      </c>
    </row>
    <row r="2292" customFormat="false" ht="15" hidden="false" customHeight="false" outlineLevel="0" collapsed="false">
      <c r="A2292" s="31" t="s">
        <v>2442</v>
      </c>
      <c r="B2292" s="44" t="n">
        <v>46235</v>
      </c>
      <c r="C2292" s="31" t="s">
        <v>58</v>
      </c>
      <c r="D2292" s="31" t="s">
        <v>67</v>
      </c>
      <c r="E2292" s="31" t="s">
        <v>51</v>
      </c>
      <c r="F2292" s="31" t="s">
        <v>120</v>
      </c>
      <c r="G2292" s="31" t="n">
        <v>33</v>
      </c>
      <c r="H2292" s="41" t="n">
        <v>19.8</v>
      </c>
      <c r="I2292" s="31" t="s">
        <v>149</v>
      </c>
      <c r="J2292" s="31" t="n">
        <v>3</v>
      </c>
      <c r="K2292" s="31" t="s">
        <v>150</v>
      </c>
      <c r="L2292" s="45" t="n">
        <f aca="false">DATE(YEAR(B2292),MONTH(B2292),1)</f>
        <v>46235</v>
      </c>
      <c r="M2292" s="31" t="n">
        <f aca="false">WEEKDAY(B2292,2)</f>
        <v>6</v>
      </c>
      <c r="N2292" s="31" t="str">
        <f aca="false">IF(G2292&lt;=INDEX(Assumptions!$B$15:$B$18,MATCH(E2292,Assumptions!$A$15:$A$18,0)),"Yes","No")</f>
        <v>Yes</v>
      </c>
      <c r="O2292" s="31" t="str">
        <f aca="false">IF(H2292="","Open",IF(H2292&lt;=INDEX(Assumptions!$C$15:$C$18,MATCH(E2292,Assumptions!$A$15:$A$18,0)),"Yes","No"))</f>
        <v>Yes</v>
      </c>
    </row>
    <row r="2293" customFormat="false" ht="15" hidden="false" customHeight="false" outlineLevel="0" collapsed="false">
      <c r="A2293" s="31" t="s">
        <v>2443</v>
      </c>
      <c r="B2293" s="44" t="n">
        <v>46235</v>
      </c>
      <c r="C2293" s="31" t="s">
        <v>57</v>
      </c>
      <c r="D2293" s="31" t="s">
        <v>67</v>
      </c>
      <c r="E2293" s="31" t="s">
        <v>52</v>
      </c>
      <c r="F2293" s="31" t="s">
        <v>136</v>
      </c>
      <c r="G2293" s="31" t="n">
        <v>1</v>
      </c>
      <c r="H2293" s="41" t="n">
        <v>5.6</v>
      </c>
      <c r="I2293" s="31" t="s">
        <v>149</v>
      </c>
      <c r="J2293" s="31" t="n">
        <v>5</v>
      </c>
      <c r="K2293" s="31" t="s">
        <v>150</v>
      </c>
      <c r="L2293" s="45" t="n">
        <f aca="false">DATE(YEAR(B2293),MONTH(B2293),1)</f>
        <v>46235</v>
      </c>
      <c r="M2293" s="31" t="n">
        <f aca="false">WEEKDAY(B2293,2)</f>
        <v>6</v>
      </c>
      <c r="N2293" s="31" t="str">
        <f aca="false">IF(G2293&lt;=INDEX(Assumptions!$B$15:$B$18,MATCH(E2293,Assumptions!$A$15:$A$18,0)),"Yes","No")</f>
        <v>Yes</v>
      </c>
      <c r="O2293" s="31" t="str">
        <f aca="false">IF(H2293="","Open",IF(H2293&lt;=INDEX(Assumptions!$C$15:$C$18,MATCH(E2293,Assumptions!$A$15:$A$18,0)),"Yes","No"))</f>
        <v>Yes</v>
      </c>
    </row>
    <row r="2294" customFormat="false" ht="15" hidden="false" customHeight="false" outlineLevel="0" collapsed="false">
      <c r="A2294" s="31" t="s">
        <v>2444</v>
      </c>
      <c r="B2294" s="44" t="n">
        <v>46235</v>
      </c>
      <c r="C2294" s="31" t="s">
        <v>57</v>
      </c>
      <c r="D2294" s="31" t="s">
        <v>65</v>
      </c>
      <c r="E2294" s="31" t="s">
        <v>52</v>
      </c>
      <c r="F2294" s="31" t="s">
        <v>121</v>
      </c>
      <c r="G2294" s="31" t="n">
        <v>5</v>
      </c>
      <c r="H2294" s="41" t="n">
        <v>11</v>
      </c>
      <c r="I2294" s="31" t="s">
        <v>149</v>
      </c>
      <c r="J2294" s="31" t="n">
        <v>3</v>
      </c>
      <c r="K2294" s="31" t="s">
        <v>150</v>
      </c>
      <c r="L2294" s="45" t="n">
        <f aca="false">DATE(YEAR(B2294),MONTH(B2294),1)</f>
        <v>46235</v>
      </c>
      <c r="M2294" s="31" t="n">
        <f aca="false">WEEKDAY(B2294,2)</f>
        <v>6</v>
      </c>
      <c r="N2294" s="31" t="str">
        <f aca="false">IF(G2294&lt;=INDEX(Assumptions!$B$15:$B$18,MATCH(E2294,Assumptions!$A$15:$A$18,0)),"Yes","No")</f>
        <v>Yes</v>
      </c>
      <c r="O2294" s="31" t="str">
        <f aca="false">IF(H2294="","Open",IF(H2294&lt;=INDEX(Assumptions!$C$15:$C$18,MATCH(E2294,Assumptions!$A$15:$A$18,0)),"Yes","No"))</f>
        <v>Yes</v>
      </c>
    </row>
    <row r="2295" customFormat="false" ht="15" hidden="false" customHeight="false" outlineLevel="0" collapsed="false">
      <c r="A2295" s="31" t="s">
        <v>2445</v>
      </c>
      <c r="B2295" s="44" t="n">
        <v>46235</v>
      </c>
      <c r="C2295" s="31" t="s">
        <v>59</v>
      </c>
      <c r="D2295" s="31" t="s">
        <v>67</v>
      </c>
      <c r="E2295" s="31" t="s">
        <v>51</v>
      </c>
      <c r="F2295" s="31" t="s">
        <v>134</v>
      </c>
      <c r="G2295" s="31" t="n">
        <v>47</v>
      </c>
      <c r="H2295" s="41" t="n">
        <v>41.2</v>
      </c>
      <c r="I2295" s="31" t="s">
        <v>64</v>
      </c>
      <c r="J2295" s="31"/>
      <c r="K2295" s="31" t="s">
        <v>150</v>
      </c>
      <c r="L2295" s="45" t="n">
        <f aca="false">DATE(YEAR(B2295),MONTH(B2295),1)</f>
        <v>46235</v>
      </c>
      <c r="M2295" s="31" t="n">
        <f aca="false">WEEKDAY(B2295,2)</f>
        <v>6</v>
      </c>
      <c r="N2295" s="31" t="str">
        <f aca="false">IF(G2295&lt;=INDEX(Assumptions!$B$15:$B$18,MATCH(E2295,Assumptions!$A$15:$A$18,0)),"Yes","No")</f>
        <v>Yes</v>
      </c>
      <c r="O2295" s="31" t="str">
        <f aca="false">IF(H2295="","Open",IF(H2295&lt;=INDEX(Assumptions!$C$15:$C$18,MATCH(E2295,Assumptions!$A$15:$A$18,0)),"Yes","No"))</f>
        <v>No</v>
      </c>
    </row>
    <row r="2296" customFormat="false" ht="15" hidden="false" customHeight="false" outlineLevel="0" collapsed="false">
      <c r="A2296" s="31" t="s">
        <v>2446</v>
      </c>
      <c r="B2296" s="44" t="n">
        <v>46235</v>
      </c>
      <c r="C2296" s="31" t="s">
        <v>57</v>
      </c>
      <c r="D2296" s="31" t="s">
        <v>65</v>
      </c>
      <c r="E2296" s="31" t="s">
        <v>51</v>
      </c>
      <c r="F2296" s="31" t="s">
        <v>128</v>
      </c>
      <c r="G2296" s="31" t="n">
        <v>9</v>
      </c>
      <c r="H2296" s="41" t="n">
        <v>13.4</v>
      </c>
      <c r="I2296" s="31" t="s">
        <v>149</v>
      </c>
      <c r="J2296" s="31"/>
      <c r="K2296" s="31" t="s">
        <v>150</v>
      </c>
      <c r="L2296" s="45" t="n">
        <f aca="false">DATE(YEAR(B2296),MONTH(B2296),1)</f>
        <v>46235</v>
      </c>
      <c r="M2296" s="31" t="n">
        <f aca="false">WEEKDAY(B2296,2)</f>
        <v>6</v>
      </c>
      <c r="N2296" s="31" t="str">
        <f aca="false">IF(G2296&lt;=INDEX(Assumptions!$B$15:$B$18,MATCH(E2296,Assumptions!$A$15:$A$18,0)),"Yes","No")</f>
        <v>Yes</v>
      </c>
      <c r="O2296" s="31" t="str">
        <f aca="false">IF(H2296="","Open",IF(H2296&lt;=INDEX(Assumptions!$C$15:$C$18,MATCH(E2296,Assumptions!$A$15:$A$18,0)),"Yes","No"))</f>
        <v>Yes</v>
      </c>
    </row>
    <row r="2297" customFormat="false" ht="15" hidden="false" customHeight="false" outlineLevel="0" collapsed="false">
      <c r="A2297" s="31" t="s">
        <v>2447</v>
      </c>
      <c r="B2297" s="44" t="n">
        <v>46235</v>
      </c>
      <c r="C2297" s="31" t="s">
        <v>57</v>
      </c>
      <c r="D2297" s="31" t="s">
        <v>67</v>
      </c>
      <c r="E2297" s="31" t="s">
        <v>51</v>
      </c>
      <c r="F2297" s="31" t="s">
        <v>121</v>
      </c>
      <c r="G2297" s="31" t="n">
        <v>13</v>
      </c>
      <c r="H2297" s="41" t="n">
        <v>11.9</v>
      </c>
      <c r="I2297" s="31" t="s">
        <v>149</v>
      </c>
      <c r="J2297" s="31"/>
      <c r="K2297" s="31" t="s">
        <v>150</v>
      </c>
      <c r="L2297" s="45" t="n">
        <f aca="false">DATE(YEAR(B2297),MONTH(B2297),1)</f>
        <v>46235</v>
      </c>
      <c r="M2297" s="31" t="n">
        <f aca="false">WEEKDAY(B2297,2)</f>
        <v>6</v>
      </c>
      <c r="N2297" s="31" t="str">
        <f aca="false">IF(G2297&lt;=INDEX(Assumptions!$B$15:$B$18,MATCH(E2297,Assumptions!$A$15:$A$18,0)),"Yes","No")</f>
        <v>Yes</v>
      </c>
      <c r="O2297" s="31" t="str">
        <f aca="false">IF(H2297="","Open",IF(H2297&lt;=INDEX(Assumptions!$C$15:$C$18,MATCH(E2297,Assumptions!$A$15:$A$18,0)),"Yes","No"))</f>
        <v>Yes</v>
      </c>
    </row>
    <row r="2298" customFormat="false" ht="15" hidden="false" customHeight="false" outlineLevel="0" collapsed="false">
      <c r="A2298" s="31" t="s">
        <v>2448</v>
      </c>
      <c r="B2298" s="44" t="n">
        <v>46235</v>
      </c>
      <c r="C2298" s="31" t="s">
        <v>57</v>
      </c>
      <c r="D2298" s="31" t="s">
        <v>67</v>
      </c>
      <c r="E2298" s="31" t="s">
        <v>51</v>
      </c>
      <c r="F2298" s="31" t="s">
        <v>133</v>
      </c>
      <c r="G2298" s="31" t="n">
        <v>4</v>
      </c>
      <c r="H2298" s="41" t="n">
        <v>13.3</v>
      </c>
      <c r="I2298" s="31" t="s">
        <v>149</v>
      </c>
      <c r="J2298" s="31" t="n">
        <v>4</v>
      </c>
      <c r="K2298" s="31" t="s">
        <v>150</v>
      </c>
      <c r="L2298" s="45" t="n">
        <f aca="false">DATE(YEAR(B2298),MONTH(B2298),1)</f>
        <v>46235</v>
      </c>
      <c r="M2298" s="31" t="n">
        <f aca="false">WEEKDAY(B2298,2)</f>
        <v>6</v>
      </c>
      <c r="N2298" s="31" t="str">
        <f aca="false">IF(G2298&lt;=INDEX(Assumptions!$B$15:$B$18,MATCH(E2298,Assumptions!$A$15:$A$18,0)),"Yes","No")</f>
        <v>Yes</v>
      </c>
      <c r="O2298" s="31" t="str">
        <f aca="false">IF(H2298="","Open",IF(H2298&lt;=INDEX(Assumptions!$C$15:$C$18,MATCH(E2298,Assumptions!$A$15:$A$18,0)),"Yes","No"))</f>
        <v>Yes</v>
      </c>
    </row>
    <row r="2299" customFormat="false" ht="15" hidden="false" customHeight="false" outlineLevel="0" collapsed="false">
      <c r="A2299" s="31" t="s">
        <v>2449</v>
      </c>
      <c r="B2299" s="44" t="n">
        <v>46235</v>
      </c>
      <c r="C2299" s="31" t="s">
        <v>59</v>
      </c>
      <c r="D2299" s="31" t="s">
        <v>67</v>
      </c>
      <c r="E2299" s="31" t="s">
        <v>51</v>
      </c>
      <c r="F2299" s="31" t="s">
        <v>121</v>
      </c>
      <c r="G2299" s="31" t="n">
        <v>59</v>
      </c>
      <c r="H2299" s="41" t="n">
        <v>13.8</v>
      </c>
      <c r="I2299" s="31" t="s">
        <v>149</v>
      </c>
      <c r="J2299" s="31" t="n">
        <v>5</v>
      </c>
      <c r="K2299" s="31" t="s">
        <v>150</v>
      </c>
      <c r="L2299" s="45" t="n">
        <f aca="false">DATE(YEAR(B2299),MONTH(B2299),1)</f>
        <v>46235</v>
      </c>
      <c r="M2299" s="31" t="n">
        <f aca="false">WEEKDAY(B2299,2)</f>
        <v>6</v>
      </c>
      <c r="N2299" s="31" t="str">
        <f aca="false">IF(G2299&lt;=INDEX(Assumptions!$B$15:$B$18,MATCH(E2299,Assumptions!$A$15:$A$18,0)),"Yes","No")</f>
        <v>Yes</v>
      </c>
      <c r="O2299" s="31" t="str">
        <f aca="false">IF(H2299="","Open",IF(H2299&lt;=INDEX(Assumptions!$C$15:$C$18,MATCH(E2299,Assumptions!$A$15:$A$18,0)),"Yes","No"))</f>
        <v>Yes</v>
      </c>
    </row>
    <row r="2300" customFormat="false" ht="15" hidden="false" customHeight="false" outlineLevel="0" collapsed="false">
      <c r="A2300" s="31" t="s">
        <v>2450</v>
      </c>
      <c r="B2300" s="44" t="n">
        <v>46236</v>
      </c>
      <c r="C2300" s="31" t="s">
        <v>57</v>
      </c>
      <c r="D2300" s="31" t="s">
        <v>68</v>
      </c>
      <c r="E2300" s="31" t="s">
        <v>51</v>
      </c>
      <c r="F2300" s="31" t="s">
        <v>120</v>
      </c>
      <c r="G2300" s="31" t="n">
        <v>4</v>
      </c>
      <c r="H2300" s="41" t="n">
        <v>6.9</v>
      </c>
      <c r="I2300" s="31" t="s">
        <v>149</v>
      </c>
      <c r="J2300" s="31"/>
      <c r="K2300" s="31" t="s">
        <v>150</v>
      </c>
      <c r="L2300" s="45" t="n">
        <f aca="false">DATE(YEAR(B2300),MONTH(B2300),1)</f>
        <v>46235</v>
      </c>
      <c r="M2300" s="31" t="n">
        <f aca="false">WEEKDAY(B2300,2)</f>
        <v>7</v>
      </c>
      <c r="N2300" s="31" t="str">
        <f aca="false">IF(G2300&lt;=INDEX(Assumptions!$B$15:$B$18,MATCH(E2300,Assumptions!$A$15:$A$18,0)),"Yes","No")</f>
        <v>Yes</v>
      </c>
      <c r="O2300" s="31" t="str">
        <f aca="false">IF(H2300="","Open",IF(H2300&lt;=INDEX(Assumptions!$C$15:$C$18,MATCH(E2300,Assumptions!$A$15:$A$18,0)),"Yes","No"))</f>
        <v>Yes</v>
      </c>
    </row>
    <row r="2301" customFormat="false" ht="15" hidden="false" customHeight="false" outlineLevel="0" collapsed="false">
      <c r="A2301" s="31" t="s">
        <v>2451</v>
      </c>
      <c r="B2301" s="44" t="n">
        <v>46236</v>
      </c>
      <c r="C2301" s="31" t="s">
        <v>58</v>
      </c>
      <c r="D2301" s="31" t="s">
        <v>65</v>
      </c>
      <c r="E2301" s="31" t="s">
        <v>51</v>
      </c>
      <c r="F2301" s="31" t="s">
        <v>120</v>
      </c>
      <c r="G2301" s="31" t="n">
        <v>7</v>
      </c>
      <c r="H2301" s="41" t="n">
        <v>3.4</v>
      </c>
      <c r="I2301" s="31" t="s">
        <v>149</v>
      </c>
      <c r="J2301" s="31" t="n">
        <v>3</v>
      </c>
      <c r="K2301" s="31" t="s">
        <v>153</v>
      </c>
      <c r="L2301" s="45" t="n">
        <f aca="false">DATE(YEAR(B2301),MONTH(B2301),1)</f>
        <v>46235</v>
      </c>
      <c r="M2301" s="31" t="n">
        <f aca="false">WEEKDAY(B2301,2)</f>
        <v>7</v>
      </c>
      <c r="N2301" s="31" t="str">
        <f aca="false">IF(G2301&lt;=INDEX(Assumptions!$B$15:$B$18,MATCH(E2301,Assumptions!$A$15:$A$18,0)),"Yes","No")</f>
        <v>Yes</v>
      </c>
      <c r="O2301" s="31" t="str">
        <f aca="false">IF(H2301="","Open",IF(H2301&lt;=INDEX(Assumptions!$C$15:$C$18,MATCH(E2301,Assumptions!$A$15:$A$18,0)),"Yes","No"))</f>
        <v>Yes</v>
      </c>
    </row>
    <row r="2302" customFormat="false" ht="15" hidden="false" customHeight="false" outlineLevel="0" collapsed="false">
      <c r="A2302" s="31" t="s">
        <v>2452</v>
      </c>
      <c r="B2302" s="44" t="n">
        <v>46236</v>
      </c>
      <c r="C2302" s="31" t="s">
        <v>59</v>
      </c>
      <c r="D2302" s="31" t="s">
        <v>65</v>
      </c>
      <c r="E2302" s="31" t="s">
        <v>52</v>
      </c>
      <c r="F2302" s="31" t="s">
        <v>135</v>
      </c>
      <c r="G2302" s="31" t="n">
        <v>204</v>
      </c>
      <c r="H2302" s="41" t="n">
        <v>33.9</v>
      </c>
      <c r="I2302" s="31" t="s">
        <v>149</v>
      </c>
      <c r="J2302" s="31" t="n">
        <v>4</v>
      </c>
      <c r="K2302" s="31" t="s">
        <v>153</v>
      </c>
      <c r="L2302" s="45" t="n">
        <f aca="false">DATE(YEAR(B2302),MONTH(B2302),1)</f>
        <v>46235</v>
      </c>
      <c r="M2302" s="31" t="n">
        <f aca="false">WEEKDAY(B2302,2)</f>
        <v>7</v>
      </c>
      <c r="N2302" s="31" t="str">
        <f aca="false">IF(G2302&lt;=INDEX(Assumptions!$B$15:$B$18,MATCH(E2302,Assumptions!$A$15:$A$18,0)),"Yes","No")</f>
        <v>Yes</v>
      </c>
      <c r="O2302" s="31" t="str">
        <f aca="false">IF(H2302="","Open",IF(H2302&lt;=INDEX(Assumptions!$C$15:$C$18,MATCH(E2302,Assumptions!$A$15:$A$18,0)),"Yes","No"))</f>
        <v>Yes</v>
      </c>
    </row>
    <row r="2303" customFormat="false" ht="15" hidden="false" customHeight="false" outlineLevel="0" collapsed="false">
      <c r="A2303" s="31" t="s">
        <v>2453</v>
      </c>
      <c r="B2303" s="44" t="n">
        <v>46236</v>
      </c>
      <c r="C2303" s="31" t="s">
        <v>58</v>
      </c>
      <c r="D2303" s="31" t="s">
        <v>67</v>
      </c>
      <c r="E2303" s="31" t="s">
        <v>51</v>
      </c>
      <c r="F2303" s="31" t="s">
        <v>120</v>
      </c>
      <c r="G2303" s="31" t="n">
        <v>18</v>
      </c>
      <c r="H2303" s="41" t="n">
        <v>10.9</v>
      </c>
      <c r="I2303" s="31" t="s">
        <v>149</v>
      </c>
      <c r="J2303" s="31"/>
      <c r="K2303" s="31" t="s">
        <v>150</v>
      </c>
      <c r="L2303" s="45" t="n">
        <f aca="false">DATE(YEAR(B2303),MONTH(B2303),1)</f>
        <v>46235</v>
      </c>
      <c r="M2303" s="31" t="n">
        <f aca="false">WEEKDAY(B2303,2)</f>
        <v>7</v>
      </c>
      <c r="N2303" s="31" t="str">
        <f aca="false">IF(G2303&lt;=INDEX(Assumptions!$B$15:$B$18,MATCH(E2303,Assumptions!$A$15:$A$18,0)),"Yes","No")</f>
        <v>Yes</v>
      </c>
      <c r="O2303" s="31" t="str">
        <f aca="false">IF(H2303="","Open",IF(H2303&lt;=INDEX(Assumptions!$C$15:$C$18,MATCH(E2303,Assumptions!$A$15:$A$18,0)),"Yes","No"))</f>
        <v>Yes</v>
      </c>
    </row>
    <row r="2304" customFormat="false" ht="15" hidden="false" customHeight="false" outlineLevel="0" collapsed="false">
      <c r="A2304" s="31" t="s">
        <v>2454</v>
      </c>
      <c r="B2304" s="44" t="n">
        <v>46236</v>
      </c>
      <c r="C2304" s="31" t="s">
        <v>57</v>
      </c>
      <c r="D2304" s="31" t="s">
        <v>67</v>
      </c>
      <c r="E2304" s="31" t="s">
        <v>51</v>
      </c>
      <c r="F2304" s="31" t="s">
        <v>136</v>
      </c>
      <c r="G2304" s="31" t="n">
        <v>1</v>
      </c>
      <c r="H2304" s="41" t="n">
        <v>77.7</v>
      </c>
      <c r="I2304" s="31" t="s">
        <v>149</v>
      </c>
      <c r="J2304" s="31" t="n">
        <v>4</v>
      </c>
      <c r="K2304" s="31" t="s">
        <v>150</v>
      </c>
      <c r="L2304" s="45" t="n">
        <f aca="false">DATE(YEAR(B2304),MONTH(B2304),1)</f>
        <v>46235</v>
      </c>
      <c r="M2304" s="31" t="n">
        <f aca="false">WEEKDAY(B2304,2)</f>
        <v>7</v>
      </c>
      <c r="N2304" s="31" t="str">
        <f aca="false">IF(G2304&lt;=INDEX(Assumptions!$B$15:$B$18,MATCH(E2304,Assumptions!$A$15:$A$18,0)),"Yes","No")</f>
        <v>Yes</v>
      </c>
      <c r="O2304" s="31" t="str">
        <f aca="false">IF(H2304="","Open",IF(H2304&lt;=INDEX(Assumptions!$C$15:$C$18,MATCH(E2304,Assumptions!$A$15:$A$18,0)),"Yes","No"))</f>
        <v>No</v>
      </c>
    </row>
    <row r="2305" customFormat="false" ht="15" hidden="false" customHeight="false" outlineLevel="0" collapsed="false">
      <c r="A2305" s="31" t="s">
        <v>2455</v>
      </c>
      <c r="B2305" s="44" t="n">
        <v>46236</v>
      </c>
      <c r="C2305" s="31" t="s">
        <v>60</v>
      </c>
      <c r="D2305" s="31" t="s">
        <v>66</v>
      </c>
      <c r="E2305" s="31" t="s">
        <v>51</v>
      </c>
      <c r="F2305" s="31" t="s">
        <v>128</v>
      </c>
      <c r="G2305" s="31" t="n">
        <v>10</v>
      </c>
      <c r="H2305" s="41" t="n">
        <v>23.6</v>
      </c>
      <c r="I2305" s="31" t="s">
        <v>149</v>
      </c>
      <c r="J2305" s="31"/>
      <c r="K2305" s="31" t="s">
        <v>150</v>
      </c>
      <c r="L2305" s="45" t="n">
        <f aca="false">DATE(YEAR(B2305),MONTH(B2305),1)</f>
        <v>46235</v>
      </c>
      <c r="M2305" s="31" t="n">
        <f aca="false">WEEKDAY(B2305,2)</f>
        <v>7</v>
      </c>
      <c r="N2305" s="31" t="str">
        <f aca="false">IF(G2305&lt;=INDEX(Assumptions!$B$15:$B$18,MATCH(E2305,Assumptions!$A$15:$A$18,0)),"Yes","No")</f>
        <v>Yes</v>
      </c>
      <c r="O2305" s="31" t="str">
        <f aca="false">IF(H2305="","Open",IF(H2305&lt;=INDEX(Assumptions!$C$15:$C$18,MATCH(E2305,Assumptions!$A$15:$A$18,0)),"Yes","No"))</f>
        <v>Yes</v>
      </c>
    </row>
    <row r="2306" customFormat="false" ht="15" hidden="false" customHeight="false" outlineLevel="0" collapsed="false">
      <c r="A2306" s="31" t="s">
        <v>2456</v>
      </c>
      <c r="B2306" s="44" t="n">
        <v>46236</v>
      </c>
      <c r="C2306" s="31" t="s">
        <v>57</v>
      </c>
      <c r="D2306" s="31" t="s">
        <v>66</v>
      </c>
      <c r="E2306" s="31" t="s">
        <v>51</v>
      </c>
      <c r="F2306" s="31" t="s">
        <v>120</v>
      </c>
      <c r="G2306" s="31" t="n">
        <v>16</v>
      </c>
      <c r="H2306" s="41" t="n">
        <v>8.9</v>
      </c>
      <c r="I2306" s="31" t="s">
        <v>149</v>
      </c>
      <c r="J2306" s="31" t="n">
        <v>3</v>
      </c>
      <c r="K2306" s="31" t="s">
        <v>153</v>
      </c>
      <c r="L2306" s="45" t="n">
        <f aca="false">DATE(YEAR(B2306),MONTH(B2306),1)</f>
        <v>46235</v>
      </c>
      <c r="M2306" s="31" t="n">
        <f aca="false">WEEKDAY(B2306,2)</f>
        <v>7</v>
      </c>
      <c r="N2306" s="31" t="str">
        <f aca="false">IF(G2306&lt;=INDEX(Assumptions!$B$15:$B$18,MATCH(E2306,Assumptions!$A$15:$A$18,0)),"Yes","No")</f>
        <v>Yes</v>
      </c>
      <c r="O2306" s="31" t="str">
        <f aca="false">IF(H2306="","Open",IF(H2306&lt;=INDEX(Assumptions!$C$15:$C$18,MATCH(E2306,Assumptions!$A$15:$A$18,0)),"Yes","No"))</f>
        <v>Yes</v>
      </c>
    </row>
    <row r="2307" customFormat="false" ht="15" hidden="false" customHeight="false" outlineLevel="0" collapsed="false">
      <c r="A2307" s="31" t="s">
        <v>2457</v>
      </c>
      <c r="B2307" s="44" t="n">
        <v>46236</v>
      </c>
      <c r="C2307" s="31" t="s">
        <v>57</v>
      </c>
      <c r="D2307" s="31" t="s">
        <v>65</v>
      </c>
      <c r="E2307" s="31" t="s">
        <v>50</v>
      </c>
      <c r="F2307" s="31" t="s">
        <v>124</v>
      </c>
      <c r="G2307" s="31" t="n">
        <v>4</v>
      </c>
      <c r="H2307" s="41" t="n">
        <v>1</v>
      </c>
      <c r="I2307" s="31" t="s">
        <v>149</v>
      </c>
      <c r="J2307" s="31" t="n">
        <v>5</v>
      </c>
      <c r="K2307" s="31" t="s">
        <v>150</v>
      </c>
      <c r="L2307" s="45" t="n">
        <f aca="false">DATE(YEAR(B2307),MONTH(B2307),1)</f>
        <v>46235</v>
      </c>
      <c r="M2307" s="31" t="n">
        <f aca="false">WEEKDAY(B2307,2)</f>
        <v>7</v>
      </c>
      <c r="N2307" s="31" t="str">
        <f aca="false">IF(G2307&lt;=INDEX(Assumptions!$B$15:$B$18,MATCH(E2307,Assumptions!$A$15:$A$18,0)),"Yes","No")</f>
        <v>Yes</v>
      </c>
      <c r="O2307" s="31" t="str">
        <f aca="false">IF(H2307="","Open",IF(H2307&lt;=INDEX(Assumptions!$C$15:$C$18,MATCH(E2307,Assumptions!$A$15:$A$18,0)),"Yes","No"))</f>
        <v>Yes</v>
      </c>
    </row>
    <row r="2308" customFormat="false" ht="15" hidden="false" customHeight="false" outlineLevel="0" collapsed="false">
      <c r="A2308" s="31" t="s">
        <v>2458</v>
      </c>
      <c r="B2308" s="44" t="n">
        <v>46236</v>
      </c>
      <c r="C2308" s="31" t="s">
        <v>59</v>
      </c>
      <c r="D2308" s="31" t="s">
        <v>67</v>
      </c>
      <c r="E2308" s="31" t="s">
        <v>51</v>
      </c>
      <c r="F2308" s="31" t="s">
        <v>127</v>
      </c>
      <c r="G2308" s="31" t="n">
        <v>48</v>
      </c>
      <c r="H2308" s="41" t="n">
        <v>20.4</v>
      </c>
      <c r="I2308" s="31" t="s">
        <v>149</v>
      </c>
      <c r="J2308" s="31" t="n">
        <v>4</v>
      </c>
      <c r="K2308" s="31" t="s">
        <v>150</v>
      </c>
      <c r="L2308" s="45" t="n">
        <f aca="false">DATE(YEAR(B2308),MONTH(B2308),1)</f>
        <v>46235</v>
      </c>
      <c r="M2308" s="31" t="n">
        <f aca="false">WEEKDAY(B2308,2)</f>
        <v>7</v>
      </c>
      <c r="N2308" s="31" t="str">
        <f aca="false">IF(G2308&lt;=INDEX(Assumptions!$B$15:$B$18,MATCH(E2308,Assumptions!$A$15:$A$18,0)),"Yes","No")</f>
        <v>Yes</v>
      </c>
      <c r="O2308" s="31" t="str">
        <f aca="false">IF(H2308="","Open",IF(H2308&lt;=INDEX(Assumptions!$C$15:$C$18,MATCH(E2308,Assumptions!$A$15:$A$18,0)),"Yes","No"))</f>
        <v>Yes</v>
      </c>
    </row>
    <row r="2309" customFormat="false" ht="15" hidden="false" customHeight="false" outlineLevel="0" collapsed="false">
      <c r="A2309" s="31" t="s">
        <v>2459</v>
      </c>
      <c r="B2309" s="44" t="n">
        <v>46236</v>
      </c>
      <c r="C2309" s="31" t="s">
        <v>57</v>
      </c>
      <c r="D2309" s="31" t="s">
        <v>66</v>
      </c>
      <c r="E2309" s="31" t="s">
        <v>51</v>
      </c>
      <c r="F2309" s="31" t="s">
        <v>121</v>
      </c>
      <c r="G2309" s="31" t="n">
        <v>6</v>
      </c>
      <c r="H2309" s="41" t="n">
        <v>15.1</v>
      </c>
      <c r="I2309" s="31" t="s">
        <v>149</v>
      </c>
      <c r="J2309" s="31" t="n">
        <v>5</v>
      </c>
      <c r="K2309" s="31" t="s">
        <v>150</v>
      </c>
      <c r="L2309" s="45" t="n">
        <f aca="false">DATE(YEAR(B2309),MONTH(B2309),1)</f>
        <v>46235</v>
      </c>
      <c r="M2309" s="31" t="n">
        <f aca="false">WEEKDAY(B2309,2)</f>
        <v>7</v>
      </c>
      <c r="N2309" s="31" t="str">
        <f aca="false">IF(G2309&lt;=INDEX(Assumptions!$B$15:$B$18,MATCH(E2309,Assumptions!$A$15:$A$18,0)),"Yes","No")</f>
        <v>Yes</v>
      </c>
      <c r="O2309" s="31" t="str">
        <f aca="false">IF(H2309="","Open",IF(H2309&lt;=INDEX(Assumptions!$C$15:$C$18,MATCH(E2309,Assumptions!$A$15:$A$18,0)),"Yes","No"))</f>
        <v>Yes</v>
      </c>
    </row>
    <row r="2310" customFormat="false" ht="15" hidden="false" customHeight="false" outlineLevel="0" collapsed="false">
      <c r="A2310" s="31" t="s">
        <v>2460</v>
      </c>
      <c r="B2310" s="44" t="n">
        <v>46236</v>
      </c>
      <c r="C2310" s="31" t="s">
        <v>60</v>
      </c>
      <c r="D2310" s="31" t="s">
        <v>69</v>
      </c>
      <c r="E2310" s="31" t="s">
        <v>52</v>
      </c>
      <c r="F2310" s="31" t="s">
        <v>124</v>
      </c>
      <c r="G2310" s="31" t="n">
        <v>1</v>
      </c>
      <c r="H2310" s="41" t="n">
        <v>19.1</v>
      </c>
      <c r="I2310" s="31" t="s">
        <v>149</v>
      </c>
      <c r="J2310" s="31"/>
      <c r="K2310" s="31" t="s">
        <v>153</v>
      </c>
      <c r="L2310" s="45" t="n">
        <f aca="false">DATE(YEAR(B2310),MONTH(B2310),1)</f>
        <v>46235</v>
      </c>
      <c r="M2310" s="31" t="n">
        <f aca="false">WEEKDAY(B2310,2)</f>
        <v>7</v>
      </c>
      <c r="N2310" s="31" t="str">
        <f aca="false">IF(G2310&lt;=INDEX(Assumptions!$B$15:$B$18,MATCH(E2310,Assumptions!$A$15:$A$18,0)),"Yes","No")</f>
        <v>Yes</v>
      </c>
      <c r="O2310" s="31" t="str">
        <f aca="false">IF(H2310="","Open",IF(H2310&lt;=INDEX(Assumptions!$C$15:$C$18,MATCH(E2310,Assumptions!$A$15:$A$18,0)),"Yes","No"))</f>
        <v>Yes</v>
      </c>
    </row>
    <row r="2311" customFormat="false" ht="15" hidden="false" customHeight="false" outlineLevel="0" collapsed="false">
      <c r="A2311" s="31" t="s">
        <v>2461</v>
      </c>
      <c r="B2311" s="44" t="n">
        <v>46236</v>
      </c>
      <c r="C2311" s="31" t="s">
        <v>57</v>
      </c>
      <c r="D2311" s="31" t="s">
        <v>65</v>
      </c>
      <c r="E2311" s="31" t="s">
        <v>51</v>
      </c>
      <c r="F2311" s="31" t="s">
        <v>119</v>
      </c>
      <c r="G2311" s="31" t="n">
        <v>3</v>
      </c>
      <c r="H2311" s="41" t="n">
        <v>1.7</v>
      </c>
      <c r="I2311" s="31" t="s">
        <v>149</v>
      </c>
      <c r="J2311" s="31"/>
      <c r="K2311" s="31" t="s">
        <v>150</v>
      </c>
      <c r="L2311" s="45" t="n">
        <f aca="false">DATE(YEAR(B2311),MONTH(B2311),1)</f>
        <v>46235</v>
      </c>
      <c r="M2311" s="31" t="n">
        <f aca="false">WEEKDAY(B2311,2)</f>
        <v>7</v>
      </c>
      <c r="N2311" s="31" t="str">
        <f aca="false">IF(G2311&lt;=INDEX(Assumptions!$B$15:$B$18,MATCH(E2311,Assumptions!$A$15:$A$18,0)),"Yes","No")</f>
        <v>Yes</v>
      </c>
      <c r="O2311" s="31" t="str">
        <f aca="false">IF(H2311="","Open",IF(H2311&lt;=INDEX(Assumptions!$C$15:$C$18,MATCH(E2311,Assumptions!$A$15:$A$18,0)),"Yes","No"))</f>
        <v>Yes</v>
      </c>
    </row>
    <row r="2312" customFormat="false" ht="15" hidden="false" customHeight="false" outlineLevel="0" collapsed="false">
      <c r="A2312" s="31" t="s">
        <v>2462</v>
      </c>
      <c r="B2312" s="44" t="n">
        <v>46236</v>
      </c>
      <c r="C2312" s="31" t="s">
        <v>59</v>
      </c>
      <c r="D2312" s="31" t="s">
        <v>65</v>
      </c>
      <c r="E2312" s="31" t="s">
        <v>51</v>
      </c>
      <c r="F2312" s="31" t="s">
        <v>121</v>
      </c>
      <c r="G2312" s="31" t="n">
        <v>62</v>
      </c>
      <c r="H2312" s="41" t="n">
        <v>11.5</v>
      </c>
      <c r="I2312" s="31" t="s">
        <v>149</v>
      </c>
      <c r="J2312" s="31"/>
      <c r="K2312" s="31" t="s">
        <v>150</v>
      </c>
      <c r="L2312" s="45" t="n">
        <f aca="false">DATE(YEAR(B2312),MONTH(B2312),1)</f>
        <v>46235</v>
      </c>
      <c r="M2312" s="31" t="n">
        <f aca="false">WEEKDAY(B2312,2)</f>
        <v>7</v>
      </c>
      <c r="N2312" s="31" t="str">
        <f aca="false">IF(G2312&lt;=INDEX(Assumptions!$B$15:$B$18,MATCH(E2312,Assumptions!$A$15:$A$18,0)),"Yes","No")</f>
        <v>No</v>
      </c>
      <c r="O2312" s="31" t="str">
        <f aca="false">IF(H2312="","Open",IF(H2312&lt;=INDEX(Assumptions!$C$15:$C$18,MATCH(E2312,Assumptions!$A$15:$A$18,0)),"Yes","No"))</f>
        <v>Yes</v>
      </c>
    </row>
    <row r="2313" customFormat="false" ht="15" hidden="false" customHeight="false" outlineLevel="0" collapsed="false">
      <c r="A2313" s="31" t="s">
        <v>2463</v>
      </c>
      <c r="B2313" s="44" t="n">
        <v>46236</v>
      </c>
      <c r="C2313" s="31" t="s">
        <v>58</v>
      </c>
      <c r="D2313" s="31" t="s">
        <v>68</v>
      </c>
      <c r="E2313" s="31" t="s">
        <v>51</v>
      </c>
      <c r="F2313" s="31" t="s">
        <v>128</v>
      </c>
      <c r="G2313" s="31" t="n">
        <v>5</v>
      </c>
      <c r="H2313" s="41" t="n">
        <v>9.1</v>
      </c>
      <c r="I2313" s="31" t="s">
        <v>149</v>
      </c>
      <c r="J2313" s="31"/>
      <c r="K2313" s="31" t="s">
        <v>150</v>
      </c>
      <c r="L2313" s="45" t="n">
        <f aca="false">DATE(YEAR(B2313),MONTH(B2313),1)</f>
        <v>46235</v>
      </c>
      <c r="M2313" s="31" t="n">
        <f aca="false">WEEKDAY(B2313,2)</f>
        <v>7</v>
      </c>
      <c r="N2313" s="31" t="str">
        <f aca="false">IF(G2313&lt;=INDEX(Assumptions!$B$15:$B$18,MATCH(E2313,Assumptions!$A$15:$A$18,0)),"Yes","No")</f>
        <v>Yes</v>
      </c>
      <c r="O2313" s="31" t="str">
        <f aca="false">IF(H2313="","Open",IF(H2313&lt;=INDEX(Assumptions!$C$15:$C$18,MATCH(E2313,Assumptions!$A$15:$A$18,0)),"Yes","No"))</f>
        <v>Yes</v>
      </c>
    </row>
    <row r="2314" customFormat="false" ht="15" hidden="false" customHeight="false" outlineLevel="0" collapsed="false">
      <c r="A2314" s="31" t="s">
        <v>2464</v>
      </c>
      <c r="B2314" s="44" t="n">
        <v>46236</v>
      </c>
      <c r="C2314" s="31" t="s">
        <v>57</v>
      </c>
      <c r="D2314" s="31" t="s">
        <v>69</v>
      </c>
      <c r="E2314" s="31" t="s">
        <v>51</v>
      </c>
      <c r="F2314" s="31" t="s">
        <v>122</v>
      </c>
      <c r="G2314" s="31" t="n">
        <v>3</v>
      </c>
      <c r="H2314" s="41" t="n">
        <v>19.8</v>
      </c>
      <c r="I2314" s="31" t="s">
        <v>149</v>
      </c>
      <c r="J2314" s="31"/>
      <c r="K2314" s="31" t="s">
        <v>150</v>
      </c>
      <c r="L2314" s="45" t="n">
        <f aca="false">DATE(YEAR(B2314),MONTH(B2314),1)</f>
        <v>46235</v>
      </c>
      <c r="M2314" s="31" t="n">
        <f aca="false">WEEKDAY(B2314,2)</f>
        <v>7</v>
      </c>
      <c r="N2314" s="31" t="str">
        <f aca="false">IF(G2314&lt;=INDEX(Assumptions!$B$15:$B$18,MATCH(E2314,Assumptions!$A$15:$A$18,0)),"Yes","No")</f>
        <v>Yes</v>
      </c>
      <c r="O2314" s="31" t="str">
        <f aca="false">IF(H2314="","Open",IF(H2314&lt;=INDEX(Assumptions!$C$15:$C$18,MATCH(E2314,Assumptions!$A$15:$A$18,0)),"Yes","No"))</f>
        <v>Yes</v>
      </c>
    </row>
    <row r="2315" customFormat="false" ht="15" hidden="false" customHeight="false" outlineLevel="0" collapsed="false">
      <c r="A2315" s="31" t="s">
        <v>2465</v>
      </c>
      <c r="B2315" s="44" t="n">
        <v>46236</v>
      </c>
      <c r="C2315" s="31" t="s">
        <v>57</v>
      </c>
      <c r="D2315" s="31" t="s">
        <v>66</v>
      </c>
      <c r="E2315" s="31" t="s">
        <v>51</v>
      </c>
      <c r="F2315" s="31" t="s">
        <v>131</v>
      </c>
      <c r="G2315" s="31" t="n">
        <v>5</v>
      </c>
      <c r="H2315" s="41" t="n">
        <v>4.1</v>
      </c>
      <c r="I2315" s="31" t="s">
        <v>64</v>
      </c>
      <c r="J2315" s="31" t="n">
        <v>4</v>
      </c>
      <c r="K2315" s="31" t="s">
        <v>150</v>
      </c>
      <c r="L2315" s="45" t="n">
        <f aca="false">DATE(YEAR(B2315),MONTH(B2315),1)</f>
        <v>46235</v>
      </c>
      <c r="M2315" s="31" t="n">
        <f aca="false">WEEKDAY(B2315,2)</f>
        <v>7</v>
      </c>
      <c r="N2315" s="31" t="str">
        <f aca="false">IF(G2315&lt;=INDEX(Assumptions!$B$15:$B$18,MATCH(E2315,Assumptions!$A$15:$A$18,0)),"Yes","No")</f>
        <v>Yes</v>
      </c>
      <c r="O2315" s="31" t="str">
        <f aca="false">IF(H2315="","Open",IF(H2315&lt;=INDEX(Assumptions!$C$15:$C$18,MATCH(E2315,Assumptions!$A$15:$A$18,0)),"Yes","No"))</f>
        <v>Yes</v>
      </c>
    </row>
    <row r="2316" customFormat="false" ht="15" hidden="false" customHeight="false" outlineLevel="0" collapsed="false">
      <c r="A2316" s="31" t="s">
        <v>2466</v>
      </c>
      <c r="B2316" s="44" t="n">
        <v>46236</v>
      </c>
      <c r="C2316" s="31" t="s">
        <v>58</v>
      </c>
      <c r="D2316" s="31" t="s">
        <v>65</v>
      </c>
      <c r="E2316" s="31" t="s">
        <v>51</v>
      </c>
      <c r="F2316" s="31" t="s">
        <v>133</v>
      </c>
      <c r="G2316" s="31" t="n">
        <v>17</v>
      </c>
      <c r="H2316" s="41" t="n">
        <v>5</v>
      </c>
      <c r="I2316" s="31" t="s">
        <v>149</v>
      </c>
      <c r="J2316" s="31" t="n">
        <v>3</v>
      </c>
      <c r="K2316" s="31" t="s">
        <v>153</v>
      </c>
      <c r="L2316" s="45" t="n">
        <f aca="false">DATE(YEAR(B2316),MONTH(B2316),1)</f>
        <v>46235</v>
      </c>
      <c r="M2316" s="31" t="n">
        <f aca="false">WEEKDAY(B2316,2)</f>
        <v>7</v>
      </c>
      <c r="N2316" s="31" t="str">
        <f aca="false">IF(G2316&lt;=INDEX(Assumptions!$B$15:$B$18,MATCH(E2316,Assumptions!$A$15:$A$18,0)),"Yes","No")</f>
        <v>Yes</v>
      </c>
      <c r="O2316" s="31" t="str">
        <f aca="false">IF(H2316="","Open",IF(H2316&lt;=INDEX(Assumptions!$C$15:$C$18,MATCH(E2316,Assumptions!$A$15:$A$18,0)),"Yes","No"))</f>
        <v>Yes</v>
      </c>
    </row>
    <row r="2317" customFormat="false" ht="15" hidden="false" customHeight="false" outlineLevel="0" collapsed="false">
      <c r="A2317" s="31" t="s">
        <v>2467</v>
      </c>
      <c r="B2317" s="44" t="n">
        <v>46236</v>
      </c>
      <c r="C2317" s="31" t="s">
        <v>57</v>
      </c>
      <c r="D2317" s="31" t="s">
        <v>67</v>
      </c>
      <c r="E2317" s="31" t="s">
        <v>52</v>
      </c>
      <c r="F2317" s="31" t="s">
        <v>131</v>
      </c>
      <c r="G2317" s="31" t="n">
        <v>11</v>
      </c>
      <c r="H2317" s="41" t="n">
        <v>24.8</v>
      </c>
      <c r="I2317" s="31" t="s">
        <v>149</v>
      </c>
      <c r="J2317" s="31"/>
      <c r="K2317" s="31" t="s">
        <v>150</v>
      </c>
      <c r="L2317" s="45" t="n">
        <f aca="false">DATE(YEAR(B2317),MONTH(B2317),1)</f>
        <v>46235</v>
      </c>
      <c r="M2317" s="31" t="n">
        <f aca="false">WEEKDAY(B2317,2)</f>
        <v>7</v>
      </c>
      <c r="N2317" s="31" t="str">
        <f aca="false">IF(G2317&lt;=INDEX(Assumptions!$B$15:$B$18,MATCH(E2317,Assumptions!$A$15:$A$18,0)),"Yes","No")</f>
        <v>Yes</v>
      </c>
      <c r="O2317" s="31" t="str">
        <f aca="false">IF(H2317="","Open",IF(H2317&lt;=INDEX(Assumptions!$C$15:$C$18,MATCH(E2317,Assumptions!$A$15:$A$18,0)),"Yes","No"))</f>
        <v>Yes</v>
      </c>
    </row>
    <row r="2318" customFormat="false" ht="15" hidden="false" customHeight="false" outlineLevel="0" collapsed="false">
      <c r="A2318" s="31" t="s">
        <v>2468</v>
      </c>
      <c r="B2318" s="44" t="n">
        <v>46236</v>
      </c>
      <c r="C2318" s="31" t="s">
        <v>60</v>
      </c>
      <c r="D2318" s="31" t="s">
        <v>65</v>
      </c>
      <c r="E2318" s="31" t="s">
        <v>52</v>
      </c>
      <c r="F2318" s="31" t="s">
        <v>136</v>
      </c>
      <c r="G2318" s="31" t="n">
        <v>3</v>
      </c>
      <c r="H2318" s="41" t="n">
        <v>32.2</v>
      </c>
      <c r="I2318" s="31" t="s">
        <v>149</v>
      </c>
      <c r="J2318" s="31" t="n">
        <v>5</v>
      </c>
      <c r="K2318" s="31" t="s">
        <v>150</v>
      </c>
      <c r="L2318" s="45" t="n">
        <f aca="false">DATE(YEAR(B2318),MONTH(B2318),1)</f>
        <v>46235</v>
      </c>
      <c r="M2318" s="31" t="n">
        <f aca="false">WEEKDAY(B2318,2)</f>
        <v>7</v>
      </c>
      <c r="N2318" s="31" t="str">
        <f aca="false">IF(G2318&lt;=INDEX(Assumptions!$B$15:$B$18,MATCH(E2318,Assumptions!$A$15:$A$18,0)),"Yes","No")</f>
        <v>Yes</v>
      </c>
      <c r="O2318" s="31" t="str">
        <f aca="false">IF(H2318="","Open",IF(H2318&lt;=INDEX(Assumptions!$C$15:$C$18,MATCH(E2318,Assumptions!$A$15:$A$18,0)),"Yes","No"))</f>
        <v>Yes</v>
      </c>
    </row>
    <row r="2319" customFormat="false" ht="15" hidden="false" customHeight="false" outlineLevel="0" collapsed="false">
      <c r="A2319" s="31" t="s">
        <v>2469</v>
      </c>
      <c r="B2319" s="44" t="n">
        <v>46236</v>
      </c>
      <c r="C2319" s="31" t="s">
        <v>58</v>
      </c>
      <c r="D2319" s="31" t="s">
        <v>66</v>
      </c>
      <c r="E2319" s="31" t="s">
        <v>51</v>
      </c>
      <c r="F2319" s="31" t="s">
        <v>131</v>
      </c>
      <c r="G2319" s="31" t="n">
        <v>5</v>
      </c>
      <c r="H2319" s="41" t="n">
        <v>3.7</v>
      </c>
      <c r="I2319" s="31" t="s">
        <v>149</v>
      </c>
      <c r="J2319" s="31" t="n">
        <v>5</v>
      </c>
      <c r="K2319" s="31" t="s">
        <v>150</v>
      </c>
      <c r="L2319" s="45" t="n">
        <f aca="false">DATE(YEAR(B2319),MONTH(B2319),1)</f>
        <v>46235</v>
      </c>
      <c r="M2319" s="31" t="n">
        <f aca="false">WEEKDAY(B2319,2)</f>
        <v>7</v>
      </c>
      <c r="N2319" s="31" t="str">
        <f aca="false">IF(G2319&lt;=INDEX(Assumptions!$B$15:$B$18,MATCH(E2319,Assumptions!$A$15:$A$18,0)),"Yes","No")</f>
        <v>Yes</v>
      </c>
      <c r="O2319" s="31" t="str">
        <f aca="false">IF(H2319="","Open",IF(H2319&lt;=INDEX(Assumptions!$C$15:$C$18,MATCH(E2319,Assumptions!$A$15:$A$18,0)),"Yes","No"))</f>
        <v>Yes</v>
      </c>
    </row>
    <row r="2320" customFormat="false" ht="15" hidden="false" customHeight="false" outlineLevel="0" collapsed="false">
      <c r="A2320" s="31" t="s">
        <v>2470</v>
      </c>
      <c r="B2320" s="44" t="n">
        <v>46236</v>
      </c>
      <c r="C2320" s="31" t="s">
        <v>60</v>
      </c>
      <c r="D2320" s="31" t="s">
        <v>65</v>
      </c>
      <c r="E2320" s="31" t="s">
        <v>51</v>
      </c>
      <c r="F2320" s="31" t="s">
        <v>134</v>
      </c>
      <c r="G2320" s="31" t="n">
        <v>5</v>
      </c>
      <c r="H2320" s="41" t="n">
        <v>54.4</v>
      </c>
      <c r="I2320" s="31" t="s">
        <v>149</v>
      </c>
      <c r="J2320" s="31"/>
      <c r="K2320" s="31" t="s">
        <v>150</v>
      </c>
      <c r="L2320" s="45" t="n">
        <f aca="false">DATE(YEAR(B2320),MONTH(B2320),1)</f>
        <v>46235</v>
      </c>
      <c r="M2320" s="31" t="n">
        <f aca="false">WEEKDAY(B2320,2)</f>
        <v>7</v>
      </c>
      <c r="N2320" s="31" t="str">
        <f aca="false">IF(G2320&lt;=INDEX(Assumptions!$B$15:$B$18,MATCH(E2320,Assumptions!$A$15:$A$18,0)),"Yes","No")</f>
        <v>Yes</v>
      </c>
      <c r="O2320" s="31" t="str">
        <f aca="false">IF(H2320="","Open",IF(H2320&lt;=INDEX(Assumptions!$C$15:$C$18,MATCH(E2320,Assumptions!$A$15:$A$18,0)),"Yes","No"))</f>
        <v>No</v>
      </c>
    </row>
    <row r="2321" customFormat="false" ht="15" hidden="false" customHeight="false" outlineLevel="0" collapsed="false">
      <c r="A2321" s="31" t="s">
        <v>2471</v>
      </c>
      <c r="B2321" s="44" t="n">
        <v>46236</v>
      </c>
      <c r="C2321" s="31" t="s">
        <v>58</v>
      </c>
      <c r="D2321" s="31" t="s">
        <v>69</v>
      </c>
      <c r="E2321" s="31" t="s">
        <v>51</v>
      </c>
      <c r="F2321" s="31" t="s">
        <v>134</v>
      </c>
      <c r="G2321" s="31" t="n">
        <v>19</v>
      </c>
      <c r="H2321" s="41"/>
      <c r="I2321" s="31" t="s">
        <v>158</v>
      </c>
      <c r="J2321" s="31"/>
      <c r="K2321" s="31" t="s">
        <v>150</v>
      </c>
      <c r="L2321" s="45" t="n">
        <f aca="false">DATE(YEAR(B2321),MONTH(B2321),1)</f>
        <v>46235</v>
      </c>
      <c r="M2321" s="31" t="n">
        <f aca="false">WEEKDAY(B2321,2)</f>
        <v>7</v>
      </c>
      <c r="N2321" s="31" t="str">
        <f aca="false">IF(G2321&lt;=INDEX(Assumptions!$B$15:$B$18,MATCH(E2321,Assumptions!$A$15:$A$18,0)),"Yes","No")</f>
        <v>Yes</v>
      </c>
      <c r="O2321" s="31" t="str">
        <f aca="false">IF(H2321="","Open",IF(H2321&lt;=INDEX(Assumptions!$C$15:$C$18,MATCH(E2321,Assumptions!$A$15:$A$18,0)),"Yes","No"))</f>
        <v>Open</v>
      </c>
    </row>
    <row r="2322" customFormat="false" ht="15" hidden="false" customHeight="false" outlineLevel="0" collapsed="false">
      <c r="A2322" s="31" t="s">
        <v>2472</v>
      </c>
      <c r="B2322" s="44" t="n">
        <v>46236</v>
      </c>
      <c r="C2322" s="31" t="s">
        <v>57</v>
      </c>
      <c r="D2322" s="31" t="s">
        <v>67</v>
      </c>
      <c r="E2322" s="31" t="s">
        <v>52</v>
      </c>
      <c r="F2322" s="31" t="s">
        <v>117</v>
      </c>
      <c r="G2322" s="31" t="n">
        <v>5</v>
      </c>
      <c r="H2322" s="41" t="n">
        <v>29</v>
      </c>
      <c r="I2322" s="31" t="s">
        <v>149</v>
      </c>
      <c r="J2322" s="31" t="n">
        <v>5</v>
      </c>
      <c r="K2322" s="31" t="s">
        <v>150</v>
      </c>
      <c r="L2322" s="45" t="n">
        <f aca="false">DATE(YEAR(B2322),MONTH(B2322),1)</f>
        <v>46235</v>
      </c>
      <c r="M2322" s="31" t="n">
        <f aca="false">WEEKDAY(B2322,2)</f>
        <v>7</v>
      </c>
      <c r="N2322" s="31" t="str">
        <f aca="false">IF(G2322&lt;=INDEX(Assumptions!$B$15:$B$18,MATCH(E2322,Assumptions!$A$15:$A$18,0)),"Yes","No")</f>
        <v>Yes</v>
      </c>
      <c r="O2322" s="31" t="str">
        <f aca="false">IF(H2322="","Open",IF(H2322&lt;=INDEX(Assumptions!$C$15:$C$18,MATCH(E2322,Assumptions!$A$15:$A$18,0)),"Yes","No"))</f>
        <v>Yes</v>
      </c>
    </row>
    <row r="2323" customFormat="false" ht="15" hidden="false" customHeight="false" outlineLevel="0" collapsed="false">
      <c r="A2323" s="31" t="s">
        <v>2473</v>
      </c>
      <c r="B2323" s="44" t="n">
        <v>46236</v>
      </c>
      <c r="C2323" s="31" t="s">
        <v>59</v>
      </c>
      <c r="D2323" s="31" t="s">
        <v>68</v>
      </c>
      <c r="E2323" s="31" t="s">
        <v>51</v>
      </c>
      <c r="F2323" s="31" t="s">
        <v>124</v>
      </c>
      <c r="G2323" s="31" t="n">
        <v>76</v>
      </c>
      <c r="H2323" s="41" t="n">
        <v>4.6</v>
      </c>
      <c r="I2323" s="31" t="s">
        <v>149</v>
      </c>
      <c r="J2323" s="31" t="n">
        <v>5</v>
      </c>
      <c r="K2323" s="31" t="s">
        <v>153</v>
      </c>
      <c r="L2323" s="45" t="n">
        <f aca="false">DATE(YEAR(B2323),MONTH(B2323),1)</f>
        <v>46235</v>
      </c>
      <c r="M2323" s="31" t="n">
        <f aca="false">WEEKDAY(B2323,2)</f>
        <v>7</v>
      </c>
      <c r="N2323" s="31" t="str">
        <f aca="false">IF(G2323&lt;=INDEX(Assumptions!$B$15:$B$18,MATCH(E2323,Assumptions!$A$15:$A$18,0)),"Yes","No")</f>
        <v>No</v>
      </c>
      <c r="O2323" s="31" t="str">
        <f aca="false">IF(H2323="","Open",IF(H2323&lt;=INDEX(Assumptions!$C$15:$C$18,MATCH(E2323,Assumptions!$A$15:$A$18,0)),"Yes","No"))</f>
        <v>Yes</v>
      </c>
    </row>
    <row r="2324" customFormat="false" ht="15" hidden="false" customHeight="false" outlineLevel="0" collapsed="false">
      <c r="A2324" s="31" t="s">
        <v>2474</v>
      </c>
      <c r="B2324" s="44" t="n">
        <v>46236</v>
      </c>
      <c r="C2324" s="31" t="s">
        <v>57</v>
      </c>
      <c r="D2324" s="31" t="s">
        <v>67</v>
      </c>
      <c r="E2324" s="31" t="s">
        <v>52</v>
      </c>
      <c r="F2324" s="31" t="s">
        <v>127</v>
      </c>
      <c r="G2324" s="31" t="n">
        <v>5</v>
      </c>
      <c r="H2324" s="41" t="n">
        <v>68.2</v>
      </c>
      <c r="I2324" s="31" t="s">
        <v>149</v>
      </c>
      <c r="J2324" s="31"/>
      <c r="K2324" s="31" t="s">
        <v>150</v>
      </c>
      <c r="L2324" s="45" t="n">
        <f aca="false">DATE(YEAR(B2324),MONTH(B2324),1)</f>
        <v>46235</v>
      </c>
      <c r="M2324" s="31" t="n">
        <f aca="false">WEEKDAY(B2324,2)</f>
        <v>7</v>
      </c>
      <c r="N2324" s="31" t="str">
        <f aca="false">IF(G2324&lt;=INDEX(Assumptions!$B$15:$B$18,MATCH(E2324,Assumptions!$A$15:$A$18,0)),"Yes","No")</f>
        <v>Yes</v>
      </c>
      <c r="O2324" s="31" t="str">
        <f aca="false">IF(H2324="","Open",IF(H2324&lt;=INDEX(Assumptions!$C$15:$C$18,MATCH(E2324,Assumptions!$A$15:$A$18,0)),"Yes","No"))</f>
        <v>Yes</v>
      </c>
    </row>
    <row r="2325" customFormat="false" ht="15" hidden="false" customHeight="false" outlineLevel="0" collapsed="false">
      <c r="A2325" s="31" t="s">
        <v>2475</v>
      </c>
      <c r="B2325" s="44" t="n">
        <v>46236</v>
      </c>
      <c r="C2325" s="31" t="s">
        <v>59</v>
      </c>
      <c r="D2325" s="31" t="s">
        <v>65</v>
      </c>
      <c r="E2325" s="31" t="s">
        <v>50</v>
      </c>
      <c r="F2325" s="31" t="s">
        <v>123</v>
      </c>
      <c r="G2325" s="31" t="n">
        <v>179</v>
      </c>
      <c r="H2325" s="41" t="n">
        <v>47.6</v>
      </c>
      <c r="I2325" s="31" t="s">
        <v>149</v>
      </c>
      <c r="J2325" s="31" t="n">
        <v>3</v>
      </c>
      <c r="K2325" s="31" t="s">
        <v>150</v>
      </c>
      <c r="L2325" s="45" t="n">
        <f aca="false">DATE(YEAR(B2325),MONTH(B2325),1)</f>
        <v>46235</v>
      </c>
      <c r="M2325" s="31" t="n">
        <f aca="false">WEEKDAY(B2325,2)</f>
        <v>7</v>
      </c>
      <c r="N2325" s="31" t="str">
        <f aca="false">IF(G2325&lt;=INDEX(Assumptions!$B$15:$B$18,MATCH(E2325,Assumptions!$A$15:$A$18,0)),"Yes","No")</f>
        <v>No</v>
      </c>
      <c r="O2325" s="31" t="str">
        <f aca="false">IF(H2325="","Open",IF(H2325&lt;=INDEX(Assumptions!$C$15:$C$18,MATCH(E2325,Assumptions!$A$15:$A$18,0)),"Yes","No"))</f>
        <v>No</v>
      </c>
    </row>
    <row r="2326" customFormat="false" ht="15" hidden="false" customHeight="false" outlineLevel="0" collapsed="false">
      <c r="A2326" s="31" t="s">
        <v>2476</v>
      </c>
      <c r="B2326" s="44" t="n">
        <v>46236</v>
      </c>
      <c r="C2326" s="31" t="s">
        <v>58</v>
      </c>
      <c r="D2326" s="31" t="s">
        <v>66</v>
      </c>
      <c r="E2326" s="31" t="s">
        <v>51</v>
      </c>
      <c r="F2326" s="31" t="s">
        <v>129</v>
      </c>
      <c r="G2326" s="31" t="n">
        <v>7</v>
      </c>
      <c r="H2326" s="41" t="n">
        <v>1.6</v>
      </c>
      <c r="I2326" s="31" t="s">
        <v>149</v>
      </c>
      <c r="J2326" s="31" t="n">
        <v>5</v>
      </c>
      <c r="K2326" s="31" t="s">
        <v>150</v>
      </c>
      <c r="L2326" s="45" t="n">
        <f aca="false">DATE(YEAR(B2326),MONTH(B2326),1)</f>
        <v>46235</v>
      </c>
      <c r="M2326" s="31" t="n">
        <f aca="false">WEEKDAY(B2326,2)</f>
        <v>7</v>
      </c>
      <c r="N2326" s="31" t="str">
        <f aca="false">IF(G2326&lt;=INDEX(Assumptions!$B$15:$B$18,MATCH(E2326,Assumptions!$A$15:$A$18,0)),"Yes","No")</f>
        <v>Yes</v>
      </c>
      <c r="O2326" s="31" t="str">
        <f aca="false">IF(H2326="","Open",IF(H2326&lt;=INDEX(Assumptions!$C$15:$C$18,MATCH(E2326,Assumptions!$A$15:$A$18,0)),"Yes","No"))</f>
        <v>Yes</v>
      </c>
    </row>
    <row r="2327" customFormat="false" ht="15" hidden="false" customHeight="false" outlineLevel="0" collapsed="false">
      <c r="A2327" s="31" t="s">
        <v>2477</v>
      </c>
      <c r="B2327" s="44" t="n">
        <v>46236</v>
      </c>
      <c r="C2327" s="31" t="s">
        <v>59</v>
      </c>
      <c r="D2327" s="31" t="s">
        <v>68</v>
      </c>
      <c r="E2327" s="31" t="s">
        <v>51</v>
      </c>
      <c r="F2327" s="31" t="s">
        <v>120</v>
      </c>
      <c r="G2327" s="31" t="n">
        <v>58</v>
      </c>
      <c r="H2327" s="41" t="n">
        <v>3.8</v>
      </c>
      <c r="I2327" s="31" t="s">
        <v>149</v>
      </c>
      <c r="J2327" s="31" t="n">
        <v>5</v>
      </c>
      <c r="K2327" s="31" t="s">
        <v>153</v>
      </c>
      <c r="L2327" s="45" t="n">
        <f aca="false">DATE(YEAR(B2327),MONTH(B2327),1)</f>
        <v>46235</v>
      </c>
      <c r="M2327" s="31" t="n">
        <f aca="false">WEEKDAY(B2327,2)</f>
        <v>7</v>
      </c>
      <c r="N2327" s="31" t="str">
        <f aca="false">IF(G2327&lt;=INDEX(Assumptions!$B$15:$B$18,MATCH(E2327,Assumptions!$A$15:$A$18,0)),"Yes","No")</f>
        <v>Yes</v>
      </c>
      <c r="O2327" s="31" t="str">
        <f aca="false">IF(H2327="","Open",IF(H2327&lt;=INDEX(Assumptions!$C$15:$C$18,MATCH(E2327,Assumptions!$A$15:$A$18,0)),"Yes","No"))</f>
        <v>Yes</v>
      </c>
    </row>
    <row r="2328" customFormat="false" ht="15" hidden="false" customHeight="false" outlineLevel="0" collapsed="false">
      <c r="A2328" s="31" t="s">
        <v>2478</v>
      </c>
      <c r="B2328" s="44" t="n">
        <v>46236</v>
      </c>
      <c r="C2328" s="31" t="s">
        <v>57</v>
      </c>
      <c r="D2328" s="31" t="s">
        <v>67</v>
      </c>
      <c r="E2328" s="31" t="s">
        <v>51</v>
      </c>
      <c r="F2328" s="31" t="s">
        <v>122</v>
      </c>
      <c r="G2328" s="31" t="n">
        <v>11</v>
      </c>
      <c r="H2328" s="41" t="n">
        <v>3.5</v>
      </c>
      <c r="I2328" s="31" t="s">
        <v>149</v>
      </c>
      <c r="J2328" s="31" t="n">
        <v>5</v>
      </c>
      <c r="K2328" s="31" t="s">
        <v>150</v>
      </c>
      <c r="L2328" s="45" t="n">
        <f aca="false">DATE(YEAR(B2328),MONTH(B2328),1)</f>
        <v>46235</v>
      </c>
      <c r="M2328" s="31" t="n">
        <f aca="false">WEEKDAY(B2328,2)</f>
        <v>7</v>
      </c>
      <c r="N2328" s="31" t="str">
        <f aca="false">IF(G2328&lt;=INDEX(Assumptions!$B$15:$B$18,MATCH(E2328,Assumptions!$A$15:$A$18,0)),"Yes","No")</f>
        <v>Yes</v>
      </c>
      <c r="O2328" s="31" t="str">
        <f aca="false">IF(H2328="","Open",IF(H2328&lt;=INDEX(Assumptions!$C$15:$C$18,MATCH(E2328,Assumptions!$A$15:$A$18,0)),"Yes","No"))</f>
        <v>Yes</v>
      </c>
    </row>
    <row r="2329" customFormat="false" ht="15" hidden="false" customHeight="false" outlineLevel="0" collapsed="false">
      <c r="A2329" s="31" t="s">
        <v>2479</v>
      </c>
      <c r="B2329" s="44" t="n">
        <v>46236</v>
      </c>
      <c r="C2329" s="31" t="s">
        <v>59</v>
      </c>
      <c r="D2329" s="31" t="s">
        <v>67</v>
      </c>
      <c r="E2329" s="31" t="s">
        <v>51</v>
      </c>
      <c r="F2329" s="31" t="s">
        <v>124</v>
      </c>
      <c r="G2329" s="31" t="n">
        <v>197</v>
      </c>
      <c r="H2329" s="41" t="n">
        <v>12.6</v>
      </c>
      <c r="I2329" s="31" t="s">
        <v>149</v>
      </c>
      <c r="J2329" s="31" t="n">
        <v>3</v>
      </c>
      <c r="K2329" s="31" t="s">
        <v>150</v>
      </c>
      <c r="L2329" s="45" t="n">
        <f aca="false">DATE(YEAR(B2329),MONTH(B2329),1)</f>
        <v>46235</v>
      </c>
      <c r="M2329" s="31" t="n">
        <f aca="false">WEEKDAY(B2329,2)</f>
        <v>7</v>
      </c>
      <c r="N2329" s="31" t="str">
        <f aca="false">IF(G2329&lt;=INDEX(Assumptions!$B$15:$B$18,MATCH(E2329,Assumptions!$A$15:$A$18,0)),"Yes","No")</f>
        <v>No</v>
      </c>
      <c r="O2329" s="31" t="str">
        <f aca="false">IF(H2329="","Open",IF(H2329&lt;=INDEX(Assumptions!$C$15:$C$18,MATCH(E2329,Assumptions!$A$15:$A$18,0)),"Yes","No"))</f>
        <v>Yes</v>
      </c>
    </row>
    <row r="2330" customFormat="false" ht="15" hidden="false" customHeight="false" outlineLevel="0" collapsed="false">
      <c r="A2330" s="31" t="s">
        <v>2480</v>
      </c>
      <c r="B2330" s="44" t="n">
        <v>46236</v>
      </c>
      <c r="C2330" s="31" t="s">
        <v>58</v>
      </c>
      <c r="D2330" s="31" t="s">
        <v>66</v>
      </c>
      <c r="E2330" s="31" t="s">
        <v>51</v>
      </c>
      <c r="F2330" s="31" t="s">
        <v>127</v>
      </c>
      <c r="G2330" s="31" t="n">
        <v>7</v>
      </c>
      <c r="H2330" s="41" t="n">
        <v>4.7</v>
      </c>
      <c r="I2330" s="31" t="s">
        <v>149</v>
      </c>
      <c r="J2330" s="31"/>
      <c r="K2330" s="31" t="s">
        <v>150</v>
      </c>
      <c r="L2330" s="45" t="n">
        <f aca="false">DATE(YEAR(B2330),MONTH(B2330),1)</f>
        <v>46235</v>
      </c>
      <c r="M2330" s="31" t="n">
        <f aca="false">WEEKDAY(B2330,2)</f>
        <v>7</v>
      </c>
      <c r="N2330" s="31" t="str">
        <f aca="false">IF(G2330&lt;=INDEX(Assumptions!$B$15:$B$18,MATCH(E2330,Assumptions!$A$15:$A$18,0)),"Yes","No")</f>
        <v>Yes</v>
      </c>
      <c r="O2330" s="31" t="str">
        <f aca="false">IF(H2330="","Open",IF(H2330&lt;=INDEX(Assumptions!$C$15:$C$18,MATCH(E2330,Assumptions!$A$15:$A$18,0)),"Yes","No"))</f>
        <v>Yes</v>
      </c>
    </row>
    <row r="2331" customFormat="false" ht="15" hidden="false" customHeight="false" outlineLevel="0" collapsed="false">
      <c r="A2331" s="31" t="s">
        <v>2481</v>
      </c>
      <c r="B2331" s="44" t="n">
        <v>46236</v>
      </c>
      <c r="C2331" s="31" t="s">
        <v>59</v>
      </c>
      <c r="D2331" s="31" t="s">
        <v>65</v>
      </c>
      <c r="E2331" s="31" t="s">
        <v>51</v>
      </c>
      <c r="F2331" s="31" t="s">
        <v>122</v>
      </c>
      <c r="G2331" s="31" t="n">
        <v>215</v>
      </c>
      <c r="H2331" s="41" t="n">
        <v>7</v>
      </c>
      <c r="I2331" s="31" t="s">
        <v>149</v>
      </c>
      <c r="J2331" s="31" t="n">
        <v>4</v>
      </c>
      <c r="K2331" s="31" t="s">
        <v>150</v>
      </c>
      <c r="L2331" s="45" t="n">
        <f aca="false">DATE(YEAR(B2331),MONTH(B2331),1)</f>
        <v>46235</v>
      </c>
      <c r="M2331" s="31" t="n">
        <f aca="false">WEEKDAY(B2331,2)</f>
        <v>7</v>
      </c>
      <c r="N2331" s="31" t="str">
        <f aca="false">IF(G2331&lt;=INDEX(Assumptions!$B$15:$B$18,MATCH(E2331,Assumptions!$A$15:$A$18,0)),"Yes","No")</f>
        <v>No</v>
      </c>
      <c r="O2331" s="31" t="str">
        <f aca="false">IF(H2331="","Open",IF(H2331&lt;=INDEX(Assumptions!$C$15:$C$18,MATCH(E2331,Assumptions!$A$15:$A$18,0)),"Yes","No"))</f>
        <v>Yes</v>
      </c>
    </row>
    <row r="2332" customFormat="false" ht="15" hidden="false" customHeight="false" outlineLevel="0" collapsed="false">
      <c r="A2332" s="31" t="s">
        <v>2482</v>
      </c>
      <c r="B2332" s="44" t="n">
        <v>46236</v>
      </c>
      <c r="C2332" s="31" t="s">
        <v>57</v>
      </c>
      <c r="D2332" s="31" t="s">
        <v>66</v>
      </c>
      <c r="E2332" s="31" t="s">
        <v>51</v>
      </c>
      <c r="F2332" s="31" t="s">
        <v>128</v>
      </c>
      <c r="G2332" s="31" t="n">
        <v>14</v>
      </c>
      <c r="H2332" s="41" t="n">
        <v>1.8</v>
      </c>
      <c r="I2332" s="31" t="s">
        <v>149</v>
      </c>
      <c r="J2332" s="31"/>
      <c r="K2332" s="31" t="s">
        <v>150</v>
      </c>
      <c r="L2332" s="45" t="n">
        <f aca="false">DATE(YEAR(B2332),MONTH(B2332),1)</f>
        <v>46235</v>
      </c>
      <c r="M2332" s="31" t="n">
        <f aca="false">WEEKDAY(B2332,2)</f>
        <v>7</v>
      </c>
      <c r="N2332" s="31" t="str">
        <f aca="false">IF(G2332&lt;=INDEX(Assumptions!$B$15:$B$18,MATCH(E2332,Assumptions!$A$15:$A$18,0)),"Yes","No")</f>
        <v>Yes</v>
      </c>
      <c r="O2332" s="31" t="str">
        <f aca="false">IF(H2332="","Open",IF(H2332&lt;=INDEX(Assumptions!$C$15:$C$18,MATCH(E2332,Assumptions!$A$15:$A$18,0)),"Yes","No"))</f>
        <v>Yes</v>
      </c>
    </row>
    <row r="2333" customFormat="false" ht="15" hidden="false" customHeight="false" outlineLevel="0" collapsed="false">
      <c r="A2333" s="31" t="s">
        <v>2483</v>
      </c>
      <c r="B2333" s="44" t="n">
        <v>46236</v>
      </c>
      <c r="C2333" s="31" t="s">
        <v>58</v>
      </c>
      <c r="D2333" s="31" t="s">
        <v>67</v>
      </c>
      <c r="E2333" s="31" t="s">
        <v>51</v>
      </c>
      <c r="F2333" s="31" t="s">
        <v>120</v>
      </c>
      <c r="G2333" s="31" t="n">
        <v>35</v>
      </c>
      <c r="H2333" s="41" t="n">
        <v>39.6</v>
      </c>
      <c r="I2333" s="31" t="s">
        <v>149</v>
      </c>
      <c r="J2333" s="31"/>
      <c r="K2333" s="31" t="s">
        <v>150</v>
      </c>
      <c r="L2333" s="45" t="n">
        <f aca="false">DATE(YEAR(B2333),MONTH(B2333),1)</f>
        <v>46235</v>
      </c>
      <c r="M2333" s="31" t="n">
        <f aca="false">WEEKDAY(B2333,2)</f>
        <v>7</v>
      </c>
      <c r="N2333" s="31" t="str">
        <f aca="false">IF(G2333&lt;=INDEX(Assumptions!$B$15:$B$18,MATCH(E2333,Assumptions!$A$15:$A$18,0)),"Yes","No")</f>
        <v>Yes</v>
      </c>
      <c r="O2333" s="31" t="str">
        <f aca="false">IF(H2333="","Open",IF(H2333&lt;=INDEX(Assumptions!$C$15:$C$18,MATCH(E2333,Assumptions!$A$15:$A$18,0)),"Yes","No"))</f>
        <v>No</v>
      </c>
    </row>
    <row r="2334" customFormat="false" ht="15" hidden="false" customHeight="false" outlineLevel="0" collapsed="false">
      <c r="A2334" s="31" t="s">
        <v>2484</v>
      </c>
      <c r="B2334" s="44" t="n">
        <v>46236</v>
      </c>
      <c r="C2334" s="31" t="s">
        <v>58</v>
      </c>
      <c r="D2334" s="31" t="s">
        <v>66</v>
      </c>
      <c r="E2334" s="31" t="s">
        <v>52</v>
      </c>
      <c r="F2334" s="31" t="s">
        <v>122</v>
      </c>
      <c r="G2334" s="31" t="n">
        <v>22</v>
      </c>
      <c r="H2334" s="41" t="n">
        <v>8</v>
      </c>
      <c r="I2334" s="31" t="s">
        <v>149</v>
      </c>
      <c r="J2334" s="31"/>
      <c r="K2334" s="31" t="s">
        <v>150</v>
      </c>
      <c r="L2334" s="45" t="n">
        <f aca="false">DATE(YEAR(B2334),MONTH(B2334),1)</f>
        <v>46235</v>
      </c>
      <c r="M2334" s="31" t="n">
        <f aca="false">WEEKDAY(B2334,2)</f>
        <v>7</v>
      </c>
      <c r="N2334" s="31" t="str">
        <f aca="false">IF(G2334&lt;=INDEX(Assumptions!$B$15:$B$18,MATCH(E2334,Assumptions!$A$15:$A$18,0)),"Yes","No")</f>
        <v>Yes</v>
      </c>
      <c r="O2334" s="31" t="str">
        <f aca="false">IF(H2334="","Open",IF(H2334&lt;=INDEX(Assumptions!$C$15:$C$18,MATCH(E2334,Assumptions!$A$15:$A$18,0)),"Yes","No"))</f>
        <v>Yes</v>
      </c>
    </row>
    <row r="2335" customFormat="false" ht="15" hidden="false" customHeight="false" outlineLevel="0" collapsed="false">
      <c r="A2335" s="31" t="s">
        <v>2485</v>
      </c>
      <c r="B2335" s="44" t="n">
        <v>46236</v>
      </c>
      <c r="C2335" s="31" t="s">
        <v>57</v>
      </c>
      <c r="D2335" s="31" t="s">
        <v>65</v>
      </c>
      <c r="E2335" s="31" t="s">
        <v>52</v>
      </c>
      <c r="F2335" s="31" t="s">
        <v>135</v>
      </c>
      <c r="G2335" s="31" t="n">
        <v>9</v>
      </c>
      <c r="H2335" s="41" t="n">
        <v>11.4</v>
      </c>
      <c r="I2335" s="31" t="s">
        <v>149</v>
      </c>
      <c r="J2335" s="31" t="n">
        <v>3</v>
      </c>
      <c r="K2335" s="31" t="s">
        <v>150</v>
      </c>
      <c r="L2335" s="45" t="n">
        <f aca="false">DATE(YEAR(B2335),MONTH(B2335),1)</f>
        <v>46235</v>
      </c>
      <c r="M2335" s="31" t="n">
        <f aca="false">WEEKDAY(B2335,2)</f>
        <v>7</v>
      </c>
      <c r="N2335" s="31" t="str">
        <f aca="false">IF(G2335&lt;=INDEX(Assumptions!$B$15:$B$18,MATCH(E2335,Assumptions!$A$15:$A$18,0)),"Yes","No")</f>
        <v>Yes</v>
      </c>
      <c r="O2335" s="31" t="str">
        <f aca="false">IF(H2335="","Open",IF(H2335&lt;=INDEX(Assumptions!$C$15:$C$18,MATCH(E2335,Assumptions!$A$15:$A$18,0)),"Yes","No"))</f>
        <v>Yes</v>
      </c>
    </row>
    <row r="2336" customFormat="false" ht="15" hidden="false" customHeight="false" outlineLevel="0" collapsed="false">
      <c r="A2336" s="31" t="s">
        <v>2486</v>
      </c>
      <c r="B2336" s="44" t="n">
        <v>46236</v>
      </c>
      <c r="C2336" s="31" t="s">
        <v>57</v>
      </c>
      <c r="D2336" s="31" t="s">
        <v>65</v>
      </c>
      <c r="E2336" s="31" t="s">
        <v>51</v>
      </c>
      <c r="F2336" s="31" t="s">
        <v>129</v>
      </c>
      <c r="G2336" s="31" t="n">
        <v>2</v>
      </c>
      <c r="H2336" s="41" t="n">
        <v>3.2</v>
      </c>
      <c r="I2336" s="31" t="s">
        <v>149</v>
      </c>
      <c r="J2336" s="31" t="n">
        <v>4</v>
      </c>
      <c r="K2336" s="31" t="s">
        <v>150</v>
      </c>
      <c r="L2336" s="45" t="n">
        <f aca="false">DATE(YEAR(B2336),MONTH(B2336),1)</f>
        <v>46235</v>
      </c>
      <c r="M2336" s="31" t="n">
        <f aca="false">WEEKDAY(B2336,2)</f>
        <v>7</v>
      </c>
      <c r="N2336" s="31" t="str">
        <f aca="false">IF(G2336&lt;=INDEX(Assumptions!$B$15:$B$18,MATCH(E2336,Assumptions!$A$15:$A$18,0)),"Yes","No")</f>
        <v>Yes</v>
      </c>
      <c r="O2336" s="31" t="str">
        <f aca="false">IF(H2336="","Open",IF(H2336&lt;=INDEX(Assumptions!$C$15:$C$18,MATCH(E2336,Assumptions!$A$15:$A$18,0)),"Yes","No"))</f>
        <v>Yes</v>
      </c>
    </row>
    <row r="2337" customFormat="false" ht="15" hidden="false" customHeight="false" outlineLevel="0" collapsed="false">
      <c r="A2337" s="31" t="s">
        <v>2487</v>
      </c>
      <c r="B2337" s="44" t="n">
        <v>46236</v>
      </c>
      <c r="C2337" s="31" t="s">
        <v>58</v>
      </c>
      <c r="D2337" s="31" t="s">
        <v>66</v>
      </c>
      <c r="E2337" s="31" t="s">
        <v>51</v>
      </c>
      <c r="F2337" s="31" t="s">
        <v>136</v>
      </c>
      <c r="G2337" s="31" t="n">
        <v>7</v>
      </c>
      <c r="H2337" s="41" t="n">
        <v>5.1</v>
      </c>
      <c r="I2337" s="31" t="s">
        <v>149</v>
      </c>
      <c r="J2337" s="31"/>
      <c r="K2337" s="31" t="s">
        <v>150</v>
      </c>
      <c r="L2337" s="45" t="n">
        <f aca="false">DATE(YEAR(B2337),MONTH(B2337),1)</f>
        <v>46235</v>
      </c>
      <c r="M2337" s="31" t="n">
        <f aca="false">WEEKDAY(B2337,2)</f>
        <v>7</v>
      </c>
      <c r="N2337" s="31" t="str">
        <f aca="false">IF(G2337&lt;=INDEX(Assumptions!$B$15:$B$18,MATCH(E2337,Assumptions!$A$15:$A$18,0)),"Yes","No")</f>
        <v>Yes</v>
      </c>
      <c r="O2337" s="31" t="str">
        <f aca="false">IF(H2337="","Open",IF(H2337&lt;=INDEX(Assumptions!$C$15:$C$18,MATCH(E2337,Assumptions!$A$15:$A$18,0)),"Yes","No"))</f>
        <v>Yes</v>
      </c>
    </row>
    <row r="2338" customFormat="false" ht="15" hidden="false" customHeight="false" outlineLevel="0" collapsed="false">
      <c r="A2338" s="31" t="s">
        <v>2488</v>
      </c>
      <c r="B2338" s="44" t="n">
        <v>46236</v>
      </c>
      <c r="C2338" s="31" t="s">
        <v>58</v>
      </c>
      <c r="D2338" s="31" t="s">
        <v>67</v>
      </c>
      <c r="E2338" s="31" t="s">
        <v>52</v>
      </c>
      <c r="F2338" s="31" t="s">
        <v>121</v>
      </c>
      <c r="G2338" s="31" t="n">
        <v>26</v>
      </c>
      <c r="H2338" s="41" t="n">
        <v>181.3</v>
      </c>
      <c r="I2338" s="31" t="s">
        <v>149</v>
      </c>
      <c r="J2338" s="31" t="n">
        <v>4</v>
      </c>
      <c r="K2338" s="31" t="s">
        <v>150</v>
      </c>
      <c r="L2338" s="45" t="n">
        <f aca="false">DATE(YEAR(B2338),MONTH(B2338),1)</f>
        <v>46235</v>
      </c>
      <c r="M2338" s="31" t="n">
        <f aca="false">WEEKDAY(B2338,2)</f>
        <v>7</v>
      </c>
      <c r="N2338" s="31" t="str">
        <f aca="false">IF(G2338&lt;=INDEX(Assumptions!$B$15:$B$18,MATCH(E2338,Assumptions!$A$15:$A$18,0)),"Yes","No")</f>
        <v>Yes</v>
      </c>
      <c r="O2338" s="31" t="str">
        <f aca="false">IF(H2338="","Open",IF(H2338&lt;=INDEX(Assumptions!$C$15:$C$18,MATCH(E2338,Assumptions!$A$15:$A$18,0)),"Yes","No"))</f>
        <v>No</v>
      </c>
    </row>
    <row r="2339" customFormat="false" ht="15" hidden="false" customHeight="false" outlineLevel="0" collapsed="false">
      <c r="A2339" s="31" t="s">
        <v>2489</v>
      </c>
      <c r="B2339" s="44" t="n">
        <v>46236</v>
      </c>
      <c r="C2339" s="31" t="s">
        <v>58</v>
      </c>
      <c r="D2339" s="31" t="s">
        <v>66</v>
      </c>
      <c r="E2339" s="31" t="s">
        <v>52</v>
      </c>
      <c r="F2339" s="31" t="s">
        <v>127</v>
      </c>
      <c r="G2339" s="31" t="n">
        <v>5</v>
      </c>
      <c r="H2339" s="41" t="n">
        <v>10</v>
      </c>
      <c r="I2339" s="31" t="s">
        <v>149</v>
      </c>
      <c r="J2339" s="31"/>
      <c r="K2339" s="31" t="s">
        <v>150</v>
      </c>
      <c r="L2339" s="45" t="n">
        <f aca="false">DATE(YEAR(B2339),MONTH(B2339),1)</f>
        <v>46235</v>
      </c>
      <c r="M2339" s="31" t="n">
        <f aca="false">WEEKDAY(B2339,2)</f>
        <v>7</v>
      </c>
      <c r="N2339" s="31" t="str">
        <f aca="false">IF(G2339&lt;=INDEX(Assumptions!$B$15:$B$18,MATCH(E2339,Assumptions!$A$15:$A$18,0)),"Yes","No")</f>
        <v>Yes</v>
      </c>
      <c r="O2339" s="31" t="str">
        <f aca="false">IF(H2339="","Open",IF(H2339&lt;=INDEX(Assumptions!$C$15:$C$18,MATCH(E2339,Assumptions!$A$15:$A$18,0)),"Yes","No"))</f>
        <v>Yes</v>
      </c>
    </row>
    <row r="2340" customFormat="false" ht="15" hidden="false" customHeight="false" outlineLevel="0" collapsed="false">
      <c r="A2340" s="31" t="s">
        <v>2490</v>
      </c>
      <c r="B2340" s="44" t="n">
        <v>46236</v>
      </c>
      <c r="C2340" s="31" t="s">
        <v>57</v>
      </c>
      <c r="D2340" s="31" t="s">
        <v>67</v>
      </c>
      <c r="E2340" s="31" t="s">
        <v>51</v>
      </c>
      <c r="F2340" s="31" t="s">
        <v>130</v>
      </c>
      <c r="G2340" s="31" t="n">
        <v>4</v>
      </c>
      <c r="H2340" s="41" t="n">
        <v>13.2</v>
      </c>
      <c r="I2340" s="31" t="s">
        <v>149</v>
      </c>
      <c r="J2340" s="31" t="n">
        <v>5</v>
      </c>
      <c r="K2340" s="31" t="s">
        <v>150</v>
      </c>
      <c r="L2340" s="45" t="n">
        <f aca="false">DATE(YEAR(B2340),MONTH(B2340),1)</f>
        <v>46235</v>
      </c>
      <c r="M2340" s="31" t="n">
        <f aca="false">WEEKDAY(B2340,2)</f>
        <v>7</v>
      </c>
      <c r="N2340" s="31" t="str">
        <f aca="false">IF(G2340&lt;=INDEX(Assumptions!$B$15:$B$18,MATCH(E2340,Assumptions!$A$15:$A$18,0)),"Yes","No")</f>
        <v>Yes</v>
      </c>
      <c r="O2340" s="31" t="str">
        <f aca="false">IF(H2340="","Open",IF(H2340&lt;=INDEX(Assumptions!$C$15:$C$18,MATCH(E2340,Assumptions!$A$15:$A$18,0)),"Yes","No"))</f>
        <v>Yes</v>
      </c>
    </row>
    <row r="2341" customFormat="false" ht="15" hidden="false" customHeight="false" outlineLevel="0" collapsed="false">
      <c r="A2341" s="31" t="s">
        <v>2491</v>
      </c>
      <c r="B2341" s="44" t="n">
        <v>46237</v>
      </c>
      <c r="C2341" s="31" t="s">
        <v>58</v>
      </c>
      <c r="D2341" s="31" t="s">
        <v>69</v>
      </c>
      <c r="E2341" s="31" t="s">
        <v>51</v>
      </c>
      <c r="F2341" s="31" t="s">
        <v>123</v>
      </c>
      <c r="G2341" s="31" t="n">
        <v>26</v>
      </c>
      <c r="H2341" s="41" t="n">
        <v>9.7</v>
      </c>
      <c r="I2341" s="31" t="s">
        <v>149</v>
      </c>
      <c r="J2341" s="31" t="n">
        <v>5</v>
      </c>
      <c r="K2341" s="31" t="s">
        <v>150</v>
      </c>
      <c r="L2341" s="45" t="n">
        <f aca="false">DATE(YEAR(B2341),MONTH(B2341),1)</f>
        <v>46235</v>
      </c>
      <c r="M2341" s="31" t="n">
        <f aca="false">WEEKDAY(B2341,2)</f>
        <v>1</v>
      </c>
      <c r="N2341" s="31" t="str">
        <f aca="false">IF(G2341&lt;=INDEX(Assumptions!$B$15:$B$18,MATCH(E2341,Assumptions!$A$15:$A$18,0)),"Yes","No")</f>
        <v>Yes</v>
      </c>
      <c r="O2341" s="31" t="str">
        <f aca="false">IF(H2341="","Open",IF(H2341&lt;=INDEX(Assumptions!$C$15:$C$18,MATCH(E2341,Assumptions!$A$15:$A$18,0)),"Yes","No"))</f>
        <v>Yes</v>
      </c>
    </row>
    <row r="2342" customFormat="false" ht="15" hidden="false" customHeight="false" outlineLevel="0" collapsed="false">
      <c r="A2342" s="31" t="s">
        <v>2492</v>
      </c>
      <c r="B2342" s="44" t="n">
        <v>46237</v>
      </c>
      <c r="C2342" s="31" t="s">
        <v>57</v>
      </c>
      <c r="D2342" s="31" t="s">
        <v>67</v>
      </c>
      <c r="E2342" s="31" t="s">
        <v>51</v>
      </c>
      <c r="F2342" s="31" t="s">
        <v>129</v>
      </c>
      <c r="G2342" s="31" t="n">
        <v>1</v>
      </c>
      <c r="H2342" s="41" t="n">
        <v>4.3</v>
      </c>
      <c r="I2342" s="31" t="s">
        <v>149</v>
      </c>
      <c r="J2342" s="31"/>
      <c r="K2342" s="31" t="s">
        <v>150</v>
      </c>
      <c r="L2342" s="45" t="n">
        <f aca="false">DATE(YEAR(B2342),MONTH(B2342),1)</f>
        <v>46235</v>
      </c>
      <c r="M2342" s="31" t="n">
        <f aca="false">WEEKDAY(B2342,2)</f>
        <v>1</v>
      </c>
      <c r="N2342" s="31" t="str">
        <f aca="false">IF(G2342&lt;=INDEX(Assumptions!$B$15:$B$18,MATCH(E2342,Assumptions!$A$15:$A$18,0)),"Yes","No")</f>
        <v>Yes</v>
      </c>
      <c r="O2342" s="31" t="str">
        <f aca="false">IF(H2342="","Open",IF(H2342&lt;=INDEX(Assumptions!$C$15:$C$18,MATCH(E2342,Assumptions!$A$15:$A$18,0)),"Yes","No"))</f>
        <v>Yes</v>
      </c>
    </row>
    <row r="2343" customFormat="false" ht="15" hidden="false" customHeight="false" outlineLevel="0" collapsed="false">
      <c r="A2343" s="31" t="s">
        <v>2493</v>
      </c>
      <c r="B2343" s="44" t="n">
        <v>46237</v>
      </c>
      <c r="C2343" s="31" t="s">
        <v>58</v>
      </c>
      <c r="D2343" s="31" t="s">
        <v>65</v>
      </c>
      <c r="E2343" s="31" t="s">
        <v>51</v>
      </c>
      <c r="F2343" s="31" t="s">
        <v>131</v>
      </c>
      <c r="G2343" s="31" t="n">
        <v>4</v>
      </c>
      <c r="H2343" s="41" t="n">
        <v>10.3</v>
      </c>
      <c r="I2343" s="31" t="s">
        <v>149</v>
      </c>
      <c r="J2343" s="31" t="n">
        <v>3</v>
      </c>
      <c r="K2343" s="31" t="s">
        <v>150</v>
      </c>
      <c r="L2343" s="45" t="n">
        <f aca="false">DATE(YEAR(B2343),MONTH(B2343),1)</f>
        <v>46235</v>
      </c>
      <c r="M2343" s="31" t="n">
        <f aca="false">WEEKDAY(B2343,2)</f>
        <v>1</v>
      </c>
      <c r="N2343" s="31" t="str">
        <f aca="false">IF(G2343&lt;=INDEX(Assumptions!$B$15:$B$18,MATCH(E2343,Assumptions!$A$15:$A$18,0)),"Yes","No")</f>
        <v>Yes</v>
      </c>
      <c r="O2343" s="31" t="str">
        <f aca="false">IF(H2343="","Open",IF(H2343&lt;=INDEX(Assumptions!$C$15:$C$18,MATCH(E2343,Assumptions!$A$15:$A$18,0)),"Yes","No"))</f>
        <v>Yes</v>
      </c>
    </row>
    <row r="2344" customFormat="false" ht="15" hidden="false" customHeight="false" outlineLevel="0" collapsed="false">
      <c r="A2344" s="31" t="s">
        <v>2494</v>
      </c>
      <c r="B2344" s="44" t="n">
        <v>46237</v>
      </c>
      <c r="C2344" s="31" t="s">
        <v>58</v>
      </c>
      <c r="D2344" s="31" t="s">
        <v>67</v>
      </c>
      <c r="E2344" s="31" t="s">
        <v>52</v>
      </c>
      <c r="F2344" s="31" t="s">
        <v>129</v>
      </c>
      <c r="G2344" s="31" t="n">
        <v>12</v>
      </c>
      <c r="H2344" s="41" t="n">
        <v>17.9</v>
      </c>
      <c r="I2344" s="31" t="s">
        <v>64</v>
      </c>
      <c r="J2344" s="31" t="n">
        <v>3</v>
      </c>
      <c r="K2344" s="31" t="s">
        <v>150</v>
      </c>
      <c r="L2344" s="45" t="n">
        <f aca="false">DATE(YEAR(B2344),MONTH(B2344),1)</f>
        <v>46235</v>
      </c>
      <c r="M2344" s="31" t="n">
        <f aca="false">WEEKDAY(B2344,2)</f>
        <v>1</v>
      </c>
      <c r="N2344" s="31" t="str">
        <f aca="false">IF(G2344&lt;=INDEX(Assumptions!$B$15:$B$18,MATCH(E2344,Assumptions!$A$15:$A$18,0)),"Yes","No")</f>
        <v>Yes</v>
      </c>
      <c r="O2344" s="31" t="str">
        <f aca="false">IF(H2344="","Open",IF(H2344&lt;=INDEX(Assumptions!$C$15:$C$18,MATCH(E2344,Assumptions!$A$15:$A$18,0)),"Yes","No"))</f>
        <v>Yes</v>
      </c>
    </row>
    <row r="2345" customFormat="false" ht="15" hidden="false" customHeight="false" outlineLevel="0" collapsed="false">
      <c r="A2345" s="31" t="s">
        <v>2495</v>
      </c>
      <c r="B2345" s="44" t="n">
        <v>46237</v>
      </c>
      <c r="C2345" s="31" t="s">
        <v>57</v>
      </c>
      <c r="D2345" s="31" t="s">
        <v>69</v>
      </c>
      <c r="E2345" s="31" t="s">
        <v>51</v>
      </c>
      <c r="F2345" s="31" t="s">
        <v>120</v>
      </c>
      <c r="G2345" s="31" t="n">
        <v>7</v>
      </c>
      <c r="H2345" s="41" t="n">
        <v>54.5</v>
      </c>
      <c r="I2345" s="31" t="s">
        <v>149</v>
      </c>
      <c r="J2345" s="31" t="n">
        <v>3</v>
      </c>
      <c r="K2345" s="31" t="s">
        <v>150</v>
      </c>
      <c r="L2345" s="45" t="n">
        <f aca="false">DATE(YEAR(B2345),MONTH(B2345),1)</f>
        <v>46235</v>
      </c>
      <c r="M2345" s="31" t="n">
        <f aca="false">WEEKDAY(B2345,2)</f>
        <v>1</v>
      </c>
      <c r="N2345" s="31" t="str">
        <f aca="false">IF(G2345&lt;=INDEX(Assumptions!$B$15:$B$18,MATCH(E2345,Assumptions!$A$15:$A$18,0)),"Yes","No")</f>
        <v>Yes</v>
      </c>
      <c r="O2345" s="31" t="str">
        <f aca="false">IF(H2345="","Open",IF(H2345&lt;=INDEX(Assumptions!$C$15:$C$18,MATCH(E2345,Assumptions!$A$15:$A$18,0)),"Yes","No"))</f>
        <v>No</v>
      </c>
    </row>
    <row r="2346" customFormat="false" ht="15" hidden="false" customHeight="false" outlineLevel="0" collapsed="false">
      <c r="A2346" s="31" t="s">
        <v>2496</v>
      </c>
      <c r="B2346" s="44" t="n">
        <v>46237</v>
      </c>
      <c r="C2346" s="31" t="s">
        <v>57</v>
      </c>
      <c r="D2346" s="31" t="s">
        <v>66</v>
      </c>
      <c r="E2346" s="31" t="s">
        <v>52</v>
      </c>
      <c r="F2346" s="31" t="s">
        <v>121</v>
      </c>
      <c r="G2346" s="31" t="n">
        <v>6</v>
      </c>
      <c r="H2346" s="41" t="n">
        <v>23.7</v>
      </c>
      <c r="I2346" s="31" t="s">
        <v>64</v>
      </c>
      <c r="J2346" s="31" t="n">
        <v>4</v>
      </c>
      <c r="K2346" s="31" t="s">
        <v>150</v>
      </c>
      <c r="L2346" s="45" t="n">
        <f aca="false">DATE(YEAR(B2346),MONTH(B2346),1)</f>
        <v>46235</v>
      </c>
      <c r="M2346" s="31" t="n">
        <f aca="false">WEEKDAY(B2346,2)</f>
        <v>1</v>
      </c>
      <c r="N2346" s="31" t="str">
        <f aca="false">IF(G2346&lt;=INDEX(Assumptions!$B$15:$B$18,MATCH(E2346,Assumptions!$A$15:$A$18,0)),"Yes","No")</f>
        <v>Yes</v>
      </c>
      <c r="O2346" s="31" t="str">
        <f aca="false">IF(H2346="","Open",IF(H2346&lt;=INDEX(Assumptions!$C$15:$C$18,MATCH(E2346,Assumptions!$A$15:$A$18,0)),"Yes","No"))</f>
        <v>Yes</v>
      </c>
    </row>
    <row r="2347" customFormat="false" ht="15" hidden="false" customHeight="false" outlineLevel="0" collapsed="false">
      <c r="A2347" s="31" t="s">
        <v>2497</v>
      </c>
      <c r="B2347" s="44" t="n">
        <v>46237</v>
      </c>
      <c r="C2347" s="31" t="s">
        <v>58</v>
      </c>
      <c r="D2347" s="31" t="s">
        <v>67</v>
      </c>
      <c r="E2347" s="31" t="s">
        <v>51</v>
      </c>
      <c r="F2347" s="31" t="s">
        <v>137</v>
      </c>
      <c r="G2347" s="31" t="n">
        <v>6</v>
      </c>
      <c r="H2347" s="41"/>
      <c r="I2347" s="31" t="s">
        <v>158</v>
      </c>
      <c r="J2347" s="31"/>
      <c r="K2347" s="31" t="s">
        <v>150</v>
      </c>
      <c r="L2347" s="45" t="n">
        <f aca="false">DATE(YEAR(B2347),MONTH(B2347),1)</f>
        <v>46235</v>
      </c>
      <c r="M2347" s="31" t="n">
        <f aca="false">WEEKDAY(B2347,2)</f>
        <v>1</v>
      </c>
      <c r="N2347" s="31" t="str">
        <f aca="false">IF(G2347&lt;=INDEX(Assumptions!$B$15:$B$18,MATCH(E2347,Assumptions!$A$15:$A$18,0)),"Yes","No")</f>
        <v>Yes</v>
      </c>
      <c r="O2347" s="31" t="str">
        <f aca="false">IF(H2347="","Open",IF(H2347&lt;=INDEX(Assumptions!$C$15:$C$18,MATCH(E2347,Assumptions!$A$15:$A$18,0)),"Yes","No"))</f>
        <v>Open</v>
      </c>
    </row>
    <row r="2348" customFormat="false" ht="15" hidden="false" customHeight="false" outlineLevel="0" collapsed="false">
      <c r="A2348" s="31" t="s">
        <v>2498</v>
      </c>
      <c r="B2348" s="44" t="n">
        <v>46237</v>
      </c>
      <c r="C2348" s="31" t="s">
        <v>57</v>
      </c>
      <c r="D2348" s="31" t="s">
        <v>65</v>
      </c>
      <c r="E2348" s="31" t="s">
        <v>52</v>
      </c>
      <c r="F2348" s="31" t="s">
        <v>129</v>
      </c>
      <c r="G2348" s="31" t="n">
        <v>5</v>
      </c>
      <c r="H2348" s="41" t="n">
        <v>11.3</v>
      </c>
      <c r="I2348" s="31" t="s">
        <v>149</v>
      </c>
      <c r="J2348" s="31" t="n">
        <v>4</v>
      </c>
      <c r="K2348" s="31" t="s">
        <v>150</v>
      </c>
      <c r="L2348" s="45" t="n">
        <f aca="false">DATE(YEAR(B2348),MONTH(B2348),1)</f>
        <v>46235</v>
      </c>
      <c r="M2348" s="31" t="n">
        <f aca="false">WEEKDAY(B2348,2)</f>
        <v>1</v>
      </c>
      <c r="N2348" s="31" t="str">
        <f aca="false">IF(G2348&lt;=INDEX(Assumptions!$B$15:$B$18,MATCH(E2348,Assumptions!$A$15:$A$18,0)),"Yes","No")</f>
        <v>Yes</v>
      </c>
      <c r="O2348" s="31" t="str">
        <f aca="false">IF(H2348="","Open",IF(H2348&lt;=INDEX(Assumptions!$C$15:$C$18,MATCH(E2348,Assumptions!$A$15:$A$18,0)),"Yes","No"))</f>
        <v>Yes</v>
      </c>
    </row>
    <row r="2349" customFormat="false" ht="15" hidden="false" customHeight="false" outlineLevel="0" collapsed="false">
      <c r="A2349" s="31" t="s">
        <v>2499</v>
      </c>
      <c r="B2349" s="44" t="n">
        <v>46237</v>
      </c>
      <c r="C2349" s="31" t="s">
        <v>57</v>
      </c>
      <c r="D2349" s="31" t="s">
        <v>66</v>
      </c>
      <c r="E2349" s="31" t="s">
        <v>49</v>
      </c>
      <c r="F2349" s="31" t="s">
        <v>120</v>
      </c>
      <c r="G2349" s="31" t="n">
        <v>3</v>
      </c>
      <c r="H2349" s="41" t="n">
        <v>5.2</v>
      </c>
      <c r="I2349" s="31" t="s">
        <v>149</v>
      </c>
      <c r="J2349" s="31" t="n">
        <v>4</v>
      </c>
      <c r="K2349" s="31" t="s">
        <v>153</v>
      </c>
      <c r="L2349" s="45" t="n">
        <f aca="false">DATE(YEAR(B2349),MONTH(B2349),1)</f>
        <v>46235</v>
      </c>
      <c r="M2349" s="31" t="n">
        <f aca="false">WEEKDAY(B2349,2)</f>
        <v>1</v>
      </c>
      <c r="N2349" s="31" t="str">
        <f aca="false">IF(G2349&lt;=INDEX(Assumptions!$B$15:$B$18,MATCH(E2349,Assumptions!$A$15:$A$18,0)),"Yes","No")</f>
        <v>Yes</v>
      </c>
      <c r="O2349" s="31" t="str">
        <f aca="false">IF(H2349="","Open",IF(H2349&lt;=INDEX(Assumptions!$C$15:$C$18,MATCH(E2349,Assumptions!$A$15:$A$18,0)),"Yes","No"))</f>
        <v>No</v>
      </c>
    </row>
    <row r="2350" customFormat="false" ht="15" hidden="false" customHeight="false" outlineLevel="0" collapsed="false">
      <c r="A2350" s="31" t="s">
        <v>2500</v>
      </c>
      <c r="B2350" s="44" t="n">
        <v>46237</v>
      </c>
      <c r="C2350" s="31" t="s">
        <v>58</v>
      </c>
      <c r="D2350" s="31" t="s">
        <v>67</v>
      </c>
      <c r="E2350" s="31" t="s">
        <v>52</v>
      </c>
      <c r="F2350" s="31" t="s">
        <v>131</v>
      </c>
      <c r="G2350" s="31" t="n">
        <v>19</v>
      </c>
      <c r="H2350" s="41" t="n">
        <v>39.5</v>
      </c>
      <c r="I2350" s="31" t="s">
        <v>149</v>
      </c>
      <c r="J2350" s="31" t="n">
        <v>4</v>
      </c>
      <c r="K2350" s="31" t="s">
        <v>150</v>
      </c>
      <c r="L2350" s="45" t="n">
        <f aca="false">DATE(YEAR(B2350),MONTH(B2350),1)</f>
        <v>46235</v>
      </c>
      <c r="M2350" s="31" t="n">
        <f aca="false">WEEKDAY(B2350,2)</f>
        <v>1</v>
      </c>
      <c r="N2350" s="31" t="str">
        <f aca="false">IF(G2350&lt;=INDEX(Assumptions!$B$15:$B$18,MATCH(E2350,Assumptions!$A$15:$A$18,0)),"Yes","No")</f>
        <v>Yes</v>
      </c>
      <c r="O2350" s="31" t="str">
        <f aca="false">IF(H2350="","Open",IF(H2350&lt;=INDEX(Assumptions!$C$15:$C$18,MATCH(E2350,Assumptions!$A$15:$A$18,0)),"Yes","No"))</f>
        <v>Yes</v>
      </c>
    </row>
    <row r="2351" customFormat="false" ht="15" hidden="false" customHeight="false" outlineLevel="0" collapsed="false">
      <c r="A2351" s="31" t="s">
        <v>2501</v>
      </c>
      <c r="B2351" s="44" t="n">
        <v>46237</v>
      </c>
      <c r="C2351" s="31" t="s">
        <v>58</v>
      </c>
      <c r="D2351" s="31" t="s">
        <v>65</v>
      </c>
      <c r="E2351" s="31" t="s">
        <v>51</v>
      </c>
      <c r="F2351" s="31" t="s">
        <v>121</v>
      </c>
      <c r="G2351" s="31" t="n">
        <v>27</v>
      </c>
      <c r="H2351" s="41" t="n">
        <v>17.4</v>
      </c>
      <c r="I2351" s="31" t="s">
        <v>149</v>
      </c>
      <c r="J2351" s="31"/>
      <c r="K2351" s="31" t="s">
        <v>150</v>
      </c>
      <c r="L2351" s="45" t="n">
        <f aca="false">DATE(YEAR(B2351),MONTH(B2351),1)</f>
        <v>46235</v>
      </c>
      <c r="M2351" s="31" t="n">
        <f aca="false">WEEKDAY(B2351,2)</f>
        <v>1</v>
      </c>
      <c r="N2351" s="31" t="str">
        <f aca="false">IF(G2351&lt;=INDEX(Assumptions!$B$15:$B$18,MATCH(E2351,Assumptions!$A$15:$A$18,0)),"Yes","No")</f>
        <v>Yes</v>
      </c>
      <c r="O2351" s="31" t="str">
        <f aca="false">IF(H2351="","Open",IF(H2351&lt;=INDEX(Assumptions!$C$15:$C$18,MATCH(E2351,Assumptions!$A$15:$A$18,0)),"Yes","No"))</f>
        <v>Yes</v>
      </c>
    </row>
    <row r="2352" customFormat="false" ht="15" hidden="false" customHeight="false" outlineLevel="0" collapsed="false">
      <c r="A2352" s="31" t="s">
        <v>2502</v>
      </c>
      <c r="B2352" s="44" t="n">
        <v>46237</v>
      </c>
      <c r="C2352" s="31" t="s">
        <v>59</v>
      </c>
      <c r="D2352" s="31" t="s">
        <v>67</v>
      </c>
      <c r="E2352" s="31" t="s">
        <v>52</v>
      </c>
      <c r="F2352" s="31" t="s">
        <v>129</v>
      </c>
      <c r="G2352" s="31" t="n">
        <v>77</v>
      </c>
      <c r="H2352" s="41" t="n">
        <v>48.4</v>
      </c>
      <c r="I2352" s="31" t="s">
        <v>64</v>
      </c>
      <c r="J2352" s="31" t="n">
        <v>4</v>
      </c>
      <c r="K2352" s="31" t="s">
        <v>150</v>
      </c>
      <c r="L2352" s="45" t="n">
        <f aca="false">DATE(YEAR(B2352),MONTH(B2352),1)</f>
        <v>46235</v>
      </c>
      <c r="M2352" s="31" t="n">
        <f aca="false">WEEKDAY(B2352,2)</f>
        <v>1</v>
      </c>
      <c r="N2352" s="31" t="str">
        <f aca="false">IF(G2352&lt;=INDEX(Assumptions!$B$15:$B$18,MATCH(E2352,Assumptions!$A$15:$A$18,0)),"Yes","No")</f>
        <v>Yes</v>
      </c>
      <c r="O2352" s="31" t="str">
        <f aca="false">IF(H2352="","Open",IF(H2352&lt;=INDEX(Assumptions!$C$15:$C$18,MATCH(E2352,Assumptions!$A$15:$A$18,0)),"Yes","No"))</f>
        <v>Yes</v>
      </c>
    </row>
    <row r="2353" customFormat="false" ht="15" hidden="false" customHeight="false" outlineLevel="0" collapsed="false">
      <c r="A2353" s="31" t="s">
        <v>2503</v>
      </c>
      <c r="B2353" s="44" t="n">
        <v>46237</v>
      </c>
      <c r="C2353" s="31" t="s">
        <v>59</v>
      </c>
      <c r="D2353" s="31" t="s">
        <v>69</v>
      </c>
      <c r="E2353" s="31" t="s">
        <v>51</v>
      </c>
      <c r="F2353" s="31" t="s">
        <v>128</v>
      </c>
      <c r="G2353" s="31" t="n">
        <v>39</v>
      </c>
      <c r="H2353" s="41" t="n">
        <v>11.3</v>
      </c>
      <c r="I2353" s="31" t="s">
        <v>149</v>
      </c>
      <c r="J2353" s="31"/>
      <c r="K2353" s="31" t="s">
        <v>150</v>
      </c>
      <c r="L2353" s="45" t="n">
        <f aca="false">DATE(YEAR(B2353),MONTH(B2353),1)</f>
        <v>46235</v>
      </c>
      <c r="M2353" s="31" t="n">
        <f aca="false">WEEKDAY(B2353,2)</f>
        <v>1</v>
      </c>
      <c r="N2353" s="31" t="str">
        <f aca="false">IF(G2353&lt;=INDEX(Assumptions!$B$15:$B$18,MATCH(E2353,Assumptions!$A$15:$A$18,0)),"Yes","No")</f>
        <v>Yes</v>
      </c>
      <c r="O2353" s="31" t="str">
        <f aca="false">IF(H2353="","Open",IF(H2353&lt;=INDEX(Assumptions!$C$15:$C$18,MATCH(E2353,Assumptions!$A$15:$A$18,0)),"Yes","No"))</f>
        <v>Yes</v>
      </c>
    </row>
    <row r="2354" customFormat="false" ht="15" hidden="false" customHeight="false" outlineLevel="0" collapsed="false">
      <c r="A2354" s="31" t="s">
        <v>2504</v>
      </c>
      <c r="B2354" s="44" t="n">
        <v>46237</v>
      </c>
      <c r="C2354" s="31" t="s">
        <v>59</v>
      </c>
      <c r="D2354" s="31" t="s">
        <v>67</v>
      </c>
      <c r="E2354" s="31" t="s">
        <v>52</v>
      </c>
      <c r="F2354" s="31" t="s">
        <v>122</v>
      </c>
      <c r="G2354" s="31" t="n">
        <v>262</v>
      </c>
      <c r="H2354" s="41" t="n">
        <v>22.9</v>
      </c>
      <c r="I2354" s="31" t="s">
        <v>149</v>
      </c>
      <c r="J2354" s="31" t="n">
        <v>5</v>
      </c>
      <c r="K2354" s="31" t="s">
        <v>150</v>
      </c>
      <c r="L2354" s="45" t="n">
        <f aca="false">DATE(YEAR(B2354),MONTH(B2354),1)</f>
        <v>46235</v>
      </c>
      <c r="M2354" s="31" t="n">
        <f aca="false">WEEKDAY(B2354,2)</f>
        <v>1</v>
      </c>
      <c r="N2354" s="31" t="str">
        <f aca="false">IF(G2354&lt;=INDEX(Assumptions!$B$15:$B$18,MATCH(E2354,Assumptions!$A$15:$A$18,0)),"Yes","No")</f>
        <v>No</v>
      </c>
      <c r="O2354" s="31" t="str">
        <f aca="false">IF(H2354="","Open",IF(H2354&lt;=INDEX(Assumptions!$C$15:$C$18,MATCH(E2354,Assumptions!$A$15:$A$18,0)),"Yes","No"))</f>
        <v>Yes</v>
      </c>
    </row>
    <row r="2355" customFormat="false" ht="15" hidden="false" customHeight="false" outlineLevel="0" collapsed="false">
      <c r="A2355" s="31" t="s">
        <v>2505</v>
      </c>
      <c r="B2355" s="44" t="n">
        <v>46237</v>
      </c>
      <c r="C2355" s="31" t="s">
        <v>57</v>
      </c>
      <c r="D2355" s="31" t="s">
        <v>65</v>
      </c>
      <c r="E2355" s="31" t="s">
        <v>52</v>
      </c>
      <c r="F2355" s="31" t="s">
        <v>117</v>
      </c>
      <c r="G2355" s="31" t="n">
        <v>3</v>
      </c>
      <c r="H2355" s="41" t="n">
        <v>15</v>
      </c>
      <c r="I2355" s="31" t="s">
        <v>149</v>
      </c>
      <c r="J2355" s="31"/>
      <c r="K2355" s="31" t="s">
        <v>150</v>
      </c>
      <c r="L2355" s="45" t="n">
        <f aca="false">DATE(YEAR(B2355),MONTH(B2355),1)</f>
        <v>46235</v>
      </c>
      <c r="M2355" s="31" t="n">
        <f aca="false">WEEKDAY(B2355,2)</f>
        <v>1</v>
      </c>
      <c r="N2355" s="31" t="str">
        <f aca="false">IF(G2355&lt;=INDEX(Assumptions!$B$15:$B$18,MATCH(E2355,Assumptions!$A$15:$A$18,0)),"Yes","No")</f>
        <v>Yes</v>
      </c>
      <c r="O2355" s="31" t="str">
        <f aca="false">IF(H2355="","Open",IF(H2355&lt;=INDEX(Assumptions!$C$15:$C$18,MATCH(E2355,Assumptions!$A$15:$A$18,0)),"Yes","No"))</f>
        <v>Yes</v>
      </c>
    </row>
    <row r="2356" customFormat="false" ht="15" hidden="false" customHeight="false" outlineLevel="0" collapsed="false">
      <c r="A2356" s="31" t="s">
        <v>2506</v>
      </c>
      <c r="B2356" s="44" t="n">
        <v>46237</v>
      </c>
      <c r="C2356" s="31" t="s">
        <v>60</v>
      </c>
      <c r="D2356" s="31" t="s">
        <v>65</v>
      </c>
      <c r="E2356" s="31" t="s">
        <v>52</v>
      </c>
      <c r="F2356" s="31" t="s">
        <v>136</v>
      </c>
      <c r="G2356" s="31" t="n">
        <v>3</v>
      </c>
      <c r="H2356" s="41" t="n">
        <v>21.5</v>
      </c>
      <c r="I2356" s="31" t="s">
        <v>149</v>
      </c>
      <c r="J2356" s="31" t="n">
        <v>5</v>
      </c>
      <c r="K2356" s="31" t="s">
        <v>150</v>
      </c>
      <c r="L2356" s="45" t="n">
        <f aca="false">DATE(YEAR(B2356),MONTH(B2356),1)</f>
        <v>46235</v>
      </c>
      <c r="M2356" s="31" t="n">
        <f aca="false">WEEKDAY(B2356,2)</f>
        <v>1</v>
      </c>
      <c r="N2356" s="31" t="str">
        <f aca="false">IF(G2356&lt;=INDEX(Assumptions!$B$15:$B$18,MATCH(E2356,Assumptions!$A$15:$A$18,0)),"Yes","No")</f>
        <v>Yes</v>
      </c>
      <c r="O2356" s="31" t="str">
        <f aca="false">IF(H2356="","Open",IF(H2356&lt;=INDEX(Assumptions!$C$15:$C$18,MATCH(E2356,Assumptions!$A$15:$A$18,0)),"Yes","No"))</f>
        <v>Yes</v>
      </c>
    </row>
    <row r="2357" customFormat="false" ht="15" hidden="false" customHeight="false" outlineLevel="0" collapsed="false">
      <c r="A2357" s="31" t="s">
        <v>2507</v>
      </c>
      <c r="B2357" s="44" t="n">
        <v>46237</v>
      </c>
      <c r="C2357" s="31" t="s">
        <v>57</v>
      </c>
      <c r="D2357" s="31" t="s">
        <v>66</v>
      </c>
      <c r="E2357" s="31" t="s">
        <v>50</v>
      </c>
      <c r="F2357" s="31" t="s">
        <v>133</v>
      </c>
      <c r="G2357" s="31" t="n">
        <v>9</v>
      </c>
      <c r="H2357" s="41" t="n">
        <v>3.2</v>
      </c>
      <c r="I2357" s="31" t="s">
        <v>149</v>
      </c>
      <c r="J2357" s="31"/>
      <c r="K2357" s="31" t="s">
        <v>150</v>
      </c>
      <c r="L2357" s="45" t="n">
        <f aca="false">DATE(YEAR(B2357),MONTH(B2357),1)</f>
        <v>46235</v>
      </c>
      <c r="M2357" s="31" t="n">
        <f aca="false">WEEKDAY(B2357,2)</f>
        <v>1</v>
      </c>
      <c r="N2357" s="31" t="str">
        <f aca="false">IF(G2357&lt;=INDEX(Assumptions!$B$15:$B$18,MATCH(E2357,Assumptions!$A$15:$A$18,0)),"Yes","No")</f>
        <v>Yes</v>
      </c>
      <c r="O2357" s="31" t="str">
        <f aca="false">IF(H2357="","Open",IF(H2357&lt;=INDEX(Assumptions!$C$15:$C$18,MATCH(E2357,Assumptions!$A$15:$A$18,0)),"Yes","No"))</f>
        <v>Yes</v>
      </c>
    </row>
    <row r="2358" customFormat="false" ht="15" hidden="false" customHeight="false" outlineLevel="0" collapsed="false">
      <c r="A2358" s="31" t="s">
        <v>2508</v>
      </c>
      <c r="B2358" s="44" t="n">
        <v>46237</v>
      </c>
      <c r="C2358" s="31" t="s">
        <v>59</v>
      </c>
      <c r="D2358" s="31" t="s">
        <v>67</v>
      </c>
      <c r="E2358" s="31" t="s">
        <v>51</v>
      </c>
      <c r="F2358" s="31" t="s">
        <v>135</v>
      </c>
      <c r="G2358" s="31" t="n">
        <v>575</v>
      </c>
      <c r="H2358" s="41" t="n">
        <v>35.3</v>
      </c>
      <c r="I2358" s="31" t="s">
        <v>149</v>
      </c>
      <c r="J2358" s="31" t="n">
        <v>3</v>
      </c>
      <c r="K2358" s="31" t="s">
        <v>150</v>
      </c>
      <c r="L2358" s="45" t="n">
        <f aca="false">DATE(YEAR(B2358),MONTH(B2358),1)</f>
        <v>46235</v>
      </c>
      <c r="M2358" s="31" t="n">
        <f aca="false">WEEKDAY(B2358,2)</f>
        <v>1</v>
      </c>
      <c r="N2358" s="31" t="str">
        <f aca="false">IF(G2358&lt;=INDEX(Assumptions!$B$15:$B$18,MATCH(E2358,Assumptions!$A$15:$A$18,0)),"Yes","No")</f>
        <v>No</v>
      </c>
      <c r="O2358" s="31" t="str">
        <f aca="false">IF(H2358="","Open",IF(H2358&lt;=INDEX(Assumptions!$C$15:$C$18,MATCH(E2358,Assumptions!$A$15:$A$18,0)),"Yes","No"))</f>
        <v>No</v>
      </c>
    </row>
    <row r="2359" customFormat="false" ht="15" hidden="false" customHeight="false" outlineLevel="0" collapsed="false">
      <c r="A2359" s="31" t="s">
        <v>2509</v>
      </c>
      <c r="B2359" s="44" t="n">
        <v>46237</v>
      </c>
      <c r="C2359" s="31" t="s">
        <v>60</v>
      </c>
      <c r="D2359" s="31" t="s">
        <v>66</v>
      </c>
      <c r="E2359" s="31" t="s">
        <v>51</v>
      </c>
      <c r="F2359" s="31" t="s">
        <v>133</v>
      </c>
      <c r="G2359" s="31" t="n">
        <v>7</v>
      </c>
      <c r="H2359" s="41" t="n">
        <v>1.9</v>
      </c>
      <c r="I2359" s="31" t="s">
        <v>149</v>
      </c>
      <c r="J2359" s="31"/>
      <c r="K2359" s="31" t="s">
        <v>150</v>
      </c>
      <c r="L2359" s="45" t="n">
        <f aca="false">DATE(YEAR(B2359),MONTH(B2359),1)</f>
        <v>46235</v>
      </c>
      <c r="M2359" s="31" t="n">
        <f aca="false">WEEKDAY(B2359,2)</f>
        <v>1</v>
      </c>
      <c r="N2359" s="31" t="str">
        <f aca="false">IF(G2359&lt;=INDEX(Assumptions!$B$15:$B$18,MATCH(E2359,Assumptions!$A$15:$A$18,0)),"Yes","No")</f>
        <v>Yes</v>
      </c>
      <c r="O2359" s="31" t="str">
        <f aca="false">IF(H2359="","Open",IF(H2359&lt;=INDEX(Assumptions!$C$15:$C$18,MATCH(E2359,Assumptions!$A$15:$A$18,0)),"Yes","No"))</f>
        <v>Yes</v>
      </c>
    </row>
    <row r="2360" customFormat="false" ht="15" hidden="false" customHeight="false" outlineLevel="0" collapsed="false">
      <c r="A2360" s="31" t="s">
        <v>2510</v>
      </c>
      <c r="B2360" s="44" t="n">
        <v>46237</v>
      </c>
      <c r="C2360" s="31" t="s">
        <v>59</v>
      </c>
      <c r="D2360" s="31" t="s">
        <v>65</v>
      </c>
      <c r="E2360" s="31" t="s">
        <v>50</v>
      </c>
      <c r="F2360" s="31" t="s">
        <v>122</v>
      </c>
      <c r="G2360" s="31" t="n">
        <v>44</v>
      </c>
      <c r="H2360" s="41" t="n">
        <v>5.4</v>
      </c>
      <c r="I2360" s="31" t="s">
        <v>149</v>
      </c>
      <c r="J2360" s="31" t="n">
        <v>4</v>
      </c>
      <c r="K2360" s="31" t="s">
        <v>150</v>
      </c>
      <c r="L2360" s="45" t="n">
        <f aca="false">DATE(YEAR(B2360),MONTH(B2360),1)</f>
        <v>46235</v>
      </c>
      <c r="M2360" s="31" t="n">
        <f aca="false">WEEKDAY(B2360,2)</f>
        <v>1</v>
      </c>
      <c r="N2360" s="31" t="str">
        <f aca="false">IF(G2360&lt;=INDEX(Assumptions!$B$15:$B$18,MATCH(E2360,Assumptions!$A$15:$A$18,0)),"Yes","No")</f>
        <v>No</v>
      </c>
      <c r="O2360" s="31" t="str">
        <f aca="false">IF(H2360="","Open",IF(H2360&lt;=INDEX(Assumptions!$C$15:$C$18,MATCH(E2360,Assumptions!$A$15:$A$18,0)),"Yes","No"))</f>
        <v>Yes</v>
      </c>
    </row>
    <row r="2361" customFormat="false" ht="15" hidden="false" customHeight="false" outlineLevel="0" collapsed="false">
      <c r="A2361" s="31" t="s">
        <v>2511</v>
      </c>
      <c r="B2361" s="44" t="n">
        <v>46237</v>
      </c>
      <c r="C2361" s="31" t="s">
        <v>57</v>
      </c>
      <c r="D2361" s="31" t="s">
        <v>66</v>
      </c>
      <c r="E2361" s="31" t="s">
        <v>50</v>
      </c>
      <c r="F2361" s="31" t="s">
        <v>123</v>
      </c>
      <c r="G2361" s="31" t="n">
        <v>2</v>
      </c>
      <c r="H2361" s="41" t="n">
        <v>4.3</v>
      </c>
      <c r="I2361" s="31" t="s">
        <v>149</v>
      </c>
      <c r="J2361" s="31"/>
      <c r="K2361" s="31" t="s">
        <v>150</v>
      </c>
      <c r="L2361" s="45" t="n">
        <f aca="false">DATE(YEAR(B2361),MONTH(B2361),1)</f>
        <v>46235</v>
      </c>
      <c r="M2361" s="31" t="n">
        <f aca="false">WEEKDAY(B2361,2)</f>
        <v>1</v>
      </c>
      <c r="N2361" s="31" t="str">
        <f aca="false">IF(G2361&lt;=INDEX(Assumptions!$B$15:$B$18,MATCH(E2361,Assumptions!$A$15:$A$18,0)),"Yes","No")</f>
        <v>Yes</v>
      </c>
      <c r="O2361" s="31" t="str">
        <f aca="false">IF(H2361="","Open",IF(H2361&lt;=INDEX(Assumptions!$C$15:$C$18,MATCH(E2361,Assumptions!$A$15:$A$18,0)),"Yes","No"))</f>
        <v>Yes</v>
      </c>
    </row>
    <row r="2362" customFormat="false" ht="15" hidden="false" customHeight="false" outlineLevel="0" collapsed="false">
      <c r="A2362" s="31" t="s">
        <v>2512</v>
      </c>
      <c r="B2362" s="44" t="n">
        <v>46237</v>
      </c>
      <c r="C2362" s="31" t="s">
        <v>57</v>
      </c>
      <c r="D2362" s="31" t="s">
        <v>67</v>
      </c>
      <c r="E2362" s="31" t="s">
        <v>51</v>
      </c>
      <c r="F2362" s="31" t="s">
        <v>119</v>
      </c>
      <c r="G2362" s="31" t="n">
        <v>14</v>
      </c>
      <c r="H2362" s="41" t="n">
        <v>10.6</v>
      </c>
      <c r="I2362" s="31" t="s">
        <v>149</v>
      </c>
      <c r="J2362" s="31"/>
      <c r="K2362" s="31" t="s">
        <v>150</v>
      </c>
      <c r="L2362" s="45" t="n">
        <f aca="false">DATE(YEAR(B2362),MONTH(B2362),1)</f>
        <v>46235</v>
      </c>
      <c r="M2362" s="31" t="n">
        <f aca="false">WEEKDAY(B2362,2)</f>
        <v>1</v>
      </c>
      <c r="N2362" s="31" t="str">
        <f aca="false">IF(G2362&lt;=INDEX(Assumptions!$B$15:$B$18,MATCH(E2362,Assumptions!$A$15:$A$18,0)),"Yes","No")</f>
        <v>Yes</v>
      </c>
      <c r="O2362" s="31" t="str">
        <f aca="false">IF(H2362="","Open",IF(H2362&lt;=INDEX(Assumptions!$C$15:$C$18,MATCH(E2362,Assumptions!$A$15:$A$18,0)),"Yes","No"))</f>
        <v>Yes</v>
      </c>
    </row>
    <row r="2363" customFormat="false" ht="15" hidden="false" customHeight="false" outlineLevel="0" collapsed="false">
      <c r="A2363" s="31" t="s">
        <v>2513</v>
      </c>
      <c r="B2363" s="44" t="n">
        <v>46237</v>
      </c>
      <c r="C2363" s="31" t="s">
        <v>60</v>
      </c>
      <c r="D2363" s="31" t="s">
        <v>68</v>
      </c>
      <c r="E2363" s="31" t="s">
        <v>51</v>
      </c>
      <c r="F2363" s="31" t="s">
        <v>134</v>
      </c>
      <c r="G2363" s="31" t="n">
        <v>2</v>
      </c>
      <c r="H2363" s="41" t="n">
        <v>2.2</v>
      </c>
      <c r="I2363" s="31" t="s">
        <v>149</v>
      </c>
      <c r="J2363" s="31" t="n">
        <v>4</v>
      </c>
      <c r="K2363" s="31" t="s">
        <v>150</v>
      </c>
      <c r="L2363" s="45" t="n">
        <f aca="false">DATE(YEAR(B2363),MONTH(B2363),1)</f>
        <v>46235</v>
      </c>
      <c r="M2363" s="31" t="n">
        <f aca="false">WEEKDAY(B2363,2)</f>
        <v>1</v>
      </c>
      <c r="N2363" s="31" t="str">
        <f aca="false">IF(G2363&lt;=INDEX(Assumptions!$B$15:$B$18,MATCH(E2363,Assumptions!$A$15:$A$18,0)),"Yes","No")</f>
        <v>Yes</v>
      </c>
      <c r="O2363" s="31" t="str">
        <f aca="false">IF(H2363="","Open",IF(H2363&lt;=INDEX(Assumptions!$C$15:$C$18,MATCH(E2363,Assumptions!$A$15:$A$18,0)),"Yes","No"))</f>
        <v>Yes</v>
      </c>
    </row>
    <row r="2364" customFormat="false" ht="15" hidden="false" customHeight="false" outlineLevel="0" collapsed="false">
      <c r="A2364" s="31" t="s">
        <v>2514</v>
      </c>
      <c r="B2364" s="44" t="n">
        <v>46237</v>
      </c>
      <c r="C2364" s="31" t="s">
        <v>60</v>
      </c>
      <c r="D2364" s="31" t="s">
        <v>68</v>
      </c>
      <c r="E2364" s="31" t="s">
        <v>52</v>
      </c>
      <c r="F2364" s="31" t="s">
        <v>137</v>
      </c>
      <c r="G2364" s="31" t="n">
        <v>1</v>
      </c>
      <c r="H2364" s="41" t="n">
        <v>2.7</v>
      </c>
      <c r="I2364" s="31" t="s">
        <v>149</v>
      </c>
      <c r="J2364" s="31"/>
      <c r="K2364" s="31" t="s">
        <v>150</v>
      </c>
      <c r="L2364" s="45" t="n">
        <f aca="false">DATE(YEAR(B2364),MONTH(B2364),1)</f>
        <v>46235</v>
      </c>
      <c r="M2364" s="31" t="n">
        <f aca="false">WEEKDAY(B2364,2)</f>
        <v>1</v>
      </c>
      <c r="N2364" s="31" t="str">
        <f aca="false">IF(G2364&lt;=INDEX(Assumptions!$B$15:$B$18,MATCH(E2364,Assumptions!$A$15:$A$18,0)),"Yes","No")</f>
        <v>Yes</v>
      </c>
      <c r="O2364" s="31" t="str">
        <f aca="false">IF(H2364="","Open",IF(H2364&lt;=INDEX(Assumptions!$C$15:$C$18,MATCH(E2364,Assumptions!$A$15:$A$18,0)),"Yes","No"))</f>
        <v>Yes</v>
      </c>
    </row>
    <row r="2365" customFormat="false" ht="15" hidden="false" customHeight="false" outlineLevel="0" collapsed="false">
      <c r="A2365" s="31" t="s">
        <v>2515</v>
      </c>
      <c r="B2365" s="44" t="n">
        <v>46237</v>
      </c>
      <c r="C2365" s="31" t="s">
        <v>58</v>
      </c>
      <c r="D2365" s="31" t="s">
        <v>67</v>
      </c>
      <c r="E2365" s="31" t="s">
        <v>52</v>
      </c>
      <c r="F2365" s="31" t="s">
        <v>135</v>
      </c>
      <c r="G2365" s="31" t="n">
        <v>60</v>
      </c>
      <c r="H2365" s="41" t="n">
        <v>10.6</v>
      </c>
      <c r="I2365" s="31" t="s">
        <v>149</v>
      </c>
      <c r="J2365" s="31"/>
      <c r="K2365" s="31" t="s">
        <v>150</v>
      </c>
      <c r="L2365" s="45" t="n">
        <f aca="false">DATE(YEAR(B2365),MONTH(B2365),1)</f>
        <v>46235</v>
      </c>
      <c r="M2365" s="31" t="n">
        <f aca="false">WEEKDAY(B2365,2)</f>
        <v>1</v>
      </c>
      <c r="N2365" s="31" t="str">
        <f aca="false">IF(G2365&lt;=INDEX(Assumptions!$B$15:$B$18,MATCH(E2365,Assumptions!$A$15:$A$18,0)),"Yes","No")</f>
        <v>Yes</v>
      </c>
      <c r="O2365" s="31" t="str">
        <f aca="false">IF(H2365="","Open",IF(H2365&lt;=INDEX(Assumptions!$C$15:$C$18,MATCH(E2365,Assumptions!$A$15:$A$18,0)),"Yes","No"))</f>
        <v>Yes</v>
      </c>
    </row>
    <row r="2366" customFormat="false" ht="15" hidden="false" customHeight="false" outlineLevel="0" collapsed="false">
      <c r="A2366" s="31" t="s">
        <v>2516</v>
      </c>
      <c r="B2366" s="44" t="n">
        <v>46237</v>
      </c>
      <c r="C2366" s="31" t="s">
        <v>58</v>
      </c>
      <c r="D2366" s="31" t="s">
        <v>66</v>
      </c>
      <c r="E2366" s="31" t="s">
        <v>51</v>
      </c>
      <c r="F2366" s="31" t="s">
        <v>136</v>
      </c>
      <c r="G2366" s="31" t="n">
        <v>9</v>
      </c>
      <c r="H2366" s="41" t="n">
        <v>19.6</v>
      </c>
      <c r="I2366" s="31" t="s">
        <v>149</v>
      </c>
      <c r="J2366" s="31"/>
      <c r="K2366" s="31" t="s">
        <v>150</v>
      </c>
      <c r="L2366" s="45" t="n">
        <f aca="false">DATE(YEAR(B2366),MONTH(B2366),1)</f>
        <v>46235</v>
      </c>
      <c r="M2366" s="31" t="n">
        <f aca="false">WEEKDAY(B2366,2)</f>
        <v>1</v>
      </c>
      <c r="N2366" s="31" t="str">
        <f aca="false">IF(G2366&lt;=INDEX(Assumptions!$B$15:$B$18,MATCH(E2366,Assumptions!$A$15:$A$18,0)),"Yes","No")</f>
        <v>Yes</v>
      </c>
      <c r="O2366" s="31" t="str">
        <f aca="false">IF(H2366="","Open",IF(H2366&lt;=INDEX(Assumptions!$C$15:$C$18,MATCH(E2366,Assumptions!$A$15:$A$18,0)),"Yes","No"))</f>
        <v>Yes</v>
      </c>
    </row>
    <row r="2367" customFormat="false" ht="15" hidden="false" customHeight="false" outlineLevel="0" collapsed="false">
      <c r="A2367" s="31" t="s">
        <v>2517</v>
      </c>
      <c r="B2367" s="44" t="n">
        <v>46237</v>
      </c>
      <c r="C2367" s="31" t="s">
        <v>57</v>
      </c>
      <c r="D2367" s="31" t="s">
        <v>66</v>
      </c>
      <c r="E2367" s="31" t="s">
        <v>50</v>
      </c>
      <c r="F2367" s="31" t="s">
        <v>121</v>
      </c>
      <c r="G2367" s="31" t="n">
        <v>5</v>
      </c>
      <c r="H2367" s="41" t="n">
        <v>8.9</v>
      </c>
      <c r="I2367" s="31" t="s">
        <v>149</v>
      </c>
      <c r="J2367" s="31" t="n">
        <v>4</v>
      </c>
      <c r="K2367" s="31" t="s">
        <v>153</v>
      </c>
      <c r="L2367" s="45" t="n">
        <f aca="false">DATE(YEAR(B2367),MONTH(B2367),1)</f>
        <v>46235</v>
      </c>
      <c r="M2367" s="31" t="n">
        <f aca="false">WEEKDAY(B2367,2)</f>
        <v>1</v>
      </c>
      <c r="N2367" s="31" t="str">
        <f aca="false">IF(G2367&lt;=INDEX(Assumptions!$B$15:$B$18,MATCH(E2367,Assumptions!$A$15:$A$18,0)),"Yes","No")</f>
        <v>Yes</v>
      </c>
      <c r="O2367" s="31" t="str">
        <f aca="false">IF(H2367="","Open",IF(H2367&lt;=INDEX(Assumptions!$C$15:$C$18,MATCH(E2367,Assumptions!$A$15:$A$18,0)),"Yes","No"))</f>
        <v>No</v>
      </c>
    </row>
    <row r="2368" customFormat="false" ht="15" hidden="false" customHeight="false" outlineLevel="0" collapsed="false">
      <c r="A2368" s="31" t="s">
        <v>2518</v>
      </c>
      <c r="B2368" s="44" t="n">
        <v>46237</v>
      </c>
      <c r="C2368" s="31" t="s">
        <v>57</v>
      </c>
      <c r="D2368" s="31" t="s">
        <v>67</v>
      </c>
      <c r="E2368" s="31" t="s">
        <v>52</v>
      </c>
      <c r="F2368" s="31" t="s">
        <v>121</v>
      </c>
      <c r="G2368" s="31" t="n">
        <v>12</v>
      </c>
      <c r="H2368" s="41" t="n">
        <v>25.7</v>
      </c>
      <c r="I2368" s="31" t="s">
        <v>149</v>
      </c>
      <c r="J2368" s="31"/>
      <c r="K2368" s="31" t="s">
        <v>150</v>
      </c>
      <c r="L2368" s="45" t="n">
        <f aca="false">DATE(YEAR(B2368),MONTH(B2368),1)</f>
        <v>46235</v>
      </c>
      <c r="M2368" s="31" t="n">
        <f aca="false">WEEKDAY(B2368,2)</f>
        <v>1</v>
      </c>
      <c r="N2368" s="31" t="str">
        <f aca="false">IF(G2368&lt;=INDEX(Assumptions!$B$15:$B$18,MATCH(E2368,Assumptions!$A$15:$A$18,0)),"Yes","No")</f>
        <v>Yes</v>
      </c>
      <c r="O2368" s="31" t="str">
        <f aca="false">IF(H2368="","Open",IF(H2368&lt;=INDEX(Assumptions!$C$15:$C$18,MATCH(E2368,Assumptions!$A$15:$A$18,0)),"Yes","No"))</f>
        <v>Yes</v>
      </c>
    </row>
    <row r="2369" customFormat="false" ht="15" hidden="false" customHeight="false" outlineLevel="0" collapsed="false">
      <c r="A2369" s="31" t="s">
        <v>2519</v>
      </c>
      <c r="B2369" s="44" t="n">
        <v>46237</v>
      </c>
      <c r="C2369" s="31" t="s">
        <v>58</v>
      </c>
      <c r="D2369" s="31" t="s">
        <v>66</v>
      </c>
      <c r="E2369" s="31" t="s">
        <v>52</v>
      </c>
      <c r="F2369" s="31" t="s">
        <v>123</v>
      </c>
      <c r="G2369" s="31" t="n">
        <v>8</v>
      </c>
      <c r="H2369" s="41" t="n">
        <v>18.8</v>
      </c>
      <c r="I2369" s="31" t="s">
        <v>64</v>
      </c>
      <c r="J2369" s="31" t="n">
        <v>4</v>
      </c>
      <c r="K2369" s="31" t="s">
        <v>153</v>
      </c>
      <c r="L2369" s="45" t="n">
        <f aca="false">DATE(YEAR(B2369),MONTH(B2369),1)</f>
        <v>46235</v>
      </c>
      <c r="M2369" s="31" t="n">
        <f aca="false">WEEKDAY(B2369,2)</f>
        <v>1</v>
      </c>
      <c r="N2369" s="31" t="str">
        <f aca="false">IF(G2369&lt;=INDEX(Assumptions!$B$15:$B$18,MATCH(E2369,Assumptions!$A$15:$A$18,0)),"Yes","No")</f>
        <v>Yes</v>
      </c>
      <c r="O2369" s="31" t="str">
        <f aca="false">IF(H2369="","Open",IF(H2369&lt;=INDEX(Assumptions!$C$15:$C$18,MATCH(E2369,Assumptions!$A$15:$A$18,0)),"Yes","No"))</f>
        <v>Yes</v>
      </c>
    </row>
    <row r="2370" customFormat="false" ht="15" hidden="false" customHeight="false" outlineLevel="0" collapsed="false">
      <c r="A2370" s="31" t="s">
        <v>2520</v>
      </c>
      <c r="B2370" s="44" t="n">
        <v>46237</v>
      </c>
      <c r="C2370" s="31" t="s">
        <v>58</v>
      </c>
      <c r="D2370" s="31" t="s">
        <v>67</v>
      </c>
      <c r="E2370" s="31" t="s">
        <v>51</v>
      </c>
      <c r="F2370" s="31" t="s">
        <v>136</v>
      </c>
      <c r="G2370" s="31" t="n">
        <v>11</v>
      </c>
      <c r="H2370" s="41" t="n">
        <v>8.1</v>
      </c>
      <c r="I2370" s="31" t="s">
        <v>149</v>
      </c>
      <c r="J2370" s="31"/>
      <c r="K2370" s="31" t="s">
        <v>150</v>
      </c>
      <c r="L2370" s="45" t="n">
        <f aca="false">DATE(YEAR(B2370),MONTH(B2370),1)</f>
        <v>46235</v>
      </c>
      <c r="M2370" s="31" t="n">
        <f aca="false">WEEKDAY(B2370,2)</f>
        <v>1</v>
      </c>
      <c r="N2370" s="31" t="str">
        <f aca="false">IF(G2370&lt;=INDEX(Assumptions!$B$15:$B$18,MATCH(E2370,Assumptions!$A$15:$A$18,0)),"Yes","No")</f>
        <v>Yes</v>
      </c>
      <c r="O2370" s="31" t="str">
        <f aca="false">IF(H2370="","Open",IF(H2370&lt;=INDEX(Assumptions!$C$15:$C$18,MATCH(E2370,Assumptions!$A$15:$A$18,0)),"Yes","No"))</f>
        <v>Yes</v>
      </c>
    </row>
    <row r="2371" customFormat="false" ht="15" hidden="false" customHeight="false" outlineLevel="0" collapsed="false">
      <c r="A2371" s="31" t="s">
        <v>2521</v>
      </c>
      <c r="B2371" s="44" t="n">
        <v>46237</v>
      </c>
      <c r="C2371" s="31" t="s">
        <v>58</v>
      </c>
      <c r="D2371" s="31" t="s">
        <v>65</v>
      </c>
      <c r="E2371" s="31" t="s">
        <v>52</v>
      </c>
      <c r="F2371" s="31" t="s">
        <v>126</v>
      </c>
      <c r="G2371" s="31" t="n">
        <v>8</v>
      </c>
      <c r="H2371" s="41" t="n">
        <v>17.5</v>
      </c>
      <c r="I2371" s="31" t="s">
        <v>149</v>
      </c>
      <c r="J2371" s="31" t="n">
        <v>4</v>
      </c>
      <c r="K2371" s="31" t="s">
        <v>153</v>
      </c>
      <c r="L2371" s="45" t="n">
        <f aca="false">DATE(YEAR(B2371),MONTH(B2371),1)</f>
        <v>46235</v>
      </c>
      <c r="M2371" s="31" t="n">
        <f aca="false">WEEKDAY(B2371,2)</f>
        <v>1</v>
      </c>
      <c r="N2371" s="31" t="str">
        <f aca="false">IF(G2371&lt;=INDEX(Assumptions!$B$15:$B$18,MATCH(E2371,Assumptions!$A$15:$A$18,0)),"Yes","No")</f>
        <v>Yes</v>
      </c>
      <c r="O2371" s="31" t="str">
        <f aca="false">IF(H2371="","Open",IF(H2371&lt;=INDEX(Assumptions!$C$15:$C$18,MATCH(E2371,Assumptions!$A$15:$A$18,0)),"Yes","No"))</f>
        <v>Yes</v>
      </c>
    </row>
    <row r="2372" customFormat="false" ht="15" hidden="false" customHeight="false" outlineLevel="0" collapsed="false">
      <c r="A2372" s="31" t="s">
        <v>2522</v>
      </c>
      <c r="B2372" s="44" t="n">
        <v>46237</v>
      </c>
      <c r="C2372" s="31" t="s">
        <v>59</v>
      </c>
      <c r="D2372" s="31" t="s">
        <v>65</v>
      </c>
      <c r="E2372" s="31" t="s">
        <v>50</v>
      </c>
      <c r="F2372" s="31" t="s">
        <v>135</v>
      </c>
      <c r="G2372" s="31" t="n">
        <v>30</v>
      </c>
      <c r="H2372" s="41" t="n">
        <v>3</v>
      </c>
      <c r="I2372" s="31" t="s">
        <v>149</v>
      </c>
      <c r="J2372" s="31" t="n">
        <v>4</v>
      </c>
      <c r="K2372" s="31" t="s">
        <v>150</v>
      </c>
      <c r="L2372" s="45" t="n">
        <f aca="false">DATE(YEAR(B2372),MONTH(B2372),1)</f>
        <v>46235</v>
      </c>
      <c r="M2372" s="31" t="n">
        <f aca="false">WEEKDAY(B2372,2)</f>
        <v>1</v>
      </c>
      <c r="N2372" s="31" t="str">
        <f aca="false">IF(G2372&lt;=INDEX(Assumptions!$B$15:$B$18,MATCH(E2372,Assumptions!$A$15:$A$18,0)),"Yes","No")</f>
        <v>Yes</v>
      </c>
      <c r="O2372" s="31" t="str">
        <f aca="false">IF(H2372="","Open",IF(H2372&lt;=INDEX(Assumptions!$C$15:$C$18,MATCH(E2372,Assumptions!$A$15:$A$18,0)),"Yes","No"))</f>
        <v>Yes</v>
      </c>
    </row>
    <row r="2373" customFormat="false" ht="15" hidden="false" customHeight="false" outlineLevel="0" collapsed="false">
      <c r="A2373" s="31" t="s">
        <v>2523</v>
      </c>
      <c r="B2373" s="44" t="n">
        <v>46237</v>
      </c>
      <c r="C2373" s="31" t="s">
        <v>59</v>
      </c>
      <c r="D2373" s="31" t="s">
        <v>66</v>
      </c>
      <c r="E2373" s="31" t="s">
        <v>50</v>
      </c>
      <c r="F2373" s="31" t="s">
        <v>124</v>
      </c>
      <c r="G2373" s="31" t="n">
        <v>150</v>
      </c>
      <c r="H2373" s="41" t="n">
        <v>1.1</v>
      </c>
      <c r="I2373" s="31" t="s">
        <v>149</v>
      </c>
      <c r="J2373" s="31" t="n">
        <v>5</v>
      </c>
      <c r="K2373" s="31" t="s">
        <v>150</v>
      </c>
      <c r="L2373" s="45" t="n">
        <f aca="false">DATE(YEAR(B2373),MONTH(B2373),1)</f>
        <v>46235</v>
      </c>
      <c r="M2373" s="31" t="n">
        <f aca="false">WEEKDAY(B2373,2)</f>
        <v>1</v>
      </c>
      <c r="N2373" s="31" t="str">
        <f aca="false">IF(G2373&lt;=INDEX(Assumptions!$B$15:$B$18,MATCH(E2373,Assumptions!$A$15:$A$18,0)),"Yes","No")</f>
        <v>No</v>
      </c>
      <c r="O2373" s="31" t="str">
        <f aca="false">IF(H2373="","Open",IF(H2373&lt;=INDEX(Assumptions!$C$15:$C$18,MATCH(E2373,Assumptions!$A$15:$A$18,0)),"Yes","No"))</f>
        <v>Yes</v>
      </c>
    </row>
    <row r="2374" customFormat="false" ht="15" hidden="false" customHeight="false" outlineLevel="0" collapsed="false">
      <c r="A2374" s="31" t="s">
        <v>2524</v>
      </c>
      <c r="B2374" s="44" t="n">
        <v>46237</v>
      </c>
      <c r="C2374" s="31" t="s">
        <v>58</v>
      </c>
      <c r="D2374" s="31" t="s">
        <v>65</v>
      </c>
      <c r="E2374" s="31" t="s">
        <v>51</v>
      </c>
      <c r="F2374" s="31" t="s">
        <v>124</v>
      </c>
      <c r="G2374" s="31" t="n">
        <v>30</v>
      </c>
      <c r="H2374" s="41" t="n">
        <v>10.2</v>
      </c>
      <c r="I2374" s="31" t="s">
        <v>149</v>
      </c>
      <c r="J2374" s="31" t="n">
        <v>5</v>
      </c>
      <c r="K2374" s="31" t="s">
        <v>150</v>
      </c>
      <c r="L2374" s="45" t="n">
        <f aca="false">DATE(YEAR(B2374),MONTH(B2374),1)</f>
        <v>46235</v>
      </c>
      <c r="M2374" s="31" t="n">
        <f aca="false">WEEKDAY(B2374,2)</f>
        <v>1</v>
      </c>
      <c r="N2374" s="31" t="str">
        <f aca="false">IF(G2374&lt;=INDEX(Assumptions!$B$15:$B$18,MATCH(E2374,Assumptions!$A$15:$A$18,0)),"Yes","No")</f>
        <v>Yes</v>
      </c>
      <c r="O2374" s="31" t="str">
        <f aca="false">IF(H2374="","Open",IF(H2374&lt;=INDEX(Assumptions!$C$15:$C$18,MATCH(E2374,Assumptions!$A$15:$A$18,0)),"Yes","No"))</f>
        <v>Yes</v>
      </c>
    </row>
    <row r="2375" customFormat="false" ht="15" hidden="false" customHeight="false" outlineLevel="0" collapsed="false">
      <c r="A2375" s="31" t="s">
        <v>2525</v>
      </c>
      <c r="B2375" s="44" t="n">
        <v>46237</v>
      </c>
      <c r="C2375" s="31" t="s">
        <v>60</v>
      </c>
      <c r="D2375" s="31" t="s">
        <v>65</v>
      </c>
      <c r="E2375" s="31" t="s">
        <v>50</v>
      </c>
      <c r="F2375" s="31" t="s">
        <v>128</v>
      </c>
      <c r="G2375" s="31" t="n">
        <v>1</v>
      </c>
      <c r="H2375" s="41" t="n">
        <v>4.7</v>
      </c>
      <c r="I2375" s="31" t="s">
        <v>149</v>
      </c>
      <c r="J2375" s="31"/>
      <c r="K2375" s="31" t="s">
        <v>153</v>
      </c>
      <c r="L2375" s="45" t="n">
        <f aca="false">DATE(YEAR(B2375),MONTH(B2375),1)</f>
        <v>46235</v>
      </c>
      <c r="M2375" s="31" t="n">
        <f aca="false">WEEKDAY(B2375,2)</f>
        <v>1</v>
      </c>
      <c r="N2375" s="31" t="str">
        <f aca="false">IF(G2375&lt;=INDEX(Assumptions!$B$15:$B$18,MATCH(E2375,Assumptions!$A$15:$A$18,0)),"Yes","No")</f>
        <v>Yes</v>
      </c>
      <c r="O2375" s="31" t="str">
        <f aca="false">IF(H2375="","Open",IF(H2375&lt;=INDEX(Assumptions!$C$15:$C$18,MATCH(E2375,Assumptions!$A$15:$A$18,0)),"Yes","No"))</f>
        <v>Yes</v>
      </c>
    </row>
    <row r="2376" customFormat="false" ht="15" hidden="false" customHeight="false" outlineLevel="0" collapsed="false">
      <c r="A2376" s="31" t="s">
        <v>2526</v>
      </c>
      <c r="B2376" s="44" t="n">
        <v>46237</v>
      </c>
      <c r="C2376" s="31" t="s">
        <v>60</v>
      </c>
      <c r="D2376" s="31" t="s">
        <v>65</v>
      </c>
      <c r="E2376" s="31" t="s">
        <v>51</v>
      </c>
      <c r="F2376" s="31" t="s">
        <v>130</v>
      </c>
      <c r="G2376" s="31" t="n">
        <v>2</v>
      </c>
      <c r="H2376" s="41" t="n">
        <v>17.5</v>
      </c>
      <c r="I2376" s="31" t="s">
        <v>149</v>
      </c>
      <c r="J2376" s="31" t="n">
        <v>4</v>
      </c>
      <c r="K2376" s="31" t="s">
        <v>150</v>
      </c>
      <c r="L2376" s="45" t="n">
        <f aca="false">DATE(YEAR(B2376),MONTH(B2376),1)</f>
        <v>46235</v>
      </c>
      <c r="M2376" s="31" t="n">
        <f aca="false">WEEKDAY(B2376,2)</f>
        <v>1</v>
      </c>
      <c r="N2376" s="31" t="str">
        <f aca="false">IF(G2376&lt;=INDEX(Assumptions!$B$15:$B$18,MATCH(E2376,Assumptions!$A$15:$A$18,0)),"Yes","No")</f>
        <v>Yes</v>
      </c>
      <c r="O2376" s="31" t="str">
        <f aca="false">IF(H2376="","Open",IF(H2376&lt;=INDEX(Assumptions!$C$15:$C$18,MATCH(E2376,Assumptions!$A$15:$A$18,0)),"Yes","No"))</f>
        <v>Yes</v>
      </c>
    </row>
    <row r="2377" customFormat="false" ht="15" hidden="false" customHeight="false" outlineLevel="0" collapsed="false">
      <c r="A2377" s="31" t="s">
        <v>2527</v>
      </c>
      <c r="B2377" s="44" t="n">
        <v>46237</v>
      </c>
      <c r="C2377" s="31" t="s">
        <v>60</v>
      </c>
      <c r="D2377" s="31" t="s">
        <v>68</v>
      </c>
      <c r="E2377" s="31" t="s">
        <v>49</v>
      </c>
      <c r="F2377" s="31" t="s">
        <v>121</v>
      </c>
      <c r="G2377" s="31" t="n">
        <v>1</v>
      </c>
      <c r="H2377" s="41" t="n">
        <v>3.5</v>
      </c>
      <c r="I2377" s="31" t="s">
        <v>149</v>
      </c>
      <c r="J2377" s="31" t="n">
        <v>3</v>
      </c>
      <c r="K2377" s="31" t="s">
        <v>153</v>
      </c>
      <c r="L2377" s="45" t="n">
        <f aca="false">DATE(YEAR(B2377),MONTH(B2377),1)</f>
        <v>46235</v>
      </c>
      <c r="M2377" s="31" t="n">
        <f aca="false">WEEKDAY(B2377,2)</f>
        <v>1</v>
      </c>
      <c r="N2377" s="31" t="str">
        <f aca="false">IF(G2377&lt;=INDEX(Assumptions!$B$15:$B$18,MATCH(E2377,Assumptions!$A$15:$A$18,0)),"Yes","No")</f>
        <v>Yes</v>
      </c>
      <c r="O2377" s="31" t="str">
        <f aca="false">IF(H2377="","Open",IF(H2377&lt;=INDEX(Assumptions!$C$15:$C$18,MATCH(E2377,Assumptions!$A$15:$A$18,0)),"Yes","No"))</f>
        <v>Yes</v>
      </c>
    </row>
    <row r="2378" customFormat="false" ht="15" hidden="false" customHeight="false" outlineLevel="0" collapsed="false">
      <c r="A2378" s="31" t="s">
        <v>2528</v>
      </c>
      <c r="B2378" s="44" t="n">
        <v>46237</v>
      </c>
      <c r="C2378" s="31" t="s">
        <v>59</v>
      </c>
      <c r="D2378" s="31" t="s">
        <v>69</v>
      </c>
      <c r="E2378" s="31" t="s">
        <v>51</v>
      </c>
      <c r="F2378" s="31" t="s">
        <v>131</v>
      </c>
      <c r="G2378" s="31" t="n">
        <v>38</v>
      </c>
      <c r="H2378" s="41" t="n">
        <v>23.6</v>
      </c>
      <c r="I2378" s="31" t="s">
        <v>149</v>
      </c>
      <c r="J2378" s="31"/>
      <c r="K2378" s="31" t="s">
        <v>150</v>
      </c>
      <c r="L2378" s="45" t="n">
        <f aca="false">DATE(YEAR(B2378),MONTH(B2378),1)</f>
        <v>46235</v>
      </c>
      <c r="M2378" s="31" t="n">
        <f aca="false">WEEKDAY(B2378,2)</f>
        <v>1</v>
      </c>
      <c r="N2378" s="31" t="str">
        <f aca="false">IF(G2378&lt;=INDEX(Assumptions!$B$15:$B$18,MATCH(E2378,Assumptions!$A$15:$A$18,0)),"Yes","No")</f>
        <v>Yes</v>
      </c>
      <c r="O2378" s="31" t="str">
        <f aca="false">IF(H2378="","Open",IF(H2378&lt;=INDEX(Assumptions!$C$15:$C$18,MATCH(E2378,Assumptions!$A$15:$A$18,0)),"Yes","No"))</f>
        <v>Yes</v>
      </c>
    </row>
    <row r="2379" customFormat="false" ht="15" hidden="false" customHeight="false" outlineLevel="0" collapsed="false">
      <c r="A2379" s="31" t="s">
        <v>2529</v>
      </c>
      <c r="B2379" s="44" t="n">
        <v>46237</v>
      </c>
      <c r="C2379" s="31" t="s">
        <v>58</v>
      </c>
      <c r="D2379" s="31" t="s">
        <v>66</v>
      </c>
      <c r="E2379" s="31" t="s">
        <v>49</v>
      </c>
      <c r="F2379" s="31" t="s">
        <v>117</v>
      </c>
      <c r="G2379" s="31" t="n">
        <v>4</v>
      </c>
      <c r="H2379" s="41" t="n">
        <v>5.2</v>
      </c>
      <c r="I2379" s="31" t="s">
        <v>149</v>
      </c>
      <c r="J2379" s="31" t="n">
        <v>4</v>
      </c>
      <c r="K2379" s="31" t="s">
        <v>150</v>
      </c>
      <c r="L2379" s="45" t="n">
        <f aca="false">DATE(YEAR(B2379),MONTH(B2379),1)</f>
        <v>46235</v>
      </c>
      <c r="M2379" s="31" t="n">
        <f aca="false">WEEKDAY(B2379,2)</f>
        <v>1</v>
      </c>
      <c r="N2379" s="31" t="str">
        <f aca="false">IF(G2379&lt;=INDEX(Assumptions!$B$15:$B$18,MATCH(E2379,Assumptions!$A$15:$A$18,0)),"Yes","No")</f>
        <v>Yes</v>
      </c>
      <c r="O2379" s="31" t="str">
        <f aca="false">IF(H2379="","Open",IF(H2379&lt;=INDEX(Assumptions!$C$15:$C$18,MATCH(E2379,Assumptions!$A$15:$A$18,0)),"Yes","No"))</f>
        <v>No</v>
      </c>
    </row>
    <row r="2380" customFormat="false" ht="15" hidden="false" customHeight="false" outlineLevel="0" collapsed="false">
      <c r="A2380" s="31" t="s">
        <v>2530</v>
      </c>
      <c r="B2380" s="44" t="n">
        <v>46237</v>
      </c>
      <c r="C2380" s="31" t="s">
        <v>59</v>
      </c>
      <c r="D2380" s="31" t="s">
        <v>66</v>
      </c>
      <c r="E2380" s="31" t="s">
        <v>50</v>
      </c>
      <c r="F2380" s="31" t="s">
        <v>119</v>
      </c>
      <c r="G2380" s="31" t="n">
        <v>18</v>
      </c>
      <c r="H2380" s="41" t="n">
        <v>6.3</v>
      </c>
      <c r="I2380" s="31" t="s">
        <v>149</v>
      </c>
      <c r="J2380" s="31" t="n">
        <v>4</v>
      </c>
      <c r="K2380" s="31" t="s">
        <v>150</v>
      </c>
      <c r="L2380" s="45" t="n">
        <f aca="false">DATE(YEAR(B2380),MONTH(B2380),1)</f>
        <v>46235</v>
      </c>
      <c r="M2380" s="31" t="n">
        <f aca="false">WEEKDAY(B2380,2)</f>
        <v>1</v>
      </c>
      <c r="N2380" s="31" t="str">
        <f aca="false">IF(G2380&lt;=INDEX(Assumptions!$B$15:$B$18,MATCH(E2380,Assumptions!$A$15:$A$18,0)),"Yes","No")</f>
        <v>Yes</v>
      </c>
      <c r="O2380" s="31" t="str">
        <f aca="false">IF(H2380="","Open",IF(H2380&lt;=INDEX(Assumptions!$C$15:$C$18,MATCH(E2380,Assumptions!$A$15:$A$18,0)),"Yes","No"))</f>
        <v>Yes</v>
      </c>
    </row>
    <row r="2381" customFormat="false" ht="15" hidden="false" customHeight="false" outlineLevel="0" collapsed="false">
      <c r="A2381" s="31" t="s">
        <v>2531</v>
      </c>
      <c r="B2381" s="44" t="n">
        <v>46237</v>
      </c>
      <c r="C2381" s="31" t="s">
        <v>58</v>
      </c>
      <c r="D2381" s="31" t="s">
        <v>67</v>
      </c>
      <c r="E2381" s="31" t="s">
        <v>51</v>
      </c>
      <c r="F2381" s="31" t="s">
        <v>128</v>
      </c>
      <c r="G2381" s="31" t="n">
        <v>33</v>
      </c>
      <c r="H2381" s="41" t="n">
        <v>59.7</v>
      </c>
      <c r="I2381" s="31" t="s">
        <v>149</v>
      </c>
      <c r="J2381" s="31" t="n">
        <v>4</v>
      </c>
      <c r="K2381" s="31" t="s">
        <v>153</v>
      </c>
      <c r="L2381" s="45" t="n">
        <f aca="false">DATE(YEAR(B2381),MONTH(B2381),1)</f>
        <v>46235</v>
      </c>
      <c r="M2381" s="31" t="n">
        <f aca="false">WEEKDAY(B2381,2)</f>
        <v>1</v>
      </c>
      <c r="N2381" s="31" t="str">
        <f aca="false">IF(G2381&lt;=INDEX(Assumptions!$B$15:$B$18,MATCH(E2381,Assumptions!$A$15:$A$18,0)),"Yes","No")</f>
        <v>Yes</v>
      </c>
      <c r="O2381" s="31" t="str">
        <f aca="false">IF(H2381="","Open",IF(H2381&lt;=INDEX(Assumptions!$C$15:$C$18,MATCH(E2381,Assumptions!$A$15:$A$18,0)),"Yes","No"))</f>
        <v>No</v>
      </c>
    </row>
    <row r="2382" customFormat="false" ht="15" hidden="false" customHeight="false" outlineLevel="0" collapsed="false">
      <c r="A2382" s="31" t="s">
        <v>2532</v>
      </c>
      <c r="B2382" s="44" t="n">
        <v>46237</v>
      </c>
      <c r="C2382" s="31" t="s">
        <v>58</v>
      </c>
      <c r="D2382" s="31" t="s">
        <v>66</v>
      </c>
      <c r="E2382" s="31" t="s">
        <v>52</v>
      </c>
      <c r="F2382" s="31" t="s">
        <v>133</v>
      </c>
      <c r="G2382" s="31" t="n">
        <v>9</v>
      </c>
      <c r="H2382" s="41" t="n">
        <v>7.1</v>
      </c>
      <c r="I2382" s="31" t="s">
        <v>149</v>
      </c>
      <c r="J2382" s="31" t="n">
        <v>4</v>
      </c>
      <c r="K2382" s="31" t="s">
        <v>150</v>
      </c>
      <c r="L2382" s="45" t="n">
        <f aca="false">DATE(YEAR(B2382),MONTH(B2382),1)</f>
        <v>46235</v>
      </c>
      <c r="M2382" s="31" t="n">
        <f aca="false">WEEKDAY(B2382,2)</f>
        <v>1</v>
      </c>
      <c r="N2382" s="31" t="str">
        <f aca="false">IF(G2382&lt;=INDEX(Assumptions!$B$15:$B$18,MATCH(E2382,Assumptions!$A$15:$A$18,0)),"Yes","No")</f>
        <v>Yes</v>
      </c>
      <c r="O2382" s="31" t="str">
        <f aca="false">IF(H2382="","Open",IF(H2382&lt;=INDEX(Assumptions!$C$15:$C$18,MATCH(E2382,Assumptions!$A$15:$A$18,0)),"Yes","No"))</f>
        <v>Yes</v>
      </c>
    </row>
    <row r="2383" customFormat="false" ht="15" hidden="false" customHeight="false" outlineLevel="0" collapsed="false">
      <c r="A2383" s="31" t="s">
        <v>2533</v>
      </c>
      <c r="B2383" s="44" t="n">
        <v>46237</v>
      </c>
      <c r="C2383" s="31" t="s">
        <v>58</v>
      </c>
      <c r="D2383" s="31" t="s">
        <v>65</v>
      </c>
      <c r="E2383" s="31" t="s">
        <v>51</v>
      </c>
      <c r="F2383" s="31" t="s">
        <v>120</v>
      </c>
      <c r="G2383" s="31" t="n">
        <v>27</v>
      </c>
      <c r="H2383" s="41" t="n">
        <v>16.8</v>
      </c>
      <c r="I2383" s="31" t="s">
        <v>149</v>
      </c>
      <c r="J2383" s="31" t="n">
        <v>4</v>
      </c>
      <c r="K2383" s="31" t="s">
        <v>150</v>
      </c>
      <c r="L2383" s="45" t="n">
        <f aca="false">DATE(YEAR(B2383),MONTH(B2383),1)</f>
        <v>46235</v>
      </c>
      <c r="M2383" s="31" t="n">
        <f aca="false">WEEKDAY(B2383,2)</f>
        <v>1</v>
      </c>
      <c r="N2383" s="31" t="str">
        <f aca="false">IF(G2383&lt;=INDEX(Assumptions!$B$15:$B$18,MATCH(E2383,Assumptions!$A$15:$A$18,0)),"Yes","No")</f>
        <v>Yes</v>
      </c>
      <c r="O2383" s="31" t="str">
        <f aca="false">IF(H2383="","Open",IF(H2383&lt;=INDEX(Assumptions!$C$15:$C$18,MATCH(E2383,Assumptions!$A$15:$A$18,0)),"Yes","No"))</f>
        <v>Yes</v>
      </c>
    </row>
    <row r="2384" customFormat="false" ht="15" hidden="false" customHeight="false" outlineLevel="0" collapsed="false">
      <c r="A2384" s="31" t="s">
        <v>2534</v>
      </c>
      <c r="B2384" s="44" t="n">
        <v>46237</v>
      </c>
      <c r="C2384" s="31" t="s">
        <v>58</v>
      </c>
      <c r="D2384" s="31" t="s">
        <v>66</v>
      </c>
      <c r="E2384" s="31" t="s">
        <v>50</v>
      </c>
      <c r="F2384" s="31" t="s">
        <v>131</v>
      </c>
      <c r="G2384" s="31" t="n">
        <v>7</v>
      </c>
      <c r="H2384" s="41" t="n">
        <v>1.3</v>
      </c>
      <c r="I2384" s="31" t="s">
        <v>149</v>
      </c>
      <c r="J2384" s="31"/>
      <c r="K2384" s="31" t="s">
        <v>150</v>
      </c>
      <c r="L2384" s="45" t="n">
        <f aca="false">DATE(YEAR(B2384),MONTH(B2384),1)</f>
        <v>46235</v>
      </c>
      <c r="M2384" s="31" t="n">
        <f aca="false">WEEKDAY(B2384,2)</f>
        <v>1</v>
      </c>
      <c r="N2384" s="31" t="str">
        <f aca="false">IF(G2384&lt;=INDEX(Assumptions!$B$15:$B$18,MATCH(E2384,Assumptions!$A$15:$A$18,0)),"Yes","No")</f>
        <v>Yes</v>
      </c>
      <c r="O2384" s="31" t="str">
        <f aca="false">IF(H2384="","Open",IF(H2384&lt;=INDEX(Assumptions!$C$15:$C$18,MATCH(E2384,Assumptions!$A$15:$A$18,0)),"Yes","No"))</f>
        <v>Yes</v>
      </c>
    </row>
    <row r="2385" customFormat="false" ht="15" hidden="false" customHeight="false" outlineLevel="0" collapsed="false">
      <c r="A2385" s="31" t="s">
        <v>2535</v>
      </c>
      <c r="B2385" s="44" t="n">
        <v>46237</v>
      </c>
      <c r="C2385" s="31" t="s">
        <v>60</v>
      </c>
      <c r="D2385" s="31" t="s">
        <v>66</v>
      </c>
      <c r="E2385" s="31" t="s">
        <v>51</v>
      </c>
      <c r="F2385" s="31" t="s">
        <v>117</v>
      </c>
      <c r="G2385" s="31" t="n">
        <v>1</v>
      </c>
      <c r="H2385" s="41" t="n">
        <v>2.9</v>
      </c>
      <c r="I2385" s="31" t="s">
        <v>149</v>
      </c>
      <c r="J2385" s="31" t="n">
        <v>4</v>
      </c>
      <c r="K2385" s="31" t="s">
        <v>150</v>
      </c>
      <c r="L2385" s="45" t="n">
        <f aca="false">DATE(YEAR(B2385),MONTH(B2385),1)</f>
        <v>46235</v>
      </c>
      <c r="M2385" s="31" t="n">
        <f aca="false">WEEKDAY(B2385,2)</f>
        <v>1</v>
      </c>
      <c r="N2385" s="31" t="str">
        <f aca="false">IF(G2385&lt;=INDEX(Assumptions!$B$15:$B$18,MATCH(E2385,Assumptions!$A$15:$A$18,0)),"Yes","No")</f>
        <v>Yes</v>
      </c>
      <c r="O2385" s="31" t="str">
        <f aca="false">IF(H2385="","Open",IF(H2385&lt;=INDEX(Assumptions!$C$15:$C$18,MATCH(E2385,Assumptions!$A$15:$A$18,0)),"Yes","No"))</f>
        <v>Yes</v>
      </c>
    </row>
    <row r="2386" customFormat="false" ht="15" hidden="false" customHeight="false" outlineLevel="0" collapsed="false">
      <c r="A2386" s="31" t="s">
        <v>2536</v>
      </c>
      <c r="B2386" s="44" t="n">
        <v>46237</v>
      </c>
      <c r="C2386" s="31" t="s">
        <v>60</v>
      </c>
      <c r="D2386" s="31" t="s">
        <v>66</v>
      </c>
      <c r="E2386" s="31" t="s">
        <v>52</v>
      </c>
      <c r="F2386" s="31" t="s">
        <v>137</v>
      </c>
      <c r="G2386" s="31" t="n">
        <v>2</v>
      </c>
      <c r="H2386" s="41"/>
      <c r="I2386" s="31" t="s">
        <v>158</v>
      </c>
      <c r="J2386" s="31"/>
      <c r="K2386" s="31" t="s">
        <v>150</v>
      </c>
      <c r="L2386" s="45" t="n">
        <f aca="false">DATE(YEAR(B2386),MONTH(B2386),1)</f>
        <v>46235</v>
      </c>
      <c r="M2386" s="31" t="n">
        <f aca="false">WEEKDAY(B2386,2)</f>
        <v>1</v>
      </c>
      <c r="N2386" s="31" t="str">
        <f aca="false">IF(G2386&lt;=INDEX(Assumptions!$B$15:$B$18,MATCH(E2386,Assumptions!$A$15:$A$18,0)),"Yes","No")</f>
        <v>Yes</v>
      </c>
      <c r="O2386" s="31" t="str">
        <f aca="false">IF(H2386="","Open",IF(H2386&lt;=INDEX(Assumptions!$C$15:$C$18,MATCH(E2386,Assumptions!$A$15:$A$18,0)),"Yes","No"))</f>
        <v>Open</v>
      </c>
    </row>
    <row r="2387" customFormat="false" ht="15" hidden="false" customHeight="false" outlineLevel="0" collapsed="false">
      <c r="A2387" s="31" t="s">
        <v>2537</v>
      </c>
      <c r="B2387" s="44" t="n">
        <v>46237</v>
      </c>
      <c r="C2387" s="31" t="s">
        <v>60</v>
      </c>
      <c r="D2387" s="31" t="s">
        <v>67</v>
      </c>
      <c r="E2387" s="31" t="s">
        <v>50</v>
      </c>
      <c r="F2387" s="31" t="s">
        <v>136</v>
      </c>
      <c r="G2387" s="31" t="n">
        <v>1</v>
      </c>
      <c r="H2387" s="41" t="n">
        <v>12.4</v>
      </c>
      <c r="I2387" s="31" t="s">
        <v>149</v>
      </c>
      <c r="J2387" s="31"/>
      <c r="K2387" s="31" t="s">
        <v>150</v>
      </c>
      <c r="L2387" s="45" t="n">
        <f aca="false">DATE(YEAR(B2387),MONTH(B2387),1)</f>
        <v>46235</v>
      </c>
      <c r="M2387" s="31" t="n">
        <f aca="false">WEEKDAY(B2387,2)</f>
        <v>1</v>
      </c>
      <c r="N2387" s="31" t="str">
        <f aca="false">IF(G2387&lt;=INDEX(Assumptions!$B$15:$B$18,MATCH(E2387,Assumptions!$A$15:$A$18,0)),"Yes","No")</f>
        <v>Yes</v>
      </c>
      <c r="O2387" s="31" t="str">
        <f aca="false">IF(H2387="","Open",IF(H2387&lt;=INDEX(Assumptions!$C$15:$C$18,MATCH(E2387,Assumptions!$A$15:$A$18,0)),"Yes","No"))</f>
        <v>No</v>
      </c>
    </row>
    <row r="2388" customFormat="false" ht="15" hidden="false" customHeight="false" outlineLevel="0" collapsed="false">
      <c r="A2388" s="31" t="s">
        <v>2538</v>
      </c>
      <c r="B2388" s="44" t="n">
        <v>46237</v>
      </c>
      <c r="C2388" s="31" t="s">
        <v>57</v>
      </c>
      <c r="D2388" s="31" t="s">
        <v>67</v>
      </c>
      <c r="E2388" s="31" t="s">
        <v>51</v>
      </c>
      <c r="F2388" s="31" t="s">
        <v>120</v>
      </c>
      <c r="G2388" s="31" t="n">
        <v>7</v>
      </c>
      <c r="H2388" s="41" t="n">
        <v>58.3</v>
      </c>
      <c r="I2388" s="31" t="s">
        <v>149</v>
      </c>
      <c r="J2388" s="31" t="n">
        <v>3</v>
      </c>
      <c r="K2388" s="31" t="s">
        <v>150</v>
      </c>
      <c r="L2388" s="45" t="n">
        <f aca="false">DATE(YEAR(B2388),MONTH(B2388),1)</f>
        <v>46235</v>
      </c>
      <c r="M2388" s="31" t="n">
        <f aca="false">WEEKDAY(B2388,2)</f>
        <v>1</v>
      </c>
      <c r="N2388" s="31" t="str">
        <f aca="false">IF(G2388&lt;=INDEX(Assumptions!$B$15:$B$18,MATCH(E2388,Assumptions!$A$15:$A$18,0)),"Yes","No")</f>
        <v>Yes</v>
      </c>
      <c r="O2388" s="31" t="str">
        <f aca="false">IF(H2388="","Open",IF(H2388&lt;=INDEX(Assumptions!$C$15:$C$18,MATCH(E2388,Assumptions!$A$15:$A$18,0)),"Yes","No"))</f>
        <v>No</v>
      </c>
    </row>
    <row r="2389" customFormat="false" ht="15" hidden="false" customHeight="false" outlineLevel="0" collapsed="false">
      <c r="A2389" s="31" t="s">
        <v>2539</v>
      </c>
      <c r="B2389" s="44" t="n">
        <v>46237</v>
      </c>
      <c r="C2389" s="31" t="s">
        <v>59</v>
      </c>
      <c r="D2389" s="31" t="s">
        <v>65</v>
      </c>
      <c r="E2389" s="31" t="s">
        <v>52</v>
      </c>
      <c r="F2389" s="31" t="s">
        <v>122</v>
      </c>
      <c r="G2389" s="31" t="n">
        <v>41</v>
      </c>
      <c r="H2389" s="41" t="n">
        <v>67.1</v>
      </c>
      <c r="I2389" s="31" t="s">
        <v>149</v>
      </c>
      <c r="J2389" s="31" t="n">
        <v>5</v>
      </c>
      <c r="K2389" s="31" t="s">
        <v>150</v>
      </c>
      <c r="L2389" s="45" t="n">
        <f aca="false">DATE(YEAR(B2389),MONTH(B2389),1)</f>
        <v>46235</v>
      </c>
      <c r="M2389" s="31" t="n">
        <f aca="false">WEEKDAY(B2389,2)</f>
        <v>1</v>
      </c>
      <c r="N2389" s="31" t="str">
        <f aca="false">IF(G2389&lt;=INDEX(Assumptions!$B$15:$B$18,MATCH(E2389,Assumptions!$A$15:$A$18,0)),"Yes","No")</f>
        <v>Yes</v>
      </c>
      <c r="O2389" s="31" t="str">
        <f aca="false">IF(H2389="","Open",IF(H2389&lt;=INDEX(Assumptions!$C$15:$C$18,MATCH(E2389,Assumptions!$A$15:$A$18,0)),"Yes","No"))</f>
        <v>Yes</v>
      </c>
    </row>
    <row r="2390" customFormat="false" ht="15" hidden="false" customHeight="false" outlineLevel="0" collapsed="false">
      <c r="A2390" s="31" t="s">
        <v>2540</v>
      </c>
      <c r="B2390" s="44" t="n">
        <v>46237</v>
      </c>
      <c r="C2390" s="31" t="s">
        <v>60</v>
      </c>
      <c r="D2390" s="31" t="s">
        <v>66</v>
      </c>
      <c r="E2390" s="31" t="s">
        <v>52</v>
      </c>
      <c r="F2390" s="31" t="s">
        <v>135</v>
      </c>
      <c r="G2390" s="31" t="n">
        <v>8</v>
      </c>
      <c r="H2390" s="41" t="n">
        <v>32.5</v>
      </c>
      <c r="I2390" s="31" t="s">
        <v>149</v>
      </c>
      <c r="J2390" s="31" t="n">
        <v>4</v>
      </c>
      <c r="K2390" s="31" t="s">
        <v>150</v>
      </c>
      <c r="L2390" s="45" t="n">
        <f aca="false">DATE(YEAR(B2390),MONTH(B2390),1)</f>
        <v>46235</v>
      </c>
      <c r="M2390" s="31" t="n">
        <f aca="false">WEEKDAY(B2390,2)</f>
        <v>1</v>
      </c>
      <c r="N2390" s="31" t="str">
        <f aca="false">IF(G2390&lt;=INDEX(Assumptions!$B$15:$B$18,MATCH(E2390,Assumptions!$A$15:$A$18,0)),"Yes","No")</f>
        <v>Yes</v>
      </c>
      <c r="O2390" s="31" t="str">
        <f aca="false">IF(H2390="","Open",IF(H2390&lt;=INDEX(Assumptions!$C$15:$C$18,MATCH(E2390,Assumptions!$A$15:$A$18,0)),"Yes","No"))</f>
        <v>Yes</v>
      </c>
    </row>
    <row r="2391" customFormat="false" ht="15" hidden="false" customHeight="false" outlineLevel="0" collapsed="false">
      <c r="A2391" s="31" t="s">
        <v>2541</v>
      </c>
      <c r="B2391" s="44" t="n">
        <v>46237</v>
      </c>
      <c r="C2391" s="31" t="s">
        <v>57</v>
      </c>
      <c r="D2391" s="31" t="s">
        <v>66</v>
      </c>
      <c r="E2391" s="31" t="s">
        <v>50</v>
      </c>
      <c r="F2391" s="31" t="s">
        <v>129</v>
      </c>
      <c r="G2391" s="31" t="n">
        <v>1</v>
      </c>
      <c r="H2391" s="41" t="n">
        <v>3.9</v>
      </c>
      <c r="I2391" s="31" t="s">
        <v>64</v>
      </c>
      <c r="J2391" s="31"/>
      <c r="K2391" s="31" t="s">
        <v>150</v>
      </c>
      <c r="L2391" s="45" t="n">
        <f aca="false">DATE(YEAR(B2391),MONTH(B2391),1)</f>
        <v>46235</v>
      </c>
      <c r="M2391" s="31" t="n">
        <f aca="false">WEEKDAY(B2391,2)</f>
        <v>1</v>
      </c>
      <c r="N2391" s="31" t="str">
        <f aca="false">IF(G2391&lt;=INDEX(Assumptions!$B$15:$B$18,MATCH(E2391,Assumptions!$A$15:$A$18,0)),"Yes","No")</f>
        <v>Yes</v>
      </c>
      <c r="O2391" s="31" t="str">
        <f aca="false">IF(H2391="","Open",IF(H2391&lt;=INDEX(Assumptions!$C$15:$C$18,MATCH(E2391,Assumptions!$A$15:$A$18,0)),"Yes","No"))</f>
        <v>Yes</v>
      </c>
    </row>
    <row r="2392" customFormat="false" ht="15" hidden="false" customHeight="false" outlineLevel="0" collapsed="false">
      <c r="A2392" s="31" t="s">
        <v>2542</v>
      </c>
      <c r="B2392" s="44" t="n">
        <v>46237</v>
      </c>
      <c r="C2392" s="31" t="s">
        <v>60</v>
      </c>
      <c r="D2392" s="31" t="s">
        <v>68</v>
      </c>
      <c r="E2392" s="31" t="s">
        <v>52</v>
      </c>
      <c r="F2392" s="31" t="s">
        <v>134</v>
      </c>
      <c r="G2392" s="31" t="n">
        <v>5</v>
      </c>
      <c r="H2392" s="41" t="n">
        <v>14</v>
      </c>
      <c r="I2392" s="31" t="s">
        <v>149</v>
      </c>
      <c r="J2392" s="31"/>
      <c r="K2392" s="31" t="s">
        <v>150</v>
      </c>
      <c r="L2392" s="45" t="n">
        <f aca="false">DATE(YEAR(B2392),MONTH(B2392),1)</f>
        <v>46235</v>
      </c>
      <c r="M2392" s="31" t="n">
        <f aca="false">WEEKDAY(B2392,2)</f>
        <v>1</v>
      </c>
      <c r="N2392" s="31" t="str">
        <f aca="false">IF(G2392&lt;=INDEX(Assumptions!$B$15:$B$18,MATCH(E2392,Assumptions!$A$15:$A$18,0)),"Yes","No")</f>
        <v>Yes</v>
      </c>
      <c r="O2392" s="31" t="str">
        <f aca="false">IF(H2392="","Open",IF(H2392&lt;=INDEX(Assumptions!$C$15:$C$18,MATCH(E2392,Assumptions!$A$15:$A$18,0)),"Yes","No"))</f>
        <v>Yes</v>
      </c>
    </row>
    <row r="2393" customFormat="false" ht="15" hidden="false" customHeight="false" outlineLevel="0" collapsed="false">
      <c r="A2393" s="31" t="s">
        <v>2543</v>
      </c>
      <c r="B2393" s="44" t="n">
        <v>46237</v>
      </c>
      <c r="C2393" s="31" t="s">
        <v>57</v>
      </c>
      <c r="D2393" s="31" t="s">
        <v>66</v>
      </c>
      <c r="E2393" s="31" t="s">
        <v>51</v>
      </c>
      <c r="F2393" s="31" t="s">
        <v>126</v>
      </c>
      <c r="G2393" s="31" t="n">
        <v>6</v>
      </c>
      <c r="H2393" s="41" t="n">
        <v>5.1</v>
      </c>
      <c r="I2393" s="31" t="s">
        <v>149</v>
      </c>
      <c r="J2393" s="31"/>
      <c r="K2393" s="31" t="s">
        <v>150</v>
      </c>
      <c r="L2393" s="45" t="n">
        <f aca="false">DATE(YEAR(B2393),MONTH(B2393),1)</f>
        <v>46235</v>
      </c>
      <c r="M2393" s="31" t="n">
        <f aca="false">WEEKDAY(B2393,2)</f>
        <v>1</v>
      </c>
      <c r="N2393" s="31" t="str">
        <f aca="false">IF(G2393&lt;=INDEX(Assumptions!$B$15:$B$18,MATCH(E2393,Assumptions!$A$15:$A$18,0)),"Yes","No")</f>
        <v>Yes</v>
      </c>
      <c r="O2393" s="31" t="str">
        <f aca="false">IF(H2393="","Open",IF(H2393&lt;=INDEX(Assumptions!$C$15:$C$18,MATCH(E2393,Assumptions!$A$15:$A$18,0)),"Yes","No"))</f>
        <v>Yes</v>
      </c>
    </row>
    <row r="2394" customFormat="false" ht="15" hidden="false" customHeight="false" outlineLevel="0" collapsed="false">
      <c r="A2394" s="31" t="s">
        <v>2544</v>
      </c>
      <c r="B2394" s="44" t="n">
        <v>46237</v>
      </c>
      <c r="C2394" s="31" t="s">
        <v>58</v>
      </c>
      <c r="D2394" s="31" t="s">
        <v>66</v>
      </c>
      <c r="E2394" s="31" t="s">
        <v>52</v>
      </c>
      <c r="F2394" s="31" t="s">
        <v>133</v>
      </c>
      <c r="G2394" s="31" t="n">
        <v>6</v>
      </c>
      <c r="H2394" s="41" t="n">
        <v>8.9</v>
      </c>
      <c r="I2394" s="31" t="s">
        <v>149</v>
      </c>
      <c r="J2394" s="31"/>
      <c r="K2394" s="31" t="s">
        <v>150</v>
      </c>
      <c r="L2394" s="45" t="n">
        <f aca="false">DATE(YEAR(B2394),MONTH(B2394),1)</f>
        <v>46235</v>
      </c>
      <c r="M2394" s="31" t="n">
        <f aca="false">WEEKDAY(B2394,2)</f>
        <v>1</v>
      </c>
      <c r="N2394" s="31" t="str">
        <f aca="false">IF(G2394&lt;=INDEX(Assumptions!$B$15:$B$18,MATCH(E2394,Assumptions!$A$15:$A$18,0)),"Yes","No")</f>
        <v>Yes</v>
      </c>
      <c r="O2394" s="31" t="str">
        <f aca="false">IF(H2394="","Open",IF(H2394&lt;=INDEX(Assumptions!$C$15:$C$18,MATCH(E2394,Assumptions!$A$15:$A$18,0)),"Yes","No"))</f>
        <v>Yes</v>
      </c>
    </row>
    <row r="2395" customFormat="false" ht="15" hidden="false" customHeight="false" outlineLevel="0" collapsed="false">
      <c r="A2395" s="31" t="s">
        <v>2545</v>
      </c>
      <c r="B2395" s="44" t="n">
        <v>46237</v>
      </c>
      <c r="C2395" s="31" t="s">
        <v>60</v>
      </c>
      <c r="D2395" s="31" t="s">
        <v>66</v>
      </c>
      <c r="E2395" s="31" t="s">
        <v>52</v>
      </c>
      <c r="F2395" s="31" t="s">
        <v>124</v>
      </c>
      <c r="G2395" s="31" t="n">
        <v>5</v>
      </c>
      <c r="H2395" s="41" t="n">
        <v>3.7</v>
      </c>
      <c r="I2395" s="31" t="s">
        <v>149</v>
      </c>
      <c r="J2395" s="31"/>
      <c r="K2395" s="31" t="s">
        <v>150</v>
      </c>
      <c r="L2395" s="45" t="n">
        <f aca="false">DATE(YEAR(B2395),MONTH(B2395),1)</f>
        <v>46235</v>
      </c>
      <c r="M2395" s="31" t="n">
        <f aca="false">WEEKDAY(B2395,2)</f>
        <v>1</v>
      </c>
      <c r="N2395" s="31" t="str">
        <f aca="false">IF(G2395&lt;=INDEX(Assumptions!$B$15:$B$18,MATCH(E2395,Assumptions!$A$15:$A$18,0)),"Yes","No")</f>
        <v>Yes</v>
      </c>
      <c r="O2395" s="31" t="str">
        <f aca="false">IF(H2395="","Open",IF(H2395&lt;=INDEX(Assumptions!$C$15:$C$18,MATCH(E2395,Assumptions!$A$15:$A$18,0)),"Yes","No"))</f>
        <v>Yes</v>
      </c>
    </row>
    <row r="2396" customFormat="false" ht="15" hidden="false" customHeight="false" outlineLevel="0" collapsed="false">
      <c r="A2396" s="31" t="s">
        <v>2546</v>
      </c>
      <c r="B2396" s="44" t="n">
        <v>46237</v>
      </c>
      <c r="C2396" s="31" t="s">
        <v>57</v>
      </c>
      <c r="D2396" s="31" t="s">
        <v>65</v>
      </c>
      <c r="E2396" s="31" t="s">
        <v>52</v>
      </c>
      <c r="F2396" s="31" t="s">
        <v>136</v>
      </c>
      <c r="G2396" s="31" t="n">
        <v>5</v>
      </c>
      <c r="H2396" s="41" t="n">
        <v>7.9</v>
      </c>
      <c r="I2396" s="31" t="s">
        <v>149</v>
      </c>
      <c r="J2396" s="31"/>
      <c r="K2396" s="31" t="s">
        <v>150</v>
      </c>
      <c r="L2396" s="45" t="n">
        <f aca="false">DATE(YEAR(B2396),MONTH(B2396),1)</f>
        <v>46235</v>
      </c>
      <c r="M2396" s="31" t="n">
        <f aca="false">WEEKDAY(B2396,2)</f>
        <v>1</v>
      </c>
      <c r="N2396" s="31" t="str">
        <f aca="false">IF(G2396&lt;=INDEX(Assumptions!$B$15:$B$18,MATCH(E2396,Assumptions!$A$15:$A$18,0)),"Yes","No")</f>
        <v>Yes</v>
      </c>
      <c r="O2396" s="31" t="str">
        <f aca="false">IF(H2396="","Open",IF(H2396&lt;=INDEX(Assumptions!$C$15:$C$18,MATCH(E2396,Assumptions!$A$15:$A$18,0)),"Yes","No"))</f>
        <v>Yes</v>
      </c>
    </row>
    <row r="2397" customFormat="false" ht="15" hidden="false" customHeight="false" outlineLevel="0" collapsed="false">
      <c r="A2397" s="31" t="s">
        <v>2547</v>
      </c>
      <c r="B2397" s="44" t="n">
        <v>46237</v>
      </c>
      <c r="C2397" s="31" t="s">
        <v>57</v>
      </c>
      <c r="D2397" s="31" t="s">
        <v>65</v>
      </c>
      <c r="E2397" s="31" t="s">
        <v>52</v>
      </c>
      <c r="F2397" s="31" t="s">
        <v>130</v>
      </c>
      <c r="G2397" s="31" t="n">
        <v>11</v>
      </c>
      <c r="H2397" s="41" t="n">
        <v>9.1</v>
      </c>
      <c r="I2397" s="31" t="s">
        <v>149</v>
      </c>
      <c r="J2397" s="31" t="n">
        <v>5</v>
      </c>
      <c r="K2397" s="31" t="s">
        <v>150</v>
      </c>
      <c r="L2397" s="45" t="n">
        <f aca="false">DATE(YEAR(B2397),MONTH(B2397),1)</f>
        <v>46235</v>
      </c>
      <c r="M2397" s="31" t="n">
        <f aca="false">WEEKDAY(B2397,2)</f>
        <v>1</v>
      </c>
      <c r="N2397" s="31" t="str">
        <f aca="false">IF(G2397&lt;=INDEX(Assumptions!$B$15:$B$18,MATCH(E2397,Assumptions!$A$15:$A$18,0)),"Yes","No")</f>
        <v>Yes</v>
      </c>
      <c r="O2397" s="31" t="str">
        <f aca="false">IF(H2397="","Open",IF(H2397&lt;=INDEX(Assumptions!$C$15:$C$18,MATCH(E2397,Assumptions!$A$15:$A$18,0)),"Yes","No"))</f>
        <v>Yes</v>
      </c>
    </row>
    <row r="2398" customFormat="false" ht="15" hidden="false" customHeight="false" outlineLevel="0" collapsed="false">
      <c r="A2398" s="31" t="s">
        <v>2548</v>
      </c>
      <c r="B2398" s="44" t="n">
        <v>46237</v>
      </c>
      <c r="C2398" s="31" t="s">
        <v>58</v>
      </c>
      <c r="D2398" s="31" t="s">
        <v>67</v>
      </c>
      <c r="E2398" s="31" t="s">
        <v>50</v>
      </c>
      <c r="F2398" s="31" t="s">
        <v>137</v>
      </c>
      <c r="G2398" s="31" t="n">
        <v>20</v>
      </c>
      <c r="H2398" s="41" t="n">
        <v>20.3</v>
      </c>
      <c r="I2398" s="31" t="s">
        <v>149</v>
      </c>
      <c r="J2398" s="31" t="n">
        <v>3</v>
      </c>
      <c r="K2398" s="31" t="s">
        <v>150</v>
      </c>
      <c r="L2398" s="45" t="n">
        <f aca="false">DATE(YEAR(B2398),MONTH(B2398),1)</f>
        <v>46235</v>
      </c>
      <c r="M2398" s="31" t="n">
        <f aca="false">WEEKDAY(B2398,2)</f>
        <v>1</v>
      </c>
      <c r="N2398" s="31" t="str">
        <f aca="false">IF(G2398&lt;=INDEX(Assumptions!$B$15:$B$18,MATCH(E2398,Assumptions!$A$15:$A$18,0)),"Yes","No")</f>
        <v>Yes</v>
      </c>
      <c r="O2398" s="31" t="str">
        <f aca="false">IF(H2398="","Open",IF(H2398&lt;=INDEX(Assumptions!$C$15:$C$18,MATCH(E2398,Assumptions!$A$15:$A$18,0)),"Yes","No"))</f>
        <v>No</v>
      </c>
    </row>
    <row r="2399" customFormat="false" ht="15" hidden="false" customHeight="false" outlineLevel="0" collapsed="false">
      <c r="A2399" s="31" t="s">
        <v>2549</v>
      </c>
      <c r="B2399" s="44" t="n">
        <v>46237</v>
      </c>
      <c r="C2399" s="31" t="s">
        <v>59</v>
      </c>
      <c r="D2399" s="31" t="s">
        <v>67</v>
      </c>
      <c r="E2399" s="31" t="s">
        <v>51</v>
      </c>
      <c r="F2399" s="31" t="s">
        <v>133</v>
      </c>
      <c r="G2399" s="31" t="n">
        <v>162</v>
      </c>
      <c r="H2399" s="41" t="n">
        <v>2.5</v>
      </c>
      <c r="I2399" s="31" t="s">
        <v>149</v>
      </c>
      <c r="J2399" s="31" t="n">
        <v>4</v>
      </c>
      <c r="K2399" s="31" t="s">
        <v>150</v>
      </c>
      <c r="L2399" s="45" t="n">
        <f aca="false">DATE(YEAR(B2399),MONTH(B2399),1)</f>
        <v>46235</v>
      </c>
      <c r="M2399" s="31" t="n">
        <f aca="false">WEEKDAY(B2399,2)</f>
        <v>1</v>
      </c>
      <c r="N2399" s="31" t="str">
        <f aca="false">IF(G2399&lt;=INDEX(Assumptions!$B$15:$B$18,MATCH(E2399,Assumptions!$A$15:$A$18,0)),"Yes","No")</f>
        <v>No</v>
      </c>
      <c r="O2399" s="31" t="str">
        <f aca="false">IF(H2399="","Open",IF(H2399&lt;=INDEX(Assumptions!$C$15:$C$18,MATCH(E2399,Assumptions!$A$15:$A$18,0)),"Yes","No"))</f>
        <v>Yes</v>
      </c>
    </row>
    <row r="2400" customFormat="false" ht="15" hidden="false" customHeight="false" outlineLevel="0" collapsed="false">
      <c r="A2400" s="31" t="s">
        <v>2550</v>
      </c>
      <c r="B2400" s="44" t="n">
        <v>46237</v>
      </c>
      <c r="C2400" s="31" t="s">
        <v>58</v>
      </c>
      <c r="D2400" s="31" t="s">
        <v>65</v>
      </c>
      <c r="E2400" s="31" t="s">
        <v>50</v>
      </c>
      <c r="F2400" s="31" t="s">
        <v>130</v>
      </c>
      <c r="G2400" s="31" t="n">
        <v>15</v>
      </c>
      <c r="H2400" s="41" t="n">
        <v>2.6</v>
      </c>
      <c r="I2400" s="31" t="s">
        <v>149</v>
      </c>
      <c r="J2400" s="31"/>
      <c r="K2400" s="31" t="s">
        <v>150</v>
      </c>
      <c r="L2400" s="45" t="n">
        <f aca="false">DATE(YEAR(B2400),MONTH(B2400),1)</f>
        <v>46235</v>
      </c>
      <c r="M2400" s="31" t="n">
        <f aca="false">WEEKDAY(B2400,2)</f>
        <v>1</v>
      </c>
      <c r="N2400" s="31" t="str">
        <f aca="false">IF(G2400&lt;=INDEX(Assumptions!$B$15:$B$18,MATCH(E2400,Assumptions!$A$15:$A$18,0)),"Yes","No")</f>
        <v>Yes</v>
      </c>
      <c r="O2400" s="31" t="str">
        <f aca="false">IF(H2400="","Open",IF(H2400&lt;=INDEX(Assumptions!$C$15:$C$18,MATCH(E2400,Assumptions!$A$15:$A$18,0)),"Yes","No"))</f>
        <v>Yes</v>
      </c>
    </row>
    <row r="2401" customFormat="false" ht="15" hidden="false" customHeight="false" outlineLevel="0" collapsed="false">
      <c r="A2401" s="31" t="s">
        <v>2551</v>
      </c>
      <c r="B2401" s="44" t="n">
        <v>46237</v>
      </c>
      <c r="C2401" s="31" t="s">
        <v>57</v>
      </c>
      <c r="D2401" s="31" t="s">
        <v>65</v>
      </c>
      <c r="E2401" s="31" t="s">
        <v>51</v>
      </c>
      <c r="F2401" s="31" t="s">
        <v>136</v>
      </c>
      <c r="G2401" s="31" t="n">
        <v>5</v>
      </c>
      <c r="H2401" s="41" t="n">
        <v>18.1</v>
      </c>
      <c r="I2401" s="31" t="s">
        <v>149</v>
      </c>
      <c r="J2401" s="31" t="n">
        <v>4</v>
      </c>
      <c r="K2401" s="31" t="s">
        <v>150</v>
      </c>
      <c r="L2401" s="45" t="n">
        <f aca="false">DATE(YEAR(B2401),MONTH(B2401),1)</f>
        <v>46235</v>
      </c>
      <c r="M2401" s="31" t="n">
        <f aca="false">WEEKDAY(B2401,2)</f>
        <v>1</v>
      </c>
      <c r="N2401" s="31" t="str">
        <f aca="false">IF(G2401&lt;=INDEX(Assumptions!$B$15:$B$18,MATCH(E2401,Assumptions!$A$15:$A$18,0)),"Yes","No")</f>
        <v>Yes</v>
      </c>
      <c r="O2401" s="31" t="str">
        <f aca="false">IF(H2401="","Open",IF(H2401&lt;=INDEX(Assumptions!$C$15:$C$18,MATCH(E2401,Assumptions!$A$15:$A$18,0)),"Yes","No"))</f>
        <v>Yes</v>
      </c>
    </row>
    <row r="2402" customFormat="false" ht="15" hidden="false" customHeight="false" outlineLevel="0" collapsed="false">
      <c r="A2402" s="31" t="s">
        <v>2552</v>
      </c>
      <c r="B2402" s="44" t="n">
        <v>46237</v>
      </c>
      <c r="C2402" s="31" t="s">
        <v>60</v>
      </c>
      <c r="D2402" s="31" t="s">
        <v>65</v>
      </c>
      <c r="E2402" s="31" t="s">
        <v>52</v>
      </c>
      <c r="F2402" s="31" t="s">
        <v>123</v>
      </c>
      <c r="G2402" s="31" t="n">
        <v>11</v>
      </c>
      <c r="H2402" s="41" t="n">
        <v>19.5</v>
      </c>
      <c r="I2402" s="31" t="s">
        <v>149</v>
      </c>
      <c r="J2402" s="31"/>
      <c r="K2402" s="31" t="s">
        <v>150</v>
      </c>
      <c r="L2402" s="45" t="n">
        <f aca="false">DATE(YEAR(B2402),MONTH(B2402),1)</f>
        <v>46235</v>
      </c>
      <c r="M2402" s="31" t="n">
        <f aca="false">WEEKDAY(B2402,2)</f>
        <v>1</v>
      </c>
      <c r="N2402" s="31" t="str">
        <f aca="false">IF(G2402&lt;=INDEX(Assumptions!$B$15:$B$18,MATCH(E2402,Assumptions!$A$15:$A$18,0)),"Yes","No")</f>
        <v>Yes</v>
      </c>
      <c r="O2402" s="31" t="str">
        <f aca="false">IF(H2402="","Open",IF(H2402&lt;=INDEX(Assumptions!$C$15:$C$18,MATCH(E2402,Assumptions!$A$15:$A$18,0)),"Yes","No"))</f>
        <v>Yes</v>
      </c>
    </row>
    <row r="2403" customFormat="false" ht="15" hidden="false" customHeight="false" outlineLevel="0" collapsed="false">
      <c r="A2403" s="31" t="s">
        <v>2553</v>
      </c>
      <c r="B2403" s="44" t="n">
        <v>46237</v>
      </c>
      <c r="C2403" s="31" t="s">
        <v>58</v>
      </c>
      <c r="D2403" s="31" t="s">
        <v>67</v>
      </c>
      <c r="E2403" s="31" t="s">
        <v>51</v>
      </c>
      <c r="F2403" s="31" t="s">
        <v>124</v>
      </c>
      <c r="G2403" s="31" t="n">
        <v>9</v>
      </c>
      <c r="H2403" s="41" t="n">
        <v>45.7</v>
      </c>
      <c r="I2403" s="31" t="s">
        <v>149</v>
      </c>
      <c r="J2403" s="31"/>
      <c r="K2403" s="31" t="s">
        <v>150</v>
      </c>
      <c r="L2403" s="45" t="n">
        <f aca="false">DATE(YEAR(B2403),MONTH(B2403),1)</f>
        <v>46235</v>
      </c>
      <c r="M2403" s="31" t="n">
        <f aca="false">WEEKDAY(B2403,2)</f>
        <v>1</v>
      </c>
      <c r="N2403" s="31" t="str">
        <f aca="false">IF(G2403&lt;=INDEX(Assumptions!$B$15:$B$18,MATCH(E2403,Assumptions!$A$15:$A$18,0)),"Yes","No")</f>
        <v>Yes</v>
      </c>
      <c r="O2403" s="31" t="str">
        <f aca="false">IF(H2403="","Open",IF(H2403&lt;=INDEX(Assumptions!$C$15:$C$18,MATCH(E2403,Assumptions!$A$15:$A$18,0)),"Yes","No"))</f>
        <v>No</v>
      </c>
    </row>
    <row r="2404" customFormat="false" ht="15" hidden="false" customHeight="false" outlineLevel="0" collapsed="false">
      <c r="A2404" s="31" t="s">
        <v>2554</v>
      </c>
      <c r="B2404" s="44" t="n">
        <v>46237</v>
      </c>
      <c r="C2404" s="31" t="s">
        <v>57</v>
      </c>
      <c r="D2404" s="31" t="s">
        <v>67</v>
      </c>
      <c r="E2404" s="31" t="s">
        <v>51</v>
      </c>
      <c r="F2404" s="31" t="s">
        <v>124</v>
      </c>
      <c r="G2404" s="31" t="n">
        <v>2</v>
      </c>
      <c r="H2404" s="41" t="n">
        <v>16.1</v>
      </c>
      <c r="I2404" s="31" t="s">
        <v>149</v>
      </c>
      <c r="J2404" s="31"/>
      <c r="K2404" s="31" t="s">
        <v>150</v>
      </c>
      <c r="L2404" s="45" t="n">
        <f aca="false">DATE(YEAR(B2404),MONTH(B2404),1)</f>
        <v>46235</v>
      </c>
      <c r="M2404" s="31" t="n">
        <f aca="false">WEEKDAY(B2404,2)</f>
        <v>1</v>
      </c>
      <c r="N2404" s="31" t="str">
        <f aca="false">IF(G2404&lt;=INDEX(Assumptions!$B$15:$B$18,MATCH(E2404,Assumptions!$A$15:$A$18,0)),"Yes","No")</f>
        <v>Yes</v>
      </c>
      <c r="O2404" s="31" t="str">
        <f aca="false">IF(H2404="","Open",IF(H2404&lt;=INDEX(Assumptions!$C$15:$C$18,MATCH(E2404,Assumptions!$A$15:$A$18,0)),"Yes","No"))</f>
        <v>Yes</v>
      </c>
    </row>
    <row r="2405" customFormat="false" ht="15" hidden="false" customHeight="false" outlineLevel="0" collapsed="false">
      <c r="A2405" s="31" t="s">
        <v>2555</v>
      </c>
      <c r="B2405" s="44" t="n">
        <v>46237</v>
      </c>
      <c r="C2405" s="31" t="s">
        <v>60</v>
      </c>
      <c r="D2405" s="31" t="s">
        <v>67</v>
      </c>
      <c r="E2405" s="31" t="s">
        <v>52</v>
      </c>
      <c r="F2405" s="31" t="s">
        <v>127</v>
      </c>
      <c r="G2405" s="31" t="n">
        <v>1</v>
      </c>
      <c r="H2405" s="41" t="n">
        <v>35.7</v>
      </c>
      <c r="I2405" s="31" t="s">
        <v>149</v>
      </c>
      <c r="J2405" s="31"/>
      <c r="K2405" s="31" t="s">
        <v>153</v>
      </c>
      <c r="L2405" s="45" t="n">
        <f aca="false">DATE(YEAR(B2405),MONTH(B2405),1)</f>
        <v>46235</v>
      </c>
      <c r="M2405" s="31" t="n">
        <f aca="false">WEEKDAY(B2405,2)</f>
        <v>1</v>
      </c>
      <c r="N2405" s="31" t="str">
        <f aca="false">IF(G2405&lt;=INDEX(Assumptions!$B$15:$B$18,MATCH(E2405,Assumptions!$A$15:$A$18,0)),"Yes","No")</f>
        <v>Yes</v>
      </c>
      <c r="O2405" s="31" t="str">
        <f aca="false">IF(H2405="","Open",IF(H2405&lt;=INDEX(Assumptions!$C$15:$C$18,MATCH(E2405,Assumptions!$A$15:$A$18,0)),"Yes","No"))</f>
        <v>Yes</v>
      </c>
    </row>
    <row r="2406" customFormat="false" ht="15" hidden="false" customHeight="false" outlineLevel="0" collapsed="false">
      <c r="A2406" s="31" t="s">
        <v>2556</v>
      </c>
      <c r="B2406" s="44" t="n">
        <v>46237</v>
      </c>
      <c r="C2406" s="31" t="s">
        <v>58</v>
      </c>
      <c r="D2406" s="31" t="s">
        <v>65</v>
      </c>
      <c r="E2406" s="31" t="s">
        <v>51</v>
      </c>
      <c r="F2406" s="31" t="s">
        <v>122</v>
      </c>
      <c r="G2406" s="31" t="n">
        <v>17</v>
      </c>
      <c r="H2406" s="41" t="n">
        <v>16.4</v>
      </c>
      <c r="I2406" s="31" t="s">
        <v>149</v>
      </c>
      <c r="J2406" s="31" t="n">
        <v>5</v>
      </c>
      <c r="K2406" s="31" t="s">
        <v>150</v>
      </c>
      <c r="L2406" s="45" t="n">
        <f aca="false">DATE(YEAR(B2406),MONTH(B2406),1)</f>
        <v>46235</v>
      </c>
      <c r="M2406" s="31" t="n">
        <f aca="false">WEEKDAY(B2406,2)</f>
        <v>1</v>
      </c>
      <c r="N2406" s="31" t="str">
        <f aca="false">IF(G2406&lt;=INDEX(Assumptions!$B$15:$B$18,MATCH(E2406,Assumptions!$A$15:$A$18,0)),"Yes","No")</f>
        <v>Yes</v>
      </c>
      <c r="O2406" s="31" t="str">
        <f aca="false">IF(H2406="","Open",IF(H2406&lt;=INDEX(Assumptions!$C$15:$C$18,MATCH(E2406,Assumptions!$A$15:$A$18,0)),"Yes","No"))</f>
        <v>Yes</v>
      </c>
    </row>
    <row r="2407" customFormat="false" ht="15" hidden="false" customHeight="false" outlineLevel="0" collapsed="false">
      <c r="A2407" s="31" t="s">
        <v>2557</v>
      </c>
      <c r="B2407" s="44" t="n">
        <v>46237</v>
      </c>
      <c r="C2407" s="31" t="s">
        <v>57</v>
      </c>
      <c r="D2407" s="31" t="s">
        <v>66</v>
      </c>
      <c r="E2407" s="31" t="s">
        <v>51</v>
      </c>
      <c r="F2407" s="31" t="s">
        <v>135</v>
      </c>
      <c r="G2407" s="31" t="n">
        <v>10</v>
      </c>
      <c r="H2407" s="41" t="n">
        <v>13</v>
      </c>
      <c r="I2407" s="31" t="s">
        <v>149</v>
      </c>
      <c r="J2407" s="31" t="n">
        <v>4</v>
      </c>
      <c r="K2407" s="31" t="s">
        <v>150</v>
      </c>
      <c r="L2407" s="45" t="n">
        <f aca="false">DATE(YEAR(B2407),MONTH(B2407),1)</f>
        <v>46235</v>
      </c>
      <c r="M2407" s="31" t="n">
        <f aca="false">WEEKDAY(B2407,2)</f>
        <v>1</v>
      </c>
      <c r="N2407" s="31" t="str">
        <f aca="false">IF(G2407&lt;=INDEX(Assumptions!$B$15:$B$18,MATCH(E2407,Assumptions!$A$15:$A$18,0)),"Yes","No")</f>
        <v>Yes</v>
      </c>
      <c r="O2407" s="31" t="str">
        <f aca="false">IF(H2407="","Open",IF(H2407&lt;=INDEX(Assumptions!$C$15:$C$18,MATCH(E2407,Assumptions!$A$15:$A$18,0)),"Yes","No"))</f>
        <v>Yes</v>
      </c>
    </row>
    <row r="2408" customFormat="false" ht="15" hidden="false" customHeight="false" outlineLevel="0" collapsed="false">
      <c r="A2408" s="31" t="s">
        <v>2558</v>
      </c>
      <c r="B2408" s="44" t="n">
        <v>46237</v>
      </c>
      <c r="C2408" s="31" t="s">
        <v>58</v>
      </c>
      <c r="D2408" s="31" t="s">
        <v>66</v>
      </c>
      <c r="E2408" s="31" t="s">
        <v>50</v>
      </c>
      <c r="F2408" s="31" t="s">
        <v>122</v>
      </c>
      <c r="G2408" s="31" t="n">
        <v>24</v>
      </c>
      <c r="H2408" s="41" t="n">
        <v>2.6</v>
      </c>
      <c r="I2408" s="31" t="s">
        <v>149</v>
      </c>
      <c r="J2408" s="31" t="n">
        <v>4</v>
      </c>
      <c r="K2408" s="31" t="s">
        <v>150</v>
      </c>
      <c r="L2408" s="45" t="n">
        <f aca="false">DATE(YEAR(B2408),MONTH(B2408),1)</f>
        <v>46235</v>
      </c>
      <c r="M2408" s="31" t="n">
        <f aca="false">WEEKDAY(B2408,2)</f>
        <v>1</v>
      </c>
      <c r="N2408" s="31" t="str">
        <f aca="false">IF(G2408&lt;=INDEX(Assumptions!$B$15:$B$18,MATCH(E2408,Assumptions!$A$15:$A$18,0)),"Yes","No")</f>
        <v>Yes</v>
      </c>
      <c r="O2408" s="31" t="str">
        <f aca="false">IF(H2408="","Open",IF(H2408&lt;=INDEX(Assumptions!$C$15:$C$18,MATCH(E2408,Assumptions!$A$15:$A$18,0)),"Yes","No"))</f>
        <v>Yes</v>
      </c>
    </row>
    <row r="2409" customFormat="false" ht="15" hidden="false" customHeight="false" outlineLevel="0" collapsed="false">
      <c r="A2409" s="31" t="s">
        <v>2559</v>
      </c>
      <c r="B2409" s="44" t="n">
        <v>46237</v>
      </c>
      <c r="C2409" s="31" t="s">
        <v>57</v>
      </c>
      <c r="D2409" s="31" t="s">
        <v>68</v>
      </c>
      <c r="E2409" s="31" t="s">
        <v>51</v>
      </c>
      <c r="F2409" s="31" t="s">
        <v>117</v>
      </c>
      <c r="G2409" s="31" t="n">
        <v>10</v>
      </c>
      <c r="H2409" s="41" t="n">
        <v>1</v>
      </c>
      <c r="I2409" s="31" t="s">
        <v>149</v>
      </c>
      <c r="J2409" s="31"/>
      <c r="K2409" s="31" t="s">
        <v>150</v>
      </c>
      <c r="L2409" s="45" t="n">
        <f aca="false">DATE(YEAR(B2409),MONTH(B2409),1)</f>
        <v>46235</v>
      </c>
      <c r="M2409" s="31" t="n">
        <f aca="false">WEEKDAY(B2409,2)</f>
        <v>1</v>
      </c>
      <c r="N2409" s="31" t="str">
        <f aca="false">IF(G2409&lt;=INDEX(Assumptions!$B$15:$B$18,MATCH(E2409,Assumptions!$A$15:$A$18,0)),"Yes","No")</f>
        <v>Yes</v>
      </c>
      <c r="O2409" s="31" t="str">
        <f aca="false">IF(H2409="","Open",IF(H2409&lt;=INDEX(Assumptions!$C$15:$C$18,MATCH(E2409,Assumptions!$A$15:$A$18,0)),"Yes","No"))</f>
        <v>Yes</v>
      </c>
    </row>
    <row r="2410" customFormat="false" ht="15" hidden="false" customHeight="false" outlineLevel="0" collapsed="false">
      <c r="A2410" s="31" t="s">
        <v>2560</v>
      </c>
      <c r="B2410" s="44" t="n">
        <v>46237</v>
      </c>
      <c r="C2410" s="31" t="s">
        <v>60</v>
      </c>
      <c r="D2410" s="31" t="s">
        <v>65</v>
      </c>
      <c r="E2410" s="31" t="s">
        <v>51</v>
      </c>
      <c r="F2410" s="31" t="s">
        <v>133</v>
      </c>
      <c r="G2410" s="31" t="n">
        <v>2</v>
      </c>
      <c r="H2410" s="41" t="n">
        <v>4.3</v>
      </c>
      <c r="I2410" s="31" t="s">
        <v>149</v>
      </c>
      <c r="J2410" s="31"/>
      <c r="K2410" s="31" t="s">
        <v>150</v>
      </c>
      <c r="L2410" s="45" t="n">
        <f aca="false">DATE(YEAR(B2410),MONTH(B2410),1)</f>
        <v>46235</v>
      </c>
      <c r="M2410" s="31" t="n">
        <f aca="false">WEEKDAY(B2410,2)</f>
        <v>1</v>
      </c>
      <c r="N2410" s="31" t="str">
        <f aca="false">IF(G2410&lt;=INDEX(Assumptions!$B$15:$B$18,MATCH(E2410,Assumptions!$A$15:$A$18,0)),"Yes","No")</f>
        <v>Yes</v>
      </c>
      <c r="O2410" s="31" t="str">
        <f aca="false">IF(H2410="","Open",IF(H2410&lt;=INDEX(Assumptions!$C$15:$C$18,MATCH(E2410,Assumptions!$A$15:$A$18,0)),"Yes","No"))</f>
        <v>Yes</v>
      </c>
    </row>
    <row r="2411" customFormat="false" ht="15" hidden="false" customHeight="false" outlineLevel="0" collapsed="false">
      <c r="A2411" s="31" t="s">
        <v>2561</v>
      </c>
      <c r="B2411" s="44" t="n">
        <v>46237</v>
      </c>
      <c r="C2411" s="31" t="s">
        <v>59</v>
      </c>
      <c r="D2411" s="31" t="s">
        <v>66</v>
      </c>
      <c r="E2411" s="31" t="s">
        <v>51</v>
      </c>
      <c r="F2411" s="31" t="s">
        <v>136</v>
      </c>
      <c r="G2411" s="31" t="n">
        <v>263</v>
      </c>
      <c r="H2411" s="41" t="n">
        <v>2.2</v>
      </c>
      <c r="I2411" s="31" t="s">
        <v>149</v>
      </c>
      <c r="J2411" s="31" t="n">
        <v>3</v>
      </c>
      <c r="K2411" s="31" t="s">
        <v>150</v>
      </c>
      <c r="L2411" s="45" t="n">
        <f aca="false">DATE(YEAR(B2411),MONTH(B2411),1)</f>
        <v>46235</v>
      </c>
      <c r="M2411" s="31" t="n">
        <f aca="false">WEEKDAY(B2411,2)</f>
        <v>1</v>
      </c>
      <c r="N2411" s="31" t="str">
        <f aca="false">IF(G2411&lt;=INDEX(Assumptions!$B$15:$B$18,MATCH(E2411,Assumptions!$A$15:$A$18,0)),"Yes","No")</f>
        <v>No</v>
      </c>
      <c r="O2411" s="31" t="str">
        <f aca="false">IF(H2411="","Open",IF(H2411&lt;=INDEX(Assumptions!$C$15:$C$18,MATCH(E2411,Assumptions!$A$15:$A$18,0)),"Yes","No"))</f>
        <v>Yes</v>
      </c>
    </row>
    <row r="2412" customFormat="false" ht="15" hidden="false" customHeight="false" outlineLevel="0" collapsed="false">
      <c r="A2412" s="31" t="s">
        <v>2562</v>
      </c>
      <c r="B2412" s="44" t="n">
        <v>46237</v>
      </c>
      <c r="C2412" s="31" t="s">
        <v>59</v>
      </c>
      <c r="D2412" s="31" t="s">
        <v>66</v>
      </c>
      <c r="E2412" s="31" t="s">
        <v>51</v>
      </c>
      <c r="F2412" s="31" t="s">
        <v>117</v>
      </c>
      <c r="G2412" s="31" t="n">
        <v>59</v>
      </c>
      <c r="H2412" s="41" t="n">
        <v>1.3</v>
      </c>
      <c r="I2412" s="31" t="s">
        <v>149</v>
      </c>
      <c r="J2412" s="31"/>
      <c r="K2412" s="31" t="s">
        <v>150</v>
      </c>
      <c r="L2412" s="45" t="n">
        <f aca="false">DATE(YEAR(B2412),MONTH(B2412),1)</f>
        <v>46235</v>
      </c>
      <c r="M2412" s="31" t="n">
        <f aca="false">WEEKDAY(B2412,2)</f>
        <v>1</v>
      </c>
      <c r="N2412" s="31" t="str">
        <f aca="false">IF(G2412&lt;=INDEX(Assumptions!$B$15:$B$18,MATCH(E2412,Assumptions!$A$15:$A$18,0)),"Yes","No")</f>
        <v>Yes</v>
      </c>
      <c r="O2412" s="31" t="str">
        <f aca="false">IF(H2412="","Open",IF(H2412&lt;=INDEX(Assumptions!$C$15:$C$18,MATCH(E2412,Assumptions!$A$15:$A$18,0)),"Yes","No"))</f>
        <v>Yes</v>
      </c>
    </row>
    <row r="2413" customFormat="false" ht="15" hidden="false" customHeight="false" outlineLevel="0" collapsed="false">
      <c r="A2413" s="31" t="s">
        <v>2563</v>
      </c>
      <c r="B2413" s="44" t="n">
        <v>46237</v>
      </c>
      <c r="C2413" s="31" t="s">
        <v>58</v>
      </c>
      <c r="D2413" s="31" t="s">
        <v>69</v>
      </c>
      <c r="E2413" s="31" t="s">
        <v>51</v>
      </c>
      <c r="F2413" s="31" t="s">
        <v>122</v>
      </c>
      <c r="G2413" s="31" t="n">
        <v>9</v>
      </c>
      <c r="H2413" s="41" t="n">
        <v>16.4</v>
      </c>
      <c r="I2413" s="31" t="s">
        <v>149</v>
      </c>
      <c r="J2413" s="31" t="n">
        <v>3</v>
      </c>
      <c r="K2413" s="31" t="s">
        <v>150</v>
      </c>
      <c r="L2413" s="45" t="n">
        <f aca="false">DATE(YEAR(B2413),MONTH(B2413),1)</f>
        <v>46235</v>
      </c>
      <c r="M2413" s="31" t="n">
        <f aca="false">WEEKDAY(B2413,2)</f>
        <v>1</v>
      </c>
      <c r="N2413" s="31" t="str">
        <f aca="false">IF(G2413&lt;=INDEX(Assumptions!$B$15:$B$18,MATCH(E2413,Assumptions!$A$15:$A$18,0)),"Yes","No")</f>
        <v>Yes</v>
      </c>
      <c r="O2413" s="31" t="str">
        <f aca="false">IF(H2413="","Open",IF(H2413&lt;=INDEX(Assumptions!$C$15:$C$18,MATCH(E2413,Assumptions!$A$15:$A$18,0)),"Yes","No"))</f>
        <v>Yes</v>
      </c>
    </row>
    <row r="2414" customFormat="false" ht="15" hidden="false" customHeight="false" outlineLevel="0" collapsed="false">
      <c r="A2414" s="31" t="s">
        <v>2564</v>
      </c>
      <c r="B2414" s="44" t="n">
        <v>46237</v>
      </c>
      <c r="C2414" s="31" t="s">
        <v>57</v>
      </c>
      <c r="D2414" s="31" t="s">
        <v>69</v>
      </c>
      <c r="E2414" s="31" t="s">
        <v>51</v>
      </c>
      <c r="F2414" s="31" t="s">
        <v>130</v>
      </c>
      <c r="G2414" s="31" t="n">
        <v>3</v>
      </c>
      <c r="H2414" s="41" t="n">
        <v>36.2</v>
      </c>
      <c r="I2414" s="31" t="s">
        <v>149</v>
      </c>
      <c r="J2414" s="31"/>
      <c r="K2414" s="31" t="s">
        <v>150</v>
      </c>
      <c r="L2414" s="45" t="n">
        <f aca="false">DATE(YEAR(B2414),MONTH(B2414),1)</f>
        <v>46235</v>
      </c>
      <c r="M2414" s="31" t="n">
        <f aca="false">WEEKDAY(B2414,2)</f>
        <v>1</v>
      </c>
      <c r="N2414" s="31" t="str">
        <f aca="false">IF(G2414&lt;=INDEX(Assumptions!$B$15:$B$18,MATCH(E2414,Assumptions!$A$15:$A$18,0)),"Yes","No")</f>
        <v>Yes</v>
      </c>
      <c r="O2414" s="31" t="str">
        <f aca="false">IF(H2414="","Open",IF(H2414&lt;=INDEX(Assumptions!$C$15:$C$18,MATCH(E2414,Assumptions!$A$15:$A$18,0)),"Yes","No"))</f>
        <v>No</v>
      </c>
    </row>
    <row r="2415" customFormat="false" ht="15" hidden="false" customHeight="false" outlineLevel="0" collapsed="false">
      <c r="A2415" s="31" t="s">
        <v>2565</v>
      </c>
      <c r="B2415" s="44" t="n">
        <v>46237</v>
      </c>
      <c r="C2415" s="31" t="s">
        <v>60</v>
      </c>
      <c r="D2415" s="31" t="s">
        <v>65</v>
      </c>
      <c r="E2415" s="31" t="s">
        <v>52</v>
      </c>
      <c r="F2415" s="31" t="s">
        <v>136</v>
      </c>
      <c r="G2415" s="31" t="n">
        <v>1</v>
      </c>
      <c r="H2415" s="41" t="n">
        <v>32.9</v>
      </c>
      <c r="I2415" s="31" t="s">
        <v>149</v>
      </c>
      <c r="J2415" s="31" t="n">
        <v>4</v>
      </c>
      <c r="K2415" s="31" t="s">
        <v>150</v>
      </c>
      <c r="L2415" s="45" t="n">
        <f aca="false">DATE(YEAR(B2415),MONTH(B2415),1)</f>
        <v>46235</v>
      </c>
      <c r="M2415" s="31" t="n">
        <f aca="false">WEEKDAY(B2415,2)</f>
        <v>1</v>
      </c>
      <c r="N2415" s="31" t="str">
        <f aca="false">IF(G2415&lt;=INDEX(Assumptions!$B$15:$B$18,MATCH(E2415,Assumptions!$A$15:$A$18,0)),"Yes","No")</f>
        <v>Yes</v>
      </c>
      <c r="O2415" s="31" t="str">
        <f aca="false">IF(H2415="","Open",IF(H2415&lt;=INDEX(Assumptions!$C$15:$C$18,MATCH(E2415,Assumptions!$A$15:$A$18,0)),"Yes","No"))</f>
        <v>Yes</v>
      </c>
    </row>
    <row r="2416" customFormat="false" ht="15" hidden="false" customHeight="false" outlineLevel="0" collapsed="false">
      <c r="A2416" s="31" t="s">
        <v>2566</v>
      </c>
      <c r="B2416" s="44" t="n">
        <v>46237</v>
      </c>
      <c r="C2416" s="31" t="s">
        <v>59</v>
      </c>
      <c r="D2416" s="31" t="s">
        <v>65</v>
      </c>
      <c r="E2416" s="31" t="s">
        <v>50</v>
      </c>
      <c r="F2416" s="31" t="s">
        <v>127</v>
      </c>
      <c r="G2416" s="31" t="n">
        <v>270</v>
      </c>
      <c r="H2416" s="41" t="n">
        <v>8.6</v>
      </c>
      <c r="I2416" s="31" t="s">
        <v>149</v>
      </c>
      <c r="J2416" s="31" t="n">
        <v>5</v>
      </c>
      <c r="K2416" s="31" t="s">
        <v>150</v>
      </c>
      <c r="L2416" s="45" t="n">
        <f aca="false">DATE(YEAR(B2416),MONTH(B2416),1)</f>
        <v>46235</v>
      </c>
      <c r="M2416" s="31" t="n">
        <f aca="false">WEEKDAY(B2416,2)</f>
        <v>1</v>
      </c>
      <c r="N2416" s="31" t="str">
        <f aca="false">IF(G2416&lt;=INDEX(Assumptions!$B$15:$B$18,MATCH(E2416,Assumptions!$A$15:$A$18,0)),"Yes","No")</f>
        <v>No</v>
      </c>
      <c r="O2416" s="31" t="str">
        <f aca="false">IF(H2416="","Open",IF(H2416&lt;=INDEX(Assumptions!$C$15:$C$18,MATCH(E2416,Assumptions!$A$15:$A$18,0)),"Yes","No"))</f>
        <v>No</v>
      </c>
    </row>
    <row r="2417" customFormat="false" ht="15" hidden="false" customHeight="false" outlineLevel="0" collapsed="false">
      <c r="A2417" s="31" t="s">
        <v>2567</v>
      </c>
      <c r="B2417" s="44" t="n">
        <v>46237</v>
      </c>
      <c r="C2417" s="31" t="s">
        <v>59</v>
      </c>
      <c r="D2417" s="31" t="s">
        <v>68</v>
      </c>
      <c r="E2417" s="31" t="s">
        <v>51</v>
      </c>
      <c r="F2417" s="31" t="s">
        <v>129</v>
      </c>
      <c r="G2417" s="31" t="n">
        <v>57</v>
      </c>
      <c r="H2417" s="41" t="n">
        <v>12.4</v>
      </c>
      <c r="I2417" s="31" t="s">
        <v>149</v>
      </c>
      <c r="J2417" s="31"/>
      <c r="K2417" s="31" t="s">
        <v>150</v>
      </c>
      <c r="L2417" s="45" t="n">
        <f aca="false">DATE(YEAR(B2417),MONTH(B2417),1)</f>
        <v>46235</v>
      </c>
      <c r="M2417" s="31" t="n">
        <f aca="false">WEEKDAY(B2417,2)</f>
        <v>1</v>
      </c>
      <c r="N2417" s="31" t="str">
        <f aca="false">IF(G2417&lt;=INDEX(Assumptions!$B$15:$B$18,MATCH(E2417,Assumptions!$A$15:$A$18,0)),"Yes","No")</f>
        <v>Yes</v>
      </c>
      <c r="O2417" s="31" t="str">
        <f aca="false">IF(H2417="","Open",IF(H2417&lt;=INDEX(Assumptions!$C$15:$C$18,MATCH(E2417,Assumptions!$A$15:$A$18,0)),"Yes","No"))</f>
        <v>Yes</v>
      </c>
    </row>
    <row r="2418" customFormat="false" ht="15" hidden="false" customHeight="false" outlineLevel="0" collapsed="false">
      <c r="A2418" s="31" t="s">
        <v>2568</v>
      </c>
      <c r="B2418" s="44" t="n">
        <v>46237</v>
      </c>
      <c r="C2418" s="31" t="s">
        <v>58</v>
      </c>
      <c r="D2418" s="31" t="s">
        <v>66</v>
      </c>
      <c r="E2418" s="31" t="s">
        <v>49</v>
      </c>
      <c r="F2418" s="31" t="s">
        <v>126</v>
      </c>
      <c r="G2418" s="31" t="n">
        <v>15</v>
      </c>
      <c r="H2418" s="41" t="n">
        <v>0.2</v>
      </c>
      <c r="I2418" s="31" t="s">
        <v>149</v>
      </c>
      <c r="J2418" s="31" t="n">
        <v>5</v>
      </c>
      <c r="K2418" s="31" t="s">
        <v>150</v>
      </c>
      <c r="L2418" s="45" t="n">
        <f aca="false">DATE(YEAR(B2418),MONTH(B2418),1)</f>
        <v>46235</v>
      </c>
      <c r="M2418" s="31" t="n">
        <f aca="false">WEEKDAY(B2418,2)</f>
        <v>1</v>
      </c>
      <c r="N2418" s="31" t="str">
        <f aca="false">IF(G2418&lt;=INDEX(Assumptions!$B$15:$B$18,MATCH(E2418,Assumptions!$A$15:$A$18,0)),"Yes","No")</f>
        <v>Yes</v>
      </c>
      <c r="O2418" s="31" t="str">
        <f aca="false">IF(H2418="","Open",IF(H2418&lt;=INDEX(Assumptions!$C$15:$C$18,MATCH(E2418,Assumptions!$A$15:$A$18,0)),"Yes","No"))</f>
        <v>Yes</v>
      </c>
    </row>
    <row r="2419" customFormat="false" ht="15" hidden="false" customHeight="false" outlineLevel="0" collapsed="false">
      <c r="A2419" s="31" t="s">
        <v>2569</v>
      </c>
      <c r="B2419" s="44" t="n">
        <v>46238</v>
      </c>
      <c r="C2419" s="31" t="s">
        <v>59</v>
      </c>
      <c r="D2419" s="31" t="s">
        <v>65</v>
      </c>
      <c r="E2419" s="31" t="s">
        <v>50</v>
      </c>
      <c r="F2419" s="31" t="s">
        <v>117</v>
      </c>
      <c r="G2419" s="31" t="n">
        <v>50</v>
      </c>
      <c r="H2419" s="41" t="n">
        <v>2.5</v>
      </c>
      <c r="I2419" s="31" t="s">
        <v>149</v>
      </c>
      <c r="J2419" s="31" t="n">
        <v>4</v>
      </c>
      <c r="K2419" s="31" t="s">
        <v>150</v>
      </c>
      <c r="L2419" s="45" t="n">
        <f aca="false">DATE(YEAR(B2419),MONTH(B2419),1)</f>
        <v>46235</v>
      </c>
      <c r="M2419" s="31" t="n">
        <f aca="false">WEEKDAY(B2419,2)</f>
        <v>2</v>
      </c>
      <c r="N2419" s="31" t="str">
        <f aca="false">IF(G2419&lt;=INDEX(Assumptions!$B$15:$B$18,MATCH(E2419,Assumptions!$A$15:$A$18,0)),"Yes","No")</f>
        <v>No</v>
      </c>
      <c r="O2419" s="31" t="str">
        <f aca="false">IF(H2419="","Open",IF(H2419&lt;=INDEX(Assumptions!$C$15:$C$18,MATCH(E2419,Assumptions!$A$15:$A$18,0)),"Yes","No"))</f>
        <v>Yes</v>
      </c>
    </row>
    <row r="2420" customFormat="false" ht="15" hidden="false" customHeight="false" outlineLevel="0" collapsed="false">
      <c r="A2420" s="31" t="s">
        <v>2570</v>
      </c>
      <c r="B2420" s="44" t="n">
        <v>46238</v>
      </c>
      <c r="C2420" s="31" t="s">
        <v>59</v>
      </c>
      <c r="D2420" s="31" t="s">
        <v>67</v>
      </c>
      <c r="E2420" s="31" t="s">
        <v>51</v>
      </c>
      <c r="F2420" s="31" t="s">
        <v>123</v>
      </c>
      <c r="G2420" s="31" t="n">
        <v>42</v>
      </c>
      <c r="H2420" s="41" t="n">
        <v>28.9</v>
      </c>
      <c r="I2420" s="31" t="s">
        <v>149</v>
      </c>
      <c r="J2420" s="31" t="n">
        <v>3</v>
      </c>
      <c r="K2420" s="31" t="s">
        <v>150</v>
      </c>
      <c r="L2420" s="45" t="n">
        <f aca="false">DATE(YEAR(B2420),MONTH(B2420),1)</f>
        <v>46235</v>
      </c>
      <c r="M2420" s="31" t="n">
        <f aca="false">WEEKDAY(B2420,2)</f>
        <v>2</v>
      </c>
      <c r="N2420" s="31" t="str">
        <f aca="false">IF(G2420&lt;=INDEX(Assumptions!$B$15:$B$18,MATCH(E2420,Assumptions!$A$15:$A$18,0)),"Yes","No")</f>
        <v>Yes</v>
      </c>
      <c r="O2420" s="31" t="str">
        <f aca="false">IF(H2420="","Open",IF(H2420&lt;=INDEX(Assumptions!$C$15:$C$18,MATCH(E2420,Assumptions!$A$15:$A$18,0)),"Yes","No"))</f>
        <v>No</v>
      </c>
    </row>
    <row r="2421" customFormat="false" ht="15" hidden="false" customHeight="false" outlineLevel="0" collapsed="false">
      <c r="A2421" s="31" t="s">
        <v>2571</v>
      </c>
      <c r="B2421" s="44" t="n">
        <v>46238</v>
      </c>
      <c r="C2421" s="31" t="s">
        <v>59</v>
      </c>
      <c r="D2421" s="31" t="s">
        <v>66</v>
      </c>
      <c r="E2421" s="31" t="s">
        <v>52</v>
      </c>
      <c r="F2421" s="31" t="s">
        <v>121</v>
      </c>
      <c r="G2421" s="31" t="n">
        <v>42</v>
      </c>
      <c r="H2421" s="41" t="n">
        <v>21.8</v>
      </c>
      <c r="I2421" s="31" t="s">
        <v>149</v>
      </c>
      <c r="J2421" s="31" t="n">
        <v>3</v>
      </c>
      <c r="K2421" s="31" t="s">
        <v>150</v>
      </c>
      <c r="L2421" s="45" t="n">
        <f aca="false">DATE(YEAR(B2421),MONTH(B2421),1)</f>
        <v>46235</v>
      </c>
      <c r="M2421" s="31" t="n">
        <f aca="false">WEEKDAY(B2421,2)</f>
        <v>2</v>
      </c>
      <c r="N2421" s="31" t="str">
        <f aca="false">IF(G2421&lt;=INDEX(Assumptions!$B$15:$B$18,MATCH(E2421,Assumptions!$A$15:$A$18,0)),"Yes","No")</f>
        <v>Yes</v>
      </c>
      <c r="O2421" s="31" t="str">
        <f aca="false">IF(H2421="","Open",IF(H2421&lt;=INDEX(Assumptions!$C$15:$C$18,MATCH(E2421,Assumptions!$A$15:$A$18,0)),"Yes","No"))</f>
        <v>Yes</v>
      </c>
    </row>
    <row r="2422" customFormat="false" ht="15" hidden="false" customHeight="false" outlineLevel="0" collapsed="false">
      <c r="A2422" s="31" t="s">
        <v>2572</v>
      </c>
      <c r="B2422" s="44" t="n">
        <v>46238</v>
      </c>
      <c r="C2422" s="31" t="s">
        <v>57</v>
      </c>
      <c r="D2422" s="31" t="s">
        <v>65</v>
      </c>
      <c r="E2422" s="31" t="s">
        <v>51</v>
      </c>
      <c r="F2422" s="31" t="s">
        <v>131</v>
      </c>
      <c r="G2422" s="31" t="n">
        <v>9</v>
      </c>
      <c r="H2422" s="41" t="n">
        <v>4.9</v>
      </c>
      <c r="I2422" s="31" t="s">
        <v>149</v>
      </c>
      <c r="J2422" s="31" t="n">
        <v>4</v>
      </c>
      <c r="K2422" s="31" t="s">
        <v>150</v>
      </c>
      <c r="L2422" s="45" t="n">
        <f aca="false">DATE(YEAR(B2422),MONTH(B2422),1)</f>
        <v>46235</v>
      </c>
      <c r="M2422" s="31" t="n">
        <f aca="false">WEEKDAY(B2422,2)</f>
        <v>2</v>
      </c>
      <c r="N2422" s="31" t="str">
        <f aca="false">IF(G2422&lt;=INDEX(Assumptions!$B$15:$B$18,MATCH(E2422,Assumptions!$A$15:$A$18,0)),"Yes","No")</f>
        <v>Yes</v>
      </c>
      <c r="O2422" s="31" t="str">
        <f aca="false">IF(H2422="","Open",IF(H2422&lt;=INDEX(Assumptions!$C$15:$C$18,MATCH(E2422,Assumptions!$A$15:$A$18,0)),"Yes","No"))</f>
        <v>Yes</v>
      </c>
    </row>
    <row r="2423" customFormat="false" ht="15" hidden="false" customHeight="false" outlineLevel="0" collapsed="false">
      <c r="A2423" s="31" t="s">
        <v>2573</v>
      </c>
      <c r="B2423" s="44" t="n">
        <v>46238</v>
      </c>
      <c r="C2423" s="31" t="s">
        <v>60</v>
      </c>
      <c r="D2423" s="31" t="s">
        <v>66</v>
      </c>
      <c r="E2423" s="31" t="s">
        <v>52</v>
      </c>
      <c r="F2423" s="31" t="s">
        <v>124</v>
      </c>
      <c r="G2423" s="31" t="n">
        <v>1</v>
      </c>
      <c r="H2423" s="41" t="n">
        <v>9.8</v>
      </c>
      <c r="I2423" s="31" t="s">
        <v>149</v>
      </c>
      <c r="J2423" s="31" t="n">
        <v>5</v>
      </c>
      <c r="K2423" s="31" t="s">
        <v>150</v>
      </c>
      <c r="L2423" s="45" t="n">
        <f aca="false">DATE(YEAR(B2423),MONTH(B2423),1)</f>
        <v>46235</v>
      </c>
      <c r="M2423" s="31" t="n">
        <f aca="false">WEEKDAY(B2423,2)</f>
        <v>2</v>
      </c>
      <c r="N2423" s="31" t="str">
        <f aca="false">IF(G2423&lt;=INDEX(Assumptions!$B$15:$B$18,MATCH(E2423,Assumptions!$A$15:$A$18,0)),"Yes","No")</f>
        <v>Yes</v>
      </c>
      <c r="O2423" s="31" t="str">
        <f aca="false">IF(H2423="","Open",IF(H2423&lt;=INDEX(Assumptions!$C$15:$C$18,MATCH(E2423,Assumptions!$A$15:$A$18,0)),"Yes","No"))</f>
        <v>Yes</v>
      </c>
    </row>
    <row r="2424" customFormat="false" ht="15" hidden="false" customHeight="false" outlineLevel="0" collapsed="false">
      <c r="A2424" s="31" t="s">
        <v>2574</v>
      </c>
      <c r="B2424" s="44" t="n">
        <v>46238</v>
      </c>
      <c r="C2424" s="31" t="s">
        <v>60</v>
      </c>
      <c r="D2424" s="31" t="s">
        <v>65</v>
      </c>
      <c r="E2424" s="31" t="s">
        <v>50</v>
      </c>
      <c r="F2424" s="31" t="s">
        <v>135</v>
      </c>
      <c r="G2424" s="31" t="n">
        <v>4</v>
      </c>
      <c r="H2424" s="41" t="n">
        <v>9.4</v>
      </c>
      <c r="I2424" s="31" t="s">
        <v>149</v>
      </c>
      <c r="J2424" s="31" t="n">
        <v>3</v>
      </c>
      <c r="K2424" s="31" t="s">
        <v>150</v>
      </c>
      <c r="L2424" s="45" t="n">
        <f aca="false">DATE(YEAR(B2424),MONTH(B2424),1)</f>
        <v>46235</v>
      </c>
      <c r="M2424" s="31" t="n">
        <f aca="false">WEEKDAY(B2424,2)</f>
        <v>2</v>
      </c>
      <c r="N2424" s="31" t="str">
        <f aca="false">IF(G2424&lt;=INDEX(Assumptions!$B$15:$B$18,MATCH(E2424,Assumptions!$A$15:$A$18,0)),"Yes","No")</f>
        <v>Yes</v>
      </c>
      <c r="O2424" s="31" t="str">
        <f aca="false">IF(H2424="","Open",IF(H2424&lt;=INDEX(Assumptions!$C$15:$C$18,MATCH(E2424,Assumptions!$A$15:$A$18,0)),"Yes","No"))</f>
        <v>No</v>
      </c>
    </row>
    <row r="2425" customFormat="false" ht="15" hidden="false" customHeight="false" outlineLevel="0" collapsed="false">
      <c r="A2425" s="31" t="s">
        <v>2575</v>
      </c>
      <c r="B2425" s="44" t="n">
        <v>46238</v>
      </c>
      <c r="C2425" s="31" t="s">
        <v>58</v>
      </c>
      <c r="D2425" s="31" t="s">
        <v>66</v>
      </c>
      <c r="E2425" s="31" t="s">
        <v>51</v>
      </c>
      <c r="F2425" s="31" t="s">
        <v>135</v>
      </c>
      <c r="G2425" s="31" t="n">
        <v>27</v>
      </c>
      <c r="H2425" s="41" t="n">
        <v>6.2</v>
      </c>
      <c r="I2425" s="31" t="s">
        <v>149</v>
      </c>
      <c r="J2425" s="31" t="n">
        <v>5</v>
      </c>
      <c r="K2425" s="31" t="s">
        <v>150</v>
      </c>
      <c r="L2425" s="45" t="n">
        <f aca="false">DATE(YEAR(B2425),MONTH(B2425),1)</f>
        <v>46235</v>
      </c>
      <c r="M2425" s="31" t="n">
        <f aca="false">WEEKDAY(B2425,2)</f>
        <v>2</v>
      </c>
      <c r="N2425" s="31" t="str">
        <f aca="false">IF(G2425&lt;=INDEX(Assumptions!$B$15:$B$18,MATCH(E2425,Assumptions!$A$15:$A$18,0)),"Yes","No")</f>
        <v>Yes</v>
      </c>
      <c r="O2425" s="31" t="str">
        <f aca="false">IF(H2425="","Open",IF(H2425&lt;=INDEX(Assumptions!$C$15:$C$18,MATCH(E2425,Assumptions!$A$15:$A$18,0)),"Yes","No"))</f>
        <v>Yes</v>
      </c>
    </row>
    <row r="2426" customFormat="false" ht="15" hidden="false" customHeight="false" outlineLevel="0" collapsed="false">
      <c r="A2426" s="31" t="s">
        <v>2576</v>
      </c>
      <c r="B2426" s="44" t="n">
        <v>46238</v>
      </c>
      <c r="C2426" s="31" t="s">
        <v>57</v>
      </c>
      <c r="D2426" s="31" t="s">
        <v>66</v>
      </c>
      <c r="E2426" s="31" t="s">
        <v>52</v>
      </c>
      <c r="F2426" s="31" t="s">
        <v>119</v>
      </c>
      <c r="G2426" s="31" t="n">
        <v>2</v>
      </c>
      <c r="H2426" s="41" t="n">
        <v>12.9</v>
      </c>
      <c r="I2426" s="31" t="s">
        <v>149</v>
      </c>
      <c r="J2426" s="31"/>
      <c r="K2426" s="31" t="s">
        <v>150</v>
      </c>
      <c r="L2426" s="45" t="n">
        <f aca="false">DATE(YEAR(B2426),MONTH(B2426),1)</f>
        <v>46235</v>
      </c>
      <c r="M2426" s="31" t="n">
        <f aca="false">WEEKDAY(B2426,2)</f>
        <v>2</v>
      </c>
      <c r="N2426" s="31" t="str">
        <f aca="false">IF(G2426&lt;=INDEX(Assumptions!$B$15:$B$18,MATCH(E2426,Assumptions!$A$15:$A$18,0)),"Yes","No")</f>
        <v>Yes</v>
      </c>
      <c r="O2426" s="31" t="str">
        <f aca="false">IF(H2426="","Open",IF(H2426&lt;=INDEX(Assumptions!$C$15:$C$18,MATCH(E2426,Assumptions!$A$15:$A$18,0)),"Yes","No"))</f>
        <v>Yes</v>
      </c>
    </row>
    <row r="2427" customFormat="false" ht="15" hidden="false" customHeight="false" outlineLevel="0" collapsed="false">
      <c r="A2427" s="31" t="s">
        <v>2577</v>
      </c>
      <c r="B2427" s="44" t="n">
        <v>46238</v>
      </c>
      <c r="C2427" s="31" t="s">
        <v>58</v>
      </c>
      <c r="D2427" s="31" t="s">
        <v>65</v>
      </c>
      <c r="E2427" s="31" t="s">
        <v>52</v>
      </c>
      <c r="F2427" s="31" t="s">
        <v>121</v>
      </c>
      <c r="G2427" s="31" t="n">
        <v>28</v>
      </c>
      <c r="H2427" s="41" t="n">
        <v>6.4</v>
      </c>
      <c r="I2427" s="31" t="s">
        <v>149</v>
      </c>
      <c r="J2427" s="31" t="n">
        <v>4</v>
      </c>
      <c r="K2427" s="31" t="s">
        <v>153</v>
      </c>
      <c r="L2427" s="45" t="n">
        <f aca="false">DATE(YEAR(B2427),MONTH(B2427),1)</f>
        <v>46235</v>
      </c>
      <c r="M2427" s="31" t="n">
        <f aca="false">WEEKDAY(B2427,2)</f>
        <v>2</v>
      </c>
      <c r="N2427" s="31" t="str">
        <f aca="false">IF(G2427&lt;=INDEX(Assumptions!$B$15:$B$18,MATCH(E2427,Assumptions!$A$15:$A$18,0)),"Yes","No")</f>
        <v>Yes</v>
      </c>
      <c r="O2427" s="31" t="str">
        <f aca="false">IF(H2427="","Open",IF(H2427&lt;=INDEX(Assumptions!$C$15:$C$18,MATCH(E2427,Assumptions!$A$15:$A$18,0)),"Yes","No"))</f>
        <v>Yes</v>
      </c>
    </row>
    <row r="2428" customFormat="false" ht="15" hidden="false" customHeight="false" outlineLevel="0" collapsed="false">
      <c r="A2428" s="31" t="s">
        <v>2578</v>
      </c>
      <c r="B2428" s="44" t="n">
        <v>46238</v>
      </c>
      <c r="C2428" s="31" t="s">
        <v>57</v>
      </c>
      <c r="D2428" s="31" t="s">
        <v>67</v>
      </c>
      <c r="E2428" s="31" t="s">
        <v>49</v>
      </c>
      <c r="F2428" s="31" t="s">
        <v>134</v>
      </c>
      <c r="G2428" s="31" t="n">
        <v>3</v>
      </c>
      <c r="H2428" s="41" t="n">
        <v>28.3</v>
      </c>
      <c r="I2428" s="31" t="s">
        <v>149</v>
      </c>
      <c r="J2428" s="31"/>
      <c r="K2428" s="31" t="s">
        <v>150</v>
      </c>
      <c r="L2428" s="45" t="n">
        <f aca="false">DATE(YEAR(B2428),MONTH(B2428),1)</f>
        <v>46235</v>
      </c>
      <c r="M2428" s="31" t="n">
        <f aca="false">WEEKDAY(B2428,2)</f>
        <v>2</v>
      </c>
      <c r="N2428" s="31" t="str">
        <f aca="false">IF(G2428&lt;=INDEX(Assumptions!$B$15:$B$18,MATCH(E2428,Assumptions!$A$15:$A$18,0)),"Yes","No")</f>
        <v>Yes</v>
      </c>
      <c r="O2428" s="31" t="str">
        <f aca="false">IF(H2428="","Open",IF(H2428&lt;=INDEX(Assumptions!$C$15:$C$18,MATCH(E2428,Assumptions!$A$15:$A$18,0)),"Yes","No"))</f>
        <v>No</v>
      </c>
    </row>
    <row r="2429" customFormat="false" ht="15" hidden="false" customHeight="false" outlineLevel="0" collapsed="false">
      <c r="A2429" s="31" t="s">
        <v>2579</v>
      </c>
      <c r="B2429" s="44" t="n">
        <v>46238</v>
      </c>
      <c r="C2429" s="31" t="s">
        <v>57</v>
      </c>
      <c r="D2429" s="31" t="s">
        <v>65</v>
      </c>
      <c r="E2429" s="31" t="s">
        <v>49</v>
      </c>
      <c r="F2429" s="31" t="s">
        <v>119</v>
      </c>
      <c r="G2429" s="31" t="n">
        <v>1</v>
      </c>
      <c r="H2429" s="41"/>
      <c r="I2429" s="31" t="s">
        <v>158</v>
      </c>
      <c r="J2429" s="31"/>
      <c r="K2429" s="31" t="s">
        <v>150</v>
      </c>
      <c r="L2429" s="45" t="n">
        <f aca="false">DATE(YEAR(B2429),MONTH(B2429),1)</f>
        <v>46235</v>
      </c>
      <c r="M2429" s="31" t="n">
        <f aca="false">WEEKDAY(B2429,2)</f>
        <v>2</v>
      </c>
      <c r="N2429" s="31" t="str">
        <f aca="false">IF(G2429&lt;=INDEX(Assumptions!$B$15:$B$18,MATCH(E2429,Assumptions!$A$15:$A$18,0)),"Yes","No")</f>
        <v>Yes</v>
      </c>
      <c r="O2429" s="31" t="str">
        <f aca="false">IF(H2429="","Open",IF(H2429&lt;=INDEX(Assumptions!$C$15:$C$18,MATCH(E2429,Assumptions!$A$15:$A$18,0)),"Yes","No"))</f>
        <v>Open</v>
      </c>
    </row>
    <row r="2430" customFormat="false" ht="15" hidden="false" customHeight="false" outlineLevel="0" collapsed="false">
      <c r="A2430" s="31" t="s">
        <v>2580</v>
      </c>
      <c r="B2430" s="44" t="n">
        <v>46238</v>
      </c>
      <c r="C2430" s="31" t="s">
        <v>60</v>
      </c>
      <c r="D2430" s="31" t="s">
        <v>68</v>
      </c>
      <c r="E2430" s="31" t="s">
        <v>50</v>
      </c>
      <c r="F2430" s="31" t="s">
        <v>120</v>
      </c>
      <c r="G2430" s="31" t="n">
        <v>2</v>
      </c>
      <c r="H2430" s="41" t="n">
        <v>6.3</v>
      </c>
      <c r="I2430" s="31" t="s">
        <v>149</v>
      </c>
      <c r="J2430" s="31"/>
      <c r="K2430" s="31" t="s">
        <v>153</v>
      </c>
      <c r="L2430" s="45" t="n">
        <f aca="false">DATE(YEAR(B2430),MONTH(B2430),1)</f>
        <v>46235</v>
      </c>
      <c r="M2430" s="31" t="n">
        <f aca="false">WEEKDAY(B2430,2)</f>
        <v>2</v>
      </c>
      <c r="N2430" s="31" t="str">
        <f aca="false">IF(G2430&lt;=INDEX(Assumptions!$B$15:$B$18,MATCH(E2430,Assumptions!$A$15:$A$18,0)),"Yes","No")</f>
        <v>Yes</v>
      </c>
      <c r="O2430" s="31" t="str">
        <f aca="false">IF(H2430="","Open",IF(H2430&lt;=INDEX(Assumptions!$C$15:$C$18,MATCH(E2430,Assumptions!$A$15:$A$18,0)),"Yes","No"))</f>
        <v>Yes</v>
      </c>
    </row>
    <row r="2431" customFormat="false" ht="15" hidden="false" customHeight="false" outlineLevel="0" collapsed="false">
      <c r="A2431" s="31" t="s">
        <v>2581</v>
      </c>
      <c r="B2431" s="44" t="n">
        <v>46238</v>
      </c>
      <c r="C2431" s="31" t="s">
        <v>60</v>
      </c>
      <c r="D2431" s="31" t="s">
        <v>69</v>
      </c>
      <c r="E2431" s="31" t="s">
        <v>51</v>
      </c>
      <c r="F2431" s="31" t="s">
        <v>135</v>
      </c>
      <c r="G2431" s="31" t="n">
        <v>3</v>
      </c>
      <c r="H2431" s="41" t="n">
        <v>17.3</v>
      </c>
      <c r="I2431" s="31" t="s">
        <v>149</v>
      </c>
      <c r="J2431" s="31"/>
      <c r="K2431" s="31" t="s">
        <v>150</v>
      </c>
      <c r="L2431" s="45" t="n">
        <f aca="false">DATE(YEAR(B2431),MONTH(B2431),1)</f>
        <v>46235</v>
      </c>
      <c r="M2431" s="31" t="n">
        <f aca="false">WEEKDAY(B2431,2)</f>
        <v>2</v>
      </c>
      <c r="N2431" s="31" t="str">
        <f aca="false">IF(G2431&lt;=INDEX(Assumptions!$B$15:$B$18,MATCH(E2431,Assumptions!$A$15:$A$18,0)),"Yes","No")</f>
        <v>Yes</v>
      </c>
      <c r="O2431" s="31" t="str">
        <f aca="false">IF(H2431="","Open",IF(H2431&lt;=INDEX(Assumptions!$C$15:$C$18,MATCH(E2431,Assumptions!$A$15:$A$18,0)),"Yes","No"))</f>
        <v>Yes</v>
      </c>
    </row>
    <row r="2432" customFormat="false" ht="15" hidden="false" customHeight="false" outlineLevel="0" collapsed="false">
      <c r="A2432" s="31" t="s">
        <v>2582</v>
      </c>
      <c r="B2432" s="44" t="n">
        <v>46238</v>
      </c>
      <c r="C2432" s="31" t="s">
        <v>58</v>
      </c>
      <c r="D2432" s="31" t="s">
        <v>67</v>
      </c>
      <c r="E2432" s="31" t="s">
        <v>52</v>
      </c>
      <c r="F2432" s="31" t="s">
        <v>122</v>
      </c>
      <c r="G2432" s="31" t="n">
        <v>23</v>
      </c>
      <c r="H2432" s="41" t="n">
        <v>11.5</v>
      </c>
      <c r="I2432" s="31" t="s">
        <v>149</v>
      </c>
      <c r="J2432" s="31" t="n">
        <v>5</v>
      </c>
      <c r="K2432" s="31" t="s">
        <v>150</v>
      </c>
      <c r="L2432" s="45" t="n">
        <f aca="false">DATE(YEAR(B2432),MONTH(B2432),1)</f>
        <v>46235</v>
      </c>
      <c r="M2432" s="31" t="n">
        <f aca="false">WEEKDAY(B2432,2)</f>
        <v>2</v>
      </c>
      <c r="N2432" s="31" t="str">
        <f aca="false">IF(G2432&lt;=INDEX(Assumptions!$B$15:$B$18,MATCH(E2432,Assumptions!$A$15:$A$18,0)),"Yes","No")</f>
        <v>Yes</v>
      </c>
      <c r="O2432" s="31" t="str">
        <f aca="false">IF(H2432="","Open",IF(H2432&lt;=INDEX(Assumptions!$C$15:$C$18,MATCH(E2432,Assumptions!$A$15:$A$18,0)),"Yes","No"))</f>
        <v>Yes</v>
      </c>
    </row>
    <row r="2433" customFormat="false" ht="15" hidden="false" customHeight="false" outlineLevel="0" collapsed="false">
      <c r="A2433" s="31" t="s">
        <v>2583</v>
      </c>
      <c r="B2433" s="44" t="n">
        <v>46238</v>
      </c>
      <c r="C2433" s="31" t="s">
        <v>57</v>
      </c>
      <c r="D2433" s="31" t="s">
        <v>65</v>
      </c>
      <c r="E2433" s="31" t="s">
        <v>50</v>
      </c>
      <c r="F2433" s="31" t="s">
        <v>124</v>
      </c>
      <c r="G2433" s="31" t="n">
        <v>1</v>
      </c>
      <c r="H2433" s="41" t="n">
        <v>3.6</v>
      </c>
      <c r="I2433" s="31" t="s">
        <v>149</v>
      </c>
      <c r="J2433" s="31" t="n">
        <v>5</v>
      </c>
      <c r="K2433" s="31" t="s">
        <v>150</v>
      </c>
      <c r="L2433" s="45" t="n">
        <f aca="false">DATE(YEAR(B2433),MONTH(B2433),1)</f>
        <v>46235</v>
      </c>
      <c r="M2433" s="31" t="n">
        <f aca="false">WEEKDAY(B2433,2)</f>
        <v>2</v>
      </c>
      <c r="N2433" s="31" t="str">
        <f aca="false">IF(G2433&lt;=INDEX(Assumptions!$B$15:$B$18,MATCH(E2433,Assumptions!$A$15:$A$18,0)),"Yes","No")</f>
        <v>Yes</v>
      </c>
      <c r="O2433" s="31" t="str">
        <f aca="false">IF(H2433="","Open",IF(H2433&lt;=INDEX(Assumptions!$C$15:$C$18,MATCH(E2433,Assumptions!$A$15:$A$18,0)),"Yes","No"))</f>
        <v>Yes</v>
      </c>
    </row>
    <row r="2434" customFormat="false" ht="15" hidden="false" customHeight="false" outlineLevel="0" collapsed="false">
      <c r="A2434" s="31" t="s">
        <v>2584</v>
      </c>
      <c r="B2434" s="44" t="n">
        <v>46238</v>
      </c>
      <c r="C2434" s="31" t="s">
        <v>60</v>
      </c>
      <c r="D2434" s="31" t="s">
        <v>66</v>
      </c>
      <c r="E2434" s="31" t="s">
        <v>51</v>
      </c>
      <c r="F2434" s="31" t="s">
        <v>127</v>
      </c>
      <c r="G2434" s="31" t="n">
        <v>1</v>
      </c>
      <c r="H2434" s="41" t="n">
        <v>3</v>
      </c>
      <c r="I2434" s="31" t="s">
        <v>64</v>
      </c>
      <c r="J2434" s="31"/>
      <c r="K2434" s="31" t="s">
        <v>153</v>
      </c>
      <c r="L2434" s="45" t="n">
        <f aca="false">DATE(YEAR(B2434),MONTH(B2434),1)</f>
        <v>46235</v>
      </c>
      <c r="M2434" s="31" t="n">
        <f aca="false">WEEKDAY(B2434,2)</f>
        <v>2</v>
      </c>
      <c r="N2434" s="31" t="str">
        <f aca="false">IF(G2434&lt;=INDEX(Assumptions!$B$15:$B$18,MATCH(E2434,Assumptions!$A$15:$A$18,0)),"Yes","No")</f>
        <v>Yes</v>
      </c>
      <c r="O2434" s="31" t="str">
        <f aca="false">IF(H2434="","Open",IF(H2434&lt;=INDEX(Assumptions!$C$15:$C$18,MATCH(E2434,Assumptions!$A$15:$A$18,0)),"Yes","No"))</f>
        <v>Yes</v>
      </c>
    </row>
    <row r="2435" customFormat="false" ht="15" hidden="false" customHeight="false" outlineLevel="0" collapsed="false">
      <c r="A2435" s="31" t="s">
        <v>2585</v>
      </c>
      <c r="B2435" s="44" t="n">
        <v>46238</v>
      </c>
      <c r="C2435" s="31" t="s">
        <v>57</v>
      </c>
      <c r="D2435" s="31" t="s">
        <v>65</v>
      </c>
      <c r="E2435" s="31" t="s">
        <v>52</v>
      </c>
      <c r="F2435" s="31" t="s">
        <v>122</v>
      </c>
      <c r="G2435" s="31" t="n">
        <v>8</v>
      </c>
      <c r="H2435" s="41" t="n">
        <v>27.4</v>
      </c>
      <c r="I2435" s="31" t="s">
        <v>149</v>
      </c>
      <c r="J2435" s="31" t="n">
        <v>5</v>
      </c>
      <c r="K2435" s="31" t="s">
        <v>153</v>
      </c>
      <c r="L2435" s="45" t="n">
        <f aca="false">DATE(YEAR(B2435),MONTH(B2435),1)</f>
        <v>46235</v>
      </c>
      <c r="M2435" s="31" t="n">
        <f aca="false">WEEKDAY(B2435,2)</f>
        <v>2</v>
      </c>
      <c r="N2435" s="31" t="str">
        <f aca="false">IF(G2435&lt;=INDEX(Assumptions!$B$15:$B$18,MATCH(E2435,Assumptions!$A$15:$A$18,0)),"Yes","No")</f>
        <v>Yes</v>
      </c>
      <c r="O2435" s="31" t="str">
        <f aca="false">IF(H2435="","Open",IF(H2435&lt;=INDEX(Assumptions!$C$15:$C$18,MATCH(E2435,Assumptions!$A$15:$A$18,0)),"Yes","No"))</f>
        <v>Yes</v>
      </c>
    </row>
    <row r="2436" customFormat="false" ht="15" hidden="false" customHeight="false" outlineLevel="0" collapsed="false">
      <c r="A2436" s="31" t="s">
        <v>2586</v>
      </c>
      <c r="B2436" s="44" t="n">
        <v>46238</v>
      </c>
      <c r="C2436" s="31" t="s">
        <v>57</v>
      </c>
      <c r="D2436" s="31" t="s">
        <v>66</v>
      </c>
      <c r="E2436" s="31" t="s">
        <v>50</v>
      </c>
      <c r="F2436" s="31" t="s">
        <v>131</v>
      </c>
      <c r="G2436" s="31" t="n">
        <v>4</v>
      </c>
      <c r="H2436" s="41" t="n">
        <v>5.5</v>
      </c>
      <c r="I2436" s="31" t="s">
        <v>149</v>
      </c>
      <c r="J2436" s="31" t="n">
        <v>5</v>
      </c>
      <c r="K2436" s="31" t="s">
        <v>150</v>
      </c>
      <c r="L2436" s="45" t="n">
        <f aca="false">DATE(YEAR(B2436),MONTH(B2436),1)</f>
        <v>46235</v>
      </c>
      <c r="M2436" s="31" t="n">
        <f aca="false">WEEKDAY(B2436,2)</f>
        <v>2</v>
      </c>
      <c r="N2436" s="31" t="str">
        <f aca="false">IF(G2436&lt;=INDEX(Assumptions!$B$15:$B$18,MATCH(E2436,Assumptions!$A$15:$A$18,0)),"Yes","No")</f>
        <v>Yes</v>
      </c>
      <c r="O2436" s="31" t="str">
        <f aca="false">IF(H2436="","Open",IF(H2436&lt;=INDEX(Assumptions!$C$15:$C$18,MATCH(E2436,Assumptions!$A$15:$A$18,0)),"Yes","No"))</f>
        <v>Yes</v>
      </c>
    </row>
    <row r="2437" customFormat="false" ht="15" hidden="false" customHeight="false" outlineLevel="0" collapsed="false">
      <c r="A2437" s="31" t="s">
        <v>2587</v>
      </c>
      <c r="B2437" s="44" t="n">
        <v>46238</v>
      </c>
      <c r="C2437" s="31" t="s">
        <v>58</v>
      </c>
      <c r="D2437" s="31" t="s">
        <v>66</v>
      </c>
      <c r="E2437" s="31" t="s">
        <v>51</v>
      </c>
      <c r="F2437" s="31" t="s">
        <v>123</v>
      </c>
      <c r="G2437" s="31" t="n">
        <v>21</v>
      </c>
      <c r="H2437" s="41" t="n">
        <v>2.2</v>
      </c>
      <c r="I2437" s="31" t="s">
        <v>149</v>
      </c>
      <c r="J2437" s="31" t="n">
        <v>5</v>
      </c>
      <c r="K2437" s="31" t="s">
        <v>150</v>
      </c>
      <c r="L2437" s="45" t="n">
        <f aca="false">DATE(YEAR(B2437),MONTH(B2437),1)</f>
        <v>46235</v>
      </c>
      <c r="M2437" s="31" t="n">
        <f aca="false">WEEKDAY(B2437,2)</f>
        <v>2</v>
      </c>
      <c r="N2437" s="31" t="str">
        <f aca="false">IF(G2437&lt;=INDEX(Assumptions!$B$15:$B$18,MATCH(E2437,Assumptions!$A$15:$A$18,0)),"Yes","No")</f>
        <v>Yes</v>
      </c>
      <c r="O2437" s="31" t="str">
        <f aca="false">IF(H2437="","Open",IF(H2437&lt;=INDEX(Assumptions!$C$15:$C$18,MATCH(E2437,Assumptions!$A$15:$A$18,0)),"Yes","No"))</f>
        <v>Yes</v>
      </c>
    </row>
    <row r="2438" customFormat="false" ht="15" hidden="false" customHeight="false" outlineLevel="0" collapsed="false">
      <c r="A2438" s="31" t="s">
        <v>2588</v>
      </c>
      <c r="B2438" s="44" t="n">
        <v>46238</v>
      </c>
      <c r="C2438" s="31" t="s">
        <v>59</v>
      </c>
      <c r="D2438" s="31" t="s">
        <v>65</v>
      </c>
      <c r="E2438" s="31" t="s">
        <v>52</v>
      </c>
      <c r="F2438" s="31" t="s">
        <v>128</v>
      </c>
      <c r="G2438" s="31" t="n">
        <v>84</v>
      </c>
      <c r="H2438" s="41" t="n">
        <v>15.9</v>
      </c>
      <c r="I2438" s="31" t="s">
        <v>149</v>
      </c>
      <c r="J2438" s="31" t="n">
        <v>4</v>
      </c>
      <c r="K2438" s="31" t="s">
        <v>150</v>
      </c>
      <c r="L2438" s="45" t="n">
        <f aca="false">DATE(YEAR(B2438),MONTH(B2438),1)</f>
        <v>46235</v>
      </c>
      <c r="M2438" s="31" t="n">
        <f aca="false">WEEKDAY(B2438,2)</f>
        <v>2</v>
      </c>
      <c r="N2438" s="31" t="str">
        <f aca="false">IF(G2438&lt;=INDEX(Assumptions!$B$15:$B$18,MATCH(E2438,Assumptions!$A$15:$A$18,0)),"Yes","No")</f>
        <v>Yes</v>
      </c>
      <c r="O2438" s="31" t="str">
        <f aca="false">IF(H2438="","Open",IF(H2438&lt;=INDEX(Assumptions!$C$15:$C$18,MATCH(E2438,Assumptions!$A$15:$A$18,0)),"Yes","No"))</f>
        <v>Yes</v>
      </c>
    </row>
    <row r="2439" customFormat="false" ht="15" hidden="false" customHeight="false" outlineLevel="0" collapsed="false">
      <c r="A2439" s="31" t="s">
        <v>2589</v>
      </c>
      <c r="B2439" s="44" t="n">
        <v>46238</v>
      </c>
      <c r="C2439" s="31" t="s">
        <v>60</v>
      </c>
      <c r="D2439" s="31" t="s">
        <v>67</v>
      </c>
      <c r="E2439" s="31" t="s">
        <v>51</v>
      </c>
      <c r="F2439" s="31" t="s">
        <v>124</v>
      </c>
      <c r="G2439" s="31" t="n">
        <v>2</v>
      </c>
      <c r="H2439" s="41" t="n">
        <v>16.7</v>
      </c>
      <c r="I2439" s="31" t="s">
        <v>149</v>
      </c>
      <c r="J2439" s="31" t="n">
        <v>5</v>
      </c>
      <c r="K2439" s="31" t="s">
        <v>150</v>
      </c>
      <c r="L2439" s="45" t="n">
        <f aca="false">DATE(YEAR(B2439),MONTH(B2439),1)</f>
        <v>46235</v>
      </c>
      <c r="M2439" s="31" t="n">
        <f aca="false">WEEKDAY(B2439,2)</f>
        <v>2</v>
      </c>
      <c r="N2439" s="31" t="str">
        <f aca="false">IF(G2439&lt;=INDEX(Assumptions!$B$15:$B$18,MATCH(E2439,Assumptions!$A$15:$A$18,0)),"Yes","No")</f>
        <v>Yes</v>
      </c>
      <c r="O2439" s="31" t="str">
        <f aca="false">IF(H2439="","Open",IF(H2439&lt;=INDEX(Assumptions!$C$15:$C$18,MATCH(E2439,Assumptions!$A$15:$A$18,0)),"Yes","No"))</f>
        <v>Yes</v>
      </c>
    </row>
    <row r="2440" customFormat="false" ht="15" hidden="false" customHeight="false" outlineLevel="0" collapsed="false">
      <c r="A2440" s="31" t="s">
        <v>2590</v>
      </c>
      <c r="B2440" s="44" t="n">
        <v>46238</v>
      </c>
      <c r="C2440" s="31" t="s">
        <v>57</v>
      </c>
      <c r="D2440" s="31" t="s">
        <v>68</v>
      </c>
      <c r="E2440" s="31" t="s">
        <v>51</v>
      </c>
      <c r="F2440" s="31" t="s">
        <v>137</v>
      </c>
      <c r="G2440" s="31" t="n">
        <v>4</v>
      </c>
      <c r="H2440" s="41" t="n">
        <v>22.1</v>
      </c>
      <c r="I2440" s="31" t="s">
        <v>149</v>
      </c>
      <c r="J2440" s="31" t="n">
        <v>4</v>
      </c>
      <c r="K2440" s="31" t="s">
        <v>150</v>
      </c>
      <c r="L2440" s="45" t="n">
        <f aca="false">DATE(YEAR(B2440),MONTH(B2440),1)</f>
        <v>46235</v>
      </c>
      <c r="M2440" s="31" t="n">
        <f aca="false">WEEKDAY(B2440,2)</f>
        <v>2</v>
      </c>
      <c r="N2440" s="31" t="str">
        <f aca="false">IF(G2440&lt;=INDEX(Assumptions!$B$15:$B$18,MATCH(E2440,Assumptions!$A$15:$A$18,0)),"Yes","No")</f>
        <v>Yes</v>
      </c>
      <c r="O2440" s="31" t="str">
        <f aca="false">IF(H2440="","Open",IF(H2440&lt;=INDEX(Assumptions!$C$15:$C$18,MATCH(E2440,Assumptions!$A$15:$A$18,0)),"Yes","No"))</f>
        <v>Yes</v>
      </c>
    </row>
    <row r="2441" customFormat="false" ht="15" hidden="false" customHeight="false" outlineLevel="0" collapsed="false">
      <c r="A2441" s="31" t="s">
        <v>2591</v>
      </c>
      <c r="B2441" s="44" t="n">
        <v>46238</v>
      </c>
      <c r="C2441" s="31" t="s">
        <v>60</v>
      </c>
      <c r="D2441" s="31" t="s">
        <v>65</v>
      </c>
      <c r="E2441" s="31" t="s">
        <v>51</v>
      </c>
      <c r="F2441" s="31" t="s">
        <v>131</v>
      </c>
      <c r="G2441" s="31" t="n">
        <v>2</v>
      </c>
      <c r="H2441" s="41" t="n">
        <v>14.9</v>
      </c>
      <c r="I2441" s="31" t="s">
        <v>149</v>
      </c>
      <c r="J2441" s="31" t="n">
        <v>5</v>
      </c>
      <c r="K2441" s="31" t="s">
        <v>150</v>
      </c>
      <c r="L2441" s="45" t="n">
        <f aca="false">DATE(YEAR(B2441),MONTH(B2441),1)</f>
        <v>46235</v>
      </c>
      <c r="M2441" s="31" t="n">
        <f aca="false">WEEKDAY(B2441,2)</f>
        <v>2</v>
      </c>
      <c r="N2441" s="31" t="str">
        <f aca="false">IF(G2441&lt;=INDEX(Assumptions!$B$15:$B$18,MATCH(E2441,Assumptions!$A$15:$A$18,0)),"Yes","No")</f>
        <v>Yes</v>
      </c>
      <c r="O2441" s="31" t="str">
        <f aca="false">IF(H2441="","Open",IF(H2441&lt;=INDEX(Assumptions!$C$15:$C$18,MATCH(E2441,Assumptions!$A$15:$A$18,0)),"Yes","No"))</f>
        <v>Yes</v>
      </c>
    </row>
    <row r="2442" customFormat="false" ht="15" hidden="false" customHeight="false" outlineLevel="0" collapsed="false">
      <c r="A2442" s="31" t="s">
        <v>2592</v>
      </c>
      <c r="B2442" s="44" t="n">
        <v>46238</v>
      </c>
      <c r="C2442" s="31" t="s">
        <v>58</v>
      </c>
      <c r="D2442" s="31" t="s">
        <v>68</v>
      </c>
      <c r="E2442" s="31" t="s">
        <v>52</v>
      </c>
      <c r="F2442" s="31" t="s">
        <v>134</v>
      </c>
      <c r="G2442" s="31" t="n">
        <v>15</v>
      </c>
      <c r="H2442" s="41" t="n">
        <v>22.4</v>
      </c>
      <c r="I2442" s="31" t="s">
        <v>149</v>
      </c>
      <c r="J2442" s="31"/>
      <c r="K2442" s="31" t="s">
        <v>150</v>
      </c>
      <c r="L2442" s="45" t="n">
        <f aca="false">DATE(YEAR(B2442),MONTH(B2442),1)</f>
        <v>46235</v>
      </c>
      <c r="M2442" s="31" t="n">
        <f aca="false">WEEKDAY(B2442,2)</f>
        <v>2</v>
      </c>
      <c r="N2442" s="31" t="str">
        <f aca="false">IF(G2442&lt;=INDEX(Assumptions!$B$15:$B$18,MATCH(E2442,Assumptions!$A$15:$A$18,0)),"Yes","No")</f>
        <v>Yes</v>
      </c>
      <c r="O2442" s="31" t="str">
        <f aca="false">IF(H2442="","Open",IF(H2442&lt;=INDEX(Assumptions!$C$15:$C$18,MATCH(E2442,Assumptions!$A$15:$A$18,0)),"Yes","No"))</f>
        <v>Yes</v>
      </c>
    </row>
    <row r="2443" customFormat="false" ht="15" hidden="false" customHeight="false" outlineLevel="0" collapsed="false">
      <c r="A2443" s="31" t="s">
        <v>2593</v>
      </c>
      <c r="B2443" s="44" t="n">
        <v>46238</v>
      </c>
      <c r="C2443" s="31" t="s">
        <v>60</v>
      </c>
      <c r="D2443" s="31" t="s">
        <v>65</v>
      </c>
      <c r="E2443" s="31" t="s">
        <v>52</v>
      </c>
      <c r="F2443" s="31" t="s">
        <v>124</v>
      </c>
      <c r="G2443" s="31" t="n">
        <v>5</v>
      </c>
      <c r="H2443" s="41" t="n">
        <v>5.5</v>
      </c>
      <c r="I2443" s="31" t="s">
        <v>149</v>
      </c>
      <c r="J2443" s="31"/>
      <c r="K2443" s="31" t="s">
        <v>150</v>
      </c>
      <c r="L2443" s="45" t="n">
        <f aca="false">DATE(YEAR(B2443),MONTH(B2443),1)</f>
        <v>46235</v>
      </c>
      <c r="M2443" s="31" t="n">
        <f aca="false">WEEKDAY(B2443,2)</f>
        <v>2</v>
      </c>
      <c r="N2443" s="31" t="str">
        <f aca="false">IF(G2443&lt;=INDEX(Assumptions!$B$15:$B$18,MATCH(E2443,Assumptions!$A$15:$A$18,0)),"Yes","No")</f>
        <v>Yes</v>
      </c>
      <c r="O2443" s="31" t="str">
        <f aca="false">IF(H2443="","Open",IF(H2443&lt;=INDEX(Assumptions!$C$15:$C$18,MATCH(E2443,Assumptions!$A$15:$A$18,0)),"Yes","No"))</f>
        <v>Yes</v>
      </c>
    </row>
    <row r="2444" customFormat="false" ht="15" hidden="false" customHeight="false" outlineLevel="0" collapsed="false">
      <c r="A2444" s="31" t="s">
        <v>2594</v>
      </c>
      <c r="B2444" s="44" t="n">
        <v>46238</v>
      </c>
      <c r="C2444" s="31" t="s">
        <v>60</v>
      </c>
      <c r="D2444" s="31" t="s">
        <v>67</v>
      </c>
      <c r="E2444" s="31" t="s">
        <v>51</v>
      </c>
      <c r="F2444" s="31" t="s">
        <v>124</v>
      </c>
      <c r="G2444" s="31" t="n">
        <v>1</v>
      </c>
      <c r="H2444" s="41" t="n">
        <v>2.9</v>
      </c>
      <c r="I2444" s="31" t="s">
        <v>149</v>
      </c>
      <c r="J2444" s="31" t="n">
        <v>4</v>
      </c>
      <c r="K2444" s="31" t="s">
        <v>150</v>
      </c>
      <c r="L2444" s="45" t="n">
        <f aca="false">DATE(YEAR(B2444),MONTH(B2444),1)</f>
        <v>46235</v>
      </c>
      <c r="M2444" s="31" t="n">
        <f aca="false">WEEKDAY(B2444,2)</f>
        <v>2</v>
      </c>
      <c r="N2444" s="31" t="str">
        <f aca="false">IF(G2444&lt;=INDEX(Assumptions!$B$15:$B$18,MATCH(E2444,Assumptions!$A$15:$A$18,0)),"Yes","No")</f>
        <v>Yes</v>
      </c>
      <c r="O2444" s="31" t="str">
        <f aca="false">IF(H2444="","Open",IF(H2444&lt;=INDEX(Assumptions!$C$15:$C$18,MATCH(E2444,Assumptions!$A$15:$A$18,0)),"Yes","No"))</f>
        <v>Yes</v>
      </c>
    </row>
    <row r="2445" customFormat="false" ht="15" hidden="false" customHeight="false" outlineLevel="0" collapsed="false">
      <c r="A2445" s="31" t="s">
        <v>2595</v>
      </c>
      <c r="B2445" s="44" t="n">
        <v>46238</v>
      </c>
      <c r="C2445" s="31" t="s">
        <v>58</v>
      </c>
      <c r="D2445" s="31" t="s">
        <v>66</v>
      </c>
      <c r="E2445" s="31" t="s">
        <v>51</v>
      </c>
      <c r="F2445" s="31" t="s">
        <v>137</v>
      </c>
      <c r="G2445" s="31" t="n">
        <v>9</v>
      </c>
      <c r="H2445" s="41" t="n">
        <v>3.4</v>
      </c>
      <c r="I2445" s="31" t="s">
        <v>149</v>
      </c>
      <c r="J2445" s="31"/>
      <c r="K2445" s="31" t="s">
        <v>150</v>
      </c>
      <c r="L2445" s="45" t="n">
        <f aca="false">DATE(YEAR(B2445),MONTH(B2445),1)</f>
        <v>46235</v>
      </c>
      <c r="M2445" s="31" t="n">
        <f aca="false">WEEKDAY(B2445,2)</f>
        <v>2</v>
      </c>
      <c r="N2445" s="31" t="str">
        <f aca="false">IF(G2445&lt;=INDEX(Assumptions!$B$15:$B$18,MATCH(E2445,Assumptions!$A$15:$A$18,0)),"Yes","No")</f>
        <v>Yes</v>
      </c>
      <c r="O2445" s="31" t="str">
        <f aca="false">IF(H2445="","Open",IF(H2445&lt;=INDEX(Assumptions!$C$15:$C$18,MATCH(E2445,Assumptions!$A$15:$A$18,0)),"Yes","No"))</f>
        <v>Yes</v>
      </c>
    </row>
    <row r="2446" customFormat="false" ht="15" hidden="false" customHeight="false" outlineLevel="0" collapsed="false">
      <c r="A2446" s="31" t="s">
        <v>2596</v>
      </c>
      <c r="B2446" s="44" t="n">
        <v>46238</v>
      </c>
      <c r="C2446" s="31" t="s">
        <v>57</v>
      </c>
      <c r="D2446" s="31" t="s">
        <v>66</v>
      </c>
      <c r="E2446" s="31" t="s">
        <v>51</v>
      </c>
      <c r="F2446" s="31" t="s">
        <v>133</v>
      </c>
      <c r="G2446" s="31" t="n">
        <v>1</v>
      </c>
      <c r="H2446" s="41" t="n">
        <v>3.5</v>
      </c>
      <c r="I2446" s="31" t="s">
        <v>149</v>
      </c>
      <c r="J2446" s="31"/>
      <c r="K2446" s="31" t="s">
        <v>150</v>
      </c>
      <c r="L2446" s="45" t="n">
        <f aca="false">DATE(YEAR(B2446),MONTH(B2446),1)</f>
        <v>46235</v>
      </c>
      <c r="M2446" s="31" t="n">
        <f aca="false">WEEKDAY(B2446,2)</f>
        <v>2</v>
      </c>
      <c r="N2446" s="31" t="str">
        <f aca="false">IF(G2446&lt;=INDEX(Assumptions!$B$15:$B$18,MATCH(E2446,Assumptions!$A$15:$A$18,0)),"Yes","No")</f>
        <v>Yes</v>
      </c>
      <c r="O2446" s="31" t="str">
        <f aca="false">IF(H2446="","Open",IF(H2446&lt;=INDEX(Assumptions!$C$15:$C$18,MATCH(E2446,Assumptions!$A$15:$A$18,0)),"Yes","No"))</f>
        <v>Yes</v>
      </c>
    </row>
    <row r="2447" customFormat="false" ht="15" hidden="false" customHeight="false" outlineLevel="0" collapsed="false">
      <c r="A2447" s="31" t="s">
        <v>2597</v>
      </c>
      <c r="B2447" s="44" t="n">
        <v>46238</v>
      </c>
      <c r="C2447" s="31" t="s">
        <v>57</v>
      </c>
      <c r="D2447" s="31" t="s">
        <v>67</v>
      </c>
      <c r="E2447" s="31" t="s">
        <v>52</v>
      </c>
      <c r="F2447" s="31" t="s">
        <v>134</v>
      </c>
      <c r="G2447" s="31" t="n">
        <v>2</v>
      </c>
      <c r="H2447" s="41" t="n">
        <v>105.2</v>
      </c>
      <c r="I2447" s="31" t="s">
        <v>149</v>
      </c>
      <c r="J2447" s="31" t="n">
        <v>3</v>
      </c>
      <c r="K2447" s="31" t="s">
        <v>150</v>
      </c>
      <c r="L2447" s="45" t="n">
        <f aca="false">DATE(YEAR(B2447),MONTH(B2447),1)</f>
        <v>46235</v>
      </c>
      <c r="M2447" s="31" t="n">
        <f aca="false">WEEKDAY(B2447,2)</f>
        <v>2</v>
      </c>
      <c r="N2447" s="31" t="str">
        <f aca="false">IF(G2447&lt;=INDEX(Assumptions!$B$15:$B$18,MATCH(E2447,Assumptions!$A$15:$A$18,0)),"Yes","No")</f>
        <v>Yes</v>
      </c>
      <c r="O2447" s="31" t="str">
        <f aca="false">IF(H2447="","Open",IF(H2447&lt;=INDEX(Assumptions!$C$15:$C$18,MATCH(E2447,Assumptions!$A$15:$A$18,0)),"Yes","No"))</f>
        <v>No</v>
      </c>
    </row>
    <row r="2448" customFormat="false" ht="15" hidden="false" customHeight="false" outlineLevel="0" collapsed="false">
      <c r="A2448" s="31" t="s">
        <v>2598</v>
      </c>
      <c r="B2448" s="44" t="n">
        <v>46238</v>
      </c>
      <c r="C2448" s="31" t="s">
        <v>59</v>
      </c>
      <c r="D2448" s="31" t="s">
        <v>69</v>
      </c>
      <c r="E2448" s="31" t="s">
        <v>52</v>
      </c>
      <c r="F2448" s="31" t="s">
        <v>133</v>
      </c>
      <c r="G2448" s="31" t="n">
        <v>62</v>
      </c>
      <c r="H2448" s="41" t="n">
        <v>57.6</v>
      </c>
      <c r="I2448" s="31" t="s">
        <v>149</v>
      </c>
      <c r="J2448" s="31" t="n">
        <v>4</v>
      </c>
      <c r="K2448" s="31" t="s">
        <v>150</v>
      </c>
      <c r="L2448" s="45" t="n">
        <f aca="false">DATE(YEAR(B2448),MONTH(B2448),1)</f>
        <v>46235</v>
      </c>
      <c r="M2448" s="31" t="n">
        <f aca="false">WEEKDAY(B2448,2)</f>
        <v>2</v>
      </c>
      <c r="N2448" s="31" t="str">
        <f aca="false">IF(G2448&lt;=INDEX(Assumptions!$B$15:$B$18,MATCH(E2448,Assumptions!$A$15:$A$18,0)),"Yes","No")</f>
        <v>Yes</v>
      </c>
      <c r="O2448" s="31" t="str">
        <f aca="false">IF(H2448="","Open",IF(H2448&lt;=INDEX(Assumptions!$C$15:$C$18,MATCH(E2448,Assumptions!$A$15:$A$18,0)),"Yes","No"))</f>
        <v>Yes</v>
      </c>
    </row>
    <row r="2449" customFormat="false" ht="15" hidden="false" customHeight="false" outlineLevel="0" collapsed="false">
      <c r="A2449" s="31" t="s">
        <v>2599</v>
      </c>
      <c r="B2449" s="44" t="n">
        <v>46238</v>
      </c>
      <c r="C2449" s="31" t="s">
        <v>60</v>
      </c>
      <c r="D2449" s="31" t="s">
        <v>65</v>
      </c>
      <c r="E2449" s="31" t="s">
        <v>51</v>
      </c>
      <c r="F2449" s="31" t="s">
        <v>120</v>
      </c>
      <c r="G2449" s="31" t="n">
        <v>5</v>
      </c>
      <c r="H2449" s="41" t="n">
        <v>20.6</v>
      </c>
      <c r="I2449" s="31" t="s">
        <v>149</v>
      </c>
      <c r="J2449" s="31" t="n">
        <v>3</v>
      </c>
      <c r="K2449" s="31" t="s">
        <v>150</v>
      </c>
      <c r="L2449" s="45" t="n">
        <f aca="false">DATE(YEAR(B2449),MONTH(B2449),1)</f>
        <v>46235</v>
      </c>
      <c r="M2449" s="31" t="n">
        <f aca="false">WEEKDAY(B2449,2)</f>
        <v>2</v>
      </c>
      <c r="N2449" s="31" t="str">
        <f aca="false">IF(G2449&lt;=INDEX(Assumptions!$B$15:$B$18,MATCH(E2449,Assumptions!$A$15:$A$18,0)),"Yes","No")</f>
        <v>Yes</v>
      </c>
      <c r="O2449" s="31" t="str">
        <f aca="false">IF(H2449="","Open",IF(H2449&lt;=INDEX(Assumptions!$C$15:$C$18,MATCH(E2449,Assumptions!$A$15:$A$18,0)),"Yes","No"))</f>
        <v>Yes</v>
      </c>
    </row>
    <row r="2450" customFormat="false" ht="15" hidden="false" customHeight="false" outlineLevel="0" collapsed="false">
      <c r="A2450" s="31" t="s">
        <v>2600</v>
      </c>
      <c r="B2450" s="44" t="n">
        <v>46238</v>
      </c>
      <c r="C2450" s="31" t="s">
        <v>58</v>
      </c>
      <c r="D2450" s="31" t="s">
        <v>67</v>
      </c>
      <c r="E2450" s="31" t="s">
        <v>51</v>
      </c>
      <c r="F2450" s="31" t="s">
        <v>126</v>
      </c>
      <c r="G2450" s="31" t="n">
        <v>7</v>
      </c>
      <c r="H2450" s="41" t="n">
        <v>14.4</v>
      </c>
      <c r="I2450" s="31" t="s">
        <v>149</v>
      </c>
      <c r="J2450" s="31" t="n">
        <v>4</v>
      </c>
      <c r="K2450" s="31" t="s">
        <v>153</v>
      </c>
      <c r="L2450" s="45" t="n">
        <f aca="false">DATE(YEAR(B2450),MONTH(B2450),1)</f>
        <v>46235</v>
      </c>
      <c r="M2450" s="31" t="n">
        <f aca="false">WEEKDAY(B2450,2)</f>
        <v>2</v>
      </c>
      <c r="N2450" s="31" t="str">
        <f aca="false">IF(G2450&lt;=INDEX(Assumptions!$B$15:$B$18,MATCH(E2450,Assumptions!$A$15:$A$18,0)),"Yes","No")</f>
        <v>Yes</v>
      </c>
      <c r="O2450" s="31" t="str">
        <f aca="false">IF(H2450="","Open",IF(H2450&lt;=INDEX(Assumptions!$C$15:$C$18,MATCH(E2450,Assumptions!$A$15:$A$18,0)),"Yes","No"))</f>
        <v>Yes</v>
      </c>
    </row>
    <row r="2451" customFormat="false" ht="15" hidden="false" customHeight="false" outlineLevel="0" collapsed="false">
      <c r="A2451" s="31" t="s">
        <v>2601</v>
      </c>
      <c r="B2451" s="44" t="n">
        <v>46238</v>
      </c>
      <c r="C2451" s="31" t="s">
        <v>59</v>
      </c>
      <c r="D2451" s="31" t="s">
        <v>65</v>
      </c>
      <c r="E2451" s="31" t="s">
        <v>51</v>
      </c>
      <c r="F2451" s="31" t="s">
        <v>135</v>
      </c>
      <c r="G2451" s="31" t="n">
        <v>110</v>
      </c>
      <c r="H2451" s="41" t="n">
        <v>16.2</v>
      </c>
      <c r="I2451" s="31" t="s">
        <v>149</v>
      </c>
      <c r="J2451" s="31" t="n">
        <v>3</v>
      </c>
      <c r="K2451" s="31" t="s">
        <v>150</v>
      </c>
      <c r="L2451" s="45" t="n">
        <f aca="false">DATE(YEAR(B2451),MONTH(B2451),1)</f>
        <v>46235</v>
      </c>
      <c r="M2451" s="31" t="n">
        <f aca="false">WEEKDAY(B2451,2)</f>
        <v>2</v>
      </c>
      <c r="N2451" s="31" t="str">
        <f aca="false">IF(G2451&lt;=INDEX(Assumptions!$B$15:$B$18,MATCH(E2451,Assumptions!$A$15:$A$18,0)),"Yes","No")</f>
        <v>No</v>
      </c>
      <c r="O2451" s="31" t="str">
        <f aca="false">IF(H2451="","Open",IF(H2451&lt;=INDEX(Assumptions!$C$15:$C$18,MATCH(E2451,Assumptions!$A$15:$A$18,0)),"Yes","No"))</f>
        <v>Yes</v>
      </c>
    </row>
    <row r="2452" customFormat="false" ht="15" hidden="false" customHeight="false" outlineLevel="0" collapsed="false">
      <c r="A2452" s="31" t="s">
        <v>2602</v>
      </c>
      <c r="B2452" s="44" t="n">
        <v>46238</v>
      </c>
      <c r="C2452" s="31" t="s">
        <v>57</v>
      </c>
      <c r="D2452" s="31" t="s">
        <v>65</v>
      </c>
      <c r="E2452" s="31" t="s">
        <v>49</v>
      </c>
      <c r="F2452" s="31" t="s">
        <v>117</v>
      </c>
      <c r="G2452" s="31" t="n">
        <v>3</v>
      </c>
      <c r="H2452" s="41" t="n">
        <v>3.5</v>
      </c>
      <c r="I2452" s="31" t="s">
        <v>149</v>
      </c>
      <c r="J2452" s="31" t="n">
        <v>5</v>
      </c>
      <c r="K2452" s="31" t="s">
        <v>150</v>
      </c>
      <c r="L2452" s="45" t="n">
        <f aca="false">DATE(YEAR(B2452),MONTH(B2452),1)</f>
        <v>46235</v>
      </c>
      <c r="M2452" s="31" t="n">
        <f aca="false">WEEKDAY(B2452,2)</f>
        <v>2</v>
      </c>
      <c r="N2452" s="31" t="str">
        <f aca="false">IF(G2452&lt;=INDEX(Assumptions!$B$15:$B$18,MATCH(E2452,Assumptions!$A$15:$A$18,0)),"Yes","No")</f>
        <v>Yes</v>
      </c>
      <c r="O2452" s="31" t="str">
        <f aca="false">IF(H2452="","Open",IF(H2452&lt;=INDEX(Assumptions!$C$15:$C$18,MATCH(E2452,Assumptions!$A$15:$A$18,0)),"Yes","No"))</f>
        <v>Yes</v>
      </c>
    </row>
    <row r="2453" customFormat="false" ht="15" hidden="false" customHeight="false" outlineLevel="0" collapsed="false">
      <c r="A2453" s="31" t="s">
        <v>2603</v>
      </c>
      <c r="B2453" s="44" t="n">
        <v>46238</v>
      </c>
      <c r="C2453" s="31" t="s">
        <v>60</v>
      </c>
      <c r="D2453" s="31" t="s">
        <v>66</v>
      </c>
      <c r="E2453" s="31" t="s">
        <v>51</v>
      </c>
      <c r="F2453" s="31" t="s">
        <v>134</v>
      </c>
      <c r="G2453" s="31" t="n">
        <v>3</v>
      </c>
      <c r="H2453" s="41" t="n">
        <v>3</v>
      </c>
      <c r="I2453" s="31" t="s">
        <v>149</v>
      </c>
      <c r="J2453" s="31" t="n">
        <v>3</v>
      </c>
      <c r="K2453" s="31" t="s">
        <v>150</v>
      </c>
      <c r="L2453" s="45" t="n">
        <f aca="false">DATE(YEAR(B2453),MONTH(B2453),1)</f>
        <v>46235</v>
      </c>
      <c r="M2453" s="31" t="n">
        <f aca="false">WEEKDAY(B2453,2)</f>
        <v>2</v>
      </c>
      <c r="N2453" s="31" t="str">
        <f aca="false">IF(G2453&lt;=INDEX(Assumptions!$B$15:$B$18,MATCH(E2453,Assumptions!$A$15:$A$18,0)),"Yes","No")</f>
        <v>Yes</v>
      </c>
      <c r="O2453" s="31" t="str">
        <f aca="false">IF(H2453="","Open",IF(H2453&lt;=INDEX(Assumptions!$C$15:$C$18,MATCH(E2453,Assumptions!$A$15:$A$18,0)),"Yes","No"))</f>
        <v>Yes</v>
      </c>
    </row>
    <row r="2454" customFormat="false" ht="15" hidden="false" customHeight="false" outlineLevel="0" collapsed="false">
      <c r="A2454" s="31" t="s">
        <v>2604</v>
      </c>
      <c r="B2454" s="44" t="n">
        <v>46238</v>
      </c>
      <c r="C2454" s="31" t="s">
        <v>57</v>
      </c>
      <c r="D2454" s="31" t="s">
        <v>67</v>
      </c>
      <c r="E2454" s="31" t="s">
        <v>50</v>
      </c>
      <c r="F2454" s="31" t="s">
        <v>124</v>
      </c>
      <c r="G2454" s="31" t="n">
        <v>5</v>
      </c>
      <c r="H2454" s="41" t="n">
        <v>3</v>
      </c>
      <c r="I2454" s="31" t="s">
        <v>149</v>
      </c>
      <c r="J2454" s="31" t="n">
        <v>5</v>
      </c>
      <c r="K2454" s="31" t="s">
        <v>150</v>
      </c>
      <c r="L2454" s="45" t="n">
        <f aca="false">DATE(YEAR(B2454),MONTH(B2454),1)</f>
        <v>46235</v>
      </c>
      <c r="M2454" s="31" t="n">
        <f aca="false">WEEKDAY(B2454,2)</f>
        <v>2</v>
      </c>
      <c r="N2454" s="31" t="str">
        <f aca="false">IF(G2454&lt;=INDEX(Assumptions!$B$15:$B$18,MATCH(E2454,Assumptions!$A$15:$A$18,0)),"Yes","No")</f>
        <v>Yes</v>
      </c>
      <c r="O2454" s="31" t="str">
        <f aca="false">IF(H2454="","Open",IF(H2454&lt;=INDEX(Assumptions!$C$15:$C$18,MATCH(E2454,Assumptions!$A$15:$A$18,0)),"Yes","No"))</f>
        <v>Yes</v>
      </c>
    </row>
    <row r="2455" customFormat="false" ht="15" hidden="false" customHeight="false" outlineLevel="0" collapsed="false">
      <c r="A2455" s="31" t="s">
        <v>2605</v>
      </c>
      <c r="B2455" s="44" t="n">
        <v>46238</v>
      </c>
      <c r="C2455" s="31" t="s">
        <v>60</v>
      </c>
      <c r="D2455" s="31" t="s">
        <v>67</v>
      </c>
      <c r="E2455" s="31" t="s">
        <v>51</v>
      </c>
      <c r="F2455" s="31" t="s">
        <v>122</v>
      </c>
      <c r="G2455" s="31" t="n">
        <v>1</v>
      </c>
      <c r="H2455" s="41" t="n">
        <v>24</v>
      </c>
      <c r="I2455" s="31" t="s">
        <v>149</v>
      </c>
      <c r="J2455" s="31" t="n">
        <v>5</v>
      </c>
      <c r="K2455" s="31" t="s">
        <v>150</v>
      </c>
      <c r="L2455" s="45" t="n">
        <f aca="false">DATE(YEAR(B2455),MONTH(B2455),1)</f>
        <v>46235</v>
      </c>
      <c r="M2455" s="31" t="n">
        <f aca="false">WEEKDAY(B2455,2)</f>
        <v>2</v>
      </c>
      <c r="N2455" s="31" t="str">
        <f aca="false">IF(G2455&lt;=INDEX(Assumptions!$B$15:$B$18,MATCH(E2455,Assumptions!$A$15:$A$18,0)),"Yes","No")</f>
        <v>Yes</v>
      </c>
      <c r="O2455" s="31" t="str">
        <f aca="false">IF(H2455="","Open",IF(H2455&lt;=INDEX(Assumptions!$C$15:$C$18,MATCH(E2455,Assumptions!$A$15:$A$18,0)),"Yes","No"))</f>
        <v>Yes</v>
      </c>
    </row>
    <row r="2456" customFormat="false" ht="15" hidden="false" customHeight="false" outlineLevel="0" collapsed="false">
      <c r="A2456" s="31" t="s">
        <v>2606</v>
      </c>
      <c r="B2456" s="44" t="n">
        <v>46238</v>
      </c>
      <c r="C2456" s="31" t="s">
        <v>60</v>
      </c>
      <c r="D2456" s="31" t="s">
        <v>67</v>
      </c>
      <c r="E2456" s="31" t="s">
        <v>51</v>
      </c>
      <c r="F2456" s="31" t="s">
        <v>131</v>
      </c>
      <c r="G2456" s="31" t="n">
        <v>2</v>
      </c>
      <c r="H2456" s="41" t="n">
        <v>5</v>
      </c>
      <c r="I2456" s="31" t="s">
        <v>149</v>
      </c>
      <c r="J2456" s="31" t="n">
        <v>5</v>
      </c>
      <c r="K2456" s="31" t="s">
        <v>150</v>
      </c>
      <c r="L2456" s="45" t="n">
        <f aca="false">DATE(YEAR(B2456),MONTH(B2456),1)</f>
        <v>46235</v>
      </c>
      <c r="M2456" s="31" t="n">
        <f aca="false">WEEKDAY(B2456,2)</f>
        <v>2</v>
      </c>
      <c r="N2456" s="31" t="str">
        <f aca="false">IF(G2456&lt;=INDEX(Assumptions!$B$15:$B$18,MATCH(E2456,Assumptions!$A$15:$A$18,0)),"Yes","No")</f>
        <v>Yes</v>
      </c>
      <c r="O2456" s="31" t="str">
        <f aca="false">IF(H2456="","Open",IF(H2456&lt;=INDEX(Assumptions!$C$15:$C$18,MATCH(E2456,Assumptions!$A$15:$A$18,0)),"Yes","No"))</f>
        <v>Yes</v>
      </c>
    </row>
    <row r="2457" customFormat="false" ht="15" hidden="false" customHeight="false" outlineLevel="0" collapsed="false">
      <c r="A2457" s="31" t="s">
        <v>2607</v>
      </c>
      <c r="B2457" s="44" t="n">
        <v>46238</v>
      </c>
      <c r="C2457" s="31" t="s">
        <v>60</v>
      </c>
      <c r="D2457" s="31" t="s">
        <v>69</v>
      </c>
      <c r="E2457" s="31" t="s">
        <v>52</v>
      </c>
      <c r="F2457" s="31" t="s">
        <v>121</v>
      </c>
      <c r="G2457" s="31" t="n">
        <v>3</v>
      </c>
      <c r="H2457" s="41" t="n">
        <v>91.2</v>
      </c>
      <c r="I2457" s="31" t="s">
        <v>149</v>
      </c>
      <c r="J2457" s="31"/>
      <c r="K2457" s="31" t="s">
        <v>150</v>
      </c>
      <c r="L2457" s="45" t="n">
        <f aca="false">DATE(YEAR(B2457),MONTH(B2457),1)</f>
        <v>46235</v>
      </c>
      <c r="M2457" s="31" t="n">
        <f aca="false">WEEKDAY(B2457,2)</f>
        <v>2</v>
      </c>
      <c r="N2457" s="31" t="str">
        <f aca="false">IF(G2457&lt;=INDEX(Assumptions!$B$15:$B$18,MATCH(E2457,Assumptions!$A$15:$A$18,0)),"Yes","No")</f>
        <v>Yes</v>
      </c>
      <c r="O2457" s="31" t="str">
        <f aca="false">IF(H2457="","Open",IF(H2457&lt;=INDEX(Assumptions!$C$15:$C$18,MATCH(E2457,Assumptions!$A$15:$A$18,0)),"Yes","No"))</f>
        <v>No</v>
      </c>
    </row>
    <row r="2458" customFormat="false" ht="15" hidden="false" customHeight="false" outlineLevel="0" collapsed="false">
      <c r="A2458" s="31" t="s">
        <v>2608</v>
      </c>
      <c r="B2458" s="44" t="n">
        <v>46238</v>
      </c>
      <c r="C2458" s="31" t="s">
        <v>59</v>
      </c>
      <c r="D2458" s="31" t="s">
        <v>65</v>
      </c>
      <c r="E2458" s="31" t="s">
        <v>50</v>
      </c>
      <c r="F2458" s="31" t="s">
        <v>121</v>
      </c>
      <c r="G2458" s="31" t="n">
        <v>45</v>
      </c>
      <c r="H2458" s="41" t="n">
        <v>10.4</v>
      </c>
      <c r="I2458" s="31" t="s">
        <v>149</v>
      </c>
      <c r="J2458" s="31" t="n">
        <v>3</v>
      </c>
      <c r="K2458" s="31" t="s">
        <v>150</v>
      </c>
      <c r="L2458" s="45" t="n">
        <f aca="false">DATE(YEAR(B2458),MONTH(B2458),1)</f>
        <v>46235</v>
      </c>
      <c r="M2458" s="31" t="n">
        <f aca="false">WEEKDAY(B2458,2)</f>
        <v>2</v>
      </c>
      <c r="N2458" s="31" t="str">
        <f aca="false">IF(G2458&lt;=INDEX(Assumptions!$B$15:$B$18,MATCH(E2458,Assumptions!$A$15:$A$18,0)),"Yes","No")</f>
        <v>No</v>
      </c>
      <c r="O2458" s="31" t="str">
        <f aca="false">IF(H2458="","Open",IF(H2458&lt;=INDEX(Assumptions!$C$15:$C$18,MATCH(E2458,Assumptions!$A$15:$A$18,0)),"Yes","No"))</f>
        <v>No</v>
      </c>
    </row>
    <row r="2459" customFormat="false" ht="15" hidden="false" customHeight="false" outlineLevel="0" collapsed="false">
      <c r="A2459" s="31" t="s">
        <v>2609</v>
      </c>
      <c r="B2459" s="44" t="n">
        <v>46238</v>
      </c>
      <c r="C2459" s="31" t="s">
        <v>58</v>
      </c>
      <c r="D2459" s="31" t="s">
        <v>67</v>
      </c>
      <c r="E2459" s="31" t="s">
        <v>49</v>
      </c>
      <c r="F2459" s="31" t="s">
        <v>126</v>
      </c>
      <c r="G2459" s="31" t="n">
        <v>10</v>
      </c>
      <c r="H2459" s="41" t="n">
        <v>11.8</v>
      </c>
      <c r="I2459" s="31" t="s">
        <v>149</v>
      </c>
      <c r="J2459" s="31"/>
      <c r="K2459" s="31" t="s">
        <v>150</v>
      </c>
      <c r="L2459" s="45" t="n">
        <f aca="false">DATE(YEAR(B2459),MONTH(B2459),1)</f>
        <v>46235</v>
      </c>
      <c r="M2459" s="31" t="n">
        <f aca="false">WEEKDAY(B2459,2)</f>
        <v>2</v>
      </c>
      <c r="N2459" s="31" t="str">
        <f aca="false">IF(G2459&lt;=INDEX(Assumptions!$B$15:$B$18,MATCH(E2459,Assumptions!$A$15:$A$18,0)),"Yes","No")</f>
        <v>Yes</v>
      </c>
      <c r="O2459" s="31" t="str">
        <f aca="false">IF(H2459="","Open",IF(H2459&lt;=INDEX(Assumptions!$C$15:$C$18,MATCH(E2459,Assumptions!$A$15:$A$18,0)),"Yes","No"))</f>
        <v>No</v>
      </c>
    </row>
    <row r="2460" customFormat="false" ht="15" hidden="false" customHeight="false" outlineLevel="0" collapsed="false">
      <c r="A2460" s="31" t="s">
        <v>2610</v>
      </c>
      <c r="B2460" s="44" t="n">
        <v>46238</v>
      </c>
      <c r="C2460" s="31" t="s">
        <v>60</v>
      </c>
      <c r="D2460" s="31" t="s">
        <v>65</v>
      </c>
      <c r="E2460" s="31" t="s">
        <v>51</v>
      </c>
      <c r="F2460" s="31" t="s">
        <v>126</v>
      </c>
      <c r="G2460" s="31" t="n">
        <v>3</v>
      </c>
      <c r="H2460" s="41" t="n">
        <v>3.9</v>
      </c>
      <c r="I2460" s="31" t="s">
        <v>149</v>
      </c>
      <c r="J2460" s="31"/>
      <c r="K2460" s="31" t="s">
        <v>150</v>
      </c>
      <c r="L2460" s="45" t="n">
        <f aca="false">DATE(YEAR(B2460),MONTH(B2460),1)</f>
        <v>46235</v>
      </c>
      <c r="M2460" s="31" t="n">
        <f aca="false">WEEKDAY(B2460,2)</f>
        <v>2</v>
      </c>
      <c r="N2460" s="31" t="str">
        <f aca="false">IF(G2460&lt;=INDEX(Assumptions!$B$15:$B$18,MATCH(E2460,Assumptions!$A$15:$A$18,0)),"Yes","No")</f>
        <v>Yes</v>
      </c>
      <c r="O2460" s="31" t="str">
        <f aca="false">IF(H2460="","Open",IF(H2460&lt;=INDEX(Assumptions!$C$15:$C$18,MATCH(E2460,Assumptions!$A$15:$A$18,0)),"Yes","No"))</f>
        <v>Yes</v>
      </c>
    </row>
    <row r="2461" customFormat="false" ht="15" hidden="false" customHeight="false" outlineLevel="0" collapsed="false">
      <c r="A2461" s="31" t="s">
        <v>2611</v>
      </c>
      <c r="B2461" s="44" t="n">
        <v>46238</v>
      </c>
      <c r="C2461" s="31" t="s">
        <v>58</v>
      </c>
      <c r="D2461" s="31" t="s">
        <v>66</v>
      </c>
      <c r="E2461" s="31" t="s">
        <v>51</v>
      </c>
      <c r="F2461" s="31" t="s">
        <v>137</v>
      </c>
      <c r="G2461" s="31" t="n">
        <v>13</v>
      </c>
      <c r="H2461" s="41" t="n">
        <v>5.6</v>
      </c>
      <c r="I2461" s="31" t="s">
        <v>149</v>
      </c>
      <c r="J2461" s="31"/>
      <c r="K2461" s="31" t="s">
        <v>150</v>
      </c>
      <c r="L2461" s="45" t="n">
        <f aca="false">DATE(YEAR(B2461),MONTH(B2461),1)</f>
        <v>46235</v>
      </c>
      <c r="M2461" s="31" t="n">
        <f aca="false">WEEKDAY(B2461,2)</f>
        <v>2</v>
      </c>
      <c r="N2461" s="31" t="str">
        <f aca="false">IF(G2461&lt;=INDEX(Assumptions!$B$15:$B$18,MATCH(E2461,Assumptions!$A$15:$A$18,0)),"Yes","No")</f>
        <v>Yes</v>
      </c>
      <c r="O2461" s="31" t="str">
        <f aca="false">IF(H2461="","Open",IF(H2461&lt;=INDEX(Assumptions!$C$15:$C$18,MATCH(E2461,Assumptions!$A$15:$A$18,0)),"Yes","No"))</f>
        <v>Yes</v>
      </c>
    </row>
    <row r="2462" customFormat="false" ht="15" hidden="false" customHeight="false" outlineLevel="0" collapsed="false">
      <c r="A2462" s="31" t="s">
        <v>2612</v>
      </c>
      <c r="B2462" s="44" t="n">
        <v>46238</v>
      </c>
      <c r="C2462" s="31" t="s">
        <v>57</v>
      </c>
      <c r="D2462" s="31" t="s">
        <v>65</v>
      </c>
      <c r="E2462" s="31" t="s">
        <v>50</v>
      </c>
      <c r="F2462" s="31" t="s">
        <v>127</v>
      </c>
      <c r="G2462" s="31" t="n">
        <v>3</v>
      </c>
      <c r="H2462" s="41" t="n">
        <v>1.8</v>
      </c>
      <c r="I2462" s="31" t="s">
        <v>149</v>
      </c>
      <c r="J2462" s="31"/>
      <c r="K2462" s="31" t="s">
        <v>150</v>
      </c>
      <c r="L2462" s="45" t="n">
        <f aca="false">DATE(YEAR(B2462),MONTH(B2462),1)</f>
        <v>46235</v>
      </c>
      <c r="M2462" s="31" t="n">
        <f aca="false">WEEKDAY(B2462,2)</f>
        <v>2</v>
      </c>
      <c r="N2462" s="31" t="str">
        <f aca="false">IF(G2462&lt;=INDEX(Assumptions!$B$15:$B$18,MATCH(E2462,Assumptions!$A$15:$A$18,0)),"Yes","No")</f>
        <v>Yes</v>
      </c>
      <c r="O2462" s="31" t="str">
        <f aca="false">IF(H2462="","Open",IF(H2462&lt;=INDEX(Assumptions!$C$15:$C$18,MATCH(E2462,Assumptions!$A$15:$A$18,0)),"Yes","No"))</f>
        <v>Yes</v>
      </c>
    </row>
    <row r="2463" customFormat="false" ht="15" hidden="false" customHeight="false" outlineLevel="0" collapsed="false">
      <c r="A2463" s="31" t="s">
        <v>2613</v>
      </c>
      <c r="B2463" s="44" t="n">
        <v>46238</v>
      </c>
      <c r="C2463" s="31" t="s">
        <v>58</v>
      </c>
      <c r="D2463" s="31" t="s">
        <v>65</v>
      </c>
      <c r="E2463" s="31" t="s">
        <v>51</v>
      </c>
      <c r="F2463" s="31" t="s">
        <v>127</v>
      </c>
      <c r="G2463" s="31" t="n">
        <v>6</v>
      </c>
      <c r="H2463" s="41" t="n">
        <v>3.6</v>
      </c>
      <c r="I2463" s="31" t="s">
        <v>149</v>
      </c>
      <c r="J2463" s="31"/>
      <c r="K2463" s="31" t="s">
        <v>150</v>
      </c>
      <c r="L2463" s="45" t="n">
        <f aca="false">DATE(YEAR(B2463),MONTH(B2463),1)</f>
        <v>46235</v>
      </c>
      <c r="M2463" s="31" t="n">
        <f aca="false">WEEKDAY(B2463,2)</f>
        <v>2</v>
      </c>
      <c r="N2463" s="31" t="str">
        <f aca="false">IF(G2463&lt;=INDEX(Assumptions!$B$15:$B$18,MATCH(E2463,Assumptions!$A$15:$A$18,0)),"Yes","No")</f>
        <v>Yes</v>
      </c>
      <c r="O2463" s="31" t="str">
        <f aca="false">IF(H2463="","Open",IF(H2463&lt;=INDEX(Assumptions!$C$15:$C$18,MATCH(E2463,Assumptions!$A$15:$A$18,0)),"Yes","No"))</f>
        <v>Yes</v>
      </c>
    </row>
    <row r="2464" customFormat="false" ht="15" hidden="false" customHeight="false" outlineLevel="0" collapsed="false">
      <c r="A2464" s="31" t="s">
        <v>2614</v>
      </c>
      <c r="B2464" s="44" t="n">
        <v>46238</v>
      </c>
      <c r="C2464" s="31" t="s">
        <v>59</v>
      </c>
      <c r="D2464" s="31" t="s">
        <v>69</v>
      </c>
      <c r="E2464" s="31" t="s">
        <v>52</v>
      </c>
      <c r="F2464" s="31" t="s">
        <v>136</v>
      </c>
      <c r="G2464" s="31" t="n">
        <v>450</v>
      </c>
      <c r="H2464" s="41" t="n">
        <v>10.7</v>
      </c>
      <c r="I2464" s="31" t="s">
        <v>149</v>
      </c>
      <c r="J2464" s="31"/>
      <c r="K2464" s="31" t="s">
        <v>150</v>
      </c>
      <c r="L2464" s="45" t="n">
        <f aca="false">DATE(YEAR(B2464),MONTH(B2464),1)</f>
        <v>46235</v>
      </c>
      <c r="M2464" s="31" t="n">
        <f aca="false">WEEKDAY(B2464,2)</f>
        <v>2</v>
      </c>
      <c r="N2464" s="31" t="str">
        <f aca="false">IF(G2464&lt;=INDEX(Assumptions!$B$15:$B$18,MATCH(E2464,Assumptions!$A$15:$A$18,0)),"Yes","No")</f>
        <v>No</v>
      </c>
      <c r="O2464" s="31" t="str">
        <f aca="false">IF(H2464="","Open",IF(H2464&lt;=INDEX(Assumptions!$C$15:$C$18,MATCH(E2464,Assumptions!$A$15:$A$18,0)),"Yes","No"))</f>
        <v>Yes</v>
      </c>
    </row>
    <row r="2465" customFormat="false" ht="15" hidden="false" customHeight="false" outlineLevel="0" collapsed="false">
      <c r="A2465" s="31" t="s">
        <v>2615</v>
      </c>
      <c r="B2465" s="44" t="n">
        <v>46238</v>
      </c>
      <c r="C2465" s="31" t="s">
        <v>57</v>
      </c>
      <c r="D2465" s="31" t="s">
        <v>66</v>
      </c>
      <c r="E2465" s="31" t="s">
        <v>52</v>
      </c>
      <c r="F2465" s="31" t="s">
        <v>128</v>
      </c>
      <c r="G2465" s="31" t="n">
        <v>12</v>
      </c>
      <c r="H2465" s="41" t="n">
        <v>53.7</v>
      </c>
      <c r="I2465" s="31" t="s">
        <v>149</v>
      </c>
      <c r="J2465" s="31"/>
      <c r="K2465" s="31" t="s">
        <v>150</v>
      </c>
      <c r="L2465" s="45" t="n">
        <f aca="false">DATE(YEAR(B2465),MONTH(B2465),1)</f>
        <v>46235</v>
      </c>
      <c r="M2465" s="31" t="n">
        <f aca="false">WEEKDAY(B2465,2)</f>
        <v>2</v>
      </c>
      <c r="N2465" s="31" t="str">
        <f aca="false">IF(G2465&lt;=INDEX(Assumptions!$B$15:$B$18,MATCH(E2465,Assumptions!$A$15:$A$18,0)),"Yes","No")</f>
        <v>Yes</v>
      </c>
      <c r="O2465" s="31" t="str">
        <f aca="false">IF(H2465="","Open",IF(H2465&lt;=INDEX(Assumptions!$C$15:$C$18,MATCH(E2465,Assumptions!$A$15:$A$18,0)),"Yes","No"))</f>
        <v>Yes</v>
      </c>
    </row>
    <row r="2466" customFormat="false" ht="15" hidden="false" customHeight="false" outlineLevel="0" collapsed="false">
      <c r="A2466" s="31" t="s">
        <v>2616</v>
      </c>
      <c r="B2466" s="44" t="n">
        <v>46238</v>
      </c>
      <c r="C2466" s="31" t="s">
        <v>57</v>
      </c>
      <c r="D2466" s="31" t="s">
        <v>67</v>
      </c>
      <c r="E2466" s="31" t="s">
        <v>52</v>
      </c>
      <c r="F2466" s="31" t="s">
        <v>130</v>
      </c>
      <c r="G2466" s="31" t="n">
        <v>3</v>
      </c>
      <c r="H2466" s="41" t="n">
        <v>16.5</v>
      </c>
      <c r="I2466" s="31" t="s">
        <v>149</v>
      </c>
      <c r="J2466" s="31"/>
      <c r="K2466" s="31" t="s">
        <v>150</v>
      </c>
      <c r="L2466" s="45" t="n">
        <f aca="false">DATE(YEAR(B2466),MONTH(B2466),1)</f>
        <v>46235</v>
      </c>
      <c r="M2466" s="31" t="n">
        <f aca="false">WEEKDAY(B2466,2)</f>
        <v>2</v>
      </c>
      <c r="N2466" s="31" t="str">
        <f aca="false">IF(G2466&lt;=INDEX(Assumptions!$B$15:$B$18,MATCH(E2466,Assumptions!$A$15:$A$18,0)),"Yes","No")</f>
        <v>Yes</v>
      </c>
      <c r="O2466" s="31" t="str">
        <f aca="false">IF(H2466="","Open",IF(H2466&lt;=INDEX(Assumptions!$C$15:$C$18,MATCH(E2466,Assumptions!$A$15:$A$18,0)),"Yes","No"))</f>
        <v>Yes</v>
      </c>
    </row>
    <row r="2467" customFormat="false" ht="15" hidden="false" customHeight="false" outlineLevel="0" collapsed="false">
      <c r="A2467" s="31" t="s">
        <v>2617</v>
      </c>
      <c r="B2467" s="44" t="n">
        <v>46238</v>
      </c>
      <c r="C2467" s="31" t="s">
        <v>58</v>
      </c>
      <c r="D2467" s="31" t="s">
        <v>65</v>
      </c>
      <c r="E2467" s="31" t="s">
        <v>50</v>
      </c>
      <c r="F2467" s="31" t="s">
        <v>131</v>
      </c>
      <c r="G2467" s="31" t="n">
        <v>4</v>
      </c>
      <c r="H2467" s="41" t="n">
        <v>2.6</v>
      </c>
      <c r="I2467" s="31" t="s">
        <v>149</v>
      </c>
      <c r="J2467" s="31"/>
      <c r="K2467" s="31" t="s">
        <v>150</v>
      </c>
      <c r="L2467" s="45" t="n">
        <f aca="false">DATE(YEAR(B2467),MONTH(B2467),1)</f>
        <v>46235</v>
      </c>
      <c r="M2467" s="31" t="n">
        <f aca="false">WEEKDAY(B2467,2)</f>
        <v>2</v>
      </c>
      <c r="N2467" s="31" t="str">
        <f aca="false">IF(G2467&lt;=INDEX(Assumptions!$B$15:$B$18,MATCH(E2467,Assumptions!$A$15:$A$18,0)),"Yes","No")</f>
        <v>Yes</v>
      </c>
      <c r="O2467" s="31" t="str">
        <f aca="false">IF(H2467="","Open",IF(H2467&lt;=INDEX(Assumptions!$C$15:$C$18,MATCH(E2467,Assumptions!$A$15:$A$18,0)),"Yes","No"))</f>
        <v>Yes</v>
      </c>
    </row>
    <row r="2468" customFormat="false" ht="15" hidden="false" customHeight="false" outlineLevel="0" collapsed="false">
      <c r="A2468" s="31" t="s">
        <v>2618</v>
      </c>
      <c r="B2468" s="44" t="n">
        <v>46238</v>
      </c>
      <c r="C2468" s="31" t="s">
        <v>59</v>
      </c>
      <c r="D2468" s="31" t="s">
        <v>67</v>
      </c>
      <c r="E2468" s="31" t="s">
        <v>50</v>
      </c>
      <c r="F2468" s="31" t="s">
        <v>117</v>
      </c>
      <c r="G2468" s="31" t="n">
        <v>65</v>
      </c>
      <c r="H2468" s="41" t="n">
        <v>5.3</v>
      </c>
      <c r="I2468" s="31" t="s">
        <v>149</v>
      </c>
      <c r="J2468" s="31"/>
      <c r="K2468" s="31" t="s">
        <v>150</v>
      </c>
      <c r="L2468" s="45" t="n">
        <f aca="false">DATE(YEAR(B2468),MONTH(B2468),1)</f>
        <v>46235</v>
      </c>
      <c r="M2468" s="31" t="n">
        <f aca="false">WEEKDAY(B2468,2)</f>
        <v>2</v>
      </c>
      <c r="N2468" s="31" t="str">
        <f aca="false">IF(G2468&lt;=INDEX(Assumptions!$B$15:$B$18,MATCH(E2468,Assumptions!$A$15:$A$18,0)),"Yes","No")</f>
        <v>No</v>
      </c>
      <c r="O2468" s="31" t="str">
        <f aca="false">IF(H2468="","Open",IF(H2468&lt;=INDEX(Assumptions!$C$15:$C$18,MATCH(E2468,Assumptions!$A$15:$A$18,0)),"Yes","No"))</f>
        <v>Yes</v>
      </c>
    </row>
    <row r="2469" customFormat="false" ht="15" hidden="false" customHeight="false" outlineLevel="0" collapsed="false">
      <c r="A2469" s="31" t="s">
        <v>2619</v>
      </c>
      <c r="B2469" s="44" t="n">
        <v>46238</v>
      </c>
      <c r="C2469" s="31" t="s">
        <v>57</v>
      </c>
      <c r="D2469" s="31" t="s">
        <v>65</v>
      </c>
      <c r="E2469" s="31" t="s">
        <v>51</v>
      </c>
      <c r="F2469" s="31" t="s">
        <v>133</v>
      </c>
      <c r="G2469" s="31" t="n">
        <v>4</v>
      </c>
      <c r="H2469" s="41" t="n">
        <v>13</v>
      </c>
      <c r="I2469" s="31" t="s">
        <v>149</v>
      </c>
      <c r="J2469" s="31" t="n">
        <v>4</v>
      </c>
      <c r="K2469" s="31" t="s">
        <v>150</v>
      </c>
      <c r="L2469" s="45" t="n">
        <f aca="false">DATE(YEAR(B2469),MONTH(B2469),1)</f>
        <v>46235</v>
      </c>
      <c r="M2469" s="31" t="n">
        <f aca="false">WEEKDAY(B2469,2)</f>
        <v>2</v>
      </c>
      <c r="N2469" s="31" t="str">
        <f aca="false">IF(G2469&lt;=INDEX(Assumptions!$B$15:$B$18,MATCH(E2469,Assumptions!$A$15:$A$18,0)),"Yes","No")</f>
        <v>Yes</v>
      </c>
      <c r="O2469" s="31" t="str">
        <f aca="false">IF(H2469="","Open",IF(H2469&lt;=INDEX(Assumptions!$C$15:$C$18,MATCH(E2469,Assumptions!$A$15:$A$18,0)),"Yes","No"))</f>
        <v>Yes</v>
      </c>
    </row>
    <row r="2470" customFormat="false" ht="15" hidden="false" customHeight="false" outlineLevel="0" collapsed="false">
      <c r="A2470" s="31" t="s">
        <v>2620</v>
      </c>
      <c r="B2470" s="44" t="n">
        <v>46238</v>
      </c>
      <c r="C2470" s="31" t="s">
        <v>57</v>
      </c>
      <c r="D2470" s="31" t="s">
        <v>68</v>
      </c>
      <c r="E2470" s="31" t="s">
        <v>51</v>
      </c>
      <c r="F2470" s="31" t="s">
        <v>128</v>
      </c>
      <c r="G2470" s="31" t="n">
        <v>11</v>
      </c>
      <c r="H2470" s="41" t="n">
        <v>5.5</v>
      </c>
      <c r="I2470" s="31" t="s">
        <v>149</v>
      </c>
      <c r="J2470" s="31" t="n">
        <v>3</v>
      </c>
      <c r="K2470" s="31" t="s">
        <v>150</v>
      </c>
      <c r="L2470" s="45" t="n">
        <f aca="false">DATE(YEAR(B2470),MONTH(B2470),1)</f>
        <v>46235</v>
      </c>
      <c r="M2470" s="31" t="n">
        <f aca="false">WEEKDAY(B2470,2)</f>
        <v>2</v>
      </c>
      <c r="N2470" s="31" t="str">
        <f aca="false">IF(G2470&lt;=INDEX(Assumptions!$B$15:$B$18,MATCH(E2470,Assumptions!$A$15:$A$18,0)),"Yes","No")</f>
        <v>Yes</v>
      </c>
      <c r="O2470" s="31" t="str">
        <f aca="false">IF(H2470="","Open",IF(H2470&lt;=INDEX(Assumptions!$C$15:$C$18,MATCH(E2470,Assumptions!$A$15:$A$18,0)),"Yes","No"))</f>
        <v>Yes</v>
      </c>
    </row>
    <row r="2471" customFormat="false" ht="15" hidden="false" customHeight="false" outlineLevel="0" collapsed="false">
      <c r="A2471" s="31" t="s">
        <v>2621</v>
      </c>
      <c r="B2471" s="44" t="n">
        <v>46238</v>
      </c>
      <c r="C2471" s="31" t="s">
        <v>59</v>
      </c>
      <c r="D2471" s="31" t="s">
        <v>67</v>
      </c>
      <c r="E2471" s="31" t="s">
        <v>49</v>
      </c>
      <c r="F2471" s="31" t="s">
        <v>134</v>
      </c>
      <c r="G2471" s="31" t="n">
        <v>45</v>
      </c>
      <c r="H2471" s="41" t="n">
        <v>12.5</v>
      </c>
      <c r="I2471" s="31" t="s">
        <v>149</v>
      </c>
      <c r="J2471" s="31" t="n">
        <v>3</v>
      </c>
      <c r="K2471" s="31" t="s">
        <v>150</v>
      </c>
      <c r="L2471" s="45" t="n">
        <f aca="false">DATE(YEAR(B2471),MONTH(B2471),1)</f>
        <v>46235</v>
      </c>
      <c r="M2471" s="31" t="n">
        <f aca="false">WEEKDAY(B2471,2)</f>
        <v>2</v>
      </c>
      <c r="N2471" s="31" t="str">
        <f aca="false">IF(G2471&lt;=INDEX(Assumptions!$B$15:$B$18,MATCH(E2471,Assumptions!$A$15:$A$18,0)),"Yes","No")</f>
        <v>No</v>
      </c>
      <c r="O2471" s="31" t="str">
        <f aca="false">IF(H2471="","Open",IF(H2471&lt;=INDEX(Assumptions!$C$15:$C$18,MATCH(E2471,Assumptions!$A$15:$A$18,0)),"Yes","No"))</f>
        <v>No</v>
      </c>
    </row>
    <row r="2472" customFormat="false" ht="15" hidden="false" customHeight="false" outlineLevel="0" collapsed="false">
      <c r="A2472" s="31" t="s">
        <v>2622</v>
      </c>
      <c r="B2472" s="44" t="n">
        <v>46238</v>
      </c>
      <c r="C2472" s="31" t="s">
        <v>57</v>
      </c>
      <c r="D2472" s="31" t="s">
        <v>66</v>
      </c>
      <c r="E2472" s="31" t="s">
        <v>50</v>
      </c>
      <c r="F2472" s="31" t="s">
        <v>134</v>
      </c>
      <c r="G2472" s="31" t="n">
        <v>7</v>
      </c>
      <c r="H2472" s="41" t="n">
        <v>6.2</v>
      </c>
      <c r="I2472" s="31" t="s">
        <v>149</v>
      </c>
      <c r="J2472" s="31"/>
      <c r="K2472" s="31" t="s">
        <v>153</v>
      </c>
      <c r="L2472" s="45" t="n">
        <f aca="false">DATE(YEAR(B2472),MONTH(B2472),1)</f>
        <v>46235</v>
      </c>
      <c r="M2472" s="31" t="n">
        <f aca="false">WEEKDAY(B2472,2)</f>
        <v>2</v>
      </c>
      <c r="N2472" s="31" t="str">
        <f aca="false">IF(G2472&lt;=INDEX(Assumptions!$B$15:$B$18,MATCH(E2472,Assumptions!$A$15:$A$18,0)),"Yes","No")</f>
        <v>Yes</v>
      </c>
      <c r="O2472" s="31" t="str">
        <f aca="false">IF(H2472="","Open",IF(H2472&lt;=INDEX(Assumptions!$C$15:$C$18,MATCH(E2472,Assumptions!$A$15:$A$18,0)),"Yes","No"))</f>
        <v>Yes</v>
      </c>
    </row>
    <row r="2473" customFormat="false" ht="15" hidden="false" customHeight="false" outlineLevel="0" collapsed="false">
      <c r="A2473" s="31" t="s">
        <v>2623</v>
      </c>
      <c r="B2473" s="44" t="n">
        <v>46238</v>
      </c>
      <c r="C2473" s="31" t="s">
        <v>57</v>
      </c>
      <c r="D2473" s="31" t="s">
        <v>65</v>
      </c>
      <c r="E2473" s="31" t="s">
        <v>51</v>
      </c>
      <c r="F2473" s="31" t="s">
        <v>130</v>
      </c>
      <c r="G2473" s="31" t="n">
        <v>3</v>
      </c>
      <c r="H2473" s="41" t="n">
        <v>2.2</v>
      </c>
      <c r="I2473" s="31" t="s">
        <v>149</v>
      </c>
      <c r="J2473" s="31"/>
      <c r="K2473" s="31" t="s">
        <v>150</v>
      </c>
      <c r="L2473" s="45" t="n">
        <f aca="false">DATE(YEAR(B2473),MONTH(B2473),1)</f>
        <v>46235</v>
      </c>
      <c r="M2473" s="31" t="n">
        <f aca="false">WEEKDAY(B2473,2)</f>
        <v>2</v>
      </c>
      <c r="N2473" s="31" t="str">
        <f aca="false">IF(G2473&lt;=INDEX(Assumptions!$B$15:$B$18,MATCH(E2473,Assumptions!$A$15:$A$18,0)),"Yes","No")</f>
        <v>Yes</v>
      </c>
      <c r="O2473" s="31" t="str">
        <f aca="false">IF(H2473="","Open",IF(H2473&lt;=INDEX(Assumptions!$C$15:$C$18,MATCH(E2473,Assumptions!$A$15:$A$18,0)),"Yes","No"))</f>
        <v>Yes</v>
      </c>
    </row>
    <row r="2474" customFormat="false" ht="15" hidden="false" customHeight="false" outlineLevel="0" collapsed="false">
      <c r="A2474" s="31" t="s">
        <v>2624</v>
      </c>
      <c r="B2474" s="44" t="n">
        <v>46238</v>
      </c>
      <c r="C2474" s="31" t="s">
        <v>60</v>
      </c>
      <c r="D2474" s="31" t="s">
        <v>67</v>
      </c>
      <c r="E2474" s="31" t="s">
        <v>52</v>
      </c>
      <c r="F2474" s="31" t="s">
        <v>117</v>
      </c>
      <c r="G2474" s="31" t="n">
        <v>1</v>
      </c>
      <c r="H2474" s="41" t="n">
        <v>5.7</v>
      </c>
      <c r="I2474" s="31" t="s">
        <v>149</v>
      </c>
      <c r="J2474" s="31" t="n">
        <v>5</v>
      </c>
      <c r="K2474" s="31" t="s">
        <v>150</v>
      </c>
      <c r="L2474" s="45" t="n">
        <f aca="false">DATE(YEAR(B2474),MONTH(B2474),1)</f>
        <v>46235</v>
      </c>
      <c r="M2474" s="31" t="n">
        <f aca="false">WEEKDAY(B2474,2)</f>
        <v>2</v>
      </c>
      <c r="N2474" s="31" t="str">
        <f aca="false">IF(G2474&lt;=INDEX(Assumptions!$B$15:$B$18,MATCH(E2474,Assumptions!$A$15:$A$18,0)),"Yes","No")</f>
        <v>Yes</v>
      </c>
      <c r="O2474" s="31" t="str">
        <f aca="false">IF(H2474="","Open",IF(H2474&lt;=INDEX(Assumptions!$C$15:$C$18,MATCH(E2474,Assumptions!$A$15:$A$18,0)),"Yes","No"))</f>
        <v>Yes</v>
      </c>
    </row>
    <row r="2475" customFormat="false" ht="15" hidden="false" customHeight="false" outlineLevel="0" collapsed="false">
      <c r="A2475" s="31" t="s">
        <v>2625</v>
      </c>
      <c r="B2475" s="44" t="n">
        <v>46238</v>
      </c>
      <c r="C2475" s="31" t="s">
        <v>60</v>
      </c>
      <c r="D2475" s="31" t="s">
        <v>65</v>
      </c>
      <c r="E2475" s="31" t="s">
        <v>51</v>
      </c>
      <c r="F2475" s="31" t="s">
        <v>131</v>
      </c>
      <c r="G2475" s="31" t="n">
        <v>1</v>
      </c>
      <c r="H2475" s="41" t="n">
        <v>2.4</v>
      </c>
      <c r="I2475" s="31" t="s">
        <v>149</v>
      </c>
      <c r="J2475" s="31" t="n">
        <v>4</v>
      </c>
      <c r="K2475" s="31" t="s">
        <v>150</v>
      </c>
      <c r="L2475" s="45" t="n">
        <f aca="false">DATE(YEAR(B2475),MONTH(B2475),1)</f>
        <v>46235</v>
      </c>
      <c r="M2475" s="31" t="n">
        <f aca="false">WEEKDAY(B2475,2)</f>
        <v>2</v>
      </c>
      <c r="N2475" s="31" t="str">
        <f aca="false">IF(G2475&lt;=INDEX(Assumptions!$B$15:$B$18,MATCH(E2475,Assumptions!$A$15:$A$18,0)),"Yes","No")</f>
        <v>Yes</v>
      </c>
      <c r="O2475" s="31" t="str">
        <f aca="false">IF(H2475="","Open",IF(H2475&lt;=INDEX(Assumptions!$C$15:$C$18,MATCH(E2475,Assumptions!$A$15:$A$18,0)),"Yes","No"))</f>
        <v>Yes</v>
      </c>
    </row>
    <row r="2476" customFormat="false" ht="15" hidden="false" customHeight="false" outlineLevel="0" collapsed="false">
      <c r="A2476" s="31" t="s">
        <v>2626</v>
      </c>
      <c r="B2476" s="44" t="n">
        <v>46238</v>
      </c>
      <c r="C2476" s="31" t="s">
        <v>60</v>
      </c>
      <c r="D2476" s="31" t="s">
        <v>65</v>
      </c>
      <c r="E2476" s="31" t="s">
        <v>52</v>
      </c>
      <c r="F2476" s="31" t="s">
        <v>137</v>
      </c>
      <c r="G2476" s="31" t="n">
        <v>2</v>
      </c>
      <c r="H2476" s="41" t="n">
        <v>11.6</v>
      </c>
      <c r="I2476" s="31" t="s">
        <v>149</v>
      </c>
      <c r="J2476" s="31" t="n">
        <v>4</v>
      </c>
      <c r="K2476" s="31" t="s">
        <v>150</v>
      </c>
      <c r="L2476" s="45" t="n">
        <f aca="false">DATE(YEAR(B2476),MONTH(B2476),1)</f>
        <v>46235</v>
      </c>
      <c r="M2476" s="31" t="n">
        <f aca="false">WEEKDAY(B2476,2)</f>
        <v>2</v>
      </c>
      <c r="N2476" s="31" t="str">
        <f aca="false">IF(G2476&lt;=INDEX(Assumptions!$B$15:$B$18,MATCH(E2476,Assumptions!$A$15:$A$18,0)),"Yes","No")</f>
        <v>Yes</v>
      </c>
      <c r="O2476" s="31" t="str">
        <f aca="false">IF(H2476="","Open",IF(H2476&lt;=INDEX(Assumptions!$C$15:$C$18,MATCH(E2476,Assumptions!$A$15:$A$18,0)),"Yes","No"))</f>
        <v>Yes</v>
      </c>
    </row>
    <row r="2477" customFormat="false" ht="15" hidden="false" customHeight="false" outlineLevel="0" collapsed="false">
      <c r="A2477" s="31" t="s">
        <v>2627</v>
      </c>
      <c r="B2477" s="44" t="n">
        <v>46238</v>
      </c>
      <c r="C2477" s="31" t="s">
        <v>58</v>
      </c>
      <c r="D2477" s="31" t="s">
        <v>66</v>
      </c>
      <c r="E2477" s="31" t="s">
        <v>51</v>
      </c>
      <c r="F2477" s="31" t="s">
        <v>131</v>
      </c>
      <c r="G2477" s="31" t="n">
        <v>13</v>
      </c>
      <c r="H2477" s="41" t="n">
        <v>20.6</v>
      </c>
      <c r="I2477" s="31" t="s">
        <v>149</v>
      </c>
      <c r="J2477" s="31" t="n">
        <v>5</v>
      </c>
      <c r="K2477" s="31" t="s">
        <v>150</v>
      </c>
      <c r="L2477" s="45" t="n">
        <f aca="false">DATE(YEAR(B2477),MONTH(B2477),1)</f>
        <v>46235</v>
      </c>
      <c r="M2477" s="31" t="n">
        <f aca="false">WEEKDAY(B2477,2)</f>
        <v>2</v>
      </c>
      <c r="N2477" s="31" t="str">
        <f aca="false">IF(G2477&lt;=INDEX(Assumptions!$B$15:$B$18,MATCH(E2477,Assumptions!$A$15:$A$18,0)),"Yes","No")</f>
        <v>Yes</v>
      </c>
      <c r="O2477" s="31" t="str">
        <f aca="false">IF(H2477="","Open",IF(H2477&lt;=INDEX(Assumptions!$C$15:$C$18,MATCH(E2477,Assumptions!$A$15:$A$18,0)),"Yes","No"))</f>
        <v>Yes</v>
      </c>
    </row>
    <row r="2478" customFormat="false" ht="15" hidden="false" customHeight="false" outlineLevel="0" collapsed="false">
      <c r="A2478" s="31" t="s">
        <v>2628</v>
      </c>
      <c r="B2478" s="44" t="n">
        <v>46238</v>
      </c>
      <c r="C2478" s="31" t="s">
        <v>58</v>
      </c>
      <c r="D2478" s="31" t="s">
        <v>65</v>
      </c>
      <c r="E2478" s="31" t="s">
        <v>51</v>
      </c>
      <c r="F2478" s="31" t="s">
        <v>120</v>
      </c>
      <c r="G2478" s="31" t="n">
        <v>19</v>
      </c>
      <c r="H2478" s="41" t="n">
        <v>20.3</v>
      </c>
      <c r="I2478" s="31" t="s">
        <v>149</v>
      </c>
      <c r="J2478" s="31"/>
      <c r="K2478" s="31" t="s">
        <v>150</v>
      </c>
      <c r="L2478" s="45" t="n">
        <f aca="false">DATE(YEAR(B2478),MONTH(B2478),1)</f>
        <v>46235</v>
      </c>
      <c r="M2478" s="31" t="n">
        <f aca="false">WEEKDAY(B2478,2)</f>
        <v>2</v>
      </c>
      <c r="N2478" s="31" t="str">
        <f aca="false">IF(G2478&lt;=INDEX(Assumptions!$B$15:$B$18,MATCH(E2478,Assumptions!$A$15:$A$18,0)),"Yes","No")</f>
        <v>Yes</v>
      </c>
      <c r="O2478" s="31" t="str">
        <f aca="false">IF(H2478="","Open",IF(H2478&lt;=INDEX(Assumptions!$C$15:$C$18,MATCH(E2478,Assumptions!$A$15:$A$18,0)),"Yes","No"))</f>
        <v>Yes</v>
      </c>
    </row>
    <row r="2479" customFormat="false" ht="15" hidden="false" customHeight="false" outlineLevel="0" collapsed="false">
      <c r="A2479" s="31" t="s">
        <v>2629</v>
      </c>
      <c r="B2479" s="44" t="n">
        <v>46238</v>
      </c>
      <c r="C2479" s="31" t="s">
        <v>60</v>
      </c>
      <c r="D2479" s="31" t="s">
        <v>65</v>
      </c>
      <c r="E2479" s="31" t="s">
        <v>51</v>
      </c>
      <c r="F2479" s="31" t="s">
        <v>136</v>
      </c>
      <c r="G2479" s="31" t="n">
        <v>2</v>
      </c>
      <c r="H2479" s="41" t="n">
        <v>3</v>
      </c>
      <c r="I2479" s="31" t="s">
        <v>149</v>
      </c>
      <c r="J2479" s="31"/>
      <c r="K2479" s="31" t="s">
        <v>150</v>
      </c>
      <c r="L2479" s="45" t="n">
        <f aca="false">DATE(YEAR(B2479),MONTH(B2479),1)</f>
        <v>46235</v>
      </c>
      <c r="M2479" s="31" t="n">
        <f aca="false">WEEKDAY(B2479,2)</f>
        <v>2</v>
      </c>
      <c r="N2479" s="31" t="str">
        <f aca="false">IF(G2479&lt;=INDEX(Assumptions!$B$15:$B$18,MATCH(E2479,Assumptions!$A$15:$A$18,0)),"Yes","No")</f>
        <v>Yes</v>
      </c>
      <c r="O2479" s="31" t="str">
        <f aca="false">IF(H2479="","Open",IF(H2479&lt;=INDEX(Assumptions!$C$15:$C$18,MATCH(E2479,Assumptions!$A$15:$A$18,0)),"Yes","No"))</f>
        <v>Yes</v>
      </c>
    </row>
    <row r="2480" customFormat="false" ht="15" hidden="false" customHeight="false" outlineLevel="0" collapsed="false">
      <c r="A2480" s="31" t="s">
        <v>2630</v>
      </c>
      <c r="B2480" s="44" t="n">
        <v>46238</v>
      </c>
      <c r="C2480" s="31" t="s">
        <v>60</v>
      </c>
      <c r="D2480" s="31" t="s">
        <v>68</v>
      </c>
      <c r="E2480" s="31" t="s">
        <v>50</v>
      </c>
      <c r="F2480" s="31" t="s">
        <v>128</v>
      </c>
      <c r="G2480" s="31" t="n">
        <v>1</v>
      </c>
      <c r="H2480" s="41" t="n">
        <v>11.5</v>
      </c>
      <c r="I2480" s="31" t="s">
        <v>64</v>
      </c>
      <c r="J2480" s="31" t="n">
        <v>2</v>
      </c>
      <c r="K2480" s="31" t="s">
        <v>150</v>
      </c>
      <c r="L2480" s="45" t="n">
        <f aca="false">DATE(YEAR(B2480),MONTH(B2480),1)</f>
        <v>46235</v>
      </c>
      <c r="M2480" s="31" t="n">
        <f aca="false">WEEKDAY(B2480,2)</f>
        <v>2</v>
      </c>
      <c r="N2480" s="31" t="str">
        <f aca="false">IF(G2480&lt;=INDEX(Assumptions!$B$15:$B$18,MATCH(E2480,Assumptions!$A$15:$A$18,0)),"Yes","No")</f>
        <v>Yes</v>
      </c>
      <c r="O2480" s="31" t="str">
        <f aca="false">IF(H2480="","Open",IF(H2480&lt;=INDEX(Assumptions!$C$15:$C$18,MATCH(E2480,Assumptions!$A$15:$A$18,0)),"Yes","No"))</f>
        <v>No</v>
      </c>
    </row>
    <row r="2481" customFormat="false" ht="15" hidden="false" customHeight="false" outlineLevel="0" collapsed="false">
      <c r="A2481" s="31" t="s">
        <v>2631</v>
      </c>
      <c r="B2481" s="44" t="n">
        <v>46238</v>
      </c>
      <c r="C2481" s="31" t="s">
        <v>60</v>
      </c>
      <c r="D2481" s="31" t="s">
        <v>68</v>
      </c>
      <c r="E2481" s="31" t="s">
        <v>51</v>
      </c>
      <c r="F2481" s="31" t="s">
        <v>137</v>
      </c>
      <c r="G2481" s="31" t="n">
        <v>1</v>
      </c>
      <c r="H2481" s="41" t="n">
        <v>4</v>
      </c>
      <c r="I2481" s="31" t="s">
        <v>64</v>
      </c>
      <c r="J2481" s="31"/>
      <c r="K2481" s="31" t="s">
        <v>150</v>
      </c>
      <c r="L2481" s="45" t="n">
        <f aca="false">DATE(YEAR(B2481),MONTH(B2481),1)</f>
        <v>46235</v>
      </c>
      <c r="M2481" s="31" t="n">
        <f aca="false">WEEKDAY(B2481,2)</f>
        <v>2</v>
      </c>
      <c r="N2481" s="31" t="str">
        <f aca="false">IF(G2481&lt;=INDEX(Assumptions!$B$15:$B$18,MATCH(E2481,Assumptions!$A$15:$A$18,0)),"Yes","No")</f>
        <v>Yes</v>
      </c>
      <c r="O2481" s="31" t="str">
        <f aca="false">IF(H2481="","Open",IF(H2481&lt;=INDEX(Assumptions!$C$15:$C$18,MATCH(E2481,Assumptions!$A$15:$A$18,0)),"Yes","No"))</f>
        <v>Yes</v>
      </c>
    </row>
    <row r="2482" customFormat="false" ht="15" hidden="false" customHeight="false" outlineLevel="0" collapsed="false">
      <c r="A2482" s="31" t="s">
        <v>2632</v>
      </c>
      <c r="B2482" s="44" t="n">
        <v>46238</v>
      </c>
      <c r="C2482" s="31" t="s">
        <v>59</v>
      </c>
      <c r="D2482" s="31" t="s">
        <v>69</v>
      </c>
      <c r="E2482" s="31" t="s">
        <v>52</v>
      </c>
      <c r="F2482" s="31" t="s">
        <v>136</v>
      </c>
      <c r="G2482" s="31" t="n">
        <v>156</v>
      </c>
      <c r="H2482" s="41" t="n">
        <v>8.3</v>
      </c>
      <c r="I2482" s="31" t="s">
        <v>149</v>
      </c>
      <c r="J2482" s="31"/>
      <c r="K2482" s="31" t="s">
        <v>153</v>
      </c>
      <c r="L2482" s="45" t="n">
        <f aca="false">DATE(YEAR(B2482),MONTH(B2482),1)</f>
        <v>46235</v>
      </c>
      <c r="M2482" s="31" t="n">
        <f aca="false">WEEKDAY(B2482,2)</f>
        <v>2</v>
      </c>
      <c r="N2482" s="31" t="str">
        <f aca="false">IF(G2482&lt;=INDEX(Assumptions!$B$15:$B$18,MATCH(E2482,Assumptions!$A$15:$A$18,0)),"Yes","No")</f>
        <v>Yes</v>
      </c>
      <c r="O2482" s="31" t="str">
        <f aca="false">IF(H2482="","Open",IF(H2482&lt;=INDEX(Assumptions!$C$15:$C$18,MATCH(E2482,Assumptions!$A$15:$A$18,0)),"Yes","No"))</f>
        <v>Yes</v>
      </c>
    </row>
    <row r="2483" customFormat="false" ht="15" hidden="false" customHeight="false" outlineLevel="0" collapsed="false">
      <c r="A2483" s="31" t="s">
        <v>2633</v>
      </c>
      <c r="B2483" s="44" t="n">
        <v>46238</v>
      </c>
      <c r="C2483" s="31" t="s">
        <v>59</v>
      </c>
      <c r="D2483" s="31" t="s">
        <v>65</v>
      </c>
      <c r="E2483" s="31" t="s">
        <v>50</v>
      </c>
      <c r="F2483" s="31" t="s">
        <v>137</v>
      </c>
      <c r="G2483" s="31" t="n">
        <v>156</v>
      </c>
      <c r="H2483" s="41" t="n">
        <v>30.6</v>
      </c>
      <c r="I2483" s="31" t="s">
        <v>149</v>
      </c>
      <c r="J2483" s="31"/>
      <c r="K2483" s="31" t="s">
        <v>150</v>
      </c>
      <c r="L2483" s="45" t="n">
        <f aca="false">DATE(YEAR(B2483),MONTH(B2483),1)</f>
        <v>46235</v>
      </c>
      <c r="M2483" s="31" t="n">
        <f aca="false">WEEKDAY(B2483,2)</f>
        <v>2</v>
      </c>
      <c r="N2483" s="31" t="str">
        <f aca="false">IF(G2483&lt;=INDEX(Assumptions!$B$15:$B$18,MATCH(E2483,Assumptions!$A$15:$A$18,0)),"Yes","No")</f>
        <v>No</v>
      </c>
      <c r="O2483" s="31" t="str">
        <f aca="false">IF(H2483="","Open",IF(H2483&lt;=INDEX(Assumptions!$C$15:$C$18,MATCH(E2483,Assumptions!$A$15:$A$18,0)),"Yes","No"))</f>
        <v>No</v>
      </c>
    </row>
    <row r="2484" customFormat="false" ht="15" hidden="false" customHeight="false" outlineLevel="0" collapsed="false">
      <c r="A2484" s="31" t="s">
        <v>2634</v>
      </c>
      <c r="B2484" s="44" t="n">
        <v>46238</v>
      </c>
      <c r="C2484" s="31" t="s">
        <v>57</v>
      </c>
      <c r="D2484" s="31" t="s">
        <v>65</v>
      </c>
      <c r="E2484" s="31" t="s">
        <v>52</v>
      </c>
      <c r="F2484" s="31" t="s">
        <v>126</v>
      </c>
      <c r="G2484" s="31" t="n">
        <v>3</v>
      </c>
      <c r="H2484" s="41" t="n">
        <v>2.1</v>
      </c>
      <c r="I2484" s="31" t="s">
        <v>149</v>
      </c>
      <c r="J2484" s="31"/>
      <c r="K2484" s="31" t="s">
        <v>150</v>
      </c>
      <c r="L2484" s="45" t="n">
        <f aca="false">DATE(YEAR(B2484),MONTH(B2484),1)</f>
        <v>46235</v>
      </c>
      <c r="M2484" s="31" t="n">
        <f aca="false">WEEKDAY(B2484,2)</f>
        <v>2</v>
      </c>
      <c r="N2484" s="31" t="str">
        <f aca="false">IF(G2484&lt;=INDEX(Assumptions!$B$15:$B$18,MATCH(E2484,Assumptions!$A$15:$A$18,0)),"Yes","No")</f>
        <v>Yes</v>
      </c>
      <c r="O2484" s="31" t="str">
        <f aca="false">IF(H2484="","Open",IF(H2484&lt;=INDEX(Assumptions!$C$15:$C$18,MATCH(E2484,Assumptions!$A$15:$A$18,0)),"Yes","No"))</f>
        <v>Yes</v>
      </c>
    </row>
    <row r="2485" customFormat="false" ht="15" hidden="false" customHeight="false" outlineLevel="0" collapsed="false">
      <c r="A2485" s="31" t="s">
        <v>2635</v>
      </c>
      <c r="B2485" s="44" t="n">
        <v>46238</v>
      </c>
      <c r="C2485" s="31" t="s">
        <v>57</v>
      </c>
      <c r="D2485" s="31" t="s">
        <v>67</v>
      </c>
      <c r="E2485" s="31" t="s">
        <v>52</v>
      </c>
      <c r="F2485" s="31" t="s">
        <v>128</v>
      </c>
      <c r="G2485" s="31" t="n">
        <v>2</v>
      </c>
      <c r="H2485" s="41" t="n">
        <v>29</v>
      </c>
      <c r="I2485" s="31" t="s">
        <v>149</v>
      </c>
      <c r="J2485" s="31"/>
      <c r="K2485" s="31" t="s">
        <v>150</v>
      </c>
      <c r="L2485" s="45" t="n">
        <f aca="false">DATE(YEAR(B2485),MONTH(B2485),1)</f>
        <v>46235</v>
      </c>
      <c r="M2485" s="31" t="n">
        <f aca="false">WEEKDAY(B2485,2)</f>
        <v>2</v>
      </c>
      <c r="N2485" s="31" t="str">
        <f aca="false">IF(G2485&lt;=INDEX(Assumptions!$B$15:$B$18,MATCH(E2485,Assumptions!$A$15:$A$18,0)),"Yes","No")</f>
        <v>Yes</v>
      </c>
      <c r="O2485" s="31" t="str">
        <f aca="false">IF(H2485="","Open",IF(H2485&lt;=INDEX(Assumptions!$C$15:$C$18,MATCH(E2485,Assumptions!$A$15:$A$18,0)),"Yes","No"))</f>
        <v>Yes</v>
      </c>
    </row>
    <row r="2486" customFormat="false" ht="15" hidden="false" customHeight="false" outlineLevel="0" collapsed="false">
      <c r="A2486" s="31" t="s">
        <v>2636</v>
      </c>
      <c r="B2486" s="44" t="n">
        <v>46238</v>
      </c>
      <c r="C2486" s="31" t="s">
        <v>60</v>
      </c>
      <c r="D2486" s="31" t="s">
        <v>68</v>
      </c>
      <c r="E2486" s="31" t="s">
        <v>52</v>
      </c>
      <c r="F2486" s="31" t="s">
        <v>134</v>
      </c>
      <c r="G2486" s="31" t="n">
        <v>3</v>
      </c>
      <c r="H2486" s="41" t="n">
        <v>9.4</v>
      </c>
      <c r="I2486" s="31" t="s">
        <v>149</v>
      </c>
      <c r="J2486" s="31"/>
      <c r="K2486" s="31" t="s">
        <v>150</v>
      </c>
      <c r="L2486" s="45" t="n">
        <f aca="false">DATE(YEAR(B2486),MONTH(B2486),1)</f>
        <v>46235</v>
      </c>
      <c r="M2486" s="31" t="n">
        <f aca="false">WEEKDAY(B2486,2)</f>
        <v>2</v>
      </c>
      <c r="N2486" s="31" t="str">
        <f aca="false">IF(G2486&lt;=INDEX(Assumptions!$B$15:$B$18,MATCH(E2486,Assumptions!$A$15:$A$18,0)),"Yes","No")</f>
        <v>Yes</v>
      </c>
      <c r="O2486" s="31" t="str">
        <f aca="false">IF(H2486="","Open",IF(H2486&lt;=INDEX(Assumptions!$C$15:$C$18,MATCH(E2486,Assumptions!$A$15:$A$18,0)),"Yes","No"))</f>
        <v>Yes</v>
      </c>
    </row>
    <row r="2487" customFormat="false" ht="15" hidden="false" customHeight="false" outlineLevel="0" collapsed="false">
      <c r="A2487" s="31" t="s">
        <v>2637</v>
      </c>
      <c r="B2487" s="44" t="n">
        <v>46238</v>
      </c>
      <c r="C2487" s="31" t="s">
        <v>59</v>
      </c>
      <c r="D2487" s="31" t="s">
        <v>65</v>
      </c>
      <c r="E2487" s="31" t="s">
        <v>52</v>
      </c>
      <c r="F2487" s="31" t="s">
        <v>124</v>
      </c>
      <c r="G2487" s="31" t="n">
        <v>93</v>
      </c>
      <c r="H2487" s="41" t="n">
        <v>6.4</v>
      </c>
      <c r="I2487" s="31" t="s">
        <v>149</v>
      </c>
      <c r="J2487" s="31" t="n">
        <v>5</v>
      </c>
      <c r="K2487" s="31" t="s">
        <v>150</v>
      </c>
      <c r="L2487" s="45" t="n">
        <f aca="false">DATE(YEAR(B2487),MONTH(B2487),1)</f>
        <v>46235</v>
      </c>
      <c r="M2487" s="31" t="n">
        <f aca="false">WEEKDAY(B2487,2)</f>
        <v>2</v>
      </c>
      <c r="N2487" s="31" t="str">
        <f aca="false">IF(G2487&lt;=INDEX(Assumptions!$B$15:$B$18,MATCH(E2487,Assumptions!$A$15:$A$18,0)),"Yes","No")</f>
        <v>Yes</v>
      </c>
      <c r="O2487" s="31" t="str">
        <f aca="false">IF(H2487="","Open",IF(H2487&lt;=INDEX(Assumptions!$C$15:$C$18,MATCH(E2487,Assumptions!$A$15:$A$18,0)),"Yes","No"))</f>
        <v>Yes</v>
      </c>
    </row>
    <row r="2488" customFormat="false" ht="15" hidden="false" customHeight="false" outlineLevel="0" collapsed="false">
      <c r="A2488" s="31" t="s">
        <v>2638</v>
      </c>
      <c r="B2488" s="44" t="n">
        <v>46238</v>
      </c>
      <c r="C2488" s="31" t="s">
        <v>58</v>
      </c>
      <c r="D2488" s="31" t="s">
        <v>68</v>
      </c>
      <c r="E2488" s="31" t="s">
        <v>52</v>
      </c>
      <c r="F2488" s="31" t="s">
        <v>117</v>
      </c>
      <c r="G2488" s="31" t="n">
        <v>19</v>
      </c>
      <c r="H2488" s="41" t="n">
        <v>7.2</v>
      </c>
      <c r="I2488" s="31" t="s">
        <v>149</v>
      </c>
      <c r="J2488" s="31" t="n">
        <v>5</v>
      </c>
      <c r="K2488" s="31" t="s">
        <v>150</v>
      </c>
      <c r="L2488" s="45" t="n">
        <f aca="false">DATE(YEAR(B2488),MONTH(B2488),1)</f>
        <v>46235</v>
      </c>
      <c r="M2488" s="31" t="n">
        <f aca="false">WEEKDAY(B2488,2)</f>
        <v>2</v>
      </c>
      <c r="N2488" s="31" t="str">
        <f aca="false">IF(G2488&lt;=INDEX(Assumptions!$B$15:$B$18,MATCH(E2488,Assumptions!$A$15:$A$18,0)),"Yes","No")</f>
        <v>Yes</v>
      </c>
      <c r="O2488" s="31" t="str">
        <f aca="false">IF(H2488="","Open",IF(H2488&lt;=INDEX(Assumptions!$C$15:$C$18,MATCH(E2488,Assumptions!$A$15:$A$18,0)),"Yes","No"))</f>
        <v>Yes</v>
      </c>
    </row>
    <row r="2489" customFormat="false" ht="15" hidden="false" customHeight="false" outlineLevel="0" collapsed="false">
      <c r="A2489" s="31" t="s">
        <v>2639</v>
      </c>
      <c r="B2489" s="44" t="n">
        <v>46238</v>
      </c>
      <c r="C2489" s="31" t="s">
        <v>59</v>
      </c>
      <c r="D2489" s="31" t="s">
        <v>66</v>
      </c>
      <c r="E2489" s="31" t="s">
        <v>51</v>
      </c>
      <c r="F2489" s="31" t="s">
        <v>126</v>
      </c>
      <c r="G2489" s="31" t="n">
        <v>19</v>
      </c>
      <c r="H2489" s="41" t="n">
        <v>12.3</v>
      </c>
      <c r="I2489" s="31" t="s">
        <v>149</v>
      </c>
      <c r="J2489" s="31" t="n">
        <v>5</v>
      </c>
      <c r="K2489" s="31" t="s">
        <v>150</v>
      </c>
      <c r="L2489" s="45" t="n">
        <f aca="false">DATE(YEAR(B2489),MONTH(B2489),1)</f>
        <v>46235</v>
      </c>
      <c r="M2489" s="31" t="n">
        <f aca="false">WEEKDAY(B2489,2)</f>
        <v>2</v>
      </c>
      <c r="N2489" s="31" t="str">
        <f aca="false">IF(G2489&lt;=INDEX(Assumptions!$B$15:$B$18,MATCH(E2489,Assumptions!$A$15:$A$18,0)),"Yes","No")</f>
        <v>Yes</v>
      </c>
      <c r="O2489" s="31" t="str">
        <f aca="false">IF(H2489="","Open",IF(H2489&lt;=INDEX(Assumptions!$C$15:$C$18,MATCH(E2489,Assumptions!$A$15:$A$18,0)),"Yes","No"))</f>
        <v>Yes</v>
      </c>
    </row>
    <row r="2490" customFormat="false" ht="15" hidden="false" customHeight="false" outlineLevel="0" collapsed="false">
      <c r="A2490" s="31" t="s">
        <v>2640</v>
      </c>
      <c r="B2490" s="44" t="n">
        <v>46238</v>
      </c>
      <c r="C2490" s="31" t="s">
        <v>60</v>
      </c>
      <c r="D2490" s="31" t="s">
        <v>66</v>
      </c>
      <c r="E2490" s="31" t="s">
        <v>49</v>
      </c>
      <c r="F2490" s="31" t="s">
        <v>133</v>
      </c>
      <c r="G2490" s="31" t="n">
        <v>2</v>
      </c>
      <c r="H2490" s="41" t="n">
        <v>2.9</v>
      </c>
      <c r="I2490" s="31" t="s">
        <v>149</v>
      </c>
      <c r="J2490" s="31" t="n">
        <v>4</v>
      </c>
      <c r="K2490" s="31" t="s">
        <v>150</v>
      </c>
      <c r="L2490" s="45" t="n">
        <f aca="false">DATE(YEAR(B2490),MONTH(B2490),1)</f>
        <v>46235</v>
      </c>
      <c r="M2490" s="31" t="n">
        <f aca="false">WEEKDAY(B2490,2)</f>
        <v>2</v>
      </c>
      <c r="N2490" s="31" t="str">
        <f aca="false">IF(G2490&lt;=INDEX(Assumptions!$B$15:$B$18,MATCH(E2490,Assumptions!$A$15:$A$18,0)),"Yes","No")</f>
        <v>Yes</v>
      </c>
      <c r="O2490" s="31" t="str">
        <f aca="false">IF(H2490="","Open",IF(H2490&lt;=INDEX(Assumptions!$C$15:$C$18,MATCH(E2490,Assumptions!$A$15:$A$18,0)),"Yes","No"))</f>
        <v>Yes</v>
      </c>
    </row>
    <row r="2491" customFormat="false" ht="15" hidden="false" customHeight="false" outlineLevel="0" collapsed="false">
      <c r="A2491" s="31" t="s">
        <v>2641</v>
      </c>
      <c r="B2491" s="44" t="n">
        <v>46238</v>
      </c>
      <c r="C2491" s="31" t="s">
        <v>60</v>
      </c>
      <c r="D2491" s="31" t="s">
        <v>67</v>
      </c>
      <c r="E2491" s="31" t="s">
        <v>51</v>
      </c>
      <c r="F2491" s="31" t="s">
        <v>122</v>
      </c>
      <c r="G2491" s="31" t="n">
        <v>2</v>
      </c>
      <c r="H2491" s="41" t="n">
        <v>12.8</v>
      </c>
      <c r="I2491" s="31" t="s">
        <v>149</v>
      </c>
      <c r="J2491" s="31"/>
      <c r="K2491" s="31" t="s">
        <v>150</v>
      </c>
      <c r="L2491" s="45" t="n">
        <f aca="false">DATE(YEAR(B2491),MONTH(B2491),1)</f>
        <v>46235</v>
      </c>
      <c r="M2491" s="31" t="n">
        <f aca="false">WEEKDAY(B2491,2)</f>
        <v>2</v>
      </c>
      <c r="N2491" s="31" t="str">
        <f aca="false">IF(G2491&lt;=INDEX(Assumptions!$B$15:$B$18,MATCH(E2491,Assumptions!$A$15:$A$18,0)),"Yes","No")</f>
        <v>Yes</v>
      </c>
      <c r="O2491" s="31" t="str">
        <f aca="false">IF(H2491="","Open",IF(H2491&lt;=INDEX(Assumptions!$C$15:$C$18,MATCH(E2491,Assumptions!$A$15:$A$18,0)),"Yes","No"))</f>
        <v>Yes</v>
      </c>
    </row>
    <row r="2492" customFormat="false" ht="15" hidden="false" customHeight="false" outlineLevel="0" collapsed="false">
      <c r="A2492" s="31" t="s">
        <v>2642</v>
      </c>
      <c r="B2492" s="44" t="n">
        <v>46238</v>
      </c>
      <c r="C2492" s="31" t="s">
        <v>60</v>
      </c>
      <c r="D2492" s="31" t="s">
        <v>66</v>
      </c>
      <c r="E2492" s="31" t="s">
        <v>50</v>
      </c>
      <c r="F2492" s="31" t="s">
        <v>127</v>
      </c>
      <c r="G2492" s="31" t="n">
        <v>2</v>
      </c>
      <c r="H2492" s="41" t="n">
        <v>10.6</v>
      </c>
      <c r="I2492" s="31" t="s">
        <v>64</v>
      </c>
      <c r="J2492" s="31" t="n">
        <v>3</v>
      </c>
      <c r="K2492" s="31" t="s">
        <v>153</v>
      </c>
      <c r="L2492" s="45" t="n">
        <f aca="false">DATE(YEAR(B2492),MONTH(B2492),1)</f>
        <v>46235</v>
      </c>
      <c r="M2492" s="31" t="n">
        <f aca="false">WEEKDAY(B2492,2)</f>
        <v>2</v>
      </c>
      <c r="N2492" s="31" t="str">
        <f aca="false">IF(G2492&lt;=INDEX(Assumptions!$B$15:$B$18,MATCH(E2492,Assumptions!$A$15:$A$18,0)),"Yes","No")</f>
        <v>Yes</v>
      </c>
      <c r="O2492" s="31" t="str">
        <f aca="false">IF(H2492="","Open",IF(H2492&lt;=INDEX(Assumptions!$C$15:$C$18,MATCH(E2492,Assumptions!$A$15:$A$18,0)),"Yes","No"))</f>
        <v>No</v>
      </c>
    </row>
    <row r="2493" customFormat="false" ht="15" hidden="false" customHeight="false" outlineLevel="0" collapsed="false">
      <c r="A2493" s="31" t="s">
        <v>2643</v>
      </c>
      <c r="B2493" s="44" t="n">
        <v>46238</v>
      </c>
      <c r="C2493" s="31" t="s">
        <v>60</v>
      </c>
      <c r="D2493" s="31" t="s">
        <v>65</v>
      </c>
      <c r="E2493" s="31" t="s">
        <v>50</v>
      </c>
      <c r="F2493" s="31" t="s">
        <v>120</v>
      </c>
      <c r="G2493" s="31" t="n">
        <v>3</v>
      </c>
      <c r="H2493" s="41" t="n">
        <v>16.3</v>
      </c>
      <c r="I2493" s="31" t="s">
        <v>64</v>
      </c>
      <c r="J2493" s="31" t="n">
        <v>2</v>
      </c>
      <c r="K2493" s="31" t="s">
        <v>153</v>
      </c>
      <c r="L2493" s="45" t="n">
        <f aca="false">DATE(YEAR(B2493),MONTH(B2493),1)</f>
        <v>46235</v>
      </c>
      <c r="M2493" s="31" t="n">
        <f aca="false">WEEKDAY(B2493,2)</f>
        <v>2</v>
      </c>
      <c r="N2493" s="31" t="str">
        <f aca="false">IF(G2493&lt;=INDEX(Assumptions!$B$15:$B$18,MATCH(E2493,Assumptions!$A$15:$A$18,0)),"Yes","No")</f>
        <v>Yes</v>
      </c>
      <c r="O2493" s="31" t="str">
        <f aca="false">IF(H2493="","Open",IF(H2493&lt;=INDEX(Assumptions!$C$15:$C$18,MATCH(E2493,Assumptions!$A$15:$A$18,0)),"Yes","No"))</f>
        <v>No</v>
      </c>
    </row>
    <row r="2494" customFormat="false" ht="15" hidden="false" customHeight="false" outlineLevel="0" collapsed="false">
      <c r="A2494" s="31" t="s">
        <v>2644</v>
      </c>
      <c r="B2494" s="44" t="n">
        <v>46238</v>
      </c>
      <c r="C2494" s="31" t="s">
        <v>57</v>
      </c>
      <c r="D2494" s="31" t="s">
        <v>69</v>
      </c>
      <c r="E2494" s="31" t="s">
        <v>51</v>
      </c>
      <c r="F2494" s="31" t="s">
        <v>117</v>
      </c>
      <c r="G2494" s="31" t="n">
        <v>3</v>
      </c>
      <c r="H2494" s="41" t="n">
        <v>52.1</v>
      </c>
      <c r="I2494" s="31" t="s">
        <v>64</v>
      </c>
      <c r="J2494" s="31"/>
      <c r="K2494" s="31" t="s">
        <v>150</v>
      </c>
      <c r="L2494" s="45" t="n">
        <f aca="false">DATE(YEAR(B2494),MONTH(B2494),1)</f>
        <v>46235</v>
      </c>
      <c r="M2494" s="31" t="n">
        <f aca="false">WEEKDAY(B2494,2)</f>
        <v>2</v>
      </c>
      <c r="N2494" s="31" t="str">
        <f aca="false">IF(G2494&lt;=INDEX(Assumptions!$B$15:$B$18,MATCH(E2494,Assumptions!$A$15:$A$18,0)),"Yes","No")</f>
        <v>Yes</v>
      </c>
      <c r="O2494" s="31" t="str">
        <f aca="false">IF(H2494="","Open",IF(H2494&lt;=INDEX(Assumptions!$C$15:$C$18,MATCH(E2494,Assumptions!$A$15:$A$18,0)),"Yes","No"))</f>
        <v>No</v>
      </c>
    </row>
    <row r="2495" customFormat="false" ht="15" hidden="false" customHeight="false" outlineLevel="0" collapsed="false">
      <c r="A2495" s="31" t="s">
        <v>2645</v>
      </c>
      <c r="B2495" s="44" t="n">
        <v>46238</v>
      </c>
      <c r="C2495" s="31" t="s">
        <v>60</v>
      </c>
      <c r="D2495" s="31" t="s">
        <v>66</v>
      </c>
      <c r="E2495" s="31" t="s">
        <v>51</v>
      </c>
      <c r="F2495" s="31" t="s">
        <v>135</v>
      </c>
      <c r="G2495" s="31" t="n">
        <v>3</v>
      </c>
      <c r="H2495" s="41" t="n">
        <v>8.4</v>
      </c>
      <c r="I2495" s="31" t="s">
        <v>149</v>
      </c>
      <c r="J2495" s="31"/>
      <c r="K2495" s="31" t="s">
        <v>150</v>
      </c>
      <c r="L2495" s="45" t="n">
        <f aca="false">DATE(YEAR(B2495),MONTH(B2495),1)</f>
        <v>46235</v>
      </c>
      <c r="M2495" s="31" t="n">
        <f aca="false">WEEKDAY(B2495,2)</f>
        <v>2</v>
      </c>
      <c r="N2495" s="31" t="str">
        <f aca="false">IF(G2495&lt;=INDEX(Assumptions!$B$15:$B$18,MATCH(E2495,Assumptions!$A$15:$A$18,0)),"Yes","No")</f>
        <v>Yes</v>
      </c>
      <c r="O2495" s="31" t="str">
        <f aca="false">IF(H2495="","Open",IF(H2495&lt;=INDEX(Assumptions!$C$15:$C$18,MATCH(E2495,Assumptions!$A$15:$A$18,0)),"Yes","No"))</f>
        <v>Yes</v>
      </c>
    </row>
    <row r="2496" customFormat="false" ht="15" hidden="false" customHeight="false" outlineLevel="0" collapsed="false">
      <c r="A2496" s="31" t="s">
        <v>2646</v>
      </c>
      <c r="B2496" s="44" t="n">
        <v>46238</v>
      </c>
      <c r="C2496" s="31" t="s">
        <v>60</v>
      </c>
      <c r="D2496" s="31" t="s">
        <v>66</v>
      </c>
      <c r="E2496" s="31" t="s">
        <v>51</v>
      </c>
      <c r="F2496" s="31" t="s">
        <v>133</v>
      </c>
      <c r="G2496" s="31" t="n">
        <v>3</v>
      </c>
      <c r="H2496" s="41" t="n">
        <v>2.4</v>
      </c>
      <c r="I2496" s="31" t="s">
        <v>149</v>
      </c>
      <c r="J2496" s="31"/>
      <c r="K2496" s="31" t="s">
        <v>150</v>
      </c>
      <c r="L2496" s="45" t="n">
        <f aca="false">DATE(YEAR(B2496),MONTH(B2496),1)</f>
        <v>46235</v>
      </c>
      <c r="M2496" s="31" t="n">
        <f aca="false">WEEKDAY(B2496,2)</f>
        <v>2</v>
      </c>
      <c r="N2496" s="31" t="str">
        <f aca="false">IF(G2496&lt;=INDEX(Assumptions!$B$15:$B$18,MATCH(E2496,Assumptions!$A$15:$A$18,0)),"Yes","No")</f>
        <v>Yes</v>
      </c>
      <c r="O2496" s="31" t="str">
        <f aca="false">IF(H2496="","Open",IF(H2496&lt;=INDEX(Assumptions!$C$15:$C$18,MATCH(E2496,Assumptions!$A$15:$A$18,0)),"Yes","No"))</f>
        <v>Yes</v>
      </c>
    </row>
    <row r="2497" customFormat="false" ht="15" hidden="false" customHeight="false" outlineLevel="0" collapsed="false">
      <c r="A2497" s="31" t="s">
        <v>2647</v>
      </c>
      <c r="B2497" s="44" t="n">
        <v>46238</v>
      </c>
      <c r="C2497" s="31" t="s">
        <v>57</v>
      </c>
      <c r="D2497" s="31" t="s">
        <v>67</v>
      </c>
      <c r="E2497" s="31" t="s">
        <v>51</v>
      </c>
      <c r="F2497" s="31" t="s">
        <v>126</v>
      </c>
      <c r="G2497" s="31" t="n">
        <v>2</v>
      </c>
      <c r="H2497" s="41" t="n">
        <v>10</v>
      </c>
      <c r="I2497" s="31" t="s">
        <v>64</v>
      </c>
      <c r="J2497" s="31"/>
      <c r="K2497" s="31" t="s">
        <v>153</v>
      </c>
      <c r="L2497" s="45" t="n">
        <f aca="false">DATE(YEAR(B2497),MONTH(B2497),1)</f>
        <v>46235</v>
      </c>
      <c r="M2497" s="31" t="n">
        <f aca="false">WEEKDAY(B2497,2)</f>
        <v>2</v>
      </c>
      <c r="N2497" s="31" t="str">
        <f aca="false">IF(G2497&lt;=INDEX(Assumptions!$B$15:$B$18,MATCH(E2497,Assumptions!$A$15:$A$18,0)),"Yes","No")</f>
        <v>Yes</v>
      </c>
      <c r="O2497" s="31" t="str">
        <f aca="false">IF(H2497="","Open",IF(H2497&lt;=INDEX(Assumptions!$C$15:$C$18,MATCH(E2497,Assumptions!$A$15:$A$18,0)),"Yes","No"))</f>
        <v>Yes</v>
      </c>
    </row>
    <row r="2498" customFormat="false" ht="15" hidden="false" customHeight="false" outlineLevel="0" collapsed="false">
      <c r="A2498" s="31" t="s">
        <v>2648</v>
      </c>
      <c r="B2498" s="44" t="n">
        <v>46238</v>
      </c>
      <c r="C2498" s="31" t="s">
        <v>57</v>
      </c>
      <c r="D2498" s="31" t="s">
        <v>66</v>
      </c>
      <c r="E2498" s="31" t="s">
        <v>49</v>
      </c>
      <c r="F2498" s="31" t="s">
        <v>117</v>
      </c>
      <c r="G2498" s="31" t="n">
        <v>2</v>
      </c>
      <c r="H2498" s="41" t="n">
        <v>0.3</v>
      </c>
      <c r="I2498" s="31" t="s">
        <v>149</v>
      </c>
      <c r="J2498" s="31" t="n">
        <v>5</v>
      </c>
      <c r="K2498" s="31" t="s">
        <v>150</v>
      </c>
      <c r="L2498" s="45" t="n">
        <f aca="false">DATE(YEAR(B2498),MONTH(B2498),1)</f>
        <v>46235</v>
      </c>
      <c r="M2498" s="31" t="n">
        <f aca="false">WEEKDAY(B2498,2)</f>
        <v>2</v>
      </c>
      <c r="N2498" s="31" t="str">
        <f aca="false">IF(G2498&lt;=INDEX(Assumptions!$B$15:$B$18,MATCH(E2498,Assumptions!$A$15:$A$18,0)),"Yes","No")</f>
        <v>Yes</v>
      </c>
      <c r="O2498" s="31" t="str">
        <f aca="false">IF(H2498="","Open",IF(H2498&lt;=INDEX(Assumptions!$C$15:$C$18,MATCH(E2498,Assumptions!$A$15:$A$18,0)),"Yes","No"))</f>
        <v>Yes</v>
      </c>
    </row>
    <row r="2499" customFormat="false" ht="15" hidden="false" customHeight="false" outlineLevel="0" collapsed="false">
      <c r="A2499" s="31" t="s">
        <v>2649</v>
      </c>
      <c r="B2499" s="44" t="n">
        <v>46238</v>
      </c>
      <c r="C2499" s="31" t="s">
        <v>57</v>
      </c>
      <c r="D2499" s="31" t="s">
        <v>65</v>
      </c>
      <c r="E2499" s="31" t="s">
        <v>51</v>
      </c>
      <c r="F2499" s="31" t="s">
        <v>126</v>
      </c>
      <c r="G2499" s="31" t="n">
        <v>1</v>
      </c>
      <c r="H2499" s="41" t="n">
        <v>12.1</v>
      </c>
      <c r="I2499" s="31" t="s">
        <v>64</v>
      </c>
      <c r="J2499" s="31"/>
      <c r="K2499" s="31" t="s">
        <v>150</v>
      </c>
      <c r="L2499" s="45" t="n">
        <f aca="false">DATE(YEAR(B2499),MONTH(B2499),1)</f>
        <v>46235</v>
      </c>
      <c r="M2499" s="31" t="n">
        <f aca="false">WEEKDAY(B2499,2)</f>
        <v>2</v>
      </c>
      <c r="N2499" s="31" t="str">
        <f aca="false">IF(G2499&lt;=INDEX(Assumptions!$B$15:$B$18,MATCH(E2499,Assumptions!$A$15:$A$18,0)),"Yes","No")</f>
        <v>Yes</v>
      </c>
      <c r="O2499" s="31" t="str">
        <f aca="false">IF(H2499="","Open",IF(H2499&lt;=INDEX(Assumptions!$C$15:$C$18,MATCH(E2499,Assumptions!$A$15:$A$18,0)),"Yes","No"))</f>
        <v>Yes</v>
      </c>
    </row>
    <row r="2500" customFormat="false" ht="15" hidden="false" customHeight="false" outlineLevel="0" collapsed="false">
      <c r="A2500" s="31" t="s">
        <v>2650</v>
      </c>
      <c r="B2500" s="44" t="n">
        <v>46238</v>
      </c>
      <c r="C2500" s="31" t="s">
        <v>57</v>
      </c>
      <c r="D2500" s="31" t="s">
        <v>67</v>
      </c>
      <c r="E2500" s="31" t="s">
        <v>51</v>
      </c>
      <c r="F2500" s="31" t="s">
        <v>127</v>
      </c>
      <c r="G2500" s="31" t="n">
        <v>3</v>
      </c>
      <c r="H2500" s="41" t="n">
        <v>6.7</v>
      </c>
      <c r="I2500" s="31" t="s">
        <v>149</v>
      </c>
      <c r="J2500" s="31"/>
      <c r="K2500" s="31" t="s">
        <v>150</v>
      </c>
      <c r="L2500" s="45" t="n">
        <f aca="false">DATE(YEAR(B2500),MONTH(B2500),1)</f>
        <v>46235</v>
      </c>
      <c r="M2500" s="31" t="n">
        <f aca="false">WEEKDAY(B2500,2)</f>
        <v>2</v>
      </c>
      <c r="N2500" s="31" t="str">
        <f aca="false">IF(G2500&lt;=INDEX(Assumptions!$B$15:$B$18,MATCH(E2500,Assumptions!$A$15:$A$18,0)),"Yes","No")</f>
        <v>Yes</v>
      </c>
      <c r="O2500" s="31" t="str">
        <f aca="false">IF(H2500="","Open",IF(H2500&lt;=INDEX(Assumptions!$C$15:$C$18,MATCH(E2500,Assumptions!$A$15:$A$18,0)),"Yes","No"))</f>
        <v>Yes</v>
      </c>
    </row>
    <row r="2501" customFormat="false" ht="15" hidden="false" customHeight="false" outlineLevel="0" collapsed="false">
      <c r="A2501" s="31" t="s">
        <v>2651</v>
      </c>
      <c r="B2501" s="44" t="n">
        <v>46238</v>
      </c>
      <c r="C2501" s="31" t="s">
        <v>60</v>
      </c>
      <c r="D2501" s="31" t="s">
        <v>68</v>
      </c>
      <c r="E2501" s="31" t="s">
        <v>49</v>
      </c>
      <c r="F2501" s="31" t="s">
        <v>119</v>
      </c>
      <c r="G2501" s="31" t="n">
        <v>2</v>
      </c>
      <c r="H2501" s="41" t="n">
        <v>0.6</v>
      </c>
      <c r="I2501" s="31" t="s">
        <v>149</v>
      </c>
      <c r="J2501" s="31" t="n">
        <v>2</v>
      </c>
      <c r="K2501" s="31" t="s">
        <v>150</v>
      </c>
      <c r="L2501" s="45" t="n">
        <f aca="false">DATE(YEAR(B2501),MONTH(B2501),1)</f>
        <v>46235</v>
      </c>
      <c r="M2501" s="31" t="n">
        <f aca="false">WEEKDAY(B2501,2)</f>
        <v>2</v>
      </c>
      <c r="N2501" s="31" t="str">
        <f aca="false">IF(G2501&lt;=INDEX(Assumptions!$B$15:$B$18,MATCH(E2501,Assumptions!$A$15:$A$18,0)),"Yes","No")</f>
        <v>Yes</v>
      </c>
      <c r="O2501" s="31" t="str">
        <f aca="false">IF(H2501="","Open",IF(H2501&lt;=INDEX(Assumptions!$C$15:$C$18,MATCH(E2501,Assumptions!$A$15:$A$18,0)),"Yes","No"))</f>
        <v>Yes</v>
      </c>
    </row>
    <row r="2502" customFormat="false" ht="15" hidden="false" customHeight="false" outlineLevel="0" collapsed="false">
      <c r="A2502" s="31" t="s">
        <v>2652</v>
      </c>
      <c r="B2502" s="44" t="n">
        <v>46238</v>
      </c>
      <c r="C2502" s="31" t="s">
        <v>58</v>
      </c>
      <c r="D2502" s="31" t="s">
        <v>67</v>
      </c>
      <c r="E2502" s="31" t="s">
        <v>52</v>
      </c>
      <c r="F2502" s="31" t="s">
        <v>127</v>
      </c>
      <c r="G2502" s="31" t="n">
        <v>13</v>
      </c>
      <c r="H2502" s="41" t="n">
        <v>21.4</v>
      </c>
      <c r="I2502" s="31" t="s">
        <v>149</v>
      </c>
      <c r="J2502" s="31" t="n">
        <v>4</v>
      </c>
      <c r="K2502" s="31" t="s">
        <v>150</v>
      </c>
      <c r="L2502" s="45" t="n">
        <f aca="false">DATE(YEAR(B2502),MONTH(B2502),1)</f>
        <v>46235</v>
      </c>
      <c r="M2502" s="31" t="n">
        <f aca="false">WEEKDAY(B2502,2)</f>
        <v>2</v>
      </c>
      <c r="N2502" s="31" t="str">
        <f aca="false">IF(G2502&lt;=INDEX(Assumptions!$B$15:$B$18,MATCH(E2502,Assumptions!$A$15:$A$18,0)),"Yes","No")</f>
        <v>Yes</v>
      </c>
      <c r="O2502" s="31" t="str">
        <f aca="false">IF(H2502="","Open",IF(H2502&lt;=INDEX(Assumptions!$C$15:$C$18,MATCH(E2502,Assumptions!$A$15:$A$18,0)),"Yes","No"))</f>
        <v>Yes</v>
      </c>
    </row>
    <row r="2503" customFormat="false" ht="15" hidden="false" customHeight="false" outlineLevel="0" collapsed="false">
      <c r="A2503" s="31" t="s">
        <v>2653</v>
      </c>
      <c r="B2503" s="44" t="n">
        <v>46238</v>
      </c>
      <c r="C2503" s="31" t="s">
        <v>60</v>
      </c>
      <c r="D2503" s="31" t="s">
        <v>65</v>
      </c>
      <c r="E2503" s="31" t="s">
        <v>51</v>
      </c>
      <c r="F2503" s="31" t="s">
        <v>128</v>
      </c>
      <c r="G2503" s="31" t="n">
        <v>1</v>
      </c>
      <c r="H2503" s="41" t="n">
        <v>91.8</v>
      </c>
      <c r="I2503" s="31" t="s">
        <v>149</v>
      </c>
      <c r="J2503" s="31" t="n">
        <v>3</v>
      </c>
      <c r="K2503" s="31" t="s">
        <v>150</v>
      </c>
      <c r="L2503" s="45" t="n">
        <f aca="false">DATE(YEAR(B2503),MONTH(B2503),1)</f>
        <v>46235</v>
      </c>
      <c r="M2503" s="31" t="n">
        <f aca="false">WEEKDAY(B2503,2)</f>
        <v>2</v>
      </c>
      <c r="N2503" s="31" t="str">
        <f aca="false">IF(G2503&lt;=INDEX(Assumptions!$B$15:$B$18,MATCH(E2503,Assumptions!$A$15:$A$18,0)),"Yes","No")</f>
        <v>Yes</v>
      </c>
      <c r="O2503" s="31" t="str">
        <f aca="false">IF(H2503="","Open",IF(H2503&lt;=INDEX(Assumptions!$C$15:$C$18,MATCH(E2503,Assumptions!$A$15:$A$18,0)),"Yes","No"))</f>
        <v>No</v>
      </c>
    </row>
    <row r="2504" customFormat="false" ht="15" hidden="false" customHeight="false" outlineLevel="0" collapsed="false">
      <c r="A2504" s="31" t="s">
        <v>2654</v>
      </c>
      <c r="B2504" s="44" t="n">
        <v>46239</v>
      </c>
      <c r="C2504" s="31" t="s">
        <v>60</v>
      </c>
      <c r="D2504" s="31" t="s">
        <v>65</v>
      </c>
      <c r="E2504" s="31" t="s">
        <v>51</v>
      </c>
      <c r="F2504" s="31" t="s">
        <v>133</v>
      </c>
      <c r="G2504" s="31" t="n">
        <v>1</v>
      </c>
      <c r="H2504" s="41" t="n">
        <v>5.2</v>
      </c>
      <c r="I2504" s="31" t="s">
        <v>149</v>
      </c>
      <c r="J2504" s="31"/>
      <c r="K2504" s="31" t="s">
        <v>150</v>
      </c>
      <c r="L2504" s="45" t="n">
        <f aca="false">DATE(YEAR(B2504),MONTH(B2504),1)</f>
        <v>46235</v>
      </c>
      <c r="M2504" s="31" t="n">
        <f aca="false">WEEKDAY(B2504,2)</f>
        <v>3</v>
      </c>
      <c r="N2504" s="31" t="str">
        <f aca="false">IF(G2504&lt;=INDEX(Assumptions!$B$15:$B$18,MATCH(E2504,Assumptions!$A$15:$A$18,0)),"Yes","No")</f>
        <v>Yes</v>
      </c>
      <c r="O2504" s="31" t="str">
        <f aca="false">IF(H2504="","Open",IF(H2504&lt;=INDEX(Assumptions!$C$15:$C$18,MATCH(E2504,Assumptions!$A$15:$A$18,0)),"Yes","No"))</f>
        <v>Yes</v>
      </c>
    </row>
    <row r="2505" customFormat="false" ht="15" hidden="false" customHeight="false" outlineLevel="0" collapsed="false">
      <c r="A2505" s="31" t="s">
        <v>2655</v>
      </c>
      <c r="B2505" s="44" t="n">
        <v>46239</v>
      </c>
      <c r="C2505" s="31" t="s">
        <v>59</v>
      </c>
      <c r="D2505" s="31" t="s">
        <v>68</v>
      </c>
      <c r="E2505" s="31" t="s">
        <v>50</v>
      </c>
      <c r="F2505" s="31" t="s">
        <v>137</v>
      </c>
      <c r="G2505" s="31" t="n">
        <v>65</v>
      </c>
      <c r="H2505" s="41" t="n">
        <v>6.5</v>
      </c>
      <c r="I2505" s="31" t="s">
        <v>149</v>
      </c>
      <c r="J2505" s="31"/>
      <c r="K2505" s="31" t="s">
        <v>150</v>
      </c>
      <c r="L2505" s="45" t="n">
        <f aca="false">DATE(YEAR(B2505),MONTH(B2505),1)</f>
        <v>46235</v>
      </c>
      <c r="M2505" s="31" t="n">
        <f aca="false">WEEKDAY(B2505,2)</f>
        <v>3</v>
      </c>
      <c r="N2505" s="31" t="str">
        <f aca="false">IF(G2505&lt;=INDEX(Assumptions!$B$15:$B$18,MATCH(E2505,Assumptions!$A$15:$A$18,0)),"Yes","No")</f>
        <v>No</v>
      </c>
      <c r="O2505" s="31" t="str">
        <f aca="false">IF(H2505="","Open",IF(H2505&lt;=INDEX(Assumptions!$C$15:$C$18,MATCH(E2505,Assumptions!$A$15:$A$18,0)),"Yes","No"))</f>
        <v>Yes</v>
      </c>
    </row>
    <row r="2506" customFormat="false" ht="15" hidden="false" customHeight="false" outlineLevel="0" collapsed="false">
      <c r="A2506" s="31" t="s">
        <v>2656</v>
      </c>
      <c r="B2506" s="44" t="n">
        <v>46239</v>
      </c>
      <c r="C2506" s="31" t="s">
        <v>60</v>
      </c>
      <c r="D2506" s="31" t="s">
        <v>65</v>
      </c>
      <c r="E2506" s="31" t="s">
        <v>52</v>
      </c>
      <c r="F2506" s="31" t="s">
        <v>136</v>
      </c>
      <c r="G2506" s="31" t="n">
        <v>2</v>
      </c>
      <c r="H2506" s="41" t="n">
        <v>53.8</v>
      </c>
      <c r="I2506" s="31" t="s">
        <v>149</v>
      </c>
      <c r="J2506" s="31" t="n">
        <v>5</v>
      </c>
      <c r="K2506" s="31" t="s">
        <v>150</v>
      </c>
      <c r="L2506" s="45" t="n">
        <f aca="false">DATE(YEAR(B2506),MONTH(B2506),1)</f>
        <v>46235</v>
      </c>
      <c r="M2506" s="31" t="n">
        <f aca="false">WEEKDAY(B2506,2)</f>
        <v>3</v>
      </c>
      <c r="N2506" s="31" t="str">
        <f aca="false">IF(G2506&lt;=INDEX(Assumptions!$B$15:$B$18,MATCH(E2506,Assumptions!$A$15:$A$18,0)),"Yes","No")</f>
        <v>Yes</v>
      </c>
      <c r="O2506" s="31" t="str">
        <f aca="false">IF(H2506="","Open",IF(H2506&lt;=INDEX(Assumptions!$C$15:$C$18,MATCH(E2506,Assumptions!$A$15:$A$18,0)),"Yes","No"))</f>
        <v>Yes</v>
      </c>
    </row>
    <row r="2507" customFormat="false" ht="15" hidden="false" customHeight="false" outlineLevel="0" collapsed="false">
      <c r="A2507" s="31" t="s">
        <v>2657</v>
      </c>
      <c r="B2507" s="44" t="n">
        <v>46239</v>
      </c>
      <c r="C2507" s="31" t="s">
        <v>58</v>
      </c>
      <c r="D2507" s="31" t="s">
        <v>67</v>
      </c>
      <c r="E2507" s="31" t="s">
        <v>51</v>
      </c>
      <c r="F2507" s="31" t="s">
        <v>121</v>
      </c>
      <c r="G2507" s="31" t="n">
        <v>54</v>
      </c>
      <c r="H2507" s="41" t="n">
        <v>21.5</v>
      </c>
      <c r="I2507" s="31" t="s">
        <v>149</v>
      </c>
      <c r="J2507" s="31"/>
      <c r="K2507" s="31" t="s">
        <v>150</v>
      </c>
      <c r="L2507" s="45" t="n">
        <f aca="false">DATE(YEAR(B2507),MONTH(B2507),1)</f>
        <v>46235</v>
      </c>
      <c r="M2507" s="31" t="n">
        <f aca="false">WEEKDAY(B2507,2)</f>
        <v>3</v>
      </c>
      <c r="N2507" s="31" t="str">
        <f aca="false">IF(G2507&lt;=INDEX(Assumptions!$B$15:$B$18,MATCH(E2507,Assumptions!$A$15:$A$18,0)),"Yes","No")</f>
        <v>Yes</v>
      </c>
      <c r="O2507" s="31" t="str">
        <f aca="false">IF(H2507="","Open",IF(H2507&lt;=INDEX(Assumptions!$C$15:$C$18,MATCH(E2507,Assumptions!$A$15:$A$18,0)),"Yes","No"))</f>
        <v>Yes</v>
      </c>
    </row>
    <row r="2508" customFormat="false" ht="15" hidden="false" customHeight="false" outlineLevel="0" collapsed="false">
      <c r="A2508" s="31" t="s">
        <v>2658</v>
      </c>
      <c r="B2508" s="44" t="n">
        <v>46239</v>
      </c>
      <c r="C2508" s="31" t="s">
        <v>57</v>
      </c>
      <c r="D2508" s="31" t="s">
        <v>67</v>
      </c>
      <c r="E2508" s="31" t="s">
        <v>51</v>
      </c>
      <c r="F2508" s="31" t="s">
        <v>117</v>
      </c>
      <c r="G2508" s="31" t="n">
        <v>3</v>
      </c>
      <c r="H2508" s="41" t="n">
        <v>5.8</v>
      </c>
      <c r="I2508" s="31" t="s">
        <v>149</v>
      </c>
      <c r="J2508" s="31" t="n">
        <v>5</v>
      </c>
      <c r="K2508" s="31" t="s">
        <v>150</v>
      </c>
      <c r="L2508" s="45" t="n">
        <f aca="false">DATE(YEAR(B2508),MONTH(B2508),1)</f>
        <v>46235</v>
      </c>
      <c r="M2508" s="31" t="n">
        <f aca="false">WEEKDAY(B2508,2)</f>
        <v>3</v>
      </c>
      <c r="N2508" s="31" t="str">
        <f aca="false">IF(G2508&lt;=INDEX(Assumptions!$B$15:$B$18,MATCH(E2508,Assumptions!$A$15:$A$18,0)),"Yes","No")</f>
        <v>Yes</v>
      </c>
      <c r="O2508" s="31" t="str">
        <f aca="false">IF(H2508="","Open",IF(H2508&lt;=INDEX(Assumptions!$C$15:$C$18,MATCH(E2508,Assumptions!$A$15:$A$18,0)),"Yes","No"))</f>
        <v>Yes</v>
      </c>
    </row>
    <row r="2509" customFormat="false" ht="15" hidden="false" customHeight="false" outlineLevel="0" collapsed="false">
      <c r="A2509" s="31" t="s">
        <v>2659</v>
      </c>
      <c r="B2509" s="44" t="n">
        <v>46239</v>
      </c>
      <c r="C2509" s="31" t="s">
        <v>58</v>
      </c>
      <c r="D2509" s="31" t="s">
        <v>66</v>
      </c>
      <c r="E2509" s="31" t="s">
        <v>50</v>
      </c>
      <c r="F2509" s="31" t="s">
        <v>117</v>
      </c>
      <c r="G2509" s="31" t="n">
        <v>6</v>
      </c>
      <c r="H2509" s="41" t="n">
        <v>2.2</v>
      </c>
      <c r="I2509" s="31" t="s">
        <v>149</v>
      </c>
      <c r="J2509" s="31" t="n">
        <v>4</v>
      </c>
      <c r="K2509" s="31" t="s">
        <v>150</v>
      </c>
      <c r="L2509" s="45" t="n">
        <f aca="false">DATE(YEAR(B2509),MONTH(B2509),1)</f>
        <v>46235</v>
      </c>
      <c r="M2509" s="31" t="n">
        <f aca="false">WEEKDAY(B2509,2)</f>
        <v>3</v>
      </c>
      <c r="N2509" s="31" t="str">
        <f aca="false">IF(G2509&lt;=INDEX(Assumptions!$B$15:$B$18,MATCH(E2509,Assumptions!$A$15:$A$18,0)),"Yes","No")</f>
        <v>Yes</v>
      </c>
      <c r="O2509" s="31" t="str">
        <f aca="false">IF(H2509="","Open",IF(H2509&lt;=INDEX(Assumptions!$C$15:$C$18,MATCH(E2509,Assumptions!$A$15:$A$18,0)),"Yes","No"))</f>
        <v>Yes</v>
      </c>
    </row>
    <row r="2510" customFormat="false" ht="15" hidden="false" customHeight="false" outlineLevel="0" collapsed="false">
      <c r="A2510" s="31" t="s">
        <v>2660</v>
      </c>
      <c r="B2510" s="44" t="n">
        <v>46239</v>
      </c>
      <c r="C2510" s="31" t="s">
        <v>57</v>
      </c>
      <c r="D2510" s="31" t="s">
        <v>66</v>
      </c>
      <c r="E2510" s="31" t="s">
        <v>52</v>
      </c>
      <c r="F2510" s="31" t="s">
        <v>136</v>
      </c>
      <c r="G2510" s="31" t="n">
        <v>1</v>
      </c>
      <c r="H2510" s="41" t="n">
        <v>6.6</v>
      </c>
      <c r="I2510" s="31" t="s">
        <v>64</v>
      </c>
      <c r="J2510" s="31"/>
      <c r="K2510" s="31" t="s">
        <v>150</v>
      </c>
      <c r="L2510" s="45" t="n">
        <f aca="false">DATE(YEAR(B2510),MONTH(B2510),1)</f>
        <v>46235</v>
      </c>
      <c r="M2510" s="31" t="n">
        <f aca="false">WEEKDAY(B2510,2)</f>
        <v>3</v>
      </c>
      <c r="N2510" s="31" t="str">
        <f aca="false">IF(G2510&lt;=INDEX(Assumptions!$B$15:$B$18,MATCH(E2510,Assumptions!$A$15:$A$18,0)),"Yes","No")</f>
        <v>Yes</v>
      </c>
      <c r="O2510" s="31" t="str">
        <f aca="false">IF(H2510="","Open",IF(H2510&lt;=INDEX(Assumptions!$C$15:$C$18,MATCH(E2510,Assumptions!$A$15:$A$18,0)),"Yes","No"))</f>
        <v>Yes</v>
      </c>
    </row>
    <row r="2511" customFormat="false" ht="15" hidden="false" customHeight="false" outlineLevel="0" collapsed="false">
      <c r="A2511" s="31" t="s">
        <v>2661</v>
      </c>
      <c r="B2511" s="44" t="n">
        <v>46239</v>
      </c>
      <c r="C2511" s="31" t="s">
        <v>57</v>
      </c>
      <c r="D2511" s="31" t="s">
        <v>66</v>
      </c>
      <c r="E2511" s="31" t="s">
        <v>50</v>
      </c>
      <c r="F2511" s="31" t="s">
        <v>127</v>
      </c>
      <c r="G2511" s="31" t="n">
        <v>3</v>
      </c>
      <c r="H2511" s="41" t="n">
        <v>1</v>
      </c>
      <c r="I2511" s="31" t="s">
        <v>149</v>
      </c>
      <c r="J2511" s="31"/>
      <c r="K2511" s="31" t="s">
        <v>150</v>
      </c>
      <c r="L2511" s="45" t="n">
        <f aca="false">DATE(YEAR(B2511),MONTH(B2511),1)</f>
        <v>46235</v>
      </c>
      <c r="M2511" s="31" t="n">
        <f aca="false">WEEKDAY(B2511,2)</f>
        <v>3</v>
      </c>
      <c r="N2511" s="31" t="str">
        <f aca="false">IF(G2511&lt;=INDEX(Assumptions!$B$15:$B$18,MATCH(E2511,Assumptions!$A$15:$A$18,0)),"Yes","No")</f>
        <v>Yes</v>
      </c>
      <c r="O2511" s="31" t="str">
        <f aca="false">IF(H2511="","Open",IF(H2511&lt;=INDEX(Assumptions!$C$15:$C$18,MATCH(E2511,Assumptions!$A$15:$A$18,0)),"Yes","No"))</f>
        <v>Yes</v>
      </c>
    </row>
    <row r="2512" customFormat="false" ht="15" hidden="false" customHeight="false" outlineLevel="0" collapsed="false">
      <c r="A2512" s="31" t="s">
        <v>2662</v>
      </c>
      <c r="B2512" s="44" t="n">
        <v>46239</v>
      </c>
      <c r="C2512" s="31" t="s">
        <v>58</v>
      </c>
      <c r="D2512" s="31" t="s">
        <v>66</v>
      </c>
      <c r="E2512" s="31" t="s">
        <v>52</v>
      </c>
      <c r="F2512" s="31" t="s">
        <v>134</v>
      </c>
      <c r="G2512" s="31" t="n">
        <v>30</v>
      </c>
      <c r="H2512" s="41" t="n">
        <v>12.6</v>
      </c>
      <c r="I2512" s="31" t="s">
        <v>149</v>
      </c>
      <c r="J2512" s="31" t="n">
        <v>4</v>
      </c>
      <c r="K2512" s="31" t="s">
        <v>150</v>
      </c>
      <c r="L2512" s="45" t="n">
        <f aca="false">DATE(YEAR(B2512),MONTH(B2512),1)</f>
        <v>46235</v>
      </c>
      <c r="M2512" s="31" t="n">
        <f aca="false">WEEKDAY(B2512,2)</f>
        <v>3</v>
      </c>
      <c r="N2512" s="31" t="str">
        <f aca="false">IF(G2512&lt;=INDEX(Assumptions!$B$15:$B$18,MATCH(E2512,Assumptions!$A$15:$A$18,0)),"Yes","No")</f>
        <v>Yes</v>
      </c>
      <c r="O2512" s="31" t="str">
        <f aca="false">IF(H2512="","Open",IF(H2512&lt;=INDEX(Assumptions!$C$15:$C$18,MATCH(E2512,Assumptions!$A$15:$A$18,0)),"Yes","No"))</f>
        <v>Yes</v>
      </c>
    </row>
    <row r="2513" customFormat="false" ht="15" hidden="false" customHeight="false" outlineLevel="0" collapsed="false">
      <c r="A2513" s="31" t="s">
        <v>2663</v>
      </c>
      <c r="B2513" s="44" t="n">
        <v>46239</v>
      </c>
      <c r="C2513" s="31" t="s">
        <v>57</v>
      </c>
      <c r="D2513" s="31" t="s">
        <v>67</v>
      </c>
      <c r="E2513" s="31" t="s">
        <v>50</v>
      </c>
      <c r="F2513" s="31" t="s">
        <v>127</v>
      </c>
      <c r="G2513" s="31" t="n">
        <v>3</v>
      </c>
      <c r="H2513" s="41" t="n">
        <v>11.3</v>
      </c>
      <c r="I2513" s="31" t="s">
        <v>149</v>
      </c>
      <c r="J2513" s="31"/>
      <c r="K2513" s="31" t="s">
        <v>150</v>
      </c>
      <c r="L2513" s="45" t="n">
        <f aca="false">DATE(YEAR(B2513),MONTH(B2513),1)</f>
        <v>46235</v>
      </c>
      <c r="M2513" s="31" t="n">
        <f aca="false">WEEKDAY(B2513,2)</f>
        <v>3</v>
      </c>
      <c r="N2513" s="31" t="str">
        <f aca="false">IF(G2513&lt;=INDEX(Assumptions!$B$15:$B$18,MATCH(E2513,Assumptions!$A$15:$A$18,0)),"Yes","No")</f>
        <v>Yes</v>
      </c>
      <c r="O2513" s="31" t="str">
        <f aca="false">IF(H2513="","Open",IF(H2513&lt;=INDEX(Assumptions!$C$15:$C$18,MATCH(E2513,Assumptions!$A$15:$A$18,0)),"Yes","No"))</f>
        <v>No</v>
      </c>
    </row>
    <row r="2514" customFormat="false" ht="15" hidden="false" customHeight="false" outlineLevel="0" collapsed="false">
      <c r="A2514" s="31" t="s">
        <v>2664</v>
      </c>
      <c r="B2514" s="44" t="n">
        <v>46239</v>
      </c>
      <c r="C2514" s="31" t="s">
        <v>60</v>
      </c>
      <c r="D2514" s="31" t="s">
        <v>67</v>
      </c>
      <c r="E2514" s="31" t="s">
        <v>51</v>
      </c>
      <c r="F2514" s="31" t="s">
        <v>133</v>
      </c>
      <c r="G2514" s="31" t="n">
        <v>4</v>
      </c>
      <c r="H2514" s="41" t="n">
        <v>18.6</v>
      </c>
      <c r="I2514" s="31" t="s">
        <v>149</v>
      </c>
      <c r="J2514" s="31" t="n">
        <v>5</v>
      </c>
      <c r="K2514" s="31" t="s">
        <v>150</v>
      </c>
      <c r="L2514" s="45" t="n">
        <f aca="false">DATE(YEAR(B2514),MONTH(B2514),1)</f>
        <v>46235</v>
      </c>
      <c r="M2514" s="31" t="n">
        <f aca="false">WEEKDAY(B2514,2)</f>
        <v>3</v>
      </c>
      <c r="N2514" s="31" t="str">
        <f aca="false">IF(G2514&lt;=INDEX(Assumptions!$B$15:$B$18,MATCH(E2514,Assumptions!$A$15:$A$18,0)),"Yes","No")</f>
        <v>Yes</v>
      </c>
      <c r="O2514" s="31" t="str">
        <f aca="false">IF(H2514="","Open",IF(H2514&lt;=INDEX(Assumptions!$C$15:$C$18,MATCH(E2514,Assumptions!$A$15:$A$18,0)),"Yes","No"))</f>
        <v>Yes</v>
      </c>
    </row>
    <row r="2515" customFormat="false" ht="15" hidden="false" customHeight="false" outlineLevel="0" collapsed="false">
      <c r="A2515" s="31" t="s">
        <v>2665</v>
      </c>
      <c r="B2515" s="44" t="n">
        <v>46239</v>
      </c>
      <c r="C2515" s="31" t="s">
        <v>57</v>
      </c>
      <c r="D2515" s="31" t="s">
        <v>65</v>
      </c>
      <c r="E2515" s="31" t="s">
        <v>52</v>
      </c>
      <c r="F2515" s="31" t="s">
        <v>126</v>
      </c>
      <c r="G2515" s="31" t="n">
        <v>4</v>
      </c>
      <c r="H2515" s="41" t="n">
        <v>20.9</v>
      </c>
      <c r="I2515" s="31" t="s">
        <v>149</v>
      </c>
      <c r="J2515" s="31"/>
      <c r="K2515" s="31" t="s">
        <v>150</v>
      </c>
      <c r="L2515" s="45" t="n">
        <f aca="false">DATE(YEAR(B2515),MONTH(B2515),1)</f>
        <v>46235</v>
      </c>
      <c r="M2515" s="31" t="n">
        <f aca="false">WEEKDAY(B2515,2)</f>
        <v>3</v>
      </c>
      <c r="N2515" s="31" t="str">
        <f aca="false">IF(G2515&lt;=INDEX(Assumptions!$B$15:$B$18,MATCH(E2515,Assumptions!$A$15:$A$18,0)),"Yes","No")</f>
        <v>Yes</v>
      </c>
      <c r="O2515" s="31" t="str">
        <f aca="false">IF(H2515="","Open",IF(H2515&lt;=INDEX(Assumptions!$C$15:$C$18,MATCH(E2515,Assumptions!$A$15:$A$18,0)),"Yes","No"))</f>
        <v>Yes</v>
      </c>
    </row>
    <row r="2516" customFormat="false" ht="15" hidden="false" customHeight="false" outlineLevel="0" collapsed="false">
      <c r="A2516" s="31" t="s">
        <v>2666</v>
      </c>
      <c r="B2516" s="44" t="n">
        <v>46239</v>
      </c>
      <c r="C2516" s="31" t="s">
        <v>57</v>
      </c>
      <c r="D2516" s="31" t="s">
        <v>67</v>
      </c>
      <c r="E2516" s="31" t="s">
        <v>51</v>
      </c>
      <c r="F2516" s="31" t="s">
        <v>131</v>
      </c>
      <c r="G2516" s="31" t="n">
        <v>4</v>
      </c>
      <c r="H2516" s="41" t="n">
        <v>18.1</v>
      </c>
      <c r="I2516" s="31" t="s">
        <v>149</v>
      </c>
      <c r="J2516" s="31"/>
      <c r="K2516" s="31" t="s">
        <v>150</v>
      </c>
      <c r="L2516" s="45" t="n">
        <f aca="false">DATE(YEAR(B2516),MONTH(B2516),1)</f>
        <v>46235</v>
      </c>
      <c r="M2516" s="31" t="n">
        <f aca="false">WEEKDAY(B2516,2)</f>
        <v>3</v>
      </c>
      <c r="N2516" s="31" t="str">
        <f aca="false">IF(G2516&lt;=INDEX(Assumptions!$B$15:$B$18,MATCH(E2516,Assumptions!$A$15:$A$18,0)),"Yes","No")</f>
        <v>Yes</v>
      </c>
      <c r="O2516" s="31" t="str">
        <f aca="false">IF(H2516="","Open",IF(H2516&lt;=INDEX(Assumptions!$C$15:$C$18,MATCH(E2516,Assumptions!$A$15:$A$18,0)),"Yes","No"))</f>
        <v>Yes</v>
      </c>
    </row>
    <row r="2517" customFormat="false" ht="15" hidden="false" customHeight="false" outlineLevel="0" collapsed="false">
      <c r="A2517" s="31" t="s">
        <v>2667</v>
      </c>
      <c r="B2517" s="44" t="n">
        <v>46239</v>
      </c>
      <c r="C2517" s="31" t="s">
        <v>57</v>
      </c>
      <c r="D2517" s="31" t="s">
        <v>65</v>
      </c>
      <c r="E2517" s="31" t="s">
        <v>51</v>
      </c>
      <c r="F2517" s="31" t="s">
        <v>119</v>
      </c>
      <c r="G2517" s="31" t="n">
        <v>1</v>
      </c>
      <c r="H2517" s="41"/>
      <c r="I2517" s="31" t="s">
        <v>158</v>
      </c>
      <c r="J2517" s="31"/>
      <c r="K2517" s="31" t="s">
        <v>150</v>
      </c>
      <c r="L2517" s="45" t="n">
        <f aca="false">DATE(YEAR(B2517),MONTH(B2517),1)</f>
        <v>46235</v>
      </c>
      <c r="M2517" s="31" t="n">
        <f aca="false">WEEKDAY(B2517,2)</f>
        <v>3</v>
      </c>
      <c r="N2517" s="31" t="str">
        <f aca="false">IF(G2517&lt;=INDEX(Assumptions!$B$15:$B$18,MATCH(E2517,Assumptions!$A$15:$A$18,0)),"Yes","No")</f>
        <v>Yes</v>
      </c>
      <c r="O2517" s="31" t="str">
        <f aca="false">IF(H2517="","Open",IF(H2517&lt;=INDEX(Assumptions!$C$15:$C$18,MATCH(E2517,Assumptions!$A$15:$A$18,0)),"Yes","No"))</f>
        <v>Open</v>
      </c>
    </row>
    <row r="2518" customFormat="false" ht="15" hidden="false" customHeight="false" outlineLevel="0" collapsed="false">
      <c r="A2518" s="31" t="s">
        <v>2668</v>
      </c>
      <c r="B2518" s="44" t="n">
        <v>46239</v>
      </c>
      <c r="C2518" s="31" t="s">
        <v>57</v>
      </c>
      <c r="D2518" s="31" t="s">
        <v>66</v>
      </c>
      <c r="E2518" s="31" t="s">
        <v>52</v>
      </c>
      <c r="F2518" s="31" t="s">
        <v>123</v>
      </c>
      <c r="G2518" s="31" t="n">
        <v>20</v>
      </c>
      <c r="H2518" s="41" t="n">
        <v>5.4</v>
      </c>
      <c r="I2518" s="31" t="s">
        <v>149</v>
      </c>
      <c r="J2518" s="31" t="n">
        <v>5</v>
      </c>
      <c r="K2518" s="31" t="s">
        <v>153</v>
      </c>
      <c r="L2518" s="45" t="n">
        <f aca="false">DATE(YEAR(B2518),MONTH(B2518),1)</f>
        <v>46235</v>
      </c>
      <c r="M2518" s="31" t="n">
        <f aca="false">WEEKDAY(B2518,2)</f>
        <v>3</v>
      </c>
      <c r="N2518" s="31" t="str">
        <f aca="false">IF(G2518&lt;=INDEX(Assumptions!$B$15:$B$18,MATCH(E2518,Assumptions!$A$15:$A$18,0)),"Yes","No")</f>
        <v>Yes</v>
      </c>
      <c r="O2518" s="31" t="str">
        <f aca="false">IF(H2518="","Open",IF(H2518&lt;=INDEX(Assumptions!$C$15:$C$18,MATCH(E2518,Assumptions!$A$15:$A$18,0)),"Yes","No"))</f>
        <v>Yes</v>
      </c>
    </row>
    <row r="2519" customFormat="false" ht="15" hidden="false" customHeight="false" outlineLevel="0" collapsed="false">
      <c r="A2519" s="31" t="s">
        <v>2669</v>
      </c>
      <c r="B2519" s="44" t="n">
        <v>46239</v>
      </c>
      <c r="C2519" s="31" t="s">
        <v>60</v>
      </c>
      <c r="D2519" s="31" t="s">
        <v>65</v>
      </c>
      <c r="E2519" s="31" t="s">
        <v>50</v>
      </c>
      <c r="F2519" s="31" t="s">
        <v>122</v>
      </c>
      <c r="G2519" s="31" t="n">
        <v>2</v>
      </c>
      <c r="H2519" s="41" t="n">
        <v>13.1</v>
      </c>
      <c r="I2519" s="31" t="s">
        <v>149</v>
      </c>
      <c r="J2519" s="31"/>
      <c r="K2519" s="31" t="s">
        <v>150</v>
      </c>
      <c r="L2519" s="45" t="n">
        <f aca="false">DATE(YEAR(B2519),MONTH(B2519),1)</f>
        <v>46235</v>
      </c>
      <c r="M2519" s="31" t="n">
        <f aca="false">WEEKDAY(B2519,2)</f>
        <v>3</v>
      </c>
      <c r="N2519" s="31" t="str">
        <f aca="false">IF(G2519&lt;=INDEX(Assumptions!$B$15:$B$18,MATCH(E2519,Assumptions!$A$15:$A$18,0)),"Yes","No")</f>
        <v>Yes</v>
      </c>
      <c r="O2519" s="31" t="str">
        <f aca="false">IF(H2519="","Open",IF(H2519&lt;=INDEX(Assumptions!$C$15:$C$18,MATCH(E2519,Assumptions!$A$15:$A$18,0)),"Yes","No"))</f>
        <v>No</v>
      </c>
    </row>
    <row r="2520" customFormat="false" ht="15" hidden="false" customHeight="false" outlineLevel="0" collapsed="false">
      <c r="A2520" s="31" t="s">
        <v>2670</v>
      </c>
      <c r="B2520" s="44" t="n">
        <v>46239</v>
      </c>
      <c r="C2520" s="31" t="s">
        <v>57</v>
      </c>
      <c r="D2520" s="31" t="s">
        <v>67</v>
      </c>
      <c r="E2520" s="31" t="s">
        <v>50</v>
      </c>
      <c r="F2520" s="31" t="s">
        <v>130</v>
      </c>
      <c r="G2520" s="31" t="n">
        <v>1</v>
      </c>
      <c r="H2520" s="41" t="n">
        <v>2.4</v>
      </c>
      <c r="I2520" s="31" t="s">
        <v>149</v>
      </c>
      <c r="J2520" s="31"/>
      <c r="K2520" s="31" t="s">
        <v>150</v>
      </c>
      <c r="L2520" s="45" t="n">
        <f aca="false">DATE(YEAR(B2520),MONTH(B2520),1)</f>
        <v>46235</v>
      </c>
      <c r="M2520" s="31" t="n">
        <f aca="false">WEEKDAY(B2520,2)</f>
        <v>3</v>
      </c>
      <c r="N2520" s="31" t="str">
        <f aca="false">IF(G2520&lt;=INDEX(Assumptions!$B$15:$B$18,MATCH(E2520,Assumptions!$A$15:$A$18,0)),"Yes","No")</f>
        <v>Yes</v>
      </c>
      <c r="O2520" s="31" t="str">
        <f aca="false">IF(H2520="","Open",IF(H2520&lt;=INDEX(Assumptions!$C$15:$C$18,MATCH(E2520,Assumptions!$A$15:$A$18,0)),"Yes","No"))</f>
        <v>Yes</v>
      </c>
    </row>
    <row r="2521" customFormat="false" ht="15" hidden="false" customHeight="false" outlineLevel="0" collapsed="false">
      <c r="A2521" s="31" t="s">
        <v>2671</v>
      </c>
      <c r="B2521" s="44" t="n">
        <v>46239</v>
      </c>
      <c r="C2521" s="31" t="s">
        <v>57</v>
      </c>
      <c r="D2521" s="31" t="s">
        <v>67</v>
      </c>
      <c r="E2521" s="31" t="s">
        <v>51</v>
      </c>
      <c r="F2521" s="31" t="s">
        <v>117</v>
      </c>
      <c r="G2521" s="31" t="n">
        <v>2</v>
      </c>
      <c r="H2521" s="41" t="n">
        <v>10.5</v>
      </c>
      <c r="I2521" s="31" t="s">
        <v>149</v>
      </c>
      <c r="J2521" s="31" t="n">
        <v>3</v>
      </c>
      <c r="K2521" s="31" t="s">
        <v>150</v>
      </c>
      <c r="L2521" s="45" t="n">
        <f aca="false">DATE(YEAR(B2521),MONTH(B2521),1)</f>
        <v>46235</v>
      </c>
      <c r="M2521" s="31" t="n">
        <f aca="false">WEEKDAY(B2521,2)</f>
        <v>3</v>
      </c>
      <c r="N2521" s="31" t="str">
        <f aca="false">IF(G2521&lt;=INDEX(Assumptions!$B$15:$B$18,MATCH(E2521,Assumptions!$A$15:$A$18,0)),"Yes","No")</f>
        <v>Yes</v>
      </c>
      <c r="O2521" s="31" t="str">
        <f aca="false">IF(H2521="","Open",IF(H2521&lt;=INDEX(Assumptions!$C$15:$C$18,MATCH(E2521,Assumptions!$A$15:$A$18,0)),"Yes","No"))</f>
        <v>Yes</v>
      </c>
    </row>
    <row r="2522" customFormat="false" ht="15" hidden="false" customHeight="false" outlineLevel="0" collapsed="false">
      <c r="A2522" s="31" t="s">
        <v>2672</v>
      </c>
      <c r="B2522" s="44" t="n">
        <v>46239</v>
      </c>
      <c r="C2522" s="31" t="s">
        <v>60</v>
      </c>
      <c r="D2522" s="31" t="s">
        <v>69</v>
      </c>
      <c r="E2522" s="31" t="s">
        <v>51</v>
      </c>
      <c r="F2522" s="31" t="s">
        <v>119</v>
      </c>
      <c r="G2522" s="31" t="n">
        <v>3</v>
      </c>
      <c r="H2522" s="41" t="n">
        <v>53.6</v>
      </c>
      <c r="I2522" s="31" t="s">
        <v>149</v>
      </c>
      <c r="J2522" s="31"/>
      <c r="K2522" s="31" t="s">
        <v>150</v>
      </c>
      <c r="L2522" s="45" t="n">
        <f aca="false">DATE(YEAR(B2522),MONTH(B2522),1)</f>
        <v>46235</v>
      </c>
      <c r="M2522" s="31" t="n">
        <f aca="false">WEEKDAY(B2522,2)</f>
        <v>3</v>
      </c>
      <c r="N2522" s="31" t="str">
        <f aca="false">IF(G2522&lt;=INDEX(Assumptions!$B$15:$B$18,MATCH(E2522,Assumptions!$A$15:$A$18,0)),"Yes","No")</f>
        <v>Yes</v>
      </c>
      <c r="O2522" s="31" t="str">
        <f aca="false">IF(H2522="","Open",IF(H2522&lt;=INDEX(Assumptions!$C$15:$C$18,MATCH(E2522,Assumptions!$A$15:$A$18,0)),"Yes","No"))</f>
        <v>No</v>
      </c>
    </row>
    <row r="2523" customFormat="false" ht="15" hidden="false" customHeight="false" outlineLevel="0" collapsed="false">
      <c r="A2523" s="31" t="s">
        <v>2673</v>
      </c>
      <c r="B2523" s="44" t="n">
        <v>46239</v>
      </c>
      <c r="C2523" s="31" t="s">
        <v>58</v>
      </c>
      <c r="D2523" s="31" t="s">
        <v>65</v>
      </c>
      <c r="E2523" s="31" t="s">
        <v>51</v>
      </c>
      <c r="F2523" s="31" t="s">
        <v>136</v>
      </c>
      <c r="G2523" s="31" t="n">
        <v>16</v>
      </c>
      <c r="H2523" s="41" t="n">
        <v>37.9</v>
      </c>
      <c r="I2523" s="31" t="s">
        <v>149</v>
      </c>
      <c r="J2523" s="31"/>
      <c r="K2523" s="31" t="s">
        <v>150</v>
      </c>
      <c r="L2523" s="45" t="n">
        <f aca="false">DATE(YEAR(B2523),MONTH(B2523),1)</f>
        <v>46235</v>
      </c>
      <c r="M2523" s="31" t="n">
        <f aca="false">WEEKDAY(B2523,2)</f>
        <v>3</v>
      </c>
      <c r="N2523" s="31" t="str">
        <f aca="false">IF(G2523&lt;=INDEX(Assumptions!$B$15:$B$18,MATCH(E2523,Assumptions!$A$15:$A$18,0)),"Yes","No")</f>
        <v>Yes</v>
      </c>
      <c r="O2523" s="31" t="str">
        <f aca="false">IF(H2523="","Open",IF(H2523&lt;=INDEX(Assumptions!$C$15:$C$18,MATCH(E2523,Assumptions!$A$15:$A$18,0)),"Yes","No"))</f>
        <v>No</v>
      </c>
    </row>
    <row r="2524" customFormat="false" ht="15" hidden="false" customHeight="false" outlineLevel="0" collapsed="false">
      <c r="A2524" s="31" t="s">
        <v>2674</v>
      </c>
      <c r="B2524" s="44" t="n">
        <v>46239</v>
      </c>
      <c r="C2524" s="31" t="s">
        <v>59</v>
      </c>
      <c r="D2524" s="31" t="s">
        <v>66</v>
      </c>
      <c r="E2524" s="31" t="s">
        <v>50</v>
      </c>
      <c r="F2524" s="31" t="s">
        <v>124</v>
      </c>
      <c r="G2524" s="31" t="n">
        <v>34</v>
      </c>
      <c r="H2524" s="41" t="n">
        <v>0.8</v>
      </c>
      <c r="I2524" s="31" t="s">
        <v>149</v>
      </c>
      <c r="J2524" s="31"/>
      <c r="K2524" s="31" t="s">
        <v>150</v>
      </c>
      <c r="L2524" s="45" t="n">
        <f aca="false">DATE(YEAR(B2524),MONTH(B2524),1)</f>
        <v>46235</v>
      </c>
      <c r="M2524" s="31" t="n">
        <f aca="false">WEEKDAY(B2524,2)</f>
        <v>3</v>
      </c>
      <c r="N2524" s="31" t="str">
        <f aca="false">IF(G2524&lt;=INDEX(Assumptions!$B$15:$B$18,MATCH(E2524,Assumptions!$A$15:$A$18,0)),"Yes","No")</f>
        <v>No</v>
      </c>
      <c r="O2524" s="31" t="str">
        <f aca="false">IF(H2524="","Open",IF(H2524&lt;=INDEX(Assumptions!$C$15:$C$18,MATCH(E2524,Assumptions!$A$15:$A$18,0)),"Yes","No"))</f>
        <v>Yes</v>
      </c>
    </row>
    <row r="2525" customFormat="false" ht="15" hidden="false" customHeight="false" outlineLevel="0" collapsed="false">
      <c r="A2525" s="31" t="s">
        <v>2675</v>
      </c>
      <c r="B2525" s="44" t="n">
        <v>46239</v>
      </c>
      <c r="C2525" s="31" t="s">
        <v>60</v>
      </c>
      <c r="D2525" s="31" t="s">
        <v>66</v>
      </c>
      <c r="E2525" s="31" t="s">
        <v>50</v>
      </c>
      <c r="F2525" s="31" t="s">
        <v>137</v>
      </c>
      <c r="G2525" s="31" t="n">
        <v>1</v>
      </c>
      <c r="H2525" s="41" t="n">
        <v>4.3</v>
      </c>
      <c r="I2525" s="31" t="s">
        <v>149</v>
      </c>
      <c r="J2525" s="31"/>
      <c r="K2525" s="31" t="s">
        <v>150</v>
      </c>
      <c r="L2525" s="45" t="n">
        <f aca="false">DATE(YEAR(B2525),MONTH(B2525),1)</f>
        <v>46235</v>
      </c>
      <c r="M2525" s="31" t="n">
        <f aca="false">WEEKDAY(B2525,2)</f>
        <v>3</v>
      </c>
      <c r="N2525" s="31" t="str">
        <f aca="false">IF(G2525&lt;=INDEX(Assumptions!$B$15:$B$18,MATCH(E2525,Assumptions!$A$15:$A$18,0)),"Yes","No")</f>
        <v>Yes</v>
      </c>
      <c r="O2525" s="31" t="str">
        <f aca="false">IF(H2525="","Open",IF(H2525&lt;=INDEX(Assumptions!$C$15:$C$18,MATCH(E2525,Assumptions!$A$15:$A$18,0)),"Yes","No"))</f>
        <v>Yes</v>
      </c>
    </row>
    <row r="2526" customFormat="false" ht="15" hidden="false" customHeight="false" outlineLevel="0" collapsed="false">
      <c r="A2526" s="31" t="s">
        <v>2676</v>
      </c>
      <c r="B2526" s="44" t="n">
        <v>46239</v>
      </c>
      <c r="C2526" s="31" t="s">
        <v>58</v>
      </c>
      <c r="D2526" s="31" t="s">
        <v>66</v>
      </c>
      <c r="E2526" s="31" t="s">
        <v>51</v>
      </c>
      <c r="F2526" s="31" t="s">
        <v>129</v>
      </c>
      <c r="G2526" s="31" t="n">
        <v>4</v>
      </c>
      <c r="H2526" s="41" t="n">
        <v>20</v>
      </c>
      <c r="I2526" s="31" t="s">
        <v>149</v>
      </c>
      <c r="J2526" s="31"/>
      <c r="K2526" s="31" t="s">
        <v>150</v>
      </c>
      <c r="L2526" s="45" t="n">
        <f aca="false">DATE(YEAR(B2526),MONTH(B2526),1)</f>
        <v>46235</v>
      </c>
      <c r="M2526" s="31" t="n">
        <f aca="false">WEEKDAY(B2526,2)</f>
        <v>3</v>
      </c>
      <c r="N2526" s="31" t="str">
        <f aca="false">IF(G2526&lt;=INDEX(Assumptions!$B$15:$B$18,MATCH(E2526,Assumptions!$A$15:$A$18,0)),"Yes","No")</f>
        <v>Yes</v>
      </c>
      <c r="O2526" s="31" t="str">
        <f aca="false">IF(H2526="","Open",IF(H2526&lt;=INDEX(Assumptions!$C$15:$C$18,MATCH(E2526,Assumptions!$A$15:$A$18,0)),"Yes","No"))</f>
        <v>Yes</v>
      </c>
    </row>
    <row r="2527" customFormat="false" ht="15" hidden="false" customHeight="false" outlineLevel="0" collapsed="false">
      <c r="A2527" s="31" t="s">
        <v>2677</v>
      </c>
      <c r="B2527" s="44" t="n">
        <v>46239</v>
      </c>
      <c r="C2527" s="31" t="s">
        <v>60</v>
      </c>
      <c r="D2527" s="31" t="s">
        <v>65</v>
      </c>
      <c r="E2527" s="31" t="s">
        <v>51</v>
      </c>
      <c r="F2527" s="31" t="s">
        <v>121</v>
      </c>
      <c r="G2527" s="31" t="n">
        <v>3</v>
      </c>
      <c r="H2527" s="41" t="n">
        <v>12.3</v>
      </c>
      <c r="I2527" s="31" t="s">
        <v>149</v>
      </c>
      <c r="J2527" s="31" t="n">
        <v>4</v>
      </c>
      <c r="K2527" s="31" t="s">
        <v>150</v>
      </c>
      <c r="L2527" s="45" t="n">
        <f aca="false">DATE(YEAR(B2527),MONTH(B2527),1)</f>
        <v>46235</v>
      </c>
      <c r="M2527" s="31" t="n">
        <f aca="false">WEEKDAY(B2527,2)</f>
        <v>3</v>
      </c>
      <c r="N2527" s="31" t="str">
        <f aca="false">IF(G2527&lt;=INDEX(Assumptions!$B$15:$B$18,MATCH(E2527,Assumptions!$A$15:$A$18,0)),"Yes","No")</f>
        <v>Yes</v>
      </c>
      <c r="O2527" s="31" t="str">
        <f aca="false">IF(H2527="","Open",IF(H2527&lt;=INDEX(Assumptions!$C$15:$C$18,MATCH(E2527,Assumptions!$A$15:$A$18,0)),"Yes","No"))</f>
        <v>Yes</v>
      </c>
    </row>
    <row r="2528" customFormat="false" ht="15" hidden="false" customHeight="false" outlineLevel="0" collapsed="false">
      <c r="A2528" s="31" t="s">
        <v>2678</v>
      </c>
      <c r="B2528" s="44" t="n">
        <v>46239</v>
      </c>
      <c r="C2528" s="31" t="s">
        <v>60</v>
      </c>
      <c r="D2528" s="31" t="s">
        <v>65</v>
      </c>
      <c r="E2528" s="31" t="s">
        <v>52</v>
      </c>
      <c r="F2528" s="31" t="s">
        <v>128</v>
      </c>
      <c r="G2528" s="31" t="n">
        <v>5</v>
      </c>
      <c r="H2528" s="41" t="n">
        <v>20.7</v>
      </c>
      <c r="I2528" s="31" t="s">
        <v>149</v>
      </c>
      <c r="J2528" s="31" t="n">
        <v>5</v>
      </c>
      <c r="K2528" s="31" t="s">
        <v>150</v>
      </c>
      <c r="L2528" s="45" t="n">
        <f aca="false">DATE(YEAR(B2528),MONTH(B2528),1)</f>
        <v>46235</v>
      </c>
      <c r="M2528" s="31" t="n">
        <f aca="false">WEEKDAY(B2528,2)</f>
        <v>3</v>
      </c>
      <c r="N2528" s="31" t="str">
        <f aca="false">IF(G2528&lt;=INDEX(Assumptions!$B$15:$B$18,MATCH(E2528,Assumptions!$A$15:$A$18,0)),"Yes","No")</f>
        <v>Yes</v>
      </c>
      <c r="O2528" s="31" t="str">
        <f aca="false">IF(H2528="","Open",IF(H2528&lt;=INDEX(Assumptions!$C$15:$C$18,MATCH(E2528,Assumptions!$A$15:$A$18,0)),"Yes","No"))</f>
        <v>Yes</v>
      </c>
    </row>
    <row r="2529" customFormat="false" ht="15" hidden="false" customHeight="false" outlineLevel="0" collapsed="false">
      <c r="A2529" s="31" t="s">
        <v>2679</v>
      </c>
      <c r="B2529" s="44" t="n">
        <v>46239</v>
      </c>
      <c r="C2529" s="31" t="s">
        <v>57</v>
      </c>
      <c r="D2529" s="31" t="s">
        <v>67</v>
      </c>
      <c r="E2529" s="31" t="s">
        <v>51</v>
      </c>
      <c r="F2529" s="31" t="s">
        <v>120</v>
      </c>
      <c r="G2529" s="31" t="n">
        <v>7</v>
      </c>
      <c r="H2529" s="41" t="n">
        <v>5.4</v>
      </c>
      <c r="I2529" s="31" t="s">
        <v>149</v>
      </c>
      <c r="J2529" s="31" t="n">
        <v>4</v>
      </c>
      <c r="K2529" s="31" t="s">
        <v>150</v>
      </c>
      <c r="L2529" s="45" t="n">
        <f aca="false">DATE(YEAR(B2529),MONTH(B2529),1)</f>
        <v>46235</v>
      </c>
      <c r="M2529" s="31" t="n">
        <f aca="false">WEEKDAY(B2529,2)</f>
        <v>3</v>
      </c>
      <c r="N2529" s="31" t="str">
        <f aca="false">IF(G2529&lt;=INDEX(Assumptions!$B$15:$B$18,MATCH(E2529,Assumptions!$A$15:$A$18,0)),"Yes","No")</f>
        <v>Yes</v>
      </c>
      <c r="O2529" s="31" t="str">
        <f aca="false">IF(H2529="","Open",IF(H2529&lt;=INDEX(Assumptions!$C$15:$C$18,MATCH(E2529,Assumptions!$A$15:$A$18,0)),"Yes","No"))</f>
        <v>Yes</v>
      </c>
    </row>
    <row r="2530" customFormat="false" ht="15" hidden="false" customHeight="false" outlineLevel="0" collapsed="false">
      <c r="A2530" s="31" t="s">
        <v>2680</v>
      </c>
      <c r="B2530" s="44" t="n">
        <v>46239</v>
      </c>
      <c r="C2530" s="31" t="s">
        <v>58</v>
      </c>
      <c r="D2530" s="31" t="s">
        <v>65</v>
      </c>
      <c r="E2530" s="31" t="s">
        <v>51</v>
      </c>
      <c r="F2530" s="31" t="s">
        <v>136</v>
      </c>
      <c r="G2530" s="31" t="n">
        <v>9</v>
      </c>
      <c r="H2530" s="41"/>
      <c r="I2530" s="31" t="s">
        <v>158</v>
      </c>
      <c r="J2530" s="31"/>
      <c r="K2530" s="31" t="s">
        <v>150</v>
      </c>
      <c r="L2530" s="45" t="n">
        <f aca="false">DATE(YEAR(B2530),MONTH(B2530),1)</f>
        <v>46235</v>
      </c>
      <c r="M2530" s="31" t="n">
        <f aca="false">WEEKDAY(B2530,2)</f>
        <v>3</v>
      </c>
      <c r="N2530" s="31" t="str">
        <f aca="false">IF(G2530&lt;=INDEX(Assumptions!$B$15:$B$18,MATCH(E2530,Assumptions!$A$15:$A$18,0)),"Yes","No")</f>
        <v>Yes</v>
      </c>
      <c r="O2530" s="31" t="str">
        <f aca="false">IF(H2530="","Open",IF(H2530&lt;=INDEX(Assumptions!$C$15:$C$18,MATCH(E2530,Assumptions!$A$15:$A$18,0)),"Yes","No"))</f>
        <v>Open</v>
      </c>
    </row>
    <row r="2531" customFormat="false" ht="15" hidden="false" customHeight="false" outlineLevel="0" collapsed="false">
      <c r="A2531" s="31" t="s">
        <v>2681</v>
      </c>
      <c r="B2531" s="44" t="n">
        <v>46239</v>
      </c>
      <c r="C2531" s="31" t="s">
        <v>57</v>
      </c>
      <c r="D2531" s="31" t="s">
        <v>67</v>
      </c>
      <c r="E2531" s="31" t="s">
        <v>51</v>
      </c>
      <c r="F2531" s="31" t="s">
        <v>127</v>
      </c>
      <c r="G2531" s="31" t="n">
        <v>3</v>
      </c>
      <c r="H2531" s="41" t="n">
        <v>9.5</v>
      </c>
      <c r="I2531" s="31" t="s">
        <v>149</v>
      </c>
      <c r="J2531" s="31"/>
      <c r="K2531" s="31" t="s">
        <v>150</v>
      </c>
      <c r="L2531" s="45" t="n">
        <f aca="false">DATE(YEAR(B2531),MONTH(B2531),1)</f>
        <v>46235</v>
      </c>
      <c r="M2531" s="31" t="n">
        <f aca="false">WEEKDAY(B2531,2)</f>
        <v>3</v>
      </c>
      <c r="N2531" s="31" t="str">
        <f aca="false">IF(G2531&lt;=INDEX(Assumptions!$B$15:$B$18,MATCH(E2531,Assumptions!$A$15:$A$18,0)),"Yes","No")</f>
        <v>Yes</v>
      </c>
      <c r="O2531" s="31" t="str">
        <f aca="false">IF(H2531="","Open",IF(H2531&lt;=INDEX(Assumptions!$C$15:$C$18,MATCH(E2531,Assumptions!$A$15:$A$18,0)),"Yes","No"))</f>
        <v>Yes</v>
      </c>
    </row>
    <row r="2532" customFormat="false" ht="15" hidden="false" customHeight="false" outlineLevel="0" collapsed="false">
      <c r="A2532" s="31" t="s">
        <v>2682</v>
      </c>
      <c r="B2532" s="44" t="n">
        <v>46239</v>
      </c>
      <c r="C2532" s="31" t="s">
        <v>58</v>
      </c>
      <c r="D2532" s="31" t="s">
        <v>69</v>
      </c>
      <c r="E2532" s="31" t="s">
        <v>52</v>
      </c>
      <c r="F2532" s="31" t="s">
        <v>137</v>
      </c>
      <c r="G2532" s="31" t="n">
        <v>100</v>
      </c>
      <c r="H2532" s="41" t="n">
        <v>17.8</v>
      </c>
      <c r="I2532" s="31" t="s">
        <v>149</v>
      </c>
      <c r="J2532" s="31" t="n">
        <v>4</v>
      </c>
      <c r="K2532" s="31" t="s">
        <v>150</v>
      </c>
      <c r="L2532" s="45" t="n">
        <f aca="false">DATE(YEAR(B2532),MONTH(B2532),1)</f>
        <v>46235</v>
      </c>
      <c r="M2532" s="31" t="n">
        <f aca="false">WEEKDAY(B2532,2)</f>
        <v>3</v>
      </c>
      <c r="N2532" s="31" t="str">
        <f aca="false">IF(G2532&lt;=INDEX(Assumptions!$B$15:$B$18,MATCH(E2532,Assumptions!$A$15:$A$18,0)),"Yes","No")</f>
        <v>Yes</v>
      </c>
      <c r="O2532" s="31" t="str">
        <f aca="false">IF(H2532="","Open",IF(H2532&lt;=INDEX(Assumptions!$C$15:$C$18,MATCH(E2532,Assumptions!$A$15:$A$18,0)),"Yes","No"))</f>
        <v>Yes</v>
      </c>
    </row>
    <row r="2533" customFormat="false" ht="15" hidden="false" customHeight="false" outlineLevel="0" collapsed="false">
      <c r="A2533" s="31" t="s">
        <v>2683</v>
      </c>
      <c r="B2533" s="44" t="n">
        <v>46239</v>
      </c>
      <c r="C2533" s="31" t="s">
        <v>58</v>
      </c>
      <c r="D2533" s="31" t="s">
        <v>67</v>
      </c>
      <c r="E2533" s="31" t="s">
        <v>51</v>
      </c>
      <c r="F2533" s="31" t="s">
        <v>123</v>
      </c>
      <c r="G2533" s="31" t="n">
        <v>8</v>
      </c>
      <c r="H2533" s="41" t="n">
        <v>26.9</v>
      </c>
      <c r="I2533" s="31" t="s">
        <v>149</v>
      </c>
      <c r="J2533" s="31" t="n">
        <v>4</v>
      </c>
      <c r="K2533" s="31" t="s">
        <v>153</v>
      </c>
      <c r="L2533" s="45" t="n">
        <f aca="false">DATE(YEAR(B2533),MONTH(B2533),1)</f>
        <v>46235</v>
      </c>
      <c r="M2533" s="31" t="n">
        <f aca="false">WEEKDAY(B2533,2)</f>
        <v>3</v>
      </c>
      <c r="N2533" s="31" t="str">
        <f aca="false">IF(G2533&lt;=INDEX(Assumptions!$B$15:$B$18,MATCH(E2533,Assumptions!$A$15:$A$18,0)),"Yes","No")</f>
        <v>Yes</v>
      </c>
      <c r="O2533" s="31" t="str">
        <f aca="false">IF(H2533="","Open",IF(H2533&lt;=INDEX(Assumptions!$C$15:$C$18,MATCH(E2533,Assumptions!$A$15:$A$18,0)),"Yes","No"))</f>
        <v>No</v>
      </c>
    </row>
    <row r="2534" customFormat="false" ht="15" hidden="false" customHeight="false" outlineLevel="0" collapsed="false">
      <c r="A2534" s="31" t="s">
        <v>2684</v>
      </c>
      <c r="B2534" s="44" t="n">
        <v>46239</v>
      </c>
      <c r="C2534" s="31" t="s">
        <v>59</v>
      </c>
      <c r="D2534" s="31" t="s">
        <v>69</v>
      </c>
      <c r="E2534" s="31" t="s">
        <v>49</v>
      </c>
      <c r="F2534" s="31" t="s">
        <v>130</v>
      </c>
      <c r="G2534" s="31" t="n">
        <v>58</v>
      </c>
      <c r="H2534" s="41" t="n">
        <v>15.6</v>
      </c>
      <c r="I2534" s="31" t="s">
        <v>149</v>
      </c>
      <c r="J2534" s="31" t="n">
        <v>3</v>
      </c>
      <c r="K2534" s="31" t="s">
        <v>150</v>
      </c>
      <c r="L2534" s="45" t="n">
        <f aca="false">DATE(YEAR(B2534),MONTH(B2534),1)</f>
        <v>46235</v>
      </c>
      <c r="M2534" s="31" t="n">
        <f aca="false">WEEKDAY(B2534,2)</f>
        <v>3</v>
      </c>
      <c r="N2534" s="31" t="str">
        <f aca="false">IF(G2534&lt;=INDEX(Assumptions!$B$15:$B$18,MATCH(E2534,Assumptions!$A$15:$A$18,0)),"Yes","No")</f>
        <v>No</v>
      </c>
      <c r="O2534" s="31" t="str">
        <f aca="false">IF(H2534="","Open",IF(H2534&lt;=INDEX(Assumptions!$C$15:$C$18,MATCH(E2534,Assumptions!$A$15:$A$18,0)),"Yes","No"))</f>
        <v>No</v>
      </c>
    </row>
    <row r="2535" customFormat="false" ht="15" hidden="false" customHeight="false" outlineLevel="0" collapsed="false">
      <c r="A2535" s="31" t="s">
        <v>2685</v>
      </c>
      <c r="B2535" s="44" t="n">
        <v>46239</v>
      </c>
      <c r="C2535" s="31" t="s">
        <v>58</v>
      </c>
      <c r="D2535" s="31" t="s">
        <v>66</v>
      </c>
      <c r="E2535" s="31" t="s">
        <v>52</v>
      </c>
      <c r="F2535" s="31" t="s">
        <v>126</v>
      </c>
      <c r="G2535" s="31" t="n">
        <v>5</v>
      </c>
      <c r="H2535" s="41" t="n">
        <v>6.6</v>
      </c>
      <c r="I2535" s="31" t="s">
        <v>149</v>
      </c>
      <c r="J2535" s="31"/>
      <c r="K2535" s="31" t="s">
        <v>150</v>
      </c>
      <c r="L2535" s="45" t="n">
        <f aca="false">DATE(YEAR(B2535),MONTH(B2535),1)</f>
        <v>46235</v>
      </c>
      <c r="M2535" s="31" t="n">
        <f aca="false">WEEKDAY(B2535,2)</f>
        <v>3</v>
      </c>
      <c r="N2535" s="31" t="str">
        <f aca="false">IF(G2535&lt;=INDEX(Assumptions!$B$15:$B$18,MATCH(E2535,Assumptions!$A$15:$A$18,0)),"Yes","No")</f>
        <v>Yes</v>
      </c>
      <c r="O2535" s="31" t="str">
        <f aca="false">IF(H2535="","Open",IF(H2535&lt;=INDEX(Assumptions!$C$15:$C$18,MATCH(E2535,Assumptions!$A$15:$A$18,0)),"Yes","No"))</f>
        <v>Yes</v>
      </c>
    </row>
    <row r="2536" customFormat="false" ht="15" hidden="false" customHeight="false" outlineLevel="0" collapsed="false">
      <c r="A2536" s="31" t="s">
        <v>2686</v>
      </c>
      <c r="B2536" s="44" t="n">
        <v>46239</v>
      </c>
      <c r="C2536" s="31" t="s">
        <v>59</v>
      </c>
      <c r="D2536" s="31" t="s">
        <v>65</v>
      </c>
      <c r="E2536" s="31" t="s">
        <v>52</v>
      </c>
      <c r="F2536" s="31" t="s">
        <v>131</v>
      </c>
      <c r="G2536" s="31" t="n">
        <v>34</v>
      </c>
      <c r="H2536" s="41" t="n">
        <v>3.3</v>
      </c>
      <c r="I2536" s="31" t="s">
        <v>149</v>
      </c>
      <c r="J2536" s="31" t="n">
        <v>5</v>
      </c>
      <c r="K2536" s="31" t="s">
        <v>150</v>
      </c>
      <c r="L2536" s="45" t="n">
        <f aca="false">DATE(YEAR(B2536),MONTH(B2536),1)</f>
        <v>46235</v>
      </c>
      <c r="M2536" s="31" t="n">
        <f aca="false">WEEKDAY(B2536,2)</f>
        <v>3</v>
      </c>
      <c r="N2536" s="31" t="str">
        <f aca="false">IF(G2536&lt;=INDEX(Assumptions!$B$15:$B$18,MATCH(E2536,Assumptions!$A$15:$A$18,0)),"Yes","No")</f>
        <v>Yes</v>
      </c>
      <c r="O2536" s="31" t="str">
        <f aca="false">IF(H2536="","Open",IF(H2536&lt;=INDEX(Assumptions!$C$15:$C$18,MATCH(E2536,Assumptions!$A$15:$A$18,0)),"Yes","No"))</f>
        <v>Yes</v>
      </c>
    </row>
    <row r="2537" customFormat="false" ht="15" hidden="false" customHeight="false" outlineLevel="0" collapsed="false">
      <c r="A2537" s="31" t="s">
        <v>2687</v>
      </c>
      <c r="B2537" s="44" t="n">
        <v>46239</v>
      </c>
      <c r="C2537" s="31" t="s">
        <v>57</v>
      </c>
      <c r="D2537" s="31" t="s">
        <v>66</v>
      </c>
      <c r="E2537" s="31" t="s">
        <v>51</v>
      </c>
      <c r="F2537" s="31" t="s">
        <v>136</v>
      </c>
      <c r="G2537" s="31" t="n">
        <v>4</v>
      </c>
      <c r="H2537" s="41" t="n">
        <v>4.1</v>
      </c>
      <c r="I2537" s="31" t="s">
        <v>149</v>
      </c>
      <c r="J2537" s="31"/>
      <c r="K2537" s="31" t="s">
        <v>150</v>
      </c>
      <c r="L2537" s="45" t="n">
        <f aca="false">DATE(YEAR(B2537),MONTH(B2537),1)</f>
        <v>46235</v>
      </c>
      <c r="M2537" s="31" t="n">
        <f aca="false">WEEKDAY(B2537,2)</f>
        <v>3</v>
      </c>
      <c r="N2537" s="31" t="str">
        <f aca="false">IF(G2537&lt;=INDEX(Assumptions!$B$15:$B$18,MATCH(E2537,Assumptions!$A$15:$A$18,0)),"Yes","No")</f>
        <v>Yes</v>
      </c>
      <c r="O2537" s="31" t="str">
        <f aca="false">IF(H2537="","Open",IF(H2537&lt;=INDEX(Assumptions!$C$15:$C$18,MATCH(E2537,Assumptions!$A$15:$A$18,0)),"Yes","No"))</f>
        <v>Yes</v>
      </c>
    </row>
    <row r="2538" customFormat="false" ht="15" hidden="false" customHeight="false" outlineLevel="0" collapsed="false">
      <c r="A2538" s="31" t="s">
        <v>2688</v>
      </c>
      <c r="B2538" s="44" t="n">
        <v>46239</v>
      </c>
      <c r="C2538" s="31" t="s">
        <v>57</v>
      </c>
      <c r="D2538" s="31" t="s">
        <v>67</v>
      </c>
      <c r="E2538" s="31" t="s">
        <v>52</v>
      </c>
      <c r="F2538" s="31" t="s">
        <v>121</v>
      </c>
      <c r="G2538" s="31" t="n">
        <v>15</v>
      </c>
      <c r="H2538" s="41" t="n">
        <v>114.5</v>
      </c>
      <c r="I2538" s="31" t="s">
        <v>64</v>
      </c>
      <c r="J2538" s="31"/>
      <c r="K2538" s="31" t="s">
        <v>150</v>
      </c>
      <c r="L2538" s="45" t="n">
        <f aca="false">DATE(YEAR(B2538),MONTH(B2538),1)</f>
        <v>46235</v>
      </c>
      <c r="M2538" s="31" t="n">
        <f aca="false">WEEKDAY(B2538,2)</f>
        <v>3</v>
      </c>
      <c r="N2538" s="31" t="str">
        <f aca="false">IF(G2538&lt;=INDEX(Assumptions!$B$15:$B$18,MATCH(E2538,Assumptions!$A$15:$A$18,0)),"Yes","No")</f>
        <v>Yes</v>
      </c>
      <c r="O2538" s="31" t="str">
        <f aca="false">IF(H2538="","Open",IF(H2538&lt;=INDEX(Assumptions!$C$15:$C$18,MATCH(E2538,Assumptions!$A$15:$A$18,0)),"Yes","No"))</f>
        <v>No</v>
      </c>
    </row>
    <row r="2539" customFormat="false" ht="15" hidden="false" customHeight="false" outlineLevel="0" collapsed="false">
      <c r="A2539" s="31" t="s">
        <v>2689</v>
      </c>
      <c r="B2539" s="44" t="n">
        <v>46239</v>
      </c>
      <c r="C2539" s="31" t="s">
        <v>57</v>
      </c>
      <c r="D2539" s="31" t="s">
        <v>66</v>
      </c>
      <c r="E2539" s="31" t="s">
        <v>51</v>
      </c>
      <c r="F2539" s="31" t="s">
        <v>137</v>
      </c>
      <c r="G2539" s="31" t="n">
        <v>3</v>
      </c>
      <c r="H2539" s="41" t="n">
        <v>7.8</v>
      </c>
      <c r="I2539" s="31" t="s">
        <v>149</v>
      </c>
      <c r="J2539" s="31" t="n">
        <v>3</v>
      </c>
      <c r="K2539" s="31" t="s">
        <v>150</v>
      </c>
      <c r="L2539" s="45" t="n">
        <f aca="false">DATE(YEAR(B2539),MONTH(B2539),1)</f>
        <v>46235</v>
      </c>
      <c r="M2539" s="31" t="n">
        <f aca="false">WEEKDAY(B2539,2)</f>
        <v>3</v>
      </c>
      <c r="N2539" s="31" t="str">
        <f aca="false">IF(G2539&lt;=INDEX(Assumptions!$B$15:$B$18,MATCH(E2539,Assumptions!$A$15:$A$18,0)),"Yes","No")</f>
        <v>Yes</v>
      </c>
      <c r="O2539" s="31" t="str">
        <f aca="false">IF(H2539="","Open",IF(H2539&lt;=INDEX(Assumptions!$C$15:$C$18,MATCH(E2539,Assumptions!$A$15:$A$18,0)),"Yes","No"))</f>
        <v>Yes</v>
      </c>
    </row>
    <row r="2540" customFormat="false" ht="15" hidden="false" customHeight="false" outlineLevel="0" collapsed="false">
      <c r="A2540" s="31" t="s">
        <v>2690</v>
      </c>
      <c r="B2540" s="44" t="n">
        <v>46239</v>
      </c>
      <c r="C2540" s="31" t="s">
        <v>59</v>
      </c>
      <c r="D2540" s="31" t="s">
        <v>65</v>
      </c>
      <c r="E2540" s="31" t="s">
        <v>51</v>
      </c>
      <c r="F2540" s="31" t="s">
        <v>122</v>
      </c>
      <c r="G2540" s="31" t="n">
        <v>81</v>
      </c>
      <c r="H2540" s="41" t="n">
        <v>16.9</v>
      </c>
      <c r="I2540" s="31" t="s">
        <v>149</v>
      </c>
      <c r="J2540" s="31"/>
      <c r="K2540" s="31" t="s">
        <v>150</v>
      </c>
      <c r="L2540" s="45" t="n">
        <f aca="false">DATE(YEAR(B2540),MONTH(B2540),1)</f>
        <v>46235</v>
      </c>
      <c r="M2540" s="31" t="n">
        <f aca="false">WEEKDAY(B2540,2)</f>
        <v>3</v>
      </c>
      <c r="N2540" s="31" t="str">
        <f aca="false">IF(G2540&lt;=INDEX(Assumptions!$B$15:$B$18,MATCH(E2540,Assumptions!$A$15:$A$18,0)),"Yes","No")</f>
        <v>No</v>
      </c>
      <c r="O2540" s="31" t="str">
        <f aca="false">IF(H2540="","Open",IF(H2540&lt;=INDEX(Assumptions!$C$15:$C$18,MATCH(E2540,Assumptions!$A$15:$A$18,0)),"Yes","No"))</f>
        <v>Yes</v>
      </c>
    </row>
    <row r="2541" customFormat="false" ht="15" hidden="false" customHeight="false" outlineLevel="0" collapsed="false">
      <c r="A2541" s="31" t="s">
        <v>2691</v>
      </c>
      <c r="B2541" s="44" t="n">
        <v>46239</v>
      </c>
      <c r="C2541" s="31" t="s">
        <v>60</v>
      </c>
      <c r="D2541" s="31" t="s">
        <v>65</v>
      </c>
      <c r="E2541" s="31" t="s">
        <v>50</v>
      </c>
      <c r="F2541" s="31" t="s">
        <v>121</v>
      </c>
      <c r="G2541" s="31" t="n">
        <v>2</v>
      </c>
      <c r="H2541" s="41" t="n">
        <v>4.3</v>
      </c>
      <c r="I2541" s="31" t="s">
        <v>149</v>
      </c>
      <c r="J2541" s="31"/>
      <c r="K2541" s="31" t="s">
        <v>150</v>
      </c>
      <c r="L2541" s="45" t="n">
        <f aca="false">DATE(YEAR(B2541),MONTH(B2541),1)</f>
        <v>46235</v>
      </c>
      <c r="M2541" s="31" t="n">
        <f aca="false">WEEKDAY(B2541,2)</f>
        <v>3</v>
      </c>
      <c r="N2541" s="31" t="str">
        <f aca="false">IF(G2541&lt;=INDEX(Assumptions!$B$15:$B$18,MATCH(E2541,Assumptions!$A$15:$A$18,0)),"Yes","No")</f>
        <v>Yes</v>
      </c>
      <c r="O2541" s="31" t="str">
        <f aca="false">IF(H2541="","Open",IF(H2541&lt;=INDEX(Assumptions!$C$15:$C$18,MATCH(E2541,Assumptions!$A$15:$A$18,0)),"Yes","No"))</f>
        <v>Yes</v>
      </c>
    </row>
    <row r="2542" customFormat="false" ht="15" hidden="false" customHeight="false" outlineLevel="0" collapsed="false">
      <c r="A2542" s="31" t="s">
        <v>2692</v>
      </c>
      <c r="B2542" s="44" t="n">
        <v>46239</v>
      </c>
      <c r="C2542" s="31" t="s">
        <v>60</v>
      </c>
      <c r="D2542" s="31" t="s">
        <v>67</v>
      </c>
      <c r="E2542" s="31" t="s">
        <v>51</v>
      </c>
      <c r="F2542" s="31" t="s">
        <v>119</v>
      </c>
      <c r="G2542" s="31" t="n">
        <v>1</v>
      </c>
      <c r="H2542" s="41" t="n">
        <v>44.5</v>
      </c>
      <c r="I2542" s="31" t="s">
        <v>64</v>
      </c>
      <c r="J2542" s="31"/>
      <c r="K2542" s="31" t="s">
        <v>150</v>
      </c>
      <c r="L2542" s="45" t="n">
        <f aca="false">DATE(YEAR(B2542),MONTH(B2542),1)</f>
        <v>46235</v>
      </c>
      <c r="M2542" s="31" t="n">
        <f aca="false">WEEKDAY(B2542,2)</f>
        <v>3</v>
      </c>
      <c r="N2542" s="31" t="str">
        <f aca="false">IF(G2542&lt;=INDEX(Assumptions!$B$15:$B$18,MATCH(E2542,Assumptions!$A$15:$A$18,0)),"Yes","No")</f>
        <v>Yes</v>
      </c>
      <c r="O2542" s="31" t="str">
        <f aca="false">IF(H2542="","Open",IF(H2542&lt;=INDEX(Assumptions!$C$15:$C$18,MATCH(E2542,Assumptions!$A$15:$A$18,0)),"Yes","No"))</f>
        <v>No</v>
      </c>
    </row>
    <row r="2543" customFormat="false" ht="15" hidden="false" customHeight="false" outlineLevel="0" collapsed="false">
      <c r="A2543" s="31" t="s">
        <v>2693</v>
      </c>
      <c r="B2543" s="44" t="n">
        <v>46239</v>
      </c>
      <c r="C2543" s="31" t="s">
        <v>58</v>
      </c>
      <c r="D2543" s="31" t="s">
        <v>65</v>
      </c>
      <c r="E2543" s="31" t="s">
        <v>52</v>
      </c>
      <c r="F2543" s="31" t="s">
        <v>137</v>
      </c>
      <c r="G2543" s="31" t="n">
        <v>26</v>
      </c>
      <c r="H2543" s="41" t="n">
        <v>13.1</v>
      </c>
      <c r="I2543" s="31" t="s">
        <v>149</v>
      </c>
      <c r="J2543" s="31" t="n">
        <v>4</v>
      </c>
      <c r="K2543" s="31" t="s">
        <v>150</v>
      </c>
      <c r="L2543" s="45" t="n">
        <f aca="false">DATE(YEAR(B2543),MONTH(B2543),1)</f>
        <v>46235</v>
      </c>
      <c r="M2543" s="31" t="n">
        <f aca="false">WEEKDAY(B2543,2)</f>
        <v>3</v>
      </c>
      <c r="N2543" s="31" t="str">
        <f aca="false">IF(G2543&lt;=INDEX(Assumptions!$B$15:$B$18,MATCH(E2543,Assumptions!$A$15:$A$18,0)),"Yes","No")</f>
        <v>Yes</v>
      </c>
      <c r="O2543" s="31" t="str">
        <f aca="false">IF(H2543="","Open",IF(H2543&lt;=INDEX(Assumptions!$C$15:$C$18,MATCH(E2543,Assumptions!$A$15:$A$18,0)),"Yes","No"))</f>
        <v>Yes</v>
      </c>
    </row>
    <row r="2544" customFormat="false" ht="15" hidden="false" customHeight="false" outlineLevel="0" collapsed="false">
      <c r="A2544" s="31" t="s">
        <v>2694</v>
      </c>
      <c r="B2544" s="44" t="n">
        <v>46239</v>
      </c>
      <c r="C2544" s="31" t="s">
        <v>57</v>
      </c>
      <c r="D2544" s="31" t="s">
        <v>68</v>
      </c>
      <c r="E2544" s="31" t="s">
        <v>51</v>
      </c>
      <c r="F2544" s="31" t="s">
        <v>124</v>
      </c>
      <c r="G2544" s="31" t="n">
        <v>2</v>
      </c>
      <c r="H2544" s="41" t="n">
        <v>1.2</v>
      </c>
      <c r="I2544" s="31" t="s">
        <v>149</v>
      </c>
      <c r="J2544" s="31"/>
      <c r="K2544" s="31" t="s">
        <v>150</v>
      </c>
      <c r="L2544" s="45" t="n">
        <f aca="false">DATE(YEAR(B2544),MONTH(B2544),1)</f>
        <v>46235</v>
      </c>
      <c r="M2544" s="31" t="n">
        <f aca="false">WEEKDAY(B2544,2)</f>
        <v>3</v>
      </c>
      <c r="N2544" s="31" t="str">
        <f aca="false">IF(G2544&lt;=INDEX(Assumptions!$B$15:$B$18,MATCH(E2544,Assumptions!$A$15:$A$18,0)),"Yes","No")</f>
        <v>Yes</v>
      </c>
      <c r="O2544" s="31" t="str">
        <f aca="false">IF(H2544="","Open",IF(H2544&lt;=INDEX(Assumptions!$C$15:$C$18,MATCH(E2544,Assumptions!$A$15:$A$18,0)),"Yes","No"))</f>
        <v>Yes</v>
      </c>
    </row>
    <row r="2545" customFormat="false" ht="15" hidden="false" customHeight="false" outlineLevel="0" collapsed="false">
      <c r="A2545" s="31" t="s">
        <v>2695</v>
      </c>
      <c r="B2545" s="44" t="n">
        <v>46239</v>
      </c>
      <c r="C2545" s="31" t="s">
        <v>59</v>
      </c>
      <c r="D2545" s="31" t="s">
        <v>67</v>
      </c>
      <c r="E2545" s="31" t="s">
        <v>51</v>
      </c>
      <c r="F2545" s="31" t="s">
        <v>135</v>
      </c>
      <c r="G2545" s="31" t="n">
        <v>60</v>
      </c>
      <c r="H2545" s="41" t="n">
        <v>19.6</v>
      </c>
      <c r="I2545" s="31" t="s">
        <v>149</v>
      </c>
      <c r="J2545" s="31" t="n">
        <v>4</v>
      </c>
      <c r="K2545" s="31" t="s">
        <v>150</v>
      </c>
      <c r="L2545" s="45" t="n">
        <f aca="false">DATE(YEAR(B2545),MONTH(B2545),1)</f>
        <v>46235</v>
      </c>
      <c r="M2545" s="31" t="n">
        <f aca="false">WEEKDAY(B2545,2)</f>
        <v>3</v>
      </c>
      <c r="N2545" s="31" t="str">
        <f aca="false">IF(G2545&lt;=INDEX(Assumptions!$B$15:$B$18,MATCH(E2545,Assumptions!$A$15:$A$18,0)),"Yes","No")</f>
        <v>Yes</v>
      </c>
      <c r="O2545" s="31" t="str">
        <f aca="false">IF(H2545="","Open",IF(H2545&lt;=INDEX(Assumptions!$C$15:$C$18,MATCH(E2545,Assumptions!$A$15:$A$18,0)),"Yes","No"))</f>
        <v>Yes</v>
      </c>
    </row>
    <row r="2546" customFormat="false" ht="15" hidden="false" customHeight="false" outlineLevel="0" collapsed="false">
      <c r="A2546" s="31" t="s">
        <v>2696</v>
      </c>
      <c r="B2546" s="44" t="n">
        <v>46239</v>
      </c>
      <c r="C2546" s="31" t="s">
        <v>60</v>
      </c>
      <c r="D2546" s="31" t="s">
        <v>67</v>
      </c>
      <c r="E2546" s="31" t="s">
        <v>51</v>
      </c>
      <c r="F2546" s="31" t="s">
        <v>136</v>
      </c>
      <c r="G2546" s="31" t="n">
        <v>1</v>
      </c>
      <c r="H2546" s="41" t="n">
        <v>31.4</v>
      </c>
      <c r="I2546" s="31" t="s">
        <v>64</v>
      </c>
      <c r="J2546" s="31"/>
      <c r="K2546" s="31" t="s">
        <v>150</v>
      </c>
      <c r="L2546" s="45" t="n">
        <f aca="false">DATE(YEAR(B2546),MONTH(B2546),1)</f>
        <v>46235</v>
      </c>
      <c r="M2546" s="31" t="n">
        <f aca="false">WEEKDAY(B2546,2)</f>
        <v>3</v>
      </c>
      <c r="N2546" s="31" t="str">
        <f aca="false">IF(G2546&lt;=INDEX(Assumptions!$B$15:$B$18,MATCH(E2546,Assumptions!$A$15:$A$18,0)),"Yes","No")</f>
        <v>Yes</v>
      </c>
      <c r="O2546" s="31" t="str">
        <f aca="false">IF(H2546="","Open",IF(H2546&lt;=INDEX(Assumptions!$C$15:$C$18,MATCH(E2546,Assumptions!$A$15:$A$18,0)),"Yes","No"))</f>
        <v>No</v>
      </c>
    </row>
    <row r="2547" customFormat="false" ht="15" hidden="false" customHeight="false" outlineLevel="0" collapsed="false">
      <c r="A2547" s="31" t="s">
        <v>2697</v>
      </c>
      <c r="B2547" s="44" t="n">
        <v>46239</v>
      </c>
      <c r="C2547" s="31" t="s">
        <v>59</v>
      </c>
      <c r="D2547" s="31" t="s">
        <v>65</v>
      </c>
      <c r="E2547" s="31" t="s">
        <v>51</v>
      </c>
      <c r="F2547" s="31" t="s">
        <v>129</v>
      </c>
      <c r="G2547" s="31" t="n">
        <v>28</v>
      </c>
      <c r="H2547" s="41" t="n">
        <v>14.9</v>
      </c>
      <c r="I2547" s="31" t="s">
        <v>149</v>
      </c>
      <c r="J2547" s="31" t="n">
        <v>4</v>
      </c>
      <c r="K2547" s="31" t="s">
        <v>150</v>
      </c>
      <c r="L2547" s="45" t="n">
        <f aca="false">DATE(YEAR(B2547),MONTH(B2547),1)</f>
        <v>46235</v>
      </c>
      <c r="M2547" s="31" t="n">
        <f aca="false">WEEKDAY(B2547,2)</f>
        <v>3</v>
      </c>
      <c r="N2547" s="31" t="str">
        <f aca="false">IF(G2547&lt;=INDEX(Assumptions!$B$15:$B$18,MATCH(E2547,Assumptions!$A$15:$A$18,0)),"Yes","No")</f>
        <v>Yes</v>
      </c>
      <c r="O2547" s="31" t="str">
        <f aca="false">IF(H2547="","Open",IF(H2547&lt;=INDEX(Assumptions!$C$15:$C$18,MATCH(E2547,Assumptions!$A$15:$A$18,0)),"Yes","No"))</f>
        <v>Yes</v>
      </c>
    </row>
    <row r="2548" customFormat="false" ht="15" hidden="false" customHeight="false" outlineLevel="0" collapsed="false">
      <c r="A2548" s="31" t="s">
        <v>2698</v>
      </c>
      <c r="B2548" s="44" t="n">
        <v>46239</v>
      </c>
      <c r="C2548" s="31" t="s">
        <v>58</v>
      </c>
      <c r="D2548" s="31" t="s">
        <v>67</v>
      </c>
      <c r="E2548" s="31" t="s">
        <v>52</v>
      </c>
      <c r="F2548" s="31" t="s">
        <v>134</v>
      </c>
      <c r="G2548" s="31" t="n">
        <v>15</v>
      </c>
      <c r="H2548" s="41" t="n">
        <v>61.7</v>
      </c>
      <c r="I2548" s="31" t="s">
        <v>64</v>
      </c>
      <c r="J2548" s="31"/>
      <c r="K2548" s="31" t="s">
        <v>150</v>
      </c>
      <c r="L2548" s="45" t="n">
        <f aca="false">DATE(YEAR(B2548),MONTH(B2548),1)</f>
        <v>46235</v>
      </c>
      <c r="M2548" s="31" t="n">
        <f aca="false">WEEKDAY(B2548,2)</f>
        <v>3</v>
      </c>
      <c r="N2548" s="31" t="str">
        <f aca="false">IF(G2548&lt;=INDEX(Assumptions!$B$15:$B$18,MATCH(E2548,Assumptions!$A$15:$A$18,0)),"Yes","No")</f>
        <v>Yes</v>
      </c>
      <c r="O2548" s="31" t="str">
        <f aca="false">IF(H2548="","Open",IF(H2548&lt;=INDEX(Assumptions!$C$15:$C$18,MATCH(E2548,Assumptions!$A$15:$A$18,0)),"Yes","No"))</f>
        <v>Yes</v>
      </c>
    </row>
    <row r="2549" customFormat="false" ht="15" hidden="false" customHeight="false" outlineLevel="0" collapsed="false">
      <c r="A2549" s="31" t="s">
        <v>2699</v>
      </c>
      <c r="B2549" s="44" t="n">
        <v>46239</v>
      </c>
      <c r="C2549" s="31" t="s">
        <v>59</v>
      </c>
      <c r="D2549" s="31" t="s">
        <v>65</v>
      </c>
      <c r="E2549" s="31" t="s">
        <v>50</v>
      </c>
      <c r="F2549" s="31" t="s">
        <v>127</v>
      </c>
      <c r="G2549" s="31" t="n">
        <v>76</v>
      </c>
      <c r="H2549" s="41" t="n">
        <v>1.4</v>
      </c>
      <c r="I2549" s="31" t="s">
        <v>149</v>
      </c>
      <c r="J2549" s="31"/>
      <c r="K2549" s="31" t="s">
        <v>150</v>
      </c>
      <c r="L2549" s="45" t="n">
        <f aca="false">DATE(YEAR(B2549),MONTH(B2549),1)</f>
        <v>46235</v>
      </c>
      <c r="M2549" s="31" t="n">
        <f aca="false">WEEKDAY(B2549,2)</f>
        <v>3</v>
      </c>
      <c r="N2549" s="31" t="str">
        <f aca="false">IF(G2549&lt;=INDEX(Assumptions!$B$15:$B$18,MATCH(E2549,Assumptions!$A$15:$A$18,0)),"Yes","No")</f>
        <v>No</v>
      </c>
      <c r="O2549" s="31" t="str">
        <f aca="false">IF(H2549="","Open",IF(H2549&lt;=INDEX(Assumptions!$C$15:$C$18,MATCH(E2549,Assumptions!$A$15:$A$18,0)),"Yes","No"))</f>
        <v>Yes</v>
      </c>
    </row>
    <row r="2550" customFormat="false" ht="15" hidden="false" customHeight="false" outlineLevel="0" collapsed="false">
      <c r="A2550" s="31" t="s">
        <v>2700</v>
      </c>
      <c r="B2550" s="44" t="n">
        <v>46239</v>
      </c>
      <c r="C2550" s="31" t="s">
        <v>58</v>
      </c>
      <c r="D2550" s="31" t="s">
        <v>66</v>
      </c>
      <c r="E2550" s="31" t="s">
        <v>51</v>
      </c>
      <c r="F2550" s="31" t="s">
        <v>129</v>
      </c>
      <c r="G2550" s="31" t="n">
        <v>10</v>
      </c>
      <c r="H2550" s="41" t="n">
        <v>11.9</v>
      </c>
      <c r="I2550" s="31" t="s">
        <v>149</v>
      </c>
      <c r="J2550" s="31" t="n">
        <v>5</v>
      </c>
      <c r="K2550" s="31" t="s">
        <v>150</v>
      </c>
      <c r="L2550" s="45" t="n">
        <f aca="false">DATE(YEAR(B2550),MONTH(B2550),1)</f>
        <v>46235</v>
      </c>
      <c r="M2550" s="31" t="n">
        <f aca="false">WEEKDAY(B2550,2)</f>
        <v>3</v>
      </c>
      <c r="N2550" s="31" t="str">
        <f aca="false">IF(G2550&lt;=INDEX(Assumptions!$B$15:$B$18,MATCH(E2550,Assumptions!$A$15:$A$18,0)),"Yes","No")</f>
        <v>Yes</v>
      </c>
      <c r="O2550" s="31" t="str">
        <f aca="false">IF(H2550="","Open",IF(H2550&lt;=INDEX(Assumptions!$C$15:$C$18,MATCH(E2550,Assumptions!$A$15:$A$18,0)),"Yes","No"))</f>
        <v>Yes</v>
      </c>
    </row>
    <row r="2551" customFormat="false" ht="15" hidden="false" customHeight="false" outlineLevel="0" collapsed="false">
      <c r="A2551" s="31" t="s">
        <v>2701</v>
      </c>
      <c r="B2551" s="44" t="n">
        <v>46239</v>
      </c>
      <c r="C2551" s="31" t="s">
        <v>58</v>
      </c>
      <c r="D2551" s="31" t="s">
        <v>67</v>
      </c>
      <c r="E2551" s="31" t="s">
        <v>51</v>
      </c>
      <c r="F2551" s="31" t="s">
        <v>124</v>
      </c>
      <c r="G2551" s="31" t="n">
        <v>40</v>
      </c>
      <c r="H2551" s="41" t="n">
        <v>34.3</v>
      </c>
      <c r="I2551" s="31" t="s">
        <v>149</v>
      </c>
      <c r="J2551" s="31" t="n">
        <v>5</v>
      </c>
      <c r="K2551" s="31" t="s">
        <v>150</v>
      </c>
      <c r="L2551" s="45" t="n">
        <f aca="false">DATE(YEAR(B2551),MONTH(B2551),1)</f>
        <v>46235</v>
      </c>
      <c r="M2551" s="31" t="n">
        <f aca="false">WEEKDAY(B2551,2)</f>
        <v>3</v>
      </c>
      <c r="N2551" s="31" t="str">
        <f aca="false">IF(G2551&lt;=INDEX(Assumptions!$B$15:$B$18,MATCH(E2551,Assumptions!$A$15:$A$18,0)),"Yes","No")</f>
        <v>Yes</v>
      </c>
      <c r="O2551" s="31" t="str">
        <f aca="false">IF(H2551="","Open",IF(H2551&lt;=INDEX(Assumptions!$C$15:$C$18,MATCH(E2551,Assumptions!$A$15:$A$18,0)),"Yes","No"))</f>
        <v>No</v>
      </c>
    </row>
    <row r="2552" customFormat="false" ht="15" hidden="false" customHeight="false" outlineLevel="0" collapsed="false">
      <c r="A2552" s="31" t="s">
        <v>2702</v>
      </c>
      <c r="B2552" s="44" t="n">
        <v>46239</v>
      </c>
      <c r="C2552" s="31" t="s">
        <v>59</v>
      </c>
      <c r="D2552" s="31" t="s">
        <v>68</v>
      </c>
      <c r="E2552" s="31" t="s">
        <v>52</v>
      </c>
      <c r="F2552" s="31" t="s">
        <v>129</v>
      </c>
      <c r="G2552" s="31" t="n">
        <v>188</v>
      </c>
      <c r="H2552" s="41" t="n">
        <v>2.3</v>
      </c>
      <c r="I2552" s="31" t="s">
        <v>149</v>
      </c>
      <c r="J2552" s="31" t="n">
        <v>5</v>
      </c>
      <c r="K2552" s="31" t="s">
        <v>150</v>
      </c>
      <c r="L2552" s="45" t="n">
        <f aca="false">DATE(YEAR(B2552),MONTH(B2552),1)</f>
        <v>46235</v>
      </c>
      <c r="M2552" s="31" t="n">
        <f aca="false">WEEKDAY(B2552,2)</f>
        <v>3</v>
      </c>
      <c r="N2552" s="31" t="str">
        <f aca="false">IF(G2552&lt;=INDEX(Assumptions!$B$15:$B$18,MATCH(E2552,Assumptions!$A$15:$A$18,0)),"Yes","No")</f>
        <v>Yes</v>
      </c>
      <c r="O2552" s="31" t="str">
        <f aca="false">IF(H2552="","Open",IF(H2552&lt;=INDEX(Assumptions!$C$15:$C$18,MATCH(E2552,Assumptions!$A$15:$A$18,0)),"Yes","No"))</f>
        <v>Yes</v>
      </c>
    </row>
    <row r="2553" customFormat="false" ht="15" hidden="false" customHeight="false" outlineLevel="0" collapsed="false">
      <c r="A2553" s="31" t="s">
        <v>2703</v>
      </c>
      <c r="B2553" s="44" t="n">
        <v>46239</v>
      </c>
      <c r="C2553" s="31" t="s">
        <v>59</v>
      </c>
      <c r="D2553" s="31" t="s">
        <v>65</v>
      </c>
      <c r="E2553" s="31" t="s">
        <v>49</v>
      </c>
      <c r="F2553" s="31" t="s">
        <v>122</v>
      </c>
      <c r="G2553" s="31" t="n">
        <v>50</v>
      </c>
      <c r="H2553" s="41" t="n">
        <v>1.1</v>
      </c>
      <c r="I2553" s="31" t="s">
        <v>149</v>
      </c>
      <c r="J2553" s="31"/>
      <c r="K2553" s="31" t="s">
        <v>150</v>
      </c>
      <c r="L2553" s="45" t="n">
        <f aca="false">DATE(YEAR(B2553),MONTH(B2553),1)</f>
        <v>46235</v>
      </c>
      <c r="M2553" s="31" t="n">
        <f aca="false">WEEKDAY(B2553,2)</f>
        <v>3</v>
      </c>
      <c r="N2553" s="31" t="str">
        <f aca="false">IF(G2553&lt;=INDEX(Assumptions!$B$15:$B$18,MATCH(E2553,Assumptions!$A$15:$A$18,0)),"Yes","No")</f>
        <v>No</v>
      </c>
      <c r="O2553" s="31" t="str">
        <f aca="false">IF(H2553="","Open",IF(H2553&lt;=INDEX(Assumptions!$C$15:$C$18,MATCH(E2553,Assumptions!$A$15:$A$18,0)),"Yes","No"))</f>
        <v>Yes</v>
      </c>
    </row>
    <row r="2554" customFormat="false" ht="15" hidden="false" customHeight="false" outlineLevel="0" collapsed="false">
      <c r="A2554" s="31" t="s">
        <v>2704</v>
      </c>
      <c r="B2554" s="44" t="n">
        <v>46239</v>
      </c>
      <c r="C2554" s="31" t="s">
        <v>57</v>
      </c>
      <c r="D2554" s="31" t="s">
        <v>65</v>
      </c>
      <c r="E2554" s="31" t="s">
        <v>50</v>
      </c>
      <c r="F2554" s="31" t="s">
        <v>128</v>
      </c>
      <c r="G2554" s="31" t="n">
        <v>3</v>
      </c>
      <c r="H2554" s="41" t="n">
        <v>38.4</v>
      </c>
      <c r="I2554" s="31" t="s">
        <v>149</v>
      </c>
      <c r="J2554" s="31" t="n">
        <v>3</v>
      </c>
      <c r="K2554" s="31" t="s">
        <v>150</v>
      </c>
      <c r="L2554" s="45" t="n">
        <f aca="false">DATE(YEAR(B2554),MONTH(B2554),1)</f>
        <v>46235</v>
      </c>
      <c r="M2554" s="31" t="n">
        <f aca="false">WEEKDAY(B2554,2)</f>
        <v>3</v>
      </c>
      <c r="N2554" s="31" t="str">
        <f aca="false">IF(G2554&lt;=INDEX(Assumptions!$B$15:$B$18,MATCH(E2554,Assumptions!$A$15:$A$18,0)),"Yes","No")</f>
        <v>Yes</v>
      </c>
      <c r="O2554" s="31" t="str">
        <f aca="false">IF(H2554="","Open",IF(H2554&lt;=INDEX(Assumptions!$C$15:$C$18,MATCH(E2554,Assumptions!$A$15:$A$18,0)),"Yes","No"))</f>
        <v>No</v>
      </c>
    </row>
    <row r="2555" customFormat="false" ht="15" hidden="false" customHeight="false" outlineLevel="0" collapsed="false">
      <c r="A2555" s="31" t="s">
        <v>2705</v>
      </c>
      <c r="B2555" s="44" t="n">
        <v>46239</v>
      </c>
      <c r="C2555" s="31" t="s">
        <v>59</v>
      </c>
      <c r="D2555" s="31" t="s">
        <v>69</v>
      </c>
      <c r="E2555" s="31" t="s">
        <v>49</v>
      </c>
      <c r="F2555" s="31" t="s">
        <v>136</v>
      </c>
      <c r="G2555" s="31" t="n">
        <v>60</v>
      </c>
      <c r="H2555" s="41" t="n">
        <v>5.8</v>
      </c>
      <c r="I2555" s="31" t="s">
        <v>149</v>
      </c>
      <c r="J2555" s="31" t="n">
        <v>3</v>
      </c>
      <c r="K2555" s="31" t="s">
        <v>150</v>
      </c>
      <c r="L2555" s="45" t="n">
        <f aca="false">DATE(YEAR(B2555),MONTH(B2555),1)</f>
        <v>46235</v>
      </c>
      <c r="M2555" s="31" t="n">
        <f aca="false">WEEKDAY(B2555,2)</f>
        <v>3</v>
      </c>
      <c r="N2555" s="31" t="str">
        <f aca="false">IF(G2555&lt;=INDEX(Assumptions!$B$15:$B$18,MATCH(E2555,Assumptions!$A$15:$A$18,0)),"Yes","No")</f>
        <v>No</v>
      </c>
      <c r="O2555" s="31" t="str">
        <f aca="false">IF(H2555="","Open",IF(H2555&lt;=INDEX(Assumptions!$C$15:$C$18,MATCH(E2555,Assumptions!$A$15:$A$18,0)),"Yes","No"))</f>
        <v>No</v>
      </c>
    </row>
    <row r="2556" customFormat="false" ht="15" hidden="false" customHeight="false" outlineLevel="0" collapsed="false">
      <c r="A2556" s="31" t="s">
        <v>2706</v>
      </c>
      <c r="B2556" s="44" t="n">
        <v>46239</v>
      </c>
      <c r="C2556" s="31" t="s">
        <v>60</v>
      </c>
      <c r="D2556" s="31" t="s">
        <v>66</v>
      </c>
      <c r="E2556" s="31" t="s">
        <v>52</v>
      </c>
      <c r="F2556" s="31" t="s">
        <v>131</v>
      </c>
      <c r="G2556" s="31" t="n">
        <v>6</v>
      </c>
      <c r="H2556" s="41" t="n">
        <v>7.1</v>
      </c>
      <c r="I2556" s="31" t="s">
        <v>149</v>
      </c>
      <c r="J2556" s="31" t="n">
        <v>5</v>
      </c>
      <c r="K2556" s="31" t="s">
        <v>150</v>
      </c>
      <c r="L2556" s="45" t="n">
        <f aca="false">DATE(YEAR(B2556),MONTH(B2556),1)</f>
        <v>46235</v>
      </c>
      <c r="M2556" s="31" t="n">
        <f aca="false">WEEKDAY(B2556,2)</f>
        <v>3</v>
      </c>
      <c r="N2556" s="31" t="str">
        <f aca="false">IF(G2556&lt;=INDEX(Assumptions!$B$15:$B$18,MATCH(E2556,Assumptions!$A$15:$A$18,0)),"Yes","No")</f>
        <v>Yes</v>
      </c>
      <c r="O2556" s="31" t="str">
        <f aca="false">IF(H2556="","Open",IF(H2556&lt;=INDEX(Assumptions!$C$15:$C$18,MATCH(E2556,Assumptions!$A$15:$A$18,0)),"Yes","No"))</f>
        <v>Yes</v>
      </c>
    </row>
    <row r="2557" customFormat="false" ht="15" hidden="false" customHeight="false" outlineLevel="0" collapsed="false">
      <c r="A2557" s="31" t="s">
        <v>2707</v>
      </c>
      <c r="B2557" s="44" t="n">
        <v>46239</v>
      </c>
      <c r="C2557" s="31" t="s">
        <v>57</v>
      </c>
      <c r="D2557" s="31" t="s">
        <v>67</v>
      </c>
      <c r="E2557" s="31" t="s">
        <v>52</v>
      </c>
      <c r="F2557" s="31" t="s">
        <v>128</v>
      </c>
      <c r="G2557" s="31" t="n">
        <v>18</v>
      </c>
      <c r="H2557" s="41" t="n">
        <v>30.2</v>
      </c>
      <c r="I2557" s="31" t="s">
        <v>149</v>
      </c>
      <c r="J2557" s="31" t="n">
        <v>3</v>
      </c>
      <c r="K2557" s="31" t="s">
        <v>150</v>
      </c>
      <c r="L2557" s="45" t="n">
        <f aca="false">DATE(YEAR(B2557),MONTH(B2557),1)</f>
        <v>46235</v>
      </c>
      <c r="M2557" s="31" t="n">
        <f aca="false">WEEKDAY(B2557,2)</f>
        <v>3</v>
      </c>
      <c r="N2557" s="31" t="str">
        <f aca="false">IF(G2557&lt;=INDEX(Assumptions!$B$15:$B$18,MATCH(E2557,Assumptions!$A$15:$A$18,0)),"Yes","No")</f>
        <v>Yes</v>
      </c>
      <c r="O2557" s="31" t="str">
        <f aca="false">IF(H2557="","Open",IF(H2557&lt;=INDEX(Assumptions!$C$15:$C$18,MATCH(E2557,Assumptions!$A$15:$A$18,0)),"Yes","No"))</f>
        <v>Yes</v>
      </c>
    </row>
    <row r="2558" customFormat="false" ht="15" hidden="false" customHeight="false" outlineLevel="0" collapsed="false">
      <c r="A2558" s="31" t="s">
        <v>2708</v>
      </c>
      <c r="B2558" s="44" t="n">
        <v>46239</v>
      </c>
      <c r="C2558" s="31" t="s">
        <v>57</v>
      </c>
      <c r="D2558" s="31" t="s">
        <v>66</v>
      </c>
      <c r="E2558" s="31" t="s">
        <v>50</v>
      </c>
      <c r="F2558" s="31" t="s">
        <v>124</v>
      </c>
      <c r="G2558" s="31" t="n">
        <v>8</v>
      </c>
      <c r="H2558" s="41" t="n">
        <v>2.7</v>
      </c>
      <c r="I2558" s="31" t="s">
        <v>149</v>
      </c>
      <c r="J2558" s="31" t="n">
        <v>5</v>
      </c>
      <c r="K2558" s="31" t="s">
        <v>150</v>
      </c>
      <c r="L2558" s="45" t="n">
        <f aca="false">DATE(YEAR(B2558),MONTH(B2558),1)</f>
        <v>46235</v>
      </c>
      <c r="M2558" s="31" t="n">
        <f aca="false">WEEKDAY(B2558,2)</f>
        <v>3</v>
      </c>
      <c r="N2558" s="31" t="str">
        <f aca="false">IF(G2558&lt;=INDEX(Assumptions!$B$15:$B$18,MATCH(E2558,Assumptions!$A$15:$A$18,0)),"Yes","No")</f>
        <v>Yes</v>
      </c>
      <c r="O2558" s="31" t="str">
        <f aca="false">IF(H2558="","Open",IF(H2558&lt;=INDEX(Assumptions!$C$15:$C$18,MATCH(E2558,Assumptions!$A$15:$A$18,0)),"Yes","No"))</f>
        <v>Yes</v>
      </c>
    </row>
    <row r="2559" customFormat="false" ht="15" hidden="false" customHeight="false" outlineLevel="0" collapsed="false">
      <c r="A2559" s="31" t="s">
        <v>2709</v>
      </c>
      <c r="B2559" s="44" t="n">
        <v>46239</v>
      </c>
      <c r="C2559" s="31" t="s">
        <v>60</v>
      </c>
      <c r="D2559" s="31" t="s">
        <v>67</v>
      </c>
      <c r="E2559" s="31" t="s">
        <v>51</v>
      </c>
      <c r="F2559" s="31" t="s">
        <v>131</v>
      </c>
      <c r="G2559" s="31" t="n">
        <v>1</v>
      </c>
      <c r="H2559" s="41" t="n">
        <v>13.4</v>
      </c>
      <c r="I2559" s="31" t="s">
        <v>149</v>
      </c>
      <c r="J2559" s="31"/>
      <c r="K2559" s="31" t="s">
        <v>150</v>
      </c>
      <c r="L2559" s="45" t="n">
        <f aca="false">DATE(YEAR(B2559),MONTH(B2559),1)</f>
        <v>46235</v>
      </c>
      <c r="M2559" s="31" t="n">
        <f aca="false">WEEKDAY(B2559,2)</f>
        <v>3</v>
      </c>
      <c r="N2559" s="31" t="str">
        <f aca="false">IF(G2559&lt;=INDEX(Assumptions!$B$15:$B$18,MATCH(E2559,Assumptions!$A$15:$A$18,0)),"Yes","No")</f>
        <v>Yes</v>
      </c>
      <c r="O2559" s="31" t="str">
        <f aca="false">IF(H2559="","Open",IF(H2559&lt;=INDEX(Assumptions!$C$15:$C$18,MATCH(E2559,Assumptions!$A$15:$A$18,0)),"Yes","No"))</f>
        <v>Yes</v>
      </c>
    </row>
    <row r="2560" customFormat="false" ht="15" hidden="false" customHeight="false" outlineLevel="0" collapsed="false">
      <c r="A2560" s="31" t="s">
        <v>2710</v>
      </c>
      <c r="B2560" s="44" t="n">
        <v>46239</v>
      </c>
      <c r="C2560" s="31" t="s">
        <v>58</v>
      </c>
      <c r="D2560" s="31" t="s">
        <v>66</v>
      </c>
      <c r="E2560" s="31" t="s">
        <v>51</v>
      </c>
      <c r="F2560" s="31" t="s">
        <v>122</v>
      </c>
      <c r="G2560" s="31" t="n">
        <v>10</v>
      </c>
      <c r="H2560" s="41" t="n">
        <v>6.3</v>
      </c>
      <c r="I2560" s="31" t="s">
        <v>149</v>
      </c>
      <c r="J2560" s="31" t="n">
        <v>3</v>
      </c>
      <c r="K2560" s="31" t="s">
        <v>150</v>
      </c>
      <c r="L2560" s="45" t="n">
        <f aca="false">DATE(YEAR(B2560),MONTH(B2560),1)</f>
        <v>46235</v>
      </c>
      <c r="M2560" s="31" t="n">
        <f aca="false">WEEKDAY(B2560,2)</f>
        <v>3</v>
      </c>
      <c r="N2560" s="31" t="str">
        <f aca="false">IF(G2560&lt;=INDEX(Assumptions!$B$15:$B$18,MATCH(E2560,Assumptions!$A$15:$A$18,0)),"Yes","No")</f>
        <v>Yes</v>
      </c>
      <c r="O2560" s="31" t="str">
        <f aca="false">IF(H2560="","Open",IF(H2560&lt;=INDEX(Assumptions!$C$15:$C$18,MATCH(E2560,Assumptions!$A$15:$A$18,0)),"Yes","No"))</f>
        <v>Yes</v>
      </c>
    </row>
    <row r="2561" customFormat="false" ht="15" hidden="false" customHeight="false" outlineLevel="0" collapsed="false">
      <c r="A2561" s="31" t="s">
        <v>2711</v>
      </c>
      <c r="B2561" s="44" t="n">
        <v>46239</v>
      </c>
      <c r="C2561" s="31" t="s">
        <v>60</v>
      </c>
      <c r="D2561" s="31" t="s">
        <v>65</v>
      </c>
      <c r="E2561" s="31" t="s">
        <v>51</v>
      </c>
      <c r="F2561" s="31" t="s">
        <v>127</v>
      </c>
      <c r="G2561" s="31" t="n">
        <v>1</v>
      </c>
      <c r="H2561" s="41" t="n">
        <v>29.4</v>
      </c>
      <c r="I2561" s="31" t="s">
        <v>149</v>
      </c>
      <c r="J2561" s="31"/>
      <c r="K2561" s="31" t="s">
        <v>150</v>
      </c>
      <c r="L2561" s="45" t="n">
        <f aca="false">DATE(YEAR(B2561),MONTH(B2561),1)</f>
        <v>46235</v>
      </c>
      <c r="M2561" s="31" t="n">
        <f aca="false">WEEKDAY(B2561,2)</f>
        <v>3</v>
      </c>
      <c r="N2561" s="31" t="str">
        <f aca="false">IF(G2561&lt;=INDEX(Assumptions!$B$15:$B$18,MATCH(E2561,Assumptions!$A$15:$A$18,0)),"Yes","No")</f>
        <v>Yes</v>
      </c>
      <c r="O2561" s="31" t="str">
        <f aca="false">IF(H2561="","Open",IF(H2561&lt;=INDEX(Assumptions!$C$15:$C$18,MATCH(E2561,Assumptions!$A$15:$A$18,0)),"Yes","No"))</f>
        <v>No</v>
      </c>
    </row>
    <row r="2562" customFormat="false" ht="15" hidden="false" customHeight="false" outlineLevel="0" collapsed="false">
      <c r="A2562" s="31" t="s">
        <v>2712</v>
      </c>
      <c r="B2562" s="44" t="n">
        <v>46239</v>
      </c>
      <c r="C2562" s="31" t="s">
        <v>59</v>
      </c>
      <c r="D2562" s="31" t="s">
        <v>67</v>
      </c>
      <c r="E2562" s="31" t="s">
        <v>51</v>
      </c>
      <c r="F2562" s="31" t="s">
        <v>126</v>
      </c>
      <c r="G2562" s="31" t="n">
        <v>83</v>
      </c>
      <c r="H2562" s="41" t="n">
        <v>14.5</v>
      </c>
      <c r="I2562" s="31" t="s">
        <v>149</v>
      </c>
      <c r="J2562" s="31"/>
      <c r="K2562" s="31" t="s">
        <v>150</v>
      </c>
      <c r="L2562" s="45" t="n">
        <f aca="false">DATE(YEAR(B2562),MONTH(B2562),1)</f>
        <v>46235</v>
      </c>
      <c r="M2562" s="31" t="n">
        <f aca="false">WEEKDAY(B2562,2)</f>
        <v>3</v>
      </c>
      <c r="N2562" s="31" t="str">
        <f aca="false">IF(G2562&lt;=INDEX(Assumptions!$B$15:$B$18,MATCH(E2562,Assumptions!$A$15:$A$18,0)),"Yes","No")</f>
        <v>No</v>
      </c>
      <c r="O2562" s="31" t="str">
        <f aca="false">IF(H2562="","Open",IF(H2562&lt;=INDEX(Assumptions!$C$15:$C$18,MATCH(E2562,Assumptions!$A$15:$A$18,0)),"Yes","No"))</f>
        <v>Yes</v>
      </c>
    </row>
    <row r="2563" customFormat="false" ht="15" hidden="false" customHeight="false" outlineLevel="0" collapsed="false">
      <c r="A2563" s="31" t="s">
        <v>2713</v>
      </c>
      <c r="B2563" s="44" t="n">
        <v>46239</v>
      </c>
      <c r="C2563" s="31" t="s">
        <v>58</v>
      </c>
      <c r="D2563" s="31" t="s">
        <v>68</v>
      </c>
      <c r="E2563" s="31" t="s">
        <v>51</v>
      </c>
      <c r="F2563" s="31" t="s">
        <v>133</v>
      </c>
      <c r="G2563" s="31" t="n">
        <v>9</v>
      </c>
      <c r="H2563" s="41" t="n">
        <v>23.2</v>
      </c>
      <c r="I2563" s="31" t="s">
        <v>64</v>
      </c>
      <c r="J2563" s="31" t="n">
        <v>4</v>
      </c>
      <c r="K2563" s="31" t="s">
        <v>153</v>
      </c>
      <c r="L2563" s="45" t="n">
        <f aca="false">DATE(YEAR(B2563),MONTH(B2563),1)</f>
        <v>46235</v>
      </c>
      <c r="M2563" s="31" t="n">
        <f aca="false">WEEKDAY(B2563,2)</f>
        <v>3</v>
      </c>
      <c r="N2563" s="31" t="str">
        <f aca="false">IF(G2563&lt;=INDEX(Assumptions!$B$15:$B$18,MATCH(E2563,Assumptions!$A$15:$A$18,0)),"Yes","No")</f>
        <v>Yes</v>
      </c>
      <c r="O2563" s="31" t="str">
        <f aca="false">IF(H2563="","Open",IF(H2563&lt;=INDEX(Assumptions!$C$15:$C$18,MATCH(E2563,Assumptions!$A$15:$A$18,0)),"Yes","No"))</f>
        <v>Yes</v>
      </c>
    </row>
    <row r="2564" customFormat="false" ht="15" hidden="false" customHeight="false" outlineLevel="0" collapsed="false">
      <c r="A2564" s="31" t="s">
        <v>2714</v>
      </c>
      <c r="B2564" s="44" t="n">
        <v>46239</v>
      </c>
      <c r="C2564" s="31" t="s">
        <v>57</v>
      </c>
      <c r="D2564" s="31" t="s">
        <v>65</v>
      </c>
      <c r="E2564" s="31" t="s">
        <v>49</v>
      </c>
      <c r="F2564" s="31" t="s">
        <v>135</v>
      </c>
      <c r="G2564" s="31" t="n">
        <v>5</v>
      </c>
      <c r="H2564" s="41" t="n">
        <v>6.1</v>
      </c>
      <c r="I2564" s="31" t="s">
        <v>149</v>
      </c>
      <c r="J2564" s="31" t="n">
        <v>4</v>
      </c>
      <c r="K2564" s="31" t="s">
        <v>150</v>
      </c>
      <c r="L2564" s="45" t="n">
        <f aca="false">DATE(YEAR(B2564),MONTH(B2564),1)</f>
        <v>46235</v>
      </c>
      <c r="M2564" s="31" t="n">
        <f aca="false">WEEKDAY(B2564,2)</f>
        <v>3</v>
      </c>
      <c r="N2564" s="31" t="str">
        <f aca="false">IF(G2564&lt;=INDEX(Assumptions!$B$15:$B$18,MATCH(E2564,Assumptions!$A$15:$A$18,0)),"Yes","No")</f>
        <v>Yes</v>
      </c>
      <c r="O2564" s="31" t="str">
        <f aca="false">IF(H2564="","Open",IF(H2564&lt;=INDEX(Assumptions!$C$15:$C$18,MATCH(E2564,Assumptions!$A$15:$A$18,0)),"Yes","No"))</f>
        <v>No</v>
      </c>
    </row>
    <row r="2565" customFormat="false" ht="15" hidden="false" customHeight="false" outlineLevel="0" collapsed="false">
      <c r="A2565" s="31" t="s">
        <v>2715</v>
      </c>
      <c r="B2565" s="44" t="n">
        <v>46239</v>
      </c>
      <c r="C2565" s="31" t="s">
        <v>59</v>
      </c>
      <c r="D2565" s="31" t="s">
        <v>68</v>
      </c>
      <c r="E2565" s="31" t="s">
        <v>51</v>
      </c>
      <c r="F2565" s="31" t="s">
        <v>117</v>
      </c>
      <c r="G2565" s="31" t="n">
        <v>12</v>
      </c>
      <c r="H2565" s="41" t="n">
        <v>4.7</v>
      </c>
      <c r="I2565" s="31" t="s">
        <v>149</v>
      </c>
      <c r="J2565" s="31" t="n">
        <v>5</v>
      </c>
      <c r="K2565" s="31" t="s">
        <v>150</v>
      </c>
      <c r="L2565" s="45" t="n">
        <f aca="false">DATE(YEAR(B2565),MONTH(B2565),1)</f>
        <v>46235</v>
      </c>
      <c r="M2565" s="31" t="n">
        <f aca="false">WEEKDAY(B2565,2)</f>
        <v>3</v>
      </c>
      <c r="N2565" s="31" t="str">
        <f aca="false">IF(G2565&lt;=INDEX(Assumptions!$B$15:$B$18,MATCH(E2565,Assumptions!$A$15:$A$18,0)),"Yes","No")</f>
        <v>Yes</v>
      </c>
      <c r="O2565" s="31" t="str">
        <f aca="false">IF(H2565="","Open",IF(H2565&lt;=INDEX(Assumptions!$C$15:$C$18,MATCH(E2565,Assumptions!$A$15:$A$18,0)),"Yes","No"))</f>
        <v>Yes</v>
      </c>
    </row>
    <row r="2566" customFormat="false" ht="15" hidden="false" customHeight="false" outlineLevel="0" collapsed="false">
      <c r="A2566" s="31" t="s">
        <v>2716</v>
      </c>
      <c r="B2566" s="44" t="n">
        <v>46239</v>
      </c>
      <c r="C2566" s="31" t="s">
        <v>58</v>
      </c>
      <c r="D2566" s="31" t="s">
        <v>65</v>
      </c>
      <c r="E2566" s="31" t="s">
        <v>51</v>
      </c>
      <c r="F2566" s="31" t="s">
        <v>120</v>
      </c>
      <c r="G2566" s="31" t="n">
        <v>10</v>
      </c>
      <c r="H2566" s="41" t="n">
        <v>44.5</v>
      </c>
      <c r="I2566" s="31" t="s">
        <v>64</v>
      </c>
      <c r="J2566" s="31" t="n">
        <v>2</v>
      </c>
      <c r="K2566" s="31" t="s">
        <v>150</v>
      </c>
      <c r="L2566" s="45" t="n">
        <f aca="false">DATE(YEAR(B2566),MONTH(B2566),1)</f>
        <v>46235</v>
      </c>
      <c r="M2566" s="31" t="n">
        <f aca="false">WEEKDAY(B2566,2)</f>
        <v>3</v>
      </c>
      <c r="N2566" s="31" t="str">
        <f aca="false">IF(G2566&lt;=INDEX(Assumptions!$B$15:$B$18,MATCH(E2566,Assumptions!$A$15:$A$18,0)),"Yes","No")</f>
        <v>Yes</v>
      </c>
      <c r="O2566" s="31" t="str">
        <f aca="false">IF(H2566="","Open",IF(H2566&lt;=INDEX(Assumptions!$C$15:$C$18,MATCH(E2566,Assumptions!$A$15:$A$18,0)),"Yes","No"))</f>
        <v>No</v>
      </c>
    </row>
    <row r="2567" customFormat="false" ht="15" hidden="false" customHeight="false" outlineLevel="0" collapsed="false">
      <c r="A2567" s="31" t="s">
        <v>2717</v>
      </c>
      <c r="B2567" s="44" t="n">
        <v>46239</v>
      </c>
      <c r="C2567" s="31" t="s">
        <v>60</v>
      </c>
      <c r="D2567" s="31" t="s">
        <v>65</v>
      </c>
      <c r="E2567" s="31" t="s">
        <v>51</v>
      </c>
      <c r="F2567" s="31" t="s">
        <v>137</v>
      </c>
      <c r="G2567" s="31" t="n">
        <v>1</v>
      </c>
      <c r="H2567" s="41" t="n">
        <v>7.5</v>
      </c>
      <c r="I2567" s="31" t="s">
        <v>149</v>
      </c>
      <c r="J2567" s="31" t="n">
        <v>5</v>
      </c>
      <c r="K2567" s="31" t="s">
        <v>150</v>
      </c>
      <c r="L2567" s="45" t="n">
        <f aca="false">DATE(YEAR(B2567),MONTH(B2567),1)</f>
        <v>46235</v>
      </c>
      <c r="M2567" s="31" t="n">
        <f aca="false">WEEKDAY(B2567,2)</f>
        <v>3</v>
      </c>
      <c r="N2567" s="31" t="str">
        <f aca="false">IF(G2567&lt;=INDEX(Assumptions!$B$15:$B$18,MATCH(E2567,Assumptions!$A$15:$A$18,0)),"Yes","No")</f>
        <v>Yes</v>
      </c>
      <c r="O2567" s="31" t="str">
        <f aca="false">IF(H2567="","Open",IF(H2567&lt;=INDEX(Assumptions!$C$15:$C$18,MATCH(E2567,Assumptions!$A$15:$A$18,0)),"Yes","No"))</f>
        <v>Yes</v>
      </c>
    </row>
    <row r="2568" customFormat="false" ht="15" hidden="false" customHeight="false" outlineLevel="0" collapsed="false">
      <c r="A2568" s="31" t="s">
        <v>2718</v>
      </c>
      <c r="B2568" s="44" t="n">
        <v>46239</v>
      </c>
      <c r="C2568" s="31" t="s">
        <v>57</v>
      </c>
      <c r="D2568" s="31" t="s">
        <v>65</v>
      </c>
      <c r="E2568" s="31" t="s">
        <v>51</v>
      </c>
      <c r="F2568" s="31" t="s">
        <v>127</v>
      </c>
      <c r="G2568" s="31" t="n">
        <v>2</v>
      </c>
      <c r="H2568" s="41" t="n">
        <v>19.5</v>
      </c>
      <c r="I2568" s="31" t="s">
        <v>149</v>
      </c>
      <c r="J2568" s="31" t="n">
        <v>3</v>
      </c>
      <c r="K2568" s="31" t="s">
        <v>150</v>
      </c>
      <c r="L2568" s="45" t="n">
        <f aca="false">DATE(YEAR(B2568),MONTH(B2568),1)</f>
        <v>46235</v>
      </c>
      <c r="M2568" s="31" t="n">
        <f aca="false">WEEKDAY(B2568,2)</f>
        <v>3</v>
      </c>
      <c r="N2568" s="31" t="str">
        <f aca="false">IF(G2568&lt;=INDEX(Assumptions!$B$15:$B$18,MATCH(E2568,Assumptions!$A$15:$A$18,0)),"Yes","No")</f>
        <v>Yes</v>
      </c>
      <c r="O2568" s="31" t="str">
        <f aca="false">IF(H2568="","Open",IF(H2568&lt;=INDEX(Assumptions!$C$15:$C$18,MATCH(E2568,Assumptions!$A$15:$A$18,0)),"Yes","No"))</f>
        <v>Yes</v>
      </c>
    </row>
    <row r="2569" customFormat="false" ht="15" hidden="false" customHeight="false" outlineLevel="0" collapsed="false">
      <c r="A2569" s="31" t="s">
        <v>2719</v>
      </c>
      <c r="B2569" s="44" t="n">
        <v>46239</v>
      </c>
      <c r="C2569" s="31" t="s">
        <v>58</v>
      </c>
      <c r="D2569" s="31" t="s">
        <v>67</v>
      </c>
      <c r="E2569" s="31" t="s">
        <v>52</v>
      </c>
      <c r="F2569" s="31" t="s">
        <v>136</v>
      </c>
      <c r="G2569" s="31" t="n">
        <v>7</v>
      </c>
      <c r="H2569" s="41"/>
      <c r="I2569" s="31" t="s">
        <v>158</v>
      </c>
      <c r="J2569" s="31"/>
      <c r="K2569" s="31" t="s">
        <v>150</v>
      </c>
      <c r="L2569" s="45" t="n">
        <f aca="false">DATE(YEAR(B2569),MONTH(B2569),1)</f>
        <v>46235</v>
      </c>
      <c r="M2569" s="31" t="n">
        <f aca="false">WEEKDAY(B2569,2)</f>
        <v>3</v>
      </c>
      <c r="N2569" s="31" t="str">
        <f aca="false">IF(G2569&lt;=INDEX(Assumptions!$B$15:$B$18,MATCH(E2569,Assumptions!$A$15:$A$18,0)),"Yes","No")</f>
        <v>Yes</v>
      </c>
      <c r="O2569" s="31" t="str">
        <f aca="false">IF(H2569="","Open",IF(H2569&lt;=INDEX(Assumptions!$C$15:$C$18,MATCH(E2569,Assumptions!$A$15:$A$18,0)),"Yes","No"))</f>
        <v>Open</v>
      </c>
    </row>
    <row r="2570" customFormat="false" ht="15" hidden="false" customHeight="false" outlineLevel="0" collapsed="false">
      <c r="A2570" s="31" t="s">
        <v>2720</v>
      </c>
      <c r="B2570" s="44" t="n">
        <v>46239</v>
      </c>
      <c r="C2570" s="31" t="s">
        <v>59</v>
      </c>
      <c r="D2570" s="31" t="s">
        <v>66</v>
      </c>
      <c r="E2570" s="31" t="s">
        <v>49</v>
      </c>
      <c r="F2570" s="31" t="s">
        <v>130</v>
      </c>
      <c r="G2570" s="31" t="n">
        <v>109</v>
      </c>
      <c r="H2570" s="41" t="n">
        <v>4.9</v>
      </c>
      <c r="I2570" s="31" t="s">
        <v>149</v>
      </c>
      <c r="J2570" s="31" t="n">
        <v>3</v>
      </c>
      <c r="K2570" s="31" t="s">
        <v>150</v>
      </c>
      <c r="L2570" s="45" t="n">
        <f aca="false">DATE(YEAR(B2570),MONTH(B2570),1)</f>
        <v>46235</v>
      </c>
      <c r="M2570" s="31" t="n">
        <f aca="false">WEEKDAY(B2570,2)</f>
        <v>3</v>
      </c>
      <c r="N2570" s="31" t="str">
        <f aca="false">IF(G2570&lt;=INDEX(Assumptions!$B$15:$B$18,MATCH(E2570,Assumptions!$A$15:$A$18,0)),"Yes","No")</f>
        <v>No</v>
      </c>
      <c r="O2570" s="31" t="str">
        <f aca="false">IF(H2570="","Open",IF(H2570&lt;=INDEX(Assumptions!$C$15:$C$18,MATCH(E2570,Assumptions!$A$15:$A$18,0)),"Yes","No"))</f>
        <v>No</v>
      </c>
    </row>
    <row r="2571" customFormat="false" ht="15" hidden="false" customHeight="false" outlineLevel="0" collapsed="false">
      <c r="A2571" s="31" t="s">
        <v>2721</v>
      </c>
      <c r="B2571" s="44" t="n">
        <v>46239</v>
      </c>
      <c r="C2571" s="31" t="s">
        <v>57</v>
      </c>
      <c r="D2571" s="31" t="s">
        <v>68</v>
      </c>
      <c r="E2571" s="31" t="s">
        <v>50</v>
      </c>
      <c r="F2571" s="31" t="s">
        <v>134</v>
      </c>
      <c r="G2571" s="31" t="n">
        <v>4</v>
      </c>
      <c r="H2571" s="41" t="n">
        <v>11.9</v>
      </c>
      <c r="I2571" s="31" t="s">
        <v>149</v>
      </c>
      <c r="J2571" s="31" t="n">
        <v>3</v>
      </c>
      <c r="K2571" s="31" t="s">
        <v>150</v>
      </c>
      <c r="L2571" s="45" t="n">
        <f aca="false">DATE(YEAR(B2571),MONTH(B2571),1)</f>
        <v>46235</v>
      </c>
      <c r="M2571" s="31" t="n">
        <f aca="false">WEEKDAY(B2571,2)</f>
        <v>3</v>
      </c>
      <c r="N2571" s="31" t="str">
        <f aca="false">IF(G2571&lt;=INDEX(Assumptions!$B$15:$B$18,MATCH(E2571,Assumptions!$A$15:$A$18,0)),"Yes","No")</f>
        <v>Yes</v>
      </c>
      <c r="O2571" s="31" t="str">
        <f aca="false">IF(H2571="","Open",IF(H2571&lt;=INDEX(Assumptions!$C$15:$C$18,MATCH(E2571,Assumptions!$A$15:$A$18,0)),"Yes","No"))</f>
        <v>No</v>
      </c>
    </row>
    <row r="2572" customFormat="false" ht="15" hidden="false" customHeight="false" outlineLevel="0" collapsed="false">
      <c r="A2572" s="31" t="s">
        <v>2722</v>
      </c>
      <c r="B2572" s="44" t="n">
        <v>46239</v>
      </c>
      <c r="C2572" s="31" t="s">
        <v>60</v>
      </c>
      <c r="D2572" s="31" t="s">
        <v>67</v>
      </c>
      <c r="E2572" s="31" t="s">
        <v>51</v>
      </c>
      <c r="F2572" s="31" t="s">
        <v>119</v>
      </c>
      <c r="G2572" s="31" t="n">
        <v>3</v>
      </c>
      <c r="H2572" s="41" t="n">
        <v>37</v>
      </c>
      <c r="I2572" s="31" t="s">
        <v>149</v>
      </c>
      <c r="J2572" s="31" t="n">
        <v>4</v>
      </c>
      <c r="K2572" s="31" t="s">
        <v>150</v>
      </c>
      <c r="L2572" s="45" t="n">
        <f aca="false">DATE(YEAR(B2572),MONTH(B2572),1)</f>
        <v>46235</v>
      </c>
      <c r="M2572" s="31" t="n">
        <f aca="false">WEEKDAY(B2572,2)</f>
        <v>3</v>
      </c>
      <c r="N2572" s="31" t="str">
        <f aca="false">IF(G2572&lt;=INDEX(Assumptions!$B$15:$B$18,MATCH(E2572,Assumptions!$A$15:$A$18,0)),"Yes","No")</f>
        <v>Yes</v>
      </c>
      <c r="O2572" s="31" t="str">
        <f aca="false">IF(H2572="","Open",IF(H2572&lt;=INDEX(Assumptions!$C$15:$C$18,MATCH(E2572,Assumptions!$A$15:$A$18,0)),"Yes","No"))</f>
        <v>No</v>
      </c>
    </row>
    <row r="2573" customFormat="false" ht="15" hidden="false" customHeight="false" outlineLevel="0" collapsed="false">
      <c r="A2573" s="31" t="s">
        <v>2723</v>
      </c>
      <c r="B2573" s="44" t="n">
        <v>46239</v>
      </c>
      <c r="C2573" s="31" t="s">
        <v>59</v>
      </c>
      <c r="D2573" s="31" t="s">
        <v>67</v>
      </c>
      <c r="E2573" s="31" t="s">
        <v>52</v>
      </c>
      <c r="F2573" s="31" t="s">
        <v>131</v>
      </c>
      <c r="G2573" s="31" t="n">
        <v>146</v>
      </c>
      <c r="H2573" s="41" t="n">
        <v>2.1</v>
      </c>
      <c r="I2573" s="31" t="s">
        <v>149</v>
      </c>
      <c r="J2573" s="31"/>
      <c r="K2573" s="31" t="s">
        <v>150</v>
      </c>
      <c r="L2573" s="45" t="n">
        <f aca="false">DATE(YEAR(B2573),MONTH(B2573),1)</f>
        <v>46235</v>
      </c>
      <c r="M2573" s="31" t="n">
        <f aca="false">WEEKDAY(B2573,2)</f>
        <v>3</v>
      </c>
      <c r="N2573" s="31" t="str">
        <f aca="false">IF(G2573&lt;=INDEX(Assumptions!$B$15:$B$18,MATCH(E2573,Assumptions!$A$15:$A$18,0)),"Yes","No")</f>
        <v>Yes</v>
      </c>
      <c r="O2573" s="31" t="str">
        <f aca="false">IF(H2573="","Open",IF(H2573&lt;=INDEX(Assumptions!$C$15:$C$18,MATCH(E2573,Assumptions!$A$15:$A$18,0)),"Yes","No"))</f>
        <v>Yes</v>
      </c>
    </row>
    <row r="2574" customFormat="false" ht="15" hidden="false" customHeight="false" outlineLevel="0" collapsed="false">
      <c r="A2574" s="31" t="s">
        <v>2724</v>
      </c>
      <c r="B2574" s="44" t="n">
        <v>46239</v>
      </c>
      <c r="C2574" s="31" t="s">
        <v>58</v>
      </c>
      <c r="D2574" s="31" t="s">
        <v>65</v>
      </c>
      <c r="E2574" s="31" t="s">
        <v>50</v>
      </c>
      <c r="F2574" s="31" t="s">
        <v>123</v>
      </c>
      <c r="G2574" s="31" t="n">
        <v>14</v>
      </c>
      <c r="H2574" s="41" t="n">
        <v>2.9</v>
      </c>
      <c r="I2574" s="31" t="s">
        <v>149</v>
      </c>
      <c r="J2574" s="31" t="n">
        <v>5</v>
      </c>
      <c r="K2574" s="31" t="s">
        <v>150</v>
      </c>
      <c r="L2574" s="45" t="n">
        <f aca="false">DATE(YEAR(B2574),MONTH(B2574),1)</f>
        <v>46235</v>
      </c>
      <c r="M2574" s="31" t="n">
        <f aca="false">WEEKDAY(B2574,2)</f>
        <v>3</v>
      </c>
      <c r="N2574" s="31" t="str">
        <f aca="false">IF(G2574&lt;=INDEX(Assumptions!$B$15:$B$18,MATCH(E2574,Assumptions!$A$15:$A$18,0)),"Yes","No")</f>
        <v>Yes</v>
      </c>
      <c r="O2574" s="31" t="str">
        <f aca="false">IF(H2574="","Open",IF(H2574&lt;=INDEX(Assumptions!$C$15:$C$18,MATCH(E2574,Assumptions!$A$15:$A$18,0)),"Yes","No"))</f>
        <v>Yes</v>
      </c>
    </row>
    <row r="2575" customFormat="false" ht="15" hidden="false" customHeight="false" outlineLevel="0" collapsed="false">
      <c r="A2575" s="31" t="s">
        <v>2725</v>
      </c>
      <c r="B2575" s="44" t="n">
        <v>46239</v>
      </c>
      <c r="C2575" s="31" t="s">
        <v>60</v>
      </c>
      <c r="D2575" s="31" t="s">
        <v>65</v>
      </c>
      <c r="E2575" s="31" t="s">
        <v>50</v>
      </c>
      <c r="F2575" s="31" t="s">
        <v>128</v>
      </c>
      <c r="G2575" s="31" t="n">
        <v>1</v>
      </c>
      <c r="H2575" s="41" t="n">
        <v>1.3</v>
      </c>
      <c r="I2575" s="31" t="s">
        <v>149</v>
      </c>
      <c r="J2575" s="31"/>
      <c r="K2575" s="31" t="s">
        <v>150</v>
      </c>
      <c r="L2575" s="45" t="n">
        <f aca="false">DATE(YEAR(B2575),MONTH(B2575),1)</f>
        <v>46235</v>
      </c>
      <c r="M2575" s="31" t="n">
        <f aca="false">WEEKDAY(B2575,2)</f>
        <v>3</v>
      </c>
      <c r="N2575" s="31" t="str">
        <f aca="false">IF(G2575&lt;=INDEX(Assumptions!$B$15:$B$18,MATCH(E2575,Assumptions!$A$15:$A$18,0)),"Yes","No")</f>
        <v>Yes</v>
      </c>
      <c r="O2575" s="31" t="str">
        <f aca="false">IF(H2575="","Open",IF(H2575&lt;=INDEX(Assumptions!$C$15:$C$18,MATCH(E2575,Assumptions!$A$15:$A$18,0)),"Yes","No"))</f>
        <v>Yes</v>
      </c>
    </row>
    <row r="2576" customFormat="false" ht="15" hidden="false" customHeight="false" outlineLevel="0" collapsed="false">
      <c r="A2576" s="31" t="s">
        <v>2726</v>
      </c>
      <c r="B2576" s="44" t="n">
        <v>46239</v>
      </c>
      <c r="C2576" s="31" t="s">
        <v>58</v>
      </c>
      <c r="D2576" s="31" t="s">
        <v>67</v>
      </c>
      <c r="E2576" s="31" t="s">
        <v>52</v>
      </c>
      <c r="F2576" s="31" t="s">
        <v>133</v>
      </c>
      <c r="G2576" s="31" t="n">
        <v>22</v>
      </c>
      <c r="H2576" s="41" t="n">
        <v>8.4</v>
      </c>
      <c r="I2576" s="31" t="s">
        <v>149</v>
      </c>
      <c r="J2576" s="31" t="n">
        <v>4</v>
      </c>
      <c r="K2576" s="31" t="s">
        <v>150</v>
      </c>
      <c r="L2576" s="45" t="n">
        <f aca="false">DATE(YEAR(B2576),MONTH(B2576),1)</f>
        <v>46235</v>
      </c>
      <c r="M2576" s="31" t="n">
        <f aca="false">WEEKDAY(B2576,2)</f>
        <v>3</v>
      </c>
      <c r="N2576" s="31" t="str">
        <f aca="false">IF(G2576&lt;=INDEX(Assumptions!$B$15:$B$18,MATCH(E2576,Assumptions!$A$15:$A$18,0)),"Yes","No")</f>
        <v>Yes</v>
      </c>
      <c r="O2576" s="31" t="str">
        <f aca="false">IF(H2576="","Open",IF(H2576&lt;=INDEX(Assumptions!$C$15:$C$18,MATCH(E2576,Assumptions!$A$15:$A$18,0)),"Yes","No"))</f>
        <v>Yes</v>
      </c>
    </row>
    <row r="2577" customFormat="false" ht="15" hidden="false" customHeight="false" outlineLevel="0" collapsed="false">
      <c r="A2577" s="31" t="s">
        <v>2727</v>
      </c>
      <c r="B2577" s="44" t="n">
        <v>46239</v>
      </c>
      <c r="C2577" s="31" t="s">
        <v>57</v>
      </c>
      <c r="D2577" s="31" t="s">
        <v>68</v>
      </c>
      <c r="E2577" s="31" t="s">
        <v>52</v>
      </c>
      <c r="F2577" s="31" t="s">
        <v>137</v>
      </c>
      <c r="G2577" s="31" t="n">
        <v>38</v>
      </c>
      <c r="H2577" s="41" t="n">
        <v>34.8</v>
      </c>
      <c r="I2577" s="31" t="s">
        <v>149</v>
      </c>
      <c r="J2577" s="31"/>
      <c r="K2577" s="31" t="s">
        <v>150</v>
      </c>
      <c r="L2577" s="45" t="n">
        <f aca="false">DATE(YEAR(B2577),MONTH(B2577),1)</f>
        <v>46235</v>
      </c>
      <c r="M2577" s="31" t="n">
        <f aca="false">WEEKDAY(B2577,2)</f>
        <v>3</v>
      </c>
      <c r="N2577" s="31" t="str">
        <f aca="false">IF(G2577&lt;=INDEX(Assumptions!$B$15:$B$18,MATCH(E2577,Assumptions!$A$15:$A$18,0)),"Yes","No")</f>
        <v>Yes</v>
      </c>
      <c r="O2577" s="31" t="str">
        <f aca="false">IF(H2577="","Open",IF(H2577&lt;=INDEX(Assumptions!$C$15:$C$18,MATCH(E2577,Assumptions!$A$15:$A$18,0)),"Yes","No"))</f>
        <v>Yes</v>
      </c>
    </row>
    <row r="2578" customFormat="false" ht="15" hidden="false" customHeight="false" outlineLevel="0" collapsed="false">
      <c r="A2578" s="31" t="s">
        <v>2728</v>
      </c>
      <c r="B2578" s="44" t="n">
        <v>46239</v>
      </c>
      <c r="C2578" s="31" t="s">
        <v>57</v>
      </c>
      <c r="D2578" s="31" t="s">
        <v>65</v>
      </c>
      <c r="E2578" s="31" t="s">
        <v>49</v>
      </c>
      <c r="F2578" s="31" t="s">
        <v>131</v>
      </c>
      <c r="G2578" s="31" t="n">
        <v>2</v>
      </c>
      <c r="H2578" s="41" t="n">
        <v>3</v>
      </c>
      <c r="I2578" s="31" t="s">
        <v>149</v>
      </c>
      <c r="J2578" s="31"/>
      <c r="K2578" s="31" t="s">
        <v>150</v>
      </c>
      <c r="L2578" s="45" t="n">
        <f aca="false">DATE(YEAR(B2578),MONTH(B2578),1)</f>
        <v>46235</v>
      </c>
      <c r="M2578" s="31" t="n">
        <f aca="false">WEEKDAY(B2578,2)</f>
        <v>3</v>
      </c>
      <c r="N2578" s="31" t="str">
        <f aca="false">IF(G2578&lt;=INDEX(Assumptions!$B$15:$B$18,MATCH(E2578,Assumptions!$A$15:$A$18,0)),"Yes","No")</f>
        <v>Yes</v>
      </c>
      <c r="O2578" s="31" t="str">
        <f aca="false">IF(H2578="","Open",IF(H2578&lt;=INDEX(Assumptions!$C$15:$C$18,MATCH(E2578,Assumptions!$A$15:$A$18,0)),"Yes","No"))</f>
        <v>Yes</v>
      </c>
    </row>
    <row r="2579" customFormat="false" ht="15" hidden="false" customHeight="false" outlineLevel="0" collapsed="false">
      <c r="A2579" s="31" t="s">
        <v>2729</v>
      </c>
      <c r="B2579" s="44" t="n">
        <v>46239</v>
      </c>
      <c r="C2579" s="31" t="s">
        <v>59</v>
      </c>
      <c r="D2579" s="31" t="s">
        <v>66</v>
      </c>
      <c r="E2579" s="31" t="s">
        <v>52</v>
      </c>
      <c r="F2579" s="31" t="s">
        <v>122</v>
      </c>
      <c r="G2579" s="31" t="n">
        <v>292</v>
      </c>
      <c r="H2579" s="41" t="n">
        <v>10.1</v>
      </c>
      <c r="I2579" s="31" t="s">
        <v>149</v>
      </c>
      <c r="J2579" s="31" t="n">
        <v>3</v>
      </c>
      <c r="K2579" s="31" t="s">
        <v>150</v>
      </c>
      <c r="L2579" s="45" t="n">
        <f aca="false">DATE(YEAR(B2579),MONTH(B2579),1)</f>
        <v>46235</v>
      </c>
      <c r="M2579" s="31" t="n">
        <f aca="false">WEEKDAY(B2579,2)</f>
        <v>3</v>
      </c>
      <c r="N2579" s="31" t="str">
        <f aca="false">IF(G2579&lt;=INDEX(Assumptions!$B$15:$B$18,MATCH(E2579,Assumptions!$A$15:$A$18,0)),"Yes","No")</f>
        <v>No</v>
      </c>
      <c r="O2579" s="31" t="str">
        <f aca="false">IF(H2579="","Open",IF(H2579&lt;=INDEX(Assumptions!$C$15:$C$18,MATCH(E2579,Assumptions!$A$15:$A$18,0)),"Yes","No"))</f>
        <v>Yes</v>
      </c>
    </row>
    <row r="2580" customFormat="false" ht="15" hidden="false" customHeight="false" outlineLevel="0" collapsed="false">
      <c r="A2580" s="31" t="s">
        <v>2730</v>
      </c>
      <c r="B2580" s="44" t="n">
        <v>46239</v>
      </c>
      <c r="C2580" s="31" t="s">
        <v>59</v>
      </c>
      <c r="D2580" s="31" t="s">
        <v>66</v>
      </c>
      <c r="E2580" s="31" t="s">
        <v>51</v>
      </c>
      <c r="F2580" s="31" t="s">
        <v>120</v>
      </c>
      <c r="G2580" s="31" t="n">
        <v>36</v>
      </c>
      <c r="H2580" s="41" t="n">
        <v>17.5</v>
      </c>
      <c r="I2580" s="31" t="s">
        <v>149</v>
      </c>
      <c r="J2580" s="31" t="n">
        <v>4</v>
      </c>
      <c r="K2580" s="31" t="s">
        <v>150</v>
      </c>
      <c r="L2580" s="45" t="n">
        <f aca="false">DATE(YEAR(B2580),MONTH(B2580),1)</f>
        <v>46235</v>
      </c>
      <c r="M2580" s="31" t="n">
        <f aca="false">WEEKDAY(B2580,2)</f>
        <v>3</v>
      </c>
      <c r="N2580" s="31" t="str">
        <f aca="false">IF(G2580&lt;=INDEX(Assumptions!$B$15:$B$18,MATCH(E2580,Assumptions!$A$15:$A$18,0)),"Yes","No")</f>
        <v>Yes</v>
      </c>
      <c r="O2580" s="31" t="str">
        <f aca="false">IF(H2580="","Open",IF(H2580&lt;=INDEX(Assumptions!$C$15:$C$18,MATCH(E2580,Assumptions!$A$15:$A$18,0)),"Yes","No"))</f>
        <v>Yes</v>
      </c>
    </row>
    <row r="2581" customFormat="false" ht="15" hidden="false" customHeight="false" outlineLevel="0" collapsed="false">
      <c r="A2581" s="31" t="s">
        <v>2731</v>
      </c>
      <c r="B2581" s="44" t="n">
        <v>46239</v>
      </c>
      <c r="C2581" s="31" t="s">
        <v>59</v>
      </c>
      <c r="D2581" s="31" t="s">
        <v>66</v>
      </c>
      <c r="E2581" s="31" t="s">
        <v>52</v>
      </c>
      <c r="F2581" s="31" t="s">
        <v>136</v>
      </c>
      <c r="G2581" s="31" t="n">
        <v>146</v>
      </c>
      <c r="H2581" s="41" t="n">
        <v>10.1</v>
      </c>
      <c r="I2581" s="31" t="s">
        <v>149</v>
      </c>
      <c r="J2581" s="31"/>
      <c r="K2581" s="31" t="s">
        <v>150</v>
      </c>
      <c r="L2581" s="45" t="n">
        <f aca="false">DATE(YEAR(B2581),MONTH(B2581),1)</f>
        <v>46235</v>
      </c>
      <c r="M2581" s="31" t="n">
        <f aca="false">WEEKDAY(B2581,2)</f>
        <v>3</v>
      </c>
      <c r="N2581" s="31" t="str">
        <f aca="false">IF(G2581&lt;=INDEX(Assumptions!$B$15:$B$18,MATCH(E2581,Assumptions!$A$15:$A$18,0)),"Yes","No")</f>
        <v>Yes</v>
      </c>
      <c r="O2581" s="31" t="str">
        <f aca="false">IF(H2581="","Open",IF(H2581&lt;=INDEX(Assumptions!$C$15:$C$18,MATCH(E2581,Assumptions!$A$15:$A$18,0)),"Yes","No"))</f>
        <v>Yes</v>
      </c>
    </row>
    <row r="2582" customFormat="false" ht="15" hidden="false" customHeight="false" outlineLevel="0" collapsed="false">
      <c r="A2582" s="31" t="s">
        <v>2732</v>
      </c>
      <c r="B2582" s="44" t="n">
        <v>46239</v>
      </c>
      <c r="C2582" s="31" t="s">
        <v>58</v>
      </c>
      <c r="D2582" s="31" t="s">
        <v>67</v>
      </c>
      <c r="E2582" s="31" t="s">
        <v>52</v>
      </c>
      <c r="F2582" s="31" t="s">
        <v>124</v>
      </c>
      <c r="G2582" s="31" t="n">
        <v>11</v>
      </c>
      <c r="H2582" s="41" t="n">
        <v>32.8</v>
      </c>
      <c r="I2582" s="31" t="s">
        <v>149</v>
      </c>
      <c r="J2582" s="31" t="n">
        <v>5</v>
      </c>
      <c r="K2582" s="31" t="s">
        <v>150</v>
      </c>
      <c r="L2582" s="45" t="n">
        <f aca="false">DATE(YEAR(B2582),MONTH(B2582),1)</f>
        <v>46235</v>
      </c>
      <c r="M2582" s="31" t="n">
        <f aca="false">WEEKDAY(B2582,2)</f>
        <v>3</v>
      </c>
      <c r="N2582" s="31" t="str">
        <f aca="false">IF(G2582&lt;=INDEX(Assumptions!$B$15:$B$18,MATCH(E2582,Assumptions!$A$15:$A$18,0)),"Yes","No")</f>
        <v>Yes</v>
      </c>
      <c r="O2582" s="31" t="str">
        <f aca="false">IF(H2582="","Open",IF(H2582&lt;=INDEX(Assumptions!$C$15:$C$18,MATCH(E2582,Assumptions!$A$15:$A$18,0)),"Yes","No"))</f>
        <v>Yes</v>
      </c>
    </row>
    <row r="2583" customFormat="false" ht="15" hidden="false" customHeight="false" outlineLevel="0" collapsed="false">
      <c r="A2583" s="31" t="s">
        <v>2733</v>
      </c>
      <c r="B2583" s="44" t="n">
        <v>46239</v>
      </c>
      <c r="C2583" s="31" t="s">
        <v>58</v>
      </c>
      <c r="D2583" s="31" t="s">
        <v>65</v>
      </c>
      <c r="E2583" s="31" t="s">
        <v>51</v>
      </c>
      <c r="F2583" s="31" t="s">
        <v>122</v>
      </c>
      <c r="G2583" s="31" t="n">
        <v>15</v>
      </c>
      <c r="H2583" s="41" t="n">
        <v>2.1</v>
      </c>
      <c r="I2583" s="31" t="s">
        <v>149</v>
      </c>
      <c r="J2583" s="31"/>
      <c r="K2583" s="31" t="s">
        <v>150</v>
      </c>
      <c r="L2583" s="45" t="n">
        <f aca="false">DATE(YEAR(B2583),MONTH(B2583),1)</f>
        <v>46235</v>
      </c>
      <c r="M2583" s="31" t="n">
        <f aca="false">WEEKDAY(B2583,2)</f>
        <v>3</v>
      </c>
      <c r="N2583" s="31" t="str">
        <f aca="false">IF(G2583&lt;=INDEX(Assumptions!$B$15:$B$18,MATCH(E2583,Assumptions!$A$15:$A$18,0)),"Yes","No")</f>
        <v>Yes</v>
      </c>
      <c r="O2583" s="31" t="str">
        <f aca="false">IF(H2583="","Open",IF(H2583&lt;=INDEX(Assumptions!$C$15:$C$18,MATCH(E2583,Assumptions!$A$15:$A$18,0)),"Yes","No"))</f>
        <v>Yes</v>
      </c>
    </row>
    <row r="2584" customFormat="false" ht="15" hidden="false" customHeight="false" outlineLevel="0" collapsed="false">
      <c r="A2584" s="31" t="s">
        <v>2734</v>
      </c>
      <c r="B2584" s="44" t="n">
        <v>46239</v>
      </c>
      <c r="C2584" s="31" t="s">
        <v>59</v>
      </c>
      <c r="D2584" s="31" t="s">
        <v>67</v>
      </c>
      <c r="E2584" s="31" t="s">
        <v>52</v>
      </c>
      <c r="F2584" s="31" t="s">
        <v>131</v>
      </c>
      <c r="G2584" s="31" t="n">
        <v>27</v>
      </c>
      <c r="H2584" s="41" t="n">
        <v>22.6</v>
      </c>
      <c r="I2584" s="31" t="s">
        <v>149</v>
      </c>
      <c r="J2584" s="31" t="n">
        <v>5</v>
      </c>
      <c r="K2584" s="31" t="s">
        <v>150</v>
      </c>
      <c r="L2584" s="45" t="n">
        <f aca="false">DATE(YEAR(B2584),MONTH(B2584),1)</f>
        <v>46235</v>
      </c>
      <c r="M2584" s="31" t="n">
        <f aca="false">WEEKDAY(B2584,2)</f>
        <v>3</v>
      </c>
      <c r="N2584" s="31" t="str">
        <f aca="false">IF(G2584&lt;=INDEX(Assumptions!$B$15:$B$18,MATCH(E2584,Assumptions!$A$15:$A$18,0)),"Yes","No")</f>
        <v>Yes</v>
      </c>
      <c r="O2584" s="31" t="str">
        <f aca="false">IF(H2584="","Open",IF(H2584&lt;=INDEX(Assumptions!$C$15:$C$18,MATCH(E2584,Assumptions!$A$15:$A$18,0)),"Yes","No"))</f>
        <v>Yes</v>
      </c>
    </row>
    <row r="2585" customFormat="false" ht="15" hidden="false" customHeight="false" outlineLevel="0" collapsed="false">
      <c r="A2585" s="31" t="s">
        <v>2735</v>
      </c>
      <c r="B2585" s="44" t="n">
        <v>46239</v>
      </c>
      <c r="C2585" s="31" t="s">
        <v>57</v>
      </c>
      <c r="D2585" s="31" t="s">
        <v>66</v>
      </c>
      <c r="E2585" s="31" t="s">
        <v>50</v>
      </c>
      <c r="F2585" s="31" t="s">
        <v>135</v>
      </c>
      <c r="G2585" s="31" t="n">
        <v>4</v>
      </c>
      <c r="H2585" s="41" t="n">
        <v>4.9</v>
      </c>
      <c r="I2585" s="31" t="s">
        <v>149</v>
      </c>
      <c r="J2585" s="31" t="n">
        <v>5</v>
      </c>
      <c r="K2585" s="31" t="s">
        <v>150</v>
      </c>
      <c r="L2585" s="45" t="n">
        <f aca="false">DATE(YEAR(B2585),MONTH(B2585),1)</f>
        <v>46235</v>
      </c>
      <c r="M2585" s="31" t="n">
        <f aca="false">WEEKDAY(B2585,2)</f>
        <v>3</v>
      </c>
      <c r="N2585" s="31" t="str">
        <f aca="false">IF(G2585&lt;=INDEX(Assumptions!$B$15:$B$18,MATCH(E2585,Assumptions!$A$15:$A$18,0)),"Yes","No")</f>
        <v>Yes</v>
      </c>
      <c r="O2585" s="31" t="str">
        <f aca="false">IF(H2585="","Open",IF(H2585&lt;=INDEX(Assumptions!$C$15:$C$18,MATCH(E2585,Assumptions!$A$15:$A$18,0)),"Yes","No"))</f>
        <v>Yes</v>
      </c>
    </row>
    <row r="2586" customFormat="false" ht="15" hidden="false" customHeight="false" outlineLevel="0" collapsed="false">
      <c r="A2586" s="31" t="s">
        <v>2736</v>
      </c>
      <c r="B2586" s="44" t="n">
        <v>46240</v>
      </c>
      <c r="C2586" s="31" t="s">
        <v>60</v>
      </c>
      <c r="D2586" s="31" t="s">
        <v>66</v>
      </c>
      <c r="E2586" s="31" t="s">
        <v>51</v>
      </c>
      <c r="F2586" s="31" t="s">
        <v>129</v>
      </c>
      <c r="G2586" s="31" t="n">
        <v>1</v>
      </c>
      <c r="H2586" s="41" t="n">
        <v>1.5</v>
      </c>
      <c r="I2586" s="31" t="s">
        <v>149</v>
      </c>
      <c r="J2586" s="31" t="n">
        <v>5</v>
      </c>
      <c r="K2586" s="31" t="s">
        <v>150</v>
      </c>
      <c r="L2586" s="45" t="n">
        <f aca="false">DATE(YEAR(B2586),MONTH(B2586),1)</f>
        <v>46235</v>
      </c>
      <c r="M2586" s="31" t="n">
        <f aca="false">WEEKDAY(B2586,2)</f>
        <v>4</v>
      </c>
      <c r="N2586" s="31" t="str">
        <f aca="false">IF(G2586&lt;=INDEX(Assumptions!$B$15:$B$18,MATCH(E2586,Assumptions!$A$15:$A$18,0)),"Yes","No")</f>
        <v>Yes</v>
      </c>
      <c r="O2586" s="31" t="str">
        <f aca="false">IF(H2586="","Open",IF(H2586&lt;=INDEX(Assumptions!$C$15:$C$18,MATCH(E2586,Assumptions!$A$15:$A$18,0)),"Yes","No"))</f>
        <v>Yes</v>
      </c>
    </row>
    <row r="2587" customFormat="false" ht="15" hidden="false" customHeight="false" outlineLevel="0" collapsed="false">
      <c r="A2587" s="31" t="s">
        <v>2737</v>
      </c>
      <c r="B2587" s="44" t="n">
        <v>46240</v>
      </c>
      <c r="C2587" s="31" t="s">
        <v>57</v>
      </c>
      <c r="D2587" s="31" t="s">
        <v>66</v>
      </c>
      <c r="E2587" s="31" t="s">
        <v>51</v>
      </c>
      <c r="F2587" s="31" t="s">
        <v>129</v>
      </c>
      <c r="G2587" s="31" t="n">
        <v>3</v>
      </c>
      <c r="H2587" s="41" t="n">
        <v>0.9</v>
      </c>
      <c r="I2587" s="31" t="s">
        <v>149</v>
      </c>
      <c r="J2587" s="31" t="n">
        <v>4</v>
      </c>
      <c r="K2587" s="31" t="s">
        <v>150</v>
      </c>
      <c r="L2587" s="45" t="n">
        <f aca="false">DATE(YEAR(B2587),MONTH(B2587),1)</f>
        <v>46235</v>
      </c>
      <c r="M2587" s="31" t="n">
        <f aca="false">WEEKDAY(B2587,2)</f>
        <v>4</v>
      </c>
      <c r="N2587" s="31" t="str">
        <f aca="false">IF(G2587&lt;=INDEX(Assumptions!$B$15:$B$18,MATCH(E2587,Assumptions!$A$15:$A$18,0)),"Yes","No")</f>
        <v>Yes</v>
      </c>
      <c r="O2587" s="31" t="str">
        <f aca="false">IF(H2587="","Open",IF(H2587&lt;=INDEX(Assumptions!$C$15:$C$18,MATCH(E2587,Assumptions!$A$15:$A$18,0)),"Yes","No"))</f>
        <v>Yes</v>
      </c>
    </row>
    <row r="2588" customFormat="false" ht="15" hidden="false" customHeight="false" outlineLevel="0" collapsed="false">
      <c r="A2588" s="31" t="s">
        <v>2738</v>
      </c>
      <c r="B2588" s="44" t="n">
        <v>46240</v>
      </c>
      <c r="C2588" s="31" t="s">
        <v>58</v>
      </c>
      <c r="D2588" s="31" t="s">
        <v>65</v>
      </c>
      <c r="E2588" s="31" t="s">
        <v>52</v>
      </c>
      <c r="F2588" s="31" t="s">
        <v>127</v>
      </c>
      <c r="G2588" s="31" t="n">
        <v>7</v>
      </c>
      <c r="H2588" s="41" t="n">
        <v>15</v>
      </c>
      <c r="I2588" s="31" t="s">
        <v>149</v>
      </c>
      <c r="J2588" s="31" t="n">
        <v>4</v>
      </c>
      <c r="K2588" s="31" t="s">
        <v>150</v>
      </c>
      <c r="L2588" s="45" t="n">
        <f aca="false">DATE(YEAR(B2588),MONTH(B2588),1)</f>
        <v>46235</v>
      </c>
      <c r="M2588" s="31" t="n">
        <f aca="false">WEEKDAY(B2588,2)</f>
        <v>4</v>
      </c>
      <c r="N2588" s="31" t="str">
        <f aca="false">IF(G2588&lt;=INDEX(Assumptions!$B$15:$B$18,MATCH(E2588,Assumptions!$A$15:$A$18,0)),"Yes","No")</f>
        <v>Yes</v>
      </c>
      <c r="O2588" s="31" t="str">
        <f aca="false">IF(H2588="","Open",IF(H2588&lt;=INDEX(Assumptions!$C$15:$C$18,MATCH(E2588,Assumptions!$A$15:$A$18,0)),"Yes","No"))</f>
        <v>Yes</v>
      </c>
    </row>
    <row r="2589" customFormat="false" ht="15" hidden="false" customHeight="false" outlineLevel="0" collapsed="false">
      <c r="A2589" s="31" t="s">
        <v>2739</v>
      </c>
      <c r="B2589" s="44" t="n">
        <v>46240</v>
      </c>
      <c r="C2589" s="31" t="s">
        <v>57</v>
      </c>
      <c r="D2589" s="31" t="s">
        <v>68</v>
      </c>
      <c r="E2589" s="31" t="s">
        <v>50</v>
      </c>
      <c r="F2589" s="31" t="s">
        <v>135</v>
      </c>
      <c r="G2589" s="31" t="n">
        <v>64</v>
      </c>
      <c r="H2589" s="41" t="n">
        <v>1.5</v>
      </c>
      <c r="I2589" s="31" t="s">
        <v>149</v>
      </c>
      <c r="J2589" s="31" t="n">
        <v>4</v>
      </c>
      <c r="K2589" s="31" t="s">
        <v>150</v>
      </c>
      <c r="L2589" s="45" t="n">
        <f aca="false">DATE(YEAR(B2589),MONTH(B2589),1)</f>
        <v>46235</v>
      </c>
      <c r="M2589" s="31" t="n">
        <f aca="false">WEEKDAY(B2589,2)</f>
        <v>4</v>
      </c>
      <c r="N2589" s="31" t="str">
        <f aca="false">IF(G2589&lt;=INDEX(Assumptions!$B$15:$B$18,MATCH(E2589,Assumptions!$A$15:$A$18,0)),"Yes","No")</f>
        <v>No</v>
      </c>
      <c r="O2589" s="31" t="str">
        <f aca="false">IF(H2589="","Open",IF(H2589&lt;=INDEX(Assumptions!$C$15:$C$18,MATCH(E2589,Assumptions!$A$15:$A$18,0)),"Yes","No"))</f>
        <v>Yes</v>
      </c>
    </row>
    <row r="2590" customFormat="false" ht="15" hidden="false" customHeight="false" outlineLevel="0" collapsed="false">
      <c r="A2590" s="31" t="s">
        <v>2740</v>
      </c>
      <c r="B2590" s="44" t="n">
        <v>46240</v>
      </c>
      <c r="C2590" s="31" t="s">
        <v>57</v>
      </c>
      <c r="D2590" s="31" t="s">
        <v>65</v>
      </c>
      <c r="E2590" s="31" t="s">
        <v>51</v>
      </c>
      <c r="F2590" s="31" t="s">
        <v>123</v>
      </c>
      <c r="G2590" s="31" t="n">
        <v>3</v>
      </c>
      <c r="H2590" s="41" t="n">
        <v>20.3</v>
      </c>
      <c r="I2590" s="31" t="s">
        <v>149</v>
      </c>
      <c r="J2590" s="31" t="n">
        <v>5</v>
      </c>
      <c r="K2590" s="31" t="s">
        <v>150</v>
      </c>
      <c r="L2590" s="45" t="n">
        <f aca="false">DATE(YEAR(B2590),MONTH(B2590),1)</f>
        <v>46235</v>
      </c>
      <c r="M2590" s="31" t="n">
        <f aca="false">WEEKDAY(B2590,2)</f>
        <v>4</v>
      </c>
      <c r="N2590" s="31" t="str">
        <f aca="false">IF(G2590&lt;=INDEX(Assumptions!$B$15:$B$18,MATCH(E2590,Assumptions!$A$15:$A$18,0)),"Yes","No")</f>
        <v>Yes</v>
      </c>
      <c r="O2590" s="31" t="str">
        <f aca="false">IF(H2590="","Open",IF(H2590&lt;=INDEX(Assumptions!$C$15:$C$18,MATCH(E2590,Assumptions!$A$15:$A$18,0)),"Yes","No"))</f>
        <v>Yes</v>
      </c>
    </row>
    <row r="2591" customFormat="false" ht="15" hidden="false" customHeight="false" outlineLevel="0" collapsed="false">
      <c r="A2591" s="31" t="s">
        <v>2741</v>
      </c>
      <c r="B2591" s="44" t="n">
        <v>46240</v>
      </c>
      <c r="C2591" s="31" t="s">
        <v>60</v>
      </c>
      <c r="D2591" s="31" t="s">
        <v>68</v>
      </c>
      <c r="E2591" s="31" t="s">
        <v>50</v>
      </c>
      <c r="F2591" s="31" t="s">
        <v>137</v>
      </c>
      <c r="G2591" s="31" t="n">
        <v>2</v>
      </c>
      <c r="H2591" s="41" t="n">
        <v>5.8</v>
      </c>
      <c r="I2591" s="31" t="s">
        <v>149</v>
      </c>
      <c r="J2591" s="31" t="n">
        <v>3</v>
      </c>
      <c r="K2591" s="31" t="s">
        <v>150</v>
      </c>
      <c r="L2591" s="45" t="n">
        <f aca="false">DATE(YEAR(B2591),MONTH(B2591),1)</f>
        <v>46235</v>
      </c>
      <c r="M2591" s="31" t="n">
        <f aca="false">WEEKDAY(B2591,2)</f>
        <v>4</v>
      </c>
      <c r="N2591" s="31" t="str">
        <f aca="false">IF(G2591&lt;=INDEX(Assumptions!$B$15:$B$18,MATCH(E2591,Assumptions!$A$15:$A$18,0)),"Yes","No")</f>
        <v>Yes</v>
      </c>
      <c r="O2591" s="31" t="str">
        <f aca="false">IF(H2591="","Open",IF(H2591&lt;=INDEX(Assumptions!$C$15:$C$18,MATCH(E2591,Assumptions!$A$15:$A$18,0)),"Yes","No"))</f>
        <v>Yes</v>
      </c>
    </row>
    <row r="2592" customFormat="false" ht="15" hidden="false" customHeight="false" outlineLevel="0" collapsed="false">
      <c r="A2592" s="31" t="s">
        <v>2742</v>
      </c>
      <c r="B2592" s="44" t="n">
        <v>46240</v>
      </c>
      <c r="C2592" s="31" t="s">
        <v>58</v>
      </c>
      <c r="D2592" s="31" t="s">
        <v>65</v>
      </c>
      <c r="E2592" s="31" t="s">
        <v>52</v>
      </c>
      <c r="F2592" s="31" t="s">
        <v>131</v>
      </c>
      <c r="G2592" s="31" t="n">
        <v>9</v>
      </c>
      <c r="H2592" s="41" t="n">
        <v>8.7</v>
      </c>
      <c r="I2592" s="31" t="s">
        <v>149</v>
      </c>
      <c r="J2592" s="31" t="n">
        <v>5</v>
      </c>
      <c r="K2592" s="31" t="s">
        <v>150</v>
      </c>
      <c r="L2592" s="45" t="n">
        <f aca="false">DATE(YEAR(B2592),MONTH(B2592),1)</f>
        <v>46235</v>
      </c>
      <c r="M2592" s="31" t="n">
        <f aca="false">WEEKDAY(B2592,2)</f>
        <v>4</v>
      </c>
      <c r="N2592" s="31" t="str">
        <f aca="false">IF(G2592&lt;=INDEX(Assumptions!$B$15:$B$18,MATCH(E2592,Assumptions!$A$15:$A$18,0)),"Yes","No")</f>
        <v>Yes</v>
      </c>
      <c r="O2592" s="31" t="str">
        <f aca="false">IF(H2592="","Open",IF(H2592&lt;=INDEX(Assumptions!$C$15:$C$18,MATCH(E2592,Assumptions!$A$15:$A$18,0)),"Yes","No"))</f>
        <v>Yes</v>
      </c>
    </row>
    <row r="2593" customFormat="false" ht="15" hidden="false" customHeight="false" outlineLevel="0" collapsed="false">
      <c r="A2593" s="31" t="s">
        <v>2743</v>
      </c>
      <c r="B2593" s="44" t="n">
        <v>46240</v>
      </c>
      <c r="C2593" s="31" t="s">
        <v>58</v>
      </c>
      <c r="D2593" s="31" t="s">
        <v>65</v>
      </c>
      <c r="E2593" s="31" t="s">
        <v>51</v>
      </c>
      <c r="F2593" s="31" t="s">
        <v>127</v>
      </c>
      <c r="G2593" s="31" t="n">
        <v>6</v>
      </c>
      <c r="H2593" s="41" t="n">
        <v>10.6</v>
      </c>
      <c r="I2593" s="31" t="s">
        <v>64</v>
      </c>
      <c r="J2593" s="31" t="n">
        <v>3</v>
      </c>
      <c r="K2593" s="31" t="s">
        <v>150</v>
      </c>
      <c r="L2593" s="45" t="n">
        <f aca="false">DATE(YEAR(B2593),MONTH(B2593),1)</f>
        <v>46235</v>
      </c>
      <c r="M2593" s="31" t="n">
        <f aca="false">WEEKDAY(B2593,2)</f>
        <v>4</v>
      </c>
      <c r="N2593" s="31" t="str">
        <f aca="false">IF(G2593&lt;=INDEX(Assumptions!$B$15:$B$18,MATCH(E2593,Assumptions!$A$15:$A$18,0)),"Yes","No")</f>
        <v>Yes</v>
      </c>
      <c r="O2593" s="31" t="str">
        <f aca="false">IF(H2593="","Open",IF(H2593&lt;=INDEX(Assumptions!$C$15:$C$18,MATCH(E2593,Assumptions!$A$15:$A$18,0)),"Yes","No"))</f>
        <v>Yes</v>
      </c>
    </row>
    <row r="2594" customFormat="false" ht="15" hidden="false" customHeight="false" outlineLevel="0" collapsed="false">
      <c r="A2594" s="31" t="s">
        <v>2744</v>
      </c>
      <c r="B2594" s="44" t="n">
        <v>46240</v>
      </c>
      <c r="C2594" s="31" t="s">
        <v>57</v>
      </c>
      <c r="D2594" s="31" t="s">
        <v>67</v>
      </c>
      <c r="E2594" s="31" t="s">
        <v>52</v>
      </c>
      <c r="F2594" s="31" t="s">
        <v>134</v>
      </c>
      <c r="G2594" s="31" t="n">
        <v>11</v>
      </c>
      <c r="H2594" s="41" t="n">
        <v>19.3</v>
      </c>
      <c r="I2594" s="31" t="s">
        <v>149</v>
      </c>
      <c r="J2594" s="31"/>
      <c r="K2594" s="31" t="s">
        <v>150</v>
      </c>
      <c r="L2594" s="45" t="n">
        <f aca="false">DATE(YEAR(B2594),MONTH(B2594),1)</f>
        <v>46235</v>
      </c>
      <c r="M2594" s="31" t="n">
        <f aca="false">WEEKDAY(B2594,2)</f>
        <v>4</v>
      </c>
      <c r="N2594" s="31" t="str">
        <f aca="false">IF(G2594&lt;=INDEX(Assumptions!$B$15:$B$18,MATCH(E2594,Assumptions!$A$15:$A$18,0)),"Yes","No")</f>
        <v>Yes</v>
      </c>
      <c r="O2594" s="31" t="str">
        <f aca="false">IF(H2594="","Open",IF(H2594&lt;=INDEX(Assumptions!$C$15:$C$18,MATCH(E2594,Assumptions!$A$15:$A$18,0)),"Yes","No"))</f>
        <v>Yes</v>
      </c>
    </row>
    <row r="2595" customFormat="false" ht="15" hidden="false" customHeight="false" outlineLevel="0" collapsed="false">
      <c r="A2595" s="31" t="s">
        <v>2745</v>
      </c>
      <c r="B2595" s="44" t="n">
        <v>46240</v>
      </c>
      <c r="C2595" s="31" t="s">
        <v>59</v>
      </c>
      <c r="D2595" s="31" t="s">
        <v>66</v>
      </c>
      <c r="E2595" s="31" t="s">
        <v>51</v>
      </c>
      <c r="F2595" s="31" t="s">
        <v>131</v>
      </c>
      <c r="G2595" s="31" t="n">
        <v>104</v>
      </c>
      <c r="H2595" s="41" t="n">
        <v>7.3</v>
      </c>
      <c r="I2595" s="31" t="s">
        <v>149</v>
      </c>
      <c r="J2595" s="31"/>
      <c r="K2595" s="31" t="s">
        <v>150</v>
      </c>
      <c r="L2595" s="45" t="n">
        <f aca="false">DATE(YEAR(B2595),MONTH(B2595),1)</f>
        <v>46235</v>
      </c>
      <c r="M2595" s="31" t="n">
        <f aca="false">WEEKDAY(B2595,2)</f>
        <v>4</v>
      </c>
      <c r="N2595" s="31" t="str">
        <f aca="false">IF(G2595&lt;=INDEX(Assumptions!$B$15:$B$18,MATCH(E2595,Assumptions!$A$15:$A$18,0)),"Yes","No")</f>
        <v>No</v>
      </c>
      <c r="O2595" s="31" t="str">
        <f aca="false">IF(H2595="","Open",IF(H2595&lt;=INDEX(Assumptions!$C$15:$C$18,MATCH(E2595,Assumptions!$A$15:$A$18,0)),"Yes","No"))</f>
        <v>Yes</v>
      </c>
    </row>
    <row r="2596" customFormat="false" ht="15" hidden="false" customHeight="false" outlineLevel="0" collapsed="false">
      <c r="A2596" s="31" t="s">
        <v>2746</v>
      </c>
      <c r="B2596" s="44" t="n">
        <v>46240</v>
      </c>
      <c r="C2596" s="31" t="s">
        <v>58</v>
      </c>
      <c r="D2596" s="31" t="s">
        <v>68</v>
      </c>
      <c r="E2596" s="31" t="s">
        <v>52</v>
      </c>
      <c r="F2596" s="31" t="s">
        <v>129</v>
      </c>
      <c r="G2596" s="31" t="n">
        <v>3</v>
      </c>
      <c r="H2596" s="41" t="n">
        <v>7.1</v>
      </c>
      <c r="I2596" s="31" t="s">
        <v>149</v>
      </c>
      <c r="J2596" s="31"/>
      <c r="K2596" s="31" t="s">
        <v>150</v>
      </c>
      <c r="L2596" s="45" t="n">
        <f aca="false">DATE(YEAR(B2596),MONTH(B2596),1)</f>
        <v>46235</v>
      </c>
      <c r="M2596" s="31" t="n">
        <f aca="false">WEEKDAY(B2596,2)</f>
        <v>4</v>
      </c>
      <c r="N2596" s="31" t="str">
        <f aca="false">IF(G2596&lt;=INDEX(Assumptions!$B$15:$B$18,MATCH(E2596,Assumptions!$A$15:$A$18,0)),"Yes","No")</f>
        <v>Yes</v>
      </c>
      <c r="O2596" s="31" t="str">
        <f aca="false">IF(H2596="","Open",IF(H2596&lt;=INDEX(Assumptions!$C$15:$C$18,MATCH(E2596,Assumptions!$A$15:$A$18,0)),"Yes","No"))</f>
        <v>Yes</v>
      </c>
    </row>
    <row r="2597" customFormat="false" ht="15" hidden="false" customHeight="false" outlineLevel="0" collapsed="false">
      <c r="A2597" s="31" t="s">
        <v>2747</v>
      </c>
      <c r="B2597" s="44" t="n">
        <v>46240</v>
      </c>
      <c r="C2597" s="31" t="s">
        <v>57</v>
      </c>
      <c r="D2597" s="31" t="s">
        <v>66</v>
      </c>
      <c r="E2597" s="31" t="s">
        <v>52</v>
      </c>
      <c r="F2597" s="31" t="s">
        <v>126</v>
      </c>
      <c r="G2597" s="31" t="n">
        <v>5</v>
      </c>
      <c r="H2597" s="41" t="n">
        <v>17.4</v>
      </c>
      <c r="I2597" s="31" t="s">
        <v>149</v>
      </c>
      <c r="J2597" s="31" t="n">
        <v>5</v>
      </c>
      <c r="K2597" s="31" t="s">
        <v>150</v>
      </c>
      <c r="L2597" s="45" t="n">
        <f aca="false">DATE(YEAR(B2597),MONTH(B2597),1)</f>
        <v>46235</v>
      </c>
      <c r="M2597" s="31" t="n">
        <f aca="false">WEEKDAY(B2597,2)</f>
        <v>4</v>
      </c>
      <c r="N2597" s="31" t="str">
        <f aca="false">IF(G2597&lt;=INDEX(Assumptions!$B$15:$B$18,MATCH(E2597,Assumptions!$A$15:$A$18,0)),"Yes","No")</f>
        <v>Yes</v>
      </c>
      <c r="O2597" s="31" t="str">
        <f aca="false">IF(H2597="","Open",IF(H2597&lt;=INDEX(Assumptions!$C$15:$C$18,MATCH(E2597,Assumptions!$A$15:$A$18,0)),"Yes","No"))</f>
        <v>Yes</v>
      </c>
    </row>
    <row r="2598" customFormat="false" ht="15" hidden="false" customHeight="false" outlineLevel="0" collapsed="false">
      <c r="A2598" s="31" t="s">
        <v>2748</v>
      </c>
      <c r="B2598" s="44" t="n">
        <v>46240</v>
      </c>
      <c r="C2598" s="31" t="s">
        <v>57</v>
      </c>
      <c r="D2598" s="31" t="s">
        <v>65</v>
      </c>
      <c r="E2598" s="31" t="s">
        <v>50</v>
      </c>
      <c r="F2598" s="31" t="s">
        <v>133</v>
      </c>
      <c r="G2598" s="31" t="n">
        <v>2</v>
      </c>
      <c r="H2598" s="41" t="n">
        <v>6.7</v>
      </c>
      <c r="I2598" s="31" t="s">
        <v>64</v>
      </c>
      <c r="J2598" s="31"/>
      <c r="K2598" s="31" t="s">
        <v>150</v>
      </c>
      <c r="L2598" s="45" t="n">
        <f aca="false">DATE(YEAR(B2598),MONTH(B2598),1)</f>
        <v>46235</v>
      </c>
      <c r="M2598" s="31" t="n">
        <f aca="false">WEEKDAY(B2598,2)</f>
        <v>4</v>
      </c>
      <c r="N2598" s="31" t="str">
        <f aca="false">IF(G2598&lt;=INDEX(Assumptions!$B$15:$B$18,MATCH(E2598,Assumptions!$A$15:$A$18,0)),"Yes","No")</f>
        <v>Yes</v>
      </c>
      <c r="O2598" s="31" t="str">
        <f aca="false">IF(H2598="","Open",IF(H2598&lt;=INDEX(Assumptions!$C$15:$C$18,MATCH(E2598,Assumptions!$A$15:$A$18,0)),"Yes","No"))</f>
        <v>Yes</v>
      </c>
    </row>
    <row r="2599" customFormat="false" ht="15" hidden="false" customHeight="false" outlineLevel="0" collapsed="false">
      <c r="A2599" s="31" t="s">
        <v>2749</v>
      </c>
      <c r="B2599" s="44" t="n">
        <v>46240</v>
      </c>
      <c r="C2599" s="31" t="s">
        <v>58</v>
      </c>
      <c r="D2599" s="31" t="s">
        <v>69</v>
      </c>
      <c r="E2599" s="31" t="s">
        <v>50</v>
      </c>
      <c r="F2599" s="31" t="s">
        <v>117</v>
      </c>
      <c r="G2599" s="31" t="n">
        <v>4</v>
      </c>
      <c r="H2599" s="41" t="n">
        <v>5.9</v>
      </c>
      <c r="I2599" s="31" t="s">
        <v>64</v>
      </c>
      <c r="J2599" s="31"/>
      <c r="K2599" s="31" t="s">
        <v>150</v>
      </c>
      <c r="L2599" s="45" t="n">
        <f aca="false">DATE(YEAR(B2599),MONTH(B2599),1)</f>
        <v>46235</v>
      </c>
      <c r="M2599" s="31" t="n">
        <f aca="false">WEEKDAY(B2599,2)</f>
        <v>4</v>
      </c>
      <c r="N2599" s="31" t="str">
        <f aca="false">IF(G2599&lt;=INDEX(Assumptions!$B$15:$B$18,MATCH(E2599,Assumptions!$A$15:$A$18,0)),"Yes","No")</f>
        <v>Yes</v>
      </c>
      <c r="O2599" s="31" t="str">
        <f aca="false">IF(H2599="","Open",IF(H2599&lt;=INDEX(Assumptions!$C$15:$C$18,MATCH(E2599,Assumptions!$A$15:$A$18,0)),"Yes","No"))</f>
        <v>Yes</v>
      </c>
    </row>
    <row r="2600" customFormat="false" ht="15" hidden="false" customHeight="false" outlineLevel="0" collapsed="false">
      <c r="A2600" s="31" t="s">
        <v>2750</v>
      </c>
      <c r="B2600" s="44" t="n">
        <v>46240</v>
      </c>
      <c r="C2600" s="31" t="s">
        <v>57</v>
      </c>
      <c r="D2600" s="31" t="s">
        <v>67</v>
      </c>
      <c r="E2600" s="31" t="s">
        <v>52</v>
      </c>
      <c r="F2600" s="31" t="s">
        <v>131</v>
      </c>
      <c r="G2600" s="31" t="n">
        <v>3</v>
      </c>
      <c r="H2600" s="41" t="n">
        <v>15.5</v>
      </c>
      <c r="I2600" s="31" t="s">
        <v>149</v>
      </c>
      <c r="J2600" s="31"/>
      <c r="K2600" s="31" t="s">
        <v>150</v>
      </c>
      <c r="L2600" s="45" t="n">
        <f aca="false">DATE(YEAR(B2600),MONTH(B2600),1)</f>
        <v>46235</v>
      </c>
      <c r="M2600" s="31" t="n">
        <f aca="false">WEEKDAY(B2600,2)</f>
        <v>4</v>
      </c>
      <c r="N2600" s="31" t="str">
        <f aca="false">IF(G2600&lt;=INDEX(Assumptions!$B$15:$B$18,MATCH(E2600,Assumptions!$A$15:$A$18,0)),"Yes","No")</f>
        <v>Yes</v>
      </c>
      <c r="O2600" s="31" t="str">
        <f aca="false">IF(H2600="","Open",IF(H2600&lt;=INDEX(Assumptions!$C$15:$C$18,MATCH(E2600,Assumptions!$A$15:$A$18,0)),"Yes","No"))</f>
        <v>Yes</v>
      </c>
    </row>
    <row r="2601" customFormat="false" ht="15" hidden="false" customHeight="false" outlineLevel="0" collapsed="false">
      <c r="A2601" s="31" t="s">
        <v>2751</v>
      </c>
      <c r="B2601" s="44" t="n">
        <v>46240</v>
      </c>
      <c r="C2601" s="31" t="s">
        <v>60</v>
      </c>
      <c r="D2601" s="31" t="s">
        <v>69</v>
      </c>
      <c r="E2601" s="31" t="s">
        <v>51</v>
      </c>
      <c r="F2601" s="31" t="s">
        <v>119</v>
      </c>
      <c r="G2601" s="31" t="n">
        <v>6</v>
      </c>
      <c r="H2601" s="41" t="n">
        <v>18.6</v>
      </c>
      <c r="I2601" s="31" t="s">
        <v>149</v>
      </c>
      <c r="J2601" s="31"/>
      <c r="K2601" s="31" t="s">
        <v>150</v>
      </c>
      <c r="L2601" s="45" t="n">
        <f aca="false">DATE(YEAR(B2601),MONTH(B2601),1)</f>
        <v>46235</v>
      </c>
      <c r="M2601" s="31" t="n">
        <f aca="false">WEEKDAY(B2601,2)</f>
        <v>4</v>
      </c>
      <c r="N2601" s="31" t="str">
        <f aca="false">IF(G2601&lt;=INDEX(Assumptions!$B$15:$B$18,MATCH(E2601,Assumptions!$A$15:$A$18,0)),"Yes","No")</f>
        <v>Yes</v>
      </c>
      <c r="O2601" s="31" t="str">
        <f aca="false">IF(H2601="","Open",IF(H2601&lt;=INDEX(Assumptions!$C$15:$C$18,MATCH(E2601,Assumptions!$A$15:$A$18,0)),"Yes","No"))</f>
        <v>Yes</v>
      </c>
    </row>
    <row r="2602" customFormat="false" ht="15" hidden="false" customHeight="false" outlineLevel="0" collapsed="false">
      <c r="A2602" s="31" t="s">
        <v>2752</v>
      </c>
      <c r="B2602" s="44" t="n">
        <v>46240</v>
      </c>
      <c r="C2602" s="31" t="s">
        <v>57</v>
      </c>
      <c r="D2602" s="31" t="s">
        <v>66</v>
      </c>
      <c r="E2602" s="31" t="s">
        <v>52</v>
      </c>
      <c r="F2602" s="31" t="s">
        <v>135</v>
      </c>
      <c r="G2602" s="31" t="n">
        <v>6</v>
      </c>
      <c r="H2602" s="41" t="n">
        <v>18.9</v>
      </c>
      <c r="I2602" s="31" t="s">
        <v>64</v>
      </c>
      <c r="J2602" s="31" t="n">
        <v>4</v>
      </c>
      <c r="K2602" s="31" t="s">
        <v>150</v>
      </c>
      <c r="L2602" s="45" t="n">
        <f aca="false">DATE(YEAR(B2602),MONTH(B2602),1)</f>
        <v>46235</v>
      </c>
      <c r="M2602" s="31" t="n">
        <f aca="false">WEEKDAY(B2602,2)</f>
        <v>4</v>
      </c>
      <c r="N2602" s="31" t="str">
        <f aca="false">IF(G2602&lt;=INDEX(Assumptions!$B$15:$B$18,MATCH(E2602,Assumptions!$A$15:$A$18,0)),"Yes","No")</f>
        <v>Yes</v>
      </c>
      <c r="O2602" s="31" t="str">
        <f aca="false">IF(H2602="","Open",IF(H2602&lt;=INDEX(Assumptions!$C$15:$C$18,MATCH(E2602,Assumptions!$A$15:$A$18,0)),"Yes","No"))</f>
        <v>Yes</v>
      </c>
    </row>
    <row r="2603" customFormat="false" ht="15" hidden="false" customHeight="false" outlineLevel="0" collapsed="false">
      <c r="A2603" s="31" t="s">
        <v>2753</v>
      </c>
      <c r="B2603" s="44" t="n">
        <v>46240</v>
      </c>
      <c r="C2603" s="31" t="s">
        <v>58</v>
      </c>
      <c r="D2603" s="31" t="s">
        <v>66</v>
      </c>
      <c r="E2603" s="31" t="s">
        <v>52</v>
      </c>
      <c r="F2603" s="31" t="s">
        <v>120</v>
      </c>
      <c r="G2603" s="31" t="n">
        <v>111</v>
      </c>
      <c r="H2603" s="41" t="n">
        <v>63.4</v>
      </c>
      <c r="I2603" s="31" t="s">
        <v>149</v>
      </c>
      <c r="J2603" s="31" t="n">
        <v>5</v>
      </c>
      <c r="K2603" s="31" t="s">
        <v>150</v>
      </c>
      <c r="L2603" s="45" t="n">
        <f aca="false">DATE(YEAR(B2603),MONTH(B2603),1)</f>
        <v>46235</v>
      </c>
      <c r="M2603" s="31" t="n">
        <f aca="false">WEEKDAY(B2603,2)</f>
        <v>4</v>
      </c>
      <c r="N2603" s="31" t="str">
        <f aca="false">IF(G2603&lt;=INDEX(Assumptions!$B$15:$B$18,MATCH(E2603,Assumptions!$A$15:$A$18,0)),"Yes","No")</f>
        <v>Yes</v>
      </c>
      <c r="O2603" s="31" t="str">
        <f aca="false">IF(H2603="","Open",IF(H2603&lt;=INDEX(Assumptions!$C$15:$C$18,MATCH(E2603,Assumptions!$A$15:$A$18,0)),"Yes","No"))</f>
        <v>Yes</v>
      </c>
    </row>
    <row r="2604" customFormat="false" ht="15" hidden="false" customHeight="false" outlineLevel="0" collapsed="false">
      <c r="A2604" s="31" t="s">
        <v>2754</v>
      </c>
      <c r="B2604" s="44" t="n">
        <v>46240</v>
      </c>
      <c r="C2604" s="31" t="s">
        <v>60</v>
      </c>
      <c r="D2604" s="31" t="s">
        <v>66</v>
      </c>
      <c r="E2604" s="31" t="s">
        <v>52</v>
      </c>
      <c r="F2604" s="31" t="s">
        <v>117</v>
      </c>
      <c r="G2604" s="31" t="n">
        <v>4</v>
      </c>
      <c r="H2604" s="41" t="n">
        <v>4.2</v>
      </c>
      <c r="I2604" s="31" t="s">
        <v>149</v>
      </c>
      <c r="J2604" s="31" t="n">
        <v>4</v>
      </c>
      <c r="K2604" s="31" t="s">
        <v>150</v>
      </c>
      <c r="L2604" s="45" t="n">
        <f aca="false">DATE(YEAR(B2604),MONTH(B2604),1)</f>
        <v>46235</v>
      </c>
      <c r="M2604" s="31" t="n">
        <f aca="false">WEEKDAY(B2604,2)</f>
        <v>4</v>
      </c>
      <c r="N2604" s="31" t="str">
        <f aca="false">IF(G2604&lt;=INDEX(Assumptions!$B$15:$B$18,MATCH(E2604,Assumptions!$A$15:$A$18,0)),"Yes","No")</f>
        <v>Yes</v>
      </c>
      <c r="O2604" s="31" t="str">
        <f aca="false">IF(H2604="","Open",IF(H2604&lt;=INDEX(Assumptions!$C$15:$C$18,MATCH(E2604,Assumptions!$A$15:$A$18,0)),"Yes","No"))</f>
        <v>Yes</v>
      </c>
    </row>
    <row r="2605" customFormat="false" ht="15" hidden="false" customHeight="false" outlineLevel="0" collapsed="false">
      <c r="A2605" s="31" t="s">
        <v>2755</v>
      </c>
      <c r="B2605" s="44" t="n">
        <v>46240</v>
      </c>
      <c r="C2605" s="31" t="s">
        <v>60</v>
      </c>
      <c r="D2605" s="31" t="s">
        <v>65</v>
      </c>
      <c r="E2605" s="31" t="s">
        <v>51</v>
      </c>
      <c r="F2605" s="31" t="s">
        <v>123</v>
      </c>
      <c r="G2605" s="31" t="n">
        <v>1</v>
      </c>
      <c r="H2605" s="41" t="n">
        <v>12.8</v>
      </c>
      <c r="I2605" s="31" t="s">
        <v>149</v>
      </c>
      <c r="J2605" s="31"/>
      <c r="K2605" s="31" t="s">
        <v>150</v>
      </c>
      <c r="L2605" s="45" t="n">
        <f aca="false">DATE(YEAR(B2605),MONTH(B2605),1)</f>
        <v>46235</v>
      </c>
      <c r="M2605" s="31" t="n">
        <f aca="false">WEEKDAY(B2605,2)</f>
        <v>4</v>
      </c>
      <c r="N2605" s="31" t="str">
        <f aca="false">IF(G2605&lt;=INDEX(Assumptions!$B$15:$B$18,MATCH(E2605,Assumptions!$A$15:$A$18,0)),"Yes","No")</f>
        <v>Yes</v>
      </c>
      <c r="O2605" s="31" t="str">
        <f aca="false">IF(H2605="","Open",IF(H2605&lt;=INDEX(Assumptions!$C$15:$C$18,MATCH(E2605,Assumptions!$A$15:$A$18,0)),"Yes","No"))</f>
        <v>Yes</v>
      </c>
    </row>
    <row r="2606" customFormat="false" ht="15" hidden="false" customHeight="false" outlineLevel="0" collapsed="false">
      <c r="A2606" s="31" t="s">
        <v>2756</v>
      </c>
      <c r="B2606" s="44" t="n">
        <v>46240</v>
      </c>
      <c r="C2606" s="31" t="s">
        <v>59</v>
      </c>
      <c r="D2606" s="31" t="s">
        <v>68</v>
      </c>
      <c r="E2606" s="31" t="s">
        <v>51</v>
      </c>
      <c r="F2606" s="31" t="s">
        <v>128</v>
      </c>
      <c r="G2606" s="31" t="n">
        <v>413</v>
      </c>
      <c r="H2606" s="41" t="n">
        <v>6.4</v>
      </c>
      <c r="I2606" s="31" t="s">
        <v>149</v>
      </c>
      <c r="J2606" s="31"/>
      <c r="K2606" s="31" t="s">
        <v>153</v>
      </c>
      <c r="L2606" s="45" t="n">
        <f aca="false">DATE(YEAR(B2606),MONTH(B2606),1)</f>
        <v>46235</v>
      </c>
      <c r="M2606" s="31" t="n">
        <f aca="false">WEEKDAY(B2606,2)</f>
        <v>4</v>
      </c>
      <c r="N2606" s="31" t="str">
        <f aca="false">IF(G2606&lt;=INDEX(Assumptions!$B$15:$B$18,MATCH(E2606,Assumptions!$A$15:$A$18,0)),"Yes","No")</f>
        <v>No</v>
      </c>
      <c r="O2606" s="31" t="str">
        <f aca="false">IF(H2606="","Open",IF(H2606&lt;=INDEX(Assumptions!$C$15:$C$18,MATCH(E2606,Assumptions!$A$15:$A$18,0)),"Yes","No"))</f>
        <v>Yes</v>
      </c>
    </row>
    <row r="2607" customFormat="false" ht="15" hidden="false" customHeight="false" outlineLevel="0" collapsed="false">
      <c r="A2607" s="31" t="s">
        <v>2757</v>
      </c>
      <c r="B2607" s="44" t="n">
        <v>46240</v>
      </c>
      <c r="C2607" s="31" t="s">
        <v>58</v>
      </c>
      <c r="D2607" s="31" t="s">
        <v>68</v>
      </c>
      <c r="E2607" s="31" t="s">
        <v>51</v>
      </c>
      <c r="F2607" s="31" t="s">
        <v>119</v>
      </c>
      <c r="G2607" s="31" t="n">
        <v>7</v>
      </c>
      <c r="H2607" s="41" t="n">
        <v>0.7</v>
      </c>
      <c r="I2607" s="31" t="s">
        <v>149</v>
      </c>
      <c r="J2607" s="31" t="n">
        <v>4</v>
      </c>
      <c r="K2607" s="31" t="s">
        <v>150</v>
      </c>
      <c r="L2607" s="45" t="n">
        <f aca="false">DATE(YEAR(B2607),MONTH(B2607),1)</f>
        <v>46235</v>
      </c>
      <c r="M2607" s="31" t="n">
        <f aca="false">WEEKDAY(B2607,2)</f>
        <v>4</v>
      </c>
      <c r="N2607" s="31" t="str">
        <f aca="false">IF(G2607&lt;=INDEX(Assumptions!$B$15:$B$18,MATCH(E2607,Assumptions!$A$15:$A$18,0)),"Yes","No")</f>
        <v>Yes</v>
      </c>
      <c r="O2607" s="31" t="str">
        <f aca="false">IF(H2607="","Open",IF(H2607&lt;=INDEX(Assumptions!$C$15:$C$18,MATCH(E2607,Assumptions!$A$15:$A$18,0)),"Yes","No"))</f>
        <v>Yes</v>
      </c>
    </row>
    <row r="2608" customFormat="false" ht="15" hidden="false" customHeight="false" outlineLevel="0" collapsed="false">
      <c r="A2608" s="31" t="s">
        <v>2758</v>
      </c>
      <c r="B2608" s="44" t="n">
        <v>46240</v>
      </c>
      <c r="C2608" s="31" t="s">
        <v>59</v>
      </c>
      <c r="D2608" s="31" t="s">
        <v>67</v>
      </c>
      <c r="E2608" s="31" t="s">
        <v>49</v>
      </c>
      <c r="F2608" s="31" t="s">
        <v>126</v>
      </c>
      <c r="G2608" s="31" t="n">
        <v>47</v>
      </c>
      <c r="H2608" s="41" t="n">
        <v>4.5</v>
      </c>
      <c r="I2608" s="31" t="s">
        <v>149</v>
      </c>
      <c r="J2608" s="31" t="n">
        <v>3</v>
      </c>
      <c r="K2608" s="31" t="s">
        <v>150</v>
      </c>
      <c r="L2608" s="45" t="n">
        <f aca="false">DATE(YEAR(B2608),MONTH(B2608),1)</f>
        <v>46235</v>
      </c>
      <c r="M2608" s="31" t="n">
        <f aca="false">WEEKDAY(B2608,2)</f>
        <v>4</v>
      </c>
      <c r="N2608" s="31" t="str">
        <f aca="false">IF(G2608&lt;=INDEX(Assumptions!$B$15:$B$18,MATCH(E2608,Assumptions!$A$15:$A$18,0)),"Yes","No")</f>
        <v>No</v>
      </c>
      <c r="O2608" s="31" t="str">
        <f aca="false">IF(H2608="","Open",IF(H2608&lt;=INDEX(Assumptions!$C$15:$C$18,MATCH(E2608,Assumptions!$A$15:$A$18,0)),"Yes","No"))</f>
        <v>No</v>
      </c>
    </row>
    <row r="2609" customFormat="false" ht="15" hidden="false" customHeight="false" outlineLevel="0" collapsed="false">
      <c r="A2609" s="31" t="s">
        <v>2759</v>
      </c>
      <c r="B2609" s="44" t="n">
        <v>46240</v>
      </c>
      <c r="C2609" s="31" t="s">
        <v>57</v>
      </c>
      <c r="D2609" s="31" t="s">
        <v>66</v>
      </c>
      <c r="E2609" s="31" t="s">
        <v>49</v>
      </c>
      <c r="F2609" s="31" t="s">
        <v>122</v>
      </c>
      <c r="G2609" s="31" t="n">
        <v>1</v>
      </c>
      <c r="H2609" s="41" t="n">
        <v>0.6</v>
      </c>
      <c r="I2609" s="31" t="s">
        <v>149</v>
      </c>
      <c r="J2609" s="31" t="n">
        <v>5</v>
      </c>
      <c r="K2609" s="31" t="s">
        <v>153</v>
      </c>
      <c r="L2609" s="45" t="n">
        <f aca="false">DATE(YEAR(B2609),MONTH(B2609),1)</f>
        <v>46235</v>
      </c>
      <c r="M2609" s="31" t="n">
        <f aca="false">WEEKDAY(B2609,2)</f>
        <v>4</v>
      </c>
      <c r="N2609" s="31" t="str">
        <f aca="false">IF(G2609&lt;=INDEX(Assumptions!$B$15:$B$18,MATCH(E2609,Assumptions!$A$15:$A$18,0)),"Yes","No")</f>
        <v>Yes</v>
      </c>
      <c r="O2609" s="31" t="str">
        <f aca="false">IF(H2609="","Open",IF(H2609&lt;=INDEX(Assumptions!$C$15:$C$18,MATCH(E2609,Assumptions!$A$15:$A$18,0)),"Yes","No"))</f>
        <v>Yes</v>
      </c>
    </row>
    <row r="2610" customFormat="false" ht="15" hidden="false" customHeight="false" outlineLevel="0" collapsed="false">
      <c r="A2610" s="31" t="s">
        <v>2760</v>
      </c>
      <c r="B2610" s="44" t="n">
        <v>46240</v>
      </c>
      <c r="C2610" s="31" t="s">
        <v>57</v>
      </c>
      <c r="D2610" s="31" t="s">
        <v>65</v>
      </c>
      <c r="E2610" s="31" t="s">
        <v>52</v>
      </c>
      <c r="F2610" s="31" t="s">
        <v>120</v>
      </c>
      <c r="G2610" s="31" t="n">
        <v>6</v>
      </c>
      <c r="H2610" s="41" t="n">
        <v>43.4</v>
      </c>
      <c r="I2610" s="31" t="s">
        <v>149</v>
      </c>
      <c r="J2610" s="31"/>
      <c r="K2610" s="31" t="s">
        <v>153</v>
      </c>
      <c r="L2610" s="45" t="n">
        <f aca="false">DATE(YEAR(B2610),MONTH(B2610),1)</f>
        <v>46235</v>
      </c>
      <c r="M2610" s="31" t="n">
        <f aca="false">WEEKDAY(B2610,2)</f>
        <v>4</v>
      </c>
      <c r="N2610" s="31" t="str">
        <f aca="false">IF(G2610&lt;=INDEX(Assumptions!$B$15:$B$18,MATCH(E2610,Assumptions!$A$15:$A$18,0)),"Yes","No")</f>
        <v>Yes</v>
      </c>
      <c r="O2610" s="31" t="str">
        <f aca="false">IF(H2610="","Open",IF(H2610&lt;=INDEX(Assumptions!$C$15:$C$18,MATCH(E2610,Assumptions!$A$15:$A$18,0)),"Yes","No"))</f>
        <v>Yes</v>
      </c>
    </row>
    <row r="2611" customFormat="false" ht="15" hidden="false" customHeight="false" outlineLevel="0" collapsed="false">
      <c r="A2611" s="31" t="s">
        <v>2761</v>
      </c>
      <c r="B2611" s="44" t="n">
        <v>46240</v>
      </c>
      <c r="C2611" s="31" t="s">
        <v>60</v>
      </c>
      <c r="D2611" s="31" t="s">
        <v>67</v>
      </c>
      <c r="E2611" s="31" t="s">
        <v>50</v>
      </c>
      <c r="F2611" s="31" t="s">
        <v>117</v>
      </c>
      <c r="G2611" s="31" t="n">
        <v>1</v>
      </c>
      <c r="H2611" s="41" t="n">
        <v>7</v>
      </c>
      <c r="I2611" s="31" t="s">
        <v>149</v>
      </c>
      <c r="J2611" s="31" t="n">
        <v>4</v>
      </c>
      <c r="K2611" s="31" t="s">
        <v>150</v>
      </c>
      <c r="L2611" s="45" t="n">
        <f aca="false">DATE(YEAR(B2611),MONTH(B2611),1)</f>
        <v>46235</v>
      </c>
      <c r="M2611" s="31" t="n">
        <f aca="false">WEEKDAY(B2611,2)</f>
        <v>4</v>
      </c>
      <c r="N2611" s="31" t="str">
        <f aca="false">IF(G2611&lt;=INDEX(Assumptions!$B$15:$B$18,MATCH(E2611,Assumptions!$A$15:$A$18,0)),"Yes","No")</f>
        <v>Yes</v>
      </c>
      <c r="O2611" s="31" t="str">
        <f aca="false">IF(H2611="","Open",IF(H2611&lt;=INDEX(Assumptions!$C$15:$C$18,MATCH(E2611,Assumptions!$A$15:$A$18,0)),"Yes","No"))</f>
        <v>Yes</v>
      </c>
    </row>
    <row r="2612" customFormat="false" ht="15" hidden="false" customHeight="false" outlineLevel="0" collapsed="false">
      <c r="A2612" s="31" t="s">
        <v>2762</v>
      </c>
      <c r="B2612" s="44" t="n">
        <v>46240</v>
      </c>
      <c r="C2612" s="31" t="s">
        <v>57</v>
      </c>
      <c r="D2612" s="31" t="s">
        <v>66</v>
      </c>
      <c r="E2612" s="31" t="s">
        <v>51</v>
      </c>
      <c r="F2612" s="31" t="s">
        <v>130</v>
      </c>
      <c r="G2612" s="31" t="n">
        <v>1</v>
      </c>
      <c r="H2612" s="41" t="n">
        <v>8.7</v>
      </c>
      <c r="I2612" s="31" t="s">
        <v>149</v>
      </c>
      <c r="J2612" s="31"/>
      <c r="K2612" s="31" t="s">
        <v>150</v>
      </c>
      <c r="L2612" s="45" t="n">
        <f aca="false">DATE(YEAR(B2612),MONTH(B2612),1)</f>
        <v>46235</v>
      </c>
      <c r="M2612" s="31" t="n">
        <f aca="false">WEEKDAY(B2612,2)</f>
        <v>4</v>
      </c>
      <c r="N2612" s="31" t="str">
        <f aca="false">IF(G2612&lt;=INDEX(Assumptions!$B$15:$B$18,MATCH(E2612,Assumptions!$A$15:$A$18,0)),"Yes","No")</f>
        <v>Yes</v>
      </c>
      <c r="O2612" s="31" t="str">
        <f aca="false">IF(H2612="","Open",IF(H2612&lt;=INDEX(Assumptions!$C$15:$C$18,MATCH(E2612,Assumptions!$A$15:$A$18,0)),"Yes","No"))</f>
        <v>Yes</v>
      </c>
    </row>
    <row r="2613" customFormat="false" ht="15" hidden="false" customHeight="false" outlineLevel="0" collapsed="false">
      <c r="A2613" s="31" t="s">
        <v>2763</v>
      </c>
      <c r="B2613" s="44" t="n">
        <v>46240</v>
      </c>
      <c r="C2613" s="31" t="s">
        <v>57</v>
      </c>
      <c r="D2613" s="31" t="s">
        <v>68</v>
      </c>
      <c r="E2613" s="31" t="s">
        <v>49</v>
      </c>
      <c r="F2613" s="31" t="s">
        <v>131</v>
      </c>
      <c r="G2613" s="31" t="n">
        <v>4</v>
      </c>
      <c r="H2613" s="41" t="n">
        <v>0.7</v>
      </c>
      <c r="I2613" s="31" t="s">
        <v>149</v>
      </c>
      <c r="J2613" s="31"/>
      <c r="K2613" s="31" t="s">
        <v>153</v>
      </c>
      <c r="L2613" s="45" t="n">
        <f aca="false">DATE(YEAR(B2613),MONTH(B2613),1)</f>
        <v>46235</v>
      </c>
      <c r="M2613" s="31" t="n">
        <f aca="false">WEEKDAY(B2613,2)</f>
        <v>4</v>
      </c>
      <c r="N2613" s="31" t="str">
        <f aca="false">IF(G2613&lt;=INDEX(Assumptions!$B$15:$B$18,MATCH(E2613,Assumptions!$A$15:$A$18,0)),"Yes","No")</f>
        <v>Yes</v>
      </c>
      <c r="O2613" s="31" t="str">
        <f aca="false">IF(H2613="","Open",IF(H2613&lt;=INDEX(Assumptions!$C$15:$C$18,MATCH(E2613,Assumptions!$A$15:$A$18,0)),"Yes","No"))</f>
        <v>Yes</v>
      </c>
    </row>
    <row r="2614" customFormat="false" ht="15" hidden="false" customHeight="false" outlineLevel="0" collapsed="false">
      <c r="A2614" s="31" t="s">
        <v>2764</v>
      </c>
      <c r="B2614" s="44" t="n">
        <v>46240</v>
      </c>
      <c r="C2614" s="31" t="s">
        <v>57</v>
      </c>
      <c r="D2614" s="31" t="s">
        <v>67</v>
      </c>
      <c r="E2614" s="31" t="s">
        <v>50</v>
      </c>
      <c r="F2614" s="31" t="s">
        <v>129</v>
      </c>
      <c r="G2614" s="31" t="n">
        <v>3</v>
      </c>
      <c r="H2614" s="41" t="n">
        <v>6.5</v>
      </c>
      <c r="I2614" s="31" t="s">
        <v>149</v>
      </c>
      <c r="J2614" s="31"/>
      <c r="K2614" s="31" t="s">
        <v>150</v>
      </c>
      <c r="L2614" s="45" t="n">
        <f aca="false">DATE(YEAR(B2614),MONTH(B2614),1)</f>
        <v>46235</v>
      </c>
      <c r="M2614" s="31" t="n">
        <f aca="false">WEEKDAY(B2614,2)</f>
        <v>4</v>
      </c>
      <c r="N2614" s="31" t="str">
        <f aca="false">IF(G2614&lt;=INDEX(Assumptions!$B$15:$B$18,MATCH(E2614,Assumptions!$A$15:$A$18,0)),"Yes","No")</f>
        <v>Yes</v>
      </c>
      <c r="O2614" s="31" t="str">
        <f aca="false">IF(H2614="","Open",IF(H2614&lt;=INDEX(Assumptions!$C$15:$C$18,MATCH(E2614,Assumptions!$A$15:$A$18,0)),"Yes","No"))</f>
        <v>Yes</v>
      </c>
    </row>
    <row r="2615" customFormat="false" ht="15" hidden="false" customHeight="false" outlineLevel="0" collapsed="false">
      <c r="A2615" s="31" t="s">
        <v>2765</v>
      </c>
      <c r="B2615" s="44" t="n">
        <v>46240</v>
      </c>
      <c r="C2615" s="31" t="s">
        <v>57</v>
      </c>
      <c r="D2615" s="31" t="s">
        <v>68</v>
      </c>
      <c r="E2615" s="31" t="s">
        <v>51</v>
      </c>
      <c r="F2615" s="31" t="s">
        <v>135</v>
      </c>
      <c r="G2615" s="31" t="n">
        <v>5</v>
      </c>
      <c r="H2615" s="41" t="n">
        <v>2.2</v>
      </c>
      <c r="I2615" s="31" t="s">
        <v>149</v>
      </c>
      <c r="J2615" s="31" t="n">
        <v>4</v>
      </c>
      <c r="K2615" s="31" t="s">
        <v>150</v>
      </c>
      <c r="L2615" s="45" t="n">
        <f aca="false">DATE(YEAR(B2615),MONTH(B2615),1)</f>
        <v>46235</v>
      </c>
      <c r="M2615" s="31" t="n">
        <f aca="false">WEEKDAY(B2615,2)</f>
        <v>4</v>
      </c>
      <c r="N2615" s="31" t="str">
        <f aca="false">IF(G2615&lt;=INDEX(Assumptions!$B$15:$B$18,MATCH(E2615,Assumptions!$A$15:$A$18,0)),"Yes","No")</f>
        <v>Yes</v>
      </c>
      <c r="O2615" s="31" t="str">
        <f aca="false">IF(H2615="","Open",IF(H2615&lt;=INDEX(Assumptions!$C$15:$C$18,MATCH(E2615,Assumptions!$A$15:$A$18,0)),"Yes","No"))</f>
        <v>Yes</v>
      </c>
    </row>
    <row r="2616" customFormat="false" ht="15" hidden="false" customHeight="false" outlineLevel="0" collapsed="false">
      <c r="A2616" s="31" t="s">
        <v>2766</v>
      </c>
      <c r="B2616" s="44" t="n">
        <v>46240</v>
      </c>
      <c r="C2616" s="31" t="s">
        <v>58</v>
      </c>
      <c r="D2616" s="31" t="s">
        <v>66</v>
      </c>
      <c r="E2616" s="31" t="s">
        <v>52</v>
      </c>
      <c r="F2616" s="31" t="s">
        <v>129</v>
      </c>
      <c r="G2616" s="31" t="n">
        <v>5</v>
      </c>
      <c r="H2616" s="41" t="n">
        <v>13</v>
      </c>
      <c r="I2616" s="31" t="s">
        <v>149</v>
      </c>
      <c r="J2616" s="31" t="n">
        <v>4</v>
      </c>
      <c r="K2616" s="31" t="s">
        <v>150</v>
      </c>
      <c r="L2616" s="45" t="n">
        <f aca="false">DATE(YEAR(B2616),MONTH(B2616),1)</f>
        <v>46235</v>
      </c>
      <c r="M2616" s="31" t="n">
        <f aca="false">WEEKDAY(B2616,2)</f>
        <v>4</v>
      </c>
      <c r="N2616" s="31" t="str">
        <f aca="false">IF(G2616&lt;=INDEX(Assumptions!$B$15:$B$18,MATCH(E2616,Assumptions!$A$15:$A$18,0)),"Yes","No")</f>
        <v>Yes</v>
      </c>
      <c r="O2616" s="31" t="str">
        <f aca="false">IF(H2616="","Open",IF(H2616&lt;=INDEX(Assumptions!$C$15:$C$18,MATCH(E2616,Assumptions!$A$15:$A$18,0)),"Yes","No"))</f>
        <v>Yes</v>
      </c>
    </row>
    <row r="2617" customFormat="false" ht="15" hidden="false" customHeight="false" outlineLevel="0" collapsed="false">
      <c r="A2617" s="31" t="s">
        <v>2767</v>
      </c>
      <c r="B2617" s="44" t="n">
        <v>46240</v>
      </c>
      <c r="C2617" s="31" t="s">
        <v>58</v>
      </c>
      <c r="D2617" s="31" t="s">
        <v>65</v>
      </c>
      <c r="E2617" s="31" t="s">
        <v>50</v>
      </c>
      <c r="F2617" s="31" t="s">
        <v>127</v>
      </c>
      <c r="G2617" s="31" t="n">
        <v>5</v>
      </c>
      <c r="H2617" s="41" t="n">
        <v>12</v>
      </c>
      <c r="I2617" s="31" t="s">
        <v>149</v>
      </c>
      <c r="J2617" s="31" t="n">
        <v>4</v>
      </c>
      <c r="K2617" s="31" t="s">
        <v>150</v>
      </c>
      <c r="L2617" s="45" t="n">
        <f aca="false">DATE(YEAR(B2617),MONTH(B2617),1)</f>
        <v>46235</v>
      </c>
      <c r="M2617" s="31" t="n">
        <f aca="false">WEEKDAY(B2617,2)</f>
        <v>4</v>
      </c>
      <c r="N2617" s="31" t="str">
        <f aca="false">IF(G2617&lt;=INDEX(Assumptions!$B$15:$B$18,MATCH(E2617,Assumptions!$A$15:$A$18,0)),"Yes","No")</f>
        <v>Yes</v>
      </c>
      <c r="O2617" s="31" t="str">
        <f aca="false">IF(H2617="","Open",IF(H2617&lt;=INDEX(Assumptions!$C$15:$C$18,MATCH(E2617,Assumptions!$A$15:$A$18,0)),"Yes","No"))</f>
        <v>No</v>
      </c>
    </row>
    <row r="2618" customFormat="false" ht="15" hidden="false" customHeight="false" outlineLevel="0" collapsed="false">
      <c r="A2618" s="31" t="s">
        <v>2768</v>
      </c>
      <c r="B2618" s="44" t="n">
        <v>46240</v>
      </c>
      <c r="C2618" s="31" t="s">
        <v>57</v>
      </c>
      <c r="D2618" s="31" t="s">
        <v>65</v>
      </c>
      <c r="E2618" s="31" t="s">
        <v>52</v>
      </c>
      <c r="F2618" s="31" t="s">
        <v>134</v>
      </c>
      <c r="G2618" s="31" t="n">
        <v>15</v>
      </c>
      <c r="H2618" s="41" t="n">
        <v>12.3</v>
      </c>
      <c r="I2618" s="31" t="s">
        <v>149</v>
      </c>
      <c r="J2618" s="31" t="n">
        <v>4</v>
      </c>
      <c r="K2618" s="31" t="s">
        <v>150</v>
      </c>
      <c r="L2618" s="45" t="n">
        <f aca="false">DATE(YEAR(B2618),MONTH(B2618),1)</f>
        <v>46235</v>
      </c>
      <c r="M2618" s="31" t="n">
        <f aca="false">WEEKDAY(B2618,2)</f>
        <v>4</v>
      </c>
      <c r="N2618" s="31" t="str">
        <f aca="false">IF(G2618&lt;=INDEX(Assumptions!$B$15:$B$18,MATCH(E2618,Assumptions!$A$15:$A$18,0)),"Yes","No")</f>
        <v>Yes</v>
      </c>
      <c r="O2618" s="31" t="str">
        <f aca="false">IF(H2618="","Open",IF(H2618&lt;=INDEX(Assumptions!$C$15:$C$18,MATCH(E2618,Assumptions!$A$15:$A$18,0)),"Yes","No"))</f>
        <v>Yes</v>
      </c>
    </row>
    <row r="2619" customFormat="false" ht="15" hidden="false" customHeight="false" outlineLevel="0" collapsed="false">
      <c r="A2619" s="31" t="s">
        <v>2769</v>
      </c>
      <c r="B2619" s="44" t="n">
        <v>46240</v>
      </c>
      <c r="C2619" s="31" t="s">
        <v>57</v>
      </c>
      <c r="D2619" s="31" t="s">
        <v>67</v>
      </c>
      <c r="E2619" s="31" t="s">
        <v>51</v>
      </c>
      <c r="F2619" s="31" t="s">
        <v>124</v>
      </c>
      <c r="G2619" s="31" t="n">
        <v>3</v>
      </c>
      <c r="H2619" s="41" t="n">
        <v>34.2</v>
      </c>
      <c r="I2619" s="31" t="s">
        <v>149</v>
      </c>
      <c r="J2619" s="31"/>
      <c r="K2619" s="31" t="s">
        <v>153</v>
      </c>
      <c r="L2619" s="45" t="n">
        <f aca="false">DATE(YEAR(B2619),MONTH(B2619),1)</f>
        <v>46235</v>
      </c>
      <c r="M2619" s="31" t="n">
        <f aca="false">WEEKDAY(B2619,2)</f>
        <v>4</v>
      </c>
      <c r="N2619" s="31" t="str">
        <f aca="false">IF(G2619&lt;=INDEX(Assumptions!$B$15:$B$18,MATCH(E2619,Assumptions!$A$15:$A$18,0)),"Yes","No")</f>
        <v>Yes</v>
      </c>
      <c r="O2619" s="31" t="str">
        <f aca="false">IF(H2619="","Open",IF(H2619&lt;=INDEX(Assumptions!$C$15:$C$18,MATCH(E2619,Assumptions!$A$15:$A$18,0)),"Yes","No"))</f>
        <v>No</v>
      </c>
    </row>
    <row r="2620" customFormat="false" ht="15" hidden="false" customHeight="false" outlineLevel="0" collapsed="false">
      <c r="A2620" s="31" t="s">
        <v>2770</v>
      </c>
      <c r="B2620" s="44" t="n">
        <v>46240</v>
      </c>
      <c r="C2620" s="31" t="s">
        <v>59</v>
      </c>
      <c r="D2620" s="31" t="s">
        <v>65</v>
      </c>
      <c r="E2620" s="31" t="s">
        <v>51</v>
      </c>
      <c r="F2620" s="31" t="s">
        <v>122</v>
      </c>
      <c r="G2620" s="31" t="n">
        <v>176</v>
      </c>
      <c r="H2620" s="41" t="n">
        <v>9</v>
      </c>
      <c r="I2620" s="31" t="s">
        <v>149</v>
      </c>
      <c r="J2620" s="31"/>
      <c r="K2620" s="31" t="s">
        <v>150</v>
      </c>
      <c r="L2620" s="45" t="n">
        <f aca="false">DATE(YEAR(B2620),MONTH(B2620),1)</f>
        <v>46235</v>
      </c>
      <c r="M2620" s="31" t="n">
        <f aca="false">WEEKDAY(B2620,2)</f>
        <v>4</v>
      </c>
      <c r="N2620" s="31" t="str">
        <f aca="false">IF(G2620&lt;=INDEX(Assumptions!$B$15:$B$18,MATCH(E2620,Assumptions!$A$15:$A$18,0)),"Yes","No")</f>
        <v>No</v>
      </c>
      <c r="O2620" s="31" t="str">
        <f aca="false">IF(H2620="","Open",IF(H2620&lt;=INDEX(Assumptions!$C$15:$C$18,MATCH(E2620,Assumptions!$A$15:$A$18,0)),"Yes","No"))</f>
        <v>Yes</v>
      </c>
    </row>
    <row r="2621" customFormat="false" ht="15" hidden="false" customHeight="false" outlineLevel="0" collapsed="false">
      <c r="A2621" s="31" t="s">
        <v>2771</v>
      </c>
      <c r="B2621" s="44" t="n">
        <v>46240</v>
      </c>
      <c r="C2621" s="31" t="s">
        <v>57</v>
      </c>
      <c r="D2621" s="31" t="s">
        <v>65</v>
      </c>
      <c r="E2621" s="31" t="s">
        <v>50</v>
      </c>
      <c r="F2621" s="31" t="s">
        <v>134</v>
      </c>
      <c r="G2621" s="31" t="n">
        <v>3</v>
      </c>
      <c r="H2621" s="41" t="n">
        <v>22.1</v>
      </c>
      <c r="I2621" s="31" t="s">
        <v>64</v>
      </c>
      <c r="J2621" s="31"/>
      <c r="K2621" s="31" t="s">
        <v>150</v>
      </c>
      <c r="L2621" s="45" t="n">
        <f aca="false">DATE(YEAR(B2621),MONTH(B2621),1)</f>
        <v>46235</v>
      </c>
      <c r="M2621" s="31" t="n">
        <f aca="false">WEEKDAY(B2621,2)</f>
        <v>4</v>
      </c>
      <c r="N2621" s="31" t="str">
        <f aca="false">IF(G2621&lt;=INDEX(Assumptions!$B$15:$B$18,MATCH(E2621,Assumptions!$A$15:$A$18,0)),"Yes","No")</f>
        <v>Yes</v>
      </c>
      <c r="O2621" s="31" t="str">
        <f aca="false">IF(H2621="","Open",IF(H2621&lt;=INDEX(Assumptions!$C$15:$C$18,MATCH(E2621,Assumptions!$A$15:$A$18,0)),"Yes","No"))</f>
        <v>No</v>
      </c>
    </row>
    <row r="2622" customFormat="false" ht="15" hidden="false" customHeight="false" outlineLevel="0" collapsed="false">
      <c r="A2622" s="31" t="s">
        <v>2772</v>
      </c>
      <c r="B2622" s="44" t="n">
        <v>46240</v>
      </c>
      <c r="C2622" s="31" t="s">
        <v>59</v>
      </c>
      <c r="D2622" s="31" t="s">
        <v>65</v>
      </c>
      <c r="E2622" s="31" t="s">
        <v>51</v>
      </c>
      <c r="F2622" s="31" t="s">
        <v>119</v>
      </c>
      <c r="G2622" s="31" t="n">
        <v>53</v>
      </c>
      <c r="H2622" s="41" t="n">
        <v>6</v>
      </c>
      <c r="I2622" s="31" t="s">
        <v>149</v>
      </c>
      <c r="J2622" s="31"/>
      <c r="K2622" s="31" t="s">
        <v>150</v>
      </c>
      <c r="L2622" s="45" t="n">
        <f aca="false">DATE(YEAR(B2622),MONTH(B2622),1)</f>
        <v>46235</v>
      </c>
      <c r="M2622" s="31" t="n">
        <f aca="false">WEEKDAY(B2622,2)</f>
        <v>4</v>
      </c>
      <c r="N2622" s="31" t="str">
        <f aca="false">IF(G2622&lt;=INDEX(Assumptions!$B$15:$B$18,MATCH(E2622,Assumptions!$A$15:$A$18,0)),"Yes","No")</f>
        <v>Yes</v>
      </c>
      <c r="O2622" s="31" t="str">
        <f aca="false">IF(H2622="","Open",IF(H2622&lt;=INDEX(Assumptions!$C$15:$C$18,MATCH(E2622,Assumptions!$A$15:$A$18,0)),"Yes","No"))</f>
        <v>Yes</v>
      </c>
    </row>
    <row r="2623" customFormat="false" ht="15" hidden="false" customHeight="false" outlineLevel="0" collapsed="false">
      <c r="A2623" s="31" t="s">
        <v>2773</v>
      </c>
      <c r="B2623" s="44" t="n">
        <v>46240</v>
      </c>
      <c r="C2623" s="31" t="s">
        <v>60</v>
      </c>
      <c r="D2623" s="31" t="s">
        <v>65</v>
      </c>
      <c r="E2623" s="31" t="s">
        <v>52</v>
      </c>
      <c r="F2623" s="31" t="s">
        <v>124</v>
      </c>
      <c r="G2623" s="31" t="n">
        <v>2</v>
      </c>
      <c r="H2623" s="41" t="n">
        <v>20.6</v>
      </c>
      <c r="I2623" s="31" t="s">
        <v>149</v>
      </c>
      <c r="J2623" s="31"/>
      <c r="K2623" s="31" t="s">
        <v>153</v>
      </c>
      <c r="L2623" s="45" t="n">
        <f aca="false">DATE(YEAR(B2623),MONTH(B2623),1)</f>
        <v>46235</v>
      </c>
      <c r="M2623" s="31" t="n">
        <f aca="false">WEEKDAY(B2623,2)</f>
        <v>4</v>
      </c>
      <c r="N2623" s="31" t="str">
        <f aca="false">IF(G2623&lt;=INDEX(Assumptions!$B$15:$B$18,MATCH(E2623,Assumptions!$A$15:$A$18,0)),"Yes","No")</f>
        <v>Yes</v>
      </c>
      <c r="O2623" s="31" t="str">
        <f aca="false">IF(H2623="","Open",IF(H2623&lt;=INDEX(Assumptions!$C$15:$C$18,MATCH(E2623,Assumptions!$A$15:$A$18,0)),"Yes","No"))</f>
        <v>Yes</v>
      </c>
    </row>
    <row r="2624" customFormat="false" ht="15" hidden="false" customHeight="false" outlineLevel="0" collapsed="false">
      <c r="A2624" s="31" t="s">
        <v>2774</v>
      </c>
      <c r="B2624" s="44" t="n">
        <v>46240</v>
      </c>
      <c r="C2624" s="31" t="s">
        <v>57</v>
      </c>
      <c r="D2624" s="31" t="s">
        <v>68</v>
      </c>
      <c r="E2624" s="31" t="s">
        <v>51</v>
      </c>
      <c r="F2624" s="31" t="s">
        <v>123</v>
      </c>
      <c r="G2624" s="31" t="n">
        <v>3</v>
      </c>
      <c r="H2624" s="41" t="n">
        <v>11.5</v>
      </c>
      <c r="I2624" s="31" t="s">
        <v>149</v>
      </c>
      <c r="J2624" s="31" t="n">
        <v>5</v>
      </c>
      <c r="K2624" s="31" t="s">
        <v>153</v>
      </c>
      <c r="L2624" s="45" t="n">
        <f aca="false">DATE(YEAR(B2624),MONTH(B2624),1)</f>
        <v>46235</v>
      </c>
      <c r="M2624" s="31" t="n">
        <f aca="false">WEEKDAY(B2624,2)</f>
        <v>4</v>
      </c>
      <c r="N2624" s="31" t="str">
        <f aca="false">IF(G2624&lt;=INDEX(Assumptions!$B$15:$B$18,MATCH(E2624,Assumptions!$A$15:$A$18,0)),"Yes","No")</f>
        <v>Yes</v>
      </c>
      <c r="O2624" s="31" t="str">
        <f aca="false">IF(H2624="","Open",IF(H2624&lt;=INDEX(Assumptions!$C$15:$C$18,MATCH(E2624,Assumptions!$A$15:$A$18,0)),"Yes","No"))</f>
        <v>Yes</v>
      </c>
    </row>
    <row r="2625" customFormat="false" ht="15" hidden="false" customHeight="false" outlineLevel="0" collapsed="false">
      <c r="A2625" s="31" t="s">
        <v>2775</v>
      </c>
      <c r="B2625" s="44" t="n">
        <v>46240</v>
      </c>
      <c r="C2625" s="31" t="s">
        <v>59</v>
      </c>
      <c r="D2625" s="31" t="s">
        <v>65</v>
      </c>
      <c r="E2625" s="31" t="s">
        <v>51</v>
      </c>
      <c r="F2625" s="31" t="s">
        <v>131</v>
      </c>
      <c r="G2625" s="31" t="n">
        <v>92</v>
      </c>
      <c r="H2625" s="41" t="n">
        <v>5.6</v>
      </c>
      <c r="I2625" s="31" t="s">
        <v>149</v>
      </c>
      <c r="J2625" s="31" t="n">
        <v>3</v>
      </c>
      <c r="K2625" s="31" t="s">
        <v>150</v>
      </c>
      <c r="L2625" s="45" t="n">
        <f aca="false">DATE(YEAR(B2625),MONTH(B2625),1)</f>
        <v>46235</v>
      </c>
      <c r="M2625" s="31" t="n">
        <f aca="false">WEEKDAY(B2625,2)</f>
        <v>4</v>
      </c>
      <c r="N2625" s="31" t="str">
        <f aca="false">IF(G2625&lt;=INDEX(Assumptions!$B$15:$B$18,MATCH(E2625,Assumptions!$A$15:$A$18,0)),"Yes","No")</f>
        <v>No</v>
      </c>
      <c r="O2625" s="31" t="str">
        <f aca="false">IF(H2625="","Open",IF(H2625&lt;=INDEX(Assumptions!$C$15:$C$18,MATCH(E2625,Assumptions!$A$15:$A$18,0)),"Yes","No"))</f>
        <v>Yes</v>
      </c>
    </row>
    <row r="2626" customFormat="false" ht="15" hidden="false" customHeight="false" outlineLevel="0" collapsed="false">
      <c r="A2626" s="31" t="s">
        <v>2776</v>
      </c>
      <c r="B2626" s="44" t="n">
        <v>46240</v>
      </c>
      <c r="C2626" s="31" t="s">
        <v>58</v>
      </c>
      <c r="D2626" s="31" t="s">
        <v>66</v>
      </c>
      <c r="E2626" s="31" t="s">
        <v>51</v>
      </c>
      <c r="F2626" s="31" t="s">
        <v>134</v>
      </c>
      <c r="G2626" s="31" t="n">
        <v>22</v>
      </c>
      <c r="H2626" s="41" t="n">
        <v>5.8</v>
      </c>
      <c r="I2626" s="31" t="s">
        <v>149</v>
      </c>
      <c r="J2626" s="31" t="n">
        <v>3</v>
      </c>
      <c r="K2626" s="31" t="s">
        <v>150</v>
      </c>
      <c r="L2626" s="45" t="n">
        <f aca="false">DATE(YEAR(B2626),MONTH(B2626),1)</f>
        <v>46235</v>
      </c>
      <c r="M2626" s="31" t="n">
        <f aca="false">WEEKDAY(B2626,2)</f>
        <v>4</v>
      </c>
      <c r="N2626" s="31" t="str">
        <f aca="false">IF(G2626&lt;=INDEX(Assumptions!$B$15:$B$18,MATCH(E2626,Assumptions!$A$15:$A$18,0)),"Yes","No")</f>
        <v>Yes</v>
      </c>
      <c r="O2626" s="31" t="str">
        <f aca="false">IF(H2626="","Open",IF(H2626&lt;=INDEX(Assumptions!$C$15:$C$18,MATCH(E2626,Assumptions!$A$15:$A$18,0)),"Yes","No"))</f>
        <v>Yes</v>
      </c>
    </row>
    <row r="2627" customFormat="false" ht="15" hidden="false" customHeight="false" outlineLevel="0" collapsed="false">
      <c r="A2627" s="31" t="s">
        <v>2777</v>
      </c>
      <c r="B2627" s="44" t="n">
        <v>46240</v>
      </c>
      <c r="C2627" s="31" t="s">
        <v>59</v>
      </c>
      <c r="D2627" s="31" t="s">
        <v>68</v>
      </c>
      <c r="E2627" s="31" t="s">
        <v>51</v>
      </c>
      <c r="F2627" s="31" t="s">
        <v>128</v>
      </c>
      <c r="G2627" s="31" t="n">
        <v>119</v>
      </c>
      <c r="H2627" s="41" t="n">
        <v>3.8</v>
      </c>
      <c r="I2627" s="31" t="s">
        <v>149</v>
      </c>
      <c r="J2627" s="31"/>
      <c r="K2627" s="31" t="s">
        <v>150</v>
      </c>
      <c r="L2627" s="45" t="n">
        <f aca="false">DATE(YEAR(B2627),MONTH(B2627),1)</f>
        <v>46235</v>
      </c>
      <c r="M2627" s="31" t="n">
        <f aca="false">WEEKDAY(B2627,2)</f>
        <v>4</v>
      </c>
      <c r="N2627" s="31" t="str">
        <f aca="false">IF(G2627&lt;=INDEX(Assumptions!$B$15:$B$18,MATCH(E2627,Assumptions!$A$15:$A$18,0)),"Yes","No")</f>
        <v>No</v>
      </c>
      <c r="O2627" s="31" t="str">
        <f aca="false">IF(H2627="","Open",IF(H2627&lt;=INDEX(Assumptions!$C$15:$C$18,MATCH(E2627,Assumptions!$A$15:$A$18,0)),"Yes","No"))</f>
        <v>Yes</v>
      </c>
    </row>
    <row r="2628" customFormat="false" ht="15" hidden="false" customHeight="false" outlineLevel="0" collapsed="false">
      <c r="A2628" s="31" t="s">
        <v>2778</v>
      </c>
      <c r="B2628" s="44" t="n">
        <v>46240</v>
      </c>
      <c r="C2628" s="31" t="s">
        <v>59</v>
      </c>
      <c r="D2628" s="31" t="s">
        <v>67</v>
      </c>
      <c r="E2628" s="31" t="s">
        <v>51</v>
      </c>
      <c r="F2628" s="31" t="s">
        <v>133</v>
      </c>
      <c r="G2628" s="31" t="n">
        <v>88</v>
      </c>
      <c r="H2628" s="41" t="n">
        <v>12.8</v>
      </c>
      <c r="I2628" s="31" t="s">
        <v>149</v>
      </c>
      <c r="J2628" s="31" t="n">
        <v>5</v>
      </c>
      <c r="K2628" s="31" t="s">
        <v>150</v>
      </c>
      <c r="L2628" s="45" t="n">
        <f aca="false">DATE(YEAR(B2628),MONTH(B2628),1)</f>
        <v>46235</v>
      </c>
      <c r="M2628" s="31" t="n">
        <f aca="false">WEEKDAY(B2628,2)</f>
        <v>4</v>
      </c>
      <c r="N2628" s="31" t="str">
        <f aca="false">IF(G2628&lt;=INDEX(Assumptions!$B$15:$B$18,MATCH(E2628,Assumptions!$A$15:$A$18,0)),"Yes","No")</f>
        <v>No</v>
      </c>
      <c r="O2628" s="31" t="str">
        <f aca="false">IF(H2628="","Open",IF(H2628&lt;=INDEX(Assumptions!$C$15:$C$18,MATCH(E2628,Assumptions!$A$15:$A$18,0)),"Yes","No"))</f>
        <v>Yes</v>
      </c>
    </row>
    <row r="2629" customFormat="false" ht="15" hidden="false" customHeight="false" outlineLevel="0" collapsed="false">
      <c r="A2629" s="31" t="s">
        <v>2779</v>
      </c>
      <c r="B2629" s="44" t="n">
        <v>46240</v>
      </c>
      <c r="C2629" s="31" t="s">
        <v>58</v>
      </c>
      <c r="D2629" s="31" t="s">
        <v>69</v>
      </c>
      <c r="E2629" s="31" t="s">
        <v>51</v>
      </c>
      <c r="F2629" s="31" t="s">
        <v>134</v>
      </c>
      <c r="G2629" s="31" t="n">
        <v>11</v>
      </c>
      <c r="H2629" s="41" t="n">
        <v>27.4</v>
      </c>
      <c r="I2629" s="31" t="s">
        <v>149</v>
      </c>
      <c r="J2629" s="31"/>
      <c r="K2629" s="31" t="s">
        <v>150</v>
      </c>
      <c r="L2629" s="45" t="n">
        <f aca="false">DATE(YEAR(B2629),MONTH(B2629),1)</f>
        <v>46235</v>
      </c>
      <c r="M2629" s="31" t="n">
        <f aca="false">WEEKDAY(B2629,2)</f>
        <v>4</v>
      </c>
      <c r="N2629" s="31" t="str">
        <f aca="false">IF(G2629&lt;=INDEX(Assumptions!$B$15:$B$18,MATCH(E2629,Assumptions!$A$15:$A$18,0)),"Yes","No")</f>
        <v>Yes</v>
      </c>
      <c r="O2629" s="31" t="str">
        <f aca="false">IF(H2629="","Open",IF(H2629&lt;=INDEX(Assumptions!$C$15:$C$18,MATCH(E2629,Assumptions!$A$15:$A$18,0)),"Yes","No"))</f>
        <v>No</v>
      </c>
    </row>
    <row r="2630" customFormat="false" ht="15" hidden="false" customHeight="false" outlineLevel="0" collapsed="false">
      <c r="A2630" s="31" t="s">
        <v>2780</v>
      </c>
      <c r="B2630" s="44" t="n">
        <v>46240</v>
      </c>
      <c r="C2630" s="31" t="s">
        <v>57</v>
      </c>
      <c r="D2630" s="31" t="s">
        <v>67</v>
      </c>
      <c r="E2630" s="31" t="s">
        <v>50</v>
      </c>
      <c r="F2630" s="31" t="s">
        <v>133</v>
      </c>
      <c r="G2630" s="31" t="n">
        <v>2</v>
      </c>
      <c r="H2630" s="41" t="n">
        <v>1.3</v>
      </c>
      <c r="I2630" s="31" t="s">
        <v>149</v>
      </c>
      <c r="J2630" s="31" t="n">
        <v>3</v>
      </c>
      <c r="K2630" s="31" t="s">
        <v>150</v>
      </c>
      <c r="L2630" s="45" t="n">
        <f aca="false">DATE(YEAR(B2630),MONTH(B2630),1)</f>
        <v>46235</v>
      </c>
      <c r="M2630" s="31" t="n">
        <f aca="false">WEEKDAY(B2630,2)</f>
        <v>4</v>
      </c>
      <c r="N2630" s="31" t="str">
        <f aca="false">IF(G2630&lt;=INDEX(Assumptions!$B$15:$B$18,MATCH(E2630,Assumptions!$A$15:$A$18,0)),"Yes","No")</f>
        <v>Yes</v>
      </c>
      <c r="O2630" s="31" t="str">
        <f aca="false">IF(H2630="","Open",IF(H2630&lt;=INDEX(Assumptions!$C$15:$C$18,MATCH(E2630,Assumptions!$A$15:$A$18,0)),"Yes","No"))</f>
        <v>Yes</v>
      </c>
    </row>
    <row r="2631" customFormat="false" ht="15" hidden="false" customHeight="false" outlineLevel="0" collapsed="false">
      <c r="A2631" s="31" t="s">
        <v>2781</v>
      </c>
      <c r="B2631" s="44" t="n">
        <v>46240</v>
      </c>
      <c r="C2631" s="31" t="s">
        <v>60</v>
      </c>
      <c r="D2631" s="31" t="s">
        <v>65</v>
      </c>
      <c r="E2631" s="31" t="s">
        <v>51</v>
      </c>
      <c r="F2631" s="31" t="s">
        <v>130</v>
      </c>
      <c r="G2631" s="31" t="n">
        <v>2</v>
      </c>
      <c r="H2631" s="41" t="n">
        <v>16.9</v>
      </c>
      <c r="I2631" s="31" t="s">
        <v>149</v>
      </c>
      <c r="J2631" s="31" t="n">
        <v>5</v>
      </c>
      <c r="K2631" s="31" t="s">
        <v>150</v>
      </c>
      <c r="L2631" s="45" t="n">
        <f aca="false">DATE(YEAR(B2631),MONTH(B2631),1)</f>
        <v>46235</v>
      </c>
      <c r="M2631" s="31" t="n">
        <f aca="false">WEEKDAY(B2631,2)</f>
        <v>4</v>
      </c>
      <c r="N2631" s="31" t="str">
        <f aca="false">IF(G2631&lt;=INDEX(Assumptions!$B$15:$B$18,MATCH(E2631,Assumptions!$A$15:$A$18,0)),"Yes","No")</f>
        <v>Yes</v>
      </c>
      <c r="O2631" s="31" t="str">
        <f aca="false">IF(H2631="","Open",IF(H2631&lt;=INDEX(Assumptions!$C$15:$C$18,MATCH(E2631,Assumptions!$A$15:$A$18,0)),"Yes","No"))</f>
        <v>Yes</v>
      </c>
    </row>
    <row r="2632" customFormat="false" ht="15" hidden="false" customHeight="false" outlineLevel="0" collapsed="false">
      <c r="A2632" s="31" t="s">
        <v>2782</v>
      </c>
      <c r="B2632" s="44" t="n">
        <v>46240</v>
      </c>
      <c r="C2632" s="31" t="s">
        <v>57</v>
      </c>
      <c r="D2632" s="31" t="s">
        <v>65</v>
      </c>
      <c r="E2632" s="31" t="s">
        <v>51</v>
      </c>
      <c r="F2632" s="31" t="s">
        <v>136</v>
      </c>
      <c r="G2632" s="31" t="n">
        <v>18</v>
      </c>
      <c r="H2632" s="41" t="n">
        <v>11.4</v>
      </c>
      <c r="I2632" s="31" t="s">
        <v>149</v>
      </c>
      <c r="J2632" s="31"/>
      <c r="K2632" s="31" t="s">
        <v>150</v>
      </c>
      <c r="L2632" s="45" t="n">
        <f aca="false">DATE(YEAR(B2632),MONTH(B2632),1)</f>
        <v>46235</v>
      </c>
      <c r="M2632" s="31" t="n">
        <f aca="false">WEEKDAY(B2632,2)</f>
        <v>4</v>
      </c>
      <c r="N2632" s="31" t="str">
        <f aca="false">IF(G2632&lt;=INDEX(Assumptions!$B$15:$B$18,MATCH(E2632,Assumptions!$A$15:$A$18,0)),"Yes","No")</f>
        <v>Yes</v>
      </c>
      <c r="O2632" s="31" t="str">
        <f aca="false">IF(H2632="","Open",IF(H2632&lt;=INDEX(Assumptions!$C$15:$C$18,MATCH(E2632,Assumptions!$A$15:$A$18,0)),"Yes","No"))</f>
        <v>Yes</v>
      </c>
    </row>
    <row r="2633" customFormat="false" ht="15" hidden="false" customHeight="false" outlineLevel="0" collapsed="false">
      <c r="A2633" s="31" t="s">
        <v>2783</v>
      </c>
      <c r="B2633" s="44" t="n">
        <v>46240</v>
      </c>
      <c r="C2633" s="31" t="s">
        <v>59</v>
      </c>
      <c r="D2633" s="31" t="s">
        <v>65</v>
      </c>
      <c r="E2633" s="31" t="s">
        <v>52</v>
      </c>
      <c r="F2633" s="31" t="s">
        <v>135</v>
      </c>
      <c r="G2633" s="31" t="n">
        <v>93</v>
      </c>
      <c r="H2633" s="41" t="n">
        <v>28.2</v>
      </c>
      <c r="I2633" s="31" t="s">
        <v>149</v>
      </c>
      <c r="J2633" s="31" t="n">
        <v>4</v>
      </c>
      <c r="K2633" s="31" t="s">
        <v>150</v>
      </c>
      <c r="L2633" s="45" t="n">
        <f aca="false">DATE(YEAR(B2633),MONTH(B2633),1)</f>
        <v>46235</v>
      </c>
      <c r="M2633" s="31" t="n">
        <f aca="false">WEEKDAY(B2633,2)</f>
        <v>4</v>
      </c>
      <c r="N2633" s="31" t="str">
        <f aca="false">IF(G2633&lt;=INDEX(Assumptions!$B$15:$B$18,MATCH(E2633,Assumptions!$A$15:$A$18,0)),"Yes","No")</f>
        <v>Yes</v>
      </c>
      <c r="O2633" s="31" t="str">
        <f aca="false">IF(H2633="","Open",IF(H2633&lt;=INDEX(Assumptions!$C$15:$C$18,MATCH(E2633,Assumptions!$A$15:$A$18,0)),"Yes","No"))</f>
        <v>Yes</v>
      </c>
    </row>
    <row r="2634" customFormat="false" ht="15" hidden="false" customHeight="false" outlineLevel="0" collapsed="false">
      <c r="A2634" s="31" t="s">
        <v>2784</v>
      </c>
      <c r="B2634" s="44" t="n">
        <v>46240</v>
      </c>
      <c r="C2634" s="31" t="s">
        <v>57</v>
      </c>
      <c r="D2634" s="31" t="s">
        <v>67</v>
      </c>
      <c r="E2634" s="31" t="s">
        <v>49</v>
      </c>
      <c r="F2634" s="31" t="s">
        <v>137</v>
      </c>
      <c r="G2634" s="31" t="n">
        <v>3</v>
      </c>
      <c r="H2634" s="41" t="n">
        <v>1.4</v>
      </c>
      <c r="I2634" s="31" t="s">
        <v>149</v>
      </c>
      <c r="J2634" s="31" t="n">
        <v>3</v>
      </c>
      <c r="K2634" s="31" t="s">
        <v>150</v>
      </c>
      <c r="L2634" s="45" t="n">
        <f aca="false">DATE(YEAR(B2634),MONTH(B2634),1)</f>
        <v>46235</v>
      </c>
      <c r="M2634" s="31" t="n">
        <f aca="false">WEEKDAY(B2634,2)</f>
        <v>4</v>
      </c>
      <c r="N2634" s="31" t="str">
        <f aca="false">IF(G2634&lt;=INDEX(Assumptions!$B$15:$B$18,MATCH(E2634,Assumptions!$A$15:$A$18,0)),"Yes","No")</f>
        <v>Yes</v>
      </c>
      <c r="O2634" s="31" t="str">
        <f aca="false">IF(H2634="","Open",IF(H2634&lt;=INDEX(Assumptions!$C$15:$C$18,MATCH(E2634,Assumptions!$A$15:$A$18,0)),"Yes","No"))</f>
        <v>Yes</v>
      </c>
    </row>
    <row r="2635" customFormat="false" ht="15" hidden="false" customHeight="false" outlineLevel="0" collapsed="false">
      <c r="A2635" s="31" t="s">
        <v>2785</v>
      </c>
      <c r="B2635" s="44" t="n">
        <v>46240</v>
      </c>
      <c r="C2635" s="31" t="s">
        <v>58</v>
      </c>
      <c r="D2635" s="31" t="s">
        <v>66</v>
      </c>
      <c r="E2635" s="31" t="s">
        <v>52</v>
      </c>
      <c r="F2635" s="31" t="s">
        <v>126</v>
      </c>
      <c r="G2635" s="31" t="n">
        <v>4</v>
      </c>
      <c r="H2635" s="41" t="n">
        <v>5.1</v>
      </c>
      <c r="I2635" s="31" t="s">
        <v>149</v>
      </c>
      <c r="J2635" s="31" t="n">
        <v>4</v>
      </c>
      <c r="K2635" s="31" t="s">
        <v>150</v>
      </c>
      <c r="L2635" s="45" t="n">
        <f aca="false">DATE(YEAR(B2635),MONTH(B2635),1)</f>
        <v>46235</v>
      </c>
      <c r="M2635" s="31" t="n">
        <f aca="false">WEEKDAY(B2635,2)</f>
        <v>4</v>
      </c>
      <c r="N2635" s="31" t="str">
        <f aca="false">IF(G2635&lt;=INDEX(Assumptions!$B$15:$B$18,MATCH(E2635,Assumptions!$A$15:$A$18,0)),"Yes","No")</f>
        <v>Yes</v>
      </c>
      <c r="O2635" s="31" t="str">
        <f aca="false">IF(H2635="","Open",IF(H2635&lt;=INDEX(Assumptions!$C$15:$C$18,MATCH(E2635,Assumptions!$A$15:$A$18,0)),"Yes","No"))</f>
        <v>Yes</v>
      </c>
    </row>
    <row r="2636" customFormat="false" ht="15" hidden="false" customHeight="false" outlineLevel="0" collapsed="false">
      <c r="A2636" s="31" t="s">
        <v>2786</v>
      </c>
      <c r="B2636" s="44" t="n">
        <v>46240</v>
      </c>
      <c r="C2636" s="31" t="s">
        <v>58</v>
      </c>
      <c r="D2636" s="31" t="s">
        <v>65</v>
      </c>
      <c r="E2636" s="31" t="s">
        <v>51</v>
      </c>
      <c r="F2636" s="31" t="s">
        <v>136</v>
      </c>
      <c r="G2636" s="31" t="n">
        <v>15</v>
      </c>
      <c r="H2636" s="41" t="n">
        <v>2.4</v>
      </c>
      <c r="I2636" s="31" t="s">
        <v>149</v>
      </c>
      <c r="J2636" s="31"/>
      <c r="K2636" s="31" t="s">
        <v>150</v>
      </c>
      <c r="L2636" s="45" t="n">
        <f aca="false">DATE(YEAR(B2636),MONTH(B2636),1)</f>
        <v>46235</v>
      </c>
      <c r="M2636" s="31" t="n">
        <f aca="false">WEEKDAY(B2636,2)</f>
        <v>4</v>
      </c>
      <c r="N2636" s="31" t="str">
        <f aca="false">IF(G2636&lt;=INDEX(Assumptions!$B$15:$B$18,MATCH(E2636,Assumptions!$A$15:$A$18,0)),"Yes","No")</f>
        <v>Yes</v>
      </c>
      <c r="O2636" s="31" t="str">
        <f aca="false">IF(H2636="","Open",IF(H2636&lt;=INDEX(Assumptions!$C$15:$C$18,MATCH(E2636,Assumptions!$A$15:$A$18,0)),"Yes","No"))</f>
        <v>Yes</v>
      </c>
    </row>
    <row r="2637" customFormat="false" ht="15" hidden="false" customHeight="false" outlineLevel="0" collapsed="false">
      <c r="A2637" s="31" t="s">
        <v>2787</v>
      </c>
      <c r="B2637" s="44" t="n">
        <v>46240</v>
      </c>
      <c r="C2637" s="31" t="s">
        <v>57</v>
      </c>
      <c r="D2637" s="31" t="s">
        <v>68</v>
      </c>
      <c r="E2637" s="31" t="s">
        <v>51</v>
      </c>
      <c r="F2637" s="31" t="s">
        <v>133</v>
      </c>
      <c r="G2637" s="31" t="n">
        <v>3</v>
      </c>
      <c r="H2637" s="41" t="n">
        <v>5.8</v>
      </c>
      <c r="I2637" s="31" t="s">
        <v>149</v>
      </c>
      <c r="J2637" s="31" t="n">
        <v>3</v>
      </c>
      <c r="K2637" s="31" t="s">
        <v>150</v>
      </c>
      <c r="L2637" s="45" t="n">
        <f aca="false">DATE(YEAR(B2637),MONTH(B2637),1)</f>
        <v>46235</v>
      </c>
      <c r="M2637" s="31" t="n">
        <f aca="false">WEEKDAY(B2637,2)</f>
        <v>4</v>
      </c>
      <c r="N2637" s="31" t="str">
        <f aca="false">IF(G2637&lt;=INDEX(Assumptions!$B$15:$B$18,MATCH(E2637,Assumptions!$A$15:$A$18,0)),"Yes","No")</f>
        <v>Yes</v>
      </c>
      <c r="O2637" s="31" t="str">
        <f aca="false">IF(H2637="","Open",IF(H2637&lt;=INDEX(Assumptions!$C$15:$C$18,MATCH(E2637,Assumptions!$A$15:$A$18,0)),"Yes","No"))</f>
        <v>Yes</v>
      </c>
    </row>
    <row r="2638" customFormat="false" ht="15" hidden="false" customHeight="false" outlineLevel="0" collapsed="false">
      <c r="A2638" s="31" t="s">
        <v>2788</v>
      </c>
      <c r="B2638" s="44" t="n">
        <v>46240</v>
      </c>
      <c r="C2638" s="31" t="s">
        <v>58</v>
      </c>
      <c r="D2638" s="31" t="s">
        <v>65</v>
      </c>
      <c r="E2638" s="31" t="s">
        <v>51</v>
      </c>
      <c r="F2638" s="31" t="s">
        <v>122</v>
      </c>
      <c r="G2638" s="31" t="n">
        <v>5</v>
      </c>
      <c r="H2638" s="41" t="n">
        <v>7.9</v>
      </c>
      <c r="I2638" s="31" t="s">
        <v>149</v>
      </c>
      <c r="J2638" s="31" t="n">
        <v>4</v>
      </c>
      <c r="K2638" s="31" t="s">
        <v>150</v>
      </c>
      <c r="L2638" s="45" t="n">
        <f aca="false">DATE(YEAR(B2638),MONTH(B2638),1)</f>
        <v>46235</v>
      </c>
      <c r="M2638" s="31" t="n">
        <f aca="false">WEEKDAY(B2638,2)</f>
        <v>4</v>
      </c>
      <c r="N2638" s="31" t="str">
        <f aca="false">IF(G2638&lt;=INDEX(Assumptions!$B$15:$B$18,MATCH(E2638,Assumptions!$A$15:$A$18,0)),"Yes","No")</f>
        <v>Yes</v>
      </c>
      <c r="O2638" s="31" t="str">
        <f aca="false">IF(H2638="","Open",IF(H2638&lt;=INDEX(Assumptions!$C$15:$C$18,MATCH(E2638,Assumptions!$A$15:$A$18,0)),"Yes","No"))</f>
        <v>Yes</v>
      </c>
    </row>
    <row r="2639" customFormat="false" ht="15" hidden="false" customHeight="false" outlineLevel="0" collapsed="false">
      <c r="A2639" s="31" t="s">
        <v>2789</v>
      </c>
      <c r="B2639" s="44" t="n">
        <v>46240</v>
      </c>
      <c r="C2639" s="31" t="s">
        <v>57</v>
      </c>
      <c r="D2639" s="31" t="s">
        <v>65</v>
      </c>
      <c r="E2639" s="31" t="s">
        <v>51</v>
      </c>
      <c r="F2639" s="31" t="s">
        <v>131</v>
      </c>
      <c r="G2639" s="31" t="n">
        <v>2</v>
      </c>
      <c r="H2639" s="41" t="n">
        <v>7.8</v>
      </c>
      <c r="I2639" s="31" t="s">
        <v>149</v>
      </c>
      <c r="J2639" s="31"/>
      <c r="K2639" s="31" t="s">
        <v>150</v>
      </c>
      <c r="L2639" s="45" t="n">
        <f aca="false">DATE(YEAR(B2639),MONTH(B2639),1)</f>
        <v>46235</v>
      </c>
      <c r="M2639" s="31" t="n">
        <f aca="false">WEEKDAY(B2639,2)</f>
        <v>4</v>
      </c>
      <c r="N2639" s="31" t="str">
        <f aca="false">IF(G2639&lt;=INDEX(Assumptions!$B$15:$B$18,MATCH(E2639,Assumptions!$A$15:$A$18,0)),"Yes","No")</f>
        <v>Yes</v>
      </c>
      <c r="O2639" s="31" t="str">
        <f aca="false">IF(H2639="","Open",IF(H2639&lt;=INDEX(Assumptions!$C$15:$C$18,MATCH(E2639,Assumptions!$A$15:$A$18,0)),"Yes","No"))</f>
        <v>Yes</v>
      </c>
    </row>
    <row r="2640" customFormat="false" ht="15" hidden="false" customHeight="false" outlineLevel="0" collapsed="false">
      <c r="A2640" s="31" t="s">
        <v>2790</v>
      </c>
      <c r="B2640" s="44" t="n">
        <v>46240</v>
      </c>
      <c r="C2640" s="31" t="s">
        <v>57</v>
      </c>
      <c r="D2640" s="31" t="s">
        <v>69</v>
      </c>
      <c r="E2640" s="31" t="s">
        <v>50</v>
      </c>
      <c r="F2640" s="31" t="s">
        <v>123</v>
      </c>
      <c r="G2640" s="31" t="n">
        <v>4</v>
      </c>
      <c r="H2640" s="41" t="n">
        <v>8.8</v>
      </c>
      <c r="I2640" s="31" t="s">
        <v>149</v>
      </c>
      <c r="J2640" s="31" t="n">
        <v>2</v>
      </c>
      <c r="K2640" s="31" t="s">
        <v>150</v>
      </c>
      <c r="L2640" s="45" t="n">
        <f aca="false">DATE(YEAR(B2640),MONTH(B2640),1)</f>
        <v>46235</v>
      </c>
      <c r="M2640" s="31" t="n">
        <f aca="false">WEEKDAY(B2640,2)</f>
        <v>4</v>
      </c>
      <c r="N2640" s="31" t="str">
        <f aca="false">IF(G2640&lt;=INDEX(Assumptions!$B$15:$B$18,MATCH(E2640,Assumptions!$A$15:$A$18,0)),"Yes","No")</f>
        <v>Yes</v>
      </c>
      <c r="O2640" s="31" t="str">
        <f aca="false">IF(H2640="","Open",IF(H2640&lt;=INDEX(Assumptions!$C$15:$C$18,MATCH(E2640,Assumptions!$A$15:$A$18,0)),"Yes","No"))</f>
        <v>No</v>
      </c>
    </row>
    <row r="2641" customFormat="false" ht="15" hidden="false" customHeight="false" outlineLevel="0" collapsed="false">
      <c r="A2641" s="31" t="s">
        <v>2791</v>
      </c>
      <c r="B2641" s="44" t="n">
        <v>46240</v>
      </c>
      <c r="C2641" s="31" t="s">
        <v>60</v>
      </c>
      <c r="D2641" s="31" t="s">
        <v>68</v>
      </c>
      <c r="E2641" s="31" t="s">
        <v>52</v>
      </c>
      <c r="F2641" s="31" t="s">
        <v>131</v>
      </c>
      <c r="G2641" s="31" t="n">
        <v>5</v>
      </c>
      <c r="H2641" s="41" t="n">
        <v>4.3</v>
      </c>
      <c r="I2641" s="31" t="s">
        <v>149</v>
      </c>
      <c r="J2641" s="31" t="n">
        <v>4</v>
      </c>
      <c r="K2641" s="31" t="s">
        <v>150</v>
      </c>
      <c r="L2641" s="45" t="n">
        <f aca="false">DATE(YEAR(B2641),MONTH(B2641),1)</f>
        <v>46235</v>
      </c>
      <c r="M2641" s="31" t="n">
        <f aca="false">WEEKDAY(B2641,2)</f>
        <v>4</v>
      </c>
      <c r="N2641" s="31" t="str">
        <f aca="false">IF(G2641&lt;=INDEX(Assumptions!$B$15:$B$18,MATCH(E2641,Assumptions!$A$15:$A$18,0)),"Yes","No")</f>
        <v>Yes</v>
      </c>
      <c r="O2641" s="31" t="str">
        <f aca="false">IF(H2641="","Open",IF(H2641&lt;=INDEX(Assumptions!$C$15:$C$18,MATCH(E2641,Assumptions!$A$15:$A$18,0)),"Yes","No"))</f>
        <v>Yes</v>
      </c>
    </row>
    <row r="2642" customFormat="false" ht="15" hidden="false" customHeight="false" outlineLevel="0" collapsed="false">
      <c r="A2642" s="31" t="s">
        <v>2792</v>
      </c>
      <c r="B2642" s="44" t="n">
        <v>46240</v>
      </c>
      <c r="C2642" s="31" t="s">
        <v>58</v>
      </c>
      <c r="D2642" s="31" t="s">
        <v>65</v>
      </c>
      <c r="E2642" s="31" t="s">
        <v>51</v>
      </c>
      <c r="F2642" s="31" t="s">
        <v>126</v>
      </c>
      <c r="G2642" s="31" t="n">
        <v>27</v>
      </c>
      <c r="H2642" s="41" t="n">
        <v>18.6</v>
      </c>
      <c r="I2642" s="31" t="s">
        <v>149</v>
      </c>
      <c r="J2642" s="31"/>
      <c r="K2642" s="31" t="s">
        <v>150</v>
      </c>
      <c r="L2642" s="45" t="n">
        <f aca="false">DATE(YEAR(B2642),MONTH(B2642),1)</f>
        <v>46235</v>
      </c>
      <c r="M2642" s="31" t="n">
        <f aca="false">WEEKDAY(B2642,2)</f>
        <v>4</v>
      </c>
      <c r="N2642" s="31" t="str">
        <f aca="false">IF(G2642&lt;=INDEX(Assumptions!$B$15:$B$18,MATCH(E2642,Assumptions!$A$15:$A$18,0)),"Yes","No")</f>
        <v>Yes</v>
      </c>
      <c r="O2642" s="31" t="str">
        <f aca="false">IF(H2642="","Open",IF(H2642&lt;=INDEX(Assumptions!$C$15:$C$18,MATCH(E2642,Assumptions!$A$15:$A$18,0)),"Yes","No"))</f>
        <v>Yes</v>
      </c>
    </row>
    <row r="2643" customFormat="false" ht="15" hidden="false" customHeight="false" outlineLevel="0" collapsed="false">
      <c r="A2643" s="31" t="s">
        <v>2793</v>
      </c>
      <c r="B2643" s="44" t="n">
        <v>46240</v>
      </c>
      <c r="C2643" s="31" t="s">
        <v>58</v>
      </c>
      <c r="D2643" s="31" t="s">
        <v>69</v>
      </c>
      <c r="E2643" s="31" t="s">
        <v>52</v>
      </c>
      <c r="F2643" s="31" t="s">
        <v>136</v>
      </c>
      <c r="G2643" s="31" t="n">
        <v>24</v>
      </c>
      <c r="H2643" s="41" t="n">
        <v>16.2</v>
      </c>
      <c r="I2643" s="31" t="s">
        <v>149</v>
      </c>
      <c r="J2643" s="31" t="n">
        <v>5</v>
      </c>
      <c r="K2643" s="31" t="s">
        <v>153</v>
      </c>
      <c r="L2643" s="45" t="n">
        <f aca="false">DATE(YEAR(B2643),MONTH(B2643),1)</f>
        <v>46235</v>
      </c>
      <c r="M2643" s="31" t="n">
        <f aca="false">WEEKDAY(B2643,2)</f>
        <v>4</v>
      </c>
      <c r="N2643" s="31" t="str">
        <f aca="false">IF(G2643&lt;=INDEX(Assumptions!$B$15:$B$18,MATCH(E2643,Assumptions!$A$15:$A$18,0)),"Yes","No")</f>
        <v>Yes</v>
      </c>
      <c r="O2643" s="31" t="str">
        <f aca="false">IF(H2643="","Open",IF(H2643&lt;=INDEX(Assumptions!$C$15:$C$18,MATCH(E2643,Assumptions!$A$15:$A$18,0)),"Yes","No"))</f>
        <v>Yes</v>
      </c>
    </row>
    <row r="2644" customFormat="false" ht="15" hidden="false" customHeight="false" outlineLevel="0" collapsed="false">
      <c r="A2644" s="31" t="s">
        <v>2794</v>
      </c>
      <c r="B2644" s="44" t="n">
        <v>46240</v>
      </c>
      <c r="C2644" s="31" t="s">
        <v>58</v>
      </c>
      <c r="D2644" s="31" t="s">
        <v>67</v>
      </c>
      <c r="E2644" s="31" t="s">
        <v>51</v>
      </c>
      <c r="F2644" s="31" t="s">
        <v>120</v>
      </c>
      <c r="G2644" s="31" t="n">
        <v>19</v>
      </c>
      <c r="H2644" s="41" t="n">
        <v>34.1</v>
      </c>
      <c r="I2644" s="31" t="s">
        <v>149</v>
      </c>
      <c r="J2644" s="31"/>
      <c r="K2644" s="31" t="s">
        <v>150</v>
      </c>
      <c r="L2644" s="45" t="n">
        <f aca="false">DATE(YEAR(B2644),MONTH(B2644),1)</f>
        <v>46235</v>
      </c>
      <c r="M2644" s="31" t="n">
        <f aca="false">WEEKDAY(B2644,2)</f>
        <v>4</v>
      </c>
      <c r="N2644" s="31" t="str">
        <f aca="false">IF(G2644&lt;=INDEX(Assumptions!$B$15:$B$18,MATCH(E2644,Assumptions!$A$15:$A$18,0)),"Yes","No")</f>
        <v>Yes</v>
      </c>
      <c r="O2644" s="31" t="str">
        <f aca="false">IF(H2644="","Open",IF(H2644&lt;=INDEX(Assumptions!$C$15:$C$18,MATCH(E2644,Assumptions!$A$15:$A$18,0)),"Yes","No"))</f>
        <v>No</v>
      </c>
    </row>
    <row r="2645" customFormat="false" ht="15" hidden="false" customHeight="false" outlineLevel="0" collapsed="false">
      <c r="A2645" s="31" t="s">
        <v>2795</v>
      </c>
      <c r="B2645" s="44" t="n">
        <v>46240</v>
      </c>
      <c r="C2645" s="31" t="s">
        <v>57</v>
      </c>
      <c r="D2645" s="31" t="s">
        <v>68</v>
      </c>
      <c r="E2645" s="31" t="s">
        <v>52</v>
      </c>
      <c r="F2645" s="31" t="s">
        <v>123</v>
      </c>
      <c r="G2645" s="31" t="n">
        <v>16</v>
      </c>
      <c r="H2645" s="41" t="n">
        <v>1.9</v>
      </c>
      <c r="I2645" s="31" t="s">
        <v>149</v>
      </c>
      <c r="J2645" s="31" t="n">
        <v>5</v>
      </c>
      <c r="K2645" s="31" t="s">
        <v>150</v>
      </c>
      <c r="L2645" s="45" t="n">
        <f aca="false">DATE(YEAR(B2645),MONTH(B2645),1)</f>
        <v>46235</v>
      </c>
      <c r="M2645" s="31" t="n">
        <f aca="false">WEEKDAY(B2645,2)</f>
        <v>4</v>
      </c>
      <c r="N2645" s="31" t="str">
        <f aca="false">IF(G2645&lt;=INDEX(Assumptions!$B$15:$B$18,MATCH(E2645,Assumptions!$A$15:$A$18,0)),"Yes","No")</f>
        <v>Yes</v>
      </c>
      <c r="O2645" s="31" t="str">
        <f aca="false">IF(H2645="","Open",IF(H2645&lt;=INDEX(Assumptions!$C$15:$C$18,MATCH(E2645,Assumptions!$A$15:$A$18,0)),"Yes","No"))</f>
        <v>Yes</v>
      </c>
    </row>
    <row r="2646" customFormat="false" ht="15" hidden="false" customHeight="false" outlineLevel="0" collapsed="false">
      <c r="A2646" s="31" t="s">
        <v>2796</v>
      </c>
      <c r="B2646" s="44" t="n">
        <v>46240</v>
      </c>
      <c r="C2646" s="31" t="s">
        <v>58</v>
      </c>
      <c r="D2646" s="31" t="s">
        <v>65</v>
      </c>
      <c r="E2646" s="31" t="s">
        <v>51</v>
      </c>
      <c r="F2646" s="31" t="s">
        <v>123</v>
      </c>
      <c r="G2646" s="31" t="n">
        <v>5</v>
      </c>
      <c r="H2646" s="41" t="n">
        <v>7.1</v>
      </c>
      <c r="I2646" s="31" t="s">
        <v>149</v>
      </c>
      <c r="J2646" s="31" t="n">
        <v>4</v>
      </c>
      <c r="K2646" s="31" t="s">
        <v>150</v>
      </c>
      <c r="L2646" s="45" t="n">
        <f aca="false">DATE(YEAR(B2646),MONTH(B2646),1)</f>
        <v>46235</v>
      </c>
      <c r="M2646" s="31" t="n">
        <f aca="false">WEEKDAY(B2646,2)</f>
        <v>4</v>
      </c>
      <c r="N2646" s="31" t="str">
        <f aca="false">IF(G2646&lt;=INDEX(Assumptions!$B$15:$B$18,MATCH(E2646,Assumptions!$A$15:$A$18,0)),"Yes","No")</f>
        <v>Yes</v>
      </c>
      <c r="O2646" s="31" t="str">
        <f aca="false">IF(H2646="","Open",IF(H2646&lt;=INDEX(Assumptions!$C$15:$C$18,MATCH(E2646,Assumptions!$A$15:$A$18,0)),"Yes","No"))</f>
        <v>Yes</v>
      </c>
    </row>
    <row r="2647" customFormat="false" ht="15" hidden="false" customHeight="false" outlineLevel="0" collapsed="false">
      <c r="A2647" s="31" t="s">
        <v>2797</v>
      </c>
      <c r="B2647" s="44" t="n">
        <v>46240</v>
      </c>
      <c r="C2647" s="31" t="s">
        <v>58</v>
      </c>
      <c r="D2647" s="31" t="s">
        <v>68</v>
      </c>
      <c r="E2647" s="31" t="s">
        <v>50</v>
      </c>
      <c r="F2647" s="31" t="s">
        <v>130</v>
      </c>
      <c r="G2647" s="31" t="n">
        <v>6</v>
      </c>
      <c r="H2647" s="41" t="n">
        <v>3.9</v>
      </c>
      <c r="I2647" s="31" t="s">
        <v>149</v>
      </c>
      <c r="J2647" s="31" t="n">
        <v>5</v>
      </c>
      <c r="K2647" s="31" t="s">
        <v>150</v>
      </c>
      <c r="L2647" s="45" t="n">
        <f aca="false">DATE(YEAR(B2647),MONTH(B2647),1)</f>
        <v>46235</v>
      </c>
      <c r="M2647" s="31" t="n">
        <f aca="false">WEEKDAY(B2647,2)</f>
        <v>4</v>
      </c>
      <c r="N2647" s="31" t="str">
        <f aca="false">IF(G2647&lt;=INDEX(Assumptions!$B$15:$B$18,MATCH(E2647,Assumptions!$A$15:$A$18,0)),"Yes","No")</f>
        <v>Yes</v>
      </c>
      <c r="O2647" s="31" t="str">
        <f aca="false">IF(H2647="","Open",IF(H2647&lt;=INDEX(Assumptions!$C$15:$C$18,MATCH(E2647,Assumptions!$A$15:$A$18,0)),"Yes","No"))</f>
        <v>Yes</v>
      </c>
    </row>
    <row r="2648" customFormat="false" ht="15" hidden="false" customHeight="false" outlineLevel="0" collapsed="false">
      <c r="A2648" s="31" t="s">
        <v>2798</v>
      </c>
      <c r="B2648" s="44" t="n">
        <v>46241</v>
      </c>
      <c r="C2648" s="31" t="s">
        <v>58</v>
      </c>
      <c r="D2648" s="31" t="s">
        <v>65</v>
      </c>
      <c r="E2648" s="31" t="s">
        <v>51</v>
      </c>
      <c r="F2648" s="31" t="s">
        <v>134</v>
      </c>
      <c r="G2648" s="31" t="n">
        <v>20</v>
      </c>
      <c r="H2648" s="41" t="n">
        <v>3.4</v>
      </c>
      <c r="I2648" s="31" t="s">
        <v>149</v>
      </c>
      <c r="J2648" s="31" t="n">
        <v>5</v>
      </c>
      <c r="K2648" s="31" t="s">
        <v>153</v>
      </c>
      <c r="L2648" s="45" t="n">
        <f aca="false">DATE(YEAR(B2648),MONTH(B2648),1)</f>
        <v>46235</v>
      </c>
      <c r="M2648" s="31" t="n">
        <f aca="false">WEEKDAY(B2648,2)</f>
        <v>5</v>
      </c>
      <c r="N2648" s="31" t="str">
        <f aca="false">IF(G2648&lt;=INDEX(Assumptions!$B$15:$B$18,MATCH(E2648,Assumptions!$A$15:$A$18,0)),"Yes","No")</f>
        <v>Yes</v>
      </c>
      <c r="O2648" s="31" t="str">
        <f aca="false">IF(H2648="","Open",IF(H2648&lt;=INDEX(Assumptions!$C$15:$C$18,MATCH(E2648,Assumptions!$A$15:$A$18,0)),"Yes","No"))</f>
        <v>Yes</v>
      </c>
    </row>
    <row r="2649" customFormat="false" ht="15" hidden="false" customHeight="false" outlineLevel="0" collapsed="false">
      <c r="A2649" s="31" t="s">
        <v>2799</v>
      </c>
      <c r="B2649" s="44" t="n">
        <v>46241</v>
      </c>
      <c r="C2649" s="31" t="s">
        <v>58</v>
      </c>
      <c r="D2649" s="31" t="s">
        <v>67</v>
      </c>
      <c r="E2649" s="31" t="s">
        <v>51</v>
      </c>
      <c r="F2649" s="31" t="s">
        <v>121</v>
      </c>
      <c r="G2649" s="31" t="n">
        <v>5</v>
      </c>
      <c r="H2649" s="41" t="n">
        <v>39.7</v>
      </c>
      <c r="I2649" s="31" t="s">
        <v>149</v>
      </c>
      <c r="J2649" s="31"/>
      <c r="K2649" s="31" t="s">
        <v>150</v>
      </c>
      <c r="L2649" s="45" t="n">
        <f aca="false">DATE(YEAR(B2649),MONTH(B2649),1)</f>
        <v>46235</v>
      </c>
      <c r="M2649" s="31" t="n">
        <f aca="false">WEEKDAY(B2649,2)</f>
        <v>5</v>
      </c>
      <c r="N2649" s="31" t="str">
        <f aca="false">IF(G2649&lt;=INDEX(Assumptions!$B$15:$B$18,MATCH(E2649,Assumptions!$A$15:$A$18,0)),"Yes","No")</f>
        <v>Yes</v>
      </c>
      <c r="O2649" s="31" t="str">
        <f aca="false">IF(H2649="","Open",IF(H2649&lt;=INDEX(Assumptions!$C$15:$C$18,MATCH(E2649,Assumptions!$A$15:$A$18,0)),"Yes","No"))</f>
        <v>No</v>
      </c>
    </row>
    <row r="2650" customFormat="false" ht="15" hidden="false" customHeight="false" outlineLevel="0" collapsed="false">
      <c r="A2650" s="31" t="s">
        <v>2800</v>
      </c>
      <c r="B2650" s="44" t="n">
        <v>46241</v>
      </c>
      <c r="C2650" s="31" t="s">
        <v>59</v>
      </c>
      <c r="D2650" s="31" t="s">
        <v>69</v>
      </c>
      <c r="E2650" s="31" t="s">
        <v>50</v>
      </c>
      <c r="F2650" s="31" t="s">
        <v>128</v>
      </c>
      <c r="G2650" s="31" t="n">
        <v>187</v>
      </c>
      <c r="H2650" s="41" t="n">
        <v>35.8</v>
      </c>
      <c r="I2650" s="31" t="s">
        <v>149</v>
      </c>
      <c r="J2650" s="31"/>
      <c r="K2650" s="31" t="s">
        <v>150</v>
      </c>
      <c r="L2650" s="45" t="n">
        <f aca="false">DATE(YEAR(B2650),MONTH(B2650),1)</f>
        <v>46235</v>
      </c>
      <c r="M2650" s="31" t="n">
        <f aca="false">WEEKDAY(B2650,2)</f>
        <v>5</v>
      </c>
      <c r="N2650" s="31" t="str">
        <f aca="false">IF(G2650&lt;=INDEX(Assumptions!$B$15:$B$18,MATCH(E2650,Assumptions!$A$15:$A$18,0)),"Yes","No")</f>
        <v>No</v>
      </c>
      <c r="O2650" s="31" t="str">
        <f aca="false">IF(H2650="","Open",IF(H2650&lt;=INDEX(Assumptions!$C$15:$C$18,MATCH(E2650,Assumptions!$A$15:$A$18,0)),"Yes","No"))</f>
        <v>No</v>
      </c>
    </row>
    <row r="2651" customFormat="false" ht="15" hidden="false" customHeight="false" outlineLevel="0" collapsed="false">
      <c r="A2651" s="31" t="s">
        <v>2801</v>
      </c>
      <c r="B2651" s="44" t="n">
        <v>46241</v>
      </c>
      <c r="C2651" s="31" t="s">
        <v>57</v>
      </c>
      <c r="D2651" s="31" t="s">
        <v>65</v>
      </c>
      <c r="E2651" s="31" t="s">
        <v>51</v>
      </c>
      <c r="F2651" s="31" t="s">
        <v>123</v>
      </c>
      <c r="G2651" s="31" t="n">
        <v>2</v>
      </c>
      <c r="H2651" s="41" t="n">
        <v>2.8</v>
      </c>
      <c r="I2651" s="31" t="s">
        <v>149</v>
      </c>
      <c r="J2651" s="31" t="n">
        <v>5</v>
      </c>
      <c r="K2651" s="31" t="s">
        <v>150</v>
      </c>
      <c r="L2651" s="45" t="n">
        <f aca="false">DATE(YEAR(B2651),MONTH(B2651),1)</f>
        <v>46235</v>
      </c>
      <c r="M2651" s="31" t="n">
        <f aca="false">WEEKDAY(B2651,2)</f>
        <v>5</v>
      </c>
      <c r="N2651" s="31" t="str">
        <f aca="false">IF(G2651&lt;=INDEX(Assumptions!$B$15:$B$18,MATCH(E2651,Assumptions!$A$15:$A$18,0)),"Yes","No")</f>
        <v>Yes</v>
      </c>
      <c r="O2651" s="31" t="str">
        <f aca="false">IF(H2651="","Open",IF(H2651&lt;=INDEX(Assumptions!$C$15:$C$18,MATCH(E2651,Assumptions!$A$15:$A$18,0)),"Yes","No"))</f>
        <v>Yes</v>
      </c>
    </row>
    <row r="2652" customFormat="false" ht="15" hidden="false" customHeight="false" outlineLevel="0" collapsed="false">
      <c r="A2652" s="31" t="s">
        <v>2802</v>
      </c>
      <c r="B2652" s="44" t="n">
        <v>46241</v>
      </c>
      <c r="C2652" s="31" t="s">
        <v>58</v>
      </c>
      <c r="D2652" s="31" t="s">
        <v>67</v>
      </c>
      <c r="E2652" s="31" t="s">
        <v>50</v>
      </c>
      <c r="F2652" s="31" t="s">
        <v>121</v>
      </c>
      <c r="G2652" s="31" t="n">
        <v>11</v>
      </c>
      <c r="H2652" s="41" t="n">
        <v>5.6</v>
      </c>
      <c r="I2652" s="31" t="s">
        <v>149</v>
      </c>
      <c r="J2652" s="31"/>
      <c r="K2652" s="31" t="s">
        <v>153</v>
      </c>
      <c r="L2652" s="45" t="n">
        <f aca="false">DATE(YEAR(B2652),MONTH(B2652),1)</f>
        <v>46235</v>
      </c>
      <c r="M2652" s="31" t="n">
        <f aca="false">WEEKDAY(B2652,2)</f>
        <v>5</v>
      </c>
      <c r="N2652" s="31" t="str">
        <f aca="false">IF(G2652&lt;=INDEX(Assumptions!$B$15:$B$18,MATCH(E2652,Assumptions!$A$15:$A$18,0)),"Yes","No")</f>
        <v>Yes</v>
      </c>
      <c r="O2652" s="31" t="str">
        <f aca="false">IF(H2652="","Open",IF(H2652&lt;=INDEX(Assumptions!$C$15:$C$18,MATCH(E2652,Assumptions!$A$15:$A$18,0)),"Yes","No"))</f>
        <v>Yes</v>
      </c>
    </row>
    <row r="2653" customFormat="false" ht="15" hidden="false" customHeight="false" outlineLevel="0" collapsed="false">
      <c r="A2653" s="31" t="s">
        <v>2803</v>
      </c>
      <c r="B2653" s="44" t="n">
        <v>46241</v>
      </c>
      <c r="C2653" s="31" t="s">
        <v>57</v>
      </c>
      <c r="D2653" s="31" t="s">
        <v>69</v>
      </c>
      <c r="E2653" s="31" t="s">
        <v>52</v>
      </c>
      <c r="F2653" s="31" t="s">
        <v>134</v>
      </c>
      <c r="G2653" s="31" t="n">
        <v>8</v>
      </c>
      <c r="H2653" s="41" t="n">
        <v>133.5</v>
      </c>
      <c r="I2653" s="31" t="s">
        <v>149</v>
      </c>
      <c r="J2653" s="31" t="n">
        <v>4</v>
      </c>
      <c r="K2653" s="31" t="s">
        <v>153</v>
      </c>
      <c r="L2653" s="45" t="n">
        <f aca="false">DATE(YEAR(B2653),MONTH(B2653),1)</f>
        <v>46235</v>
      </c>
      <c r="M2653" s="31" t="n">
        <f aca="false">WEEKDAY(B2653,2)</f>
        <v>5</v>
      </c>
      <c r="N2653" s="31" t="str">
        <f aca="false">IF(G2653&lt;=INDEX(Assumptions!$B$15:$B$18,MATCH(E2653,Assumptions!$A$15:$A$18,0)),"Yes","No")</f>
        <v>Yes</v>
      </c>
      <c r="O2653" s="31" t="str">
        <f aca="false">IF(H2653="","Open",IF(H2653&lt;=INDEX(Assumptions!$C$15:$C$18,MATCH(E2653,Assumptions!$A$15:$A$18,0)),"Yes","No"))</f>
        <v>No</v>
      </c>
    </row>
    <row r="2654" customFormat="false" ht="15" hidden="false" customHeight="false" outlineLevel="0" collapsed="false">
      <c r="A2654" s="31" t="s">
        <v>2804</v>
      </c>
      <c r="B2654" s="44" t="n">
        <v>46241</v>
      </c>
      <c r="C2654" s="31" t="s">
        <v>58</v>
      </c>
      <c r="D2654" s="31" t="s">
        <v>65</v>
      </c>
      <c r="E2654" s="31" t="s">
        <v>52</v>
      </c>
      <c r="F2654" s="31" t="s">
        <v>127</v>
      </c>
      <c r="G2654" s="31" t="n">
        <v>10</v>
      </c>
      <c r="H2654" s="41" t="n">
        <v>44.3</v>
      </c>
      <c r="I2654" s="31" t="s">
        <v>149</v>
      </c>
      <c r="J2654" s="31"/>
      <c r="K2654" s="31" t="s">
        <v>150</v>
      </c>
      <c r="L2654" s="45" t="n">
        <f aca="false">DATE(YEAR(B2654),MONTH(B2654),1)</f>
        <v>46235</v>
      </c>
      <c r="M2654" s="31" t="n">
        <f aca="false">WEEKDAY(B2654,2)</f>
        <v>5</v>
      </c>
      <c r="N2654" s="31" t="str">
        <f aca="false">IF(G2654&lt;=INDEX(Assumptions!$B$15:$B$18,MATCH(E2654,Assumptions!$A$15:$A$18,0)),"Yes","No")</f>
        <v>Yes</v>
      </c>
      <c r="O2654" s="31" t="str">
        <f aca="false">IF(H2654="","Open",IF(H2654&lt;=INDEX(Assumptions!$C$15:$C$18,MATCH(E2654,Assumptions!$A$15:$A$18,0)),"Yes","No"))</f>
        <v>Yes</v>
      </c>
    </row>
    <row r="2655" customFormat="false" ht="15" hidden="false" customHeight="false" outlineLevel="0" collapsed="false">
      <c r="A2655" s="31" t="s">
        <v>2805</v>
      </c>
      <c r="B2655" s="44" t="n">
        <v>46241</v>
      </c>
      <c r="C2655" s="31" t="s">
        <v>58</v>
      </c>
      <c r="D2655" s="31" t="s">
        <v>67</v>
      </c>
      <c r="E2655" s="31" t="s">
        <v>52</v>
      </c>
      <c r="F2655" s="31" t="s">
        <v>133</v>
      </c>
      <c r="G2655" s="31" t="n">
        <v>17</v>
      </c>
      <c r="H2655" s="41" t="n">
        <v>14</v>
      </c>
      <c r="I2655" s="31" t="s">
        <v>149</v>
      </c>
      <c r="J2655" s="31"/>
      <c r="K2655" s="31" t="s">
        <v>150</v>
      </c>
      <c r="L2655" s="45" t="n">
        <f aca="false">DATE(YEAR(B2655),MONTH(B2655),1)</f>
        <v>46235</v>
      </c>
      <c r="M2655" s="31" t="n">
        <f aca="false">WEEKDAY(B2655,2)</f>
        <v>5</v>
      </c>
      <c r="N2655" s="31" t="str">
        <f aca="false">IF(G2655&lt;=INDEX(Assumptions!$B$15:$B$18,MATCH(E2655,Assumptions!$A$15:$A$18,0)),"Yes","No")</f>
        <v>Yes</v>
      </c>
      <c r="O2655" s="31" t="str">
        <f aca="false">IF(H2655="","Open",IF(H2655&lt;=INDEX(Assumptions!$C$15:$C$18,MATCH(E2655,Assumptions!$A$15:$A$18,0)),"Yes","No"))</f>
        <v>Yes</v>
      </c>
    </row>
    <row r="2656" customFormat="false" ht="15" hidden="false" customHeight="false" outlineLevel="0" collapsed="false">
      <c r="A2656" s="31" t="s">
        <v>2806</v>
      </c>
      <c r="B2656" s="44" t="n">
        <v>46241</v>
      </c>
      <c r="C2656" s="31" t="s">
        <v>57</v>
      </c>
      <c r="D2656" s="31" t="s">
        <v>69</v>
      </c>
      <c r="E2656" s="31" t="s">
        <v>50</v>
      </c>
      <c r="F2656" s="31" t="s">
        <v>129</v>
      </c>
      <c r="G2656" s="31" t="n">
        <v>1</v>
      </c>
      <c r="H2656" s="41" t="n">
        <v>23.6</v>
      </c>
      <c r="I2656" s="31" t="s">
        <v>149</v>
      </c>
      <c r="J2656" s="31" t="n">
        <v>4</v>
      </c>
      <c r="K2656" s="31" t="s">
        <v>150</v>
      </c>
      <c r="L2656" s="45" t="n">
        <f aca="false">DATE(YEAR(B2656),MONTH(B2656),1)</f>
        <v>46235</v>
      </c>
      <c r="M2656" s="31" t="n">
        <f aca="false">WEEKDAY(B2656,2)</f>
        <v>5</v>
      </c>
      <c r="N2656" s="31" t="str">
        <f aca="false">IF(G2656&lt;=INDEX(Assumptions!$B$15:$B$18,MATCH(E2656,Assumptions!$A$15:$A$18,0)),"Yes","No")</f>
        <v>Yes</v>
      </c>
      <c r="O2656" s="31" t="str">
        <f aca="false">IF(H2656="","Open",IF(H2656&lt;=INDEX(Assumptions!$C$15:$C$18,MATCH(E2656,Assumptions!$A$15:$A$18,0)),"Yes","No"))</f>
        <v>No</v>
      </c>
    </row>
    <row r="2657" customFormat="false" ht="15" hidden="false" customHeight="false" outlineLevel="0" collapsed="false">
      <c r="A2657" s="31" t="s">
        <v>2807</v>
      </c>
      <c r="B2657" s="44" t="n">
        <v>46241</v>
      </c>
      <c r="C2657" s="31" t="s">
        <v>58</v>
      </c>
      <c r="D2657" s="31" t="s">
        <v>65</v>
      </c>
      <c r="E2657" s="31" t="s">
        <v>51</v>
      </c>
      <c r="F2657" s="31" t="s">
        <v>117</v>
      </c>
      <c r="G2657" s="31" t="n">
        <v>11</v>
      </c>
      <c r="H2657" s="41" t="n">
        <v>2.1</v>
      </c>
      <c r="I2657" s="31" t="s">
        <v>149</v>
      </c>
      <c r="J2657" s="31"/>
      <c r="K2657" s="31" t="s">
        <v>150</v>
      </c>
      <c r="L2657" s="45" t="n">
        <f aca="false">DATE(YEAR(B2657),MONTH(B2657),1)</f>
        <v>46235</v>
      </c>
      <c r="M2657" s="31" t="n">
        <f aca="false">WEEKDAY(B2657,2)</f>
        <v>5</v>
      </c>
      <c r="N2657" s="31" t="str">
        <f aca="false">IF(G2657&lt;=INDEX(Assumptions!$B$15:$B$18,MATCH(E2657,Assumptions!$A$15:$A$18,0)),"Yes","No")</f>
        <v>Yes</v>
      </c>
      <c r="O2657" s="31" t="str">
        <f aca="false">IF(H2657="","Open",IF(H2657&lt;=INDEX(Assumptions!$C$15:$C$18,MATCH(E2657,Assumptions!$A$15:$A$18,0)),"Yes","No"))</f>
        <v>Yes</v>
      </c>
    </row>
    <row r="2658" customFormat="false" ht="15" hidden="false" customHeight="false" outlineLevel="0" collapsed="false">
      <c r="A2658" s="31" t="s">
        <v>2808</v>
      </c>
      <c r="B2658" s="44" t="n">
        <v>46241</v>
      </c>
      <c r="C2658" s="31" t="s">
        <v>57</v>
      </c>
      <c r="D2658" s="31" t="s">
        <v>66</v>
      </c>
      <c r="E2658" s="31" t="s">
        <v>50</v>
      </c>
      <c r="F2658" s="31" t="s">
        <v>117</v>
      </c>
      <c r="G2658" s="31" t="n">
        <v>3</v>
      </c>
      <c r="H2658" s="41" t="n">
        <v>2.5</v>
      </c>
      <c r="I2658" s="31" t="s">
        <v>149</v>
      </c>
      <c r="J2658" s="31"/>
      <c r="K2658" s="31" t="s">
        <v>150</v>
      </c>
      <c r="L2658" s="45" t="n">
        <f aca="false">DATE(YEAR(B2658),MONTH(B2658),1)</f>
        <v>46235</v>
      </c>
      <c r="M2658" s="31" t="n">
        <f aca="false">WEEKDAY(B2658,2)</f>
        <v>5</v>
      </c>
      <c r="N2658" s="31" t="str">
        <f aca="false">IF(G2658&lt;=INDEX(Assumptions!$B$15:$B$18,MATCH(E2658,Assumptions!$A$15:$A$18,0)),"Yes","No")</f>
        <v>Yes</v>
      </c>
      <c r="O2658" s="31" t="str">
        <f aca="false">IF(H2658="","Open",IF(H2658&lt;=INDEX(Assumptions!$C$15:$C$18,MATCH(E2658,Assumptions!$A$15:$A$18,0)),"Yes","No"))</f>
        <v>Yes</v>
      </c>
    </row>
    <row r="2659" customFormat="false" ht="15" hidden="false" customHeight="false" outlineLevel="0" collapsed="false">
      <c r="A2659" s="31" t="s">
        <v>2809</v>
      </c>
      <c r="B2659" s="44" t="n">
        <v>46241</v>
      </c>
      <c r="C2659" s="31" t="s">
        <v>57</v>
      </c>
      <c r="D2659" s="31" t="s">
        <v>66</v>
      </c>
      <c r="E2659" s="31" t="s">
        <v>49</v>
      </c>
      <c r="F2659" s="31" t="s">
        <v>127</v>
      </c>
      <c r="G2659" s="31" t="n">
        <v>7</v>
      </c>
      <c r="H2659" s="41" t="n">
        <v>4.8</v>
      </c>
      <c r="I2659" s="31" t="s">
        <v>149</v>
      </c>
      <c r="J2659" s="31" t="n">
        <v>4</v>
      </c>
      <c r="K2659" s="31" t="s">
        <v>150</v>
      </c>
      <c r="L2659" s="45" t="n">
        <f aca="false">DATE(YEAR(B2659),MONTH(B2659),1)</f>
        <v>46235</v>
      </c>
      <c r="M2659" s="31" t="n">
        <f aca="false">WEEKDAY(B2659,2)</f>
        <v>5</v>
      </c>
      <c r="N2659" s="31" t="str">
        <f aca="false">IF(G2659&lt;=INDEX(Assumptions!$B$15:$B$18,MATCH(E2659,Assumptions!$A$15:$A$18,0)),"Yes","No")</f>
        <v>Yes</v>
      </c>
      <c r="O2659" s="31" t="str">
        <f aca="false">IF(H2659="","Open",IF(H2659&lt;=INDEX(Assumptions!$C$15:$C$18,MATCH(E2659,Assumptions!$A$15:$A$18,0)),"Yes","No"))</f>
        <v>No</v>
      </c>
    </row>
    <row r="2660" customFormat="false" ht="15" hidden="false" customHeight="false" outlineLevel="0" collapsed="false">
      <c r="A2660" s="31" t="s">
        <v>2810</v>
      </c>
      <c r="B2660" s="44" t="n">
        <v>46241</v>
      </c>
      <c r="C2660" s="31" t="s">
        <v>58</v>
      </c>
      <c r="D2660" s="31" t="s">
        <v>68</v>
      </c>
      <c r="E2660" s="31" t="s">
        <v>51</v>
      </c>
      <c r="F2660" s="31" t="s">
        <v>128</v>
      </c>
      <c r="G2660" s="31" t="n">
        <v>6</v>
      </c>
      <c r="H2660" s="41" t="n">
        <v>5.6</v>
      </c>
      <c r="I2660" s="31" t="s">
        <v>149</v>
      </c>
      <c r="J2660" s="31" t="n">
        <v>5</v>
      </c>
      <c r="K2660" s="31" t="s">
        <v>150</v>
      </c>
      <c r="L2660" s="45" t="n">
        <f aca="false">DATE(YEAR(B2660),MONTH(B2660),1)</f>
        <v>46235</v>
      </c>
      <c r="M2660" s="31" t="n">
        <f aca="false">WEEKDAY(B2660,2)</f>
        <v>5</v>
      </c>
      <c r="N2660" s="31" t="str">
        <f aca="false">IF(G2660&lt;=INDEX(Assumptions!$B$15:$B$18,MATCH(E2660,Assumptions!$A$15:$A$18,0)),"Yes","No")</f>
        <v>Yes</v>
      </c>
      <c r="O2660" s="31" t="str">
        <f aca="false">IF(H2660="","Open",IF(H2660&lt;=INDEX(Assumptions!$C$15:$C$18,MATCH(E2660,Assumptions!$A$15:$A$18,0)),"Yes","No"))</f>
        <v>Yes</v>
      </c>
    </row>
    <row r="2661" customFormat="false" ht="15" hidden="false" customHeight="false" outlineLevel="0" collapsed="false">
      <c r="A2661" s="31" t="s">
        <v>2811</v>
      </c>
      <c r="B2661" s="44" t="n">
        <v>46241</v>
      </c>
      <c r="C2661" s="31" t="s">
        <v>60</v>
      </c>
      <c r="D2661" s="31" t="s">
        <v>66</v>
      </c>
      <c r="E2661" s="31" t="s">
        <v>50</v>
      </c>
      <c r="F2661" s="31" t="s">
        <v>123</v>
      </c>
      <c r="G2661" s="31" t="n">
        <v>1</v>
      </c>
      <c r="H2661" s="41"/>
      <c r="I2661" s="31" t="s">
        <v>158</v>
      </c>
      <c r="J2661" s="31"/>
      <c r="K2661" s="31" t="s">
        <v>150</v>
      </c>
      <c r="L2661" s="45" t="n">
        <f aca="false">DATE(YEAR(B2661),MONTH(B2661),1)</f>
        <v>46235</v>
      </c>
      <c r="M2661" s="31" t="n">
        <f aca="false">WEEKDAY(B2661,2)</f>
        <v>5</v>
      </c>
      <c r="N2661" s="31" t="str">
        <f aca="false">IF(G2661&lt;=INDEX(Assumptions!$B$15:$B$18,MATCH(E2661,Assumptions!$A$15:$A$18,0)),"Yes","No")</f>
        <v>Yes</v>
      </c>
      <c r="O2661" s="31" t="str">
        <f aca="false">IF(H2661="","Open",IF(H2661&lt;=INDEX(Assumptions!$C$15:$C$18,MATCH(E2661,Assumptions!$A$15:$A$18,0)),"Yes","No"))</f>
        <v>Open</v>
      </c>
    </row>
    <row r="2662" customFormat="false" ht="15" hidden="false" customHeight="false" outlineLevel="0" collapsed="false">
      <c r="A2662" s="31" t="s">
        <v>2812</v>
      </c>
      <c r="B2662" s="44" t="n">
        <v>46241</v>
      </c>
      <c r="C2662" s="31" t="s">
        <v>57</v>
      </c>
      <c r="D2662" s="31" t="s">
        <v>66</v>
      </c>
      <c r="E2662" s="31" t="s">
        <v>51</v>
      </c>
      <c r="F2662" s="31" t="s">
        <v>133</v>
      </c>
      <c r="G2662" s="31" t="n">
        <v>9</v>
      </c>
      <c r="H2662" s="41" t="n">
        <v>12.3</v>
      </c>
      <c r="I2662" s="31" t="s">
        <v>149</v>
      </c>
      <c r="J2662" s="31" t="n">
        <v>5</v>
      </c>
      <c r="K2662" s="31" t="s">
        <v>150</v>
      </c>
      <c r="L2662" s="45" t="n">
        <f aca="false">DATE(YEAR(B2662),MONTH(B2662),1)</f>
        <v>46235</v>
      </c>
      <c r="M2662" s="31" t="n">
        <f aca="false">WEEKDAY(B2662,2)</f>
        <v>5</v>
      </c>
      <c r="N2662" s="31" t="str">
        <f aca="false">IF(G2662&lt;=INDEX(Assumptions!$B$15:$B$18,MATCH(E2662,Assumptions!$A$15:$A$18,0)),"Yes","No")</f>
        <v>Yes</v>
      </c>
      <c r="O2662" s="31" t="str">
        <f aca="false">IF(H2662="","Open",IF(H2662&lt;=INDEX(Assumptions!$C$15:$C$18,MATCH(E2662,Assumptions!$A$15:$A$18,0)),"Yes","No"))</f>
        <v>Yes</v>
      </c>
    </row>
    <row r="2663" customFormat="false" ht="15" hidden="false" customHeight="false" outlineLevel="0" collapsed="false">
      <c r="A2663" s="31" t="s">
        <v>2813</v>
      </c>
      <c r="B2663" s="44" t="n">
        <v>46241</v>
      </c>
      <c r="C2663" s="31" t="s">
        <v>60</v>
      </c>
      <c r="D2663" s="31" t="s">
        <v>66</v>
      </c>
      <c r="E2663" s="31" t="s">
        <v>49</v>
      </c>
      <c r="F2663" s="31" t="s">
        <v>127</v>
      </c>
      <c r="G2663" s="31" t="n">
        <v>4</v>
      </c>
      <c r="H2663" s="41" t="n">
        <v>2.4</v>
      </c>
      <c r="I2663" s="31" t="s">
        <v>149</v>
      </c>
      <c r="J2663" s="31" t="n">
        <v>5</v>
      </c>
      <c r="K2663" s="31" t="s">
        <v>150</v>
      </c>
      <c r="L2663" s="45" t="n">
        <f aca="false">DATE(YEAR(B2663),MONTH(B2663),1)</f>
        <v>46235</v>
      </c>
      <c r="M2663" s="31" t="n">
        <f aca="false">WEEKDAY(B2663,2)</f>
        <v>5</v>
      </c>
      <c r="N2663" s="31" t="str">
        <f aca="false">IF(G2663&lt;=INDEX(Assumptions!$B$15:$B$18,MATCH(E2663,Assumptions!$A$15:$A$18,0)),"Yes","No")</f>
        <v>Yes</v>
      </c>
      <c r="O2663" s="31" t="str">
        <f aca="false">IF(H2663="","Open",IF(H2663&lt;=INDEX(Assumptions!$C$15:$C$18,MATCH(E2663,Assumptions!$A$15:$A$18,0)),"Yes","No"))</f>
        <v>Yes</v>
      </c>
    </row>
    <row r="2664" customFormat="false" ht="15" hidden="false" customHeight="false" outlineLevel="0" collapsed="false">
      <c r="A2664" s="31" t="s">
        <v>2814</v>
      </c>
      <c r="B2664" s="44" t="n">
        <v>46241</v>
      </c>
      <c r="C2664" s="31" t="s">
        <v>59</v>
      </c>
      <c r="D2664" s="31" t="s">
        <v>65</v>
      </c>
      <c r="E2664" s="31" t="s">
        <v>50</v>
      </c>
      <c r="F2664" s="31" t="s">
        <v>130</v>
      </c>
      <c r="G2664" s="31" t="n">
        <v>74</v>
      </c>
      <c r="H2664" s="41" t="n">
        <v>4.2</v>
      </c>
      <c r="I2664" s="31" t="s">
        <v>149</v>
      </c>
      <c r="J2664" s="31" t="n">
        <v>3</v>
      </c>
      <c r="K2664" s="31" t="s">
        <v>150</v>
      </c>
      <c r="L2664" s="45" t="n">
        <f aca="false">DATE(YEAR(B2664),MONTH(B2664),1)</f>
        <v>46235</v>
      </c>
      <c r="M2664" s="31" t="n">
        <f aca="false">WEEKDAY(B2664,2)</f>
        <v>5</v>
      </c>
      <c r="N2664" s="31" t="str">
        <f aca="false">IF(G2664&lt;=INDEX(Assumptions!$B$15:$B$18,MATCH(E2664,Assumptions!$A$15:$A$18,0)),"Yes","No")</f>
        <v>No</v>
      </c>
      <c r="O2664" s="31" t="str">
        <f aca="false">IF(H2664="","Open",IF(H2664&lt;=INDEX(Assumptions!$C$15:$C$18,MATCH(E2664,Assumptions!$A$15:$A$18,0)),"Yes","No"))</f>
        <v>Yes</v>
      </c>
    </row>
    <row r="2665" customFormat="false" ht="15" hidden="false" customHeight="false" outlineLevel="0" collapsed="false">
      <c r="A2665" s="31" t="s">
        <v>2815</v>
      </c>
      <c r="B2665" s="44" t="n">
        <v>46241</v>
      </c>
      <c r="C2665" s="31" t="s">
        <v>57</v>
      </c>
      <c r="D2665" s="31" t="s">
        <v>66</v>
      </c>
      <c r="E2665" s="31" t="s">
        <v>50</v>
      </c>
      <c r="F2665" s="31" t="s">
        <v>121</v>
      </c>
      <c r="G2665" s="31" t="n">
        <v>7</v>
      </c>
      <c r="H2665" s="41" t="n">
        <v>12.3</v>
      </c>
      <c r="I2665" s="31" t="s">
        <v>149</v>
      </c>
      <c r="J2665" s="31"/>
      <c r="K2665" s="31" t="s">
        <v>150</v>
      </c>
      <c r="L2665" s="45" t="n">
        <f aca="false">DATE(YEAR(B2665),MONTH(B2665),1)</f>
        <v>46235</v>
      </c>
      <c r="M2665" s="31" t="n">
        <f aca="false">WEEKDAY(B2665,2)</f>
        <v>5</v>
      </c>
      <c r="N2665" s="31" t="str">
        <f aca="false">IF(G2665&lt;=INDEX(Assumptions!$B$15:$B$18,MATCH(E2665,Assumptions!$A$15:$A$18,0)),"Yes","No")</f>
        <v>Yes</v>
      </c>
      <c r="O2665" s="31" t="str">
        <f aca="false">IF(H2665="","Open",IF(H2665&lt;=INDEX(Assumptions!$C$15:$C$18,MATCH(E2665,Assumptions!$A$15:$A$18,0)),"Yes","No"))</f>
        <v>No</v>
      </c>
    </row>
    <row r="2666" customFormat="false" ht="15" hidden="false" customHeight="false" outlineLevel="0" collapsed="false">
      <c r="A2666" s="31" t="s">
        <v>2816</v>
      </c>
      <c r="B2666" s="44" t="n">
        <v>46241</v>
      </c>
      <c r="C2666" s="31" t="s">
        <v>58</v>
      </c>
      <c r="D2666" s="31" t="s">
        <v>65</v>
      </c>
      <c r="E2666" s="31" t="s">
        <v>51</v>
      </c>
      <c r="F2666" s="31" t="s">
        <v>117</v>
      </c>
      <c r="G2666" s="31" t="n">
        <v>6</v>
      </c>
      <c r="H2666" s="41" t="n">
        <v>7.5</v>
      </c>
      <c r="I2666" s="31" t="s">
        <v>149</v>
      </c>
      <c r="J2666" s="31" t="n">
        <v>5</v>
      </c>
      <c r="K2666" s="31" t="s">
        <v>150</v>
      </c>
      <c r="L2666" s="45" t="n">
        <f aca="false">DATE(YEAR(B2666),MONTH(B2666),1)</f>
        <v>46235</v>
      </c>
      <c r="M2666" s="31" t="n">
        <f aca="false">WEEKDAY(B2666,2)</f>
        <v>5</v>
      </c>
      <c r="N2666" s="31" t="str">
        <f aca="false">IF(G2666&lt;=INDEX(Assumptions!$B$15:$B$18,MATCH(E2666,Assumptions!$A$15:$A$18,0)),"Yes","No")</f>
        <v>Yes</v>
      </c>
      <c r="O2666" s="31" t="str">
        <f aca="false">IF(H2666="","Open",IF(H2666&lt;=INDEX(Assumptions!$C$15:$C$18,MATCH(E2666,Assumptions!$A$15:$A$18,0)),"Yes","No"))</f>
        <v>Yes</v>
      </c>
    </row>
    <row r="2667" customFormat="false" ht="15" hidden="false" customHeight="false" outlineLevel="0" collapsed="false">
      <c r="A2667" s="31" t="s">
        <v>2817</v>
      </c>
      <c r="B2667" s="44" t="n">
        <v>46241</v>
      </c>
      <c r="C2667" s="31" t="s">
        <v>57</v>
      </c>
      <c r="D2667" s="31" t="s">
        <v>65</v>
      </c>
      <c r="E2667" s="31" t="s">
        <v>52</v>
      </c>
      <c r="F2667" s="31" t="s">
        <v>130</v>
      </c>
      <c r="G2667" s="31" t="n">
        <v>2</v>
      </c>
      <c r="H2667" s="41" t="n">
        <v>29.5</v>
      </c>
      <c r="I2667" s="31" t="s">
        <v>149</v>
      </c>
      <c r="J2667" s="31" t="n">
        <v>5</v>
      </c>
      <c r="K2667" s="31" t="s">
        <v>150</v>
      </c>
      <c r="L2667" s="45" t="n">
        <f aca="false">DATE(YEAR(B2667),MONTH(B2667),1)</f>
        <v>46235</v>
      </c>
      <c r="M2667" s="31" t="n">
        <f aca="false">WEEKDAY(B2667,2)</f>
        <v>5</v>
      </c>
      <c r="N2667" s="31" t="str">
        <f aca="false">IF(G2667&lt;=INDEX(Assumptions!$B$15:$B$18,MATCH(E2667,Assumptions!$A$15:$A$18,0)),"Yes","No")</f>
        <v>Yes</v>
      </c>
      <c r="O2667" s="31" t="str">
        <f aca="false">IF(H2667="","Open",IF(H2667&lt;=INDEX(Assumptions!$C$15:$C$18,MATCH(E2667,Assumptions!$A$15:$A$18,0)),"Yes","No"))</f>
        <v>Yes</v>
      </c>
    </row>
    <row r="2668" customFormat="false" ht="15" hidden="false" customHeight="false" outlineLevel="0" collapsed="false">
      <c r="A2668" s="31" t="s">
        <v>2818</v>
      </c>
      <c r="B2668" s="44" t="n">
        <v>46241</v>
      </c>
      <c r="C2668" s="31" t="s">
        <v>57</v>
      </c>
      <c r="D2668" s="31" t="s">
        <v>69</v>
      </c>
      <c r="E2668" s="31" t="s">
        <v>52</v>
      </c>
      <c r="F2668" s="31" t="s">
        <v>131</v>
      </c>
      <c r="G2668" s="31" t="n">
        <v>2</v>
      </c>
      <c r="H2668" s="41" t="n">
        <v>18</v>
      </c>
      <c r="I2668" s="31" t="s">
        <v>149</v>
      </c>
      <c r="J2668" s="31" t="n">
        <v>5</v>
      </c>
      <c r="K2668" s="31" t="s">
        <v>150</v>
      </c>
      <c r="L2668" s="45" t="n">
        <f aca="false">DATE(YEAR(B2668),MONTH(B2668),1)</f>
        <v>46235</v>
      </c>
      <c r="M2668" s="31" t="n">
        <f aca="false">WEEKDAY(B2668,2)</f>
        <v>5</v>
      </c>
      <c r="N2668" s="31" t="str">
        <f aca="false">IF(G2668&lt;=INDEX(Assumptions!$B$15:$B$18,MATCH(E2668,Assumptions!$A$15:$A$18,0)),"Yes","No")</f>
        <v>Yes</v>
      </c>
      <c r="O2668" s="31" t="str">
        <f aca="false">IF(H2668="","Open",IF(H2668&lt;=INDEX(Assumptions!$C$15:$C$18,MATCH(E2668,Assumptions!$A$15:$A$18,0)),"Yes","No"))</f>
        <v>Yes</v>
      </c>
    </row>
    <row r="2669" customFormat="false" ht="15" hidden="false" customHeight="false" outlineLevel="0" collapsed="false">
      <c r="A2669" s="31" t="s">
        <v>2819</v>
      </c>
      <c r="B2669" s="44" t="n">
        <v>46241</v>
      </c>
      <c r="C2669" s="31" t="s">
        <v>60</v>
      </c>
      <c r="D2669" s="31" t="s">
        <v>67</v>
      </c>
      <c r="E2669" s="31" t="s">
        <v>52</v>
      </c>
      <c r="F2669" s="31" t="s">
        <v>126</v>
      </c>
      <c r="G2669" s="31" t="n">
        <v>4</v>
      </c>
      <c r="H2669" s="41" t="n">
        <v>35.1</v>
      </c>
      <c r="I2669" s="31" t="s">
        <v>149</v>
      </c>
      <c r="J2669" s="31" t="n">
        <v>5</v>
      </c>
      <c r="K2669" s="31" t="s">
        <v>150</v>
      </c>
      <c r="L2669" s="45" t="n">
        <f aca="false">DATE(YEAR(B2669),MONTH(B2669),1)</f>
        <v>46235</v>
      </c>
      <c r="M2669" s="31" t="n">
        <f aca="false">WEEKDAY(B2669,2)</f>
        <v>5</v>
      </c>
      <c r="N2669" s="31" t="str">
        <f aca="false">IF(G2669&lt;=INDEX(Assumptions!$B$15:$B$18,MATCH(E2669,Assumptions!$A$15:$A$18,0)),"Yes","No")</f>
        <v>Yes</v>
      </c>
      <c r="O2669" s="31" t="str">
        <f aca="false">IF(H2669="","Open",IF(H2669&lt;=INDEX(Assumptions!$C$15:$C$18,MATCH(E2669,Assumptions!$A$15:$A$18,0)),"Yes","No"))</f>
        <v>Yes</v>
      </c>
    </row>
    <row r="2670" customFormat="false" ht="15" hidden="false" customHeight="false" outlineLevel="0" collapsed="false">
      <c r="A2670" s="31" t="s">
        <v>2820</v>
      </c>
      <c r="B2670" s="44" t="n">
        <v>46241</v>
      </c>
      <c r="C2670" s="31" t="s">
        <v>57</v>
      </c>
      <c r="D2670" s="31" t="s">
        <v>69</v>
      </c>
      <c r="E2670" s="31" t="s">
        <v>51</v>
      </c>
      <c r="F2670" s="31" t="s">
        <v>128</v>
      </c>
      <c r="G2670" s="31" t="n">
        <v>5</v>
      </c>
      <c r="H2670" s="41" t="n">
        <v>26.2</v>
      </c>
      <c r="I2670" s="31" t="s">
        <v>149</v>
      </c>
      <c r="J2670" s="31" t="n">
        <v>4</v>
      </c>
      <c r="K2670" s="31" t="s">
        <v>150</v>
      </c>
      <c r="L2670" s="45" t="n">
        <f aca="false">DATE(YEAR(B2670),MONTH(B2670),1)</f>
        <v>46235</v>
      </c>
      <c r="M2670" s="31" t="n">
        <f aca="false">WEEKDAY(B2670,2)</f>
        <v>5</v>
      </c>
      <c r="N2670" s="31" t="str">
        <f aca="false">IF(G2670&lt;=INDEX(Assumptions!$B$15:$B$18,MATCH(E2670,Assumptions!$A$15:$A$18,0)),"Yes","No")</f>
        <v>Yes</v>
      </c>
      <c r="O2670" s="31" t="str">
        <f aca="false">IF(H2670="","Open",IF(H2670&lt;=INDEX(Assumptions!$C$15:$C$18,MATCH(E2670,Assumptions!$A$15:$A$18,0)),"Yes","No"))</f>
        <v>No</v>
      </c>
    </row>
    <row r="2671" customFormat="false" ht="15" hidden="false" customHeight="false" outlineLevel="0" collapsed="false">
      <c r="A2671" s="31" t="s">
        <v>2821</v>
      </c>
      <c r="B2671" s="44" t="n">
        <v>46241</v>
      </c>
      <c r="C2671" s="31" t="s">
        <v>57</v>
      </c>
      <c r="D2671" s="31" t="s">
        <v>67</v>
      </c>
      <c r="E2671" s="31" t="s">
        <v>51</v>
      </c>
      <c r="F2671" s="31" t="s">
        <v>123</v>
      </c>
      <c r="G2671" s="31" t="n">
        <v>2</v>
      </c>
      <c r="H2671" s="41" t="n">
        <v>16.8</v>
      </c>
      <c r="I2671" s="31" t="s">
        <v>149</v>
      </c>
      <c r="J2671" s="31" t="n">
        <v>5</v>
      </c>
      <c r="K2671" s="31" t="s">
        <v>150</v>
      </c>
      <c r="L2671" s="45" t="n">
        <f aca="false">DATE(YEAR(B2671),MONTH(B2671),1)</f>
        <v>46235</v>
      </c>
      <c r="M2671" s="31" t="n">
        <f aca="false">WEEKDAY(B2671,2)</f>
        <v>5</v>
      </c>
      <c r="N2671" s="31" t="str">
        <f aca="false">IF(G2671&lt;=INDEX(Assumptions!$B$15:$B$18,MATCH(E2671,Assumptions!$A$15:$A$18,0)),"Yes","No")</f>
        <v>Yes</v>
      </c>
      <c r="O2671" s="31" t="str">
        <f aca="false">IF(H2671="","Open",IF(H2671&lt;=INDEX(Assumptions!$C$15:$C$18,MATCH(E2671,Assumptions!$A$15:$A$18,0)),"Yes","No"))</f>
        <v>Yes</v>
      </c>
    </row>
    <row r="2672" customFormat="false" ht="15" hidden="false" customHeight="false" outlineLevel="0" collapsed="false">
      <c r="A2672" s="31" t="s">
        <v>2822</v>
      </c>
      <c r="B2672" s="44" t="n">
        <v>46241</v>
      </c>
      <c r="C2672" s="31" t="s">
        <v>58</v>
      </c>
      <c r="D2672" s="31" t="s">
        <v>65</v>
      </c>
      <c r="E2672" s="31" t="s">
        <v>52</v>
      </c>
      <c r="F2672" s="31" t="s">
        <v>126</v>
      </c>
      <c r="G2672" s="31" t="n">
        <v>11</v>
      </c>
      <c r="H2672" s="41" t="n">
        <v>20.9</v>
      </c>
      <c r="I2672" s="31" t="s">
        <v>64</v>
      </c>
      <c r="J2672" s="31" t="n">
        <v>5</v>
      </c>
      <c r="K2672" s="31" t="s">
        <v>150</v>
      </c>
      <c r="L2672" s="45" t="n">
        <f aca="false">DATE(YEAR(B2672),MONTH(B2672),1)</f>
        <v>46235</v>
      </c>
      <c r="M2672" s="31" t="n">
        <f aca="false">WEEKDAY(B2672,2)</f>
        <v>5</v>
      </c>
      <c r="N2672" s="31" t="str">
        <f aca="false">IF(G2672&lt;=INDEX(Assumptions!$B$15:$B$18,MATCH(E2672,Assumptions!$A$15:$A$18,0)),"Yes","No")</f>
        <v>Yes</v>
      </c>
      <c r="O2672" s="31" t="str">
        <f aca="false">IF(H2672="","Open",IF(H2672&lt;=INDEX(Assumptions!$C$15:$C$18,MATCH(E2672,Assumptions!$A$15:$A$18,0)),"Yes","No"))</f>
        <v>Yes</v>
      </c>
    </row>
    <row r="2673" customFormat="false" ht="15" hidden="false" customHeight="false" outlineLevel="0" collapsed="false">
      <c r="A2673" s="31" t="s">
        <v>2823</v>
      </c>
      <c r="B2673" s="44" t="n">
        <v>46241</v>
      </c>
      <c r="C2673" s="31" t="s">
        <v>58</v>
      </c>
      <c r="D2673" s="31" t="s">
        <v>65</v>
      </c>
      <c r="E2673" s="31" t="s">
        <v>50</v>
      </c>
      <c r="F2673" s="31" t="s">
        <v>117</v>
      </c>
      <c r="G2673" s="31" t="n">
        <v>6</v>
      </c>
      <c r="H2673" s="41" t="n">
        <v>2</v>
      </c>
      <c r="I2673" s="31" t="s">
        <v>149</v>
      </c>
      <c r="J2673" s="31"/>
      <c r="K2673" s="31" t="s">
        <v>150</v>
      </c>
      <c r="L2673" s="45" t="n">
        <f aca="false">DATE(YEAR(B2673),MONTH(B2673),1)</f>
        <v>46235</v>
      </c>
      <c r="M2673" s="31" t="n">
        <f aca="false">WEEKDAY(B2673,2)</f>
        <v>5</v>
      </c>
      <c r="N2673" s="31" t="str">
        <f aca="false">IF(G2673&lt;=INDEX(Assumptions!$B$15:$B$18,MATCH(E2673,Assumptions!$A$15:$A$18,0)),"Yes","No")</f>
        <v>Yes</v>
      </c>
      <c r="O2673" s="31" t="str">
        <f aca="false">IF(H2673="","Open",IF(H2673&lt;=INDEX(Assumptions!$C$15:$C$18,MATCH(E2673,Assumptions!$A$15:$A$18,0)),"Yes","No"))</f>
        <v>Yes</v>
      </c>
    </row>
    <row r="2674" customFormat="false" ht="15" hidden="false" customHeight="false" outlineLevel="0" collapsed="false">
      <c r="A2674" s="31" t="s">
        <v>2824</v>
      </c>
      <c r="B2674" s="44" t="n">
        <v>46241</v>
      </c>
      <c r="C2674" s="31" t="s">
        <v>59</v>
      </c>
      <c r="D2674" s="31" t="s">
        <v>65</v>
      </c>
      <c r="E2674" s="31" t="s">
        <v>49</v>
      </c>
      <c r="F2674" s="31" t="s">
        <v>130</v>
      </c>
      <c r="G2674" s="31" t="n">
        <v>52</v>
      </c>
      <c r="H2674" s="41" t="n">
        <v>6.9</v>
      </c>
      <c r="I2674" s="31" t="s">
        <v>149</v>
      </c>
      <c r="J2674" s="31"/>
      <c r="K2674" s="31" t="s">
        <v>150</v>
      </c>
      <c r="L2674" s="45" t="n">
        <f aca="false">DATE(YEAR(B2674),MONTH(B2674),1)</f>
        <v>46235</v>
      </c>
      <c r="M2674" s="31" t="n">
        <f aca="false">WEEKDAY(B2674,2)</f>
        <v>5</v>
      </c>
      <c r="N2674" s="31" t="str">
        <f aca="false">IF(G2674&lt;=INDEX(Assumptions!$B$15:$B$18,MATCH(E2674,Assumptions!$A$15:$A$18,0)),"Yes","No")</f>
        <v>No</v>
      </c>
      <c r="O2674" s="31" t="str">
        <f aca="false">IF(H2674="","Open",IF(H2674&lt;=INDEX(Assumptions!$C$15:$C$18,MATCH(E2674,Assumptions!$A$15:$A$18,0)),"Yes","No"))</f>
        <v>No</v>
      </c>
    </row>
    <row r="2675" customFormat="false" ht="15" hidden="false" customHeight="false" outlineLevel="0" collapsed="false">
      <c r="A2675" s="31" t="s">
        <v>2825</v>
      </c>
      <c r="B2675" s="44" t="n">
        <v>46241</v>
      </c>
      <c r="C2675" s="31" t="s">
        <v>59</v>
      </c>
      <c r="D2675" s="31" t="s">
        <v>66</v>
      </c>
      <c r="E2675" s="31" t="s">
        <v>51</v>
      </c>
      <c r="F2675" s="31" t="s">
        <v>122</v>
      </c>
      <c r="G2675" s="31" t="n">
        <v>26</v>
      </c>
      <c r="H2675" s="41" t="n">
        <v>13.6</v>
      </c>
      <c r="I2675" s="31" t="s">
        <v>149</v>
      </c>
      <c r="J2675" s="31" t="n">
        <v>4</v>
      </c>
      <c r="K2675" s="31" t="s">
        <v>150</v>
      </c>
      <c r="L2675" s="45" t="n">
        <f aca="false">DATE(YEAR(B2675),MONTH(B2675),1)</f>
        <v>46235</v>
      </c>
      <c r="M2675" s="31" t="n">
        <f aca="false">WEEKDAY(B2675,2)</f>
        <v>5</v>
      </c>
      <c r="N2675" s="31" t="str">
        <f aca="false">IF(G2675&lt;=INDEX(Assumptions!$B$15:$B$18,MATCH(E2675,Assumptions!$A$15:$A$18,0)),"Yes","No")</f>
        <v>Yes</v>
      </c>
      <c r="O2675" s="31" t="str">
        <f aca="false">IF(H2675="","Open",IF(H2675&lt;=INDEX(Assumptions!$C$15:$C$18,MATCH(E2675,Assumptions!$A$15:$A$18,0)),"Yes","No"))</f>
        <v>Yes</v>
      </c>
    </row>
    <row r="2676" customFormat="false" ht="15" hidden="false" customHeight="false" outlineLevel="0" collapsed="false">
      <c r="A2676" s="31" t="s">
        <v>2826</v>
      </c>
      <c r="B2676" s="44" t="n">
        <v>46241</v>
      </c>
      <c r="C2676" s="31" t="s">
        <v>58</v>
      </c>
      <c r="D2676" s="31" t="s">
        <v>66</v>
      </c>
      <c r="E2676" s="31" t="s">
        <v>52</v>
      </c>
      <c r="F2676" s="31" t="s">
        <v>134</v>
      </c>
      <c r="G2676" s="31" t="n">
        <v>36</v>
      </c>
      <c r="H2676" s="41" t="n">
        <v>10.2</v>
      </c>
      <c r="I2676" s="31" t="s">
        <v>149</v>
      </c>
      <c r="J2676" s="31" t="n">
        <v>5</v>
      </c>
      <c r="K2676" s="31" t="s">
        <v>153</v>
      </c>
      <c r="L2676" s="45" t="n">
        <f aca="false">DATE(YEAR(B2676),MONTH(B2676),1)</f>
        <v>46235</v>
      </c>
      <c r="M2676" s="31" t="n">
        <f aca="false">WEEKDAY(B2676,2)</f>
        <v>5</v>
      </c>
      <c r="N2676" s="31" t="str">
        <f aca="false">IF(G2676&lt;=INDEX(Assumptions!$B$15:$B$18,MATCH(E2676,Assumptions!$A$15:$A$18,0)),"Yes","No")</f>
        <v>Yes</v>
      </c>
      <c r="O2676" s="31" t="str">
        <f aca="false">IF(H2676="","Open",IF(H2676&lt;=INDEX(Assumptions!$C$15:$C$18,MATCH(E2676,Assumptions!$A$15:$A$18,0)),"Yes","No"))</f>
        <v>Yes</v>
      </c>
    </row>
    <row r="2677" customFormat="false" ht="15" hidden="false" customHeight="false" outlineLevel="0" collapsed="false">
      <c r="A2677" s="31" t="s">
        <v>2827</v>
      </c>
      <c r="B2677" s="44" t="n">
        <v>46241</v>
      </c>
      <c r="C2677" s="31" t="s">
        <v>58</v>
      </c>
      <c r="D2677" s="31" t="s">
        <v>66</v>
      </c>
      <c r="E2677" s="31" t="s">
        <v>52</v>
      </c>
      <c r="F2677" s="31" t="s">
        <v>133</v>
      </c>
      <c r="G2677" s="31" t="n">
        <v>22</v>
      </c>
      <c r="H2677" s="41" t="n">
        <v>6.3</v>
      </c>
      <c r="I2677" s="31" t="s">
        <v>149</v>
      </c>
      <c r="J2677" s="31"/>
      <c r="K2677" s="31" t="s">
        <v>150</v>
      </c>
      <c r="L2677" s="45" t="n">
        <f aca="false">DATE(YEAR(B2677),MONTH(B2677),1)</f>
        <v>46235</v>
      </c>
      <c r="M2677" s="31" t="n">
        <f aca="false">WEEKDAY(B2677,2)</f>
        <v>5</v>
      </c>
      <c r="N2677" s="31" t="str">
        <f aca="false">IF(G2677&lt;=INDEX(Assumptions!$B$15:$B$18,MATCH(E2677,Assumptions!$A$15:$A$18,0)),"Yes","No")</f>
        <v>Yes</v>
      </c>
      <c r="O2677" s="31" t="str">
        <f aca="false">IF(H2677="","Open",IF(H2677&lt;=INDEX(Assumptions!$C$15:$C$18,MATCH(E2677,Assumptions!$A$15:$A$18,0)),"Yes","No"))</f>
        <v>Yes</v>
      </c>
    </row>
    <row r="2678" customFormat="false" ht="15" hidden="false" customHeight="false" outlineLevel="0" collapsed="false">
      <c r="A2678" s="31" t="s">
        <v>2828</v>
      </c>
      <c r="B2678" s="44" t="n">
        <v>46241</v>
      </c>
      <c r="C2678" s="31" t="s">
        <v>58</v>
      </c>
      <c r="D2678" s="31" t="s">
        <v>66</v>
      </c>
      <c r="E2678" s="31" t="s">
        <v>49</v>
      </c>
      <c r="F2678" s="31" t="s">
        <v>121</v>
      </c>
      <c r="G2678" s="31" t="n">
        <v>10</v>
      </c>
      <c r="H2678" s="41" t="n">
        <v>3</v>
      </c>
      <c r="I2678" s="31" t="s">
        <v>149</v>
      </c>
      <c r="J2678" s="31" t="n">
        <v>4</v>
      </c>
      <c r="K2678" s="31" t="s">
        <v>150</v>
      </c>
      <c r="L2678" s="45" t="n">
        <f aca="false">DATE(YEAR(B2678),MONTH(B2678),1)</f>
        <v>46235</v>
      </c>
      <c r="M2678" s="31" t="n">
        <f aca="false">WEEKDAY(B2678,2)</f>
        <v>5</v>
      </c>
      <c r="N2678" s="31" t="str">
        <f aca="false">IF(G2678&lt;=INDEX(Assumptions!$B$15:$B$18,MATCH(E2678,Assumptions!$A$15:$A$18,0)),"Yes","No")</f>
        <v>Yes</v>
      </c>
      <c r="O2678" s="31" t="str">
        <f aca="false">IF(H2678="","Open",IF(H2678&lt;=INDEX(Assumptions!$C$15:$C$18,MATCH(E2678,Assumptions!$A$15:$A$18,0)),"Yes","No"))</f>
        <v>Yes</v>
      </c>
    </row>
    <row r="2679" customFormat="false" ht="15" hidden="false" customHeight="false" outlineLevel="0" collapsed="false">
      <c r="A2679" s="31" t="s">
        <v>2829</v>
      </c>
      <c r="B2679" s="44" t="n">
        <v>46241</v>
      </c>
      <c r="C2679" s="31" t="s">
        <v>60</v>
      </c>
      <c r="D2679" s="31" t="s">
        <v>66</v>
      </c>
      <c r="E2679" s="31" t="s">
        <v>50</v>
      </c>
      <c r="F2679" s="31" t="s">
        <v>124</v>
      </c>
      <c r="G2679" s="31" t="n">
        <v>1</v>
      </c>
      <c r="H2679" s="41" t="n">
        <v>4</v>
      </c>
      <c r="I2679" s="31" t="s">
        <v>149</v>
      </c>
      <c r="J2679" s="31" t="n">
        <v>5</v>
      </c>
      <c r="K2679" s="31" t="s">
        <v>150</v>
      </c>
      <c r="L2679" s="45" t="n">
        <f aca="false">DATE(YEAR(B2679),MONTH(B2679),1)</f>
        <v>46235</v>
      </c>
      <c r="M2679" s="31" t="n">
        <f aca="false">WEEKDAY(B2679,2)</f>
        <v>5</v>
      </c>
      <c r="N2679" s="31" t="str">
        <f aca="false">IF(G2679&lt;=INDEX(Assumptions!$B$15:$B$18,MATCH(E2679,Assumptions!$A$15:$A$18,0)),"Yes","No")</f>
        <v>Yes</v>
      </c>
      <c r="O2679" s="31" t="str">
        <f aca="false">IF(H2679="","Open",IF(H2679&lt;=INDEX(Assumptions!$C$15:$C$18,MATCH(E2679,Assumptions!$A$15:$A$18,0)),"Yes","No"))</f>
        <v>Yes</v>
      </c>
    </row>
    <row r="2680" customFormat="false" ht="15" hidden="false" customHeight="false" outlineLevel="0" collapsed="false">
      <c r="A2680" s="31" t="s">
        <v>2830</v>
      </c>
      <c r="B2680" s="44" t="n">
        <v>46241</v>
      </c>
      <c r="C2680" s="31" t="s">
        <v>59</v>
      </c>
      <c r="D2680" s="31" t="s">
        <v>68</v>
      </c>
      <c r="E2680" s="31" t="s">
        <v>50</v>
      </c>
      <c r="F2680" s="31" t="s">
        <v>122</v>
      </c>
      <c r="G2680" s="31" t="n">
        <v>54</v>
      </c>
      <c r="H2680" s="41" t="n">
        <v>1.5</v>
      </c>
      <c r="I2680" s="31" t="s">
        <v>149</v>
      </c>
      <c r="J2680" s="31"/>
      <c r="K2680" s="31" t="s">
        <v>150</v>
      </c>
      <c r="L2680" s="45" t="n">
        <f aca="false">DATE(YEAR(B2680),MONTH(B2680),1)</f>
        <v>46235</v>
      </c>
      <c r="M2680" s="31" t="n">
        <f aca="false">WEEKDAY(B2680,2)</f>
        <v>5</v>
      </c>
      <c r="N2680" s="31" t="str">
        <f aca="false">IF(G2680&lt;=INDEX(Assumptions!$B$15:$B$18,MATCH(E2680,Assumptions!$A$15:$A$18,0)),"Yes","No")</f>
        <v>No</v>
      </c>
      <c r="O2680" s="31" t="str">
        <f aca="false">IF(H2680="","Open",IF(H2680&lt;=INDEX(Assumptions!$C$15:$C$18,MATCH(E2680,Assumptions!$A$15:$A$18,0)),"Yes","No"))</f>
        <v>Yes</v>
      </c>
    </row>
    <row r="2681" customFormat="false" ht="15" hidden="false" customHeight="false" outlineLevel="0" collapsed="false">
      <c r="A2681" s="31" t="s">
        <v>2831</v>
      </c>
      <c r="B2681" s="44" t="n">
        <v>46241</v>
      </c>
      <c r="C2681" s="31" t="s">
        <v>57</v>
      </c>
      <c r="D2681" s="31" t="s">
        <v>67</v>
      </c>
      <c r="E2681" s="31" t="s">
        <v>52</v>
      </c>
      <c r="F2681" s="31" t="s">
        <v>135</v>
      </c>
      <c r="G2681" s="31" t="n">
        <v>18</v>
      </c>
      <c r="H2681" s="41" t="n">
        <v>22.9</v>
      </c>
      <c r="I2681" s="31" t="s">
        <v>149</v>
      </c>
      <c r="J2681" s="31"/>
      <c r="K2681" s="31" t="s">
        <v>150</v>
      </c>
      <c r="L2681" s="45" t="n">
        <f aca="false">DATE(YEAR(B2681),MONTH(B2681),1)</f>
        <v>46235</v>
      </c>
      <c r="M2681" s="31" t="n">
        <f aca="false">WEEKDAY(B2681,2)</f>
        <v>5</v>
      </c>
      <c r="N2681" s="31" t="str">
        <f aca="false">IF(G2681&lt;=INDEX(Assumptions!$B$15:$B$18,MATCH(E2681,Assumptions!$A$15:$A$18,0)),"Yes","No")</f>
        <v>Yes</v>
      </c>
      <c r="O2681" s="31" t="str">
        <f aca="false">IF(H2681="","Open",IF(H2681&lt;=INDEX(Assumptions!$C$15:$C$18,MATCH(E2681,Assumptions!$A$15:$A$18,0)),"Yes","No"))</f>
        <v>Yes</v>
      </c>
    </row>
    <row r="2682" customFormat="false" ht="15" hidden="false" customHeight="false" outlineLevel="0" collapsed="false">
      <c r="A2682" s="31" t="s">
        <v>2832</v>
      </c>
      <c r="B2682" s="44" t="n">
        <v>46241</v>
      </c>
      <c r="C2682" s="31" t="s">
        <v>59</v>
      </c>
      <c r="D2682" s="31" t="s">
        <v>65</v>
      </c>
      <c r="E2682" s="31" t="s">
        <v>51</v>
      </c>
      <c r="F2682" s="31" t="s">
        <v>122</v>
      </c>
      <c r="G2682" s="31" t="n">
        <v>24</v>
      </c>
      <c r="H2682" s="41" t="n">
        <v>3</v>
      </c>
      <c r="I2682" s="31" t="s">
        <v>149</v>
      </c>
      <c r="J2682" s="31" t="n">
        <v>3</v>
      </c>
      <c r="K2682" s="31" t="s">
        <v>150</v>
      </c>
      <c r="L2682" s="45" t="n">
        <f aca="false">DATE(YEAR(B2682),MONTH(B2682),1)</f>
        <v>46235</v>
      </c>
      <c r="M2682" s="31" t="n">
        <f aca="false">WEEKDAY(B2682,2)</f>
        <v>5</v>
      </c>
      <c r="N2682" s="31" t="str">
        <f aca="false">IF(G2682&lt;=INDEX(Assumptions!$B$15:$B$18,MATCH(E2682,Assumptions!$A$15:$A$18,0)),"Yes","No")</f>
        <v>Yes</v>
      </c>
      <c r="O2682" s="31" t="str">
        <f aca="false">IF(H2682="","Open",IF(H2682&lt;=INDEX(Assumptions!$C$15:$C$18,MATCH(E2682,Assumptions!$A$15:$A$18,0)),"Yes","No"))</f>
        <v>Yes</v>
      </c>
    </row>
    <row r="2683" customFormat="false" ht="15" hidden="false" customHeight="false" outlineLevel="0" collapsed="false">
      <c r="A2683" s="31" t="s">
        <v>2833</v>
      </c>
      <c r="B2683" s="44" t="n">
        <v>46241</v>
      </c>
      <c r="C2683" s="31" t="s">
        <v>58</v>
      </c>
      <c r="D2683" s="31" t="s">
        <v>65</v>
      </c>
      <c r="E2683" s="31" t="s">
        <v>51</v>
      </c>
      <c r="F2683" s="31" t="s">
        <v>133</v>
      </c>
      <c r="G2683" s="31" t="n">
        <v>13</v>
      </c>
      <c r="H2683" s="41" t="n">
        <v>5.3</v>
      </c>
      <c r="I2683" s="31" t="s">
        <v>149</v>
      </c>
      <c r="J2683" s="31"/>
      <c r="K2683" s="31" t="s">
        <v>153</v>
      </c>
      <c r="L2683" s="45" t="n">
        <f aca="false">DATE(YEAR(B2683),MONTH(B2683),1)</f>
        <v>46235</v>
      </c>
      <c r="M2683" s="31" t="n">
        <f aca="false">WEEKDAY(B2683,2)</f>
        <v>5</v>
      </c>
      <c r="N2683" s="31" t="str">
        <f aca="false">IF(G2683&lt;=INDEX(Assumptions!$B$15:$B$18,MATCH(E2683,Assumptions!$A$15:$A$18,0)),"Yes","No")</f>
        <v>Yes</v>
      </c>
      <c r="O2683" s="31" t="str">
        <f aca="false">IF(H2683="","Open",IF(H2683&lt;=INDEX(Assumptions!$C$15:$C$18,MATCH(E2683,Assumptions!$A$15:$A$18,0)),"Yes","No"))</f>
        <v>Yes</v>
      </c>
    </row>
    <row r="2684" customFormat="false" ht="15" hidden="false" customHeight="false" outlineLevel="0" collapsed="false">
      <c r="A2684" s="31" t="s">
        <v>2834</v>
      </c>
      <c r="B2684" s="44" t="n">
        <v>46241</v>
      </c>
      <c r="C2684" s="31" t="s">
        <v>59</v>
      </c>
      <c r="D2684" s="31" t="s">
        <v>67</v>
      </c>
      <c r="E2684" s="31" t="s">
        <v>50</v>
      </c>
      <c r="F2684" s="31" t="s">
        <v>129</v>
      </c>
      <c r="G2684" s="31" t="n">
        <v>21</v>
      </c>
      <c r="H2684" s="41" t="n">
        <v>9.8</v>
      </c>
      <c r="I2684" s="31" t="s">
        <v>149</v>
      </c>
      <c r="J2684" s="31"/>
      <c r="K2684" s="31" t="s">
        <v>150</v>
      </c>
      <c r="L2684" s="45" t="n">
        <f aca="false">DATE(YEAR(B2684),MONTH(B2684),1)</f>
        <v>46235</v>
      </c>
      <c r="M2684" s="31" t="n">
        <f aca="false">WEEKDAY(B2684,2)</f>
        <v>5</v>
      </c>
      <c r="N2684" s="31" t="str">
        <f aca="false">IF(G2684&lt;=INDEX(Assumptions!$B$15:$B$18,MATCH(E2684,Assumptions!$A$15:$A$18,0)),"Yes","No")</f>
        <v>Yes</v>
      </c>
      <c r="O2684" s="31" t="str">
        <f aca="false">IF(H2684="","Open",IF(H2684&lt;=INDEX(Assumptions!$C$15:$C$18,MATCH(E2684,Assumptions!$A$15:$A$18,0)),"Yes","No"))</f>
        <v>No</v>
      </c>
    </row>
    <row r="2685" customFormat="false" ht="15" hidden="false" customHeight="false" outlineLevel="0" collapsed="false">
      <c r="A2685" s="31" t="s">
        <v>2835</v>
      </c>
      <c r="B2685" s="44" t="n">
        <v>46241</v>
      </c>
      <c r="C2685" s="31" t="s">
        <v>60</v>
      </c>
      <c r="D2685" s="31" t="s">
        <v>68</v>
      </c>
      <c r="E2685" s="31" t="s">
        <v>50</v>
      </c>
      <c r="F2685" s="31" t="s">
        <v>136</v>
      </c>
      <c r="G2685" s="31" t="n">
        <v>1</v>
      </c>
      <c r="H2685" s="41" t="n">
        <v>0.9</v>
      </c>
      <c r="I2685" s="31" t="s">
        <v>149</v>
      </c>
      <c r="J2685" s="31" t="n">
        <v>5</v>
      </c>
      <c r="K2685" s="31" t="s">
        <v>150</v>
      </c>
      <c r="L2685" s="45" t="n">
        <f aca="false">DATE(YEAR(B2685),MONTH(B2685),1)</f>
        <v>46235</v>
      </c>
      <c r="M2685" s="31" t="n">
        <f aca="false">WEEKDAY(B2685,2)</f>
        <v>5</v>
      </c>
      <c r="N2685" s="31" t="str">
        <f aca="false">IF(G2685&lt;=INDEX(Assumptions!$B$15:$B$18,MATCH(E2685,Assumptions!$A$15:$A$18,0)),"Yes","No")</f>
        <v>Yes</v>
      </c>
      <c r="O2685" s="31" t="str">
        <f aca="false">IF(H2685="","Open",IF(H2685&lt;=INDEX(Assumptions!$C$15:$C$18,MATCH(E2685,Assumptions!$A$15:$A$18,0)),"Yes","No"))</f>
        <v>Yes</v>
      </c>
    </row>
    <row r="2686" customFormat="false" ht="15" hidden="false" customHeight="false" outlineLevel="0" collapsed="false">
      <c r="A2686" s="31" t="s">
        <v>2836</v>
      </c>
      <c r="B2686" s="44" t="n">
        <v>46241</v>
      </c>
      <c r="C2686" s="31" t="s">
        <v>57</v>
      </c>
      <c r="D2686" s="31" t="s">
        <v>65</v>
      </c>
      <c r="E2686" s="31" t="s">
        <v>52</v>
      </c>
      <c r="F2686" s="31" t="s">
        <v>124</v>
      </c>
      <c r="G2686" s="31" t="n">
        <v>2</v>
      </c>
      <c r="H2686" s="41" t="n">
        <v>22.8</v>
      </c>
      <c r="I2686" s="31" t="s">
        <v>149</v>
      </c>
      <c r="J2686" s="31"/>
      <c r="K2686" s="31" t="s">
        <v>150</v>
      </c>
      <c r="L2686" s="45" t="n">
        <f aca="false">DATE(YEAR(B2686),MONTH(B2686),1)</f>
        <v>46235</v>
      </c>
      <c r="M2686" s="31" t="n">
        <f aca="false">WEEKDAY(B2686,2)</f>
        <v>5</v>
      </c>
      <c r="N2686" s="31" t="str">
        <f aca="false">IF(G2686&lt;=INDEX(Assumptions!$B$15:$B$18,MATCH(E2686,Assumptions!$A$15:$A$18,0)),"Yes","No")</f>
        <v>Yes</v>
      </c>
      <c r="O2686" s="31" t="str">
        <f aca="false">IF(H2686="","Open",IF(H2686&lt;=INDEX(Assumptions!$C$15:$C$18,MATCH(E2686,Assumptions!$A$15:$A$18,0)),"Yes","No"))</f>
        <v>Yes</v>
      </c>
    </row>
    <row r="2687" customFormat="false" ht="15" hidden="false" customHeight="false" outlineLevel="0" collapsed="false">
      <c r="A2687" s="31" t="s">
        <v>2837</v>
      </c>
      <c r="B2687" s="44" t="n">
        <v>46241</v>
      </c>
      <c r="C2687" s="31" t="s">
        <v>60</v>
      </c>
      <c r="D2687" s="31" t="s">
        <v>66</v>
      </c>
      <c r="E2687" s="31" t="s">
        <v>52</v>
      </c>
      <c r="F2687" s="31" t="s">
        <v>131</v>
      </c>
      <c r="G2687" s="31" t="n">
        <v>1</v>
      </c>
      <c r="H2687" s="41" t="n">
        <v>4</v>
      </c>
      <c r="I2687" s="31" t="s">
        <v>149</v>
      </c>
      <c r="J2687" s="31"/>
      <c r="K2687" s="31" t="s">
        <v>150</v>
      </c>
      <c r="L2687" s="45" t="n">
        <f aca="false">DATE(YEAR(B2687),MONTH(B2687),1)</f>
        <v>46235</v>
      </c>
      <c r="M2687" s="31" t="n">
        <f aca="false">WEEKDAY(B2687,2)</f>
        <v>5</v>
      </c>
      <c r="N2687" s="31" t="str">
        <f aca="false">IF(G2687&lt;=INDEX(Assumptions!$B$15:$B$18,MATCH(E2687,Assumptions!$A$15:$A$18,0)),"Yes","No")</f>
        <v>Yes</v>
      </c>
      <c r="O2687" s="31" t="str">
        <f aca="false">IF(H2687="","Open",IF(H2687&lt;=INDEX(Assumptions!$C$15:$C$18,MATCH(E2687,Assumptions!$A$15:$A$18,0)),"Yes","No"))</f>
        <v>Yes</v>
      </c>
    </row>
    <row r="2688" customFormat="false" ht="15" hidden="false" customHeight="false" outlineLevel="0" collapsed="false">
      <c r="A2688" s="31" t="s">
        <v>2838</v>
      </c>
      <c r="B2688" s="44" t="n">
        <v>46241</v>
      </c>
      <c r="C2688" s="31" t="s">
        <v>58</v>
      </c>
      <c r="D2688" s="31" t="s">
        <v>65</v>
      </c>
      <c r="E2688" s="31" t="s">
        <v>51</v>
      </c>
      <c r="F2688" s="31" t="s">
        <v>122</v>
      </c>
      <c r="G2688" s="31" t="n">
        <v>7</v>
      </c>
      <c r="H2688" s="41" t="n">
        <v>7.3</v>
      </c>
      <c r="I2688" s="31" t="s">
        <v>149</v>
      </c>
      <c r="J2688" s="31" t="n">
        <v>4</v>
      </c>
      <c r="K2688" s="31" t="s">
        <v>150</v>
      </c>
      <c r="L2688" s="45" t="n">
        <f aca="false">DATE(YEAR(B2688),MONTH(B2688),1)</f>
        <v>46235</v>
      </c>
      <c r="M2688" s="31" t="n">
        <f aca="false">WEEKDAY(B2688,2)</f>
        <v>5</v>
      </c>
      <c r="N2688" s="31" t="str">
        <f aca="false">IF(G2688&lt;=INDEX(Assumptions!$B$15:$B$18,MATCH(E2688,Assumptions!$A$15:$A$18,0)),"Yes","No")</f>
        <v>Yes</v>
      </c>
      <c r="O2688" s="31" t="str">
        <f aca="false">IF(H2688="","Open",IF(H2688&lt;=INDEX(Assumptions!$C$15:$C$18,MATCH(E2688,Assumptions!$A$15:$A$18,0)),"Yes","No"))</f>
        <v>Yes</v>
      </c>
    </row>
    <row r="2689" customFormat="false" ht="15" hidden="false" customHeight="false" outlineLevel="0" collapsed="false">
      <c r="A2689" s="31" t="s">
        <v>2839</v>
      </c>
      <c r="B2689" s="44" t="n">
        <v>46241</v>
      </c>
      <c r="C2689" s="31" t="s">
        <v>57</v>
      </c>
      <c r="D2689" s="31" t="s">
        <v>65</v>
      </c>
      <c r="E2689" s="31" t="s">
        <v>50</v>
      </c>
      <c r="F2689" s="31" t="s">
        <v>123</v>
      </c>
      <c r="G2689" s="31" t="n">
        <v>12</v>
      </c>
      <c r="H2689" s="41" t="n">
        <v>4.1</v>
      </c>
      <c r="I2689" s="31" t="s">
        <v>149</v>
      </c>
      <c r="J2689" s="31"/>
      <c r="K2689" s="31" t="s">
        <v>150</v>
      </c>
      <c r="L2689" s="45" t="n">
        <f aca="false">DATE(YEAR(B2689),MONTH(B2689),1)</f>
        <v>46235</v>
      </c>
      <c r="M2689" s="31" t="n">
        <f aca="false">WEEKDAY(B2689,2)</f>
        <v>5</v>
      </c>
      <c r="N2689" s="31" t="str">
        <f aca="false">IF(G2689&lt;=INDEX(Assumptions!$B$15:$B$18,MATCH(E2689,Assumptions!$A$15:$A$18,0)),"Yes","No")</f>
        <v>Yes</v>
      </c>
      <c r="O2689" s="31" t="str">
        <f aca="false">IF(H2689="","Open",IF(H2689&lt;=INDEX(Assumptions!$C$15:$C$18,MATCH(E2689,Assumptions!$A$15:$A$18,0)),"Yes","No"))</f>
        <v>Yes</v>
      </c>
    </row>
    <row r="2690" customFormat="false" ht="15" hidden="false" customHeight="false" outlineLevel="0" collapsed="false">
      <c r="A2690" s="31" t="s">
        <v>2840</v>
      </c>
      <c r="B2690" s="44" t="n">
        <v>46241</v>
      </c>
      <c r="C2690" s="31" t="s">
        <v>58</v>
      </c>
      <c r="D2690" s="31" t="s">
        <v>66</v>
      </c>
      <c r="E2690" s="31" t="s">
        <v>51</v>
      </c>
      <c r="F2690" s="31" t="s">
        <v>130</v>
      </c>
      <c r="G2690" s="31" t="n">
        <v>3</v>
      </c>
      <c r="H2690" s="41" t="n">
        <v>1.3</v>
      </c>
      <c r="I2690" s="31" t="s">
        <v>149</v>
      </c>
      <c r="J2690" s="31" t="n">
        <v>5</v>
      </c>
      <c r="K2690" s="31" t="s">
        <v>150</v>
      </c>
      <c r="L2690" s="45" t="n">
        <f aca="false">DATE(YEAR(B2690),MONTH(B2690),1)</f>
        <v>46235</v>
      </c>
      <c r="M2690" s="31" t="n">
        <f aca="false">WEEKDAY(B2690,2)</f>
        <v>5</v>
      </c>
      <c r="N2690" s="31" t="str">
        <f aca="false">IF(G2690&lt;=INDEX(Assumptions!$B$15:$B$18,MATCH(E2690,Assumptions!$A$15:$A$18,0)),"Yes","No")</f>
        <v>Yes</v>
      </c>
      <c r="O2690" s="31" t="str">
        <f aca="false">IF(H2690="","Open",IF(H2690&lt;=INDEX(Assumptions!$C$15:$C$18,MATCH(E2690,Assumptions!$A$15:$A$18,0)),"Yes","No"))</f>
        <v>Yes</v>
      </c>
    </row>
    <row r="2691" customFormat="false" ht="15" hidden="false" customHeight="false" outlineLevel="0" collapsed="false">
      <c r="A2691" s="31" t="s">
        <v>2841</v>
      </c>
      <c r="B2691" s="44" t="n">
        <v>46241</v>
      </c>
      <c r="C2691" s="31" t="s">
        <v>58</v>
      </c>
      <c r="D2691" s="31" t="s">
        <v>69</v>
      </c>
      <c r="E2691" s="31" t="s">
        <v>51</v>
      </c>
      <c r="F2691" s="31" t="s">
        <v>128</v>
      </c>
      <c r="G2691" s="31" t="n">
        <v>20</v>
      </c>
      <c r="H2691" s="41" t="n">
        <v>35.2</v>
      </c>
      <c r="I2691" s="31" t="s">
        <v>149</v>
      </c>
      <c r="J2691" s="31"/>
      <c r="K2691" s="31" t="s">
        <v>150</v>
      </c>
      <c r="L2691" s="45" t="n">
        <f aca="false">DATE(YEAR(B2691),MONTH(B2691),1)</f>
        <v>46235</v>
      </c>
      <c r="M2691" s="31" t="n">
        <f aca="false">WEEKDAY(B2691,2)</f>
        <v>5</v>
      </c>
      <c r="N2691" s="31" t="str">
        <f aca="false">IF(G2691&lt;=INDEX(Assumptions!$B$15:$B$18,MATCH(E2691,Assumptions!$A$15:$A$18,0)),"Yes","No")</f>
        <v>Yes</v>
      </c>
      <c r="O2691" s="31" t="str">
        <f aca="false">IF(H2691="","Open",IF(H2691&lt;=INDEX(Assumptions!$C$15:$C$18,MATCH(E2691,Assumptions!$A$15:$A$18,0)),"Yes","No"))</f>
        <v>No</v>
      </c>
    </row>
    <row r="2692" customFormat="false" ht="15" hidden="false" customHeight="false" outlineLevel="0" collapsed="false">
      <c r="A2692" s="31" t="s">
        <v>2842</v>
      </c>
      <c r="B2692" s="44" t="n">
        <v>46241</v>
      </c>
      <c r="C2692" s="31" t="s">
        <v>57</v>
      </c>
      <c r="D2692" s="31" t="s">
        <v>67</v>
      </c>
      <c r="E2692" s="31" t="s">
        <v>51</v>
      </c>
      <c r="F2692" s="31" t="s">
        <v>136</v>
      </c>
      <c r="G2692" s="31" t="n">
        <v>1</v>
      </c>
      <c r="H2692" s="41" t="n">
        <v>8.5</v>
      </c>
      <c r="I2692" s="31" t="s">
        <v>149</v>
      </c>
      <c r="J2692" s="31" t="n">
        <v>5</v>
      </c>
      <c r="K2692" s="31" t="s">
        <v>150</v>
      </c>
      <c r="L2692" s="45" t="n">
        <f aca="false">DATE(YEAR(B2692),MONTH(B2692),1)</f>
        <v>46235</v>
      </c>
      <c r="M2692" s="31" t="n">
        <f aca="false">WEEKDAY(B2692,2)</f>
        <v>5</v>
      </c>
      <c r="N2692" s="31" t="str">
        <f aca="false">IF(G2692&lt;=INDEX(Assumptions!$B$15:$B$18,MATCH(E2692,Assumptions!$A$15:$A$18,0)),"Yes","No")</f>
        <v>Yes</v>
      </c>
      <c r="O2692" s="31" t="str">
        <f aca="false">IF(H2692="","Open",IF(H2692&lt;=INDEX(Assumptions!$C$15:$C$18,MATCH(E2692,Assumptions!$A$15:$A$18,0)),"Yes","No"))</f>
        <v>Yes</v>
      </c>
    </row>
    <row r="2693" customFormat="false" ht="15" hidden="false" customHeight="false" outlineLevel="0" collapsed="false">
      <c r="A2693" s="31" t="s">
        <v>2843</v>
      </c>
      <c r="B2693" s="44" t="n">
        <v>46241</v>
      </c>
      <c r="C2693" s="31" t="s">
        <v>57</v>
      </c>
      <c r="D2693" s="31" t="s">
        <v>65</v>
      </c>
      <c r="E2693" s="31" t="s">
        <v>51</v>
      </c>
      <c r="F2693" s="31" t="s">
        <v>136</v>
      </c>
      <c r="G2693" s="31" t="n">
        <v>5</v>
      </c>
      <c r="H2693" s="41" t="n">
        <v>121.7</v>
      </c>
      <c r="I2693" s="31" t="s">
        <v>64</v>
      </c>
      <c r="J2693" s="31"/>
      <c r="K2693" s="31" t="s">
        <v>150</v>
      </c>
      <c r="L2693" s="45" t="n">
        <f aca="false">DATE(YEAR(B2693),MONTH(B2693),1)</f>
        <v>46235</v>
      </c>
      <c r="M2693" s="31" t="n">
        <f aca="false">WEEKDAY(B2693,2)</f>
        <v>5</v>
      </c>
      <c r="N2693" s="31" t="str">
        <f aca="false">IF(G2693&lt;=INDEX(Assumptions!$B$15:$B$18,MATCH(E2693,Assumptions!$A$15:$A$18,0)),"Yes","No")</f>
        <v>Yes</v>
      </c>
      <c r="O2693" s="31" t="str">
        <f aca="false">IF(H2693="","Open",IF(H2693&lt;=INDEX(Assumptions!$C$15:$C$18,MATCH(E2693,Assumptions!$A$15:$A$18,0)),"Yes","No"))</f>
        <v>No</v>
      </c>
    </row>
    <row r="2694" customFormat="false" ht="15" hidden="false" customHeight="false" outlineLevel="0" collapsed="false">
      <c r="A2694" s="31" t="s">
        <v>2844</v>
      </c>
      <c r="B2694" s="44" t="n">
        <v>46241</v>
      </c>
      <c r="C2694" s="31" t="s">
        <v>59</v>
      </c>
      <c r="D2694" s="31" t="s">
        <v>69</v>
      </c>
      <c r="E2694" s="31" t="s">
        <v>52</v>
      </c>
      <c r="F2694" s="31" t="s">
        <v>127</v>
      </c>
      <c r="G2694" s="31" t="n">
        <v>55</v>
      </c>
      <c r="H2694" s="41" t="n">
        <v>18.2</v>
      </c>
      <c r="I2694" s="31" t="s">
        <v>149</v>
      </c>
      <c r="J2694" s="31"/>
      <c r="K2694" s="31" t="s">
        <v>150</v>
      </c>
      <c r="L2694" s="45" t="n">
        <f aca="false">DATE(YEAR(B2694),MONTH(B2694),1)</f>
        <v>46235</v>
      </c>
      <c r="M2694" s="31" t="n">
        <f aca="false">WEEKDAY(B2694,2)</f>
        <v>5</v>
      </c>
      <c r="N2694" s="31" t="str">
        <f aca="false">IF(G2694&lt;=INDEX(Assumptions!$B$15:$B$18,MATCH(E2694,Assumptions!$A$15:$A$18,0)),"Yes","No")</f>
        <v>Yes</v>
      </c>
      <c r="O2694" s="31" t="str">
        <f aca="false">IF(H2694="","Open",IF(H2694&lt;=INDEX(Assumptions!$C$15:$C$18,MATCH(E2694,Assumptions!$A$15:$A$18,0)),"Yes","No"))</f>
        <v>Yes</v>
      </c>
    </row>
    <row r="2695" customFormat="false" ht="15" hidden="false" customHeight="false" outlineLevel="0" collapsed="false">
      <c r="A2695" s="31" t="s">
        <v>2845</v>
      </c>
      <c r="B2695" s="44" t="n">
        <v>46241</v>
      </c>
      <c r="C2695" s="31" t="s">
        <v>57</v>
      </c>
      <c r="D2695" s="31" t="s">
        <v>65</v>
      </c>
      <c r="E2695" s="31" t="s">
        <v>51</v>
      </c>
      <c r="F2695" s="31" t="s">
        <v>121</v>
      </c>
      <c r="G2695" s="31" t="n">
        <v>3</v>
      </c>
      <c r="H2695" s="41" t="n">
        <v>2.3</v>
      </c>
      <c r="I2695" s="31" t="s">
        <v>149</v>
      </c>
      <c r="J2695" s="31" t="n">
        <v>4</v>
      </c>
      <c r="K2695" s="31" t="s">
        <v>150</v>
      </c>
      <c r="L2695" s="45" t="n">
        <f aca="false">DATE(YEAR(B2695),MONTH(B2695),1)</f>
        <v>46235</v>
      </c>
      <c r="M2695" s="31" t="n">
        <f aca="false">WEEKDAY(B2695,2)</f>
        <v>5</v>
      </c>
      <c r="N2695" s="31" t="str">
        <f aca="false">IF(G2695&lt;=INDEX(Assumptions!$B$15:$B$18,MATCH(E2695,Assumptions!$A$15:$A$18,0)),"Yes","No")</f>
        <v>Yes</v>
      </c>
      <c r="O2695" s="31" t="str">
        <f aca="false">IF(H2695="","Open",IF(H2695&lt;=INDEX(Assumptions!$C$15:$C$18,MATCH(E2695,Assumptions!$A$15:$A$18,0)),"Yes","No"))</f>
        <v>Yes</v>
      </c>
    </row>
    <row r="2696" customFormat="false" ht="15" hidden="false" customHeight="false" outlineLevel="0" collapsed="false">
      <c r="A2696" s="31" t="s">
        <v>2846</v>
      </c>
      <c r="B2696" s="44" t="n">
        <v>46241</v>
      </c>
      <c r="C2696" s="31" t="s">
        <v>57</v>
      </c>
      <c r="D2696" s="31" t="s">
        <v>67</v>
      </c>
      <c r="E2696" s="31" t="s">
        <v>52</v>
      </c>
      <c r="F2696" s="31" t="s">
        <v>130</v>
      </c>
      <c r="G2696" s="31" t="n">
        <v>7</v>
      </c>
      <c r="H2696" s="41" t="n">
        <v>54.5</v>
      </c>
      <c r="I2696" s="31" t="s">
        <v>64</v>
      </c>
      <c r="J2696" s="31"/>
      <c r="K2696" s="31" t="s">
        <v>150</v>
      </c>
      <c r="L2696" s="45" t="n">
        <f aca="false">DATE(YEAR(B2696),MONTH(B2696),1)</f>
        <v>46235</v>
      </c>
      <c r="M2696" s="31" t="n">
        <f aca="false">WEEKDAY(B2696,2)</f>
        <v>5</v>
      </c>
      <c r="N2696" s="31" t="str">
        <f aca="false">IF(G2696&lt;=INDEX(Assumptions!$B$15:$B$18,MATCH(E2696,Assumptions!$A$15:$A$18,0)),"Yes","No")</f>
        <v>Yes</v>
      </c>
      <c r="O2696" s="31" t="str">
        <f aca="false">IF(H2696="","Open",IF(H2696&lt;=INDEX(Assumptions!$C$15:$C$18,MATCH(E2696,Assumptions!$A$15:$A$18,0)),"Yes","No"))</f>
        <v>Yes</v>
      </c>
    </row>
    <row r="2697" customFormat="false" ht="15" hidden="false" customHeight="false" outlineLevel="0" collapsed="false">
      <c r="A2697" s="31" t="s">
        <v>2847</v>
      </c>
      <c r="B2697" s="44" t="n">
        <v>46241</v>
      </c>
      <c r="C2697" s="31" t="s">
        <v>59</v>
      </c>
      <c r="D2697" s="31" t="s">
        <v>68</v>
      </c>
      <c r="E2697" s="31" t="s">
        <v>51</v>
      </c>
      <c r="F2697" s="31" t="s">
        <v>133</v>
      </c>
      <c r="G2697" s="31" t="n">
        <v>107</v>
      </c>
      <c r="H2697" s="41" t="n">
        <v>3.4</v>
      </c>
      <c r="I2697" s="31" t="s">
        <v>149</v>
      </c>
      <c r="J2697" s="31"/>
      <c r="K2697" s="31" t="s">
        <v>150</v>
      </c>
      <c r="L2697" s="45" t="n">
        <f aca="false">DATE(YEAR(B2697),MONTH(B2697),1)</f>
        <v>46235</v>
      </c>
      <c r="M2697" s="31" t="n">
        <f aca="false">WEEKDAY(B2697,2)</f>
        <v>5</v>
      </c>
      <c r="N2697" s="31" t="str">
        <f aca="false">IF(G2697&lt;=INDEX(Assumptions!$B$15:$B$18,MATCH(E2697,Assumptions!$A$15:$A$18,0)),"Yes","No")</f>
        <v>No</v>
      </c>
      <c r="O2697" s="31" t="str">
        <f aca="false">IF(H2697="","Open",IF(H2697&lt;=INDEX(Assumptions!$C$15:$C$18,MATCH(E2697,Assumptions!$A$15:$A$18,0)),"Yes","No"))</f>
        <v>Yes</v>
      </c>
    </row>
    <row r="2698" customFormat="false" ht="15" hidden="false" customHeight="false" outlineLevel="0" collapsed="false">
      <c r="A2698" s="31" t="s">
        <v>2848</v>
      </c>
      <c r="B2698" s="44" t="n">
        <v>46241</v>
      </c>
      <c r="C2698" s="31" t="s">
        <v>60</v>
      </c>
      <c r="D2698" s="31" t="s">
        <v>65</v>
      </c>
      <c r="E2698" s="31" t="s">
        <v>52</v>
      </c>
      <c r="F2698" s="31" t="s">
        <v>137</v>
      </c>
      <c r="G2698" s="31" t="n">
        <v>6</v>
      </c>
      <c r="H2698" s="41" t="n">
        <v>9.1</v>
      </c>
      <c r="I2698" s="31" t="s">
        <v>149</v>
      </c>
      <c r="J2698" s="31"/>
      <c r="K2698" s="31" t="s">
        <v>150</v>
      </c>
      <c r="L2698" s="45" t="n">
        <f aca="false">DATE(YEAR(B2698),MONTH(B2698),1)</f>
        <v>46235</v>
      </c>
      <c r="M2698" s="31" t="n">
        <f aca="false">WEEKDAY(B2698,2)</f>
        <v>5</v>
      </c>
      <c r="N2698" s="31" t="str">
        <f aca="false">IF(G2698&lt;=INDEX(Assumptions!$B$15:$B$18,MATCH(E2698,Assumptions!$A$15:$A$18,0)),"Yes","No")</f>
        <v>Yes</v>
      </c>
      <c r="O2698" s="31" t="str">
        <f aca="false">IF(H2698="","Open",IF(H2698&lt;=INDEX(Assumptions!$C$15:$C$18,MATCH(E2698,Assumptions!$A$15:$A$18,0)),"Yes","No"))</f>
        <v>Yes</v>
      </c>
    </row>
    <row r="2699" customFormat="false" ht="15" hidden="false" customHeight="false" outlineLevel="0" collapsed="false">
      <c r="A2699" s="31" t="s">
        <v>2849</v>
      </c>
      <c r="B2699" s="44" t="n">
        <v>46241</v>
      </c>
      <c r="C2699" s="31" t="s">
        <v>59</v>
      </c>
      <c r="D2699" s="31" t="s">
        <v>67</v>
      </c>
      <c r="E2699" s="31" t="s">
        <v>49</v>
      </c>
      <c r="F2699" s="31" t="s">
        <v>126</v>
      </c>
      <c r="G2699" s="31" t="n">
        <v>13</v>
      </c>
      <c r="H2699" s="41" t="n">
        <v>18.7</v>
      </c>
      <c r="I2699" s="31" t="s">
        <v>64</v>
      </c>
      <c r="J2699" s="31"/>
      <c r="K2699" s="31" t="s">
        <v>150</v>
      </c>
      <c r="L2699" s="45" t="n">
        <f aca="false">DATE(YEAR(B2699),MONTH(B2699),1)</f>
        <v>46235</v>
      </c>
      <c r="M2699" s="31" t="n">
        <f aca="false">WEEKDAY(B2699,2)</f>
        <v>5</v>
      </c>
      <c r="N2699" s="31" t="str">
        <f aca="false">IF(G2699&lt;=INDEX(Assumptions!$B$15:$B$18,MATCH(E2699,Assumptions!$A$15:$A$18,0)),"Yes","No")</f>
        <v>Yes</v>
      </c>
      <c r="O2699" s="31" t="str">
        <f aca="false">IF(H2699="","Open",IF(H2699&lt;=INDEX(Assumptions!$C$15:$C$18,MATCH(E2699,Assumptions!$A$15:$A$18,0)),"Yes","No"))</f>
        <v>No</v>
      </c>
    </row>
    <row r="2700" customFormat="false" ht="15" hidden="false" customHeight="false" outlineLevel="0" collapsed="false">
      <c r="A2700" s="31" t="s">
        <v>2850</v>
      </c>
      <c r="B2700" s="44" t="n">
        <v>46241</v>
      </c>
      <c r="C2700" s="31" t="s">
        <v>60</v>
      </c>
      <c r="D2700" s="31" t="s">
        <v>67</v>
      </c>
      <c r="E2700" s="31" t="s">
        <v>52</v>
      </c>
      <c r="F2700" s="31" t="s">
        <v>128</v>
      </c>
      <c r="G2700" s="31" t="n">
        <v>4</v>
      </c>
      <c r="H2700" s="41" t="n">
        <v>20.8</v>
      </c>
      <c r="I2700" s="31" t="s">
        <v>149</v>
      </c>
      <c r="J2700" s="31" t="n">
        <v>5</v>
      </c>
      <c r="K2700" s="31" t="s">
        <v>150</v>
      </c>
      <c r="L2700" s="45" t="n">
        <f aca="false">DATE(YEAR(B2700),MONTH(B2700),1)</f>
        <v>46235</v>
      </c>
      <c r="M2700" s="31" t="n">
        <f aca="false">WEEKDAY(B2700,2)</f>
        <v>5</v>
      </c>
      <c r="N2700" s="31" t="str">
        <f aca="false">IF(G2700&lt;=INDEX(Assumptions!$B$15:$B$18,MATCH(E2700,Assumptions!$A$15:$A$18,0)),"Yes","No")</f>
        <v>Yes</v>
      </c>
      <c r="O2700" s="31" t="str">
        <f aca="false">IF(H2700="","Open",IF(H2700&lt;=INDEX(Assumptions!$C$15:$C$18,MATCH(E2700,Assumptions!$A$15:$A$18,0)),"Yes","No"))</f>
        <v>Yes</v>
      </c>
    </row>
    <row r="2701" customFormat="false" ht="15" hidden="false" customHeight="false" outlineLevel="0" collapsed="false">
      <c r="A2701" s="31" t="s">
        <v>2851</v>
      </c>
      <c r="B2701" s="44" t="n">
        <v>46241</v>
      </c>
      <c r="C2701" s="31" t="s">
        <v>59</v>
      </c>
      <c r="D2701" s="31" t="s">
        <v>67</v>
      </c>
      <c r="E2701" s="31" t="s">
        <v>51</v>
      </c>
      <c r="F2701" s="31" t="s">
        <v>130</v>
      </c>
      <c r="G2701" s="31" t="n">
        <v>64</v>
      </c>
      <c r="H2701" s="41" t="n">
        <v>8.5</v>
      </c>
      <c r="I2701" s="31" t="s">
        <v>149</v>
      </c>
      <c r="J2701" s="31"/>
      <c r="K2701" s="31" t="s">
        <v>150</v>
      </c>
      <c r="L2701" s="45" t="n">
        <f aca="false">DATE(YEAR(B2701),MONTH(B2701),1)</f>
        <v>46235</v>
      </c>
      <c r="M2701" s="31" t="n">
        <f aca="false">WEEKDAY(B2701,2)</f>
        <v>5</v>
      </c>
      <c r="N2701" s="31" t="str">
        <f aca="false">IF(G2701&lt;=INDEX(Assumptions!$B$15:$B$18,MATCH(E2701,Assumptions!$A$15:$A$18,0)),"Yes","No")</f>
        <v>No</v>
      </c>
      <c r="O2701" s="31" t="str">
        <f aca="false">IF(H2701="","Open",IF(H2701&lt;=INDEX(Assumptions!$C$15:$C$18,MATCH(E2701,Assumptions!$A$15:$A$18,0)),"Yes","No"))</f>
        <v>Yes</v>
      </c>
    </row>
    <row r="2702" customFormat="false" ht="15" hidden="false" customHeight="false" outlineLevel="0" collapsed="false">
      <c r="A2702" s="31" t="s">
        <v>2852</v>
      </c>
      <c r="B2702" s="44" t="n">
        <v>46241</v>
      </c>
      <c r="C2702" s="31" t="s">
        <v>58</v>
      </c>
      <c r="D2702" s="31" t="s">
        <v>66</v>
      </c>
      <c r="E2702" s="31" t="s">
        <v>51</v>
      </c>
      <c r="F2702" s="31" t="s">
        <v>117</v>
      </c>
      <c r="G2702" s="31" t="n">
        <v>8</v>
      </c>
      <c r="H2702" s="41" t="n">
        <v>16</v>
      </c>
      <c r="I2702" s="31" t="s">
        <v>149</v>
      </c>
      <c r="J2702" s="31"/>
      <c r="K2702" s="31" t="s">
        <v>150</v>
      </c>
      <c r="L2702" s="45" t="n">
        <f aca="false">DATE(YEAR(B2702),MONTH(B2702),1)</f>
        <v>46235</v>
      </c>
      <c r="M2702" s="31" t="n">
        <f aca="false">WEEKDAY(B2702,2)</f>
        <v>5</v>
      </c>
      <c r="N2702" s="31" t="str">
        <f aca="false">IF(G2702&lt;=INDEX(Assumptions!$B$15:$B$18,MATCH(E2702,Assumptions!$A$15:$A$18,0)),"Yes","No")</f>
        <v>Yes</v>
      </c>
      <c r="O2702" s="31" t="str">
        <f aca="false">IF(H2702="","Open",IF(H2702&lt;=INDEX(Assumptions!$C$15:$C$18,MATCH(E2702,Assumptions!$A$15:$A$18,0)),"Yes","No"))</f>
        <v>Yes</v>
      </c>
    </row>
    <row r="2703" customFormat="false" ht="15" hidden="false" customHeight="false" outlineLevel="0" collapsed="false">
      <c r="A2703" s="31" t="s">
        <v>2853</v>
      </c>
      <c r="B2703" s="44" t="n">
        <v>46241</v>
      </c>
      <c r="C2703" s="31" t="s">
        <v>59</v>
      </c>
      <c r="D2703" s="31" t="s">
        <v>66</v>
      </c>
      <c r="E2703" s="31" t="s">
        <v>51</v>
      </c>
      <c r="F2703" s="31" t="s">
        <v>130</v>
      </c>
      <c r="G2703" s="31" t="n">
        <v>60</v>
      </c>
      <c r="H2703" s="41" t="n">
        <v>9.7</v>
      </c>
      <c r="I2703" s="31" t="s">
        <v>149</v>
      </c>
      <c r="J2703" s="31" t="n">
        <v>4</v>
      </c>
      <c r="K2703" s="31" t="s">
        <v>150</v>
      </c>
      <c r="L2703" s="45" t="n">
        <f aca="false">DATE(YEAR(B2703),MONTH(B2703),1)</f>
        <v>46235</v>
      </c>
      <c r="M2703" s="31" t="n">
        <f aca="false">WEEKDAY(B2703,2)</f>
        <v>5</v>
      </c>
      <c r="N2703" s="31" t="str">
        <f aca="false">IF(G2703&lt;=INDEX(Assumptions!$B$15:$B$18,MATCH(E2703,Assumptions!$A$15:$A$18,0)),"Yes","No")</f>
        <v>Yes</v>
      </c>
      <c r="O2703" s="31" t="str">
        <f aca="false">IF(H2703="","Open",IF(H2703&lt;=INDEX(Assumptions!$C$15:$C$18,MATCH(E2703,Assumptions!$A$15:$A$18,0)),"Yes","No"))</f>
        <v>Yes</v>
      </c>
    </row>
    <row r="2704" customFormat="false" ht="15" hidden="false" customHeight="false" outlineLevel="0" collapsed="false">
      <c r="A2704" s="31" t="s">
        <v>2854</v>
      </c>
      <c r="B2704" s="44" t="n">
        <v>46241</v>
      </c>
      <c r="C2704" s="31" t="s">
        <v>59</v>
      </c>
      <c r="D2704" s="31" t="s">
        <v>65</v>
      </c>
      <c r="E2704" s="31" t="s">
        <v>51</v>
      </c>
      <c r="F2704" s="31" t="s">
        <v>119</v>
      </c>
      <c r="G2704" s="31" t="n">
        <v>36</v>
      </c>
      <c r="H2704" s="41" t="n">
        <v>7.6</v>
      </c>
      <c r="I2704" s="31" t="s">
        <v>149</v>
      </c>
      <c r="J2704" s="31"/>
      <c r="K2704" s="31" t="s">
        <v>150</v>
      </c>
      <c r="L2704" s="45" t="n">
        <f aca="false">DATE(YEAR(B2704),MONTH(B2704),1)</f>
        <v>46235</v>
      </c>
      <c r="M2704" s="31" t="n">
        <f aca="false">WEEKDAY(B2704,2)</f>
        <v>5</v>
      </c>
      <c r="N2704" s="31" t="str">
        <f aca="false">IF(G2704&lt;=INDEX(Assumptions!$B$15:$B$18,MATCH(E2704,Assumptions!$A$15:$A$18,0)),"Yes","No")</f>
        <v>Yes</v>
      </c>
      <c r="O2704" s="31" t="str">
        <f aca="false">IF(H2704="","Open",IF(H2704&lt;=INDEX(Assumptions!$C$15:$C$18,MATCH(E2704,Assumptions!$A$15:$A$18,0)),"Yes","No"))</f>
        <v>Yes</v>
      </c>
    </row>
    <row r="2705" customFormat="false" ht="15" hidden="false" customHeight="false" outlineLevel="0" collapsed="false">
      <c r="A2705" s="31" t="s">
        <v>2855</v>
      </c>
      <c r="B2705" s="44" t="n">
        <v>46241</v>
      </c>
      <c r="C2705" s="31" t="s">
        <v>57</v>
      </c>
      <c r="D2705" s="31" t="s">
        <v>68</v>
      </c>
      <c r="E2705" s="31" t="s">
        <v>52</v>
      </c>
      <c r="F2705" s="31" t="s">
        <v>127</v>
      </c>
      <c r="G2705" s="31" t="n">
        <v>5</v>
      </c>
      <c r="H2705" s="41" t="n">
        <v>4.1</v>
      </c>
      <c r="I2705" s="31" t="s">
        <v>149</v>
      </c>
      <c r="J2705" s="31"/>
      <c r="K2705" s="31" t="s">
        <v>150</v>
      </c>
      <c r="L2705" s="45" t="n">
        <f aca="false">DATE(YEAR(B2705),MONTH(B2705),1)</f>
        <v>46235</v>
      </c>
      <c r="M2705" s="31" t="n">
        <f aca="false">WEEKDAY(B2705,2)</f>
        <v>5</v>
      </c>
      <c r="N2705" s="31" t="str">
        <f aca="false">IF(G2705&lt;=INDEX(Assumptions!$B$15:$B$18,MATCH(E2705,Assumptions!$A$15:$A$18,0)),"Yes","No")</f>
        <v>Yes</v>
      </c>
      <c r="O2705" s="31" t="str">
        <f aca="false">IF(H2705="","Open",IF(H2705&lt;=INDEX(Assumptions!$C$15:$C$18,MATCH(E2705,Assumptions!$A$15:$A$18,0)),"Yes","No"))</f>
        <v>Yes</v>
      </c>
    </row>
    <row r="2706" customFormat="false" ht="15" hidden="false" customHeight="false" outlineLevel="0" collapsed="false">
      <c r="A2706" s="31" t="s">
        <v>2856</v>
      </c>
      <c r="B2706" s="44" t="n">
        <v>46241</v>
      </c>
      <c r="C2706" s="31" t="s">
        <v>57</v>
      </c>
      <c r="D2706" s="31" t="s">
        <v>68</v>
      </c>
      <c r="E2706" s="31" t="s">
        <v>52</v>
      </c>
      <c r="F2706" s="31" t="s">
        <v>119</v>
      </c>
      <c r="G2706" s="31" t="n">
        <v>17</v>
      </c>
      <c r="H2706" s="41" t="n">
        <v>3.1</v>
      </c>
      <c r="I2706" s="31" t="s">
        <v>149</v>
      </c>
      <c r="J2706" s="31"/>
      <c r="K2706" s="31" t="s">
        <v>150</v>
      </c>
      <c r="L2706" s="45" t="n">
        <f aca="false">DATE(YEAR(B2706),MONTH(B2706),1)</f>
        <v>46235</v>
      </c>
      <c r="M2706" s="31" t="n">
        <f aca="false">WEEKDAY(B2706,2)</f>
        <v>5</v>
      </c>
      <c r="N2706" s="31" t="str">
        <f aca="false">IF(G2706&lt;=INDEX(Assumptions!$B$15:$B$18,MATCH(E2706,Assumptions!$A$15:$A$18,0)),"Yes","No")</f>
        <v>Yes</v>
      </c>
      <c r="O2706" s="31" t="str">
        <f aca="false">IF(H2706="","Open",IF(H2706&lt;=INDEX(Assumptions!$C$15:$C$18,MATCH(E2706,Assumptions!$A$15:$A$18,0)),"Yes","No"))</f>
        <v>Yes</v>
      </c>
    </row>
    <row r="2707" customFormat="false" ht="15" hidden="false" customHeight="false" outlineLevel="0" collapsed="false">
      <c r="A2707" s="31" t="s">
        <v>2857</v>
      </c>
      <c r="B2707" s="44" t="n">
        <v>46241</v>
      </c>
      <c r="C2707" s="31" t="s">
        <v>57</v>
      </c>
      <c r="D2707" s="31" t="s">
        <v>65</v>
      </c>
      <c r="E2707" s="31" t="s">
        <v>51</v>
      </c>
      <c r="F2707" s="31" t="s">
        <v>119</v>
      </c>
      <c r="G2707" s="31" t="n">
        <v>3</v>
      </c>
      <c r="H2707" s="41" t="n">
        <v>7</v>
      </c>
      <c r="I2707" s="31" t="s">
        <v>149</v>
      </c>
      <c r="J2707" s="31"/>
      <c r="K2707" s="31" t="s">
        <v>150</v>
      </c>
      <c r="L2707" s="45" t="n">
        <f aca="false">DATE(YEAR(B2707),MONTH(B2707),1)</f>
        <v>46235</v>
      </c>
      <c r="M2707" s="31" t="n">
        <f aca="false">WEEKDAY(B2707,2)</f>
        <v>5</v>
      </c>
      <c r="N2707" s="31" t="str">
        <f aca="false">IF(G2707&lt;=INDEX(Assumptions!$B$15:$B$18,MATCH(E2707,Assumptions!$A$15:$A$18,0)),"Yes","No")</f>
        <v>Yes</v>
      </c>
      <c r="O2707" s="31" t="str">
        <f aca="false">IF(H2707="","Open",IF(H2707&lt;=INDEX(Assumptions!$C$15:$C$18,MATCH(E2707,Assumptions!$A$15:$A$18,0)),"Yes","No"))</f>
        <v>Yes</v>
      </c>
    </row>
    <row r="2708" customFormat="false" ht="15" hidden="false" customHeight="false" outlineLevel="0" collapsed="false">
      <c r="A2708" s="31" t="s">
        <v>2858</v>
      </c>
      <c r="B2708" s="44" t="n">
        <v>46241</v>
      </c>
      <c r="C2708" s="31" t="s">
        <v>60</v>
      </c>
      <c r="D2708" s="31" t="s">
        <v>66</v>
      </c>
      <c r="E2708" s="31" t="s">
        <v>50</v>
      </c>
      <c r="F2708" s="31" t="s">
        <v>126</v>
      </c>
      <c r="G2708" s="31" t="n">
        <v>2</v>
      </c>
      <c r="H2708" s="41" t="n">
        <v>4.8</v>
      </c>
      <c r="I2708" s="31" t="s">
        <v>149</v>
      </c>
      <c r="J2708" s="31" t="n">
        <v>4</v>
      </c>
      <c r="K2708" s="31" t="s">
        <v>150</v>
      </c>
      <c r="L2708" s="45" t="n">
        <f aca="false">DATE(YEAR(B2708),MONTH(B2708),1)</f>
        <v>46235</v>
      </c>
      <c r="M2708" s="31" t="n">
        <f aca="false">WEEKDAY(B2708,2)</f>
        <v>5</v>
      </c>
      <c r="N2708" s="31" t="str">
        <f aca="false">IF(G2708&lt;=INDEX(Assumptions!$B$15:$B$18,MATCH(E2708,Assumptions!$A$15:$A$18,0)),"Yes","No")</f>
        <v>Yes</v>
      </c>
      <c r="O2708" s="31" t="str">
        <f aca="false">IF(H2708="","Open",IF(H2708&lt;=INDEX(Assumptions!$C$15:$C$18,MATCH(E2708,Assumptions!$A$15:$A$18,0)),"Yes","No"))</f>
        <v>Yes</v>
      </c>
    </row>
    <row r="2709" customFormat="false" ht="15" hidden="false" customHeight="false" outlineLevel="0" collapsed="false">
      <c r="A2709" s="31" t="s">
        <v>2859</v>
      </c>
      <c r="B2709" s="44" t="n">
        <v>46241</v>
      </c>
      <c r="C2709" s="31" t="s">
        <v>57</v>
      </c>
      <c r="D2709" s="31" t="s">
        <v>67</v>
      </c>
      <c r="E2709" s="31" t="s">
        <v>51</v>
      </c>
      <c r="F2709" s="31" t="s">
        <v>136</v>
      </c>
      <c r="G2709" s="31" t="n">
        <v>2</v>
      </c>
      <c r="H2709" s="41" t="n">
        <v>18</v>
      </c>
      <c r="I2709" s="31" t="s">
        <v>64</v>
      </c>
      <c r="J2709" s="31" t="n">
        <v>3</v>
      </c>
      <c r="K2709" s="31" t="s">
        <v>150</v>
      </c>
      <c r="L2709" s="45" t="n">
        <f aca="false">DATE(YEAR(B2709),MONTH(B2709),1)</f>
        <v>46235</v>
      </c>
      <c r="M2709" s="31" t="n">
        <f aca="false">WEEKDAY(B2709,2)</f>
        <v>5</v>
      </c>
      <c r="N2709" s="31" t="str">
        <f aca="false">IF(G2709&lt;=INDEX(Assumptions!$B$15:$B$18,MATCH(E2709,Assumptions!$A$15:$A$18,0)),"Yes","No")</f>
        <v>Yes</v>
      </c>
      <c r="O2709" s="31" t="str">
        <f aca="false">IF(H2709="","Open",IF(H2709&lt;=INDEX(Assumptions!$C$15:$C$18,MATCH(E2709,Assumptions!$A$15:$A$18,0)),"Yes","No"))</f>
        <v>Yes</v>
      </c>
    </row>
    <row r="2710" customFormat="false" ht="15" hidden="false" customHeight="false" outlineLevel="0" collapsed="false">
      <c r="A2710" s="31" t="s">
        <v>2860</v>
      </c>
      <c r="B2710" s="44" t="n">
        <v>46241</v>
      </c>
      <c r="C2710" s="31" t="s">
        <v>57</v>
      </c>
      <c r="D2710" s="31" t="s">
        <v>68</v>
      </c>
      <c r="E2710" s="31" t="s">
        <v>52</v>
      </c>
      <c r="F2710" s="31" t="s">
        <v>126</v>
      </c>
      <c r="G2710" s="31" t="n">
        <v>2</v>
      </c>
      <c r="H2710" s="41" t="n">
        <v>5.7</v>
      </c>
      <c r="I2710" s="31" t="s">
        <v>149</v>
      </c>
      <c r="J2710" s="31"/>
      <c r="K2710" s="31" t="s">
        <v>150</v>
      </c>
      <c r="L2710" s="45" t="n">
        <f aca="false">DATE(YEAR(B2710),MONTH(B2710),1)</f>
        <v>46235</v>
      </c>
      <c r="M2710" s="31" t="n">
        <f aca="false">WEEKDAY(B2710,2)</f>
        <v>5</v>
      </c>
      <c r="N2710" s="31" t="str">
        <f aca="false">IF(G2710&lt;=INDEX(Assumptions!$B$15:$B$18,MATCH(E2710,Assumptions!$A$15:$A$18,0)),"Yes","No")</f>
        <v>Yes</v>
      </c>
      <c r="O2710" s="31" t="str">
        <f aca="false">IF(H2710="","Open",IF(H2710&lt;=INDEX(Assumptions!$C$15:$C$18,MATCH(E2710,Assumptions!$A$15:$A$18,0)),"Yes","No"))</f>
        <v>Yes</v>
      </c>
    </row>
    <row r="2711" customFormat="false" ht="15" hidden="false" customHeight="false" outlineLevel="0" collapsed="false">
      <c r="A2711" s="31" t="s">
        <v>2861</v>
      </c>
      <c r="B2711" s="44" t="n">
        <v>46241</v>
      </c>
      <c r="C2711" s="31" t="s">
        <v>60</v>
      </c>
      <c r="D2711" s="31" t="s">
        <v>67</v>
      </c>
      <c r="E2711" s="31" t="s">
        <v>51</v>
      </c>
      <c r="F2711" s="31" t="s">
        <v>136</v>
      </c>
      <c r="G2711" s="31" t="n">
        <v>2</v>
      </c>
      <c r="H2711" s="41"/>
      <c r="I2711" s="31" t="s">
        <v>158</v>
      </c>
      <c r="J2711" s="31"/>
      <c r="K2711" s="31" t="s">
        <v>150</v>
      </c>
      <c r="L2711" s="45" t="n">
        <f aca="false">DATE(YEAR(B2711),MONTH(B2711),1)</f>
        <v>46235</v>
      </c>
      <c r="M2711" s="31" t="n">
        <f aca="false">WEEKDAY(B2711,2)</f>
        <v>5</v>
      </c>
      <c r="N2711" s="31" t="str">
        <f aca="false">IF(G2711&lt;=INDEX(Assumptions!$B$15:$B$18,MATCH(E2711,Assumptions!$A$15:$A$18,0)),"Yes","No")</f>
        <v>Yes</v>
      </c>
      <c r="O2711" s="31" t="str">
        <f aca="false">IF(H2711="","Open",IF(H2711&lt;=INDEX(Assumptions!$C$15:$C$18,MATCH(E2711,Assumptions!$A$15:$A$18,0)),"Yes","No"))</f>
        <v>Open</v>
      </c>
    </row>
    <row r="2712" customFormat="false" ht="15" hidden="false" customHeight="false" outlineLevel="0" collapsed="false">
      <c r="A2712" s="31" t="s">
        <v>2862</v>
      </c>
      <c r="B2712" s="44" t="n">
        <v>46241</v>
      </c>
      <c r="C2712" s="31" t="s">
        <v>59</v>
      </c>
      <c r="D2712" s="31" t="s">
        <v>66</v>
      </c>
      <c r="E2712" s="31" t="s">
        <v>49</v>
      </c>
      <c r="F2712" s="31" t="s">
        <v>123</v>
      </c>
      <c r="G2712" s="31" t="n">
        <v>57</v>
      </c>
      <c r="H2712" s="41" t="n">
        <v>3.4</v>
      </c>
      <c r="I2712" s="31" t="s">
        <v>149</v>
      </c>
      <c r="J2712" s="31" t="n">
        <v>4</v>
      </c>
      <c r="K2712" s="31" t="s">
        <v>150</v>
      </c>
      <c r="L2712" s="45" t="n">
        <f aca="false">DATE(YEAR(B2712),MONTH(B2712),1)</f>
        <v>46235</v>
      </c>
      <c r="M2712" s="31" t="n">
        <f aca="false">WEEKDAY(B2712,2)</f>
        <v>5</v>
      </c>
      <c r="N2712" s="31" t="str">
        <f aca="false">IF(G2712&lt;=INDEX(Assumptions!$B$15:$B$18,MATCH(E2712,Assumptions!$A$15:$A$18,0)),"Yes","No")</f>
        <v>No</v>
      </c>
      <c r="O2712" s="31" t="str">
        <f aca="false">IF(H2712="","Open",IF(H2712&lt;=INDEX(Assumptions!$C$15:$C$18,MATCH(E2712,Assumptions!$A$15:$A$18,0)),"Yes","No"))</f>
        <v>Yes</v>
      </c>
    </row>
    <row r="2713" customFormat="false" ht="15" hidden="false" customHeight="false" outlineLevel="0" collapsed="false">
      <c r="A2713" s="31" t="s">
        <v>2863</v>
      </c>
      <c r="B2713" s="44" t="n">
        <v>46241</v>
      </c>
      <c r="C2713" s="31" t="s">
        <v>59</v>
      </c>
      <c r="D2713" s="31" t="s">
        <v>65</v>
      </c>
      <c r="E2713" s="31" t="s">
        <v>51</v>
      </c>
      <c r="F2713" s="31" t="s">
        <v>126</v>
      </c>
      <c r="G2713" s="31" t="n">
        <v>96</v>
      </c>
      <c r="H2713" s="41" t="n">
        <v>6.7</v>
      </c>
      <c r="I2713" s="31" t="s">
        <v>149</v>
      </c>
      <c r="J2713" s="31"/>
      <c r="K2713" s="31" t="s">
        <v>150</v>
      </c>
      <c r="L2713" s="45" t="n">
        <f aca="false">DATE(YEAR(B2713),MONTH(B2713),1)</f>
        <v>46235</v>
      </c>
      <c r="M2713" s="31" t="n">
        <f aca="false">WEEKDAY(B2713,2)</f>
        <v>5</v>
      </c>
      <c r="N2713" s="31" t="str">
        <f aca="false">IF(G2713&lt;=INDEX(Assumptions!$B$15:$B$18,MATCH(E2713,Assumptions!$A$15:$A$18,0)),"Yes","No")</f>
        <v>No</v>
      </c>
      <c r="O2713" s="31" t="str">
        <f aca="false">IF(H2713="","Open",IF(H2713&lt;=INDEX(Assumptions!$C$15:$C$18,MATCH(E2713,Assumptions!$A$15:$A$18,0)),"Yes","No"))</f>
        <v>Yes</v>
      </c>
    </row>
    <row r="2714" customFormat="false" ht="15" hidden="false" customHeight="false" outlineLevel="0" collapsed="false">
      <c r="A2714" s="31" t="s">
        <v>2864</v>
      </c>
      <c r="B2714" s="44" t="n">
        <v>46241</v>
      </c>
      <c r="C2714" s="31" t="s">
        <v>58</v>
      </c>
      <c r="D2714" s="31" t="s">
        <v>66</v>
      </c>
      <c r="E2714" s="31" t="s">
        <v>51</v>
      </c>
      <c r="F2714" s="31" t="s">
        <v>129</v>
      </c>
      <c r="G2714" s="31" t="n">
        <v>3</v>
      </c>
      <c r="H2714" s="41" t="n">
        <v>18.1</v>
      </c>
      <c r="I2714" s="31" t="s">
        <v>149</v>
      </c>
      <c r="J2714" s="31" t="n">
        <v>4</v>
      </c>
      <c r="K2714" s="31" t="s">
        <v>153</v>
      </c>
      <c r="L2714" s="45" t="n">
        <f aca="false">DATE(YEAR(B2714),MONTH(B2714),1)</f>
        <v>46235</v>
      </c>
      <c r="M2714" s="31" t="n">
        <f aca="false">WEEKDAY(B2714,2)</f>
        <v>5</v>
      </c>
      <c r="N2714" s="31" t="str">
        <f aca="false">IF(G2714&lt;=INDEX(Assumptions!$B$15:$B$18,MATCH(E2714,Assumptions!$A$15:$A$18,0)),"Yes","No")</f>
        <v>Yes</v>
      </c>
      <c r="O2714" s="31" t="str">
        <f aca="false">IF(H2714="","Open",IF(H2714&lt;=INDEX(Assumptions!$C$15:$C$18,MATCH(E2714,Assumptions!$A$15:$A$18,0)),"Yes","No"))</f>
        <v>Yes</v>
      </c>
    </row>
    <row r="2715" customFormat="false" ht="15" hidden="false" customHeight="false" outlineLevel="0" collapsed="false">
      <c r="A2715" s="31" t="s">
        <v>2865</v>
      </c>
      <c r="B2715" s="44" t="n">
        <v>46241</v>
      </c>
      <c r="C2715" s="31" t="s">
        <v>57</v>
      </c>
      <c r="D2715" s="31" t="s">
        <v>66</v>
      </c>
      <c r="E2715" s="31" t="s">
        <v>51</v>
      </c>
      <c r="F2715" s="31" t="s">
        <v>121</v>
      </c>
      <c r="G2715" s="31" t="n">
        <v>4</v>
      </c>
      <c r="H2715" s="41" t="n">
        <v>4.3</v>
      </c>
      <c r="I2715" s="31" t="s">
        <v>149</v>
      </c>
      <c r="J2715" s="31" t="n">
        <v>4</v>
      </c>
      <c r="K2715" s="31" t="s">
        <v>150</v>
      </c>
      <c r="L2715" s="45" t="n">
        <f aca="false">DATE(YEAR(B2715),MONTH(B2715),1)</f>
        <v>46235</v>
      </c>
      <c r="M2715" s="31" t="n">
        <f aca="false">WEEKDAY(B2715,2)</f>
        <v>5</v>
      </c>
      <c r="N2715" s="31" t="str">
        <f aca="false">IF(G2715&lt;=INDEX(Assumptions!$B$15:$B$18,MATCH(E2715,Assumptions!$A$15:$A$18,0)),"Yes","No")</f>
        <v>Yes</v>
      </c>
      <c r="O2715" s="31" t="str">
        <f aca="false">IF(H2715="","Open",IF(H2715&lt;=INDEX(Assumptions!$C$15:$C$18,MATCH(E2715,Assumptions!$A$15:$A$18,0)),"Yes","No"))</f>
        <v>Yes</v>
      </c>
    </row>
    <row r="2716" customFormat="false" ht="15" hidden="false" customHeight="false" outlineLevel="0" collapsed="false">
      <c r="A2716" s="31" t="s">
        <v>2866</v>
      </c>
      <c r="B2716" s="44" t="n">
        <v>46241</v>
      </c>
      <c r="C2716" s="31" t="s">
        <v>58</v>
      </c>
      <c r="D2716" s="31" t="s">
        <v>65</v>
      </c>
      <c r="E2716" s="31" t="s">
        <v>49</v>
      </c>
      <c r="F2716" s="31" t="s">
        <v>134</v>
      </c>
      <c r="G2716" s="31" t="n">
        <v>7</v>
      </c>
      <c r="H2716" s="41" t="n">
        <v>13</v>
      </c>
      <c r="I2716" s="31" t="s">
        <v>149</v>
      </c>
      <c r="J2716" s="31" t="n">
        <v>4</v>
      </c>
      <c r="K2716" s="31" t="s">
        <v>150</v>
      </c>
      <c r="L2716" s="45" t="n">
        <f aca="false">DATE(YEAR(B2716),MONTH(B2716),1)</f>
        <v>46235</v>
      </c>
      <c r="M2716" s="31" t="n">
        <f aca="false">WEEKDAY(B2716,2)</f>
        <v>5</v>
      </c>
      <c r="N2716" s="31" t="str">
        <f aca="false">IF(G2716&lt;=INDEX(Assumptions!$B$15:$B$18,MATCH(E2716,Assumptions!$A$15:$A$18,0)),"Yes","No")</f>
        <v>Yes</v>
      </c>
      <c r="O2716" s="31" t="str">
        <f aca="false">IF(H2716="","Open",IF(H2716&lt;=INDEX(Assumptions!$C$15:$C$18,MATCH(E2716,Assumptions!$A$15:$A$18,0)),"Yes","No"))</f>
        <v>No</v>
      </c>
    </row>
    <row r="2717" customFormat="false" ht="15" hidden="false" customHeight="false" outlineLevel="0" collapsed="false">
      <c r="A2717" s="31" t="s">
        <v>2867</v>
      </c>
      <c r="B2717" s="44" t="n">
        <v>46241</v>
      </c>
      <c r="C2717" s="31" t="s">
        <v>58</v>
      </c>
      <c r="D2717" s="31" t="s">
        <v>68</v>
      </c>
      <c r="E2717" s="31" t="s">
        <v>50</v>
      </c>
      <c r="F2717" s="31" t="s">
        <v>121</v>
      </c>
      <c r="G2717" s="31" t="n">
        <v>34</v>
      </c>
      <c r="H2717" s="41" t="n">
        <v>5.5</v>
      </c>
      <c r="I2717" s="31" t="s">
        <v>149</v>
      </c>
      <c r="J2717" s="31"/>
      <c r="K2717" s="31" t="s">
        <v>150</v>
      </c>
      <c r="L2717" s="45" t="n">
        <f aca="false">DATE(YEAR(B2717),MONTH(B2717),1)</f>
        <v>46235</v>
      </c>
      <c r="M2717" s="31" t="n">
        <f aca="false">WEEKDAY(B2717,2)</f>
        <v>5</v>
      </c>
      <c r="N2717" s="31" t="str">
        <f aca="false">IF(G2717&lt;=INDEX(Assumptions!$B$15:$B$18,MATCH(E2717,Assumptions!$A$15:$A$18,0)),"Yes","No")</f>
        <v>No</v>
      </c>
      <c r="O2717" s="31" t="str">
        <f aca="false">IF(H2717="","Open",IF(H2717&lt;=INDEX(Assumptions!$C$15:$C$18,MATCH(E2717,Assumptions!$A$15:$A$18,0)),"Yes","No"))</f>
        <v>Yes</v>
      </c>
    </row>
    <row r="2718" customFormat="false" ht="15" hidden="false" customHeight="false" outlineLevel="0" collapsed="false">
      <c r="A2718" s="31" t="s">
        <v>2868</v>
      </c>
      <c r="B2718" s="44" t="n">
        <v>46241</v>
      </c>
      <c r="C2718" s="31" t="s">
        <v>58</v>
      </c>
      <c r="D2718" s="31" t="s">
        <v>65</v>
      </c>
      <c r="E2718" s="31" t="s">
        <v>52</v>
      </c>
      <c r="F2718" s="31" t="s">
        <v>130</v>
      </c>
      <c r="G2718" s="31" t="n">
        <v>6</v>
      </c>
      <c r="H2718" s="41" t="n">
        <v>7.4</v>
      </c>
      <c r="I2718" s="31" t="s">
        <v>149</v>
      </c>
      <c r="J2718" s="31"/>
      <c r="K2718" s="31" t="s">
        <v>150</v>
      </c>
      <c r="L2718" s="45" t="n">
        <f aca="false">DATE(YEAR(B2718),MONTH(B2718),1)</f>
        <v>46235</v>
      </c>
      <c r="M2718" s="31" t="n">
        <f aca="false">WEEKDAY(B2718,2)</f>
        <v>5</v>
      </c>
      <c r="N2718" s="31" t="str">
        <f aca="false">IF(G2718&lt;=INDEX(Assumptions!$B$15:$B$18,MATCH(E2718,Assumptions!$A$15:$A$18,0)),"Yes","No")</f>
        <v>Yes</v>
      </c>
      <c r="O2718" s="31" t="str">
        <f aca="false">IF(H2718="","Open",IF(H2718&lt;=INDEX(Assumptions!$C$15:$C$18,MATCH(E2718,Assumptions!$A$15:$A$18,0)),"Yes","No"))</f>
        <v>Yes</v>
      </c>
    </row>
    <row r="2719" customFormat="false" ht="15" hidden="false" customHeight="false" outlineLevel="0" collapsed="false">
      <c r="A2719" s="31" t="s">
        <v>2869</v>
      </c>
      <c r="B2719" s="44" t="n">
        <v>46241</v>
      </c>
      <c r="C2719" s="31" t="s">
        <v>58</v>
      </c>
      <c r="D2719" s="31" t="s">
        <v>66</v>
      </c>
      <c r="E2719" s="31" t="s">
        <v>52</v>
      </c>
      <c r="F2719" s="31" t="s">
        <v>135</v>
      </c>
      <c r="G2719" s="31" t="n">
        <v>47</v>
      </c>
      <c r="H2719" s="41" t="n">
        <v>29</v>
      </c>
      <c r="I2719" s="31" t="s">
        <v>64</v>
      </c>
      <c r="J2719" s="31" t="n">
        <v>4</v>
      </c>
      <c r="K2719" s="31" t="s">
        <v>150</v>
      </c>
      <c r="L2719" s="45" t="n">
        <f aca="false">DATE(YEAR(B2719),MONTH(B2719),1)</f>
        <v>46235</v>
      </c>
      <c r="M2719" s="31" t="n">
        <f aca="false">WEEKDAY(B2719,2)</f>
        <v>5</v>
      </c>
      <c r="N2719" s="31" t="str">
        <f aca="false">IF(G2719&lt;=INDEX(Assumptions!$B$15:$B$18,MATCH(E2719,Assumptions!$A$15:$A$18,0)),"Yes","No")</f>
        <v>Yes</v>
      </c>
      <c r="O2719" s="31" t="str">
        <f aca="false">IF(H2719="","Open",IF(H2719&lt;=INDEX(Assumptions!$C$15:$C$18,MATCH(E2719,Assumptions!$A$15:$A$18,0)),"Yes","No"))</f>
        <v>Yes</v>
      </c>
    </row>
    <row r="2720" customFormat="false" ht="15" hidden="false" customHeight="false" outlineLevel="0" collapsed="false">
      <c r="A2720" s="31" t="s">
        <v>2870</v>
      </c>
      <c r="B2720" s="44" t="n">
        <v>46241</v>
      </c>
      <c r="C2720" s="31" t="s">
        <v>57</v>
      </c>
      <c r="D2720" s="31" t="s">
        <v>68</v>
      </c>
      <c r="E2720" s="31" t="s">
        <v>49</v>
      </c>
      <c r="F2720" s="31" t="s">
        <v>136</v>
      </c>
      <c r="G2720" s="31" t="n">
        <v>1</v>
      </c>
      <c r="H2720" s="41" t="n">
        <v>0.6</v>
      </c>
      <c r="I2720" s="31" t="s">
        <v>149</v>
      </c>
      <c r="J2720" s="31"/>
      <c r="K2720" s="31" t="s">
        <v>150</v>
      </c>
      <c r="L2720" s="45" t="n">
        <f aca="false">DATE(YEAR(B2720),MONTH(B2720),1)</f>
        <v>46235</v>
      </c>
      <c r="M2720" s="31" t="n">
        <f aca="false">WEEKDAY(B2720,2)</f>
        <v>5</v>
      </c>
      <c r="N2720" s="31" t="str">
        <f aca="false">IF(G2720&lt;=INDEX(Assumptions!$B$15:$B$18,MATCH(E2720,Assumptions!$A$15:$A$18,0)),"Yes","No")</f>
        <v>Yes</v>
      </c>
      <c r="O2720" s="31" t="str">
        <f aca="false">IF(H2720="","Open",IF(H2720&lt;=INDEX(Assumptions!$C$15:$C$18,MATCH(E2720,Assumptions!$A$15:$A$18,0)),"Yes","No"))</f>
        <v>Yes</v>
      </c>
    </row>
    <row r="2721" customFormat="false" ht="15" hidden="false" customHeight="false" outlineLevel="0" collapsed="false">
      <c r="A2721" s="31" t="s">
        <v>2871</v>
      </c>
      <c r="B2721" s="44" t="n">
        <v>46241</v>
      </c>
      <c r="C2721" s="31" t="s">
        <v>59</v>
      </c>
      <c r="D2721" s="31" t="s">
        <v>66</v>
      </c>
      <c r="E2721" s="31" t="s">
        <v>49</v>
      </c>
      <c r="F2721" s="31" t="s">
        <v>127</v>
      </c>
      <c r="G2721" s="31" t="n">
        <v>31</v>
      </c>
      <c r="H2721" s="41" t="n">
        <v>3.3</v>
      </c>
      <c r="I2721" s="31" t="s">
        <v>149</v>
      </c>
      <c r="J2721" s="31" t="n">
        <v>3</v>
      </c>
      <c r="K2721" s="31" t="s">
        <v>150</v>
      </c>
      <c r="L2721" s="45" t="n">
        <f aca="false">DATE(YEAR(B2721),MONTH(B2721),1)</f>
        <v>46235</v>
      </c>
      <c r="M2721" s="31" t="n">
        <f aca="false">WEEKDAY(B2721,2)</f>
        <v>5</v>
      </c>
      <c r="N2721" s="31" t="str">
        <f aca="false">IF(G2721&lt;=INDEX(Assumptions!$B$15:$B$18,MATCH(E2721,Assumptions!$A$15:$A$18,0)),"Yes","No")</f>
        <v>No</v>
      </c>
      <c r="O2721" s="31" t="str">
        <f aca="false">IF(H2721="","Open",IF(H2721&lt;=INDEX(Assumptions!$C$15:$C$18,MATCH(E2721,Assumptions!$A$15:$A$18,0)),"Yes","No"))</f>
        <v>Yes</v>
      </c>
    </row>
    <row r="2722" customFormat="false" ht="15" hidden="false" customHeight="false" outlineLevel="0" collapsed="false">
      <c r="A2722" s="31" t="s">
        <v>2872</v>
      </c>
      <c r="B2722" s="44" t="n">
        <v>46241</v>
      </c>
      <c r="C2722" s="31" t="s">
        <v>58</v>
      </c>
      <c r="D2722" s="31" t="s">
        <v>67</v>
      </c>
      <c r="E2722" s="31" t="s">
        <v>51</v>
      </c>
      <c r="F2722" s="31" t="s">
        <v>135</v>
      </c>
      <c r="G2722" s="31" t="n">
        <v>9</v>
      </c>
      <c r="H2722" s="41"/>
      <c r="I2722" s="31" t="s">
        <v>158</v>
      </c>
      <c r="J2722" s="31"/>
      <c r="K2722" s="31" t="s">
        <v>150</v>
      </c>
      <c r="L2722" s="45" t="n">
        <f aca="false">DATE(YEAR(B2722),MONTH(B2722),1)</f>
        <v>46235</v>
      </c>
      <c r="M2722" s="31" t="n">
        <f aca="false">WEEKDAY(B2722,2)</f>
        <v>5</v>
      </c>
      <c r="N2722" s="31" t="str">
        <f aca="false">IF(G2722&lt;=INDEX(Assumptions!$B$15:$B$18,MATCH(E2722,Assumptions!$A$15:$A$18,0)),"Yes","No")</f>
        <v>Yes</v>
      </c>
      <c r="O2722" s="31" t="str">
        <f aca="false">IF(H2722="","Open",IF(H2722&lt;=INDEX(Assumptions!$C$15:$C$18,MATCH(E2722,Assumptions!$A$15:$A$18,0)),"Yes","No"))</f>
        <v>Open</v>
      </c>
    </row>
    <row r="2723" customFormat="false" ht="15" hidden="false" customHeight="false" outlineLevel="0" collapsed="false">
      <c r="A2723" s="31" t="s">
        <v>2873</v>
      </c>
      <c r="B2723" s="44" t="n">
        <v>46241</v>
      </c>
      <c r="C2723" s="31" t="s">
        <v>60</v>
      </c>
      <c r="D2723" s="31" t="s">
        <v>65</v>
      </c>
      <c r="E2723" s="31" t="s">
        <v>51</v>
      </c>
      <c r="F2723" s="31" t="s">
        <v>135</v>
      </c>
      <c r="G2723" s="31" t="n">
        <v>3</v>
      </c>
      <c r="H2723" s="41" t="n">
        <v>8.4</v>
      </c>
      <c r="I2723" s="31" t="s">
        <v>149</v>
      </c>
      <c r="J2723" s="31" t="n">
        <v>3</v>
      </c>
      <c r="K2723" s="31" t="s">
        <v>153</v>
      </c>
      <c r="L2723" s="45" t="n">
        <f aca="false">DATE(YEAR(B2723),MONTH(B2723),1)</f>
        <v>46235</v>
      </c>
      <c r="M2723" s="31" t="n">
        <f aca="false">WEEKDAY(B2723,2)</f>
        <v>5</v>
      </c>
      <c r="N2723" s="31" t="str">
        <f aca="false">IF(G2723&lt;=INDEX(Assumptions!$B$15:$B$18,MATCH(E2723,Assumptions!$A$15:$A$18,0)),"Yes","No")</f>
        <v>Yes</v>
      </c>
      <c r="O2723" s="31" t="str">
        <f aca="false">IF(H2723="","Open",IF(H2723&lt;=INDEX(Assumptions!$C$15:$C$18,MATCH(E2723,Assumptions!$A$15:$A$18,0)),"Yes","No"))</f>
        <v>Yes</v>
      </c>
    </row>
    <row r="2724" customFormat="false" ht="15" hidden="false" customHeight="false" outlineLevel="0" collapsed="false">
      <c r="A2724" s="31" t="s">
        <v>2874</v>
      </c>
      <c r="B2724" s="44" t="n">
        <v>46241</v>
      </c>
      <c r="C2724" s="31" t="s">
        <v>58</v>
      </c>
      <c r="D2724" s="31" t="s">
        <v>67</v>
      </c>
      <c r="E2724" s="31" t="s">
        <v>49</v>
      </c>
      <c r="F2724" s="31" t="s">
        <v>117</v>
      </c>
      <c r="G2724" s="31" t="n">
        <v>4</v>
      </c>
      <c r="H2724" s="41" t="n">
        <v>2.5</v>
      </c>
      <c r="I2724" s="31" t="s">
        <v>64</v>
      </c>
      <c r="J2724" s="31" t="n">
        <v>3</v>
      </c>
      <c r="K2724" s="31" t="s">
        <v>150</v>
      </c>
      <c r="L2724" s="45" t="n">
        <f aca="false">DATE(YEAR(B2724),MONTH(B2724),1)</f>
        <v>46235</v>
      </c>
      <c r="M2724" s="31" t="n">
        <f aca="false">WEEKDAY(B2724,2)</f>
        <v>5</v>
      </c>
      <c r="N2724" s="31" t="str">
        <f aca="false">IF(G2724&lt;=INDEX(Assumptions!$B$15:$B$18,MATCH(E2724,Assumptions!$A$15:$A$18,0)),"Yes","No")</f>
        <v>Yes</v>
      </c>
      <c r="O2724" s="31" t="str">
        <f aca="false">IF(H2724="","Open",IF(H2724&lt;=INDEX(Assumptions!$C$15:$C$18,MATCH(E2724,Assumptions!$A$15:$A$18,0)),"Yes","No"))</f>
        <v>Yes</v>
      </c>
    </row>
    <row r="2725" customFormat="false" ht="15" hidden="false" customHeight="false" outlineLevel="0" collapsed="false">
      <c r="A2725" s="31" t="s">
        <v>2875</v>
      </c>
      <c r="B2725" s="44" t="n">
        <v>46241</v>
      </c>
      <c r="C2725" s="31" t="s">
        <v>60</v>
      </c>
      <c r="D2725" s="31" t="s">
        <v>65</v>
      </c>
      <c r="E2725" s="31" t="s">
        <v>51</v>
      </c>
      <c r="F2725" s="31" t="s">
        <v>127</v>
      </c>
      <c r="G2725" s="31" t="n">
        <v>2</v>
      </c>
      <c r="H2725" s="41" t="n">
        <v>22.9</v>
      </c>
      <c r="I2725" s="31" t="s">
        <v>149</v>
      </c>
      <c r="J2725" s="31" t="n">
        <v>5</v>
      </c>
      <c r="K2725" s="31" t="s">
        <v>150</v>
      </c>
      <c r="L2725" s="45" t="n">
        <f aca="false">DATE(YEAR(B2725),MONTH(B2725),1)</f>
        <v>46235</v>
      </c>
      <c r="M2725" s="31" t="n">
        <f aca="false">WEEKDAY(B2725,2)</f>
        <v>5</v>
      </c>
      <c r="N2725" s="31" t="str">
        <f aca="false">IF(G2725&lt;=INDEX(Assumptions!$B$15:$B$18,MATCH(E2725,Assumptions!$A$15:$A$18,0)),"Yes","No")</f>
        <v>Yes</v>
      </c>
      <c r="O2725" s="31" t="str">
        <f aca="false">IF(H2725="","Open",IF(H2725&lt;=INDEX(Assumptions!$C$15:$C$18,MATCH(E2725,Assumptions!$A$15:$A$18,0)),"Yes","No"))</f>
        <v>Yes</v>
      </c>
    </row>
    <row r="2726" customFormat="false" ht="15" hidden="false" customHeight="false" outlineLevel="0" collapsed="false">
      <c r="A2726" s="31" t="s">
        <v>2876</v>
      </c>
      <c r="B2726" s="44" t="n">
        <v>46241</v>
      </c>
      <c r="C2726" s="31" t="s">
        <v>60</v>
      </c>
      <c r="D2726" s="31" t="s">
        <v>65</v>
      </c>
      <c r="E2726" s="31" t="s">
        <v>51</v>
      </c>
      <c r="F2726" s="31" t="s">
        <v>135</v>
      </c>
      <c r="G2726" s="31" t="n">
        <v>2</v>
      </c>
      <c r="H2726" s="41" t="n">
        <v>11.4</v>
      </c>
      <c r="I2726" s="31" t="s">
        <v>149</v>
      </c>
      <c r="J2726" s="31" t="n">
        <v>3</v>
      </c>
      <c r="K2726" s="31" t="s">
        <v>153</v>
      </c>
      <c r="L2726" s="45" t="n">
        <f aca="false">DATE(YEAR(B2726),MONTH(B2726),1)</f>
        <v>46235</v>
      </c>
      <c r="M2726" s="31" t="n">
        <f aca="false">WEEKDAY(B2726,2)</f>
        <v>5</v>
      </c>
      <c r="N2726" s="31" t="str">
        <f aca="false">IF(G2726&lt;=INDEX(Assumptions!$B$15:$B$18,MATCH(E2726,Assumptions!$A$15:$A$18,0)),"Yes","No")</f>
        <v>Yes</v>
      </c>
      <c r="O2726" s="31" t="str">
        <f aca="false">IF(H2726="","Open",IF(H2726&lt;=INDEX(Assumptions!$C$15:$C$18,MATCH(E2726,Assumptions!$A$15:$A$18,0)),"Yes","No"))</f>
        <v>Yes</v>
      </c>
    </row>
    <row r="2727" customFormat="false" ht="15" hidden="false" customHeight="false" outlineLevel="0" collapsed="false">
      <c r="A2727" s="31" t="s">
        <v>2877</v>
      </c>
      <c r="B2727" s="44" t="n">
        <v>46241</v>
      </c>
      <c r="C2727" s="31" t="s">
        <v>58</v>
      </c>
      <c r="D2727" s="31" t="s">
        <v>66</v>
      </c>
      <c r="E2727" s="31" t="s">
        <v>51</v>
      </c>
      <c r="F2727" s="31" t="s">
        <v>137</v>
      </c>
      <c r="G2727" s="31" t="n">
        <v>13</v>
      </c>
      <c r="H2727" s="41" t="n">
        <v>1.9</v>
      </c>
      <c r="I2727" s="31" t="s">
        <v>149</v>
      </c>
      <c r="J2727" s="31" t="n">
        <v>4</v>
      </c>
      <c r="K2727" s="31" t="s">
        <v>150</v>
      </c>
      <c r="L2727" s="45" t="n">
        <f aca="false">DATE(YEAR(B2727),MONTH(B2727),1)</f>
        <v>46235</v>
      </c>
      <c r="M2727" s="31" t="n">
        <f aca="false">WEEKDAY(B2727,2)</f>
        <v>5</v>
      </c>
      <c r="N2727" s="31" t="str">
        <f aca="false">IF(G2727&lt;=INDEX(Assumptions!$B$15:$B$18,MATCH(E2727,Assumptions!$A$15:$A$18,0)),"Yes","No")</f>
        <v>Yes</v>
      </c>
      <c r="O2727" s="31" t="str">
        <f aca="false">IF(H2727="","Open",IF(H2727&lt;=INDEX(Assumptions!$C$15:$C$18,MATCH(E2727,Assumptions!$A$15:$A$18,0)),"Yes","No"))</f>
        <v>Yes</v>
      </c>
    </row>
    <row r="2728" customFormat="false" ht="15" hidden="false" customHeight="false" outlineLevel="0" collapsed="false">
      <c r="A2728" s="31" t="s">
        <v>2878</v>
      </c>
      <c r="B2728" s="44" t="n">
        <v>46241</v>
      </c>
      <c r="C2728" s="31" t="s">
        <v>60</v>
      </c>
      <c r="D2728" s="31" t="s">
        <v>66</v>
      </c>
      <c r="E2728" s="31" t="s">
        <v>50</v>
      </c>
      <c r="F2728" s="31" t="s">
        <v>133</v>
      </c>
      <c r="G2728" s="31" t="n">
        <v>1</v>
      </c>
      <c r="H2728" s="41" t="n">
        <v>5.2</v>
      </c>
      <c r="I2728" s="31" t="s">
        <v>149</v>
      </c>
      <c r="J2728" s="31" t="n">
        <v>4</v>
      </c>
      <c r="K2728" s="31" t="s">
        <v>150</v>
      </c>
      <c r="L2728" s="45" t="n">
        <f aca="false">DATE(YEAR(B2728),MONTH(B2728),1)</f>
        <v>46235</v>
      </c>
      <c r="M2728" s="31" t="n">
        <f aca="false">WEEKDAY(B2728,2)</f>
        <v>5</v>
      </c>
      <c r="N2728" s="31" t="str">
        <f aca="false">IF(G2728&lt;=INDEX(Assumptions!$B$15:$B$18,MATCH(E2728,Assumptions!$A$15:$A$18,0)),"Yes","No")</f>
        <v>Yes</v>
      </c>
      <c r="O2728" s="31" t="str">
        <f aca="false">IF(H2728="","Open",IF(H2728&lt;=INDEX(Assumptions!$C$15:$C$18,MATCH(E2728,Assumptions!$A$15:$A$18,0)),"Yes","No"))</f>
        <v>Yes</v>
      </c>
    </row>
    <row r="2729" customFormat="false" ht="15" hidden="false" customHeight="false" outlineLevel="0" collapsed="false">
      <c r="A2729" s="31" t="s">
        <v>2879</v>
      </c>
      <c r="B2729" s="44" t="n">
        <v>46242</v>
      </c>
      <c r="C2729" s="31" t="s">
        <v>57</v>
      </c>
      <c r="D2729" s="31" t="s">
        <v>66</v>
      </c>
      <c r="E2729" s="31" t="s">
        <v>52</v>
      </c>
      <c r="F2729" s="31" t="s">
        <v>129</v>
      </c>
      <c r="G2729" s="31" t="n">
        <v>2</v>
      </c>
      <c r="H2729" s="41" t="n">
        <v>14.4</v>
      </c>
      <c r="I2729" s="31" t="s">
        <v>149</v>
      </c>
      <c r="J2729" s="31"/>
      <c r="K2729" s="31" t="s">
        <v>150</v>
      </c>
      <c r="L2729" s="45" t="n">
        <f aca="false">DATE(YEAR(B2729),MONTH(B2729),1)</f>
        <v>46235</v>
      </c>
      <c r="M2729" s="31" t="n">
        <f aca="false">WEEKDAY(B2729,2)</f>
        <v>6</v>
      </c>
      <c r="N2729" s="31" t="str">
        <f aca="false">IF(G2729&lt;=INDEX(Assumptions!$B$15:$B$18,MATCH(E2729,Assumptions!$A$15:$A$18,0)),"Yes","No")</f>
        <v>Yes</v>
      </c>
      <c r="O2729" s="31" t="str">
        <f aca="false">IF(H2729="","Open",IF(H2729&lt;=INDEX(Assumptions!$C$15:$C$18,MATCH(E2729,Assumptions!$A$15:$A$18,0)),"Yes","No"))</f>
        <v>Yes</v>
      </c>
    </row>
    <row r="2730" customFormat="false" ht="15" hidden="false" customHeight="false" outlineLevel="0" collapsed="false">
      <c r="A2730" s="31" t="s">
        <v>2880</v>
      </c>
      <c r="B2730" s="44" t="n">
        <v>46242</v>
      </c>
      <c r="C2730" s="31" t="s">
        <v>57</v>
      </c>
      <c r="D2730" s="31" t="s">
        <v>65</v>
      </c>
      <c r="E2730" s="31" t="s">
        <v>51</v>
      </c>
      <c r="F2730" s="31" t="s">
        <v>137</v>
      </c>
      <c r="G2730" s="31" t="n">
        <v>22</v>
      </c>
      <c r="H2730" s="41" t="n">
        <v>19.3</v>
      </c>
      <c r="I2730" s="31" t="s">
        <v>149</v>
      </c>
      <c r="J2730" s="31" t="n">
        <v>4</v>
      </c>
      <c r="K2730" s="31" t="s">
        <v>150</v>
      </c>
      <c r="L2730" s="45" t="n">
        <f aca="false">DATE(YEAR(B2730),MONTH(B2730),1)</f>
        <v>46235</v>
      </c>
      <c r="M2730" s="31" t="n">
        <f aca="false">WEEKDAY(B2730,2)</f>
        <v>6</v>
      </c>
      <c r="N2730" s="31" t="str">
        <f aca="false">IF(G2730&lt;=INDEX(Assumptions!$B$15:$B$18,MATCH(E2730,Assumptions!$A$15:$A$18,0)),"Yes","No")</f>
        <v>Yes</v>
      </c>
      <c r="O2730" s="31" t="str">
        <f aca="false">IF(H2730="","Open",IF(H2730&lt;=INDEX(Assumptions!$C$15:$C$18,MATCH(E2730,Assumptions!$A$15:$A$18,0)),"Yes","No"))</f>
        <v>Yes</v>
      </c>
    </row>
    <row r="2731" customFormat="false" ht="15" hidden="false" customHeight="false" outlineLevel="0" collapsed="false">
      <c r="A2731" s="31" t="s">
        <v>2881</v>
      </c>
      <c r="B2731" s="44" t="n">
        <v>46242</v>
      </c>
      <c r="C2731" s="31" t="s">
        <v>59</v>
      </c>
      <c r="D2731" s="31" t="s">
        <v>65</v>
      </c>
      <c r="E2731" s="31" t="s">
        <v>50</v>
      </c>
      <c r="F2731" s="31" t="s">
        <v>123</v>
      </c>
      <c r="G2731" s="31" t="n">
        <v>135</v>
      </c>
      <c r="H2731" s="41" t="n">
        <v>22.1</v>
      </c>
      <c r="I2731" s="31" t="s">
        <v>149</v>
      </c>
      <c r="J2731" s="31"/>
      <c r="K2731" s="31" t="s">
        <v>150</v>
      </c>
      <c r="L2731" s="45" t="n">
        <f aca="false">DATE(YEAR(B2731),MONTH(B2731),1)</f>
        <v>46235</v>
      </c>
      <c r="M2731" s="31" t="n">
        <f aca="false">WEEKDAY(B2731,2)</f>
        <v>6</v>
      </c>
      <c r="N2731" s="31" t="str">
        <f aca="false">IF(G2731&lt;=INDEX(Assumptions!$B$15:$B$18,MATCH(E2731,Assumptions!$A$15:$A$18,0)),"Yes","No")</f>
        <v>No</v>
      </c>
      <c r="O2731" s="31" t="str">
        <f aca="false">IF(H2731="","Open",IF(H2731&lt;=INDEX(Assumptions!$C$15:$C$18,MATCH(E2731,Assumptions!$A$15:$A$18,0)),"Yes","No"))</f>
        <v>No</v>
      </c>
    </row>
    <row r="2732" customFormat="false" ht="15" hidden="false" customHeight="false" outlineLevel="0" collapsed="false">
      <c r="A2732" s="31" t="s">
        <v>2882</v>
      </c>
      <c r="B2732" s="44" t="n">
        <v>46242</v>
      </c>
      <c r="C2732" s="31" t="s">
        <v>58</v>
      </c>
      <c r="D2732" s="31" t="s">
        <v>65</v>
      </c>
      <c r="E2732" s="31" t="s">
        <v>50</v>
      </c>
      <c r="F2732" s="31" t="s">
        <v>127</v>
      </c>
      <c r="G2732" s="31" t="n">
        <v>11</v>
      </c>
      <c r="H2732" s="41" t="n">
        <v>2.7</v>
      </c>
      <c r="I2732" s="31" t="s">
        <v>149</v>
      </c>
      <c r="J2732" s="31"/>
      <c r="K2732" s="31" t="s">
        <v>150</v>
      </c>
      <c r="L2732" s="45" t="n">
        <f aca="false">DATE(YEAR(B2732),MONTH(B2732),1)</f>
        <v>46235</v>
      </c>
      <c r="M2732" s="31" t="n">
        <f aca="false">WEEKDAY(B2732,2)</f>
        <v>6</v>
      </c>
      <c r="N2732" s="31" t="str">
        <f aca="false">IF(G2732&lt;=INDEX(Assumptions!$B$15:$B$18,MATCH(E2732,Assumptions!$A$15:$A$18,0)),"Yes","No")</f>
        <v>Yes</v>
      </c>
      <c r="O2732" s="31" t="str">
        <f aca="false">IF(H2732="","Open",IF(H2732&lt;=INDEX(Assumptions!$C$15:$C$18,MATCH(E2732,Assumptions!$A$15:$A$18,0)),"Yes","No"))</f>
        <v>Yes</v>
      </c>
    </row>
    <row r="2733" customFormat="false" ht="15" hidden="false" customHeight="false" outlineLevel="0" collapsed="false">
      <c r="A2733" s="31" t="s">
        <v>2883</v>
      </c>
      <c r="B2733" s="44" t="n">
        <v>46242</v>
      </c>
      <c r="C2733" s="31" t="s">
        <v>58</v>
      </c>
      <c r="D2733" s="31" t="s">
        <v>67</v>
      </c>
      <c r="E2733" s="31" t="s">
        <v>49</v>
      </c>
      <c r="F2733" s="31" t="s">
        <v>134</v>
      </c>
      <c r="G2733" s="31" t="n">
        <v>6</v>
      </c>
      <c r="H2733" s="41" t="n">
        <v>9.7</v>
      </c>
      <c r="I2733" s="31" t="s">
        <v>149</v>
      </c>
      <c r="J2733" s="31"/>
      <c r="K2733" s="31" t="s">
        <v>150</v>
      </c>
      <c r="L2733" s="45" t="n">
        <f aca="false">DATE(YEAR(B2733),MONTH(B2733),1)</f>
        <v>46235</v>
      </c>
      <c r="M2733" s="31" t="n">
        <f aca="false">WEEKDAY(B2733,2)</f>
        <v>6</v>
      </c>
      <c r="N2733" s="31" t="str">
        <f aca="false">IF(G2733&lt;=INDEX(Assumptions!$B$15:$B$18,MATCH(E2733,Assumptions!$A$15:$A$18,0)),"Yes","No")</f>
        <v>Yes</v>
      </c>
      <c r="O2733" s="31" t="str">
        <f aca="false">IF(H2733="","Open",IF(H2733&lt;=INDEX(Assumptions!$C$15:$C$18,MATCH(E2733,Assumptions!$A$15:$A$18,0)),"Yes","No"))</f>
        <v>No</v>
      </c>
    </row>
    <row r="2734" customFormat="false" ht="15" hidden="false" customHeight="false" outlineLevel="0" collapsed="false">
      <c r="A2734" s="31" t="s">
        <v>2884</v>
      </c>
      <c r="B2734" s="44" t="n">
        <v>46242</v>
      </c>
      <c r="C2734" s="31" t="s">
        <v>57</v>
      </c>
      <c r="D2734" s="31" t="s">
        <v>68</v>
      </c>
      <c r="E2734" s="31" t="s">
        <v>50</v>
      </c>
      <c r="F2734" s="31" t="s">
        <v>136</v>
      </c>
      <c r="G2734" s="31" t="n">
        <v>3</v>
      </c>
      <c r="H2734" s="41" t="n">
        <v>3.7</v>
      </c>
      <c r="I2734" s="31" t="s">
        <v>149</v>
      </c>
      <c r="J2734" s="31"/>
      <c r="K2734" s="31" t="s">
        <v>150</v>
      </c>
      <c r="L2734" s="45" t="n">
        <f aca="false">DATE(YEAR(B2734),MONTH(B2734),1)</f>
        <v>46235</v>
      </c>
      <c r="M2734" s="31" t="n">
        <f aca="false">WEEKDAY(B2734,2)</f>
        <v>6</v>
      </c>
      <c r="N2734" s="31" t="str">
        <f aca="false">IF(G2734&lt;=INDEX(Assumptions!$B$15:$B$18,MATCH(E2734,Assumptions!$A$15:$A$18,0)),"Yes","No")</f>
        <v>Yes</v>
      </c>
      <c r="O2734" s="31" t="str">
        <f aca="false">IF(H2734="","Open",IF(H2734&lt;=INDEX(Assumptions!$C$15:$C$18,MATCH(E2734,Assumptions!$A$15:$A$18,0)),"Yes","No"))</f>
        <v>Yes</v>
      </c>
    </row>
    <row r="2735" customFormat="false" ht="15" hidden="false" customHeight="false" outlineLevel="0" collapsed="false">
      <c r="A2735" s="31" t="s">
        <v>2885</v>
      </c>
      <c r="B2735" s="44" t="n">
        <v>46242</v>
      </c>
      <c r="C2735" s="31" t="s">
        <v>57</v>
      </c>
      <c r="D2735" s="31" t="s">
        <v>66</v>
      </c>
      <c r="E2735" s="31" t="s">
        <v>51</v>
      </c>
      <c r="F2735" s="31" t="s">
        <v>124</v>
      </c>
      <c r="G2735" s="31" t="n">
        <v>7</v>
      </c>
      <c r="H2735" s="41" t="n">
        <v>5.3</v>
      </c>
      <c r="I2735" s="31" t="s">
        <v>149</v>
      </c>
      <c r="J2735" s="31" t="n">
        <v>4</v>
      </c>
      <c r="K2735" s="31" t="s">
        <v>150</v>
      </c>
      <c r="L2735" s="45" t="n">
        <f aca="false">DATE(YEAR(B2735),MONTH(B2735),1)</f>
        <v>46235</v>
      </c>
      <c r="M2735" s="31" t="n">
        <f aca="false">WEEKDAY(B2735,2)</f>
        <v>6</v>
      </c>
      <c r="N2735" s="31" t="str">
        <f aca="false">IF(G2735&lt;=INDEX(Assumptions!$B$15:$B$18,MATCH(E2735,Assumptions!$A$15:$A$18,0)),"Yes","No")</f>
        <v>Yes</v>
      </c>
      <c r="O2735" s="31" t="str">
        <f aca="false">IF(H2735="","Open",IF(H2735&lt;=INDEX(Assumptions!$C$15:$C$18,MATCH(E2735,Assumptions!$A$15:$A$18,0)),"Yes","No"))</f>
        <v>Yes</v>
      </c>
    </row>
    <row r="2736" customFormat="false" ht="15" hidden="false" customHeight="false" outlineLevel="0" collapsed="false">
      <c r="A2736" s="31" t="s">
        <v>2886</v>
      </c>
      <c r="B2736" s="44" t="n">
        <v>46242</v>
      </c>
      <c r="C2736" s="31" t="s">
        <v>57</v>
      </c>
      <c r="D2736" s="31" t="s">
        <v>66</v>
      </c>
      <c r="E2736" s="31" t="s">
        <v>51</v>
      </c>
      <c r="F2736" s="31" t="s">
        <v>122</v>
      </c>
      <c r="G2736" s="31" t="n">
        <v>1</v>
      </c>
      <c r="H2736" s="41" t="n">
        <v>10.1</v>
      </c>
      <c r="I2736" s="31" t="s">
        <v>149</v>
      </c>
      <c r="J2736" s="31" t="n">
        <v>5</v>
      </c>
      <c r="K2736" s="31" t="s">
        <v>150</v>
      </c>
      <c r="L2736" s="45" t="n">
        <f aca="false">DATE(YEAR(B2736),MONTH(B2736),1)</f>
        <v>46235</v>
      </c>
      <c r="M2736" s="31" t="n">
        <f aca="false">WEEKDAY(B2736,2)</f>
        <v>6</v>
      </c>
      <c r="N2736" s="31" t="str">
        <f aca="false">IF(G2736&lt;=INDEX(Assumptions!$B$15:$B$18,MATCH(E2736,Assumptions!$A$15:$A$18,0)),"Yes","No")</f>
        <v>Yes</v>
      </c>
      <c r="O2736" s="31" t="str">
        <f aca="false">IF(H2736="","Open",IF(H2736&lt;=INDEX(Assumptions!$C$15:$C$18,MATCH(E2736,Assumptions!$A$15:$A$18,0)),"Yes","No"))</f>
        <v>Yes</v>
      </c>
    </row>
    <row r="2737" customFormat="false" ht="15" hidden="false" customHeight="false" outlineLevel="0" collapsed="false">
      <c r="A2737" s="31" t="s">
        <v>2887</v>
      </c>
      <c r="B2737" s="44" t="n">
        <v>46242</v>
      </c>
      <c r="C2737" s="31" t="s">
        <v>57</v>
      </c>
      <c r="D2737" s="31" t="s">
        <v>65</v>
      </c>
      <c r="E2737" s="31" t="s">
        <v>52</v>
      </c>
      <c r="F2737" s="31" t="s">
        <v>117</v>
      </c>
      <c r="G2737" s="31" t="n">
        <v>16</v>
      </c>
      <c r="H2737" s="41" t="n">
        <v>3.1</v>
      </c>
      <c r="I2737" s="31" t="s">
        <v>149</v>
      </c>
      <c r="J2737" s="31"/>
      <c r="K2737" s="31" t="s">
        <v>150</v>
      </c>
      <c r="L2737" s="45" t="n">
        <f aca="false">DATE(YEAR(B2737),MONTH(B2737),1)</f>
        <v>46235</v>
      </c>
      <c r="M2737" s="31" t="n">
        <f aca="false">WEEKDAY(B2737,2)</f>
        <v>6</v>
      </c>
      <c r="N2737" s="31" t="str">
        <f aca="false">IF(G2737&lt;=INDEX(Assumptions!$B$15:$B$18,MATCH(E2737,Assumptions!$A$15:$A$18,0)),"Yes","No")</f>
        <v>Yes</v>
      </c>
      <c r="O2737" s="31" t="str">
        <f aca="false">IF(H2737="","Open",IF(H2737&lt;=INDEX(Assumptions!$C$15:$C$18,MATCH(E2737,Assumptions!$A$15:$A$18,0)),"Yes","No"))</f>
        <v>Yes</v>
      </c>
    </row>
    <row r="2738" customFormat="false" ht="15" hidden="false" customHeight="false" outlineLevel="0" collapsed="false">
      <c r="A2738" s="31" t="s">
        <v>2888</v>
      </c>
      <c r="B2738" s="44" t="n">
        <v>46242</v>
      </c>
      <c r="C2738" s="31" t="s">
        <v>57</v>
      </c>
      <c r="D2738" s="31" t="s">
        <v>65</v>
      </c>
      <c r="E2738" s="31" t="s">
        <v>51</v>
      </c>
      <c r="F2738" s="31" t="s">
        <v>127</v>
      </c>
      <c r="G2738" s="31" t="n">
        <v>7</v>
      </c>
      <c r="H2738" s="41" t="n">
        <v>4.1</v>
      </c>
      <c r="I2738" s="31" t="s">
        <v>149</v>
      </c>
      <c r="J2738" s="31" t="n">
        <v>5</v>
      </c>
      <c r="K2738" s="31" t="s">
        <v>150</v>
      </c>
      <c r="L2738" s="45" t="n">
        <f aca="false">DATE(YEAR(B2738),MONTH(B2738),1)</f>
        <v>46235</v>
      </c>
      <c r="M2738" s="31" t="n">
        <f aca="false">WEEKDAY(B2738,2)</f>
        <v>6</v>
      </c>
      <c r="N2738" s="31" t="str">
        <f aca="false">IF(G2738&lt;=INDEX(Assumptions!$B$15:$B$18,MATCH(E2738,Assumptions!$A$15:$A$18,0)),"Yes","No")</f>
        <v>Yes</v>
      </c>
      <c r="O2738" s="31" t="str">
        <f aca="false">IF(H2738="","Open",IF(H2738&lt;=INDEX(Assumptions!$C$15:$C$18,MATCH(E2738,Assumptions!$A$15:$A$18,0)),"Yes","No"))</f>
        <v>Yes</v>
      </c>
    </row>
    <row r="2739" customFormat="false" ht="15" hidden="false" customHeight="false" outlineLevel="0" collapsed="false">
      <c r="A2739" s="31" t="s">
        <v>2889</v>
      </c>
      <c r="B2739" s="44" t="n">
        <v>46242</v>
      </c>
      <c r="C2739" s="31" t="s">
        <v>57</v>
      </c>
      <c r="D2739" s="31" t="s">
        <v>69</v>
      </c>
      <c r="E2739" s="31" t="s">
        <v>51</v>
      </c>
      <c r="F2739" s="31" t="s">
        <v>119</v>
      </c>
      <c r="G2739" s="31" t="n">
        <v>4</v>
      </c>
      <c r="H2739" s="41" t="n">
        <v>22.7</v>
      </c>
      <c r="I2739" s="31" t="s">
        <v>149</v>
      </c>
      <c r="J2739" s="31" t="n">
        <v>5</v>
      </c>
      <c r="K2739" s="31" t="s">
        <v>150</v>
      </c>
      <c r="L2739" s="45" t="n">
        <f aca="false">DATE(YEAR(B2739),MONTH(B2739),1)</f>
        <v>46235</v>
      </c>
      <c r="M2739" s="31" t="n">
        <f aca="false">WEEKDAY(B2739,2)</f>
        <v>6</v>
      </c>
      <c r="N2739" s="31" t="str">
        <f aca="false">IF(G2739&lt;=INDEX(Assumptions!$B$15:$B$18,MATCH(E2739,Assumptions!$A$15:$A$18,0)),"Yes","No")</f>
        <v>Yes</v>
      </c>
      <c r="O2739" s="31" t="str">
        <f aca="false">IF(H2739="","Open",IF(H2739&lt;=INDEX(Assumptions!$C$15:$C$18,MATCH(E2739,Assumptions!$A$15:$A$18,0)),"Yes","No"))</f>
        <v>Yes</v>
      </c>
    </row>
    <row r="2740" customFormat="false" ht="15" hidden="false" customHeight="false" outlineLevel="0" collapsed="false">
      <c r="A2740" s="31" t="s">
        <v>2890</v>
      </c>
      <c r="B2740" s="44" t="n">
        <v>46242</v>
      </c>
      <c r="C2740" s="31" t="s">
        <v>58</v>
      </c>
      <c r="D2740" s="31" t="s">
        <v>66</v>
      </c>
      <c r="E2740" s="31" t="s">
        <v>51</v>
      </c>
      <c r="F2740" s="31" t="s">
        <v>120</v>
      </c>
      <c r="G2740" s="31" t="n">
        <v>42</v>
      </c>
      <c r="H2740" s="41" t="n">
        <v>9.7</v>
      </c>
      <c r="I2740" s="31" t="s">
        <v>149</v>
      </c>
      <c r="J2740" s="31" t="n">
        <v>5</v>
      </c>
      <c r="K2740" s="31" t="s">
        <v>150</v>
      </c>
      <c r="L2740" s="45" t="n">
        <f aca="false">DATE(YEAR(B2740),MONTH(B2740),1)</f>
        <v>46235</v>
      </c>
      <c r="M2740" s="31" t="n">
        <f aca="false">WEEKDAY(B2740,2)</f>
        <v>6</v>
      </c>
      <c r="N2740" s="31" t="str">
        <f aca="false">IF(G2740&lt;=INDEX(Assumptions!$B$15:$B$18,MATCH(E2740,Assumptions!$A$15:$A$18,0)),"Yes","No")</f>
        <v>Yes</v>
      </c>
      <c r="O2740" s="31" t="str">
        <f aca="false">IF(H2740="","Open",IF(H2740&lt;=INDEX(Assumptions!$C$15:$C$18,MATCH(E2740,Assumptions!$A$15:$A$18,0)),"Yes","No"))</f>
        <v>Yes</v>
      </c>
    </row>
    <row r="2741" customFormat="false" ht="15" hidden="false" customHeight="false" outlineLevel="0" collapsed="false">
      <c r="A2741" s="31" t="s">
        <v>2891</v>
      </c>
      <c r="B2741" s="44" t="n">
        <v>46242</v>
      </c>
      <c r="C2741" s="31" t="s">
        <v>57</v>
      </c>
      <c r="D2741" s="31" t="s">
        <v>66</v>
      </c>
      <c r="E2741" s="31" t="s">
        <v>52</v>
      </c>
      <c r="F2741" s="31" t="s">
        <v>120</v>
      </c>
      <c r="G2741" s="31" t="n">
        <v>4</v>
      </c>
      <c r="H2741" s="41" t="n">
        <v>4.1</v>
      </c>
      <c r="I2741" s="31" t="s">
        <v>149</v>
      </c>
      <c r="J2741" s="31" t="n">
        <v>5</v>
      </c>
      <c r="K2741" s="31" t="s">
        <v>150</v>
      </c>
      <c r="L2741" s="45" t="n">
        <f aca="false">DATE(YEAR(B2741),MONTH(B2741),1)</f>
        <v>46235</v>
      </c>
      <c r="M2741" s="31" t="n">
        <f aca="false">WEEKDAY(B2741,2)</f>
        <v>6</v>
      </c>
      <c r="N2741" s="31" t="str">
        <f aca="false">IF(G2741&lt;=INDEX(Assumptions!$B$15:$B$18,MATCH(E2741,Assumptions!$A$15:$A$18,0)),"Yes","No")</f>
        <v>Yes</v>
      </c>
      <c r="O2741" s="31" t="str">
        <f aca="false">IF(H2741="","Open",IF(H2741&lt;=INDEX(Assumptions!$C$15:$C$18,MATCH(E2741,Assumptions!$A$15:$A$18,0)),"Yes","No"))</f>
        <v>Yes</v>
      </c>
    </row>
    <row r="2742" customFormat="false" ht="15" hidden="false" customHeight="false" outlineLevel="0" collapsed="false">
      <c r="A2742" s="31" t="s">
        <v>2892</v>
      </c>
      <c r="B2742" s="44" t="n">
        <v>46242</v>
      </c>
      <c r="C2742" s="31" t="s">
        <v>60</v>
      </c>
      <c r="D2742" s="31" t="s">
        <v>65</v>
      </c>
      <c r="E2742" s="31" t="s">
        <v>51</v>
      </c>
      <c r="F2742" s="31" t="s">
        <v>134</v>
      </c>
      <c r="G2742" s="31" t="n">
        <v>17</v>
      </c>
      <c r="H2742" s="41" t="n">
        <v>36.1</v>
      </c>
      <c r="I2742" s="31" t="s">
        <v>149</v>
      </c>
      <c r="J2742" s="31"/>
      <c r="K2742" s="31" t="s">
        <v>150</v>
      </c>
      <c r="L2742" s="45" t="n">
        <f aca="false">DATE(YEAR(B2742),MONTH(B2742),1)</f>
        <v>46235</v>
      </c>
      <c r="M2742" s="31" t="n">
        <f aca="false">WEEKDAY(B2742,2)</f>
        <v>6</v>
      </c>
      <c r="N2742" s="31" t="str">
        <f aca="false">IF(G2742&lt;=INDEX(Assumptions!$B$15:$B$18,MATCH(E2742,Assumptions!$A$15:$A$18,0)),"Yes","No")</f>
        <v>Yes</v>
      </c>
      <c r="O2742" s="31" t="str">
        <f aca="false">IF(H2742="","Open",IF(H2742&lt;=INDEX(Assumptions!$C$15:$C$18,MATCH(E2742,Assumptions!$A$15:$A$18,0)),"Yes","No"))</f>
        <v>No</v>
      </c>
    </row>
    <row r="2743" customFormat="false" ht="15" hidden="false" customHeight="false" outlineLevel="0" collapsed="false">
      <c r="A2743" s="31" t="s">
        <v>2893</v>
      </c>
      <c r="B2743" s="44" t="n">
        <v>46242</v>
      </c>
      <c r="C2743" s="31" t="s">
        <v>57</v>
      </c>
      <c r="D2743" s="31" t="s">
        <v>69</v>
      </c>
      <c r="E2743" s="31" t="s">
        <v>51</v>
      </c>
      <c r="F2743" s="31" t="s">
        <v>120</v>
      </c>
      <c r="G2743" s="31" t="n">
        <v>23</v>
      </c>
      <c r="H2743" s="41" t="n">
        <v>21.5</v>
      </c>
      <c r="I2743" s="31" t="s">
        <v>149</v>
      </c>
      <c r="J2743" s="31"/>
      <c r="K2743" s="31" t="s">
        <v>150</v>
      </c>
      <c r="L2743" s="45" t="n">
        <f aca="false">DATE(YEAR(B2743),MONTH(B2743),1)</f>
        <v>46235</v>
      </c>
      <c r="M2743" s="31" t="n">
        <f aca="false">WEEKDAY(B2743,2)</f>
        <v>6</v>
      </c>
      <c r="N2743" s="31" t="str">
        <f aca="false">IF(G2743&lt;=INDEX(Assumptions!$B$15:$B$18,MATCH(E2743,Assumptions!$A$15:$A$18,0)),"Yes","No")</f>
        <v>Yes</v>
      </c>
      <c r="O2743" s="31" t="str">
        <f aca="false">IF(H2743="","Open",IF(H2743&lt;=INDEX(Assumptions!$C$15:$C$18,MATCH(E2743,Assumptions!$A$15:$A$18,0)),"Yes","No"))</f>
        <v>Yes</v>
      </c>
    </row>
    <row r="2744" customFormat="false" ht="15" hidden="false" customHeight="false" outlineLevel="0" collapsed="false">
      <c r="A2744" s="31" t="s">
        <v>2894</v>
      </c>
      <c r="B2744" s="44" t="n">
        <v>46242</v>
      </c>
      <c r="C2744" s="31" t="s">
        <v>58</v>
      </c>
      <c r="D2744" s="31" t="s">
        <v>65</v>
      </c>
      <c r="E2744" s="31" t="s">
        <v>50</v>
      </c>
      <c r="F2744" s="31" t="s">
        <v>121</v>
      </c>
      <c r="G2744" s="31" t="n">
        <v>8</v>
      </c>
      <c r="H2744" s="41" t="n">
        <v>27.2</v>
      </c>
      <c r="I2744" s="31" t="s">
        <v>149</v>
      </c>
      <c r="J2744" s="31" t="n">
        <v>3</v>
      </c>
      <c r="K2744" s="31" t="s">
        <v>150</v>
      </c>
      <c r="L2744" s="45" t="n">
        <f aca="false">DATE(YEAR(B2744),MONTH(B2744),1)</f>
        <v>46235</v>
      </c>
      <c r="M2744" s="31" t="n">
        <f aca="false">WEEKDAY(B2744,2)</f>
        <v>6</v>
      </c>
      <c r="N2744" s="31" t="str">
        <f aca="false">IF(G2744&lt;=INDEX(Assumptions!$B$15:$B$18,MATCH(E2744,Assumptions!$A$15:$A$18,0)),"Yes","No")</f>
        <v>Yes</v>
      </c>
      <c r="O2744" s="31" t="str">
        <f aca="false">IF(H2744="","Open",IF(H2744&lt;=INDEX(Assumptions!$C$15:$C$18,MATCH(E2744,Assumptions!$A$15:$A$18,0)),"Yes","No"))</f>
        <v>No</v>
      </c>
    </row>
    <row r="2745" customFormat="false" ht="15" hidden="false" customHeight="false" outlineLevel="0" collapsed="false">
      <c r="A2745" s="31" t="s">
        <v>2895</v>
      </c>
      <c r="B2745" s="44" t="n">
        <v>46242</v>
      </c>
      <c r="C2745" s="31" t="s">
        <v>60</v>
      </c>
      <c r="D2745" s="31" t="s">
        <v>69</v>
      </c>
      <c r="E2745" s="31" t="s">
        <v>52</v>
      </c>
      <c r="F2745" s="31" t="s">
        <v>122</v>
      </c>
      <c r="G2745" s="31" t="n">
        <v>6</v>
      </c>
      <c r="H2745" s="41" t="n">
        <v>26.9</v>
      </c>
      <c r="I2745" s="31" t="s">
        <v>149</v>
      </c>
      <c r="J2745" s="31"/>
      <c r="K2745" s="31" t="s">
        <v>150</v>
      </c>
      <c r="L2745" s="45" t="n">
        <f aca="false">DATE(YEAR(B2745),MONTH(B2745),1)</f>
        <v>46235</v>
      </c>
      <c r="M2745" s="31" t="n">
        <f aca="false">WEEKDAY(B2745,2)</f>
        <v>6</v>
      </c>
      <c r="N2745" s="31" t="str">
        <f aca="false">IF(G2745&lt;=INDEX(Assumptions!$B$15:$B$18,MATCH(E2745,Assumptions!$A$15:$A$18,0)),"Yes","No")</f>
        <v>Yes</v>
      </c>
      <c r="O2745" s="31" t="str">
        <f aca="false">IF(H2745="","Open",IF(H2745&lt;=INDEX(Assumptions!$C$15:$C$18,MATCH(E2745,Assumptions!$A$15:$A$18,0)),"Yes","No"))</f>
        <v>Yes</v>
      </c>
    </row>
    <row r="2746" customFormat="false" ht="15" hidden="false" customHeight="false" outlineLevel="0" collapsed="false">
      <c r="A2746" s="31" t="s">
        <v>2896</v>
      </c>
      <c r="B2746" s="44" t="n">
        <v>46242</v>
      </c>
      <c r="C2746" s="31" t="s">
        <v>60</v>
      </c>
      <c r="D2746" s="31" t="s">
        <v>69</v>
      </c>
      <c r="E2746" s="31" t="s">
        <v>52</v>
      </c>
      <c r="F2746" s="31" t="s">
        <v>136</v>
      </c>
      <c r="G2746" s="31" t="n">
        <v>1</v>
      </c>
      <c r="H2746" s="41" t="n">
        <v>31.8</v>
      </c>
      <c r="I2746" s="31" t="s">
        <v>149</v>
      </c>
      <c r="J2746" s="31" t="n">
        <v>4</v>
      </c>
      <c r="K2746" s="31" t="s">
        <v>150</v>
      </c>
      <c r="L2746" s="45" t="n">
        <f aca="false">DATE(YEAR(B2746),MONTH(B2746),1)</f>
        <v>46235</v>
      </c>
      <c r="M2746" s="31" t="n">
        <f aca="false">WEEKDAY(B2746,2)</f>
        <v>6</v>
      </c>
      <c r="N2746" s="31" t="str">
        <f aca="false">IF(G2746&lt;=INDEX(Assumptions!$B$15:$B$18,MATCH(E2746,Assumptions!$A$15:$A$18,0)),"Yes","No")</f>
        <v>Yes</v>
      </c>
      <c r="O2746" s="31" t="str">
        <f aca="false">IF(H2746="","Open",IF(H2746&lt;=INDEX(Assumptions!$C$15:$C$18,MATCH(E2746,Assumptions!$A$15:$A$18,0)),"Yes","No"))</f>
        <v>Yes</v>
      </c>
    </row>
    <row r="2747" customFormat="false" ht="15" hidden="false" customHeight="false" outlineLevel="0" collapsed="false">
      <c r="A2747" s="31" t="s">
        <v>2897</v>
      </c>
      <c r="B2747" s="44" t="n">
        <v>46242</v>
      </c>
      <c r="C2747" s="31" t="s">
        <v>57</v>
      </c>
      <c r="D2747" s="31" t="s">
        <v>69</v>
      </c>
      <c r="E2747" s="31" t="s">
        <v>51</v>
      </c>
      <c r="F2747" s="31" t="s">
        <v>124</v>
      </c>
      <c r="G2747" s="31" t="n">
        <v>1</v>
      </c>
      <c r="H2747" s="41" t="n">
        <v>5.1</v>
      </c>
      <c r="I2747" s="31" t="s">
        <v>149</v>
      </c>
      <c r="J2747" s="31"/>
      <c r="K2747" s="31" t="s">
        <v>150</v>
      </c>
      <c r="L2747" s="45" t="n">
        <f aca="false">DATE(YEAR(B2747),MONTH(B2747),1)</f>
        <v>46235</v>
      </c>
      <c r="M2747" s="31" t="n">
        <f aca="false">WEEKDAY(B2747,2)</f>
        <v>6</v>
      </c>
      <c r="N2747" s="31" t="str">
        <f aca="false">IF(G2747&lt;=INDEX(Assumptions!$B$15:$B$18,MATCH(E2747,Assumptions!$A$15:$A$18,0)),"Yes","No")</f>
        <v>Yes</v>
      </c>
      <c r="O2747" s="31" t="str">
        <f aca="false">IF(H2747="","Open",IF(H2747&lt;=INDEX(Assumptions!$C$15:$C$18,MATCH(E2747,Assumptions!$A$15:$A$18,0)),"Yes","No"))</f>
        <v>Yes</v>
      </c>
    </row>
    <row r="2748" customFormat="false" ht="15" hidden="false" customHeight="false" outlineLevel="0" collapsed="false">
      <c r="A2748" s="31" t="s">
        <v>2898</v>
      </c>
      <c r="B2748" s="44" t="n">
        <v>46242</v>
      </c>
      <c r="C2748" s="31" t="s">
        <v>57</v>
      </c>
      <c r="D2748" s="31" t="s">
        <v>65</v>
      </c>
      <c r="E2748" s="31" t="s">
        <v>51</v>
      </c>
      <c r="F2748" s="31" t="s">
        <v>120</v>
      </c>
      <c r="G2748" s="31" t="n">
        <v>4</v>
      </c>
      <c r="H2748" s="41" t="n">
        <v>93.9</v>
      </c>
      <c r="I2748" s="31" t="s">
        <v>64</v>
      </c>
      <c r="J2748" s="31" t="n">
        <v>2</v>
      </c>
      <c r="K2748" s="31" t="s">
        <v>150</v>
      </c>
      <c r="L2748" s="45" t="n">
        <f aca="false">DATE(YEAR(B2748),MONTH(B2748),1)</f>
        <v>46235</v>
      </c>
      <c r="M2748" s="31" t="n">
        <f aca="false">WEEKDAY(B2748,2)</f>
        <v>6</v>
      </c>
      <c r="N2748" s="31" t="str">
        <f aca="false">IF(G2748&lt;=INDEX(Assumptions!$B$15:$B$18,MATCH(E2748,Assumptions!$A$15:$A$18,0)),"Yes","No")</f>
        <v>Yes</v>
      </c>
      <c r="O2748" s="31" t="str">
        <f aca="false">IF(H2748="","Open",IF(H2748&lt;=INDEX(Assumptions!$C$15:$C$18,MATCH(E2748,Assumptions!$A$15:$A$18,0)),"Yes","No"))</f>
        <v>No</v>
      </c>
    </row>
    <row r="2749" customFormat="false" ht="15" hidden="false" customHeight="false" outlineLevel="0" collapsed="false">
      <c r="A2749" s="31" t="s">
        <v>2899</v>
      </c>
      <c r="B2749" s="44" t="n">
        <v>46242</v>
      </c>
      <c r="C2749" s="31" t="s">
        <v>59</v>
      </c>
      <c r="D2749" s="31" t="s">
        <v>66</v>
      </c>
      <c r="E2749" s="31" t="s">
        <v>51</v>
      </c>
      <c r="F2749" s="31" t="s">
        <v>123</v>
      </c>
      <c r="G2749" s="31" t="n">
        <v>53</v>
      </c>
      <c r="H2749" s="41" t="n">
        <v>4.1</v>
      </c>
      <c r="I2749" s="31" t="s">
        <v>149</v>
      </c>
      <c r="J2749" s="31"/>
      <c r="K2749" s="31" t="s">
        <v>150</v>
      </c>
      <c r="L2749" s="45" t="n">
        <f aca="false">DATE(YEAR(B2749),MONTH(B2749),1)</f>
        <v>46235</v>
      </c>
      <c r="M2749" s="31" t="n">
        <f aca="false">WEEKDAY(B2749,2)</f>
        <v>6</v>
      </c>
      <c r="N2749" s="31" t="str">
        <f aca="false">IF(G2749&lt;=INDEX(Assumptions!$B$15:$B$18,MATCH(E2749,Assumptions!$A$15:$A$18,0)),"Yes","No")</f>
        <v>Yes</v>
      </c>
      <c r="O2749" s="31" t="str">
        <f aca="false">IF(H2749="","Open",IF(H2749&lt;=INDEX(Assumptions!$C$15:$C$18,MATCH(E2749,Assumptions!$A$15:$A$18,0)),"Yes","No"))</f>
        <v>Yes</v>
      </c>
    </row>
    <row r="2750" customFormat="false" ht="15" hidden="false" customHeight="false" outlineLevel="0" collapsed="false">
      <c r="A2750" s="31" t="s">
        <v>2900</v>
      </c>
      <c r="B2750" s="44" t="n">
        <v>46242</v>
      </c>
      <c r="C2750" s="31" t="s">
        <v>57</v>
      </c>
      <c r="D2750" s="31" t="s">
        <v>68</v>
      </c>
      <c r="E2750" s="31" t="s">
        <v>50</v>
      </c>
      <c r="F2750" s="31" t="s">
        <v>133</v>
      </c>
      <c r="G2750" s="31" t="n">
        <v>2</v>
      </c>
      <c r="H2750" s="41" t="n">
        <v>2.8</v>
      </c>
      <c r="I2750" s="31" t="s">
        <v>149</v>
      </c>
      <c r="J2750" s="31" t="n">
        <v>4</v>
      </c>
      <c r="K2750" s="31" t="s">
        <v>150</v>
      </c>
      <c r="L2750" s="45" t="n">
        <f aca="false">DATE(YEAR(B2750),MONTH(B2750),1)</f>
        <v>46235</v>
      </c>
      <c r="M2750" s="31" t="n">
        <f aca="false">WEEKDAY(B2750,2)</f>
        <v>6</v>
      </c>
      <c r="N2750" s="31" t="str">
        <f aca="false">IF(G2750&lt;=INDEX(Assumptions!$B$15:$B$18,MATCH(E2750,Assumptions!$A$15:$A$18,0)),"Yes","No")</f>
        <v>Yes</v>
      </c>
      <c r="O2750" s="31" t="str">
        <f aca="false">IF(H2750="","Open",IF(H2750&lt;=INDEX(Assumptions!$C$15:$C$18,MATCH(E2750,Assumptions!$A$15:$A$18,0)),"Yes","No"))</f>
        <v>Yes</v>
      </c>
    </row>
    <row r="2751" customFormat="false" ht="15" hidden="false" customHeight="false" outlineLevel="0" collapsed="false">
      <c r="A2751" s="31" t="s">
        <v>2901</v>
      </c>
      <c r="B2751" s="44" t="n">
        <v>46242</v>
      </c>
      <c r="C2751" s="31" t="s">
        <v>59</v>
      </c>
      <c r="D2751" s="31" t="s">
        <v>69</v>
      </c>
      <c r="E2751" s="31" t="s">
        <v>52</v>
      </c>
      <c r="F2751" s="31" t="s">
        <v>131</v>
      </c>
      <c r="G2751" s="31" t="n">
        <v>36</v>
      </c>
      <c r="H2751" s="41" t="n">
        <v>9.2</v>
      </c>
      <c r="I2751" s="31" t="s">
        <v>149</v>
      </c>
      <c r="J2751" s="31" t="n">
        <v>5</v>
      </c>
      <c r="K2751" s="31" t="s">
        <v>150</v>
      </c>
      <c r="L2751" s="45" t="n">
        <f aca="false">DATE(YEAR(B2751),MONTH(B2751),1)</f>
        <v>46235</v>
      </c>
      <c r="M2751" s="31" t="n">
        <f aca="false">WEEKDAY(B2751,2)</f>
        <v>6</v>
      </c>
      <c r="N2751" s="31" t="str">
        <f aca="false">IF(G2751&lt;=INDEX(Assumptions!$B$15:$B$18,MATCH(E2751,Assumptions!$A$15:$A$18,0)),"Yes","No")</f>
        <v>Yes</v>
      </c>
      <c r="O2751" s="31" t="str">
        <f aca="false">IF(H2751="","Open",IF(H2751&lt;=INDEX(Assumptions!$C$15:$C$18,MATCH(E2751,Assumptions!$A$15:$A$18,0)),"Yes","No"))</f>
        <v>Yes</v>
      </c>
    </row>
    <row r="2752" customFormat="false" ht="15" hidden="false" customHeight="false" outlineLevel="0" collapsed="false">
      <c r="A2752" s="31" t="s">
        <v>2902</v>
      </c>
      <c r="B2752" s="44" t="n">
        <v>46242</v>
      </c>
      <c r="C2752" s="31" t="s">
        <v>57</v>
      </c>
      <c r="D2752" s="31" t="s">
        <v>67</v>
      </c>
      <c r="E2752" s="31" t="s">
        <v>51</v>
      </c>
      <c r="F2752" s="31" t="s">
        <v>120</v>
      </c>
      <c r="G2752" s="31" t="n">
        <v>8</v>
      </c>
      <c r="H2752" s="41" t="n">
        <v>37.6</v>
      </c>
      <c r="I2752" s="31" t="s">
        <v>149</v>
      </c>
      <c r="J2752" s="31" t="n">
        <v>3</v>
      </c>
      <c r="K2752" s="31" t="s">
        <v>150</v>
      </c>
      <c r="L2752" s="45" t="n">
        <f aca="false">DATE(YEAR(B2752),MONTH(B2752),1)</f>
        <v>46235</v>
      </c>
      <c r="M2752" s="31" t="n">
        <f aca="false">WEEKDAY(B2752,2)</f>
        <v>6</v>
      </c>
      <c r="N2752" s="31" t="str">
        <f aca="false">IF(G2752&lt;=INDEX(Assumptions!$B$15:$B$18,MATCH(E2752,Assumptions!$A$15:$A$18,0)),"Yes","No")</f>
        <v>Yes</v>
      </c>
      <c r="O2752" s="31" t="str">
        <f aca="false">IF(H2752="","Open",IF(H2752&lt;=INDEX(Assumptions!$C$15:$C$18,MATCH(E2752,Assumptions!$A$15:$A$18,0)),"Yes","No"))</f>
        <v>No</v>
      </c>
    </row>
    <row r="2753" customFormat="false" ht="15" hidden="false" customHeight="false" outlineLevel="0" collapsed="false">
      <c r="A2753" s="31" t="s">
        <v>2903</v>
      </c>
      <c r="B2753" s="44" t="n">
        <v>46242</v>
      </c>
      <c r="C2753" s="31" t="s">
        <v>59</v>
      </c>
      <c r="D2753" s="31" t="s">
        <v>67</v>
      </c>
      <c r="E2753" s="31" t="s">
        <v>51</v>
      </c>
      <c r="F2753" s="31" t="s">
        <v>130</v>
      </c>
      <c r="G2753" s="31" t="n">
        <v>40</v>
      </c>
      <c r="H2753" s="41" t="n">
        <v>6.1</v>
      </c>
      <c r="I2753" s="31" t="s">
        <v>149</v>
      </c>
      <c r="J2753" s="31" t="n">
        <v>4</v>
      </c>
      <c r="K2753" s="31" t="s">
        <v>150</v>
      </c>
      <c r="L2753" s="45" t="n">
        <f aca="false">DATE(YEAR(B2753),MONTH(B2753),1)</f>
        <v>46235</v>
      </c>
      <c r="M2753" s="31" t="n">
        <f aca="false">WEEKDAY(B2753,2)</f>
        <v>6</v>
      </c>
      <c r="N2753" s="31" t="str">
        <f aca="false">IF(G2753&lt;=INDEX(Assumptions!$B$15:$B$18,MATCH(E2753,Assumptions!$A$15:$A$18,0)),"Yes","No")</f>
        <v>Yes</v>
      </c>
      <c r="O2753" s="31" t="str">
        <f aca="false">IF(H2753="","Open",IF(H2753&lt;=INDEX(Assumptions!$C$15:$C$18,MATCH(E2753,Assumptions!$A$15:$A$18,0)),"Yes","No"))</f>
        <v>Yes</v>
      </c>
    </row>
    <row r="2754" customFormat="false" ht="15" hidden="false" customHeight="false" outlineLevel="0" collapsed="false">
      <c r="A2754" s="31" t="s">
        <v>2904</v>
      </c>
      <c r="B2754" s="44" t="n">
        <v>46242</v>
      </c>
      <c r="C2754" s="31" t="s">
        <v>57</v>
      </c>
      <c r="D2754" s="31" t="s">
        <v>68</v>
      </c>
      <c r="E2754" s="31" t="s">
        <v>51</v>
      </c>
      <c r="F2754" s="31" t="s">
        <v>137</v>
      </c>
      <c r="G2754" s="31" t="n">
        <v>4</v>
      </c>
      <c r="H2754" s="41" t="n">
        <v>3.5</v>
      </c>
      <c r="I2754" s="31" t="s">
        <v>149</v>
      </c>
      <c r="J2754" s="31" t="n">
        <v>2</v>
      </c>
      <c r="K2754" s="31" t="s">
        <v>150</v>
      </c>
      <c r="L2754" s="45" t="n">
        <f aca="false">DATE(YEAR(B2754),MONTH(B2754),1)</f>
        <v>46235</v>
      </c>
      <c r="M2754" s="31" t="n">
        <f aca="false">WEEKDAY(B2754,2)</f>
        <v>6</v>
      </c>
      <c r="N2754" s="31" t="str">
        <f aca="false">IF(G2754&lt;=INDEX(Assumptions!$B$15:$B$18,MATCH(E2754,Assumptions!$A$15:$A$18,0)),"Yes","No")</f>
        <v>Yes</v>
      </c>
      <c r="O2754" s="31" t="str">
        <f aca="false">IF(H2754="","Open",IF(H2754&lt;=INDEX(Assumptions!$C$15:$C$18,MATCH(E2754,Assumptions!$A$15:$A$18,0)),"Yes","No"))</f>
        <v>Yes</v>
      </c>
    </row>
    <row r="2755" customFormat="false" ht="15" hidden="false" customHeight="false" outlineLevel="0" collapsed="false">
      <c r="A2755" s="31" t="s">
        <v>2905</v>
      </c>
      <c r="B2755" s="44" t="n">
        <v>46242</v>
      </c>
      <c r="C2755" s="31" t="s">
        <v>58</v>
      </c>
      <c r="D2755" s="31" t="s">
        <v>65</v>
      </c>
      <c r="E2755" s="31" t="s">
        <v>51</v>
      </c>
      <c r="F2755" s="31" t="s">
        <v>128</v>
      </c>
      <c r="G2755" s="31" t="n">
        <v>14</v>
      </c>
      <c r="H2755" s="41" t="n">
        <v>9.1</v>
      </c>
      <c r="I2755" s="31" t="s">
        <v>149</v>
      </c>
      <c r="J2755" s="31"/>
      <c r="K2755" s="31" t="s">
        <v>150</v>
      </c>
      <c r="L2755" s="45" t="n">
        <f aca="false">DATE(YEAR(B2755),MONTH(B2755),1)</f>
        <v>46235</v>
      </c>
      <c r="M2755" s="31" t="n">
        <f aca="false">WEEKDAY(B2755,2)</f>
        <v>6</v>
      </c>
      <c r="N2755" s="31" t="str">
        <f aca="false">IF(G2755&lt;=INDEX(Assumptions!$B$15:$B$18,MATCH(E2755,Assumptions!$A$15:$A$18,0)),"Yes","No")</f>
        <v>Yes</v>
      </c>
      <c r="O2755" s="31" t="str">
        <f aca="false">IF(H2755="","Open",IF(H2755&lt;=INDEX(Assumptions!$C$15:$C$18,MATCH(E2755,Assumptions!$A$15:$A$18,0)),"Yes","No"))</f>
        <v>Yes</v>
      </c>
    </row>
    <row r="2756" customFormat="false" ht="15" hidden="false" customHeight="false" outlineLevel="0" collapsed="false">
      <c r="A2756" s="31" t="s">
        <v>2906</v>
      </c>
      <c r="B2756" s="44" t="n">
        <v>46242</v>
      </c>
      <c r="C2756" s="31" t="s">
        <v>58</v>
      </c>
      <c r="D2756" s="31" t="s">
        <v>65</v>
      </c>
      <c r="E2756" s="31" t="s">
        <v>52</v>
      </c>
      <c r="F2756" s="31" t="s">
        <v>121</v>
      </c>
      <c r="G2756" s="31" t="n">
        <v>8</v>
      </c>
      <c r="H2756" s="41" t="n">
        <v>16.6</v>
      </c>
      <c r="I2756" s="31" t="s">
        <v>149</v>
      </c>
      <c r="J2756" s="31"/>
      <c r="K2756" s="31" t="s">
        <v>150</v>
      </c>
      <c r="L2756" s="45" t="n">
        <f aca="false">DATE(YEAR(B2756),MONTH(B2756),1)</f>
        <v>46235</v>
      </c>
      <c r="M2756" s="31" t="n">
        <f aca="false">WEEKDAY(B2756,2)</f>
        <v>6</v>
      </c>
      <c r="N2756" s="31" t="str">
        <f aca="false">IF(G2756&lt;=INDEX(Assumptions!$B$15:$B$18,MATCH(E2756,Assumptions!$A$15:$A$18,0)),"Yes","No")</f>
        <v>Yes</v>
      </c>
      <c r="O2756" s="31" t="str">
        <f aca="false">IF(H2756="","Open",IF(H2756&lt;=INDEX(Assumptions!$C$15:$C$18,MATCH(E2756,Assumptions!$A$15:$A$18,0)),"Yes","No"))</f>
        <v>Yes</v>
      </c>
    </row>
    <row r="2757" customFormat="false" ht="15" hidden="false" customHeight="false" outlineLevel="0" collapsed="false">
      <c r="A2757" s="31" t="s">
        <v>2907</v>
      </c>
      <c r="B2757" s="44" t="n">
        <v>46242</v>
      </c>
      <c r="C2757" s="31" t="s">
        <v>57</v>
      </c>
      <c r="D2757" s="31" t="s">
        <v>69</v>
      </c>
      <c r="E2757" s="31" t="s">
        <v>50</v>
      </c>
      <c r="F2757" s="31" t="s">
        <v>119</v>
      </c>
      <c r="G2757" s="31" t="n">
        <v>3</v>
      </c>
      <c r="H2757" s="41"/>
      <c r="I2757" s="31" t="s">
        <v>158</v>
      </c>
      <c r="J2757" s="31"/>
      <c r="K2757" s="31" t="s">
        <v>150</v>
      </c>
      <c r="L2757" s="45" t="n">
        <f aca="false">DATE(YEAR(B2757),MONTH(B2757),1)</f>
        <v>46235</v>
      </c>
      <c r="M2757" s="31" t="n">
        <f aca="false">WEEKDAY(B2757,2)</f>
        <v>6</v>
      </c>
      <c r="N2757" s="31" t="str">
        <f aca="false">IF(G2757&lt;=INDEX(Assumptions!$B$15:$B$18,MATCH(E2757,Assumptions!$A$15:$A$18,0)),"Yes","No")</f>
        <v>Yes</v>
      </c>
      <c r="O2757" s="31" t="str">
        <f aca="false">IF(H2757="","Open",IF(H2757&lt;=INDEX(Assumptions!$C$15:$C$18,MATCH(E2757,Assumptions!$A$15:$A$18,0)),"Yes","No"))</f>
        <v>Open</v>
      </c>
    </row>
    <row r="2758" customFormat="false" ht="15" hidden="false" customHeight="false" outlineLevel="0" collapsed="false">
      <c r="A2758" s="31" t="s">
        <v>2908</v>
      </c>
      <c r="B2758" s="44" t="n">
        <v>46242</v>
      </c>
      <c r="C2758" s="31" t="s">
        <v>58</v>
      </c>
      <c r="D2758" s="31" t="s">
        <v>65</v>
      </c>
      <c r="E2758" s="31" t="s">
        <v>51</v>
      </c>
      <c r="F2758" s="31" t="s">
        <v>124</v>
      </c>
      <c r="G2758" s="31" t="n">
        <v>4</v>
      </c>
      <c r="H2758" s="41" t="n">
        <v>2.5</v>
      </c>
      <c r="I2758" s="31" t="s">
        <v>149</v>
      </c>
      <c r="J2758" s="31" t="n">
        <v>5</v>
      </c>
      <c r="K2758" s="31" t="s">
        <v>150</v>
      </c>
      <c r="L2758" s="45" t="n">
        <f aca="false">DATE(YEAR(B2758),MONTH(B2758),1)</f>
        <v>46235</v>
      </c>
      <c r="M2758" s="31" t="n">
        <f aca="false">WEEKDAY(B2758,2)</f>
        <v>6</v>
      </c>
      <c r="N2758" s="31" t="str">
        <f aca="false">IF(G2758&lt;=INDEX(Assumptions!$B$15:$B$18,MATCH(E2758,Assumptions!$A$15:$A$18,0)),"Yes","No")</f>
        <v>Yes</v>
      </c>
      <c r="O2758" s="31" t="str">
        <f aca="false">IF(H2758="","Open",IF(H2758&lt;=INDEX(Assumptions!$C$15:$C$18,MATCH(E2758,Assumptions!$A$15:$A$18,0)),"Yes","No"))</f>
        <v>Yes</v>
      </c>
    </row>
    <row r="2759" customFormat="false" ht="15" hidden="false" customHeight="false" outlineLevel="0" collapsed="false">
      <c r="A2759" s="31" t="s">
        <v>2909</v>
      </c>
      <c r="B2759" s="44" t="n">
        <v>46242</v>
      </c>
      <c r="C2759" s="31" t="s">
        <v>58</v>
      </c>
      <c r="D2759" s="31" t="s">
        <v>67</v>
      </c>
      <c r="E2759" s="31" t="s">
        <v>51</v>
      </c>
      <c r="F2759" s="31" t="s">
        <v>119</v>
      </c>
      <c r="G2759" s="31" t="n">
        <v>7</v>
      </c>
      <c r="H2759" s="41" t="n">
        <v>25.6</v>
      </c>
      <c r="I2759" s="31" t="s">
        <v>149</v>
      </c>
      <c r="J2759" s="31"/>
      <c r="K2759" s="31" t="s">
        <v>150</v>
      </c>
      <c r="L2759" s="45" t="n">
        <f aca="false">DATE(YEAR(B2759),MONTH(B2759),1)</f>
        <v>46235</v>
      </c>
      <c r="M2759" s="31" t="n">
        <f aca="false">WEEKDAY(B2759,2)</f>
        <v>6</v>
      </c>
      <c r="N2759" s="31" t="str">
        <f aca="false">IF(G2759&lt;=INDEX(Assumptions!$B$15:$B$18,MATCH(E2759,Assumptions!$A$15:$A$18,0)),"Yes","No")</f>
        <v>Yes</v>
      </c>
      <c r="O2759" s="31" t="str">
        <f aca="false">IF(H2759="","Open",IF(H2759&lt;=INDEX(Assumptions!$C$15:$C$18,MATCH(E2759,Assumptions!$A$15:$A$18,0)),"Yes","No"))</f>
        <v>No</v>
      </c>
    </row>
    <row r="2760" customFormat="false" ht="15" hidden="false" customHeight="false" outlineLevel="0" collapsed="false">
      <c r="A2760" s="31" t="s">
        <v>2910</v>
      </c>
      <c r="B2760" s="44" t="n">
        <v>46242</v>
      </c>
      <c r="C2760" s="31" t="s">
        <v>60</v>
      </c>
      <c r="D2760" s="31" t="s">
        <v>65</v>
      </c>
      <c r="E2760" s="31" t="s">
        <v>51</v>
      </c>
      <c r="F2760" s="31" t="s">
        <v>121</v>
      </c>
      <c r="G2760" s="31" t="n">
        <v>3</v>
      </c>
      <c r="H2760" s="41" t="n">
        <v>16.8</v>
      </c>
      <c r="I2760" s="31" t="s">
        <v>149</v>
      </c>
      <c r="J2760" s="31" t="n">
        <v>3</v>
      </c>
      <c r="K2760" s="31" t="s">
        <v>150</v>
      </c>
      <c r="L2760" s="45" t="n">
        <f aca="false">DATE(YEAR(B2760),MONTH(B2760),1)</f>
        <v>46235</v>
      </c>
      <c r="M2760" s="31" t="n">
        <f aca="false">WEEKDAY(B2760,2)</f>
        <v>6</v>
      </c>
      <c r="N2760" s="31" t="str">
        <f aca="false">IF(G2760&lt;=INDEX(Assumptions!$B$15:$B$18,MATCH(E2760,Assumptions!$A$15:$A$18,0)),"Yes","No")</f>
        <v>Yes</v>
      </c>
      <c r="O2760" s="31" t="str">
        <f aca="false">IF(H2760="","Open",IF(H2760&lt;=INDEX(Assumptions!$C$15:$C$18,MATCH(E2760,Assumptions!$A$15:$A$18,0)),"Yes","No"))</f>
        <v>Yes</v>
      </c>
    </row>
    <row r="2761" customFormat="false" ht="15" hidden="false" customHeight="false" outlineLevel="0" collapsed="false">
      <c r="A2761" s="31" t="s">
        <v>2911</v>
      </c>
      <c r="B2761" s="44" t="n">
        <v>46242</v>
      </c>
      <c r="C2761" s="31" t="s">
        <v>58</v>
      </c>
      <c r="D2761" s="31" t="s">
        <v>65</v>
      </c>
      <c r="E2761" s="31" t="s">
        <v>51</v>
      </c>
      <c r="F2761" s="31" t="s">
        <v>119</v>
      </c>
      <c r="G2761" s="31" t="n">
        <v>16</v>
      </c>
      <c r="H2761" s="41" t="n">
        <v>35.9</v>
      </c>
      <c r="I2761" s="31" t="s">
        <v>149</v>
      </c>
      <c r="J2761" s="31" t="n">
        <v>4</v>
      </c>
      <c r="K2761" s="31" t="s">
        <v>150</v>
      </c>
      <c r="L2761" s="45" t="n">
        <f aca="false">DATE(YEAR(B2761),MONTH(B2761),1)</f>
        <v>46235</v>
      </c>
      <c r="M2761" s="31" t="n">
        <f aca="false">WEEKDAY(B2761,2)</f>
        <v>6</v>
      </c>
      <c r="N2761" s="31" t="str">
        <f aca="false">IF(G2761&lt;=INDEX(Assumptions!$B$15:$B$18,MATCH(E2761,Assumptions!$A$15:$A$18,0)),"Yes","No")</f>
        <v>Yes</v>
      </c>
      <c r="O2761" s="31" t="str">
        <f aca="false">IF(H2761="","Open",IF(H2761&lt;=INDEX(Assumptions!$C$15:$C$18,MATCH(E2761,Assumptions!$A$15:$A$18,0)),"Yes","No"))</f>
        <v>No</v>
      </c>
    </row>
    <row r="2762" customFormat="false" ht="15" hidden="false" customHeight="false" outlineLevel="0" collapsed="false">
      <c r="A2762" s="31" t="s">
        <v>2912</v>
      </c>
      <c r="B2762" s="44" t="n">
        <v>46242</v>
      </c>
      <c r="C2762" s="31" t="s">
        <v>60</v>
      </c>
      <c r="D2762" s="31" t="s">
        <v>65</v>
      </c>
      <c r="E2762" s="31" t="s">
        <v>51</v>
      </c>
      <c r="F2762" s="31" t="s">
        <v>135</v>
      </c>
      <c r="G2762" s="31" t="n">
        <v>11</v>
      </c>
      <c r="H2762" s="41" t="n">
        <v>23.6</v>
      </c>
      <c r="I2762" s="31" t="s">
        <v>149</v>
      </c>
      <c r="J2762" s="31"/>
      <c r="K2762" s="31" t="s">
        <v>150</v>
      </c>
      <c r="L2762" s="45" t="n">
        <f aca="false">DATE(YEAR(B2762),MONTH(B2762),1)</f>
        <v>46235</v>
      </c>
      <c r="M2762" s="31" t="n">
        <f aca="false">WEEKDAY(B2762,2)</f>
        <v>6</v>
      </c>
      <c r="N2762" s="31" t="str">
        <f aca="false">IF(G2762&lt;=INDEX(Assumptions!$B$15:$B$18,MATCH(E2762,Assumptions!$A$15:$A$18,0)),"Yes","No")</f>
        <v>Yes</v>
      </c>
      <c r="O2762" s="31" t="str">
        <f aca="false">IF(H2762="","Open",IF(H2762&lt;=INDEX(Assumptions!$C$15:$C$18,MATCH(E2762,Assumptions!$A$15:$A$18,0)),"Yes","No"))</f>
        <v>Yes</v>
      </c>
    </row>
    <row r="2763" customFormat="false" ht="15" hidden="false" customHeight="false" outlineLevel="0" collapsed="false">
      <c r="A2763" s="31" t="s">
        <v>2913</v>
      </c>
      <c r="B2763" s="44" t="n">
        <v>46242</v>
      </c>
      <c r="C2763" s="31" t="s">
        <v>60</v>
      </c>
      <c r="D2763" s="31" t="s">
        <v>66</v>
      </c>
      <c r="E2763" s="31" t="s">
        <v>51</v>
      </c>
      <c r="F2763" s="31" t="s">
        <v>129</v>
      </c>
      <c r="G2763" s="31" t="n">
        <v>1</v>
      </c>
      <c r="H2763" s="41" t="n">
        <v>1.5</v>
      </c>
      <c r="I2763" s="31" t="s">
        <v>149</v>
      </c>
      <c r="J2763" s="31" t="n">
        <v>5</v>
      </c>
      <c r="K2763" s="31" t="s">
        <v>150</v>
      </c>
      <c r="L2763" s="45" t="n">
        <f aca="false">DATE(YEAR(B2763),MONTH(B2763),1)</f>
        <v>46235</v>
      </c>
      <c r="M2763" s="31" t="n">
        <f aca="false">WEEKDAY(B2763,2)</f>
        <v>6</v>
      </c>
      <c r="N2763" s="31" t="str">
        <f aca="false">IF(G2763&lt;=INDEX(Assumptions!$B$15:$B$18,MATCH(E2763,Assumptions!$A$15:$A$18,0)),"Yes","No")</f>
        <v>Yes</v>
      </c>
      <c r="O2763" s="31" t="str">
        <f aca="false">IF(H2763="","Open",IF(H2763&lt;=INDEX(Assumptions!$C$15:$C$18,MATCH(E2763,Assumptions!$A$15:$A$18,0)),"Yes","No"))</f>
        <v>Yes</v>
      </c>
    </row>
    <row r="2764" customFormat="false" ht="15" hidden="false" customHeight="false" outlineLevel="0" collapsed="false">
      <c r="A2764" s="31" t="s">
        <v>2914</v>
      </c>
      <c r="B2764" s="44" t="n">
        <v>46242</v>
      </c>
      <c r="C2764" s="31" t="s">
        <v>57</v>
      </c>
      <c r="D2764" s="31" t="s">
        <v>66</v>
      </c>
      <c r="E2764" s="31" t="s">
        <v>52</v>
      </c>
      <c r="F2764" s="31" t="s">
        <v>136</v>
      </c>
      <c r="G2764" s="31" t="n">
        <v>3</v>
      </c>
      <c r="H2764" s="41" t="n">
        <v>2.5</v>
      </c>
      <c r="I2764" s="31" t="s">
        <v>149</v>
      </c>
      <c r="J2764" s="31" t="n">
        <v>5</v>
      </c>
      <c r="K2764" s="31" t="s">
        <v>150</v>
      </c>
      <c r="L2764" s="45" t="n">
        <f aca="false">DATE(YEAR(B2764),MONTH(B2764),1)</f>
        <v>46235</v>
      </c>
      <c r="M2764" s="31" t="n">
        <f aca="false">WEEKDAY(B2764,2)</f>
        <v>6</v>
      </c>
      <c r="N2764" s="31" t="str">
        <f aca="false">IF(G2764&lt;=INDEX(Assumptions!$B$15:$B$18,MATCH(E2764,Assumptions!$A$15:$A$18,0)),"Yes","No")</f>
        <v>Yes</v>
      </c>
      <c r="O2764" s="31" t="str">
        <f aca="false">IF(H2764="","Open",IF(H2764&lt;=INDEX(Assumptions!$C$15:$C$18,MATCH(E2764,Assumptions!$A$15:$A$18,0)),"Yes","No"))</f>
        <v>Yes</v>
      </c>
    </row>
    <row r="2765" customFormat="false" ht="15" hidden="false" customHeight="false" outlineLevel="0" collapsed="false">
      <c r="A2765" s="31" t="s">
        <v>2915</v>
      </c>
      <c r="B2765" s="44" t="n">
        <v>46242</v>
      </c>
      <c r="C2765" s="31" t="s">
        <v>57</v>
      </c>
      <c r="D2765" s="31" t="s">
        <v>66</v>
      </c>
      <c r="E2765" s="31" t="s">
        <v>51</v>
      </c>
      <c r="F2765" s="31" t="s">
        <v>126</v>
      </c>
      <c r="G2765" s="31" t="n">
        <v>5</v>
      </c>
      <c r="H2765" s="41" t="n">
        <v>4.3</v>
      </c>
      <c r="I2765" s="31" t="s">
        <v>149</v>
      </c>
      <c r="J2765" s="31" t="n">
        <v>5</v>
      </c>
      <c r="K2765" s="31" t="s">
        <v>150</v>
      </c>
      <c r="L2765" s="45" t="n">
        <f aca="false">DATE(YEAR(B2765),MONTH(B2765),1)</f>
        <v>46235</v>
      </c>
      <c r="M2765" s="31" t="n">
        <f aca="false">WEEKDAY(B2765,2)</f>
        <v>6</v>
      </c>
      <c r="N2765" s="31" t="str">
        <f aca="false">IF(G2765&lt;=INDEX(Assumptions!$B$15:$B$18,MATCH(E2765,Assumptions!$A$15:$A$18,0)),"Yes","No")</f>
        <v>Yes</v>
      </c>
      <c r="O2765" s="31" t="str">
        <f aca="false">IF(H2765="","Open",IF(H2765&lt;=INDEX(Assumptions!$C$15:$C$18,MATCH(E2765,Assumptions!$A$15:$A$18,0)),"Yes","No"))</f>
        <v>Yes</v>
      </c>
    </row>
    <row r="2766" customFormat="false" ht="15" hidden="false" customHeight="false" outlineLevel="0" collapsed="false">
      <c r="A2766" s="31" t="s">
        <v>2916</v>
      </c>
      <c r="B2766" s="44" t="n">
        <v>46242</v>
      </c>
      <c r="C2766" s="31" t="s">
        <v>58</v>
      </c>
      <c r="D2766" s="31" t="s">
        <v>69</v>
      </c>
      <c r="E2766" s="31" t="s">
        <v>51</v>
      </c>
      <c r="F2766" s="31" t="s">
        <v>133</v>
      </c>
      <c r="G2766" s="31" t="n">
        <v>19</v>
      </c>
      <c r="H2766" s="41" t="n">
        <v>6.9</v>
      </c>
      <c r="I2766" s="31" t="s">
        <v>149</v>
      </c>
      <c r="J2766" s="31" t="n">
        <v>4</v>
      </c>
      <c r="K2766" s="31" t="s">
        <v>150</v>
      </c>
      <c r="L2766" s="45" t="n">
        <f aca="false">DATE(YEAR(B2766),MONTH(B2766),1)</f>
        <v>46235</v>
      </c>
      <c r="M2766" s="31" t="n">
        <f aca="false">WEEKDAY(B2766,2)</f>
        <v>6</v>
      </c>
      <c r="N2766" s="31" t="str">
        <f aca="false">IF(G2766&lt;=INDEX(Assumptions!$B$15:$B$18,MATCH(E2766,Assumptions!$A$15:$A$18,0)),"Yes","No")</f>
        <v>Yes</v>
      </c>
      <c r="O2766" s="31" t="str">
        <f aca="false">IF(H2766="","Open",IF(H2766&lt;=INDEX(Assumptions!$C$15:$C$18,MATCH(E2766,Assumptions!$A$15:$A$18,0)),"Yes","No"))</f>
        <v>Yes</v>
      </c>
    </row>
    <row r="2767" customFormat="false" ht="15" hidden="false" customHeight="false" outlineLevel="0" collapsed="false">
      <c r="A2767" s="31" t="s">
        <v>2917</v>
      </c>
      <c r="B2767" s="44" t="n">
        <v>46242</v>
      </c>
      <c r="C2767" s="31" t="s">
        <v>58</v>
      </c>
      <c r="D2767" s="31" t="s">
        <v>65</v>
      </c>
      <c r="E2767" s="31" t="s">
        <v>50</v>
      </c>
      <c r="F2767" s="31" t="s">
        <v>123</v>
      </c>
      <c r="G2767" s="31" t="n">
        <v>5</v>
      </c>
      <c r="H2767" s="41" t="n">
        <v>6.4</v>
      </c>
      <c r="I2767" s="31" t="s">
        <v>149</v>
      </c>
      <c r="J2767" s="31" t="n">
        <v>4</v>
      </c>
      <c r="K2767" s="31" t="s">
        <v>150</v>
      </c>
      <c r="L2767" s="45" t="n">
        <f aca="false">DATE(YEAR(B2767),MONTH(B2767),1)</f>
        <v>46235</v>
      </c>
      <c r="M2767" s="31" t="n">
        <f aca="false">WEEKDAY(B2767,2)</f>
        <v>6</v>
      </c>
      <c r="N2767" s="31" t="str">
        <f aca="false">IF(G2767&lt;=INDEX(Assumptions!$B$15:$B$18,MATCH(E2767,Assumptions!$A$15:$A$18,0)),"Yes","No")</f>
        <v>Yes</v>
      </c>
      <c r="O2767" s="31" t="str">
        <f aca="false">IF(H2767="","Open",IF(H2767&lt;=INDEX(Assumptions!$C$15:$C$18,MATCH(E2767,Assumptions!$A$15:$A$18,0)),"Yes","No"))</f>
        <v>Yes</v>
      </c>
    </row>
    <row r="2768" customFormat="false" ht="15" hidden="false" customHeight="false" outlineLevel="0" collapsed="false">
      <c r="A2768" s="31" t="s">
        <v>2918</v>
      </c>
      <c r="B2768" s="44" t="n">
        <v>46242</v>
      </c>
      <c r="C2768" s="31" t="s">
        <v>59</v>
      </c>
      <c r="D2768" s="31" t="s">
        <v>66</v>
      </c>
      <c r="E2768" s="31" t="s">
        <v>49</v>
      </c>
      <c r="F2768" s="31" t="s">
        <v>131</v>
      </c>
      <c r="G2768" s="31" t="n">
        <v>27</v>
      </c>
      <c r="H2768" s="41" t="n">
        <v>1.6</v>
      </c>
      <c r="I2768" s="31" t="s">
        <v>149</v>
      </c>
      <c r="J2768" s="31"/>
      <c r="K2768" s="31" t="s">
        <v>150</v>
      </c>
      <c r="L2768" s="45" t="n">
        <f aca="false">DATE(YEAR(B2768),MONTH(B2768),1)</f>
        <v>46235</v>
      </c>
      <c r="M2768" s="31" t="n">
        <f aca="false">WEEKDAY(B2768,2)</f>
        <v>6</v>
      </c>
      <c r="N2768" s="31" t="str">
        <f aca="false">IF(G2768&lt;=INDEX(Assumptions!$B$15:$B$18,MATCH(E2768,Assumptions!$A$15:$A$18,0)),"Yes","No")</f>
        <v>No</v>
      </c>
      <c r="O2768" s="31" t="str">
        <f aca="false">IF(H2768="","Open",IF(H2768&lt;=INDEX(Assumptions!$C$15:$C$18,MATCH(E2768,Assumptions!$A$15:$A$18,0)),"Yes","No"))</f>
        <v>Yes</v>
      </c>
    </row>
    <row r="2769" customFormat="false" ht="15" hidden="false" customHeight="false" outlineLevel="0" collapsed="false">
      <c r="A2769" s="31" t="s">
        <v>2919</v>
      </c>
      <c r="B2769" s="44" t="n">
        <v>46242</v>
      </c>
      <c r="C2769" s="31" t="s">
        <v>60</v>
      </c>
      <c r="D2769" s="31" t="s">
        <v>69</v>
      </c>
      <c r="E2769" s="31" t="s">
        <v>50</v>
      </c>
      <c r="F2769" s="31" t="s">
        <v>127</v>
      </c>
      <c r="G2769" s="31" t="n">
        <v>1</v>
      </c>
      <c r="H2769" s="41" t="n">
        <v>20.1</v>
      </c>
      <c r="I2769" s="31" t="s">
        <v>149</v>
      </c>
      <c r="J2769" s="31" t="n">
        <v>4</v>
      </c>
      <c r="K2769" s="31" t="s">
        <v>150</v>
      </c>
      <c r="L2769" s="45" t="n">
        <f aca="false">DATE(YEAR(B2769),MONTH(B2769),1)</f>
        <v>46235</v>
      </c>
      <c r="M2769" s="31" t="n">
        <f aca="false">WEEKDAY(B2769,2)</f>
        <v>6</v>
      </c>
      <c r="N2769" s="31" t="str">
        <f aca="false">IF(G2769&lt;=INDEX(Assumptions!$B$15:$B$18,MATCH(E2769,Assumptions!$A$15:$A$18,0)),"Yes","No")</f>
        <v>Yes</v>
      </c>
      <c r="O2769" s="31" t="str">
        <f aca="false">IF(H2769="","Open",IF(H2769&lt;=INDEX(Assumptions!$C$15:$C$18,MATCH(E2769,Assumptions!$A$15:$A$18,0)),"Yes","No"))</f>
        <v>No</v>
      </c>
    </row>
    <row r="2770" customFormat="false" ht="15" hidden="false" customHeight="false" outlineLevel="0" collapsed="false">
      <c r="A2770" s="31" t="s">
        <v>2920</v>
      </c>
      <c r="B2770" s="44" t="n">
        <v>46242</v>
      </c>
      <c r="C2770" s="31" t="s">
        <v>58</v>
      </c>
      <c r="D2770" s="31" t="s">
        <v>65</v>
      </c>
      <c r="E2770" s="31" t="s">
        <v>51</v>
      </c>
      <c r="F2770" s="31" t="s">
        <v>131</v>
      </c>
      <c r="G2770" s="31" t="n">
        <v>3</v>
      </c>
      <c r="H2770" s="41" t="n">
        <v>40.8</v>
      </c>
      <c r="I2770" s="31" t="s">
        <v>149</v>
      </c>
      <c r="J2770" s="31"/>
      <c r="K2770" s="31" t="s">
        <v>150</v>
      </c>
      <c r="L2770" s="45" t="n">
        <f aca="false">DATE(YEAR(B2770),MONTH(B2770),1)</f>
        <v>46235</v>
      </c>
      <c r="M2770" s="31" t="n">
        <f aca="false">WEEKDAY(B2770,2)</f>
        <v>6</v>
      </c>
      <c r="N2770" s="31" t="str">
        <f aca="false">IF(G2770&lt;=INDEX(Assumptions!$B$15:$B$18,MATCH(E2770,Assumptions!$A$15:$A$18,0)),"Yes","No")</f>
        <v>Yes</v>
      </c>
      <c r="O2770" s="31" t="str">
        <f aca="false">IF(H2770="","Open",IF(H2770&lt;=INDEX(Assumptions!$C$15:$C$18,MATCH(E2770,Assumptions!$A$15:$A$18,0)),"Yes","No"))</f>
        <v>No</v>
      </c>
    </row>
    <row r="2771" customFormat="false" ht="15" hidden="false" customHeight="false" outlineLevel="0" collapsed="false">
      <c r="A2771" s="31" t="s">
        <v>2921</v>
      </c>
      <c r="B2771" s="44" t="n">
        <v>46242</v>
      </c>
      <c r="C2771" s="31" t="s">
        <v>60</v>
      </c>
      <c r="D2771" s="31" t="s">
        <v>67</v>
      </c>
      <c r="E2771" s="31" t="s">
        <v>51</v>
      </c>
      <c r="F2771" s="31" t="s">
        <v>127</v>
      </c>
      <c r="G2771" s="31" t="n">
        <v>1</v>
      </c>
      <c r="H2771" s="41" t="n">
        <v>7.4</v>
      </c>
      <c r="I2771" s="31" t="s">
        <v>149</v>
      </c>
      <c r="J2771" s="31"/>
      <c r="K2771" s="31" t="s">
        <v>150</v>
      </c>
      <c r="L2771" s="45" t="n">
        <f aca="false">DATE(YEAR(B2771),MONTH(B2771),1)</f>
        <v>46235</v>
      </c>
      <c r="M2771" s="31" t="n">
        <f aca="false">WEEKDAY(B2771,2)</f>
        <v>6</v>
      </c>
      <c r="N2771" s="31" t="str">
        <f aca="false">IF(G2771&lt;=INDEX(Assumptions!$B$15:$B$18,MATCH(E2771,Assumptions!$A$15:$A$18,0)),"Yes","No")</f>
        <v>Yes</v>
      </c>
      <c r="O2771" s="31" t="str">
        <f aca="false">IF(H2771="","Open",IF(H2771&lt;=INDEX(Assumptions!$C$15:$C$18,MATCH(E2771,Assumptions!$A$15:$A$18,0)),"Yes","No"))</f>
        <v>Yes</v>
      </c>
    </row>
    <row r="2772" customFormat="false" ht="15" hidden="false" customHeight="false" outlineLevel="0" collapsed="false">
      <c r="A2772" s="31" t="s">
        <v>2922</v>
      </c>
      <c r="B2772" s="44" t="n">
        <v>46242</v>
      </c>
      <c r="C2772" s="31" t="s">
        <v>58</v>
      </c>
      <c r="D2772" s="31" t="s">
        <v>67</v>
      </c>
      <c r="E2772" s="31" t="s">
        <v>51</v>
      </c>
      <c r="F2772" s="31" t="s">
        <v>134</v>
      </c>
      <c r="G2772" s="31" t="n">
        <v>27</v>
      </c>
      <c r="H2772" s="41" t="n">
        <v>2.3</v>
      </c>
      <c r="I2772" s="31" t="s">
        <v>149</v>
      </c>
      <c r="J2772" s="31" t="n">
        <v>4</v>
      </c>
      <c r="K2772" s="31" t="s">
        <v>150</v>
      </c>
      <c r="L2772" s="45" t="n">
        <f aca="false">DATE(YEAR(B2772),MONTH(B2772),1)</f>
        <v>46235</v>
      </c>
      <c r="M2772" s="31" t="n">
        <f aca="false">WEEKDAY(B2772,2)</f>
        <v>6</v>
      </c>
      <c r="N2772" s="31" t="str">
        <f aca="false">IF(G2772&lt;=INDEX(Assumptions!$B$15:$B$18,MATCH(E2772,Assumptions!$A$15:$A$18,0)),"Yes","No")</f>
        <v>Yes</v>
      </c>
      <c r="O2772" s="31" t="str">
        <f aca="false">IF(H2772="","Open",IF(H2772&lt;=INDEX(Assumptions!$C$15:$C$18,MATCH(E2772,Assumptions!$A$15:$A$18,0)),"Yes","No"))</f>
        <v>Yes</v>
      </c>
    </row>
    <row r="2773" customFormat="false" ht="15" hidden="false" customHeight="false" outlineLevel="0" collapsed="false">
      <c r="A2773" s="31" t="s">
        <v>2923</v>
      </c>
      <c r="B2773" s="44" t="n">
        <v>46242</v>
      </c>
      <c r="C2773" s="31" t="s">
        <v>58</v>
      </c>
      <c r="D2773" s="31" t="s">
        <v>66</v>
      </c>
      <c r="E2773" s="31" t="s">
        <v>52</v>
      </c>
      <c r="F2773" s="31" t="s">
        <v>117</v>
      </c>
      <c r="G2773" s="31" t="n">
        <v>3</v>
      </c>
      <c r="H2773" s="41" t="n">
        <v>7.6</v>
      </c>
      <c r="I2773" s="31" t="s">
        <v>149</v>
      </c>
      <c r="J2773" s="31"/>
      <c r="K2773" s="31" t="s">
        <v>150</v>
      </c>
      <c r="L2773" s="45" t="n">
        <f aca="false">DATE(YEAR(B2773),MONTH(B2773),1)</f>
        <v>46235</v>
      </c>
      <c r="M2773" s="31" t="n">
        <f aca="false">WEEKDAY(B2773,2)</f>
        <v>6</v>
      </c>
      <c r="N2773" s="31" t="str">
        <f aca="false">IF(G2773&lt;=INDEX(Assumptions!$B$15:$B$18,MATCH(E2773,Assumptions!$A$15:$A$18,0)),"Yes","No")</f>
        <v>Yes</v>
      </c>
      <c r="O2773" s="31" t="str">
        <f aca="false">IF(H2773="","Open",IF(H2773&lt;=INDEX(Assumptions!$C$15:$C$18,MATCH(E2773,Assumptions!$A$15:$A$18,0)),"Yes","No"))</f>
        <v>Yes</v>
      </c>
    </row>
    <row r="2774" customFormat="false" ht="15" hidden="false" customHeight="false" outlineLevel="0" collapsed="false">
      <c r="A2774" s="31" t="s">
        <v>2924</v>
      </c>
      <c r="B2774" s="44" t="n">
        <v>46242</v>
      </c>
      <c r="C2774" s="31" t="s">
        <v>60</v>
      </c>
      <c r="D2774" s="31" t="s">
        <v>67</v>
      </c>
      <c r="E2774" s="31" t="s">
        <v>50</v>
      </c>
      <c r="F2774" s="31" t="s">
        <v>122</v>
      </c>
      <c r="G2774" s="31" t="n">
        <v>1</v>
      </c>
      <c r="H2774" s="41" t="n">
        <v>17</v>
      </c>
      <c r="I2774" s="31" t="s">
        <v>149</v>
      </c>
      <c r="J2774" s="31"/>
      <c r="K2774" s="31" t="s">
        <v>150</v>
      </c>
      <c r="L2774" s="45" t="n">
        <f aca="false">DATE(YEAR(B2774),MONTH(B2774),1)</f>
        <v>46235</v>
      </c>
      <c r="M2774" s="31" t="n">
        <f aca="false">WEEKDAY(B2774,2)</f>
        <v>6</v>
      </c>
      <c r="N2774" s="31" t="str">
        <f aca="false">IF(G2774&lt;=INDEX(Assumptions!$B$15:$B$18,MATCH(E2774,Assumptions!$A$15:$A$18,0)),"Yes","No")</f>
        <v>Yes</v>
      </c>
      <c r="O2774" s="31" t="str">
        <f aca="false">IF(H2774="","Open",IF(H2774&lt;=INDEX(Assumptions!$C$15:$C$18,MATCH(E2774,Assumptions!$A$15:$A$18,0)),"Yes","No"))</f>
        <v>No</v>
      </c>
    </row>
    <row r="2775" customFormat="false" ht="15" hidden="false" customHeight="false" outlineLevel="0" collapsed="false">
      <c r="A2775" s="31" t="s">
        <v>2925</v>
      </c>
      <c r="B2775" s="44" t="n">
        <v>46242</v>
      </c>
      <c r="C2775" s="31" t="s">
        <v>59</v>
      </c>
      <c r="D2775" s="31" t="s">
        <v>66</v>
      </c>
      <c r="E2775" s="31" t="s">
        <v>50</v>
      </c>
      <c r="F2775" s="31" t="s">
        <v>119</v>
      </c>
      <c r="G2775" s="31" t="n">
        <v>73</v>
      </c>
      <c r="H2775" s="41" t="n">
        <v>1.1</v>
      </c>
      <c r="I2775" s="31" t="s">
        <v>149</v>
      </c>
      <c r="J2775" s="31"/>
      <c r="K2775" s="31" t="s">
        <v>150</v>
      </c>
      <c r="L2775" s="45" t="n">
        <f aca="false">DATE(YEAR(B2775),MONTH(B2775),1)</f>
        <v>46235</v>
      </c>
      <c r="M2775" s="31" t="n">
        <f aca="false">WEEKDAY(B2775,2)</f>
        <v>6</v>
      </c>
      <c r="N2775" s="31" t="str">
        <f aca="false">IF(G2775&lt;=INDEX(Assumptions!$B$15:$B$18,MATCH(E2775,Assumptions!$A$15:$A$18,0)),"Yes","No")</f>
        <v>No</v>
      </c>
      <c r="O2775" s="31" t="str">
        <f aca="false">IF(H2775="","Open",IF(H2775&lt;=INDEX(Assumptions!$C$15:$C$18,MATCH(E2775,Assumptions!$A$15:$A$18,0)),"Yes","No"))</f>
        <v>Yes</v>
      </c>
    </row>
    <row r="2776" customFormat="false" ht="15" hidden="false" customHeight="false" outlineLevel="0" collapsed="false">
      <c r="A2776" s="31" t="s">
        <v>2926</v>
      </c>
      <c r="B2776" s="44" t="n">
        <v>46242</v>
      </c>
      <c r="C2776" s="31" t="s">
        <v>57</v>
      </c>
      <c r="D2776" s="31" t="s">
        <v>65</v>
      </c>
      <c r="E2776" s="31" t="s">
        <v>52</v>
      </c>
      <c r="F2776" s="31" t="s">
        <v>137</v>
      </c>
      <c r="G2776" s="31" t="n">
        <v>11</v>
      </c>
      <c r="H2776" s="41" t="n">
        <v>13.7</v>
      </c>
      <c r="I2776" s="31" t="s">
        <v>149</v>
      </c>
      <c r="J2776" s="31"/>
      <c r="K2776" s="31" t="s">
        <v>150</v>
      </c>
      <c r="L2776" s="45" t="n">
        <f aca="false">DATE(YEAR(B2776),MONTH(B2776),1)</f>
        <v>46235</v>
      </c>
      <c r="M2776" s="31" t="n">
        <f aca="false">WEEKDAY(B2776,2)</f>
        <v>6</v>
      </c>
      <c r="N2776" s="31" t="str">
        <f aca="false">IF(G2776&lt;=INDEX(Assumptions!$B$15:$B$18,MATCH(E2776,Assumptions!$A$15:$A$18,0)),"Yes","No")</f>
        <v>Yes</v>
      </c>
      <c r="O2776" s="31" t="str">
        <f aca="false">IF(H2776="","Open",IF(H2776&lt;=INDEX(Assumptions!$C$15:$C$18,MATCH(E2776,Assumptions!$A$15:$A$18,0)),"Yes","No"))</f>
        <v>Yes</v>
      </c>
    </row>
    <row r="2777" customFormat="false" ht="15" hidden="false" customHeight="false" outlineLevel="0" collapsed="false">
      <c r="A2777" s="31" t="s">
        <v>2927</v>
      </c>
      <c r="B2777" s="44" t="n">
        <v>46242</v>
      </c>
      <c r="C2777" s="31" t="s">
        <v>59</v>
      </c>
      <c r="D2777" s="31" t="s">
        <v>65</v>
      </c>
      <c r="E2777" s="31" t="s">
        <v>51</v>
      </c>
      <c r="F2777" s="31" t="s">
        <v>137</v>
      </c>
      <c r="G2777" s="31" t="n">
        <v>105</v>
      </c>
      <c r="H2777" s="41" t="n">
        <v>4.7</v>
      </c>
      <c r="I2777" s="31" t="s">
        <v>149</v>
      </c>
      <c r="J2777" s="31" t="n">
        <v>4</v>
      </c>
      <c r="K2777" s="31" t="s">
        <v>150</v>
      </c>
      <c r="L2777" s="45" t="n">
        <f aca="false">DATE(YEAR(B2777),MONTH(B2777),1)</f>
        <v>46235</v>
      </c>
      <c r="M2777" s="31" t="n">
        <f aca="false">WEEKDAY(B2777,2)</f>
        <v>6</v>
      </c>
      <c r="N2777" s="31" t="str">
        <f aca="false">IF(G2777&lt;=INDEX(Assumptions!$B$15:$B$18,MATCH(E2777,Assumptions!$A$15:$A$18,0)),"Yes","No")</f>
        <v>No</v>
      </c>
      <c r="O2777" s="31" t="str">
        <f aca="false">IF(H2777="","Open",IF(H2777&lt;=INDEX(Assumptions!$C$15:$C$18,MATCH(E2777,Assumptions!$A$15:$A$18,0)),"Yes","No"))</f>
        <v>Yes</v>
      </c>
    </row>
    <row r="2778" customFormat="false" ht="15" hidden="false" customHeight="false" outlineLevel="0" collapsed="false">
      <c r="A2778" s="31" t="s">
        <v>2928</v>
      </c>
      <c r="B2778" s="44" t="n">
        <v>46243</v>
      </c>
      <c r="C2778" s="31" t="s">
        <v>58</v>
      </c>
      <c r="D2778" s="31" t="s">
        <v>65</v>
      </c>
      <c r="E2778" s="31" t="s">
        <v>50</v>
      </c>
      <c r="F2778" s="31" t="s">
        <v>123</v>
      </c>
      <c r="G2778" s="31" t="n">
        <v>5</v>
      </c>
      <c r="H2778" s="41" t="n">
        <v>20.2</v>
      </c>
      <c r="I2778" s="31" t="s">
        <v>64</v>
      </c>
      <c r="J2778" s="31"/>
      <c r="K2778" s="31" t="s">
        <v>150</v>
      </c>
      <c r="L2778" s="45" t="n">
        <f aca="false">DATE(YEAR(B2778),MONTH(B2778),1)</f>
        <v>46235</v>
      </c>
      <c r="M2778" s="31" t="n">
        <f aca="false">WEEKDAY(B2778,2)</f>
        <v>7</v>
      </c>
      <c r="N2778" s="31" t="str">
        <f aca="false">IF(G2778&lt;=INDEX(Assumptions!$B$15:$B$18,MATCH(E2778,Assumptions!$A$15:$A$18,0)),"Yes","No")</f>
        <v>Yes</v>
      </c>
      <c r="O2778" s="31" t="str">
        <f aca="false">IF(H2778="","Open",IF(H2778&lt;=INDEX(Assumptions!$C$15:$C$18,MATCH(E2778,Assumptions!$A$15:$A$18,0)),"Yes","No"))</f>
        <v>No</v>
      </c>
    </row>
    <row r="2779" customFormat="false" ht="15" hidden="false" customHeight="false" outlineLevel="0" collapsed="false">
      <c r="A2779" s="31" t="s">
        <v>2929</v>
      </c>
      <c r="B2779" s="44" t="n">
        <v>46243</v>
      </c>
      <c r="C2779" s="31" t="s">
        <v>57</v>
      </c>
      <c r="D2779" s="31" t="s">
        <v>68</v>
      </c>
      <c r="E2779" s="31" t="s">
        <v>52</v>
      </c>
      <c r="F2779" s="31" t="s">
        <v>126</v>
      </c>
      <c r="G2779" s="31" t="n">
        <v>3</v>
      </c>
      <c r="H2779" s="41" t="n">
        <v>5.3</v>
      </c>
      <c r="I2779" s="31" t="s">
        <v>149</v>
      </c>
      <c r="J2779" s="31"/>
      <c r="K2779" s="31" t="s">
        <v>150</v>
      </c>
      <c r="L2779" s="45" t="n">
        <f aca="false">DATE(YEAR(B2779),MONTH(B2779),1)</f>
        <v>46235</v>
      </c>
      <c r="M2779" s="31" t="n">
        <f aca="false">WEEKDAY(B2779,2)</f>
        <v>7</v>
      </c>
      <c r="N2779" s="31" t="str">
        <f aca="false">IF(G2779&lt;=INDEX(Assumptions!$B$15:$B$18,MATCH(E2779,Assumptions!$A$15:$A$18,0)),"Yes","No")</f>
        <v>Yes</v>
      </c>
      <c r="O2779" s="31" t="str">
        <f aca="false">IF(H2779="","Open",IF(H2779&lt;=INDEX(Assumptions!$C$15:$C$18,MATCH(E2779,Assumptions!$A$15:$A$18,0)),"Yes","No"))</f>
        <v>Yes</v>
      </c>
    </row>
    <row r="2780" customFormat="false" ht="15" hidden="false" customHeight="false" outlineLevel="0" collapsed="false">
      <c r="A2780" s="31" t="s">
        <v>2930</v>
      </c>
      <c r="B2780" s="44" t="n">
        <v>46243</v>
      </c>
      <c r="C2780" s="31" t="s">
        <v>60</v>
      </c>
      <c r="D2780" s="31" t="s">
        <v>65</v>
      </c>
      <c r="E2780" s="31" t="s">
        <v>51</v>
      </c>
      <c r="F2780" s="31" t="s">
        <v>130</v>
      </c>
      <c r="G2780" s="31" t="n">
        <v>4</v>
      </c>
      <c r="H2780" s="41" t="n">
        <v>8.3</v>
      </c>
      <c r="I2780" s="31" t="s">
        <v>149</v>
      </c>
      <c r="J2780" s="31"/>
      <c r="K2780" s="31" t="s">
        <v>150</v>
      </c>
      <c r="L2780" s="45" t="n">
        <f aca="false">DATE(YEAR(B2780),MONTH(B2780),1)</f>
        <v>46235</v>
      </c>
      <c r="M2780" s="31" t="n">
        <f aca="false">WEEKDAY(B2780,2)</f>
        <v>7</v>
      </c>
      <c r="N2780" s="31" t="str">
        <f aca="false">IF(G2780&lt;=INDEX(Assumptions!$B$15:$B$18,MATCH(E2780,Assumptions!$A$15:$A$18,0)),"Yes","No")</f>
        <v>Yes</v>
      </c>
      <c r="O2780" s="31" t="str">
        <f aca="false">IF(H2780="","Open",IF(H2780&lt;=INDEX(Assumptions!$C$15:$C$18,MATCH(E2780,Assumptions!$A$15:$A$18,0)),"Yes","No"))</f>
        <v>Yes</v>
      </c>
    </row>
    <row r="2781" customFormat="false" ht="15" hidden="false" customHeight="false" outlineLevel="0" collapsed="false">
      <c r="A2781" s="31" t="s">
        <v>2931</v>
      </c>
      <c r="B2781" s="44" t="n">
        <v>46243</v>
      </c>
      <c r="C2781" s="31" t="s">
        <v>57</v>
      </c>
      <c r="D2781" s="31" t="s">
        <v>65</v>
      </c>
      <c r="E2781" s="31" t="s">
        <v>50</v>
      </c>
      <c r="F2781" s="31" t="s">
        <v>123</v>
      </c>
      <c r="G2781" s="31" t="n">
        <v>5</v>
      </c>
      <c r="H2781" s="41" t="n">
        <v>2.4</v>
      </c>
      <c r="I2781" s="31" t="s">
        <v>149</v>
      </c>
      <c r="J2781" s="31"/>
      <c r="K2781" s="31" t="s">
        <v>150</v>
      </c>
      <c r="L2781" s="45" t="n">
        <f aca="false">DATE(YEAR(B2781),MONTH(B2781),1)</f>
        <v>46235</v>
      </c>
      <c r="M2781" s="31" t="n">
        <f aca="false">WEEKDAY(B2781,2)</f>
        <v>7</v>
      </c>
      <c r="N2781" s="31" t="str">
        <f aca="false">IF(G2781&lt;=INDEX(Assumptions!$B$15:$B$18,MATCH(E2781,Assumptions!$A$15:$A$18,0)),"Yes","No")</f>
        <v>Yes</v>
      </c>
      <c r="O2781" s="31" t="str">
        <f aca="false">IF(H2781="","Open",IF(H2781&lt;=INDEX(Assumptions!$C$15:$C$18,MATCH(E2781,Assumptions!$A$15:$A$18,0)),"Yes","No"))</f>
        <v>Yes</v>
      </c>
    </row>
    <row r="2782" customFormat="false" ht="15" hidden="false" customHeight="false" outlineLevel="0" collapsed="false">
      <c r="A2782" s="31" t="s">
        <v>2932</v>
      </c>
      <c r="B2782" s="44" t="n">
        <v>46243</v>
      </c>
      <c r="C2782" s="31" t="s">
        <v>58</v>
      </c>
      <c r="D2782" s="31" t="s">
        <v>66</v>
      </c>
      <c r="E2782" s="31" t="s">
        <v>51</v>
      </c>
      <c r="F2782" s="31" t="s">
        <v>134</v>
      </c>
      <c r="G2782" s="31" t="n">
        <v>13</v>
      </c>
      <c r="H2782" s="41" t="n">
        <v>5.3</v>
      </c>
      <c r="I2782" s="31" t="s">
        <v>149</v>
      </c>
      <c r="J2782" s="31"/>
      <c r="K2782" s="31" t="s">
        <v>150</v>
      </c>
      <c r="L2782" s="45" t="n">
        <f aca="false">DATE(YEAR(B2782),MONTH(B2782),1)</f>
        <v>46235</v>
      </c>
      <c r="M2782" s="31" t="n">
        <f aca="false">WEEKDAY(B2782,2)</f>
        <v>7</v>
      </c>
      <c r="N2782" s="31" t="str">
        <f aca="false">IF(G2782&lt;=INDEX(Assumptions!$B$15:$B$18,MATCH(E2782,Assumptions!$A$15:$A$18,0)),"Yes","No")</f>
        <v>Yes</v>
      </c>
      <c r="O2782" s="31" t="str">
        <f aca="false">IF(H2782="","Open",IF(H2782&lt;=INDEX(Assumptions!$C$15:$C$18,MATCH(E2782,Assumptions!$A$15:$A$18,0)),"Yes","No"))</f>
        <v>Yes</v>
      </c>
    </row>
    <row r="2783" customFormat="false" ht="15" hidden="false" customHeight="false" outlineLevel="0" collapsed="false">
      <c r="A2783" s="31" t="s">
        <v>2933</v>
      </c>
      <c r="B2783" s="44" t="n">
        <v>46243</v>
      </c>
      <c r="C2783" s="31" t="s">
        <v>60</v>
      </c>
      <c r="D2783" s="31" t="s">
        <v>65</v>
      </c>
      <c r="E2783" s="31" t="s">
        <v>51</v>
      </c>
      <c r="F2783" s="31" t="s">
        <v>126</v>
      </c>
      <c r="G2783" s="31" t="n">
        <v>3</v>
      </c>
      <c r="H2783" s="41" t="n">
        <v>4.5</v>
      </c>
      <c r="I2783" s="31" t="s">
        <v>149</v>
      </c>
      <c r="J2783" s="31"/>
      <c r="K2783" s="31" t="s">
        <v>150</v>
      </c>
      <c r="L2783" s="45" t="n">
        <f aca="false">DATE(YEAR(B2783),MONTH(B2783),1)</f>
        <v>46235</v>
      </c>
      <c r="M2783" s="31" t="n">
        <f aca="false">WEEKDAY(B2783,2)</f>
        <v>7</v>
      </c>
      <c r="N2783" s="31" t="str">
        <f aca="false">IF(G2783&lt;=INDEX(Assumptions!$B$15:$B$18,MATCH(E2783,Assumptions!$A$15:$A$18,0)),"Yes","No")</f>
        <v>Yes</v>
      </c>
      <c r="O2783" s="31" t="str">
        <f aca="false">IF(H2783="","Open",IF(H2783&lt;=INDEX(Assumptions!$C$15:$C$18,MATCH(E2783,Assumptions!$A$15:$A$18,0)),"Yes","No"))</f>
        <v>Yes</v>
      </c>
    </row>
    <row r="2784" customFormat="false" ht="15" hidden="false" customHeight="false" outlineLevel="0" collapsed="false">
      <c r="A2784" s="31" t="s">
        <v>2934</v>
      </c>
      <c r="B2784" s="44" t="n">
        <v>46243</v>
      </c>
      <c r="C2784" s="31" t="s">
        <v>58</v>
      </c>
      <c r="D2784" s="31" t="s">
        <v>65</v>
      </c>
      <c r="E2784" s="31" t="s">
        <v>52</v>
      </c>
      <c r="F2784" s="31" t="s">
        <v>124</v>
      </c>
      <c r="G2784" s="31" t="n">
        <v>18</v>
      </c>
      <c r="H2784" s="41" t="n">
        <v>24.6</v>
      </c>
      <c r="I2784" s="31" t="s">
        <v>64</v>
      </c>
      <c r="J2784" s="31"/>
      <c r="K2784" s="31" t="s">
        <v>150</v>
      </c>
      <c r="L2784" s="45" t="n">
        <f aca="false">DATE(YEAR(B2784),MONTH(B2784),1)</f>
        <v>46235</v>
      </c>
      <c r="M2784" s="31" t="n">
        <f aca="false">WEEKDAY(B2784,2)</f>
        <v>7</v>
      </c>
      <c r="N2784" s="31" t="str">
        <f aca="false">IF(G2784&lt;=INDEX(Assumptions!$B$15:$B$18,MATCH(E2784,Assumptions!$A$15:$A$18,0)),"Yes","No")</f>
        <v>Yes</v>
      </c>
      <c r="O2784" s="31" t="str">
        <f aca="false">IF(H2784="","Open",IF(H2784&lt;=INDEX(Assumptions!$C$15:$C$18,MATCH(E2784,Assumptions!$A$15:$A$18,0)),"Yes","No"))</f>
        <v>Yes</v>
      </c>
    </row>
    <row r="2785" customFormat="false" ht="15" hidden="false" customHeight="false" outlineLevel="0" collapsed="false">
      <c r="A2785" s="31" t="s">
        <v>2935</v>
      </c>
      <c r="B2785" s="44" t="n">
        <v>46243</v>
      </c>
      <c r="C2785" s="31" t="s">
        <v>57</v>
      </c>
      <c r="D2785" s="31" t="s">
        <v>66</v>
      </c>
      <c r="E2785" s="31" t="s">
        <v>52</v>
      </c>
      <c r="F2785" s="31" t="s">
        <v>124</v>
      </c>
      <c r="G2785" s="31" t="n">
        <v>2</v>
      </c>
      <c r="H2785" s="41" t="n">
        <v>30.9</v>
      </c>
      <c r="I2785" s="31" t="s">
        <v>149</v>
      </c>
      <c r="J2785" s="31"/>
      <c r="K2785" s="31" t="s">
        <v>150</v>
      </c>
      <c r="L2785" s="45" t="n">
        <f aca="false">DATE(YEAR(B2785),MONTH(B2785),1)</f>
        <v>46235</v>
      </c>
      <c r="M2785" s="31" t="n">
        <f aca="false">WEEKDAY(B2785,2)</f>
        <v>7</v>
      </c>
      <c r="N2785" s="31" t="str">
        <f aca="false">IF(G2785&lt;=INDEX(Assumptions!$B$15:$B$18,MATCH(E2785,Assumptions!$A$15:$A$18,0)),"Yes","No")</f>
        <v>Yes</v>
      </c>
      <c r="O2785" s="31" t="str">
        <f aca="false">IF(H2785="","Open",IF(H2785&lt;=INDEX(Assumptions!$C$15:$C$18,MATCH(E2785,Assumptions!$A$15:$A$18,0)),"Yes","No"))</f>
        <v>Yes</v>
      </c>
    </row>
    <row r="2786" customFormat="false" ht="15" hidden="false" customHeight="false" outlineLevel="0" collapsed="false">
      <c r="A2786" s="31" t="s">
        <v>2936</v>
      </c>
      <c r="B2786" s="44" t="n">
        <v>46243</v>
      </c>
      <c r="C2786" s="31" t="s">
        <v>58</v>
      </c>
      <c r="D2786" s="31" t="s">
        <v>67</v>
      </c>
      <c r="E2786" s="31" t="s">
        <v>51</v>
      </c>
      <c r="F2786" s="31" t="s">
        <v>126</v>
      </c>
      <c r="G2786" s="31" t="n">
        <v>11</v>
      </c>
      <c r="H2786" s="41" t="n">
        <v>77.2</v>
      </c>
      <c r="I2786" s="31" t="s">
        <v>64</v>
      </c>
      <c r="J2786" s="31"/>
      <c r="K2786" s="31" t="s">
        <v>150</v>
      </c>
      <c r="L2786" s="45" t="n">
        <f aca="false">DATE(YEAR(B2786),MONTH(B2786),1)</f>
        <v>46235</v>
      </c>
      <c r="M2786" s="31" t="n">
        <f aca="false">WEEKDAY(B2786,2)</f>
        <v>7</v>
      </c>
      <c r="N2786" s="31" t="str">
        <f aca="false">IF(G2786&lt;=INDEX(Assumptions!$B$15:$B$18,MATCH(E2786,Assumptions!$A$15:$A$18,0)),"Yes","No")</f>
        <v>Yes</v>
      </c>
      <c r="O2786" s="31" t="str">
        <f aca="false">IF(H2786="","Open",IF(H2786&lt;=INDEX(Assumptions!$C$15:$C$18,MATCH(E2786,Assumptions!$A$15:$A$18,0)),"Yes","No"))</f>
        <v>No</v>
      </c>
    </row>
    <row r="2787" customFormat="false" ht="15" hidden="false" customHeight="false" outlineLevel="0" collapsed="false">
      <c r="A2787" s="31" t="s">
        <v>2937</v>
      </c>
      <c r="B2787" s="44" t="n">
        <v>46243</v>
      </c>
      <c r="C2787" s="31" t="s">
        <v>58</v>
      </c>
      <c r="D2787" s="31" t="s">
        <v>67</v>
      </c>
      <c r="E2787" s="31" t="s">
        <v>52</v>
      </c>
      <c r="F2787" s="31" t="s">
        <v>133</v>
      </c>
      <c r="G2787" s="31" t="n">
        <v>5</v>
      </c>
      <c r="H2787" s="41"/>
      <c r="I2787" s="31" t="s">
        <v>158</v>
      </c>
      <c r="J2787" s="31"/>
      <c r="K2787" s="31" t="s">
        <v>150</v>
      </c>
      <c r="L2787" s="45" t="n">
        <f aca="false">DATE(YEAR(B2787),MONTH(B2787),1)</f>
        <v>46235</v>
      </c>
      <c r="M2787" s="31" t="n">
        <f aca="false">WEEKDAY(B2787,2)</f>
        <v>7</v>
      </c>
      <c r="N2787" s="31" t="str">
        <f aca="false">IF(G2787&lt;=INDEX(Assumptions!$B$15:$B$18,MATCH(E2787,Assumptions!$A$15:$A$18,0)),"Yes","No")</f>
        <v>Yes</v>
      </c>
      <c r="O2787" s="31" t="str">
        <f aca="false">IF(H2787="","Open",IF(H2787&lt;=INDEX(Assumptions!$C$15:$C$18,MATCH(E2787,Assumptions!$A$15:$A$18,0)),"Yes","No"))</f>
        <v>Open</v>
      </c>
    </row>
    <row r="2788" customFormat="false" ht="15" hidden="false" customHeight="false" outlineLevel="0" collapsed="false">
      <c r="A2788" s="31" t="s">
        <v>2938</v>
      </c>
      <c r="B2788" s="44" t="n">
        <v>46243</v>
      </c>
      <c r="C2788" s="31" t="s">
        <v>57</v>
      </c>
      <c r="D2788" s="31" t="s">
        <v>68</v>
      </c>
      <c r="E2788" s="31" t="s">
        <v>51</v>
      </c>
      <c r="F2788" s="31" t="s">
        <v>122</v>
      </c>
      <c r="G2788" s="31" t="n">
        <v>3</v>
      </c>
      <c r="H2788" s="41" t="n">
        <v>1.8</v>
      </c>
      <c r="I2788" s="31" t="s">
        <v>149</v>
      </c>
      <c r="J2788" s="31" t="n">
        <v>5</v>
      </c>
      <c r="K2788" s="31" t="s">
        <v>150</v>
      </c>
      <c r="L2788" s="45" t="n">
        <f aca="false">DATE(YEAR(B2788),MONTH(B2788),1)</f>
        <v>46235</v>
      </c>
      <c r="M2788" s="31" t="n">
        <f aca="false">WEEKDAY(B2788,2)</f>
        <v>7</v>
      </c>
      <c r="N2788" s="31" t="str">
        <f aca="false">IF(G2788&lt;=INDEX(Assumptions!$B$15:$B$18,MATCH(E2788,Assumptions!$A$15:$A$18,0)),"Yes","No")</f>
        <v>Yes</v>
      </c>
      <c r="O2788" s="31" t="str">
        <f aca="false">IF(H2788="","Open",IF(H2788&lt;=INDEX(Assumptions!$C$15:$C$18,MATCH(E2788,Assumptions!$A$15:$A$18,0)),"Yes","No"))</f>
        <v>Yes</v>
      </c>
    </row>
    <row r="2789" customFormat="false" ht="15" hidden="false" customHeight="false" outlineLevel="0" collapsed="false">
      <c r="A2789" s="31" t="s">
        <v>2939</v>
      </c>
      <c r="B2789" s="44" t="n">
        <v>46243</v>
      </c>
      <c r="C2789" s="31" t="s">
        <v>60</v>
      </c>
      <c r="D2789" s="31" t="s">
        <v>67</v>
      </c>
      <c r="E2789" s="31" t="s">
        <v>49</v>
      </c>
      <c r="F2789" s="31" t="s">
        <v>133</v>
      </c>
      <c r="G2789" s="31" t="n">
        <v>1</v>
      </c>
      <c r="H2789" s="41" t="n">
        <v>7.4</v>
      </c>
      <c r="I2789" s="31" t="s">
        <v>149</v>
      </c>
      <c r="J2789" s="31" t="n">
        <v>4</v>
      </c>
      <c r="K2789" s="31" t="s">
        <v>150</v>
      </c>
      <c r="L2789" s="45" t="n">
        <f aca="false">DATE(YEAR(B2789),MONTH(B2789),1)</f>
        <v>46235</v>
      </c>
      <c r="M2789" s="31" t="n">
        <f aca="false">WEEKDAY(B2789,2)</f>
        <v>7</v>
      </c>
      <c r="N2789" s="31" t="str">
        <f aca="false">IF(G2789&lt;=INDEX(Assumptions!$B$15:$B$18,MATCH(E2789,Assumptions!$A$15:$A$18,0)),"Yes","No")</f>
        <v>Yes</v>
      </c>
      <c r="O2789" s="31" t="str">
        <f aca="false">IF(H2789="","Open",IF(H2789&lt;=INDEX(Assumptions!$C$15:$C$18,MATCH(E2789,Assumptions!$A$15:$A$18,0)),"Yes","No"))</f>
        <v>No</v>
      </c>
    </row>
    <row r="2790" customFormat="false" ht="15" hidden="false" customHeight="false" outlineLevel="0" collapsed="false">
      <c r="A2790" s="31" t="s">
        <v>2940</v>
      </c>
      <c r="B2790" s="44" t="n">
        <v>46243</v>
      </c>
      <c r="C2790" s="31" t="s">
        <v>58</v>
      </c>
      <c r="D2790" s="31" t="s">
        <v>67</v>
      </c>
      <c r="E2790" s="31" t="s">
        <v>50</v>
      </c>
      <c r="F2790" s="31" t="s">
        <v>133</v>
      </c>
      <c r="G2790" s="31" t="n">
        <v>4</v>
      </c>
      <c r="H2790" s="41" t="n">
        <v>7.1</v>
      </c>
      <c r="I2790" s="31" t="s">
        <v>149</v>
      </c>
      <c r="J2790" s="31"/>
      <c r="K2790" s="31" t="s">
        <v>150</v>
      </c>
      <c r="L2790" s="45" t="n">
        <f aca="false">DATE(YEAR(B2790),MONTH(B2790),1)</f>
        <v>46235</v>
      </c>
      <c r="M2790" s="31" t="n">
        <f aca="false">WEEKDAY(B2790,2)</f>
        <v>7</v>
      </c>
      <c r="N2790" s="31" t="str">
        <f aca="false">IF(G2790&lt;=INDEX(Assumptions!$B$15:$B$18,MATCH(E2790,Assumptions!$A$15:$A$18,0)),"Yes","No")</f>
        <v>Yes</v>
      </c>
      <c r="O2790" s="31" t="str">
        <f aca="false">IF(H2790="","Open",IF(H2790&lt;=INDEX(Assumptions!$C$15:$C$18,MATCH(E2790,Assumptions!$A$15:$A$18,0)),"Yes","No"))</f>
        <v>Yes</v>
      </c>
    </row>
    <row r="2791" customFormat="false" ht="15" hidden="false" customHeight="false" outlineLevel="0" collapsed="false">
      <c r="A2791" s="31" t="s">
        <v>2941</v>
      </c>
      <c r="B2791" s="44" t="n">
        <v>46243</v>
      </c>
      <c r="C2791" s="31" t="s">
        <v>58</v>
      </c>
      <c r="D2791" s="31" t="s">
        <v>66</v>
      </c>
      <c r="E2791" s="31" t="s">
        <v>51</v>
      </c>
      <c r="F2791" s="31" t="s">
        <v>133</v>
      </c>
      <c r="G2791" s="31" t="n">
        <v>4</v>
      </c>
      <c r="H2791" s="41" t="n">
        <v>46.5</v>
      </c>
      <c r="I2791" s="31" t="s">
        <v>64</v>
      </c>
      <c r="J2791" s="31" t="n">
        <v>1</v>
      </c>
      <c r="K2791" s="31" t="s">
        <v>150</v>
      </c>
      <c r="L2791" s="45" t="n">
        <f aca="false">DATE(YEAR(B2791),MONTH(B2791),1)</f>
        <v>46235</v>
      </c>
      <c r="M2791" s="31" t="n">
        <f aca="false">WEEKDAY(B2791,2)</f>
        <v>7</v>
      </c>
      <c r="N2791" s="31" t="str">
        <f aca="false">IF(G2791&lt;=INDEX(Assumptions!$B$15:$B$18,MATCH(E2791,Assumptions!$A$15:$A$18,0)),"Yes","No")</f>
        <v>Yes</v>
      </c>
      <c r="O2791" s="31" t="str">
        <f aca="false">IF(H2791="","Open",IF(H2791&lt;=INDEX(Assumptions!$C$15:$C$18,MATCH(E2791,Assumptions!$A$15:$A$18,0)),"Yes","No"))</f>
        <v>No</v>
      </c>
    </row>
    <row r="2792" customFormat="false" ht="15" hidden="false" customHeight="false" outlineLevel="0" collapsed="false">
      <c r="A2792" s="31" t="s">
        <v>2942</v>
      </c>
      <c r="B2792" s="44" t="n">
        <v>46243</v>
      </c>
      <c r="C2792" s="31" t="s">
        <v>57</v>
      </c>
      <c r="D2792" s="31" t="s">
        <v>66</v>
      </c>
      <c r="E2792" s="31" t="s">
        <v>51</v>
      </c>
      <c r="F2792" s="31" t="s">
        <v>137</v>
      </c>
      <c r="G2792" s="31" t="n">
        <v>4</v>
      </c>
      <c r="H2792" s="41" t="n">
        <v>8.3</v>
      </c>
      <c r="I2792" s="31" t="s">
        <v>149</v>
      </c>
      <c r="J2792" s="31" t="n">
        <v>4</v>
      </c>
      <c r="K2792" s="31" t="s">
        <v>150</v>
      </c>
      <c r="L2792" s="45" t="n">
        <f aca="false">DATE(YEAR(B2792),MONTH(B2792),1)</f>
        <v>46235</v>
      </c>
      <c r="M2792" s="31" t="n">
        <f aca="false">WEEKDAY(B2792,2)</f>
        <v>7</v>
      </c>
      <c r="N2792" s="31" t="str">
        <f aca="false">IF(G2792&lt;=INDEX(Assumptions!$B$15:$B$18,MATCH(E2792,Assumptions!$A$15:$A$18,0)),"Yes","No")</f>
        <v>Yes</v>
      </c>
      <c r="O2792" s="31" t="str">
        <f aca="false">IF(H2792="","Open",IF(H2792&lt;=INDEX(Assumptions!$C$15:$C$18,MATCH(E2792,Assumptions!$A$15:$A$18,0)),"Yes","No"))</f>
        <v>Yes</v>
      </c>
    </row>
    <row r="2793" customFormat="false" ht="15" hidden="false" customHeight="false" outlineLevel="0" collapsed="false">
      <c r="A2793" s="31" t="s">
        <v>2943</v>
      </c>
      <c r="B2793" s="44" t="n">
        <v>46243</v>
      </c>
      <c r="C2793" s="31" t="s">
        <v>57</v>
      </c>
      <c r="D2793" s="31" t="s">
        <v>67</v>
      </c>
      <c r="E2793" s="31" t="s">
        <v>51</v>
      </c>
      <c r="F2793" s="31" t="s">
        <v>134</v>
      </c>
      <c r="G2793" s="31" t="n">
        <v>3</v>
      </c>
      <c r="H2793" s="41" t="n">
        <v>18.4</v>
      </c>
      <c r="I2793" s="31" t="s">
        <v>149</v>
      </c>
      <c r="J2793" s="31"/>
      <c r="K2793" s="31" t="s">
        <v>150</v>
      </c>
      <c r="L2793" s="45" t="n">
        <f aca="false">DATE(YEAR(B2793),MONTH(B2793),1)</f>
        <v>46235</v>
      </c>
      <c r="M2793" s="31" t="n">
        <f aca="false">WEEKDAY(B2793,2)</f>
        <v>7</v>
      </c>
      <c r="N2793" s="31" t="str">
        <f aca="false">IF(G2793&lt;=INDEX(Assumptions!$B$15:$B$18,MATCH(E2793,Assumptions!$A$15:$A$18,0)),"Yes","No")</f>
        <v>Yes</v>
      </c>
      <c r="O2793" s="31" t="str">
        <f aca="false">IF(H2793="","Open",IF(H2793&lt;=INDEX(Assumptions!$C$15:$C$18,MATCH(E2793,Assumptions!$A$15:$A$18,0)),"Yes","No"))</f>
        <v>Yes</v>
      </c>
    </row>
    <row r="2794" customFormat="false" ht="15" hidden="false" customHeight="false" outlineLevel="0" collapsed="false">
      <c r="A2794" s="31" t="s">
        <v>2944</v>
      </c>
      <c r="B2794" s="44" t="n">
        <v>46243</v>
      </c>
      <c r="C2794" s="31" t="s">
        <v>59</v>
      </c>
      <c r="D2794" s="31" t="s">
        <v>66</v>
      </c>
      <c r="E2794" s="31" t="s">
        <v>51</v>
      </c>
      <c r="F2794" s="31" t="s">
        <v>129</v>
      </c>
      <c r="G2794" s="31" t="n">
        <v>21</v>
      </c>
      <c r="H2794" s="41" t="n">
        <v>2.7</v>
      </c>
      <c r="I2794" s="31" t="s">
        <v>149</v>
      </c>
      <c r="J2794" s="31"/>
      <c r="K2794" s="31" t="s">
        <v>150</v>
      </c>
      <c r="L2794" s="45" t="n">
        <f aca="false">DATE(YEAR(B2794),MONTH(B2794),1)</f>
        <v>46235</v>
      </c>
      <c r="M2794" s="31" t="n">
        <f aca="false">WEEKDAY(B2794,2)</f>
        <v>7</v>
      </c>
      <c r="N2794" s="31" t="str">
        <f aca="false">IF(G2794&lt;=INDEX(Assumptions!$B$15:$B$18,MATCH(E2794,Assumptions!$A$15:$A$18,0)),"Yes","No")</f>
        <v>Yes</v>
      </c>
      <c r="O2794" s="31" t="str">
        <f aca="false">IF(H2794="","Open",IF(H2794&lt;=INDEX(Assumptions!$C$15:$C$18,MATCH(E2794,Assumptions!$A$15:$A$18,0)),"Yes","No"))</f>
        <v>Yes</v>
      </c>
    </row>
    <row r="2795" customFormat="false" ht="15" hidden="false" customHeight="false" outlineLevel="0" collapsed="false">
      <c r="A2795" s="31" t="s">
        <v>2945</v>
      </c>
      <c r="B2795" s="44" t="n">
        <v>46243</v>
      </c>
      <c r="C2795" s="31" t="s">
        <v>60</v>
      </c>
      <c r="D2795" s="31" t="s">
        <v>65</v>
      </c>
      <c r="E2795" s="31" t="s">
        <v>51</v>
      </c>
      <c r="F2795" s="31" t="s">
        <v>127</v>
      </c>
      <c r="G2795" s="31" t="n">
        <v>1</v>
      </c>
      <c r="H2795" s="41" t="n">
        <v>3.2</v>
      </c>
      <c r="I2795" s="31" t="s">
        <v>149</v>
      </c>
      <c r="J2795" s="31"/>
      <c r="K2795" s="31" t="s">
        <v>150</v>
      </c>
      <c r="L2795" s="45" t="n">
        <f aca="false">DATE(YEAR(B2795),MONTH(B2795),1)</f>
        <v>46235</v>
      </c>
      <c r="M2795" s="31" t="n">
        <f aca="false">WEEKDAY(B2795,2)</f>
        <v>7</v>
      </c>
      <c r="N2795" s="31" t="str">
        <f aca="false">IF(G2795&lt;=INDEX(Assumptions!$B$15:$B$18,MATCH(E2795,Assumptions!$A$15:$A$18,0)),"Yes","No")</f>
        <v>Yes</v>
      </c>
      <c r="O2795" s="31" t="str">
        <f aca="false">IF(H2795="","Open",IF(H2795&lt;=INDEX(Assumptions!$C$15:$C$18,MATCH(E2795,Assumptions!$A$15:$A$18,0)),"Yes","No"))</f>
        <v>Yes</v>
      </c>
    </row>
    <row r="2796" customFormat="false" ht="15" hidden="false" customHeight="false" outlineLevel="0" collapsed="false">
      <c r="A2796" s="31" t="s">
        <v>2946</v>
      </c>
      <c r="B2796" s="44" t="n">
        <v>46243</v>
      </c>
      <c r="C2796" s="31" t="s">
        <v>58</v>
      </c>
      <c r="D2796" s="31" t="s">
        <v>67</v>
      </c>
      <c r="E2796" s="31" t="s">
        <v>51</v>
      </c>
      <c r="F2796" s="31" t="s">
        <v>137</v>
      </c>
      <c r="G2796" s="31" t="n">
        <v>12</v>
      </c>
      <c r="H2796" s="41" t="n">
        <v>19.6</v>
      </c>
      <c r="I2796" s="31" t="s">
        <v>149</v>
      </c>
      <c r="J2796" s="31"/>
      <c r="K2796" s="31" t="s">
        <v>150</v>
      </c>
      <c r="L2796" s="45" t="n">
        <f aca="false">DATE(YEAR(B2796),MONTH(B2796),1)</f>
        <v>46235</v>
      </c>
      <c r="M2796" s="31" t="n">
        <f aca="false">WEEKDAY(B2796,2)</f>
        <v>7</v>
      </c>
      <c r="N2796" s="31" t="str">
        <f aca="false">IF(G2796&lt;=INDEX(Assumptions!$B$15:$B$18,MATCH(E2796,Assumptions!$A$15:$A$18,0)),"Yes","No")</f>
        <v>Yes</v>
      </c>
      <c r="O2796" s="31" t="str">
        <f aca="false">IF(H2796="","Open",IF(H2796&lt;=INDEX(Assumptions!$C$15:$C$18,MATCH(E2796,Assumptions!$A$15:$A$18,0)),"Yes","No"))</f>
        <v>Yes</v>
      </c>
    </row>
    <row r="2797" customFormat="false" ht="15" hidden="false" customHeight="false" outlineLevel="0" collapsed="false">
      <c r="A2797" s="31" t="s">
        <v>2947</v>
      </c>
      <c r="B2797" s="44" t="n">
        <v>46243</v>
      </c>
      <c r="C2797" s="31" t="s">
        <v>57</v>
      </c>
      <c r="D2797" s="31" t="s">
        <v>66</v>
      </c>
      <c r="E2797" s="31" t="s">
        <v>51</v>
      </c>
      <c r="F2797" s="31" t="s">
        <v>129</v>
      </c>
      <c r="G2797" s="31" t="n">
        <v>1</v>
      </c>
      <c r="H2797" s="41" t="n">
        <v>4.7</v>
      </c>
      <c r="I2797" s="31" t="s">
        <v>149</v>
      </c>
      <c r="J2797" s="31"/>
      <c r="K2797" s="31" t="s">
        <v>150</v>
      </c>
      <c r="L2797" s="45" t="n">
        <f aca="false">DATE(YEAR(B2797),MONTH(B2797),1)</f>
        <v>46235</v>
      </c>
      <c r="M2797" s="31" t="n">
        <f aca="false">WEEKDAY(B2797,2)</f>
        <v>7</v>
      </c>
      <c r="N2797" s="31" t="str">
        <f aca="false">IF(G2797&lt;=INDEX(Assumptions!$B$15:$B$18,MATCH(E2797,Assumptions!$A$15:$A$18,0)),"Yes","No")</f>
        <v>Yes</v>
      </c>
      <c r="O2797" s="31" t="str">
        <f aca="false">IF(H2797="","Open",IF(H2797&lt;=INDEX(Assumptions!$C$15:$C$18,MATCH(E2797,Assumptions!$A$15:$A$18,0)),"Yes","No"))</f>
        <v>Yes</v>
      </c>
    </row>
    <row r="2798" customFormat="false" ht="15" hidden="false" customHeight="false" outlineLevel="0" collapsed="false">
      <c r="A2798" s="31" t="s">
        <v>2948</v>
      </c>
      <c r="B2798" s="44" t="n">
        <v>46243</v>
      </c>
      <c r="C2798" s="31" t="s">
        <v>60</v>
      </c>
      <c r="D2798" s="31" t="s">
        <v>66</v>
      </c>
      <c r="E2798" s="31" t="s">
        <v>51</v>
      </c>
      <c r="F2798" s="31" t="s">
        <v>123</v>
      </c>
      <c r="G2798" s="31" t="n">
        <v>4</v>
      </c>
      <c r="H2798" s="41" t="n">
        <v>26.3</v>
      </c>
      <c r="I2798" s="31" t="s">
        <v>149</v>
      </c>
      <c r="J2798" s="31" t="n">
        <v>4</v>
      </c>
      <c r="K2798" s="31" t="s">
        <v>150</v>
      </c>
      <c r="L2798" s="45" t="n">
        <f aca="false">DATE(YEAR(B2798),MONTH(B2798),1)</f>
        <v>46235</v>
      </c>
      <c r="M2798" s="31" t="n">
        <f aca="false">WEEKDAY(B2798,2)</f>
        <v>7</v>
      </c>
      <c r="N2798" s="31" t="str">
        <f aca="false">IF(G2798&lt;=INDEX(Assumptions!$B$15:$B$18,MATCH(E2798,Assumptions!$A$15:$A$18,0)),"Yes","No")</f>
        <v>Yes</v>
      </c>
      <c r="O2798" s="31" t="str">
        <f aca="false">IF(H2798="","Open",IF(H2798&lt;=INDEX(Assumptions!$C$15:$C$18,MATCH(E2798,Assumptions!$A$15:$A$18,0)),"Yes","No"))</f>
        <v>No</v>
      </c>
    </row>
    <row r="2799" customFormat="false" ht="15" hidden="false" customHeight="false" outlineLevel="0" collapsed="false">
      <c r="A2799" s="31" t="s">
        <v>2949</v>
      </c>
      <c r="B2799" s="44" t="n">
        <v>46243</v>
      </c>
      <c r="C2799" s="31" t="s">
        <v>60</v>
      </c>
      <c r="D2799" s="31" t="s">
        <v>68</v>
      </c>
      <c r="E2799" s="31" t="s">
        <v>50</v>
      </c>
      <c r="F2799" s="31" t="s">
        <v>126</v>
      </c>
      <c r="G2799" s="31" t="n">
        <v>1</v>
      </c>
      <c r="H2799" s="41" t="n">
        <v>7.2</v>
      </c>
      <c r="I2799" s="31" t="s">
        <v>64</v>
      </c>
      <c r="J2799" s="31"/>
      <c r="K2799" s="31" t="s">
        <v>150</v>
      </c>
      <c r="L2799" s="45" t="n">
        <f aca="false">DATE(YEAR(B2799),MONTH(B2799),1)</f>
        <v>46235</v>
      </c>
      <c r="M2799" s="31" t="n">
        <f aca="false">WEEKDAY(B2799,2)</f>
        <v>7</v>
      </c>
      <c r="N2799" s="31" t="str">
        <f aca="false">IF(G2799&lt;=INDEX(Assumptions!$B$15:$B$18,MATCH(E2799,Assumptions!$A$15:$A$18,0)),"Yes","No")</f>
        <v>Yes</v>
      </c>
      <c r="O2799" s="31" t="str">
        <f aca="false">IF(H2799="","Open",IF(H2799&lt;=INDEX(Assumptions!$C$15:$C$18,MATCH(E2799,Assumptions!$A$15:$A$18,0)),"Yes","No"))</f>
        <v>Yes</v>
      </c>
    </row>
    <row r="2800" customFormat="false" ht="15" hidden="false" customHeight="false" outlineLevel="0" collapsed="false">
      <c r="A2800" s="31" t="s">
        <v>2950</v>
      </c>
      <c r="B2800" s="44" t="n">
        <v>46243</v>
      </c>
      <c r="C2800" s="31" t="s">
        <v>58</v>
      </c>
      <c r="D2800" s="31" t="s">
        <v>65</v>
      </c>
      <c r="E2800" s="31" t="s">
        <v>51</v>
      </c>
      <c r="F2800" s="31" t="s">
        <v>131</v>
      </c>
      <c r="G2800" s="31" t="n">
        <v>29</v>
      </c>
      <c r="H2800" s="41" t="n">
        <v>16.7</v>
      </c>
      <c r="I2800" s="31" t="s">
        <v>149</v>
      </c>
      <c r="J2800" s="31"/>
      <c r="K2800" s="31" t="s">
        <v>150</v>
      </c>
      <c r="L2800" s="45" t="n">
        <f aca="false">DATE(YEAR(B2800),MONTH(B2800),1)</f>
        <v>46235</v>
      </c>
      <c r="M2800" s="31" t="n">
        <f aca="false">WEEKDAY(B2800,2)</f>
        <v>7</v>
      </c>
      <c r="N2800" s="31" t="str">
        <f aca="false">IF(G2800&lt;=INDEX(Assumptions!$B$15:$B$18,MATCH(E2800,Assumptions!$A$15:$A$18,0)),"Yes","No")</f>
        <v>Yes</v>
      </c>
      <c r="O2800" s="31" t="str">
        <f aca="false">IF(H2800="","Open",IF(H2800&lt;=INDEX(Assumptions!$C$15:$C$18,MATCH(E2800,Assumptions!$A$15:$A$18,0)),"Yes","No"))</f>
        <v>Yes</v>
      </c>
    </row>
    <row r="2801" customFormat="false" ht="15" hidden="false" customHeight="false" outlineLevel="0" collapsed="false">
      <c r="A2801" s="31" t="s">
        <v>2951</v>
      </c>
      <c r="B2801" s="44" t="n">
        <v>46243</v>
      </c>
      <c r="C2801" s="31" t="s">
        <v>57</v>
      </c>
      <c r="D2801" s="31" t="s">
        <v>68</v>
      </c>
      <c r="E2801" s="31" t="s">
        <v>51</v>
      </c>
      <c r="F2801" s="31" t="s">
        <v>130</v>
      </c>
      <c r="G2801" s="31" t="n">
        <v>4</v>
      </c>
      <c r="H2801" s="41" t="n">
        <v>6.7</v>
      </c>
      <c r="I2801" s="31" t="s">
        <v>149</v>
      </c>
      <c r="J2801" s="31"/>
      <c r="K2801" s="31" t="s">
        <v>150</v>
      </c>
      <c r="L2801" s="45" t="n">
        <f aca="false">DATE(YEAR(B2801),MONTH(B2801),1)</f>
        <v>46235</v>
      </c>
      <c r="M2801" s="31" t="n">
        <f aca="false">WEEKDAY(B2801,2)</f>
        <v>7</v>
      </c>
      <c r="N2801" s="31" t="str">
        <f aca="false">IF(G2801&lt;=INDEX(Assumptions!$B$15:$B$18,MATCH(E2801,Assumptions!$A$15:$A$18,0)),"Yes","No")</f>
        <v>Yes</v>
      </c>
      <c r="O2801" s="31" t="str">
        <f aca="false">IF(H2801="","Open",IF(H2801&lt;=INDEX(Assumptions!$C$15:$C$18,MATCH(E2801,Assumptions!$A$15:$A$18,0)),"Yes","No"))</f>
        <v>Yes</v>
      </c>
    </row>
    <row r="2802" customFormat="false" ht="15" hidden="false" customHeight="false" outlineLevel="0" collapsed="false">
      <c r="A2802" s="31" t="s">
        <v>2952</v>
      </c>
      <c r="B2802" s="44" t="n">
        <v>46243</v>
      </c>
      <c r="C2802" s="31" t="s">
        <v>58</v>
      </c>
      <c r="D2802" s="31" t="s">
        <v>67</v>
      </c>
      <c r="E2802" s="31" t="s">
        <v>50</v>
      </c>
      <c r="F2802" s="31" t="s">
        <v>120</v>
      </c>
      <c r="G2802" s="31" t="n">
        <v>11</v>
      </c>
      <c r="H2802" s="41" t="n">
        <v>39.6</v>
      </c>
      <c r="I2802" s="31" t="s">
        <v>149</v>
      </c>
      <c r="J2802" s="31" t="n">
        <v>3</v>
      </c>
      <c r="K2802" s="31" t="s">
        <v>150</v>
      </c>
      <c r="L2802" s="45" t="n">
        <f aca="false">DATE(YEAR(B2802),MONTH(B2802),1)</f>
        <v>46235</v>
      </c>
      <c r="M2802" s="31" t="n">
        <f aca="false">WEEKDAY(B2802,2)</f>
        <v>7</v>
      </c>
      <c r="N2802" s="31" t="str">
        <f aca="false">IF(G2802&lt;=INDEX(Assumptions!$B$15:$B$18,MATCH(E2802,Assumptions!$A$15:$A$18,0)),"Yes","No")</f>
        <v>Yes</v>
      </c>
      <c r="O2802" s="31" t="str">
        <f aca="false">IF(H2802="","Open",IF(H2802&lt;=INDEX(Assumptions!$C$15:$C$18,MATCH(E2802,Assumptions!$A$15:$A$18,0)),"Yes","No"))</f>
        <v>No</v>
      </c>
    </row>
    <row r="2803" customFormat="false" ht="15" hidden="false" customHeight="false" outlineLevel="0" collapsed="false">
      <c r="A2803" s="31" t="s">
        <v>2953</v>
      </c>
      <c r="B2803" s="44" t="n">
        <v>46243</v>
      </c>
      <c r="C2803" s="31" t="s">
        <v>59</v>
      </c>
      <c r="D2803" s="31" t="s">
        <v>65</v>
      </c>
      <c r="E2803" s="31" t="s">
        <v>51</v>
      </c>
      <c r="F2803" s="31" t="s">
        <v>131</v>
      </c>
      <c r="G2803" s="31" t="n">
        <v>93</v>
      </c>
      <c r="H2803" s="41" t="n">
        <v>14.6</v>
      </c>
      <c r="I2803" s="31" t="s">
        <v>64</v>
      </c>
      <c r="J2803" s="31" t="n">
        <v>4</v>
      </c>
      <c r="K2803" s="31" t="s">
        <v>153</v>
      </c>
      <c r="L2803" s="45" t="n">
        <f aca="false">DATE(YEAR(B2803),MONTH(B2803),1)</f>
        <v>46235</v>
      </c>
      <c r="M2803" s="31" t="n">
        <f aca="false">WEEKDAY(B2803,2)</f>
        <v>7</v>
      </c>
      <c r="N2803" s="31" t="str">
        <f aca="false">IF(G2803&lt;=INDEX(Assumptions!$B$15:$B$18,MATCH(E2803,Assumptions!$A$15:$A$18,0)),"Yes","No")</f>
        <v>No</v>
      </c>
      <c r="O2803" s="31" t="str">
        <f aca="false">IF(H2803="","Open",IF(H2803&lt;=INDEX(Assumptions!$C$15:$C$18,MATCH(E2803,Assumptions!$A$15:$A$18,0)),"Yes","No"))</f>
        <v>Yes</v>
      </c>
    </row>
    <row r="2804" customFormat="false" ht="15" hidden="false" customHeight="false" outlineLevel="0" collapsed="false">
      <c r="A2804" s="31" t="s">
        <v>2954</v>
      </c>
      <c r="B2804" s="44" t="n">
        <v>46243</v>
      </c>
      <c r="C2804" s="31" t="s">
        <v>58</v>
      </c>
      <c r="D2804" s="31" t="s">
        <v>68</v>
      </c>
      <c r="E2804" s="31" t="s">
        <v>51</v>
      </c>
      <c r="F2804" s="31" t="s">
        <v>126</v>
      </c>
      <c r="G2804" s="31" t="n">
        <v>3</v>
      </c>
      <c r="H2804" s="41" t="n">
        <v>4.2</v>
      </c>
      <c r="I2804" s="31" t="s">
        <v>149</v>
      </c>
      <c r="J2804" s="31" t="n">
        <v>4</v>
      </c>
      <c r="K2804" s="31" t="s">
        <v>150</v>
      </c>
      <c r="L2804" s="45" t="n">
        <f aca="false">DATE(YEAR(B2804),MONTH(B2804),1)</f>
        <v>46235</v>
      </c>
      <c r="M2804" s="31" t="n">
        <f aca="false">WEEKDAY(B2804,2)</f>
        <v>7</v>
      </c>
      <c r="N2804" s="31" t="str">
        <f aca="false">IF(G2804&lt;=INDEX(Assumptions!$B$15:$B$18,MATCH(E2804,Assumptions!$A$15:$A$18,0)),"Yes","No")</f>
        <v>Yes</v>
      </c>
      <c r="O2804" s="31" t="str">
        <f aca="false">IF(H2804="","Open",IF(H2804&lt;=INDEX(Assumptions!$C$15:$C$18,MATCH(E2804,Assumptions!$A$15:$A$18,0)),"Yes","No"))</f>
        <v>Yes</v>
      </c>
    </row>
    <row r="2805" customFormat="false" ht="15" hidden="false" customHeight="false" outlineLevel="0" collapsed="false">
      <c r="A2805" s="31" t="s">
        <v>2955</v>
      </c>
      <c r="B2805" s="44" t="n">
        <v>46243</v>
      </c>
      <c r="C2805" s="31" t="s">
        <v>60</v>
      </c>
      <c r="D2805" s="31" t="s">
        <v>69</v>
      </c>
      <c r="E2805" s="31" t="s">
        <v>51</v>
      </c>
      <c r="F2805" s="31" t="s">
        <v>135</v>
      </c>
      <c r="G2805" s="31" t="n">
        <v>2</v>
      </c>
      <c r="H2805" s="41" t="n">
        <v>26.3</v>
      </c>
      <c r="I2805" s="31" t="s">
        <v>149</v>
      </c>
      <c r="J2805" s="31" t="n">
        <v>4</v>
      </c>
      <c r="K2805" s="31" t="s">
        <v>150</v>
      </c>
      <c r="L2805" s="45" t="n">
        <f aca="false">DATE(YEAR(B2805),MONTH(B2805),1)</f>
        <v>46235</v>
      </c>
      <c r="M2805" s="31" t="n">
        <f aca="false">WEEKDAY(B2805,2)</f>
        <v>7</v>
      </c>
      <c r="N2805" s="31" t="str">
        <f aca="false">IF(G2805&lt;=INDEX(Assumptions!$B$15:$B$18,MATCH(E2805,Assumptions!$A$15:$A$18,0)),"Yes","No")</f>
        <v>Yes</v>
      </c>
      <c r="O2805" s="31" t="str">
        <f aca="false">IF(H2805="","Open",IF(H2805&lt;=INDEX(Assumptions!$C$15:$C$18,MATCH(E2805,Assumptions!$A$15:$A$18,0)),"Yes","No"))</f>
        <v>No</v>
      </c>
    </row>
    <row r="2806" customFormat="false" ht="15" hidden="false" customHeight="false" outlineLevel="0" collapsed="false">
      <c r="A2806" s="31" t="s">
        <v>2956</v>
      </c>
      <c r="B2806" s="44" t="n">
        <v>46243</v>
      </c>
      <c r="C2806" s="31" t="s">
        <v>59</v>
      </c>
      <c r="D2806" s="31" t="s">
        <v>65</v>
      </c>
      <c r="E2806" s="31" t="s">
        <v>50</v>
      </c>
      <c r="F2806" s="31" t="s">
        <v>126</v>
      </c>
      <c r="G2806" s="31" t="n">
        <v>155</v>
      </c>
      <c r="H2806" s="41" t="n">
        <v>2.1</v>
      </c>
      <c r="I2806" s="31" t="s">
        <v>149</v>
      </c>
      <c r="J2806" s="31" t="n">
        <v>3</v>
      </c>
      <c r="K2806" s="31" t="s">
        <v>150</v>
      </c>
      <c r="L2806" s="45" t="n">
        <f aca="false">DATE(YEAR(B2806),MONTH(B2806),1)</f>
        <v>46235</v>
      </c>
      <c r="M2806" s="31" t="n">
        <f aca="false">WEEKDAY(B2806,2)</f>
        <v>7</v>
      </c>
      <c r="N2806" s="31" t="str">
        <f aca="false">IF(G2806&lt;=INDEX(Assumptions!$B$15:$B$18,MATCH(E2806,Assumptions!$A$15:$A$18,0)),"Yes","No")</f>
        <v>No</v>
      </c>
      <c r="O2806" s="31" t="str">
        <f aca="false">IF(H2806="","Open",IF(H2806&lt;=INDEX(Assumptions!$C$15:$C$18,MATCH(E2806,Assumptions!$A$15:$A$18,0)),"Yes","No"))</f>
        <v>Yes</v>
      </c>
    </row>
    <row r="2807" customFormat="false" ht="15" hidden="false" customHeight="false" outlineLevel="0" collapsed="false">
      <c r="A2807" s="31" t="s">
        <v>2957</v>
      </c>
      <c r="B2807" s="44" t="n">
        <v>46244</v>
      </c>
      <c r="C2807" s="31" t="s">
        <v>58</v>
      </c>
      <c r="D2807" s="31" t="s">
        <v>67</v>
      </c>
      <c r="E2807" s="31" t="s">
        <v>51</v>
      </c>
      <c r="F2807" s="31" t="s">
        <v>137</v>
      </c>
      <c r="G2807" s="31" t="n">
        <v>7</v>
      </c>
      <c r="H2807" s="41" t="n">
        <v>8.1</v>
      </c>
      <c r="I2807" s="31" t="s">
        <v>149</v>
      </c>
      <c r="J2807" s="31" t="n">
        <v>4</v>
      </c>
      <c r="K2807" s="31" t="s">
        <v>150</v>
      </c>
      <c r="L2807" s="45" t="n">
        <f aca="false">DATE(YEAR(B2807),MONTH(B2807),1)</f>
        <v>46235</v>
      </c>
      <c r="M2807" s="31" t="n">
        <f aca="false">WEEKDAY(B2807,2)</f>
        <v>1</v>
      </c>
      <c r="N2807" s="31" t="str">
        <f aca="false">IF(G2807&lt;=INDEX(Assumptions!$B$15:$B$18,MATCH(E2807,Assumptions!$A$15:$A$18,0)),"Yes","No")</f>
        <v>Yes</v>
      </c>
      <c r="O2807" s="31" t="str">
        <f aca="false">IF(H2807="","Open",IF(H2807&lt;=INDEX(Assumptions!$C$15:$C$18,MATCH(E2807,Assumptions!$A$15:$A$18,0)),"Yes","No"))</f>
        <v>Yes</v>
      </c>
    </row>
    <row r="2808" customFormat="false" ht="15" hidden="false" customHeight="false" outlineLevel="0" collapsed="false">
      <c r="A2808" s="31" t="s">
        <v>2958</v>
      </c>
      <c r="B2808" s="44" t="n">
        <v>46244</v>
      </c>
      <c r="C2808" s="31" t="s">
        <v>57</v>
      </c>
      <c r="D2808" s="31" t="s">
        <v>69</v>
      </c>
      <c r="E2808" s="31" t="s">
        <v>50</v>
      </c>
      <c r="F2808" s="31" t="s">
        <v>131</v>
      </c>
      <c r="G2808" s="31" t="n">
        <v>2</v>
      </c>
      <c r="H2808" s="41" t="n">
        <v>20.9</v>
      </c>
      <c r="I2808" s="31" t="s">
        <v>149</v>
      </c>
      <c r="J2808" s="31" t="n">
        <v>3</v>
      </c>
      <c r="K2808" s="31" t="s">
        <v>150</v>
      </c>
      <c r="L2808" s="45" t="n">
        <f aca="false">DATE(YEAR(B2808),MONTH(B2808),1)</f>
        <v>46235</v>
      </c>
      <c r="M2808" s="31" t="n">
        <f aca="false">WEEKDAY(B2808,2)</f>
        <v>1</v>
      </c>
      <c r="N2808" s="31" t="str">
        <f aca="false">IF(G2808&lt;=INDEX(Assumptions!$B$15:$B$18,MATCH(E2808,Assumptions!$A$15:$A$18,0)),"Yes","No")</f>
        <v>Yes</v>
      </c>
      <c r="O2808" s="31" t="str">
        <f aca="false">IF(H2808="","Open",IF(H2808&lt;=INDEX(Assumptions!$C$15:$C$18,MATCH(E2808,Assumptions!$A$15:$A$18,0)),"Yes","No"))</f>
        <v>No</v>
      </c>
    </row>
    <row r="2809" customFormat="false" ht="15" hidden="false" customHeight="false" outlineLevel="0" collapsed="false">
      <c r="A2809" s="31" t="s">
        <v>2959</v>
      </c>
      <c r="B2809" s="44" t="n">
        <v>46244</v>
      </c>
      <c r="C2809" s="31" t="s">
        <v>58</v>
      </c>
      <c r="D2809" s="31" t="s">
        <v>65</v>
      </c>
      <c r="E2809" s="31" t="s">
        <v>52</v>
      </c>
      <c r="F2809" s="31" t="s">
        <v>130</v>
      </c>
      <c r="G2809" s="31" t="n">
        <v>17</v>
      </c>
      <c r="H2809" s="41" t="n">
        <v>20.3</v>
      </c>
      <c r="I2809" s="31" t="s">
        <v>149</v>
      </c>
      <c r="J2809" s="31" t="n">
        <v>4</v>
      </c>
      <c r="K2809" s="31" t="s">
        <v>150</v>
      </c>
      <c r="L2809" s="45" t="n">
        <f aca="false">DATE(YEAR(B2809),MONTH(B2809),1)</f>
        <v>46235</v>
      </c>
      <c r="M2809" s="31" t="n">
        <f aca="false">WEEKDAY(B2809,2)</f>
        <v>1</v>
      </c>
      <c r="N2809" s="31" t="str">
        <f aca="false">IF(G2809&lt;=INDEX(Assumptions!$B$15:$B$18,MATCH(E2809,Assumptions!$A$15:$A$18,0)),"Yes","No")</f>
        <v>Yes</v>
      </c>
      <c r="O2809" s="31" t="str">
        <f aca="false">IF(H2809="","Open",IF(H2809&lt;=INDEX(Assumptions!$C$15:$C$18,MATCH(E2809,Assumptions!$A$15:$A$18,0)),"Yes","No"))</f>
        <v>Yes</v>
      </c>
    </row>
    <row r="2810" customFormat="false" ht="15" hidden="false" customHeight="false" outlineLevel="0" collapsed="false">
      <c r="A2810" s="31" t="s">
        <v>2960</v>
      </c>
      <c r="B2810" s="44" t="n">
        <v>46244</v>
      </c>
      <c r="C2810" s="31" t="s">
        <v>57</v>
      </c>
      <c r="D2810" s="31" t="s">
        <v>65</v>
      </c>
      <c r="E2810" s="31" t="s">
        <v>52</v>
      </c>
      <c r="F2810" s="31" t="s">
        <v>119</v>
      </c>
      <c r="G2810" s="31" t="n">
        <v>10</v>
      </c>
      <c r="H2810" s="41"/>
      <c r="I2810" s="31" t="s">
        <v>158</v>
      </c>
      <c r="J2810" s="31"/>
      <c r="K2810" s="31" t="s">
        <v>150</v>
      </c>
      <c r="L2810" s="45" t="n">
        <f aca="false">DATE(YEAR(B2810),MONTH(B2810),1)</f>
        <v>46235</v>
      </c>
      <c r="M2810" s="31" t="n">
        <f aca="false">WEEKDAY(B2810,2)</f>
        <v>1</v>
      </c>
      <c r="N2810" s="31" t="str">
        <f aca="false">IF(G2810&lt;=INDEX(Assumptions!$B$15:$B$18,MATCH(E2810,Assumptions!$A$15:$A$18,0)),"Yes","No")</f>
        <v>Yes</v>
      </c>
      <c r="O2810" s="31" t="str">
        <f aca="false">IF(H2810="","Open",IF(H2810&lt;=INDEX(Assumptions!$C$15:$C$18,MATCH(E2810,Assumptions!$A$15:$A$18,0)),"Yes","No"))</f>
        <v>Open</v>
      </c>
    </row>
    <row r="2811" customFormat="false" ht="15" hidden="false" customHeight="false" outlineLevel="0" collapsed="false">
      <c r="A2811" s="31" t="s">
        <v>2961</v>
      </c>
      <c r="B2811" s="44" t="n">
        <v>46244</v>
      </c>
      <c r="C2811" s="31" t="s">
        <v>59</v>
      </c>
      <c r="D2811" s="31" t="s">
        <v>66</v>
      </c>
      <c r="E2811" s="31" t="s">
        <v>51</v>
      </c>
      <c r="F2811" s="31" t="s">
        <v>131</v>
      </c>
      <c r="G2811" s="31" t="n">
        <v>37</v>
      </c>
      <c r="H2811" s="41" t="n">
        <v>3.9</v>
      </c>
      <c r="I2811" s="31" t="s">
        <v>149</v>
      </c>
      <c r="J2811" s="31"/>
      <c r="K2811" s="31" t="s">
        <v>150</v>
      </c>
      <c r="L2811" s="45" t="n">
        <f aca="false">DATE(YEAR(B2811),MONTH(B2811),1)</f>
        <v>46235</v>
      </c>
      <c r="M2811" s="31" t="n">
        <f aca="false">WEEKDAY(B2811,2)</f>
        <v>1</v>
      </c>
      <c r="N2811" s="31" t="str">
        <f aca="false">IF(G2811&lt;=INDEX(Assumptions!$B$15:$B$18,MATCH(E2811,Assumptions!$A$15:$A$18,0)),"Yes","No")</f>
        <v>Yes</v>
      </c>
      <c r="O2811" s="31" t="str">
        <f aca="false">IF(H2811="","Open",IF(H2811&lt;=INDEX(Assumptions!$C$15:$C$18,MATCH(E2811,Assumptions!$A$15:$A$18,0)),"Yes","No"))</f>
        <v>Yes</v>
      </c>
    </row>
    <row r="2812" customFormat="false" ht="15" hidden="false" customHeight="false" outlineLevel="0" collapsed="false">
      <c r="A2812" s="31" t="s">
        <v>2962</v>
      </c>
      <c r="B2812" s="44" t="n">
        <v>46244</v>
      </c>
      <c r="C2812" s="31" t="s">
        <v>58</v>
      </c>
      <c r="D2812" s="31" t="s">
        <v>69</v>
      </c>
      <c r="E2812" s="31" t="s">
        <v>52</v>
      </c>
      <c r="F2812" s="31" t="s">
        <v>133</v>
      </c>
      <c r="G2812" s="31" t="n">
        <v>22</v>
      </c>
      <c r="H2812" s="41" t="n">
        <v>91.7</v>
      </c>
      <c r="I2812" s="31" t="s">
        <v>149</v>
      </c>
      <c r="J2812" s="31" t="n">
        <v>3</v>
      </c>
      <c r="K2812" s="31" t="s">
        <v>150</v>
      </c>
      <c r="L2812" s="45" t="n">
        <f aca="false">DATE(YEAR(B2812),MONTH(B2812),1)</f>
        <v>46235</v>
      </c>
      <c r="M2812" s="31" t="n">
        <f aca="false">WEEKDAY(B2812,2)</f>
        <v>1</v>
      </c>
      <c r="N2812" s="31" t="str">
        <f aca="false">IF(G2812&lt;=INDEX(Assumptions!$B$15:$B$18,MATCH(E2812,Assumptions!$A$15:$A$18,0)),"Yes","No")</f>
        <v>Yes</v>
      </c>
      <c r="O2812" s="31" t="str">
        <f aca="false">IF(H2812="","Open",IF(H2812&lt;=INDEX(Assumptions!$C$15:$C$18,MATCH(E2812,Assumptions!$A$15:$A$18,0)),"Yes","No"))</f>
        <v>No</v>
      </c>
    </row>
    <row r="2813" customFormat="false" ht="15" hidden="false" customHeight="false" outlineLevel="0" collapsed="false">
      <c r="A2813" s="31" t="s">
        <v>2963</v>
      </c>
      <c r="B2813" s="44" t="n">
        <v>46244</v>
      </c>
      <c r="C2813" s="31" t="s">
        <v>57</v>
      </c>
      <c r="D2813" s="31" t="s">
        <v>66</v>
      </c>
      <c r="E2813" s="31" t="s">
        <v>52</v>
      </c>
      <c r="F2813" s="31" t="s">
        <v>130</v>
      </c>
      <c r="G2813" s="31" t="n">
        <v>3</v>
      </c>
      <c r="H2813" s="41" t="n">
        <v>11.2</v>
      </c>
      <c r="I2813" s="31" t="s">
        <v>149</v>
      </c>
      <c r="J2813" s="31" t="n">
        <v>5</v>
      </c>
      <c r="K2813" s="31" t="s">
        <v>150</v>
      </c>
      <c r="L2813" s="45" t="n">
        <f aca="false">DATE(YEAR(B2813),MONTH(B2813),1)</f>
        <v>46235</v>
      </c>
      <c r="M2813" s="31" t="n">
        <f aca="false">WEEKDAY(B2813,2)</f>
        <v>1</v>
      </c>
      <c r="N2813" s="31" t="str">
        <f aca="false">IF(G2813&lt;=INDEX(Assumptions!$B$15:$B$18,MATCH(E2813,Assumptions!$A$15:$A$18,0)),"Yes","No")</f>
        <v>Yes</v>
      </c>
      <c r="O2813" s="31" t="str">
        <f aca="false">IF(H2813="","Open",IF(H2813&lt;=INDEX(Assumptions!$C$15:$C$18,MATCH(E2813,Assumptions!$A$15:$A$18,0)),"Yes","No"))</f>
        <v>Yes</v>
      </c>
    </row>
    <row r="2814" customFormat="false" ht="15" hidden="false" customHeight="false" outlineLevel="0" collapsed="false">
      <c r="A2814" s="31" t="s">
        <v>2964</v>
      </c>
      <c r="B2814" s="44" t="n">
        <v>46244</v>
      </c>
      <c r="C2814" s="31" t="s">
        <v>58</v>
      </c>
      <c r="D2814" s="31" t="s">
        <v>69</v>
      </c>
      <c r="E2814" s="31" t="s">
        <v>51</v>
      </c>
      <c r="F2814" s="31" t="s">
        <v>137</v>
      </c>
      <c r="G2814" s="31" t="n">
        <v>11</v>
      </c>
      <c r="H2814" s="41" t="n">
        <v>54.3</v>
      </c>
      <c r="I2814" s="31" t="s">
        <v>149</v>
      </c>
      <c r="J2814" s="31" t="n">
        <v>3</v>
      </c>
      <c r="K2814" s="31" t="s">
        <v>150</v>
      </c>
      <c r="L2814" s="45" t="n">
        <f aca="false">DATE(YEAR(B2814),MONTH(B2814),1)</f>
        <v>46235</v>
      </c>
      <c r="M2814" s="31" t="n">
        <f aca="false">WEEKDAY(B2814,2)</f>
        <v>1</v>
      </c>
      <c r="N2814" s="31" t="str">
        <f aca="false">IF(G2814&lt;=INDEX(Assumptions!$B$15:$B$18,MATCH(E2814,Assumptions!$A$15:$A$18,0)),"Yes","No")</f>
        <v>Yes</v>
      </c>
      <c r="O2814" s="31" t="str">
        <f aca="false">IF(H2814="","Open",IF(H2814&lt;=INDEX(Assumptions!$C$15:$C$18,MATCH(E2814,Assumptions!$A$15:$A$18,0)),"Yes","No"))</f>
        <v>No</v>
      </c>
    </row>
    <row r="2815" customFormat="false" ht="15" hidden="false" customHeight="false" outlineLevel="0" collapsed="false">
      <c r="A2815" s="31" t="s">
        <v>2965</v>
      </c>
      <c r="B2815" s="44" t="n">
        <v>46244</v>
      </c>
      <c r="C2815" s="31" t="s">
        <v>60</v>
      </c>
      <c r="D2815" s="31" t="s">
        <v>67</v>
      </c>
      <c r="E2815" s="31" t="s">
        <v>50</v>
      </c>
      <c r="F2815" s="31" t="s">
        <v>127</v>
      </c>
      <c r="G2815" s="31" t="n">
        <v>2</v>
      </c>
      <c r="H2815" s="41" t="n">
        <v>2.5</v>
      </c>
      <c r="I2815" s="31" t="s">
        <v>149</v>
      </c>
      <c r="J2815" s="31"/>
      <c r="K2815" s="31" t="s">
        <v>150</v>
      </c>
      <c r="L2815" s="45" t="n">
        <f aca="false">DATE(YEAR(B2815),MONTH(B2815),1)</f>
        <v>46235</v>
      </c>
      <c r="M2815" s="31" t="n">
        <f aca="false">WEEKDAY(B2815,2)</f>
        <v>1</v>
      </c>
      <c r="N2815" s="31" t="str">
        <f aca="false">IF(G2815&lt;=INDEX(Assumptions!$B$15:$B$18,MATCH(E2815,Assumptions!$A$15:$A$18,0)),"Yes","No")</f>
        <v>Yes</v>
      </c>
      <c r="O2815" s="31" t="str">
        <f aca="false">IF(H2815="","Open",IF(H2815&lt;=INDEX(Assumptions!$C$15:$C$18,MATCH(E2815,Assumptions!$A$15:$A$18,0)),"Yes","No"))</f>
        <v>Yes</v>
      </c>
    </row>
    <row r="2816" customFormat="false" ht="15" hidden="false" customHeight="false" outlineLevel="0" collapsed="false">
      <c r="A2816" s="31" t="s">
        <v>2966</v>
      </c>
      <c r="B2816" s="44" t="n">
        <v>46244</v>
      </c>
      <c r="C2816" s="31" t="s">
        <v>58</v>
      </c>
      <c r="D2816" s="31" t="s">
        <v>65</v>
      </c>
      <c r="E2816" s="31" t="s">
        <v>50</v>
      </c>
      <c r="F2816" s="31" t="s">
        <v>123</v>
      </c>
      <c r="G2816" s="31" t="n">
        <v>16</v>
      </c>
      <c r="H2816" s="41" t="n">
        <v>4.2</v>
      </c>
      <c r="I2816" s="31" t="s">
        <v>64</v>
      </c>
      <c r="J2816" s="31" t="n">
        <v>4</v>
      </c>
      <c r="K2816" s="31" t="s">
        <v>150</v>
      </c>
      <c r="L2816" s="45" t="n">
        <f aca="false">DATE(YEAR(B2816),MONTH(B2816),1)</f>
        <v>46235</v>
      </c>
      <c r="M2816" s="31" t="n">
        <f aca="false">WEEKDAY(B2816,2)</f>
        <v>1</v>
      </c>
      <c r="N2816" s="31" t="str">
        <f aca="false">IF(G2816&lt;=INDEX(Assumptions!$B$15:$B$18,MATCH(E2816,Assumptions!$A$15:$A$18,0)),"Yes","No")</f>
        <v>Yes</v>
      </c>
      <c r="O2816" s="31" t="str">
        <f aca="false">IF(H2816="","Open",IF(H2816&lt;=INDEX(Assumptions!$C$15:$C$18,MATCH(E2816,Assumptions!$A$15:$A$18,0)),"Yes","No"))</f>
        <v>Yes</v>
      </c>
    </row>
    <row r="2817" customFormat="false" ht="15" hidden="false" customHeight="false" outlineLevel="0" collapsed="false">
      <c r="A2817" s="31" t="s">
        <v>2967</v>
      </c>
      <c r="B2817" s="44" t="n">
        <v>46244</v>
      </c>
      <c r="C2817" s="31" t="s">
        <v>57</v>
      </c>
      <c r="D2817" s="31" t="s">
        <v>67</v>
      </c>
      <c r="E2817" s="31" t="s">
        <v>50</v>
      </c>
      <c r="F2817" s="31" t="s">
        <v>126</v>
      </c>
      <c r="G2817" s="31" t="n">
        <v>2</v>
      </c>
      <c r="H2817" s="41" t="n">
        <v>28.1</v>
      </c>
      <c r="I2817" s="31" t="s">
        <v>149</v>
      </c>
      <c r="J2817" s="31"/>
      <c r="K2817" s="31" t="s">
        <v>150</v>
      </c>
      <c r="L2817" s="45" t="n">
        <f aca="false">DATE(YEAR(B2817),MONTH(B2817),1)</f>
        <v>46235</v>
      </c>
      <c r="M2817" s="31" t="n">
        <f aca="false">WEEKDAY(B2817,2)</f>
        <v>1</v>
      </c>
      <c r="N2817" s="31" t="str">
        <f aca="false">IF(G2817&lt;=INDEX(Assumptions!$B$15:$B$18,MATCH(E2817,Assumptions!$A$15:$A$18,0)),"Yes","No")</f>
        <v>Yes</v>
      </c>
      <c r="O2817" s="31" t="str">
        <f aca="false">IF(H2817="","Open",IF(H2817&lt;=INDEX(Assumptions!$C$15:$C$18,MATCH(E2817,Assumptions!$A$15:$A$18,0)),"Yes","No"))</f>
        <v>No</v>
      </c>
    </row>
    <row r="2818" customFormat="false" ht="15" hidden="false" customHeight="false" outlineLevel="0" collapsed="false">
      <c r="A2818" s="31" t="s">
        <v>2968</v>
      </c>
      <c r="B2818" s="44" t="n">
        <v>46244</v>
      </c>
      <c r="C2818" s="31" t="s">
        <v>58</v>
      </c>
      <c r="D2818" s="31" t="s">
        <v>67</v>
      </c>
      <c r="E2818" s="31" t="s">
        <v>49</v>
      </c>
      <c r="F2818" s="31" t="s">
        <v>137</v>
      </c>
      <c r="G2818" s="31" t="n">
        <v>9</v>
      </c>
      <c r="H2818" s="41" t="n">
        <v>11.4</v>
      </c>
      <c r="I2818" s="31" t="s">
        <v>149</v>
      </c>
      <c r="J2818" s="31" t="n">
        <v>2</v>
      </c>
      <c r="K2818" s="31" t="s">
        <v>150</v>
      </c>
      <c r="L2818" s="45" t="n">
        <f aca="false">DATE(YEAR(B2818),MONTH(B2818),1)</f>
        <v>46235</v>
      </c>
      <c r="M2818" s="31" t="n">
        <f aca="false">WEEKDAY(B2818,2)</f>
        <v>1</v>
      </c>
      <c r="N2818" s="31" t="str">
        <f aca="false">IF(G2818&lt;=INDEX(Assumptions!$B$15:$B$18,MATCH(E2818,Assumptions!$A$15:$A$18,0)),"Yes","No")</f>
        <v>Yes</v>
      </c>
      <c r="O2818" s="31" t="str">
        <f aca="false">IF(H2818="","Open",IF(H2818&lt;=INDEX(Assumptions!$C$15:$C$18,MATCH(E2818,Assumptions!$A$15:$A$18,0)),"Yes","No"))</f>
        <v>No</v>
      </c>
    </row>
    <row r="2819" customFormat="false" ht="15" hidden="false" customHeight="false" outlineLevel="0" collapsed="false">
      <c r="A2819" s="31" t="s">
        <v>2969</v>
      </c>
      <c r="B2819" s="44" t="n">
        <v>46244</v>
      </c>
      <c r="C2819" s="31" t="s">
        <v>59</v>
      </c>
      <c r="D2819" s="31" t="s">
        <v>67</v>
      </c>
      <c r="E2819" s="31" t="s">
        <v>52</v>
      </c>
      <c r="F2819" s="31" t="s">
        <v>134</v>
      </c>
      <c r="G2819" s="31" t="n">
        <v>87</v>
      </c>
      <c r="H2819" s="41" t="n">
        <v>48.9</v>
      </c>
      <c r="I2819" s="31" t="s">
        <v>149</v>
      </c>
      <c r="J2819" s="31" t="n">
        <v>4</v>
      </c>
      <c r="K2819" s="31" t="s">
        <v>150</v>
      </c>
      <c r="L2819" s="45" t="n">
        <f aca="false">DATE(YEAR(B2819),MONTH(B2819),1)</f>
        <v>46235</v>
      </c>
      <c r="M2819" s="31" t="n">
        <f aca="false">WEEKDAY(B2819,2)</f>
        <v>1</v>
      </c>
      <c r="N2819" s="31" t="str">
        <f aca="false">IF(G2819&lt;=INDEX(Assumptions!$B$15:$B$18,MATCH(E2819,Assumptions!$A$15:$A$18,0)),"Yes","No")</f>
        <v>Yes</v>
      </c>
      <c r="O2819" s="31" t="str">
        <f aca="false">IF(H2819="","Open",IF(H2819&lt;=INDEX(Assumptions!$C$15:$C$18,MATCH(E2819,Assumptions!$A$15:$A$18,0)),"Yes","No"))</f>
        <v>Yes</v>
      </c>
    </row>
    <row r="2820" customFormat="false" ht="15" hidden="false" customHeight="false" outlineLevel="0" collapsed="false">
      <c r="A2820" s="31" t="s">
        <v>2970</v>
      </c>
      <c r="B2820" s="44" t="n">
        <v>46244</v>
      </c>
      <c r="C2820" s="31" t="s">
        <v>59</v>
      </c>
      <c r="D2820" s="31" t="s">
        <v>69</v>
      </c>
      <c r="E2820" s="31" t="s">
        <v>50</v>
      </c>
      <c r="F2820" s="31" t="s">
        <v>133</v>
      </c>
      <c r="G2820" s="31" t="n">
        <v>61</v>
      </c>
      <c r="H2820" s="41" t="n">
        <v>2.3</v>
      </c>
      <c r="I2820" s="31" t="s">
        <v>149</v>
      </c>
      <c r="J2820" s="31" t="n">
        <v>5</v>
      </c>
      <c r="K2820" s="31" t="s">
        <v>150</v>
      </c>
      <c r="L2820" s="45" t="n">
        <f aca="false">DATE(YEAR(B2820),MONTH(B2820),1)</f>
        <v>46235</v>
      </c>
      <c r="M2820" s="31" t="n">
        <f aca="false">WEEKDAY(B2820,2)</f>
        <v>1</v>
      </c>
      <c r="N2820" s="31" t="str">
        <f aca="false">IF(G2820&lt;=INDEX(Assumptions!$B$15:$B$18,MATCH(E2820,Assumptions!$A$15:$A$18,0)),"Yes","No")</f>
        <v>No</v>
      </c>
      <c r="O2820" s="31" t="str">
        <f aca="false">IF(H2820="","Open",IF(H2820&lt;=INDEX(Assumptions!$C$15:$C$18,MATCH(E2820,Assumptions!$A$15:$A$18,0)),"Yes","No"))</f>
        <v>Yes</v>
      </c>
    </row>
    <row r="2821" customFormat="false" ht="15" hidden="false" customHeight="false" outlineLevel="0" collapsed="false">
      <c r="A2821" s="31" t="s">
        <v>2971</v>
      </c>
      <c r="B2821" s="44" t="n">
        <v>46244</v>
      </c>
      <c r="C2821" s="31" t="s">
        <v>59</v>
      </c>
      <c r="D2821" s="31" t="s">
        <v>69</v>
      </c>
      <c r="E2821" s="31" t="s">
        <v>52</v>
      </c>
      <c r="F2821" s="31" t="s">
        <v>126</v>
      </c>
      <c r="G2821" s="31" t="n">
        <v>78</v>
      </c>
      <c r="H2821" s="41" t="n">
        <v>165.7</v>
      </c>
      <c r="I2821" s="31" t="s">
        <v>149</v>
      </c>
      <c r="J2821" s="31"/>
      <c r="K2821" s="31" t="s">
        <v>150</v>
      </c>
      <c r="L2821" s="45" t="n">
        <f aca="false">DATE(YEAR(B2821),MONTH(B2821),1)</f>
        <v>46235</v>
      </c>
      <c r="M2821" s="31" t="n">
        <f aca="false">WEEKDAY(B2821,2)</f>
        <v>1</v>
      </c>
      <c r="N2821" s="31" t="str">
        <f aca="false">IF(G2821&lt;=INDEX(Assumptions!$B$15:$B$18,MATCH(E2821,Assumptions!$A$15:$A$18,0)),"Yes","No")</f>
        <v>Yes</v>
      </c>
      <c r="O2821" s="31" t="str">
        <f aca="false">IF(H2821="","Open",IF(H2821&lt;=INDEX(Assumptions!$C$15:$C$18,MATCH(E2821,Assumptions!$A$15:$A$18,0)),"Yes","No"))</f>
        <v>No</v>
      </c>
    </row>
    <row r="2822" customFormat="false" ht="15" hidden="false" customHeight="false" outlineLevel="0" collapsed="false">
      <c r="A2822" s="31" t="s">
        <v>2972</v>
      </c>
      <c r="B2822" s="44" t="n">
        <v>46244</v>
      </c>
      <c r="C2822" s="31" t="s">
        <v>59</v>
      </c>
      <c r="D2822" s="31" t="s">
        <v>66</v>
      </c>
      <c r="E2822" s="31" t="s">
        <v>50</v>
      </c>
      <c r="F2822" s="31" t="s">
        <v>121</v>
      </c>
      <c r="G2822" s="31" t="n">
        <v>154</v>
      </c>
      <c r="H2822" s="41" t="n">
        <v>3.8</v>
      </c>
      <c r="I2822" s="31" t="s">
        <v>149</v>
      </c>
      <c r="J2822" s="31" t="n">
        <v>5</v>
      </c>
      <c r="K2822" s="31" t="s">
        <v>153</v>
      </c>
      <c r="L2822" s="45" t="n">
        <f aca="false">DATE(YEAR(B2822),MONTH(B2822),1)</f>
        <v>46235</v>
      </c>
      <c r="M2822" s="31" t="n">
        <f aca="false">WEEKDAY(B2822,2)</f>
        <v>1</v>
      </c>
      <c r="N2822" s="31" t="str">
        <f aca="false">IF(G2822&lt;=INDEX(Assumptions!$B$15:$B$18,MATCH(E2822,Assumptions!$A$15:$A$18,0)),"Yes","No")</f>
        <v>No</v>
      </c>
      <c r="O2822" s="31" t="str">
        <f aca="false">IF(H2822="","Open",IF(H2822&lt;=INDEX(Assumptions!$C$15:$C$18,MATCH(E2822,Assumptions!$A$15:$A$18,0)),"Yes","No"))</f>
        <v>Yes</v>
      </c>
    </row>
    <row r="2823" customFormat="false" ht="15" hidden="false" customHeight="false" outlineLevel="0" collapsed="false">
      <c r="A2823" s="31" t="s">
        <v>2973</v>
      </c>
      <c r="B2823" s="44" t="n">
        <v>46244</v>
      </c>
      <c r="C2823" s="31" t="s">
        <v>58</v>
      </c>
      <c r="D2823" s="31" t="s">
        <v>67</v>
      </c>
      <c r="E2823" s="31" t="s">
        <v>52</v>
      </c>
      <c r="F2823" s="31" t="s">
        <v>126</v>
      </c>
      <c r="G2823" s="31" t="n">
        <v>12</v>
      </c>
      <c r="H2823" s="41" t="n">
        <v>8.9</v>
      </c>
      <c r="I2823" s="31" t="s">
        <v>149</v>
      </c>
      <c r="J2823" s="31" t="n">
        <v>5</v>
      </c>
      <c r="K2823" s="31" t="s">
        <v>150</v>
      </c>
      <c r="L2823" s="45" t="n">
        <f aca="false">DATE(YEAR(B2823),MONTH(B2823),1)</f>
        <v>46235</v>
      </c>
      <c r="M2823" s="31" t="n">
        <f aca="false">WEEKDAY(B2823,2)</f>
        <v>1</v>
      </c>
      <c r="N2823" s="31" t="str">
        <f aca="false">IF(G2823&lt;=INDEX(Assumptions!$B$15:$B$18,MATCH(E2823,Assumptions!$A$15:$A$18,0)),"Yes","No")</f>
        <v>Yes</v>
      </c>
      <c r="O2823" s="31" t="str">
        <f aca="false">IF(H2823="","Open",IF(H2823&lt;=INDEX(Assumptions!$C$15:$C$18,MATCH(E2823,Assumptions!$A$15:$A$18,0)),"Yes","No"))</f>
        <v>Yes</v>
      </c>
    </row>
    <row r="2824" customFormat="false" ht="15" hidden="false" customHeight="false" outlineLevel="0" collapsed="false">
      <c r="A2824" s="31" t="s">
        <v>2974</v>
      </c>
      <c r="B2824" s="44" t="n">
        <v>46244</v>
      </c>
      <c r="C2824" s="31" t="s">
        <v>59</v>
      </c>
      <c r="D2824" s="31" t="s">
        <v>67</v>
      </c>
      <c r="E2824" s="31" t="s">
        <v>51</v>
      </c>
      <c r="F2824" s="31" t="s">
        <v>130</v>
      </c>
      <c r="G2824" s="31" t="n">
        <v>19</v>
      </c>
      <c r="H2824" s="41" t="n">
        <v>6.9</v>
      </c>
      <c r="I2824" s="31" t="s">
        <v>149</v>
      </c>
      <c r="J2824" s="31"/>
      <c r="K2824" s="31" t="s">
        <v>150</v>
      </c>
      <c r="L2824" s="45" t="n">
        <f aca="false">DATE(YEAR(B2824),MONTH(B2824),1)</f>
        <v>46235</v>
      </c>
      <c r="M2824" s="31" t="n">
        <f aca="false">WEEKDAY(B2824,2)</f>
        <v>1</v>
      </c>
      <c r="N2824" s="31" t="str">
        <f aca="false">IF(G2824&lt;=INDEX(Assumptions!$B$15:$B$18,MATCH(E2824,Assumptions!$A$15:$A$18,0)),"Yes","No")</f>
        <v>Yes</v>
      </c>
      <c r="O2824" s="31" t="str">
        <f aca="false">IF(H2824="","Open",IF(H2824&lt;=INDEX(Assumptions!$C$15:$C$18,MATCH(E2824,Assumptions!$A$15:$A$18,0)),"Yes","No"))</f>
        <v>Yes</v>
      </c>
    </row>
    <row r="2825" customFormat="false" ht="15" hidden="false" customHeight="false" outlineLevel="0" collapsed="false">
      <c r="A2825" s="31" t="s">
        <v>2975</v>
      </c>
      <c r="B2825" s="44" t="n">
        <v>46244</v>
      </c>
      <c r="C2825" s="31" t="s">
        <v>57</v>
      </c>
      <c r="D2825" s="31" t="s">
        <v>66</v>
      </c>
      <c r="E2825" s="31" t="s">
        <v>51</v>
      </c>
      <c r="F2825" s="31" t="s">
        <v>120</v>
      </c>
      <c r="G2825" s="31" t="n">
        <v>35</v>
      </c>
      <c r="H2825" s="41" t="n">
        <v>15.5</v>
      </c>
      <c r="I2825" s="31" t="s">
        <v>149</v>
      </c>
      <c r="J2825" s="31" t="n">
        <v>4</v>
      </c>
      <c r="K2825" s="31" t="s">
        <v>153</v>
      </c>
      <c r="L2825" s="45" t="n">
        <f aca="false">DATE(YEAR(B2825),MONTH(B2825),1)</f>
        <v>46235</v>
      </c>
      <c r="M2825" s="31" t="n">
        <f aca="false">WEEKDAY(B2825,2)</f>
        <v>1</v>
      </c>
      <c r="N2825" s="31" t="str">
        <f aca="false">IF(G2825&lt;=INDEX(Assumptions!$B$15:$B$18,MATCH(E2825,Assumptions!$A$15:$A$18,0)),"Yes","No")</f>
        <v>Yes</v>
      </c>
      <c r="O2825" s="31" t="str">
        <f aca="false">IF(H2825="","Open",IF(H2825&lt;=INDEX(Assumptions!$C$15:$C$18,MATCH(E2825,Assumptions!$A$15:$A$18,0)),"Yes","No"))</f>
        <v>Yes</v>
      </c>
    </row>
    <row r="2826" customFormat="false" ht="15" hidden="false" customHeight="false" outlineLevel="0" collapsed="false">
      <c r="A2826" s="31" t="s">
        <v>2976</v>
      </c>
      <c r="B2826" s="44" t="n">
        <v>46244</v>
      </c>
      <c r="C2826" s="31" t="s">
        <v>59</v>
      </c>
      <c r="D2826" s="31" t="s">
        <v>66</v>
      </c>
      <c r="E2826" s="31" t="s">
        <v>51</v>
      </c>
      <c r="F2826" s="31" t="s">
        <v>119</v>
      </c>
      <c r="G2826" s="31" t="n">
        <v>53</v>
      </c>
      <c r="H2826" s="41" t="n">
        <v>1.2</v>
      </c>
      <c r="I2826" s="31" t="s">
        <v>149</v>
      </c>
      <c r="J2826" s="31"/>
      <c r="K2826" s="31" t="s">
        <v>150</v>
      </c>
      <c r="L2826" s="45" t="n">
        <f aca="false">DATE(YEAR(B2826),MONTH(B2826),1)</f>
        <v>46235</v>
      </c>
      <c r="M2826" s="31" t="n">
        <f aca="false">WEEKDAY(B2826,2)</f>
        <v>1</v>
      </c>
      <c r="N2826" s="31" t="str">
        <f aca="false">IF(G2826&lt;=INDEX(Assumptions!$B$15:$B$18,MATCH(E2826,Assumptions!$A$15:$A$18,0)),"Yes","No")</f>
        <v>Yes</v>
      </c>
      <c r="O2826" s="31" t="str">
        <f aca="false">IF(H2826="","Open",IF(H2826&lt;=INDEX(Assumptions!$C$15:$C$18,MATCH(E2826,Assumptions!$A$15:$A$18,0)),"Yes","No"))</f>
        <v>Yes</v>
      </c>
    </row>
    <row r="2827" customFormat="false" ht="15" hidden="false" customHeight="false" outlineLevel="0" collapsed="false">
      <c r="A2827" s="31" t="s">
        <v>2977</v>
      </c>
      <c r="B2827" s="44" t="n">
        <v>46244</v>
      </c>
      <c r="C2827" s="31" t="s">
        <v>59</v>
      </c>
      <c r="D2827" s="31" t="s">
        <v>67</v>
      </c>
      <c r="E2827" s="31" t="s">
        <v>49</v>
      </c>
      <c r="F2827" s="31" t="s">
        <v>136</v>
      </c>
      <c r="G2827" s="31" t="n">
        <v>39</v>
      </c>
      <c r="H2827" s="41" t="n">
        <v>8.5</v>
      </c>
      <c r="I2827" s="31" t="s">
        <v>149</v>
      </c>
      <c r="J2827" s="31" t="n">
        <v>3</v>
      </c>
      <c r="K2827" s="31" t="s">
        <v>150</v>
      </c>
      <c r="L2827" s="45" t="n">
        <f aca="false">DATE(YEAR(B2827),MONTH(B2827),1)</f>
        <v>46235</v>
      </c>
      <c r="M2827" s="31" t="n">
        <f aca="false">WEEKDAY(B2827,2)</f>
        <v>1</v>
      </c>
      <c r="N2827" s="31" t="str">
        <f aca="false">IF(G2827&lt;=INDEX(Assumptions!$B$15:$B$18,MATCH(E2827,Assumptions!$A$15:$A$18,0)),"Yes","No")</f>
        <v>No</v>
      </c>
      <c r="O2827" s="31" t="str">
        <f aca="false">IF(H2827="","Open",IF(H2827&lt;=INDEX(Assumptions!$C$15:$C$18,MATCH(E2827,Assumptions!$A$15:$A$18,0)),"Yes","No"))</f>
        <v>No</v>
      </c>
    </row>
    <row r="2828" customFormat="false" ht="15" hidden="false" customHeight="false" outlineLevel="0" collapsed="false">
      <c r="A2828" s="31" t="s">
        <v>2978</v>
      </c>
      <c r="B2828" s="44" t="n">
        <v>46244</v>
      </c>
      <c r="C2828" s="31" t="s">
        <v>59</v>
      </c>
      <c r="D2828" s="31" t="s">
        <v>66</v>
      </c>
      <c r="E2828" s="31" t="s">
        <v>52</v>
      </c>
      <c r="F2828" s="31" t="s">
        <v>117</v>
      </c>
      <c r="G2828" s="31" t="n">
        <v>199</v>
      </c>
      <c r="H2828" s="41" t="n">
        <v>5.9</v>
      </c>
      <c r="I2828" s="31" t="s">
        <v>149</v>
      </c>
      <c r="J2828" s="31" t="n">
        <v>4</v>
      </c>
      <c r="K2828" s="31" t="s">
        <v>150</v>
      </c>
      <c r="L2828" s="45" t="n">
        <f aca="false">DATE(YEAR(B2828),MONTH(B2828),1)</f>
        <v>46235</v>
      </c>
      <c r="M2828" s="31" t="n">
        <f aca="false">WEEKDAY(B2828,2)</f>
        <v>1</v>
      </c>
      <c r="N2828" s="31" t="str">
        <f aca="false">IF(G2828&lt;=INDEX(Assumptions!$B$15:$B$18,MATCH(E2828,Assumptions!$A$15:$A$18,0)),"Yes","No")</f>
        <v>Yes</v>
      </c>
      <c r="O2828" s="31" t="str">
        <f aca="false">IF(H2828="","Open",IF(H2828&lt;=INDEX(Assumptions!$C$15:$C$18,MATCH(E2828,Assumptions!$A$15:$A$18,0)),"Yes","No"))</f>
        <v>Yes</v>
      </c>
    </row>
    <row r="2829" customFormat="false" ht="15" hidden="false" customHeight="false" outlineLevel="0" collapsed="false">
      <c r="A2829" s="31" t="s">
        <v>2979</v>
      </c>
      <c r="B2829" s="44" t="n">
        <v>46244</v>
      </c>
      <c r="C2829" s="31" t="s">
        <v>59</v>
      </c>
      <c r="D2829" s="31" t="s">
        <v>67</v>
      </c>
      <c r="E2829" s="31" t="s">
        <v>51</v>
      </c>
      <c r="F2829" s="31" t="s">
        <v>121</v>
      </c>
      <c r="G2829" s="31" t="n">
        <v>72</v>
      </c>
      <c r="H2829" s="41" t="n">
        <v>7.2</v>
      </c>
      <c r="I2829" s="31" t="s">
        <v>149</v>
      </c>
      <c r="J2829" s="31"/>
      <c r="K2829" s="31" t="s">
        <v>150</v>
      </c>
      <c r="L2829" s="45" t="n">
        <f aca="false">DATE(YEAR(B2829),MONTH(B2829),1)</f>
        <v>46235</v>
      </c>
      <c r="M2829" s="31" t="n">
        <f aca="false">WEEKDAY(B2829,2)</f>
        <v>1</v>
      </c>
      <c r="N2829" s="31" t="str">
        <f aca="false">IF(G2829&lt;=INDEX(Assumptions!$B$15:$B$18,MATCH(E2829,Assumptions!$A$15:$A$18,0)),"Yes","No")</f>
        <v>No</v>
      </c>
      <c r="O2829" s="31" t="str">
        <f aca="false">IF(H2829="","Open",IF(H2829&lt;=INDEX(Assumptions!$C$15:$C$18,MATCH(E2829,Assumptions!$A$15:$A$18,0)),"Yes","No"))</f>
        <v>Yes</v>
      </c>
    </row>
    <row r="2830" customFormat="false" ht="15" hidden="false" customHeight="false" outlineLevel="0" collapsed="false">
      <c r="A2830" s="31" t="s">
        <v>2980</v>
      </c>
      <c r="B2830" s="44" t="n">
        <v>46244</v>
      </c>
      <c r="C2830" s="31" t="s">
        <v>58</v>
      </c>
      <c r="D2830" s="31" t="s">
        <v>67</v>
      </c>
      <c r="E2830" s="31" t="s">
        <v>51</v>
      </c>
      <c r="F2830" s="31" t="s">
        <v>121</v>
      </c>
      <c r="G2830" s="31" t="n">
        <v>12</v>
      </c>
      <c r="H2830" s="41" t="n">
        <v>4.5</v>
      </c>
      <c r="I2830" s="31" t="s">
        <v>149</v>
      </c>
      <c r="J2830" s="31" t="n">
        <v>4</v>
      </c>
      <c r="K2830" s="31" t="s">
        <v>150</v>
      </c>
      <c r="L2830" s="45" t="n">
        <f aca="false">DATE(YEAR(B2830),MONTH(B2830),1)</f>
        <v>46235</v>
      </c>
      <c r="M2830" s="31" t="n">
        <f aca="false">WEEKDAY(B2830,2)</f>
        <v>1</v>
      </c>
      <c r="N2830" s="31" t="str">
        <f aca="false">IF(G2830&lt;=INDEX(Assumptions!$B$15:$B$18,MATCH(E2830,Assumptions!$A$15:$A$18,0)),"Yes","No")</f>
        <v>Yes</v>
      </c>
      <c r="O2830" s="31" t="str">
        <f aca="false">IF(H2830="","Open",IF(H2830&lt;=INDEX(Assumptions!$C$15:$C$18,MATCH(E2830,Assumptions!$A$15:$A$18,0)),"Yes","No"))</f>
        <v>Yes</v>
      </c>
    </row>
    <row r="2831" customFormat="false" ht="15" hidden="false" customHeight="false" outlineLevel="0" collapsed="false">
      <c r="A2831" s="31" t="s">
        <v>2981</v>
      </c>
      <c r="B2831" s="44" t="n">
        <v>46244</v>
      </c>
      <c r="C2831" s="31" t="s">
        <v>60</v>
      </c>
      <c r="D2831" s="31" t="s">
        <v>67</v>
      </c>
      <c r="E2831" s="31" t="s">
        <v>52</v>
      </c>
      <c r="F2831" s="31" t="s">
        <v>137</v>
      </c>
      <c r="G2831" s="31" t="n">
        <v>8</v>
      </c>
      <c r="H2831" s="41" t="n">
        <v>10.9</v>
      </c>
      <c r="I2831" s="31" t="s">
        <v>149</v>
      </c>
      <c r="J2831" s="31" t="n">
        <v>4</v>
      </c>
      <c r="K2831" s="31" t="s">
        <v>150</v>
      </c>
      <c r="L2831" s="45" t="n">
        <f aca="false">DATE(YEAR(B2831),MONTH(B2831),1)</f>
        <v>46235</v>
      </c>
      <c r="M2831" s="31" t="n">
        <f aca="false">WEEKDAY(B2831,2)</f>
        <v>1</v>
      </c>
      <c r="N2831" s="31" t="str">
        <f aca="false">IF(G2831&lt;=INDEX(Assumptions!$B$15:$B$18,MATCH(E2831,Assumptions!$A$15:$A$18,0)),"Yes","No")</f>
        <v>Yes</v>
      </c>
      <c r="O2831" s="31" t="str">
        <f aca="false">IF(H2831="","Open",IF(H2831&lt;=INDEX(Assumptions!$C$15:$C$18,MATCH(E2831,Assumptions!$A$15:$A$18,0)),"Yes","No"))</f>
        <v>Yes</v>
      </c>
    </row>
    <row r="2832" customFormat="false" ht="15" hidden="false" customHeight="false" outlineLevel="0" collapsed="false">
      <c r="A2832" s="31" t="s">
        <v>2982</v>
      </c>
      <c r="B2832" s="44" t="n">
        <v>46244</v>
      </c>
      <c r="C2832" s="31" t="s">
        <v>57</v>
      </c>
      <c r="D2832" s="31" t="s">
        <v>68</v>
      </c>
      <c r="E2832" s="31" t="s">
        <v>52</v>
      </c>
      <c r="F2832" s="31" t="s">
        <v>135</v>
      </c>
      <c r="G2832" s="31" t="n">
        <v>12</v>
      </c>
      <c r="H2832" s="41" t="n">
        <v>6.8</v>
      </c>
      <c r="I2832" s="31" t="s">
        <v>149</v>
      </c>
      <c r="J2832" s="31" t="n">
        <v>4</v>
      </c>
      <c r="K2832" s="31" t="s">
        <v>153</v>
      </c>
      <c r="L2832" s="45" t="n">
        <f aca="false">DATE(YEAR(B2832),MONTH(B2832),1)</f>
        <v>46235</v>
      </c>
      <c r="M2832" s="31" t="n">
        <f aca="false">WEEKDAY(B2832,2)</f>
        <v>1</v>
      </c>
      <c r="N2832" s="31" t="str">
        <f aca="false">IF(G2832&lt;=INDEX(Assumptions!$B$15:$B$18,MATCH(E2832,Assumptions!$A$15:$A$18,0)),"Yes","No")</f>
        <v>Yes</v>
      </c>
      <c r="O2832" s="31" t="str">
        <f aca="false">IF(H2832="","Open",IF(H2832&lt;=INDEX(Assumptions!$C$15:$C$18,MATCH(E2832,Assumptions!$A$15:$A$18,0)),"Yes","No"))</f>
        <v>Yes</v>
      </c>
    </row>
    <row r="2833" customFormat="false" ht="15" hidden="false" customHeight="false" outlineLevel="0" collapsed="false">
      <c r="A2833" s="31" t="s">
        <v>2983</v>
      </c>
      <c r="B2833" s="44" t="n">
        <v>46244</v>
      </c>
      <c r="C2833" s="31" t="s">
        <v>60</v>
      </c>
      <c r="D2833" s="31" t="s">
        <v>65</v>
      </c>
      <c r="E2833" s="31" t="s">
        <v>49</v>
      </c>
      <c r="F2833" s="31" t="s">
        <v>133</v>
      </c>
      <c r="G2833" s="31" t="n">
        <v>2</v>
      </c>
      <c r="H2833" s="41" t="n">
        <v>2.1</v>
      </c>
      <c r="I2833" s="31" t="s">
        <v>149</v>
      </c>
      <c r="J2833" s="31" t="n">
        <v>4</v>
      </c>
      <c r="K2833" s="31" t="s">
        <v>150</v>
      </c>
      <c r="L2833" s="45" t="n">
        <f aca="false">DATE(YEAR(B2833),MONTH(B2833),1)</f>
        <v>46235</v>
      </c>
      <c r="M2833" s="31" t="n">
        <f aca="false">WEEKDAY(B2833,2)</f>
        <v>1</v>
      </c>
      <c r="N2833" s="31" t="str">
        <f aca="false">IF(G2833&lt;=INDEX(Assumptions!$B$15:$B$18,MATCH(E2833,Assumptions!$A$15:$A$18,0)),"Yes","No")</f>
        <v>Yes</v>
      </c>
      <c r="O2833" s="31" t="str">
        <f aca="false">IF(H2833="","Open",IF(H2833&lt;=INDEX(Assumptions!$C$15:$C$18,MATCH(E2833,Assumptions!$A$15:$A$18,0)),"Yes","No"))</f>
        <v>Yes</v>
      </c>
    </row>
    <row r="2834" customFormat="false" ht="15" hidden="false" customHeight="false" outlineLevel="0" collapsed="false">
      <c r="A2834" s="31" t="s">
        <v>2984</v>
      </c>
      <c r="B2834" s="44" t="n">
        <v>46244</v>
      </c>
      <c r="C2834" s="31" t="s">
        <v>58</v>
      </c>
      <c r="D2834" s="31" t="s">
        <v>68</v>
      </c>
      <c r="E2834" s="31" t="s">
        <v>52</v>
      </c>
      <c r="F2834" s="31" t="s">
        <v>137</v>
      </c>
      <c r="G2834" s="31" t="n">
        <v>19</v>
      </c>
      <c r="H2834" s="41" t="n">
        <v>3.9</v>
      </c>
      <c r="I2834" s="31" t="s">
        <v>149</v>
      </c>
      <c r="J2834" s="31" t="n">
        <v>3</v>
      </c>
      <c r="K2834" s="31" t="s">
        <v>150</v>
      </c>
      <c r="L2834" s="45" t="n">
        <f aca="false">DATE(YEAR(B2834),MONTH(B2834),1)</f>
        <v>46235</v>
      </c>
      <c r="M2834" s="31" t="n">
        <f aca="false">WEEKDAY(B2834,2)</f>
        <v>1</v>
      </c>
      <c r="N2834" s="31" t="str">
        <f aca="false">IF(G2834&lt;=INDEX(Assumptions!$B$15:$B$18,MATCH(E2834,Assumptions!$A$15:$A$18,0)),"Yes","No")</f>
        <v>Yes</v>
      </c>
      <c r="O2834" s="31" t="str">
        <f aca="false">IF(H2834="","Open",IF(H2834&lt;=INDEX(Assumptions!$C$15:$C$18,MATCH(E2834,Assumptions!$A$15:$A$18,0)),"Yes","No"))</f>
        <v>Yes</v>
      </c>
    </row>
    <row r="2835" customFormat="false" ht="15" hidden="false" customHeight="false" outlineLevel="0" collapsed="false">
      <c r="A2835" s="31" t="s">
        <v>2985</v>
      </c>
      <c r="B2835" s="44" t="n">
        <v>46244</v>
      </c>
      <c r="C2835" s="31" t="s">
        <v>57</v>
      </c>
      <c r="D2835" s="31" t="s">
        <v>65</v>
      </c>
      <c r="E2835" s="31" t="s">
        <v>51</v>
      </c>
      <c r="F2835" s="31" t="s">
        <v>128</v>
      </c>
      <c r="G2835" s="31" t="n">
        <v>12</v>
      </c>
      <c r="H2835" s="41" t="n">
        <v>22.4</v>
      </c>
      <c r="I2835" s="31" t="s">
        <v>149</v>
      </c>
      <c r="J2835" s="31"/>
      <c r="K2835" s="31" t="s">
        <v>150</v>
      </c>
      <c r="L2835" s="45" t="n">
        <f aca="false">DATE(YEAR(B2835),MONTH(B2835),1)</f>
        <v>46235</v>
      </c>
      <c r="M2835" s="31" t="n">
        <f aca="false">WEEKDAY(B2835,2)</f>
        <v>1</v>
      </c>
      <c r="N2835" s="31" t="str">
        <f aca="false">IF(G2835&lt;=INDEX(Assumptions!$B$15:$B$18,MATCH(E2835,Assumptions!$A$15:$A$18,0)),"Yes","No")</f>
        <v>Yes</v>
      </c>
      <c r="O2835" s="31" t="str">
        <f aca="false">IF(H2835="","Open",IF(H2835&lt;=INDEX(Assumptions!$C$15:$C$18,MATCH(E2835,Assumptions!$A$15:$A$18,0)),"Yes","No"))</f>
        <v>Yes</v>
      </c>
    </row>
    <row r="2836" customFormat="false" ht="15" hidden="false" customHeight="false" outlineLevel="0" collapsed="false">
      <c r="A2836" s="31" t="s">
        <v>2986</v>
      </c>
      <c r="B2836" s="44" t="n">
        <v>46244</v>
      </c>
      <c r="C2836" s="31" t="s">
        <v>59</v>
      </c>
      <c r="D2836" s="31" t="s">
        <v>67</v>
      </c>
      <c r="E2836" s="31" t="s">
        <v>49</v>
      </c>
      <c r="F2836" s="31" t="s">
        <v>134</v>
      </c>
      <c r="G2836" s="31" t="n">
        <v>63</v>
      </c>
      <c r="H2836" s="41" t="n">
        <v>3.6</v>
      </c>
      <c r="I2836" s="31" t="s">
        <v>149</v>
      </c>
      <c r="J2836" s="31" t="n">
        <v>3</v>
      </c>
      <c r="K2836" s="31" t="s">
        <v>150</v>
      </c>
      <c r="L2836" s="45" t="n">
        <f aca="false">DATE(YEAR(B2836),MONTH(B2836),1)</f>
        <v>46235</v>
      </c>
      <c r="M2836" s="31" t="n">
        <f aca="false">WEEKDAY(B2836,2)</f>
        <v>1</v>
      </c>
      <c r="N2836" s="31" t="str">
        <f aca="false">IF(G2836&lt;=INDEX(Assumptions!$B$15:$B$18,MATCH(E2836,Assumptions!$A$15:$A$18,0)),"Yes","No")</f>
        <v>No</v>
      </c>
      <c r="O2836" s="31" t="str">
        <f aca="false">IF(H2836="","Open",IF(H2836&lt;=INDEX(Assumptions!$C$15:$C$18,MATCH(E2836,Assumptions!$A$15:$A$18,0)),"Yes","No"))</f>
        <v>Yes</v>
      </c>
    </row>
    <row r="2837" customFormat="false" ht="15" hidden="false" customHeight="false" outlineLevel="0" collapsed="false">
      <c r="A2837" s="31" t="s">
        <v>2987</v>
      </c>
      <c r="B2837" s="44" t="n">
        <v>46244</v>
      </c>
      <c r="C2837" s="31" t="s">
        <v>57</v>
      </c>
      <c r="D2837" s="31" t="s">
        <v>67</v>
      </c>
      <c r="E2837" s="31" t="s">
        <v>50</v>
      </c>
      <c r="F2837" s="31" t="s">
        <v>122</v>
      </c>
      <c r="G2837" s="31" t="n">
        <v>17</v>
      </c>
      <c r="H2837" s="41" t="n">
        <v>7</v>
      </c>
      <c r="I2837" s="31" t="s">
        <v>149</v>
      </c>
      <c r="J2837" s="31"/>
      <c r="K2837" s="31" t="s">
        <v>150</v>
      </c>
      <c r="L2837" s="45" t="n">
        <f aca="false">DATE(YEAR(B2837),MONTH(B2837),1)</f>
        <v>46235</v>
      </c>
      <c r="M2837" s="31" t="n">
        <f aca="false">WEEKDAY(B2837,2)</f>
        <v>1</v>
      </c>
      <c r="N2837" s="31" t="str">
        <f aca="false">IF(G2837&lt;=INDEX(Assumptions!$B$15:$B$18,MATCH(E2837,Assumptions!$A$15:$A$18,0)),"Yes","No")</f>
        <v>Yes</v>
      </c>
      <c r="O2837" s="31" t="str">
        <f aca="false">IF(H2837="","Open",IF(H2837&lt;=INDEX(Assumptions!$C$15:$C$18,MATCH(E2837,Assumptions!$A$15:$A$18,0)),"Yes","No"))</f>
        <v>Yes</v>
      </c>
    </row>
    <row r="2838" customFormat="false" ht="15" hidden="false" customHeight="false" outlineLevel="0" collapsed="false">
      <c r="A2838" s="31" t="s">
        <v>2988</v>
      </c>
      <c r="B2838" s="44" t="n">
        <v>46244</v>
      </c>
      <c r="C2838" s="31" t="s">
        <v>58</v>
      </c>
      <c r="D2838" s="31" t="s">
        <v>69</v>
      </c>
      <c r="E2838" s="31" t="s">
        <v>51</v>
      </c>
      <c r="F2838" s="31" t="s">
        <v>131</v>
      </c>
      <c r="G2838" s="31" t="n">
        <v>7</v>
      </c>
      <c r="H2838" s="41" t="n">
        <v>11.6</v>
      </c>
      <c r="I2838" s="31" t="s">
        <v>149</v>
      </c>
      <c r="J2838" s="31"/>
      <c r="K2838" s="31" t="s">
        <v>150</v>
      </c>
      <c r="L2838" s="45" t="n">
        <f aca="false">DATE(YEAR(B2838),MONTH(B2838),1)</f>
        <v>46235</v>
      </c>
      <c r="M2838" s="31" t="n">
        <f aca="false">WEEKDAY(B2838,2)</f>
        <v>1</v>
      </c>
      <c r="N2838" s="31" t="str">
        <f aca="false">IF(G2838&lt;=INDEX(Assumptions!$B$15:$B$18,MATCH(E2838,Assumptions!$A$15:$A$18,0)),"Yes","No")</f>
        <v>Yes</v>
      </c>
      <c r="O2838" s="31" t="str">
        <f aca="false">IF(H2838="","Open",IF(H2838&lt;=INDEX(Assumptions!$C$15:$C$18,MATCH(E2838,Assumptions!$A$15:$A$18,0)),"Yes","No"))</f>
        <v>Yes</v>
      </c>
    </row>
    <row r="2839" customFormat="false" ht="15" hidden="false" customHeight="false" outlineLevel="0" collapsed="false">
      <c r="A2839" s="31" t="s">
        <v>2989</v>
      </c>
      <c r="B2839" s="44" t="n">
        <v>46244</v>
      </c>
      <c r="C2839" s="31" t="s">
        <v>60</v>
      </c>
      <c r="D2839" s="31" t="s">
        <v>67</v>
      </c>
      <c r="E2839" s="31" t="s">
        <v>51</v>
      </c>
      <c r="F2839" s="31" t="s">
        <v>131</v>
      </c>
      <c r="G2839" s="31" t="n">
        <v>1</v>
      </c>
      <c r="H2839" s="41" t="n">
        <v>6</v>
      </c>
      <c r="I2839" s="31" t="s">
        <v>149</v>
      </c>
      <c r="J2839" s="31" t="n">
        <v>5</v>
      </c>
      <c r="K2839" s="31" t="s">
        <v>150</v>
      </c>
      <c r="L2839" s="45" t="n">
        <f aca="false">DATE(YEAR(B2839),MONTH(B2839),1)</f>
        <v>46235</v>
      </c>
      <c r="M2839" s="31" t="n">
        <f aca="false">WEEKDAY(B2839,2)</f>
        <v>1</v>
      </c>
      <c r="N2839" s="31" t="str">
        <f aca="false">IF(G2839&lt;=INDEX(Assumptions!$B$15:$B$18,MATCH(E2839,Assumptions!$A$15:$A$18,0)),"Yes","No")</f>
        <v>Yes</v>
      </c>
      <c r="O2839" s="31" t="str">
        <f aca="false">IF(H2839="","Open",IF(H2839&lt;=INDEX(Assumptions!$C$15:$C$18,MATCH(E2839,Assumptions!$A$15:$A$18,0)),"Yes","No"))</f>
        <v>Yes</v>
      </c>
    </row>
    <row r="2840" customFormat="false" ht="15" hidden="false" customHeight="false" outlineLevel="0" collapsed="false">
      <c r="A2840" s="31" t="s">
        <v>2990</v>
      </c>
      <c r="B2840" s="44" t="n">
        <v>46244</v>
      </c>
      <c r="C2840" s="31" t="s">
        <v>60</v>
      </c>
      <c r="D2840" s="31" t="s">
        <v>67</v>
      </c>
      <c r="E2840" s="31" t="s">
        <v>51</v>
      </c>
      <c r="F2840" s="31" t="s">
        <v>126</v>
      </c>
      <c r="G2840" s="31" t="n">
        <v>1</v>
      </c>
      <c r="H2840" s="41" t="n">
        <v>16.2</v>
      </c>
      <c r="I2840" s="31" t="s">
        <v>149</v>
      </c>
      <c r="J2840" s="31"/>
      <c r="K2840" s="31" t="s">
        <v>150</v>
      </c>
      <c r="L2840" s="45" t="n">
        <f aca="false">DATE(YEAR(B2840),MONTH(B2840),1)</f>
        <v>46235</v>
      </c>
      <c r="M2840" s="31" t="n">
        <f aca="false">WEEKDAY(B2840,2)</f>
        <v>1</v>
      </c>
      <c r="N2840" s="31" t="str">
        <f aca="false">IF(G2840&lt;=INDEX(Assumptions!$B$15:$B$18,MATCH(E2840,Assumptions!$A$15:$A$18,0)),"Yes","No")</f>
        <v>Yes</v>
      </c>
      <c r="O2840" s="31" t="str">
        <f aca="false">IF(H2840="","Open",IF(H2840&lt;=INDEX(Assumptions!$C$15:$C$18,MATCH(E2840,Assumptions!$A$15:$A$18,0)),"Yes","No"))</f>
        <v>Yes</v>
      </c>
    </row>
    <row r="2841" customFormat="false" ht="15" hidden="false" customHeight="false" outlineLevel="0" collapsed="false">
      <c r="A2841" s="31" t="s">
        <v>2991</v>
      </c>
      <c r="B2841" s="44" t="n">
        <v>46244</v>
      </c>
      <c r="C2841" s="31" t="s">
        <v>58</v>
      </c>
      <c r="D2841" s="31" t="s">
        <v>65</v>
      </c>
      <c r="E2841" s="31" t="s">
        <v>51</v>
      </c>
      <c r="F2841" s="31" t="s">
        <v>121</v>
      </c>
      <c r="G2841" s="31" t="n">
        <v>30</v>
      </c>
      <c r="H2841" s="41" t="n">
        <v>35.3</v>
      </c>
      <c r="I2841" s="31" t="s">
        <v>149</v>
      </c>
      <c r="J2841" s="31" t="n">
        <v>4</v>
      </c>
      <c r="K2841" s="31" t="s">
        <v>150</v>
      </c>
      <c r="L2841" s="45" t="n">
        <f aca="false">DATE(YEAR(B2841),MONTH(B2841),1)</f>
        <v>46235</v>
      </c>
      <c r="M2841" s="31" t="n">
        <f aca="false">WEEKDAY(B2841,2)</f>
        <v>1</v>
      </c>
      <c r="N2841" s="31" t="str">
        <f aca="false">IF(G2841&lt;=INDEX(Assumptions!$B$15:$B$18,MATCH(E2841,Assumptions!$A$15:$A$18,0)),"Yes","No")</f>
        <v>Yes</v>
      </c>
      <c r="O2841" s="31" t="str">
        <f aca="false">IF(H2841="","Open",IF(H2841&lt;=INDEX(Assumptions!$C$15:$C$18,MATCH(E2841,Assumptions!$A$15:$A$18,0)),"Yes","No"))</f>
        <v>No</v>
      </c>
    </row>
    <row r="2842" customFormat="false" ht="15" hidden="false" customHeight="false" outlineLevel="0" collapsed="false">
      <c r="A2842" s="31" t="s">
        <v>2992</v>
      </c>
      <c r="B2842" s="44" t="n">
        <v>46244</v>
      </c>
      <c r="C2842" s="31" t="s">
        <v>60</v>
      </c>
      <c r="D2842" s="31" t="s">
        <v>67</v>
      </c>
      <c r="E2842" s="31" t="s">
        <v>49</v>
      </c>
      <c r="F2842" s="31" t="s">
        <v>128</v>
      </c>
      <c r="G2842" s="31" t="n">
        <v>1</v>
      </c>
      <c r="H2842" s="41" t="n">
        <v>4.2</v>
      </c>
      <c r="I2842" s="31" t="s">
        <v>149</v>
      </c>
      <c r="J2842" s="31" t="n">
        <v>3</v>
      </c>
      <c r="K2842" s="31" t="s">
        <v>150</v>
      </c>
      <c r="L2842" s="45" t="n">
        <f aca="false">DATE(YEAR(B2842),MONTH(B2842),1)</f>
        <v>46235</v>
      </c>
      <c r="M2842" s="31" t="n">
        <f aca="false">WEEKDAY(B2842,2)</f>
        <v>1</v>
      </c>
      <c r="N2842" s="31" t="str">
        <f aca="false">IF(G2842&lt;=INDEX(Assumptions!$B$15:$B$18,MATCH(E2842,Assumptions!$A$15:$A$18,0)),"Yes","No")</f>
        <v>Yes</v>
      </c>
      <c r="O2842" s="31" t="str">
        <f aca="false">IF(H2842="","Open",IF(H2842&lt;=INDEX(Assumptions!$C$15:$C$18,MATCH(E2842,Assumptions!$A$15:$A$18,0)),"Yes","No"))</f>
        <v>No</v>
      </c>
    </row>
    <row r="2843" customFormat="false" ht="15" hidden="false" customHeight="false" outlineLevel="0" collapsed="false">
      <c r="A2843" s="31" t="s">
        <v>2993</v>
      </c>
      <c r="B2843" s="44" t="n">
        <v>46244</v>
      </c>
      <c r="C2843" s="31" t="s">
        <v>60</v>
      </c>
      <c r="D2843" s="31" t="s">
        <v>67</v>
      </c>
      <c r="E2843" s="31" t="s">
        <v>51</v>
      </c>
      <c r="F2843" s="31" t="s">
        <v>124</v>
      </c>
      <c r="G2843" s="31" t="n">
        <v>10</v>
      </c>
      <c r="H2843" s="41" t="n">
        <v>12.8</v>
      </c>
      <c r="I2843" s="31" t="s">
        <v>149</v>
      </c>
      <c r="J2843" s="31" t="n">
        <v>5</v>
      </c>
      <c r="K2843" s="31" t="s">
        <v>150</v>
      </c>
      <c r="L2843" s="45" t="n">
        <f aca="false">DATE(YEAR(B2843),MONTH(B2843),1)</f>
        <v>46235</v>
      </c>
      <c r="M2843" s="31" t="n">
        <f aca="false">WEEKDAY(B2843,2)</f>
        <v>1</v>
      </c>
      <c r="N2843" s="31" t="str">
        <f aca="false">IF(G2843&lt;=INDEX(Assumptions!$B$15:$B$18,MATCH(E2843,Assumptions!$A$15:$A$18,0)),"Yes","No")</f>
        <v>Yes</v>
      </c>
      <c r="O2843" s="31" t="str">
        <f aca="false">IF(H2843="","Open",IF(H2843&lt;=INDEX(Assumptions!$C$15:$C$18,MATCH(E2843,Assumptions!$A$15:$A$18,0)),"Yes","No"))</f>
        <v>Yes</v>
      </c>
    </row>
    <row r="2844" customFormat="false" ht="15" hidden="false" customHeight="false" outlineLevel="0" collapsed="false">
      <c r="A2844" s="31" t="s">
        <v>2994</v>
      </c>
      <c r="B2844" s="44" t="n">
        <v>46244</v>
      </c>
      <c r="C2844" s="31" t="s">
        <v>58</v>
      </c>
      <c r="D2844" s="31" t="s">
        <v>65</v>
      </c>
      <c r="E2844" s="31" t="s">
        <v>51</v>
      </c>
      <c r="F2844" s="31" t="s">
        <v>129</v>
      </c>
      <c r="G2844" s="31" t="n">
        <v>4</v>
      </c>
      <c r="H2844" s="41" t="n">
        <v>27.2</v>
      </c>
      <c r="I2844" s="31" t="s">
        <v>149</v>
      </c>
      <c r="J2844" s="31"/>
      <c r="K2844" s="31" t="s">
        <v>150</v>
      </c>
      <c r="L2844" s="45" t="n">
        <f aca="false">DATE(YEAR(B2844),MONTH(B2844),1)</f>
        <v>46235</v>
      </c>
      <c r="M2844" s="31" t="n">
        <f aca="false">WEEKDAY(B2844,2)</f>
        <v>1</v>
      </c>
      <c r="N2844" s="31" t="str">
        <f aca="false">IF(G2844&lt;=INDEX(Assumptions!$B$15:$B$18,MATCH(E2844,Assumptions!$A$15:$A$18,0)),"Yes","No")</f>
        <v>Yes</v>
      </c>
      <c r="O2844" s="31" t="str">
        <f aca="false">IF(H2844="","Open",IF(H2844&lt;=INDEX(Assumptions!$C$15:$C$18,MATCH(E2844,Assumptions!$A$15:$A$18,0)),"Yes","No"))</f>
        <v>No</v>
      </c>
    </row>
    <row r="2845" customFormat="false" ht="15" hidden="false" customHeight="false" outlineLevel="0" collapsed="false">
      <c r="A2845" s="31" t="s">
        <v>2995</v>
      </c>
      <c r="B2845" s="44" t="n">
        <v>46244</v>
      </c>
      <c r="C2845" s="31" t="s">
        <v>58</v>
      </c>
      <c r="D2845" s="31" t="s">
        <v>67</v>
      </c>
      <c r="E2845" s="31" t="s">
        <v>51</v>
      </c>
      <c r="F2845" s="31" t="s">
        <v>133</v>
      </c>
      <c r="G2845" s="31" t="n">
        <v>8</v>
      </c>
      <c r="H2845" s="41" t="n">
        <v>39.7</v>
      </c>
      <c r="I2845" s="31" t="s">
        <v>149</v>
      </c>
      <c r="J2845" s="31"/>
      <c r="K2845" s="31" t="s">
        <v>153</v>
      </c>
      <c r="L2845" s="45" t="n">
        <f aca="false">DATE(YEAR(B2845),MONTH(B2845),1)</f>
        <v>46235</v>
      </c>
      <c r="M2845" s="31" t="n">
        <f aca="false">WEEKDAY(B2845,2)</f>
        <v>1</v>
      </c>
      <c r="N2845" s="31" t="str">
        <f aca="false">IF(G2845&lt;=INDEX(Assumptions!$B$15:$B$18,MATCH(E2845,Assumptions!$A$15:$A$18,0)),"Yes","No")</f>
        <v>Yes</v>
      </c>
      <c r="O2845" s="31" t="str">
        <f aca="false">IF(H2845="","Open",IF(H2845&lt;=INDEX(Assumptions!$C$15:$C$18,MATCH(E2845,Assumptions!$A$15:$A$18,0)),"Yes","No"))</f>
        <v>No</v>
      </c>
    </row>
    <row r="2846" customFormat="false" ht="15" hidden="false" customHeight="false" outlineLevel="0" collapsed="false">
      <c r="A2846" s="31" t="s">
        <v>2996</v>
      </c>
      <c r="B2846" s="44" t="n">
        <v>46244</v>
      </c>
      <c r="C2846" s="31" t="s">
        <v>58</v>
      </c>
      <c r="D2846" s="31" t="s">
        <v>65</v>
      </c>
      <c r="E2846" s="31" t="s">
        <v>52</v>
      </c>
      <c r="F2846" s="31" t="s">
        <v>130</v>
      </c>
      <c r="G2846" s="31" t="n">
        <v>19</v>
      </c>
      <c r="H2846" s="41" t="n">
        <v>9.7</v>
      </c>
      <c r="I2846" s="31" t="s">
        <v>149</v>
      </c>
      <c r="J2846" s="31"/>
      <c r="K2846" s="31" t="s">
        <v>150</v>
      </c>
      <c r="L2846" s="45" t="n">
        <f aca="false">DATE(YEAR(B2846),MONTH(B2846),1)</f>
        <v>46235</v>
      </c>
      <c r="M2846" s="31" t="n">
        <f aca="false">WEEKDAY(B2846,2)</f>
        <v>1</v>
      </c>
      <c r="N2846" s="31" t="str">
        <f aca="false">IF(G2846&lt;=INDEX(Assumptions!$B$15:$B$18,MATCH(E2846,Assumptions!$A$15:$A$18,0)),"Yes","No")</f>
        <v>Yes</v>
      </c>
      <c r="O2846" s="31" t="str">
        <f aca="false">IF(H2846="","Open",IF(H2846&lt;=INDEX(Assumptions!$C$15:$C$18,MATCH(E2846,Assumptions!$A$15:$A$18,0)),"Yes","No"))</f>
        <v>Yes</v>
      </c>
    </row>
    <row r="2847" customFormat="false" ht="15" hidden="false" customHeight="false" outlineLevel="0" collapsed="false">
      <c r="A2847" s="31" t="s">
        <v>2997</v>
      </c>
      <c r="B2847" s="44" t="n">
        <v>46244</v>
      </c>
      <c r="C2847" s="31" t="s">
        <v>59</v>
      </c>
      <c r="D2847" s="31" t="s">
        <v>67</v>
      </c>
      <c r="E2847" s="31" t="s">
        <v>50</v>
      </c>
      <c r="F2847" s="31" t="s">
        <v>136</v>
      </c>
      <c r="G2847" s="31" t="n">
        <v>60</v>
      </c>
      <c r="H2847" s="41" t="n">
        <v>21.2</v>
      </c>
      <c r="I2847" s="31" t="s">
        <v>149</v>
      </c>
      <c r="J2847" s="31" t="n">
        <v>4</v>
      </c>
      <c r="K2847" s="31" t="s">
        <v>150</v>
      </c>
      <c r="L2847" s="45" t="n">
        <f aca="false">DATE(YEAR(B2847),MONTH(B2847),1)</f>
        <v>46235</v>
      </c>
      <c r="M2847" s="31" t="n">
        <f aca="false">WEEKDAY(B2847,2)</f>
        <v>1</v>
      </c>
      <c r="N2847" s="31" t="str">
        <f aca="false">IF(G2847&lt;=INDEX(Assumptions!$B$15:$B$18,MATCH(E2847,Assumptions!$A$15:$A$18,0)),"Yes","No")</f>
        <v>No</v>
      </c>
      <c r="O2847" s="31" t="str">
        <f aca="false">IF(H2847="","Open",IF(H2847&lt;=INDEX(Assumptions!$C$15:$C$18,MATCH(E2847,Assumptions!$A$15:$A$18,0)),"Yes","No"))</f>
        <v>No</v>
      </c>
    </row>
    <row r="2848" customFormat="false" ht="15" hidden="false" customHeight="false" outlineLevel="0" collapsed="false">
      <c r="A2848" s="31" t="s">
        <v>2998</v>
      </c>
      <c r="B2848" s="44" t="n">
        <v>46244</v>
      </c>
      <c r="C2848" s="31" t="s">
        <v>57</v>
      </c>
      <c r="D2848" s="31" t="s">
        <v>67</v>
      </c>
      <c r="E2848" s="31" t="s">
        <v>51</v>
      </c>
      <c r="F2848" s="31" t="s">
        <v>124</v>
      </c>
      <c r="G2848" s="31" t="n">
        <v>4</v>
      </c>
      <c r="H2848" s="41" t="n">
        <v>37.7</v>
      </c>
      <c r="I2848" s="31" t="s">
        <v>149</v>
      </c>
      <c r="J2848" s="31" t="n">
        <v>4</v>
      </c>
      <c r="K2848" s="31" t="s">
        <v>150</v>
      </c>
      <c r="L2848" s="45" t="n">
        <f aca="false">DATE(YEAR(B2848),MONTH(B2848),1)</f>
        <v>46235</v>
      </c>
      <c r="M2848" s="31" t="n">
        <f aca="false">WEEKDAY(B2848,2)</f>
        <v>1</v>
      </c>
      <c r="N2848" s="31" t="str">
        <f aca="false">IF(G2848&lt;=INDEX(Assumptions!$B$15:$B$18,MATCH(E2848,Assumptions!$A$15:$A$18,0)),"Yes","No")</f>
        <v>Yes</v>
      </c>
      <c r="O2848" s="31" t="str">
        <f aca="false">IF(H2848="","Open",IF(H2848&lt;=INDEX(Assumptions!$C$15:$C$18,MATCH(E2848,Assumptions!$A$15:$A$18,0)),"Yes","No"))</f>
        <v>No</v>
      </c>
    </row>
    <row r="2849" customFormat="false" ht="15" hidden="false" customHeight="false" outlineLevel="0" collapsed="false">
      <c r="A2849" s="31" t="s">
        <v>2999</v>
      </c>
      <c r="B2849" s="44" t="n">
        <v>46244</v>
      </c>
      <c r="C2849" s="31" t="s">
        <v>58</v>
      </c>
      <c r="D2849" s="31" t="s">
        <v>65</v>
      </c>
      <c r="E2849" s="31" t="s">
        <v>49</v>
      </c>
      <c r="F2849" s="31" t="s">
        <v>117</v>
      </c>
      <c r="G2849" s="31" t="n">
        <v>7</v>
      </c>
      <c r="H2849" s="41" t="n">
        <v>8.3</v>
      </c>
      <c r="I2849" s="31" t="s">
        <v>149</v>
      </c>
      <c r="J2849" s="31" t="n">
        <v>4</v>
      </c>
      <c r="K2849" s="31" t="s">
        <v>150</v>
      </c>
      <c r="L2849" s="45" t="n">
        <f aca="false">DATE(YEAR(B2849),MONTH(B2849),1)</f>
        <v>46235</v>
      </c>
      <c r="M2849" s="31" t="n">
        <f aca="false">WEEKDAY(B2849,2)</f>
        <v>1</v>
      </c>
      <c r="N2849" s="31" t="str">
        <f aca="false">IF(G2849&lt;=INDEX(Assumptions!$B$15:$B$18,MATCH(E2849,Assumptions!$A$15:$A$18,0)),"Yes","No")</f>
        <v>Yes</v>
      </c>
      <c r="O2849" s="31" t="str">
        <f aca="false">IF(H2849="","Open",IF(H2849&lt;=INDEX(Assumptions!$C$15:$C$18,MATCH(E2849,Assumptions!$A$15:$A$18,0)),"Yes","No"))</f>
        <v>No</v>
      </c>
    </row>
    <row r="2850" customFormat="false" ht="15" hidden="false" customHeight="false" outlineLevel="0" collapsed="false">
      <c r="A2850" s="31" t="s">
        <v>3000</v>
      </c>
      <c r="B2850" s="44" t="n">
        <v>46244</v>
      </c>
      <c r="C2850" s="31" t="s">
        <v>58</v>
      </c>
      <c r="D2850" s="31" t="s">
        <v>68</v>
      </c>
      <c r="E2850" s="31" t="s">
        <v>51</v>
      </c>
      <c r="F2850" s="31" t="s">
        <v>129</v>
      </c>
      <c r="G2850" s="31" t="n">
        <v>14</v>
      </c>
      <c r="H2850" s="41"/>
      <c r="I2850" s="31" t="s">
        <v>158</v>
      </c>
      <c r="J2850" s="31"/>
      <c r="K2850" s="31" t="s">
        <v>150</v>
      </c>
      <c r="L2850" s="45" t="n">
        <f aca="false">DATE(YEAR(B2850),MONTH(B2850),1)</f>
        <v>46235</v>
      </c>
      <c r="M2850" s="31" t="n">
        <f aca="false">WEEKDAY(B2850,2)</f>
        <v>1</v>
      </c>
      <c r="N2850" s="31" t="str">
        <f aca="false">IF(G2850&lt;=INDEX(Assumptions!$B$15:$B$18,MATCH(E2850,Assumptions!$A$15:$A$18,0)),"Yes","No")</f>
        <v>Yes</v>
      </c>
      <c r="O2850" s="31" t="str">
        <f aca="false">IF(H2850="","Open",IF(H2850&lt;=INDEX(Assumptions!$C$15:$C$18,MATCH(E2850,Assumptions!$A$15:$A$18,0)),"Yes","No"))</f>
        <v>Open</v>
      </c>
    </row>
    <row r="2851" customFormat="false" ht="15" hidden="false" customHeight="false" outlineLevel="0" collapsed="false">
      <c r="A2851" s="31" t="s">
        <v>3001</v>
      </c>
      <c r="B2851" s="44" t="n">
        <v>46244</v>
      </c>
      <c r="C2851" s="31" t="s">
        <v>59</v>
      </c>
      <c r="D2851" s="31" t="s">
        <v>65</v>
      </c>
      <c r="E2851" s="31" t="s">
        <v>51</v>
      </c>
      <c r="F2851" s="31" t="s">
        <v>137</v>
      </c>
      <c r="G2851" s="31" t="n">
        <v>182</v>
      </c>
      <c r="H2851" s="41" t="n">
        <v>11.1</v>
      </c>
      <c r="I2851" s="31" t="s">
        <v>149</v>
      </c>
      <c r="J2851" s="31" t="n">
        <v>5</v>
      </c>
      <c r="K2851" s="31" t="s">
        <v>150</v>
      </c>
      <c r="L2851" s="45" t="n">
        <f aca="false">DATE(YEAR(B2851),MONTH(B2851),1)</f>
        <v>46235</v>
      </c>
      <c r="M2851" s="31" t="n">
        <f aca="false">WEEKDAY(B2851,2)</f>
        <v>1</v>
      </c>
      <c r="N2851" s="31" t="str">
        <f aca="false">IF(G2851&lt;=INDEX(Assumptions!$B$15:$B$18,MATCH(E2851,Assumptions!$A$15:$A$18,0)),"Yes","No")</f>
        <v>No</v>
      </c>
      <c r="O2851" s="31" t="str">
        <f aca="false">IF(H2851="","Open",IF(H2851&lt;=INDEX(Assumptions!$C$15:$C$18,MATCH(E2851,Assumptions!$A$15:$A$18,0)),"Yes","No"))</f>
        <v>Yes</v>
      </c>
    </row>
    <row r="2852" customFormat="false" ht="15" hidden="false" customHeight="false" outlineLevel="0" collapsed="false">
      <c r="A2852" s="31" t="s">
        <v>3002</v>
      </c>
      <c r="B2852" s="44" t="n">
        <v>46244</v>
      </c>
      <c r="C2852" s="31" t="s">
        <v>58</v>
      </c>
      <c r="D2852" s="31" t="s">
        <v>68</v>
      </c>
      <c r="E2852" s="31" t="s">
        <v>52</v>
      </c>
      <c r="F2852" s="31" t="s">
        <v>137</v>
      </c>
      <c r="G2852" s="31" t="n">
        <v>15</v>
      </c>
      <c r="H2852" s="41" t="n">
        <v>16.7</v>
      </c>
      <c r="I2852" s="31" t="s">
        <v>149</v>
      </c>
      <c r="J2852" s="31" t="n">
        <v>5</v>
      </c>
      <c r="K2852" s="31" t="s">
        <v>150</v>
      </c>
      <c r="L2852" s="45" t="n">
        <f aca="false">DATE(YEAR(B2852),MONTH(B2852),1)</f>
        <v>46235</v>
      </c>
      <c r="M2852" s="31" t="n">
        <f aca="false">WEEKDAY(B2852,2)</f>
        <v>1</v>
      </c>
      <c r="N2852" s="31" t="str">
        <f aca="false">IF(G2852&lt;=INDEX(Assumptions!$B$15:$B$18,MATCH(E2852,Assumptions!$A$15:$A$18,0)),"Yes","No")</f>
        <v>Yes</v>
      </c>
      <c r="O2852" s="31" t="str">
        <f aca="false">IF(H2852="","Open",IF(H2852&lt;=INDEX(Assumptions!$C$15:$C$18,MATCH(E2852,Assumptions!$A$15:$A$18,0)),"Yes","No"))</f>
        <v>Yes</v>
      </c>
    </row>
    <row r="2853" customFormat="false" ht="15" hidden="false" customHeight="false" outlineLevel="0" collapsed="false">
      <c r="A2853" s="31" t="s">
        <v>3003</v>
      </c>
      <c r="B2853" s="44" t="n">
        <v>46244</v>
      </c>
      <c r="C2853" s="31" t="s">
        <v>57</v>
      </c>
      <c r="D2853" s="31" t="s">
        <v>66</v>
      </c>
      <c r="E2853" s="31" t="s">
        <v>50</v>
      </c>
      <c r="F2853" s="31" t="s">
        <v>123</v>
      </c>
      <c r="G2853" s="31" t="n">
        <v>6</v>
      </c>
      <c r="H2853" s="41" t="n">
        <v>7.5</v>
      </c>
      <c r="I2853" s="31" t="s">
        <v>149</v>
      </c>
      <c r="J2853" s="31" t="n">
        <v>5</v>
      </c>
      <c r="K2853" s="31" t="s">
        <v>150</v>
      </c>
      <c r="L2853" s="45" t="n">
        <f aca="false">DATE(YEAR(B2853),MONTH(B2853),1)</f>
        <v>46235</v>
      </c>
      <c r="M2853" s="31" t="n">
        <f aca="false">WEEKDAY(B2853,2)</f>
        <v>1</v>
      </c>
      <c r="N2853" s="31" t="str">
        <f aca="false">IF(G2853&lt;=INDEX(Assumptions!$B$15:$B$18,MATCH(E2853,Assumptions!$A$15:$A$18,0)),"Yes","No")</f>
        <v>Yes</v>
      </c>
      <c r="O2853" s="31" t="str">
        <f aca="false">IF(H2853="","Open",IF(H2853&lt;=INDEX(Assumptions!$C$15:$C$18,MATCH(E2853,Assumptions!$A$15:$A$18,0)),"Yes","No"))</f>
        <v>Yes</v>
      </c>
    </row>
    <row r="2854" customFormat="false" ht="15" hidden="false" customHeight="false" outlineLevel="0" collapsed="false">
      <c r="A2854" s="31" t="s">
        <v>3004</v>
      </c>
      <c r="B2854" s="44" t="n">
        <v>46244</v>
      </c>
      <c r="C2854" s="31" t="s">
        <v>59</v>
      </c>
      <c r="D2854" s="31" t="s">
        <v>67</v>
      </c>
      <c r="E2854" s="31" t="s">
        <v>51</v>
      </c>
      <c r="F2854" s="31" t="s">
        <v>119</v>
      </c>
      <c r="G2854" s="31" t="n">
        <v>391</v>
      </c>
      <c r="H2854" s="41" t="n">
        <v>6.6</v>
      </c>
      <c r="I2854" s="31" t="s">
        <v>149</v>
      </c>
      <c r="J2854" s="31"/>
      <c r="K2854" s="31" t="s">
        <v>150</v>
      </c>
      <c r="L2854" s="45" t="n">
        <f aca="false">DATE(YEAR(B2854),MONTH(B2854),1)</f>
        <v>46235</v>
      </c>
      <c r="M2854" s="31" t="n">
        <f aca="false">WEEKDAY(B2854,2)</f>
        <v>1</v>
      </c>
      <c r="N2854" s="31" t="str">
        <f aca="false">IF(G2854&lt;=INDEX(Assumptions!$B$15:$B$18,MATCH(E2854,Assumptions!$A$15:$A$18,0)),"Yes","No")</f>
        <v>No</v>
      </c>
      <c r="O2854" s="31" t="str">
        <f aca="false">IF(H2854="","Open",IF(H2854&lt;=INDEX(Assumptions!$C$15:$C$18,MATCH(E2854,Assumptions!$A$15:$A$18,0)),"Yes","No"))</f>
        <v>Yes</v>
      </c>
    </row>
    <row r="2855" customFormat="false" ht="15" hidden="false" customHeight="false" outlineLevel="0" collapsed="false">
      <c r="A2855" s="31" t="s">
        <v>3005</v>
      </c>
      <c r="B2855" s="44" t="n">
        <v>46244</v>
      </c>
      <c r="C2855" s="31" t="s">
        <v>59</v>
      </c>
      <c r="D2855" s="31" t="s">
        <v>67</v>
      </c>
      <c r="E2855" s="31" t="s">
        <v>52</v>
      </c>
      <c r="F2855" s="31" t="s">
        <v>127</v>
      </c>
      <c r="G2855" s="31" t="n">
        <v>99</v>
      </c>
      <c r="H2855" s="41" t="n">
        <v>55.7</v>
      </c>
      <c r="I2855" s="31" t="s">
        <v>149</v>
      </c>
      <c r="J2855" s="31"/>
      <c r="K2855" s="31" t="s">
        <v>150</v>
      </c>
      <c r="L2855" s="45" t="n">
        <f aca="false">DATE(YEAR(B2855),MONTH(B2855),1)</f>
        <v>46235</v>
      </c>
      <c r="M2855" s="31" t="n">
        <f aca="false">WEEKDAY(B2855,2)</f>
        <v>1</v>
      </c>
      <c r="N2855" s="31" t="str">
        <f aca="false">IF(G2855&lt;=INDEX(Assumptions!$B$15:$B$18,MATCH(E2855,Assumptions!$A$15:$A$18,0)),"Yes","No")</f>
        <v>Yes</v>
      </c>
      <c r="O2855" s="31" t="str">
        <f aca="false">IF(H2855="","Open",IF(H2855&lt;=INDEX(Assumptions!$C$15:$C$18,MATCH(E2855,Assumptions!$A$15:$A$18,0)),"Yes","No"))</f>
        <v>Yes</v>
      </c>
    </row>
    <row r="2856" customFormat="false" ht="15" hidden="false" customHeight="false" outlineLevel="0" collapsed="false">
      <c r="A2856" s="31" t="s">
        <v>3006</v>
      </c>
      <c r="B2856" s="44" t="n">
        <v>46244</v>
      </c>
      <c r="C2856" s="31" t="s">
        <v>59</v>
      </c>
      <c r="D2856" s="31" t="s">
        <v>68</v>
      </c>
      <c r="E2856" s="31" t="s">
        <v>51</v>
      </c>
      <c r="F2856" s="31" t="s">
        <v>133</v>
      </c>
      <c r="G2856" s="31" t="n">
        <v>40</v>
      </c>
      <c r="H2856" s="41" t="n">
        <v>4.4</v>
      </c>
      <c r="I2856" s="31" t="s">
        <v>149</v>
      </c>
      <c r="J2856" s="31" t="n">
        <v>5</v>
      </c>
      <c r="K2856" s="31" t="s">
        <v>150</v>
      </c>
      <c r="L2856" s="45" t="n">
        <f aca="false">DATE(YEAR(B2856),MONTH(B2856),1)</f>
        <v>46235</v>
      </c>
      <c r="M2856" s="31" t="n">
        <f aca="false">WEEKDAY(B2856,2)</f>
        <v>1</v>
      </c>
      <c r="N2856" s="31" t="str">
        <f aca="false">IF(G2856&lt;=INDEX(Assumptions!$B$15:$B$18,MATCH(E2856,Assumptions!$A$15:$A$18,0)),"Yes","No")</f>
        <v>Yes</v>
      </c>
      <c r="O2856" s="31" t="str">
        <f aca="false">IF(H2856="","Open",IF(H2856&lt;=INDEX(Assumptions!$C$15:$C$18,MATCH(E2856,Assumptions!$A$15:$A$18,0)),"Yes","No"))</f>
        <v>Yes</v>
      </c>
    </row>
    <row r="2857" customFormat="false" ht="15" hidden="false" customHeight="false" outlineLevel="0" collapsed="false">
      <c r="A2857" s="31" t="s">
        <v>3007</v>
      </c>
      <c r="B2857" s="44" t="n">
        <v>46244</v>
      </c>
      <c r="C2857" s="31" t="s">
        <v>59</v>
      </c>
      <c r="D2857" s="31" t="s">
        <v>68</v>
      </c>
      <c r="E2857" s="31" t="s">
        <v>52</v>
      </c>
      <c r="F2857" s="31" t="s">
        <v>119</v>
      </c>
      <c r="G2857" s="31" t="n">
        <v>272</v>
      </c>
      <c r="H2857" s="41" t="n">
        <v>7.9</v>
      </c>
      <c r="I2857" s="31" t="s">
        <v>149</v>
      </c>
      <c r="J2857" s="31"/>
      <c r="K2857" s="31" t="s">
        <v>150</v>
      </c>
      <c r="L2857" s="45" t="n">
        <f aca="false">DATE(YEAR(B2857),MONTH(B2857),1)</f>
        <v>46235</v>
      </c>
      <c r="M2857" s="31" t="n">
        <f aca="false">WEEKDAY(B2857,2)</f>
        <v>1</v>
      </c>
      <c r="N2857" s="31" t="str">
        <f aca="false">IF(G2857&lt;=INDEX(Assumptions!$B$15:$B$18,MATCH(E2857,Assumptions!$A$15:$A$18,0)),"Yes","No")</f>
        <v>No</v>
      </c>
      <c r="O2857" s="31" t="str">
        <f aca="false">IF(H2857="","Open",IF(H2857&lt;=INDEX(Assumptions!$C$15:$C$18,MATCH(E2857,Assumptions!$A$15:$A$18,0)),"Yes","No"))</f>
        <v>Yes</v>
      </c>
    </row>
    <row r="2858" customFormat="false" ht="15" hidden="false" customHeight="false" outlineLevel="0" collapsed="false">
      <c r="A2858" s="31" t="s">
        <v>3008</v>
      </c>
      <c r="B2858" s="44" t="n">
        <v>46244</v>
      </c>
      <c r="C2858" s="31" t="s">
        <v>60</v>
      </c>
      <c r="D2858" s="31" t="s">
        <v>68</v>
      </c>
      <c r="E2858" s="31" t="s">
        <v>51</v>
      </c>
      <c r="F2858" s="31" t="s">
        <v>128</v>
      </c>
      <c r="G2858" s="31" t="n">
        <v>2</v>
      </c>
      <c r="H2858" s="41" t="n">
        <v>7.5</v>
      </c>
      <c r="I2858" s="31" t="s">
        <v>149</v>
      </c>
      <c r="J2858" s="31"/>
      <c r="K2858" s="31" t="s">
        <v>150</v>
      </c>
      <c r="L2858" s="45" t="n">
        <f aca="false">DATE(YEAR(B2858),MONTH(B2858),1)</f>
        <v>46235</v>
      </c>
      <c r="M2858" s="31" t="n">
        <f aca="false">WEEKDAY(B2858,2)</f>
        <v>1</v>
      </c>
      <c r="N2858" s="31" t="str">
        <f aca="false">IF(G2858&lt;=INDEX(Assumptions!$B$15:$B$18,MATCH(E2858,Assumptions!$A$15:$A$18,0)),"Yes","No")</f>
        <v>Yes</v>
      </c>
      <c r="O2858" s="31" t="str">
        <f aca="false">IF(H2858="","Open",IF(H2858&lt;=INDEX(Assumptions!$C$15:$C$18,MATCH(E2858,Assumptions!$A$15:$A$18,0)),"Yes","No"))</f>
        <v>Yes</v>
      </c>
    </row>
    <row r="2859" customFormat="false" ht="15" hidden="false" customHeight="false" outlineLevel="0" collapsed="false">
      <c r="A2859" s="31" t="s">
        <v>3009</v>
      </c>
      <c r="B2859" s="44" t="n">
        <v>46244</v>
      </c>
      <c r="C2859" s="31" t="s">
        <v>59</v>
      </c>
      <c r="D2859" s="31" t="s">
        <v>69</v>
      </c>
      <c r="E2859" s="31" t="s">
        <v>52</v>
      </c>
      <c r="F2859" s="31" t="s">
        <v>136</v>
      </c>
      <c r="G2859" s="31" t="n">
        <v>200</v>
      </c>
      <c r="H2859" s="41" t="n">
        <v>20.8</v>
      </c>
      <c r="I2859" s="31" t="s">
        <v>149</v>
      </c>
      <c r="J2859" s="31" t="n">
        <v>4</v>
      </c>
      <c r="K2859" s="31" t="s">
        <v>150</v>
      </c>
      <c r="L2859" s="45" t="n">
        <f aca="false">DATE(YEAR(B2859),MONTH(B2859),1)</f>
        <v>46235</v>
      </c>
      <c r="M2859" s="31" t="n">
        <f aca="false">WEEKDAY(B2859,2)</f>
        <v>1</v>
      </c>
      <c r="N2859" s="31" t="str">
        <f aca="false">IF(G2859&lt;=INDEX(Assumptions!$B$15:$B$18,MATCH(E2859,Assumptions!$A$15:$A$18,0)),"Yes","No")</f>
        <v>Yes</v>
      </c>
      <c r="O2859" s="31" t="str">
        <f aca="false">IF(H2859="","Open",IF(H2859&lt;=INDEX(Assumptions!$C$15:$C$18,MATCH(E2859,Assumptions!$A$15:$A$18,0)),"Yes","No"))</f>
        <v>Yes</v>
      </c>
    </row>
    <row r="2860" customFormat="false" ht="15" hidden="false" customHeight="false" outlineLevel="0" collapsed="false">
      <c r="A2860" s="31" t="s">
        <v>3010</v>
      </c>
      <c r="B2860" s="44" t="n">
        <v>46244</v>
      </c>
      <c r="C2860" s="31" t="s">
        <v>57</v>
      </c>
      <c r="D2860" s="31" t="s">
        <v>68</v>
      </c>
      <c r="E2860" s="31" t="s">
        <v>51</v>
      </c>
      <c r="F2860" s="31" t="s">
        <v>131</v>
      </c>
      <c r="G2860" s="31" t="n">
        <v>12</v>
      </c>
      <c r="H2860" s="41" t="n">
        <v>2.1</v>
      </c>
      <c r="I2860" s="31" t="s">
        <v>149</v>
      </c>
      <c r="J2860" s="31" t="n">
        <v>5</v>
      </c>
      <c r="K2860" s="31" t="s">
        <v>150</v>
      </c>
      <c r="L2860" s="45" t="n">
        <f aca="false">DATE(YEAR(B2860),MONTH(B2860),1)</f>
        <v>46235</v>
      </c>
      <c r="M2860" s="31" t="n">
        <f aca="false">WEEKDAY(B2860,2)</f>
        <v>1</v>
      </c>
      <c r="N2860" s="31" t="str">
        <f aca="false">IF(G2860&lt;=INDEX(Assumptions!$B$15:$B$18,MATCH(E2860,Assumptions!$A$15:$A$18,0)),"Yes","No")</f>
        <v>Yes</v>
      </c>
      <c r="O2860" s="31" t="str">
        <f aca="false">IF(H2860="","Open",IF(H2860&lt;=INDEX(Assumptions!$C$15:$C$18,MATCH(E2860,Assumptions!$A$15:$A$18,0)),"Yes","No"))</f>
        <v>Yes</v>
      </c>
    </row>
    <row r="2861" customFormat="false" ht="15" hidden="false" customHeight="false" outlineLevel="0" collapsed="false">
      <c r="A2861" s="31" t="s">
        <v>3011</v>
      </c>
      <c r="B2861" s="44" t="n">
        <v>46244</v>
      </c>
      <c r="C2861" s="31" t="s">
        <v>60</v>
      </c>
      <c r="D2861" s="31" t="s">
        <v>67</v>
      </c>
      <c r="E2861" s="31" t="s">
        <v>52</v>
      </c>
      <c r="F2861" s="31" t="s">
        <v>127</v>
      </c>
      <c r="G2861" s="31" t="n">
        <v>8</v>
      </c>
      <c r="H2861" s="41"/>
      <c r="I2861" s="31" t="s">
        <v>158</v>
      </c>
      <c r="J2861" s="31"/>
      <c r="K2861" s="31" t="s">
        <v>150</v>
      </c>
      <c r="L2861" s="45" t="n">
        <f aca="false">DATE(YEAR(B2861),MONTH(B2861),1)</f>
        <v>46235</v>
      </c>
      <c r="M2861" s="31" t="n">
        <f aca="false">WEEKDAY(B2861,2)</f>
        <v>1</v>
      </c>
      <c r="N2861" s="31" t="str">
        <f aca="false">IF(G2861&lt;=INDEX(Assumptions!$B$15:$B$18,MATCH(E2861,Assumptions!$A$15:$A$18,0)),"Yes","No")</f>
        <v>Yes</v>
      </c>
      <c r="O2861" s="31" t="str">
        <f aca="false">IF(H2861="","Open",IF(H2861&lt;=INDEX(Assumptions!$C$15:$C$18,MATCH(E2861,Assumptions!$A$15:$A$18,0)),"Yes","No"))</f>
        <v>Open</v>
      </c>
    </row>
    <row r="2862" customFormat="false" ht="15" hidden="false" customHeight="false" outlineLevel="0" collapsed="false">
      <c r="A2862" s="31" t="s">
        <v>3012</v>
      </c>
      <c r="B2862" s="44" t="n">
        <v>46244</v>
      </c>
      <c r="C2862" s="31" t="s">
        <v>60</v>
      </c>
      <c r="D2862" s="31" t="s">
        <v>65</v>
      </c>
      <c r="E2862" s="31" t="s">
        <v>52</v>
      </c>
      <c r="F2862" s="31" t="s">
        <v>136</v>
      </c>
      <c r="G2862" s="31" t="n">
        <v>5</v>
      </c>
      <c r="H2862" s="41" t="n">
        <v>19.2</v>
      </c>
      <c r="I2862" s="31" t="s">
        <v>149</v>
      </c>
      <c r="J2862" s="31"/>
      <c r="K2862" s="31" t="s">
        <v>150</v>
      </c>
      <c r="L2862" s="45" t="n">
        <f aca="false">DATE(YEAR(B2862),MONTH(B2862),1)</f>
        <v>46235</v>
      </c>
      <c r="M2862" s="31" t="n">
        <f aca="false">WEEKDAY(B2862,2)</f>
        <v>1</v>
      </c>
      <c r="N2862" s="31" t="str">
        <f aca="false">IF(G2862&lt;=INDEX(Assumptions!$B$15:$B$18,MATCH(E2862,Assumptions!$A$15:$A$18,0)),"Yes","No")</f>
        <v>Yes</v>
      </c>
      <c r="O2862" s="31" t="str">
        <f aca="false">IF(H2862="","Open",IF(H2862&lt;=INDEX(Assumptions!$C$15:$C$18,MATCH(E2862,Assumptions!$A$15:$A$18,0)),"Yes","No"))</f>
        <v>Yes</v>
      </c>
    </row>
    <row r="2863" customFormat="false" ht="15" hidden="false" customHeight="false" outlineLevel="0" collapsed="false">
      <c r="A2863" s="31" t="s">
        <v>3013</v>
      </c>
      <c r="B2863" s="44" t="n">
        <v>46244</v>
      </c>
      <c r="C2863" s="31" t="s">
        <v>59</v>
      </c>
      <c r="D2863" s="31" t="s">
        <v>65</v>
      </c>
      <c r="E2863" s="31" t="s">
        <v>50</v>
      </c>
      <c r="F2863" s="31" t="s">
        <v>136</v>
      </c>
      <c r="G2863" s="31" t="n">
        <v>105</v>
      </c>
      <c r="H2863" s="41" t="n">
        <v>30.1</v>
      </c>
      <c r="I2863" s="31" t="s">
        <v>64</v>
      </c>
      <c r="J2863" s="31"/>
      <c r="K2863" s="31" t="s">
        <v>150</v>
      </c>
      <c r="L2863" s="45" t="n">
        <f aca="false">DATE(YEAR(B2863),MONTH(B2863),1)</f>
        <v>46235</v>
      </c>
      <c r="M2863" s="31" t="n">
        <f aca="false">WEEKDAY(B2863,2)</f>
        <v>1</v>
      </c>
      <c r="N2863" s="31" t="str">
        <f aca="false">IF(G2863&lt;=INDEX(Assumptions!$B$15:$B$18,MATCH(E2863,Assumptions!$A$15:$A$18,0)),"Yes","No")</f>
        <v>No</v>
      </c>
      <c r="O2863" s="31" t="str">
        <f aca="false">IF(H2863="","Open",IF(H2863&lt;=INDEX(Assumptions!$C$15:$C$18,MATCH(E2863,Assumptions!$A$15:$A$18,0)),"Yes","No"))</f>
        <v>No</v>
      </c>
    </row>
    <row r="2864" customFormat="false" ht="15" hidden="false" customHeight="false" outlineLevel="0" collapsed="false">
      <c r="A2864" s="31" t="s">
        <v>3014</v>
      </c>
      <c r="B2864" s="44" t="n">
        <v>46244</v>
      </c>
      <c r="C2864" s="31" t="s">
        <v>60</v>
      </c>
      <c r="D2864" s="31" t="s">
        <v>66</v>
      </c>
      <c r="E2864" s="31" t="s">
        <v>51</v>
      </c>
      <c r="F2864" s="31" t="s">
        <v>136</v>
      </c>
      <c r="G2864" s="31" t="n">
        <v>1</v>
      </c>
      <c r="H2864" s="41" t="n">
        <v>7.2</v>
      </c>
      <c r="I2864" s="31" t="s">
        <v>149</v>
      </c>
      <c r="J2864" s="31" t="n">
        <v>5</v>
      </c>
      <c r="K2864" s="31" t="s">
        <v>150</v>
      </c>
      <c r="L2864" s="45" t="n">
        <f aca="false">DATE(YEAR(B2864),MONTH(B2864),1)</f>
        <v>46235</v>
      </c>
      <c r="M2864" s="31" t="n">
        <f aca="false">WEEKDAY(B2864,2)</f>
        <v>1</v>
      </c>
      <c r="N2864" s="31" t="str">
        <f aca="false">IF(G2864&lt;=INDEX(Assumptions!$B$15:$B$18,MATCH(E2864,Assumptions!$A$15:$A$18,0)),"Yes","No")</f>
        <v>Yes</v>
      </c>
      <c r="O2864" s="31" t="str">
        <f aca="false">IF(H2864="","Open",IF(H2864&lt;=INDEX(Assumptions!$C$15:$C$18,MATCH(E2864,Assumptions!$A$15:$A$18,0)),"Yes","No"))</f>
        <v>Yes</v>
      </c>
    </row>
    <row r="2865" customFormat="false" ht="15" hidden="false" customHeight="false" outlineLevel="0" collapsed="false">
      <c r="A2865" s="31" t="s">
        <v>3015</v>
      </c>
      <c r="B2865" s="44" t="n">
        <v>46244</v>
      </c>
      <c r="C2865" s="31" t="s">
        <v>59</v>
      </c>
      <c r="D2865" s="31" t="s">
        <v>67</v>
      </c>
      <c r="E2865" s="31" t="s">
        <v>52</v>
      </c>
      <c r="F2865" s="31" t="s">
        <v>136</v>
      </c>
      <c r="G2865" s="31" t="n">
        <v>56</v>
      </c>
      <c r="H2865" s="41" t="n">
        <v>20.2</v>
      </c>
      <c r="I2865" s="31" t="s">
        <v>149</v>
      </c>
      <c r="J2865" s="31"/>
      <c r="K2865" s="31" t="s">
        <v>150</v>
      </c>
      <c r="L2865" s="45" t="n">
        <f aca="false">DATE(YEAR(B2865),MONTH(B2865),1)</f>
        <v>46235</v>
      </c>
      <c r="M2865" s="31" t="n">
        <f aca="false">WEEKDAY(B2865,2)</f>
        <v>1</v>
      </c>
      <c r="N2865" s="31" t="str">
        <f aca="false">IF(G2865&lt;=INDEX(Assumptions!$B$15:$B$18,MATCH(E2865,Assumptions!$A$15:$A$18,0)),"Yes","No")</f>
        <v>Yes</v>
      </c>
      <c r="O2865" s="31" t="str">
        <f aca="false">IF(H2865="","Open",IF(H2865&lt;=INDEX(Assumptions!$C$15:$C$18,MATCH(E2865,Assumptions!$A$15:$A$18,0)),"Yes","No"))</f>
        <v>Yes</v>
      </c>
    </row>
    <row r="2866" customFormat="false" ht="15" hidden="false" customHeight="false" outlineLevel="0" collapsed="false">
      <c r="A2866" s="31" t="s">
        <v>3016</v>
      </c>
      <c r="B2866" s="44" t="n">
        <v>46244</v>
      </c>
      <c r="C2866" s="31" t="s">
        <v>60</v>
      </c>
      <c r="D2866" s="31" t="s">
        <v>66</v>
      </c>
      <c r="E2866" s="31" t="s">
        <v>50</v>
      </c>
      <c r="F2866" s="31" t="s">
        <v>134</v>
      </c>
      <c r="G2866" s="31" t="n">
        <v>2</v>
      </c>
      <c r="H2866" s="41" t="n">
        <v>8.1</v>
      </c>
      <c r="I2866" s="31" t="s">
        <v>149</v>
      </c>
      <c r="J2866" s="31" t="n">
        <v>3</v>
      </c>
      <c r="K2866" s="31" t="s">
        <v>153</v>
      </c>
      <c r="L2866" s="45" t="n">
        <f aca="false">DATE(YEAR(B2866),MONTH(B2866),1)</f>
        <v>46235</v>
      </c>
      <c r="M2866" s="31" t="n">
        <f aca="false">WEEKDAY(B2866,2)</f>
        <v>1</v>
      </c>
      <c r="N2866" s="31" t="str">
        <f aca="false">IF(G2866&lt;=INDEX(Assumptions!$B$15:$B$18,MATCH(E2866,Assumptions!$A$15:$A$18,0)),"Yes","No")</f>
        <v>Yes</v>
      </c>
      <c r="O2866" s="31" t="str">
        <f aca="false">IF(H2866="","Open",IF(H2866&lt;=INDEX(Assumptions!$C$15:$C$18,MATCH(E2866,Assumptions!$A$15:$A$18,0)),"Yes","No"))</f>
        <v>No</v>
      </c>
    </row>
    <row r="2867" customFormat="false" ht="15" hidden="false" customHeight="false" outlineLevel="0" collapsed="false">
      <c r="A2867" s="31" t="s">
        <v>3017</v>
      </c>
      <c r="B2867" s="44" t="n">
        <v>46244</v>
      </c>
      <c r="C2867" s="31" t="s">
        <v>57</v>
      </c>
      <c r="D2867" s="31" t="s">
        <v>67</v>
      </c>
      <c r="E2867" s="31" t="s">
        <v>49</v>
      </c>
      <c r="F2867" s="31" t="s">
        <v>130</v>
      </c>
      <c r="G2867" s="31" t="n">
        <v>3</v>
      </c>
      <c r="H2867" s="41" t="n">
        <v>7</v>
      </c>
      <c r="I2867" s="31" t="s">
        <v>149</v>
      </c>
      <c r="J2867" s="31" t="n">
        <v>4</v>
      </c>
      <c r="K2867" s="31" t="s">
        <v>153</v>
      </c>
      <c r="L2867" s="45" t="n">
        <f aca="false">DATE(YEAR(B2867),MONTH(B2867),1)</f>
        <v>46235</v>
      </c>
      <c r="M2867" s="31" t="n">
        <f aca="false">WEEKDAY(B2867,2)</f>
        <v>1</v>
      </c>
      <c r="N2867" s="31" t="str">
        <f aca="false">IF(G2867&lt;=INDEX(Assumptions!$B$15:$B$18,MATCH(E2867,Assumptions!$A$15:$A$18,0)),"Yes","No")</f>
        <v>Yes</v>
      </c>
      <c r="O2867" s="31" t="str">
        <f aca="false">IF(H2867="","Open",IF(H2867&lt;=INDEX(Assumptions!$C$15:$C$18,MATCH(E2867,Assumptions!$A$15:$A$18,0)),"Yes","No"))</f>
        <v>No</v>
      </c>
    </row>
    <row r="2868" customFormat="false" ht="15" hidden="false" customHeight="false" outlineLevel="0" collapsed="false">
      <c r="A2868" s="31" t="s">
        <v>3018</v>
      </c>
      <c r="B2868" s="44" t="n">
        <v>46244</v>
      </c>
      <c r="C2868" s="31" t="s">
        <v>58</v>
      </c>
      <c r="D2868" s="31" t="s">
        <v>69</v>
      </c>
      <c r="E2868" s="31" t="s">
        <v>52</v>
      </c>
      <c r="F2868" s="31" t="s">
        <v>130</v>
      </c>
      <c r="G2868" s="31" t="n">
        <v>56</v>
      </c>
      <c r="H2868" s="41" t="n">
        <v>39.7</v>
      </c>
      <c r="I2868" s="31" t="s">
        <v>64</v>
      </c>
      <c r="J2868" s="31"/>
      <c r="K2868" s="31" t="s">
        <v>150</v>
      </c>
      <c r="L2868" s="45" t="n">
        <f aca="false">DATE(YEAR(B2868),MONTH(B2868),1)</f>
        <v>46235</v>
      </c>
      <c r="M2868" s="31" t="n">
        <f aca="false">WEEKDAY(B2868,2)</f>
        <v>1</v>
      </c>
      <c r="N2868" s="31" t="str">
        <f aca="false">IF(G2868&lt;=INDEX(Assumptions!$B$15:$B$18,MATCH(E2868,Assumptions!$A$15:$A$18,0)),"Yes","No")</f>
        <v>Yes</v>
      </c>
      <c r="O2868" s="31" t="str">
        <f aca="false">IF(H2868="","Open",IF(H2868&lt;=INDEX(Assumptions!$C$15:$C$18,MATCH(E2868,Assumptions!$A$15:$A$18,0)),"Yes","No"))</f>
        <v>Yes</v>
      </c>
    </row>
    <row r="2869" customFormat="false" ht="15" hidden="false" customHeight="false" outlineLevel="0" collapsed="false">
      <c r="A2869" s="31" t="s">
        <v>3019</v>
      </c>
      <c r="B2869" s="44" t="n">
        <v>46244</v>
      </c>
      <c r="C2869" s="31" t="s">
        <v>59</v>
      </c>
      <c r="D2869" s="31" t="s">
        <v>67</v>
      </c>
      <c r="E2869" s="31" t="s">
        <v>51</v>
      </c>
      <c r="F2869" s="31" t="s">
        <v>131</v>
      </c>
      <c r="G2869" s="31" t="n">
        <v>86</v>
      </c>
      <c r="H2869" s="41" t="n">
        <v>4.9</v>
      </c>
      <c r="I2869" s="31" t="s">
        <v>149</v>
      </c>
      <c r="J2869" s="31" t="n">
        <v>4</v>
      </c>
      <c r="K2869" s="31" t="s">
        <v>150</v>
      </c>
      <c r="L2869" s="45" t="n">
        <f aca="false">DATE(YEAR(B2869),MONTH(B2869),1)</f>
        <v>46235</v>
      </c>
      <c r="M2869" s="31" t="n">
        <f aca="false">WEEKDAY(B2869,2)</f>
        <v>1</v>
      </c>
      <c r="N2869" s="31" t="str">
        <f aca="false">IF(G2869&lt;=INDEX(Assumptions!$B$15:$B$18,MATCH(E2869,Assumptions!$A$15:$A$18,0)),"Yes","No")</f>
        <v>No</v>
      </c>
      <c r="O2869" s="31" t="str">
        <f aca="false">IF(H2869="","Open",IF(H2869&lt;=INDEX(Assumptions!$C$15:$C$18,MATCH(E2869,Assumptions!$A$15:$A$18,0)),"Yes","No"))</f>
        <v>Yes</v>
      </c>
    </row>
    <row r="2870" customFormat="false" ht="15" hidden="false" customHeight="false" outlineLevel="0" collapsed="false">
      <c r="A2870" s="31" t="s">
        <v>3020</v>
      </c>
      <c r="B2870" s="44" t="n">
        <v>46244</v>
      </c>
      <c r="C2870" s="31" t="s">
        <v>58</v>
      </c>
      <c r="D2870" s="31" t="s">
        <v>69</v>
      </c>
      <c r="E2870" s="31" t="s">
        <v>51</v>
      </c>
      <c r="F2870" s="31" t="s">
        <v>129</v>
      </c>
      <c r="G2870" s="31" t="n">
        <v>7</v>
      </c>
      <c r="H2870" s="41" t="n">
        <v>14.1</v>
      </c>
      <c r="I2870" s="31" t="s">
        <v>149</v>
      </c>
      <c r="J2870" s="31"/>
      <c r="K2870" s="31" t="s">
        <v>150</v>
      </c>
      <c r="L2870" s="45" t="n">
        <f aca="false">DATE(YEAR(B2870),MONTH(B2870),1)</f>
        <v>46235</v>
      </c>
      <c r="M2870" s="31" t="n">
        <f aca="false">WEEKDAY(B2870,2)</f>
        <v>1</v>
      </c>
      <c r="N2870" s="31" t="str">
        <f aca="false">IF(G2870&lt;=INDEX(Assumptions!$B$15:$B$18,MATCH(E2870,Assumptions!$A$15:$A$18,0)),"Yes","No")</f>
        <v>Yes</v>
      </c>
      <c r="O2870" s="31" t="str">
        <f aca="false">IF(H2870="","Open",IF(H2870&lt;=INDEX(Assumptions!$C$15:$C$18,MATCH(E2870,Assumptions!$A$15:$A$18,0)),"Yes","No"))</f>
        <v>Yes</v>
      </c>
    </row>
    <row r="2871" customFormat="false" ht="15" hidden="false" customHeight="false" outlineLevel="0" collapsed="false">
      <c r="A2871" s="31" t="s">
        <v>3021</v>
      </c>
      <c r="B2871" s="44" t="n">
        <v>46244</v>
      </c>
      <c r="C2871" s="31" t="s">
        <v>58</v>
      </c>
      <c r="D2871" s="31" t="s">
        <v>65</v>
      </c>
      <c r="E2871" s="31" t="s">
        <v>50</v>
      </c>
      <c r="F2871" s="31" t="s">
        <v>127</v>
      </c>
      <c r="G2871" s="31" t="n">
        <v>20</v>
      </c>
      <c r="H2871" s="41" t="n">
        <v>2.7</v>
      </c>
      <c r="I2871" s="31" t="s">
        <v>149</v>
      </c>
      <c r="J2871" s="31" t="n">
        <v>5</v>
      </c>
      <c r="K2871" s="31" t="s">
        <v>150</v>
      </c>
      <c r="L2871" s="45" t="n">
        <f aca="false">DATE(YEAR(B2871),MONTH(B2871),1)</f>
        <v>46235</v>
      </c>
      <c r="M2871" s="31" t="n">
        <f aca="false">WEEKDAY(B2871,2)</f>
        <v>1</v>
      </c>
      <c r="N2871" s="31" t="str">
        <f aca="false">IF(G2871&lt;=INDEX(Assumptions!$B$15:$B$18,MATCH(E2871,Assumptions!$A$15:$A$18,0)),"Yes","No")</f>
        <v>Yes</v>
      </c>
      <c r="O2871" s="31" t="str">
        <f aca="false">IF(H2871="","Open",IF(H2871&lt;=INDEX(Assumptions!$C$15:$C$18,MATCH(E2871,Assumptions!$A$15:$A$18,0)),"Yes","No"))</f>
        <v>Yes</v>
      </c>
    </row>
    <row r="2872" customFormat="false" ht="15" hidden="false" customHeight="false" outlineLevel="0" collapsed="false">
      <c r="A2872" s="31" t="s">
        <v>3022</v>
      </c>
      <c r="B2872" s="44" t="n">
        <v>46244</v>
      </c>
      <c r="C2872" s="31" t="s">
        <v>59</v>
      </c>
      <c r="D2872" s="31" t="s">
        <v>65</v>
      </c>
      <c r="E2872" s="31" t="s">
        <v>50</v>
      </c>
      <c r="F2872" s="31" t="s">
        <v>131</v>
      </c>
      <c r="G2872" s="31" t="n">
        <v>220</v>
      </c>
      <c r="H2872" s="41" t="n">
        <v>11.3</v>
      </c>
      <c r="I2872" s="31" t="s">
        <v>149</v>
      </c>
      <c r="J2872" s="31"/>
      <c r="K2872" s="31" t="s">
        <v>150</v>
      </c>
      <c r="L2872" s="45" t="n">
        <f aca="false">DATE(YEAR(B2872),MONTH(B2872),1)</f>
        <v>46235</v>
      </c>
      <c r="M2872" s="31" t="n">
        <f aca="false">WEEKDAY(B2872,2)</f>
        <v>1</v>
      </c>
      <c r="N2872" s="31" t="str">
        <f aca="false">IF(G2872&lt;=INDEX(Assumptions!$B$15:$B$18,MATCH(E2872,Assumptions!$A$15:$A$18,0)),"Yes","No")</f>
        <v>No</v>
      </c>
      <c r="O2872" s="31" t="str">
        <f aca="false">IF(H2872="","Open",IF(H2872&lt;=INDEX(Assumptions!$C$15:$C$18,MATCH(E2872,Assumptions!$A$15:$A$18,0)),"Yes","No"))</f>
        <v>No</v>
      </c>
    </row>
    <row r="2873" customFormat="false" ht="15" hidden="false" customHeight="false" outlineLevel="0" collapsed="false">
      <c r="A2873" s="31" t="s">
        <v>3023</v>
      </c>
      <c r="B2873" s="44" t="n">
        <v>46244</v>
      </c>
      <c r="C2873" s="31" t="s">
        <v>57</v>
      </c>
      <c r="D2873" s="31" t="s">
        <v>69</v>
      </c>
      <c r="E2873" s="31" t="s">
        <v>51</v>
      </c>
      <c r="F2873" s="31" t="s">
        <v>117</v>
      </c>
      <c r="G2873" s="31" t="n">
        <v>11</v>
      </c>
      <c r="H2873" s="41" t="n">
        <v>6.3</v>
      </c>
      <c r="I2873" s="31" t="s">
        <v>149</v>
      </c>
      <c r="J2873" s="31"/>
      <c r="K2873" s="31" t="s">
        <v>150</v>
      </c>
      <c r="L2873" s="45" t="n">
        <f aca="false">DATE(YEAR(B2873),MONTH(B2873),1)</f>
        <v>46235</v>
      </c>
      <c r="M2873" s="31" t="n">
        <f aca="false">WEEKDAY(B2873,2)</f>
        <v>1</v>
      </c>
      <c r="N2873" s="31" t="str">
        <f aca="false">IF(G2873&lt;=INDEX(Assumptions!$B$15:$B$18,MATCH(E2873,Assumptions!$A$15:$A$18,0)),"Yes","No")</f>
        <v>Yes</v>
      </c>
      <c r="O2873" s="31" t="str">
        <f aca="false">IF(H2873="","Open",IF(H2873&lt;=INDEX(Assumptions!$C$15:$C$18,MATCH(E2873,Assumptions!$A$15:$A$18,0)),"Yes","No"))</f>
        <v>Yes</v>
      </c>
    </row>
    <row r="2874" customFormat="false" ht="15" hidden="false" customHeight="false" outlineLevel="0" collapsed="false">
      <c r="A2874" s="31" t="s">
        <v>3024</v>
      </c>
      <c r="B2874" s="44" t="n">
        <v>46244</v>
      </c>
      <c r="C2874" s="31" t="s">
        <v>58</v>
      </c>
      <c r="D2874" s="31" t="s">
        <v>66</v>
      </c>
      <c r="E2874" s="31" t="s">
        <v>51</v>
      </c>
      <c r="F2874" s="31" t="s">
        <v>121</v>
      </c>
      <c r="G2874" s="31" t="n">
        <v>9</v>
      </c>
      <c r="H2874" s="41" t="n">
        <v>3.4</v>
      </c>
      <c r="I2874" s="31" t="s">
        <v>149</v>
      </c>
      <c r="J2874" s="31"/>
      <c r="K2874" s="31" t="s">
        <v>150</v>
      </c>
      <c r="L2874" s="45" t="n">
        <f aca="false">DATE(YEAR(B2874),MONTH(B2874),1)</f>
        <v>46235</v>
      </c>
      <c r="M2874" s="31" t="n">
        <f aca="false">WEEKDAY(B2874,2)</f>
        <v>1</v>
      </c>
      <c r="N2874" s="31" t="str">
        <f aca="false">IF(G2874&lt;=INDEX(Assumptions!$B$15:$B$18,MATCH(E2874,Assumptions!$A$15:$A$18,0)),"Yes","No")</f>
        <v>Yes</v>
      </c>
      <c r="O2874" s="31" t="str">
        <f aca="false">IF(H2874="","Open",IF(H2874&lt;=INDEX(Assumptions!$C$15:$C$18,MATCH(E2874,Assumptions!$A$15:$A$18,0)),"Yes","No"))</f>
        <v>Yes</v>
      </c>
    </row>
    <row r="2875" customFormat="false" ht="15" hidden="false" customHeight="false" outlineLevel="0" collapsed="false">
      <c r="A2875" s="31" t="s">
        <v>3025</v>
      </c>
      <c r="B2875" s="44" t="n">
        <v>46244</v>
      </c>
      <c r="C2875" s="31" t="s">
        <v>59</v>
      </c>
      <c r="D2875" s="31" t="s">
        <v>67</v>
      </c>
      <c r="E2875" s="31" t="s">
        <v>51</v>
      </c>
      <c r="F2875" s="31" t="s">
        <v>130</v>
      </c>
      <c r="G2875" s="31" t="n">
        <v>23</v>
      </c>
      <c r="H2875" s="41" t="n">
        <v>25.7</v>
      </c>
      <c r="I2875" s="31" t="s">
        <v>149</v>
      </c>
      <c r="J2875" s="31" t="n">
        <v>4</v>
      </c>
      <c r="K2875" s="31" t="s">
        <v>150</v>
      </c>
      <c r="L2875" s="45" t="n">
        <f aca="false">DATE(YEAR(B2875),MONTH(B2875),1)</f>
        <v>46235</v>
      </c>
      <c r="M2875" s="31" t="n">
        <f aca="false">WEEKDAY(B2875,2)</f>
        <v>1</v>
      </c>
      <c r="N2875" s="31" t="str">
        <f aca="false">IF(G2875&lt;=INDEX(Assumptions!$B$15:$B$18,MATCH(E2875,Assumptions!$A$15:$A$18,0)),"Yes","No")</f>
        <v>Yes</v>
      </c>
      <c r="O2875" s="31" t="str">
        <f aca="false">IF(H2875="","Open",IF(H2875&lt;=INDEX(Assumptions!$C$15:$C$18,MATCH(E2875,Assumptions!$A$15:$A$18,0)),"Yes","No"))</f>
        <v>No</v>
      </c>
    </row>
    <row r="2876" customFormat="false" ht="15" hidden="false" customHeight="false" outlineLevel="0" collapsed="false">
      <c r="A2876" s="31" t="s">
        <v>3026</v>
      </c>
      <c r="B2876" s="44" t="n">
        <v>46244</v>
      </c>
      <c r="C2876" s="31" t="s">
        <v>57</v>
      </c>
      <c r="D2876" s="31" t="s">
        <v>67</v>
      </c>
      <c r="E2876" s="31" t="s">
        <v>52</v>
      </c>
      <c r="F2876" s="31" t="s">
        <v>122</v>
      </c>
      <c r="G2876" s="31" t="n">
        <v>2</v>
      </c>
      <c r="H2876" s="41" t="n">
        <v>144.4</v>
      </c>
      <c r="I2876" s="31" t="s">
        <v>149</v>
      </c>
      <c r="J2876" s="31"/>
      <c r="K2876" s="31" t="s">
        <v>150</v>
      </c>
      <c r="L2876" s="45" t="n">
        <f aca="false">DATE(YEAR(B2876),MONTH(B2876),1)</f>
        <v>46235</v>
      </c>
      <c r="M2876" s="31" t="n">
        <f aca="false">WEEKDAY(B2876,2)</f>
        <v>1</v>
      </c>
      <c r="N2876" s="31" t="str">
        <f aca="false">IF(G2876&lt;=INDEX(Assumptions!$B$15:$B$18,MATCH(E2876,Assumptions!$A$15:$A$18,0)),"Yes","No")</f>
        <v>Yes</v>
      </c>
      <c r="O2876" s="31" t="str">
        <f aca="false">IF(H2876="","Open",IF(H2876&lt;=INDEX(Assumptions!$C$15:$C$18,MATCH(E2876,Assumptions!$A$15:$A$18,0)),"Yes","No"))</f>
        <v>No</v>
      </c>
    </row>
    <row r="2877" customFormat="false" ht="15" hidden="false" customHeight="false" outlineLevel="0" collapsed="false">
      <c r="A2877" s="31" t="s">
        <v>3027</v>
      </c>
      <c r="B2877" s="44" t="n">
        <v>46244</v>
      </c>
      <c r="C2877" s="31" t="s">
        <v>57</v>
      </c>
      <c r="D2877" s="31" t="s">
        <v>69</v>
      </c>
      <c r="E2877" s="31" t="s">
        <v>51</v>
      </c>
      <c r="F2877" s="31" t="s">
        <v>131</v>
      </c>
      <c r="G2877" s="31" t="n">
        <v>5</v>
      </c>
      <c r="H2877" s="41" t="n">
        <v>12.1</v>
      </c>
      <c r="I2877" s="31" t="s">
        <v>149</v>
      </c>
      <c r="J2877" s="31"/>
      <c r="K2877" s="31" t="s">
        <v>150</v>
      </c>
      <c r="L2877" s="45" t="n">
        <f aca="false">DATE(YEAR(B2877),MONTH(B2877),1)</f>
        <v>46235</v>
      </c>
      <c r="M2877" s="31" t="n">
        <f aca="false">WEEKDAY(B2877,2)</f>
        <v>1</v>
      </c>
      <c r="N2877" s="31" t="str">
        <f aca="false">IF(G2877&lt;=INDEX(Assumptions!$B$15:$B$18,MATCH(E2877,Assumptions!$A$15:$A$18,0)),"Yes","No")</f>
        <v>Yes</v>
      </c>
      <c r="O2877" s="31" t="str">
        <f aca="false">IF(H2877="","Open",IF(H2877&lt;=INDEX(Assumptions!$C$15:$C$18,MATCH(E2877,Assumptions!$A$15:$A$18,0)),"Yes","No"))</f>
        <v>Yes</v>
      </c>
    </row>
    <row r="2878" customFormat="false" ht="15" hidden="false" customHeight="false" outlineLevel="0" collapsed="false">
      <c r="A2878" s="31" t="s">
        <v>3028</v>
      </c>
      <c r="B2878" s="44" t="n">
        <v>46244</v>
      </c>
      <c r="C2878" s="31" t="s">
        <v>59</v>
      </c>
      <c r="D2878" s="31" t="s">
        <v>65</v>
      </c>
      <c r="E2878" s="31" t="s">
        <v>52</v>
      </c>
      <c r="F2878" s="31" t="s">
        <v>136</v>
      </c>
      <c r="G2878" s="31" t="n">
        <v>158</v>
      </c>
      <c r="H2878" s="41" t="n">
        <v>39.4</v>
      </c>
      <c r="I2878" s="31" t="s">
        <v>149</v>
      </c>
      <c r="J2878" s="31" t="n">
        <v>4</v>
      </c>
      <c r="K2878" s="31" t="s">
        <v>150</v>
      </c>
      <c r="L2878" s="45" t="n">
        <f aca="false">DATE(YEAR(B2878),MONTH(B2878),1)</f>
        <v>46235</v>
      </c>
      <c r="M2878" s="31" t="n">
        <f aca="false">WEEKDAY(B2878,2)</f>
        <v>1</v>
      </c>
      <c r="N2878" s="31" t="str">
        <f aca="false">IF(G2878&lt;=INDEX(Assumptions!$B$15:$B$18,MATCH(E2878,Assumptions!$A$15:$A$18,0)),"Yes","No")</f>
        <v>Yes</v>
      </c>
      <c r="O2878" s="31" t="str">
        <f aca="false">IF(H2878="","Open",IF(H2878&lt;=INDEX(Assumptions!$C$15:$C$18,MATCH(E2878,Assumptions!$A$15:$A$18,0)),"Yes","No"))</f>
        <v>Yes</v>
      </c>
    </row>
    <row r="2879" customFormat="false" ht="15" hidden="false" customHeight="false" outlineLevel="0" collapsed="false">
      <c r="A2879" s="31" t="s">
        <v>3029</v>
      </c>
      <c r="B2879" s="44" t="n">
        <v>46244</v>
      </c>
      <c r="C2879" s="31" t="s">
        <v>59</v>
      </c>
      <c r="D2879" s="31" t="s">
        <v>66</v>
      </c>
      <c r="E2879" s="31" t="s">
        <v>52</v>
      </c>
      <c r="F2879" s="31" t="s">
        <v>121</v>
      </c>
      <c r="G2879" s="31" t="n">
        <v>58</v>
      </c>
      <c r="H2879" s="41" t="n">
        <v>6.4</v>
      </c>
      <c r="I2879" s="31" t="s">
        <v>149</v>
      </c>
      <c r="J2879" s="31" t="n">
        <v>3</v>
      </c>
      <c r="K2879" s="31" t="s">
        <v>150</v>
      </c>
      <c r="L2879" s="45" t="n">
        <f aca="false">DATE(YEAR(B2879),MONTH(B2879),1)</f>
        <v>46235</v>
      </c>
      <c r="M2879" s="31" t="n">
        <f aca="false">WEEKDAY(B2879,2)</f>
        <v>1</v>
      </c>
      <c r="N2879" s="31" t="str">
        <f aca="false">IF(G2879&lt;=INDEX(Assumptions!$B$15:$B$18,MATCH(E2879,Assumptions!$A$15:$A$18,0)),"Yes","No")</f>
        <v>Yes</v>
      </c>
      <c r="O2879" s="31" t="str">
        <f aca="false">IF(H2879="","Open",IF(H2879&lt;=INDEX(Assumptions!$C$15:$C$18,MATCH(E2879,Assumptions!$A$15:$A$18,0)),"Yes","No"))</f>
        <v>Yes</v>
      </c>
    </row>
    <row r="2880" customFormat="false" ht="15" hidden="false" customHeight="false" outlineLevel="0" collapsed="false">
      <c r="A2880" s="31" t="s">
        <v>3030</v>
      </c>
      <c r="B2880" s="44" t="n">
        <v>46244</v>
      </c>
      <c r="C2880" s="31" t="s">
        <v>57</v>
      </c>
      <c r="D2880" s="31" t="s">
        <v>67</v>
      </c>
      <c r="E2880" s="31" t="s">
        <v>51</v>
      </c>
      <c r="F2880" s="31" t="s">
        <v>119</v>
      </c>
      <c r="G2880" s="31" t="n">
        <v>6</v>
      </c>
      <c r="H2880" s="41" t="n">
        <v>48</v>
      </c>
      <c r="I2880" s="31" t="s">
        <v>149</v>
      </c>
      <c r="J2880" s="31"/>
      <c r="K2880" s="31" t="s">
        <v>150</v>
      </c>
      <c r="L2880" s="45" t="n">
        <f aca="false">DATE(YEAR(B2880),MONTH(B2880),1)</f>
        <v>46235</v>
      </c>
      <c r="M2880" s="31" t="n">
        <f aca="false">WEEKDAY(B2880,2)</f>
        <v>1</v>
      </c>
      <c r="N2880" s="31" t="str">
        <f aca="false">IF(G2880&lt;=INDEX(Assumptions!$B$15:$B$18,MATCH(E2880,Assumptions!$A$15:$A$18,0)),"Yes","No")</f>
        <v>Yes</v>
      </c>
      <c r="O2880" s="31" t="str">
        <f aca="false">IF(H2880="","Open",IF(H2880&lt;=INDEX(Assumptions!$C$15:$C$18,MATCH(E2880,Assumptions!$A$15:$A$18,0)),"Yes","No"))</f>
        <v>No</v>
      </c>
    </row>
    <row r="2881" customFormat="false" ht="15" hidden="false" customHeight="false" outlineLevel="0" collapsed="false">
      <c r="A2881" s="31" t="s">
        <v>3031</v>
      </c>
      <c r="B2881" s="44" t="n">
        <v>46244</v>
      </c>
      <c r="C2881" s="31" t="s">
        <v>58</v>
      </c>
      <c r="D2881" s="31" t="s">
        <v>65</v>
      </c>
      <c r="E2881" s="31" t="s">
        <v>51</v>
      </c>
      <c r="F2881" s="31" t="s">
        <v>133</v>
      </c>
      <c r="G2881" s="31" t="n">
        <v>22</v>
      </c>
      <c r="H2881" s="41" t="n">
        <v>11.5</v>
      </c>
      <c r="I2881" s="31" t="s">
        <v>149</v>
      </c>
      <c r="J2881" s="31" t="n">
        <v>4</v>
      </c>
      <c r="K2881" s="31" t="s">
        <v>150</v>
      </c>
      <c r="L2881" s="45" t="n">
        <f aca="false">DATE(YEAR(B2881),MONTH(B2881),1)</f>
        <v>46235</v>
      </c>
      <c r="M2881" s="31" t="n">
        <f aca="false">WEEKDAY(B2881,2)</f>
        <v>1</v>
      </c>
      <c r="N2881" s="31" t="str">
        <f aca="false">IF(G2881&lt;=INDEX(Assumptions!$B$15:$B$18,MATCH(E2881,Assumptions!$A$15:$A$18,0)),"Yes","No")</f>
        <v>Yes</v>
      </c>
      <c r="O2881" s="31" t="str">
        <f aca="false">IF(H2881="","Open",IF(H2881&lt;=INDEX(Assumptions!$C$15:$C$18,MATCH(E2881,Assumptions!$A$15:$A$18,0)),"Yes","No"))</f>
        <v>Yes</v>
      </c>
    </row>
    <row r="2882" customFormat="false" ht="15" hidden="false" customHeight="false" outlineLevel="0" collapsed="false">
      <c r="A2882" s="31" t="s">
        <v>3032</v>
      </c>
      <c r="B2882" s="44" t="n">
        <v>46244</v>
      </c>
      <c r="C2882" s="31" t="s">
        <v>58</v>
      </c>
      <c r="D2882" s="31" t="s">
        <v>65</v>
      </c>
      <c r="E2882" s="31" t="s">
        <v>51</v>
      </c>
      <c r="F2882" s="31" t="s">
        <v>129</v>
      </c>
      <c r="G2882" s="31" t="n">
        <v>13</v>
      </c>
      <c r="H2882" s="41" t="n">
        <v>5</v>
      </c>
      <c r="I2882" s="31" t="s">
        <v>149</v>
      </c>
      <c r="J2882" s="31"/>
      <c r="K2882" s="31" t="s">
        <v>150</v>
      </c>
      <c r="L2882" s="45" t="n">
        <f aca="false">DATE(YEAR(B2882),MONTH(B2882),1)</f>
        <v>46235</v>
      </c>
      <c r="M2882" s="31" t="n">
        <f aca="false">WEEKDAY(B2882,2)</f>
        <v>1</v>
      </c>
      <c r="N2882" s="31" t="str">
        <f aca="false">IF(G2882&lt;=INDEX(Assumptions!$B$15:$B$18,MATCH(E2882,Assumptions!$A$15:$A$18,0)),"Yes","No")</f>
        <v>Yes</v>
      </c>
      <c r="O2882" s="31" t="str">
        <f aca="false">IF(H2882="","Open",IF(H2882&lt;=INDEX(Assumptions!$C$15:$C$18,MATCH(E2882,Assumptions!$A$15:$A$18,0)),"Yes","No"))</f>
        <v>Yes</v>
      </c>
    </row>
    <row r="2883" customFormat="false" ht="15" hidden="false" customHeight="false" outlineLevel="0" collapsed="false">
      <c r="A2883" s="31" t="s">
        <v>3033</v>
      </c>
      <c r="B2883" s="44" t="n">
        <v>46244</v>
      </c>
      <c r="C2883" s="31" t="s">
        <v>60</v>
      </c>
      <c r="D2883" s="31" t="s">
        <v>66</v>
      </c>
      <c r="E2883" s="31" t="s">
        <v>52</v>
      </c>
      <c r="F2883" s="31" t="s">
        <v>131</v>
      </c>
      <c r="G2883" s="31" t="n">
        <v>2</v>
      </c>
      <c r="H2883" s="41" t="n">
        <v>23.3</v>
      </c>
      <c r="I2883" s="31" t="s">
        <v>149</v>
      </c>
      <c r="J2883" s="31"/>
      <c r="K2883" s="31" t="s">
        <v>150</v>
      </c>
      <c r="L2883" s="45" t="n">
        <f aca="false">DATE(YEAR(B2883),MONTH(B2883),1)</f>
        <v>46235</v>
      </c>
      <c r="M2883" s="31" t="n">
        <f aca="false">WEEKDAY(B2883,2)</f>
        <v>1</v>
      </c>
      <c r="N2883" s="31" t="str">
        <f aca="false">IF(G2883&lt;=INDEX(Assumptions!$B$15:$B$18,MATCH(E2883,Assumptions!$A$15:$A$18,0)),"Yes","No")</f>
        <v>Yes</v>
      </c>
      <c r="O2883" s="31" t="str">
        <f aca="false">IF(H2883="","Open",IF(H2883&lt;=INDEX(Assumptions!$C$15:$C$18,MATCH(E2883,Assumptions!$A$15:$A$18,0)),"Yes","No"))</f>
        <v>Yes</v>
      </c>
    </row>
    <row r="2884" customFormat="false" ht="15" hidden="false" customHeight="false" outlineLevel="0" collapsed="false">
      <c r="A2884" s="31" t="s">
        <v>3034</v>
      </c>
      <c r="B2884" s="44" t="n">
        <v>46244</v>
      </c>
      <c r="C2884" s="31" t="s">
        <v>60</v>
      </c>
      <c r="D2884" s="31" t="s">
        <v>65</v>
      </c>
      <c r="E2884" s="31" t="s">
        <v>51</v>
      </c>
      <c r="F2884" s="31" t="s">
        <v>129</v>
      </c>
      <c r="G2884" s="31" t="n">
        <v>5</v>
      </c>
      <c r="H2884" s="41" t="n">
        <v>3.6</v>
      </c>
      <c r="I2884" s="31" t="s">
        <v>149</v>
      </c>
      <c r="J2884" s="31" t="n">
        <v>5</v>
      </c>
      <c r="K2884" s="31" t="s">
        <v>150</v>
      </c>
      <c r="L2884" s="45" t="n">
        <f aca="false">DATE(YEAR(B2884),MONTH(B2884),1)</f>
        <v>46235</v>
      </c>
      <c r="M2884" s="31" t="n">
        <f aca="false">WEEKDAY(B2884,2)</f>
        <v>1</v>
      </c>
      <c r="N2884" s="31" t="str">
        <f aca="false">IF(G2884&lt;=INDEX(Assumptions!$B$15:$B$18,MATCH(E2884,Assumptions!$A$15:$A$18,0)),"Yes","No")</f>
        <v>Yes</v>
      </c>
      <c r="O2884" s="31" t="str">
        <f aca="false">IF(H2884="","Open",IF(H2884&lt;=INDEX(Assumptions!$C$15:$C$18,MATCH(E2884,Assumptions!$A$15:$A$18,0)),"Yes","No"))</f>
        <v>Yes</v>
      </c>
    </row>
    <row r="2885" customFormat="false" ht="15" hidden="false" customHeight="false" outlineLevel="0" collapsed="false">
      <c r="A2885" s="31" t="s">
        <v>3035</v>
      </c>
      <c r="B2885" s="44" t="n">
        <v>46244</v>
      </c>
      <c r="C2885" s="31" t="s">
        <v>58</v>
      </c>
      <c r="D2885" s="31" t="s">
        <v>67</v>
      </c>
      <c r="E2885" s="31" t="s">
        <v>51</v>
      </c>
      <c r="F2885" s="31" t="s">
        <v>123</v>
      </c>
      <c r="G2885" s="31" t="n">
        <v>3</v>
      </c>
      <c r="H2885" s="41" t="n">
        <v>7.2</v>
      </c>
      <c r="I2885" s="31" t="s">
        <v>149</v>
      </c>
      <c r="J2885" s="31" t="n">
        <v>4</v>
      </c>
      <c r="K2885" s="31" t="s">
        <v>150</v>
      </c>
      <c r="L2885" s="45" t="n">
        <f aca="false">DATE(YEAR(B2885),MONTH(B2885),1)</f>
        <v>46235</v>
      </c>
      <c r="M2885" s="31" t="n">
        <f aca="false">WEEKDAY(B2885,2)</f>
        <v>1</v>
      </c>
      <c r="N2885" s="31" t="str">
        <f aca="false">IF(G2885&lt;=INDEX(Assumptions!$B$15:$B$18,MATCH(E2885,Assumptions!$A$15:$A$18,0)),"Yes","No")</f>
        <v>Yes</v>
      </c>
      <c r="O2885" s="31" t="str">
        <f aca="false">IF(H2885="","Open",IF(H2885&lt;=INDEX(Assumptions!$C$15:$C$18,MATCH(E2885,Assumptions!$A$15:$A$18,0)),"Yes","No"))</f>
        <v>Yes</v>
      </c>
    </row>
    <row r="2886" customFormat="false" ht="15" hidden="false" customHeight="false" outlineLevel="0" collapsed="false">
      <c r="A2886" s="31" t="s">
        <v>3036</v>
      </c>
      <c r="B2886" s="44" t="n">
        <v>46244</v>
      </c>
      <c r="C2886" s="31" t="s">
        <v>58</v>
      </c>
      <c r="D2886" s="31" t="s">
        <v>65</v>
      </c>
      <c r="E2886" s="31" t="s">
        <v>51</v>
      </c>
      <c r="F2886" s="31" t="s">
        <v>133</v>
      </c>
      <c r="G2886" s="31" t="n">
        <v>18</v>
      </c>
      <c r="H2886" s="41" t="n">
        <v>23.6</v>
      </c>
      <c r="I2886" s="31" t="s">
        <v>64</v>
      </c>
      <c r="J2886" s="31"/>
      <c r="K2886" s="31" t="s">
        <v>150</v>
      </c>
      <c r="L2886" s="45" t="n">
        <f aca="false">DATE(YEAR(B2886),MONTH(B2886),1)</f>
        <v>46235</v>
      </c>
      <c r="M2886" s="31" t="n">
        <f aca="false">WEEKDAY(B2886,2)</f>
        <v>1</v>
      </c>
      <c r="N2886" s="31" t="str">
        <f aca="false">IF(G2886&lt;=INDEX(Assumptions!$B$15:$B$18,MATCH(E2886,Assumptions!$A$15:$A$18,0)),"Yes","No")</f>
        <v>Yes</v>
      </c>
      <c r="O2886" s="31" t="str">
        <f aca="false">IF(H2886="","Open",IF(H2886&lt;=INDEX(Assumptions!$C$15:$C$18,MATCH(E2886,Assumptions!$A$15:$A$18,0)),"Yes","No"))</f>
        <v>Yes</v>
      </c>
    </row>
    <row r="2887" customFormat="false" ht="15" hidden="false" customHeight="false" outlineLevel="0" collapsed="false">
      <c r="A2887" s="31" t="s">
        <v>3037</v>
      </c>
      <c r="B2887" s="44" t="n">
        <v>46244</v>
      </c>
      <c r="C2887" s="31" t="s">
        <v>57</v>
      </c>
      <c r="D2887" s="31" t="s">
        <v>67</v>
      </c>
      <c r="E2887" s="31" t="s">
        <v>51</v>
      </c>
      <c r="F2887" s="31" t="s">
        <v>130</v>
      </c>
      <c r="G2887" s="31" t="n">
        <v>7</v>
      </c>
      <c r="H2887" s="41" t="n">
        <v>30.1</v>
      </c>
      <c r="I2887" s="31" t="s">
        <v>149</v>
      </c>
      <c r="J2887" s="31"/>
      <c r="K2887" s="31" t="s">
        <v>150</v>
      </c>
      <c r="L2887" s="45" t="n">
        <f aca="false">DATE(YEAR(B2887),MONTH(B2887),1)</f>
        <v>46235</v>
      </c>
      <c r="M2887" s="31" t="n">
        <f aca="false">WEEKDAY(B2887,2)</f>
        <v>1</v>
      </c>
      <c r="N2887" s="31" t="str">
        <f aca="false">IF(G2887&lt;=INDEX(Assumptions!$B$15:$B$18,MATCH(E2887,Assumptions!$A$15:$A$18,0)),"Yes","No")</f>
        <v>Yes</v>
      </c>
      <c r="O2887" s="31" t="str">
        <f aca="false">IF(H2887="","Open",IF(H2887&lt;=INDEX(Assumptions!$C$15:$C$18,MATCH(E2887,Assumptions!$A$15:$A$18,0)),"Yes","No"))</f>
        <v>No</v>
      </c>
    </row>
    <row r="2888" customFormat="false" ht="15" hidden="false" customHeight="false" outlineLevel="0" collapsed="false">
      <c r="A2888" s="31" t="s">
        <v>3038</v>
      </c>
      <c r="B2888" s="44" t="n">
        <v>46244</v>
      </c>
      <c r="C2888" s="31" t="s">
        <v>60</v>
      </c>
      <c r="D2888" s="31" t="s">
        <v>65</v>
      </c>
      <c r="E2888" s="31" t="s">
        <v>50</v>
      </c>
      <c r="F2888" s="31" t="s">
        <v>134</v>
      </c>
      <c r="G2888" s="31" t="n">
        <v>2</v>
      </c>
      <c r="H2888" s="41" t="n">
        <v>21</v>
      </c>
      <c r="I2888" s="31" t="s">
        <v>149</v>
      </c>
      <c r="J2888" s="31" t="n">
        <v>4</v>
      </c>
      <c r="K2888" s="31" t="s">
        <v>150</v>
      </c>
      <c r="L2888" s="45" t="n">
        <f aca="false">DATE(YEAR(B2888),MONTH(B2888),1)</f>
        <v>46235</v>
      </c>
      <c r="M2888" s="31" t="n">
        <f aca="false">WEEKDAY(B2888,2)</f>
        <v>1</v>
      </c>
      <c r="N2888" s="31" t="str">
        <f aca="false">IF(G2888&lt;=INDEX(Assumptions!$B$15:$B$18,MATCH(E2888,Assumptions!$A$15:$A$18,0)),"Yes","No")</f>
        <v>Yes</v>
      </c>
      <c r="O2888" s="31" t="str">
        <f aca="false">IF(H2888="","Open",IF(H2888&lt;=INDEX(Assumptions!$C$15:$C$18,MATCH(E2888,Assumptions!$A$15:$A$18,0)),"Yes","No"))</f>
        <v>No</v>
      </c>
    </row>
    <row r="2889" customFormat="false" ht="15" hidden="false" customHeight="false" outlineLevel="0" collapsed="false">
      <c r="A2889" s="31" t="s">
        <v>3039</v>
      </c>
      <c r="B2889" s="44" t="n">
        <v>46244</v>
      </c>
      <c r="C2889" s="31" t="s">
        <v>59</v>
      </c>
      <c r="D2889" s="31" t="s">
        <v>67</v>
      </c>
      <c r="E2889" s="31" t="s">
        <v>51</v>
      </c>
      <c r="F2889" s="31" t="s">
        <v>127</v>
      </c>
      <c r="G2889" s="31" t="n">
        <v>66</v>
      </c>
      <c r="H2889" s="41" t="n">
        <v>3.2</v>
      </c>
      <c r="I2889" s="31" t="s">
        <v>149</v>
      </c>
      <c r="J2889" s="31" t="n">
        <v>4</v>
      </c>
      <c r="K2889" s="31" t="s">
        <v>150</v>
      </c>
      <c r="L2889" s="45" t="n">
        <f aca="false">DATE(YEAR(B2889),MONTH(B2889),1)</f>
        <v>46235</v>
      </c>
      <c r="M2889" s="31" t="n">
        <f aca="false">WEEKDAY(B2889,2)</f>
        <v>1</v>
      </c>
      <c r="N2889" s="31" t="str">
        <f aca="false">IF(G2889&lt;=INDEX(Assumptions!$B$15:$B$18,MATCH(E2889,Assumptions!$A$15:$A$18,0)),"Yes","No")</f>
        <v>No</v>
      </c>
      <c r="O2889" s="31" t="str">
        <f aca="false">IF(H2889="","Open",IF(H2889&lt;=INDEX(Assumptions!$C$15:$C$18,MATCH(E2889,Assumptions!$A$15:$A$18,0)),"Yes","No"))</f>
        <v>Yes</v>
      </c>
    </row>
    <row r="2890" customFormat="false" ht="15" hidden="false" customHeight="false" outlineLevel="0" collapsed="false">
      <c r="A2890" s="31" t="s">
        <v>3040</v>
      </c>
      <c r="B2890" s="44" t="n">
        <v>46244</v>
      </c>
      <c r="C2890" s="31" t="s">
        <v>60</v>
      </c>
      <c r="D2890" s="31" t="s">
        <v>68</v>
      </c>
      <c r="E2890" s="31" t="s">
        <v>51</v>
      </c>
      <c r="F2890" s="31" t="s">
        <v>133</v>
      </c>
      <c r="G2890" s="31" t="n">
        <v>4</v>
      </c>
      <c r="H2890" s="41" t="n">
        <v>1.6</v>
      </c>
      <c r="I2890" s="31" t="s">
        <v>149</v>
      </c>
      <c r="J2890" s="31" t="n">
        <v>4</v>
      </c>
      <c r="K2890" s="31" t="s">
        <v>150</v>
      </c>
      <c r="L2890" s="45" t="n">
        <f aca="false">DATE(YEAR(B2890),MONTH(B2890),1)</f>
        <v>46235</v>
      </c>
      <c r="M2890" s="31" t="n">
        <f aca="false">WEEKDAY(B2890,2)</f>
        <v>1</v>
      </c>
      <c r="N2890" s="31" t="str">
        <f aca="false">IF(G2890&lt;=INDEX(Assumptions!$B$15:$B$18,MATCH(E2890,Assumptions!$A$15:$A$18,0)),"Yes","No")</f>
        <v>Yes</v>
      </c>
      <c r="O2890" s="31" t="str">
        <f aca="false">IF(H2890="","Open",IF(H2890&lt;=INDEX(Assumptions!$C$15:$C$18,MATCH(E2890,Assumptions!$A$15:$A$18,0)),"Yes","No"))</f>
        <v>Yes</v>
      </c>
    </row>
    <row r="2891" customFormat="false" ht="15" hidden="false" customHeight="false" outlineLevel="0" collapsed="false">
      <c r="A2891" s="31" t="s">
        <v>3041</v>
      </c>
      <c r="B2891" s="44" t="n">
        <v>46244</v>
      </c>
      <c r="C2891" s="31" t="s">
        <v>60</v>
      </c>
      <c r="D2891" s="31" t="s">
        <v>67</v>
      </c>
      <c r="E2891" s="31" t="s">
        <v>51</v>
      </c>
      <c r="F2891" s="31" t="s">
        <v>120</v>
      </c>
      <c r="G2891" s="31" t="n">
        <v>7</v>
      </c>
      <c r="H2891" s="41" t="n">
        <v>15.6</v>
      </c>
      <c r="I2891" s="31" t="s">
        <v>149</v>
      </c>
      <c r="J2891" s="31"/>
      <c r="K2891" s="31" t="s">
        <v>150</v>
      </c>
      <c r="L2891" s="45" t="n">
        <f aca="false">DATE(YEAR(B2891),MONTH(B2891),1)</f>
        <v>46235</v>
      </c>
      <c r="M2891" s="31" t="n">
        <f aca="false">WEEKDAY(B2891,2)</f>
        <v>1</v>
      </c>
      <c r="N2891" s="31" t="str">
        <f aca="false">IF(G2891&lt;=INDEX(Assumptions!$B$15:$B$18,MATCH(E2891,Assumptions!$A$15:$A$18,0)),"Yes","No")</f>
        <v>Yes</v>
      </c>
      <c r="O2891" s="31" t="str">
        <f aca="false">IF(H2891="","Open",IF(H2891&lt;=INDEX(Assumptions!$C$15:$C$18,MATCH(E2891,Assumptions!$A$15:$A$18,0)),"Yes","No"))</f>
        <v>Yes</v>
      </c>
    </row>
    <row r="2892" customFormat="false" ht="15" hidden="false" customHeight="false" outlineLevel="0" collapsed="false">
      <c r="A2892" s="31" t="s">
        <v>3042</v>
      </c>
      <c r="B2892" s="44" t="n">
        <v>46244</v>
      </c>
      <c r="C2892" s="31" t="s">
        <v>57</v>
      </c>
      <c r="D2892" s="31" t="s">
        <v>65</v>
      </c>
      <c r="E2892" s="31" t="s">
        <v>51</v>
      </c>
      <c r="F2892" s="31" t="s">
        <v>122</v>
      </c>
      <c r="G2892" s="31" t="n">
        <v>5</v>
      </c>
      <c r="H2892" s="41" t="n">
        <v>9.8</v>
      </c>
      <c r="I2892" s="31" t="s">
        <v>149</v>
      </c>
      <c r="J2892" s="31" t="n">
        <v>5</v>
      </c>
      <c r="K2892" s="31" t="s">
        <v>150</v>
      </c>
      <c r="L2892" s="45" t="n">
        <f aca="false">DATE(YEAR(B2892),MONTH(B2892),1)</f>
        <v>46235</v>
      </c>
      <c r="M2892" s="31" t="n">
        <f aca="false">WEEKDAY(B2892,2)</f>
        <v>1</v>
      </c>
      <c r="N2892" s="31" t="str">
        <f aca="false">IF(G2892&lt;=INDEX(Assumptions!$B$15:$B$18,MATCH(E2892,Assumptions!$A$15:$A$18,0)),"Yes","No")</f>
        <v>Yes</v>
      </c>
      <c r="O2892" s="31" t="str">
        <f aca="false">IF(H2892="","Open",IF(H2892&lt;=INDEX(Assumptions!$C$15:$C$18,MATCH(E2892,Assumptions!$A$15:$A$18,0)),"Yes","No"))</f>
        <v>Yes</v>
      </c>
    </row>
    <row r="2893" customFormat="false" ht="15" hidden="false" customHeight="false" outlineLevel="0" collapsed="false">
      <c r="A2893" s="31" t="s">
        <v>3043</v>
      </c>
      <c r="B2893" s="44" t="n">
        <v>46244</v>
      </c>
      <c r="C2893" s="31" t="s">
        <v>58</v>
      </c>
      <c r="D2893" s="31" t="s">
        <v>68</v>
      </c>
      <c r="E2893" s="31" t="s">
        <v>52</v>
      </c>
      <c r="F2893" s="31" t="s">
        <v>131</v>
      </c>
      <c r="G2893" s="31" t="n">
        <v>9</v>
      </c>
      <c r="H2893" s="41" t="n">
        <v>0.8</v>
      </c>
      <c r="I2893" s="31" t="s">
        <v>149</v>
      </c>
      <c r="J2893" s="31" t="n">
        <v>4</v>
      </c>
      <c r="K2893" s="31" t="s">
        <v>150</v>
      </c>
      <c r="L2893" s="45" t="n">
        <f aca="false">DATE(YEAR(B2893),MONTH(B2893),1)</f>
        <v>46235</v>
      </c>
      <c r="M2893" s="31" t="n">
        <f aca="false">WEEKDAY(B2893,2)</f>
        <v>1</v>
      </c>
      <c r="N2893" s="31" t="str">
        <f aca="false">IF(G2893&lt;=INDEX(Assumptions!$B$15:$B$18,MATCH(E2893,Assumptions!$A$15:$A$18,0)),"Yes","No")</f>
        <v>Yes</v>
      </c>
      <c r="O2893" s="31" t="str">
        <f aca="false">IF(H2893="","Open",IF(H2893&lt;=INDEX(Assumptions!$C$15:$C$18,MATCH(E2893,Assumptions!$A$15:$A$18,0)),"Yes","No"))</f>
        <v>Yes</v>
      </c>
    </row>
    <row r="2894" customFormat="false" ht="15" hidden="false" customHeight="false" outlineLevel="0" collapsed="false">
      <c r="A2894" s="31" t="s">
        <v>3044</v>
      </c>
      <c r="B2894" s="44" t="n">
        <v>46244</v>
      </c>
      <c r="C2894" s="31" t="s">
        <v>58</v>
      </c>
      <c r="D2894" s="31" t="s">
        <v>67</v>
      </c>
      <c r="E2894" s="31" t="s">
        <v>50</v>
      </c>
      <c r="F2894" s="31" t="s">
        <v>134</v>
      </c>
      <c r="G2894" s="31" t="n">
        <v>29</v>
      </c>
      <c r="H2894" s="41" t="n">
        <v>11.4</v>
      </c>
      <c r="I2894" s="31" t="s">
        <v>149</v>
      </c>
      <c r="J2894" s="31" t="n">
        <v>3</v>
      </c>
      <c r="K2894" s="31" t="s">
        <v>150</v>
      </c>
      <c r="L2894" s="45" t="n">
        <f aca="false">DATE(YEAR(B2894),MONTH(B2894),1)</f>
        <v>46235</v>
      </c>
      <c r="M2894" s="31" t="n">
        <f aca="false">WEEKDAY(B2894,2)</f>
        <v>1</v>
      </c>
      <c r="N2894" s="31" t="str">
        <f aca="false">IF(G2894&lt;=INDEX(Assumptions!$B$15:$B$18,MATCH(E2894,Assumptions!$A$15:$A$18,0)),"Yes","No")</f>
        <v>Yes</v>
      </c>
      <c r="O2894" s="31" t="str">
        <f aca="false">IF(H2894="","Open",IF(H2894&lt;=INDEX(Assumptions!$C$15:$C$18,MATCH(E2894,Assumptions!$A$15:$A$18,0)),"Yes","No"))</f>
        <v>No</v>
      </c>
    </row>
    <row r="2895" customFormat="false" ht="15" hidden="false" customHeight="false" outlineLevel="0" collapsed="false">
      <c r="A2895" s="31" t="s">
        <v>3045</v>
      </c>
      <c r="B2895" s="44" t="n">
        <v>46244</v>
      </c>
      <c r="C2895" s="31" t="s">
        <v>59</v>
      </c>
      <c r="D2895" s="31" t="s">
        <v>65</v>
      </c>
      <c r="E2895" s="31" t="s">
        <v>52</v>
      </c>
      <c r="F2895" s="31" t="s">
        <v>130</v>
      </c>
      <c r="G2895" s="31" t="n">
        <v>41</v>
      </c>
      <c r="H2895" s="41" t="n">
        <v>19.9</v>
      </c>
      <c r="I2895" s="31" t="s">
        <v>149</v>
      </c>
      <c r="J2895" s="31" t="n">
        <v>5</v>
      </c>
      <c r="K2895" s="31" t="s">
        <v>150</v>
      </c>
      <c r="L2895" s="45" t="n">
        <f aca="false">DATE(YEAR(B2895),MONTH(B2895),1)</f>
        <v>46235</v>
      </c>
      <c r="M2895" s="31" t="n">
        <f aca="false">WEEKDAY(B2895,2)</f>
        <v>1</v>
      </c>
      <c r="N2895" s="31" t="str">
        <f aca="false">IF(G2895&lt;=INDEX(Assumptions!$B$15:$B$18,MATCH(E2895,Assumptions!$A$15:$A$18,0)),"Yes","No")</f>
        <v>Yes</v>
      </c>
      <c r="O2895" s="31" t="str">
        <f aca="false">IF(H2895="","Open",IF(H2895&lt;=INDEX(Assumptions!$C$15:$C$18,MATCH(E2895,Assumptions!$A$15:$A$18,0)),"Yes","No"))</f>
        <v>Yes</v>
      </c>
    </row>
    <row r="2896" customFormat="false" ht="15" hidden="false" customHeight="false" outlineLevel="0" collapsed="false">
      <c r="A2896" s="31" t="s">
        <v>3046</v>
      </c>
      <c r="B2896" s="44" t="n">
        <v>46244</v>
      </c>
      <c r="C2896" s="31" t="s">
        <v>59</v>
      </c>
      <c r="D2896" s="31" t="s">
        <v>65</v>
      </c>
      <c r="E2896" s="31" t="s">
        <v>51</v>
      </c>
      <c r="F2896" s="31" t="s">
        <v>124</v>
      </c>
      <c r="G2896" s="31" t="n">
        <v>27</v>
      </c>
      <c r="H2896" s="41" t="n">
        <v>20.3</v>
      </c>
      <c r="I2896" s="31" t="s">
        <v>149</v>
      </c>
      <c r="J2896" s="31" t="n">
        <v>5</v>
      </c>
      <c r="K2896" s="31" t="s">
        <v>150</v>
      </c>
      <c r="L2896" s="45" t="n">
        <f aca="false">DATE(YEAR(B2896),MONTH(B2896),1)</f>
        <v>46235</v>
      </c>
      <c r="M2896" s="31" t="n">
        <f aca="false">WEEKDAY(B2896,2)</f>
        <v>1</v>
      </c>
      <c r="N2896" s="31" t="str">
        <f aca="false">IF(G2896&lt;=INDEX(Assumptions!$B$15:$B$18,MATCH(E2896,Assumptions!$A$15:$A$18,0)),"Yes","No")</f>
        <v>Yes</v>
      </c>
      <c r="O2896" s="31" t="str">
        <f aca="false">IF(H2896="","Open",IF(H2896&lt;=INDEX(Assumptions!$C$15:$C$18,MATCH(E2896,Assumptions!$A$15:$A$18,0)),"Yes","No"))</f>
        <v>Yes</v>
      </c>
    </row>
    <row r="2897" customFormat="false" ht="15" hidden="false" customHeight="false" outlineLevel="0" collapsed="false">
      <c r="A2897" s="31" t="s">
        <v>3047</v>
      </c>
      <c r="B2897" s="44" t="n">
        <v>46244</v>
      </c>
      <c r="C2897" s="31" t="s">
        <v>57</v>
      </c>
      <c r="D2897" s="31" t="s">
        <v>66</v>
      </c>
      <c r="E2897" s="31" t="s">
        <v>52</v>
      </c>
      <c r="F2897" s="31" t="s">
        <v>129</v>
      </c>
      <c r="G2897" s="31" t="n">
        <v>5</v>
      </c>
      <c r="H2897" s="41" t="n">
        <v>14.2</v>
      </c>
      <c r="I2897" s="31" t="s">
        <v>149</v>
      </c>
      <c r="J2897" s="31" t="n">
        <v>5</v>
      </c>
      <c r="K2897" s="31" t="s">
        <v>153</v>
      </c>
      <c r="L2897" s="45" t="n">
        <f aca="false">DATE(YEAR(B2897),MONTH(B2897),1)</f>
        <v>46235</v>
      </c>
      <c r="M2897" s="31" t="n">
        <f aca="false">WEEKDAY(B2897,2)</f>
        <v>1</v>
      </c>
      <c r="N2897" s="31" t="str">
        <f aca="false">IF(G2897&lt;=INDEX(Assumptions!$B$15:$B$18,MATCH(E2897,Assumptions!$A$15:$A$18,0)),"Yes","No")</f>
        <v>Yes</v>
      </c>
      <c r="O2897" s="31" t="str">
        <f aca="false">IF(H2897="","Open",IF(H2897&lt;=INDEX(Assumptions!$C$15:$C$18,MATCH(E2897,Assumptions!$A$15:$A$18,0)),"Yes","No"))</f>
        <v>Yes</v>
      </c>
    </row>
    <row r="2898" customFormat="false" ht="15" hidden="false" customHeight="false" outlineLevel="0" collapsed="false">
      <c r="A2898" s="31" t="s">
        <v>3048</v>
      </c>
      <c r="B2898" s="44" t="n">
        <v>46244</v>
      </c>
      <c r="C2898" s="31" t="s">
        <v>60</v>
      </c>
      <c r="D2898" s="31" t="s">
        <v>65</v>
      </c>
      <c r="E2898" s="31" t="s">
        <v>51</v>
      </c>
      <c r="F2898" s="31" t="s">
        <v>128</v>
      </c>
      <c r="G2898" s="31" t="n">
        <v>10</v>
      </c>
      <c r="H2898" s="41" t="n">
        <v>4.4</v>
      </c>
      <c r="I2898" s="31" t="s">
        <v>149</v>
      </c>
      <c r="J2898" s="31"/>
      <c r="K2898" s="31" t="s">
        <v>150</v>
      </c>
      <c r="L2898" s="45" t="n">
        <f aca="false">DATE(YEAR(B2898),MONTH(B2898),1)</f>
        <v>46235</v>
      </c>
      <c r="M2898" s="31" t="n">
        <f aca="false">WEEKDAY(B2898,2)</f>
        <v>1</v>
      </c>
      <c r="N2898" s="31" t="str">
        <f aca="false">IF(G2898&lt;=INDEX(Assumptions!$B$15:$B$18,MATCH(E2898,Assumptions!$A$15:$A$18,0)),"Yes","No")</f>
        <v>Yes</v>
      </c>
      <c r="O2898" s="31" t="str">
        <f aca="false">IF(H2898="","Open",IF(H2898&lt;=INDEX(Assumptions!$C$15:$C$18,MATCH(E2898,Assumptions!$A$15:$A$18,0)),"Yes","No"))</f>
        <v>Yes</v>
      </c>
    </row>
    <row r="2899" customFormat="false" ht="15" hidden="false" customHeight="false" outlineLevel="0" collapsed="false">
      <c r="A2899" s="31" t="s">
        <v>3049</v>
      </c>
      <c r="B2899" s="44" t="n">
        <v>46244</v>
      </c>
      <c r="C2899" s="31" t="s">
        <v>58</v>
      </c>
      <c r="D2899" s="31" t="s">
        <v>65</v>
      </c>
      <c r="E2899" s="31" t="s">
        <v>52</v>
      </c>
      <c r="F2899" s="31" t="s">
        <v>135</v>
      </c>
      <c r="G2899" s="31" t="n">
        <v>22</v>
      </c>
      <c r="H2899" s="41" t="n">
        <v>57.7</v>
      </c>
      <c r="I2899" s="31" t="s">
        <v>149</v>
      </c>
      <c r="J2899" s="31" t="n">
        <v>5</v>
      </c>
      <c r="K2899" s="31" t="s">
        <v>150</v>
      </c>
      <c r="L2899" s="45" t="n">
        <f aca="false">DATE(YEAR(B2899),MONTH(B2899),1)</f>
        <v>46235</v>
      </c>
      <c r="M2899" s="31" t="n">
        <f aca="false">WEEKDAY(B2899,2)</f>
        <v>1</v>
      </c>
      <c r="N2899" s="31" t="str">
        <f aca="false">IF(G2899&lt;=INDEX(Assumptions!$B$15:$B$18,MATCH(E2899,Assumptions!$A$15:$A$18,0)),"Yes","No")</f>
        <v>Yes</v>
      </c>
      <c r="O2899" s="31" t="str">
        <f aca="false">IF(H2899="","Open",IF(H2899&lt;=INDEX(Assumptions!$C$15:$C$18,MATCH(E2899,Assumptions!$A$15:$A$18,0)),"Yes","No"))</f>
        <v>Yes</v>
      </c>
    </row>
    <row r="2900" customFormat="false" ht="15" hidden="false" customHeight="false" outlineLevel="0" collapsed="false">
      <c r="A2900" s="31" t="s">
        <v>3050</v>
      </c>
      <c r="B2900" s="44" t="n">
        <v>46244</v>
      </c>
      <c r="C2900" s="31" t="s">
        <v>59</v>
      </c>
      <c r="D2900" s="31" t="s">
        <v>65</v>
      </c>
      <c r="E2900" s="31" t="s">
        <v>50</v>
      </c>
      <c r="F2900" s="31" t="s">
        <v>120</v>
      </c>
      <c r="G2900" s="31" t="n">
        <v>160</v>
      </c>
      <c r="H2900" s="41" t="n">
        <v>6.9</v>
      </c>
      <c r="I2900" s="31" t="s">
        <v>149</v>
      </c>
      <c r="J2900" s="31"/>
      <c r="K2900" s="31" t="s">
        <v>153</v>
      </c>
      <c r="L2900" s="45" t="n">
        <f aca="false">DATE(YEAR(B2900),MONTH(B2900),1)</f>
        <v>46235</v>
      </c>
      <c r="M2900" s="31" t="n">
        <f aca="false">WEEKDAY(B2900,2)</f>
        <v>1</v>
      </c>
      <c r="N2900" s="31" t="str">
        <f aca="false">IF(G2900&lt;=INDEX(Assumptions!$B$15:$B$18,MATCH(E2900,Assumptions!$A$15:$A$18,0)),"Yes","No")</f>
        <v>No</v>
      </c>
      <c r="O2900" s="31" t="str">
        <f aca="false">IF(H2900="","Open",IF(H2900&lt;=INDEX(Assumptions!$C$15:$C$18,MATCH(E2900,Assumptions!$A$15:$A$18,0)),"Yes","No"))</f>
        <v>Yes</v>
      </c>
    </row>
    <row r="2901" customFormat="false" ht="15" hidden="false" customHeight="false" outlineLevel="0" collapsed="false">
      <c r="A2901" s="31" t="s">
        <v>3051</v>
      </c>
      <c r="B2901" s="44" t="n">
        <v>46244</v>
      </c>
      <c r="C2901" s="31" t="s">
        <v>57</v>
      </c>
      <c r="D2901" s="31" t="s">
        <v>66</v>
      </c>
      <c r="E2901" s="31" t="s">
        <v>50</v>
      </c>
      <c r="F2901" s="31" t="s">
        <v>130</v>
      </c>
      <c r="G2901" s="31" t="n">
        <v>9</v>
      </c>
      <c r="H2901" s="41" t="n">
        <v>13.8</v>
      </c>
      <c r="I2901" s="31" t="s">
        <v>149</v>
      </c>
      <c r="J2901" s="31"/>
      <c r="K2901" s="31" t="s">
        <v>153</v>
      </c>
      <c r="L2901" s="45" t="n">
        <f aca="false">DATE(YEAR(B2901),MONTH(B2901),1)</f>
        <v>46235</v>
      </c>
      <c r="M2901" s="31" t="n">
        <f aca="false">WEEKDAY(B2901,2)</f>
        <v>1</v>
      </c>
      <c r="N2901" s="31" t="str">
        <f aca="false">IF(G2901&lt;=INDEX(Assumptions!$B$15:$B$18,MATCH(E2901,Assumptions!$A$15:$A$18,0)),"Yes","No")</f>
        <v>Yes</v>
      </c>
      <c r="O2901" s="31" t="str">
        <f aca="false">IF(H2901="","Open",IF(H2901&lt;=INDEX(Assumptions!$C$15:$C$18,MATCH(E2901,Assumptions!$A$15:$A$18,0)),"Yes","No"))</f>
        <v>No</v>
      </c>
    </row>
    <row r="2902" customFormat="false" ht="15" hidden="false" customHeight="false" outlineLevel="0" collapsed="false">
      <c r="A2902" s="31" t="s">
        <v>3052</v>
      </c>
      <c r="B2902" s="44" t="n">
        <v>46244</v>
      </c>
      <c r="C2902" s="31" t="s">
        <v>59</v>
      </c>
      <c r="D2902" s="31" t="s">
        <v>68</v>
      </c>
      <c r="E2902" s="31" t="s">
        <v>50</v>
      </c>
      <c r="F2902" s="31" t="s">
        <v>117</v>
      </c>
      <c r="G2902" s="31" t="n">
        <v>45</v>
      </c>
      <c r="H2902" s="41" t="n">
        <v>1.6</v>
      </c>
      <c r="I2902" s="31" t="s">
        <v>149</v>
      </c>
      <c r="J2902" s="31" t="n">
        <v>4</v>
      </c>
      <c r="K2902" s="31" t="s">
        <v>150</v>
      </c>
      <c r="L2902" s="45" t="n">
        <f aca="false">DATE(YEAR(B2902),MONTH(B2902),1)</f>
        <v>46235</v>
      </c>
      <c r="M2902" s="31" t="n">
        <f aca="false">WEEKDAY(B2902,2)</f>
        <v>1</v>
      </c>
      <c r="N2902" s="31" t="str">
        <f aca="false">IF(G2902&lt;=INDEX(Assumptions!$B$15:$B$18,MATCH(E2902,Assumptions!$A$15:$A$18,0)),"Yes","No")</f>
        <v>No</v>
      </c>
      <c r="O2902" s="31" t="str">
        <f aca="false">IF(H2902="","Open",IF(H2902&lt;=INDEX(Assumptions!$C$15:$C$18,MATCH(E2902,Assumptions!$A$15:$A$18,0)),"Yes","No"))</f>
        <v>Yes</v>
      </c>
    </row>
    <row r="2903" customFormat="false" ht="15" hidden="false" customHeight="false" outlineLevel="0" collapsed="false">
      <c r="A2903" s="31" t="s">
        <v>3053</v>
      </c>
      <c r="B2903" s="44" t="n">
        <v>46244</v>
      </c>
      <c r="C2903" s="31" t="s">
        <v>59</v>
      </c>
      <c r="D2903" s="31" t="s">
        <v>65</v>
      </c>
      <c r="E2903" s="31" t="s">
        <v>52</v>
      </c>
      <c r="F2903" s="31" t="s">
        <v>136</v>
      </c>
      <c r="G2903" s="31" t="n">
        <v>15</v>
      </c>
      <c r="H2903" s="41" t="n">
        <v>23.2</v>
      </c>
      <c r="I2903" s="31" t="s">
        <v>149</v>
      </c>
      <c r="J2903" s="31"/>
      <c r="K2903" s="31" t="s">
        <v>150</v>
      </c>
      <c r="L2903" s="45" t="n">
        <f aca="false">DATE(YEAR(B2903),MONTH(B2903),1)</f>
        <v>46235</v>
      </c>
      <c r="M2903" s="31" t="n">
        <f aca="false">WEEKDAY(B2903,2)</f>
        <v>1</v>
      </c>
      <c r="N2903" s="31" t="str">
        <f aca="false">IF(G2903&lt;=INDEX(Assumptions!$B$15:$B$18,MATCH(E2903,Assumptions!$A$15:$A$18,0)),"Yes","No")</f>
        <v>Yes</v>
      </c>
      <c r="O2903" s="31" t="str">
        <f aca="false">IF(H2903="","Open",IF(H2903&lt;=INDEX(Assumptions!$C$15:$C$18,MATCH(E2903,Assumptions!$A$15:$A$18,0)),"Yes","No"))</f>
        <v>Yes</v>
      </c>
    </row>
    <row r="2904" customFormat="false" ht="15" hidden="false" customHeight="false" outlineLevel="0" collapsed="false">
      <c r="A2904" s="31" t="s">
        <v>3054</v>
      </c>
      <c r="B2904" s="44" t="n">
        <v>46244</v>
      </c>
      <c r="C2904" s="31" t="s">
        <v>57</v>
      </c>
      <c r="D2904" s="31" t="s">
        <v>66</v>
      </c>
      <c r="E2904" s="31" t="s">
        <v>49</v>
      </c>
      <c r="F2904" s="31" t="s">
        <v>120</v>
      </c>
      <c r="G2904" s="31" t="n">
        <v>10</v>
      </c>
      <c r="H2904" s="41" t="n">
        <v>0.4</v>
      </c>
      <c r="I2904" s="31" t="s">
        <v>149</v>
      </c>
      <c r="J2904" s="31" t="n">
        <v>3</v>
      </c>
      <c r="K2904" s="31" t="s">
        <v>150</v>
      </c>
      <c r="L2904" s="45" t="n">
        <f aca="false">DATE(YEAR(B2904),MONTH(B2904),1)</f>
        <v>46235</v>
      </c>
      <c r="M2904" s="31" t="n">
        <f aca="false">WEEKDAY(B2904,2)</f>
        <v>1</v>
      </c>
      <c r="N2904" s="31" t="str">
        <f aca="false">IF(G2904&lt;=INDEX(Assumptions!$B$15:$B$18,MATCH(E2904,Assumptions!$A$15:$A$18,0)),"Yes","No")</f>
        <v>Yes</v>
      </c>
      <c r="O2904" s="31" t="str">
        <f aca="false">IF(H2904="","Open",IF(H2904&lt;=INDEX(Assumptions!$C$15:$C$18,MATCH(E2904,Assumptions!$A$15:$A$18,0)),"Yes","No"))</f>
        <v>Yes</v>
      </c>
    </row>
    <row r="2905" customFormat="false" ht="15" hidden="false" customHeight="false" outlineLevel="0" collapsed="false">
      <c r="A2905" s="31" t="s">
        <v>3055</v>
      </c>
      <c r="B2905" s="44" t="n">
        <v>46244</v>
      </c>
      <c r="C2905" s="31" t="s">
        <v>57</v>
      </c>
      <c r="D2905" s="31" t="s">
        <v>65</v>
      </c>
      <c r="E2905" s="31" t="s">
        <v>51</v>
      </c>
      <c r="F2905" s="31" t="s">
        <v>119</v>
      </c>
      <c r="G2905" s="31" t="n">
        <v>17</v>
      </c>
      <c r="H2905" s="41" t="n">
        <v>1.7</v>
      </c>
      <c r="I2905" s="31" t="s">
        <v>149</v>
      </c>
      <c r="J2905" s="31"/>
      <c r="K2905" s="31" t="s">
        <v>150</v>
      </c>
      <c r="L2905" s="45" t="n">
        <f aca="false">DATE(YEAR(B2905),MONTH(B2905),1)</f>
        <v>46235</v>
      </c>
      <c r="M2905" s="31" t="n">
        <f aca="false">WEEKDAY(B2905,2)</f>
        <v>1</v>
      </c>
      <c r="N2905" s="31" t="str">
        <f aca="false">IF(G2905&lt;=INDEX(Assumptions!$B$15:$B$18,MATCH(E2905,Assumptions!$A$15:$A$18,0)),"Yes","No")</f>
        <v>Yes</v>
      </c>
      <c r="O2905" s="31" t="str">
        <f aca="false">IF(H2905="","Open",IF(H2905&lt;=INDEX(Assumptions!$C$15:$C$18,MATCH(E2905,Assumptions!$A$15:$A$18,0)),"Yes","No"))</f>
        <v>Yes</v>
      </c>
    </row>
    <row r="2906" customFormat="false" ht="15" hidden="false" customHeight="false" outlineLevel="0" collapsed="false">
      <c r="A2906" s="31" t="s">
        <v>3056</v>
      </c>
      <c r="B2906" s="44" t="n">
        <v>46244</v>
      </c>
      <c r="C2906" s="31" t="s">
        <v>57</v>
      </c>
      <c r="D2906" s="31" t="s">
        <v>68</v>
      </c>
      <c r="E2906" s="31" t="s">
        <v>50</v>
      </c>
      <c r="F2906" s="31" t="s">
        <v>128</v>
      </c>
      <c r="G2906" s="31" t="n">
        <v>7</v>
      </c>
      <c r="H2906" s="41" t="n">
        <v>15.3</v>
      </c>
      <c r="I2906" s="31" t="s">
        <v>149</v>
      </c>
      <c r="J2906" s="31" t="n">
        <v>4</v>
      </c>
      <c r="K2906" s="31" t="s">
        <v>150</v>
      </c>
      <c r="L2906" s="45" t="n">
        <f aca="false">DATE(YEAR(B2906),MONTH(B2906),1)</f>
        <v>46235</v>
      </c>
      <c r="M2906" s="31" t="n">
        <f aca="false">WEEKDAY(B2906,2)</f>
        <v>1</v>
      </c>
      <c r="N2906" s="31" t="str">
        <f aca="false">IF(G2906&lt;=INDEX(Assumptions!$B$15:$B$18,MATCH(E2906,Assumptions!$A$15:$A$18,0)),"Yes","No")</f>
        <v>Yes</v>
      </c>
      <c r="O2906" s="31" t="str">
        <f aca="false">IF(H2906="","Open",IF(H2906&lt;=INDEX(Assumptions!$C$15:$C$18,MATCH(E2906,Assumptions!$A$15:$A$18,0)),"Yes","No"))</f>
        <v>No</v>
      </c>
    </row>
    <row r="2907" customFormat="false" ht="15" hidden="false" customHeight="false" outlineLevel="0" collapsed="false">
      <c r="A2907" s="31" t="s">
        <v>3057</v>
      </c>
      <c r="B2907" s="44" t="n">
        <v>46244</v>
      </c>
      <c r="C2907" s="31" t="s">
        <v>57</v>
      </c>
      <c r="D2907" s="31" t="s">
        <v>67</v>
      </c>
      <c r="E2907" s="31" t="s">
        <v>49</v>
      </c>
      <c r="F2907" s="31" t="s">
        <v>129</v>
      </c>
      <c r="G2907" s="31" t="n">
        <v>3</v>
      </c>
      <c r="H2907" s="41" t="n">
        <v>2.9</v>
      </c>
      <c r="I2907" s="31" t="s">
        <v>149</v>
      </c>
      <c r="J2907" s="31" t="n">
        <v>5</v>
      </c>
      <c r="K2907" s="31" t="s">
        <v>150</v>
      </c>
      <c r="L2907" s="45" t="n">
        <f aca="false">DATE(YEAR(B2907),MONTH(B2907),1)</f>
        <v>46235</v>
      </c>
      <c r="M2907" s="31" t="n">
        <f aca="false">WEEKDAY(B2907,2)</f>
        <v>1</v>
      </c>
      <c r="N2907" s="31" t="str">
        <f aca="false">IF(G2907&lt;=INDEX(Assumptions!$B$15:$B$18,MATCH(E2907,Assumptions!$A$15:$A$18,0)),"Yes","No")</f>
        <v>Yes</v>
      </c>
      <c r="O2907" s="31" t="str">
        <f aca="false">IF(H2907="","Open",IF(H2907&lt;=INDEX(Assumptions!$C$15:$C$18,MATCH(E2907,Assumptions!$A$15:$A$18,0)),"Yes","No"))</f>
        <v>Yes</v>
      </c>
    </row>
    <row r="2908" customFormat="false" ht="15" hidden="false" customHeight="false" outlineLevel="0" collapsed="false">
      <c r="A2908" s="31" t="s">
        <v>3058</v>
      </c>
      <c r="B2908" s="44" t="n">
        <v>46244</v>
      </c>
      <c r="C2908" s="31" t="s">
        <v>59</v>
      </c>
      <c r="D2908" s="31" t="s">
        <v>67</v>
      </c>
      <c r="E2908" s="31" t="s">
        <v>52</v>
      </c>
      <c r="F2908" s="31" t="s">
        <v>134</v>
      </c>
      <c r="G2908" s="31" t="n">
        <v>86</v>
      </c>
      <c r="H2908" s="41" t="n">
        <v>56.8</v>
      </c>
      <c r="I2908" s="31" t="s">
        <v>64</v>
      </c>
      <c r="J2908" s="31"/>
      <c r="K2908" s="31" t="s">
        <v>150</v>
      </c>
      <c r="L2908" s="45" t="n">
        <f aca="false">DATE(YEAR(B2908),MONTH(B2908),1)</f>
        <v>46235</v>
      </c>
      <c r="M2908" s="31" t="n">
        <f aca="false">WEEKDAY(B2908,2)</f>
        <v>1</v>
      </c>
      <c r="N2908" s="31" t="str">
        <f aca="false">IF(G2908&lt;=INDEX(Assumptions!$B$15:$B$18,MATCH(E2908,Assumptions!$A$15:$A$18,0)),"Yes","No")</f>
        <v>Yes</v>
      </c>
      <c r="O2908" s="31" t="str">
        <f aca="false">IF(H2908="","Open",IF(H2908&lt;=INDEX(Assumptions!$C$15:$C$18,MATCH(E2908,Assumptions!$A$15:$A$18,0)),"Yes","No"))</f>
        <v>Yes</v>
      </c>
    </row>
    <row r="2909" customFormat="false" ht="15" hidden="false" customHeight="false" outlineLevel="0" collapsed="false">
      <c r="A2909" s="31" t="s">
        <v>3059</v>
      </c>
      <c r="B2909" s="44" t="n">
        <v>46244</v>
      </c>
      <c r="C2909" s="31" t="s">
        <v>60</v>
      </c>
      <c r="D2909" s="31" t="s">
        <v>67</v>
      </c>
      <c r="E2909" s="31" t="s">
        <v>51</v>
      </c>
      <c r="F2909" s="31" t="s">
        <v>135</v>
      </c>
      <c r="G2909" s="31" t="n">
        <v>4</v>
      </c>
      <c r="H2909" s="41" t="n">
        <v>5.1</v>
      </c>
      <c r="I2909" s="31" t="s">
        <v>149</v>
      </c>
      <c r="J2909" s="31"/>
      <c r="K2909" s="31" t="s">
        <v>150</v>
      </c>
      <c r="L2909" s="45" t="n">
        <f aca="false">DATE(YEAR(B2909),MONTH(B2909),1)</f>
        <v>46235</v>
      </c>
      <c r="M2909" s="31" t="n">
        <f aca="false">WEEKDAY(B2909,2)</f>
        <v>1</v>
      </c>
      <c r="N2909" s="31" t="str">
        <f aca="false">IF(G2909&lt;=INDEX(Assumptions!$B$15:$B$18,MATCH(E2909,Assumptions!$A$15:$A$18,0)),"Yes","No")</f>
        <v>Yes</v>
      </c>
      <c r="O2909" s="31" t="str">
        <f aca="false">IF(H2909="","Open",IF(H2909&lt;=INDEX(Assumptions!$C$15:$C$18,MATCH(E2909,Assumptions!$A$15:$A$18,0)),"Yes","No"))</f>
        <v>Yes</v>
      </c>
    </row>
    <row r="2910" customFormat="false" ht="15" hidden="false" customHeight="false" outlineLevel="0" collapsed="false">
      <c r="A2910" s="31" t="s">
        <v>3060</v>
      </c>
      <c r="B2910" s="44" t="n">
        <v>46245</v>
      </c>
      <c r="C2910" s="31" t="s">
        <v>58</v>
      </c>
      <c r="D2910" s="31" t="s">
        <v>68</v>
      </c>
      <c r="E2910" s="31" t="s">
        <v>51</v>
      </c>
      <c r="F2910" s="31" t="s">
        <v>129</v>
      </c>
      <c r="G2910" s="31" t="n">
        <v>7</v>
      </c>
      <c r="H2910" s="41" t="n">
        <v>7.3</v>
      </c>
      <c r="I2910" s="31" t="s">
        <v>149</v>
      </c>
      <c r="J2910" s="31"/>
      <c r="K2910" s="31" t="s">
        <v>150</v>
      </c>
      <c r="L2910" s="45" t="n">
        <f aca="false">DATE(YEAR(B2910),MONTH(B2910),1)</f>
        <v>46235</v>
      </c>
      <c r="M2910" s="31" t="n">
        <f aca="false">WEEKDAY(B2910,2)</f>
        <v>2</v>
      </c>
      <c r="N2910" s="31" t="str">
        <f aca="false">IF(G2910&lt;=INDEX(Assumptions!$B$15:$B$18,MATCH(E2910,Assumptions!$A$15:$A$18,0)),"Yes","No")</f>
        <v>Yes</v>
      </c>
      <c r="O2910" s="31" t="str">
        <f aca="false">IF(H2910="","Open",IF(H2910&lt;=INDEX(Assumptions!$C$15:$C$18,MATCH(E2910,Assumptions!$A$15:$A$18,0)),"Yes","No"))</f>
        <v>Yes</v>
      </c>
    </row>
    <row r="2911" customFormat="false" ht="15" hidden="false" customHeight="false" outlineLevel="0" collapsed="false">
      <c r="A2911" s="31" t="s">
        <v>3061</v>
      </c>
      <c r="B2911" s="44" t="n">
        <v>46245</v>
      </c>
      <c r="C2911" s="31" t="s">
        <v>59</v>
      </c>
      <c r="D2911" s="31" t="s">
        <v>69</v>
      </c>
      <c r="E2911" s="31" t="s">
        <v>51</v>
      </c>
      <c r="F2911" s="31" t="s">
        <v>128</v>
      </c>
      <c r="G2911" s="31" t="n">
        <v>428</v>
      </c>
      <c r="H2911" s="41" t="n">
        <v>21.3</v>
      </c>
      <c r="I2911" s="31" t="s">
        <v>149</v>
      </c>
      <c r="J2911" s="31"/>
      <c r="K2911" s="31" t="s">
        <v>153</v>
      </c>
      <c r="L2911" s="45" t="n">
        <f aca="false">DATE(YEAR(B2911),MONTH(B2911),1)</f>
        <v>46235</v>
      </c>
      <c r="M2911" s="31" t="n">
        <f aca="false">WEEKDAY(B2911,2)</f>
        <v>2</v>
      </c>
      <c r="N2911" s="31" t="str">
        <f aca="false">IF(G2911&lt;=INDEX(Assumptions!$B$15:$B$18,MATCH(E2911,Assumptions!$A$15:$A$18,0)),"Yes","No")</f>
        <v>No</v>
      </c>
      <c r="O2911" s="31" t="str">
        <f aca="false">IF(H2911="","Open",IF(H2911&lt;=INDEX(Assumptions!$C$15:$C$18,MATCH(E2911,Assumptions!$A$15:$A$18,0)),"Yes","No"))</f>
        <v>Yes</v>
      </c>
    </row>
    <row r="2912" customFormat="false" ht="15" hidden="false" customHeight="false" outlineLevel="0" collapsed="false">
      <c r="A2912" s="31" t="s">
        <v>3062</v>
      </c>
      <c r="B2912" s="44" t="n">
        <v>46245</v>
      </c>
      <c r="C2912" s="31" t="s">
        <v>57</v>
      </c>
      <c r="D2912" s="31" t="s">
        <v>66</v>
      </c>
      <c r="E2912" s="31" t="s">
        <v>52</v>
      </c>
      <c r="F2912" s="31" t="s">
        <v>130</v>
      </c>
      <c r="G2912" s="31" t="n">
        <v>6</v>
      </c>
      <c r="H2912" s="41" t="n">
        <v>8.3</v>
      </c>
      <c r="I2912" s="31" t="s">
        <v>149</v>
      </c>
      <c r="J2912" s="31" t="n">
        <v>5</v>
      </c>
      <c r="K2912" s="31" t="s">
        <v>150</v>
      </c>
      <c r="L2912" s="45" t="n">
        <f aca="false">DATE(YEAR(B2912),MONTH(B2912),1)</f>
        <v>46235</v>
      </c>
      <c r="M2912" s="31" t="n">
        <f aca="false">WEEKDAY(B2912,2)</f>
        <v>2</v>
      </c>
      <c r="N2912" s="31" t="str">
        <f aca="false">IF(G2912&lt;=INDEX(Assumptions!$B$15:$B$18,MATCH(E2912,Assumptions!$A$15:$A$18,0)),"Yes","No")</f>
        <v>Yes</v>
      </c>
      <c r="O2912" s="31" t="str">
        <f aca="false">IF(H2912="","Open",IF(H2912&lt;=INDEX(Assumptions!$C$15:$C$18,MATCH(E2912,Assumptions!$A$15:$A$18,0)),"Yes","No"))</f>
        <v>Yes</v>
      </c>
    </row>
    <row r="2913" customFormat="false" ht="15" hidden="false" customHeight="false" outlineLevel="0" collapsed="false">
      <c r="A2913" s="31" t="s">
        <v>3063</v>
      </c>
      <c r="B2913" s="44" t="n">
        <v>46245</v>
      </c>
      <c r="C2913" s="31" t="s">
        <v>60</v>
      </c>
      <c r="D2913" s="31" t="s">
        <v>68</v>
      </c>
      <c r="E2913" s="31" t="s">
        <v>51</v>
      </c>
      <c r="F2913" s="31" t="s">
        <v>137</v>
      </c>
      <c r="G2913" s="31" t="n">
        <v>2</v>
      </c>
      <c r="H2913" s="41" t="n">
        <v>8.7</v>
      </c>
      <c r="I2913" s="31" t="s">
        <v>149</v>
      </c>
      <c r="J2913" s="31" t="n">
        <v>4</v>
      </c>
      <c r="K2913" s="31" t="s">
        <v>150</v>
      </c>
      <c r="L2913" s="45" t="n">
        <f aca="false">DATE(YEAR(B2913),MONTH(B2913),1)</f>
        <v>46235</v>
      </c>
      <c r="M2913" s="31" t="n">
        <f aca="false">WEEKDAY(B2913,2)</f>
        <v>2</v>
      </c>
      <c r="N2913" s="31" t="str">
        <f aca="false">IF(G2913&lt;=INDEX(Assumptions!$B$15:$B$18,MATCH(E2913,Assumptions!$A$15:$A$18,0)),"Yes","No")</f>
        <v>Yes</v>
      </c>
      <c r="O2913" s="31" t="str">
        <f aca="false">IF(H2913="","Open",IF(H2913&lt;=INDEX(Assumptions!$C$15:$C$18,MATCH(E2913,Assumptions!$A$15:$A$18,0)),"Yes","No"))</f>
        <v>Yes</v>
      </c>
    </row>
    <row r="2914" customFormat="false" ht="15" hidden="false" customHeight="false" outlineLevel="0" collapsed="false">
      <c r="A2914" s="31" t="s">
        <v>3064</v>
      </c>
      <c r="B2914" s="44" t="n">
        <v>46245</v>
      </c>
      <c r="C2914" s="31" t="s">
        <v>59</v>
      </c>
      <c r="D2914" s="31" t="s">
        <v>69</v>
      </c>
      <c r="E2914" s="31" t="s">
        <v>51</v>
      </c>
      <c r="F2914" s="31" t="s">
        <v>127</v>
      </c>
      <c r="G2914" s="31" t="n">
        <v>136</v>
      </c>
      <c r="H2914" s="41" t="n">
        <v>62.6</v>
      </c>
      <c r="I2914" s="31" t="s">
        <v>149</v>
      </c>
      <c r="J2914" s="31"/>
      <c r="K2914" s="31" t="s">
        <v>150</v>
      </c>
      <c r="L2914" s="45" t="n">
        <f aca="false">DATE(YEAR(B2914),MONTH(B2914),1)</f>
        <v>46235</v>
      </c>
      <c r="M2914" s="31" t="n">
        <f aca="false">WEEKDAY(B2914,2)</f>
        <v>2</v>
      </c>
      <c r="N2914" s="31" t="str">
        <f aca="false">IF(G2914&lt;=INDEX(Assumptions!$B$15:$B$18,MATCH(E2914,Assumptions!$A$15:$A$18,0)),"Yes","No")</f>
        <v>No</v>
      </c>
      <c r="O2914" s="31" t="str">
        <f aca="false">IF(H2914="","Open",IF(H2914&lt;=INDEX(Assumptions!$C$15:$C$18,MATCH(E2914,Assumptions!$A$15:$A$18,0)),"Yes","No"))</f>
        <v>No</v>
      </c>
    </row>
    <row r="2915" customFormat="false" ht="15" hidden="false" customHeight="false" outlineLevel="0" collapsed="false">
      <c r="A2915" s="31" t="s">
        <v>3065</v>
      </c>
      <c r="B2915" s="44" t="n">
        <v>46245</v>
      </c>
      <c r="C2915" s="31" t="s">
        <v>57</v>
      </c>
      <c r="D2915" s="31" t="s">
        <v>68</v>
      </c>
      <c r="E2915" s="31" t="s">
        <v>49</v>
      </c>
      <c r="F2915" s="31" t="s">
        <v>122</v>
      </c>
      <c r="G2915" s="31" t="n">
        <v>4</v>
      </c>
      <c r="H2915" s="41" t="n">
        <v>0.8</v>
      </c>
      <c r="I2915" s="31" t="s">
        <v>149</v>
      </c>
      <c r="J2915" s="31"/>
      <c r="K2915" s="31" t="s">
        <v>150</v>
      </c>
      <c r="L2915" s="45" t="n">
        <f aca="false">DATE(YEAR(B2915),MONTH(B2915),1)</f>
        <v>46235</v>
      </c>
      <c r="M2915" s="31" t="n">
        <f aca="false">WEEKDAY(B2915,2)</f>
        <v>2</v>
      </c>
      <c r="N2915" s="31" t="str">
        <f aca="false">IF(G2915&lt;=INDEX(Assumptions!$B$15:$B$18,MATCH(E2915,Assumptions!$A$15:$A$18,0)),"Yes","No")</f>
        <v>Yes</v>
      </c>
      <c r="O2915" s="31" t="str">
        <f aca="false">IF(H2915="","Open",IF(H2915&lt;=INDEX(Assumptions!$C$15:$C$18,MATCH(E2915,Assumptions!$A$15:$A$18,0)),"Yes","No"))</f>
        <v>Yes</v>
      </c>
    </row>
    <row r="2916" customFormat="false" ht="15" hidden="false" customHeight="false" outlineLevel="0" collapsed="false">
      <c r="A2916" s="31" t="s">
        <v>3066</v>
      </c>
      <c r="B2916" s="44" t="n">
        <v>46245</v>
      </c>
      <c r="C2916" s="31" t="s">
        <v>57</v>
      </c>
      <c r="D2916" s="31" t="s">
        <v>67</v>
      </c>
      <c r="E2916" s="31" t="s">
        <v>51</v>
      </c>
      <c r="F2916" s="31" t="s">
        <v>129</v>
      </c>
      <c r="G2916" s="31" t="n">
        <v>1</v>
      </c>
      <c r="H2916" s="41" t="n">
        <v>5.8</v>
      </c>
      <c r="I2916" s="31" t="s">
        <v>149</v>
      </c>
      <c r="J2916" s="31" t="n">
        <v>5</v>
      </c>
      <c r="K2916" s="31" t="s">
        <v>150</v>
      </c>
      <c r="L2916" s="45" t="n">
        <f aca="false">DATE(YEAR(B2916),MONTH(B2916),1)</f>
        <v>46235</v>
      </c>
      <c r="M2916" s="31" t="n">
        <f aca="false">WEEKDAY(B2916,2)</f>
        <v>2</v>
      </c>
      <c r="N2916" s="31" t="str">
        <f aca="false">IF(G2916&lt;=INDEX(Assumptions!$B$15:$B$18,MATCH(E2916,Assumptions!$A$15:$A$18,0)),"Yes","No")</f>
        <v>Yes</v>
      </c>
      <c r="O2916" s="31" t="str">
        <f aca="false">IF(H2916="","Open",IF(H2916&lt;=INDEX(Assumptions!$C$15:$C$18,MATCH(E2916,Assumptions!$A$15:$A$18,0)),"Yes","No"))</f>
        <v>Yes</v>
      </c>
    </row>
    <row r="2917" customFormat="false" ht="15" hidden="false" customHeight="false" outlineLevel="0" collapsed="false">
      <c r="A2917" s="31" t="s">
        <v>3067</v>
      </c>
      <c r="B2917" s="44" t="n">
        <v>46245</v>
      </c>
      <c r="C2917" s="31" t="s">
        <v>57</v>
      </c>
      <c r="D2917" s="31" t="s">
        <v>66</v>
      </c>
      <c r="E2917" s="31" t="s">
        <v>51</v>
      </c>
      <c r="F2917" s="31" t="s">
        <v>131</v>
      </c>
      <c r="G2917" s="31" t="n">
        <v>4</v>
      </c>
      <c r="H2917" s="41" t="n">
        <v>7.2</v>
      </c>
      <c r="I2917" s="31" t="s">
        <v>149</v>
      </c>
      <c r="J2917" s="31"/>
      <c r="K2917" s="31" t="s">
        <v>150</v>
      </c>
      <c r="L2917" s="45" t="n">
        <f aca="false">DATE(YEAR(B2917),MONTH(B2917),1)</f>
        <v>46235</v>
      </c>
      <c r="M2917" s="31" t="n">
        <f aca="false">WEEKDAY(B2917,2)</f>
        <v>2</v>
      </c>
      <c r="N2917" s="31" t="str">
        <f aca="false">IF(G2917&lt;=INDEX(Assumptions!$B$15:$B$18,MATCH(E2917,Assumptions!$A$15:$A$18,0)),"Yes","No")</f>
        <v>Yes</v>
      </c>
      <c r="O2917" s="31" t="str">
        <f aca="false">IF(H2917="","Open",IF(H2917&lt;=INDEX(Assumptions!$C$15:$C$18,MATCH(E2917,Assumptions!$A$15:$A$18,0)),"Yes","No"))</f>
        <v>Yes</v>
      </c>
    </row>
    <row r="2918" customFormat="false" ht="15" hidden="false" customHeight="false" outlineLevel="0" collapsed="false">
      <c r="A2918" s="31" t="s">
        <v>3068</v>
      </c>
      <c r="B2918" s="44" t="n">
        <v>46245</v>
      </c>
      <c r="C2918" s="31" t="s">
        <v>57</v>
      </c>
      <c r="D2918" s="31" t="s">
        <v>66</v>
      </c>
      <c r="E2918" s="31" t="s">
        <v>52</v>
      </c>
      <c r="F2918" s="31" t="s">
        <v>135</v>
      </c>
      <c r="G2918" s="31" t="n">
        <v>11</v>
      </c>
      <c r="H2918" s="41" t="n">
        <v>8.1</v>
      </c>
      <c r="I2918" s="31" t="s">
        <v>149</v>
      </c>
      <c r="J2918" s="31" t="n">
        <v>3</v>
      </c>
      <c r="K2918" s="31" t="s">
        <v>150</v>
      </c>
      <c r="L2918" s="45" t="n">
        <f aca="false">DATE(YEAR(B2918),MONTH(B2918),1)</f>
        <v>46235</v>
      </c>
      <c r="M2918" s="31" t="n">
        <f aca="false">WEEKDAY(B2918,2)</f>
        <v>2</v>
      </c>
      <c r="N2918" s="31" t="str">
        <f aca="false">IF(G2918&lt;=INDEX(Assumptions!$B$15:$B$18,MATCH(E2918,Assumptions!$A$15:$A$18,0)),"Yes","No")</f>
        <v>Yes</v>
      </c>
      <c r="O2918" s="31" t="str">
        <f aca="false">IF(H2918="","Open",IF(H2918&lt;=INDEX(Assumptions!$C$15:$C$18,MATCH(E2918,Assumptions!$A$15:$A$18,0)),"Yes","No"))</f>
        <v>Yes</v>
      </c>
    </row>
    <row r="2919" customFormat="false" ht="15" hidden="false" customHeight="false" outlineLevel="0" collapsed="false">
      <c r="A2919" s="31" t="s">
        <v>3069</v>
      </c>
      <c r="B2919" s="44" t="n">
        <v>46245</v>
      </c>
      <c r="C2919" s="31" t="s">
        <v>58</v>
      </c>
      <c r="D2919" s="31" t="s">
        <v>68</v>
      </c>
      <c r="E2919" s="31" t="s">
        <v>52</v>
      </c>
      <c r="F2919" s="31" t="s">
        <v>127</v>
      </c>
      <c r="G2919" s="31" t="n">
        <v>9</v>
      </c>
      <c r="H2919" s="41" t="n">
        <v>8.6</v>
      </c>
      <c r="I2919" s="31" t="s">
        <v>149</v>
      </c>
      <c r="J2919" s="31"/>
      <c r="K2919" s="31" t="s">
        <v>150</v>
      </c>
      <c r="L2919" s="45" t="n">
        <f aca="false">DATE(YEAR(B2919),MONTH(B2919),1)</f>
        <v>46235</v>
      </c>
      <c r="M2919" s="31" t="n">
        <f aca="false">WEEKDAY(B2919,2)</f>
        <v>2</v>
      </c>
      <c r="N2919" s="31" t="str">
        <f aca="false">IF(G2919&lt;=INDEX(Assumptions!$B$15:$B$18,MATCH(E2919,Assumptions!$A$15:$A$18,0)),"Yes","No")</f>
        <v>Yes</v>
      </c>
      <c r="O2919" s="31" t="str">
        <f aca="false">IF(H2919="","Open",IF(H2919&lt;=INDEX(Assumptions!$C$15:$C$18,MATCH(E2919,Assumptions!$A$15:$A$18,0)),"Yes","No"))</f>
        <v>Yes</v>
      </c>
    </row>
    <row r="2920" customFormat="false" ht="15" hidden="false" customHeight="false" outlineLevel="0" collapsed="false">
      <c r="A2920" s="31" t="s">
        <v>3070</v>
      </c>
      <c r="B2920" s="44" t="n">
        <v>46245</v>
      </c>
      <c r="C2920" s="31" t="s">
        <v>58</v>
      </c>
      <c r="D2920" s="31" t="s">
        <v>66</v>
      </c>
      <c r="E2920" s="31" t="s">
        <v>52</v>
      </c>
      <c r="F2920" s="31" t="s">
        <v>135</v>
      </c>
      <c r="G2920" s="31" t="n">
        <v>17</v>
      </c>
      <c r="H2920" s="41" t="n">
        <v>9.2</v>
      </c>
      <c r="I2920" s="31" t="s">
        <v>149</v>
      </c>
      <c r="J2920" s="31" t="n">
        <v>5</v>
      </c>
      <c r="K2920" s="31" t="s">
        <v>150</v>
      </c>
      <c r="L2920" s="45" t="n">
        <f aca="false">DATE(YEAR(B2920),MONTH(B2920),1)</f>
        <v>46235</v>
      </c>
      <c r="M2920" s="31" t="n">
        <f aca="false">WEEKDAY(B2920,2)</f>
        <v>2</v>
      </c>
      <c r="N2920" s="31" t="str">
        <f aca="false">IF(G2920&lt;=INDEX(Assumptions!$B$15:$B$18,MATCH(E2920,Assumptions!$A$15:$A$18,0)),"Yes","No")</f>
        <v>Yes</v>
      </c>
      <c r="O2920" s="31" t="str">
        <f aca="false">IF(H2920="","Open",IF(H2920&lt;=INDEX(Assumptions!$C$15:$C$18,MATCH(E2920,Assumptions!$A$15:$A$18,0)),"Yes","No"))</f>
        <v>Yes</v>
      </c>
    </row>
    <row r="2921" customFormat="false" ht="15" hidden="false" customHeight="false" outlineLevel="0" collapsed="false">
      <c r="A2921" s="31" t="s">
        <v>3071</v>
      </c>
      <c r="B2921" s="44" t="n">
        <v>46245</v>
      </c>
      <c r="C2921" s="31" t="s">
        <v>60</v>
      </c>
      <c r="D2921" s="31" t="s">
        <v>65</v>
      </c>
      <c r="E2921" s="31" t="s">
        <v>52</v>
      </c>
      <c r="F2921" s="31" t="s">
        <v>131</v>
      </c>
      <c r="G2921" s="31" t="n">
        <v>3</v>
      </c>
      <c r="H2921" s="41" t="n">
        <v>15.4</v>
      </c>
      <c r="I2921" s="31" t="s">
        <v>149</v>
      </c>
      <c r="J2921" s="31" t="n">
        <v>4</v>
      </c>
      <c r="K2921" s="31" t="s">
        <v>150</v>
      </c>
      <c r="L2921" s="45" t="n">
        <f aca="false">DATE(YEAR(B2921),MONTH(B2921),1)</f>
        <v>46235</v>
      </c>
      <c r="M2921" s="31" t="n">
        <f aca="false">WEEKDAY(B2921,2)</f>
        <v>2</v>
      </c>
      <c r="N2921" s="31" t="str">
        <f aca="false">IF(G2921&lt;=INDEX(Assumptions!$B$15:$B$18,MATCH(E2921,Assumptions!$A$15:$A$18,0)),"Yes","No")</f>
        <v>Yes</v>
      </c>
      <c r="O2921" s="31" t="str">
        <f aca="false">IF(H2921="","Open",IF(H2921&lt;=INDEX(Assumptions!$C$15:$C$18,MATCH(E2921,Assumptions!$A$15:$A$18,0)),"Yes","No"))</f>
        <v>Yes</v>
      </c>
    </row>
    <row r="2922" customFormat="false" ht="15" hidden="false" customHeight="false" outlineLevel="0" collapsed="false">
      <c r="A2922" s="31" t="s">
        <v>3072</v>
      </c>
      <c r="B2922" s="44" t="n">
        <v>46245</v>
      </c>
      <c r="C2922" s="31" t="s">
        <v>59</v>
      </c>
      <c r="D2922" s="31" t="s">
        <v>67</v>
      </c>
      <c r="E2922" s="31" t="s">
        <v>51</v>
      </c>
      <c r="F2922" s="31" t="s">
        <v>122</v>
      </c>
      <c r="G2922" s="31" t="n">
        <v>66</v>
      </c>
      <c r="H2922" s="41" t="n">
        <v>19.3</v>
      </c>
      <c r="I2922" s="31" t="s">
        <v>149</v>
      </c>
      <c r="J2922" s="31"/>
      <c r="K2922" s="31" t="s">
        <v>150</v>
      </c>
      <c r="L2922" s="45" t="n">
        <f aca="false">DATE(YEAR(B2922),MONTH(B2922),1)</f>
        <v>46235</v>
      </c>
      <c r="M2922" s="31" t="n">
        <f aca="false">WEEKDAY(B2922,2)</f>
        <v>2</v>
      </c>
      <c r="N2922" s="31" t="str">
        <f aca="false">IF(G2922&lt;=INDEX(Assumptions!$B$15:$B$18,MATCH(E2922,Assumptions!$A$15:$A$18,0)),"Yes","No")</f>
        <v>No</v>
      </c>
      <c r="O2922" s="31" t="str">
        <f aca="false">IF(H2922="","Open",IF(H2922&lt;=INDEX(Assumptions!$C$15:$C$18,MATCH(E2922,Assumptions!$A$15:$A$18,0)),"Yes","No"))</f>
        <v>Yes</v>
      </c>
    </row>
    <row r="2923" customFormat="false" ht="15" hidden="false" customHeight="false" outlineLevel="0" collapsed="false">
      <c r="A2923" s="31" t="s">
        <v>3073</v>
      </c>
      <c r="B2923" s="44" t="n">
        <v>46245</v>
      </c>
      <c r="C2923" s="31" t="s">
        <v>57</v>
      </c>
      <c r="D2923" s="31" t="s">
        <v>65</v>
      </c>
      <c r="E2923" s="31" t="s">
        <v>51</v>
      </c>
      <c r="F2923" s="31" t="s">
        <v>131</v>
      </c>
      <c r="G2923" s="31" t="n">
        <v>2</v>
      </c>
      <c r="H2923" s="41" t="n">
        <v>18.4</v>
      </c>
      <c r="I2923" s="31" t="s">
        <v>149</v>
      </c>
      <c r="J2923" s="31"/>
      <c r="K2923" s="31" t="s">
        <v>150</v>
      </c>
      <c r="L2923" s="45" t="n">
        <f aca="false">DATE(YEAR(B2923),MONTH(B2923),1)</f>
        <v>46235</v>
      </c>
      <c r="M2923" s="31" t="n">
        <f aca="false">WEEKDAY(B2923,2)</f>
        <v>2</v>
      </c>
      <c r="N2923" s="31" t="str">
        <f aca="false">IF(G2923&lt;=INDEX(Assumptions!$B$15:$B$18,MATCH(E2923,Assumptions!$A$15:$A$18,0)),"Yes","No")</f>
        <v>Yes</v>
      </c>
      <c r="O2923" s="31" t="str">
        <f aca="false">IF(H2923="","Open",IF(H2923&lt;=INDEX(Assumptions!$C$15:$C$18,MATCH(E2923,Assumptions!$A$15:$A$18,0)),"Yes","No"))</f>
        <v>Yes</v>
      </c>
    </row>
    <row r="2924" customFormat="false" ht="15" hidden="false" customHeight="false" outlineLevel="0" collapsed="false">
      <c r="A2924" s="31" t="s">
        <v>3074</v>
      </c>
      <c r="B2924" s="44" t="n">
        <v>46245</v>
      </c>
      <c r="C2924" s="31" t="s">
        <v>57</v>
      </c>
      <c r="D2924" s="31" t="s">
        <v>65</v>
      </c>
      <c r="E2924" s="31" t="s">
        <v>51</v>
      </c>
      <c r="F2924" s="31" t="s">
        <v>126</v>
      </c>
      <c r="G2924" s="31" t="n">
        <v>2</v>
      </c>
      <c r="H2924" s="41" t="n">
        <v>7.8</v>
      </c>
      <c r="I2924" s="31" t="s">
        <v>149</v>
      </c>
      <c r="J2924" s="31"/>
      <c r="K2924" s="31" t="s">
        <v>150</v>
      </c>
      <c r="L2924" s="45" t="n">
        <f aca="false">DATE(YEAR(B2924),MONTH(B2924),1)</f>
        <v>46235</v>
      </c>
      <c r="M2924" s="31" t="n">
        <f aca="false">WEEKDAY(B2924,2)</f>
        <v>2</v>
      </c>
      <c r="N2924" s="31" t="str">
        <f aca="false">IF(G2924&lt;=INDEX(Assumptions!$B$15:$B$18,MATCH(E2924,Assumptions!$A$15:$A$18,0)),"Yes","No")</f>
        <v>Yes</v>
      </c>
      <c r="O2924" s="31" t="str">
        <f aca="false">IF(H2924="","Open",IF(H2924&lt;=INDEX(Assumptions!$C$15:$C$18,MATCH(E2924,Assumptions!$A$15:$A$18,0)),"Yes","No"))</f>
        <v>Yes</v>
      </c>
    </row>
    <row r="2925" customFormat="false" ht="15" hidden="false" customHeight="false" outlineLevel="0" collapsed="false">
      <c r="A2925" s="31" t="s">
        <v>3075</v>
      </c>
      <c r="B2925" s="44" t="n">
        <v>46245</v>
      </c>
      <c r="C2925" s="31" t="s">
        <v>58</v>
      </c>
      <c r="D2925" s="31" t="s">
        <v>67</v>
      </c>
      <c r="E2925" s="31" t="s">
        <v>51</v>
      </c>
      <c r="F2925" s="31" t="s">
        <v>128</v>
      </c>
      <c r="G2925" s="31" t="n">
        <v>17</v>
      </c>
      <c r="H2925" s="41" t="n">
        <v>19.4</v>
      </c>
      <c r="I2925" s="31" t="s">
        <v>149</v>
      </c>
      <c r="J2925" s="31"/>
      <c r="K2925" s="31" t="s">
        <v>150</v>
      </c>
      <c r="L2925" s="45" t="n">
        <f aca="false">DATE(YEAR(B2925),MONTH(B2925),1)</f>
        <v>46235</v>
      </c>
      <c r="M2925" s="31" t="n">
        <f aca="false">WEEKDAY(B2925,2)</f>
        <v>2</v>
      </c>
      <c r="N2925" s="31" t="str">
        <f aca="false">IF(G2925&lt;=INDEX(Assumptions!$B$15:$B$18,MATCH(E2925,Assumptions!$A$15:$A$18,0)),"Yes","No")</f>
        <v>Yes</v>
      </c>
      <c r="O2925" s="31" t="str">
        <f aca="false">IF(H2925="","Open",IF(H2925&lt;=INDEX(Assumptions!$C$15:$C$18,MATCH(E2925,Assumptions!$A$15:$A$18,0)),"Yes","No"))</f>
        <v>Yes</v>
      </c>
    </row>
    <row r="2926" customFormat="false" ht="15" hidden="false" customHeight="false" outlineLevel="0" collapsed="false">
      <c r="A2926" s="31" t="s">
        <v>3076</v>
      </c>
      <c r="B2926" s="44" t="n">
        <v>46245</v>
      </c>
      <c r="C2926" s="31" t="s">
        <v>57</v>
      </c>
      <c r="D2926" s="31" t="s">
        <v>65</v>
      </c>
      <c r="E2926" s="31" t="s">
        <v>51</v>
      </c>
      <c r="F2926" s="31" t="s">
        <v>122</v>
      </c>
      <c r="G2926" s="31" t="n">
        <v>2</v>
      </c>
      <c r="H2926" s="41" t="n">
        <v>11.3</v>
      </c>
      <c r="I2926" s="31" t="s">
        <v>149</v>
      </c>
      <c r="J2926" s="31"/>
      <c r="K2926" s="31" t="s">
        <v>150</v>
      </c>
      <c r="L2926" s="45" t="n">
        <f aca="false">DATE(YEAR(B2926),MONTH(B2926),1)</f>
        <v>46235</v>
      </c>
      <c r="M2926" s="31" t="n">
        <f aca="false">WEEKDAY(B2926,2)</f>
        <v>2</v>
      </c>
      <c r="N2926" s="31" t="str">
        <f aca="false">IF(G2926&lt;=INDEX(Assumptions!$B$15:$B$18,MATCH(E2926,Assumptions!$A$15:$A$18,0)),"Yes","No")</f>
        <v>Yes</v>
      </c>
      <c r="O2926" s="31" t="str">
        <f aca="false">IF(H2926="","Open",IF(H2926&lt;=INDEX(Assumptions!$C$15:$C$18,MATCH(E2926,Assumptions!$A$15:$A$18,0)),"Yes","No"))</f>
        <v>Yes</v>
      </c>
    </row>
    <row r="2927" customFormat="false" ht="15" hidden="false" customHeight="false" outlineLevel="0" collapsed="false">
      <c r="A2927" s="31" t="s">
        <v>3077</v>
      </c>
      <c r="B2927" s="44" t="n">
        <v>46245</v>
      </c>
      <c r="C2927" s="31" t="s">
        <v>57</v>
      </c>
      <c r="D2927" s="31" t="s">
        <v>67</v>
      </c>
      <c r="E2927" s="31" t="s">
        <v>49</v>
      </c>
      <c r="F2927" s="31" t="s">
        <v>135</v>
      </c>
      <c r="G2927" s="31" t="n">
        <v>4</v>
      </c>
      <c r="H2927" s="41" t="n">
        <v>6.3</v>
      </c>
      <c r="I2927" s="31" t="s">
        <v>149</v>
      </c>
      <c r="J2927" s="31"/>
      <c r="K2927" s="31" t="s">
        <v>150</v>
      </c>
      <c r="L2927" s="45" t="n">
        <f aca="false">DATE(YEAR(B2927),MONTH(B2927),1)</f>
        <v>46235</v>
      </c>
      <c r="M2927" s="31" t="n">
        <f aca="false">WEEKDAY(B2927,2)</f>
        <v>2</v>
      </c>
      <c r="N2927" s="31" t="str">
        <f aca="false">IF(G2927&lt;=INDEX(Assumptions!$B$15:$B$18,MATCH(E2927,Assumptions!$A$15:$A$18,0)),"Yes","No")</f>
        <v>Yes</v>
      </c>
      <c r="O2927" s="31" t="str">
        <f aca="false">IF(H2927="","Open",IF(H2927&lt;=INDEX(Assumptions!$C$15:$C$18,MATCH(E2927,Assumptions!$A$15:$A$18,0)),"Yes","No"))</f>
        <v>No</v>
      </c>
    </row>
    <row r="2928" customFormat="false" ht="15" hidden="false" customHeight="false" outlineLevel="0" collapsed="false">
      <c r="A2928" s="31" t="s">
        <v>3078</v>
      </c>
      <c r="B2928" s="44" t="n">
        <v>46245</v>
      </c>
      <c r="C2928" s="31" t="s">
        <v>59</v>
      </c>
      <c r="D2928" s="31" t="s">
        <v>68</v>
      </c>
      <c r="E2928" s="31" t="s">
        <v>50</v>
      </c>
      <c r="F2928" s="31" t="s">
        <v>126</v>
      </c>
      <c r="G2928" s="31" t="n">
        <v>50</v>
      </c>
      <c r="H2928" s="41" t="n">
        <v>1.8</v>
      </c>
      <c r="I2928" s="31" t="s">
        <v>149</v>
      </c>
      <c r="J2928" s="31"/>
      <c r="K2928" s="31" t="s">
        <v>150</v>
      </c>
      <c r="L2928" s="45" t="n">
        <f aca="false">DATE(YEAR(B2928),MONTH(B2928),1)</f>
        <v>46235</v>
      </c>
      <c r="M2928" s="31" t="n">
        <f aca="false">WEEKDAY(B2928,2)</f>
        <v>2</v>
      </c>
      <c r="N2928" s="31" t="str">
        <f aca="false">IF(G2928&lt;=INDEX(Assumptions!$B$15:$B$18,MATCH(E2928,Assumptions!$A$15:$A$18,0)),"Yes","No")</f>
        <v>No</v>
      </c>
      <c r="O2928" s="31" t="str">
        <f aca="false">IF(H2928="","Open",IF(H2928&lt;=INDEX(Assumptions!$C$15:$C$18,MATCH(E2928,Assumptions!$A$15:$A$18,0)),"Yes","No"))</f>
        <v>Yes</v>
      </c>
    </row>
    <row r="2929" customFormat="false" ht="15" hidden="false" customHeight="false" outlineLevel="0" collapsed="false">
      <c r="A2929" s="31" t="s">
        <v>3079</v>
      </c>
      <c r="B2929" s="44" t="n">
        <v>46245</v>
      </c>
      <c r="C2929" s="31" t="s">
        <v>60</v>
      </c>
      <c r="D2929" s="31" t="s">
        <v>65</v>
      </c>
      <c r="E2929" s="31" t="s">
        <v>50</v>
      </c>
      <c r="F2929" s="31" t="s">
        <v>121</v>
      </c>
      <c r="G2929" s="31" t="n">
        <v>1</v>
      </c>
      <c r="H2929" s="41" t="n">
        <v>16.4</v>
      </c>
      <c r="I2929" s="31" t="s">
        <v>149</v>
      </c>
      <c r="J2929" s="31"/>
      <c r="K2929" s="31" t="s">
        <v>150</v>
      </c>
      <c r="L2929" s="45" t="n">
        <f aca="false">DATE(YEAR(B2929),MONTH(B2929),1)</f>
        <v>46235</v>
      </c>
      <c r="M2929" s="31" t="n">
        <f aca="false">WEEKDAY(B2929,2)</f>
        <v>2</v>
      </c>
      <c r="N2929" s="31" t="str">
        <f aca="false">IF(G2929&lt;=INDEX(Assumptions!$B$15:$B$18,MATCH(E2929,Assumptions!$A$15:$A$18,0)),"Yes","No")</f>
        <v>Yes</v>
      </c>
      <c r="O2929" s="31" t="str">
        <f aca="false">IF(H2929="","Open",IF(H2929&lt;=INDEX(Assumptions!$C$15:$C$18,MATCH(E2929,Assumptions!$A$15:$A$18,0)),"Yes","No"))</f>
        <v>No</v>
      </c>
    </row>
    <row r="2930" customFormat="false" ht="15" hidden="false" customHeight="false" outlineLevel="0" collapsed="false">
      <c r="A2930" s="31" t="s">
        <v>3080</v>
      </c>
      <c r="B2930" s="44" t="n">
        <v>46245</v>
      </c>
      <c r="C2930" s="31" t="s">
        <v>58</v>
      </c>
      <c r="D2930" s="31" t="s">
        <v>65</v>
      </c>
      <c r="E2930" s="31" t="s">
        <v>52</v>
      </c>
      <c r="F2930" s="31" t="s">
        <v>129</v>
      </c>
      <c r="G2930" s="31" t="n">
        <v>25</v>
      </c>
      <c r="H2930" s="41" t="n">
        <v>3.2</v>
      </c>
      <c r="I2930" s="31" t="s">
        <v>149</v>
      </c>
      <c r="J2930" s="31" t="n">
        <v>5</v>
      </c>
      <c r="K2930" s="31" t="s">
        <v>150</v>
      </c>
      <c r="L2930" s="45" t="n">
        <f aca="false">DATE(YEAR(B2930),MONTH(B2930),1)</f>
        <v>46235</v>
      </c>
      <c r="M2930" s="31" t="n">
        <f aca="false">WEEKDAY(B2930,2)</f>
        <v>2</v>
      </c>
      <c r="N2930" s="31" t="str">
        <f aca="false">IF(G2930&lt;=INDEX(Assumptions!$B$15:$B$18,MATCH(E2930,Assumptions!$A$15:$A$18,0)),"Yes","No")</f>
        <v>Yes</v>
      </c>
      <c r="O2930" s="31" t="str">
        <f aca="false">IF(H2930="","Open",IF(H2930&lt;=INDEX(Assumptions!$C$15:$C$18,MATCH(E2930,Assumptions!$A$15:$A$18,0)),"Yes","No"))</f>
        <v>Yes</v>
      </c>
    </row>
    <row r="2931" customFormat="false" ht="15" hidden="false" customHeight="false" outlineLevel="0" collapsed="false">
      <c r="A2931" s="31" t="s">
        <v>3081</v>
      </c>
      <c r="B2931" s="44" t="n">
        <v>46245</v>
      </c>
      <c r="C2931" s="31" t="s">
        <v>60</v>
      </c>
      <c r="D2931" s="31" t="s">
        <v>66</v>
      </c>
      <c r="E2931" s="31" t="s">
        <v>49</v>
      </c>
      <c r="F2931" s="31" t="s">
        <v>137</v>
      </c>
      <c r="G2931" s="31" t="n">
        <v>1</v>
      </c>
      <c r="H2931" s="41" t="n">
        <v>1.9</v>
      </c>
      <c r="I2931" s="31" t="s">
        <v>149</v>
      </c>
      <c r="J2931" s="31" t="n">
        <v>3</v>
      </c>
      <c r="K2931" s="31" t="s">
        <v>150</v>
      </c>
      <c r="L2931" s="45" t="n">
        <f aca="false">DATE(YEAR(B2931),MONTH(B2931),1)</f>
        <v>46235</v>
      </c>
      <c r="M2931" s="31" t="n">
        <f aca="false">WEEKDAY(B2931,2)</f>
        <v>2</v>
      </c>
      <c r="N2931" s="31" t="str">
        <f aca="false">IF(G2931&lt;=INDEX(Assumptions!$B$15:$B$18,MATCH(E2931,Assumptions!$A$15:$A$18,0)),"Yes","No")</f>
        <v>Yes</v>
      </c>
      <c r="O2931" s="31" t="str">
        <f aca="false">IF(H2931="","Open",IF(H2931&lt;=INDEX(Assumptions!$C$15:$C$18,MATCH(E2931,Assumptions!$A$15:$A$18,0)),"Yes","No"))</f>
        <v>Yes</v>
      </c>
    </row>
    <row r="2932" customFormat="false" ht="15" hidden="false" customHeight="false" outlineLevel="0" collapsed="false">
      <c r="A2932" s="31" t="s">
        <v>3082</v>
      </c>
      <c r="B2932" s="44" t="n">
        <v>46245</v>
      </c>
      <c r="C2932" s="31" t="s">
        <v>58</v>
      </c>
      <c r="D2932" s="31" t="s">
        <v>66</v>
      </c>
      <c r="E2932" s="31" t="s">
        <v>51</v>
      </c>
      <c r="F2932" s="31" t="s">
        <v>129</v>
      </c>
      <c r="G2932" s="31" t="n">
        <v>6</v>
      </c>
      <c r="H2932" s="41" t="n">
        <v>7.8</v>
      </c>
      <c r="I2932" s="31" t="s">
        <v>149</v>
      </c>
      <c r="J2932" s="31"/>
      <c r="K2932" s="31" t="s">
        <v>150</v>
      </c>
      <c r="L2932" s="45" t="n">
        <f aca="false">DATE(YEAR(B2932),MONTH(B2932),1)</f>
        <v>46235</v>
      </c>
      <c r="M2932" s="31" t="n">
        <f aca="false">WEEKDAY(B2932,2)</f>
        <v>2</v>
      </c>
      <c r="N2932" s="31" t="str">
        <f aca="false">IF(G2932&lt;=INDEX(Assumptions!$B$15:$B$18,MATCH(E2932,Assumptions!$A$15:$A$18,0)),"Yes","No")</f>
        <v>Yes</v>
      </c>
      <c r="O2932" s="31" t="str">
        <f aca="false">IF(H2932="","Open",IF(H2932&lt;=INDEX(Assumptions!$C$15:$C$18,MATCH(E2932,Assumptions!$A$15:$A$18,0)),"Yes","No"))</f>
        <v>Yes</v>
      </c>
    </row>
    <row r="2933" customFormat="false" ht="15" hidden="false" customHeight="false" outlineLevel="0" collapsed="false">
      <c r="A2933" s="31" t="s">
        <v>3083</v>
      </c>
      <c r="B2933" s="44" t="n">
        <v>46245</v>
      </c>
      <c r="C2933" s="31" t="s">
        <v>59</v>
      </c>
      <c r="D2933" s="31" t="s">
        <v>67</v>
      </c>
      <c r="E2933" s="31" t="s">
        <v>50</v>
      </c>
      <c r="F2933" s="31" t="s">
        <v>131</v>
      </c>
      <c r="G2933" s="31" t="n">
        <v>80</v>
      </c>
      <c r="H2933" s="41" t="n">
        <v>8.7</v>
      </c>
      <c r="I2933" s="31" t="s">
        <v>149</v>
      </c>
      <c r="J2933" s="31" t="n">
        <v>3</v>
      </c>
      <c r="K2933" s="31" t="s">
        <v>150</v>
      </c>
      <c r="L2933" s="45" t="n">
        <f aca="false">DATE(YEAR(B2933),MONTH(B2933),1)</f>
        <v>46235</v>
      </c>
      <c r="M2933" s="31" t="n">
        <f aca="false">WEEKDAY(B2933,2)</f>
        <v>2</v>
      </c>
      <c r="N2933" s="31" t="str">
        <f aca="false">IF(G2933&lt;=INDEX(Assumptions!$B$15:$B$18,MATCH(E2933,Assumptions!$A$15:$A$18,0)),"Yes","No")</f>
        <v>No</v>
      </c>
      <c r="O2933" s="31" t="str">
        <f aca="false">IF(H2933="","Open",IF(H2933&lt;=INDEX(Assumptions!$C$15:$C$18,MATCH(E2933,Assumptions!$A$15:$A$18,0)),"Yes","No"))</f>
        <v>No</v>
      </c>
    </row>
    <row r="2934" customFormat="false" ht="15" hidden="false" customHeight="false" outlineLevel="0" collapsed="false">
      <c r="A2934" s="31" t="s">
        <v>3084</v>
      </c>
      <c r="B2934" s="44" t="n">
        <v>46245</v>
      </c>
      <c r="C2934" s="31" t="s">
        <v>58</v>
      </c>
      <c r="D2934" s="31" t="s">
        <v>69</v>
      </c>
      <c r="E2934" s="31" t="s">
        <v>51</v>
      </c>
      <c r="F2934" s="31" t="s">
        <v>137</v>
      </c>
      <c r="G2934" s="31" t="n">
        <v>13</v>
      </c>
      <c r="H2934" s="41" t="n">
        <v>10.6</v>
      </c>
      <c r="I2934" s="31" t="s">
        <v>149</v>
      </c>
      <c r="J2934" s="31"/>
      <c r="K2934" s="31" t="s">
        <v>150</v>
      </c>
      <c r="L2934" s="45" t="n">
        <f aca="false">DATE(YEAR(B2934),MONTH(B2934),1)</f>
        <v>46235</v>
      </c>
      <c r="M2934" s="31" t="n">
        <f aca="false">WEEKDAY(B2934,2)</f>
        <v>2</v>
      </c>
      <c r="N2934" s="31" t="str">
        <f aca="false">IF(G2934&lt;=INDEX(Assumptions!$B$15:$B$18,MATCH(E2934,Assumptions!$A$15:$A$18,0)),"Yes","No")</f>
        <v>Yes</v>
      </c>
      <c r="O2934" s="31" t="str">
        <f aca="false">IF(H2934="","Open",IF(H2934&lt;=INDEX(Assumptions!$C$15:$C$18,MATCH(E2934,Assumptions!$A$15:$A$18,0)),"Yes","No"))</f>
        <v>Yes</v>
      </c>
    </row>
    <row r="2935" customFormat="false" ht="15" hidden="false" customHeight="false" outlineLevel="0" collapsed="false">
      <c r="A2935" s="31" t="s">
        <v>3085</v>
      </c>
      <c r="B2935" s="44" t="n">
        <v>46245</v>
      </c>
      <c r="C2935" s="31" t="s">
        <v>59</v>
      </c>
      <c r="D2935" s="31" t="s">
        <v>66</v>
      </c>
      <c r="E2935" s="31" t="s">
        <v>51</v>
      </c>
      <c r="F2935" s="31" t="s">
        <v>134</v>
      </c>
      <c r="G2935" s="31" t="n">
        <v>47</v>
      </c>
      <c r="H2935" s="41" t="n">
        <v>2.7</v>
      </c>
      <c r="I2935" s="31" t="s">
        <v>149</v>
      </c>
      <c r="J2935" s="31" t="n">
        <v>4</v>
      </c>
      <c r="K2935" s="31" t="s">
        <v>150</v>
      </c>
      <c r="L2935" s="45" t="n">
        <f aca="false">DATE(YEAR(B2935),MONTH(B2935),1)</f>
        <v>46235</v>
      </c>
      <c r="M2935" s="31" t="n">
        <f aca="false">WEEKDAY(B2935,2)</f>
        <v>2</v>
      </c>
      <c r="N2935" s="31" t="str">
        <f aca="false">IF(G2935&lt;=INDEX(Assumptions!$B$15:$B$18,MATCH(E2935,Assumptions!$A$15:$A$18,0)),"Yes","No")</f>
        <v>Yes</v>
      </c>
      <c r="O2935" s="31" t="str">
        <f aca="false">IF(H2935="","Open",IF(H2935&lt;=INDEX(Assumptions!$C$15:$C$18,MATCH(E2935,Assumptions!$A$15:$A$18,0)),"Yes","No"))</f>
        <v>Yes</v>
      </c>
    </row>
    <row r="2936" customFormat="false" ht="15" hidden="false" customHeight="false" outlineLevel="0" collapsed="false">
      <c r="A2936" s="31" t="s">
        <v>3086</v>
      </c>
      <c r="B2936" s="44" t="n">
        <v>46245</v>
      </c>
      <c r="C2936" s="31" t="s">
        <v>58</v>
      </c>
      <c r="D2936" s="31" t="s">
        <v>65</v>
      </c>
      <c r="E2936" s="31" t="s">
        <v>51</v>
      </c>
      <c r="F2936" s="31" t="s">
        <v>128</v>
      </c>
      <c r="G2936" s="31" t="n">
        <v>19</v>
      </c>
      <c r="H2936" s="41" t="n">
        <v>51</v>
      </c>
      <c r="I2936" s="31" t="s">
        <v>149</v>
      </c>
      <c r="J2936" s="31"/>
      <c r="K2936" s="31" t="s">
        <v>150</v>
      </c>
      <c r="L2936" s="45" t="n">
        <f aca="false">DATE(YEAR(B2936),MONTH(B2936),1)</f>
        <v>46235</v>
      </c>
      <c r="M2936" s="31" t="n">
        <f aca="false">WEEKDAY(B2936,2)</f>
        <v>2</v>
      </c>
      <c r="N2936" s="31" t="str">
        <f aca="false">IF(G2936&lt;=INDEX(Assumptions!$B$15:$B$18,MATCH(E2936,Assumptions!$A$15:$A$18,0)),"Yes","No")</f>
        <v>Yes</v>
      </c>
      <c r="O2936" s="31" t="str">
        <f aca="false">IF(H2936="","Open",IF(H2936&lt;=INDEX(Assumptions!$C$15:$C$18,MATCH(E2936,Assumptions!$A$15:$A$18,0)),"Yes","No"))</f>
        <v>No</v>
      </c>
    </row>
    <row r="2937" customFormat="false" ht="15" hidden="false" customHeight="false" outlineLevel="0" collapsed="false">
      <c r="A2937" s="31" t="s">
        <v>3087</v>
      </c>
      <c r="B2937" s="44" t="n">
        <v>46245</v>
      </c>
      <c r="C2937" s="31" t="s">
        <v>60</v>
      </c>
      <c r="D2937" s="31" t="s">
        <v>66</v>
      </c>
      <c r="E2937" s="31" t="s">
        <v>52</v>
      </c>
      <c r="F2937" s="31" t="s">
        <v>137</v>
      </c>
      <c r="G2937" s="31" t="n">
        <v>9</v>
      </c>
      <c r="H2937" s="41" t="n">
        <v>14.1</v>
      </c>
      <c r="I2937" s="31" t="s">
        <v>149</v>
      </c>
      <c r="J2937" s="31" t="n">
        <v>5</v>
      </c>
      <c r="K2937" s="31" t="s">
        <v>153</v>
      </c>
      <c r="L2937" s="45" t="n">
        <f aca="false">DATE(YEAR(B2937),MONTH(B2937),1)</f>
        <v>46235</v>
      </c>
      <c r="M2937" s="31" t="n">
        <f aca="false">WEEKDAY(B2937,2)</f>
        <v>2</v>
      </c>
      <c r="N2937" s="31" t="str">
        <f aca="false">IF(G2937&lt;=INDEX(Assumptions!$B$15:$B$18,MATCH(E2937,Assumptions!$A$15:$A$18,0)),"Yes","No")</f>
        <v>Yes</v>
      </c>
      <c r="O2937" s="31" t="str">
        <f aca="false">IF(H2937="","Open",IF(H2937&lt;=INDEX(Assumptions!$C$15:$C$18,MATCH(E2937,Assumptions!$A$15:$A$18,0)),"Yes","No"))</f>
        <v>Yes</v>
      </c>
    </row>
    <row r="2938" customFormat="false" ht="15" hidden="false" customHeight="false" outlineLevel="0" collapsed="false">
      <c r="A2938" s="31" t="s">
        <v>3088</v>
      </c>
      <c r="B2938" s="44" t="n">
        <v>46245</v>
      </c>
      <c r="C2938" s="31" t="s">
        <v>60</v>
      </c>
      <c r="D2938" s="31" t="s">
        <v>67</v>
      </c>
      <c r="E2938" s="31" t="s">
        <v>52</v>
      </c>
      <c r="F2938" s="31" t="s">
        <v>121</v>
      </c>
      <c r="G2938" s="31" t="n">
        <v>2</v>
      </c>
      <c r="H2938" s="41" t="n">
        <v>8.5</v>
      </c>
      <c r="I2938" s="31" t="s">
        <v>149</v>
      </c>
      <c r="J2938" s="31" t="n">
        <v>4</v>
      </c>
      <c r="K2938" s="31" t="s">
        <v>150</v>
      </c>
      <c r="L2938" s="45" t="n">
        <f aca="false">DATE(YEAR(B2938),MONTH(B2938),1)</f>
        <v>46235</v>
      </c>
      <c r="M2938" s="31" t="n">
        <f aca="false">WEEKDAY(B2938,2)</f>
        <v>2</v>
      </c>
      <c r="N2938" s="31" t="str">
        <f aca="false">IF(G2938&lt;=INDEX(Assumptions!$B$15:$B$18,MATCH(E2938,Assumptions!$A$15:$A$18,0)),"Yes","No")</f>
        <v>Yes</v>
      </c>
      <c r="O2938" s="31" t="str">
        <f aca="false">IF(H2938="","Open",IF(H2938&lt;=INDEX(Assumptions!$C$15:$C$18,MATCH(E2938,Assumptions!$A$15:$A$18,0)),"Yes","No"))</f>
        <v>Yes</v>
      </c>
    </row>
    <row r="2939" customFormat="false" ht="15" hidden="false" customHeight="false" outlineLevel="0" collapsed="false">
      <c r="A2939" s="31" t="s">
        <v>3089</v>
      </c>
      <c r="B2939" s="44" t="n">
        <v>46245</v>
      </c>
      <c r="C2939" s="31" t="s">
        <v>59</v>
      </c>
      <c r="D2939" s="31" t="s">
        <v>65</v>
      </c>
      <c r="E2939" s="31" t="s">
        <v>50</v>
      </c>
      <c r="F2939" s="31" t="s">
        <v>126</v>
      </c>
      <c r="G2939" s="31" t="n">
        <v>36</v>
      </c>
      <c r="H2939" s="41" t="n">
        <v>2.2</v>
      </c>
      <c r="I2939" s="31" t="s">
        <v>149</v>
      </c>
      <c r="J2939" s="31" t="n">
        <v>5</v>
      </c>
      <c r="K2939" s="31" t="s">
        <v>150</v>
      </c>
      <c r="L2939" s="45" t="n">
        <f aca="false">DATE(YEAR(B2939),MONTH(B2939),1)</f>
        <v>46235</v>
      </c>
      <c r="M2939" s="31" t="n">
        <f aca="false">WEEKDAY(B2939,2)</f>
        <v>2</v>
      </c>
      <c r="N2939" s="31" t="str">
        <f aca="false">IF(G2939&lt;=INDEX(Assumptions!$B$15:$B$18,MATCH(E2939,Assumptions!$A$15:$A$18,0)),"Yes","No")</f>
        <v>No</v>
      </c>
      <c r="O2939" s="31" t="str">
        <f aca="false">IF(H2939="","Open",IF(H2939&lt;=INDEX(Assumptions!$C$15:$C$18,MATCH(E2939,Assumptions!$A$15:$A$18,0)),"Yes","No"))</f>
        <v>Yes</v>
      </c>
    </row>
    <row r="2940" customFormat="false" ht="15" hidden="false" customHeight="false" outlineLevel="0" collapsed="false">
      <c r="A2940" s="31" t="s">
        <v>3090</v>
      </c>
      <c r="B2940" s="44" t="n">
        <v>46245</v>
      </c>
      <c r="C2940" s="31" t="s">
        <v>59</v>
      </c>
      <c r="D2940" s="31" t="s">
        <v>65</v>
      </c>
      <c r="E2940" s="31" t="s">
        <v>52</v>
      </c>
      <c r="F2940" s="31" t="s">
        <v>133</v>
      </c>
      <c r="G2940" s="31" t="n">
        <v>36</v>
      </c>
      <c r="H2940" s="41" t="n">
        <v>16.5</v>
      </c>
      <c r="I2940" s="31" t="s">
        <v>149</v>
      </c>
      <c r="J2940" s="31"/>
      <c r="K2940" s="31" t="s">
        <v>150</v>
      </c>
      <c r="L2940" s="45" t="n">
        <f aca="false">DATE(YEAR(B2940),MONTH(B2940),1)</f>
        <v>46235</v>
      </c>
      <c r="M2940" s="31" t="n">
        <f aca="false">WEEKDAY(B2940,2)</f>
        <v>2</v>
      </c>
      <c r="N2940" s="31" t="str">
        <f aca="false">IF(G2940&lt;=INDEX(Assumptions!$B$15:$B$18,MATCH(E2940,Assumptions!$A$15:$A$18,0)),"Yes","No")</f>
        <v>Yes</v>
      </c>
      <c r="O2940" s="31" t="str">
        <f aca="false">IF(H2940="","Open",IF(H2940&lt;=INDEX(Assumptions!$C$15:$C$18,MATCH(E2940,Assumptions!$A$15:$A$18,0)),"Yes","No"))</f>
        <v>Yes</v>
      </c>
    </row>
    <row r="2941" customFormat="false" ht="15" hidden="false" customHeight="false" outlineLevel="0" collapsed="false">
      <c r="A2941" s="31" t="s">
        <v>3091</v>
      </c>
      <c r="B2941" s="44" t="n">
        <v>46245</v>
      </c>
      <c r="C2941" s="31" t="s">
        <v>58</v>
      </c>
      <c r="D2941" s="31" t="s">
        <v>69</v>
      </c>
      <c r="E2941" s="31" t="s">
        <v>52</v>
      </c>
      <c r="F2941" s="31" t="s">
        <v>119</v>
      </c>
      <c r="G2941" s="31" t="n">
        <v>6</v>
      </c>
      <c r="H2941" s="41" t="n">
        <v>11.6</v>
      </c>
      <c r="I2941" s="31" t="s">
        <v>149</v>
      </c>
      <c r="J2941" s="31" t="n">
        <v>5</v>
      </c>
      <c r="K2941" s="31" t="s">
        <v>150</v>
      </c>
      <c r="L2941" s="45" t="n">
        <f aca="false">DATE(YEAR(B2941),MONTH(B2941),1)</f>
        <v>46235</v>
      </c>
      <c r="M2941" s="31" t="n">
        <f aca="false">WEEKDAY(B2941,2)</f>
        <v>2</v>
      </c>
      <c r="N2941" s="31" t="str">
        <f aca="false">IF(G2941&lt;=INDEX(Assumptions!$B$15:$B$18,MATCH(E2941,Assumptions!$A$15:$A$18,0)),"Yes","No")</f>
        <v>Yes</v>
      </c>
      <c r="O2941" s="31" t="str">
        <f aca="false">IF(H2941="","Open",IF(H2941&lt;=INDEX(Assumptions!$C$15:$C$18,MATCH(E2941,Assumptions!$A$15:$A$18,0)),"Yes","No"))</f>
        <v>Yes</v>
      </c>
    </row>
    <row r="2942" customFormat="false" ht="15" hidden="false" customHeight="false" outlineLevel="0" collapsed="false">
      <c r="A2942" s="31" t="s">
        <v>3092</v>
      </c>
      <c r="B2942" s="44" t="n">
        <v>46245</v>
      </c>
      <c r="C2942" s="31" t="s">
        <v>57</v>
      </c>
      <c r="D2942" s="31" t="s">
        <v>67</v>
      </c>
      <c r="E2942" s="31" t="s">
        <v>51</v>
      </c>
      <c r="F2942" s="31" t="s">
        <v>119</v>
      </c>
      <c r="G2942" s="31" t="n">
        <v>4</v>
      </c>
      <c r="H2942" s="41" t="n">
        <v>14.7</v>
      </c>
      <c r="I2942" s="31" t="s">
        <v>149</v>
      </c>
      <c r="J2942" s="31"/>
      <c r="K2942" s="31" t="s">
        <v>150</v>
      </c>
      <c r="L2942" s="45" t="n">
        <f aca="false">DATE(YEAR(B2942),MONTH(B2942),1)</f>
        <v>46235</v>
      </c>
      <c r="M2942" s="31" t="n">
        <f aca="false">WEEKDAY(B2942,2)</f>
        <v>2</v>
      </c>
      <c r="N2942" s="31" t="str">
        <f aca="false">IF(G2942&lt;=INDEX(Assumptions!$B$15:$B$18,MATCH(E2942,Assumptions!$A$15:$A$18,0)),"Yes","No")</f>
        <v>Yes</v>
      </c>
      <c r="O2942" s="31" t="str">
        <f aca="false">IF(H2942="","Open",IF(H2942&lt;=INDEX(Assumptions!$C$15:$C$18,MATCH(E2942,Assumptions!$A$15:$A$18,0)),"Yes","No"))</f>
        <v>Yes</v>
      </c>
    </row>
    <row r="2943" customFormat="false" ht="15" hidden="false" customHeight="false" outlineLevel="0" collapsed="false">
      <c r="A2943" s="31" t="s">
        <v>3093</v>
      </c>
      <c r="B2943" s="44" t="n">
        <v>46245</v>
      </c>
      <c r="C2943" s="31" t="s">
        <v>57</v>
      </c>
      <c r="D2943" s="31" t="s">
        <v>65</v>
      </c>
      <c r="E2943" s="31" t="s">
        <v>51</v>
      </c>
      <c r="F2943" s="31" t="s">
        <v>134</v>
      </c>
      <c r="G2943" s="31" t="n">
        <v>9</v>
      </c>
      <c r="H2943" s="41" t="n">
        <v>14.7</v>
      </c>
      <c r="I2943" s="31" t="s">
        <v>149</v>
      </c>
      <c r="J2943" s="31"/>
      <c r="K2943" s="31" t="s">
        <v>150</v>
      </c>
      <c r="L2943" s="45" t="n">
        <f aca="false">DATE(YEAR(B2943),MONTH(B2943),1)</f>
        <v>46235</v>
      </c>
      <c r="M2943" s="31" t="n">
        <f aca="false">WEEKDAY(B2943,2)</f>
        <v>2</v>
      </c>
      <c r="N2943" s="31" t="str">
        <f aca="false">IF(G2943&lt;=INDEX(Assumptions!$B$15:$B$18,MATCH(E2943,Assumptions!$A$15:$A$18,0)),"Yes","No")</f>
        <v>Yes</v>
      </c>
      <c r="O2943" s="31" t="str">
        <f aca="false">IF(H2943="","Open",IF(H2943&lt;=INDEX(Assumptions!$C$15:$C$18,MATCH(E2943,Assumptions!$A$15:$A$18,0)),"Yes","No"))</f>
        <v>Yes</v>
      </c>
    </row>
    <row r="2944" customFormat="false" ht="15" hidden="false" customHeight="false" outlineLevel="0" collapsed="false">
      <c r="A2944" s="31" t="s">
        <v>3094</v>
      </c>
      <c r="B2944" s="44" t="n">
        <v>46245</v>
      </c>
      <c r="C2944" s="31" t="s">
        <v>59</v>
      </c>
      <c r="D2944" s="31" t="s">
        <v>65</v>
      </c>
      <c r="E2944" s="31" t="s">
        <v>51</v>
      </c>
      <c r="F2944" s="31" t="s">
        <v>119</v>
      </c>
      <c r="G2944" s="31" t="n">
        <v>85</v>
      </c>
      <c r="H2944" s="41" t="n">
        <v>6.3</v>
      </c>
      <c r="I2944" s="31" t="s">
        <v>149</v>
      </c>
      <c r="J2944" s="31" t="n">
        <v>3</v>
      </c>
      <c r="K2944" s="31" t="s">
        <v>150</v>
      </c>
      <c r="L2944" s="45" t="n">
        <f aca="false">DATE(YEAR(B2944),MONTH(B2944),1)</f>
        <v>46235</v>
      </c>
      <c r="M2944" s="31" t="n">
        <f aca="false">WEEKDAY(B2944,2)</f>
        <v>2</v>
      </c>
      <c r="N2944" s="31" t="str">
        <f aca="false">IF(G2944&lt;=INDEX(Assumptions!$B$15:$B$18,MATCH(E2944,Assumptions!$A$15:$A$18,0)),"Yes","No")</f>
        <v>No</v>
      </c>
      <c r="O2944" s="31" t="str">
        <f aca="false">IF(H2944="","Open",IF(H2944&lt;=INDEX(Assumptions!$C$15:$C$18,MATCH(E2944,Assumptions!$A$15:$A$18,0)),"Yes","No"))</f>
        <v>Yes</v>
      </c>
    </row>
    <row r="2945" customFormat="false" ht="15" hidden="false" customHeight="false" outlineLevel="0" collapsed="false">
      <c r="A2945" s="31" t="s">
        <v>3095</v>
      </c>
      <c r="B2945" s="44" t="n">
        <v>46245</v>
      </c>
      <c r="C2945" s="31" t="s">
        <v>57</v>
      </c>
      <c r="D2945" s="31" t="s">
        <v>67</v>
      </c>
      <c r="E2945" s="31" t="s">
        <v>51</v>
      </c>
      <c r="F2945" s="31" t="s">
        <v>128</v>
      </c>
      <c r="G2945" s="31" t="n">
        <v>5</v>
      </c>
      <c r="H2945" s="41" t="n">
        <v>38.4</v>
      </c>
      <c r="I2945" s="31" t="s">
        <v>149</v>
      </c>
      <c r="J2945" s="31" t="n">
        <v>3</v>
      </c>
      <c r="K2945" s="31" t="s">
        <v>150</v>
      </c>
      <c r="L2945" s="45" t="n">
        <f aca="false">DATE(YEAR(B2945),MONTH(B2945),1)</f>
        <v>46235</v>
      </c>
      <c r="M2945" s="31" t="n">
        <f aca="false">WEEKDAY(B2945,2)</f>
        <v>2</v>
      </c>
      <c r="N2945" s="31" t="str">
        <f aca="false">IF(G2945&lt;=INDEX(Assumptions!$B$15:$B$18,MATCH(E2945,Assumptions!$A$15:$A$18,0)),"Yes","No")</f>
        <v>Yes</v>
      </c>
      <c r="O2945" s="31" t="str">
        <f aca="false">IF(H2945="","Open",IF(H2945&lt;=INDEX(Assumptions!$C$15:$C$18,MATCH(E2945,Assumptions!$A$15:$A$18,0)),"Yes","No"))</f>
        <v>No</v>
      </c>
    </row>
    <row r="2946" customFormat="false" ht="15" hidden="false" customHeight="false" outlineLevel="0" collapsed="false">
      <c r="A2946" s="31" t="s">
        <v>3096</v>
      </c>
      <c r="B2946" s="44" t="n">
        <v>46245</v>
      </c>
      <c r="C2946" s="31" t="s">
        <v>57</v>
      </c>
      <c r="D2946" s="31" t="s">
        <v>65</v>
      </c>
      <c r="E2946" s="31" t="s">
        <v>51</v>
      </c>
      <c r="F2946" s="31" t="s">
        <v>122</v>
      </c>
      <c r="G2946" s="31" t="n">
        <v>5</v>
      </c>
      <c r="H2946" s="41" t="n">
        <v>2.5</v>
      </c>
      <c r="I2946" s="31" t="s">
        <v>149</v>
      </c>
      <c r="J2946" s="31"/>
      <c r="K2946" s="31" t="s">
        <v>150</v>
      </c>
      <c r="L2946" s="45" t="n">
        <f aca="false">DATE(YEAR(B2946),MONTH(B2946),1)</f>
        <v>46235</v>
      </c>
      <c r="M2946" s="31" t="n">
        <f aca="false">WEEKDAY(B2946,2)</f>
        <v>2</v>
      </c>
      <c r="N2946" s="31" t="str">
        <f aca="false">IF(G2946&lt;=INDEX(Assumptions!$B$15:$B$18,MATCH(E2946,Assumptions!$A$15:$A$18,0)),"Yes","No")</f>
        <v>Yes</v>
      </c>
      <c r="O2946" s="31" t="str">
        <f aca="false">IF(H2946="","Open",IF(H2946&lt;=INDEX(Assumptions!$C$15:$C$18,MATCH(E2946,Assumptions!$A$15:$A$18,0)),"Yes","No"))</f>
        <v>Yes</v>
      </c>
    </row>
    <row r="2947" customFormat="false" ht="15" hidden="false" customHeight="false" outlineLevel="0" collapsed="false">
      <c r="A2947" s="31" t="s">
        <v>3097</v>
      </c>
      <c r="B2947" s="44" t="n">
        <v>46245</v>
      </c>
      <c r="C2947" s="31" t="s">
        <v>58</v>
      </c>
      <c r="D2947" s="31" t="s">
        <v>65</v>
      </c>
      <c r="E2947" s="31" t="s">
        <v>51</v>
      </c>
      <c r="F2947" s="31" t="s">
        <v>135</v>
      </c>
      <c r="G2947" s="31" t="n">
        <v>29</v>
      </c>
      <c r="H2947" s="41" t="n">
        <v>11.7</v>
      </c>
      <c r="I2947" s="31" t="s">
        <v>149</v>
      </c>
      <c r="J2947" s="31"/>
      <c r="K2947" s="31" t="s">
        <v>153</v>
      </c>
      <c r="L2947" s="45" t="n">
        <f aca="false">DATE(YEAR(B2947),MONTH(B2947),1)</f>
        <v>46235</v>
      </c>
      <c r="M2947" s="31" t="n">
        <f aca="false">WEEKDAY(B2947,2)</f>
        <v>2</v>
      </c>
      <c r="N2947" s="31" t="str">
        <f aca="false">IF(G2947&lt;=INDEX(Assumptions!$B$15:$B$18,MATCH(E2947,Assumptions!$A$15:$A$18,0)),"Yes","No")</f>
        <v>Yes</v>
      </c>
      <c r="O2947" s="31" t="str">
        <f aca="false">IF(H2947="","Open",IF(H2947&lt;=INDEX(Assumptions!$C$15:$C$18,MATCH(E2947,Assumptions!$A$15:$A$18,0)),"Yes","No"))</f>
        <v>Yes</v>
      </c>
    </row>
    <row r="2948" customFormat="false" ht="15" hidden="false" customHeight="false" outlineLevel="0" collapsed="false">
      <c r="A2948" s="31" t="s">
        <v>3098</v>
      </c>
      <c r="B2948" s="44" t="n">
        <v>46245</v>
      </c>
      <c r="C2948" s="31" t="s">
        <v>60</v>
      </c>
      <c r="D2948" s="31" t="s">
        <v>67</v>
      </c>
      <c r="E2948" s="31" t="s">
        <v>51</v>
      </c>
      <c r="F2948" s="31" t="s">
        <v>130</v>
      </c>
      <c r="G2948" s="31" t="n">
        <v>1</v>
      </c>
      <c r="H2948" s="41" t="n">
        <v>14.1</v>
      </c>
      <c r="I2948" s="31" t="s">
        <v>149</v>
      </c>
      <c r="J2948" s="31" t="n">
        <v>4</v>
      </c>
      <c r="K2948" s="31" t="s">
        <v>150</v>
      </c>
      <c r="L2948" s="45" t="n">
        <f aca="false">DATE(YEAR(B2948),MONTH(B2948),1)</f>
        <v>46235</v>
      </c>
      <c r="M2948" s="31" t="n">
        <f aca="false">WEEKDAY(B2948,2)</f>
        <v>2</v>
      </c>
      <c r="N2948" s="31" t="str">
        <f aca="false">IF(G2948&lt;=INDEX(Assumptions!$B$15:$B$18,MATCH(E2948,Assumptions!$A$15:$A$18,0)),"Yes","No")</f>
        <v>Yes</v>
      </c>
      <c r="O2948" s="31" t="str">
        <f aca="false">IF(H2948="","Open",IF(H2948&lt;=INDEX(Assumptions!$C$15:$C$18,MATCH(E2948,Assumptions!$A$15:$A$18,0)),"Yes","No"))</f>
        <v>Yes</v>
      </c>
    </row>
    <row r="2949" customFormat="false" ht="15" hidden="false" customHeight="false" outlineLevel="0" collapsed="false">
      <c r="A2949" s="31" t="s">
        <v>3099</v>
      </c>
      <c r="B2949" s="44" t="n">
        <v>46245</v>
      </c>
      <c r="C2949" s="31" t="s">
        <v>58</v>
      </c>
      <c r="D2949" s="31" t="s">
        <v>66</v>
      </c>
      <c r="E2949" s="31" t="s">
        <v>52</v>
      </c>
      <c r="F2949" s="31" t="s">
        <v>129</v>
      </c>
      <c r="G2949" s="31" t="n">
        <v>5</v>
      </c>
      <c r="H2949" s="41" t="n">
        <v>5</v>
      </c>
      <c r="I2949" s="31" t="s">
        <v>149</v>
      </c>
      <c r="J2949" s="31" t="n">
        <v>5</v>
      </c>
      <c r="K2949" s="31" t="s">
        <v>150</v>
      </c>
      <c r="L2949" s="45" t="n">
        <f aca="false">DATE(YEAR(B2949),MONTH(B2949),1)</f>
        <v>46235</v>
      </c>
      <c r="M2949" s="31" t="n">
        <f aca="false">WEEKDAY(B2949,2)</f>
        <v>2</v>
      </c>
      <c r="N2949" s="31" t="str">
        <f aca="false">IF(G2949&lt;=INDEX(Assumptions!$B$15:$B$18,MATCH(E2949,Assumptions!$A$15:$A$18,0)),"Yes","No")</f>
        <v>Yes</v>
      </c>
      <c r="O2949" s="31" t="str">
        <f aca="false">IF(H2949="","Open",IF(H2949&lt;=INDEX(Assumptions!$C$15:$C$18,MATCH(E2949,Assumptions!$A$15:$A$18,0)),"Yes","No"))</f>
        <v>Yes</v>
      </c>
    </row>
    <row r="2950" customFormat="false" ht="15" hidden="false" customHeight="false" outlineLevel="0" collapsed="false">
      <c r="A2950" s="31" t="s">
        <v>3100</v>
      </c>
      <c r="B2950" s="44" t="n">
        <v>46245</v>
      </c>
      <c r="C2950" s="31" t="s">
        <v>60</v>
      </c>
      <c r="D2950" s="31" t="s">
        <v>67</v>
      </c>
      <c r="E2950" s="31" t="s">
        <v>51</v>
      </c>
      <c r="F2950" s="31" t="s">
        <v>128</v>
      </c>
      <c r="G2950" s="31" t="n">
        <v>4</v>
      </c>
      <c r="H2950" s="41" t="n">
        <v>44.2</v>
      </c>
      <c r="I2950" s="31" t="s">
        <v>149</v>
      </c>
      <c r="J2950" s="31"/>
      <c r="K2950" s="31" t="s">
        <v>150</v>
      </c>
      <c r="L2950" s="45" t="n">
        <f aca="false">DATE(YEAR(B2950),MONTH(B2950),1)</f>
        <v>46235</v>
      </c>
      <c r="M2950" s="31" t="n">
        <f aca="false">WEEKDAY(B2950,2)</f>
        <v>2</v>
      </c>
      <c r="N2950" s="31" t="str">
        <f aca="false">IF(G2950&lt;=INDEX(Assumptions!$B$15:$B$18,MATCH(E2950,Assumptions!$A$15:$A$18,0)),"Yes","No")</f>
        <v>Yes</v>
      </c>
      <c r="O2950" s="31" t="str">
        <f aca="false">IF(H2950="","Open",IF(H2950&lt;=INDEX(Assumptions!$C$15:$C$18,MATCH(E2950,Assumptions!$A$15:$A$18,0)),"Yes","No"))</f>
        <v>No</v>
      </c>
    </row>
    <row r="2951" customFormat="false" ht="15" hidden="false" customHeight="false" outlineLevel="0" collapsed="false">
      <c r="A2951" s="31" t="s">
        <v>3101</v>
      </c>
      <c r="B2951" s="44" t="n">
        <v>46245</v>
      </c>
      <c r="C2951" s="31" t="s">
        <v>57</v>
      </c>
      <c r="D2951" s="31" t="s">
        <v>68</v>
      </c>
      <c r="E2951" s="31" t="s">
        <v>50</v>
      </c>
      <c r="F2951" s="31" t="s">
        <v>135</v>
      </c>
      <c r="G2951" s="31" t="n">
        <v>4</v>
      </c>
      <c r="H2951" s="41" t="n">
        <v>7.1</v>
      </c>
      <c r="I2951" s="31" t="s">
        <v>149</v>
      </c>
      <c r="J2951" s="31"/>
      <c r="K2951" s="31" t="s">
        <v>150</v>
      </c>
      <c r="L2951" s="45" t="n">
        <f aca="false">DATE(YEAR(B2951),MONTH(B2951),1)</f>
        <v>46235</v>
      </c>
      <c r="M2951" s="31" t="n">
        <f aca="false">WEEKDAY(B2951,2)</f>
        <v>2</v>
      </c>
      <c r="N2951" s="31" t="str">
        <f aca="false">IF(G2951&lt;=INDEX(Assumptions!$B$15:$B$18,MATCH(E2951,Assumptions!$A$15:$A$18,0)),"Yes","No")</f>
        <v>Yes</v>
      </c>
      <c r="O2951" s="31" t="str">
        <f aca="false">IF(H2951="","Open",IF(H2951&lt;=INDEX(Assumptions!$C$15:$C$18,MATCH(E2951,Assumptions!$A$15:$A$18,0)),"Yes","No"))</f>
        <v>Yes</v>
      </c>
    </row>
    <row r="2952" customFormat="false" ht="15" hidden="false" customHeight="false" outlineLevel="0" collapsed="false">
      <c r="A2952" s="31" t="s">
        <v>3102</v>
      </c>
      <c r="B2952" s="44" t="n">
        <v>46245</v>
      </c>
      <c r="C2952" s="31" t="s">
        <v>60</v>
      </c>
      <c r="D2952" s="31" t="s">
        <v>68</v>
      </c>
      <c r="E2952" s="31" t="s">
        <v>52</v>
      </c>
      <c r="F2952" s="31" t="s">
        <v>119</v>
      </c>
      <c r="G2952" s="31" t="n">
        <v>2</v>
      </c>
      <c r="H2952" s="41" t="n">
        <v>4.6</v>
      </c>
      <c r="I2952" s="31" t="s">
        <v>149</v>
      </c>
      <c r="J2952" s="31"/>
      <c r="K2952" s="31" t="s">
        <v>150</v>
      </c>
      <c r="L2952" s="45" t="n">
        <f aca="false">DATE(YEAR(B2952),MONTH(B2952),1)</f>
        <v>46235</v>
      </c>
      <c r="M2952" s="31" t="n">
        <f aca="false">WEEKDAY(B2952,2)</f>
        <v>2</v>
      </c>
      <c r="N2952" s="31" t="str">
        <f aca="false">IF(G2952&lt;=INDEX(Assumptions!$B$15:$B$18,MATCH(E2952,Assumptions!$A$15:$A$18,0)),"Yes","No")</f>
        <v>Yes</v>
      </c>
      <c r="O2952" s="31" t="str">
        <f aca="false">IF(H2952="","Open",IF(H2952&lt;=INDEX(Assumptions!$C$15:$C$18,MATCH(E2952,Assumptions!$A$15:$A$18,0)),"Yes","No"))</f>
        <v>Yes</v>
      </c>
    </row>
    <row r="2953" customFormat="false" ht="15" hidden="false" customHeight="false" outlineLevel="0" collapsed="false">
      <c r="A2953" s="31" t="s">
        <v>3103</v>
      </c>
      <c r="B2953" s="44" t="n">
        <v>46245</v>
      </c>
      <c r="C2953" s="31" t="s">
        <v>59</v>
      </c>
      <c r="D2953" s="31" t="s">
        <v>66</v>
      </c>
      <c r="E2953" s="31" t="s">
        <v>49</v>
      </c>
      <c r="F2953" s="31" t="s">
        <v>131</v>
      </c>
      <c r="G2953" s="31" t="n">
        <v>64</v>
      </c>
      <c r="H2953" s="41" t="n">
        <v>5.3</v>
      </c>
      <c r="I2953" s="31" t="s">
        <v>149</v>
      </c>
      <c r="J2953" s="31"/>
      <c r="K2953" s="31" t="s">
        <v>150</v>
      </c>
      <c r="L2953" s="45" t="n">
        <f aca="false">DATE(YEAR(B2953),MONTH(B2953),1)</f>
        <v>46235</v>
      </c>
      <c r="M2953" s="31" t="n">
        <f aca="false">WEEKDAY(B2953,2)</f>
        <v>2</v>
      </c>
      <c r="N2953" s="31" t="str">
        <f aca="false">IF(G2953&lt;=INDEX(Assumptions!$B$15:$B$18,MATCH(E2953,Assumptions!$A$15:$A$18,0)),"Yes","No")</f>
        <v>No</v>
      </c>
      <c r="O2953" s="31" t="str">
        <f aca="false">IF(H2953="","Open",IF(H2953&lt;=INDEX(Assumptions!$C$15:$C$18,MATCH(E2953,Assumptions!$A$15:$A$18,0)),"Yes","No"))</f>
        <v>No</v>
      </c>
    </row>
    <row r="2954" customFormat="false" ht="15" hidden="false" customHeight="false" outlineLevel="0" collapsed="false">
      <c r="A2954" s="31" t="s">
        <v>3104</v>
      </c>
      <c r="B2954" s="44" t="n">
        <v>46245</v>
      </c>
      <c r="C2954" s="31" t="s">
        <v>58</v>
      </c>
      <c r="D2954" s="31" t="s">
        <v>67</v>
      </c>
      <c r="E2954" s="31" t="s">
        <v>49</v>
      </c>
      <c r="F2954" s="31" t="s">
        <v>129</v>
      </c>
      <c r="G2954" s="31" t="n">
        <v>2</v>
      </c>
      <c r="H2954" s="41" t="n">
        <v>4.7</v>
      </c>
      <c r="I2954" s="31" t="s">
        <v>149</v>
      </c>
      <c r="J2954" s="31"/>
      <c r="K2954" s="31" t="s">
        <v>150</v>
      </c>
      <c r="L2954" s="45" t="n">
        <f aca="false">DATE(YEAR(B2954),MONTH(B2954),1)</f>
        <v>46235</v>
      </c>
      <c r="M2954" s="31" t="n">
        <f aca="false">WEEKDAY(B2954,2)</f>
        <v>2</v>
      </c>
      <c r="N2954" s="31" t="str">
        <f aca="false">IF(G2954&lt;=INDEX(Assumptions!$B$15:$B$18,MATCH(E2954,Assumptions!$A$15:$A$18,0)),"Yes","No")</f>
        <v>Yes</v>
      </c>
      <c r="O2954" s="31" t="str">
        <f aca="false">IF(H2954="","Open",IF(H2954&lt;=INDEX(Assumptions!$C$15:$C$18,MATCH(E2954,Assumptions!$A$15:$A$18,0)),"Yes","No"))</f>
        <v>No</v>
      </c>
    </row>
    <row r="2955" customFormat="false" ht="15" hidden="false" customHeight="false" outlineLevel="0" collapsed="false">
      <c r="A2955" s="31" t="s">
        <v>3105</v>
      </c>
      <c r="B2955" s="44" t="n">
        <v>46245</v>
      </c>
      <c r="C2955" s="31" t="s">
        <v>57</v>
      </c>
      <c r="D2955" s="31" t="s">
        <v>68</v>
      </c>
      <c r="E2955" s="31" t="s">
        <v>51</v>
      </c>
      <c r="F2955" s="31" t="s">
        <v>133</v>
      </c>
      <c r="G2955" s="31" t="n">
        <v>6</v>
      </c>
      <c r="H2955" s="41" t="n">
        <v>1.2</v>
      </c>
      <c r="I2955" s="31" t="s">
        <v>149</v>
      </c>
      <c r="J2955" s="31"/>
      <c r="K2955" s="31" t="s">
        <v>153</v>
      </c>
      <c r="L2955" s="45" t="n">
        <f aca="false">DATE(YEAR(B2955),MONTH(B2955),1)</f>
        <v>46235</v>
      </c>
      <c r="M2955" s="31" t="n">
        <f aca="false">WEEKDAY(B2955,2)</f>
        <v>2</v>
      </c>
      <c r="N2955" s="31" t="str">
        <f aca="false">IF(G2955&lt;=INDEX(Assumptions!$B$15:$B$18,MATCH(E2955,Assumptions!$A$15:$A$18,0)),"Yes","No")</f>
        <v>Yes</v>
      </c>
      <c r="O2955" s="31" t="str">
        <f aca="false">IF(H2955="","Open",IF(H2955&lt;=INDEX(Assumptions!$C$15:$C$18,MATCH(E2955,Assumptions!$A$15:$A$18,0)),"Yes","No"))</f>
        <v>Yes</v>
      </c>
    </row>
    <row r="2956" customFormat="false" ht="15" hidden="false" customHeight="false" outlineLevel="0" collapsed="false">
      <c r="A2956" s="31" t="s">
        <v>3106</v>
      </c>
      <c r="B2956" s="44" t="n">
        <v>46245</v>
      </c>
      <c r="C2956" s="31" t="s">
        <v>57</v>
      </c>
      <c r="D2956" s="31" t="s">
        <v>65</v>
      </c>
      <c r="E2956" s="31" t="s">
        <v>51</v>
      </c>
      <c r="F2956" s="31" t="s">
        <v>121</v>
      </c>
      <c r="G2956" s="31" t="n">
        <v>3</v>
      </c>
      <c r="H2956" s="41" t="n">
        <v>8.3</v>
      </c>
      <c r="I2956" s="31" t="s">
        <v>149</v>
      </c>
      <c r="J2956" s="31" t="n">
        <v>4</v>
      </c>
      <c r="K2956" s="31" t="s">
        <v>150</v>
      </c>
      <c r="L2956" s="45" t="n">
        <f aca="false">DATE(YEAR(B2956),MONTH(B2956),1)</f>
        <v>46235</v>
      </c>
      <c r="M2956" s="31" t="n">
        <f aca="false">WEEKDAY(B2956,2)</f>
        <v>2</v>
      </c>
      <c r="N2956" s="31" t="str">
        <f aca="false">IF(G2956&lt;=INDEX(Assumptions!$B$15:$B$18,MATCH(E2956,Assumptions!$A$15:$A$18,0)),"Yes","No")</f>
        <v>Yes</v>
      </c>
      <c r="O2956" s="31" t="str">
        <f aca="false">IF(H2956="","Open",IF(H2956&lt;=INDEX(Assumptions!$C$15:$C$18,MATCH(E2956,Assumptions!$A$15:$A$18,0)),"Yes","No"))</f>
        <v>Yes</v>
      </c>
    </row>
    <row r="2957" customFormat="false" ht="15" hidden="false" customHeight="false" outlineLevel="0" collapsed="false">
      <c r="A2957" s="31" t="s">
        <v>3107</v>
      </c>
      <c r="B2957" s="44" t="n">
        <v>46245</v>
      </c>
      <c r="C2957" s="31" t="s">
        <v>58</v>
      </c>
      <c r="D2957" s="31" t="s">
        <v>68</v>
      </c>
      <c r="E2957" s="31" t="s">
        <v>49</v>
      </c>
      <c r="F2957" s="31" t="s">
        <v>122</v>
      </c>
      <c r="G2957" s="31" t="n">
        <v>6</v>
      </c>
      <c r="H2957" s="41" t="n">
        <v>2.1</v>
      </c>
      <c r="I2957" s="31" t="s">
        <v>149</v>
      </c>
      <c r="J2957" s="31" t="n">
        <v>4</v>
      </c>
      <c r="K2957" s="31" t="s">
        <v>150</v>
      </c>
      <c r="L2957" s="45" t="n">
        <f aca="false">DATE(YEAR(B2957),MONTH(B2957),1)</f>
        <v>46235</v>
      </c>
      <c r="M2957" s="31" t="n">
        <f aca="false">WEEKDAY(B2957,2)</f>
        <v>2</v>
      </c>
      <c r="N2957" s="31" t="str">
        <f aca="false">IF(G2957&lt;=INDEX(Assumptions!$B$15:$B$18,MATCH(E2957,Assumptions!$A$15:$A$18,0)),"Yes","No")</f>
        <v>Yes</v>
      </c>
      <c r="O2957" s="31" t="str">
        <f aca="false">IF(H2957="","Open",IF(H2957&lt;=INDEX(Assumptions!$C$15:$C$18,MATCH(E2957,Assumptions!$A$15:$A$18,0)),"Yes","No"))</f>
        <v>Yes</v>
      </c>
    </row>
    <row r="2958" customFormat="false" ht="15" hidden="false" customHeight="false" outlineLevel="0" collapsed="false">
      <c r="A2958" s="31" t="s">
        <v>3108</v>
      </c>
      <c r="B2958" s="44" t="n">
        <v>46245</v>
      </c>
      <c r="C2958" s="31" t="s">
        <v>60</v>
      </c>
      <c r="D2958" s="31" t="s">
        <v>65</v>
      </c>
      <c r="E2958" s="31" t="s">
        <v>52</v>
      </c>
      <c r="F2958" s="31" t="s">
        <v>121</v>
      </c>
      <c r="G2958" s="31" t="n">
        <v>4</v>
      </c>
      <c r="H2958" s="41" t="n">
        <v>8</v>
      </c>
      <c r="I2958" s="31" t="s">
        <v>64</v>
      </c>
      <c r="J2958" s="31"/>
      <c r="K2958" s="31" t="s">
        <v>150</v>
      </c>
      <c r="L2958" s="45" t="n">
        <f aca="false">DATE(YEAR(B2958),MONTH(B2958),1)</f>
        <v>46235</v>
      </c>
      <c r="M2958" s="31" t="n">
        <f aca="false">WEEKDAY(B2958,2)</f>
        <v>2</v>
      </c>
      <c r="N2958" s="31" t="str">
        <f aca="false">IF(G2958&lt;=INDEX(Assumptions!$B$15:$B$18,MATCH(E2958,Assumptions!$A$15:$A$18,0)),"Yes","No")</f>
        <v>Yes</v>
      </c>
      <c r="O2958" s="31" t="str">
        <f aca="false">IF(H2958="","Open",IF(H2958&lt;=INDEX(Assumptions!$C$15:$C$18,MATCH(E2958,Assumptions!$A$15:$A$18,0)),"Yes","No"))</f>
        <v>Yes</v>
      </c>
    </row>
    <row r="2959" customFormat="false" ht="15" hidden="false" customHeight="false" outlineLevel="0" collapsed="false">
      <c r="A2959" s="31" t="s">
        <v>3109</v>
      </c>
      <c r="B2959" s="44" t="n">
        <v>46245</v>
      </c>
      <c r="C2959" s="31" t="s">
        <v>59</v>
      </c>
      <c r="D2959" s="31" t="s">
        <v>68</v>
      </c>
      <c r="E2959" s="31" t="s">
        <v>51</v>
      </c>
      <c r="F2959" s="31" t="s">
        <v>124</v>
      </c>
      <c r="G2959" s="31" t="n">
        <v>132</v>
      </c>
      <c r="H2959" s="41" t="n">
        <v>4.6</v>
      </c>
      <c r="I2959" s="31" t="s">
        <v>149</v>
      </c>
      <c r="J2959" s="31" t="n">
        <v>5</v>
      </c>
      <c r="K2959" s="31" t="s">
        <v>153</v>
      </c>
      <c r="L2959" s="45" t="n">
        <f aca="false">DATE(YEAR(B2959),MONTH(B2959),1)</f>
        <v>46235</v>
      </c>
      <c r="M2959" s="31" t="n">
        <f aca="false">WEEKDAY(B2959,2)</f>
        <v>2</v>
      </c>
      <c r="N2959" s="31" t="str">
        <f aca="false">IF(G2959&lt;=INDEX(Assumptions!$B$15:$B$18,MATCH(E2959,Assumptions!$A$15:$A$18,0)),"Yes","No")</f>
        <v>No</v>
      </c>
      <c r="O2959" s="31" t="str">
        <f aca="false">IF(H2959="","Open",IF(H2959&lt;=INDEX(Assumptions!$C$15:$C$18,MATCH(E2959,Assumptions!$A$15:$A$18,0)),"Yes","No"))</f>
        <v>Yes</v>
      </c>
    </row>
    <row r="2960" customFormat="false" ht="15" hidden="false" customHeight="false" outlineLevel="0" collapsed="false">
      <c r="A2960" s="31" t="s">
        <v>3110</v>
      </c>
      <c r="B2960" s="44" t="n">
        <v>46245</v>
      </c>
      <c r="C2960" s="31" t="s">
        <v>58</v>
      </c>
      <c r="D2960" s="31" t="s">
        <v>66</v>
      </c>
      <c r="E2960" s="31" t="s">
        <v>52</v>
      </c>
      <c r="F2960" s="31" t="s">
        <v>121</v>
      </c>
      <c r="G2960" s="31" t="n">
        <v>17</v>
      </c>
      <c r="H2960" s="41" t="n">
        <v>5.3</v>
      </c>
      <c r="I2960" s="31" t="s">
        <v>149</v>
      </c>
      <c r="J2960" s="31" t="n">
        <v>5</v>
      </c>
      <c r="K2960" s="31" t="s">
        <v>150</v>
      </c>
      <c r="L2960" s="45" t="n">
        <f aca="false">DATE(YEAR(B2960),MONTH(B2960),1)</f>
        <v>46235</v>
      </c>
      <c r="M2960" s="31" t="n">
        <f aca="false">WEEKDAY(B2960,2)</f>
        <v>2</v>
      </c>
      <c r="N2960" s="31" t="str">
        <f aca="false">IF(G2960&lt;=INDEX(Assumptions!$B$15:$B$18,MATCH(E2960,Assumptions!$A$15:$A$18,0)),"Yes","No")</f>
        <v>Yes</v>
      </c>
      <c r="O2960" s="31" t="str">
        <f aca="false">IF(H2960="","Open",IF(H2960&lt;=INDEX(Assumptions!$C$15:$C$18,MATCH(E2960,Assumptions!$A$15:$A$18,0)),"Yes","No"))</f>
        <v>Yes</v>
      </c>
    </row>
    <row r="2961" customFormat="false" ht="15" hidden="false" customHeight="false" outlineLevel="0" collapsed="false">
      <c r="A2961" s="31" t="s">
        <v>3111</v>
      </c>
      <c r="B2961" s="44" t="n">
        <v>46245</v>
      </c>
      <c r="C2961" s="31" t="s">
        <v>60</v>
      </c>
      <c r="D2961" s="31" t="s">
        <v>66</v>
      </c>
      <c r="E2961" s="31" t="s">
        <v>51</v>
      </c>
      <c r="F2961" s="31" t="s">
        <v>123</v>
      </c>
      <c r="G2961" s="31" t="n">
        <v>2</v>
      </c>
      <c r="H2961" s="41" t="n">
        <v>3.1</v>
      </c>
      <c r="I2961" s="31" t="s">
        <v>149</v>
      </c>
      <c r="J2961" s="31" t="n">
        <v>4</v>
      </c>
      <c r="K2961" s="31" t="s">
        <v>150</v>
      </c>
      <c r="L2961" s="45" t="n">
        <f aca="false">DATE(YEAR(B2961),MONTH(B2961),1)</f>
        <v>46235</v>
      </c>
      <c r="M2961" s="31" t="n">
        <f aca="false">WEEKDAY(B2961,2)</f>
        <v>2</v>
      </c>
      <c r="N2961" s="31" t="str">
        <f aca="false">IF(G2961&lt;=INDEX(Assumptions!$B$15:$B$18,MATCH(E2961,Assumptions!$A$15:$A$18,0)),"Yes","No")</f>
        <v>Yes</v>
      </c>
      <c r="O2961" s="31" t="str">
        <f aca="false">IF(H2961="","Open",IF(H2961&lt;=INDEX(Assumptions!$C$15:$C$18,MATCH(E2961,Assumptions!$A$15:$A$18,0)),"Yes","No"))</f>
        <v>Yes</v>
      </c>
    </row>
    <row r="2962" customFormat="false" ht="15" hidden="false" customHeight="false" outlineLevel="0" collapsed="false">
      <c r="A2962" s="31" t="s">
        <v>3112</v>
      </c>
      <c r="B2962" s="44" t="n">
        <v>46245</v>
      </c>
      <c r="C2962" s="31" t="s">
        <v>57</v>
      </c>
      <c r="D2962" s="31" t="s">
        <v>68</v>
      </c>
      <c r="E2962" s="31" t="s">
        <v>51</v>
      </c>
      <c r="F2962" s="31" t="s">
        <v>129</v>
      </c>
      <c r="G2962" s="31" t="n">
        <v>3</v>
      </c>
      <c r="H2962" s="41" t="n">
        <v>1.6</v>
      </c>
      <c r="I2962" s="31" t="s">
        <v>149</v>
      </c>
      <c r="J2962" s="31"/>
      <c r="K2962" s="31" t="s">
        <v>150</v>
      </c>
      <c r="L2962" s="45" t="n">
        <f aca="false">DATE(YEAR(B2962),MONTH(B2962),1)</f>
        <v>46235</v>
      </c>
      <c r="M2962" s="31" t="n">
        <f aca="false">WEEKDAY(B2962,2)</f>
        <v>2</v>
      </c>
      <c r="N2962" s="31" t="str">
        <f aca="false">IF(G2962&lt;=INDEX(Assumptions!$B$15:$B$18,MATCH(E2962,Assumptions!$A$15:$A$18,0)),"Yes","No")</f>
        <v>Yes</v>
      </c>
      <c r="O2962" s="31" t="str">
        <f aca="false">IF(H2962="","Open",IF(H2962&lt;=INDEX(Assumptions!$C$15:$C$18,MATCH(E2962,Assumptions!$A$15:$A$18,0)),"Yes","No"))</f>
        <v>Yes</v>
      </c>
    </row>
    <row r="2963" customFormat="false" ht="15" hidden="false" customHeight="false" outlineLevel="0" collapsed="false">
      <c r="A2963" s="31" t="s">
        <v>3113</v>
      </c>
      <c r="B2963" s="44" t="n">
        <v>46245</v>
      </c>
      <c r="C2963" s="31" t="s">
        <v>58</v>
      </c>
      <c r="D2963" s="31" t="s">
        <v>67</v>
      </c>
      <c r="E2963" s="31" t="s">
        <v>50</v>
      </c>
      <c r="F2963" s="31" t="s">
        <v>124</v>
      </c>
      <c r="G2963" s="31" t="n">
        <v>4</v>
      </c>
      <c r="H2963" s="41" t="n">
        <v>13</v>
      </c>
      <c r="I2963" s="31" t="s">
        <v>149</v>
      </c>
      <c r="J2963" s="31" t="n">
        <v>4</v>
      </c>
      <c r="K2963" s="31" t="s">
        <v>150</v>
      </c>
      <c r="L2963" s="45" t="n">
        <f aca="false">DATE(YEAR(B2963),MONTH(B2963),1)</f>
        <v>46235</v>
      </c>
      <c r="M2963" s="31" t="n">
        <f aca="false">WEEKDAY(B2963,2)</f>
        <v>2</v>
      </c>
      <c r="N2963" s="31" t="str">
        <f aca="false">IF(G2963&lt;=INDEX(Assumptions!$B$15:$B$18,MATCH(E2963,Assumptions!$A$15:$A$18,0)),"Yes","No")</f>
        <v>Yes</v>
      </c>
      <c r="O2963" s="31" t="str">
        <f aca="false">IF(H2963="","Open",IF(H2963&lt;=INDEX(Assumptions!$C$15:$C$18,MATCH(E2963,Assumptions!$A$15:$A$18,0)),"Yes","No"))</f>
        <v>No</v>
      </c>
    </row>
    <row r="2964" customFormat="false" ht="15" hidden="false" customHeight="false" outlineLevel="0" collapsed="false">
      <c r="A2964" s="31" t="s">
        <v>3114</v>
      </c>
      <c r="B2964" s="44" t="n">
        <v>46245</v>
      </c>
      <c r="C2964" s="31" t="s">
        <v>57</v>
      </c>
      <c r="D2964" s="31" t="s">
        <v>65</v>
      </c>
      <c r="E2964" s="31" t="s">
        <v>52</v>
      </c>
      <c r="F2964" s="31" t="s">
        <v>126</v>
      </c>
      <c r="G2964" s="31" t="n">
        <v>1</v>
      </c>
      <c r="H2964" s="41" t="n">
        <v>3</v>
      </c>
      <c r="I2964" s="31" t="s">
        <v>149</v>
      </c>
      <c r="J2964" s="31"/>
      <c r="K2964" s="31" t="s">
        <v>150</v>
      </c>
      <c r="L2964" s="45" t="n">
        <f aca="false">DATE(YEAR(B2964),MONTH(B2964),1)</f>
        <v>46235</v>
      </c>
      <c r="M2964" s="31" t="n">
        <f aca="false">WEEKDAY(B2964,2)</f>
        <v>2</v>
      </c>
      <c r="N2964" s="31" t="str">
        <f aca="false">IF(G2964&lt;=INDEX(Assumptions!$B$15:$B$18,MATCH(E2964,Assumptions!$A$15:$A$18,0)),"Yes","No")</f>
        <v>Yes</v>
      </c>
      <c r="O2964" s="31" t="str">
        <f aca="false">IF(H2964="","Open",IF(H2964&lt;=INDEX(Assumptions!$C$15:$C$18,MATCH(E2964,Assumptions!$A$15:$A$18,0)),"Yes","No"))</f>
        <v>Yes</v>
      </c>
    </row>
    <row r="2965" customFormat="false" ht="15" hidden="false" customHeight="false" outlineLevel="0" collapsed="false">
      <c r="A2965" s="31" t="s">
        <v>3115</v>
      </c>
      <c r="B2965" s="44" t="n">
        <v>46245</v>
      </c>
      <c r="C2965" s="31" t="s">
        <v>58</v>
      </c>
      <c r="D2965" s="31" t="s">
        <v>65</v>
      </c>
      <c r="E2965" s="31" t="s">
        <v>52</v>
      </c>
      <c r="F2965" s="31" t="s">
        <v>137</v>
      </c>
      <c r="G2965" s="31" t="n">
        <v>26</v>
      </c>
      <c r="H2965" s="41" t="n">
        <v>38.8</v>
      </c>
      <c r="I2965" s="31" t="s">
        <v>149</v>
      </c>
      <c r="J2965" s="31"/>
      <c r="K2965" s="31" t="s">
        <v>150</v>
      </c>
      <c r="L2965" s="45" t="n">
        <f aca="false">DATE(YEAR(B2965),MONTH(B2965),1)</f>
        <v>46235</v>
      </c>
      <c r="M2965" s="31" t="n">
        <f aca="false">WEEKDAY(B2965,2)</f>
        <v>2</v>
      </c>
      <c r="N2965" s="31" t="str">
        <f aca="false">IF(G2965&lt;=INDEX(Assumptions!$B$15:$B$18,MATCH(E2965,Assumptions!$A$15:$A$18,0)),"Yes","No")</f>
        <v>Yes</v>
      </c>
      <c r="O2965" s="31" t="str">
        <f aca="false">IF(H2965="","Open",IF(H2965&lt;=INDEX(Assumptions!$C$15:$C$18,MATCH(E2965,Assumptions!$A$15:$A$18,0)),"Yes","No"))</f>
        <v>Yes</v>
      </c>
    </row>
    <row r="2966" customFormat="false" ht="15" hidden="false" customHeight="false" outlineLevel="0" collapsed="false">
      <c r="A2966" s="31" t="s">
        <v>3116</v>
      </c>
      <c r="B2966" s="44" t="n">
        <v>46245</v>
      </c>
      <c r="C2966" s="31" t="s">
        <v>58</v>
      </c>
      <c r="D2966" s="31" t="s">
        <v>65</v>
      </c>
      <c r="E2966" s="31" t="s">
        <v>51</v>
      </c>
      <c r="F2966" s="31" t="s">
        <v>128</v>
      </c>
      <c r="G2966" s="31" t="n">
        <v>37</v>
      </c>
      <c r="H2966" s="41" t="n">
        <v>28.4</v>
      </c>
      <c r="I2966" s="31" t="s">
        <v>149</v>
      </c>
      <c r="J2966" s="31" t="n">
        <v>4</v>
      </c>
      <c r="K2966" s="31" t="s">
        <v>150</v>
      </c>
      <c r="L2966" s="45" t="n">
        <f aca="false">DATE(YEAR(B2966),MONTH(B2966),1)</f>
        <v>46235</v>
      </c>
      <c r="M2966" s="31" t="n">
        <f aca="false">WEEKDAY(B2966,2)</f>
        <v>2</v>
      </c>
      <c r="N2966" s="31" t="str">
        <f aca="false">IF(G2966&lt;=INDEX(Assumptions!$B$15:$B$18,MATCH(E2966,Assumptions!$A$15:$A$18,0)),"Yes","No")</f>
        <v>Yes</v>
      </c>
      <c r="O2966" s="31" t="str">
        <f aca="false">IF(H2966="","Open",IF(H2966&lt;=INDEX(Assumptions!$C$15:$C$18,MATCH(E2966,Assumptions!$A$15:$A$18,0)),"Yes","No"))</f>
        <v>No</v>
      </c>
    </row>
    <row r="2967" customFormat="false" ht="15" hidden="false" customHeight="false" outlineLevel="0" collapsed="false">
      <c r="A2967" s="31" t="s">
        <v>3117</v>
      </c>
      <c r="B2967" s="44" t="n">
        <v>46245</v>
      </c>
      <c r="C2967" s="31" t="s">
        <v>57</v>
      </c>
      <c r="D2967" s="31" t="s">
        <v>69</v>
      </c>
      <c r="E2967" s="31" t="s">
        <v>51</v>
      </c>
      <c r="F2967" s="31" t="s">
        <v>119</v>
      </c>
      <c r="G2967" s="31" t="n">
        <v>8</v>
      </c>
      <c r="H2967" s="41" t="n">
        <v>30.9</v>
      </c>
      <c r="I2967" s="31" t="s">
        <v>149</v>
      </c>
      <c r="J2967" s="31" t="n">
        <v>3</v>
      </c>
      <c r="K2967" s="31" t="s">
        <v>150</v>
      </c>
      <c r="L2967" s="45" t="n">
        <f aca="false">DATE(YEAR(B2967),MONTH(B2967),1)</f>
        <v>46235</v>
      </c>
      <c r="M2967" s="31" t="n">
        <f aca="false">WEEKDAY(B2967,2)</f>
        <v>2</v>
      </c>
      <c r="N2967" s="31" t="str">
        <f aca="false">IF(G2967&lt;=INDEX(Assumptions!$B$15:$B$18,MATCH(E2967,Assumptions!$A$15:$A$18,0)),"Yes","No")</f>
        <v>Yes</v>
      </c>
      <c r="O2967" s="31" t="str">
        <f aca="false">IF(H2967="","Open",IF(H2967&lt;=INDEX(Assumptions!$C$15:$C$18,MATCH(E2967,Assumptions!$A$15:$A$18,0)),"Yes","No"))</f>
        <v>No</v>
      </c>
    </row>
    <row r="2968" customFormat="false" ht="15" hidden="false" customHeight="false" outlineLevel="0" collapsed="false">
      <c r="A2968" s="31" t="s">
        <v>3118</v>
      </c>
      <c r="B2968" s="44" t="n">
        <v>46245</v>
      </c>
      <c r="C2968" s="31" t="s">
        <v>58</v>
      </c>
      <c r="D2968" s="31" t="s">
        <v>66</v>
      </c>
      <c r="E2968" s="31" t="s">
        <v>52</v>
      </c>
      <c r="F2968" s="31" t="s">
        <v>130</v>
      </c>
      <c r="G2968" s="31" t="n">
        <v>89</v>
      </c>
      <c r="H2968" s="41" t="n">
        <v>3.9</v>
      </c>
      <c r="I2968" s="31" t="s">
        <v>149</v>
      </c>
      <c r="J2968" s="31" t="n">
        <v>4</v>
      </c>
      <c r="K2968" s="31" t="s">
        <v>150</v>
      </c>
      <c r="L2968" s="45" t="n">
        <f aca="false">DATE(YEAR(B2968),MONTH(B2968),1)</f>
        <v>46235</v>
      </c>
      <c r="M2968" s="31" t="n">
        <f aca="false">WEEKDAY(B2968,2)</f>
        <v>2</v>
      </c>
      <c r="N2968" s="31" t="str">
        <f aca="false">IF(G2968&lt;=INDEX(Assumptions!$B$15:$B$18,MATCH(E2968,Assumptions!$A$15:$A$18,0)),"Yes","No")</f>
        <v>Yes</v>
      </c>
      <c r="O2968" s="31" t="str">
        <f aca="false">IF(H2968="","Open",IF(H2968&lt;=INDEX(Assumptions!$C$15:$C$18,MATCH(E2968,Assumptions!$A$15:$A$18,0)),"Yes","No"))</f>
        <v>Yes</v>
      </c>
    </row>
    <row r="2969" customFormat="false" ht="15" hidden="false" customHeight="false" outlineLevel="0" collapsed="false">
      <c r="A2969" s="31" t="s">
        <v>3119</v>
      </c>
      <c r="B2969" s="44" t="n">
        <v>46245</v>
      </c>
      <c r="C2969" s="31" t="s">
        <v>59</v>
      </c>
      <c r="D2969" s="31" t="s">
        <v>65</v>
      </c>
      <c r="E2969" s="31" t="s">
        <v>51</v>
      </c>
      <c r="F2969" s="31" t="s">
        <v>137</v>
      </c>
      <c r="G2969" s="31" t="n">
        <v>100</v>
      </c>
      <c r="H2969" s="41" t="n">
        <v>25.9</v>
      </c>
      <c r="I2969" s="31" t="s">
        <v>149</v>
      </c>
      <c r="J2969" s="31"/>
      <c r="K2969" s="31" t="s">
        <v>150</v>
      </c>
      <c r="L2969" s="45" t="n">
        <f aca="false">DATE(YEAR(B2969),MONTH(B2969),1)</f>
        <v>46235</v>
      </c>
      <c r="M2969" s="31" t="n">
        <f aca="false">WEEKDAY(B2969,2)</f>
        <v>2</v>
      </c>
      <c r="N2969" s="31" t="str">
        <f aca="false">IF(G2969&lt;=INDEX(Assumptions!$B$15:$B$18,MATCH(E2969,Assumptions!$A$15:$A$18,0)),"Yes","No")</f>
        <v>No</v>
      </c>
      <c r="O2969" s="31" t="str">
        <f aca="false">IF(H2969="","Open",IF(H2969&lt;=INDEX(Assumptions!$C$15:$C$18,MATCH(E2969,Assumptions!$A$15:$A$18,0)),"Yes","No"))</f>
        <v>No</v>
      </c>
    </row>
    <row r="2970" customFormat="false" ht="15" hidden="false" customHeight="false" outlineLevel="0" collapsed="false">
      <c r="A2970" s="31" t="s">
        <v>3120</v>
      </c>
      <c r="B2970" s="44" t="n">
        <v>46245</v>
      </c>
      <c r="C2970" s="31" t="s">
        <v>57</v>
      </c>
      <c r="D2970" s="31" t="s">
        <v>66</v>
      </c>
      <c r="E2970" s="31" t="s">
        <v>51</v>
      </c>
      <c r="F2970" s="31" t="s">
        <v>119</v>
      </c>
      <c r="G2970" s="31" t="n">
        <v>5</v>
      </c>
      <c r="H2970" s="41" t="n">
        <v>1.8</v>
      </c>
      <c r="I2970" s="31" t="s">
        <v>149</v>
      </c>
      <c r="J2970" s="31"/>
      <c r="K2970" s="31" t="s">
        <v>150</v>
      </c>
      <c r="L2970" s="45" t="n">
        <f aca="false">DATE(YEAR(B2970),MONTH(B2970),1)</f>
        <v>46235</v>
      </c>
      <c r="M2970" s="31" t="n">
        <f aca="false">WEEKDAY(B2970,2)</f>
        <v>2</v>
      </c>
      <c r="N2970" s="31" t="str">
        <f aca="false">IF(G2970&lt;=INDEX(Assumptions!$B$15:$B$18,MATCH(E2970,Assumptions!$A$15:$A$18,0)),"Yes","No")</f>
        <v>Yes</v>
      </c>
      <c r="O2970" s="31" t="str">
        <f aca="false">IF(H2970="","Open",IF(H2970&lt;=INDEX(Assumptions!$C$15:$C$18,MATCH(E2970,Assumptions!$A$15:$A$18,0)),"Yes","No"))</f>
        <v>Yes</v>
      </c>
    </row>
    <row r="2971" customFormat="false" ht="15" hidden="false" customHeight="false" outlineLevel="0" collapsed="false">
      <c r="A2971" s="31" t="s">
        <v>3121</v>
      </c>
      <c r="B2971" s="44" t="n">
        <v>46245</v>
      </c>
      <c r="C2971" s="31" t="s">
        <v>60</v>
      </c>
      <c r="D2971" s="31" t="s">
        <v>66</v>
      </c>
      <c r="E2971" s="31" t="s">
        <v>50</v>
      </c>
      <c r="F2971" s="31" t="s">
        <v>133</v>
      </c>
      <c r="G2971" s="31" t="n">
        <v>1</v>
      </c>
      <c r="H2971" s="41" t="n">
        <v>1.8</v>
      </c>
      <c r="I2971" s="31" t="s">
        <v>149</v>
      </c>
      <c r="J2971" s="31" t="n">
        <v>5</v>
      </c>
      <c r="K2971" s="31" t="s">
        <v>150</v>
      </c>
      <c r="L2971" s="45" t="n">
        <f aca="false">DATE(YEAR(B2971),MONTH(B2971),1)</f>
        <v>46235</v>
      </c>
      <c r="M2971" s="31" t="n">
        <f aca="false">WEEKDAY(B2971,2)</f>
        <v>2</v>
      </c>
      <c r="N2971" s="31" t="str">
        <f aca="false">IF(G2971&lt;=INDEX(Assumptions!$B$15:$B$18,MATCH(E2971,Assumptions!$A$15:$A$18,0)),"Yes","No")</f>
        <v>Yes</v>
      </c>
      <c r="O2971" s="31" t="str">
        <f aca="false">IF(H2971="","Open",IF(H2971&lt;=INDEX(Assumptions!$C$15:$C$18,MATCH(E2971,Assumptions!$A$15:$A$18,0)),"Yes","No"))</f>
        <v>Yes</v>
      </c>
    </row>
    <row r="2972" customFormat="false" ht="15" hidden="false" customHeight="false" outlineLevel="0" collapsed="false">
      <c r="A2972" s="31" t="s">
        <v>3122</v>
      </c>
      <c r="B2972" s="44" t="n">
        <v>46245</v>
      </c>
      <c r="C2972" s="31" t="s">
        <v>57</v>
      </c>
      <c r="D2972" s="31" t="s">
        <v>66</v>
      </c>
      <c r="E2972" s="31" t="s">
        <v>50</v>
      </c>
      <c r="F2972" s="31" t="s">
        <v>128</v>
      </c>
      <c r="G2972" s="31" t="n">
        <v>2</v>
      </c>
      <c r="H2972" s="41" t="n">
        <v>14</v>
      </c>
      <c r="I2972" s="31" t="s">
        <v>149</v>
      </c>
      <c r="J2972" s="31" t="n">
        <v>5</v>
      </c>
      <c r="K2972" s="31" t="s">
        <v>150</v>
      </c>
      <c r="L2972" s="45" t="n">
        <f aca="false">DATE(YEAR(B2972),MONTH(B2972),1)</f>
        <v>46235</v>
      </c>
      <c r="M2972" s="31" t="n">
        <f aca="false">WEEKDAY(B2972,2)</f>
        <v>2</v>
      </c>
      <c r="N2972" s="31" t="str">
        <f aca="false">IF(G2972&lt;=INDEX(Assumptions!$B$15:$B$18,MATCH(E2972,Assumptions!$A$15:$A$18,0)),"Yes","No")</f>
        <v>Yes</v>
      </c>
      <c r="O2972" s="31" t="str">
        <f aca="false">IF(H2972="","Open",IF(H2972&lt;=INDEX(Assumptions!$C$15:$C$18,MATCH(E2972,Assumptions!$A$15:$A$18,0)),"Yes","No"))</f>
        <v>No</v>
      </c>
    </row>
    <row r="2973" customFormat="false" ht="15" hidden="false" customHeight="false" outlineLevel="0" collapsed="false">
      <c r="A2973" s="31" t="s">
        <v>3123</v>
      </c>
      <c r="B2973" s="44" t="n">
        <v>46245</v>
      </c>
      <c r="C2973" s="31" t="s">
        <v>59</v>
      </c>
      <c r="D2973" s="31" t="s">
        <v>65</v>
      </c>
      <c r="E2973" s="31" t="s">
        <v>51</v>
      </c>
      <c r="F2973" s="31" t="s">
        <v>131</v>
      </c>
      <c r="G2973" s="31" t="n">
        <v>29</v>
      </c>
      <c r="H2973" s="41" t="n">
        <v>8.3</v>
      </c>
      <c r="I2973" s="31" t="s">
        <v>149</v>
      </c>
      <c r="J2973" s="31" t="n">
        <v>5</v>
      </c>
      <c r="K2973" s="31" t="s">
        <v>150</v>
      </c>
      <c r="L2973" s="45" t="n">
        <f aca="false">DATE(YEAR(B2973),MONTH(B2973),1)</f>
        <v>46235</v>
      </c>
      <c r="M2973" s="31" t="n">
        <f aca="false">WEEKDAY(B2973,2)</f>
        <v>2</v>
      </c>
      <c r="N2973" s="31" t="str">
        <f aca="false">IF(G2973&lt;=INDEX(Assumptions!$B$15:$B$18,MATCH(E2973,Assumptions!$A$15:$A$18,0)),"Yes","No")</f>
        <v>Yes</v>
      </c>
      <c r="O2973" s="31" t="str">
        <f aca="false">IF(H2973="","Open",IF(H2973&lt;=INDEX(Assumptions!$C$15:$C$18,MATCH(E2973,Assumptions!$A$15:$A$18,0)),"Yes","No"))</f>
        <v>Yes</v>
      </c>
    </row>
    <row r="2974" customFormat="false" ht="15" hidden="false" customHeight="false" outlineLevel="0" collapsed="false">
      <c r="A2974" s="31" t="s">
        <v>3124</v>
      </c>
      <c r="B2974" s="44" t="n">
        <v>46245</v>
      </c>
      <c r="C2974" s="31" t="s">
        <v>60</v>
      </c>
      <c r="D2974" s="31" t="s">
        <v>66</v>
      </c>
      <c r="E2974" s="31" t="s">
        <v>51</v>
      </c>
      <c r="F2974" s="31" t="s">
        <v>135</v>
      </c>
      <c r="G2974" s="31" t="n">
        <v>3</v>
      </c>
      <c r="H2974" s="41" t="n">
        <v>10.3</v>
      </c>
      <c r="I2974" s="31" t="s">
        <v>149</v>
      </c>
      <c r="J2974" s="31" t="n">
        <v>5</v>
      </c>
      <c r="K2974" s="31" t="s">
        <v>153</v>
      </c>
      <c r="L2974" s="45" t="n">
        <f aca="false">DATE(YEAR(B2974),MONTH(B2974),1)</f>
        <v>46235</v>
      </c>
      <c r="M2974" s="31" t="n">
        <f aca="false">WEEKDAY(B2974,2)</f>
        <v>2</v>
      </c>
      <c r="N2974" s="31" t="str">
        <f aca="false">IF(G2974&lt;=INDEX(Assumptions!$B$15:$B$18,MATCH(E2974,Assumptions!$A$15:$A$18,0)),"Yes","No")</f>
        <v>Yes</v>
      </c>
      <c r="O2974" s="31" t="str">
        <f aca="false">IF(H2974="","Open",IF(H2974&lt;=INDEX(Assumptions!$C$15:$C$18,MATCH(E2974,Assumptions!$A$15:$A$18,0)),"Yes","No"))</f>
        <v>Yes</v>
      </c>
    </row>
    <row r="2975" customFormat="false" ht="15" hidden="false" customHeight="false" outlineLevel="0" collapsed="false">
      <c r="A2975" s="31" t="s">
        <v>3125</v>
      </c>
      <c r="B2975" s="44" t="n">
        <v>46245</v>
      </c>
      <c r="C2975" s="31" t="s">
        <v>57</v>
      </c>
      <c r="D2975" s="31" t="s">
        <v>65</v>
      </c>
      <c r="E2975" s="31" t="s">
        <v>50</v>
      </c>
      <c r="F2975" s="31" t="s">
        <v>128</v>
      </c>
      <c r="G2975" s="31" t="n">
        <v>7</v>
      </c>
      <c r="H2975" s="41" t="n">
        <v>35.4</v>
      </c>
      <c r="I2975" s="31" t="s">
        <v>149</v>
      </c>
      <c r="J2975" s="31"/>
      <c r="K2975" s="31" t="s">
        <v>150</v>
      </c>
      <c r="L2975" s="45" t="n">
        <f aca="false">DATE(YEAR(B2975),MONTH(B2975),1)</f>
        <v>46235</v>
      </c>
      <c r="M2975" s="31" t="n">
        <f aca="false">WEEKDAY(B2975,2)</f>
        <v>2</v>
      </c>
      <c r="N2975" s="31" t="str">
        <f aca="false">IF(G2975&lt;=INDEX(Assumptions!$B$15:$B$18,MATCH(E2975,Assumptions!$A$15:$A$18,0)),"Yes","No")</f>
        <v>Yes</v>
      </c>
      <c r="O2975" s="31" t="str">
        <f aca="false">IF(H2975="","Open",IF(H2975&lt;=INDEX(Assumptions!$C$15:$C$18,MATCH(E2975,Assumptions!$A$15:$A$18,0)),"Yes","No"))</f>
        <v>No</v>
      </c>
    </row>
    <row r="2976" customFormat="false" ht="15" hidden="false" customHeight="false" outlineLevel="0" collapsed="false">
      <c r="A2976" s="31" t="s">
        <v>3126</v>
      </c>
      <c r="B2976" s="44" t="n">
        <v>46245</v>
      </c>
      <c r="C2976" s="31" t="s">
        <v>58</v>
      </c>
      <c r="D2976" s="31" t="s">
        <v>68</v>
      </c>
      <c r="E2976" s="31" t="s">
        <v>51</v>
      </c>
      <c r="F2976" s="31" t="s">
        <v>133</v>
      </c>
      <c r="G2976" s="31" t="n">
        <v>7</v>
      </c>
      <c r="H2976" s="41"/>
      <c r="I2976" s="31" t="s">
        <v>158</v>
      </c>
      <c r="J2976" s="31"/>
      <c r="K2976" s="31" t="s">
        <v>150</v>
      </c>
      <c r="L2976" s="45" t="n">
        <f aca="false">DATE(YEAR(B2976),MONTH(B2976),1)</f>
        <v>46235</v>
      </c>
      <c r="M2976" s="31" t="n">
        <f aca="false">WEEKDAY(B2976,2)</f>
        <v>2</v>
      </c>
      <c r="N2976" s="31" t="str">
        <f aca="false">IF(G2976&lt;=INDEX(Assumptions!$B$15:$B$18,MATCH(E2976,Assumptions!$A$15:$A$18,0)),"Yes","No")</f>
        <v>Yes</v>
      </c>
      <c r="O2976" s="31" t="str">
        <f aca="false">IF(H2976="","Open",IF(H2976&lt;=INDEX(Assumptions!$C$15:$C$18,MATCH(E2976,Assumptions!$A$15:$A$18,0)),"Yes","No"))</f>
        <v>Open</v>
      </c>
    </row>
    <row r="2977" customFormat="false" ht="15" hidden="false" customHeight="false" outlineLevel="0" collapsed="false">
      <c r="A2977" s="31" t="s">
        <v>3127</v>
      </c>
      <c r="B2977" s="44" t="n">
        <v>46245</v>
      </c>
      <c r="C2977" s="31" t="s">
        <v>59</v>
      </c>
      <c r="D2977" s="31" t="s">
        <v>65</v>
      </c>
      <c r="E2977" s="31" t="s">
        <v>51</v>
      </c>
      <c r="F2977" s="31" t="s">
        <v>135</v>
      </c>
      <c r="G2977" s="31" t="n">
        <v>183</v>
      </c>
      <c r="H2977" s="41" t="n">
        <v>28.6</v>
      </c>
      <c r="I2977" s="31" t="s">
        <v>149</v>
      </c>
      <c r="J2977" s="31"/>
      <c r="K2977" s="31" t="s">
        <v>150</v>
      </c>
      <c r="L2977" s="45" t="n">
        <f aca="false">DATE(YEAR(B2977),MONTH(B2977),1)</f>
        <v>46235</v>
      </c>
      <c r="M2977" s="31" t="n">
        <f aca="false">WEEKDAY(B2977,2)</f>
        <v>2</v>
      </c>
      <c r="N2977" s="31" t="str">
        <f aca="false">IF(G2977&lt;=INDEX(Assumptions!$B$15:$B$18,MATCH(E2977,Assumptions!$A$15:$A$18,0)),"Yes","No")</f>
        <v>No</v>
      </c>
      <c r="O2977" s="31" t="str">
        <f aca="false">IF(H2977="","Open",IF(H2977&lt;=INDEX(Assumptions!$C$15:$C$18,MATCH(E2977,Assumptions!$A$15:$A$18,0)),"Yes","No"))</f>
        <v>No</v>
      </c>
    </row>
    <row r="2978" customFormat="false" ht="15" hidden="false" customHeight="false" outlineLevel="0" collapsed="false">
      <c r="A2978" s="31" t="s">
        <v>3128</v>
      </c>
      <c r="B2978" s="44" t="n">
        <v>46245</v>
      </c>
      <c r="C2978" s="31" t="s">
        <v>60</v>
      </c>
      <c r="D2978" s="31" t="s">
        <v>65</v>
      </c>
      <c r="E2978" s="31" t="s">
        <v>51</v>
      </c>
      <c r="F2978" s="31" t="s">
        <v>123</v>
      </c>
      <c r="G2978" s="31" t="n">
        <v>3</v>
      </c>
      <c r="H2978" s="41" t="n">
        <v>32.2</v>
      </c>
      <c r="I2978" s="31" t="s">
        <v>149</v>
      </c>
      <c r="J2978" s="31" t="n">
        <v>5</v>
      </c>
      <c r="K2978" s="31" t="s">
        <v>150</v>
      </c>
      <c r="L2978" s="45" t="n">
        <f aca="false">DATE(YEAR(B2978),MONTH(B2978),1)</f>
        <v>46235</v>
      </c>
      <c r="M2978" s="31" t="n">
        <f aca="false">WEEKDAY(B2978,2)</f>
        <v>2</v>
      </c>
      <c r="N2978" s="31" t="str">
        <f aca="false">IF(G2978&lt;=INDEX(Assumptions!$B$15:$B$18,MATCH(E2978,Assumptions!$A$15:$A$18,0)),"Yes","No")</f>
        <v>Yes</v>
      </c>
      <c r="O2978" s="31" t="str">
        <f aca="false">IF(H2978="","Open",IF(H2978&lt;=INDEX(Assumptions!$C$15:$C$18,MATCH(E2978,Assumptions!$A$15:$A$18,0)),"Yes","No"))</f>
        <v>No</v>
      </c>
    </row>
    <row r="2979" customFormat="false" ht="15" hidden="false" customHeight="false" outlineLevel="0" collapsed="false">
      <c r="A2979" s="31" t="s">
        <v>3129</v>
      </c>
      <c r="B2979" s="44" t="n">
        <v>46245</v>
      </c>
      <c r="C2979" s="31" t="s">
        <v>58</v>
      </c>
      <c r="D2979" s="31" t="s">
        <v>69</v>
      </c>
      <c r="E2979" s="31" t="s">
        <v>52</v>
      </c>
      <c r="F2979" s="31" t="s">
        <v>119</v>
      </c>
      <c r="G2979" s="31" t="n">
        <v>25</v>
      </c>
      <c r="H2979" s="41" t="n">
        <v>32.2</v>
      </c>
      <c r="I2979" s="31" t="s">
        <v>149</v>
      </c>
      <c r="J2979" s="31"/>
      <c r="K2979" s="31" t="s">
        <v>150</v>
      </c>
      <c r="L2979" s="45" t="n">
        <f aca="false">DATE(YEAR(B2979),MONTH(B2979),1)</f>
        <v>46235</v>
      </c>
      <c r="M2979" s="31" t="n">
        <f aca="false">WEEKDAY(B2979,2)</f>
        <v>2</v>
      </c>
      <c r="N2979" s="31" t="str">
        <f aca="false">IF(G2979&lt;=INDEX(Assumptions!$B$15:$B$18,MATCH(E2979,Assumptions!$A$15:$A$18,0)),"Yes","No")</f>
        <v>Yes</v>
      </c>
      <c r="O2979" s="31" t="str">
        <f aca="false">IF(H2979="","Open",IF(H2979&lt;=INDEX(Assumptions!$C$15:$C$18,MATCH(E2979,Assumptions!$A$15:$A$18,0)),"Yes","No"))</f>
        <v>Yes</v>
      </c>
    </row>
    <row r="2980" customFormat="false" ht="15" hidden="false" customHeight="false" outlineLevel="0" collapsed="false">
      <c r="A2980" s="31" t="s">
        <v>3130</v>
      </c>
      <c r="B2980" s="44" t="n">
        <v>46245</v>
      </c>
      <c r="C2980" s="31" t="s">
        <v>59</v>
      </c>
      <c r="D2980" s="31" t="s">
        <v>68</v>
      </c>
      <c r="E2980" s="31" t="s">
        <v>51</v>
      </c>
      <c r="F2980" s="31" t="s">
        <v>121</v>
      </c>
      <c r="G2980" s="31" t="n">
        <v>182</v>
      </c>
      <c r="H2980" s="41"/>
      <c r="I2980" s="31" t="s">
        <v>158</v>
      </c>
      <c r="J2980" s="31"/>
      <c r="K2980" s="31" t="s">
        <v>150</v>
      </c>
      <c r="L2980" s="45" t="n">
        <f aca="false">DATE(YEAR(B2980),MONTH(B2980),1)</f>
        <v>46235</v>
      </c>
      <c r="M2980" s="31" t="n">
        <f aca="false">WEEKDAY(B2980,2)</f>
        <v>2</v>
      </c>
      <c r="N2980" s="31" t="str">
        <f aca="false">IF(G2980&lt;=INDEX(Assumptions!$B$15:$B$18,MATCH(E2980,Assumptions!$A$15:$A$18,0)),"Yes","No")</f>
        <v>No</v>
      </c>
      <c r="O2980" s="31" t="str">
        <f aca="false">IF(H2980="","Open",IF(H2980&lt;=INDEX(Assumptions!$C$15:$C$18,MATCH(E2980,Assumptions!$A$15:$A$18,0)),"Yes","No"))</f>
        <v>Open</v>
      </c>
    </row>
    <row r="2981" customFormat="false" ht="15" hidden="false" customHeight="false" outlineLevel="0" collapsed="false">
      <c r="A2981" s="31" t="s">
        <v>3131</v>
      </c>
      <c r="B2981" s="44" t="n">
        <v>46245</v>
      </c>
      <c r="C2981" s="31" t="s">
        <v>59</v>
      </c>
      <c r="D2981" s="31" t="s">
        <v>68</v>
      </c>
      <c r="E2981" s="31" t="s">
        <v>49</v>
      </c>
      <c r="F2981" s="31" t="s">
        <v>119</v>
      </c>
      <c r="G2981" s="31" t="n">
        <v>51</v>
      </c>
      <c r="H2981" s="41" t="n">
        <v>4.8</v>
      </c>
      <c r="I2981" s="31" t="s">
        <v>149</v>
      </c>
      <c r="J2981" s="31" t="n">
        <v>4</v>
      </c>
      <c r="K2981" s="31" t="s">
        <v>150</v>
      </c>
      <c r="L2981" s="45" t="n">
        <f aca="false">DATE(YEAR(B2981),MONTH(B2981),1)</f>
        <v>46235</v>
      </c>
      <c r="M2981" s="31" t="n">
        <f aca="false">WEEKDAY(B2981,2)</f>
        <v>2</v>
      </c>
      <c r="N2981" s="31" t="str">
        <f aca="false">IF(G2981&lt;=INDEX(Assumptions!$B$15:$B$18,MATCH(E2981,Assumptions!$A$15:$A$18,0)),"Yes","No")</f>
        <v>No</v>
      </c>
      <c r="O2981" s="31" t="str">
        <f aca="false">IF(H2981="","Open",IF(H2981&lt;=INDEX(Assumptions!$C$15:$C$18,MATCH(E2981,Assumptions!$A$15:$A$18,0)),"Yes","No"))</f>
        <v>No</v>
      </c>
    </row>
    <row r="2982" customFormat="false" ht="15" hidden="false" customHeight="false" outlineLevel="0" collapsed="false">
      <c r="A2982" s="31" t="s">
        <v>3132</v>
      </c>
      <c r="B2982" s="44" t="n">
        <v>46245</v>
      </c>
      <c r="C2982" s="31" t="s">
        <v>58</v>
      </c>
      <c r="D2982" s="31" t="s">
        <v>66</v>
      </c>
      <c r="E2982" s="31" t="s">
        <v>52</v>
      </c>
      <c r="F2982" s="31" t="s">
        <v>133</v>
      </c>
      <c r="G2982" s="31" t="n">
        <v>9</v>
      </c>
      <c r="H2982" s="41" t="n">
        <v>4.5</v>
      </c>
      <c r="I2982" s="31" t="s">
        <v>64</v>
      </c>
      <c r="J2982" s="31"/>
      <c r="K2982" s="31" t="s">
        <v>150</v>
      </c>
      <c r="L2982" s="45" t="n">
        <f aca="false">DATE(YEAR(B2982),MONTH(B2982),1)</f>
        <v>46235</v>
      </c>
      <c r="M2982" s="31" t="n">
        <f aca="false">WEEKDAY(B2982,2)</f>
        <v>2</v>
      </c>
      <c r="N2982" s="31" t="str">
        <f aca="false">IF(G2982&lt;=INDEX(Assumptions!$B$15:$B$18,MATCH(E2982,Assumptions!$A$15:$A$18,0)),"Yes","No")</f>
        <v>Yes</v>
      </c>
      <c r="O2982" s="31" t="str">
        <f aca="false">IF(H2982="","Open",IF(H2982&lt;=INDEX(Assumptions!$C$15:$C$18,MATCH(E2982,Assumptions!$A$15:$A$18,0)),"Yes","No"))</f>
        <v>Yes</v>
      </c>
    </row>
    <row r="2983" customFormat="false" ht="15" hidden="false" customHeight="false" outlineLevel="0" collapsed="false">
      <c r="A2983" s="31" t="s">
        <v>3133</v>
      </c>
      <c r="B2983" s="44" t="n">
        <v>46245</v>
      </c>
      <c r="C2983" s="31" t="s">
        <v>60</v>
      </c>
      <c r="D2983" s="31" t="s">
        <v>69</v>
      </c>
      <c r="E2983" s="31" t="s">
        <v>51</v>
      </c>
      <c r="F2983" s="31" t="s">
        <v>120</v>
      </c>
      <c r="G2983" s="31" t="n">
        <v>13</v>
      </c>
      <c r="H2983" s="41" t="n">
        <v>15.8</v>
      </c>
      <c r="I2983" s="31" t="s">
        <v>149</v>
      </c>
      <c r="J2983" s="31" t="n">
        <v>3</v>
      </c>
      <c r="K2983" s="31" t="s">
        <v>150</v>
      </c>
      <c r="L2983" s="45" t="n">
        <f aca="false">DATE(YEAR(B2983),MONTH(B2983),1)</f>
        <v>46235</v>
      </c>
      <c r="M2983" s="31" t="n">
        <f aca="false">WEEKDAY(B2983,2)</f>
        <v>2</v>
      </c>
      <c r="N2983" s="31" t="str">
        <f aca="false">IF(G2983&lt;=INDEX(Assumptions!$B$15:$B$18,MATCH(E2983,Assumptions!$A$15:$A$18,0)),"Yes","No")</f>
        <v>Yes</v>
      </c>
      <c r="O2983" s="31" t="str">
        <f aca="false">IF(H2983="","Open",IF(H2983&lt;=INDEX(Assumptions!$C$15:$C$18,MATCH(E2983,Assumptions!$A$15:$A$18,0)),"Yes","No"))</f>
        <v>Yes</v>
      </c>
    </row>
    <row r="2984" customFormat="false" ht="15" hidden="false" customHeight="false" outlineLevel="0" collapsed="false">
      <c r="A2984" s="31" t="s">
        <v>3134</v>
      </c>
      <c r="B2984" s="44" t="n">
        <v>46245</v>
      </c>
      <c r="C2984" s="31" t="s">
        <v>60</v>
      </c>
      <c r="D2984" s="31" t="s">
        <v>65</v>
      </c>
      <c r="E2984" s="31" t="s">
        <v>52</v>
      </c>
      <c r="F2984" s="31" t="s">
        <v>137</v>
      </c>
      <c r="G2984" s="31" t="n">
        <v>12</v>
      </c>
      <c r="H2984" s="41" t="n">
        <v>7.5</v>
      </c>
      <c r="I2984" s="31" t="s">
        <v>149</v>
      </c>
      <c r="J2984" s="31"/>
      <c r="K2984" s="31" t="s">
        <v>150</v>
      </c>
      <c r="L2984" s="45" t="n">
        <f aca="false">DATE(YEAR(B2984),MONTH(B2984),1)</f>
        <v>46235</v>
      </c>
      <c r="M2984" s="31" t="n">
        <f aca="false">WEEKDAY(B2984,2)</f>
        <v>2</v>
      </c>
      <c r="N2984" s="31" t="str">
        <f aca="false">IF(G2984&lt;=INDEX(Assumptions!$B$15:$B$18,MATCH(E2984,Assumptions!$A$15:$A$18,0)),"Yes","No")</f>
        <v>Yes</v>
      </c>
      <c r="O2984" s="31" t="str">
        <f aca="false">IF(H2984="","Open",IF(H2984&lt;=INDEX(Assumptions!$C$15:$C$18,MATCH(E2984,Assumptions!$A$15:$A$18,0)),"Yes","No"))</f>
        <v>Yes</v>
      </c>
    </row>
    <row r="2985" customFormat="false" ht="15" hidden="false" customHeight="false" outlineLevel="0" collapsed="false">
      <c r="A2985" s="31" t="s">
        <v>3135</v>
      </c>
      <c r="B2985" s="44" t="n">
        <v>46246</v>
      </c>
      <c r="C2985" s="31" t="s">
        <v>58</v>
      </c>
      <c r="D2985" s="31" t="s">
        <v>65</v>
      </c>
      <c r="E2985" s="31" t="s">
        <v>51</v>
      </c>
      <c r="F2985" s="31" t="s">
        <v>124</v>
      </c>
      <c r="G2985" s="31" t="n">
        <v>11</v>
      </c>
      <c r="H2985" s="41" t="n">
        <v>8.2</v>
      </c>
      <c r="I2985" s="31" t="s">
        <v>149</v>
      </c>
      <c r="J2985" s="31"/>
      <c r="K2985" s="31" t="s">
        <v>150</v>
      </c>
      <c r="L2985" s="45" t="n">
        <f aca="false">DATE(YEAR(B2985),MONTH(B2985),1)</f>
        <v>46235</v>
      </c>
      <c r="M2985" s="31" t="n">
        <f aca="false">WEEKDAY(B2985,2)</f>
        <v>3</v>
      </c>
      <c r="N2985" s="31" t="str">
        <f aca="false">IF(G2985&lt;=INDEX(Assumptions!$B$15:$B$18,MATCH(E2985,Assumptions!$A$15:$A$18,0)),"Yes","No")</f>
        <v>Yes</v>
      </c>
      <c r="O2985" s="31" t="str">
        <f aca="false">IF(H2985="","Open",IF(H2985&lt;=INDEX(Assumptions!$C$15:$C$18,MATCH(E2985,Assumptions!$A$15:$A$18,0)),"Yes","No"))</f>
        <v>Yes</v>
      </c>
    </row>
    <row r="2986" customFormat="false" ht="15" hidden="false" customHeight="false" outlineLevel="0" collapsed="false">
      <c r="A2986" s="31" t="s">
        <v>3136</v>
      </c>
      <c r="B2986" s="44" t="n">
        <v>46246</v>
      </c>
      <c r="C2986" s="31" t="s">
        <v>58</v>
      </c>
      <c r="D2986" s="31" t="s">
        <v>67</v>
      </c>
      <c r="E2986" s="31" t="s">
        <v>50</v>
      </c>
      <c r="F2986" s="31" t="s">
        <v>131</v>
      </c>
      <c r="G2986" s="31" t="n">
        <v>3</v>
      </c>
      <c r="H2986" s="41" t="n">
        <v>1.9</v>
      </c>
      <c r="I2986" s="31" t="s">
        <v>149</v>
      </c>
      <c r="J2986" s="31"/>
      <c r="K2986" s="31" t="s">
        <v>150</v>
      </c>
      <c r="L2986" s="45" t="n">
        <f aca="false">DATE(YEAR(B2986),MONTH(B2986),1)</f>
        <v>46235</v>
      </c>
      <c r="M2986" s="31" t="n">
        <f aca="false">WEEKDAY(B2986,2)</f>
        <v>3</v>
      </c>
      <c r="N2986" s="31" t="str">
        <f aca="false">IF(G2986&lt;=INDEX(Assumptions!$B$15:$B$18,MATCH(E2986,Assumptions!$A$15:$A$18,0)),"Yes","No")</f>
        <v>Yes</v>
      </c>
      <c r="O2986" s="31" t="str">
        <f aca="false">IF(H2986="","Open",IF(H2986&lt;=INDEX(Assumptions!$C$15:$C$18,MATCH(E2986,Assumptions!$A$15:$A$18,0)),"Yes","No"))</f>
        <v>Yes</v>
      </c>
    </row>
    <row r="2987" customFormat="false" ht="15" hidden="false" customHeight="false" outlineLevel="0" collapsed="false">
      <c r="A2987" s="31" t="s">
        <v>3137</v>
      </c>
      <c r="B2987" s="44" t="n">
        <v>46246</v>
      </c>
      <c r="C2987" s="31" t="s">
        <v>58</v>
      </c>
      <c r="D2987" s="31" t="s">
        <v>67</v>
      </c>
      <c r="E2987" s="31" t="s">
        <v>52</v>
      </c>
      <c r="F2987" s="31" t="s">
        <v>129</v>
      </c>
      <c r="G2987" s="31" t="n">
        <v>5</v>
      </c>
      <c r="H2987" s="41" t="n">
        <v>62.3</v>
      </c>
      <c r="I2987" s="31" t="s">
        <v>149</v>
      </c>
      <c r="J2987" s="31" t="n">
        <v>5</v>
      </c>
      <c r="K2987" s="31" t="s">
        <v>150</v>
      </c>
      <c r="L2987" s="45" t="n">
        <f aca="false">DATE(YEAR(B2987),MONTH(B2987),1)</f>
        <v>46235</v>
      </c>
      <c r="M2987" s="31" t="n">
        <f aca="false">WEEKDAY(B2987,2)</f>
        <v>3</v>
      </c>
      <c r="N2987" s="31" t="str">
        <f aca="false">IF(G2987&lt;=INDEX(Assumptions!$B$15:$B$18,MATCH(E2987,Assumptions!$A$15:$A$18,0)),"Yes","No")</f>
        <v>Yes</v>
      </c>
      <c r="O2987" s="31" t="str">
        <f aca="false">IF(H2987="","Open",IF(H2987&lt;=INDEX(Assumptions!$C$15:$C$18,MATCH(E2987,Assumptions!$A$15:$A$18,0)),"Yes","No"))</f>
        <v>Yes</v>
      </c>
    </row>
    <row r="2988" customFormat="false" ht="15" hidden="false" customHeight="false" outlineLevel="0" collapsed="false">
      <c r="A2988" s="31" t="s">
        <v>3138</v>
      </c>
      <c r="B2988" s="44" t="n">
        <v>46246</v>
      </c>
      <c r="C2988" s="31" t="s">
        <v>59</v>
      </c>
      <c r="D2988" s="31" t="s">
        <v>66</v>
      </c>
      <c r="E2988" s="31" t="s">
        <v>51</v>
      </c>
      <c r="F2988" s="31" t="s">
        <v>131</v>
      </c>
      <c r="G2988" s="31" t="n">
        <v>27</v>
      </c>
      <c r="H2988" s="41" t="n">
        <v>7</v>
      </c>
      <c r="I2988" s="31" t="s">
        <v>149</v>
      </c>
      <c r="J2988" s="31" t="n">
        <v>4</v>
      </c>
      <c r="K2988" s="31" t="s">
        <v>150</v>
      </c>
      <c r="L2988" s="45" t="n">
        <f aca="false">DATE(YEAR(B2988),MONTH(B2988),1)</f>
        <v>46235</v>
      </c>
      <c r="M2988" s="31" t="n">
        <f aca="false">WEEKDAY(B2988,2)</f>
        <v>3</v>
      </c>
      <c r="N2988" s="31" t="str">
        <f aca="false">IF(G2988&lt;=INDEX(Assumptions!$B$15:$B$18,MATCH(E2988,Assumptions!$A$15:$A$18,0)),"Yes","No")</f>
        <v>Yes</v>
      </c>
      <c r="O2988" s="31" t="str">
        <f aca="false">IF(H2988="","Open",IF(H2988&lt;=INDEX(Assumptions!$C$15:$C$18,MATCH(E2988,Assumptions!$A$15:$A$18,0)),"Yes","No"))</f>
        <v>Yes</v>
      </c>
    </row>
    <row r="2989" customFormat="false" ht="15" hidden="false" customHeight="false" outlineLevel="0" collapsed="false">
      <c r="A2989" s="31" t="s">
        <v>3139</v>
      </c>
      <c r="B2989" s="44" t="n">
        <v>46246</v>
      </c>
      <c r="C2989" s="31" t="s">
        <v>59</v>
      </c>
      <c r="D2989" s="31" t="s">
        <v>66</v>
      </c>
      <c r="E2989" s="31" t="s">
        <v>50</v>
      </c>
      <c r="F2989" s="31" t="s">
        <v>121</v>
      </c>
      <c r="G2989" s="31" t="n">
        <v>19</v>
      </c>
      <c r="H2989" s="41" t="n">
        <v>2.3</v>
      </c>
      <c r="I2989" s="31" t="s">
        <v>149</v>
      </c>
      <c r="J2989" s="31" t="n">
        <v>4</v>
      </c>
      <c r="K2989" s="31" t="s">
        <v>153</v>
      </c>
      <c r="L2989" s="45" t="n">
        <f aca="false">DATE(YEAR(B2989),MONTH(B2989),1)</f>
        <v>46235</v>
      </c>
      <c r="M2989" s="31" t="n">
        <f aca="false">WEEKDAY(B2989,2)</f>
        <v>3</v>
      </c>
      <c r="N2989" s="31" t="str">
        <f aca="false">IF(G2989&lt;=INDEX(Assumptions!$B$15:$B$18,MATCH(E2989,Assumptions!$A$15:$A$18,0)),"Yes","No")</f>
        <v>Yes</v>
      </c>
      <c r="O2989" s="31" t="str">
        <f aca="false">IF(H2989="","Open",IF(H2989&lt;=INDEX(Assumptions!$C$15:$C$18,MATCH(E2989,Assumptions!$A$15:$A$18,0)),"Yes","No"))</f>
        <v>Yes</v>
      </c>
    </row>
    <row r="2990" customFormat="false" ht="15" hidden="false" customHeight="false" outlineLevel="0" collapsed="false">
      <c r="A2990" s="31" t="s">
        <v>3140</v>
      </c>
      <c r="B2990" s="44" t="n">
        <v>46246</v>
      </c>
      <c r="C2990" s="31" t="s">
        <v>60</v>
      </c>
      <c r="D2990" s="31" t="s">
        <v>65</v>
      </c>
      <c r="E2990" s="31" t="s">
        <v>51</v>
      </c>
      <c r="F2990" s="31" t="s">
        <v>130</v>
      </c>
      <c r="G2990" s="31" t="n">
        <v>5</v>
      </c>
      <c r="H2990" s="41" t="n">
        <v>28.4</v>
      </c>
      <c r="I2990" s="31" t="s">
        <v>149</v>
      </c>
      <c r="J2990" s="31"/>
      <c r="K2990" s="31" t="s">
        <v>150</v>
      </c>
      <c r="L2990" s="45" t="n">
        <f aca="false">DATE(YEAR(B2990),MONTH(B2990),1)</f>
        <v>46235</v>
      </c>
      <c r="M2990" s="31" t="n">
        <f aca="false">WEEKDAY(B2990,2)</f>
        <v>3</v>
      </c>
      <c r="N2990" s="31" t="str">
        <f aca="false">IF(G2990&lt;=INDEX(Assumptions!$B$15:$B$18,MATCH(E2990,Assumptions!$A$15:$A$18,0)),"Yes","No")</f>
        <v>Yes</v>
      </c>
      <c r="O2990" s="31" t="str">
        <f aca="false">IF(H2990="","Open",IF(H2990&lt;=INDEX(Assumptions!$C$15:$C$18,MATCH(E2990,Assumptions!$A$15:$A$18,0)),"Yes","No"))</f>
        <v>No</v>
      </c>
    </row>
    <row r="2991" customFormat="false" ht="15" hidden="false" customHeight="false" outlineLevel="0" collapsed="false">
      <c r="A2991" s="31" t="s">
        <v>3141</v>
      </c>
      <c r="B2991" s="44" t="n">
        <v>46246</v>
      </c>
      <c r="C2991" s="31" t="s">
        <v>60</v>
      </c>
      <c r="D2991" s="31" t="s">
        <v>65</v>
      </c>
      <c r="E2991" s="31" t="s">
        <v>51</v>
      </c>
      <c r="F2991" s="31" t="s">
        <v>119</v>
      </c>
      <c r="G2991" s="31" t="n">
        <v>2</v>
      </c>
      <c r="H2991" s="41" t="n">
        <v>15.9</v>
      </c>
      <c r="I2991" s="31" t="s">
        <v>149</v>
      </c>
      <c r="J2991" s="31"/>
      <c r="K2991" s="31" t="s">
        <v>153</v>
      </c>
      <c r="L2991" s="45" t="n">
        <f aca="false">DATE(YEAR(B2991),MONTH(B2991),1)</f>
        <v>46235</v>
      </c>
      <c r="M2991" s="31" t="n">
        <f aca="false">WEEKDAY(B2991,2)</f>
        <v>3</v>
      </c>
      <c r="N2991" s="31" t="str">
        <f aca="false">IF(G2991&lt;=INDEX(Assumptions!$B$15:$B$18,MATCH(E2991,Assumptions!$A$15:$A$18,0)),"Yes","No")</f>
        <v>Yes</v>
      </c>
      <c r="O2991" s="31" t="str">
        <f aca="false">IF(H2991="","Open",IF(H2991&lt;=INDEX(Assumptions!$C$15:$C$18,MATCH(E2991,Assumptions!$A$15:$A$18,0)),"Yes","No"))</f>
        <v>Yes</v>
      </c>
    </row>
    <row r="2992" customFormat="false" ht="15" hidden="false" customHeight="false" outlineLevel="0" collapsed="false">
      <c r="A2992" s="31" t="s">
        <v>3142</v>
      </c>
      <c r="B2992" s="44" t="n">
        <v>46246</v>
      </c>
      <c r="C2992" s="31" t="s">
        <v>60</v>
      </c>
      <c r="D2992" s="31" t="s">
        <v>66</v>
      </c>
      <c r="E2992" s="31" t="s">
        <v>51</v>
      </c>
      <c r="F2992" s="31" t="s">
        <v>137</v>
      </c>
      <c r="G2992" s="31" t="n">
        <v>1</v>
      </c>
      <c r="H2992" s="41" t="n">
        <v>9.8</v>
      </c>
      <c r="I2992" s="31" t="s">
        <v>149</v>
      </c>
      <c r="J2992" s="31" t="n">
        <v>5</v>
      </c>
      <c r="K2992" s="31" t="s">
        <v>150</v>
      </c>
      <c r="L2992" s="45" t="n">
        <f aca="false">DATE(YEAR(B2992),MONTH(B2992),1)</f>
        <v>46235</v>
      </c>
      <c r="M2992" s="31" t="n">
        <f aca="false">WEEKDAY(B2992,2)</f>
        <v>3</v>
      </c>
      <c r="N2992" s="31" t="str">
        <f aca="false">IF(G2992&lt;=INDEX(Assumptions!$B$15:$B$18,MATCH(E2992,Assumptions!$A$15:$A$18,0)),"Yes","No")</f>
        <v>Yes</v>
      </c>
      <c r="O2992" s="31" t="str">
        <f aca="false">IF(H2992="","Open",IF(H2992&lt;=INDEX(Assumptions!$C$15:$C$18,MATCH(E2992,Assumptions!$A$15:$A$18,0)),"Yes","No"))</f>
        <v>Yes</v>
      </c>
    </row>
    <row r="2993" customFormat="false" ht="15" hidden="false" customHeight="false" outlineLevel="0" collapsed="false">
      <c r="A2993" s="31" t="s">
        <v>3143</v>
      </c>
      <c r="B2993" s="44" t="n">
        <v>46246</v>
      </c>
      <c r="C2993" s="31" t="s">
        <v>58</v>
      </c>
      <c r="D2993" s="31" t="s">
        <v>69</v>
      </c>
      <c r="E2993" s="31" t="s">
        <v>49</v>
      </c>
      <c r="F2993" s="31" t="s">
        <v>126</v>
      </c>
      <c r="G2993" s="31" t="n">
        <v>3</v>
      </c>
      <c r="H2993" s="41" t="n">
        <v>4</v>
      </c>
      <c r="I2993" s="31" t="s">
        <v>64</v>
      </c>
      <c r="J2993" s="31" t="n">
        <v>4</v>
      </c>
      <c r="K2993" s="31" t="s">
        <v>153</v>
      </c>
      <c r="L2993" s="45" t="n">
        <f aca="false">DATE(YEAR(B2993),MONTH(B2993),1)</f>
        <v>46235</v>
      </c>
      <c r="M2993" s="31" t="n">
        <f aca="false">WEEKDAY(B2993,2)</f>
        <v>3</v>
      </c>
      <c r="N2993" s="31" t="str">
        <f aca="false">IF(G2993&lt;=INDEX(Assumptions!$B$15:$B$18,MATCH(E2993,Assumptions!$A$15:$A$18,0)),"Yes","No")</f>
        <v>Yes</v>
      </c>
      <c r="O2993" s="31" t="str">
        <f aca="false">IF(H2993="","Open",IF(H2993&lt;=INDEX(Assumptions!$C$15:$C$18,MATCH(E2993,Assumptions!$A$15:$A$18,0)),"Yes","No"))</f>
        <v>Yes</v>
      </c>
    </row>
    <row r="2994" customFormat="false" ht="15" hidden="false" customHeight="false" outlineLevel="0" collapsed="false">
      <c r="A2994" s="31" t="s">
        <v>3144</v>
      </c>
      <c r="B2994" s="44" t="n">
        <v>46246</v>
      </c>
      <c r="C2994" s="31" t="s">
        <v>59</v>
      </c>
      <c r="D2994" s="31" t="s">
        <v>65</v>
      </c>
      <c r="E2994" s="31" t="s">
        <v>52</v>
      </c>
      <c r="F2994" s="31" t="s">
        <v>136</v>
      </c>
      <c r="G2994" s="31" t="n">
        <v>54</v>
      </c>
      <c r="H2994" s="41" t="n">
        <v>8.3</v>
      </c>
      <c r="I2994" s="31" t="s">
        <v>149</v>
      </c>
      <c r="J2994" s="31" t="n">
        <v>5</v>
      </c>
      <c r="K2994" s="31" t="s">
        <v>150</v>
      </c>
      <c r="L2994" s="45" t="n">
        <f aca="false">DATE(YEAR(B2994),MONTH(B2994),1)</f>
        <v>46235</v>
      </c>
      <c r="M2994" s="31" t="n">
        <f aca="false">WEEKDAY(B2994,2)</f>
        <v>3</v>
      </c>
      <c r="N2994" s="31" t="str">
        <f aca="false">IF(G2994&lt;=INDEX(Assumptions!$B$15:$B$18,MATCH(E2994,Assumptions!$A$15:$A$18,0)),"Yes","No")</f>
        <v>Yes</v>
      </c>
      <c r="O2994" s="31" t="str">
        <f aca="false">IF(H2994="","Open",IF(H2994&lt;=INDEX(Assumptions!$C$15:$C$18,MATCH(E2994,Assumptions!$A$15:$A$18,0)),"Yes","No"))</f>
        <v>Yes</v>
      </c>
    </row>
    <row r="2995" customFormat="false" ht="15" hidden="false" customHeight="false" outlineLevel="0" collapsed="false">
      <c r="A2995" s="31" t="s">
        <v>3145</v>
      </c>
      <c r="B2995" s="44" t="n">
        <v>46246</v>
      </c>
      <c r="C2995" s="31" t="s">
        <v>59</v>
      </c>
      <c r="D2995" s="31" t="s">
        <v>65</v>
      </c>
      <c r="E2995" s="31" t="s">
        <v>52</v>
      </c>
      <c r="F2995" s="31" t="s">
        <v>133</v>
      </c>
      <c r="G2995" s="31" t="n">
        <v>72</v>
      </c>
      <c r="H2995" s="41" t="n">
        <v>30.5</v>
      </c>
      <c r="I2995" s="31" t="s">
        <v>64</v>
      </c>
      <c r="J2995" s="31"/>
      <c r="K2995" s="31" t="s">
        <v>150</v>
      </c>
      <c r="L2995" s="45" t="n">
        <f aca="false">DATE(YEAR(B2995),MONTH(B2995),1)</f>
        <v>46235</v>
      </c>
      <c r="M2995" s="31" t="n">
        <f aca="false">WEEKDAY(B2995,2)</f>
        <v>3</v>
      </c>
      <c r="N2995" s="31" t="str">
        <f aca="false">IF(G2995&lt;=INDEX(Assumptions!$B$15:$B$18,MATCH(E2995,Assumptions!$A$15:$A$18,0)),"Yes","No")</f>
        <v>Yes</v>
      </c>
      <c r="O2995" s="31" t="str">
        <f aca="false">IF(H2995="","Open",IF(H2995&lt;=INDEX(Assumptions!$C$15:$C$18,MATCH(E2995,Assumptions!$A$15:$A$18,0)),"Yes","No"))</f>
        <v>Yes</v>
      </c>
    </row>
    <row r="2996" customFormat="false" ht="15" hidden="false" customHeight="false" outlineLevel="0" collapsed="false">
      <c r="A2996" s="31" t="s">
        <v>3146</v>
      </c>
      <c r="B2996" s="44" t="n">
        <v>46246</v>
      </c>
      <c r="C2996" s="31" t="s">
        <v>57</v>
      </c>
      <c r="D2996" s="31" t="s">
        <v>66</v>
      </c>
      <c r="E2996" s="31" t="s">
        <v>50</v>
      </c>
      <c r="F2996" s="31" t="s">
        <v>127</v>
      </c>
      <c r="G2996" s="31" t="n">
        <v>1</v>
      </c>
      <c r="H2996" s="41" t="n">
        <v>2.8</v>
      </c>
      <c r="I2996" s="31" t="s">
        <v>149</v>
      </c>
      <c r="J2996" s="31" t="n">
        <v>4</v>
      </c>
      <c r="K2996" s="31" t="s">
        <v>150</v>
      </c>
      <c r="L2996" s="45" t="n">
        <f aca="false">DATE(YEAR(B2996),MONTH(B2996),1)</f>
        <v>46235</v>
      </c>
      <c r="M2996" s="31" t="n">
        <f aca="false">WEEKDAY(B2996,2)</f>
        <v>3</v>
      </c>
      <c r="N2996" s="31" t="str">
        <f aca="false">IF(G2996&lt;=INDEX(Assumptions!$B$15:$B$18,MATCH(E2996,Assumptions!$A$15:$A$18,0)),"Yes","No")</f>
        <v>Yes</v>
      </c>
      <c r="O2996" s="31" t="str">
        <f aca="false">IF(H2996="","Open",IF(H2996&lt;=INDEX(Assumptions!$C$15:$C$18,MATCH(E2996,Assumptions!$A$15:$A$18,0)),"Yes","No"))</f>
        <v>Yes</v>
      </c>
    </row>
    <row r="2997" customFormat="false" ht="15" hidden="false" customHeight="false" outlineLevel="0" collapsed="false">
      <c r="A2997" s="31" t="s">
        <v>3147</v>
      </c>
      <c r="B2997" s="44" t="n">
        <v>46246</v>
      </c>
      <c r="C2997" s="31" t="s">
        <v>59</v>
      </c>
      <c r="D2997" s="31" t="s">
        <v>68</v>
      </c>
      <c r="E2997" s="31" t="s">
        <v>49</v>
      </c>
      <c r="F2997" s="31" t="s">
        <v>131</v>
      </c>
      <c r="G2997" s="31" t="n">
        <v>44</v>
      </c>
      <c r="H2997" s="41" t="n">
        <v>1.4</v>
      </c>
      <c r="I2997" s="31" t="s">
        <v>149</v>
      </c>
      <c r="J2997" s="31" t="n">
        <v>4</v>
      </c>
      <c r="K2997" s="31" t="s">
        <v>150</v>
      </c>
      <c r="L2997" s="45" t="n">
        <f aca="false">DATE(YEAR(B2997),MONTH(B2997),1)</f>
        <v>46235</v>
      </c>
      <c r="M2997" s="31" t="n">
        <f aca="false">WEEKDAY(B2997,2)</f>
        <v>3</v>
      </c>
      <c r="N2997" s="31" t="str">
        <f aca="false">IF(G2997&lt;=INDEX(Assumptions!$B$15:$B$18,MATCH(E2997,Assumptions!$A$15:$A$18,0)),"Yes","No")</f>
        <v>No</v>
      </c>
      <c r="O2997" s="31" t="str">
        <f aca="false">IF(H2997="","Open",IF(H2997&lt;=INDEX(Assumptions!$C$15:$C$18,MATCH(E2997,Assumptions!$A$15:$A$18,0)),"Yes","No"))</f>
        <v>Yes</v>
      </c>
    </row>
    <row r="2998" customFormat="false" ht="15" hidden="false" customHeight="false" outlineLevel="0" collapsed="false">
      <c r="A2998" s="31" t="s">
        <v>3148</v>
      </c>
      <c r="B2998" s="44" t="n">
        <v>46246</v>
      </c>
      <c r="C2998" s="31" t="s">
        <v>59</v>
      </c>
      <c r="D2998" s="31" t="s">
        <v>68</v>
      </c>
      <c r="E2998" s="31" t="s">
        <v>51</v>
      </c>
      <c r="F2998" s="31" t="s">
        <v>122</v>
      </c>
      <c r="G2998" s="31" t="n">
        <v>45</v>
      </c>
      <c r="H2998" s="41" t="n">
        <v>3</v>
      </c>
      <c r="I2998" s="31" t="s">
        <v>149</v>
      </c>
      <c r="J2998" s="31"/>
      <c r="K2998" s="31" t="s">
        <v>153</v>
      </c>
      <c r="L2998" s="45" t="n">
        <f aca="false">DATE(YEAR(B2998),MONTH(B2998),1)</f>
        <v>46235</v>
      </c>
      <c r="M2998" s="31" t="n">
        <f aca="false">WEEKDAY(B2998,2)</f>
        <v>3</v>
      </c>
      <c r="N2998" s="31" t="str">
        <f aca="false">IF(G2998&lt;=INDEX(Assumptions!$B$15:$B$18,MATCH(E2998,Assumptions!$A$15:$A$18,0)),"Yes","No")</f>
        <v>Yes</v>
      </c>
      <c r="O2998" s="31" t="str">
        <f aca="false">IF(H2998="","Open",IF(H2998&lt;=INDEX(Assumptions!$C$15:$C$18,MATCH(E2998,Assumptions!$A$15:$A$18,0)),"Yes","No"))</f>
        <v>Yes</v>
      </c>
    </row>
    <row r="2999" customFormat="false" ht="15" hidden="false" customHeight="false" outlineLevel="0" collapsed="false">
      <c r="A2999" s="31" t="s">
        <v>3149</v>
      </c>
      <c r="B2999" s="44" t="n">
        <v>46246</v>
      </c>
      <c r="C2999" s="31" t="s">
        <v>60</v>
      </c>
      <c r="D2999" s="31" t="s">
        <v>68</v>
      </c>
      <c r="E2999" s="31" t="s">
        <v>51</v>
      </c>
      <c r="F2999" s="31" t="s">
        <v>121</v>
      </c>
      <c r="G2999" s="31" t="n">
        <v>6</v>
      </c>
      <c r="H2999" s="41" t="n">
        <v>5.8</v>
      </c>
      <c r="I2999" s="31" t="s">
        <v>149</v>
      </c>
      <c r="J2999" s="31" t="n">
        <v>4</v>
      </c>
      <c r="K2999" s="31" t="s">
        <v>150</v>
      </c>
      <c r="L2999" s="45" t="n">
        <f aca="false">DATE(YEAR(B2999),MONTH(B2999),1)</f>
        <v>46235</v>
      </c>
      <c r="M2999" s="31" t="n">
        <f aca="false">WEEKDAY(B2999,2)</f>
        <v>3</v>
      </c>
      <c r="N2999" s="31" t="str">
        <f aca="false">IF(G2999&lt;=INDEX(Assumptions!$B$15:$B$18,MATCH(E2999,Assumptions!$A$15:$A$18,0)),"Yes","No")</f>
        <v>Yes</v>
      </c>
      <c r="O2999" s="31" t="str">
        <f aca="false">IF(H2999="","Open",IF(H2999&lt;=INDEX(Assumptions!$C$15:$C$18,MATCH(E2999,Assumptions!$A$15:$A$18,0)),"Yes","No"))</f>
        <v>Yes</v>
      </c>
    </row>
    <row r="3000" customFormat="false" ht="15" hidden="false" customHeight="false" outlineLevel="0" collapsed="false">
      <c r="A3000" s="31" t="s">
        <v>3150</v>
      </c>
      <c r="B3000" s="44" t="n">
        <v>46246</v>
      </c>
      <c r="C3000" s="31" t="s">
        <v>59</v>
      </c>
      <c r="D3000" s="31" t="s">
        <v>69</v>
      </c>
      <c r="E3000" s="31" t="s">
        <v>51</v>
      </c>
      <c r="F3000" s="31" t="s">
        <v>126</v>
      </c>
      <c r="G3000" s="31" t="n">
        <v>36</v>
      </c>
      <c r="H3000" s="41" t="n">
        <v>9.2</v>
      </c>
      <c r="I3000" s="31" t="s">
        <v>149</v>
      </c>
      <c r="J3000" s="31" t="n">
        <v>5</v>
      </c>
      <c r="K3000" s="31" t="s">
        <v>150</v>
      </c>
      <c r="L3000" s="45" t="n">
        <f aca="false">DATE(YEAR(B3000),MONTH(B3000),1)</f>
        <v>46235</v>
      </c>
      <c r="M3000" s="31" t="n">
        <f aca="false">WEEKDAY(B3000,2)</f>
        <v>3</v>
      </c>
      <c r="N3000" s="31" t="str">
        <f aca="false">IF(G3000&lt;=INDEX(Assumptions!$B$15:$B$18,MATCH(E3000,Assumptions!$A$15:$A$18,0)),"Yes","No")</f>
        <v>Yes</v>
      </c>
      <c r="O3000" s="31" t="str">
        <f aca="false">IF(H3000="","Open",IF(H3000&lt;=INDEX(Assumptions!$C$15:$C$18,MATCH(E3000,Assumptions!$A$15:$A$18,0)),"Yes","No"))</f>
        <v>Yes</v>
      </c>
    </row>
    <row r="3001" customFormat="false" ht="15" hidden="false" customHeight="false" outlineLevel="0" collapsed="false">
      <c r="A3001" s="31" t="s">
        <v>3151</v>
      </c>
      <c r="B3001" s="44" t="n">
        <v>46246</v>
      </c>
      <c r="C3001" s="31" t="s">
        <v>57</v>
      </c>
      <c r="D3001" s="31" t="s">
        <v>69</v>
      </c>
      <c r="E3001" s="31" t="s">
        <v>51</v>
      </c>
      <c r="F3001" s="31" t="s">
        <v>134</v>
      </c>
      <c r="G3001" s="31" t="n">
        <v>4</v>
      </c>
      <c r="H3001" s="41"/>
      <c r="I3001" s="31" t="s">
        <v>158</v>
      </c>
      <c r="J3001" s="31"/>
      <c r="K3001" s="31" t="s">
        <v>150</v>
      </c>
      <c r="L3001" s="45" t="n">
        <f aca="false">DATE(YEAR(B3001),MONTH(B3001),1)</f>
        <v>46235</v>
      </c>
      <c r="M3001" s="31" t="n">
        <f aca="false">WEEKDAY(B3001,2)</f>
        <v>3</v>
      </c>
      <c r="N3001" s="31" t="str">
        <f aca="false">IF(G3001&lt;=INDEX(Assumptions!$B$15:$B$18,MATCH(E3001,Assumptions!$A$15:$A$18,0)),"Yes","No")</f>
        <v>Yes</v>
      </c>
      <c r="O3001" s="31" t="str">
        <f aca="false">IF(H3001="","Open",IF(H3001&lt;=INDEX(Assumptions!$C$15:$C$18,MATCH(E3001,Assumptions!$A$15:$A$18,0)),"Yes","No"))</f>
        <v>Open</v>
      </c>
    </row>
    <row r="3002" customFormat="false" ht="15" hidden="false" customHeight="false" outlineLevel="0" collapsed="false">
      <c r="A3002" s="31" t="s">
        <v>3152</v>
      </c>
      <c r="B3002" s="44" t="n">
        <v>46246</v>
      </c>
      <c r="C3002" s="31" t="s">
        <v>60</v>
      </c>
      <c r="D3002" s="31" t="s">
        <v>65</v>
      </c>
      <c r="E3002" s="31" t="s">
        <v>51</v>
      </c>
      <c r="F3002" s="31" t="s">
        <v>121</v>
      </c>
      <c r="G3002" s="31" t="n">
        <v>5</v>
      </c>
      <c r="H3002" s="41" t="n">
        <v>5.7</v>
      </c>
      <c r="I3002" s="31" t="s">
        <v>149</v>
      </c>
      <c r="J3002" s="31"/>
      <c r="K3002" s="31" t="s">
        <v>153</v>
      </c>
      <c r="L3002" s="45" t="n">
        <f aca="false">DATE(YEAR(B3002),MONTH(B3002),1)</f>
        <v>46235</v>
      </c>
      <c r="M3002" s="31" t="n">
        <f aca="false">WEEKDAY(B3002,2)</f>
        <v>3</v>
      </c>
      <c r="N3002" s="31" t="str">
        <f aca="false">IF(G3002&lt;=INDEX(Assumptions!$B$15:$B$18,MATCH(E3002,Assumptions!$A$15:$A$18,0)),"Yes","No")</f>
        <v>Yes</v>
      </c>
      <c r="O3002" s="31" t="str">
        <f aca="false">IF(H3002="","Open",IF(H3002&lt;=INDEX(Assumptions!$C$15:$C$18,MATCH(E3002,Assumptions!$A$15:$A$18,0)),"Yes","No"))</f>
        <v>Yes</v>
      </c>
    </row>
    <row r="3003" customFormat="false" ht="15" hidden="false" customHeight="false" outlineLevel="0" collapsed="false">
      <c r="A3003" s="31" t="s">
        <v>3153</v>
      </c>
      <c r="B3003" s="44" t="n">
        <v>46246</v>
      </c>
      <c r="C3003" s="31" t="s">
        <v>59</v>
      </c>
      <c r="D3003" s="31" t="s">
        <v>65</v>
      </c>
      <c r="E3003" s="31" t="s">
        <v>51</v>
      </c>
      <c r="F3003" s="31" t="s">
        <v>133</v>
      </c>
      <c r="G3003" s="31" t="n">
        <v>127</v>
      </c>
      <c r="H3003" s="41" t="n">
        <v>7.1</v>
      </c>
      <c r="I3003" s="31" t="s">
        <v>149</v>
      </c>
      <c r="J3003" s="31" t="n">
        <v>4</v>
      </c>
      <c r="K3003" s="31" t="s">
        <v>150</v>
      </c>
      <c r="L3003" s="45" t="n">
        <f aca="false">DATE(YEAR(B3003),MONTH(B3003),1)</f>
        <v>46235</v>
      </c>
      <c r="M3003" s="31" t="n">
        <f aca="false">WEEKDAY(B3003,2)</f>
        <v>3</v>
      </c>
      <c r="N3003" s="31" t="str">
        <f aca="false">IF(G3003&lt;=INDEX(Assumptions!$B$15:$B$18,MATCH(E3003,Assumptions!$A$15:$A$18,0)),"Yes","No")</f>
        <v>No</v>
      </c>
      <c r="O3003" s="31" t="str">
        <f aca="false">IF(H3003="","Open",IF(H3003&lt;=INDEX(Assumptions!$C$15:$C$18,MATCH(E3003,Assumptions!$A$15:$A$18,0)),"Yes","No"))</f>
        <v>Yes</v>
      </c>
    </row>
    <row r="3004" customFormat="false" ht="15" hidden="false" customHeight="false" outlineLevel="0" collapsed="false">
      <c r="A3004" s="31" t="s">
        <v>3154</v>
      </c>
      <c r="B3004" s="44" t="n">
        <v>46246</v>
      </c>
      <c r="C3004" s="31" t="s">
        <v>60</v>
      </c>
      <c r="D3004" s="31" t="s">
        <v>65</v>
      </c>
      <c r="E3004" s="31" t="s">
        <v>49</v>
      </c>
      <c r="F3004" s="31" t="s">
        <v>135</v>
      </c>
      <c r="G3004" s="31" t="n">
        <v>1</v>
      </c>
      <c r="H3004" s="41" t="n">
        <v>1.7</v>
      </c>
      <c r="I3004" s="31" t="s">
        <v>149</v>
      </c>
      <c r="J3004" s="31" t="n">
        <v>4</v>
      </c>
      <c r="K3004" s="31" t="s">
        <v>150</v>
      </c>
      <c r="L3004" s="45" t="n">
        <f aca="false">DATE(YEAR(B3004),MONTH(B3004),1)</f>
        <v>46235</v>
      </c>
      <c r="M3004" s="31" t="n">
        <f aca="false">WEEKDAY(B3004,2)</f>
        <v>3</v>
      </c>
      <c r="N3004" s="31" t="str">
        <f aca="false">IF(G3004&lt;=INDEX(Assumptions!$B$15:$B$18,MATCH(E3004,Assumptions!$A$15:$A$18,0)),"Yes","No")</f>
        <v>Yes</v>
      </c>
      <c r="O3004" s="31" t="str">
        <f aca="false">IF(H3004="","Open",IF(H3004&lt;=INDEX(Assumptions!$C$15:$C$18,MATCH(E3004,Assumptions!$A$15:$A$18,0)),"Yes","No"))</f>
        <v>Yes</v>
      </c>
    </row>
    <row r="3005" customFormat="false" ht="15" hidden="false" customHeight="false" outlineLevel="0" collapsed="false">
      <c r="A3005" s="31" t="s">
        <v>3155</v>
      </c>
      <c r="B3005" s="44" t="n">
        <v>46246</v>
      </c>
      <c r="C3005" s="31" t="s">
        <v>59</v>
      </c>
      <c r="D3005" s="31" t="s">
        <v>65</v>
      </c>
      <c r="E3005" s="31" t="s">
        <v>51</v>
      </c>
      <c r="F3005" s="31" t="s">
        <v>130</v>
      </c>
      <c r="G3005" s="31" t="n">
        <v>31</v>
      </c>
      <c r="H3005" s="41" t="n">
        <v>5.5</v>
      </c>
      <c r="I3005" s="31" t="s">
        <v>149</v>
      </c>
      <c r="J3005" s="31" t="n">
        <v>4</v>
      </c>
      <c r="K3005" s="31" t="s">
        <v>150</v>
      </c>
      <c r="L3005" s="45" t="n">
        <f aca="false">DATE(YEAR(B3005),MONTH(B3005),1)</f>
        <v>46235</v>
      </c>
      <c r="M3005" s="31" t="n">
        <f aca="false">WEEKDAY(B3005,2)</f>
        <v>3</v>
      </c>
      <c r="N3005" s="31" t="str">
        <f aca="false">IF(G3005&lt;=INDEX(Assumptions!$B$15:$B$18,MATCH(E3005,Assumptions!$A$15:$A$18,0)),"Yes","No")</f>
        <v>Yes</v>
      </c>
      <c r="O3005" s="31" t="str">
        <f aca="false">IF(H3005="","Open",IF(H3005&lt;=INDEX(Assumptions!$C$15:$C$18,MATCH(E3005,Assumptions!$A$15:$A$18,0)),"Yes","No"))</f>
        <v>Yes</v>
      </c>
    </row>
    <row r="3006" customFormat="false" ht="15" hidden="false" customHeight="false" outlineLevel="0" collapsed="false">
      <c r="A3006" s="31" t="s">
        <v>3156</v>
      </c>
      <c r="B3006" s="44" t="n">
        <v>46246</v>
      </c>
      <c r="C3006" s="31" t="s">
        <v>59</v>
      </c>
      <c r="D3006" s="31" t="s">
        <v>67</v>
      </c>
      <c r="E3006" s="31" t="s">
        <v>50</v>
      </c>
      <c r="F3006" s="31" t="s">
        <v>123</v>
      </c>
      <c r="G3006" s="31" t="n">
        <v>65</v>
      </c>
      <c r="H3006" s="41" t="n">
        <v>1.2</v>
      </c>
      <c r="I3006" s="31" t="s">
        <v>149</v>
      </c>
      <c r="J3006" s="31"/>
      <c r="K3006" s="31" t="s">
        <v>150</v>
      </c>
      <c r="L3006" s="45" t="n">
        <f aca="false">DATE(YEAR(B3006),MONTH(B3006),1)</f>
        <v>46235</v>
      </c>
      <c r="M3006" s="31" t="n">
        <f aca="false">WEEKDAY(B3006,2)</f>
        <v>3</v>
      </c>
      <c r="N3006" s="31" t="str">
        <f aca="false">IF(G3006&lt;=INDEX(Assumptions!$B$15:$B$18,MATCH(E3006,Assumptions!$A$15:$A$18,0)),"Yes","No")</f>
        <v>No</v>
      </c>
      <c r="O3006" s="31" t="str">
        <f aca="false">IF(H3006="","Open",IF(H3006&lt;=INDEX(Assumptions!$C$15:$C$18,MATCH(E3006,Assumptions!$A$15:$A$18,0)),"Yes","No"))</f>
        <v>Yes</v>
      </c>
    </row>
    <row r="3007" customFormat="false" ht="15" hidden="false" customHeight="false" outlineLevel="0" collapsed="false">
      <c r="A3007" s="31" t="s">
        <v>3157</v>
      </c>
      <c r="B3007" s="44" t="n">
        <v>46246</v>
      </c>
      <c r="C3007" s="31" t="s">
        <v>58</v>
      </c>
      <c r="D3007" s="31" t="s">
        <v>66</v>
      </c>
      <c r="E3007" s="31" t="s">
        <v>51</v>
      </c>
      <c r="F3007" s="31" t="s">
        <v>117</v>
      </c>
      <c r="G3007" s="31" t="n">
        <v>8</v>
      </c>
      <c r="H3007" s="41" t="n">
        <v>7</v>
      </c>
      <c r="I3007" s="31" t="s">
        <v>149</v>
      </c>
      <c r="J3007" s="31" t="n">
        <v>4</v>
      </c>
      <c r="K3007" s="31" t="s">
        <v>150</v>
      </c>
      <c r="L3007" s="45" t="n">
        <f aca="false">DATE(YEAR(B3007),MONTH(B3007),1)</f>
        <v>46235</v>
      </c>
      <c r="M3007" s="31" t="n">
        <f aca="false">WEEKDAY(B3007,2)</f>
        <v>3</v>
      </c>
      <c r="N3007" s="31" t="str">
        <f aca="false">IF(G3007&lt;=INDEX(Assumptions!$B$15:$B$18,MATCH(E3007,Assumptions!$A$15:$A$18,0)),"Yes","No")</f>
        <v>Yes</v>
      </c>
      <c r="O3007" s="31" t="str">
        <f aca="false">IF(H3007="","Open",IF(H3007&lt;=INDEX(Assumptions!$C$15:$C$18,MATCH(E3007,Assumptions!$A$15:$A$18,0)),"Yes","No"))</f>
        <v>Yes</v>
      </c>
    </row>
    <row r="3008" customFormat="false" ht="15" hidden="false" customHeight="false" outlineLevel="0" collapsed="false">
      <c r="A3008" s="31" t="s">
        <v>3158</v>
      </c>
      <c r="B3008" s="44" t="n">
        <v>46246</v>
      </c>
      <c r="C3008" s="31" t="s">
        <v>57</v>
      </c>
      <c r="D3008" s="31" t="s">
        <v>66</v>
      </c>
      <c r="E3008" s="31" t="s">
        <v>51</v>
      </c>
      <c r="F3008" s="31" t="s">
        <v>120</v>
      </c>
      <c r="G3008" s="31" t="n">
        <v>11</v>
      </c>
      <c r="H3008" s="41" t="n">
        <v>3.5</v>
      </c>
      <c r="I3008" s="31" t="s">
        <v>149</v>
      </c>
      <c r="J3008" s="31"/>
      <c r="K3008" s="31" t="s">
        <v>150</v>
      </c>
      <c r="L3008" s="45" t="n">
        <f aca="false">DATE(YEAR(B3008),MONTH(B3008),1)</f>
        <v>46235</v>
      </c>
      <c r="M3008" s="31" t="n">
        <f aca="false">WEEKDAY(B3008,2)</f>
        <v>3</v>
      </c>
      <c r="N3008" s="31" t="str">
        <f aca="false">IF(G3008&lt;=INDEX(Assumptions!$B$15:$B$18,MATCH(E3008,Assumptions!$A$15:$A$18,0)),"Yes","No")</f>
        <v>Yes</v>
      </c>
      <c r="O3008" s="31" t="str">
        <f aca="false">IF(H3008="","Open",IF(H3008&lt;=INDEX(Assumptions!$C$15:$C$18,MATCH(E3008,Assumptions!$A$15:$A$18,0)),"Yes","No"))</f>
        <v>Yes</v>
      </c>
    </row>
    <row r="3009" customFormat="false" ht="15" hidden="false" customHeight="false" outlineLevel="0" collapsed="false">
      <c r="A3009" s="31" t="s">
        <v>3159</v>
      </c>
      <c r="B3009" s="44" t="n">
        <v>46246</v>
      </c>
      <c r="C3009" s="31" t="s">
        <v>58</v>
      </c>
      <c r="D3009" s="31" t="s">
        <v>68</v>
      </c>
      <c r="E3009" s="31" t="s">
        <v>51</v>
      </c>
      <c r="F3009" s="31" t="s">
        <v>127</v>
      </c>
      <c r="G3009" s="31" t="n">
        <v>16</v>
      </c>
      <c r="H3009" s="41" t="n">
        <v>6.2</v>
      </c>
      <c r="I3009" s="31" t="s">
        <v>149</v>
      </c>
      <c r="J3009" s="31" t="n">
        <v>4</v>
      </c>
      <c r="K3009" s="31" t="s">
        <v>150</v>
      </c>
      <c r="L3009" s="45" t="n">
        <f aca="false">DATE(YEAR(B3009),MONTH(B3009),1)</f>
        <v>46235</v>
      </c>
      <c r="M3009" s="31" t="n">
        <f aca="false">WEEKDAY(B3009,2)</f>
        <v>3</v>
      </c>
      <c r="N3009" s="31" t="str">
        <f aca="false">IF(G3009&lt;=INDEX(Assumptions!$B$15:$B$18,MATCH(E3009,Assumptions!$A$15:$A$18,0)),"Yes","No")</f>
        <v>Yes</v>
      </c>
      <c r="O3009" s="31" t="str">
        <f aca="false">IF(H3009="","Open",IF(H3009&lt;=INDEX(Assumptions!$C$15:$C$18,MATCH(E3009,Assumptions!$A$15:$A$18,0)),"Yes","No"))</f>
        <v>Yes</v>
      </c>
    </row>
    <row r="3010" customFormat="false" ht="15" hidden="false" customHeight="false" outlineLevel="0" collapsed="false">
      <c r="A3010" s="31" t="s">
        <v>3160</v>
      </c>
      <c r="B3010" s="44" t="n">
        <v>46246</v>
      </c>
      <c r="C3010" s="31" t="s">
        <v>57</v>
      </c>
      <c r="D3010" s="31" t="s">
        <v>68</v>
      </c>
      <c r="E3010" s="31" t="s">
        <v>51</v>
      </c>
      <c r="F3010" s="31" t="s">
        <v>135</v>
      </c>
      <c r="G3010" s="31" t="n">
        <v>5</v>
      </c>
      <c r="H3010" s="41" t="n">
        <v>5</v>
      </c>
      <c r="I3010" s="31" t="s">
        <v>149</v>
      </c>
      <c r="J3010" s="31" t="n">
        <v>4</v>
      </c>
      <c r="K3010" s="31" t="s">
        <v>150</v>
      </c>
      <c r="L3010" s="45" t="n">
        <f aca="false">DATE(YEAR(B3010),MONTH(B3010),1)</f>
        <v>46235</v>
      </c>
      <c r="M3010" s="31" t="n">
        <f aca="false">WEEKDAY(B3010,2)</f>
        <v>3</v>
      </c>
      <c r="N3010" s="31" t="str">
        <f aca="false">IF(G3010&lt;=INDEX(Assumptions!$B$15:$B$18,MATCH(E3010,Assumptions!$A$15:$A$18,0)),"Yes","No")</f>
        <v>Yes</v>
      </c>
      <c r="O3010" s="31" t="str">
        <f aca="false">IF(H3010="","Open",IF(H3010&lt;=INDEX(Assumptions!$C$15:$C$18,MATCH(E3010,Assumptions!$A$15:$A$18,0)),"Yes","No"))</f>
        <v>Yes</v>
      </c>
    </row>
    <row r="3011" customFormat="false" ht="15" hidden="false" customHeight="false" outlineLevel="0" collapsed="false">
      <c r="A3011" s="31" t="s">
        <v>3161</v>
      </c>
      <c r="B3011" s="44" t="n">
        <v>46246</v>
      </c>
      <c r="C3011" s="31" t="s">
        <v>57</v>
      </c>
      <c r="D3011" s="31" t="s">
        <v>66</v>
      </c>
      <c r="E3011" s="31" t="s">
        <v>52</v>
      </c>
      <c r="F3011" s="31" t="s">
        <v>123</v>
      </c>
      <c r="G3011" s="31" t="n">
        <v>1</v>
      </c>
      <c r="H3011" s="41" t="n">
        <v>12.2</v>
      </c>
      <c r="I3011" s="31" t="s">
        <v>149</v>
      </c>
      <c r="J3011" s="31" t="n">
        <v>5</v>
      </c>
      <c r="K3011" s="31" t="s">
        <v>150</v>
      </c>
      <c r="L3011" s="45" t="n">
        <f aca="false">DATE(YEAR(B3011),MONTH(B3011),1)</f>
        <v>46235</v>
      </c>
      <c r="M3011" s="31" t="n">
        <f aca="false">WEEKDAY(B3011,2)</f>
        <v>3</v>
      </c>
      <c r="N3011" s="31" t="str">
        <f aca="false">IF(G3011&lt;=INDEX(Assumptions!$B$15:$B$18,MATCH(E3011,Assumptions!$A$15:$A$18,0)),"Yes","No")</f>
        <v>Yes</v>
      </c>
      <c r="O3011" s="31" t="str">
        <f aca="false">IF(H3011="","Open",IF(H3011&lt;=INDEX(Assumptions!$C$15:$C$18,MATCH(E3011,Assumptions!$A$15:$A$18,0)),"Yes","No"))</f>
        <v>Yes</v>
      </c>
    </row>
    <row r="3012" customFormat="false" ht="15" hidden="false" customHeight="false" outlineLevel="0" collapsed="false">
      <c r="A3012" s="31" t="s">
        <v>3162</v>
      </c>
      <c r="B3012" s="44" t="n">
        <v>46246</v>
      </c>
      <c r="C3012" s="31" t="s">
        <v>57</v>
      </c>
      <c r="D3012" s="31" t="s">
        <v>67</v>
      </c>
      <c r="E3012" s="31" t="s">
        <v>52</v>
      </c>
      <c r="F3012" s="31" t="s">
        <v>130</v>
      </c>
      <c r="G3012" s="31" t="n">
        <v>3</v>
      </c>
      <c r="H3012" s="41" t="n">
        <v>22.2</v>
      </c>
      <c r="I3012" s="31" t="s">
        <v>149</v>
      </c>
      <c r="J3012" s="31" t="n">
        <v>5</v>
      </c>
      <c r="K3012" s="31" t="s">
        <v>150</v>
      </c>
      <c r="L3012" s="45" t="n">
        <f aca="false">DATE(YEAR(B3012),MONTH(B3012),1)</f>
        <v>46235</v>
      </c>
      <c r="M3012" s="31" t="n">
        <f aca="false">WEEKDAY(B3012,2)</f>
        <v>3</v>
      </c>
      <c r="N3012" s="31" t="str">
        <f aca="false">IF(G3012&lt;=INDEX(Assumptions!$B$15:$B$18,MATCH(E3012,Assumptions!$A$15:$A$18,0)),"Yes","No")</f>
        <v>Yes</v>
      </c>
      <c r="O3012" s="31" t="str">
        <f aca="false">IF(H3012="","Open",IF(H3012&lt;=INDEX(Assumptions!$C$15:$C$18,MATCH(E3012,Assumptions!$A$15:$A$18,0)),"Yes","No"))</f>
        <v>Yes</v>
      </c>
    </row>
    <row r="3013" customFormat="false" ht="15" hidden="false" customHeight="false" outlineLevel="0" collapsed="false">
      <c r="A3013" s="31" t="s">
        <v>3163</v>
      </c>
      <c r="B3013" s="44" t="n">
        <v>46246</v>
      </c>
      <c r="C3013" s="31" t="s">
        <v>60</v>
      </c>
      <c r="D3013" s="31" t="s">
        <v>66</v>
      </c>
      <c r="E3013" s="31" t="s">
        <v>51</v>
      </c>
      <c r="F3013" s="31" t="s">
        <v>129</v>
      </c>
      <c r="G3013" s="31" t="n">
        <v>6</v>
      </c>
      <c r="H3013" s="41" t="n">
        <v>6.4</v>
      </c>
      <c r="I3013" s="31" t="s">
        <v>149</v>
      </c>
      <c r="J3013" s="31" t="n">
        <v>4</v>
      </c>
      <c r="K3013" s="31" t="s">
        <v>150</v>
      </c>
      <c r="L3013" s="45" t="n">
        <f aca="false">DATE(YEAR(B3013),MONTH(B3013),1)</f>
        <v>46235</v>
      </c>
      <c r="M3013" s="31" t="n">
        <f aca="false">WEEKDAY(B3013,2)</f>
        <v>3</v>
      </c>
      <c r="N3013" s="31" t="str">
        <f aca="false">IF(G3013&lt;=INDEX(Assumptions!$B$15:$B$18,MATCH(E3013,Assumptions!$A$15:$A$18,0)),"Yes","No")</f>
        <v>Yes</v>
      </c>
      <c r="O3013" s="31" t="str">
        <f aca="false">IF(H3013="","Open",IF(H3013&lt;=INDEX(Assumptions!$C$15:$C$18,MATCH(E3013,Assumptions!$A$15:$A$18,0)),"Yes","No"))</f>
        <v>Yes</v>
      </c>
    </row>
    <row r="3014" customFormat="false" ht="15" hidden="false" customHeight="false" outlineLevel="0" collapsed="false">
      <c r="A3014" s="31" t="s">
        <v>3164</v>
      </c>
      <c r="B3014" s="44" t="n">
        <v>46246</v>
      </c>
      <c r="C3014" s="31" t="s">
        <v>58</v>
      </c>
      <c r="D3014" s="31" t="s">
        <v>66</v>
      </c>
      <c r="E3014" s="31" t="s">
        <v>51</v>
      </c>
      <c r="F3014" s="31" t="s">
        <v>131</v>
      </c>
      <c r="G3014" s="31" t="n">
        <v>6</v>
      </c>
      <c r="H3014" s="41"/>
      <c r="I3014" s="31" t="s">
        <v>158</v>
      </c>
      <c r="J3014" s="31"/>
      <c r="K3014" s="31" t="s">
        <v>150</v>
      </c>
      <c r="L3014" s="45" t="n">
        <f aca="false">DATE(YEAR(B3014),MONTH(B3014),1)</f>
        <v>46235</v>
      </c>
      <c r="M3014" s="31" t="n">
        <f aca="false">WEEKDAY(B3014,2)</f>
        <v>3</v>
      </c>
      <c r="N3014" s="31" t="str">
        <f aca="false">IF(G3014&lt;=INDEX(Assumptions!$B$15:$B$18,MATCH(E3014,Assumptions!$A$15:$A$18,0)),"Yes","No")</f>
        <v>Yes</v>
      </c>
      <c r="O3014" s="31" t="str">
        <f aca="false">IF(H3014="","Open",IF(H3014&lt;=INDEX(Assumptions!$C$15:$C$18,MATCH(E3014,Assumptions!$A$15:$A$18,0)),"Yes","No"))</f>
        <v>Open</v>
      </c>
    </row>
    <row r="3015" customFormat="false" ht="15" hidden="false" customHeight="false" outlineLevel="0" collapsed="false">
      <c r="A3015" s="31" t="s">
        <v>3165</v>
      </c>
      <c r="B3015" s="44" t="n">
        <v>46246</v>
      </c>
      <c r="C3015" s="31" t="s">
        <v>58</v>
      </c>
      <c r="D3015" s="31" t="s">
        <v>68</v>
      </c>
      <c r="E3015" s="31" t="s">
        <v>51</v>
      </c>
      <c r="F3015" s="31" t="s">
        <v>123</v>
      </c>
      <c r="G3015" s="31" t="n">
        <v>4</v>
      </c>
      <c r="H3015" s="41" t="n">
        <v>3.1</v>
      </c>
      <c r="I3015" s="31" t="s">
        <v>149</v>
      </c>
      <c r="J3015" s="31"/>
      <c r="K3015" s="31" t="s">
        <v>150</v>
      </c>
      <c r="L3015" s="45" t="n">
        <f aca="false">DATE(YEAR(B3015),MONTH(B3015),1)</f>
        <v>46235</v>
      </c>
      <c r="M3015" s="31" t="n">
        <f aca="false">WEEKDAY(B3015,2)</f>
        <v>3</v>
      </c>
      <c r="N3015" s="31" t="str">
        <f aca="false">IF(G3015&lt;=INDEX(Assumptions!$B$15:$B$18,MATCH(E3015,Assumptions!$A$15:$A$18,0)),"Yes","No")</f>
        <v>Yes</v>
      </c>
      <c r="O3015" s="31" t="str">
        <f aca="false">IF(H3015="","Open",IF(H3015&lt;=INDEX(Assumptions!$C$15:$C$18,MATCH(E3015,Assumptions!$A$15:$A$18,0)),"Yes","No"))</f>
        <v>Yes</v>
      </c>
    </row>
    <row r="3016" customFormat="false" ht="15" hidden="false" customHeight="false" outlineLevel="0" collapsed="false">
      <c r="A3016" s="31" t="s">
        <v>3166</v>
      </c>
      <c r="B3016" s="44" t="n">
        <v>46246</v>
      </c>
      <c r="C3016" s="31" t="s">
        <v>57</v>
      </c>
      <c r="D3016" s="31" t="s">
        <v>68</v>
      </c>
      <c r="E3016" s="31" t="s">
        <v>52</v>
      </c>
      <c r="F3016" s="31" t="s">
        <v>124</v>
      </c>
      <c r="G3016" s="31" t="n">
        <v>6</v>
      </c>
      <c r="H3016" s="41" t="n">
        <v>26.7</v>
      </c>
      <c r="I3016" s="31" t="s">
        <v>64</v>
      </c>
      <c r="J3016" s="31"/>
      <c r="K3016" s="31" t="s">
        <v>150</v>
      </c>
      <c r="L3016" s="45" t="n">
        <f aca="false">DATE(YEAR(B3016),MONTH(B3016),1)</f>
        <v>46235</v>
      </c>
      <c r="M3016" s="31" t="n">
        <f aca="false">WEEKDAY(B3016,2)</f>
        <v>3</v>
      </c>
      <c r="N3016" s="31" t="str">
        <f aca="false">IF(G3016&lt;=INDEX(Assumptions!$B$15:$B$18,MATCH(E3016,Assumptions!$A$15:$A$18,0)),"Yes","No")</f>
        <v>Yes</v>
      </c>
      <c r="O3016" s="31" t="str">
        <f aca="false">IF(H3016="","Open",IF(H3016&lt;=INDEX(Assumptions!$C$15:$C$18,MATCH(E3016,Assumptions!$A$15:$A$18,0)),"Yes","No"))</f>
        <v>Yes</v>
      </c>
    </row>
    <row r="3017" customFormat="false" ht="15" hidden="false" customHeight="false" outlineLevel="0" collapsed="false">
      <c r="A3017" s="31" t="s">
        <v>3167</v>
      </c>
      <c r="B3017" s="44" t="n">
        <v>46246</v>
      </c>
      <c r="C3017" s="31" t="s">
        <v>60</v>
      </c>
      <c r="D3017" s="31" t="s">
        <v>65</v>
      </c>
      <c r="E3017" s="31" t="s">
        <v>52</v>
      </c>
      <c r="F3017" s="31" t="s">
        <v>135</v>
      </c>
      <c r="G3017" s="31" t="n">
        <v>2</v>
      </c>
      <c r="H3017" s="41" t="n">
        <v>21.3</v>
      </c>
      <c r="I3017" s="31" t="s">
        <v>149</v>
      </c>
      <c r="J3017" s="31" t="n">
        <v>5</v>
      </c>
      <c r="K3017" s="31" t="s">
        <v>150</v>
      </c>
      <c r="L3017" s="45" t="n">
        <f aca="false">DATE(YEAR(B3017),MONTH(B3017),1)</f>
        <v>46235</v>
      </c>
      <c r="M3017" s="31" t="n">
        <f aca="false">WEEKDAY(B3017,2)</f>
        <v>3</v>
      </c>
      <c r="N3017" s="31" t="str">
        <f aca="false">IF(G3017&lt;=INDEX(Assumptions!$B$15:$B$18,MATCH(E3017,Assumptions!$A$15:$A$18,0)),"Yes","No")</f>
        <v>Yes</v>
      </c>
      <c r="O3017" s="31" t="str">
        <f aca="false">IF(H3017="","Open",IF(H3017&lt;=INDEX(Assumptions!$C$15:$C$18,MATCH(E3017,Assumptions!$A$15:$A$18,0)),"Yes","No"))</f>
        <v>Yes</v>
      </c>
    </row>
    <row r="3018" customFormat="false" ht="15" hidden="false" customHeight="false" outlineLevel="0" collapsed="false">
      <c r="A3018" s="31" t="s">
        <v>3168</v>
      </c>
      <c r="B3018" s="44" t="n">
        <v>46246</v>
      </c>
      <c r="C3018" s="31" t="s">
        <v>57</v>
      </c>
      <c r="D3018" s="31" t="s">
        <v>65</v>
      </c>
      <c r="E3018" s="31" t="s">
        <v>51</v>
      </c>
      <c r="F3018" s="31" t="s">
        <v>131</v>
      </c>
      <c r="G3018" s="31" t="n">
        <v>3</v>
      </c>
      <c r="H3018" s="41" t="n">
        <v>33.4</v>
      </c>
      <c r="I3018" s="31" t="s">
        <v>149</v>
      </c>
      <c r="J3018" s="31"/>
      <c r="K3018" s="31" t="s">
        <v>150</v>
      </c>
      <c r="L3018" s="45" t="n">
        <f aca="false">DATE(YEAR(B3018),MONTH(B3018),1)</f>
        <v>46235</v>
      </c>
      <c r="M3018" s="31" t="n">
        <f aca="false">WEEKDAY(B3018,2)</f>
        <v>3</v>
      </c>
      <c r="N3018" s="31" t="str">
        <f aca="false">IF(G3018&lt;=INDEX(Assumptions!$B$15:$B$18,MATCH(E3018,Assumptions!$A$15:$A$18,0)),"Yes","No")</f>
        <v>Yes</v>
      </c>
      <c r="O3018" s="31" t="str">
        <f aca="false">IF(H3018="","Open",IF(H3018&lt;=INDEX(Assumptions!$C$15:$C$18,MATCH(E3018,Assumptions!$A$15:$A$18,0)),"Yes","No"))</f>
        <v>No</v>
      </c>
    </row>
    <row r="3019" customFormat="false" ht="15" hidden="false" customHeight="false" outlineLevel="0" collapsed="false">
      <c r="A3019" s="31" t="s">
        <v>3169</v>
      </c>
      <c r="B3019" s="44" t="n">
        <v>46246</v>
      </c>
      <c r="C3019" s="31" t="s">
        <v>60</v>
      </c>
      <c r="D3019" s="31" t="s">
        <v>66</v>
      </c>
      <c r="E3019" s="31" t="s">
        <v>50</v>
      </c>
      <c r="F3019" s="31" t="s">
        <v>124</v>
      </c>
      <c r="G3019" s="31" t="n">
        <v>1</v>
      </c>
      <c r="H3019" s="41" t="n">
        <v>0.4</v>
      </c>
      <c r="I3019" s="31" t="s">
        <v>149</v>
      </c>
      <c r="J3019" s="31"/>
      <c r="K3019" s="31" t="s">
        <v>150</v>
      </c>
      <c r="L3019" s="45" t="n">
        <f aca="false">DATE(YEAR(B3019),MONTH(B3019),1)</f>
        <v>46235</v>
      </c>
      <c r="M3019" s="31" t="n">
        <f aca="false">WEEKDAY(B3019,2)</f>
        <v>3</v>
      </c>
      <c r="N3019" s="31" t="str">
        <f aca="false">IF(G3019&lt;=INDEX(Assumptions!$B$15:$B$18,MATCH(E3019,Assumptions!$A$15:$A$18,0)),"Yes","No")</f>
        <v>Yes</v>
      </c>
      <c r="O3019" s="31" t="str">
        <f aca="false">IF(H3019="","Open",IF(H3019&lt;=INDEX(Assumptions!$C$15:$C$18,MATCH(E3019,Assumptions!$A$15:$A$18,0)),"Yes","No"))</f>
        <v>Yes</v>
      </c>
    </row>
    <row r="3020" customFormat="false" ht="15" hidden="false" customHeight="false" outlineLevel="0" collapsed="false">
      <c r="A3020" s="31" t="s">
        <v>3170</v>
      </c>
      <c r="B3020" s="44" t="n">
        <v>46246</v>
      </c>
      <c r="C3020" s="31" t="s">
        <v>57</v>
      </c>
      <c r="D3020" s="31" t="s">
        <v>65</v>
      </c>
      <c r="E3020" s="31" t="s">
        <v>51</v>
      </c>
      <c r="F3020" s="31" t="s">
        <v>126</v>
      </c>
      <c r="G3020" s="31" t="n">
        <v>9</v>
      </c>
      <c r="H3020" s="41" t="n">
        <v>13.6</v>
      </c>
      <c r="I3020" s="31" t="s">
        <v>149</v>
      </c>
      <c r="J3020" s="31" t="n">
        <v>5</v>
      </c>
      <c r="K3020" s="31" t="s">
        <v>150</v>
      </c>
      <c r="L3020" s="45" t="n">
        <f aca="false">DATE(YEAR(B3020),MONTH(B3020),1)</f>
        <v>46235</v>
      </c>
      <c r="M3020" s="31" t="n">
        <f aca="false">WEEKDAY(B3020,2)</f>
        <v>3</v>
      </c>
      <c r="N3020" s="31" t="str">
        <f aca="false">IF(G3020&lt;=INDEX(Assumptions!$B$15:$B$18,MATCH(E3020,Assumptions!$A$15:$A$18,0)),"Yes","No")</f>
        <v>Yes</v>
      </c>
      <c r="O3020" s="31" t="str">
        <f aca="false">IF(H3020="","Open",IF(H3020&lt;=INDEX(Assumptions!$C$15:$C$18,MATCH(E3020,Assumptions!$A$15:$A$18,0)),"Yes","No"))</f>
        <v>Yes</v>
      </c>
    </row>
    <row r="3021" customFormat="false" ht="15" hidden="false" customHeight="false" outlineLevel="0" collapsed="false">
      <c r="A3021" s="31" t="s">
        <v>3171</v>
      </c>
      <c r="B3021" s="44" t="n">
        <v>46246</v>
      </c>
      <c r="C3021" s="31" t="s">
        <v>58</v>
      </c>
      <c r="D3021" s="31" t="s">
        <v>66</v>
      </c>
      <c r="E3021" s="31" t="s">
        <v>51</v>
      </c>
      <c r="F3021" s="31" t="s">
        <v>119</v>
      </c>
      <c r="G3021" s="31" t="n">
        <v>7</v>
      </c>
      <c r="H3021" s="41" t="n">
        <v>14.4</v>
      </c>
      <c r="I3021" s="31" t="s">
        <v>149</v>
      </c>
      <c r="J3021" s="31" t="n">
        <v>5</v>
      </c>
      <c r="K3021" s="31" t="s">
        <v>150</v>
      </c>
      <c r="L3021" s="45" t="n">
        <f aca="false">DATE(YEAR(B3021),MONTH(B3021),1)</f>
        <v>46235</v>
      </c>
      <c r="M3021" s="31" t="n">
        <f aca="false">WEEKDAY(B3021,2)</f>
        <v>3</v>
      </c>
      <c r="N3021" s="31" t="str">
        <f aca="false">IF(G3021&lt;=INDEX(Assumptions!$B$15:$B$18,MATCH(E3021,Assumptions!$A$15:$A$18,0)),"Yes","No")</f>
        <v>Yes</v>
      </c>
      <c r="O3021" s="31" t="str">
        <f aca="false">IF(H3021="","Open",IF(H3021&lt;=INDEX(Assumptions!$C$15:$C$18,MATCH(E3021,Assumptions!$A$15:$A$18,0)),"Yes","No"))</f>
        <v>Yes</v>
      </c>
    </row>
    <row r="3022" customFormat="false" ht="15" hidden="false" customHeight="false" outlineLevel="0" collapsed="false">
      <c r="A3022" s="31" t="s">
        <v>3172</v>
      </c>
      <c r="B3022" s="44" t="n">
        <v>46246</v>
      </c>
      <c r="C3022" s="31" t="s">
        <v>57</v>
      </c>
      <c r="D3022" s="31" t="s">
        <v>69</v>
      </c>
      <c r="E3022" s="31" t="s">
        <v>52</v>
      </c>
      <c r="F3022" s="31" t="s">
        <v>126</v>
      </c>
      <c r="G3022" s="31" t="n">
        <v>4</v>
      </c>
      <c r="H3022" s="41" t="n">
        <v>81.1</v>
      </c>
      <c r="I3022" s="31" t="s">
        <v>149</v>
      </c>
      <c r="J3022" s="31"/>
      <c r="K3022" s="31" t="s">
        <v>150</v>
      </c>
      <c r="L3022" s="45" t="n">
        <f aca="false">DATE(YEAR(B3022),MONTH(B3022),1)</f>
        <v>46235</v>
      </c>
      <c r="M3022" s="31" t="n">
        <f aca="false">WEEKDAY(B3022,2)</f>
        <v>3</v>
      </c>
      <c r="N3022" s="31" t="str">
        <f aca="false">IF(G3022&lt;=INDEX(Assumptions!$B$15:$B$18,MATCH(E3022,Assumptions!$A$15:$A$18,0)),"Yes","No")</f>
        <v>Yes</v>
      </c>
      <c r="O3022" s="31" t="str">
        <f aca="false">IF(H3022="","Open",IF(H3022&lt;=INDEX(Assumptions!$C$15:$C$18,MATCH(E3022,Assumptions!$A$15:$A$18,0)),"Yes","No"))</f>
        <v>No</v>
      </c>
    </row>
    <row r="3023" customFormat="false" ht="15" hidden="false" customHeight="false" outlineLevel="0" collapsed="false">
      <c r="A3023" s="31" t="s">
        <v>3173</v>
      </c>
      <c r="B3023" s="44" t="n">
        <v>46246</v>
      </c>
      <c r="C3023" s="31" t="s">
        <v>57</v>
      </c>
      <c r="D3023" s="31" t="s">
        <v>65</v>
      </c>
      <c r="E3023" s="31" t="s">
        <v>52</v>
      </c>
      <c r="F3023" s="31" t="s">
        <v>135</v>
      </c>
      <c r="G3023" s="31" t="n">
        <v>4</v>
      </c>
      <c r="H3023" s="41" t="n">
        <v>19.7</v>
      </c>
      <c r="I3023" s="31" t="s">
        <v>149</v>
      </c>
      <c r="J3023" s="31"/>
      <c r="K3023" s="31" t="s">
        <v>150</v>
      </c>
      <c r="L3023" s="45" t="n">
        <f aca="false">DATE(YEAR(B3023),MONTH(B3023),1)</f>
        <v>46235</v>
      </c>
      <c r="M3023" s="31" t="n">
        <f aca="false">WEEKDAY(B3023,2)</f>
        <v>3</v>
      </c>
      <c r="N3023" s="31" t="str">
        <f aca="false">IF(G3023&lt;=INDEX(Assumptions!$B$15:$B$18,MATCH(E3023,Assumptions!$A$15:$A$18,0)),"Yes","No")</f>
        <v>Yes</v>
      </c>
      <c r="O3023" s="31" t="str">
        <f aca="false">IF(H3023="","Open",IF(H3023&lt;=INDEX(Assumptions!$C$15:$C$18,MATCH(E3023,Assumptions!$A$15:$A$18,0)),"Yes","No"))</f>
        <v>Yes</v>
      </c>
    </row>
    <row r="3024" customFormat="false" ht="15" hidden="false" customHeight="false" outlineLevel="0" collapsed="false">
      <c r="A3024" s="31" t="s">
        <v>3174</v>
      </c>
      <c r="B3024" s="44" t="n">
        <v>46246</v>
      </c>
      <c r="C3024" s="31" t="s">
        <v>60</v>
      </c>
      <c r="D3024" s="31" t="s">
        <v>65</v>
      </c>
      <c r="E3024" s="31" t="s">
        <v>52</v>
      </c>
      <c r="F3024" s="31" t="s">
        <v>137</v>
      </c>
      <c r="G3024" s="31" t="n">
        <v>3</v>
      </c>
      <c r="H3024" s="41" t="n">
        <v>16.8</v>
      </c>
      <c r="I3024" s="31" t="s">
        <v>149</v>
      </c>
      <c r="J3024" s="31" t="n">
        <v>3</v>
      </c>
      <c r="K3024" s="31" t="s">
        <v>150</v>
      </c>
      <c r="L3024" s="45" t="n">
        <f aca="false">DATE(YEAR(B3024),MONTH(B3024),1)</f>
        <v>46235</v>
      </c>
      <c r="M3024" s="31" t="n">
        <f aca="false">WEEKDAY(B3024,2)</f>
        <v>3</v>
      </c>
      <c r="N3024" s="31" t="str">
        <f aca="false">IF(G3024&lt;=INDEX(Assumptions!$B$15:$B$18,MATCH(E3024,Assumptions!$A$15:$A$18,0)),"Yes","No")</f>
        <v>Yes</v>
      </c>
      <c r="O3024" s="31" t="str">
        <f aca="false">IF(H3024="","Open",IF(H3024&lt;=INDEX(Assumptions!$C$15:$C$18,MATCH(E3024,Assumptions!$A$15:$A$18,0)),"Yes","No"))</f>
        <v>Yes</v>
      </c>
    </row>
    <row r="3025" customFormat="false" ht="15" hidden="false" customHeight="false" outlineLevel="0" collapsed="false">
      <c r="A3025" s="31" t="s">
        <v>3175</v>
      </c>
      <c r="B3025" s="44" t="n">
        <v>46246</v>
      </c>
      <c r="C3025" s="31" t="s">
        <v>59</v>
      </c>
      <c r="D3025" s="31" t="s">
        <v>67</v>
      </c>
      <c r="E3025" s="31" t="s">
        <v>51</v>
      </c>
      <c r="F3025" s="31" t="s">
        <v>133</v>
      </c>
      <c r="G3025" s="31" t="n">
        <v>21</v>
      </c>
      <c r="H3025" s="41" t="n">
        <v>24.9</v>
      </c>
      <c r="I3025" s="31" t="s">
        <v>149</v>
      </c>
      <c r="J3025" s="31"/>
      <c r="K3025" s="31" t="s">
        <v>150</v>
      </c>
      <c r="L3025" s="45" t="n">
        <f aca="false">DATE(YEAR(B3025),MONTH(B3025),1)</f>
        <v>46235</v>
      </c>
      <c r="M3025" s="31" t="n">
        <f aca="false">WEEKDAY(B3025,2)</f>
        <v>3</v>
      </c>
      <c r="N3025" s="31" t="str">
        <f aca="false">IF(G3025&lt;=INDEX(Assumptions!$B$15:$B$18,MATCH(E3025,Assumptions!$A$15:$A$18,0)),"Yes","No")</f>
        <v>Yes</v>
      </c>
      <c r="O3025" s="31" t="str">
        <f aca="false">IF(H3025="","Open",IF(H3025&lt;=INDEX(Assumptions!$C$15:$C$18,MATCH(E3025,Assumptions!$A$15:$A$18,0)),"Yes","No"))</f>
        <v>No</v>
      </c>
    </row>
    <row r="3026" customFormat="false" ht="15" hidden="false" customHeight="false" outlineLevel="0" collapsed="false">
      <c r="A3026" s="31" t="s">
        <v>3176</v>
      </c>
      <c r="B3026" s="44" t="n">
        <v>46246</v>
      </c>
      <c r="C3026" s="31" t="s">
        <v>57</v>
      </c>
      <c r="D3026" s="31" t="s">
        <v>67</v>
      </c>
      <c r="E3026" s="31" t="s">
        <v>49</v>
      </c>
      <c r="F3026" s="31" t="s">
        <v>117</v>
      </c>
      <c r="G3026" s="31" t="n">
        <v>1</v>
      </c>
      <c r="H3026" s="41" t="n">
        <v>6.8</v>
      </c>
      <c r="I3026" s="31" t="s">
        <v>149</v>
      </c>
      <c r="J3026" s="31"/>
      <c r="K3026" s="31" t="s">
        <v>150</v>
      </c>
      <c r="L3026" s="45" t="n">
        <f aca="false">DATE(YEAR(B3026),MONTH(B3026),1)</f>
        <v>46235</v>
      </c>
      <c r="M3026" s="31" t="n">
        <f aca="false">WEEKDAY(B3026,2)</f>
        <v>3</v>
      </c>
      <c r="N3026" s="31" t="str">
        <f aca="false">IF(G3026&lt;=INDEX(Assumptions!$B$15:$B$18,MATCH(E3026,Assumptions!$A$15:$A$18,0)),"Yes","No")</f>
        <v>Yes</v>
      </c>
      <c r="O3026" s="31" t="str">
        <f aca="false">IF(H3026="","Open",IF(H3026&lt;=INDEX(Assumptions!$C$15:$C$18,MATCH(E3026,Assumptions!$A$15:$A$18,0)),"Yes","No"))</f>
        <v>No</v>
      </c>
    </row>
    <row r="3027" customFormat="false" ht="15" hidden="false" customHeight="false" outlineLevel="0" collapsed="false">
      <c r="A3027" s="31" t="s">
        <v>3177</v>
      </c>
      <c r="B3027" s="44" t="n">
        <v>46246</v>
      </c>
      <c r="C3027" s="31" t="s">
        <v>59</v>
      </c>
      <c r="D3027" s="31" t="s">
        <v>69</v>
      </c>
      <c r="E3027" s="31" t="s">
        <v>52</v>
      </c>
      <c r="F3027" s="31" t="s">
        <v>135</v>
      </c>
      <c r="G3027" s="31" t="n">
        <v>167</v>
      </c>
      <c r="H3027" s="41" t="n">
        <v>29.3</v>
      </c>
      <c r="I3027" s="31" t="s">
        <v>149</v>
      </c>
      <c r="J3027" s="31" t="n">
        <v>3</v>
      </c>
      <c r="K3027" s="31" t="s">
        <v>150</v>
      </c>
      <c r="L3027" s="45" t="n">
        <f aca="false">DATE(YEAR(B3027),MONTH(B3027),1)</f>
        <v>46235</v>
      </c>
      <c r="M3027" s="31" t="n">
        <f aca="false">WEEKDAY(B3027,2)</f>
        <v>3</v>
      </c>
      <c r="N3027" s="31" t="str">
        <f aca="false">IF(G3027&lt;=INDEX(Assumptions!$B$15:$B$18,MATCH(E3027,Assumptions!$A$15:$A$18,0)),"Yes","No")</f>
        <v>Yes</v>
      </c>
      <c r="O3027" s="31" t="str">
        <f aca="false">IF(H3027="","Open",IF(H3027&lt;=INDEX(Assumptions!$C$15:$C$18,MATCH(E3027,Assumptions!$A$15:$A$18,0)),"Yes","No"))</f>
        <v>Yes</v>
      </c>
    </row>
    <row r="3028" customFormat="false" ht="15" hidden="false" customHeight="false" outlineLevel="0" collapsed="false">
      <c r="A3028" s="31" t="s">
        <v>3178</v>
      </c>
      <c r="B3028" s="44" t="n">
        <v>46246</v>
      </c>
      <c r="C3028" s="31" t="s">
        <v>58</v>
      </c>
      <c r="D3028" s="31" t="s">
        <v>67</v>
      </c>
      <c r="E3028" s="31" t="s">
        <v>51</v>
      </c>
      <c r="F3028" s="31" t="s">
        <v>122</v>
      </c>
      <c r="G3028" s="31" t="n">
        <v>11</v>
      </c>
      <c r="H3028" s="41" t="n">
        <v>8.4</v>
      </c>
      <c r="I3028" s="31" t="s">
        <v>149</v>
      </c>
      <c r="J3028" s="31" t="n">
        <v>5</v>
      </c>
      <c r="K3028" s="31" t="s">
        <v>150</v>
      </c>
      <c r="L3028" s="45" t="n">
        <f aca="false">DATE(YEAR(B3028),MONTH(B3028),1)</f>
        <v>46235</v>
      </c>
      <c r="M3028" s="31" t="n">
        <f aca="false">WEEKDAY(B3028,2)</f>
        <v>3</v>
      </c>
      <c r="N3028" s="31" t="str">
        <f aca="false">IF(G3028&lt;=INDEX(Assumptions!$B$15:$B$18,MATCH(E3028,Assumptions!$A$15:$A$18,0)),"Yes","No")</f>
        <v>Yes</v>
      </c>
      <c r="O3028" s="31" t="str">
        <f aca="false">IF(H3028="","Open",IF(H3028&lt;=INDEX(Assumptions!$C$15:$C$18,MATCH(E3028,Assumptions!$A$15:$A$18,0)),"Yes","No"))</f>
        <v>Yes</v>
      </c>
    </row>
    <row r="3029" customFormat="false" ht="15" hidden="false" customHeight="false" outlineLevel="0" collapsed="false">
      <c r="A3029" s="31" t="s">
        <v>3179</v>
      </c>
      <c r="B3029" s="44" t="n">
        <v>46246</v>
      </c>
      <c r="C3029" s="31" t="s">
        <v>57</v>
      </c>
      <c r="D3029" s="31" t="s">
        <v>69</v>
      </c>
      <c r="E3029" s="31" t="s">
        <v>51</v>
      </c>
      <c r="F3029" s="31" t="s">
        <v>131</v>
      </c>
      <c r="G3029" s="31" t="n">
        <v>5</v>
      </c>
      <c r="H3029" s="41" t="n">
        <v>12.3</v>
      </c>
      <c r="I3029" s="31" t="s">
        <v>149</v>
      </c>
      <c r="J3029" s="31"/>
      <c r="K3029" s="31" t="s">
        <v>150</v>
      </c>
      <c r="L3029" s="45" t="n">
        <f aca="false">DATE(YEAR(B3029),MONTH(B3029),1)</f>
        <v>46235</v>
      </c>
      <c r="M3029" s="31" t="n">
        <f aca="false">WEEKDAY(B3029,2)</f>
        <v>3</v>
      </c>
      <c r="N3029" s="31" t="str">
        <f aca="false">IF(G3029&lt;=INDEX(Assumptions!$B$15:$B$18,MATCH(E3029,Assumptions!$A$15:$A$18,0)),"Yes","No")</f>
        <v>Yes</v>
      </c>
      <c r="O3029" s="31" t="str">
        <f aca="false">IF(H3029="","Open",IF(H3029&lt;=INDEX(Assumptions!$C$15:$C$18,MATCH(E3029,Assumptions!$A$15:$A$18,0)),"Yes","No"))</f>
        <v>Yes</v>
      </c>
    </row>
    <row r="3030" customFormat="false" ht="15" hidden="false" customHeight="false" outlineLevel="0" collapsed="false">
      <c r="A3030" s="31" t="s">
        <v>3180</v>
      </c>
      <c r="B3030" s="44" t="n">
        <v>46246</v>
      </c>
      <c r="C3030" s="31" t="s">
        <v>57</v>
      </c>
      <c r="D3030" s="31" t="s">
        <v>65</v>
      </c>
      <c r="E3030" s="31" t="s">
        <v>52</v>
      </c>
      <c r="F3030" s="31" t="s">
        <v>128</v>
      </c>
      <c r="G3030" s="31" t="n">
        <v>11</v>
      </c>
      <c r="H3030" s="41" t="n">
        <v>27.7</v>
      </c>
      <c r="I3030" s="31" t="s">
        <v>149</v>
      </c>
      <c r="J3030" s="31" t="n">
        <v>5</v>
      </c>
      <c r="K3030" s="31" t="s">
        <v>150</v>
      </c>
      <c r="L3030" s="45" t="n">
        <f aca="false">DATE(YEAR(B3030),MONTH(B3030),1)</f>
        <v>46235</v>
      </c>
      <c r="M3030" s="31" t="n">
        <f aca="false">WEEKDAY(B3030,2)</f>
        <v>3</v>
      </c>
      <c r="N3030" s="31" t="str">
        <f aca="false">IF(G3030&lt;=INDEX(Assumptions!$B$15:$B$18,MATCH(E3030,Assumptions!$A$15:$A$18,0)),"Yes","No")</f>
        <v>Yes</v>
      </c>
      <c r="O3030" s="31" t="str">
        <f aca="false">IF(H3030="","Open",IF(H3030&lt;=INDEX(Assumptions!$C$15:$C$18,MATCH(E3030,Assumptions!$A$15:$A$18,0)),"Yes","No"))</f>
        <v>Yes</v>
      </c>
    </row>
    <row r="3031" customFormat="false" ht="15" hidden="false" customHeight="false" outlineLevel="0" collapsed="false">
      <c r="A3031" s="31" t="s">
        <v>3181</v>
      </c>
      <c r="B3031" s="44" t="n">
        <v>46246</v>
      </c>
      <c r="C3031" s="31" t="s">
        <v>60</v>
      </c>
      <c r="D3031" s="31" t="s">
        <v>66</v>
      </c>
      <c r="E3031" s="31" t="s">
        <v>51</v>
      </c>
      <c r="F3031" s="31" t="s">
        <v>121</v>
      </c>
      <c r="G3031" s="31" t="n">
        <v>3</v>
      </c>
      <c r="H3031" s="41" t="n">
        <v>7.7</v>
      </c>
      <c r="I3031" s="31" t="s">
        <v>149</v>
      </c>
      <c r="J3031" s="31"/>
      <c r="K3031" s="31" t="s">
        <v>150</v>
      </c>
      <c r="L3031" s="45" t="n">
        <f aca="false">DATE(YEAR(B3031),MONTH(B3031),1)</f>
        <v>46235</v>
      </c>
      <c r="M3031" s="31" t="n">
        <f aca="false">WEEKDAY(B3031,2)</f>
        <v>3</v>
      </c>
      <c r="N3031" s="31" t="str">
        <f aca="false">IF(G3031&lt;=INDEX(Assumptions!$B$15:$B$18,MATCH(E3031,Assumptions!$A$15:$A$18,0)),"Yes","No")</f>
        <v>Yes</v>
      </c>
      <c r="O3031" s="31" t="str">
        <f aca="false">IF(H3031="","Open",IF(H3031&lt;=INDEX(Assumptions!$C$15:$C$18,MATCH(E3031,Assumptions!$A$15:$A$18,0)),"Yes","No"))</f>
        <v>Yes</v>
      </c>
    </row>
    <row r="3032" customFormat="false" ht="15" hidden="false" customHeight="false" outlineLevel="0" collapsed="false">
      <c r="A3032" s="31" t="s">
        <v>3182</v>
      </c>
      <c r="B3032" s="44" t="n">
        <v>46246</v>
      </c>
      <c r="C3032" s="31" t="s">
        <v>58</v>
      </c>
      <c r="D3032" s="31" t="s">
        <v>67</v>
      </c>
      <c r="E3032" s="31" t="s">
        <v>49</v>
      </c>
      <c r="F3032" s="31" t="s">
        <v>129</v>
      </c>
      <c r="G3032" s="31" t="n">
        <v>3</v>
      </c>
      <c r="H3032" s="41" t="n">
        <v>6</v>
      </c>
      <c r="I3032" s="31" t="s">
        <v>149</v>
      </c>
      <c r="J3032" s="31" t="n">
        <v>5</v>
      </c>
      <c r="K3032" s="31" t="s">
        <v>150</v>
      </c>
      <c r="L3032" s="45" t="n">
        <f aca="false">DATE(YEAR(B3032),MONTH(B3032),1)</f>
        <v>46235</v>
      </c>
      <c r="M3032" s="31" t="n">
        <f aca="false">WEEKDAY(B3032,2)</f>
        <v>3</v>
      </c>
      <c r="N3032" s="31" t="str">
        <f aca="false">IF(G3032&lt;=INDEX(Assumptions!$B$15:$B$18,MATCH(E3032,Assumptions!$A$15:$A$18,0)),"Yes","No")</f>
        <v>Yes</v>
      </c>
      <c r="O3032" s="31" t="str">
        <f aca="false">IF(H3032="","Open",IF(H3032&lt;=INDEX(Assumptions!$C$15:$C$18,MATCH(E3032,Assumptions!$A$15:$A$18,0)),"Yes","No"))</f>
        <v>No</v>
      </c>
    </row>
    <row r="3033" customFormat="false" ht="15" hidden="false" customHeight="false" outlineLevel="0" collapsed="false">
      <c r="A3033" s="31" t="s">
        <v>3183</v>
      </c>
      <c r="B3033" s="44" t="n">
        <v>46246</v>
      </c>
      <c r="C3033" s="31" t="s">
        <v>57</v>
      </c>
      <c r="D3033" s="31" t="s">
        <v>65</v>
      </c>
      <c r="E3033" s="31" t="s">
        <v>50</v>
      </c>
      <c r="F3033" s="31" t="s">
        <v>129</v>
      </c>
      <c r="G3033" s="31" t="n">
        <v>5</v>
      </c>
      <c r="H3033" s="41" t="n">
        <v>5.2</v>
      </c>
      <c r="I3033" s="31" t="s">
        <v>149</v>
      </c>
      <c r="J3033" s="31"/>
      <c r="K3033" s="31" t="s">
        <v>150</v>
      </c>
      <c r="L3033" s="45" t="n">
        <f aca="false">DATE(YEAR(B3033),MONTH(B3033),1)</f>
        <v>46235</v>
      </c>
      <c r="M3033" s="31" t="n">
        <f aca="false">WEEKDAY(B3033,2)</f>
        <v>3</v>
      </c>
      <c r="N3033" s="31" t="str">
        <f aca="false">IF(G3033&lt;=INDEX(Assumptions!$B$15:$B$18,MATCH(E3033,Assumptions!$A$15:$A$18,0)),"Yes","No")</f>
        <v>Yes</v>
      </c>
      <c r="O3033" s="31" t="str">
        <f aca="false">IF(H3033="","Open",IF(H3033&lt;=INDEX(Assumptions!$C$15:$C$18,MATCH(E3033,Assumptions!$A$15:$A$18,0)),"Yes","No"))</f>
        <v>Yes</v>
      </c>
    </row>
    <row r="3034" customFormat="false" ht="15" hidden="false" customHeight="false" outlineLevel="0" collapsed="false">
      <c r="A3034" s="31" t="s">
        <v>3184</v>
      </c>
      <c r="B3034" s="44" t="n">
        <v>46246</v>
      </c>
      <c r="C3034" s="31" t="s">
        <v>58</v>
      </c>
      <c r="D3034" s="31" t="s">
        <v>66</v>
      </c>
      <c r="E3034" s="31" t="s">
        <v>50</v>
      </c>
      <c r="F3034" s="31" t="s">
        <v>126</v>
      </c>
      <c r="G3034" s="31" t="n">
        <v>16</v>
      </c>
      <c r="H3034" s="41" t="n">
        <v>6.9</v>
      </c>
      <c r="I3034" s="31" t="s">
        <v>149</v>
      </c>
      <c r="J3034" s="31"/>
      <c r="K3034" s="31" t="s">
        <v>150</v>
      </c>
      <c r="L3034" s="45" t="n">
        <f aca="false">DATE(YEAR(B3034),MONTH(B3034),1)</f>
        <v>46235</v>
      </c>
      <c r="M3034" s="31" t="n">
        <f aca="false">WEEKDAY(B3034,2)</f>
        <v>3</v>
      </c>
      <c r="N3034" s="31" t="str">
        <f aca="false">IF(G3034&lt;=INDEX(Assumptions!$B$15:$B$18,MATCH(E3034,Assumptions!$A$15:$A$18,0)),"Yes","No")</f>
        <v>Yes</v>
      </c>
      <c r="O3034" s="31" t="str">
        <f aca="false">IF(H3034="","Open",IF(H3034&lt;=INDEX(Assumptions!$C$15:$C$18,MATCH(E3034,Assumptions!$A$15:$A$18,0)),"Yes","No"))</f>
        <v>Yes</v>
      </c>
    </row>
    <row r="3035" customFormat="false" ht="15" hidden="false" customHeight="false" outlineLevel="0" collapsed="false">
      <c r="A3035" s="31" t="s">
        <v>3185</v>
      </c>
      <c r="B3035" s="44" t="n">
        <v>46246</v>
      </c>
      <c r="C3035" s="31" t="s">
        <v>57</v>
      </c>
      <c r="D3035" s="31" t="s">
        <v>69</v>
      </c>
      <c r="E3035" s="31" t="s">
        <v>51</v>
      </c>
      <c r="F3035" s="31" t="s">
        <v>119</v>
      </c>
      <c r="G3035" s="31" t="n">
        <v>13</v>
      </c>
      <c r="H3035" s="41" t="n">
        <v>39.3</v>
      </c>
      <c r="I3035" s="31" t="s">
        <v>149</v>
      </c>
      <c r="J3035" s="31"/>
      <c r="K3035" s="31" t="s">
        <v>150</v>
      </c>
      <c r="L3035" s="45" t="n">
        <f aca="false">DATE(YEAR(B3035),MONTH(B3035),1)</f>
        <v>46235</v>
      </c>
      <c r="M3035" s="31" t="n">
        <f aca="false">WEEKDAY(B3035,2)</f>
        <v>3</v>
      </c>
      <c r="N3035" s="31" t="str">
        <f aca="false">IF(G3035&lt;=INDEX(Assumptions!$B$15:$B$18,MATCH(E3035,Assumptions!$A$15:$A$18,0)),"Yes","No")</f>
        <v>Yes</v>
      </c>
      <c r="O3035" s="31" t="str">
        <f aca="false">IF(H3035="","Open",IF(H3035&lt;=INDEX(Assumptions!$C$15:$C$18,MATCH(E3035,Assumptions!$A$15:$A$18,0)),"Yes","No"))</f>
        <v>No</v>
      </c>
    </row>
    <row r="3036" customFormat="false" ht="15" hidden="false" customHeight="false" outlineLevel="0" collapsed="false">
      <c r="A3036" s="31" t="s">
        <v>3186</v>
      </c>
      <c r="B3036" s="44" t="n">
        <v>46246</v>
      </c>
      <c r="C3036" s="31" t="s">
        <v>58</v>
      </c>
      <c r="D3036" s="31" t="s">
        <v>65</v>
      </c>
      <c r="E3036" s="31" t="s">
        <v>52</v>
      </c>
      <c r="F3036" s="31" t="s">
        <v>123</v>
      </c>
      <c r="G3036" s="31" t="n">
        <v>28</v>
      </c>
      <c r="H3036" s="41" t="n">
        <v>18</v>
      </c>
      <c r="I3036" s="31" t="s">
        <v>149</v>
      </c>
      <c r="J3036" s="31" t="n">
        <v>4</v>
      </c>
      <c r="K3036" s="31" t="s">
        <v>150</v>
      </c>
      <c r="L3036" s="45" t="n">
        <f aca="false">DATE(YEAR(B3036),MONTH(B3036),1)</f>
        <v>46235</v>
      </c>
      <c r="M3036" s="31" t="n">
        <f aca="false">WEEKDAY(B3036,2)</f>
        <v>3</v>
      </c>
      <c r="N3036" s="31" t="str">
        <f aca="false">IF(G3036&lt;=INDEX(Assumptions!$B$15:$B$18,MATCH(E3036,Assumptions!$A$15:$A$18,0)),"Yes","No")</f>
        <v>Yes</v>
      </c>
      <c r="O3036" s="31" t="str">
        <f aca="false">IF(H3036="","Open",IF(H3036&lt;=INDEX(Assumptions!$C$15:$C$18,MATCH(E3036,Assumptions!$A$15:$A$18,0)),"Yes","No"))</f>
        <v>Yes</v>
      </c>
    </row>
    <row r="3037" customFormat="false" ht="15" hidden="false" customHeight="false" outlineLevel="0" collapsed="false">
      <c r="A3037" s="31" t="s">
        <v>3187</v>
      </c>
      <c r="B3037" s="44" t="n">
        <v>46246</v>
      </c>
      <c r="C3037" s="31" t="s">
        <v>59</v>
      </c>
      <c r="D3037" s="31" t="s">
        <v>66</v>
      </c>
      <c r="E3037" s="31" t="s">
        <v>52</v>
      </c>
      <c r="F3037" s="31" t="s">
        <v>119</v>
      </c>
      <c r="G3037" s="31" t="n">
        <v>45</v>
      </c>
      <c r="H3037" s="41" t="n">
        <v>5.3</v>
      </c>
      <c r="I3037" s="31" t="s">
        <v>149</v>
      </c>
      <c r="J3037" s="31" t="n">
        <v>4</v>
      </c>
      <c r="K3037" s="31" t="s">
        <v>150</v>
      </c>
      <c r="L3037" s="45" t="n">
        <f aca="false">DATE(YEAR(B3037),MONTH(B3037),1)</f>
        <v>46235</v>
      </c>
      <c r="M3037" s="31" t="n">
        <f aca="false">WEEKDAY(B3037,2)</f>
        <v>3</v>
      </c>
      <c r="N3037" s="31" t="str">
        <f aca="false">IF(G3037&lt;=INDEX(Assumptions!$B$15:$B$18,MATCH(E3037,Assumptions!$A$15:$A$18,0)),"Yes","No")</f>
        <v>Yes</v>
      </c>
      <c r="O3037" s="31" t="str">
        <f aca="false">IF(H3037="","Open",IF(H3037&lt;=INDEX(Assumptions!$C$15:$C$18,MATCH(E3037,Assumptions!$A$15:$A$18,0)),"Yes","No"))</f>
        <v>Yes</v>
      </c>
    </row>
    <row r="3038" customFormat="false" ht="15" hidden="false" customHeight="false" outlineLevel="0" collapsed="false">
      <c r="A3038" s="31" t="s">
        <v>3188</v>
      </c>
      <c r="B3038" s="44" t="n">
        <v>46246</v>
      </c>
      <c r="C3038" s="31" t="s">
        <v>59</v>
      </c>
      <c r="D3038" s="31" t="s">
        <v>65</v>
      </c>
      <c r="E3038" s="31" t="s">
        <v>51</v>
      </c>
      <c r="F3038" s="31" t="s">
        <v>131</v>
      </c>
      <c r="G3038" s="31" t="n">
        <v>33</v>
      </c>
      <c r="H3038" s="41" t="n">
        <v>19.7</v>
      </c>
      <c r="I3038" s="31" t="s">
        <v>149</v>
      </c>
      <c r="J3038" s="31"/>
      <c r="K3038" s="31" t="s">
        <v>150</v>
      </c>
      <c r="L3038" s="45" t="n">
        <f aca="false">DATE(YEAR(B3038),MONTH(B3038),1)</f>
        <v>46235</v>
      </c>
      <c r="M3038" s="31" t="n">
        <f aca="false">WEEKDAY(B3038,2)</f>
        <v>3</v>
      </c>
      <c r="N3038" s="31" t="str">
        <f aca="false">IF(G3038&lt;=INDEX(Assumptions!$B$15:$B$18,MATCH(E3038,Assumptions!$A$15:$A$18,0)),"Yes","No")</f>
        <v>Yes</v>
      </c>
      <c r="O3038" s="31" t="str">
        <f aca="false">IF(H3038="","Open",IF(H3038&lt;=INDEX(Assumptions!$C$15:$C$18,MATCH(E3038,Assumptions!$A$15:$A$18,0)),"Yes","No"))</f>
        <v>Yes</v>
      </c>
    </row>
    <row r="3039" customFormat="false" ht="15" hidden="false" customHeight="false" outlineLevel="0" collapsed="false">
      <c r="A3039" s="31" t="s">
        <v>3189</v>
      </c>
      <c r="B3039" s="44" t="n">
        <v>46246</v>
      </c>
      <c r="C3039" s="31" t="s">
        <v>57</v>
      </c>
      <c r="D3039" s="31" t="s">
        <v>66</v>
      </c>
      <c r="E3039" s="31" t="s">
        <v>52</v>
      </c>
      <c r="F3039" s="31" t="s">
        <v>121</v>
      </c>
      <c r="G3039" s="31" t="n">
        <v>6</v>
      </c>
      <c r="H3039" s="41" t="n">
        <v>16</v>
      </c>
      <c r="I3039" s="31" t="s">
        <v>149</v>
      </c>
      <c r="J3039" s="31" t="n">
        <v>5</v>
      </c>
      <c r="K3039" s="31" t="s">
        <v>150</v>
      </c>
      <c r="L3039" s="45" t="n">
        <f aca="false">DATE(YEAR(B3039),MONTH(B3039),1)</f>
        <v>46235</v>
      </c>
      <c r="M3039" s="31" t="n">
        <f aca="false">WEEKDAY(B3039,2)</f>
        <v>3</v>
      </c>
      <c r="N3039" s="31" t="str">
        <f aca="false">IF(G3039&lt;=INDEX(Assumptions!$B$15:$B$18,MATCH(E3039,Assumptions!$A$15:$A$18,0)),"Yes","No")</f>
        <v>Yes</v>
      </c>
      <c r="O3039" s="31" t="str">
        <f aca="false">IF(H3039="","Open",IF(H3039&lt;=INDEX(Assumptions!$C$15:$C$18,MATCH(E3039,Assumptions!$A$15:$A$18,0)),"Yes","No"))</f>
        <v>Yes</v>
      </c>
    </row>
    <row r="3040" customFormat="false" ht="15" hidden="false" customHeight="false" outlineLevel="0" collapsed="false">
      <c r="A3040" s="31" t="s">
        <v>3190</v>
      </c>
      <c r="B3040" s="44" t="n">
        <v>46246</v>
      </c>
      <c r="C3040" s="31" t="s">
        <v>59</v>
      </c>
      <c r="D3040" s="31" t="s">
        <v>65</v>
      </c>
      <c r="E3040" s="31" t="s">
        <v>51</v>
      </c>
      <c r="F3040" s="31" t="s">
        <v>120</v>
      </c>
      <c r="G3040" s="31" t="n">
        <v>92</v>
      </c>
      <c r="H3040" s="41" t="n">
        <v>14.6</v>
      </c>
      <c r="I3040" s="31" t="s">
        <v>149</v>
      </c>
      <c r="J3040" s="31" t="n">
        <v>2</v>
      </c>
      <c r="K3040" s="31" t="s">
        <v>153</v>
      </c>
      <c r="L3040" s="45" t="n">
        <f aca="false">DATE(YEAR(B3040),MONTH(B3040),1)</f>
        <v>46235</v>
      </c>
      <c r="M3040" s="31" t="n">
        <f aca="false">WEEKDAY(B3040,2)</f>
        <v>3</v>
      </c>
      <c r="N3040" s="31" t="str">
        <f aca="false">IF(G3040&lt;=INDEX(Assumptions!$B$15:$B$18,MATCH(E3040,Assumptions!$A$15:$A$18,0)),"Yes","No")</f>
        <v>No</v>
      </c>
      <c r="O3040" s="31" t="str">
        <f aca="false">IF(H3040="","Open",IF(H3040&lt;=INDEX(Assumptions!$C$15:$C$18,MATCH(E3040,Assumptions!$A$15:$A$18,0)),"Yes","No"))</f>
        <v>Yes</v>
      </c>
    </row>
    <row r="3041" customFormat="false" ht="15" hidden="false" customHeight="false" outlineLevel="0" collapsed="false">
      <c r="A3041" s="31" t="s">
        <v>3191</v>
      </c>
      <c r="B3041" s="44" t="n">
        <v>46246</v>
      </c>
      <c r="C3041" s="31" t="s">
        <v>60</v>
      </c>
      <c r="D3041" s="31" t="s">
        <v>65</v>
      </c>
      <c r="E3041" s="31" t="s">
        <v>51</v>
      </c>
      <c r="F3041" s="31" t="s">
        <v>137</v>
      </c>
      <c r="G3041" s="31" t="n">
        <v>6</v>
      </c>
      <c r="H3041" s="41" t="n">
        <v>24.4</v>
      </c>
      <c r="I3041" s="31" t="s">
        <v>149</v>
      </c>
      <c r="J3041" s="31" t="n">
        <v>3</v>
      </c>
      <c r="K3041" s="31" t="s">
        <v>150</v>
      </c>
      <c r="L3041" s="45" t="n">
        <f aca="false">DATE(YEAR(B3041),MONTH(B3041),1)</f>
        <v>46235</v>
      </c>
      <c r="M3041" s="31" t="n">
        <f aca="false">WEEKDAY(B3041,2)</f>
        <v>3</v>
      </c>
      <c r="N3041" s="31" t="str">
        <f aca="false">IF(G3041&lt;=INDEX(Assumptions!$B$15:$B$18,MATCH(E3041,Assumptions!$A$15:$A$18,0)),"Yes","No")</f>
        <v>Yes</v>
      </c>
      <c r="O3041" s="31" t="str">
        <f aca="false">IF(H3041="","Open",IF(H3041&lt;=INDEX(Assumptions!$C$15:$C$18,MATCH(E3041,Assumptions!$A$15:$A$18,0)),"Yes","No"))</f>
        <v>No</v>
      </c>
    </row>
    <row r="3042" customFormat="false" ht="15" hidden="false" customHeight="false" outlineLevel="0" collapsed="false">
      <c r="A3042" s="31" t="s">
        <v>3192</v>
      </c>
      <c r="B3042" s="44" t="n">
        <v>46246</v>
      </c>
      <c r="C3042" s="31" t="s">
        <v>57</v>
      </c>
      <c r="D3042" s="31" t="s">
        <v>66</v>
      </c>
      <c r="E3042" s="31" t="s">
        <v>51</v>
      </c>
      <c r="F3042" s="31" t="s">
        <v>119</v>
      </c>
      <c r="G3042" s="31" t="n">
        <v>3</v>
      </c>
      <c r="H3042" s="41" t="n">
        <v>9.1</v>
      </c>
      <c r="I3042" s="31" t="s">
        <v>149</v>
      </c>
      <c r="J3042" s="31" t="n">
        <v>5</v>
      </c>
      <c r="K3042" s="31" t="s">
        <v>150</v>
      </c>
      <c r="L3042" s="45" t="n">
        <f aca="false">DATE(YEAR(B3042),MONTH(B3042),1)</f>
        <v>46235</v>
      </c>
      <c r="M3042" s="31" t="n">
        <f aca="false">WEEKDAY(B3042,2)</f>
        <v>3</v>
      </c>
      <c r="N3042" s="31" t="str">
        <f aca="false">IF(G3042&lt;=INDEX(Assumptions!$B$15:$B$18,MATCH(E3042,Assumptions!$A$15:$A$18,0)),"Yes","No")</f>
        <v>Yes</v>
      </c>
      <c r="O3042" s="31" t="str">
        <f aca="false">IF(H3042="","Open",IF(H3042&lt;=INDEX(Assumptions!$C$15:$C$18,MATCH(E3042,Assumptions!$A$15:$A$18,0)),"Yes","No"))</f>
        <v>Yes</v>
      </c>
    </row>
    <row r="3043" customFormat="false" ht="15" hidden="false" customHeight="false" outlineLevel="0" collapsed="false">
      <c r="A3043" s="31" t="s">
        <v>3193</v>
      </c>
      <c r="B3043" s="44" t="n">
        <v>46246</v>
      </c>
      <c r="C3043" s="31" t="s">
        <v>57</v>
      </c>
      <c r="D3043" s="31" t="s">
        <v>65</v>
      </c>
      <c r="E3043" s="31" t="s">
        <v>51</v>
      </c>
      <c r="F3043" s="31" t="s">
        <v>121</v>
      </c>
      <c r="G3043" s="31" t="n">
        <v>1</v>
      </c>
      <c r="H3043" s="41" t="n">
        <v>10.2</v>
      </c>
      <c r="I3043" s="31" t="s">
        <v>149</v>
      </c>
      <c r="J3043" s="31"/>
      <c r="K3043" s="31" t="s">
        <v>150</v>
      </c>
      <c r="L3043" s="45" t="n">
        <f aca="false">DATE(YEAR(B3043),MONTH(B3043),1)</f>
        <v>46235</v>
      </c>
      <c r="M3043" s="31" t="n">
        <f aca="false">WEEKDAY(B3043,2)</f>
        <v>3</v>
      </c>
      <c r="N3043" s="31" t="str">
        <f aca="false">IF(G3043&lt;=INDEX(Assumptions!$B$15:$B$18,MATCH(E3043,Assumptions!$A$15:$A$18,0)),"Yes","No")</f>
        <v>Yes</v>
      </c>
      <c r="O3043" s="31" t="str">
        <f aca="false">IF(H3043="","Open",IF(H3043&lt;=INDEX(Assumptions!$C$15:$C$18,MATCH(E3043,Assumptions!$A$15:$A$18,0)),"Yes","No"))</f>
        <v>Yes</v>
      </c>
    </row>
    <row r="3044" customFormat="false" ht="15" hidden="false" customHeight="false" outlineLevel="0" collapsed="false">
      <c r="A3044" s="31" t="s">
        <v>3194</v>
      </c>
      <c r="B3044" s="44" t="n">
        <v>46246</v>
      </c>
      <c r="C3044" s="31" t="s">
        <v>60</v>
      </c>
      <c r="D3044" s="31" t="s">
        <v>65</v>
      </c>
      <c r="E3044" s="31" t="s">
        <v>51</v>
      </c>
      <c r="F3044" s="31" t="s">
        <v>133</v>
      </c>
      <c r="G3044" s="31" t="n">
        <v>1</v>
      </c>
      <c r="H3044" s="41" t="n">
        <v>23.7</v>
      </c>
      <c r="I3044" s="31" t="s">
        <v>149</v>
      </c>
      <c r="J3044" s="31" t="n">
        <v>5</v>
      </c>
      <c r="K3044" s="31" t="s">
        <v>150</v>
      </c>
      <c r="L3044" s="45" t="n">
        <f aca="false">DATE(YEAR(B3044),MONTH(B3044),1)</f>
        <v>46235</v>
      </c>
      <c r="M3044" s="31" t="n">
        <f aca="false">WEEKDAY(B3044,2)</f>
        <v>3</v>
      </c>
      <c r="N3044" s="31" t="str">
        <f aca="false">IF(G3044&lt;=INDEX(Assumptions!$B$15:$B$18,MATCH(E3044,Assumptions!$A$15:$A$18,0)),"Yes","No")</f>
        <v>Yes</v>
      </c>
      <c r="O3044" s="31" t="str">
        <f aca="false">IF(H3044="","Open",IF(H3044&lt;=INDEX(Assumptions!$C$15:$C$18,MATCH(E3044,Assumptions!$A$15:$A$18,0)),"Yes","No"))</f>
        <v>Yes</v>
      </c>
    </row>
    <row r="3045" customFormat="false" ht="15" hidden="false" customHeight="false" outlineLevel="0" collapsed="false">
      <c r="A3045" s="31" t="s">
        <v>3195</v>
      </c>
      <c r="B3045" s="44" t="n">
        <v>46246</v>
      </c>
      <c r="C3045" s="31" t="s">
        <v>57</v>
      </c>
      <c r="D3045" s="31" t="s">
        <v>67</v>
      </c>
      <c r="E3045" s="31" t="s">
        <v>50</v>
      </c>
      <c r="F3045" s="31" t="s">
        <v>135</v>
      </c>
      <c r="G3045" s="31" t="n">
        <v>4</v>
      </c>
      <c r="H3045" s="41" t="n">
        <v>3.9</v>
      </c>
      <c r="I3045" s="31" t="s">
        <v>149</v>
      </c>
      <c r="J3045" s="31" t="n">
        <v>4</v>
      </c>
      <c r="K3045" s="31" t="s">
        <v>150</v>
      </c>
      <c r="L3045" s="45" t="n">
        <f aca="false">DATE(YEAR(B3045),MONTH(B3045),1)</f>
        <v>46235</v>
      </c>
      <c r="M3045" s="31" t="n">
        <f aca="false">WEEKDAY(B3045,2)</f>
        <v>3</v>
      </c>
      <c r="N3045" s="31" t="str">
        <f aca="false">IF(G3045&lt;=INDEX(Assumptions!$B$15:$B$18,MATCH(E3045,Assumptions!$A$15:$A$18,0)),"Yes","No")</f>
        <v>Yes</v>
      </c>
      <c r="O3045" s="31" t="str">
        <f aca="false">IF(H3045="","Open",IF(H3045&lt;=INDEX(Assumptions!$C$15:$C$18,MATCH(E3045,Assumptions!$A$15:$A$18,0)),"Yes","No"))</f>
        <v>Yes</v>
      </c>
    </row>
    <row r="3046" customFormat="false" ht="15" hidden="false" customHeight="false" outlineLevel="0" collapsed="false">
      <c r="A3046" s="31" t="s">
        <v>3196</v>
      </c>
      <c r="B3046" s="44" t="n">
        <v>46246</v>
      </c>
      <c r="C3046" s="31" t="s">
        <v>59</v>
      </c>
      <c r="D3046" s="31" t="s">
        <v>69</v>
      </c>
      <c r="E3046" s="31" t="s">
        <v>51</v>
      </c>
      <c r="F3046" s="31" t="s">
        <v>122</v>
      </c>
      <c r="G3046" s="31" t="n">
        <v>309</v>
      </c>
      <c r="H3046" s="41" t="n">
        <v>8</v>
      </c>
      <c r="I3046" s="31" t="s">
        <v>149</v>
      </c>
      <c r="J3046" s="31" t="n">
        <v>4</v>
      </c>
      <c r="K3046" s="31" t="s">
        <v>150</v>
      </c>
      <c r="L3046" s="45" t="n">
        <f aca="false">DATE(YEAR(B3046),MONTH(B3046),1)</f>
        <v>46235</v>
      </c>
      <c r="M3046" s="31" t="n">
        <f aca="false">WEEKDAY(B3046,2)</f>
        <v>3</v>
      </c>
      <c r="N3046" s="31" t="str">
        <f aca="false">IF(G3046&lt;=INDEX(Assumptions!$B$15:$B$18,MATCH(E3046,Assumptions!$A$15:$A$18,0)),"Yes","No")</f>
        <v>No</v>
      </c>
      <c r="O3046" s="31" t="str">
        <f aca="false">IF(H3046="","Open",IF(H3046&lt;=INDEX(Assumptions!$C$15:$C$18,MATCH(E3046,Assumptions!$A$15:$A$18,0)),"Yes","No"))</f>
        <v>Yes</v>
      </c>
    </row>
    <row r="3047" customFormat="false" ht="15" hidden="false" customHeight="false" outlineLevel="0" collapsed="false">
      <c r="A3047" s="31" t="s">
        <v>3197</v>
      </c>
      <c r="B3047" s="44" t="n">
        <v>46246</v>
      </c>
      <c r="C3047" s="31" t="s">
        <v>58</v>
      </c>
      <c r="D3047" s="31" t="s">
        <v>65</v>
      </c>
      <c r="E3047" s="31" t="s">
        <v>51</v>
      </c>
      <c r="F3047" s="31" t="s">
        <v>137</v>
      </c>
      <c r="G3047" s="31" t="n">
        <v>9</v>
      </c>
      <c r="H3047" s="41" t="n">
        <v>9.5</v>
      </c>
      <c r="I3047" s="31" t="s">
        <v>149</v>
      </c>
      <c r="J3047" s="31"/>
      <c r="K3047" s="31" t="s">
        <v>150</v>
      </c>
      <c r="L3047" s="45" t="n">
        <f aca="false">DATE(YEAR(B3047),MONTH(B3047),1)</f>
        <v>46235</v>
      </c>
      <c r="M3047" s="31" t="n">
        <f aca="false">WEEKDAY(B3047,2)</f>
        <v>3</v>
      </c>
      <c r="N3047" s="31" t="str">
        <f aca="false">IF(G3047&lt;=INDEX(Assumptions!$B$15:$B$18,MATCH(E3047,Assumptions!$A$15:$A$18,0)),"Yes","No")</f>
        <v>Yes</v>
      </c>
      <c r="O3047" s="31" t="str">
        <f aca="false">IF(H3047="","Open",IF(H3047&lt;=INDEX(Assumptions!$C$15:$C$18,MATCH(E3047,Assumptions!$A$15:$A$18,0)),"Yes","No"))</f>
        <v>Yes</v>
      </c>
    </row>
    <row r="3048" customFormat="false" ht="15" hidden="false" customHeight="false" outlineLevel="0" collapsed="false">
      <c r="A3048" s="31" t="s">
        <v>3198</v>
      </c>
      <c r="B3048" s="44" t="n">
        <v>46246</v>
      </c>
      <c r="C3048" s="31" t="s">
        <v>57</v>
      </c>
      <c r="D3048" s="31" t="s">
        <v>69</v>
      </c>
      <c r="E3048" s="31" t="s">
        <v>51</v>
      </c>
      <c r="F3048" s="31" t="s">
        <v>124</v>
      </c>
      <c r="G3048" s="31" t="n">
        <v>1</v>
      </c>
      <c r="H3048" s="41" t="n">
        <v>22.1</v>
      </c>
      <c r="I3048" s="31" t="s">
        <v>64</v>
      </c>
      <c r="J3048" s="31" t="n">
        <v>3</v>
      </c>
      <c r="K3048" s="31" t="s">
        <v>150</v>
      </c>
      <c r="L3048" s="45" t="n">
        <f aca="false">DATE(YEAR(B3048),MONTH(B3048),1)</f>
        <v>46235</v>
      </c>
      <c r="M3048" s="31" t="n">
        <f aca="false">WEEKDAY(B3048,2)</f>
        <v>3</v>
      </c>
      <c r="N3048" s="31" t="str">
        <f aca="false">IF(G3048&lt;=INDEX(Assumptions!$B$15:$B$18,MATCH(E3048,Assumptions!$A$15:$A$18,0)),"Yes","No")</f>
        <v>Yes</v>
      </c>
      <c r="O3048" s="31" t="str">
        <f aca="false">IF(H3048="","Open",IF(H3048&lt;=INDEX(Assumptions!$C$15:$C$18,MATCH(E3048,Assumptions!$A$15:$A$18,0)),"Yes","No"))</f>
        <v>Yes</v>
      </c>
    </row>
    <row r="3049" customFormat="false" ht="15" hidden="false" customHeight="false" outlineLevel="0" collapsed="false">
      <c r="A3049" s="31" t="s">
        <v>3199</v>
      </c>
      <c r="B3049" s="44" t="n">
        <v>46246</v>
      </c>
      <c r="C3049" s="31" t="s">
        <v>58</v>
      </c>
      <c r="D3049" s="31" t="s">
        <v>66</v>
      </c>
      <c r="E3049" s="31" t="s">
        <v>51</v>
      </c>
      <c r="F3049" s="31" t="s">
        <v>123</v>
      </c>
      <c r="G3049" s="31" t="n">
        <v>9</v>
      </c>
      <c r="H3049" s="41" t="n">
        <v>2.3</v>
      </c>
      <c r="I3049" s="31" t="s">
        <v>149</v>
      </c>
      <c r="J3049" s="31" t="n">
        <v>4</v>
      </c>
      <c r="K3049" s="31" t="s">
        <v>150</v>
      </c>
      <c r="L3049" s="45" t="n">
        <f aca="false">DATE(YEAR(B3049),MONTH(B3049),1)</f>
        <v>46235</v>
      </c>
      <c r="M3049" s="31" t="n">
        <f aca="false">WEEKDAY(B3049,2)</f>
        <v>3</v>
      </c>
      <c r="N3049" s="31" t="str">
        <f aca="false">IF(G3049&lt;=INDEX(Assumptions!$B$15:$B$18,MATCH(E3049,Assumptions!$A$15:$A$18,0)),"Yes","No")</f>
        <v>Yes</v>
      </c>
      <c r="O3049" s="31" t="str">
        <f aca="false">IF(H3049="","Open",IF(H3049&lt;=INDEX(Assumptions!$C$15:$C$18,MATCH(E3049,Assumptions!$A$15:$A$18,0)),"Yes","No"))</f>
        <v>Yes</v>
      </c>
    </row>
    <row r="3050" customFormat="false" ht="15" hidden="false" customHeight="false" outlineLevel="0" collapsed="false">
      <c r="A3050" s="31" t="s">
        <v>3200</v>
      </c>
      <c r="B3050" s="44" t="n">
        <v>46246</v>
      </c>
      <c r="C3050" s="31" t="s">
        <v>58</v>
      </c>
      <c r="D3050" s="31" t="s">
        <v>66</v>
      </c>
      <c r="E3050" s="31" t="s">
        <v>51</v>
      </c>
      <c r="F3050" s="31" t="s">
        <v>121</v>
      </c>
      <c r="G3050" s="31" t="n">
        <v>18</v>
      </c>
      <c r="H3050" s="41"/>
      <c r="I3050" s="31" t="s">
        <v>158</v>
      </c>
      <c r="J3050" s="31"/>
      <c r="K3050" s="31" t="s">
        <v>150</v>
      </c>
      <c r="L3050" s="45" t="n">
        <f aca="false">DATE(YEAR(B3050),MONTH(B3050),1)</f>
        <v>46235</v>
      </c>
      <c r="M3050" s="31" t="n">
        <f aca="false">WEEKDAY(B3050,2)</f>
        <v>3</v>
      </c>
      <c r="N3050" s="31" t="str">
        <f aca="false">IF(G3050&lt;=INDEX(Assumptions!$B$15:$B$18,MATCH(E3050,Assumptions!$A$15:$A$18,0)),"Yes","No")</f>
        <v>Yes</v>
      </c>
      <c r="O3050" s="31" t="str">
        <f aca="false">IF(H3050="","Open",IF(H3050&lt;=INDEX(Assumptions!$C$15:$C$18,MATCH(E3050,Assumptions!$A$15:$A$18,0)),"Yes","No"))</f>
        <v>Open</v>
      </c>
    </row>
    <row r="3051" customFormat="false" ht="15" hidden="false" customHeight="false" outlineLevel="0" collapsed="false">
      <c r="A3051" s="31" t="s">
        <v>3201</v>
      </c>
      <c r="B3051" s="44" t="n">
        <v>46246</v>
      </c>
      <c r="C3051" s="31" t="s">
        <v>59</v>
      </c>
      <c r="D3051" s="31" t="s">
        <v>65</v>
      </c>
      <c r="E3051" s="31" t="s">
        <v>49</v>
      </c>
      <c r="F3051" s="31" t="s">
        <v>120</v>
      </c>
      <c r="G3051" s="31" t="n">
        <v>96</v>
      </c>
      <c r="H3051" s="41" t="n">
        <v>4.2</v>
      </c>
      <c r="I3051" s="31" t="s">
        <v>149</v>
      </c>
      <c r="J3051" s="31" t="n">
        <v>2</v>
      </c>
      <c r="K3051" s="31" t="s">
        <v>150</v>
      </c>
      <c r="L3051" s="45" t="n">
        <f aca="false">DATE(YEAR(B3051),MONTH(B3051),1)</f>
        <v>46235</v>
      </c>
      <c r="M3051" s="31" t="n">
        <f aca="false">WEEKDAY(B3051,2)</f>
        <v>3</v>
      </c>
      <c r="N3051" s="31" t="str">
        <f aca="false">IF(G3051&lt;=INDEX(Assumptions!$B$15:$B$18,MATCH(E3051,Assumptions!$A$15:$A$18,0)),"Yes","No")</f>
        <v>No</v>
      </c>
      <c r="O3051" s="31" t="str">
        <f aca="false">IF(H3051="","Open",IF(H3051&lt;=INDEX(Assumptions!$C$15:$C$18,MATCH(E3051,Assumptions!$A$15:$A$18,0)),"Yes","No"))</f>
        <v>No</v>
      </c>
    </row>
    <row r="3052" customFormat="false" ht="15" hidden="false" customHeight="false" outlineLevel="0" collapsed="false">
      <c r="A3052" s="31" t="s">
        <v>3202</v>
      </c>
      <c r="B3052" s="44" t="n">
        <v>46246</v>
      </c>
      <c r="C3052" s="31" t="s">
        <v>57</v>
      </c>
      <c r="D3052" s="31" t="s">
        <v>67</v>
      </c>
      <c r="E3052" s="31" t="s">
        <v>51</v>
      </c>
      <c r="F3052" s="31" t="s">
        <v>128</v>
      </c>
      <c r="G3052" s="31" t="n">
        <v>4</v>
      </c>
      <c r="H3052" s="41" t="n">
        <v>9.9</v>
      </c>
      <c r="I3052" s="31" t="s">
        <v>149</v>
      </c>
      <c r="J3052" s="31" t="n">
        <v>3</v>
      </c>
      <c r="K3052" s="31" t="s">
        <v>150</v>
      </c>
      <c r="L3052" s="45" t="n">
        <f aca="false">DATE(YEAR(B3052),MONTH(B3052),1)</f>
        <v>46235</v>
      </c>
      <c r="M3052" s="31" t="n">
        <f aca="false">WEEKDAY(B3052,2)</f>
        <v>3</v>
      </c>
      <c r="N3052" s="31" t="str">
        <f aca="false">IF(G3052&lt;=INDEX(Assumptions!$B$15:$B$18,MATCH(E3052,Assumptions!$A$15:$A$18,0)),"Yes","No")</f>
        <v>Yes</v>
      </c>
      <c r="O3052" s="31" t="str">
        <f aca="false">IF(H3052="","Open",IF(H3052&lt;=INDEX(Assumptions!$C$15:$C$18,MATCH(E3052,Assumptions!$A$15:$A$18,0)),"Yes","No"))</f>
        <v>Yes</v>
      </c>
    </row>
    <row r="3053" customFormat="false" ht="15" hidden="false" customHeight="false" outlineLevel="0" collapsed="false">
      <c r="A3053" s="31" t="s">
        <v>3203</v>
      </c>
      <c r="B3053" s="44" t="n">
        <v>46246</v>
      </c>
      <c r="C3053" s="31" t="s">
        <v>57</v>
      </c>
      <c r="D3053" s="31" t="s">
        <v>68</v>
      </c>
      <c r="E3053" s="31" t="s">
        <v>52</v>
      </c>
      <c r="F3053" s="31" t="s">
        <v>122</v>
      </c>
      <c r="G3053" s="31" t="n">
        <v>9</v>
      </c>
      <c r="H3053" s="41" t="n">
        <v>27.3</v>
      </c>
      <c r="I3053" s="31" t="s">
        <v>64</v>
      </c>
      <c r="J3053" s="31" t="n">
        <v>4</v>
      </c>
      <c r="K3053" s="31" t="s">
        <v>150</v>
      </c>
      <c r="L3053" s="45" t="n">
        <f aca="false">DATE(YEAR(B3053),MONTH(B3053),1)</f>
        <v>46235</v>
      </c>
      <c r="M3053" s="31" t="n">
        <f aca="false">WEEKDAY(B3053,2)</f>
        <v>3</v>
      </c>
      <c r="N3053" s="31" t="str">
        <f aca="false">IF(G3053&lt;=INDEX(Assumptions!$B$15:$B$18,MATCH(E3053,Assumptions!$A$15:$A$18,0)),"Yes","No")</f>
        <v>Yes</v>
      </c>
      <c r="O3053" s="31" t="str">
        <f aca="false">IF(H3053="","Open",IF(H3053&lt;=INDEX(Assumptions!$C$15:$C$18,MATCH(E3053,Assumptions!$A$15:$A$18,0)),"Yes","No"))</f>
        <v>Yes</v>
      </c>
    </row>
    <row r="3054" customFormat="false" ht="15" hidden="false" customHeight="false" outlineLevel="0" collapsed="false">
      <c r="A3054" s="31" t="s">
        <v>3204</v>
      </c>
      <c r="B3054" s="44" t="n">
        <v>46246</v>
      </c>
      <c r="C3054" s="31" t="s">
        <v>60</v>
      </c>
      <c r="D3054" s="31" t="s">
        <v>65</v>
      </c>
      <c r="E3054" s="31" t="s">
        <v>51</v>
      </c>
      <c r="F3054" s="31" t="s">
        <v>120</v>
      </c>
      <c r="G3054" s="31" t="n">
        <v>2</v>
      </c>
      <c r="H3054" s="41" t="n">
        <v>17.3</v>
      </c>
      <c r="I3054" s="31" t="s">
        <v>149</v>
      </c>
      <c r="J3054" s="31"/>
      <c r="K3054" s="31" t="s">
        <v>153</v>
      </c>
      <c r="L3054" s="45" t="n">
        <f aca="false">DATE(YEAR(B3054),MONTH(B3054),1)</f>
        <v>46235</v>
      </c>
      <c r="M3054" s="31" t="n">
        <f aca="false">WEEKDAY(B3054,2)</f>
        <v>3</v>
      </c>
      <c r="N3054" s="31" t="str">
        <f aca="false">IF(G3054&lt;=INDEX(Assumptions!$B$15:$B$18,MATCH(E3054,Assumptions!$A$15:$A$18,0)),"Yes","No")</f>
        <v>Yes</v>
      </c>
      <c r="O3054" s="31" t="str">
        <f aca="false">IF(H3054="","Open",IF(H3054&lt;=INDEX(Assumptions!$C$15:$C$18,MATCH(E3054,Assumptions!$A$15:$A$18,0)),"Yes","No"))</f>
        <v>Yes</v>
      </c>
    </row>
    <row r="3055" customFormat="false" ht="15" hidden="false" customHeight="false" outlineLevel="0" collapsed="false">
      <c r="A3055" s="31" t="s">
        <v>3205</v>
      </c>
      <c r="B3055" s="44" t="n">
        <v>46246</v>
      </c>
      <c r="C3055" s="31" t="s">
        <v>59</v>
      </c>
      <c r="D3055" s="31" t="s">
        <v>65</v>
      </c>
      <c r="E3055" s="31" t="s">
        <v>50</v>
      </c>
      <c r="F3055" s="31" t="s">
        <v>123</v>
      </c>
      <c r="G3055" s="31" t="n">
        <v>225</v>
      </c>
      <c r="H3055" s="41" t="n">
        <v>13.1</v>
      </c>
      <c r="I3055" s="31" t="s">
        <v>149</v>
      </c>
      <c r="J3055" s="31" t="n">
        <v>3</v>
      </c>
      <c r="K3055" s="31" t="s">
        <v>150</v>
      </c>
      <c r="L3055" s="45" t="n">
        <f aca="false">DATE(YEAR(B3055),MONTH(B3055),1)</f>
        <v>46235</v>
      </c>
      <c r="M3055" s="31" t="n">
        <f aca="false">WEEKDAY(B3055,2)</f>
        <v>3</v>
      </c>
      <c r="N3055" s="31" t="str">
        <f aca="false">IF(G3055&lt;=INDEX(Assumptions!$B$15:$B$18,MATCH(E3055,Assumptions!$A$15:$A$18,0)),"Yes","No")</f>
        <v>No</v>
      </c>
      <c r="O3055" s="31" t="str">
        <f aca="false">IF(H3055="","Open",IF(H3055&lt;=INDEX(Assumptions!$C$15:$C$18,MATCH(E3055,Assumptions!$A$15:$A$18,0)),"Yes","No"))</f>
        <v>No</v>
      </c>
    </row>
    <row r="3056" customFormat="false" ht="15" hidden="false" customHeight="false" outlineLevel="0" collapsed="false">
      <c r="A3056" s="31" t="s">
        <v>3206</v>
      </c>
      <c r="B3056" s="44" t="n">
        <v>46246</v>
      </c>
      <c r="C3056" s="31" t="s">
        <v>60</v>
      </c>
      <c r="D3056" s="31" t="s">
        <v>67</v>
      </c>
      <c r="E3056" s="31" t="s">
        <v>51</v>
      </c>
      <c r="F3056" s="31" t="s">
        <v>135</v>
      </c>
      <c r="G3056" s="31" t="n">
        <v>4</v>
      </c>
      <c r="H3056" s="41" t="n">
        <v>14.3</v>
      </c>
      <c r="I3056" s="31" t="s">
        <v>149</v>
      </c>
      <c r="J3056" s="31"/>
      <c r="K3056" s="31" t="s">
        <v>150</v>
      </c>
      <c r="L3056" s="45" t="n">
        <f aca="false">DATE(YEAR(B3056),MONTH(B3056),1)</f>
        <v>46235</v>
      </c>
      <c r="M3056" s="31" t="n">
        <f aca="false">WEEKDAY(B3056,2)</f>
        <v>3</v>
      </c>
      <c r="N3056" s="31" t="str">
        <f aca="false">IF(G3056&lt;=INDEX(Assumptions!$B$15:$B$18,MATCH(E3056,Assumptions!$A$15:$A$18,0)),"Yes","No")</f>
        <v>Yes</v>
      </c>
      <c r="O3056" s="31" t="str">
        <f aca="false">IF(H3056="","Open",IF(H3056&lt;=INDEX(Assumptions!$C$15:$C$18,MATCH(E3056,Assumptions!$A$15:$A$18,0)),"Yes","No"))</f>
        <v>Yes</v>
      </c>
    </row>
    <row r="3057" customFormat="false" ht="15" hidden="false" customHeight="false" outlineLevel="0" collapsed="false">
      <c r="A3057" s="31" t="s">
        <v>3207</v>
      </c>
      <c r="B3057" s="44" t="n">
        <v>46246</v>
      </c>
      <c r="C3057" s="31" t="s">
        <v>58</v>
      </c>
      <c r="D3057" s="31" t="s">
        <v>67</v>
      </c>
      <c r="E3057" s="31" t="s">
        <v>52</v>
      </c>
      <c r="F3057" s="31" t="s">
        <v>119</v>
      </c>
      <c r="G3057" s="31" t="n">
        <v>10</v>
      </c>
      <c r="H3057" s="41" t="n">
        <v>16</v>
      </c>
      <c r="I3057" s="31" t="s">
        <v>149</v>
      </c>
      <c r="J3057" s="31" t="n">
        <v>5</v>
      </c>
      <c r="K3057" s="31" t="s">
        <v>150</v>
      </c>
      <c r="L3057" s="45" t="n">
        <f aca="false">DATE(YEAR(B3057),MONTH(B3057),1)</f>
        <v>46235</v>
      </c>
      <c r="M3057" s="31" t="n">
        <f aca="false">WEEKDAY(B3057,2)</f>
        <v>3</v>
      </c>
      <c r="N3057" s="31" t="str">
        <f aca="false">IF(G3057&lt;=INDEX(Assumptions!$B$15:$B$18,MATCH(E3057,Assumptions!$A$15:$A$18,0)),"Yes","No")</f>
        <v>Yes</v>
      </c>
      <c r="O3057" s="31" t="str">
        <f aca="false">IF(H3057="","Open",IF(H3057&lt;=INDEX(Assumptions!$C$15:$C$18,MATCH(E3057,Assumptions!$A$15:$A$18,0)),"Yes","No"))</f>
        <v>Yes</v>
      </c>
    </row>
    <row r="3058" customFormat="false" ht="15" hidden="false" customHeight="false" outlineLevel="0" collapsed="false">
      <c r="A3058" s="31" t="s">
        <v>3208</v>
      </c>
      <c r="B3058" s="44" t="n">
        <v>46246</v>
      </c>
      <c r="C3058" s="31" t="s">
        <v>59</v>
      </c>
      <c r="D3058" s="31" t="s">
        <v>66</v>
      </c>
      <c r="E3058" s="31" t="s">
        <v>51</v>
      </c>
      <c r="F3058" s="31" t="s">
        <v>126</v>
      </c>
      <c r="G3058" s="31" t="n">
        <v>105</v>
      </c>
      <c r="H3058" s="41" t="n">
        <v>2.3</v>
      </c>
      <c r="I3058" s="31" t="s">
        <v>149</v>
      </c>
      <c r="J3058" s="31" t="n">
        <v>4</v>
      </c>
      <c r="K3058" s="31" t="s">
        <v>150</v>
      </c>
      <c r="L3058" s="45" t="n">
        <f aca="false">DATE(YEAR(B3058),MONTH(B3058),1)</f>
        <v>46235</v>
      </c>
      <c r="M3058" s="31" t="n">
        <f aca="false">WEEKDAY(B3058,2)</f>
        <v>3</v>
      </c>
      <c r="N3058" s="31" t="str">
        <f aca="false">IF(G3058&lt;=INDEX(Assumptions!$B$15:$B$18,MATCH(E3058,Assumptions!$A$15:$A$18,0)),"Yes","No")</f>
        <v>No</v>
      </c>
      <c r="O3058" s="31" t="str">
        <f aca="false">IF(H3058="","Open",IF(H3058&lt;=INDEX(Assumptions!$C$15:$C$18,MATCH(E3058,Assumptions!$A$15:$A$18,0)),"Yes","No"))</f>
        <v>Yes</v>
      </c>
    </row>
    <row r="3059" customFormat="false" ht="15" hidden="false" customHeight="false" outlineLevel="0" collapsed="false">
      <c r="A3059" s="31" t="s">
        <v>3209</v>
      </c>
      <c r="B3059" s="44" t="n">
        <v>46246</v>
      </c>
      <c r="C3059" s="31" t="s">
        <v>57</v>
      </c>
      <c r="D3059" s="31" t="s">
        <v>68</v>
      </c>
      <c r="E3059" s="31" t="s">
        <v>52</v>
      </c>
      <c r="F3059" s="31" t="s">
        <v>130</v>
      </c>
      <c r="G3059" s="31" t="n">
        <v>1</v>
      </c>
      <c r="H3059" s="41" t="n">
        <v>14.5</v>
      </c>
      <c r="I3059" s="31" t="s">
        <v>149</v>
      </c>
      <c r="J3059" s="31"/>
      <c r="K3059" s="31" t="s">
        <v>150</v>
      </c>
      <c r="L3059" s="45" t="n">
        <f aca="false">DATE(YEAR(B3059),MONTH(B3059),1)</f>
        <v>46235</v>
      </c>
      <c r="M3059" s="31" t="n">
        <f aca="false">WEEKDAY(B3059,2)</f>
        <v>3</v>
      </c>
      <c r="N3059" s="31" t="str">
        <f aca="false">IF(G3059&lt;=INDEX(Assumptions!$B$15:$B$18,MATCH(E3059,Assumptions!$A$15:$A$18,0)),"Yes","No")</f>
        <v>Yes</v>
      </c>
      <c r="O3059" s="31" t="str">
        <f aca="false">IF(H3059="","Open",IF(H3059&lt;=INDEX(Assumptions!$C$15:$C$18,MATCH(E3059,Assumptions!$A$15:$A$18,0)),"Yes","No"))</f>
        <v>Yes</v>
      </c>
    </row>
    <row r="3060" customFormat="false" ht="15" hidden="false" customHeight="false" outlineLevel="0" collapsed="false">
      <c r="A3060" s="31" t="s">
        <v>3210</v>
      </c>
      <c r="B3060" s="44" t="n">
        <v>46246</v>
      </c>
      <c r="C3060" s="31" t="s">
        <v>59</v>
      </c>
      <c r="D3060" s="31" t="s">
        <v>68</v>
      </c>
      <c r="E3060" s="31" t="s">
        <v>51</v>
      </c>
      <c r="F3060" s="31" t="s">
        <v>120</v>
      </c>
      <c r="G3060" s="31" t="n">
        <v>90</v>
      </c>
      <c r="H3060" s="41" t="n">
        <v>4.9</v>
      </c>
      <c r="I3060" s="31" t="s">
        <v>149</v>
      </c>
      <c r="J3060" s="31" t="n">
        <v>4</v>
      </c>
      <c r="K3060" s="31" t="s">
        <v>150</v>
      </c>
      <c r="L3060" s="45" t="n">
        <f aca="false">DATE(YEAR(B3060),MONTH(B3060),1)</f>
        <v>46235</v>
      </c>
      <c r="M3060" s="31" t="n">
        <f aca="false">WEEKDAY(B3060,2)</f>
        <v>3</v>
      </c>
      <c r="N3060" s="31" t="str">
        <f aca="false">IF(G3060&lt;=INDEX(Assumptions!$B$15:$B$18,MATCH(E3060,Assumptions!$A$15:$A$18,0)),"Yes","No")</f>
        <v>No</v>
      </c>
      <c r="O3060" s="31" t="str">
        <f aca="false">IF(H3060="","Open",IF(H3060&lt;=INDEX(Assumptions!$C$15:$C$18,MATCH(E3060,Assumptions!$A$15:$A$18,0)),"Yes","No"))</f>
        <v>Yes</v>
      </c>
    </row>
    <row r="3061" customFormat="false" ht="15" hidden="false" customHeight="false" outlineLevel="0" collapsed="false">
      <c r="A3061" s="31" t="s">
        <v>3211</v>
      </c>
      <c r="B3061" s="44" t="n">
        <v>46246</v>
      </c>
      <c r="C3061" s="31" t="s">
        <v>57</v>
      </c>
      <c r="D3061" s="31" t="s">
        <v>65</v>
      </c>
      <c r="E3061" s="31" t="s">
        <v>51</v>
      </c>
      <c r="F3061" s="31" t="s">
        <v>122</v>
      </c>
      <c r="G3061" s="31" t="n">
        <v>4</v>
      </c>
      <c r="H3061" s="41" t="n">
        <v>1.9</v>
      </c>
      <c r="I3061" s="31" t="s">
        <v>149</v>
      </c>
      <c r="J3061" s="31" t="n">
        <v>4</v>
      </c>
      <c r="K3061" s="31" t="s">
        <v>150</v>
      </c>
      <c r="L3061" s="45" t="n">
        <f aca="false">DATE(YEAR(B3061),MONTH(B3061),1)</f>
        <v>46235</v>
      </c>
      <c r="M3061" s="31" t="n">
        <f aca="false">WEEKDAY(B3061,2)</f>
        <v>3</v>
      </c>
      <c r="N3061" s="31" t="str">
        <f aca="false">IF(G3061&lt;=INDEX(Assumptions!$B$15:$B$18,MATCH(E3061,Assumptions!$A$15:$A$18,0)),"Yes","No")</f>
        <v>Yes</v>
      </c>
      <c r="O3061" s="31" t="str">
        <f aca="false">IF(H3061="","Open",IF(H3061&lt;=INDEX(Assumptions!$C$15:$C$18,MATCH(E3061,Assumptions!$A$15:$A$18,0)),"Yes","No"))</f>
        <v>Yes</v>
      </c>
    </row>
    <row r="3062" customFormat="false" ht="15" hidden="false" customHeight="false" outlineLevel="0" collapsed="false">
      <c r="A3062" s="31" t="s">
        <v>3212</v>
      </c>
      <c r="B3062" s="44" t="n">
        <v>46246</v>
      </c>
      <c r="C3062" s="31" t="s">
        <v>60</v>
      </c>
      <c r="D3062" s="31" t="s">
        <v>66</v>
      </c>
      <c r="E3062" s="31" t="s">
        <v>51</v>
      </c>
      <c r="F3062" s="31" t="s">
        <v>135</v>
      </c>
      <c r="G3062" s="31" t="n">
        <v>2</v>
      </c>
      <c r="H3062" s="41" t="n">
        <v>1.8</v>
      </c>
      <c r="I3062" s="31" t="s">
        <v>149</v>
      </c>
      <c r="J3062" s="31" t="n">
        <v>3</v>
      </c>
      <c r="K3062" s="31" t="s">
        <v>153</v>
      </c>
      <c r="L3062" s="45" t="n">
        <f aca="false">DATE(YEAR(B3062),MONTH(B3062),1)</f>
        <v>46235</v>
      </c>
      <c r="M3062" s="31" t="n">
        <f aca="false">WEEKDAY(B3062,2)</f>
        <v>3</v>
      </c>
      <c r="N3062" s="31" t="str">
        <f aca="false">IF(G3062&lt;=INDEX(Assumptions!$B$15:$B$18,MATCH(E3062,Assumptions!$A$15:$A$18,0)),"Yes","No")</f>
        <v>Yes</v>
      </c>
      <c r="O3062" s="31" t="str">
        <f aca="false">IF(H3062="","Open",IF(H3062&lt;=INDEX(Assumptions!$C$15:$C$18,MATCH(E3062,Assumptions!$A$15:$A$18,0)),"Yes","No"))</f>
        <v>Yes</v>
      </c>
    </row>
    <row r="3063" customFormat="false" ht="15" hidden="false" customHeight="false" outlineLevel="0" collapsed="false">
      <c r="A3063" s="31" t="s">
        <v>3213</v>
      </c>
      <c r="B3063" s="44" t="n">
        <v>46246</v>
      </c>
      <c r="C3063" s="31" t="s">
        <v>58</v>
      </c>
      <c r="D3063" s="31" t="s">
        <v>65</v>
      </c>
      <c r="E3063" s="31" t="s">
        <v>52</v>
      </c>
      <c r="F3063" s="31" t="s">
        <v>133</v>
      </c>
      <c r="G3063" s="31" t="n">
        <v>19</v>
      </c>
      <c r="H3063" s="41"/>
      <c r="I3063" s="31" t="s">
        <v>158</v>
      </c>
      <c r="J3063" s="31"/>
      <c r="K3063" s="31" t="s">
        <v>150</v>
      </c>
      <c r="L3063" s="45" t="n">
        <f aca="false">DATE(YEAR(B3063),MONTH(B3063),1)</f>
        <v>46235</v>
      </c>
      <c r="M3063" s="31" t="n">
        <f aca="false">WEEKDAY(B3063,2)</f>
        <v>3</v>
      </c>
      <c r="N3063" s="31" t="str">
        <f aca="false">IF(G3063&lt;=INDEX(Assumptions!$B$15:$B$18,MATCH(E3063,Assumptions!$A$15:$A$18,0)),"Yes","No")</f>
        <v>Yes</v>
      </c>
      <c r="O3063" s="31" t="str">
        <f aca="false">IF(H3063="","Open",IF(H3063&lt;=INDEX(Assumptions!$C$15:$C$18,MATCH(E3063,Assumptions!$A$15:$A$18,0)),"Yes","No"))</f>
        <v>Open</v>
      </c>
    </row>
    <row r="3064" customFormat="false" ht="15" hidden="false" customHeight="false" outlineLevel="0" collapsed="false">
      <c r="A3064" s="31" t="s">
        <v>3214</v>
      </c>
      <c r="B3064" s="44" t="n">
        <v>46246</v>
      </c>
      <c r="C3064" s="31" t="s">
        <v>58</v>
      </c>
      <c r="D3064" s="31" t="s">
        <v>66</v>
      </c>
      <c r="E3064" s="31" t="s">
        <v>51</v>
      </c>
      <c r="F3064" s="31" t="s">
        <v>136</v>
      </c>
      <c r="G3064" s="31" t="n">
        <v>4</v>
      </c>
      <c r="H3064" s="41" t="n">
        <v>2</v>
      </c>
      <c r="I3064" s="31" t="s">
        <v>149</v>
      </c>
      <c r="J3064" s="31"/>
      <c r="K3064" s="31" t="s">
        <v>150</v>
      </c>
      <c r="L3064" s="45" t="n">
        <f aca="false">DATE(YEAR(B3064),MONTH(B3064),1)</f>
        <v>46235</v>
      </c>
      <c r="M3064" s="31" t="n">
        <f aca="false">WEEKDAY(B3064,2)</f>
        <v>3</v>
      </c>
      <c r="N3064" s="31" t="str">
        <f aca="false">IF(G3064&lt;=INDEX(Assumptions!$B$15:$B$18,MATCH(E3064,Assumptions!$A$15:$A$18,0)),"Yes","No")</f>
        <v>Yes</v>
      </c>
      <c r="O3064" s="31" t="str">
        <f aca="false">IF(H3064="","Open",IF(H3064&lt;=INDEX(Assumptions!$C$15:$C$18,MATCH(E3064,Assumptions!$A$15:$A$18,0)),"Yes","No"))</f>
        <v>Yes</v>
      </c>
    </row>
    <row r="3065" customFormat="false" ht="15" hidden="false" customHeight="false" outlineLevel="0" collapsed="false">
      <c r="A3065" s="31" t="s">
        <v>3215</v>
      </c>
      <c r="B3065" s="44" t="n">
        <v>46247</v>
      </c>
      <c r="C3065" s="31" t="s">
        <v>57</v>
      </c>
      <c r="D3065" s="31" t="s">
        <v>67</v>
      </c>
      <c r="E3065" s="31" t="s">
        <v>52</v>
      </c>
      <c r="F3065" s="31" t="s">
        <v>130</v>
      </c>
      <c r="G3065" s="31" t="n">
        <v>4</v>
      </c>
      <c r="H3065" s="41" t="n">
        <v>20.2</v>
      </c>
      <c r="I3065" s="31" t="s">
        <v>149</v>
      </c>
      <c r="J3065" s="31" t="n">
        <v>4</v>
      </c>
      <c r="K3065" s="31" t="s">
        <v>150</v>
      </c>
      <c r="L3065" s="45" t="n">
        <f aca="false">DATE(YEAR(B3065),MONTH(B3065),1)</f>
        <v>46235</v>
      </c>
      <c r="M3065" s="31" t="n">
        <f aca="false">WEEKDAY(B3065,2)</f>
        <v>4</v>
      </c>
      <c r="N3065" s="31" t="str">
        <f aca="false">IF(G3065&lt;=INDEX(Assumptions!$B$15:$B$18,MATCH(E3065,Assumptions!$A$15:$A$18,0)),"Yes","No")</f>
        <v>Yes</v>
      </c>
      <c r="O3065" s="31" t="str">
        <f aca="false">IF(H3065="","Open",IF(H3065&lt;=INDEX(Assumptions!$C$15:$C$18,MATCH(E3065,Assumptions!$A$15:$A$18,0)),"Yes","No"))</f>
        <v>Yes</v>
      </c>
    </row>
    <row r="3066" customFormat="false" ht="15" hidden="false" customHeight="false" outlineLevel="0" collapsed="false">
      <c r="A3066" s="31" t="s">
        <v>3216</v>
      </c>
      <c r="B3066" s="44" t="n">
        <v>46247</v>
      </c>
      <c r="C3066" s="31" t="s">
        <v>59</v>
      </c>
      <c r="D3066" s="31" t="s">
        <v>65</v>
      </c>
      <c r="E3066" s="31" t="s">
        <v>52</v>
      </c>
      <c r="F3066" s="31" t="s">
        <v>131</v>
      </c>
      <c r="G3066" s="31" t="n">
        <v>32</v>
      </c>
      <c r="H3066" s="41" t="n">
        <v>10.7</v>
      </c>
      <c r="I3066" s="31" t="s">
        <v>149</v>
      </c>
      <c r="J3066" s="31" t="n">
        <v>5</v>
      </c>
      <c r="K3066" s="31" t="s">
        <v>150</v>
      </c>
      <c r="L3066" s="45" t="n">
        <f aca="false">DATE(YEAR(B3066),MONTH(B3066),1)</f>
        <v>46235</v>
      </c>
      <c r="M3066" s="31" t="n">
        <f aca="false">WEEKDAY(B3066,2)</f>
        <v>4</v>
      </c>
      <c r="N3066" s="31" t="str">
        <f aca="false">IF(G3066&lt;=INDEX(Assumptions!$B$15:$B$18,MATCH(E3066,Assumptions!$A$15:$A$18,0)),"Yes","No")</f>
        <v>Yes</v>
      </c>
      <c r="O3066" s="31" t="str">
        <f aca="false">IF(H3066="","Open",IF(H3066&lt;=INDEX(Assumptions!$C$15:$C$18,MATCH(E3066,Assumptions!$A$15:$A$18,0)),"Yes","No"))</f>
        <v>Yes</v>
      </c>
    </row>
    <row r="3067" customFormat="false" ht="15" hidden="false" customHeight="false" outlineLevel="0" collapsed="false">
      <c r="A3067" s="31" t="s">
        <v>3217</v>
      </c>
      <c r="B3067" s="44" t="n">
        <v>46247</v>
      </c>
      <c r="C3067" s="31" t="s">
        <v>57</v>
      </c>
      <c r="D3067" s="31" t="s">
        <v>67</v>
      </c>
      <c r="E3067" s="31" t="s">
        <v>51</v>
      </c>
      <c r="F3067" s="31" t="s">
        <v>123</v>
      </c>
      <c r="G3067" s="31" t="n">
        <v>5</v>
      </c>
      <c r="H3067" s="41" t="n">
        <v>16.3</v>
      </c>
      <c r="I3067" s="31" t="s">
        <v>149</v>
      </c>
      <c r="J3067" s="31"/>
      <c r="K3067" s="31" t="s">
        <v>150</v>
      </c>
      <c r="L3067" s="45" t="n">
        <f aca="false">DATE(YEAR(B3067),MONTH(B3067),1)</f>
        <v>46235</v>
      </c>
      <c r="M3067" s="31" t="n">
        <f aca="false">WEEKDAY(B3067,2)</f>
        <v>4</v>
      </c>
      <c r="N3067" s="31" t="str">
        <f aca="false">IF(G3067&lt;=INDEX(Assumptions!$B$15:$B$18,MATCH(E3067,Assumptions!$A$15:$A$18,0)),"Yes","No")</f>
        <v>Yes</v>
      </c>
      <c r="O3067" s="31" t="str">
        <f aca="false">IF(H3067="","Open",IF(H3067&lt;=INDEX(Assumptions!$C$15:$C$18,MATCH(E3067,Assumptions!$A$15:$A$18,0)),"Yes","No"))</f>
        <v>Yes</v>
      </c>
    </row>
    <row r="3068" customFormat="false" ht="15" hidden="false" customHeight="false" outlineLevel="0" collapsed="false">
      <c r="A3068" s="31" t="s">
        <v>3218</v>
      </c>
      <c r="B3068" s="44" t="n">
        <v>46247</v>
      </c>
      <c r="C3068" s="31" t="s">
        <v>59</v>
      </c>
      <c r="D3068" s="31" t="s">
        <v>66</v>
      </c>
      <c r="E3068" s="31" t="s">
        <v>51</v>
      </c>
      <c r="F3068" s="31" t="s">
        <v>136</v>
      </c>
      <c r="G3068" s="31" t="n">
        <v>30</v>
      </c>
      <c r="H3068" s="41" t="n">
        <v>3.5</v>
      </c>
      <c r="I3068" s="31" t="s">
        <v>149</v>
      </c>
      <c r="J3068" s="31"/>
      <c r="K3068" s="31" t="s">
        <v>153</v>
      </c>
      <c r="L3068" s="45" t="n">
        <f aca="false">DATE(YEAR(B3068),MONTH(B3068),1)</f>
        <v>46235</v>
      </c>
      <c r="M3068" s="31" t="n">
        <f aca="false">WEEKDAY(B3068,2)</f>
        <v>4</v>
      </c>
      <c r="N3068" s="31" t="str">
        <f aca="false">IF(G3068&lt;=INDEX(Assumptions!$B$15:$B$18,MATCH(E3068,Assumptions!$A$15:$A$18,0)),"Yes","No")</f>
        <v>Yes</v>
      </c>
      <c r="O3068" s="31" t="str">
        <f aca="false">IF(H3068="","Open",IF(H3068&lt;=INDEX(Assumptions!$C$15:$C$18,MATCH(E3068,Assumptions!$A$15:$A$18,0)),"Yes","No"))</f>
        <v>Yes</v>
      </c>
    </row>
    <row r="3069" customFormat="false" ht="15" hidden="false" customHeight="false" outlineLevel="0" collapsed="false">
      <c r="A3069" s="31" t="s">
        <v>3219</v>
      </c>
      <c r="B3069" s="44" t="n">
        <v>46247</v>
      </c>
      <c r="C3069" s="31" t="s">
        <v>60</v>
      </c>
      <c r="D3069" s="31" t="s">
        <v>66</v>
      </c>
      <c r="E3069" s="31" t="s">
        <v>51</v>
      </c>
      <c r="F3069" s="31" t="s">
        <v>129</v>
      </c>
      <c r="G3069" s="31" t="n">
        <v>2</v>
      </c>
      <c r="H3069" s="41" t="n">
        <v>1.4</v>
      </c>
      <c r="I3069" s="31" t="s">
        <v>149</v>
      </c>
      <c r="J3069" s="31" t="n">
        <v>5</v>
      </c>
      <c r="K3069" s="31" t="s">
        <v>150</v>
      </c>
      <c r="L3069" s="45" t="n">
        <f aca="false">DATE(YEAR(B3069),MONTH(B3069),1)</f>
        <v>46235</v>
      </c>
      <c r="M3069" s="31" t="n">
        <f aca="false">WEEKDAY(B3069,2)</f>
        <v>4</v>
      </c>
      <c r="N3069" s="31" t="str">
        <f aca="false">IF(G3069&lt;=INDEX(Assumptions!$B$15:$B$18,MATCH(E3069,Assumptions!$A$15:$A$18,0)),"Yes","No")</f>
        <v>Yes</v>
      </c>
      <c r="O3069" s="31" t="str">
        <f aca="false">IF(H3069="","Open",IF(H3069&lt;=INDEX(Assumptions!$C$15:$C$18,MATCH(E3069,Assumptions!$A$15:$A$18,0)),"Yes","No"))</f>
        <v>Yes</v>
      </c>
    </row>
    <row r="3070" customFormat="false" ht="15" hidden="false" customHeight="false" outlineLevel="0" collapsed="false">
      <c r="A3070" s="31" t="s">
        <v>3220</v>
      </c>
      <c r="B3070" s="44" t="n">
        <v>46247</v>
      </c>
      <c r="C3070" s="31" t="s">
        <v>58</v>
      </c>
      <c r="D3070" s="31" t="s">
        <v>65</v>
      </c>
      <c r="E3070" s="31" t="s">
        <v>52</v>
      </c>
      <c r="F3070" s="31" t="s">
        <v>134</v>
      </c>
      <c r="G3070" s="31" t="n">
        <v>42</v>
      </c>
      <c r="H3070" s="41" t="n">
        <v>26.3</v>
      </c>
      <c r="I3070" s="31" t="s">
        <v>149</v>
      </c>
      <c r="J3070" s="31" t="n">
        <v>4</v>
      </c>
      <c r="K3070" s="31" t="s">
        <v>150</v>
      </c>
      <c r="L3070" s="45" t="n">
        <f aca="false">DATE(YEAR(B3070),MONTH(B3070),1)</f>
        <v>46235</v>
      </c>
      <c r="M3070" s="31" t="n">
        <f aca="false">WEEKDAY(B3070,2)</f>
        <v>4</v>
      </c>
      <c r="N3070" s="31" t="str">
        <f aca="false">IF(G3070&lt;=INDEX(Assumptions!$B$15:$B$18,MATCH(E3070,Assumptions!$A$15:$A$18,0)),"Yes","No")</f>
        <v>Yes</v>
      </c>
      <c r="O3070" s="31" t="str">
        <f aca="false">IF(H3070="","Open",IF(H3070&lt;=INDEX(Assumptions!$C$15:$C$18,MATCH(E3070,Assumptions!$A$15:$A$18,0)),"Yes","No"))</f>
        <v>Yes</v>
      </c>
    </row>
    <row r="3071" customFormat="false" ht="15" hidden="false" customHeight="false" outlineLevel="0" collapsed="false">
      <c r="A3071" s="31" t="s">
        <v>3221</v>
      </c>
      <c r="B3071" s="44" t="n">
        <v>46247</v>
      </c>
      <c r="C3071" s="31" t="s">
        <v>58</v>
      </c>
      <c r="D3071" s="31" t="s">
        <v>67</v>
      </c>
      <c r="E3071" s="31" t="s">
        <v>51</v>
      </c>
      <c r="F3071" s="31" t="s">
        <v>131</v>
      </c>
      <c r="G3071" s="31" t="n">
        <v>5</v>
      </c>
      <c r="H3071" s="41" t="n">
        <v>4.1</v>
      </c>
      <c r="I3071" s="31" t="s">
        <v>149</v>
      </c>
      <c r="J3071" s="31"/>
      <c r="K3071" s="31" t="s">
        <v>150</v>
      </c>
      <c r="L3071" s="45" t="n">
        <f aca="false">DATE(YEAR(B3071),MONTH(B3071),1)</f>
        <v>46235</v>
      </c>
      <c r="M3071" s="31" t="n">
        <f aca="false">WEEKDAY(B3071,2)</f>
        <v>4</v>
      </c>
      <c r="N3071" s="31" t="str">
        <f aca="false">IF(G3071&lt;=INDEX(Assumptions!$B$15:$B$18,MATCH(E3071,Assumptions!$A$15:$A$18,0)),"Yes","No")</f>
        <v>Yes</v>
      </c>
      <c r="O3071" s="31" t="str">
        <f aca="false">IF(H3071="","Open",IF(H3071&lt;=INDEX(Assumptions!$C$15:$C$18,MATCH(E3071,Assumptions!$A$15:$A$18,0)),"Yes","No"))</f>
        <v>Yes</v>
      </c>
    </row>
    <row r="3072" customFormat="false" ht="15" hidden="false" customHeight="false" outlineLevel="0" collapsed="false">
      <c r="A3072" s="31" t="s">
        <v>3222</v>
      </c>
      <c r="B3072" s="44" t="n">
        <v>46247</v>
      </c>
      <c r="C3072" s="31" t="s">
        <v>60</v>
      </c>
      <c r="D3072" s="31" t="s">
        <v>67</v>
      </c>
      <c r="E3072" s="31" t="s">
        <v>51</v>
      </c>
      <c r="F3072" s="31" t="s">
        <v>117</v>
      </c>
      <c r="G3072" s="31" t="n">
        <v>1</v>
      </c>
      <c r="H3072" s="41" t="n">
        <v>14.4</v>
      </c>
      <c r="I3072" s="31" t="s">
        <v>149</v>
      </c>
      <c r="J3072" s="31" t="n">
        <v>5</v>
      </c>
      <c r="K3072" s="31" t="s">
        <v>150</v>
      </c>
      <c r="L3072" s="45" t="n">
        <f aca="false">DATE(YEAR(B3072),MONTH(B3072),1)</f>
        <v>46235</v>
      </c>
      <c r="M3072" s="31" t="n">
        <f aca="false">WEEKDAY(B3072,2)</f>
        <v>4</v>
      </c>
      <c r="N3072" s="31" t="str">
        <f aca="false">IF(G3072&lt;=INDEX(Assumptions!$B$15:$B$18,MATCH(E3072,Assumptions!$A$15:$A$18,0)),"Yes","No")</f>
        <v>Yes</v>
      </c>
      <c r="O3072" s="31" t="str">
        <f aca="false">IF(H3072="","Open",IF(H3072&lt;=INDEX(Assumptions!$C$15:$C$18,MATCH(E3072,Assumptions!$A$15:$A$18,0)),"Yes","No"))</f>
        <v>Yes</v>
      </c>
    </row>
    <row r="3073" customFormat="false" ht="15" hidden="false" customHeight="false" outlineLevel="0" collapsed="false">
      <c r="A3073" s="31" t="s">
        <v>3223</v>
      </c>
      <c r="B3073" s="44" t="n">
        <v>46247</v>
      </c>
      <c r="C3073" s="31" t="s">
        <v>58</v>
      </c>
      <c r="D3073" s="31" t="s">
        <v>68</v>
      </c>
      <c r="E3073" s="31" t="s">
        <v>52</v>
      </c>
      <c r="F3073" s="31" t="s">
        <v>128</v>
      </c>
      <c r="G3073" s="31" t="n">
        <v>33</v>
      </c>
      <c r="H3073" s="41" t="n">
        <v>26.8</v>
      </c>
      <c r="I3073" s="31" t="s">
        <v>64</v>
      </c>
      <c r="J3073" s="31"/>
      <c r="K3073" s="31" t="s">
        <v>153</v>
      </c>
      <c r="L3073" s="45" t="n">
        <f aca="false">DATE(YEAR(B3073),MONTH(B3073),1)</f>
        <v>46235</v>
      </c>
      <c r="M3073" s="31" t="n">
        <f aca="false">WEEKDAY(B3073,2)</f>
        <v>4</v>
      </c>
      <c r="N3073" s="31" t="str">
        <f aca="false">IF(G3073&lt;=INDEX(Assumptions!$B$15:$B$18,MATCH(E3073,Assumptions!$A$15:$A$18,0)),"Yes","No")</f>
        <v>Yes</v>
      </c>
      <c r="O3073" s="31" t="str">
        <f aca="false">IF(H3073="","Open",IF(H3073&lt;=INDEX(Assumptions!$C$15:$C$18,MATCH(E3073,Assumptions!$A$15:$A$18,0)),"Yes","No"))</f>
        <v>Yes</v>
      </c>
    </row>
    <row r="3074" customFormat="false" ht="15" hidden="false" customHeight="false" outlineLevel="0" collapsed="false">
      <c r="A3074" s="31" t="s">
        <v>3224</v>
      </c>
      <c r="B3074" s="44" t="n">
        <v>46247</v>
      </c>
      <c r="C3074" s="31" t="s">
        <v>60</v>
      </c>
      <c r="D3074" s="31" t="s">
        <v>66</v>
      </c>
      <c r="E3074" s="31" t="s">
        <v>52</v>
      </c>
      <c r="F3074" s="31" t="s">
        <v>122</v>
      </c>
      <c r="G3074" s="31" t="n">
        <v>3</v>
      </c>
      <c r="H3074" s="41" t="n">
        <v>11.8</v>
      </c>
      <c r="I3074" s="31" t="s">
        <v>149</v>
      </c>
      <c r="J3074" s="31" t="n">
        <v>5</v>
      </c>
      <c r="K3074" s="31" t="s">
        <v>150</v>
      </c>
      <c r="L3074" s="45" t="n">
        <f aca="false">DATE(YEAR(B3074),MONTH(B3074),1)</f>
        <v>46235</v>
      </c>
      <c r="M3074" s="31" t="n">
        <f aca="false">WEEKDAY(B3074,2)</f>
        <v>4</v>
      </c>
      <c r="N3074" s="31" t="str">
        <f aca="false">IF(G3074&lt;=INDEX(Assumptions!$B$15:$B$18,MATCH(E3074,Assumptions!$A$15:$A$18,0)),"Yes","No")</f>
        <v>Yes</v>
      </c>
      <c r="O3074" s="31" t="str">
        <f aca="false">IF(H3074="","Open",IF(H3074&lt;=INDEX(Assumptions!$C$15:$C$18,MATCH(E3074,Assumptions!$A$15:$A$18,0)),"Yes","No"))</f>
        <v>Yes</v>
      </c>
    </row>
    <row r="3075" customFormat="false" ht="15" hidden="false" customHeight="false" outlineLevel="0" collapsed="false">
      <c r="A3075" s="31" t="s">
        <v>3225</v>
      </c>
      <c r="B3075" s="44" t="n">
        <v>46247</v>
      </c>
      <c r="C3075" s="31" t="s">
        <v>57</v>
      </c>
      <c r="D3075" s="31" t="s">
        <v>66</v>
      </c>
      <c r="E3075" s="31" t="s">
        <v>52</v>
      </c>
      <c r="F3075" s="31" t="s">
        <v>117</v>
      </c>
      <c r="G3075" s="31" t="n">
        <v>3</v>
      </c>
      <c r="H3075" s="41" t="n">
        <v>7.7</v>
      </c>
      <c r="I3075" s="31" t="s">
        <v>149</v>
      </c>
      <c r="J3075" s="31" t="n">
        <v>4</v>
      </c>
      <c r="K3075" s="31" t="s">
        <v>150</v>
      </c>
      <c r="L3075" s="45" t="n">
        <f aca="false">DATE(YEAR(B3075),MONTH(B3075),1)</f>
        <v>46235</v>
      </c>
      <c r="M3075" s="31" t="n">
        <f aca="false">WEEKDAY(B3075,2)</f>
        <v>4</v>
      </c>
      <c r="N3075" s="31" t="str">
        <f aca="false">IF(G3075&lt;=INDEX(Assumptions!$B$15:$B$18,MATCH(E3075,Assumptions!$A$15:$A$18,0)),"Yes","No")</f>
        <v>Yes</v>
      </c>
      <c r="O3075" s="31" t="str">
        <f aca="false">IF(H3075="","Open",IF(H3075&lt;=INDEX(Assumptions!$C$15:$C$18,MATCH(E3075,Assumptions!$A$15:$A$18,0)),"Yes","No"))</f>
        <v>Yes</v>
      </c>
    </row>
    <row r="3076" customFormat="false" ht="15" hidden="false" customHeight="false" outlineLevel="0" collapsed="false">
      <c r="A3076" s="31" t="s">
        <v>3226</v>
      </c>
      <c r="B3076" s="44" t="n">
        <v>46247</v>
      </c>
      <c r="C3076" s="31" t="s">
        <v>57</v>
      </c>
      <c r="D3076" s="31" t="s">
        <v>66</v>
      </c>
      <c r="E3076" s="31" t="s">
        <v>52</v>
      </c>
      <c r="F3076" s="31" t="s">
        <v>136</v>
      </c>
      <c r="G3076" s="31" t="n">
        <v>11</v>
      </c>
      <c r="H3076" s="41" t="n">
        <v>26.4</v>
      </c>
      <c r="I3076" s="31" t="s">
        <v>149</v>
      </c>
      <c r="J3076" s="31" t="n">
        <v>4</v>
      </c>
      <c r="K3076" s="31" t="s">
        <v>150</v>
      </c>
      <c r="L3076" s="45" t="n">
        <f aca="false">DATE(YEAR(B3076),MONTH(B3076),1)</f>
        <v>46235</v>
      </c>
      <c r="M3076" s="31" t="n">
        <f aca="false">WEEKDAY(B3076,2)</f>
        <v>4</v>
      </c>
      <c r="N3076" s="31" t="str">
        <f aca="false">IF(G3076&lt;=INDEX(Assumptions!$B$15:$B$18,MATCH(E3076,Assumptions!$A$15:$A$18,0)),"Yes","No")</f>
        <v>Yes</v>
      </c>
      <c r="O3076" s="31" t="str">
        <f aca="false">IF(H3076="","Open",IF(H3076&lt;=INDEX(Assumptions!$C$15:$C$18,MATCH(E3076,Assumptions!$A$15:$A$18,0)),"Yes","No"))</f>
        <v>Yes</v>
      </c>
    </row>
    <row r="3077" customFormat="false" ht="15" hidden="false" customHeight="false" outlineLevel="0" collapsed="false">
      <c r="A3077" s="31" t="s">
        <v>3227</v>
      </c>
      <c r="B3077" s="44" t="n">
        <v>46247</v>
      </c>
      <c r="C3077" s="31" t="s">
        <v>58</v>
      </c>
      <c r="D3077" s="31" t="s">
        <v>67</v>
      </c>
      <c r="E3077" s="31" t="s">
        <v>51</v>
      </c>
      <c r="F3077" s="31" t="s">
        <v>134</v>
      </c>
      <c r="G3077" s="31" t="n">
        <v>21</v>
      </c>
      <c r="H3077" s="41" t="n">
        <v>5.1</v>
      </c>
      <c r="I3077" s="31" t="s">
        <v>149</v>
      </c>
      <c r="J3077" s="31"/>
      <c r="K3077" s="31" t="s">
        <v>150</v>
      </c>
      <c r="L3077" s="45" t="n">
        <f aca="false">DATE(YEAR(B3077),MONTH(B3077),1)</f>
        <v>46235</v>
      </c>
      <c r="M3077" s="31" t="n">
        <f aca="false">WEEKDAY(B3077,2)</f>
        <v>4</v>
      </c>
      <c r="N3077" s="31" t="str">
        <f aca="false">IF(G3077&lt;=INDEX(Assumptions!$B$15:$B$18,MATCH(E3077,Assumptions!$A$15:$A$18,0)),"Yes","No")</f>
        <v>Yes</v>
      </c>
      <c r="O3077" s="31" t="str">
        <f aca="false">IF(H3077="","Open",IF(H3077&lt;=INDEX(Assumptions!$C$15:$C$18,MATCH(E3077,Assumptions!$A$15:$A$18,0)),"Yes","No"))</f>
        <v>Yes</v>
      </c>
    </row>
    <row r="3078" customFormat="false" ht="15" hidden="false" customHeight="false" outlineLevel="0" collapsed="false">
      <c r="A3078" s="31" t="s">
        <v>3228</v>
      </c>
      <c r="B3078" s="44" t="n">
        <v>46247</v>
      </c>
      <c r="C3078" s="31" t="s">
        <v>57</v>
      </c>
      <c r="D3078" s="31" t="s">
        <v>65</v>
      </c>
      <c r="E3078" s="31" t="s">
        <v>51</v>
      </c>
      <c r="F3078" s="31" t="s">
        <v>124</v>
      </c>
      <c r="G3078" s="31" t="n">
        <v>2</v>
      </c>
      <c r="H3078" s="41" t="n">
        <v>40.2</v>
      </c>
      <c r="I3078" s="31" t="s">
        <v>149</v>
      </c>
      <c r="J3078" s="31" t="n">
        <v>3</v>
      </c>
      <c r="K3078" s="31" t="s">
        <v>150</v>
      </c>
      <c r="L3078" s="45" t="n">
        <f aca="false">DATE(YEAR(B3078),MONTH(B3078),1)</f>
        <v>46235</v>
      </c>
      <c r="M3078" s="31" t="n">
        <f aca="false">WEEKDAY(B3078,2)</f>
        <v>4</v>
      </c>
      <c r="N3078" s="31" t="str">
        <f aca="false">IF(G3078&lt;=INDEX(Assumptions!$B$15:$B$18,MATCH(E3078,Assumptions!$A$15:$A$18,0)),"Yes","No")</f>
        <v>Yes</v>
      </c>
      <c r="O3078" s="31" t="str">
        <f aca="false">IF(H3078="","Open",IF(H3078&lt;=INDEX(Assumptions!$C$15:$C$18,MATCH(E3078,Assumptions!$A$15:$A$18,0)),"Yes","No"))</f>
        <v>No</v>
      </c>
    </row>
    <row r="3079" customFormat="false" ht="15" hidden="false" customHeight="false" outlineLevel="0" collapsed="false">
      <c r="A3079" s="31" t="s">
        <v>3229</v>
      </c>
      <c r="B3079" s="44" t="n">
        <v>46247</v>
      </c>
      <c r="C3079" s="31" t="s">
        <v>57</v>
      </c>
      <c r="D3079" s="31" t="s">
        <v>66</v>
      </c>
      <c r="E3079" s="31" t="s">
        <v>52</v>
      </c>
      <c r="F3079" s="31" t="s">
        <v>122</v>
      </c>
      <c r="G3079" s="31" t="n">
        <v>8</v>
      </c>
      <c r="H3079" s="41" t="n">
        <v>1.8</v>
      </c>
      <c r="I3079" s="31" t="s">
        <v>149</v>
      </c>
      <c r="J3079" s="31" t="n">
        <v>5</v>
      </c>
      <c r="K3079" s="31" t="s">
        <v>150</v>
      </c>
      <c r="L3079" s="45" t="n">
        <f aca="false">DATE(YEAR(B3079),MONTH(B3079),1)</f>
        <v>46235</v>
      </c>
      <c r="M3079" s="31" t="n">
        <f aca="false">WEEKDAY(B3079,2)</f>
        <v>4</v>
      </c>
      <c r="N3079" s="31" t="str">
        <f aca="false">IF(G3079&lt;=INDEX(Assumptions!$B$15:$B$18,MATCH(E3079,Assumptions!$A$15:$A$18,0)),"Yes","No")</f>
        <v>Yes</v>
      </c>
      <c r="O3079" s="31" t="str">
        <f aca="false">IF(H3079="","Open",IF(H3079&lt;=INDEX(Assumptions!$C$15:$C$18,MATCH(E3079,Assumptions!$A$15:$A$18,0)),"Yes","No"))</f>
        <v>Yes</v>
      </c>
    </row>
    <row r="3080" customFormat="false" ht="15" hidden="false" customHeight="false" outlineLevel="0" collapsed="false">
      <c r="A3080" s="31" t="s">
        <v>3230</v>
      </c>
      <c r="B3080" s="44" t="n">
        <v>46247</v>
      </c>
      <c r="C3080" s="31" t="s">
        <v>59</v>
      </c>
      <c r="D3080" s="31" t="s">
        <v>66</v>
      </c>
      <c r="E3080" s="31" t="s">
        <v>51</v>
      </c>
      <c r="F3080" s="31" t="s">
        <v>130</v>
      </c>
      <c r="G3080" s="31" t="n">
        <v>104</v>
      </c>
      <c r="H3080" s="41"/>
      <c r="I3080" s="31" t="s">
        <v>158</v>
      </c>
      <c r="J3080" s="31"/>
      <c r="K3080" s="31" t="s">
        <v>150</v>
      </c>
      <c r="L3080" s="45" t="n">
        <f aca="false">DATE(YEAR(B3080),MONTH(B3080),1)</f>
        <v>46235</v>
      </c>
      <c r="M3080" s="31" t="n">
        <f aca="false">WEEKDAY(B3080,2)</f>
        <v>4</v>
      </c>
      <c r="N3080" s="31" t="str">
        <f aca="false">IF(G3080&lt;=INDEX(Assumptions!$B$15:$B$18,MATCH(E3080,Assumptions!$A$15:$A$18,0)),"Yes","No")</f>
        <v>No</v>
      </c>
      <c r="O3080" s="31" t="str">
        <f aca="false">IF(H3080="","Open",IF(H3080&lt;=INDEX(Assumptions!$C$15:$C$18,MATCH(E3080,Assumptions!$A$15:$A$18,0)),"Yes","No"))</f>
        <v>Open</v>
      </c>
    </row>
    <row r="3081" customFormat="false" ht="15" hidden="false" customHeight="false" outlineLevel="0" collapsed="false">
      <c r="A3081" s="31" t="s">
        <v>3231</v>
      </c>
      <c r="B3081" s="44" t="n">
        <v>46247</v>
      </c>
      <c r="C3081" s="31" t="s">
        <v>60</v>
      </c>
      <c r="D3081" s="31" t="s">
        <v>67</v>
      </c>
      <c r="E3081" s="31" t="s">
        <v>51</v>
      </c>
      <c r="F3081" s="31" t="s">
        <v>130</v>
      </c>
      <c r="G3081" s="31" t="n">
        <v>3</v>
      </c>
      <c r="H3081" s="41" t="n">
        <v>18.8</v>
      </c>
      <c r="I3081" s="31" t="s">
        <v>149</v>
      </c>
      <c r="J3081" s="31" t="n">
        <v>5</v>
      </c>
      <c r="K3081" s="31" t="s">
        <v>150</v>
      </c>
      <c r="L3081" s="45" t="n">
        <f aca="false">DATE(YEAR(B3081),MONTH(B3081),1)</f>
        <v>46235</v>
      </c>
      <c r="M3081" s="31" t="n">
        <f aca="false">WEEKDAY(B3081,2)</f>
        <v>4</v>
      </c>
      <c r="N3081" s="31" t="str">
        <f aca="false">IF(G3081&lt;=INDEX(Assumptions!$B$15:$B$18,MATCH(E3081,Assumptions!$A$15:$A$18,0)),"Yes","No")</f>
        <v>Yes</v>
      </c>
      <c r="O3081" s="31" t="str">
        <f aca="false">IF(H3081="","Open",IF(H3081&lt;=INDEX(Assumptions!$C$15:$C$18,MATCH(E3081,Assumptions!$A$15:$A$18,0)),"Yes","No"))</f>
        <v>Yes</v>
      </c>
    </row>
    <row r="3082" customFormat="false" ht="15" hidden="false" customHeight="false" outlineLevel="0" collapsed="false">
      <c r="A3082" s="31" t="s">
        <v>3232</v>
      </c>
      <c r="B3082" s="44" t="n">
        <v>46247</v>
      </c>
      <c r="C3082" s="31" t="s">
        <v>60</v>
      </c>
      <c r="D3082" s="31" t="s">
        <v>68</v>
      </c>
      <c r="E3082" s="31" t="s">
        <v>51</v>
      </c>
      <c r="F3082" s="31" t="s">
        <v>128</v>
      </c>
      <c r="G3082" s="31" t="n">
        <v>2</v>
      </c>
      <c r="H3082" s="41" t="n">
        <v>4.3</v>
      </c>
      <c r="I3082" s="31" t="s">
        <v>149</v>
      </c>
      <c r="J3082" s="31"/>
      <c r="K3082" s="31" t="s">
        <v>150</v>
      </c>
      <c r="L3082" s="45" t="n">
        <f aca="false">DATE(YEAR(B3082),MONTH(B3082),1)</f>
        <v>46235</v>
      </c>
      <c r="M3082" s="31" t="n">
        <f aca="false">WEEKDAY(B3082,2)</f>
        <v>4</v>
      </c>
      <c r="N3082" s="31" t="str">
        <f aca="false">IF(G3082&lt;=INDEX(Assumptions!$B$15:$B$18,MATCH(E3082,Assumptions!$A$15:$A$18,0)),"Yes","No")</f>
        <v>Yes</v>
      </c>
      <c r="O3082" s="31" t="str">
        <f aca="false">IF(H3082="","Open",IF(H3082&lt;=INDEX(Assumptions!$C$15:$C$18,MATCH(E3082,Assumptions!$A$15:$A$18,0)),"Yes","No"))</f>
        <v>Yes</v>
      </c>
    </row>
    <row r="3083" customFormat="false" ht="15" hidden="false" customHeight="false" outlineLevel="0" collapsed="false">
      <c r="A3083" s="31" t="s">
        <v>3233</v>
      </c>
      <c r="B3083" s="44" t="n">
        <v>46247</v>
      </c>
      <c r="C3083" s="31" t="s">
        <v>58</v>
      </c>
      <c r="D3083" s="31" t="s">
        <v>66</v>
      </c>
      <c r="E3083" s="31" t="s">
        <v>51</v>
      </c>
      <c r="F3083" s="31" t="s">
        <v>131</v>
      </c>
      <c r="G3083" s="31" t="n">
        <v>3</v>
      </c>
      <c r="H3083" s="41" t="n">
        <v>17.2</v>
      </c>
      <c r="I3083" s="31" t="s">
        <v>149</v>
      </c>
      <c r="J3083" s="31"/>
      <c r="K3083" s="31" t="s">
        <v>150</v>
      </c>
      <c r="L3083" s="45" t="n">
        <f aca="false">DATE(YEAR(B3083),MONTH(B3083),1)</f>
        <v>46235</v>
      </c>
      <c r="M3083" s="31" t="n">
        <f aca="false">WEEKDAY(B3083,2)</f>
        <v>4</v>
      </c>
      <c r="N3083" s="31" t="str">
        <f aca="false">IF(G3083&lt;=INDEX(Assumptions!$B$15:$B$18,MATCH(E3083,Assumptions!$A$15:$A$18,0)),"Yes","No")</f>
        <v>Yes</v>
      </c>
      <c r="O3083" s="31" t="str">
        <f aca="false">IF(H3083="","Open",IF(H3083&lt;=INDEX(Assumptions!$C$15:$C$18,MATCH(E3083,Assumptions!$A$15:$A$18,0)),"Yes","No"))</f>
        <v>Yes</v>
      </c>
    </row>
    <row r="3084" customFormat="false" ht="15" hidden="false" customHeight="false" outlineLevel="0" collapsed="false">
      <c r="A3084" s="31" t="s">
        <v>3234</v>
      </c>
      <c r="B3084" s="44" t="n">
        <v>46247</v>
      </c>
      <c r="C3084" s="31" t="s">
        <v>58</v>
      </c>
      <c r="D3084" s="31" t="s">
        <v>66</v>
      </c>
      <c r="E3084" s="31" t="s">
        <v>50</v>
      </c>
      <c r="F3084" s="31" t="s">
        <v>123</v>
      </c>
      <c r="G3084" s="31" t="n">
        <v>8</v>
      </c>
      <c r="H3084" s="41" t="n">
        <v>1.9</v>
      </c>
      <c r="I3084" s="31" t="s">
        <v>149</v>
      </c>
      <c r="J3084" s="31" t="n">
        <v>4</v>
      </c>
      <c r="K3084" s="31" t="s">
        <v>150</v>
      </c>
      <c r="L3084" s="45" t="n">
        <f aca="false">DATE(YEAR(B3084),MONTH(B3084),1)</f>
        <v>46235</v>
      </c>
      <c r="M3084" s="31" t="n">
        <f aca="false">WEEKDAY(B3084,2)</f>
        <v>4</v>
      </c>
      <c r="N3084" s="31" t="str">
        <f aca="false">IF(G3084&lt;=INDEX(Assumptions!$B$15:$B$18,MATCH(E3084,Assumptions!$A$15:$A$18,0)),"Yes","No")</f>
        <v>Yes</v>
      </c>
      <c r="O3084" s="31" t="str">
        <f aca="false">IF(H3084="","Open",IF(H3084&lt;=INDEX(Assumptions!$C$15:$C$18,MATCH(E3084,Assumptions!$A$15:$A$18,0)),"Yes","No"))</f>
        <v>Yes</v>
      </c>
    </row>
    <row r="3085" customFormat="false" ht="15" hidden="false" customHeight="false" outlineLevel="0" collapsed="false">
      <c r="A3085" s="31" t="s">
        <v>3235</v>
      </c>
      <c r="B3085" s="44" t="n">
        <v>46247</v>
      </c>
      <c r="C3085" s="31" t="s">
        <v>57</v>
      </c>
      <c r="D3085" s="31" t="s">
        <v>65</v>
      </c>
      <c r="E3085" s="31" t="s">
        <v>50</v>
      </c>
      <c r="F3085" s="31" t="s">
        <v>129</v>
      </c>
      <c r="G3085" s="31" t="n">
        <v>2</v>
      </c>
      <c r="H3085" s="41" t="n">
        <v>31.7</v>
      </c>
      <c r="I3085" s="31" t="s">
        <v>149</v>
      </c>
      <c r="J3085" s="31" t="n">
        <v>4</v>
      </c>
      <c r="K3085" s="31" t="s">
        <v>150</v>
      </c>
      <c r="L3085" s="45" t="n">
        <f aca="false">DATE(YEAR(B3085),MONTH(B3085),1)</f>
        <v>46235</v>
      </c>
      <c r="M3085" s="31" t="n">
        <f aca="false">WEEKDAY(B3085,2)</f>
        <v>4</v>
      </c>
      <c r="N3085" s="31" t="str">
        <f aca="false">IF(G3085&lt;=INDEX(Assumptions!$B$15:$B$18,MATCH(E3085,Assumptions!$A$15:$A$18,0)),"Yes","No")</f>
        <v>Yes</v>
      </c>
      <c r="O3085" s="31" t="str">
        <f aca="false">IF(H3085="","Open",IF(H3085&lt;=INDEX(Assumptions!$C$15:$C$18,MATCH(E3085,Assumptions!$A$15:$A$18,0)),"Yes","No"))</f>
        <v>No</v>
      </c>
    </row>
    <row r="3086" customFormat="false" ht="15" hidden="false" customHeight="false" outlineLevel="0" collapsed="false">
      <c r="A3086" s="31" t="s">
        <v>3236</v>
      </c>
      <c r="B3086" s="44" t="n">
        <v>46247</v>
      </c>
      <c r="C3086" s="31" t="s">
        <v>57</v>
      </c>
      <c r="D3086" s="31" t="s">
        <v>67</v>
      </c>
      <c r="E3086" s="31" t="s">
        <v>51</v>
      </c>
      <c r="F3086" s="31" t="s">
        <v>120</v>
      </c>
      <c r="G3086" s="31" t="n">
        <v>18</v>
      </c>
      <c r="H3086" s="41" t="n">
        <v>30.4</v>
      </c>
      <c r="I3086" s="31" t="s">
        <v>64</v>
      </c>
      <c r="J3086" s="31" t="n">
        <v>3</v>
      </c>
      <c r="K3086" s="31" t="s">
        <v>150</v>
      </c>
      <c r="L3086" s="45" t="n">
        <f aca="false">DATE(YEAR(B3086),MONTH(B3086),1)</f>
        <v>46235</v>
      </c>
      <c r="M3086" s="31" t="n">
        <f aca="false">WEEKDAY(B3086,2)</f>
        <v>4</v>
      </c>
      <c r="N3086" s="31" t="str">
        <f aca="false">IF(G3086&lt;=INDEX(Assumptions!$B$15:$B$18,MATCH(E3086,Assumptions!$A$15:$A$18,0)),"Yes","No")</f>
        <v>Yes</v>
      </c>
      <c r="O3086" s="31" t="str">
        <f aca="false">IF(H3086="","Open",IF(H3086&lt;=INDEX(Assumptions!$C$15:$C$18,MATCH(E3086,Assumptions!$A$15:$A$18,0)),"Yes","No"))</f>
        <v>No</v>
      </c>
    </row>
    <row r="3087" customFormat="false" ht="15" hidden="false" customHeight="false" outlineLevel="0" collapsed="false">
      <c r="A3087" s="31" t="s">
        <v>3237</v>
      </c>
      <c r="B3087" s="44" t="n">
        <v>46247</v>
      </c>
      <c r="C3087" s="31" t="s">
        <v>57</v>
      </c>
      <c r="D3087" s="31" t="s">
        <v>67</v>
      </c>
      <c r="E3087" s="31" t="s">
        <v>51</v>
      </c>
      <c r="F3087" s="31" t="s">
        <v>128</v>
      </c>
      <c r="G3087" s="31" t="n">
        <v>12</v>
      </c>
      <c r="H3087" s="41" t="n">
        <v>23</v>
      </c>
      <c r="I3087" s="31" t="s">
        <v>149</v>
      </c>
      <c r="J3087" s="31" t="n">
        <v>3</v>
      </c>
      <c r="K3087" s="31" t="s">
        <v>150</v>
      </c>
      <c r="L3087" s="45" t="n">
        <f aca="false">DATE(YEAR(B3087),MONTH(B3087),1)</f>
        <v>46235</v>
      </c>
      <c r="M3087" s="31" t="n">
        <f aca="false">WEEKDAY(B3087,2)</f>
        <v>4</v>
      </c>
      <c r="N3087" s="31" t="str">
        <f aca="false">IF(G3087&lt;=INDEX(Assumptions!$B$15:$B$18,MATCH(E3087,Assumptions!$A$15:$A$18,0)),"Yes","No")</f>
        <v>Yes</v>
      </c>
      <c r="O3087" s="31" t="str">
        <f aca="false">IF(H3087="","Open",IF(H3087&lt;=INDEX(Assumptions!$C$15:$C$18,MATCH(E3087,Assumptions!$A$15:$A$18,0)),"Yes","No"))</f>
        <v>Yes</v>
      </c>
    </row>
    <row r="3088" customFormat="false" ht="15" hidden="false" customHeight="false" outlineLevel="0" collapsed="false">
      <c r="A3088" s="31" t="s">
        <v>3238</v>
      </c>
      <c r="B3088" s="44" t="n">
        <v>46247</v>
      </c>
      <c r="C3088" s="31" t="s">
        <v>58</v>
      </c>
      <c r="D3088" s="31" t="s">
        <v>66</v>
      </c>
      <c r="E3088" s="31" t="s">
        <v>50</v>
      </c>
      <c r="F3088" s="31" t="s">
        <v>134</v>
      </c>
      <c r="G3088" s="31" t="n">
        <v>6</v>
      </c>
      <c r="H3088" s="41" t="n">
        <v>3.6</v>
      </c>
      <c r="I3088" s="31" t="s">
        <v>149</v>
      </c>
      <c r="J3088" s="31"/>
      <c r="K3088" s="31" t="s">
        <v>150</v>
      </c>
      <c r="L3088" s="45" t="n">
        <f aca="false">DATE(YEAR(B3088),MONTH(B3088),1)</f>
        <v>46235</v>
      </c>
      <c r="M3088" s="31" t="n">
        <f aca="false">WEEKDAY(B3088,2)</f>
        <v>4</v>
      </c>
      <c r="N3088" s="31" t="str">
        <f aca="false">IF(G3088&lt;=INDEX(Assumptions!$B$15:$B$18,MATCH(E3088,Assumptions!$A$15:$A$18,0)),"Yes","No")</f>
        <v>Yes</v>
      </c>
      <c r="O3088" s="31" t="str">
        <f aca="false">IF(H3088="","Open",IF(H3088&lt;=INDEX(Assumptions!$C$15:$C$18,MATCH(E3088,Assumptions!$A$15:$A$18,0)),"Yes","No"))</f>
        <v>Yes</v>
      </c>
    </row>
    <row r="3089" customFormat="false" ht="15" hidden="false" customHeight="false" outlineLevel="0" collapsed="false">
      <c r="A3089" s="31" t="s">
        <v>3239</v>
      </c>
      <c r="B3089" s="44" t="n">
        <v>46247</v>
      </c>
      <c r="C3089" s="31" t="s">
        <v>58</v>
      </c>
      <c r="D3089" s="31" t="s">
        <v>66</v>
      </c>
      <c r="E3089" s="31" t="s">
        <v>51</v>
      </c>
      <c r="F3089" s="31" t="s">
        <v>122</v>
      </c>
      <c r="G3089" s="31" t="n">
        <v>13</v>
      </c>
      <c r="H3089" s="41" t="n">
        <v>1.8</v>
      </c>
      <c r="I3089" s="31" t="s">
        <v>149</v>
      </c>
      <c r="J3089" s="31" t="n">
        <v>4</v>
      </c>
      <c r="K3089" s="31" t="s">
        <v>150</v>
      </c>
      <c r="L3089" s="45" t="n">
        <f aca="false">DATE(YEAR(B3089),MONTH(B3089),1)</f>
        <v>46235</v>
      </c>
      <c r="M3089" s="31" t="n">
        <f aca="false">WEEKDAY(B3089,2)</f>
        <v>4</v>
      </c>
      <c r="N3089" s="31" t="str">
        <f aca="false">IF(G3089&lt;=INDEX(Assumptions!$B$15:$B$18,MATCH(E3089,Assumptions!$A$15:$A$18,0)),"Yes","No")</f>
        <v>Yes</v>
      </c>
      <c r="O3089" s="31" t="str">
        <f aca="false">IF(H3089="","Open",IF(H3089&lt;=INDEX(Assumptions!$C$15:$C$18,MATCH(E3089,Assumptions!$A$15:$A$18,0)),"Yes","No"))</f>
        <v>Yes</v>
      </c>
    </row>
    <row r="3090" customFormat="false" ht="15" hidden="false" customHeight="false" outlineLevel="0" collapsed="false">
      <c r="A3090" s="31" t="s">
        <v>3240</v>
      </c>
      <c r="B3090" s="44" t="n">
        <v>46247</v>
      </c>
      <c r="C3090" s="31" t="s">
        <v>58</v>
      </c>
      <c r="D3090" s="31" t="s">
        <v>67</v>
      </c>
      <c r="E3090" s="31" t="s">
        <v>51</v>
      </c>
      <c r="F3090" s="31" t="s">
        <v>135</v>
      </c>
      <c r="G3090" s="31" t="n">
        <v>31</v>
      </c>
      <c r="H3090" s="41" t="n">
        <v>47.6</v>
      </c>
      <c r="I3090" s="31" t="s">
        <v>149</v>
      </c>
      <c r="J3090" s="31"/>
      <c r="K3090" s="31" t="s">
        <v>150</v>
      </c>
      <c r="L3090" s="45" t="n">
        <f aca="false">DATE(YEAR(B3090),MONTH(B3090),1)</f>
        <v>46235</v>
      </c>
      <c r="M3090" s="31" t="n">
        <f aca="false">WEEKDAY(B3090,2)</f>
        <v>4</v>
      </c>
      <c r="N3090" s="31" t="str">
        <f aca="false">IF(G3090&lt;=INDEX(Assumptions!$B$15:$B$18,MATCH(E3090,Assumptions!$A$15:$A$18,0)),"Yes","No")</f>
        <v>Yes</v>
      </c>
      <c r="O3090" s="31" t="str">
        <f aca="false">IF(H3090="","Open",IF(H3090&lt;=INDEX(Assumptions!$C$15:$C$18,MATCH(E3090,Assumptions!$A$15:$A$18,0)),"Yes","No"))</f>
        <v>No</v>
      </c>
    </row>
    <row r="3091" customFormat="false" ht="15" hidden="false" customHeight="false" outlineLevel="0" collapsed="false">
      <c r="A3091" s="31" t="s">
        <v>3241</v>
      </c>
      <c r="B3091" s="44" t="n">
        <v>46247</v>
      </c>
      <c r="C3091" s="31" t="s">
        <v>58</v>
      </c>
      <c r="D3091" s="31" t="s">
        <v>65</v>
      </c>
      <c r="E3091" s="31" t="s">
        <v>52</v>
      </c>
      <c r="F3091" s="31" t="s">
        <v>133</v>
      </c>
      <c r="G3091" s="31" t="n">
        <v>10</v>
      </c>
      <c r="H3091" s="41" t="n">
        <v>5.2</v>
      </c>
      <c r="I3091" s="31" t="s">
        <v>149</v>
      </c>
      <c r="J3091" s="31"/>
      <c r="K3091" s="31" t="s">
        <v>150</v>
      </c>
      <c r="L3091" s="45" t="n">
        <f aca="false">DATE(YEAR(B3091),MONTH(B3091),1)</f>
        <v>46235</v>
      </c>
      <c r="M3091" s="31" t="n">
        <f aca="false">WEEKDAY(B3091,2)</f>
        <v>4</v>
      </c>
      <c r="N3091" s="31" t="str">
        <f aca="false">IF(G3091&lt;=INDEX(Assumptions!$B$15:$B$18,MATCH(E3091,Assumptions!$A$15:$A$18,0)),"Yes","No")</f>
        <v>Yes</v>
      </c>
      <c r="O3091" s="31" t="str">
        <f aca="false">IF(H3091="","Open",IF(H3091&lt;=INDEX(Assumptions!$C$15:$C$18,MATCH(E3091,Assumptions!$A$15:$A$18,0)),"Yes","No"))</f>
        <v>Yes</v>
      </c>
    </row>
    <row r="3092" customFormat="false" ht="15" hidden="false" customHeight="false" outlineLevel="0" collapsed="false">
      <c r="A3092" s="31" t="s">
        <v>3242</v>
      </c>
      <c r="B3092" s="44" t="n">
        <v>46247</v>
      </c>
      <c r="C3092" s="31" t="s">
        <v>57</v>
      </c>
      <c r="D3092" s="31" t="s">
        <v>67</v>
      </c>
      <c r="E3092" s="31" t="s">
        <v>52</v>
      </c>
      <c r="F3092" s="31" t="s">
        <v>137</v>
      </c>
      <c r="G3092" s="31" t="n">
        <v>3</v>
      </c>
      <c r="H3092" s="41" t="n">
        <v>29.8</v>
      </c>
      <c r="I3092" s="31" t="s">
        <v>149</v>
      </c>
      <c r="J3092" s="31"/>
      <c r="K3092" s="31" t="s">
        <v>150</v>
      </c>
      <c r="L3092" s="45" t="n">
        <f aca="false">DATE(YEAR(B3092),MONTH(B3092),1)</f>
        <v>46235</v>
      </c>
      <c r="M3092" s="31" t="n">
        <f aca="false">WEEKDAY(B3092,2)</f>
        <v>4</v>
      </c>
      <c r="N3092" s="31" t="str">
        <f aca="false">IF(G3092&lt;=INDEX(Assumptions!$B$15:$B$18,MATCH(E3092,Assumptions!$A$15:$A$18,0)),"Yes","No")</f>
        <v>Yes</v>
      </c>
      <c r="O3092" s="31" t="str">
        <f aca="false">IF(H3092="","Open",IF(H3092&lt;=INDEX(Assumptions!$C$15:$C$18,MATCH(E3092,Assumptions!$A$15:$A$18,0)),"Yes","No"))</f>
        <v>Yes</v>
      </c>
    </row>
    <row r="3093" customFormat="false" ht="15" hidden="false" customHeight="false" outlineLevel="0" collapsed="false">
      <c r="A3093" s="31" t="s">
        <v>3243</v>
      </c>
      <c r="B3093" s="44" t="n">
        <v>46247</v>
      </c>
      <c r="C3093" s="31" t="s">
        <v>59</v>
      </c>
      <c r="D3093" s="31" t="s">
        <v>69</v>
      </c>
      <c r="E3093" s="31" t="s">
        <v>51</v>
      </c>
      <c r="F3093" s="31" t="s">
        <v>135</v>
      </c>
      <c r="G3093" s="31" t="n">
        <v>84</v>
      </c>
      <c r="H3093" s="41" t="n">
        <v>22.2</v>
      </c>
      <c r="I3093" s="31" t="s">
        <v>64</v>
      </c>
      <c r="J3093" s="31"/>
      <c r="K3093" s="31" t="s">
        <v>150</v>
      </c>
      <c r="L3093" s="45" t="n">
        <f aca="false">DATE(YEAR(B3093),MONTH(B3093),1)</f>
        <v>46235</v>
      </c>
      <c r="M3093" s="31" t="n">
        <f aca="false">WEEKDAY(B3093,2)</f>
        <v>4</v>
      </c>
      <c r="N3093" s="31" t="str">
        <f aca="false">IF(G3093&lt;=INDEX(Assumptions!$B$15:$B$18,MATCH(E3093,Assumptions!$A$15:$A$18,0)),"Yes","No")</f>
        <v>No</v>
      </c>
      <c r="O3093" s="31" t="str">
        <f aca="false">IF(H3093="","Open",IF(H3093&lt;=INDEX(Assumptions!$C$15:$C$18,MATCH(E3093,Assumptions!$A$15:$A$18,0)),"Yes","No"))</f>
        <v>Yes</v>
      </c>
    </row>
    <row r="3094" customFormat="false" ht="15" hidden="false" customHeight="false" outlineLevel="0" collapsed="false">
      <c r="A3094" s="31" t="s">
        <v>3244</v>
      </c>
      <c r="B3094" s="44" t="n">
        <v>46247</v>
      </c>
      <c r="C3094" s="31" t="s">
        <v>57</v>
      </c>
      <c r="D3094" s="31" t="s">
        <v>69</v>
      </c>
      <c r="E3094" s="31" t="s">
        <v>50</v>
      </c>
      <c r="F3094" s="31" t="s">
        <v>126</v>
      </c>
      <c r="G3094" s="31" t="n">
        <v>3</v>
      </c>
      <c r="H3094" s="41" t="n">
        <v>13.1</v>
      </c>
      <c r="I3094" s="31" t="s">
        <v>64</v>
      </c>
      <c r="J3094" s="31"/>
      <c r="K3094" s="31" t="s">
        <v>150</v>
      </c>
      <c r="L3094" s="45" t="n">
        <f aca="false">DATE(YEAR(B3094),MONTH(B3094),1)</f>
        <v>46235</v>
      </c>
      <c r="M3094" s="31" t="n">
        <f aca="false">WEEKDAY(B3094,2)</f>
        <v>4</v>
      </c>
      <c r="N3094" s="31" t="str">
        <f aca="false">IF(G3094&lt;=INDEX(Assumptions!$B$15:$B$18,MATCH(E3094,Assumptions!$A$15:$A$18,0)),"Yes","No")</f>
        <v>Yes</v>
      </c>
      <c r="O3094" s="31" t="str">
        <f aca="false">IF(H3094="","Open",IF(H3094&lt;=INDEX(Assumptions!$C$15:$C$18,MATCH(E3094,Assumptions!$A$15:$A$18,0)),"Yes","No"))</f>
        <v>No</v>
      </c>
    </row>
    <row r="3095" customFormat="false" ht="15" hidden="false" customHeight="false" outlineLevel="0" collapsed="false">
      <c r="A3095" s="31" t="s">
        <v>3245</v>
      </c>
      <c r="B3095" s="44" t="n">
        <v>46247</v>
      </c>
      <c r="C3095" s="31" t="s">
        <v>60</v>
      </c>
      <c r="D3095" s="31" t="s">
        <v>65</v>
      </c>
      <c r="E3095" s="31" t="s">
        <v>51</v>
      </c>
      <c r="F3095" s="31" t="s">
        <v>119</v>
      </c>
      <c r="G3095" s="31" t="n">
        <v>3</v>
      </c>
      <c r="H3095" s="41" t="n">
        <v>1.6</v>
      </c>
      <c r="I3095" s="31" t="s">
        <v>149</v>
      </c>
      <c r="J3095" s="31"/>
      <c r="K3095" s="31" t="s">
        <v>150</v>
      </c>
      <c r="L3095" s="45" t="n">
        <f aca="false">DATE(YEAR(B3095),MONTH(B3095),1)</f>
        <v>46235</v>
      </c>
      <c r="M3095" s="31" t="n">
        <f aca="false">WEEKDAY(B3095,2)</f>
        <v>4</v>
      </c>
      <c r="N3095" s="31" t="str">
        <f aca="false">IF(G3095&lt;=INDEX(Assumptions!$B$15:$B$18,MATCH(E3095,Assumptions!$A$15:$A$18,0)),"Yes","No")</f>
        <v>Yes</v>
      </c>
      <c r="O3095" s="31" t="str">
        <f aca="false">IF(H3095="","Open",IF(H3095&lt;=INDEX(Assumptions!$C$15:$C$18,MATCH(E3095,Assumptions!$A$15:$A$18,0)),"Yes","No"))</f>
        <v>Yes</v>
      </c>
    </row>
    <row r="3096" customFormat="false" ht="15" hidden="false" customHeight="false" outlineLevel="0" collapsed="false">
      <c r="A3096" s="31" t="s">
        <v>3246</v>
      </c>
      <c r="B3096" s="44" t="n">
        <v>46247</v>
      </c>
      <c r="C3096" s="31" t="s">
        <v>58</v>
      </c>
      <c r="D3096" s="31" t="s">
        <v>67</v>
      </c>
      <c r="E3096" s="31" t="s">
        <v>50</v>
      </c>
      <c r="F3096" s="31" t="s">
        <v>136</v>
      </c>
      <c r="G3096" s="31" t="n">
        <v>14</v>
      </c>
      <c r="H3096" s="41" t="n">
        <v>1.4</v>
      </c>
      <c r="I3096" s="31" t="s">
        <v>149</v>
      </c>
      <c r="J3096" s="31" t="n">
        <v>5</v>
      </c>
      <c r="K3096" s="31" t="s">
        <v>150</v>
      </c>
      <c r="L3096" s="45" t="n">
        <f aca="false">DATE(YEAR(B3096),MONTH(B3096),1)</f>
        <v>46235</v>
      </c>
      <c r="M3096" s="31" t="n">
        <f aca="false">WEEKDAY(B3096,2)</f>
        <v>4</v>
      </c>
      <c r="N3096" s="31" t="str">
        <f aca="false">IF(G3096&lt;=INDEX(Assumptions!$B$15:$B$18,MATCH(E3096,Assumptions!$A$15:$A$18,0)),"Yes","No")</f>
        <v>Yes</v>
      </c>
      <c r="O3096" s="31" t="str">
        <f aca="false">IF(H3096="","Open",IF(H3096&lt;=INDEX(Assumptions!$C$15:$C$18,MATCH(E3096,Assumptions!$A$15:$A$18,0)),"Yes","No"))</f>
        <v>Yes</v>
      </c>
    </row>
    <row r="3097" customFormat="false" ht="15" hidden="false" customHeight="false" outlineLevel="0" collapsed="false">
      <c r="A3097" s="31" t="s">
        <v>3247</v>
      </c>
      <c r="B3097" s="44" t="n">
        <v>46247</v>
      </c>
      <c r="C3097" s="31" t="s">
        <v>59</v>
      </c>
      <c r="D3097" s="31" t="s">
        <v>67</v>
      </c>
      <c r="E3097" s="31" t="s">
        <v>50</v>
      </c>
      <c r="F3097" s="31" t="s">
        <v>135</v>
      </c>
      <c r="G3097" s="31" t="n">
        <v>47</v>
      </c>
      <c r="H3097" s="41" t="n">
        <v>42.6</v>
      </c>
      <c r="I3097" s="31" t="s">
        <v>149</v>
      </c>
      <c r="J3097" s="31" t="n">
        <v>3</v>
      </c>
      <c r="K3097" s="31" t="s">
        <v>150</v>
      </c>
      <c r="L3097" s="45" t="n">
        <f aca="false">DATE(YEAR(B3097),MONTH(B3097),1)</f>
        <v>46235</v>
      </c>
      <c r="M3097" s="31" t="n">
        <f aca="false">WEEKDAY(B3097,2)</f>
        <v>4</v>
      </c>
      <c r="N3097" s="31" t="str">
        <f aca="false">IF(G3097&lt;=INDEX(Assumptions!$B$15:$B$18,MATCH(E3097,Assumptions!$A$15:$A$18,0)),"Yes","No")</f>
        <v>No</v>
      </c>
      <c r="O3097" s="31" t="str">
        <f aca="false">IF(H3097="","Open",IF(H3097&lt;=INDEX(Assumptions!$C$15:$C$18,MATCH(E3097,Assumptions!$A$15:$A$18,0)),"Yes","No"))</f>
        <v>No</v>
      </c>
    </row>
    <row r="3098" customFormat="false" ht="15" hidden="false" customHeight="false" outlineLevel="0" collapsed="false">
      <c r="A3098" s="31" t="s">
        <v>3248</v>
      </c>
      <c r="B3098" s="44" t="n">
        <v>46247</v>
      </c>
      <c r="C3098" s="31" t="s">
        <v>60</v>
      </c>
      <c r="D3098" s="31" t="s">
        <v>66</v>
      </c>
      <c r="E3098" s="31" t="s">
        <v>51</v>
      </c>
      <c r="F3098" s="31" t="s">
        <v>126</v>
      </c>
      <c r="G3098" s="31" t="n">
        <v>3</v>
      </c>
      <c r="H3098" s="41" t="n">
        <v>3.2</v>
      </c>
      <c r="I3098" s="31" t="s">
        <v>149</v>
      </c>
      <c r="J3098" s="31" t="n">
        <v>5</v>
      </c>
      <c r="K3098" s="31" t="s">
        <v>153</v>
      </c>
      <c r="L3098" s="45" t="n">
        <f aca="false">DATE(YEAR(B3098),MONTH(B3098),1)</f>
        <v>46235</v>
      </c>
      <c r="M3098" s="31" t="n">
        <f aca="false">WEEKDAY(B3098,2)</f>
        <v>4</v>
      </c>
      <c r="N3098" s="31" t="str">
        <f aca="false">IF(G3098&lt;=INDEX(Assumptions!$B$15:$B$18,MATCH(E3098,Assumptions!$A$15:$A$18,0)),"Yes","No")</f>
        <v>Yes</v>
      </c>
      <c r="O3098" s="31" t="str">
        <f aca="false">IF(H3098="","Open",IF(H3098&lt;=INDEX(Assumptions!$C$15:$C$18,MATCH(E3098,Assumptions!$A$15:$A$18,0)),"Yes","No"))</f>
        <v>Yes</v>
      </c>
    </row>
    <row r="3099" customFormat="false" ht="15" hidden="false" customHeight="false" outlineLevel="0" collapsed="false">
      <c r="A3099" s="31" t="s">
        <v>3249</v>
      </c>
      <c r="B3099" s="44" t="n">
        <v>46247</v>
      </c>
      <c r="C3099" s="31" t="s">
        <v>57</v>
      </c>
      <c r="D3099" s="31" t="s">
        <v>67</v>
      </c>
      <c r="E3099" s="31" t="s">
        <v>51</v>
      </c>
      <c r="F3099" s="31" t="s">
        <v>131</v>
      </c>
      <c r="G3099" s="31" t="n">
        <v>2</v>
      </c>
      <c r="H3099" s="41" t="n">
        <v>13.4</v>
      </c>
      <c r="I3099" s="31" t="s">
        <v>149</v>
      </c>
      <c r="J3099" s="31"/>
      <c r="K3099" s="31" t="s">
        <v>150</v>
      </c>
      <c r="L3099" s="45" t="n">
        <f aca="false">DATE(YEAR(B3099),MONTH(B3099),1)</f>
        <v>46235</v>
      </c>
      <c r="M3099" s="31" t="n">
        <f aca="false">WEEKDAY(B3099,2)</f>
        <v>4</v>
      </c>
      <c r="N3099" s="31" t="str">
        <f aca="false">IF(G3099&lt;=INDEX(Assumptions!$B$15:$B$18,MATCH(E3099,Assumptions!$A$15:$A$18,0)),"Yes","No")</f>
        <v>Yes</v>
      </c>
      <c r="O3099" s="31" t="str">
        <f aca="false">IF(H3099="","Open",IF(H3099&lt;=INDEX(Assumptions!$C$15:$C$18,MATCH(E3099,Assumptions!$A$15:$A$18,0)),"Yes","No"))</f>
        <v>Yes</v>
      </c>
    </row>
    <row r="3100" customFormat="false" ht="15" hidden="false" customHeight="false" outlineLevel="0" collapsed="false">
      <c r="A3100" s="31" t="s">
        <v>3250</v>
      </c>
      <c r="B3100" s="44" t="n">
        <v>46247</v>
      </c>
      <c r="C3100" s="31" t="s">
        <v>58</v>
      </c>
      <c r="D3100" s="31" t="s">
        <v>66</v>
      </c>
      <c r="E3100" s="31" t="s">
        <v>51</v>
      </c>
      <c r="F3100" s="31" t="s">
        <v>129</v>
      </c>
      <c r="G3100" s="31" t="n">
        <v>10</v>
      </c>
      <c r="H3100" s="41" t="n">
        <v>2</v>
      </c>
      <c r="I3100" s="31" t="s">
        <v>149</v>
      </c>
      <c r="J3100" s="31" t="n">
        <v>5</v>
      </c>
      <c r="K3100" s="31" t="s">
        <v>150</v>
      </c>
      <c r="L3100" s="45" t="n">
        <f aca="false">DATE(YEAR(B3100),MONTH(B3100),1)</f>
        <v>46235</v>
      </c>
      <c r="M3100" s="31" t="n">
        <f aca="false">WEEKDAY(B3100,2)</f>
        <v>4</v>
      </c>
      <c r="N3100" s="31" t="str">
        <f aca="false">IF(G3100&lt;=INDEX(Assumptions!$B$15:$B$18,MATCH(E3100,Assumptions!$A$15:$A$18,0)),"Yes","No")</f>
        <v>Yes</v>
      </c>
      <c r="O3100" s="31" t="str">
        <f aca="false">IF(H3100="","Open",IF(H3100&lt;=INDEX(Assumptions!$C$15:$C$18,MATCH(E3100,Assumptions!$A$15:$A$18,0)),"Yes","No"))</f>
        <v>Yes</v>
      </c>
    </row>
    <row r="3101" customFormat="false" ht="15" hidden="false" customHeight="false" outlineLevel="0" collapsed="false">
      <c r="A3101" s="31" t="s">
        <v>3251</v>
      </c>
      <c r="B3101" s="44" t="n">
        <v>46247</v>
      </c>
      <c r="C3101" s="31" t="s">
        <v>60</v>
      </c>
      <c r="D3101" s="31" t="s">
        <v>66</v>
      </c>
      <c r="E3101" s="31" t="s">
        <v>52</v>
      </c>
      <c r="F3101" s="31" t="s">
        <v>117</v>
      </c>
      <c r="G3101" s="31" t="n">
        <v>2</v>
      </c>
      <c r="H3101" s="41" t="n">
        <v>7.4</v>
      </c>
      <c r="I3101" s="31" t="s">
        <v>149</v>
      </c>
      <c r="J3101" s="31"/>
      <c r="K3101" s="31" t="s">
        <v>153</v>
      </c>
      <c r="L3101" s="45" t="n">
        <f aca="false">DATE(YEAR(B3101),MONTH(B3101),1)</f>
        <v>46235</v>
      </c>
      <c r="M3101" s="31" t="n">
        <f aca="false">WEEKDAY(B3101,2)</f>
        <v>4</v>
      </c>
      <c r="N3101" s="31" t="str">
        <f aca="false">IF(G3101&lt;=INDEX(Assumptions!$B$15:$B$18,MATCH(E3101,Assumptions!$A$15:$A$18,0)),"Yes","No")</f>
        <v>Yes</v>
      </c>
      <c r="O3101" s="31" t="str">
        <f aca="false">IF(H3101="","Open",IF(H3101&lt;=INDEX(Assumptions!$C$15:$C$18,MATCH(E3101,Assumptions!$A$15:$A$18,0)),"Yes","No"))</f>
        <v>Yes</v>
      </c>
    </row>
    <row r="3102" customFormat="false" ht="15" hidden="false" customHeight="false" outlineLevel="0" collapsed="false">
      <c r="A3102" s="31" t="s">
        <v>3252</v>
      </c>
      <c r="B3102" s="44" t="n">
        <v>46247</v>
      </c>
      <c r="C3102" s="31" t="s">
        <v>57</v>
      </c>
      <c r="D3102" s="31" t="s">
        <v>69</v>
      </c>
      <c r="E3102" s="31" t="s">
        <v>52</v>
      </c>
      <c r="F3102" s="31" t="s">
        <v>137</v>
      </c>
      <c r="G3102" s="31" t="n">
        <v>11</v>
      </c>
      <c r="H3102" s="41"/>
      <c r="I3102" s="31" t="s">
        <v>158</v>
      </c>
      <c r="J3102" s="31"/>
      <c r="K3102" s="31" t="s">
        <v>150</v>
      </c>
      <c r="L3102" s="45" t="n">
        <f aca="false">DATE(YEAR(B3102),MONTH(B3102),1)</f>
        <v>46235</v>
      </c>
      <c r="M3102" s="31" t="n">
        <f aca="false">WEEKDAY(B3102,2)</f>
        <v>4</v>
      </c>
      <c r="N3102" s="31" t="str">
        <f aca="false">IF(G3102&lt;=INDEX(Assumptions!$B$15:$B$18,MATCH(E3102,Assumptions!$A$15:$A$18,0)),"Yes","No")</f>
        <v>Yes</v>
      </c>
      <c r="O3102" s="31" t="str">
        <f aca="false">IF(H3102="","Open",IF(H3102&lt;=INDEX(Assumptions!$C$15:$C$18,MATCH(E3102,Assumptions!$A$15:$A$18,0)),"Yes","No"))</f>
        <v>Open</v>
      </c>
    </row>
    <row r="3103" customFormat="false" ht="15" hidden="false" customHeight="false" outlineLevel="0" collapsed="false">
      <c r="A3103" s="31" t="s">
        <v>3253</v>
      </c>
      <c r="B3103" s="44" t="n">
        <v>46247</v>
      </c>
      <c r="C3103" s="31" t="s">
        <v>58</v>
      </c>
      <c r="D3103" s="31" t="s">
        <v>66</v>
      </c>
      <c r="E3103" s="31" t="s">
        <v>51</v>
      </c>
      <c r="F3103" s="31" t="s">
        <v>131</v>
      </c>
      <c r="G3103" s="31" t="n">
        <v>6</v>
      </c>
      <c r="H3103" s="41" t="n">
        <v>4.3</v>
      </c>
      <c r="I3103" s="31" t="s">
        <v>64</v>
      </c>
      <c r="J3103" s="31" t="n">
        <v>5</v>
      </c>
      <c r="K3103" s="31" t="s">
        <v>153</v>
      </c>
      <c r="L3103" s="45" t="n">
        <f aca="false">DATE(YEAR(B3103),MONTH(B3103),1)</f>
        <v>46235</v>
      </c>
      <c r="M3103" s="31" t="n">
        <f aca="false">WEEKDAY(B3103,2)</f>
        <v>4</v>
      </c>
      <c r="N3103" s="31" t="str">
        <f aca="false">IF(G3103&lt;=INDEX(Assumptions!$B$15:$B$18,MATCH(E3103,Assumptions!$A$15:$A$18,0)),"Yes","No")</f>
        <v>Yes</v>
      </c>
      <c r="O3103" s="31" t="str">
        <f aca="false">IF(H3103="","Open",IF(H3103&lt;=INDEX(Assumptions!$C$15:$C$18,MATCH(E3103,Assumptions!$A$15:$A$18,0)),"Yes","No"))</f>
        <v>Yes</v>
      </c>
    </row>
    <row r="3104" customFormat="false" ht="15" hidden="false" customHeight="false" outlineLevel="0" collapsed="false">
      <c r="A3104" s="31" t="s">
        <v>3254</v>
      </c>
      <c r="B3104" s="44" t="n">
        <v>46247</v>
      </c>
      <c r="C3104" s="31" t="s">
        <v>59</v>
      </c>
      <c r="D3104" s="31" t="s">
        <v>66</v>
      </c>
      <c r="E3104" s="31" t="s">
        <v>50</v>
      </c>
      <c r="F3104" s="31" t="s">
        <v>135</v>
      </c>
      <c r="G3104" s="31" t="n">
        <v>57</v>
      </c>
      <c r="H3104" s="41" t="n">
        <v>18.1</v>
      </c>
      <c r="I3104" s="31" t="s">
        <v>64</v>
      </c>
      <c r="J3104" s="31" t="n">
        <v>4</v>
      </c>
      <c r="K3104" s="31" t="s">
        <v>150</v>
      </c>
      <c r="L3104" s="45" t="n">
        <f aca="false">DATE(YEAR(B3104),MONTH(B3104),1)</f>
        <v>46235</v>
      </c>
      <c r="M3104" s="31" t="n">
        <f aca="false">WEEKDAY(B3104,2)</f>
        <v>4</v>
      </c>
      <c r="N3104" s="31" t="str">
        <f aca="false">IF(G3104&lt;=INDEX(Assumptions!$B$15:$B$18,MATCH(E3104,Assumptions!$A$15:$A$18,0)),"Yes","No")</f>
        <v>No</v>
      </c>
      <c r="O3104" s="31" t="str">
        <f aca="false">IF(H3104="","Open",IF(H3104&lt;=INDEX(Assumptions!$C$15:$C$18,MATCH(E3104,Assumptions!$A$15:$A$18,0)),"Yes","No"))</f>
        <v>No</v>
      </c>
    </row>
    <row r="3105" customFormat="false" ht="15" hidden="false" customHeight="false" outlineLevel="0" collapsed="false">
      <c r="A3105" s="31" t="s">
        <v>3255</v>
      </c>
      <c r="B3105" s="44" t="n">
        <v>46247</v>
      </c>
      <c r="C3105" s="31" t="s">
        <v>57</v>
      </c>
      <c r="D3105" s="31" t="s">
        <v>67</v>
      </c>
      <c r="E3105" s="31" t="s">
        <v>52</v>
      </c>
      <c r="F3105" s="31" t="s">
        <v>134</v>
      </c>
      <c r="G3105" s="31" t="n">
        <v>6</v>
      </c>
      <c r="H3105" s="41" t="n">
        <v>28.3</v>
      </c>
      <c r="I3105" s="31" t="s">
        <v>149</v>
      </c>
      <c r="J3105" s="31"/>
      <c r="K3105" s="31" t="s">
        <v>150</v>
      </c>
      <c r="L3105" s="45" t="n">
        <f aca="false">DATE(YEAR(B3105),MONTH(B3105),1)</f>
        <v>46235</v>
      </c>
      <c r="M3105" s="31" t="n">
        <f aca="false">WEEKDAY(B3105,2)</f>
        <v>4</v>
      </c>
      <c r="N3105" s="31" t="str">
        <f aca="false">IF(G3105&lt;=INDEX(Assumptions!$B$15:$B$18,MATCH(E3105,Assumptions!$A$15:$A$18,0)),"Yes","No")</f>
        <v>Yes</v>
      </c>
      <c r="O3105" s="31" t="str">
        <f aca="false">IF(H3105="","Open",IF(H3105&lt;=INDEX(Assumptions!$C$15:$C$18,MATCH(E3105,Assumptions!$A$15:$A$18,0)),"Yes","No"))</f>
        <v>Yes</v>
      </c>
    </row>
    <row r="3106" customFormat="false" ht="15" hidden="false" customHeight="false" outlineLevel="0" collapsed="false">
      <c r="A3106" s="31" t="s">
        <v>3256</v>
      </c>
      <c r="B3106" s="44" t="n">
        <v>46247</v>
      </c>
      <c r="C3106" s="31" t="s">
        <v>57</v>
      </c>
      <c r="D3106" s="31" t="s">
        <v>66</v>
      </c>
      <c r="E3106" s="31" t="s">
        <v>51</v>
      </c>
      <c r="F3106" s="31" t="s">
        <v>117</v>
      </c>
      <c r="G3106" s="31" t="n">
        <v>1</v>
      </c>
      <c r="H3106" s="41" t="n">
        <v>15</v>
      </c>
      <c r="I3106" s="31" t="s">
        <v>64</v>
      </c>
      <c r="J3106" s="31"/>
      <c r="K3106" s="31" t="s">
        <v>150</v>
      </c>
      <c r="L3106" s="45" t="n">
        <f aca="false">DATE(YEAR(B3106),MONTH(B3106),1)</f>
        <v>46235</v>
      </c>
      <c r="M3106" s="31" t="n">
        <f aca="false">WEEKDAY(B3106,2)</f>
        <v>4</v>
      </c>
      <c r="N3106" s="31" t="str">
        <f aca="false">IF(G3106&lt;=INDEX(Assumptions!$B$15:$B$18,MATCH(E3106,Assumptions!$A$15:$A$18,0)),"Yes","No")</f>
        <v>Yes</v>
      </c>
      <c r="O3106" s="31" t="str">
        <f aca="false">IF(H3106="","Open",IF(H3106&lt;=INDEX(Assumptions!$C$15:$C$18,MATCH(E3106,Assumptions!$A$15:$A$18,0)),"Yes","No"))</f>
        <v>Yes</v>
      </c>
    </row>
    <row r="3107" customFormat="false" ht="15" hidden="false" customHeight="false" outlineLevel="0" collapsed="false">
      <c r="A3107" s="31" t="s">
        <v>3257</v>
      </c>
      <c r="B3107" s="44" t="n">
        <v>46247</v>
      </c>
      <c r="C3107" s="31" t="s">
        <v>60</v>
      </c>
      <c r="D3107" s="31" t="s">
        <v>66</v>
      </c>
      <c r="E3107" s="31" t="s">
        <v>52</v>
      </c>
      <c r="F3107" s="31" t="s">
        <v>129</v>
      </c>
      <c r="G3107" s="31" t="n">
        <v>3</v>
      </c>
      <c r="H3107" s="41" t="n">
        <v>19.6</v>
      </c>
      <c r="I3107" s="31" t="s">
        <v>149</v>
      </c>
      <c r="J3107" s="31" t="n">
        <v>5</v>
      </c>
      <c r="K3107" s="31" t="s">
        <v>150</v>
      </c>
      <c r="L3107" s="45" t="n">
        <f aca="false">DATE(YEAR(B3107),MONTH(B3107),1)</f>
        <v>46235</v>
      </c>
      <c r="M3107" s="31" t="n">
        <f aca="false">WEEKDAY(B3107,2)</f>
        <v>4</v>
      </c>
      <c r="N3107" s="31" t="str">
        <f aca="false">IF(G3107&lt;=INDEX(Assumptions!$B$15:$B$18,MATCH(E3107,Assumptions!$A$15:$A$18,0)),"Yes","No")</f>
        <v>Yes</v>
      </c>
      <c r="O3107" s="31" t="str">
        <f aca="false">IF(H3107="","Open",IF(H3107&lt;=INDEX(Assumptions!$C$15:$C$18,MATCH(E3107,Assumptions!$A$15:$A$18,0)),"Yes","No"))</f>
        <v>Yes</v>
      </c>
    </row>
    <row r="3108" customFormat="false" ht="15" hidden="false" customHeight="false" outlineLevel="0" collapsed="false">
      <c r="A3108" s="31" t="s">
        <v>3258</v>
      </c>
      <c r="B3108" s="44" t="n">
        <v>46247</v>
      </c>
      <c r="C3108" s="31" t="s">
        <v>58</v>
      </c>
      <c r="D3108" s="31" t="s">
        <v>67</v>
      </c>
      <c r="E3108" s="31" t="s">
        <v>51</v>
      </c>
      <c r="F3108" s="31" t="s">
        <v>133</v>
      </c>
      <c r="G3108" s="31" t="n">
        <v>3</v>
      </c>
      <c r="H3108" s="41" t="n">
        <v>10</v>
      </c>
      <c r="I3108" s="31" t="s">
        <v>149</v>
      </c>
      <c r="J3108" s="31"/>
      <c r="K3108" s="31" t="s">
        <v>150</v>
      </c>
      <c r="L3108" s="45" t="n">
        <f aca="false">DATE(YEAR(B3108),MONTH(B3108),1)</f>
        <v>46235</v>
      </c>
      <c r="M3108" s="31" t="n">
        <f aca="false">WEEKDAY(B3108,2)</f>
        <v>4</v>
      </c>
      <c r="N3108" s="31" t="str">
        <f aca="false">IF(G3108&lt;=INDEX(Assumptions!$B$15:$B$18,MATCH(E3108,Assumptions!$A$15:$A$18,0)),"Yes","No")</f>
        <v>Yes</v>
      </c>
      <c r="O3108" s="31" t="str">
        <f aca="false">IF(H3108="","Open",IF(H3108&lt;=INDEX(Assumptions!$C$15:$C$18,MATCH(E3108,Assumptions!$A$15:$A$18,0)),"Yes","No"))</f>
        <v>Yes</v>
      </c>
    </row>
    <row r="3109" customFormat="false" ht="15" hidden="false" customHeight="false" outlineLevel="0" collapsed="false">
      <c r="A3109" s="31" t="s">
        <v>3259</v>
      </c>
      <c r="B3109" s="44" t="n">
        <v>46247</v>
      </c>
      <c r="C3109" s="31" t="s">
        <v>57</v>
      </c>
      <c r="D3109" s="31" t="s">
        <v>67</v>
      </c>
      <c r="E3109" s="31" t="s">
        <v>52</v>
      </c>
      <c r="F3109" s="31" t="s">
        <v>120</v>
      </c>
      <c r="G3109" s="31" t="n">
        <v>5</v>
      </c>
      <c r="H3109" s="41" t="n">
        <v>51.4</v>
      </c>
      <c r="I3109" s="31" t="s">
        <v>149</v>
      </c>
      <c r="J3109" s="31"/>
      <c r="K3109" s="31" t="s">
        <v>153</v>
      </c>
      <c r="L3109" s="45" t="n">
        <f aca="false">DATE(YEAR(B3109),MONTH(B3109),1)</f>
        <v>46235</v>
      </c>
      <c r="M3109" s="31" t="n">
        <f aca="false">WEEKDAY(B3109,2)</f>
        <v>4</v>
      </c>
      <c r="N3109" s="31" t="str">
        <f aca="false">IF(G3109&lt;=INDEX(Assumptions!$B$15:$B$18,MATCH(E3109,Assumptions!$A$15:$A$18,0)),"Yes","No")</f>
        <v>Yes</v>
      </c>
      <c r="O3109" s="31" t="str">
        <f aca="false">IF(H3109="","Open",IF(H3109&lt;=INDEX(Assumptions!$C$15:$C$18,MATCH(E3109,Assumptions!$A$15:$A$18,0)),"Yes","No"))</f>
        <v>Yes</v>
      </c>
    </row>
    <row r="3110" customFormat="false" ht="15" hidden="false" customHeight="false" outlineLevel="0" collapsed="false">
      <c r="A3110" s="31" t="s">
        <v>3260</v>
      </c>
      <c r="B3110" s="44" t="n">
        <v>46247</v>
      </c>
      <c r="C3110" s="31" t="s">
        <v>57</v>
      </c>
      <c r="D3110" s="31" t="s">
        <v>69</v>
      </c>
      <c r="E3110" s="31" t="s">
        <v>50</v>
      </c>
      <c r="F3110" s="31" t="s">
        <v>134</v>
      </c>
      <c r="G3110" s="31" t="n">
        <v>7</v>
      </c>
      <c r="H3110" s="41" t="n">
        <v>6</v>
      </c>
      <c r="I3110" s="31" t="s">
        <v>149</v>
      </c>
      <c r="J3110" s="31" t="n">
        <v>3</v>
      </c>
      <c r="K3110" s="31" t="s">
        <v>150</v>
      </c>
      <c r="L3110" s="45" t="n">
        <f aca="false">DATE(YEAR(B3110),MONTH(B3110),1)</f>
        <v>46235</v>
      </c>
      <c r="M3110" s="31" t="n">
        <f aca="false">WEEKDAY(B3110,2)</f>
        <v>4</v>
      </c>
      <c r="N3110" s="31" t="str">
        <f aca="false">IF(G3110&lt;=INDEX(Assumptions!$B$15:$B$18,MATCH(E3110,Assumptions!$A$15:$A$18,0)),"Yes","No")</f>
        <v>Yes</v>
      </c>
      <c r="O3110" s="31" t="str">
        <f aca="false">IF(H3110="","Open",IF(H3110&lt;=INDEX(Assumptions!$C$15:$C$18,MATCH(E3110,Assumptions!$A$15:$A$18,0)),"Yes","No"))</f>
        <v>Yes</v>
      </c>
    </row>
    <row r="3111" customFormat="false" ht="15" hidden="false" customHeight="false" outlineLevel="0" collapsed="false">
      <c r="A3111" s="31" t="s">
        <v>3261</v>
      </c>
      <c r="B3111" s="44" t="n">
        <v>46247</v>
      </c>
      <c r="C3111" s="31" t="s">
        <v>58</v>
      </c>
      <c r="D3111" s="31" t="s">
        <v>65</v>
      </c>
      <c r="E3111" s="31" t="s">
        <v>52</v>
      </c>
      <c r="F3111" s="31" t="s">
        <v>130</v>
      </c>
      <c r="G3111" s="31" t="n">
        <v>16</v>
      </c>
      <c r="H3111" s="41" t="n">
        <v>7.5</v>
      </c>
      <c r="I3111" s="31" t="s">
        <v>149</v>
      </c>
      <c r="J3111" s="31"/>
      <c r="K3111" s="31" t="s">
        <v>150</v>
      </c>
      <c r="L3111" s="45" t="n">
        <f aca="false">DATE(YEAR(B3111),MONTH(B3111),1)</f>
        <v>46235</v>
      </c>
      <c r="M3111" s="31" t="n">
        <f aca="false">WEEKDAY(B3111,2)</f>
        <v>4</v>
      </c>
      <c r="N3111" s="31" t="str">
        <f aca="false">IF(G3111&lt;=INDEX(Assumptions!$B$15:$B$18,MATCH(E3111,Assumptions!$A$15:$A$18,0)),"Yes","No")</f>
        <v>Yes</v>
      </c>
      <c r="O3111" s="31" t="str">
        <f aca="false">IF(H3111="","Open",IF(H3111&lt;=INDEX(Assumptions!$C$15:$C$18,MATCH(E3111,Assumptions!$A$15:$A$18,0)),"Yes","No"))</f>
        <v>Yes</v>
      </c>
    </row>
    <row r="3112" customFormat="false" ht="15" hidden="false" customHeight="false" outlineLevel="0" collapsed="false">
      <c r="A3112" s="31" t="s">
        <v>3262</v>
      </c>
      <c r="B3112" s="44" t="n">
        <v>46247</v>
      </c>
      <c r="C3112" s="31" t="s">
        <v>59</v>
      </c>
      <c r="D3112" s="31" t="s">
        <v>66</v>
      </c>
      <c r="E3112" s="31" t="s">
        <v>51</v>
      </c>
      <c r="F3112" s="31" t="s">
        <v>137</v>
      </c>
      <c r="G3112" s="31" t="n">
        <v>33</v>
      </c>
      <c r="H3112" s="41" t="n">
        <v>13.8</v>
      </c>
      <c r="I3112" s="31" t="s">
        <v>149</v>
      </c>
      <c r="J3112" s="31"/>
      <c r="K3112" s="31" t="s">
        <v>150</v>
      </c>
      <c r="L3112" s="45" t="n">
        <f aca="false">DATE(YEAR(B3112),MONTH(B3112),1)</f>
        <v>46235</v>
      </c>
      <c r="M3112" s="31" t="n">
        <f aca="false">WEEKDAY(B3112,2)</f>
        <v>4</v>
      </c>
      <c r="N3112" s="31" t="str">
        <f aca="false">IF(G3112&lt;=INDEX(Assumptions!$B$15:$B$18,MATCH(E3112,Assumptions!$A$15:$A$18,0)),"Yes","No")</f>
        <v>Yes</v>
      </c>
      <c r="O3112" s="31" t="str">
        <f aca="false">IF(H3112="","Open",IF(H3112&lt;=INDEX(Assumptions!$C$15:$C$18,MATCH(E3112,Assumptions!$A$15:$A$18,0)),"Yes","No"))</f>
        <v>Yes</v>
      </c>
    </row>
    <row r="3113" customFormat="false" ht="15" hidden="false" customHeight="false" outlineLevel="0" collapsed="false">
      <c r="A3113" s="31" t="s">
        <v>3263</v>
      </c>
      <c r="B3113" s="44" t="n">
        <v>46247</v>
      </c>
      <c r="C3113" s="31" t="s">
        <v>57</v>
      </c>
      <c r="D3113" s="31" t="s">
        <v>68</v>
      </c>
      <c r="E3113" s="31" t="s">
        <v>51</v>
      </c>
      <c r="F3113" s="31" t="s">
        <v>133</v>
      </c>
      <c r="G3113" s="31" t="n">
        <v>5</v>
      </c>
      <c r="H3113" s="41" t="n">
        <v>2.4</v>
      </c>
      <c r="I3113" s="31" t="s">
        <v>149</v>
      </c>
      <c r="J3113" s="31"/>
      <c r="K3113" s="31" t="s">
        <v>150</v>
      </c>
      <c r="L3113" s="45" t="n">
        <f aca="false">DATE(YEAR(B3113),MONTH(B3113),1)</f>
        <v>46235</v>
      </c>
      <c r="M3113" s="31" t="n">
        <f aca="false">WEEKDAY(B3113,2)</f>
        <v>4</v>
      </c>
      <c r="N3113" s="31" t="str">
        <f aca="false">IF(G3113&lt;=INDEX(Assumptions!$B$15:$B$18,MATCH(E3113,Assumptions!$A$15:$A$18,0)),"Yes","No")</f>
        <v>Yes</v>
      </c>
      <c r="O3113" s="31" t="str">
        <f aca="false">IF(H3113="","Open",IF(H3113&lt;=INDEX(Assumptions!$C$15:$C$18,MATCH(E3113,Assumptions!$A$15:$A$18,0)),"Yes","No"))</f>
        <v>Yes</v>
      </c>
    </row>
    <row r="3114" customFormat="false" ht="15" hidden="false" customHeight="false" outlineLevel="0" collapsed="false">
      <c r="A3114" s="31" t="s">
        <v>3264</v>
      </c>
      <c r="B3114" s="44" t="n">
        <v>46247</v>
      </c>
      <c r="C3114" s="31" t="s">
        <v>58</v>
      </c>
      <c r="D3114" s="31" t="s">
        <v>65</v>
      </c>
      <c r="E3114" s="31" t="s">
        <v>51</v>
      </c>
      <c r="F3114" s="31" t="s">
        <v>126</v>
      </c>
      <c r="G3114" s="31" t="n">
        <v>6</v>
      </c>
      <c r="H3114" s="41" t="n">
        <v>5.8</v>
      </c>
      <c r="I3114" s="31" t="s">
        <v>149</v>
      </c>
      <c r="J3114" s="31"/>
      <c r="K3114" s="31" t="s">
        <v>150</v>
      </c>
      <c r="L3114" s="45" t="n">
        <f aca="false">DATE(YEAR(B3114),MONTH(B3114),1)</f>
        <v>46235</v>
      </c>
      <c r="M3114" s="31" t="n">
        <f aca="false">WEEKDAY(B3114,2)</f>
        <v>4</v>
      </c>
      <c r="N3114" s="31" t="str">
        <f aca="false">IF(G3114&lt;=INDEX(Assumptions!$B$15:$B$18,MATCH(E3114,Assumptions!$A$15:$A$18,0)),"Yes","No")</f>
        <v>Yes</v>
      </c>
      <c r="O3114" s="31" t="str">
        <f aca="false">IF(H3114="","Open",IF(H3114&lt;=INDEX(Assumptions!$C$15:$C$18,MATCH(E3114,Assumptions!$A$15:$A$18,0)),"Yes","No"))</f>
        <v>Yes</v>
      </c>
    </row>
    <row r="3115" customFormat="false" ht="15" hidden="false" customHeight="false" outlineLevel="0" collapsed="false">
      <c r="A3115" s="31" t="s">
        <v>3265</v>
      </c>
      <c r="B3115" s="44" t="n">
        <v>46247</v>
      </c>
      <c r="C3115" s="31" t="s">
        <v>59</v>
      </c>
      <c r="D3115" s="31" t="s">
        <v>66</v>
      </c>
      <c r="E3115" s="31" t="s">
        <v>49</v>
      </c>
      <c r="F3115" s="31" t="s">
        <v>129</v>
      </c>
      <c r="G3115" s="31" t="n">
        <v>25</v>
      </c>
      <c r="H3115" s="41" t="n">
        <v>2.6</v>
      </c>
      <c r="I3115" s="31" t="s">
        <v>149</v>
      </c>
      <c r="J3115" s="31" t="n">
        <v>5</v>
      </c>
      <c r="K3115" s="31" t="s">
        <v>150</v>
      </c>
      <c r="L3115" s="45" t="n">
        <f aca="false">DATE(YEAR(B3115),MONTH(B3115),1)</f>
        <v>46235</v>
      </c>
      <c r="M3115" s="31" t="n">
        <f aca="false">WEEKDAY(B3115,2)</f>
        <v>4</v>
      </c>
      <c r="N3115" s="31" t="str">
        <f aca="false">IF(G3115&lt;=INDEX(Assumptions!$B$15:$B$18,MATCH(E3115,Assumptions!$A$15:$A$18,0)),"Yes","No")</f>
        <v>No</v>
      </c>
      <c r="O3115" s="31" t="str">
        <f aca="false">IF(H3115="","Open",IF(H3115&lt;=INDEX(Assumptions!$C$15:$C$18,MATCH(E3115,Assumptions!$A$15:$A$18,0)),"Yes","No"))</f>
        <v>Yes</v>
      </c>
    </row>
    <row r="3116" customFormat="false" ht="15" hidden="false" customHeight="false" outlineLevel="0" collapsed="false">
      <c r="A3116" s="31" t="s">
        <v>3266</v>
      </c>
      <c r="B3116" s="44" t="n">
        <v>46247</v>
      </c>
      <c r="C3116" s="31" t="s">
        <v>59</v>
      </c>
      <c r="D3116" s="31" t="s">
        <v>66</v>
      </c>
      <c r="E3116" s="31" t="s">
        <v>52</v>
      </c>
      <c r="F3116" s="31" t="s">
        <v>135</v>
      </c>
      <c r="G3116" s="31" t="n">
        <v>40</v>
      </c>
      <c r="H3116" s="41" t="n">
        <v>3.1</v>
      </c>
      <c r="I3116" s="31" t="s">
        <v>149</v>
      </c>
      <c r="J3116" s="31" t="n">
        <v>4</v>
      </c>
      <c r="K3116" s="31" t="s">
        <v>150</v>
      </c>
      <c r="L3116" s="45" t="n">
        <f aca="false">DATE(YEAR(B3116),MONTH(B3116),1)</f>
        <v>46235</v>
      </c>
      <c r="M3116" s="31" t="n">
        <f aca="false">WEEKDAY(B3116,2)</f>
        <v>4</v>
      </c>
      <c r="N3116" s="31" t="str">
        <f aca="false">IF(G3116&lt;=INDEX(Assumptions!$B$15:$B$18,MATCH(E3116,Assumptions!$A$15:$A$18,0)),"Yes","No")</f>
        <v>Yes</v>
      </c>
      <c r="O3116" s="31" t="str">
        <f aca="false">IF(H3116="","Open",IF(H3116&lt;=INDEX(Assumptions!$C$15:$C$18,MATCH(E3116,Assumptions!$A$15:$A$18,0)),"Yes","No"))</f>
        <v>Yes</v>
      </c>
    </row>
    <row r="3117" customFormat="false" ht="15" hidden="false" customHeight="false" outlineLevel="0" collapsed="false">
      <c r="A3117" s="31" t="s">
        <v>3267</v>
      </c>
      <c r="B3117" s="44" t="n">
        <v>46247</v>
      </c>
      <c r="C3117" s="31" t="s">
        <v>60</v>
      </c>
      <c r="D3117" s="31" t="s">
        <v>65</v>
      </c>
      <c r="E3117" s="31" t="s">
        <v>51</v>
      </c>
      <c r="F3117" s="31" t="s">
        <v>126</v>
      </c>
      <c r="G3117" s="31" t="n">
        <v>1</v>
      </c>
      <c r="H3117" s="41" t="n">
        <v>28.1</v>
      </c>
      <c r="I3117" s="31" t="s">
        <v>149</v>
      </c>
      <c r="J3117" s="31" t="n">
        <v>4</v>
      </c>
      <c r="K3117" s="31" t="s">
        <v>150</v>
      </c>
      <c r="L3117" s="45" t="n">
        <f aca="false">DATE(YEAR(B3117),MONTH(B3117),1)</f>
        <v>46235</v>
      </c>
      <c r="M3117" s="31" t="n">
        <f aca="false">WEEKDAY(B3117,2)</f>
        <v>4</v>
      </c>
      <c r="N3117" s="31" t="str">
        <f aca="false">IF(G3117&lt;=INDEX(Assumptions!$B$15:$B$18,MATCH(E3117,Assumptions!$A$15:$A$18,0)),"Yes","No")</f>
        <v>Yes</v>
      </c>
      <c r="O3117" s="31" t="str">
        <f aca="false">IF(H3117="","Open",IF(H3117&lt;=INDEX(Assumptions!$C$15:$C$18,MATCH(E3117,Assumptions!$A$15:$A$18,0)),"Yes","No"))</f>
        <v>No</v>
      </c>
    </row>
    <row r="3118" customFormat="false" ht="15" hidden="false" customHeight="false" outlineLevel="0" collapsed="false">
      <c r="A3118" s="31" t="s">
        <v>3268</v>
      </c>
      <c r="B3118" s="44" t="n">
        <v>46247</v>
      </c>
      <c r="C3118" s="31" t="s">
        <v>60</v>
      </c>
      <c r="D3118" s="31" t="s">
        <v>65</v>
      </c>
      <c r="E3118" s="31" t="s">
        <v>49</v>
      </c>
      <c r="F3118" s="31" t="s">
        <v>127</v>
      </c>
      <c r="G3118" s="31" t="n">
        <v>1</v>
      </c>
      <c r="H3118" s="41" t="n">
        <v>11.8</v>
      </c>
      <c r="I3118" s="31" t="s">
        <v>149</v>
      </c>
      <c r="J3118" s="31" t="n">
        <v>5</v>
      </c>
      <c r="K3118" s="31" t="s">
        <v>150</v>
      </c>
      <c r="L3118" s="45" t="n">
        <f aca="false">DATE(YEAR(B3118),MONTH(B3118),1)</f>
        <v>46235</v>
      </c>
      <c r="M3118" s="31" t="n">
        <f aca="false">WEEKDAY(B3118,2)</f>
        <v>4</v>
      </c>
      <c r="N3118" s="31" t="str">
        <f aca="false">IF(G3118&lt;=INDEX(Assumptions!$B$15:$B$18,MATCH(E3118,Assumptions!$A$15:$A$18,0)),"Yes","No")</f>
        <v>Yes</v>
      </c>
      <c r="O3118" s="31" t="str">
        <f aca="false">IF(H3118="","Open",IF(H3118&lt;=INDEX(Assumptions!$C$15:$C$18,MATCH(E3118,Assumptions!$A$15:$A$18,0)),"Yes","No"))</f>
        <v>No</v>
      </c>
    </row>
    <row r="3119" customFormat="false" ht="15" hidden="false" customHeight="false" outlineLevel="0" collapsed="false">
      <c r="A3119" s="31" t="s">
        <v>3269</v>
      </c>
      <c r="B3119" s="44" t="n">
        <v>46247</v>
      </c>
      <c r="C3119" s="31" t="s">
        <v>60</v>
      </c>
      <c r="D3119" s="31" t="s">
        <v>67</v>
      </c>
      <c r="E3119" s="31" t="s">
        <v>51</v>
      </c>
      <c r="F3119" s="31" t="s">
        <v>137</v>
      </c>
      <c r="G3119" s="31" t="n">
        <v>1</v>
      </c>
      <c r="H3119" s="41" t="n">
        <v>2.6</v>
      </c>
      <c r="I3119" s="31" t="s">
        <v>149</v>
      </c>
      <c r="J3119" s="31"/>
      <c r="K3119" s="31" t="s">
        <v>150</v>
      </c>
      <c r="L3119" s="45" t="n">
        <f aca="false">DATE(YEAR(B3119),MONTH(B3119),1)</f>
        <v>46235</v>
      </c>
      <c r="M3119" s="31" t="n">
        <f aca="false">WEEKDAY(B3119,2)</f>
        <v>4</v>
      </c>
      <c r="N3119" s="31" t="str">
        <f aca="false">IF(G3119&lt;=INDEX(Assumptions!$B$15:$B$18,MATCH(E3119,Assumptions!$A$15:$A$18,0)),"Yes","No")</f>
        <v>Yes</v>
      </c>
      <c r="O3119" s="31" t="str">
        <f aca="false">IF(H3119="","Open",IF(H3119&lt;=INDEX(Assumptions!$C$15:$C$18,MATCH(E3119,Assumptions!$A$15:$A$18,0)),"Yes","No"))</f>
        <v>Yes</v>
      </c>
    </row>
    <row r="3120" customFormat="false" ht="15" hidden="false" customHeight="false" outlineLevel="0" collapsed="false">
      <c r="A3120" s="31" t="s">
        <v>3270</v>
      </c>
      <c r="B3120" s="44" t="n">
        <v>46247</v>
      </c>
      <c r="C3120" s="31" t="s">
        <v>59</v>
      </c>
      <c r="D3120" s="31" t="s">
        <v>69</v>
      </c>
      <c r="E3120" s="31" t="s">
        <v>52</v>
      </c>
      <c r="F3120" s="31" t="s">
        <v>133</v>
      </c>
      <c r="G3120" s="31" t="n">
        <v>107</v>
      </c>
      <c r="H3120" s="41" t="n">
        <v>79.4</v>
      </c>
      <c r="I3120" s="31" t="s">
        <v>149</v>
      </c>
      <c r="J3120" s="31"/>
      <c r="K3120" s="31" t="s">
        <v>150</v>
      </c>
      <c r="L3120" s="45" t="n">
        <f aca="false">DATE(YEAR(B3120),MONTH(B3120),1)</f>
        <v>46235</v>
      </c>
      <c r="M3120" s="31" t="n">
        <f aca="false">WEEKDAY(B3120,2)</f>
        <v>4</v>
      </c>
      <c r="N3120" s="31" t="str">
        <f aca="false">IF(G3120&lt;=INDEX(Assumptions!$B$15:$B$18,MATCH(E3120,Assumptions!$A$15:$A$18,0)),"Yes","No")</f>
        <v>Yes</v>
      </c>
      <c r="O3120" s="31" t="str">
        <f aca="false">IF(H3120="","Open",IF(H3120&lt;=INDEX(Assumptions!$C$15:$C$18,MATCH(E3120,Assumptions!$A$15:$A$18,0)),"Yes","No"))</f>
        <v>No</v>
      </c>
    </row>
    <row r="3121" customFormat="false" ht="15" hidden="false" customHeight="false" outlineLevel="0" collapsed="false">
      <c r="A3121" s="31" t="s">
        <v>3271</v>
      </c>
      <c r="B3121" s="44" t="n">
        <v>46247</v>
      </c>
      <c r="C3121" s="31" t="s">
        <v>58</v>
      </c>
      <c r="D3121" s="31" t="s">
        <v>65</v>
      </c>
      <c r="E3121" s="31" t="s">
        <v>51</v>
      </c>
      <c r="F3121" s="31" t="s">
        <v>137</v>
      </c>
      <c r="G3121" s="31" t="n">
        <v>9</v>
      </c>
      <c r="H3121" s="41" t="n">
        <v>12.2</v>
      </c>
      <c r="I3121" s="31" t="s">
        <v>149</v>
      </c>
      <c r="J3121" s="31" t="n">
        <v>5</v>
      </c>
      <c r="K3121" s="31" t="s">
        <v>150</v>
      </c>
      <c r="L3121" s="45" t="n">
        <f aca="false">DATE(YEAR(B3121),MONTH(B3121),1)</f>
        <v>46235</v>
      </c>
      <c r="M3121" s="31" t="n">
        <f aca="false">WEEKDAY(B3121,2)</f>
        <v>4</v>
      </c>
      <c r="N3121" s="31" t="str">
        <f aca="false">IF(G3121&lt;=INDEX(Assumptions!$B$15:$B$18,MATCH(E3121,Assumptions!$A$15:$A$18,0)),"Yes","No")</f>
        <v>Yes</v>
      </c>
      <c r="O3121" s="31" t="str">
        <f aca="false">IF(H3121="","Open",IF(H3121&lt;=INDEX(Assumptions!$C$15:$C$18,MATCH(E3121,Assumptions!$A$15:$A$18,0)),"Yes","No"))</f>
        <v>Yes</v>
      </c>
    </row>
    <row r="3122" customFormat="false" ht="15" hidden="false" customHeight="false" outlineLevel="0" collapsed="false">
      <c r="A3122" s="31" t="s">
        <v>3272</v>
      </c>
      <c r="B3122" s="44" t="n">
        <v>46247</v>
      </c>
      <c r="C3122" s="31" t="s">
        <v>58</v>
      </c>
      <c r="D3122" s="31" t="s">
        <v>66</v>
      </c>
      <c r="E3122" s="31" t="s">
        <v>51</v>
      </c>
      <c r="F3122" s="31" t="s">
        <v>117</v>
      </c>
      <c r="G3122" s="31" t="n">
        <v>5</v>
      </c>
      <c r="H3122" s="41" t="n">
        <v>5.6</v>
      </c>
      <c r="I3122" s="31" t="s">
        <v>149</v>
      </c>
      <c r="J3122" s="31"/>
      <c r="K3122" s="31" t="s">
        <v>150</v>
      </c>
      <c r="L3122" s="45" t="n">
        <f aca="false">DATE(YEAR(B3122),MONTH(B3122),1)</f>
        <v>46235</v>
      </c>
      <c r="M3122" s="31" t="n">
        <f aca="false">WEEKDAY(B3122,2)</f>
        <v>4</v>
      </c>
      <c r="N3122" s="31" t="str">
        <f aca="false">IF(G3122&lt;=INDEX(Assumptions!$B$15:$B$18,MATCH(E3122,Assumptions!$A$15:$A$18,0)),"Yes","No")</f>
        <v>Yes</v>
      </c>
      <c r="O3122" s="31" t="str">
        <f aca="false">IF(H3122="","Open",IF(H3122&lt;=INDEX(Assumptions!$C$15:$C$18,MATCH(E3122,Assumptions!$A$15:$A$18,0)),"Yes","No"))</f>
        <v>Yes</v>
      </c>
    </row>
    <row r="3123" customFormat="false" ht="15" hidden="false" customHeight="false" outlineLevel="0" collapsed="false">
      <c r="A3123" s="31" t="s">
        <v>3273</v>
      </c>
      <c r="B3123" s="44" t="n">
        <v>46247</v>
      </c>
      <c r="C3123" s="31" t="s">
        <v>57</v>
      </c>
      <c r="D3123" s="31" t="s">
        <v>68</v>
      </c>
      <c r="E3123" s="31" t="s">
        <v>52</v>
      </c>
      <c r="F3123" s="31" t="s">
        <v>130</v>
      </c>
      <c r="G3123" s="31" t="n">
        <v>3</v>
      </c>
      <c r="H3123" s="41" t="n">
        <v>4.7</v>
      </c>
      <c r="I3123" s="31" t="s">
        <v>149</v>
      </c>
      <c r="J3123" s="31"/>
      <c r="K3123" s="31" t="s">
        <v>150</v>
      </c>
      <c r="L3123" s="45" t="n">
        <f aca="false">DATE(YEAR(B3123),MONTH(B3123),1)</f>
        <v>46235</v>
      </c>
      <c r="M3123" s="31" t="n">
        <f aca="false">WEEKDAY(B3123,2)</f>
        <v>4</v>
      </c>
      <c r="N3123" s="31" t="str">
        <f aca="false">IF(G3123&lt;=INDEX(Assumptions!$B$15:$B$18,MATCH(E3123,Assumptions!$A$15:$A$18,0)),"Yes","No")</f>
        <v>Yes</v>
      </c>
      <c r="O3123" s="31" t="str">
        <f aca="false">IF(H3123="","Open",IF(H3123&lt;=INDEX(Assumptions!$C$15:$C$18,MATCH(E3123,Assumptions!$A$15:$A$18,0)),"Yes","No"))</f>
        <v>Yes</v>
      </c>
    </row>
    <row r="3124" customFormat="false" ht="15" hidden="false" customHeight="false" outlineLevel="0" collapsed="false">
      <c r="A3124" s="31" t="s">
        <v>3274</v>
      </c>
      <c r="B3124" s="44" t="n">
        <v>46247</v>
      </c>
      <c r="C3124" s="31" t="s">
        <v>59</v>
      </c>
      <c r="D3124" s="31" t="s">
        <v>66</v>
      </c>
      <c r="E3124" s="31" t="s">
        <v>50</v>
      </c>
      <c r="F3124" s="31" t="s">
        <v>128</v>
      </c>
      <c r="G3124" s="31" t="n">
        <v>151</v>
      </c>
      <c r="H3124" s="41" t="n">
        <v>9.7</v>
      </c>
      <c r="I3124" s="31" t="s">
        <v>149</v>
      </c>
      <c r="J3124" s="31"/>
      <c r="K3124" s="31" t="s">
        <v>150</v>
      </c>
      <c r="L3124" s="45" t="n">
        <f aca="false">DATE(YEAR(B3124),MONTH(B3124),1)</f>
        <v>46235</v>
      </c>
      <c r="M3124" s="31" t="n">
        <f aca="false">WEEKDAY(B3124,2)</f>
        <v>4</v>
      </c>
      <c r="N3124" s="31" t="str">
        <f aca="false">IF(G3124&lt;=INDEX(Assumptions!$B$15:$B$18,MATCH(E3124,Assumptions!$A$15:$A$18,0)),"Yes","No")</f>
        <v>No</v>
      </c>
      <c r="O3124" s="31" t="str">
        <f aca="false">IF(H3124="","Open",IF(H3124&lt;=INDEX(Assumptions!$C$15:$C$18,MATCH(E3124,Assumptions!$A$15:$A$18,0)),"Yes","No"))</f>
        <v>No</v>
      </c>
    </row>
    <row r="3125" customFormat="false" ht="15" hidden="false" customHeight="false" outlineLevel="0" collapsed="false">
      <c r="A3125" s="31" t="s">
        <v>3275</v>
      </c>
      <c r="B3125" s="44" t="n">
        <v>46247</v>
      </c>
      <c r="C3125" s="31" t="s">
        <v>57</v>
      </c>
      <c r="D3125" s="31" t="s">
        <v>65</v>
      </c>
      <c r="E3125" s="31" t="s">
        <v>51</v>
      </c>
      <c r="F3125" s="31" t="s">
        <v>134</v>
      </c>
      <c r="G3125" s="31" t="n">
        <v>16</v>
      </c>
      <c r="H3125" s="41" t="n">
        <v>8.1</v>
      </c>
      <c r="I3125" s="31" t="s">
        <v>149</v>
      </c>
      <c r="J3125" s="31" t="n">
        <v>5</v>
      </c>
      <c r="K3125" s="31" t="s">
        <v>150</v>
      </c>
      <c r="L3125" s="45" t="n">
        <f aca="false">DATE(YEAR(B3125),MONTH(B3125),1)</f>
        <v>46235</v>
      </c>
      <c r="M3125" s="31" t="n">
        <f aca="false">WEEKDAY(B3125,2)</f>
        <v>4</v>
      </c>
      <c r="N3125" s="31" t="str">
        <f aca="false">IF(G3125&lt;=INDEX(Assumptions!$B$15:$B$18,MATCH(E3125,Assumptions!$A$15:$A$18,0)),"Yes","No")</f>
        <v>Yes</v>
      </c>
      <c r="O3125" s="31" t="str">
        <f aca="false">IF(H3125="","Open",IF(H3125&lt;=INDEX(Assumptions!$C$15:$C$18,MATCH(E3125,Assumptions!$A$15:$A$18,0)),"Yes","No"))</f>
        <v>Yes</v>
      </c>
    </row>
    <row r="3126" customFormat="false" ht="15" hidden="false" customHeight="false" outlineLevel="0" collapsed="false">
      <c r="A3126" s="31" t="s">
        <v>3276</v>
      </c>
      <c r="B3126" s="44" t="n">
        <v>46247</v>
      </c>
      <c r="C3126" s="31" t="s">
        <v>58</v>
      </c>
      <c r="D3126" s="31" t="s">
        <v>65</v>
      </c>
      <c r="E3126" s="31" t="s">
        <v>50</v>
      </c>
      <c r="F3126" s="31" t="s">
        <v>137</v>
      </c>
      <c r="G3126" s="31" t="n">
        <v>11</v>
      </c>
      <c r="H3126" s="41" t="n">
        <v>9.9</v>
      </c>
      <c r="I3126" s="31" t="s">
        <v>149</v>
      </c>
      <c r="J3126" s="31"/>
      <c r="K3126" s="31" t="s">
        <v>150</v>
      </c>
      <c r="L3126" s="45" t="n">
        <f aca="false">DATE(YEAR(B3126),MONTH(B3126),1)</f>
        <v>46235</v>
      </c>
      <c r="M3126" s="31" t="n">
        <f aca="false">WEEKDAY(B3126,2)</f>
        <v>4</v>
      </c>
      <c r="N3126" s="31" t="str">
        <f aca="false">IF(G3126&lt;=INDEX(Assumptions!$B$15:$B$18,MATCH(E3126,Assumptions!$A$15:$A$18,0)),"Yes","No")</f>
        <v>Yes</v>
      </c>
      <c r="O3126" s="31" t="str">
        <f aca="false">IF(H3126="","Open",IF(H3126&lt;=INDEX(Assumptions!$C$15:$C$18,MATCH(E3126,Assumptions!$A$15:$A$18,0)),"Yes","No"))</f>
        <v>No</v>
      </c>
    </row>
    <row r="3127" customFormat="false" ht="15" hidden="false" customHeight="false" outlineLevel="0" collapsed="false">
      <c r="A3127" s="31" t="s">
        <v>3277</v>
      </c>
      <c r="B3127" s="44" t="n">
        <v>46247</v>
      </c>
      <c r="C3127" s="31" t="s">
        <v>57</v>
      </c>
      <c r="D3127" s="31" t="s">
        <v>65</v>
      </c>
      <c r="E3127" s="31" t="s">
        <v>52</v>
      </c>
      <c r="F3127" s="31" t="s">
        <v>130</v>
      </c>
      <c r="G3127" s="31" t="n">
        <v>2</v>
      </c>
      <c r="H3127" s="41" t="n">
        <v>8.6</v>
      </c>
      <c r="I3127" s="31" t="s">
        <v>149</v>
      </c>
      <c r="J3127" s="31"/>
      <c r="K3127" s="31" t="s">
        <v>150</v>
      </c>
      <c r="L3127" s="45" t="n">
        <f aca="false">DATE(YEAR(B3127),MONTH(B3127),1)</f>
        <v>46235</v>
      </c>
      <c r="M3127" s="31" t="n">
        <f aca="false">WEEKDAY(B3127,2)</f>
        <v>4</v>
      </c>
      <c r="N3127" s="31" t="str">
        <f aca="false">IF(G3127&lt;=INDEX(Assumptions!$B$15:$B$18,MATCH(E3127,Assumptions!$A$15:$A$18,0)),"Yes","No")</f>
        <v>Yes</v>
      </c>
      <c r="O3127" s="31" t="str">
        <f aca="false">IF(H3127="","Open",IF(H3127&lt;=INDEX(Assumptions!$C$15:$C$18,MATCH(E3127,Assumptions!$A$15:$A$18,0)),"Yes","No"))</f>
        <v>Yes</v>
      </c>
    </row>
    <row r="3128" customFormat="false" ht="15" hidden="false" customHeight="false" outlineLevel="0" collapsed="false">
      <c r="A3128" s="31" t="s">
        <v>3278</v>
      </c>
      <c r="B3128" s="44" t="n">
        <v>46247</v>
      </c>
      <c r="C3128" s="31" t="s">
        <v>58</v>
      </c>
      <c r="D3128" s="31" t="s">
        <v>68</v>
      </c>
      <c r="E3128" s="31" t="s">
        <v>51</v>
      </c>
      <c r="F3128" s="31" t="s">
        <v>123</v>
      </c>
      <c r="G3128" s="31" t="n">
        <v>8</v>
      </c>
      <c r="H3128" s="41" t="n">
        <v>3.9</v>
      </c>
      <c r="I3128" s="31" t="s">
        <v>149</v>
      </c>
      <c r="J3128" s="31" t="n">
        <v>4</v>
      </c>
      <c r="K3128" s="31" t="s">
        <v>150</v>
      </c>
      <c r="L3128" s="45" t="n">
        <f aca="false">DATE(YEAR(B3128),MONTH(B3128),1)</f>
        <v>46235</v>
      </c>
      <c r="M3128" s="31" t="n">
        <f aca="false">WEEKDAY(B3128,2)</f>
        <v>4</v>
      </c>
      <c r="N3128" s="31" t="str">
        <f aca="false">IF(G3128&lt;=INDEX(Assumptions!$B$15:$B$18,MATCH(E3128,Assumptions!$A$15:$A$18,0)),"Yes","No")</f>
        <v>Yes</v>
      </c>
      <c r="O3128" s="31" t="str">
        <f aca="false">IF(H3128="","Open",IF(H3128&lt;=INDEX(Assumptions!$C$15:$C$18,MATCH(E3128,Assumptions!$A$15:$A$18,0)),"Yes","No"))</f>
        <v>Yes</v>
      </c>
    </row>
    <row r="3129" customFormat="false" ht="15" hidden="false" customHeight="false" outlineLevel="0" collapsed="false">
      <c r="A3129" s="31" t="s">
        <v>3279</v>
      </c>
      <c r="B3129" s="44" t="n">
        <v>46247</v>
      </c>
      <c r="C3129" s="31" t="s">
        <v>59</v>
      </c>
      <c r="D3129" s="31" t="s">
        <v>68</v>
      </c>
      <c r="E3129" s="31" t="s">
        <v>50</v>
      </c>
      <c r="F3129" s="31" t="s">
        <v>126</v>
      </c>
      <c r="G3129" s="31" t="n">
        <v>25</v>
      </c>
      <c r="H3129" s="41" t="n">
        <v>2.4</v>
      </c>
      <c r="I3129" s="31" t="s">
        <v>64</v>
      </c>
      <c r="J3129" s="31" t="n">
        <v>3</v>
      </c>
      <c r="K3129" s="31" t="s">
        <v>150</v>
      </c>
      <c r="L3129" s="45" t="n">
        <f aca="false">DATE(YEAR(B3129),MONTH(B3129),1)</f>
        <v>46235</v>
      </c>
      <c r="M3129" s="31" t="n">
        <f aca="false">WEEKDAY(B3129,2)</f>
        <v>4</v>
      </c>
      <c r="N3129" s="31" t="str">
        <f aca="false">IF(G3129&lt;=INDEX(Assumptions!$B$15:$B$18,MATCH(E3129,Assumptions!$A$15:$A$18,0)),"Yes","No")</f>
        <v>Yes</v>
      </c>
      <c r="O3129" s="31" t="str">
        <f aca="false">IF(H3129="","Open",IF(H3129&lt;=INDEX(Assumptions!$C$15:$C$18,MATCH(E3129,Assumptions!$A$15:$A$18,0)),"Yes","No"))</f>
        <v>Yes</v>
      </c>
    </row>
    <row r="3130" customFormat="false" ht="15" hidden="false" customHeight="false" outlineLevel="0" collapsed="false">
      <c r="A3130" s="31" t="s">
        <v>3280</v>
      </c>
      <c r="B3130" s="44" t="n">
        <v>46247</v>
      </c>
      <c r="C3130" s="31" t="s">
        <v>58</v>
      </c>
      <c r="D3130" s="31" t="s">
        <v>66</v>
      </c>
      <c r="E3130" s="31" t="s">
        <v>52</v>
      </c>
      <c r="F3130" s="31" t="s">
        <v>126</v>
      </c>
      <c r="G3130" s="31" t="n">
        <v>22</v>
      </c>
      <c r="H3130" s="41" t="n">
        <v>3.1</v>
      </c>
      <c r="I3130" s="31" t="s">
        <v>149</v>
      </c>
      <c r="J3130" s="31"/>
      <c r="K3130" s="31" t="s">
        <v>150</v>
      </c>
      <c r="L3130" s="45" t="n">
        <f aca="false">DATE(YEAR(B3130),MONTH(B3130),1)</f>
        <v>46235</v>
      </c>
      <c r="M3130" s="31" t="n">
        <f aca="false">WEEKDAY(B3130,2)</f>
        <v>4</v>
      </c>
      <c r="N3130" s="31" t="str">
        <f aca="false">IF(G3130&lt;=INDEX(Assumptions!$B$15:$B$18,MATCH(E3130,Assumptions!$A$15:$A$18,0)),"Yes","No")</f>
        <v>Yes</v>
      </c>
      <c r="O3130" s="31" t="str">
        <f aca="false">IF(H3130="","Open",IF(H3130&lt;=INDEX(Assumptions!$C$15:$C$18,MATCH(E3130,Assumptions!$A$15:$A$18,0)),"Yes","No"))</f>
        <v>Yes</v>
      </c>
    </row>
    <row r="3131" customFormat="false" ht="15" hidden="false" customHeight="false" outlineLevel="0" collapsed="false">
      <c r="A3131" s="31" t="s">
        <v>3281</v>
      </c>
      <c r="B3131" s="44" t="n">
        <v>46247</v>
      </c>
      <c r="C3131" s="31" t="s">
        <v>57</v>
      </c>
      <c r="D3131" s="31" t="s">
        <v>65</v>
      </c>
      <c r="E3131" s="31" t="s">
        <v>52</v>
      </c>
      <c r="F3131" s="31" t="s">
        <v>124</v>
      </c>
      <c r="G3131" s="31" t="n">
        <v>3</v>
      </c>
      <c r="H3131" s="41" t="n">
        <v>13.7</v>
      </c>
      <c r="I3131" s="31" t="s">
        <v>149</v>
      </c>
      <c r="J3131" s="31" t="n">
        <v>5</v>
      </c>
      <c r="K3131" s="31" t="s">
        <v>150</v>
      </c>
      <c r="L3131" s="45" t="n">
        <f aca="false">DATE(YEAR(B3131),MONTH(B3131),1)</f>
        <v>46235</v>
      </c>
      <c r="M3131" s="31" t="n">
        <f aca="false">WEEKDAY(B3131,2)</f>
        <v>4</v>
      </c>
      <c r="N3131" s="31" t="str">
        <f aca="false">IF(G3131&lt;=INDEX(Assumptions!$B$15:$B$18,MATCH(E3131,Assumptions!$A$15:$A$18,0)),"Yes","No")</f>
        <v>Yes</v>
      </c>
      <c r="O3131" s="31" t="str">
        <f aca="false">IF(H3131="","Open",IF(H3131&lt;=INDEX(Assumptions!$C$15:$C$18,MATCH(E3131,Assumptions!$A$15:$A$18,0)),"Yes","No"))</f>
        <v>Yes</v>
      </c>
    </row>
    <row r="3132" customFormat="false" ht="15" hidden="false" customHeight="false" outlineLevel="0" collapsed="false">
      <c r="A3132" s="31" t="s">
        <v>3282</v>
      </c>
      <c r="B3132" s="44" t="n">
        <v>46247</v>
      </c>
      <c r="C3132" s="31" t="s">
        <v>58</v>
      </c>
      <c r="D3132" s="31" t="s">
        <v>66</v>
      </c>
      <c r="E3132" s="31" t="s">
        <v>51</v>
      </c>
      <c r="F3132" s="31" t="s">
        <v>126</v>
      </c>
      <c r="G3132" s="31" t="n">
        <v>10</v>
      </c>
      <c r="H3132" s="41" t="n">
        <v>4.6</v>
      </c>
      <c r="I3132" s="31" t="s">
        <v>149</v>
      </c>
      <c r="J3132" s="31"/>
      <c r="K3132" s="31" t="s">
        <v>150</v>
      </c>
      <c r="L3132" s="45" t="n">
        <f aca="false">DATE(YEAR(B3132),MONTH(B3132),1)</f>
        <v>46235</v>
      </c>
      <c r="M3132" s="31" t="n">
        <f aca="false">WEEKDAY(B3132,2)</f>
        <v>4</v>
      </c>
      <c r="N3132" s="31" t="str">
        <f aca="false">IF(G3132&lt;=INDEX(Assumptions!$B$15:$B$18,MATCH(E3132,Assumptions!$A$15:$A$18,0)),"Yes","No")</f>
        <v>Yes</v>
      </c>
      <c r="O3132" s="31" t="str">
        <f aca="false">IF(H3132="","Open",IF(H3132&lt;=INDEX(Assumptions!$C$15:$C$18,MATCH(E3132,Assumptions!$A$15:$A$18,0)),"Yes","No"))</f>
        <v>Yes</v>
      </c>
    </row>
    <row r="3133" customFormat="false" ht="15" hidden="false" customHeight="false" outlineLevel="0" collapsed="false">
      <c r="A3133" s="31" t="s">
        <v>3283</v>
      </c>
      <c r="B3133" s="44" t="n">
        <v>46247</v>
      </c>
      <c r="C3133" s="31" t="s">
        <v>59</v>
      </c>
      <c r="D3133" s="31" t="s">
        <v>67</v>
      </c>
      <c r="E3133" s="31" t="s">
        <v>51</v>
      </c>
      <c r="F3133" s="31" t="s">
        <v>126</v>
      </c>
      <c r="G3133" s="31" t="n">
        <v>24</v>
      </c>
      <c r="H3133" s="41" t="n">
        <v>12.6</v>
      </c>
      <c r="I3133" s="31" t="s">
        <v>149</v>
      </c>
      <c r="J3133" s="31"/>
      <c r="K3133" s="31" t="s">
        <v>150</v>
      </c>
      <c r="L3133" s="45" t="n">
        <f aca="false">DATE(YEAR(B3133),MONTH(B3133),1)</f>
        <v>46235</v>
      </c>
      <c r="M3133" s="31" t="n">
        <f aca="false">WEEKDAY(B3133,2)</f>
        <v>4</v>
      </c>
      <c r="N3133" s="31" t="str">
        <f aca="false">IF(G3133&lt;=INDEX(Assumptions!$B$15:$B$18,MATCH(E3133,Assumptions!$A$15:$A$18,0)),"Yes","No")</f>
        <v>Yes</v>
      </c>
      <c r="O3133" s="31" t="str">
        <f aca="false">IF(H3133="","Open",IF(H3133&lt;=INDEX(Assumptions!$C$15:$C$18,MATCH(E3133,Assumptions!$A$15:$A$18,0)),"Yes","No"))</f>
        <v>Yes</v>
      </c>
    </row>
    <row r="3134" customFormat="false" ht="15" hidden="false" customHeight="false" outlineLevel="0" collapsed="false">
      <c r="A3134" s="31" t="s">
        <v>3284</v>
      </c>
      <c r="B3134" s="44" t="n">
        <v>46247</v>
      </c>
      <c r="C3134" s="31" t="s">
        <v>57</v>
      </c>
      <c r="D3134" s="31" t="s">
        <v>65</v>
      </c>
      <c r="E3134" s="31" t="s">
        <v>51</v>
      </c>
      <c r="F3134" s="31" t="s">
        <v>134</v>
      </c>
      <c r="G3134" s="31" t="n">
        <v>8</v>
      </c>
      <c r="H3134" s="41" t="n">
        <v>10.2</v>
      </c>
      <c r="I3134" s="31" t="s">
        <v>149</v>
      </c>
      <c r="J3134" s="31" t="n">
        <v>3</v>
      </c>
      <c r="K3134" s="31" t="s">
        <v>150</v>
      </c>
      <c r="L3134" s="45" t="n">
        <f aca="false">DATE(YEAR(B3134),MONTH(B3134),1)</f>
        <v>46235</v>
      </c>
      <c r="M3134" s="31" t="n">
        <f aca="false">WEEKDAY(B3134,2)</f>
        <v>4</v>
      </c>
      <c r="N3134" s="31" t="str">
        <f aca="false">IF(G3134&lt;=INDEX(Assumptions!$B$15:$B$18,MATCH(E3134,Assumptions!$A$15:$A$18,0)),"Yes","No")</f>
        <v>Yes</v>
      </c>
      <c r="O3134" s="31" t="str">
        <f aca="false">IF(H3134="","Open",IF(H3134&lt;=INDEX(Assumptions!$C$15:$C$18,MATCH(E3134,Assumptions!$A$15:$A$18,0)),"Yes","No"))</f>
        <v>Yes</v>
      </c>
    </row>
    <row r="3135" customFormat="false" ht="15" hidden="false" customHeight="false" outlineLevel="0" collapsed="false">
      <c r="A3135" s="31" t="s">
        <v>3285</v>
      </c>
      <c r="B3135" s="44" t="n">
        <v>46247</v>
      </c>
      <c r="C3135" s="31" t="s">
        <v>59</v>
      </c>
      <c r="D3135" s="31" t="s">
        <v>65</v>
      </c>
      <c r="E3135" s="31" t="s">
        <v>49</v>
      </c>
      <c r="F3135" s="31" t="s">
        <v>137</v>
      </c>
      <c r="G3135" s="31" t="n">
        <v>13</v>
      </c>
      <c r="H3135" s="41" t="n">
        <v>13</v>
      </c>
      <c r="I3135" s="31" t="s">
        <v>149</v>
      </c>
      <c r="J3135" s="31"/>
      <c r="K3135" s="31" t="s">
        <v>150</v>
      </c>
      <c r="L3135" s="45" t="n">
        <f aca="false">DATE(YEAR(B3135),MONTH(B3135),1)</f>
        <v>46235</v>
      </c>
      <c r="M3135" s="31" t="n">
        <f aca="false">WEEKDAY(B3135,2)</f>
        <v>4</v>
      </c>
      <c r="N3135" s="31" t="str">
        <f aca="false">IF(G3135&lt;=INDEX(Assumptions!$B$15:$B$18,MATCH(E3135,Assumptions!$A$15:$A$18,0)),"Yes","No")</f>
        <v>Yes</v>
      </c>
      <c r="O3135" s="31" t="str">
        <f aca="false">IF(H3135="","Open",IF(H3135&lt;=INDEX(Assumptions!$C$15:$C$18,MATCH(E3135,Assumptions!$A$15:$A$18,0)),"Yes","No"))</f>
        <v>No</v>
      </c>
    </row>
    <row r="3136" customFormat="false" ht="15" hidden="false" customHeight="false" outlineLevel="0" collapsed="false">
      <c r="A3136" s="31" t="s">
        <v>3286</v>
      </c>
      <c r="B3136" s="44" t="n">
        <v>46247</v>
      </c>
      <c r="C3136" s="31" t="s">
        <v>60</v>
      </c>
      <c r="D3136" s="31" t="s">
        <v>65</v>
      </c>
      <c r="E3136" s="31" t="s">
        <v>52</v>
      </c>
      <c r="F3136" s="31" t="s">
        <v>133</v>
      </c>
      <c r="G3136" s="31" t="n">
        <v>2</v>
      </c>
      <c r="H3136" s="41" t="n">
        <v>23.6</v>
      </c>
      <c r="I3136" s="31" t="s">
        <v>149</v>
      </c>
      <c r="J3136" s="31" t="n">
        <v>5</v>
      </c>
      <c r="K3136" s="31" t="s">
        <v>150</v>
      </c>
      <c r="L3136" s="45" t="n">
        <f aca="false">DATE(YEAR(B3136),MONTH(B3136),1)</f>
        <v>46235</v>
      </c>
      <c r="M3136" s="31" t="n">
        <f aca="false">WEEKDAY(B3136,2)</f>
        <v>4</v>
      </c>
      <c r="N3136" s="31" t="str">
        <f aca="false">IF(G3136&lt;=INDEX(Assumptions!$B$15:$B$18,MATCH(E3136,Assumptions!$A$15:$A$18,0)),"Yes","No")</f>
        <v>Yes</v>
      </c>
      <c r="O3136" s="31" t="str">
        <f aca="false">IF(H3136="","Open",IF(H3136&lt;=INDEX(Assumptions!$C$15:$C$18,MATCH(E3136,Assumptions!$A$15:$A$18,0)),"Yes","No"))</f>
        <v>Yes</v>
      </c>
    </row>
    <row r="3137" customFormat="false" ht="15" hidden="false" customHeight="false" outlineLevel="0" collapsed="false">
      <c r="A3137" s="31" t="s">
        <v>3287</v>
      </c>
      <c r="B3137" s="44" t="n">
        <v>46247</v>
      </c>
      <c r="C3137" s="31" t="s">
        <v>58</v>
      </c>
      <c r="D3137" s="31" t="s">
        <v>66</v>
      </c>
      <c r="E3137" s="31" t="s">
        <v>50</v>
      </c>
      <c r="F3137" s="31" t="s">
        <v>120</v>
      </c>
      <c r="G3137" s="31" t="n">
        <v>14</v>
      </c>
      <c r="H3137" s="41" t="n">
        <v>4.7</v>
      </c>
      <c r="I3137" s="31" t="s">
        <v>149</v>
      </c>
      <c r="J3137" s="31" t="n">
        <v>3</v>
      </c>
      <c r="K3137" s="31" t="s">
        <v>150</v>
      </c>
      <c r="L3137" s="45" t="n">
        <f aca="false">DATE(YEAR(B3137),MONTH(B3137),1)</f>
        <v>46235</v>
      </c>
      <c r="M3137" s="31" t="n">
        <f aca="false">WEEKDAY(B3137,2)</f>
        <v>4</v>
      </c>
      <c r="N3137" s="31" t="str">
        <f aca="false">IF(G3137&lt;=INDEX(Assumptions!$B$15:$B$18,MATCH(E3137,Assumptions!$A$15:$A$18,0)),"Yes","No")</f>
        <v>Yes</v>
      </c>
      <c r="O3137" s="31" t="str">
        <f aca="false">IF(H3137="","Open",IF(H3137&lt;=INDEX(Assumptions!$C$15:$C$18,MATCH(E3137,Assumptions!$A$15:$A$18,0)),"Yes","No"))</f>
        <v>Yes</v>
      </c>
    </row>
    <row r="3138" customFormat="false" ht="15" hidden="false" customHeight="false" outlineLevel="0" collapsed="false">
      <c r="A3138" s="31" t="s">
        <v>3288</v>
      </c>
      <c r="B3138" s="44" t="n">
        <v>46247</v>
      </c>
      <c r="C3138" s="31" t="s">
        <v>57</v>
      </c>
      <c r="D3138" s="31" t="s">
        <v>67</v>
      </c>
      <c r="E3138" s="31" t="s">
        <v>51</v>
      </c>
      <c r="F3138" s="31" t="s">
        <v>122</v>
      </c>
      <c r="G3138" s="31" t="n">
        <v>5</v>
      </c>
      <c r="H3138" s="41" t="n">
        <v>22.2</v>
      </c>
      <c r="I3138" s="31" t="s">
        <v>149</v>
      </c>
      <c r="J3138" s="31"/>
      <c r="K3138" s="31" t="s">
        <v>153</v>
      </c>
      <c r="L3138" s="45" t="n">
        <f aca="false">DATE(YEAR(B3138),MONTH(B3138),1)</f>
        <v>46235</v>
      </c>
      <c r="M3138" s="31" t="n">
        <f aca="false">WEEKDAY(B3138,2)</f>
        <v>4</v>
      </c>
      <c r="N3138" s="31" t="str">
        <f aca="false">IF(G3138&lt;=INDEX(Assumptions!$B$15:$B$18,MATCH(E3138,Assumptions!$A$15:$A$18,0)),"Yes","No")</f>
        <v>Yes</v>
      </c>
      <c r="O3138" s="31" t="str">
        <f aca="false">IF(H3138="","Open",IF(H3138&lt;=INDEX(Assumptions!$C$15:$C$18,MATCH(E3138,Assumptions!$A$15:$A$18,0)),"Yes","No"))</f>
        <v>Yes</v>
      </c>
    </row>
    <row r="3139" customFormat="false" ht="15" hidden="false" customHeight="false" outlineLevel="0" collapsed="false">
      <c r="A3139" s="31" t="s">
        <v>3289</v>
      </c>
      <c r="B3139" s="44" t="n">
        <v>46247</v>
      </c>
      <c r="C3139" s="31" t="s">
        <v>60</v>
      </c>
      <c r="D3139" s="31" t="s">
        <v>69</v>
      </c>
      <c r="E3139" s="31" t="s">
        <v>52</v>
      </c>
      <c r="F3139" s="31" t="s">
        <v>137</v>
      </c>
      <c r="G3139" s="31" t="n">
        <v>2</v>
      </c>
      <c r="H3139" s="41" t="n">
        <v>25.6</v>
      </c>
      <c r="I3139" s="31" t="s">
        <v>149</v>
      </c>
      <c r="J3139" s="31"/>
      <c r="K3139" s="31" t="s">
        <v>150</v>
      </c>
      <c r="L3139" s="45" t="n">
        <f aca="false">DATE(YEAR(B3139),MONTH(B3139),1)</f>
        <v>46235</v>
      </c>
      <c r="M3139" s="31" t="n">
        <f aca="false">WEEKDAY(B3139,2)</f>
        <v>4</v>
      </c>
      <c r="N3139" s="31" t="str">
        <f aca="false">IF(G3139&lt;=INDEX(Assumptions!$B$15:$B$18,MATCH(E3139,Assumptions!$A$15:$A$18,0)),"Yes","No")</f>
        <v>Yes</v>
      </c>
      <c r="O3139" s="31" t="str">
        <f aca="false">IF(H3139="","Open",IF(H3139&lt;=INDEX(Assumptions!$C$15:$C$18,MATCH(E3139,Assumptions!$A$15:$A$18,0)),"Yes","No"))</f>
        <v>Yes</v>
      </c>
    </row>
    <row r="3140" customFormat="false" ht="15" hidden="false" customHeight="false" outlineLevel="0" collapsed="false">
      <c r="A3140" s="31" t="s">
        <v>3290</v>
      </c>
      <c r="B3140" s="44" t="n">
        <v>46247</v>
      </c>
      <c r="C3140" s="31" t="s">
        <v>57</v>
      </c>
      <c r="D3140" s="31" t="s">
        <v>65</v>
      </c>
      <c r="E3140" s="31" t="s">
        <v>52</v>
      </c>
      <c r="F3140" s="31" t="s">
        <v>123</v>
      </c>
      <c r="G3140" s="31" t="n">
        <v>3</v>
      </c>
      <c r="H3140" s="41" t="n">
        <v>21.4</v>
      </c>
      <c r="I3140" s="31" t="s">
        <v>149</v>
      </c>
      <c r="J3140" s="31"/>
      <c r="K3140" s="31" t="s">
        <v>150</v>
      </c>
      <c r="L3140" s="45" t="n">
        <f aca="false">DATE(YEAR(B3140),MONTH(B3140),1)</f>
        <v>46235</v>
      </c>
      <c r="M3140" s="31" t="n">
        <f aca="false">WEEKDAY(B3140,2)</f>
        <v>4</v>
      </c>
      <c r="N3140" s="31" t="str">
        <f aca="false">IF(G3140&lt;=INDEX(Assumptions!$B$15:$B$18,MATCH(E3140,Assumptions!$A$15:$A$18,0)),"Yes","No")</f>
        <v>Yes</v>
      </c>
      <c r="O3140" s="31" t="str">
        <f aca="false">IF(H3140="","Open",IF(H3140&lt;=INDEX(Assumptions!$C$15:$C$18,MATCH(E3140,Assumptions!$A$15:$A$18,0)),"Yes","No"))</f>
        <v>Yes</v>
      </c>
    </row>
    <row r="3141" customFormat="false" ht="15" hidden="false" customHeight="false" outlineLevel="0" collapsed="false">
      <c r="A3141" s="31" t="s">
        <v>3291</v>
      </c>
      <c r="B3141" s="44" t="n">
        <v>46247</v>
      </c>
      <c r="C3141" s="31" t="s">
        <v>60</v>
      </c>
      <c r="D3141" s="31" t="s">
        <v>65</v>
      </c>
      <c r="E3141" s="31" t="s">
        <v>51</v>
      </c>
      <c r="F3141" s="31" t="s">
        <v>128</v>
      </c>
      <c r="G3141" s="31" t="n">
        <v>6</v>
      </c>
      <c r="H3141" s="41" t="n">
        <v>60.6</v>
      </c>
      <c r="I3141" s="31" t="s">
        <v>149</v>
      </c>
      <c r="J3141" s="31" t="n">
        <v>3</v>
      </c>
      <c r="K3141" s="31" t="s">
        <v>150</v>
      </c>
      <c r="L3141" s="45" t="n">
        <f aca="false">DATE(YEAR(B3141),MONTH(B3141),1)</f>
        <v>46235</v>
      </c>
      <c r="M3141" s="31" t="n">
        <f aca="false">WEEKDAY(B3141,2)</f>
        <v>4</v>
      </c>
      <c r="N3141" s="31" t="str">
        <f aca="false">IF(G3141&lt;=INDEX(Assumptions!$B$15:$B$18,MATCH(E3141,Assumptions!$A$15:$A$18,0)),"Yes","No")</f>
        <v>Yes</v>
      </c>
      <c r="O3141" s="31" t="str">
        <f aca="false">IF(H3141="","Open",IF(H3141&lt;=INDEX(Assumptions!$C$15:$C$18,MATCH(E3141,Assumptions!$A$15:$A$18,0)),"Yes","No"))</f>
        <v>No</v>
      </c>
    </row>
    <row r="3142" customFormat="false" ht="15" hidden="false" customHeight="false" outlineLevel="0" collapsed="false">
      <c r="A3142" s="31" t="s">
        <v>3292</v>
      </c>
      <c r="B3142" s="44" t="n">
        <v>46247</v>
      </c>
      <c r="C3142" s="31" t="s">
        <v>58</v>
      </c>
      <c r="D3142" s="31" t="s">
        <v>66</v>
      </c>
      <c r="E3142" s="31" t="s">
        <v>51</v>
      </c>
      <c r="F3142" s="31" t="s">
        <v>120</v>
      </c>
      <c r="G3142" s="31" t="n">
        <v>10</v>
      </c>
      <c r="H3142" s="41" t="n">
        <v>7</v>
      </c>
      <c r="I3142" s="31" t="s">
        <v>149</v>
      </c>
      <c r="J3142" s="31"/>
      <c r="K3142" s="31" t="s">
        <v>150</v>
      </c>
      <c r="L3142" s="45" t="n">
        <f aca="false">DATE(YEAR(B3142),MONTH(B3142),1)</f>
        <v>46235</v>
      </c>
      <c r="M3142" s="31" t="n">
        <f aca="false">WEEKDAY(B3142,2)</f>
        <v>4</v>
      </c>
      <c r="N3142" s="31" t="str">
        <f aca="false">IF(G3142&lt;=INDEX(Assumptions!$B$15:$B$18,MATCH(E3142,Assumptions!$A$15:$A$18,0)),"Yes","No")</f>
        <v>Yes</v>
      </c>
      <c r="O3142" s="31" t="str">
        <f aca="false">IF(H3142="","Open",IF(H3142&lt;=INDEX(Assumptions!$C$15:$C$18,MATCH(E3142,Assumptions!$A$15:$A$18,0)),"Yes","No"))</f>
        <v>Yes</v>
      </c>
    </row>
    <row r="3143" customFormat="false" ht="15" hidden="false" customHeight="false" outlineLevel="0" collapsed="false">
      <c r="A3143" s="31" t="s">
        <v>3293</v>
      </c>
      <c r="B3143" s="44" t="n">
        <v>46247</v>
      </c>
      <c r="C3143" s="31" t="s">
        <v>57</v>
      </c>
      <c r="D3143" s="31" t="s">
        <v>65</v>
      </c>
      <c r="E3143" s="31" t="s">
        <v>49</v>
      </c>
      <c r="F3143" s="31" t="s">
        <v>130</v>
      </c>
      <c r="G3143" s="31" t="n">
        <v>2</v>
      </c>
      <c r="H3143" s="41" t="n">
        <v>1</v>
      </c>
      <c r="I3143" s="31" t="s">
        <v>149</v>
      </c>
      <c r="J3143" s="31" t="n">
        <v>5</v>
      </c>
      <c r="K3143" s="31" t="s">
        <v>150</v>
      </c>
      <c r="L3143" s="45" t="n">
        <f aca="false">DATE(YEAR(B3143),MONTH(B3143),1)</f>
        <v>46235</v>
      </c>
      <c r="M3143" s="31" t="n">
        <f aca="false">WEEKDAY(B3143,2)</f>
        <v>4</v>
      </c>
      <c r="N3143" s="31" t="str">
        <f aca="false">IF(G3143&lt;=INDEX(Assumptions!$B$15:$B$18,MATCH(E3143,Assumptions!$A$15:$A$18,0)),"Yes","No")</f>
        <v>Yes</v>
      </c>
      <c r="O3143" s="31" t="str">
        <f aca="false">IF(H3143="","Open",IF(H3143&lt;=INDEX(Assumptions!$C$15:$C$18,MATCH(E3143,Assumptions!$A$15:$A$18,0)),"Yes","No"))</f>
        <v>Yes</v>
      </c>
    </row>
    <row r="3144" customFormat="false" ht="15" hidden="false" customHeight="false" outlineLevel="0" collapsed="false">
      <c r="A3144" s="31" t="s">
        <v>3294</v>
      </c>
      <c r="B3144" s="44" t="n">
        <v>46247</v>
      </c>
      <c r="C3144" s="31" t="s">
        <v>59</v>
      </c>
      <c r="D3144" s="31" t="s">
        <v>65</v>
      </c>
      <c r="E3144" s="31" t="s">
        <v>52</v>
      </c>
      <c r="F3144" s="31" t="s">
        <v>126</v>
      </c>
      <c r="G3144" s="31" t="n">
        <v>40</v>
      </c>
      <c r="H3144" s="41" t="n">
        <v>10.4</v>
      </c>
      <c r="I3144" s="31" t="s">
        <v>149</v>
      </c>
      <c r="J3144" s="31" t="n">
        <v>5</v>
      </c>
      <c r="K3144" s="31" t="s">
        <v>150</v>
      </c>
      <c r="L3144" s="45" t="n">
        <f aca="false">DATE(YEAR(B3144),MONTH(B3144),1)</f>
        <v>46235</v>
      </c>
      <c r="M3144" s="31" t="n">
        <f aca="false">WEEKDAY(B3144,2)</f>
        <v>4</v>
      </c>
      <c r="N3144" s="31" t="str">
        <f aca="false">IF(G3144&lt;=INDEX(Assumptions!$B$15:$B$18,MATCH(E3144,Assumptions!$A$15:$A$18,0)),"Yes","No")</f>
        <v>Yes</v>
      </c>
      <c r="O3144" s="31" t="str">
        <f aca="false">IF(H3144="","Open",IF(H3144&lt;=INDEX(Assumptions!$C$15:$C$18,MATCH(E3144,Assumptions!$A$15:$A$18,0)),"Yes","No"))</f>
        <v>Yes</v>
      </c>
    </row>
    <row r="3145" customFormat="false" ht="15" hidden="false" customHeight="false" outlineLevel="0" collapsed="false">
      <c r="A3145" s="31" t="s">
        <v>3295</v>
      </c>
      <c r="B3145" s="44" t="n">
        <v>46247</v>
      </c>
      <c r="C3145" s="31" t="s">
        <v>60</v>
      </c>
      <c r="D3145" s="31" t="s">
        <v>65</v>
      </c>
      <c r="E3145" s="31" t="s">
        <v>51</v>
      </c>
      <c r="F3145" s="31" t="s">
        <v>134</v>
      </c>
      <c r="G3145" s="31" t="n">
        <v>12</v>
      </c>
      <c r="H3145" s="41" t="n">
        <v>5.5</v>
      </c>
      <c r="I3145" s="31" t="s">
        <v>149</v>
      </c>
      <c r="J3145" s="31" t="n">
        <v>3</v>
      </c>
      <c r="K3145" s="31" t="s">
        <v>150</v>
      </c>
      <c r="L3145" s="45" t="n">
        <f aca="false">DATE(YEAR(B3145),MONTH(B3145),1)</f>
        <v>46235</v>
      </c>
      <c r="M3145" s="31" t="n">
        <f aca="false">WEEKDAY(B3145,2)</f>
        <v>4</v>
      </c>
      <c r="N3145" s="31" t="str">
        <f aca="false">IF(G3145&lt;=INDEX(Assumptions!$B$15:$B$18,MATCH(E3145,Assumptions!$A$15:$A$18,0)),"Yes","No")</f>
        <v>Yes</v>
      </c>
      <c r="O3145" s="31" t="str">
        <f aca="false">IF(H3145="","Open",IF(H3145&lt;=INDEX(Assumptions!$C$15:$C$18,MATCH(E3145,Assumptions!$A$15:$A$18,0)),"Yes","No"))</f>
        <v>Yes</v>
      </c>
    </row>
    <row r="3146" customFormat="false" ht="15" hidden="false" customHeight="false" outlineLevel="0" collapsed="false">
      <c r="A3146" s="31" t="s">
        <v>3296</v>
      </c>
      <c r="B3146" s="44" t="n">
        <v>46248</v>
      </c>
      <c r="C3146" s="31" t="s">
        <v>57</v>
      </c>
      <c r="D3146" s="31" t="s">
        <v>66</v>
      </c>
      <c r="E3146" s="31" t="s">
        <v>50</v>
      </c>
      <c r="F3146" s="31" t="s">
        <v>133</v>
      </c>
      <c r="G3146" s="31" t="n">
        <v>6</v>
      </c>
      <c r="H3146" s="41" t="n">
        <v>1</v>
      </c>
      <c r="I3146" s="31" t="s">
        <v>149</v>
      </c>
      <c r="J3146" s="31" t="n">
        <v>5</v>
      </c>
      <c r="K3146" s="31" t="s">
        <v>150</v>
      </c>
      <c r="L3146" s="45" t="n">
        <f aca="false">DATE(YEAR(B3146),MONTH(B3146),1)</f>
        <v>46235</v>
      </c>
      <c r="M3146" s="31" t="n">
        <f aca="false">WEEKDAY(B3146,2)</f>
        <v>5</v>
      </c>
      <c r="N3146" s="31" t="str">
        <f aca="false">IF(G3146&lt;=INDEX(Assumptions!$B$15:$B$18,MATCH(E3146,Assumptions!$A$15:$A$18,0)),"Yes","No")</f>
        <v>Yes</v>
      </c>
      <c r="O3146" s="31" t="str">
        <f aca="false">IF(H3146="","Open",IF(H3146&lt;=INDEX(Assumptions!$C$15:$C$18,MATCH(E3146,Assumptions!$A$15:$A$18,0)),"Yes","No"))</f>
        <v>Yes</v>
      </c>
    </row>
    <row r="3147" customFormat="false" ht="15" hidden="false" customHeight="false" outlineLevel="0" collapsed="false">
      <c r="A3147" s="31" t="s">
        <v>3297</v>
      </c>
      <c r="B3147" s="44" t="n">
        <v>46248</v>
      </c>
      <c r="C3147" s="31" t="s">
        <v>58</v>
      </c>
      <c r="D3147" s="31" t="s">
        <v>65</v>
      </c>
      <c r="E3147" s="31" t="s">
        <v>52</v>
      </c>
      <c r="F3147" s="31" t="s">
        <v>131</v>
      </c>
      <c r="G3147" s="31" t="n">
        <v>8</v>
      </c>
      <c r="H3147" s="41" t="n">
        <v>1.6</v>
      </c>
      <c r="I3147" s="31" t="s">
        <v>149</v>
      </c>
      <c r="J3147" s="31" t="n">
        <v>5</v>
      </c>
      <c r="K3147" s="31" t="s">
        <v>150</v>
      </c>
      <c r="L3147" s="45" t="n">
        <f aca="false">DATE(YEAR(B3147),MONTH(B3147),1)</f>
        <v>46235</v>
      </c>
      <c r="M3147" s="31" t="n">
        <f aca="false">WEEKDAY(B3147,2)</f>
        <v>5</v>
      </c>
      <c r="N3147" s="31" t="str">
        <f aca="false">IF(G3147&lt;=INDEX(Assumptions!$B$15:$B$18,MATCH(E3147,Assumptions!$A$15:$A$18,0)),"Yes","No")</f>
        <v>Yes</v>
      </c>
      <c r="O3147" s="31" t="str">
        <f aca="false">IF(H3147="","Open",IF(H3147&lt;=INDEX(Assumptions!$C$15:$C$18,MATCH(E3147,Assumptions!$A$15:$A$18,0)),"Yes","No"))</f>
        <v>Yes</v>
      </c>
    </row>
    <row r="3148" customFormat="false" ht="15" hidden="false" customHeight="false" outlineLevel="0" collapsed="false">
      <c r="A3148" s="31" t="s">
        <v>3298</v>
      </c>
      <c r="B3148" s="44" t="n">
        <v>46248</v>
      </c>
      <c r="C3148" s="31" t="s">
        <v>58</v>
      </c>
      <c r="D3148" s="31" t="s">
        <v>68</v>
      </c>
      <c r="E3148" s="31" t="s">
        <v>52</v>
      </c>
      <c r="F3148" s="31" t="s">
        <v>127</v>
      </c>
      <c r="G3148" s="31" t="n">
        <v>14</v>
      </c>
      <c r="H3148" s="41" t="n">
        <v>25</v>
      </c>
      <c r="I3148" s="31" t="s">
        <v>64</v>
      </c>
      <c r="J3148" s="31"/>
      <c r="K3148" s="31" t="s">
        <v>150</v>
      </c>
      <c r="L3148" s="45" t="n">
        <f aca="false">DATE(YEAR(B3148),MONTH(B3148),1)</f>
        <v>46235</v>
      </c>
      <c r="M3148" s="31" t="n">
        <f aca="false">WEEKDAY(B3148,2)</f>
        <v>5</v>
      </c>
      <c r="N3148" s="31" t="str">
        <f aca="false">IF(G3148&lt;=INDEX(Assumptions!$B$15:$B$18,MATCH(E3148,Assumptions!$A$15:$A$18,0)),"Yes","No")</f>
        <v>Yes</v>
      </c>
      <c r="O3148" s="31" t="str">
        <f aca="false">IF(H3148="","Open",IF(H3148&lt;=INDEX(Assumptions!$C$15:$C$18,MATCH(E3148,Assumptions!$A$15:$A$18,0)),"Yes","No"))</f>
        <v>Yes</v>
      </c>
    </row>
    <row r="3149" customFormat="false" ht="15" hidden="false" customHeight="false" outlineLevel="0" collapsed="false">
      <c r="A3149" s="31" t="s">
        <v>3299</v>
      </c>
      <c r="B3149" s="44" t="n">
        <v>46248</v>
      </c>
      <c r="C3149" s="31" t="s">
        <v>59</v>
      </c>
      <c r="D3149" s="31" t="s">
        <v>65</v>
      </c>
      <c r="E3149" s="31" t="s">
        <v>51</v>
      </c>
      <c r="F3149" s="31" t="s">
        <v>120</v>
      </c>
      <c r="G3149" s="31" t="n">
        <v>35</v>
      </c>
      <c r="H3149" s="41" t="n">
        <v>12.7</v>
      </c>
      <c r="I3149" s="31" t="s">
        <v>149</v>
      </c>
      <c r="J3149" s="31"/>
      <c r="K3149" s="31" t="s">
        <v>153</v>
      </c>
      <c r="L3149" s="45" t="n">
        <f aca="false">DATE(YEAR(B3149),MONTH(B3149),1)</f>
        <v>46235</v>
      </c>
      <c r="M3149" s="31" t="n">
        <f aca="false">WEEKDAY(B3149,2)</f>
        <v>5</v>
      </c>
      <c r="N3149" s="31" t="str">
        <f aca="false">IF(G3149&lt;=INDEX(Assumptions!$B$15:$B$18,MATCH(E3149,Assumptions!$A$15:$A$18,0)),"Yes","No")</f>
        <v>Yes</v>
      </c>
      <c r="O3149" s="31" t="str">
        <f aca="false">IF(H3149="","Open",IF(H3149&lt;=INDEX(Assumptions!$C$15:$C$18,MATCH(E3149,Assumptions!$A$15:$A$18,0)),"Yes","No"))</f>
        <v>Yes</v>
      </c>
    </row>
    <row r="3150" customFormat="false" ht="15" hidden="false" customHeight="false" outlineLevel="0" collapsed="false">
      <c r="A3150" s="31" t="s">
        <v>3300</v>
      </c>
      <c r="B3150" s="44" t="n">
        <v>46248</v>
      </c>
      <c r="C3150" s="31" t="s">
        <v>57</v>
      </c>
      <c r="D3150" s="31" t="s">
        <v>65</v>
      </c>
      <c r="E3150" s="31" t="s">
        <v>50</v>
      </c>
      <c r="F3150" s="31" t="s">
        <v>119</v>
      </c>
      <c r="G3150" s="31" t="n">
        <v>4</v>
      </c>
      <c r="H3150" s="41" t="n">
        <v>7.4</v>
      </c>
      <c r="I3150" s="31" t="s">
        <v>149</v>
      </c>
      <c r="J3150" s="31" t="n">
        <v>5</v>
      </c>
      <c r="K3150" s="31" t="s">
        <v>150</v>
      </c>
      <c r="L3150" s="45" t="n">
        <f aca="false">DATE(YEAR(B3150),MONTH(B3150),1)</f>
        <v>46235</v>
      </c>
      <c r="M3150" s="31" t="n">
        <f aca="false">WEEKDAY(B3150,2)</f>
        <v>5</v>
      </c>
      <c r="N3150" s="31" t="str">
        <f aca="false">IF(G3150&lt;=INDEX(Assumptions!$B$15:$B$18,MATCH(E3150,Assumptions!$A$15:$A$18,0)),"Yes","No")</f>
        <v>Yes</v>
      </c>
      <c r="O3150" s="31" t="str">
        <f aca="false">IF(H3150="","Open",IF(H3150&lt;=INDEX(Assumptions!$C$15:$C$18,MATCH(E3150,Assumptions!$A$15:$A$18,0)),"Yes","No"))</f>
        <v>Yes</v>
      </c>
    </row>
    <row r="3151" customFormat="false" ht="15" hidden="false" customHeight="false" outlineLevel="0" collapsed="false">
      <c r="A3151" s="31" t="s">
        <v>3301</v>
      </c>
      <c r="B3151" s="44" t="n">
        <v>46248</v>
      </c>
      <c r="C3151" s="31" t="s">
        <v>57</v>
      </c>
      <c r="D3151" s="31" t="s">
        <v>67</v>
      </c>
      <c r="E3151" s="31" t="s">
        <v>50</v>
      </c>
      <c r="F3151" s="31" t="s">
        <v>130</v>
      </c>
      <c r="G3151" s="31" t="n">
        <v>2</v>
      </c>
      <c r="H3151" s="41" t="n">
        <v>8.3</v>
      </c>
      <c r="I3151" s="31" t="s">
        <v>149</v>
      </c>
      <c r="J3151" s="31"/>
      <c r="K3151" s="31" t="s">
        <v>150</v>
      </c>
      <c r="L3151" s="45" t="n">
        <f aca="false">DATE(YEAR(B3151),MONTH(B3151),1)</f>
        <v>46235</v>
      </c>
      <c r="M3151" s="31" t="n">
        <f aca="false">WEEKDAY(B3151,2)</f>
        <v>5</v>
      </c>
      <c r="N3151" s="31" t="str">
        <f aca="false">IF(G3151&lt;=INDEX(Assumptions!$B$15:$B$18,MATCH(E3151,Assumptions!$A$15:$A$18,0)),"Yes","No")</f>
        <v>Yes</v>
      </c>
      <c r="O3151" s="31" t="str">
        <f aca="false">IF(H3151="","Open",IF(H3151&lt;=INDEX(Assumptions!$C$15:$C$18,MATCH(E3151,Assumptions!$A$15:$A$18,0)),"Yes","No"))</f>
        <v>No</v>
      </c>
    </row>
    <row r="3152" customFormat="false" ht="15" hidden="false" customHeight="false" outlineLevel="0" collapsed="false">
      <c r="A3152" s="31" t="s">
        <v>3302</v>
      </c>
      <c r="B3152" s="44" t="n">
        <v>46248</v>
      </c>
      <c r="C3152" s="31" t="s">
        <v>58</v>
      </c>
      <c r="D3152" s="31" t="s">
        <v>67</v>
      </c>
      <c r="E3152" s="31" t="s">
        <v>50</v>
      </c>
      <c r="F3152" s="31" t="s">
        <v>126</v>
      </c>
      <c r="G3152" s="31" t="n">
        <v>13</v>
      </c>
      <c r="H3152" s="41" t="n">
        <v>4.3</v>
      </c>
      <c r="I3152" s="31" t="s">
        <v>149</v>
      </c>
      <c r="J3152" s="31" t="n">
        <v>5</v>
      </c>
      <c r="K3152" s="31" t="s">
        <v>150</v>
      </c>
      <c r="L3152" s="45" t="n">
        <f aca="false">DATE(YEAR(B3152),MONTH(B3152),1)</f>
        <v>46235</v>
      </c>
      <c r="M3152" s="31" t="n">
        <f aca="false">WEEKDAY(B3152,2)</f>
        <v>5</v>
      </c>
      <c r="N3152" s="31" t="str">
        <f aca="false">IF(G3152&lt;=INDEX(Assumptions!$B$15:$B$18,MATCH(E3152,Assumptions!$A$15:$A$18,0)),"Yes","No")</f>
        <v>Yes</v>
      </c>
      <c r="O3152" s="31" t="str">
        <f aca="false">IF(H3152="","Open",IF(H3152&lt;=INDEX(Assumptions!$C$15:$C$18,MATCH(E3152,Assumptions!$A$15:$A$18,0)),"Yes","No"))</f>
        <v>Yes</v>
      </c>
    </row>
    <row r="3153" customFormat="false" ht="15" hidden="false" customHeight="false" outlineLevel="0" collapsed="false">
      <c r="A3153" s="31" t="s">
        <v>3303</v>
      </c>
      <c r="B3153" s="44" t="n">
        <v>46248</v>
      </c>
      <c r="C3153" s="31" t="s">
        <v>58</v>
      </c>
      <c r="D3153" s="31" t="s">
        <v>67</v>
      </c>
      <c r="E3153" s="31" t="s">
        <v>52</v>
      </c>
      <c r="F3153" s="31" t="s">
        <v>124</v>
      </c>
      <c r="G3153" s="31" t="n">
        <v>4</v>
      </c>
      <c r="H3153" s="41" t="n">
        <v>3.8</v>
      </c>
      <c r="I3153" s="31" t="s">
        <v>149</v>
      </c>
      <c r="J3153" s="31"/>
      <c r="K3153" s="31" t="s">
        <v>150</v>
      </c>
      <c r="L3153" s="45" t="n">
        <f aca="false">DATE(YEAR(B3153),MONTH(B3153),1)</f>
        <v>46235</v>
      </c>
      <c r="M3153" s="31" t="n">
        <f aca="false">WEEKDAY(B3153,2)</f>
        <v>5</v>
      </c>
      <c r="N3153" s="31" t="str">
        <f aca="false">IF(G3153&lt;=INDEX(Assumptions!$B$15:$B$18,MATCH(E3153,Assumptions!$A$15:$A$18,0)),"Yes","No")</f>
        <v>Yes</v>
      </c>
      <c r="O3153" s="31" t="str">
        <f aca="false">IF(H3153="","Open",IF(H3153&lt;=INDEX(Assumptions!$C$15:$C$18,MATCH(E3153,Assumptions!$A$15:$A$18,0)),"Yes","No"))</f>
        <v>Yes</v>
      </c>
    </row>
    <row r="3154" customFormat="false" ht="15" hidden="false" customHeight="false" outlineLevel="0" collapsed="false">
      <c r="A3154" s="31" t="s">
        <v>3304</v>
      </c>
      <c r="B3154" s="44" t="n">
        <v>46248</v>
      </c>
      <c r="C3154" s="31" t="s">
        <v>60</v>
      </c>
      <c r="D3154" s="31" t="s">
        <v>65</v>
      </c>
      <c r="E3154" s="31" t="s">
        <v>51</v>
      </c>
      <c r="F3154" s="31" t="s">
        <v>121</v>
      </c>
      <c r="G3154" s="31" t="n">
        <v>1</v>
      </c>
      <c r="H3154" s="41" t="n">
        <v>8.9</v>
      </c>
      <c r="I3154" s="31" t="s">
        <v>149</v>
      </c>
      <c r="J3154" s="31" t="n">
        <v>5</v>
      </c>
      <c r="K3154" s="31" t="s">
        <v>150</v>
      </c>
      <c r="L3154" s="45" t="n">
        <f aca="false">DATE(YEAR(B3154),MONTH(B3154),1)</f>
        <v>46235</v>
      </c>
      <c r="M3154" s="31" t="n">
        <f aca="false">WEEKDAY(B3154,2)</f>
        <v>5</v>
      </c>
      <c r="N3154" s="31" t="str">
        <f aca="false">IF(G3154&lt;=INDEX(Assumptions!$B$15:$B$18,MATCH(E3154,Assumptions!$A$15:$A$18,0)),"Yes","No")</f>
        <v>Yes</v>
      </c>
      <c r="O3154" s="31" t="str">
        <f aca="false">IF(H3154="","Open",IF(H3154&lt;=INDEX(Assumptions!$C$15:$C$18,MATCH(E3154,Assumptions!$A$15:$A$18,0)),"Yes","No"))</f>
        <v>Yes</v>
      </c>
    </row>
    <row r="3155" customFormat="false" ht="15" hidden="false" customHeight="false" outlineLevel="0" collapsed="false">
      <c r="A3155" s="31" t="s">
        <v>3305</v>
      </c>
      <c r="B3155" s="44" t="n">
        <v>46248</v>
      </c>
      <c r="C3155" s="31" t="s">
        <v>57</v>
      </c>
      <c r="D3155" s="31" t="s">
        <v>66</v>
      </c>
      <c r="E3155" s="31" t="s">
        <v>51</v>
      </c>
      <c r="F3155" s="31" t="s">
        <v>137</v>
      </c>
      <c r="G3155" s="31" t="n">
        <v>1</v>
      </c>
      <c r="H3155" s="41" t="n">
        <v>8.6</v>
      </c>
      <c r="I3155" s="31" t="s">
        <v>149</v>
      </c>
      <c r="J3155" s="31"/>
      <c r="K3155" s="31" t="s">
        <v>150</v>
      </c>
      <c r="L3155" s="45" t="n">
        <f aca="false">DATE(YEAR(B3155),MONTH(B3155),1)</f>
        <v>46235</v>
      </c>
      <c r="M3155" s="31" t="n">
        <f aca="false">WEEKDAY(B3155,2)</f>
        <v>5</v>
      </c>
      <c r="N3155" s="31" t="str">
        <f aca="false">IF(G3155&lt;=INDEX(Assumptions!$B$15:$B$18,MATCH(E3155,Assumptions!$A$15:$A$18,0)),"Yes","No")</f>
        <v>Yes</v>
      </c>
      <c r="O3155" s="31" t="str">
        <f aca="false">IF(H3155="","Open",IF(H3155&lt;=INDEX(Assumptions!$C$15:$C$18,MATCH(E3155,Assumptions!$A$15:$A$18,0)),"Yes","No"))</f>
        <v>Yes</v>
      </c>
    </row>
    <row r="3156" customFormat="false" ht="15" hidden="false" customHeight="false" outlineLevel="0" collapsed="false">
      <c r="A3156" s="31" t="s">
        <v>3306</v>
      </c>
      <c r="B3156" s="44" t="n">
        <v>46248</v>
      </c>
      <c r="C3156" s="31" t="s">
        <v>57</v>
      </c>
      <c r="D3156" s="31" t="s">
        <v>67</v>
      </c>
      <c r="E3156" s="31" t="s">
        <v>51</v>
      </c>
      <c r="F3156" s="31" t="s">
        <v>130</v>
      </c>
      <c r="G3156" s="31" t="n">
        <v>1</v>
      </c>
      <c r="H3156" s="41" t="n">
        <v>5.7</v>
      </c>
      <c r="I3156" s="31" t="s">
        <v>149</v>
      </c>
      <c r="J3156" s="31" t="n">
        <v>5</v>
      </c>
      <c r="K3156" s="31" t="s">
        <v>150</v>
      </c>
      <c r="L3156" s="45" t="n">
        <f aca="false">DATE(YEAR(B3156),MONTH(B3156),1)</f>
        <v>46235</v>
      </c>
      <c r="M3156" s="31" t="n">
        <f aca="false">WEEKDAY(B3156,2)</f>
        <v>5</v>
      </c>
      <c r="N3156" s="31" t="str">
        <f aca="false">IF(G3156&lt;=INDEX(Assumptions!$B$15:$B$18,MATCH(E3156,Assumptions!$A$15:$A$18,0)),"Yes","No")</f>
        <v>Yes</v>
      </c>
      <c r="O3156" s="31" t="str">
        <f aca="false">IF(H3156="","Open",IF(H3156&lt;=INDEX(Assumptions!$C$15:$C$18,MATCH(E3156,Assumptions!$A$15:$A$18,0)),"Yes","No"))</f>
        <v>Yes</v>
      </c>
    </row>
    <row r="3157" customFormat="false" ht="15" hidden="false" customHeight="false" outlineLevel="0" collapsed="false">
      <c r="A3157" s="31" t="s">
        <v>3307</v>
      </c>
      <c r="B3157" s="44" t="n">
        <v>46248</v>
      </c>
      <c r="C3157" s="31" t="s">
        <v>58</v>
      </c>
      <c r="D3157" s="31" t="s">
        <v>69</v>
      </c>
      <c r="E3157" s="31" t="s">
        <v>51</v>
      </c>
      <c r="F3157" s="31" t="s">
        <v>121</v>
      </c>
      <c r="G3157" s="31" t="n">
        <v>5</v>
      </c>
      <c r="H3157" s="41" t="n">
        <v>106.8</v>
      </c>
      <c r="I3157" s="31" t="s">
        <v>149</v>
      </c>
      <c r="J3157" s="31"/>
      <c r="K3157" s="31" t="s">
        <v>150</v>
      </c>
      <c r="L3157" s="45" t="n">
        <f aca="false">DATE(YEAR(B3157),MONTH(B3157),1)</f>
        <v>46235</v>
      </c>
      <c r="M3157" s="31" t="n">
        <f aca="false">WEEKDAY(B3157,2)</f>
        <v>5</v>
      </c>
      <c r="N3157" s="31" t="str">
        <f aca="false">IF(G3157&lt;=INDEX(Assumptions!$B$15:$B$18,MATCH(E3157,Assumptions!$A$15:$A$18,0)),"Yes","No")</f>
        <v>Yes</v>
      </c>
      <c r="O3157" s="31" t="str">
        <f aca="false">IF(H3157="","Open",IF(H3157&lt;=INDEX(Assumptions!$C$15:$C$18,MATCH(E3157,Assumptions!$A$15:$A$18,0)),"Yes","No"))</f>
        <v>No</v>
      </c>
    </row>
    <row r="3158" customFormat="false" ht="15" hidden="false" customHeight="false" outlineLevel="0" collapsed="false">
      <c r="A3158" s="31" t="s">
        <v>3308</v>
      </c>
      <c r="B3158" s="44" t="n">
        <v>46248</v>
      </c>
      <c r="C3158" s="31" t="s">
        <v>59</v>
      </c>
      <c r="D3158" s="31" t="s">
        <v>69</v>
      </c>
      <c r="E3158" s="31" t="s">
        <v>52</v>
      </c>
      <c r="F3158" s="31" t="s">
        <v>130</v>
      </c>
      <c r="G3158" s="31" t="n">
        <v>72</v>
      </c>
      <c r="H3158" s="41" t="n">
        <v>56.2</v>
      </c>
      <c r="I3158" s="31" t="s">
        <v>149</v>
      </c>
      <c r="J3158" s="31" t="n">
        <v>4</v>
      </c>
      <c r="K3158" s="31" t="s">
        <v>150</v>
      </c>
      <c r="L3158" s="45" t="n">
        <f aca="false">DATE(YEAR(B3158),MONTH(B3158),1)</f>
        <v>46235</v>
      </c>
      <c r="M3158" s="31" t="n">
        <f aca="false">WEEKDAY(B3158,2)</f>
        <v>5</v>
      </c>
      <c r="N3158" s="31" t="str">
        <f aca="false">IF(G3158&lt;=INDEX(Assumptions!$B$15:$B$18,MATCH(E3158,Assumptions!$A$15:$A$18,0)),"Yes","No")</f>
        <v>Yes</v>
      </c>
      <c r="O3158" s="31" t="str">
        <f aca="false">IF(H3158="","Open",IF(H3158&lt;=INDEX(Assumptions!$C$15:$C$18,MATCH(E3158,Assumptions!$A$15:$A$18,0)),"Yes","No"))</f>
        <v>Yes</v>
      </c>
    </row>
    <row r="3159" customFormat="false" ht="15" hidden="false" customHeight="false" outlineLevel="0" collapsed="false">
      <c r="A3159" s="31" t="s">
        <v>3309</v>
      </c>
      <c r="B3159" s="44" t="n">
        <v>46248</v>
      </c>
      <c r="C3159" s="31" t="s">
        <v>59</v>
      </c>
      <c r="D3159" s="31" t="s">
        <v>66</v>
      </c>
      <c r="E3159" s="31" t="s">
        <v>51</v>
      </c>
      <c r="F3159" s="31" t="s">
        <v>133</v>
      </c>
      <c r="G3159" s="31" t="n">
        <v>37</v>
      </c>
      <c r="H3159" s="41" t="n">
        <v>10.4</v>
      </c>
      <c r="I3159" s="31" t="s">
        <v>149</v>
      </c>
      <c r="J3159" s="31" t="n">
        <v>4</v>
      </c>
      <c r="K3159" s="31" t="s">
        <v>150</v>
      </c>
      <c r="L3159" s="45" t="n">
        <f aca="false">DATE(YEAR(B3159),MONTH(B3159),1)</f>
        <v>46235</v>
      </c>
      <c r="M3159" s="31" t="n">
        <f aca="false">WEEKDAY(B3159,2)</f>
        <v>5</v>
      </c>
      <c r="N3159" s="31" t="str">
        <f aca="false">IF(G3159&lt;=INDEX(Assumptions!$B$15:$B$18,MATCH(E3159,Assumptions!$A$15:$A$18,0)),"Yes","No")</f>
        <v>Yes</v>
      </c>
      <c r="O3159" s="31" t="str">
        <f aca="false">IF(H3159="","Open",IF(H3159&lt;=INDEX(Assumptions!$C$15:$C$18,MATCH(E3159,Assumptions!$A$15:$A$18,0)),"Yes","No"))</f>
        <v>Yes</v>
      </c>
    </row>
    <row r="3160" customFormat="false" ht="15" hidden="false" customHeight="false" outlineLevel="0" collapsed="false">
      <c r="A3160" s="31" t="s">
        <v>3310</v>
      </c>
      <c r="B3160" s="44" t="n">
        <v>46248</v>
      </c>
      <c r="C3160" s="31" t="s">
        <v>60</v>
      </c>
      <c r="D3160" s="31" t="s">
        <v>66</v>
      </c>
      <c r="E3160" s="31" t="s">
        <v>52</v>
      </c>
      <c r="F3160" s="31" t="s">
        <v>130</v>
      </c>
      <c r="G3160" s="31" t="n">
        <v>6</v>
      </c>
      <c r="H3160" s="41" t="n">
        <v>5.4</v>
      </c>
      <c r="I3160" s="31" t="s">
        <v>149</v>
      </c>
      <c r="J3160" s="31"/>
      <c r="K3160" s="31" t="s">
        <v>150</v>
      </c>
      <c r="L3160" s="45" t="n">
        <f aca="false">DATE(YEAR(B3160),MONTH(B3160),1)</f>
        <v>46235</v>
      </c>
      <c r="M3160" s="31" t="n">
        <f aca="false">WEEKDAY(B3160,2)</f>
        <v>5</v>
      </c>
      <c r="N3160" s="31" t="str">
        <f aca="false">IF(G3160&lt;=INDEX(Assumptions!$B$15:$B$18,MATCH(E3160,Assumptions!$A$15:$A$18,0)),"Yes","No")</f>
        <v>Yes</v>
      </c>
      <c r="O3160" s="31" t="str">
        <f aca="false">IF(H3160="","Open",IF(H3160&lt;=INDEX(Assumptions!$C$15:$C$18,MATCH(E3160,Assumptions!$A$15:$A$18,0)),"Yes","No"))</f>
        <v>Yes</v>
      </c>
    </row>
    <row r="3161" customFormat="false" ht="15" hidden="false" customHeight="false" outlineLevel="0" collapsed="false">
      <c r="A3161" s="31" t="s">
        <v>3311</v>
      </c>
      <c r="B3161" s="44" t="n">
        <v>46248</v>
      </c>
      <c r="C3161" s="31" t="s">
        <v>58</v>
      </c>
      <c r="D3161" s="31" t="s">
        <v>67</v>
      </c>
      <c r="E3161" s="31" t="s">
        <v>51</v>
      </c>
      <c r="F3161" s="31" t="s">
        <v>127</v>
      </c>
      <c r="G3161" s="31" t="n">
        <v>8</v>
      </c>
      <c r="H3161" s="41" t="n">
        <v>4.9</v>
      </c>
      <c r="I3161" s="31" t="s">
        <v>149</v>
      </c>
      <c r="J3161" s="31"/>
      <c r="K3161" s="31" t="s">
        <v>150</v>
      </c>
      <c r="L3161" s="45" t="n">
        <f aca="false">DATE(YEAR(B3161),MONTH(B3161),1)</f>
        <v>46235</v>
      </c>
      <c r="M3161" s="31" t="n">
        <f aca="false">WEEKDAY(B3161,2)</f>
        <v>5</v>
      </c>
      <c r="N3161" s="31" t="str">
        <f aca="false">IF(G3161&lt;=INDEX(Assumptions!$B$15:$B$18,MATCH(E3161,Assumptions!$A$15:$A$18,0)),"Yes","No")</f>
        <v>Yes</v>
      </c>
      <c r="O3161" s="31" t="str">
        <f aca="false">IF(H3161="","Open",IF(H3161&lt;=INDEX(Assumptions!$C$15:$C$18,MATCH(E3161,Assumptions!$A$15:$A$18,0)),"Yes","No"))</f>
        <v>Yes</v>
      </c>
    </row>
    <row r="3162" customFormat="false" ht="15" hidden="false" customHeight="false" outlineLevel="0" collapsed="false">
      <c r="A3162" s="31" t="s">
        <v>3312</v>
      </c>
      <c r="B3162" s="44" t="n">
        <v>46248</v>
      </c>
      <c r="C3162" s="31" t="s">
        <v>57</v>
      </c>
      <c r="D3162" s="31" t="s">
        <v>66</v>
      </c>
      <c r="E3162" s="31" t="s">
        <v>51</v>
      </c>
      <c r="F3162" s="31" t="s">
        <v>133</v>
      </c>
      <c r="G3162" s="31" t="n">
        <v>2</v>
      </c>
      <c r="H3162" s="41" t="n">
        <v>2.2</v>
      </c>
      <c r="I3162" s="31" t="s">
        <v>149</v>
      </c>
      <c r="J3162" s="31"/>
      <c r="K3162" s="31" t="s">
        <v>150</v>
      </c>
      <c r="L3162" s="45" t="n">
        <f aca="false">DATE(YEAR(B3162),MONTH(B3162),1)</f>
        <v>46235</v>
      </c>
      <c r="M3162" s="31" t="n">
        <f aca="false">WEEKDAY(B3162,2)</f>
        <v>5</v>
      </c>
      <c r="N3162" s="31" t="str">
        <f aca="false">IF(G3162&lt;=INDEX(Assumptions!$B$15:$B$18,MATCH(E3162,Assumptions!$A$15:$A$18,0)),"Yes","No")</f>
        <v>Yes</v>
      </c>
      <c r="O3162" s="31" t="str">
        <f aca="false">IF(H3162="","Open",IF(H3162&lt;=INDEX(Assumptions!$C$15:$C$18,MATCH(E3162,Assumptions!$A$15:$A$18,0)),"Yes","No"))</f>
        <v>Yes</v>
      </c>
    </row>
    <row r="3163" customFormat="false" ht="15" hidden="false" customHeight="false" outlineLevel="0" collapsed="false">
      <c r="A3163" s="31" t="s">
        <v>3313</v>
      </c>
      <c r="B3163" s="44" t="n">
        <v>46248</v>
      </c>
      <c r="C3163" s="31" t="s">
        <v>57</v>
      </c>
      <c r="D3163" s="31" t="s">
        <v>67</v>
      </c>
      <c r="E3163" s="31" t="s">
        <v>51</v>
      </c>
      <c r="F3163" s="31" t="s">
        <v>127</v>
      </c>
      <c r="G3163" s="31" t="n">
        <v>4</v>
      </c>
      <c r="H3163" s="41" t="n">
        <v>3.1</v>
      </c>
      <c r="I3163" s="31" t="s">
        <v>149</v>
      </c>
      <c r="J3163" s="31" t="n">
        <v>5</v>
      </c>
      <c r="K3163" s="31" t="s">
        <v>150</v>
      </c>
      <c r="L3163" s="45" t="n">
        <f aca="false">DATE(YEAR(B3163),MONTH(B3163),1)</f>
        <v>46235</v>
      </c>
      <c r="M3163" s="31" t="n">
        <f aca="false">WEEKDAY(B3163,2)</f>
        <v>5</v>
      </c>
      <c r="N3163" s="31" t="str">
        <f aca="false">IF(G3163&lt;=INDEX(Assumptions!$B$15:$B$18,MATCH(E3163,Assumptions!$A$15:$A$18,0)),"Yes","No")</f>
        <v>Yes</v>
      </c>
      <c r="O3163" s="31" t="str">
        <f aca="false">IF(H3163="","Open",IF(H3163&lt;=INDEX(Assumptions!$C$15:$C$18,MATCH(E3163,Assumptions!$A$15:$A$18,0)),"Yes","No"))</f>
        <v>Yes</v>
      </c>
    </row>
    <row r="3164" customFormat="false" ht="15" hidden="false" customHeight="false" outlineLevel="0" collapsed="false">
      <c r="A3164" s="31" t="s">
        <v>3314</v>
      </c>
      <c r="B3164" s="44" t="n">
        <v>46248</v>
      </c>
      <c r="C3164" s="31" t="s">
        <v>59</v>
      </c>
      <c r="D3164" s="31" t="s">
        <v>65</v>
      </c>
      <c r="E3164" s="31" t="s">
        <v>51</v>
      </c>
      <c r="F3164" s="31" t="s">
        <v>131</v>
      </c>
      <c r="G3164" s="31" t="n">
        <v>120</v>
      </c>
      <c r="H3164" s="41" t="n">
        <v>4.8</v>
      </c>
      <c r="I3164" s="31" t="s">
        <v>149</v>
      </c>
      <c r="J3164" s="31"/>
      <c r="K3164" s="31" t="s">
        <v>150</v>
      </c>
      <c r="L3164" s="45" t="n">
        <f aca="false">DATE(YEAR(B3164),MONTH(B3164),1)</f>
        <v>46235</v>
      </c>
      <c r="M3164" s="31" t="n">
        <f aca="false">WEEKDAY(B3164,2)</f>
        <v>5</v>
      </c>
      <c r="N3164" s="31" t="str">
        <f aca="false">IF(G3164&lt;=INDEX(Assumptions!$B$15:$B$18,MATCH(E3164,Assumptions!$A$15:$A$18,0)),"Yes","No")</f>
        <v>No</v>
      </c>
      <c r="O3164" s="31" t="str">
        <f aca="false">IF(H3164="","Open",IF(H3164&lt;=INDEX(Assumptions!$C$15:$C$18,MATCH(E3164,Assumptions!$A$15:$A$18,0)),"Yes","No"))</f>
        <v>Yes</v>
      </c>
    </row>
    <row r="3165" customFormat="false" ht="15" hidden="false" customHeight="false" outlineLevel="0" collapsed="false">
      <c r="A3165" s="31" t="s">
        <v>3315</v>
      </c>
      <c r="B3165" s="44" t="n">
        <v>46248</v>
      </c>
      <c r="C3165" s="31" t="s">
        <v>57</v>
      </c>
      <c r="D3165" s="31" t="s">
        <v>69</v>
      </c>
      <c r="E3165" s="31" t="s">
        <v>51</v>
      </c>
      <c r="F3165" s="31" t="s">
        <v>121</v>
      </c>
      <c r="G3165" s="31" t="n">
        <v>15</v>
      </c>
      <c r="H3165" s="41" t="n">
        <v>46.6</v>
      </c>
      <c r="I3165" s="31" t="s">
        <v>149</v>
      </c>
      <c r="J3165" s="31"/>
      <c r="K3165" s="31" t="s">
        <v>150</v>
      </c>
      <c r="L3165" s="45" t="n">
        <f aca="false">DATE(YEAR(B3165),MONTH(B3165),1)</f>
        <v>46235</v>
      </c>
      <c r="M3165" s="31" t="n">
        <f aca="false">WEEKDAY(B3165,2)</f>
        <v>5</v>
      </c>
      <c r="N3165" s="31" t="str">
        <f aca="false">IF(G3165&lt;=INDEX(Assumptions!$B$15:$B$18,MATCH(E3165,Assumptions!$A$15:$A$18,0)),"Yes","No")</f>
        <v>Yes</v>
      </c>
      <c r="O3165" s="31" t="str">
        <f aca="false">IF(H3165="","Open",IF(H3165&lt;=INDEX(Assumptions!$C$15:$C$18,MATCH(E3165,Assumptions!$A$15:$A$18,0)),"Yes","No"))</f>
        <v>No</v>
      </c>
    </row>
    <row r="3166" customFormat="false" ht="15" hidden="false" customHeight="false" outlineLevel="0" collapsed="false">
      <c r="A3166" s="31" t="s">
        <v>3316</v>
      </c>
      <c r="B3166" s="44" t="n">
        <v>46248</v>
      </c>
      <c r="C3166" s="31" t="s">
        <v>58</v>
      </c>
      <c r="D3166" s="31" t="s">
        <v>65</v>
      </c>
      <c r="E3166" s="31" t="s">
        <v>51</v>
      </c>
      <c r="F3166" s="31" t="s">
        <v>121</v>
      </c>
      <c r="G3166" s="31" t="n">
        <v>5</v>
      </c>
      <c r="H3166" s="41" t="n">
        <v>42.1</v>
      </c>
      <c r="I3166" s="31" t="s">
        <v>149</v>
      </c>
      <c r="J3166" s="31"/>
      <c r="K3166" s="31" t="s">
        <v>153</v>
      </c>
      <c r="L3166" s="45" t="n">
        <f aca="false">DATE(YEAR(B3166),MONTH(B3166),1)</f>
        <v>46235</v>
      </c>
      <c r="M3166" s="31" t="n">
        <f aca="false">WEEKDAY(B3166,2)</f>
        <v>5</v>
      </c>
      <c r="N3166" s="31" t="str">
        <f aca="false">IF(G3166&lt;=INDEX(Assumptions!$B$15:$B$18,MATCH(E3166,Assumptions!$A$15:$A$18,0)),"Yes","No")</f>
        <v>Yes</v>
      </c>
      <c r="O3166" s="31" t="str">
        <f aca="false">IF(H3166="","Open",IF(H3166&lt;=INDEX(Assumptions!$C$15:$C$18,MATCH(E3166,Assumptions!$A$15:$A$18,0)),"Yes","No"))</f>
        <v>No</v>
      </c>
    </row>
    <row r="3167" customFormat="false" ht="15" hidden="false" customHeight="false" outlineLevel="0" collapsed="false">
      <c r="A3167" s="31" t="s">
        <v>3317</v>
      </c>
      <c r="B3167" s="44" t="n">
        <v>46248</v>
      </c>
      <c r="C3167" s="31" t="s">
        <v>57</v>
      </c>
      <c r="D3167" s="31" t="s">
        <v>69</v>
      </c>
      <c r="E3167" s="31" t="s">
        <v>51</v>
      </c>
      <c r="F3167" s="31" t="s">
        <v>123</v>
      </c>
      <c r="G3167" s="31" t="n">
        <v>2</v>
      </c>
      <c r="H3167" s="41" t="n">
        <v>6.1</v>
      </c>
      <c r="I3167" s="31" t="s">
        <v>149</v>
      </c>
      <c r="J3167" s="31"/>
      <c r="K3167" s="31" t="s">
        <v>150</v>
      </c>
      <c r="L3167" s="45" t="n">
        <f aca="false">DATE(YEAR(B3167),MONTH(B3167),1)</f>
        <v>46235</v>
      </c>
      <c r="M3167" s="31" t="n">
        <f aca="false">WEEKDAY(B3167,2)</f>
        <v>5</v>
      </c>
      <c r="N3167" s="31" t="str">
        <f aca="false">IF(G3167&lt;=INDEX(Assumptions!$B$15:$B$18,MATCH(E3167,Assumptions!$A$15:$A$18,0)),"Yes","No")</f>
        <v>Yes</v>
      </c>
      <c r="O3167" s="31" t="str">
        <f aca="false">IF(H3167="","Open",IF(H3167&lt;=INDEX(Assumptions!$C$15:$C$18,MATCH(E3167,Assumptions!$A$15:$A$18,0)),"Yes","No"))</f>
        <v>Yes</v>
      </c>
    </row>
    <row r="3168" customFormat="false" ht="15" hidden="false" customHeight="false" outlineLevel="0" collapsed="false">
      <c r="A3168" s="31" t="s">
        <v>3318</v>
      </c>
      <c r="B3168" s="44" t="n">
        <v>46248</v>
      </c>
      <c r="C3168" s="31" t="s">
        <v>57</v>
      </c>
      <c r="D3168" s="31" t="s">
        <v>66</v>
      </c>
      <c r="E3168" s="31" t="s">
        <v>51</v>
      </c>
      <c r="F3168" s="31" t="s">
        <v>131</v>
      </c>
      <c r="G3168" s="31" t="n">
        <v>2</v>
      </c>
      <c r="H3168" s="41" t="n">
        <v>18.8</v>
      </c>
      <c r="I3168" s="31" t="s">
        <v>149</v>
      </c>
      <c r="J3168" s="31" t="n">
        <v>4</v>
      </c>
      <c r="K3168" s="31" t="s">
        <v>150</v>
      </c>
      <c r="L3168" s="45" t="n">
        <f aca="false">DATE(YEAR(B3168),MONTH(B3168),1)</f>
        <v>46235</v>
      </c>
      <c r="M3168" s="31" t="n">
        <f aca="false">WEEKDAY(B3168,2)</f>
        <v>5</v>
      </c>
      <c r="N3168" s="31" t="str">
        <f aca="false">IF(G3168&lt;=INDEX(Assumptions!$B$15:$B$18,MATCH(E3168,Assumptions!$A$15:$A$18,0)),"Yes","No")</f>
        <v>Yes</v>
      </c>
      <c r="O3168" s="31" t="str">
        <f aca="false">IF(H3168="","Open",IF(H3168&lt;=INDEX(Assumptions!$C$15:$C$18,MATCH(E3168,Assumptions!$A$15:$A$18,0)),"Yes","No"))</f>
        <v>Yes</v>
      </c>
    </row>
    <row r="3169" customFormat="false" ht="15" hidden="false" customHeight="false" outlineLevel="0" collapsed="false">
      <c r="A3169" s="31" t="s">
        <v>3319</v>
      </c>
      <c r="B3169" s="44" t="n">
        <v>46248</v>
      </c>
      <c r="C3169" s="31" t="s">
        <v>59</v>
      </c>
      <c r="D3169" s="31" t="s">
        <v>65</v>
      </c>
      <c r="E3169" s="31" t="s">
        <v>51</v>
      </c>
      <c r="F3169" s="31" t="s">
        <v>126</v>
      </c>
      <c r="G3169" s="31" t="n">
        <v>95</v>
      </c>
      <c r="H3169" s="41" t="n">
        <v>6.8</v>
      </c>
      <c r="I3169" s="31" t="s">
        <v>149</v>
      </c>
      <c r="J3169" s="31"/>
      <c r="K3169" s="31" t="s">
        <v>150</v>
      </c>
      <c r="L3169" s="45" t="n">
        <f aca="false">DATE(YEAR(B3169),MONTH(B3169),1)</f>
        <v>46235</v>
      </c>
      <c r="M3169" s="31" t="n">
        <f aca="false">WEEKDAY(B3169,2)</f>
        <v>5</v>
      </c>
      <c r="N3169" s="31" t="str">
        <f aca="false">IF(G3169&lt;=INDEX(Assumptions!$B$15:$B$18,MATCH(E3169,Assumptions!$A$15:$A$18,0)),"Yes","No")</f>
        <v>No</v>
      </c>
      <c r="O3169" s="31" t="str">
        <f aca="false">IF(H3169="","Open",IF(H3169&lt;=INDEX(Assumptions!$C$15:$C$18,MATCH(E3169,Assumptions!$A$15:$A$18,0)),"Yes","No"))</f>
        <v>Yes</v>
      </c>
    </row>
    <row r="3170" customFormat="false" ht="15" hidden="false" customHeight="false" outlineLevel="0" collapsed="false">
      <c r="A3170" s="31" t="s">
        <v>3320</v>
      </c>
      <c r="B3170" s="44" t="n">
        <v>46248</v>
      </c>
      <c r="C3170" s="31" t="s">
        <v>58</v>
      </c>
      <c r="D3170" s="31" t="s">
        <v>67</v>
      </c>
      <c r="E3170" s="31" t="s">
        <v>51</v>
      </c>
      <c r="F3170" s="31" t="s">
        <v>134</v>
      </c>
      <c r="G3170" s="31" t="n">
        <v>10</v>
      </c>
      <c r="H3170" s="41" t="n">
        <v>11.2</v>
      </c>
      <c r="I3170" s="31" t="s">
        <v>149</v>
      </c>
      <c r="J3170" s="31"/>
      <c r="K3170" s="31" t="s">
        <v>150</v>
      </c>
      <c r="L3170" s="45" t="n">
        <f aca="false">DATE(YEAR(B3170),MONTH(B3170),1)</f>
        <v>46235</v>
      </c>
      <c r="M3170" s="31" t="n">
        <f aca="false">WEEKDAY(B3170,2)</f>
        <v>5</v>
      </c>
      <c r="N3170" s="31" t="str">
        <f aca="false">IF(G3170&lt;=INDEX(Assumptions!$B$15:$B$18,MATCH(E3170,Assumptions!$A$15:$A$18,0)),"Yes","No")</f>
        <v>Yes</v>
      </c>
      <c r="O3170" s="31" t="str">
        <f aca="false">IF(H3170="","Open",IF(H3170&lt;=INDEX(Assumptions!$C$15:$C$18,MATCH(E3170,Assumptions!$A$15:$A$18,0)),"Yes","No"))</f>
        <v>Yes</v>
      </c>
    </row>
    <row r="3171" customFormat="false" ht="15" hidden="false" customHeight="false" outlineLevel="0" collapsed="false">
      <c r="A3171" s="31" t="s">
        <v>3321</v>
      </c>
      <c r="B3171" s="44" t="n">
        <v>46248</v>
      </c>
      <c r="C3171" s="31" t="s">
        <v>58</v>
      </c>
      <c r="D3171" s="31" t="s">
        <v>66</v>
      </c>
      <c r="E3171" s="31" t="s">
        <v>50</v>
      </c>
      <c r="F3171" s="31" t="s">
        <v>122</v>
      </c>
      <c r="G3171" s="31" t="n">
        <v>7</v>
      </c>
      <c r="H3171" s="41" t="n">
        <v>3.4</v>
      </c>
      <c r="I3171" s="31" t="s">
        <v>149</v>
      </c>
      <c r="J3171" s="31"/>
      <c r="K3171" s="31" t="s">
        <v>150</v>
      </c>
      <c r="L3171" s="45" t="n">
        <f aca="false">DATE(YEAR(B3171),MONTH(B3171),1)</f>
        <v>46235</v>
      </c>
      <c r="M3171" s="31" t="n">
        <f aca="false">WEEKDAY(B3171,2)</f>
        <v>5</v>
      </c>
      <c r="N3171" s="31" t="str">
        <f aca="false">IF(G3171&lt;=INDEX(Assumptions!$B$15:$B$18,MATCH(E3171,Assumptions!$A$15:$A$18,0)),"Yes","No")</f>
        <v>Yes</v>
      </c>
      <c r="O3171" s="31" t="str">
        <f aca="false">IF(H3171="","Open",IF(H3171&lt;=INDEX(Assumptions!$C$15:$C$18,MATCH(E3171,Assumptions!$A$15:$A$18,0)),"Yes","No"))</f>
        <v>Yes</v>
      </c>
    </row>
    <row r="3172" customFormat="false" ht="15" hidden="false" customHeight="false" outlineLevel="0" collapsed="false">
      <c r="A3172" s="31" t="s">
        <v>3322</v>
      </c>
      <c r="B3172" s="44" t="n">
        <v>46248</v>
      </c>
      <c r="C3172" s="31" t="s">
        <v>58</v>
      </c>
      <c r="D3172" s="31" t="s">
        <v>66</v>
      </c>
      <c r="E3172" s="31" t="s">
        <v>51</v>
      </c>
      <c r="F3172" s="31" t="s">
        <v>121</v>
      </c>
      <c r="G3172" s="31" t="n">
        <v>8</v>
      </c>
      <c r="H3172" s="41" t="n">
        <v>23.9</v>
      </c>
      <c r="I3172" s="31" t="s">
        <v>149</v>
      </c>
      <c r="J3172" s="31"/>
      <c r="K3172" s="31" t="s">
        <v>150</v>
      </c>
      <c r="L3172" s="45" t="n">
        <f aca="false">DATE(YEAR(B3172),MONTH(B3172),1)</f>
        <v>46235</v>
      </c>
      <c r="M3172" s="31" t="n">
        <f aca="false">WEEKDAY(B3172,2)</f>
        <v>5</v>
      </c>
      <c r="N3172" s="31" t="str">
        <f aca="false">IF(G3172&lt;=INDEX(Assumptions!$B$15:$B$18,MATCH(E3172,Assumptions!$A$15:$A$18,0)),"Yes","No")</f>
        <v>Yes</v>
      </c>
      <c r="O3172" s="31" t="str">
        <f aca="false">IF(H3172="","Open",IF(H3172&lt;=INDEX(Assumptions!$C$15:$C$18,MATCH(E3172,Assumptions!$A$15:$A$18,0)),"Yes","No"))</f>
        <v>Yes</v>
      </c>
    </row>
    <row r="3173" customFormat="false" ht="15" hidden="false" customHeight="false" outlineLevel="0" collapsed="false">
      <c r="A3173" s="31" t="s">
        <v>3323</v>
      </c>
      <c r="B3173" s="44" t="n">
        <v>46248</v>
      </c>
      <c r="C3173" s="31" t="s">
        <v>58</v>
      </c>
      <c r="D3173" s="31" t="s">
        <v>65</v>
      </c>
      <c r="E3173" s="31" t="s">
        <v>52</v>
      </c>
      <c r="F3173" s="31" t="s">
        <v>128</v>
      </c>
      <c r="G3173" s="31" t="n">
        <v>7</v>
      </c>
      <c r="H3173" s="41" t="n">
        <v>15.3</v>
      </c>
      <c r="I3173" s="31" t="s">
        <v>149</v>
      </c>
      <c r="J3173" s="31" t="n">
        <v>3</v>
      </c>
      <c r="K3173" s="31" t="s">
        <v>150</v>
      </c>
      <c r="L3173" s="45" t="n">
        <f aca="false">DATE(YEAR(B3173),MONTH(B3173),1)</f>
        <v>46235</v>
      </c>
      <c r="M3173" s="31" t="n">
        <f aca="false">WEEKDAY(B3173,2)</f>
        <v>5</v>
      </c>
      <c r="N3173" s="31" t="str">
        <f aca="false">IF(G3173&lt;=INDEX(Assumptions!$B$15:$B$18,MATCH(E3173,Assumptions!$A$15:$A$18,0)),"Yes","No")</f>
        <v>Yes</v>
      </c>
      <c r="O3173" s="31" t="str">
        <f aca="false">IF(H3173="","Open",IF(H3173&lt;=INDEX(Assumptions!$C$15:$C$18,MATCH(E3173,Assumptions!$A$15:$A$18,0)),"Yes","No"))</f>
        <v>Yes</v>
      </c>
    </row>
    <row r="3174" customFormat="false" ht="15" hidden="false" customHeight="false" outlineLevel="0" collapsed="false">
      <c r="A3174" s="31" t="s">
        <v>3324</v>
      </c>
      <c r="B3174" s="44" t="n">
        <v>46248</v>
      </c>
      <c r="C3174" s="31" t="s">
        <v>59</v>
      </c>
      <c r="D3174" s="31" t="s">
        <v>67</v>
      </c>
      <c r="E3174" s="31" t="s">
        <v>51</v>
      </c>
      <c r="F3174" s="31" t="s">
        <v>131</v>
      </c>
      <c r="G3174" s="31" t="n">
        <v>25</v>
      </c>
      <c r="H3174" s="41" t="n">
        <v>55.4</v>
      </c>
      <c r="I3174" s="31" t="s">
        <v>149</v>
      </c>
      <c r="J3174" s="31"/>
      <c r="K3174" s="31" t="s">
        <v>150</v>
      </c>
      <c r="L3174" s="45" t="n">
        <f aca="false">DATE(YEAR(B3174),MONTH(B3174),1)</f>
        <v>46235</v>
      </c>
      <c r="M3174" s="31" t="n">
        <f aca="false">WEEKDAY(B3174,2)</f>
        <v>5</v>
      </c>
      <c r="N3174" s="31" t="str">
        <f aca="false">IF(G3174&lt;=INDEX(Assumptions!$B$15:$B$18,MATCH(E3174,Assumptions!$A$15:$A$18,0)),"Yes","No")</f>
        <v>Yes</v>
      </c>
      <c r="O3174" s="31" t="str">
        <f aca="false">IF(H3174="","Open",IF(H3174&lt;=INDEX(Assumptions!$C$15:$C$18,MATCH(E3174,Assumptions!$A$15:$A$18,0)),"Yes","No"))</f>
        <v>No</v>
      </c>
    </row>
    <row r="3175" customFormat="false" ht="15" hidden="false" customHeight="false" outlineLevel="0" collapsed="false">
      <c r="A3175" s="31" t="s">
        <v>3325</v>
      </c>
      <c r="B3175" s="44" t="n">
        <v>46248</v>
      </c>
      <c r="C3175" s="31" t="s">
        <v>57</v>
      </c>
      <c r="D3175" s="31" t="s">
        <v>68</v>
      </c>
      <c r="E3175" s="31" t="s">
        <v>51</v>
      </c>
      <c r="F3175" s="31" t="s">
        <v>126</v>
      </c>
      <c r="G3175" s="31" t="n">
        <v>6</v>
      </c>
      <c r="H3175" s="41" t="n">
        <v>3.2</v>
      </c>
      <c r="I3175" s="31" t="s">
        <v>149</v>
      </c>
      <c r="J3175" s="31"/>
      <c r="K3175" s="31" t="s">
        <v>150</v>
      </c>
      <c r="L3175" s="45" t="n">
        <f aca="false">DATE(YEAR(B3175),MONTH(B3175),1)</f>
        <v>46235</v>
      </c>
      <c r="M3175" s="31" t="n">
        <f aca="false">WEEKDAY(B3175,2)</f>
        <v>5</v>
      </c>
      <c r="N3175" s="31" t="str">
        <f aca="false">IF(G3175&lt;=INDEX(Assumptions!$B$15:$B$18,MATCH(E3175,Assumptions!$A$15:$A$18,0)),"Yes","No")</f>
        <v>Yes</v>
      </c>
      <c r="O3175" s="31" t="str">
        <f aca="false">IF(H3175="","Open",IF(H3175&lt;=INDEX(Assumptions!$C$15:$C$18,MATCH(E3175,Assumptions!$A$15:$A$18,0)),"Yes","No"))</f>
        <v>Yes</v>
      </c>
    </row>
    <row r="3176" customFormat="false" ht="15" hidden="false" customHeight="false" outlineLevel="0" collapsed="false">
      <c r="A3176" s="31" t="s">
        <v>3326</v>
      </c>
      <c r="B3176" s="44" t="n">
        <v>46248</v>
      </c>
      <c r="C3176" s="31" t="s">
        <v>57</v>
      </c>
      <c r="D3176" s="31" t="s">
        <v>66</v>
      </c>
      <c r="E3176" s="31" t="s">
        <v>51</v>
      </c>
      <c r="F3176" s="31" t="s">
        <v>130</v>
      </c>
      <c r="G3176" s="31" t="n">
        <v>3</v>
      </c>
      <c r="H3176" s="41" t="n">
        <v>3.3</v>
      </c>
      <c r="I3176" s="31" t="s">
        <v>149</v>
      </c>
      <c r="J3176" s="31"/>
      <c r="K3176" s="31" t="s">
        <v>150</v>
      </c>
      <c r="L3176" s="45" t="n">
        <f aca="false">DATE(YEAR(B3176),MONTH(B3176),1)</f>
        <v>46235</v>
      </c>
      <c r="M3176" s="31" t="n">
        <f aca="false">WEEKDAY(B3176,2)</f>
        <v>5</v>
      </c>
      <c r="N3176" s="31" t="str">
        <f aca="false">IF(G3176&lt;=INDEX(Assumptions!$B$15:$B$18,MATCH(E3176,Assumptions!$A$15:$A$18,0)),"Yes","No")</f>
        <v>Yes</v>
      </c>
      <c r="O3176" s="31" t="str">
        <f aca="false">IF(H3176="","Open",IF(H3176&lt;=INDEX(Assumptions!$C$15:$C$18,MATCH(E3176,Assumptions!$A$15:$A$18,0)),"Yes","No"))</f>
        <v>Yes</v>
      </c>
    </row>
    <row r="3177" customFormat="false" ht="15" hidden="false" customHeight="false" outlineLevel="0" collapsed="false">
      <c r="A3177" s="31" t="s">
        <v>3327</v>
      </c>
      <c r="B3177" s="44" t="n">
        <v>46248</v>
      </c>
      <c r="C3177" s="31" t="s">
        <v>59</v>
      </c>
      <c r="D3177" s="31" t="s">
        <v>67</v>
      </c>
      <c r="E3177" s="31" t="s">
        <v>51</v>
      </c>
      <c r="F3177" s="31" t="s">
        <v>136</v>
      </c>
      <c r="G3177" s="31" t="n">
        <v>12</v>
      </c>
      <c r="H3177" s="41" t="n">
        <v>14</v>
      </c>
      <c r="I3177" s="31" t="s">
        <v>149</v>
      </c>
      <c r="J3177" s="31" t="n">
        <v>5</v>
      </c>
      <c r="K3177" s="31" t="s">
        <v>150</v>
      </c>
      <c r="L3177" s="45" t="n">
        <f aca="false">DATE(YEAR(B3177),MONTH(B3177),1)</f>
        <v>46235</v>
      </c>
      <c r="M3177" s="31" t="n">
        <f aca="false">WEEKDAY(B3177,2)</f>
        <v>5</v>
      </c>
      <c r="N3177" s="31" t="str">
        <f aca="false">IF(G3177&lt;=INDEX(Assumptions!$B$15:$B$18,MATCH(E3177,Assumptions!$A$15:$A$18,0)),"Yes","No")</f>
        <v>Yes</v>
      </c>
      <c r="O3177" s="31" t="str">
        <f aca="false">IF(H3177="","Open",IF(H3177&lt;=INDEX(Assumptions!$C$15:$C$18,MATCH(E3177,Assumptions!$A$15:$A$18,0)),"Yes","No"))</f>
        <v>Yes</v>
      </c>
    </row>
    <row r="3178" customFormat="false" ht="15" hidden="false" customHeight="false" outlineLevel="0" collapsed="false">
      <c r="A3178" s="31" t="s">
        <v>3328</v>
      </c>
      <c r="B3178" s="44" t="n">
        <v>46248</v>
      </c>
      <c r="C3178" s="31" t="s">
        <v>57</v>
      </c>
      <c r="D3178" s="31" t="s">
        <v>68</v>
      </c>
      <c r="E3178" s="31" t="s">
        <v>51</v>
      </c>
      <c r="F3178" s="31" t="s">
        <v>124</v>
      </c>
      <c r="G3178" s="31" t="n">
        <v>3</v>
      </c>
      <c r="H3178" s="41" t="n">
        <v>9.4</v>
      </c>
      <c r="I3178" s="31" t="s">
        <v>149</v>
      </c>
      <c r="J3178" s="31" t="n">
        <v>5</v>
      </c>
      <c r="K3178" s="31" t="s">
        <v>150</v>
      </c>
      <c r="L3178" s="45" t="n">
        <f aca="false">DATE(YEAR(B3178),MONTH(B3178),1)</f>
        <v>46235</v>
      </c>
      <c r="M3178" s="31" t="n">
        <f aca="false">WEEKDAY(B3178,2)</f>
        <v>5</v>
      </c>
      <c r="N3178" s="31" t="str">
        <f aca="false">IF(G3178&lt;=INDEX(Assumptions!$B$15:$B$18,MATCH(E3178,Assumptions!$A$15:$A$18,0)),"Yes","No")</f>
        <v>Yes</v>
      </c>
      <c r="O3178" s="31" t="str">
        <f aca="false">IF(H3178="","Open",IF(H3178&lt;=INDEX(Assumptions!$C$15:$C$18,MATCH(E3178,Assumptions!$A$15:$A$18,0)),"Yes","No"))</f>
        <v>Yes</v>
      </c>
    </row>
    <row r="3179" customFormat="false" ht="15" hidden="false" customHeight="false" outlineLevel="0" collapsed="false">
      <c r="A3179" s="31" t="s">
        <v>3329</v>
      </c>
      <c r="B3179" s="44" t="n">
        <v>46248</v>
      </c>
      <c r="C3179" s="31" t="s">
        <v>59</v>
      </c>
      <c r="D3179" s="31" t="s">
        <v>65</v>
      </c>
      <c r="E3179" s="31" t="s">
        <v>51</v>
      </c>
      <c r="F3179" s="31" t="s">
        <v>122</v>
      </c>
      <c r="G3179" s="31" t="n">
        <v>27</v>
      </c>
      <c r="H3179" s="41" t="n">
        <v>12</v>
      </c>
      <c r="I3179" s="31" t="s">
        <v>149</v>
      </c>
      <c r="J3179" s="31"/>
      <c r="K3179" s="31" t="s">
        <v>150</v>
      </c>
      <c r="L3179" s="45" t="n">
        <f aca="false">DATE(YEAR(B3179),MONTH(B3179),1)</f>
        <v>46235</v>
      </c>
      <c r="M3179" s="31" t="n">
        <f aca="false">WEEKDAY(B3179,2)</f>
        <v>5</v>
      </c>
      <c r="N3179" s="31" t="str">
        <f aca="false">IF(G3179&lt;=INDEX(Assumptions!$B$15:$B$18,MATCH(E3179,Assumptions!$A$15:$A$18,0)),"Yes","No")</f>
        <v>Yes</v>
      </c>
      <c r="O3179" s="31" t="str">
        <f aca="false">IF(H3179="","Open",IF(H3179&lt;=INDEX(Assumptions!$C$15:$C$18,MATCH(E3179,Assumptions!$A$15:$A$18,0)),"Yes","No"))</f>
        <v>Yes</v>
      </c>
    </row>
    <row r="3180" customFormat="false" ht="15" hidden="false" customHeight="false" outlineLevel="0" collapsed="false">
      <c r="A3180" s="31" t="s">
        <v>3330</v>
      </c>
      <c r="B3180" s="44" t="n">
        <v>46248</v>
      </c>
      <c r="C3180" s="31" t="s">
        <v>57</v>
      </c>
      <c r="D3180" s="31" t="s">
        <v>66</v>
      </c>
      <c r="E3180" s="31" t="s">
        <v>52</v>
      </c>
      <c r="F3180" s="31" t="s">
        <v>121</v>
      </c>
      <c r="G3180" s="31" t="n">
        <v>19</v>
      </c>
      <c r="H3180" s="41" t="n">
        <v>15.6</v>
      </c>
      <c r="I3180" s="31" t="s">
        <v>64</v>
      </c>
      <c r="J3180" s="31" t="n">
        <v>3</v>
      </c>
      <c r="K3180" s="31" t="s">
        <v>150</v>
      </c>
      <c r="L3180" s="45" t="n">
        <f aca="false">DATE(YEAR(B3180),MONTH(B3180),1)</f>
        <v>46235</v>
      </c>
      <c r="M3180" s="31" t="n">
        <f aca="false">WEEKDAY(B3180,2)</f>
        <v>5</v>
      </c>
      <c r="N3180" s="31" t="str">
        <f aca="false">IF(G3180&lt;=INDEX(Assumptions!$B$15:$B$18,MATCH(E3180,Assumptions!$A$15:$A$18,0)),"Yes","No")</f>
        <v>Yes</v>
      </c>
      <c r="O3180" s="31" t="str">
        <f aca="false">IF(H3180="","Open",IF(H3180&lt;=INDEX(Assumptions!$C$15:$C$18,MATCH(E3180,Assumptions!$A$15:$A$18,0)),"Yes","No"))</f>
        <v>Yes</v>
      </c>
    </row>
    <row r="3181" customFormat="false" ht="15" hidden="false" customHeight="false" outlineLevel="0" collapsed="false">
      <c r="A3181" s="31" t="s">
        <v>3331</v>
      </c>
      <c r="B3181" s="44" t="n">
        <v>46248</v>
      </c>
      <c r="C3181" s="31" t="s">
        <v>59</v>
      </c>
      <c r="D3181" s="31" t="s">
        <v>65</v>
      </c>
      <c r="E3181" s="31" t="s">
        <v>50</v>
      </c>
      <c r="F3181" s="31" t="s">
        <v>121</v>
      </c>
      <c r="G3181" s="31" t="n">
        <v>67</v>
      </c>
      <c r="H3181" s="41" t="n">
        <v>5.4</v>
      </c>
      <c r="I3181" s="31" t="s">
        <v>149</v>
      </c>
      <c r="J3181" s="31"/>
      <c r="K3181" s="31" t="s">
        <v>150</v>
      </c>
      <c r="L3181" s="45" t="n">
        <f aca="false">DATE(YEAR(B3181),MONTH(B3181),1)</f>
        <v>46235</v>
      </c>
      <c r="M3181" s="31" t="n">
        <f aca="false">WEEKDAY(B3181,2)</f>
        <v>5</v>
      </c>
      <c r="N3181" s="31" t="str">
        <f aca="false">IF(G3181&lt;=INDEX(Assumptions!$B$15:$B$18,MATCH(E3181,Assumptions!$A$15:$A$18,0)),"Yes","No")</f>
        <v>No</v>
      </c>
      <c r="O3181" s="31" t="str">
        <f aca="false">IF(H3181="","Open",IF(H3181&lt;=INDEX(Assumptions!$C$15:$C$18,MATCH(E3181,Assumptions!$A$15:$A$18,0)),"Yes","No"))</f>
        <v>Yes</v>
      </c>
    </row>
    <row r="3182" customFormat="false" ht="15" hidden="false" customHeight="false" outlineLevel="0" collapsed="false">
      <c r="A3182" s="31" t="s">
        <v>3332</v>
      </c>
      <c r="B3182" s="44" t="n">
        <v>46248</v>
      </c>
      <c r="C3182" s="31" t="s">
        <v>57</v>
      </c>
      <c r="D3182" s="31" t="s">
        <v>65</v>
      </c>
      <c r="E3182" s="31" t="s">
        <v>51</v>
      </c>
      <c r="F3182" s="31" t="s">
        <v>129</v>
      </c>
      <c r="G3182" s="31" t="n">
        <v>2</v>
      </c>
      <c r="H3182" s="41" t="n">
        <v>6.5</v>
      </c>
      <c r="I3182" s="31" t="s">
        <v>149</v>
      </c>
      <c r="J3182" s="31"/>
      <c r="K3182" s="31" t="s">
        <v>150</v>
      </c>
      <c r="L3182" s="45" t="n">
        <f aca="false">DATE(YEAR(B3182),MONTH(B3182),1)</f>
        <v>46235</v>
      </c>
      <c r="M3182" s="31" t="n">
        <f aca="false">WEEKDAY(B3182,2)</f>
        <v>5</v>
      </c>
      <c r="N3182" s="31" t="str">
        <f aca="false">IF(G3182&lt;=INDEX(Assumptions!$B$15:$B$18,MATCH(E3182,Assumptions!$A$15:$A$18,0)),"Yes","No")</f>
        <v>Yes</v>
      </c>
      <c r="O3182" s="31" t="str">
        <f aca="false">IF(H3182="","Open",IF(H3182&lt;=INDEX(Assumptions!$C$15:$C$18,MATCH(E3182,Assumptions!$A$15:$A$18,0)),"Yes","No"))</f>
        <v>Yes</v>
      </c>
    </row>
    <row r="3183" customFormat="false" ht="15" hidden="false" customHeight="false" outlineLevel="0" collapsed="false">
      <c r="A3183" s="31" t="s">
        <v>3333</v>
      </c>
      <c r="B3183" s="44" t="n">
        <v>46248</v>
      </c>
      <c r="C3183" s="31" t="s">
        <v>58</v>
      </c>
      <c r="D3183" s="31" t="s">
        <v>67</v>
      </c>
      <c r="E3183" s="31" t="s">
        <v>51</v>
      </c>
      <c r="F3183" s="31" t="s">
        <v>128</v>
      </c>
      <c r="G3183" s="31" t="n">
        <v>12</v>
      </c>
      <c r="H3183" s="41" t="n">
        <v>22.5</v>
      </c>
      <c r="I3183" s="31" t="s">
        <v>149</v>
      </c>
      <c r="J3183" s="31" t="n">
        <v>3</v>
      </c>
      <c r="K3183" s="31" t="s">
        <v>150</v>
      </c>
      <c r="L3183" s="45" t="n">
        <f aca="false">DATE(YEAR(B3183),MONTH(B3183),1)</f>
        <v>46235</v>
      </c>
      <c r="M3183" s="31" t="n">
        <f aca="false">WEEKDAY(B3183,2)</f>
        <v>5</v>
      </c>
      <c r="N3183" s="31" t="str">
        <f aca="false">IF(G3183&lt;=INDEX(Assumptions!$B$15:$B$18,MATCH(E3183,Assumptions!$A$15:$A$18,0)),"Yes","No")</f>
        <v>Yes</v>
      </c>
      <c r="O3183" s="31" t="str">
        <f aca="false">IF(H3183="","Open",IF(H3183&lt;=INDEX(Assumptions!$C$15:$C$18,MATCH(E3183,Assumptions!$A$15:$A$18,0)),"Yes","No"))</f>
        <v>Yes</v>
      </c>
    </row>
    <row r="3184" customFormat="false" ht="15" hidden="false" customHeight="false" outlineLevel="0" collapsed="false">
      <c r="A3184" s="31" t="s">
        <v>3334</v>
      </c>
      <c r="B3184" s="44" t="n">
        <v>46248</v>
      </c>
      <c r="C3184" s="31" t="s">
        <v>58</v>
      </c>
      <c r="D3184" s="31" t="s">
        <v>65</v>
      </c>
      <c r="E3184" s="31" t="s">
        <v>52</v>
      </c>
      <c r="F3184" s="31" t="s">
        <v>119</v>
      </c>
      <c r="G3184" s="31" t="n">
        <v>7</v>
      </c>
      <c r="H3184" s="41"/>
      <c r="I3184" s="31" t="s">
        <v>158</v>
      </c>
      <c r="J3184" s="31"/>
      <c r="K3184" s="31" t="s">
        <v>150</v>
      </c>
      <c r="L3184" s="45" t="n">
        <f aca="false">DATE(YEAR(B3184),MONTH(B3184),1)</f>
        <v>46235</v>
      </c>
      <c r="M3184" s="31" t="n">
        <f aca="false">WEEKDAY(B3184,2)</f>
        <v>5</v>
      </c>
      <c r="N3184" s="31" t="str">
        <f aca="false">IF(G3184&lt;=INDEX(Assumptions!$B$15:$B$18,MATCH(E3184,Assumptions!$A$15:$A$18,0)),"Yes","No")</f>
        <v>Yes</v>
      </c>
      <c r="O3184" s="31" t="str">
        <f aca="false">IF(H3184="","Open",IF(H3184&lt;=INDEX(Assumptions!$C$15:$C$18,MATCH(E3184,Assumptions!$A$15:$A$18,0)),"Yes","No"))</f>
        <v>Open</v>
      </c>
    </row>
    <row r="3185" customFormat="false" ht="15" hidden="false" customHeight="false" outlineLevel="0" collapsed="false">
      <c r="A3185" s="31" t="s">
        <v>3335</v>
      </c>
      <c r="B3185" s="44" t="n">
        <v>46248</v>
      </c>
      <c r="C3185" s="31" t="s">
        <v>57</v>
      </c>
      <c r="D3185" s="31" t="s">
        <v>68</v>
      </c>
      <c r="E3185" s="31" t="s">
        <v>52</v>
      </c>
      <c r="F3185" s="31" t="s">
        <v>133</v>
      </c>
      <c r="G3185" s="31" t="n">
        <v>12</v>
      </c>
      <c r="H3185" s="41" t="n">
        <v>5.2</v>
      </c>
      <c r="I3185" s="31" t="s">
        <v>149</v>
      </c>
      <c r="J3185" s="31"/>
      <c r="K3185" s="31" t="s">
        <v>150</v>
      </c>
      <c r="L3185" s="45" t="n">
        <f aca="false">DATE(YEAR(B3185),MONTH(B3185),1)</f>
        <v>46235</v>
      </c>
      <c r="M3185" s="31" t="n">
        <f aca="false">WEEKDAY(B3185,2)</f>
        <v>5</v>
      </c>
      <c r="N3185" s="31" t="str">
        <f aca="false">IF(G3185&lt;=INDEX(Assumptions!$B$15:$B$18,MATCH(E3185,Assumptions!$A$15:$A$18,0)),"Yes","No")</f>
        <v>Yes</v>
      </c>
      <c r="O3185" s="31" t="str">
        <f aca="false">IF(H3185="","Open",IF(H3185&lt;=INDEX(Assumptions!$C$15:$C$18,MATCH(E3185,Assumptions!$A$15:$A$18,0)),"Yes","No"))</f>
        <v>Yes</v>
      </c>
    </row>
    <row r="3186" customFormat="false" ht="15" hidden="false" customHeight="false" outlineLevel="0" collapsed="false">
      <c r="A3186" s="31" t="s">
        <v>3336</v>
      </c>
      <c r="B3186" s="44" t="n">
        <v>46248</v>
      </c>
      <c r="C3186" s="31" t="s">
        <v>60</v>
      </c>
      <c r="D3186" s="31" t="s">
        <v>67</v>
      </c>
      <c r="E3186" s="31" t="s">
        <v>52</v>
      </c>
      <c r="F3186" s="31" t="s">
        <v>122</v>
      </c>
      <c r="G3186" s="31" t="n">
        <v>1</v>
      </c>
      <c r="H3186" s="41" t="n">
        <v>43.3</v>
      </c>
      <c r="I3186" s="31" t="s">
        <v>64</v>
      </c>
      <c r="J3186" s="31" t="n">
        <v>3</v>
      </c>
      <c r="K3186" s="31" t="s">
        <v>150</v>
      </c>
      <c r="L3186" s="45" t="n">
        <f aca="false">DATE(YEAR(B3186),MONTH(B3186),1)</f>
        <v>46235</v>
      </c>
      <c r="M3186" s="31" t="n">
        <f aca="false">WEEKDAY(B3186,2)</f>
        <v>5</v>
      </c>
      <c r="N3186" s="31" t="str">
        <f aca="false">IF(G3186&lt;=INDEX(Assumptions!$B$15:$B$18,MATCH(E3186,Assumptions!$A$15:$A$18,0)),"Yes","No")</f>
        <v>Yes</v>
      </c>
      <c r="O3186" s="31" t="str">
        <f aca="false">IF(H3186="","Open",IF(H3186&lt;=INDEX(Assumptions!$C$15:$C$18,MATCH(E3186,Assumptions!$A$15:$A$18,0)),"Yes","No"))</f>
        <v>Yes</v>
      </c>
    </row>
    <row r="3187" customFormat="false" ht="15" hidden="false" customHeight="false" outlineLevel="0" collapsed="false">
      <c r="A3187" s="31" t="s">
        <v>3337</v>
      </c>
      <c r="B3187" s="44" t="n">
        <v>46248</v>
      </c>
      <c r="C3187" s="31" t="s">
        <v>59</v>
      </c>
      <c r="D3187" s="31" t="s">
        <v>69</v>
      </c>
      <c r="E3187" s="31" t="s">
        <v>51</v>
      </c>
      <c r="F3187" s="31" t="s">
        <v>131</v>
      </c>
      <c r="G3187" s="31" t="n">
        <v>20</v>
      </c>
      <c r="H3187" s="41" t="n">
        <v>31.7</v>
      </c>
      <c r="I3187" s="31" t="s">
        <v>149</v>
      </c>
      <c r="J3187" s="31" t="n">
        <v>4</v>
      </c>
      <c r="K3187" s="31" t="s">
        <v>150</v>
      </c>
      <c r="L3187" s="45" t="n">
        <f aca="false">DATE(YEAR(B3187),MONTH(B3187),1)</f>
        <v>46235</v>
      </c>
      <c r="M3187" s="31" t="n">
        <f aca="false">WEEKDAY(B3187,2)</f>
        <v>5</v>
      </c>
      <c r="N3187" s="31" t="str">
        <f aca="false">IF(G3187&lt;=INDEX(Assumptions!$B$15:$B$18,MATCH(E3187,Assumptions!$A$15:$A$18,0)),"Yes","No")</f>
        <v>Yes</v>
      </c>
      <c r="O3187" s="31" t="str">
        <f aca="false">IF(H3187="","Open",IF(H3187&lt;=INDEX(Assumptions!$C$15:$C$18,MATCH(E3187,Assumptions!$A$15:$A$18,0)),"Yes","No"))</f>
        <v>No</v>
      </c>
    </row>
    <row r="3188" customFormat="false" ht="15" hidden="false" customHeight="false" outlineLevel="0" collapsed="false">
      <c r="A3188" s="31" t="s">
        <v>3338</v>
      </c>
      <c r="B3188" s="44" t="n">
        <v>46248</v>
      </c>
      <c r="C3188" s="31" t="s">
        <v>60</v>
      </c>
      <c r="D3188" s="31" t="s">
        <v>69</v>
      </c>
      <c r="E3188" s="31" t="s">
        <v>52</v>
      </c>
      <c r="F3188" s="31" t="s">
        <v>128</v>
      </c>
      <c r="G3188" s="31" t="n">
        <v>5</v>
      </c>
      <c r="H3188" s="41" t="n">
        <v>160.8</v>
      </c>
      <c r="I3188" s="31" t="s">
        <v>149</v>
      </c>
      <c r="J3188" s="31" t="n">
        <v>3</v>
      </c>
      <c r="K3188" s="31" t="s">
        <v>150</v>
      </c>
      <c r="L3188" s="45" t="n">
        <f aca="false">DATE(YEAR(B3188),MONTH(B3188),1)</f>
        <v>46235</v>
      </c>
      <c r="M3188" s="31" t="n">
        <f aca="false">WEEKDAY(B3188,2)</f>
        <v>5</v>
      </c>
      <c r="N3188" s="31" t="str">
        <f aca="false">IF(G3188&lt;=INDEX(Assumptions!$B$15:$B$18,MATCH(E3188,Assumptions!$A$15:$A$18,0)),"Yes","No")</f>
        <v>Yes</v>
      </c>
      <c r="O3188" s="31" t="str">
        <f aca="false">IF(H3188="","Open",IF(H3188&lt;=INDEX(Assumptions!$C$15:$C$18,MATCH(E3188,Assumptions!$A$15:$A$18,0)),"Yes","No"))</f>
        <v>No</v>
      </c>
    </row>
    <row r="3189" customFormat="false" ht="15" hidden="false" customHeight="false" outlineLevel="0" collapsed="false">
      <c r="A3189" s="31" t="s">
        <v>3339</v>
      </c>
      <c r="B3189" s="44" t="n">
        <v>46248</v>
      </c>
      <c r="C3189" s="31" t="s">
        <v>60</v>
      </c>
      <c r="D3189" s="31" t="s">
        <v>69</v>
      </c>
      <c r="E3189" s="31" t="s">
        <v>52</v>
      </c>
      <c r="F3189" s="31" t="s">
        <v>121</v>
      </c>
      <c r="G3189" s="31" t="n">
        <v>1</v>
      </c>
      <c r="H3189" s="41" t="n">
        <v>131.7</v>
      </c>
      <c r="I3189" s="31" t="s">
        <v>149</v>
      </c>
      <c r="J3189" s="31"/>
      <c r="K3189" s="31" t="s">
        <v>150</v>
      </c>
      <c r="L3189" s="45" t="n">
        <f aca="false">DATE(YEAR(B3189),MONTH(B3189),1)</f>
        <v>46235</v>
      </c>
      <c r="M3189" s="31" t="n">
        <f aca="false">WEEKDAY(B3189,2)</f>
        <v>5</v>
      </c>
      <c r="N3189" s="31" t="str">
        <f aca="false">IF(G3189&lt;=INDEX(Assumptions!$B$15:$B$18,MATCH(E3189,Assumptions!$A$15:$A$18,0)),"Yes","No")</f>
        <v>Yes</v>
      </c>
      <c r="O3189" s="31" t="str">
        <f aca="false">IF(H3189="","Open",IF(H3189&lt;=INDEX(Assumptions!$C$15:$C$18,MATCH(E3189,Assumptions!$A$15:$A$18,0)),"Yes","No"))</f>
        <v>No</v>
      </c>
    </row>
    <row r="3190" customFormat="false" ht="15" hidden="false" customHeight="false" outlineLevel="0" collapsed="false">
      <c r="A3190" s="31" t="s">
        <v>3340</v>
      </c>
      <c r="B3190" s="44" t="n">
        <v>46248</v>
      </c>
      <c r="C3190" s="31" t="s">
        <v>57</v>
      </c>
      <c r="D3190" s="31" t="s">
        <v>65</v>
      </c>
      <c r="E3190" s="31" t="s">
        <v>52</v>
      </c>
      <c r="F3190" s="31" t="s">
        <v>126</v>
      </c>
      <c r="G3190" s="31" t="n">
        <v>2</v>
      </c>
      <c r="H3190" s="41" t="n">
        <v>57.3</v>
      </c>
      <c r="I3190" s="31" t="s">
        <v>149</v>
      </c>
      <c r="J3190" s="31"/>
      <c r="K3190" s="31" t="s">
        <v>150</v>
      </c>
      <c r="L3190" s="45" t="n">
        <f aca="false">DATE(YEAR(B3190),MONTH(B3190),1)</f>
        <v>46235</v>
      </c>
      <c r="M3190" s="31" t="n">
        <f aca="false">WEEKDAY(B3190,2)</f>
        <v>5</v>
      </c>
      <c r="N3190" s="31" t="str">
        <f aca="false">IF(G3190&lt;=INDEX(Assumptions!$B$15:$B$18,MATCH(E3190,Assumptions!$A$15:$A$18,0)),"Yes","No")</f>
        <v>Yes</v>
      </c>
      <c r="O3190" s="31" t="str">
        <f aca="false">IF(H3190="","Open",IF(H3190&lt;=INDEX(Assumptions!$C$15:$C$18,MATCH(E3190,Assumptions!$A$15:$A$18,0)),"Yes","No"))</f>
        <v>Yes</v>
      </c>
    </row>
    <row r="3191" customFormat="false" ht="15" hidden="false" customHeight="false" outlineLevel="0" collapsed="false">
      <c r="A3191" s="31" t="s">
        <v>3341</v>
      </c>
      <c r="B3191" s="44" t="n">
        <v>46248</v>
      </c>
      <c r="C3191" s="31" t="s">
        <v>58</v>
      </c>
      <c r="D3191" s="31" t="s">
        <v>68</v>
      </c>
      <c r="E3191" s="31" t="s">
        <v>50</v>
      </c>
      <c r="F3191" s="31" t="s">
        <v>127</v>
      </c>
      <c r="G3191" s="31" t="n">
        <v>11</v>
      </c>
      <c r="H3191" s="41" t="n">
        <v>1.8</v>
      </c>
      <c r="I3191" s="31" t="s">
        <v>149</v>
      </c>
      <c r="J3191" s="31" t="n">
        <v>5</v>
      </c>
      <c r="K3191" s="31" t="s">
        <v>150</v>
      </c>
      <c r="L3191" s="45" t="n">
        <f aca="false">DATE(YEAR(B3191),MONTH(B3191),1)</f>
        <v>46235</v>
      </c>
      <c r="M3191" s="31" t="n">
        <f aca="false">WEEKDAY(B3191,2)</f>
        <v>5</v>
      </c>
      <c r="N3191" s="31" t="str">
        <f aca="false">IF(G3191&lt;=INDEX(Assumptions!$B$15:$B$18,MATCH(E3191,Assumptions!$A$15:$A$18,0)),"Yes","No")</f>
        <v>Yes</v>
      </c>
      <c r="O3191" s="31" t="str">
        <f aca="false">IF(H3191="","Open",IF(H3191&lt;=INDEX(Assumptions!$C$15:$C$18,MATCH(E3191,Assumptions!$A$15:$A$18,0)),"Yes","No"))</f>
        <v>Yes</v>
      </c>
    </row>
    <row r="3192" customFormat="false" ht="15" hidden="false" customHeight="false" outlineLevel="0" collapsed="false">
      <c r="A3192" s="31" t="s">
        <v>3342</v>
      </c>
      <c r="B3192" s="44" t="n">
        <v>46248</v>
      </c>
      <c r="C3192" s="31" t="s">
        <v>59</v>
      </c>
      <c r="D3192" s="31" t="s">
        <v>66</v>
      </c>
      <c r="E3192" s="31" t="s">
        <v>50</v>
      </c>
      <c r="F3192" s="31" t="s">
        <v>124</v>
      </c>
      <c r="G3192" s="31" t="n">
        <v>28</v>
      </c>
      <c r="H3192" s="41" t="n">
        <v>1</v>
      </c>
      <c r="I3192" s="31" t="s">
        <v>149</v>
      </c>
      <c r="J3192" s="31"/>
      <c r="K3192" s="31" t="s">
        <v>150</v>
      </c>
      <c r="L3192" s="45" t="n">
        <f aca="false">DATE(YEAR(B3192),MONTH(B3192),1)</f>
        <v>46235</v>
      </c>
      <c r="M3192" s="31" t="n">
        <f aca="false">WEEKDAY(B3192,2)</f>
        <v>5</v>
      </c>
      <c r="N3192" s="31" t="str">
        <f aca="false">IF(G3192&lt;=INDEX(Assumptions!$B$15:$B$18,MATCH(E3192,Assumptions!$A$15:$A$18,0)),"Yes","No")</f>
        <v>Yes</v>
      </c>
      <c r="O3192" s="31" t="str">
        <f aca="false">IF(H3192="","Open",IF(H3192&lt;=INDEX(Assumptions!$C$15:$C$18,MATCH(E3192,Assumptions!$A$15:$A$18,0)),"Yes","No"))</f>
        <v>Yes</v>
      </c>
    </row>
    <row r="3193" customFormat="false" ht="15" hidden="false" customHeight="false" outlineLevel="0" collapsed="false">
      <c r="A3193" s="31" t="s">
        <v>3343</v>
      </c>
      <c r="B3193" s="44" t="n">
        <v>46248</v>
      </c>
      <c r="C3193" s="31" t="s">
        <v>58</v>
      </c>
      <c r="D3193" s="31" t="s">
        <v>65</v>
      </c>
      <c r="E3193" s="31" t="s">
        <v>52</v>
      </c>
      <c r="F3193" s="31" t="s">
        <v>137</v>
      </c>
      <c r="G3193" s="31" t="n">
        <v>5</v>
      </c>
      <c r="H3193" s="41" t="n">
        <v>5.5</v>
      </c>
      <c r="I3193" s="31" t="s">
        <v>149</v>
      </c>
      <c r="J3193" s="31"/>
      <c r="K3193" s="31" t="s">
        <v>150</v>
      </c>
      <c r="L3193" s="45" t="n">
        <f aca="false">DATE(YEAR(B3193),MONTH(B3193),1)</f>
        <v>46235</v>
      </c>
      <c r="M3193" s="31" t="n">
        <f aca="false">WEEKDAY(B3193,2)</f>
        <v>5</v>
      </c>
      <c r="N3193" s="31" t="str">
        <f aca="false">IF(G3193&lt;=INDEX(Assumptions!$B$15:$B$18,MATCH(E3193,Assumptions!$A$15:$A$18,0)),"Yes","No")</f>
        <v>Yes</v>
      </c>
      <c r="O3193" s="31" t="str">
        <f aca="false">IF(H3193="","Open",IF(H3193&lt;=INDEX(Assumptions!$C$15:$C$18,MATCH(E3193,Assumptions!$A$15:$A$18,0)),"Yes","No"))</f>
        <v>Yes</v>
      </c>
    </row>
    <row r="3194" customFormat="false" ht="15" hidden="false" customHeight="false" outlineLevel="0" collapsed="false">
      <c r="A3194" s="31" t="s">
        <v>3344</v>
      </c>
      <c r="B3194" s="44" t="n">
        <v>46248</v>
      </c>
      <c r="C3194" s="31" t="s">
        <v>60</v>
      </c>
      <c r="D3194" s="31" t="s">
        <v>66</v>
      </c>
      <c r="E3194" s="31" t="s">
        <v>50</v>
      </c>
      <c r="F3194" s="31" t="s">
        <v>126</v>
      </c>
      <c r="G3194" s="31" t="n">
        <v>1</v>
      </c>
      <c r="H3194" s="41" t="n">
        <v>0.6</v>
      </c>
      <c r="I3194" s="31" t="s">
        <v>149</v>
      </c>
      <c r="J3194" s="31" t="n">
        <v>4</v>
      </c>
      <c r="K3194" s="31" t="s">
        <v>150</v>
      </c>
      <c r="L3194" s="45" t="n">
        <f aca="false">DATE(YEAR(B3194),MONTH(B3194),1)</f>
        <v>46235</v>
      </c>
      <c r="M3194" s="31" t="n">
        <f aca="false">WEEKDAY(B3194,2)</f>
        <v>5</v>
      </c>
      <c r="N3194" s="31" t="str">
        <f aca="false">IF(G3194&lt;=INDEX(Assumptions!$B$15:$B$18,MATCH(E3194,Assumptions!$A$15:$A$18,0)),"Yes","No")</f>
        <v>Yes</v>
      </c>
      <c r="O3194" s="31" t="str">
        <f aca="false">IF(H3194="","Open",IF(H3194&lt;=INDEX(Assumptions!$C$15:$C$18,MATCH(E3194,Assumptions!$A$15:$A$18,0)),"Yes","No"))</f>
        <v>Yes</v>
      </c>
    </row>
    <row r="3195" customFormat="false" ht="15" hidden="false" customHeight="false" outlineLevel="0" collapsed="false">
      <c r="A3195" s="31" t="s">
        <v>3345</v>
      </c>
      <c r="B3195" s="44" t="n">
        <v>46248</v>
      </c>
      <c r="C3195" s="31" t="s">
        <v>60</v>
      </c>
      <c r="D3195" s="31" t="s">
        <v>66</v>
      </c>
      <c r="E3195" s="31" t="s">
        <v>51</v>
      </c>
      <c r="F3195" s="31" t="s">
        <v>122</v>
      </c>
      <c r="G3195" s="31" t="n">
        <v>2</v>
      </c>
      <c r="H3195" s="41" t="n">
        <v>3</v>
      </c>
      <c r="I3195" s="31" t="s">
        <v>149</v>
      </c>
      <c r="J3195" s="31" t="n">
        <v>4</v>
      </c>
      <c r="K3195" s="31" t="s">
        <v>150</v>
      </c>
      <c r="L3195" s="45" t="n">
        <f aca="false">DATE(YEAR(B3195),MONTH(B3195),1)</f>
        <v>46235</v>
      </c>
      <c r="M3195" s="31" t="n">
        <f aca="false">WEEKDAY(B3195,2)</f>
        <v>5</v>
      </c>
      <c r="N3195" s="31" t="str">
        <f aca="false">IF(G3195&lt;=INDEX(Assumptions!$B$15:$B$18,MATCH(E3195,Assumptions!$A$15:$A$18,0)),"Yes","No")</f>
        <v>Yes</v>
      </c>
      <c r="O3195" s="31" t="str">
        <f aca="false">IF(H3195="","Open",IF(H3195&lt;=INDEX(Assumptions!$C$15:$C$18,MATCH(E3195,Assumptions!$A$15:$A$18,0)),"Yes","No"))</f>
        <v>Yes</v>
      </c>
    </row>
    <row r="3196" customFormat="false" ht="15" hidden="false" customHeight="false" outlineLevel="0" collapsed="false">
      <c r="A3196" s="31" t="s">
        <v>3346</v>
      </c>
      <c r="B3196" s="44" t="n">
        <v>46248</v>
      </c>
      <c r="C3196" s="31" t="s">
        <v>57</v>
      </c>
      <c r="D3196" s="31" t="s">
        <v>67</v>
      </c>
      <c r="E3196" s="31" t="s">
        <v>52</v>
      </c>
      <c r="F3196" s="31" t="s">
        <v>119</v>
      </c>
      <c r="G3196" s="31" t="n">
        <v>8</v>
      </c>
      <c r="H3196" s="41" t="n">
        <v>56.4</v>
      </c>
      <c r="I3196" s="31" t="s">
        <v>149</v>
      </c>
      <c r="J3196" s="31"/>
      <c r="K3196" s="31" t="s">
        <v>150</v>
      </c>
      <c r="L3196" s="45" t="n">
        <f aca="false">DATE(YEAR(B3196),MONTH(B3196),1)</f>
        <v>46235</v>
      </c>
      <c r="M3196" s="31" t="n">
        <f aca="false">WEEKDAY(B3196,2)</f>
        <v>5</v>
      </c>
      <c r="N3196" s="31" t="str">
        <f aca="false">IF(G3196&lt;=INDEX(Assumptions!$B$15:$B$18,MATCH(E3196,Assumptions!$A$15:$A$18,0)),"Yes","No")</f>
        <v>Yes</v>
      </c>
      <c r="O3196" s="31" t="str">
        <f aca="false">IF(H3196="","Open",IF(H3196&lt;=INDEX(Assumptions!$C$15:$C$18,MATCH(E3196,Assumptions!$A$15:$A$18,0)),"Yes","No"))</f>
        <v>Yes</v>
      </c>
    </row>
    <row r="3197" customFormat="false" ht="15" hidden="false" customHeight="false" outlineLevel="0" collapsed="false">
      <c r="A3197" s="31" t="s">
        <v>3347</v>
      </c>
      <c r="B3197" s="44" t="n">
        <v>46248</v>
      </c>
      <c r="C3197" s="31" t="s">
        <v>59</v>
      </c>
      <c r="D3197" s="31" t="s">
        <v>67</v>
      </c>
      <c r="E3197" s="31" t="s">
        <v>52</v>
      </c>
      <c r="F3197" s="31" t="s">
        <v>117</v>
      </c>
      <c r="G3197" s="31" t="n">
        <v>162</v>
      </c>
      <c r="H3197" s="41" t="n">
        <v>133.4</v>
      </c>
      <c r="I3197" s="31" t="s">
        <v>149</v>
      </c>
      <c r="J3197" s="31"/>
      <c r="K3197" s="31" t="s">
        <v>150</v>
      </c>
      <c r="L3197" s="45" t="n">
        <f aca="false">DATE(YEAR(B3197),MONTH(B3197),1)</f>
        <v>46235</v>
      </c>
      <c r="M3197" s="31" t="n">
        <f aca="false">WEEKDAY(B3197,2)</f>
        <v>5</v>
      </c>
      <c r="N3197" s="31" t="str">
        <f aca="false">IF(G3197&lt;=INDEX(Assumptions!$B$15:$B$18,MATCH(E3197,Assumptions!$A$15:$A$18,0)),"Yes","No")</f>
        <v>Yes</v>
      </c>
      <c r="O3197" s="31" t="str">
        <f aca="false">IF(H3197="","Open",IF(H3197&lt;=INDEX(Assumptions!$C$15:$C$18,MATCH(E3197,Assumptions!$A$15:$A$18,0)),"Yes","No"))</f>
        <v>No</v>
      </c>
    </row>
    <row r="3198" customFormat="false" ht="15" hidden="false" customHeight="false" outlineLevel="0" collapsed="false">
      <c r="A3198" s="31" t="s">
        <v>3348</v>
      </c>
      <c r="B3198" s="44" t="n">
        <v>46248</v>
      </c>
      <c r="C3198" s="31" t="s">
        <v>60</v>
      </c>
      <c r="D3198" s="31" t="s">
        <v>65</v>
      </c>
      <c r="E3198" s="31" t="s">
        <v>52</v>
      </c>
      <c r="F3198" s="31" t="s">
        <v>136</v>
      </c>
      <c r="G3198" s="31" t="n">
        <v>2</v>
      </c>
      <c r="H3198" s="41" t="n">
        <v>72.4</v>
      </c>
      <c r="I3198" s="31" t="s">
        <v>149</v>
      </c>
      <c r="J3198" s="31" t="n">
        <v>4</v>
      </c>
      <c r="K3198" s="31" t="s">
        <v>150</v>
      </c>
      <c r="L3198" s="45" t="n">
        <f aca="false">DATE(YEAR(B3198),MONTH(B3198),1)</f>
        <v>46235</v>
      </c>
      <c r="M3198" s="31" t="n">
        <f aca="false">WEEKDAY(B3198,2)</f>
        <v>5</v>
      </c>
      <c r="N3198" s="31" t="str">
        <f aca="false">IF(G3198&lt;=INDEX(Assumptions!$B$15:$B$18,MATCH(E3198,Assumptions!$A$15:$A$18,0)),"Yes","No")</f>
        <v>Yes</v>
      </c>
      <c r="O3198" s="31" t="str">
        <f aca="false">IF(H3198="","Open",IF(H3198&lt;=INDEX(Assumptions!$C$15:$C$18,MATCH(E3198,Assumptions!$A$15:$A$18,0)),"Yes","No"))</f>
        <v>No</v>
      </c>
    </row>
    <row r="3199" customFormat="false" ht="15" hidden="false" customHeight="false" outlineLevel="0" collapsed="false">
      <c r="A3199" s="31" t="s">
        <v>3349</v>
      </c>
      <c r="B3199" s="44" t="n">
        <v>46248</v>
      </c>
      <c r="C3199" s="31" t="s">
        <v>58</v>
      </c>
      <c r="D3199" s="31" t="s">
        <v>66</v>
      </c>
      <c r="E3199" s="31" t="s">
        <v>52</v>
      </c>
      <c r="F3199" s="31" t="s">
        <v>128</v>
      </c>
      <c r="G3199" s="31" t="n">
        <v>13</v>
      </c>
      <c r="H3199" s="41" t="n">
        <v>58.5</v>
      </c>
      <c r="I3199" s="31" t="s">
        <v>149</v>
      </c>
      <c r="J3199" s="31"/>
      <c r="K3199" s="31" t="s">
        <v>150</v>
      </c>
      <c r="L3199" s="45" t="n">
        <f aca="false">DATE(YEAR(B3199),MONTH(B3199),1)</f>
        <v>46235</v>
      </c>
      <c r="M3199" s="31" t="n">
        <f aca="false">WEEKDAY(B3199,2)</f>
        <v>5</v>
      </c>
      <c r="N3199" s="31" t="str">
        <f aca="false">IF(G3199&lt;=INDEX(Assumptions!$B$15:$B$18,MATCH(E3199,Assumptions!$A$15:$A$18,0)),"Yes","No")</f>
        <v>Yes</v>
      </c>
      <c r="O3199" s="31" t="str">
        <f aca="false">IF(H3199="","Open",IF(H3199&lt;=INDEX(Assumptions!$C$15:$C$18,MATCH(E3199,Assumptions!$A$15:$A$18,0)),"Yes","No"))</f>
        <v>Yes</v>
      </c>
    </row>
    <row r="3200" customFormat="false" ht="15" hidden="false" customHeight="false" outlineLevel="0" collapsed="false">
      <c r="A3200" s="31" t="s">
        <v>3350</v>
      </c>
      <c r="B3200" s="44" t="n">
        <v>46248</v>
      </c>
      <c r="C3200" s="31" t="s">
        <v>58</v>
      </c>
      <c r="D3200" s="31" t="s">
        <v>69</v>
      </c>
      <c r="E3200" s="31" t="s">
        <v>51</v>
      </c>
      <c r="F3200" s="31" t="s">
        <v>131</v>
      </c>
      <c r="G3200" s="31" t="n">
        <v>3</v>
      </c>
      <c r="H3200" s="41" t="n">
        <v>13.6</v>
      </c>
      <c r="I3200" s="31" t="s">
        <v>149</v>
      </c>
      <c r="J3200" s="31"/>
      <c r="K3200" s="31" t="s">
        <v>150</v>
      </c>
      <c r="L3200" s="45" t="n">
        <f aca="false">DATE(YEAR(B3200),MONTH(B3200),1)</f>
        <v>46235</v>
      </c>
      <c r="M3200" s="31" t="n">
        <f aca="false">WEEKDAY(B3200,2)</f>
        <v>5</v>
      </c>
      <c r="N3200" s="31" t="str">
        <f aca="false">IF(G3200&lt;=INDEX(Assumptions!$B$15:$B$18,MATCH(E3200,Assumptions!$A$15:$A$18,0)),"Yes","No")</f>
        <v>Yes</v>
      </c>
      <c r="O3200" s="31" t="str">
        <f aca="false">IF(H3200="","Open",IF(H3200&lt;=INDEX(Assumptions!$C$15:$C$18,MATCH(E3200,Assumptions!$A$15:$A$18,0)),"Yes","No"))</f>
        <v>Yes</v>
      </c>
    </row>
    <row r="3201" customFormat="false" ht="15" hidden="false" customHeight="false" outlineLevel="0" collapsed="false">
      <c r="A3201" s="31" t="s">
        <v>3351</v>
      </c>
      <c r="B3201" s="44" t="n">
        <v>46248</v>
      </c>
      <c r="C3201" s="31" t="s">
        <v>58</v>
      </c>
      <c r="D3201" s="31" t="s">
        <v>67</v>
      </c>
      <c r="E3201" s="31" t="s">
        <v>52</v>
      </c>
      <c r="F3201" s="31" t="s">
        <v>129</v>
      </c>
      <c r="G3201" s="31" t="n">
        <v>11</v>
      </c>
      <c r="H3201" s="41" t="n">
        <v>22.3</v>
      </c>
      <c r="I3201" s="31" t="s">
        <v>149</v>
      </c>
      <c r="J3201" s="31"/>
      <c r="K3201" s="31" t="s">
        <v>150</v>
      </c>
      <c r="L3201" s="45" t="n">
        <f aca="false">DATE(YEAR(B3201),MONTH(B3201),1)</f>
        <v>46235</v>
      </c>
      <c r="M3201" s="31" t="n">
        <f aca="false">WEEKDAY(B3201,2)</f>
        <v>5</v>
      </c>
      <c r="N3201" s="31" t="str">
        <f aca="false">IF(G3201&lt;=INDEX(Assumptions!$B$15:$B$18,MATCH(E3201,Assumptions!$A$15:$A$18,0)),"Yes","No")</f>
        <v>Yes</v>
      </c>
      <c r="O3201" s="31" t="str">
        <f aca="false">IF(H3201="","Open",IF(H3201&lt;=INDEX(Assumptions!$C$15:$C$18,MATCH(E3201,Assumptions!$A$15:$A$18,0)),"Yes","No"))</f>
        <v>Yes</v>
      </c>
    </row>
    <row r="3202" customFormat="false" ht="15" hidden="false" customHeight="false" outlineLevel="0" collapsed="false">
      <c r="A3202" s="31" t="s">
        <v>3352</v>
      </c>
      <c r="B3202" s="44" t="n">
        <v>46248</v>
      </c>
      <c r="C3202" s="31" t="s">
        <v>57</v>
      </c>
      <c r="D3202" s="31" t="s">
        <v>65</v>
      </c>
      <c r="E3202" s="31" t="s">
        <v>52</v>
      </c>
      <c r="F3202" s="31" t="s">
        <v>117</v>
      </c>
      <c r="G3202" s="31" t="n">
        <v>4</v>
      </c>
      <c r="H3202" s="41" t="n">
        <v>31.5</v>
      </c>
      <c r="I3202" s="31" t="s">
        <v>149</v>
      </c>
      <c r="J3202" s="31"/>
      <c r="K3202" s="31" t="s">
        <v>150</v>
      </c>
      <c r="L3202" s="45" t="n">
        <f aca="false">DATE(YEAR(B3202),MONTH(B3202),1)</f>
        <v>46235</v>
      </c>
      <c r="M3202" s="31" t="n">
        <f aca="false">WEEKDAY(B3202,2)</f>
        <v>5</v>
      </c>
      <c r="N3202" s="31" t="str">
        <f aca="false">IF(G3202&lt;=INDEX(Assumptions!$B$15:$B$18,MATCH(E3202,Assumptions!$A$15:$A$18,0)),"Yes","No")</f>
        <v>Yes</v>
      </c>
      <c r="O3202" s="31" t="str">
        <f aca="false">IF(H3202="","Open",IF(H3202&lt;=INDEX(Assumptions!$C$15:$C$18,MATCH(E3202,Assumptions!$A$15:$A$18,0)),"Yes","No"))</f>
        <v>Yes</v>
      </c>
    </row>
    <row r="3203" customFormat="false" ht="15" hidden="false" customHeight="false" outlineLevel="0" collapsed="false">
      <c r="A3203" s="31" t="s">
        <v>3353</v>
      </c>
      <c r="B3203" s="44" t="n">
        <v>46248</v>
      </c>
      <c r="C3203" s="31" t="s">
        <v>60</v>
      </c>
      <c r="D3203" s="31" t="s">
        <v>69</v>
      </c>
      <c r="E3203" s="31" t="s">
        <v>52</v>
      </c>
      <c r="F3203" s="31" t="s">
        <v>129</v>
      </c>
      <c r="G3203" s="31" t="n">
        <v>1</v>
      </c>
      <c r="H3203" s="41" t="n">
        <v>11.6</v>
      </c>
      <c r="I3203" s="31" t="s">
        <v>149</v>
      </c>
      <c r="J3203" s="31"/>
      <c r="K3203" s="31" t="s">
        <v>150</v>
      </c>
      <c r="L3203" s="45" t="n">
        <f aca="false">DATE(YEAR(B3203),MONTH(B3203),1)</f>
        <v>46235</v>
      </c>
      <c r="M3203" s="31" t="n">
        <f aca="false">WEEKDAY(B3203,2)</f>
        <v>5</v>
      </c>
      <c r="N3203" s="31" t="str">
        <f aca="false">IF(G3203&lt;=INDEX(Assumptions!$B$15:$B$18,MATCH(E3203,Assumptions!$A$15:$A$18,0)),"Yes","No")</f>
        <v>Yes</v>
      </c>
      <c r="O3203" s="31" t="str">
        <f aca="false">IF(H3203="","Open",IF(H3203&lt;=INDEX(Assumptions!$C$15:$C$18,MATCH(E3203,Assumptions!$A$15:$A$18,0)),"Yes","No"))</f>
        <v>Yes</v>
      </c>
    </row>
    <row r="3204" customFormat="false" ht="15" hidden="false" customHeight="false" outlineLevel="0" collapsed="false">
      <c r="A3204" s="31" t="s">
        <v>3354</v>
      </c>
      <c r="B3204" s="44" t="n">
        <v>46248</v>
      </c>
      <c r="C3204" s="31" t="s">
        <v>57</v>
      </c>
      <c r="D3204" s="31" t="s">
        <v>66</v>
      </c>
      <c r="E3204" s="31" t="s">
        <v>52</v>
      </c>
      <c r="F3204" s="31" t="s">
        <v>117</v>
      </c>
      <c r="G3204" s="31" t="n">
        <v>3</v>
      </c>
      <c r="H3204" s="41" t="n">
        <v>5.6</v>
      </c>
      <c r="I3204" s="31" t="s">
        <v>149</v>
      </c>
      <c r="J3204" s="31"/>
      <c r="K3204" s="31" t="s">
        <v>150</v>
      </c>
      <c r="L3204" s="45" t="n">
        <f aca="false">DATE(YEAR(B3204),MONTH(B3204),1)</f>
        <v>46235</v>
      </c>
      <c r="M3204" s="31" t="n">
        <f aca="false">WEEKDAY(B3204,2)</f>
        <v>5</v>
      </c>
      <c r="N3204" s="31" t="str">
        <f aca="false">IF(G3204&lt;=INDEX(Assumptions!$B$15:$B$18,MATCH(E3204,Assumptions!$A$15:$A$18,0)),"Yes","No")</f>
        <v>Yes</v>
      </c>
      <c r="O3204" s="31" t="str">
        <f aca="false">IF(H3204="","Open",IF(H3204&lt;=INDEX(Assumptions!$C$15:$C$18,MATCH(E3204,Assumptions!$A$15:$A$18,0)),"Yes","No"))</f>
        <v>Yes</v>
      </c>
    </row>
    <row r="3205" customFormat="false" ht="15" hidden="false" customHeight="false" outlineLevel="0" collapsed="false">
      <c r="A3205" s="31" t="s">
        <v>3355</v>
      </c>
      <c r="B3205" s="44" t="n">
        <v>46248</v>
      </c>
      <c r="C3205" s="31" t="s">
        <v>58</v>
      </c>
      <c r="D3205" s="31" t="s">
        <v>66</v>
      </c>
      <c r="E3205" s="31" t="s">
        <v>52</v>
      </c>
      <c r="F3205" s="31" t="s">
        <v>133</v>
      </c>
      <c r="G3205" s="31" t="n">
        <v>11</v>
      </c>
      <c r="H3205" s="41" t="n">
        <v>3.4</v>
      </c>
      <c r="I3205" s="31" t="s">
        <v>149</v>
      </c>
      <c r="J3205" s="31"/>
      <c r="K3205" s="31" t="s">
        <v>150</v>
      </c>
      <c r="L3205" s="45" t="n">
        <f aca="false">DATE(YEAR(B3205),MONTH(B3205),1)</f>
        <v>46235</v>
      </c>
      <c r="M3205" s="31" t="n">
        <f aca="false">WEEKDAY(B3205,2)</f>
        <v>5</v>
      </c>
      <c r="N3205" s="31" t="str">
        <f aca="false">IF(G3205&lt;=INDEX(Assumptions!$B$15:$B$18,MATCH(E3205,Assumptions!$A$15:$A$18,0)),"Yes","No")</f>
        <v>Yes</v>
      </c>
      <c r="O3205" s="31" t="str">
        <f aca="false">IF(H3205="","Open",IF(H3205&lt;=INDEX(Assumptions!$C$15:$C$18,MATCH(E3205,Assumptions!$A$15:$A$18,0)),"Yes","No"))</f>
        <v>Yes</v>
      </c>
    </row>
    <row r="3206" customFormat="false" ht="15" hidden="false" customHeight="false" outlineLevel="0" collapsed="false">
      <c r="A3206" s="31" t="s">
        <v>3356</v>
      </c>
      <c r="B3206" s="44" t="n">
        <v>46248</v>
      </c>
      <c r="C3206" s="31" t="s">
        <v>57</v>
      </c>
      <c r="D3206" s="31" t="s">
        <v>65</v>
      </c>
      <c r="E3206" s="31" t="s">
        <v>51</v>
      </c>
      <c r="F3206" s="31" t="s">
        <v>131</v>
      </c>
      <c r="G3206" s="31" t="n">
        <v>5</v>
      </c>
      <c r="H3206" s="41"/>
      <c r="I3206" s="31" t="s">
        <v>158</v>
      </c>
      <c r="J3206" s="31"/>
      <c r="K3206" s="31" t="s">
        <v>150</v>
      </c>
      <c r="L3206" s="45" t="n">
        <f aca="false">DATE(YEAR(B3206),MONTH(B3206),1)</f>
        <v>46235</v>
      </c>
      <c r="M3206" s="31" t="n">
        <f aca="false">WEEKDAY(B3206,2)</f>
        <v>5</v>
      </c>
      <c r="N3206" s="31" t="str">
        <f aca="false">IF(G3206&lt;=INDEX(Assumptions!$B$15:$B$18,MATCH(E3206,Assumptions!$A$15:$A$18,0)),"Yes","No")</f>
        <v>Yes</v>
      </c>
      <c r="O3206" s="31" t="str">
        <f aca="false">IF(H3206="","Open",IF(H3206&lt;=INDEX(Assumptions!$C$15:$C$18,MATCH(E3206,Assumptions!$A$15:$A$18,0)),"Yes","No"))</f>
        <v>Open</v>
      </c>
    </row>
    <row r="3207" customFormat="false" ht="15" hidden="false" customHeight="false" outlineLevel="0" collapsed="false">
      <c r="A3207" s="31" t="s">
        <v>3357</v>
      </c>
      <c r="B3207" s="44" t="n">
        <v>46248</v>
      </c>
      <c r="C3207" s="31" t="s">
        <v>60</v>
      </c>
      <c r="D3207" s="31" t="s">
        <v>67</v>
      </c>
      <c r="E3207" s="31" t="s">
        <v>51</v>
      </c>
      <c r="F3207" s="31" t="s">
        <v>131</v>
      </c>
      <c r="G3207" s="31" t="n">
        <v>1</v>
      </c>
      <c r="H3207" s="41" t="n">
        <v>4.4</v>
      </c>
      <c r="I3207" s="31" t="s">
        <v>149</v>
      </c>
      <c r="J3207" s="31"/>
      <c r="K3207" s="31" t="s">
        <v>153</v>
      </c>
      <c r="L3207" s="45" t="n">
        <f aca="false">DATE(YEAR(B3207),MONTH(B3207),1)</f>
        <v>46235</v>
      </c>
      <c r="M3207" s="31" t="n">
        <f aca="false">WEEKDAY(B3207,2)</f>
        <v>5</v>
      </c>
      <c r="N3207" s="31" t="str">
        <f aca="false">IF(G3207&lt;=INDEX(Assumptions!$B$15:$B$18,MATCH(E3207,Assumptions!$A$15:$A$18,0)),"Yes","No")</f>
        <v>Yes</v>
      </c>
      <c r="O3207" s="31" t="str">
        <f aca="false">IF(H3207="","Open",IF(H3207&lt;=INDEX(Assumptions!$C$15:$C$18,MATCH(E3207,Assumptions!$A$15:$A$18,0)),"Yes","No"))</f>
        <v>Yes</v>
      </c>
    </row>
    <row r="3208" customFormat="false" ht="15" hidden="false" customHeight="false" outlineLevel="0" collapsed="false">
      <c r="A3208" s="31" t="s">
        <v>3358</v>
      </c>
      <c r="B3208" s="44" t="n">
        <v>46248</v>
      </c>
      <c r="C3208" s="31" t="s">
        <v>58</v>
      </c>
      <c r="D3208" s="31" t="s">
        <v>66</v>
      </c>
      <c r="E3208" s="31" t="s">
        <v>50</v>
      </c>
      <c r="F3208" s="31" t="s">
        <v>117</v>
      </c>
      <c r="G3208" s="31" t="n">
        <v>4</v>
      </c>
      <c r="H3208" s="41" t="n">
        <v>6.3</v>
      </c>
      <c r="I3208" s="31" t="s">
        <v>149</v>
      </c>
      <c r="J3208" s="31" t="n">
        <v>5</v>
      </c>
      <c r="K3208" s="31" t="s">
        <v>150</v>
      </c>
      <c r="L3208" s="45" t="n">
        <f aca="false">DATE(YEAR(B3208),MONTH(B3208),1)</f>
        <v>46235</v>
      </c>
      <c r="M3208" s="31" t="n">
        <f aca="false">WEEKDAY(B3208,2)</f>
        <v>5</v>
      </c>
      <c r="N3208" s="31" t="str">
        <f aca="false">IF(G3208&lt;=INDEX(Assumptions!$B$15:$B$18,MATCH(E3208,Assumptions!$A$15:$A$18,0)),"Yes","No")</f>
        <v>Yes</v>
      </c>
      <c r="O3208" s="31" t="str">
        <f aca="false">IF(H3208="","Open",IF(H3208&lt;=INDEX(Assumptions!$C$15:$C$18,MATCH(E3208,Assumptions!$A$15:$A$18,0)),"Yes","No"))</f>
        <v>Yes</v>
      </c>
    </row>
    <row r="3209" customFormat="false" ht="15" hidden="false" customHeight="false" outlineLevel="0" collapsed="false">
      <c r="A3209" s="31" t="s">
        <v>3359</v>
      </c>
      <c r="B3209" s="44" t="n">
        <v>46248</v>
      </c>
      <c r="C3209" s="31" t="s">
        <v>58</v>
      </c>
      <c r="D3209" s="31" t="s">
        <v>68</v>
      </c>
      <c r="E3209" s="31" t="s">
        <v>51</v>
      </c>
      <c r="F3209" s="31" t="s">
        <v>122</v>
      </c>
      <c r="G3209" s="31" t="n">
        <v>18</v>
      </c>
      <c r="H3209" s="41" t="n">
        <v>5.5</v>
      </c>
      <c r="I3209" s="31" t="s">
        <v>149</v>
      </c>
      <c r="J3209" s="31"/>
      <c r="K3209" s="31" t="s">
        <v>150</v>
      </c>
      <c r="L3209" s="45" t="n">
        <f aca="false">DATE(YEAR(B3209),MONTH(B3209),1)</f>
        <v>46235</v>
      </c>
      <c r="M3209" s="31" t="n">
        <f aca="false">WEEKDAY(B3209,2)</f>
        <v>5</v>
      </c>
      <c r="N3209" s="31" t="str">
        <f aca="false">IF(G3209&lt;=INDEX(Assumptions!$B$15:$B$18,MATCH(E3209,Assumptions!$A$15:$A$18,0)),"Yes","No")</f>
        <v>Yes</v>
      </c>
      <c r="O3209" s="31" t="str">
        <f aca="false">IF(H3209="","Open",IF(H3209&lt;=INDEX(Assumptions!$C$15:$C$18,MATCH(E3209,Assumptions!$A$15:$A$18,0)),"Yes","No"))</f>
        <v>Yes</v>
      </c>
    </row>
    <row r="3210" customFormat="false" ht="15" hidden="false" customHeight="false" outlineLevel="0" collapsed="false">
      <c r="A3210" s="31" t="s">
        <v>3360</v>
      </c>
      <c r="B3210" s="44" t="n">
        <v>46248</v>
      </c>
      <c r="C3210" s="31" t="s">
        <v>58</v>
      </c>
      <c r="D3210" s="31" t="s">
        <v>66</v>
      </c>
      <c r="E3210" s="31" t="s">
        <v>51</v>
      </c>
      <c r="F3210" s="31" t="s">
        <v>131</v>
      </c>
      <c r="G3210" s="31" t="n">
        <v>6</v>
      </c>
      <c r="H3210" s="41" t="n">
        <v>2.1</v>
      </c>
      <c r="I3210" s="31" t="s">
        <v>149</v>
      </c>
      <c r="J3210" s="31" t="n">
        <v>5</v>
      </c>
      <c r="K3210" s="31" t="s">
        <v>150</v>
      </c>
      <c r="L3210" s="45" t="n">
        <f aca="false">DATE(YEAR(B3210),MONTH(B3210),1)</f>
        <v>46235</v>
      </c>
      <c r="M3210" s="31" t="n">
        <f aca="false">WEEKDAY(B3210,2)</f>
        <v>5</v>
      </c>
      <c r="N3210" s="31" t="str">
        <f aca="false">IF(G3210&lt;=INDEX(Assumptions!$B$15:$B$18,MATCH(E3210,Assumptions!$A$15:$A$18,0)),"Yes","No")</f>
        <v>Yes</v>
      </c>
      <c r="O3210" s="31" t="str">
        <f aca="false">IF(H3210="","Open",IF(H3210&lt;=INDEX(Assumptions!$C$15:$C$18,MATCH(E3210,Assumptions!$A$15:$A$18,0)),"Yes","No"))</f>
        <v>Yes</v>
      </c>
    </row>
    <row r="3211" customFormat="false" ht="15" hidden="false" customHeight="false" outlineLevel="0" collapsed="false">
      <c r="A3211" s="31" t="s">
        <v>3361</v>
      </c>
      <c r="B3211" s="44" t="n">
        <v>46248</v>
      </c>
      <c r="C3211" s="31" t="s">
        <v>59</v>
      </c>
      <c r="D3211" s="31" t="s">
        <v>66</v>
      </c>
      <c r="E3211" s="31" t="s">
        <v>52</v>
      </c>
      <c r="F3211" s="31" t="s">
        <v>127</v>
      </c>
      <c r="G3211" s="31" t="n">
        <v>93</v>
      </c>
      <c r="H3211" s="41" t="n">
        <v>2.8</v>
      </c>
      <c r="I3211" s="31" t="s">
        <v>149</v>
      </c>
      <c r="J3211" s="31"/>
      <c r="K3211" s="31" t="s">
        <v>150</v>
      </c>
      <c r="L3211" s="45" t="n">
        <f aca="false">DATE(YEAR(B3211),MONTH(B3211),1)</f>
        <v>46235</v>
      </c>
      <c r="M3211" s="31" t="n">
        <f aca="false">WEEKDAY(B3211,2)</f>
        <v>5</v>
      </c>
      <c r="N3211" s="31" t="str">
        <f aca="false">IF(G3211&lt;=INDEX(Assumptions!$B$15:$B$18,MATCH(E3211,Assumptions!$A$15:$A$18,0)),"Yes","No")</f>
        <v>Yes</v>
      </c>
      <c r="O3211" s="31" t="str">
        <f aca="false">IF(H3211="","Open",IF(H3211&lt;=INDEX(Assumptions!$C$15:$C$18,MATCH(E3211,Assumptions!$A$15:$A$18,0)),"Yes","No"))</f>
        <v>Yes</v>
      </c>
    </row>
    <row r="3212" customFormat="false" ht="15" hidden="false" customHeight="false" outlineLevel="0" collapsed="false">
      <c r="A3212" s="31" t="s">
        <v>3362</v>
      </c>
      <c r="B3212" s="44" t="n">
        <v>46248</v>
      </c>
      <c r="C3212" s="31" t="s">
        <v>58</v>
      </c>
      <c r="D3212" s="31" t="s">
        <v>69</v>
      </c>
      <c r="E3212" s="31" t="s">
        <v>51</v>
      </c>
      <c r="F3212" s="31" t="s">
        <v>131</v>
      </c>
      <c r="G3212" s="31" t="n">
        <v>13</v>
      </c>
      <c r="H3212" s="41" t="n">
        <v>8.9</v>
      </c>
      <c r="I3212" s="31" t="s">
        <v>149</v>
      </c>
      <c r="J3212" s="31" t="n">
        <v>5</v>
      </c>
      <c r="K3212" s="31" t="s">
        <v>150</v>
      </c>
      <c r="L3212" s="45" t="n">
        <f aca="false">DATE(YEAR(B3212),MONTH(B3212),1)</f>
        <v>46235</v>
      </c>
      <c r="M3212" s="31" t="n">
        <f aca="false">WEEKDAY(B3212,2)</f>
        <v>5</v>
      </c>
      <c r="N3212" s="31" t="str">
        <f aca="false">IF(G3212&lt;=INDEX(Assumptions!$B$15:$B$18,MATCH(E3212,Assumptions!$A$15:$A$18,0)),"Yes","No")</f>
        <v>Yes</v>
      </c>
      <c r="O3212" s="31" t="str">
        <f aca="false">IF(H3212="","Open",IF(H3212&lt;=INDEX(Assumptions!$C$15:$C$18,MATCH(E3212,Assumptions!$A$15:$A$18,0)),"Yes","No"))</f>
        <v>Yes</v>
      </c>
    </row>
    <row r="3213" customFormat="false" ht="15" hidden="false" customHeight="false" outlineLevel="0" collapsed="false">
      <c r="A3213" s="31" t="s">
        <v>3363</v>
      </c>
      <c r="B3213" s="44" t="n">
        <v>46248</v>
      </c>
      <c r="C3213" s="31" t="s">
        <v>60</v>
      </c>
      <c r="D3213" s="31" t="s">
        <v>66</v>
      </c>
      <c r="E3213" s="31" t="s">
        <v>51</v>
      </c>
      <c r="F3213" s="31" t="s">
        <v>121</v>
      </c>
      <c r="G3213" s="31" t="n">
        <v>3</v>
      </c>
      <c r="H3213" s="41" t="n">
        <v>2.7</v>
      </c>
      <c r="I3213" s="31" t="s">
        <v>149</v>
      </c>
      <c r="J3213" s="31"/>
      <c r="K3213" s="31" t="s">
        <v>150</v>
      </c>
      <c r="L3213" s="45" t="n">
        <f aca="false">DATE(YEAR(B3213),MONTH(B3213),1)</f>
        <v>46235</v>
      </c>
      <c r="M3213" s="31" t="n">
        <f aca="false">WEEKDAY(B3213,2)</f>
        <v>5</v>
      </c>
      <c r="N3213" s="31" t="str">
        <f aca="false">IF(G3213&lt;=INDEX(Assumptions!$B$15:$B$18,MATCH(E3213,Assumptions!$A$15:$A$18,0)),"Yes","No")</f>
        <v>Yes</v>
      </c>
      <c r="O3213" s="31" t="str">
        <f aca="false">IF(H3213="","Open",IF(H3213&lt;=INDEX(Assumptions!$C$15:$C$18,MATCH(E3213,Assumptions!$A$15:$A$18,0)),"Yes","No"))</f>
        <v>Yes</v>
      </c>
    </row>
    <row r="3214" customFormat="false" ht="15" hidden="false" customHeight="false" outlineLevel="0" collapsed="false">
      <c r="A3214" s="31" t="s">
        <v>3364</v>
      </c>
      <c r="B3214" s="44" t="n">
        <v>46248</v>
      </c>
      <c r="C3214" s="31" t="s">
        <v>57</v>
      </c>
      <c r="D3214" s="31" t="s">
        <v>66</v>
      </c>
      <c r="E3214" s="31" t="s">
        <v>50</v>
      </c>
      <c r="F3214" s="31" t="s">
        <v>130</v>
      </c>
      <c r="G3214" s="31" t="n">
        <v>5</v>
      </c>
      <c r="H3214" s="41" t="n">
        <v>1.7</v>
      </c>
      <c r="I3214" s="31" t="s">
        <v>149</v>
      </c>
      <c r="J3214" s="31"/>
      <c r="K3214" s="31" t="s">
        <v>150</v>
      </c>
      <c r="L3214" s="45" t="n">
        <f aca="false">DATE(YEAR(B3214),MONTH(B3214),1)</f>
        <v>46235</v>
      </c>
      <c r="M3214" s="31" t="n">
        <f aca="false">WEEKDAY(B3214,2)</f>
        <v>5</v>
      </c>
      <c r="N3214" s="31" t="str">
        <f aca="false">IF(G3214&lt;=INDEX(Assumptions!$B$15:$B$18,MATCH(E3214,Assumptions!$A$15:$A$18,0)),"Yes","No")</f>
        <v>Yes</v>
      </c>
      <c r="O3214" s="31" t="str">
        <f aca="false">IF(H3214="","Open",IF(H3214&lt;=INDEX(Assumptions!$C$15:$C$18,MATCH(E3214,Assumptions!$A$15:$A$18,0)),"Yes","No"))</f>
        <v>Yes</v>
      </c>
    </row>
    <row r="3215" customFormat="false" ht="15" hidden="false" customHeight="false" outlineLevel="0" collapsed="false">
      <c r="A3215" s="31" t="s">
        <v>3365</v>
      </c>
      <c r="B3215" s="44" t="n">
        <v>46248</v>
      </c>
      <c r="C3215" s="31" t="s">
        <v>60</v>
      </c>
      <c r="D3215" s="31" t="s">
        <v>69</v>
      </c>
      <c r="E3215" s="31" t="s">
        <v>52</v>
      </c>
      <c r="F3215" s="31" t="s">
        <v>117</v>
      </c>
      <c r="G3215" s="31" t="n">
        <v>6</v>
      </c>
      <c r="H3215" s="41" t="n">
        <v>18.2</v>
      </c>
      <c r="I3215" s="31" t="s">
        <v>149</v>
      </c>
      <c r="J3215" s="31" t="n">
        <v>4</v>
      </c>
      <c r="K3215" s="31" t="s">
        <v>150</v>
      </c>
      <c r="L3215" s="45" t="n">
        <f aca="false">DATE(YEAR(B3215),MONTH(B3215),1)</f>
        <v>46235</v>
      </c>
      <c r="M3215" s="31" t="n">
        <f aca="false">WEEKDAY(B3215,2)</f>
        <v>5</v>
      </c>
      <c r="N3215" s="31" t="str">
        <f aca="false">IF(G3215&lt;=INDEX(Assumptions!$B$15:$B$18,MATCH(E3215,Assumptions!$A$15:$A$18,0)),"Yes","No")</f>
        <v>Yes</v>
      </c>
      <c r="O3215" s="31" t="str">
        <f aca="false">IF(H3215="","Open",IF(H3215&lt;=INDEX(Assumptions!$C$15:$C$18,MATCH(E3215,Assumptions!$A$15:$A$18,0)),"Yes","No"))</f>
        <v>Yes</v>
      </c>
    </row>
    <row r="3216" customFormat="false" ht="15" hidden="false" customHeight="false" outlineLevel="0" collapsed="false">
      <c r="A3216" s="31" t="s">
        <v>3366</v>
      </c>
      <c r="B3216" s="44" t="n">
        <v>46248</v>
      </c>
      <c r="C3216" s="31" t="s">
        <v>60</v>
      </c>
      <c r="D3216" s="31" t="s">
        <v>69</v>
      </c>
      <c r="E3216" s="31" t="s">
        <v>51</v>
      </c>
      <c r="F3216" s="31" t="s">
        <v>130</v>
      </c>
      <c r="G3216" s="31" t="n">
        <v>3</v>
      </c>
      <c r="H3216" s="41" t="n">
        <v>34</v>
      </c>
      <c r="I3216" s="31" t="s">
        <v>149</v>
      </c>
      <c r="J3216" s="31"/>
      <c r="K3216" s="31" t="s">
        <v>150</v>
      </c>
      <c r="L3216" s="45" t="n">
        <f aca="false">DATE(YEAR(B3216),MONTH(B3216),1)</f>
        <v>46235</v>
      </c>
      <c r="M3216" s="31" t="n">
        <f aca="false">WEEKDAY(B3216,2)</f>
        <v>5</v>
      </c>
      <c r="N3216" s="31" t="str">
        <f aca="false">IF(G3216&lt;=INDEX(Assumptions!$B$15:$B$18,MATCH(E3216,Assumptions!$A$15:$A$18,0)),"Yes","No")</f>
        <v>Yes</v>
      </c>
      <c r="O3216" s="31" t="str">
        <f aca="false">IF(H3216="","Open",IF(H3216&lt;=INDEX(Assumptions!$C$15:$C$18,MATCH(E3216,Assumptions!$A$15:$A$18,0)),"Yes","No"))</f>
        <v>No</v>
      </c>
    </row>
    <row r="3217" customFormat="false" ht="15" hidden="false" customHeight="false" outlineLevel="0" collapsed="false">
      <c r="A3217" s="31" t="s">
        <v>3367</v>
      </c>
      <c r="B3217" s="44" t="n">
        <v>46248</v>
      </c>
      <c r="C3217" s="31" t="s">
        <v>60</v>
      </c>
      <c r="D3217" s="31" t="s">
        <v>65</v>
      </c>
      <c r="E3217" s="31" t="s">
        <v>51</v>
      </c>
      <c r="F3217" s="31" t="s">
        <v>130</v>
      </c>
      <c r="G3217" s="31" t="n">
        <v>3</v>
      </c>
      <c r="H3217" s="41" t="n">
        <v>4.6</v>
      </c>
      <c r="I3217" s="31" t="s">
        <v>149</v>
      </c>
      <c r="J3217" s="31" t="n">
        <v>5</v>
      </c>
      <c r="K3217" s="31" t="s">
        <v>150</v>
      </c>
      <c r="L3217" s="45" t="n">
        <f aca="false">DATE(YEAR(B3217),MONTH(B3217),1)</f>
        <v>46235</v>
      </c>
      <c r="M3217" s="31" t="n">
        <f aca="false">WEEKDAY(B3217,2)</f>
        <v>5</v>
      </c>
      <c r="N3217" s="31" t="str">
        <f aca="false">IF(G3217&lt;=INDEX(Assumptions!$B$15:$B$18,MATCH(E3217,Assumptions!$A$15:$A$18,0)),"Yes","No")</f>
        <v>Yes</v>
      </c>
      <c r="O3217" s="31" t="str">
        <f aca="false">IF(H3217="","Open",IF(H3217&lt;=INDEX(Assumptions!$C$15:$C$18,MATCH(E3217,Assumptions!$A$15:$A$18,0)),"Yes","No"))</f>
        <v>Yes</v>
      </c>
    </row>
    <row r="3218" customFormat="false" ht="15" hidden="false" customHeight="false" outlineLevel="0" collapsed="false">
      <c r="A3218" s="31" t="s">
        <v>3368</v>
      </c>
      <c r="B3218" s="44" t="n">
        <v>46248</v>
      </c>
      <c r="C3218" s="31" t="s">
        <v>57</v>
      </c>
      <c r="D3218" s="31" t="s">
        <v>67</v>
      </c>
      <c r="E3218" s="31" t="s">
        <v>52</v>
      </c>
      <c r="F3218" s="31" t="s">
        <v>127</v>
      </c>
      <c r="G3218" s="31" t="n">
        <v>8</v>
      </c>
      <c r="H3218" s="41" t="n">
        <v>5.2</v>
      </c>
      <c r="I3218" s="31" t="s">
        <v>149</v>
      </c>
      <c r="J3218" s="31"/>
      <c r="K3218" s="31" t="s">
        <v>150</v>
      </c>
      <c r="L3218" s="45" t="n">
        <f aca="false">DATE(YEAR(B3218),MONTH(B3218),1)</f>
        <v>46235</v>
      </c>
      <c r="M3218" s="31" t="n">
        <f aca="false">WEEKDAY(B3218,2)</f>
        <v>5</v>
      </c>
      <c r="N3218" s="31" t="str">
        <f aca="false">IF(G3218&lt;=INDEX(Assumptions!$B$15:$B$18,MATCH(E3218,Assumptions!$A$15:$A$18,0)),"Yes","No")</f>
        <v>Yes</v>
      </c>
      <c r="O3218" s="31" t="str">
        <f aca="false">IF(H3218="","Open",IF(H3218&lt;=INDEX(Assumptions!$C$15:$C$18,MATCH(E3218,Assumptions!$A$15:$A$18,0)),"Yes","No"))</f>
        <v>Yes</v>
      </c>
    </row>
    <row r="3219" customFormat="false" ht="15" hidden="false" customHeight="false" outlineLevel="0" collapsed="false">
      <c r="A3219" s="31" t="s">
        <v>3369</v>
      </c>
      <c r="B3219" s="44" t="n">
        <v>46248</v>
      </c>
      <c r="C3219" s="31" t="s">
        <v>57</v>
      </c>
      <c r="D3219" s="31" t="s">
        <v>67</v>
      </c>
      <c r="E3219" s="31" t="s">
        <v>52</v>
      </c>
      <c r="F3219" s="31" t="s">
        <v>130</v>
      </c>
      <c r="G3219" s="31" t="n">
        <v>2</v>
      </c>
      <c r="H3219" s="41" t="n">
        <v>9.5</v>
      </c>
      <c r="I3219" s="31" t="s">
        <v>149</v>
      </c>
      <c r="J3219" s="31" t="n">
        <v>5</v>
      </c>
      <c r="K3219" s="31" t="s">
        <v>150</v>
      </c>
      <c r="L3219" s="45" t="n">
        <f aca="false">DATE(YEAR(B3219),MONTH(B3219),1)</f>
        <v>46235</v>
      </c>
      <c r="M3219" s="31" t="n">
        <f aca="false">WEEKDAY(B3219,2)</f>
        <v>5</v>
      </c>
      <c r="N3219" s="31" t="str">
        <f aca="false">IF(G3219&lt;=INDEX(Assumptions!$B$15:$B$18,MATCH(E3219,Assumptions!$A$15:$A$18,0)),"Yes","No")</f>
        <v>Yes</v>
      </c>
      <c r="O3219" s="31" t="str">
        <f aca="false">IF(H3219="","Open",IF(H3219&lt;=INDEX(Assumptions!$C$15:$C$18,MATCH(E3219,Assumptions!$A$15:$A$18,0)),"Yes","No"))</f>
        <v>Yes</v>
      </c>
    </row>
    <row r="3220" customFormat="false" ht="15" hidden="false" customHeight="false" outlineLevel="0" collapsed="false">
      <c r="A3220" s="31" t="s">
        <v>3370</v>
      </c>
      <c r="B3220" s="44" t="n">
        <v>46248</v>
      </c>
      <c r="C3220" s="31" t="s">
        <v>59</v>
      </c>
      <c r="D3220" s="31" t="s">
        <v>69</v>
      </c>
      <c r="E3220" s="31" t="s">
        <v>51</v>
      </c>
      <c r="F3220" s="31" t="s">
        <v>134</v>
      </c>
      <c r="G3220" s="31" t="n">
        <v>60</v>
      </c>
      <c r="H3220" s="41" t="n">
        <v>41.3</v>
      </c>
      <c r="I3220" s="31" t="s">
        <v>149</v>
      </c>
      <c r="J3220" s="31" t="n">
        <v>2</v>
      </c>
      <c r="K3220" s="31" t="s">
        <v>150</v>
      </c>
      <c r="L3220" s="45" t="n">
        <f aca="false">DATE(YEAR(B3220),MONTH(B3220),1)</f>
        <v>46235</v>
      </c>
      <c r="M3220" s="31" t="n">
        <f aca="false">WEEKDAY(B3220,2)</f>
        <v>5</v>
      </c>
      <c r="N3220" s="31" t="str">
        <f aca="false">IF(G3220&lt;=INDEX(Assumptions!$B$15:$B$18,MATCH(E3220,Assumptions!$A$15:$A$18,0)),"Yes","No")</f>
        <v>Yes</v>
      </c>
      <c r="O3220" s="31" t="str">
        <f aca="false">IF(H3220="","Open",IF(H3220&lt;=INDEX(Assumptions!$C$15:$C$18,MATCH(E3220,Assumptions!$A$15:$A$18,0)),"Yes","No"))</f>
        <v>No</v>
      </c>
    </row>
    <row r="3221" customFormat="false" ht="15" hidden="false" customHeight="false" outlineLevel="0" collapsed="false">
      <c r="A3221" s="31" t="s">
        <v>3371</v>
      </c>
      <c r="B3221" s="44" t="n">
        <v>46248</v>
      </c>
      <c r="C3221" s="31" t="s">
        <v>57</v>
      </c>
      <c r="D3221" s="31" t="s">
        <v>67</v>
      </c>
      <c r="E3221" s="31" t="s">
        <v>51</v>
      </c>
      <c r="F3221" s="31" t="s">
        <v>121</v>
      </c>
      <c r="G3221" s="31" t="n">
        <v>3</v>
      </c>
      <c r="H3221" s="41"/>
      <c r="I3221" s="31" t="s">
        <v>158</v>
      </c>
      <c r="J3221" s="31"/>
      <c r="K3221" s="31" t="s">
        <v>150</v>
      </c>
      <c r="L3221" s="45" t="n">
        <f aca="false">DATE(YEAR(B3221),MONTH(B3221),1)</f>
        <v>46235</v>
      </c>
      <c r="M3221" s="31" t="n">
        <f aca="false">WEEKDAY(B3221,2)</f>
        <v>5</v>
      </c>
      <c r="N3221" s="31" t="str">
        <f aca="false">IF(G3221&lt;=INDEX(Assumptions!$B$15:$B$18,MATCH(E3221,Assumptions!$A$15:$A$18,0)),"Yes","No")</f>
        <v>Yes</v>
      </c>
      <c r="O3221" s="31" t="str">
        <f aca="false">IF(H3221="","Open",IF(H3221&lt;=INDEX(Assumptions!$C$15:$C$18,MATCH(E3221,Assumptions!$A$15:$A$18,0)),"Yes","No"))</f>
        <v>Open</v>
      </c>
    </row>
    <row r="3222" customFormat="false" ht="15" hidden="false" customHeight="false" outlineLevel="0" collapsed="false">
      <c r="A3222" s="31" t="s">
        <v>3372</v>
      </c>
      <c r="B3222" s="44" t="n">
        <v>46248</v>
      </c>
      <c r="C3222" s="31" t="s">
        <v>57</v>
      </c>
      <c r="D3222" s="31" t="s">
        <v>67</v>
      </c>
      <c r="E3222" s="31" t="s">
        <v>49</v>
      </c>
      <c r="F3222" s="31" t="s">
        <v>127</v>
      </c>
      <c r="G3222" s="31" t="n">
        <v>2</v>
      </c>
      <c r="H3222" s="41" t="n">
        <v>6</v>
      </c>
      <c r="I3222" s="31" t="s">
        <v>149</v>
      </c>
      <c r="J3222" s="31" t="n">
        <v>5</v>
      </c>
      <c r="K3222" s="31" t="s">
        <v>150</v>
      </c>
      <c r="L3222" s="45" t="n">
        <f aca="false">DATE(YEAR(B3222),MONTH(B3222),1)</f>
        <v>46235</v>
      </c>
      <c r="M3222" s="31" t="n">
        <f aca="false">WEEKDAY(B3222,2)</f>
        <v>5</v>
      </c>
      <c r="N3222" s="31" t="str">
        <f aca="false">IF(G3222&lt;=INDEX(Assumptions!$B$15:$B$18,MATCH(E3222,Assumptions!$A$15:$A$18,0)),"Yes","No")</f>
        <v>Yes</v>
      </c>
      <c r="O3222" s="31" t="str">
        <f aca="false">IF(H3222="","Open",IF(H3222&lt;=INDEX(Assumptions!$C$15:$C$18,MATCH(E3222,Assumptions!$A$15:$A$18,0)),"Yes","No"))</f>
        <v>No</v>
      </c>
    </row>
    <row r="3223" customFormat="false" ht="15" hidden="false" customHeight="false" outlineLevel="0" collapsed="false">
      <c r="A3223" s="31" t="s">
        <v>3373</v>
      </c>
      <c r="B3223" s="44" t="n">
        <v>46248</v>
      </c>
      <c r="C3223" s="31" t="s">
        <v>59</v>
      </c>
      <c r="D3223" s="31" t="s">
        <v>66</v>
      </c>
      <c r="E3223" s="31" t="s">
        <v>51</v>
      </c>
      <c r="F3223" s="31" t="s">
        <v>117</v>
      </c>
      <c r="G3223" s="31" t="n">
        <v>233</v>
      </c>
      <c r="H3223" s="41" t="n">
        <v>4.8</v>
      </c>
      <c r="I3223" s="31" t="s">
        <v>149</v>
      </c>
      <c r="J3223" s="31"/>
      <c r="K3223" s="31" t="s">
        <v>150</v>
      </c>
      <c r="L3223" s="45" t="n">
        <f aca="false">DATE(YEAR(B3223),MONTH(B3223),1)</f>
        <v>46235</v>
      </c>
      <c r="M3223" s="31" t="n">
        <f aca="false">WEEKDAY(B3223,2)</f>
        <v>5</v>
      </c>
      <c r="N3223" s="31" t="str">
        <f aca="false">IF(G3223&lt;=INDEX(Assumptions!$B$15:$B$18,MATCH(E3223,Assumptions!$A$15:$A$18,0)),"Yes","No")</f>
        <v>No</v>
      </c>
      <c r="O3223" s="31" t="str">
        <f aca="false">IF(H3223="","Open",IF(H3223&lt;=INDEX(Assumptions!$C$15:$C$18,MATCH(E3223,Assumptions!$A$15:$A$18,0)),"Yes","No"))</f>
        <v>Yes</v>
      </c>
    </row>
    <row r="3224" customFormat="false" ht="15" hidden="false" customHeight="false" outlineLevel="0" collapsed="false">
      <c r="A3224" s="31" t="s">
        <v>3374</v>
      </c>
      <c r="B3224" s="44" t="n">
        <v>46248</v>
      </c>
      <c r="C3224" s="31" t="s">
        <v>57</v>
      </c>
      <c r="D3224" s="31" t="s">
        <v>67</v>
      </c>
      <c r="E3224" s="31" t="s">
        <v>50</v>
      </c>
      <c r="F3224" s="31" t="s">
        <v>129</v>
      </c>
      <c r="G3224" s="31" t="n">
        <v>2</v>
      </c>
      <c r="H3224" s="41"/>
      <c r="I3224" s="31" t="s">
        <v>158</v>
      </c>
      <c r="J3224" s="31"/>
      <c r="K3224" s="31" t="s">
        <v>150</v>
      </c>
      <c r="L3224" s="45" t="n">
        <f aca="false">DATE(YEAR(B3224),MONTH(B3224),1)</f>
        <v>46235</v>
      </c>
      <c r="M3224" s="31" t="n">
        <f aca="false">WEEKDAY(B3224,2)</f>
        <v>5</v>
      </c>
      <c r="N3224" s="31" t="str">
        <f aca="false">IF(G3224&lt;=INDEX(Assumptions!$B$15:$B$18,MATCH(E3224,Assumptions!$A$15:$A$18,0)),"Yes","No")</f>
        <v>Yes</v>
      </c>
      <c r="O3224" s="31" t="str">
        <f aca="false">IF(H3224="","Open",IF(H3224&lt;=INDEX(Assumptions!$C$15:$C$18,MATCH(E3224,Assumptions!$A$15:$A$18,0)),"Yes","No"))</f>
        <v>Open</v>
      </c>
    </row>
    <row r="3225" customFormat="false" ht="15" hidden="false" customHeight="false" outlineLevel="0" collapsed="false">
      <c r="A3225" s="31" t="s">
        <v>3375</v>
      </c>
      <c r="B3225" s="44" t="n">
        <v>46248</v>
      </c>
      <c r="C3225" s="31" t="s">
        <v>58</v>
      </c>
      <c r="D3225" s="31" t="s">
        <v>66</v>
      </c>
      <c r="E3225" s="31" t="s">
        <v>50</v>
      </c>
      <c r="F3225" s="31" t="s">
        <v>124</v>
      </c>
      <c r="G3225" s="31" t="n">
        <v>5</v>
      </c>
      <c r="H3225" s="41" t="n">
        <v>1.6</v>
      </c>
      <c r="I3225" s="31" t="s">
        <v>149</v>
      </c>
      <c r="J3225" s="31" t="n">
        <v>4</v>
      </c>
      <c r="K3225" s="31" t="s">
        <v>153</v>
      </c>
      <c r="L3225" s="45" t="n">
        <f aca="false">DATE(YEAR(B3225),MONTH(B3225),1)</f>
        <v>46235</v>
      </c>
      <c r="M3225" s="31" t="n">
        <f aca="false">WEEKDAY(B3225,2)</f>
        <v>5</v>
      </c>
      <c r="N3225" s="31" t="str">
        <f aca="false">IF(G3225&lt;=INDEX(Assumptions!$B$15:$B$18,MATCH(E3225,Assumptions!$A$15:$A$18,0)),"Yes","No")</f>
        <v>Yes</v>
      </c>
      <c r="O3225" s="31" t="str">
        <f aca="false">IF(H3225="","Open",IF(H3225&lt;=INDEX(Assumptions!$C$15:$C$18,MATCH(E3225,Assumptions!$A$15:$A$18,0)),"Yes","No"))</f>
        <v>Yes</v>
      </c>
    </row>
    <row r="3226" customFormat="false" ht="15" hidden="false" customHeight="false" outlineLevel="0" collapsed="false">
      <c r="A3226" s="31" t="s">
        <v>3376</v>
      </c>
      <c r="B3226" s="44" t="n">
        <v>46248</v>
      </c>
      <c r="C3226" s="31" t="s">
        <v>60</v>
      </c>
      <c r="D3226" s="31" t="s">
        <v>65</v>
      </c>
      <c r="E3226" s="31" t="s">
        <v>52</v>
      </c>
      <c r="F3226" s="31" t="s">
        <v>126</v>
      </c>
      <c r="G3226" s="31" t="n">
        <v>2</v>
      </c>
      <c r="H3226" s="41" t="n">
        <v>12.2</v>
      </c>
      <c r="I3226" s="31" t="s">
        <v>149</v>
      </c>
      <c r="J3226" s="31" t="n">
        <v>4</v>
      </c>
      <c r="K3226" s="31" t="s">
        <v>150</v>
      </c>
      <c r="L3226" s="45" t="n">
        <f aca="false">DATE(YEAR(B3226),MONTH(B3226),1)</f>
        <v>46235</v>
      </c>
      <c r="M3226" s="31" t="n">
        <f aca="false">WEEKDAY(B3226,2)</f>
        <v>5</v>
      </c>
      <c r="N3226" s="31" t="str">
        <f aca="false">IF(G3226&lt;=INDEX(Assumptions!$B$15:$B$18,MATCH(E3226,Assumptions!$A$15:$A$18,0)),"Yes","No")</f>
        <v>Yes</v>
      </c>
      <c r="O3226" s="31" t="str">
        <f aca="false">IF(H3226="","Open",IF(H3226&lt;=INDEX(Assumptions!$C$15:$C$18,MATCH(E3226,Assumptions!$A$15:$A$18,0)),"Yes","No"))</f>
        <v>Yes</v>
      </c>
    </row>
    <row r="3227" customFormat="false" ht="15" hidden="false" customHeight="false" outlineLevel="0" collapsed="false">
      <c r="A3227" s="31" t="s">
        <v>3377</v>
      </c>
      <c r="B3227" s="44" t="n">
        <v>46248</v>
      </c>
      <c r="C3227" s="31" t="s">
        <v>57</v>
      </c>
      <c r="D3227" s="31" t="s">
        <v>65</v>
      </c>
      <c r="E3227" s="31" t="s">
        <v>51</v>
      </c>
      <c r="F3227" s="31" t="s">
        <v>134</v>
      </c>
      <c r="G3227" s="31" t="n">
        <v>7</v>
      </c>
      <c r="H3227" s="41" t="n">
        <v>22.6</v>
      </c>
      <c r="I3227" s="31" t="s">
        <v>149</v>
      </c>
      <c r="J3227" s="31"/>
      <c r="K3227" s="31" t="s">
        <v>153</v>
      </c>
      <c r="L3227" s="45" t="n">
        <f aca="false">DATE(YEAR(B3227),MONTH(B3227),1)</f>
        <v>46235</v>
      </c>
      <c r="M3227" s="31" t="n">
        <f aca="false">WEEKDAY(B3227,2)</f>
        <v>5</v>
      </c>
      <c r="N3227" s="31" t="str">
        <f aca="false">IF(G3227&lt;=INDEX(Assumptions!$B$15:$B$18,MATCH(E3227,Assumptions!$A$15:$A$18,0)),"Yes","No")</f>
        <v>Yes</v>
      </c>
      <c r="O3227" s="31" t="str">
        <f aca="false">IF(H3227="","Open",IF(H3227&lt;=INDEX(Assumptions!$C$15:$C$18,MATCH(E3227,Assumptions!$A$15:$A$18,0)),"Yes","No"))</f>
        <v>Yes</v>
      </c>
    </row>
    <row r="3228" customFormat="false" ht="15" hidden="false" customHeight="false" outlineLevel="0" collapsed="false">
      <c r="A3228" s="31" t="s">
        <v>3378</v>
      </c>
      <c r="B3228" s="44" t="n">
        <v>46248</v>
      </c>
      <c r="C3228" s="31" t="s">
        <v>60</v>
      </c>
      <c r="D3228" s="31" t="s">
        <v>69</v>
      </c>
      <c r="E3228" s="31" t="s">
        <v>51</v>
      </c>
      <c r="F3228" s="31" t="s">
        <v>136</v>
      </c>
      <c r="G3228" s="31" t="n">
        <v>3</v>
      </c>
      <c r="H3228" s="41" t="n">
        <v>6.6</v>
      </c>
      <c r="I3228" s="31" t="s">
        <v>149</v>
      </c>
      <c r="J3228" s="31"/>
      <c r="K3228" s="31" t="s">
        <v>150</v>
      </c>
      <c r="L3228" s="45" t="n">
        <f aca="false">DATE(YEAR(B3228),MONTH(B3228),1)</f>
        <v>46235</v>
      </c>
      <c r="M3228" s="31" t="n">
        <f aca="false">WEEKDAY(B3228,2)</f>
        <v>5</v>
      </c>
      <c r="N3228" s="31" t="str">
        <f aca="false">IF(G3228&lt;=INDEX(Assumptions!$B$15:$B$18,MATCH(E3228,Assumptions!$A$15:$A$18,0)),"Yes","No")</f>
        <v>Yes</v>
      </c>
      <c r="O3228" s="31" t="str">
        <f aca="false">IF(H3228="","Open",IF(H3228&lt;=INDEX(Assumptions!$C$15:$C$18,MATCH(E3228,Assumptions!$A$15:$A$18,0)),"Yes","No"))</f>
        <v>Yes</v>
      </c>
    </row>
    <row r="3229" customFormat="false" ht="15" hidden="false" customHeight="false" outlineLevel="0" collapsed="false">
      <c r="A3229" s="31" t="s">
        <v>3379</v>
      </c>
      <c r="B3229" s="44" t="n">
        <v>46248</v>
      </c>
      <c r="C3229" s="31" t="s">
        <v>58</v>
      </c>
      <c r="D3229" s="31" t="s">
        <v>67</v>
      </c>
      <c r="E3229" s="31" t="s">
        <v>50</v>
      </c>
      <c r="F3229" s="31" t="s">
        <v>120</v>
      </c>
      <c r="G3229" s="31" t="n">
        <v>27</v>
      </c>
      <c r="H3229" s="41" t="n">
        <v>10.6</v>
      </c>
      <c r="I3229" s="31" t="s">
        <v>149</v>
      </c>
      <c r="J3229" s="31" t="n">
        <v>4</v>
      </c>
      <c r="K3229" s="31" t="s">
        <v>150</v>
      </c>
      <c r="L3229" s="45" t="n">
        <f aca="false">DATE(YEAR(B3229),MONTH(B3229),1)</f>
        <v>46235</v>
      </c>
      <c r="M3229" s="31" t="n">
        <f aca="false">WEEKDAY(B3229,2)</f>
        <v>5</v>
      </c>
      <c r="N3229" s="31" t="str">
        <f aca="false">IF(G3229&lt;=INDEX(Assumptions!$B$15:$B$18,MATCH(E3229,Assumptions!$A$15:$A$18,0)),"Yes","No")</f>
        <v>Yes</v>
      </c>
      <c r="O3229" s="31" t="str">
        <f aca="false">IF(H3229="","Open",IF(H3229&lt;=INDEX(Assumptions!$C$15:$C$18,MATCH(E3229,Assumptions!$A$15:$A$18,0)),"Yes","No"))</f>
        <v>No</v>
      </c>
    </row>
    <row r="3230" customFormat="false" ht="15" hidden="false" customHeight="false" outlineLevel="0" collapsed="false">
      <c r="A3230" s="31" t="s">
        <v>3380</v>
      </c>
      <c r="B3230" s="44" t="n">
        <v>46248</v>
      </c>
      <c r="C3230" s="31" t="s">
        <v>58</v>
      </c>
      <c r="D3230" s="31" t="s">
        <v>67</v>
      </c>
      <c r="E3230" s="31" t="s">
        <v>52</v>
      </c>
      <c r="F3230" s="31" t="s">
        <v>129</v>
      </c>
      <c r="G3230" s="31" t="n">
        <v>4</v>
      </c>
      <c r="H3230" s="41" t="n">
        <v>3.7</v>
      </c>
      <c r="I3230" s="31" t="s">
        <v>149</v>
      </c>
      <c r="J3230" s="31" t="n">
        <v>4</v>
      </c>
      <c r="K3230" s="31" t="s">
        <v>150</v>
      </c>
      <c r="L3230" s="45" t="n">
        <f aca="false">DATE(YEAR(B3230),MONTH(B3230),1)</f>
        <v>46235</v>
      </c>
      <c r="M3230" s="31" t="n">
        <f aca="false">WEEKDAY(B3230,2)</f>
        <v>5</v>
      </c>
      <c r="N3230" s="31" t="str">
        <f aca="false">IF(G3230&lt;=INDEX(Assumptions!$B$15:$B$18,MATCH(E3230,Assumptions!$A$15:$A$18,0)),"Yes","No")</f>
        <v>Yes</v>
      </c>
      <c r="O3230" s="31" t="str">
        <f aca="false">IF(H3230="","Open",IF(H3230&lt;=INDEX(Assumptions!$C$15:$C$18,MATCH(E3230,Assumptions!$A$15:$A$18,0)),"Yes","No"))</f>
        <v>Yes</v>
      </c>
    </row>
    <row r="3231" customFormat="false" ht="15" hidden="false" customHeight="false" outlineLevel="0" collapsed="false">
      <c r="A3231" s="31" t="s">
        <v>3381</v>
      </c>
      <c r="B3231" s="44" t="n">
        <v>46248</v>
      </c>
      <c r="C3231" s="31" t="s">
        <v>58</v>
      </c>
      <c r="D3231" s="31" t="s">
        <v>65</v>
      </c>
      <c r="E3231" s="31" t="s">
        <v>51</v>
      </c>
      <c r="F3231" s="31" t="s">
        <v>133</v>
      </c>
      <c r="G3231" s="31" t="n">
        <v>17</v>
      </c>
      <c r="H3231" s="41" t="n">
        <v>13.2</v>
      </c>
      <c r="I3231" s="31" t="s">
        <v>149</v>
      </c>
      <c r="J3231" s="31"/>
      <c r="K3231" s="31" t="s">
        <v>153</v>
      </c>
      <c r="L3231" s="45" t="n">
        <f aca="false">DATE(YEAR(B3231),MONTH(B3231),1)</f>
        <v>46235</v>
      </c>
      <c r="M3231" s="31" t="n">
        <f aca="false">WEEKDAY(B3231,2)</f>
        <v>5</v>
      </c>
      <c r="N3231" s="31" t="str">
        <f aca="false">IF(G3231&lt;=INDEX(Assumptions!$B$15:$B$18,MATCH(E3231,Assumptions!$A$15:$A$18,0)),"Yes","No")</f>
        <v>Yes</v>
      </c>
      <c r="O3231" s="31" t="str">
        <f aca="false">IF(H3231="","Open",IF(H3231&lt;=INDEX(Assumptions!$C$15:$C$18,MATCH(E3231,Assumptions!$A$15:$A$18,0)),"Yes","No"))</f>
        <v>Yes</v>
      </c>
    </row>
    <row r="3232" customFormat="false" ht="15" hidden="false" customHeight="false" outlineLevel="0" collapsed="false">
      <c r="A3232" s="31" t="s">
        <v>3382</v>
      </c>
      <c r="B3232" s="44" t="n">
        <v>46248</v>
      </c>
      <c r="C3232" s="31" t="s">
        <v>57</v>
      </c>
      <c r="D3232" s="31" t="s">
        <v>66</v>
      </c>
      <c r="E3232" s="31" t="s">
        <v>51</v>
      </c>
      <c r="F3232" s="31" t="s">
        <v>119</v>
      </c>
      <c r="G3232" s="31" t="n">
        <v>3</v>
      </c>
      <c r="H3232" s="41" t="n">
        <v>10.9</v>
      </c>
      <c r="I3232" s="31" t="s">
        <v>149</v>
      </c>
      <c r="J3232" s="31" t="n">
        <v>4</v>
      </c>
      <c r="K3232" s="31" t="s">
        <v>150</v>
      </c>
      <c r="L3232" s="45" t="n">
        <f aca="false">DATE(YEAR(B3232),MONTH(B3232),1)</f>
        <v>46235</v>
      </c>
      <c r="M3232" s="31" t="n">
        <f aca="false">WEEKDAY(B3232,2)</f>
        <v>5</v>
      </c>
      <c r="N3232" s="31" t="str">
        <f aca="false">IF(G3232&lt;=INDEX(Assumptions!$B$15:$B$18,MATCH(E3232,Assumptions!$A$15:$A$18,0)),"Yes","No")</f>
        <v>Yes</v>
      </c>
      <c r="O3232" s="31" t="str">
        <f aca="false">IF(H3232="","Open",IF(H3232&lt;=INDEX(Assumptions!$C$15:$C$18,MATCH(E3232,Assumptions!$A$15:$A$18,0)),"Yes","No"))</f>
        <v>Yes</v>
      </c>
    </row>
    <row r="3233" customFormat="false" ht="15" hidden="false" customHeight="false" outlineLevel="0" collapsed="false">
      <c r="A3233" s="31" t="s">
        <v>3383</v>
      </c>
      <c r="B3233" s="44" t="n">
        <v>46248</v>
      </c>
      <c r="C3233" s="31" t="s">
        <v>57</v>
      </c>
      <c r="D3233" s="31" t="s">
        <v>65</v>
      </c>
      <c r="E3233" s="31" t="s">
        <v>51</v>
      </c>
      <c r="F3233" s="31" t="s">
        <v>127</v>
      </c>
      <c r="G3233" s="31" t="n">
        <v>4</v>
      </c>
      <c r="H3233" s="41" t="n">
        <v>17.7</v>
      </c>
      <c r="I3233" s="31" t="s">
        <v>149</v>
      </c>
      <c r="J3233" s="31" t="n">
        <v>3</v>
      </c>
      <c r="K3233" s="31" t="s">
        <v>150</v>
      </c>
      <c r="L3233" s="45" t="n">
        <f aca="false">DATE(YEAR(B3233),MONTH(B3233),1)</f>
        <v>46235</v>
      </c>
      <c r="M3233" s="31" t="n">
        <f aca="false">WEEKDAY(B3233,2)</f>
        <v>5</v>
      </c>
      <c r="N3233" s="31" t="str">
        <f aca="false">IF(G3233&lt;=INDEX(Assumptions!$B$15:$B$18,MATCH(E3233,Assumptions!$A$15:$A$18,0)),"Yes","No")</f>
        <v>Yes</v>
      </c>
      <c r="O3233" s="31" t="str">
        <f aca="false">IF(H3233="","Open",IF(H3233&lt;=INDEX(Assumptions!$C$15:$C$18,MATCH(E3233,Assumptions!$A$15:$A$18,0)),"Yes","No"))</f>
        <v>Yes</v>
      </c>
    </row>
    <row r="3234" customFormat="false" ht="15" hidden="false" customHeight="false" outlineLevel="0" collapsed="false">
      <c r="A3234" s="31" t="s">
        <v>3384</v>
      </c>
      <c r="B3234" s="44" t="n">
        <v>46248</v>
      </c>
      <c r="C3234" s="31" t="s">
        <v>58</v>
      </c>
      <c r="D3234" s="31" t="s">
        <v>68</v>
      </c>
      <c r="E3234" s="31" t="s">
        <v>52</v>
      </c>
      <c r="F3234" s="31" t="s">
        <v>136</v>
      </c>
      <c r="G3234" s="31" t="n">
        <v>23</v>
      </c>
      <c r="H3234" s="41" t="n">
        <v>6.7</v>
      </c>
      <c r="I3234" s="31" t="s">
        <v>149</v>
      </c>
      <c r="J3234" s="31"/>
      <c r="K3234" s="31" t="s">
        <v>150</v>
      </c>
      <c r="L3234" s="45" t="n">
        <f aca="false">DATE(YEAR(B3234),MONTH(B3234),1)</f>
        <v>46235</v>
      </c>
      <c r="M3234" s="31" t="n">
        <f aca="false">WEEKDAY(B3234,2)</f>
        <v>5</v>
      </c>
      <c r="N3234" s="31" t="str">
        <f aca="false">IF(G3234&lt;=INDEX(Assumptions!$B$15:$B$18,MATCH(E3234,Assumptions!$A$15:$A$18,0)),"Yes","No")</f>
        <v>Yes</v>
      </c>
      <c r="O3234" s="31" t="str">
        <f aca="false">IF(H3234="","Open",IF(H3234&lt;=INDEX(Assumptions!$C$15:$C$18,MATCH(E3234,Assumptions!$A$15:$A$18,0)),"Yes","No"))</f>
        <v>Yes</v>
      </c>
    </row>
    <row r="3235" customFormat="false" ht="15" hidden="false" customHeight="false" outlineLevel="0" collapsed="false">
      <c r="A3235" s="31" t="s">
        <v>3385</v>
      </c>
      <c r="B3235" s="44" t="n">
        <v>46248</v>
      </c>
      <c r="C3235" s="31" t="s">
        <v>58</v>
      </c>
      <c r="D3235" s="31" t="s">
        <v>65</v>
      </c>
      <c r="E3235" s="31" t="s">
        <v>52</v>
      </c>
      <c r="F3235" s="31" t="s">
        <v>123</v>
      </c>
      <c r="G3235" s="31" t="n">
        <v>23</v>
      </c>
      <c r="H3235" s="41" t="n">
        <v>31.1</v>
      </c>
      <c r="I3235" s="31" t="s">
        <v>149</v>
      </c>
      <c r="J3235" s="31" t="n">
        <v>4</v>
      </c>
      <c r="K3235" s="31" t="s">
        <v>150</v>
      </c>
      <c r="L3235" s="45" t="n">
        <f aca="false">DATE(YEAR(B3235),MONTH(B3235),1)</f>
        <v>46235</v>
      </c>
      <c r="M3235" s="31" t="n">
        <f aca="false">WEEKDAY(B3235,2)</f>
        <v>5</v>
      </c>
      <c r="N3235" s="31" t="str">
        <f aca="false">IF(G3235&lt;=INDEX(Assumptions!$B$15:$B$18,MATCH(E3235,Assumptions!$A$15:$A$18,0)),"Yes","No")</f>
        <v>Yes</v>
      </c>
      <c r="O3235" s="31" t="str">
        <f aca="false">IF(H3235="","Open",IF(H3235&lt;=INDEX(Assumptions!$C$15:$C$18,MATCH(E3235,Assumptions!$A$15:$A$18,0)),"Yes","No"))</f>
        <v>Yes</v>
      </c>
    </row>
    <row r="3236" customFormat="false" ht="15" hidden="false" customHeight="false" outlineLevel="0" collapsed="false">
      <c r="A3236" s="31" t="s">
        <v>3386</v>
      </c>
      <c r="B3236" s="44" t="n">
        <v>46248</v>
      </c>
      <c r="C3236" s="31" t="s">
        <v>57</v>
      </c>
      <c r="D3236" s="31" t="s">
        <v>67</v>
      </c>
      <c r="E3236" s="31" t="s">
        <v>50</v>
      </c>
      <c r="F3236" s="31" t="s">
        <v>127</v>
      </c>
      <c r="G3236" s="31" t="n">
        <v>8</v>
      </c>
      <c r="H3236" s="41" t="n">
        <v>6</v>
      </c>
      <c r="I3236" s="31" t="s">
        <v>149</v>
      </c>
      <c r="J3236" s="31" t="n">
        <v>4</v>
      </c>
      <c r="K3236" s="31" t="s">
        <v>150</v>
      </c>
      <c r="L3236" s="45" t="n">
        <f aca="false">DATE(YEAR(B3236),MONTH(B3236),1)</f>
        <v>46235</v>
      </c>
      <c r="M3236" s="31" t="n">
        <f aca="false">WEEKDAY(B3236,2)</f>
        <v>5</v>
      </c>
      <c r="N3236" s="31" t="str">
        <f aca="false">IF(G3236&lt;=INDEX(Assumptions!$B$15:$B$18,MATCH(E3236,Assumptions!$A$15:$A$18,0)),"Yes","No")</f>
        <v>Yes</v>
      </c>
      <c r="O3236" s="31" t="str">
        <f aca="false">IF(H3236="","Open",IF(H3236&lt;=INDEX(Assumptions!$C$15:$C$18,MATCH(E3236,Assumptions!$A$15:$A$18,0)),"Yes","No"))</f>
        <v>Yes</v>
      </c>
    </row>
    <row r="3237" customFormat="false" ht="15" hidden="false" customHeight="false" outlineLevel="0" collapsed="false">
      <c r="A3237" s="31" t="s">
        <v>3387</v>
      </c>
      <c r="B3237" s="44" t="n">
        <v>46248</v>
      </c>
      <c r="C3237" s="31" t="s">
        <v>60</v>
      </c>
      <c r="D3237" s="31" t="s">
        <v>67</v>
      </c>
      <c r="E3237" s="31" t="s">
        <v>51</v>
      </c>
      <c r="F3237" s="31" t="s">
        <v>136</v>
      </c>
      <c r="G3237" s="31" t="n">
        <v>1</v>
      </c>
      <c r="H3237" s="41" t="n">
        <v>9.3</v>
      </c>
      <c r="I3237" s="31" t="s">
        <v>149</v>
      </c>
      <c r="J3237" s="31"/>
      <c r="K3237" s="31" t="s">
        <v>150</v>
      </c>
      <c r="L3237" s="45" t="n">
        <f aca="false">DATE(YEAR(B3237),MONTH(B3237),1)</f>
        <v>46235</v>
      </c>
      <c r="M3237" s="31" t="n">
        <f aca="false">WEEKDAY(B3237,2)</f>
        <v>5</v>
      </c>
      <c r="N3237" s="31" t="str">
        <f aca="false">IF(G3237&lt;=INDEX(Assumptions!$B$15:$B$18,MATCH(E3237,Assumptions!$A$15:$A$18,0)),"Yes","No")</f>
        <v>Yes</v>
      </c>
      <c r="O3237" s="31" t="str">
        <f aca="false">IF(H3237="","Open",IF(H3237&lt;=INDEX(Assumptions!$C$15:$C$18,MATCH(E3237,Assumptions!$A$15:$A$18,0)),"Yes","No"))</f>
        <v>Yes</v>
      </c>
    </row>
    <row r="3238" customFormat="false" ht="15" hidden="false" customHeight="false" outlineLevel="0" collapsed="false">
      <c r="A3238" s="31" t="s">
        <v>3388</v>
      </c>
      <c r="B3238" s="44" t="n">
        <v>46248</v>
      </c>
      <c r="C3238" s="31" t="s">
        <v>57</v>
      </c>
      <c r="D3238" s="31" t="s">
        <v>65</v>
      </c>
      <c r="E3238" s="31" t="s">
        <v>52</v>
      </c>
      <c r="F3238" s="31" t="s">
        <v>120</v>
      </c>
      <c r="G3238" s="31" t="n">
        <v>7</v>
      </c>
      <c r="H3238" s="41" t="n">
        <v>11.8</v>
      </c>
      <c r="I3238" s="31" t="s">
        <v>149</v>
      </c>
      <c r="J3238" s="31"/>
      <c r="K3238" s="31" t="s">
        <v>150</v>
      </c>
      <c r="L3238" s="45" t="n">
        <f aca="false">DATE(YEAR(B3238),MONTH(B3238),1)</f>
        <v>46235</v>
      </c>
      <c r="M3238" s="31" t="n">
        <f aca="false">WEEKDAY(B3238,2)</f>
        <v>5</v>
      </c>
      <c r="N3238" s="31" t="str">
        <f aca="false">IF(G3238&lt;=INDEX(Assumptions!$B$15:$B$18,MATCH(E3238,Assumptions!$A$15:$A$18,0)),"Yes","No")</f>
        <v>Yes</v>
      </c>
      <c r="O3238" s="31" t="str">
        <f aca="false">IF(H3238="","Open",IF(H3238&lt;=INDEX(Assumptions!$C$15:$C$18,MATCH(E3238,Assumptions!$A$15:$A$18,0)),"Yes","No"))</f>
        <v>Yes</v>
      </c>
    </row>
    <row r="3239" customFormat="false" ht="15" hidden="false" customHeight="false" outlineLevel="0" collapsed="false">
      <c r="A3239" s="31" t="s">
        <v>3389</v>
      </c>
      <c r="B3239" s="44" t="n">
        <v>46248</v>
      </c>
      <c r="C3239" s="31" t="s">
        <v>58</v>
      </c>
      <c r="D3239" s="31" t="s">
        <v>67</v>
      </c>
      <c r="E3239" s="31" t="s">
        <v>50</v>
      </c>
      <c r="F3239" s="31" t="s">
        <v>122</v>
      </c>
      <c r="G3239" s="31" t="n">
        <v>14</v>
      </c>
      <c r="H3239" s="41" t="n">
        <v>8.8</v>
      </c>
      <c r="I3239" s="31" t="s">
        <v>149</v>
      </c>
      <c r="J3239" s="31" t="n">
        <v>5</v>
      </c>
      <c r="K3239" s="31" t="s">
        <v>150</v>
      </c>
      <c r="L3239" s="45" t="n">
        <f aca="false">DATE(YEAR(B3239),MONTH(B3239),1)</f>
        <v>46235</v>
      </c>
      <c r="M3239" s="31" t="n">
        <f aca="false">WEEKDAY(B3239,2)</f>
        <v>5</v>
      </c>
      <c r="N3239" s="31" t="str">
        <f aca="false">IF(G3239&lt;=INDEX(Assumptions!$B$15:$B$18,MATCH(E3239,Assumptions!$A$15:$A$18,0)),"Yes","No")</f>
        <v>Yes</v>
      </c>
      <c r="O3239" s="31" t="str">
        <f aca="false">IF(H3239="","Open",IF(H3239&lt;=INDEX(Assumptions!$C$15:$C$18,MATCH(E3239,Assumptions!$A$15:$A$18,0)),"Yes","No"))</f>
        <v>No</v>
      </c>
    </row>
    <row r="3240" customFormat="false" ht="15" hidden="false" customHeight="false" outlineLevel="0" collapsed="false">
      <c r="A3240" s="31" t="s">
        <v>3390</v>
      </c>
      <c r="B3240" s="44" t="n">
        <v>46248</v>
      </c>
      <c r="C3240" s="31" t="s">
        <v>60</v>
      </c>
      <c r="D3240" s="31" t="s">
        <v>66</v>
      </c>
      <c r="E3240" s="31" t="s">
        <v>52</v>
      </c>
      <c r="F3240" s="31" t="s">
        <v>126</v>
      </c>
      <c r="G3240" s="31" t="n">
        <v>2</v>
      </c>
      <c r="H3240" s="41" t="n">
        <v>9.9</v>
      </c>
      <c r="I3240" s="31" t="s">
        <v>149</v>
      </c>
      <c r="J3240" s="31"/>
      <c r="K3240" s="31" t="s">
        <v>150</v>
      </c>
      <c r="L3240" s="45" t="n">
        <f aca="false">DATE(YEAR(B3240),MONTH(B3240),1)</f>
        <v>46235</v>
      </c>
      <c r="M3240" s="31" t="n">
        <f aca="false">WEEKDAY(B3240,2)</f>
        <v>5</v>
      </c>
      <c r="N3240" s="31" t="str">
        <f aca="false">IF(G3240&lt;=INDEX(Assumptions!$B$15:$B$18,MATCH(E3240,Assumptions!$A$15:$A$18,0)),"Yes","No")</f>
        <v>Yes</v>
      </c>
      <c r="O3240" s="31" t="str">
        <f aca="false">IF(H3240="","Open",IF(H3240&lt;=INDEX(Assumptions!$C$15:$C$18,MATCH(E3240,Assumptions!$A$15:$A$18,0)),"Yes","No"))</f>
        <v>Yes</v>
      </c>
    </row>
    <row r="3241" customFormat="false" ht="15" hidden="false" customHeight="false" outlineLevel="0" collapsed="false">
      <c r="A3241" s="31" t="s">
        <v>3391</v>
      </c>
      <c r="B3241" s="44" t="n">
        <v>46248</v>
      </c>
      <c r="C3241" s="31" t="s">
        <v>57</v>
      </c>
      <c r="D3241" s="31" t="s">
        <v>66</v>
      </c>
      <c r="E3241" s="31" t="s">
        <v>52</v>
      </c>
      <c r="F3241" s="31" t="s">
        <v>134</v>
      </c>
      <c r="G3241" s="31" t="n">
        <v>17</v>
      </c>
      <c r="H3241" s="41" t="n">
        <v>18.6</v>
      </c>
      <c r="I3241" s="31" t="s">
        <v>149</v>
      </c>
      <c r="J3241" s="31"/>
      <c r="K3241" s="31" t="s">
        <v>150</v>
      </c>
      <c r="L3241" s="45" t="n">
        <f aca="false">DATE(YEAR(B3241),MONTH(B3241),1)</f>
        <v>46235</v>
      </c>
      <c r="M3241" s="31" t="n">
        <f aca="false">WEEKDAY(B3241,2)</f>
        <v>5</v>
      </c>
      <c r="N3241" s="31" t="str">
        <f aca="false">IF(G3241&lt;=INDEX(Assumptions!$B$15:$B$18,MATCH(E3241,Assumptions!$A$15:$A$18,0)),"Yes","No")</f>
        <v>Yes</v>
      </c>
      <c r="O3241" s="31" t="str">
        <f aca="false">IF(H3241="","Open",IF(H3241&lt;=INDEX(Assumptions!$C$15:$C$18,MATCH(E3241,Assumptions!$A$15:$A$18,0)),"Yes","No"))</f>
        <v>Yes</v>
      </c>
    </row>
    <row r="3242" customFormat="false" ht="15" hidden="false" customHeight="false" outlineLevel="0" collapsed="false">
      <c r="A3242" s="31" t="s">
        <v>3392</v>
      </c>
      <c r="B3242" s="44" t="n">
        <v>46248</v>
      </c>
      <c r="C3242" s="31" t="s">
        <v>59</v>
      </c>
      <c r="D3242" s="31" t="s">
        <v>66</v>
      </c>
      <c r="E3242" s="31" t="s">
        <v>50</v>
      </c>
      <c r="F3242" s="31" t="s">
        <v>120</v>
      </c>
      <c r="G3242" s="31" t="n">
        <v>130</v>
      </c>
      <c r="H3242" s="41" t="n">
        <v>5.3</v>
      </c>
      <c r="I3242" s="31" t="s">
        <v>149</v>
      </c>
      <c r="J3242" s="31" t="n">
        <v>3</v>
      </c>
      <c r="K3242" s="31" t="s">
        <v>150</v>
      </c>
      <c r="L3242" s="45" t="n">
        <f aca="false">DATE(YEAR(B3242),MONTH(B3242),1)</f>
        <v>46235</v>
      </c>
      <c r="M3242" s="31" t="n">
        <f aca="false">WEEKDAY(B3242,2)</f>
        <v>5</v>
      </c>
      <c r="N3242" s="31" t="str">
        <f aca="false">IF(G3242&lt;=INDEX(Assumptions!$B$15:$B$18,MATCH(E3242,Assumptions!$A$15:$A$18,0)),"Yes","No")</f>
        <v>No</v>
      </c>
      <c r="O3242" s="31" t="str">
        <f aca="false">IF(H3242="","Open",IF(H3242&lt;=INDEX(Assumptions!$C$15:$C$18,MATCH(E3242,Assumptions!$A$15:$A$18,0)),"Yes","No"))</f>
        <v>Yes</v>
      </c>
    </row>
    <row r="3243" customFormat="false" ht="15" hidden="false" customHeight="false" outlineLevel="0" collapsed="false">
      <c r="A3243" s="31" t="s">
        <v>3393</v>
      </c>
      <c r="B3243" s="44" t="n">
        <v>46248</v>
      </c>
      <c r="C3243" s="31" t="s">
        <v>59</v>
      </c>
      <c r="D3243" s="31" t="s">
        <v>65</v>
      </c>
      <c r="E3243" s="31" t="s">
        <v>51</v>
      </c>
      <c r="F3243" s="31" t="s">
        <v>133</v>
      </c>
      <c r="G3243" s="31" t="n">
        <v>198</v>
      </c>
      <c r="H3243" s="41" t="n">
        <v>4.3</v>
      </c>
      <c r="I3243" s="31" t="s">
        <v>149</v>
      </c>
      <c r="J3243" s="31" t="n">
        <v>4</v>
      </c>
      <c r="K3243" s="31" t="s">
        <v>150</v>
      </c>
      <c r="L3243" s="45" t="n">
        <f aca="false">DATE(YEAR(B3243),MONTH(B3243),1)</f>
        <v>46235</v>
      </c>
      <c r="M3243" s="31" t="n">
        <f aca="false">WEEKDAY(B3243,2)</f>
        <v>5</v>
      </c>
      <c r="N3243" s="31" t="str">
        <f aca="false">IF(G3243&lt;=INDEX(Assumptions!$B$15:$B$18,MATCH(E3243,Assumptions!$A$15:$A$18,0)),"Yes","No")</f>
        <v>No</v>
      </c>
      <c r="O3243" s="31" t="str">
        <f aca="false">IF(H3243="","Open",IF(H3243&lt;=INDEX(Assumptions!$C$15:$C$18,MATCH(E3243,Assumptions!$A$15:$A$18,0)),"Yes","No"))</f>
        <v>Yes</v>
      </c>
    </row>
    <row r="3244" customFormat="false" ht="15" hidden="false" customHeight="false" outlineLevel="0" collapsed="false">
      <c r="A3244" s="31" t="s">
        <v>3394</v>
      </c>
      <c r="B3244" s="44" t="n">
        <v>46249</v>
      </c>
      <c r="C3244" s="31" t="s">
        <v>60</v>
      </c>
      <c r="D3244" s="31" t="s">
        <v>68</v>
      </c>
      <c r="E3244" s="31" t="s">
        <v>50</v>
      </c>
      <c r="F3244" s="31" t="s">
        <v>120</v>
      </c>
      <c r="G3244" s="31" t="n">
        <v>4</v>
      </c>
      <c r="H3244" s="41" t="n">
        <v>3.8</v>
      </c>
      <c r="I3244" s="31" t="s">
        <v>149</v>
      </c>
      <c r="J3244" s="31" t="n">
        <v>3</v>
      </c>
      <c r="K3244" s="31" t="s">
        <v>150</v>
      </c>
      <c r="L3244" s="45" t="n">
        <f aca="false">DATE(YEAR(B3244),MONTH(B3244),1)</f>
        <v>46235</v>
      </c>
      <c r="M3244" s="31" t="n">
        <f aca="false">WEEKDAY(B3244,2)</f>
        <v>6</v>
      </c>
      <c r="N3244" s="31" t="str">
        <f aca="false">IF(G3244&lt;=INDEX(Assumptions!$B$15:$B$18,MATCH(E3244,Assumptions!$A$15:$A$18,0)),"Yes","No")</f>
        <v>Yes</v>
      </c>
      <c r="O3244" s="31" t="str">
        <f aca="false">IF(H3244="","Open",IF(H3244&lt;=INDEX(Assumptions!$C$15:$C$18,MATCH(E3244,Assumptions!$A$15:$A$18,0)),"Yes","No"))</f>
        <v>Yes</v>
      </c>
    </row>
    <row r="3245" customFormat="false" ht="15" hidden="false" customHeight="false" outlineLevel="0" collapsed="false">
      <c r="A3245" s="31" t="s">
        <v>3395</v>
      </c>
      <c r="B3245" s="44" t="n">
        <v>46249</v>
      </c>
      <c r="C3245" s="31" t="s">
        <v>58</v>
      </c>
      <c r="D3245" s="31" t="s">
        <v>67</v>
      </c>
      <c r="E3245" s="31" t="s">
        <v>49</v>
      </c>
      <c r="F3245" s="31" t="s">
        <v>128</v>
      </c>
      <c r="G3245" s="31" t="n">
        <v>7</v>
      </c>
      <c r="H3245" s="41" t="n">
        <v>14.6</v>
      </c>
      <c r="I3245" s="31" t="s">
        <v>149</v>
      </c>
      <c r="J3245" s="31" t="n">
        <v>4</v>
      </c>
      <c r="K3245" s="31" t="s">
        <v>150</v>
      </c>
      <c r="L3245" s="45" t="n">
        <f aca="false">DATE(YEAR(B3245),MONTH(B3245),1)</f>
        <v>46235</v>
      </c>
      <c r="M3245" s="31" t="n">
        <f aca="false">WEEKDAY(B3245,2)</f>
        <v>6</v>
      </c>
      <c r="N3245" s="31" t="str">
        <f aca="false">IF(G3245&lt;=INDEX(Assumptions!$B$15:$B$18,MATCH(E3245,Assumptions!$A$15:$A$18,0)),"Yes","No")</f>
        <v>Yes</v>
      </c>
      <c r="O3245" s="31" t="str">
        <f aca="false">IF(H3245="","Open",IF(H3245&lt;=INDEX(Assumptions!$C$15:$C$18,MATCH(E3245,Assumptions!$A$15:$A$18,0)),"Yes","No"))</f>
        <v>No</v>
      </c>
    </row>
    <row r="3246" customFormat="false" ht="15" hidden="false" customHeight="false" outlineLevel="0" collapsed="false">
      <c r="A3246" s="31" t="s">
        <v>3396</v>
      </c>
      <c r="B3246" s="44" t="n">
        <v>46249</v>
      </c>
      <c r="C3246" s="31" t="s">
        <v>60</v>
      </c>
      <c r="D3246" s="31" t="s">
        <v>68</v>
      </c>
      <c r="E3246" s="31" t="s">
        <v>51</v>
      </c>
      <c r="F3246" s="31" t="s">
        <v>126</v>
      </c>
      <c r="G3246" s="31" t="n">
        <v>1</v>
      </c>
      <c r="H3246" s="41" t="n">
        <v>3.1</v>
      </c>
      <c r="I3246" s="31" t="s">
        <v>149</v>
      </c>
      <c r="J3246" s="31"/>
      <c r="K3246" s="31" t="s">
        <v>150</v>
      </c>
      <c r="L3246" s="45" t="n">
        <f aca="false">DATE(YEAR(B3246),MONTH(B3246),1)</f>
        <v>46235</v>
      </c>
      <c r="M3246" s="31" t="n">
        <f aca="false">WEEKDAY(B3246,2)</f>
        <v>6</v>
      </c>
      <c r="N3246" s="31" t="str">
        <f aca="false">IF(G3246&lt;=INDEX(Assumptions!$B$15:$B$18,MATCH(E3246,Assumptions!$A$15:$A$18,0)),"Yes","No")</f>
        <v>Yes</v>
      </c>
      <c r="O3246" s="31" t="str">
        <f aca="false">IF(H3246="","Open",IF(H3246&lt;=INDEX(Assumptions!$C$15:$C$18,MATCH(E3246,Assumptions!$A$15:$A$18,0)),"Yes","No"))</f>
        <v>Yes</v>
      </c>
    </row>
    <row r="3247" customFormat="false" ht="15" hidden="false" customHeight="false" outlineLevel="0" collapsed="false">
      <c r="A3247" s="31" t="s">
        <v>3397</v>
      </c>
      <c r="B3247" s="44" t="n">
        <v>46249</v>
      </c>
      <c r="C3247" s="31" t="s">
        <v>57</v>
      </c>
      <c r="D3247" s="31" t="s">
        <v>69</v>
      </c>
      <c r="E3247" s="31" t="s">
        <v>52</v>
      </c>
      <c r="F3247" s="31" t="s">
        <v>135</v>
      </c>
      <c r="G3247" s="31" t="n">
        <v>15</v>
      </c>
      <c r="H3247" s="41" t="n">
        <v>22.4</v>
      </c>
      <c r="I3247" s="31" t="s">
        <v>149</v>
      </c>
      <c r="J3247" s="31" t="n">
        <v>4</v>
      </c>
      <c r="K3247" s="31" t="s">
        <v>150</v>
      </c>
      <c r="L3247" s="45" t="n">
        <f aca="false">DATE(YEAR(B3247),MONTH(B3247),1)</f>
        <v>46235</v>
      </c>
      <c r="M3247" s="31" t="n">
        <f aca="false">WEEKDAY(B3247,2)</f>
        <v>6</v>
      </c>
      <c r="N3247" s="31" t="str">
        <f aca="false">IF(G3247&lt;=INDEX(Assumptions!$B$15:$B$18,MATCH(E3247,Assumptions!$A$15:$A$18,0)),"Yes","No")</f>
        <v>Yes</v>
      </c>
      <c r="O3247" s="31" t="str">
        <f aca="false">IF(H3247="","Open",IF(H3247&lt;=INDEX(Assumptions!$C$15:$C$18,MATCH(E3247,Assumptions!$A$15:$A$18,0)),"Yes","No"))</f>
        <v>Yes</v>
      </c>
    </row>
    <row r="3248" customFormat="false" ht="15" hidden="false" customHeight="false" outlineLevel="0" collapsed="false">
      <c r="A3248" s="31" t="s">
        <v>3398</v>
      </c>
      <c r="B3248" s="44" t="n">
        <v>46249</v>
      </c>
      <c r="C3248" s="31" t="s">
        <v>60</v>
      </c>
      <c r="D3248" s="31" t="s">
        <v>68</v>
      </c>
      <c r="E3248" s="31" t="s">
        <v>51</v>
      </c>
      <c r="F3248" s="31" t="s">
        <v>117</v>
      </c>
      <c r="G3248" s="31" t="n">
        <v>1</v>
      </c>
      <c r="H3248" s="41" t="n">
        <v>4.9</v>
      </c>
      <c r="I3248" s="31" t="s">
        <v>149</v>
      </c>
      <c r="J3248" s="31" t="n">
        <v>5</v>
      </c>
      <c r="K3248" s="31" t="s">
        <v>150</v>
      </c>
      <c r="L3248" s="45" t="n">
        <f aca="false">DATE(YEAR(B3248),MONTH(B3248),1)</f>
        <v>46235</v>
      </c>
      <c r="M3248" s="31" t="n">
        <f aca="false">WEEKDAY(B3248,2)</f>
        <v>6</v>
      </c>
      <c r="N3248" s="31" t="str">
        <f aca="false">IF(G3248&lt;=INDEX(Assumptions!$B$15:$B$18,MATCH(E3248,Assumptions!$A$15:$A$18,0)),"Yes","No")</f>
        <v>Yes</v>
      </c>
      <c r="O3248" s="31" t="str">
        <f aca="false">IF(H3248="","Open",IF(H3248&lt;=INDEX(Assumptions!$C$15:$C$18,MATCH(E3248,Assumptions!$A$15:$A$18,0)),"Yes","No"))</f>
        <v>Yes</v>
      </c>
    </row>
    <row r="3249" customFormat="false" ht="15" hidden="false" customHeight="false" outlineLevel="0" collapsed="false">
      <c r="A3249" s="31" t="s">
        <v>3399</v>
      </c>
      <c r="B3249" s="44" t="n">
        <v>46249</v>
      </c>
      <c r="C3249" s="31" t="s">
        <v>60</v>
      </c>
      <c r="D3249" s="31" t="s">
        <v>68</v>
      </c>
      <c r="E3249" s="31" t="s">
        <v>52</v>
      </c>
      <c r="F3249" s="31" t="s">
        <v>123</v>
      </c>
      <c r="G3249" s="31" t="n">
        <v>1</v>
      </c>
      <c r="H3249" s="41" t="n">
        <v>8.1</v>
      </c>
      <c r="I3249" s="31" t="s">
        <v>149</v>
      </c>
      <c r="J3249" s="31" t="n">
        <v>4</v>
      </c>
      <c r="K3249" s="31" t="s">
        <v>150</v>
      </c>
      <c r="L3249" s="45" t="n">
        <f aca="false">DATE(YEAR(B3249),MONTH(B3249),1)</f>
        <v>46235</v>
      </c>
      <c r="M3249" s="31" t="n">
        <f aca="false">WEEKDAY(B3249,2)</f>
        <v>6</v>
      </c>
      <c r="N3249" s="31" t="str">
        <f aca="false">IF(G3249&lt;=INDEX(Assumptions!$B$15:$B$18,MATCH(E3249,Assumptions!$A$15:$A$18,0)),"Yes","No")</f>
        <v>Yes</v>
      </c>
      <c r="O3249" s="31" t="str">
        <f aca="false">IF(H3249="","Open",IF(H3249&lt;=INDEX(Assumptions!$C$15:$C$18,MATCH(E3249,Assumptions!$A$15:$A$18,0)),"Yes","No"))</f>
        <v>Yes</v>
      </c>
    </row>
    <row r="3250" customFormat="false" ht="15" hidden="false" customHeight="false" outlineLevel="0" collapsed="false">
      <c r="A3250" s="31" t="s">
        <v>3400</v>
      </c>
      <c r="B3250" s="44" t="n">
        <v>46249</v>
      </c>
      <c r="C3250" s="31" t="s">
        <v>57</v>
      </c>
      <c r="D3250" s="31" t="s">
        <v>66</v>
      </c>
      <c r="E3250" s="31" t="s">
        <v>52</v>
      </c>
      <c r="F3250" s="31" t="s">
        <v>122</v>
      </c>
      <c r="G3250" s="31" t="n">
        <v>2</v>
      </c>
      <c r="H3250" s="41" t="n">
        <v>9.6</v>
      </c>
      <c r="I3250" s="31" t="s">
        <v>149</v>
      </c>
      <c r="J3250" s="31"/>
      <c r="K3250" s="31" t="s">
        <v>150</v>
      </c>
      <c r="L3250" s="45" t="n">
        <f aca="false">DATE(YEAR(B3250),MONTH(B3250),1)</f>
        <v>46235</v>
      </c>
      <c r="M3250" s="31" t="n">
        <f aca="false">WEEKDAY(B3250,2)</f>
        <v>6</v>
      </c>
      <c r="N3250" s="31" t="str">
        <f aca="false">IF(G3250&lt;=INDEX(Assumptions!$B$15:$B$18,MATCH(E3250,Assumptions!$A$15:$A$18,0)),"Yes","No")</f>
        <v>Yes</v>
      </c>
      <c r="O3250" s="31" t="str">
        <f aca="false">IF(H3250="","Open",IF(H3250&lt;=INDEX(Assumptions!$C$15:$C$18,MATCH(E3250,Assumptions!$A$15:$A$18,0)),"Yes","No"))</f>
        <v>Yes</v>
      </c>
    </row>
    <row r="3251" customFormat="false" ht="15" hidden="false" customHeight="false" outlineLevel="0" collapsed="false">
      <c r="A3251" s="31" t="s">
        <v>3401</v>
      </c>
      <c r="B3251" s="44" t="n">
        <v>46249</v>
      </c>
      <c r="C3251" s="31" t="s">
        <v>57</v>
      </c>
      <c r="D3251" s="31" t="s">
        <v>67</v>
      </c>
      <c r="E3251" s="31" t="s">
        <v>51</v>
      </c>
      <c r="F3251" s="31" t="s">
        <v>121</v>
      </c>
      <c r="G3251" s="31" t="n">
        <v>18</v>
      </c>
      <c r="H3251" s="41" t="n">
        <v>36.5</v>
      </c>
      <c r="I3251" s="31" t="s">
        <v>149</v>
      </c>
      <c r="J3251" s="31"/>
      <c r="K3251" s="31" t="s">
        <v>150</v>
      </c>
      <c r="L3251" s="45" t="n">
        <f aca="false">DATE(YEAR(B3251),MONTH(B3251),1)</f>
        <v>46235</v>
      </c>
      <c r="M3251" s="31" t="n">
        <f aca="false">WEEKDAY(B3251,2)</f>
        <v>6</v>
      </c>
      <c r="N3251" s="31" t="str">
        <f aca="false">IF(G3251&lt;=INDEX(Assumptions!$B$15:$B$18,MATCH(E3251,Assumptions!$A$15:$A$18,0)),"Yes","No")</f>
        <v>Yes</v>
      </c>
      <c r="O3251" s="31" t="str">
        <f aca="false">IF(H3251="","Open",IF(H3251&lt;=INDEX(Assumptions!$C$15:$C$18,MATCH(E3251,Assumptions!$A$15:$A$18,0)),"Yes","No"))</f>
        <v>No</v>
      </c>
    </row>
    <row r="3252" customFormat="false" ht="15" hidden="false" customHeight="false" outlineLevel="0" collapsed="false">
      <c r="A3252" s="31" t="s">
        <v>3402</v>
      </c>
      <c r="B3252" s="44" t="n">
        <v>46249</v>
      </c>
      <c r="C3252" s="31" t="s">
        <v>58</v>
      </c>
      <c r="D3252" s="31" t="s">
        <v>66</v>
      </c>
      <c r="E3252" s="31" t="s">
        <v>52</v>
      </c>
      <c r="F3252" s="31" t="s">
        <v>130</v>
      </c>
      <c r="G3252" s="31" t="n">
        <v>27</v>
      </c>
      <c r="H3252" s="41" t="n">
        <v>7.6</v>
      </c>
      <c r="I3252" s="31" t="s">
        <v>149</v>
      </c>
      <c r="J3252" s="31" t="n">
        <v>5</v>
      </c>
      <c r="K3252" s="31" t="s">
        <v>150</v>
      </c>
      <c r="L3252" s="45" t="n">
        <f aca="false">DATE(YEAR(B3252),MONTH(B3252),1)</f>
        <v>46235</v>
      </c>
      <c r="M3252" s="31" t="n">
        <f aca="false">WEEKDAY(B3252,2)</f>
        <v>6</v>
      </c>
      <c r="N3252" s="31" t="str">
        <f aca="false">IF(G3252&lt;=INDEX(Assumptions!$B$15:$B$18,MATCH(E3252,Assumptions!$A$15:$A$18,0)),"Yes","No")</f>
        <v>Yes</v>
      </c>
      <c r="O3252" s="31" t="str">
        <f aca="false">IF(H3252="","Open",IF(H3252&lt;=INDEX(Assumptions!$C$15:$C$18,MATCH(E3252,Assumptions!$A$15:$A$18,0)),"Yes","No"))</f>
        <v>Yes</v>
      </c>
    </row>
    <row r="3253" customFormat="false" ht="15" hidden="false" customHeight="false" outlineLevel="0" collapsed="false">
      <c r="A3253" s="31" t="s">
        <v>3403</v>
      </c>
      <c r="B3253" s="44" t="n">
        <v>46249</v>
      </c>
      <c r="C3253" s="31" t="s">
        <v>59</v>
      </c>
      <c r="D3253" s="31" t="s">
        <v>68</v>
      </c>
      <c r="E3253" s="31" t="s">
        <v>52</v>
      </c>
      <c r="F3253" s="31" t="s">
        <v>124</v>
      </c>
      <c r="G3253" s="31" t="n">
        <v>61</v>
      </c>
      <c r="H3253" s="41" t="n">
        <v>2.6</v>
      </c>
      <c r="I3253" s="31" t="s">
        <v>149</v>
      </c>
      <c r="J3253" s="31"/>
      <c r="K3253" s="31" t="s">
        <v>150</v>
      </c>
      <c r="L3253" s="45" t="n">
        <f aca="false">DATE(YEAR(B3253),MONTH(B3253),1)</f>
        <v>46235</v>
      </c>
      <c r="M3253" s="31" t="n">
        <f aca="false">WEEKDAY(B3253,2)</f>
        <v>6</v>
      </c>
      <c r="N3253" s="31" t="str">
        <f aca="false">IF(G3253&lt;=INDEX(Assumptions!$B$15:$B$18,MATCH(E3253,Assumptions!$A$15:$A$18,0)),"Yes","No")</f>
        <v>Yes</v>
      </c>
      <c r="O3253" s="31" t="str">
        <f aca="false">IF(H3253="","Open",IF(H3253&lt;=INDEX(Assumptions!$C$15:$C$18,MATCH(E3253,Assumptions!$A$15:$A$18,0)),"Yes","No"))</f>
        <v>Yes</v>
      </c>
    </row>
    <row r="3254" customFormat="false" ht="15" hidden="false" customHeight="false" outlineLevel="0" collapsed="false">
      <c r="A3254" s="31" t="s">
        <v>3404</v>
      </c>
      <c r="B3254" s="44" t="n">
        <v>46249</v>
      </c>
      <c r="C3254" s="31" t="s">
        <v>57</v>
      </c>
      <c r="D3254" s="31" t="s">
        <v>66</v>
      </c>
      <c r="E3254" s="31" t="s">
        <v>52</v>
      </c>
      <c r="F3254" s="31" t="s">
        <v>137</v>
      </c>
      <c r="G3254" s="31" t="n">
        <v>3</v>
      </c>
      <c r="H3254" s="41" t="n">
        <v>7.2</v>
      </c>
      <c r="I3254" s="31" t="s">
        <v>149</v>
      </c>
      <c r="J3254" s="31"/>
      <c r="K3254" s="31" t="s">
        <v>150</v>
      </c>
      <c r="L3254" s="45" t="n">
        <f aca="false">DATE(YEAR(B3254),MONTH(B3254),1)</f>
        <v>46235</v>
      </c>
      <c r="M3254" s="31" t="n">
        <f aca="false">WEEKDAY(B3254,2)</f>
        <v>6</v>
      </c>
      <c r="N3254" s="31" t="str">
        <f aca="false">IF(G3254&lt;=INDEX(Assumptions!$B$15:$B$18,MATCH(E3254,Assumptions!$A$15:$A$18,0)),"Yes","No")</f>
        <v>Yes</v>
      </c>
      <c r="O3254" s="31" t="str">
        <f aca="false">IF(H3254="","Open",IF(H3254&lt;=INDEX(Assumptions!$C$15:$C$18,MATCH(E3254,Assumptions!$A$15:$A$18,0)),"Yes","No"))</f>
        <v>Yes</v>
      </c>
    </row>
    <row r="3255" customFormat="false" ht="15" hidden="false" customHeight="false" outlineLevel="0" collapsed="false">
      <c r="A3255" s="31" t="s">
        <v>3405</v>
      </c>
      <c r="B3255" s="44" t="n">
        <v>46249</v>
      </c>
      <c r="C3255" s="31" t="s">
        <v>57</v>
      </c>
      <c r="D3255" s="31" t="s">
        <v>65</v>
      </c>
      <c r="E3255" s="31" t="s">
        <v>50</v>
      </c>
      <c r="F3255" s="31" t="s">
        <v>119</v>
      </c>
      <c r="G3255" s="31" t="n">
        <v>2</v>
      </c>
      <c r="H3255" s="41" t="n">
        <v>11.7</v>
      </c>
      <c r="I3255" s="31" t="s">
        <v>149</v>
      </c>
      <c r="J3255" s="31"/>
      <c r="K3255" s="31" t="s">
        <v>150</v>
      </c>
      <c r="L3255" s="45" t="n">
        <f aca="false">DATE(YEAR(B3255),MONTH(B3255),1)</f>
        <v>46235</v>
      </c>
      <c r="M3255" s="31" t="n">
        <f aca="false">WEEKDAY(B3255,2)</f>
        <v>6</v>
      </c>
      <c r="N3255" s="31" t="str">
        <f aca="false">IF(G3255&lt;=INDEX(Assumptions!$B$15:$B$18,MATCH(E3255,Assumptions!$A$15:$A$18,0)),"Yes","No")</f>
        <v>Yes</v>
      </c>
      <c r="O3255" s="31" t="str">
        <f aca="false">IF(H3255="","Open",IF(H3255&lt;=INDEX(Assumptions!$C$15:$C$18,MATCH(E3255,Assumptions!$A$15:$A$18,0)),"Yes","No"))</f>
        <v>No</v>
      </c>
    </row>
    <row r="3256" customFormat="false" ht="15" hidden="false" customHeight="false" outlineLevel="0" collapsed="false">
      <c r="A3256" s="31" t="s">
        <v>3406</v>
      </c>
      <c r="B3256" s="44" t="n">
        <v>46249</v>
      </c>
      <c r="C3256" s="31" t="s">
        <v>57</v>
      </c>
      <c r="D3256" s="31" t="s">
        <v>68</v>
      </c>
      <c r="E3256" s="31" t="s">
        <v>49</v>
      </c>
      <c r="F3256" s="31" t="s">
        <v>130</v>
      </c>
      <c r="G3256" s="31" t="n">
        <v>4</v>
      </c>
      <c r="H3256" s="41" t="n">
        <v>1</v>
      </c>
      <c r="I3256" s="31" t="s">
        <v>149</v>
      </c>
      <c r="J3256" s="31"/>
      <c r="K3256" s="31" t="s">
        <v>150</v>
      </c>
      <c r="L3256" s="45" t="n">
        <f aca="false">DATE(YEAR(B3256),MONTH(B3256),1)</f>
        <v>46235</v>
      </c>
      <c r="M3256" s="31" t="n">
        <f aca="false">WEEKDAY(B3256,2)</f>
        <v>6</v>
      </c>
      <c r="N3256" s="31" t="str">
        <f aca="false">IF(G3256&lt;=INDEX(Assumptions!$B$15:$B$18,MATCH(E3256,Assumptions!$A$15:$A$18,0)),"Yes","No")</f>
        <v>Yes</v>
      </c>
      <c r="O3256" s="31" t="str">
        <f aca="false">IF(H3256="","Open",IF(H3256&lt;=INDEX(Assumptions!$C$15:$C$18,MATCH(E3256,Assumptions!$A$15:$A$18,0)),"Yes","No"))</f>
        <v>Yes</v>
      </c>
    </row>
    <row r="3257" customFormat="false" ht="15" hidden="false" customHeight="false" outlineLevel="0" collapsed="false">
      <c r="A3257" s="31" t="s">
        <v>3407</v>
      </c>
      <c r="B3257" s="44" t="n">
        <v>46249</v>
      </c>
      <c r="C3257" s="31" t="s">
        <v>60</v>
      </c>
      <c r="D3257" s="31" t="s">
        <v>65</v>
      </c>
      <c r="E3257" s="31" t="s">
        <v>51</v>
      </c>
      <c r="F3257" s="31" t="s">
        <v>129</v>
      </c>
      <c r="G3257" s="31" t="n">
        <v>2</v>
      </c>
      <c r="H3257" s="41" t="n">
        <v>11.9</v>
      </c>
      <c r="I3257" s="31" t="s">
        <v>149</v>
      </c>
      <c r="J3257" s="31"/>
      <c r="K3257" s="31" t="s">
        <v>150</v>
      </c>
      <c r="L3257" s="45" t="n">
        <f aca="false">DATE(YEAR(B3257),MONTH(B3257),1)</f>
        <v>46235</v>
      </c>
      <c r="M3257" s="31" t="n">
        <f aca="false">WEEKDAY(B3257,2)</f>
        <v>6</v>
      </c>
      <c r="N3257" s="31" t="str">
        <f aca="false">IF(G3257&lt;=INDEX(Assumptions!$B$15:$B$18,MATCH(E3257,Assumptions!$A$15:$A$18,0)),"Yes","No")</f>
        <v>Yes</v>
      </c>
      <c r="O3257" s="31" t="str">
        <f aca="false">IF(H3257="","Open",IF(H3257&lt;=INDEX(Assumptions!$C$15:$C$18,MATCH(E3257,Assumptions!$A$15:$A$18,0)),"Yes","No"))</f>
        <v>Yes</v>
      </c>
    </row>
    <row r="3258" customFormat="false" ht="15" hidden="false" customHeight="false" outlineLevel="0" collapsed="false">
      <c r="A3258" s="31" t="s">
        <v>3408</v>
      </c>
      <c r="B3258" s="44" t="n">
        <v>46249</v>
      </c>
      <c r="C3258" s="31" t="s">
        <v>59</v>
      </c>
      <c r="D3258" s="31" t="s">
        <v>65</v>
      </c>
      <c r="E3258" s="31" t="s">
        <v>52</v>
      </c>
      <c r="F3258" s="31" t="s">
        <v>117</v>
      </c>
      <c r="G3258" s="31" t="n">
        <v>157</v>
      </c>
      <c r="H3258" s="41" t="n">
        <v>30.1</v>
      </c>
      <c r="I3258" s="31" t="s">
        <v>149</v>
      </c>
      <c r="J3258" s="31" t="n">
        <v>4</v>
      </c>
      <c r="K3258" s="31" t="s">
        <v>150</v>
      </c>
      <c r="L3258" s="45" t="n">
        <f aca="false">DATE(YEAR(B3258),MONTH(B3258),1)</f>
        <v>46235</v>
      </c>
      <c r="M3258" s="31" t="n">
        <f aca="false">WEEKDAY(B3258,2)</f>
        <v>6</v>
      </c>
      <c r="N3258" s="31" t="str">
        <f aca="false">IF(G3258&lt;=INDEX(Assumptions!$B$15:$B$18,MATCH(E3258,Assumptions!$A$15:$A$18,0)),"Yes","No")</f>
        <v>Yes</v>
      </c>
      <c r="O3258" s="31" t="str">
        <f aca="false">IF(H3258="","Open",IF(H3258&lt;=INDEX(Assumptions!$C$15:$C$18,MATCH(E3258,Assumptions!$A$15:$A$18,0)),"Yes","No"))</f>
        <v>Yes</v>
      </c>
    </row>
    <row r="3259" customFormat="false" ht="15" hidden="false" customHeight="false" outlineLevel="0" collapsed="false">
      <c r="A3259" s="31" t="s">
        <v>3409</v>
      </c>
      <c r="B3259" s="44" t="n">
        <v>46249</v>
      </c>
      <c r="C3259" s="31" t="s">
        <v>57</v>
      </c>
      <c r="D3259" s="31" t="s">
        <v>67</v>
      </c>
      <c r="E3259" s="31" t="s">
        <v>51</v>
      </c>
      <c r="F3259" s="31" t="s">
        <v>129</v>
      </c>
      <c r="G3259" s="31" t="n">
        <v>5</v>
      </c>
      <c r="H3259" s="41" t="n">
        <v>15.2</v>
      </c>
      <c r="I3259" s="31" t="s">
        <v>149</v>
      </c>
      <c r="J3259" s="31" t="n">
        <v>3</v>
      </c>
      <c r="K3259" s="31" t="s">
        <v>150</v>
      </c>
      <c r="L3259" s="45" t="n">
        <f aca="false">DATE(YEAR(B3259),MONTH(B3259),1)</f>
        <v>46235</v>
      </c>
      <c r="M3259" s="31" t="n">
        <f aca="false">WEEKDAY(B3259,2)</f>
        <v>6</v>
      </c>
      <c r="N3259" s="31" t="str">
        <f aca="false">IF(G3259&lt;=INDEX(Assumptions!$B$15:$B$18,MATCH(E3259,Assumptions!$A$15:$A$18,0)),"Yes","No")</f>
        <v>Yes</v>
      </c>
      <c r="O3259" s="31" t="str">
        <f aca="false">IF(H3259="","Open",IF(H3259&lt;=INDEX(Assumptions!$C$15:$C$18,MATCH(E3259,Assumptions!$A$15:$A$18,0)),"Yes","No"))</f>
        <v>Yes</v>
      </c>
    </row>
    <row r="3260" customFormat="false" ht="15" hidden="false" customHeight="false" outlineLevel="0" collapsed="false">
      <c r="A3260" s="31" t="s">
        <v>3410</v>
      </c>
      <c r="B3260" s="44" t="n">
        <v>46249</v>
      </c>
      <c r="C3260" s="31" t="s">
        <v>59</v>
      </c>
      <c r="D3260" s="31" t="s">
        <v>68</v>
      </c>
      <c r="E3260" s="31" t="s">
        <v>51</v>
      </c>
      <c r="F3260" s="31" t="s">
        <v>121</v>
      </c>
      <c r="G3260" s="31" t="n">
        <v>184</v>
      </c>
      <c r="H3260" s="41" t="n">
        <v>6.2</v>
      </c>
      <c r="I3260" s="31" t="s">
        <v>149</v>
      </c>
      <c r="J3260" s="31" t="n">
        <v>3</v>
      </c>
      <c r="K3260" s="31" t="s">
        <v>150</v>
      </c>
      <c r="L3260" s="45" t="n">
        <f aca="false">DATE(YEAR(B3260),MONTH(B3260),1)</f>
        <v>46235</v>
      </c>
      <c r="M3260" s="31" t="n">
        <f aca="false">WEEKDAY(B3260,2)</f>
        <v>6</v>
      </c>
      <c r="N3260" s="31" t="str">
        <f aca="false">IF(G3260&lt;=INDEX(Assumptions!$B$15:$B$18,MATCH(E3260,Assumptions!$A$15:$A$18,0)),"Yes","No")</f>
        <v>No</v>
      </c>
      <c r="O3260" s="31" t="str">
        <f aca="false">IF(H3260="","Open",IF(H3260&lt;=INDEX(Assumptions!$C$15:$C$18,MATCH(E3260,Assumptions!$A$15:$A$18,0)),"Yes","No"))</f>
        <v>Yes</v>
      </c>
    </row>
    <row r="3261" customFormat="false" ht="15" hidden="false" customHeight="false" outlineLevel="0" collapsed="false">
      <c r="A3261" s="31" t="s">
        <v>3411</v>
      </c>
      <c r="B3261" s="44" t="n">
        <v>46249</v>
      </c>
      <c r="C3261" s="31" t="s">
        <v>58</v>
      </c>
      <c r="D3261" s="31" t="s">
        <v>66</v>
      </c>
      <c r="E3261" s="31" t="s">
        <v>51</v>
      </c>
      <c r="F3261" s="31" t="s">
        <v>120</v>
      </c>
      <c r="G3261" s="31" t="n">
        <v>9</v>
      </c>
      <c r="H3261" s="41" t="n">
        <v>19.2</v>
      </c>
      <c r="I3261" s="31" t="s">
        <v>149</v>
      </c>
      <c r="J3261" s="31" t="n">
        <v>4</v>
      </c>
      <c r="K3261" s="31" t="s">
        <v>153</v>
      </c>
      <c r="L3261" s="45" t="n">
        <f aca="false">DATE(YEAR(B3261),MONTH(B3261),1)</f>
        <v>46235</v>
      </c>
      <c r="M3261" s="31" t="n">
        <f aca="false">WEEKDAY(B3261,2)</f>
        <v>6</v>
      </c>
      <c r="N3261" s="31" t="str">
        <f aca="false">IF(G3261&lt;=INDEX(Assumptions!$B$15:$B$18,MATCH(E3261,Assumptions!$A$15:$A$18,0)),"Yes","No")</f>
        <v>Yes</v>
      </c>
      <c r="O3261" s="31" t="str">
        <f aca="false">IF(H3261="","Open",IF(H3261&lt;=INDEX(Assumptions!$C$15:$C$18,MATCH(E3261,Assumptions!$A$15:$A$18,0)),"Yes","No"))</f>
        <v>Yes</v>
      </c>
    </row>
    <row r="3262" customFormat="false" ht="15" hidden="false" customHeight="false" outlineLevel="0" collapsed="false">
      <c r="A3262" s="31" t="s">
        <v>3412</v>
      </c>
      <c r="B3262" s="44" t="n">
        <v>46249</v>
      </c>
      <c r="C3262" s="31" t="s">
        <v>58</v>
      </c>
      <c r="D3262" s="31" t="s">
        <v>68</v>
      </c>
      <c r="E3262" s="31" t="s">
        <v>49</v>
      </c>
      <c r="F3262" s="31" t="s">
        <v>121</v>
      </c>
      <c r="G3262" s="31" t="n">
        <v>13</v>
      </c>
      <c r="H3262" s="41" t="n">
        <v>1.4</v>
      </c>
      <c r="I3262" s="31" t="s">
        <v>149</v>
      </c>
      <c r="J3262" s="31" t="n">
        <v>4</v>
      </c>
      <c r="K3262" s="31" t="s">
        <v>150</v>
      </c>
      <c r="L3262" s="45" t="n">
        <f aca="false">DATE(YEAR(B3262),MONTH(B3262),1)</f>
        <v>46235</v>
      </c>
      <c r="M3262" s="31" t="n">
        <f aca="false">WEEKDAY(B3262,2)</f>
        <v>6</v>
      </c>
      <c r="N3262" s="31" t="str">
        <f aca="false">IF(G3262&lt;=INDEX(Assumptions!$B$15:$B$18,MATCH(E3262,Assumptions!$A$15:$A$18,0)),"Yes","No")</f>
        <v>Yes</v>
      </c>
      <c r="O3262" s="31" t="str">
        <f aca="false">IF(H3262="","Open",IF(H3262&lt;=INDEX(Assumptions!$C$15:$C$18,MATCH(E3262,Assumptions!$A$15:$A$18,0)),"Yes","No"))</f>
        <v>Yes</v>
      </c>
    </row>
    <row r="3263" customFormat="false" ht="15" hidden="false" customHeight="false" outlineLevel="0" collapsed="false">
      <c r="A3263" s="31" t="s">
        <v>3413</v>
      </c>
      <c r="B3263" s="44" t="n">
        <v>46249</v>
      </c>
      <c r="C3263" s="31" t="s">
        <v>58</v>
      </c>
      <c r="D3263" s="31" t="s">
        <v>65</v>
      </c>
      <c r="E3263" s="31" t="s">
        <v>51</v>
      </c>
      <c r="F3263" s="31" t="s">
        <v>135</v>
      </c>
      <c r="G3263" s="31" t="n">
        <v>16</v>
      </c>
      <c r="H3263" s="41" t="n">
        <v>5</v>
      </c>
      <c r="I3263" s="31" t="s">
        <v>149</v>
      </c>
      <c r="J3263" s="31"/>
      <c r="K3263" s="31" t="s">
        <v>150</v>
      </c>
      <c r="L3263" s="45" t="n">
        <f aca="false">DATE(YEAR(B3263),MONTH(B3263),1)</f>
        <v>46235</v>
      </c>
      <c r="M3263" s="31" t="n">
        <f aca="false">WEEKDAY(B3263,2)</f>
        <v>6</v>
      </c>
      <c r="N3263" s="31" t="str">
        <f aca="false">IF(G3263&lt;=INDEX(Assumptions!$B$15:$B$18,MATCH(E3263,Assumptions!$A$15:$A$18,0)),"Yes","No")</f>
        <v>Yes</v>
      </c>
      <c r="O3263" s="31" t="str">
        <f aca="false">IF(H3263="","Open",IF(H3263&lt;=INDEX(Assumptions!$C$15:$C$18,MATCH(E3263,Assumptions!$A$15:$A$18,0)),"Yes","No"))</f>
        <v>Yes</v>
      </c>
    </row>
    <row r="3264" customFormat="false" ht="15" hidden="false" customHeight="false" outlineLevel="0" collapsed="false">
      <c r="A3264" s="31" t="s">
        <v>3414</v>
      </c>
      <c r="B3264" s="44" t="n">
        <v>46249</v>
      </c>
      <c r="C3264" s="31" t="s">
        <v>58</v>
      </c>
      <c r="D3264" s="31" t="s">
        <v>69</v>
      </c>
      <c r="E3264" s="31" t="s">
        <v>52</v>
      </c>
      <c r="F3264" s="31" t="s">
        <v>127</v>
      </c>
      <c r="G3264" s="31" t="n">
        <v>16</v>
      </c>
      <c r="H3264" s="41" t="n">
        <v>134.2</v>
      </c>
      <c r="I3264" s="31" t="s">
        <v>149</v>
      </c>
      <c r="J3264" s="31" t="n">
        <v>3</v>
      </c>
      <c r="K3264" s="31" t="s">
        <v>150</v>
      </c>
      <c r="L3264" s="45" t="n">
        <f aca="false">DATE(YEAR(B3264),MONTH(B3264),1)</f>
        <v>46235</v>
      </c>
      <c r="M3264" s="31" t="n">
        <f aca="false">WEEKDAY(B3264,2)</f>
        <v>6</v>
      </c>
      <c r="N3264" s="31" t="str">
        <f aca="false">IF(G3264&lt;=INDEX(Assumptions!$B$15:$B$18,MATCH(E3264,Assumptions!$A$15:$A$18,0)),"Yes","No")</f>
        <v>Yes</v>
      </c>
      <c r="O3264" s="31" t="str">
        <f aca="false">IF(H3264="","Open",IF(H3264&lt;=INDEX(Assumptions!$C$15:$C$18,MATCH(E3264,Assumptions!$A$15:$A$18,0)),"Yes","No"))</f>
        <v>No</v>
      </c>
    </row>
    <row r="3265" customFormat="false" ht="15" hidden="false" customHeight="false" outlineLevel="0" collapsed="false">
      <c r="A3265" s="31" t="s">
        <v>3415</v>
      </c>
      <c r="B3265" s="44" t="n">
        <v>46249</v>
      </c>
      <c r="C3265" s="31" t="s">
        <v>59</v>
      </c>
      <c r="D3265" s="31" t="s">
        <v>66</v>
      </c>
      <c r="E3265" s="31" t="s">
        <v>51</v>
      </c>
      <c r="F3265" s="31" t="s">
        <v>134</v>
      </c>
      <c r="G3265" s="31" t="n">
        <v>276</v>
      </c>
      <c r="H3265" s="41" t="n">
        <v>8.1</v>
      </c>
      <c r="I3265" s="31" t="s">
        <v>149</v>
      </c>
      <c r="J3265" s="31" t="n">
        <v>3</v>
      </c>
      <c r="K3265" s="31" t="s">
        <v>150</v>
      </c>
      <c r="L3265" s="45" t="n">
        <f aca="false">DATE(YEAR(B3265),MONTH(B3265),1)</f>
        <v>46235</v>
      </c>
      <c r="M3265" s="31" t="n">
        <f aca="false">WEEKDAY(B3265,2)</f>
        <v>6</v>
      </c>
      <c r="N3265" s="31" t="str">
        <f aca="false">IF(G3265&lt;=INDEX(Assumptions!$B$15:$B$18,MATCH(E3265,Assumptions!$A$15:$A$18,0)),"Yes","No")</f>
        <v>No</v>
      </c>
      <c r="O3265" s="31" t="str">
        <f aca="false">IF(H3265="","Open",IF(H3265&lt;=INDEX(Assumptions!$C$15:$C$18,MATCH(E3265,Assumptions!$A$15:$A$18,0)),"Yes","No"))</f>
        <v>Yes</v>
      </c>
    </row>
    <row r="3266" customFormat="false" ht="15" hidden="false" customHeight="false" outlineLevel="0" collapsed="false">
      <c r="A3266" s="31" t="s">
        <v>3416</v>
      </c>
      <c r="B3266" s="44" t="n">
        <v>46249</v>
      </c>
      <c r="C3266" s="31" t="s">
        <v>58</v>
      </c>
      <c r="D3266" s="31" t="s">
        <v>66</v>
      </c>
      <c r="E3266" s="31" t="s">
        <v>52</v>
      </c>
      <c r="F3266" s="31" t="s">
        <v>135</v>
      </c>
      <c r="G3266" s="31" t="n">
        <v>58</v>
      </c>
      <c r="H3266" s="41" t="n">
        <v>4.7</v>
      </c>
      <c r="I3266" s="31" t="s">
        <v>149</v>
      </c>
      <c r="J3266" s="31"/>
      <c r="K3266" s="31" t="s">
        <v>150</v>
      </c>
      <c r="L3266" s="45" t="n">
        <f aca="false">DATE(YEAR(B3266),MONTH(B3266),1)</f>
        <v>46235</v>
      </c>
      <c r="M3266" s="31" t="n">
        <f aca="false">WEEKDAY(B3266,2)</f>
        <v>6</v>
      </c>
      <c r="N3266" s="31" t="str">
        <f aca="false">IF(G3266&lt;=INDEX(Assumptions!$B$15:$B$18,MATCH(E3266,Assumptions!$A$15:$A$18,0)),"Yes","No")</f>
        <v>Yes</v>
      </c>
      <c r="O3266" s="31" t="str">
        <f aca="false">IF(H3266="","Open",IF(H3266&lt;=INDEX(Assumptions!$C$15:$C$18,MATCH(E3266,Assumptions!$A$15:$A$18,0)),"Yes","No"))</f>
        <v>Yes</v>
      </c>
    </row>
    <row r="3267" customFormat="false" ht="15" hidden="false" customHeight="false" outlineLevel="0" collapsed="false">
      <c r="A3267" s="31" t="s">
        <v>3417</v>
      </c>
      <c r="B3267" s="44" t="n">
        <v>46249</v>
      </c>
      <c r="C3267" s="31" t="s">
        <v>59</v>
      </c>
      <c r="D3267" s="31" t="s">
        <v>67</v>
      </c>
      <c r="E3267" s="31" t="s">
        <v>51</v>
      </c>
      <c r="F3267" s="31" t="s">
        <v>126</v>
      </c>
      <c r="G3267" s="31" t="n">
        <v>45</v>
      </c>
      <c r="H3267" s="41" t="n">
        <v>14.4</v>
      </c>
      <c r="I3267" s="31" t="s">
        <v>149</v>
      </c>
      <c r="J3267" s="31" t="n">
        <v>5</v>
      </c>
      <c r="K3267" s="31" t="s">
        <v>150</v>
      </c>
      <c r="L3267" s="45" t="n">
        <f aca="false">DATE(YEAR(B3267),MONTH(B3267),1)</f>
        <v>46235</v>
      </c>
      <c r="M3267" s="31" t="n">
        <f aca="false">WEEKDAY(B3267,2)</f>
        <v>6</v>
      </c>
      <c r="N3267" s="31" t="str">
        <f aca="false">IF(G3267&lt;=INDEX(Assumptions!$B$15:$B$18,MATCH(E3267,Assumptions!$A$15:$A$18,0)),"Yes","No")</f>
        <v>Yes</v>
      </c>
      <c r="O3267" s="31" t="str">
        <f aca="false">IF(H3267="","Open",IF(H3267&lt;=INDEX(Assumptions!$C$15:$C$18,MATCH(E3267,Assumptions!$A$15:$A$18,0)),"Yes","No"))</f>
        <v>Yes</v>
      </c>
    </row>
    <row r="3268" customFormat="false" ht="15" hidden="false" customHeight="false" outlineLevel="0" collapsed="false">
      <c r="A3268" s="31" t="s">
        <v>3418</v>
      </c>
      <c r="B3268" s="44" t="n">
        <v>46249</v>
      </c>
      <c r="C3268" s="31" t="s">
        <v>57</v>
      </c>
      <c r="D3268" s="31" t="s">
        <v>67</v>
      </c>
      <c r="E3268" s="31" t="s">
        <v>51</v>
      </c>
      <c r="F3268" s="31" t="s">
        <v>135</v>
      </c>
      <c r="G3268" s="31" t="n">
        <v>11</v>
      </c>
      <c r="H3268" s="41" t="n">
        <v>57.2</v>
      </c>
      <c r="I3268" s="31" t="s">
        <v>149</v>
      </c>
      <c r="J3268" s="31" t="n">
        <v>3</v>
      </c>
      <c r="K3268" s="31" t="s">
        <v>150</v>
      </c>
      <c r="L3268" s="45" t="n">
        <f aca="false">DATE(YEAR(B3268),MONTH(B3268),1)</f>
        <v>46235</v>
      </c>
      <c r="M3268" s="31" t="n">
        <f aca="false">WEEKDAY(B3268,2)</f>
        <v>6</v>
      </c>
      <c r="N3268" s="31" t="str">
        <f aca="false">IF(G3268&lt;=INDEX(Assumptions!$B$15:$B$18,MATCH(E3268,Assumptions!$A$15:$A$18,0)),"Yes","No")</f>
        <v>Yes</v>
      </c>
      <c r="O3268" s="31" t="str">
        <f aca="false">IF(H3268="","Open",IF(H3268&lt;=INDEX(Assumptions!$C$15:$C$18,MATCH(E3268,Assumptions!$A$15:$A$18,0)),"Yes","No"))</f>
        <v>No</v>
      </c>
    </row>
    <row r="3269" customFormat="false" ht="15" hidden="false" customHeight="false" outlineLevel="0" collapsed="false">
      <c r="A3269" s="31" t="s">
        <v>3419</v>
      </c>
      <c r="B3269" s="44" t="n">
        <v>46249</v>
      </c>
      <c r="C3269" s="31" t="s">
        <v>58</v>
      </c>
      <c r="D3269" s="31" t="s">
        <v>66</v>
      </c>
      <c r="E3269" s="31" t="s">
        <v>52</v>
      </c>
      <c r="F3269" s="31" t="s">
        <v>135</v>
      </c>
      <c r="G3269" s="31" t="n">
        <v>11</v>
      </c>
      <c r="H3269" s="41" t="n">
        <v>12.7</v>
      </c>
      <c r="I3269" s="31" t="s">
        <v>149</v>
      </c>
      <c r="J3269" s="31"/>
      <c r="K3269" s="31" t="s">
        <v>150</v>
      </c>
      <c r="L3269" s="45" t="n">
        <f aca="false">DATE(YEAR(B3269),MONTH(B3269),1)</f>
        <v>46235</v>
      </c>
      <c r="M3269" s="31" t="n">
        <f aca="false">WEEKDAY(B3269,2)</f>
        <v>6</v>
      </c>
      <c r="N3269" s="31" t="str">
        <f aca="false">IF(G3269&lt;=INDEX(Assumptions!$B$15:$B$18,MATCH(E3269,Assumptions!$A$15:$A$18,0)),"Yes","No")</f>
        <v>Yes</v>
      </c>
      <c r="O3269" s="31" t="str">
        <f aca="false">IF(H3269="","Open",IF(H3269&lt;=INDEX(Assumptions!$C$15:$C$18,MATCH(E3269,Assumptions!$A$15:$A$18,0)),"Yes","No"))</f>
        <v>Yes</v>
      </c>
    </row>
    <row r="3270" customFormat="false" ht="15" hidden="false" customHeight="false" outlineLevel="0" collapsed="false">
      <c r="A3270" s="31" t="s">
        <v>3420</v>
      </c>
      <c r="B3270" s="44" t="n">
        <v>46249</v>
      </c>
      <c r="C3270" s="31" t="s">
        <v>57</v>
      </c>
      <c r="D3270" s="31" t="s">
        <v>66</v>
      </c>
      <c r="E3270" s="31" t="s">
        <v>51</v>
      </c>
      <c r="F3270" s="31" t="s">
        <v>133</v>
      </c>
      <c r="G3270" s="31" t="n">
        <v>3</v>
      </c>
      <c r="H3270" s="41" t="n">
        <v>8</v>
      </c>
      <c r="I3270" s="31" t="s">
        <v>149</v>
      </c>
      <c r="J3270" s="31" t="n">
        <v>5</v>
      </c>
      <c r="K3270" s="31" t="s">
        <v>150</v>
      </c>
      <c r="L3270" s="45" t="n">
        <f aca="false">DATE(YEAR(B3270),MONTH(B3270),1)</f>
        <v>46235</v>
      </c>
      <c r="M3270" s="31" t="n">
        <f aca="false">WEEKDAY(B3270,2)</f>
        <v>6</v>
      </c>
      <c r="N3270" s="31" t="str">
        <f aca="false">IF(G3270&lt;=INDEX(Assumptions!$B$15:$B$18,MATCH(E3270,Assumptions!$A$15:$A$18,0)),"Yes","No")</f>
        <v>Yes</v>
      </c>
      <c r="O3270" s="31" t="str">
        <f aca="false">IF(H3270="","Open",IF(H3270&lt;=INDEX(Assumptions!$C$15:$C$18,MATCH(E3270,Assumptions!$A$15:$A$18,0)),"Yes","No"))</f>
        <v>Yes</v>
      </c>
    </row>
    <row r="3271" customFormat="false" ht="15" hidden="false" customHeight="false" outlineLevel="0" collapsed="false">
      <c r="A3271" s="31" t="s">
        <v>3421</v>
      </c>
      <c r="B3271" s="44" t="n">
        <v>46249</v>
      </c>
      <c r="C3271" s="31" t="s">
        <v>58</v>
      </c>
      <c r="D3271" s="31" t="s">
        <v>68</v>
      </c>
      <c r="E3271" s="31" t="s">
        <v>52</v>
      </c>
      <c r="F3271" s="31" t="s">
        <v>127</v>
      </c>
      <c r="G3271" s="31" t="n">
        <v>9</v>
      </c>
      <c r="H3271" s="41" t="n">
        <v>3.6</v>
      </c>
      <c r="I3271" s="31" t="s">
        <v>149</v>
      </c>
      <c r="J3271" s="31" t="n">
        <v>3</v>
      </c>
      <c r="K3271" s="31" t="s">
        <v>150</v>
      </c>
      <c r="L3271" s="45" t="n">
        <f aca="false">DATE(YEAR(B3271),MONTH(B3271),1)</f>
        <v>46235</v>
      </c>
      <c r="M3271" s="31" t="n">
        <f aca="false">WEEKDAY(B3271,2)</f>
        <v>6</v>
      </c>
      <c r="N3271" s="31" t="str">
        <f aca="false">IF(G3271&lt;=INDEX(Assumptions!$B$15:$B$18,MATCH(E3271,Assumptions!$A$15:$A$18,0)),"Yes","No")</f>
        <v>Yes</v>
      </c>
      <c r="O3271" s="31" t="str">
        <f aca="false">IF(H3271="","Open",IF(H3271&lt;=INDEX(Assumptions!$C$15:$C$18,MATCH(E3271,Assumptions!$A$15:$A$18,0)),"Yes","No"))</f>
        <v>Yes</v>
      </c>
    </row>
    <row r="3272" customFormat="false" ht="15" hidden="false" customHeight="false" outlineLevel="0" collapsed="false">
      <c r="A3272" s="31" t="s">
        <v>3422</v>
      </c>
      <c r="B3272" s="44" t="n">
        <v>46249</v>
      </c>
      <c r="C3272" s="31" t="s">
        <v>57</v>
      </c>
      <c r="D3272" s="31" t="s">
        <v>68</v>
      </c>
      <c r="E3272" s="31" t="s">
        <v>51</v>
      </c>
      <c r="F3272" s="31" t="s">
        <v>124</v>
      </c>
      <c r="G3272" s="31" t="n">
        <v>2</v>
      </c>
      <c r="H3272" s="41" t="n">
        <v>5.3</v>
      </c>
      <c r="I3272" s="31" t="s">
        <v>149</v>
      </c>
      <c r="J3272" s="31"/>
      <c r="K3272" s="31" t="s">
        <v>150</v>
      </c>
      <c r="L3272" s="45" t="n">
        <f aca="false">DATE(YEAR(B3272),MONTH(B3272),1)</f>
        <v>46235</v>
      </c>
      <c r="M3272" s="31" t="n">
        <f aca="false">WEEKDAY(B3272,2)</f>
        <v>6</v>
      </c>
      <c r="N3272" s="31" t="str">
        <f aca="false">IF(G3272&lt;=INDEX(Assumptions!$B$15:$B$18,MATCH(E3272,Assumptions!$A$15:$A$18,0)),"Yes","No")</f>
        <v>Yes</v>
      </c>
      <c r="O3272" s="31" t="str">
        <f aca="false">IF(H3272="","Open",IF(H3272&lt;=INDEX(Assumptions!$C$15:$C$18,MATCH(E3272,Assumptions!$A$15:$A$18,0)),"Yes","No"))</f>
        <v>Yes</v>
      </c>
    </row>
    <row r="3273" customFormat="false" ht="15" hidden="false" customHeight="false" outlineLevel="0" collapsed="false">
      <c r="A3273" s="31" t="s">
        <v>3423</v>
      </c>
      <c r="B3273" s="44" t="n">
        <v>46249</v>
      </c>
      <c r="C3273" s="31" t="s">
        <v>59</v>
      </c>
      <c r="D3273" s="31" t="s">
        <v>69</v>
      </c>
      <c r="E3273" s="31" t="s">
        <v>50</v>
      </c>
      <c r="F3273" s="31" t="s">
        <v>134</v>
      </c>
      <c r="G3273" s="31" t="n">
        <v>106</v>
      </c>
      <c r="H3273" s="41" t="n">
        <v>13.8</v>
      </c>
      <c r="I3273" s="31" t="s">
        <v>149</v>
      </c>
      <c r="J3273" s="31" t="n">
        <v>2</v>
      </c>
      <c r="K3273" s="31" t="s">
        <v>150</v>
      </c>
      <c r="L3273" s="45" t="n">
        <f aca="false">DATE(YEAR(B3273),MONTH(B3273),1)</f>
        <v>46235</v>
      </c>
      <c r="M3273" s="31" t="n">
        <f aca="false">WEEKDAY(B3273,2)</f>
        <v>6</v>
      </c>
      <c r="N3273" s="31" t="str">
        <f aca="false">IF(G3273&lt;=INDEX(Assumptions!$B$15:$B$18,MATCH(E3273,Assumptions!$A$15:$A$18,0)),"Yes","No")</f>
        <v>No</v>
      </c>
      <c r="O3273" s="31" t="str">
        <f aca="false">IF(H3273="","Open",IF(H3273&lt;=INDEX(Assumptions!$C$15:$C$18,MATCH(E3273,Assumptions!$A$15:$A$18,0)),"Yes","No"))</f>
        <v>No</v>
      </c>
    </row>
    <row r="3274" customFormat="false" ht="15" hidden="false" customHeight="false" outlineLevel="0" collapsed="false">
      <c r="A3274" s="31" t="s">
        <v>3424</v>
      </c>
      <c r="B3274" s="44" t="n">
        <v>46249</v>
      </c>
      <c r="C3274" s="31" t="s">
        <v>59</v>
      </c>
      <c r="D3274" s="31" t="s">
        <v>65</v>
      </c>
      <c r="E3274" s="31" t="s">
        <v>49</v>
      </c>
      <c r="F3274" s="31" t="s">
        <v>122</v>
      </c>
      <c r="G3274" s="31" t="n">
        <v>21</v>
      </c>
      <c r="H3274" s="41" t="n">
        <v>7.5</v>
      </c>
      <c r="I3274" s="31" t="s">
        <v>149</v>
      </c>
      <c r="J3274" s="31"/>
      <c r="K3274" s="31" t="s">
        <v>150</v>
      </c>
      <c r="L3274" s="45" t="n">
        <f aca="false">DATE(YEAR(B3274),MONTH(B3274),1)</f>
        <v>46235</v>
      </c>
      <c r="M3274" s="31" t="n">
        <f aca="false">WEEKDAY(B3274,2)</f>
        <v>6</v>
      </c>
      <c r="N3274" s="31" t="str">
        <f aca="false">IF(G3274&lt;=INDEX(Assumptions!$B$15:$B$18,MATCH(E3274,Assumptions!$A$15:$A$18,0)),"Yes","No")</f>
        <v>No</v>
      </c>
      <c r="O3274" s="31" t="str">
        <f aca="false">IF(H3274="","Open",IF(H3274&lt;=INDEX(Assumptions!$C$15:$C$18,MATCH(E3274,Assumptions!$A$15:$A$18,0)),"Yes","No"))</f>
        <v>No</v>
      </c>
    </row>
    <row r="3275" customFormat="false" ht="15" hidden="false" customHeight="false" outlineLevel="0" collapsed="false">
      <c r="A3275" s="31" t="s">
        <v>3425</v>
      </c>
      <c r="B3275" s="44" t="n">
        <v>46249</v>
      </c>
      <c r="C3275" s="31" t="s">
        <v>57</v>
      </c>
      <c r="D3275" s="31" t="s">
        <v>65</v>
      </c>
      <c r="E3275" s="31" t="s">
        <v>52</v>
      </c>
      <c r="F3275" s="31" t="s">
        <v>128</v>
      </c>
      <c r="G3275" s="31" t="n">
        <v>4</v>
      </c>
      <c r="H3275" s="41" t="n">
        <v>27.9</v>
      </c>
      <c r="I3275" s="31" t="s">
        <v>149</v>
      </c>
      <c r="J3275" s="31"/>
      <c r="K3275" s="31" t="s">
        <v>153</v>
      </c>
      <c r="L3275" s="45" t="n">
        <f aca="false">DATE(YEAR(B3275),MONTH(B3275),1)</f>
        <v>46235</v>
      </c>
      <c r="M3275" s="31" t="n">
        <f aca="false">WEEKDAY(B3275,2)</f>
        <v>6</v>
      </c>
      <c r="N3275" s="31" t="str">
        <f aca="false">IF(G3275&lt;=INDEX(Assumptions!$B$15:$B$18,MATCH(E3275,Assumptions!$A$15:$A$18,0)),"Yes","No")</f>
        <v>Yes</v>
      </c>
      <c r="O3275" s="31" t="str">
        <f aca="false">IF(H3275="","Open",IF(H3275&lt;=INDEX(Assumptions!$C$15:$C$18,MATCH(E3275,Assumptions!$A$15:$A$18,0)),"Yes","No"))</f>
        <v>Yes</v>
      </c>
    </row>
    <row r="3276" customFormat="false" ht="15" hidden="false" customHeight="false" outlineLevel="0" collapsed="false">
      <c r="A3276" s="31" t="s">
        <v>3426</v>
      </c>
      <c r="B3276" s="44" t="n">
        <v>46249</v>
      </c>
      <c r="C3276" s="31" t="s">
        <v>59</v>
      </c>
      <c r="D3276" s="31" t="s">
        <v>65</v>
      </c>
      <c r="E3276" s="31" t="s">
        <v>51</v>
      </c>
      <c r="F3276" s="31" t="s">
        <v>122</v>
      </c>
      <c r="G3276" s="31" t="n">
        <v>14</v>
      </c>
      <c r="H3276" s="41" t="n">
        <v>9.6</v>
      </c>
      <c r="I3276" s="31" t="s">
        <v>149</v>
      </c>
      <c r="J3276" s="31" t="n">
        <v>4</v>
      </c>
      <c r="K3276" s="31" t="s">
        <v>150</v>
      </c>
      <c r="L3276" s="45" t="n">
        <f aca="false">DATE(YEAR(B3276),MONTH(B3276),1)</f>
        <v>46235</v>
      </c>
      <c r="M3276" s="31" t="n">
        <f aca="false">WEEKDAY(B3276,2)</f>
        <v>6</v>
      </c>
      <c r="N3276" s="31" t="str">
        <f aca="false">IF(G3276&lt;=INDEX(Assumptions!$B$15:$B$18,MATCH(E3276,Assumptions!$A$15:$A$18,0)),"Yes","No")</f>
        <v>Yes</v>
      </c>
      <c r="O3276" s="31" t="str">
        <f aca="false">IF(H3276="","Open",IF(H3276&lt;=INDEX(Assumptions!$C$15:$C$18,MATCH(E3276,Assumptions!$A$15:$A$18,0)),"Yes","No"))</f>
        <v>Yes</v>
      </c>
    </row>
    <row r="3277" customFormat="false" ht="15" hidden="false" customHeight="false" outlineLevel="0" collapsed="false">
      <c r="A3277" s="31" t="s">
        <v>3427</v>
      </c>
      <c r="B3277" s="44" t="n">
        <v>46249</v>
      </c>
      <c r="C3277" s="31" t="s">
        <v>58</v>
      </c>
      <c r="D3277" s="31" t="s">
        <v>67</v>
      </c>
      <c r="E3277" s="31" t="s">
        <v>50</v>
      </c>
      <c r="F3277" s="31" t="s">
        <v>123</v>
      </c>
      <c r="G3277" s="31" t="n">
        <v>2</v>
      </c>
      <c r="H3277" s="41" t="n">
        <v>5.9</v>
      </c>
      <c r="I3277" s="31" t="s">
        <v>149</v>
      </c>
      <c r="J3277" s="31"/>
      <c r="K3277" s="31" t="s">
        <v>150</v>
      </c>
      <c r="L3277" s="45" t="n">
        <f aca="false">DATE(YEAR(B3277),MONTH(B3277),1)</f>
        <v>46235</v>
      </c>
      <c r="M3277" s="31" t="n">
        <f aca="false">WEEKDAY(B3277,2)</f>
        <v>6</v>
      </c>
      <c r="N3277" s="31" t="str">
        <f aca="false">IF(G3277&lt;=INDEX(Assumptions!$B$15:$B$18,MATCH(E3277,Assumptions!$A$15:$A$18,0)),"Yes","No")</f>
        <v>Yes</v>
      </c>
      <c r="O3277" s="31" t="str">
        <f aca="false">IF(H3277="","Open",IF(H3277&lt;=INDEX(Assumptions!$C$15:$C$18,MATCH(E3277,Assumptions!$A$15:$A$18,0)),"Yes","No"))</f>
        <v>Yes</v>
      </c>
    </row>
    <row r="3278" customFormat="false" ht="15" hidden="false" customHeight="false" outlineLevel="0" collapsed="false">
      <c r="A3278" s="31" t="s">
        <v>3428</v>
      </c>
      <c r="B3278" s="44" t="n">
        <v>46249</v>
      </c>
      <c r="C3278" s="31" t="s">
        <v>58</v>
      </c>
      <c r="D3278" s="31" t="s">
        <v>69</v>
      </c>
      <c r="E3278" s="31" t="s">
        <v>51</v>
      </c>
      <c r="F3278" s="31" t="s">
        <v>135</v>
      </c>
      <c r="G3278" s="31" t="n">
        <v>11</v>
      </c>
      <c r="H3278" s="41"/>
      <c r="I3278" s="31" t="s">
        <v>158</v>
      </c>
      <c r="J3278" s="31"/>
      <c r="K3278" s="31" t="s">
        <v>150</v>
      </c>
      <c r="L3278" s="45" t="n">
        <f aca="false">DATE(YEAR(B3278),MONTH(B3278),1)</f>
        <v>46235</v>
      </c>
      <c r="M3278" s="31" t="n">
        <f aca="false">WEEKDAY(B3278,2)</f>
        <v>6</v>
      </c>
      <c r="N3278" s="31" t="str">
        <f aca="false">IF(G3278&lt;=INDEX(Assumptions!$B$15:$B$18,MATCH(E3278,Assumptions!$A$15:$A$18,0)),"Yes","No")</f>
        <v>Yes</v>
      </c>
      <c r="O3278" s="31" t="str">
        <f aca="false">IF(H3278="","Open",IF(H3278&lt;=INDEX(Assumptions!$C$15:$C$18,MATCH(E3278,Assumptions!$A$15:$A$18,0)),"Yes","No"))</f>
        <v>Open</v>
      </c>
    </row>
    <row r="3279" customFormat="false" ht="15" hidden="false" customHeight="false" outlineLevel="0" collapsed="false">
      <c r="A3279" s="31" t="s">
        <v>3429</v>
      </c>
      <c r="B3279" s="44" t="n">
        <v>46249</v>
      </c>
      <c r="C3279" s="31" t="s">
        <v>59</v>
      </c>
      <c r="D3279" s="31" t="s">
        <v>67</v>
      </c>
      <c r="E3279" s="31" t="s">
        <v>51</v>
      </c>
      <c r="F3279" s="31" t="s">
        <v>129</v>
      </c>
      <c r="G3279" s="31" t="n">
        <v>56</v>
      </c>
      <c r="H3279" s="41" t="n">
        <v>9.9</v>
      </c>
      <c r="I3279" s="31" t="s">
        <v>149</v>
      </c>
      <c r="J3279" s="31"/>
      <c r="K3279" s="31" t="s">
        <v>150</v>
      </c>
      <c r="L3279" s="45" t="n">
        <f aca="false">DATE(YEAR(B3279),MONTH(B3279),1)</f>
        <v>46235</v>
      </c>
      <c r="M3279" s="31" t="n">
        <f aca="false">WEEKDAY(B3279,2)</f>
        <v>6</v>
      </c>
      <c r="N3279" s="31" t="str">
        <f aca="false">IF(G3279&lt;=INDEX(Assumptions!$B$15:$B$18,MATCH(E3279,Assumptions!$A$15:$A$18,0)),"Yes","No")</f>
        <v>Yes</v>
      </c>
      <c r="O3279" s="31" t="str">
        <f aca="false">IF(H3279="","Open",IF(H3279&lt;=INDEX(Assumptions!$C$15:$C$18,MATCH(E3279,Assumptions!$A$15:$A$18,0)),"Yes","No"))</f>
        <v>Yes</v>
      </c>
    </row>
    <row r="3280" customFormat="false" ht="15" hidden="false" customHeight="false" outlineLevel="0" collapsed="false">
      <c r="A3280" s="31" t="s">
        <v>3430</v>
      </c>
      <c r="B3280" s="44" t="n">
        <v>46249</v>
      </c>
      <c r="C3280" s="31" t="s">
        <v>59</v>
      </c>
      <c r="D3280" s="31" t="s">
        <v>66</v>
      </c>
      <c r="E3280" s="31" t="s">
        <v>51</v>
      </c>
      <c r="F3280" s="31" t="s">
        <v>120</v>
      </c>
      <c r="G3280" s="31" t="n">
        <v>155</v>
      </c>
      <c r="H3280" s="41" t="n">
        <v>15.7</v>
      </c>
      <c r="I3280" s="31" t="s">
        <v>149</v>
      </c>
      <c r="J3280" s="31" t="n">
        <v>4</v>
      </c>
      <c r="K3280" s="31" t="s">
        <v>150</v>
      </c>
      <c r="L3280" s="45" t="n">
        <f aca="false">DATE(YEAR(B3280),MONTH(B3280),1)</f>
        <v>46235</v>
      </c>
      <c r="M3280" s="31" t="n">
        <f aca="false">WEEKDAY(B3280,2)</f>
        <v>6</v>
      </c>
      <c r="N3280" s="31" t="str">
        <f aca="false">IF(G3280&lt;=INDEX(Assumptions!$B$15:$B$18,MATCH(E3280,Assumptions!$A$15:$A$18,0)),"Yes","No")</f>
        <v>No</v>
      </c>
      <c r="O3280" s="31" t="str">
        <f aca="false">IF(H3280="","Open",IF(H3280&lt;=INDEX(Assumptions!$C$15:$C$18,MATCH(E3280,Assumptions!$A$15:$A$18,0)),"Yes","No"))</f>
        <v>Yes</v>
      </c>
    </row>
    <row r="3281" customFormat="false" ht="15" hidden="false" customHeight="false" outlineLevel="0" collapsed="false">
      <c r="A3281" s="31" t="s">
        <v>3431</v>
      </c>
      <c r="B3281" s="44" t="n">
        <v>46249</v>
      </c>
      <c r="C3281" s="31" t="s">
        <v>59</v>
      </c>
      <c r="D3281" s="31" t="s">
        <v>66</v>
      </c>
      <c r="E3281" s="31" t="s">
        <v>52</v>
      </c>
      <c r="F3281" s="31" t="s">
        <v>137</v>
      </c>
      <c r="G3281" s="31" t="n">
        <v>59</v>
      </c>
      <c r="H3281" s="41" t="n">
        <v>12.2</v>
      </c>
      <c r="I3281" s="31" t="s">
        <v>149</v>
      </c>
      <c r="J3281" s="31" t="n">
        <v>5</v>
      </c>
      <c r="K3281" s="31" t="s">
        <v>150</v>
      </c>
      <c r="L3281" s="45" t="n">
        <f aca="false">DATE(YEAR(B3281),MONTH(B3281),1)</f>
        <v>46235</v>
      </c>
      <c r="M3281" s="31" t="n">
        <f aca="false">WEEKDAY(B3281,2)</f>
        <v>6</v>
      </c>
      <c r="N3281" s="31" t="str">
        <f aca="false">IF(G3281&lt;=INDEX(Assumptions!$B$15:$B$18,MATCH(E3281,Assumptions!$A$15:$A$18,0)),"Yes","No")</f>
        <v>Yes</v>
      </c>
      <c r="O3281" s="31" t="str">
        <f aca="false">IF(H3281="","Open",IF(H3281&lt;=INDEX(Assumptions!$C$15:$C$18,MATCH(E3281,Assumptions!$A$15:$A$18,0)),"Yes","No"))</f>
        <v>Yes</v>
      </c>
    </row>
    <row r="3282" customFormat="false" ht="15" hidden="false" customHeight="false" outlineLevel="0" collapsed="false">
      <c r="A3282" s="31" t="s">
        <v>3432</v>
      </c>
      <c r="B3282" s="44" t="n">
        <v>46249</v>
      </c>
      <c r="C3282" s="31" t="s">
        <v>57</v>
      </c>
      <c r="D3282" s="31" t="s">
        <v>69</v>
      </c>
      <c r="E3282" s="31" t="s">
        <v>52</v>
      </c>
      <c r="F3282" s="31" t="s">
        <v>124</v>
      </c>
      <c r="G3282" s="31" t="n">
        <v>3</v>
      </c>
      <c r="H3282" s="41" t="n">
        <v>15.2</v>
      </c>
      <c r="I3282" s="31" t="s">
        <v>149</v>
      </c>
      <c r="J3282" s="31" t="n">
        <v>5</v>
      </c>
      <c r="K3282" s="31" t="s">
        <v>150</v>
      </c>
      <c r="L3282" s="45" t="n">
        <f aca="false">DATE(YEAR(B3282),MONTH(B3282),1)</f>
        <v>46235</v>
      </c>
      <c r="M3282" s="31" t="n">
        <f aca="false">WEEKDAY(B3282,2)</f>
        <v>6</v>
      </c>
      <c r="N3282" s="31" t="str">
        <f aca="false">IF(G3282&lt;=INDEX(Assumptions!$B$15:$B$18,MATCH(E3282,Assumptions!$A$15:$A$18,0)),"Yes","No")</f>
        <v>Yes</v>
      </c>
      <c r="O3282" s="31" t="str">
        <f aca="false">IF(H3282="","Open",IF(H3282&lt;=INDEX(Assumptions!$C$15:$C$18,MATCH(E3282,Assumptions!$A$15:$A$18,0)),"Yes","No"))</f>
        <v>Yes</v>
      </c>
    </row>
    <row r="3283" customFormat="false" ht="15" hidden="false" customHeight="false" outlineLevel="0" collapsed="false">
      <c r="A3283" s="31" t="s">
        <v>3433</v>
      </c>
      <c r="B3283" s="44" t="n">
        <v>46249</v>
      </c>
      <c r="C3283" s="31" t="s">
        <v>57</v>
      </c>
      <c r="D3283" s="31" t="s">
        <v>66</v>
      </c>
      <c r="E3283" s="31" t="s">
        <v>51</v>
      </c>
      <c r="F3283" s="31" t="s">
        <v>120</v>
      </c>
      <c r="G3283" s="31" t="n">
        <v>2</v>
      </c>
      <c r="H3283" s="41" t="n">
        <v>5.3</v>
      </c>
      <c r="I3283" s="31" t="s">
        <v>149</v>
      </c>
      <c r="J3283" s="31" t="n">
        <v>5</v>
      </c>
      <c r="K3283" s="31" t="s">
        <v>150</v>
      </c>
      <c r="L3283" s="45" t="n">
        <f aca="false">DATE(YEAR(B3283),MONTH(B3283),1)</f>
        <v>46235</v>
      </c>
      <c r="M3283" s="31" t="n">
        <f aca="false">WEEKDAY(B3283,2)</f>
        <v>6</v>
      </c>
      <c r="N3283" s="31" t="str">
        <f aca="false">IF(G3283&lt;=INDEX(Assumptions!$B$15:$B$18,MATCH(E3283,Assumptions!$A$15:$A$18,0)),"Yes","No")</f>
        <v>Yes</v>
      </c>
      <c r="O3283" s="31" t="str">
        <f aca="false">IF(H3283="","Open",IF(H3283&lt;=INDEX(Assumptions!$C$15:$C$18,MATCH(E3283,Assumptions!$A$15:$A$18,0)),"Yes","No"))</f>
        <v>Yes</v>
      </c>
    </row>
    <row r="3284" customFormat="false" ht="15" hidden="false" customHeight="false" outlineLevel="0" collapsed="false">
      <c r="A3284" s="31" t="s">
        <v>3434</v>
      </c>
      <c r="B3284" s="44" t="n">
        <v>46249</v>
      </c>
      <c r="C3284" s="31" t="s">
        <v>59</v>
      </c>
      <c r="D3284" s="31" t="s">
        <v>67</v>
      </c>
      <c r="E3284" s="31" t="s">
        <v>51</v>
      </c>
      <c r="F3284" s="31" t="s">
        <v>130</v>
      </c>
      <c r="G3284" s="31" t="n">
        <v>257</v>
      </c>
      <c r="H3284" s="41" t="n">
        <v>32.2</v>
      </c>
      <c r="I3284" s="31" t="s">
        <v>149</v>
      </c>
      <c r="J3284" s="31" t="n">
        <v>3</v>
      </c>
      <c r="K3284" s="31" t="s">
        <v>150</v>
      </c>
      <c r="L3284" s="45" t="n">
        <f aca="false">DATE(YEAR(B3284),MONTH(B3284),1)</f>
        <v>46235</v>
      </c>
      <c r="M3284" s="31" t="n">
        <f aca="false">WEEKDAY(B3284,2)</f>
        <v>6</v>
      </c>
      <c r="N3284" s="31" t="str">
        <f aca="false">IF(G3284&lt;=INDEX(Assumptions!$B$15:$B$18,MATCH(E3284,Assumptions!$A$15:$A$18,0)),"Yes","No")</f>
        <v>No</v>
      </c>
      <c r="O3284" s="31" t="str">
        <f aca="false">IF(H3284="","Open",IF(H3284&lt;=INDEX(Assumptions!$C$15:$C$18,MATCH(E3284,Assumptions!$A$15:$A$18,0)),"Yes","No"))</f>
        <v>No</v>
      </c>
    </row>
    <row r="3285" customFormat="false" ht="15" hidden="false" customHeight="false" outlineLevel="0" collapsed="false">
      <c r="A3285" s="31" t="s">
        <v>3435</v>
      </c>
      <c r="B3285" s="44" t="n">
        <v>46249</v>
      </c>
      <c r="C3285" s="31" t="s">
        <v>58</v>
      </c>
      <c r="D3285" s="31" t="s">
        <v>68</v>
      </c>
      <c r="E3285" s="31" t="s">
        <v>52</v>
      </c>
      <c r="F3285" s="31" t="s">
        <v>135</v>
      </c>
      <c r="G3285" s="31" t="n">
        <v>15</v>
      </c>
      <c r="H3285" s="41" t="n">
        <v>1.3</v>
      </c>
      <c r="I3285" s="31" t="s">
        <v>149</v>
      </c>
      <c r="J3285" s="31"/>
      <c r="K3285" s="31" t="s">
        <v>150</v>
      </c>
      <c r="L3285" s="45" t="n">
        <f aca="false">DATE(YEAR(B3285),MONTH(B3285),1)</f>
        <v>46235</v>
      </c>
      <c r="M3285" s="31" t="n">
        <f aca="false">WEEKDAY(B3285,2)</f>
        <v>6</v>
      </c>
      <c r="N3285" s="31" t="str">
        <f aca="false">IF(G3285&lt;=INDEX(Assumptions!$B$15:$B$18,MATCH(E3285,Assumptions!$A$15:$A$18,0)),"Yes","No")</f>
        <v>Yes</v>
      </c>
      <c r="O3285" s="31" t="str">
        <f aca="false">IF(H3285="","Open",IF(H3285&lt;=INDEX(Assumptions!$C$15:$C$18,MATCH(E3285,Assumptions!$A$15:$A$18,0)),"Yes","No"))</f>
        <v>Yes</v>
      </c>
    </row>
    <row r="3286" customFormat="false" ht="15" hidden="false" customHeight="false" outlineLevel="0" collapsed="false">
      <c r="A3286" s="31" t="s">
        <v>3436</v>
      </c>
      <c r="B3286" s="44" t="n">
        <v>46249</v>
      </c>
      <c r="C3286" s="31" t="s">
        <v>58</v>
      </c>
      <c r="D3286" s="31" t="s">
        <v>67</v>
      </c>
      <c r="E3286" s="31" t="s">
        <v>51</v>
      </c>
      <c r="F3286" s="31" t="s">
        <v>117</v>
      </c>
      <c r="G3286" s="31" t="n">
        <v>11</v>
      </c>
      <c r="H3286" s="41" t="n">
        <v>2.2</v>
      </c>
      <c r="I3286" s="31" t="s">
        <v>149</v>
      </c>
      <c r="J3286" s="31"/>
      <c r="K3286" s="31" t="s">
        <v>150</v>
      </c>
      <c r="L3286" s="45" t="n">
        <f aca="false">DATE(YEAR(B3286),MONTH(B3286),1)</f>
        <v>46235</v>
      </c>
      <c r="M3286" s="31" t="n">
        <f aca="false">WEEKDAY(B3286,2)</f>
        <v>6</v>
      </c>
      <c r="N3286" s="31" t="str">
        <f aca="false">IF(G3286&lt;=INDEX(Assumptions!$B$15:$B$18,MATCH(E3286,Assumptions!$A$15:$A$18,0)),"Yes","No")</f>
        <v>Yes</v>
      </c>
      <c r="O3286" s="31" t="str">
        <f aca="false">IF(H3286="","Open",IF(H3286&lt;=INDEX(Assumptions!$C$15:$C$18,MATCH(E3286,Assumptions!$A$15:$A$18,0)),"Yes","No"))</f>
        <v>Yes</v>
      </c>
    </row>
    <row r="3287" customFormat="false" ht="15" hidden="false" customHeight="false" outlineLevel="0" collapsed="false">
      <c r="A3287" s="31" t="s">
        <v>3437</v>
      </c>
      <c r="B3287" s="44" t="n">
        <v>46249</v>
      </c>
      <c r="C3287" s="31" t="s">
        <v>57</v>
      </c>
      <c r="D3287" s="31" t="s">
        <v>65</v>
      </c>
      <c r="E3287" s="31" t="s">
        <v>51</v>
      </c>
      <c r="F3287" s="31" t="s">
        <v>134</v>
      </c>
      <c r="G3287" s="31" t="n">
        <v>7</v>
      </c>
      <c r="H3287" s="41" t="n">
        <v>30.6</v>
      </c>
      <c r="I3287" s="31" t="s">
        <v>149</v>
      </c>
      <c r="J3287" s="31"/>
      <c r="K3287" s="31" t="s">
        <v>150</v>
      </c>
      <c r="L3287" s="45" t="n">
        <f aca="false">DATE(YEAR(B3287),MONTH(B3287),1)</f>
        <v>46235</v>
      </c>
      <c r="M3287" s="31" t="n">
        <f aca="false">WEEKDAY(B3287,2)</f>
        <v>6</v>
      </c>
      <c r="N3287" s="31" t="str">
        <f aca="false">IF(G3287&lt;=INDEX(Assumptions!$B$15:$B$18,MATCH(E3287,Assumptions!$A$15:$A$18,0)),"Yes","No")</f>
        <v>Yes</v>
      </c>
      <c r="O3287" s="31" t="str">
        <f aca="false">IF(H3287="","Open",IF(H3287&lt;=INDEX(Assumptions!$C$15:$C$18,MATCH(E3287,Assumptions!$A$15:$A$18,0)),"Yes","No"))</f>
        <v>No</v>
      </c>
    </row>
    <row r="3288" customFormat="false" ht="15" hidden="false" customHeight="false" outlineLevel="0" collapsed="false">
      <c r="A3288" s="31" t="s">
        <v>3438</v>
      </c>
      <c r="B3288" s="44" t="n">
        <v>46249</v>
      </c>
      <c r="C3288" s="31" t="s">
        <v>57</v>
      </c>
      <c r="D3288" s="31" t="s">
        <v>65</v>
      </c>
      <c r="E3288" s="31" t="s">
        <v>52</v>
      </c>
      <c r="F3288" s="31" t="s">
        <v>124</v>
      </c>
      <c r="G3288" s="31" t="n">
        <v>16</v>
      </c>
      <c r="H3288" s="41" t="n">
        <v>21.9</v>
      </c>
      <c r="I3288" s="31" t="s">
        <v>149</v>
      </c>
      <c r="J3288" s="31"/>
      <c r="K3288" s="31" t="s">
        <v>150</v>
      </c>
      <c r="L3288" s="45" t="n">
        <f aca="false">DATE(YEAR(B3288),MONTH(B3288),1)</f>
        <v>46235</v>
      </c>
      <c r="M3288" s="31" t="n">
        <f aca="false">WEEKDAY(B3288,2)</f>
        <v>6</v>
      </c>
      <c r="N3288" s="31" t="str">
        <f aca="false">IF(G3288&lt;=INDEX(Assumptions!$B$15:$B$18,MATCH(E3288,Assumptions!$A$15:$A$18,0)),"Yes","No")</f>
        <v>Yes</v>
      </c>
      <c r="O3288" s="31" t="str">
        <f aca="false">IF(H3288="","Open",IF(H3288&lt;=INDEX(Assumptions!$C$15:$C$18,MATCH(E3288,Assumptions!$A$15:$A$18,0)),"Yes","No"))</f>
        <v>Yes</v>
      </c>
    </row>
    <row r="3289" customFormat="false" ht="15" hidden="false" customHeight="false" outlineLevel="0" collapsed="false">
      <c r="A3289" s="31" t="s">
        <v>3439</v>
      </c>
      <c r="B3289" s="44" t="n">
        <v>46249</v>
      </c>
      <c r="C3289" s="31" t="s">
        <v>58</v>
      </c>
      <c r="D3289" s="31" t="s">
        <v>68</v>
      </c>
      <c r="E3289" s="31" t="s">
        <v>52</v>
      </c>
      <c r="F3289" s="31" t="s">
        <v>137</v>
      </c>
      <c r="G3289" s="31" t="n">
        <v>58</v>
      </c>
      <c r="H3289" s="41" t="n">
        <v>12.3</v>
      </c>
      <c r="I3289" s="31" t="s">
        <v>149</v>
      </c>
      <c r="J3289" s="31"/>
      <c r="K3289" s="31" t="s">
        <v>150</v>
      </c>
      <c r="L3289" s="45" t="n">
        <f aca="false">DATE(YEAR(B3289),MONTH(B3289),1)</f>
        <v>46235</v>
      </c>
      <c r="M3289" s="31" t="n">
        <f aca="false">WEEKDAY(B3289,2)</f>
        <v>6</v>
      </c>
      <c r="N3289" s="31" t="str">
        <f aca="false">IF(G3289&lt;=INDEX(Assumptions!$B$15:$B$18,MATCH(E3289,Assumptions!$A$15:$A$18,0)),"Yes","No")</f>
        <v>Yes</v>
      </c>
      <c r="O3289" s="31" t="str">
        <f aca="false">IF(H3289="","Open",IF(H3289&lt;=INDEX(Assumptions!$C$15:$C$18,MATCH(E3289,Assumptions!$A$15:$A$18,0)),"Yes","No"))</f>
        <v>Yes</v>
      </c>
    </row>
    <row r="3290" customFormat="false" ht="15" hidden="false" customHeight="false" outlineLevel="0" collapsed="false">
      <c r="A3290" s="31" t="s">
        <v>3440</v>
      </c>
      <c r="B3290" s="44" t="n">
        <v>46249</v>
      </c>
      <c r="C3290" s="31" t="s">
        <v>60</v>
      </c>
      <c r="D3290" s="31" t="s">
        <v>65</v>
      </c>
      <c r="E3290" s="31" t="s">
        <v>50</v>
      </c>
      <c r="F3290" s="31" t="s">
        <v>119</v>
      </c>
      <c r="G3290" s="31" t="n">
        <v>2</v>
      </c>
      <c r="H3290" s="41" t="n">
        <v>11.5</v>
      </c>
      <c r="I3290" s="31" t="s">
        <v>149</v>
      </c>
      <c r="J3290" s="31" t="n">
        <v>4</v>
      </c>
      <c r="K3290" s="31" t="s">
        <v>150</v>
      </c>
      <c r="L3290" s="45" t="n">
        <f aca="false">DATE(YEAR(B3290),MONTH(B3290),1)</f>
        <v>46235</v>
      </c>
      <c r="M3290" s="31" t="n">
        <f aca="false">WEEKDAY(B3290,2)</f>
        <v>6</v>
      </c>
      <c r="N3290" s="31" t="str">
        <f aca="false">IF(G3290&lt;=INDEX(Assumptions!$B$15:$B$18,MATCH(E3290,Assumptions!$A$15:$A$18,0)),"Yes","No")</f>
        <v>Yes</v>
      </c>
      <c r="O3290" s="31" t="str">
        <f aca="false">IF(H3290="","Open",IF(H3290&lt;=INDEX(Assumptions!$C$15:$C$18,MATCH(E3290,Assumptions!$A$15:$A$18,0)),"Yes","No"))</f>
        <v>No</v>
      </c>
    </row>
    <row r="3291" customFormat="false" ht="15" hidden="false" customHeight="false" outlineLevel="0" collapsed="false">
      <c r="A3291" s="31" t="s">
        <v>3441</v>
      </c>
      <c r="B3291" s="44" t="n">
        <v>46249</v>
      </c>
      <c r="C3291" s="31" t="s">
        <v>58</v>
      </c>
      <c r="D3291" s="31" t="s">
        <v>69</v>
      </c>
      <c r="E3291" s="31" t="s">
        <v>51</v>
      </c>
      <c r="F3291" s="31" t="s">
        <v>130</v>
      </c>
      <c r="G3291" s="31" t="n">
        <v>8</v>
      </c>
      <c r="H3291" s="41" t="n">
        <v>5.6</v>
      </c>
      <c r="I3291" s="31" t="s">
        <v>149</v>
      </c>
      <c r="J3291" s="31" t="n">
        <v>4</v>
      </c>
      <c r="K3291" s="31" t="s">
        <v>150</v>
      </c>
      <c r="L3291" s="45" t="n">
        <f aca="false">DATE(YEAR(B3291),MONTH(B3291),1)</f>
        <v>46235</v>
      </c>
      <c r="M3291" s="31" t="n">
        <f aca="false">WEEKDAY(B3291,2)</f>
        <v>6</v>
      </c>
      <c r="N3291" s="31" t="str">
        <f aca="false">IF(G3291&lt;=INDEX(Assumptions!$B$15:$B$18,MATCH(E3291,Assumptions!$A$15:$A$18,0)),"Yes","No")</f>
        <v>Yes</v>
      </c>
      <c r="O3291" s="31" t="str">
        <f aca="false">IF(H3291="","Open",IF(H3291&lt;=INDEX(Assumptions!$C$15:$C$18,MATCH(E3291,Assumptions!$A$15:$A$18,0)),"Yes","No"))</f>
        <v>Yes</v>
      </c>
    </row>
    <row r="3292" customFormat="false" ht="15" hidden="false" customHeight="false" outlineLevel="0" collapsed="false">
      <c r="A3292" s="31" t="s">
        <v>3442</v>
      </c>
      <c r="B3292" s="44" t="n">
        <v>46249</v>
      </c>
      <c r="C3292" s="31" t="s">
        <v>60</v>
      </c>
      <c r="D3292" s="31" t="s">
        <v>65</v>
      </c>
      <c r="E3292" s="31" t="s">
        <v>51</v>
      </c>
      <c r="F3292" s="31" t="s">
        <v>133</v>
      </c>
      <c r="G3292" s="31" t="n">
        <v>1</v>
      </c>
      <c r="H3292" s="41" t="n">
        <v>8.8</v>
      </c>
      <c r="I3292" s="31" t="s">
        <v>149</v>
      </c>
      <c r="J3292" s="31"/>
      <c r="K3292" s="31" t="s">
        <v>150</v>
      </c>
      <c r="L3292" s="45" t="n">
        <f aca="false">DATE(YEAR(B3292),MONTH(B3292),1)</f>
        <v>46235</v>
      </c>
      <c r="M3292" s="31" t="n">
        <f aca="false">WEEKDAY(B3292,2)</f>
        <v>6</v>
      </c>
      <c r="N3292" s="31" t="str">
        <f aca="false">IF(G3292&lt;=INDEX(Assumptions!$B$15:$B$18,MATCH(E3292,Assumptions!$A$15:$A$18,0)),"Yes","No")</f>
        <v>Yes</v>
      </c>
      <c r="O3292" s="31" t="str">
        <f aca="false">IF(H3292="","Open",IF(H3292&lt;=INDEX(Assumptions!$C$15:$C$18,MATCH(E3292,Assumptions!$A$15:$A$18,0)),"Yes","No"))</f>
        <v>Yes</v>
      </c>
    </row>
    <row r="3293" customFormat="false" ht="15" hidden="false" customHeight="false" outlineLevel="0" collapsed="false">
      <c r="A3293" s="31" t="s">
        <v>3443</v>
      </c>
      <c r="B3293" s="44" t="n">
        <v>46249</v>
      </c>
      <c r="C3293" s="31" t="s">
        <v>57</v>
      </c>
      <c r="D3293" s="31" t="s">
        <v>65</v>
      </c>
      <c r="E3293" s="31" t="s">
        <v>52</v>
      </c>
      <c r="F3293" s="31" t="s">
        <v>123</v>
      </c>
      <c r="G3293" s="31" t="n">
        <v>12</v>
      </c>
      <c r="H3293" s="41" t="n">
        <v>25</v>
      </c>
      <c r="I3293" s="31" t="s">
        <v>149</v>
      </c>
      <c r="J3293" s="31"/>
      <c r="K3293" s="31" t="s">
        <v>150</v>
      </c>
      <c r="L3293" s="45" t="n">
        <f aca="false">DATE(YEAR(B3293),MONTH(B3293),1)</f>
        <v>46235</v>
      </c>
      <c r="M3293" s="31" t="n">
        <f aca="false">WEEKDAY(B3293,2)</f>
        <v>6</v>
      </c>
      <c r="N3293" s="31" t="str">
        <f aca="false">IF(G3293&lt;=INDEX(Assumptions!$B$15:$B$18,MATCH(E3293,Assumptions!$A$15:$A$18,0)),"Yes","No")</f>
        <v>Yes</v>
      </c>
      <c r="O3293" s="31" t="str">
        <f aca="false">IF(H3293="","Open",IF(H3293&lt;=INDEX(Assumptions!$C$15:$C$18,MATCH(E3293,Assumptions!$A$15:$A$18,0)),"Yes","No"))</f>
        <v>Yes</v>
      </c>
    </row>
    <row r="3294" customFormat="false" ht="15" hidden="false" customHeight="false" outlineLevel="0" collapsed="false">
      <c r="A3294" s="31" t="s">
        <v>3444</v>
      </c>
      <c r="B3294" s="44" t="n">
        <v>46249</v>
      </c>
      <c r="C3294" s="31" t="s">
        <v>57</v>
      </c>
      <c r="D3294" s="31" t="s">
        <v>65</v>
      </c>
      <c r="E3294" s="31" t="s">
        <v>51</v>
      </c>
      <c r="F3294" s="31" t="s">
        <v>121</v>
      </c>
      <c r="G3294" s="31" t="n">
        <v>5</v>
      </c>
      <c r="H3294" s="41" t="n">
        <v>3.8</v>
      </c>
      <c r="I3294" s="31" t="s">
        <v>149</v>
      </c>
      <c r="J3294" s="31" t="n">
        <v>4</v>
      </c>
      <c r="K3294" s="31" t="s">
        <v>150</v>
      </c>
      <c r="L3294" s="45" t="n">
        <f aca="false">DATE(YEAR(B3294),MONTH(B3294),1)</f>
        <v>46235</v>
      </c>
      <c r="M3294" s="31" t="n">
        <f aca="false">WEEKDAY(B3294,2)</f>
        <v>6</v>
      </c>
      <c r="N3294" s="31" t="str">
        <f aca="false">IF(G3294&lt;=INDEX(Assumptions!$B$15:$B$18,MATCH(E3294,Assumptions!$A$15:$A$18,0)),"Yes","No")</f>
        <v>Yes</v>
      </c>
      <c r="O3294" s="31" t="str">
        <f aca="false">IF(H3294="","Open",IF(H3294&lt;=INDEX(Assumptions!$C$15:$C$18,MATCH(E3294,Assumptions!$A$15:$A$18,0)),"Yes","No"))</f>
        <v>Yes</v>
      </c>
    </row>
    <row r="3295" customFormat="false" ht="15" hidden="false" customHeight="false" outlineLevel="0" collapsed="false">
      <c r="A3295" s="31" t="s">
        <v>3445</v>
      </c>
      <c r="B3295" s="44" t="n">
        <v>46249</v>
      </c>
      <c r="C3295" s="31" t="s">
        <v>60</v>
      </c>
      <c r="D3295" s="31" t="s">
        <v>68</v>
      </c>
      <c r="E3295" s="31" t="s">
        <v>51</v>
      </c>
      <c r="F3295" s="31" t="s">
        <v>126</v>
      </c>
      <c r="G3295" s="31" t="n">
        <v>2</v>
      </c>
      <c r="H3295" s="41" t="n">
        <v>4.5</v>
      </c>
      <c r="I3295" s="31" t="s">
        <v>149</v>
      </c>
      <c r="J3295" s="31" t="n">
        <v>5</v>
      </c>
      <c r="K3295" s="31" t="s">
        <v>150</v>
      </c>
      <c r="L3295" s="45" t="n">
        <f aca="false">DATE(YEAR(B3295),MONTH(B3295),1)</f>
        <v>46235</v>
      </c>
      <c r="M3295" s="31" t="n">
        <f aca="false">WEEKDAY(B3295,2)</f>
        <v>6</v>
      </c>
      <c r="N3295" s="31" t="str">
        <f aca="false">IF(G3295&lt;=INDEX(Assumptions!$B$15:$B$18,MATCH(E3295,Assumptions!$A$15:$A$18,0)),"Yes","No")</f>
        <v>Yes</v>
      </c>
      <c r="O3295" s="31" t="str">
        <f aca="false">IF(H3295="","Open",IF(H3295&lt;=INDEX(Assumptions!$C$15:$C$18,MATCH(E3295,Assumptions!$A$15:$A$18,0)),"Yes","No"))</f>
        <v>Yes</v>
      </c>
    </row>
    <row r="3296" customFormat="false" ht="15" hidden="false" customHeight="false" outlineLevel="0" collapsed="false">
      <c r="A3296" s="31" t="s">
        <v>3446</v>
      </c>
      <c r="B3296" s="44" t="n">
        <v>46249</v>
      </c>
      <c r="C3296" s="31" t="s">
        <v>60</v>
      </c>
      <c r="D3296" s="31" t="s">
        <v>69</v>
      </c>
      <c r="E3296" s="31" t="s">
        <v>49</v>
      </c>
      <c r="F3296" s="31" t="s">
        <v>128</v>
      </c>
      <c r="G3296" s="31" t="n">
        <v>3</v>
      </c>
      <c r="H3296" s="41" t="n">
        <v>22.7</v>
      </c>
      <c r="I3296" s="31" t="s">
        <v>149</v>
      </c>
      <c r="J3296" s="31" t="n">
        <v>4</v>
      </c>
      <c r="K3296" s="31" t="s">
        <v>150</v>
      </c>
      <c r="L3296" s="45" t="n">
        <f aca="false">DATE(YEAR(B3296),MONTH(B3296),1)</f>
        <v>46235</v>
      </c>
      <c r="M3296" s="31" t="n">
        <f aca="false">WEEKDAY(B3296,2)</f>
        <v>6</v>
      </c>
      <c r="N3296" s="31" t="str">
        <f aca="false">IF(G3296&lt;=INDEX(Assumptions!$B$15:$B$18,MATCH(E3296,Assumptions!$A$15:$A$18,0)),"Yes","No")</f>
        <v>Yes</v>
      </c>
      <c r="O3296" s="31" t="str">
        <f aca="false">IF(H3296="","Open",IF(H3296&lt;=INDEX(Assumptions!$C$15:$C$18,MATCH(E3296,Assumptions!$A$15:$A$18,0)),"Yes","No"))</f>
        <v>No</v>
      </c>
    </row>
    <row r="3297" customFormat="false" ht="15" hidden="false" customHeight="false" outlineLevel="0" collapsed="false">
      <c r="A3297" s="31" t="s">
        <v>3447</v>
      </c>
      <c r="B3297" s="44" t="n">
        <v>46249</v>
      </c>
      <c r="C3297" s="31" t="s">
        <v>58</v>
      </c>
      <c r="D3297" s="31" t="s">
        <v>65</v>
      </c>
      <c r="E3297" s="31" t="s">
        <v>52</v>
      </c>
      <c r="F3297" s="31" t="s">
        <v>130</v>
      </c>
      <c r="G3297" s="31" t="n">
        <v>10</v>
      </c>
      <c r="H3297" s="41" t="n">
        <v>8.7</v>
      </c>
      <c r="I3297" s="31" t="s">
        <v>149</v>
      </c>
      <c r="J3297" s="31" t="n">
        <v>5</v>
      </c>
      <c r="K3297" s="31" t="s">
        <v>150</v>
      </c>
      <c r="L3297" s="45" t="n">
        <f aca="false">DATE(YEAR(B3297),MONTH(B3297),1)</f>
        <v>46235</v>
      </c>
      <c r="M3297" s="31" t="n">
        <f aca="false">WEEKDAY(B3297,2)</f>
        <v>6</v>
      </c>
      <c r="N3297" s="31" t="str">
        <f aca="false">IF(G3297&lt;=INDEX(Assumptions!$B$15:$B$18,MATCH(E3297,Assumptions!$A$15:$A$18,0)),"Yes","No")</f>
        <v>Yes</v>
      </c>
      <c r="O3297" s="31" t="str">
        <f aca="false">IF(H3297="","Open",IF(H3297&lt;=INDEX(Assumptions!$C$15:$C$18,MATCH(E3297,Assumptions!$A$15:$A$18,0)),"Yes","No"))</f>
        <v>Yes</v>
      </c>
    </row>
    <row r="3298" customFormat="false" ht="15" hidden="false" customHeight="false" outlineLevel="0" collapsed="false">
      <c r="A3298" s="31" t="s">
        <v>3448</v>
      </c>
      <c r="B3298" s="44" t="n">
        <v>46249</v>
      </c>
      <c r="C3298" s="31" t="s">
        <v>57</v>
      </c>
      <c r="D3298" s="31" t="s">
        <v>66</v>
      </c>
      <c r="E3298" s="31" t="s">
        <v>50</v>
      </c>
      <c r="F3298" s="31" t="s">
        <v>126</v>
      </c>
      <c r="G3298" s="31" t="n">
        <v>1</v>
      </c>
      <c r="H3298" s="41" t="n">
        <v>0.3</v>
      </c>
      <c r="I3298" s="31" t="s">
        <v>149</v>
      </c>
      <c r="J3298" s="31"/>
      <c r="K3298" s="31" t="s">
        <v>150</v>
      </c>
      <c r="L3298" s="45" t="n">
        <f aca="false">DATE(YEAR(B3298),MONTH(B3298),1)</f>
        <v>46235</v>
      </c>
      <c r="M3298" s="31" t="n">
        <f aca="false">WEEKDAY(B3298,2)</f>
        <v>6</v>
      </c>
      <c r="N3298" s="31" t="str">
        <f aca="false">IF(G3298&lt;=INDEX(Assumptions!$B$15:$B$18,MATCH(E3298,Assumptions!$A$15:$A$18,0)),"Yes","No")</f>
        <v>Yes</v>
      </c>
      <c r="O3298" s="31" t="str">
        <f aca="false">IF(H3298="","Open",IF(H3298&lt;=INDEX(Assumptions!$C$15:$C$18,MATCH(E3298,Assumptions!$A$15:$A$18,0)),"Yes","No"))</f>
        <v>Yes</v>
      </c>
    </row>
    <row r="3299" customFormat="false" ht="15" hidden="false" customHeight="false" outlineLevel="0" collapsed="false">
      <c r="A3299" s="31" t="s">
        <v>3449</v>
      </c>
      <c r="B3299" s="44" t="n">
        <v>46249</v>
      </c>
      <c r="C3299" s="31" t="s">
        <v>58</v>
      </c>
      <c r="D3299" s="31" t="s">
        <v>65</v>
      </c>
      <c r="E3299" s="31" t="s">
        <v>51</v>
      </c>
      <c r="F3299" s="31" t="s">
        <v>128</v>
      </c>
      <c r="G3299" s="31" t="n">
        <v>14</v>
      </c>
      <c r="H3299" s="41" t="n">
        <v>11.5</v>
      </c>
      <c r="I3299" s="31" t="s">
        <v>149</v>
      </c>
      <c r="J3299" s="31" t="n">
        <v>5</v>
      </c>
      <c r="K3299" s="31" t="s">
        <v>150</v>
      </c>
      <c r="L3299" s="45" t="n">
        <f aca="false">DATE(YEAR(B3299),MONTH(B3299),1)</f>
        <v>46235</v>
      </c>
      <c r="M3299" s="31" t="n">
        <f aca="false">WEEKDAY(B3299,2)</f>
        <v>6</v>
      </c>
      <c r="N3299" s="31" t="str">
        <f aca="false">IF(G3299&lt;=INDEX(Assumptions!$B$15:$B$18,MATCH(E3299,Assumptions!$A$15:$A$18,0)),"Yes","No")</f>
        <v>Yes</v>
      </c>
      <c r="O3299" s="31" t="str">
        <f aca="false">IF(H3299="","Open",IF(H3299&lt;=INDEX(Assumptions!$C$15:$C$18,MATCH(E3299,Assumptions!$A$15:$A$18,0)),"Yes","No"))</f>
        <v>Yes</v>
      </c>
    </row>
    <row r="3300" customFormat="false" ht="15" hidden="false" customHeight="false" outlineLevel="0" collapsed="false">
      <c r="A3300" s="31" t="s">
        <v>3450</v>
      </c>
      <c r="B3300" s="44" t="n">
        <v>46249</v>
      </c>
      <c r="C3300" s="31" t="s">
        <v>59</v>
      </c>
      <c r="D3300" s="31" t="s">
        <v>69</v>
      </c>
      <c r="E3300" s="31" t="s">
        <v>51</v>
      </c>
      <c r="F3300" s="31" t="s">
        <v>126</v>
      </c>
      <c r="G3300" s="31" t="n">
        <v>48</v>
      </c>
      <c r="H3300" s="41" t="n">
        <v>6.9</v>
      </c>
      <c r="I3300" s="31" t="s">
        <v>149</v>
      </c>
      <c r="J3300" s="31" t="n">
        <v>4</v>
      </c>
      <c r="K3300" s="31" t="s">
        <v>150</v>
      </c>
      <c r="L3300" s="45" t="n">
        <f aca="false">DATE(YEAR(B3300),MONTH(B3300),1)</f>
        <v>46235</v>
      </c>
      <c r="M3300" s="31" t="n">
        <f aca="false">WEEKDAY(B3300,2)</f>
        <v>6</v>
      </c>
      <c r="N3300" s="31" t="str">
        <f aca="false">IF(G3300&lt;=INDEX(Assumptions!$B$15:$B$18,MATCH(E3300,Assumptions!$A$15:$A$18,0)),"Yes","No")</f>
        <v>Yes</v>
      </c>
      <c r="O3300" s="31" t="str">
        <f aca="false">IF(H3300="","Open",IF(H3300&lt;=INDEX(Assumptions!$C$15:$C$18,MATCH(E3300,Assumptions!$A$15:$A$18,0)),"Yes","No"))</f>
        <v>Yes</v>
      </c>
    </row>
    <row r="3301" customFormat="false" ht="15" hidden="false" customHeight="false" outlineLevel="0" collapsed="false">
      <c r="A3301" s="31" t="s">
        <v>3451</v>
      </c>
      <c r="B3301" s="44" t="n">
        <v>46249</v>
      </c>
      <c r="C3301" s="31" t="s">
        <v>57</v>
      </c>
      <c r="D3301" s="31" t="s">
        <v>69</v>
      </c>
      <c r="E3301" s="31" t="s">
        <v>52</v>
      </c>
      <c r="F3301" s="31" t="s">
        <v>128</v>
      </c>
      <c r="G3301" s="31" t="n">
        <v>7</v>
      </c>
      <c r="H3301" s="41" t="n">
        <v>54.7</v>
      </c>
      <c r="I3301" s="31" t="s">
        <v>149</v>
      </c>
      <c r="J3301" s="31"/>
      <c r="K3301" s="31" t="s">
        <v>153</v>
      </c>
      <c r="L3301" s="45" t="n">
        <f aca="false">DATE(YEAR(B3301),MONTH(B3301),1)</f>
        <v>46235</v>
      </c>
      <c r="M3301" s="31" t="n">
        <f aca="false">WEEKDAY(B3301,2)</f>
        <v>6</v>
      </c>
      <c r="N3301" s="31" t="str">
        <f aca="false">IF(G3301&lt;=INDEX(Assumptions!$B$15:$B$18,MATCH(E3301,Assumptions!$A$15:$A$18,0)),"Yes","No")</f>
        <v>Yes</v>
      </c>
      <c r="O3301" s="31" t="str">
        <f aca="false">IF(H3301="","Open",IF(H3301&lt;=INDEX(Assumptions!$C$15:$C$18,MATCH(E3301,Assumptions!$A$15:$A$18,0)),"Yes","No"))</f>
        <v>Yes</v>
      </c>
    </row>
    <row r="3302" customFormat="false" ht="15" hidden="false" customHeight="false" outlineLevel="0" collapsed="false">
      <c r="A3302" s="31" t="s">
        <v>3452</v>
      </c>
      <c r="B3302" s="44" t="n">
        <v>46249</v>
      </c>
      <c r="C3302" s="31" t="s">
        <v>57</v>
      </c>
      <c r="D3302" s="31" t="s">
        <v>65</v>
      </c>
      <c r="E3302" s="31" t="s">
        <v>51</v>
      </c>
      <c r="F3302" s="31" t="s">
        <v>120</v>
      </c>
      <c r="G3302" s="31" t="n">
        <v>23</v>
      </c>
      <c r="H3302" s="41" t="n">
        <v>36.6</v>
      </c>
      <c r="I3302" s="31" t="s">
        <v>149</v>
      </c>
      <c r="J3302" s="31" t="n">
        <v>3</v>
      </c>
      <c r="K3302" s="31" t="s">
        <v>150</v>
      </c>
      <c r="L3302" s="45" t="n">
        <f aca="false">DATE(YEAR(B3302),MONTH(B3302),1)</f>
        <v>46235</v>
      </c>
      <c r="M3302" s="31" t="n">
        <f aca="false">WEEKDAY(B3302,2)</f>
        <v>6</v>
      </c>
      <c r="N3302" s="31" t="str">
        <f aca="false">IF(G3302&lt;=INDEX(Assumptions!$B$15:$B$18,MATCH(E3302,Assumptions!$A$15:$A$18,0)),"Yes","No")</f>
        <v>Yes</v>
      </c>
      <c r="O3302" s="31" t="str">
        <f aca="false">IF(H3302="","Open",IF(H3302&lt;=INDEX(Assumptions!$C$15:$C$18,MATCH(E3302,Assumptions!$A$15:$A$18,0)),"Yes","No"))</f>
        <v>No</v>
      </c>
    </row>
    <row r="3303" customFormat="false" ht="15" hidden="false" customHeight="false" outlineLevel="0" collapsed="false">
      <c r="A3303" s="31" t="s">
        <v>3453</v>
      </c>
      <c r="B3303" s="44" t="n">
        <v>46249</v>
      </c>
      <c r="C3303" s="31" t="s">
        <v>58</v>
      </c>
      <c r="D3303" s="31" t="s">
        <v>65</v>
      </c>
      <c r="E3303" s="31" t="s">
        <v>52</v>
      </c>
      <c r="F3303" s="31" t="s">
        <v>133</v>
      </c>
      <c r="G3303" s="31" t="n">
        <v>6</v>
      </c>
      <c r="H3303" s="41"/>
      <c r="I3303" s="31" t="s">
        <v>158</v>
      </c>
      <c r="J3303" s="31"/>
      <c r="K3303" s="31" t="s">
        <v>150</v>
      </c>
      <c r="L3303" s="45" t="n">
        <f aca="false">DATE(YEAR(B3303),MONTH(B3303),1)</f>
        <v>46235</v>
      </c>
      <c r="M3303" s="31" t="n">
        <f aca="false">WEEKDAY(B3303,2)</f>
        <v>6</v>
      </c>
      <c r="N3303" s="31" t="str">
        <f aca="false">IF(G3303&lt;=INDEX(Assumptions!$B$15:$B$18,MATCH(E3303,Assumptions!$A$15:$A$18,0)),"Yes","No")</f>
        <v>Yes</v>
      </c>
      <c r="O3303" s="31" t="str">
        <f aca="false">IF(H3303="","Open",IF(H3303&lt;=INDEX(Assumptions!$C$15:$C$18,MATCH(E3303,Assumptions!$A$15:$A$18,0)),"Yes","No"))</f>
        <v>Open</v>
      </c>
    </row>
    <row r="3304" customFormat="false" ht="15" hidden="false" customHeight="false" outlineLevel="0" collapsed="false">
      <c r="A3304" s="31" t="s">
        <v>3454</v>
      </c>
      <c r="B3304" s="44" t="n">
        <v>46249</v>
      </c>
      <c r="C3304" s="31" t="s">
        <v>58</v>
      </c>
      <c r="D3304" s="31" t="s">
        <v>66</v>
      </c>
      <c r="E3304" s="31" t="s">
        <v>52</v>
      </c>
      <c r="F3304" s="31" t="s">
        <v>122</v>
      </c>
      <c r="G3304" s="31" t="n">
        <v>9</v>
      </c>
      <c r="H3304" s="41" t="n">
        <v>5.7</v>
      </c>
      <c r="I3304" s="31" t="s">
        <v>149</v>
      </c>
      <c r="J3304" s="31"/>
      <c r="K3304" s="31" t="s">
        <v>150</v>
      </c>
      <c r="L3304" s="45" t="n">
        <f aca="false">DATE(YEAR(B3304),MONTH(B3304),1)</f>
        <v>46235</v>
      </c>
      <c r="M3304" s="31" t="n">
        <f aca="false">WEEKDAY(B3304,2)</f>
        <v>6</v>
      </c>
      <c r="N3304" s="31" t="str">
        <f aca="false">IF(G3304&lt;=INDEX(Assumptions!$B$15:$B$18,MATCH(E3304,Assumptions!$A$15:$A$18,0)),"Yes","No")</f>
        <v>Yes</v>
      </c>
      <c r="O3304" s="31" t="str">
        <f aca="false">IF(H3304="","Open",IF(H3304&lt;=INDEX(Assumptions!$C$15:$C$18,MATCH(E3304,Assumptions!$A$15:$A$18,0)),"Yes","No"))</f>
        <v>Yes</v>
      </c>
    </row>
    <row r="3305" customFormat="false" ht="15" hidden="false" customHeight="false" outlineLevel="0" collapsed="false">
      <c r="A3305" s="31" t="s">
        <v>3455</v>
      </c>
      <c r="B3305" s="44" t="n">
        <v>46249</v>
      </c>
      <c r="C3305" s="31" t="s">
        <v>58</v>
      </c>
      <c r="D3305" s="31" t="s">
        <v>67</v>
      </c>
      <c r="E3305" s="31" t="s">
        <v>50</v>
      </c>
      <c r="F3305" s="31" t="s">
        <v>121</v>
      </c>
      <c r="G3305" s="31" t="n">
        <v>6</v>
      </c>
      <c r="H3305" s="41" t="n">
        <v>1.4</v>
      </c>
      <c r="I3305" s="31" t="s">
        <v>149</v>
      </c>
      <c r="J3305" s="31"/>
      <c r="K3305" s="31" t="s">
        <v>150</v>
      </c>
      <c r="L3305" s="45" t="n">
        <f aca="false">DATE(YEAR(B3305),MONTH(B3305),1)</f>
        <v>46235</v>
      </c>
      <c r="M3305" s="31" t="n">
        <f aca="false">WEEKDAY(B3305,2)</f>
        <v>6</v>
      </c>
      <c r="N3305" s="31" t="str">
        <f aca="false">IF(G3305&lt;=INDEX(Assumptions!$B$15:$B$18,MATCH(E3305,Assumptions!$A$15:$A$18,0)),"Yes","No")</f>
        <v>Yes</v>
      </c>
      <c r="O3305" s="31" t="str">
        <f aca="false">IF(H3305="","Open",IF(H3305&lt;=INDEX(Assumptions!$C$15:$C$18,MATCH(E3305,Assumptions!$A$15:$A$18,0)),"Yes","No"))</f>
        <v>Yes</v>
      </c>
    </row>
    <row r="3306" customFormat="false" ht="15" hidden="false" customHeight="false" outlineLevel="0" collapsed="false">
      <c r="A3306" s="31" t="s">
        <v>3456</v>
      </c>
      <c r="B3306" s="44" t="n">
        <v>46249</v>
      </c>
      <c r="C3306" s="31" t="s">
        <v>58</v>
      </c>
      <c r="D3306" s="31" t="s">
        <v>65</v>
      </c>
      <c r="E3306" s="31" t="s">
        <v>51</v>
      </c>
      <c r="F3306" s="31" t="s">
        <v>126</v>
      </c>
      <c r="G3306" s="31" t="n">
        <v>8</v>
      </c>
      <c r="H3306" s="41" t="n">
        <v>10.3</v>
      </c>
      <c r="I3306" s="31" t="s">
        <v>149</v>
      </c>
      <c r="J3306" s="31" t="n">
        <v>5</v>
      </c>
      <c r="K3306" s="31" t="s">
        <v>150</v>
      </c>
      <c r="L3306" s="45" t="n">
        <f aca="false">DATE(YEAR(B3306),MONTH(B3306),1)</f>
        <v>46235</v>
      </c>
      <c r="M3306" s="31" t="n">
        <f aca="false">WEEKDAY(B3306,2)</f>
        <v>6</v>
      </c>
      <c r="N3306" s="31" t="str">
        <f aca="false">IF(G3306&lt;=INDEX(Assumptions!$B$15:$B$18,MATCH(E3306,Assumptions!$A$15:$A$18,0)),"Yes","No")</f>
        <v>Yes</v>
      </c>
      <c r="O3306" s="31" t="str">
        <f aca="false">IF(H3306="","Open",IF(H3306&lt;=INDEX(Assumptions!$C$15:$C$18,MATCH(E3306,Assumptions!$A$15:$A$18,0)),"Yes","No"))</f>
        <v>Yes</v>
      </c>
    </row>
    <row r="3307" customFormat="false" ht="15" hidden="false" customHeight="false" outlineLevel="0" collapsed="false">
      <c r="A3307" s="31" t="s">
        <v>3457</v>
      </c>
      <c r="B3307" s="44" t="n">
        <v>46249</v>
      </c>
      <c r="C3307" s="31" t="s">
        <v>58</v>
      </c>
      <c r="D3307" s="31" t="s">
        <v>66</v>
      </c>
      <c r="E3307" s="31" t="s">
        <v>50</v>
      </c>
      <c r="F3307" s="31" t="s">
        <v>120</v>
      </c>
      <c r="G3307" s="31" t="n">
        <v>14</v>
      </c>
      <c r="H3307" s="41"/>
      <c r="I3307" s="31" t="s">
        <v>158</v>
      </c>
      <c r="J3307" s="31"/>
      <c r="K3307" s="31" t="s">
        <v>150</v>
      </c>
      <c r="L3307" s="45" t="n">
        <f aca="false">DATE(YEAR(B3307),MONTH(B3307),1)</f>
        <v>46235</v>
      </c>
      <c r="M3307" s="31" t="n">
        <f aca="false">WEEKDAY(B3307,2)</f>
        <v>6</v>
      </c>
      <c r="N3307" s="31" t="str">
        <f aca="false">IF(G3307&lt;=INDEX(Assumptions!$B$15:$B$18,MATCH(E3307,Assumptions!$A$15:$A$18,0)),"Yes","No")</f>
        <v>Yes</v>
      </c>
      <c r="O3307" s="31" t="str">
        <f aca="false">IF(H3307="","Open",IF(H3307&lt;=INDEX(Assumptions!$C$15:$C$18,MATCH(E3307,Assumptions!$A$15:$A$18,0)),"Yes","No"))</f>
        <v>Open</v>
      </c>
    </row>
    <row r="3308" customFormat="false" ht="15" hidden="false" customHeight="false" outlineLevel="0" collapsed="false">
      <c r="A3308" s="31" t="s">
        <v>3458</v>
      </c>
      <c r="B3308" s="44" t="n">
        <v>46249</v>
      </c>
      <c r="C3308" s="31" t="s">
        <v>57</v>
      </c>
      <c r="D3308" s="31" t="s">
        <v>66</v>
      </c>
      <c r="E3308" s="31" t="s">
        <v>49</v>
      </c>
      <c r="F3308" s="31" t="s">
        <v>128</v>
      </c>
      <c r="G3308" s="31" t="n">
        <v>4</v>
      </c>
      <c r="H3308" s="41" t="n">
        <v>2.1</v>
      </c>
      <c r="I3308" s="31" t="s">
        <v>149</v>
      </c>
      <c r="J3308" s="31" t="n">
        <v>4</v>
      </c>
      <c r="K3308" s="31" t="s">
        <v>150</v>
      </c>
      <c r="L3308" s="45" t="n">
        <f aca="false">DATE(YEAR(B3308),MONTH(B3308),1)</f>
        <v>46235</v>
      </c>
      <c r="M3308" s="31" t="n">
        <f aca="false">WEEKDAY(B3308,2)</f>
        <v>6</v>
      </c>
      <c r="N3308" s="31" t="str">
        <f aca="false">IF(G3308&lt;=INDEX(Assumptions!$B$15:$B$18,MATCH(E3308,Assumptions!$A$15:$A$18,0)),"Yes","No")</f>
        <v>Yes</v>
      </c>
      <c r="O3308" s="31" t="str">
        <f aca="false">IF(H3308="","Open",IF(H3308&lt;=INDEX(Assumptions!$C$15:$C$18,MATCH(E3308,Assumptions!$A$15:$A$18,0)),"Yes","No"))</f>
        <v>Yes</v>
      </c>
    </row>
    <row r="3309" customFormat="false" ht="15" hidden="false" customHeight="false" outlineLevel="0" collapsed="false">
      <c r="A3309" s="31" t="s">
        <v>3459</v>
      </c>
      <c r="B3309" s="44" t="n">
        <v>46249</v>
      </c>
      <c r="C3309" s="31" t="s">
        <v>57</v>
      </c>
      <c r="D3309" s="31" t="s">
        <v>65</v>
      </c>
      <c r="E3309" s="31" t="s">
        <v>49</v>
      </c>
      <c r="F3309" s="31" t="s">
        <v>134</v>
      </c>
      <c r="G3309" s="31" t="n">
        <v>1</v>
      </c>
      <c r="H3309" s="41" t="n">
        <v>3.8</v>
      </c>
      <c r="I3309" s="31" t="s">
        <v>149</v>
      </c>
      <c r="J3309" s="31"/>
      <c r="K3309" s="31" t="s">
        <v>150</v>
      </c>
      <c r="L3309" s="45" t="n">
        <f aca="false">DATE(YEAR(B3309),MONTH(B3309),1)</f>
        <v>46235</v>
      </c>
      <c r="M3309" s="31" t="n">
        <f aca="false">WEEKDAY(B3309,2)</f>
        <v>6</v>
      </c>
      <c r="N3309" s="31" t="str">
        <f aca="false">IF(G3309&lt;=INDEX(Assumptions!$B$15:$B$18,MATCH(E3309,Assumptions!$A$15:$A$18,0)),"Yes","No")</f>
        <v>Yes</v>
      </c>
      <c r="O3309" s="31" t="str">
        <f aca="false">IF(H3309="","Open",IF(H3309&lt;=INDEX(Assumptions!$C$15:$C$18,MATCH(E3309,Assumptions!$A$15:$A$18,0)),"Yes","No"))</f>
        <v>Yes</v>
      </c>
    </row>
    <row r="3310" customFormat="false" ht="15" hidden="false" customHeight="false" outlineLevel="0" collapsed="false">
      <c r="A3310" s="31" t="s">
        <v>3460</v>
      </c>
      <c r="B3310" s="44" t="n">
        <v>46250</v>
      </c>
      <c r="C3310" s="31" t="s">
        <v>57</v>
      </c>
      <c r="D3310" s="31" t="s">
        <v>65</v>
      </c>
      <c r="E3310" s="31" t="s">
        <v>51</v>
      </c>
      <c r="F3310" s="31" t="s">
        <v>121</v>
      </c>
      <c r="G3310" s="31" t="n">
        <v>3</v>
      </c>
      <c r="H3310" s="41" t="n">
        <v>13.7</v>
      </c>
      <c r="I3310" s="31" t="s">
        <v>149</v>
      </c>
      <c r="J3310" s="31" t="n">
        <v>5</v>
      </c>
      <c r="K3310" s="31" t="s">
        <v>150</v>
      </c>
      <c r="L3310" s="45" t="n">
        <f aca="false">DATE(YEAR(B3310),MONTH(B3310),1)</f>
        <v>46235</v>
      </c>
      <c r="M3310" s="31" t="n">
        <f aca="false">WEEKDAY(B3310,2)</f>
        <v>7</v>
      </c>
      <c r="N3310" s="31" t="str">
        <f aca="false">IF(G3310&lt;=INDEX(Assumptions!$B$15:$B$18,MATCH(E3310,Assumptions!$A$15:$A$18,0)),"Yes","No")</f>
        <v>Yes</v>
      </c>
      <c r="O3310" s="31" t="str">
        <f aca="false">IF(H3310="","Open",IF(H3310&lt;=INDEX(Assumptions!$C$15:$C$18,MATCH(E3310,Assumptions!$A$15:$A$18,0)),"Yes","No"))</f>
        <v>Yes</v>
      </c>
    </row>
    <row r="3311" customFormat="false" ht="15" hidden="false" customHeight="false" outlineLevel="0" collapsed="false">
      <c r="A3311" s="31" t="s">
        <v>3461</v>
      </c>
      <c r="B3311" s="44" t="n">
        <v>46250</v>
      </c>
      <c r="C3311" s="31" t="s">
        <v>59</v>
      </c>
      <c r="D3311" s="31" t="s">
        <v>65</v>
      </c>
      <c r="E3311" s="31" t="s">
        <v>52</v>
      </c>
      <c r="F3311" s="31" t="s">
        <v>122</v>
      </c>
      <c r="G3311" s="31" t="n">
        <v>26</v>
      </c>
      <c r="H3311" s="41" t="n">
        <v>15.1</v>
      </c>
      <c r="I3311" s="31" t="s">
        <v>149</v>
      </c>
      <c r="J3311" s="31"/>
      <c r="K3311" s="31" t="s">
        <v>150</v>
      </c>
      <c r="L3311" s="45" t="n">
        <f aca="false">DATE(YEAR(B3311),MONTH(B3311),1)</f>
        <v>46235</v>
      </c>
      <c r="M3311" s="31" t="n">
        <f aca="false">WEEKDAY(B3311,2)</f>
        <v>7</v>
      </c>
      <c r="N3311" s="31" t="str">
        <f aca="false">IF(G3311&lt;=INDEX(Assumptions!$B$15:$B$18,MATCH(E3311,Assumptions!$A$15:$A$18,0)),"Yes","No")</f>
        <v>Yes</v>
      </c>
      <c r="O3311" s="31" t="str">
        <f aca="false">IF(H3311="","Open",IF(H3311&lt;=INDEX(Assumptions!$C$15:$C$18,MATCH(E3311,Assumptions!$A$15:$A$18,0)),"Yes","No"))</f>
        <v>Yes</v>
      </c>
    </row>
    <row r="3312" customFormat="false" ht="15" hidden="false" customHeight="false" outlineLevel="0" collapsed="false">
      <c r="A3312" s="31" t="s">
        <v>3462</v>
      </c>
      <c r="B3312" s="44" t="n">
        <v>46250</v>
      </c>
      <c r="C3312" s="31" t="s">
        <v>59</v>
      </c>
      <c r="D3312" s="31" t="s">
        <v>66</v>
      </c>
      <c r="E3312" s="31" t="s">
        <v>51</v>
      </c>
      <c r="F3312" s="31" t="s">
        <v>129</v>
      </c>
      <c r="G3312" s="31" t="n">
        <v>35</v>
      </c>
      <c r="H3312" s="41" t="n">
        <v>2.4</v>
      </c>
      <c r="I3312" s="31" t="s">
        <v>149</v>
      </c>
      <c r="J3312" s="31"/>
      <c r="K3312" s="31" t="s">
        <v>150</v>
      </c>
      <c r="L3312" s="45" t="n">
        <f aca="false">DATE(YEAR(B3312),MONTH(B3312),1)</f>
        <v>46235</v>
      </c>
      <c r="M3312" s="31" t="n">
        <f aca="false">WEEKDAY(B3312,2)</f>
        <v>7</v>
      </c>
      <c r="N3312" s="31" t="str">
        <f aca="false">IF(G3312&lt;=INDEX(Assumptions!$B$15:$B$18,MATCH(E3312,Assumptions!$A$15:$A$18,0)),"Yes","No")</f>
        <v>Yes</v>
      </c>
      <c r="O3312" s="31" t="str">
        <f aca="false">IF(H3312="","Open",IF(H3312&lt;=INDEX(Assumptions!$C$15:$C$18,MATCH(E3312,Assumptions!$A$15:$A$18,0)),"Yes","No"))</f>
        <v>Yes</v>
      </c>
    </row>
    <row r="3313" customFormat="false" ht="15" hidden="false" customHeight="false" outlineLevel="0" collapsed="false">
      <c r="A3313" s="31" t="s">
        <v>3463</v>
      </c>
      <c r="B3313" s="44" t="n">
        <v>46250</v>
      </c>
      <c r="C3313" s="31" t="s">
        <v>59</v>
      </c>
      <c r="D3313" s="31" t="s">
        <v>66</v>
      </c>
      <c r="E3313" s="31" t="s">
        <v>51</v>
      </c>
      <c r="F3313" s="31" t="s">
        <v>122</v>
      </c>
      <c r="G3313" s="31" t="n">
        <v>69</v>
      </c>
      <c r="H3313" s="41" t="n">
        <v>28.4</v>
      </c>
      <c r="I3313" s="31" t="s">
        <v>149</v>
      </c>
      <c r="J3313" s="31" t="n">
        <v>4</v>
      </c>
      <c r="K3313" s="31" t="s">
        <v>150</v>
      </c>
      <c r="L3313" s="45" t="n">
        <f aca="false">DATE(YEAR(B3313),MONTH(B3313),1)</f>
        <v>46235</v>
      </c>
      <c r="M3313" s="31" t="n">
        <f aca="false">WEEKDAY(B3313,2)</f>
        <v>7</v>
      </c>
      <c r="N3313" s="31" t="str">
        <f aca="false">IF(G3313&lt;=INDEX(Assumptions!$B$15:$B$18,MATCH(E3313,Assumptions!$A$15:$A$18,0)),"Yes","No")</f>
        <v>No</v>
      </c>
      <c r="O3313" s="31" t="str">
        <f aca="false">IF(H3313="","Open",IF(H3313&lt;=INDEX(Assumptions!$C$15:$C$18,MATCH(E3313,Assumptions!$A$15:$A$18,0)),"Yes","No"))</f>
        <v>No</v>
      </c>
    </row>
    <row r="3314" customFormat="false" ht="15" hidden="false" customHeight="false" outlineLevel="0" collapsed="false">
      <c r="A3314" s="31" t="s">
        <v>3464</v>
      </c>
      <c r="B3314" s="44" t="n">
        <v>46250</v>
      </c>
      <c r="C3314" s="31" t="s">
        <v>58</v>
      </c>
      <c r="D3314" s="31" t="s">
        <v>66</v>
      </c>
      <c r="E3314" s="31" t="s">
        <v>50</v>
      </c>
      <c r="F3314" s="31" t="s">
        <v>117</v>
      </c>
      <c r="G3314" s="31" t="n">
        <v>11</v>
      </c>
      <c r="H3314" s="41" t="n">
        <v>1.8</v>
      </c>
      <c r="I3314" s="31" t="s">
        <v>64</v>
      </c>
      <c r="J3314" s="31" t="n">
        <v>3</v>
      </c>
      <c r="K3314" s="31" t="s">
        <v>150</v>
      </c>
      <c r="L3314" s="45" t="n">
        <f aca="false">DATE(YEAR(B3314),MONTH(B3314),1)</f>
        <v>46235</v>
      </c>
      <c r="M3314" s="31" t="n">
        <f aca="false">WEEKDAY(B3314,2)</f>
        <v>7</v>
      </c>
      <c r="N3314" s="31" t="str">
        <f aca="false">IF(G3314&lt;=INDEX(Assumptions!$B$15:$B$18,MATCH(E3314,Assumptions!$A$15:$A$18,0)),"Yes","No")</f>
        <v>Yes</v>
      </c>
      <c r="O3314" s="31" t="str">
        <f aca="false">IF(H3314="","Open",IF(H3314&lt;=INDEX(Assumptions!$C$15:$C$18,MATCH(E3314,Assumptions!$A$15:$A$18,0)),"Yes","No"))</f>
        <v>Yes</v>
      </c>
    </row>
    <row r="3315" customFormat="false" ht="15" hidden="false" customHeight="false" outlineLevel="0" collapsed="false">
      <c r="A3315" s="31" t="s">
        <v>3465</v>
      </c>
      <c r="B3315" s="44" t="n">
        <v>46250</v>
      </c>
      <c r="C3315" s="31" t="s">
        <v>59</v>
      </c>
      <c r="D3315" s="31" t="s">
        <v>67</v>
      </c>
      <c r="E3315" s="31" t="s">
        <v>51</v>
      </c>
      <c r="F3315" s="31" t="s">
        <v>127</v>
      </c>
      <c r="G3315" s="31" t="n">
        <v>23</v>
      </c>
      <c r="H3315" s="41" t="n">
        <v>25.4</v>
      </c>
      <c r="I3315" s="31" t="s">
        <v>149</v>
      </c>
      <c r="J3315" s="31" t="n">
        <v>5</v>
      </c>
      <c r="K3315" s="31" t="s">
        <v>150</v>
      </c>
      <c r="L3315" s="45" t="n">
        <f aca="false">DATE(YEAR(B3315),MONTH(B3315),1)</f>
        <v>46235</v>
      </c>
      <c r="M3315" s="31" t="n">
        <f aca="false">WEEKDAY(B3315,2)</f>
        <v>7</v>
      </c>
      <c r="N3315" s="31" t="str">
        <f aca="false">IF(G3315&lt;=INDEX(Assumptions!$B$15:$B$18,MATCH(E3315,Assumptions!$A$15:$A$18,0)),"Yes","No")</f>
        <v>Yes</v>
      </c>
      <c r="O3315" s="31" t="str">
        <f aca="false">IF(H3315="","Open",IF(H3315&lt;=INDEX(Assumptions!$C$15:$C$18,MATCH(E3315,Assumptions!$A$15:$A$18,0)),"Yes","No"))</f>
        <v>No</v>
      </c>
    </row>
    <row r="3316" customFormat="false" ht="15" hidden="false" customHeight="false" outlineLevel="0" collapsed="false">
      <c r="A3316" s="31" t="s">
        <v>3466</v>
      </c>
      <c r="B3316" s="44" t="n">
        <v>46250</v>
      </c>
      <c r="C3316" s="31" t="s">
        <v>58</v>
      </c>
      <c r="D3316" s="31" t="s">
        <v>65</v>
      </c>
      <c r="E3316" s="31" t="s">
        <v>52</v>
      </c>
      <c r="F3316" s="31" t="s">
        <v>127</v>
      </c>
      <c r="G3316" s="31" t="n">
        <v>13</v>
      </c>
      <c r="H3316" s="41" t="n">
        <v>1.4</v>
      </c>
      <c r="I3316" s="31" t="s">
        <v>149</v>
      </c>
      <c r="J3316" s="31" t="n">
        <v>4</v>
      </c>
      <c r="K3316" s="31" t="s">
        <v>150</v>
      </c>
      <c r="L3316" s="45" t="n">
        <f aca="false">DATE(YEAR(B3316),MONTH(B3316),1)</f>
        <v>46235</v>
      </c>
      <c r="M3316" s="31" t="n">
        <f aca="false">WEEKDAY(B3316,2)</f>
        <v>7</v>
      </c>
      <c r="N3316" s="31" t="str">
        <f aca="false">IF(G3316&lt;=INDEX(Assumptions!$B$15:$B$18,MATCH(E3316,Assumptions!$A$15:$A$18,0)),"Yes","No")</f>
        <v>Yes</v>
      </c>
      <c r="O3316" s="31" t="str">
        <f aca="false">IF(H3316="","Open",IF(H3316&lt;=INDEX(Assumptions!$C$15:$C$18,MATCH(E3316,Assumptions!$A$15:$A$18,0)),"Yes","No"))</f>
        <v>Yes</v>
      </c>
    </row>
    <row r="3317" customFormat="false" ht="15" hidden="false" customHeight="false" outlineLevel="0" collapsed="false">
      <c r="A3317" s="31" t="s">
        <v>3467</v>
      </c>
      <c r="B3317" s="44" t="n">
        <v>46250</v>
      </c>
      <c r="C3317" s="31" t="s">
        <v>57</v>
      </c>
      <c r="D3317" s="31" t="s">
        <v>65</v>
      </c>
      <c r="E3317" s="31" t="s">
        <v>50</v>
      </c>
      <c r="F3317" s="31" t="s">
        <v>131</v>
      </c>
      <c r="G3317" s="31" t="n">
        <v>3</v>
      </c>
      <c r="H3317" s="41" t="n">
        <v>3</v>
      </c>
      <c r="I3317" s="31" t="s">
        <v>149</v>
      </c>
      <c r="J3317" s="31"/>
      <c r="K3317" s="31" t="s">
        <v>150</v>
      </c>
      <c r="L3317" s="45" t="n">
        <f aca="false">DATE(YEAR(B3317),MONTH(B3317),1)</f>
        <v>46235</v>
      </c>
      <c r="M3317" s="31" t="n">
        <f aca="false">WEEKDAY(B3317,2)</f>
        <v>7</v>
      </c>
      <c r="N3317" s="31" t="str">
        <f aca="false">IF(G3317&lt;=INDEX(Assumptions!$B$15:$B$18,MATCH(E3317,Assumptions!$A$15:$A$18,0)),"Yes","No")</f>
        <v>Yes</v>
      </c>
      <c r="O3317" s="31" t="str">
        <f aca="false">IF(H3317="","Open",IF(H3317&lt;=INDEX(Assumptions!$C$15:$C$18,MATCH(E3317,Assumptions!$A$15:$A$18,0)),"Yes","No"))</f>
        <v>Yes</v>
      </c>
    </row>
    <row r="3318" customFormat="false" ht="15" hidden="false" customHeight="false" outlineLevel="0" collapsed="false">
      <c r="A3318" s="31" t="s">
        <v>3468</v>
      </c>
      <c r="B3318" s="44" t="n">
        <v>46250</v>
      </c>
      <c r="C3318" s="31" t="s">
        <v>60</v>
      </c>
      <c r="D3318" s="31" t="s">
        <v>66</v>
      </c>
      <c r="E3318" s="31" t="s">
        <v>52</v>
      </c>
      <c r="F3318" s="31" t="s">
        <v>130</v>
      </c>
      <c r="G3318" s="31" t="n">
        <v>2</v>
      </c>
      <c r="H3318" s="41" t="n">
        <v>8.5</v>
      </c>
      <c r="I3318" s="31" t="s">
        <v>149</v>
      </c>
      <c r="J3318" s="31" t="n">
        <v>5</v>
      </c>
      <c r="K3318" s="31" t="s">
        <v>150</v>
      </c>
      <c r="L3318" s="45" t="n">
        <f aca="false">DATE(YEAR(B3318),MONTH(B3318),1)</f>
        <v>46235</v>
      </c>
      <c r="M3318" s="31" t="n">
        <f aca="false">WEEKDAY(B3318,2)</f>
        <v>7</v>
      </c>
      <c r="N3318" s="31" t="str">
        <f aca="false">IF(G3318&lt;=INDEX(Assumptions!$B$15:$B$18,MATCH(E3318,Assumptions!$A$15:$A$18,0)),"Yes","No")</f>
        <v>Yes</v>
      </c>
      <c r="O3318" s="31" t="str">
        <f aca="false">IF(H3318="","Open",IF(H3318&lt;=INDEX(Assumptions!$C$15:$C$18,MATCH(E3318,Assumptions!$A$15:$A$18,0)),"Yes","No"))</f>
        <v>Yes</v>
      </c>
    </row>
    <row r="3319" customFormat="false" ht="15" hidden="false" customHeight="false" outlineLevel="0" collapsed="false">
      <c r="A3319" s="31" t="s">
        <v>3469</v>
      </c>
      <c r="B3319" s="44" t="n">
        <v>46250</v>
      </c>
      <c r="C3319" s="31" t="s">
        <v>60</v>
      </c>
      <c r="D3319" s="31" t="s">
        <v>65</v>
      </c>
      <c r="E3319" s="31" t="s">
        <v>50</v>
      </c>
      <c r="F3319" s="31" t="s">
        <v>123</v>
      </c>
      <c r="G3319" s="31" t="n">
        <v>1</v>
      </c>
      <c r="H3319" s="41" t="n">
        <v>1.4</v>
      </c>
      <c r="I3319" s="31" t="s">
        <v>149</v>
      </c>
      <c r="J3319" s="31" t="n">
        <v>5</v>
      </c>
      <c r="K3319" s="31" t="s">
        <v>150</v>
      </c>
      <c r="L3319" s="45" t="n">
        <f aca="false">DATE(YEAR(B3319),MONTH(B3319),1)</f>
        <v>46235</v>
      </c>
      <c r="M3319" s="31" t="n">
        <f aca="false">WEEKDAY(B3319,2)</f>
        <v>7</v>
      </c>
      <c r="N3319" s="31" t="str">
        <f aca="false">IF(G3319&lt;=INDEX(Assumptions!$B$15:$B$18,MATCH(E3319,Assumptions!$A$15:$A$18,0)),"Yes","No")</f>
        <v>Yes</v>
      </c>
      <c r="O3319" s="31" t="str">
        <f aca="false">IF(H3319="","Open",IF(H3319&lt;=INDEX(Assumptions!$C$15:$C$18,MATCH(E3319,Assumptions!$A$15:$A$18,0)),"Yes","No"))</f>
        <v>Yes</v>
      </c>
    </row>
    <row r="3320" customFormat="false" ht="15" hidden="false" customHeight="false" outlineLevel="0" collapsed="false">
      <c r="A3320" s="31" t="s">
        <v>3470</v>
      </c>
      <c r="B3320" s="44" t="n">
        <v>46250</v>
      </c>
      <c r="C3320" s="31" t="s">
        <v>59</v>
      </c>
      <c r="D3320" s="31" t="s">
        <v>66</v>
      </c>
      <c r="E3320" s="31" t="s">
        <v>51</v>
      </c>
      <c r="F3320" s="31" t="s">
        <v>123</v>
      </c>
      <c r="G3320" s="31" t="n">
        <v>30</v>
      </c>
      <c r="H3320" s="41" t="n">
        <v>3.8</v>
      </c>
      <c r="I3320" s="31" t="s">
        <v>149</v>
      </c>
      <c r="J3320" s="31" t="n">
        <v>5</v>
      </c>
      <c r="K3320" s="31" t="s">
        <v>150</v>
      </c>
      <c r="L3320" s="45" t="n">
        <f aca="false">DATE(YEAR(B3320),MONTH(B3320),1)</f>
        <v>46235</v>
      </c>
      <c r="M3320" s="31" t="n">
        <f aca="false">WEEKDAY(B3320,2)</f>
        <v>7</v>
      </c>
      <c r="N3320" s="31" t="str">
        <f aca="false">IF(G3320&lt;=INDEX(Assumptions!$B$15:$B$18,MATCH(E3320,Assumptions!$A$15:$A$18,0)),"Yes","No")</f>
        <v>Yes</v>
      </c>
      <c r="O3320" s="31" t="str">
        <f aca="false">IF(H3320="","Open",IF(H3320&lt;=INDEX(Assumptions!$C$15:$C$18,MATCH(E3320,Assumptions!$A$15:$A$18,0)),"Yes","No"))</f>
        <v>Yes</v>
      </c>
    </row>
    <row r="3321" customFormat="false" ht="15" hidden="false" customHeight="false" outlineLevel="0" collapsed="false">
      <c r="A3321" s="31" t="s">
        <v>3471</v>
      </c>
      <c r="B3321" s="44" t="n">
        <v>46250</v>
      </c>
      <c r="C3321" s="31" t="s">
        <v>58</v>
      </c>
      <c r="D3321" s="31" t="s">
        <v>66</v>
      </c>
      <c r="E3321" s="31" t="s">
        <v>51</v>
      </c>
      <c r="F3321" s="31" t="s">
        <v>133</v>
      </c>
      <c r="G3321" s="31" t="n">
        <v>20</v>
      </c>
      <c r="H3321" s="41" t="n">
        <v>1.5</v>
      </c>
      <c r="I3321" s="31" t="s">
        <v>149</v>
      </c>
      <c r="J3321" s="31" t="n">
        <v>5</v>
      </c>
      <c r="K3321" s="31" t="s">
        <v>150</v>
      </c>
      <c r="L3321" s="45" t="n">
        <f aca="false">DATE(YEAR(B3321),MONTH(B3321),1)</f>
        <v>46235</v>
      </c>
      <c r="M3321" s="31" t="n">
        <f aca="false">WEEKDAY(B3321,2)</f>
        <v>7</v>
      </c>
      <c r="N3321" s="31" t="str">
        <f aca="false">IF(G3321&lt;=INDEX(Assumptions!$B$15:$B$18,MATCH(E3321,Assumptions!$A$15:$A$18,0)),"Yes","No")</f>
        <v>Yes</v>
      </c>
      <c r="O3321" s="31" t="str">
        <f aca="false">IF(H3321="","Open",IF(H3321&lt;=INDEX(Assumptions!$C$15:$C$18,MATCH(E3321,Assumptions!$A$15:$A$18,0)),"Yes","No"))</f>
        <v>Yes</v>
      </c>
    </row>
    <row r="3322" customFormat="false" ht="15" hidden="false" customHeight="false" outlineLevel="0" collapsed="false">
      <c r="A3322" s="31" t="s">
        <v>3472</v>
      </c>
      <c r="B3322" s="44" t="n">
        <v>46250</v>
      </c>
      <c r="C3322" s="31" t="s">
        <v>59</v>
      </c>
      <c r="D3322" s="31" t="s">
        <v>68</v>
      </c>
      <c r="E3322" s="31" t="s">
        <v>51</v>
      </c>
      <c r="F3322" s="31" t="s">
        <v>122</v>
      </c>
      <c r="G3322" s="31" t="n">
        <v>98</v>
      </c>
      <c r="H3322" s="41" t="n">
        <v>3.3</v>
      </c>
      <c r="I3322" s="31" t="s">
        <v>149</v>
      </c>
      <c r="J3322" s="31" t="n">
        <v>4</v>
      </c>
      <c r="K3322" s="31" t="s">
        <v>150</v>
      </c>
      <c r="L3322" s="45" t="n">
        <f aca="false">DATE(YEAR(B3322),MONTH(B3322),1)</f>
        <v>46235</v>
      </c>
      <c r="M3322" s="31" t="n">
        <f aca="false">WEEKDAY(B3322,2)</f>
        <v>7</v>
      </c>
      <c r="N3322" s="31" t="str">
        <f aca="false">IF(G3322&lt;=INDEX(Assumptions!$B$15:$B$18,MATCH(E3322,Assumptions!$A$15:$A$18,0)),"Yes","No")</f>
        <v>No</v>
      </c>
      <c r="O3322" s="31" t="str">
        <f aca="false">IF(H3322="","Open",IF(H3322&lt;=INDEX(Assumptions!$C$15:$C$18,MATCH(E3322,Assumptions!$A$15:$A$18,0)),"Yes","No"))</f>
        <v>Yes</v>
      </c>
    </row>
    <row r="3323" customFormat="false" ht="15" hidden="false" customHeight="false" outlineLevel="0" collapsed="false">
      <c r="A3323" s="31" t="s">
        <v>3473</v>
      </c>
      <c r="B3323" s="44" t="n">
        <v>46250</v>
      </c>
      <c r="C3323" s="31" t="s">
        <v>58</v>
      </c>
      <c r="D3323" s="31" t="s">
        <v>69</v>
      </c>
      <c r="E3323" s="31" t="s">
        <v>51</v>
      </c>
      <c r="F3323" s="31" t="s">
        <v>129</v>
      </c>
      <c r="G3323" s="31" t="n">
        <v>10</v>
      </c>
      <c r="H3323" s="41" t="n">
        <v>7.9</v>
      </c>
      <c r="I3323" s="31" t="s">
        <v>149</v>
      </c>
      <c r="J3323" s="31" t="n">
        <v>4</v>
      </c>
      <c r="K3323" s="31" t="s">
        <v>150</v>
      </c>
      <c r="L3323" s="45" t="n">
        <f aca="false">DATE(YEAR(B3323),MONTH(B3323),1)</f>
        <v>46235</v>
      </c>
      <c r="M3323" s="31" t="n">
        <f aca="false">WEEKDAY(B3323,2)</f>
        <v>7</v>
      </c>
      <c r="N3323" s="31" t="str">
        <f aca="false">IF(G3323&lt;=INDEX(Assumptions!$B$15:$B$18,MATCH(E3323,Assumptions!$A$15:$A$18,0)),"Yes","No")</f>
        <v>Yes</v>
      </c>
      <c r="O3323" s="31" t="str">
        <f aca="false">IF(H3323="","Open",IF(H3323&lt;=INDEX(Assumptions!$C$15:$C$18,MATCH(E3323,Assumptions!$A$15:$A$18,0)),"Yes","No"))</f>
        <v>Yes</v>
      </c>
    </row>
    <row r="3324" customFormat="false" ht="15" hidden="false" customHeight="false" outlineLevel="0" collapsed="false">
      <c r="A3324" s="31" t="s">
        <v>3474</v>
      </c>
      <c r="B3324" s="44" t="n">
        <v>46250</v>
      </c>
      <c r="C3324" s="31" t="s">
        <v>59</v>
      </c>
      <c r="D3324" s="31" t="s">
        <v>69</v>
      </c>
      <c r="E3324" s="31" t="s">
        <v>50</v>
      </c>
      <c r="F3324" s="31" t="s">
        <v>129</v>
      </c>
      <c r="G3324" s="31" t="n">
        <v>46</v>
      </c>
      <c r="H3324" s="41" t="n">
        <v>29.9</v>
      </c>
      <c r="I3324" s="31" t="s">
        <v>149</v>
      </c>
      <c r="J3324" s="31"/>
      <c r="K3324" s="31" t="s">
        <v>150</v>
      </c>
      <c r="L3324" s="45" t="n">
        <f aca="false">DATE(YEAR(B3324),MONTH(B3324),1)</f>
        <v>46235</v>
      </c>
      <c r="M3324" s="31" t="n">
        <f aca="false">WEEKDAY(B3324,2)</f>
        <v>7</v>
      </c>
      <c r="N3324" s="31" t="str">
        <f aca="false">IF(G3324&lt;=INDEX(Assumptions!$B$15:$B$18,MATCH(E3324,Assumptions!$A$15:$A$18,0)),"Yes","No")</f>
        <v>No</v>
      </c>
      <c r="O3324" s="31" t="str">
        <f aca="false">IF(H3324="","Open",IF(H3324&lt;=INDEX(Assumptions!$C$15:$C$18,MATCH(E3324,Assumptions!$A$15:$A$18,0)),"Yes","No"))</f>
        <v>No</v>
      </c>
    </row>
    <row r="3325" customFormat="false" ht="15" hidden="false" customHeight="false" outlineLevel="0" collapsed="false">
      <c r="A3325" s="31" t="s">
        <v>3475</v>
      </c>
      <c r="B3325" s="44" t="n">
        <v>46250</v>
      </c>
      <c r="C3325" s="31" t="s">
        <v>58</v>
      </c>
      <c r="D3325" s="31" t="s">
        <v>68</v>
      </c>
      <c r="E3325" s="31" t="s">
        <v>51</v>
      </c>
      <c r="F3325" s="31" t="s">
        <v>131</v>
      </c>
      <c r="G3325" s="31" t="n">
        <v>8</v>
      </c>
      <c r="H3325" s="41" t="n">
        <v>5.6</v>
      </c>
      <c r="I3325" s="31" t="s">
        <v>149</v>
      </c>
      <c r="J3325" s="31" t="n">
        <v>5</v>
      </c>
      <c r="K3325" s="31" t="s">
        <v>150</v>
      </c>
      <c r="L3325" s="45" t="n">
        <f aca="false">DATE(YEAR(B3325),MONTH(B3325),1)</f>
        <v>46235</v>
      </c>
      <c r="M3325" s="31" t="n">
        <f aca="false">WEEKDAY(B3325,2)</f>
        <v>7</v>
      </c>
      <c r="N3325" s="31" t="str">
        <f aca="false">IF(G3325&lt;=INDEX(Assumptions!$B$15:$B$18,MATCH(E3325,Assumptions!$A$15:$A$18,0)),"Yes","No")</f>
        <v>Yes</v>
      </c>
      <c r="O3325" s="31" t="str">
        <f aca="false">IF(H3325="","Open",IF(H3325&lt;=INDEX(Assumptions!$C$15:$C$18,MATCH(E3325,Assumptions!$A$15:$A$18,0)),"Yes","No"))</f>
        <v>Yes</v>
      </c>
    </row>
    <row r="3326" customFormat="false" ht="15" hidden="false" customHeight="false" outlineLevel="0" collapsed="false">
      <c r="A3326" s="31" t="s">
        <v>3476</v>
      </c>
      <c r="B3326" s="44" t="n">
        <v>46250</v>
      </c>
      <c r="C3326" s="31" t="s">
        <v>59</v>
      </c>
      <c r="D3326" s="31" t="s">
        <v>65</v>
      </c>
      <c r="E3326" s="31" t="s">
        <v>51</v>
      </c>
      <c r="F3326" s="31" t="s">
        <v>121</v>
      </c>
      <c r="G3326" s="31" t="n">
        <v>336</v>
      </c>
      <c r="H3326" s="41" t="n">
        <v>27.2</v>
      </c>
      <c r="I3326" s="31" t="s">
        <v>149</v>
      </c>
      <c r="J3326" s="31"/>
      <c r="K3326" s="31" t="s">
        <v>150</v>
      </c>
      <c r="L3326" s="45" t="n">
        <f aca="false">DATE(YEAR(B3326),MONTH(B3326),1)</f>
        <v>46235</v>
      </c>
      <c r="M3326" s="31" t="n">
        <f aca="false">WEEKDAY(B3326,2)</f>
        <v>7</v>
      </c>
      <c r="N3326" s="31" t="str">
        <f aca="false">IF(G3326&lt;=INDEX(Assumptions!$B$15:$B$18,MATCH(E3326,Assumptions!$A$15:$A$18,0)),"Yes","No")</f>
        <v>No</v>
      </c>
      <c r="O3326" s="31" t="str">
        <f aca="false">IF(H3326="","Open",IF(H3326&lt;=INDEX(Assumptions!$C$15:$C$18,MATCH(E3326,Assumptions!$A$15:$A$18,0)),"Yes","No"))</f>
        <v>No</v>
      </c>
    </row>
    <row r="3327" customFormat="false" ht="15" hidden="false" customHeight="false" outlineLevel="0" collapsed="false">
      <c r="A3327" s="31" t="s">
        <v>3477</v>
      </c>
      <c r="B3327" s="44" t="n">
        <v>46250</v>
      </c>
      <c r="C3327" s="31" t="s">
        <v>59</v>
      </c>
      <c r="D3327" s="31" t="s">
        <v>67</v>
      </c>
      <c r="E3327" s="31" t="s">
        <v>51</v>
      </c>
      <c r="F3327" s="31" t="s">
        <v>124</v>
      </c>
      <c r="G3327" s="31" t="n">
        <v>36</v>
      </c>
      <c r="H3327" s="41" t="n">
        <v>6.6</v>
      </c>
      <c r="I3327" s="31" t="s">
        <v>149</v>
      </c>
      <c r="J3327" s="31"/>
      <c r="K3327" s="31" t="s">
        <v>150</v>
      </c>
      <c r="L3327" s="45" t="n">
        <f aca="false">DATE(YEAR(B3327),MONTH(B3327),1)</f>
        <v>46235</v>
      </c>
      <c r="M3327" s="31" t="n">
        <f aca="false">WEEKDAY(B3327,2)</f>
        <v>7</v>
      </c>
      <c r="N3327" s="31" t="str">
        <f aca="false">IF(G3327&lt;=INDEX(Assumptions!$B$15:$B$18,MATCH(E3327,Assumptions!$A$15:$A$18,0)),"Yes","No")</f>
        <v>Yes</v>
      </c>
      <c r="O3327" s="31" t="str">
        <f aca="false">IF(H3327="","Open",IF(H3327&lt;=INDEX(Assumptions!$C$15:$C$18,MATCH(E3327,Assumptions!$A$15:$A$18,0)),"Yes","No"))</f>
        <v>Yes</v>
      </c>
    </row>
    <row r="3328" customFormat="false" ht="15" hidden="false" customHeight="false" outlineLevel="0" collapsed="false">
      <c r="A3328" s="31" t="s">
        <v>3478</v>
      </c>
      <c r="B3328" s="44" t="n">
        <v>46250</v>
      </c>
      <c r="C3328" s="31" t="s">
        <v>60</v>
      </c>
      <c r="D3328" s="31" t="s">
        <v>66</v>
      </c>
      <c r="E3328" s="31" t="s">
        <v>51</v>
      </c>
      <c r="F3328" s="31" t="s">
        <v>126</v>
      </c>
      <c r="G3328" s="31" t="n">
        <v>9</v>
      </c>
      <c r="H3328" s="41" t="n">
        <v>10.9</v>
      </c>
      <c r="I3328" s="31" t="s">
        <v>149</v>
      </c>
      <c r="J3328" s="31"/>
      <c r="K3328" s="31" t="s">
        <v>150</v>
      </c>
      <c r="L3328" s="45" t="n">
        <f aca="false">DATE(YEAR(B3328),MONTH(B3328),1)</f>
        <v>46235</v>
      </c>
      <c r="M3328" s="31" t="n">
        <f aca="false">WEEKDAY(B3328,2)</f>
        <v>7</v>
      </c>
      <c r="N3328" s="31" t="str">
        <f aca="false">IF(G3328&lt;=INDEX(Assumptions!$B$15:$B$18,MATCH(E3328,Assumptions!$A$15:$A$18,0)),"Yes","No")</f>
        <v>Yes</v>
      </c>
      <c r="O3328" s="31" t="str">
        <f aca="false">IF(H3328="","Open",IF(H3328&lt;=INDEX(Assumptions!$C$15:$C$18,MATCH(E3328,Assumptions!$A$15:$A$18,0)),"Yes","No"))</f>
        <v>Yes</v>
      </c>
    </row>
    <row r="3329" customFormat="false" ht="15" hidden="false" customHeight="false" outlineLevel="0" collapsed="false">
      <c r="A3329" s="31" t="s">
        <v>3479</v>
      </c>
      <c r="B3329" s="44" t="n">
        <v>46250</v>
      </c>
      <c r="C3329" s="31" t="s">
        <v>57</v>
      </c>
      <c r="D3329" s="31" t="s">
        <v>66</v>
      </c>
      <c r="E3329" s="31" t="s">
        <v>51</v>
      </c>
      <c r="F3329" s="31" t="s">
        <v>137</v>
      </c>
      <c r="G3329" s="31" t="n">
        <v>7</v>
      </c>
      <c r="H3329" s="41" t="n">
        <v>6.5</v>
      </c>
      <c r="I3329" s="31" t="s">
        <v>149</v>
      </c>
      <c r="J3329" s="31" t="n">
        <v>4</v>
      </c>
      <c r="K3329" s="31" t="s">
        <v>150</v>
      </c>
      <c r="L3329" s="45" t="n">
        <f aca="false">DATE(YEAR(B3329),MONTH(B3329),1)</f>
        <v>46235</v>
      </c>
      <c r="M3329" s="31" t="n">
        <f aca="false">WEEKDAY(B3329,2)</f>
        <v>7</v>
      </c>
      <c r="N3329" s="31" t="str">
        <f aca="false">IF(G3329&lt;=INDEX(Assumptions!$B$15:$B$18,MATCH(E3329,Assumptions!$A$15:$A$18,0)),"Yes","No")</f>
        <v>Yes</v>
      </c>
      <c r="O3329" s="31" t="str">
        <f aca="false">IF(H3329="","Open",IF(H3329&lt;=INDEX(Assumptions!$C$15:$C$18,MATCH(E3329,Assumptions!$A$15:$A$18,0)),"Yes","No"))</f>
        <v>Yes</v>
      </c>
    </row>
    <row r="3330" customFormat="false" ht="15" hidden="false" customHeight="false" outlineLevel="0" collapsed="false">
      <c r="A3330" s="31" t="s">
        <v>3480</v>
      </c>
      <c r="B3330" s="44" t="n">
        <v>46250</v>
      </c>
      <c r="C3330" s="31" t="s">
        <v>58</v>
      </c>
      <c r="D3330" s="31" t="s">
        <v>66</v>
      </c>
      <c r="E3330" s="31" t="s">
        <v>51</v>
      </c>
      <c r="F3330" s="31" t="s">
        <v>117</v>
      </c>
      <c r="G3330" s="31" t="n">
        <v>7</v>
      </c>
      <c r="H3330" s="41" t="n">
        <v>20.9</v>
      </c>
      <c r="I3330" s="31" t="s">
        <v>149</v>
      </c>
      <c r="J3330" s="31"/>
      <c r="K3330" s="31" t="s">
        <v>150</v>
      </c>
      <c r="L3330" s="45" t="n">
        <f aca="false">DATE(YEAR(B3330),MONTH(B3330),1)</f>
        <v>46235</v>
      </c>
      <c r="M3330" s="31" t="n">
        <f aca="false">WEEKDAY(B3330,2)</f>
        <v>7</v>
      </c>
      <c r="N3330" s="31" t="str">
        <f aca="false">IF(G3330&lt;=INDEX(Assumptions!$B$15:$B$18,MATCH(E3330,Assumptions!$A$15:$A$18,0)),"Yes","No")</f>
        <v>Yes</v>
      </c>
      <c r="O3330" s="31" t="str">
        <f aca="false">IF(H3330="","Open",IF(H3330&lt;=INDEX(Assumptions!$C$15:$C$18,MATCH(E3330,Assumptions!$A$15:$A$18,0)),"Yes","No"))</f>
        <v>Yes</v>
      </c>
    </row>
    <row r="3331" customFormat="false" ht="15" hidden="false" customHeight="false" outlineLevel="0" collapsed="false">
      <c r="A3331" s="31" t="s">
        <v>3481</v>
      </c>
      <c r="B3331" s="44" t="n">
        <v>46250</v>
      </c>
      <c r="C3331" s="31" t="s">
        <v>59</v>
      </c>
      <c r="D3331" s="31" t="s">
        <v>65</v>
      </c>
      <c r="E3331" s="31" t="s">
        <v>50</v>
      </c>
      <c r="F3331" s="31" t="s">
        <v>119</v>
      </c>
      <c r="G3331" s="31" t="n">
        <v>39</v>
      </c>
      <c r="H3331" s="41" t="n">
        <v>66.1</v>
      </c>
      <c r="I3331" s="31" t="s">
        <v>64</v>
      </c>
      <c r="J3331" s="31" t="n">
        <v>3</v>
      </c>
      <c r="K3331" s="31" t="s">
        <v>150</v>
      </c>
      <c r="L3331" s="45" t="n">
        <f aca="false">DATE(YEAR(B3331),MONTH(B3331),1)</f>
        <v>46235</v>
      </c>
      <c r="M3331" s="31" t="n">
        <f aca="false">WEEKDAY(B3331,2)</f>
        <v>7</v>
      </c>
      <c r="N3331" s="31" t="str">
        <f aca="false">IF(G3331&lt;=INDEX(Assumptions!$B$15:$B$18,MATCH(E3331,Assumptions!$A$15:$A$18,0)),"Yes","No")</f>
        <v>No</v>
      </c>
      <c r="O3331" s="31" t="str">
        <f aca="false">IF(H3331="","Open",IF(H3331&lt;=INDEX(Assumptions!$C$15:$C$18,MATCH(E3331,Assumptions!$A$15:$A$18,0)),"Yes","No"))</f>
        <v>No</v>
      </c>
    </row>
    <row r="3332" customFormat="false" ht="15" hidden="false" customHeight="false" outlineLevel="0" collapsed="false">
      <c r="A3332" s="31" t="s">
        <v>3482</v>
      </c>
      <c r="B3332" s="44" t="n">
        <v>46250</v>
      </c>
      <c r="C3332" s="31" t="s">
        <v>59</v>
      </c>
      <c r="D3332" s="31" t="s">
        <v>67</v>
      </c>
      <c r="E3332" s="31" t="s">
        <v>50</v>
      </c>
      <c r="F3332" s="31" t="s">
        <v>117</v>
      </c>
      <c r="G3332" s="31" t="n">
        <v>89</v>
      </c>
      <c r="H3332" s="41" t="n">
        <v>28.4</v>
      </c>
      <c r="I3332" s="31" t="s">
        <v>149</v>
      </c>
      <c r="J3332" s="31"/>
      <c r="K3332" s="31" t="s">
        <v>150</v>
      </c>
      <c r="L3332" s="45" t="n">
        <f aca="false">DATE(YEAR(B3332),MONTH(B3332),1)</f>
        <v>46235</v>
      </c>
      <c r="M3332" s="31" t="n">
        <f aca="false">WEEKDAY(B3332,2)</f>
        <v>7</v>
      </c>
      <c r="N3332" s="31" t="str">
        <f aca="false">IF(G3332&lt;=INDEX(Assumptions!$B$15:$B$18,MATCH(E3332,Assumptions!$A$15:$A$18,0)),"Yes","No")</f>
        <v>No</v>
      </c>
      <c r="O3332" s="31" t="str">
        <f aca="false">IF(H3332="","Open",IF(H3332&lt;=INDEX(Assumptions!$C$15:$C$18,MATCH(E3332,Assumptions!$A$15:$A$18,0)),"Yes","No"))</f>
        <v>No</v>
      </c>
    </row>
    <row r="3333" customFormat="false" ht="15" hidden="false" customHeight="false" outlineLevel="0" collapsed="false">
      <c r="A3333" s="31" t="s">
        <v>3483</v>
      </c>
      <c r="B3333" s="44" t="n">
        <v>46250</v>
      </c>
      <c r="C3333" s="31" t="s">
        <v>58</v>
      </c>
      <c r="D3333" s="31" t="s">
        <v>65</v>
      </c>
      <c r="E3333" s="31" t="s">
        <v>51</v>
      </c>
      <c r="F3333" s="31" t="s">
        <v>124</v>
      </c>
      <c r="G3333" s="31" t="n">
        <v>17</v>
      </c>
      <c r="H3333" s="41" t="n">
        <v>11.2</v>
      </c>
      <c r="I3333" s="31" t="s">
        <v>149</v>
      </c>
      <c r="J3333" s="31"/>
      <c r="K3333" s="31" t="s">
        <v>153</v>
      </c>
      <c r="L3333" s="45" t="n">
        <f aca="false">DATE(YEAR(B3333),MONTH(B3333),1)</f>
        <v>46235</v>
      </c>
      <c r="M3333" s="31" t="n">
        <f aca="false">WEEKDAY(B3333,2)</f>
        <v>7</v>
      </c>
      <c r="N3333" s="31" t="str">
        <f aca="false">IF(G3333&lt;=INDEX(Assumptions!$B$15:$B$18,MATCH(E3333,Assumptions!$A$15:$A$18,0)),"Yes","No")</f>
        <v>Yes</v>
      </c>
      <c r="O3333" s="31" t="str">
        <f aca="false">IF(H3333="","Open",IF(H3333&lt;=INDEX(Assumptions!$C$15:$C$18,MATCH(E3333,Assumptions!$A$15:$A$18,0)),"Yes","No"))</f>
        <v>Yes</v>
      </c>
    </row>
    <row r="3334" customFormat="false" ht="15" hidden="false" customHeight="false" outlineLevel="0" collapsed="false">
      <c r="A3334" s="31" t="s">
        <v>3484</v>
      </c>
      <c r="B3334" s="44" t="n">
        <v>46250</v>
      </c>
      <c r="C3334" s="31" t="s">
        <v>57</v>
      </c>
      <c r="D3334" s="31" t="s">
        <v>65</v>
      </c>
      <c r="E3334" s="31" t="s">
        <v>50</v>
      </c>
      <c r="F3334" s="31" t="s">
        <v>128</v>
      </c>
      <c r="G3334" s="31" t="n">
        <v>2</v>
      </c>
      <c r="H3334" s="41" t="n">
        <v>11.6</v>
      </c>
      <c r="I3334" s="31" t="s">
        <v>149</v>
      </c>
      <c r="J3334" s="31" t="n">
        <v>2</v>
      </c>
      <c r="K3334" s="31" t="s">
        <v>150</v>
      </c>
      <c r="L3334" s="45" t="n">
        <f aca="false">DATE(YEAR(B3334),MONTH(B3334),1)</f>
        <v>46235</v>
      </c>
      <c r="M3334" s="31" t="n">
        <f aca="false">WEEKDAY(B3334,2)</f>
        <v>7</v>
      </c>
      <c r="N3334" s="31" t="str">
        <f aca="false">IF(G3334&lt;=INDEX(Assumptions!$B$15:$B$18,MATCH(E3334,Assumptions!$A$15:$A$18,0)),"Yes","No")</f>
        <v>Yes</v>
      </c>
      <c r="O3334" s="31" t="str">
        <f aca="false">IF(H3334="","Open",IF(H3334&lt;=INDEX(Assumptions!$C$15:$C$18,MATCH(E3334,Assumptions!$A$15:$A$18,0)),"Yes","No"))</f>
        <v>No</v>
      </c>
    </row>
    <row r="3335" customFormat="false" ht="15" hidden="false" customHeight="false" outlineLevel="0" collapsed="false">
      <c r="A3335" s="31" t="s">
        <v>3485</v>
      </c>
      <c r="B3335" s="44" t="n">
        <v>46250</v>
      </c>
      <c r="C3335" s="31" t="s">
        <v>59</v>
      </c>
      <c r="D3335" s="31" t="s">
        <v>66</v>
      </c>
      <c r="E3335" s="31" t="s">
        <v>52</v>
      </c>
      <c r="F3335" s="31" t="s">
        <v>119</v>
      </c>
      <c r="G3335" s="31" t="n">
        <v>71</v>
      </c>
      <c r="H3335" s="41" t="n">
        <v>7.5</v>
      </c>
      <c r="I3335" s="31" t="s">
        <v>149</v>
      </c>
      <c r="J3335" s="31"/>
      <c r="K3335" s="31" t="s">
        <v>150</v>
      </c>
      <c r="L3335" s="45" t="n">
        <f aca="false">DATE(YEAR(B3335),MONTH(B3335),1)</f>
        <v>46235</v>
      </c>
      <c r="M3335" s="31" t="n">
        <f aca="false">WEEKDAY(B3335,2)</f>
        <v>7</v>
      </c>
      <c r="N3335" s="31" t="str">
        <f aca="false">IF(G3335&lt;=INDEX(Assumptions!$B$15:$B$18,MATCH(E3335,Assumptions!$A$15:$A$18,0)),"Yes","No")</f>
        <v>Yes</v>
      </c>
      <c r="O3335" s="31" t="str">
        <f aca="false">IF(H3335="","Open",IF(H3335&lt;=INDEX(Assumptions!$C$15:$C$18,MATCH(E3335,Assumptions!$A$15:$A$18,0)),"Yes","No"))</f>
        <v>Yes</v>
      </c>
    </row>
    <row r="3336" customFormat="false" ht="15" hidden="false" customHeight="false" outlineLevel="0" collapsed="false">
      <c r="A3336" s="31" t="s">
        <v>3486</v>
      </c>
      <c r="B3336" s="44" t="n">
        <v>46250</v>
      </c>
      <c r="C3336" s="31" t="s">
        <v>57</v>
      </c>
      <c r="D3336" s="31" t="s">
        <v>66</v>
      </c>
      <c r="E3336" s="31" t="s">
        <v>51</v>
      </c>
      <c r="F3336" s="31" t="s">
        <v>120</v>
      </c>
      <c r="G3336" s="31" t="n">
        <v>4</v>
      </c>
      <c r="H3336" s="41" t="n">
        <v>8.8</v>
      </c>
      <c r="I3336" s="31" t="s">
        <v>149</v>
      </c>
      <c r="J3336" s="31"/>
      <c r="K3336" s="31" t="s">
        <v>150</v>
      </c>
      <c r="L3336" s="45" t="n">
        <f aca="false">DATE(YEAR(B3336),MONTH(B3336),1)</f>
        <v>46235</v>
      </c>
      <c r="M3336" s="31" t="n">
        <f aca="false">WEEKDAY(B3336,2)</f>
        <v>7</v>
      </c>
      <c r="N3336" s="31" t="str">
        <f aca="false">IF(G3336&lt;=INDEX(Assumptions!$B$15:$B$18,MATCH(E3336,Assumptions!$A$15:$A$18,0)),"Yes","No")</f>
        <v>Yes</v>
      </c>
      <c r="O3336" s="31" t="str">
        <f aca="false">IF(H3336="","Open",IF(H3336&lt;=INDEX(Assumptions!$C$15:$C$18,MATCH(E3336,Assumptions!$A$15:$A$18,0)),"Yes","No"))</f>
        <v>Yes</v>
      </c>
    </row>
    <row r="3337" customFormat="false" ht="15" hidden="false" customHeight="false" outlineLevel="0" collapsed="false">
      <c r="A3337" s="31" t="s">
        <v>3487</v>
      </c>
      <c r="B3337" s="44" t="n">
        <v>46250</v>
      </c>
      <c r="C3337" s="31" t="s">
        <v>58</v>
      </c>
      <c r="D3337" s="31" t="s">
        <v>66</v>
      </c>
      <c r="E3337" s="31" t="s">
        <v>50</v>
      </c>
      <c r="F3337" s="31" t="s">
        <v>117</v>
      </c>
      <c r="G3337" s="31" t="n">
        <v>5</v>
      </c>
      <c r="H3337" s="41" t="n">
        <v>1.8</v>
      </c>
      <c r="I3337" s="31" t="s">
        <v>149</v>
      </c>
      <c r="J3337" s="31" t="n">
        <v>5</v>
      </c>
      <c r="K3337" s="31" t="s">
        <v>150</v>
      </c>
      <c r="L3337" s="45" t="n">
        <f aca="false">DATE(YEAR(B3337),MONTH(B3337),1)</f>
        <v>46235</v>
      </c>
      <c r="M3337" s="31" t="n">
        <f aca="false">WEEKDAY(B3337,2)</f>
        <v>7</v>
      </c>
      <c r="N3337" s="31" t="str">
        <f aca="false">IF(G3337&lt;=INDEX(Assumptions!$B$15:$B$18,MATCH(E3337,Assumptions!$A$15:$A$18,0)),"Yes","No")</f>
        <v>Yes</v>
      </c>
      <c r="O3337" s="31" t="str">
        <f aca="false">IF(H3337="","Open",IF(H3337&lt;=INDEX(Assumptions!$C$15:$C$18,MATCH(E3337,Assumptions!$A$15:$A$18,0)),"Yes","No"))</f>
        <v>Yes</v>
      </c>
    </row>
    <row r="3338" customFormat="false" ht="15" hidden="false" customHeight="false" outlineLevel="0" collapsed="false">
      <c r="A3338" s="31" t="s">
        <v>3488</v>
      </c>
      <c r="B3338" s="44" t="n">
        <v>46250</v>
      </c>
      <c r="C3338" s="31" t="s">
        <v>60</v>
      </c>
      <c r="D3338" s="31" t="s">
        <v>67</v>
      </c>
      <c r="E3338" s="31" t="s">
        <v>52</v>
      </c>
      <c r="F3338" s="31" t="s">
        <v>131</v>
      </c>
      <c r="G3338" s="31" t="n">
        <v>3</v>
      </c>
      <c r="H3338" s="41" t="n">
        <v>23.6</v>
      </c>
      <c r="I3338" s="31" t="s">
        <v>64</v>
      </c>
      <c r="J3338" s="31" t="n">
        <v>4</v>
      </c>
      <c r="K3338" s="31" t="s">
        <v>150</v>
      </c>
      <c r="L3338" s="45" t="n">
        <f aca="false">DATE(YEAR(B3338),MONTH(B3338),1)</f>
        <v>46235</v>
      </c>
      <c r="M3338" s="31" t="n">
        <f aca="false">WEEKDAY(B3338,2)</f>
        <v>7</v>
      </c>
      <c r="N3338" s="31" t="str">
        <f aca="false">IF(G3338&lt;=INDEX(Assumptions!$B$15:$B$18,MATCH(E3338,Assumptions!$A$15:$A$18,0)),"Yes","No")</f>
        <v>Yes</v>
      </c>
      <c r="O3338" s="31" t="str">
        <f aca="false">IF(H3338="","Open",IF(H3338&lt;=INDEX(Assumptions!$C$15:$C$18,MATCH(E3338,Assumptions!$A$15:$A$18,0)),"Yes","No"))</f>
        <v>Yes</v>
      </c>
    </row>
    <row r="3339" customFormat="false" ht="15" hidden="false" customHeight="false" outlineLevel="0" collapsed="false">
      <c r="A3339" s="31" t="s">
        <v>3489</v>
      </c>
      <c r="B3339" s="44" t="n">
        <v>46250</v>
      </c>
      <c r="C3339" s="31" t="s">
        <v>57</v>
      </c>
      <c r="D3339" s="31" t="s">
        <v>65</v>
      </c>
      <c r="E3339" s="31" t="s">
        <v>52</v>
      </c>
      <c r="F3339" s="31" t="s">
        <v>120</v>
      </c>
      <c r="G3339" s="31" t="n">
        <v>6</v>
      </c>
      <c r="H3339" s="41" t="n">
        <v>11.2</v>
      </c>
      <c r="I3339" s="31" t="s">
        <v>149</v>
      </c>
      <c r="J3339" s="31"/>
      <c r="K3339" s="31" t="s">
        <v>150</v>
      </c>
      <c r="L3339" s="45" t="n">
        <f aca="false">DATE(YEAR(B3339),MONTH(B3339),1)</f>
        <v>46235</v>
      </c>
      <c r="M3339" s="31" t="n">
        <f aca="false">WEEKDAY(B3339,2)</f>
        <v>7</v>
      </c>
      <c r="N3339" s="31" t="str">
        <f aca="false">IF(G3339&lt;=INDEX(Assumptions!$B$15:$B$18,MATCH(E3339,Assumptions!$A$15:$A$18,0)),"Yes","No")</f>
        <v>Yes</v>
      </c>
      <c r="O3339" s="31" t="str">
        <f aca="false">IF(H3339="","Open",IF(H3339&lt;=INDEX(Assumptions!$C$15:$C$18,MATCH(E3339,Assumptions!$A$15:$A$18,0)),"Yes","No"))</f>
        <v>Yes</v>
      </c>
    </row>
    <row r="3340" customFormat="false" ht="15" hidden="false" customHeight="false" outlineLevel="0" collapsed="false">
      <c r="A3340" s="31" t="s">
        <v>3490</v>
      </c>
      <c r="B3340" s="44" t="n">
        <v>46250</v>
      </c>
      <c r="C3340" s="31" t="s">
        <v>58</v>
      </c>
      <c r="D3340" s="31" t="s">
        <v>65</v>
      </c>
      <c r="E3340" s="31" t="s">
        <v>51</v>
      </c>
      <c r="F3340" s="31" t="s">
        <v>137</v>
      </c>
      <c r="G3340" s="31" t="n">
        <v>10</v>
      </c>
      <c r="H3340" s="41" t="n">
        <v>8.5</v>
      </c>
      <c r="I3340" s="31" t="s">
        <v>149</v>
      </c>
      <c r="J3340" s="31"/>
      <c r="K3340" s="31" t="s">
        <v>150</v>
      </c>
      <c r="L3340" s="45" t="n">
        <f aca="false">DATE(YEAR(B3340),MONTH(B3340),1)</f>
        <v>46235</v>
      </c>
      <c r="M3340" s="31" t="n">
        <f aca="false">WEEKDAY(B3340,2)</f>
        <v>7</v>
      </c>
      <c r="N3340" s="31" t="str">
        <f aca="false">IF(G3340&lt;=INDEX(Assumptions!$B$15:$B$18,MATCH(E3340,Assumptions!$A$15:$A$18,0)),"Yes","No")</f>
        <v>Yes</v>
      </c>
      <c r="O3340" s="31" t="str">
        <f aca="false">IF(H3340="","Open",IF(H3340&lt;=INDEX(Assumptions!$C$15:$C$18,MATCH(E3340,Assumptions!$A$15:$A$18,0)),"Yes","No"))</f>
        <v>Yes</v>
      </c>
    </row>
    <row r="3341" customFormat="false" ht="15" hidden="false" customHeight="false" outlineLevel="0" collapsed="false">
      <c r="A3341" s="31" t="s">
        <v>3491</v>
      </c>
      <c r="B3341" s="44" t="n">
        <v>46250</v>
      </c>
      <c r="C3341" s="31" t="s">
        <v>60</v>
      </c>
      <c r="D3341" s="31" t="s">
        <v>68</v>
      </c>
      <c r="E3341" s="31" t="s">
        <v>51</v>
      </c>
      <c r="F3341" s="31" t="s">
        <v>121</v>
      </c>
      <c r="G3341" s="31" t="n">
        <v>3</v>
      </c>
      <c r="H3341" s="41" t="n">
        <v>6.1</v>
      </c>
      <c r="I3341" s="31" t="s">
        <v>149</v>
      </c>
      <c r="J3341" s="31" t="n">
        <v>5</v>
      </c>
      <c r="K3341" s="31" t="s">
        <v>150</v>
      </c>
      <c r="L3341" s="45" t="n">
        <f aca="false">DATE(YEAR(B3341),MONTH(B3341),1)</f>
        <v>46235</v>
      </c>
      <c r="M3341" s="31" t="n">
        <f aca="false">WEEKDAY(B3341,2)</f>
        <v>7</v>
      </c>
      <c r="N3341" s="31" t="str">
        <f aca="false">IF(G3341&lt;=INDEX(Assumptions!$B$15:$B$18,MATCH(E3341,Assumptions!$A$15:$A$18,0)),"Yes","No")</f>
        <v>Yes</v>
      </c>
      <c r="O3341" s="31" t="str">
        <f aca="false">IF(H3341="","Open",IF(H3341&lt;=INDEX(Assumptions!$C$15:$C$18,MATCH(E3341,Assumptions!$A$15:$A$18,0)),"Yes","No"))</f>
        <v>Yes</v>
      </c>
    </row>
    <row r="3342" customFormat="false" ht="15" hidden="false" customHeight="false" outlineLevel="0" collapsed="false">
      <c r="A3342" s="31" t="s">
        <v>3492</v>
      </c>
      <c r="B3342" s="44" t="n">
        <v>46250</v>
      </c>
      <c r="C3342" s="31" t="s">
        <v>59</v>
      </c>
      <c r="D3342" s="31" t="s">
        <v>65</v>
      </c>
      <c r="E3342" s="31" t="s">
        <v>50</v>
      </c>
      <c r="F3342" s="31" t="s">
        <v>135</v>
      </c>
      <c r="G3342" s="31" t="n">
        <v>90</v>
      </c>
      <c r="H3342" s="41" t="n">
        <v>2.9</v>
      </c>
      <c r="I3342" s="31" t="s">
        <v>149</v>
      </c>
      <c r="J3342" s="31"/>
      <c r="K3342" s="31" t="s">
        <v>150</v>
      </c>
      <c r="L3342" s="45" t="n">
        <f aca="false">DATE(YEAR(B3342),MONTH(B3342),1)</f>
        <v>46235</v>
      </c>
      <c r="M3342" s="31" t="n">
        <f aca="false">WEEKDAY(B3342,2)</f>
        <v>7</v>
      </c>
      <c r="N3342" s="31" t="str">
        <f aca="false">IF(G3342&lt;=INDEX(Assumptions!$B$15:$B$18,MATCH(E3342,Assumptions!$A$15:$A$18,0)),"Yes","No")</f>
        <v>No</v>
      </c>
      <c r="O3342" s="31" t="str">
        <f aca="false">IF(H3342="","Open",IF(H3342&lt;=INDEX(Assumptions!$C$15:$C$18,MATCH(E3342,Assumptions!$A$15:$A$18,0)),"Yes","No"))</f>
        <v>Yes</v>
      </c>
    </row>
    <row r="3343" customFormat="false" ht="15" hidden="false" customHeight="false" outlineLevel="0" collapsed="false">
      <c r="A3343" s="31" t="s">
        <v>3493</v>
      </c>
      <c r="B3343" s="44" t="n">
        <v>46250</v>
      </c>
      <c r="C3343" s="31" t="s">
        <v>59</v>
      </c>
      <c r="D3343" s="31" t="s">
        <v>65</v>
      </c>
      <c r="E3343" s="31" t="s">
        <v>51</v>
      </c>
      <c r="F3343" s="31" t="s">
        <v>119</v>
      </c>
      <c r="G3343" s="31" t="n">
        <v>111</v>
      </c>
      <c r="H3343" s="41" t="n">
        <v>6.4</v>
      </c>
      <c r="I3343" s="31" t="s">
        <v>149</v>
      </c>
      <c r="J3343" s="31" t="n">
        <v>5</v>
      </c>
      <c r="K3343" s="31" t="s">
        <v>150</v>
      </c>
      <c r="L3343" s="45" t="n">
        <f aca="false">DATE(YEAR(B3343),MONTH(B3343),1)</f>
        <v>46235</v>
      </c>
      <c r="M3343" s="31" t="n">
        <f aca="false">WEEKDAY(B3343,2)</f>
        <v>7</v>
      </c>
      <c r="N3343" s="31" t="str">
        <f aca="false">IF(G3343&lt;=INDEX(Assumptions!$B$15:$B$18,MATCH(E3343,Assumptions!$A$15:$A$18,0)),"Yes","No")</f>
        <v>No</v>
      </c>
      <c r="O3343" s="31" t="str">
        <f aca="false">IF(H3343="","Open",IF(H3343&lt;=INDEX(Assumptions!$C$15:$C$18,MATCH(E3343,Assumptions!$A$15:$A$18,0)),"Yes","No"))</f>
        <v>Yes</v>
      </c>
    </row>
    <row r="3344" customFormat="false" ht="15" hidden="false" customHeight="false" outlineLevel="0" collapsed="false">
      <c r="A3344" s="31" t="s">
        <v>3494</v>
      </c>
      <c r="B3344" s="44" t="n">
        <v>46250</v>
      </c>
      <c r="C3344" s="31" t="s">
        <v>58</v>
      </c>
      <c r="D3344" s="31" t="s">
        <v>65</v>
      </c>
      <c r="E3344" s="31" t="s">
        <v>49</v>
      </c>
      <c r="F3344" s="31" t="s">
        <v>117</v>
      </c>
      <c r="G3344" s="31" t="n">
        <v>10</v>
      </c>
      <c r="H3344" s="41" t="n">
        <v>0.6</v>
      </c>
      <c r="I3344" s="31" t="s">
        <v>149</v>
      </c>
      <c r="J3344" s="31" t="n">
        <v>5</v>
      </c>
      <c r="K3344" s="31" t="s">
        <v>150</v>
      </c>
      <c r="L3344" s="45" t="n">
        <f aca="false">DATE(YEAR(B3344),MONTH(B3344),1)</f>
        <v>46235</v>
      </c>
      <c r="M3344" s="31" t="n">
        <f aca="false">WEEKDAY(B3344,2)</f>
        <v>7</v>
      </c>
      <c r="N3344" s="31" t="str">
        <f aca="false">IF(G3344&lt;=INDEX(Assumptions!$B$15:$B$18,MATCH(E3344,Assumptions!$A$15:$A$18,0)),"Yes","No")</f>
        <v>Yes</v>
      </c>
      <c r="O3344" s="31" t="str">
        <f aca="false">IF(H3344="","Open",IF(H3344&lt;=INDEX(Assumptions!$C$15:$C$18,MATCH(E3344,Assumptions!$A$15:$A$18,0)),"Yes","No"))</f>
        <v>Yes</v>
      </c>
    </row>
    <row r="3345" customFormat="false" ht="15" hidden="false" customHeight="false" outlineLevel="0" collapsed="false">
      <c r="A3345" s="31" t="s">
        <v>3495</v>
      </c>
      <c r="B3345" s="44" t="n">
        <v>46251</v>
      </c>
      <c r="C3345" s="31" t="s">
        <v>60</v>
      </c>
      <c r="D3345" s="31" t="s">
        <v>65</v>
      </c>
      <c r="E3345" s="31" t="s">
        <v>51</v>
      </c>
      <c r="F3345" s="31" t="s">
        <v>128</v>
      </c>
      <c r="G3345" s="31" t="n">
        <v>2</v>
      </c>
      <c r="H3345" s="41" t="n">
        <v>39.4</v>
      </c>
      <c r="I3345" s="31" t="s">
        <v>149</v>
      </c>
      <c r="J3345" s="31"/>
      <c r="K3345" s="31" t="s">
        <v>150</v>
      </c>
      <c r="L3345" s="45" t="n">
        <f aca="false">DATE(YEAR(B3345),MONTH(B3345),1)</f>
        <v>46235</v>
      </c>
      <c r="M3345" s="31" t="n">
        <f aca="false">WEEKDAY(B3345,2)</f>
        <v>1</v>
      </c>
      <c r="N3345" s="31" t="str">
        <f aca="false">IF(G3345&lt;=INDEX(Assumptions!$B$15:$B$18,MATCH(E3345,Assumptions!$A$15:$A$18,0)),"Yes","No")</f>
        <v>Yes</v>
      </c>
      <c r="O3345" s="31" t="str">
        <f aca="false">IF(H3345="","Open",IF(H3345&lt;=INDEX(Assumptions!$C$15:$C$18,MATCH(E3345,Assumptions!$A$15:$A$18,0)),"Yes","No"))</f>
        <v>No</v>
      </c>
    </row>
    <row r="3346" customFormat="false" ht="15" hidden="false" customHeight="false" outlineLevel="0" collapsed="false">
      <c r="A3346" s="31" t="s">
        <v>3496</v>
      </c>
      <c r="B3346" s="44" t="n">
        <v>46251</v>
      </c>
      <c r="C3346" s="31" t="s">
        <v>58</v>
      </c>
      <c r="D3346" s="31" t="s">
        <v>67</v>
      </c>
      <c r="E3346" s="31" t="s">
        <v>51</v>
      </c>
      <c r="F3346" s="31" t="s">
        <v>135</v>
      </c>
      <c r="G3346" s="31" t="n">
        <v>6</v>
      </c>
      <c r="H3346" s="41" t="n">
        <v>15</v>
      </c>
      <c r="I3346" s="31" t="s">
        <v>149</v>
      </c>
      <c r="J3346" s="31"/>
      <c r="K3346" s="31" t="s">
        <v>150</v>
      </c>
      <c r="L3346" s="45" t="n">
        <f aca="false">DATE(YEAR(B3346),MONTH(B3346),1)</f>
        <v>46235</v>
      </c>
      <c r="M3346" s="31" t="n">
        <f aca="false">WEEKDAY(B3346,2)</f>
        <v>1</v>
      </c>
      <c r="N3346" s="31" t="str">
        <f aca="false">IF(G3346&lt;=INDEX(Assumptions!$B$15:$B$18,MATCH(E3346,Assumptions!$A$15:$A$18,0)),"Yes","No")</f>
        <v>Yes</v>
      </c>
      <c r="O3346" s="31" t="str">
        <f aca="false">IF(H3346="","Open",IF(H3346&lt;=INDEX(Assumptions!$C$15:$C$18,MATCH(E3346,Assumptions!$A$15:$A$18,0)),"Yes","No"))</f>
        <v>Yes</v>
      </c>
    </row>
    <row r="3347" customFormat="false" ht="15" hidden="false" customHeight="false" outlineLevel="0" collapsed="false">
      <c r="A3347" s="31" t="s">
        <v>3497</v>
      </c>
      <c r="B3347" s="44" t="n">
        <v>46251</v>
      </c>
      <c r="C3347" s="31" t="s">
        <v>57</v>
      </c>
      <c r="D3347" s="31" t="s">
        <v>69</v>
      </c>
      <c r="E3347" s="31" t="s">
        <v>51</v>
      </c>
      <c r="F3347" s="31" t="s">
        <v>131</v>
      </c>
      <c r="G3347" s="31" t="n">
        <v>4</v>
      </c>
      <c r="H3347" s="41" t="n">
        <v>49.4</v>
      </c>
      <c r="I3347" s="31" t="s">
        <v>149</v>
      </c>
      <c r="J3347" s="31" t="n">
        <v>3</v>
      </c>
      <c r="K3347" s="31" t="s">
        <v>150</v>
      </c>
      <c r="L3347" s="45" t="n">
        <f aca="false">DATE(YEAR(B3347),MONTH(B3347),1)</f>
        <v>46235</v>
      </c>
      <c r="M3347" s="31" t="n">
        <f aca="false">WEEKDAY(B3347,2)</f>
        <v>1</v>
      </c>
      <c r="N3347" s="31" t="str">
        <f aca="false">IF(G3347&lt;=INDEX(Assumptions!$B$15:$B$18,MATCH(E3347,Assumptions!$A$15:$A$18,0)),"Yes","No")</f>
        <v>Yes</v>
      </c>
      <c r="O3347" s="31" t="str">
        <f aca="false">IF(H3347="","Open",IF(H3347&lt;=INDEX(Assumptions!$C$15:$C$18,MATCH(E3347,Assumptions!$A$15:$A$18,0)),"Yes","No"))</f>
        <v>No</v>
      </c>
    </row>
    <row r="3348" customFormat="false" ht="15" hidden="false" customHeight="false" outlineLevel="0" collapsed="false">
      <c r="A3348" s="31" t="s">
        <v>3498</v>
      </c>
      <c r="B3348" s="44" t="n">
        <v>46251</v>
      </c>
      <c r="C3348" s="31" t="s">
        <v>58</v>
      </c>
      <c r="D3348" s="31" t="s">
        <v>65</v>
      </c>
      <c r="E3348" s="31" t="s">
        <v>51</v>
      </c>
      <c r="F3348" s="31" t="s">
        <v>124</v>
      </c>
      <c r="G3348" s="31" t="n">
        <v>37</v>
      </c>
      <c r="H3348" s="41" t="n">
        <v>7.2</v>
      </c>
      <c r="I3348" s="31" t="s">
        <v>149</v>
      </c>
      <c r="J3348" s="31"/>
      <c r="K3348" s="31" t="s">
        <v>150</v>
      </c>
      <c r="L3348" s="45" t="n">
        <f aca="false">DATE(YEAR(B3348),MONTH(B3348),1)</f>
        <v>46235</v>
      </c>
      <c r="M3348" s="31" t="n">
        <f aca="false">WEEKDAY(B3348,2)</f>
        <v>1</v>
      </c>
      <c r="N3348" s="31" t="str">
        <f aca="false">IF(G3348&lt;=INDEX(Assumptions!$B$15:$B$18,MATCH(E3348,Assumptions!$A$15:$A$18,0)),"Yes","No")</f>
        <v>Yes</v>
      </c>
      <c r="O3348" s="31" t="str">
        <f aca="false">IF(H3348="","Open",IF(H3348&lt;=INDEX(Assumptions!$C$15:$C$18,MATCH(E3348,Assumptions!$A$15:$A$18,0)),"Yes","No"))</f>
        <v>Yes</v>
      </c>
    </row>
    <row r="3349" customFormat="false" ht="15" hidden="false" customHeight="false" outlineLevel="0" collapsed="false">
      <c r="A3349" s="31" t="s">
        <v>3499</v>
      </c>
      <c r="B3349" s="44" t="n">
        <v>46251</v>
      </c>
      <c r="C3349" s="31" t="s">
        <v>59</v>
      </c>
      <c r="D3349" s="31" t="s">
        <v>67</v>
      </c>
      <c r="E3349" s="31" t="s">
        <v>51</v>
      </c>
      <c r="F3349" s="31" t="s">
        <v>120</v>
      </c>
      <c r="G3349" s="31" t="n">
        <v>40</v>
      </c>
      <c r="H3349" s="41" t="n">
        <v>12.1</v>
      </c>
      <c r="I3349" s="31" t="s">
        <v>149</v>
      </c>
      <c r="J3349" s="31"/>
      <c r="K3349" s="31" t="s">
        <v>150</v>
      </c>
      <c r="L3349" s="45" t="n">
        <f aca="false">DATE(YEAR(B3349),MONTH(B3349),1)</f>
        <v>46235</v>
      </c>
      <c r="M3349" s="31" t="n">
        <f aca="false">WEEKDAY(B3349,2)</f>
        <v>1</v>
      </c>
      <c r="N3349" s="31" t="str">
        <f aca="false">IF(G3349&lt;=INDEX(Assumptions!$B$15:$B$18,MATCH(E3349,Assumptions!$A$15:$A$18,0)),"Yes","No")</f>
        <v>Yes</v>
      </c>
      <c r="O3349" s="31" t="str">
        <f aca="false">IF(H3349="","Open",IF(H3349&lt;=INDEX(Assumptions!$C$15:$C$18,MATCH(E3349,Assumptions!$A$15:$A$18,0)),"Yes","No"))</f>
        <v>Yes</v>
      </c>
    </row>
    <row r="3350" customFormat="false" ht="15" hidden="false" customHeight="false" outlineLevel="0" collapsed="false">
      <c r="A3350" s="31" t="s">
        <v>3500</v>
      </c>
      <c r="B3350" s="44" t="n">
        <v>46251</v>
      </c>
      <c r="C3350" s="31" t="s">
        <v>59</v>
      </c>
      <c r="D3350" s="31" t="s">
        <v>65</v>
      </c>
      <c r="E3350" s="31" t="s">
        <v>49</v>
      </c>
      <c r="F3350" s="31" t="s">
        <v>137</v>
      </c>
      <c r="G3350" s="31" t="n">
        <v>190</v>
      </c>
      <c r="H3350" s="41" t="n">
        <v>0.9</v>
      </c>
      <c r="I3350" s="31" t="s">
        <v>149</v>
      </c>
      <c r="J3350" s="31" t="n">
        <v>5</v>
      </c>
      <c r="K3350" s="31" t="s">
        <v>150</v>
      </c>
      <c r="L3350" s="45" t="n">
        <f aca="false">DATE(YEAR(B3350),MONTH(B3350),1)</f>
        <v>46235</v>
      </c>
      <c r="M3350" s="31" t="n">
        <f aca="false">WEEKDAY(B3350,2)</f>
        <v>1</v>
      </c>
      <c r="N3350" s="31" t="str">
        <f aca="false">IF(G3350&lt;=INDEX(Assumptions!$B$15:$B$18,MATCH(E3350,Assumptions!$A$15:$A$18,0)),"Yes","No")</f>
        <v>No</v>
      </c>
      <c r="O3350" s="31" t="str">
        <f aca="false">IF(H3350="","Open",IF(H3350&lt;=INDEX(Assumptions!$C$15:$C$18,MATCH(E3350,Assumptions!$A$15:$A$18,0)),"Yes","No"))</f>
        <v>Yes</v>
      </c>
    </row>
    <row r="3351" customFormat="false" ht="15" hidden="false" customHeight="false" outlineLevel="0" collapsed="false">
      <c r="A3351" s="31" t="s">
        <v>3501</v>
      </c>
      <c r="B3351" s="44" t="n">
        <v>46251</v>
      </c>
      <c r="C3351" s="31" t="s">
        <v>60</v>
      </c>
      <c r="D3351" s="31" t="s">
        <v>68</v>
      </c>
      <c r="E3351" s="31" t="s">
        <v>50</v>
      </c>
      <c r="F3351" s="31" t="s">
        <v>120</v>
      </c>
      <c r="G3351" s="31" t="n">
        <v>1</v>
      </c>
      <c r="H3351" s="41" t="n">
        <v>4.2</v>
      </c>
      <c r="I3351" s="31" t="s">
        <v>149</v>
      </c>
      <c r="J3351" s="31" t="n">
        <v>4</v>
      </c>
      <c r="K3351" s="31" t="s">
        <v>153</v>
      </c>
      <c r="L3351" s="45" t="n">
        <f aca="false">DATE(YEAR(B3351),MONTH(B3351),1)</f>
        <v>46235</v>
      </c>
      <c r="M3351" s="31" t="n">
        <f aca="false">WEEKDAY(B3351,2)</f>
        <v>1</v>
      </c>
      <c r="N3351" s="31" t="str">
        <f aca="false">IF(G3351&lt;=INDEX(Assumptions!$B$15:$B$18,MATCH(E3351,Assumptions!$A$15:$A$18,0)),"Yes","No")</f>
        <v>Yes</v>
      </c>
      <c r="O3351" s="31" t="str">
        <f aca="false">IF(H3351="","Open",IF(H3351&lt;=INDEX(Assumptions!$C$15:$C$18,MATCH(E3351,Assumptions!$A$15:$A$18,0)),"Yes","No"))</f>
        <v>Yes</v>
      </c>
    </row>
    <row r="3352" customFormat="false" ht="15" hidden="false" customHeight="false" outlineLevel="0" collapsed="false">
      <c r="A3352" s="31" t="s">
        <v>3502</v>
      </c>
      <c r="B3352" s="44" t="n">
        <v>46251</v>
      </c>
      <c r="C3352" s="31" t="s">
        <v>58</v>
      </c>
      <c r="D3352" s="31" t="s">
        <v>67</v>
      </c>
      <c r="E3352" s="31" t="s">
        <v>49</v>
      </c>
      <c r="F3352" s="31" t="s">
        <v>117</v>
      </c>
      <c r="G3352" s="31" t="n">
        <v>5</v>
      </c>
      <c r="H3352" s="41" t="n">
        <v>6.6</v>
      </c>
      <c r="I3352" s="31" t="s">
        <v>149</v>
      </c>
      <c r="J3352" s="31" t="n">
        <v>4</v>
      </c>
      <c r="K3352" s="31" t="s">
        <v>150</v>
      </c>
      <c r="L3352" s="45" t="n">
        <f aca="false">DATE(YEAR(B3352),MONTH(B3352),1)</f>
        <v>46235</v>
      </c>
      <c r="M3352" s="31" t="n">
        <f aca="false">WEEKDAY(B3352,2)</f>
        <v>1</v>
      </c>
      <c r="N3352" s="31" t="str">
        <f aca="false">IF(G3352&lt;=INDEX(Assumptions!$B$15:$B$18,MATCH(E3352,Assumptions!$A$15:$A$18,0)),"Yes","No")</f>
        <v>Yes</v>
      </c>
      <c r="O3352" s="31" t="str">
        <f aca="false">IF(H3352="","Open",IF(H3352&lt;=INDEX(Assumptions!$C$15:$C$18,MATCH(E3352,Assumptions!$A$15:$A$18,0)),"Yes","No"))</f>
        <v>No</v>
      </c>
    </row>
    <row r="3353" customFormat="false" ht="15" hidden="false" customHeight="false" outlineLevel="0" collapsed="false">
      <c r="A3353" s="31" t="s">
        <v>3503</v>
      </c>
      <c r="B3353" s="44" t="n">
        <v>46251</v>
      </c>
      <c r="C3353" s="31" t="s">
        <v>57</v>
      </c>
      <c r="D3353" s="31" t="s">
        <v>66</v>
      </c>
      <c r="E3353" s="31" t="s">
        <v>51</v>
      </c>
      <c r="F3353" s="31" t="s">
        <v>120</v>
      </c>
      <c r="G3353" s="31" t="n">
        <v>17</v>
      </c>
      <c r="H3353" s="41" t="n">
        <v>35.6</v>
      </c>
      <c r="I3353" s="31" t="s">
        <v>149</v>
      </c>
      <c r="J3353" s="31"/>
      <c r="K3353" s="31" t="s">
        <v>150</v>
      </c>
      <c r="L3353" s="45" t="n">
        <f aca="false">DATE(YEAR(B3353),MONTH(B3353),1)</f>
        <v>46235</v>
      </c>
      <c r="M3353" s="31" t="n">
        <f aca="false">WEEKDAY(B3353,2)</f>
        <v>1</v>
      </c>
      <c r="N3353" s="31" t="str">
        <f aca="false">IF(G3353&lt;=INDEX(Assumptions!$B$15:$B$18,MATCH(E3353,Assumptions!$A$15:$A$18,0)),"Yes","No")</f>
        <v>Yes</v>
      </c>
      <c r="O3353" s="31" t="str">
        <f aca="false">IF(H3353="","Open",IF(H3353&lt;=INDEX(Assumptions!$C$15:$C$18,MATCH(E3353,Assumptions!$A$15:$A$18,0)),"Yes","No"))</f>
        <v>No</v>
      </c>
    </row>
    <row r="3354" customFormat="false" ht="15" hidden="false" customHeight="false" outlineLevel="0" collapsed="false">
      <c r="A3354" s="31" t="s">
        <v>3504</v>
      </c>
      <c r="B3354" s="44" t="n">
        <v>46251</v>
      </c>
      <c r="C3354" s="31" t="s">
        <v>59</v>
      </c>
      <c r="D3354" s="31" t="s">
        <v>68</v>
      </c>
      <c r="E3354" s="31" t="s">
        <v>52</v>
      </c>
      <c r="F3354" s="31" t="s">
        <v>137</v>
      </c>
      <c r="G3354" s="31" t="n">
        <v>65</v>
      </c>
      <c r="H3354" s="41" t="n">
        <v>8</v>
      </c>
      <c r="I3354" s="31" t="s">
        <v>149</v>
      </c>
      <c r="J3354" s="31" t="n">
        <v>4</v>
      </c>
      <c r="K3354" s="31" t="s">
        <v>150</v>
      </c>
      <c r="L3354" s="45" t="n">
        <f aca="false">DATE(YEAR(B3354),MONTH(B3354),1)</f>
        <v>46235</v>
      </c>
      <c r="M3354" s="31" t="n">
        <f aca="false">WEEKDAY(B3354,2)</f>
        <v>1</v>
      </c>
      <c r="N3354" s="31" t="str">
        <f aca="false">IF(G3354&lt;=INDEX(Assumptions!$B$15:$B$18,MATCH(E3354,Assumptions!$A$15:$A$18,0)),"Yes","No")</f>
        <v>Yes</v>
      </c>
      <c r="O3354" s="31" t="str">
        <f aca="false">IF(H3354="","Open",IF(H3354&lt;=INDEX(Assumptions!$C$15:$C$18,MATCH(E3354,Assumptions!$A$15:$A$18,0)),"Yes","No"))</f>
        <v>Yes</v>
      </c>
    </row>
    <row r="3355" customFormat="false" ht="15" hidden="false" customHeight="false" outlineLevel="0" collapsed="false">
      <c r="A3355" s="31" t="s">
        <v>3505</v>
      </c>
      <c r="B3355" s="44" t="n">
        <v>46251</v>
      </c>
      <c r="C3355" s="31" t="s">
        <v>57</v>
      </c>
      <c r="D3355" s="31" t="s">
        <v>68</v>
      </c>
      <c r="E3355" s="31" t="s">
        <v>52</v>
      </c>
      <c r="F3355" s="31" t="s">
        <v>126</v>
      </c>
      <c r="G3355" s="31" t="n">
        <v>9</v>
      </c>
      <c r="H3355" s="41" t="n">
        <v>5.9</v>
      </c>
      <c r="I3355" s="31" t="s">
        <v>149</v>
      </c>
      <c r="J3355" s="31"/>
      <c r="K3355" s="31" t="s">
        <v>150</v>
      </c>
      <c r="L3355" s="45" t="n">
        <f aca="false">DATE(YEAR(B3355),MONTH(B3355),1)</f>
        <v>46235</v>
      </c>
      <c r="M3355" s="31" t="n">
        <f aca="false">WEEKDAY(B3355,2)</f>
        <v>1</v>
      </c>
      <c r="N3355" s="31" t="str">
        <f aca="false">IF(G3355&lt;=INDEX(Assumptions!$B$15:$B$18,MATCH(E3355,Assumptions!$A$15:$A$18,0)),"Yes","No")</f>
        <v>Yes</v>
      </c>
      <c r="O3355" s="31" t="str">
        <f aca="false">IF(H3355="","Open",IF(H3355&lt;=INDEX(Assumptions!$C$15:$C$18,MATCH(E3355,Assumptions!$A$15:$A$18,0)),"Yes","No"))</f>
        <v>Yes</v>
      </c>
    </row>
    <row r="3356" customFormat="false" ht="15" hidden="false" customHeight="false" outlineLevel="0" collapsed="false">
      <c r="A3356" s="31" t="s">
        <v>3506</v>
      </c>
      <c r="B3356" s="44" t="n">
        <v>46251</v>
      </c>
      <c r="C3356" s="31" t="s">
        <v>58</v>
      </c>
      <c r="D3356" s="31" t="s">
        <v>65</v>
      </c>
      <c r="E3356" s="31" t="s">
        <v>52</v>
      </c>
      <c r="F3356" s="31" t="s">
        <v>128</v>
      </c>
      <c r="G3356" s="31" t="n">
        <v>23</v>
      </c>
      <c r="H3356" s="41" t="n">
        <v>32.5</v>
      </c>
      <c r="I3356" s="31" t="s">
        <v>149</v>
      </c>
      <c r="J3356" s="31" t="n">
        <v>4</v>
      </c>
      <c r="K3356" s="31" t="s">
        <v>150</v>
      </c>
      <c r="L3356" s="45" t="n">
        <f aca="false">DATE(YEAR(B3356),MONTH(B3356),1)</f>
        <v>46235</v>
      </c>
      <c r="M3356" s="31" t="n">
        <f aca="false">WEEKDAY(B3356,2)</f>
        <v>1</v>
      </c>
      <c r="N3356" s="31" t="str">
        <f aca="false">IF(G3356&lt;=INDEX(Assumptions!$B$15:$B$18,MATCH(E3356,Assumptions!$A$15:$A$18,0)),"Yes","No")</f>
        <v>Yes</v>
      </c>
      <c r="O3356" s="31" t="str">
        <f aca="false">IF(H3356="","Open",IF(H3356&lt;=INDEX(Assumptions!$C$15:$C$18,MATCH(E3356,Assumptions!$A$15:$A$18,0)),"Yes","No"))</f>
        <v>Yes</v>
      </c>
    </row>
    <row r="3357" customFormat="false" ht="15" hidden="false" customHeight="false" outlineLevel="0" collapsed="false">
      <c r="A3357" s="31" t="s">
        <v>3507</v>
      </c>
      <c r="B3357" s="44" t="n">
        <v>46251</v>
      </c>
      <c r="C3357" s="31" t="s">
        <v>60</v>
      </c>
      <c r="D3357" s="31" t="s">
        <v>65</v>
      </c>
      <c r="E3357" s="31" t="s">
        <v>51</v>
      </c>
      <c r="F3357" s="31" t="s">
        <v>131</v>
      </c>
      <c r="G3357" s="31" t="n">
        <v>3</v>
      </c>
      <c r="H3357" s="41" t="n">
        <v>5.5</v>
      </c>
      <c r="I3357" s="31" t="s">
        <v>149</v>
      </c>
      <c r="J3357" s="31"/>
      <c r="K3357" s="31" t="s">
        <v>150</v>
      </c>
      <c r="L3357" s="45" t="n">
        <f aca="false">DATE(YEAR(B3357),MONTH(B3357),1)</f>
        <v>46235</v>
      </c>
      <c r="M3357" s="31" t="n">
        <f aca="false">WEEKDAY(B3357,2)</f>
        <v>1</v>
      </c>
      <c r="N3357" s="31" t="str">
        <f aca="false">IF(G3357&lt;=INDEX(Assumptions!$B$15:$B$18,MATCH(E3357,Assumptions!$A$15:$A$18,0)),"Yes","No")</f>
        <v>Yes</v>
      </c>
      <c r="O3357" s="31" t="str">
        <f aca="false">IF(H3357="","Open",IF(H3357&lt;=INDEX(Assumptions!$C$15:$C$18,MATCH(E3357,Assumptions!$A$15:$A$18,0)),"Yes","No"))</f>
        <v>Yes</v>
      </c>
    </row>
    <row r="3358" customFormat="false" ht="15" hidden="false" customHeight="false" outlineLevel="0" collapsed="false">
      <c r="A3358" s="31" t="s">
        <v>3508</v>
      </c>
      <c r="B3358" s="44" t="n">
        <v>46251</v>
      </c>
      <c r="C3358" s="31" t="s">
        <v>59</v>
      </c>
      <c r="D3358" s="31" t="s">
        <v>68</v>
      </c>
      <c r="E3358" s="31" t="s">
        <v>50</v>
      </c>
      <c r="F3358" s="31" t="s">
        <v>130</v>
      </c>
      <c r="G3358" s="31" t="n">
        <v>72</v>
      </c>
      <c r="H3358" s="41" t="n">
        <v>3.9</v>
      </c>
      <c r="I3358" s="31" t="s">
        <v>149</v>
      </c>
      <c r="J3358" s="31" t="n">
        <v>5</v>
      </c>
      <c r="K3358" s="31" t="s">
        <v>150</v>
      </c>
      <c r="L3358" s="45" t="n">
        <f aca="false">DATE(YEAR(B3358),MONTH(B3358),1)</f>
        <v>46235</v>
      </c>
      <c r="M3358" s="31" t="n">
        <f aca="false">WEEKDAY(B3358,2)</f>
        <v>1</v>
      </c>
      <c r="N3358" s="31" t="str">
        <f aca="false">IF(G3358&lt;=INDEX(Assumptions!$B$15:$B$18,MATCH(E3358,Assumptions!$A$15:$A$18,0)),"Yes","No")</f>
        <v>No</v>
      </c>
      <c r="O3358" s="31" t="str">
        <f aca="false">IF(H3358="","Open",IF(H3358&lt;=INDEX(Assumptions!$C$15:$C$18,MATCH(E3358,Assumptions!$A$15:$A$18,0)),"Yes","No"))</f>
        <v>Yes</v>
      </c>
    </row>
    <row r="3359" customFormat="false" ht="15" hidden="false" customHeight="false" outlineLevel="0" collapsed="false">
      <c r="A3359" s="31" t="s">
        <v>3509</v>
      </c>
      <c r="B3359" s="44" t="n">
        <v>46251</v>
      </c>
      <c r="C3359" s="31" t="s">
        <v>57</v>
      </c>
      <c r="D3359" s="31" t="s">
        <v>65</v>
      </c>
      <c r="E3359" s="31" t="s">
        <v>52</v>
      </c>
      <c r="F3359" s="31" t="s">
        <v>121</v>
      </c>
      <c r="G3359" s="31" t="n">
        <v>4</v>
      </c>
      <c r="H3359" s="41" t="n">
        <v>29.7</v>
      </c>
      <c r="I3359" s="31" t="s">
        <v>149</v>
      </c>
      <c r="J3359" s="31"/>
      <c r="K3359" s="31" t="s">
        <v>150</v>
      </c>
      <c r="L3359" s="45" t="n">
        <f aca="false">DATE(YEAR(B3359),MONTH(B3359),1)</f>
        <v>46235</v>
      </c>
      <c r="M3359" s="31" t="n">
        <f aca="false">WEEKDAY(B3359,2)</f>
        <v>1</v>
      </c>
      <c r="N3359" s="31" t="str">
        <f aca="false">IF(G3359&lt;=INDEX(Assumptions!$B$15:$B$18,MATCH(E3359,Assumptions!$A$15:$A$18,0)),"Yes","No")</f>
        <v>Yes</v>
      </c>
      <c r="O3359" s="31" t="str">
        <f aca="false">IF(H3359="","Open",IF(H3359&lt;=INDEX(Assumptions!$C$15:$C$18,MATCH(E3359,Assumptions!$A$15:$A$18,0)),"Yes","No"))</f>
        <v>Yes</v>
      </c>
    </row>
    <row r="3360" customFormat="false" ht="15" hidden="false" customHeight="false" outlineLevel="0" collapsed="false">
      <c r="A3360" s="31" t="s">
        <v>3510</v>
      </c>
      <c r="B3360" s="44" t="n">
        <v>46251</v>
      </c>
      <c r="C3360" s="31" t="s">
        <v>58</v>
      </c>
      <c r="D3360" s="31" t="s">
        <v>69</v>
      </c>
      <c r="E3360" s="31" t="s">
        <v>50</v>
      </c>
      <c r="F3360" s="31" t="s">
        <v>135</v>
      </c>
      <c r="G3360" s="31" t="n">
        <v>8</v>
      </c>
      <c r="H3360" s="41" t="n">
        <v>56.8</v>
      </c>
      <c r="I3360" s="31" t="s">
        <v>64</v>
      </c>
      <c r="J3360" s="31" t="n">
        <v>2</v>
      </c>
      <c r="K3360" s="31" t="s">
        <v>150</v>
      </c>
      <c r="L3360" s="45" t="n">
        <f aca="false">DATE(YEAR(B3360),MONTH(B3360),1)</f>
        <v>46235</v>
      </c>
      <c r="M3360" s="31" t="n">
        <f aca="false">WEEKDAY(B3360,2)</f>
        <v>1</v>
      </c>
      <c r="N3360" s="31" t="str">
        <f aca="false">IF(G3360&lt;=INDEX(Assumptions!$B$15:$B$18,MATCH(E3360,Assumptions!$A$15:$A$18,0)),"Yes","No")</f>
        <v>Yes</v>
      </c>
      <c r="O3360" s="31" t="str">
        <f aca="false">IF(H3360="","Open",IF(H3360&lt;=INDEX(Assumptions!$C$15:$C$18,MATCH(E3360,Assumptions!$A$15:$A$18,0)),"Yes","No"))</f>
        <v>No</v>
      </c>
    </row>
    <row r="3361" customFormat="false" ht="15" hidden="false" customHeight="false" outlineLevel="0" collapsed="false">
      <c r="A3361" s="31" t="s">
        <v>3511</v>
      </c>
      <c r="B3361" s="44" t="n">
        <v>46251</v>
      </c>
      <c r="C3361" s="31" t="s">
        <v>57</v>
      </c>
      <c r="D3361" s="31" t="s">
        <v>68</v>
      </c>
      <c r="E3361" s="31" t="s">
        <v>51</v>
      </c>
      <c r="F3361" s="31" t="s">
        <v>126</v>
      </c>
      <c r="G3361" s="31" t="n">
        <v>3</v>
      </c>
      <c r="H3361" s="41" t="n">
        <v>2.2</v>
      </c>
      <c r="I3361" s="31" t="s">
        <v>149</v>
      </c>
      <c r="J3361" s="31" t="n">
        <v>5</v>
      </c>
      <c r="K3361" s="31" t="s">
        <v>150</v>
      </c>
      <c r="L3361" s="45" t="n">
        <f aca="false">DATE(YEAR(B3361),MONTH(B3361),1)</f>
        <v>46235</v>
      </c>
      <c r="M3361" s="31" t="n">
        <f aca="false">WEEKDAY(B3361,2)</f>
        <v>1</v>
      </c>
      <c r="N3361" s="31" t="str">
        <f aca="false">IF(G3361&lt;=INDEX(Assumptions!$B$15:$B$18,MATCH(E3361,Assumptions!$A$15:$A$18,0)),"Yes","No")</f>
        <v>Yes</v>
      </c>
      <c r="O3361" s="31" t="str">
        <f aca="false">IF(H3361="","Open",IF(H3361&lt;=INDEX(Assumptions!$C$15:$C$18,MATCH(E3361,Assumptions!$A$15:$A$18,0)),"Yes","No"))</f>
        <v>Yes</v>
      </c>
    </row>
    <row r="3362" customFormat="false" ht="15" hidden="false" customHeight="false" outlineLevel="0" collapsed="false">
      <c r="A3362" s="31" t="s">
        <v>3512</v>
      </c>
      <c r="B3362" s="44" t="n">
        <v>46251</v>
      </c>
      <c r="C3362" s="31" t="s">
        <v>58</v>
      </c>
      <c r="D3362" s="31" t="s">
        <v>69</v>
      </c>
      <c r="E3362" s="31" t="s">
        <v>52</v>
      </c>
      <c r="F3362" s="31" t="s">
        <v>136</v>
      </c>
      <c r="G3362" s="31" t="n">
        <v>13</v>
      </c>
      <c r="H3362" s="41" t="n">
        <v>21</v>
      </c>
      <c r="I3362" s="31" t="s">
        <v>149</v>
      </c>
      <c r="J3362" s="31" t="n">
        <v>5</v>
      </c>
      <c r="K3362" s="31" t="s">
        <v>153</v>
      </c>
      <c r="L3362" s="45" t="n">
        <f aca="false">DATE(YEAR(B3362),MONTH(B3362),1)</f>
        <v>46235</v>
      </c>
      <c r="M3362" s="31" t="n">
        <f aca="false">WEEKDAY(B3362,2)</f>
        <v>1</v>
      </c>
      <c r="N3362" s="31" t="str">
        <f aca="false">IF(G3362&lt;=INDEX(Assumptions!$B$15:$B$18,MATCH(E3362,Assumptions!$A$15:$A$18,0)),"Yes","No")</f>
        <v>Yes</v>
      </c>
      <c r="O3362" s="31" t="str">
        <f aca="false">IF(H3362="","Open",IF(H3362&lt;=INDEX(Assumptions!$C$15:$C$18,MATCH(E3362,Assumptions!$A$15:$A$18,0)),"Yes","No"))</f>
        <v>Yes</v>
      </c>
    </row>
    <row r="3363" customFormat="false" ht="15" hidden="false" customHeight="false" outlineLevel="0" collapsed="false">
      <c r="A3363" s="31" t="s">
        <v>3513</v>
      </c>
      <c r="B3363" s="44" t="n">
        <v>46251</v>
      </c>
      <c r="C3363" s="31" t="s">
        <v>58</v>
      </c>
      <c r="D3363" s="31" t="s">
        <v>68</v>
      </c>
      <c r="E3363" s="31" t="s">
        <v>50</v>
      </c>
      <c r="F3363" s="31" t="s">
        <v>124</v>
      </c>
      <c r="G3363" s="31" t="n">
        <v>12</v>
      </c>
      <c r="H3363" s="41" t="n">
        <v>0.9</v>
      </c>
      <c r="I3363" s="31" t="s">
        <v>149</v>
      </c>
      <c r="J3363" s="31"/>
      <c r="K3363" s="31" t="s">
        <v>150</v>
      </c>
      <c r="L3363" s="45" t="n">
        <f aca="false">DATE(YEAR(B3363),MONTH(B3363),1)</f>
        <v>46235</v>
      </c>
      <c r="M3363" s="31" t="n">
        <f aca="false">WEEKDAY(B3363,2)</f>
        <v>1</v>
      </c>
      <c r="N3363" s="31" t="str">
        <f aca="false">IF(G3363&lt;=INDEX(Assumptions!$B$15:$B$18,MATCH(E3363,Assumptions!$A$15:$A$18,0)),"Yes","No")</f>
        <v>Yes</v>
      </c>
      <c r="O3363" s="31" t="str">
        <f aca="false">IF(H3363="","Open",IF(H3363&lt;=INDEX(Assumptions!$C$15:$C$18,MATCH(E3363,Assumptions!$A$15:$A$18,0)),"Yes","No"))</f>
        <v>Yes</v>
      </c>
    </row>
    <row r="3364" customFormat="false" ht="15" hidden="false" customHeight="false" outlineLevel="0" collapsed="false">
      <c r="A3364" s="31" t="s">
        <v>3514</v>
      </c>
      <c r="B3364" s="44" t="n">
        <v>46251</v>
      </c>
      <c r="C3364" s="31" t="s">
        <v>58</v>
      </c>
      <c r="D3364" s="31" t="s">
        <v>67</v>
      </c>
      <c r="E3364" s="31" t="s">
        <v>51</v>
      </c>
      <c r="F3364" s="31" t="s">
        <v>117</v>
      </c>
      <c r="G3364" s="31" t="n">
        <v>7</v>
      </c>
      <c r="H3364" s="41" t="n">
        <v>7.8</v>
      </c>
      <c r="I3364" s="31" t="s">
        <v>149</v>
      </c>
      <c r="J3364" s="31" t="n">
        <v>4</v>
      </c>
      <c r="K3364" s="31" t="s">
        <v>150</v>
      </c>
      <c r="L3364" s="45" t="n">
        <f aca="false">DATE(YEAR(B3364),MONTH(B3364),1)</f>
        <v>46235</v>
      </c>
      <c r="M3364" s="31" t="n">
        <f aca="false">WEEKDAY(B3364,2)</f>
        <v>1</v>
      </c>
      <c r="N3364" s="31" t="str">
        <f aca="false">IF(G3364&lt;=INDEX(Assumptions!$B$15:$B$18,MATCH(E3364,Assumptions!$A$15:$A$18,0)),"Yes","No")</f>
        <v>Yes</v>
      </c>
      <c r="O3364" s="31" t="str">
        <f aca="false">IF(H3364="","Open",IF(H3364&lt;=INDEX(Assumptions!$C$15:$C$18,MATCH(E3364,Assumptions!$A$15:$A$18,0)),"Yes","No"))</f>
        <v>Yes</v>
      </c>
    </row>
    <row r="3365" customFormat="false" ht="15" hidden="false" customHeight="false" outlineLevel="0" collapsed="false">
      <c r="A3365" s="31" t="s">
        <v>3515</v>
      </c>
      <c r="B3365" s="44" t="n">
        <v>46251</v>
      </c>
      <c r="C3365" s="31" t="s">
        <v>58</v>
      </c>
      <c r="D3365" s="31" t="s">
        <v>65</v>
      </c>
      <c r="E3365" s="31" t="s">
        <v>52</v>
      </c>
      <c r="F3365" s="31" t="s">
        <v>127</v>
      </c>
      <c r="G3365" s="31" t="n">
        <v>7</v>
      </c>
      <c r="H3365" s="41" t="n">
        <v>12.2</v>
      </c>
      <c r="I3365" s="31" t="s">
        <v>149</v>
      </c>
      <c r="J3365" s="31" t="n">
        <v>5</v>
      </c>
      <c r="K3365" s="31" t="s">
        <v>153</v>
      </c>
      <c r="L3365" s="45" t="n">
        <f aca="false">DATE(YEAR(B3365),MONTH(B3365),1)</f>
        <v>46235</v>
      </c>
      <c r="M3365" s="31" t="n">
        <f aca="false">WEEKDAY(B3365,2)</f>
        <v>1</v>
      </c>
      <c r="N3365" s="31" t="str">
        <f aca="false">IF(G3365&lt;=INDEX(Assumptions!$B$15:$B$18,MATCH(E3365,Assumptions!$A$15:$A$18,0)),"Yes","No")</f>
        <v>Yes</v>
      </c>
      <c r="O3365" s="31" t="str">
        <f aca="false">IF(H3365="","Open",IF(H3365&lt;=INDEX(Assumptions!$C$15:$C$18,MATCH(E3365,Assumptions!$A$15:$A$18,0)),"Yes","No"))</f>
        <v>Yes</v>
      </c>
    </row>
    <row r="3366" customFormat="false" ht="15" hidden="false" customHeight="false" outlineLevel="0" collapsed="false">
      <c r="A3366" s="31" t="s">
        <v>3516</v>
      </c>
      <c r="B3366" s="44" t="n">
        <v>46251</v>
      </c>
      <c r="C3366" s="31" t="s">
        <v>59</v>
      </c>
      <c r="D3366" s="31" t="s">
        <v>67</v>
      </c>
      <c r="E3366" s="31" t="s">
        <v>49</v>
      </c>
      <c r="F3366" s="31" t="s">
        <v>131</v>
      </c>
      <c r="G3366" s="31" t="n">
        <v>43</v>
      </c>
      <c r="H3366" s="41" t="n">
        <v>5.8</v>
      </c>
      <c r="I3366" s="31" t="s">
        <v>149</v>
      </c>
      <c r="J3366" s="31" t="n">
        <v>5</v>
      </c>
      <c r="K3366" s="31" t="s">
        <v>150</v>
      </c>
      <c r="L3366" s="45" t="n">
        <f aca="false">DATE(YEAR(B3366),MONTH(B3366),1)</f>
        <v>46235</v>
      </c>
      <c r="M3366" s="31" t="n">
        <f aca="false">WEEKDAY(B3366,2)</f>
        <v>1</v>
      </c>
      <c r="N3366" s="31" t="str">
        <f aca="false">IF(G3366&lt;=INDEX(Assumptions!$B$15:$B$18,MATCH(E3366,Assumptions!$A$15:$A$18,0)),"Yes","No")</f>
        <v>No</v>
      </c>
      <c r="O3366" s="31" t="str">
        <f aca="false">IF(H3366="","Open",IF(H3366&lt;=INDEX(Assumptions!$C$15:$C$18,MATCH(E3366,Assumptions!$A$15:$A$18,0)),"Yes","No"))</f>
        <v>No</v>
      </c>
    </row>
    <row r="3367" customFormat="false" ht="15" hidden="false" customHeight="false" outlineLevel="0" collapsed="false">
      <c r="A3367" s="31" t="s">
        <v>3517</v>
      </c>
      <c r="B3367" s="44" t="n">
        <v>46251</v>
      </c>
      <c r="C3367" s="31" t="s">
        <v>60</v>
      </c>
      <c r="D3367" s="31" t="s">
        <v>68</v>
      </c>
      <c r="E3367" s="31" t="s">
        <v>51</v>
      </c>
      <c r="F3367" s="31" t="s">
        <v>133</v>
      </c>
      <c r="G3367" s="31" t="n">
        <v>5</v>
      </c>
      <c r="H3367" s="41" t="n">
        <v>3.2</v>
      </c>
      <c r="I3367" s="31" t="s">
        <v>149</v>
      </c>
      <c r="J3367" s="31" t="n">
        <v>4</v>
      </c>
      <c r="K3367" s="31" t="s">
        <v>150</v>
      </c>
      <c r="L3367" s="45" t="n">
        <f aca="false">DATE(YEAR(B3367),MONTH(B3367),1)</f>
        <v>46235</v>
      </c>
      <c r="M3367" s="31" t="n">
        <f aca="false">WEEKDAY(B3367,2)</f>
        <v>1</v>
      </c>
      <c r="N3367" s="31" t="str">
        <f aca="false">IF(G3367&lt;=INDEX(Assumptions!$B$15:$B$18,MATCH(E3367,Assumptions!$A$15:$A$18,0)),"Yes","No")</f>
        <v>Yes</v>
      </c>
      <c r="O3367" s="31" t="str">
        <f aca="false">IF(H3367="","Open",IF(H3367&lt;=INDEX(Assumptions!$C$15:$C$18,MATCH(E3367,Assumptions!$A$15:$A$18,0)),"Yes","No"))</f>
        <v>Yes</v>
      </c>
    </row>
    <row r="3368" customFormat="false" ht="15" hidden="false" customHeight="false" outlineLevel="0" collapsed="false">
      <c r="A3368" s="31" t="s">
        <v>3518</v>
      </c>
      <c r="B3368" s="44" t="n">
        <v>46251</v>
      </c>
      <c r="C3368" s="31" t="s">
        <v>59</v>
      </c>
      <c r="D3368" s="31" t="s">
        <v>69</v>
      </c>
      <c r="E3368" s="31" t="s">
        <v>52</v>
      </c>
      <c r="F3368" s="31" t="s">
        <v>121</v>
      </c>
      <c r="G3368" s="31" t="n">
        <v>87</v>
      </c>
      <c r="H3368" s="41" t="n">
        <v>58</v>
      </c>
      <c r="I3368" s="31" t="s">
        <v>149</v>
      </c>
      <c r="J3368" s="31"/>
      <c r="K3368" s="31" t="s">
        <v>150</v>
      </c>
      <c r="L3368" s="45" t="n">
        <f aca="false">DATE(YEAR(B3368),MONTH(B3368),1)</f>
        <v>46235</v>
      </c>
      <c r="M3368" s="31" t="n">
        <f aca="false">WEEKDAY(B3368,2)</f>
        <v>1</v>
      </c>
      <c r="N3368" s="31" t="str">
        <f aca="false">IF(G3368&lt;=INDEX(Assumptions!$B$15:$B$18,MATCH(E3368,Assumptions!$A$15:$A$18,0)),"Yes","No")</f>
        <v>Yes</v>
      </c>
      <c r="O3368" s="31" t="str">
        <f aca="false">IF(H3368="","Open",IF(H3368&lt;=INDEX(Assumptions!$C$15:$C$18,MATCH(E3368,Assumptions!$A$15:$A$18,0)),"Yes","No"))</f>
        <v>Yes</v>
      </c>
    </row>
    <row r="3369" customFormat="false" ht="15" hidden="false" customHeight="false" outlineLevel="0" collapsed="false">
      <c r="A3369" s="31" t="s">
        <v>3519</v>
      </c>
      <c r="B3369" s="44" t="n">
        <v>46251</v>
      </c>
      <c r="C3369" s="31" t="s">
        <v>60</v>
      </c>
      <c r="D3369" s="31" t="s">
        <v>66</v>
      </c>
      <c r="E3369" s="31" t="s">
        <v>51</v>
      </c>
      <c r="F3369" s="31" t="s">
        <v>135</v>
      </c>
      <c r="G3369" s="31" t="n">
        <v>2</v>
      </c>
      <c r="H3369" s="41" t="n">
        <v>27.3</v>
      </c>
      <c r="I3369" s="31" t="s">
        <v>149</v>
      </c>
      <c r="J3369" s="31" t="n">
        <v>4</v>
      </c>
      <c r="K3369" s="31" t="s">
        <v>150</v>
      </c>
      <c r="L3369" s="45" t="n">
        <f aca="false">DATE(YEAR(B3369),MONTH(B3369),1)</f>
        <v>46235</v>
      </c>
      <c r="M3369" s="31" t="n">
        <f aca="false">WEEKDAY(B3369,2)</f>
        <v>1</v>
      </c>
      <c r="N3369" s="31" t="str">
        <f aca="false">IF(G3369&lt;=INDEX(Assumptions!$B$15:$B$18,MATCH(E3369,Assumptions!$A$15:$A$18,0)),"Yes","No")</f>
        <v>Yes</v>
      </c>
      <c r="O3369" s="31" t="str">
        <f aca="false">IF(H3369="","Open",IF(H3369&lt;=INDEX(Assumptions!$C$15:$C$18,MATCH(E3369,Assumptions!$A$15:$A$18,0)),"Yes","No"))</f>
        <v>No</v>
      </c>
    </row>
    <row r="3370" customFormat="false" ht="15" hidden="false" customHeight="false" outlineLevel="0" collapsed="false">
      <c r="A3370" s="31" t="s">
        <v>3520</v>
      </c>
      <c r="B3370" s="44" t="n">
        <v>46251</v>
      </c>
      <c r="C3370" s="31" t="s">
        <v>58</v>
      </c>
      <c r="D3370" s="31" t="s">
        <v>67</v>
      </c>
      <c r="E3370" s="31" t="s">
        <v>51</v>
      </c>
      <c r="F3370" s="31" t="s">
        <v>128</v>
      </c>
      <c r="G3370" s="31" t="n">
        <v>39</v>
      </c>
      <c r="H3370" s="41" t="n">
        <v>31.4</v>
      </c>
      <c r="I3370" s="31" t="s">
        <v>149</v>
      </c>
      <c r="J3370" s="31"/>
      <c r="K3370" s="31" t="s">
        <v>150</v>
      </c>
      <c r="L3370" s="45" t="n">
        <f aca="false">DATE(YEAR(B3370),MONTH(B3370),1)</f>
        <v>46235</v>
      </c>
      <c r="M3370" s="31" t="n">
        <f aca="false">WEEKDAY(B3370,2)</f>
        <v>1</v>
      </c>
      <c r="N3370" s="31" t="str">
        <f aca="false">IF(G3370&lt;=INDEX(Assumptions!$B$15:$B$18,MATCH(E3370,Assumptions!$A$15:$A$18,0)),"Yes","No")</f>
        <v>Yes</v>
      </c>
      <c r="O3370" s="31" t="str">
        <f aca="false">IF(H3370="","Open",IF(H3370&lt;=INDEX(Assumptions!$C$15:$C$18,MATCH(E3370,Assumptions!$A$15:$A$18,0)),"Yes","No"))</f>
        <v>No</v>
      </c>
    </row>
    <row r="3371" customFormat="false" ht="15" hidden="false" customHeight="false" outlineLevel="0" collapsed="false">
      <c r="A3371" s="31" t="s">
        <v>3521</v>
      </c>
      <c r="B3371" s="44" t="n">
        <v>46251</v>
      </c>
      <c r="C3371" s="31" t="s">
        <v>58</v>
      </c>
      <c r="D3371" s="31" t="s">
        <v>68</v>
      </c>
      <c r="E3371" s="31" t="s">
        <v>49</v>
      </c>
      <c r="F3371" s="31" t="s">
        <v>133</v>
      </c>
      <c r="G3371" s="31" t="n">
        <v>12</v>
      </c>
      <c r="H3371" s="41" t="n">
        <v>2</v>
      </c>
      <c r="I3371" s="31" t="s">
        <v>149</v>
      </c>
      <c r="J3371" s="31" t="n">
        <v>5</v>
      </c>
      <c r="K3371" s="31" t="s">
        <v>150</v>
      </c>
      <c r="L3371" s="45" t="n">
        <f aca="false">DATE(YEAR(B3371),MONTH(B3371),1)</f>
        <v>46235</v>
      </c>
      <c r="M3371" s="31" t="n">
        <f aca="false">WEEKDAY(B3371,2)</f>
        <v>1</v>
      </c>
      <c r="N3371" s="31" t="str">
        <f aca="false">IF(G3371&lt;=INDEX(Assumptions!$B$15:$B$18,MATCH(E3371,Assumptions!$A$15:$A$18,0)),"Yes","No")</f>
        <v>Yes</v>
      </c>
      <c r="O3371" s="31" t="str">
        <f aca="false">IF(H3371="","Open",IF(H3371&lt;=INDEX(Assumptions!$C$15:$C$18,MATCH(E3371,Assumptions!$A$15:$A$18,0)),"Yes","No"))</f>
        <v>Yes</v>
      </c>
    </row>
    <row r="3372" customFormat="false" ht="15" hidden="false" customHeight="false" outlineLevel="0" collapsed="false">
      <c r="A3372" s="31" t="s">
        <v>3522</v>
      </c>
      <c r="B3372" s="44" t="n">
        <v>46251</v>
      </c>
      <c r="C3372" s="31" t="s">
        <v>57</v>
      </c>
      <c r="D3372" s="31" t="s">
        <v>67</v>
      </c>
      <c r="E3372" s="31" t="s">
        <v>52</v>
      </c>
      <c r="F3372" s="31" t="s">
        <v>124</v>
      </c>
      <c r="G3372" s="31" t="n">
        <v>18</v>
      </c>
      <c r="H3372" s="41"/>
      <c r="I3372" s="31" t="s">
        <v>158</v>
      </c>
      <c r="J3372" s="31"/>
      <c r="K3372" s="31" t="s">
        <v>150</v>
      </c>
      <c r="L3372" s="45" t="n">
        <f aca="false">DATE(YEAR(B3372),MONTH(B3372),1)</f>
        <v>46235</v>
      </c>
      <c r="M3372" s="31" t="n">
        <f aca="false">WEEKDAY(B3372,2)</f>
        <v>1</v>
      </c>
      <c r="N3372" s="31" t="str">
        <f aca="false">IF(G3372&lt;=INDEX(Assumptions!$B$15:$B$18,MATCH(E3372,Assumptions!$A$15:$A$18,0)),"Yes","No")</f>
        <v>Yes</v>
      </c>
      <c r="O3372" s="31" t="str">
        <f aca="false">IF(H3372="","Open",IF(H3372&lt;=INDEX(Assumptions!$C$15:$C$18,MATCH(E3372,Assumptions!$A$15:$A$18,0)),"Yes","No"))</f>
        <v>Open</v>
      </c>
    </row>
    <row r="3373" customFormat="false" ht="15" hidden="false" customHeight="false" outlineLevel="0" collapsed="false">
      <c r="A3373" s="31" t="s">
        <v>3523</v>
      </c>
      <c r="B3373" s="44" t="n">
        <v>46251</v>
      </c>
      <c r="C3373" s="31" t="s">
        <v>58</v>
      </c>
      <c r="D3373" s="31" t="s">
        <v>65</v>
      </c>
      <c r="E3373" s="31" t="s">
        <v>52</v>
      </c>
      <c r="F3373" s="31" t="s">
        <v>126</v>
      </c>
      <c r="G3373" s="31" t="n">
        <v>22</v>
      </c>
      <c r="H3373" s="41" t="n">
        <v>15.1</v>
      </c>
      <c r="I3373" s="31" t="s">
        <v>149</v>
      </c>
      <c r="J3373" s="31"/>
      <c r="K3373" s="31" t="s">
        <v>150</v>
      </c>
      <c r="L3373" s="45" t="n">
        <f aca="false">DATE(YEAR(B3373),MONTH(B3373),1)</f>
        <v>46235</v>
      </c>
      <c r="M3373" s="31" t="n">
        <f aca="false">WEEKDAY(B3373,2)</f>
        <v>1</v>
      </c>
      <c r="N3373" s="31" t="str">
        <f aca="false">IF(G3373&lt;=INDEX(Assumptions!$B$15:$B$18,MATCH(E3373,Assumptions!$A$15:$A$18,0)),"Yes","No")</f>
        <v>Yes</v>
      </c>
      <c r="O3373" s="31" t="str">
        <f aca="false">IF(H3373="","Open",IF(H3373&lt;=INDEX(Assumptions!$C$15:$C$18,MATCH(E3373,Assumptions!$A$15:$A$18,0)),"Yes","No"))</f>
        <v>Yes</v>
      </c>
    </row>
    <row r="3374" customFormat="false" ht="15" hidden="false" customHeight="false" outlineLevel="0" collapsed="false">
      <c r="A3374" s="31" t="s">
        <v>3524</v>
      </c>
      <c r="B3374" s="44" t="n">
        <v>46251</v>
      </c>
      <c r="C3374" s="31" t="s">
        <v>60</v>
      </c>
      <c r="D3374" s="31" t="s">
        <v>68</v>
      </c>
      <c r="E3374" s="31" t="s">
        <v>52</v>
      </c>
      <c r="F3374" s="31" t="s">
        <v>136</v>
      </c>
      <c r="G3374" s="31" t="n">
        <v>5</v>
      </c>
      <c r="H3374" s="41" t="n">
        <v>3.2</v>
      </c>
      <c r="I3374" s="31" t="s">
        <v>149</v>
      </c>
      <c r="J3374" s="31" t="n">
        <v>3</v>
      </c>
      <c r="K3374" s="31" t="s">
        <v>150</v>
      </c>
      <c r="L3374" s="45" t="n">
        <f aca="false">DATE(YEAR(B3374),MONTH(B3374),1)</f>
        <v>46235</v>
      </c>
      <c r="M3374" s="31" t="n">
        <f aca="false">WEEKDAY(B3374,2)</f>
        <v>1</v>
      </c>
      <c r="N3374" s="31" t="str">
        <f aca="false">IF(G3374&lt;=INDEX(Assumptions!$B$15:$B$18,MATCH(E3374,Assumptions!$A$15:$A$18,0)),"Yes","No")</f>
        <v>Yes</v>
      </c>
      <c r="O3374" s="31" t="str">
        <f aca="false">IF(H3374="","Open",IF(H3374&lt;=INDEX(Assumptions!$C$15:$C$18,MATCH(E3374,Assumptions!$A$15:$A$18,0)),"Yes","No"))</f>
        <v>Yes</v>
      </c>
    </row>
    <row r="3375" customFormat="false" ht="15" hidden="false" customHeight="false" outlineLevel="0" collapsed="false">
      <c r="A3375" s="31" t="s">
        <v>3525</v>
      </c>
      <c r="B3375" s="44" t="n">
        <v>46251</v>
      </c>
      <c r="C3375" s="31" t="s">
        <v>59</v>
      </c>
      <c r="D3375" s="31" t="s">
        <v>69</v>
      </c>
      <c r="E3375" s="31" t="s">
        <v>51</v>
      </c>
      <c r="F3375" s="31" t="s">
        <v>137</v>
      </c>
      <c r="G3375" s="31" t="n">
        <v>127</v>
      </c>
      <c r="H3375" s="41" t="n">
        <v>27.5</v>
      </c>
      <c r="I3375" s="31" t="s">
        <v>149</v>
      </c>
      <c r="J3375" s="31" t="n">
        <v>3</v>
      </c>
      <c r="K3375" s="31" t="s">
        <v>150</v>
      </c>
      <c r="L3375" s="45" t="n">
        <f aca="false">DATE(YEAR(B3375),MONTH(B3375),1)</f>
        <v>46235</v>
      </c>
      <c r="M3375" s="31" t="n">
        <f aca="false">WEEKDAY(B3375,2)</f>
        <v>1</v>
      </c>
      <c r="N3375" s="31" t="str">
        <f aca="false">IF(G3375&lt;=INDEX(Assumptions!$B$15:$B$18,MATCH(E3375,Assumptions!$A$15:$A$18,0)),"Yes","No")</f>
        <v>No</v>
      </c>
      <c r="O3375" s="31" t="str">
        <f aca="false">IF(H3375="","Open",IF(H3375&lt;=INDEX(Assumptions!$C$15:$C$18,MATCH(E3375,Assumptions!$A$15:$A$18,0)),"Yes","No"))</f>
        <v>No</v>
      </c>
    </row>
    <row r="3376" customFormat="false" ht="15" hidden="false" customHeight="false" outlineLevel="0" collapsed="false">
      <c r="A3376" s="31" t="s">
        <v>3526</v>
      </c>
      <c r="B3376" s="44" t="n">
        <v>46251</v>
      </c>
      <c r="C3376" s="31" t="s">
        <v>60</v>
      </c>
      <c r="D3376" s="31" t="s">
        <v>67</v>
      </c>
      <c r="E3376" s="31" t="s">
        <v>50</v>
      </c>
      <c r="F3376" s="31" t="s">
        <v>137</v>
      </c>
      <c r="G3376" s="31" t="n">
        <v>5</v>
      </c>
      <c r="H3376" s="41" t="n">
        <v>25.9</v>
      </c>
      <c r="I3376" s="31" t="s">
        <v>149</v>
      </c>
      <c r="J3376" s="31"/>
      <c r="K3376" s="31" t="s">
        <v>153</v>
      </c>
      <c r="L3376" s="45" t="n">
        <f aca="false">DATE(YEAR(B3376),MONTH(B3376),1)</f>
        <v>46235</v>
      </c>
      <c r="M3376" s="31" t="n">
        <f aca="false">WEEKDAY(B3376,2)</f>
        <v>1</v>
      </c>
      <c r="N3376" s="31" t="str">
        <f aca="false">IF(G3376&lt;=INDEX(Assumptions!$B$15:$B$18,MATCH(E3376,Assumptions!$A$15:$A$18,0)),"Yes","No")</f>
        <v>Yes</v>
      </c>
      <c r="O3376" s="31" t="str">
        <f aca="false">IF(H3376="","Open",IF(H3376&lt;=INDEX(Assumptions!$C$15:$C$18,MATCH(E3376,Assumptions!$A$15:$A$18,0)),"Yes","No"))</f>
        <v>No</v>
      </c>
    </row>
    <row r="3377" customFormat="false" ht="15" hidden="false" customHeight="false" outlineLevel="0" collapsed="false">
      <c r="A3377" s="31" t="s">
        <v>3527</v>
      </c>
      <c r="B3377" s="44" t="n">
        <v>46251</v>
      </c>
      <c r="C3377" s="31" t="s">
        <v>57</v>
      </c>
      <c r="D3377" s="31" t="s">
        <v>67</v>
      </c>
      <c r="E3377" s="31" t="s">
        <v>52</v>
      </c>
      <c r="F3377" s="31" t="s">
        <v>131</v>
      </c>
      <c r="G3377" s="31" t="n">
        <v>5</v>
      </c>
      <c r="H3377" s="41" t="n">
        <v>10.8</v>
      </c>
      <c r="I3377" s="31" t="s">
        <v>149</v>
      </c>
      <c r="J3377" s="31"/>
      <c r="K3377" s="31" t="s">
        <v>150</v>
      </c>
      <c r="L3377" s="45" t="n">
        <f aca="false">DATE(YEAR(B3377),MONTH(B3377),1)</f>
        <v>46235</v>
      </c>
      <c r="M3377" s="31" t="n">
        <f aca="false">WEEKDAY(B3377,2)</f>
        <v>1</v>
      </c>
      <c r="N3377" s="31" t="str">
        <f aca="false">IF(G3377&lt;=INDEX(Assumptions!$B$15:$B$18,MATCH(E3377,Assumptions!$A$15:$A$18,0)),"Yes","No")</f>
        <v>Yes</v>
      </c>
      <c r="O3377" s="31" t="str">
        <f aca="false">IF(H3377="","Open",IF(H3377&lt;=INDEX(Assumptions!$C$15:$C$18,MATCH(E3377,Assumptions!$A$15:$A$18,0)),"Yes","No"))</f>
        <v>Yes</v>
      </c>
    </row>
    <row r="3378" customFormat="false" ht="15" hidden="false" customHeight="false" outlineLevel="0" collapsed="false">
      <c r="A3378" s="31" t="s">
        <v>3528</v>
      </c>
      <c r="B3378" s="44" t="n">
        <v>46251</v>
      </c>
      <c r="C3378" s="31" t="s">
        <v>60</v>
      </c>
      <c r="D3378" s="31" t="s">
        <v>65</v>
      </c>
      <c r="E3378" s="31" t="s">
        <v>51</v>
      </c>
      <c r="F3378" s="31" t="s">
        <v>136</v>
      </c>
      <c r="G3378" s="31" t="n">
        <v>2</v>
      </c>
      <c r="H3378" s="41" t="n">
        <v>9.8</v>
      </c>
      <c r="I3378" s="31" t="s">
        <v>149</v>
      </c>
      <c r="J3378" s="31" t="n">
        <v>4</v>
      </c>
      <c r="K3378" s="31" t="s">
        <v>150</v>
      </c>
      <c r="L3378" s="45" t="n">
        <f aca="false">DATE(YEAR(B3378),MONTH(B3378),1)</f>
        <v>46235</v>
      </c>
      <c r="M3378" s="31" t="n">
        <f aca="false">WEEKDAY(B3378,2)</f>
        <v>1</v>
      </c>
      <c r="N3378" s="31" t="str">
        <f aca="false">IF(G3378&lt;=INDEX(Assumptions!$B$15:$B$18,MATCH(E3378,Assumptions!$A$15:$A$18,0)),"Yes","No")</f>
        <v>Yes</v>
      </c>
      <c r="O3378" s="31" t="str">
        <f aca="false">IF(H3378="","Open",IF(H3378&lt;=INDEX(Assumptions!$C$15:$C$18,MATCH(E3378,Assumptions!$A$15:$A$18,0)),"Yes","No"))</f>
        <v>Yes</v>
      </c>
    </row>
    <row r="3379" customFormat="false" ht="15" hidden="false" customHeight="false" outlineLevel="0" collapsed="false">
      <c r="A3379" s="31" t="s">
        <v>3529</v>
      </c>
      <c r="B3379" s="44" t="n">
        <v>46251</v>
      </c>
      <c r="C3379" s="31" t="s">
        <v>59</v>
      </c>
      <c r="D3379" s="31" t="s">
        <v>68</v>
      </c>
      <c r="E3379" s="31" t="s">
        <v>51</v>
      </c>
      <c r="F3379" s="31" t="s">
        <v>127</v>
      </c>
      <c r="G3379" s="31" t="n">
        <v>51</v>
      </c>
      <c r="H3379" s="41" t="n">
        <v>9.4</v>
      </c>
      <c r="I3379" s="31" t="s">
        <v>149</v>
      </c>
      <c r="J3379" s="31" t="n">
        <v>5</v>
      </c>
      <c r="K3379" s="31" t="s">
        <v>150</v>
      </c>
      <c r="L3379" s="45" t="n">
        <f aca="false">DATE(YEAR(B3379),MONTH(B3379),1)</f>
        <v>46235</v>
      </c>
      <c r="M3379" s="31" t="n">
        <f aca="false">WEEKDAY(B3379,2)</f>
        <v>1</v>
      </c>
      <c r="N3379" s="31" t="str">
        <f aca="false">IF(G3379&lt;=INDEX(Assumptions!$B$15:$B$18,MATCH(E3379,Assumptions!$A$15:$A$18,0)),"Yes","No")</f>
        <v>Yes</v>
      </c>
      <c r="O3379" s="31" t="str">
        <f aca="false">IF(H3379="","Open",IF(H3379&lt;=INDEX(Assumptions!$C$15:$C$18,MATCH(E3379,Assumptions!$A$15:$A$18,0)),"Yes","No"))</f>
        <v>Yes</v>
      </c>
    </row>
    <row r="3380" customFormat="false" ht="15" hidden="false" customHeight="false" outlineLevel="0" collapsed="false">
      <c r="A3380" s="31" t="s">
        <v>3530</v>
      </c>
      <c r="B3380" s="44" t="n">
        <v>46251</v>
      </c>
      <c r="C3380" s="31" t="s">
        <v>60</v>
      </c>
      <c r="D3380" s="31" t="s">
        <v>65</v>
      </c>
      <c r="E3380" s="31" t="s">
        <v>51</v>
      </c>
      <c r="F3380" s="31" t="s">
        <v>117</v>
      </c>
      <c r="G3380" s="31" t="n">
        <v>6</v>
      </c>
      <c r="H3380" s="41" t="n">
        <v>3.5</v>
      </c>
      <c r="I3380" s="31" t="s">
        <v>149</v>
      </c>
      <c r="J3380" s="31"/>
      <c r="K3380" s="31" t="s">
        <v>150</v>
      </c>
      <c r="L3380" s="45" t="n">
        <f aca="false">DATE(YEAR(B3380),MONTH(B3380),1)</f>
        <v>46235</v>
      </c>
      <c r="M3380" s="31" t="n">
        <f aca="false">WEEKDAY(B3380,2)</f>
        <v>1</v>
      </c>
      <c r="N3380" s="31" t="str">
        <f aca="false">IF(G3380&lt;=INDEX(Assumptions!$B$15:$B$18,MATCH(E3380,Assumptions!$A$15:$A$18,0)),"Yes","No")</f>
        <v>Yes</v>
      </c>
      <c r="O3380" s="31" t="str">
        <f aca="false">IF(H3380="","Open",IF(H3380&lt;=INDEX(Assumptions!$C$15:$C$18,MATCH(E3380,Assumptions!$A$15:$A$18,0)),"Yes","No"))</f>
        <v>Yes</v>
      </c>
    </row>
    <row r="3381" customFormat="false" ht="15" hidden="false" customHeight="false" outlineLevel="0" collapsed="false">
      <c r="A3381" s="31" t="s">
        <v>3531</v>
      </c>
      <c r="B3381" s="44" t="n">
        <v>46251</v>
      </c>
      <c r="C3381" s="31" t="s">
        <v>57</v>
      </c>
      <c r="D3381" s="31" t="s">
        <v>65</v>
      </c>
      <c r="E3381" s="31" t="s">
        <v>51</v>
      </c>
      <c r="F3381" s="31" t="s">
        <v>122</v>
      </c>
      <c r="G3381" s="31" t="n">
        <v>3</v>
      </c>
      <c r="H3381" s="41" t="n">
        <v>9.1</v>
      </c>
      <c r="I3381" s="31" t="s">
        <v>149</v>
      </c>
      <c r="J3381" s="31" t="n">
        <v>5</v>
      </c>
      <c r="K3381" s="31" t="s">
        <v>150</v>
      </c>
      <c r="L3381" s="45" t="n">
        <f aca="false">DATE(YEAR(B3381),MONTH(B3381),1)</f>
        <v>46235</v>
      </c>
      <c r="M3381" s="31" t="n">
        <f aca="false">WEEKDAY(B3381,2)</f>
        <v>1</v>
      </c>
      <c r="N3381" s="31" t="str">
        <f aca="false">IF(G3381&lt;=INDEX(Assumptions!$B$15:$B$18,MATCH(E3381,Assumptions!$A$15:$A$18,0)),"Yes","No")</f>
        <v>Yes</v>
      </c>
      <c r="O3381" s="31" t="str">
        <f aca="false">IF(H3381="","Open",IF(H3381&lt;=INDEX(Assumptions!$C$15:$C$18,MATCH(E3381,Assumptions!$A$15:$A$18,0)),"Yes","No"))</f>
        <v>Yes</v>
      </c>
    </row>
    <row r="3382" customFormat="false" ht="15" hidden="false" customHeight="false" outlineLevel="0" collapsed="false">
      <c r="A3382" s="31" t="s">
        <v>3532</v>
      </c>
      <c r="B3382" s="44" t="n">
        <v>46251</v>
      </c>
      <c r="C3382" s="31" t="s">
        <v>57</v>
      </c>
      <c r="D3382" s="31" t="s">
        <v>67</v>
      </c>
      <c r="E3382" s="31" t="s">
        <v>52</v>
      </c>
      <c r="F3382" s="31" t="s">
        <v>124</v>
      </c>
      <c r="G3382" s="31" t="n">
        <v>25</v>
      </c>
      <c r="H3382" s="41" t="n">
        <v>43.9</v>
      </c>
      <c r="I3382" s="31" t="s">
        <v>149</v>
      </c>
      <c r="J3382" s="31" t="n">
        <v>4</v>
      </c>
      <c r="K3382" s="31" t="s">
        <v>150</v>
      </c>
      <c r="L3382" s="45" t="n">
        <f aca="false">DATE(YEAR(B3382),MONTH(B3382),1)</f>
        <v>46235</v>
      </c>
      <c r="M3382" s="31" t="n">
        <f aca="false">WEEKDAY(B3382,2)</f>
        <v>1</v>
      </c>
      <c r="N3382" s="31" t="str">
        <f aca="false">IF(G3382&lt;=INDEX(Assumptions!$B$15:$B$18,MATCH(E3382,Assumptions!$A$15:$A$18,0)),"Yes","No")</f>
        <v>Yes</v>
      </c>
      <c r="O3382" s="31" t="str">
        <f aca="false">IF(H3382="","Open",IF(H3382&lt;=INDEX(Assumptions!$C$15:$C$18,MATCH(E3382,Assumptions!$A$15:$A$18,0)),"Yes","No"))</f>
        <v>Yes</v>
      </c>
    </row>
    <row r="3383" customFormat="false" ht="15" hidden="false" customHeight="false" outlineLevel="0" collapsed="false">
      <c r="A3383" s="31" t="s">
        <v>3533</v>
      </c>
      <c r="B3383" s="44" t="n">
        <v>46251</v>
      </c>
      <c r="C3383" s="31" t="s">
        <v>58</v>
      </c>
      <c r="D3383" s="31" t="s">
        <v>67</v>
      </c>
      <c r="E3383" s="31" t="s">
        <v>51</v>
      </c>
      <c r="F3383" s="31" t="s">
        <v>119</v>
      </c>
      <c r="G3383" s="31" t="n">
        <v>5</v>
      </c>
      <c r="H3383" s="41" t="n">
        <v>9.6</v>
      </c>
      <c r="I3383" s="31" t="s">
        <v>149</v>
      </c>
      <c r="J3383" s="31" t="n">
        <v>5</v>
      </c>
      <c r="K3383" s="31" t="s">
        <v>150</v>
      </c>
      <c r="L3383" s="45" t="n">
        <f aca="false">DATE(YEAR(B3383),MONTH(B3383),1)</f>
        <v>46235</v>
      </c>
      <c r="M3383" s="31" t="n">
        <f aca="false">WEEKDAY(B3383,2)</f>
        <v>1</v>
      </c>
      <c r="N3383" s="31" t="str">
        <f aca="false">IF(G3383&lt;=INDEX(Assumptions!$B$15:$B$18,MATCH(E3383,Assumptions!$A$15:$A$18,0)),"Yes","No")</f>
        <v>Yes</v>
      </c>
      <c r="O3383" s="31" t="str">
        <f aca="false">IF(H3383="","Open",IF(H3383&lt;=INDEX(Assumptions!$C$15:$C$18,MATCH(E3383,Assumptions!$A$15:$A$18,0)),"Yes","No"))</f>
        <v>Yes</v>
      </c>
    </row>
    <row r="3384" customFormat="false" ht="15" hidden="false" customHeight="false" outlineLevel="0" collapsed="false">
      <c r="A3384" s="31" t="s">
        <v>3534</v>
      </c>
      <c r="B3384" s="44" t="n">
        <v>46251</v>
      </c>
      <c r="C3384" s="31" t="s">
        <v>57</v>
      </c>
      <c r="D3384" s="31" t="s">
        <v>68</v>
      </c>
      <c r="E3384" s="31" t="s">
        <v>51</v>
      </c>
      <c r="F3384" s="31" t="s">
        <v>127</v>
      </c>
      <c r="G3384" s="31" t="n">
        <v>3</v>
      </c>
      <c r="H3384" s="41" t="n">
        <v>2.5</v>
      </c>
      <c r="I3384" s="31" t="s">
        <v>149</v>
      </c>
      <c r="J3384" s="31"/>
      <c r="K3384" s="31" t="s">
        <v>150</v>
      </c>
      <c r="L3384" s="45" t="n">
        <f aca="false">DATE(YEAR(B3384),MONTH(B3384),1)</f>
        <v>46235</v>
      </c>
      <c r="M3384" s="31" t="n">
        <f aca="false">WEEKDAY(B3384,2)</f>
        <v>1</v>
      </c>
      <c r="N3384" s="31" t="str">
        <f aca="false">IF(G3384&lt;=INDEX(Assumptions!$B$15:$B$18,MATCH(E3384,Assumptions!$A$15:$A$18,0)),"Yes","No")</f>
        <v>Yes</v>
      </c>
      <c r="O3384" s="31" t="str">
        <f aca="false">IF(H3384="","Open",IF(H3384&lt;=INDEX(Assumptions!$C$15:$C$18,MATCH(E3384,Assumptions!$A$15:$A$18,0)),"Yes","No"))</f>
        <v>Yes</v>
      </c>
    </row>
    <row r="3385" customFormat="false" ht="15" hidden="false" customHeight="false" outlineLevel="0" collapsed="false">
      <c r="A3385" s="31" t="s">
        <v>3535</v>
      </c>
      <c r="B3385" s="44" t="n">
        <v>46251</v>
      </c>
      <c r="C3385" s="31" t="s">
        <v>60</v>
      </c>
      <c r="D3385" s="31" t="s">
        <v>66</v>
      </c>
      <c r="E3385" s="31" t="s">
        <v>52</v>
      </c>
      <c r="F3385" s="31" t="s">
        <v>124</v>
      </c>
      <c r="G3385" s="31" t="n">
        <v>3</v>
      </c>
      <c r="H3385" s="41" t="n">
        <v>1.7</v>
      </c>
      <c r="I3385" s="31" t="s">
        <v>149</v>
      </c>
      <c r="J3385" s="31"/>
      <c r="K3385" s="31" t="s">
        <v>150</v>
      </c>
      <c r="L3385" s="45" t="n">
        <f aca="false">DATE(YEAR(B3385),MONTH(B3385),1)</f>
        <v>46235</v>
      </c>
      <c r="M3385" s="31" t="n">
        <f aca="false">WEEKDAY(B3385,2)</f>
        <v>1</v>
      </c>
      <c r="N3385" s="31" t="str">
        <f aca="false">IF(G3385&lt;=INDEX(Assumptions!$B$15:$B$18,MATCH(E3385,Assumptions!$A$15:$A$18,0)),"Yes","No")</f>
        <v>Yes</v>
      </c>
      <c r="O3385" s="31" t="str">
        <f aca="false">IF(H3385="","Open",IF(H3385&lt;=INDEX(Assumptions!$C$15:$C$18,MATCH(E3385,Assumptions!$A$15:$A$18,0)),"Yes","No"))</f>
        <v>Yes</v>
      </c>
    </row>
    <row r="3386" customFormat="false" ht="15" hidden="false" customHeight="false" outlineLevel="0" collapsed="false">
      <c r="A3386" s="31" t="s">
        <v>3536</v>
      </c>
      <c r="B3386" s="44" t="n">
        <v>46251</v>
      </c>
      <c r="C3386" s="31" t="s">
        <v>58</v>
      </c>
      <c r="D3386" s="31" t="s">
        <v>67</v>
      </c>
      <c r="E3386" s="31" t="s">
        <v>51</v>
      </c>
      <c r="F3386" s="31" t="s">
        <v>120</v>
      </c>
      <c r="G3386" s="31" t="n">
        <v>36</v>
      </c>
      <c r="H3386" s="41" t="n">
        <v>24.4</v>
      </c>
      <c r="I3386" s="31" t="s">
        <v>149</v>
      </c>
      <c r="J3386" s="31"/>
      <c r="K3386" s="31" t="s">
        <v>150</v>
      </c>
      <c r="L3386" s="45" t="n">
        <f aca="false">DATE(YEAR(B3386),MONTH(B3386),1)</f>
        <v>46235</v>
      </c>
      <c r="M3386" s="31" t="n">
        <f aca="false">WEEKDAY(B3386,2)</f>
        <v>1</v>
      </c>
      <c r="N3386" s="31" t="str">
        <f aca="false">IF(G3386&lt;=INDEX(Assumptions!$B$15:$B$18,MATCH(E3386,Assumptions!$A$15:$A$18,0)),"Yes","No")</f>
        <v>Yes</v>
      </c>
      <c r="O3386" s="31" t="str">
        <f aca="false">IF(H3386="","Open",IF(H3386&lt;=INDEX(Assumptions!$C$15:$C$18,MATCH(E3386,Assumptions!$A$15:$A$18,0)),"Yes","No"))</f>
        <v>No</v>
      </c>
    </row>
    <row r="3387" customFormat="false" ht="15" hidden="false" customHeight="false" outlineLevel="0" collapsed="false">
      <c r="A3387" s="31" t="s">
        <v>3537</v>
      </c>
      <c r="B3387" s="44" t="n">
        <v>46251</v>
      </c>
      <c r="C3387" s="31" t="s">
        <v>59</v>
      </c>
      <c r="D3387" s="31" t="s">
        <v>65</v>
      </c>
      <c r="E3387" s="31" t="s">
        <v>51</v>
      </c>
      <c r="F3387" s="31" t="s">
        <v>135</v>
      </c>
      <c r="G3387" s="31" t="n">
        <v>99</v>
      </c>
      <c r="H3387" s="41" t="n">
        <v>14.5</v>
      </c>
      <c r="I3387" s="31" t="s">
        <v>149</v>
      </c>
      <c r="J3387" s="31" t="n">
        <v>4</v>
      </c>
      <c r="K3387" s="31" t="s">
        <v>150</v>
      </c>
      <c r="L3387" s="45" t="n">
        <f aca="false">DATE(YEAR(B3387),MONTH(B3387),1)</f>
        <v>46235</v>
      </c>
      <c r="M3387" s="31" t="n">
        <f aca="false">WEEKDAY(B3387,2)</f>
        <v>1</v>
      </c>
      <c r="N3387" s="31" t="str">
        <f aca="false">IF(G3387&lt;=INDEX(Assumptions!$B$15:$B$18,MATCH(E3387,Assumptions!$A$15:$A$18,0)),"Yes","No")</f>
        <v>No</v>
      </c>
      <c r="O3387" s="31" t="str">
        <f aca="false">IF(H3387="","Open",IF(H3387&lt;=INDEX(Assumptions!$C$15:$C$18,MATCH(E3387,Assumptions!$A$15:$A$18,0)),"Yes","No"))</f>
        <v>Yes</v>
      </c>
    </row>
    <row r="3388" customFormat="false" ht="15" hidden="false" customHeight="false" outlineLevel="0" collapsed="false">
      <c r="A3388" s="31" t="s">
        <v>3538</v>
      </c>
      <c r="B3388" s="44" t="n">
        <v>46251</v>
      </c>
      <c r="C3388" s="31" t="s">
        <v>57</v>
      </c>
      <c r="D3388" s="31" t="s">
        <v>65</v>
      </c>
      <c r="E3388" s="31" t="s">
        <v>50</v>
      </c>
      <c r="F3388" s="31" t="s">
        <v>137</v>
      </c>
      <c r="G3388" s="31" t="n">
        <v>1</v>
      </c>
      <c r="H3388" s="41" t="n">
        <v>12.3</v>
      </c>
      <c r="I3388" s="31" t="s">
        <v>149</v>
      </c>
      <c r="J3388" s="31" t="n">
        <v>3</v>
      </c>
      <c r="K3388" s="31" t="s">
        <v>150</v>
      </c>
      <c r="L3388" s="45" t="n">
        <f aca="false">DATE(YEAR(B3388),MONTH(B3388),1)</f>
        <v>46235</v>
      </c>
      <c r="M3388" s="31" t="n">
        <f aca="false">WEEKDAY(B3388,2)</f>
        <v>1</v>
      </c>
      <c r="N3388" s="31" t="str">
        <f aca="false">IF(G3388&lt;=INDEX(Assumptions!$B$15:$B$18,MATCH(E3388,Assumptions!$A$15:$A$18,0)),"Yes","No")</f>
        <v>Yes</v>
      </c>
      <c r="O3388" s="31" t="str">
        <f aca="false">IF(H3388="","Open",IF(H3388&lt;=INDEX(Assumptions!$C$15:$C$18,MATCH(E3388,Assumptions!$A$15:$A$18,0)),"Yes","No"))</f>
        <v>No</v>
      </c>
    </row>
    <row r="3389" customFormat="false" ht="15" hidden="false" customHeight="false" outlineLevel="0" collapsed="false">
      <c r="A3389" s="31" t="s">
        <v>3539</v>
      </c>
      <c r="B3389" s="44" t="n">
        <v>46251</v>
      </c>
      <c r="C3389" s="31" t="s">
        <v>59</v>
      </c>
      <c r="D3389" s="31" t="s">
        <v>65</v>
      </c>
      <c r="E3389" s="31" t="s">
        <v>51</v>
      </c>
      <c r="F3389" s="31" t="s">
        <v>129</v>
      </c>
      <c r="G3389" s="31" t="n">
        <v>44</v>
      </c>
      <c r="H3389" s="41" t="n">
        <v>9.4</v>
      </c>
      <c r="I3389" s="31" t="s">
        <v>149</v>
      </c>
      <c r="J3389" s="31"/>
      <c r="K3389" s="31" t="s">
        <v>150</v>
      </c>
      <c r="L3389" s="45" t="n">
        <f aca="false">DATE(YEAR(B3389),MONTH(B3389),1)</f>
        <v>46235</v>
      </c>
      <c r="M3389" s="31" t="n">
        <f aca="false">WEEKDAY(B3389,2)</f>
        <v>1</v>
      </c>
      <c r="N3389" s="31" t="str">
        <f aca="false">IF(G3389&lt;=INDEX(Assumptions!$B$15:$B$18,MATCH(E3389,Assumptions!$A$15:$A$18,0)),"Yes","No")</f>
        <v>Yes</v>
      </c>
      <c r="O3389" s="31" t="str">
        <f aca="false">IF(H3389="","Open",IF(H3389&lt;=INDEX(Assumptions!$C$15:$C$18,MATCH(E3389,Assumptions!$A$15:$A$18,0)),"Yes","No"))</f>
        <v>Yes</v>
      </c>
    </row>
    <row r="3390" customFormat="false" ht="15" hidden="false" customHeight="false" outlineLevel="0" collapsed="false">
      <c r="A3390" s="31" t="s">
        <v>3540</v>
      </c>
      <c r="B3390" s="44" t="n">
        <v>46251</v>
      </c>
      <c r="C3390" s="31" t="s">
        <v>58</v>
      </c>
      <c r="D3390" s="31" t="s">
        <v>65</v>
      </c>
      <c r="E3390" s="31" t="s">
        <v>51</v>
      </c>
      <c r="F3390" s="31" t="s">
        <v>135</v>
      </c>
      <c r="G3390" s="31" t="n">
        <v>38</v>
      </c>
      <c r="H3390" s="41" t="n">
        <v>40</v>
      </c>
      <c r="I3390" s="31" t="s">
        <v>64</v>
      </c>
      <c r="J3390" s="31" t="n">
        <v>2</v>
      </c>
      <c r="K3390" s="31" t="s">
        <v>150</v>
      </c>
      <c r="L3390" s="45" t="n">
        <f aca="false">DATE(YEAR(B3390),MONTH(B3390),1)</f>
        <v>46235</v>
      </c>
      <c r="M3390" s="31" t="n">
        <f aca="false">WEEKDAY(B3390,2)</f>
        <v>1</v>
      </c>
      <c r="N3390" s="31" t="str">
        <f aca="false">IF(G3390&lt;=INDEX(Assumptions!$B$15:$B$18,MATCH(E3390,Assumptions!$A$15:$A$18,0)),"Yes","No")</f>
        <v>Yes</v>
      </c>
      <c r="O3390" s="31" t="str">
        <f aca="false">IF(H3390="","Open",IF(H3390&lt;=INDEX(Assumptions!$C$15:$C$18,MATCH(E3390,Assumptions!$A$15:$A$18,0)),"Yes","No"))</f>
        <v>No</v>
      </c>
    </row>
    <row r="3391" customFormat="false" ht="15" hidden="false" customHeight="false" outlineLevel="0" collapsed="false">
      <c r="A3391" s="31" t="s">
        <v>3541</v>
      </c>
      <c r="B3391" s="44" t="n">
        <v>46251</v>
      </c>
      <c r="C3391" s="31" t="s">
        <v>59</v>
      </c>
      <c r="D3391" s="31" t="s">
        <v>65</v>
      </c>
      <c r="E3391" s="31" t="s">
        <v>49</v>
      </c>
      <c r="F3391" s="31" t="s">
        <v>135</v>
      </c>
      <c r="G3391" s="31" t="n">
        <v>127</v>
      </c>
      <c r="H3391" s="41" t="n">
        <v>8.1</v>
      </c>
      <c r="I3391" s="31" t="s">
        <v>64</v>
      </c>
      <c r="J3391" s="31"/>
      <c r="K3391" s="31" t="s">
        <v>150</v>
      </c>
      <c r="L3391" s="45" t="n">
        <f aca="false">DATE(YEAR(B3391),MONTH(B3391),1)</f>
        <v>46235</v>
      </c>
      <c r="M3391" s="31" t="n">
        <f aca="false">WEEKDAY(B3391,2)</f>
        <v>1</v>
      </c>
      <c r="N3391" s="31" t="str">
        <f aca="false">IF(G3391&lt;=INDEX(Assumptions!$B$15:$B$18,MATCH(E3391,Assumptions!$A$15:$A$18,0)),"Yes","No")</f>
        <v>No</v>
      </c>
      <c r="O3391" s="31" t="str">
        <f aca="false">IF(H3391="","Open",IF(H3391&lt;=INDEX(Assumptions!$C$15:$C$18,MATCH(E3391,Assumptions!$A$15:$A$18,0)),"Yes","No"))</f>
        <v>No</v>
      </c>
    </row>
    <row r="3392" customFormat="false" ht="15" hidden="false" customHeight="false" outlineLevel="0" collapsed="false">
      <c r="A3392" s="31" t="s">
        <v>3542</v>
      </c>
      <c r="B3392" s="44" t="n">
        <v>46251</v>
      </c>
      <c r="C3392" s="31" t="s">
        <v>60</v>
      </c>
      <c r="D3392" s="31" t="s">
        <v>65</v>
      </c>
      <c r="E3392" s="31" t="s">
        <v>52</v>
      </c>
      <c r="F3392" s="31" t="s">
        <v>123</v>
      </c>
      <c r="G3392" s="31" t="n">
        <v>3</v>
      </c>
      <c r="H3392" s="41" t="n">
        <v>13</v>
      </c>
      <c r="I3392" s="31" t="s">
        <v>149</v>
      </c>
      <c r="J3392" s="31"/>
      <c r="K3392" s="31" t="s">
        <v>150</v>
      </c>
      <c r="L3392" s="45" t="n">
        <f aca="false">DATE(YEAR(B3392),MONTH(B3392),1)</f>
        <v>46235</v>
      </c>
      <c r="M3392" s="31" t="n">
        <f aca="false">WEEKDAY(B3392,2)</f>
        <v>1</v>
      </c>
      <c r="N3392" s="31" t="str">
        <f aca="false">IF(G3392&lt;=INDEX(Assumptions!$B$15:$B$18,MATCH(E3392,Assumptions!$A$15:$A$18,0)),"Yes","No")</f>
        <v>Yes</v>
      </c>
      <c r="O3392" s="31" t="str">
        <f aca="false">IF(H3392="","Open",IF(H3392&lt;=INDEX(Assumptions!$C$15:$C$18,MATCH(E3392,Assumptions!$A$15:$A$18,0)),"Yes","No"))</f>
        <v>Yes</v>
      </c>
    </row>
    <row r="3393" customFormat="false" ht="15" hidden="false" customHeight="false" outlineLevel="0" collapsed="false">
      <c r="A3393" s="31" t="s">
        <v>3543</v>
      </c>
      <c r="B3393" s="44" t="n">
        <v>46251</v>
      </c>
      <c r="C3393" s="31" t="s">
        <v>60</v>
      </c>
      <c r="D3393" s="31" t="s">
        <v>65</v>
      </c>
      <c r="E3393" s="31" t="s">
        <v>51</v>
      </c>
      <c r="F3393" s="31" t="s">
        <v>128</v>
      </c>
      <c r="G3393" s="31" t="n">
        <v>1</v>
      </c>
      <c r="H3393" s="41" t="n">
        <v>45.8</v>
      </c>
      <c r="I3393" s="31" t="s">
        <v>149</v>
      </c>
      <c r="J3393" s="31"/>
      <c r="K3393" s="31" t="s">
        <v>150</v>
      </c>
      <c r="L3393" s="45" t="n">
        <f aca="false">DATE(YEAR(B3393),MONTH(B3393),1)</f>
        <v>46235</v>
      </c>
      <c r="M3393" s="31" t="n">
        <f aca="false">WEEKDAY(B3393,2)</f>
        <v>1</v>
      </c>
      <c r="N3393" s="31" t="str">
        <f aca="false">IF(G3393&lt;=INDEX(Assumptions!$B$15:$B$18,MATCH(E3393,Assumptions!$A$15:$A$18,0)),"Yes","No")</f>
        <v>Yes</v>
      </c>
      <c r="O3393" s="31" t="str">
        <f aca="false">IF(H3393="","Open",IF(H3393&lt;=INDEX(Assumptions!$C$15:$C$18,MATCH(E3393,Assumptions!$A$15:$A$18,0)),"Yes","No"))</f>
        <v>No</v>
      </c>
    </row>
    <row r="3394" customFormat="false" ht="15" hidden="false" customHeight="false" outlineLevel="0" collapsed="false">
      <c r="A3394" s="31" t="s">
        <v>3544</v>
      </c>
      <c r="B3394" s="44" t="n">
        <v>46251</v>
      </c>
      <c r="C3394" s="31" t="s">
        <v>57</v>
      </c>
      <c r="D3394" s="31" t="s">
        <v>65</v>
      </c>
      <c r="E3394" s="31" t="s">
        <v>50</v>
      </c>
      <c r="F3394" s="31" t="s">
        <v>122</v>
      </c>
      <c r="G3394" s="31" t="n">
        <v>1</v>
      </c>
      <c r="H3394" s="41" t="n">
        <v>19</v>
      </c>
      <c r="I3394" s="31" t="s">
        <v>149</v>
      </c>
      <c r="J3394" s="31"/>
      <c r="K3394" s="31" t="s">
        <v>150</v>
      </c>
      <c r="L3394" s="45" t="n">
        <f aca="false">DATE(YEAR(B3394),MONTH(B3394),1)</f>
        <v>46235</v>
      </c>
      <c r="M3394" s="31" t="n">
        <f aca="false">WEEKDAY(B3394,2)</f>
        <v>1</v>
      </c>
      <c r="N3394" s="31" t="str">
        <f aca="false">IF(G3394&lt;=INDEX(Assumptions!$B$15:$B$18,MATCH(E3394,Assumptions!$A$15:$A$18,0)),"Yes","No")</f>
        <v>Yes</v>
      </c>
      <c r="O3394" s="31" t="str">
        <f aca="false">IF(H3394="","Open",IF(H3394&lt;=INDEX(Assumptions!$C$15:$C$18,MATCH(E3394,Assumptions!$A$15:$A$18,0)),"Yes","No"))</f>
        <v>No</v>
      </c>
    </row>
    <row r="3395" customFormat="false" ht="15" hidden="false" customHeight="false" outlineLevel="0" collapsed="false">
      <c r="A3395" s="31" t="s">
        <v>3545</v>
      </c>
      <c r="B3395" s="44" t="n">
        <v>46251</v>
      </c>
      <c r="C3395" s="31" t="s">
        <v>59</v>
      </c>
      <c r="D3395" s="31" t="s">
        <v>67</v>
      </c>
      <c r="E3395" s="31" t="s">
        <v>50</v>
      </c>
      <c r="F3395" s="31" t="s">
        <v>123</v>
      </c>
      <c r="G3395" s="31" t="n">
        <v>68</v>
      </c>
      <c r="H3395" s="41" t="n">
        <v>39.4</v>
      </c>
      <c r="I3395" s="31" t="s">
        <v>64</v>
      </c>
      <c r="J3395" s="31"/>
      <c r="K3395" s="31" t="s">
        <v>150</v>
      </c>
      <c r="L3395" s="45" t="n">
        <f aca="false">DATE(YEAR(B3395),MONTH(B3395),1)</f>
        <v>46235</v>
      </c>
      <c r="M3395" s="31" t="n">
        <f aca="false">WEEKDAY(B3395,2)</f>
        <v>1</v>
      </c>
      <c r="N3395" s="31" t="str">
        <f aca="false">IF(G3395&lt;=INDEX(Assumptions!$B$15:$B$18,MATCH(E3395,Assumptions!$A$15:$A$18,0)),"Yes","No")</f>
        <v>No</v>
      </c>
      <c r="O3395" s="31" t="str">
        <f aca="false">IF(H3395="","Open",IF(H3395&lt;=INDEX(Assumptions!$C$15:$C$18,MATCH(E3395,Assumptions!$A$15:$A$18,0)),"Yes","No"))</f>
        <v>No</v>
      </c>
    </row>
    <row r="3396" customFormat="false" ht="15" hidden="false" customHeight="false" outlineLevel="0" collapsed="false">
      <c r="A3396" s="31" t="s">
        <v>3546</v>
      </c>
      <c r="B3396" s="44" t="n">
        <v>46251</v>
      </c>
      <c r="C3396" s="31" t="s">
        <v>59</v>
      </c>
      <c r="D3396" s="31" t="s">
        <v>67</v>
      </c>
      <c r="E3396" s="31" t="s">
        <v>52</v>
      </c>
      <c r="F3396" s="31" t="s">
        <v>117</v>
      </c>
      <c r="G3396" s="31" t="n">
        <v>44</v>
      </c>
      <c r="H3396" s="41" t="n">
        <v>209.2</v>
      </c>
      <c r="I3396" s="31" t="s">
        <v>64</v>
      </c>
      <c r="J3396" s="31" t="n">
        <v>3</v>
      </c>
      <c r="K3396" s="31" t="s">
        <v>153</v>
      </c>
      <c r="L3396" s="45" t="n">
        <f aca="false">DATE(YEAR(B3396),MONTH(B3396),1)</f>
        <v>46235</v>
      </c>
      <c r="M3396" s="31" t="n">
        <f aca="false">WEEKDAY(B3396,2)</f>
        <v>1</v>
      </c>
      <c r="N3396" s="31" t="str">
        <f aca="false">IF(G3396&lt;=INDEX(Assumptions!$B$15:$B$18,MATCH(E3396,Assumptions!$A$15:$A$18,0)),"Yes","No")</f>
        <v>Yes</v>
      </c>
      <c r="O3396" s="31" t="str">
        <f aca="false">IF(H3396="","Open",IF(H3396&lt;=INDEX(Assumptions!$C$15:$C$18,MATCH(E3396,Assumptions!$A$15:$A$18,0)),"Yes","No"))</f>
        <v>No</v>
      </c>
    </row>
    <row r="3397" customFormat="false" ht="15" hidden="false" customHeight="false" outlineLevel="0" collapsed="false">
      <c r="A3397" s="31" t="s">
        <v>3547</v>
      </c>
      <c r="B3397" s="44" t="n">
        <v>46251</v>
      </c>
      <c r="C3397" s="31" t="s">
        <v>59</v>
      </c>
      <c r="D3397" s="31" t="s">
        <v>67</v>
      </c>
      <c r="E3397" s="31" t="s">
        <v>49</v>
      </c>
      <c r="F3397" s="31" t="s">
        <v>117</v>
      </c>
      <c r="G3397" s="31" t="n">
        <v>62</v>
      </c>
      <c r="H3397" s="41" t="n">
        <v>5.8</v>
      </c>
      <c r="I3397" s="31" t="s">
        <v>149</v>
      </c>
      <c r="J3397" s="31" t="n">
        <v>3</v>
      </c>
      <c r="K3397" s="31" t="s">
        <v>150</v>
      </c>
      <c r="L3397" s="45" t="n">
        <f aca="false">DATE(YEAR(B3397),MONTH(B3397),1)</f>
        <v>46235</v>
      </c>
      <c r="M3397" s="31" t="n">
        <f aca="false">WEEKDAY(B3397,2)</f>
        <v>1</v>
      </c>
      <c r="N3397" s="31" t="str">
        <f aca="false">IF(G3397&lt;=INDEX(Assumptions!$B$15:$B$18,MATCH(E3397,Assumptions!$A$15:$A$18,0)),"Yes","No")</f>
        <v>No</v>
      </c>
      <c r="O3397" s="31" t="str">
        <f aca="false">IF(H3397="","Open",IF(H3397&lt;=INDEX(Assumptions!$C$15:$C$18,MATCH(E3397,Assumptions!$A$15:$A$18,0)),"Yes","No"))</f>
        <v>No</v>
      </c>
    </row>
    <row r="3398" customFormat="false" ht="15" hidden="false" customHeight="false" outlineLevel="0" collapsed="false">
      <c r="A3398" s="31" t="s">
        <v>3548</v>
      </c>
      <c r="B3398" s="44" t="n">
        <v>46251</v>
      </c>
      <c r="C3398" s="31" t="s">
        <v>57</v>
      </c>
      <c r="D3398" s="31" t="s">
        <v>66</v>
      </c>
      <c r="E3398" s="31" t="s">
        <v>51</v>
      </c>
      <c r="F3398" s="31" t="s">
        <v>129</v>
      </c>
      <c r="G3398" s="31" t="n">
        <v>2</v>
      </c>
      <c r="H3398" s="41" t="n">
        <v>2.9</v>
      </c>
      <c r="I3398" s="31" t="s">
        <v>149</v>
      </c>
      <c r="J3398" s="31" t="n">
        <v>4</v>
      </c>
      <c r="K3398" s="31" t="s">
        <v>150</v>
      </c>
      <c r="L3398" s="45" t="n">
        <f aca="false">DATE(YEAR(B3398),MONTH(B3398),1)</f>
        <v>46235</v>
      </c>
      <c r="M3398" s="31" t="n">
        <f aca="false">WEEKDAY(B3398,2)</f>
        <v>1</v>
      </c>
      <c r="N3398" s="31" t="str">
        <f aca="false">IF(G3398&lt;=INDEX(Assumptions!$B$15:$B$18,MATCH(E3398,Assumptions!$A$15:$A$18,0)),"Yes","No")</f>
        <v>Yes</v>
      </c>
      <c r="O3398" s="31" t="str">
        <f aca="false">IF(H3398="","Open",IF(H3398&lt;=INDEX(Assumptions!$C$15:$C$18,MATCH(E3398,Assumptions!$A$15:$A$18,0)),"Yes","No"))</f>
        <v>Yes</v>
      </c>
    </row>
    <row r="3399" customFormat="false" ht="15" hidden="false" customHeight="false" outlineLevel="0" collapsed="false">
      <c r="A3399" s="31" t="s">
        <v>3549</v>
      </c>
      <c r="B3399" s="44" t="n">
        <v>46251</v>
      </c>
      <c r="C3399" s="31" t="s">
        <v>58</v>
      </c>
      <c r="D3399" s="31" t="s">
        <v>66</v>
      </c>
      <c r="E3399" s="31" t="s">
        <v>52</v>
      </c>
      <c r="F3399" s="31" t="s">
        <v>121</v>
      </c>
      <c r="G3399" s="31" t="n">
        <v>67</v>
      </c>
      <c r="H3399" s="41" t="n">
        <v>27.9</v>
      </c>
      <c r="I3399" s="31" t="s">
        <v>149</v>
      </c>
      <c r="J3399" s="31" t="n">
        <v>4</v>
      </c>
      <c r="K3399" s="31" t="s">
        <v>150</v>
      </c>
      <c r="L3399" s="45" t="n">
        <f aca="false">DATE(YEAR(B3399),MONTH(B3399),1)</f>
        <v>46235</v>
      </c>
      <c r="M3399" s="31" t="n">
        <f aca="false">WEEKDAY(B3399,2)</f>
        <v>1</v>
      </c>
      <c r="N3399" s="31" t="str">
        <f aca="false">IF(G3399&lt;=INDEX(Assumptions!$B$15:$B$18,MATCH(E3399,Assumptions!$A$15:$A$18,0)),"Yes","No")</f>
        <v>Yes</v>
      </c>
      <c r="O3399" s="31" t="str">
        <f aca="false">IF(H3399="","Open",IF(H3399&lt;=INDEX(Assumptions!$C$15:$C$18,MATCH(E3399,Assumptions!$A$15:$A$18,0)),"Yes","No"))</f>
        <v>Yes</v>
      </c>
    </row>
    <row r="3400" customFormat="false" ht="15" hidden="false" customHeight="false" outlineLevel="0" collapsed="false">
      <c r="A3400" s="31" t="s">
        <v>3550</v>
      </c>
      <c r="B3400" s="44" t="n">
        <v>46251</v>
      </c>
      <c r="C3400" s="31" t="s">
        <v>58</v>
      </c>
      <c r="D3400" s="31" t="s">
        <v>67</v>
      </c>
      <c r="E3400" s="31" t="s">
        <v>51</v>
      </c>
      <c r="F3400" s="31" t="s">
        <v>131</v>
      </c>
      <c r="G3400" s="31" t="n">
        <v>12</v>
      </c>
      <c r="H3400" s="41" t="n">
        <v>20</v>
      </c>
      <c r="I3400" s="31" t="s">
        <v>149</v>
      </c>
      <c r="J3400" s="31" t="n">
        <v>5</v>
      </c>
      <c r="K3400" s="31" t="s">
        <v>150</v>
      </c>
      <c r="L3400" s="45" t="n">
        <f aca="false">DATE(YEAR(B3400),MONTH(B3400),1)</f>
        <v>46235</v>
      </c>
      <c r="M3400" s="31" t="n">
        <f aca="false">WEEKDAY(B3400,2)</f>
        <v>1</v>
      </c>
      <c r="N3400" s="31" t="str">
        <f aca="false">IF(G3400&lt;=INDEX(Assumptions!$B$15:$B$18,MATCH(E3400,Assumptions!$A$15:$A$18,0)),"Yes","No")</f>
        <v>Yes</v>
      </c>
      <c r="O3400" s="31" t="str">
        <f aca="false">IF(H3400="","Open",IF(H3400&lt;=INDEX(Assumptions!$C$15:$C$18,MATCH(E3400,Assumptions!$A$15:$A$18,0)),"Yes","No"))</f>
        <v>Yes</v>
      </c>
    </row>
    <row r="3401" customFormat="false" ht="15" hidden="false" customHeight="false" outlineLevel="0" collapsed="false">
      <c r="A3401" s="31" t="s">
        <v>3551</v>
      </c>
      <c r="B3401" s="44" t="n">
        <v>46251</v>
      </c>
      <c r="C3401" s="31" t="s">
        <v>57</v>
      </c>
      <c r="D3401" s="31" t="s">
        <v>65</v>
      </c>
      <c r="E3401" s="31" t="s">
        <v>49</v>
      </c>
      <c r="F3401" s="31" t="s">
        <v>134</v>
      </c>
      <c r="G3401" s="31" t="n">
        <v>2</v>
      </c>
      <c r="H3401" s="41" t="n">
        <v>7.8</v>
      </c>
      <c r="I3401" s="31" t="s">
        <v>149</v>
      </c>
      <c r="J3401" s="31" t="n">
        <v>3</v>
      </c>
      <c r="K3401" s="31" t="s">
        <v>150</v>
      </c>
      <c r="L3401" s="45" t="n">
        <f aca="false">DATE(YEAR(B3401),MONTH(B3401),1)</f>
        <v>46235</v>
      </c>
      <c r="M3401" s="31" t="n">
        <f aca="false">WEEKDAY(B3401,2)</f>
        <v>1</v>
      </c>
      <c r="N3401" s="31" t="str">
        <f aca="false">IF(G3401&lt;=INDEX(Assumptions!$B$15:$B$18,MATCH(E3401,Assumptions!$A$15:$A$18,0)),"Yes","No")</f>
        <v>Yes</v>
      </c>
      <c r="O3401" s="31" t="str">
        <f aca="false">IF(H3401="","Open",IF(H3401&lt;=INDEX(Assumptions!$C$15:$C$18,MATCH(E3401,Assumptions!$A$15:$A$18,0)),"Yes","No"))</f>
        <v>No</v>
      </c>
    </row>
    <row r="3402" customFormat="false" ht="15" hidden="false" customHeight="false" outlineLevel="0" collapsed="false">
      <c r="A3402" s="31" t="s">
        <v>3552</v>
      </c>
      <c r="B3402" s="44" t="n">
        <v>46251</v>
      </c>
      <c r="C3402" s="31" t="s">
        <v>59</v>
      </c>
      <c r="D3402" s="31" t="s">
        <v>67</v>
      </c>
      <c r="E3402" s="31" t="s">
        <v>52</v>
      </c>
      <c r="F3402" s="31" t="s">
        <v>126</v>
      </c>
      <c r="G3402" s="31" t="n">
        <v>99</v>
      </c>
      <c r="H3402" s="41" t="n">
        <v>18.2</v>
      </c>
      <c r="I3402" s="31" t="s">
        <v>149</v>
      </c>
      <c r="J3402" s="31"/>
      <c r="K3402" s="31" t="s">
        <v>150</v>
      </c>
      <c r="L3402" s="45" t="n">
        <f aca="false">DATE(YEAR(B3402),MONTH(B3402),1)</f>
        <v>46235</v>
      </c>
      <c r="M3402" s="31" t="n">
        <f aca="false">WEEKDAY(B3402,2)</f>
        <v>1</v>
      </c>
      <c r="N3402" s="31" t="str">
        <f aca="false">IF(G3402&lt;=INDEX(Assumptions!$B$15:$B$18,MATCH(E3402,Assumptions!$A$15:$A$18,0)),"Yes","No")</f>
        <v>Yes</v>
      </c>
      <c r="O3402" s="31" t="str">
        <f aca="false">IF(H3402="","Open",IF(H3402&lt;=INDEX(Assumptions!$C$15:$C$18,MATCH(E3402,Assumptions!$A$15:$A$18,0)),"Yes","No"))</f>
        <v>Yes</v>
      </c>
    </row>
    <row r="3403" customFormat="false" ht="15" hidden="false" customHeight="false" outlineLevel="0" collapsed="false">
      <c r="A3403" s="31" t="s">
        <v>3553</v>
      </c>
      <c r="B3403" s="44" t="n">
        <v>46251</v>
      </c>
      <c r="C3403" s="31" t="s">
        <v>58</v>
      </c>
      <c r="D3403" s="31" t="s">
        <v>69</v>
      </c>
      <c r="E3403" s="31" t="s">
        <v>52</v>
      </c>
      <c r="F3403" s="31" t="s">
        <v>122</v>
      </c>
      <c r="G3403" s="31" t="n">
        <v>8</v>
      </c>
      <c r="H3403" s="41" t="n">
        <v>61.4</v>
      </c>
      <c r="I3403" s="31" t="s">
        <v>149</v>
      </c>
      <c r="J3403" s="31"/>
      <c r="K3403" s="31" t="s">
        <v>150</v>
      </c>
      <c r="L3403" s="45" t="n">
        <f aca="false">DATE(YEAR(B3403),MONTH(B3403),1)</f>
        <v>46235</v>
      </c>
      <c r="M3403" s="31" t="n">
        <f aca="false">WEEKDAY(B3403,2)</f>
        <v>1</v>
      </c>
      <c r="N3403" s="31" t="str">
        <f aca="false">IF(G3403&lt;=INDEX(Assumptions!$B$15:$B$18,MATCH(E3403,Assumptions!$A$15:$A$18,0)),"Yes","No")</f>
        <v>Yes</v>
      </c>
      <c r="O3403" s="31" t="str">
        <f aca="false">IF(H3403="","Open",IF(H3403&lt;=INDEX(Assumptions!$C$15:$C$18,MATCH(E3403,Assumptions!$A$15:$A$18,0)),"Yes","No"))</f>
        <v>Yes</v>
      </c>
    </row>
    <row r="3404" customFormat="false" ht="15" hidden="false" customHeight="false" outlineLevel="0" collapsed="false">
      <c r="A3404" s="31" t="s">
        <v>3554</v>
      </c>
      <c r="B3404" s="44" t="n">
        <v>46251</v>
      </c>
      <c r="C3404" s="31" t="s">
        <v>60</v>
      </c>
      <c r="D3404" s="31" t="s">
        <v>68</v>
      </c>
      <c r="E3404" s="31" t="s">
        <v>52</v>
      </c>
      <c r="F3404" s="31" t="s">
        <v>123</v>
      </c>
      <c r="G3404" s="31" t="n">
        <v>4</v>
      </c>
      <c r="H3404" s="41" t="n">
        <v>7</v>
      </c>
      <c r="I3404" s="31" t="s">
        <v>149</v>
      </c>
      <c r="J3404" s="31"/>
      <c r="K3404" s="31" t="s">
        <v>150</v>
      </c>
      <c r="L3404" s="45" t="n">
        <f aca="false">DATE(YEAR(B3404),MONTH(B3404),1)</f>
        <v>46235</v>
      </c>
      <c r="M3404" s="31" t="n">
        <f aca="false">WEEKDAY(B3404,2)</f>
        <v>1</v>
      </c>
      <c r="N3404" s="31" t="str">
        <f aca="false">IF(G3404&lt;=INDEX(Assumptions!$B$15:$B$18,MATCH(E3404,Assumptions!$A$15:$A$18,0)),"Yes","No")</f>
        <v>Yes</v>
      </c>
      <c r="O3404" s="31" t="str">
        <f aca="false">IF(H3404="","Open",IF(H3404&lt;=INDEX(Assumptions!$C$15:$C$18,MATCH(E3404,Assumptions!$A$15:$A$18,0)),"Yes","No"))</f>
        <v>Yes</v>
      </c>
    </row>
    <row r="3405" customFormat="false" ht="15" hidden="false" customHeight="false" outlineLevel="0" collapsed="false">
      <c r="A3405" s="31" t="s">
        <v>3555</v>
      </c>
      <c r="B3405" s="44" t="n">
        <v>46251</v>
      </c>
      <c r="C3405" s="31" t="s">
        <v>58</v>
      </c>
      <c r="D3405" s="31" t="s">
        <v>65</v>
      </c>
      <c r="E3405" s="31" t="s">
        <v>51</v>
      </c>
      <c r="F3405" s="31" t="s">
        <v>134</v>
      </c>
      <c r="G3405" s="31" t="n">
        <v>10</v>
      </c>
      <c r="H3405" s="41" t="n">
        <v>32.4</v>
      </c>
      <c r="I3405" s="31" t="s">
        <v>149</v>
      </c>
      <c r="J3405" s="31"/>
      <c r="K3405" s="31" t="s">
        <v>150</v>
      </c>
      <c r="L3405" s="45" t="n">
        <f aca="false">DATE(YEAR(B3405),MONTH(B3405),1)</f>
        <v>46235</v>
      </c>
      <c r="M3405" s="31" t="n">
        <f aca="false">WEEKDAY(B3405,2)</f>
        <v>1</v>
      </c>
      <c r="N3405" s="31" t="str">
        <f aca="false">IF(G3405&lt;=INDEX(Assumptions!$B$15:$B$18,MATCH(E3405,Assumptions!$A$15:$A$18,0)),"Yes","No")</f>
        <v>Yes</v>
      </c>
      <c r="O3405" s="31" t="str">
        <f aca="false">IF(H3405="","Open",IF(H3405&lt;=INDEX(Assumptions!$C$15:$C$18,MATCH(E3405,Assumptions!$A$15:$A$18,0)),"Yes","No"))</f>
        <v>No</v>
      </c>
    </row>
    <row r="3406" customFormat="false" ht="15" hidden="false" customHeight="false" outlineLevel="0" collapsed="false">
      <c r="A3406" s="31" t="s">
        <v>3556</v>
      </c>
      <c r="B3406" s="44" t="n">
        <v>46251</v>
      </c>
      <c r="C3406" s="31" t="s">
        <v>58</v>
      </c>
      <c r="D3406" s="31" t="s">
        <v>67</v>
      </c>
      <c r="E3406" s="31" t="s">
        <v>50</v>
      </c>
      <c r="F3406" s="31" t="s">
        <v>136</v>
      </c>
      <c r="G3406" s="31" t="n">
        <v>5</v>
      </c>
      <c r="H3406" s="41" t="n">
        <v>33</v>
      </c>
      <c r="I3406" s="31" t="s">
        <v>149</v>
      </c>
      <c r="J3406" s="31"/>
      <c r="K3406" s="31" t="s">
        <v>150</v>
      </c>
      <c r="L3406" s="45" t="n">
        <f aca="false">DATE(YEAR(B3406),MONTH(B3406),1)</f>
        <v>46235</v>
      </c>
      <c r="M3406" s="31" t="n">
        <f aca="false">WEEKDAY(B3406,2)</f>
        <v>1</v>
      </c>
      <c r="N3406" s="31" t="str">
        <f aca="false">IF(G3406&lt;=INDEX(Assumptions!$B$15:$B$18,MATCH(E3406,Assumptions!$A$15:$A$18,0)),"Yes","No")</f>
        <v>Yes</v>
      </c>
      <c r="O3406" s="31" t="str">
        <f aca="false">IF(H3406="","Open",IF(H3406&lt;=INDEX(Assumptions!$C$15:$C$18,MATCH(E3406,Assumptions!$A$15:$A$18,0)),"Yes","No"))</f>
        <v>No</v>
      </c>
    </row>
    <row r="3407" customFormat="false" ht="15" hidden="false" customHeight="false" outlineLevel="0" collapsed="false">
      <c r="A3407" s="31" t="s">
        <v>3557</v>
      </c>
      <c r="B3407" s="44" t="n">
        <v>46251</v>
      </c>
      <c r="C3407" s="31" t="s">
        <v>57</v>
      </c>
      <c r="D3407" s="31" t="s">
        <v>66</v>
      </c>
      <c r="E3407" s="31" t="s">
        <v>52</v>
      </c>
      <c r="F3407" s="31" t="s">
        <v>121</v>
      </c>
      <c r="G3407" s="31" t="n">
        <v>18</v>
      </c>
      <c r="H3407" s="41" t="n">
        <v>7.5</v>
      </c>
      <c r="I3407" s="31" t="s">
        <v>149</v>
      </c>
      <c r="J3407" s="31"/>
      <c r="K3407" s="31" t="s">
        <v>150</v>
      </c>
      <c r="L3407" s="45" t="n">
        <f aca="false">DATE(YEAR(B3407),MONTH(B3407),1)</f>
        <v>46235</v>
      </c>
      <c r="M3407" s="31" t="n">
        <f aca="false">WEEKDAY(B3407,2)</f>
        <v>1</v>
      </c>
      <c r="N3407" s="31" t="str">
        <f aca="false">IF(G3407&lt;=INDEX(Assumptions!$B$15:$B$18,MATCH(E3407,Assumptions!$A$15:$A$18,0)),"Yes","No")</f>
        <v>Yes</v>
      </c>
      <c r="O3407" s="31" t="str">
        <f aca="false">IF(H3407="","Open",IF(H3407&lt;=INDEX(Assumptions!$C$15:$C$18,MATCH(E3407,Assumptions!$A$15:$A$18,0)),"Yes","No"))</f>
        <v>Yes</v>
      </c>
    </row>
    <row r="3408" customFormat="false" ht="15" hidden="false" customHeight="false" outlineLevel="0" collapsed="false">
      <c r="A3408" s="31" t="s">
        <v>3558</v>
      </c>
      <c r="B3408" s="44" t="n">
        <v>46251</v>
      </c>
      <c r="C3408" s="31" t="s">
        <v>59</v>
      </c>
      <c r="D3408" s="31" t="s">
        <v>68</v>
      </c>
      <c r="E3408" s="31" t="s">
        <v>52</v>
      </c>
      <c r="F3408" s="31" t="s">
        <v>134</v>
      </c>
      <c r="G3408" s="31" t="n">
        <v>218</v>
      </c>
      <c r="H3408" s="41" t="n">
        <v>6.7</v>
      </c>
      <c r="I3408" s="31" t="s">
        <v>149</v>
      </c>
      <c r="J3408" s="31" t="n">
        <v>4</v>
      </c>
      <c r="K3408" s="31" t="s">
        <v>150</v>
      </c>
      <c r="L3408" s="45" t="n">
        <f aca="false">DATE(YEAR(B3408),MONTH(B3408),1)</f>
        <v>46235</v>
      </c>
      <c r="M3408" s="31" t="n">
        <f aca="false">WEEKDAY(B3408,2)</f>
        <v>1</v>
      </c>
      <c r="N3408" s="31" t="str">
        <f aca="false">IF(G3408&lt;=INDEX(Assumptions!$B$15:$B$18,MATCH(E3408,Assumptions!$A$15:$A$18,0)),"Yes","No")</f>
        <v>Yes</v>
      </c>
      <c r="O3408" s="31" t="str">
        <f aca="false">IF(H3408="","Open",IF(H3408&lt;=INDEX(Assumptions!$C$15:$C$18,MATCH(E3408,Assumptions!$A$15:$A$18,0)),"Yes","No"))</f>
        <v>Yes</v>
      </c>
    </row>
    <row r="3409" customFormat="false" ht="15" hidden="false" customHeight="false" outlineLevel="0" collapsed="false">
      <c r="A3409" s="31" t="s">
        <v>3559</v>
      </c>
      <c r="B3409" s="44" t="n">
        <v>46251</v>
      </c>
      <c r="C3409" s="31" t="s">
        <v>57</v>
      </c>
      <c r="D3409" s="31" t="s">
        <v>66</v>
      </c>
      <c r="E3409" s="31" t="s">
        <v>52</v>
      </c>
      <c r="F3409" s="31" t="s">
        <v>122</v>
      </c>
      <c r="G3409" s="31" t="n">
        <v>4</v>
      </c>
      <c r="H3409" s="41" t="n">
        <v>3.2</v>
      </c>
      <c r="I3409" s="31" t="s">
        <v>149</v>
      </c>
      <c r="J3409" s="31" t="n">
        <v>5</v>
      </c>
      <c r="K3409" s="31" t="s">
        <v>150</v>
      </c>
      <c r="L3409" s="45" t="n">
        <f aca="false">DATE(YEAR(B3409),MONTH(B3409),1)</f>
        <v>46235</v>
      </c>
      <c r="M3409" s="31" t="n">
        <f aca="false">WEEKDAY(B3409,2)</f>
        <v>1</v>
      </c>
      <c r="N3409" s="31" t="str">
        <f aca="false">IF(G3409&lt;=INDEX(Assumptions!$B$15:$B$18,MATCH(E3409,Assumptions!$A$15:$A$18,0)),"Yes","No")</f>
        <v>Yes</v>
      </c>
      <c r="O3409" s="31" t="str">
        <f aca="false">IF(H3409="","Open",IF(H3409&lt;=INDEX(Assumptions!$C$15:$C$18,MATCH(E3409,Assumptions!$A$15:$A$18,0)),"Yes","No"))</f>
        <v>Yes</v>
      </c>
    </row>
    <row r="3410" customFormat="false" ht="15" hidden="false" customHeight="false" outlineLevel="0" collapsed="false">
      <c r="A3410" s="31" t="s">
        <v>3560</v>
      </c>
      <c r="B3410" s="44" t="n">
        <v>46251</v>
      </c>
      <c r="C3410" s="31" t="s">
        <v>57</v>
      </c>
      <c r="D3410" s="31" t="s">
        <v>69</v>
      </c>
      <c r="E3410" s="31" t="s">
        <v>52</v>
      </c>
      <c r="F3410" s="31" t="s">
        <v>131</v>
      </c>
      <c r="G3410" s="31" t="n">
        <v>1</v>
      </c>
      <c r="H3410" s="41" t="n">
        <v>23.9</v>
      </c>
      <c r="I3410" s="31" t="s">
        <v>149</v>
      </c>
      <c r="J3410" s="31" t="n">
        <v>5</v>
      </c>
      <c r="K3410" s="31" t="s">
        <v>150</v>
      </c>
      <c r="L3410" s="45" t="n">
        <f aca="false">DATE(YEAR(B3410),MONTH(B3410),1)</f>
        <v>46235</v>
      </c>
      <c r="M3410" s="31" t="n">
        <f aca="false">WEEKDAY(B3410,2)</f>
        <v>1</v>
      </c>
      <c r="N3410" s="31" t="str">
        <f aca="false">IF(G3410&lt;=INDEX(Assumptions!$B$15:$B$18,MATCH(E3410,Assumptions!$A$15:$A$18,0)),"Yes","No")</f>
        <v>Yes</v>
      </c>
      <c r="O3410" s="31" t="str">
        <f aca="false">IF(H3410="","Open",IF(H3410&lt;=INDEX(Assumptions!$C$15:$C$18,MATCH(E3410,Assumptions!$A$15:$A$18,0)),"Yes","No"))</f>
        <v>Yes</v>
      </c>
    </row>
    <row r="3411" customFormat="false" ht="15" hidden="false" customHeight="false" outlineLevel="0" collapsed="false">
      <c r="A3411" s="31" t="s">
        <v>3561</v>
      </c>
      <c r="B3411" s="44" t="n">
        <v>46251</v>
      </c>
      <c r="C3411" s="31" t="s">
        <v>57</v>
      </c>
      <c r="D3411" s="31" t="s">
        <v>65</v>
      </c>
      <c r="E3411" s="31" t="s">
        <v>49</v>
      </c>
      <c r="F3411" s="31" t="s">
        <v>135</v>
      </c>
      <c r="G3411" s="31" t="n">
        <v>4</v>
      </c>
      <c r="H3411" s="41" t="n">
        <v>0.6</v>
      </c>
      <c r="I3411" s="31" t="s">
        <v>149</v>
      </c>
      <c r="J3411" s="31"/>
      <c r="K3411" s="31" t="s">
        <v>150</v>
      </c>
      <c r="L3411" s="45" t="n">
        <f aca="false">DATE(YEAR(B3411),MONTH(B3411),1)</f>
        <v>46235</v>
      </c>
      <c r="M3411" s="31" t="n">
        <f aca="false">WEEKDAY(B3411,2)</f>
        <v>1</v>
      </c>
      <c r="N3411" s="31" t="str">
        <f aca="false">IF(G3411&lt;=INDEX(Assumptions!$B$15:$B$18,MATCH(E3411,Assumptions!$A$15:$A$18,0)),"Yes","No")</f>
        <v>Yes</v>
      </c>
      <c r="O3411" s="31" t="str">
        <f aca="false">IF(H3411="","Open",IF(H3411&lt;=INDEX(Assumptions!$C$15:$C$18,MATCH(E3411,Assumptions!$A$15:$A$18,0)),"Yes","No"))</f>
        <v>Yes</v>
      </c>
    </row>
    <row r="3412" customFormat="false" ht="15" hidden="false" customHeight="false" outlineLevel="0" collapsed="false">
      <c r="A3412" s="31" t="s">
        <v>3562</v>
      </c>
      <c r="B3412" s="44" t="n">
        <v>46251</v>
      </c>
      <c r="C3412" s="31" t="s">
        <v>58</v>
      </c>
      <c r="D3412" s="31" t="s">
        <v>67</v>
      </c>
      <c r="E3412" s="31" t="s">
        <v>51</v>
      </c>
      <c r="F3412" s="31" t="s">
        <v>117</v>
      </c>
      <c r="G3412" s="31" t="n">
        <v>7</v>
      </c>
      <c r="H3412" s="41" t="n">
        <v>13.6</v>
      </c>
      <c r="I3412" s="31" t="s">
        <v>149</v>
      </c>
      <c r="J3412" s="31" t="n">
        <v>5</v>
      </c>
      <c r="K3412" s="31" t="s">
        <v>150</v>
      </c>
      <c r="L3412" s="45" t="n">
        <f aca="false">DATE(YEAR(B3412),MONTH(B3412),1)</f>
        <v>46235</v>
      </c>
      <c r="M3412" s="31" t="n">
        <f aca="false">WEEKDAY(B3412,2)</f>
        <v>1</v>
      </c>
      <c r="N3412" s="31" t="str">
        <f aca="false">IF(G3412&lt;=INDEX(Assumptions!$B$15:$B$18,MATCH(E3412,Assumptions!$A$15:$A$18,0)),"Yes","No")</f>
        <v>Yes</v>
      </c>
      <c r="O3412" s="31" t="str">
        <f aca="false">IF(H3412="","Open",IF(H3412&lt;=INDEX(Assumptions!$C$15:$C$18,MATCH(E3412,Assumptions!$A$15:$A$18,0)),"Yes","No"))</f>
        <v>Yes</v>
      </c>
    </row>
    <row r="3413" customFormat="false" ht="15" hidden="false" customHeight="false" outlineLevel="0" collapsed="false">
      <c r="A3413" s="31" t="s">
        <v>3563</v>
      </c>
      <c r="B3413" s="44" t="n">
        <v>46251</v>
      </c>
      <c r="C3413" s="31" t="s">
        <v>57</v>
      </c>
      <c r="D3413" s="31" t="s">
        <v>67</v>
      </c>
      <c r="E3413" s="31" t="s">
        <v>50</v>
      </c>
      <c r="F3413" s="31" t="s">
        <v>126</v>
      </c>
      <c r="G3413" s="31" t="n">
        <v>7</v>
      </c>
      <c r="H3413" s="41" t="n">
        <v>12</v>
      </c>
      <c r="I3413" s="31" t="s">
        <v>149</v>
      </c>
      <c r="J3413" s="31"/>
      <c r="K3413" s="31" t="s">
        <v>150</v>
      </c>
      <c r="L3413" s="45" t="n">
        <f aca="false">DATE(YEAR(B3413),MONTH(B3413),1)</f>
        <v>46235</v>
      </c>
      <c r="M3413" s="31" t="n">
        <f aca="false">WEEKDAY(B3413,2)</f>
        <v>1</v>
      </c>
      <c r="N3413" s="31" t="str">
        <f aca="false">IF(G3413&lt;=INDEX(Assumptions!$B$15:$B$18,MATCH(E3413,Assumptions!$A$15:$A$18,0)),"Yes","No")</f>
        <v>Yes</v>
      </c>
      <c r="O3413" s="31" t="str">
        <f aca="false">IF(H3413="","Open",IF(H3413&lt;=INDEX(Assumptions!$C$15:$C$18,MATCH(E3413,Assumptions!$A$15:$A$18,0)),"Yes","No"))</f>
        <v>No</v>
      </c>
    </row>
    <row r="3414" customFormat="false" ht="15" hidden="false" customHeight="false" outlineLevel="0" collapsed="false">
      <c r="A3414" s="31" t="s">
        <v>3564</v>
      </c>
      <c r="B3414" s="44" t="n">
        <v>46251</v>
      </c>
      <c r="C3414" s="31" t="s">
        <v>58</v>
      </c>
      <c r="D3414" s="31" t="s">
        <v>69</v>
      </c>
      <c r="E3414" s="31" t="s">
        <v>50</v>
      </c>
      <c r="F3414" s="31" t="s">
        <v>133</v>
      </c>
      <c r="G3414" s="31" t="n">
        <v>23</v>
      </c>
      <c r="H3414" s="41" t="n">
        <v>7</v>
      </c>
      <c r="I3414" s="31" t="s">
        <v>149</v>
      </c>
      <c r="J3414" s="31" t="n">
        <v>5</v>
      </c>
      <c r="K3414" s="31" t="s">
        <v>150</v>
      </c>
      <c r="L3414" s="45" t="n">
        <f aca="false">DATE(YEAR(B3414),MONTH(B3414),1)</f>
        <v>46235</v>
      </c>
      <c r="M3414" s="31" t="n">
        <f aca="false">WEEKDAY(B3414,2)</f>
        <v>1</v>
      </c>
      <c r="N3414" s="31" t="str">
        <f aca="false">IF(G3414&lt;=INDEX(Assumptions!$B$15:$B$18,MATCH(E3414,Assumptions!$A$15:$A$18,0)),"Yes","No")</f>
        <v>Yes</v>
      </c>
      <c r="O3414" s="31" t="str">
        <f aca="false">IF(H3414="","Open",IF(H3414&lt;=INDEX(Assumptions!$C$15:$C$18,MATCH(E3414,Assumptions!$A$15:$A$18,0)),"Yes","No"))</f>
        <v>Yes</v>
      </c>
    </row>
    <row r="3415" customFormat="false" ht="15" hidden="false" customHeight="false" outlineLevel="0" collapsed="false">
      <c r="A3415" s="31" t="s">
        <v>3565</v>
      </c>
      <c r="B3415" s="44" t="n">
        <v>46251</v>
      </c>
      <c r="C3415" s="31" t="s">
        <v>59</v>
      </c>
      <c r="D3415" s="31" t="s">
        <v>66</v>
      </c>
      <c r="E3415" s="31" t="s">
        <v>51</v>
      </c>
      <c r="F3415" s="31" t="s">
        <v>120</v>
      </c>
      <c r="G3415" s="31" t="n">
        <v>197</v>
      </c>
      <c r="H3415" s="41" t="n">
        <v>5</v>
      </c>
      <c r="I3415" s="31" t="s">
        <v>149</v>
      </c>
      <c r="J3415" s="31" t="n">
        <v>3</v>
      </c>
      <c r="K3415" s="31" t="s">
        <v>150</v>
      </c>
      <c r="L3415" s="45" t="n">
        <f aca="false">DATE(YEAR(B3415),MONTH(B3415),1)</f>
        <v>46235</v>
      </c>
      <c r="M3415" s="31" t="n">
        <f aca="false">WEEKDAY(B3415,2)</f>
        <v>1</v>
      </c>
      <c r="N3415" s="31" t="str">
        <f aca="false">IF(G3415&lt;=INDEX(Assumptions!$B$15:$B$18,MATCH(E3415,Assumptions!$A$15:$A$18,0)),"Yes","No")</f>
        <v>No</v>
      </c>
      <c r="O3415" s="31" t="str">
        <f aca="false">IF(H3415="","Open",IF(H3415&lt;=INDEX(Assumptions!$C$15:$C$18,MATCH(E3415,Assumptions!$A$15:$A$18,0)),"Yes","No"))</f>
        <v>Yes</v>
      </c>
    </row>
    <row r="3416" customFormat="false" ht="15" hidden="false" customHeight="false" outlineLevel="0" collapsed="false">
      <c r="A3416" s="31" t="s">
        <v>3566</v>
      </c>
      <c r="B3416" s="44" t="n">
        <v>46251</v>
      </c>
      <c r="C3416" s="31" t="s">
        <v>58</v>
      </c>
      <c r="D3416" s="31" t="s">
        <v>65</v>
      </c>
      <c r="E3416" s="31" t="s">
        <v>52</v>
      </c>
      <c r="F3416" s="31" t="s">
        <v>124</v>
      </c>
      <c r="G3416" s="31" t="n">
        <v>32</v>
      </c>
      <c r="H3416" s="41" t="n">
        <v>11.4</v>
      </c>
      <c r="I3416" s="31" t="s">
        <v>149</v>
      </c>
      <c r="J3416" s="31" t="n">
        <v>5</v>
      </c>
      <c r="K3416" s="31" t="s">
        <v>150</v>
      </c>
      <c r="L3416" s="45" t="n">
        <f aca="false">DATE(YEAR(B3416),MONTH(B3416),1)</f>
        <v>46235</v>
      </c>
      <c r="M3416" s="31" t="n">
        <f aca="false">WEEKDAY(B3416,2)</f>
        <v>1</v>
      </c>
      <c r="N3416" s="31" t="str">
        <f aca="false">IF(G3416&lt;=INDEX(Assumptions!$B$15:$B$18,MATCH(E3416,Assumptions!$A$15:$A$18,0)),"Yes","No")</f>
        <v>Yes</v>
      </c>
      <c r="O3416" s="31" t="str">
        <f aca="false">IF(H3416="","Open",IF(H3416&lt;=INDEX(Assumptions!$C$15:$C$18,MATCH(E3416,Assumptions!$A$15:$A$18,0)),"Yes","No"))</f>
        <v>Yes</v>
      </c>
    </row>
    <row r="3417" customFormat="false" ht="15" hidden="false" customHeight="false" outlineLevel="0" collapsed="false">
      <c r="A3417" s="31" t="s">
        <v>3567</v>
      </c>
      <c r="B3417" s="44" t="n">
        <v>46251</v>
      </c>
      <c r="C3417" s="31" t="s">
        <v>57</v>
      </c>
      <c r="D3417" s="31" t="s">
        <v>67</v>
      </c>
      <c r="E3417" s="31" t="s">
        <v>51</v>
      </c>
      <c r="F3417" s="31" t="s">
        <v>127</v>
      </c>
      <c r="G3417" s="31" t="n">
        <v>13</v>
      </c>
      <c r="H3417" s="41" t="n">
        <v>4.2</v>
      </c>
      <c r="I3417" s="31" t="s">
        <v>149</v>
      </c>
      <c r="J3417" s="31" t="n">
        <v>5</v>
      </c>
      <c r="K3417" s="31" t="s">
        <v>150</v>
      </c>
      <c r="L3417" s="45" t="n">
        <f aca="false">DATE(YEAR(B3417),MONTH(B3417),1)</f>
        <v>46235</v>
      </c>
      <c r="M3417" s="31" t="n">
        <f aca="false">WEEKDAY(B3417,2)</f>
        <v>1</v>
      </c>
      <c r="N3417" s="31" t="str">
        <f aca="false">IF(G3417&lt;=INDEX(Assumptions!$B$15:$B$18,MATCH(E3417,Assumptions!$A$15:$A$18,0)),"Yes","No")</f>
        <v>Yes</v>
      </c>
      <c r="O3417" s="31" t="str">
        <f aca="false">IF(H3417="","Open",IF(H3417&lt;=INDEX(Assumptions!$C$15:$C$18,MATCH(E3417,Assumptions!$A$15:$A$18,0)),"Yes","No"))</f>
        <v>Yes</v>
      </c>
    </row>
    <row r="3418" customFormat="false" ht="15" hidden="false" customHeight="false" outlineLevel="0" collapsed="false">
      <c r="A3418" s="31" t="s">
        <v>3568</v>
      </c>
      <c r="B3418" s="44" t="n">
        <v>46251</v>
      </c>
      <c r="C3418" s="31" t="s">
        <v>57</v>
      </c>
      <c r="D3418" s="31" t="s">
        <v>67</v>
      </c>
      <c r="E3418" s="31" t="s">
        <v>52</v>
      </c>
      <c r="F3418" s="31" t="s">
        <v>122</v>
      </c>
      <c r="G3418" s="31" t="n">
        <v>9</v>
      </c>
      <c r="H3418" s="41" t="n">
        <v>37.5</v>
      </c>
      <c r="I3418" s="31" t="s">
        <v>149</v>
      </c>
      <c r="J3418" s="31"/>
      <c r="K3418" s="31" t="s">
        <v>153</v>
      </c>
      <c r="L3418" s="45" t="n">
        <f aca="false">DATE(YEAR(B3418),MONTH(B3418),1)</f>
        <v>46235</v>
      </c>
      <c r="M3418" s="31" t="n">
        <f aca="false">WEEKDAY(B3418,2)</f>
        <v>1</v>
      </c>
      <c r="N3418" s="31" t="str">
        <f aca="false">IF(G3418&lt;=INDEX(Assumptions!$B$15:$B$18,MATCH(E3418,Assumptions!$A$15:$A$18,0)),"Yes","No")</f>
        <v>Yes</v>
      </c>
      <c r="O3418" s="31" t="str">
        <f aca="false">IF(H3418="","Open",IF(H3418&lt;=INDEX(Assumptions!$C$15:$C$18,MATCH(E3418,Assumptions!$A$15:$A$18,0)),"Yes","No"))</f>
        <v>Yes</v>
      </c>
    </row>
    <row r="3419" customFormat="false" ht="15" hidden="false" customHeight="false" outlineLevel="0" collapsed="false">
      <c r="A3419" s="31" t="s">
        <v>3569</v>
      </c>
      <c r="B3419" s="44" t="n">
        <v>46251</v>
      </c>
      <c r="C3419" s="31" t="s">
        <v>57</v>
      </c>
      <c r="D3419" s="31" t="s">
        <v>67</v>
      </c>
      <c r="E3419" s="31" t="s">
        <v>51</v>
      </c>
      <c r="F3419" s="31" t="s">
        <v>122</v>
      </c>
      <c r="G3419" s="31" t="n">
        <v>8</v>
      </c>
      <c r="H3419" s="41" t="n">
        <v>10.3</v>
      </c>
      <c r="I3419" s="31" t="s">
        <v>149</v>
      </c>
      <c r="J3419" s="31" t="n">
        <v>4</v>
      </c>
      <c r="K3419" s="31" t="s">
        <v>150</v>
      </c>
      <c r="L3419" s="45" t="n">
        <f aca="false">DATE(YEAR(B3419),MONTH(B3419),1)</f>
        <v>46235</v>
      </c>
      <c r="M3419" s="31" t="n">
        <f aca="false">WEEKDAY(B3419,2)</f>
        <v>1</v>
      </c>
      <c r="N3419" s="31" t="str">
        <f aca="false">IF(G3419&lt;=INDEX(Assumptions!$B$15:$B$18,MATCH(E3419,Assumptions!$A$15:$A$18,0)),"Yes","No")</f>
        <v>Yes</v>
      </c>
      <c r="O3419" s="31" t="str">
        <f aca="false">IF(H3419="","Open",IF(H3419&lt;=INDEX(Assumptions!$C$15:$C$18,MATCH(E3419,Assumptions!$A$15:$A$18,0)),"Yes","No"))</f>
        <v>Yes</v>
      </c>
    </row>
    <row r="3420" customFormat="false" ht="15" hidden="false" customHeight="false" outlineLevel="0" collapsed="false">
      <c r="A3420" s="31" t="s">
        <v>3570</v>
      </c>
      <c r="B3420" s="44" t="n">
        <v>46251</v>
      </c>
      <c r="C3420" s="31" t="s">
        <v>58</v>
      </c>
      <c r="D3420" s="31" t="s">
        <v>66</v>
      </c>
      <c r="E3420" s="31" t="s">
        <v>50</v>
      </c>
      <c r="F3420" s="31" t="s">
        <v>135</v>
      </c>
      <c r="G3420" s="31" t="n">
        <v>4</v>
      </c>
      <c r="H3420" s="41" t="n">
        <v>1.4</v>
      </c>
      <c r="I3420" s="31" t="s">
        <v>149</v>
      </c>
      <c r="J3420" s="31" t="n">
        <v>3</v>
      </c>
      <c r="K3420" s="31" t="s">
        <v>153</v>
      </c>
      <c r="L3420" s="45" t="n">
        <f aca="false">DATE(YEAR(B3420),MONTH(B3420),1)</f>
        <v>46235</v>
      </c>
      <c r="M3420" s="31" t="n">
        <f aca="false">WEEKDAY(B3420,2)</f>
        <v>1</v>
      </c>
      <c r="N3420" s="31" t="str">
        <f aca="false">IF(G3420&lt;=INDEX(Assumptions!$B$15:$B$18,MATCH(E3420,Assumptions!$A$15:$A$18,0)),"Yes","No")</f>
        <v>Yes</v>
      </c>
      <c r="O3420" s="31" t="str">
        <f aca="false">IF(H3420="","Open",IF(H3420&lt;=INDEX(Assumptions!$C$15:$C$18,MATCH(E3420,Assumptions!$A$15:$A$18,0)),"Yes","No"))</f>
        <v>Yes</v>
      </c>
    </row>
    <row r="3421" customFormat="false" ht="15" hidden="false" customHeight="false" outlineLevel="0" collapsed="false">
      <c r="A3421" s="31" t="s">
        <v>3571</v>
      </c>
      <c r="B3421" s="44" t="n">
        <v>46251</v>
      </c>
      <c r="C3421" s="31" t="s">
        <v>59</v>
      </c>
      <c r="D3421" s="31" t="s">
        <v>65</v>
      </c>
      <c r="E3421" s="31" t="s">
        <v>51</v>
      </c>
      <c r="F3421" s="31" t="s">
        <v>136</v>
      </c>
      <c r="G3421" s="31" t="n">
        <v>101</v>
      </c>
      <c r="H3421" s="41" t="n">
        <v>7.3</v>
      </c>
      <c r="I3421" s="31" t="s">
        <v>149</v>
      </c>
      <c r="J3421" s="31"/>
      <c r="K3421" s="31" t="s">
        <v>150</v>
      </c>
      <c r="L3421" s="45" t="n">
        <f aca="false">DATE(YEAR(B3421),MONTH(B3421),1)</f>
        <v>46235</v>
      </c>
      <c r="M3421" s="31" t="n">
        <f aca="false">WEEKDAY(B3421,2)</f>
        <v>1</v>
      </c>
      <c r="N3421" s="31" t="str">
        <f aca="false">IF(G3421&lt;=INDEX(Assumptions!$B$15:$B$18,MATCH(E3421,Assumptions!$A$15:$A$18,0)),"Yes","No")</f>
        <v>No</v>
      </c>
      <c r="O3421" s="31" t="str">
        <f aca="false">IF(H3421="","Open",IF(H3421&lt;=INDEX(Assumptions!$C$15:$C$18,MATCH(E3421,Assumptions!$A$15:$A$18,0)),"Yes","No"))</f>
        <v>Yes</v>
      </c>
    </row>
    <row r="3422" customFormat="false" ht="15" hidden="false" customHeight="false" outlineLevel="0" collapsed="false">
      <c r="A3422" s="31" t="s">
        <v>3572</v>
      </c>
      <c r="B3422" s="44" t="n">
        <v>46251</v>
      </c>
      <c r="C3422" s="31" t="s">
        <v>58</v>
      </c>
      <c r="D3422" s="31" t="s">
        <v>68</v>
      </c>
      <c r="E3422" s="31" t="s">
        <v>51</v>
      </c>
      <c r="F3422" s="31" t="s">
        <v>122</v>
      </c>
      <c r="G3422" s="31" t="n">
        <v>15</v>
      </c>
      <c r="H3422" s="41" t="n">
        <v>1.4</v>
      </c>
      <c r="I3422" s="31" t="s">
        <v>149</v>
      </c>
      <c r="J3422" s="31"/>
      <c r="K3422" s="31" t="s">
        <v>150</v>
      </c>
      <c r="L3422" s="45" t="n">
        <f aca="false">DATE(YEAR(B3422),MONTH(B3422),1)</f>
        <v>46235</v>
      </c>
      <c r="M3422" s="31" t="n">
        <f aca="false">WEEKDAY(B3422,2)</f>
        <v>1</v>
      </c>
      <c r="N3422" s="31" t="str">
        <f aca="false">IF(G3422&lt;=INDEX(Assumptions!$B$15:$B$18,MATCH(E3422,Assumptions!$A$15:$A$18,0)),"Yes","No")</f>
        <v>Yes</v>
      </c>
      <c r="O3422" s="31" t="str">
        <f aca="false">IF(H3422="","Open",IF(H3422&lt;=INDEX(Assumptions!$C$15:$C$18,MATCH(E3422,Assumptions!$A$15:$A$18,0)),"Yes","No"))</f>
        <v>Yes</v>
      </c>
    </row>
    <row r="3423" customFormat="false" ht="15" hidden="false" customHeight="false" outlineLevel="0" collapsed="false">
      <c r="A3423" s="31" t="s">
        <v>3573</v>
      </c>
      <c r="B3423" s="44" t="n">
        <v>46251</v>
      </c>
      <c r="C3423" s="31" t="s">
        <v>58</v>
      </c>
      <c r="D3423" s="31" t="s">
        <v>67</v>
      </c>
      <c r="E3423" s="31" t="s">
        <v>51</v>
      </c>
      <c r="F3423" s="31" t="s">
        <v>131</v>
      </c>
      <c r="G3423" s="31" t="n">
        <v>5</v>
      </c>
      <c r="H3423" s="41" t="n">
        <v>8.1</v>
      </c>
      <c r="I3423" s="31" t="s">
        <v>149</v>
      </c>
      <c r="J3423" s="31"/>
      <c r="K3423" s="31" t="s">
        <v>150</v>
      </c>
      <c r="L3423" s="45" t="n">
        <f aca="false">DATE(YEAR(B3423),MONTH(B3423),1)</f>
        <v>46235</v>
      </c>
      <c r="M3423" s="31" t="n">
        <f aca="false">WEEKDAY(B3423,2)</f>
        <v>1</v>
      </c>
      <c r="N3423" s="31" t="str">
        <f aca="false">IF(G3423&lt;=INDEX(Assumptions!$B$15:$B$18,MATCH(E3423,Assumptions!$A$15:$A$18,0)),"Yes","No")</f>
        <v>Yes</v>
      </c>
      <c r="O3423" s="31" t="str">
        <f aca="false">IF(H3423="","Open",IF(H3423&lt;=INDEX(Assumptions!$C$15:$C$18,MATCH(E3423,Assumptions!$A$15:$A$18,0)),"Yes","No"))</f>
        <v>Yes</v>
      </c>
    </row>
    <row r="3424" customFormat="false" ht="15" hidden="false" customHeight="false" outlineLevel="0" collapsed="false">
      <c r="A3424" s="31" t="s">
        <v>3574</v>
      </c>
      <c r="B3424" s="44" t="n">
        <v>46251</v>
      </c>
      <c r="C3424" s="31" t="s">
        <v>58</v>
      </c>
      <c r="D3424" s="31" t="s">
        <v>66</v>
      </c>
      <c r="E3424" s="31" t="s">
        <v>51</v>
      </c>
      <c r="F3424" s="31" t="s">
        <v>135</v>
      </c>
      <c r="G3424" s="31" t="n">
        <v>9</v>
      </c>
      <c r="H3424" s="41" t="n">
        <v>4.1</v>
      </c>
      <c r="I3424" s="31" t="s">
        <v>149</v>
      </c>
      <c r="J3424" s="31" t="n">
        <v>3</v>
      </c>
      <c r="K3424" s="31" t="s">
        <v>150</v>
      </c>
      <c r="L3424" s="45" t="n">
        <f aca="false">DATE(YEAR(B3424),MONTH(B3424),1)</f>
        <v>46235</v>
      </c>
      <c r="M3424" s="31" t="n">
        <f aca="false">WEEKDAY(B3424,2)</f>
        <v>1</v>
      </c>
      <c r="N3424" s="31" t="str">
        <f aca="false">IF(G3424&lt;=INDEX(Assumptions!$B$15:$B$18,MATCH(E3424,Assumptions!$A$15:$A$18,0)),"Yes","No")</f>
        <v>Yes</v>
      </c>
      <c r="O3424" s="31" t="str">
        <f aca="false">IF(H3424="","Open",IF(H3424&lt;=INDEX(Assumptions!$C$15:$C$18,MATCH(E3424,Assumptions!$A$15:$A$18,0)),"Yes","No"))</f>
        <v>Yes</v>
      </c>
    </row>
    <row r="3425" customFormat="false" ht="15" hidden="false" customHeight="false" outlineLevel="0" collapsed="false">
      <c r="A3425" s="31" t="s">
        <v>3575</v>
      </c>
      <c r="B3425" s="44" t="n">
        <v>46251</v>
      </c>
      <c r="C3425" s="31" t="s">
        <v>57</v>
      </c>
      <c r="D3425" s="31" t="s">
        <v>68</v>
      </c>
      <c r="E3425" s="31" t="s">
        <v>51</v>
      </c>
      <c r="F3425" s="31" t="s">
        <v>124</v>
      </c>
      <c r="G3425" s="31" t="n">
        <v>9</v>
      </c>
      <c r="H3425" s="41" t="n">
        <v>3.7</v>
      </c>
      <c r="I3425" s="31" t="s">
        <v>149</v>
      </c>
      <c r="J3425" s="31" t="n">
        <v>5</v>
      </c>
      <c r="K3425" s="31" t="s">
        <v>150</v>
      </c>
      <c r="L3425" s="45" t="n">
        <f aca="false">DATE(YEAR(B3425),MONTH(B3425),1)</f>
        <v>46235</v>
      </c>
      <c r="M3425" s="31" t="n">
        <f aca="false">WEEKDAY(B3425,2)</f>
        <v>1</v>
      </c>
      <c r="N3425" s="31" t="str">
        <f aca="false">IF(G3425&lt;=INDEX(Assumptions!$B$15:$B$18,MATCH(E3425,Assumptions!$A$15:$A$18,0)),"Yes","No")</f>
        <v>Yes</v>
      </c>
      <c r="O3425" s="31" t="str">
        <f aca="false">IF(H3425="","Open",IF(H3425&lt;=INDEX(Assumptions!$C$15:$C$18,MATCH(E3425,Assumptions!$A$15:$A$18,0)),"Yes","No"))</f>
        <v>Yes</v>
      </c>
    </row>
    <row r="3426" customFormat="false" ht="15" hidden="false" customHeight="false" outlineLevel="0" collapsed="false">
      <c r="A3426" s="31" t="s">
        <v>3576</v>
      </c>
      <c r="B3426" s="44" t="n">
        <v>46251</v>
      </c>
      <c r="C3426" s="31" t="s">
        <v>57</v>
      </c>
      <c r="D3426" s="31" t="s">
        <v>65</v>
      </c>
      <c r="E3426" s="31" t="s">
        <v>51</v>
      </c>
      <c r="F3426" s="31" t="s">
        <v>121</v>
      </c>
      <c r="G3426" s="31" t="n">
        <v>5</v>
      </c>
      <c r="H3426" s="41" t="n">
        <v>42.4</v>
      </c>
      <c r="I3426" s="31" t="s">
        <v>149</v>
      </c>
      <c r="J3426" s="31"/>
      <c r="K3426" s="31" t="s">
        <v>150</v>
      </c>
      <c r="L3426" s="45" t="n">
        <f aca="false">DATE(YEAR(B3426),MONTH(B3426),1)</f>
        <v>46235</v>
      </c>
      <c r="M3426" s="31" t="n">
        <f aca="false">WEEKDAY(B3426,2)</f>
        <v>1</v>
      </c>
      <c r="N3426" s="31" t="str">
        <f aca="false">IF(G3426&lt;=INDEX(Assumptions!$B$15:$B$18,MATCH(E3426,Assumptions!$A$15:$A$18,0)),"Yes","No")</f>
        <v>Yes</v>
      </c>
      <c r="O3426" s="31" t="str">
        <f aca="false">IF(H3426="","Open",IF(H3426&lt;=INDEX(Assumptions!$C$15:$C$18,MATCH(E3426,Assumptions!$A$15:$A$18,0)),"Yes","No"))</f>
        <v>No</v>
      </c>
    </row>
    <row r="3427" customFormat="false" ht="15" hidden="false" customHeight="false" outlineLevel="0" collapsed="false">
      <c r="A3427" s="31" t="s">
        <v>3577</v>
      </c>
      <c r="B3427" s="44" t="n">
        <v>46251</v>
      </c>
      <c r="C3427" s="31" t="s">
        <v>58</v>
      </c>
      <c r="D3427" s="31" t="s">
        <v>65</v>
      </c>
      <c r="E3427" s="31" t="s">
        <v>51</v>
      </c>
      <c r="F3427" s="31" t="s">
        <v>123</v>
      </c>
      <c r="G3427" s="31" t="n">
        <v>13</v>
      </c>
      <c r="H3427" s="41" t="n">
        <v>40</v>
      </c>
      <c r="I3427" s="31" t="s">
        <v>64</v>
      </c>
      <c r="J3427" s="31"/>
      <c r="K3427" s="31" t="s">
        <v>150</v>
      </c>
      <c r="L3427" s="45" t="n">
        <f aca="false">DATE(YEAR(B3427),MONTH(B3427),1)</f>
        <v>46235</v>
      </c>
      <c r="M3427" s="31" t="n">
        <f aca="false">WEEKDAY(B3427,2)</f>
        <v>1</v>
      </c>
      <c r="N3427" s="31" t="str">
        <f aca="false">IF(G3427&lt;=INDEX(Assumptions!$B$15:$B$18,MATCH(E3427,Assumptions!$A$15:$A$18,0)),"Yes","No")</f>
        <v>Yes</v>
      </c>
      <c r="O3427" s="31" t="str">
        <f aca="false">IF(H3427="","Open",IF(H3427&lt;=INDEX(Assumptions!$C$15:$C$18,MATCH(E3427,Assumptions!$A$15:$A$18,0)),"Yes","No"))</f>
        <v>No</v>
      </c>
    </row>
    <row r="3428" customFormat="false" ht="15" hidden="false" customHeight="false" outlineLevel="0" collapsed="false">
      <c r="A3428" s="31" t="s">
        <v>3578</v>
      </c>
      <c r="B3428" s="44" t="n">
        <v>46251</v>
      </c>
      <c r="C3428" s="31" t="s">
        <v>57</v>
      </c>
      <c r="D3428" s="31" t="s">
        <v>67</v>
      </c>
      <c r="E3428" s="31" t="s">
        <v>49</v>
      </c>
      <c r="F3428" s="31" t="s">
        <v>129</v>
      </c>
      <c r="G3428" s="31" t="n">
        <v>2</v>
      </c>
      <c r="H3428" s="41" t="n">
        <v>4</v>
      </c>
      <c r="I3428" s="31" t="s">
        <v>149</v>
      </c>
      <c r="J3428" s="31" t="n">
        <v>5</v>
      </c>
      <c r="K3428" s="31" t="s">
        <v>150</v>
      </c>
      <c r="L3428" s="45" t="n">
        <f aca="false">DATE(YEAR(B3428),MONTH(B3428),1)</f>
        <v>46235</v>
      </c>
      <c r="M3428" s="31" t="n">
        <f aca="false">WEEKDAY(B3428,2)</f>
        <v>1</v>
      </c>
      <c r="N3428" s="31" t="str">
        <f aca="false">IF(G3428&lt;=INDEX(Assumptions!$B$15:$B$18,MATCH(E3428,Assumptions!$A$15:$A$18,0)),"Yes","No")</f>
        <v>Yes</v>
      </c>
      <c r="O3428" s="31" t="str">
        <f aca="false">IF(H3428="","Open",IF(H3428&lt;=INDEX(Assumptions!$C$15:$C$18,MATCH(E3428,Assumptions!$A$15:$A$18,0)),"Yes","No"))</f>
        <v>Yes</v>
      </c>
    </row>
    <row r="3429" customFormat="false" ht="15" hidden="false" customHeight="false" outlineLevel="0" collapsed="false">
      <c r="A3429" s="31" t="s">
        <v>3579</v>
      </c>
      <c r="B3429" s="44" t="n">
        <v>46251</v>
      </c>
      <c r="C3429" s="31" t="s">
        <v>57</v>
      </c>
      <c r="D3429" s="31" t="s">
        <v>66</v>
      </c>
      <c r="E3429" s="31" t="s">
        <v>52</v>
      </c>
      <c r="F3429" s="31" t="s">
        <v>124</v>
      </c>
      <c r="G3429" s="31" t="n">
        <v>2</v>
      </c>
      <c r="H3429" s="41" t="n">
        <v>7.3</v>
      </c>
      <c r="I3429" s="31" t="s">
        <v>149</v>
      </c>
      <c r="J3429" s="31" t="n">
        <v>4</v>
      </c>
      <c r="K3429" s="31" t="s">
        <v>150</v>
      </c>
      <c r="L3429" s="45" t="n">
        <f aca="false">DATE(YEAR(B3429),MONTH(B3429),1)</f>
        <v>46235</v>
      </c>
      <c r="M3429" s="31" t="n">
        <f aca="false">WEEKDAY(B3429,2)</f>
        <v>1</v>
      </c>
      <c r="N3429" s="31" t="str">
        <f aca="false">IF(G3429&lt;=INDEX(Assumptions!$B$15:$B$18,MATCH(E3429,Assumptions!$A$15:$A$18,0)),"Yes","No")</f>
        <v>Yes</v>
      </c>
      <c r="O3429" s="31" t="str">
        <f aca="false">IF(H3429="","Open",IF(H3429&lt;=INDEX(Assumptions!$C$15:$C$18,MATCH(E3429,Assumptions!$A$15:$A$18,0)),"Yes","No"))</f>
        <v>Yes</v>
      </c>
    </row>
    <row r="3430" customFormat="false" ht="15" hidden="false" customHeight="false" outlineLevel="0" collapsed="false">
      <c r="A3430" s="31" t="s">
        <v>3580</v>
      </c>
      <c r="B3430" s="44" t="n">
        <v>46251</v>
      </c>
      <c r="C3430" s="31" t="s">
        <v>60</v>
      </c>
      <c r="D3430" s="31" t="s">
        <v>65</v>
      </c>
      <c r="E3430" s="31" t="s">
        <v>51</v>
      </c>
      <c r="F3430" s="31" t="s">
        <v>135</v>
      </c>
      <c r="G3430" s="31" t="n">
        <v>4</v>
      </c>
      <c r="H3430" s="41" t="n">
        <v>11</v>
      </c>
      <c r="I3430" s="31" t="s">
        <v>149</v>
      </c>
      <c r="J3430" s="31"/>
      <c r="K3430" s="31" t="s">
        <v>150</v>
      </c>
      <c r="L3430" s="45" t="n">
        <f aca="false">DATE(YEAR(B3430),MONTH(B3430),1)</f>
        <v>46235</v>
      </c>
      <c r="M3430" s="31" t="n">
        <f aca="false">WEEKDAY(B3430,2)</f>
        <v>1</v>
      </c>
      <c r="N3430" s="31" t="str">
        <f aca="false">IF(G3430&lt;=INDEX(Assumptions!$B$15:$B$18,MATCH(E3430,Assumptions!$A$15:$A$18,0)),"Yes","No")</f>
        <v>Yes</v>
      </c>
      <c r="O3430" s="31" t="str">
        <f aca="false">IF(H3430="","Open",IF(H3430&lt;=INDEX(Assumptions!$C$15:$C$18,MATCH(E3430,Assumptions!$A$15:$A$18,0)),"Yes","No"))</f>
        <v>Yes</v>
      </c>
    </row>
    <row r="3431" customFormat="false" ht="15" hidden="false" customHeight="false" outlineLevel="0" collapsed="false">
      <c r="A3431" s="31" t="s">
        <v>3581</v>
      </c>
      <c r="B3431" s="44" t="n">
        <v>46251</v>
      </c>
      <c r="C3431" s="31" t="s">
        <v>58</v>
      </c>
      <c r="D3431" s="31" t="s">
        <v>68</v>
      </c>
      <c r="E3431" s="31" t="s">
        <v>51</v>
      </c>
      <c r="F3431" s="31" t="s">
        <v>124</v>
      </c>
      <c r="G3431" s="31" t="n">
        <v>9</v>
      </c>
      <c r="H3431" s="41" t="n">
        <v>4.2</v>
      </c>
      <c r="I3431" s="31" t="s">
        <v>149</v>
      </c>
      <c r="J3431" s="31"/>
      <c r="K3431" s="31" t="s">
        <v>150</v>
      </c>
      <c r="L3431" s="45" t="n">
        <f aca="false">DATE(YEAR(B3431),MONTH(B3431),1)</f>
        <v>46235</v>
      </c>
      <c r="M3431" s="31" t="n">
        <f aca="false">WEEKDAY(B3431,2)</f>
        <v>1</v>
      </c>
      <c r="N3431" s="31" t="str">
        <f aca="false">IF(G3431&lt;=INDEX(Assumptions!$B$15:$B$18,MATCH(E3431,Assumptions!$A$15:$A$18,0)),"Yes","No")</f>
        <v>Yes</v>
      </c>
      <c r="O3431" s="31" t="str">
        <f aca="false">IF(H3431="","Open",IF(H3431&lt;=INDEX(Assumptions!$C$15:$C$18,MATCH(E3431,Assumptions!$A$15:$A$18,0)),"Yes","No"))</f>
        <v>Yes</v>
      </c>
    </row>
    <row r="3432" customFormat="false" ht="15" hidden="false" customHeight="false" outlineLevel="0" collapsed="false">
      <c r="A3432" s="31" t="s">
        <v>3582</v>
      </c>
      <c r="B3432" s="44" t="n">
        <v>46251</v>
      </c>
      <c r="C3432" s="31" t="s">
        <v>57</v>
      </c>
      <c r="D3432" s="31" t="s">
        <v>67</v>
      </c>
      <c r="E3432" s="31" t="s">
        <v>51</v>
      </c>
      <c r="F3432" s="31" t="s">
        <v>134</v>
      </c>
      <c r="G3432" s="31" t="n">
        <v>11</v>
      </c>
      <c r="H3432" s="41" t="n">
        <v>14.8</v>
      </c>
      <c r="I3432" s="31" t="s">
        <v>149</v>
      </c>
      <c r="J3432" s="31" t="n">
        <v>3</v>
      </c>
      <c r="K3432" s="31" t="s">
        <v>150</v>
      </c>
      <c r="L3432" s="45" t="n">
        <f aca="false">DATE(YEAR(B3432),MONTH(B3432),1)</f>
        <v>46235</v>
      </c>
      <c r="M3432" s="31" t="n">
        <f aca="false">WEEKDAY(B3432,2)</f>
        <v>1</v>
      </c>
      <c r="N3432" s="31" t="str">
        <f aca="false">IF(G3432&lt;=INDEX(Assumptions!$B$15:$B$18,MATCH(E3432,Assumptions!$A$15:$A$18,0)),"Yes","No")</f>
        <v>Yes</v>
      </c>
      <c r="O3432" s="31" t="str">
        <f aca="false">IF(H3432="","Open",IF(H3432&lt;=INDEX(Assumptions!$C$15:$C$18,MATCH(E3432,Assumptions!$A$15:$A$18,0)),"Yes","No"))</f>
        <v>Yes</v>
      </c>
    </row>
    <row r="3433" customFormat="false" ht="15" hidden="false" customHeight="false" outlineLevel="0" collapsed="false">
      <c r="A3433" s="31" t="s">
        <v>3583</v>
      </c>
      <c r="B3433" s="44" t="n">
        <v>46251</v>
      </c>
      <c r="C3433" s="31" t="s">
        <v>58</v>
      </c>
      <c r="D3433" s="31" t="s">
        <v>66</v>
      </c>
      <c r="E3433" s="31" t="s">
        <v>49</v>
      </c>
      <c r="F3433" s="31" t="s">
        <v>128</v>
      </c>
      <c r="G3433" s="31" t="n">
        <v>23</v>
      </c>
      <c r="H3433" s="41" t="n">
        <v>2</v>
      </c>
      <c r="I3433" s="31" t="s">
        <v>149</v>
      </c>
      <c r="J3433" s="31" t="n">
        <v>4</v>
      </c>
      <c r="K3433" s="31" t="s">
        <v>150</v>
      </c>
      <c r="L3433" s="45" t="n">
        <f aca="false">DATE(YEAR(B3433),MONTH(B3433),1)</f>
        <v>46235</v>
      </c>
      <c r="M3433" s="31" t="n">
        <f aca="false">WEEKDAY(B3433,2)</f>
        <v>1</v>
      </c>
      <c r="N3433" s="31" t="str">
        <f aca="false">IF(G3433&lt;=INDEX(Assumptions!$B$15:$B$18,MATCH(E3433,Assumptions!$A$15:$A$18,0)),"Yes","No")</f>
        <v>No</v>
      </c>
      <c r="O3433" s="31" t="str">
        <f aca="false">IF(H3433="","Open",IF(H3433&lt;=INDEX(Assumptions!$C$15:$C$18,MATCH(E3433,Assumptions!$A$15:$A$18,0)),"Yes","No"))</f>
        <v>Yes</v>
      </c>
    </row>
    <row r="3434" customFormat="false" ht="15" hidden="false" customHeight="false" outlineLevel="0" collapsed="false">
      <c r="A3434" s="31" t="s">
        <v>3584</v>
      </c>
      <c r="B3434" s="44" t="n">
        <v>46251</v>
      </c>
      <c r="C3434" s="31" t="s">
        <v>60</v>
      </c>
      <c r="D3434" s="31" t="s">
        <v>66</v>
      </c>
      <c r="E3434" s="31" t="s">
        <v>50</v>
      </c>
      <c r="F3434" s="31" t="s">
        <v>124</v>
      </c>
      <c r="G3434" s="31" t="n">
        <v>4</v>
      </c>
      <c r="H3434" s="41" t="n">
        <v>2.2</v>
      </c>
      <c r="I3434" s="31" t="s">
        <v>149</v>
      </c>
      <c r="J3434" s="31"/>
      <c r="K3434" s="31" t="s">
        <v>150</v>
      </c>
      <c r="L3434" s="45" t="n">
        <f aca="false">DATE(YEAR(B3434),MONTH(B3434),1)</f>
        <v>46235</v>
      </c>
      <c r="M3434" s="31" t="n">
        <f aca="false">WEEKDAY(B3434,2)</f>
        <v>1</v>
      </c>
      <c r="N3434" s="31" t="str">
        <f aca="false">IF(G3434&lt;=INDEX(Assumptions!$B$15:$B$18,MATCH(E3434,Assumptions!$A$15:$A$18,0)),"Yes","No")</f>
        <v>Yes</v>
      </c>
      <c r="O3434" s="31" t="str">
        <f aca="false">IF(H3434="","Open",IF(H3434&lt;=INDEX(Assumptions!$C$15:$C$18,MATCH(E3434,Assumptions!$A$15:$A$18,0)),"Yes","No"))</f>
        <v>Yes</v>
      </c>
    </row>
    <row r="3435" customFormat="false" ht="15" hidden="false" customHeight="false" outlineLevel="0" collapsed="false">
      <c r="A3435" s="31" t="s">
        <v>3585</v>
      </c>
      <c r="B3435" s="44" t="n">
        <v>46251</v>
      </c>
      <c r="C3435" s="31" t="s">
        <v>57</v>
      </c>
      <c r="D3435" s="31" t="s">
        <v>67</v>
      </c>
      <c r="E3435" s="31" t="s">
        <v>51</v>
      </c>
      <c r="F3435" s="31" t="s">
        <v>136</v>
      </c>
      <c r="G3435" s="31" t="n">
        <v>6</v>
      </c>
      <c r="H3435" s="41" t="n">
        <v>15.9</v>
      </c>
      <c r="I3435" s="31" t="s">
        <v>149</v>
      </c>
      <c r="J3435" s="31"/>
      <c r="K3435" s="31" t="s">
        <v>150</v>
      </c>
      <c r="L3435" s="45" t="n">
        <f aca="false">DATE(YEAR(B3435),MONTH(B3435),1)</f>
        <v>46235</v>
      </c>
      <c r="M3435" s="31" t="n">
        <f aca="false">WEEKDAY(B3435,2)</f>
        <v>1</v>
      </c>
      <c r="N3435" s="31" t="str">
        <f aca="false">IF(G3435&lt;=INDEX(Assumptions!$B$15:$B$18,MATCH(E3435,Assumptions!$A$15:$A$18,0)),"Yes","No")</f>
        <v>Yes</v>
      </c>
      <c r="O3435" s="31" t="str">
        <f aca="false">IF(H3435="","Open",IF(H3435&lt;=INDEX(Assumptions!$C$15:$C$18,MATCH(E3435,Assumptions!$A$15:$A$18,0)),"Yes","No"))</f>
        <v>Yes</v>
      </c>
    </row>
    <row r="3436" customFormat="false" ht="15" hidden="false" customHeight="false" outlineLevel="0" collapsed="false">
      <c r="A3436" s="31" t="s">
        <v>3586</v>
      </c>
      <c r="B3436" s="44" t="n">
        <v>46251</v>
      </c>
      <c r="C3436" s="31" t="s">
        <v>58</v>
      </c>
      <c r="D3436" s="31" t="s">
        <v>67</v>
      </c>
      <c r="E3436" s="31" t="s">
        <v>52</v>
      </c>
      <c r="F3436" s="31" t="s">
        <v>136</v>
      </c>
      <c r="G3436" s="31" t="n">
        <v>17</v>
      </c>
      <c r="H3436" s="41" t="n">
        <v>10.8</v>
      </c>
      <c r="I3436" s="31" t="s">
        <v>149</v>
      </c>
      <c r="J3436" s="31" t="n">
        <v>5</v>
      </c>
      <c r="K3436" s="31" t="s">
        <v>150</v>
      </c>
      <c r="L3436" s="45" t="n">
        <f aca="false">DATE(YEAR(B3436),MONTH(B3436),1)</f>
        <v>46235</v>
      </c>
      <c r="M3436" s="31" t="n">
        <f aca="false">WEEKDAY(B3436,2)</f>
        <v>1</v>
      </c>
      <c r="N3436" s="31" t="str">
        <f aca="false">IF(G3436&lt;=INDEX(Assumptions!$B$15:$B$18,MATCH(E3436,Assumptions!$A$15:$A$18,0)),"Yes","No")</f>
        <v>Yes</v>
      </c>
      <c r="O3436" s="31" t="str">
        <f aca="false">IF(H3436="","Open",IF(H3436&lt;=INDEX(Assumptions!$C$15:$C$18,MATCH(E3436,Assumptions!$A$15:$A$18,0)),"Yes","No"))</f>
        <v>Yes</v>
      </c>
    </row>
    <row r="3437" customFormat="false" ht="15" hidden="false" customHeight="false" outlineLevel="0" collapsed="false">
      <c r="A3437" s="31" t="s">
        <v>3587</v>
      </c>
      <c r="B3437" s="44" t="n">
        <v>46251</v>
      </c>
      <c r="C3437" s="31" t="s">
        <v>60</v>
      </c>
      <c r="D3437" s="31" t="s">
        <v>65</v>
      </c>
      <c r="E3437" s="31" t="s">
        <v>51</v>
      </c>
      <c r="F3437" s="31" t="s">
        <v>134</v>
      </c>
      <c r="G3437" s="31" t="n">
        <v>4</v>
      </c>
      <c r="H3437" s="41" t="n">
        <v>3.7</v>
      </c>
      <c r="I3437" s="31" t="s">
        <v>149</v>
      </c>
      <c r="J3437" s="31" t="n">
        <v>3</v>
      </c>
      <c r="K3437" s="31" t="s">
        <v>150</v>
      </c>
      <c r="L3437" s="45" t="n">
        <f aca="false">DATE(YEAR(B3437),MONTH(B3437),1)</f>
        <v>46235</v>
      </c>
      <c r="M3437" s="31" t="n">
        <f aca="false">WEEKDAY(B3437,2)</f>
        <v>1</v>
      </c>
      <c r="N3437" s="31" t="str">
        <f aca="false">IF(G3437&lt;=INDEX(Assumptions!$B$15:$B$18,MATCH(E3437,Assumptions!$A$15:$A$18,0)),"Yes","No")</f>
        <v>Yes</v>
      </c>
      <c r="O3437" s="31" t="str">
        <f aca="false">IF(H3437="","Open",IF(H3437&lt;=INDEX(Assumptions!$C$15:$C$18,MATCH(E3437,Assumptions!$A$15:$A$18,0)),"Yes","No"))</f>
        <v>Yes</v>
      </c>
    </row>
    <row r="3438" customFormat="false" ht="15" hidden="false" customHeight="false" outlineLevel="0" collapsed="false">
      <c r="A3438" s="31" t="s">
        <v>3588</v>
      </c>
      <c r="B3438" s="44" t="n">
        <v>46251</v>
      </c>
      <c r="C3438" s="31" t="s">
        <v>60</v>
      </c>
      <c r="D3438" s="31" t="s">
        <v>65</v>
      </c>
      <c r="E3438" s="31" t="s">
        <v>50</v>
      </c>
      <c r="F3438" s="31" t="s">
        <v>133</v>
      </c>
      <c r="G3438" s="31" t="n">
        <v>3</v>
      </c>
      <c r="H3438" s="41" t="n">
        <v>2.6</v>
      </c>
      <c r="I3438" s="31" t="s">
        <v>149</v>
      </c>
      <c r="J3438" s="31" t="n">
        <v>5</v>
      </c>
      <c r="K3438" s="31" t="s">
        <v>150</v>
      </c>
      <c r="L3438" s="45" t="n">
        <f aca="false">DATE(YEAR(B3438),MONTH(B3438),1)</f>
        <v>46235</v>
      </c>
      <c r="M3438" s="31" t="n">
        <f aca="false">WEEKDAY(B3438,2)</f>
        <v>1</v>
      </c>
      <c r="N3438" s="31" t="str">
        <f aca="false">IF(G3438&lt;=INDEX(Assumptions!$B$15:$B$18,MATCH(E3438,Assumptions!$A$15:$A$18,0)),"Yes","No")</f>
        <v>Yes</v>
      </c>
      <c r="O3438" s="31" t="str">
        <f aca="false">IF(H3438="","Open",IF(H3438&lt;=INDEX(Assumptions!$C$15:$C$18,MATCH(E3438,Assumptions!$A$15:$A$18,0)),"Yes","No"))</f>
        <v>Yes</v>
      </c>
    </row>
    <row r="3439" customFormat="false" ht="15" hidden="false" customHeight="false" outlineLevel="0" collapsed="false">
      <c r="A3439" s="31" t="s">
        <v>3589</v>
      </c>
      <c r="B3439" s="44" t="n">
        <v>46251</v>
      </c>
      <c r="C3439" s="31" t="s">
        <v>60</v>
      </c>
      <c r="D3439" s="31" t="s">
        <v>66</v>
      </c>
      <c r="E3439" s="31" t="s">
        <v>50</v>
      </c>
      <c r="F3439" s="31" t="s">
        <v>131</v>
      </c>
      <c r="G3439" s="31" t="n">
        <v>3</v>
      </c>
      <c r="H3439" s="41" t="n">
        <v>1</v>
      </c>
      <c r="I3439" s="31" t="s">
        <v>149</v>
      </c>
      <c r="J3439" s="31" t="n">
        <v>5</v>
      </c>
      <c r="K3439" s="31" t="s">
        <v>150</v>
      </c>
      <c r="L3439" s="45" t="n">
        <f aca="false">DATE(YEAR(B3439),MONTH(B3439),1)</f>
        <v>46235</v>
      </c>
      <c r="M3439" s="31" t="n">
        <f aca="false">WEEKDAY(B3439,2)</f>
        <v>1</v>
      </c>
      <c r="N3439" s="31" t="str">
        <f aca="false">IF(G3439&lt;=INDEX(Assumptions!$B$15:$B$18,MATCH(E3439,Assumptions!$A$15:$A$18,0)),"Yes","No")</f>
        <v>Yes</v>
      </c>
      <c r="O3439" s="31" t="str">
        <f aca="false">IF(H3439="","Open",IF(H3439&lt;=INDEX(Assumptions!$C$15:$C$18,MATCH(E3439,Assumptions!$A$15:$A$18,0)),"Yes","No"))</f>
        <v>Yes</v>
      </c>
    </row>
    <row r="3440" customFormat="false" ht="15" hidden="false" customHeight="false" outlineLevel="0" collapsed="false">
      <c r="A3440" s="31" t="s">
        <v>3590</v>
      </c>
      <c r="B3440" s="44" t="n">
        <v>46251</v>
      </c>
      <c r="C3440" s="31" t="s">
        <v>58</v>
      </c>
      <c r="D3440" s="31" t="s">
        <v>65</v>
      </c>
      <c r="E3440" s="31" t="s">
        <v>50</v>
      </c>
      <c r="F3440" s="31" t="s">
        <v>123</v>
      </c>
      <c r="G3440" s="31" t="n">
        <v>11</v>
      </c>
      <c r="H3440" s="41" t="n">
        <v>3.2</v>
      </c>
      <c r="I3440" s="31" t="s">
        <v>149</v>
      </c>
      <c r="J3440" s="31"/>
      <c r="K3440" s="31" t="s">
        <v>150</v>
      </c>
      <c r="L3440" s="45" t="n">
        <f aca="false">DATE(YEAR(B3440),MONTH(B3440),1)</f>
        <v>46235</v>
      </c>
      <c r="M3440" s="31" t="n">
        <f aca="false">WEEKDAY(B3440,2)</f>
        <v>1</v>
      </c>
      <c r="N3440" s="31" t="str">
        <f aca="false">IF(G3440&lt;=INDEX(Assumptions!$B$15:$B$18,MATCH(E3440,Assumptions!$A$15:$A$18,0)),"Yes","No")</f>
        <v>Yes</v>
      </c>
      <c r="O3440" s="31" t="str">
        <f aca="false">IF(H3440="","Open",IF(H3440&lt;=INDEX(Assumptions!$C$15:$C$18,MATCH(E3440,Assumptions!$A$15:$A$18,0)),"Yes","No"))</f>
        <v>Yes</v>
      </c>
    </row>
    <row r="3441" customFormat="false" ht="15" hidden="false" customHeight="false" outlineLevel="0" collapsed="false">
      <c r="A3441" s="31" t="s">
        <v>3591</v>
      </c>
      <c r="B3441" s="44" t="n">
        <v>46251</v>
      </c>
      <c r="C3441" s="31" t="s">
        <v>59</v>
      </c>
      <c r="D3441" s="31" t="s">
        <v>65</v>
      </c>
      <c r="E3441" s="31" t="s">
        <v>52</v>
      </c>
      <c r="F3441" s="31" t="s">
        <v>121</v>
      </c>
      <c r="G3441" s="31" t="n">
        <v>89</v>
      </c>
      <c r="H3441" s="41" t="n">
        <v>8</v>
      </c>
      <c r="I3441" s="31" t="s">
        <v>149</v>
      </c>
      <c r="J3441" s="31" t="n">
        <v>4</v>
      </c>
      <c r="K3441" s="31" t="s">
        <v>153</v>
      </c>
      <c r="L3441" s="45" t="n">
        <f aca="false">DATE(YEAR(B3441),MONTH(B3441),1)</f>
        <v>46235</v>
      </c>
      <c r="M3441" s="31" t="n">
        <f aca="false">WEEKDAY(B3441,2)</f>
        <v>1</v>
      </c>
      <c r="N3441" s="31" t="str">
        <f aca="false">IF(G3441&lt;=INDEX(Assumptions!$B$15:$B$18,MATCH(E3441,Assumptions!$A$15:$A$18,0)),"Yes","No")</f>
        <v>Yes</v>
      </c>
      <c r="O3441" s="31" t="str">
        <f aca="false">IF(H3441="","Open",IF(H3441&lt;=INDEX(Assumptions!$C$15:$C$18,MATCH(E3441,Assumptions!$A$15:$A$18,0)),"Yes","No"))</f>
        <v>Yes</v>
      </c>
    </row>
    <row r="3442" customFormat="false" ht="15" hidden="false" customHeight="false" outlineLevel="0" collapsed="false">
      <c r="A3442" s="31" t="s">
        <v>3592</v>
      </c>
      <c r="B3442" s="44" t="n">
        <v>46251</v>
      </c>
      <c r="C3442" s="31" t="s">
        <v>57</v>
      </c>
      <c r="D3442" s="31" t="s">
        <v>68</v>
      </c>
      <c r="E3442" s="31" t="s">
        <v>51</v>
      </c>
      <c r="F3442" s="31" t="s">
        <v>135</v>
      </c>
      <c r="G3442" s="31" t="n">
        <v>4</v>
      </c>
      <c r="H3442" s="41"/>
      <c r="I3442" s="31" t="s">
        <v>158</v>
      </c>
      <c r="J3442" s="31"/>
      <c r="K3442" s="31" t="s">
        <v>150</v>
      </c>
      <c r="L3442" s="45" t="n">
        <f aca="false">DATE(YEAR(B3442),MONTH(B3442),1)</f>
        <v>46235</v>
      </c>
      <c r="M3442" s="31" t="n">
        <f aca="false">WEEKDAY(B3442,2)</f>
        <v>1</v>
      </c>
      <c r="N3442" s="31" t="str">
        <f aca="false">IF(G3442&lt;=INDEX(Assumptions!$B$15:$B$18,MATCH(E3442,Assumptions!$A$15:$A$18,0)),"Yes","No")</f>
        <v>Yes</v>
      </c>
      <c r="O3442" s="31" t="str">
        <f aca="false">IF(H3442="","Open",IF(H3442&lt;=INDEX(Assumptions!$C$15:$C$18,MATCH(E3442,Assumptions!$A$15:$A$18,0)),"Yes","No"))</f>
        <v>Open</v>
      </c>
    </row>
    <row r="3443" customFormat="false" ht="15" hidden="false" customHeight="false" outlineLevel="0" collapsed="false">
      <c r="A3443" s="31" t="s">
        <v>3593</v>
      </c>
      <c r="B3443" s="44" t="n">
        <v>46251</v>
      </c>
      <c r="C3443" s="31" t="s">
        <v>60</v>
      </c>
      <c r="D3443" s="31" t="s">
        <v>66</v>
      </c>
      <c r="E3443" s="31" t="s">
        <v>51</v>
      </c>
      <c r="F3443" s="31" t="s">
        <v>131</v>
      </c>
      <c r="G3443" s="31" t="n">
        <v>2</v>
      </c>
      <c r="H3443" s="41" t="n">
        <v>1.9</v>
      </c>
      <c r="I3443" s="31" t="s">
        <v>149</v>
      </c>
      <c r="J3443" s="31" t="n">
        <v>4</v>
      </c>
      <c r="K3443" s="31" t="s">
        <v>150</v>
      </c>
      <c r="L3443" s="45" t="n">
        <f aca="false">DATE(YEAR(B3443),MONTH(B3443),1)</f>
        <v>46235</v>
      </c>
      <c r="M3443" s="31" t="n">
        <f aca="false">WEEKDAY(B3443,2)</f>
        <v>1</v>
      </c>
      <c r="N3443" s="31" t="str">
        <f aca="false">IF(G3443&lt;=INDEX(Assumptions!$B$15:$B$18,MATCH(E3443,Assumptions!$A$15:$A$18,0)),"Yes","No")</f>
        <v>Yes</v>
      </c>
      <c r="O3443" s="31" t="str">
        <f aca="false">IF(H3443="","Open",IF(H3443&lt;=INDEX(Assumptions!$C$15:$C$18,MATCH(E3443,Assumptions!$A$15:$A$18,0)),"Yes","No"))</f>
        <v>Yes</v>
      </c>
    </row>
    <row r="3444" customFormat="false" ht="15" hidden="false" customHeight="false" outlineLevel="0" collapsed="false">
      <c r="A3444" s="31" t="s">
        <v>3594</v>
      </c>
      <c r="B3444" s="44" t="n">
        <v>46251</v>
      </c>
      <c r="C3444" s="31" t="s">
        <v>57</v>
      </c>
      <c r="D3444" s="31" t="s">
        <v>66</v>
      </c>
      <c r="E3444" s="31" t="s">
        <v>51</v>
      </c>
      <c r="F3444" s="31" t="s">
        <v>131</v>
      </c>
      <c r="G3444" s="31" t="n">
        <v>6</v>
      </c>
      <c r="H3444" s="41" t="n">
        <v>11.7</v>
      </c>
      <c r="I3444" s="31" t="s">
        <v>64</v>
      </c>
      <c r="J3444" s="31" t="n">
        <v>4</v>
      </c>
      <c r="K3444" s="31" t="s">
        <v>150</v>
      </c>
      <c r="L3444" s="45" t="n">
        <f aca="false">DATE(YEAR(B3444),MONTH(B3444),1)</f>
        <v>46235</v>
      </c>
      <c r="M3444" s="31" t="n">
        <f aca="false">WEEKDAY(B3444,2)</f>
        <v>1</v>
      </c>
      <c r="N3444" s="31" t="str">
        <f aca="false">IF(G3444&lt;=INDEX(Assumptions!$B$15:$B$18,MATCH(E3444,Assumptions!$A$15:$A$18,0)),"Yes","No")</f>
        <v>Yes</v>
      </c>
      <c r="O3444" s="31" t="str">
        <f aca="false">IF(H3444="","Open",IF(H3444&lt;=INDEX(Assumptions!$C$15:$C$18,MATCH(E3444,Assumptions!$A$15:$A$18,0)),"Yes","No"))</f>
        <v>Yes</v>
      </c>
    </row>
    <row r="3445" customFormat="false" ht="15" hidden="false" customHeight="false" outlineLevel="0" collapsed="false">
      <c r="A3445" s="31" t="s">
        <v>3595</v>
      </c>
      <c r="B3445" s="44" t="n">
        <v>46251</v>
      </c>
      <c r="C3445" s="31" t="s">
        <v>60</v>
      </c>
      <c r="D3445" s="31" t="s">
        <v>65</v>
      </c>
      <c r="E3445" s="31" t="s">
        <v>51</v>
      </c>
      <c r="F3445" s="31" t="s">
        <v>135</v>
      </c>
      <c r="G3445" s="31" t="n">
        <v>3</v>
      </c>
      <c r="H3445" s="41" t="n">
        <v>17.7</v>
      </c>
      <c r="I3445" s="31" t="s">
        <v>149</v>
      </c>
      <c r="J3445" s="31" t="n">
        <v>5</v>
      </c>
      <c r="K3445" s="31" t="s">
        <v>150</v>
      </c>
      <c r="L3445" s="45" t="n">
        <f aca="false">DATE(YEAR(B3445),MONTH(B3445),1)</f>
        <v>46235</v>
      </c>
      <c r="M3445" s="31" t="n">
        <f aca="false">WEEKDAY(B3445,2)</f>
        <v>1</v>
      </c>
      <c r="N3445" s="31" t="str">
        <f aca="false">IF(G3445&lt;=INDEX(Assumptions!$B$15:$B$18,MATCH(E3445,Assumptions!$A$15:$A$18,0)),"Yes","No")</f>
        <v>Yes</v>
      </c>
      <c r="O3445" s="31" t="str">
        <f aca="false">IF(H3445="","Open",IF(H3445&lt;=INDEX(Assumptions!$C$15:$C$18,MATCH(E3445,Assumptions!$A$15:$A$18,0)),"Yes","No"))</f>
        <v>Yes</v>
      </c>
    </row>
    <row r="3446" customFormat="false" ht="15" hidden="false" customHeight="false" outlineLevel="0" collapsed="false">
      <c r="A3446" s="31" t="s">
        <v>3596</v>
      </c>
      <c r="B3446" s="44" t="n">
        <v>46251</v>
      </c>
      <c r="C3446" s="31" t="s">
        <v>58</v>
      </c>
      <c r="D3446" s="31" t="s">
        <v>65</v>
      </c>
      <c r="E3446" s="31" t="s">
        <v>51</v>
      </c>
      <c r="F3446" s="31" t="s">
        <v>121</v>
      </c>
      <c r="G3446" s="31" t="n">
        <v>16</v>
      </c>
      <c r="H3446" s="41" t="n">
        <v>7.3</v>
      </c>
      <c r="I3446" s="31" t="s">
        <v>149</v>
      </c>
      <c r="J3446" s="31" t="n">
        <v>2</v>
      </c>
      <c r="K3446" s="31" t="s">
        <v>150</v>
      </c>
      <c r="L3446" s="45" t="n">
        <f aca="false">DATE(YEAR(B3446),MONTH(B3446),1)</f>
        <v>46235</v>
      </c>
      <c r="M3446" s="31" t="n">
        <f aca="false">WEEKDAY(B3446,2)</f>
        <v>1</v>
      </c>
      <c r="N3446" s="31" t="str">
        <f aca="false">IF(G3446&lt;=INDEX(Assumptions!$B$15:$B$18,MATCH(E3446,Assumptions!$A$15:$A$18,0)),"Yes","No")</f>
        <v>Yes</v>
      </c>
      <c r="O3446" s="31" t="str">
        <f aca="false">IF(H3446="","Open",IF(H3446&lt;=INDEX(Assumptions!$C$15:$C$18,MATCH(E3446,Assumptions!$A$15:$A$18,0)),"Yes","No"))</f>
        <v>Yes</v>
      </c>
    </row>
    <row r="3447" customFormat="false" ht="15" hidden="false" customHeight="false" outlineLevel="0" collapsed="false">
      <c r="A3447" s="31" t="s">
        <v>3597</v>
      </c>
      <c r="B3447" s="44" t="n">
        <v>46251</v>
      </c>
      <c r="C3447" s="31" t="s">
        <v>58</v>
      </c>
      <c r="D3447" s="31" t="s">
        <v>66</v>
      </c>
      <c r="E3447" s="31" t="s">
        <v>51</v>
      </c>
      <c r="F3447" s="31" t="s">
        <v>131</v>
      </c>
      <c r="G3447" s="31" t="n">
        <v>14</v>
      </c>
      <c r="H3447" s="41" t="n">
        <v>4.3</v>
      </c>
      <c r="I3447" s="31" t="s">
        <v>149</v>
      </c>
      <c r="J3447" s="31"/>
      <c r="K3447" s="31" t="s">
        <v>150</v>
      </c>
      <c r="L3447" s="45" t="n">
        <f aca="false">DATE(YEAR(B3447),MONTH(B3447),1)</f>
        <v>46235</v>
      </c>
      <c r="M3447" s="31" t="n">
        <f aca="false">WEEKDAY(B3447,2)</f>
        <v>1</v>
      </c>
      <c r="N3447" s="31" t="str">
        <f aca="false">IF(G3447&lt;=INDEX(Assumptions!$B$15:$B$18,MATCH(E3447,Assumptions!$A$15:$A$18,0)),"Yes","No")</f>
        <v>Yes</v>
      </c>
      <c r="O3447" s="31" t="str">
        <f aca="false">IF(H3447="","Open",IF(H3447&lt;=INDEX(Assumptions!$C$15:$C$18,MATCH(E3447,Assumptions!$A$15:$A$18,0)),"Yes","No"))</f>
        <v>Yes</v>
      </c>
    </row>
    <row r="3448" customFormat="false" ht="15" hidden="false" customHeight="false" outlineLevel="0" collapsed="false">
      <c r="A3448" s="31" t="s">
        <v>3598</v>
      </c>
      <c r="B3448" s="44" t="n">
        <v>46252</v>
      </c>
      <c r="C3448" s="31" t="s">
        <v>57</v>
      </c>
      <c r="D3448" s="31" t="s">
        <v>68</v>
      </c>
      <c r="E3448" s="31" t="s">
        <v>51</v>
      </c>
      <c r="F3448" s="31" t="s">
        <v>117</v>
      </c>
      <c r="G3448" s="31" t="n">
        <v>4</v>
      </c>
      <c r="H3448" s="41" t="n">
        <v>2.3</v>
      </c>
      <c r="I3448" s="31" t="s">
        <v>149</v>
      </c>
      <c r="J3448" s="31"/>
      <c r="K3448" s="31" t="s">
        <v>150</v>
      </c>
      <c r="L3448" s="45" t="n">
        <f aca="false">DATE(YEAR(B3448),MONTH(B3448),1)</f>
        <v>46235</v>
      </c>
      <c r="M3448" s="31" t="n">
        <f aca="false">WEEKDAY(B3448,2)</f>
        <v>2</v>
      </c>
      <c r="N3448" s="31" t="str">
        <f aca="false">IF(G3448&lt;=INDEX(Assumptions!$B$15:$B$18,MATCH(E3448,Assumptions!$A$15:$A$18,0)),"Yes","No")</f>
        <v>Yes</v>
      </c>
      <c r="O3448" s="31" t="str">
        <f aca="false">IF(H3448="","Open",IF(H3448&lt;=INDEX(Assumptions!$C$15:$C$18,MATCH(E3448,Assumptions!$A$15:$A$18,0)),"Yes","No"))</f>
        <v>Yes</v>
      </c>
    </row>
    <row r="3449" customFormat="false" ht="15" hidden="false" customHeight="false" outlineLevel="0" collapsed="false">
      <c r="A3449" s="31" t="s">
        <v>3599</v>
      </c>
      <c r="B3449" s="44" t="n">
        <v>46252</v>
      </c>
      <c r="C3449" s="31" t="s">
        <v>60</v>
      </c>
      <c r="D3449" s="31" t="s">
        <v>67</v>
      </c>
      <c r="E3449" s="31" t="s">
        <v>51</v>
      </c>
      <c r="F3449" s="31" t="s">
        <v>127</v>
      </c>
      <c r="G3449" s="31" t="n">
        <v>1</v>
      </c>
      <c r="H3449" s="41" t="n">
        <v>3</v>
      </c>
      <c r="I3449" s="31" t="s">
        <v>149</v>
      </c>
      <c r="J3449" s="31" t="n">
        <v>5</v>
      </c>
      <c r="K3449" s="31" t="s">
        <v>150</v>
      </c>
      <c r="L3449" s="45" t="n">
        <f aca="false">DATE(YEAR(B3449),MONTH(B3449),1)</f>
        <v>46235</v>
      </c>
      <c r="M3449" s="31" t="n">
        <f aca="false">WEEKDAY(B3449,2)</f>
        <v>2</v>
      </c>
      <c r="N3449" s="31" t="str">
        <f aca="false">IF(G3449&lt;=INDEX(Assumptions!$B$15:$B$18,MATCH(E3449,Assumptions!$A$15:$A$18,0)),"Yes","No")</f>
        <v>Yes</v>
      </c>
      <c r="O3449" s="31" t="str">
        <f aca="false">IF(H3449="","Open",IF(H3449&lt;=INDEX(Assumptions!$C$15:$C$18,MATCH(E3449,Assumptions!$A$15:$A$18,0)),"Yes","No"))</f>
        <v>Yes</v>
      </c>
    </row>
    <row r="3450" customFormat="false" ht="15" hidden="false" customHeight="false" outlineLevel="0" collapsed="false">
      <c r="A3450" s="31" t="s">
        <v>3600</v>
      </c>
      <c r="B3450" s="44" t="n">
        <v>46252</v>
      </c>
      <c r="C3450" s="31" t="s">
        <v>59</v>
      </c>
      <c r="D3450" s="31" t="s">
        <v>67</v>
      </c>
      <c r="E3450" s="31" t="s">
        <v>50</v>
      </c>
      <c r="F3450" s="31" t="s">
        <v>123</v>
      </c>
      <c r="G3450" s="31" t="n">
        <v>25</v>
      </c>
      <c r="H3450" s="41" t="n">
        <v>5.9</v>
      </c>
      <c r="I3450" s="31" t="s">
        <v>149</v>
      </c>
      <c r="J3450" s="31"/>
      <c r="K3450" s="31" t="s">
        <v>150</v>
      </c>
      <c r="L3450" s="45" t="n">
        <f aca="false">DATE(YEAR(B3450),MONTH(B3450),1)</f>
        <v>46235</v>
      </c>
      <c r="M3450" s="31" t="n">
        <f aca="false">WEEKDAY(B3450,2)</f>
        <v>2</v>
      </c>
      <c r="N3450" s="31" t="str">
        <f aca="false">IF(G3450&lt;=INDEX(Assumptions!$B$15:$B$18,MATCH(E3450,Assumptions!$A$15:$A$18,0)),"Yes","No")</f>
        <v>Yes</v>
      </c>
      <c r="O3450" s="31" t="str">
        <f aca="false">IF(H3450="","Open",IF(H3450&lt;=INDEX(Assumptions!$C$15:$C$18,MATCH(E3450,Assumptions!$A$15:$A$18,0)),"Yes","No"))</f>
        <v>Yes</v>
      </c>
    </row>
    <row r="3451" customFormat="false" ht="15" hidden="false" customHeight="false" outlineLevel="0" collapsed="false">
      <c r="A3451" s="31" t="s">
        <v>3601</v>
      </c>
      <c r="B3451" s="44" t="n">
        <v>46252</v>
      </c>
      <c r="C3451" s="31" t="s">
        <v>58</v>
      </c>
      <c r="D3451" s="31" t="s">
        <v>65</v>
      </c>
      <c r="E3451" s="31" t="s">
        <v>51</v>
      </c>
      <c r="F3451" s="31" t="s">
        <v>121</v>
      </c>
      <c r="G3451" s="31" t="n">
        <v>11</v>
      </c>
      <c r="H3451" s="41" t="n">
        <v>135.6</v>
      </c>
      <c r="I3451" s="31" t="s">
        <v>64</v>
      </c>
      <c r="J3451" s="31" t="n">
        <v>3</v>
      </c>
      <c r="K3451" s="31" t="s">
        <v>150</v>
      </c>
      <c r="L3451" s="45" t="n">
        <f aca="false">DATE(YEAR(B3451),MONTH(B3451),1)</f>
        <v>46235</v>
      </c>
      <c r="M3451" s="31" t="n">
        <f aca="false">WEEKDAY(B3451,2)</f>
        <v>2</v>
      </c>
      <c r="N3451" s="31" t="str">
        <f aca="false">IF(G3451&lt;=INDEX(Assumptions!$B$15:$B$18,MATCH(E3451,Assumptions!$A$15:$A$18,0)),"Yes","No")</f>
        <v>Yes</v>
      </c>
      <c r="O3451" s="31" t="str">
        <f aca="false">IF(H3451="","Open",IF(H3451&lt;=INDEX(Assumptions!$C$15:$C$18,MATCH(E3451,Assumptions!$A$15:$A$18,0)),"Yes","No"))</f>
        <v>No</v>
      </c>
    </row>
    <row r="3452" customFormat="false" ht="15" hidden="false" customHeight="false" outlineLevel="0" collapsed="false">
      <c r="A3452" s="31" t="s">
        <v>3602</v>
      </c>
      <c r="B3452" s="44" t="n">
        <v>46252</v>
      </c>
      <c r="C3452" s="31" t="s">
        <v>59</v>
      </c>
      <c r="D3452" s="31" t="s">
        <v>67</v>
      </c>
      <c r="E3452" s="31" t="s">
        <v>51</v>
      </c>
      <c r="F3452" s="31" t="s">
        <v>119</v>
      </c>
      <c r="G3452" s="31" t="n">
        <v>58</v>
      </c>
      <c r="H3452" s="41" t="n">
        <v>26</v>
      </c>
      <c r="I3452" s="31" t="s">
        <v>64</v>
      </c>
      <c r="J3452" s="31"/>
      <c r="K3452" s="31" t="s">
        <v>150</v>
      </c>
      <c r="L3452" s="45" t="n">
        <f aca="false">DATE(YEAR(B3452),MONTH(B3452),1)</f>
        <v>46235</v>
      </c>
      <c r="M3452" s="31" t="n">
        <f aca="false">WEEKDAY(B3452,2)</f>
        <v>2</v>
      </c>
      <c r="N3452" s="31" t="str">
        <f aca="false">IF(G3452&lt;=INDEX(Assumptions!$B$15:$B$18,MATCH(E3452,Assumptions!$A$15:$A$18,0)),"Yes","No")</f>
        <v>Yes</v>
      </c>
      <c r="O3452" s="31" t="str">
        <f aca="false">IF(H3452="","Open",IF(H3452&lt;=INDEX(Assumptions!$C$15:$C$18,MATCH(E3452,Assumptions!$A$15:$A$18,0)),"Yes","No"))</f>
        <v>No</v>
      </c>
    </row>
    <row r="3453" customFormat="false" ht="15" hidden="false" customHeight="false" outlineLevel="0" collapsed="false">
      <c r="A3453" s="31" t="s">
        <v>3603</v>
      </c>
      <c r="B3453" s="44" t="n">
        <v>46252</v>
      </c>
      <c r="C3453" s="31" t="s">
        <v>58</v>
      </c>
      <c r="D3453" s="31" t="s">
        <v>65</v>
      </c>
      <c r="E3453" s="31" t="s">
        <v>52</v>
      </c>
      <c r="F3453" s="31" t="s">
        <v>122</v>
      </c>
      <c r="G3453" s="31" t="n">
        <v>73</v>
      </c>
      <c r="H3453" s="41" t="n">
        <v>43.8</v>
      </c>
      <c r="I3453" s="31" t="s">
        <v>149</v>
      </c>
      <c r="J3453" s="31"/>
      <c r="K3453" s="31" t="s">
        <v>150</v>
      </c>
      <c r="L3453" s="45" t="n">
        <f aca="false">DATE(YEAR(B3453),MONTH(B3453),1)</f>
        <v>46235</v>
      </c>
      <c r="M3453" s="31" t="n">
        <f aca="false">WEEKDAY(B3453,2)</f>
        <v>2</v>
      </c>
      <c r="N3453" s="31" t="str">
        <f aca="false">IF(G3453&lt;=INDEX(Assumptions!$B$15:$B$18,MATCH(E3453,Assumptions!$A$15:$A$18,0)),"Yes","No")</f>
        <v>Yes</v>
      </c>
      <c r="O3453" s="31" t="str">
        <f aca="false">IF(H3453="","Open",IF(H3453&lt;=INDEX(Assumptions!$C$15:$C$18,MATCH(E3453,Assumptions!$A$15:$A$18,0)),"Yes","No"))</f>
        <v>Yes</v>
      </c>
    </row>
    <row r="3454" customFormat="false" ht="15" hidden="false" customHeight="false" outlineLevel="0" collapsed="false">
      <c r="A3454" s="31" t="s">
        <v>3604</v>
      </c>
      <c r="B3454" s="44" t="n">
        <v>46252</v>
      </c>
      <c r="C3454" s="31" t="s">
        <v>57</v>
      </c>
      <c r="D3454" s="31" t="s">
        <v>68</v>
      </c>
      <c r="E3454" s="31" t="s">
        <v>50</v>
      </c>
      <c r="F3454" s="31" t="s">
        <v>117</v>
      </c>
      <c r="G3454" s="31" t="n">
        <v>1</v>
      </c>
      <c r="H3454" s="41" t="n">
        <v>1.9</v>
      </c>
      <c r="I3454" s="31" t="s">
        <v>149</v>
      </c>
      <c r="J3454" s="31" t="n">
        <v>5</v>
      </c>
      <c r="K3454" s="31" t="s">
        <v>150</v>
      </c>
      <c r="L3454" s="45" t="n">
        <f aca="false">DATE(YEAR(B3454),MONTH(B3454),1)</f>
        <v>46235</v>
      </c>
      <c r="M3454" s="31" t="n">
        <f aca="false">WEEKDAY(B3454,2)</f>
        <v>2</v>
      </c>
      <c r="N3454" s="31" t="str">
        <f aca="false">IF(G3454&lt;=INDEX(Assumptions!$B$15:$B$18,MATCH(E3454,Assumptions!$A$15:$A$18,0)),"Yes","No")</f>
        <v>Yes</v>
      </c>
      <c r="O3454" s="31" t="str">
        <f aca="false">IF(H3454="","Open",IF(H3454&lt;=INDEX(Assumptions!$C$15:$C$18,MATCH(E3454,Assumptions!$A$15:$A$18,0)),"Yes","No"))</f>
        <v>Yes</v>
      </c>
    </row>
    <row r="3455" customFormat="false" ht="15" hidden="false" customHeight="false" outlineLevel="0" collapsed="false">
      <c r="A3455" s="31" t="s">
        <v>3605</v>
      </c>
      <c r="B3455" s="44" t="n">
        <v>46252</v>
      </c>
      <c r="C3455" s="31" t="s">
        <v>60</v>
      </c>
      <c r="D3455" s="31" t="s">
        <v>67</v>
      </c>
      <c r="E3455" s="31" t="s">
        <v>52</v>
      </c>
      <c r="F3455" s="31" t="s">
        <v>137</v>
      </c>
      <c r="G3455" s="31" t="n">
        <v>7</v>
      </c>
      <c r="H3455" s="41" t="n">
        <v>47.1</v>
      </c>
      <c r="I3455" s="31" t="s">
        <v>64</v>
      </c>
      <c r="J3455" s="31"/>
      <c r="K3455" s="31" t="s">
        <v>150</v>
      </c>
      <c r="L3455" s="45" t="n">
        <f aca="false">DATE(YEAR(B3455),MONTH(B3455),1)</f>
        <v>46235</v>
      </c>
      <c r="M3455" s="31" t="n">
        <f aca="false">WEEKDAY(B3455,2)</f>
        <v>2</v>
      </c>
      <c r="N3455" s="31" t="str">
        <f aca="false">IF(G3455&lt;=INDEX(Assumptions!$B$15:$B$18,MATCH(E3455,Assumptions!$A$15:$A$18,0)),"Yes","No")</f>
        <v>Yes</v>
      </c>
      <c r="O3455" s="31" t="str">
        <f aca="false">IF(H3455="","Open",IF(H3455&lt;=INDEX(Assumptions!$C$15:$C$18,MATCH(E3455,Assumptions!$A$15:$A$18,0)),"Yes","No"))</f>
        <v>Yes</v>
      </c>
    </row>
    <row r="3456" customFormat="false" ht="15" hidden="false" customHeight="false" outlineLevel="0" collapsed="false">
      <c r="A3456" s="31" t="s">
        <v>3606</v>
      </c>
      <c r="B3456" s="44" t="n">
        <v>46252</v>
      </c>
      <c r="C3456" s="31" t="s">
        <v>58</v>
      </c>
      <c r="D3456" s="31" t="s">
        <v>67</v>
      </c>
      <c r="E3456" s="31" t="s">
        <v>51</v>
      </c>
      <c r="F3456" s="31" t="s">
        <v>121</v>
      </c>
      <c r="G3456" s="31" t="n">
        <v>58</v>
      </c>
      <c r="H3456" s="41" t="n">
        <v>13.7</v>
      </c>
      <c r="I3456" s="31" t="s">
        <v>149</v>
      </c>
      <c r="J3456" s="31" t="n">
        <v>4</v>
      </c>
      <c r="K3456" s="31" t="s">
        <v>150</v>
      </c>
      <c r="L3456" s="45" t="n">
        <f aca="false">DATE(YEAR(B3456),MONTH(B3456),1)</f>
        <v>46235</v>
      </c>
      <c r="M3456" s="31" t="n">
        <f aca="false">WEEKDAY(B3456,2)</f>
        <v>2</v>
      </c>
      <c r="N3456" s="31" t="str">
        <f aca="false">IF(G3456&lt;=INDEX(Assumptions!$B$15:$B$18,MATCH(E3456,Assumptions!$A$15:$A$18,0)),"Yes","No")</f>
        <v>Yes</v>
      </c>
      <c r="O3456" s="31" t="str">
        <f aca="false">IF(H3456="","Open",IF(H3456&lt;=INDEX(Assumptions!$C$15:$C$18,MATCH(E3456,Assumptions!$A$15:$A$18,0)),"Yes","No"))</f>
        <v>Yes</v>
      </c>
    </row>
    <row r="3457" customFormat="false" ht="15" hidden="false" customHeight="false" outlineLevel="0" collapsed="false">
      <c r="A3457" s="31" t="s">
        <v>3607</v>
      </c>
      <c r="B3457" s="44" t="n">
        <v>46252</v>
      </c>
      <c r="C3457" s="31" t="s">
        <v>57</v>
      </c>
      <c r="D3457" s="31" t="s">
        <v>65</v>
      </c>
      <c r="E3457" s="31" t="s">
        <v>50</v>
      </c>
      <c r="F3457" s="31" t="s">
        <v>136</v>
      </c>
      <c r="G3457" s="31" t="n">
        <v>3</v>
      </c>
      <c r="H3457" s="41" t="n">
        <v>8.4</v>
      </c>
      <c r="I3457" s="31" t="s">
        <v>149</v>
      </c>
      <c r="J3457" s="31" t="n">
        <v>3</v>
      </c>
      <c r="K3457" s="31" t="s">
        <v>150</v>
      </c>
      <c r="L3457" s="45" t="n">
        <f aca="false">DATE(YEAR(B3457),MONTH(B3457),1)</f>
        <v>46235</v>
      </c>
      <c r="M3457" s="31" t="n">
        <f aca="false">WEEKDAY(B3457,2)</f>
        <v>2</v>
      </c>
      <c r="N3457" s="31" t="str">
        <f aca="false">IF(G3457&lt;=INDEX(Assumptions!$B$15:$B$18,MATCH(E3457,Assumptions!$A$15:$A$18,0)),"Yes","No")</f>
        <v>Yes</v>
      </c>
      <c r="O3457" s="31" t="str">
        <f aca="false">IF(H3457="","Open",IF(H3457&lt;=INDEX(Assumptions!$C$15:$C$18,MATCH(E3457,Assumptions!$A$15:$A$18,0)),"Yes","No"))</f>
        <v>No</v>
      </c>
    </row>
    <row r="3458" customFormat="false" ht="15" hidden="false" customHeight="false" outlineLevel="0" collapsed="false">
      <c r="A3458" s="31" t="s">
        <v>3608</v>
      </c>
      <c r="B3458" s="44" t="n">
        <v>46252</v>
      </c>
      <c r="C3458" s="31" t="s">
        <v>57</v>
      </c>
      <c r="D3458" s="31" t="s">
        <v>69</v>
      </c>
      <c r="E3458" s="31" t="s">
        <v>51</v>
      </c>
      <c r="F3458" s="31" t="s">
        <v>133</v>
      </c>
      <c r="G3458" s="31" t="n">
        <v>6</v>
      </c>
      <c r="H3458" s="41" t="n">
        <v>22.5</v>
      </c>
      <c r="I3458" s="31" t="s">
        <v>149</v>
      </c>
      <c r="J3458" s="31"/>
      <c r="K3458" s="31" t="s">
        <v>150</v>
      </c>
      <c r="L3458" s="45" t="n">
        <f aca="false">DATE(YEAR(B3458),MONTH(B3458),1)</f>
        <v>46235</v>
      </c>
      <c r="M3458" s="31" t="n">
        <f aca="false">WEEKDAY(B3458,2)</f>
        <v>2</v>
      </c>
      <c r="N3458" s="31" t="str">
        <f aca="false">IF(G3458&lt;=INDEX(Assumptions!$B$15:$B$18,MATCH(E3458,Assumptions!$A$15:$A$18,0)),"Yes","No")</f>
        <v>Yes</v>
      </c>
      <c r="O3458" s="31" t="str">
        <f aca="false">IF(H3458="","Open",IF(H3458&lt;=INDEX(Assumptions!$C$15:$C$18,MATCH(E3458,Assumptions!$A$15:$A$18,0)),"Yes","No"))</f>
        <v>Yes</v>
      </c>
    </row>
    <row r="3459" customFormat="false" ht="15" hidden="false" customHeight="false" outlineLevel="0" collapsed="false">
      <c r="A3459" s="31" t="s">
        <v>3609</v>
      </c>
      <c r="B3459" s="44" t="n">
        <v>46252</v>
      </c>
      <c r="C3459" s="31" t="s">
        <v>59</v>
      </c>
      <c r="D3459" s="31" t="s">
        <v>65</v>
      </c>
      <c r="E3459" s="31" t="s">
        <v>51</v>
      </c>
      <c r="F3459" s="31" t="s">
        <v>131</v>
      </c>
      <c r="G3459" s="31" t="n">
        <v>87</v>
      </c>
      <c r="H3459" s="41" t="n">
        <v>4.1</v>
      </c>
      <c r="I3459" s="31" t="s">
        <v>149</v>
      </c>
      <c r="J3459" s="31"/>
      <c r="K3459" s="31" t="s">
        <v>150</v>
      </c>
      <c r="L3459" s="45" t="n">
        <f aca="false">DATE(YEAR(B3459),MONTH(B3459),1)</f>
        <v>46235</v>
      </c>
      <c r="M3459" s="31" t="n">
        <f aca="false">WEEKDAY(B3459,2)</f>
        <v>2</v>
      </c>
      <c r="N3459" s="31" t="str">
        <f aca="false">IF(G3459&lt;=INDEX(Assumptions!$B$15:$B$18,MATCH(E3459,Assumptions!$A$15:$A$18,0)),"Yes","No")</f>
        <v>No</v>
      </c>
      <c r="O3459" s="31" t="str">
        <f aca="false">IF(H3459="","Open",IF(H3459&lt;=INDEX(Assumptions!$C$15:$C$18,MATCH(E3459,Assumptions!$A$15:$A$18,0)),"Yes","No"))</f>
        <v>Yes</v>
      </c>
    </row>
    <row r="3460" customFormat="false" ht="15" hidden="false" customHeight="false" outlineLevel="0" collapsed="false">
      <c r="A3460" s="31" t="s">
        <v>3610</v>
      </c>
      <c r="B3460" s="44" t="n">
        <v>46252</v>
      </c>
      <c r="C3460" s="31" t="s">
        <v>60</v>
      </c>
      <c r="D3460" s="31" t="s">
        <v>66</v>
      </c>
      <c r="E3460" s="31" t="s">
        <v>50</v>
      </c>
      <c r="F3460" s="31" t="s">
        <v>127</v>
      </c>
      <c r="G3460" s="31" t="n">
        <v>2</v>
      </c>
      <c r="H3460" s="41" t="n">
        <v>4.2</v>
      </c>
      <c r="I3460" s="31" t="s">
        <v>149</v>
      </c>
      <c r="J3460" s="31" t="n">
        <v>5</v>
      </c>
      <c r="K3460" s="31" t="s">
        <v>150</v>
      </c>
      <c r="L3460" s="45" t="n">
        <f aca="false">DATE(YEAR(B3460),MONTH(B3460),1)</f>
        <v>46235</v>
      </c>
      <c r="M3460" s="31" t="n">
        <f aca="false">WEEKDAY(B3460,2)</f>
        <v>2</v>
      </c>
      <c r="N3460" s="31" t="str">
        <f aca="false">IF(G3460&lt;=INDEX(Assumptions!$B$15:$B$18,MATCH(E3460,Assumptions!$A$15:$A$18,0)),"Yes","No")</f>
        <v>Yes</v>
      </c>
      <c r="O3460" s="31" t="str">
        <f aca="false">IF(H3460="","Open",IF(H3460&lt;=INDEX(Assumptions!$C$15:$C$18,MATCH(E3460,Assumptions!$A$15:$A$18,0)),"Yes","No"))</f>
        <v>Yes</v>
      </c>
    </row>
    <row r="3461" customFormat="false" ht="15" hidden="false" customHeight="false" outlineLevel="0" collapsed="false">
      <c r="A3461" s="31" t="s">
        <v>3611</v>
      </c>
      <c r="B3461" s="44" t="n">
        <v>46252</v>
      </c>
      <c r="C3461" s="31" t="s">
        <v>59</v>
      </c>
      <c r="D3461" s="31" t="s">
        <v>68</v>
      </c>
      <c r="E3461" s="31" t="s">
        <v>51</v>
      </c>
      <c r="F3461" s="31" t="s">
        <v>135</v>
      </c>
      <c r="G3461" s="31" t="n">
        <v>169</v>
      </c>
      <c r="H3461" s="41" t="n">
        <v>8.6</v>
      </c>
      <c r="I3461" s="31" t="s">
        <v>149</v>
      </c>
      <c r="J3461" s="31"/>
      <c r="K3461" s="31" t="s">
        <v>153</v>
      </c>
      <c r="L3461" s="45" t="n">
        <f aca="false">DATE(YEAR(B3461),MONTH(B3461),1)</f>
        <v>46235</v>
      </c>
      <c r="M3461" s="31" t="n">
        <f aca="false">WEEKDAY(B3461,2)</f>
        <v>2</v>
      </c>
      <c r="N3461" s="31" t="str">
        <f aca="false">IF(G3461&lt;=INDEX(Assumptions!$B$15:$B$18,MATCH(E3461,Assumptions!$A$15:$A$18,0)),"Yes","No")</f>
        <v>No</v>
      </c>
      <c r="O3461" s="31" t="str">
        <f aca="false">IF(H3461="","Open",IF(H3461&lt;=INDEX(Assumptions!$C$15:$C$18,MATCH(E3461,Assumptions!$A$15:$A$18,0)),"Yes","No"))</f>
        <v>Yes</v>
      </c>
    </row>
    <row r="3462" customFormat="false" ht="15" hidden="false" customHeight="false" outlineLevel="0" collapsed="false">
      <c r="A3462" s="31" t="s">
        <v>3612</v>
      </c>
      <c r="B3462" s="44" t="n">
        <v>46252</v>
      </c>
      <c r="C3462" s="31" t="s">
        <v>58</v>
      </c>
      <c r="D3462" s="31" t="s">
        <v>69</v>
      </c>
      <c r="E3462" s="31" t="s">
        <v>51</v>
      </c>
      <c r="F3462" s="31" t="s">
        <v>133</v>
      </c>
      <c r="G3462" s="31" t="n">
        <v>35</v>
      </c>
      <c r="H3462" s="41" t="n">
        <v>8.8</v>
      </c>
      <c r="I3462" s="31" t="s">
        <v>149</v>
      </c>
      <c r="J3462" s="31" t="n">
        <v>5</v>
      </c>
      <c r="K3462" s="31" t="s">
        <v>150</v>
      </c>
      <c r="L3462" s="45" t="n">
        <f aca="false">DATE(YEAR(B3462),MONTH(B3462),1)</f>
        <v>46235</v>
      </c>
      <c r="M3462" s="31" t="n">
        <f aca="false">WEEKDAY(B3462,2)</f>
        <v>2</v>
      </c>
      <c r="N3462" s="31" t="str">
        <f aca="false">IF(G3462&lt;=INDEX(Assumptions!$B$15:$B$18,MATCH(E3462,Assumptions!$A$15:$A$18,0)),"Yes","No")</f>
        <v>Yes</v>
      </c>
      <c r="O3462" s="31" t="str">
        <f aca="false">IF(H3462="","Open",IF(H3462&lt;=INDEX(Assumptions!$C$15:$C$18,MATCH(E3462,Assumptions!$A$15:$A$18,0)),"Yes","No"))</f>
        <v>Yes</v>
      </c>
    </row>
    <row r="3463" customFormat="false" ht="15" hidden="false" customHeight="false" outlineLevel="0" collapsed="false">
      <c r="A3463" s="31" t="s">
        <v>3613</v>
      </c>
      <c r="B3463" s="44" t="n">
        <v>46252</v>
      </c>
      <c r="C3463" s="31" t="s">
        <v>58</v>
      </c>
      <c r="D3463" s="31" t="s">
        <v>66</v>
      </c>
      <c r="E3463" s="31" t="s">
        <v>52</v>
      </c>
      <c r="F3463" s="31" t="s">
        <v>123</v>
      </c>
      <c r="G3463" s="31" t="n">
        <v>9</v>
      </c>
      <c r="H3463" s="41" t="n">
        <v>13.8</v>
      </c>
      <c r="I3463" s="31" t="s">
        <v>149</v>
      </c>
      <c r="J3463" s="31"/>
      <c r="K3463" s="31" t="s">
        <v>150</v>
      </c>
      <c r="L3463" s="45" t="n">
        <f aca="false">DATE(YEAR(B3463),MONTH(B3463),1)</f>
        <v>46235</v>
      </c>
      <c r="M3463" s="31" t="n">
        <f aca="false">WEEKDAY(B3463,2)</f>
        <v>2</v>
      </c>
      <c r="N3463" s="31" t="str">
        <f aca="false">IF(G3463&lt;=INDEX(Assumptions!$B$15:$B$18,MATCH(E3463,Assumptions!$A$15:$A$18,0)),"Yes","No")</f>
        <v>Yes</v>
      </c>
      <c r="O3463" s="31" t="str">
        <f aca="false">IF(H3463="","Open",IF(H3463&lt;=INDEX(Assumptions!$C$15:$C$18,MATCH(E3463,Assumptions!$A$15:$A$18,0)),"Yes","No"))</f>
        <v>Yes</v>
      </c>
    </row>
    <row r="3464" customFormat="false" ht="15" hidden="false" customHeight="false" outlineLevel="0" collapsed="false">
      <c r="A3464" s="31" t="s">
        <v>3614</v>
      </c>
      <c r="B3464" s="44" t="n">
        <v>46252</v>
      </c>
      <c r="C3464" s="31" t="s">
        <v>57</v>
      </c>
      <c r="D3464" s="31" t="s">
        <v>67</v>
      </c>
      <c r="E3464" s="31" t="s">
        <v>51</v>
      </c>
      <c r="F3464" s="31" t="s">
        <v>123</v>
      </c>
      <c r="G3464" s="31" t="n">
        <v>2</v>
      </c>
      <c r="H3464" s="41" t="n">
        <v>12.8</v>
      </c>
      <c r="I3464" s="31" t="s">
        <v>149</v>
      </c>
      <c r="J3464" s="31"/>
      <c r="K3464" s="31" t="s">
        <v>150</v>
      </c>
      <c r="L3464" s="45" t="n">
        <f aca="false">DATE(YEAR(B3464),MONTH(B3464),1)</f>
        <v>46235</v>
      </c>
      <c r="M3464" s="31" t="n">
        <f aca="false">WEEKDAY(B3464,2)</f>
        <v>2</v>
      </c>
      <c r="N3464" s="31" t="str">
        <f aca="false">IF(G3464&lt;=INDEX(Assumptions!$B$15:$B$18,MATCH(E3464,Assumptions!$A$15:$A$18,0)),"Yes","No")</f>
        <v>Yes</v>
      </c>
      <c r="O3464" s="31" t="str">
        <f aca="false">IF(H3464="","Open",IF(H3464&lt;=INDEX(Assumptions!$C$15:$C$18,MATCH(E3464,Assumptions!$A$15:$A$18,0)),"Yes","No"))</f>
        <v>Yes</v>
      </c>
    </row>
    <row r="3465" customFormat="false" ht="15" hidden="false" customHeight="false" outlineLevel="0" collapsed="false">
      <c r="A3465" s="31" t="s">
        <v>3615</v>
      </c>
      <c r="B3465" s="44" t="n">
        <v>46252</v>
      </c>
      <c r="C3465" s="31" t="s">
        <v>60</v>
      </c>
      <c r="D3465" s="31" t="s">
        <v>68</v>
      </c>
      <c r="E3465" s="31" t="s">
        <v>51</v>
      </c>
      <c r="F3465" s="31" t="s">
        <v>129</v>
      </c>
      <c r="G3465" s="31" t="n">
        <v>1</v>
      </c>
      <c r="H3465" s="41" t="n">
        <v>5.5</v>
      </c>
      <c r="I3465" s="31" t="s">
        <v>149</v>
      </c>
      <c r="J3465" s="31" t="n">
        <v>5</v>
      </c>
      <c r="K3465" s="31" t="s">
        <v>150</v>
      </c>
      <c r="L3465" s="45" t="n">
        <f aca="false">DATE(YEAR(B3465),MONTH(B3465),1)</f>
        <v>46235</v>
      </c>
      <c r="M3465" s="31" t="n">
        <f aca="false">WEEKDAY(B3465,2)</f>
        <v>2</v>
      </c>
      <c r="N3465" s="31" t="str">
        <f aca="false">IF(G3465&lt;=INDEX(Assumptions!$B$15:$B$18,MATCH(E3465,Assumptions!$A$15:$A$18,0)),"Yes","No")</f>
        <v>Yes</v>
      </c>
      <c r="O3465" s="31" t="str">
        <f aca="false">IF(H3465="","Open",IF(H3465&lt;=INDEX(Assumptions!$C$15:$C$18,MATCH(E3465,Assumptions!$A$15:$A$18,0)),"Yes","No"))</f>
        <v>Yes</v>
      </c>
    </row>
    <row r="3466" customFormat="false" ht="15" hidden="false" customHeight="false" outlineLevel="0" collapsed="false">
      <c r="A3466" s="31" t="s">
        <v>3616</v>
      </c>
      <c r="B3466" s="44" t="n">
        <v>46252</v>
      </c>
      <c r="C3466" s="31" t="s">
        <v>57</v>
      </c>
      <c r="D3466" s="31" t="s">
        <v>68</v>
      </c>
      <c r="E3466" s="31" t="s">
        <v>51</v>
      </c>
      <c r="F3466" s="31" t="s">
        <v>120</v>
      </c>
      <c r="G3466" s="31" t="n">
        <v>4</v>
      </c>
      <c r="H3466" s="41" t="n">
        <v>1.8</v>
      </c>
      <c r="I3466" s="31" t="s">
        <v>149</v>
      </c>
      <c r="J3466" s="31" t="n">
        <v>4</v>
      </c>
      <c r="K3466" s="31" t="s">
        <v>150</v>
      </c>
      <c r="L3466" s="45" t="n">
        <f aca="false">DATE(YEAR(B3466),MONTH(B3466),1)</f>
        <v>46235</v>
      </c>
      <c r="M3466" s="31" t="n">
        <f aca="false">WEEKDAY(B3466,2)</f>
        <v>2</v>
      </c>
      <c r="N3466" s="31" t="str">
        <f aca="false">IF(G3466&lt;=INDEX(Assumptions!$B$15:$B$18,MATCH(E3466,Assumptions!$A$15:$A$18,0)),"Yes","No")</f>
        <v>Yes</v>
      </c>
      <c r="O3466" s="31" t="str">
        <f aca="false">IF(H3466="","Open",IF(H3466&lt;=INDEX(Assumptions!$C$15:$C$18,MATCH(E3466,Assumptions!$A$15:$A$18,0)),"Yes","No"))</f>
        <v>Yes</v>
      </c>
    </row>
    <row r="3467" customFormat="false" ht="15" hidden="false" customHeight="false" outlineLevel="0" collapsed="false">
      <c r="A3467" s="31" t="s">
        <v>3617</v>
      </c>
      <c r="B3467" s="44" t="n">
        <v>46252</v>
      </c>
      <c r="C3467" s="31" t="s">
        <v>60</v>
      </c>
      <c r="D3467" s="31" t="s">
        <v>67</v>
      </c>
      <c r="E3467" s="31" t="s">
        <v>50</v>
      </c>
      <c r="F3467" s="31" t="s">
        <v>126</v>
      </c>
      <c r="G3467" s="31" t="n">
        <v>1</v>
      </c>
      <c r="H3467" s="41" t="n">
        <v>9.3</v>
      </c>
      <c r="I3467" s="31" t="s">
        <v>149</v>
      </c>
      <c r="J3467" s="31"/>
      <c r="K3467" s="31" t="s">
        <v>150</v>
      </c>
      <c r="L3467" s="45" t="n">
        <f aca="false">DATE(YEAR(B3467),MONTH(B3467),1)</f>
        <v>46235</v>
      </c>
      <c r="M3467" s="31" t="n">
        <f aca="false">WEEKDAY(B3467,2)</f>
        <v>2</v>
      </c>
      <c r="N3467" s="31" t="str">
        <f aca="false">IF(G3467&lt;=INDEX(Assumptions!$B$15:$B$18,MATCH(E3467,Assumptions!$A$15:$A$18,0)),"Yes","No")</f>
        <v>Yes</v>
      </c>
      <c r="O3467" s="31" t="str">
        <f aca="false">IF(H3467="","Open",IF(H3467&lt;=INDEX(Assumptions!$C$15:$C$18,MATCH(E3467,Assumptions!$A$15:$A$18,0)),"Yes","No"))</f>
        <v>No</v>
      </c>
    </row>
    <row r="3468" customFormat="false" ht="15" hidden="false" customHeight="false" outlineLevel="0" collapsed="false">
      <c r="A3468" s="31" t="s">
        <v>3618</v>
      </c>
      <c r="B3468" s="44" t="n">
        <v>46252</v>
      </c>
      <c r="C3468" s="31" t="s">
        <v>59</v>
      </c>
      <c r="D3468" s="31" t="s">
        <v>65</v>
      </c>
      <c r="E3468" s="31" t="s">
        <v>50</v>
      </c>
      <c r="F3468" s="31" t="s">
        <v>127</v>
      </c>
      <c r="G3468" s="31" t="n">
        <v>22</v>
      </c>
      <c r="H3468" s="41" t="n">
        <v>3.5</v>
      </c>
      <c r="I3468" s="31" t="s">
        <v>149</v>
      </c>
      <c r="J3468" s="31" t="n">
        <v>4</v>
      </c>
      <c r="K3468" s="31" t="s">
        <v>150</v>
      </c>
      <c r="L3468" s="45" t="n">
        <f aca="false">DATE(YEAR(B3468),MONTH(B3468),1)</f>
        <v>46235</v>
      </c>
      <c r="M3468" s="31" t="n">
        <f aca="false">WEEKDAY(B3468,2)</f>
        <v>2</v>
      </c>
      <c r="N3468" s="31" t="str">
        <f aca="false">IF(G3468&lt;=INDEX(Assumptions!$B$15:$B$18,MATCH(E3468,Assumptions!$A$15:$A$18,0)),"Yes","No")</f>
        <v>Yes</v>
      </c>
      <c r="O3468" s="31" t="str">
        <f aca="false">IF(H3468="","Open",IF(H3468&lt;=INDEX(Assumptions!$C$15:$C$18,MATCH(E3468,Assumptions!$A$15:$A$18,0)),"Yes","No"))</f>
        <v>Yes</v>
      </c>
    </row>
    <row r="3469" customFormat="false" ht="15" hidden="false" customHeight="false" outlineLevel="0" collapsed="false">
      <c r="A3469" s="31" t="s">
        <v>3619</v>
      </c>
      <c r="B3469" s="44" t="n">
        <v>46252</v>
      </c>
      <c r="C3469" s="31" t="s">
        <v>57</v>
      </c>
      <c r="D3469" s="31" t="s">
        <v>66</v>
      </c>
      <c r="E3469" s="31" t="s">
        <v>51</v>
      </c>
      <c r="F3469" s="31" t="s">
        <v>117</v>
      </c>
      <c r="G3469" s="31" t="n">
        <v>2</v>
      </c>
      <c r="H3469" s="41" t="n">
        <v>14.1</v>
      </c>
      <c r="I3469" s="31" t="s">
        <v>149</v>
      </c>
      <c r="J3469" s="31" t="n">
        <v>4</v>
      </c>
      <c r="K3469" s="31" t="s">
        <v>150</v>
      </c>
      <c r="L3469" s="45" t="n">
        <f aca="false">DATE(YEAR(B3469),MONTH(B3469),1)</f>
        <v>46235</v>
      </c>
      <c r="M3469" s="31" t="n">
        <f aca="false">WEEKDAY(B3469,2)</f>
        <v>2</v>
      </c>
      <c r="N3469" s="31" t="str">
        <f aca="false">IF(G3469&lt;=INDEX(Assumptions!$B$15:$B$18,MATCH(E3469,Assumptions!$A$15:$A$18,0)),"Yes","No")</f>
        <v>Yes</v>
      </c>
      <c r="O3469" s="31" t="str">
        <f aca="false">IF(H3469="","Open",IF(H3469&lt;=INDEX(Assumptions!$C$15:$C$18,MATCH(E3469,Assumptions!$A$15:$A$18,0)),"Yes","No"))</f>
        <v>Yes</v>
      </c>
    </row>
    <row r="3470" customFormat="false" ht="15" hidden="false" customHeight="false" outlineLevel="0" collapsed="false">
      <c r="A3470" s="31" t="s">
        <v>3620</v>
      </c>
      <c r="B3470" s="44" t="n">
        <v>46252</v>
      </c>
      <c r="C3470" s="31" t="s">
        <v>57</v>
      </c>
      <c r="D3470" s="31" t="s">
        <v>67</v>
      </c>
      <c r="E3470" s="31" t="s">
        <v>52</v>
      </c>
      <c r="F3470" s="31" t="s">
        <v>134</v>
      </c>
      <c r="G3470" s="31" t="n">
        <v>4</v>
      </c>
      <c r="H3470" s="41" t="n">
        <v>18.5</v>
      </c>
      <c r="I3470" s="31" t="s">
        <v>149</v>
      </c>
      <c r="J3470" s="31" t="n">
        <v>4</v>
      </c>
      <c r="K3470" s="31" t="s">
        <v>153</v>
      </c>
      <c r="L3470" s="45" t="n">
        <f aca="false">DATE(YEAR(B3470),MONTH(B3470),1)</f>
        <v>46235</v>
      </c>
      <c r="M3470" s="31" t="n">
        <f aca="false">WEEKDAY(B3470,2)</f>
        <v>2</v>
      </c>
      <c r="N3470" s="31" t="str">
        <f aca="false">IF(G3470&lt;=INDEX(Assumptions!$B$15:$B$18,MATCH(E3470,Assumptions!$A$15:$A$18,0)),"Yes","No")</f>
        <v>Yes</v>
      </c>
      <c r="O3470" s="31" t="str">
        <f aca="false">IF(H3470="","Open",IF(H3470&lt;=INDEX(Assumptions!$C$15:$C$18,MATCH(E3470,Assumptions!$A$15:$A$18,0)),"Yes","No"))</f>
        <v>Yes</v>
      </c>
    </row>
    <row r="3471" customFormat="false" ht="15" hidden="false" customHeight="false" outlineLevel="0" collapsed="false">
      <c r="A3471" s="31" t="s">
        <v>3621</v>
      </c>
      <c r="B3471" s="44" t="n">
        <v>46252</v>
      </c>
      <c r="C3471" s="31" t="s">
        <v>60</v>
      </c>
      <c r="D3471" s="31" t="s">
        <v>67</v>
      </c>
      <c r="E3471" s="31" t="s">
        <v>50</v>
      </c>
      <c r="F3471" s="31" t="s">
        <v>130</v>
      </c>
      <c r="G3471" s="31" t="n">
        <v>1</v>
      </c>
      <c r="H3471" s="41" t="n">
        <v>3.6</v>
      </c>
      <c r="I3471" s="31" t="s">
        <v>149</v>
      </c>
      <c r="J3471" s="31"/>
      <c r="K3471" s="31" t="s">
        <v>150</v>
      </c>
      <c r="L3471" s="45" t="n">
        <f aca="false">DATE(YEAR(B3471),MONTH(B3471),1)</f>
        <v>46235</v>
      </c>
      <c r="M3471" s="31" t="n">
        <f aca="false">WEEKDAY(B3471,2)</f>
        <v>2</v>
      </c>
      <c r="N3471" s="31" t="str">
        <f aca="false">IF(G3471&lt;=INDEX(Assumptions!$B$15:$B$18,MATCH(E3471,Assumptions!$A$15:$A$18,0)),"Yes","No")</f>
        <v>Yes</v>
      </c>
      <c r="O3471" s="31" t="str">
        <f aca="false">IF(H3471="","Open",IF(H3471&lt;=INDEX(Assumptions!$C$15:$C$18,MATCH(E3471,Assumptions!$A$15:$A$18,0)),"Yes","No"))</f>
        <v>Yes</v>
      </c>
    </row>
    <row r="3472" customFormat="false" ht="15" hidden="false" customHeight="false" outlineLevel="0" collapsed="false">
      <c r="A3472" s="31" t="s">
        <v>3622</v>
      </c>
      <c r="B3472" s="44" t="n">
        <v>46252</v>
      </c>
      <c r="C3472" s="31" t="s">
        <v>59</v>
      </c>
      <c r="D3472" s="31" t="s">
        <v>66</v>
      </c>
      <c r="E3472" s="31" t="s">
        <v>51</v>
      </c>
      <c r="F3472" s="31" t="s">
        <v>128</v>
      </c>
      <c r="G3472" s="31" t="n">
        <v>419</v>
      </c>
      <c r="H3472" s="41" t="n">
        <v>3.4</v>
      </c>
      <c r="I3472" s="31" t="s">
        <v>149</v>
      </c>
      <c r="J3472" s="31"/>
      <c r="K3472" s="31" t="s">
        <v>150</v>
      </c>
      <c r="L3472" s="45" t="n">
        <f aca="false">DATE(YEAR(B3472),MONTH(B3472),1)</f>
        <v>46235</v>
      </c>
      <c r="M3472" s="31" t="n">
        <f aca="false">WEEKDAY(B3472,2)</f>
        <v>2</v>
      </c>
      <c r="N3472" s="31" t="str">
        <f aca="false">IF(G3472&lt;=INDEX(Assumptions!$B$15:$B$18,MATCH(E3472,Assumptions!$A$15:$A$18,0)),"Yes","No")</f>
        <v>No</v>
      </c>
      <c r="O3472" s="31" t="str">
        <f aca="false">IF(H3472="","Open",IF(H3472&lt;=INDEX(Assumptions!$C$15:$C$18,MATCH(E3472,Assumptions!$A$15:$A$18,0)),"Yes","No"))</f>
        <v>Yes</v>
      </c>
    </row>
    <row r="3473" customFormat="false" ht="15" hidden="false" customHeight="false" outlineLevel="0" collapsed="false">
      <c r="A3473" s="31" t="s">
        <v>3623</v>
      </c>
      <c r="B3473" s="44" t="n">
        <v>46252</v>
      </c>
      <c r="C3473" s="31" t="s">
        <v>58</v>
      </c>
      <c r="D3473" s="31" t="s">
        <v>68</v>
      </c>
      <c r="E3473" s="31" t="s">
        <v>52</v>
      </c>
      <c r="F3473" s="31" t="s">
        <v>134</v>
      </c>
      <c r="G3473" s="31" t="n">
        <v>52</v>
      </c>
      <c r="H3473" s="41" t="n">
        <v>11.7</v>
      </c>
      <c r="I3473" s="31" t="s">
        <v>149</v>
      </c>
      <c r="J3473" s="31" t="n">
        <v>4</v>
      </c>
      <c r="K3473" s="31" t="s">
        <v>150</v>
      </c>
      <c r="L3473" s="45" t="n">
        <f aca="false">DATE(YEAR(B3473),MONTH(B3473),1)</f>
        <v>46235</v>
      </c>
      <c r="M3473" s="31" t="n">
        <f aca="false">WEEKDAY(B3473,2)</f>
        <v>2</v>
      </c>
      <c r="N3473" s="31" t="str">
        <f aca="false">IF(G3473&lt;=INDEX(Assumptions!$B$15:$B$18,MATCH(E3473,Assumptions!$A$15:$A$18,0)),"Yes","No")</f>
        <v>Yes</v>
      </c>
      <c r="O3473" s="31" t="str">
        <f aca="false">IF(H3473="","Open",IF(H3473&lt;=INDEX(Assumptions!$C$15:$C$18,MATCH(E3473,Assumptions!$A$15:$A$18,0)),"Yes","No"))</f>
        <v>Yes</v>
      </c>
    </row>
    <row r="3474" customFormat="false" ht="15" hidden="false" customHeight="false" outlineLevel="0" collapsed="false">
      <c r="A3474" s="31" t="s">
        <v>3624</v>
      </c>
      <c r="B3474" s="44" t="n">
        <v>46252</v>
      </c>
      <c r="C3474" s="31" t="s">
        <v>57</v>
      </c>
      <c r="D3474" s="31" t="s">
        <v>66</v>
      </c>
      <c r="E3474" s="31" t="s">
        <v>52</v>
      </c>
      <c r="F3474" s="31" t="s">
        <v>126</v>
      </c>
      <c r="G3474" s="31" t="n">
        <v>4</v>
      </c>
      <c r="H3474" s="41" t="n">
        <v>29.4</v>
      </c>
      <c r="I3474" s="31" t="s">
        <v>149</v>
      </c>
      <c r="J3474" s="31" t="n">
        <v>5</v>
      </c>
      <c r="K3474" s="31" t="s">
        <v>150</v>
      </c>
      <c r="L3474" s="45" t="n">
        <f aca="false">DATE(YEAR(B3474),MONTH(B3474),1)</f>
        <v>46235</v>
      </c>
      <c r="M3474" s="31" t="n">
        <f aca="false">WEEKDAY(B3474,2)</f>
        <v>2</v>
      </c>
      <c r="N3474" s="31" t="str">
        <f aca="false">IF(G3474&lt;=INDEX(Assumptions!$B$15:$B$18,MATCH(E3474,Assumptions!$A$15:$A$18,0)),"Yes","No")</f>
        <v>Yes</v>
      </c>
      <c r="O3474" s="31" t="str">
        <f aca="false">IF(H3474="","Open",IF(H3474&lt;=INDEX(Assumptions!$C$15:$C$18,MATCH(E3474,Assumptions!$A$15:$A$18,0)),"Yes","No"))</f>
        <v>Yes</v>
      </c>
    </row>
    <row r="3475" customFormat="false" ht="15" hidden="false" customHeight="false" outlineLevel="0" collapsed="false">
      <c r="A3475" s="31" t="s">
        <v>3625</v>
      </c>
      <c r="B3475" s="44" t="n">
        <v>46252</v>
      </c>
      <c r="C3475" s="31" t="s">
        <v>58</v>
      </c>
      <c r="D3475" s="31" t="s">
        <v>65</v>
      </c>
      <c r="E3475" s="31" t="s">
        <v>51</v>
      </c>
      <c r="F3475" s="31" t="s">
        <v>131</v>
      </c>
      <c r="G3475" s="31" t="n">
        <v>4</v>
      </c>
      <c r="H3475" s="41" t="n">
        <v>4</v>
      </c>
      <c r="I3475" s="31" t="s">
        <v>149</v>
      </c>
      <c r="J3475" s="31" t="n">
        <v>4</v>
      </c>
      <c r="K3475" s="31" t="s">
        <v>150</v>
      </c>
      <c r="L3475" s="45" t="n">
        <f aca="false">DATE(YEAR(B3475),MONTH(B3475),1)</f>
        <v>46235</v>
      </c>
      <c r="M3475" s="31" t="n">
        <f aca="false">WEEKDAY(B3475,2)</f>
        <v>2</v>
      </c>
      <c r="N3475" s="31" t="str">
        <f aca="false">IF(G3475&lt;=INDEX(Assumptions!$B$15:$B$18,MATCH(E3475,Assumptions!$A$15:$A$18,0)),"Yes","No")</f>
        <v>Yes</v>
      </c>
      <c r="O3475" s="31" t="str">
        <f aca="false">IF(H3475="","Open",IF(H3475&lt;=INDEX(Assumptions!$C$15:$C$18,MATCH(E3475,Assumptions!$A$15:$A$18,0)),"Yes","No"))</f>
        <v>Yes</v>
      </c>
    </row>
    <row r="3476" customFormat="false" ht="15" hidden="false" customHeight="false" outlineLevel="0" collapsed="false">
      <c r="A3476" s="31" t="s">
        <v>3626</v>
      </c>
      <c r="B3476" s="44" t="n">
        <v>46252</v>
      </c>
      <c r="C3476" s="31" t="s">
        <v>58</v>
      </c>
      <c r="D3476" s="31" t="s">
        <v>66</v>
      </c>
      <c r="E3476" s="31" t="s">
        <v>52</v>
      </c>
      <c r="F3476" s="31" t="s">
        <v>123</v>
      </c>
      <c r="G3476" s="31" t="n">
        <v>33</v>
      </c>
      <c r="H3476" s="41" t="n">
        <v>11.5</v>
      </c>
      <c r="I3476" s="31" t="s">
        <v>149</v>
      </c>
      <c r="J3476" s="31" t="n">
        <v>5</v>
      </c>
      <c r="K3476" s="31" t="s">
        <v>150</v>
      </c>
      <c r="L3476" s="45" t="n">
        <f aca="false">DATE(YEAR(B3476),MONTH(B3476),1)</f>
        <v>46235</v>
      </c>
      <c r="M3476" s="31" t="n">
        <f aca="false">WEEKDAY(B3476,2)</f>
        <v>2</v>
      </c>
      <c r="N3476" s="31" t="str">
        <f aca="false">IF(G3476&lt;=INDEX(Assumptions!$B$15:$B$18,MATCH(E3476,Assumptions!$A$15:$A$18,0)),"Yes","No")</f>
        <v>Yes</v>
      </c>
      <c r="O3476" s="31" t="str">
        <f aca="false">IF(H3476="","Open",IF(H3476&lt;=INDEX(Assumptions!$C$15:$C$18,MATCH(E3476,Assumptions!$A$15:$A$18,0)),"Yes","No"))</f>
        <v>Yes</v>
      </c>
    </row>
    <row r="3477" customFormat="false" ht="15" hidden="false" customHeight="false" outlineLevel="0" collapsed="false">
      <c r="A3477" s="31" t="s">
        <v>3627</v>
      </c>
      <c r="B3477" s="44" t="n">
        <v>46252</v>
      </c>
      <c r="C3477" s="31" t="s">
        <v>58</v>
      </c>
      <c r="D3477" s="31" t="s">
        <v>65</v>
      </c>
      <c r="E3477" s="31" t="s">
        <v>49</v>
      </c>
      <c r="F3477" s="31" t="s">
        <v>122</v>
      </c>
      <c r="G3477" s="31" t="n">
        <v>12</v>
      </c>
      <c r="H3477" s="41" t="n">
        <v>14.9</v>
      </c>
      <c r="I3477" s="31" t="s">
        <v>149</v>
      </c>
      <c r="J3477" s="31"/>
      <c r="K3477" s="31" t="s">
        <v>150</v>
      </c>
      <c r="L3477" s="45" t="n">
        <f aca="false">DATE(YEAR(B3477),MONTH(B3477),1)</f>
        <v>46235</v>
      </c>
      <c r="M3477" s="31" t="n">
        <f aca="false">WEEKDAY(B3477,2)</f>
        <v>2</v>
      </c>
      <c r="N3477" s="31" t="str">
        <f aca="false">IF(G3477&lt;=INDEX(Assumptions!$B$15:$B$18,MATCH(E3477,Assumptions!$A$15:$A$18,0)),"Yes","No")</f>
        <v>Yes</v>
      </c>
      <c r="O3477" s="31" t="str">
        <f aca="false">IF(H3477="","Open",IF(H3477&lt;=INDEX(Assumptions!$C$15:$C$18,MATCH(E3477,Assumptions!$A$15:$A$18,0)),"Yes","No"))</f>
        <v>No</v>
      </c>
    </row>
    <row r="3478" customFormat="false" ht="15" hidden="false" customHeight="false" outlineLevel="0" collapsed="false">
      <c r="A3478" s="31" t="s">
        <v>3628</v>
      </c>
      <c r="B3478" s="44" t="n">
        <v>46252</v>
      </c>
      <c r="C3478" s="31" t="s">
        <v>57</v>
      </c>
      <c r="D3478" s="31" t="s">
        <v>68</v>
      </c>
      <c r="E3478" s="31" t="s">
        <v>52</v>
      </c>
      <c r="F3478" s="31" t="s">
        <v>119</v>
      </c>
      <c r="G3478" s="31" t="n">
        <v>4</v>
      </c>
      <c r="H3478" s="41" t="n">
        <v>16.1</v>
      </c>
      <c r="I3478" s="31" t="s">
        <v>149</v>
      </c>
      <c r="J3478" s="31" t="n">
        <v>5</v>
      </c>
      <c r="K3478" s="31" t="s">
        <v>150</v>
      </c>
      <c r="L3478" s="45" t="n">
        <f aca="false">DATE(YEAR(B3478),MONTH(B3478),1)</f>
        <v>46235</v>
      </c>
      <c r="M3478" s="31" t="n">
        <f aca="false">WEEKDAY(B3478,2)</f>
        <v>2</v>
      </c>
      <c r="N3478" s="31" t="str">
        <f aca="false">IF(G3478&lt;=INDEX(Assumptions!$B$15:$B$18,MATCH(E3478,Assumptions!$A$15:$A$18,0)),"Yes","No")</f>
        <v>Yes</v>
      </c>
      <c r="O3478" s="31" t="str">
        <f aca="false">IF(H3478="","Open",IF(H3478&lt;=INDEX(Assumptions!$C$15:$C$18,MATCH(E3478,Assumptions!$A$15:$A$18,0)),"Yes","No"))</f>
        <v>Yes</v>
      </c>
    </row>
    <row r="3479" customFormat="false" ht="15" hidden="false" customHeight="false" outlineLevel="0" collapsed="false">
      <c r="A3479" s="31" t="s">
        <v>3629</v>
      </c>
      <c r="B3479" s="44" t="n">
        <v>46252</v>
      </c>
      <c r="C3479" s="31" t="s">
        <v>58</v>
      </c>
      <c r="D3479" s="31" t="s">
        <v>67</v>
      </c>
      <c r="E3479" s="31" t="s">
        <v>51</v>
      </c>
      <c r="F3479" s="31" t="s">
        <v>134</v>
      </c>
      <c r="G3479" s="31" t="n">
        <v>23</v>
      </c>
      <c r="H3479" s="41" t="n">
        <v>9.3</v>
      </c>
      <c r="I3479" s="31" t="s">
        <v>149</v>
      </c>
      <c r="J3479" s="31"/>
      <c r="K3479" s="31" t="s">
        <v>150</v>
      </c>
      <c r="L3479" s="45" t="n">
        <f aca="false">DATE(YEAR(B3479),MONTH(B3479),1)</f>
        <v>46235</v>
      </c>
      <c r="M3479" s="31" t="n">
        <f aca="false">WEEKDAY(B3479,2)</f>
        <v>2</v>
      </c>
      <c r="N3479" s="31" t="str">
        <f aca="false">IF(G3479&lt;=INDEX(Assumptions!$B$15:$B$18,MATCH(E3479,Assumptions!$A$15:$A$18,0)),"Yes","No")</f>
        <v>Yes</v>
      </c>
      <c r="O3479" s="31" t="str">
        <f aca="false">IF(H3479="","Open",IF(H3479&lt;=INDEX(Assumptions!$C$15:$C$18,MATCH(E3479,Assumptions!$A$15:$A$18,0)),"Yes","No"))</f>
        <v>Yes</v>
      </c>
    </row>
    <row r="3480" customFormat="false" ht="15" hidden="false" customHeight="false" outlineLevel="0" collapsed="false">
      <c r="A3480" s="31" t="s">
        <v>3630</v>
      </c>
      <c r="B3480" s="44" t="n">
        <v>46252</v>
      </c>
      <c r="C3480" s="31" t="s">
        <v>57</v>
      </c>
      <c r="D3480" s="31" t="s">
        <v>66</v>
      </c>
      <c r="E3480" s="31" t="s">
        <v>51</v>
      </c>
      <c r="F3480" s="31" t="s">
        <v>135</v>
      </c>
      <c r="G3480" s="31" t="n">
        <v>11</v>
      </c>
      <c r="H3480" s="41" t="n">
        <v>2.4</v>
      </c>
      <c r="I3480" s="31" t="s">
        <v>149</v>
      </c>
      <c r="J3480" s="31" t="n">
        <v>5</v>
      </c>
      <c r="K3480" s="31" t="s">
        <v>150</v>
      </c>
      <c r="L3480" s="45" t="n">
        <f aca="false">DATE(YEAR(B3480),MONTH(B3480),1)</f>
        <v>46235</v>
      </c>
      <c r="M3480" s="31" t="n">
        <f aca="false">WEEKDAY(B3480,2)</f>
        <v>2</v>
      </c>
      <c r="N3480" s="31" t="str">
        <f aca="false">IF(G3480&lt;=INDEX(Assumptions!$B$15:$B$18,MATCH(E3480,Assumptions!$A$15:$A$18,0)),"Yes","No")</f>
        <v>Yes</v>
      </c>
      <c r="O3480" s="31" t="str">
        <f aca="false">IF(H3480="","Open",IF(H3480&lt;=INDEX(Assumptions!$C$15:$C$18,MATCH(E3480,Assumptions!$A$15:$A$18,0)),"Yes","No"))</f>
        <v>Yes</v>
      </c>
    </row>
    <row r="3481" customFormat="false" ht="15" hidden="false" customHeight="false" outlineLevel="0" collapsed="false">
      <c r="A3481" s="31" t="s">
        <v>3631</v>
      </c>
      <c r="B3481" s="44" t="n">
        <v>46252</v>
      </c>
      <c r="C3481" s="31" t="s">
        <v>59</v>
      </c>
      <c r="D3481" s="31" t="s">
        <v>65</v>
      </c>
      <c r="E3481" s="31" t="s">
        <v>51</v>
      </c>
      <c r="F3481" s="31" t="s">
        <v>122</v>
      </c>
      <c r="G3481" s="31" t="n">
        <v>167</v>
      </c>
      <c r="H3481" s="41" t="n">
        <v>7.7</v>
      </c>
      <c r="I3481" s="31" t="s">
        <v>149</v>
      </c>
      <c r="J3481" s="31" t="n">
        <v>4</v>
      </c>
      <c r="K3481" s="31" t="s">
        <v>150</v>
      </c>
      <c r="L3481" s="45" t="n">
        <f aca="false">DATE(YEAR(B3481),MONTH(B3481),1)</f>
        <v>46235</v>
      </c>
      <c r="M3481" s="31" t="n">
        <f aca="false">WEEKDAY(B3481,2)</f>
        <v>2</v>
      </c>
      <c r="N3481" s="31" t="str">
        <f aca="false">IF(G3481&lt;=INDEX(Assumptions!$B$15:$B$18,MATCH(E3481,Assumptions!$A$15:$A$18,0)),"Yes","No")</f>
        <v>No</v>
      </c>
      <c r="O3481" s="31" t="str">
        <f aca="false">IF(H3481="","Open",IF(H3481&lt;=INDEX(Assumptions!$C$15:$C$18,MATCH(E3481,Assumptions!$A$15:$A$18,0)),"Yes","No"))</f>
        <v>Yes</v>
      </c>
    </row>
    <row r="3482" customFormat="false" ht="15" hidden="false" customHeight="false" outlineLevel="0" collapsed="false">
      <c r="A3482" s="31" t="s">
        <v>3632</v>
      </c>
      <c r="B3482" s="44" t="n">
        <v>46252</v>
      </c>
      <c r="C3482" s="31" t="s">
        <v>58</v>
      </c>
      <c r="D3482" s="31" t="s">
        <v>66</v>
      </c>
      <c r="E3482" s="31" t="s">
        <v>51</v>
      </c>
      <c r="F3482" s="31" t="s">
        <v>117</v>
      </c>
      <c r="G3482" s="31" t="n">
        <v>61</v>
      </c>
      <c r="H3482" s="41" t="n">
        <v>9.6</v>
      </c>
      <c r="I3482" s="31" t="s">
        <v>149</v>
      </c>
      <c r="J3482" s="31" t="n">
        <v>4</v>
      </c>
      <c r="K3482" s="31" t="s">
        <v>150</v>
      </c>
      <c r="L3482" s="45" t="n">
        <f aca="false">DATE(YEAR(B3482),MONTH(B3482),1)</f>
        <v>46235</v>
      </c>
      <c r="M3482" s="31" t="n">
        <f aca="false">WEEKDAY(B3482,2)</f>
        <v>2</v>
      </c>
      <c r="N3482" s="31" t="str">
        <f aca="false">IF(G3482&lt;=INDEX(Assumptions!$B$15:$B$18,MATCH(E3482,Assumptions!$A$15:$A$18,0)),"Yes","No")</f>
        <v>No</v>
      </c>
      <c r="O3482" s="31" t="str">
        <f aca="false">IF(H3482="","Open",IF(H3482&lt;=INDEX(Assumptions!$C$15:$C$18,MATCH(E3482,Assumptions!$A$15:$A$18,0)),"Yes","No"))</f>
        <v>Yes</v>
      </c>
    </row>
    <row r="3483" customFormat="false" ht="15" hidden="false" customHeight="false" outlineLevel="0" collapsed="false">
      <c r="A3483" s="31" t="s">
        <v>3633</v>
      </c>
      <c r="B3483" s="44" t="n">
        <v>46252</v>
      </c>
      <c r="C3483" s="31" t="s">
        <v>58</v>
      </c>
      <c r="D3483" s="31" t="s">
        <v>69</v>
      </c>
      <c r="E3483" s="31" t="s">
        <v>51</v>
      </c>
      <c r="F3483" s="31" t="s">
        <v>127</v>
      </c>
      <c r="G3483" s="31" t="n">
        <v>6</v>
      </c>
      <c r="H3483" s="41" t="n">
        <v>51.9</v>
      </c>
      <c r="I3483" s="31" t="s">
        <v>149</v>
      </c>
      <c r="J3483" s="31" t="n">
        <v>3</v>
      </c>
      <c r="K3483" s="31" t="s">
        <v>150</v>
      </c>
      <c r="L3483" s="45" t="n">
        <f aca="false">DATE(YEAR(B3483),MONTH(B3483),1)</f>
        <v>46235</v>
      </c>
      <c r="M3483" s="31" t="n">
        <f aca="false">WEEKDAY(B3483,2)</f>
        <v>2</v>
      </c>
      <c r="N3483" s="31" t="str">
        <f aca="false">IF(G3483&lt;=INDEX(Assumptions!$B$15:$B$18,MATCH(E3483,Assumptions!$A$15:$A$18,0)),"Yes","No")</f>
        <v>Yes</v>
      </c>
      <c r="O3483" s="31" t="str">
        <f aca="false">IF(H3483="","Open",IF(H3483&lt;=INDEX(Assumptions!$C$15:$C$18,MATCH(E3483,Assumptions!$A$15:$A$18,0)),"Yes","No"))</f>
        <v>No</v>
      </c>
    </row>
    <row r="3484" customFormat="false" ht="15" hidden="false" customHeight="false" outlineLevel="0" collapsed="false">
      <c r="A3484" s="31" t="s">
        <v>3634</v>
      </c>
      <c r="B3484" s="44" t="n">
        <v>46252</v>
      </c>
      <c r="C3484" s="31" t="s">
        <v>60</v>
      </c>
      <c r="D3484" s="31" t="s">
        <v>66</v>
      </c>
      <c r="E3484" s="31" t="s">
        <v>52</v>
      </c>
      <c r="F3484" s="31" t="s">
        <v>135</v>
      </c>
      <c r="G3484" s="31" t="n">
        <v>4</v>
      </c>
      <c r="H3484" s="41" t="n">
        <v>5.8</v>
      </c>
      <c r="I3484" s="31" t="s">
        <v>149</v>
      </c>
      <c r="J3484" s="31" t="n">
        <v>3</v>
      </c>
      <c r="K3484" s="31" t="s">
        <v>150</v>
      </c>
      <c r="L3484" s="45" t="n">
        <f aca="false">DATE(YEAR(B3484),MONTH(B3484),1)</f>
        <v>46235</v>
      </c>
      <c r="M3484" s="31" t="n">
        <f aca="false">WEEKDAY(B3484,2)</f>
        <v>2</v>
      </c>
      <c r="N3484" s="31" t="str">
        <f aca="false">IF(G3484&lt;=INDEX(Assumptions!$B$15:$B$18,MATCH(E3484,Assumptions!$A$15:$A$18,0)),"Yes","No")</f>
        <v>Yes</v>
      </c>
      <c r="O3484" s="31" t="str">
        <f aca="false">IF(H3484="","Open",IF(H3484&lt;=INDEX(Assumptions!$C$15:$C$18,MATCH(E3484,Assumptions!$A$15:$A$18,0)),"Yes","No"))</f>
        <v>Yes</v>
      </c>
    </row>
    <row r="3485" customFormat="false" ht="15" hidden="false" customHeight="false" outlineLevel="0" collapsed="false">
      <c r="A3485" s="31" t="s">
        <v>3635</v>
      </c>
      <c r="B3485" s="44" t="n">
        <v>46252</v>
      </c>
      <c r="C3485" s="31" t="s">
        <v>60</v>
      </c>
      <c r="D3485" s="31" t="s">
        <v>65</v>
      </c>
      <c r="E3485" s="31" t="s">
        <v>51</v>
      </c>
      <c r="F3485" s="31" t="s">
        <v>130</v>
      </c>
      <c r="G3485" s="31" t="n">
        <v>1</v>
      </c>
      <c r="H3485" s="41" t="n">
        <v>12.7</v>
      </c>
      <c r="I3485" s="31" t="s">
        <v>149</v>
      </c>
      <c r="J3485" s="31" t="n">
        <v>4</v>
      </c>
      <c r="K3485" s="31" t="s">
        <v>150</v>
      </c>
      <c r="L3485" s="45" t="n">
        <f aca="false">DATE(YEAR(B3485),MONTH(B3485),1)</f>
        <v>46235</v>
      </c>
      <c r="M3485" s="31" t="n">
        <f aca="false">WEEKDAY(B3485,2)</f>
        <v>2</v>
      </c>
      <c r="N3485" s="31" t="str">
        <f aca="false">IF(G3485&lt;=INDEX(Assumptions!$B$15:$B$18,MATCH(E3485,Assumptions!$A$15:$A$18,0)),"Yes","No")</f>
        <v>Yes</v>
      </c>
      <c r="O3485" s="31" t="str">
        <f aca="false">IF(H3485="","Open",IF(H3485&lt;=INDEX(Assumptions!$C$15:$C$18,MATCH(E3485,Assumptions!$A$15:$A$18,0)),"Yes","No"))</f>
        <v>Yes</v>
      </c>
    </row>
    <row r="3486" customFormat="false" ht="15" hidden="false" customHeight="false" outlineLevel="0" collapsed="false">
      <c r="A3486" s="31" t="s">
        <v>3636</v>
      </c>
      <c r="B3486" s="44" t="n">
        <v>46252</v>
      </c>
      <c r="C3486" s="31" t="s">
        <v>57</v>
      </c>
      <c r="D3486" s="31" t="s">
        <v>67</v>
      </c>
      <c r="E3486" s="31" t="s">
        <v>51</v>
      </c>
      <c r="F3486" s="31" t="s">
        <v>119</v>
      </c>
      <c r="G3486" s="31" t="n">
        <v>4</v>
      </c>
      <c r="H3486" s="41" t="n">
        <v>4.7</v>
      </c>
      <c r="I3486" s="31" t="s">
        <v>149</v>
      </c>
      <c r="J3486" s="31"/>
      <c r="K3486" s="31" t="s">
        <v>150</v>
      </c>
      <c r="L3486" s="45" t="n">
        <f aca="false">DATE(YEAR(B3486),MONTH(B3486),1)</f>
        <v>46235</v>
      </c>
      <c r="M3486" s="31" t="n">
        <f aca="false">WEEKDAY(B3486,2)</f>
        <v>2</v>
      </c>
      <c r="N3486" s="31" t="str">
        <f aca="false">IF(G3486&lt;=INDEX(Assumptions!$B$15:$B$18,MATCH(E3486,Assumptions!$A$15:$A$18,0)),"Yes","No")</f>
        <v>Yes</v>
      </c>
      <c r="O3486" s="31" t="str">
        <f aca="false">IF(H3486="","Open",IF(H3486&lt;=INDEX(Assumptions!$C$15:$C$18,MATCH(E3486,Assumptions!$A$15:$A$18,0)),"Yes","No"))</f>
        <v>Yes</v>
      </c>
    </row>
    <row r="3487" customFormat="false" ht="15" hidden="false" customHeight="false" outlineLevel="0" collapsed="false">
      <c r="A3487" s="31" t="s">
        <v>3637</v>
      </c>
      <c r="B3487" s="44" t="n">
        <v>46252</v>
      </c>
      <c r="C3487" s="31" t="s">
        <v>57</v>
      </c>
      <c r="D3487" s="31" t="s">
        <v>68</v>
      </c>
      <c r="E3487" s="31" t="s">
        <v>51</v>
      </c>
      <c r="F3487" s="31" t="s">
        <v>123</v>
      </c>
      <c r="G3487" s="31" t="n">
        <v>4</v>
      </c>
      <c r="H3487" s="41" t="n">
        <v>4.9</v>
      </c>
      <c r="I3487" s="31" t="s">
        <v>149</v>
      </c>
      <c r="J3487" s="31"/>
      <c r="K3487" s="31" t="s">
        <v>150</v>
      </c>
      <c r="L3487" s="45" t="n">
        <f aca="false">DATE(YEAR(B3487),MONTH(B3487),1)</f>
        <v>46235</v>
      </c>
      <c r="M3487" s="31" t="n">
        <f aca="false">WEEKDAY(B3487,2)</f>
        <v>2</v>
      </c>
      <c r="N3487" s="31" t="str">
        <f aca="false">IF(G3487&lt;=INDEX(Assumptions!$B$15:$B$18,MATCH(E3487,Assumptions!$A$15:$A$18,0)),"Yes","No")</f>
        <v>Yes</v>
      </c>
      <c r="O3487" s="31" t="str">
        <f aca="false">IF(H3487="","Open",IF(H3487&lt;=INDEX(Assumptions!$C$15:$C$18,MATCH(E3487,Assumptions!$A$15:$A$18,0)),"Yes","No"))</f>
        <v>Yes</v>
      </c>
    </row>
    <row r="3488" customFormat="false" ht="15" hidden="false" customHeight="false" outlineLevel="0" collapsed="false">
      <c r="A3488" s="31" t="s">
        <v>3638</v>
      </c>
      <c r="B3488" s="44" t="n">
        <v>46252</v>
      </c>
      <c r="C3488" s="31" t="s">
        <v>57</v>
      </c>
      <c r="D3488" s="31" t="s">
        <v>69</v>
      </c>
      <c r="E3488" s="31" t="s">
        <v>50</v>
      </c>
      <c r="F3488" s="31" t="s">
        <v>128</v>
      </c>
      <c r="G3488" s="31" t="n">
        <v>5</v>
      </c>
      <c r="H3488" s="41" t="n">
        <v>43.5</v>
      </c>
      <c r="I3488" s="31" t="s">
        <v>64</v>
      </c>
      <c r="J3488" s="31"/>
      <c r="K3488" s="31" t="s">
        <v>150</v>
      </c>
      <c r="L3488" s="45" t="n">
        <f aca="false">DATE(YEAR(B3488),MONTH(B3488),1)</f>
        <v>46235</v>
      </c>
      <c r="M3488" s="31" t="n">
        <f aca="false">WEEKDAY(B3488,2)</f>
        <v>2</v>
      </c>
      <c r="N3488" s="31" t="str">
        <f aca="false">IF(G3488&lt;=INDEX(Assumptions!$B$15:$B$18,MATCH(E3488,Assumptions!$A$15:$A$18,0)),"Yes","No")</f>
        <v>Yes</v>
      </c>
      <c r="O3488" s="31" t="str">
        <f aca="false">IF(H3488="","Open",IF(H3488&lt;=INDEX(Assumptions!$C$15:$C$18,MATCH(E3488,Assumptions!$A$15:$A$18,0)),"Yes","No"))</f>
        <v>No</v>
      </c>
    </row>
    <row r="3489" customFormat="false" ht="15" hidden="false" customHeight="false" outlineLevel="0" collapsed="false">
      <c r="A3489" s="31" t="s">
        <v>3639</v>
      </c>
      <c r="B3489" s="44" t="n">
        <v>46252</v>
      </c>
      <c r="C3489" s="31" t="s">
        <v>57</v>
      </c>
      <c r="D3489" s="31" t="s">
        <v>65</v>
      </c>
      <c r="E3489" s="31" t="s">
        <v>52</v>
      </c>
      <c r="F3489" s="31" t="s">
        <v>131</v>
      </c>
      <c r="G3489" s="31" t="n">
        <v>1</v>
      </c>
      <c r="H3489" s="41" t="n">
        <v>30.3</v>
      </c>
      <c r="I3489" s="31" t="s">
        <v>149</v>
      </c>
      <c r="J3489" s="31"/>
      <c r="K3489" s="31" t="s">
        <v>150</v>
      </c>
      <c r="L3489" s="45" t="n">
        <f aca="false">DATE(YEAR(B3489),MONTH(B3489),1)</f>
        <v>46235</v>
      </c>
      <c r="M3489" s="31" t="n">
        <f aca="false">WEEKDAY(B3489,2)</f>
        <v>2</v>
      </c>
      <c r="N3489" s="31" t="str">
        <f aca="false">IF(G3489&lt;=INDEX(Assumptions!$B$15:$B$18,MATCH(E3489,Assumptions!$A$15:$A$18,0)),"Yes","No")</f>
        <v>Yes</v>
      </c>
      <c r="O3489" s="31" t="str">
        <f aca="false">IF(H3489="","Open",IF(H3489&lt;=INDEX(Assumptions!$C$15:$C$18,MATCH(E3489,Assumptions!$A$15:$A$18,0)),"Yes","No"))</f>
        <v>Yes</v>
      </c>
    </row>
    <row r="3490" customFormat="false" ht="15" hidden="false" customHeight="false" outlineLevel="0" collapsed="false">
      <c r="A3490" s="31" t="s">
        <v>3640</v>
      </c>
      <c r="B3490" s="44" t="n">
        <v>46252</v>
      </c>
      <c r="C3490" s="31" t="s">
        <v>60</v>
      </c>
      <c r="D3490" s="31" t="s">
        <v>67</v>
      </c>
      <c r="E3490" s="31" t="s">
        <v>49</v>
      </c>
      <c r="F3490" s="31" t="s">
        <v>130</v>
      </c>
      <c r="G3490" s="31" t="n">
        <v>2</v>
      </c>
      <c r="H3490" s="41"/>
      <c r="I3490" s="31" t="s">
        <v>158</v>
      </c>
      <c r="J3490" s="31"/>
      <c r="K3490" s="31" t="s">
        <v>150</v>
      </c>
      <c r="L3490" s="45" t="n">
        <f aca="false">DATE(YEAR(B3490),MONTH(B3490),1)</f>
        <v>46235</v>
      </c>
      <c r="M3490" s="31" t="n">
        <f aca="false">WEEKDAY(B3490,2)</f>
        <v>2</v>
      </c>
      <c r="N3490" s="31" t="str">
        <f aca="false">IF(G3490&lt;=INDEX(Assumptions!$B$15:$B$18,MATCH(E3490,Assumptions!$A$15:$A$18,0)),"Yes","No")</f>
        <v>Yes</v>
      </c>
      <c r="O3490" s="31" t="str">
        <f aca="false">IF(H3490="","Open",IF(H3490&lt;=INDEX(Assumptions!$C$15:$C$18,MATCH(E3490,Assumptions!$A$15:$A$18,0)),"Yes","No"))</f>
        <v>Open</v>
      </c>
    </row>
    <row r="3491" customFormat="false" ht="15" hidden="false" customHeight="false" outlineLevel="0" collapsed="false">
      <c r="A3491" s="31" t="s">
        <v>3641</v>
      </c>
      <c r="B3491" s="44" t="n">
        <v>46252</v>
      </c>
      <c r="C3491" s="31" t="s">
        <v>60</v>
      </c>
      <c r="D3491" s="31" t="s">
        <v>65</v>
      </c>
      <c r="E3491" s="31" t="s">
        <v>51</v>
      </c>
      <c r="F3491" s="31" t="s">
        <v>131</v>
      </c>
      <c r="G3491" s="31" t="n">
        <v>3</v>
      </c>
      <c r="H3491" s="41" t="n">
        <v>14.5</v>
      </c>
      <c r="I3491" s="31" t="s">
        <v>149</v>
      </c>
      <c r="J3491" s="31" t="n">
        <v>5</v>
      </c>
      <c r="K3491" s="31" t="s">
        <v>150</v>
      </c>
      <c r="L3491" s="45" t="n">
        <f aca="false">DATE(YEAR(B3491),MONTH(B3491),1)</f>
        <v>46235</v>
      </c>
      <c r="M3491" s="31" t="n">
        <f aca="false">WEEKDAY(B3491,2)</f>
        <v>2</v>
      </c>
      <c r="N3491" s="31" t="str">
        <f aca="false">IF(G3491&lt;=INDEX(Assumptions!$B$15:$B$18,MATCH(E3491,Assumptions!$A$15:$A$18,0)),"Yes","No")</f>
        <v>Yes</v>
      </c>
      <c r="O3491" s="31" t="str">
        <f aca="false">IF(H3491="","Open",IF(H3491&lt;=INDEX(Assumptions!$C$15:$C$18,MATCH(E3491,Assumptions!$A$15:$A$18,0)),"Yes","No"))</f>
        <v>Yes</v>
      </c>
    </row>
    <row r="3492" customFormat="false" ht="15" hidden="false" customHeight="false" outlineLevel="0" collapsed="false">
      <c r="A3492" s="31" t="s">
        <v>3642</v>
      </c>
      <c r="B3492" s="44" t="n">
        <v>46252</v>
      </c>
      <c r="C3492" s="31" t="s">
        <v>57</v>
      </c>
      <c r="D3492" s="31" t="s">
        <v>65</v>
      </c>
      <c r="E3492" s="31" t="s">
        <v>51</v>
      </c>
      <c r="F3492" s="31" t="s">
        <v>130</v>
      </c>
      <c r="G3492" s="31" t="n">
        <v>4</v>
      </c>
      <c r="H3492" s="41" t="n">
        <v>9.4</v>
      </c>
      <c r="I3492" s="31" t="s">
        <v>149</v>
      </c>
      <c r="J3492" s="31"/>
      <c r="K3492" s="31" t="s">
        <v>150</v>
      </c>
      <c r="L3492" s="45" t="n">
        <f aca="false">DATE(YEAR(B3492),MONTH(B3492),1)</f>
        <v>46235</v>
      </c>
      <c r="M3492" s="31" t="n">
        <f aca="false">WEEKDAY(B3492,2)</f>
        <v>2</v>
      </c>
      <c r="N3492" s="31" t="str">
        <f aca="false">IF(G3492&lt;=INDEX(Assumptions!$B$15:$B$18,MATCH(E3492,Assumptions!$A$15:$A$18,0)),"Yes","No")</f>
        <v>Yes</v>
      </c>
      <c r="O3492" s="31" t="str">
        <f aca="false">IF(H3492="","Open",IF(H3492&lt;=INDEX(Assumptions!$C$15:$C$18,MATCH(E3492,Assumptions!$A$15:$A$18,0)),"Yes","No"))</f>
        <v>Yes</v>
      </c>
    </row>
    <row r="3493" customFormat="false" ht="15" hidden="false" customHeight="false" outlineLevel="0" collapsed="false">
      <c r="A3493" s="31" t="s">
        <v>3643</v>
      </c>
      <c r="B3493" s="44" t="n">
        <v>46252</v>
      </c>
      <c r="C3493" s="31" t="s">
        <v>57</v>
      </c>
      <c r="D3493" s="31" t="s">
        <v>67</v>
      </c>
      <c r="E3493" s="31" t="s">
        <v>52</v>
      </c>
      <c r="F3493" s="31" t="s">
        <v>129</v>
      </c>
      <c r="G3493" s="31" t="n">
        <v>4</v>
      </c>
      <c r="H3493" s="41" t="n">
        <v>9.2</v>
      </c>
      <c r="I3493" s="31" t="s">
        <v>149</v>
      </c>
      <c r="J3493" s="31"/>
      <c r="K3493" s="31" t="s">
        <v>150</v>
      </c>
      <c r="L3493" s="45" t="n">
        <f aca="false">DATE(YEAR(B3493),MONTH(B3493),1)</f>
        <v>46235</v>
      </c>
      <c r="M3493" s="31" t="n">
        <f aca="false">WEEKDAY(B3493,2)</f>
        <v>2</v>
      </c>
      <c r="N3493" s="31" t="str">
        <f aca="false">IF(G3493&lt;=INDEX(Assumptions!$B$15:$B$18,MATCH(E3493,Assumptions!$A$15:$A$18,0)),"Yes","No")</f>
        <v>Yes</v>
      </c>
      <c r="O3493" s="31" t="str">
        <f aca="false">IF(H3493="","Open",IF(H3493&lt;=INDEX(Assumptions!$C$15:$C$18,MATCH(E3493,Assumptions!$A$15:$A$18,0)),"Yes","No"))</f>
        <v>Yes</v>
      </c>
    </row>
    <row r="3494" customFormat="false" ht="15" hidden="false" customHeight="false" outlineLevel="0" collapsed="false">
      <c r="A3494" s="31" t="s">
        <v>3644</v>
      </c>
      <c r="B3494" s="44" t="n">
        <v>46252</v>
      </c>
      <c r="C3494" s="31" t="s">
        <v>57</v>
      </c>
      <c r="D3494" s="31" t="s">
        <v>66</v>
      </c>
      <c r="E3494" s="31" t="s">
        <v>52</v>
      </c>
      <c r="F3494" s="31" t="s">
        <v>127</v>
      </c>
      <c r="G3494" s="31" t="n">
        <v>7</v>
      </c>
      <c r="H3494" s="41" t="n">
        <v>0.9</v>
      </c>
      <c r="I3494" s="31" t="s">
        <v>149</v>
      </c>
      <c r="J3494" s="31"/>
      <c r="K3494" s="31" t="s">
        <v>150</v>
      </c>
      <c r="L3494" s="45" t="n">
        <f aca="false">DATE(YEAR(B3494),MONTH(B3494),1)</f>
        <v>46235</v>
      </c>
      <c r="M3494" s="31" t="n">
        <f aca="false">WEEKDAY(B3494,2)</f>
        <v>2</v>
      </c>
      <c r="N3494" s="31" t="str">
        <f aca="false">IF(G3494&lt;=INDEX(Assumptions!$B$15:$B$18,MATCH(E3494,Assumptions!$A$15:$A$18,0)),"Yes","No")</f>
        <v>Yes</v>
      </c>
      <c r="O3494" s="31" t="str">
        <f aca="false">IF(H3494="","Open",IF(H3494&lt;=INDEX(Assumptions!$C$15:$C$18,MATCH(E3494,Assumptions!$A$15:$A$18,0)),"Yes","No"))</f>
        <v>Yes</v>
      </c>
    </row>
    <row r="3495" customFormat="false" ht="15" hidden="false" customHeight="false" outlineLevel="0" collapsed="false">
      <c r="A3495" s="31" t="s">
        <v>3645</v>
      </c>
      <c r="B3495" s="44" t="n">
        <v>46252</v>
      </c>
      <c r="C3495" s="31" t="s">
        <v>59</v>
      </c>
      <c r="D3495" s="31" t="s">
        <v>67</v>
      </c>
      <c r="E3495" s="31" t="s">
        <v>52</v>
      </c>
      <c r="F3495" s="31" t="s">
        <v>123</v>
      </c>
      <c r="G3495" s="31" t="n">
        <v>109</v>
      </c>
      <c r="H3495" s="41" t="n">
        <v>13.4</v>
      </c>
      <c r="I3495" s="31" t="s">
        <v>149</v>
      </c>
      <c r="J3495" s="31" t="n">
        <v>4</v>
      </c>
      <c r="K3495" s="31" t="s">
        <v>150</v>
      </c>
      <c r="L3495" s="45" t="n">
        <f aca="false">DATE(YEAR(B3495),MONTH(B3495),1)</f>
        <v>46235</v>
      </c>
      <c r="M3495" s="31" t="n">
        <f aca="false">WEEKDAY(B3495,2)</f>
        <v>2</v>
      </c>
      <c r="N3495" s="31" t="str">
        <f aca="false">IF(G3495&lt;=INDEX(Assumptions!$B$15:$B$18,MATCH(E3495,Assumptions!$A$15:$A$18,0)),"Yes","No")</f>
        <v>Yes</v>
      </c>
      <c r="O3495" s="31" t="str">
        <f aca="false">IF(H3495="","Open",IF(H3495&lt;=INDEX(Assumptions!$C$15:$C$18,MATCH(E3495,Assumptions!$A$15:$A$18,0)),"Yes","No"))</f>
        <v>Yes</v>
      </c>
    </row>
    <row r="3496" customFormat="false" ht="15" hidden="false" customHeight="false" outlineLevel="0" collapsed="false">
      <c r="A3496" s="31" t="s">
        <v>3646</v>
      </c>
      <c r="B3496" s="44" t="n">
        <v>46252</v>
      </c>
      <c r="C3496" s="31" t="s">
        <v>60</v>
      </c>
      <c r="D3496" s="31" t="s">
        <v>69</v>
      </c>
      <c r="E3496" s="31" t="s">
        <v>51</v>
      </c>
      <c r="F3496" s="31" t="s">
        <v>126</v>
      </c>
      <c r="G3496" s="31" t="n">
        <v>3</v>
      </c>
      <c r="H3496" s="41" t="n">
        <v>18.4</v>
      </c>
      <c r="I3496" s="31" t="s">
        <v>149</v>
      </c>
      <c r="J3496" s="31" t="n">
        <v>5</v>
      </c>
      <c r="K3496" s="31" t="s">
        <v>150</v>
      </c>
      <c r="L3496" s="45" t="n">
        <f aca="false">DATE(YEAR(B3496),MONTH(B3496),1)</f>
        <v>46235</v>
      </c>
      <c r="M3496" s="31" t="n">
        <f aca="false">WEEKDAY(B3496,2)</f>
        <v>2</v>
      </c>
      <c r="N3496" s="31" t="str">
        <f aca="false">IF(G3496&lt;=INDEX(Assumptions!$B$15:$B$18,MATCH(E3496,Assumptions!$A$15:$A$18,0)),"Yes","No")</f>
        <v>Yes</v>
      </c>
      <c r="O3496" s="31" t="str">
        <f aca="false">IF(H3496="","Open",IF(H3496&lt;=INDEX(Assumptions!$C$15:$C$18,MATCH(E3496,Assumptions!$A$15:$A$18,0)),"Yes","No"))</f>
        <v>Yes</v>
      </c>
    </row>
    <row r="3497" customFormat="false" ht="15" hidden="false" customHeight="false" outlineLevel="0" collapsed="false">
      <c r="A3497" s="31" t="s">
        <v>3647</v>
      </c>
      <c r="B3497" s="44" t="n">
        <v>46252</v>
      </c>
      <c r="C3497" s="31" t="s">
        <v>58</v>
      </c>
      <c r="D3497" s="31" t="s">
        <v>69</v>
      </c>
      <c r="E3497" s="31" t="s">
        <v>49</v>
      </c>
      <c r="F3497" s="31" t="s">
        <v>135</v>
      </c>
      <c r="G3497" s="31" t="n">
        <v>11</v>
      </c>
      <c r="H3497" s="41" t="n">
        <v>16.8</v>
      </c>
      <c r="I3497" s="31" t="s">
        <v>64</v>
      </c>
      <c r="J3497" s="31" t="n">
        <v>2</v>
      </c>
      <c r="K3497" s="31" t="s">
        <v>153</v>
      </c>
      <c r="L3497" s="45" t="n">
        <f aca="false">DATE(YEAR(B3497),MONTH(B3497),1)</f>
        <v>46235</v>
      </c>
      <c r="M3497" s="31" t="n">
        <f aca="false">WEEKDAY(B3497,2)</f>
        <v>2</v>
      </c>
      <c r="N3497" s="31" t="str">
        <f aca="false">IF(G3497&lt;=INDEX(Assumptions!$B$15:$B$18,MATCH(E3497,Assumptions!$A$15:$A$18,0)),"Yes","No")</f>
        <v>Yes</v>
      </c>
      <c r="O3497" s="31" t="str">
        <f aca="false">IF(H3497="","Open",IF(H3497&lt;=INDEX(Assumptions!$C$15:$C$18,MATCH(E3497,Assumptions!$A$15:$A$18,0)),"Yes","No"))</f>
        <v>No</v>
      </c>
    </row>
    <row r="3498" customFormat="false" ht="15" hidden="false" customHeight="false" outlineLevel="0" collapsed="false">
      <c r="A3498" s="31" t="s">
        <v>3648</v>
      </c>
      <c r="B3498" s="44" t="n">
        <v>46252</v>
      </c>
      <c r="C3498" s="31" t="s">
        <v>58</v>
      </c>
      <c r="D3498" s="31" t="s">
        <v>65</v>
      </c>
      <c r="E3498" s="31" t="s">
        <v>50</v>
      </c>
      <c r="F3498" s="31" t="s">
        <v>124</v>
      </c>
      <c r="G3498" s="31" t="n">
        <v>10</v>
      </c>
      <c r="H3498" s="41" t="n">
        <v>11.7</v>
      </c>
      <c r="I3498" s="31" t="s">
        <v>149</v>
      </c>
      <c r="J3498" s="31"/>
      <c r="K3498" s="31" t="s">
        <v>150</v>
      </c>
      <c r="L3498" s="45" t="n">
        <f aca="false">DATE(YEAR(B3498),MONTH(B3498),1)</f>
        <v>46235</v>
      </c>
      <c r="M3498" s="31" t="n">
        <f aca="false">WEEKDAY(B3498,2)</f>
        <v>2</v>
      </c>
      <c r="N3498" s="31" t="str">
        <f aca="false">IF(G3498&lt;=INDEX(Assumptions!$B$15:$B$18,MATCH(E3498,Assumptions!$A$15:$A$18,0)),"Yes","No")</f>
        <v>Yes</v>
      </c>
      <c r="O3498" s="31" t="str">
        <f aca="false">IF(H3498="","Open",IF(H3498&lt;=INDEX(Assumptions!$C$15:$C$18,MATCH(E3498,Assumptions!$A$15:$A$18,0)),"Yes","No"))</f>
        <v>No</v>
      </c>
    </row>
    <row r="3499" customFormat="false" ht="15" hidden="false" customHeight="false" outlineLevel="0" collapsed="false">
      <c r="A3499" s="31" t="s">
        <v>3649</v>
      </c>
      <c r="B3499" s="44" t="n">
        <v>46252</v>
      </c>
      <c r="C3499" s="31" t="s">
        <v>60</v>
      </c>
      <c r="D3499" s="31" t="s">
        <v>65</v>
      </c>
      <c r="E3499" s="31" t="s">
        <v>52</v>
      </c>
      <c r="F3499" s="31" t="s">
        <v>120</v>
      </c>
      <c r="G3499" s="31" t="n">
        <v>5</v>
      </c>
      <c r="H3499" s="41" t="n">
        <v>68.3</v>
      </c>
      <c r="I3499" s="31" t="s">
        <v>149</v>
      </c>
      <c r="J3499" s="31"/>
      <c r="K3499" s="31" t="s">
        <v>150</v>
      </c>
      <c r="L3499" s="45" t="n">
        <f aca="false">DATE(YEAR(B3499),MONTH(B3499),1)</f>
        <v>46235</v>
      </c>
      <c r="M3499" s="31" t="n">
        <f aca="false">WEEKDAY(B3499,2)</f>
        <v>2</v>
      </c>
      <c r="N3499" s="31" t="str">
        <f aca="false">IF(G3499&lt;=INDEX(Assumptions!$B$15:$B$18,MATCH(E3499,Assumptions!$A$15:$A$18,0)),"Yes","No")</f>
        <v>Yes</v>
      </c>
      <c r="O3499" s="31" t="str">
        <f aca="false">IF(H3499="","Open",IF(H3499&lt;=INDEX(Assumptions!$C$15:$C$18,MATCH(E3499,Assumptions!$A$15:$A$18,0)),"Yes","No"))</f>
        <v>Yes</v>
      </c>
    </row>
    <row r="3500" customFormat="false" ht="15" hidden="false" customHeight="false" outlineLevel="0" collapsed="false">
      <c r="A3500" s="31" t="s">
        <v>3650</v>
      </c>
      <c r="B3500" s="44" t="n">
        <v>46252</v>
      </c>
      <c r="C3500" s="31" t="s">
        <v>59</v>
      </c>
      <c r="D3500" s="31" t="s">
        <v>66</v>
      </c>
      <c r="E3500" s="31" t="s">
        <v>52</v>
      </c>
      <c r="F3500" s="31" t="s">
        <v>131</v>
      </c>
      <c r="G3500" s="31" t="n">
        <v>101</v>
      </c>
      <c r="H3500" s="41" t="n">
        <v>6.9</v>
      </c>
      <c r="I3500" s="31" t="s">
        <v>149</v>
      </c>
      <c r="J3500" s="31" t="n">
        <v>5</v>
      </c>
      <c r="K3500" s="31" t="s">
        <v>150</v>
      </c>
      <c r="L3500" s="45" t="n">
        <f aca="false">DATE(YEAR(B3500),MONTH(B3500),1)</f>
        <v>46235</v>
      </c>
      <c r="M3500" s="31" t="n">
        <f aca="false">WEEKDAY(B3500,2)</f>
        <v>2</v>
      </c>
      <c r="N3500" s="31" t="str">
        <f aca="false">IF(G3500&lt;=INDEX(Assumptions!$B$15:$B$18,MATCH(E3500,Assumptions!$A$15:$A$18,0)),"Yes","No")</f>
        <v>Yes</v>
      </c>
      <c r="O3500" s="31" t="str">
        <f aca="false">IF(H3500="","Open",IF(H3500&lt;=INDEX(Assumptions!$C$15:$C$18,MATCH(E3500,Assumptions!$A$15:$A$18,0)),"Yes","No"))</f>
        <v>Yes</v>
      </c>
    </row>
    <row r="3501" customFormat="false" ht="15" hidden="false" customHeight="false" outlineLevel="0" collapsed="false">
      <c r="A3501" s="31" t="s">
        <v>3651</v>
      </c>
      <c r="B3501" s="44" t="n">
        <v>46252</v>
      </c>
      <c r="C3501" s="31" t="s">
        <v>58</v>
      </c>
      <c r="D3501" s="31" t="s">
        <v>68</v>
      </c>
      <c r="E3501" s="31" t="s">
        <v>51</v>
      </c>
      <c r="F3501" s="31" t="s">
        <v>130</v>
      </c>
      <c r="G3501" s="31" t="n">
        <v>5</v>
      </c>
      <c r="H3501" s="41" t="n">
        <v>2.3</v>
      </c>
      <c r="I3501" s="31" t="s">
        <v>149</v>
      </c>
      <c r="J3501" s="31" t="n">
        <v>5</v>
      </c>
      <c r="K3501" s="31" t="s">
        <v>150</v>
      </c>
      <c r="L3501" s="45" t="n">
        <f aca="false">DATE(YEAR(B3501),MONTH(B3501),1)</f>
        <v>46235</v>
      </c>
      <c r="M3501" s="31" t="n">
        <f aca="false">WEEKDAY(B3501,2)</f>
        <v>2</v>
      </c>
      <c r="N3501" s="31" t="str">
        <f aca="false">IF(G3501&lt;=INDEX(Assumptions!$B$15:$B$18,MATCH(E3501,Assumptions!$A$15:$A$18,0)),"Yes","No")</f>
        <v>Yes</v>
      </c>
      <c r="O3501" s="31" t="str">
        <f aca="false">IF(H3501="","Open",IF(H3501&lt;=INDEX(Assumptions!$C$15:$C$18,MATCH(E3501,Assumptions!$A$15:$A$18,0)),"Yes","No"))</f>
        <v>Yes</v>
      </c>
    </row>
    <row r="3502" customFormat="false" ht="15" hidden="false" customHeight="false" outlineLevel="0" collapsed="false">
      <c r="A3502" s="31" t="s">
        <v>3652</v>
      </c>
      <c r="B3502" s="44" t="n">
        <v>46252</v>
      </c>
      <c r="C3502" s="31" t="s">
        <v>57</v>
      </c>
      <c r="D3502" s="31" t="s">
        <v>69</v>
      </c>
      <c r="E3502" s="31" t="s">
        <v>51</v>
      </c>
      <c r="F3502" s="31" t="s">
        <v>124</v>
      </c>
      <c r="G3502" s="31" t="n">
        <v>4</v>
      </c>
      <c r="H3502" s="41" t="n">
        <v>37.2</v>
      </c>
      <c r="I3502" s="31" t="s">
        <v>149</v>
      </c>
      <c r="J3502" s="31" t="n">
        <v>5</v>
      </c>
      <c r="K3502" s="31" t="s">
        <v>150</v>
      </c>
      <c r="L3502" s="45" t="n">
        <f aca="false">DATE(YEAR(B3502),MONTH(B3502),1)</f>
        <v>46235</v>
      </c>
      <c r="M3502" s="31" t="n">
        <f aca="false">WEEKDAY(B3502,2)</f>
        <v>2</v>
      </c>
      <c r="N3502" s="31" t="str">
        <f aca="false">IF(G3502&lt;=INDEX(Assumptions!$B$15:$B$18,MATCH(E3502,Assumptions!$A$15:$A$18,0)),"Yes","No")</f>
        <v>Yes</v>
      </c>
      <c r="O3502" s="31" t="str">
        <f aca="false">IF(H3502="","Open",IF(H3502&lt;=INDEX(Assumptions!$C$15:$C$18,MATCH(E3502,Assumptions!$A$15:$A$18,0)),"Yes","No"))</f>
        <v>No</v>
      </c>
    </row>
    <row r="3503" customFormat="false" ht="15" hidden="false" customHeight="false" outlineLevel="0" collapsed="false">
      <c r="A3503" s="31" t="s">
        <v>3653</v>
      </c>
      <c r="B3503" s="44" t="n">
        <v>46252</v>
      </c>
      <c r="C3503" s="31" t="s">
        <v>59</v>
      </c>
      <c r="D3503" s="31" t="s">
        <v>66</v>
      </c>
      <c r="E3503" s="31" t="s">
        <v>52</v>
      </c>
      <c r="F3503" s="31" t="s">
        <v>134</v>
      </c>
      <c r="G3503" s="31" t="n">
        <v>131</v>
      </c>
      <c r="H3503" s="41" t="n">
        <v>13</v>
      </c>
      <c r="I3503" s="31" t="s">
        <v>149</v>
      </c>
      <c r="J3503" s="31" t="n">
        <v>4</v>
      </c>
      <c r="K3503" s="31" t="s">
        <v>150</v>
      </c>
      <c r="L3503" s="45" t="n">
        <f aca="false">DATE(YEAR(B3503),MONTH(B3503),1)</f>
        <v>46235</v>
      </c>
      <c r="M3503" s="31" t="n">
        <f aca="false">WEEKDAY(B3503,2)</f>
        <v>2</v>
      </c>
      <c r="N3503" s="31" t="str">
        <f aca="false">IF(G3503&lt;=INDEX(Assumptions!$B$15:$B$18,MATCH(E3503,Assumptions!$A$15:$A$18,0)),"Yes","No")</f>
        <v>Yes</v>
      </c>
      <c r="O3503" s="31" t="str">
        <f aca="false">IF(H3503="","Open",IF(H3503&lt;=INDEX(Assumptions!$C$15:$C$18,MATCH(E3503,Assumptions!$A$15:$A$18,0)),"Yes","No"))</f>
        <v>Yes</v>
      </c>
    </row>
    <row r="3504" customFormat="false" ht="15" hidden="false" customHeight="false" outlineLevel="0" collapsed="false">
      <c r="A3504" s="31" t="s">
        <v>3654</v>
      </c>
      <c r="B3504" s="44" t="n">
        <v>46252</v>
      </c>
      <c r="C3504" s="31" t="s">
        <v>60</v>
      </c>
      <c r="D3504" s="31" t="s">
        <v>69</v>
      </c>
      <c r="E3504" s="31" t="s">
        <v>52</v>
      </c>
      <c r="F3504" s="31" t="s">
        <v>137</v>
      </c>
      <c r="G3504" s="31" t="n">
        <v>6</v>
      </c>
      <c r="H3504" s="41" t="n">
        <v>15.9</v>
      </c>
      <c r="I3504" s="31" t="s">
        <v>149</v>
      </c>
      <c r="J3504" s="31"/>
      <c r="K3504" s="31" t="s">
        <v>150</v>
      </c>
      <c r="L3504" s="45" t="n">
        <f aca="false">DATE(YEAR(B3504),MONTH(B3504),1)</f>
        <v>46235</v>
      </c>
      <c r="M3504" s="31" t="n">
        <f aca="false">WEEKDAY(B3504,2)</f>
        <v>2</v>
      </c>
      <c r="N3504" s="31" t="str">
        <f aca="false">IF(G3504&lt;=INDEX(Assumptions!$B$15:$B$18,MATCH(E3504,Assumptions!$A$15:$A$18,0)),"Yes","No")</f>
        <v>Yes</v>
      </c>
      <c r="O3504" s="31" t="str">
        <f aca="false">IF(H3504="","Open",IF(H3504&lt;=INDEX(Assumptions!$C$15:$C$18,MATCH(E3504,Assumptions!$A$15:$A$18,0)),"Yes","No"))</f>
        <v>Yes</v>
      </c>
    </row>
    <row r="3505" customFormat="false" ht="15" hidden="false" customHeight="false" outlineLevel="0" collapsed="false">
      <c r="A3505" s="31" t="s">
        <v>3655</v>
      </c>
      <c r="B3505" s="44" t="n">
        <v>46252</v>
      </c>
      <c r="C3505" s="31" t="s">
        <v>57</v>
      </c>
      <c r="D3505" s="31" t="s">
        <v>68</v>
      </c>
      <c r="E3505" s="31" t="s">
        <v>49</v>
      </c>
      <c r="F3505" s="31" t="s">
        <v>135</v>
      </c>
      <c r="G3505" s="31" t="n">
        <v>3</v>
      </c>
      <c r="H3505" s="41" t="n">
        <v>3.1</v>
      </c>
      <c r="I3505" s="31" t="s">
        <v>149</v>
      </c>
      <c r="J3505" s="31" t="n">
        <v>5</v>
      </c>
      <c r="K3505" s="31" t="s">
        <v>150</v>
      </c>
      <c r="L3505" s="45" t="n">
        <f aca="false">DATE(YEAR(B3505),MONTH(B3505),1)</f>
        <v>46235</v>
      </c>
      <c r="M3505" s="31" t="n">
        <f aca="false">WEEKDAY(B3505,2)</f>
        <v>2</v>
      </c>
      <c r="N3505" s="31" t="str">
        <f aca="false">IF(G3505&lt;=INDEX(Assumptions!$B$15:$B$18,MATCH(E3505,Assumptions!$A$15:$A$18,0)),"Yes","No")</f>
        <v>Yes</v>
      </c>
      <c r="O3505" s="31" t="str">
        <f aca="false">IF(H3505="","Open",IF(H3505&lt;=INDEX(Assumptions!$C$15:$C$18,MATCH(E3505,Assumptions!$A$15:$A$18,0)),"Yes","No"))</f>
        <v>Yes</v>
      </c>
    </row>
    <row r="3506" customFormat="false" ht="15" hidden="false" customHeight="false" outlineLevel="0" collapsed="false">
      <c r="A3506" s="31" t="s">
        <v>3656</v>
      </c>
      <c r="B3506" s="44" t="n">
        <v>46252</v>
      </c>
      <c r="C3506" s="31" t="s">
        <v>58</v>
      </c>
      <c r="D3506" s="31" t="s">
        <v>69</v>
      </c>
      <c r="E3506" s="31" t="s">
        <v>52</v>
      </c>
      <c r="F3506" s="31" t="s">
        <v>136</v>
      </c>
      <c r="G3506" s="31" t="n">
        <v>6</v>
      </c>
      <c r="H3506" s="41" t="n">
        <v>40.6</v>
      </c>
      <c r="I3506" s="31" t="s">
        <v>149</v>
      </c>
      <c r="J3506" s="31" t="n">
        <v>4</v>
      </c>
      <c r="K3506" s="31" t="s">
        <v>150</v>
      </c>
      <c r="L3506" s="45" t="n">
        <f aca="false">DATE(YEAR(B3506),MONTH(B3506),1)</f>
        <v>46235</v>
      </c>
      <c r="M3506" s="31" t="n">
        <f aca="false">WEEKDAY(B3506,2)</f>
        <v>2</v>
      </c>
      <c r="N3506" s="31" t="str">
        <f aca="false">IF(G3506&lt;=INDEX(Assumptions!$B$15:$B$18,MATCH(E3506,Assumptions!$A$15:$A$18,0)),"Yes","No")</f>
        <v>Yes</v>
      </c>
      <c r="O3506" s="31" t="str">
        <f aca="false">IF(H3506="","Open",IF(H3506&lt;=INDEX(Assumptions!$C$15:$C$18,MATCH(E3506,Assumptions!$A$15:$A$18,0)),"Yes","No"))</f>
        <v>Yes</v>
      </c>
    </row>
    <row r="3507" customFormat="false" ht="15" hidden="false" customHeight="false" outlineLevel="0" collapsed="false">
      <c r="A3507" s="31" t="s">
        <v>3657</v>
      </c>
      <c r="B3507" s="44" t="n">
        <v>46252</v>
      </c>
      <c r="C3507" s="31" t="s">
        <v>60</v>
      </c>
      <c r="D3507" s="31" t="s">
        <v>66</v>
      </c>
      <c r="E3507" s="31" t="s">
        <v>50</v>
      </c>
      <c r="F3507" s="31" t="s">
        <v>123</v>
      </c>
      <c r="G3507" s="31" t="n">
        <v>3</v>
      </c>
      <c r="H3507" s="41" t="n">
        <v>5.4</v>
      </c>
      <c r="I3507" s="31" t="s">
        <v>149</v>
      </c>
      <c r="J3507" s="31" t="n">
        <v>4</v>
      </c>
      <c r="K3507" s="31" t="s">
        <v>150</v>
      </c>
      <c r="L3507" s="45" t="n">
        <f aca="false">DATE(YEAR(B3507),MONTH(B3507),1)</f>
        <v>46235</v>
      </c>
      <c r="M3507" s="31" t="n">
        <f aca="false">WEEKDAY(B3507,2)</f>
        <v>2</v>
      </c>
      <c r="N3507" s="31" t="str">
        <f aca="false">IF(G3507&lt;=INDEX(Assumptions!$B$15:$B$18,MATCH(E3507,Assumptions!$A$15:$A$18,0)),"Yes","No")</f>
        <v>Yes</v>
      </c>
      <c r="O3507" s="31" t="str">
        <f aca="false">IF(H3507="","Open",IF(H3507&lt;=INDEX(Assumptions!$C$15:$C$18,MATCH(E3507,Assumptions!$A$15:$A$18,0)),"Yes","No"))</f>
        <v>Yes</v>
      </c>
    </row>
    <row r="3508" customFormat="false" ht="15" hidden="false" customHeight="false" outlineLevel="0" collapsed="false">
      <c r="A3508" s="31" t="s">
        <v>3658</v>
      </c>
      <c r="B3508" s="44" t="n">
        <v>46252</v>
      </c>
      <c r="C3508" s="31" t="s">
        <v>58</v>
      </c>
      <c r="D3508" s="31" t="s">
        <v>66</v>
      </c>
      <c r="E3508" s="31" t="s">
        <v>51</v>
      </c>
      <c r="F3508" s="31" t="s">
        <v>120</v>
      </c>
      <c r="G3508" s="31" t="n">
        <v>7</v>
      </c>
      <c r="H3508" s="41" t="n">
        <v>2.6</v>
      </c>
      <c r="I3508" s="31" t="s">
        <v>149</v>
      </c>
      <c r="J3508" s="31"/>
      <c r="K3508" s="31" t="s">
        <v>150</v>
      </c>
      <c r="L3508" s="45" t="n">
        <f aca="false">DATE(YEAR(B3508),MONTH(B3508),1)</f>
        <v>46235</v>
      </c>
      <c r="M3508" s="31" t="n">
        <f aca="false">WEEKDAY(B3508,2)</f>
        <v>2</v>
      </c>
      <c r="N3508" s="31" t="str">
        <f aca="false">IF(G3508&lt;=INDEX(Assumptions!$B$15:$B$18,MATCH(E3508,Assumptions!$A$15:$A$18,0)),"Yes","No")</f>
        <v>Yes</v>
      </c>
      <c r="O3508" s="31" t="str">
        <f aca="false">IF(H3508="","Open",IF(H3508&lt;=INDEX(Assumptions!$C$15:$C$18,MATCH(E3508,Assumptions!$A$15:$A$18,0)),"Yes","No"))</f>
        <v>Yes</v>
      </c>
    </row>
    <row r="3509" customFormat="false" ht="15" hidden="false" customHeight="false" outlineLevel="0" collapsed="false">
      <c r="A3509" s="31" t="s">
        <v>3659</v>
      </c>
      <c r="B3509" s="44" t="n">
        <v>46252</v>
      </c>
      <c r="C3509" s="31" t="s">
        <v>57</v>
      </c>
      <c r="D3509" s="31" t="s">
        <v>68</v>
      </c>
      <c r="E3509" s="31" t="s">
        <v>51</v>
      </c>
      <c r="F3509" s="31" t="s">
        <v>126</v>
      </c>
      <c r="G3509" s="31" t="n">
        <v>7</v>
      </c>
      <c r="H3509" s="41" t="n">
        <v>4.6</v>
      </c>
      <c r="I3509" s="31" t="s">
        <v>149</v>
      </c>
      <c r="J3509" s="31"/>
      <c r="K3509" s="31" t="s">
        <v>150</v>
      </c>
      <c r="L3509" s="45" t="n">
        <f aca="false">DATE(YEAR(B3509),MONTH(B3509),1)</f>
        <v>46235</v>
      </c>
      <c r="M3509" s="31" t="n">
        <f aca="false">WEEKDAY(B3509,2)</f>
        <v>2</v>
      </c>
      <c r="N3509" s="31" t="str">
        <f aca="false">IF(G3509&lt;=INDEX(Assumptions!$B$15:$B$18,MATCH(E3509,Assumptions!$A$15:$A$18,0)),"Yes","No")</f>
        <v>Yes</v>
      </c>
      <c r="O3509" s="31" t="str">
        <f aca="false">IF(H3509="","Open",IF(H3509&lt;=INDEX(Assumptions!$C$15:$C$18,MATCH(E3509,Assumptions!$A$15:$A$18,0)),"Yes","No"))</f>
        <v>Yes</v>
      </c>
    </row>
    <row r="3510" customFormat="false" ht="15" hidden="false" customHeight="false" outlineLevel="0" collapsed="false">
      <c r="A3510" s="31" t="s">
        <v>3660</v>
      </c>
      <c r="B3510" s="44" t="n">
        <v>46252</v>
      </c>
      <c r="C3510" s="31" t="s">
        <v>60</v>
      </c>
      <c r="D3510" s="31" t="s">
        <v>68</v>
      </c>
      <c r="E3510" s="31" t="s">
        <v>51</v>
      </c>
      <c r="F3510" s="31" t="s">
        <v>133</v>
      </c>
      <c r="G3510" s="31" t="n">
        <v>1</v>
      </c>
      <c r="H3510" s="41" t="n">
        <v>6.2</v>
      </c>
      <c r="I3510" s="31" t="s">
        <v>149</v>
      </c>
      <c r="J3510" s="31" t="n">
        <v>5</v>
      </c>
      <c r="K3510" s="31" t="s">
        <v>150</v>
      </c>
      <c r="L3510" s="45" t="n">
        <f aca="false">DATE(YEAR(B3510),MONTH(B3510),1)</f>
        <v>46235</v>
      </c>
      <c r="M3510" s="31" t="n">
        <f aca="false">WEEKDAY(B3510,2)</f>
        <v>2</v>
      </c>
      <c r="N3510" s="31" t="str">
        <f aca="false">IF(G3510&lt;=INDEX(Assumptions!$B$15:$B$18,MATCH(E3510,Assumptions!$A$15:$A$18,0)),"Yes","No")</f>
        <v>Yes</v>
      </c>
      <c r="O3510" s="31" t="str">
        <f aca="false">IF(H3510="","Open",IF(H3510&lt;=INDEX(Assumptions!$C$15:$C$18,MATCH(E3510,Assumptions!$A$15:$A$18,0)),"Yes","No"))</f>
        <v>Yes</v>
      </c>
    </row>
    <row r="3511" customFormat="false" ht="15" hidden="false" customHeight="false" outlineLevel="0" collapsed="false">
      <c r="A3511" s="31" t="s">
        <v>3661</v>
      </c>
      <c r="B3511" s="44" t="n">
        <v>46252</v>
      </c>
      <c r="C3511" s="31" t="s">
        <v>60</v>
      </c>
      <c r="D3511" s="31" t="s">
        <v>66</v>
      </c>
      <c r="E3511" s="31" t="s">
        <v>51</v>
      </c>
      <c r="F3511" s="31" t="s">
        <v>122</v>
      </c>
      <c r="G3511" s="31" t="n">
        <v>2</v>
      </c>
      <c r="H3511" s="41" t="n">
        <v>5.1</v>
      </c>
      <c r="I3511" s="31" t="s">
        <v>149</v>
      </c>
      <c r="J3511" s="31"/>
      <c r="K3511" s="31" t="s">
        <v>150</v>
      </c>
      <c r="L3511" s="45" t="n">
        <f aca="false">DATE(YEAR(B3511),MONTH(B3511),1)</f>
        <v>46235</v>
      </c>
      <c r="M3511" s="31" t="n">
        <f aca="false">WEEKDAY(B3511,2)</f>
        <v>2</v>
      </c>
      <c r="N3511" s="31" t="str">
        <f aca="false">IF(G3511&lt;=INDEX(Assumptions!$B$15:$B$18,MATCH(E3511,Assumptions!$A$15:$A$18,0)),"Yes","No")</f>
        <v>Yes</v>
      </c>
      <c r="O3511" s="31" t="str">
        <f aca="false">IF(H3511="","Open",IF(H3511&lt;=INDEX(Assumptions!$C$15:$C$18,MATCH(E3511,Assumptions!$A$15:$A$18,0)),"Yes","No"))</f>
        <v>Yes</v>
      </c>
    </row>
    <row r="3512" customFormat="false" ht="15" hidden="false" customHeight="false" outlineLevel="0" collapsed="false">
      <c r="A3512" s="31" t="s">
        <v>3662</v>
      </c>
      <c r="B3512" s="44" t="n">
        <v>46252</v>
      </c>
      <c r="C3512" s="31" t="s">
        <v>59</v>
      </c>
      <c r="D3512" s="31" t="s">
        <v>68</v>
      </c>
      <c r="E3512" s="31" t="s">
        <v>50</v>
      </c>
      <c r="F3512" s="31" t="s">
        <v>117</v>
      </c>
      <c r="G3512" s="31" t="n">
        <v>28</v>
      </c>
      <c r="H3512" s="41" t="n">
        <v>4.4</v>
      </c>
      <c r="I3512" s="31" t="s">
        <v>149</v>
      </c>
      <c r="J3512" s="31" t="n">
        <v>4</v>
      </c>
      <c r="K3512" s="31" t="s">
        <v>150</v>
      </c>
      <c r="L3512" s="45" t="n">
        <f aca="false">DATE(YEAR(B3512),MONTH(B3512),1)</f>
        <v>46235</v>
      </c>
      <c r="M3512" s="31" t="n">
        <f aca="false">WEEKDAY(B3512,2)</f>
        <v>2</v>
      </c>
      <c r="N3512" s="31" t="str">
        <f aca="false">IF(G3512&lt;=INDEX(Assumptions!$B$15:$B$18,MATCH(E3512,Assumptions!$A$15:$A$18,0)),"Yes","No")</f>
        <v>Yes</v>
      </c>
      <c r="O3512" s="31" t="str">
        <f aca="false">IF(H3512="","Open",IF(H3512&lt;=INDEX(Assumptions!$C$15:$C$18,MATCH(E3512,Assumptions!$A$15:$A$18,0)),"Yes","No"))</f>
        <v>Yes</v>
      </c>
    </row>
    <row r="3513" customFormat="false" ht="15" hidden="false" customHeight="false" outlineLevel="0" collapsed="false">
      <c r="A3513" s="31" t="s">
        <v>3663</v>
      </c>
      <c r="B3513" s="44" t="n">
        <v>46252</v>
      </c>
      <c r="C3513" s="31" t="s">
        <v>58</v>
      </c>
      <c r="D3513" s="31" t="s">
        <v>68</v>
      </c>
      <c r="E3513" s="31" t="s">
        <v>52</v>
      </c>
      <c r="F3513" s="31" t="s">
        <v>119</v>
      </c>
      <c r="G3513" s="31" t="n">
        <v>45</v>
      </c>
      <c r="H3513" s="41" t="n">
        <v>6</v>
      </c>
      <c r="I3513" s="31" t="s">
        <v>149</v>
      </c>
      <c r="J3513" s="31"/>
      <c r="K3513" s="31" t="s">
        <v>150</v>
      </c>
      <c r="L3513" s="45" t="n">
        <f aca="false">DATE(YEAR(B3513),MONTH(B3513),1)</f>
        <v>46235</v>
      </c>
      <c r="M3513" s="31" t="n">
        <f aca="false">WEEKDAY(B3513,2)</f>
        <v>2</v>
      </c>
      <c r="N3513" s="31" t="str">
        <f aca="false">IF(G3513&lt;=INDEX(Assumptions!$B$15:$B$18,MATCH(E3513,Assumptions!$A$15:$A$18,0)),"Yes","No")</f>
        <v>Yes</v>
      </c>
      <c r="O3513" s="31" t="str">
        <f aca="false">IF(H3513="","Open",IF(H3513&lt;=INDEX(Assumptions!$C$15:$C$18,MATCH(E3513,Assumptions!$A$15:$A$18,0)),"Yes","No"))</f>
        <v>Yes</v>
      </c>
    </row>
    <row r="3514" customFormat="false" ht="15" hidden="false" customHeight="false" outlineLevel="0" collapsed="false">
      <c r="A3514" s="31" t="s">
        <v>3664</v>
      </c>
      <c r="B3514" s="44" t="n">
        <v>46252</v>
      </c>
      <c r="C3514" s="31" t="s">
        <v>58</v>
      </c>
      <c r="D3514" s="31" t="s">
        <v>66</v>
      </c>
      <c r="E3514" s="31" t="s">
        <v>51</v>
      </c>
      <c r="F3514" s="31" t="s">
        <v>135</v>
      </c>
      <c r="G3514" s="31" t="n">
        <v>15</v>
      </c>
      <c r="H3514" s="41" t="n">
        <v>25</v>
      </c>
      <c r="I3514" s="31" t="s">
        <v>149</v>
      </c>
      <c r="J3514" s="31"/>
      <c r="K3514" s="31" t="s">
        <v>150</v>
      </c>
      <c r="L3514" s="45" t="n">
        <f aca="false">DATE(YEAR(B3514),MONTH(B3514),1)</f>
        <v>46235</v>
      </c>
      <c r="M3514" s="31" t="n">
        <f aca="false">WEEKDAY(B3514,2)</f>
        <v>2</v>
      </c>
      <c r="N3514" s="31" t="str">
        <f aca="false">IF(G3514&lt;=INDEX(Assumptions!$B$15:$B$18,MATCH(E3514,Assumptions!$A$15:$A$18,0)),"Yes","No")</f>
        <v>Yes</v>
      </c>
      <c r="O3514" s="31" t="str">
        <f aca="false">IF(H3514="","Open",IF(H3514&lt;=INDEX(Assumptions!$C$15:$C$18,MATCH(E3514,Assumptions!$A$15:$A$18,0)),"Yes","No"))</f>
        <v>No</v>
      </c>
    </row>
    <row r="3515" customFormat="false" ht="15" hidden="false" customHeight="false" outlineLevel="0" collapsed="false">
      <c r="A3515" s="31" t="s">
        <v>3665</v>
      </c>
      <c r="B3515" s="44" t="n">
        <v>46252</v>
      </c>
      <c r="C3515" s="31" t="s">
        <v>60</v>
      </c>
      <c r="D3515" s="31" t="s">
        <v>65</v>
      </c>
      <c r="E3515" s="31" t="s">
        <v>51</v>
      </c>
      <c r="F3515" s="31" t="s">
        <v>128</v>
      </c>
      <c r="G3515" s="31" t="n">
        <v>2</v>
      </c>
      <c r="H3515" s="41" t="n">
        <v>5.1</v>
      </c>
      <c r="I3515" s="31" t="s">
        <v>149</v>
      </c>
      <c r="J3515" s="31"/>
      <c r="K3515" s="31" t="s">
        <v>153</v>
      </c>
      <c r="L3515" s="45" t="n">
        <f aca="false">DATE(YEAR(B3515),MONTH(B3515),1)</f>
        <v>46235</v>
      </c>
      <c r="M3515" s="31" t="n">
        <f aca="false">WEEKDAY(B3515,2)</f>
        <v>2</v>
      </c>
      <c r="N3515" s="31" t="str">
        <f aca="false">IF(G3515&lt;=INDEX(Assumptions!$B$15:$B$18,MATCH(E3515,Assumptions!$A$15:$A$18,0)),"Yes","No")</f>
        <v>Yes</v>
      </c>
      <c r="O3515" s="31" t="str">
        <f aca="false">IF(H3515="","Open",IF(H3515&lt;=INDEX(Assumptions!$C$15:$C$18,MATCH(E3515,Assumptions!$A$15:$A$18,0)),"Yes","No"))</f>
        <v>Yes</v>
      </c>
    </row>
    <row r="3516" customFormat="false" ht="15" hidden="false" customHeight="false" outlineLevel="0" collapsed="false">
      <c r="A3516" s="31" t="s">
        <v>3666</v>
      </c>
      <c r="B3516" s="44" t="n">
        <v>46252</v>
      </c>
      <c r="C3516" s="31" t="s">
        <v>60</v>
      </c>
      <c r="D3516" s="31" t="s">
        <v>69</v>
      </c>
      <c r="E3516" s="31" t="s">
        <v>52</v>
      </c>
      <c r="F3516" s="31" t="s">
        <v>134</v>
      </c>
      <c r="G3516" s="31" t="n">
        <v>4</v>
      </c>
      <c r="H3516" s="41" t="n">
        <v>24.8</v>
      </c>
      <c r="I3516" s="31" t="s">
        <v>149</v>
      </c>
      <c r="J3516" s="31"/>
      <c r="K3516" s="31" t="s">
        <v>150</v>
      </c>
      <c r="L3516" s="45" t="n">
        <f aca="false">DATE(YEAR(B3516),MONTH(B3516),1)</f>
        <v>46235</v>
      </c>
      <c r="M3516" s="31" t="n">
        <f aca="false">WEEKDAY(B3516,2)</f>
        <v>2</v>
      </c>
      <c r="N3516" s="31" t="str">
        <f aca="false">IF(G3516&lt;=INDEX(Assumptions!$B$15:$B$18,MATCH(E3516,Assumptions!$A$15:$A$18,0)),"Yes","No")</f>
        <v>Yes</v>
      </c>
      <c r="O3516" s="31" t="str">
        <f aca="false">IF(H3516="","Open",IF(H3516&lt;=INDEX(Assumptions!$C$15:$C$18,MATCH(E3516,Assumptions!$A$15:$A$18,0)),"Yes","No"))</f>
        <v>Yes</v>
      </c>
    </row>
    <row r="3517" customFormat="false" ht="15" hidden="false" customHeight="false" outlineLevel="0" collapsed="false">
      <c r="A3517" s="31" t="s">
        <v>3667</v>
      </c>
      <c r="B3517" s="44" t="n">
        <v>46252</v>
      </c>
      <c r="C3517" s="31" t="s">
        <v>57</v>
      </c>
      <c r="D3517" s="31" t="s">
        <v>67</v>
      </c>
      <c r="E3517" s="31" t="s">
        <v>51</v>
      </c>
      <c r="F3517" s="31" t="s">
        <v>133</v>
      </c>
      <c r="G3517" s="31" t="n">
        <v>1</v>
      </c>
      <c r="H3517" s="41" t="n">
        <v>25.7</v>
      </c>
      <c r="I3517" s="31" t="s">
        <v>149</v>
      </c>
      <c r="J3517" s="31" t="n">
        <v>3</v>
      </c>
      <c r="K3517" s="31" t="s">
        <v>150</v>
      </c>
      <c r="L3517" s="45" t="n">
        <f aca="false">DATE(YEAR(B3517),MONTH(B3517),1)</f>
        <v>46235</v>
      </c>
      <c r="M3517" s="31" t="n">
        <f aca="false">WEEKDAY(B3517,2)</f>
        <v>2</v>
      </c>
      <c r="N3517" s="31" t="str">
        <f aca="false">IF(G3517&lt;=INDEX(Assumptions!$B$15:$B$18,MATCH(E3517,Assumptions!$A$15:$A$18,0)),"Yes","No")</f>
        <v>Yes</v>
      </c>
      <c r="O3517" s="31" t="str">
        <f aca="false">IF(H3517="","Open",IF(H3517&lt;=INDEX(Assumptions!$C$15:$C$18,MATCH(E3517,Assumptions!$A$15:$A$18,0)),"Yes","No"))</f>
        <v>No</v>
      </c>
    </row>
    <row r="3518" customFormat="false" ht="15" hidden="false" customHeight="false" outlineLevel="0" collapsed="false">
      <c r="A3518" s="31" t="s">
        <v>3668</v>
      </c>
      <c r="B3518" s="44" t="n">
        <v>46252</v>
      </c>
      <c r="C3518" s="31" t="s">
        <v>57</v>
      </c>
      <c r="D3518" s="31" t="s">
        <v>66</v>
      </c>
      <c r="E3518" s="31" t="s">
        <v>52</v>
      </c>
      <c r="F3518" s="31" t="s">
        <v>121</v>
      </c>
      <c r="G3518" s="31" t="n">
        <v>2</v>
      </c>
      <c r="H3518" s="41" t="n">
        <v>7.9</v>
      </c>
      <c r="I3518" s="31" t="s">
        <v>149</v>
      </c>
      <c r="J3518" s="31"/>
      <c r="K3518" s="31" t="s">
        <v>150</v>
      </c>
      <c r="L3518" s="45" t="n">
        <f aca="false">DATE(YEAR(B3518),MONTH(B3518),1)</f>
        <v>46235</v>
      </c>
      <c r="M3518" s="31" t="n">
        <f aca="false">WEEKDAY(B3518,2)</f>
        <v>2</v>
      </c>
      <c r="N3518" s="31" t="str">
        <f aca="false">IF(G3518&lt;=INDEX(Assumptions!$B$15:$B$18,MATCH(E3518,Assumptions!$A$15:$A$18,0)),"Yes","No")</f>
        <v>Yes</v>
      </c>
      <c r="O3518" s="31" t="str">
        <f aca="false">IF(H3518="","Open",IF(H3518&lt;=INDEX(Assumptions!$C$15:$C$18,MATCH(E3518,Assumptions!$A$15:$A$18,0)),"Yes","No"))</f>
        <v>Yes</v>
      </c>
    </row>
    <row r="3519" customFormat="false" ht="15" hidden="false" customHeight="false" outlineLevel="0" collapsed="false">
      <c r="A3519" s="31" t="s">
        <v>3669</v>
      </c>
      <c r="B3519" s="44" t="n">
        <v>46252</v>
      </c>
      <c r="C3519" s="31" t="s">
        <v>59</v>
      </c>
      <c r="D3519" s="31" t="s">
        <v>67</v>
      </c>
      <c r="E3519" s="31" t="s">
        <v>51</v>
      </c>
      <c r="F3519" s="31" t="s">
        <v>117</v>
      </c>
      <c r="G3519" s="31" t="n">
        <v>25</v>
      </c>
      <c r="H3519" s="41" t="n">
        <v>7.8</v>
      </c>
      <c r="I3519" s="31" t="s">
        <v>149</v>
      </c>
      <c r="J3519" s="31" t="n">
        <v>4</v>
      </c>
      <c r="K3519" s="31" t="s">
        <v>150</v>
      </c>
      <c r="L3519" s="45" t="n">
        <f aca="false">DATE(YEAR(B3519),MONTH(B3519),1)</f>
        <v>46235</v>
      </c>
      <c r="M3519" s="31" t="n">
        <f aca="false">WEEKDAY(B3519,2)</f>
        <v>2</v>
      </c>
      <c r="N3519" s="31" t="str">
        <f aca="false">IF(G3519&lt;=INDEX(Assumptions!$B$15:$B$18,MATCH(E3519,Assumptions!$A$15:$A$18,0)),"Yes","No")</f>
        <v>Yes</v>
      </c>
      <c r="O3519" s="31" t="str">
        <f aca="false">IF(H3519="","Open",IF(H3519&lt;=INDEX(Assumptions!$C$15:$C$18,MATCH(E3519,Assumptions!$A$15:$A$18,0)),"Yes","No"))</f>
        <v>Yes</v>
      </c>
    </row>
    <row r="3520" customFormat="false" ht="15" hidden="false" customHeight="false" outlineLevel="0" collapsed="false">
      <c r="A3520" s="31" t="s">
        <v>3670</v>
      </c>
      <c r="B3520" s="44" t="n">
        <v>46252</v>
      </c>
      <c r="C3520" s="31" t="s">
        <v>57</v>
      </c>
      <c r="D3520" s="31" t="s">
        <v>65</v>
      </c>
      <c r="E3520" s="31" t="s">
        <v>51</v>
      </c>
      <c r="F3520" s="31" t="s">
        <v>124</v>
      </c>
      <c r="G3520" s="31" t="n">
        <v>5</v>
      </c>
      <c r="H3520" s="41" t="n">
        <v>8.3</v>
      </c>
      <c r="I3520" s="31" t="s">
        <v>149</v>
      </c>
      <c r="J3520" s="31"/>
      <c r="K3520" s="31" t="s">
        <v>150</v>
      </c>
      <c r="L3520" s="45" t="n">
        <f aca="false">DATE(YEAR(B3520),MONTH(B3520),1)</f>
        <v>46235</v>
      </c>
      <c r="M3520" s="31" t="n">
        <f aca="false">WEEKDAY(B3520,2)</f>
        <v>2</v>
      </c>
      <c r="N3520" s="31" t="str">
        <f aca="false">IF(G3520&lt;=INDEX(Assumptions!$B$15:$B$18,MATCH(E3520,Assumptions!$A$15:$A$18,0)),"Yes","No")</f>
        <v>Yes</v>
      </c>
      <c r="O3520" s="31" t="str">
        <f aca="false">IF(H3520="","Open",IF(H3520&lt;=INDEX(Assumptions!$C$15:$C$18,MATCH(E3520,Assumptions!$A$15:$A$18,0)),"Yes","No"))</f>
        <v>Yes</v>
      </c>
    </row>
    <row r="3521" customFormat="false" ht="15" hidden="false" customHeight="false" outlineLevel="0" collapsed="false">
      <c r="A3521" s="31" t="s">
        <v>3671</v>
      </c>
      <c r="B3521" s="44" t="n">
        <v>46252</v>
      </c>
      <c r="C3521" s="31" t="s">
        <v>60</v>
      </c>
      <c r="D3521" s="31" t="s">
        <v>65</v>
      </c>
      <c r="E3521" s="31" t="s">
        <v>52</v>
      </c>
      <c r="F3521" s="31" t="s">
        <v>126</v>
      </c>
      <c r="G3521" s="31" t="n">
        <v>2</v>
      </c>
      <c r="H3521" s="41" t="n">
        <v>31.8</v>
      </c>
      <c r="I3521" s="31" t="s">
        <v>149</v>
      </c>
      <c r="J3521" s="31"/>
      <c r="K3521" s="31" t="s">
        <v>150</v>
      </c>
      <c r="L3521" s="45" t="n">
        <f aca="false">DATE(YEAR(B3521),MONTH(B3521),1)</f>
        <v>46235</v>
      </c>
      <c r="M3521" s="31" t="n">
        <f aca="false">WEEKDAY(B3521,2)</f>
        <v>2</v>
      </c>
      <c r="N3521" s="31" t="str">
        <f aca="false">IF(G3521&lt;=INDEX(Assumptions!$B$15:$B$18,MATCH(E3521,Assumptions!$A$15:$A$18,0)),"Yes","No")</f>
        <v>Yes</v>
      </c>
      <c r="O3521" s="31" t="str">
        <f aca="false">IF(H3521="","Open",IF(H3521&lt;=INDEX(Assumptions!$C$15:$C$18,MATCH(E3521,Assumptions!$A$15:$A$18,0)),"Yes","No"))</f>
        <v>Yes</v>
      </c>
    </row>
    <row r="3522" customFormat="false" ht="15" hidden="false" customHeight="false" outlineLevel="0" collapsed="false">
      <c r="A3522" s="31" t="s">
        <v>3672</v>
      </c>
      <c r="B3522" s="44" t="n">
        <v>46252</v>
      </c>
      <c r="C3522" s="31" t="s">
        <v>57</v>
      </c>
      <c r="D3522" s="31" t="s">
        <v>67</v>
      </c>
      <c r="E3522" s="31" t="s">
        <v>51</v>
      </c>
      <c r="F3522" s="31" t="s">
        <v>130</v>
      </c>
      <c r="G3522" s="31" t="n">
        <v>2</v>
      </c>
      <c r="H3522" s="41" t="n">
        <v>21.3</v>
      </c>
      <c r="I3522" s="31" t="s">
        <v>149</v>
      </c>
      <c r="J3522" s="31"/>
      <c r="K3522" s="31" t="s">
        <v>150</v>
      </c>
      <c r="L3522" s="45" t="n">
        <f aca="false">DATE(YEAR(B3522),MONTH(B3522),1)</f>
        <v>46235</v>
      </c>
      <c r="M3522" s="31" t="n">
        <f aca="false">WEEKDAY(B3522,2)</f>
        <v>2</v>
      </c>
      <c r="N3522" s="31" t="str">
        <f aca="false">IF(G3522&lt;=INDEX(Assumptions!$B$15:$B$18,MATCH(E3522,Assumptions!$A$15:$A$18,0)),"Yes","No")</f>
        <v>Yes</v>
      </c>
      <c r="O3522" s="31" t="str">
        <f aca="false">IF(H3522="","Open",IF(H3522&lt;=INDEX(Assumptions!$C$15:$C$18,MATCH(E3522,Assumptions!$A$15:$A$18,0)),"Yes","No"))</f>
        <v>Yes</v>
      </c>
    </row>
    <row r="3523" customFormat="false" ht="15" hidden="false" customHeight="false" outlineLevel="0" collapsed="false">
      <c r="A3523" s="31" t="s">
        <v>3673</v>
      </c>
      <c r="B3523" s="44" t="n">
        <v>46252</v>
      </c>
      <c r="C3523" s="31" t="s">
        <v>58</v>
      </c>
      <c r="D3523" s="31" t="s">
        <v>68</v>
      </c>
      <c r="E3523" s="31" t="s">
        <v>52</v>
      </c>
      <c r="F3523" s="31" t="s">
        <v>119</v>
      </c>
      <c r="G3523" s="31" t="n">
        <v>15</v>
      </c>
      <c r="H3523" s="41" t="n">
        <v>2.1</v>
      </c>
      <c r="I3523" s="31" t="s">
        <v>149</v>
      </c>
      <c r="J3523" s="31" t="n">
        <v>4</v>
      </c>
      <c r="K3523" s="31" t="s">
        <v>150</v>
      </c>
      <c r="L3523" s="45" t="n">
        <f aca="false">DATE(YEAR(B3523),MONTH(B3523),1)</f>
        <v>46235</v>
      </c>
      <c r="M3523" s="31" t="n">
        <f aca="false">WEEKDAY(B3523,2)</f>
        <v>2</v>
      </c>
      <c r="N3523" s="31" t="str">
        <f aca="false">IF(G3523&lt;=INDEX(Assumptions!$B$15:$B$18,MATCH(E3523,Assumptions!$A$15:$A$18,0)),"Yes","No")</f>
        <v>Yes</v>
      </c>
      <c r="O3523" s="31" t="str">
        <f aca="false">IF(H3523="","Open",IF(H3523&lt;=INDEX(Assumptions!$C$15:$C$18,MATCH(E3523,Assumptions!$A$15:$A$18,0)),"Yes","No"))</f>
        <v>Yes</v>
      </c>
    </row>
    <row r="3524" customFormat="false" ht="15" hidden="false" customHeight="false" outlineLevel="0" collapsed="false">
      <c r="A3524" s="31" t="s">
        <v>3674</v>
      </c>
      <c r="B3524" s="44" t="n">
        <v>46252</v>
      </c>
      <c r="C3524" s="31" t="s">
        <v>59</v>
      </c>
      <c r="D3524" s="31" t="s">
        <v>65</v>
      </c>
      <c r="E3524" s="31" t="s">
        <v>51</v>
      </c>
      <c r="F3524" s="31" t="s">
        <v>137</v>
      </c>
      <c r="G3524" s="31" t="n">
        <v>229</v>
      </c>
      <c r="H3524" s="41"/>
      <c r="I3524" s="31" t="s">
        <v>158</v>
      </c>
      <c r="J3524" s="31"/>
      <c r="K3524" s="31" t="s">
        <v>150</v>
      </c>
      <c r="L3524" s="45" t="n">
        <f aca="false">DATE(YEAR(B3524),MONTH(B3524),1)</f>
        <v>46235</v>
      </c>
      <c r="M3524" s="31" t="n">
        <f aca="false">WEEKDAY(B3524,2)</f>
        <v>2</v>
      </c>
      <c r="N3524" s="31" t="str">
        <f aca="false">IF(G3524&lt;=INDEX(Assumptions!$B$15:$B$18,MATCH(E3524,Assumptions!$A$15:$A$18,0)),"Yes","No")</f>
        <v>No</v>
      </c>
      <c r="O3524" s="31" t="str">
        <f aca="false">IF(H3524="","Open",IF(H3524&lt;=INDEX(Assumptions!$C$15:$C$18,MATCH(E3524,Assumptions!$A$15:$A$18,0)),"Yes","No"))</f>
        <v>Open</v>
      </c>
    </row>
    <row r="3525" customFormat="false" ht="15" hidden="false" customHeight="false" outlineLevel="0" collapsed="false">
      <c r="A3525" s="31" t="s">
        <v>3675</v>
      </c>
      <c r="B3525" s="44" t="n">
        <v>46252</v>
      </c>
      <c r="C3525" s="31" t="s">
        <v>57</v>
      </c>
      <c r="D3525" s="31" t="s">
        <v>65</v>
      </c>
      <c r="E3525" s="31" t="s">
        <v>50</v>
      </c>
      <c r="F3525" s="31" t="s">
        <v>123</v>
      </c>
      <c r="G3525" s="31" t="n">
        <v>8</v>
      </c>
      <c r="H3525" s="41" t="n">
        <v>6.7</v>
      </c>
      <c r="I3525" s="31" t="s">
        <v>149</v>
      </c>
      <c r="J3525" s="31" t="n">
        <v>4</v>
      </c>
      <c r="K3525" s="31" t="s">
        <v>150</v>
      </c>
      <c r="L3525" s="45" t="n">
        <f aca="false">DATE(YEAR(B3525),MONTH(B3525),1)</f>
        <v>46235</v>
      </c>
      <c r="M3525" s="31" t="n">
        <f aca="false">WEEKDAY(B3525,2)</f>
        <v>2</v>
      </c>
      <c r="N3525" s="31" t="str">
        <f aca="false">IF(G3525&lt;=INDEX(Assumptions!$B$15:$B$18,MATCH(E3525,Assumptions!$A$15:$A$18,0)),"Yes","No")</f>
        <v>Yes</v>
      </c>
      <c r="O3525" s="31" t="str">
        <f aca="false">IF(H3525="","Open",IF(H3525&lt;=INDEX(Assumptions!$C$15:$C$18,MATCH(E3525,Assumptions!$A$15:$A$18,0)),"Yes","No"))</f>
        <v>Yes</v>
      </c>
    </row>
    <row r="3526" customFormat="false" ht="15" hidden="false" customHeight="false" outlineLevel="0" collapsed="false">
      <c r="A3526" s="31" t="s">
        <v>3676</v>
      </c>
      <c r="B3526" s="44" t="n">
        <v>46252</v>
      </c>
      <c r="C3526" s="31" t="s">
        <v>58</v>
      </c>
      <c r="D3526" s="31" t="s">
        <v>67</v>
      </c>
      <c r="E3526" s="31" t="s">
        <v>51</v>
      </c>
      <c r="F3526" s="31" t="s">
        <v>123</v>
      </c>
      <c r="G3526" s="31" t="n">
        <v>15</v>
      </c>
      <c r="H3526" s="41" t="n">
        <v>15.7</v>
      </c>
      <c r="I3526" s="31" t="s">
        <v>149</v>
      </c>
      <c r="J3526" s="31" t="n">
        <v>5</v>
      </c>
      <c r="K3526" s="31" t="s">
        <v>150</v>
      </c>
      <c r="L3526" s="45" t="n">
        <f aca="false">DATE(YEAR(B3526),MONTH(B3526),1)</f>
        <v>46235</v>
      </c>
      <c r="M3526" s="31" t="n">
        <f aca="false">WEEKDAY(B3526,2)</f>
        <v>2</v>
      </c>
      <c r="N3526" s="31" t="str">
        <f aca="false">IF(G3526&lt;=INDEX(Assumptions!$B$15:$B$18,MATCH(E3526,Assumptions!$A$15:$A$18,0)),"Yes","No")</f>
        <v>Yes</v>
      </c>
      <c r="O3526" s="31" t="str">
        <f aca="false">IF(H3526="","Open",IF(H3526&lt;=INDEX(Assumptions!$C$15:$C$18,MATCH(E3526,Assumptions!$A$15:$A$18,0)),"Yes","No"))</f>
        <v>Yes</v>
      </c>
    </row>
    <row r="3527" customFormat="false" ht="15" hidden="false" customHeight="false" outlineLevel="0" collapsed="false">
      <c r="A3527" s="31" t="s">
        <v>3677</v>
      </c>
      <c r="B3527" s="44" t="n">
        <v>46252</v>
      </c>
      <c r="C3527" s="31" t="s">
        <v>57</v>
      </c>
      <c r="D3527" s="31" t="s">
        <v>65</v>
      </c>
      <c r="E3527" s="31" t="s">
        <v>50</v>
      </c>
      <c r="F3527" s="31" t="s">
        <v>134</v>
      </c>
      <c r="G3527" s="31" t="n">
        <v>7</v>
      </c>
      <c r="H3527" s="41" t="n">
        <v>6.7</v>
      </c>
      <c r="I3527" s="31" t="s">
        <v>149</v>
      </c>
      <c r="J3527" s="31"/>
      <c r="K3527" s="31" t="s">
        <v>150</v>
      </c>
      <c r="L3527" s="45" t="n">
        <f aca="false">DATE(YEAR(B3527),MONTH(B3527),1)</f>
        <v>46235</v>
      </c>
      <c r="M3527" s="31" t="n">
        <f aca="false">WEEKDAY(B3527,2)</f>
        <v>2</v>
      </c>
      <c r="N3527" s="31" t="str">
        <f aca="false">IF(G3527&lt;=INDEX(Assumptions!$B$15:$B$18,MATCH(E3527,Assumptions!$A$15:$A$18,0)),"Yes","No")</f>
        <v>Yes</v>
      </c>
      <c r="O3527" s="31" t="str">
        <f aca="false">IF(H3527="","Open",IF(H3527&lt;=INDEX(Assumptions!$C$15:$C$18,MATCH(E3527,Assumptions!$A$15:$A$18,0)),"Yes","No"))</f>
        <v>Yes</v>
      </c>
    </row>
    <row r="3528" customFormat="false" ht="15" hidden="false" customHeight="false" outlineLevel="0" collapsed="false">
      <c r="A3528" s="31" t="s">
        <v>3678</v>
      </c>
      <c r="B3528" s="44" t="n">
        <v>46252</v>
      </c>
      <c r="C3528" s="31" t="s">
        <v>60</v>
      </c>
      <c r="D3528" s="31" t="s">
        <v>69</v>
      </c>
      <c r="E3528" s="31" t="s">
        <v>51</v>
      </c>
      <c r="F3528" s="31" t="s">
        <v>131</v>
      </c>
      <c r="G3528" s="31" t="n">
        <v>2</v>
      </c>
      <c r="H3528" s="41" t="n">
        <v>10.5</v>
      </c>
      <c r="I3528" s="31" t="s">
        <v>149</v>
      </c>
      <c r="J3528" s="31" t="n">
        <v>5</v>
      </c>
      <c r="K3528" s="31" t="s">
        <v>150</v>
      </c>
      <c r="L3528" s="45" t="n">
        <f aca="false">DATE(YEAR(B3528),MONTH(B3528),1)</f>
        <v>46235</v>
      </c>
      <c r="M3528" s="31" t="n">
        <f aca="false">WEEKDAY(B3528,2)</f>
        <v>2</v>
      </c>
      <c r="N3528" s="31" t="str">
        <f aca="false">IF(G3528&lt;=INDEX(Assumptions!$B$15:$B$18,MATCH(E3528,Assumptions!$A$15:$A$18,0)),"Yes","No")</f>
        <v>Yes</v>
      </c>
      <c r="O3528" s="31" t="str">
        <f aca="false">IF(H3528="","Open",IF(H3528&lt;=INDEX(Assumptions!$C$15:$C$18,MATCH(E3528,Assumptions!$A$15:$A$18,0)),"Yes","No"))</f>
        <v>Yes</v>
      </c>
    </row>
    <row r="3529" customFormat="false" ht="15" hidden="false" customHeight="false" outlineLevel="0" collapsed="false">
      <c r="A3529" s="31" t="s">
        <v>3679</v>
      </c>
      <c r="B3529" s="44" t="n">
        <v>46252</v>
      </c>
      <c r="C3529" s="31" t="s">
        <v>58</v>
      </c>
      <c r="D3529" s="31" t="s">
        <v>67</v>
      </c>
      <c r="E3529" s="31" t="s">
        <v>49</v>
      </c>
      <c r="F3529" s="31" t="s">
        <v>131</v>
      </c>
      <c r="G3529" s="31" t="n">
        <v>1</v>
      </c>
      <c r="H3529" s="41" t="n">
        <v>4</v>
      </c>
      <c r="I3529" s="31" t="s">
        <v>149</v>
      </c>
      <c r="J3529" s="31"/>
      <c r="K3529" s="31" t="s">
        <v>150</v>
      </c>
      <c r="L3529" s="45" t="n">
        <f aca="false">DATE(YEAR(B3529),MONTH(B3529),1)</f>
        <v>46235</v>
      </c>
      <c r="M3529" s="31" t="n">
        <f aca="false">WEEKDAY(B3529,2)</f>
        <v>2</v>
      </c>
      <c r="N3529" s="31" t="str">
        <f aca="false">IF(G3529&lt;=INDEX(Assumptions!$B$15:$B$18,MATCH(E3529,Assumptions!$A$15:$A$18,0)),"Yes","No")</f>
        <v>Yes</v>
      </c>
      <c r="O3529" s="31" t="str">
        <f aca="false">IF(H3529="","Open",IF(H3529&lt;=INDEX(Assumptions!$C$15:$C$18,MATCH(E3529,Assumptions!$A$15:$A$18,0)),"Yes","No"))</f>
        <v>Yes</v>
      </c>
    </row>
    <row r="3530" customFormat="false" ht="15" hidden="false" customHeight="false" outlineLevel="0" collapsed="false">
      <c r="A3530" s="31" t="s">
        <v>3680</v>
      </c>
      <c r="B3530" s="44" t="n">
        <v>46252</v>
      </c>
      <c r="C3530" s="31" t="s">
        <v>58</v>
      </c>
      <c r="D3530" s="31" t="s">
        <v>65</v>
      </c>
      <c r="E3530" s="31" t="s">
        <v>51</v>
      </c>
      <c r="F3530" s="31" t="s">
        <v>136</v>
      </c>
      <c r="G3530" s="31" t="n">
        <v>11</v>
      </c>
      <c r="H3530" s="41" t="n">
        <v>7.4</v>
      </c>
      <c r="I3530" s="31" t="s">
        <v>149</v>
      </c>
      <c r="J3530" s="31" t="n">
        <v>5</v>
      </c>
      <c r="K3530" s="31" t="s">
        <v>150</v>
      </c>
      <c r="L3530" s="45" t="n">
        <f aca="false">DATE(YEAR(B3530),MONTH(B3530),1)</f>
        <v>46235</v>
      </c>
      <c r="M3530" s="31" t="n">
        <f aca="false">WEEKDAY(B3530,2)</f>
        <v>2</v>
      </c>
      <c r="N3530" s="31" t="str">
        <f aca="false">IF(G3530&lt;=INDEX(Assumptions!$B$15:$B$18,MATCH(E3530,Assumptions!$A$15:$A$18,0)),"Yes","No")</f>
        <v>Yes</v>
      </c>
      <c r="O3530" s="31" t="str">
        <f aca="false">IF(H3530="","Open",IF(H3530&lt;=INDEX(Assumptions!$C$15:$C$18,MATCH(E3530,Assumptions!$A$15:$A$18,0)),"Yes","No"))</f>
        <v>Yes</v>
      </c>
    </row>
    <row r="3531" customFormat="false" ht="15" hidden="false" customHeight="false" outlineLevel="0" collapsed="false">
      <c r="A3531" s="31" t="s">
        <v>3681</v>
      </c>
      <c r="B3531" s="44" t="n">
        <v>46253</v>
      </c>
      <c r="C3531" s="31" t="s">
        <v>60</v>
      </c>
      <c r="D3531" s="31" t="s">
        <v>67</v>
      </c>
      <c r="E3531" s="31" t="s">
        <v>50</v>
      </c>
      <c r="F3531" s="31" t="s">
        <v>126</v>
      </c>
      <c r="G3531" s="31" t="n">
        <v>2</v>
      </c>
      <c r="H3531" s="41" t="n">
        <v>4.5</v>
      </c>
      <c r="I3531" s="31" t="s">
        <v>149</v>
      </c>
      <c r="J3531" s="31"/>
      <c r="K3531" s="31" t="s">
        <v>150</v>
      </c>
      <c r="L3531" s="45" t="n">
        <f aca="false">DATE(YEAR(B3531),MONTH(B3531),1)</f>
        <v>46235</v>
      </c>
      <c r="M3531" s="31" t="n">
        <f aca="false">WEEKDAY(B3531,2)</f>
        <v>3</v>
      </c>
      <c r="N3531" s="31" t="str">
        <f aca="false">IF(G3531&lt;=INDEX(Assumptions!$B$15:$B$18,MATCH(E3531,Assumptions!$A$15:$A$18,0)),"Yes","No")</f>
        <v>Yes</v>
      </c>
      <c r="O3531" s="31" t="str">
        <f aca="false">IF(H3531="","Open",IF(H3531&lt;=INDEX(Assumptions!$C$15:$C$18,MATCH(E3531,Assumptions!$A$15:$A$18,0)),"Yes","No"))</f>
        <v>Yes</v>
      </c>
    </row>
    <row r="3532" customFormat="false" ht="15" hidden="false" customHeight="false" outlineLevel="0" collapsed="false">
      <c r="A3532" s="31" t="s">
        <v>3682</v>
      </c>
      <c r="B3532" s="44" t="n">
        <v>46253</v>
      </c>
      <c r="C3532" s="31" t="s">
        <v>58</v>
      </c>
      <c r="D3532" s="31" t="s">
        <v>66</v>
      </c>
      <c r="E3532" s="31" t="s">
        <v>52</v>
      </c>
      <c r="F3532" s="31" t="s">
        <v>119</v>
      </c>
      <c r="G3532" s="31" t="n">
        <v>9</v>
      </c>
      <c r="H3532" s="41" t="n">
        <v>19.4</v>
      </c>
      <c r="I3532" s="31" t="s">
        <v>149</v>
      </c>
      <c r="J3532" s="31" t="n">
        <v>4</v>
      </c>
      <c r="K3532" s="31" t="s">
        <v>150</v>
      </c>
      <c r="L3532" s="45" t="n">
        <f aca="false">DATE(YEAR(B3532),MONTH(B3532),1)</f>
        <v>46235</v>
      </c>
      <c r="M3532" s="31" t="n">
        <f aca="false">WEEKDAY(B3532,2)</f>
        <v>3</v>
      </c>
      <c r="N3532" s="31" t="str">
        <f aca="false">IF(G3532&lt;=INDEX(Assumptions!$B$15:$B$18,MATCH(E3532,Assumptions!$A$15:$A$18,0)),"Yes","No")</f>
        <v>Yes</v>
      </c>
      <c r="O3532" s="31" t="str">
        <f aca="false">IF(H3532="","Open",IF(H3532&lt;=INDEX(Assumptions!$C$15:$C$18,MATCH(E3532,Assumptions!$A$15:$A$18,0)),"Yes","No"))</f>
        <v>Yes</v>
      </c>
    </row>
    <row r="3533" customFormat="false" ht="15" hidden="false" customHeight="false" outlineLevel="0" collapsed="false">
      <c r="A3533" s="31" t="s">
        <v>3683</v>
      </c>
      <c r="B3533" s="44" t="n">
        <v>46253</v>
      </c>
      <c r="C3533" s="31" t="s">
        <v>59</v>
      </c>
      <c r="D3533" s="31" t="s">
        <v>66</v>
      </c>
      <c r="E3533" s="31" t="s">
        <v>51</v>
      </c>
      <c r="F3533" s="31" t="s">
        <v>124</v>
      </c>
      <c r="G3533" s="31" t="n">
        <v>44</v>
      </c>
      <c r="H3533" s="41" t="n">
        <v>2</v>
      </c>
      <c r="I3533" s="31" t="s">
        <v>149</v>
      </c>
      <c r="J3533" s="31" t="n">
        <v>4</v>
      </c>
      <c r="K3533" s="31" t="s">
        <v>150</v>
      </c>
      <c r="L3533" s="45" t="n">
        <f aca="false">DATE(YEAR(B3533),MONTH(B3533),1)</f>
        <v>46235</v>
      </c>
      <c r="M3533" s="31" t="n">
        <f aca="false">WEEKDAY(B3533,2)</f>
        <v>3</v>
      </c>
      <c r="N3533" s="31" t="str">
        <f aca="false">IF(G3533&lt;=INDEX(Assumptions!$B$15:$B$18,MATCH(E3533,Assumptions!$A$15:$A$18,0)),"Yes","No")</f>
        <v>Yes</v>
      </c>
      <c r="O3533" s="31" t="str">
        <f aca="false">IF(H3533="","Open",IF(H3533&lt;=INDEX(Assumptions!$C$15:$C$18,MATCH(E3533,Assumptions!$A$15:$A$18,0)),"Yes","No"))</f>
        <v>Yes</v>
      </c>
    </row>
    <row r="3534" customFormat="false" ht="15" hidden="false" customHeight="false" outlineLevel="0" collapsed="false">
      <c r="A3534" s="31" t="s">
        <v>3684</v>
      </c>
      <c r="B3534" s="44" t="n">
        <v>46253</v>
      </c>
      <c r="C3534" s="31" t="s">
        <v>60</v>
      </c>
      <c r="D3534" s="31" t="s">
        <v>69</v>
      </c>
      <c r="E3534" s="31" t="s">
        <v>51</v>
      </c>
      <c r="F3534" s="31" t="s">
        <v>119</v>
      </c>
      <c r="G3534" s="31" t="n">
        <v>1</v>
      </c>
      <c r="H3534" s="41" t="n">
        <v>5.6</v>
      </c>
      <c r="I3534" s="31" t="s">
        <v>149</v>
      </c>
      <c r="J3534" s="31"/>
      <c r="K3534" s="31" t="s">
        <v>150</v>
      </c>
      <c r="L3534" s="45" t="n">
        <f aca="false">DATE(YEAR(B3534),MONTH(B3534),1)</f>
        <v>46235</v>
      </c>
      <c r="M3534" s="31" t="n">
        <f aca="false">WEEKDAY(B3534,2)</f>
        <v>3</v>
      </c>
      <c r="N3534" s="31" t="str">
        <f aca="false">IF(G3534&lt;=INDEX(Assumptions!$B$15:$B$18,MATCH(E3534,Assumptions!$A$15:$A$18,0)),"Yes","No")</f>
        <v>Yes</v>
      </c>
      <c r="O3534" s="31" t="str">
        <f aca="false">IF(H3534="","Open",IF(H3534&lt;=INDEX(Assumptions!$C$15:$C$18,MATCH(E3534,Assumptions!$A$15:$A$18,0)),"Yes","No"))</f>
        <v>Yes</v>
      </c>
    </row>
    <row r="3535" customFormat="false" ht="15" hidden="false" customHeight="false" outlineLevel="0" collapsed="false">
      <c r="A3535" s="31" t="s">
        <v>3685</v>
      </c>
      <c r="B3535" s="44" t="n">
        <v>46253</v>
      </c>
      <c r="C3535" s="31" t="s">
        <v>59</v>
      </c>
      <c r="D3535" s="31" t="s">
        <v>67</v>
      </c>
      <c r="E3535" s="31" t="s">
        <v>51</v>
      </c>
      <c r="F3535" s="31" t="s">
        <v>126</v>
      </c>
      <c r="G3535" s="31" t="n">
        <v>38</v>
      </c>
      <c r="H3535" s="41" t="n">
        <v>11.9</v>
      </c>
      <c r="I3535" s="31" t="s">
        <v>149</v>
      </c>
      <c r="J3535" s="31" t="n">
        <v>5</v>
      </c>
      <c r="K3535" s="31" t="s">
        <v>150</v>
      </c>
      <c r="L3535" s="45" t="n">
        <f aca="false">DATE(YEAR(B3535),MONTH(B3535),1)</f>
        <v>46235</v>
      </c>
      <c r="M3535" s="31" t="n">
        <f aca="false">WEEKDAY(B3535,2)</f>
        <v>3</v>
      </c>
      <c r="N3535" s="31" t="str">
        <f aca="false">IF(G3535&lt;=INDEX(Assumptions!$B$15:$B$18,MATCH(E3535,Assumptions!$A$15:$A$18,0)),"Yes","No")</f>
        <v>Yes</v>
      </c>
      <c r="O3535" s="31" t="str">
        <f aca="false">IF(H3535="","Open",IF(H3535&lt;=INDEX(Assumptions!$C$15:$C$18,MATCH(E3535,Assumptions!$A$15:$A$18,0)),"Yes","No"))</f>
        <v>Yes</v>
      </c>
    </row>
    <row r="3536" customFormat="false" ht="15" hidden="false" customHeight="false" outlineLevel="0" collapsed="false">
      <c r="A3536" s="31" t="s">
        <v>3686</v>
      </c>
      <c r="B3536" s="44" t="n">
        <v>46253</v>
      </c>
      <c r="C3536" s="31" t="s">
        <v>58</v>
      </c>
      <c r="D3536" s="31" t="s">
        <v>65</v>
      </c>
      <c r="E3536" s="31" t="s">
        <v>51</v>
      </c>
      <c r="F3536" s="31" t="s">
        <v>120</v>
      </c>
      <c r="G3536" s="31" t="n">
        <v>14</v>
      </c>
      <c r="H3536" s="41" t="n">
        <v>21.7</v>
      </c>
      <c r="I3536" s="31" t="s">
        <v>149</v>
      </c>
      <c r="J3536" s="31" t="n">
        <v>5</v>
      </c>
      <c r="K3536" s="31" t="s">
        <v>150</v>
      </c>
      <c r="L3536" s="45" t="n">
        <f aca="false">DATE(YEAR(B3536),MONTH(B3536),1)</f>
        <v>46235</v>
      </c>
      <c r="M3536" s="31" t="n">
        <f aca="false">WEEKDAY(B3536,2)</f>
        <v>3</v>
      </c>
      <c r="N3536" s="31" t="str">
        <f aca="false">IF(G3536&lt;=INDEX(Assumptions!$B$15:$B$18,MATCH(E3536,Assumptions!$A$15:$A$18,0)),"Yes","No")</f>
        <v>Yes</v>
      </c>
      <c r="O3536" s="31" t="str">
        <f aca="false">IF(H3536="","Open",IF(H3536&lt;=INDEX(Assumptions!$C$15:$C$18,MATCH(E3536,Assumptions!$A$15:$A$18,0)),"Yes","No"))</f>
        <v>Yes</v>
      </c>
    </row>
    <row r="3537" customFormat="false" ht="15" hidden="false" customHeight="false" outlineLevel="0" collapsed="false">
      <c r="A3537" s="31" t="s">
        <v>3687</v>
      </c>
      <c r="B3537" s="44" t="n">
        <v>46253</v>
      </c>
      <c r="C3537" s="31" t="s">
        <v>59</v>
      </c>
      <c r="D3537" s="31" t="s">
        <v>67</v>
      </c>
      <c r="E3537" s="31" t="s">
        <v>50</v>
      </c>
      <c r="F3537" s="31" t="s">
        <v>136</v>
      </c>
      <c r="G3537" s="31" t="n">
        <v>29</v>
      </c>
      <c r="H3537" s="41" t="n">
        <v>6.6</v>
      </c>
      <c r="I3537" s="31" t="s">
        <v>149</v>
      </c>
      <c r="J3537" s="31"/>
      <c r="K3537" s="31" t="s">
        <v>150</v>
      </c>
      <c r="L3537" s="45" t="n">
        <f aca="false">DATE(YEAR(B3537),MONTH(B3537),1)</f>
        <v>46235</v>
      </c>
      <c r="M3537" s="31" t="n">
        <f aca="false">WEEKDAY(B3537,2)</f>
        <v>3</v>
      </c>
      <c r="N3537" s="31" t="str">
        <f aca="false">IF(G3537&lt;=INDEX(Assumptions!$B$15:$B$18,MATCH(E3537,Assumptions!$A$15:$A$18,0)),"Yes","No")</f>
        <v>Yes</v>
      </c>
      <c r="O3537" s="31" t="str">
        <f aca="false">IF(H3537="","Open",IF(H3537&lt;=INDEX(Assumptions!$C$15:$C$18,MATCH(E3537,Assumptions!$A$15:$A$18,0)),"Yes","No"))</f>
        <v>Yes</v>
      </c>
    </row>
    <row r="3538" customFormat="false" ht="15" hidden="false" customHeight="false" outlineLevel="0" collapsed="false">
      <c r="A3538" s="31" t="s">
        <v>3688</v>
      </c>
      <c r="B3538" s="44" t="n">
        <v>46253</v>
      </c>
      <c r="C3538" s="31" t="s">
        <v>59</v>
      </c>
      <c r="D3538" s="31" t="s">
        <v>65</v>
      </c>
      <c r="E3538" s="31" t="s">
        <v>52</v>
      </c>
      <c r="F3538" s="31" t="s">
        <v>127</v>
      </c>
      <c r="G3538" s="31" t="n">
        <v>167</v>
      </c>
      <c r="H3538" s="41" t="n">
        <v>123.9</v>
      </c>
      <c r="I3538" s="31" t="s">
        <v>64</v>
      </c>
      <c r="J3538" s="31"/>
      <c r="K3538" s="31" t="s">
        <v>150</v>
      </c>
      <c r="L3538" s="45" t="n">
        <f aca="false">DATE(YEAR(B3538),MONTH(B3538),1)</f>
        <v>46235</v>
      </c>
      <c r="M3538" s="31" t="n">
        <f aca="false">WEEKDAY(B3538,2)</f>
        <v>3</v>
      </c>
      <c r="N3538" s="31" t="str">
        <f aca="false">IF(G3538&lt;=INDEX(Assumptions!$B$15:$B$18,MATCH(E3538,Assumptions!$A$15:$A$18,0)),"Yes","No")</f>
        <v>Yes</v>
      </c>
      <c r="O3538" s="31" t="str">
        <f aca="false">IF(H3538="","Open",IF(H3538&lt;=INDEX(Assumptions!$C$15:$C$18,MATCH(E3538,Assumptions!$A$15:$A$18,0)),"Yes","No"))</f>
        <v>No</v>
      </c>
    </row>
    <row r="3539" customFormat="false" ht="15" hidden="false" customHeight="false" outlineLevel="0" collapsed="false">
      <c r="A3539" s="31" t="s">
        <v>3689</v>
      </c>
      <c r="B3539" s="44" t="n">
        <v>46253</v>
      </c>
      <c r="C3539" s="31" t="s">
        <v>60</v>
      </c>
      <c r="D3539" s="31" t="s">
        <v>67</v>
      </c>
      <c r="E3539" s="31" t="s">
        <v>51</v>
      </c>
      <c r="F3539" s="31" t="s">
        <v>137</v>
      </c>
      <c r="G3539" s="31" t="n">
        <v>8</v>
      </c>
      <c r="H3539" s="41" t="n">
        <v>14.4</v>
      </c>
      <c r="I3539" s="31" t="s">
        <v>149</v>
      </c>
      <c r="J3539" s="31" t="n">
        <v>4</v>
      </c>
      <c r="K3539" s="31" t="s">
        <v>150</v>
      </c>
      <c r="L3539" s="45" t="n">
        <f aca="false">DATE(YEAR(B3539),MONTH(B3539),1)</f>
        <v>46235</v>
      </c>
      <c r="M3539" s="31" t="n">
        <f aca="false">WEEKDAY(B3539,2)</f>
        <v>3</v>
      </c>
      <c r="N3539" s="31" t="str">
        <f aca="false">IF(G3539&lt;=INDEX(Assumptions!$B$15:$B$18,MATCH(E3539,Assumptions!$A$15:$A$18,0)),"Yes","No")</f>
        <v>Yes</v>
      </c>
      <c r="O3539" s="31" t="str">
        <f aca="false">IF(H3539="","Open",IF(H3539&lt;=INDEX(Assumptions!$C$15:$C$18,MATCH(E3539,Assumptions!$A$15:$A$18,0)),"Yes","No"))</f>
        <v>Yes</v>
      </c>
    </row>
    <row r="3540" customFormat="false" ht="15" hidden="false" customHeight="false" outlineLevel="0" collapsed="false">
      <c r="A3540" s="31" t="s">
        <v>3690</v>
      </c>
      <c r="B3540" s="44" t="n">
        <v>46253</v>
      </c>
      <c r="C3540" s="31" t="s">
        <v>57</v>
      </c>
      <c r="D3540" s="31" t="s">
        <v>66</v>
      </c>
      <c r="E3540" s="31" t="s">
        <v>49</v>
      </c>
      <c r="F3540" s="31" t="s">
        <v>124</v>
      </c>
      <c r="G3540" s="31" t="n">
        <v>1</v>
      </c>
      <c r="H3540" s="41" t="n">
        <v>2.1</v>
      </c>
      <c r="I3540" s="31" t="s">
        <v>149</v>
      </c>
      <c r="J3540" s="31"/>
      <c r="K3540" s="31" t="s">
        <v>150</v>
      </c>
      <c r="L3540" s="45" t="n">
        <f aca="false">DATE(YEAR(B3540),MONTH(B3540),1)</f>
        <v>46235</v>
      </c>
      <c r="M3540" s="31" t="n">
        <f aca="false">WEEKDAY(B3540,2)</f>
        <v>3</v>
      </c>
      <c r="N3540" s="31" t="str">
        <f aca="false">IF(G3540&lt;=INDEX(Assumptions!$B$15:$B$18,MATCH(E3540,Assumptions!$A$15:$A$18,0)),"Yes","No")</f>
        <v>Yes</v>
      </c>
      <c r="O3540" s="31" t="str">
        <f aca="false">IF(H3540="","Open",IF(H3540&lt;=INDEX(Assumptions!$C$15:$C$18,MATCH(E3540,Assumptions!$A$15:$A$18,0)),"Yes","No"))</f>
        <v>Yes</v>
      </c>
    </row>
    <row r="3541" customFormat="false" ht="15" hidden="false" customHeight="false" outlineLevel="0" collapsed="false">
      <c r="A3541" s="31" t="s">
        <v>3691</v>
      </c>
      <c r="B3541" s="44" t="n">
        <v>46253</v>
      </c>
      <c r="C3541" s="31" t="s">
        <v>57</v>
      </c>
      <c r="D3541" s="31" t="s">
        <v>67</v>
      </c>
      <c r="E3541" s="31" t="s">
        <v>51</v>
      </c>
      <c r="F3541" s="31" t="s">
        <v>124</v>
      </c>
      <c r="G3541" s="31" t="n">
        <v>2</v>
      </c>
      <c r="H3541" s="41" t="n">
        <v>9.9</v>
      </c>
      <c r="I3541" s="31" t="s">
        <v>149</v>
      </c>
      <c r="J3541" s="31" t="n">
        <v>5</v>
      </c>
      <c r="K3541" s="31" t="s">
        <v>150</v>
      </c>
      <c r="L3541" s="45" t="n">
        <f aca="false">DATE(YEAR(B3541),MONTH(B3541),1)</f>
        <v>46235</v>
      </c>
      <c r="M3541" s="31" t="n">
        <f aca="false">WEEKDAY(B3541,2)</f>
        <v>3</v>
      </c>
      <c r="N3541" s="31" t="str">
        <f aca="false">IF(G3541&lt;=INDEX(Assumptions!$B$15:$B$18,MATCH(E3541,Assumptions!$A$15:$A$18,0)),"Yes","No")</f>
        <v>Yes</v>
      </c>
      <c r="O3541" s="31" t="str">
        <f aca="false">IF(H3541="","Open",IF(H3541&lt;=INDEX(Assumptions!$C$15:$C$18,MATCH(E3541,Assumptions!$A$15:$A$18,0)),"Yes","No"))</f>
        <v>Yes</v>
      </c>
    </row>
    <row r="3542" customFormat="false" ht="15" hidden="false" customHeight="false" outlineLevel="0" collapsed="false">
      <c r="A3542" s="31" t="s">
        <v>3692</v>
      </c>
      <c r="B3542" s="44" t="n">
        <v>46253</v>
      </c>
      <c r="C3542" s="31" t="s">
        <v>58</v>
      </c>
      <c r="D3542" s="31" t="s">
        <v>65</v>
      </c>
      <c r="E3542" s="31" t="s">
        <v>52</v>
      </c>
      <c r="F3542" s="31" t="s">
        <v>134</v>
      </c>
      <c r="G3542" s="31" t="n">
        <v>31</v>
      </c>
      <c r="H3542" s="41" t="n">
        <v>37.6</v>
      </c>
      <c r="I3542" s="31" t="s">
        <v>149</v>
      </c>
      <c r="J3542" s="31" t="n">
        <v>4</v>
      </c>
      <c r="K3542" s="31" t="s">
        <v>150</v>
      </c>
      <c r="L3542" s="45" t="n">
        <f aca="false">DATE(YEAR(B3542),MONTH(B3542),1)</f>
        <v>46235</v>
      </c>
      <c r="M3542" s="31" t="n">
        <f aca="false">WEEKDAY(B3542,2)</f>
        <v>3</v>
      </c>
      <c r="N3542" s="31" t="str">
        <f aca="false">IF(G3542&lt;=INDEX(Assumptions!$B$15:$B$18,MATCH(E3542,Assumptions!$A$15:$A$18,0)),"Yes","No")</f>
        <v>Yes</v>
      </c>
      <c r="O3542" s="31" t="str">
        <f aca="false">IF(H3542="","Open",IF(H3542&lt;=INDEX(Assumptions!$C$15:$C$18,MATCH(E3542,Assumptions!$A$15:$A$18,0)),"Yes","No"))</f>
        <v>Yes</v>
      </c>
    </row>
    <row r="3543" customFormat="false" ht="15" hidden="false" customHeight="false" outlineLevel="0" collapsed="false">
      <c r="A3543" s="31" t="s">
        <v>3693</v>
      </c>
      <c r="B3543" s="44" t="n">
        <v>46253</v>
      </c>
      <c r="C3543" s="31" t="s">
        <v>60</v>
      </c>
      <c r="D3543" s="31" t="s">
        <v>67</v>
      </c>
      <c r="E3543" s="31" t="s">
        <v>52</v>
      </c>
      <c r="F3543" s="31" t="s">
        <v>131</v>
      </c>
      <c r="G3543" s="31" t="n">
        <v>2</v>
      </c>
      <c r="H3543" s="41" t="n">
        <v>4.8</v>
      </c>
      <c r="I3543" s="31" t="s">
        <v>149</v>
      </c>
      <c r="J3543" s="31" t="n">
        <v>4</v>
      </c>
      <c r="K3543" s="31" t="s">
        <v>150</v>
      </c>
      <c r="L3543" s="45" t="n">
        <f aca="false">DATE(YEAR(B3543),MONTH(B3543),1)</f>
        <v>46235</v>
      </c>
      <c r="M3543" s="31" t="n">
        <f aca="false">WEEKDAY(B3543,2)</f>
        <v>3</v>
      </c>
      <c r="N3543" s="31" t="str">
        <f aca="false">IF(G3543&lt;=INDEX(Assumptions!$B$15:$B$18,MATCH(E3543,Assumptions!$A$15:$A$18,0)),"Yes","No")</f>
        <v>Yes</v>
      </c>
      <c r="O3543" s="31" t="str">
        <f aca="false">IF(H3543="","Open",IF(H3543&lt;=INDEX(Assumptions!$C$15:$C$18,MATCH(E3543,Assumptions!$A$15:$A$18,0)),"Yes","No"))</f>
        <v>Yes</v>
      </c>
    </row>
    <row r="3544" customFormat="false" ht="15" hidden="false" customHeight="false" outlineLevel="0" collapsed="false">
      <c r="A3544" s="31" t="s">
        <v>3694</v>
      </c>
      <c r="B3544" s="44" t="n">
        <v>46253</v>
      </c>
      <c r="C3544" s="31" t="s">
        <v>59</v>
      </c>
      <c r="D3544" s="31" t="s">
        <v>67</v>
      </c>
      <c r="E3544" s="31" t="s">
        <v>52</v>
      </c>
      <c r="F3544" s="31" t="s">
        <v>124</v>
      </c>
      <c r="G3544" s="31" t="n">
        <v>50</v>
      </c>
      <c r="H3544" s="41" t="n">
        <v>12.9</v>
      </c>
      <c r="I3544" s="31" t="s">
        <v>149</v>
      </c>
      <c r="J3544" s="31"/>
      <c r="K3544" s="31" t="s">
        <v>150</v>
      </c>
      <c r="L3544" s="45" t="n">
        <f aca="false">DATE(YEAR(B3544),MONTH(B3544),1)</f>
        <v>46235</v>
      </c>
      <c r="M3544" s="31" t="n">
        <f aca="false">WEEKDAY(B3544,2)</f>
        <v>3</v>
      </c>
      <c r="N3544" s="31" t="str">
        <f aca="false">IF(G3544&lt;=INDEX(Assumptions!$B$15:$B$18,MATCH(E3544,Assumptions!$A$15:$A$18,0)),"Yes","No")</f>
        <v>Yes</v>
      </c>
      <c r="O3544" s="31" t="str">
        <f aca="false">IF(H3544="","Open",IF(H3544&lt;=INDEX(Assumptions!$C$15:$C$18,MATCH(E3544,Assumptions!$A$15:$A$18,0)),"Yes","No"))</f>
        <v>Yes</v>
      </c>
    </row>
    <row r="3545" customFormat="false" ht="15" hidden="false" customHeight="false" outlineLevel="0" collapsed="false">
      <c r="A3545" s="31" t="s">
        <v>3695</v>
      </c>
      <c r="B3545" s="44" t="n">
        <v>46253</v>
      </c>
      <c r="C3545" s="31" t="s">
        <v>59</v>
      </c>
      <c r="D3545" s="31" t="s">
        <v>65</v>
      </c>
      <c r="E3545" s="31" t="s">
        <v>49</v>
      </c>
      <c r="F3545" s="31" t="s">
        <v>131</v>
      </c>
      <c r="G3545" s="31" t="n">
        <v>9</v>
      </c>
      <c r="H3545" s="41" t="n">
        <v>0.9</v>
      </c>
      <c r="I3545" s="31" t="s">
        <v>149</v>
      </c>
      <c r="J3545" s="31"/>
      <c r="K3545" s="31" t="s">
        <v>150</v>
      </c>
      <c r="L3545" s="45" t="n">
        <f aca="false">DATE(YEAR(B3545),MONTH(B3545),1)</f>
        <v>46235</v>
      </c>
      <c r="M3545" s="31" t="n">
        <f aca="false">WEEKDAY(B3545,2)</f>
        <v>3</v>
      </c>
      <c r="N3545" s="31" t="str">
        <f aca="false">IF(G3545&lt;=INDEX(Assumptions!$B$15:$B$18,MATCH(E3545,Assumptions!$A$15:$A$18,0)),"Yes","No")</f>
        <v>Yes</v>
      </c>
      <c r="O3545" s="31" t="str">
        <f aca="false">IF(H3545="","Open",IF(H3545&lt;=INDEX(Assumptions!$C$15:$C$18,MATCH(E3545,Assumptions!$A$15:$A$18,0)),"Yes","No"))</f>
        <v>Yes</v>
      </c>
    </row>
    <row r="3546" customFormat="false" ht="15" hidden="false" customHeight="false" outlineLevel="0" collapsed="false">
      <c r="A3546" s="31" t="s">
        <v>3696</v>
      </c>
      <c r="B3546" s="44" t="n">
        <v>46253</v>
      </c>
      <c r="C3546" s="31" t="s">
        <v>59</v>
      </c>
      <c r="D3546" s="31" t="s">
        <v>66</v>
      </c>
      <c r="E3546" s="31" t="s">
        <v>52</v>
      </c>
      <c r="F3546" s="31" t="s">
        <v>130</v>
      </c>
      <c r="G3546" s="31" t="n">
        <v>140</v>
      </c>
      <c r="H3546" s="41" t="n">
        <v>13.5</v>
      </c>
      <c r="I3546" s="31" t="s">
        <v>64</v>
      </c>
      <c r="J3546" s="31" t="n">
        <v>3</v>
      </c>
      <c r="K3546" s="31" t="s">
        <v>150</v>
      </c>
      <c r="L3546" s="45" t="n">
        <f aca="false">DATE(YEAR(B3546),MONTH(B3546),1)</f>
        <v>46235</v>
      </c>
      <c r="M3546" s="31" t="n">
        <f aca="false">WEEKDAY(B3546,2)</f>
        <v>3</v>
      </c>
      <c r="N3546" s="31" t="str">
        <f aca="false">IF(G3546&lt;=INDEX(Assumptions!$B$15:$B$18,MATCH(E3546,Assumptions!$A$15:$A$18,0)),"Yes","No")</f>
        <v>Yes</v>
      </c>
      <c r="O3546" s="31" t="str">
        <f aca="false">IF(H3546="","Open",IF(H3546&lt;=INDEX(Assumptions!$C$15:$C$18,MATCH(E3546,Assumptions!$A$15:$A$18,0)),"Yes","No"))</f>
        <v>Yes</v>
      </c>
    </row>
    <row r="3547" customFormat="false" ht="15" hidden="false" customHeight="false" outlineLevel="0" collapsed="false">
      <c r="A3547" s="31" t="s">
        <v>3697</v>
      </c>
      <c r="B3547" s="44" t="n">
        <v>46253</v>
      </c>
      <c r="C3547" s="31" t="s">
        <v>57</v>
      </c>
      <c r="D3547" s="31" t="s">
        <v>66</v>
      </c>
      <c r="E3547" s="31" t="s">
        <v>51</v>
      </c>
      <c r="F3547" s="31" t="s">
        <v>117</v>
      </c>
      <c r="G3547" s="31" t="n">
        <v>4</v>
      </c>
      <c r="H3547" s="41" t="n">
        <v>15.3</v>
      </c>
      <c r="I3547" s="31" t="s">
        <v>149</v>
      </c>
      <c r="J3547" s="31" t="n">
        <v>4</v>
      </c>
      <c r="K3547" s="31" t="s">
        <v>150</v>
      </c>
      <c r="L3547" s="45" t="n">
        <f aca="false">DATE(YEAR(B3547),MONTH(B3547),1)</f>
        <v>46235</v>
      </c>
      <c r="M3547" s="31" t="n">
        <f aca="false">WEEKDAY(B3547,2)</f>
        <v>3</v>
      </c>
      <c r="N3547" s="31" t="str">
        <f aca="false">IF(G3547&lt;=INDEX(Assumptions!$B$15:$B$18,MATCH(E3547,Assumptions!$A$15:$A$18,0)),"Yes","No")</f>
        <v>Yes</v>
      </c>
      <c r="O3547" s="31" t="str">
        <f aca="false">IF(H3547="","Open",IF(H3547&lt;=INDEX(Assumptions!$C$15:$C$18,MATCH(E3547,Assumptions!$A$15:$A$18,0)),"Yes","No"))</f>
        <v>Yes</v>
      </c>
    </row>
    <row r="3548" customFormat="false" ht="15" hidden="false" customHeight="false" outlineLevel="0" collapsed="false">
      <c r="A3548" s="31" t="s">
        <v>3698</v>
      </c>
      <c r="B3548" s="44" t="n">
        <v>46253</v>
      </c>
      <c r="C3548" s="31" t="s">
        <v>59</v>
      </c>
      <c r="D3548" s="31" t="s">
        <v>68</v>
      </c>
      <c r="E3548" s="31" t="s">
        <v>51</v>
      </c>
      <c r="F3548" s="31" t="s">
        <v>127</v>
      </c>
      <c r="G3548" s="31" t="n">
        <v>74</v>
      </c>
      <c r="H3548" s="41" t="n">
        <v>4.1</v>
      </c>
      <c r="I3548" s="31" t="s">
        <v>149</v>
      </c>
      <c r="J3548" s="31" t="n">
        <v>4</v>
      </c>
      <c r="K3548" s="31" t="s">
        <v>150</v>
      </c>
      <c r="L3548" s="45" t="n">
        <f aca="false">DATE(YEAR(B3548),MONTH(B3548),1)</f>
        <v>46235</v>
      </c>
      <c r="M3548" s="31" t="n">
        <f aca="false">WEEKDAY(B3548,2)</f>
        <v>3</v>
      </c>
      <c r="N3548" s="31" t="str">
        <f aca="false">IF(G3548&lt;=INDEX(Assumptions!$B$15:$B$18,MATCH(E3548,Assumptions!$A$15:$A$18,0)),"Yes","No")</f>
        <v>No</v>
      </c>
      <c r="O3548" s="31" t="str">
        <f aca="false">IF(H3548="","Open",IF(H3548&lt;=INDEX(Assumptions!$C$15:$C$18,MATCH(E3548,Assumptions!$A$15:$A$18,0)),"Yes","No"))</f>
        <v>Yes</v>
      </c>
    </row>
    <row r="3549" customFormat="false" ht="15" hidden="false" customHeight="false" outlineLevel="0" collapsed="false">
      <c r="A3549" s="31" t="s">
        <v>3699</v>
      </c>
      <c r="B3549" s="44" t="n">
        <v>46253</v>
      </c>
      <c r="C3549" s="31" t="s">
        <v>59</v>
      </c>
      <c r="D3549" s="31" t="s">
        <v>65</v>
      </c>
      <c r="E3549" s="31" t="s">
        <v>51</v>
      </c>
      <c r="F3549" s="31" t="s">
        <v>134</v>
      </c>
      <c r="G3549" s="31" t="n">
        <v>177</v>
      </c>
      <c r="H3549" s="41" t="n">
        <v>14.6</v>
      </c>
      <c r="I3549" s="31" t="s">
        <v>149</v>
      </c>
      <c r="J3549" s="31"/>
      <c r="K3549" s="31" t="s">
        <v>150</v>
      </c>
      <c r="L3549" s="45" t="n">
        <f aca="false">DATE(YEAR(B3549),MONTH(B3549),1)</f>
        <v>46235</v>
      </c>
      <c r="M3549" s="31" t="n">
        <f aca="false">WEEKDAY(B3549,2)</f>
        <v>3</v>
      </c>
      <c r="N3549" s="31" t="str">
        <f aca="false">IF(G3549&lt;=INDEX(Assumptions!$B$15:$B$18,MATCH(E3549,Assumptions!$A$15:$A$18,0)),"Yes","No")</f>
        <v>No</v>
      </c>
      <c r="O3549" s="31" t="str">
        <f aca="false">IF(H3549="","Open",IF(H3549&lt;=INDEX(Assumptions!$C$15:$C$18,MATCH(E3549,Assumptions!$A$15:$A$18,0)),"Yes","No"))</f>
        <v>Yes</v>
      </c>
    </row>
    <row r="3550" customFormat="false" ht="15" hidden="false" customHeight="false" outlineLevel="0" collapsed="false">
      <c r="A3550" s="31" t="s">
        <v>3700</v>
      </c>
      <c r="B3550" s="44" t="n">
        <v>46253</v>
      </c>
      <c r="C3550" s="31" t="s">
        <v>57</v>
      </c>
      <c r="D3550" s="31" t="s">
        <v>67</v>
      </c>
      <c r="E3550" s="31" t="s">
        <v>51</v>
      </c>
      <c r="F3550" s="31" t="s">
        <v>117</v>
      </c>
      <c r="G3550" s="31" t="n">
        <v>2</v>
      </c>
      <c r="H3550" s="41" t="n">
        <v>12.3</v>
      </c>
      <c r="I3550" s="31" t="s">
        <v>149</v>
      </c>
      <c r="J3550" s="31" t="n">
        <v>5</v>
      </c>
      <c r="K3550" s="31" t="s">
        <v>150</v>
      </c>
      <c r="L3550" s="45" t="n">
        <f aca="false">DATE(YEAR(B3550),MONTH(B3550),1)</f>
        <v>46235</v>
      </c>
      <c r="M3550" s="31" t="n">
        <f aca="false">WEEKDAY(B3550,2)</f>
        <v>3</v>
      </c>
      <c r="N3550" s="31" t="str">
        <f aca="false">IF(G3550&lt;=INDEX(Assumptions!$B$15:$B$18,MATCH(E3550,Assumptions!$A$15:$A$18,0)),"Yes","No")</f>
        <v>Yes</v>
      </c>
      <c r="O3550" s="31" t="str">
        <f aca="false">IF(H3550="","Open",IF(H3550&lt;=INDEX(Assumptions!$C$15:$C$18,MATCH(E3550,Assumptions!$A$15:$A$18,0)),"Yes","No"))</f>
        <v>Yes</v>
      </c>
    </row>
    <row r="3551" customFormat="false" ht="15" hidden="false" customHeight="false" outlineLevel="0" collapsed="false">
      <c r="A3551" s="31" t="s">
        <v>3701</v>
      </c>
      <c r="B3551" s="44" t="n">
        <v>46253</v>
      </c>
      <c r="C3551" s="31" t="s">
        <v>59</v>
      </c>
      <c r="D3551" s="31" t="s">
        <v>65</v>
      </c>
      <c r="E3551" s="31" t="s">
        <v>51</v>
      </c>
      <c r="F3551" s="31" t="s">
        <v>134</v>
      </c>
      <c r="G3551" s="31" t="n">
        <v>197</v>
      </c>
      <c r="H3551" s="41" t="n">
        <v>25.4</v>
      </c>
      <c r="I3551" s="31" t="s">
        <v>149</v>
      </c>
      <c r="J3551" s="31" t="n">
        <v>1</v>
      </c>
      <c r="K3551" s="31" t="s">
        <v>150</v>
      </c>
      <c r="L3551" s="45" t="n">
        <f aca="false">DATE(YEAR(B3551),MONTH(B3551),1)</f>
        <v>46235</v>
      </c>
      <c r="M3551" s="31" t="n">
        <f aca="false">WEEKDAY(B3551,2)</f>
        <v>3</v>
      </c>
      <c r="N3551" s="31" t="str">
        <f aca="false">IF(G3551&lt;=INDEX(Assumptions!$B$15:$B$18,MATCH(E3551,Assumptions!$A$15:$A$18,0)),"Yes","No")</f>
        <v>No</v>
      </c>
      <c r="O3551" s="31" t="str">
        <f aca="false">IF(H3551="","Open",IF(H3551&lt;=INDEX(Assumptions!$C$15:$C$18,MATCH(E3551,Assumptions!$A$15:$A$18,0)),"Yes","No"))</f>
        <v>No</v>
      </c>
    </row>
    <row r="3552" customFormat="false" ht="15" hidden="false" customHeight="false" outlineLevel="0" collapsed="false">
      <c r="A3552" s="31" t="s">
        <v>3702</v>
      </c>
      <c r="B3552" s="44" t="n">
        <v>46253</v>
      </c>
      <c r="C3552" s="31" t="s">
        <v>59</v>
      </c>
      <c r="D3552" s="31" t="s">
        <v>65</v>
      </c>
      <c r="E3552" s="31" t="s">
        <v>52</v>
      </c>
      <c r="F3552" s="31" t="s">
        <v>121</v>
      </c>
      <c r="G3552" s="31" t="n">
        <v>246</v>
      </c>
      <c r="H3552" s="41" t="n">
        <v>17.2</v>
      </c>
      <c r="I3552" s="31" t="s">
        <v>149</v>
      </c>
      <c r="J3552" s="31" t="n">
        <v>3</v>
      </c>
      <c r="K3552" s="31" t="s">
        <v>150</v>
      </c>
      <c r="L3552" s="45" t="n">
        <f aca="false">DATE(YEAR(B3552),MONTH(B3552),1)</f>
        <v>46235</v>
      </c>
      <c r="M3552" s="31" t="n">
        <f aca="false">WEEKDAY(B3552,2)</f>
        <v>3</v>
      </c>
      <c r="N3552" s="31" t="str">
        <f aca="false">IF(G3552&lt;=INDEX(Assumptions!$B$15:$B$18,MATCH(E3552,Assumptions!$A$15:$A$18,0)),"Yes","No")</f>
        <v>No</v>
      </c>
      <c r="O3552" s="31" t="str">
        <f aca="false">IF(H3552="","Open",IF(H3552&lt;=INDEX(Assumptions!$C$15:$C$18,MATCH(E3552,Assumptions!$A$15:$A$18,0)),"Yes","No"))</f>
        <v>Yes</v>
      </c>
    </row>
    <row r="3553" customFormat="false" ht="15" hidden="false" customHeight="false" outlineLevel="0" collapsed="false">
      <c r="A3553" s="31" t="s">
        <v>3703</v>
      </c>
      <c r="B3553" s="44" t="n">
        <v>46253</v>
      </c>
      <c r="C3553" s="31" t="s">
        <v>58</v>
      </c>
      <c r="D3553" s="31" t="s">
        <v>68</v>
      </c>
      <c r="E3553" s="31" t="s">
        <v>50</v>
      </c>
      <c r="F3553" s="31" t="s">
        <v>129</v>
      </c>
      <c r="G3553" s="31" t="n">
        <v>6</v>
      </c>
      <c r="H3553" s="41" t="n">
        <v>4.5</v>
      </c>
      <c r="I3553" s="31" t="s">
        <v>149</v>
      </c>
      <c r="J3553" s="31"/>
      <c r="K3553" s="31" t="s">
        <v>150</v>
      </c>
      <c r="L3553" s="45" t="n">
        <f aca="false">DATE(YEAR(B3553),MONTH(B3553),1)</f>
        <v>46235</v>
      </c>
      <c r="M3553" s="31" t="n">
        <f aca="false">WEEKDAY(B3553,2)</f>
        <v>3</v>
      </c>
      <c r="N3553" s="31" t="str">
        <f aca="false">IF(G3553&lt;=INDEX(Assumptions!$B$15:$B$18,MATCH(E3553,Assumptions!$A$15:$A$18,0)),"Yes","No")</f>
        <v>Yes</v>
      </c>
      <c r="O3553" s="31" t="str">
        <f aca="false">IF(H3553="","Open",IF(H3553&lt;=INDEX(Assumptions!$C$15:$C$18,MATCH(E3553,Assumptions!$A$15:$A$18,0)),"Yes","No"))</f>
        <v>Yes</v>
      </c>
    </row>
    <row r="3554" customFormat="false" ht="15" hidden="false" customHeight="false" outlineLevel="0" collapsed="false">
      <c r="A3554" s="31" t="s">
        <v>3704</v>
      </c>
      <c r="B3554" s="44" t="n">
        <v>46253</v>
      </c>
      <c r="C3554" s="31" t="s">
        <v>60</v>
      </c>
      <c r="D3554" s="31" t="s">
        <v>66</v>
      </c>
      <c r="E3554" s="31" t="s">
        <v>51</v>
      </c>
      <c r="F3554" s="31" t="s">
        <v>137</v>
      </c>
      <c r="G3554" s="31" t="n">
        <v>2</v>
      </c>
      <c r="H3554" s="41" t="n">
        <v>21</v>
      </c>
      <c r="I3554" s="31" t="s">
        <v>149</v>
      </c>
      <c r="J3554" s="31" t="n">
        <v>5</v>
      </c>
      <c r="K3554" s="31" t="s">
        <v>153</v>
      </c>
      <c r="L3554" s="45" t="n">
        <f aca="false">DATE(YEAR(B3554),MONTH(B3554),1)</f>
        <v>46235</v>
      </c>
      <c r="M3554" s="31" t="n">
        <f aca="false">WEEKDAY(B3554,2)</f>
        <v>3</v>
      </c>
      <c r="N3554" s="31" t="str">
        <f aca="false">IF(G3554&lt;=INDEX(Assumptions!$B$15:$B$18,MATCH(E3554,Assumptions!$A$15:$A$18,0)),"Yes","No")</f>
        <v>Yes</v>
      </c>
      <c r="O3554" s="31" t="str">
        <f aca="false">IF(H3554="","Open",IF(H3554&lt;=INDEX(Assumptions!$C$15:$C$18,MATCH(E3554,Assumptions!$A$15:$A$18,0)),"Yes","No"))</f>
        <v>Yes</v>
      </c>
    </row>
    <row r="3555" customFormat="false" ht="15" hidden="false" customHeight="false" outlineLevel="0" collapsed="false">
      <c r="A3555" s="31" t="s">
        <v>3705</v>
      </c>
      <c r="B3555" s="44" t="n">
        <v>46253</v>
      </c>
      <c r="C3555" s="31" t="s">
        <v>58</v>
      </c>
      <c r="D3555" s="31" t="s">
        <v>68</v>
      </c>
      <c r="E3555" s="31" t="s">
        <v>51</v>
      </c>
      <c r="F3555" s="31" t="s">
        <v>117</v>
      </c>
      <c r="G3555" s="31" t="n">
        <v>3</v>
      </c>
      <c r="H3555" s="41" t="n">
        <v>3.2</v>
      </c>
      <c r="I3555" s="31" t="s">
        <v>149</v>
      </c>
      <c r="J3555" s="31" t="n">
        <v>5</v>
      </c>
      <c r="K3555" s="31" t="s">
        <v>150</v>
      </c>
      <c r="L3555" s="45" t="n">
        <f aca="false">DATE(YEAR(B3555),MONTH(B3555),1)</f>
        <v>46235</v>
      </c>
      <c r="M3555" s="31" t="n">
        <f aca="false">WEEKDAY(B3555,2)</f>
        <v>3</v>
      </c>
      <c r="N3555" s="31" t="str">
        <f aca="false">IF(G3555&lt;=INDEX(Assumptions!$B$15:$B$18,MATCH(E3555,Assumptions!$A$15:$A$18,0)),"Yes","No")</f>
        <v>Yes</v>
      </c>
      <c r="O3555" s="31" t="str">
        <f aca="false">IF(H3555="","Open",IF(H3555&lt;=INDEX(Assumptions!$C$15:$C$18,MATCH(E3555,Assumptions!$A$15:$A$18,0)),"Yes","No"))</f>
        <v>Yes</v>
      </c>
    </row>
    <row r="3556" customFormat="false" ht="15" hidden="false" customHeight="false" outlineLevel="0" collapsed="false">
      <c r="A3556" s="31" t="s">
        <v>3706</v>
      </c>
      <c r="B3556" s="44" t="n">
        <v>46253</v>
      </c>
      <c r="C3556" s="31" t="s">
        <v>60</v>
      </c>
      <c r="D3556" s="31" t="s">
        <v>67</v>
      </c>
      <c r="E3556" s="31" t="s">
        <v>52</v>
      </c>
      <c r="F3556" s="31" t="s">
        <v>128</v>
      </c>
      <c r="G3556" s="31" t="n">
        <v>3</v>
      </c>
      <c r="H3556" s="41" t="n">
        <v>60.6</v>
      </c>
      <c r="I3556" s="31" t="s">
        <v>149</v>
      </c>
      <c r="J3556" s="31"/>
      <c r="K3556" s="31" t="s">
        <v>153</v>
      </c>
      <c r="L3556" s="45" t="n">
        <f aca="false">DATE(YEAR(B3556),MONTH(B3556),1)</f>
        <v>46235</v>
      </c>
      <c r="M3556" s="31" t="n">
        <f aca="false">WEEKDAY(B3556,2)</f>
        <v>3</v>
      </c>
      <c r="N3556" s="31" t="str">
        <f aca="false">IF(G3556&lt;=INDEX(Assumptions!$B$15:$B$18,MATCH(E3556,Assumptions!$A$15:$A$18,0)),"Yes","No")</f>
        <v>Yes</v>
      </c>
      <c r="O3556" s="31" t="str">
        <f aca="false">IF(H3556="","Open",IF(H3556&lt;=INDEX(Assumptions!$C$15:$C$18,MATCH(E3556,Assumptions!$A$15:$A$18,0)),"Yes","No"))</f>
        <v>Yes</v>
      </c>
    </row>
    <row r="3557" customFormat="false" ht="15" hidden="false" customHeight="false" outlineLevel="0" collapsed="false">
      <c r="A3557" s="31" t="s">
        <v>3707</v>
      </c>
      <c r="B3557" s="44" t="n">
        <v>46253</v>
      </c>
      <c r="C3557" s="31" t="s">
        <v>59</v>
      </c>
      <c r="D3557" s="31" t="s">
        <v>67</v>
      </c>
      <c r="E3557" s="31" t="s">
        <v>51</v>
      </c>
      <c r="F3557" s="31" t="s">
        <v>122</v>
      </c>
      <c r="G3557" s="31" t="n">
        <v>108</v>
      </c>
      <c r="H3557" s="41" t="n">
        <v>14.4</v>
      </c>
      <c r="I3557" s="31" t="s">
        <v>149</v>
      </c>
      <c r="J3557" s="31" t="n">
        <v>3</v>
      </c>
      <c r="K3557" s="31" t="s">
        <v>150</v>
      </c>
      <c r="L3557" s="45" t="n">
        <f aca="false">DATE(YEAR(B3557),MONTH(B3557),1)</f>
        <v>46235</v>
      </c>
      <c r="M3557" s="31" t="n">
        <f aca="false">WEEKDAY(B3557,2)</f>
        <v>3</v>
      </c>
      <c r="N3557" s="31" t="str">
        <f aca="false">IF(G3557&lt;=INDEX(Assumptions!$B$15:$B$18,MATCH(E3557,Assumptions!$A$15:$A$18,0)),"Yes","No")</f>
        <v>No</v>
      </c>
      <c r="O3557" s="31" t="str">
        <f aca="false">IF(H3557="","Open",IF(H3557&lt;=INDEX(Assumptions!$C$15:$C$18,MATCH(E3557,Assumptions!$A$15:$A$18,0)),"Yes","No"))</f>
        <v>Yes</v>
      </c>
    </row>
    <row r="3558" customFormat="false" ht="15" hidden="false" customHeight="false" outlineLevel="0" collapsed="false">
      <c r="A3558" s="31" t="s">
        <v>3708</v>
      </c>
      <c r="B3558" s="44" t="n">
        <v>46253</v>
      </c>
      <c r="C3558" s="31" t="s">
        <v>59</v>
      </c>
      <c r="D3558" s="31" t="s">
        <v>66</v>
      </c>
      <c r="E3558" s="31" t="s">
        <v>50</v>
      </c>
      <c r="F3558" s="31" t="s">
        <v>121</v>
      </c>
      <c r="G3558" s="31" t="n">
        <v>13</v>
      </c>
      <c r="H3558" s="41" t="n">
        <v>3.4</v>
      </c>
      <c r="I3558" s="31" t="s">
        <v>149</v>
      </c>
      <c r="J3558" s="31"/>
      <c r="K3558" s="31" t="s">
        <v>150</v>
      </c>
      <c r="L3558" s="45" t="n">
        <f aca="false">DATE(YEAR(B3558),MONTH(B3558),1)</f>
        <v>46235</v>
      </c>
      <c r="M3558" s="31" t="n">
        <f aca="false">WEEKDAY(B3558,2)</f>
        <v>3</v>
      </c>
      <c r="N3558" s="31" t="str">
        <f aca="false">IF(G3558&lt;=INDEX(Assumptions!$B$15:$B$18,MATCH(E3558,Assumptions!$A$15:$A$18,0)),"Yes","No")</f>
        <v>Yes</v>
      </c>
      <c r="O3558" s="31" t="str">
        <f aca="false">IF(H3558="","Open",IF(H3558&lt;=INDEX(Assumptions!$C$15:$C$18,MATCH(E3558,Assumptions!$A$15:$A$18,0)),"Yes","No"))</f>
        <v>Yes</v>
      </c>
    </row>
    <row r="3559" customFormat="false" ht="15" hidden="false" customHeight="false" outlineLevel="0" collapsed="false">
      <c r="A3559" s="31" t="s">
        <v>3709</v>
      </c>
      <c r="B3559" s="44" t="n">
        <v>46253</v>
      </c>
      <c r="C3559" s="31" t="s">
        <v>57</v>
      </c>
      <c r="D3559" s="31" t="s">
        <v>69</v>
      </c>
      <c r="E3559" s="31" t="s">
        <v>52</v>
      </c>
      <c r="F3559" s="31" t="s">
        <v>119</v>
      </c>
      <c r="G3559" s="31" t="n">
        <v>7</v>
      </c>
      <c r="H3559" s="41" t="n">
        <v>33.4</v>
      </c>
      <c r="I3559" s="31" t="s">
        <v>149</v>
      </c>
      <c r="J3559" s="31"/>
      <c r="K3559" s="31" t="s">
        <v>150</v>
      </c>
      <c r="L3559" s="45" t="n">
        <f aca="false">DATE(YEAR(B3559),MONTH(B3559),1)</f>
        <v>46235</v>
      </c>
      <c r="M3559" s="31" t="n">
        <f aca="false">WEEKDAY(B3559,2)</f>
        <v>3</v>
      </c>
      <c r="N3559" s="31" t="str">
        <f aca="false">IF(G3559&lt;=INDEX(Assumptions!$B$15:$B$18,MATCH(E3559,Assumptions!$A$15:$A$18,0)),"Yes","No")</f>
        <v>Yes</v>
      </c>
      <c r="O3559" s="31" t="str">
        <f aca="false">IF(H3559="","Open",IF(H3559&lt;=INDEX(Assumptions!$C$15:$C$18,MATCH(E3559,Assumptions!$A$15:$A$18,0)),"Yes","No"))</f>
        <v>Yes</v>
      </c>
    </row>
    <row r="3560" customFormat="false" ht="15" hidden="false" customHeight="false" outlineLevel="0" collapsed="false">
      <c r="A3560" s="31" t="s">
        <v>3710</v>
      </c>
      <c r="B3560" s="44" t="n">
        <v>46253</v>
      </c>
      <c r="C3560" s="31" t="s">
        <v>58</v>
      </c>
      <c r="D3560" s="31" t="s">
        <v>68</v>
      </c>
      <c r="E3560" s="31" t="s">
        <v>50</v>
      </c>
      <c r="F3560" s="31" t="s">
        <v>121</v>
      </c>
      <c r="G3560" s="31" t="n">
        <v>5</v>
      </c>
      <c r="H3560" s="41" t="n">
        <v>0.5</v>
      </c>
      <c r="I3560" s="31" t="s">
        <v>149</v>
      </c>
      <c r="J3560" s="31" t="n">
        <v>5</v>
      </c>
      <c r="K3560" s="31" t="s">
        <v>153</v>
      </c>
      <c r="L3560" s="45" t="n">
        <f aca="false">DATE(YEAR(B3560),MONTH(B3560),1)</f>
        <v>46235</v>
      </c>
      <c r="M3560" s="31" t="n">
        <f aca="false">WEEKDAY(B3560,2)</f>
        <v>3</v>
      </c>
      <c r="N3560" s="31" t="str">
        <f aca="false">IF(G3560&lt;=INDEX(Assumptions!$B$15:$B$18,MATCH(E3560,Assumptions!$A$15:$A$18,0)),"Yes","No")</f>
        <v>Yes</v>
      </c>
      <c r="O3560" s="31" t="str">
        <f aca="false">IF(H3560="","Open",IF(H3560&lt;=INDEX(Assumptions!$C$15:$C$18,MATCH(E3560,Assumptions!$A$15:$A$18,0)),"Yes","No"))</f>
        <v>Yes</v>
      </c>
    </row>
    <row r="3561" customFormat="false" ht="15" hidden="false" customHeight="false" outlineLevel="0" collapsed="false">
      <c r="A3561" s="31" t="s">
        <v>3711</v>
      </c>
      <c r="B3561" s="44" t="n">
        <v>46253</v>
      </c>
      <c r="C3561" s="31" t="s">
        <v>58</v>
      </c>
      <c r="D3561" s="31" t="s">
        <v>68</v>
      </c>
      <c r="E3561" s="31" t="s">
        <v>49</v>
      </c>
      <c r="F3561" s="31" t="s">
        <v>131</v>
      </c>
      <c r="G3561" s="31" t="n">
        <v>6</v>
      </c>
      <c r="H3561" s="41" t="n">
        <v>0.6</v>
      </c>
      <c r="I3561" s="31" t="s">
        <v>149</v>
      </c>
      <c r="J3561" s="31"/>
      <c r="K3561" s="31" t="s">
        <v>153</v>
      </c>
      <c r="L3561" s="45" t="n">
        <f aca="false">DATE(YEAR(B3561),MONTH(B3561),1)</f>
        <v>46235</v>
      </c>
      <c r="M3561" s="31" t="n">
        <f aca="false">WEEKDAY(B3561,2)</f>
        <v>3</v>
      </c>
      <c r="N3561" s="31" t="str">
        <f aca="false">IF(G3561&lt;=INDEX(Assumptions!$B$15:$B$18,MATCH(E3561,Assumptions!$A$15:$A$18,0)),"Yes","No")</f>
        <v>Yes</v>
      </c>
      <c r="O3561" s="31" t="str">
        <f aca="false">IF(H3561="","Open",IF(H3561&lt;=INDEX(Assumptions!$C$15:$C$18,MATCH(E3561,Assumptions!$A$15:$A$18,0)),"Yes","No"))</f>
        <v>Yes</v>
      </c>
    </row>
    <row r="3562" customFormat="false" ht="15" hidden="false" customHeight="false" outlineLevel="0" collapsed="false">
      <c r="A3562" s="31" t="s">
        <v>3712</v>
      </c>
      <c r="B3562" s="44" t="n">
        <v>46253</v>
      </c>
      <c r="C3562" s="31" t="s">
        <v>57</v>
      </c>
      <c r="D3562" s="31" t="s">
        <v>68</v>
      </c>
      <c r="E3562" s="31" t="s">
        <v>52</v>
      </c>
      <c r="F3562" s="31" t="s">
        <v>128</v>
      </c>
      <c r="G3562" s="31" t="n">
        <v>5</v>
      </c>
      <c r="H3562" s="41" t="n">
        <v>21.1</v>
      </c>
      <c r="I3562" s="31" t="s">
        <v>149</v>
      </c>
      <c r="J3562" s="31"/>
      <c r="K3562" s="31" t="s">
        <v>150</v>
      </c>
      <c r="L3562" s="45" t="n">
        <f aca="false">DATE(YEAR(B3562),MONTH(B3562),1)</f>
        <v>46235</v>
      </c>
      <c r="M3562" s="31" t="n">
        <f aca="false">WEEKDAY(B3562,2)</f>
        <v>3</v>
      </c>
      <c r="N3562" s="31" t="str">
        <f aca="false">IF(G3562&lt;=INDEX(Assumptions!$B$15:$B$18,MATCH(E3562,Assumptions!$A$15:$A$18,0)),"Yes","No")</f>
        <v>Yes</v>
      </c>
      <c r="O3562" s="31" t="str">
        <f aca="false">IF(H3562="","Open",IF(H3562&lt;=INDEX(Assumptions!$C$15:$C$18,MATCH(E3562,Assumptions!$A$15:$A$18,0)),"Yes","No"))</f>
        <v>Yes</v>
      </c>
    </row>
    <row r="3563" customFormat="false" ht="15" hidden="false" customHeight="false" outlineLevel="0" collapsed="false">
      <c r="A3563" s="31" t="s">
        <v>3713</v>
      </c>
      <c r="B3563" s="44" t="n">
        <v>46253</v>
      </c>
      <c r="C3563" s="31" t="s">
        <v>57</v>
      </c>
      <c r="D3563" s="31" t="s">
        <v>66</v>
      </c>
      <c r="E3563" s="31" t="s">
        <v>51</v>
      </c>
      <c r="F3563" s="31" t="s">
        <v>120</v>
      </c>
      <c r="G3563" s="31" t="n">
        <v>9</v>
      </c>
      <c r="H3563" s="41"/>
      <c r="I3563" s="31" t="s">
        <v>158</v>
      </c>
      <c r="J3563" s="31"/>
      <c r="K3563" s="31" t="s">
        <v>150</v>
      </c>
      <c r="L3563" s="45" t="n">
        <f aca="false">DATE(YEAR(B3563),MONTH(B3563),1)</f>
        <v>46235</v>
      </c>
      <c r="M3563" s="31" t="n">
        <f aca="false">WEEKDAY(B3563,2)</f>
        <v>3</v>
      </c>
      <c r="N3563" s="31" t="str">
        <f aca="false">IF(G3563&lt;=INDEX(Assumptions!$B$15:$B$18,MATCH(E3563,Assumptions!$A$15:$A$18,0)),"Yes","No")</f>
        <v>Yes</v>
      </c>
      <c r="O3563" s="31" t="str">
        <f aca="false">IF(H3563="","Open",IF(H3563&lt;=INDEX(Assumptions!$C$15:$C$18,MATCH(E3563,Assumptions!$A$15:$A$18,0)),"Yes","No"))</f>
        <v>Open</v>
      </c>
    </row>
    <row r="3564" customFormat="false" ht="15" hidden="false" customHeight="false" outlineLevel="0" collapsed="false">
      <c r="A3564" s="31" t="s">
        <v>3714</v>
      </c>
      <c r="B3564" s="44" t="n">
        <v>46253</v>
      </c>
      <c r="C3564" s="31" t="s">
        <v>58</v>
      </c>
      <c r="D3564" s="31" t="s">
        <v>65</v>
      </c>
      <c r="E3564" s="31" t="s">
        <v>52</v>
      </c>
      <c r="F3564" s="31" t="s">
        <v>121</v>
      </c>
      <c r="G3564" s="31" t="n">
        <v>40</v>
      </c>
      <c r="H3564" s="41" t="n">
        <v>8</v>
      </c>
      <c r="I3564" s="31" t="s">
        <v>149</v>
      </c>
      <c r="J3564" s="31"/>
      <c r="K3564" s="31" t="s">
        <v>150</v>
      </c>
      <c r="L3564" s="45" t="n">
        <f aca="false">DATE(YEAR(B3564),MONTH(B3564),1)</f>
        <v>46235</v>
      </c>
      <c r="M3564" s="31" t="n">
        <f aca="false">WEEKDAY(B3564,2)</f>
        <v>3</v>
      </c>
      <c r="N3564" s="31" t="str">
        <f aca="false">IF(G3564&lt;=INDEX(Assumptions!$B$15:$B$18,MATCH(E3564,Assumptions!$A$15:$A$18,0)),"Yes","No")</f>
        <v>Yes</v>
      </c>
      <c r="O3564" s="31" t="str">
        <f aca="false">IF(H3564="","Open",IF(H3564&lt;=INDEX(Assumptions!$C$15:$C$18,MATCH(E3564,Assumptions!$A$15:$A$18,0)),"Yes","No"))</f>
        <v>Yes</v>
      </c>
    </row>
    <row r="3565" customFormat="false" ht="15" hidden="false" customHeight="false" outlineLevel="0" collapsed="false">
      <c r="A3565" s="31" t="s">
        <v>3715</v>
      </c>
      <c r="B3565" s="44" t="n">
        <v>46253</v>
      </c>
      <c r="C3565" s="31" t="s">
        <v>59</v>
      </c>
      <c r="D3565" s="31" t="s">
        <v>65</v>
      </c>
      <c r="E3565" s="31" t="s">
        <v>51</v>
      </c>
      <c r="F3565" s="31" t="s">
        <v>134</v>
      </c>
      <c r="G3565" s="31" t="n">
        <v>75</v>
      </c>
      <c r="H3565" s="41" t="n">
        <v>19.3</v>
      </c>
      <c r="I3565" s="31" t="s">
        <v>149</v>
      </c>
      <c r="J3565" s="31" t="n">
        <v>4</v>
      </c>
      <c r="K3565" s="31" t="s">
        <v>150</v>
      </c>
      <c r="L3565" s="45" t="n">
        <f aca="false">DATE(YEAR(B3565),MONTH(B3565),1)</f>
        <v>46235</v>
      </c>
      <c r="M3565" s="31" t="n">
        <f aca="false">WEEKDAY(B3565,2)</f>
        <v>3</v>
      </c>
      <c r="N3565" s="31" t="str">
        <f aca="false">IF(G3565&lt;=INDEX(Assumptions!$B$15:$B$18,MATCH(E3565,Assumptions!$A$15:$A$18,0)),"Yes","No")</f>
        <v>No</v>
      </c>
      <c r="O3565" s="31" t="str">
        <f aca="false">IF(H3565="","Open",IF(H3565&lt;=INDEX(Assumptions!$C$15:$C$18,MATCH(E3565,Assumptions!$A$15:$A$18,0)),"Yes","No"))</f>
        <v>Yes</v>
      </c>
    </row>
    <row r="3566" customFormat="false" ht="15" hidden="false" customHeight="false" outlineLevel="0" collapsed="false">
      <c r="A3566" s="31" t="s">
        <v>3716</v>
      </c>
      <c r="B3566" s="44" t="n">
        <v>46253</v>
      </c>
      <c r="C3566" s="31" t="s">
        <v>57</v>
      </c>
      <c r="D3566" s="31" t="s">
        <v>65</v>
      </c>
      <c r="E3566" s="31" t="s">
        <v>51</v>
      </c>
      <c r="F3566" s="31" t="s">
        <v>136</v>
      </c>
      <c r="G3566" s="31" t="n">
        <v>11</v>
      </c>
      <c r="H3566" s="41" t="n">
        <v>1</v>
      </c>
      <c r="I3566" s="31" t="s">
        <v>149</v>
      </c>
      <c r="J3566" s="31"/>
      <c r="K3566" s="31" t="s">
        <v>150</v>
      </c>
      <c r="L3566" s="45" t="n">
        <f aca="false">DATE(YEAR(B3566),MONTH(B3566),1)</f>
        <v>46235</v>
      </c>
      <c r="M3566" s="31" t="n">
        <f aca="false">WEEKDAY(B3566,2)</f>
        <v>3</v>
      </c>
      <c r="N3566" s="31" t="str">
        <f aca="false">IF(G3566&lt;=INDEX(Assumptions!$B$15:$B$18,MATCH(E3566,Assumptions!$A$15:$A$18,0)),"Yes","No")</f>
        <v>Yes</v>
      </c>
      <c r="O3566" s="31" t="str">
        <f aca="false">IF(H3566="","Open",IF(H3566&lt;=INDEX(Assumptions!$C$15:$C$18,MATCH(E3566,Assumptions!$A$15:$A$18,0)),"Yes","No"))</f>
        <v>Yes</v>
      </c>
    </row>
    <row r="3567" customFormat="false" ht="15" hidden="false" customHeight="false" outlineLevel="0" collapsed="false">
      <c r="A3567" s="31" t="s">
        <v>3717</v>
      </c>
      <c r="B3567" s="44" t="n">
        <v>46253</v>
      </c>
      <c r="C3567" s="31" t="s">
        <v>60</v>
      </c>
      <c r="D3567" s="31" t="s">
        <v>65</v>
      </c>
      <c r="E3567" s="31" t="s">
        <v>52</v>
      </c>
      <c r="F3567" s="31" t="s">
        <v>124</v>
      </c>
      <c r="G3567" s="31" t="n">
        <v>2</v>
      </c>
      <c r="H3567" s="41" t="n">
        <v>14.3</v>
      </c>
      <c r="I3567" s="31" t="s">
        <v>149</v>
      </c>
      <c r="J3567" s="31"/>
      <c r="K3567" s="31" t="s">
        <v>150</v>
      </c>
      <c r="L3567" s="45" t="n">
        <f aca="false">DATE(YEAR(B3567),MONTH(B3567),1)</f>
        <v>46235</v>
      </c>
      <c r="M3567" s="31" t="n">
        <f aca="false">WEEKDAY(B3567,2)</f>
        <v>3</v>
      </c>
      <c r="N3567" s="31" t="str">
        <f aca="false">IF(G3567&lt;=INDEX(Assumptions!$B$15:$B$18,MATCH(E3567,Assumptions!$A$15:$A$18,0)),"Yes","No")</f>
        <v>Yes</v>
      </c>
      <c r="O3567" s="31" t="str">
        <f aca="false">IF(H3567="","Open",IF(H3567&lt;=INDEX(Assumptions!$C$15:$C$18,MATCH(E3567,Assumptions!$A$15:$A$18,0)),"Yes","No"))</f>
        <v>Yes</v>
      </c>
    </row>
    <row r="3568" customFormat="false" ht="15" hidden="false" customHeight="false" outlineLevel="0" collapsed="false">
      <c r="A3568" s="31" t="s">
        <v>3718</v>
      </c>
      <c r="B3568" s="44" t="n">
        <v>46253</v>
      </c>
      <c r="C3568" s="31" t="s">
        <v>60</v>
      </c>
      <c r="D3568" s="31" t="s">
        <v>68</v>
      </c>
      <c r="E3568" s="31" t="s">
        <v>52</v>
      </c>
      <c r="F3568" s="31" t="s">
        <v>133</v>
      </c>
      <c r="G3568" s="31" t="n">
        <v>10</v>
      </c>
      <c r="H3568" s="41" t="n">
        <v>5.9</v>
      </c>
      <c r="I3568" s="31" t="s">
        <v>149</v>
      </c>
      <c r="J3568" s="31"/>
      <c r="K3568" s="31" t="s">
        <v>153</v>
      </c>
      <c r="L3568" s="45" t="n">
        <f aca="false">DATE(YEAR(B3568),MONTH(B3568),1)</f>
        <v>46235</v>
      </c>
      <c r="M3568" s="31" t="n">
        <f aca="false">WEEKDAY(B3568,2)</f>
        <v>3</v>
      </c>
      <c r="N3568" s="31" t="str">
        <f aca="false">IF(G3568&lt;=INDEX(Assumptions!$B$15:$B$18,MATCH(E3568,Assumptions!$A$15:$A$18,0)),"Yes","No")</f>
        <v>Yes</v>
      </c>
      <c r="O3568" s="31" t="str">
        <f aca="false">IF(H3568="","Open",IF(H3568&lt;=INDEX(Assumptions!$C$15:$C$18,MATCH(E3568,Assumptions!$A$15:$A$18,0)),"Yes","No"))</f>
        <v>Yes</v>
      </c>
    </row>
    <row r="3569" customFormat="false" ht="15" hidden="false" customHeight="false" outlineLevel="0" collapsed="false">
      <c r="A3569" s="31" t="s">
        <v>3719</v>
      </c>
      <c r="B3569" s="44" t="n">
        <v>46253</v>
      </c>
      <c r="C3569" s="31" t="s">
        <v>57</v>
      </c>
      <c r="D3569" s="31" t="s">
        <v>66</v>
      </c>
      <c r="E3569" s="31" t="s">
        <v>52</v>
      </c>
      <c r="F3569" s="31" t="s">
        <v>119</v>
      </c>
      <c r="G3569" s="31" t="n">
        <v>6</v>
      </c>
      <c r="H3569" s="41" t="n">
        <v>21.9</v>
      </c>
      <c r="I3569" s="31" t="s">
        <v>149</v>
      </c>
      <c r="J3569" s="31" t="n">
        <v>4</v>
      </c>
      <c r="K3569" s="31" t="s">
        <v>150</v>
      </c>
      <c r="L3569" s="45" t="n">
        <f aca="false">DATE(YEAR(B3569),MONTH(B3569),1)</f>
        <v>46235</v>
      </c>
      <c r="M3569" s="31" t="n">
        <f aca="false">WEEKDAY(B3569,2)</f>
        <v>3</v>
      </c>
      <c r="N3569" s="31" t="str">
        <f aca="false">IF(G3569&lt;=INDEX(Assumptions!$B$15:$B$18,MATCH(E3569,Assumptions!$A$15:$A$18,0)),"Yes","No")</f>
        <v>Yes</v>
      </c>
      <c r="O3569" s="31" t="str">
        <f aca="false">IF(H3569="","Open",IF(H3569&lt;=INDEX(Assumptions!$C$15:$C$18,MATCH(E3569,Assumptions!$A$15:$A$18,0)),"Yes","No"))</f>
        <v>Yes</v>
      </c>
    </row>
    <row r="3570" customFormat="false" ht="15" hidden="false" customHeight="false" outlineLevel="0" collapsed="false">
      <c r="A3570" s="31" t="s">
        <v>3720</v>
      </c>
      <c r="B3570" s="44" t="n">
        <v>46253</v>
      </c>
      <c r="C3570" s="31" t="s">
        <v>57</v>
      </c>
      <c r="D3570" s="31" t="s">
        <v>66</v>
      </c>
      <c r="E3570" s="31" t="s">
        <v>51</v>
      </c>
      <c r="F3570" s="31" t="s">
        <v>126</v>
      </c>
      <c r="G3570" s="31" t="n">
        <v>1</v>
      </c>
      <c r="H3570" s="41" t="n">
        <v>3.6</v>
      </c>
      <c r="I3570" s="31" t="s">
        <v>149</v>
      </c>
      <c r="J3570" s="31"/>
      <c r="K3570" s="31" t="s">
        <v>150</v>
      </c>
      <c r="L3570" s="45" t="n">
        <f aca="false">DATE(YEAR(B3570),MONTH(B3570),1)</f>
        <v>46235</v>
      </c>
      <c r="M3570" s="31" t="n">
        <f aca="false">WEEKDAY(B3570,2)</f>
        <v>3</v>
      </c>
      <c r="N3570" s="31" t="str">
        <f aca="false">IF(G3570&lt;=INDEX(Assumptions!$B$15:$B$18,MATCH(E3570,Assumptions!$A$15:$A$18,0)),"Yes","No")</f>
        <v>Yes</v>
      </c>
      <c r="O3570" s="31" t="str">
        <f aca="false">IF(H3570="","Open",IF(H3570&lt;=INDEX(Assumptions!$C$15:$C$18,MATCH(E3570,Assumptions!$A$15:$A$18,0)),"Yes","No"))</f>
        <v>Yes</v>
      </c>
    </row>
    <row r="3571" customFormat="false" ht="15" hidden="false" customHeight="false" outlineLevel="0" collapsed="false">
      <c r="A3571" s="31" t="s">
        <v>3721</v>
      </c>
      <c r="B3571" s="44" t="n">
        <v>46253</v>
      </c>
      <c r="C3571" s="31" t="s">
        <v>59</v>
      </c>
      <c r="D3571" s="31" t="s">
        <v>67</v>
      </c>
      <c r="E3571" s="31" t="s">
        <v>52</v>
      </c>
      <c r="F3571" s="31" t="s">
        <v>129</v>
      </c>
      <c r="G3571" s="31" t="n">
        <v>133</v>
      </c>
      <c r="H3571" s="41" t="n">
        <v>24.4</v>
      </c>
      <c r="I3571" s="31" t="s">
        <v>149</v>
      </c>
      <c r="J3571" s="31" t="n">
        <v>4</v>
      </c>
      <c r="K3571" s="31" t="s">
        <v>150</v>
      </c>
      <c r="L3571" s="45" t="n">
        <f aca="false">DATE(YEAR(B3571),MONTH(B3571),1)</f>
        <v>46235</v>
      </c>
      <c r="M3571" s="31" t="n">
        <f aca="false">WEEKDAY(B3571,2)</f>
        <v>3</v>
      </c>
      <c r="N3571" s="31" t="str">
        <f aca="false">IF(G3571&lt;=INDEX(Assumptions!$B$15:$B$18,MATCH(E3571,Assumptions!$A$15:$A$18,0)),"Yes","No")</f>
        <v>Yes</v>
      </c>
      <c r="O3571" s="31" t="str">
        <f aca="false">IF(H3571="","Open",IF(H3571&lt;=INDEX(Assumptions!$C$15:$C$18,MATCH(E3571,Assumptions!$A$15:$A$18,0)),"Yes","No"))</f>
        <v>Yes</v>
      </c>
    </row>
    <row r="3572" customFormat="false" ht="15" hidden="false" customHeight="false" outlineLevel="0" collapsed="false">
      <c r="A3572" s="31" t="s">
        <v>3722</v>
      </c>
      <c r="B3572" s="44" t="n">
        <v>46253</v>
      </c>
      <c r="C3572" s="31" t="s">
        <v>58</v>
      </c>
      <c r="D3572" s="31" t="s">
        <v>66</v>
      </c>
      <c r="E3572" s="31" t="s">
        <v>52</v>
      </c>
      <c r="F3572" s="31" t="s">
        <v>123</v>
      </c>
      <c r="G3572" s="31" t="n">
        <v>3</v>
      </c>
      <c r="H3572" s="41" t="n">
        <v>6.8</v>
      </c>
      <c r="I3572" s="31" t="s">
        <v>149</v>
      </c>
      <c r="J3572" s="31" t="n">
        <v>5</v>
      </c>
      <c r="K3572" s="31" t="s">
        <v>150</v>
      </c>
      <c r="L3572" s="45" t="n">
        <f aca="false">DATE(YEAR(B3572),MONTH(B3572),1)</f>
        <v>46235</v>
      </c>
      <c r="M3572" s="31" t="n">
        <f aca="false">WEEKDAY(B3572,2)</f>
        <v>3</v>
      </c>
      <c r="N3572" s="31" t="str">
        <f aca="false">IF(G3572&lt;=INDEX(Assumptions!$B$15:$B$18,MATCH(E3572,Assumptions!$A$15:$A$18,0)),"Yes","No")</f>
        <v>Yes</v>
      </c>
      <c r="O3572" s="31" t="str">
        <f aca="false">IF(H3572="","Open",IF(H3572&lt;=INDEX(Assumptions!$C$15:$C$18,MATCH(E3572,Assumptions!$A$15:$A$18,0)),"Yes","No"))</f>
        <v>Yes</v>
      </c>
    </row>
    <row r="3573" customFormat="false" ht="15" hidden="false" customHeight="false" outlineLevel="0" collapsed="false">
      <c r="A3573" s="31" t="s">
        <v>3723</v>
      </c>
      <c r="B3573" s="44" t="n">
        <v>46253</v>
      </c>
      <c r="C3573" s="31" t="s">
        <v>57</v>
      </c>
      <c r="D3573" s="31" t="s">
        <v>67</v>
      </c>
      <c r="E3573" s="31" t="s">
        <v>50</v>
      </c>
      <c r="F3573" s="31" t="s">
        <v>123</v>
      </c>
      <c r="G3573" s="31" t="n">
        <v>3</v>
      </c>
      <c r="H3573" s="41" t="n">
        <v>45</v>
      </c>
      <c r="I3573" s="31" t="s">
        <v>149</v>
      </c>
      <c r="J3573" s="31" t="n">
        <v>4</v>
      </c>
      <c r="K3573" s="31" t="s">
        <v>150</v>
      </c>
      <c r="L3573" s="45" t="n">
        <f aca="false">DATE(YEAR(B3573),MONTH(B3573),1)</f>
        <v>46235</v>
      </c>
      <c r="M3573" s="31" t="n">
        <f aca="false">WEEKDAY(B3573,2)</f>
        <v>3</v>
      </c>
      <c r="N3573" s="31" t="str">
        <f aca="false">IF(G3573&lt;=INDEX(Assumptions!$B$15:$B$18,MATCH(E3573,Assumptions!$A$15:$A$18,0)),"Yes","No")</f>
        <v>Yes</v>
      </c>
      <c r="O3573" s="31" t="str">
        <f aca="false">IF(H3573="","Open",IF(H3573&lt;=INDEX(Assumptions!$C$15:$C$18,MATCH(E3573,Assumptions!$A$15:$A$18,0)),"Yes","No"))</f>
        <v>No</v>
      </c>
    </row>
    <row r="3574" customFormat="false" ht="15" hidden="false" customHeight="false" outlineLevel="0" collapsed="false">
      <c r="A3574" s="31" t="s">
        <v>3724</v>
      </c>
      <c r="B3574" s="44" t="n">
        <v>46253</v>
      </c>
      <c r="C3574" s="31" t="s">
        <v>60</v>
      </c>
      <c r="D3574" s="31" t="s">
        <v>68</v>
      </c>
      <c r="E3574" s="31" t="s">
        <v>51</v>
      </c>
      <c r="F3574" s="31" t="s">
        <v>133</v>
      </c>
      <c r="G3574" s="31" t="n">
        <v>5</v>
      </c>
      <c r="H3574" s="41" t="n">
        <v>4</v>
      </c>
      <c r="I3574" s="31" t="s">
        <v>64</v>
      </c>
      <c r="J3574" s="31"/>
      <c r="K3574" s="31" t="s">
        <v>150</v>
      </c>
      <c r="L3574" s="45" t="n">
        <f aca="false">DATE(YEAR(B3574),MONTH(B3574),1)</f>
        <v>46235</v>
      </c>
      <c r="M3574" s="31" t="n">
        <f aca="false">WEEKDAY(B3574,2)</f>
        <v>3</v>
      </c>
      <c r="N3574" s="31" t="str">
        <f aca="false">IF(G3574&lt;=INDEX(Assumptions!$B$15:$B$18,MATCH(E3574,Assumptions!$A$15:$A$18,0)),"Yes","No")</f>
        <v>Yes</v>
      </c>
      <c r="O3574" s="31" t="str">
        <f aca="false">IF(H3574="","Open",IF(H3574&lt;=INDEX(Assumptions!$C$15:$C$18,MATCH(E3574,Assumptions!$A$15:$A$18,0)),"Yes","No"))</f>
        <v>Yes</v>
      </c>
    </row>
    <row r="3575" customFormat="false" ht="15" hidden="false" customHeight="false" outlineLevel="0" collapsed="false">
      <c r="A3575" s="31" t="s">
        <v>3725</v>
      </c>
      <c r="B3575" s="44" t="n">
        <v>46253</v>
      </c>
      <c r="C3575" s="31" t="s">
        <v>60</v>
      </c>
      <c r="D3575" s="31" t="s">
        <v>66</v>
      </c>
      <c r="E3575" s="31" t="s">
        <v>51</v>
      </c>
      <c r="F3575" s="31" t="s">
        <v>131</v>
      </c>
      <c r="G3575" s="31" t="n">
        <v>1</v>
      </c>
      <c r="H3575" s="41" t="n">
        <v>5.2</v>
      </c>
      <c r="I3575" s="31" t="s">
        <v>149</v>
      </c>
      <c r="J3575" s="31"/>
      <c r="K3575" s="31" t="s">
        <v>150</v>
      </c>
      <c r="L3575" s="45" t="n">
        <f aca="false">DATE(YEAR(B3575),MONTH(B3575),1)</f>
        <v>46235</v>
      </c>
      <c r="M3575" s="31" t="n">
        <f aca="false">WEEKDAY(B3575,2)</f>
        <v>3</v>
      </c>
      <c r="N3575" s="31" t="str">
        <f aca="false">IF(G3575&lt;=INDEX(Assumptions!$B$15:$B$18,MATCH(E3575,Assumptions!$A$15:$A$18,0)),"Yes","No")</f>
        <v>Yes</v>
      </c>
      <c r="O3575" s="31" t="str">
        <f aca="false">IF(H3575="","Open",IF(H3575&lt;=INDEX(Assumptions!$C$15:$C$18,MATCH(E3575,Assumptions!$A$15:$A$18,0)),"Yes","No"))</f>
        <v>Yes</v>
      </c>
    </row>
    <row r="3576" customFormat="false" ht="15" hidden="false" customHeight="false" outlineLevel="0" collapsed="false">
      <c r="A3576" s="31" t="s">
        <v>3726</v>
      </c>
      <c r="B3576" s="44" t="n">
        <v>46253</v>
      </c>
      <c r="C3576" s="31" t="s">
        <v>58</v>
      </c>
      <c r="D3576" s="31" t="s">
        <v>65</v>
      </c>
      <c r="E3576" s="31" t="s">
        <v>51</v>
      </c>
      <c r="F3576" s="31" t="s">
        <v>134</v>
      </c>
      <c r="G3576" s="31" t="n">
        <v>21</v>
      </c>
      <c r="H3576" s="41" t="n">
        <v>8.3</v>
      </c>
      <c r="I3576" s="31" t="s">
        <v>149</v>
      </c>
      <c r="J3576" s="31" t="n">
        <v>4</v>
      </c>
      <c r="K3576" s="31" t="s">
        <v>150</v>
      </c>
      <c r="L3576" s="45" t="n">
        <f aca="false">DATE(YEAR(B3576),MONTH(B3576),1)</f>
        <v>46235</v>
      </c>
      <c r="M3576" s="31" t="n">
        <f aca="false">WEEKDAY(B3576,2)</f>
        <v>3</v>
      </c>
      <c r="N3576" s="31" t="str">
        <f aca="false">IF(G3576&lt;=INDEX(Assumptions!$B$15:$B$18,MATCH(E3576,Assumptions!$A$15:$A$18,0)),"Yes","No")</f>
        <v>Yes</v>
      </c>
      <c r="O3576" s="31" t="str">
        <f aca="false">IF(H3576="","Open",IF(H3576&lt;=INDEX(Assumptions!$C$15:$C$18,MATCH(E3576,Assumptions!$A$15:$A$18,0)),"Yes","No"))</f>
        <v>Yes</v>
      </c>
    </row>
    <row r="3577" customFormat="false" ht="15" hidden="false" customHeight="false" outlineLevel="0" collapsed="false">
      <c r="A3577" s="31" t="s">
        <v>3727</v>
      </c>
      <c r="B3577" s="44" t="n">
        <v>46253</v>
      </c>
      <c r="C3577" s="31" t="s">
        <v>59</v>
      </c>
      <c r="D3577" s="31" t="s">
        <v>65</v>
      </c>
      <c r="E3577" s="31" t="s">
        <v>52</v>
      </c>
      <c r="F3577" s="31" t="s">
        <v>123</v>
      </c>
      <c r="G3577" s="31" t="n">
        <v>29</v>
      </c>
      <c r="H3577" s="41" t="n">
        <v>8.5</v>
      </c>
      <c r="I3577" s="31" t="s">
        <v>149</v>
      </c>
      <c r="J3577" s="31"/>
      <c r="K3577" s="31" t="s">
        <v>150</v>
      </c>
      <c r="L3577" s="45" t="n">
        <f aca="false">DATE(YEAR(B3577),MONTH(B3577),1)</f>
        <v>46235</v>
      </c>
      <c r="M3577" s="31" t="n">
        <f aca="false">WEEKDAY(B3577,2)</f>
        <v>3</v>
      </c>
      <c r="N3577" s="31" t="str">
        <f aca="false">IF(G3577&lt;=INDEX(Assumptions!$B$15:$B$18,MATCH(E3577,Assumptions!$A$15:$A$18,0)),"Yes","No")</f>
        <v>Yes</v>
      </c>
      <c r="O3577" s="31" t="str">
        <f aca="false">IF(H3577="","Open",IF(H3577&lt;=INDEX(Assumptions!$C$15:$C$18,MATCH(E3577,Assumptions!$A$15:$A$18,0)),"Yes","No"))</f>
        <v>Yes</v>
      </c>
    </row>
    <row r="3578" customFormat="false" ht="15" hidden="false" customHeight="false" outlineLevel="0" collapsed="false">
      <c r="A3578" s="31" t="s">
        <v>3728</v>
      </c>
      <c r="B3578" s="44" t="n">
        <v>46253</v>
      </c>
      <c r="C3578" s="31" t="s">
        <v>57</v>
      </c>
      <c r="D3578" s="31" t="s">
        <v>69</v>
      </c>
      <c r="E3578" s="31" t="s">
        <v>52</v>
      </c>
      <c r="F3578" s="31" t="s">
        <v>137</v>
      </c>
      <c r="G3578" s="31" t="n">
        <v>6</v>
      </c>
      <c r="H3578" s="41" t="n">
        <v>78</v>
      </c>
      <c r="I3578" s="31" t="s">
        <v>149</v>
      </c>
      <c r="J3578" s="31"/>
      <c r="K3578" s="31" t="s">
        <v>150</v>
      </c>
      <c r="L3578" s="45" t="n">
        <f aca="false">DATE(YEAR(B3578),MONTH(B3578),1)</f>
        <v>46235</v>
      </c>
      <c r="M3578" s="31" t="n">
        <f aca="false">WEEKDAY(B3578,2)</f>
        <v>3</v>
      </c>
      <c r="N3578" s="31" t="str">
        <f aca="false">IF(G3578&lt;=INDEX(Assumptions!$B$15:$B$18,MATCH(E3578,Assumptions!$A$15:$A$18,0)),"Yes","No")</f>
        <v>Yes</v>
      </c>
      <c r="O3578" s="31" t="str">
        <f aca="false">IF(H3578="","Open",IF(H3578&lt;=INDEX(Assumptions!$C$15:$C$18,MATCH(E3578,Assumptions!$A$15:$A$18,0)),"Yes","No"))</f>
        <v>No</v>
      </c>
    </row>
    <row r="3579" customFormat="false" ht="15" hidden="false" customHeight="false" outlineLevel="0" collapsed="false">
      <c r="A3579" s="31" t="s">
        <v>3729</v>
      </c>
      <c r="B3579" s="44" t="n">
        <v>46253</v>
      </c>
      <c r="C3579" s="31" t="s">
        <v>59</v>
      </c>
      <c r="D3579" s="31" t="s">
        <v>65</v>
      </c>
      <c r="E3579" s="31" t="s">
        <v>51</v>
      </c>
      <c r="F3579" s="31" t="s">
        <v>136</v>
      </c>
      <c r="G3579" s="31" t="n">
        <v>31</v>
      </c>
      <c r="H3579" s="41" t="n">
        <v>5.5</v>
      </c>
      <c r="I3579" s="31" t="s">
        <v>149</v>
      </c>
      <c r="J3579" s="31" t="n">
        <v>4</v>
      </c>
      <c r="K3579" s="31" t="s">
        <v>150</v>
      </c>
      <c r="L3579" s="45" t="n">
        <f aca="false">DATE(YEAR(B3579),MONTH(B3579),1)</f>
        <v>46235</v>
      </c>
      <c r="M3579" s="31" t="n">
        <f aca="false">WEEKDAY(B3579,2)</f>
        <v>3</v>
      </c>
      <c r="N3579" s="31" t="str">
        <f aca="false">IF(G3579&lt;=INDEX(Assumptions!$B$15:$B$18,MATCH(E3579,Assumptions!$A$15:$A$18,0)),"Yes","No")</f>
        <v>Yes</v>
      </c>
      <c r="O3579" s="31" t="str">
        <f aca="false">IF(H3579="","Open",IF(H3579&lt;=INDEX(Assumptions!$C$15:$C$18,MATCH(E3579,Assumptions!$A$15:$A$18,0)),"Yes","No"))</f>
        <v>Yes</v>
      </c>
    </row>
    <row r="3580" customFormat="false" ht="15" hidden="false" customHeight="false" outlineLevel="0" collapsed="false">
      <c r="A3580" s="31" t="s">
        <v>3730</v>
      </c>
      <c r="B3580" s="44" t="n">
        <v>46253</v>
      </c>
      <c r="C3580" s="31" t="s">
        <v>60</v>
      </c>
      <c r="D3580" s="31" t="s">
        <v>65</v>
      </c>
      <c r="E3580" s="31" t="s">
        <v>51</v>
      </c>
      <c r="F3580" s="31" t="s">
        <v>123</v>
      </c>
      <c r="G3580" s="31" t="n">
        <v>3</v>
      </c>
      <c r="H3580" s="41" t="n">
        <v>45.5</v>
      </c>
      <c r="I3580" s="31" t="s">
        <v>149</v>
      </c>
      <c r="J3580" s="31"/>
      <c r="K3580" s="31" t="s">
        <v>150</v>
      </c>
      <c r="L3580" s="45" t="n">
        <f aca="false">DATE(YEAR(B3580),MONTH(B3580),1)</f>
        <v>46235</v>
      </c>
      <c r="M3580" s="31" t="n">
        <f aca="false">WEEKDAY(B3580,2)</f>
        <v>3</v>
      </c>
      <c r="N3580" s="31" t="str">
        <f aca="false">IF(G3580&lt;=INDEX(Assumptions!$B$15:$B$18,MATCH(E3580,Assumptions!$A$15:$A$18,0)),"Yes","No")</f>
        <v>Yes</v>
      </c>
      <c r="O3580" s="31" t="str">
        <f aca="false">IF(H3580="","Open",IF(H3580&lt;=INDEX(Assumptions!$C$15:$C$18,MATCH(E3580,Assumptions!$A$15:$A$18,0)),"Yes","No"))</f>
        <v>No</v>
      </c>
    </row>
    <row r="3581" customFormat="false" ht="15" hidden="false" customHeight="false" outlineLevel="0" collapsed="false">
      <c r="A3581" s="31" t="s">
        <v>3731</v>
      </c>
      <c r="B3581" s="44" t="n">
        <v>46253</v>
      </c>
      <c r="C3581" s="31" t="s">
        <v>58</v>
      </c>
      <c r="D3581" s="31" t="s">
        <v>66</v>
      </c>
      <c r="E3581" s="31" t="s">
        <v>51</v>
      </c>
      <c r="F3581" s="31" t="s">
        <v>137</v>
      </c>
      <c r="G3581" s="31" t="n">
        <v>4</v>
      </c>
      <c r="H3581" s="41" t="n">
        <v>1.6</v>
      </c>
      <c r="I3581" s="31" t="s">
        <v>149</v>
      </c>
      <c r="J3581" s="31" t="n">
        <v>4</v>
      </c>
      <c r="K3581" s="31" t="s">
        <v>150</v>
      </c>
      <c r="L3581" s="45" t="n">
        <f aca="false">DATE(YEAR(B3581),MONTH(B3581),1)</f>
        <v>46235</v>
      </c>
      <c r="M3581" s="31" t="n">
        <f aca="false">WEEKDAY(B3581,2)</f>
        <v>3</v>
      </c>
      <c r="N3581" s="31" t="str">
        <f aca="false">IF(G3581&lt;=INDEX(Assumptions!$B$15:$B$18,MATCH(E3581,Assumptions!$A$15:$A$18,0)),"Yes","No")</f>
        <v>Yes</v>
      </c>
      <c r="O3581" s="31" t="str">
        <f aca="false">IF(H3581="","Open",IF(H3581&lt;=INDEX(Assumptions!$C$15:$C$18,MATCH(E3581,Assumptions!$A$15:$A$18,0)),"Yes","No"))</f>
        <v>Yes</v>
      </c>
    </row>
    <row r="3582" customFormat="false" ht="15" hidden="false" customHeight="false" outlineLevel="0" collapsed="false">
      <c r="A3582" s="31" t="s">
        <v>3732</v>
      </c>
      <c r="B3582" s="44" t="n">
        <v>46253</v>
      </c>
      <c r="C3582" s="31" t="s">
        <v>57</v>
      </c>
      <c r="D3582" s="31" t="s">
        <v>68</v>
      </c>
      <c r="E3582" s="31" t="s">
        <v>51</v>
      </c>
      <c r="F3582" s="31" t="s">
        <v>117</v>
      </c>
      <c r="G3582" s="31" t="n">
        <v>3</v>
      </c>
      <c r="H3582" s="41" t="n">
        <v>2.5</v>
      </c>
      <c r="I3582" s="31" t="s">
        <v>149</v>
      </c>
      <c r="J3582" s="31" t="n">
        <v>5</v>
      </c>
      <c r="K3582" s="31" t="s">
        <v>150</v>
      </c>
      <c r="L3582" s="45" t="n">
        <f aca="false">DATE(YEAR(B3582),MONTH(B3582),1)</f>
        <v>46235</v>
      </c>
      <c r="M3582" s="31" t="n">
        <f aca="false">WEEKDAY(B3582,2)</f>
        <v>3</v>
      </c>
      <c r="N3582" s="31" t="str">
        <f aca="false">IF(G3582&lt;=INDEX(Assumptions!$B$15:$B$18,MATCH(E3582,Assumptions!$A$15:$A$18,0)),"Yes","No")</f>
        <v>Yes</v>
      </c>
      <c r="O3582" s="31" t="str">
        <f aca="false">IF(H3582="","Open",IF(H3582&lt;=INDEX(Assumptions!$C$15:$C$18,MATCH(E3582,Assumptions!$A$15:$A$18,0)),"Yes","No"))</f>
        <v>Yes</v>
      </c>
    </row>
    <row r="3583" customFormat="false" ht="15" hidden="false" customHeight="false" outlineLevel="0" collapsed="false">
      <c r="A3583" s="31" t="s">
        <v>3733</v>
      </c>
      <c r="B3583" s="44" t="n">
        <v>46253</v>
      </c>
      <c r="C3583" s="31" t="s">
        <v>57</v>
      </c>
      <c r="D3583" s="31" t="s">
        <v>69</v>
      </c>
      <c r="E3583" s="31" t="s">
        <v>52</v>
      </c>
      <c r="F3583" s="31" t="s">
        <v>135</v>
      </c>
      <c r="G3583" s="31" t="n">
        <v>6</v>
      </c>
      <c r="H3583" s="41" t="n">
        <v>86.2</v>
      </c>
      <c r="I3583" s="31" t="s">
        <v>149</v>
      </c>
      <c r="J3583" s="31"/>
      <c r="K3583" s="31" t="s">
        <v>150</v>
      </c>
      <c r="L3583" s="45" t="n">
        <f aca="false">DATE(YEAR(B3583),MONTH(B3583),1)</f>
        <v>46235</v>
      </c>
      <c r="M3583" s="31" t="n">
        <f aca="false">WEEKDAY(B3583,2)</f>
        <v>3</v>
      </c>
      <c r="N3583" s="31" t="str">
        <f aca="false">IF(G3583&lt;=INDEX(Assumptions!$B$15:$B$18,MATCH(E3583,Assumptions!$A$15:$A$18,0)),"Yes","No")</f>
        <v>Yes</v>
      </c>
      <c r="O3583" s="31" t="str">
        <f aca="false">IF(H3583="","Open",IF(H3583&lt;=INDEX(Assumptions!$C$15:$C$18,MATCH(E3583,Assumptions!$A$15:$A$18,0)),"Yes","No"))</f>
        <v>No</v>
      </c>
    </row>
    <row r="3584" customFormat="false" ht="15" hidden="false" customHeight="false" outlineLevel="0" collapsed="false">
      <c r="A3584" s="31" t="s">
        <v>3734</v>
      </c>
      <c r="B3584" s="44" t="n">
        <v>46253</v>
      </c>
      <c r="C3584" s="31" t="s">
        <v>58</v>
      </c>
      <c r="D3584" s="31" t="s">
        <v>68</v>
      </c>
      <c r="E3584" s="31" t="s">
        <v>51</v>
      </c>
      <c r="F3584" s="31" t="s">
        <v>137</v>
      </c>
      <c r="G3584" s="31" t="n">
        <v>11</v>
      </c>
      <c r="H3584" s="41" t="n">
        <v>1.8</v>
      </c>
      <c r="I3584" s="31" t="s">
        <v>149</v>
      </c>
      <c r="J3584" s="31"/>
      <c r="K3584" s="31" t="s">
        <v>150</v>
      </c>
      <c r="L3584" s="45" t="n">
        <f aca="false">DATE(YEAR(B3584),MONTH(B3584),1)</f>
        <v>46235</v>
      </c>
      <c r="M3584" s="31" t="n">
        <f aca="false">WEEKDAY(B3584,2)</f>
        <v>3</v>
      </c>
      <c r="N3584" s="31" t="str">
        <f aca="false">IF(G3584&lt;=INDEX(Assumptions!$B$15:$B$18,MATCH(E3584,Assumptions!$A$15:$A$18,0)),"Yes","No")</f>
        <v>Yes</v>
      </c>
      <c r="O3584" s="31" t="str">
        <f aca="false">IF(H3584="","Open",IF(H3584&lt;=INDEX(Assumptions!$C$15:$C$18,MATCH(E3584,Assumptions!$A$15:$A$18,0)),"Yes","No"))</f>
        <v>Yes</v>
      </c>
    </row>
    <row r="3585" customFormat="false" ht="15" hidden="false" customHeight="false" outlineLevel="0" collapsed="false">
      <c r="A3585" s="31" t="s">
        <v>3735</v>
      </c>
      <c r="B3585" s="44" t="n">
        <v>46253</v>
      </c>
      <c r="C3585" s="31" t="s">
        <v>58</v>
      </c>
      <c r="D3585" s="31" t="s">
        <v>65</v>
      </c>
      <c r="E3585" s="31" t="s">
        <v>50</v>
      </c>
      <c r="F3585" s="31" t="s">
        <v>129</v>
      </c>
      <c r="G3585" s="31" t="n">
        <v>6</v>
      </c>
      <c r="H3585" s="41" t="n">
        <v>13.5</v>
      </c>
      <c r="I3585" s="31" t="s">
        <v>149</v>
      </c>
      <c r="J3585" s="31"/>
      <c r="K3585" s="31" t="s">
        <v>150</v>
      </c>
      <c r="L3585" s="45" t="n">
        <f aca="false">DATE(YEAR(B3585),MONTH(B3585),1)</f>
        <v>46235</v>
      </c>
      <c r="M3585" s="31" t="n">
        <f aca="false">WEEKDAY(B3585,2)</f>
        <v>3</v>
      </c>
      <c r="N3585" s="31" t="str">
        <f aca="false">IF(G3585&lt;=INDEX(Assumptions!$B$15:$B$18,MATCH(E3585,Assumptions!$A$15:$A$18,0)),"Yes","No")</f>
        <v>Yes</v>
      </c>
      <c r="O3585" s="31" t="str">
        <f aca="false">IF(H3585="","Open",IF(H3585&lt;=INDEX(Assumptions!$C$15:$C$18,MATCH(E3585,Assumptions!$A$15:$A$18,0)),"Yes","No"))</f>
        <v>No</v>
      </c>
    </row>
    <row r="3586" customFormat="false" ht="15" hidden="false" customHeight="false" outlineLevel="0" collapsed="false">
      <c r="A3586" s="31" t="s">
        <v>3736</v>
      </c>
      <c r="B3586" s="44" t="n">
        <v>46253</v>
      </c>
      <c r="C3586" s="31" t="s">
        <v>58</v>
      </c>
      <c r="D3586" s="31" t="s">
        <v>67</v>
      </c>
      <c r="E3586" s="31" t="s">
        <v>52</v>
      </c>
      <c r="F3586" s="31" t="s">
        <v>121</v>
      </c>
      <c r="G3586" s="31" t="n">
        <v>24</v>
      </c>
      <c r="H3586" s="41" t="n">
        <v>12.3</v>
      </c>
      <c r="I3586" s="31" t="s">
        <v>149</v>
      </c>
      <c r="J3586" s="31"/>
      <c r="K3586" s="31" t="s">
        <v>150</v>
      </c>
      <c r="L3586" s="45" t="n">
        <f aca="false">DATE(YEAR(B3586),MONTH(B3586),1)</f>
        <v>46235</v>
      </c>
      <c r="M3586" s="31" t="n">
        <f aca="false">WEEKDAY(B3586,2)</f>
        <v>3</v>
      </c>
      <c r="N3586" s="31" t="str">
        <f aca="false">IF(G3586&lt;=INDEX(Assumptions!$B$15:$B$18,MATCH(E3586,Assumptions!$A$15:$A$18,0)),"Yes","No")</f>
        <v>Yes</v>
      </c>
      <c r="O3586" s="31" t="str">
        <f aca="false">IF(H3586="","Open",IF(H3586&lt;=INDEX(Assumptions!$C$15:$C$18,MATCH(E3586,Assumptions!$A$15:$A$18,0)),"Yes","No"))</f>
        <v>Yes</v>
      </c>
    </row>
    <row r="3587" customFormat="false" ht="15" hidden="false" customHeight="false" outlineLevel="0" collapsed="false">
      <c r="A3587" s="31" t="s">
        <v>3737</v>
      </c>
      <c r="B3587" s="44" t="n">
        <v>46253</v>
      </c>
      <c r="C3587" s="31" t="s">
        <v>57</v>
      </c>
      <c r="D3587" s="31" t="s">
        <v>67</v>
      </c>
      <c r="E3587" s="31" t="s">
        <v>51</v>
      </c>
      <c r="F3587" s="31" t="s">
        <v>128</v>
      </c>
      <c r="G3587" s="31" t="n">
        <v>2</v>
      </c>
      <c r="H3587" s="41" t="n">
        <v>9.4</v>
      </c>
      <c r="I3587" s="31" t="s">
        <v>149</v>
      </c>
      <c r="J3587" s="31" t="n">
        <v>5</v>
      </c>
      <c r="K3587" s="31" t="s">
        <v>150</v>
      </c>
      <c r="L3587" s="45" t="n">
        <f aca="false">DATE(YEAR(B3587),MONTH(B3587),1)</f>
        <v>46235</v>
      </c>
      <c r="M3587" s="31" t="n">
        <f aca="false">WEEKDAY(B3587,2)</f>
        <v>3</v>
      </c>
      <c r="N3587" s="31" t="str">
        <f aca="false">IF(G3587&lt;=INDEX(Assumptions!$B$15:$B$18,MATCH(E3587,Assumptions!$A$15:$A$18,0)),"Yes","No")</f>
        <v>Yes</v>
      </c>
      <c r="O3587" s="31" t="str">
        <f aca="false">IF(H3587="","Open",IF(H3587&lt;=INDEX(Assumptions!$C$15:$C$18,MATCH(E3587,Assumptions!$A$15:$A$18,0)),"Yes","No"))</f>
        <v>Yes</v>
      </c>
    </row>
    <row r="3588" customFormat="false" ht="15" hidden="false" customHeight="false" outlineLevel="0" collapsed="false">
      <c r="A3588" s="31" t="s">
        <v>3738</v>
      </c>
      <c r="B3588" s="44" t="n">
        <v>46253</v>
      </c>
      <c r="C3588" s="31" t="s">
        <v>60</v>
      </c>
      <c r="D3588" s="31" t="s">
        <v>69</v>
      </c>
      <c r="E3588" s="31" t="s">
        <v>50</v>
      </c>
      <c r="F3588" s="31" t="s">
        <v>124</v>
      </c>
      <c r="G3588" s="31" t="n">
        <v>1</v>
      </c>
      <c r="H3588" s="41" t="n">
        <v>33.6</v>
      </c>
      <c r="I3588" s="31" t="s">
        <v>149</v>
      </c>
      <c r="J3588" s="31"/>
      <c r="K3588" s="31" t="s">
        <v>150</v>
      </c>
      <c r="L3588" s="45" t="n">
        <f aca="false">DATE(YEAR(B3588),MONTH(B3588),1)</f>
        <v>46235</v>
      </c>
      <c r="M3588" s="31" t="n">
        <f aca="false">WEEKDAY(B3588,2)</f>
        <v>3</v>
      </c>
      <c r="N3588" s="31" t="str">
        <f aca="false">IF(G3588&lt;=INDEX(Assumptions!$B$15:$B$18,MATCH(E3588,Assumptions!$A$15:$A$18,0)),"Yes","No")</f>
        <v>Yes</v>
      </c>
      <c r="O3588" s="31" t="str">
        <f aca="false">IF(H3588="","Open",IF(H3588&lt;=INDEX(Assumptions!$C$15:$C$18,MATCH(E3588,Assumptions!$A$15:$A$18,0)),"Yes","No"))</f>
        <v>No</v>
      </c>
    </row>
    <row r="3589" customFormat="false" ht="15" hidden="false" customHeight="false" outlineLevel="0" collapsed="false">
      <c r="A3589" s="31" t="s">
        <v>3739</v>
      </c>
      <c r="B3589" s="44" t="n">
        <v>46253</v>
      </c>
      <c r="C3589" s="31" t="s">
        <v>57</v>
      </c>
      <c r="D3589" s="31" t="s">
        <v>66</v>
      </c>
      <c r="E3589" s="31" t="s">
        <v>50</v>
      </c>
      <c r="F3589" s="31" t="s">
        <v>120</v>
      </c>
      <c r="G3589" s="31" t="n">
        <v>4</v>
      </c>
      <c r="H3589" s="41" t="n">
        <v>5.4</v>
      </c>
      <c r="I3589" s="31" t="s">
        <v>149</v>
      </c>
      <c r="J3589" s="31" t="n">
        <v>4</v>
      </c>
      <c r="K3589" s="31" t="s">
        <v>153</v>
      </c>
      <c r="L3589" s="45" t="n">
        <f aca="false">DATE(YEAR(B3589),MONTH(B3589),1)</f>
        <v>46235</v>
      </c>
      <c r="M3589" s="31" t="n">
        <f aca="false">WEEKDAY(B3589,2)</f>
        <v>3</v>
      </c>
      <c r="N3589" s="31" t="str">
        <f aca="false">IF(G3589&lt;=INDEX(Assumptions!$B$15:$B$18,MATCH(E3589,Assumptions!$A$15:$A$18,0)),"Yes","No")</f>
        <v>Yes</v>
      </c>
      <c r="O3589" s="31" t="str">
        <f aca="false">IF(H3589="","Open",IF(H3589&lt;=INDEX(Assumptions!$C$15:$C$18,MATCH(E3589,Assumptions!$A$15:$A$18,0)),"Yes","No"))</f>
        <v>Yes</v>
      </c>
    </row>
    <row r="3590" customFormat="false" ht="15" hidden="false" customHeight="false" outlineLevel="0" collapsed="false">
      <c r="A3590" s="31" t="s">
        <v>3740</v>
      </c>
      <c r="B3590" s="44" t="n">
        <v>46253</v>
      </c>
      <c r="C3590" s="31" t="s">
        <v>59</v>
      </c>
      <c r="D3590" s="31" t="s">
        <v>66</v>
      </c>
      <c r="E3590" s="31" t="s">
        <v>50</v>
      </c>
      <c r="F3590" s="31" t="s">
        <v>134</v>
      </c>
      <c r="G3590" s="31" t="n">
        <v>130</v>
      </c>
      <c r="H3590" s="41" t="n">
        <v>0.7</v>
      </c>
      <c r="I3590" s="31" t="s">
        <v>149</v>
      </c>
      <c r="J3590" s="31" t="n">
        <v>4</v>
      </c>
      <c r="K3590" s="31" t="s">
        <v>150</v>
      </c>
      <c r="L3590" s="45" t="n">
        <f aca="false">DATE(YEAR(B3590),MONTH(B3590),1)</f>
        <v>46235</v>
      </c>
      <c r="M3590" s="31" t="n">
        <f aca="false">WEEKDAY(B3590,2)</f>
        <v>3</v>
      </c>
      <c r="N3590" s="31" t="str">
        <f aca="false">IF(G3590&lt;=INDEX(Assumptions!$B$15:$B$18,MATCH(E3590,Assumptions!$A$15:$A$18,0)),"Yes","No")</f>
        <v>No</v>
      </c>
      <c r="O3590" s="31" t="str">
        <f aca="false">IF(H3590="","Open",IF(H3590&lt;=INDEX(Assumptions!$C$15:$C$18,MATCH(E3590,Assumptions!$A$15:$A$18,0)),"Yes","No"))</f>
        <v>Yes</v>
      </c>
    </row>
    <row r="3591" customFormat="false" ht="15" hidden="false" customHeight="false" outlineLevel="0" collapsed="false">
      <c r="A3591" s="31" t="s">
        <v>3741</v>
      </c>
      <c r="B3591" s="44" t="n">
        <v>46253</v>
      </c>
      <c r="C3591" s="31" t="s">
        <v>59</v>
      </c>
      <c r="D3591" s="31" t="s">
        <v>68</v>
      </c>
      <c r="E3591" s="31" t="s">
        <v>52</v>
      </c>
      <c r="F3591" s="31" t="s">
        <v>121</v>
      </c>
      <c r="G3591" s="31" t="n">
        <v>150</v>
      </c>
      <c r="H3591" s="41" t="n">
        <v>9.1</v>
      </c>
      <c r="I3591" s="31" t="s">
        <v>149</v>
      </c>
      <c r="J3591" s="31"/>
      <c r="K3591" s="31" t="s">
        <v>150</v>
      </c>
      <c r="L3591" s="45" t="n">
        <f aca="false">DATE(YEAR(B3591),MONTH(B3591),1)</f>
        <v>46235</v>
      </c>
      <c r="M3591" s="31" t="n">
        <f aca="false">WEEKDAY(B3591,2)</f>
        <v>3</v>
      </c>
      <c r="N3591" s="31" t="str">
        <f aca="false">IF(G3591&lt;=INDEX(Assumptions!$B$15:$B$18,MATCH(E3591,Assumptions!$A$15:$A$18,0)),"Yes","No")</f>
        <v>Yes</v>
      </c>
      <c r="O3591" s="31" t="str">
        <f aca="false">IF(H3591="","Open",IF(H3591&lt;=INDEX(Assumptions!$C$15:$C$18,MATCH(E3591,Assumptions!$A$15:$A$18,0)),"Yes","No"))</f>
        <v>Yes</v>
      </c>
    </row>
    <row r="3592" customFormat="false" ht="15" hidden="false" customHeight="false" outlineLevel="0" collapsed="false">
      <c r="A3592" s="31" t="s">
        <v>3742</v>
      </c>
      <c r="B3592" s="44" t="n">
        <v>46253</v>
      </c>
      <c r="C3592" s="31" t="s">
        <v>57</v>
      </c>
      <c r="D3592" s="31" t="s">
        <v>66</v>
      </c>
      <c r="E3592" s="31" t="s">
        <v>51</v>
      </c>
      <c r="F3592" s="31" t="s">
        <v>117</v>
      </c>
      <c r="G3592" s="31" t="n">
        <v>2</v>
      </c>
      <c r="H3592" s="41" t="n">
        <v>11.7</v>
      </c>
      <c r="I3592" s="31" t="s">
        <v>64</v>
      </c>
      <c r="J3592" s="31" t="n">
        <v>4</v>
      </c>
      <c r="K3592" s="31" t="s">
        <v>150</v>
      </c>
      <c r="L3592" s="45" t="n">
        <f aca="false">DATE(YEAR(B3592),MONTH(B3592),1)</f>
        <v>46235</v>
      </c>
      <c r="M3592" s="31" t="n">
        <f aca="false">WEEKDAY(B3592,2)</f>
        <v>3</v>
      </c>
      <c r="N3592" s="31" t="str">
        <f aca="false">IF(G3592&lt;=INDEX(Assumptions!$B$15:$B$18,MATCH(E3592,Assumptions!$A$15:$A$18,0)),"Yes","No")</f>
        <v>Yes</v>
      </c>
      <c r="O3592" s="31" t="str">
        <f aca="false">IF(H3592="","Open",IF(H3592&lt;=INDEX(Assumptions!$C$15:$C$18,MATCH(E3592,Assumptions!$A$15:$A$18,0)),"Yes","No"))</f>
        <v>Yes</v>
      </c>
    </row>
    <row r="3593" customFormat="false" ht="15" hidden="false" customHeight="false" outlineLevel="0" collapsed="false">
      <c r="A3593" s="31" t="s">
        <v>3743</v>
      </c>
      <c r="B3593" s="44" t="n">
        <v>46253</v>
      </c>
      <c r="C3593" s="31" t="s">
        <v>60</v>
      </c>
      <c r="D3593" s="31" t="s">
        <v>66</v>
      </c>
      <c r="E3593" s="31" t="s">
        <v>51</v>
      </c>
      <c r="F3593" s="31" t="s">
        <v>117</v>
      </c>
      <c r="G3593" s="31" t="n">
        <v>1</v>
      </c>
      <c r="H3593" s="41" t="n">
        <v>5.8</v>
      </c>
      <c r="I3593" s="31" t="s">
        <v>149</v>
      </c>
      <c r="J3593" s="31" t="n">
        <v>5</v>
      </c>
      <c r="K3593" s="31" t="s">
        <v>150</v>
      </c>
      <c r="L3593" s="45" t="n">
        <f aca="false">DATE(YEAR(B3593),MONTH(B3593),1)</f>
        <v>46235</v>
      </c>
      <c r="M3593" s="31" t="n">
        <f aca="false">WEEKDAY(B3593,2)</f>
        <v>3</v>
      </c>
      <c r="N3593" s="31" t="str">
        <f aca="false">IF(G3593&lt;=INDEX(Assumptions!$B$15:$B$18,MATCH(E3593,Assumptions!$A$15:$A$18,0)),"Yes","No")</f>
        <v>Yes</v>
      </c>
      <c r="O3593" s="31" t="str">
        <f aca="false">IF(H3593="","Open",IF(H3593&lt;=INDEX(Assumptions!$C$15:$C$18,MATCH(E3593,Assumptions!$A$15:$A$18,0)),"Yes","No"))</f>
        <v>Yes</v>
      </c>
    </row>
    <row r="3594" customFormat="false" ht="15" hidden="false" customHeight="false" outlineLevel="0" collapsed="false">
      <c r="A3594" s="31" t="s">
        <v>3744</v>
      </c>
      <c r="B3594" s="44" t="n">
        <v>46253</v>
      </c>
      <c r="C3594" s="31" t="s">
        <v>57</v>
      </c>
      <c r="D3594" s="31" t="s">
        <v>65</v>
      </c>
      <c r="E3594" s="31" t="s">
        <v>51</v>
      </c>
      <c r="F3594" s="31" t="s">
        <v>128</v>
      </c>
      <c r="G3594" s="31" t="n">
        <v>3</v>
      </c>
      <c r="H3594" s="41" t="n">
        <v>86.9</v>
      </c>
      <c r="I3594" s="31" t="s">
        <v>149</v>
      </c>
      <c r="J3594" s="31"/>
      <c r="K3594" s="31" t="s">
        <v>150</v>
      </c>
      <c r="L3594" s="45" t="n">
        <f aca="false">DATE(YEAR(B3594),MONTH(B3594),1)</f>
        <v>46235</v>
      </c>
      <c r="M3594" s="31" t="n">
        <f aca="false">WEEKDAY(B3594,2)</f>
        <v>3</v>
      </c>
      <c r="N3594" s="31" t="str">
        <f aca="false">IF(G3594&lt;=INDEX(Assumptions!$B$15:$B$18,MATCH(E3594,Assumptions!$A$15:$A$18,0)),"Yes","No")</f>
        <v>Yes</v>
      </c>
      <c r="O3594" s="31" t="str">
        <f aca="false">IF(H3594="","Open",IF(H3594&lt;=INDEX(Assumptions!$C$15:$C$18,MATCH(E3594,Assumptions!$A$15:$A$18,0)),"Yes","No"))</f>
        <v>No</v>
      </c>
    </row>
    <row r="3595" customFormat="false" ht="15" hidden="false" customHeight="false" outlineLevel="0" collapsed="false">
      <c r="A3595" s="31" t="s">
        <v>3745</v>
      </c>
      <c r="B3595" s="44" t="n">
        <v>46253</v>
      </c>
      <c r="C3595" s="31" t="s">
        <v>57</v>
      </c>
      <c r="D3595" s="31" t="s">
        <v>67</v>
      </c>
      <c r="E3595" s="31" t="s">
        <v>52</v>
      </c>
      <c r="F3595" s="31" t="s">
        <v>133</v>
      </c>
      <c r="G3595" s="31" t="n">
        <v>6</v>
      </c>
      <c r="H3595" s="41" t="n">
        <v>22.9</v>
      </c>
      <c r="I3595" s="31" t="s">
        <v>149</v>
      </c>
      <c r="J3595" s="31" t="n">
        <v>5</v>
      </c>
      <c r="K3595" s="31" t="s">
        <v>150</v>
      </c>
      <c r="L3595" s="45" t="n">
        <f aca="false">DATE(YEAR(B3595),MONTH(B3595),1)</f>
        <v>46235</v>
      </c>
      <c r="M3595" s="31" t="n">
        <f aca="false">WEEKDAY(B3595,2)</f>
        <v>3</v>
      </c>
      <c r="N3595" s="31" t="str">
        <f aca="false">IF(G3595&lt;=INDEX(Assumptions!$B$15:$B$18,MATCH(E3595,Assumptions!$A$15:$A$18,0)),"Yes","No")</f>
        <v>Yes</v>
      </c>
      <c r="O3595" s="31" t="str">
        <f aca="false">IF(H3595="","Open",IF(H3595&lt;=INDEX(Assumptions!$C$15:$C$18,MATCH(E3595,Assumptions!$A$15:$A$18,0)),"Yes","No"))</f>
        <v>Yes</v>
      </c>
    </row>
    <row r="3596" customFormat="false" ht="15" hidden="false" customHeight="false" outlineLevel="0" collapsed="false">
      <c r="A3596" s="31" t="s">
        <v>3746</v>
      </c>
      <c r="B3596" s="44" t="n">
        <v>46253</v>
      </c>
      <c r="C3596" s="31" t="s">
        <v>58</v>
      </c>
      <c r="D3596" s="31" t="s">
        <v>68</v>
      </c>
      <c r="E3596" s="31" t="s">
        <v>50</v>
      </c>
      <c r="F3596" s="31" t="s">
        <v>134</v>
      </c>
      <c r="G3596" s="31" t="n">
        <v>21</v>
      </c>
      <c r="H3596" s="41" t="n">
        <v>4</v>
      </c>
      <c r="I3596" s="31" t="s">
        <v>149</v>
      </c>
      <c r="J3596" s="31"/>
      <c r="K3596" s="31" t="s">
        <v>150</v>
      </c>
      <c r="L3596" s="45" t="n">
        <f aca="false">DATE(YEAR(B3596),MONTH(B3596),1)</f>
        <v>46235</v>
      </c>
      <c r="M3596" s="31" t="n">
        <f aca="false">WEEKDAY(B3596,2)</f>
        <v>3</v>
      </c>
      <c r="N3596" s="31" t="str">
        <f aca="false">IF(G3596&lt;=INDEX(Assumptions!$B$15:$B$18,MATCH(E3596,Assumptions!$A$15:$A$18,0)),"Yes","No")</f>
        <v>Yes</v>
      </c>
      <c r="O3596" s="31" t="str">
        <f aca="false">IF(H3596="","Open",IF(H3596&lt;=INDEX(Assumptions!$C$15:$C$18,MATCH(E3596,Assumptions!$A$15:$A$18,0)),"Yes","No"))</f>
        <v>Yes</v>
      </c>
    </row>
    <row r="3597" customFormat="false" ht="15" hidden="false" customHeight="false" outlineLevel="0" collapsed="false">
      <c r="A3597" s="31" t="s">
        <v>3747</v>
      </c>
      <c r="B3597" s="44" t="n">
        <v>46253</v>
      </c>
      <c r="C3597" s="31" t="s">
        <v>58</v>
      </c>
      <c r="D3597" s="31" t="s">
        <v>67</v>
      </c>
      <c r="E3597" s="31" t="s">
        <v>51</v>
      </c>
      <c r="F3597" s="31" t="s">
        <v>128</v>
      </c>
      <c r="G3597" s="31" t="n">
        <v>36</v>
      </c>
      <c r="H3597" s="41" t="n">
        <v>44.2</v>
      </c>
      <c r="I3597" s="31" t="s">
        <v>64</v>
      </c>
      <c r="J3597" s="31" t="n">
        <v>1</v>
      </c>
      <c r="K3597" s="31" t="s">
        <v>150</v>
      </c>
      <c r="L3597" s="45" t="n">
        <f aca="false">DATE(YEAR(B3597),MONTH(B3597),1)</f>
        <v>46235</v>
      </c>
      <c r="M3597" s="31" t="n">
        <f aca="false">WEEKDAY(B3597,2)</f>
        <v>3</v>
      </c>
      <c r="N3597" s="31" t="str">
        <f aca="false">IF(G3597&lt;=INDEX(Assumptions!$B$15:$B$18,MATCH(E3597,Assumptions!$A$15:$A$18,0)),"Yes","No")</f>
        <v>Yes</v>
      </c>
      <c r="O3597" s="31" t="str">
        <f aca="false">IF(H3597="","Open",IF(H3597&lt;=INDEX(Assumptions!$C$15:$C$18,MATCH(E3597,Assumptions!$A$15:$A$18,0)),"Yes","No"))</f>
        <v>No</v>
      </c>
    </row>
    <row r="3598" customFormat="false" ht="15" hidden="false" customHeight="false" outlineLevel="0" collapsed="false">
      <c r="A3598" s="31" t="s">
        <v>3748</v>
      </c>
      <c r="B3598" s="44" t="n">
        <v>46253</v>
      </c>
      <c r="C3598" s="31" t="s">
        <v>57</v>
      </c>
      <c r="D3598" s="31" t="s">
        <v>66</v>
      </c>
      <c r="E3598" s="31" t="s">
        <v>52</v>
      </c>
      <c r="F3598" s="31" t="s">
        <v>136</v>
      </c>
      <c r="G3598" s="31" t="n">
        <v>3</v>
      </c>
      <c r="H3598" s="41" t="n">
        <v>9.3</v>
      </c>
      <c r="I3598" s="31" t="s">
        <v>149</v>
      </c>
      <c r="J3598" s="31" t="n">
        <v>5</v>
      </c>
      <c r="K3598" s="31" t="s">
        <v>150</v>
      </c>
      <c r="L3598" s="45" t="n">
        <f aca="false">DATE(YEAR(B3598),MONTH(B3598),1)</f>
        <v>46235</v>
      </c>
      <c r="M3598" s="31" t="n">
        <f aca="false">WEEKDAY(B3598,2)</f>
        <v>3</v>
      </c>
      <c r="N3598" s="31" t="str">
        <f aca="false">IF(G3598&lt;=INDEX(Assumptions!$B$15:$B$18,MATCH(E3598,Assumptions!$A$15:$A$18,0)),"Yes","No")</f>
        <v>Yes</v>
      </c>
      <c r="O3598" s="31" t="str">
        <f aca="false">IF(H3598="","Open",IF(H3598&lt;=INDEX(Assumptions!$C$15:$C$18,MATCH(E3598,Assumptions!$A$15:$A$18,0)),"Yes","No"))</f>
        <v>Yes</v>
      </c>
    </row>
    <row r="3599" customFormat="false" ht="15" hidden="false" customHeight="false" outlineLevel="0" collapsed="false">
      <c r="A3599" s="31" t="s">
        <v>3749</v>
      </c>
      <c r="B3599" s="44" t="n">
        <v>46253</v>
      </c>
      <c r="C3599" s="31" t="s">
        <v>60</v>
      </c>
      <c r="D3599" s="31" t="s">
        <v>65</v>
      </c>
      <c r="E3599" s="31" t="s">
        <v>51</v>
      </c>
      <c r="F3599" s="31" t="s">
        <v>137</v>
      </c>
      <c r="G3599" s="31" t="n">
        <v>4</v>
      </c>
      <c r="H3599" s="41" t="n">
        <v>8.4</v>
      </c>
      <c r="I3599" s="31" t="s">
        <v>149</v>
      </c>
      <c r="J3599" s="31" t="n">
        <v>5</v>
      </c>
      <c r="K3599" s="31" t="s">
        <v>150</v>
      </c>
      <c r="L3599" s="45" t="n">
        <f aca="false">DATE(YEAR(B3599),MONTH(B3599),1)</f>
        <v>46235</v>
      </c>
      <c r="M3599" s="31" t="n">
        <f aca="false">WEEKDAY(B3599,2)</f>
        <v>3</v>
      </c>
      <c r="N3599" s="31" t="str">
        <f aca="false">IF(G3599&lt;=INDEX(Assumptions!$B$15:$B$18,MATCH(E3599,Assumptions!$A$15:$A$18,0)),"Yes","No")</f>
        <v>Yes</v>
      </c>
      <c r="O3599" s="31" t="str">
        <f aca="false">IF(H3599="","Open",IF(H3599&lt;=INDEX(Assumptions!$C$15:$C$18,MATCH(E3599,Assumptions!$A$15:$A$18,0)),"Yes","No"))</f>
        <v>Yes</v>
      </c>
    </row>
    <row r="3600" customFormat="false" ht="15" hidden="false" customHeight="false" outlineLevel="0" collapsed="false">
      <c r="A3600" s="31" t="s">
        <v>3750</v>
      </c>
      <c r="B3600" s="44" t="n">
        <v>46253</v>
      </c>
      <c r="C3600" s="31" t="s">
        <v>57</v>
      </c>
      <c r="D3600" s="31" t="s">
        <v>66</v>
      </c>
      <c r="E3600" s="31" t="s">
        <v>52</v>
      </c>
      <c r="F3600" s="31" t="s">
        <v>137</v>
      </c>
      <c r="G3600" s="31" t="n">
        <v>30</v>
      </c>
      <c r="H3600" s="41" t="n">
        <v>24.8</v>
      </c>
      <c r="I3600" s="31" t="s">
        <v>149</v>
      </c>
      <c r="J3600" s="31" t="n">
        <v>3</v>
      </c>
      <c r="K3600" s="31" t="s">
        <v>153</v>
      </c>
      <c r="L3600" s="45" t="n">
        <f aca="false">DATE(YEAR(B3600),MONTH(B3600),1)</f>
        <v>46235</v>
      </c>
      <c r="M3600" s="31" t="n">
        <f aca="false">WEEKDAY(B3600,2)</f>
        <v>3</v>
      </c>
      <c r="N3600" s="31" t="str">
        <f aca="false">IF(G3600&lt;=INDEX(Assumptions!$B$15:$B$18,MATCH(E3600,Assumptions!$A$15:$A$18,0)),"Yes","No")</f>
        <v>Yes</v>
      </c>
      <c r="O3600" s="31" t="str">
        <f aca="false">IF(H3600="","Open",IF(H3600&lt;=INDEX(Assumptions!$C$15:$C$18,MATCH(E3600,Assumptions!$A$15:$A$18,0)),"Yes","No"))</f>
        <v>Yes</v>
      </c>
    </row>
    <row r="3601" customFormat="false" ht="15" hidden="false" customHeight="false" outlineLevel="0" collapsed="false">
      <c r="A3601" s="31" t="s">
        <v>3751</v>
      </c>
      <c r="B3601" s="44" t="n">
        <v>46253</v>
      </c>
      <c r="C3601" s="31" t="s">
        <v>59</v>
      </c>
      <c r="D3601" s="31" t="s">
        <v>69</v>
      </c>
      <c r="E3601" s="31" t="s">
        <v>51</v>
      </c>
      <c r="F3601" s="31" t="s">
        <v>133</v>
      </c>
      <c r="G3601" s="31" t="n">
        <v>39</v>
      </c>
      <c r="H3601" s="41" t="n">
        <v>34.1</v>
      </c>
      <c r="I3601" s="31" t="s">
        <v>149</v>
      </c>
      <c r="J3601" s="31"/>
      <c r="K3601" s="31" t="s">
        <v>150</v>
      </c>
      <c r="L3601" s="45" t="n">
        <f aca="false">DATE(YEAR(B3601),MONTH(B3601),1)</f>
        <v>46235</v>
      </c>
      <c r="M3601" s="31" t="n">
        <f aca="false">WEEKDAY(B3601,2)</f>
        <v>3</v>
      </c>
      <c r="N3601" s="31" t="str">
        <f aca="false">IF(G3601&lt;=INDEX(Assumptions!$B$15:$B$18,MATCH(E3601,Assumptions!$A$15:$A$18,0)),"Yes","No")</f>
        <v>Yes</v>
      </c>
      <c r="O3601" s="31" t="str">
        <f aca="false">IF(H3601="","Open",IF(H3601&lt;=INDEX(Assumptions!$C$15:$C$18,MATCH(E3601,Assumptions!$A$15:$A$18,0)),"Yes","No"))</f>
        <v>No</v>
      </c>
    </row>
    <row r="3602" customFormat="false" ht="15" hidden="false" customHeight="false" outlineLevel="0" collapsed="false">
      <c r="A3602" s="31" t="s">
        <v>3752</v>
      </c>
      <c r="B3602" s="44" t="n">
        <v>46253</v>
      </c>
      <c r="C3602" s="31" t="s">
        <v>58</v>
      </c>
      <c r="D3602" s="31" t="s">
        <v>67</v>
      </c>
      <c r="E3602" s="31" t="s">
        <v>51</v>
      </c>
      <c r="F3602" s="31" t="s">
        <v>136</v>
      </c>
      <c r="G3602" s="31" t="n">
        <v>19</v>
      </c>
      <c r="H3602" s="41" t="n">
        <v>12.1</v>
      </c>
      <c r="I3602" s="31" t="s">
        <v>149</v>
      </c>
      <c r="J3602" s="31" t="n">
        <v>5</v>
      </c>
      <c r="K3602" s="31" t="s">
        <v>150</v>
      </c>
      <c r="L3602" s="45" t="n">
        <f aca="false">DATE(YEAR(B3602),MONTH(B3602),1)</f>
        <v>46235</v>
      </c>
      <c r="M3602" s="31" t="n">
        <f aca="false">WEEKDAY(B3602,2)</f>
        <v>3</v>
      </c>
      <c r="N3602" s="31" t="str">
        <f aca="false">IF(G3602&lt;=INDEX(Assumptions!$B$15:$B$18,MATCH(E3602,Assumptions!$A$15:$A$18,0)),"Yes","No")</f>
        <v>Yes</v>
      </c>
      <c r="O3602" s="31" t="str">
        <f aca="false">IF(H3602="","Open",IF(H3602&lt;=INDEX(Assumptions!$C$15:$C$18,MATCH(E3602,Assumptions!$A$15:$A$18,0)),"Yes","No"))</f>
        <v>Yes</v>
      </c>
    </row>
    <row r="3603" customFormat="false" ht="15" hidden="false" customHeight="false" outlineLevel="0" collapsed="false">
      <c r="A3603" s="31" t="s">
        <v>3753</v>
      </c>
      <c r="B3603" s="44" t="n">
        <v>46253</v>
      </c>
      <c r="C3603" s="31" t="s">
        <v>60</v>
      </c>
      <c r="D3603" s="31" t="s">
        <v>68</v>
      </c>
      <c r="E3603" s="31" t="s">
        <v>51</v>
      </c>
      <c r="F3603" s="31" t="s">
        <v>123</v>
      </c>
      <c r="G3603" s="31" t="n">
        <v>1</v>
      </c>
      <c r="H3603" s="41" t="n">
        <v>5.1</v>
      </c>
      <c r="I3603" s="31" t="s">
        <v>149</v>
      </c>
      <c r="J3603" s="31" t="n">
        <v>4</v>
      </c>
      <c r="K3603" s="31" t="s">
        <v>150</v>
      </c>
      <c r="L3603" s="45" t="n">
        <f aca="false">DATE(YEAR(B3603),MONTH(B3603),1)</f>
        <v>46235</v>
      </c>
      <c r="M3603" s="31" t="n">
        <f aca="false">WEEKDAY(B3603,2)</f>
        <v>3</v>
      </c>
      <c r="N3603" s="31" t="str">
        <f aca="false">IF(G3603&lt;=INDEX(Assumptions!$B$15:$B$18,MATCH(E3603,Assumptions!$A$15:$A$18,0)),"Yes","No")</f>
        <v>Yes</v>
      </c>
      <c r="O3603" s="31" t="str">
        <f aca="false">IF(H3603="","Open",IF(H3603&lt;=INDEX(Assumptions!$C$15:$C$18,MATCH(E3603,Assumptions!$A$15:$A$18,0)),"Yes","No"))</f>
        <v>Yes</v>
      </c>
    </row>
    <row r="3604" customFormat="false" ht="15" hidden="false" customHeight="false" outlineLevel="0" collapsed="false">
      <c r="A3604" s="31" t="s">
        <v>3754</v>
      </c>
      <c r="B3604" s="44" t="n">
        <v>46253</v>
      </c>
      <c r="C3604" s="31" t="s">
        <v>57</v>
      </c>
      <c r="D3604" s="31" t="s">
        <v>65</v>
      </c>
      <c r="E3604" s="31" t="s">
        <v>51</v>
      </c>
      <c r="F3604" s="31" t="s">
        <v>133</v>
      </c>
      <c r="G3604" s="31" t="n">
        <v>1</v>
      </c>
      <c r="H3604" s="41" t="n">
        <v>19.1</v>
      </c>
      <c r="I3604" s="31" t="s">
        <v>149</v>
      </c>
      <c r="J3604" s="31" t="n">
        <v>4</v>
      </c>
      <c r="K3604" s="31" t="s">
        <v>150</v>
      </c>
      <c r="L3604" s="45" t="n">
        <f aca="false">DATE(YEAR(B3604),MONTH(B3604),1)</f>
        <v>46235</v>
      </c>
      <c r="M3604" s="31" t="n">
        <f aca="false">WEEKDAY(B3604,2)</f>
        <v>3</v>
      </c>
      <c r="N3604" s="31" t="str">
        <f aca="false">IF(G3604&lt;=INDEX(Assumptions!$B$15:$B$18,MATCH(E3604,Assumptions!$A$15:$A$18,0)),"Yes","No")</f>
        <v>Yes</v>
      </c>
      <c r="O3604" s="31" t="str">
        <f aca="false">IF(H3604="","Open",IF(H3604&lt;=INDEX(Assumptions!$C$15:$C$18,MATCH(E3604,Assumptions!$A$15:$A$18,0)),"Yes","No"))</f>
        <v>Yes</v>
      </c>
    </row>
    <row r="3605" customFormat="false" ht="15" hidden="false" customHeight="false" outlineLevel="0" collapsed="false">
      <c r="A3605" s="31" t="s">
        <v>3755</v>
      </c>
      <c r="B3605" s="44" t="n">
        <v>46253</v>
      </c>
      <c r="C3605" s="31" t="s">
        <v>59</v>
      </c>
      <c r="D3605" s="31" t="s">
        <v>65</v>
      </c>
      <c r="E3605" s="31" t="s">
        <v>51</v>
      </c>
      <c r="F3605" s="31" t="s">
        <v>134</v>
      </c>
      <c r="G3605" s="31" t="n">
        <v>236</v>
      </c>
      <c r="H3605" s="41" t="n">
        <v>4.9</v>
      </c>
      <c r="I3605" s="31" t="s">
        <v>149</v>
      </c>
      <c r="J3605" s="31" t="n">
        <v>3</v>
      </c>
      <c r="K3605" s="31" t="s">
        <v>150</v>
      </c>
      <c r="L3605" s="45" t="n">
        <f aca="false">DATE(YEAR(B3605),MONTH(B3605),1)</f>
        <v>46235</v>
      </c>
      <c r="M3605" s="31" t="n">
        <f aca="false">WEEKDAY(B3605,2)</f>
        <v>3</v>
      </c>
      <c r="N3605" s="31" t="str">
        <f aca="false">IF(G3605&lt;=INDEX(Assumptions!$B$15:$B$18,MATCH(E3605,Assumptions!$A$15:$A$18,0)),"Yes","No")</f>
        <v>No</v>
      </c>
      <c r="O3605" s="31" t="str">
        <f aca="false">IF(H3605="","Open",IF(H3605&lt;=INDEX(Assumptions!$C$15:$C$18,MATCH(E3605,Assumptions!$A$15:$A$18,0)),"Yes","No"))</f>
        <v>Yes</v>
      </c>
    </row>
    <row r="3606" customFormat="false" ht="15" hidden="false" customHeight="false" outlineLevel="0" collapsed="false">
      <c r="A3606" s="31" t="s">
        <v>3756</v>
      </c>
      <c r="B3606" s="44" t="n">
        <v>46253</v>
      </c>
      <c r="C3606" s="31" t="s">
        <v>57</v>
      </c>
      <c r="D3606" s="31" t="s">
        <v>68</v>
      </c>
      <c r="E3606" s="31" t="s">
        <v>50</v>
      </c>
      <c r="F3606" s="31" t="s">
        <v>131</v>
      </c>
      <c r="G3606" s="31" t="n">
        <v>1</v>
      </c>
      <c r="H3606" s="41" t="n">
        <v>2.1</v>
      </c>
      <c r="I3606" s="31" t="s">
        <v>149</v>
      </c>
      <c r="J3606" s="31"/>
      <c r="K3606" s="31" t="s">
        <v>150</v>
      </c>
      <c r="L3606" s="45" t="n">
        <f aca="false">DATE(YEAR(B3606),MONTH(B3606),1)</f>
        <v>46235</v>
      </c>
      <c r="M3606" s="31" t="n">
        <f aca="false">WEEKDAY(B3606,2)</f>
        <v>3</v>
      </c>
      <c r="N3606" s="31" t="str">
        <f aca="false">IF(G3606&lt;=INDEX(Assumptions!$B$15:$B$18,MATCH(E3606,Assumptions!$A$15:$A$18,0)),"Yes","No")</f>
        <v>Yes</v>
      </c>
      <c r="O3606" s="31" t="str">
        <f aca="false">IF(H3606="","Open",IF(H3606&lt;=INDEX(Assumptions!$C$15:$C$18,MATCH(E3606,Assumptions!$A$15:$A$18,0)),"Yes","No"))</f>
        <v>Yes</v>
      </c>
    </row>
    <row r="3607" customFormat="false" ht="15" hidden="false" customHeight="false" outlineLevel="0" collapsed="false">
      <c r="A3607" s="31" t="s">
        <v>3757</v>
      </c>
      <c r="B3607" s="44" t="n">
        <v>46253</v>
      </c>
      <c r="C3607" s="31" t="s">
        <v>60</v>
      </c>
      <c r="D3607" s="31" t="s">
        <v>67</v>
      </c>
      <c r="E3607" s="31" t="s">
        <v>51</v>
      </c>
      <c r="F3607" s="31" t="s">
        <v>117</v>
      </c>
      <c r="G3607" s="31" t="n">
        <v>2</v>
      </c>
      <c r="H3607" s="41" t="n">
        <v>6.5</v>
      </c>
      <c r="I3607" s="31" t="s">
        <v>149</v>
      </c>
      <c r="J3607" s="31"/>
      <c r="K3607" s="31" t="s">
        <v>150</v>
      </c>
      <c r="L3607" s="45" t="n">
        <f aca="false">DATE(YEAR(B3607),MONTH(B3607),1)</f>
        <v>46235</v>
      </c>
      <c r="M3607" s="31" t="n">
        <f aca="false">WEEKDAY(B3607,2)</f>
        <v>3</v>
      </c>
      <c r="N3607" s="31" t="str">
        <f aca="false">IF(G3607&lt;=INDEX(Assumptions!$B$15:$B$18,MATCH(E3607,Assumptions!$A$15:$A$18,0)),"Yes","No")</f>
        <v>Yes</v>
      </c>
      <c r="O3607" s="31" t="str">
        <f aca="false">IF(H3607="","Open",IF(H3607&lt;=INDEX(Assumptions!$C$15:$C$18,MATCH(E3607,Assumptions!$A$15:$A$18,0)),"Yes","No"))</f>
        <v>Yes</v>
      </c>
    </row>
    <row r="3608" customFormat="false" ht="15" hidden="false" customHeight="false" outlineLevel="0" collapsed="false">
      <c r="A3608" s="31" t="s">
        <v>3758</v>
      </c>
      <c r="B3608" s="44" t="n">
        <v>46253</v>
      </c>
      <c r="C3608" s="31" t="s">
        <v>57</v>
      </c>
      <c r="D3608" s="31" t="s">
        <v>67</v>
      </c>
      <c r="E3608" s="31" t="s">
        <v>51</v>
      </c>
      <c r="F3608" s="31" t="s">
        <v>126</v>
      </c>
      <c r="G3608" s="31" t="n">
        <v>1</v>
      </c>
      <c r="H3608" s="41" t="n">
        <v>43.5</v>
      </c>
      <c r="I3608" s="31" t="s">
        <v>149</v>
      </c>
      <c r="J3608" s="31" t="n">
        <v>4</v>
      </c>
      <c r="K3608" s="31" t="s">
        <v>150</v>
      </c>
      <c r="L3608" s="45" t="n">
        <f aca="false">DATE(YEAR(B3608),MONTH(B3608),1)</f>
        <v>46235</v>
      </c>
      <c r="M3608" s="31" t="n">
        <f aca="false">WEEKDAY(B3608,2)</f>
        <v>3</v>
      </c>
      <c r="N3608" s="31" t="str">
        <f aca="false">IF(G3608&lt;=INDEX(Assumptions!$B$15:$B$18,MATCH(E3608,Assumptions!$A$15:$A$18,0)),"Yes","No")</f>
        <v>Yes</v>
      </c>
      <c r="O3608" s="31" t="str">
        <f aca="false">IF(H3608="","Open",IF(H3608&lt;=INDEX(Assumptions!$C$15:$C$18,MATCH(E3608,Assumptions!$A$15:$A$18,0)),"Yes","No"))</f>
        <v>No</v>
      </c>
    </row>
    <row r="3609" customFormat="false" ht="15" hidden="false" customHeight="false" outlineLevel="0" collapsed="false">
      <c r="A3609" s="31" t="s">
        <v>3759</v>
      </c>
      <c r="B3609" s="44" t="n">
        <v>46253</v>
      </c>
      <c r="C3609" s="31" t="s">
        <v>59</v>
      </c>
      <c r="D3609" s="31" t="s">
        <v>69</v>
      </c>
      <c r="E3609" s="31" t="s">
        <v>52</v>
      </c>
      <c r="F3609" s="31" t="s">
        <v>134</v>
      </c>
      <c r="G3609" s="31" t="n">
        <v>135</v>
      </c>
      <c r="H3609" s="41" t="n">
        <v>48.5</v>
      </c>
      <c r="I3609" s="31" t="s">
        <v>149</v>
      </c>
      <c r="J3609" s="31"/>
      <c r="K3609" s="31" t="s">
        <v>150</v>
      </c>
      <c r="L3609" s="45" t="n">
        <f aca="false">DATE(YEAR(B3609),MONTH(B3609),1)</f>
        <v>46235</v>
      </c>
      <c r="M3609" s="31" t="n">
        <f aca="false">WEEKDAY(B3609,2)</f>
        <v>3</v>
      </c>
      <c r="N3609" s="31" t="str">
        <f aca="false">IF(G3609&lt;=INDEX(Assumptions!$B$15:$B$18,MATCH(E3609,Assumptions!$A$15:$A$18,0)),"Yes","No")</f>
        <v>Yes</v>
      </c>
      <c r="O3609" s="31" t="str">
        <f aca="false">IF(H3609="","Open",IF(H3609&lt;=INDEX(Assumptions!$C$15:$C$18,MATCH(E3609,Assumptions!$A$15:$A$18,0)),"Yes","No"))</f>
        <v>Yes</v>
      </c>
    </row>
    <row r="3610" customFormat="false" ht="15" hidden="false" customHeight="false" outlineLevel="0" collapsed="false">
      <c r="A3610" s="31" t="s">
        <v>3760</v>
      </c>
      <c r="B3610" s="44" t="n">
        <v>46253</v>
      </c>
      <c r="C3610" s="31" t="s">
        <v>57</v>
      </c>
      <c r="D3610" s="31" t="s">
        <v>66</v>
      </c>
      <c r="E3610" s="31" t="s">
        <v>52</v>
      </c>
      <c r="F3610" s="31" t="s">
        <v>130</v>
      </c>
      <c r="G3610" s="31" t="n">
        <v>2</v>
      </c>
      <c r="H3610" s="41" t="n">
        <v>11.9</v>
      </c>
      <c r="I3610" s="31" t="s">
        <v>149</v>
      </c>
      <c r="J3610" s="31"/>
      <c r="K3610" s="31" t="s">
        <v>153</v>
      </c>
      <c r="L3610" s="45" t="n">
        <f aca="false">DATE(YEAR(B3610),MONTH(B3610),1)</f>
        <v>46235</v>
      </c>
      <c r="M3610" s="31" t="n">
        <f aca="false">WEEKDAY(B3610,2)</f>
        <v>3</v>
      </c>
      <c r="N3610" s="31" t="str">
        <f aca="false">IF(G3610&lt;=INDEX(Assumptions!$B$15:$B$18,MATCH(E3610,Assumptions!$A$15:$A$18,0)),"Yes","No")</f>
        <v>Yes</v>
      </c>
      <c r="O3610" s="31" t="str">
        <f aca="false">IF(H3610="","Open",IF(H3610&lt;=INDEX(Assumptions!$C$15:$C$18,MATCH(E3610,Assumptions!$A$15:$A$18,0)),"Yes","No"))</f>
        <v>Yes</v>
      </c>
    </row>
    <row r="3611" customFormat="false" ht="15" hidden="false" customHeight="false" outlineLevel="0" collapsed="false">
      <c r="A3611" s="31" t="s">
        <v>3761</v>
      </c>
      <c r="B3611" s="44" t="n">
        <v>46253</v>
      </c>
      <c r="C3611" s="31" t="s">
        <v>57</v>
      </c>
      <c r="D3611" s="31" t="s">
        <v>68</v>
      </c>
      <c r="E3611" s="31" t="s">
        <v>52</v>
      </c>
      <c r="F3611" s="31" t="s">
        <v>119</v>
      </c>
      <c r="G3611" s="31" t="n">
        <v>10</v>
      </c>
      <c r="H3611" s="41" t="n">
        <v>8.9</v>
      </c>
      <c r="I3611" s="31" t="s">
        <v>149</v>
      </c>
      <c r="J3611" s="31" t="n">
        <v>5</v>
      </c>
      <c r="K3611" s="31" t="s">
        <v>150</v>
      </c>
      <c r="L3611" s="45" t="n">
        <f aca="false">DATE(YEAR(B3611),MONTH(B3611),1)</f>
        <v>46235</v>
      </c>
      <c r="M3611" s="31" t="n">
        <f aca="false">WEEKDAY(B3611,2)</f>
        <v>3</v>
      </c>
      <c r="N3611" s="31" t="str">
        <f aca="false">IF(G3611&lt;=INDEX(Assumptions!$B$15:$B$18,MATCH(E3611,Assumptions!$A$15:$A$18,0)),"Yes","No")</f>
        <v>Yes</v>
      </c>
      <c r="O3611" s="31" t="str">
        <f aca="false">IF(H3611="","Open",IF(H3611&lt;=INDEX(Assumptions!$C$15:$C$18,MATCH(E3611,Assumptions!$A$15:$A$18,0)),"Yes","No"))</f>
        <v>Yes</v>
      </c>
    </row>
    <row r="3612" customFormat="false" ht="15" hidden="false" customHeight="false" outlineLevel="0" collapsed="false">
      <c r="A3612" s="31" t="s">
        <v>3762</v>
      </c>
      <c r="B3612" s="44" t="n">
        <v>46253</v>
      </c>
      <c r="C3612" s="31" t="s">
        <v>57</v>
      </c>
      <c r="D3612" s="31" t="s">
        <v>65</v>
      </c>
      <c r="E3612" s="31" t="s">
        <v>52</v>
      </c>
      <c r="F3612" s="31" t="s">
        <v>133</v>
      </c>
      <c r="G3612" s="31" t="n">
        <v>5</v>
      </c>
      <c r="H3612" s="41" t="n">
        <v>4.2</v>
      </c>
      <c r="I3612" s="31" t="s">
        <v>149</v>
      </c>
      <c r="J3612" s="31" t="n">
        <v>5</v>
      </c>
      <c r="K3612" s="31" t="s">
        <v>150</v>
      </c>
      <c r="L3612" s="45" t="n">
        <f aca="false">DATE(YEAR(B3612),MONTH(B3612),1)</f>
        <v>46235</v>
      </c>
      <c r="M3612" s="31" t="n">
        <f aca="false">WEEKDAY(B3612,2)</f>
        <v>3</v>
      </c>
      <c r="N3612" s="31" t="str">
        <f aca="false">IF(G3612&lt;=INDEX(Assumptions!$B$15:$B$18,MATCH(E3612,Assumptions!$A$15:$A$18,0)),"Yes","No")</f>
        <v>Yes</v>
      </c>
      <c r="O3612" s="31" t="str">
        <f aca="false">IF(H3612="","Open",IF(H3612&lt;=INDEX(Assumptions!$C$15:$C$18,MATCH(E3612,Assumptions!$A$15:$A$18,0)),"Yes","No"))</f>
        <v>Yes</v>
      </c>
    </row>
    <row r="3613" customFormat="false" ht="15" hidden="false" customHeight="false" outlineLevel="0" collapsed="false">
      <c r="A3613" s="31" t="s">
        <v>3763</v>
      </c>
      <c r="B3613" s="44" t="n">
        <v>46253</v>
      </c>
      <c r="C3613" s="31" t="s">
        <v>57</v>
      </c>
      <c r="D3613" s="31" t="s">
        <v>68</v>
      </c>
      <c r="E3613" s="31" t="s">
        <v>51</v>
      </c>
      <c r="F3613" s="31" t="s">
        <v>135</v>
      </c>
      <c r="G3613" s="31" t="n">
        <v>21</v>
      </c>
      <c r="H3613" s="41" t="n">
        <v>6.2</v>
      </c>
      <c r="I3613" s="31" t="s">
        <v>149</v>
      </c>
      <c r="J3613" s="31" t="n">
        <v>3</v>
      </c>
      <c r="K3613" s="31" t="s">
        <v>153</v>
      </c>
      <c r="L3613" s="45" t="n">
        <f aca="false">DATE(YEAR(B3613),MONTH(B3613),1)</f>
        <v>46235</v>
      </c>
      <c r="M3613" s="31" t="n">
        <f aca="false">WEEKDAY(B3613,2)</f>
        <v>3</v>
      </c>
      <c r="N3613" s="31" t="str">
        <f aca="false">IF(G3613&lt;=INDEX(Assumptions!$B$15:$B$18,MATCH(E3613,Assumptions!$A$15:$A$18,0)),"Yes","No")</f>
        <v>Yes</v>
      </c>
      <c r="O3613" s="31" t="str">
        <f aca="false">IF(H3613="","Open",IF(H3613&lt;=INDEX(Assumptions!$C$15:$C$18,MATCH(E3613,Assumptions!$A$15:$A$18,0)),"Yes","No"))</f>
        <v>Yes</v>
      </c>
    </row>
    <row r="3614" customFormat="false" ht="15" hidden="false" customHeight="false" outlineLevel="0" collapsed="false">
      <c r="A3614" s="31" t="s">
        <v>3764</v>
      </c>
      <c r="B3614" s="44" t="n">
        <v>46253</v>
      </c>
      <c r="C3614" s="31" t="s">
        <v>58</v>
      </c>
      <c r="D3614" s="31" t="s">
        <v>66</v>
      </c>
      <c r="E3614" s="31" t="s">
        <v>52</v>
      </c>
      <c r="F3614" s="31" t="s">
        <v>122</v>
      </c>
      <c r="G3614" s="31" t="n">
        <v>5</v>
      </c>
      <c r="H3614" s="41" t="n">
        <v>6.4</v>
      </c>
      <c r="I3614" s="31" t="s">
        <v>149</v>
      </c>
      <c r="J3614" s="31"/>
      <c r="K3614" s="31" t="s">
        <v>150</v>
      </c>
      <c r="L3614" s="45" t="n">
        <f aca="false">DATE(YEAR(B3614),MONTH(B3614),1)</f>
        <v>46235</v>
      </c>
      <c r="M3614" s="31" t="n">
        <f aca="false">WEEKDAY(B3614,2)</f>
        <v>3</v>
      </c>
      <c r="N3614" s="31" t="str">
        <f aca="false">IF(G3614&lt;=INDEX(Assumptions!$B$15:$B$18,MATCH(E3614,Assumptions!$A$15:$A$18,0)),"Yes","No")</f>
        <v>Yes</v>
      </c>
      <c r="O3614" s="31" t="str">
        <f aca="false">IF(H3614="","Open",IF(H3614&lt;=INDEX(Assumptions!$C$15:$C$18,MATCH(E3614,Assumptions!$A$15:$A$18,0)),"Yes","No"))</f>
        <v>Yes</v>
      </c>
    </row>
    <row r="3615" customFormat="false" ht="15" hidden="false" customHeight="false" outlineLevel="0" collapsed="false">
      <c r="A3615" s="31" t="s">
        <v>3765</v>
      </c>
      <c r="B3615" s="44" t="n">
        <v>46253</v>
      </c>
      <c r="C3615" s="31" t="s">
        <v>58</v>
      </c>
      <c r="D3615" s="31" t="s">
        <v>67</v>
      </c>
      <c r="E3615" s="31" t="s">
        <v>51</v>
      </c>
      <c r="F3615" s="31" t="s">
        <v>135</v>
      </c>
      <c r="G3615" s="31" t="n">
        <v>19</v>
      </c>
      <c r="H3615" s="41" t="n">
        <v>20.1</v>
      </c>
      <c r="I3615" s="31" t="s">
        <v>149</v>
      </c>
      <c r="J3615" s="31" t="n">
        <v>3</v>
      </c>
      <c r="K3615" s="31" t="s">
        <v>150</v>
      </c>
      <c r="L3615" s="45" t="n">
        <f aca="false">DATE(YEAR(B3615),MONTH(B3615),1)</f>
        <v>46235</v>
      </c>
      <c r="M3615" s="31" t="n">
        <f aca="false">WEEKDAY(B3615,2)</f>
        <v>3</v>
      </c>
      <c r="N3615" s="31" t="str">
        <f aca="false">IF(G3615&lt;=INDEX(Assumptions!$B$15:$B$18,MATCH(E3615,Assumptions!$A$15:$A$18,0)),"Yes","No")</f>
        <v>Yes</v>
      </c>
      <c r="O3615" s="31" t="str">
        <f aca="false">IF(H3615="","Open",IF(H3615&lt;=INDEX(Assumptions!$C$15:$C$18,MATCH(E3615,Assumptions!$A$15:$A$18,0)),"Yes","No"))</f>
        <v>Yes</v>
      </c>
    </row>
    <row r="3616" customFormat="false" ht="15" hidden="false" customHeight="false" outlineLevel="0" collapsed="false">
      <c r="A3616" s="31" t="s">
        <v>3766</v>
      </c>
      <c r="B3616" s="44" t="n">
        <v>46253</v>
      </c>
      <c r="C3616" s="31" t="s">
        <v>60</v>
      </c>
      <c r="D3616" s="31" t="s">
        <v>68</v>
      </c>
      <c r="E3616" s="31" t="s">
        <v>50</v>
      </c>
      <c r="F3616" s="31" t="s">
        <v>119</v>
      </c>
      <c r="G3616" s="31" t="n">
        <v>3</v>
      </c>
      <c r="H3616" s="41" t="n">
        <v>5.9</v>
      </c>
      <c r="I3616" s="31" t="s">
        <v>149</v>
      </c>
      <c r="J3616" s="31" t="n">
        <v>5</v>
      </c>
      <c r="K3616" s="31" t="s">
        <v>150</v>
      </c>
      <c r="L3616" s="45" t="n">
        <f aca="false">DATE(YEAR(B3616),MONTH(B3616),1)</f>
        <v>46235</v>
      </c>
      <c r="M3616" s="31" t="n">
        <f aca="false">WEEKDAY(B3616,2)</f>
        <v>3</v>
      </c>
      <c r="N3616" s="31" t="str">
        <f aca="false">IF(G3616&lt;=INDEX(Assumptions!$B$15:$B$18,MATCH(E3616,Assumptions!$A$15:$A$18,0)),"Yes","No")</f>
        <v>Yes</v>
      </c>
      <c r="O3616" s="31" t="str">
        <f aca="false">IF(H3616="","Open",IF(H3616&lt;=INDEX(Assumptions!$C$15:$C$18,MATCH(E3616,Assumptions!$A$15:$A$18,0)),"Yes","No"))</f>
        <v>Yes</v>
      </c>
    </row>
    <row r="3617" customFormat="false" ht="15" hidden="false" customHeight="false" outlineLevel="0" collapsed="false">
      <c r="A3617" s="31" t="s">
        <v>3767</v>
      </c>
      <c r="B3617" s="44" t="n">
        <v>46253</v>
      </c>
      <c r="C3617" s="31" t="s">
        <v>60</v>
      </c>
      <c r="D3617" s="31" t="s">
        <v>69</v>
      </c>
      <c r="E3617" s="31" t="s">
        <v>50</v>
      </c>
      <c r="F3617" s="31" t="s">
        <v>117</v>
      </c>
      <c r="G3617" s="31" t="n">
        <v>3</v>
      </c>
      <c r="H3617" s="41" t="n">
        <v>14.1</v>
      </c>
      <c r="I3617" s="31" t="s">
        <v>149</v>
      </c>
      <c r="J3617" s="31"/>
      <c r="K3617" s="31" t="s">
        <v>150</v>
      </c>
      <c r="L3617" s="45" t="n">
        <f aca="false">DATE(YEAR(B3617),MONTH(B3617),1)</f>
        <v>46235</v>
      </c>
      <c r="M3617" s="31" t="n">
        <f aca="false">WEEKDAY(B3617,2)</f>
        <v>3</v>
      </c>
      <c r="N3617" s="31" t="str">
        <f aca="false">IF(G3617&lt;=INDEX(Assumptions!$B$15:$B$18,MATCH(E3617,Assumptions!$A$15:$A$18,0)),"Yes","No")</f>
        <v>Yes</v>
      </c>
      <c r="O3617" s="31" t="str">
        <f aca="false">IF(H3617="","Open",IF(H3617&lt;=INDEX(Assumptions!$C$15:$C$18,MATCH(E3617,Assumptions!$A$15:$A$18,0)),"Yes","No"))</f>
        <v>No</v>
      </c>
    </row>
    <row r="3618" customFormat="false" ht="15" hidden="false" customHeight="false" outlineLevel="0" collapsed="false">
      <c r="A3618" s="31" t="s">
        <v>3768</v>
      </c>
      <c r="B3618" s="44" t="n">
        <v>46253</v>
      </c>
      <c r="C3618" s="31" t="s">
        <v>60</v>
      </c>
      <c r="D3618" s="31" t="s">
        <v>66</v>
      </c>
      <c r="E3618" s="31" t="s">
        <v>50</v>
      </c>
      <c r="F3618" s="31" t="s">
        <v>120</v>
      </c>
      <c r="G3618" s="31" t="n">
        <v>1</v>
      </c>
      <c r="H3618" s="41" t="n">
        <v>6.2</v>
      </c>
      <c r="I3618" s="31" t="s">
        <v>149</v>
      </c>
      <c r="J3618" s="31"/>
      <c r="K3618" s="31" t="s">
        <v>150</v>
      </c>
      <c r="L3618" s="45" t="n">
        <f aca="false">DATE(YEAR(B3618),MONTH(B3618),1)</f>
        <v>46235</v>
      </c>
      <c r="M3618" s="31" t="n">
        <f aca="false">WEEKDAY(B3618,2)</f>
        <v>3</v>
      </c>
      <c r="N3618" s="31" t="str">
        <f aca="false">IF(G3618&lt;=INDEX(Assumptions!$B$15:$B$18,MATCH(E3618,Assumptions!$A$15:$A$18,0)),"Yes","No")</f>
        <v>Yes</v>
      </c>
      <c r="O3618" s="31" t="str">
        <f aca="false">IF(H3618="","Open",IF(H3618&lt;=INDEX(Assumptions!$C$15:$C$18,MATCH(E3618,Assumptions!$A$15:$A$18,0)),"Yes","No"))</f>
        <v>Yes</v>
      </c>
    </row>
    <row r="3619" customFormat="false" ht="15" hidden="false" customHeight="false" outlineLevel="0" collapsed="false">
      <c r="A3619" s="31" t="s">
        <v>3769</v>
      </c>
      <c r="B3619" s="44" t="n">
        <v>46253</v>
      </c>
      <c r="C3619" s="31" t="s">
        <v>58</v>
      </c>
      <c r="D3619" s="31" t="s">
        <v>66</v>
      </c>
      <c r="E3619" s="31" t="s">
        <v>51</v>
      </c>
      <c r="F3619" s="31" t="s">
        <v>135</v>
      </c>
      <c r="G3619" s="31" t="n">
        <v>18</v>
      </c>
      <c r="H3619" s="41" t="n">
        <v>6.4</v>
      </c>
      <c r="I3619" s="31" t="s">
        <v>149</v>
      </c>
      <c r="J3619" s="31" t="n">
        <v>5</v>
      </c>
      <c r="K3619" s="31" t="s">
        <v>150</v>
      </c>
      <c r="L3619" s="45" t="n">
        <f aca="false">DATE(YEAR(B3619),MONTH(B3619),1)</f>
        <v>46235</v>
      </c>
      <c r="M3619" s="31" t="n">
        <f aca="false">WEEKDAY(B3619,2)</f>
        <v>3</v>
      </c>
      <c r="N3619" s="31" t="str">
        <f aca="false">IF(G3619&lt;=INDEX(Assumptions!$B$15:$B$18,MATCH(E3619,Assumptions!$A$15:$A$18,0)),"Yes","No")</f>
        <v>Yes</v>
      </c>
      <c r="O3619" s="31" t="str">
        <f aca="false">IF(H3619="","Open",IF(H3619&lt;=INDEX(Assumptions!$C$15:$C$18,MATCH(E3619,Assumptions!$A$15:$A$18,0)),"Yes","No"))</f>
        <v>Yes</v>
      </c>
    </row>
    <row r="3620" customFormat="false" ht="15" hidden="false" customHeight="false" outlineLevel="0" collapsed="false">
      <c r="A3620" s="31" t="s">
        <v>3770</v>
      </c>
      <c r="B3620" s="44" t="n">
        <v>46253</v>
      </c>
      <c r="C3620" s="31" t="s">
        <v>60</v>
      </c>
      <c r="D3620" s="31" t="s">
        <v>66</v>
      </c>
      <c r="E3620" s="31" t="s">
        <v>49</v>
      </c>
      <c r="F3620" s="31" t="s">
        <v>119</v>
      </c>
      <c r="G3620" s="31" t="n">
        <v>1</v>
      </c>
      <c r="H3620" s="41" t="n">
        <v>1.5</v>
      </c>
      <c r="I3620" s="31" t="s">
        <v>149</v>
      </c>
      <c r="J3620" s="31"/>
      <c r="K3620" s="31" t="s">
        <v>150</v>
      </c>
      <c r="L3620" s="45" t="n">
        <f aca="false">DATE(YEAR(B3620),MONTH(B3620),1)</f>
        <v>46235</v>
      </c>
      <c r="M3620" s="31" t="n">
        <f aca="false">WEEKDAY(B3620,2)</f>
        <v>3</v>
      </c>
      <c r="N3620" s="31" t="str">
        <f aca="false">IF(G3620&lt;=INDEX(Assumptions!$B$15:$B$18,MATCH(E3620,Assumptions!$A$15:$A$18,0)),"Yes","No")</f>
        <v>Yes</v>
      </c>
      <c r="O3620" s="31" t="str">
        <f aca="false">IF(H3620="","Open",IF(H3620&lt;=INDEX(Assumptions!$C$15:$C$18,MATCH(E3620,Assumptions!$A$15:$A$18,0)),"Yes","No"))</f>
        <v>Yes</v>
      </c>
    </row>
    <row r="3621" customFormat="false" ht="15" hidden="false" customHeight="false" outlineLevel="0" collapsed="false">
      <c r="A3621" s="31" t="s">
        <v>3771</v>
      </c>
      <c r="B3621" s="44" t="n">
        <v>46253</v>
      </c>
      <c r="C3621" s="31" t="s">
        <v>60</v>
      </c>
      <c r="D3621" s="31" t="s">
        <v>68</v>
      </c>
      <c r="E3621" s="31" t="s">
        <v>52</v>
      </c>
      <c r="F3621" s="31" t="s">
        <v>128</v>
      </c>
      <c r="G3621" s="31" t="n">
        <v>4</v>
      </c>
      <c r="H3621" s="41" t="n">
        <v>13.2</v>
      </c>
      <c r="I3621" s="31" t="s">
        <v>149</v>
      </c>
      <c r="J3621" s="31" t="n">
        <v>5</v>
      </c>
      <c r="K3621" s="31" t="s">
        <v>150</v>
      </c>
      <c r="L3621" s="45" t="n">
        <f aca="false">DATE(YEAR(B3621),MONTH(B3621),1)</f>
        <v>46235</v>
      </c>
      <c r="M3621" s="31" t="n">
        <f aca="false">WEEKDAY(B3621,2)</f>
        <v>3</v>
      </c>
      <c r="N3621" s="31" t="str">
        <f aca="false">IF(G3621&lt;=INDEX(Assumptions!$B$15:$B$18,MATCH(E3621,Assumptions!$A$15:$A$18,0)),"Yes","No")</f>
        <v>Yes</v>
      </c>
      <c r="O3621" s="31" t="str">
        <f aca="false">IF(H3621="","Open",IF(H3621&lt;=INDEX(Assumptions!$C$15:$C$18,MATCH(E3621,Assumptions!$A$15:$A$18,0)),"Yes","No"))</f>
        <v>Yes</v>
      </c>
    </row>
    <row r="3622" customFormat="false" ht="15" hidden="false" customHeight="false" outlineLevel="0" collapsed="false">
      <c r="A3622" s="31" t="s">
        <v>3772</v>
      </c>
      <c r="B3622" s="44" t="n">
        <v>46253</v>
      </c>
      <c r="C3622" s="31" t="s">
        <v>57</v>
      </c>
      <c r="D3622" s="31" t="s">
        <v>67</v>
      </c>
      <c r="E3622" s="31" t="s">
        <v>51</v>
      </c>
      <c r="F3622" s="31" t="s">
        <v>121</v>
      </c>
      <c r="G3622" s="31" t="n">
        <v>5</v>
      </c>
      <c r="H3622" s="41" t="n">
        <v>11.2</v>
      </c>
      <c r="I3622" s="31" t="s">
        <v>149</v>
      </c>
      <c r="J3622" s="31"/>
      <c r="K3622" s="31" t="s">
        <v>153</v>
      </c>
      <c r="L3622" s="45" t="n">
        <f aca="false">DATE(YEAR(B3622),MONTH(B3622),1)</f>
        <v>46235</v>
      </c>
      <c r="M3622" s="31" t="n">
        <f aca="false">WEEKDAY(B3622,2)</f>
        <v>3</v>
      </c>
      <c r="N3622" s="31" t="str">
        <f aca="false">IF(G3622&lt;=INDEX(Assumptions!$B$15:$B$18,MATCH(E3622,Assumptions!$A$15:$A$18,0)),"Yes","No")</f>
        <v>Yes</v>
      </c>
      <c r="O3622" s="31" t="str">
        <f aca="false">IF(H3622="","Open",IF(H3622&lt;=INDEX(Assumptions!$C$15:$C$18,MATCH(E3622,Assumptions!$A$15:$A$18,0)),"Yes","No"))</f>
        <v>Yes</v>
      </c>
    </row>
    <row r="3623" customFormat="false" ht="15" hidden="false" customHeight="false" outlineLevel="0" collapsed="false">
      <c r="A3623" s="31" t="s">
        <v>3773</v>
      </c>
      <c r="B3623" s="44" t="n">
        <v>46253</v>
      </c>
      <c r="C3623" s="31" t="s">
        <v>60</v>
      </c>
      <c r="D3623" s="31" t="s">
        <v>69</v>
      </c>
      <c r="E3623" s="31" t="s">
        <v>51</v>
      </c>
      <c r="F3623" s="31" t="s">
        <v>133</v>
      </c>
      <c r="G3623" s="31" t="n">
        <v>2</v>
      </c>
      <c r="H3623" s="41" t="n">
        <v>15</v>
      </c>
      <c r="I3623" s="31" t="s">
        <v>149</v>
      </c>
      <c r="J3623" s="31"/>
      <c r="K3623" s="31" t="s">
        <v>150</v>
      </c>
      <c r="L3623" s="45" t="n">
        <f aca="false">DATE(YEAR(B3623),MONTH(B3623),1)</f>
        <v>46235</v>
      </c>
      <c r="M3623" s="31" t="n">
        <f aca="false">WEEKDAY(B3623,2)</f>
        <v>3</v>
      </c>
      <c r="N3623" s="31" t="str">
        <f aca="false">IF(G3623&lt;=INDEX(Assumptions!$B$15:$B$18,MATCH(E3623,Assumptions!$A$15:$A$18,0)),"Yes","No")</f>
        <v>Yes</v>
      </c>
      <c r="O3623" s="31" t="str">
        <f aca="false">IF(H3623="","Open",IF(H3623&lt;=INDEX(Assumptions!$C$15:$C$18,MATCH(E3623,Assumptions!$A$15:$A$18,0)),"Yes","No"))</f>
        <v>Yes</v>
      </c>
    </row>
    <row r="3624" customFormat="false" ht="15" hidden="false" customHeight="false" outlineLevel="0" collapsed="false">
      <c r="A3624" s="31" t="s">
        <v>3774</v>
      </c>
      <c r="B3624" s="44" t="n">
        <v>46253</v>
      </c>
      <c r="C3624" s="31" t="s">
        <v>60</v>
      </c>
      <c r="D3624" s="31" t="s">
        <v>68</v>
      </c>
      <c r="E3624" s="31" t="s">
        <v>52</v>
      </c>
      <c r="F3624" s="31" t="s">
        <v>121</v>
      </c>
      <c r="G3624" s="31" t="n">
        <v>1</v>
      </c>
      <c r="H3624" s="41" t="n">
        <v>4.3</v>
      </c>
      <c r="I3624" s="31" t="s">
        <v>149</v>
      </c>
      <c r="J3624" s="31"/>
      <c r="K3624" s="31" t="s">
        <v>150</v>
      </c>
      <c r="L3624" s="45" t="n">
        <f aca="false">DATE(YEAR(B3624),MONTH(B3624),1)</f>
        <v>46235</v>
      </c>
      <c r="M3624" s="31" t="n">
        <f aca="false">WEEKDAY(B3624,2)</f>
        <v>3</v>
      </c>
      <c r="N3624" s="31" t="str">
        <f aca="false">IF(G3624&lt;=INDEX(Assumptions!$B$15:$B$18,MATCH(E3624,Assumptions!$A$15:$A$18,0)),"Yes","No")</f>
        <v>Yes</v>
      </c>
      <c r="O3624" s="31" t="str">
        <f aca="false">IF(H3624="","Open",IF(H3624&lt;=INDEX(Assumptions!$C$15:$C$18,MATCH(E3624,Assumptions!$A$15:$A$18,0)),"Yes","No"))</f>
        <v>Yes</v>
      </c>
    </row>
    <row r="3625" customFormat="false" ht="15" hidden="false" customHeight="false" outlineLevel="0" collapsed="false">
      <c r="A3625" s="31" t="s">
        <v>3775</v>
      </c>
      <c r="B3625" s="44" t="n">
        <v>46253</v>
      </c>
      <c r="C3625" s="31" t="s">
        <v>60</v>
      </c>
      <c r="D3625" s="31" t="s">
        <v>65</v>
      </c>
      <c r="E3625" s="31" t="s">
        <v>50</v>
      </c>
      <c r="F3625" s="31" t="s">
        <v>122</v>
      </c>
      <c r="G3625" s="31" t="n">
        <v>2</v>
      </c>
      <c r="H3625" s="41" t="n">
        <v>1.8</v>
      </c>
      <c r="I3625" s="31" t="s">
        <v>149</v>
      </c>
      <c r="J3625" s="31" t="n">
        <v>5</v>
      </c>
      <c r="K3625" s="31" t="s">
        <v>150</v>
      </c>
      <c r="L3625" s="45" t="n">
        <f aca="false">DATE(YEAR(B3625),MONTH(B3625),1)</f>
        <v>46235</v>
      </c>
      <c r="M3625" s="31" t="n">
        <f aca="false">WEEKDAY(B3625,2)</f>
        <v>3</v>
      </c>
      <c r="N3625" s="31" t="str">
        <f aca="false">IF(G3625&lt;=INDEX(Assumptions!$B$15:$B$18,MATCH(E3625,Assumptions!$A$15:$A$18,0)),"Yes","No")</f>
        <v>Yes</v>
      </c>
      <c r="O3625" s="31" t="str">
        <f aca="false">IF(H3625="","Open",IF(H3625&lt;=INDEX(Assumptions!$C$15:$C$18,MATCH(E3625,Assumptions!$A$15:$A$18,0)),"Yes","No"))</f>
        <v>Yes</v>
      </c>
    </row>
    <row r="3626" customFormat="false" ht="15" hidden="false" customHeight="false" outlineLevel="0" collapsed="false">
      <c r="A3626" s="31" t="s">
        <v>3776</v>
      </c>
      <c r="B3626" s="44" t="n">
        <v>46253</v>
      </c>
      <c r="C3626" s="31" t="s">
        <v>57</v>
      </c>
      <c r="D3626" s="31" t="s">
        <v>65</v>
      </c>
      <c r="E3626" s="31" t="s">
        <v>52</v>
      </c>
      <c r="F3626" s="31" t="s">
        <v>133</v>
      </c>
      <c r="G3626" s="31" t="n">
        <v>6</v>
      </c>
      <c r="H3626" s="41" t="n">
        <v>8.9</v>
      </c>
      <c r="I3626" s="31" t="s">
        <v>149</v>
      </c>
      <c r="J3626" s="31"/>
      <c r="K3626" s="31" t="s">
        <v>150</v>
      </c>
      <c r="L3626" s="45" t="n">
        <f aca="false">DATE(YEAR(B3626),MONTH(B3626),1)</f>
        <v>46235</v>
      </c>
      <c r="M3626" s="31" t="n">
        <f aca="false">WEEKDAY(B3626,2)</f>
        <v>3</v>
      </c>
      <c r="N3626" s="31" t="str">
        <f aca="false">IF(G3626&lt;=INDEX(Assumptions!$B$15:$B$18,MATCH(E3626,Assumptions!$A$15:$A$18,0)),"Yes","No")</f>
        <v>Yes</v>
      </c>
      <c r="O3626" s="31" t="str">
        <f aca="false">IF(H3626="","Open",IF(H3626&lt;=INDEX(Assumptions!$C$15:$C$18,MATCH(E3626,Assumptions!$A$15:$A$18,0)),"Yes","No"))</f>
        <v>Yes</v>
      </c>
    </row>
    <row r="3627" customFormat="false" ht="15" hidden="false" customHeight="false" outlineLevel="0" collapsed="false">
      <c r="A3627" s="31" t="s">
        <v>3777</v>
      </c>
      <c r="B3627" s="44" t="n">
        <v>46253</v>
      </c>
      <c r="C3627" s="31" t="s">
        <v>57</v>
      </c>
      <c r="D3627" s="31" t="s">
        <v>68</v>
      </c>
      <c r="E3627" s="31" t="s">
        <v>52</v>
      </c>
      <c r="F3627" s="31" t="s">
        <v>117</v>
      </c>
      <c r="G3627" s="31" t="n">
        <v>4</v>
      </c>
      <c r="H3627" s="41"/>
      <c r="I3627" s="31" t="s">
        <v>158</v>
      </c>
      <c r="J3627" s="31"/>
      <c r="K3627" s="31" t="s">
        <v>150</v>
      </c>
      <c r="L3627" s="45" t="n">
        <f aca="false">DATE(YEAR(B3627),MONTH(B3627),1)</f>
        <v>46235</v>
      </c>
      <c r="M3627" s="31" t="n">
        <f aca="false">WEEKDAY(B3627,2)</f>
        <v>3</v>
      </c>
      <c r="N3627" s="31" t="str">
        <f aca="false">IF(G3627&lt;=INDEX(Assumptions!$B$15:$B$18,MATCH(E3627,Assumptions!$A$15:$A$18,0)),"Yes","No")</f>
        <v>Yes</v>
      </c>
      <c r="O3627" s="31" t="str">
        <f aca="false">IF(H3627="","Open",IF(H3627&lt;=INDEX(Assumptions!$C$15:$C$18,MATCH(E3627,Assumptions!$A$15:$A$18,0)),"Yes","No"))</f>
        <v>Open</v>
      </c>
    </row>
    <row r="3628" customFormat="false" ht="15" hidden="false" customHeight="false" outlineLevel="0" collapsed="false">
      <c r="A3628" s="31" t="s">
        <v>3778</v>
      </c>
      <c r="B3628" s="44" t="n">
        <v>46254</v>
      </c>
      <c r="C3628" s="31" t="s">
        <v>58</v>
      </c>
      <c r="D3628" s="31" t="s">
        <v>68</v>
      </c>
      <c r="E3628" s="31" t="s">
        <v>51</v>
      </c>
      <c r="F3628" s="31" t="s">
        <v>130</v>
      </c>
      <c r="G3628" s="31" t="n">
        <v>11</v>
      </c>
      <c r="H3628" s="41" t="n">
        <v>4.9</v>
      </c>
      <c r="I3628" s="31" t="s">
        <v>149</v>
      </c>
      <c r="J3628" s="31" t="n">
        <v>4</v>
      </c>
      <c r="K3628" s="31" t="s">
        <v>150</v>
      </c>
      <c r="L3628" s="45" t="n">
        <f aca="false">DATE(YEAR(B3628),MONTH(B3628),1)</f>
        <v>46235</v>
      </c>
      <c r="M3628" s="31" t="n">
        <f aca="false">WEEKDAY(B3628,2)</f>
        <v>4</v>
      </c>
      <c r="N3628" s="31" t="str">
        <f aca="false">IF(G3628&lt;=INDEX(Assumptions!$B$15:$B$18,MATCH(E3628,Assumptions!$A$15:$A$18,0)),"Yes","No")</f>
        <v>Yes</v>
      </c>
      <c r="O3628" s="31" t="str">
        <f aca="false">IF(H3628="","Open",IF(H3628&lt;=INDEX(Assumptions!$C$15:$C$18,MATCH(E3628,Assumptions!$A$15:$A$18,0)),"Yes","No"))</f>
        <v>Yes</v>
      </c>
    </row>
    <row r="3629" customFormat="false" ht="15" hidden="false" customHeight="false" outlineLevel="0" collapsed="false">
      <c r="A3629" s="31" t="s">
        <v>3779</v>
      </c>
      <c r="B3629" s="44" t="n">
        <v>46254</v>
      </c>
      <c r="C3629" s="31" t="s">
        <v>59</v>
      </c>
      <c r="D3629" s="31" t="s">
        <v>66</v>
      </c>
      <c r="E3629" s="31" t="s">
        <v>52</v>
      </c>
      <c r="F3629" s="31" t="s">
        <v>123</v>
      </c>
      <c r="G3629" s="31" t="n">
        <v>135</v>
      </c>
      <c r="H3629" s="41" t="n">
        <v>7</v>
      </c>
      <c r="I3629" s="31" t="s">
        <v>149</v>
      </c>
      <c r="J3629" s="31" t="n">
        <v>5</v>
      </c>
      <c r="K3629" s="31" t="s">
        <v>150</v>
      </c>
      <c r="L3629" s="45" t="n">
        <f aca="false">DATE(YEAR(B3629),MONTH(B3629),1)</f>
        <v>46235</v>
      </c>
      <c r="M3629" s="31" t="n">
        <f aca="false">WEEKDAY(B3629,2)</f>
        <v>4</v>
      </c>
      <c r="N3629" s="31" t="str">
        <f aca="false">IF(G3629&lt;=INDEX(Assumptions!$B$15:$B$18,MATCH(E3629,Assumptions!$A$15:$A$18,0)),"Yes","No")</f>
        <v>Yes</v>
      </c>
      <c r="O3629" s="31" t="str">
        <f aca="false">IF(H3629="","Open",IF(H3629&lt;=INDEX(Assumptions!$C$15:$C$18,MATCH(E3629,Assumptions!$A$15:$A$18,0)),"Yes","No"))</f>
        <v>Yes</v>
      </c>
    </row>
    <row r="3630" customFormat="false" ht="15" hidden="false" customHeight="false" outlineLevel="0" collapsed="false">
      <c r="A3630" s="31" t="s">
        <v>3780</v>
      </c>
      <c r="B3630" s="44" t="n">
        <v>46254</v>
      </c>
      <c r="C3630" s="31" t="s">
        <v>60</v>
      </c>
      <c r="D3630" s="31" t="s">
        <v>69</v>
      </c>
      <c r="E3630" s="31" t="s">
        <v>51</v>
      </c>
      <c r="F3630" s="31" t="s">
        <v>119</v>
      </c>
      <c r="G3630" s="31" t="n">
        <v>1</v>
      </c>
      <c r="H3630" s="41" t="n">
        <v>18</v>
      </c>
      <c r="I3630" s="31" t="s">
        <v>149</v>
      </c>
      <c r="J3630" s="31"/>
      <c r="K3630" s="31" t="s">
        <v>150</v>
      </c>
      <c r="L3630" s="45" t="n">
        <f aca="false">DATE(YEAR(B3630),MONTH(B3630),1)</f>
        <v>46235</v>
      </c>
      <c r="M3630" s="31" t="n">
        <f aca="false">WEEKDAY(B3630,2)</f>
        <v>4</v>
      </c>
      <c r="N3630" s="31" t="str">
        <f aca="false">IF(G3630&lt;=INDEX(Assumptions!$B$15:$B$18,MATCH(E3630,Assumptions!$A$15:$A$18,0)),"Yes","No")</f>
        <v>Yes</v>
      </c>
      <c r="O3630" s="31" t="str">
        <f aca="false">IF(H3630="","Open",IF(H3630&lt;=INDEX(Assumptions!$C$15:$C$18,MATCH(E3630,Assumptions!$A$15:$A$18,0)),"Yes","No"))</f>
        <v>Yes</v>
      </c>
    </row>
    <row r="3631" customFormat="false" ht="15" hidden="false" customHeight="false" outlineLevel="0" collapsed="false">
      <c r="A3631" s="31" t="s">
        <v>3781</v>
      </c>
      <c r="B3631" s="44" t="n">
        <v>46254</v>
      </c>
      <c r="C3631" s="31" t="s">
        <v>59</v>
      </c>
      <c r="D3631" s="31" t="s">
        <v>68</v>
      </c>
      <c r="E3631" s="31" t="s">
        <v>51</v>
      </c>
      <c r="F3631" s="31" t="s">
        <v>136</v>
      </c>
      <c r="G3631" s="31" t="n">
        <v>143</v>
      </c>
      <c r="H3631" s="41" t="n">
        <v>6.5</v>
      </c>
      <c r="I3631" s="31" t="s">
        <v>64</v>
      </c>
      <c r="J3631" s="31" t="n">
        <v>2</v>
      </c>
      <c r="K3631" s="31" t="s">
        <v>150</v>
      </c>
      <c r="L3631" s="45" t="n">
        <f aca="false">DATE(YEAR(B3631),MONTH(B3631),1)</f>
        <v>46235</v>
      </c>
      <c r="M3631" s="31" t="n">
        <f aca="false">WEEKDAY(B3631,2)</f>
        <v>4</v>
      </c>
      <c r="N3631" s="31" t="str">
        <f aca="false">IF(G3631&lt;=INDEX(Assumptions!$B$15:$B$18,MATCH(E3631,Assumptions!$A$15:$A$18,0)),"Yes","No")</f>
        <v>No</v>
      </c>
      <c r="O3631" s="31" t="str">
        <f aca="false">IF(H3631="","Open",IF(H3631&lt;=INDEX(Assumptions!$C$15:$C$18,MATCH(E3631,Assumptions!$A$15:$A$18,0)),"Yes","No"))</f>
        <v>Yes</v>
      </c>
    </row>
    <row r="3632" customFormat="false" ht="15" hidden="false" customHeight="false" outlineLevel="0" collapsed="false">
      <c r="A3632" s="31" t="s">
        <v>3782</v>
      </c>
      <c r="B3632" s="44" t="n">
        <v>46254</v>
      </c>
      <c r="C3632" s="31" t="s">
        <v>58</v>
      </c>
      <c r="D3632" s="31" t="s">
        <v>68</v>
      </c>
      <c r="E3632" s="31" t="s">
        <v>51</v>
      </c>
      <c r="F3632" s="31" t="s">
        <v>117</v>
      </c>
      <c r="G3632" s="31" t="n">
        <v>4</v>
      </c>
      <c r="H3632" s="41" t="n">
        <v>0.9</v>
      </c>
      <c r="I3632" s="31" t="s">
        <v>149</v>
      </c>
      <c r="J3632" s="31"/>
      <c r="K3632" s="31" t="s">
        <v>150</v>
      </c>
      <c r="L3632" s="45" t="n">
        <f aca="false">DATE(YEAR(B3632),MONTH(B3632),1)</f>
        <v>46235</v>
      </c>
      <c r="M3632" s="31" t="n">
        <f aca="false">WEEKDAY(B3632,2)</f>
        <v>4</v>
      </c>
      <c r="N3632" s="31" t="str">
        <f aca="false">IF(G3632&lt;=INDEX(Assumptions!$B$15:$B$18,MATCH(E3632,Assumptions!$A$15:$A$18,0)),"Yes","No")</f>
        <v>Yes</v>
      </c>
      <c r="O3632" s="31" t="str">
        <f aca="false">IF(H3632="","Open",IF(H3632&lt;=INDEX(Assumptions!$C$15:$C$18,MATCH(E3632,Assumptions!$A$15:$A$18,0)),"Yes","No"))</f>
        <v>Yes</v>
      </c>
    </row>
    <row r="3633" customFormat="false" ht="15" hidden="false" customHeight="false" outlineLevel="0" collapsed="false">
      <c r="A3633" s="31" t="s">
        <v>3783</v>
      </c>
      <c r="B3633" s="44" t="n">
        <v>46254</v>
      </c>
      <c r="C3633" s="31" t="s">
        <v>59</v>
      </c>
      <c r="D3633" s="31" t="s">
        <v>66</v>
      </c>
      <c r="E3633" s="31" t="s">
        <v>51</v>
      </c>
      <c r="F3633" s="31" t="s">
        <v>135</v>
      </c>
      <c r="G3633" s="31" t="n">
        <v>155</v>
      </c>
      <c r="H3633" s="41" t="n">
        <v>7</v>
      </c>
      <c r="I3633" s="31" t="s">
        <v>149</v>
      </c>
      <c r="J3633" s="31" t="n">
        <v>3</v>
      </c>
      <c r="K3633" s="31" t="s">
        <v>150</v>
      </c>
      <c r="L3633" s="45" t="n">
        <f aca="false">DATE(YEAR(B3633),MONTH(B3633),1)</f>
        <v>46235</v>
      </c>
      <c r="M3633" s="31" t="n">
        <f aca="false">WEEKDAY(B3633,2)</f>
        <v>4</v>
      </c>
      <c r="N3633" s="31" t="str">
        <f aca="false">IF(G3633&lt;=INDEX(Assumptions!$B$15:$B$18,MATCH(E3633,Assumptions!$A$15:$A$18,0)),"Yes","No")</f>
        <v>No</v>
      </c>
      <c r="O3633" s="31" t="str">
        <f aca="false">IF(H3633="","Open",IF(H3633&lt;=INDEX(Assumptions!$C$15:$C$18,MATCH(E3633,Assumptions!$A$15:$A$18,0)),"Yes","No"))</f>
        <v>Yes</v>
      </c>
    </row>
    <row r="3634" customFormat="false" ht="15" hidden="false" customHeight="false" outlineLevel="0" collapsed="false">
      <c r="A3634" s="31" t="s">
        <v>3784</v>
      </c>
      <c r="B3634" s="44" t="n">
        <v>46254</v>
      </c>
      <c r="C3634" s="31" t="s">
        <v>59</v>
      </c>
      <c r="D3634" s="31" t="s">
        <v>66</v>
      </c>
      <c r="E3634" s="31" t="s">
        <v>51</v>
      </c>
      <c r="F3634" s="31" t="s">
        <v>124</v>
      </c>
      <c r="G3634" s="31" t="n">
        <v>30</v>
      </c>
      <c r="H3634" s="41" t="n">
        <v>2.7</v>
      </c>
      <c r="I3634" s="31" t="s">
        <v>149</v>
      </c>
      <c r="J3634" s="31" t="n">
        <v>5</v>
      </c>
      <c r="K3634" s="31" t="s">
        <v>150</v>
      </c>
      <c r="L3634" s="45" t="n">
        <f aca="false">DATE(YEAR(B3634),MONTH(B3634),1)</f>
        <v>46235</v>
      </c>
      <c r="M3634" s="31" t="n">
        <f aca="false">WEEKDAY(B3634,2)</f>
        <v>4</v>
      </c>
      <c r="N3634" s="31" t="str">
        <f aca="false">IF(G3634&lt;=INDEX(Assumptions!$B$15:$B$18,MATCH(E3634,Assumptions!$A$15:$A$18,0)),"Yes","No")</f>
        <v>Yes</v>
      </c>
      <c r="O3634" s="31" t="str">
        <f aca="false">IF(H3634="","Open",IF(H3634&lt;=INDEX(Assumptions!$C$15:$C$18,MATCH(E3634,Assumptions!$A$15:$A$18,0)),"Yes","No"))</f>
        <v>Yes</v>
      </c>
    </row>
    <row r="3635" customFormat="false" ht="15" hidden="false" customHeight="false" outlineLevel="0" collapsed="false">
      <c r="A3635" s="31" t="s">
        <v>3785</v>
      </c>
      <c r="B3635" s="44" t="n">
        <v>46254</v>
      </c>
      <c r="C3635" s="31" t="s">
        <v>58</v>
      </c>
      <c r="D3635" s="31" t="s">
        <v>67</v>
      </c>
      <c r="E3635" s="31" t="s">
        <v>52</v>
      </c>
      <c r="F3635" s="31" t="s">
        <v>127</v>
      </c>
      <c r="G3635" s="31" t="n">
        <v>16</v>
      </c>
      <c r="H3635" s="41" t="n">
        <v>29.5</v>
      </c>
      <c r="I3635" s="31" t="s">
        <v>149</v>
      </c>
      <c r="J3635" s="31" t="n">
        <v>3</v>
      </c>
      <c r="K3635" s="31" t="s">
        <v>150</v>
      </c>
      <c r="L3635" s="45" t="n">
        <f aca="false">DATE(YEAR(B3635),MONTH(B3635),1)</f>
        <v>46235</v>
      </c>
      <c r="M3635" s="31" t="n">
        <f aca="false">WEEKDAY(B3635,2)</f>
        <v>4</v>
      </c>
      <c r="N3635" s="31" t="str">
        <f aca="false">IF(G3635&lt;=INDEX(Assumptions!$B$15:$B$18,MATCH(E3635,Assumptions!$A$15:$A$18,0)),"Yes","No")</f>
        <v>Yes</v>
      </c>
      <c r="O3635" s="31" t="str">
        <f aca="false">IF(H3635="","Open",IF(H3635&lt;=INDEX(Assumptions!$C$15:$C$18,MATCH(E3635,Assumptions!$A$15:$A$18,0)),"Yes","No"))</f>
        <v>Yes</v>
      </c>
    </row>
    <row r="3636" customFormat="false" ht="15" hidden="false" customHeight="false" outlineLevel="0" collapsed="false">
      <c r="A3636" s="31" t="s">
        <v>3786</v>
      </c>
      <c r="B3636" s="44" t="n">
        <v>46254</v>
      </c>
      <c r="C3636" s="31" t="s">
        <v>60</v>
      </c>
      <c r="D3636" s="31" t="s">
        <v>68</v>
      </c>
      <c r="E3636" s="31" t="s">
        <v>52</v>
      </c>
      <c r="F3636" s="31" t="s">
        <v>136</v>
      </c>
      <c r="G3636" s="31" t="n">
        <v>2</v>
      </c>
      <c r="H3636" s="41" t="n">
        <v>4.4</v>
      </c>
      <c r="I3636" s="31" t="s">
        <v>149</v>
      </c>
      <c r="J3636" s="31"/>
      <c r="K3636" s="31" t="s">
        <v>150</v>
      </c>
      <c r="L3636" s="45" t="n">
        <f aca="false">DATE(YEAR(B3636),MONTH(B3636),1)</f>
        <v>46235</v>
      </c>
      <c r="M3636" s="31" t="n">
        <f aca="false">WEEKDAY(B3636,2)</f>
        <v>4</v>
      </c>
      <c r="N3636" s="31" t="str">
        <f aca="false">IF(G3636&lt;=INDEX(Assumptions!$B$15:$B$18,MATCH(E3636,Assumptions!$A$15:$A$18,0)),"Yes","No")</f>
        <v>Yes</v>
      </c>
      <c r="O3636" s="31" t="str">
        <f aca="false">IF(H3636="","Open",IF(H3636&lt;=INDEX(Assumptions!$C$15:$C$18,MATCH(E3636,Assumptions!$A$15:$A$18,0)),"Yes","No"))</f>
        <v>Yes</v>
      </c>
    </row>
    <row r="3637" customFormat="false" ht="15" hidden="false" customHeight="false" outlineLevel="0" collapsed="false">
      <c r="A3637" s="31" t="s">
        <v>3787</v>
      </c>
      <c r="B3637" s="44" t="n">
        <v>46254</v>
      </c>
      <c r="C3637" s="31" t="s">
        <v>59</v>
      </c>
      <c r="D3637" s="31" t="s">
        <v>66</v>
      </c>
      <c r="E3637" s="31" t="s">
        <v>49</v>
      </c>
      <c r="F3637" s="31" t="s">
        <v>134</v>
      </c>
      <c r="G3637" s="31" t="n">
        <v>18</v>
      </c>
      <c r="H3637" s="41" t="n">
        <v>8.5</v>
      </c>
      <c r="I3637" s="31" t="s">
        <v>64</v>
      </c>
      <c r="J3637" s="31" t="n">
        <v>3</v>
      </c>
      <c r="K3637" s="31" t="s">
        <v>150</v>
      </c>
      <c r="L3637" s="45" t="n">
        <f aca="false">DATE(YEAR(B3637),MONTH(B3637),1)</f>
        <v>46235</v>
      </c>
      <c r="M3637" s="31" t="n">
        <f aca="false">WEEKDAY(B3637,2)</f>
        <v>4</v>
      </c>
      <c r="N3637" s="31" t="str">
        <f aca="false">IF(G3637&lt;=INDEX(Assumptions!$B$15:$B$18,MATCH(E3637,Assumptions!$A$15:$A$18,0)),"Yes","No")</f>
        <v>No</v>
      </c>
      <c r="O3637" s="31" t="str">
        <f aca="false">IF(H3637="","Open",IF(H3637&lt;=INDEX(Assumptions!$C$15:$C$18,MATCH(E3637,Assumptions!$A$15:$A$18,0)),"Yes","No"))</f>
        <v>No</v>
      </c>
    </row>
    <row r="3638" customFormat="false" ht="15" hidden="false" customHeight="false" outlineLevel="0" collapsed="false">
      <c r="A3638" s="31" t="s">
        <v>3788</v>
      </c>
      <c r="B3638" s="44" t="n">
        <v>46254</v>
      </c>
      <c r="C3638" s="31" t="s">
        <v>60</v>
      </c>
      <c r="D3638" s="31" t="s">
        <v>67</v>
      </c>
      <c r="E3638" s="31" t="s">
        <v>51</v>
      </c>
      <c r="F3638" s="31" t="s">
        <v>126</v>
      </c>
      <c r="G3638" s="31" t="n">
        <v>2</v>
      </c>
      <c r="H3638" s="41" t="n">
        <v>6.7</v>
      </c>
      <c r="I3638" s="31" t="s">
        <v>149</v>
      </c>
      <c r="J3638" s="31"/>
      <c r="K3638" s="31" t="s">
        <v>150</v>
      </c>
      <c r="L3638" s="45" t="n">
        <f aca="false">DATE(YEAR(B3638),MONTH(B3638),1)</f>
        <v>46235</v>
      </c>
      <c r="M3638" s="31" t="n">
        <f aca="false">WEEKDAY(B3638,2)</f>
        <v>4</v>
      </c>
      <c r="N3638" s="31" t="str">
        <f aca="false">IF(G3638&lt;=INDEX(Assumptions!$B$15:$B$18,MATCH(E3638,Assumptions!$A$15:$A$18,0)),"Yes","No")</f>
        <v>Yes</v>
      </c>
      <c r="O3638" s="31" t="str">
        <f aca="false">IF(H3638="","Open",IF(H3638&lt;=INDEX(Assumptions!$C$15:$C$18,MATCH(E3638,Assumptions!$A$15:$A$18,0)),"Yes","No"))</f>
        <v>Yes</v>
      </c>
    </row>
    <row r="3639" customFormat="false" ht="15" hidden="false" customHeight="false" outlineLevel="0" collapsed="false">
      <c r="A3639" s="31" t="s">
        <v>3789</v>
      </c>
      <c r="B3639" s="44" t="n">
        <v>46254</v>
      </c>
      <c r="C3639" s="31" t="s">
        <v>59</v>
      </c>
      <c r="D3639" s="31" t="s">
        <v>67</v>
      </c>
      <c r="E3639" s="31" t="s">
        <v>52</v>
      </c>
      <c r="F3639" s="31" t="s">
        <v>127</v>
      </c>
      <c r="G3639" s="31" t="n">
        <v>77</v>
      </c>
      <c r="H3639" s="41" t="n">
        <v>2.6</v>
      </c>
      <c r="I3639" s="31" t="s">
        <v>149</v>
      </c>
      <c r="J3639" s="31"/>
      <c r="K3639" s="31" t="s">
        <v>150</v>
      </c>
      <c r="L3639" s="45" t="n">
        <f aca="false">DATE(YEAR(B3639),MONTH(B3639),1)</f>
        <v>46235</v>
      </c>
      <c r="M3639" s="31" t="n">
        <f aca="false">WEEKDAY(B3639,2)</f>
        <v>4</v>
      </c>
      <c r="N3639" s="31" t="str">
        <f aca="false">IF(G3639&lt;=INDEX(Assumptions!$B$15:$B$18,MATCH(E3639,Assumptions!$A$15:$A$18,0)),"Yes","No")</f>
        <v>Yes</v>
      </c>
      <c r="O3639" s="31" t="str">
        <f aca="false">IF(H3639="","Open",IF(H3639&lt;=INDEX(Assumptions!$C$15:$C$18,MATCH(E3639,Assumptions!$A$15:$A$18,0)),"Yes","No"))</f>
        <v>Yes</v>
      </c>
    </row>
    <row r="3640" customFormat="false" ht="15" hidden="false" customHeight="false" outlineLevel="0" collapsed="false">
      <c r="A3640" s="31" t="s">
        <v>3790</v>
      </c>
      <c r="B3640" s="44" t="n">
        <v>46254</v>
      </c>
      <c r="C3640" s="31" t="s">
        <v>58</v>
      </c>
      <c r="D3640" s="31" t="s">
        <v>69</v>
      </c>
      <c r="E3640" s="31" t="s">
        <v>51</v>
      </c>
      <c r="F3640" s="31" t="s">
        <v>136</v>
      </c>
      <c r="G3640" s="31" t="n">
        <v>11</v>
      </c>
      <c r="H3640" s="41" t="n">
        <v>209</v>
      </c>
      <c r="I3640" s="31" t="s">
        <v>149</v>
      </c>
      <c r="J3640" s="31"/>
      <c r="K3640" s="31" t="s">
        <v>150</v>
      </c>
      <c r="L3640" s="45" t="n">
        <f aca="false">DATE(YEAR(B3640),MONTH(B3640),1)</f>
        <v>46235</v>
      </c>
      <c r="M3640" s="31" t="n">
        <f aca="false">WEEKDAY(B3640,2)</f>
        <v>4</v>
      </c>
      <c r="N3640" s="31" t="str">
        <f aca="false">IF(G3640&lt;=INDEX(Assumptions!$B$15:$B$18,MATCH(E3640,Assumptions!$A$15:$A$18,0)),"Yes","No")</f>
        <v>Yes</v>
      </c>
      <c r="O3640" s="31" t="str">
        <f aca="false">IF(H3640="","Open",IF(H3640&lt;=INDEX(Assumptions!$C$15:$C$18,MATCH(E3640,Assumptions!$A$15:$A$18,0)),"Yes","No"))</f>
        <v>No</v>
      </c>
    </row>
    <row r="3641" customFormat="false" ht="15" hidden="false" customHeight="false" outlineLevel="0" collapsed="false">
      <c r="A3641" s="31" t="s">
        <v>3791</v>
      </c>
      <c r="B3641" s="44" t="n">
        <v>46254</v>
      </c>
      <c r="C3641" s="31" t="s">
        <v>57</v>
      </c>
      <c r="D3641" s="31" t="s">
        <v>66</v>
      </c>
      <c r="E3641" s="31" t="s">
        <v>50</v>
      </c>
      <c r="F3641" s="31" t="s">
        <v>135</v>
      </c>
      <c r="G3641" s="31" t="n">
        <v>12</v>
      </c>
      <c r="H3641" s="41" t="n">
        <v>4.3</v>
      </c>
      <c r="I3641" s="31" t="s">
        <v>149</v>
      </c>
      <c r="J3641" s="31"/>
      <c r="K3641" s="31" t="s">
        <v>150</v>
      </c>
      <c r="L3641" s="45" t="n">
        <f aca="false">DATE(YEAR(B3641),MONTH(B3641),1)</f>
        <v>46235</v>
      </c>
      <c r="M3641" s="31" t="n">
        <f aca="false">WEEKDAY(B3641,2)</f>
        <v>4</v>
      </c>
      <c r="N3641" s="31" t="str">
        <f aca="false">IF(G3641&lt;=INDEX(Assumptions!$B$15:$B$18,MATCH(E3641,Assumptions!$A$15:$A$18,0)),"Yes","No")</f>
        <v>Yes</v>
      </c>
      <c r="O3641" s="31" t="str">
        <f aca="false">IF(H3641="","Open",IF(H3641&lt;=INDEX(Assumptions!$C$15:$C$18,MATCH(E3641,Assumptions!$A$15:$A$18,0)),"Yes","No"))</f>
        <v>Yes</v>
      </c>
    </row>
    <row r="3642" customFormat="false" ht="15" hidden="false" customHeight="false" outlineLevel="0" collapsed="false">
      <c r="A3642" s="31" t="s">
        <v>3792</v>
      </c>
      <c r="B3642" s="44" t="n">
        <v>46254</v>
      </c>
      <c r="C3642" s="31" t="s">
        <v>58</v>
      </c>
      <c r="D3642" s="31" t="s">
        <v>67</v>
      </c>
      <c r="E3642" s="31" t="s">
        <v>50</v>
      </c>
      <c r="F3642" s="31" t="s">
        <v>119</v>
      </c>
      <c r="G3642" s="31" t="n">
        <v>8</v>
      </c>
      <c r="H3642" s="41" t="n">
        <v>18.8</v>
      </c>
      <c r="I3642" s="31" t="s">
        <v>149</v>
      </c>
      <c r="J3642" s="31"/>
      <c r="K3642" s="31" t="s">
        <v>150</v>
      </c>
      <c r="L3642" s="45" t="n">
        <f aca="false">DATE(YEAR(B3642),MONTH(B3642),1)</f>
        <v>46235</v>
      </c>
      <c r="M3642" s="31" t="n">
        <f aca="false">WEEKDAY(B3642,2)</f>
        <v>4</v>
      </c>
      <c r="N3642" s="31" t="str">
        <f aca="false">IF(G3642&lt;=INDEX(Assumptions!$B$15:$B$18,MATCH(E3642,Assumptions!$A$15:$A$18,0)),"Yes","No")</f>
        <v>Yes</v>
      </c>
      <c r="O3642" s="31" t="str">
        <f aca="false">IF(H3642="","Open",IF(H3642&lt;=INDEX(Assumptions!$C$15:$C$18,MATCH(E3642,Assumptions!$A$15:$A$18,0)),"Yes","No"))</f>
        <v>No</v>
      </c>
    </row>
    <row r="3643" customFormat="false" ht="15" hidden="false" customHeight="false" outlineLevel="0" collapsed="false">
      <c r="A3643" s="31" t="s">
        <v>3793</v>
      </c>
      <c r="B3643" s="44" t="n">
        <v>46254</v>
      </c>
      <c r="C3643" s="31" t="s">
        <v>59</v>
      </c>
      <c r="D3643" s="31" t="s">
        <v>66</v>
      </c>
      <c r="E3643" s="31" t="s">
        <v>51</v>
      </c>
      <c r="F3643" s="31" t="s">
        <v>129</v>
      </c>
      <c r="G3643" s="31" t="n">
        <v>19</v>
      </c>
      <c r="H3643" s="41" t="n">
        <v>11</v>
      </c>
      <c r="I3643" s="31" t="s">
        <v>149</v>
      </c>
      <c r="J3643" s="31" t="n">
        <v>5</v>
      </c>
      <c r="K3643" s="31" t="s">
        <v>153</v>
      </c>
      <c r="L3643" s="45" t="n">
        <f aca="false">DATE(YEAR(B3643),MONTH(B3643),1)</f>
        <v>46235</v>
      </c>
      <c r="M3643" s="31" t="n">
        <f aca="false">WEEKDAY(B3643,2)</f>
        <v>4</v>
      </c>
      <c r="N3643" s="31" t="str">
        <f aca="false">IF(G3643&lt;=INDEX(Assumptions!$B$15:$B$18,MATCH(E3643,Assumptions!$A$15:$A$18,0)),"Yes","No")</f>
        <v>Yes</v>
      </c>
      <c r="O3643" s="31" t="str">
        <f aca="false">IF(H3643="","Open",IF(H3643&lt;=INDEX(Assumptions!$C$15:$C$18,MATCH(E3643,Assumptions!$A$15:$A$18,0)),"Yes","No"))</f>
        <v>Yes</v>
      </c>
    </row>
    <row r="3644" customFormat="false" ht="15" hidden="false" customHeight="false" outlineLevel="0" collapsed="false">
      <c r="A3644" s="31" t="s">
        <v>3794</v>
      </c>
      <c r="B3644" s="44" t="n">
        <v>46254</v>
      </c>
      <c r="C3644" s="31" t="s">
        <v>59</v>
      </c>
      <c r="D3644" s="31" t="s">
        <v>65</v>
      </c>
      <c r="E3644" s="31" t="s">
        <v>51</v>
      </c>
      <c r="F3644" s="31" t="s">
        <v>117</v>
      </c>
      <c r="G3644" s="31" t="n">
        <v>53</v>
      </c>
      <c r="H3644" s="41" t="n">
        <v>17.6</v>
      </c>
      <c r="I3644" s="31" t="s">
        <v>149</v>
      </c>
      <c r="J3644" s="31" t="n">
        <v>5</v>
      </c>
      <c r="K3644" s="31" t="s">
        <v>150</v>
      </c>
      <c r="L3644" s="45" t="n">
        <f aca="false">DATE(YEAR(B3644),MONTH(B3644),1)</f>
        <v>46235</v>
      </c>
      <c r="M3644" s="31" t="n">
        <f aca="false">WEEKDAY(B3644,2)</f>
        <v>4</v>
      </c>
      <c r="N3644" s="31" t="str">
        <f aca="false">IF(G3644&lt;=INDEX(Assumptions!$B$15:$B$18,MATCH(E3644,Assumptions!$A$15:$A$18,0)),"Yes","No")</f>
        <v>Yes</v>
      </c>
      <c r="O3644" s="31" t="str">
        <f aca="false">IF(H3644="","Open",IF(H3644&lt;=INDEX(Assumptions!$C$15:$C$18,MATCH(E3644,Assumptions!$A$15:$A$18,0)),"Yes","No"))</f>
        <v>Yes</v>
      </c>
    </row>
    <row r="3645" customFormat="false" ht="15" hidden="false" customHeight="false" outlineLevel="0" collapsed="false">
      <c r="A3645" s="31" t="s">
        <v>3795</v>
      </c>
      <c r="B3645" s="44" t="n">
        <v>46254</v>
      </c>
      <c r="C3645" s="31" t="s">
        <v>57</v>
      </c>
      <c r="D3645" s="31" t="s">
        <v>66</v>
      </c>
      <c r="E3645" s="31" t="s">
        <v>52</v>
      </c>
      <c r="F3645" s="31" t="s">
        <v>131</v>
      </c>
      <c r="G3645" s="31" t="n">
        <v>4</v>
      </c>
      <c r="H3645" s="41" t="n">
        <v>7.8</v>
      </c>
      <c r="I3645" s="31" t="s">
        <v>149</v>
      </c>
      <c r="J3645" s="31"/>
      <c r="K3645" s="31" t="s">
        <v>150</v>
      </c>
      <c r="L3645" s="45" t="n">
        <f aca="false">DATE(YEAR(B3645),MONTH(B3645),1)</f>
        <v>46235</v>
      </c>
      <c r="M3645" s="31" t="n">
        <f aca="false">WEEKDAY(B3645,2)</f>
        <v>4</v>
      </c>
      <c r="N3645" s="31" t="str">
        <f aca="false">IF(G3645&lt;=INDEX(Assumptions!$B$15:$B$18,MATCH(E3645,Assumptions!$A$15:$A$18,0)),"Yes","No")</f>
        <v>Yes</v>
      </c>
      <c r="O3645" s="31" t="str">
        <f aca="false">IF(H3645="","Open",IF(H3645&lt;=INDEX(Assumptions!$C$15:$C$18,MATCH(E3645,Assumptions!$A$15:$A$18,0)),"Yes","No"))</f>
        <v>Yes</v>
      </c>
    </row>
    <row r="3646" customFormat="false" ht="15" hidden="false" customHeight="false" outlineLevel="0" collapsed="false">
      <c r="A3646" s="31" t="s">
        <v>3796</v>
      </c>
      <c r="B3646" s="44" t="n">
        <v>46254</v>
      </c>
      <c r="C3646" s="31" t="s">
        <v>57</v>
      </c>
      <c r="D3646" s="31" t="s">
        <v>68</v>
      </c>
      <c r="E3646" s="31" t="s">
        <v>50</v>
      </c>
      <c r="F3646" s="31" t="s">
        <v>117</v>
      </c>
      <c r="G3646" s="31" t="n">
        <v>4</v>
      </c>
      <c r="H3646" s="41" t="n">
        <v>2.3</v>
      </c>
      <c r="I3646" s="31" t="s">
        <v>149</v>
      </c>
      <c r="J3646" s="31"/>
      <c r="K3646" s="31" t="s">
        <v>150</v>
      </c>
      <c r="L3646" s="45" t="n">
        <f aca="false">DATE(YEAR(B3646),MONTH(B3646),1)</f>
        <v>46235</v>
      </c>
      <c r="M3646" s="31" t="n">
        <f aca="false">WEEKDAY(B3646,2)</f>
        <v>4</v>
      </c>
      <c r="N3646" s="31" t="str">
        <f aca="false">IF(G3646&lt;=INDEX(Assumptions!$B$15:$B$18,MATCH(E3646,Assumptions!$A$15:$A$18,0)),"Yes","No")</f>
        <v>Yes</v>
      </c>
      <c r="O3646" s="31" t="str">
        <f aca="false">IF(H3646="","Open",IF(H3646&lt;=INDEX(Assumptions!$C$15:$C$18,MATCH(E3646,Assumptions!$A$15:$A$18,0)),"Yes","No"))</f>
        <v>Yes</v>
      </c>
    </row>
    <row r="3647" customFormat="false" ht="15" hidden="false" customHeight="false" outlineLevel="0" collapsed="false">
      <c r="A3647" s="31" t="s">
        <v>3797</v>
      </c>
      <c r="B3647" s="44" t="n">
        <v>46254</v>
      </c>
      <c r="C3647" s="31" t="s">
        <v>58</v>
      </c>
      <c r="D3647" s="31" t="s">
        <v>66</v>
      </c>
      <c r="E3647" s="31" t="s">
        <v>52</v>
      </c>
      <c r="F3647" s="31" t="s">
        <v>137</v>
      </c>
      <c r="G3647" s="31" t="n">
        <v>14</v>
      </c>
      <c r="H3647" s="41" t="n">
        <v>36.8</v>
      </c>
      <c r="I3647" s="31" t="s">
        <v>149</v>
      </c>
      <c r="J3647" s="31"/>
      <c r="K3647" s="31" t="s">
        <v>150</v>
      </c>
      <c r="L3647" s="45" t="n">
        <f aca="false">DATE(YEAR(B3647),MONTH(B3647),1)</f>
        <v>46235</v>
      </c>
      <c r="M3647" s="31" t="n">
        <f aca="false">WEEKDAY(B3647,2)</f>
        <v>4</v>
      </c>
      <c r="N3647" s="31" t="str">
        <f aca="false">IF(G3647&lt;=INDEX(Assumptions!$B$15:$B$18,MATCH(E3647,Assumptions!$A$15:$A$18,0)),"Yes","No")</f>
        <v>Yes</v>
      </c>
      <c r="O3647" s="31" t="str">
        <f aca="false">IF(H3647="","Open",IF(H3647&lt;=INDEX(Assumptions!$C$15:$C$18,MATCH(E3647,Assumptions!$A$15:$A$18,0)),"Yes","No"))</f>
        <v>Yes</v>
      </c>
    </row>
    <row r="3648" customFormat="false" ht="15" hidden="false" customHeight="false" outlineLevel="0" collapsed="false">
      <c r="A3648" s="31" t="s">
        <v>3798</v>
      </c>
      <c r="B3648" s="44" t="n">
        <v>46254</v>
      </c>
      <c r="C3648" s="31" t="s">
        <v>57</v>
      </c>
      <c r="D3648" s="31" t="s">
        <v>65</v>
      </c>
      <c r="E3648" s="31" t="s">
        <v>52</v>
      </c>
      <c r="F3648" s="31" t="s">
        <v>128</v>
      </c>
      <c r="G3648" s="31" t="n">
        <v>4</v>
      </c>
      <c r="H3648" s="41" t="n">
        <v>38.8</v>
      </c>
      <c r="I3648" s="31" t="s">
        <v>149</v>
      </c>
      <c r="J3648" s="31"/>
      <c r="K3648" s="31" t="s">
        <v>150</v>
      </c>
      <c r="L3648" s="45" t="n">
        <f aca="false">DATE(YEAR(B3648),MONTH(B3648),1)</f>
        <v>46235</v>
      </c>
      <c r="M3648" s="31" t="n">
        <f aca="false">WEEKDAY(B3648,2)</f>
        <v>4</v>
      </c>
      <c r="N3648" s="31" t="str">
        <f aca="false">IF(G3648&lt;=INDEX(Assumptions!$B$15:$B$18,MATCH(E3648,Assumptions!$A$15:$A$18,0)),"Yes","No")</f>
        <v>Yes</v>
      </c>
      <c r="O3648" s="31" t="str">
        <f aca="false">IF(H3648="","Open",IF(H3648&lt;=INDEX(Assumptions!$C$15:$C$18,MATCH(E3648,Assumptions!$A$15:$A$18,0)),"Yes","No"))</f>
        <v>Yes</v>
      </c>
    </row>
    <row r="3649" customFormat="false" ht="15" hidden="false" customHeight="false" outlineLevel="0" collapsed="false">
      <c r="A3649" s="31" t="s">
        <v>3799</v>
      </c>
      <c r="B3649" s="44" t="n">
        <v>46254</v>
      </c>
      <c r="C3649" s="31" t="s">
        <v>58</v>
      </c>
      <c r="D3649" s="31" t="s">
        <v>66</v>
      </c>
      <c r="E3649" s="31" t="s">
        <v>51</v>
      </c>
      <c r="F3649" s="31" t="s">
        <v>123</v>
      </c>
      <c r="G3649" s="31" t="n">
        <v>9</v>
      </c>
      <c r="H3649" s="41" t="n">
        <v>5.6</v>
      </c>
      <c r="I3649" s="31" t="s">
        <v>149</v>
      </c>
      <c r="J3649" s="31" t="n">
        <v>5</v>
      </c>
      <c r="K3649" s="31" t="s">
        <v>150</v>
      </c>
      <c r="L3649" s="45" t="n">
        <f aca="false">DATE(YEAR(B3649),MONTH(B3649),1)</f>
        <v>46235</v>
      </c>
      <c r="M3649" s="31" t="n">
        <f aca="false">WEEKDAY(B3649,2)</f>
        <v>4</v>
      </c>
      <c r="N3649" s="31" t="str">
        <f aca="false">IF(G3649&lt;=INDEX(Assumptions!$B$15:$B$18,MATCH(E3649,Assumptions!$A$15:$A$18,0)),"Yes","No")</f>
        <v>Yes</v>
      </c>
      <c r="O3649" s="31" t="str">
        <f aca="false">IF(H3649="","Open",IF(H3649&lt;=INDEX(Assumptions!$C$15:$C$18,MATCH(E3649,Assumptions!$A$15:$A$18,0)),"Yes","No"))</f>
        <v>Yes</v>
      </c>
    </row>
    <row r="3650" customFormat="false" ht="15" hidden="false" customHeight="false" outlineLevel="0" collapsed="false">
      <c r="A3650" s="31" t="s">
        <v>3800</v>
      </c>
      <c r="B3650" s="44" t="n">
        <v>46254</v>
      </c>
      <c r="C3650" s="31" t="s">
        <v>57</v>
      </c>
      <c r="D3650" s="31" t="s">
        <v>69</v>
      </c>
      <c r="E3650" s="31" t="s">
        <v>52</v>
      </c>
      <c r="F3650" s="31" t="s">
        <v>137</v>
      </c>
      <c r="G3650" s="31" t="n">
        <v>7</v>
      </c>
      <c r="H3650" s="41" t="n">
        <v>28.9</v>
      </c>
      <c r="I3650" s="31" t="s">
        <v>149</v>
      </c>
      <c r="J3650" s="31" t="n">
        <v>4</v>
      </c>
      <c r="K3650" s="31" t="s">
        <v>150</v>
      </c>
      <c r="L3650" s="45" t="n">
        <f aca="false">DATE(YEAR(B3650),MONTH(B3650),1)</f>
        <v>46235</v>
      </c>
      <c r="M3650" s="31" t="n">
        <f aca="false">WEEKDAY(B3650,2)</f>
        <v>4</v>
      </c>
      <c r="N3650" s="31" t="str">
        <f aca="false">IF(G3650&lt;=INDEX(Assumptions!$B$15:$B$18,MATCH(E3650,Assumptions!$A$15:$A$18,0)),"Yes","No")</f>
        <v>Yes</v>
      </c>
      <c r="O3650" s="31" t="str">
        <f aca="false">IF(H3650="","Open",IF(H3650&lt;=INDEX(Assumptions!$C$15:$C$18,MATCH(E3650,Assumptions!$A$15:$A$18,0)),"Yes","No"))</f>
        <v>Yes</v>
      </c>
    </row>
    <row r="3651" customFormat="false" ht="15" hidden="false" customHeight="false" outlineLevel="0" collapsed="false">
      <c r="A3651" s="31" t="s">
        <v>3801</v>
      </c>
      <c r="B3651" s="44" t="n">
        <v>46254</v>
      </c>
      <c r="C3651" s="31" t="s">
        <v>58</v>
      </c>
      <c r="D3651" s="31" t="s">
        <v>69</v>
      </c>
      <c r="E3651" s="31" t="s">
        <v>50</v>
      </c>
      <c r="F3651" s="31" t="s">
        <v>131</v>
      </c>
      <c r="G3651" s="31" t="n">
        <v>4</v>
      </c>
      <c r="H3651" s="41" t="n">
        <v>10.3</v>
      </c>
      <c r="I3651" s="31" t="s">
        <v>149</v>
      </c>
      <c r="J3651" s="31"/>
      <c r="K3651" s="31" t="s">
        <v>150</v>
      </c>
      <c r="L3651" s="45" t="n">
        <f aca="false">DATE(YEAR(B3651),MONTH(B3651),1)</f>
        <v>46235</v>
      </c>
      <c r="M3651" s="31" t="n">
        <f aca="false">WEEKDAY(B3651,2)</f>
        <v>4</v>
      </c>
      <c r="N3651" s="31" t="str">
        <f aca="false">IF(G3651&lt;=INDEX(Assumptions!$B$15:$B$18,MATCH(E3651,Assumptions!$A$15:$A$18,0)),"Yes","No")</f>
        <v>Yes</v>
      </c>
      <c r="O3651" s="31" t="str">
        <f aca="false">IF(H3651="","Open",IF(H3651&lt;=INDEX(Assumptions!$C$15:$C$18,MATCH(E3651,Assumptions!$A$15:$A$18,0)),"Yes","No"))</f>
        <v>No</v>
      </c>
    </row>
    <row r="3652" customFormat="false" ht="15" hidden="false" customHeight="false" outlineLevel="0" collapsed="false">
      <c r="A3652" s="31" t="s">
        <v>3802</v>
      </c>
      <c r="B3652" s="44" t="n">
        <v>46254</v>
      </c>
      <c r="C3652" s="31" t="s">
        <v>60</v>
      </c>
      <c r="D3652" s="31" t="s">
        <v>67</v>
      </c>
      <c r="E3652" s="31" t="s">
        <v>52</v>
      </c>
      <c r="F3652" s="31" t="s">
        <v>137</v>
      </c>
      <c r="G3652" s="31" t="n">
        <v>2</v>
      </c>
      <c r="H3652" s="41" t="n">
        <v>7.3</v>
      </c>
      <c r="I3652" s="31" t="s">
        <v>149</v>
      </c>
      <c r="J3652" s="31"/>
      <c r="K3652" s="31" t="s">
        <v>150</v>
      </c>
      <c r="L3652" s="45" t="n">
        <f aca="false">DATE(YEAR(B3652),MONTH(B3652),1)</f>
        <v>46235</v>
      </c>
      <c r="M3652" s="31" t="n">
        <f aca="false">WEEKDAY(B3652,2)</f>
        <v>4</v>
      </c>
      <c r="N3652" s="31" t="str">
        <f aca="false">IF(G3652&lt;=INDEX(Assumptions!$B$15:$B$18,MATCH(E3652,Assumptions!$A$15:$A$18,0)),"Yes","No")</f>
        <v>Yes</v>
      </c>
      <c r="O3652" s="31" t="str">
        <f aca="false">IF(H3652="","Open",IF(H3652&lt;=INDEX(Assumptions!$C$15:$C$18,MATCH(E3652,Assumptions!$A$15:$A$18,0)),"Yes","No"))</f>
        <v>Yes</v>
      </c>
    </row>
    <row r="3653" customFormat="false" ht="15" hidden="false" customHeight="false" outlineLevel="0" collapsed="false">
      <c r="A3653" s="31" t="s">
        <v>3803</v>
      </c>
      <c r="B3653" s="44" t="n">
        <v>46254</v>
      </c>
      <c r="C3653" s="31" t="s">
        <v>57</v>
      </c>
      <c r="D3653" s="31" t="s">
        <v>65</v>
      </c>
      <c r="E3653" s="31" t="s">
        <v>52</v>
      </c>
      <c r="F3653" s="31" t="s">
        <v>128</v>
      </c>
      <c r="G3653" s="31" t="n">
        <v>4</v>
      </c>
      <c r="H3653" s="41" t="n">
        <v>26.4</v>
      </c>
      <c r="I3653" s="31" t="s">
        <v>149</v>
      </c>
      <c r="J3653" s="31"/>
      <c r="K3653" s="31" t="s">
        <v>153</v>
      </c>
      <c r="L3653" s="45" t="n">
        <f aca="false">DATE(YEAR(B3653),MONTH(B3653),1)</f>
        <v>46235</v>
      </c>
      <c r="M3653" s="31" t="n">
        <f aca="false">WEEKDAY(B3653,2)</f>
        <v>4</v>
      </c>
      <c r="N3653" s="31" t="str">
        <f aca="false">IF(G3653&lt;=INDEX(Assumptions!$B$15:$B$18,MATCH(E3653,Assumptions!$A$15:$A$18,0)),"Yes","No")</f>
        <v>Yes</v>
      </c>
      <c r="O3653" s="31" t="str">
        <f aca="false">IF(H3653="","Open",IF(H3653&lt;=INDEX(Assumptions!$C$15:$C$18,MATCH(E3653,Assumptions!$A$15:$A$18,0)),"Yes","No"))</f>
        <v>Yes</v>
      </c>
    </row>
    <row r="3654" customFormat="false" ht="15" hidden="false" customHeight="false" outlineLevel="0" collapsed="false">
      <c r="A3654" s="31" t="s">
        <v>3804</v>
      </c>
      <c r="B3654" s="44" t="n">
        <v>46254</v>
      </c>
      <c r="C3654" s="31" t="s">
        <v>59</v>
      </c>
      <c r="D3654" s="31" t="s">
        <v>67</v>
      </c>
      <c r="E3654" s="31" t="s">
        <v>49</v>
      </c>
      <c r="F3654" s="31" t="s">
        <v>136</v>
      </c>
      <c r="G3654" s="31" t="n">
        <v>98</v>
      </c>
      <c r="H3654" s="41" t="n">
        <v>6</v>
      </c>
      <c r="I3654" s="31" t="s">
        <v>149</v>
      </c>
      <c r="J3654" s="31" t="n">
        <v>5</v>
      </c>
      <c r="K3654" s="31" t="s">
        <v>150</v>
      </c>
      <c r="L3654" s="45" t="n">
        <f aca="false">DATE(YEAR(B3654),MONTH(B3654),1)</f>
        <v>46235</v>
      </c>
      <c r="M3654" s="31" t="n">
        <f aca="false">WEEKDAY(B3654,2)</f>
        <v>4</v>
      </c>
      <c r="N3654" s="31" t="str">
        <f aca="false">IF(G3654&lt;=INDEX(Assumptions!$B$15:$B$18,MATCH(E3654,Assumptions!$A$15:$A$18,0)),"Yes","No")</f>
        <v>No</v>
      </c>
      <c r="O3654" s="31" t="str">
        <f aca="false">IF(H3654="","Open",IF(H3654&lt;=INDEX(Assumptions!$C$15:$C$18,MATCH(E3654,Assumptions!$A$15:$A$18,0)),"Yes","No"))</f>
        <v>No</v>
      </c>
    </row>
    <row r="3655" customFormat="false" ht="15" hidden="false" customHeight="false" outlineLevel="0" collapsed="false">
      <c r="A3655" s="31" t="s">
        <v>3805</v>
      </c>
      <c r="B3655" s="44" t="n">
        <v>46254</v>
      </c>
      <c r="C3655" s="31" t="s">
        <v>58</v>
      </c>
      <c r="D3655" s="31" t="s">
        <v>69</v>
      </c>
      <c r="E3655" s="31" t="s">
        <v>51</v>
      </c>
      <c r="F3655" s="31" t="s">
        <v>129</v>
      </c>
      <c r="G3655" s="31" t="n">
        <v>15</v>
      </c>
      <c r="H3655" s="41" t="n">
        <v>7</v>
      </c>
      <c r="I3655" s="31" t="s">
        <v>149</v>
      </c>
      <c r="J3655" s="31" t="n">
        <v>5</v>
      </c>
      <c r="K3655" s="31" t="s">
        <v>150</v>
      </c>
      <c r="L3655" s="45" t="n">
        <f aca="false">DATE(YEAR(B3655),MONTH(B3655),1)</f>
        <v>46235</v>
      </c>
      <c r="M3655" s="31" t="n">
        <f aca="false">WEEKDAY(B3655,2)</f>
        <v>4</v>
      </c>
      <c r="N3655" s="31" t="str">
        <f aca="false">IF(G3655&lt;=INDEX(Assumptions!$B$15:$B$18,MATCH(E3655,Assumptions!$A$15:$A$18,0)),"Yes","No")</f>
        <v>Yes</v>
      </c>
      <c r="O3655" s="31" t="str">
        <f aca="false">IF(H3655="","Open",IF(H3655&lt;=INDEX(Assumptions!$C$15:$C$18,MATCH(E3655,Assumptions!$A$15:$A$18,0)),"Yes","No"))</f>
        <v>Yes</v>
      </c>
    </row>
    <row r="3656" customFormat="false" ht="15" hidden="false" customHeight="false" outlineLevel="0" collapsed="false">
      <c r="A3656" s="31" t="s">
        <v>3806</v>
      </c>
      <c r="B3656" s="44" t="n">
        <v>46254</v>
      </c>
      <c r="C3656" s="31" t="s">
        <v>58</v>
      </c>
      <c r="D3656" s="31" t="s">
        <v>65</v>
      </c>
      <c r="E3656" s="31" t="s">
        <v>51</v>
      </c>
      <c r="F3656" s="31" t="s">
        <v>117</v>
      </c>
      <c r="G3656" s="31" t="n">
        <v>4</v>
      </c>
      <c r="H3656" s="41" t="n">
        <v>2.6</v>
      </c>
      <c r="I3656" s="31" t="s">
        <v>149</v>
      </c>
      <c r="J3656" s="31"/>
      <c r="K3656" s="31" t="s">
        <v>150</v>
      </c>
      <c r="L3656" s="45" t="n">
        <f aca="false">DATE(YEAR(B3656),MONTH(B3656),1)</f>
        <v>46235</v>
      </c>
      <c r="M3656" s="31" t="n">
        <f aca="false">WEEKDAY(B3656,2)</f>
        <v>4</v>
      </c>
      <c r="N3656" s="31" t="str">
        <f aca="false">IF(G3656&lt;=INDEX(Assumptions!$B$15:$B$18,MATCH(E3656,Assumptions!$A$15:$A$18,0)),"Yes","No")</f>
        <v>Yes</v>
      </c>
      <c r="O3656" s="31" t="str">
        <f aca="false">IF(H3656="","Open",IF(H3656&lt;=INDEX(Assumptions!$C$15:$C$18,MATCH(E3656,Assumptions!$A$15:$A$18,0)),"Yes","No"))</f>
        <v>Yes</v>
      </c>
    </row>
    <row r="3657" customFormat="false" ht="15" hidden="false" customHeight="false" outlineLevel="0" collapsed="false">
      <c r="A3657" s="31" t="s">
        <v>3807</v>
      </c>
      <c r="B3657" s="44" t="n">
        <v>46254</v>
      </c>
      <c r="C3657" s="31" t="s">
        <v>60</v>
      </c>
      <c r="D3657" s="31" t="s">
        <v>69</v>
      </c>
      <c r="E3657" s="31" t="s">
        <v>51</v>
      </c>
      <c r="F3657" s="31" t="s">
        <v>117</v>
      </c>
      <c r="G3657" s="31" t="n">
        <v>1</v>
      </c>
      <c r="H3657" s="41" t="n">
        <v>7.6</v>
      </c>
      <c r="I3657" s="31" t="s">
        <v>149</v>
      </c>
      <c r="J3657" s="31" t="n">
        <v>4</v>
      </c>
      <c r="K3657" s="31" t="s">
        <v>150</v>
      </c>
      <c r="L3657" s="45" t="n">
        <f aca="false">DATE(YEAR(B3657),MONTH(B3657),1)</f>
        <v>46235</v>
      </c>
      <c r="M3657" s="31" t="n">
        <f aca="false">WEEKDAY(B3657,2)</f>
        <v>4</v>
      </c>
      <c r="N3657" s="31" t="str">
        <f aca="false">IF(G3657&lt;=INDEX(Assumptions!$B$15:$B$18,MATCH(E3657,Assumptions!$A$15:$A$18,0)),"Yes","No")</f>
        <v>Yes</v>
      </c>
      <c r="O3657" s="31" t="str">
        <f aca="false">IF(H3657="","Open",IF(H3657&lt;=INDEX(Assumptions!$C$15:$C$18,MATCH(E3657,Assumptions!$A$15:$A$18,0)),"Yes","No"))</f>
        <v>Yes</v>
      </c>
    </row>
    <row r="3658" customFormat="false" ht="15" hidden="false" customHeight="false" outlineLevel="0" collapsed="false">
      <c r="A3658" s="31" t="s">
        <v>3808</v>
      </c>
      <c r="B3658" s="44" t="n">
        <v>46254</v>
      </c>
      <c r="C3658" s="31" t="s">
        <v>60</v>
      </c>
      <c r="D3658" s="31" t="s">
        <v>66</v>
      </c>
      <c r="E3658" s="31" t="s">
        <v>51</v>
      </c>
      <c r="F3658" s="31" t="s">
        <v>130</v>
      </c>
      <c r="G3658" s="31" t="n">
        <v>4</v>
      </c>
      <c r="H3658" s="41" t="n">
        <v>2.2</v>
      </c>
      <c r="I3658" s="31" t="s">
        <v>149</v>
      </c>
      <c r="J3658" s="31" t="n">
        <v>5</v>
      </c>
      <c r="K3658" s="31" t="s">
        <v>150</v>
      </c>
      <c r="L3658" s="45" t="n">
        <f aca="false">DATE(YEAR(B3658),MONTH(B3658),1)</f>
        <v>46235</v>
      </c>
      <c r="M3658" s="31" t="n">
        <f aca="false">WEEKDAY(B3658,2)</f>
        <v>4</v>
      </c>
      <c r="N3658" s="31" t="str">
        <f aca="false">IF(G3658&lt;=INDEX(Assumptions!$B$15:$B$18,MATCH(E3658,Assumptions!$A$15:$A$18,0)),"Yes","No")</f>
        <v>Yes</v>
      </c>
      <c r="O3658" s="31" t="str">
        <f aca="false">IF(H3658="","Open",IF(H3658&lt;=INDEX(Assumptions!$C$15:$C$18,MATCH(E3658,Assumptions!$A$15:$A$18,0)),"Yes","No"))</f>
        <v>Yes</v>
      </c>
    </row>
    <row r="3659" customFormat="false" ht="15" hidden="false" customHeight="false" outlineLevel="0" collapsed="false">
      <c r="A3659" s="31" t="s">
        <v>3809</v>
      </c>
      <c r="B3659" s="44" t="n">
        <v>46254</v>
      </c>
      <c r="C3659" s="31" t="s">
        <v>57</v>
      </c>
      <c r="D3659" s="31" t="s">
        <v>68</v>
      </c>
      <c r="E3659" s="31" t="s">
        <v>52</v>
      </c>
      <c r="F3659" s="31" t="s">
        <v>137</v>
      </c>
      <c r="G3659" s="31" t="n">
        <v>7</v>
      </c>
      <c r="H3659" s="41" t="n">
        <v>32.3</v>
      </c>
      <c r="I3659" s="31" t="s">
        <v>149</v>
      </c>
      <c r="J3659" s="31"/>
      <c r="K3659" s="31" t="s">
        <v>150</v>
      </c>
      <c r="L3659" s="45" t="n">
        <f aca="false">DATE(YEAR(B3659),MONTH(B3659),1)</f>
        <v>46235</v>
      </c>
      <c r="M3659" s="31" t="n">
        <f aca="false">WEEKDAY(B3659,2)</f>
        <v>4</v>
      </c>
      <c r="N3659" s="31" t="str">
        <f aca="false">IF(G3659&lt;=INDEX(Assumptions!$B$15:$B$18,MATCH(E3659,Assumptions!$A$15:$A$18,0)),"Yes","No")</f>
        <v>Yes</v>
      </c>
      <c r="O3659" s="31" t="str">
        <f aca="false">IF(H3659="","Open",IF(H3659&lt;=INDEX(Assumptions!$C$15:$C$18,MATCH(E3659,Assumptions!$A$15:$A$18,0)),"Yes","No"))</f>
        <v>Yes</v>
      </c>
    </row>
    <row r="3660" customFormat="false" ht="15" hidden="false" customHeight="false" outlineLevel="0" collapsed="false">
      <c r="A3660" s="31" t="s">
        <v>3810</v>
      </c>
      <c r="B3660" s="44" t="n">
        <v>46254</v>
      </c>
      <c r="C3660" s="31" t="s">
        <v>60</v>
      </c>
      <c r="D3660" s="31" t="s">
        <v>65</v>
      </c>
      <c r="E3660" s="31" t="s">
        <v>52</v>
      </c>
      <c r="F3660" s="31" t="s">
        <v>124</v>
      </c>
      <c r="G3660" s="31" t="n">
        <v>13</v>
      </c>
      <c r="H3660" s="41" t="n">
        <v>16</v>
      </c>
      <c r="I3660" s="31" t="s">
        <v>149</v>
      </c>
      <c r="J3660" s="31"/>
      <c r="K3660" s="31" t="s">
        <v>150</v>
      </c>
      <c r="L3660" s="45" t="n">
        <f aca="false">DATE(YEAR(B3660),MONTH(B3660),1)</f>
        <v>46235</v>
      </c>
      <c r="M3660" s="31" t="n">
        <f aca="false">WEEKDAY(B3660,2)</f>
        <v>4</v>
      </c>
      <c r="N3660" s="31" t="str">
        <f aca="false">IF(G3660&lt;=INDEX(Assumptions!$B$15:$B$18,MATCH(E3660,Assumptions!$A$15:$A$18,0)),"Yes","No")</f>
        <v>Yes</v>
      </c>
      <c r="O3660" s="31" t="str">
        <f aca="false">IF(H3660="","Open",IF(H3660&lt;=INDEX(Assumptions!$C$15:$C$18,MATCH(E3660,Assumptions!$A$15:$A$18,0)),"Yes","No"))</f>
        <v>Yes</v>
      </c>
    </row>
    <row r="3661" customFormat="false" ht="15" hidden="false" customHeight="false" outlineLevel="0" collapsed="false">
      <c r="A3661" s="31" t="s">
        <v>3811</v>
      </c>
      <c r="B3661" s="44" t="n">
        <v>46254</v>
      </c>
      <c r="C3661" s="31" t="s">
        <v>59</v>
      </c>
      <c r="D3661" s="31" t="s">
        <v>65</v>
      </c>
      <c r="E3661" s="31" t="s">
        <v>51</v>
      </c>
      <c r="F3661" s="31" t="s">
        <v>119</v>
      </c>
      <c r="G3661" s="31" t="n">
        <v>84</v>
      </c>
      <c r="H3661" s="41" t="n">
        <v>13.9</v>
      </c>
      <c r="I3661" s="31" t="s">
        <v>149</v>
      </c>
      <c r="J3661" s="31" t="n">
        <v>3</v>
      </c>
      <c r="K3661" s="31" t="s">
        <v>150</v>
      </c>
      <c r="L3661" s="45" t="n">
        <f aca="false">DATE(YEAR(B3661),MONTH(B3661),1)</f>
        <v>46235</v>
      </c>
      <c r="M3661" s="31" t="n">
        <f aca="false">WEEKDAY(B3661,2)</f>
        <v>4</v>
      </c>
      <c r="N3661" s="31" t="str">
        <f aca="false">IF(G3661&lt;=INDEX(Assumptions!$B$15:$B$18,MATCH(E3661,Assumptions!$A$15:$A$18,0)),"Yes","No")</f>
        <v>No</v>
      </c>
      <c r="O3661" s="31" t="str">
        <f aca="false">IF(H3661="","Open",IF(H3661&lt;=INDEX(Assumptions!$C$15:$C$18,MATCH(E3661,Assumptions!$A$15:$A$18,0)),"Yes","No"))</f>
        <v>Yes</v>
      </c>
    </row>
    <row r="3662" customFormat="false" ht="15" hidden="false" customHeight="false" outlineLevel="0" collapsed="false">
      <c r="A3662" s="31" t="s">
        <v>3812</v>
      </c>
      <c r="B3662" s="44" t="n">
        <v>46254</v>
      </c>
      <c r="C3662" s="31" t="s">
        <v>58</v>
      </c>
      <c r="D3662" s="31" t="s">
        <v>67</v>
      </c>
      <c r="E3662" s="31" t="s">
        <v>51</v>
      </c>
      <c r="F3662" s="31" t="s">
        <v>122</v>
      </c>
      <c r="G3662" s="31" t="n">
        <v>22</v>
      </c>
      <c r="H3662" s="41" t="n">
        <v>84.9</v>
      </c>
      <c r="I3662" s="31" t="s">
        <v>149</v>
      </c>
      <c r="J3662" s="31"/>
      <c r="K3662" s="31" t="s">
        <v>150</v>
      </c>
      <c r="L3662" s="45" t="n">
        <f aca="false">DATE(YEAR(B3662),MONTH(B3662),1)</f>
        <v>46235</v>
      </c>
      <c r="M3662" s="31" t="n">
        <f aca="false">WEEKDAY(B3662,2)</f>
        <v>4</v>
      </c>
      <c r="N3662" s="31" t="str">
        <f aca="false">IF(G3662&lt;=INDEX(Assumptions!$B$15:$B$18,MATCH(E3662,Assumptions!$A$15:$A$18,0)),"Yes","No")</f>
        <v>Yes</v>
      </c>
      <c r="O3662" s="31" t="str">
        <f aca="false">IF(H3662="","Open",IF(H3662&lt;=INDEX(Assumptions!$C$15:$C$18,MATCH(E3662,Assumptions!$A$15:$A$18,0)),"Yes","No"))</f>
        <v>No</v>
      </c>
    </row>
    <row r="3663" customFormat="false" ht="15" hidden="false" customHeight="false" outlineLevel="0" collapsed="false">
      <c r="A3663" s="31" t="s">
        <v>3813</v>
      </c>
      <c r="B3663" s="44" t="n">
        <v>46254</v>
      </c>
      <c r="C3663" s="31" t="s">
        <v>57</v>
      </c>
      <c r="D3663" s="31" t="s">
        <v>69</v>
      </c>
      <c r="E3663" s="31" t="s">
        <v>52</v>
      </c>
      <c r="F3663" s="31" t="s">
        <v>122</v>
      </c>
      <c r="G3663" s="31" t="n">
        <v>3</v>
      </c>
      <c r="H3663" s="41" t="n">
        <v>14.1</v>
      </c>
      <c r="I3663" s="31" t="s">
        <v>149</v>
      </c>
      <c r="J3663" s="31" t="n">
        <v>5</v>
      </c>
      <c r="K3663" s="31" t="s">
        <v>150</v>
      </c>
      <c r="L3663" s="45" t="n">
        <f aca="false">DATE(YEAR(B3663),MONTH(B3663),1)</f>
        <v>46235</v>
      </c>
      <c r="M3663" s="31" t="n">
        <f aca="false">WEEKDAY(B3663,2)</f>
        <v>4</v>
      </c>
      <c r="N3663" s="31" t="str">
        <f aca="false">IF(G3663&lt;=INDEX(Assumptions!$B$15:$B$18,MATCH(E3663,Assumptions!$A$15:$A$18,0)),"Yes","No")</f>
        <v>Yes</v>
      </c>
      <c r="O3663" s="31" t="str">
        <f aca="false">IF(H3663="","Open",IF(H3663&lt;=INDEX(Assumptions!$C$15:$C$18,MATCH(E3663,Assumptions!$A$15:$A$18,0)),"Yes","No"))</f>
        <v>Yes</v>
      </c>
    </row>
    <row r="3664" customFormat="false" ht="15" hidden="false" customHeight="false" outlineLevel="0" collapsed="false">
      <c r="A3664" s="31" t="s">
        <v>3814</v>
      </c>
      <c r="B3664" s="44" t="n">
        <v>46254</v>
      </c>
      <c r="C3664" s="31" t="s">
        <v>59</v>
      </c>
      <c r="D3664" s="31" t="s">
        <v>67</v>
      </c>
      <c r="E3664" s="31" t="s">
        <v>49</v>
      </c>
      <c r="F3664" s="31" t="s">
        <v>123</v>
      </c>
      <c r="G3664" s="31" t="n">
        <v>78</v>
      </c>
      <c r="H3664" s="41" t="n">
        <v>8.3</v>
      </c>
      <c r="I3664" s="31" t="s">
        <v>149</v>
      </c>
      <c r="J3664" s="31"/>
      <c r="K3664" s="31" t="s">
        <v>150</v>
      </c>
      <c r="L3664" s="45" t="n">
        <f aca="false">DATE(YEAR(B3664),MONTH(B3664),1)</f>
        <v>46235</v>
      </c>
      <c r="M3664" s="31" t="n">
        <f aca="false">WEEKDAY(B3664,2)</f>
        <v>4</v>
      </c>
      <c r="N3664" s="31" t="str">
        <f aca="false">IF(G3664&lt;=INDEX(Assumptions!$B$15:$B$18,MATCH(E3664,Assumptions!$A$15:$A$18,0)),"Yes","No")</f>
        <v>No</v>
      </c>
      <c r="O3664" s="31" t="str">
        <f aca="false">IF(H3664="","Open",IF(H3664&lt;=INDEX(Assumptions!$C$15:$C$18,MATCH(E3664,Assumptions!$A$15:$A$18,0)),"Yes","No"))</f>
        <v>No</v>
      </c>
    </row>
    <row r="3665" customFormat="false" ht="15" hidden="false" customHeight="false" outlineLevel="0" collapsed="false">
      <c r="A3665" s="31" t="s">
        <v>3815</v>
      </c>
      <c r="B3665" s="44" t="n">
        <v>46254</v>
      </c>
      <c r="C3665" s="31" t="s">
        <v>59</v>
      </c>
      <c r="D3665" s="31" t="s">
        <v>66</v>
      </c>
      <c r="E3665" s="31" t="s">
        <v>51</v>
      </c>
      <c r="F3665" s="31" t="s">
        <v>126</v>
      </c>
      <c r="G3665" s="31" t="n">
        <v>81</v>
      </c>
      <c r="H3665" s="41" t="n">
        <v>4.7</v>
      </c>
      <c r="I3665" s="31" t="s">
        <v>149</v>
      </c>
      <c r="J3665" s="31"/>
      <c r="K3665" s="31" t="s">
        <v>150</v>
      </c>
      <c r="L3665" s="45" t="n">
        <f aca="false">DATE(YEAR(B3665),MONTH(B3665),1)</f>
        <v>46235</v>
      </c>
      <c r="M3665" s="31" t="n">
        <f aca="false">WEEKDAY(B3665,2)</f>
        <v>4</v>
      </c>
      <c r="N3665" s="31" t="str">
        <f aca="false">IF(G3665&lt;=INDEX(Assumptions!$B$15:$B$18,MATCH(E3665,Assumptions!$A$15:$A$18,0)),"Yes","No")</f>
        <v>No</v>
      </c>
      <c r="O3665" s="31" t="str">
        <f aca="false">IF(H3665="","Open",IF(H3665&lt;=INDEX(Assumptions!$C$15:$C$18,MATCH(E3665,Assumptions!$A$15:$A$18,0)),"Yes","No"))</f>
        <v>Yes</v>
      </c>
    </row>
    <row r="3666" customFormat="false" ht="15" hidden="false" customHeight="false" outlineLevel="0" collapsed="false">
      <c r="A3666" s="31" t="s">
        <v>3816</v>
      </c>
      <c r="B3666" s="44" t="n">
        <v>46254</v>
      </c>
      <c r="C3666" s="31" t="s">
        <v>57</v>
      </c>
      <c r="D3666" s="31" t="s">
        <v>68</v>
      </c>
      <c r="E3666" s="31" t="s">
        <v>52</v>
      </c>
      <c r="F3666" s="31" t="s">
        <v>121</v>
      </c>
      <c r="G3666" s="31" t="n">
        <v>4</v>
      </c>
      <c r="H3666" s="41" t="n">
        <v>3.3</v>
      </c>
      <c r="I3666" s="31" t="s">
        <v>149</v>
      </c>
      <c r="J3666" s="31"/>
      <c r="K3666" s="31" t="s">
        <v>153</v>
      </c>
      <c r="L3666" s="45" t="n">
        <f aca="false">DATE(YEAR(B3666),MONTH(B3666),1)</f>
        <v>46235</v>
      </c>
      <c r="M3666" s="31" t="n">
        <f aca="false">WEEKDAY(B3666,2)</f>
        <v>4</v>
      </c>
      <c r="N3666" s="31" t="str">
        <f aca="false">IF(G3666&lt;=INDEX(Assumptions!$B$15:$B$18,MATCH(E3666,Assumptions!$A$15:$A$18,0)),"Yes","No")</f>
        <v>Yes</v>
      </c>
      <c r="O3666" s="31" t="str">
        <f aca="false">IF(H3666="","Open",IF(H3666&lt;=INDEX(Assumptions!$C$15:$C$18,MATCH(E3666,Assumptions!$A$15:$A$18,0)),"Yes","No"))</f>
        <v>Yes</v>
      </c>
    </row>
    <row r="3667" customFormat="false" ht="15" hidden="false" customHeight="false" outlineLevel="0" collapsed="false">
      <c r="A3667" s="31" t="s">
        <v>3817</v>
      </c>
      <c r="B3667" s="44" t="n">
        <v>46254</v>
      </c>
      <c r="C3667" s="31" t="s">
        <v>59</v>
      </c>
      <c r="D3667" s="31" t="s">
        <v>65</v>
      </c>
      <c r="E3667" s="31" t="s">
        <v>50</v>
      </c>
      <c r="F3667" s="31" t="s">
        <v>137</v>
      </c>
      <c r="G3667" s="31" t="n">
        <v>60</v>
      </c>
      <c r="H3667" s="41" t="n">
        <v>44.3</v>
      </c>
      <c r="I3667" s="31" t="s">
        <v>64</v>
      </c>
      <c r="J3667" s="31"/>
      <c r="K3667" s="31" t="s">
        <v>150</v>
      </c>
      <c r="L3667" s="45" t="n">
        <f aca="false">DATE(YEAR(B3667),MONTH(B3667),1)</f>
        <v>46235</v>
      </c>
      <c r="M3667" s="31" t="n">
        <f aca="false">WEEKDAY(B3667,2)</f>
        <v>4</v>
      </c>
      <c r="N3667" s="31" t="str">
        <f aca="false">IF(G3667&lt;=INDEX(Assumptions!$B$15:$B$18,MATCH(E3667,Assumptions!$A$15:$A$18,0)),"Yes","No")</f>
        <v>No</v>
      </c>
      <c r="O3667" s="31" t="str">
        <f aca="false">IF(H3667="","Open",IF(H3667&lt;=INDEX(Assumptions!$C$15:$C$18,MATCH(E3667,Assumptions!$A$15:$A$18,0)),"Yes","No"))</f>
        <v>No</v>
      </c>
    </row>
    <row r="3668" customFormat="false" ht="15" hidden="false" customHeight="false" outlineLevel="0" collapsed="false">
      <c r="A3668" s="31" t="s">
        <v>3818</v>
      </c>
      <c r="B3668" s="44" t="n">
        <v>46254</v>
      </c>
      <c r="C3668" s="31" t="s">
        <v>57</v>
      </c>
      <c r="D3668" s="31" t="s">
        <v>67</v>
      </c>
      <c r="E3668" s="31" t="s">
        <v>50</v>
      </c>
      <c r="F3668" s="31" t="s">
        <v>120</v>
      </c>
      <c r="G3668" s="31" t="n">
        <v>12</v>
      </c>
      <c r="H3668" s="41" t="n">
        <v>11.4</v>
      </c>
      <c r="I3668" s="31" t="s">
        <v>149</v>
      </c>
      <c r="J3668" s="31" t="n">
        <v>3</v>
      </c>
      <c r="K3668" s="31" t="s">
        <v>150</v>
      </c>
      <c r="L3668" s="45" t="n">
        <f aca="false">DATE(YEAR(B3668),MONTH(B3668),1)</f>
        <v>46235</v>
      </c>
      <c r="M3668" s="31" t="n">
        <f aca="false">WEEKDAY(B3668,2)</f>
        <v>4</v>
      </c>
      <c r="N3668" s="31" t="str">
        <f aca="false">IF(G3668&lt;=INDEX(Assumptions!$B$15:$B$18,MATCH(E3668,Assumptions!$A$15:$A$18,0)),"Yes","No")</f>
        <v>Yes</v>
      </c>
      <c r="O3668" s="31" t="str">
        <f aca="false">IF(H3668="","Open",IF(H3668&lt;=INDEX(Assumptions!$C$15:$C$18,MATCH(E3668,Assumptions!$A$15:$A$18,0)),"Yes","No"))</f>
        <v>No</v>
      </c>
    </row>
    <row r="3669" customFormat="false" ht="15" hidden="false" customHeight="false" outlineLevel="0" collapsed="false">
      <c r="A3669" s="31" t="s">
        <v>3819</v>
      </c>
      <c r="B3669" s="44" t="n">
        <v>46254</v>
      </c>
      <c r="C3669" s="31" t="s">
        <v>57</v>
      </c>
      <c r="D3669" s="31" t="s">
        <v>69</v>
      </c>
      <c r="E3669" s="31" t="s">
        <v>51</v>
      </c>
      <c r="F3669" s="31" t="s">
        <v>126</v>
      </c>
      <c r="G3669" s="31" t="n">
        <v>2</v>
      </c>
      <c r="H3669" s="41" t="n">
        <v>15.9</v>
      </c>
      <c r="I3669" s="31" t="s">
        <v>149</v>
      </c>
      <c r="J3669" s="31"/>
      <c r="K3669" s="31" t="s">
        <v>150</v>
      </c>
      <c r="L3669" s="45" t="n">
        <f aca="false">DATE(YEAR(B3669),MONTH(B3669),1)</f>
        <v>46235</v>
      </c>
      <c r="M3669" s="31" t="n">
        <f aca="false">WEEKDAY(B3669,2)</f>
        <v>4</v>
      </c>
      <c r="N3669" s="31" t="str">
        <f aca="false">IF(G3669&lt;=INDEX(Assumptions!$B$15:$B$18,MATCH(E3669,Assumptions!$A$15:$A$18,0)),"Yes","No")</f>
        <v>Yes</v>
      </c>
      <c r="O3669" s="31" t="str">
        <f aca="false">IF(H3669="","Open",IF(H3669&lt;=INDEX(Assumptions!$C$15:$C$18,MATCH(E3669,Assumptions!$A$15:$A$18,0)),"Yes","No"))</f>
        <v>Yes</v>
      </c>
    </row>
    <row r="3670" customFormat="false" ht="15" hidden="false" customHeight="false" outlineLevel="0" collapsed="false">
      <c r="A3670" s="31" t="s">
        <v>3820</v>
      </c>
      <c r="B3670" s="44" t="n">
        <v>46254</v>
      </c>
      <c r="C3670" s="31" t="s">
        <v>58</v>
      </c>
      <c r="D3670" s="31" t="s">
        <v>68</v>
      </c>
      <c r="E3670" s="31" t="s">
        <v>51</v>
      </c>
      <c r="F3670" s="31" t="s">
        <v>123</v>
      </c>
      <c r="G3670" s="31" t="n">
        <v>2</v>
      </c>
      <c r="H3670" s="41" t="n">
        <v>9.5</v>
      </c>
      <c r="I3670" s="31" t="s">
        <v>149</v>
      </c>
      <c r="J3670" s="31" t="n">
        <v>5</v>
      </c>
      <c r="K3670" s="31" t="s">
        <v>150</v>
      </c>
      <c r="L3670" s="45" t="n">
        <f aca="false">DATE(YEAR(B3670),MONTH(B3670),1)</f>
        <v>46235</v>
      </c>
      <c r="M3670" s="31" t="n">
        <f aca="false">WEEKDAY(B3670,2)</f>
        <v>4</v>
      </c>
      <c r="N3670" s="31" t="str">
        <f aca="false">IF(G3670&lt;=INDEX(Assumptions!$B$15:$B$18,MATCH(E3670,Assumptions!$A$15:$A$18,0)),"Yes","No")</f>
        <v>Yes</v>
      </c>
      <c r="O3670" s="31" t="str">
        <f aca="false">IF(H3670="","Open",IF(H3670&lt;=INDEX(Assumptions!$C$15:$C$18,MATCH(E3670,Assumptions!$A$15:$A$18,0)),"Yes","No"))</f>
        <v>Yes</v>
      </c>
    </row>
    <row r="3671" customFormat="false" ht="15" hidden="false" customHeight="false" outlineLevel="0" collapsed="false">
      <c r="A3671" s="31" t="s">
        <v>3821</v>
      </c>
      <c r="B3671" s="44" t="n">
        <v>46254</v>
      </c>
      <c r="C3671" s="31" t="s">
        <v>57</v>
      </c>
      <c r="D3671" s="31" t="s">
        <v>65</v>
      </c>
      <c r="E3671" s="31" t="s">
        <v>51</v>
      </c>
      <c r="F3671" s="31" t="s">
        <v>123</v>
      </c>
      <c r="G3671" s="31" t="n">
        <v>3</v>
      </c>
      <c r="H3671" s="41" t="n">
        <v>5.6</v>
      </c>
      <c r="I3671" s="31" t="s">
        <v>149</v>
      </c>
      <c r="J3671" s="31"/>
      <c r="K3671" s="31" t="s">
        <v>150</v>
      </c>
      <c r="L3671" s="45" t="n">
        <f aca="false">DATE(YEAR(B3671),MONTH(B3671),1)</f>
        <v>46235</v>
      </c>
      <c r="M3671" s="31" t="n">
        <f aca="false">WEEKDAY(B3671,2)</f>
        <v>4</v>
      </c>
      <c r="N3671" s="31" t="str">
        <f aca="false">IF(G3671&lt;=INDEX(Assumptions!$B$15:$B$18,MATCH(E3671,Assumptions!$A$15:$A$18,0)),"Yes","No")</f>
        <v>Yes</v>
      </c>
      <c r="O3671" s="31" t="str">
        <f aca="false">IF(H3671="","Open",IF(H3671&lt;=INDEX(Assumptions!$C$15:$C$18,MATCH(E3671,Assumptions!$A$15:$A$18,0)),"Yes","No"))</f>
        <v>Yes</v>
      </c>
    </row>
    <row r="3672" customFormat="false" ht="15" hidden="false" customHeight="false" outlineLevel="0" collapsed="false">
      <c r="A3672" s="31" t="s">
        <v>3822</v>
      </c>
      <c r="B3672" s="44" t="n">
        <v>46254</v>
      </c>
      <c r="C3672" s="31" t="s">
        <v>60</v>
      </c>
      <c r="D3672" s="31" t="s">
        <v>65</v>
      </c>
      <c r="E3672" s="31" t="s">
        <v>52</v>
      </c>
      <c r="F3672" s="31" t="s">
        <v>134</v>
      </c>
      <c r="G3672" s="31" t="n">
        <v>6</v>
      </c>
      <c r="H3672" s="41" t="n">
        <v>58.1</v>
      </c>
      <c r="I3672" s="31" t="s">
        <v>149</v>
      </c>
      <c r="J3672" s="31" t="n">
        <v>5</v>
      </c>
      <c r="K3672" s="31" t="s">
        <v>150</v>
      </c>
      <c r="L3672" s="45" t="n">
        <f aca="false">DATE(YEAR(B3672),MONTH(B3672),1)</f>
        <v>46235</v>
      </c>
      <c r="M3672" s="31" t="n">
        <f aca="false">WEEKDAY(B3672,2)</f>
        <v>4</v>
      </c>
      <c r="N3672" s="31" t="str">
        <f aca="false">IF(G3672&lt;=INDEX(Assumptions!$B$15:$B$18,MATCH(E3672,Assumptions!$A$15:$A$18,0)),"Yes","No")</f>
        <v>Yes</v>
      </c>
      <c r="O3672" s="31" t="str">
        <f aca="false">IF(H3672="","Open",IF(H3672&lt;=INDEX(Assumptions!$C$15:$C$18,MATCH(E3672,Assumptions!$A$15:$A$18,0)),"Yes","No"))</f>
        <v>Yes</v>
      </c>
    </row>
    <row r="3673" customFormat="false" ht="15" hidden="false" customHeight="false" outlineLevel="0" collapsed="false">
      <c r="A3673" s="31" t="s">
        <v>3823</v>
      </c>
      <c r="B3673" s="44" t="n">
        <v>46254</v>
      </c>
      <c r="C3673" s="31" t="s">
        <v>60</v>
      </c>
      <c r="D3673" s="31" t="s">
        <v>66</v>
      </c>
      <c r="E3673" s="31" t="s">
        <v>52</v>
      </c>
      <c r="F3673" s="31" t="s">
        <v>136</v>
      </c>
      <c r="G3673" s="31" t="n">
        <v>3</v>
      </c>
      <c r="H3673" s="41" t="n">
        <v>5.5</v>
      </c>
      <c r="I3673" s="31" t="s">
        <v>149</v>
      </c>
      <c r="J3673" s="31" t="n">
        <v>4</v>
      </c>
      <c r="K3673" s="31" t="s">
        <v>150</v>
      </c>
      <c r="L3673" s="45" t="n">
        <f aca="false">DATE(YEAR(B3673),MONTH(B3673),1)</f>
        <v>46235</v>
      </c>
      <c r="M3673" s="31" t="n">
        <f aca="false">WEEKDAY(B3673,2)</f>
        <v>4</v>
      </c>
      <c r="N3673" s="31" t="str">
        <f aca="false">IF(G3673&lt;=INDEX(Assumptions!$B$15:$B$18,MATCH(E3673,Assumptions!$A$15:$A$18,0)),"Yes","No")</f>
        <v>Yes</v>
      </c>
      <c r="O3673" s="31" t="str">
        <f aca="false">IF(H3673="","Open",IF(H3673&lt;=INDEX(Assumptions!$C$15:$C$18,MATCH(E3673,Assumptions!$A$15:$A$18,0)),"Yes","No"))</f>
        <v>Yes</v>
      </c>
    </row>
    <row r="3674" customFormat="false" ht="15" hidden="false" customHeight="false" outlineLevel="0" collapsed="false">
      <c r="A3674" s="31" t="s">
        <v>3824</v>
      </c>
      <c r="B3674" s="44" t="n">
        <v>46254</v>
      </c>
      <c r="C3674" s="31" t="s">
        <v>60</v>
      </c>
      <c r="D3674" s="31" t="s">
        <v>65</v>
      </c>
      <c r="E3674" s="31" t="s">
        <v>52</v>
      </c>
      <c r="F3674" s="31" t="s">
        <v>134</v>
      </c>
      <c r="G3674" s="31" t="n">
        <v>7</v>
      </c>
      <c r="H3674" s="41" t="n">
        <v>34.4</v>
      </c>
      <c r="I3674" s="31" t="s">
        <v>149</v>
      </c>
      <c r="J3674" s="31"/>
      <c r="K3674" s="31" t="s">
        <v>150</v>
      </c>
      <c r="L3674" s="45" t="n">
        <f aca="false">DATE(YEAR(B3674),MONTH(B3674),1)</f>
        <v>46235</v>
      </c>
      <c r="M3674" s="31" t="n">
        <f aca="false">WEEKDAY(B3674,2)</f>
        <v>4</v>
      </c>
      <c r="N3674" s="31" t="str">
        <f aca="false">IF(G3674&lt;=INDEX(Assumptions!$B$15:$B$18,MATCH(E3674,Assumptions!$A$15:$A$18,0)),"Yes","No")</f>
        <v>Yes</v>
      </c>
      <c r="O3674" s="31" t="str">
        <f aca="false">IF(H3674="","Open",IF(H3674&lt;=INDEX(Assumptions!$C$15:$C$18,MATCH(E3674,Assumptions!$A$15:$A$18,0)),"Yes","No"))</f>
        <v>Yes</v>
      </c>
    </row>
    <row r="3675" customFormat="false" ht="15" hidden="false" customHeight="false" outlineLevel="0" collapsed="false">
      <c r="A3675" s="31" t="s">
        <v>3825</v>
      </c>
      <c r="B3675" s="44" t="n">
        <v>46254</v>
      </c>
      <c r="C3675" s="31" t="s">
        <v>57</v>
      </c>
      <c r="D3675" s="31" t="s">
        <v>66</v>
      </c>
      <c r="E3675" s="31" t="s">
        <v>51</v>
      </c>
      <c r="F3675" s="31" t="s">
        <v>133</v>
      </c>
      <c r="G3675" s="31" t="n">
        <v>2</v>
      </c>
      <c r="H3675" s="41" t="n">
        <v>5.5</v>
      </c>
      <c r="I3675" s="31" t="s">
        <v>149</v>
      </c>
      <c r="J3675" s="31"/>
      <c r="K3675" s="31" t="s">
        <v>150</v>
      </c>
      <c r="L3675" s="45" t="n">
        <f aca="false">DATE(YEAR(B3675),MONTH(B3675),1)</f>
        <v>46235</v>
      </c>
      <c r="M3675" s="31" t="n">
        <f aca="false">WEEKDAY(B3675,2)</f>
        <v>4</v>
      </c>
      <c r="N3675" s="31" t="str">
        <f aca="false">IF(G3675&lt;=INDEX(Assumptions!$B$15:$B$18,MATCH(E3675,Assumptions!$A$15:$A$18,0)),"Yes","No")</f>
        <v>Yes</v>
      </c>
      <c r="O3675" s="31" t="str">
        <f aca="false">IF(H3675="","Open",IF(H3675&lt;=INDEX(Assumptions!$C$15:$C$18,MATCH(E3675,Assumptions!$A$15:$A$18,0)),"Yes","No"))</f>
        <v>Yes</v>
      </c>
    </row>
    <row r="3676" customFormat="false" ht="15" hidden="false" customHeight="false" outlineLevel="0" collapsed="false">
      <c r="A3676" s="31" t="s">
        <v>3826</v>
      </c>
      <c r="B3676" s="44" t="n">
        <v>46254</v>
      </c>
      <c r="C3676" s="31" t="s">
        <v>57</v>
      </c>
      <c r="D3676" s="31" t="s">
        <v>66</v>
      </c>
      <c r="E3676" s="31" t="s">
        <v>49</v>
      </c>
      <c r="F3676" s="31" t="s">
        <v>122</v>
      </c>
      <c r="G3676" s="31" t="n">
        <v>3</v>
      </c>
      <c r="H3676" s="41" t="n">
        <v>1.8</v>
      </c>
      <c r="I3676" s="31" t="s">
        <v>149</v>
      </c>
      <c r="J3676" s="31" t="n">
        <v>5</v>
      </c>
      <c r="K3676" s="31" t="s">
        <v>150</v>
      </c>
      <c r="L3676" s="45" t="n">
        <f aca="false">DATE(YEAR(B3676),MONTH(B3676),1)</f>
        <v>46235</v>
      </c>
      <c r="M3676" s="31" t="n">
        <f aca="false">WEEKDAY(B3676,2)</f>
        <v>4</v>
      </c>
      <c r="N3676" s="31" t="str">
        <f aca="false">IF(G3676&lt;=INDEX(Assumptions!$B$15:$B$18,MATCH(E3676,Assumptions!$A$15:$A$18,0)),"Yes","No")</f>
        <v>Yes</v>
      </c>
      <c r="O3676" s="31" t="str">
        <f aca="false">IF(H3676="","Open",IF(H3676&lt;=INDEX(Assumptions!$C$15:$C$18,MATCH(E3676,Assumptions!$A$15:$A$18,0)),"Yes","No"))</f>
        <v>Yes</v>
      </c>
    </row>
    <row r="3677" customFormat="false" ht="15" hidden="false" customHeight="false" outlineLevel="0" collapsed="false">
      <c r="A3677" s="31" t="s">
        <v>3827</v>
      </c>
      <c r="B3677" s="44" t="n">
        <v>46254</v>
      </c>
      <c r="C3677" s="31" t="s">
        <v>57</v>
      </c>
      <c r="D3677" s="31" t="s">
        <v>66</v>
      </c>
      <c r="E3677" s="31" t="s">
        <v>51</v>
      </c>
      <c r="F3677" s="31" t="s">
        <v>120</v>
      </c>
      <c r="G3677" s="31" t="n">
        <v>5</v>
      </c>
      <c r="H3677" s="41" t="n">
        <v>13.3</v>
      </c>
      <c r="I3677" s="31" t="s">
        <v>149</v>
      </c>
      <c r="J3677" s="31" t="n">
        <v>3</v>
      </c>
      <c r="K3677" s="31" t="s">
        <v>150</v>
      </c>
      <c r="L3677" s="45" t="n">
        <f aca="false">DATE(YEAR(B3677),MONTH(B3677),1)</f>
        <v>46235</v>
      </c>
      <c r="M3677" s="31" t="n">
        <f aca="false">WEEKDAY(B3677,2)</f>
        <v>4</v>
      </c>
      <c r="N3677" s="31" t="str">
        <f aca="false">IF(G3677&lt;=INDEX(Assumptions!$B$15:$B$18,MATCH(E3677,Assumptions!$A$15:$A$18,0)),"Yes","No")</f>
        <v>Yes</v>
      </c>
      <c r="O3677" s="31" t="str">
        <f aca="false">IF(H3677="","Open",IF(H3677&lt;=INDEX(Assumptions!$C$15:$C$18,MATCH(E3677,Assumptions!$A$15:$A$18,0)),"Yes","No"))</f>
        <v>Yes</v>
      </c>
    </row>
    <row r="3678" customFormat="false" ht="15" hidden="false" customHeight="false" outlineLevel="0" collapsed="false">
      <c r="A3678" s="31" t="s">
        <v>3828</v>
      </c>
      <c r="B3678" s="44" t="n">
        <v>46254</v>
      </c>
      <c r="C3678" s="31" t="s">
        <v>57</v>
      </c>
      <c r="D3678" s="31" t="s">
        <v>65</v>
      </c>
      <c r="E3678" s="31" t="s">
        <v>51</v>
      </c>
      <c r="F3678" s="31" t="s">
        <v>131</v>
      </c>
      <c r="G3678" s="31" t="n">
        <v>2</v>
      </c>
      <c r="H3678" s="41" t="n">
        <v>5</v>
      </c>
      <c r="I3678" s="31" t="s">
        <v>64</v>
      </c>
      <c r="J3678" s="31" t="n">
        <v>5</v>
      </c>
      <c r="K3678" s="31" t="s">
        <v>150</v>
      </c>
      <c r="L3678" s="45" t="n">
        <f aca="false">DATE(YEAR(B3678),MONTH(B3678),1)</f>
        <v>46235</v>
      </c>
      <c r="M3678" s="31" t="n">
        <f aca="false">WEEKDAY(B3678,2)</f>
        <v>4</v>
      </c>
      <c r="N3678" s="31" t="str">
        <f aca="false">IF(G3678&lt;=INDEX(Assumptions!$B$15:$B$18,MATCH(E3678,Assumptions!$A$15:$A$18,0)),"Yes","No")</f>
        <v>Yes</v>
      </c>
      <c r="O3678" s="31" t="str">
        <f aca="false">IF(H3678="","Open",IF(H3678&lt;=INDEX(Assumptions!$C$15:$C$18,MATCH(E3678,Assumptions!$A$15:$A$18,0)),"Yes","No"))</f>
        <v>Yes</v>
      </c>
    </row>
    <row r="3679" customFormat="false" ht="15" hidden="false" customHeight="false" outlineLevel="0" collapsed="false">
      <c r="A3679" s="31" t="s">
        <v>3829</v>
      </c>
      <c r="B3679" s="44" t="n">
        <v>46254</v>
      </c>
      <c r="C3679" s="31" t="s">
        <v>59</v>
      </c>
      <c r="D3679" s="31" t="s">
        <v>66</v>
      </c>
      <c r="E3679" s="31" t="s">
        <v>49</v>
      </c>
      <c r="F3679" s="31" t="s">
        <v>117</v>
      </c>
      <c r="G3679" s="31" t="n">
        <v>75</v>
      </c>
      <c r="H3679" s="41" t="n">
        <v>1.4</v>
      </c>
      <c r="I3679" s="31" t="s">
        <v>149</v>
      </c>
      <c r="J3679" s="31" t="n">
        <v>4</v>
      </c>
      <c r="K3679" s="31" t="s">
        <v>150</v>
      </c>
      <c r="L3679" s="45" t="n">
        <f aca="false">DATE(YEAR(B3679),MONTH(B3679),1)</f>
        <v>46235</v>
      </c>
      <c r="M3679" s="31" t="n">
        <f aca="false">WEEKDAY(B3679,2)</f>
        <v>4</v>
      </c>
      <c r="N3679" s="31" t="str">
        <f aca="false">IF(G3679&lt;=INDEX(Assumptions!$B$15:$B$18,MATCH(E3679,Assumptions!$A$15:$A$18,0)),"Yes","No")</f>
        <v>No</v>
      </c>
      <c r="O3679" s="31" t="str">
        <f aca="false">IF(H3679="","Open",IF(H3679&lt;=INDEX(Assumptions!$C$15:$C$18,MATCH(E3679,Assumptions!$A$15:$A$18,0)),"Yes","No"))</f>
        <v>Yes</v>
      </c>
    </row>
    <row r="3680" customFormat="false" ht="15" hidden="false" customHeight="false" outlineLevel="0" collapsed="false">
      <c r="A3680" s="31" t="s">
        <v>3830</v>
      </c>
      <c r="B3680" s="44" t="n">
        <v>46254</v>
      </c>
      <c r="C3680" s="31" t="s">
        <v>60</v>
      </c>
      <c r="D3680" s="31" t="s">
        <v>68</v>
      </c>
      <c r="E3680" s="31" t="s">
        <v>51</v>
      </c>
      <c r="F3680" s="31" t="s">
        <v>137</v>
      </c>
      <c r="G3680" s="31" t="n">
        <v>1</v>
      </c>
      <c r="H3680" s="41" t="n">
        <v>1.8</v>
      </c>
      <c r="I3680" s="31" t="s">
        <v>149</v>
      </c>
      <c r="J3680" s="31" t="n">
        <v>5</v>
      </c>
      <c r="K3680" s="31" t="s">
        <v>150</v>
      </c>
      <c r="L3680" s="45" t="n">
        <f aca="false">DATE(YEAR(B3680),MONTH(B3680),1)</f>
        <v>46235</v>
      </c>
      <c r="M3680" s="31" t="n">
        <f aca="false">WEEKDAY(B3680,2)</f>
        <v>4</v>
      </c>
      <c r="N3680" s="31" t="str">
        <f aca="false">IF(G3680&lt;=INDEX(Assumptions!$B$15:$B$18,MATCH(E3680,Assumptions!$A$15:$A$18,0)),"Yes","No")</f>
        <v>Yes</v>
      </c>
      <c r="O3680" s="31" t="str">
        <f aca="false">IF(H3680="","Open",IF(H3680&lt;=INDEX(Assumptions!$C$15:$C$18,MATCH(E3680,Assumptions!$A$15:$A$18,0)),"Yes","No"))</f>
        <v>Yes</v>
      </c>
    </row>
    <row r="3681" customFormat="false" ht="15" hidden="false" customHeight="false" outlineLevel="0" collapsed="false">
      <c r="A3681" s="31" t="s">
        <v>3831</v>
      </c>
      <c r="B3681" s="44" t="n">
        <v>46254</v>
      </c>
      <c r="C3681" s="31" t="s">
        <v>57</v>
      </c>
      <c r="D3681" s="31" t="s">
        <v>65</v>
      </c>
      <c r="E3681" s="31" t="s">
        <v>51</v>
      </c>
      <c r="F3681" s="31" t="s">
        <v>120</v>
      </c>
      <c r="G3681" s="31" t="n">
        <v>11</v>
      </c>
      <c r="H3681" s="41" t="n">
        <v>116.1</v>
      </c>
      <c r="I3681" s="31" t="s">
        <v>64</v>
      </c>
      <c r="J3681" s="31"/>
      <c r="K3681" s="31" t="s">
        <v>150</v>
      </c>
      <c r="L3681" s="45" t="n">
        <f aca="false">DATE(YEAR(B3681),MONTH(B3681),1)</f>
        <v>46235</v>
      </c>
      <c r="M3681" s="31" t="n">
        <f aca="false">WEEKDAY(B3681,2)</f>
        <v>4</v>
      </c>
      <c r="N3681" s="31" t="str">
        <f aca="false">IF(G3681&lt;=INDEX(Assumptions!$B$15:$B$18,MATCH(E3681,Assumptions!$A$15:$A$18,0)),"Yes","No")</f>
        <v>Yes</v>
      </c>
      <c r="O3681" s="31" t="str">
        <f aca="false">IF(H3681="","Open",IF(H3681&lt;=INDEX(Assumptions!$C$15:$C$18,MATCH(E3681,Assumptions!$A$15:$A$18,0)),"Yes","No"))</f>
        <v>No</v>
      </c>
    </row>
    <row r="3682" customFormat="false" ht="15" hidden="false" customHeight="false" outlineLevel="0" collapsed="false">
      <c r="A3682" s="31" t="s">
        <v>3832</v>
      </c>
      <c r="B3682" s="44" t="n">
        <v>46254</v>
      </c>
      <c r="C3682" s="31" t="s">
        <v>57</v>
      </c>
      <c r="D3682" s="31" t="s">
        <v>67</v>
      </c>
      <c r="E3682" s="31" t="s">
        <v>51</v>
      </c>
      <c r="F3682" s="31" t="s">
        <v>129</v>
      </c>
      <c r="G3682" s="31" t="n">
        <v>3</v>
      </c>
      <c r="H3682" s="41" t="n">
        <v>9.4</v>
      </c>
      <c r="I3682" s="31" t="s">
        <v>149</v>
      </c>
      <c r="J3682" s="31" t="n">
        <v>5</v>
      </c>
      <c r="K3682" s="31" t="s">
        <v>150</v>
      </c>
      <c r="L3682" s="45" t="n">
        <f aca="false">DATE(YEAR(B3682),MONTH(B3682),1)</f>
        <v>46235</v>
      </c>
      <c r="M3682" s="31" t="n">
        <f aca="false">WEEKDAY(B3682,2)</f>
        <v>4</v>
      </c>
      <c r="N3682" s="31" t="str">
        <f aca="false">IF(G3682&lt;=INDEX(Assumptions!$B$15:$B$18,MATCH(E3682,Assumptions!$A$15:$A$18,0)),"Yes","No")</f>
        <v>Yes</v>
      </c>
      <c r="O3682" s="31" t="str">
        <f aca="false">IF(H3682="","Open",IF(H3682&lt;=INDEX(Assumptions!$C$15:$C$18,MATCH(E3682,Assumptions!$A$15:$A$18,0)),"Yes","No"))</f>
        <v>Yes</v>
      </c>
    </row>
    <row r="3683" customFormat="false" ht="15" hidden="false" customHeight="false" outlineLevel="0" collapsed="false">
      <c r="A3683" s="31" t="s">
        <v>3833</v>
      </c>
      <c r="B3683" s="44" t="n">
        <v>46254</v>
      </c>
      <c r="C3683" s="31" t="s">
        <v>57</v>
      </c>
      <c r="D3683" s="31" t="s">
        <v>67</v>
      </c>
      <c r="E3683" s="31" t="s">
        <v>49</v>
      </c>
      <c r="F3683" s="31" t="s">
        <v>131</v>
      </c>
      <c r="G3683" s="31" t="n">
        <v>4</v>
      </c>
      <c r="H3683" s="41" t="n">
        <v>5.8</v>
      </c>
      <c r="I3683" s="31" t="s">
        <v>149</v>
      </c>
      <c r="J3683" s="31"/>
      <c r="K3683" s="31" t="s">
        <v>150</v>
      </c>
      <c r="L3683" s="45" t="n">
        <f aca="false">DATE(YEAR(B3683),MONTH(B3683),1)</f>
        <v>46235</v>
      </c>
      <c r="M3683" s="31" t="n">
        <f aca="false">WEEKDAY(B3683,2)</f>
        <v>4</v>
      </c>
      <c r="N3683" s="31" t="str">
        <f aca="false">IF(G3683&lt;=INDEX(Assumptions!$B$15:$B$18,MATCH(E3683,Assumptions!$A$15:$A$18,0)),"Yes","No")</f>
        <v>Yes</v>
      </c>
      <c r="O3683" s="31" t="str">
        <f aca="false">IF(H3683="","Open",IF(H3683&lt;=INDEX(Assumptions!$C$15:$C$18,MATCH(E3683,Assumptions!$A$15:$A$18,0)),"Yes","No"))</f>
        <v>No</v>
      </c>
    </row>
    <row r="3684" customFormat="false" ht="15" hidden="false" customHeight="false" outlineLevel="0" collapsed="false">
      <c r="A3684" s="31" t="s">
        <v>3834</v>
      </c>
      <c r="B3684" s="44" t="n">
        <v>46254</v>
      </c>
      <c r="C3684" s="31" t="s">
        <v>60</v>
      </c>
      <c r="D3684" s="31" t="s">
        <v>68</v>
      </c>
      <c r="E3684" s="31" t="s">
        <v>52</v>
      </c>
      <c r="F3684" s="31" t="s">
        <v>130</v>
      </c>
      <c r="G3684" s="31" t="n">
        <v>1</v>
      </c>
      <c r="H3684" s="41" t="n">
        <v>8.6</v>
      </c>
      <c r="I3684" s="31" t="s">
        <v>149</v>
      </c>
      <c r="J3684" s="31" t="n">
        <v>5</v>
      </c>
      <c r="K3684" s="31" t="s">
        <v>150</v>
      </c>
      <c r="L3684" s="45" t="n">
        <f aca="false">DATE(YEAR(B3684),MONTH(B3684),1)</f>
        <v>46235</v>
      </c>
      <c r="M3684" s="31" t="n">
        <f aca="false">WEEKDAY(B3684,2)</f>
        <v>4</v>
      </c>
      <c r="N3684" s="31" t="str">
        <f aca="false">IF(G3684&lt;=INDEX(Assumptions!$B$15:$B$18,MATCH(E3684,Assumptions!$A$15:$A$18,0)),"Yes","No")</f>
        <v>Yes</v>
      </c>
      <c r="O3684" s="31" t="str">
        <f aca="false">IF(H3684="","Open",IF(H3684&lt;=INDEX(Assumptions!$C$15:$C$18,MATCH(E3684,Assumptions!$A$15:$A$18,0)),"Yes","No"))</f>
        <v>Yes</v>
      </c>
    </row>
    <row r="3685" customFormat="false" ht="15" hidden="false" customHeight="false" outlineLevel="0" collapsed="false">
      <c r="A3685" s="31" t="s">
        <v>3835</v>
      </c>
      <c r="B3685" s="44" t="n">
        <v>46254</v>
      </c>
      <c r="C3685" s="31" t="s">
        <v>57</v>
      </c>
      <c r="D3685" s="31" t="s">
        <v>68</v>
      </c>
      <c r="E3685" s="31" t="s">
        <v>52</v>
      </c>
      <c r="F3685" s="31" t="s">
        <v>119</v>
      </c>
      <c r="G3685" s="31" t="n">
        <v>3</v>
      </c>
      <c r="H3685" s="41" t="n">
        <v>2.3</v>
      </c>
      <c r="I3685" s="31" t="s">
        <v>149</v>
      </c>
      <c r="J3685" s="31" t="n">
        <v>4</v>
      </c>
      <c r="K3685" s="31" t="s">
        <v>150</v>
      </c>
      <c r="L3685" s="45" t="n">
        <f aca="false">DATE(YEAR(B3685),MONTH(B3685),1)</f>
        <v>46235</v>
      </c>
      <c r="M3685" s="31" t="n">
        <f aca="false">WEEKDAY(B3685,2)</f>
        <v>4</v>
      </c>
      <c r="N3685" s="31" t="str">
        <f aca="false">IF(G3685&lt;=INDEX(Assumptions!$B$15:$B$18,MATCH(E3685,Assumptions!$A$15:$A$18,0)),"Yes","No")</f>
        <v>Yes</v>
      </c>
      <c r="O3685" s="31" t="str">
        <f aca="false">IF(H3685="","Open",IF(H3685&lt;=INDEX(Assumptions!$C$15:$C$18,MATCH(E3685,Assumptions!$A$15:$A$18,0)),"Yes","No"))</f>
        <v>Yes</v>
      </c>
    </row>
    <row r="3686" customFormat="false" ht="15" hidden="false" customHeight="false" outlineLevel="0" collapsed="false">
      <c r="A3686" s="31" t="s">
        <v>3836</v>
      </c>
      <c r="B3686" s="44" t="n">
        <v>46254</v>
      </c>
      <c r="C3686" s="31" t="s">
        <v>60</v>
      </c>
      <c r="D3686" s="31" t="s">
        <v>65</v>
      </c>
      <c r="E3686" s="31" t="s">
        <v>52</v>
      </c>
      <c r="F3686" s="31" t="s">
        <v>127</v>
      </c>
      <c r="G3686" s="31" t="n">
        <v>2</v>
      </c>
      <c r="H3686" s="41" t="n">
        <v>12.5</v>
      </c>
      <c r="I3686" s="31" t="s">
        <v>149</v>
      </c>
      <c r="J3686" s="31"/>
      <c r="K3686" s="31" t="s">
        <v>150</v>
      </c>
      <c r="L3686" s="45" t="n">
        <f aca="false">DATE(YEAR(B3686),MONTH(B3686),1)</f>
        <v>46235</v>
      </c>
      <c r="M3686" s="31" t="n">
        <f aca="false">WEEKDAY(B3686,2)</f>
        <v>4</v>
      </c>
      <c r="N3686" s="31" t="str">
        <f aca="false">IF(G3686&lt;=INDEX(Assumptions!$B$15:$B$18,MATCH(E3686,Assumptions!$A$15:$A$18,0)),"Yes","No")</f>
        <v>Yes</v>
      </c>
      <c r="O3686" s="31" t="str">
        <f aca="false">IF(H3686="","Open",IF(H3686&lt;=INDEX(Assumptions!$C$15:$C$18,MATCH(E3686,Assumptions!$A$15:$A$18,0)),"Yes","No"))</f>
        <v>Yes</v>
      </c>
    </row>
    <row r="3687" customFormat="false" ht="15" hidden="false" customHeight="false" outlineLevel="0" collapsed="false">
      <c r="A3687" s="31" t="s">
        <v>3837</v>
      </c>
      <c r="B3687" s="44" t="n">
        <v>46254</v>
      </c>
      <c r="C3687" s="31" t="s">
        <v>60</v>
      </c>
      <c r="D3687" s="31" t="s">
        <v>66</v>
      </c>
      <c r="E3687" s="31" t="s">
        <v>51</v>
      </c>
      <c r="F3687" s="31" t="s">
        <v>131</v>
      </c>
      <c r="G3687" s="31" t="n">
        <v>1</v>
      </c>
      <c r="H3687" s="41" t="n">
        <v>2.6</v>
      </c>
      <c r="I3687" s="31" t="s">
        <v>149</v>
      </c>
      <c r="J3687" s="31" t="n">
        <v>4</v>
      </c>
      <c r="K3687" s="31" t="s">
        <v>150</v>
      </c>
      <c r="L3687" s="45" t="n">
        <f aca="false">DATE(YEAR(B3687),MONTH(B3687),1)</f>
        <v>46235</v>
      </c>
      <c r="M3687" s="31" t="n">
        <f aca="false">WEEKDAY(B3687,2)</f>
        <v>4</v>
      </c>
      <c r="N3687" s="31" t="str">
        <f aca="false">IF(G3687&lt;=INDEX(Assumptions!$B$15:$B$18,MATCH(E3687,Assumptions!$A$15:$A$18,0)),"Yes","No")</f>
        <v>Yes</v>
      </c>
      <c r="O3687" s="31" t="str">
        <f aca="false">IF(H3687="","Open",IF(H3687&lt;=INDEX(Assumptions!$C$15:$C$18,MATCH(E3687,Assumptions!$A$15:$A$18,0)),"Yes","No"))</f>
        <v>Yes</v>
      </c>
    </row>
    <row r="3688" customFormat="false" ht="15" hidden="false" customHeight="false" outlineLevel="0" collapsed="false">
      <c r="A3688" s="31" t="s">
        <v>3838</v>
      </c>
      <c r="B3688" s="44" t="n">
        <v>46254</v>
      </c>
      <c r="C3688" s="31" t="s">
        <v>60</v>
      </c>
      <c r="D3688" s="31" t="s">
        <v>69</v>
      </c>
      <c r="E3688" s="31" t="s">
        <v>50</v>
      </c>
      <c r="F3688" s="31" t="s">
        <v>128</v>
      </c>
      <c r="G3688" s="31" t="n">
        <v>3</v>
      </c>
      <c r="H3688" s="41" t="n">
        <v>34.8</v>
      </c>
      <c r="I3688" s="31" t="s">
        <v>149</v>
      </c>
      <c r="J3688" s="31" t="n">
        <v>3</v>
      </c>
      <c r="K3688" s="31" t="s">
        <v>150</v>
      </c>
      <c r="L3688" s="45" t="n">
        <f aca="false">DATE(YEAR(B3688),MONTH(B3688),1)</f>
        <v>46235</v>
      </c>
      <c r="M3688" s="31" t="n">
        <f aca="false">WEEKDAY(B3688,2)</f>
        <v>4</v>
      </c>
      <c r="N3688" s="31" t="str">
        <f aca="false">IF(G3688&lt;=INDEX(Assumptions!$B$15:$B$18,MATCH(E3688,Assumptions!$A$15:$A$18,0)),"Yes","No")</f>
        <v>Yes</v>
      </c>
      <c r="O3688" s="31" t="str">
        <f aca="false">IF(H3688="","Open",IF(H3688&lt;=INDEX(Assumptions!$C$15:$C$18,MATCH(E3688,Assumptions!$A$15:$A$18,0)),"Yes","No"))</f>
        <v>No</v>
      </c>
    </row>
    <row r="3689" customFormat="false" ht="15" hidden="false" customHeight="false" outlineLevel="0" collapsed="false">
      <c r="A3689" s="31" t="s">
        <v>3839</v>
      </c>
      <c r="B3689" s="44" t="n">
        <v>46254</v>
      </c>
      <c r="C3689" s="31" t="s">
        <v>60</v>
      </c>
      <c r="D3689" s="31" t="s">
        <v>65</v>
      </c>
      <c r="E3689" s="31" t="s">
        <v>52</v>
      </c>
      <c r="F3689" s="31" t="s">
        <v>131</v>
      </c>
      <c r="G3689" s="31" t="n">
        <v>2</v>
      </c>
      <c r="H3689" s="41" t="n">
        <v>4.7</v>
      </c>
      <c r="I3689" s="31" t="s">
        <v>149</v>
      </c>
      <c r="J3689" s="31" t="n">
        <v>5</v>
      </c>
      <c r="K3689" s="31" t="s">
        <v>150</v>
      </c>
      <c r="L3689" s="45" t="n">
        <f aca="false">DATE(YEAR(B3689),MONTH(B3689),1)</f>
        <v>46235</v>
      </c>
      <c r="M3689" s="31" t="n">
        <f aca="false">WEEKDAY(B3689,2)</f>
        <v>4</v>
      </c>
      <c r="N3689" s="31" t="str">
        <f aca="false">IF(G3689&lt;=INDEX(Assumptions!$B$15:$B$18,MATCH(E3689,Assumptions!$A$15:$A$18,0)),"Yes","No")</f>
        <v>Yes</v>
      </c>
      <c r="O3689" s="31" t="str">
        <f aca="false">IF(H3689="","Open",IF(H3689&lt;=INDEX(Assumptions!$C$15:$C$18,MATCH(E3689,Assumptions!$A$15:$A$18,0)),"Yes","No"))</f>
        <v>Yes</v>
      </c>
    </row>
    <row r="3690" customFormat="false" ht="15" hidden="false" customHeight="false" outlineLevel="0" collapsed="false">
      <c r="A3690" s="31" t="s">
        <v>3840</v>
      </c>
      <c r="B3690" s="44" t="n">
        <v>46254</v>
      </c>
      <c r="C3690" s="31" t="s">
        <v>60</v>
      </c>
      <c r="D3690" s="31" t="s">
        <v>65</v>
      </c>
      <c r="E3690" s="31" t="s">
        <v>50</v>
      </c>
      <c r="F3690" s="31" t="s">
        <v>136</v>
      </c>
      <c r="G3690" s="31" t="n">
        <v>1</v>
      </c>
      <c r="H3690" s="41" t="n">
        <v>5.6</v>
      </c>
      <c r="I3690" s="31" t="s">
        <v>149</v>
      </c>
      <c r="J3690" s="31"/>
      <c r="K3690" s="31" t="s">
        <v>150</v>
      </c>
      <c r="L3690" s="45" t="n">
        <f aca="false">DATE(YEAR(B3690),MONTH(B3690),1)</f>
        <v>46235</v>
      </c>
      <c r="M3690" s="31" t="n">
        <f aca="false">WEEKDAY(B3690,2)</f>
        <v>4</v>
      </c>
      <c r="N3690" s="31" t="str">
        <f aca="false">IF(G3690&lt;=INDEX(Assumptions!$B$15:$B$18,MATCH(E3690,Assumptions!$A$15:$A$18,0)),"Yes","No")</f>
        <v>Yes</v>
      </c>
      <c r="O3690" s="31" t="str">
        <f aca="false">IF(H3690="","Open",IF(H3690&lt;=INDEX(Assumptions!$C$15:$C$18,MATCH(E3690,Assumptions!$A$15:$A$18,0)),"Yes","No"))</f>
        <v>Yes</v>
      </c>
    </row>
    <row r="3691" customFormat="false" ht="15" hidden="false" customHeight="false" outlineLevel="0" collapsed="false">
      <c r="A3691" s="31" t="s">
        <v>3841</v>
      </c>
      <c r="B3691" s="44" t="n">
        <v>46254</v>
      </c>
      <c r="C3691" s="31" t="s">
        <v>57</v>
      </c>
      <c r="D3691" s="31" t="s">
        <v>65</v>
      </c>
      <c r="E3691" s="31" t="s">
        <v>49</v>
      </c>
      <c r="F3691" s="31" t="s">
        <v>126</v>
      </c>
      <c r="G3691" s="31" t="n">
        <v>2</v>
      </c>
      <c r="H3691" s="41" t="n">
        <v>2.4</v>
      </c>
      <c r="I3691" s="31" t="s">
        <v>149</v>
      </c>
      <c r="J3691" s="31" t="n">
        <v>5</v>
      </c>
      <c r="K3691" s="31" t="s">
        <v>150</v>
      </c>
      <c r="L3691" s="45" t="n">
        <f aca="false">DATE(YEAR(B3691),MONTH(B3691),1)</f>
        <v>46235</v>
      </c>
      <c r="M3691" s="31" t="n">
        <f aca="false">WEEKDAY(B3691,2)</f>
        <v>4</v>
      </c>
      <c r="N3691" s="31" t="str">
        <f aca="false">IF(G3691&lt;=INDEX(Assumptions!$B$15:$B$18,MATCH(E3691,Assumptions!$A$15:$A$18,0)),"Yes","No")</f>
        <v>Yes</v>
      </c>
      <c r="O3691" s="31" t="str">
        <f aca="false">IF(H3691="","Open",IF(H3691&lt;=INDEX(Assumptions!$C$15:$C$18,MATCH(E3691,Assumptions!$A$15:$A$18,0)),"Yes","No"))</f>
        <v>Yes</v>
      </c>
    </row>
    <row r="3692" customFormat="false" ht="15" hidden="false" customHeight="false" outlineLevel="0" collapsed="false">
      <c r="A3692" s="31" t="s">
        <v>3842</v>
      </c>
      <c r="B3692" s="44" t="n">
        <v>46254</v>
      </c>
      <c r="C3692" s="31" t="s">
        <v>57</v>
      </c>
      <c r="D3692" s="31" t="s">
        <v>66</v>
      </c>
      <c r="E3692" s="31" t="s">
        <v>52</v>
      </c>
      <c r="F3692" s="31" t="s">
        <v>136</v>
      </c>
      <c r="G3692" s="31" t="n">
        <v>5</v>
      </c>
      <c r="H3692" s="41" t="n">
        <v>2.1</v>
      </c>
      <c r="I3692" s="31" t="s">
        <v>149</v>
      </c>
      <c r="J3692" s="31" t="n">
        <v>4</v>
      </c>
      <c r="K3692" s="31" t="s">
        <v>150</v>
      </c>
      <c r="L3692" s="45" t="n">
        <f aca="false">DATE(YEAR(B3692),MONTH(B3692),1)</f>
        <v>46235</v>
      </c>
      <c r="M3692" s="31" t="n">
        <f aca="false">WEEKDAY(B3692,2)</f>
        <v>4</v>
      </c>
      <c r="N3692" s="31" t="str">
        <f aca="false">IF(G3692&lt;=INDEX(Assumptions!$B$15:$B$18,MATCH(E3692,Assumptions!$A$15:$A$18,0)),"Yes","No")</f>
        <v>Yes</v>
      </c>
      <c r="O3692" s="31" t="str">
        <f aca="false">IF(H3692="","Open",IF(H3692&lt;=INDEX(Assumptions!$C$15:$C$18,MATCH(E3692,Assumptions!$A$15:$A$18,0)),"Yes","No"))</f>
        <v>Yes</v>
      </c>
    </row>
    <row r="3693" customFormat="false" ht="15" hidden="false" customHeight="false" outlineLevel="0" collapsed="false">
      <c r="A3693" s="31" t="s">
        <v>3843</v>
      </c>
      <c r="B3693" s="44" t="n">
        <v>46254</v>
      </c>
      <c r="C3693" s="31" t="s">
        <v>58</v>
      </c>
      <c r="D3693" s="31" t="s">
        <v>66</v>
      </c>
      <c r="E3693" s="31" t="s">
        <v>51</v>
      </c>
      <c r="F3693" s="31" t="s">
        <v>119</v>
      </c>
      <c r="G3693" s="31" t="n">
        <v>4</v>
      </c>
      <c r="H3693" s="41" t="n">
        <v>13.2</v>
      </c>
      <c r="I3693" s="31" t="s">
        <v>149</v>
      </c>
      <c r="J3693" s="31" t="n">
        <v>5</v>
      </c>
      <c r="K3693" s="31" t="s">
        <v>150</v>
      </c>
      <c r="L3693" s="45" t="n">
        <f aca="false">DATE(YEAR(B3693),MONTH(B3693),1)</f>
        <v>46235</v>
      </c>
      <c r="M3693" s="31" t="n">
        <f aca="false">WEEKDAY(B3693,2)</f>
        <v>4</v>
      </c>
      <c r="N3693" s="31" t="str">
        <f aca="false">IF(G3693&lt;=INDEX(Assumptions!$B$15:$B$18,MATCH(E3693,Assumptions!$A$15:$A$18,0)),"Yes","No")</f>
        <v>Yes</v>
      </c>
      <c r="O3693" s="31" t="str">
        <f aca="false">IF(H3693="","Open",IF(H3693&lt;=INDEX(Assumptions!$C$15:$C$18,MATCH(E3693,Assumptions!$A$15:$A$18,0)),"Yes","No"))</f>
        <v>Yes</v>
      </c>
    </row>
    <row r="3694" customFormat="false" ht="15" hidden="false" customHeight="false" outlineLevel="0" collapsed="false">
      <c r="A3694" s="31" t="s">
        <v>3844</v>
      </c>
      <c r="B3694" s="44" t="n">
        <v>46254</v>
      </c>
      <c r="C3694" s="31" t="s">
        <v>59</v>
      </c>
      <c r="D3694" s="31" t="s">
        <v>66</v>
      </c>
      <c r="E3694" s="31" t="s">
        <v>50</v>
      </c>
      <c r="F3694" s="31" t="s">
        <v>137</v>
      </c>
      <c r="G3694" s="31" t="n">
        <v>52</v>
      </c>
      <c r="H3694" s="41" t="n">
        <v>1.4</v>
      </c>
      <c r="I3694" s="31" t="s">
        <v>149</v>
      </c>
      <c r="J3694" s="31" t="n">
        <v>5</v>
      </c>
      <c r="K3694" s="31" t="s">
        <v>150</v>
      </c>
      <c r="L3694" s="45" t="n">
        <f aca="false">DATE(YEAR(B3694),MONTH(B3694),1)</f>
        <v>46235</v>
      </c>
      <c r="M3694" s="31" t="n">
        <f aca="false">WEEKDAY(B3694,2)</f>
        <v>4</v>
      </c>
      <c r="N3694" s="31" t="str">
        <f aca="false">IF(G3694&lt;=INDEX(Assumptions!$B$15:$B$18,MATCH(E3694,Assumptions!$A$15:$A$18,0)),"Yes","No")</f>
        <v>No</v>
      </c>
      <c r="O3694" s="31" t="str">
        <f aca="false">IF(H3694="","Open",IF(H3694&lt;=INDEX(Assumptions!$C$15:$C$18,MATCH(E3694,Assumptions!$A$15:$A$18,0)),"Yes","No"))</f>
        <v>Yes</v>
      </c>
    </row>
    <row r="3695" customFormat="false" ht="15" hidden="false" customHeight="false" outlineLevel="0" collapsed="false">
      <c r="A3695" s="31" t="s">
        <v>3845</v>
      </c>
      <c r="B3695" s="44" t="n">
        <v>46254</v>
      </c>
      <c r="C3695" s="31" t="s">
        <v>57</v>
      </c>
      <c r="D3695" s="31" t="s">
        <v>69</v>
      </c>
      <c r="E3695" s="31" t="s">
        <v>52</v>
      </c>
      <c r="F3695" s="31" t="s">
        <v>124</v>
      </c>
      <c r="G3695" s="31" t="n">
        <v>1</v>
      </c>
      <c r="H3695" s="41" t="n">
        <v>174.8</v>
      </c>
      <c r="I3695" s="31" t="s">
        <v>149</v>
      </c>
      <c r="J3695" s="31" t="n">
        <v>4</v>
      </c>
      <c r="K3695" s="31" t="s">
        <v>150</v>
      </c>
      <c r="L3695" s="45" t="n">
        <f aca="false">DATE(YEAR(B3695),MONTH(B3695),1)</f>
        <v>46235</v>
      </c>
      <c r="M3695" s="31" t="n">
        <f aca="false">WEEKDAY(B3695,2)</f>
        <v>4</v>
      </c>
      <c r="N3695" s="31" t="str">
        <f aca="false">IF(G3695&lt;=INDEX(Assumptions!$B$15:$B$18,MATCH(E3695,Assumptions!$A$15:$A$18,0)),"Yes","No")</f>
        <v>Yes</v>
      </c>
      <c r="O3695" s="31" t="str">
        <f aca="false">IF(H3695="","Open",IF(H3695&lt;=INDEX(Assumptions!$C$15:$C$18,MATCH(E3695,Assumptions!$A$15:$A$18,0)),"Yes","No"))</f>
        <v>No</v>
      </c>
    </row>
    <row r="3696" customFormat="false" ht="15" hidden="false" customHeight="false" outlineLevel="0" collapsed="false">
      <c r="A3696" s="31" t="s">
        <v>3846</v>
      </c>
      <c r="B3696" s="44" t="n">
        <v>46254</v>
      </c>
      <c r="C3696" s="31" t="s">
        <v>59</v>
      </c>
      <c r="D3696" s="31" t="s">
        <v>66</v>
      </c>
      <c r="E3696" s="31" t="s">
        <v>52</v>
      </c>
      <c r="F3696" s="31" t="s">
        <v>137</v>
      </c>
      <c r="G3696" s="31" t="n">
        <v>97</v>
      </c>
      <c r="H3696" s="41" t="n">
        <v>3.7</v>
      </c>
      <c r="I3696" s="31" t="s">
        <v>149</v>
      </c>
      <c r="J3696" s="31"/>
      <c r="K3696" s="31" t="s">
        <v>150</v>
      </c>
      <c r="L3696" s="45" t="n">
        <f aca="false">DATE(YEAR(B3696),MONTH(B3696),1)</f>
        <v>46235</v>
      </c>
      <c r="M3696" s="31" t="n">
        <f aca="false">WEEKDAY(B3696,2)</f>
        <v>4</v>
      </c>
      <c r="N3696" s="31" t="str">
        <f aca="false">IF(G3696&lt;=INDEX(Assumptions!$B$15:$B$18,MATCH(E3696,Assumptions!$A$15:$A$18,0)),"Yes","No")</f>
        <v>Yes</v>
      </c>
      <c r="O3696" s="31" t="str">
        <f aca="false">IF(H3696="","Open",IF(H3696&lt;=INDEX(Assumptions!$C$15:$C$18,MATCH(E3696,Assumptions!$A$15:$A$18,0)),"Yes","No"))</f>
        <v>Yes</v>
      </c>
    </row>
    <row r="3697" customFormat="false" ht="15" hidden="false" customHeight="false" outlineLevel="0" collapsed="false">
      <c r="A3697" s="31" t="s">
        <v>3847</v>
      </c>
      <c r="B3697" s="44" t="n">
        <v>46254</v>
      </c>
      <c r="C3697" s="31" t="s">
        <v>57</v>
      </c>
      <c r="D3697" s="31" t="s">
        <v>65</v>
      </c>
      <c r="E3697" s="31" t="s">
        <v>52</v>
      </c>
      <c r="F3697" s="31" t="s">
        <v>134</v>
      </c>
      <c r="G3697" s="31" t="n">
        <v>8</v>
      </c>
      <c r="H3697" s="41" t="n">
        <v>14.6</v>
      </c>
      <c r="I3697" s="31" t="s">
        <v>149</v>
      </c>
      <c r="J3697" s="31"/>
      <c r="K3697" s="31" t="s">
        <v>150</v>
      </c>
      <c r="L3697" s="45" t="n">
        <f aca="false">DATE(YEAR(B3697),MONTH(B3697),1)</f>
        <v>46235</v>
      </c>
      <c r="M3697" s="31" t="n">
        <f aca="false">WEEKDAY(B3697,2)</f>
        <v>4</v>
      </c>
      <c r="N3697" s="31" t="str">
        <f aca="false">IF(G3697&lt;=INDEX(Assumptions!$B$15:$B$18,MATCH(E3697,Assumptions!$A$15:$A$18,0)),"Yes","No")</f>
        <v>Yes</v>
      </c>
      <c r="O3697" s="31" t="str">
        <f aca="false">IF(H3697="","Open",IF(H3697&lt;=INDEX(Assumptions!$C$15:$C$18,MATCH(E3697,Assumptions!$A$15:$A$18,0)),"Yes","No"))</f>
        <v>Yes</v>
      </c>
    </row>
    <row r="3698" customFormat="false" ht="15" hidden="false" customHeight="false" outlineLevel="0" collapsed="false">
      <c r="A3698" s="31" t="s">
        <v>3848</v>
      </c>
      <c r="B3698" s="44" t="n">
        <v>46254</v>
      </c>
      <c r="C3698" s="31" t="s">
        <v>58</v>
      </c>
      <c r="D3698" s="31" t="s">
        <v>68</v>
      </c>
      <c r="E3698" s="31" t="s">
        <v>50</v>
      </c>
      <c r="F3698" s="31" t="s">
        <v>128</v>
      </c>
      <c r="G3698" s="31" t="n">
        <v>4</v>
      </c>
      <c r="H3698" s="41" t="n">
        <v>5.1</v>
      </c>
      <c r="I3698" s="31" t="s">
        <v>149</v>
      </c>
      <c r="J3698" s="31" t="n">
        <v>5</v>
      </c>
      <c r="K3698" s="31" t="s">
        <v>150</v>
      </c>
      <c r="L3698" s="45" t="n">
        <f aca="false">DATE(YEAR(B3698),MONTH(B3698),1)</f>
        <v>46235</v>
      </c>
      <c r="M3698" s="31" t="n">
        <f aca="false">WEEKDAY(B3698,2)</f>
        <v>4</v>
      </c>
      <c r="N3698" s="31" t="str">
        <f aca="false">IF(G3698&lt;=INDEX(Assumptions!$B$15:$B$18,MATCH(E3698,Assumptions!$A$15:$A$18,0)),"Yes","No")</f>
        <v>Yes</v>
      </c>
      <c r="O3698" s="31" t="str">
        <f aca="false">IF(H3698="","Open",IF(H3698&lt;=INDEX(Assumptions!$C$15:$C$18,MATCH(E3698,Assumptions!$A$15:$A$18,0)),"Yes","No"))</f>
        <v>Yes</v>
      </c>
    </row>
    <row r="3699" customFormat="false" ht="15" hidden="false" customHeight="false" outlineLevel="0" collapsed="false">
      <c r="A3699" s="31" t="s">
        <v>3849</v>
      </c>
      <c r="B3699" s="44" t="n">
        <v>46254</v>
      </c>
      <c r="C3699" s="31" t="s">
        <v>59</v>
      </c>
      <c r="D3699" s="31" t="s">
        <v>67</v>
      </c>
      <c r="E3699" s="31" t="s">
        <v>51</v>
      </c>
      <c r="F3699" s="31" t="s">
        <v>129</v>
      </c>
      <c r="G3699" s="31" t="n">
        <v>69</v>
      </c>
      <c r="H3699" s="41" t="n">
        <v>7.3</v>
      </c>
      <c r="I3699" s="31" t="s">
        <v>149</v>
      </c>
      <c r="J3699" s="31" t="n">
        <v>3</v>
      </c>
      <c r="K3699" s="31" t="s">
        <v>150</v>
      </c>
      <c r="L3699" s="45" t="n">
        <f aca="false">DATE(YEAR(B3699),MONTH(B3699),1)</f>
        <v>46235</v>
      </c>
      <c r="M3699" s="31" t="n">
        <f aca="false">WEEKDAY(B3699,2)</f>
        <v>4</v>
      </c>
      <c r="N3699" s="31" t="str">
        <f aca="false">IF(G3699&lt;=INDEX(Assumptions!$B$15:$B$18,MATCH(E3699,Assumptions!$A$15:$A$18,0)),"Yes","No")</f>
        <v>No</v>
      </c>
      <c r="O3699" s="31" t="str">
        <f aca="false">IF(H3699="","Open",IF(H3699&lt;=INDEX(Assumptions!$C$15:$C$18,MATCH(E3699,Assumptions!$A$15:$A$18,0)),"Yes","No"))</f>
        <v>Yes</v>
      </c>
    </row>
    <row r="3700" customFormat="false" ht="15" hidden="false" customHeight="false" outlineLevel="0" collapsed="false">
      <c r="A3700" s="31" t="s">
        <v>3850</v>
      </c>
      <c r="B3700" s="44" t="n">
        <v>46254</v>
      </c>
      <c r="C3700" s="31" t="s">
        <v>59</v>
      </c>
      <c r="D3700" s="31" t="s">
        <v>65</v>
      </c>
      <c r="E3700" s="31" t="s">
        <v>52</v>
      </c>
      <c r="F3700" s="31" t="s">
        <v>119</v>
      </c>
      <c r="G3700" s="31" t="n">
        <v>68</v>
      </c>
      <c r="H3700" s="41" t="n">
        <v>19.1</v>
      </c>
      <c r="I3700" s="31" t="s">
        <v>149</v>
      </c>
      <c r="J3700" s="31" t="n">
        <v>3</v>
      </c>
      <c r="K3700" s="31" t="s">
        <v>150</v>
      </c>
      <c r="L3700" s="45" t="n">
        <f aca="false">DATE(YEAR(B3700),MONTH(B3700),1)</f>
        <v>46235</v>
      </c>
      <c r="M3700" s="31" t="n">
        <f aca="false">WEEKDAY(B3700,2)</f>
        <v>4</v>
      </c>
      <c r="N3700" s="31" t="str">
        <f aca="false">IF(G3700&lt;=INDEX(Assumptions!$B$15:$B$18,MATCH(E3700,Assumptions!$A$15:$A$18,0)),"Yes","No")</f>
        <v>Yes</v>
      </c>
      <c r="O3700" s="31" t="str">
        <f aca="false">IF(H3700="","Open",IF(H3700&lt;=INDEX(Assumptions!$C$15:$C$18,MATCH(E3700,Assumptions!$A$15:$A$18,0)),"Yes","No"))</f>
        <v>Yes</v>
      </c>
    </row>
    <row r="3701" customFormat="false" ht="15" hidden="false" customHeight="false" outlineLevel="0" collapsed="false">
      <c r="A3701" s="31" t="s">
        <v>3851</v>
      </c>
      <c r="B3701" s="44" t="n">
        <v>46254</v>
      </c>
      <c r="C3701" s="31" t="s">
        <v>59</v>
      </c>
      <c r="D3701" s="31" t="s">
        <v>65</v>
      </c>
      <c r="E3701" s="31" t="s">
        <v>50</v>
      </c>
      <c r="F3701" s="31" t="s">
        <v>135</v>
      </c>
      <c r="G3701" s="31" t="n">
        <v>264</v>
      </c>
      <c r="H3701" s="41" t="n">
        <v>2.3</v>
      </c>
      <c r="I3701" s="31" t="s">
        <v>149</v>
      </c>
      <c r="J3701" s="31"/>
      <c r="K3701" s="31" t="s">
        <v>150</v>
      </c>
      <c r="L3701" s="45" t="n">
        <f aca="false">DATE(YEAR(B3701),MONTH(B3701),1)</f>
        <v>46235</v>
      </c>
      <c r="M3701" s="31" t="n">
        <f aca="false">WEEKDAY(B3701,2)</f>
        <v>4</v>
      </c>
      <c r="N3701" s="31" t="str">
        <f aca="false">IF(G3701&lt;=INDEX(Assumptions!$B$15:$B$18,MATCH(E3701,Assumptions!$A$15:$A$18,0)),"Yes","No")</f>
        <v>No</v>
      </c>
      <c r="O3701" s="31" t="str">
        <f aca="false">IF(H3701="","Open",IF(H3701&lt;=INDEX(Assumptions!$C$15:$C$18,MATCH(E3701,Assumptions!$A$15:$A$18,0)),"Yes","No"))</f>
        <v>Yes</v>
      </c>
    </row>
    <row r="3702" customFormat="false" ht="15" hidden="false" customHeight="false" outlineLevel="0" collapsed="false">
      <c r="A3702" s="31" t="s">
        <v>3852</v>
      </c>
      <c r="B3702" s="44" t="n">
        <v>46254</v>
      </c>
      <c r="C3702" s="31" t="s">
        <v>60</v>
      </c>
      <c r="D3702" s="31" t="s">
        <v>68</v>
      </c>
      <c r="E3702" s="31" t="s">
        <v>50</v>
      </c>
      <c r="F3702" s="31" t="s">
        <v>120</v>
      </c>
      <c r="G3702" s="31" t="n">
        <v>6</v>
      </c>
      <c r="H3702" s="41" t="n">
        <v>0.7</v>
      </c>
      <c r="I3702" s="31" t="s">
        <v>149</v>
      </c>
      <c r="J3702" s="31"/>
      <c r="K3702" s="31" t="s">
        <v>150</v>
      </c>
      <c r="L3702" s="45" t="n">
        <f aca="false">DATE(YEAR(B3702),MONTH(B3702),1)</f>
        <v>46235</v>
      </c>
      <c r="M3702" s="31" t="n">
        <f aca="false">WEEKDAY(B3702,2)</f>
        <v>4</v>
      </c>
      <c r="N3702" s="31" t="str">
        <f aca="false">IF(G3702&lt;=INDEX(Assumptions!$B$15:$B$18,MATCH(E3702,Assumptions!$A$15:$A$18,0)),"Yes","No")</f>
        <v>Yes</v>
      </c>
      <c r="O3702" s="31" t="str">
        <f aca="false">IF(H3702="","Open",IF(H3702&lt;=INDEX(Assumptions!$C$15:$C$18,MATCH(E3702,Assumptions!$A$15:$A$18,0)),"Yes","No"))</f>
        <v>Yes</v>
      </c>
    </row>
    <row r="3703" customFormat="false" ht="15" hidden="false" customHeight="false" outlineLevel="0" collapsed="false">
      <c r="A3703" s="31" t="s">
        <v>3853</v>
      </c>
      <c r="B3703" s="44" t="n">
        <v>46254</v>
      </c>
      <c r="C3703" s="31" t="s">
        <v>60</v>
      </c>
      <c r="D3703" s="31" t="s">
        <v>68</v>
      </c>
      <c r="E3703" s="31" t="s">
        <v>51</v>
      </c>
      <c r="F3703" s="31" t="s">
        <v>119</v>
      </c>
      <c r="G3703" s="31" t="n">
        <v>3</v>
      </c>
      <c r="H3703" s="41"/>
      <c r="I3703" s="31" t="s">
        <v>158</v>
      </c>
      <c r="J3703" s="31"/>
      <c r="K3703" s="31" t="s">
        <v>150</v>
      </c>
      <c r="L3703" s="45" t="n">
        <f aca="false">DATE(YEAR(B3703),MONTH(B3703),1)</f>
        <v>46235</v>
      </c>
      <c r="M3703" s="31" t="n">
        <f aca="false">WEEKDAY(B3703,2)</f>
        <v>4</v>
      </c>
      <c r="N3703" s="31" t="str">
        <f aca="false">IF(G3703&lt;=INDEX(Assumptions!$B$15:$B$18,MATCH(E3703,Assumptions!$A$15:$A$18,0)),"Yes","No")</f>
        <v>Yes</v>
      </c>
      <c r="O3703" s="31" t="str">
        <f aca="false">IF(H3703="","Open",IF(H3703&lt;=INDEX(Assumptions!$C$15:$C$18,MATCH(E3703,Assumptions!$A$15:$A$18,0)),"Yes","No"))</f>
        <v>Open</v>
      </c>
    </row>
    <row r="3704" customFormat="false" ht="15" hidden="false" customHeight="false" outlineLevel="0" collapsed="false">
      <c r="A3704" s="31" t="s">
        <v>3854</v>
      </c>
      <c r="B3704" s="44" t="n">
        <v>46254</v>
      </c>
      <c r="C3704" s="31" t="s">
        <v>57</v>
      </c>
      <c r="D3704" s="31" t="s">
        <v>66</v>
      </c>
      <c r="E3704" s="31" t="s">
        <v>52</v>
      </c>
      <c r="F3704" s="31" t="s">
        <v>117</v>
      </c>
      <c r="G3704" s="31" t="n">
        <v>3</v>
      </c>
      <c r="H3704" s="41" t="n">
        <v>9.9</v>
      </c>
      <c r="I3704" s="31" t="s">
        <v>149</v>
      </c>
      <c r="J3704" s="31"/>
      <c r="K3704" s="31" t="s">
        <v>150</v>
      </c>
      <c r="L3704" s="45" t="n">
        <f aca="false">DATE(YEAR(B3704),MONTH(B3704),1)</f>
        <v>46235</v>
      </c>
      <c r="M3704" s="31" t="n">
        <f aca="false">WEEKDAY(B3704,2)</f>
        <v>4</v>
      </c>
      <c r="N3704" s="31" t="str">
        <f aca="false">IF(G3704&lt;=INDEX(Assumptions!$B$15:$B$18,MATCH(E3704,Assumptions!$A$15:$A$18,0)),"Yes","No")</f>
        <v>Yes</v>
      </c>
      <c r="O3704" s="31" t="str">
        <f aca="false">IF(H3704="","Open",IF(H3704&lt;=INDEX(Assumptions!$C$15:$C$18,MATCH(E3704,Assumptions!$A$15:$A$18,0)),"Yes","No"))</f>
        <v>Yes</v>
      </c>
    </row>
    <row r="3705" customFormat="false" ht="15" hidden="false" customHeight="false" outlineLevel="0" collapsed="false">
      <c r="A3705" s="31" t="s">
        <v>3855</v>
      </c>
      <c r="B3705" s="44" t="n">
        <v>46254</v>
      </c>
      <c r="C3705" s="31" t="s">
        <v>60</v>
      </c>
      <c r="D3705" s="31" t="s">
        <v>69</v>
      </c>
      <c r="E3705" s="31" t="s">
        <v>51</v>
      </c>
      <c r="F3705" s="31" t="s">
        <v>130</v>
      </c>
      <c r="G3705" s="31" t="n">
        <v>1</v>
      </c>
      <c r="H3705" s="41" t="n">
        <v>12.4</v>
      </c>
      <c r="I3705" s="31" t="s">
        <v>149</v>
      </c>
      <c r="J3705" s="31" t="n">
        <v>4</v>
      </c>
      <c r="K3705" s="31" t="s">
        <v>150</v>
      </c>
      <c r="L3705" s="45" t="n">
        <f aca="false">DATE(YEAR(B3705),MONTH(B3705),1)</f>
        <v>46235</v>
      </c>
      <c r="M3705" s="31" t="n">
        <f aca="false">WEEKDAY(B3705,2)</f>
        <v>4</v>
      </c>
      <c r="N3705" s="31" t="str">
        <f aca="false">IF(G3705&lt;=INDEX(Assumptions!$B$15:$B$18,MATCH(E3705,Assumptions!$A$15:$A$18,0)),"Yes","No")</f>
        <v>Yes</v>
      </c>
      <c r="O3705" s="31" t="str">
        <f aca="false">IF(H3705="","Open",IF(H3705&lt;=INDEX(Assumptions!$C$15:$C$18,MATCH(E3705,Assumptions!$A$15:$A$18,0)),"Yes","No"))</f>
        <v>Yes</v>
      </c>
    </row>
    <row r="3706" customFormat="false" ht="15" hidden="false" customHeight="false" outlineLevel="0" collapsed="false">
      <c r="A3706" s="31" t="s">
        <v>3856</v>
      </c>
      <c r="B3706" s="44" t="n">
        <v>46254</v>
      </c>
      <c r="C3706" s="31" t="s">
        <v>60</v>
      </c>
      <c r="D3706" s="31" t="s">
        <v>67</v>
      </c>
      <c r="E3706" s="31" t="s">
        <v>52</v>
      </c>
      <c r="F3706" s="31" t="s">
        <v>123</v>
      </c>
      <c r="G3706" s="31" t="n">
        <v>1</v>
      </c>
      <c r="H3706" s="41" t="n">
        <v>57.9</v>
      </c>
      <c r="I3706" s="31" t="s">
        <v>149</v>
      </c>
      <c r="J3706" s="31"/>
      <c r="K3706" s="31" t="s">
        <v>150</v>
      </c>
      <c r="L3706" s="45" t="n">
        <f aca="false">DATE(YEAR(B3706),MONTH(B3706),1)</f>
        <v>46235</v>
      </c>
      <c r="M3706" s="31" t="n">
        <f aca="false">WEEKDAY(B3706,2)</f>
        <v>4</v>
      </c>
      <c r="N3706" s="31" t="str">
        <f aca="false">IF(G3706&lt;=INDEX(Assumptions!$B$15:$B$18,MATCH(E3706,Assumptions!$A$15:$A$18,0)),"Yes","No")</f>
        <v>Yes</v>
      </c>
      <c r="O3706" s="31" t="str">
        <f aca="false">IF(H3706="","Open",IF(H3706&lt;=INDEX(Assumptions!$C$15:$C$18,MATCH(E3706,Assumptions!$A$15:$A$18,0)),"Yes","No"))</f>
        <v>Yes</v>
      </c>
    </row>
    <row r="3707" customFormat="false" ht="15" hidden="false" customHeight="false" outlineLevel="0" collapsed="false">
      <c r="A3707" s="31" t="s">
        <v>3857</v>
      </c>
      <c r="B3707" s="44" t="n">
        <v>46254</v>
      </c>
      <c r="C3707" s="31" t="s">
        <v>58</v>
      </c>
      <c r="D3707" s="31" t="s">
        <v>65</v>
      </c>
      <c r="E3707" s="31" t="s">
        <v>51</v>
      </c>
      <c r="F3707" s="31" t="s">
        <v>137</v>
      </c>
      <c r="G3707" s="31" t="n">
        <v>7</v>
      </c>
      <c r="H3707" s="41" t="n">
        <v>9.5</v>
      </c>
      <c r="I3707" s="31" t="s">
        <v>64</v>
      </c>
      <c r="J3707" s="31"/>
      <c r="K3707" s="31" t="s">
        <v>150</v>
      </c>
      <c r="L3707" s="45" t="n">
        <f aca="false">DATE(YEAR(B3707),MONTH(B3707),1)</f>
        <v>46235</v>
      </c>
      <c r="M3707" s="31" t="n">
        <f aca="false">WEEKDAY(B3707,2)</f>
        <v>4</v>
      </c>
      <c r="N3707" s="31" t="str">
        <f aca="false">IF(G3707&lt;=INDEX(Assumptions!$B$15:$B$18,MATCH(E3707,Assumptions!$A$15:$A$18,0)),"Yes","No")</f>
        <v>Yes</v>
      </c>
      <c r="O3707" s="31" t="str">
        <f aca="false">IF(H3707="","Open",IF(H3707&lt;=INDEX(Assumptions!$C$15:$C$18,MATCH(E3707,Assumptions!$A$15:$A$18,0)),"Yes","No"))</f>
        <v>Yes</v>
      </c>
    </row>
    <row r="3708" customFormat="false" ht="15" hidden="false" customHeight="false" outlineLevel="0" collapsed="false">
      <c r="A3708" s="31" t="s">
        <v>3858</v>
      </c>
      <c r="B3708" s="44" t="n">
        <v>46255</v>
      </c>
      <c r="C3708" s="31" t="s">
        <v>60</v>
      </c>
      <c r="D3708" s="31" t="s">
        <v>67</v>
      </c>
      <c r="E3708" s="31" t="s">
        <v>50</v>
      </c>
      <c r="F3708" s="31" t="s">
        <v>134</v>
      </c>
      <c r="G3708" s="31" t="n">
        <v>4</v>
      </c>
      <c r="H3708" s="41" t="n">
        <v>19.3</v>
      </c>
      <c r="I3708" s="31" t="s">
        <v>149</v>
      </c>
      <c r="J3708" s="31"/>
      <c r="K3708" s="31" t="s">
        <v>153</v>
      </c>
      <c r="L3708" s="45" t="n">
        <f aca="false">DATE(YEAR(B3708),MONTH(B3708),1)</f>
        <v>46235</v>
      </c>
      <c r="M3708" s="31" t="n">
        <f aca="false">WEEKDAY(B3708,2)</f>
        <v>5</v>
      </c>
      <c r="N3708" s="31" t="str">
        <f aca="false">IF(G3708&lt;=INDEX(Assumptions!$B$15:$B$18,MATCH(E3708,Assumptions!$A$15:$A$18,0)),"Yes","No")</f>
        <v>Yes</v>
      </c>
      <c r="O3708" s="31" t="str">
        <f aca="false">IF(H3708="","Open",IF(H3708&lt;=INDEX(Assumptions!$C$15:$C$18,MATCH(E3708,Assumptions!$A$15:$A$18,0)),"Yes","No"))</f>
        <v>No</v>
      </c>
    </row>
    <row r="3709" customFormat="false" ht="15" hidden="false" customHeight="false" outlineLevel="0" collapsed="false">
      <c r="A3709" s="31" t="s">
        <v>3859</v>
      </c>
      <c r="B3709" s="44" t="n">
        <v>46255</v>
      </c>
      <c r="C3709" s="31" t="s">
        <v>58</v>
      </c>
      <c r="D3709" s="31" t="s">
        <v>67</v>
      </c>
      <c r="E3709" s="31" t="s">
        <v>51</v>
      </c>
      <c r="F3709" s="31" t="s">
        <v>126</v>
      </c>
      <c r="G3709" s="31" t="n">
        <v>3</v>
      </c>
      <c r="H3709" s="41" t="n">
        <v>11.3</v>
      </c>
      <c r="I3709" s="31" t="s">
        <v>149</v>
      </c>
      <c r="J3709" s="31" t="n">
        <v>5</v>
      </c>
      <c r="K3709" s="31" t="s">
        <v>150</v>
      </c>
      <c r="L3709" s="45" t="n">
        <f aca="false">DATE(YEAR(B3709),MONTH(B3709),1)</f>
        <v>46235</v>
      </c>
      <c r="M3709" s="31" t="n">
        <f aca="false">WEEKDAY(B3709,2)</f>
        <v>5</v>
      </c>
      <c r="N3709" s="31" t="str">
        <f aca="false">IF(G3709&lt;=INDEX(Assumptions!$B$15:$B$18,MATCH(E3709,Assumptions!$A$15:$A$18,0)),"Yes","No")</f>
        <v>Yes</v>
      </c>
      <c r="O3709" s="31" t="str">
        <f aca="false">IF(H3709="","Open",IF(H3709&lt;=INDEX(Assumptions!$C$15:$C$18,MATCH(E3709,Assumptions!$A$15:$A$18,0)),"Yes","No"))</f>
        <v>Yes</v>
      </c>
    </row>
    <row r="3710" customFormat="false" ht="15" hidden="false" customHeight="false" outlineLevel="0" collapsed="false">
      <c r="A3710" s="31" t="s">
        <v>3860</v>
      </c>
      <c r="B3710" s="44" t="n">
        <v>46255</v>
      </c>
      <c r="C3710" s="31" t="s">
        <v>57</v>
      </c>
      <c r="D3710" s="31" t="s">
        <v>65</v>
      </c>
      <c r="E3710" s="31" t="s">
        <v>51</v>
      </c>
      <c r="F3710" s="31" t="s">
        <v>121</v>
      </c>
      <c r="G3710" s="31" t="n">
        <v>6</v>
      </c>
      <c r="H3710" s="41" t="n">
        <v>26.8</v>
      </c>
      <c r="I3710" s="31" t="s">
        <v>149</v>
      </c>
      <c r="J3710" s="31" t="n">
        <v>4</v>
      </c>
      <c r="K3710" s="31" t="s">
        <v>150</v>
      </c>
      <c r="L3710" s="45" t="n">
        <f aca="false">DATE(YEAR(B3710),MONTH(B3710),1)</f>
        <v>46235</v>
      </c>
      <c r="M3710" s="31" t="n">
        <f aca="false">WEEKDAY(B3710,2)</f>
        <v>5</v>
      </c>
      <c r="N3710" s="31" t="str">
        <f aca="false">IF(G3710&lt;=INDEX(Assumptions!$B$15:$B$18,MATCH(E3710,Assumptions!$A$15:$A$18,0)),"Yes","No")</f>
        <v>Yes</v>
      </c>
      <c r="O3710" s="31" t="str">
        <f aca="false">IF(H3710="","Open",IF(H3710&lt;=INDEX(Assumptions!$C$15:$C$18,MATCH(E3710,Assumptions!$A$15:$A$18,0)),"Yes","No"))</f>
        <v>No</v>
      </c>
    </row>
    <row r="3711" customFormat="false" ht="15" hidden="false" customHeight="false" outlineLevel="0" collapsed="false">
      <c r="A3711" s="31" t="s">
        <v>3861</v>
      </c>
      <c r="B3711" s="44" t="n">
        <v>46255</v>
      </c>
      <c r="C3711" s="31" t="s">
        <v>57</v>
      </c>
      <c r="D3711" s="31" t="s">
        <v>67</v>
      </c>
      <c r="E3711" s="31" t="s">
        <v>52</v>
      </c>
      <c r="F3711" s="31" t="s">
        <v>131</v>
      </c>
      <c r="G3711" s="31" t="n">
        <v>1</v>
      </c>
      <c r="H3711" s="41" t="n">
        <v>18.8</v>
      </c>
      <c r="I3711" s="31" t="s">
        <v>149</v>
      </c>
      <c r="J3711" s="31"/>
      <c r="K3711" s="31" t="s">
        <v>150</v>
      </c>
      <c r="L3711" s="45" t="n">
        <f aca="false">DATE(YEAR(B3711),MONTH(B3711),1)</f>
        <v>46235</v>
      </c>
      <c r="M3711" s="31" t="n">
        <f aca="false">WEEKDAY(B3711,2)</f>
        <v>5</v>
      </c>
      <c r="N3711" s="31" t="str">
        <f aca="false">IF(G3711&lt;=INDEX(Assumptions!$B$15:$B$18,MATCH(E3711,Assumptions!$A$15:$A$18,0)),"Yes","No")</f>
        <v>Yes</v>
      </c>
      <c r="O3711" s="31" t="str">
        <f aca="false">IF(H3711="","Open",IF(H3711&lt;=INDEX(Assumptions!$C$15:$C$18,MATCH(E3711,Assumptions!$A$15:$A$18,0)),"Yes","No"))</f>
        <v>Yes</v>
      </c>
    </row>
    <row r="3712" customFormat="false" ht="15" hidden="false" customHeight="false" outlineLevel="0" collapsed="false">
      <c r="A3712" s="31" t="s">
        <v>3862</v>
      </c>
      <c r="B3712" s="44" t="n">
        <v>46255</v>
      </c>
      <c r="C3712" s="31" t="s">
        <v>59</v>
      </c>
      <c r="D3712" s="31" t="s">
        <v>66</v>
      </c>
      <c r="E3712" s="31" t="s">
        <v>51</v>
      </c>
      <c r="F3712" s="31" t="s">
        <v>128</v>
      </c>
      <c r="G3712" s="31" t="n">
        <v>206</v>
      </c>
      <c r="H3712" s="41" t="n">
        <v>12.8</v>
      </c>
      <c r="I3712" s="31" t="s">
        <v>149</v>
      </c>
      <c r="J3712" s="31"/>
      <c r="K3712" s="31" t="s">
        <v>153</v>
      </c>
      <c r="L3712" s="45" t="n">
        <f aca="false">DATE(YEAR(B3712),MONTH(B3712),1)</f>
        <v>46235</v>
      </c>
      <c r="M3712" s="31" t="n">
        <f aca="false">WEEKDAY(B3712,2)</f>
        <v>5</v>
      </c>
      <c r="N3712" s="31" t="str">
        <f aca="false">IF(G3712&lt;=INDEX(Assumptions!$B$15:$B$18,MATCH(E3712,Assumptions!$A$15:$A$18,0)),"Yes","No")</f>
        <v>No</v>
      </c>
      <c r="O3712" s="31" t="str">
        <f aca="false">IF(H3712="","Open",IF(H3712&lt;=INDEX(Assumptions!$C$15:$C$18,MATCH(E3712,Assumptions!$A$15:$A$18,0)),"Yes","No"))</f>
        <v>Yes</v>
      </c>
    </row>
    <row r="3713" customFormat="false" ht="15" hidden="false" customHeight="false" outlineLevel="0" collapsed="false">
      <c r="A3713" s="31" t="s">
        <v>3863</v>
      </c>
      <c r="B3713" s="44" t="n">
        <v>46255</v>
      </c>
      <c r="C3713" s="31" t="s">
        <v>59</v>
      </c>
      <c r="D3713" s="31" t="s">
        <v>65</v>
      </c>
      <c r="E3713" s="31" t="s">
        <v>50</v>
      </c>
      <c r="F3713" s="31" t="s">
        <v>117</v>
      </c>
      <c r="G3713" s="31" t="n">
        <v>17</v>
      </c>
      <c r="H3713" s="41"/>
      <c r="I3713" s="31" t="s">
        <v>158</v>
      </c>
      <c r="J3713" s="31"/>
      <c r="K3713" s="31" t="s">
        <v>150</v>
      </c>
      <c r="L3713" s="45" t="n">
        <f aca="false">DATE(YEAR(B3713),MONTH(B3713),1)</f>
        <v>46235</v>
      </c>
      <c r="M3713" s="31" t="n">
        <f aca="false">WEEKDAY(B3713,2)</f>
        <v>5</v>
      </c>
      <c r="N3713" s="31" t="str">
        <f aca="false">IF(G3713&lt;=INDEX(Assumptions!$B$15:$B$18,MATCH(E3713,Assumptions!$A$15:$A$18,0)),"Yes","No")</f>
        <v>Yes</v>
      </c>
      <c r="O3713" s="31" t="str">
        <f aca="false">IF(H3713="","Open",IF(H3713&lt;=INDEX(Assumptions!$C$15:$C$18,MATCH(E3713,Assumptions!$A$15:$A$18,0)),"Yes","No"))</f>
        <v>Open</v>
      </c>
    </row>
    <row r="3714" customFormat="false" ht="15" hidden="false" customHeight="false" outlineLevel="0" collapsed="false">
      <c r="A3714" s="31" t="s">
        <v>3864</v>
      </c>
      <c r="B3714" s="44" t="n">
        <v>46255</v>
      </c>
      <c r="C3714" s="31" t="s">
        <v>57</v>
      </c>
      <c r="D3714" s="31" t="s">
        <v>66</v>
      </c>
      <c r="E3714" s="31" t="s">
        <v>52</v>
      </c>
      <c r="F3714" s="31" t="s">
        <v>126</v>
      </c>
      <c r="G3714" s="31" t="n">
        <v>3</v>
      </c>
      <c r="H3714" s="41" t="n">
        <v>4.7</v>
      </c>
      <c r="I3714" s="31" t="s">
        <v>149</v>
      </c>
      <c r="J3714" s="31" t="n">
        <v>5</v>
      </c>
      <c r="K3714" s="31" t="s">
        <v>150</v>
      </c>
      <c r="L3714" s="45" t="n">
        <f aca="false">DATE(YEAR(B3714),MONTH(B3714),1)</f>
        <v>46235</v>
      </c>
      <c r="M3714" s="31" t="n">
        <f aca="false">WEEKDAY(B3714,2)</f>
        <v>5</v>
      </c>
      <c r="N3714" s="31" t="str">
        <f aca="false">IF(G3714&lt;=INDEX(Assumptions!$B$15:$B$18,MATCH(E3714,Assumptions!$A$15:$A$18,0)),"Yes","No")</f>
        <v>Yes</v>
      </c>
      <c r="O3714" s="31" t="str">
        <f aca="false">IF(H3714="","Open",IF(H3714&lt;=INDEX(Assumptions!$C$15:$C$18,MATCH(E3714,Assumptions!$A$15:$A$18,0)),"Yes","No"))</f>
        <v>Yes</v>
      </c>
    </row>
    <row r="3715" customFormat="false" ht="15" hidden="false" customHeight="false" outlineLevel="0" collapsed="false">
      <c r="A3715" s="31" t="s">
        <v>3865</v>
      </c>
      <c r="B3715" s="44" t="n">
        <v>46255</v>
      </c>
      <c r="C3715" s="31" t="s">
        <v>60</v>
      </c>
      <c r="D3715" s="31" t="s">
        <v>66</v>
      </c>
      <c r="E3715" s="31" t="s">
        <v>51</v>
      </c>
      <c r="F3715" s="31" t="s">
        <v>124</v>
      </c>
      <c r="G3715" s="31" t="n">
        <v>3</v>
      </c>
      <c r="H3715" s="41" t="n">
        <v>3</v>
      </c>
      <c r="I3715" s="31" t="s">
        <v>149</v>
      </c>
      <c r="J3715" s="31"/>
      <c r="K3715" s="31" t="s">
        <v>150</v>
      </c>
      <c r="L3715" s="45" t="n">
        <f aca="false">DATE(YEAR(B3715),MONTH(B3715),1)</f>
        <v>46235</v>
      </c>
      <c r="M3715" s="31" t="n">
        <f aca="false">WEEKDAY(B3715,2)</f>
        <v>5</v>
      </c>
      <c r="N3715" s="31" t="str">
        <f aca="false">IF(G3715&lt;=INDEX(Assumptions!$B$15:$B$18,MATCH(E3715,Assumptions!$A$15:$A$18,0)),"Yes","No")</f>
        <v>Yes</v>
      </c>
      <c r="O3715" s="31" t="str">
        <f aca="false">IF(H3715="","Open",IF(H3715&lt;=INDEX(Assumptions!$C$15:$C$18,MATCH(E3715,Assumptions!$A$15:$A$18,0)),"Yes","No"))</f>
        <v>Yes</v>
      </c>
    </row>
    <row r="3716" customFormat="false" ht="15" hidden="false" customHeight="false" outlineLevel="0" collapsed="false">
      <c r="A3716" s="31" t="s">
        <v>3866</v>
      </c>
      <c r="B3716" s="44" t="n">
        <v>46255</v>
      </c>
      <c r="C3716" s="31" t="s">
        <v>57</v>
      </c>
      <c r="D3716" s="31" t="s">
        <v>66</v>
      </c>
      <c r="E3716" s="31" t="s">
        <v>52</v>
      </c>
      <c r="F3716" s="31" t="s">
        <v>128</v>
      </c>
      <c r="G3716" s="31" t="n">
        <v>11</v>
      </c>
      <c r="H3716" s="41" t="n">
        <v>50</v>
      </c>
      <c r="I3716" s="31" t="s">
        <v>64</v>
      </c>
      <c r="J3716" s="31" t="n">
        <v>3</v>
      </c>
      <c r="K3716" s="31" t="s">
        <v>150</v>
      </c>
      <c r="L3716" s="45" t="n">
        <f aca="false">DATE(YEAR(B3716),MONTH(B3716),1)</f>
        <v>46235</v>
      </c>
      <c r="M3716" s="31" t="n">
        <f aca="false">WEEKDAY(B3716,2)</f>
        <v>5</v>
      </c>
      <c r="N3716" s="31" t="str">
        <f aca="false">IF(G3716&lt;=INDEX(Assumptions!$B$15:$B$18,MATCH(E3716,Assumptions!$A$15:$A$18,0)),"Yes","No")</f>
        <v>Yes</v>
      </c>
      <c r="O3716" s="31" t="str">
        <f aca="false">IF(H3716="","Open",IF(H3716&lt;=INDEX(Assumptions!$C$15:$C$18,MATCH(E3716,Assumptions!$A$15:$A$18,0)),"Yes","No"))</f>
        <v>Yes</v>
      </c>
    </row>
    <row r="3717" customFormat="false" ht="15" hidden="false" customHeight="false" outlineLevel="0" collapsed="false">
      <c r="A3717" s="31" t="s">
        <v>3867</v>
      </c>
      <c r="B3717" s="44" t="n">
        <v>46255</v>
      </c>
      <c r="C3717" s="31" t="s">
        <v>57</v>
      </c>
      <c r="D3717" s="31" t="s">
        <v>68</v>
      </c>
      <c r="E3717" s="31" t="s">
        <v>51</v>
      </c>
      <c r="F3717" s="31" t="s">
        <v>130</v>
      </c>
      <c r="G3717" s="31" t="n">
        <v>5</v>
      </c>
      <c r="H3717" s="41" t="n">
        <v>10.3</v>
      </c>
      <c r="I3717" s="31" t="s">
        <v>149</v>
      </c>
      <c r="J3717" s="31" t="n">
        <v>5</v>
      </c>
      <c r="K3717" s="31" t="s">
        <v>150</v>
      </c>
      <c r="L3717" s="45" t="n">
        <f aca="false">DATE(YEAR(B3717),MONTH(B3717),1)</f>
        <v>46235</v>
      </c>
      <c r="M3717" s="31" t="n">
        <f aca="false">WEEKDAY(B3717,2)</f>
        <v>5</v>
      </c>
      <c r="N3717" s="31" t="str">
        <f aca="false">IF(G3717&lt;=INDEX(Assumptions!$B$15:$B$18,MATCH(E3717,Assumptions!$A$15:$A$18,0)),"Yes","No")</f>
        <v>Yes</v>
      </c>
      <c r="O3717" s="31" t="str">
        <f aca="false">IF(H3717="","Open",IF(H3717&lt;=INDEX(Assumptions!$C$15:$C$18,MATCH(E3717,Assumptions!$A$15:$A$18,0)),"Yes","No"))</f>
        <v>Yes</v>
      </c>
    </row>
    <row r="3718" customFormat="false" ht="15" hidden="false" customHeight="false" outlineLevel="0" collapsed="false">
      <c r="A3718" s="31" t="s">
        <v>3868</v>
      </c>
      <c r="B3718" s="44" t="n">
        <v>46255</v>
      </c>
      <c r="C3718" s="31" t="s">
        <v>59</v>
      </c>
      <c r="D3718" s="31" t="s">
        <v>68</v>
      </c>
      <c r="E3718" s="31" t="s">
        <v>51</v>
      </c>
      <c r="F3718" s="31" t="s">
        <v>133</v>
      </c>
      <c r="G3718" s="31" t="n">
        <v>184</v>
      </c>
      <c r="H3718" s="41" t="n">
        <v>2.4</v>
      </c>
      <c r="I3718" s="31" t="s">
        <v>149</v>
      </c>
      <c r="J3718" s="31" t="n">
        <v>5</v>
      </c>
      <c r="K3718" s="31" t="s">
        <v>150</v>
      </c>
      <c r="L3718" s="45" t="n">
        <f aca="false">DATE(YEAR(B3718),MONTH(B3718),1)</f>
        <v>46235</v>
      </c>
      <c r="M3718" s="31" t="n">
        <f aca="false">WEEKDAY(B3718,2)</f>
        <v>5</v>
      </c>
      <c r="N3718" s="31" t="str">
        <f aca="false">IF(G3718&lt;=INDEX(Assumptions!$B$15:$B$18,MATCH(E3718,Assumptions!$A$15:$A$18,0)),"Yes","No")</f>
        <v>No</v>
      </c>
      <c r="O3718" s="31" t="str">
        <f aca="false">IF(H3718="","Open",IF(H3718&lt;=INDEX(Assumptions!$C$15:$C$18,MATCH(E3718,Assumptions!$A$15:$A$18,0)),"Yes","No"))</f>
        <v>Yes</v>
      </c>
    </row>
    <row r="3719" customFormat="false" ht="15" hidden="false" customHeight="false" outlineLevel="0" collapsed="false">
      <c r="A3719" s="31" t="s">
        <v>3869</v>
      </c>
      <c r="B3719" s="44" t="n">
        <v>46255</v>
      </c>
      <c r="C3719" s="31" t="s">
        <v>60</v>
      </c>
      <c r="D3719" s="31" t="s">
        <v>66</v>
      </c>
      <c r="E3719" s="31" t="s">
        <v>51</v>
      </c>
      <c r="F3719" s="31" t="s">
        <v>124</v>
      </c>
      <c r="G3719" s="31" t="n">
        <v>3</v>
      </c>
      <c r="H3719" s="41" t="n">
        <v>6.4</v>
      </c>
      <c r="I3719" s="31" t="s">
        <v>149</v>
      </c>
      <c r="J3719" s="31" t="n">
        <v>5</v>
      </c>
      <c r="K3719" s="31" t="s">
        <v>150</v>
      </c>
      <c r="L3719" s="45" t="n">
        <f aca="false">DATE(YEAR(B3719),MONTH(B3719),1)</f>
        <v>46235</v>
      </c>
      <c r="M3719" s="31" t="n">
        <f aca="false">WEEKDAY(B3719,2)</f>
        <v>5</v>
      </c>
      <c r="N3719" s="31" t="str">
        <f aca="false">IF(G3719&lt;=INDEX(Assumptions!$B$15:$B$18,MATCH(E3719,Assumptions!$A$15:$A$18,0)),"Yes","No")</f>
        <v>Yes</v>
      </c>
      <c r="O3719" s="31" t="str">
        <f aca="false">IF(H3719="","Open",IF(H3719&lt;=INDEX(Assumptions!$C$15:$C$18,MATCH(E3719,Assumptions!$A$15:$A$18,0)),"Yes","No"))</f>
        <v>Yes</v>
      </c>
    </row>
    <row r="3720" customFormat="false" ht="15" hidden="false" customHeight="false" outlineLevel="0" collapsed="false">
      <c r="A3720" s="31" t="s">
        <v>3870</v>
      </c>
      <c r="B3720" s="44" t="n">
        <v>46255</v>
      </c>
      <c r="C3720" s="31" t="s">
        <v>58</v>
      </c>
      <c r="D3720" s="31" t="s">
        <v>67</v>
      </c>
      <c r="E3720" s="31" t="s">
        <v>51</v>
      </c>
      <c r="F3720" s="31" t="s">
        <v>135</v>
      </c>
      <c r="G3720" s="31" t="n">
        <v>14</v>
      </c>
      <c r="H3720" s="41" t="n">
        <v>46.1</v>
      </c>
      <c r="I3720" s="31" t="s">
        <v>149</v>
      </c>
      <c r="J3720" s="31"/>
      <c r="K3720" s="31" t="s">
        <v>150</v>
      </c>
      <c r="L3720" s="45" t="n">
        <f aca="false">DATE(YEAR(B3720),MONTH(B3720),1)</f>
        <v>46235</v>
      </c>
      <c r="M3720" s="31" t="n">
        <f aca="false">WEEKDAY(B3720,2)</f>
        <v>5</v>
      </c>
      <c r="N3720" s="31" t="str">
        <f aca="false">IF(G3720&lt;=INDEX(Assumptions!$B$15:$B$18,MATCH(E3720,Assumptions!$A$15:$A$18,0)),"Yes","No")</f>
        <v>Yes</v>
      </c>
      <c r="O3720" s="31" t="str">
        <f aca="false">IF(H3720="","Open",IF(H3720&lt;=INDEX(Assumptions!$C$15:$C$18,MATCH(E3720,Assumptions!$A$15:$A$18,0)),"Yes","No"))</f>
        <v>No</v>
      </c>
    </row>
    <row r="3721" customFormat="false" ht="15" hidden="false" customHeight="false" outlineLevel="0" collapsed="false">
      <c r="A3721" s="31" t="s">
        <v>3871</v>
      </c>
      <c r="B3721" s="44" t="n">
        <v>46255</v>
      </c>
      <c r="C3721" s="31" t="s">
        <v>60</v>
      </c>
      <c r="D3721" s="31" t="s">
        <v>65</v>
      </c>
      <c r="E3721" s="31" t="s">
        <v>52</v>
      </c>
      <c r="F3721" s="31" t="s">
        <v>129</v>
      </c>
      <c r="G3721" s="31" t="n">
        <v>1</v>
      </c>
      <c r="H3721" s="41" t="n">
        <v>5</v>
      </c>
      <c r="I3721" s="31" t="s">
        <v>149</v>
      </c>
      <c r="J3721" s="31"/>
      <c r="K3721" s="31" t="s">
        <v>150</v>
      </c>
      <c r="L3721" s="45" t="n">
        <f aca="false">DATE(YEAR(B3721),MONTH(B3721),1)</f>
        <v>46235</v>
      </c>
      <c r="M3721" s="31" t="n">
        <f aca="false">WEEKDAY(B3721,2)</f>
        <v>5</v>
      </c>
      <c r="N3721" s="31" t="str">
        <f aca="false">IF(G3721&lt;=INDEX(Assumptions!$B$15:$B$18,MATCH(E3721,Assumptions!$A$15:$A$18,0)),"Yes","No")</f>
        <v>Yes</v>
      </c>
      <c r="O3721" s="31" t="str">
        <f aca="false">IF(H3721="","Open",IF(H3721&lt;=INDEX(Assumptions!$C$15:$C$18,MATCH(E3721,Assumptions!$A$15:$A$18,0)),"Yes","No"))</f>
        <v>Yes</v>
      </c>
    </row>
    <row r="3722" customFormat="false" ht="15" hidden="false" customHeight="false" outlineLevel="0" collapsed="false">
      <c r="A3722" s="31" t="s">
        <v>3872</v>
      </c>
      <c r="B3722" s="44" t="n">
        <v>46255</v>
      </c>
      <c r="C3722" s="31" t="s">
        <v>59</v>
      </c>
      <c r="D3722" s="31" t="s">
        <v>67</v>
      </c>
      <c r="E3722" s="31" t="s">
        <v>50</v>
      </c>
      <c r="F3722" s="31" t="s">
        <v>137</v>
      </c>
      <c r="G3722" s="31" t="n">
        <v>52</v>
      </c>
      <c r="H3722" s="41" t="n">
        <v>14.8</v>
      </c>
      <c r="I3722" s="31" t="s">
        <v>149</v>
      </c>
      <c r="J3722" s="31" t="n">
        <v>3</v>
      </c>
      <c r="K3722" s="31" t="s">
        <v>150</v>
      </c>
      <c r="L3722" s="45" t="n">
        <f aca="false">DATE(YEAR(B3722),MONTH(B3722),1)</f>
        <v>46235</v>
      </c>
      <c r="M3722" s="31" t="n">
        <f aca="false">WEEKDAY(B3722,2)</f>
        <v>5</v>
      </c>
      <c r="N3722" s="31" t="str">
        <f aca="false">IF(G3722&lt;=INDEX(Assumptions!$B$15:$B$18,MATCH(E3722,Assumptions!$A$15:$A$18,0)),"Yes","No")</f>
        <v>No</v>
      </c>
      <c r="O3722" s="31" t="str">
        <f aca="false">IF(H3722="","Open",IF(H3722&lt;=INDEX(Assumptions!$C$15:$C$18,MATCH(E3722,Assumptions!$A$15:$A$18,0)),"Yes","No"))</f>
        <v>No</v>
      </c>
    </row>
    <row r="3723" customFormat="false" ht="15" hidden="false" customHeight="false" outlineLevel="0" collapsed="false">
      <c r="A3723" s="31" t="s">
        <v>3873</v>
      </c>
      <c r="B3723" s="44" t="n">
        <v>46255</v>
      </c>
      <c r="C3723" s="31" t="s">
        <v>59</v>
      </c>
      <c r="D3723" s="31" t="s">
        <v>69</v>
      </c>
      <c r="E3723" s="31" t="s">
        <v>51</v>
      </c>
      <c r="F3723" s="31" t="s">
        <v>124</v>
      </c>
      <c r="G3723" s="31" t="n">
        <v>53</v>
      </c>
      <c r="H3723" s="41" t="n">
        <v>28.5</v>
      </c>
      <c r="I3723" s="31" t="s">
        <v>149</v>
      </c>
      <c r="J3723" s="31"/>
      <c r="K3723" s="31" t="s">
        <v>150</v>
      </c>
      <c r="L3723" s="45" t="n">
        <f aca="false">DATE(YEAR(B3723),MONTH(B3723),1)</f>
        <v>46235</v>
      </c>
      <c r="M3723" s="31" t="n">
        <f aca="false">WEEKDAY(B3723,2)</f>
        <v>5</v>
      </c>
      <c r="N3723" s="31" t="str">
        <f aca="false">IF(G3723&lt;=INDEX(Assumptions!$B$15:$B$18,MATCH(E3723,Assumptions!$A$15:$A$18,0)),"Yes","No")</f>
        <v>Yes</v>
      </c>
      <c r="O3723" s="31" t="str">
        <f aca="false">IF(H3723="","Open",IF(H3723&lt;=INDEX(Assumptions!$C$15:$C$18,MATCH(E3723,Assumptions!$A$15:$A$18,0)),"Yes","No"))</f>
        <v>No</v>
      </c>
    </row>
    <row r="3724" customFormat="false" ht="15" hidden="false" customHeight="false" outlineLevel="0" collapsed="false">
      <c r="A3724" s="31" t="s">
        <v>3874</v>
      </c>
      <c r="B3724" s="44" t="n">
        <v>46255</v>
      </c>
      <c r="C3724" s="31" t="s">
        <v>59</v>
      </c>
      <c r="D3724" s="31" t="s">
        <v>65</v>
      </c>
      <c r="E3724" s="31" t="s">
        <v>51</v>
      </c>
      <c r="F3724" s="31" t="s">
        <v>120</v>
      </c>
      <c r="G3724" s="31" t="n">
        <v>65</v>
      </c>
      <c r="H3724" s="41" t="n">
        <v>4</v>
      </c>
      <c r="I3724" s="31" t="s">
        <v>149</v>
      </c>
      <c r="J3724" s="31" t="n">
        <v>4</v>
      </c>
      <c r="K3724" s="31" t="s">
        <v>150</v>
      </c>
      <c r="L3724" s="45" t="n">
        <f aca="false">DATE(YEAR(B3724),MONTH(B3724),1)</f>
        <v>46235</v>
      </c>
      <c r="M3724" s="31" t="n">
        <f aca="false">WEEKDAY(B3724,2)</f>
        <v>5</v>
      </c>
      <c r="N3724" s="31" t="str">
        <f aca="false">IF(G3724&lt;=INDEX(Assumptions!$B$15:$B$18,MATCH(E3724,Assumptions!$A$15:$A$18,0)),"Yes","No")</f>
        <v>No</v>
      </c>
      <c r="O3724" s="31" t="str">
        <f aca="false">IF(H3724="","Open",IF(H3724&lt;=INDEX(Assumptions!$C$15:$C$18,MATCH(E3724,Assumptions!$A$15:$A$18,0)),"Yes","No"))</f>
        <v>Yes</v>
      </c>
    </row>
    <row r="3725" customFormat="false" ht="15" hidden="false" customHeight="false" outlineLevel="0" collapsed="false">
      <c r="A3725" s="31" t="s">
        <v>3875</v>
      </c>
      <c r="B3725" s="44" t="n">
        <v>46255</v>
      </c>
      <c r="C3725" s="31" t="s">
        <v>59</v>
      </c>
      <c r="D3725" s="31" t="s">
        <v>67</v>
      </c>
      <c r="E3725" s="31" t="s">
        <v>50</v>
      </c>
      <c r="F3725" s="31" t="s">
        <v>136</v>
      </c>
      <c r="G3725" s="31" t="n">
        <v>19</v>
      </c>
      <c r="H3725" s="41" t="n">
        <v>10.1</v>
      </c>
      <c r="I3725" s="31" t="s">
        <v>149</v>
      </c>
      <c r="J3725" s="31"/>
      <c r="K3725" s="31" t="s">
        <v>150</v>
      </c>
      <c r="L3725" s="45" t="n">
        <f aca="false">DATE(YEAR(B3725),MONTH(B3725),1)</f>
        <v>46235</v>
      </c>
      <c r="M3725" s="31" t="n">
        <f aca="false">WEEKDAY(B3725,2)</f>
        <v>5</v>
      </c>
      <c r="N3725" s="31" t="str">
        <f aca="false">IF(G3725&lt;=INDEX(Assumptions!$B$15:$B$18,MATCH(E3725,Assumptions!$A$15:$A$18,0)),"Yes","No")</f>
        <v>Yes</v>
      </c>
      <c r="O3725" s="31" t="str">
        <f aca="false">IF(H3725="","Open",IF(H3725&lt;=INDEX(Assumptions!$C$15:$C$18,MATCH(E3725,Assumptions!$A$15:$A$18,0)),"Yes","No"))</f>
        <v>No</v>
      </c>
    </row>
    <row r="3726" customFormat="false" ht="15" hidden="false" customHeight="false" outlineLevel="0" collapsed="false">
      <c r="A3726" s="31" t="s">
        <v>3876</v>
      </c>
      <c r="B3726" s="44" t="n">
        <v>46255</v>
      </c>
      <c r="C3726" s="31" t="s">
        <v>57</v>
      </c>
      <c r="D3726" s="31" t="s">
        <v>67</v>
      </c>
      <c r="E3726" s="31" t="s">
        <v>51</v>
      </c>
      <c r="F3726" s="31" t="s">
        <v>133</v>
      </c>
      <c r="G3726" s="31" t="n">
        <v>1</v>
      </c>
      <c r="H3726" s="41" t="n">
        <v>11.7</v>
      </c>
      <c r="I3726" s="31" t="s">
        <v>149</v>
      </c>
      <c r="J3726" s="31" t="n">
        <v>5</v>
      </c>
      <c r="K3726" s="31" t="s">
        <v>150</v>
      </c>
      <c r="L3726" s="45" t="n">
        <f aca="false">DATE(YEAR(B3726),MONTH(B3726),1)</f>
        <v>46235</v>
      </c>
      <c r="M3726" s="31" t="n">
        <f aca="false">WEEKDAY(B3726,2)</f>
        <v>5</v>
      </c>
      <c r="N3726" s="31" t="str">
        <f aca="false">IF(G3726&lt;=INDEX(Assumptions!$B$15:$B$18,MATCH(E3726,Assumptions!$A$15:$A$18,0)),"Yes","No")</f>
        <v>Yes</v>
      </c>
      <c r="O3726" s="31" t="str">
        <f aca="false">IF(H3726="","Open",IF(H3726&lt;=INDEX(Assumptions!$C$15:$C$18,MATCH(E3726,Assumptions!$A$15:$A$18,0)),"Yes","No"))</f>
        <v>Yes</v>
      </c>
    </row>
    <row r="3727" customFormat="false" ht="15" hidden="false" customHeight="false" outlineLevel="0" collapsed="false">
      <c r="A3727" s="31" t="s">
        <v>3877</v>
      </c>
      <c r="B3727" s="44" t="n">
        <v>46255</v>
      </c>
      <c r="C3727" s="31" t="s">
        <v>59</v>
      </c>
      <c r="D3727" s="31" t="s">
        <v>67</v>
      </c>
      <c r="E3727" s="31" t="s">
        <v>51</v>
      </c>
      <c r="F3727" s="31" t="s">
        <v>135</v>
      </c>
      <c r="G3727" s="31" t="n">
        <v>155</v>
      </c>
      <c r="H3727" s="41" t="n">
        <v>41.7</v>
      </c>
      <c r="I3727" s="31" t="s">
        <v>149</v>
      </c>
      <c r="J3727" s="31" t="n">
        <v>3</v>
      </c>
      <c r="K3727" s="31" t="s">
        <v>153</v>
      </c>
      <c r="L3727" s="45" t="n">
        <f aca="false">DATE(YEAR(B3727),MONTH(B3727),1)</f>
        <v>46235</v>
      </c>
      <c r="M3727" s="31" t="n">
        <f aca="false">WEEKDAY(B3727,2)</f>
        <v>5</v>
      </c>
      <c r="N3727" s="31" t="str">
        <f aca="false">IF(G3727&lt;=INDEX(Assumptions!$B$15:$B$18,MATCH(E3727,Assumptions!$A$15:$A$18,0)),"Yes","No")</f>
        <v>No</v>
      </c>
      <c r="O3727" s="31" t="str">
        <f aca="false">IF(H3727="","Open",IF(H3727&lt;=INDEX(Assumptions!$C$15:$C$18,MATCH(E3727,Assumptions!$A$15:$A$18,0)),"Yes","No"))</f>
        <v>No</v>
      </c>
    </row>
    <row r="3728" customFormat="false" ht="15" hidden="false" customHeight="false" outlineLevel="0" collapsed="false">
      <c r="A3728" s="31" t="s">
        <v>3878</v>
      </c>
      <c r="B3728" s="44" t="n">
        <v>46255</v>
      </c>
      <c r="C3728" s="31" t="s">
        <v>57</v>
      </c>
      <c r="D3728" s="31" t="s">
        <v>66</v>
      </c>
      <c r="E3728" s="31" t="s">
        <v>50</v>
      </c>
      <c r="F3728" s="31" t="s">
        <v>123</v>
      </c>
      <c r="G3728" s="31" t="n">
        <v>3</v>
      </c>
      <c r="H3728" s="41" t="n">
        <v>0.6</v>
      </c>
      <c r="I3728" s="31" t="s">
        <v>149</v>
      </c>
      <c r="J3728" s="31" t="n">
        <v>5</v>
      </c>
      <c r="K3728" s="31" t="s">
        <v>150</v>
      </c>
      <c r="L3728" s="45" t="n">
        <f aca="false">DATE(YEAR(B3728),MONTH(B3728),1)</f>
        <v>46235</v>
      </c>
      <c r="M3728" s="31" t="n">
        <f aca="false">WEEKDAY(B3728,2)</f>
        <v>5</v>
      </c>
      <c r="N3728" s="31" t="str">
        <f aca="false">IF(G3728&lt;=INDEX(Assumptions!$B$15:$B$18,MATCH(E3728,Assumptions!$A$15:$A$18,0)),"Yes","No")</f>
        <v>Yes</v>
      </c>
      <c r="O3728" s="31" t="str">
        <f aca="false">IF(H3728="","Open",IF(H3728&lt;=INDEX(Assumptions!$C$15:$C$18,MATCH(E3728,Assumptions!$A$15:$A$18,0)),"Yes","No"))</f>
        <v>Yes</v>
      </c>
    </row>
    <row r="3729" customFormat="false" ht="15" hidden="false" customHeight="false" outlineLevel="0" collapsed="false">
      <c r="A3729" s="31" t="s">
        <v>3879</v>
      </c>
      <c r="B3729" s="44" t="n">
        <v>46255</v>
      </c>
      <c r="C3729" s="31" t="s">
        <v>59</v>
      </c>
      <c r="D3729" s="31" t="s">
        <v>68</v>
      </c>
      <c r="E3729" s="31" t="s">
        <v>51</v>
      </c>
      <c r="F3729" s="31" t="s">
        <v>127</v>
      </c>
      <c r="G3729" s="31" t="n">
        <v>52</v>
      </c>
      <c r="H3729" s="41" t="n">
        <v>2.4</v>
      </c>
      <c r="I3729" s="31" t="s">
        <v>149</v>
      </c>
      <c r="J3729" s="31" t="n">
        <v>5</v>
      </c>
      <c r="K3729" s="31" t="s">
        <v>150</v>
      </c>
      <c r="L3729" s="45" t="n">
        <f aca="false">DATE(YEAR(B3729),MONTH(B3729),1)</f>
        <v>46235</v>
      </c>
      <c r="M3729" s="31" t="n">
        <f aca="false">WEEKDAY(B3729,2)</f>
        <v>5</v>
      </c>
      <c r="N3729" s="31" t="str">
        <f aca="false">IF(G3729&lt;=INDEX(Assumptions!$B$15:$B$18,MATCH(E3729,Assumptions!$A$15:$A$18,0)),"Yes","No")</f>
        <v>Yes</v>
      </c>
      <c r="O3729" s="31" t="str">
        <f aca="false">IF(H3729="","Open",IF(H3729&lt;=INDEX(Assumptions!$C$15:$C$18,MATCH(E3729,Assumptions!$A$15:$A$18,0)),"Yes","No"))</f>
        <v>Yes</v>
      </c>
    </row>
    <row r="3730" customFormat="false" ht="15" hidden="false" customHeight="false" outlineLevel="0" collapsed="false">
      <c r="A3730" s="31" t="s">
        <v>3880</v>
      </c>
      <c r="B3730" s="44" t="n">
        <v>46255</v>
      </c>
      <c r="C3730" s="31" t="s">
        <v>59</v>
      </c>
      <c r="D3730" s="31" t="s">
        <v>66</v>
      </c>
      <c r="E3730" s="31" t="s">
        <v>50</v>
      </c>
      <c r="F3730" s="31" t="s">
        <v>121</v>
      </c>
      <c r="G3730" s="31" t="n">
        <v>100</v>
      </c>
      <c r="H3730" s="41" t="n">
        <v>2.8</v>
      </c>
      <c r="I3730" s="31" t="s">
        <v>149</v>
      </c>
      <c r="J3730" s="31" t="n">
        <v>5</v>
      </c>
      <c r="K3730" s="31" t="s">
        <v>153</v>
      </c>
      <c r="L3730" s="45" t="n">
        <f aca="false">DATE(YEAR(B3730),MONTH(B3730),1)</f>
        <v>46235</v>
      </c>
      <c r="M3730" s="31" t="n">
        <f aca="false">WEEKDAY(B3730,2)</f>
        <v>5</v>
      </c>
      <c r="N3730" s="31" t="str">
        <f aca="false">IF(G3730&lt;=INDEX(Assumptions!$B$15:$B$18,MATCH(E3730,Assumptions!$A$15:$A$18,0)),"Yes","No")</f>
        <v>No</v>
      </c>
      <c r="O3730" s="31" t="str">
        <f aca="false">IF(H3730="","Open",IF(H3730&lt;=INDEX(Assumptions!$C$15:$C$18,MATCH(E3730,Assumptions!$A$15:$A$18,0)),"Yes","No"))</f>
        <v>Yes</v>
      </c>
    </row>
    <row r="3731" customFormat="false" ht="15" hidden="false" customHeight="false" outlineLevel="0" collapsed="false">
      <c r="A3731" s="31" t="s">
        <v>3881</v>
      </c>
      <c r="B3731" s="44" t="n">
        <v>46255</v>
      </c>
      <c r="C3731" s="31" t="s">
        <v>60</v>
      </c>
      <c r="D3731" s="31" t="s">
        <v>68</v>
      </c>
      <c r="E3731" s="31" t="s">
        <v>51</v>
      </c>
      <c r="F3731" s="31" t="s">
        <v>128</v>
      </c>
      <c r="G3731" s="31" t="n">
        <v>7</v>
      </c>
      <c r="H3731" s="41" t="n">
        <v>2.4</v>
      </c>
      <c r="I3731" s="31" t="s">
        <v>149</v>
      </c>
      <c r="J3731" s="31" t="n">
        <v>4</v>
      </c>
      <c r="K3731" s="31" t="s">
        <v>153</v>
      </c>
      <c r="L3731" s="45" t="n">
        <f aca="false">DATE(YEAR(B3731),MONTH(B3731),1)</f>
        <v>46235</v>
      </c>
      <c r="M3731" s="31" t="n">
        <f aca="false">WEEKDAY(B3731,2)</f>
        <v>5</v>
      </c>
      <c r="N3731" s="31" t="str">
        <f aca="false">IF(G3731&lt;=INDEX(Assumptions!$B$15:$B$18,MATCH(E3731,Assumptions!$A$15:$A$18,0)),"Yes","No")</f>
        <v>Yes</v>
      </c>
      <c r="O3731" s="31" t="str">
        <f aca="false">IF(H3731="","Open",IF(H3731&lt;=INDEX(Assumptions!$C$15:$C$18,MATCH(E3731,Assumptions!$A$15:$A$18,0)),"Yes","No"))</f>
        <v>Yes</v>
      </c>
    </row>
    <row r="3732" customFormat="false" ht="15" hidden="false" customHeight="false" outlineLevel="0" collapsed="false">
      <c r="A3732" s="31" t="s">
        <v>3882</v>
      </c>
      <c r="B3732" s="44" t="n">
        <v>46255</v>
      </c>
      <c r="C3732" s="31" t="s">
        <v>58</v>
      </c>
      <c r="D3732" s="31" t="s">
        <v>66</v>
      </c>
      <c r="E3732" s="31" t="s">
        <v>51</v>
      </c>
      <c r="F3732" s="31" t="s">
        <v>133</v>
      </c>
      <c r="G3732" s="31" t="n">
        <v>13</v>
      </c>
      <c r="H3732" s="41" t="n">
        <v>2.1</v>
      </c>
      <c r="I3732" s="31" t="s">
        <v>149</v>
      </c>
      <c r="J3732" s="31" t="n">
        <v>4</v>
      </c>
      <c r="K3732" s="31" t="s">
        <v>150</v>
      </c>
      <c r="L3732" s="45" t="n">
        <f aca="false">DATE(YEAR(B3732),MONTH(B3732),1)</f>
        <v>46235</v>
      </c>
      <c r="M3732" s="31" t="n">
        <f aca="false">WEEKDAY(B3732,2)</f>
        <v>5</v>
      </c>
      <c r="N3732" s="31" t="str">
        <f aca="false">IF(G3732&lt;=INDEX(Assumptions!$B$15:$B$18,MATCH(E3732,Assumptions!$A$15:$A$18,0)),"Yes","No")</f>
        <v>Yes</v>
      </c>
      <c r="O3732" s="31" t="str">
        <f aca="false">IF(H3732="","Open",IF(H3732&lt;=INDEX(Assumptions!$C$15:$C$18,MATCH(E3732,Assumptions!$A$15:$A$18,0)),"Yes","No"))</f>
        <v>Yes</v>
      </c>
    </row>
    <row r="3733" customFormat="false" ht="15" hidden="false" customHeight="false" outlineLevel="0" collapsed="false">
      <c r="A3733" s="31" t="s">
        <v>3883</v>
      </c>
      <c r="B3733" s="44" t="n">
        <v>46255</v>
      </c>
      <c r="C3733" s="31" t="s">
        <v>59</v>
      </c>
      <c r="D3733" s="31" t="s">
        <v>66</v>
      </c>
      <c r="E3733" s="31" t="s">
        <v>49</v>
      </c>
      <c r="F3733" s="31" t="s">
        <v>131</v>
      </c>
      <c r="G3733" s="31" t="n">
        <v>30</v>
      </c>
      <c r="H3733" s="41" t="n">
        <v>5.3</v>
      </c>
      <c r="I3733" s="31" t="s">
        <v>149</v>
      </c>
      <c r="J3733" s="31"/>
      <c r="K3733" s="31" t="s">
        <v>150</v>
      </c>
      <c r="L3733" s="45" t="n">
        <f aca="false">DATE(YEAR(B3733),MONTH(B3733),1)</f>
        <v>46235</v>
      </c>
      <c r="M3733" s="31" t="n">
        <f aca="false">WEEKDAY(B3733,2)</f>
        <v>5</v>
      </c>
      <c r="N3733" s="31" t="str">
        <f aca="false">IF(G3733&lt;=INDEX(Assumptions!$B$15:$B$18,MATCH(E3733,Assumptions!$A$15:$A$18,0)),"Yes","No")</f>
        <v>No</v>
      </c>
      <c r="O3733" s="31" t="str">
        <f aca="false">IF(H3733="","Open",IF(H3733&lt;=INDEX(Assumptions!$C$15:$C$18,MATCH(E3733,Assumptions!$A$15:$A$18,0)),"Yes","No"))</f>
        <v>No</v>
      </c>
    </row>
    <row r="3734" customFormat="false" ht="15" hidden="false" customHeight="false" outlineLevel="0" collapsed="false">
      <c r="A3734" s="31" t="s">
        <v>3884</v>
      </c>
      <c r="B3734" s="44" t="n">
        <v>46255</v>
      </c>
      <c r="C3734" s="31" t="s">
        <v>59</v>
      </c>
      <c r="D3734" s="31" t="s">
        <v>68</v>
      </c>
      <c r="E3734" s="31" t="s">
        <v>51</v>
      </c>
      <c r="F3734" s="31" t="s">
        <v>134</v>
      </c>
      <c r="G3734" s="31" t="n">
        <v>114</v>
      </c>
      <c r="H3734" s="41" t="n">
        <v>35</v>
      </c>
      <c r="I3734" s="31" t="s">
        <v>149</v>
      </c>
      <c r="J3734" s="31" t="n">
        <v>4</v>
      </c>
      <c r="K3734" s="31" t="s">
        <v>150</v>
      </c>
      <c r="L3734" s="45" t="n">
        <f aca="false">DATE(YEAR(B3734),MONTH(B3734),1)</f>
        <v>46235</v>
      </c>
      <c r="M3734" s="31" t="n">
        <f aca="false">WEEKDAY(B3734,2)</f>
        <v>5</v>
      </c>
      <c r="N3734" s="31" t="str">
        <f aca="false">IF(G3734&lt;=INDEX(Assumptions!$B$15:$B$18,MATCH(E3734,Assumptions!$A$15:$A$18,0)),"Yes","No")</f>
        <v>No</v>
      </c>
      <c r="O3734" s="31" t="str">
        <f aca="false">IF(H3734="","Open",IF(H3734&lt;=INDEX(Assumptions!$C$15:$C$18,MATCH(E3734,Assumptions!$A$15:$A$18,0)),"Yes","No"))</f>
        <v>No</v>
      </c>
    </row>
    <row r="3735" customFormat="false" ht="15" hidden="false" customHeight="false" outlineLevel="0" collapsed="false">
      <c r="A3735" s="31" t="s">
        <v>3885</v>
      </c>
      <c r="B3735" s="44" t="n">
        <v>46255</v>
      </c>
      <c r="C3735" s="31" t="s">
        <v>58</v>
      </c>
      <c r="D3735" s="31" t="s">
        <v>68</v>
      </c>
      <c r="E3735" s="31" t="s">
        <v>51</v>
      </c>
      <c r="F3735" s="31" t="s">
        <v>124</v>
      </c>
      <c r="G3735" s="31" t="n">
        <v>12</v>
      </c>
      <c r="H3735" s="41" t="n">
        <v>3.3</v>
      </c>
      <c r="I3735" s="31" t="s">
        <v>149</v>
      </c>
      <c r="J3735" s="31"/>
      <c r="K3735" s="31" t="s">
        <v>150</v>
      </c>
      <c r="L3735" s="45" t="n">
        <f aca="false">DATE(YEAR(B3735),MONTH(B3735),1)</f>
        <v>46235</v>
      </c>
      <c r="M3735" s="31" t="n">
        <f aca="false">WEEKDAY(B3735,2)</f>
        <v>5</v>
      </c>
      <c r="N3735" s="31" t="str">
        <f aca="false">IF(G3735&lt;=INDEX(Assumptions!$B$15:$B$18,MATCH(E3735,Assumptions!$A$15:$A$18,0)),"Yes","No")</f>
        <v>Yes</v>
      </c>
      <c r="O3735" s="31" t="str">
        <f aca="false">IF(H3735="","Open",IF(H3735&lt;=INDEX(Assumptions!$C$15:$C$18,MATCH(E3735,Assumptions!$A$15:$A$18,0)),"Yes","No"))</f>
        <v>Yes</v>
      </c>
    </row>
    <row r="3736" customFormat="false" ht="15" hidden="false" customHeight="false" outlineLevel="0" collapsed="false">
      <c r="A3736" s="31" t="s">
        <v>3886</v>
      </c>
      <c r="B3736" s="44" t="n">
        <v>46255</v>
      </c>
      <c r="C3736" s="31" t="s">
        <v>60</v>
      </c>
      <c r="D3736" s="31" t="s">
        <v>66</v>
      </c>
      <c r="E3736" s="31" t="s">
        <v>51</v>
      </c>
      <c r="F3736" s="31" t="s">
        <v>120</v>
      </c>
      <c r="G3736" s="31" t="n">
        <v>5</v>
      </c>
      <c r="H3736" s="41" t="n">
        <v>3.9</v>
      </c>
      <c r="I3736" s="31" t="s">
        <v>149</v>
      </c>
      <c r="J3736" s="31"/>
      <c r="K3736" s="31" t="s">
        <v>150</v>
      </c>
      <c r="L3736" s="45" t="n">
        <f aca="false">DATE(YEAR(B3736),MONTH(B3736),1)</f>
        <v>46235</v>
      </c>
      <c r="M3736" s="31" t="n">
        <f aca="false">WEEKDAY(B3736,2)</f>
        <v>5</v>
      </c>
      <c r="N3736" s="31" t="str">
        <f aca="false">IF(G3736&lt;=INDEX(Assumptions!$B$15:$B$18,MATCH(E3736,Assumptions!$A$15:$A$18,0)),"Yes","No")</f>
        <v>Yes</v>
      </c>
      <c r="O3736" s="31" t="str">
        <f aca="false">IF(H3736="","Open",IF(H3736&lt;=INDEX(Assumptions!$C$15:$C$18,MATCH(E3736,Assumptions!$A$15:$A$18,0)),"Yes","No"))</f>
        <v>Yes</v>
      </c>
    </row>
    <row r="3737" customFormat="false" ht="15" hidden="false" customHeight="false" outlineLevel="0" collapsed="false">
      <c r="A3737" s="31" t="s">
        <v>3887</v>
      </c>
      <c r="B3737" s="44" t="n">
        <v>46255</v>
      </c>
      <c r="C3737" s="31" t="s">
        <v>57</v>
      </c>
      <c r="D3737" s="31" t="s">
        <v>69</v>
      </c>
      <c r="E3737" s="31" t="s">
        <v>52</v>
      </c>
      <c r="F3737" s="31" t="s">
        <v>135</v>
      </c>
      <c r="G3737" s="31" t="n">
        <v>4</v>
      </c>
      <c r="H3737" s="41" t="n">
        <v>120.3</v>
      </c>
      <c r="I3737" s="31" t="s">
        <v>149</v>
      </c>
      <c r="J3737" s="31" t="n">
        <v>3</v>
      </c>
      <c r="K3737" s="31" t="s">
        <v>150</v>
      </c>
      <c r="L3737" s="45" t="n">
        <f aca="false">DATE(YEAR(B3737),MONTH(B3737),1)</f>
        <v>46235</v>
      </c>
      <c r="M3737" s="31" t="n">
        <f aca="false">WEEKDAY(B3737,2)</f>
        <v>5</v>
      </c>
      <c r="N3737" s="31" t="str">
        <f aca="false">IF(G3737&lt;=INDEX(Assumptions!$B$15:$B$18,MATCH(E3737,Assumptions!$A$15:$A$18,0)),"Yes","No")</f>
        <v>Yes</v>
      </c>
      <c r="O3737" s="31" t="str">
        <f aca="false">IF(H3737="","Open",IF(H3737&lt;=INDEX(Assumptions!$C$15:$C$18,MATCH(E3737,Assumptions!$A$15:$A$18,0)),"Yes","No"))</f>
        <v>No</v>
      </c>
    </row>
    <row r="3738" customFormat="false" ht="15" hidden="false" customHeight="false" outlineLevel="0" collapsed="false">
      <c r="A3738" s="31" t="s">
        <v>3888</v>
      </c>
      <c r="B3738" s="44" t="n">
        <v>46255</v>
      </c>
      <c r="C3738" s="31" t="s">
        <v>59</v>
      </c>
      <c r="D3738" s="31" t="s">
        <v>65</v>
      </c>
      <c r="E3738" s="31" t="s">
        <v>51</v>
      </c>
      <c r="F3738" s="31" t="s">
        <v>130</v>
      </c>
      <c r="G3738" s="31" t="n">
        <v>152</v>
      </c>
      <c r="H3738" s="41" t="n">
        <v>10.5</v>
      </c>
      <c r="I3738" s="31" t="s">
        <v>149</v>
      </c>
      <c r="J3738" s="31"/>
      <c r="K3738" s="31" t="s">
        <v>150</v>
      </c>
      <c r="L3738" s="45" t="n">
        <f aca="false">DATE(YEAR(B3738),MONTH(B3738),1)</f>
        <v>46235</v>
      </c>
      <c r="M3738" s="31" t="n">
        <f aca="false">WEEKDAY(B3738,2)</f>
        <v>5</v>
      </c>
      <c r="N3738" s="31" t="str">
        <f aca="false">IF(G3738&lt;=INDEX(Assumptions!$B$15:$B$18,MATCH(E3738,Assumptions!$A$15:$A$18,0)),"Yes","No")</f>
        <v>No</v>
      </c>
      <c r="O3738" s="31" t="str">
        <f aca="false">IF(H3738="","Open",IF(H3738&lt;=INDEX(Assumptions!$C$15:$C$18,MATCH(E3738,Assumptions!$A$15:$A$18,0)),"Yes","No"))</f>
        <v>Yes</v>
      </c>
    </row>
    <row r="3739" customFormat="false" ht="15" hidden="false" customHeight="false" outlineLevel="0" collapsed="false">
      <c r="A3739" s="31" t="s">
        <v>3889</v>
      </c>
      <c r="B3739" s="44" t="n">
        <v>46255</v>
      </c>
      <c r="C3739" s="31" t="s">
        <v>57</v>
      </c>
      <c r="D3739" s="31" t="s">
        <v>66</v>
      </c>
      <c r="E3739" s="31" t="s">
        <v>50</v>
      </c>
      <c r="F3739" s="31" t="s">
        <v>122</v>
      </c>
      <c r="G3739" s="31" t="n">
        <v>4</v>
      </c>
      <c r="H3739" s="41" t="n">
        <v>0.4</v>
      </c>
      <c r="I3739" s="31" t="s">
        <v>149</v>
      </c>
      <c r="J3739" s="31"/>
      <c r="K3739" s="31" t="s">
        <v>150</v>
      </c>
      <c r="L3739" s="45" t="n">
        <f aca="false">DATE(YEAR(B3739),MONTH(B3739),1)</f>
        <v>46235</v>
      </c>
      <c r="M3739" s="31" t="n">
        <f aca="false">WEEKDAY(B3739,2)</f>
        <v>5</v>
      </c>
      <c r="N3739" s="31" t="str">
        <f aca="false">IF(G3739&lt;=INDEX(Assumptions!$B$15:$B$18,MATCH(E3739,Assumptions!$A$15:$A$18,0)),"Yes","No")</f>
        <v>Yes</v>
      </c>
      <c r="O3739" s="31" t="str">
        <f aca="false">IF(H3739="","Open",IF(H3739&lt;=INDEX(Assumptions!$C$15:$C$18,MATCH(E3739,Assumptions!$A$15:$A$18,0)),"Yes","No"))</f>
        <v>Yes</v>
      </c>
    </row>
    <row r="3740" customFormat="false" ht="15" hidden="false" customHeight="false" outlineLevel="0" collapsed="false">
      <c r="A3740" s="31" t="s">
        <v>3890</v>
      </c>
      <c r="B3740" s="44" t="n">
        <v>46255</v>
      </c>
      <c r="C3740" s="31" t="s">
        <v>58</v>
      </c>
      <c r="D3740" s="31" t="s">
        <v>66</v>
      </c>
      <c r="E3740" s="31" t="s">
        <v>51</v>
      </c>
      <c r="F3740" s="31" t="s">
        <v>117</v>
      </c>
      <c r="G3740" s="31" t="n">
        <v>4</v>
      </c>
      <c r="H3740" s="41" t="n">
        <v>3.9</v>
      </c>
      <c r="I3740" s="31" t="s">
        <v>149</v>
      </c>
      <c r="J3740" s="31" t="n">
        <v>4</v>
      </c>
      <c r="K3740" s="31" t="s">
        <v>150</v>
      </c>
      <c r="L3740" s="45" t="n">
        <f aca="false">DATE(YEAR(B3740),MONTH(B3740),1)</f>
        <v>46235</v>
      </c>
      <c r="M3740" s="31" t="n">
        <f aca="false">WEEKDAY(B3740,2)</f>
        <v>5</v>
      </c>
      <c r="N3740" s="31" t="str">
        <f aca="false">IF(G3740&lt;=INDEX(Assumptions!$B$15:$B$18,MATCH(E3740,Assumptions!$A$15:$A$18,0)),"Yes","No")</f>
        <v>Yes</v>
      </c>
      <c r="O3740" s="31" t="str">
        <f aca="false">IF(H3740="","Open",IF(H3740&lt;=INDEX(Assumptions!$C$15:$C$18,MATCH(E3740,Assumptions!$A$15:$A$18,0)),"Yes","No"))</f>
        <v>Yes</v>
      </c>
    </row>
    <row r="3741" customFormat="false" ht="15" hidden="false" customHeight="false" outlineLevel="0" collapsed="false">
      <c r="A3741" s="31" t="s">
        <v>3891</v>
      </c>
      <c r="B3741" s="44" t="n">
        <v>46255</v>
      </c>
      <c r="C3741" s="31" t="s">
        <v>60</v>
      </c>
      <c r="D3741" s="31" t="s">
        <v>69</v>
      </c>
      <c r="E3741" s="31" t="s">
        <v>50</v>
      </c>
      <c r="F3741" s="31" t="s">
        <v>121</v>
      </c>
      <c r="G3741" s="31" t="n">
        <v>3</v>
      </c>
      <c r="H3741" s="41" t="n">
        <v>24.9</v>
      </c>
      <c r="I3741" s="31" t="s">
        <v>149</v>
      </c>
      <c r="J3741" s="31"/>
      <c r="K3741" s="31" t="s">
        <v>150</v>
      </c>
      <c r="L3741" s="45" t="n">
        <f aca="false">DATE(YEAR(B3741),MONTH(B3741),1)</f>
        <v>46235</v>
      </c>
      <c r="M3741" s="31" t="n">
        <f aca="false">WEEKDAY(B3741,2)</f>
        <v>5</v>
      </c>
      <c r="N3741" s="31" t="str">
        <f aca="false">IF(G3741&lt;=INDEX(Assumptions!$B$15:$B$18,MATCH(E3741,Assumptions!$A$15:$A$18,0)),"Yes","No")</f>
        <v>Yes</v>
      </c>
      <c r="O3741" s="31" t="str">
        <f aca="false">IF(H3741="","Open",IF(H3741&lt;=INDEX(Assumptions!$C$15:$C$18,MATCH(E3741,Assumptions!$A$15:$A$18,0)),"Yes","No"))</f>
        <v>No</v>
      </c>
    </row>
    <row r="3742" customFormat="false" ht="15" hidden="false" customHeight="false" outlineLevel="0" collapsed="false">
      <c r="A3742" s="31" t="s">
        <v>3892</v>
      </c>
      <c r="B3742" s="44" t="n">
        <v>46255</v>
      </c>
      <c r="C3742" s="31" t="s">
        <v>60</v>
      </c>
      <c r="D3742" s="31" t="s">
        <v>66</v>
      </c>
      <c r="E3742" s="31" t="s">
        <v>52</v>
      </c>
      <c r="F3742" s="31" t="s">
        <v>135</v>
      </c>
      <c r="G3742" s="31" t="n">
        <v>4</v>
      </c>
      <c r="H3742" s="41" t="n">
        <v>20.1</v>
      </c>
      <c r="I3742" s="31" t="s">
        <v>64</v>
      </c>
      <c r="J3742" s="31" t="n">
        <v>3</v>
      </c>
      <c r="K3742" s="31" t="s">
        <v>150</v>
      </c>
      <c r="L3742" s="45" t="n">
        <f aca="false">DATE(YEAR(B3742),MONTH(B3742),1)</f>
        <v>46235</v>
      </c>
      <c r="M3742" s="31" t="n">
        <f aca="false">WEEKDAY(B3742,2)</f>
        <v>5</v>
      </c>
      <c r="N3742" s="31" t="str">
        <f aca="false">IF(G3742&lt;=INDEX(Assumptions!$B$15:$B$18,MATCH(E3742,Assumptions!$A$15:$A$18,0)),"Yes","No")</f>
        <v>Yes</v>
      </c>
      <c r="O3742" s="31" t="str">
        <f aca="false">IF(H3742="","Open",IF(H3742&lt;=INDEX(Assumptions!$C$15:$C$18,MATCH(E3742,Assumptions!$A$15:$A$18,0)),"Yes","No"))</f>
        <v>Yes</v>
      </c>
    </row>
    <row r="3743" customFormat="false" ht="15" hidden="false" customHeight="false" outlineLevel="0" collapsed="false">
      <c r="A3743" s="31" t="s">
        <v>3893</v>
      </c>
      <c r="B3743" s="44" t="n">
        <v>46255</v>
      </c>
      <c r="C3743" s="31" t="s">
        <v>59</v>
      </c>
      <c r="D3743" s="31" t="s">
        <v>67</v>
      </c>
      <c r="E3743" s="31" t="s">
        <v>51</v>
      </c>
      <c r="F3743" s="31" t="s">
        <v>137</v>
      </c>
      <c r="G3743" s="31" t="n">
        <v>65</v>
      </c>
      <c r="H3743" s="41" t="n">
        <v>4.2</v>
      </c>
      <c r="I3743" s="31" t="s">
        <v>149</v>
      </c>
      <c r="J3743" s="31"/>
      <c r="K3743" s="31" t="s">
        <v>150</v>
      </c>
      <c r="L3743" s="45" t="n">
        <f aca="false">DATE(YEAR(B3743),MONTH(B3743),1)</f>
        <v>46235</v>
      </c>
      <c r="M3743" s="31" t="n">
        <f aca="false">WEEKDAY(B3743,2)</f>
        <v>5</v>
      </c>
      <c r="N3743" s="31" t="str">
        <f aca="false">IF(G3743&lt;=INDEX(Assumptions!$B$15:$B$18,MATCH(E3743,Assumptions!$A$15:$A$18,0)),"Yes","No")</f>
        <v>No</v>
      </c>
      <c r="O3743" s="31" t="str">
        <f aca="false">IF(H3743="","Open",IF(H3743&lt;=INDEX(Assumptions!$C$15:$C$18,MATCH(E3743,Assumptions!$A$15:$A$18,0)),"Yes","No"))</f>
        <v>Yes</v>
      </c>
    </row>
    <row r="3744" customFormat="false" ht="15" hidden="false" customHeight="false" outlineLevel="0" collapsed="false">
      <c r="A3744" s="31" t="s">
        <v>3894</v>
      </c>
      <c r="B3744" s="44" t="n">
        <v>46255</v>
      </c>
      <c r="C3744" s="31" t="s">
        <v>59</v>
      </c>
      <c r="D3744" s="31" t="s">
        <v>66</v>
      </c>
      <c r="E3744" s="31" t="s">
        <v>52</v>
      </c>
      <c r="F3744" s="31" t="s">
        <v>127</v>
      </c>
      <c r="G3744" s="31" t="n">
        <v>116</v>
      </c>
      <c r="H3744" s="41" t="n">
        <v>18.5</v>
      </c>
      <c r="I3744" s="31" t="s">
        <v>149</v>
      </c>
      <c r="J3744" s="31" t="n">
        <v>5</v>
      </c>
      <c r="K3744" s="31" t="s">
        <v>150</v>
      </c>
      <c r="L3744" s="45" t="n">
        <f aca="false">DATE(YEAR(B3744),MONTH(B3744),1)</f>
        <v>46235</v>
      </c>
      <c r="M3744" s="31" t="n">
        <f aca="false">WEEKDAY(B3744,2)</f>
        <v>5</v>
      </c>
      <c r="N3744" s="31" t="str">
        <f aca="false">IF(G3744&lt;=INDEX(Assumptions!$B$15:$B$18,MATCH(E3744,Assumptions!$A$15:$A$18,0)),"Yes","No")</f>
        <v>Yes</v>
      </c>
      <c r="O3744" s="31" t="str">
        <f aca="false">IF(H3744="","Open",IF(H3744&lt;=INDEX(Assumptions!$C$15:$C$18,MATCH(E3744,Assumptions!$A$15:$A$18,0)),"Yes","No"))</f>
        <v>Yes</v>
      </c>
    </row>
    <row r="3745" customFormat="false" ht="15" hidden="false" customHeight="false" outlineLevel="0" collapsed="false">
      <c r="A3745" s="31" t="s">
        <v>3895</v>
      </c>
      <c r="B3745" s="44" t="n">
        <v>46255</v>
      </c>
      <c r="C3745" s="31" t="s">
        <v>60</v>
      </c>
      <c r="D3745" s="31" t="s">
        <v>66</v>
      </c>
      <c r="E3745" s="31" t="s">
        <v>51</v>
      </c>
      <c r="F3745" s="31" t="s">
        <v>119</v>
      </c>
      <c r="G3745" s="31" t="n">
        <v>2</v>
      </c>
      <c r="H3745" s="41"/>
      <c r="I3745" s="31" t="s">
        <v>158</v>
      </c>
      <c r="J3745" s="31"/>
      <c r="K3745" s="31" t="s">
        <v>150</v>
      </c>
      <c r="L3745" s="45" t="n">
        <f aca="false">DATE(YEAR(B3745),MONTH(B3745),1)</f>
        <v>46235</v>
      </c>
      <c r="M3745" s="31" t="n">
        <f aca="false">WEEKDAY(B3745,2)</f>
        <v>5</v>
      </c>
      <c r="N3745" s="31" t="str">
        <f aca="false">IF(G3745&lt;=INDEX(Assumptions!$B$15:$B$18,MATCH(E3745,Assumptions!$A$15:$A$18,0)),"Yes","No")</f>
        <v>Yes</v>
      </c>
      <c r="O3745" s="31" t="str">
        <f aca="false">IF(H3745="","Open",IF(H3745&lt;=INDEX(Assumptions!$C$15:$C$18,MATCH(E3745,Assumptions!$A$15:$A$18,0)),"Yes","No"))</f>
        <v>Open</v>
      </c>
    </row>
    <row r="3746" customFormat="false" ht="15" hidden="false" customHeight="false" outlineLevel="0" collapsed="false">
      <c r="A3746" s="31" t="s">
        <v>3896</v>
      </c>
      <c r="B3746" s="44" t="n">
        <v>46255</v>
      </c>
      <c r="C3746" s="31" t="s">
        <v>57</v>
      </c>
      <c r="D3746" s="31" t="s">
        <v>67</v>
      </c>
      <c r="E3746" s="31" t="s">
        <v>51</v>
      </c>
      <c r="F3746" s="31" t="s">
        <v>130</v>
      </c>
      <c r="G3746" s="31" t="n">
        <v>2</v>
      </c>
      <c r="H3746" s="41" t="n">
        <v>10</v>
      </c>
      <c r="I3746" s="31" t="s">
        <v>149</v>
      </c>
      <c r="J3746" s="31" t="n">
        <v>5</v>
      </c>
      <c r="K3746" s="31" t="s">
        <v>150</v>
      </c>
      <c r="L3746" s="45" t="n">
        <f aca="false">DATE(YEAR(B3746),MONTH(B3746),1)</f>
        <v>46235</v>
      </c>
      <c r="M3746" s="31" t="n">
        <f aca="false">WEEKDAY(B3746,2)</f>
        <v>5</v>
      </c>
      <c r="N3746" s="31" t="str">
        <f aca="false">IF(G3746&lt;=INDEX(Assumptions!$B$15:$B$18,MATCH(E3746,Assumptions!$A$15:$A$18,0)),"Yes","No")</f>
        <v>Yes</v>
      </c>
      <c r="O3746" s="31" t="str">
        <f aca="false">IF(H3746="","Open",IF(H3746&lt;=INDEX(Assumptions!$C$15:$C$18,MATCH(E3746,Assumptions!$A$15:$A$18,0)),"Yes","No"))</f>
        <v>Yes</v>
      </c>
    </row>
    <row r="3747" customFormat="false" ht="15" hidden="false" customHeight="false" outlineLevel="0" collapsed="false">
      <c r="A3747" s="31" t="s">
        <v>3897</v>
      </c>
      <c r="B3747" s="44" t="n">
        <v>46255</v>
      </c>
      <c r="C3747" s="31" t="s">
        <v>57</v>
      </c>
      <c r="D3747" s="31" t="s">
        <v>65</v>
      </c>
      <c r="E3747" s="31" t="s">
        <v>51</v>
      </c>
      <c r="F3747" s="31" t="s">
        <v>124</v>
      </c>
      <c r="G3747" s="31" t="n">
        <v>1</v>
      </c>
      <c r="H3747" s="41" t="n">
        <v>1.6</v>
      </c>
      <c r="I3747" s="31" t="s">
        <v>149</v>
      </c>
      <c r="J3747" s="31" t="n">
        <v>5</v>
      </c>
      <c r="K3747" s="31" t="s">
        <v>150</v>
      </c>
      <c r="L3747" s="45" t="n">
        <f aca="false">DATE(YEAR(B3747),MONTH(B3747),1)</f>
        <v>46235</v>
      </c>
      <c r="M3747" s="31" t="n">
        <f aca="false">WEEKDAY(B3747,2)</f>
        <v>5</v>
      </c>
      <c r="N3747" s="31" t="str">
        <f aca="false">IF(G3747&lt;=INDEX(Assumptions!$B$15:$B$18,MATCH(E3747,Assumptions!$A$15:$A$18,0)),"Yes","No")</f>
        <v>Yes</v>
      </c>
      <c r="O3747" s="31" t="str">
        <f aca="false">IF(H3747="","Open",IF(H3747&lt;=INDEX(Assumptions!$C$15:$C$18,MATCH(E3747,Assumptions!$A$15:$A$18,0)),"Yes","No"))</f>
        <v>Yes</v>
      </c>
    </row>
    <row r="3748" customFormat="false" ht="15" hidden="false" customHeight="false" outlineLevel="0" collapsed="false">
      <c r="A3748" s="31" t="s">
        <v>3898</v>
      </c>
      <c r="B3748" s="44" t="n">
        <v>46255</v>
      </c>
      <c r="C3748" s="31" t="s">
        <v>60</v>
      </c>
      <c r="D3748" s="31" t="s">
        <v>67</v>
      </c>
      <c r="E3748" s="31" t="s">
        <v>49</v>
      </c>
      <c r="F3748" s="31" t="s">
        <v>131</v>
      </c>
      <c r="G3748" s="31" t="n">
        <v>1</v>
      </c>
      <c r="H3748" s="41" t="n">
        <v>4.8</v>
      </c>
      <c r="I3748" s="31" t="s">
        <v>149</v>
      </c>
      <c r="J3748" s="31"/>
      <c r="K3748" s="31" t="s">
        <v>150</v>
      </c>
      <c r="L3748" s="45" t="n">
        <f aca="false">DATE(YEAR(B3748),MONTH(B3748),1)</f>
        <v>46235</v>
      </c>
      <c r="M3748" s="31" t="n">
        <f aca="false">WEEKDAY(B3748,2)</f>
        <v>5</v>
      </c>
      <c r="N3748" s="31" t="str">
        <f aca="false">IF(G3748&lt;=INDEX(Assumptions!$B$15:$B$18,MATCH(E3748,Assumptions!$A$15:$A$18,0)),"Yes","No")</f>
        <v>Yes</v>
      </c>
      <c r="O3748" s="31" t="str">
        <f aca="false">IF(H3748="","Open",IF(H3748&lt;=INDEX(Assumptions!$C$15:$C$18,MATCH(E3748,Assumptions!$A$15:$A$18,0)),"Yes","No"))</f>
        <v>No</v>
      </c>
    </row>
    <row r="3749" customFormat="false" ht="15" hidden="false" customHeight="false" outlineLevel="0" collapsed="false">
      <c r="A3749" s="31" t="s">
        <v>3899</v>
      </c>
      <c r="B3749" s="44" t="n">
        <v>46255</v>
      </c>
      <c r="C3749" s="31" t="s">
        <v>59</v>
      </c>
      <c r="D3749" s="31" t="s">
        <v>65</v>
      </c>
      <c r="E3749" s="31" t="s">
        <v>52</v>
      </c>
      <c r="F3749" s="31" t="s">
        <v>124</v>
      </c>
      <c r="G3749" s="31" t="n">
        <v>76</v>
      </c>
      <c r="H3749" s="41" t="n">
        <v>31.6</v>
      </c>
      <c r="I3749" s="31" t="s">
        <v>64</v>
      </c>
      <c r="J3749" s="31" t="n">
        <v>5</v>
      </c>
      <c r="K3749" s="31" t="s">
        <v>150</v>
      </c>
      <c r="L3749" s="45" t="n">
        <f aca="false">DATE(YEAR(B3749),MONTH(B3749),1)</f>
        <v>46235</v>
      </c>
      <c r="M3749" s="31" t="n">
        <f aca="false">WEEKDAY(B3749,2)</f>
        <v>5</v>
      </c>
      <c r="N3749" s="31" t="str">
        <f aca="false">IF(G3749&lt;=INDEX(Assumptions!$B$15:$B$18,MATCH(E3749,Assumptions!$A$15:$A$18,0)),"Yes","No")</f>
        <v>Yes</v>
      </c>
      <c r="O3749" s="31" t="str">
        <f aca="false">IF(H3749="","Open",IF(H3749&lt;=INDEX(Assumptions!$C$15:$C$18,MATCH(E3749,Assumptions!$A$15:$A$18,0)),"Yes","No"))</f>
        <v>Yes</v>
      </c>
    </row>
    <row r="3750" customFormat="false" ht="15" hidden="false" customHeight="false" outlineLevel="0" collapsed="false">
      <c r="A3750" s="31" t="s">
        <v>3900</v>
      </c>
      <c r="B3750" s="44" t="n">
        <v>46255</v>
      </c>
      <c r="C3750" s="31" t="s">
        <v>57</v>
      </c>
      <c r="D3750" s="31" t="s">
        <v>68</v>
      </c>
      <c r="E3750" s="31" t="s">
        <v>50</v>
      </c>
      <c r="F3750" s="31" t="s">
        <v>119</v>
      </c>
      <c r="G3750" s="31" t="n">
        <v>2</v>
      </c>
      <c r="H3750" s="41" t="n">
        <v>2.1</v>
      </c>
      <c r="I3750" s="31" t="s">
        <v>149</v>
      </c>
      <c r="J3750" s="31" t="n">
        <v>4</v>
      </c>
      <c r="K3750" s="31" t="s">
        <v>153</v>
      </c>
      <c r="L3750" s="45" t="n">
        <f aca="false">DATE(YEAR(B3750),MONTH(B3750),1)</f>
        <v>46235</v>
      </c>
      <c r="M3750" s="31" t="n">
        <f aca="false">WEEKDAY(B3750,2)</f>
        <v>5</v>
      </c>
      <c r="N3750" s="31" t="str">
        <f aca="false">IF(G3750&lt;=INDEX(Assumptions!$B$15:$B$18,MATCH(E3750,Assumptions!$A$15:$A$18,0)),"Yes","No")</f>
        <v>Yes</v>
      </c>
      <c r="O3750" s="31" t="str">
        <f aca="false">IF(H3750="","Open",IF(H3750&lt;=INDEX(Assumptions!$C$15:$C$18,MATCH(E3750,Assumptions!$A$15:$A$18,0)),"Yes","No"))</f>
        <v>Yes</v>
      </c>
    </row>
    <row r="3751" customFormat="false" ht="15" hidden="false" customHeight="false" outlineLevel="0" collapsed="false">
      <c r="A3751" s="31" t="s">
        <v>3901</v>
      </c>
      <c r="B3751" s="44" t="n">
        <v>46255</v>
      </c>
      <c r="C3751" s="31" t="s">
        <v>60</v>
      </c>
      <c r="D3751" s="31" t="s">
        <v>65</v>
      </c>
      <c r="E3751" s="31" t="s">
        <v>52</v>
      </c>
      <c r="F3751" s="31" t="s">
        <v>121</v>
      </c>
      <c r="G3751" s="31" t="n">
        <v>4</v>
      </c>
      <c r="H3751" s="41" t="n">
        <v>39</v>
      </c>
      <c r="I3751" s="31" t="s">
        <v>149</v>
      </c>
      <c r="J3751" s="31" t="n">
        <v>3</v>
      </c>
      <c r="K3751" s="31" t="s">
        <v>150</v>
      </c>
      <c r="L3751" s="45" t="n">
        <f aca="false">DATE(YEAR(B3751),MONTH(B3751),1)</f>
        <v>46235</v>
      </c>
      <c r="M3751" s="31" t="n">
        <f aca="false">WEEKDAY(B3751,2)</f>
        <v>5</v>
      </c>
      <c r="N3751" s="31" t="str">
        <f aca="false">IF(G3751&lt;=INDEX(Assumptions!$B$15:$B$18,MATCH(E3751,Assumptions!$A$15:$A$18,0)),"Yes","No")</f>
        <v>Yes</v>
      </c>
      <c r="O3751" s="31" t="str">
        <f aca="false">IF(H3751="","Open",IF(H3751&lt;=INDEX(Assumptions!$C$15:$C$18,MATCH(E3751,Assumptions!$A$15:$A$18,0)),"Yes","No"))</f>
        <v>Yes</v>
      </c>
    </row>
    <row r="3752" customFormat="false" ht="15" hidden="false" customHeight="false" outlineLevel="0" collapsed="false">
      <c r="A3752" s="31" t="s">
        <v>3902</v>
      </c>
      <c r="B3752" s="44" t="n">
        <v>46255</v>
      </c>
      <c r="C3752" s="31" t="s">
        <v>58</v>
      </c>
      <c r="D3752" s="31" t="s">
        <v>69</v>
      </c>
      <c r="E3752" s="31" t="s">
        <v>50</v>
      </c>
      <c r="F3752" s="31" t="s">
        <v>117</v>
      </c>
      <c r="G3752" s="31" t="n">
        <v>3</v>
      </c>
      <c r="H3752" s="41" t="n">
        <v>8</v>
      </c>
      <c r="I3752" s="31" t="s">
        <v>149</v>
      </c>
      <c r="J3752" s="31" t="n">
        <v>4</v>
      </c>
      <c r="K3752" s="31" t="s">
        <v>150</v>
      </c>
      <c r="L3752" s="45" t="n">
        <f aca="false">DATE(YEAR(B3752),MONTH(B3752),1)</f>
        <v>46235</v>
      </c>
      <c r="M3752" s="31" t="n">
        <f aca="false">WEEKDAY(B3752,2)</f>
        <v>5</v>
      </c>
      <c r="N3752" s="31" t="str">
        <f aca="false">IF(G3752&lt;=INDEX(Assumptions!$B$15:$B$18,MATCH(E3752,Assumptions!$A$15:$A$18,0)),"Yes","No")</f>
        <v>Yes</v>
      </c>
      <c r="O3752" s="31" t="str">
        <f aca="false">IF(H3752="","Open",IF(H3752&lt;=INDEX(Assumptions!$C$15:$C$18,MATCH(E3752,Assumptions!$A$15:$A$18,0)),"Yes","No"))</f>
        <v>Yes</v>
      </c>
    </row>
    <row r="3753" customFormat="false" ht="15" hidden="false" customHeight="false" outlineLevel="0" collapsed="false">
      <c r="A3753" s="31" t="s">
        <v>3903</v>
      </c>
      <c r="B3753" s="44" t="n">
        <v>46255</v>
      </c>
      <c r="C3753" s="31" t="s">
        <v>60</v>
      </c>
      <c r="D3753" s="31" t="s">
        <v>65</v>
      </c>
      <c r="E3753" s="31" t="s">
        <v>51</v>
      </c>
      <c r="F3753" s="31" t="s">
        <v>137</v>
      </c>
      <c r="G3753" s="31" t="n">
        <v>2</v>
      </c>
      <c r="H3753" s="41" t="n">
        <v>13.8</v>
      </c>
      <c r="I3753" s="31" t="s">
        <v>149</v>
      </c>
      <c r="J3753" s="31"/>
      <c r="K3753" s="31" t="s">
        <v>153</v>
      </c>
      <c r="L3753" s="45" t="n">
        <f aca="false">DATE(YEAR(B3753),MONTH(B3753),1)</f>
        <v>46235</v>
      </c>
      <c r="M3753" s="31" t="n">
        <f aca="false">WEEKDAY(B3753,2)</f>
        <v>5</v>
      </c>
      <c r="N3753" s="31" t="str">
        <f aca="false">IF(G3753&lt;=INDEX(Assumptions!$B$15:$B$18,MATCH(E3753,Assumptions!$A$15:$A$18,0)),"Yes","No")</f>
        <v>Yes</v>
      </c>
      <c r="O3753" s="31" t="str">
        <f aca="false">IF(H3753="","Open",IF(H3753&lt;=INDEX(Assumptions!$C$15:$C$18,MATCH(E3753,Assumptions!$A$15:$A$18,0)),"Yes","No"))</f>
        <v>Yes</v>
      </c>
    </row>
    <row r="3754" customFormat="false" ht="15" hidden="false" customHeight="false" outlineLevel="0" collapsed="false">
      <c r="A3754" s="31" t="s">
        <v>3904</v>
      </c>
      <c r="B3754" s="44" t="n">
        <v>46255</v>
      </c>
      <c r="C3754" s="31" t="s">
        <v>59</v>
      </c>
      <c r="D3754" s="31" t="s">
        <v>67</v>
      </c>
      <c r="E3754" s="31" t="s">
        <v>51</v>
      </c>
      <c r="F3754" s="31" t="s">
        <v>137</v>
      </c>
      <c r="G3754" s="31" t="n">
        <v>158</v>
      </c>
      <c r="H3754" s="41" t="n">
        <v>4</v>
      </c>
      <c r="I3754" s="31" t="s">
        <v>149</v>
      </c>
      <c r="J3754" s="31" t="n">
        <v>4</v>
      </c>
      <c r="K3754" s="31" t="s">
        <v>150</v>
      </c>
      <c r="L3754" s="45" t="n">
        <f aca="false">DATE(YEAR(B3754),MONTH(B3754),1)</f>
        <v>46235</v>
      </c>
      <c r="M3754" s="31" t="n">
        <f aca="false">WEEKDAY(B3754,2)</f>
        <v>5</v>
      </c>
      <c r="N3754" s="31" t="str">
        <f aca="false">IF(G3754&lt;=INDEX(Assumptions!$B$15:$B$18,MATCH(E3754,Assumptions!$A$15:$A$18,0)),"Yes","No")</f>
        <v>No</v>
      </c>
      <c r="O3754" s="31" t="str">
        <f aca="false">IF(H3754="","Open",IF(H3754&lt;=INDEX(Assumptions!$C$15:$C$18,MATCH(E3754,Assumptions!$A$15:$A$18,0)),"Yes","No"))</f>
        <v>Yes</v>
      </c>
    </row>
    <row r="3755" customFormat="false" ht="15" hidden="false" customHeight="false" outlineLevel="0" collapsed="false">
      <c r="A3755" s="31" t="s">
        <v>3905</v>
      </c>
      <c r="B3755" s="44" t="n">
        <v>46255</v>
      </c>
      <c r="C3755" s="31" t="s">
        <v>58</v>
      </c>
      <c r="D3755" s="31" t="s">
        <v>67</v>
      </c>
      <c r="E3755" s="31" t="s">
        <v>50</v>
      </c>
      <c r="F3755" s="31" t="s">
        <v>129</v>
      </c>
      <c r="G3755" s="31" t="n">
        <v>9</v>
      </c>
      <c r="H3755" s="41" t="n">
        <v>4.4</v>
      </c>
      <c r="I3755" s="31" t="s">
        <v>149</v>
      </c>
      <c r="J3755" s="31"/>
      <c r="K3755" s="31" t="s">
        <v>153</v>
      </c>
      <c r="L3755" s="45" t="n">
        <f aca="false">DATE(YEAR(B3755),MONTH(B3755),1)</f>
        <v>46235</v>
      </c>
      <c r="M3755" s="31" t="n">
        <f aca="false">WEEKDAY(B3755,2)</f>
        <v>5</v>
      </c>
      <c r="N3755" s="31" t="str">
        <f aca="false">IF(G3755&lt;=INDEX(Assumptions!$B$15:$B$18,MATCH(E3755,Assumptions!$A$15:$A$18,0)),"Yes","No")</f>
        <v>Yes</v>
      </c>
      <c r="O3755" s="31" t="str">
        <f aca="false">IF(H3755="","Open",IF(H3755&lt;=INDEX(Assumptions!$C$15:$C$18,MATCH(E3755,Assumptions!$A$15:$A$18,0)),"Yes","No"))</f>
        <v>Yes</v>
      </c>
    </row>
    <row r="3756" customFormat="false" ht="15" hidden="false" customHeight="false" outlineLevel="0" collapsed="false">
      <c r="A3756" s="31" t="s">
        <v>3906</v>
      </c>
      <c r="B3756" s="44" t="n">
        <v>46255</v>
      </c>
      <c r="C3756" s="31" t="s">
        <v>58</v>
      </c>
      <c r="D3756" s="31" t="s">
        <v>65</v>
      </c>
      <c r="E3756" s="31" t="s">
        <v>51</v>
      </c>
      <c r="F3756" s="31" t="s">
        <v>124</v>
      </c>
      <c r="G3756" s="31" t="n">
        <v>5</v>
      </c>
      <c r="H3756" s="41" t="n">
        <v>16.1</v>
      </c>
      <c r="I3756" s="31" t="s">
        <v>149</v>
      </c>
      <c r="J3756" s="31"/>
      <c r="K3756" s="31" t="s">
        <v>150</v>
      </c>
      <c r="L3756" s="45" t="n">
        <f aca="false">DATE(YEAR(B3756),MONTH(B3756),1)</f>
        <v>46235</v>
      </c>
      <c r="M3756" s="31" t="n">
        <f aca="false">WEEKDAY(B3756,2)</f>
        <v>5</v>
      </c>
      <c r="N3756" s="31" t="str">
        <f aca="false">IF(G3756&lt;=INDEX(Assumptions!$B$15:$B$18,MATCH(E3756,Assumptions!$A$15:$A$18,0)),"Yes","No")</f>
        <v>Yes</v>
      </c>
      <c r="O3756" s="31" t="str">
        <f aca="false">IF(H3756="","Open",IF(H3756&lt;=INDEX(Assumptions!$C$15:$C$18,MATCH(E3756,Assumptions!$A$15:$A$18,0)),"Yes","No"))</f>
        <v>Yes</v>
      </c>
    </row>
    <row r="3757" customFormat="false" ht="15" hidden="false" customHeight="false" outlineLevel="0" collapsed="false">
      <c r="A3757" s="31" t="s">
        <v>3907</v>
      </c>
      <c r="B3757" s="44" t="n">
        <v>46255</v>
      </c>
      <c r="C3757" s="31" t="s">
        <v>57</v>
      </c>
      <c r="D3757" s="31" t="s">
        <v>67</v>
      </c>
      <c r="E3757" s="31" t="s">
        <v>51</v>
      </c>
      <c r="F3757" s="31" t="s">
        <v>130</v>
      </c>
      <c r="G3757" s="31" t="n">
        <v>4</v>
      </c>
      <c r="H3757" s="41" t="n">
        <v>16.1</v>
      </c>
      <c r="I3757" s="31" t="s">
        <v>149</v>
      </c>
      <c r="J3757" s="31" t="n">
        <v>4</v>
      </c>
      <c r="K3757" s="31" t="s">
        <v>150</v>
      </c>
      <c r="L3757" s="45" t="n">
        <f aca="false">DATE(YEAR(B3757),MONTH(B3757),1)</f>
        <v>46235</v>
      </c>
      <c r="M3757" s="31" t="n">
        <f aca="false">WEEKDAY(B3757,2)</f>
        <v>5</v>
      </c>
      <c r="N3757" s="31" t="str">
        <f aca="false">IF(G3757&lt;=INDEX(Assumptions!$B$15:$B$18,MATCH(E3757,Assumptions!$A$15:$A$18,0)),"Yes","No")</f>
        <v>Yes</v>
      </c>
      <c r="O3757" s="31" t="str">
        <f aca="false">IF(H3757="","Open",IF(H3757&lt;=INDEX(Assumptions!$C$15:$C$18,MATCH(E3757,Assumptions!$A$15:$A$18,0)),"Yes","No"))</f>
        <v>Yes</v>
      </c>
    </row>
    <row r="3758" customFormat="false" ht="15" hidden="false" customHeight="false" outlineLevel="0" collapsed="false">
      <c r="A3758" s="31" t="s">
        <v>3908</v>
      </c>
      <c r="B3758" s="44" t="n">
        <v>46255</v>
      </c>
      <c r="C3758" s="31" t="s">
        <v>58</v>
      </c>
      <c r="D3758" s="31" t="s">
        <v>68</v>
      </c>
      <c r="E3758" s="31" t="s">
        <v>51</v>
      </c>
      <c r="F3758" s="31" t="s">
        <v>134</v>
      </c>
      <c r="G3758" s="31" t="n">
        <v>19</v>
      </c>
      <c r="H3758" s="41" t="n">
        <v>2.9</v>
      </c>
      <c r="I3758" s="31" t="s">
        <v>149</v>
      </c>
      <c r="J3758" s="31" t="n">
        <v>4</v>
      </c>
      <c r="K3758" s="31" t="s">
        <v>150</v>
      </c>
      <c r="L3758" s="45" t="n">
        <f aca="false">DATE(YEAR(B3758),MONTH(B3758),1)</f>
        <v>46235</v>
      </c>
      <c r="M3758" s="31" t="n">
        <f aca="false">WEEKDAY(B3758,2)</f>
        <v>5</v>
      </c>
      <c r="N3758" s="31" t="str">
        <f aca="false">IF(G3758&lt;=INDEX(Assumptions!$B$15:$B$18,MATCH(E3758,Assumptions!$A$15:$A$18,0)),"Yes","No")</f>
        <v>Yes</v>
      </c>
      <c r="O3758" s="31" t="str">
        <f aca="false">IF(H3758="","Open",IF(H3758&lt;=INDEX(Assumptions!$C$15:$C$18,MATCH(E3758,Assumptions!$A$15:$A$18,0)),"Yes","No"))</f>
        <v>Yes</v>
      </c>
    </row>
    <row r="3759" customFormat="false" ht="15" hidden="false" customHeight="false" outlineLevel="0" collapsed="false">
      <c r="A3759" s="31" t="s">
        <v>3909</v>
      </c>
      <c r="B3759" s="44" t="n">
        <v>46255</v>
      </c>
      <c r="C3759" s="31" t="s">
        <v>59</v>
      </c>
      <c r="D3759" s="31" t="s">
        <v>66</v>
      </c>
      <c r="E3759" s="31" t="s">
        <v>51</v>
      </c>
      <c r="F3759" s="31" t="s">
        <v>127</v>
      </c>
      <c r="G3759" s="31" t="n">
        <v>18</v>
      </c>
      <c r="H3759" s="41" t="n">
        <v>5.5</v>
      </c>
      <c r="I3759" s="31" t="s">
        <v>149</v>
      </c>
      <c r="J3759" s="31" t="n">
        <v>5</v>
      </c>
      <c r="K3759" s="31" t="s">
        <v>150</v>
      </c>
      <c r="L3759" s="45" t="n">
        <f aca="false">DATE(YEAR(B3759),MONTH(B3759),1)</f>
        <v>46235</v>
      </c>
      <c r="M3759" s="31" t="n">
        <f aca="false">WEEKDAY(B3759,2)</f>
        <v>5</v>
      </c>
      <c r="N3759" s="31" t="str">
        <f aca="false">IF(G3759&lt;=INDEX(Assumptions!$B$15:$B$18,MATCH(E3759,Assumptions!$A$15:$A$18,0)),"Yes","No")</f>
        <v>Yes</v>
      </c>
      <c r="O3759" s="31" t="str">
        <f aca="false">IF(H3759="","Open",IF(H3759&lt;=INDEX(Assumptions!$C$15:$C$18,MATCH(E3759,Assumptions!$A$15:$A$18,0)),"Yes","No"))</f>
        <v>Yes</v>
      </c>
    </row>
    <row r="3760" customFormat="false" ht="15" hidden="false" customHeight="false" outlineLevel="0" collapsed="false">
      <c r="A3760" s="31" t="s">
        <v>3910</v>
      </c>
      <c r="B3760" s="44" t="n">
        <v>46255</v>
      </c>
      <c r="C3760" s="31" t="s">
        <v>59</v>
      </c>
      <c r="D3760" s="31" t="s">
        <v>66</v>
      </c>
      <c r="E3760" s="31" t="s">
        <v>51</v>
      </c>
      <c r="F3760" s="31" t="s">
        <v>128</v>
      </c>
      <c r="G3760" s="31" t="n">
        <v>122</v>
      </c>
      <c r="H3760" s="41" t="n">
        <v>14.3</v>
      </c>
      <c r="I3760" s="31" t="s">
        <v>149</v>
      </c>
      <c r="J3760" s="31" t="n">
        <v>3</v>
      </c>
      <c r="K3760" s="31" t="s">
        <v>153</v>
      </c>
      <c r="L3760" s="45" t="n">
        <f aca="false">DATE(YEAR(B3760),MONTH(B3760),1)</f>
        <v>46235</v>
      </c>
      <c r="M3760" s="31" t="n">
        <f aca="false">WEEKDAY(B3760,2)</f>
        <v>5</v>
      </c>
      <c r="N3760" s="31" t="str">
        <f aca="false">IF(G3760&lt;=INDEX(Assumptions!$B$15:$B$18,MATCH(E3760,Assumptions!$A$15:$A$18,0)),"Yes","No")</f>
        <v>No</v>
      </c>
      <c r="O3760" s="31" t="str">
        <f aca="false">IF(H3760="","Open",IF(H3760&lt;=INDEX(Assumptions!$C$15:$C$18,MATCH(E3760,Assumptions!$A$15:$A$18,0)),"Yes","No"))</f>
        <v>Yes</v>
      </c>
    </row>
    <row r="3761" customFormat="false" ht="15" hidden="false" customHeight="false" outlineLevel="0" collapsed="false">
      <c r="A3761" s="31" t="s">
        <v>3911</v>
      </c>
      <c r="B3761" s="44" t="n">
        <v>46255</v>
      </c>
      <c r="C3761" s="31" t="s">
        <v>57</v>
      </c>
      <c r="D3761" s="31" t="s">
        <v>67</v>
      </c>
      <c r="E3761" s="31" t="s">
        <v>52</v>
      </c>
      <c r="F3761" s="31" t="s">
        <v>123</v>
      </c>
      <c r="G3761" s="31" t="n">
        <v>5</v>
      </c>
      <c r="H3761" s="41" t="n">
        <v>20.2</v>
      </c>
      <c r="I3761" s="31" t="s">
        <v>149</v>
      </c>
      <c r="J3761" s="31" t="n">
        <v>4</v>
      </c>
      <c r="K3761" s="31" t="s">
        <v>150</v>
      </c>
      <c r="L3761" s="45" t="n">
        <f aca="false">DATE(YEAR(B3761),MONTH(B3761),1)</f>
        <v>46235</v>
      </c>
      <c r="M3761" s="31" t="n">
        <f aca="false">WEEKDAY(B3761,2)</f>
        <v>5</v>
      </c>
      <c r="N3761" s="31" t="str">
        <f aca="false">IF(G3761&lt;=INDEX(Assumptions!$B$15:$B$18,MATCH(E3761,Assumptions!$A$15:$A$18,0)),"Yes","No")</f>
        <v>Yes</v>
      </c>
      <c r="O3761" s="31" t="str">
        <f aca="false">IF(H3761="","Open",IF(H3761&lt;=INDEX(Assumptions!$C$15:$C$18,MATCH(E3761,Assumptions!$A$15:$A$18,0)),"Yes","No"))</f>
        <v>Yes</v>
      </c>
    </row>
    <row r="3762" customFormat="false" ht="15" hidden="false" customHeight="false" outlineLevel="0" collapsed="false">
      <c r="A3762" s="31" t="s">
        <v>3912</v>
      </c>
      <c r="B3762" s="44" t="n">
        <v>46255</v>
      </c>
      <c r="C3762" s="31" t="s">
        <v>57</v>
      </c>
      <c r="D3762" s="31" t="s">
        <v>66</v>
      </c>
      <c r="E3762" s="31" t="s">
        <v>51</v>
      </c>
      <c r="F3762" s="31" t="s">
        <v>124</v>
      </c>
      <c r="G3762" s="31" t="n">
        <v>4</v>
      </c>
      <c r="H3762" s="41" t="n">
        <v>0.5</v>
      </c>
      <c r="I3762" s="31" t="s">
        <v>149</v>
      </c>
      <c r="J3762" s="31" t="n">
        <v>5</v>
      </c>
      <c r="K3762" s="31" t="s">
        <v>150</v>
      </c>
      <c r="L3762" s="45" t="n">
        <f aca="false">DATE(YEAR(B3762),MONTH(B3762),1)</f>
        <v>46235</v>
      </c>
      <c r="M3762" s="31" t="n">
        <f aca="false">WEEKDAY(B3762,2)</f>
        <v>5</v>
      </c>
      <c r="N3762" s="31" t="str">
        <f aca="false">IF(G3762&lt;=INDEX(Assumptions!$B$15:$B$18,MATCH(E3762,Assumptions!$A$15:$A$18,0)),"Yes","No")</f>
        <v>Yes</v>
      </c>
      <c r="O3762" s="31" t="str">
        <f aca="false">IF(H3762="","Open",IF(H3762&lt;=INDEX(Assumptions!$C$15:$C$18,MATCH(E3762,Assumptions!$A$15:$A$18,0)),"Yes","No"))</f>
        <v>Yes</v>
      </c>
    </row>
    <row r="3763" customFormat="false" ht="15" hidden="false" customHeight="false" outlineLevel="0" collapsed="false">
      <c r="A3763" s="31" t="s">
        <v>3913</v>
      </c>
      <c r="B3763" s="44" t="n">
        <v>46255</v>
      </c>
      <c r="C3763" s="31" t="s">
        <v>59</v>
      </c>
      <c r="D3763" s="31" t="s">
        <v>69</v>
      </c>
      <c r="E3763" s="31" t="s">
        <v>51</v>
      </c>
      <c r="F3763" s="31" t="s">
        <v>129</v>
      </c>
      <c r="G3763" s="31" t="n">
        <v>87</v>
      </c>
      <c r="H3763" s="41" t="n">
        <v>17.3</v>
      </c>
      <c r="I3763" s="31" t="s">
        <v>149</v>
      </c>
      <c r="J3763" s="31" t="n">
        <v>4</v>
      </c>
      <c r="K3763" s="31" t="s">
        <v>150</v>
      </c>
      <c r="L3763" s="45" t="n">
        <f aca="false">DATE(YEAR(B3763),MONTH(B3763),1)</f>
        <v>46235</v>
      </c>
      <c r="M3763" s="31" t="n">
        <f aca="false">WEEKDAY(B3763,2)</f>
        <v>5</v>
      </c>
      <c r="N3763" s="31" t="str">
        <f aca="false">IF(G3763&lt;=INDEX(Assumptions!$B$15:$B$18,MATCH(E3763,Assumptions!$A$15:$A$18,0)),"Yes","No")</f>
        <v>No</v>
      </c>
      <c r="O3763" s="31" t="str">
        <f aca="false">IF(H3763="","Open",IF(H3763&lt;=INDEX(Assumptions!$C$15:$C$18,MATCH(E3763,Assumptions!$A$15:$A$18,0)),"Yes","No"))</f>
        <v>Yes</v>
      </c>
    </row>
    <row r="3764" customFormat="false" ht="15" hidden="false" customHeight="false" outlineLevel="0" collapsed="false">
      <c r="A3764" s="31" t="s">
        <v>3914</v>
      </c>
      <c r="B3764" s="44" t="n">
        <v>46255</v>
      </c>
      <c r="C3764" s="31" t="s">
        <v>57</v>
      </c>
      <c r="D3764" s="31" t="s">
        <v>65</v>
      </c>
      <c r="E3764" s="31" t="s">
        <v>51</v>
      </c>
      <c r="F3764" s="31" t="s">
        <v>122</v>
      </c>
      <c r="G3764" s="31" t="n">
        <v>7</v>
      </c>
      <c r="H3764" s="41" t="n">
        <v>25.5</v>
      </c>
      <c r="I3764" s="31" t="s">
        <v>149</v>
      </c>
      <c r="J3764" s="31" t="n">
        <v>5</v>
      </c>
      <c r="K3764" s="31" t="s">
        <v>150</v>
      </c>
      <c r="L3764" s="45" t="n">
        <f aca="false">DATE(YEAR(B3764),MONTH(B3764),1)</f>
        <v>46235</v>
      </c>
      <c r="M3764" s="31" t="n">
        <f aca="false">WEEKDAY(B3764,2)</f>
        <v>5</v>
      </c>
      <c r="N3764" s="31" t="str">
        <f aca="false">IF(G3764&lt;=INDEX(Assumptions!$B$15:$B$18,MATCH(E3764,Assumptions!$A$15:$A$18,0)),"Yes","No")</f>
        <v>Yes</v>
      </c>
      <c r="O3764" s="31" t="str">
        <f aca="false">IF(H3764="","Open",IF(H3764&lt;=INDEX(Assumptions!$C$15:$C$18,MATCH(E3764,Assumptions!$A$15:$A$18,0)),"Yes","No"))</f>
        <v>No</v>
      </c>
    </row>
    <row r="3765" customFormat="false" ht="15" hidden="false" customHeight="false" outlineLevel="0" collapsed="false">
      <c r="A3765" s="31" t="s">
        <v>3915</v>
      </c>
      <c r="B3765" s="44" t="n">
        <v>46255</v>
      </c>
      <c r="C3765" s="31" t="s">
        <v>58</v>
      </c>
      <c r="D3765" s="31" t="s">
        <v>69</v>
      </c>
      <c r="E3765" s="31" t="s">
        <v>52</v>
      </c>
      <c r="F3765" s="31" t="s">
        <v>128</v>
      </c>
      <c r="G3765" s="31" t="n">
        <v>16</v>
      </c>
      <c r="H3765" s="41" t="n">
        <v>34.2</v>
      </c>
      <c r="I3765" s="31" t="s">
        <v>149</v>
      </c>
      <c r="J3765" s="31"/>
      <c r="K3765" s="31" t="s">
        <v>150</v>
      </c>
      <c r="L3765" s="45" t="n">
        <f aca="false">DATE(YEAR(B3765),MONTH(B3765),1)</f>
        <v>46235</v>
      </c>
      <c r="M3765" s="31" t="n">
        <f aca="false">WEEKDAY(B3765,2)</f>
        <v>5</v>
      </c>
      <c r="N3765" s="31" t="str">
        <f aca="false">IF(G3765&lt;=INDEX(Assumptions!$B$15:$B$18,MATCH(E3765,Assumptions!$A$15:$A$18,0)),"Yes","No")</f>
        <v>Yes</v>
      </c>
      <c r="O3765" s="31" t="str">
        <f aca="false">IF(H3765="","Open",IF(H3765&lt;=INDEX(Assumptions!$C$15:$C$18,MATCH(E3765,Assumptions!$A$15:$A$18,0)),"Yes","No"))</f>
        <v>Yes</v>
      </c>
    </row>
    <row r="3766" customFormat="false" ht="15" hidden="false" customHeight="false" outlineLevel="0" collapsed="false">
      <c r="A3766" s="31" t="s">
        <v>3916</v>
      </c>
      <c r="B3766" s="44" t="n">
        <v>46255</v>
      </c>
      <c r="C3766" s="31" t="s">
        <v>59</v>
      </c>
      <c r="D3766" s="31" t="s">
        <v>66</v>
      </c>
      <c r="E3766" s="31" t="s">
        <v>50</v>
      </c>
      <c r="F3766" s="31" t="s">
        <v>127</v>
      </c>
      <c r="G3766" s="31" t="n">
        <v>65</v>
      </c>
      <c r="H3766" s="41" t="n">
        <v>0.5</v>
      </c>
      <c r="I3766" s="31" t="s">
        <v>149</v>
      </c>
      <c r="J3766" s="31"/>
      <c r="K3766" s="31" t="s">
        <v>150</v>
      </c>
      <c r="L3766" s="45" t="n">
        <f aca="false">DATE(YEAR(B3766),MONTH(B3766),1)</f>
        <v>46235</v>
      </c>
      <c r="M3766" s="31" t="n">
        <f aca="false">WEEKDAY(B3766,2)</f>
        <v>5</v>
      </c>
      <c r="N3766" s="31" t="str">
        <f aca="false">IF(G3766&lt;=INDEX(Assumptions!$B$15:$B$18,MATCH(E3766,Assumptions!$A$15:$A$18,0)),"Yes","No")</f>
        <v>No</v>
      </c>
      <c r="O3766" s="31" t="str">
        <f aca="false">IF(H3766="","Open",IF(H3766&lt;=INDEX(Assumptions!$C$15:$C$18,MATCH(E3766,Assumptions!$A$15:$A$18,0)),"Yes","No"))</f>
        <v>Yes</v>
      </c>
    </row>
    <row r="3767" customFormat="false" ht="15" hidden="false" customHeight="false" outlineLevel="0" collapsed="false">
      <c r="A3767" s="31" t="s">
        <v>3917</v>
      </c>
      <c r="B3767" s="44" t="n">
        <v>46255</v>
      </c>
      <c r="C3767" s="31" t="s">
        <v>58</v>
      </c>
      <c r="D3767" s="31" t="s">
        <v>65</v>
      </c>
      <c r="E3767" s="31" t="s">
        <v>50</v>
      </c>
      <c r="F3767" s="31" t="s">
        <v>122</v>
      </c>
      <c r="G3767" s="31" t="n">
        <v>5</v>
      </c>
      <c r="H3767" s="41" t="n">
        <v>6.5</v>
      </c>
      <c r="I3767" s="31" t="s">
        <v>149</v>
      </c>
      <c r="J3767" s="31" t="n">
        <v>4</v>
      </c>
      <c r="K3767" s="31" t="s">
        <v>150</v>
      </c>
      <c r="L3767" s="45" t="n">
        <f aca="false">DATE(YEAR(B3767),MONTH(B3767),1)</f>
        <v>46235</v>
      </c>
      <c r="M3767" s="31" t="n">
        <f aca="false">WEEKDAY(B3767,2)</f>
        <v>5</v>
      </c>
      <c r="N3767" s="31" t="str">
        <f aca="false">IF(G3767&lt;=INDEX(Assumptions!$B$15:$B$18,MATCH(E3767,Assumptions!$A$15:$A$18,0)),"Yes","No")</f>
        <v>Yes</v>
      </c>
      <c r="O3767" s="31" t="str">
        <f aca="false">IF(H3767="","Open",IF(H3767&lt;=INDEX(Assumptions!$C$15:$C$18,MATCH(E3767,Assumptions!$A$15:$A$18,0)),"Yes","No"))</f>
        <v>Yes</v>
      </c>
    </row>
    <row r="3768" customFormat="false" ht="15" hidden="false" customHeight="false" outlineLevel="0" collapsed="false">
      <c r="A3768" s="31" t="s">
        <v>3918</v>
      </c>
      <c r="B3768" s="44" t="n">
        <v>46255</v>
      </c>
      <c r="C3768" s="31" t="s">
        <v>59</v>
      </c>
      <c r="D3768" s="31" t="s">
        <v>65</v>
      </c>
      <c r="E3768" s="31" t="s">
        <v>51</v>
      </c>
      <c r="F3768" s="31" t="s">
        <v>127</v>
      </c>
      <c r="G3768" s="31" t="n">
        <v>34</v>
      </c>
      <c r="H3768" s="41" t="n">
        <v>11.8</v>
      </c>
      <c r="I3768" s="31" t="s">
        <v>149</v>
      </c>
      <c r="J3768" s="31" t="n">
        <v>5</v>
      </c>
      <c r="K3768" s="31" t="s">
        <v>153</v>
      </c>
      <c r="L3768" s="45" t="n">
        <f aca="false">DATE(YEAR(B3768),MONTH(B3768),1)</f>
        <v>46235</v>
      </c>
      <c r="M3768" s="31" t="n">
        <f aca="false">WEEKDAY(B3768,2)</f>
        <v>5</v>
      </c>
      <c r="N3768" s="31" t="str">
        <f aca="false">IF(G3768&lt;=INDEX(Assumptions!$B$15:$B$18,MATCH(E3768,Assumptions!$A$15:$A$18,0)),"Yes","No")</f>
        <v>Yes</v>
      </c>
      <c r="O3768" s="31" t="str">
        <f aca="false">IF(H3768="","Open",IF(H3768&lt;=INDEX(Assumptions!$C$15:$C$18,MATCH(E3768,Assumptions!$A$15:$A$18,0)),"Yes","No"))</f>
        <v>Yes</v>
      </c>
    </row>
    <row r="3769" customFormat="false" ht="15" hidden="false" customHeight="false" outlineLevel="0" collapsed="false">
      <c r="A3769" s="31" t="s">
        <v>3919</v>
      </c>
      <c r="B3769" s="44" t="n">
        <v>46255</v>
      </c>
      <c r="C3769" s="31" t="s">
        <v>59</v>
      </c>
      <c r="D3769" s="31" t="s">
        <v>68</v>
      </c>
      <c r="E3769" s="31" t="s">
        <v>51</v>
      </c>
      <c r="F3769" s="31" t="s">
        <v>134</v>
      </c>
      <c r="G3769" s="31" t="n">
        <v>229</v>
      </c>
      <c r="H3769" s="41" t="n">
        <v>4.6</v>
      </c>
      <c r="I3769" s="31" t="s">
        <v>149</v>
      </c>
      <c r="J3769" s="31" t="n">
        <v>3</v>
      </c>
      <c r="K3769" s="31" t="s">
        <v>150</v>
      </c>
      <c r="L3769" s="45" t="n">
        <f aca="false">DATE(YEAR(B3769),MONTH(B3769),1)</f>
        <v>46235</v>
      </c>
      <c r="M3769" s="31" t="n">
        <f aca="false">WEEKDAY(B3769,2)</f>
        <v>5</v>
      </c>
      <c r="N3769" s="31" t="str">
        <f aca="false">IF(G3769&lt;=INDEX(Assumptions!$B$15:$B$18,MATCH(E3769,Assumptions!$A$15:$A$18,0)),"Yes","No")</f>
        <v>No</v>
      </c>
      <c r="O3769" s="31" t="str">
        <f aca="false">IF(H3769="","Open",IF(H3769&lt;=INDEX(Assumptions!$C$15:$C$18,MATCH(E3769,Assumptions!$A$15:$A$18,0)),"Yes","No"))</f>
        <v>Yes</v>
      </c>
    </row>
    <row r="3770" customFormat="false" ht="15" hidden="false" customHeight="false" outlineLevel="0" collapsed="false">
      <c r="A3770" s="31" t="s">
        <v>3920</v>
      </c>
      <c r="B3770" s="44" t="n">
        <v>46255</v>
      </c>
      <c r="C3770" s="31" t="s">
        <v>60</v>
      </c>
      <c r="D3770" s="31" t="s">
        <v>65</v>
      </c>
      <c r="E3770" s="31" t="s">
        <v>51</v>
      </c>
      <c r="F3770" s="31" t="s">
        <v>129</v>
      </c>
      <c r="G3770" s="31" t="n">
        <v>2</v>
      </c>
      <c r="H3770" s="41" t="n">
        <v>58.6</v>
      </c>
      <c r="I3770" s="31" t="s">
        <v>149</v>
      </c>
      <c r="J3770" s="31"/>
      <c r="K3770" s="31" t="s">
        <v>150</v>
      </c>
      <c r="L3770" s="45" t="n">
        <f aca="false">DATE(YEAR(B3770),MONTH(B3770),1)</f>
        <v>46235</v>
      </c>
      <c r="M3770" s="31" t="n">
        <f aca="false">WEEKDAY(B3770,2)</f>
        <v>5</v>
      </c>
      <c r="N3770" s="31" t="str">
        <f aca="false">IF(G3770&lt;=INDEX(Assumptions!$B$15:$B$18,MATCH(E3770,Assumptions!$A$15:$A$18,0)),"Yes","No")</f>
        <v>Yes</v>
      </c>
      <c r="O3770" s="31" t="str">
        <f aca="false">IF(H3770="","Open",IF(H3770&lt;=INDEX(Assumptions!$C$15:$C$18,MATCH(E3770,Assumptions!$A$15:$A$18,0)),"Yes","No"))</f>
        <v>No</v>
      </c>
    </row>
    <row r="3771" customFormat="false" ht="15" hidden="false" customHeight="false" outlineLevel="0" collapsed="false">
      <c r="A3771" s="31" t="s">
        <v>3921</v>
      </c>
      <c r="B3771" s="44" t="n">
        <v>46255</v>
      </c>
      <c r="C3771" s="31" t="s">
        <v>60</v>
      </c>
      <c r="D3771" s="31" t="s">
        <v>68</v>
      </c>
      <c r="E3771" s="31" t="s">
        <v>51</v>
      </c>
      <c r="F3771" s="31" t="s">
        <v>135</v>
      </c>
      <c r="G3771" s="31" t="n">
        <v>16</v>
      </c>
      <c r="H3771" s="41" t="n">
        <v>38.7</v>
      </c>
      <c r="I3771" s="31" t="s">
        <v>149</v>
      </c>
      <c r="J3771" s="31" t="n">
        <v>4</v>
      </c>
      <c r="K3771" s="31" t="s">
        <v>150</v>
      </c>
      <c r="L3771" s="45" t="n">
        <f aca="false">DATE(YEAR(B3771),MONTH(B3771),1)</f>
        <v>46235</v>
      </c>
      <c r="M3771" s="31" t="n">
        <f aca="false">WEEKDAY(B3771,2)</f>
        <v>5</v>
      </c>
      <c r="N3771" s="31" t="str">
        <f aca="false">IF(G3771&lt;=INDEX(Assumptions!$B$15:$B$18,MATCH(E3771,Assumptions!$A$15:$A$18,0)),"Yes","No")</f>
        <v>Yes</v>
      </c>
      <c r="O3771" s="31" t="str">
        <f aca="false">IF(H3771="","Open",IF(H3771&lt;=INDEX(Assumptions!$C$15:$C$18,MATCH(E3771,Assumptions!$A$15:$A$18,0)),"Yes","No"))</f>
        <v>No</v>
      </c>
    </row>
    <row r="3772" customFormat="false" ht="15" hidden="false" customHeight="false" outlineLevel="0" collapsed="false">
      <c r="A3772" s="31" t="s">
        <v>3922</v>
      </c>
      <c r="B3772" s="44" t="n">
        <v>46255</v>
      </c>
      <c r="C3772" s="31" t="s">
        <v>59</v>
      </c>
      <c r="D3772" s="31" t="s">
        <v>68</v>
      </c>
      <c r="E3772" s="31" t="s">
        <v>51</v>
      </c>
      <c r="F3772" s="31" t="s">
        <v>119</v>
      </c>
      <c r="G3772" s="31" t="n">
        <v>50</v>
      </c>
      <c r="H3772" s="41" t="n">
        <v>3.9</v>
      </c>
      <c r="I3772" s="31" t="s">
        <v>149</v>
      </c>
      <c r="J3772" s="31"/>
      <c r="K3772" s="31" t="s">
        <v>150</v>
      </c>
      <c r="L3772" s="45" t="n">
        <f aca="false">DATE(YEAR(B3772),MONTH(B3772),1)</f>
        <v>46235</v>
      </c>
      <c r="M3772" s="31" t="n">
        <f aca="false">WEEKDAY(B3772,2)</f>
        <v>5</v>
      </c>
      <c r="N3772" s="31" t="str">
        <f aca="false">IF(G3772&lt;=INDEX(Assumptions!$B$15:$B$18,MATCH(E3772,Assumptions!$A$15:$A$18,0)),"Yes","No")</f>
        <v>Yes</v>
      </c>
      <c r="O3772" s="31" t="str">
        <f aca="false">IF(H3772="","Open",IF(H3772&lt;=INDEX(Assumptions!$C$15:$C$18,MATCH(E3772,Assumptions!$A$15:$A$18,0)),"Yes","No"))</f>
        <v>Yes</v>
      </c>
    </row>
    <row r="3773" customFormat="false" ht="15" hidden="false" customHeight="false" outlineLevel="0" collapsed="false">
      <c r="A3773" s="31" t="s">
        <v>3923</v>
      </c>
      <c r="B3773" s="44" t="n">
        <v>46255</v>
      </c>
      <c r="C3773" s="31" t="s">
        <v>58</v>
      </c>
      <c r="D3773" s="31" t="s">
        <v>67</v>
      </c>
      <c r="E3773" s="31" t="s">
        <v>52</v>
      </c>
      <c r="F3773" s="31" t="s">
        <v>119</v>
      </c>
      <c r="G3773" s="31" t="n">
        <v>21</v>
      </c>
      <c r="H3773" s="41" t="n">
        <v>47.3</v>
      </c>
      <c r="I3773" s="31" t="s">
        <v>149</v>
      </c>
      <c r="J3773" s="31" t="n">
        <v>4</v>
      </c>
      <c r="K3773" s="31" t="s">
        <v>150</v>
      </c>
      <c r="L3773" s="45" t="n">
        <f aca="false">DATE(YEAR(B3773),MONTH(B3773),1)</f>
        <v>46235</v>
      </c>
      <c r="M3773" s="31" t="n">
        <f aca="false">WEEKDAY(B3773,2)</f>
        <v>5</v>
      </c>
      <c r="N3773" s="31" t="str">
        <f aca="false">IF(G3773&lt;=INDEX(Assumptions!$B$15:$B$18,MATCH(E3773,Assumptions!$A$15:$A$18,0)),"Yes","No")</f>
        <v>Yes</v>
      </c>
      <c r="O3773" s="31" t="str">
        <f aca="false">IF(H3773="","Open",IF(H3773&lt;=INDEX(Assumptions!$C$15:$C$18,MATCH(E3773,Assumptions!$A$15:$A$18,0)),"Yes","No"))</f>
        <v>Yes</v>
      </c>
    </row>
    <row r="3774" customFormat="false" ht="15" hidden="false" customHeight="false" outlineLevel="0" collapsed="false">
      <c r="A3774" s="31" t="s">
        <v>3924</v>
      </c>
      <c r="B3774" s="44" t="n">
        <v>46255</v>
      </c>
      <c r="C3774" s="31" t="s">
        <v>60</v>
      </c>
      <c r="D3774" s="31" t="s">
        <v>65</v>
      </c>
      <c r="E3774" s="31" t="s">
        <v>51</v>
      </c>
      <c r="F3774" s="31" t="s">
        <v>127</v>
      </c>
      <c r="G3774" s="31" t="n">
        <v>1</v>
      </c>
      <c r="H3774" s="41" t="n">
        <v>10.6</v>
      </c>
      <c r="I3774" s="31" t="s">
        <v>149</v>
      </c>
      <c r="J3774" s="31"/>
      <c r="K3774" s="31" t="s">
        <v>150</v>
      </c>
      <c r="L3774" s="45" t="n">
        <f aca="false">DATE(YEAR(B3774),MONTH(B3774),1)</f>
        <v>46235</v>
      </c>
      <c r="M3774" s="31" t="n">
        <f aca="false">WEEKDAY(B3774,2)</f>
        <v>5</v>
      </c>
      <c r="N3774" s="31" t="str">
        <f aca="false">IF(G3774&lt;=INDEX(Assumptions!$B$15:$B$18,MATCH(E3774,Assumptions!$A$15:$A$18,0)),"Yes","No")</f>
        <v>Yes</v>
      </c>
      <c r="O3774" s="31" t="str">
        <f aca="false">IF(H3774="","Open",IF(H3774&lt;=INDEX(Assumptions!$C$15:$C$18,MATCH(E3774,Assumptions!$A$15:$A$18,0)),"Yes","No"))</f>
        <v>Yes</v>
      </c>
    </row>
    <row r="3775" customFormat="false" ht="15" hidden="false" customHeight="false" outlineLevel="0" collapsed="false">
      <c r="A3775" s="31" t="s">
        <v>3925</v>
      </c>
      <c r="B3775" s="44" t="n">
        <v>46255</v>
      </c>
      <c r="C3775" s="31" t="s">
        <v>59</v>
      </c>
      <c r="D3775" s="31" t="s">
        <v>69</v>
      </c>
      <c r="E3775" s="31" t="s">
        <v>50</v>
      </c>
      <c r="F3775" s="31" t="s">
        <v>131</v>
      </c>
      <c r="G3775" s="31" t="n">
        <v>52</v>
      </c>
      <c r="H3775" s="41" t="n">
        <v>16.8</v>
      </c>
      <c r="I3775" s="31" t="s">
        <v>149</v>
      </c>
      <c r="J3775" s="31"/>
      <c r="K3775" s="31" t="s">
        <v>150</v>
      </c>
      <c r="L3775" s="45" t="n">
        <f aca="false">DATE(YEAR(B3775),MONTH(B3775),1)</f>
        <v>46235</v>
      </c>
      <c r="M3775" s="31" t="n">
        <f aca="false">WEEKDAY(B3775,2)</f>
        <v>5</v>
      </c>
      <c r="N3775" s="31" t="str">
        <f aca="false">IF(G3775&lt;=INDEX(Assumptions!$B$15:$B$18,MATCH(E3775,Assumptions!$A$15:$A$18,0)),"Yes","No")</f>
        <v>No</v>
      </c>
      <c r="O3775" s="31" t="str">
        <f aca="false">IF(H3775="","Open",IF(H3775&lt;=INDEX(Assumptions!$C$15:$C$18,MATCH(E3775,Assumptions!$A$15:$A$18,0)),"Yes","No"))</f>
        <v>No</v>
      </c>
    </row>
    <row r="3776" customFormat="false" ht="15" hidden="false" customHeight="false" outlineLevel="0" collapsed="false">
      <c r="A3776" s="31" t="s">
        <v>3926</v>
      </c>
      <c r="B3776" s="44" t="n">
        <v>46255</v>
      </c>
      <c r="C3776" s="31" t="s">
        <v>57</v>
      </c>
      <c r="D3776" s="31" t="s">
        <v>65</v>
      </c>
      <c r="E3776" s="31" t="s">
        <v>51</v>
      </c>
      <c r="F3776" s="31" t="s">
        <v>126</v>
      </c>
      <c r="G3776" s="31" t="n">
        <v>4</v>
      </c>
      <c r="H3776" s="41" t="n">
        <v>9.9</v>
      </c>
      <c r="I3776" s="31" t="s">
        <v>149</v>
      </c>
      <c r="J3776" s="31" t="n">
        <v>4</v>
      </c>
      <c r="K3776" s="31" t="s">
        <v>150</v>
      </c>
      <c r="L3776" s="45" t="n">
        <f aca="false">DATE(YEAR(B3776),MONTH(B3776),1)</f>
        <v>46235</v>
      </c>
      <c r="M3776" s="31" t="n">
        <f aca="false">WEEKDAY(B3776,2)</f>
        <v>5</v>
      </c>
      <c r="N3776" s="31" t="str">
        <f aca="false">IF(G3776&lt;=INDEX(Assumptions!$B$15:$B$18,MATCH(E3776,Assumptions!$A$15:$A$18,0)),"Yes","No")</f>
        <v>Yes</v>
      </c>
      <c r="O3776" s="31" t="str">
        <f aca="false">IF(H3776="","Open",IF(H3776&lt;=INDEX(Assumptions!$C$15:$C$18,MATCH(E3776,Assumptions!$A$15:$A$18,0)),"Yes","No"))</f>
        <v>Yes</v>
      </c>
    </row>
    <row r="3777" customFormat="false" ht="15" hidden="false" customHeight="false" outlineLevel="0" collapsed="false">
      <c r="A3777" s="31" t="s">
        <v>3927</v>
      </c>
      <c r="B3777" s="44" t="n">
        <v>46255</v>
      </c>
      <c r="C3777" s="31" t="s">
        <v>57</v>
      </c>
      <c r="D3777" s="31" t="s">
        <v>66</v>
      </c>
      <c r="E3777" s="31" t="s">
        <v>51</v>
      </c>
      <c r="F3777" s="31" t="s">
        <v>127</v>
      </c>
      <c r="G3777" s="31" t="n">
        <v>3</v>
      </c>
      <c r="H3777" s="41" t="n">
        <v>35.5</v>
      </c>
      <c r="I3777" s="31" t="s">
        <v>64</v>
      </c>
      <c r="J3777" s="31"/>
      <c r="K3777" s="31" t="s">
        <v>150</v>
      </c>
      <c r="L3777" s="45" t="n">
        <f aca="false">DATE(YEAR(B3777),MONTH(B3777),1)</f>
        <v>46235</v>
      </c>
      <c r="M3777" s="31" t="n">
        <f aca="false">WEEKDAY(B3777,2)</f>
        <v>5</v>
      </c>
      <c r="N3777" s="31" t="str">
        <f aca="false">IF(G3777&lt;=INDEX(Assumptions!$B$15:$B$18,MATCH(E3777,Assumptions!$A$15:$A$18,0)),"Yes","No")</f>
        <v>Yes</v>
      </c>
      <c r="O3777" s="31" t="str">
        <f aca="false">IF(H3777="","Open",IF(H3777&lt;=INDEX(Assumptions!$C$15:$C$18,MATCH(E3777,Assumptions!$A$15:$A$18,0)),"Yes","No"))</f>
        <v>No</v>
      </c>
    </row>
    <row r="3778" customFormat="false" ht="15" hidden="false" customHeight="false" outlineLevel="0" collapsed="false">
      <c r="A3778" s="31" t="s">
        <v>3928</v>
      </c>
      <c r="B3778" s="44" t="n">
        <v>46255</v>
      </c>
      <c r="C3778" s="31" t="s">
        <v>59</v>
      </c>
      <c r="D3778" s="31" t="s">
        <v>65</v>
      </c>
      <c r="E3778" s="31" t="s">
        <v>51</v>
      </c>
      <c r="F3778" s="31" t="s">
        <v>122</v>
      </c>
      <c r="G3778" s="31" t="n">
        <v>29</v>
      </c>
      <c r="H3778" s="41" t="n">
        <v>47.2</v>
      </c>
      <c r="I3778" s="31" t="s">
        <v>149</v>
      </c>
      <c r="J3778" s="31"/>
      <c r="K3778" s="31" t="s">
        <v>150</v>
      </c>
      <c r="L3778" s="45" t="n">
        <f aca="false">DATE(YEAR(B3778),MONTH(B3778),1)</f>
        <v>46235</v>
      </c>
      <c r="M3778" s="31" t="n">
        <f aca="false">WEEKDAY(B3778,2)</f>
        <v>5</v>
      </c>
      <c r="N3778" s="31" t="str">
        <f aca="false">IF(G3778&lt;=INDEX(Assumptions!$B$15:$B$18,MATCH(E3778,Assumptions!$A$15:$A$18,0)),"Yes","No")</f>
        <v>Yes</v>
      </c>
      <c r="O3778" s="31" t="str">
        <f aca="false">IF(H3778="","Open",IF(H3778&lt;=INDEX(Assumptions!$C$15:$C$18,MATCH(E3778,Assumptions!$A$15:$A$18,0)),"Yes","No"))</f>
        <v>No</v>
      </c>
    </row>
    <row r="3779" customFormat="false" ht="15" hidden="false" customHeight="false" outlineLevel="0" collapsed="false">
      <c r="A3779" s="31" t="s">
        <v>3929</v>
      </c>
      <c r="B3779" s="44" t="n">
        <v>46255</v>
      </c>
      <c r="C3779" s="31" t="s">
        <v>60</v>
      </c>
      <c r="D3779" s="31" t="s">
        <v>65</v>
      </c>
      <c r="E3779" s="31" t="s">
        <v>51</v>
      </c>
      <c r="F3779" s="31" t="s">
        <v>137</v>
      </c>
      <c r="G3779" s="31" t="n">
        <v>9</v>
      </c>
      <c r="H3779" s="41" t="n">
        <v>6.7</v>
      </c>
      <c r="I3779" s="31" t="s">
        <v>149</v>
      </c>
      <c r="J3779" s="31"/>
      <c r="K3779" s="31" t="s">
        <v>150</v>
      </c>
      <c r="L3779" s="45" t="n">
        <f aca="false">DATE(YEAR(B3779),MONTH(B3779),1)</f>
        <v>46235</v>
      </c>
      <c r="M3779" s="31" t="n">
        <f aca="false">WEEKDAY(B3779,2)</f>
        <v>5</v>
      </c>
      <c r="N3779" s="31" t="str">
        <f aca="false">IF(G3779&lt;=INDEX(Assumptions!$B$15:$B$18,MATCH(E3779,Assumptions!$A$15:$A$18,0)),"Yes","No")</f>
        <v>Yes</v>
      </c>
      <c r="O3779" s="31" t="str">
        <f aca="false">IF(H3779="","Open",IF(H3779&lt;=INDEX(Assumptions!$C$15:$C$18,MATCH(E3779,Assumptions!$A$15:$A$18,0)),"Yes","No"))</f>
        <v>Yes</v>
      </c>
    </row>
    <row r="3780" customFormat="false" ht="15" hidden="false" customHeight="false" outlineLevel="0" collapsed="false">
      <c r="A3780" s="31" t="s">
        <v>3930</v>
      </c>
      <c r="B3780" s="44" t="n">
        <v>46255</v>
      </c>
      <c r="C3780" s="31" t="s">
        <v>58</v>
      </c>
      <c r="D3780" s="31" t="s">
        <v>69</v>
      </c>
      <c r="E3780" s="31" t="s">
        <v>51</v>
      </c>
      <c r="F3780" s="31" t="s">
        <v>137</v>
      </c>
      <c r="G3780" s="31" t="n">
        <v>14</v>
      </c>
      <c r="H3780" s="41" t="n">
        <v>22.8</v>
      </c>
      <c r="I3780" s="31" t="s">
        <v>149</v>
      </c>
      <c r="J3780" s="31"/>
      <c r="K3780" s="31" t="s">
        <v>150</v>
      </c>
      <c r="L3780" s="45" t="n">
        <f aca="false">DATE(YEAR(B3780),MONTH(B3780),1)</f>
        <v>46235</v>
      </c>
      <c r="M3780" s="31" t="n">
        <f aca="false">WEEKDAY(B3780,2)</f>
        <v>5</v>
      </c>
      <c r="N3780" s="31" t="str">
        <f aca="false">IF(G3780&lt;=INDEX(Assumptions!$B$15:$B$18,MATCH(E3780,Assumptions!$A$15:$A$18,0)),"Yes","No")</f>
        <v>Yes</v>
      </c>
      <c r="O3780" s="31" t="str">
        <f aca="false">IF(H3780="","Open",IF(H3780&lt;=INDEX(Assumptions!$C$15:$C$18,MATCH(E3780,Assumptions!$A$15:$A$18,0)),"Yes","No"))</f>
        <v>Yes</v>
      </c>
    </row>
    <row r="3781" customFormat="false" ht="15" hidden="false" customHeight="false" outlineLevel="0" collapsed="false">
      <c r="A3781" s="31" t="s">
        <v>3931</v>
      </c>
      <c r="B3781" s="44" t="n">
        <v>46255</v>
      </c>
      <c r="C3781" s="31" t="s">
        <v>59</v>
      </c>
      <c r="D3781" s="31" t="s">
        <v>69</v>
      </c>
      <c r="E3781" s="31" t="s">
        <v>49</v>
      </c>
      <c r="F3781" s="31" t="s">
        <v>119</v>
      </c>
      <c r="G3781" s="31" t="n">
        <v>40</v>
      </c>
      <c r="H3781" s="41" t="n">
        <v>13.3</v>
      </c>
      <c r="I3781" s="31" t="s">
        <v>149</v>
      </c>
      <c r="J3781" s="31" t="n">
        <v>3</v>
      </c>
      <c r="K3781" s="31" t="s">
        <v>150</v>
      </c>
      <c r="L3781" s="45" t="n">
        <f aca="false">DATE(YEAR(B3781),MONTH(B3781),1)</f>
        <v>46235</v>
      </c>
      <c r="M3781" s="31" t="n">
        <f aca="false">WEEKDAY(B3781,2)</f>
        <v>5</v>
      </c>
      <c r="N3781" s="31" t="str">
        <f aca="false">IF(G3781&lt;=INDEX(Assumptions!$B$15:$B$18,MATCH(E3781,Assumptions!$A$15:$A$18,0)),"Yes","No")</f>
        <v>No</v>
      </c>
      <c r="O3781" s="31" t="str">
        <f aca="false">IF(H3781="","Open",IF(H3781&lt;=INDEX(Assumptions!$C$15:$C$18,MATCH(E3781,Assumptions!$A$15:$A$18,0)),"Yes","No"))</f>
        <v>No</v>
      </c>
    </row>
    <row r="3782" customFormat="false" ht="15" hidden="false" customHeight="false" outlineLevel="0" collapsed="false">
      <c r="A3782" s="31" t="s">
        <v>3932</v>
      </c>
      <c r="B3782" s="44" t="n">
        <v>46255</v>
      </c>
      <c r="C3782" s="31" t="s">
        <v>60</v>
      </c>
      <c r="D3782" s="31" t="s">
        <v>66</v>
      </c>
      <c r="E3782" s="31" t="s">
        <v>52</v>
      </c>
      <c r="F3782" s="31" t="s">
        <v>134</v>
      </c>
      <c r="G3782" s="31" t="n">
        <v>12</v>
      </c>
      <c r="H3782" s="41" t="n">
        <v>22.7</v>
      </c>
      <c r="I3782" s="31" t="s">
        <v>149</v>
      </c>
      <c r="J3782" s="31" t="n">
        <v>4</v>
      </c>
      <c r="K3782" s="31" t="s">
        <v>150</v>
      </c>
      <c r="L3782" s="45" t="n">
        <f aca="false">DATE(YEAR(B3782),MONTH(B3782),1)</f>
        <v>46235</v>
      </c>
      <c r="M3782" s="31" t="n">
        <f aca="false">WEEKDAY(B3782,2)</f>
        <v>5</v>
      </c>
      <c r="N3782" s="31" t="str">
        <f aca="false">IF(G3782&lt;=INDEX(Assumptions!$B$15:$B$18,MATCH(E3782,Assumptions!$A$15:$A$18,0)),"Yes","No")</f>
        <v>Yes</v>
      </c>
      <c r="O3782" s="31" t="str">
        <f aca="false">IF(H3782="","Open",IF(H3782&lt;=INDEX(Assumptions!$C$15:$C$18,MATCH(E3782,Assumptions!$A$15:$A$18,0)),"Yes","No"))</f>
        <v>Yes</v>
      </c>
    </row>
    <row r="3783" customFormat="false" ht="15" hidden="false" customHeight="false" outlineLevel="0" collapsed="false">
      <c r="A3783" s="31" t="s">
        <v>3933</v>
      </c>
      <c r="B3783" s="44" t="n">
        <v>46255</v>
      </c>
      <c r="C3783" s="31" t="s">
        <v>58</v>
      </c>
      <c r="D3783" s="31" t="s">
        <v>65</v>
      </c>
      <c r="E3783" s="31" t="s">
        <v>51</v>
      </c>
      <c r="F3783" s="31" t="s">
        <v>127</v>
      </c>
      <c r="G3783" s="31" t="n">
        <v>31</v>
      </c>
      <c r="H3783" s="41" t="n">
        <v>3.9</v>
      </c>
      <c r="I3783" s="31" t="s">
        <v>149</v>
      </c>
      <c r="J3783" s="31" t="n">
        <v>4</v>
      </c>
      <c r="K3783" s="31" t="s">
        <v>150</v>
      </c>
      <c r="L3783" s="45" t="n">
        <f aca="false">DATE(YEAR(B3783),MONTH(B3783),1)</f>
        <v>46235</v>
      </c>
      <c r="M3783" s="31" t="n">
        <f aca="false">WEEKDAY(B3783,2)</f>
        <v>5</v>
      </c>
      <c r="N3783" s="31" t="str">
        <f aca="false">IF(G3783&lt;=INDEX(Assumptions!$B$15:$B$18,MATCH(E3783,Assumptions!$A$15:$A$18,0)),"Yes","No")</f>
        <v>Yes</v>
      </c>
      <c r="O3783" s="31" t="str">
        <f aca="false">IF(H3783="","Open",IF(H3783&lt;=INDEX(Assumptions!$C$15:$C$18,MATCH(E3783,Assumptions!$A$15:$A$18,0)),"Yes","No"))</f>
        <v>Yes</v>
      </c>
    </row>
    <row r="3784" customFormat="false" ht="15" hidden="false" customHeight="false" outlineLevel="0" collapsed="false">
      <c r="A3784" s="31" t="s">
        <v>3934</v>
      </c>
      <c r="B3784" s="44" t="n">
        <v>46255</v>
      </c>
      <c r="C3784" s="31" t="s">
        <v>58</v>
      </c>
      <c r="D3784" s="31" t="s">
        <v>66</v>
      </c>
      <c r="E3784" s="31" t="s">
        <v>50</v>
      </c>
      <c r="F3784" s="31" t="s">
        <v>124</v>
      </c>
      <c r="G3784" s="31" t="n">
        <v>8</v>
      </c>
      <c r="H3784" s="41" t="n">
        <v>3.3</v>
      </c>
      <c r="I3784" s="31" t="s">
        <v>149</v>
      </c>
      <c r="J3784" s="31"/>
      <c r="K3784" s="31" t="s">
        <v>150</v>
      </c>
      <c r="L3784" s="45" t="n">
        <f aca="false">DATE(YEAR(B3784),MONTH(B3784),1)</f>
        <v>46235</v>
      </c>
      <c r="M3784" s="31" t="n">
        <f aca="false">WEEKDAY(B3784,2)</f>
        <v>5</v>
      </c>
      <c r="N3784" s="31" t="str">
        <f aca="false">IF(G3784&lt;=INDEX(Assumptions!$B$15:$B$18,MATCH(E3784,Assumptions!$A$15:$A$18,0)),"Yes","No")</f>
        <v>Yes</v>
      </c>
      <c r="O3784" s="31" t="str">
        <f aca="false">IF(H3784="","Open",IF(H3784&lt;=INDEX(Assumptions!$C$15:$C$18,MATCH(E3784,Assumptions!$A$15:$A$18,0)),"Yes","No"))</f>
        <v>Yes</v>
      </c>
    </row>
    <row r="3785" customFormat="false" ht="15" hidden="false" customHeight="false" outlineLevel="0" collapsed="false">
      <c r="A3785" s="31" t="s">
        <v>3935</v>
      </c>
      <c r="B3785" s="44" t="n">
        <v>46255</v>
      </c>
      <c r="C3785" s="31" t="s">
        <v>57</v>
      </c>
      <c r="D3785" s="31" t="s">
        <v>67</v>
      </c>
      <c r="E3785" s="31" t="s">
        <v>52</v>
      </c>
      <c r="F3785" s="31" t="s">
        <v>127</v>
      </c>
      <c r="G3785" s="31" t="n">
        <v>7</v>
      </c>
      <c r="H3785" s="41" t="n">
        <v>10.7</v>
      </c>
      <c r="I3785" s="31" t="s">
        <v>149</v>
      </c>
      <c r="J3785" s="31"/>
      <c r="K3785" s="31" t="s">
        <v>150</v>
      </c>
      <c r="L3785" s="45" t="n">
        <f aca="false">DATE(YEAR(B3785),MONTH(B3785),1)</f>
        <v>46235</v>
      </c>
      <c r="M3785" s="31" t="n">
        <f aca="false">WEEKDAY(B3785,2)</f>
        <v>5</v>
      </c>
      <c r="N3785" s="31" t="str">
        <f aca="false">IF(G3785&lt;=INDEX(Assumptions!$B$15:$B$18,MATCH(E3785,Assumptions!$A$15:$A$18,0)),"Yes","No")</f>
        <v>Yes</v>
      </c>
      <c r="O3785" s="31" t="str">
        <f aca="false">IF(H3785="","Open",IF(H3785&lt;=INDEX(Assumptions!$C$15:$C$18,MATCH(E3785,Assumptions!$A$15:$A$18,0)),"Yes","No"))</f>
        <v>Yes</v>
      </c>
    </row>
    <row r="3786" customFormat="false" ht="15" hidden="false" customHeight="false" outlineLevel="0" collapsed="false">
      <c r="A3786" s="31" t="s">
        <v>3936</v>
      </c>
      <c r="B3786" s="44" t="n">
        <v>46255</v>
      </c>
      <c r="C3786" s="31" t="s">
        <v>57</v>
      </c>
      <c r="D3786" s="31" t="s">
        <v>65</v>
      </c>
      <c r="E3786" s="31" t="s">
        <v>49</v>
      </c>
      <c r="F3786" s="31" t="s">
        <v>134</v>
      </c>
      <c r="G3786" s="31" t="n">
        <v>5</v>
      </c>
      <c r="H3786" s="41" t="n">
        <v>8.2</v>
      </c>
      <c r="I3786" s="31" t="s">
        <v>149</v>
      </c>
      <c r="J3786" s="31" t="n">
        <v>3</v>
      </c>
      <c r="K3786" s="31" t="s">
        <v>153</v>
      </c>
      <c r="L3786" s="45" t="n">
        <f aca="false">DATE(YEAR(B3786),MONTH(B3786),1)</f>
        <v>46235</v>
      </c>
      <c r="M3786" s="31" t="n">
        <f aca="false">WEEKDAY(B3786,2)</f>
        <v>5</v>
      </c>
      <c r="N3786" s="31" t="str">
        <f aca="false">IF(G3786&lt;=INDEX(Assumptions!$B$15:$B$18,MATCH(E3786,Assumptions!$A$15:$A$18,0)),"Yes","No")</f>
        <v>Yes</v>
      </c>
      <c r="O3786" s="31" t="str">
        <f aca="false">IF(H3786="","Open",IF(H3786&lt;=INDEX(Assumptions!$C$15:$C$18,MATCH(E3786,Assumptions!$A$15:$A$18,0)),"Yes","No"))</f>
        <v>No</v>
      </c>
    </row>
    <row r="3787" customFormat="false" ht="15" hidden="false" customHeight="false" outlineLevel="0" collapsed="false">
      <c r="A3787" s="31" t="s">
        <v>3937</v>
      </c>
      <c r="B3787" s="44" t="n">
        <v>46255</v>
      </c>
      <c r="C3787" s="31" t="s">
        <v>60</v>
      </c>
      <c r="D3787" s="31" t="s">
        <v>67</v>
      </c>
      <c r="E3787" s="31" t="s">
        <v>52</v>
      </c>
      <c r="F3787" s="31" t="s">
        <v>131</v>
      </c>
      <c r="G3787" s="31" t="n">
        <v>2</v>
      </c>
      <c r="H3787" s="41" t="n">
        <v>33.7</v>
      </c>
      <c r="I3787" s="31" t="s">
        <v>149</v>
      </c>
      <c r="J3787" s="31" t="n">
        <v>5</v>
      </c>
      <c r="K3787" s="31" t="s">
        <v>150</v>
      </c>
      <c r="L3787" s="45" t="n">
        <f aca="false">DATE(YEAR(B3787),MONTH(B3787),1)</f>
        <v>46235</v>
      </c>
      <c r="M3787" s="31" t="n">
        <f aca="false">WEEKDAY(B3787,2)</f>
        <v>5</v>
      </c>
      <c r="N3787" s="31" t="str">
        <f aca="false">IF(G3787&lt;=INDEX(Assumptions!$B$15:$B$18,MATCH(E3787,Assumptions!$A$15:$A$18,0)),"Yes","No")</f>
        <v>Yes</v>
      </c>
      <c r="O3787" s="31" t="str">
        <f aca="false">IF(H3787="","Open",IF(H3787&lt;=INDEX(Assumptions!$C$15:$C$18,MATCH(E3787,Assumptions!$A$15:$A$18,0)),"Yes","No"))</f>
        <v>Yes</v>
      </c>
    </row>
    <row r="3788" customFormat="false" ht="15" hidden="false" customHeight="false" outlineLevel="0" collapsed="false">
      <c r="A3788" s="31" t="s">
        <v>3938</v>
      </c>
      <c r="B3788" s="44" t="n">
        <v>46255</v>
      </c>
      <c r="C3788" s="31" t="s">
        <v>59</v>
      </c>
      <c r="D3788" s="31" t="s">
        <v>65</v>
      </c>
      <c r="E3788" s="31" t="s">
        <v>50</v>
      </c>
      <c r="F3788" s="31" t="s">
        <v>124</v>
      </c>
      <c r="G3788" s="31" t="n">
        <v>16</v>
      </c>
      <c r="H3788" s="41" t="n">
        <v>5.2</v>
      </c>
      <c r="I3788" s="31" t="s">
        <v>149</v>
      </c>
      <c r="J3788" s="31" t="n">
        <v>4</v>
      </c>
      <c r="K3788" s="31" t="s">
        <v>150</v>
      </c>
      <c r="L3788" s="45" t="n">
        <f aca="false">DATE(YEAR(B3788),MONTH(B3788),1)</f>
        <v>46235</v>
      </c>
      <c r="M3788" s="31" t="n">
        <f aca="false">WEEKDAY(B3788,2)</f>
        <v>5</v>
      </c>
      <c r="N3788" s="31" t="str">
        <f aca="false">IF(G3788&lt;=INDEX(Assumptions!$B$15:$B$18,MATCH(E3788,Assumptions!$A$15:$A$18,0)),"Yes","No")</f>
        <v>Yes</v>
      </c>
      <c r="O3788" s="31" t="str">
        <f aca="false">IF(H3788="","Open",IF(H3788&lt;=INDEX(Assumptions!$C$15:$C$18,MATCH(E3788,Assumptions!$A$15:$A$18,0)),"Yes","No"))</f>
        <v>Yes</v>
      </c>
    </row>
    <row r="3789" customFormat="false" ht="15" hidden="false" customHeight="false" outlineLevel="0" collapsed="false">
      <c r="A3789" s="31" t="s">
        <v>3939</v>
      </c>
      <c r="B3789" s="44" t="n">
        <v>46255</v>
      </c>
      <c r="C3789" s="31" t="s">
        <v>57</v>
      </c>
      <c r="D3789" s="31" t="s">
        <v>65</v>
      </c>
      <c r="E3789" s="31" t="s">
        <v>51</v>
      </c>
      <c r="F3789" s="31" t="s">
        <v>123</v>
      </c>
      <c r="G3789" s="31" t="n">
        <v>3</v>
      </c>
      <c r="H3789" s="41" t="n">
        <v>4.5</v>
      </c>
      <c r="I3789" s="31" t="s">
        <v>149</v>
      </c>
      <c r="J3789" s="31"/>
      <c r="K3789" s="31" t="s">
        <v>153</v>
      </c>
      <c r="L3789" s="45" t="n">
        <f aca="false">DATE(YEAR(B3789),MONTH(B3789),1)</f>
        <v>46235</v>
      </c>
      <c r="M3789" s="31" t="n">
        <f aca="false">WEEKDAY(B3789,2)</f>
        <v>5</v>
      </c>
      <c r="N3789" s="31" t="str">
        <f aca="false">IF(G3789&lt;=INDEX(Assumptions!$B$15:$B$18,MATCH(E3789,Assumptions!$A$15:$A$18,0)),"Yes","No")</f>
        <v>Yes</v>
      </c>
      <c r="O3789" s="31" t="str">
        <f aca="false">IF(H3789="","Open",IF(H3789&lt;=INDEX(Assumptions!$C$15:$C$18,MATCH(E3789,Assumptions!$A$15:$A$18,0)),"Yes","No"))</f>
        <v>Yes</v>
      </c>
    </row>
    <row r="3790" customFormat="false" ht="15" hidden="false" customHeight="false" outlineLevel="0" collapsed="false">
      <c r="A3790" s="31" t="s">
        <v>3940</v>
      </c>
      <c r="B3790" s="44" t="n">
        <v>46255</v>
      </c>
      <c r="C3790" s="31" t="s">
        <v>57</v>
      </c>
      <c r="D3790" s="31" t="s">
        <v>68</v>
      </c>
      <c r="E3790" s="31" t="s">
        <v>52</v>
      </c>
      <c r="F3790" s="31" t="s">
        <v>123</v>
      </c>
      <c r="G3790" s="31" t="n">
        <v>2</v>
      </c>
      <c r="H3790" s="41" t="n">
        <v>38.2</v>
      </c>
      <c r="I3790" s="31" t="s">
        <v>64</v>
      </c>
      <c r="J3790" s="31" t="n">
        <v>3</v>
      </c>
      <c r="K3790" s="31" t="s">
        <v>150</v>
      </c>
      <c r="L3790" s="45" t="n">
        <f aca="false">DATE(YEAR(B3790),MONTH(B3790),1)</f>
        <v>46235</v>
      </c>
      <c r="M3790" s="31" t="n">
        <f aca="false">WEEKDAY(B3790,2)</f>
        <v>5</v>
      </c>
      <c r="N3790" s="31" t="str">
        <f aca="false">IF(G3790&lt;=INDEX(Assumptions!$B$15:$B$18,MATCH(E3790,Assumptions!$A$15:$A$18,0)),"Yes","No")</f>
        <v>Yes</v>
      </c>
      <c r="O3790" s="31" t="str">
        <f aca="false">IF(H3790="","Open",IF(H3790&lt;=INDEX(Assumptions!$C$15:$C$18,MATCH(E3790,Assumptions!$A$15:$A$18,0)),"Yes","No"))</f>
        <v>Yes</v>
      </c>
    </row>
    <row r="3791" customFormat="false" ht="15" hidden="false" customHeight="false" outlineLevel="0" collapsed="false">
      <c r="A3791" s="31" t="s">
        <v>3941</v>
      </c>
      <c r="B3791" s="44" t="n">
        <v>46255</v>
      </c>
      <c r="C3791" s="31" t="s">
        <v>58</v>
      </c>
      <c r="D3791" s="31" t="s">
        <v>65</v>
      </c>
      <c r="E3791" s="31" t="s">
        <v>50</v>
      </c>
      <c r="F3791" s="31" t="s">
        <v>122</v>
      </c>
      <c r="G3791" s="31" t="n">
        <v>6</v>
      </c>
      <c r="H3791" s="41" t="n">
        <v>6.1</v>
      </c>
      <c r="I3791" s="31" t="s">
        <v>149</v>
      </c>
      <c r="J3791" s="31" t="n">
        <v>5</v>
      </c>
      <c r="K3791" s="31" t="s">
        <v>150</v>
      </c>
      <c r="L3791" s="45" t="n">
        <f aca="false">DATE(YEAR(B3791),MONTH(B3791),1)</f>
        <v>46235</v>
      </c>
      <c r="M3791" s="31" t="n">
        <f aca="false">WEEKDAY(B3791,2)</f>
        <v>5</v>
      </c>
      <c r="N3791" s="31" t="str">
        <f aca="false">IF(G3791&lt;=INDEX(Assumptions!$B$15:$B$18,MATCH(E3791,Assumptions!$A$15:$A$18,0)),"Yes","No")</f>
        <v>Yes</v>
      </c>
      <c r="O3791" s="31" t="str">
        <f aca="false">IF(H3791="","Open",IF(H3791&lt;=INDEX(Assumptions!$C$15:$C$18,MATCH(E3791,Assumptions!$A$15:$A$18,0)),"Yes","No"))</f>
        <v>Yes</v>
      </c>
    </row>
    <row r="3792" customFormat="false" ht="15" hidden="false" customHeight="false" outlineLevel="0" collapsed="false">
      <c r="A3792" s="31" t="s">
        <v>3942</v>
      </c>
      <c r="B3792" s="44" t="n">
        <v>46255</v>
      </c>
      <c r="C3792" s="31" t="s">
        <v>58</v>
      </c>
      <c r="D3792" s="31" t="s">
        <v>66</v>
      </c>
      <c r="E3792" s="31" t="s">
        <v>52</v>
      </c>
      <c r="F3792" s="31" t="s">
        <v>123</v>
      </c>
      <c r="G3792" s="31" t="n">
        <v>7</v>
      </c>
      <c r="H3792" s="41" t="n">
        <v>5.3</v>
      </c>
      <c r="I3792" s="31" t="s">
        <v>149</v>
      </c>
      <c r="J3792" s="31"/>
      <c r="K3792" s="31" t="s">
        <v>150</v>
      </c>
      <c r="L3792" s="45" t="n">
        <f aca="false">DATE(YEAR(B3792),MONTH(B3792),1)</f>
        <v>46235</v>
      </c>
      <c r="M3792" s="31" t="n">
        <f aca="false">WEEKDAY(B3792,2)</f>
        <v>5</v>
      </c>
      <c r="N3792" s="31" t="str">
        <f aca="false">IF(G3792&lt;=INDEX(Assumptions!$B$15:$B$18,MATCH(E3792,Assumptions!$A$15:$A$18,0)),"Yes","No")</f>
        <v>Yes</v>
      </c>
      <c r="O3792" s="31" t="str">
        <f aca="false">IF(H3792="","Open",IF(H3792&lt;=INDEX(Assumptions!$C$15:$C$18,MATCH(E3792,Assumptions!$A$15:$A$18,0)),"Yes","No"))</f>
        <v>Yes</v>
      </c>
    </row>
    <row r="3793" customFormat="false" ht="15" hidden="false" customHeight="false" outlineLevel="0" collapsed="false">
      <c r="A3793" s="31" t="s">
        <v>3943</v>
      </c>
      <c r="B3793" s="44" t="n">
        <v>46255</v>
      </c>
      <c r="C3793" s="31" t="s">
        <v>60</v>
      </c>
      <c r="D3793" s="31" t="s">
        <v>68</v>
      </c>
      <c r="E3793" s="31" t="s">
        <v>51</v>
      </c>
      <c r="F3793" s="31" t="s">
        <v>123</v>
      </c>
      <c r="G3793" s="31" t="n">
        <v>3</v>
      </c>
      <c r="H3793" s="41" t="n">
        <v>3</v>
      </c>
      <c r="I3793" s="31" t="s">
        <v>149</v>
      </c>
      <c r="J3793" s="31"/>
      <c r="K3793" s="31" t="s">
        <v>150</v>
      </c>
      <c r="L3793" s="45" t="n">
        <f aca="false">DATE(YEAR(B3793),MONTH(B3793),1)</f>
        <v>46235</v>
      </c>
      <c r="M3793" s="31" t="n">
        <f aca="false">WEEKDAY(B3793,2)</f>
        <v>5</v>
      </c>
      <c r="N3793" s="31" t="str">
        <f aca="false">IF(G3793&lt;=INDEX(Assumptions!$B$15:$B$18,MATCH(E3793,Assumptions!$A$15:$A$18,0)),"Yes","No")</f>
        <v>Yes</v>
      </c>
      <c r="O3793" s="31" t="str">
        <f aca="false">IF(H3793="","Open",IF(H3793&lt;=INDEX(Assumptions!$C$15:$C$18,MATCH(E3793,Assumptions!$A$15:$A$18,0)),"Yes","No"))</f>
        <v>Yes</v>
      </c>
    </row>
    <row r="3794" customFormat="false" ht="15" hidden="false" customHeight="false" outlineLevel="0" collapsed="false">
      <c r="A3794" s="31" t="s">
        <v>3944</v>
      </c>
      <c r="B3794" s="44" t="n">
        <v>46255</v>
      </c>
      <c r="C3794" s="31" t="s">
        <v>58</v>
      </c>
      <c r="D3794" s="31" t="s">
        <v>67</v>
      </c>
      <c r="E3794" s="31" t="s">
        <v>52</v>
      </c>
      <c r="F3794" s="31" t="s">
        <v>136</v>
      </c>
      <c r="G3794" s="31" t="n">
        <v>21</v>
      </c>
      <c r="H3794" s="41" t="n">
        <v>19.2</v>
      </c>
      <c r="I3794" s="31" t="s">
        <v>149</v>
      </c>
      <c r="J3794" s="31" t="n">
        <v>5</v>
      </c>
      <c r="K3794" s="31" t="s">
        <v>150</v>
      </c>
      <c r="L3794" s="45" t="n">
        <f aca="false">DATE(YEAR(B3794),MONTH(B3794),1)</f>
        <v>46235</v>
      </c>
      <c r="M3794" s="31" t="n">
        <f aca="false">WEEKDAY(B3794,2)</f>
        <v>5</v>
      </c>
      <c r="N3794" s="31" t="str">
        <f aca="false">IF(G3794&lt;=INDEX(Assumptions!$B$15:$B$18,MATCH(E3794,Assumptions!$A$15:$A$18,0)),"Yes","No")</f>
        <v>Yes</v>
      </c>
      <c r="O3794" s="31" t="str">
        <f aca="false">IF(H3794="","Open",IF(H3794&lt;=INDEX(Assumptions!$C$15:$C$18,MATCH(E3794,Assumptions!$A$15:$A$18,0)),"Yes","No"))</f>
        <v>Yes</v>
      </c>
    </row>
    <row r="3795" customFormat="false" ht="15" hidden="false" customHeight="false" outlineLevel="0" collapsed="false">
      <c r="A3795" s="31" t="s">
        <v>3945</v>
      </c>
      <c r="B3795" s="44" t="n">
        <v>46255</v>
      </c>
      <c r="C3795" s="31" t="s">
        <v>57</v>
      </c>
      <c r="D3795" s="31" t="s">
        <v>66</v>
      </c>
      <c r="E3795" s="31" t="s">
        <v>52</v>
      </c>
      <c r="F3795" s="31" t="s">
        <v>119</v>
      </c>
      <c r="G3795" s="31" t="n">
        <v>1</v>
      </c>
      <c r="H3795" s="41" t="n">
        <v>9.8</v>
      </c>
      <c r="I3795" s="31" t="s">
        <v>149</v>
      </c>
      <c r="J3795" s="31"/>
      <c r="K3795" s="31" t="s">
        <v>150</v>
      </c>
      <c r="L3795" s="45" t="n">
        <f aca="false">DATE(YEAR(B3795),MONTH(B3795),1)</f>
        <v>46235</v>
      </c>
      <c r="M3795" s="31" t="n">
        <f aca="false">WEEKDAY(B3795,2)</f>
        <v>5</v>
      </c>
      <c r="N3795" s="31" t="str">
        <f aca="false">IF(G3795&lt;=INDEX(Assumptions!$B$15:$B$18,MATCH(E3795,Assumptions!$A$15:$A$18,0)),"Yes","No")</f>
        <v>Yes</v>
      </c>
      <c r="O3795" s="31" t="str">
        <f aca="false">IF(H3795="","Open",IF(H3795&lt;=INDEX(Assumptions!$C$15:$C$18,MATCH(E3795,Assumptions!$A$15:$A$18,0)),"Yes","No"))</f>
        <v>Yes</v>
      </c>
    </row>
    <row r="3796" customFormat="false" ht="15" hidden="false" customHeight="false" outlineLevel="0" collapsed="false">
      <c r="A3796" s="31" t="s">
        <v>3946</v>
      </c>
      <c r="B3796" s="44" t="n">
        <v>46255</v>
      </c>
      <c r="C3796" s="31" t="s">
        <v>58</v>
      </c>
      <c r="D3796" s="31" t="s">
        <v>65</v>
      </c>
      <c r="E3796" s="31" t="s">
        <v>51</v>
      </c>
      <c r="F3796" s="31" t="s">
        <v>134</v>
      </c>
      <c r="G3796" s="31" t="n">
        <v>29</v>
      </c>
      <c r="H3796" s="41" t="n">
        <v>6.9</v>
      </c>
      <c r="I3796" s="31" t="s">
        <v>149</v>
      </c>
      <c r="J3796" s="31"/>
      <c r="K3796" s="31" t="s">
        <v>150</v>
      </c>
      <c r="L3796" s="45" t="n">
        <f aca="false">DATE(YEAR(B3796),MONTH(B3796),1)</f>
        <v>46235</v>
      </c>
      <c r="M3796" s="31" t="n">
        <f aca="false">WEEKDAY(B3796,2)</f>
        <v>5</v>
      </c>
      <c r="N3796" s="31" t="str">
        <f aca="false">IF(G3796&lt;=INDEX(Assumptions!$B$15:$B$18,MATCH(E3796,Assumptions!$A$15:$A$18,0)),"Yes","No")</f>
        <v>Yes</v>
      </c>
      <c r="O3796" s="31" t="str">
        <f aca="false">IF(H3796="","Open",IF(H3796&lt;=INDEX(Assumptions!$C$15:$C$18,MATCH(E3796,Assumptions!$A$15:$A$18,0)),"Yes","No"))</f>
        <v>Yes</v>
      </c>
    </row>
    <row r="3797" customFormat="false" ht="15" hidden="false" customHeight="false" outlineLevel="0" collapsed="false">
      <c r="A3797" s="31" t="s">
        <v>3947</v>
      </c>
      <c r="B3797" s="44" t="n">
        <v>46255</v>
      </c>
      <c r="C3797" s="31" t="s">
        <v>58</v>
      </c>
      <c r="D3797" s="31" t="s">
        <v>66</v>
      </c>
      <c r="E3797" s="31" t="s">
        <v>51</v>
      </c>
      <c r="F3797" s="31" t="s">
        <v>124</v>
      </c>
      <c r="G3797" s="31" t="n">
        <v>5</v>
      </c>
      <c r="H3797" s="41" t="n">
        <v>8</v>
      </c>
      <c r="I3797" s="31" t="s">
        <v>64</v>
      </c>
      <c r="J3797" s="31" t="n">
        <v>4</v>
      </c>
      <c r="K3797" s="31" t="s">
        <v>153</v>
      </c>
      <c r="L3797" s="45" t="n">
        <f aca="false">DATE(YEAR(B3797),MONTH(B3797),1)</f>
        <v>46235</v>
      </c>
      <c r="M3797" s="31" t="n">
        <f aca="false">WEEKDAY(B3797,2)</f>
        <v>5</v>
      </c>
      <c r="N3797" s="31" t="str">
        <f aca="false">IF(G3797&lt;=INDEX(Assumptions!$B$15:$B$18,MATCH(E3797,Assumptions!$A$15:$A$18,0)),"Yes","No")</f>
        <v>Yes</v>
      </c>
      <c r="O3797" s="31" t="str">
        <f aca="false">IF(H3797="","Open",IF(H3797&lt;=INDEX(Assumptions!$C$15:$C$18,MATCH(E3797,Assumptions!$A$15:$A$18,0)),"Yes","No"))</f>
        <v>Yes</v>
      </c>
    </row>
    <row r="3798" customFormat="false" ht="15" hidden="false" customHeight="false" outlineLevel="0" collapsed="false">
      <c r="A3798" s="31" t="s">
        <v>3948</v>
      </c>
      <c r="B3798" s="44" t="n">
        <v>46255</v>
      </c>
      <c r="C3798" s="31" t="s">
        <v>58</v>
      </c>
      <c r="D3798" s="31" t="s">
        <v>67</v>
      </c>
      <c r="E3798" s="31" t="s">
        <v>49</v>
      </c>
      <c r="F3798" s="31" t="s">
        <v>134</v>
      </c>
      <c r="G3798" s="31" t="n">
        <v>9</v>
      </c>
      <c r="H3798" s="41" t="n">
        <v>12.5</v>
      </c>
      <c r="I3798" s="31" t="s">
        <v>149</v>
      </c>
      <c r="J3798" s="31"/>
      <c r="K3798" s="31" t="s">
        <v>150</v>
      </c>
      <c r="L3798" s="45" t="n">
        <f aca="false">DATE(YEAR(B3798),MONTH(B3798),1)</f>
        <v>46235</v>
      </c>
      <c r="M3798" s="31" t="n">
        <f aca="false">WEEKDAY(B3798,2)</f>
        <v>5</v>
      </c>
      <c r="N3798" s="31" t="str">
        <f aca="false">IF(G3798&lt;=INDEX(Assumptions!$B$15:$B$18,MATCH(E3798,Assumptions!$A$15:$A$18,0)),"Yes","No")</f>
        <v>Yes</v>
      </c>
      <c r="O3798" s="31" t="str">
        <f aca="false">IF(H3798="","Open",IF(H3798&lt;=INDEX(Assumptions!$C$15:$C$18,MATCH(E3798,Assumptions!$A$15:$A$18,0)),"Yes","No"))</f>
        <v>No</v>
      </c>
    </row>
    <row r="3799" customFormat="false" ht="15" hidden="false" customHeight="false" outlineLevel="0" collapsed="false">
      <c r="A3799" s="31" t="s">
        <v>3949</v>
      </c>
      <c r="B3799" s="44" t="n">
        <v>46255</v>
      </c>
      <c r="C3799" s="31" t="s">
        <v>60</v>
      </c>
      <c r="D3799" s="31" t="s">
        <v>65</v>
      </c>
      <c r="E3799" s="31" t="s">
        <v>52</v>
      </c>
      <c r="F3799" s="31" t="s">
        <v>127</v>
      </c>
      <c r="G3799" s="31" t="n">
        <v>2</v>
      </c>
      <c r="H3799" s="41" t="n">
        <v>13.8</v>
      </c>
      <c r="I3799" s="31" t="s">
        <v>149</v>
      </c>
      <c r="J3799" s="31"/>
      <c r="K3799" s="31" t="s">
        <v>150</v>
      </c>
      <c r="L3799" s="45" t="n">
        <f aca="false">DATE(YEAR(B3799),MONTH(B3799),1)</f>
        <v>46235</v>
      </c>
      <c r="M3799" s="31" t="n">
        <f aca="false">WEEKDAY(B3799,2)</f>
        <v>5</v>
      </c>
      <c r="N3799" s="31" t="str">
        <f aca="false">IF(G3799&lt;=INDEX(Assumptions!$B$15:$B$18,MATCH(E3799,Assumptions!$A$15:$A$18,0)),"Yes","No")</f>
        <v>Yes</v>
      </c>
      <c r="O3799" s="31" t="str">
        <f aca="false">IF(H3799="","Open",IF(H3799&lt;=INDEX(Assumptions!$C$15:$C$18,MATCH(E3799,Assumptions!$A$15:$A$18,0)),"Yes","No"))</f>
        <v>Yes</v>
      </c>
    </row>
    <row r="3800" customFormat="false" ht="15" hidden="false" customHeight="false" outlineLevel="0" collapsed="false">
      <c r="A3800" s="31" t="s">
        <v>3950</v>
      </c>
      <c r="B3800" s="44" t="n">
        <v>46255</v>
      </c>
      <c r="C3800" s="31" t="s">
        <v>58</v>
      </c>
      <c r="D3800" s="31" t="s">
        <v>65</v>
      </c>
      <c r="E3800" s="31" t="s">
        <v>51</v>
      </c>
      <c r="F3800" s="31" t="s">
        <v>124</v>
      </c>
      <c r="G3800" s="31" t="n">
        <v>3</v>
      </c>
      <c r="H3800" s="41" t="n">
        <v>25.1</v>
      </c>
      <c r="I3800" s="31" t="s">
        <v>149</v>
      </c>
      <c r="J3800" s="31" t="n">
        <v>4</v>
      </c>
      <c r="K3800" s="31" t="s">
        <v>150</v>
      </c>
      <c r="L3800" s="45" t="n">
        <f aca="false">DATE(YEAR(B3800),MONTH(B3800),1)</f>
        <v>46235</v>
      </c>
      <c r="M3800" s="31" t="n">
        <f aca="false">WEEKDAY(B3800,2)</f>
        <v>5</v>
      </c>
      <c r="N3800" s="31" t="str">
        <f aca="false">IF(G3800&lt;=INDEX(Assumptions!$B$15:$B$18,MATCH(E3800,Assumptions!$A$15:$A$18,0)),"Yes","No")</f>
        <v>Yes</v>
      </c>
      <c r="O3800" s="31" t="str">
        <f aca="false">IF(H3800="","Open",IF(H3800&lt;=INDEX(Assumptions!$C$15:$C$18,MATCH(E3800,Assumptions!$A$15:$A$18,0)),"Yes","No"))</f>
        <v>No</v>
      </c>
    </row>
    <row r="3801" customFormat="false" ht="15" hidden="false" customHeight="false" outlineLevel="0" collapsed="false">
      <c r="A3801" s="31" t="s">
        <v>3951</v>
      </c>
      <c r="B3801" s="44" t="n">
        <v>46255</v>
      </c>
      <c r="C3801" s="31" t="s">
        <v>58</v>
      </c>
      <c r="D3801" s="31" t="s">
        <v>65</v>
      </c>
      <c r="E3801" s="31" t="s">
        <v>52</v>
      </c>
      <c r="F3801" s="31" t="s">
        <v>121</v>
      </c>
      <c r="G3801" s="31" t="n">
        <v>26</v>
      </c>
      <c r="H3801" s="41" t="n">
        <v>4.6</v>
      </c>
      <c r="I3801" s="31" t="s">
        <v>149</v>
      </c>
      <c r="J3801" s="31" t="n">
        <v>4</v>
      </c>
      <c r="K3801" s="31" t="s">
        <v>150</v>
      </c>
      <c r="L3801" s="45" t="n">
        <f aca="false">DATE(YEAR(B3801),MONTH(B3801),1)</f>
        <v>46235</v>
      </c>
      <c r="M3801" s="31" t="n">
        <f aca="false">WEEKDAY(B3801,2)</f>
        <v>5</v>
      </c>
      <c r="N3801" s="31" t="str">
        <f aca="false">IF(G3801&lt;=INDEX(Assumptions!$B$15:$B$18,MATCH(E3801,Assumptions!$A$15:$A$18,0)),"Yes","No")</f>
        <v>Yes</v>
      </c>
      <c r="O3801" s="31" t="str">
        <f aca="false">IF(H3801="","Open",IF(H3801&lt;=INDEX(Assumptions!$C$15:$C$18,MATCH(E3801,Assumptions!$A$15:$A$18,0)),"Yes","No"))</f>
        <v>Yes</v>
      </c>
    </row>
    <row r="3802" customFormat="false" ht="15" hidden="false" customHeight="false" outlineLevel="0" collapsed="false">
      <c r="A3802" s="31" t="s">
        <v>3952</v>
      </c>
      <c r="B3802" s="44" t="n">
        <v>46256</v>
      </c>
      <c r="C3802" s="31" t="s">
        <v>58</v>
      </c>
      <c r="D3802" s="31" t="s">
        <v>66</v>
      </c>
      <c r="E3802" s="31" t="s">
        <v>51</v>
      </c>
      <c r="F3802" s="31" t="s">
        <v>137</v>
      </c>
      <c r="G3802" s="31" t="n">
        <v>35</v>
      </c>
      <c r="H3802" s="41" t="n">
        <v>8.3</v>
      </c>
      <c r="I3802" s="31" t="s">
        <v>149</v>
      </c>
      <c r="J3802" s="31"/>
      <c r="K3802" s="31" t="s">
        <v>150</v>
      </c>
      <c r="L3802" s="45" t="n">
        <f aca="false">DATE(YEAR(B3802),MONTH(B3802),1)</f>
        <v>46235</v>
      </c>
      <c r="M3802" s="31" t="n">
        <f aca="false">WEEKDAY(B3802,2)</f>
        <v>6</v>
      </c>
      <c r="N3802" s="31" t="str">
        <f aca="false">IF(G3802&lt;=INDEX(Assumptions!$B$15:$B$18,MATCH(E3802,Assumptions!$A$15:$A$18,0)),"Yes","No")</f>
        <v>Yes</v>
      </c>
      <c r="O3802" s="31" t="str">
        <f aca="false">IF(H3802="","Open",IF(H3802&lt;=INDEX(Assumptions!$C$15:$C$18,MATCH(E3802,Assumptions!$A$15:$A$18,0)),"Yes","No"))</f>
        <v>Yes</v>
      </c>
    </row>
    <row r="3803" customFormat="false" ht="15" hidden="false" customHeight="false" outlineLevel="0" collapsed="false">
      <c r="A3803" s="31" t="s">
        <v>3953</v>
      </c>
      <c r="B3803" s="44" t="n">
        <v>46256</v>
      </c>
      <c r="C3803" s="31" t="s">
        <v>58</v>
      </c>
      <c r="D3803" s="31" t="s">
        <v>67</v>
      </c>
      <c r="E3803" s="31" t="s">
        <v>50</v>
      </c>
      <c r="F3803" s="31" t="s">
        <v>135</v>
      </c>
      <c r="G3803" s="31" t="n">
        <v>14</v>
      </c>
      <c r="H3803" s="41" t="n">
        <v>14.2</v>
      </c>
      <c r="I3803" s="31" t="s">
        <v>149</v>
      </c>
      <c r="J3803" s="31"/>
      <c r="K3803" s="31" t="s">
        <v>150</v>
      </c>
      <c r="L3803" s="45" t="n">
        <f aca="false">DATE(YEAR(B3803),MONTH(B3803),1)</f>
        <v>46235</v>
      </c>
      <c r="M3803" s="31" t="n">
        <f aca="false">WEEKDAY(B3803,2)</f>
        <v>6</v>
      </c>
      <c r="N3803" s="31" t="str">
        <f aca="false">IF(G3803&lt;=INDEX(Assumptions!$B$15:$B$18,MATCH(E3803,Assumptions!$A$15:$A$18,0)),"Yes","No")</f>
        <v>Yes</v>
      </c>
      <c r="O3803" s="31" t="str">
        <f aca="false">IF(H3803="","Open",IF(H3803&lt;=INDEX(Assumptions!$C$15:$C$18,MATCH(E3803,Assumptions!$A$15:$A$18,0)),"Yes","No"))</f>
        <v>No</v>
      </c>
    </row>
    <row r="3804" customFormat="false" ht="15" hidden="false" customHeight="false" outlineLevel="0" collapsed="false">
      <c r="A3804" s="31" t="s">
        <v>3954</v>
      </c>
      <c r="B3804" s="44" t="n">
        <v>46256</v>
      </c>
      <c r="C3804" s="31" t="s">
        <v>58</v>
      </c>
      <c r="D3804" s="31" t="s">
        <v>67</v>
      </c>
      <c r="E3804" s="31" t="s">
        <v>50</v>
      </c>
      <c r="F3804" s="31" t="s">
        <v>126</v>
      </c>
      <c r="G3804" s="31" t="n">
        <v>2</v>
      </c>
      <c r="H3804" s="41"/>
      <c r="I3804" s="31" t="s">
        <v>158</v>
      </c>
      <c r="J3804" s="31"/>
      <c r="K3804" s="31" t="s">
        <v>150</v>
      </c>
      <c r="L3804" s="45" t="n">
        <f aca="false">DATE(YEAR(B3804),MONTH(B3804),1)</f>
        <v>46235</v>
      </c>
      <c r="M3804" s="31" t="n">
        <f aca="false">WEEKDAY(B3804,2)</f>
        <v>6</v>
      </c>
      <c r="N3804" s="31" t="str">
        <f aca="false">IF(G3804&lt;=INDEX(Assumptions!$B$15:$B$18,MATCH(E3804,Assumptions!$A$15:$A$18,0)),"Yes","No")</f>
        <v>Yes</v>
      </c>
      <c r="O3804" s="31" t="str">
        <f aca="false">IF(H3804="","Open",IF(H3804&lt;=INDEX(Assumptions!$C$15:$C$18,MATCH(E3804,Assumptions!$A$15:$A$18,0)),"Yes","No"))</f>
        <v>Open</v>
      </c>
    </row>
    <row r="3805" customFormat="false" ht="15" hidden="false" customHeight="false" outlineLevel="0" collapsed="false">
      <c r="A3805" s="31" t="s">
        <v>3955</v>
      </c>
      <c r="B3805" s="44" t="n">
        <v>46256</v>
      </c>
      <c r="C3805" s="31" t="s">
        <v>57</v>
      </c>
      <c r="D3805" s="31" t="s">
        <v>67</v>
      </c>
      <c r="E3805" s="31" t="s">
        <v>51</v>
      </c>
      <c r="F3805" s="31" t="s">
        <v>120</v>
      </c>
      <c r="G3805" s="31" t="n">
        <v>3</v>
      </c>
      <c r="H3805" s="41" t="n">
        <v>53.6</v>
      </c>
      <c r="I3805" s="31" t="s">
        <v>149</v>
      </c>
      <c r="J3805" s="31" t="n">
        <v>4</v>
      </c>
      <c r="K3805" s="31" t="s">
        <v>150</v>
      </c>
      <c r="L3805" s="45" t="n">
        <f aca="false">DATE(YEAR(B3805),MONTH(B3805),1)</f>
        <v>46235</v>
      </c>
      <c r="M3805" s="31" t="n">
        <f aca="false">WEEKDAY(B3805,2)</f>
        <v>6</v>
      </c>
      <c r="N3805" s="31" t="str">
        <f aca="false">IF(G3805&lt;=INDEX(Assumptions!$B$15:$B$18,MATCH(E3805,Assumptions!$A$15:$A$18,0)),"Yes","No")</f>
        <v>Yes</v>
      </c>
      <c r="O3805" s="31" t="str">
        <f aca="false">IF(H3805="","Open",IF(H3805&lt;=INDEX(Assumptions!$C$15:$C$18,MATCH(E3805,Assumptions!$A$15:$A$18,0)),"Yes","No"))</f>
        <v>No</v>
      </c>
    </row>
    <row r="3806" customFormat="false" ht="15" hidden="false" customHeight="false" outlineLevel="0" collapsed="false">
      <c r="A3806" s="31" t="s">
        <v>3956</v>
      </c>
      <c r="B3806" s="44" t="n">
        <v>46256</v>
      </c>
      <c r="C3806" s="31" t="s">
        <v>59</v>
      </c>
      <c r="D3806" s="31" t="s">
        <v>66</v>
      </c>
      <c r="E3806" s="31" t="s">
        <v>51</v>
      </c>
      <c r="F3806" s="31" t="s">
        <v>131</v>
      </c>
      <c r="G3806" s="31" t="n">
        <v>66</v>
      </c>
      <c r="H3806" s="41" t="n">
        <v>2.9</v>
      </c>
      <c r="I3806" s="31" t="s">
        <v>149</v>
      </c>
      <c r="J3806" s="31"/>
      <c r="K3806" s="31" t="s">
        <v>150</v>
      </c>
      <c r="L3806" s="45" t="n">
        <f aca="false">DATE(YEAR(B3806),MONTH(B3806),1)</f>
        <v>46235</v>
      </c>
      <c r="M3806" s="31" t="n">
        <f aca="false">WEEKDAY(B3806,2)</f>
        <v>6</v>
      </c>
      <c r="N3806" s="31" t="str">
        <f aca="false">IF(G3806&lt;=INDEX(Assumptions!$B$15:$B$18,MATCH(E3806,Assumptions!$A$15:$A$18,0)),"Yes","No")</f>
        <v>No</v>
      </c>
      <c r="O3806" s="31" t="str">
        <f aca="false">IF(H3806="","Open",IF(H3806&lt;=INDEX(Assumptions!$C$15:$C$18,MATCH(E3806,Assumptions!$A$15:$A$18,0)),"Yes","No"))</f>
        <v>Yes</v>
      </c>
    </row>
    <row r="3807" customFormat="false" ht="15" hidden="false" customHeight="false" outlineLevel="0" collapsed="false">
      <c r="A3807" s="31" t="s">
        <v>3957</v>
      </c>
      <c r="B3807" s="44" t="n">
        <v>46256</v>
      </c>
      <c r="C3807" s="31" t="s">
        <v>59</v>
      </c>
      <c r="D3807" s="31" t="s">
        <v>66</v>
      </c>
      <c r="E3807" s="31" t="s">
        <v>51</v>
      </c>
      <c r="F3807" s="31" t="s">
        <v>134</v>
      </c>
      <c r="G3807" s="31" t="n">
        <v>62</v>
      </c>
      <c r="H3807" s="41" t="n">
        <v>3.2</v>
      </c>
      <c r="I3807" s="31" t="s">
        <v>149</v>
      </c>
      <c r="J3807" s="31" t="n">
        <v>4</v>
      </c>
      <c r="K3807" s="31" t="s">
        <v>153</v>
      </c>
      <c r="L3807" s="45" t="n">
        <f aca="false">DATE(YEAR(B3807),MONTH(B3807),1)</f>
        <v>46235</v>
      </c>
      <c r="M3807" s="31" t="n">
        <f aca="false">WEEKDAY(B3807,2)</f>
        <v>6</v>
      </c>
      <c r="N3807" s="31" t="str">
        <f aca="false">IF(G3807&lt;=INDEX(Assumptions!$B$15:$B$18,MATCH(E3807,Assumptions!$A$15:$A$18,0)),"Yes","No")</f>
        <v>No</v>
      </c>
      <c r="O3807" s="31" t="str">
        <f aca="false">IF(H3807="","Open",IF(H3807&lt;=INDEX(Assumptions!$C$15:$C$18,MATCH(E3807,Assumptions!$A$15:$A$18,0)),"Yes","No"))</f>
        <v>Yes</v>
      </c>
    </row>
    <row r="3808" customFormat="false" ht="15" hidden="false" customHeight="false" outlineLevel="0" collapsed="false">
      <c r="A3808" s="31" t="s">
        <v>3958</v>
      </c>
      <c r="B3808" s="44" t="n">
        <v>46256</v>
      </c>
      <c r="C3808" s="31" t="s">
        <v>57</v>
      </c>
      <c r="D3808" s="31" t="s">
        <v>65</v>
      </c>
      <c r="E3808" s="31" t="s">
        <v>51</v>
      </c>
      <c r="F3808" s="31" t="s">
        <v>124</v>
      </c>
      <c r="G3808" s="31" t="n">
        <v>8</v>
      </c>
      <c r="H3808" s="41" t="n">
        <v>6.2</v>
      </c>
      <c r="I3808" s="31" t="s">
        <v>64</v>
      </c>
      <c r="J3808" s="31" t="n">
        <v>3</v>
      </c>
      <c r="K3808" s="31" t="s">
        <v>150</v>
      </c>
      <c r="L3808" s="45" t="n">
        <f aca="false">DATE(YEAR(B3808),MONTH(B3808),1)</f>
        <v>46235</v>
      </c>
      <c r="M3808" s="31" t="n">
        <f aca="false">WEEKDAY(B3808,2)</f>
        <v>6</v>
      </c>
      <c r="N3808" s="31" t="str">
        <f aca="false">IF(G3808&lt;=INDEX(Assumptions!$B$15:$B$18,MATCH(E3808,Assumptions!$A$15:$A$18,0)),"Yes","No")</f>
        <v>Yes</v>
      </c>
      <c r="O3808" s="31" t="str">
        <f aca="false">IF(H3808="","Open",IF(H3808&lt;=INDEX(Assumptions!$C$15:$C$18,MATCH(E3808,Assumptions!$A$15:$A$18,0)),"Yes","No"))</f>
        <v>Yes</v>
      </c>
    </row>
    <row r="3809" customFormat="false" ht="15" hidden="false" customHeight="false" outlineLevel="0" collapsed="false">
      <c r="A3809" s="31" t="s">
        <v>3959</v>
      </c>
      <c r="B3809" s="44" t="n">
        <v>46256</v>
      </c>
      <c r="C3809" s="31" t="s">
        <v>59</v>
      </c>
      <c r="D3809" s="31" t="s">
        <v>66</v>
      </c>
      <c r="E3809" s="31" t="s">
        <v>52</v>
      </c>
      <c r="F3809" s="31" t="s">
        <v>136</v>
      </c>
      <c r="G3809" s="31" t="n">
        <v>36</v>
      </c>
      <c r="H3809" s="41" t="n">
        <v>5.5</v>
      </c>
      <c r="I3809" s="31" t="s">
        <v>149</v>
      </c>
      <c r="J3809" s="31"/>
      <c r="K3809" s="31" t="s">
        <v>150</v>
      </c>
      <c r="L3809" s="45" t="n">
        <f aca="false">DATE(YEAR(B3809),MONTH(B3809),1)</f>
        <v>46235</v>
      </c>
      <c r="M3809" s="31" t="n">
        <f aca="false">WEEKDAY(B3809,2)</f>
        <v>6</v>
      </c>
      <c r="N3809" s="31" t="str">
        <f aca="false">IF(G3809&lt;=INDEX(Assumptions!$B$15:$B$18,MATCH(E3809,Assumptions!$A$15:$A$18,0)),"Yes","No")</f>
        <v>Yes</v>
      </c>
      <c r="O3809" s="31" t="str">
        <f aca="false">IF(H3809="","Open",IF(H3809&lt;=INDEX(Assumptions!$C$15:$C$18,MATCH(E3809,Assumptions!$A$15:$A$18,0)),"Yes","No"))</f>
        <v>Yes</v>
      </c>
    </row>
    <row r="3810" customFormat="false" ht="15" hidden="false" customHeight="false" outlineLevel="0" collapsed="false">
      <c r="A3810" s="31" t="s">
        <v>3960</v>
      </c>
      <c r="B3810" s="44" t="n">
        <v>46256</v>
      </c>
      <c r="C3810" s="31" t="s">
        <v>57</v>
      </c>
      <c r="D3810" s="31" t="s">
        <v>67</v>
      </c>
      <c r="E3810" s="31" t="s">
        <v>51</v>
      </c>
      <c r="F3810" s="31" t="s">
        <v>126</v>
      </c>
      <c r="G3810" s="31" t="n">
        <v>3</v>
      </c>
      <c r="H3810" s="41" t="n">
        <v>22.7</v>
      </c>
      <c r="I3810" s="31" t="s">
        <v>149</v>
      </c>
      <c r="J3810" s="31" t="n">
        <v>5</v>
      </c>
      <c r="K3810" s="31" t="s">
        <v>150</v>
      </c>
      <c r="L3810" s="45" t="n">
        <f aca="false">DATE(YEAR(B3810),MONTH(B3810),1)</f>
        <v>46235</v>
      </c>
      <c r="M3810" s="31" t="n">
        <f aca="false">WEEKDAY(B3810,2)</f>
        <v>6</v>
      </c>
      <c r="N3810" s="31" t="str">
        <f aca="false">IF(G3810&lt;=INDEX(Assumptions!$B$15:$B$18,MATCH(E3810,Assumptions!$A$15:$A$18,0)),"Yes","No")</f>
        <v>Yes</v>
      </c>
      <c r="O3810" s="31" t="str">
        <f aca="false">IF(H3810="","Open",IF(H3810&lt;=INDEX(Assumptions!$C$15:$C$18,MATCH(E3810,Assumptions!$A$15:$A$18,0)),"Yes","No"))</f>
        <v>Yes</v>
      </c>
    </row>
    <row r="3811" customFormat="false" ht="15" hidden="false" customHeight="false" outlineLevel="0" collapsed="false">
      <c r="A3811" s="31" t="s">
        <v>3961</v>
      </c>
      <c r="B3811" s="44" t="n">
        <v>46256</v>
      </c>
      <c r="C3811" s="31" t="s">
        <v>59</v>
      </c>
      <c r="D3811" s="31" t="s">
        <v>66</v>
      </c>
      <c r="E3811" s="31" t="s">
        <v>51</v>
      </c>
      <c r="F3811" s="31" t="s">
        <v>136</v>
      </c>
      <c r="G3811" s="31" t="n">
        <v>114</v>
      </c>
      <c r="H3811" s="41" t="n">
        <v>1.8</v>
      </c>
      <c r="I3811" s="31" t="s">
        <v>149</v>
      </c>
      <c r="J3811" s="31" t="n">
        <v>5</v>
      </c>
      <c r="K3811" s="31" t="s">
        <v>150</v>
      </c>
      <c r="L3811" s="45" t="n">
        <f aca="false">DATE(YEAR(B3811),MONTH(B3811),1)</f>
        <v>46235</v>
      </c>
      <c r="M3811" s="31" t="n">
        <f aca="false">WEEKDAY(B3811,2)</f>
        <v>6</v>
      </c>
      <c r="N3811" s="31" t="str">
        <f aca="false">IF(G3811&lt;=INDEX(Assumptions!$B$15:$B$18,MATCH(E3811,Assumptions!$A$15:$A$18,0)),"Yes","No")</f>
        <v>No</v>
      </c>
      <c r="O3811" s="31" t="str">
        <f aca="false">IF(H3811="","Open",IF(H3811&lt;=INDEX(Assumptions!$C$15:$C$18,MATCH(E3811,Assumptions!$A$15:$A$18,0)),"Yes","No"))</f>
        <v>Yes</v>
      </c>
    </row>
    <row r="3812" customFormat="false" ht="15" hidden="false" customHeight="false" outlineLevel="0" collapsed="false">
      <c r="A3812" s="31" t="s">
        <v>3962</v>
      </c>
      <c r="B3812" s="44" t="n">
        <v>46256</v>
      </c>
      <c r="C3812" s="31" t="s">
        <v>57</v>
      </c>
      <c r="D3812" s="31" t="s">
        <v>65</v>
      </c>
      <c r="E3812" s="31" t="s">
        <v>49</v>
      </c>
      <c r="F3812" s="31" t="s">
        <v>136</v>
      </c>
      <c r="G3812" s="31" t="n">
        <v>1</v>
      </c>
      <c r="H3812" s="41" t="n">
        <v>4.7</v>
      </c>
      <c r="I3812" s="31" t="s">
        <v>149</v>
      </c>
      <c r="J3812" s="31"/>
      <c r="K3812" s="31" t="s">
        <v>150</v>
      </c>
      <c r="L3812" s="45" t="n">
        <f aca="false">DATE(YEAR(B3812),MONTH(B3812),1)</f>
        <v>46235</v>
      </c>
      <c r="M3812" s="31" t="n">
        <f aca="false">WEEKDAY(B3812,2)</f>
        <v>6</v>
      </c>
      <c r="N3812" s="31" t="str">
        <f aca="false">IF(G3812&lt;=INDEX(Assumptions!$B$15:$B$18,MATCH(E3812,Assumptions!$A$15:$A$18,0)),"Yes","No")</f>
        <v>Yes</v>
      </c>
      <c r="O3812" s="31" t="str">
        <f aca="false">IF(H3812="","Open",IF(H3812&lt;=INDEX(Assumptions!$C$15:$C$18,MATCH(E3812,Assumptions!$A$15:$A$18,0)),"Yes","No"))</f>
        <v>No</v>
      </c>
    </row>
    <row r="3813" customFormat="false" ht="15" hidden="false" customHeight="false" outlineLevel="0" collapsed="false">
      <c r="A3813" s="31" t="s">
        <v>3963</v>
      </c>
      <c r="B3813" s="44" t="n">
        <v>46256</v>
      </c>
      <c r="C3813" s="31" t="s">
        <v>60</v>
      </c>
      <c r="D3813" s="31" t="s">
        <v>68</v>
      </c>
      <c r="E3813" s="31" t="s">
        <v>52</v>
      </c>
      <c r="F3813" s="31" t="s">
        <v>133</v>
      </c>
      <c r="G3813" s="31" t="n">
        <v>5</v>
      </c>
      <c r="H3813" s="41" t="n">
        <v>6.3</v>
      </c>
      <c r="I3813" s="31" t="s">
        <v>149</v>
      </c>
      <c r="J3813" s="31" t="n">
        <v>4</v>
      </c>
      <c r="K3813" s="31" t="s">
        <v>150</v>
      </c>
      <c r="L3813" s="45" t="n">
        <f aca="false">DATE(YEAR(B3813),MONTH(B3813),1)</f>
        <v>46235</v>
      </c>
      <c r="M3813" s="31" t="n">
        <f aca="false">WEEKDAY(B3813,2)</f>
        <v>6</v>
      </c>
      <c r="N3813" s="31" t="str">
        <f aca="false">IF(G3813&lt;=INDEX(Assumptions!$B$15:$B$18,MATCH(E3813,Assumptions!$A$15:$A$18,0)),"Yes","No")</f>
        <v>Yes</v>
      </c>
      <c r="O3813" s="31" t="str">
        <f aca="false">IF(H3813="","Open",IF(H3813&lt;=INDEX(Assumptions!$C$15:$C$18,MATCH(E3813,Assumptions!$A$15:$A$18,0)),"Yes","No"))</f>
        <v>Yes</v>
      </c>
    </row>
    <row r="3814" customFormat="false" ht="15" hidden="false" customHeight="false" outlineLevel="0" collapsed="false">
      <c r="A3814" s="31" t="s">
        <v>3964</v>
      </c>
      <c r="B3814" s="44" t="n">
        <v>46256</v>
      </c>
      <c r="C3814" s="31" t="s">
        <v>60</v>
      </c>
      <c r="D3814" s="31" t="s">
        <v>69</v>
      </c>
      <c r="E3814" s="31" t="s">
        <v>51</v>
      </c>
      <c r="F3814" s="31" t="s">
        <v>123</v>
      </c>
      <c r="G3814" s="31" t="n">
        <v>9</v>
      </c>
      <c r="H3814" s="41" t="n">
        <v>13.9</v>
      </c>
      <c r="I3814" s="31" t="s">
        <v>149</v>
      </c>
      <c r="J3814" s="31"/>
      <c r="K3814" s="31" t="s">
        <v>150</v>
      </c>
      <c r="L3814" s="45" t="n">
        <f aca="false">DATE(YEAR(B3814),MONTH(B3814),1)</f>
        <v>46235</v>
      </c>
      <c r="M3814" s="31" t="n">
        <f aca="false">WEEKDAY(B3814,2)</f>
        <v>6</v>
      </c>
      <c r="N3814" s="31" t="str">
        <f aca="false">IF(G3814&lt;=INDEX(Assumptions!$B$15:$B$18,MATCH(E3814,Assumptions!$A$15:$A$18,0)),"Yes","No")</f>
        <v>Yes</v>
      </c>
      <c r="O3814" s="31" t="str">
        <f aca="false">IF(H3814="","Open",IF(H3814&lt;=INDEX(Assumptions!$C$15:$C$18,MATCH(E3814,Assumptions!$A$15:$A$18,0)),"Yes","No"))</f>
        <v>Yes</v>
      </c>
    </row>
    <row r="3815" customFormat="false" ht="15" hidden="false" customHeight="false" outlineLevel="0" collapsed="false">
      <c r="A3815" s="31" t="s">
        <v>3965</v>
      </c>
      <c r="B3815" s="44" t="n">
        <v>46256</v>
      </c>
      <c r="C3815" s="31" t="s">
        <v>60</v>
      </c>
      <c r="D3815" s="31" t="s">
        <v>67</v>
      </c>
      <c r="E3815" s="31" t="s">
        <v>51</v>
      </c>
      <c r="F3815" s="31" t="s">
        <v>135</v>
      </c>
      <c r="G3815" s="31" t="n">
        <v>4</v>
      </c>
      <c r="H3815" s="41" t="n">
        <v>85.7</v>
      </c>
      <c r="I3815" s="31" t="s">
        <v>149</v>
      </c>
      <c r="J3815" s="31" t="n">
        <v>3</v>
      </c>
      <c r="K3815" s="31" t="s">
        <v>150</v>
      </c>
      <c r="L3815" s="45" t="n">
        <f aca="false">DATE(YEAR(B3815),MONTH(B3815),1)</f>
        <v>46235</v>
      </c>
      <c r="M3815" s="31" t="n">
        <f aca="false">WEEKDAY(B3815,2)</f>
        <v>6</v>
      </c>
      <c r="N3815" s="31" t="str">
        <f aca="false">IF(G3815&lt;=INDEX(Assumptions!$B$15:$B$18,MATCH(E3815,Assumptions!$A$15:$A$18,0)),"Yes","No")</f>
        <v>Yes</v>
      </c>
      <c r="O3815" s="31" t="str">
        <f aca="false">IF(H3815="","Open",IF(H3815&lt;=INDEX(Assumptions!$C$15:$C$18,MATCH(E3815,Assumptions!$A$15:$A$18,0)),"Yes","No"))</f>
        <v>No</v>
      </c>
    </row>
    <row r="3816" customFormat="false" ht="15" hidden="false" customHeight="false" outlineLevel="0" collapsed="false">
      <c r="A3816" s="31" t="s">
        <v>3966</v>
      </c>
      <c r="B3816" s="44" t="n">
        <v>46256</v>
      </c>
      <c r="C3816" s="31" t="s">
        <v>60</v>
      </c>
      <c r="D3816" s="31" t="s">
        <v>66</v>
      </c>
      <c r="E3816" s="31" t="s">
        <v>51</v>
      </c>
      <c r="F3816" s="31" t="s">
        <v>121</v>
      </c>
      <c r="G3816" s="31" t="n">
        <v>2</v>
      </c>
      <c r="H3816" s="41" t="n">
        <v>8.1</v>
      </c>
      <c r="I3816" s="31" t="s">
        <v>149</v>
      </c>
      <c r="J3816" s="31" t="n">
        <v>4</v>
      </c>
      <c r="K3816" s="31" t="s">
        <v>150</v>
      </c>
      <c r="L3816" s="45" t="n">
        <f aca="false">DATE(YEAR(B3816),MONTH(B3816),1)</f>
        <v>46235</v>
      </c>
      <c r="M3816" s="31" t="n">
        <f aca="false">WEEKDAY(B3816,2)</f>
        <v>6</v>
      </c>
      <c r="N3816" s="31" t="str">
        <f aca="false">IF(G3816&lt;=INDEX(Assumptions!$B$15:$B$18,MATCH(E3816,Assumptions!$A$15:$A$18,0)),"Yes","No")</f>
        <v>Yes</v>
      </c>
      <c r="O3816" s="31" t="str">
        <f aca="false">IF(H3816="","Open",IF(H3816&lt;=INDEX(Assumptions!$C$15:$C$18,MATCH(E3816,Assumptions!$A$15:$A$18,0)),"Yes","No"))</f>
        <v>Yes</v>
      </c>
    </row>
    <row r="3817" customFormat="false" ht="15" hidden="false" customHeight="false" outlineLevel="0" collapsed="false">
      <c r="A3817" s="31" t="s">
        <v>3967</v>
      </c>
      <c r="B3817" s="44" t="n">
        <v>46256</v>
      </c>
      <c r="C3817" s="31" t="s">
        <v>59</v>
      </c>
      <c r="D3817" s="31" t="s">
        <v>68</v>
      </c>
      <c r="E3817" s="31" t="s">
        <v>51</v>
      </c>
      <c r="F3817" s="31" t="s">
        <v>137</v>
      </c>
      <c r="G3817" s="31" t="n">
        <v>105</v>
      </c>
      <c r="H3817" s="41" t="n">
        <v>6.5</v>
      </c>
      <c r="I3817" s="31" t="s">
        <v>149</v>
      </c>
      <c r="J3817" s="31" t="n">
        <v>4</v>
      </c>
      <c r="K3817" s="31" t="s">
        <v>150</v>
      </c>
      <c r="L3817" s="45" t="n">
        <f aca="false">DATE(YEAR(B3817),MONTH(B3817),1)</f>
        <v>46235</v>
      </c>
      <c r="M3817" s="31" t="n">
        <f aca="false">WEEKDAY(B3817,2)</f>
        <v>6</v>
      </c>
      <c r="N3817" s="31" t="str">
        <f aca="false">IF(G3817&lt;=INDEX(Assumptions!$B$15:$B$18,MATCH(E3817,Assumptions!$A$15:$A$18,0)),"Yes","No")</f>
        <v>No</v>
      </c>
      <c r="O3817" s="31" t="str">
        <f aca="false">IF(H3817="","Open",IF(H3817&lt;=INDEX(Assumptions!$C$15:$C$18,MATCH(E3817,Assumptions!$A$15:$A$18,0)),"Yes","No"))</f>
        <v>Yes</v>
      </c>
    </row>
    <row r="3818" customFormat="false" ht="15" hidden="false" customHeight="false" outlineLevel="0" collapsed="false">
      <c r="A3818" s="31" t="s">
        <v>3968</v>
      </c>
      <c r="B3818" s="44" t="n">
        <v>46256</v>
      </c>
      <c r="C3818" s="31" t="s">
        <v>57</v>
      </c>
      <c r="D3818" s="31" t="s">
        <v>66</v>
      </c>
      <c r="E3818" s="31" t="s">
        <v>50</v>
      </c>
      <c r="F3818" s="31" t="s">
        <v>121</v>
      </c>
      <c r="G3818" s="31" t="n">
        <v>5</v>
      </c>
      <c r="H3818" s="41" t="n">
        <v>2.4</v>
      </c>
      <c r="I3818" s="31" t="s">
        <v>149</v>
      </c>
      <c r="J3818" s="31" t="n">
        <v>5</v>
      </c>
      <c r="K3818" s="31" t="s">
        <v>150</v>
      </c>
      <c r="L3818" s="45" t="n">
        <f aca="false">DATE(YEAR(B3818),MONTH(B3818),1)</f>
        <v>46235</v>
      </c>
      <c r="M3818" s="31" t="n">
        <f aca="false">WEEKDAY(B3818,2)</f>
        <v>6</v>
      </c>
      <c r="N3818" s="31" t="str">
        <f aca="false">IF(G3818&lt;=INDEX(Assumptions!$B$15:$B$18,MATCH(E3818,Assumptions!$A$15:$A$18,0)),"Yes","No")</f>
        <v>Yes</v>
      </c>
      <c r="O3818" s="31" t="str">
        <f aca="false">IF(H3818="","Open",IF(H3818&lt;=INDEX(Assumptions!$C$15:$C$18,MATCH(E3818,Assumptions!$A$15:$A$18,0)),"Yes","No"))</f>
        <v>Yes</v>
      </c>
    </row>
    <row r="3819" customFormat="false" ht="15" hidden="false" customHeight="false" outlineLevel="0" collapsed="false">
      <c r="A3819" s="31" t="s">
        <v>3969</v>
      </c>
      <c r="B3819" s="44" t="n">
        <v>46256</v>
      </c>
      <c r="C3819" s="31" t="s">
        <v>57</v>
      </c>
      <c r="D3819" s="31" t="s">
        <v>65</v>
      </c>
      <c r="E3819" s="31" t="s">
        <v>51</v>
      </c>
      <c r="F3819" s="31" t="s">
        <v>134</v>
      </c>
      <c r="G3819" s="31" t="n">
        <v>4</v>
      </c>
      <c r="H3819" s="41" t="n">
        <v>61.9</v>
      </c>
      <c r="I3819" s="31" t="s">
        <v>149</v>
      </c>
      <c r="J3819" s="31" t="n">
        <v>4</v>
      </c>
      <c r="K3819" s="31" t="s">
        <v>150</v>
      </c>
      <c r="L3819" s="45" t="n">
        <f aca="false">DATE(YEAR(B3819),MONTH(B3819),1)</f>
        <v>46235</v>
      </c>
      <c r="M3819" s="31" t="n">
        <f aca="false">WEEKDAY(B3819,2)</f>
        <v>6</v>
      </c>
      <c r="N3819" s="31" t="str">
        <f aca="false">IF(G3819&lt;=INDEX(Assumptions!$B$15:$B$18,MATCH(E3819,Assumptions!$A$15:$A$18,0)),"Yes","No")</f>
        <v>Yes</v>
      </c>
      <c r="O3819" s="31" t="str">
        <f aca="false">IF(H3819="","Open",IF(H3819&lt;=INDEX(Assumptions!$C$15:$C$18,MATCH(E3819,Assumptions!$A$15:$A$18,0)),"Yes","No"))</f>
        <v>No</v>
      </c>
    </row>
    <row r="3820" customFormat="false" ht="15" hidden="false" customHeight="false" outlineLevel="0" collapsed="false">
      <c r="A3820" s="31" t="s">
        <v>3970</v>
      </c>
      <c r="B3820" s="44" t="n">
        <v>46256</v>
      </c>
      <c r="C3820" s="31" t="s">
        <v>57</v>
      </c>
      <c r="D3820" s="31" t="s">
        <v>65</v>
      </c>
      <c r="E3820" s="31" t="s">
        <v>52</v>
      </c>
      <c r="F3820" s="31" t="s">
        <v>123</v>
      </c>
      <c r="G3820" s="31" t="n">
        <v>7</v>
      </c>
      <c r="H3820" s="41" t="n">
        <v>14.1</v>
      </c>
      <c r="I3820" s="31" t="s">
        <v>149</v>
      </c>
      <c r="J3820" s="31"/>
      <c r="K3820" s="31" t="s">
        <v>153</v>
      </c>
      <c r="L3820" s="45" t="n">
        <f aca="false">DATE(YEAR(B3820),MONTH(B3820),1)</f>
        <v>46235</v>
      </c>
      <c r="M3820" s="31" t="n">
        <f aca="false">WEEKDAY(B3820,2)</f>
        <v>6</v>
      </c>
      <c r="N3820" s="31" t="str">
        <f aca="false">IF(G3820&lt;=INDEX(Assumptions!$B$15:$B$18,MATCH(E3820,Assumptions!$A$15:$A$18,0)),"Yes","No")</f>
        <v>Yes</v>
      </c>
      <c r="O3820" s="31" t="str">
        <f aca="false">IF(H3820="","Open",IF(H3820&lt;=INDEX(Assumptions!$C$15:$C$18,MATCH(E3820,Assumptions!$A$15:$A$18,0)),"Yes","No"))</f>
        <v>Yes</v>
      </c>
    </row>
    <row r="3821" customFormat="false" ht="15" hidden="false" customHeight="false" outlineLevel="0" collapsed="false">
      <c r="A3821" s="31" t="s">
        <v>3971</v>
      </c>
      <c r="B3821" s="44" t="n">
        <v>46256</v>
      </c>
      <c r="C3821" s="31" t="s">
        <v>58</v>
      </c>
      <c r="D3821" s="31" t="s">
        <v>67</v>
      </c>
      <c r="E3821" s="31" t="s">
        <v>49</v>
      </c>
      <c r="F3821" s="31" t="s">
        <v>134</v>
      </c>
      <c r="G3821" s="31" t="n">
        <v>33</v>
      </c>
      <c r="H3821" s="41" t="n">
        <v>4.2</v>
      </c>
      <c r="I3821" s="31" t="s">
        <v>149</v>
      </c>
      <c r="J3821" s="31" t="n">
        <v>3</v>
      </c>
      <c r="K3821" s="31" t="s">
        <v>153</v>
      </c>
      <c r="L3821" s="45" t="n">
        <f aca="false">DATE(YEAR(B3821),MONTH(B3821),1)</f>
        <v>46235</v>
      </c>
      <c r="M3821" s="31" t="n">
        <f aca="false">WEEKDAY(B3821,2)</f>
        <v>6</v>
      </c>
      <c r="N3821" s="31" t="str">
        <f aca="false">IF(G3821&lt;=INDEX(Assumptions!$B$15:$B$18,MATCH(E3821,Assumptions!$A$15:$A$18,0)),"Yes","No")</f>
        <v>No</v>
      </c>
      <c r="O3821" s="31" t="str">
        <f aca="false">IF(H3821="","Open",IF(H3821&lt;=INDEX(Assumptions!$C$15:$C$18,MATCH(E3821,Assumptions!$A$15:$A$18,0)),"Yes","No"))</f>
        <v>No</v>
      </c>
    </row>
    <row r="3822" customFormat="false" ht="15" hidden="false" customHeight="false" outlineLevel="0" collapsed="false">
      <c r="A3822" s="31" t="s">
        <v>3972</v>
      </c>
      <c r="B3822" s="44" t="n">
        <v>46256</v>
      </c>
      <c r="C3822" s="31" t="s">
        <v>59</v>
      </c>
      <c r="D3822" s="31" t="s">
        <v>66</v>
      </c>
      <c r="E3822" s="31" t="s">
        <v>51</v>
      </c>
      <c r="F3822" s="31" t="s">
        <v>117</v>
      </c>
      <c r="G3822" s="31" t="n">
        <v>43</v>
      </c>
      <c r="H3822" s="41" t="n">
        <v>2.3</v>
      </c>
      <c r="I3822" s="31" t="s">
        <v>149</v>
      </c>
      <c r="J3822" s="31" t="n">
        <v>5</v>
      </c>
      <c r="K3822" s="31" t="s">
        <v>150</v>
      </c>
      <c r="L3822" s="45" t="n">
        <f aca="false">DATE(YEAR(B3822),MONTH(B3822),1)</f>
        <v>46235</v>
      </c>
      <c r="M3822" s="31" t="n">
        <f aca="false">WEEKDAY(B3822,2)</f>
        <v>6</v>
      </c>
      <c r="N3822" s="31" t="str">
        <f aca="false">IF(G3822&lt;=INDEX(Assumptions!$B$15:$B$18,MATCH(E3822,Assumptions!$A$15:$A$18,0)),"Yes","No")</f>
        <v>Yes</v>
      </c>
      <c r="O3822" s="31" t="str">
        <f aca="false">IF(H3822="","Open",IF(H3822&lt;=INDEX(Assumptions!$C$15:$C$18,MATCH(E3822,Assumptions!$A$15:$A$18,0)),"Yes","No"))</f>
        <v>Yes</v>
      </c>
    </row>
    <row r="3823" customFormat="false" ht="15" hidden="false" customHeight="false" outlineLevel="0" collapsed="false">
      <c r="A3823" s="31" t="s">
        <v>3973</v>
      </c>
      <c r="B3823" s="44" t="n">
        <v>46256</v>
      </c>
      <c r="C3823" s="31" t="s">
        <v>57</v>
      </c>
      <c r="D3823" s="31" t="s">
        <v>65</v>
      </c>
      <c r="E3823" s="31" t="s">
        <v>51</v>
      </c>
      <c r="F3823" s="31" t="s">
        <v>126</v>
      </c>
      <c r="G3823" s="31" t="n">
        <v>2</v>
      </c>
      <c r="H3823" s="41" t="n">
        <v>7.4</v>
      </c>
      <c r="I3823" s="31" t="s">
        <v>149</v>
      </c>
      <c r="J3823" s="31" t="n">
        <v>4</v>
      </c>
      <c r="K3823" s="31" t="s">
        <v>150</v>
      </c>
      <c r="L3823" s="45" t="n">
        <f aca="false">DATE(YEAR(B3823),MONTH(B3823),1)</f>
        <v>46235</v>
      </c>
      <c r="M3823" s="31" t="n">
        <f aca="false">WEEKDAY(B3823,2)</f>
        <v>6</v>
      </c>
      <c r="N3823" s="31" t="str">
        <f aca="false">IF(G3823&lt;=INDEX(Assumptions!$B$15:$B$18,MATCH(E3823,Assumptions!$A$15:$A$18,0)),"Yes","No")</f>
        <v>Yes</v>
      </c>
      <c r="O3823" s="31" t="str">
        <f aca="false">IF(H3823="","Open",IF(H3823&lt;=INDEX(Assumptions!$C$15:$C$18,MATCH(E3823,Assumptions!$A$15:$A$18,0)),"Yes","No"))</f>
        <v>Yes</v>
      </c>
    </row>
    <row r="3824" customFormat="false" ht="15" hidden="false" customHeight="false" outlineLevel="0" collapsed="false">
      <c r="A3824" s="31" t="s">
        <v>3974</v>
      </c>
      <c r="B3824" s="44" t="n">
        <v>46256</v>
      </c>
      <c r="C3824" s="31" t="s">
        <v>57</v>
      </c>
      <c r="D3824" s="31" t="s">
        <v>65</v>
      </c>
      <c r="E3824" s="31" t="s">
        <v>52</v>
      </c>
      <c r="F3824" s="31" t="s">
        <v>133</v>
      </c>
      <c r="G3824" s="31" t="n">
        <v>12</v>
      </c>
      <c r="H3824" s="41" t="n">
        <v>6.6</v>
      </c>
      <c r="I3824" s="31" t="s">
        <v>149</v>
      </c>
      <c r="J3824" s="31" t="n">
        <v>5</v>
      </c>
      <c r="K3824" s="31" t="s">
        <v>153</v>
      </c>
      <c r="L3824" s="45" t="n">
        <f aca="false">DATE(YEAR(B3824),MONTH(B3824),1)</f>
        <v>46235</v>
      </c>
      <c r="M3824" s="31" t="n">
        <f aca="false">WEEKDAY(B3824,2)</f>
        <v>6</v>
      </c>
      <c r="N3824" s="31" t="str">
        <f aca="false">IF(G3824&lt;=INDEX(Assumptions!$B$15:$B$18,MATCH(E3824,Assumptions!$A$15:$A$18,0)),"Yes","No")</f>
        <v>Yes</v>
      </c>
      <c r="O3824" s="31" t="str">
        <f aca="false">IF(H3824="","Open",IF(H3824&lt;=INDEX(Assumptions!$C$15:$C$18,MATCH(E3824,Assumptions!$A$15:$A$18,0)),"Yes","No"))</f>
        <v>Yes</v>
      </c>
    </row>
    <row r="3825" customFormat="false" ht="15" hidden="false" customHeight="false" outlineLevel="0" collapsed="false">
      <c r="A3825" s="31" t="s">
        <v>3975</v>
      </c>
      <c r="B3825" s="44" t="n">
        <v>46256</v>
      </c>
      <c r="C3825" s="31" t="s">
        <v>57</v>
      </c>
      <c r="D3825" s="31" t="s">
        <v>67</v>
      </c>
      <c r="E3825" s="31" t="s">
        <v>50</v>
      </c>
      <c r="F3825" s="31" t="s">
        <v>122</v>
      </c>
      <c r="G3825" s="31" t="n">
        <v>3</v>
      </c>
      <c r="H3825" s="41" t="n">
        <v>5.5</v>
      </c>
      <c r="I3825" s="31" t="s">
        <v>149</v>
      </c>
      <c r="J3825" s="31"/>
      <c r="K3825" s="31" t="s">
        <v>150</v>
      </c>
      <c r="L3825" s="45" t="n">
        <f aca="false">DATE(YEAR(B3825),MONTH(B3825),1)</f>
        <v>46235</v>
      </c>
      <c r="M3825" s="31" t="n">
        <f aca="false">WEEKDAY(B3825,2)</f>
        <v>6</v>
      </c>
      <c r="N3825" s="31" t="str">
        <f aca="false">IF(G3825&lt;=INDEX(Assumptions!$B$15:$B$18,MATCH(E3825,Assumptions!$A$15:$A$18,0)),"Yes","No")</f>
        <v>Yes</v>
      </c>
      <c r="O3825" s="31" t="str">
        <f aca="false">IF(H3825="","Open",IF(H3825&lt;=INDEX(Assumptions!$C$15:$C$18,MATCH(E3825,Assumptions!$A$15:$A$18,0)),"Yes","No"))</f>
        <v>Yes</v>
      </c>
    </row>
    <row r="3826" customFormat="false" ht="15" hidden="false" customHeight="false" outlineLevel="0" collapsed="false">
      <c r="A3826" s="31" t="s">
        <v>3976</v>
      </c>
      <c r="B3826" s="44" t="n">
        <v>46256</v>
      </c>
      <c r="C3826" s="31" t="s">
        <v>58</v>
      </c>
      <c r="D3826" s="31" t="s">
        <v>69</v>
      </c>
      <c r="E3826" s="31" t="s">
        <v>51</v>
      </c>
      <c r="F3826" s="31" t="s">
        <v>117</v>
      </c>
      <c r="G3826" s="31" t="n">
        <v>16</v>
      </c>
      <c r="H3826" s="41" t="n">
        <v>122.1</v>
      </c>
      <c r="I3826" s="31" t="s">
        <v>149</v>
      </c>
      <c r="J3826" s="31" t="n">
        <v>5</v>
      </c>
      <c r="K3826" s="31" t="s">
        <v>150</v>
      </c>
      <c r="L3826" s="45" t="n">
        <f aca="false">DATE(YEAR(B3826),MONTH(B3826),1)</f>
        <v>46235</v>
      </c>
      <c r="M3826" s="31" t="n">
        <f aca="false">WEEKDAY(B3826,2)</f>
        <v>6</v>
      </c>
      <c r="N3826" s="31" t="str">
        <f aca="false">IF(G3826&lt;=INDEX(Assumptions!$B$15:$B$18,MATCH(E3826,Assumptions!$A$15:$A$18,0)),"Yes","No")</f>
        <v>Yes</v>
      </c>
      <c r="O3826" s="31" t="str">
        <f aca="false">IF(H3826="","Open",IF(H3826&lt;=INDEX(Assumptions!$C$15:$C$18,MATCH(E3826,Assumptions!$A$15:$A$18,0)),"Yes","No"))</f>
        <v>No</v>
      </c>
    </row>
    <row r="3827" customFormat="false" ht="15" hidden="false" customHeight="false" outlineLevel="0" collapsed="false">
      <c r="A3827" s="31" t="s">
        <v>3977</v>
      </c>
      <c r="B3827" s="44" t="n">
        <v>46256</v>
      </c>
      <c r="C3827" s="31" t="s">
        <v>59</v>
      </c>
      <c r="D3827" s="31" t="s">
        <v>66</v>
      </c>
      <c r="E3827" s="31" t="s">
        <v>51</v>
      </c>
      <c r="F3827" s="31" t="s">
        <v>131</v>
      </c>
      <c r="G3827" s="31" t="n">
        <v>37</v>
      </c>
      <c r="H3827" s="41" t="n">
        <v>7.7</v>
      </c>
      <c r="I3827" s="31" t="s">
        <v>149</v>
      </c>
      <c r="J3827" s="31" t="n">
        <v>5</v>
      </c>
      <c r="K3827" s="31" t="s">
        <v>150</v>
      </c>
      <c r="L3827" s="45" t="n">
        <f aca="false">DATE(YEAR(B3827),MONTH(B3827),1)</f>
        <v>46235</v>
      </c>
      <c r="M3827" s="31" t="n">
        <f aca="false">WEEKDAY(B3827,2)</f>
        <v>6</v>
      </c>
      <c r="N3827" s="31" t="str">
        <f aca="false">IF(G3827&lt;=INDEX(Assumptions!$B$15:$B$18,MATCH(E3827,Assumptions!$A$15:$A$18,0)),"Yes","No")</f>
        <v>Yes</v>
      </c>
      <c r="O3827" s="31" t="str">
        <f aca="false">IF(H3827="","Open",IF(H3827&lt;=INDEX(Assumptions!$C$15:$C$18,MATCH(E3827,Assumptions!$A$15:$A$18,0)),"Yes","No"))</f>
        <v>Yes</v>
      </c>
    </row>
    <row r="3828" customFormat="false" ht="15" hidden="false" customHeight="false" outlineLevel="0" collapsed="false">
      <c r="A3828" s="31" t="s">
        <v>3978</v>
      </c>
      <c r="B3828" s="44" t="n">
        <v>46256</v>
      </c>
      <c r="C3828" s="31" t="s">
        <v>57</v>
      </c>
      <c r="D3828" s="31" t="s">
        <v>66</v>
      </c>
      <c r="E3828" s="31" t="s">
        <v>51</v>
      </c>
      <c r="F3828" s="31" t="s">
        <v>121</v>
      </c>
      <c r="G3828" s="31" t="n">
        <v>3</v>
      </c>
      <c r="H3828" s="41"/>
      <c r="I3828" s="31" t="s">
        <v>158</v>
      </c>
      <c r="J3828" s="31"/>
      <c r="K3828" s="31" t="s">
        <v>150</v>
      </c>
      <c r="L3828" s="45" t="n">
        <f aca="false">DATE(YEAR(B3828),MONTH(B3828),1)</f>
        <v>46235</v>
      </c>
      <c r="M3828" s="31" t="n">
        <f aca="false">WEEKDAY(B3828,2)</f>
        <v>6</v>
      </c>
      <c r="N3828" s="31" t="str">
        <f aca="false">IF(G3828&lt;=INDEX(Assumptions!$B$15:$B$18,MATCH(E3828,Assumptions!$A$15:$A$18,0)),"Yes","No")</f>
        <v>Yes</v>
      </c>
      <c r="O3828" s="31" t="str">
        <f aca="false">IF(H3828="","Open",IF(H3828&lt;=INDEX(Assumptions!$C$15:$C$18,MATCH(E3828,Assumptions!$A$15:$A$18,0)),"Yes","No"))</f>
        <v>Open</v>
      </c>
    </row>
    <row r="3829" customFormat="false" ht="15" hidden="false" customHeight="false" outlineLevel="0" collapsed="false">
      <c r="A3829" s="31" t="s">
        <v>3979</v>
      </c>
      <c r="B3829" s="44" t="n">
        <v>46256</v>
      </c>
      <c r="C3829" s="31" t="s">
        <v>58</v>
      </c>
      <c r="D3829" s="31" t="s">
        <v>67</v>
      </c>
      <c r="E3829" s="31" t="s">
        <v>51</v>
      </c>
      <c r="F3829" s="31" t="s">
        <v>128</v>
      </c>
      <c r="G3829" s="31" t="n">
        <v>25</v>
      </c>
      <c r="H3829" s="41" t="n">
        <v>41.1</v>
      </c>
      <c r="I3829" s="31" t="s">
        <v>149</v>
      </c>
      <c r="J3829" s="31"/>
      <c r="K3829" s="31" t="s">
        <v>150</v>
      </c>
      <c r="L3829" s="45" t="n">
        <f aca="false">DATE(YEAR(B3829),MONTH(B3829),1)</f>
        <v>46235</v>
      </c>
      <c r="M3829" s="31" t="n">
        <f aca="false">WEEKDAY(B3829,2)</f>
        <v>6</v>
      </c>
      <c r="N3829" s="31" t="str">
        <f aca="false">IF(G3829&lt;=INDEX(Assumptions!$B$15:$B$18,MATCH(E3829,Assumptions!$A$15:$A$18,0)),"Yes","No")</f>
        <v>Yes</v>
      </c>
      <c r="O3829" s="31" t="str">
        <f aca="false">IF(H3829="","Open",IF(H3829&lt;=INDEX(Assumptions!$C$15:$C$18,MATCH(E3829,Assumptions!$A$15:$A$18,0)),"Yes","No"))</f>
        <v>No</v>
      </c>
    </row>
    <row r="3830" customFormat="false" ht="15" hidden="false" customHeight="false" outlineLevel="0" collapsed="false">
      <c r="A3830" s="31" t="s">
        <v>3980</v>
      </c>
      <c r="B3830" s="44" t="n">
        <v>46256</v>
      </c>
      <c r="C3830" s="31" t="s">
        <v>59</v>
      </c>
      <c r="D3830" s="31" t="s">
        <v>68</v>
      </c>
      <c r="E3830" s="31" t="s">
        <v>52</v>
      </c>
      <c r="F3830" s="31" t="s">
        <v>131</v>
      </c>
      <c r="G3830" s="31" t="n">
        <v>51</v>
      </c>
      <c r="H3830" s="41" t="n">
        <v>2.5</v>
      </c>
      <c r="I3830" s="31" t="s">
        <v>149</v>
      </c>
      <c r="J3830" s="31"/>
      <c r="K3830" s="31" t="s">
        <v>150</v>
      </c>
      <c r="L3830" s="45" t="n">
        <f aca="false">DATE(YEAR(B3830),MONTH(B3830),1)</f>
        <v>46235</v>
      </c>
      <c r="M3830" s="31" t="n">
        <f aca="false">WEEKDAY(B3830,2)</f>
        <v>6</v>
      </c>
      <c r="N3830" s="31" t="str">
        <f aca="false">IF(G3830&lt;=INDEX(Assumptions!$B$15:$B$18,MATCH(E3830,Assumptions!$A$15:$A$18,0)),"Yes","No")</f>
        <v>Yes</v>
      </c>
      <c r="O3830" s="31" t="str">
        <f aca="false">IF(H3830="","Open",IF(H3830&lt;=INDEX(Assumptions!$C$15:$C$18,MATCH(E3830,Assumptions!$A$15:$A$18,0)),"Yes","No"))</f>
        <v>Yes</v>
      </c>
    </row>
    <row r="3831" customFormat="false" ht="15" hidden="false" customHeight="false" outlineLevel="0" collapsed="false">
      <c r="A3831" s="31" t="s">
        <v>3981</v>
      </c>
      <c r="B3831" s="44" t="n">
        <v>46256</v>
      </c>
      <c r="C3831" s="31" t="s">
        <v>57</v>
      </c>
      <c r="D3831" s="31" t="s">
        <v>65</v>
      </c>
      <c r="E3831" s="31" t="s">
        <v>51</v>
      </c>
      <c r="F3831" s="31" t="s">
        <v>136</v>
      </c>
      <c r="G3831" s="31" t="n">
        <v>2</v>
      </c>
      <c r="H3831" s="41" t="n">
        <v>3.6</v>
      </c>
      <c r="I3831" s="31" t="s">
        <v>149</v>
      </c>
      <c r="J3831" s="31" t="n">
        <v>5</v>
      </c>
      <c r="K3831" s="31" t="s">
        <v>150</v>
      </c>
      <c r="L3831" s="45" t="n">
        <f aca="false">DATE(YEAR(B3831),MONTH(B3831),1)</f>
        <v>46235</v>
      </c>
      <c r="M3831" s="31" t="n">
        <f aca="false">WEEKDAY(B3831,2)</f>
        <v>6</v>
      </c>
      <c r="N3831" s="31" t="str">
        <f aca="false">IF(G3831&lt;=INDEX(Assumptions!$B$15:$B$18,MATCH(E3831,Assumptions!$A$15:$A$18,0)),"Yes","No")</f>
        <v>Yes</v>
      </c>
      <c r="O3831" s="31" t="str">
        <f aca="false">IF(H3831="","Open",IF(H3831&lt;=INDEX(Assumptions!$C$15:$C$18,MATCH(E3831,Assumptions!$A$15:$A$18,0)),"Yes","No"))</f>
        <v>Yes</v>
      </c>
    </row>
    <row r="3832" customFormat="false" ht="15" hidden="false" customHeight="false" outlineLevel="0" collapsed="false">
      <c r="A3832" s="31" t="s">
        <v>3982</v>
      </c>
      <c r="B3832" s="44" t="n">
        <v>46256</v>
      </c>
      <c r="C3832" s="31" t="s">
        <v>59</v>
      </c>
      <c r="D3832" s="31" t="s">
        <v>68</v>
      </c>
      <c r="E3832" s="31" t="s">
        <v>49</v>
      </c>
      <c r="F3832" s="31" t="s">
        <v>134</v>
      </c>
      <c r="G3832" s="31" t="n">
        <v>67</v>
      </c>
      <c r="H3832" s="41" t="n">
        <v>20.7</v>
      </c>
      <c r="I3832" s="31" t="s">
        <v>64</v>
      </c>
      <c r="J3832" s="31"/>
      <c r="K3832" s="31" t="s">
        <v>150</v>
      </c>
      <c r="L3832" s="45" t="n">
        <f aca="false">DATE(YEAR(B3832),MONTH(B3832),1)</f>
        <v>46235</v>
      </c>
      <c r="M3832" s="31" t="n">
        <f aca="false">WEEKDAY(B3832,2)</f>
        <v>6</v>
      </c>
      <c r="N3832" s="31" t="str">
        <f aca="false">IF(G3832&lt;=INDEX(Assumptions!$B$15:$B$18,MATCH(E3832,Assumptions!$A$15:$A$18,0)),"Yes","No")</f>
        <v>No</v>
      </c>
      <c r="O3832" s="31" t="str">
        <f aca="false">IF(H3832="","Open",IF(H3832&lt;=INDEX(Assumptions!$C$15:$C$18,MATCH(E3832,Assumptions!$A$15:$A$18,0)),"Yes","No"))</f>
        <v>No</v>
      </c>
    </row>
    <row r="3833" customFormat="false" ht="15" hidden="false" customHeight="false" outlineLevel="0" collapsed="false">
      <c r="A3833" s="31" t="s">
        <v>3983</v>
      </c>
      <c r="B3833" s="44" t="n">
        <v>46256</v>
      </c>
      <c r="C3833" s="31" t="s">
        <v>59</v>
      </c>
      <c r="D3833" s="31" t="s">
        <v>66</v>
      </c>
      <c r="E3833" s="31" t="s">
        <v>52</v>
      </c>
      <c r="F3833" s="31" t="s">
        <v>127</v>
      </c>
      <c r="G3833" s="31" t="n">
        <v>94</v>
      </c>
      <c r="H3833" s="41" t="n">
        <v>9.3</v>
      </c>
      <c r="I3833" s="31" t="s">
        <v>149</v>
      </c>
      <c r="J3833" s="31"/>
      <c r="K3833" s="31" t="s">
        <v>150</v>
      </c>
      <c r="L3833" s="45" t="n">
        <f aca="false">DATE(YEAR(B3833),MONTH(B3833),1)</f>
        <v>46235</v>
      </c>
      <c r="M3833" s="31" t="n">
        <f aca="false">WEEKDAY(B3833,2)</f>
        <v>6</v>
      </c>
      <c r="N3833" s="31" t="str">
        <f aca="false">IF(G3833&lt;=INDEX(Assumptions!$B$15:$B$18,MATCH(E3833,Assumptions!$A$15:$A$18,0)),"Yes","No")</f>
        <v>Yes</v>
      </c>
      <c r="O3833" s="31" t="str">
        <f aca="false">IF(H3833="","Open",IF(H3833&lt;=INDEX(Assumptions!$C$15:$C$18,MATCH(E3833,Assumptions!$A$15:$A$18,0)),"Yes","No"))</f>
        <v>Yes</v>
      </c>
    </row>
    <row r="3834" customFormat="false" ht="15" hidden="false" customHeight="false" outlineLevel="0" collapsed="false">
      <c r="A3834" s="31" t="s">
        <v>3984</v>
      </c>
      <c r="B3834" s="44" t="n">
        <v>46256</v>
      </c>
      <c r="C3834" s="31" t="s">
        <v>60</v>
      </c>
      <c r="D3834" s="31" t="s">
        <v>66</v>
      </c>
      <c r="E3834" s="31" t="s">
        <v>49</v>
      </c>
      <c r="F3834" s="31" t="s">
        <v>129</v>
      </c>
      <c r="G3834" s="31" t="n">
        <v>1</v>
      </c>
      <c r="H3834" s="41" t="n">
        <v>1.8</v>
      </c>
      <c r="I3834" s="31" t="s">
        <v>149</v>
      </c>
      <c r="J3834" s="31"/>
      <c r="K3834" s="31" t="s">
        <v>150</v>
      </c>
      <c r="L3834" s="45" t="n">
        <f aca="false">DATE(YEAR(B3834),MONTH(B3834),1)</f>
        <v>46235</v>
      </c>
      <c r="M3834" s="31" t="n">
        <f aca="false">WEEKDAY(B3834,2)</f>
        <v>6</v>
      </c>
      <c r="N3834" s="31" t="str">
        <f aca="false">IF(G3834&lt;=INDEX(Assumptions!$B$15:$B$18,MATCH(E3834,Assumptions!$A$15:$A$18,0)),"Yes","No")</f>
        <v>Yes</v>
      </c>
      <c r="O3834" s="31" t="str">
        <f aca="false">IF(H3834="","Open",IF(H3834&lt;=INDEX(Assumptions!$C$15:$C$18,MATCH(E3834,Assumptions!$A$15:$A$18,0)),"Yes","No"))</f>
        <v>Yes</v>
      </c>
    </row>
    <row r="3835" customFormat="false" ht="15" hidden="false" customHeight="false" outlineLevel="0" collapsed="false">
      <c r="A3835" s="31" t="s">
        <v>3985</v>
      </c>
      <c r="B3835" s="44" t="n">
        <v>46256</v>
      </c>
      <c r="C3835" s="31" t="s">
        <v>57</v>
      </c>
      <c r="D3835" s="31" t="s">
        <v>65</v>
      </c>
      <c r="E3835" s="31" t="s">
        <v>52</v>
      </c>
      <c r="F3835" s="31" t="s">
        <v>129</v>
      </c>
      <c r="G3835" s="31" t="n">
        <v>8</v>
      </c>
      <c r="H3835" s="41" t="n">
        <v>7</v>
      </c>
      <c r="I3835" s="31" t="s">
        <v>149</v>
      </c>
      <c r="J3835" s="31"/>
      <c r="K3835" s="31" t="s">
        <v>150</v>
      </c>
      <c r="L3835" s="45" t="n">
        <f aca="false">DATE(YEAR(B3835),MONTH(B3835),1)</f>
        <v>46235</v>
      </c>
      <c r="M3835" s="31" t="n">
        <f aca="false">WEEKDAY(B3835,2)</f>
        <v>6</v>
      </c>
      <c r="N3835" s="31" t="str">
        <f aca="false">IF(G3835&lt;=INDEX(Assumptions!$B$15:$B$18,MATCH(E3835,Assumptions!$A$15:$A$18,0)),"Yes","No")</f>
        <v>Yes</v>
      </c>
      <c r="O3835" s="31" t="str">
        <f aca="false">IF(H3835="","Open",IF(H3835&lt;=INDEX(Assumptions!$C$15:$C$18,MATCH(E3835,Assumptions!$A$15:$A$18,0)),"Yes","No"))</f>
        <v>Yes</v>
      </c>
    </row>
    <row r="3836" customFormat="false" ht="15" hidden="false" customHeight="false" outlineLevel="0" collapsed="false">
      <c r="A3836" s="31" t="s">
        <v>3986</v>
      </c>
      <c r="B3836" s="44" t="n">
        <v>46256</v>
      </c>
      <c r="C3836" s="31" t="s">
        <v>60</v>
      </c>
      <c r="D3836" s="31" t="s">
        <v>69</v>
      </c>
      <c r="E3836" s="31" t="s">
        <v>50</v>
      </c>
      <c r="F3836" s="31" t="s">
        <v>131</v>
      </c>
      <c r="G3836" s="31" t="n">
        <v>2</v>
      </c>
      <c r="H3836" s="41" t="n">
        <v>31.5</v>
      </c>
      <c r="I3836" s="31" t="s">
        <v>149</v>
      </c>
      <c r="J3836" s="31"/>
      <c r="K3836" s="31" t="s">
        <v>150</v>
      </c>
      <c r="L3836" s="45" t="n">
        <f aca="false">DATE(YEAR(B3836),MONTH(B3836),1)</f>
        <v>46235</v>
      </c>
      <c r="M3836" s="31" t="n">
        <f aca="false">WEEKDAY(B3836,2)</f>
        <v>6</v>
      </c>
      <c r="N3836" s="31" t="str">
        <f aca="false">IF(G3836&lt;=INDEX(Assumptions!$B$15:$B$18,MATCH(E3836,Assumptions!$A$15:$A$18,0)),"Yes","No")</f>
        <v>Yes</v>
      </c>
      <c r="O3836" s="31" t="str">
        <f aca="false">IF(H3836="","Open",IF(H3836&lt;=INDEX(Assumptions!$C$15:$C$18,MATCH(E3836,Assumptions!$A$15:$A$18,0)),"Yes","No"))</f>
        <v>No</v>
      </c>
    </row>
    <row r="3837" customFormat="false" ht="15" hidden="false" customHeight="false" outlineLevel="0" collapsed="false">
      <c r="A3837" s="31" t="s">
        <v>3987</v>
      </c>
      <c r="B3837" s="44" t="n">
        <v>46256</v>
      </c>
      <c r="C3837" s="31" t="s">
        <v>58</v>
      </c>
      <c r="D3837" s="31" t="s">
        <v>66</v>
      </c>
      <c r="E3837" s="31" t="s">
        <v>52</v>
      </c>
      <c r="F3837" s="31" t="s">
        <v>137</v>
      </c>
      <c r="G3837" s="31" t="n">
        <v>26</v>
      </c>
      <c r="H3837" s="41" t="n">
        <v>13.2</v>
      </c>
      <c r="I3837" s="31" t="s">
        <v>149</v>
      </c>
      <c r="J3837" s="31" t="n">
        <v>5</v>
      </c>
      <c r="K3837" s="31" t="s">
        <v>150</v>
      </c>
      <c r="L3837" s="45" t="n">
        <f aca="false">DATE(YEAR(B3837),MONTH(B3837),1)</f>
        <v>46235</v>
      </c>
      <c r="M3837" s="31" t="n">
        <f aca="false">WEEKDAY(B3837,2)</f>
        <v>6</v>
      </c>
      <c r="N3837" s="31" t="str">
        <f aca="false">IF(G3837&lt;=INDEX(Assumptions!$B$15:$B$18,MATCH(E3837,Assumptions!$A$15:$A$18,0)),"Yes","No")</f>
        <v>Yes</v>
      </c>
      <c r="O3837" s="31" t="str">
        <f aca="false">IF(H3837="","Open",IF(H3837&lt;=INDEX(Assumptions!$C$15:$C$18,MATCH(E3837,Assumptions!$A$15:$A$18,0)),"Yes","No"))</f>
        <v>Yes</v>
      </c>
    </row>
    <row r="3838" customFormat="false" ht="15" hidden="false" customHeight="false" outlineLevel="0" collapsed="false">
      <c r="A3838" s="31" t="s">
        <v>3988</v>
      </c>
      <c r="B3838" s="44" t="n">
        <v>46256</v>
      </c>
      <c r="C3838" s="31" t="s">
        <v>57</v>
      </c>
      <c r="D3838" s="31" t="s">
        <v>68</v>
      </c>
      <c r="E3838" s="31" t="s">
        <v>52</v>
      </c>
      <c r="F3838" s="31" t="s">
        <v>120</v>
      </c>
      <c r="G3838" s="31" t="n">
        <v>9</v>
      </c>
      <c r="H3838" s="41" t="n">
        <v>7.3</v>
      </c>
      <c r="I3838" s="31" t="s">
        <v>149</v>
      </c>
      <c r="J3838" s="31" t="n">
        <v>5</v>
      </c>
      <c r="K3838" s="31" t="s">
        <v>150</v>
      </c>
      <c r="L3838" s="45" t="n">
        <f aca="false">DATE(YEAR(B3838),MONTH(B3838),1)</f>
        <v>46235</v>
      </c>
      <c r="M3838" s="31" t="n">
        <f aca="false">WEEKDAY(B3838,2)</f>
        <v>6</v>
      </c>
      <c r="N3838" s="31" t="str">
        <f aca="false">IF(G3838&lt;=INDEX(Assumptions!$B$15:$B$18,MATCH(E3838,Assumptions!$A$15:$A$18,0)),"Yes","No")</f>
        <v>Yes</v>
      </c>
      <c r="O3838" s="31" t="str">
        <f aca="false">IF(H3838="","Open",IF(H3838&lt;=INDEX(Assumptions!$C$15:$C$18,MATCH(E3838,Assumptions!$A$15:$A$18,0)),"Yes","No"))</f>
        <v>Yes</v>
      </c>
    </row>
    <row r="3839" customFormat="false" ht="15" hidden="false" customHeight="false" outlineLevel="0" collapsed="false">
      <c r="A3839" s="31" t="s">
        <v>3989</v>
      </c>
      <c r="B3839" s="44" t="n">
        <v>46256</v>
      </c>
      <c r="C3839" s="31" t="s">
        <v>60</v>
      </c>
      <c r="D3839" s="31" t="s">
        <v>65</v>
      </c>
      <c r="E3839" s="31" t="s">
        <v>49</v>
      </c>
      <c r="F3839" s="31" t="s">
        <v>123</v>
      </c>
      <c r="G3839" s="31" t="n">
        <v>1</v>
      </c>
      <c r="H3839" s="41" t="n">
        <v>2.9</v>
      </c>
      <c r="I3839" s="31" t="s">
        <v>149</v>
      </c>
      <c r="J3839" s="31" t="n">
        <v>5</v>
      </c>
      <c r="K3839" s="31" t="s">
        <v>150</v>
      </c>
      <c r="L3839" s="45" t="n">
        <f aca="false">DATE(YEAR(B3839),MONTH(B3839),1)</f>
        <v>46235</v>
      </c>
      <c r="M3839" s="31" t="n">
        <f aca="false">WEEKDAY(B3839,2)</f>
        <v>6</v>
      </c>
      <c r="N3839" s="31" t="str">
        <f aca="false">IF(G3839&lt;=INDEX(Assumptions!$B$15:$B$18,MATCH(E3839,Assumptions!$A$15:$A$18,0)),"Yes","No")</f>
        <v>Yes</v>
      </c>
      <c r="O3839" s="31" t="str">
        <f aca="false">IF(H3839="","Open",IF(H3839&lt;=INDEX(Assumptions!$C$15:$C$18,MATCH(E3839,Assumptions!$A$15:$A$18,0)),"Yes","No"))</f>
        <v>Yes</v>
      </c>
    </row>
    <row r="3840" customFormat="false" ht="15" hidden="false" customHeight="false" outlineLevel="0" collapsed="false">
      <c r="A3840" s="31" t="s">
        <v>3990</v>
      </c>
      <c r="B3840" s="44" t="n">
        <v>46256</v>
      </c>
      <c r="C3840" s="31" t="s">
        <v>59</v>
      </c>
      <c r="D3840" s="31" t="s">
        <v>69</v>
      </c>
      <c r="E3840" s="31" t="s">
        <v>51</v>
      </c>
      <c r="F3840" s="31" t="s">
        <v>135</v>
      </c>
      <c r="G3840" s="31" t="n">
        <v>226</v>
      </c>
      <c r="H3840" s="41" t="n">
        <v>75.7</v>
      </c>
      <c r="I3840" s="31" t="s">
        <v>149</v>
      </c>
      <c r="J3840" s="31"/>
      <c r="K3840" s="31" t="s">
        <v>153</v>
      </c>
      <c r="L3840" s="45" t="n">
        <f aca="false">DATE(YEAR(B3840),MONTH(B3840),1)</f>
        <v>46235</v>
      </c>
      <c r="M3840" s="31" t="n">
        <f aca="false">WEEKDAY(B3840,2)</f>
        <v>6</v>
      </c>
      <c r="N3840" s="31" t="str">
        <f aca="false">IF(G3840&lt;=INDEX(Assumptions!$B$15:$B$18,MATCH(E3840,Assumptions!$A$15:$A$18,0)),"Yes","No")</f>
        <v>No</v>
      </c>
      <c r="O3840" s="31" t="str">
        <f aca="false">IF(H3840="","Open",IF(H3840&lt;=INDEX(Assumptions!$C$15:$C$18,MATCH(E3840,Assumptions!$A$15:$A$18,0)),"Yes","No"))</f>
        <v>No</v>
      </c>
    </row>
    <row r="3841" customFormat="false" ht="15" hidden="false" customHeight="false" outlineLevel="0" collapsed="false">
      <c r="A3841" s="31" t="s">
        <v>3991</v>
      </c>
      <c r="B3841" s="44" t="n">
        <v>46256</v>
      </c>
      <c r="C3841" s="31" t="s">
        <v>60</v>
      </c>
      <c r="D3841" s="31" t="s">
        <v>67</v>
      </c>
      <c r="E3841" s="31" t="s">
        <v>50</v>
      </c>
      <c r="F3841" s="31" t="s">
        <v>121</v>
      </c>
      <c r="G3841" s="31" t="n">
        <v>4</v>
      </c>
      <c r="H3841" s="41" t="n">
        <v>2.1</v>
      </c>
      <c r="I3841" s="31" t="s">
        <v>149</v>
      </c>
      <c r="J3841" s="31" t="n">
        <v>5</v>
      </c>
      <c r="K3841" s="31" t="s">
        <v>150</v>
      </c>
      <c r="L3841" s="45" t="n">
        <f aca="false">DATE(YEAR(B3841),MONTH(B3841),1)</f>
        <v>46235</v>
      </c>
      <c r="M3841" s="31" t="n">
        <f aca="false">WEEKDAY(B3841,2)</f>
        <v>6</v>
      </c>
      <c r="N3841" s="31" t="str">
        <f aca="false">IF(G3841&lt;=INDEX(Assumptions!$B$15:$B$18,MATCH(E3841,Assumptions!$A$15:$A$18,0)),"Yes","No")</f>
        <v>Yes</v>
      </c>
      <c r="O3841" s="31" t="str">
        <f aca="false">IF(H3841="","Open",IF(H3841&lt;=INDEX(Assumptions!$C$15:$C$18,MATCH(E3841,Assumptions!$A$15:$A$18,0)),"Yes","No"))</f>
        <v>Yes</v>
      </c>
    </row>
    <row r="3842" customFormat="false" ht="15" hidden="false" customHeight="false" outlineLevel="0" collapsed="false">
      <c r="A3842" s="31" t="s">
        <v>3992</v>
      </c>
      <c r="B3842" s="44" t="n">
        <v>46256</v>
      </c>
      <c r="C3842" s="31" t="s">
        <v>58</v>
      </c>
      <c r="D3842" s="31" t="s">
        <v>65</v>
      </c>
      <c r="E3842" s="31" t="s">
        <v>51</v>
      </c>
      <c r="F3842" s="31" t="s">
        <v>130</v>
      </c>
      <c r="G3842" s="31" t="n">
        <v>3</v>
      </c>
      <c r="H3842" s="41" t="n">
        <v>4.1</v>
      </c>
      <c r="I3842" s="31" t="s">
        <v>149</v>
      </c>
      <c r="J3842" s="31" t="n">
        <v>4</v>
      </c>
      <c r="K3842" s="31" t="s">
        <v>150</v>
      </c>
      <c r="L3842" s="45" t="n">
        <f aca="false">DATE(YEAR(B3842),MONTH(B3842),1)</f>
        <v>46235</v>
      </c>
      <c r="M3842" s="31" t="n">
        <f aca="false">WEEKDAY(B3842,2)</f>
        <v>6</v>
      </c>
      <c r="N3842" s="31" t="str">
        <f aca="false">IF(G3842&lt;=INDEX(Assumptions!$B$15:$B$18,MATCH(E3842,Assumptions!$A$15:$A$18,0)),"Yes","No")</f>
        <v>Yes</v>
      </c>
      <c r="O3842" s="31" t="str">
        <f aca="false">IF(H3842="","Open",IF(H3842&lt;=INDEX(Assumptions!$C$15:$C$18,MATCH(E3842,Assumptions!$A$15:$A$18,0)),"Yes","No"))</f>
        <v>Yes</v>
      </c>
    </row>
    <row r="3843" customFormat="false" ht="15" hidden="false" customHeight="false" outlineLevel="0" collapsed="false">
      <c r="A3843" s="31" t="s">
        <v>3993</v>
      </c>
      <c r="B3843" s="44" t="n">
        <v>46256</v>
      </c>
      <c r="C3843" s="31" t="s">
        <v>60</v>
      </c>
      <c r="D3843" s="31" t="s">
        <v>66</v>
      </c>
      <c r="E3843" s="31" t="s">
        <v>52</v>
      </c>
      <c r="F3843" s="31" t="s">
        <v>131</v>
      </c>
      <c r="G3843" s="31" t="n">
        <v>1</v>
      </c>
      <c r="H3843" s="41" t="n">
        <v>13</v>
      </c>
      <c r="I3843" s="31" t="s">
        <v>149</v>
      </c>
      <c r="J3843" s="31"/>
      <c r="K3843" s="31" t="s">
        <v>150</v>
      </c>
      <c r="L3843" s="45" t="n">
        <f aca="false">DATE(YEAR(B3843),MONTH(B3843),1)</f>
        <v>46235</v>
      </c>
      <c r="M3843" s="31" t="n">
        <f aca="false">WEEKDAY(B3843,2)</f>
        <v>6</v>
      </c>
      <c r="N3843" s="31" t="str">
        <f aca="false">IF(G3843&lt;=INDEX(Assumptions!$B$15:$B$18,MATCH(E3843,Assumptions!$A$15:$A$18,0)),"Yes","No")</f>
        <v>Yes</v>
      </c>
      <c r="O3843" s="31" t="str">
        <f aca="false">IF(H3843="","Open",IF(H3843&lt;=INDEX(Assumptions!$C$15:$C$18,MATCH(E3843,Assumptions!$A$15:$A$18,0)),"Yes","No"))</f>
        <v>Yes</v>
      </c>
    </row>
    <row r="3844" customFormat="false" ht="15" hidden="false" customHeight="false" outlineLevel="0" collapsed="false">
      <c r="A3844" s="31" t="s">
        <v>3994</v>
      </c>
      <c r="B3844" s="44" t="n">
        <v>46256</v>
      </c>
      <c r="C3844" s="31" t="s">
        <v>60</v>
      </c>
      <c r="D3844" s="31" t="s">
        <v>67</v>
      </c>
      <c r="E3844" s="31" t="s">
        <v>52</v>
      </c>
      <c r="F3844" s="31" t="s">
        <v>136</v>
      </c>
      <c r="G3844" s="31" t="n">
        <v>2</v>
      </c>
      <c r="H3844" s="41"/>
      <c r="I3844" s="31" t="s">
        <v>158</v>
      </c>
      <c r="J3844" s="31"/>
      <c r="K3844" s="31" t="s">
        <v>150</v>
      </c>
      <c r="L3844" s="45" t="n">
        <f aca="false">DATE(YEAR(B3844),MONTH(B3844),1)</f>
        <v>46235</v>
      </c>
      <c r="M3844" s="31" t="n">
        <f aca="false">WEEKDAY(B3844,2)</f>
        <v>6</v>
      </c>
      <c r="N3844" s="31" t="str">
        <f aca="false">IF(G3844&lt;=INDEX(Assumptions!$B$15:$B$18,MATCH(E3844,Assumptions!$A$15:$A$18,0)),"Yes","No")</f>
        <v>Yes</v>
      </c>
      <c r="O3844" s="31" t="str">
        <f aca="false">IF(H3844="","Open",IF(H3844&lt;=INDEX(Assumptions!$C$15:$C$18,MATCH(E3844,Assumptions!$A$15:$A$18,0)),"Yes","No"))</f>
        <v>Open</v>
      </c>
    </row>
    <row r="3845" customFormat="false" ht="15" hidden="false" customHeight="false" outlineLevel="0" collapsed="false">
      <c r="A3845" s="31" t="s">
        <v>3995</v>
      </c>
      <c r="B3845" s="44" t="n">
        <v>46256</v>
      </c>
      <c r="C3845" s="31" t="s">
        <v>59</v>
      </c>
      <c r="D3845" s="31" t="s">
        <v>67</v>
      </c>
      <c r="E3845" s="31" t="s">
        <v>52</v>
      </c>
      <c r="F3845" s="31" t="s">
        <v>129</v>
      </c>
      <c r="G3845" s="31" t="n">
        <v>90</v>
      </c>
      <c r="H3845" s="41" t="n">
        <v>15.2</v>
      </c>
      <c r="I3845" s="31" t="s">
        <v>149</v>
      </c>
      <c r="J3845" s="31" t="n">
        <v>5</v>
      </c>
      <c r="K3845" s="31" t="s">
        <v>150</v>
      </c>
      <c r="L3845" s="45" t="n">
        <f aca="false">DATE(YEAR(B3845),MONTH(B3845),1)</f>
        <v>46235</v>
      </c>
      <c r="M3845" s="31" t="n">
        <f aca="false">WEEKDAY(B3845,2)</f>
        <v>6</v>
      </c>
      <c r="N3845" s="31" t="str">
        <f aca="false">IF(G3845&lt;=INDEX(Assumptions!$B$15:$B$18,MATCH(E3845,Assumptions!$A$15:$A$18,0)),"Yes","No")</f>
        <v>Yes</v>
      </c>
      <c r="O3845" s="31" t="str">
        <f aca="false">IF(H3845="","Open",IF(H3845&lt;=INDEX(Assumptions!$C$15:$C$18,MATCH(E3845,Assumptions!$A$15:$A$18,0)),"Yes","No"))</f>
        <v>Yes</v>
      </c>
    </row>
    <row r="3846" customFormat="false" ht="15" hidden="false" customHeight="false" outlineLevel="0" collapsed="false">
      <c r="A3846" s="31" t="s">
        <v>3996</v>
      </c>
      <c r="B3846" s="44" t="n">
        <v>46256</v>
      </c>
      <c r="C3846" s="31" t="s">
        <v>59</v>
      </c>
      <c r="D3846" s="31" t="s">
        <v>69</v>
      </c>
      <c r="E3846" s="31" t="s">
        <v>51</v>
      </c>
      <c r="F3846" s="31" t="s">
        <v>129</v>
      </c>
      <c r="G3846" s="31" t="n">
        <v>73</v>
      </c>
      <c r="H3846" s="41" t="n">
        <v>4.4</v>
      </c>
      <c r="I3846" s="31" t="s">
        <v>149</v>
      </c>
      <c r="J3846" s="31" t="n">
        <v>5</v>
      </c>
      <c r="K3846" s="31" t="s">
        <v>150</v>
      </c>
      <c r="L3846" s="45" t="n">
        <f aca="false">DATE(YEAR(B3846),MONTH(B3846),1)</f>
        <v>46235</v>
      </c>
      <c r="M3846" s="31" t="n">
        <f aca="false">WEEKDAY(B3846,2)</f>
        <v>6</v>
      </c>
      <c r="N3846" s="31" t="str">
        <f aca="false">IF(G3846&lt;=INDEX(Assumptions!$B$15:$B$18,MATCH(E3846,Assumptions!$A$15:$A$18,0)),"Yes","No")</f>
        <v>No</v>
      </c>
      <c r="O3846" s="31" t="str">
        <f aca="false">IF(H3846="","Open",IF(H3846&lt;=INDEX(Assumptions!$C$15:$C$18,MATCH(E3846,Assumptions!$A$15:$A$18,0)),"Yes","No"))</f>
        <v>Yes</v>
      </c>
    </row>
    <row r="3847" customFormat="false" ht="15" hidden="false" customHeight="false" outlineLevel="0" collapsed="false">
      <c r="A3847" s="31" t="s">
        <v>3997</v>
      </c>
      <c r="B3847" s="44" t="n">
        <v>46256</v>
      </c>
      <c r="C3847" s="31" t="s">
        <v>58</v>
      </c>
      <c r="D3847" s="31" t="s">
        <v>69</v>
      </c>
      <c r="E3847" s="31" t="s">
        <v>51</v>
      </c>
      <c r="F3847" s="31" t="s">
        <v>137</v>
      </c>
      <c r="G3847" s="31" t="n">
        <v>6</v>
      </c>
      <c r="H3847" s="41" t="n">
        <v>44.6</v>
      </c>
      <c r="I3847" s="31" t="s">
        <v>149</v>
      </c>
      <c r="J3847" s="31"/>
      <c r="K3847" s="31" t="s">
        <v>150</v>
      </c>
      <c r="L3847" s="45" t="n">
        <f aca="false">DATE(YEAR(B3847),MONTH(B3847),1)</f>
        <v>46235</v>
      </c>
      <c r="M3847" s="31" t="n">
        <f aca="false">WEEKDAY(B3847,2)</f>
        <v>6</v>
      </c>
      <c r="N3847" s="31" t="str">
        <f aca="false">IF(G3847&lt;=INDEX(Assumptions!$B$15:$B$18,MATCH(E3847,Assumptions!$A$15:$A$18,0)),"Yes","No")</f>
        <v>Yes</v>
      </c>
      <c r="O3847" s="31" t="str">
        <f aca="false">IF(H3847="","Open",IF(H3847&lt;=INDEX(Assumptions!$C$15:$C$18,MATCH(E3847,Assumptions!$A$15:$A$18,0)),"Yes","No"))</f>
        <v>No</v>
      </c>
    </row>
    <row r="3848" customFormat="false" ht="15" hidden="false" customHeight="false" outlineLevel="0" collapsed="false">
      <c r="A3848" s="31" t="s">
        <v>3998</v>
      </c>
      <c r="B3848" s="44" t="n">
        <v>46256</v>
      </c>
      <c r="C3848" s="31" t="s">
        <v>58</v>
      </c>
      <c r="D3848" s="31" t="s">
        <v>66</v>
      </c>
      <c r="E3848" s="31" t="s">
        <v>51</v>
      </c>
      <c r="F3848" s="31" t="s">
        <v>117</v>
      </c>
      <c r="G3848" s="31" t="n">
        <v>11</v>
      </c>
      <c r="H3848" s="41" t="n">
        <v>7.6</v>
      </c>
      <c r="I3848" s="31" t="s">
        <v>149</v>
      </c>
      <c r="J3848" s="31"/>
      <c r="K3848" s="31" t="s">
        <v>150</v>
      </c>
      <c r="L3848" s="45" t="n">
        <f aca="false">DATE(YEAR(B3848),MONTH(B3848),1)</f>
        <v>46235</v>
      </c>
      <c r="M3848" s="31" t="n">
        <f aca="false">WEEKDAY(B3848,2)</f>
        <v>6</v>
      </c>
      <c r="N3848" s="31" t="str">
        <f aca="false">IF(G3848&lt;=INDEX(Assumptions!$B$15:$B$18,MATCH(E3848,Assumptions!$A$15:$A$18,0)),"Yes","No")</f>
        <v>Yes</v>
      </c>
      <c r="O3848" s="31" t="str">
        <f aca="false">IF(H3848="","Open",IF(H3848&lt;=INDEX(Assumptions!$C$15:$C$18,MATCH(E3848,Assumptions!$A$15:$A$18,0)),"Yes","No"))</f>
        <v>Yes</v>
      </c>
    </row>
    <row r="3849" customFormat="false" ht="15" hidden="false" customHeight="false" outlineLevel="0" collapsed="false">
      <c r="A3849" s="31" t="s">
        <v>3999</v>
      </c>
      <c r="B3849" s="44" t="n">
        <v>46256</v>
      </c>
      <c r="C3849" s="31" t="s">
        <v>60</v>
      </c>
      <c r="D3849" s="31" t="s">
        <v>65</v>
      </c>
      <c r="E3849" s="31" t="s">
        <v>51</v>
      </c>
      <c r="F3849" s="31" t="s">
        <v>129</v>
      </c>
      <c r="G3849" s="31" t="n">
        <v>4</v>
      </c>
      <c r="H3849" s="41" t="n">
        <v>8.8</v>
      </c>
      <c r="I3849" s="31" t="s">
        <v>149</v>
      </c>
      <c r="J3849" s="31" t="n">
        <v>4</v>
      </c>
      <c r="K3849" s="31" t="s">
        <v>150</v>
      </c>
      <c r="L3849" s="45" t="n">
        <f aca="false">DATE(YEAR(B3849),MONTH(B3849),1)</f>
        <v>46235</v>
      </c>
      <c r="M3849" s="31" t="n">
        <f aca="false">WEEKDAY(B3849,2)</f>
        <v>6</v>
      </c>
      <c r="N3849" s="31" t="str">
        <f aca="false">IF(G3849&lt;=INDEX(Assumptions!$B$15:$B$18,MATCH(E3849,Assumptions!$A$15:$A$18,0)),"Yes","No")</f>
        <v>Yes</v>
      </c>
      <c r="O3849" s="31" t="str">
        <f aca="false">IF(H3849="","Open",IF(H3849&lt;=INDEX(Assumptions!$C$15:$C$18,MATCH(E3849,Assumptions!$A$15:$A$18,0)),"Yes","No"))</f>
        <v>Yes</v>
      </c>
    </row>
    <row r="3850" customFormat="false" ht="15" hidden="false" customHeight="false" outlineLevel="0" collapsed="false">
      <c r="A3850" s="31" t="s">
        <v>4000</v>
      </c>
      <c r="B3850" s="44" t="n">
        <v>46256</v>
      </c>
      <c r="C3850" s="31" t="s">
        <v>57</v>
      </c>
      <c r="D3850" s="31" t="s">
        <v>65</v>
      </c>
      <c r="E3850" s="31" t="s">
        <v>50</v>
      </c>
      <c r="F3850" s="31" t="s">
        <v>130</v>
      </c>
      <c r="G3850" s="31" t="n">
        <v>7</v>
      </c>
      <c r="H3850" s="41" t="n">
        <v>7.7</v>
      </c>
      <c r="I3850" s="31" t="s">
        <v>149</v>
      </c>
      <c r="J3850" s="31" t="n">
        <v>5</v>
      </c>
      <c r="K3850" s="31" t="s">
        <v>150</v>
      </c>
      <c r="L3850" s="45" t="n">
        <f aca="false">DATE(YEAR(B3850),MONTH(B3850),1)</f>
        <v>46235</v>
      </c>
      <c r="M3850" s="31" t="n">
        <f aca="false">WEEKDAY(B3850,2)</f>
        <v>6</v>
      </c>
      <c r="N3850" s="31" t="str">
        <f aca="false">IF(G3850&lt;=INDEX(Assumptions!$B$15:$B$18,MATCH(E3850,Assumptions!$A$15:$A$18,0)),"Yes","No")</f>
        <v>Yes</v>
      </c>
      <c r="O3850" s="31" t="str">
        <f aca="false">IF(H3850="","Open",IF(H3850&lt;=INDEX(Assumptions!$C$15:$C$18,MATCH(E3850,Assumptions!$A$15:$A$18,0)),"Yes","No"))</f>
        <v>Yes</v>
      </c>
    </row>
    <row r="3851" customFormat="false" ht="15" hidden="false" customHeight="false" outlineLevel="0" collapsed="false">
      <c r="A3851" s="31" t="s">
        <v>4001</v>
      </c>
      <c r="B3851" s="44" t="n">
        <v>46257</v>
      </c>
      <c r="C3851" s="31" t="s">
        <v>58</v>
      </c>
      <c r="D3851" s="31" t="s">
        <v>68</v>
      </c>
      <c r="E3851" s="31" t="s">
        <v>50</v>
      </c>
      <c r="F3851" s="31" t="s">
        <v>128</v>
      </c>
      <c r="G3851" s="31" t="n">
        <v>16</v>
      </c>
      <c r="H3851" s="41" t="n">
        <v>21.7</v>
      </c>
      <c r="I3851" s="31" t="s">
        <v>64</v>
      </c>
      <c r="J3851" s="31"/>
      <c r="K3851" s="31" t="s">
        <v>150</v>
      </c>
      <c r="L3851" s="45" t="n">
        <f aca="false">DATE(YEAR(B3851),MONTH(B3851),1)</f>
        <v>46235</v>
      </c>
      <c r="M3851" s="31" t="n">
        <f aca="false">WEEKDAY(B3851,2)</f>
        <v>7</v>
      </c>
      <c r="N3851" s="31" t="str">
        <f aca="false">IF(G3851&lt;=INDEX(Assumptions!$B$15:$B$18,MATCH(E3851,Assumptions!$A$15:$A$18,0)),"Yes","No")</f>
        <v>Yes</v>
      </c>
      <c r="O3851" s="31" t="str">
        <f aca="false">IF(H3851="","Open",IF(H3851&lt;=INDEX(Assumptions!$C$15:$C$18,MATCH(E3851,Assumptions!$A$15:$A$18,0)),"Yes","No"))</f>
        <v>No</v>
      </c>
    </row>
    <row r="3852" customFormat="false" ht="15" hidden="false" customHeight="false" outlineLevel="0" collapsed="false">
      <c r="A3852" s="31" t="s">
        <v>4002</v>
      </c>
      <c r="B3852" s="44" t="n">
        <v>46257</v>
      </c>
      <c r="C3852" s="31" t="s">
        <v>59</v>
      </c>
      <c r="D3852" s="31" t="s">
        <v>68</v>
      </c>
      <c r="E3852" s="31" t="s">
        <v>51</v>
      </c>
      <c r="F3852" s="31" t="s">
        <v>133</v>
      </c>
      <c r="G3852" s="31" t="n">
        <v>65</v>
      </c>
      <c r="H3852" s="41" t="n">
        <v>6.9</v>
      </c>
      <c r="I3852" s="31" t="s">
        <v>149</v>
      </c>
      <c r="J3852" s="31" t="n">
        <v>5</v>
      </c>
      <c r="K3852" s="31" t="s">
        <v>150</v>
      </c>
      <c r="L3852" s="45" t="n">
        <f aca="false">DATE(YEAR(B3852),MONTH(B3852),1)</f>
        <v>46235</v>
      </c>
      <c r="M3852" s="31" t="n">
        <f aca="false">WEEKDAY(B3852,2)</f>
        <v>7</v>
      </c>
      <c r="N3852" s="31" t="str">
        <f aca="false">IF(G3852&lt;=INDEX(Assumptions!$B$15:$B$18,MATCH(E3852,Assumptions!$A$15:$A$18,0)),"Yes","No")</f>
        <v>No</v>
      </c>
      <c r="O3852" s="31" t="str">
        <f aca="false">IF(H3852="","Open",IF(H3852&lt;=INDEX(Assumptions!$C$15:$C$18,MATCH(E3852,Assumptions!$A$15:$A$18,0)),"Yes","No"))</f>
        <v>Yes</v>
      </c>
    </row>
    <row r="3853" customFormat="false" ht="15" hidden="false" customHeight="false" outlineLevel="0" collapsed="false">
      <c r="A3853" s="31" t="s">
        <v>4003</v>
      </c>
      <c r="B3853" s="44" t="n">
        <v>46257</v>
      </c>
      <c r="C3853" s="31" t="s">
        <v>58</v>
      </c>
      <c r="D3853" s="31" t="s">
        <v>66</v>
      </c>
      <c r="E3853" s="31" t="s">
        <v>52</v>
      </c>
      <c r="F3853" s="31" t="s">
        <v>131</v>
      </c>
      <c r="G3853" s="31" t="n">
        <v>21</v>
      </c>
      <c r="H3853" s="41" t="n">
        <v>5.9</v>
      </c>
      <c r="I3853" s="31" t="s">
        <v>149</v>
      </c>
      <c r="J3853" s="31"/>
      <c r="K3853" s="31" t="s">
        <v>150</v>
      </c>
      <c r="L3853" s="45" t="n">
        <f aca="false">DATE(YEAR(B3853),MONTH(B3853),1)</f>
        <v>46235</v>
      </c>
      <c r="M3853" s="31" t="n">
        <f aca="false">WEEKDAY(B3853,2)</f>
        <v>7</v>
      </c>
      <c r="N3853" s="31" t="str">
        <f aca="false">IF(G3853&lt;=INDEX(Assumptions!$B$15:$B$18,MATCH(E3853,Assumptions!$A$15:$A$18,0)),"Yes","No")</f>
        <v>Yes</v>
      </c>
      <c r="O3853" s="31" t="str">
        <f aca="false">IF(H3853="","Open",IF(H3853&lt;=INDEX(Assumptions!$C$15:$C$18,MATCH(E3853,Assumptions!$A$15:$A$18,0)),"Yes","No"))</f>
        <v>Yes</v>
      </c>
    </row>
    <row r="3854" customFormat="false" ht="15" hidden="false" customHeight="false" outlineLevel="0" collapsed="false">
      <c r="A3854" s="31" t="s">
        <v>4004</v>
      </c>
      <c r="B3854" s="44" t="n">
        <v>46257</v>
      </c>
      <c r="C3854" s="31" t="s">
        <v>57</v>
      </c>
      <c r="D3854" s="31" t="s">
        <v>65</v>
      </c>
      <c r="E3854" s="31" t="s">
        <v>52</v>
      </c>
      <c r="F3854" s="31" t="s">
        <v>134</v>
      </c>
      <c r="G3854" s="31" t="n">
        <v>8</v>
      </c>
      <c r="H3854" s="41" t="n">
        <v>48.3</v>
      </c>
      <c r="I3854" s="31" t="s">
        <v>149</v>
      </c>
      <c r="J3854" s="31"/>
      <c r="K3854" s="31" t="s">
        <v>150</v>
      </c>
      <c r="L3854" s="45" t="n">
        <f aca="false">DATE(YEAR(B3854),MONTH(B3854),1)</f>
        <v>46235</v>
      </c>
      <c r="M3854" s="31" t="n">
        <f aca="false">WEEKDAY(B3854,2)</f>
        <v>7</v>
      </c>
      <c r="N3854" s="31" t="str">
        <f aca="false">IF(G3854&lt;=INDEX(Assumptions!$B$15:$B$18,MATCH(E3854,Assumptions!$A$15:$A$18,0)),"Yes","No")</f>
        <v>Yes</v>
      </c>
      <c r="O3854" s="31" t="str">
        <f aca="false">IF(H3854="","Open",IF(H3854&lt;=INDEX(Assumptions!$C$15:$C$18,MATCH(E3854,Assumptions!$A$15:$A$18,0)),"Yes","No"))</f>
        <v>Yes</v>
      </c>
    </row>
    <row r="3855" customFormat="false" ht="15" hidden="false" customHeight="false" outlineLevel="0" collapsed="false">
      <c r="A3855" s="31" t="s">
        <v>4005</v>
      </c>
      <c r="B3855" s="44" t="n">
        <v>46257</v>
      </c>
      <c r="C3855" s="31" t="s">
        <v>58</v>
      </c>
      <c r="D3855" s="31" t="s">
        <v>65</v>
      </c>
      <c r="E3855" s="31" t="s">
        <v>51</v>
      </c>
      <c r="F3855" s="31" t="s">
        <v>136</v>
      </c>
      <c r="G3855" s="31" t="n">
        <v>9</v>
      </c>
      <c r="H3855" s="41" t="n">
        <v>9.1</v>
      </c>
      <c r="I3855" s="31" t="s">
        <v>149</v>
      </c>
      <c r="J3855" s="31"/>
      <c r="K3855" s="31" t="s">
        <v>150</v>
      </c>
      <c r="L3855" s="45" t="n">
        <f aca="false">DATE(YEAR(B3855),MONTH(B3855),1)</f>
        <v>46235</v>
      </c>
      <c r="M3855" s="31" t="n">
        <f aca="false">WEEKDAY(B3855,2)</f>
        <v>7</v>
      </c>
      <c r="N3855" s="31" t="str">
        <f aca="false">IF(G3855&lt;=INDEX(Assumptions!$B$15:$B$18,MATCH(E3855,Assumptions!$A$15:$A$18,0)),"Yes","No")</f>
        <v>Yes</v>
      </c>
      <c r="O3855" s="31" t="str">
        <f aca="false">IF(H3855="","Open",IF(H3855&lt;=INDEX(Assumptions!$C$15:$C$18,MATCH(E3855,Assumptions!$A$15:$A$18,0)),"Yes","No"))</f>
        <v>Yes</v>
      </c>
    </row>
    <row r="3856" customFormat="false" ht="15" hidden="false" customHeight="false" outlineLevel="0" collapsed="false">
      <c r="A3856" s="31" t="s">
        <v>4006</v>
      </c>
      <c r="B3856" s="44" t="n">
        <v>46257</v>
      </c>
      <c r="C3856" s="31" t="s">
        <v>58</v>
      </c>
      <c r="D3856" s="31" t="s">
        <v>65</v>
      </c>
      <c r="E3856" s="31" t="s">
        <v>51</v>
      </c>
      <c r="F3856" s="31" t="s">
        <v>122</v>
      </c>
      <c r="G3856" s="31" t="n">
        <v>13</v>
      </c>
      <c r="H3856" s="41" t="n">
        <v>0.6</v>
      </c>
      <c r="I3856" s="31" t="s">
        <v>149</v>
      </c>
      <c r="J3856" s="31" t="n">
        <v>5</v>
      </c>
      <c r="K3856" s="31" t="s">
        <v>150</v>
      </c>
      <c r="L3856" s="45" t="n">
        <f aca="false">DATE(YEAR(B3856),MONTH(B3856),1)</f>
        <v>46235</v>
      </c>
      <c r="M3856" s="31" t="n">
        <f aca="false">WEEKDAY(B3856,2)</f>
        <v>7</v>
      </c>
      <c r="N3856" s="31" t="str">
        <f aca="false">IF(G3856&lt;=INDEX(Assumptions!$B$15:$B$18,MATCH(E3856,Assumptions!$A$15:$A$18,0)),"Yes","No")</f>
        <v>Yes</v>
      </c>
      <c r="O3856" s="31" t="str">
        <f aca="false">IF(H3856="","Open",IF(H3856&lt;=INDEX(Assumptions!$C$15:$C$18,MATCH(E3856,Assumptions!$A$15:$A$18,0)),"Yes","No"))</f>
        <v>Yes</v>
      </c>
    </row>
    <row r="3857" customFormat="false" ht="15" hidden="false" customHeight="false" outlineLevel="0" collapsed="false">
      <c r="A3857" s="31" t="s">
        <v>4007</v>
      </c>
      <c r="B3857" s="44" t="n">
        <v>46257</v>
      </c>
      <c r="C3857" s="31" t="s">
        <v>58</v>
      </c>
      <c r="D3857" s="31" t="s">
        <v>66</v>
      </c>
      <c r="E3857" s="31" t="s">
        <v>51</v>
      </c>
      <c r="F3857" s="31" t="s">
        <v>123</v>
      </c>
      <c r="G3857" s="31" t="n">
        <v>4</v>
      </c>
      <c r="H3857" s="41" t="n">
        <v>12.5</v>
      </c>
      <c r="I3857" s="31" t="s">
        <v>149</v>
      </c>
      <c r="J3857" s="31"/>
      <c r="K3857" s="31" t="s">
        <v>150</v>
      </c>
      <c r="L3857" s="45" t="n">
        <f aca="false">DATE(YEAR(B3857),MONTH(B3857),1)</f>
        <v>46235</v>
      </c>
      <c r="M3857" s="31" t="n">
        <f aca="false">WEEKDAY(B3857,2)</f>
        <v>7</v>
      </c>
      <c r="N3857" s="31" t="str">
        <f aca="false">IF(G3857&lt;=INDEX(Assumptions!$B$15:$B$18,MATCH(E3857,Assumptions!$A$15:$A$18,0)),"Yes","No")</f>
        <v>Yes</v>
      </c>
      <c r="O3857" s="31" t="str">
        <f aca="false">IF(H3857="","Open",IF(H3857&lt;=INDEX(Assumptions!$C$15:$C$18,MATCH(E3857,Assumptions!$A$15:$A$18,0)),"Yes","No"))</f>
        <v>Yes</v>
      </c>
    </row>
    <row r="3858" customFormat="false" ht="15" hidden="false" customHeight="false" outlineLevel="0" collapsed="false">
      <c r="A3858" s="31" t="s">
        <v>4008</v>
      </c>
      <c r="B3858" s="44" t="n">
        <v>46257</v>
      </c>
      <c r="C3858" s="31" t="s">
        <v>57</v>
      </c>
      <c r="D3858" s="31" t="s">
        <v>66</v>
      </c>
      <c r="E3858" s="31" t="s">
        <v>50</v>
      </c>
      <c r="F3858" s="31" t="s">
        <v>121</v>
      </c>
      <c r="G3858" s="31" t="n">
        <v>1</v>
      </c>
      <c r="H3858" s="41" t="n">
        <v>3.9</v>
      </c>
      <c r="I3858" s="31" t="s">
        <v>149</v>
      </c>
      <c r="J3858" s="31" t="n">
        <v>4</v>
      </c>
      <c r="K3858" s="31" t="s">
        <v>150</v>
      </c>
      <c r="L3858" s="45" t="n">
        <f aca="false">DATE(YEAR(B3858),MONTH(B3858),1)</f>
        <v>46235</v>
      </c>
      <c r="M3858" s="31" t="n">
        <f aca="false">WEEKDAY(B3858,2)</f>
        <v>7</v>
      </c>
      <c r="N3858" s="31" t="str">
        <f aca="false">IF(G3858&lt;=INDEX(Assumptions!$B$15:$B$18,MATCH(E3858,Assumptions!$A$15:$A$18,0)),"Yes","No")</f>
        <v>Yes</v>
      </c>
      <c r="O3858" s="31" t="str">
        <f aca="false">IF(H3858="","Open",IF(H3858&lt;=INDEX(Assumptions!$C$15:$C$18,MATCH(E3858,Assumptions!$A$15:$A$18,0)),"Yes","No"))</f>
        <v>Yes</v>
      </c>
    </row>
    <row r="3859" customFormat="false" ht="15" hidden="false" customHeight="false" outlineLevel="0" collapsed="false">
      <c r="A3859" s="31" t="s">
        <v>4009</v>
      </c>
      <c r="B3859" s="44" t="n">
        <v>46257</v>
      </c>
      <c r="C3859" s="31" t="s">
        <v>60</v>
      </c>
      <c r="D3859" s="31" t="s">
        <v>69</v>
      </c>
      <c r="E3859" s="31" t="s">
        <v>51</v>
      </c>
      <c r="F3859" s="31" t="s">
        <v>119</v>
      </c>
      <c r="G3859" s="31" t="n">
        <v>5</v>
      </c>
      <c r="H3859" s="41" t="n">
        <v>14.4</v>
      </c>
      <c r="I3859" s="31" t="s">
        <v>149</v>
      </c>
      <c r="J3859" s="31"/>
      <c r="K3859" s="31" t="s">
        <v>153</v>
      </c>
      <c r="L3859" s="45" t="n">
        <f aca="false">DATE(YEAR(B3859),MONTH(B3859),1)</f>
        <v>46235</v>
      </c>
      <c r="M3859" s="31" t="n">
        <f aca="false">WEEKDAY(B3859,2)</f>
        <v>7</v>
      </c>
      <c r="N3859" s="31" t="str">
        <f aca="false">IF(G3859&lt;=INDEX(Assumptions!$B$15:$B$18,MATCH(E3859,Assumptions!$A$15:$A$18,0)),"Yes","No")</f>
        <v>Yes</v>
      </c>
      <c r="O3859" s="31" t="str">
        <f aca="false">IF(H3859="","Open",IF(H3859&lt;=INDEX(Assumptions!$C$15:$C$18,MATCH(E3859,Assumptions!$A$15:$A$18,0)),"Yes","No"))</f>
        <v>Yes</v>
      </c>
    </row>
    <row r="3860" customFormat="false" ht="15" hidden="false" customHeight="false" outlineLevel="0" collapsed="false">
      <c r="A3860" s="31" t="s">
        <v>4010</v>
      </c>
      <c r="B3860" s="44" t="n">
        <v>46257</v>
      </c>
      <c r="C3860" s="31" t="s">
        <v>58</v>
      </c>
      <c r="D3860" s="31" t="s">
        <v>69</v>
      </c>
      <c r="E3860" s="31" t="s">
        <v>51</v>
      </c>
      <c r="F3860" s="31" t="s">
        <v>127</v>
      </c>
      <c r="G3860" s="31" t="n">
        <v>4</v>
      </c>
      <c r="H3860" s="41" t="n">
        <v>43.2</v>
      </c>
      <c r="I3860" s="31" t="s">
        <v>149</v>
      </c>
      <c r="J3860" s="31"/>
      <c r="K3860" s="31" t="s">
        <v>150</v>
      </c>
      <c r="L3860" s="45" t="n">
        <f aca="false">DATE(YEAR(B3860),MONTH(B3860),1)</f>
        <v>46235</v>
      </c>
      <c r="M3860" s="31" t="n">
        <f aca="false">WEEKDAY(B3860,2)</f>
        <v>7</v>
      </c>
      <c r="N3860" s="31" t="str">
        <f aca="false">IF(G3860&lt;=INDEX(Assumptions!$B$15:$B$18,MATCH(E3860,Assumptions!$A$15:$A$18,0)),"Yes","No")</f>
        <v>Yes</v>
      </c>
      <c r="O3860" s="31" t="str">
        <f aca="false">IF(H3860="","Open",IF(H3860&lt;=INDEX(Assumptions!$C$15:$C$18,MATCH(E3860,Assumptions!$A$15:$A$18,0)),"Yes","No"))</f>
        <v>No</v>
      </c>
    </row>
    <row r="3861" customFormat="false" ht="15" hidden="false" customHeight="false" outlineLevel="0" collapsed="false">
      <c r="A3861" s="31" t="s">
        <v>4011</v>
      </c>
      <c r="B3861" s="44" t="n">
        <v>46257</v>
      </c>
      <c r="C3861" s="31" t="s">
        <v>59</v>
      </c>
      <c r="D3861" s="31" t="s">
        <v>66</v>
      </c>
      <c r="E3861" s="31" t="s">
        <v>49</v>
      </c>
      <c r="F3861" s="31" t="s">
        <v>131</v>
      </c>
      <c r="G3861" s="31" t="n">
        <v>62</v>
      </c>
      <c r="H3861" s="41" t="n">
        <v>5.3</v>
      </c>
      <c r="I3861" s="31" t="s">
        <v>149</v>
      </c>
      <c r="J3861" s="31" t="n">
        <v>4</v>
      </c>
      <c r="K3861" s="31" t="s">
        <v>150</v>
      </c>
      <c r="L3861" s="45" t="n">
        <f aca="false">DATE(YEAR(B3861),MONTH(B3861),1)</f>
        <v>46235</v>
      </c>
      <c r="M3861" s="31" t="n">
        <f aca="false">WEEKDAY(B3861,2)</f>
        <v>7</v>
      </c>
      <c r="N3861" s="31" t="str">
        <f aca="false">IF(G3861&lt;=INDEX(Assumptions!$B$15:$B$18,MATCH(E3861,Assumptions!$A$15:$A$18,0)),"Yes","No")</f>
        <v>No</v>
      </c>
      <c r="O3861" s="31" t="str">
        <f aca="false">IF(H3861="","Open",IF(H3861&lt;=INDEX(Assumptions!$C$15:$C$18,MATCH(E3861,Assumptions!$A$15:$A$18,0)),"Yes","No"))</f>
        <v>No</v>
      </c>
    </row>
    <row r="3862" customFormat="false" ht="15" hidden="false" customHeight="false" outlineLevel="0" collapsed="false">
      <c r="A3862" s="31" t="s">
        <v>4012</v>
      </c>
      <c r="B3862" s="44" t="n">
        <v>46257</v>
      </c>
      <c r="C3862" s="31" t="s">
        <v>58</v>
      </c>
      <c r="D3862" s="31" t="s">
        <v>69</v>
      </c>
      <c r="E3862" s="31" t="s">
        <v>49</v>
      </c>
      <c r="F3862" s="31" t="s">
        <v>134</v>
      </c>
      <c r="G3862" s="31" t="n">
        <v>5</v>
      </c>
      <c r="H3862" s="41" t="n">
        <v>6.4</v>
      </c>
      <c r="I3862" s="31" t="s">
        <v>149</v>
      </c>
      <c r="J3862" s="31"/>
      <c r="K3862" s="31" t="s">
        <v>150</v>
      </c>
      <c r="L3862" s="45" t="n">
        <f aca="false">DATE(YEAR(B3862),MONTH(B3862),1)</f>
        <v>46235</v>
      </c>
      <c r="M3862" s="31" t="n">
        <f aca="false">WEEKDAY(B3862,2)</f>
        <v>7</v>
      </c>
      <c r="N3862" s="31" t="str">
        <f aca="false">IF(G3862&lt;=INDEX(Assumptions!$B$15:$B$18,MATCH(E3862,Assumptions!$A$15:$A$18,0)),"Yes","No")</f>
        <v>Yes</v>
      </c>
      <c r="O3862" s="31" t="str">
        <f aca="false">IF(H3862="","Open",IF(H3862&lt;=INDEX(Assumptions!$C$15:$C$18,MATCH(E3862,Assumptions!$A$15:$A$18,0)),"Yes","No"))</f>
        <v>No</v>
      </c>
    </row>
    <row r="3863" customFormat="false" ht="15" hidden="false" customHeight="false" outlineLevel="0" collapsed="false">
      <c r="A3863" s="31" t="s">
        <v>4013</v>
      </c>
      <c r="B3863" s="44" t="n">
        <v>46257</v>
      </c>
      <c r="C3863" s="31" t="s">
        <v>59</v>
      </c>
      <c r="D3863" s="31" t="s">
        <v>65</v>
      </c>
      <c r="E3863" s="31" t="s">
        <v>52</v>
      </c>
      <c r="F3863" s="31" t="s">
        <v>123</v>
      </c>
      <c r="G3863" s="31" t="n">
        <v>150</v>
      </c>
      <c r="H3863" s="41" t="n">
        <v>37.9</v>
      </c>
      <c r="I3863" s="31" t="s">
        <v>149</v>
      </c>
      <c r="J3863" s="31" t="n">
        <v>4</v>
      </c>
      <c r="K3863" s="31" t="s">
        <v>150</v>
      </c>
      <c r="L3863" s="45" t="n">
        <f aca="false">DATE(YEAR(B3863),MONTH(B3863),1)</f>
        <v>46235</v>
      </c>
      <c r="M3863" s="31" t="n">
        <f aca="false">WEEKDAY(B3863,2)</f>
        <v>7</v>
      </c>
      <c r="N3863" s="31" t="str">
        <f aca="false">IF(G3863&lt;=INDEX(Assumptions!$B$15:$B$18,MATCH(E3863,Assumptions!$A$15:$A$18,0)),"Yes","No")</f>
        <v>Yes</v>
      </c>
      <c r="O3863" s="31" t="str">
        <f aca="false">IF(H3863="","Open",IF(H3863&lt;=INDEX(Assumptions!$C$15:$C$18,MATCH(E3863,Assumptions!$A$15:$A$18,0)),"Yes","No"))</f>
        <v>Yes</v>
      </c>
    </row>
    <row r="3864" customFormat="false" ht="15" hidden="false" customHeight="false" outlineLevel="0" collapsed="false">
      <c r="A3864" s="31" t="s">
        <v>4014</v>
      </c>
      <c r="B3864" s="44" t="n">
        <v>46257</v>
      </c>
      <c r="C3864" s="31" t="s">
        <v>59</v>
      </c>
      <c r="D3864" s="31" t="s">
        <v>67</v>
      </c>
      <c r="E3864" s="31" t="s">
        <v>51</v>
      </c>
      <c r="F3864" s="31" t="s">
        <v>134</v>
      </c>
      <c r="G3864" s="31" t="n">
        <v>134</v>
      </c>
      <c r="H3864" s="41" t="n">
        <v>15.7</v>
      </c>
      <c r="I3864" s="31" t="s">
        <v>149</v>
      </c>
      <c r="J3864" s="31"/>
      <c r="K3864" s="31" t="s">
        <v>150</v>
      </c>
      <c r="L3864" s="45" t="n">
        <f aca="false">DATE(YEAR(B3864),MONTH(B3864),1)</f>
        <v>46235</v>
      </c>
      <c r="M3864" s="31" t="n">
        <f aca="false">WEEKDAY(B3864,2)</f>
        <v>7</v>
      </c>
      <c r="N3864" s="31" t="str">
        <f aca="false">IF(G3864&lt;=INDEX(Assumptions!$B$15:$B$18,MATCH(E3864,Assumptions!$A$15:$A$18,0)),"Yes","No")</f>
        <v>No</v>
      </c>
      <c r="O3864" s="31" t="str">
        <f aca="false">IF(H3864="","Open",IF(H3864&lt;=INDEX(Assumptions!$C$15:$C$18,MATCH(E3864,Assumptions!$A$15:$A$18,0)),"Yes","No"))</f>
        <v>Yes</v>
      </c>
    </row>
    <row r="3865" customFormat="false" ht="15" hidden="false" customHeight="false" outlineLevel="0" collapsed="false">
      <c r="A3865" s="31" t="s">
        <v>4015</v>
      </c>
      <c r="B3865" s="44" t="n">
        <v>46257</v>
      </c>
      <c r="C3865" s="31" t="s">
        <v>57</v>
      </c>
      <c r="D3865" s="31" t="s">
        <v>67</v>
      </c>
      <c r="E3865" s="31" t="s">
        <v>50</v>
      </c>
      <c r="F3865" s="31" t="s">
        <v>127</v>
      </c>
      <c r="G3865" s="31" t="n">
        <v>1</v>
      </c>
      <c r="H3865" s="41" t="n">
        <v>8.9</v>
      </c>
      <c r="I3865" s="31" t="s">
        <v>149</v>
      </c>
      <c r="J3865" s="31"/>
      <c r="K3865" s="31" t="s">
        <v>150</v>
      </c>
      <c r="L3865" s="45" t="n">
        <f aca="false">DATE(YEAR(B3865),MONTH(B3865),1)</f>
        <v>46235</v>
      </c>
      <c r="M3865" s="31" t="n">
        <f aca="false">WEEKDAY(B3865,2)</f>
        <v>7</v>
      </c>
      <c r="N3865" s="31" t="str">
        <f aca="false">IF(G3865&lt;=INDEX(Assumptions!$B$15:$B$18,MATCH(E3865,Assumptions!$A$15:$A$18,0)),"Yes","No")</f>
        <v>Yes</v>
      </c>
      <c r="O3865" s="31" t="str">
        <f aca="false">IF(H3865="","Open",IF(H3865&lt;=INDEX(Assumptions!$C$15:$C$18,MATCH(E3865,Assumptions!$A$15:$A$18,0)),"Yes","No"))</f>
        <v>No</v>
      </c>
    </row>
    <row r="3866" customFormat="false" ht="15" hidden="false" customHeight="false" outlineLevel="0" collapsed="false">
      <c r="A3866" s="31" t="s">
        <v>4016</v>
      </c>
      <c r="B3866" s="44" t="n">
        <v>46257</v>
      </c>
      <c r="C3866" s="31" t="s">
        <v>57</v>
      </c>
      <c r="D3866" s="31" t="s">
        <v>67</v>
      </c>
      <c r="E3866" s="31" t="s">
        <v>50</v>
      </c>
      <c r="F3866" s="31" t="s">
        <v>127</v>
      </c>
      <c r="G3866" s="31" t="n">
        <v>1</v>
      </c>
      <c r="H3866" s="41" t="n">
        <v>15.8</v>
      </c>
      <c r="I3866" s="31" t="s">
        <v>149</v>
      </c>
      <c r="J3866" s="31"/>
      <c r="K3866" s="31" t="s">
        <v>150</v>
      </c>
      <c r="L3866" s="45" t="n">
        <f aca="false">DATE(YEAR(B3866),MONTH(B3866),1)</f>
        <v>46235</v>
      </c>
      <c r="M3866" s="31" t="n">
        <f aca="false">WEEKDAY(B3866,2)</f>
        <v>7</v>
      </c>
      <c r="N3866" s="31" t="str">
        <f aca="false">IF(G3866&lt;=INDEX(Assumptions!$B$15:$B$18,MATCH(E3866,Assumptions!$A$15:$A$18,0)),"Yes","No")</f>
        <v>Yes</v>
      </c>
      <c r="O3866" s="31" t="str">
        <f aca="false">IF(H3866="","Open",IF(H3866&lt;=INDEX(Assumptions!$C$15:$C$18,MATCH(E3866,Assumptions!$A$15:$A$18,0)),"Yes","No"))</f>
        <v>No</v>
      </c>
    </row>
    <row r="3867" customFormat="false" ht="15" hidden="false" customHeight="false" outlineLevel="0" collapsed="false">
      <c r="A3867" s="31" t="s">
        <v>4017</v>
      </c>
      <c r="B3867" s="44" t="n">
        <v>46257</v>
      </c>
      <c r="C3867" s="31" t="s">
        <v>58</v>
      </c>
      <c r="D3867" s="31" t="s">
        <v>69</v>
      </c>
      <c r="E3867" s="31" t="s">
        <v>52</v>
      </c>
      <c r="F3867" s="31" t="s">
        <v>133</v>
      </c>
      <c r="G3867" s="31" t="n">
        <v>13</v>
      </c>
      <c r="H3867" s="41" t="n">
        <v>159.8</v>
      </c>
      <c r="I3867" s="31" t="s">
        <v>149</v>
      </c>
      <c r="J3867" s="31"/>
      <c r="K3867" s="31" t="s">
        <v>150</v>
      </c>
      <c r="L3867" s="45" t="n">
        <f aca="false">DATE(YEAR(B3867),MONTH(B3867),1)</f>
        <v>46235</v>
      </c>
      <c r="M3867" s="31" t="n">
        <f aca="false">WEEKDAY(B3867,2)</f>
        <v>7</v>
      </c>
      <c r="N3867" s="31" t="str">
        <f aca="false">IF(G3867&lt;=INDEX(Assumptions!$B$15:$B$18,MATCH(E3867,Assumptions!$A$15:$A$18,0)),"Yes","No")</f>
        <v>Yes</v>
      </c>
      <c r="O3867" s="31" t="str">
        <f aca="false">IF(H3867="","Open",IF(H3867&lt;=INDEX(Assumptions!$C$15:$C$18,MATCH(E3867,Assumptions!$A$15:$A$18,0)),"Yes","No"))</f>
        <v>No</v>
      </c>
    </row>
    <row r="3868" customFormat="false" ht="15" hidden="false" customHeight="false" outlineLevel="0" collapsed="false">
      <c r="A3868" s="31" t="s">
        <v>4018</v>
      </c>
      <c r="B3868" s="44" t="n">
        <v>46257</v>
      </c>
      <c r="C3868" s="31" t="s">
        <v>57</v>
      </c>
      <c r="D3868" s="31" t="s">
        <v>67</v>
      </c>
      <c r="E3868" s="31" t="s">
        <v>52</v>
      </c>
      <c r="F3868" s="31" t="s">
        <v>120</v>
      </c>
      <c r="G3868" s="31" t="n">
        <v>4</v>
      </c>
      <c r="H3868" s="41" t="n">
        <v>23.6</v>
      </c>
      <c r="I3868" s="31" t="s">
        <v>149</v>
      </c>
      <c r="J3868" s="31"/>
      <c r="K3868" s="31" t="s">
        <v>150</v>
      </c>
      <c r="L3868" s="45" t="n">
        <f aca="false">DATE(YEAR(B3868),MONTH(B3868),1)</f>
        <v>46235</v>
      </c>
      <c r="M3868" s="31" t="n">
        <f aca="false">WEEKDAY(B3868,2)</f>
        <v>7</v>
      </c>
      <c r="N3868" s="31" t="str">
        <f aca="false">IF(G3868&lt;=INDEX(Assumptions!$B$15:$B$18,MATCH(E3868,Assumptions!$A$15:$A$18,0)),"Yes","No")</f>
        <v>Yes</v>
      </c>
      <c r="O3868" s="31" t="str">
        <f aca="false">IF(H3868="","Open",IF(H3868&lt;=INDEX(Assumptions!$C$15:$C$18,MATCH(E3868,Assumptions!$A$15:$A$18,0)),"Yes","No"))</f>
        <v>Yes</v>
      </c>
    </row>
    <row r="3869" customFormat="false" ht="15" hidden="false" customHeight="false" outlineLevel="0" collapsed="false">
      <c r="A3869" s="31" t="s">
        <v>4019</v>
      </c>
      <c r="B3869" s="44" t="n">
        <v>46257</v>
      </c>
      <c r="C3869" s="31" t="s">
        <v>60</v>
      </c>
      <c r="D3869" s="31" t="s">
        <v>69</v>
      </c>
      <c r="E3869" s="31" t="s">
        <v>51</v>
      </c>
      <c r="F3869" s="31" t="s">
        <v>123</v>
      </c>
      <c r="G3869" s="31" t="n">
        <v>2</v>
      </c>
      <c r="H3869" s="41" t="n">
        <v>26.9</v>
      </c>
      <c r="I3869" s="31" t="s">
        <v>149</v>
      </c>
      <c r="J3869" s="31" t="n">
        <v>4</v>
      </c>
      <c r="K3869" s="31" t="s">
        <v>150</v>
      </c>
      <c r="L3869" s="45" t="n">
        <f aca="false">DATE(YEAR(B3869),MONTH(B3869),1)</f>
        <v>46235</v>
      </c>
      <c r="M3869" s="31" t="n">
        <f aca="false">WEEKDAY(B3869,2)</f>
        <v>7</v>
      </c>
      <c r="N3869" s="31" t="str">
        <f aca="false">IF(G3869&lt;=INDEX(Assumptions!$B$15:$B$18,MATCH(E3869,Assumptions!$A$15:$A$18,0)),"Yes","No")</f>
        <v>Yes</v>
      </c>
      <c r="O3869" s="31" t="str">
        <f aca="false">IF(H3869="","Open",IF(H3869&lt;=INDEX(Assumptions!$C$15:$C$18,MATCH(E3869,Assumptions!$A$15:$A$18,0)),"Yes","No"))</f>
        <v>No</v>
      </c>
    </row>
    <row r="3870" customFormat="false" ht="15" hidden="false" customHeight="false" outlineLevel="0" collapsed="false">
      <c r="A3870" s="31" t="s">
        <v>4020</v>
      </c>
      <c r="B3870" s="44" t="n">
        <v>46257</v>
      </c>
      <c r="C3870" s="31" t="s">
        <v>58</v>
      </c>
      <c r="D3870" s="31" t="s">
        <v>69</v>
      </c>
      <c r="E3870" s="31" t="s">
        <v>51</v>
      </c>
      <c r="F3870" s="31" t="s">
        <v>136</v>
      </c>
      <c r="G3870" s="31" t="n">
        <v>6</v>
      </c>
      <c r="H3870" s="41" t="n">
        <v>19.6</v>
      </c>
      <c r="I3870" s="31" t="s">
        <v>64</v>
      </c>
      <c r="J3870" s="31" t="n">
        <v>4</v>
      </c>
      <c r="K3870" s="31" t="s">
        <v>150</v>
      </c>
      <c r="L3870" s="45" t="n">
        <f aca="false">DATE(YEAR(B3870),MONTH(B3870),1)</f>
        <v>46235</v>
      </c>
      <c r="M3870" s="31" t="n">
        <f aca="false">WEEKDAY(B3870,2)</f>
        <v>7</v>
      </c>
      <c r="N3870" s="31" t="str">
        <f aca="false">IF(G3870&lt;=INDEX(Assumptions!$B$15:$B$18,MATCH(E3870,Assumptions!$A$15:$A$18,0)),"Yes","No")</f>
        <v>Yes</v>
      </c>
      <c r="O3870" s="31" t="str">
        <f aca="false">IF(H3870="","Open",IF(H3870&lt;=INDEX(Assumptions!$C$15:$C$18,MATCH(E3870,Assumptions!$A$15:$A$18,0)),"Yes","No"))</f>
        <v>Yes</v>
      </c>
    </row>
    <row r="3871" customFormat="false" ht="15" hidden="false" customHeight="false" outlineLevel="0" collapsed="false">
      <c r="A3871" s="31" t="s">
        <v>4021</v>
      </c>
      <c r="B3871" s="44" t="n">
        <v>46257</v>
      </c>
      <c r="C3871" s="31" t="s">
        <v>58</v>
      </c>
      <c r="D3871" s="31" t="s">
        <v>66</v>
      </c>
      <c r="E3871" s="31" t="s">
        <v>50</v>
      </c>
      <c r="F3871" s="31" t="s">
        <v>134</v>
      </c>
      <c r="G3871" s="31" t="n">
        <v>16</v>
      </c>
      <c r="H3871" s="41" t="n">
        <v>25.6</v>
      </c>
      <c r="I3871" s="31" t="s">
        <v>149</v>
      </c>
      <c r="J3871" s="31"/>
      <c r="K3871" s="31" t="s">
        <v>150</v>
      </c>
      <c r="L3871" s="45" t="n">
        <f aca="false">DATE(YEAR(B3871),MONTH(B3871),1)</f>
        <v>46235</v>
      </c>
      <c r="M3871" s="31" t="n">
        <f aca="false">WEEKDAY(B3871,2)</f>
        <v>7</v>
      </c>
      <c r="N3871" s="31" t="str">
        <f aca="false">IF(G3871&lt;=INDEX(Assumptions!$B$15:$B$18,MATCH(E3871,Assumptions!$A$15:$A$18,0)),"Yes","No")</f>
        <v>Yes</v>
      </c>
      <c r="O3871" s="31" t="str">
        <f aca="false">IF(H3871="","Open",IF(H3871&lt;=INDEX(Assumptions!$C$15:$C$18,MATCH(E3871,Assumptions!$A$15:$A$18,0)),"Yes","No"))</f>
        <v>No</v>
      </c>
    </row>
    <row r="3872" customFormat="false" ht="15" hidden="false" customHeight="false" outlineLevel="0" collapsed="false">
      <c r="A3872" s="31" t="s">
        <v>4022</v>
      </c>
      <c r="B3872" s="44" t="n">
        <v>46257</v>
      </c>
      <c r="C3872" s="31" t="s">
        <v>58</v>
      </c>
      <c r="D3872" s="31" t="s">
        <v>65</v>
      </c>
      <c r="E3872" s="31" t="s">
        <v>51</v>
      </c>
      <c r="F3872" s="31" t="s">
        <v>122</v>
      </c>
      <c r="G3872" s="31" t="n">
        <v>6</v>
      </c>
      <c r="H3872" s="41" t="n">
        <v>6.9</v>
      </c>
      <c r="I3872" s="31" t="s">
        <v>149</v>
      </c>
      <c r="J3872" s="31" t="n">
        <v>5</v>
      </c>
      <c r="K3872" s="31" t="s">
        <v>150</v>
      </c>
      <c r="L3872" s="45" t="n">
        <f aca="false">DATE(YEAR(B3872),MONTH(B3872),1)</f>
        <v>46235</v>
      </c>
      <c r="M3872" s="31" t="n">
        <f aca="false">WEEKDAY(B3872,2)</f>
        <v>7</v>
      </c>
      <c r="N3872" s="31" t="str">
        <f aca="false">IF(G3872&lt;=INDEX(Assumptions!$B$15:$B$18,MATCH(E3872,Assumptions!$A$15:$A$18,0)),"Yes","No")</f>
        <v>Yes</v>
      </c>
      <c r="O3872" s="31" t="str">
        <f aca="false">IF(H3872="","Open",IF(H3872&lt;=INDEX(Assumptions!$C$15:$C$18,MATCH(E3872,Assumptions!$A$15:$A$18,0)),"Yes","No"))</f>
        <v>Yes</v>
      </c>
    </row>
    <row r="3873" customFormat="false" ht="15" hidden="false" customHeight="false" outlineLevel="0" collapsed="false">
      <c r="A3873" s="31" t="s">
        <v>4023</v>
      </c>
      <c r="B3873" s="44" t="n">
        <v>46257</v>
      </c>
      <c r="C3873" s="31" t="s">
        <v>59</v>
      </c>
      <c r="D3873" s="31" t="s">
        <v>65</v>
      </c>
      <c r="E3873" s="31" t="s">
        <v>50</v>
      </c>
      <c r="F3873" s="31" t="s">
        <v>119</v>
      </c>
      <c r="G3873" s="31" t="n">
        <v>14</v>
      </c>
      <c r="H3873" s="41" t="n">
        <v>3.3</v>
      </c>
      <c r="I3873" s="31" t="s">
        <v>149</v>
      </c>
      <c r="J3873" s="31"/>
      <c r="K3873" s="31" t="s">
        <v>150</v>
      </c>
      <c r="L3873" s="45" t="n">
        <f aca="false">DATE(YEAR(B3873),MONTH(B3873),1)</f>
        <v>46235</v>
      </c>
      <c r="M3873" s="31" t="n">
        <f aca="false">WEEKDAY(B3873,2)</f>
        <v>7</v>
      </c>
      <c r="N3873" s="31" t="str">
        <f aca="false">IF(G3873&lt;=INDEX(Assumptions!$B$15:$B$18,MATCH(E3873,Assumptions!$A$15:$A$18,0)),"Yes","No")</f>
        <v>Yes</v>
      </c>
      <c r="O3873" s="31" t="str">
        <f aca="false">IF(H3873="","Open",IF(H3873&lt;=INDEX(Assumptions!$C$15:$C$18,MATCH(E3873,Assumptions!$A$15:$A$18,0)),"Yes","No"))</f>
        <v>Yes</v>
      </c>
    </row>
    <row r="3874" customFormat="false" ht="15" hidden="false" customHeight="false" outlineLevel="0" collapsed="false">
      <c r="A3874" s="31" t="s">
        <v>4024</v>
      </c>
      <c r="B3874" s="44" t="n">
        <v>46257</v>
      </c>
      <c r="C3874" s="31" t="s">
        <v>58</v>
      </c>
      <c r="D3874" s="31" t="s">
        <v>69</v>
      </c>
      <c r="E3874" s="31" t="s">
        <v>52</v>
      </c>
      <c r="F3874" s="31" t="s">
        <v>127</v>
      </c>
      <c r="G3874" s="31" t="n">
        <v>28</v>
      </c>
      <c r="H3874" s="41" t="n">
        <v>11.5</v>
      </c>
      <c r="I3874" s="31" t="s">
        <v>149</v>
      </c>
      <c r="J3874" s="31"/>
      <c r="K3874" s="31" t="s">
        <v>150</v>
      </c>
      <c r="L3874" s="45" t="n">
        <f aca="false">DATE(YEAR(B3874),MONTH(B3874),1)</f>
        <v>46235</v>
      </c>
      <c r="M3874" s="31" t="n">
        <f aca="false">WEEKDAY(B3874,2)</f>
        <v>7</v>
      </c>
      <c r="N3874" s="31" t="str">
        <f aca="false">IF(G3874&lt;=INDEX(Assumptions!$B$15:$B$18,MATCH(E3874,Assumptions!$A$15:$A$18,0)),"Yes","No")</f>
        <v>Yes</v>
      </c>
      <c r="O3874" s="31" t="str">
        <f aca="false">IF(H3874="","Open",IF(H3874&lt;=INDEX(Assumptions!$C$15:$C$18,MATCH(E3874,Assumptions!$A$15:$A$18,0)),"Yes","No"))</f>
        <v>Yes</v>
      </c>
    </row>
    <row r="3875" customFormat="false" ht="15" hidden="false" customHeight="false" outlineLevel="0" collapsed="false">
      <c r="A3875" s="31" t="s">
        <v>4025</v>
      </c>
      <c r="B3875" s="44" t="n">
        <v>46257</v>
      </c>
      <c r="C3875" s="31" t="s">
        <v>58</v>
      </c>
      <c r="D3875" s="31" t="s">
        <v>66</v>
      </c>
      <c r="E3875" s="31" t="s">
        <v>50</v>
      </c>
      <c r="F3875" s="31" t="s">
        <v>134</v>
      </c>
      <c r="G3875" s="31" t="n">
        <v>6</v>
      </c>
      <c r="H3875" s="41" t="n">
        <v>16</v>
      </c>
      <c r="I3875" s="31" t="s">
        <v>149</v>
      </c>
      <c r="J3875" s="31"/>
      <c r="K3875" s="31" t="s">
        <v>150</v>
      </c>
      <c r="L3875" s="45" t="n">
        <f aca="false">DATE(YEAR(B3875),MONTH(B3875),1)</f>
        <v>46235</v>
      </c>
      <c r="M3875" s="31" t="n">
        <f aca="false">WEEKDAY(B3875,2)</f>
        <v>7</v>
      </c>
      <c r="N3875" s="31" t="str">
        <f aca="false">IF(G3875&lt;=INDEX(Assumptions!$B$15:$B$18,MATCH(E3875,Assumptions!$A$15:$A$18,0)),"Yes","No")</f>
        <v>Yes</v>
      </c>
      <c r="O3875" s="31" t="str">
        <f aca="false">IF(H3875="","Open",IF(H3875&lt;=INDEX(Assumptions!$C$15:$C$18,MATCH(E3875,Assumptions!$A$15:$A$18,0)),"Yes","No"))</f>
        <v>No</v>
      </c>
    </row>
    <row r="3876" customFormat="false" ht="15" hidden="false" customHeight="false" outlineLevel="0" collapsed="false">
      <c r="A3876" s="31" t="s">
        <v>4026</v>
      </c>
      <c r="B3876" s="44" t="n">
        <v>46257</v>
      </c>
      <c r="C3876" s="31" t="s">
        <v>57</v>
      </c>
      <c r="D3876" s="31" t="s">
        <v>67</v>
      </c>
      <c r="E3876" s="31" t="s">
        <v>52</v>
      </c>
      <c r="F3876" s="31" t="s">
        <v>133</v>
      </c>
      <c r="G3876" s="31" t="n">
        <v>3</v>
      </c>
      <c r="H3876" s="41" t="n">
        <v>14.5</v>
      </c>
      <c r="I3876" s="31" t="s">
        <v>149</v>
      </c>
      <c r="J3876" s="31" t="n">
        <v>5</v>
      </c>
      <c r="K3876" s="31" t="s">
        <v>150</v>
      </c>
      <c r="L3876" s="45" t="n">
        <f aca="false">DATE(YEAR(B3876),MONTH(B3876),1)</f>
        <v>46235</v>
      </c>
      <c r="M3876" s="31" t="n">
        <f aca="false">WEEKDAY(B3876,2)</f>
        <v>7</v>
      </c>
      <c r="N3876" s="31" t="str">
        <f aca="false">IF(G3876&lt;=INDEX(Assumptions!$B$15:$B$18,MATCH(E3876,Assumptions!$A$15:$A$18,0)),"Yes","No")</f>
        <v>Yes</v>
      </c>
      <c r="O3876" s="31" t="str">
        <f aca="false">IF(H3876="","Open",IF(H3876&lt;=INDEX(Assumptions!$C$15:$C$18,MATCH(E3876,Assumptions!$A$15:$A$18,0)),"Yes","No"))</f>
        <v>Yes</v>
      </c>
    </row>
    <row r="3877" customFormat="false" ht="15" hidden="false" customHeight="false" outlineLevel="0" collapsed="false">
      <c r="A3877" s="31" t="s">
        <v>4027</v>
      </c>
      <c r="B3877" s="44" t="n">
        <v>46257</v>
      </c>
      <c r="C3877" s="31" t="s">
        <v>57</v>
      </c>
      <c r="D3877" s="31" t="s">
        <v>67</v>
      </c>
      <c r="E3877" s="31" t="s">
        <v>52</v>
      </c>
      <c r="F3877" s="31" t="s">
        <v>131</v>
      </c>
      <c r="G3877" s="31" t="n">
        <v>1</v>
      </c>
      <c r="H3877" s="41" t="n">
        <v>14.7</v>
      </c>
      <c r="I3877" s="31" t="s">
        <v>149</v>
      </c>
      <c r="J3877" s="31"/>
      <c r="K3877" s="31" t="s">
        <v>150</v>
      </c>
      <c r="L3877" s="45" t="n">
        <f aca="false">DATE(YEAR(B3877),MONTH(B3877),1)</f>
        <v>46235</v>
      </c>
      <c r="M3877" s="31" t="n">
        <f aca="false">WEEKDAY(B3877,2)</f>
        <v>7</v>
      </c>
      <c r="N3877" s="31" t="str">
        <f aca="false">IF(G3877&lt;=INDEX(Assumptions!$B$15:$B$18,MATCH(E3877,Assumptions!$A$15:$A$18,0)),"Yes","No")</f>
        <v>Yes</v>
      </c>
      <c r="O3877" s="31" t="str">
        <f aca="false">IF(H3877="","Open",IF(H3877&lt;=INDEX(Assumptions!$C$15:$C$18,MATCH(E3877,Assumptions!$A$15:$A$18,0)),"Yes","No"))</f>
        <v>Yes</v>
      </c>
    </row>
    <row r="3878" customFormat="false" ht="15" hidden="false" customHeight="false" outlineLevel="0" collapsed="false">
      <c r="A3878" s="31" t="s">
        <v>4028</v>
      </c>
      <c r="B3878" s="44" t="n">
        <v>46257</v>
      </c>
      <c r="C3878" s="31" t="s">
        <v>57</v>
      </c>
      <c r="D3878" s="31" t="s">
        <v>67</v>
      </c>
      <c r="E3878" s="31" t="s">
        <v>51</v>
      </c>
      <c r="F3878" s="31" t="s">
        <v>122</v>
      </c>
      <c r="G3878" s="31" t="n">
        <v>3</v>
      </c>
      <c r="H3878" s="41" t="n">
        <v>7.5</v>
      </c>
      <c r="I3878" s="31" t="s">
        <v>149</v>
      </c>
      <c r="J3878" s="31"/>
      <c r="K3878" s="31" t="s">
        <v>150</v>
      </c>
      <c r="L3878" s="45" t="n">
        <f aca="false">DATE(YEAR(B3878),MONTH(B3878),1)</f>
        <v>46235</v>
      </c>
      <c r="M3878" s="31" t="n">
        <f aca="false">WEEKDAY(B3878,2)</f>
        <v>7</v>
      </c>
      <c r="N3878" s="31" t="str">
        <f aca="false">IF(G3878&lt;=INDEX(Assumptions!$B$15:$B$18,MATCH(E3878,Assumptions!$A$15:$A$18,0)),"Yes","No")</f>
        <v>Yes</v>
      </c>
      <c r="O3878" s="31" t="str">
        <f aca="false">IF(H3878="","Open",IF(H3878&lt;=INDEX(Assumptions!$C$15:$C$18,MATCH(E3878,Assumptions!$A$15:$A$18,0)),"Yes","No"))</f>
        <v>Yes</v>
      </c>
    </row>
    <row r="3879" customFormat="false" ht="15" hidden="false" customHeight="false" outlineLevel="0" collapsed="false">
      <c r="A3879" s="31" t="s">
        <v>4029</v>
      </c>
      <c r="B3879" s="44" t="n">
        <v>46257</v>
      </c>
      <c r="C3879" s="31" t="s">
        <v>58</v>
      </c>
      <c r="D3879" s="31" t="s">
        <v>65</v>
      </c>
      <c r="E3879" s="31" t="s">
        <v>49</v>
      </c>
      <c r="F3879" s="31" t="s">
        <v>122</v>
      </c>
      <c r="G3879" s="31" t="n">
        <v>2</v>
      </c>
      <c r="H3879" s="41" t="n">
        <v>5.6</v>
      </c>
      <c r="I3879" s="31" t="s">
        <v>149</v>
      </c>
      <c r="J3879" s="31" t="n">
        <v>4</v>
      </c>
      <c r="K3879" s="31" t="s">
        <v>150</v>
      </c>
      <c r="L3879" s="45" t="n">
        <f aca="false">DATE(YEAR(B3879),MONTH(B3879),1)</f>
        <v>46235</v>
      </c>
      <c r="M3879" s="31" t="n">
        <f aca="false">WEEKDAY(B3879,2)</f>
        <v>7</v>
      </c>
      <c r="N3879" s="31" t="str">
        <f aca="false">IF(G3879&lt;=INDEX(Assumptions!$B$15:$B$18,MATCH(E3879,Assumptions!$A$15:$A$18,0)),"Yes","No")</f>
        <v>Yes</v>
      </c>
      <c r="O3879" s="31" t="str">
        <f aca="false">IF(H3879="","Open",IF(H3879&lt;=INDEX(Assumptions!$C$15:$C$18,MATCH(E3879,Assumptions!$A$15:$A$18,0)),"Yes","No"))</f>
        <v>No</v>
      </c>
    </row>
    <row r="3880" customFormat="false" ht="15" hidden="false" customHeight="false" outlineLevel="0" collapsed="false">
      <c r="A3880" s="31" t="s">
        <v>4030</v>
      </c>
      <c r="B3880" s="44" t="n">
        <v>46257</v>
      </c>
      <c r="C3880" s="31" t="s">
        <v>59</v>
      </c>
      <c r="D3880" s="31" t="s">
        <v>65</v>
      </c>
      <c r="E3880" s="31" t="s">
        <v>51</v>
      </c>
      <c r="F3880" s="31" t="s">
        <v>137</v>
      </c>
      <c r="G3880" s="31" t="n">
        <v>178</v>
      </c>
      <c r="H3880" s="41" t="n">
        <v>18.5</v>
      </c>
      <c r="I3880" s="31" t="s">
        <v>149</v>
      </c>
      <c r="J3880" s="31"/>
      <c r="K3880" s="31" t="s">
        <v>153</v>
      </c>
      <c r="L3880" s="45" t="n">
        <f aca="false">DATE(YEAR(B3880),MONTH(B3880),1)</f>
        <v>46235</v>
      </c>
      <c r="M3880" s="31" t="n">
        <f aca="false">WEEKDAY(B3880,2)</f>
        <v>7</v>
      </c>
      <c r="N3880" s="31" t="str">
        <f aca="false">IF(G3880&lt;=INDEX(Assumptions!$B$15:$B$18,MATCH(E3880,Assumptions!$A$15:$A$18,0)),"Yes","No")</f>
        <v>No</v>
      </c>
      <c r="O3880" s="31" t="str">
        <f aca="false">IF(H3880="","Open",IF(H3880&lt;=INDEX(Assumptions!$C$15:$C$18,MATCH(E3880,Assumptions!$A$15:$A$18,0)),"Yes","No"))</f>
        <v>Yes</v>
      </c>
    </row>
    <row r="3881" customFormat="false" ht="15" hidden="false" customHeight="false" outlineLevel="0" collapsed="false">
      <c r="A3881" s="31" t="s">
        <v>4031</v>
      </c>
      <c r="B3881" s="44" t="n">
        <v>46257</v>
      </c>
      <c r="C3881" s="31" t="s">
        <v>57</v>
      </c>
      <c r="D3881" s="31" t="s">
        <v>65</v>
      </c>
      <c r="E3881" s="31" t="s">
        <v>51</v>
      </c>
      <c r="F3881" s="31" t="s">
        <v>123</v>
      </c>
      <c r="G3881" s="31" t="n">
        <v>5</v>
      </c>
      <c r="H3881" s="41" t="n">
        <v>17</v>
      </c>
      <c r="I3881" s="31" t="s">
        <v>149</v>
      </c>
      <c r="J3881" s="31" t="n">
        <v>4</v>
      </c>
      <c r="K3881" s="31" t="s">
        <v>150</v>
      </c>
      <c r="L3881" s="45" t="n">
        <f aca="false">DATE(YEAR(B3881),MONTH(B3881),1)</f>
        <v>46235</v>
      </c>
      <c r="M3881" s="31" t="n">
        <f aca="false">WEEKDAY(B3881,2)</f>
        <v>7</v>
      </c>
      <c r="N3881" s="31" t="str">
        <f aca="false">IF(G3881&lt;=INDEX(Assumptions!$B$15:$B$18,MATCH(E3881,Assumptions!$A$15:$A$18,0)),"Yes","No")</f>
        <v>Yes</v>
      </c>
      <c r="O3881" s="31" t="str">
        <f aca="false">IF(H3881="","Open",IF(H3881&lt;=INDEX(Assumptions!$C$15:$C$18,MATCH(E3881,Assumptions!$A$15:$A$18,0)),"Yes","No"))</f>
        <v>Yes</v>
      </c>
    </row>
    <row r="3882" customFormat="false" ht="15" hidden="false" customHeight="false" outlineLevel="0" collapsed="false">
      <c r="A3882" s="31" t="s">
        <v>4032</v>
      </c>
      <c r="B3882" s="44" t="n">
        <v>46257</v>
      </c>
      <c r="C3882" s="31" t="s">
        <v>60</v>
      </c>
      <c r="D3882" s="31" t="s">
        <v>69</v>
      </c>
      <c r="E3882" s="31" t="s">
        <v>52</v>
      </c>
      <c r="F3882" s="31" t="s">
        <v>131</v>
      </c>
      <c r="G3882" s="31" t="n">
        <v>3</v>
      </c>
      <c r="H3882" s="41" t="n">
        <v>76.9</v>
      </c>
      <c r="I3882" s="31" t="s">
        <v>149</v>
      </c>
      <c r="J3882" s="31" t="n">
        <v>4</v>
      </c>
      <c r="K3882" s="31" t="s">
        <v>150</v>
      </c>
      <c r="L3882" s="45" t="n">
        <f aca="false">DATE(YEAR(B3882),MONTH(B3882),1)</f>
        <v>46235</v>
      </c>
      <c r="M3882" s="31" t="n">
        <f aca="false">WEEKDAY(B3882,2)</f>
        <v>7</v>
      </c>
      <c r="N3882" s="31" t="str">
        <f aca="false">IF(G3882&lt;=INDEX(Assumptions!$B$15:$B$18,MATCH(E3882,Assumptions!$A$15:$A$18,0)),"Yes","No")</f>
        <v>Yes</v>
      </c>
      <c r="O3882" s="31" t="str">
        <f aca="false">IF(H3882="","Open",IF(H3882&lt;=INDEX(Assumptions!$C$15:$C$18,MATCH(E3882,Assumptions!$A$15:$A$18,0)),"Yes","No"))</f>
        <v>No</v>
      </c>
    </row>
    <row r="3883" customFormat="false" ht="15" hidden="false" customHeight="false" outlineLevel="0" collapsed="false">
      <c r="A3883" s="31" t="s">
        <v>4033</v>
      </c>
      <c r="B3883" s="44" t="n">
        <v>46257</v>
      </c>
      <c r="C3883" s="31" t="s">
        <v>60</v>
      </c>
      <c r="D3883" s="31" t="s">
        <v>67</v>
      </c>
      <c r="E3883" s="31" t="s">
        <v>51</v>
      </c>
      <c r="F3883" s="31" t="s">
        <v>130</v>
      </c>
      <c r="G3883" s="31" t="n">
        <v>7</v>
      </c>
      <c r="H3883" s="41" t="n">
        <v>11.6</v>
      </c>
      <c r="I3883" s="31" t="s">
        <v>149</v>
      </c>
      <c r="J3883" s="31"/>
      <c r="K3883" s="31" t="s">
        <v>150</v>
      </c>
      <c r="L3883" s="45" t="n">
        <f aca="false">DATE(YEAR(B3883),MONTH(B3883),1)</f>
        <v>46235</v>
      </c>
      <c r="M3883" s="31" t="n">
        <f aca="false">WEEKDAY(B3883,2)</f>
        <v>7</v>
      </c>
      <c r="N3883" s="31" t="str">
        <f aca="false">IF(G3883&lt;=INDEX(Assumptions!$B$15:$B$18,MATCH(E3883,Assumptions!$A$15:$A$18,0)),"Yes","No")</f>
        <v>Yes</v>
      </c>
      <c r="O3883" s="31" t="str">
        <f aca="false">IF(H3883="","Open",IF(H3883&lt;=INDEX(Assumptions!$C$15:$C$18,MATCH(E3883,Assumptions!$A$15:$A$18,0)),"Yes","No"))</f>
        <v>Yes</v>
      </c>
    </row>
    <row r="3884" customFormat="false" ht="15" hidden="false" customHeight="false" outlineLevel="0" collapsed="false">
      <c r="A3884" s="31" t="s">
        <v>4034</v>
      </c>
      <c r="B3884" s="44" t="n">
        <v>46257</v>
      </c>
      <c r="C3884" s="31" t="s">
        <v>60</v>
      </c>
      <c r="D3884" s="31" t="s">
        <v>69</v>
      </c>
      <c r="E3884" s="31" t="s">
        <v>51</v>
      </c>
      <c r="F3884" s="31" t="s">
        <v>120</v>
      </c>
      <c r="G3884" s="31" t="n">
        <v>5</v>
      </c>
      <c r="H3884" s="41" t="n">
        <v>76.3</v>
      </c>
      <c r="I3884" s="31" t="s">
        <v>149</v>
      </c>
      <c r="J3884" s="31" t="n">
        <v>3</v>
      </c>
      <c r="K3884" s="31" t="s">
        <v>150</v>
      </c>
      <c r="L3884" s="45" t="n">
        <f aca="false">DATE(YEAR(B3884),MONTH(B3884),1)</f>
        <v>46235</v>
      </c>
      <c r="M3884" s="31" t="n">
        <f aca="false">WEEKDAY(B3884,2)</f>
        <v>7</v>
      </c>
      <c r="N3884" s="31" t="str">
        <f aca="false">IF(G3884&lt;=INDEX(Assumptions!$B$15:$B$18,MATCH(E3884,Assumptions!$A$15:$A$18,0)),"Yes","No")</f>
        <v>Yes</v>
      </c>
      <c r="O3884" s="31" t="str">
        <f aca="false">IF(H3884="","Open",IF(H3884&lt;=INDEX(Assumptions!$C$15:$C$18,MATCH(E3884,Assumptions!$A$15:$A$18,0)),"Yes","No"))</f>
        <v>No</v>
      </c>
    </row>
    <row r="3885" customFormat="false" ht="15" hidden="false" customHeight="false" outlineLevel="0" collapsed="false">
      <c r="A3885" s="31" t="s">
        <v>4035</v>
      </c>
      <c r="B3885" s="44" t="n">
        <v>46257</v>
      </c>
      <c r="C3885" s="31" t="s">
        <v>58</v>
      </c>
      <c r="D3885" s="31" t="s">
        <v>67</v>
      </c>
      <c r="E3885" s="31" t="s">
        <v>51</v>
      </c>
      <c r="F3885" s="31" t="s">
        <v>130</v>
      </c>
      <c r="G3885" s="31" t="n">
        <v>16</v>
      </c>
      <c r="H3885" s="41" t="n">
        <v>35.1</v>
      </c>
      <c r="I3885" s="31" t="s">
        <v>149</v>
      </c>
      <c r="J3885" s="31" t="n">
        <v>5</v>
      </c>
      <c r="K3885" s="31" t="s">
        <v>153</v>
      </c>
      <c r="L3885" s="45" t="n">
        <f aca="false">DATE(YEAR(B3885),MONTH(B3885),1)</f>
        <v>46235</v>
      </c>
      <c r="M3885" s="31" t="n">
        <f aca="false">WEEKDAY(B3885,2)</f>
        <v>7</v>
      </c>
      <c r="N3885" s="31" t="str">
        <f aca="false">IF(G3885&lt;=INDEX(Assumptions!$B$15:$B$18,MATCH(E3885,Assumptions!$A$15:$A$18,0)),"Yes","No")</f>
        <v>Yes</v>
      </c>
      <c r="O3885" s="31" t="str">
        <f aca="false">IF(H3885="","Open",IF(H3885&lt;=INDEX(Assumptions!$C$15:$C$18,MATCH(E3885,Assumptions!$A$15:$A$18,0)),"Yes","No"))</f>
        <v>No</v>
      </c>
    </row>
    <row r="3886" customFormat="false" ht="15" hidden="false" customHeight="false" outlineLevel="0" collapsed="false">
      <c r="A3886" s="31" t="s">
        <v>4036</v>
      </c>
      <c r="B3886" s="44" t="n">
        <v>46257</v>
      </c>
      <c r="C3886" s="31" t="s">
        <v>59</v>
      </c>
      <c r="D3886" s="31" t="s">
        <v>67</v>
      </c>
      <c r="E3886" s="31" t="s">
        <v>51</v>
      </c>
      <c r="F3886" s="31" t="s">
        <v>133</v>
      </c>
      <c r="G3886" s="31" t="n">
        <v>43</v>
      </c>
      <c r="H3886" s="41" t="n">
        <v>2.2</v>
      </c>
      <c r="I3886" s="31" t="s">
        <v>149</v>
      </c>
      <c r="J3886" s="31" t="n">
        <v>3</v>
      </c>
      <c r="K3886" s="31" t="s">
        <v>153</v>
      </c>
      <c r="L3886" s="45" t="n">
        <f aca="false">DATE(YEAR(B3886),MONTH(B3886),1)</f>
        <v>46235</v>
      </c>
      <c r="M3886" s="31" t="n">
        <f aca="false">WEEKDAY(B3886,2)</f>
        <v>7</v>
      </c>
      <c r="N3886" s="31" t="str">
        <f aca="false">IF(G3886&lt;=INDEX(Assumptions!$B$15:$B$18,MATCH(E3886,Assumptions!$A$15:$A$18,0)),"Yes","No")</f>
        <v>Yes</v>
      </c>
      <c r="O3886" s="31" t="str">
        <f aca="false">IF(H3886="","Open",IF(H3886&lt;=INDEX(Assumptions!$C$15:$C$18,MATCH(E3886,Assumptions!$A$15:$A$18,0)),"Yes","No"))</f>
        <v>Yes</v>
      </c>
    </row>
    <row r="3887" customFormat="false" ht="15" hidden="false" customHeight="false" outlineLevel="0" collapsed="false">
      <c r="A3887" s="31" t="s">
        <v>4037</v>
      </c>
      <c r="B3887" s="44" t="n">
        <v>46258</v>
      </c>
      <c r="C3887" s="31" t="s">
        <v>58</v>
      </c>
      <c r="D3887" s="31" t="s">
        <v>66</v>
      </c>
      <c r="E3887" s="31" t="s">
        <v>51</v>
      </c>
      <c r="F3887" s="31" t="s">
        <v>137</v>
      </c>
      <c r="G3887" s="31" t="n">
        <v>22</v>
      </c>
      <c r="H3887" s="41" t="n">
        <v>4</v>
      </c>
      <c r="I3887" s="31" t="s">
        <v>149</v>
      </c>
      <c r="J3887" s="31"/>
      <c r="K3887" s="31" t="s">
        <v>150</v>
      </c>
      <c r="L3887" s="45" t="n">
        <f aca="false">DATE(YEAR(B3887),MONTH(B3887),1)</f>
        <v>46235</v>
      </c>
      <c r="M3887" s="31" t="n">
        <f aca="false">WEEKDAY(B3887,2)</f>
        <v>1</v>
      </c>
      <c r="N3887" s="31" t="str">
        <f aca="false">IF(G3887&lt;=INDEX(Assumptions!$B$15:$B$18,MATCH(E3887,Assumptions!$A$15:$A$18,0)),"Yes","No")</f>
        <v>Yes</v>
      </c>
      <c r="O3887" s="31" t="str">
        <f aca="false">IF(H3887="","Open",IF(H3887&lt;=INDEX(Assumptions!$C$15:$C$18,MATCH(E3887,Assumptions!$A$15:$A$18,0)),"Yes","No"))</f>
        <v>Yes</v>
      </c>
    </row>
    <row r="3888" customFormat="false" ht="15" hidden="false" customHeight="false" outlineLevel="0" collapsed="false">
      <c r="A3888" s="31" t="s">
        <v>4038</v>
      </c>
      <c r="B3888" s="44" t="n">
        <v>46258</v>
      </c>
      <c r="C3888" s="31" t="s">
        <v>57</v>
      </c>
      <c r="D3888" s="31" t="s">
        <v>65</v>
      </c>
      <c r="E3888" s="31" t="s">
        <v>52</v>
      </c>
      <c r="F3888" s="31" t="s">
        <v>131</v>
      </c>
      <c r="G3888" s="31" t="n">
        <v>3</v>
      </c>
      <c r="H3888" s="41" t="n">
        <v>12.9</v>
      </c>
      <c r="I3888" s="31" t="s">
        <v>149</v>
      </c>
      <c r="J3888" s="31"/>
      <c r="K3888" s="31" t="s">
        <v>150</v>
      </c>
      <c r="L3888" s="45" t="n">
        <f aca="false">DATE(YEAR(B3888),MONTH(B3888),1)</f>
        <v>46235</v>
      </c>
      <c r="M3888" s="31" t="n">
        <f aca="false">WEEKDAY(B3888,2)</f>
        <v>1</v>
      </c>
      <c r="N3888" s="31" t="str">
        <f aca="false">IF(G3888&lt;=INDEX(Assumptions!$B$15:$B$18,MATCH(E3888,Assumptions!$A$15:$A$18,0)),"Yes","No")</f>
        <v>Yes</v>
      </c>
      <c r="O3888" s="31" t="str">
        <f aca="false">IF(H3888="","Open",IF(H3888&lt;=INDEX(Assumptions!$C$15:$C$18,MATCH(E3888,Assumptions!$A$15:$A$18,0)),"Yes","No"))</f>
        <v>Yes</v>
      </c>
    </row>
    <row r="3889" customFormat="false" ht="15" hidden="false" customHeight="false" outlineLevel="0" collapsed="false">
      <c r="A3889" s="31" t="s">
        <v>4039</v>
      </c>
      <c r="B3889" s="44" t="n">
        <v>46258</v>
      </c>
      <c r="C3889" s="31" t="s">
        <v>57</v>
      </c>
      <c r="D3889" s="31" t="s">
        <v>67</v>
      </c>
      <c r="E3889" s="31" t="s">
        <v>49</v>
      </c>
      <c r="F3889" s="31" t="s">
        <v>136</v>
      </c>
      <c r="G3889" s="31" t="n">
        <v>4</v>
      </c>
      <c r="H3889" s="41" t="n">
        <v>12.3</v>
      </c>
      <c r="I3889" s="31" t="s">
        <v>149</v>
      </c>
      <c r="J3889" s="31"/>
      <c r="K3889" s="31" t="s">
        <v>150</v>
      </c>
      <c r="L3889" s="45" t="n">
        <f aca="false">DATE(YEAR(B3889),MONTH(B3889),1)</f>
        <v>46235</v>
      </c>
      <c r="M3889" s="31" t="n">
        <f aca="false">WEEKDAY(B3889,2)</f>
        <v>1</v>
      </c>
      <c r="N3889" s="31" t="str">
        <f aca="false">IF(G3889&lt;=INDEX(Assumptions!$B$15:$B$18,MATCH(E3889,Assumptions!$A$15:$A$18,0)),"Yes","No")</f>
        <v>Yes</v>
      </c>
      <c r="O3889" s="31" t="str">
        <f aca="false">IF(H3889="","Open",IF(H3889&lt;=INDEX(Assumptions!$C$15:$C$18,MATCH(E3889,Assumptions!$A$15:$A$18,0)),"Yes","No"))</f>
        <v>No</v>
      </c>
    </row>
    <row r="3890" customFormat="false" ht="15" hidden="false" customHeight="false" outlineLevel="0" collapsed="false">
      <c r="A3890" s="31" t="s">
        <v>4040</v>
      </c>
      <c r="B3890" s="44" t="n">
        <v>46258</v>
      </c>
      <c r="C3890" s="31" t="s">
        <v>60</v>
      </c>
      <c r="D3890" s="31" t="s">
        <v>68</v>
      </c>
      <c r="E3890" s="31" t="s">
        <v>51</v>
      </c>
      <c r="F3890" s="31" t="s">
        <v>124</v>
      </c>
      <c r="G3890" s="31" t="n">
        <v>2</v>
      </c>
      <c r="H3890" s="41" t="n">
        <v>5.6</v>
      </c>
      <c r="I3890" s="31" t="s">
        <v>149</v>
      </c>
      <c r="J3890" s="31"/>
      <c r="K3890" s="31" t="s">
        <v>150</v>
      </c>
      <c r="L3890" s="45" t="n">
        <f aca="false">DATE(YEAR(B3890),MONTH(B3890),1)</f>
        <v>46235</v>
      </c>
      <c r="M3890" s="31" t="n">
        <f aca="false">WEEKDAY(B3890,2)</f>
        <v>1</v>
      </c>
      <c r="N3890" s="31" t="str">
        <f aca="false">IF(G3890&lt;=INDEX(Assumptions!$B$15:$B$18,MATCH(E3890,Assumptions!$A$15:$A$18,0)),"Yes","No")</f>
        <v>Yes</v>
      </c>
      <c r="O3890" s="31" t="str">
        <f aca="false">IF(H3890="","Open",IF(H3890&lt;=INDEX(Assumptions!$C$15:$C$18,MATCH(E3890,Assumptions!$A$15:$A$18,0)),"Yes","No"))</f>
        <v>Yes</v>
      </c>
    </row>
    <row r="3891" customFormat="false" ht="15" hidden="false" customHeight="false" outlineLevel="0" collapsed="false">
      <c r="A3891" s="31" t="s">
        <v>4041</v>
      </c>
      <c r="B3891" s="44" t="n">
        <v>46258</v>
      </c>
      <c r="C3891" s="31" t="s">
        <v>58</v>
      </c>
      <c r="D3891" s="31" t="s">
        <v>65</v>
      </c>
      <c r="E3891" s="31" t="s">
        <v>52</v>
      </c>
      <c r="F3891" s="31" t="s">
        <v>124</v>
      </c>
      <c r="G3891" s="31" t="n">
        <v>17</v>
      </c>
      <c r="H3891" s="41" t="n">
        <v>6.1</v>
      </c>
      <c r="I3891" s="31" t="s">
        <v>64</v>
      </c>
      <c r="J3891" s="31" t="n">
        <v>3</v>
      </c>
      <c r="K3891" s="31" t="s">
        <v>150</v>
      </c>
      <c r="L3891" s="45" t="n">
        <f aca="false">DATE(YEAR(B3891),MONTH(B3891),1)</f>
        <v>46235</v>
      </c>
      <c r="M3891" s="31" t="n">
        <f aca="false">WEEKDAY(B3891,2)</f>
        <v>1</v>
      </c>
      <c r="N3891" s="31" t="str">
        <f aca="false">IF(G3891&lt;=INDEX(Assumptions!$B$15:$B$18,MATCH(E3891,Assumptions!$A$15:$A$18,0)),"Yes","No")</f>
        <v>Yes</v>
      </c>
      <c r="O3891" s="31" t="str">
        <f aca="false">IF(H3891="","Open",IF(H3891&lt;=INDEX(Assumptions!$C$15:$C$18,MATCH(E3891,Assumptions!$A$15:$A$18,0)),"Yes","No"))</f>
        <v>Yes</v>
      </c>
    </row>
    <row r="3892" customFormat="false" ht="15" hidden="false" customHeight="false" outlineLevel="0" collapsed="false">
      <c r="A3892" s="31" t="s">
        <v>4042</v>
      </c>
      <c r="B3892" s="44" t="n">
        <v>46258</v>
      </c>
      <c r="C3892" s="31" t="s">
        <v>59</v>
      </c>
      <c r="D3892" s="31" t="s">
        <v>68</v>
      </c>
      <c r="E3892" s="31" t="s">
        <v>51</v>
      </c>
      <c r="F3892" s="31" t="s">
        <v>130</v>
      </c>
      <c r="G3892" s="31" t="n">
        <v>51</v>
      </c>
      <c r="H3892" s="41" t="n">
        <v>7.2</v>
      </c>
      <c r="I3892" s="31" t="s">
        <v>149</v>
      </c>
      <c r="J3892" s="31" t="n">
        <v>5</v>
      </c>
      <c r="K3892" s="31" t="s">
        <v>150</v>
      </c>
      <c r="L3892" s="45" t="n">
        <f aca="false">DATE(YEAR(B3892),MONTH(B3892),1)</f>
        <v>46235</v>
      </c>
      <c r="M3892" s="31" t="n">
        <f aca="false">WEEKDAY(B3892,2)</f>
        <v>1</v>
      </c>
      <c r="N3892" s="31" t="str">
        <f aca="false">IF(G3892&lt;=INDEX(Assumptions!$B$15:$B$18,MATCH(E3892,Assumptions!$A$15:$A$18,0)),"Yes","No")</f>
        <v>Yes</v>
      </c>
      <c r="O3892" s="31" t="str">
        <f aca="false">IF(H3892="","Open",IF(H3892&lt;=INDEX(Assumptions!$C$15:$C$18,MATCH(E3892,Assumptions!$A$15:$A$18,0)),"Yes","No"))</f>
        <v>Yes</v>
      </c>
    </row>
    <row r="3893" customFormat="false" ht="15" hidden="false" customHeight="false" outlineLevel="0" collapsed="false">
      <c r="A3893" s="31" t="s">
        <v>4043</v>
      </c>
      <c r="B3893" s="44" t="n">
        <v>46258</v>
      </c>
      <c r="C3893" s="31" t="s">
        <v>59</v>
      </c>
      <c r="D3893" s="31" t="s">
        <v>66</v>
      </c>
      <c r="E3893" s="31" t="s">
        <v>52</v>
      </c>
      <c r="F3893" s="31" t="s">
        <v>130</v>
      </c>
      <c r="G3893" s="31" t="n">
        <v>144</v>
      </c>
      <c r="H3893" s="41"/>
      <c r="I3893" s="31" t="s">
        <v>158</v>
      </c>
      <c r="J3893" s="31"/>
      <c r="K3893" s="31" t="s">
        <v>150</v>
      </c>
      <c r="L3893" s="45" t="n">
        <f aca="false">DATE(YEAR(B3893),MONTH(B3893),1)</f>
        <v>46235</v>
      </c>
      <c r="M3893" s="31" t="n">
        <f aca="false">WEEKDAY(B3893,2)</f>
        <v>1</v>
      </c>
      <c r="N3893" s="31" t="str">
        <f aca="false">IF(G3893&lt;=INDEX(Assumptions!$B$15:$B$18,MATCH(E3893,Assumptions!$A$15:$A$18,0)),"Yes","No")</f>
        <v>Yes</v>
      </c>
      <c r="O3893" s="31" t="str">
        <f aca="false">IF(H3893="","Open",IF(H3893&lt;=INDEX(Assumptions!$C$15:$C$18,MATCH(E3893,Assumptions!$A$15:$A$18,0)),"Yes","No"))</f>
        <v>Open</v>
      </c>
    </row>
    <row r="3894" customFormat="false" ht="15" hidden="false" customHeight="false" outlineLevel="0" collapsed="false">
      <c r="A3894" s="31" t="s">
        <v>4044</v>
      </c>
      <c r="B3894" s="44" t="n">
        <v>46258</v>
      </c>
      <c r="C3894" s="31" t="s">
        <v>58</v>
      </c>
      <c r="D3894" s="31" t="s">
        <v>65</v>
      </c>
      <c r="E3894" s="31" t="s">
        <v>51</v>
      </c>
      <c r="F3894" s="31" t="s">
        <v>123</v>
      </c>
      <c r="G3894" s="31" t="n">
        <v>12</v>
      </c>
      <c r="H3894" s="41" t="n">
        <v>21.2</v>
      </c>
      <c r="I3894" s="31" t="s">
        <v>149</v>
      </c>
      <c r="J3894" s="31"/>
      <c r="K3894" s="31" t="s">
        <v>150</v>
      </c>
      <c r="L3894" s="45" t="n">
        <f aca="false">DATE(YEAR(B3894),MONTH(B3894),1)</f>
        <v>46235</v>
      </c>
      <c r="M3894" s="31" t="n">
        <f aca="false">WEEKDAY(B3894,2)</f>
        <v>1</v>
      </c>
      <c r="N3894" s="31" t="str">
        <f aca="false">IF(G3894&lt;=INDEX(Assumptions!$B$15:$B$18,MATCH(E3894,Assumptions!$A$15:$A$18,0)),"Yes","No")</f>
        <v>Yes</v>
      </c>
      <c r="O3894" s="31" t="str">
        <f aca="false">IF(H3894="","Open",IF(H3894&lt;=INDEX(Assumptions!$C$15:$C$18,MATCH(E3894,Assumptions!$A$15:$A$18,0)),"Yes","No"))</f>
        <v>Yes</v>
      </c>
    </row>
    <row r="3895" customFormat="false" ht="15" hidden="false" customHeight="false" outlineLevel="0" collapsed="false">
      <c r="A3895" s="31" t="s">
        <v>4045</v>
      </c>
      <c r="B3895" s="44" t="n">
        <v>46258</v>
      </c>
      <c r="C3895" s="31" t="s">
        <v>59</v>
      </c>
      <c r="D3895" s="31" t="s">
        <v>69</v>
      </c>
      <c r="E3895" s="31" t="s">
        <v>51</v>
      </c>
      <c r="F3895" s="31" t="s">
        <v>135</v>
      </c>
      <c r="G3895" s="31" t="n">
        <v>665</v>
      </c>
      <c r="H3895" s="41" t="n">
        <v>70.2</v>
      </c>
      <c r="I3895" s="31" t="s">
        <v>149</v>
      </c>
      <c r="J3895" s="31"/>
      <c r="K3895" s="31" t="s">
        <v>150</v>
      </c>
      <c r="L3895" s="45" t="n">
        <f aca="false">DATE(YEAR(B3895),MONTH(B3895),1)</f>
        <v>46235</v>
      </c>
      <c r="M3895" s="31" t="n">
        <f aca="false">WEEKDAY(B3895,2)</f>
        <v>1</v>
      </c>
      <c r="N3895" s="31" t="str">
        <f aca="false">IF(G3895&lt;=INDEX(Assumptions!$B$15:$B$18,MATCH(E3895,Assumptions!$A$15:$A$18,0)),"Yes","No")</f>
        <v>No</v>
      </c>
      <c r="O3895" s="31" t="str">
        <f aca="false">IF(H3895="","Open",IF(H3895&lt;=INDEX(Assumptions!$C$15:$C$18,MATCH(E3895,Assumptions!$A$15:$A$18,0)),"Yes","No"))</f>
        <v>No</v>
      </c>
    </row>
    <row r="3896" customFormat="false" ht="15" hidden="false" customHeight="false" outlineLevel="0" collapsed="false">
      <c r="A3896" s="31" t="s">
        <v>4046</v>
      </c>
      <c r="B3896" s="44" t="n">
        <v>46258</v>
      </c>
      <c r="C3896" s="31" t="s">
        <v>59</v>
      </c>
      <c r="D3896" s="31" t="s">
        <v>65</v>
      </c>
      <c r="E3896" s="31" t="s">
        <v>51</v>
      </c>
      <c r="F3896" s="31" t="s">
        <v>137</v>
      </c>
      <c r="G3896" s="31" t="n">
        <v>298</v>
      </c>
      <c r="H3896" s="41" t="n">
        <v>48.5</v>
      </c>
      <c r="I3896" s="31" t="s">
        <v>149</v>
      </c>
      <c r="J3896" s="31" t="n">
        <v>2</v>
      </c>
      <c r="K3896" s="31" t="s">
        <v>150</v>
      </c>
      <c r="L3896" s="45" t="n">
        <f aca="false">DATE(YEAR(B3896),MONTH(B3896),1)</f>
        <v>46235</v>
      </c>
      <c r="M3896" s="31" t="n">
        <f aca="false">WEEKDAY(B3896,2)</f>
        <v>1</v>
      </c>
      <c r="N3896" s="31" t="str">
        <f aca="false">IF(G3896&lt;=INDEX(Assumptions!$B$15:$B$18,MATCH(E3896,Assumptions!$A$15:$A$18,0)),"Yes","No")</f>
        <v>No</v>
      </c>
      <c r="O3896" s="31" t="str">
        <f aca="false">IF(H3896="","Open",IF(H3896&lt;=INDEX(Assumptions!$C$15:$C$18,MATCH(E3896,Assumptions!$A$15:$A$18,0)),"Yes","No"))</f>
        <v>No</v>
      </c>
    </row>
    <row r="3897" customFormat="false" ht="15" hidden="false" customHeight="false" outlineLevel="0" collapsed="false">
      <c r="A3897" s="31" t="s">
        <v>4047</v>
      </c>
      <c r="B3897" s="44" t="n">
        <v>46258</v>
      </c>
      <c r="C3897" s="31" t="s">
        <v>59</v>
      </c>
      <c r="D3897" s="31" t="s">
        <v>65</v>
      </c>
      <c r="E3897" s="31" t="s">
        <v>52</v>
      </c>
      <c r="F3897" s="31" t="s">
        <v>131</v>
      </c>
      <c r="G3897" s="31" t="n">
        <v>236</v>
      </c>
      <c r="H3897" s="41" t="n">
        <v>16.5</v>
      </c>
      <c r="I3897" s="31" t="s">
        <v>64</v>
      </c>
      <c r="J3897" s="31" t="n">
        <v>3</v>
      </c>
      <c r="K3897" s="31" t="s">
        <v>150</v>
      </c>
      <c r="L3897" s="45" t="n">
        <f aca="false">DATE(YEAR(B3897),MONTH(B3897),1)</f>
        <v>46235</v>
      </c>
      <c r="M3897" s="31" t="n">
        <f aca="false">WEEKDAY(B3897,2)</f>
        <v>1</v>
      </c>
      <c r="N3897" s="31" t="str">
        <f aca="false">IF(G3897&lt;=INDEX(Assumptions!$B$15:$B$18,MATCH(E3897,Assumptions!$A$15:$A$18,0)),"Yes","No")</f>
        <v>Yes</v>
      </c>
      <c r="O3897" s="31" t="str">
        <f aca="false">IF(H3897="","Open",IF(H3897&lt;=INDEX(Assumptions!$C$15:$C$18,MATCH(E3897,Assumptions!$A$15:$A$18,0)),"Yes","No"))</f>
        <v>Yes</v>
      </c>
    </row>
    <row r="3898" customFormat="false" ht="15" hidden="false" customHeight="false" outlineLevel="0" collapsed="false">
      <c r="A3898" s="31" t="s">
        <v>4048</v>
      </c>
      <c r="B3898" s="44" t="n">
        <v>46258</v>
      </c>
      <c r="C3898" s="31" t="s">
        <v>59</v>
      </c>
      <c r="D3898" s="31" t="s">
        <v>66</v>
      </c>
      <c r="E3898" s="31" t="s">
        <v>51</v>
      </c>
      <c r="F3898" s="31" t="s">
        <v>131</v>
      </c>
      <c r="G3898" s="31" t="n">
        <v>202</v>
      </c>
      <c r="H3898" s="41" t="n">
        <v>3.2</v>
      </c>
      <c r="I3898" s="31" t="s">
        <v>149</v>
      </c>
      <c r="J3898" s="31" t="n">
        <v>2</v>
      </c>
      <c r="K3898" s="31" t="s">
        <v>150</v>
      </c>
      <c r="L3898" s="45" t="n">
        <f aca="false">DATE(YEAR(B3898),MONTH(B3898),1)</f>
        <v>46235</v>
      </c>
      <c r="M3898" s="31" t="n">
        <f aca="false">WEEKDAY(B3898,2)</f>
        <v>1</v>
      </c>
      <c r="N3898" s="31" t="str">
        <f aca="false">IF(G3898&lt;=INDEX(Assumptions!$B$15:$B$18,MATCH(E3898,Assumptions!$A$15:$A$18,0)),"Yes","No")</f>
        <v>No</v>
      </c>
      <c r="O3898" s="31" t="str">
        <f aca="false">IF(H3898="","Open",IF(H3898&lt;=INDEX(Assumptions!$C$15:$C$18,MATCH(E3898,Assumptions!$A$15:$A$18,0)),"Yes","No"))</f>
        <v>Yes</v>
      </c>
    </row>
    <row r="3899" customFormat="false" ht="15" hidden="false" customHeight="false" outlineLevel="0" collapsed="false">
      <c r="A3899" s="31" t="s">
        <v>4049</v>
      </c>
      <c r="B3899" s="44" t="n">
        <v>46258</v>
      </c>
      <c r="C3899" s="31" t="s">
        <v>60</v>
      </c>
      <c r="D3899" s="31" t="s">
        <v>69</v>
      </c>
      <c r="E3899" s="31" t="s">
        <v>51</v>
      </c>
      <c r="F3899" s="31" t="s">
        <v>120</v>
      </c>
      <c r="G3899" s="31" t="n">
        <v>3</v>
      </c>
      <c r="H3899" s="41" t="n">
        <v>65.9</v>
      </c>
      <c r="I3899" s="31" t="s">
        <v>64</v>
      </c>
      <c r="J3899" s="31"/>
      <c r="K3899" s="31" t="s">
        <v>150</v>
      </c>
      <c r="L3899" s="45" t="n">
        <f aca="false">DATE(YEAR(B3899),MONTH(B3899),1)</f>
        <v>46235</v>
      </c>
      <c r="M3899" s="31" t="n">
        <f aca="false">WEEKDAY(B3899,2)</f>
        <v>1</v>
      </c>
      <c r="N3899" s="31" t="str">
        <f aca="false">IF(G3899&lt;=INDEX(Assumptions!$B$15:$B$18,MATCH(E3899,Assumptions!$A$15:$A$18,0)),"Yes","No")</f>
        <v>Yes</v>
      </c>
      <c r="O3899" s="31" t="str">
        <f aca="false">IF(H3899="","Open",IF(H3899&lt;=INDEX(Assumptions!$C$15:$C$18,MATCH(E3899,Assumptions!$A$15:$A$18,0)),"Yes","No"))</f>
        <v>No</v>
      </c>
    </row>
    <row r="3900" customFormat="false" ht="15" hidden="false" customHeight="false" outlineLevel="0" collapsed="false">
      <c r="A3900" s="31" t="s">
        <v>4050</v>
      </c>
      <c r="B3900" s="44" t="n">
        <v>46258</v>
      </c>
      <c r="C3900" s="31" t="s">
        <v>57</v>
      </c>
      <c r="D3900" s="31" t="s">
        <v>65</v>
      </c>
      <c r="E3900" s="31" t="s">
        <v>52</v>
      </c>
      <c r="F3900" s="31" t="s">
        <v>119</v>
      </c>
      <c r="G3900" s="31" t="n">
        <v>3</v>
      </c>
      <c r="H3900" s="41" t="n">
        <v>31.3</v>
      </c>
      <c r="I3900" s="31" t="s">
        <v>149</v>
      </c>
      <c r="J3900" s="31" t="n">
        <v>5</v>
      </c>
      <c r="K3900" s="31" t="s">
        <v>150</v>
      </c>
      <c r="L3900" s="45" t="n">
        <f aca="false">DATE(YEAR(B3900),MONTH(B3900),1)</f>
        <v>46235</v>
      </c>
      <c r="M3900" s="31" t="n">
        <f aca="false">WEEKDAY(B3900,2)</f>
        <v>1</v>
      </c>
      <c r="N3900" s="31" t="str">
        <f aca="false">IF(G3900&lt;=INDEX(Assumptions!$B$15:$B$18,MATCH(E3900,Assumptions!$A$15:$A$18,0)),"Yes","No")</f>
        <v>Yes</v>
      </c>
      <c r="O3900" s="31" t="str">
        <f aca="false">IF(H3900="","Open",IF(H3900&lt;=INDEX(Assumptions!$C$15:$C$18,MATCH(E3900,Assumptions!$A$15:$A$18,0)),"Yes","No"))</f>
        <v>Yes</v>
      </c>
    </row>
    <row r="3901" customFormat="false" ht="15" hidden="false" customHeight="false" outlineLevel="0" collapsed="false">
      <c r="A3901" s="31" t="s">
        <v>4051</v>
      </c>
      <c r="B3901" s="44" t="n">
        <v>46258</v>
      </c>
      <c r="C3901" s="31" t="s">
        <v>57</v>
      </c>
      <c r="D3901" s="31" t="s">
        <v>66</v>
      </c>
      <c r="E3901" s="31" t="s">
        <v>51</v>
      </c>
      <c r="F3901" s="31" t="s">
        <v>127</v>
      </c>
      <c r="G3901" s="31" t="n">
        <v>4</v>
      </c>
      <c r="H3901" s="41" t="n">
        <v>10.2</v>
      </c>
      <c r="I3901" s="31" t="s">
        <v>149</v>
      </c>
      <c r="J3901" s="31"/>
      <c r="K3901" s="31" t="s">
        <v>150</v>
      </c>
      <c r="L3901" s="45" t="n">
        <f aca="false">DATE(YEAR(B3901),MONTH(B3901),1)</f>
        <v>46235</v>
      </c>
      <c r="M3901" s="31" t="n">
        <f aca="false">WEEKDAY(B3901,2)</f>
        <v>1</v>
      </c>
      <c r="N3901" s="31" t="str">
        <f aca="false">IF(G3901&lt;=INDEX(Assumptions!$B$15:$B$18,MATCH(E3901,Assumptions!$A$15:$A$18,0)),"Yes","No")</f>
        <v>Yes</v>
      </c>
      <c r="O3901" s="31" t="str">
        <f aca="false">IF(H3901="","Open",IF(H3901&lt;=INDEX(Assumptions!$C$15:$C$18,MATCH(E3901,Assumptions!$A$15:$A$18,0)),"Yes","No"))</f>
        <v>Yes</v>
      </c>
    </row>
    <row r="3902" customFormat="false" ht="15" hidden="false" customHeight="false" outlineLevel="0" collapsed="false">
      <c r="A3902" s="31" t="s">
        <v>4052</v>
      </c>
      <c r="B3902" s="44" t="n">
        <v>46258</v>
      </c>
      <c r="C3902" s="31" t="s">
        <v>58</v>
      </c>
      <c r="D3902" s="31" t="s">
        <v>68</v>
      </c>
      <c r="E3902" s="31" t="s">
        <v>51</v>
      </c>
      <c r="F3902" s="31" t="s">
        <v>135</v>
      </c>
      <c r="G3902" s="31" t="n">
        <v>18</v>
      </c>
      <c r="H3902" s="41" t="n">
        <v>29.3</v>
      </c>
      <c r="I3902" s="31" t="s">
        <v>64</v>
      </c>
      <c r="J3902" s="31"/>
      <c r="K3902" s="31" t="s">
        <v>150</v>
      </c>
      <c r="L3902" s="45" t="n">
        <f aca="false">DATE(YEAR(B3902),MONTH(B3902),1)</f>
        <v>46235</v>
      </c>
      <c r="M3902" s="31" t="n">
        <f aca="false">WEEKDAY(B3902,2)</f>
        <v>1</v>
      </c>
      <c r="N3902" s="31" t="str">
        <f aca="false">IF(G3902&lt;=INDEX(Assumptions!$B$15:$B$18,MATCH(E3902,Assumptions!$A$15:$A$18,0)),"Yes","No")</f>
        <v>Yes</v>
      </c>
      <c r="O3902" s="31" t="str">
        <f aca="false">IF(H3902="","Open",IF(H3902&lt;=INDEX(Assumptions!$C$15:$C$18,MATCH(E3902,Assumptions!$A$15:$A$18,0)),"Yes","No"))</f>
        <v>No</v>
      </c>
    </row>
    <row r="3903" customFormat="false" ht="15" hidden="false" customHeight="false" outlineLevel="0" collapsed="false">
      <c r="A3903" s="31" t="s">
        <v>4053</v>
      </c>
      <c r="B3903" s="44" t="n">
        <v>46258</v>
      </c>
      <c r="C3903" s="31" t="s">
        <v>59</v>
      </c>
      <c r="D3903" s="31" t="s">
        <v>66</v>
      </c>
      <c r="E3903" s="31" t="s">
        <v>52</v>
      </c>
      <c r="F3903" s="31" t="s">
        <v>130</v>
      </c>
      <c r="G3903" s="31" t="n">
        <v>79</v>
      </c>
      <c r="H3903" s="41" t="n">
        <v>4.7</v>
      </c>
      <c r="I3903" s="31" t="s">
        <v>149</v>
      </c>
      <c r="J3903" s="31"/>
      <c r="K3903" s="31" t="s">
        <v>150</v>
      </c>
      <c r="L3903" s="45" t="n">
        <f aca="false">DATE(YEAR(B3903),MONTH(B3903),1)</f>
        <v>46235</v>
      </c>
      <c r="M3903" s="31" t="n">
        <f aca="false">WEEKDAY(B3903,2)</f>
        <v>1</v>
      </c>
      <c r="N3903" s="31" t="str">
        <f aca="false">IF(G3903&lt;=INDEX(Assumptions!$B$15:$B$18,MATCH(E3903,Assumptions!$A$15:$A$18,0)),"Yes","No")</f>
        <v>Yes</v>
      </c>
      <c r="O3903" s="31" t="str">
        <f aca="false">IF(H3903="","Open",IF(H3903&lt;=INDEX(Assumptions!$C$15:$C$18,MATCH(E3903,Assumptions!$A$15:$A$18,0)),"Yes","No"))</f>
        <v>Yes</v>
      </c>
    </row>
    <row r="3904" customFormat="false" ht="15" hidden="false" customHeight="false" outlineLevel="0" collapsed="false">
      <c r="A3904" s="31" t="s">
        <v>4054</v>
      </c>
      <c r="B3904" s="44" t="n">
        <v>46258</v>
      </c>
      <c r="C3904" s="31" t="s">
        <v>57</v>
      </c>
      <c r="D3904" s="31" t="s">
        <v>66</v>
      </c>
      <c r="E3904" s="31" t="s">
        <v>52</v>
      </c>
      <c r="F3904" s="31" t="s">
        <v>128</v>
      </c>
      <c r="G3904" s="31" t="n">
        <v>6</v>
      </c>
      <c r="H3904" s="41" t="n">
        <v>3.5</v>
      </c>
      <c r="I3904" s="31" t="s">
        <v>149</v>
      </c>
      <c r="J3904" s="31"/>
      <c r="K3904" s="31" t="s">
        <v>150</v>
      </c>
      <c r="L3904" s="45" t="n">
        <f aca="false">DATE(YEAR(B3904),MONTH(B3904),1)</f>
        <v>46235</v>
      </c>
      <c r="M3904" s="31" t="n">
        <f aca="false">WEEKDAY(B3904,2)</f>
        <v>1</v>
      </c>
      <c r="N3904" s="31" t="str">
        <f aca="false">IF(G3904&lt;=INDEX(Assumptions!$B$15:$B$18,MATCH(E3904,Assumptions!$A$15:$A$18,0)),"Yes","No")</f>
        <v>Yes</v>
      </c>
      <c r="O3904" s="31" t="str">
        <f aca="false">IF(H3904="","Open",IF(H3904&lt;=INDEX(Assumptions!$C$15:$C$18,MATCH(E3904,Assumptions!$A$15:$A$18,0)),"Yes","No"))</f>
        <v>Yes</v>
      </c>
    </row>
    <row r="3905" customFormat="false" ht="15" hidden="false" customHeight="false" outlineLevel="0" collapsed="false">
      <c r="A3905" s="31" t="s">
        <v>4055</v>
      </c>
      <c r="B3905" s="44" t="n">
        <v>46258</v>
      </c>
      <c r="C3905" s="31" t="s">
        <v>59</v>
      </c>
      <c r="D3905" s="31" t="s">
        <v>67</v>
      </c>
      <c r="E3905" s="31" t="s">
        <v>52</v>
      </c>
      <c r="F3905" s="31" t="s">
        <v>119</v>
      </c>
      <c r="G3905" s="31" t="n">
        <v>184</v>
      </c>
      <c r="H3905" s="41" t="n">
        <v>25.6</v>
      </c>
      <c r="I3905" s="31" t="s">
        <v>149</v>
      </c>
      <c r="J3905" s="31"/>
      <c r="K3905" s="31" t="s">
        <v>150</v>
      </c>
      <c r="L3905" s="45" t="n">
        <f aca="false">DATE(YEAR(B3905),MONTH(B3905),1)</f>
        <v>46235</v>
      </c>
      <c r="M3905" s="31" t="n">
        <f aca="false">WEEKDAY(B3905,2)</f>
        <v>1</v>
      </c>
      <c r="N3905" s="31" t="str">
        <f aca="false">IF(G3905&lt;=INDEX(Assumptions!$B$15:$B$18,MATCH(E3905,Assumptions!$A$15:$A$18,0)),"Yes","No")</f>
        <v>Yes</v>
      </c>
      <c r="O3905" s="31" t="str">
        <f aca="false">IF(H3905="","Open",IF(H3905&lt;=INDEX(Assumptions!$C$15:$C$18,MATCH(E3905,Assumptions!$A$15:$A$18,0)),"Yes","No"))</f>
        <v>Yes</v>
      </c>
    </row>
    <row r="3906" customFormat="false" ht="15" hidden="false" customHeight="false" outlineLevel="0" collapsed="false">
      <c r="A3906" s="31" t="s">
        <v>4056</v>
      </c>
      <c r="B3906" s="44" t="n">
        <v>46258</v>
      </c>
      <c r="C3906" s="31" t="s">
        <v>59</v>
      </c>
      <c r="D3906" s="31" t="s">
        <v>66</v>
      </c>
      <c r="E3906" s="31" t="s">
        <v>51</v>
      </c>
      <c r="F3906" s="31" t="s">
        <v>121</v>
      </c>
      <c r="G3906" s="31" t="n">
        <v>127</v>
      </c>
      <c r="H3906" s="41" t="n">
        <v>5</v>
      </c>
      <c r="I3906" s="31" t="s">
        <v>149</v>
      </c>
      <c r="J3906" s="31" t="n">
        <v>4</v>
      </c>
      <c r="K3906" s="31" t="s">
        <v>150</v>
      </c>
      <c r="L3906" s="45" t="n">
        <f aca="false">DATE(YEAR(B3906),MONTH(B3906),1)</f>
        <v>46235</v>
      </c>
      <c r="M3906" s="31" t="n">
        <f aca="false">WEEKDAY(B3906,2)</f>
        <v>1</v>
      </c>
      <c r="N3906" s="31" t="str">
        <f aca="false">IF(G3906&lt;=INDEX(Assumptions!$B$15:$B$18,MATCH(E3906,Assumptions!$A$15:$A$18,0)),"Yes","No")</f>
        <v>No</v>
      </c>
      <c r="O3906" s="31" t="str">
        <f aca="false">IF(H3906="","Open",IF(H3906&lt;=INDEX(Assumptions!$C$15:$C$18,MATCH(E3906,Assumptions!$A$15:$A$18,0)),"Yes","No"))</f>
        <v>Yes</v>
      </c>
    </row>
    <row r="3907" customFormat="false" ht="15" hidden="false" customHeight="false" outlineLevel="0" collapsed="false">
      <c r="A3907" s="31" t="s">
        <v>4057</v>
      </c>
      <c r="B3907" s="44" t="n">
        <v>46258</v>
      </c>
      <c r="C3907" s="31" t="s">
        <v>60</v>
      </c>
      <c r="D3907" s="31" t="s">
        <v>68</v>
      </c>
      <c r="E3907" s="31" t="s">
        <v>51</v>
      </c>
      <c r="F3907" s="31" t="s">
        <v>133</v>
      </c>
      <c r="G3907" s="31" t="n">
        <v>1</v>
      </c>
      <c r="H3907" s="41" t="n">
        <v>2.7</v>
      </c>
      <c r="I3907" s="31" t="s">
        <v>149</v>
      </c>
      <c r="J3907" s="31" t="n">
        <v>3</v>
      </c>
      <c r="K3907" s="31" t="s">
        <v>150</v>
      </c>
      <c r="L3907" s="45" t="n">
        <f aca="false">DATE(YEAR(B3907),MONTH(B3907),1)</f>
        <v>46235</v>
      </c>
      <c r="M3907" s="31" t="n">
        <f aca="false">WEEKDAY(B3907,2)</f>
        <v>1</v>
      </c>
      <c r="N3907" s="31" t="str">
        <f aca="false">IF(G3907&lt;=INDEX(Assumptions!$B$15:$B$18,MATCH(E3907,Assumptions!$A$15:$A$18,0)),"Yes","No")</f>
        <v>Yes</v>
      </c>
      <c r="O3907" s="31" t="str">
        <f aca="false">IF(H3907="","Open",IF(H3907&lt;=INDEX(Assumptions!$C$15:$C$18,MATCH(E3907,Assumptions!$A$15:$A$18,0)),"Yes","No"))</f>
        <v>Yes</v>
      </c>
    </row>
    <row r="3908" customFormat="false" ht="15" hidden="false" customHeight="false" outlineLevel="0" collapsed="false">
      <c r="A3908" s="31" t="s">
        <v>4058</v>
      </c>
      <c r="B3908" s="44" t="n">
        <v>46258</v>
      </c>
      <c r="C3908" s="31" t="s">
        <v>60</v>
      </c>
      <c r="D3908" s="31" t="s">
        <v>67</v>
      </c>
      <c r="E3908" s="31" t="s">
        <v>51</v>
      </c>
      <c r="F3908" s="31" t="s">
        <v>128</v>
      </c>
      <c r="G3908" s="31" t="n">
        <v>7</v>
      </c>
      <c r="H3908" s="41" t="n">
        <v>14.9</v>
      </c>
      <c r="I3908" s="31" t="s">
        <v>149</v>
      </c>
      <c r="J3908" s="31" t="n">
        <v>5</v>
      </c>
      <c r="K3908" s="31" t="s">
        <v>150</v>
      </c>
      <c r="L3908" s="45" t="n">
        <f aca="false">DATE(YEAR(B3908),MONTH(B3908),1)</f>
        <v>46235</v>
      </c>
      <c r="M3908" s="31" t="n">
        <f aca="false">WEEKDAY(B3908,2)</f>
        <v>1</v>
      </c>
      <c r="N3908" s="31" t="str">
        <f aca="false">IF(G3908&lt;=INDEX(Assumptions!$B$15:$B$18,MATCH(E3908,Assumptions!$A$15:$A$18,0)),"Yes","No")</f>
        <v>Yes</v>
      </c>
      <c r="O3908" s="31" t="str">
        <f aca="false">IF(H3908="","Open",IF(H3908&lt;=INDEX(Assumptions!$C$15:$C$18,MATCH(E3908,Assumptions!$A$15:$A$18,0)),"Yes","No"))</f>
        <v>Yes</v>
      </c>
    </row>
    <row r="3909" customFormat="false" ht="15" hidden="false" customHeight="false" outlineLevel="0" collapsed="false">
      <c r="A3909" s="31" t="s">
        <v>4059</v>
      </c>
      <c r="B3909" s="44" t="n">
        <v>46258</v>
      </c>
      <c r="C3909" s="31" t="s">
        <v>57</v>
      </c>
      <c r="D3909" s="31" t="s">
        <v>65</v>
      </c>
      <c r="E3909" s="31" t="s">
        <v>51</v>
      </c>
      <c r="F3909" s="31" t="s">
        <v>129</v>
      </c>
      <c r="G3909" s="31" t="n">
        <v>4</v>
      </c>
      <c r="H3909" s="41" t="n">
        <v>9.8</v>
      </c>
      <c r="I3909" s="31" t="s">
        <v>64</v>
      </c>
      <c r="J3909" s="31" t="n">
        <v>4</v>
      </c>
      <c r="K3909" s="31" t="s">
        <v>150</v>
      </c>
      <c r="L3909" s="45" t="n">
        <f aca="false">DATE(YEAR(B3909),MONTH(B3909),1)</f>
        <v>46235</v>
      </c>
      <c r="M3909" s="31" t="n">
        <f aca="false">WEEKDAY(B3909,2)</f>
        <v>1</v>
      </c>
      <c r="N3909" s="31" t="str">
        <f aca="false">IF(G3909&lt;=INDEX(Assumptions!$B$15:$B$18,MATCH(E3909,Assumptions!$A$15:$A$18,0)),"Yes","No")</f>
        <v>Yes</v>
      </c>
      <c r="O3909" s="31" t="str">
        <f aca="false">IF(H3909="","Open",IF(H3909&lt;=INDEX(Assumptions!$C$15:$C$18,MATCH(E3909,Assumptions!$A$15:$A$18,0)),"Yes","No"))</f>
        <v>Yes</v>
      </c>
    </row>
    <row r="3910" customFormat="false" ht="15" hidden="false" customHeight="false" outlineLevel="0" collapsed="false">
      <c r="A3910" s="31" t="s">
        <v>4060</v>
      </c>
      <c r="B3910" s="44" t="n">
        <v>46258</v>
      </c>
      <c r="C3910" s="31" t="s">
        <v>59</v>
      </c>
      <c r="D3910" s="31" t="s">
        <v>66</v>
      </c>
      <c r="E3910" s="31" t="s">
        <v>49</v>
      </c>
      <c r="F3910" s="31" t="s">
        <v>129</v>
      </c>
      <c r="G3910" s="31" t="n">
        <v>46</v>
      </c>
      <c r="H3910" s="41"/>
      <c r="I3910" s="31" t="s">
        <v>158</v>
      </c>
      <c r="J3910" s="31"/>
      <c r="K3910" s="31" t="s">
        <v>150</v>
      </c>
      <c r="L3910" s="45" t="n">
        <f aca="false">DATE(YEAR(B3910),MONTH(B3910),1)</f>
        <v>46235</v>
      </c>
      <c r="M3910" s="31" t="n">
        <f aca="false">WEEKDAY(B3910,2)</f>
        <v>1</v>
      </c>
      <c r="N3910" s="31" t="str">
        <f aca="false">IF(G3910&lt;=INDEX(Assumptions!$B$15:$B$18,MATCH(E3910,Assumptions!$A$15:$A$18,0)),"Yes","No")</f>
        <v>No</v>
      </c>
      <c r="O3910" s="31" t="str">
        <f aca="false">IF(H3910="","Open",IF(H3910&lt;=INDEX(Assumptions!$C$15:$C$18,MATCH(E3910,Assumptions!$A$15:$A$18,0)),"Yes","No"))</f>
        <v>Open</v>
      </c>
    </row>
    <row r="3911" customFormat="false" ht="15" hidden="false" customHeight="false" outlineLevel="0" collapsed="false">
      <c r="A3911" s="31" t="s">
        <v>4061</v>
      </c>
      <c r="B3911" s="44" t="n">
        <v>46258</v>
      </c>
      <c r="C3911" s="31" t="s">
        <v>57</v>
      </c>
      <c r="D3911" s="31" t="s">
        <v>67</v>
      </c>
      <c r="E3911" s="31" t="s">
        <v>52</v>
      </c>
      <c r="F3911" s="31" t="s">
        <v>129</v>
      </c>
      <c r="G3911" s="31" t="n">
        <v>8</v>
      </c>
      <c r="H3911" s="41" t="n">
        <v>42.8</v>
      </c>
      <c r="I3911" s="31" t="s">
        <v>149</v>
      </c>
      <c r="J3911" s="31" t="n">
        <v>5</v>
      </c>
      <c r="K3911" s="31" t="s">
        <v>150</v>
      </c>
      <c r="L3911" s="45" t="n">
        <f aca="false">DATE(YEAR(B3911),MONTH(B3911),1)</f>
        <v>46235</v>
      </c>
      <c r="M3911" s="31" t="n">
        <f aca="false">WEEKDAY(B3911,2)</f>
        <v>1</v>
      </c>
      <c r="N3911" s="31" t="str">
        <f aca="false">IF(G3911&lt;=INDEX(Assumptions!$B$15:$B$18,MATCH(E3911,Assumptions!$A$15:$A$18,0)),"Yes","No")</f>
        <v>Yes</v>
      </c>
      <c r="O3911" s="31" t="str">
        <f aca="false">IF(H3911="","Open",IF(H3911&lt;=INDEX(Assumptions!$C$15:$C$18,MATCH(E3911,Assumptions!$A$15:$A$18,0)),"Yes","No"))</f>
        <v>Yes</v>
      </c>
    </row>
    <row r="3912" customFormat="false" ht="15" hidden="false" customHeight="false" outlineLevel="0" collapsed="false">
      <c r="A3912" s="31" t="s">
        <v>4062</v>
      </c>
      <c r="B3912" s="44" t="n">
        <v>46258</v>
      </c>
      <c r="C3912" s="31" t="s">
        <v>58</v>
      </c>
      <c r="D3912" s="31" t="s">
        <v>65</v>
      </c>
      <c r="E3912" s="31" t="s">
        <v>51</v>
      </c>
      <c r="F3912" s="31" t="s">
        <v>122</v>
      </c>
      <c r="G3912" s="31" t="n">
        <v>20</v>
      </c>
      <c r="H3912" s="41" t="n">
        <v>3.8</v>
      </c>
      <c r="I3912" s="31" t="s">
        <v>149</v>
      </c>
      <c r="J3912" s="31"/>
      <c r="K3912" s="31" t="s">
        <v>150</v>
      </c>
      <c r="L3912" s="45" t="n">
        <f aca="false">DATE(YEAR(B3912),MONTH(B3912),1)</f>
        <v>46235</v>
      </c>
      <c r="M3912" s="31" t="n">
        <f aca="false">WEEKDAY(B3912,2)</f>
        <v>1</v>
      </c>
      <c r="N3912" s="31" t="str">
        <f aca="false">IF(G3912&lt;=INDEX(Assumptions!$B$15:$B$18,MATCH(E3912,Assumptions!$A$15:$A$18,0)),"Yes","No")</f>
        <v>Yes</v>
      </c>
      <c r="O3912" s="31" t="str">
        <f aca="false">IF(H3912="","Open",IF(H3912&lt;=INDEX(Assumptions!$C$15:$C$18,MATCH(E3912,Assumptions!$A$15:$A$18,0)),"Yes","No"))</f>
        <v>Yes</v>
      </c>
    </row>
    <row r="3913" customFormat="false" ht="15" hidden="false" customHeight="false" outlineLevel="0" collapsed="false">
      <c r="A3913" s="31" t="s">
        <v>4063</v>
      </c>
      <c r="B3913" s="44" t="n">
        <v>46258</v>
      </c>
      <c r="C3913" s="31" t="s">
        <v>57</v>
      </c>
      <c r="D3913" s="31" t="s">
        <v>65</v>
      </c>
      <c r="E3913" s="31" t="s">
        <v>50</v>
      </c>
      <c r="F3913" s="31" t="s">
        <v>134</v>
      </c>
      <c r="G3913" s="31" t="n">
        <v>3</v>
      </c>
      <c r="H3913" s="41" t="n">
        <v>17.6</v>
      </c>
      <c r="I3913" s="31" t="s">
        <v>149</v>
      </c>
      <c r="J3913" s="31" t="n">
        <v>4</v>
      </c>
      <c r="K3913" s="31" t="s">
        <v>150</v>
      </c>
      <c r="L3913" s="45" t="n">
        <f aca="false">DATE(YEAR(B3913),MONTH(B3913),1)</f>
        <v>46235</v>
      </c>
      <c r="M3913" s="31" t="n">
        <f aca="false">WEEKDAY(B3913,2)</f>
        <v>1</v>
      </c>
      <c r="N3913" s="31" t="str">
        <f aca="false">IF(G3913&lt;=INDEX(Assumptions!$B$15:$B$18,MATCH(E3913,Assumptions!$A$15:$A$18,0)),"Yes","No")</f>
        <v>Yes</v>
      </c>
      <c r="O3913" s="31" t="str">
        <f aca="false">IF(H3913="","Open",IF(H3913&lt;=INDEX(Assumptions!$C$15:$C$18,MATCH(E3913,Assumptions!$A$15:$A$18,0)),"Yes","No"))</f>
        <v>No</v>
      </c>
    </row>
    <row r="3914" customFormat="false" ht="15" hidden="false" customHeight="false" outlineLevel="0" collapsed="false">
      <c r="A3914" s="31" t="s">
        <v>4064</v>
      </c>
      <c r="B3914" s="44" t="n">
        <v>46258</v>
      </c>
      <c r="C3914" s="31" t="s">
        <v>58</v>
      </c>
      <c r="D3914" s="31" t="s">
        <v>69</v>
      </c>
      <c r="E3914" s="31" t="s">
        <v>52</v>
      </c>
      <c r="F3914" s="31" t="s">
        <v>121</v>
      </c>
      <c r="G3914" s="31" t="n">
        <v>14</v>
      </c>
      <c r="H3914" s="41" t="n">
        <v>7.2</v>
      </c>
      <c r="I3914" s="31" t="s">
        <v>149</v>
      </c>
      <c r="J3914" s="31"/>
      <c r="K3914" s="31" t="s">
        <v>150</v>
      </c>
      <c r="L3914" s="45" t="n">
        <f aca="false">DATE(YEAR(B3914),MONTH(B3914),1)</f>
        <v>46235</v>
      </c>
      <c r="M3914" s="31" t="n">
        <f aca="false">WEEKDAY(B3914,2)</f>
        <v>1</v>
      </c>
      <c r="N3914" s="31" t="str">
        <f aca="false">IF(G3914&lt;=INDEX(Assumptions!$B$15:$B$18,MATCH(E3914,Assumptions!$A$15:$A$18,0)),"Yes","No")</f>
        <v>Yes</v>
      </c>
      <c r="O3914" s="31" t="str">
        <f aca="false">IF(H3914="","Open",IF(H3914&lt;=INDEX(Assumptions!$C$15:$C$18,MATCH(E3914,Assumptions!$A$15:$A$18,0)),"Yes","No"))</f>
        <v>Yes</v>
      </c>
    </row>
    <row r="3915" customFormat="false" ht="15" hidden="false" customHeight="false" outlineLevel="0" collapsed="false">
      <c r="A3915" s="31" t="s">
        <v>4065</v>
      </c>
      <c r="B3915" s="44" t="n">
        <v>46258</v>
      </c>
      <c r="C3915" s="31" t="s">
        <v>57</v>
      </c>
      <c r="D3915" s="31" t="s">
        <v>67</v>
      </c>
      <c r="E3915" s="31" t="s">
        <v>52</v>
      </c>
      <c r="F3915" s="31" t="s">
        <v>134</v>
      </c>
      <c r="G3915" s="31" t="n">
        <v>18</v>
      </c>
      <c r="H3915" s="41" t="n">
        <v>73.5</v>
      </c>
      <c r="I3915" s="31" t="s">
        <v>149</v>
      </c>
      <c r="J3915" s="31" t="n">
        <v>4</v>
      </c>
      <c r="K3915" s="31" t="s">
        <v>150</v>
      </c>
      <c r="L3915" s="45" t="n">
        <f aca="false">DATE(YEAR(B3915),MONTH(B3915),1)</f>
        <v>46235</v>
      </c>
      <c r="M3915" s="31" t="n">
        <f aca="false">WEEKDAY(B3915,2)</f>
        <v>1</v>
      </c>
      <c r="N3915" s="31" t="str">
        <f aca="false">IF(G3915&lt;=INDEX(Assumptions!$B$15:$B$18,MATCH(E3915,Assumptions!$A$15:$A$18,0)),"Yes","No")</f>
        <v>Yes</v>
      </c>
      <c r="O3915" s="31" t="str">
        <f aca="false">IF(H3915="","Open",IF(H3915&lt;=INDEX(Assumptions!$C$15:$C$18,MATCH(E3915,Assumptions!$A$15:$A$18,0)),"Yes","No"))</f>
        <v>No</v>
      </c>
    </row>
    <row r="3916" customFormat="false" ht="15" hidden="false" customHeight="false" outlineLevel="0" collapsed="false">
      <c r="A3916" s="31" t="s">
        <v>4066</v>
      </c>
      <c r="B3916" s="44" t="n">
        <v>46258</v>
      </c>
      <c r="C3916" s="31" t="s">
        <v>60</v>
      </c>
      <c r="D3916" s="31" t="s">
        <v>67</v>
      </c>
      <c r="E3916" s="31" t="s">
        <v>50</v>
      </c>
      <c r="F3916" s="31" t="s">
        <v>135</v>
      </c>
      <c r="G3916" s="31" t="n">
        <v>8</v>
      </c>
      <c r="H3916" s="41" t="n">
        <v>4.1</v>
      </c>
      <c r="I3916" s="31" t="s">
        <v>149</v>
      </c>
      <c r="J3916" s="31"/>
      <c r="K3916" s="31" t="s">
        <v>150</v>
      </c>
      <c r="L3916" s="45" t="n">
        <f aca="false">DATE(YEAR(B3916),MONTH(B3916),1)</f>
        <v>46235</v>
      </c>
      <c r="M3916" s="31" t="n">
        <f aca="false">WEEKDAY(B3916,2)</f>
        <v>1</v>
      </c>
      <c r="N3916" s="31" t="str">
        <f aca="false">IF(G3916&lt;=INDEX(Assumptions!$B$15:$B$18,MATCH(E3916,Assumptions!$A$15:$A$18,0)),"Yes","No")</f>
        <v>Yes</v>
      </c>
      <c r="O3916" s="31" t="str">
        <f aca="false">IF(H3916="","Open",IF(H3916&lt;=INDEX(Assumptions!$C$15:$C$18,MATCH(E3916,Assumptions!$A$15:$A$18,0)),"Yes","No"))</f>
        <v>Yes</v>
      </c>
    </row>
    <row r="3917" customFormat="false" ht="15" hidden="false" customHeight="false" outlineLevel="0" collapsed="false">
      <c r="A3917" s="31" t="s">
        <v>4067</v>
      </c>
      <c r="B3917" s="44" t="n">
        <v>46258</v>
      </c>
      <c r="C3917" s="31" t="s">
        <v>59</v>
      </c>
      <c r="D3917" s="31" t="s">
        <v>65</v>
      </c>
      <c r="E3917" s="31" t="s">
        <v>50</v>
      </c>
      <c r="F3917" s="31" t="s">
        <v>133</v>
      </c>
      <c r="G3917" s="31" t="n">
        <v>41</v>
      </c>
      <c r="H3917" s="41" t="n">
        <v>3.1</v>
      </c>
      <c r="I3917" s="31" t="s">
        <v>149</v>
      </c>
      <c r="J3917" s="31"/>
      <c r="K3917" s="31" t="s">
        <v>150</v>
      </c>
      <c r="L3917" s="45" t="n">
        <f aca="false">DATE(YEAR(B3917),MONTH(B3917),1)</f>
        <v>46235</v>
      </c>
      <c r="M3917" s="31" t="n">
        <f aca="false">WEEKDAY(B3917,2)</f>
        <v>1</v>
      </c>
      <c r="N3917" s="31" t="str">
        <f aca="false">IF(G3917&lt;=INDEX(Assumptions!$B$15:$B$18,MATCH(E3917,Assumptions!$A$15:$A$18,0)),"Yes","No")</f>
        <v>No</v>
      </c>
      <c r="O3917" s="31" t="str">
        <f aca="false">IF(H3917="","Open",IF(H3917&lt;=INDEX(Assumptions!$C$15:$C$18,MATCH(E3917,Assumptions!$A$15:$A$18,0)),"Yes","No"))</f>
        <v>Yes</v>
      </c>
    </row>
    <row r="3918" customFormat="false" ht="15" hidden="false" customHeight="false" outlineLevel="0" collapsed="false">
      <c r="A3918" s="31" t="s">
        <v>4068</v>
      </c>
      <c r="B3918" s="44" t="n">
        <v>46258</v>
      </c>
      <c r="C3918" s="31" t="s">
        <v>58</v>
      </c>
      <c r="D3918" s="31" t="s">
        <v>66</v>
      </c>
      <c r="E3918" s="31" t="s">
        <v>51</v>
      </c>
      <c r="F3918" s="31" t="s">
        <v>123</v>
      </c>
      <c r="G3918" s="31" t="n">
        <v>18</v>
      </c>
      <c r="H3918" s="41" t="n">
        <v>41.2</v>
      </c>
      <c r="I3918" s="31" t="s">
        <v>64</v>
      </c>
      <c r="J3918" s="31" t="n">
        <v>3</v>
      </c>
      <c r="K3918" s="31" t="s">
        <v>150</v>
      </c>
      <c r="L3918" s="45" t="n">
        <f aca="false">DATE(YEAR(B3918),MONTH(B3918),1)</f>
        <v>46235</v>
      </c>
      <c r="M3918" s="31" t="n">
        <f aca="false">WEEKDAY(B3918,2)</f>
        <v>1</v>
      </c>
      <c r="N3918" s="31" t="str">
        <f aca="false">IF(G3918&lt;=INDEX(Assumptions!$B$15:$B$18,MATCH(E3918,Assumptions!$A$15:$A$18,0)),"Yes","No")</f>
        <v>Yes</v>
      </c>
      <c r="O3918" s="31" t="str">
        <f aca="false">IF(H3918="","Open",IF(H3918&lt;=INDEX(Assumptions!$C$15:$C$18,MATCH(E3918,Assumptions!$A$15:$A$18,0)),"Yes","No"))</f>
        <v>No</v>
      </c>
    </row>
    <row r="3919" customFormat="false" ht="15" hidden="false" customHeight="false" outlineLevel="0" collapsed="false">
      <c r="A3919" s="31" t="s">
        <v>4069</v>
      </c>
      <c r="B3919" s="44" t="n">
        <v>46258</v>
      </c>
      <c r="C3919" s="31" t="s">
        <v>59</v>
      </c>
      <c r="D3919" s="31" t="s">
        <v>68</v>
      </c>
      <c r="E3919" s="31" t="s">
        <v>52</v>
      </c>
      <c r="F3919" s="31" t="s">
        <v>136</v>
      </c>
      <c r="G3919" s="31" t="n">
        <v>97</v>
      </c>
      <c r="H3919" s="41" t="n">
        <v>10.9</v>
      </c>
      <c r="I3919" s="31" t="s">
        <v>149</v>
      </c>
      <c r="J3919" s="31" t="n">
        <v>5</v>
      </c>
      <c r="K3919" s="31" t="s">
        <v>150</v>
      </c>
      <c r="L3919" s="45" t="n">
        <f aca="false">DATE(YEAR(B3919),MONTH(B3919),1)</f>
        <v>46235</v>
      </c>
      <c r="M3919" s="31" t="n">
        <f aca="false">WEEKDAY(B3919,2)</f>
        <v>1</v>
      </c>
      <c r="N3919" s="31" t="str">
        <f aca="false">IF(G3919&lt;=INDEX(Assumptions!$B$15:$B$18,MATCH(E3919,Assumptions!$A$15:$A$18,0)),"Yes","No")</f>
        <v>Yes</v>
      </c>
      <c r="O3919" s="31" t="str">
        <f aca="false">IF(H3919="","Open",IF(H3919&lt;=INDEX(Assumptions!$C$15:$C$18,MATCH(E3919,Assumptions!$A$15:$A$18,0)),"Yes","No"))</f>
        <v>Yes</v>
      </c>
    </row>
    <row r="3920" customFormat="false" ht="15" hidden="false" customHeight="false" outlineLevel="0" collapsed="false">
      <c r="A3920" s="31" t="s">
        <v>4070</v>
      </c>
      <c r="B3920" s="44" t="n">
        <v>46258</v>
      </c>
      <c r="C3920" s="31" t="s">
        <v>57</v>
      </c>
      <c r="D3920" s="31" t="s">
        <v>66</v>
      </c>
      <c r="E3920" s="31" t="s">
        <v>52</v>
      </c>
      <c r="F3920" s="31" t="s">
        <v>137</v>
      </c>
      <c r="G3920" s="31" t="n">
        <v>10</v>
      </c>
      <c r="H3920" s="41" t="n">
        <v>4.7</v>
      </c>
      <c r="I3920" s="31" t="s">
        <v>149</v>
      </c>
      <c r="J3920" s="31"/>
      <c r="K3920" s="31" t="s">
        <v>150</v>
      </c>
      <c r="L3920" s="45" t="n">
        <f aca="false">DATE(YEAR(B3920),MONTH(B3920),1)</f>
        <v>46235</v>
      </c>
      <c r="M3920" s="31" t="n">
        <f aca="false">WEEKDAY(B3920,2)</f>
        <v>1</v>
      </c>
      <c r="N3920" s="31" t="str">
        <f aca="false">IF(G3920&lt;=INDEX(Assumptions!$B$15:$B$18,MATCH(E3920,Assumptions!$A$15:$A$18,0)),"Yes","No")</f>
        <v>Yes</v>
      </c>
      <c r="O3920" s="31" t="str">
        <f aca="false">IF(H3920="","Open",IF(H3920&lt;=INDEX(Assumptions!$C$15:$C$18,MATCH(E3920,Assumptions!$A$15:$A$18,0)),"Yes","No"))</f>
        <v>Yes</v>
      </c>
    </row>
    <row r="3921" customFormat="false" ht="15" hidden="false" customHeight="false" outlineLevel="0" collapsed="false">
      <c r="A3921" s="31" t="s">
        <v>4071</v>
      </c>
      <c r="B3921" s="44" t="n">
        <v>46258</v>
      </c>
      <c r="C3921" s="31" t="s">
        <v>59</v>
      </c>
      <c r="D3921" s="31" t="s">
        <v>65</v>
      </c>
      <c r="E3921" s="31" t="s">
        <v>51</v>
      </c>
      <c r="F3921" s="31" t="s">
        <v>117</v>
      </c>
      <c r="G3921" s="31" t="n">
        <v>46</v>
      </c>
      <c r="H3921" s="41" t="n">
        <v>2.2</v>
      </c>
      <c r="I3921" s="31" t="s">
        <v>149</v>
      </c>
      <c r="J3921" s="31" t="n">
        <v>4</v>
      </c>
      <c r="K3921" s="31" t="s">
        <v>150</v>
      </c>
      <c r="L3921" s="45" t="n">
        <f aca="false">DATE(YEAR(B3921),MONTH(B3921),1)</f>
        <v>46235</v>
      </c>
      <c r="M3921" s="31" t="n">
        <f aca="false">WEEKDAY(B3921,2)</f>
        <v>1</v>
      </c>
      <c r="N3921" s="31" t="str">
        <f aca="false">IF(G3921&lt;=INDEX(Assumptions!$B$15:$B$18,MATCH(E3921,Assumptions!$A$15:$A$18,0)),"Yes","No")</f>
        <v>Yes</v>
      </c>
      <c r="O3921" s="31" t="str">
        <f aca="false">IF(H3921="","Open",IF(H3921&lt;=INDEX(Assumptions!$C$15:$C$18,MATCH(E3921,Assumptions!$A$15:$A$18,0)),"Yes","No"))</f>
        <v>Yes</v>
      </c>
    </row>
    <row r="3922" customFormat="false" ht="15" hidden="false" customHeight="false" outlineLevel="0" collapsed="false">
      <c r="A3922" s="31" t="s">
        <v>4072</v>
      </c>
      <c r="B3922" s="44" t="n">
        <v>46258</v>
      </c>
      <c r="C3922" s="31" t="s">
        <v>60</v>
      </c>
      <c r="D3922" s="31" t="s">
        <v>69</v>
      </c>
      <c r="E3922" s="31" t="s">
        <v>51</v>
      </c>
      <c r="F3922" s="31" t="s">
        <v>126</v>
      </c>
      <c r="G3922" s="31" t="n">
        <v>4</v>
      </c>
      <c r="H3922" s="41" t="n">
        <v>13.2</v>
      </c>
      <c r="I3922" s="31" t="s">
        <v>149</v>
      </c>
      <c r="J3922" s="31"/>
      <c r="K3922" s="31" t="s">
        <v>150</v>
      </c>
      <c r="L3922" s="45" t="n">
        <f aca="false">DATE(YEAR(B3922),MONTH(B3922),1)</f>
        <v>46235</v>
      </c>
      <c r="M3922" s="31" t="n">
        <f aca="false">WEEKDAY(B3922,2)</f>
        <v>1</v>
      </c>
      <c r="N3922" s="31" t="str">
        <f aca="false">IF(G3922&lt;=INDEX(Assumptions!$B$15:$B$18,MATCH(E3922,Assumptions!$A$15:$A$18,0)),"Yes","No")</f>
        <v>Yes</v>
      </c>
      <c r="O3922" s="31" t="str">
        <f aca="false">IF(H3922="","Open",IF(H3922&lt;=INDEX(Assumptions!$C$15:$C$18,MATCH(E3922,Assumptions!$A$15:$A$18,0)),"Yes","No"))</f>
        <v>Yes</v>
      </c>
    </row>
    <row r="3923" customFormat="false" ht="15" hidden="false" customHeight="false" outlineLevel="0" collapsed="false">
      <c r="A3923" s="31" t="s">
        <v>4073</v>
      </c>
      <c r="B3923" s="44" t="n">
        <v>46258</v>
      </c>
      <c r="C3923" s="31" t="s">
        <v>57</v>
      </c>
      <c r="D3923" s="31" t="s">
        <v>66</v>
      </c>
      <c r="E3923" s="31" t="s">
        <v>51</v>
      </c>
      <c r="F3923" s="31" t="s">
        <v>127</v>
      </c>
      <c r="G3923" s="31" t="n">
        <v>2</v>
      </c>
      <c r="H3923" s="41" t="n">
        <v>5.3</v>
      </c>
      <c r="I3923" s="31" t="s">
        <v>149</v>
      </c>
      <c r="J3923" s="31" t="n">
        <v>5</v>
      </c>
      <c r="K3923" s="31" t="s">
        <v>150</v>
      </c>
      <c r="L3923" s="45" t="n">
        <f aca="false">DATE(YEAR(B3923),MONTH(B3923),1)</f>
        <v>46235</v>
      </c>
      <c r="M3923" s="31" t="n">
        <f aca="false">WEEKDAY(B3923,2)</f>
        <v>1</v>
      </c>
      <c r="N3923" s="31" t="str">
        <f aca="false">IF(G3923&lt;=INDEX(Assumptions!$B$15:$B$18,MATCH(E3923,Assumptions!$A$15:$A$18,0)),"Yes","No")</f>
        <v>Yes</v>
      </c>
      <c r="O3923" s="31" t="str">
        <f aca="false">IF(H3923="","Open",IF(H3923&lt;=INDEX(Assumptions!$C$15:$C$18,MATCH(E3923,Assumptions!$A$15:$A$18,0)),"Yes","No"))</f>
        <v>Yes</v>
      </c>
    </row>
    <row r="3924" customFormat="false" ht="15" hidden="false" customHeight="false" outlineLevel="0" collapsed="false">
      <c r="A3924" s="31" t="s">
        <v>4074</v>
      </c>
      <c r="B3924" s="44" t="n">
        <v>46258</v>
      </c>
      <c r="C3924" s="31" t="s">
        <v>59</v>
      </c>
      <c r="D3924" s="31" t="s">
        <v>67</v>
      </c>
      <c r="E3924" s="31" t="s">
        <v>51</v>
      </c>
      <c r="F3924" s="31" t="s">
        <v>121</v>
      </c>
      <c r="G3924" s="31" t="n">
        <v>65</v>
      </c>
      <c r="H3924" s="41" t="n">
        <v>27.7</v>
      </c>
      <c r="I3924" s="31" t="s">
        <v>149</v>
      </c>
      <c r="J3924" s="31"/>
      <c r="K3924" s="31" t="s">
        <v>150</v>
      </c>
      <c r="L3924" s="45" t="n">
        <f aca="false">DATE(YEAR(B3924),MONTH(B3924),1)</f>
        <v>46235</v>
      </c>
      <c r="M3924" s="31" t="n">
        <f aca="false">WEEKDAY(B3924,2)</f>
        <v>1</v>
      </c>
      <c r="N3924" s="31" t="str">
        <f aca="false">IF(G3924&lt;=INDEX(Assumptions!$B$15:$B$18,MATCH(E3924,Assumptions!$A$15:$A$18,0)),"Yes","No")</f>
        <v>No</v>
      </c>
      <c r="O3924" s="31" t="str">
        <f aca="false">IF(H3924="","Open",IF(H3924&lt;=INDEX(Assumptions!$C$15:$C$18,MATCH(E3924,Assumptions!$A$15:$A$18,0)),"Yes","No"))</f>
        <v>No</v>
      </c>
    </row>
    <row r="3925" customFormat="false" ht="15" hidden="false" customHeight="false" outlineLevel="0" collapsed="false">
      <c r="A3925" s="31" t="s">
        <v>4075</v>
      </c>
      <c r="B3925" s="44" t="n">
        <v>46258</v>
      </c>
      <c r="C3925" s="31" t="s">
        <v>60</v>
      </c>
      <c r="D3925" s="31" t="s">
        <v>67</v>
      </c>
      <c r="E3925" s="31" t="s">
        <v>52</v>
      </c>
      <c r="F3925" s="31" t="s">
        <v>131</v>
      </c>
      <c r="G3925" s="31" t="n">
        <v>5</v>
      </c>
      <c r="H3925" s="41" t="n">
        <v>31.2</v>
      </c>
      <c r="I3925" s="31" t="s">
        <v>149</v>
      </c>
      <c r="J3925" s="31" t="n">
        <v>5</v>
      </c>
      <c r="K3925" s="31" t="s">
        <v>150</v>
      </c>
      <c r="L3925" s="45" t="n">
        <f aca="false">DATE(YEAR(B3925),MONTH(B3925),1)</f>
        <v>46235</v>
      </c>
      <c r="M3925" s="31" t="n">
        <f aca="false">WEEKDAY(B3925,2)</f>
        <v>1</v>
      </c>
      <c r="N3925" s="31" t="str">
        <f aca="false">IF(G3925&lt;=INDEX(Assumptions!$B$15:$B$18,MATCH(E3925,Assumptions!$A$15:$A$18,0)),"Yes","No")</f>
        <v>Yes</v>
      </c>
      <c r="O3925" s="31" t="str">
        <f aca="false">IF(H3925="","Open",IF(H3925&lt;=INDEX(Assumptions!$C$15:$C$18,MATCH(E3925,Assumptions!$A$15:$A$18,0)),"Yes","No"))</f>
        <v>Yes</v>
      </c>
    </row>
    <row r="3926" customFormat="false" ht="15" hidden="false" customHeight="false" outlineLevel="0" collapsed="false">
      <c r="A3926" s="31" t="s">
        <v>4076</v>
      </c>
      <c r="B3926" s="44" t="n">
        <v>46258</v>
      </c>
      <c r="C3926" s="31" t="s">
        <v>59</v>
      </c>
      <c r="D3926" s="31" t="s">
        <v>65</v>
      </c>
      <c r="E3926" s="31" t="s">
        <v>52</v>
      </c>
      <c r="F3926" s="31" t="s">
        <v>129</v>
      </c>
      <c r="G3926" s="31" t="n">
        <v>101</v>
      </c>
      <c r="H3926" s="41" t="n">
        <v>18.4</v>
      </c>
      <c r="I3926" s="31" t="s">
        <v>64</v>
      </c>
      <c r="J3926" s="31"/>
      <c r="K3926" s="31" t="s">
        <v>150</v>
      </c>
      <c r="L3926" s="45" t="n">
        <f aca="false">DATE(YEAR(B3926),MONTH(B3926),1)</f>
        <v>46235</v>
      </c>
      <c r="M3926" s="31" t="n">
        <f aca="false">WEEKDAY(B3926,2)</f>
        <v>1</v>
      </c>
      <c r="N3926" s="31" t="str">
        <f aca="false">IF(G3926&lt;=INDEX(Assumptions!$B$15:$B$18,MATCH(E3926,Assumptions!$A$15:$A$18,0)),"Yes","No")</f>
        <v>Yes</v>
      </c>
      <c r="O3926" s="31" t="str">
        <f aca="false">IF(H3926="","Open",IF(H3926&lt;=INDEX(Assumptions!$C$15:$C$18,MATCH(E3926,Assumptions!$A$15:$A$18,0)),"Yes","No"))</f>
        <v>Yes</v>
      </c>
    </row>
    <row r="3927" customFormat="false" ht="15" hidden="false" customHeight="false" outlineLevel="0" collapsed="false">
      <c r="A3927" s="31" t="s">
        <v>4077</v>
      </c>
      <c r="B3927" s="44" t="n">
        <v>46258</v>
      </c>
      <c r="C3927" s="31" t="s">
        <v>57</v>
      </c>
      <c r="D3927" s="31" t="s">
        <v>69</v>
      </c>
      <c r="E3927" s="31" t="s">
        <v>49</v>
      </c>
      <c r="F3927" s="31" t="s">
        <v>124</v>
      </c>
      <c r="G3927" s="31" t="n">
        <v>9</v>
      </c>
      <c r="H3927" s="41" t="n">
        <v>6</v>
      </c>
      <c r="I3927" s="31" t="s">
        <v>149</v>
      </c>
      <c r="J3927" s="31" t="n">
        <v>4</v>
      </c>
      <c r="K3927" s="31" t="s">
        <v>150</v>
      </c>
      <c r="L3927" s="45" t="n">
        <f aca="false">DATE(YEAR(B3927),MONTH(B3927),1)</f>
        <v>46235</v>
      </c>
      <c r="M3927" s="31" t="n">
        <f aca="false">WEEKDAY(B3927,2)</f>
        <v>1</v>
      </c>
      <c r="N3927" s="31" t="str">
        <f aca="false">IF(G3927&lt;=INDEX(Assumptions!$B$15:$B$18,MATCH(E3927,Assumptions!$A$15:$A$18,0)),"Yes","No")</f>
        <v>Yes</v>
      </c>
      <c r="O3927" s="31" t="str">
        <f aca="false">IF(H3927="","Open",IF(H3927&lt;=INDEX(Assumptions!$C$15:$C$18,MATCH(E3927,Assumptions!$A$15:$A$18,0)),"Yes","No"))</f>
        <v>No</v>
      </c>
    </row>
    <row r="3928" customFormat="false" ht="15" hidden="false" customHeight="false" outlineLevel="0" collapsed="false">
      <c r="A3928" s="31" t="s">
        <v>4078</v>
      </c>
      <c r="B3928" s="44" t="n">
        <v>46258</v>
      </c>
      <c r="C3928" s="31" t="s">
        <v>57</v>
      </c>
      <c r="D3928" s="31" t="s">
        <v>65</v>
      </c>
      <c r="E3928" s="31" t="s">
        <v>52</v>
      </c>
      <c r="F3928" s="31" t="s">
        <v>134</v>
      </c>
      <c r="G3928" s="31" t="n">
        <v>28</v>
      </c>
      <c r="H3928" s="41" t="n">
        <v>54.4</v>
      </c>
      <c r="I3928" s="31" t="s">
        <v>149</v>
      </c>
      <c r="J3928" s="31"/>
      <c r="K3928" s="31" t="s">
        <v>150</v>
      </c>
      <c r="L3928" s="45" t="n">
        <f aca="false">DATE(YEAR(B3928),MONTH(B3928),1)</f>
        <v>46235</v>
      </c>
      <c r="M3928" s="31" t="n">
        <f aca="false">WEEKDAY(B3928,2)</f>
        <v>1</v>
      </c>
      <c r="N3928" s="31" t="str">
        <f aca="false">IF(G3928&lt;=INDEX(Assumptions!$B$15:$B$18,MATCH(E3928,Assumptions!$A$15:$A$18,0)),"Yes","No")</f>
        <v>Yes</v>
      </c>
      <c r="O3928" s="31" t="str">
        <f aca="false">IF(H3928="","Open",IF(H3928&lt;=INDEX(Assumptions!$C$15:$C$18,MATCH(E3928,Assumptions!$A$15:$A$18,0)),"Yes","No"))</f>
        <v>Yes</v>
      </c>
    </row>
    <row r="3929" customFormat="false" ht="15" hidden="false" customHeight="false" outlineLevel="0" collapsed="false">
      <c r="A3929" s="31" t="s">
        <v>4079</v>
      </c>
      <c r="B3929" s="44" t="n">
        <v>46258</v>
      </c>
      <c r="C3929" s="31" t="s">
        <v>59</v>
      </c>
      <c r="D3929" s="31" t="s">
        <v>67</v>
      </c>
      <c r="E3929" s="31" t="s">
        <v>51</v>
      </c>
      <c r="F3929" s="31" t="s">
        <v>131</v>
      </c>
      <c r="G3929" s="31" t="n">
        <v>20</v>
      </c>
      <c r="H3929" s="41" t="n">
        <v>10.8</v>
      </c>
      <c r="I3929" s="31" t="s">
        <v>149</v>
      </c>
      <c r="J3929" s="31" t="n">
        <v>4</v>
      </c>
      <c r="K3929" s="31" t="s">
        <v>150</v>
      </c>
      <c r="L3929" s="45" t="n">
        <f aca="false">DATE(YEAR(B3929),MONTH(B3929),1)</f>
        <v>46235</v>
      </c>
      <c r="M3929" s="31" t="n">
        <f aca="false">WEEKDAY(B3929,2)</f>
        <v>1</v>
      </c>
      <c r="N3929" s="31" t="str">
        <f aca="false">IF(G3929&lt;=INDEX(Assumptions!$B$15:$B$18,MATCH(E3929,Assumptions!$A$15:$A$18,0)),"Yes","No")</f>
        <v>Yes</v>
      </c>
      <c r="O3929" s="31" t="str">
        <f aca="false">IF(H3929="","Open",IF(H3929&lt;=INDEX(Assumptions!$C$15:$C$18,MATCH(E3929,Assumptions!$A$15:$A$18,0)),"Yes","No"))</f>
        <v>Yes</v>
      </c>
    </row>
    <row r="3930" customFormat="false" ht="15" hidden="false" customHeight="false" outlineLevel="0" collapsed="false">
      <c r="A3930" s="31" t="s">
        <v>4080</v>
      </c>
      <c r="B3930" s="44" t="n">
        <v>46258</v>
      </c>
      <c r="C3930" s="31" t="s">
        <v>57</v>
      </c>
      <c r="D3930" s="31" t="s">
        <v>66</v>
      </c>
      <c r="E3930" s="31" t="s">
        <v>52</v>
      </c>
      <c r="F3930" s="31" t="s">
        <v>136</v>
      </c>
      <c r="G3930" s="31" t="n">
        <v>4</v>
      </c>
      <c r="H3930" s="41" t="n">
        <v>3.8</v>
      </c>
      <c r="I3930" s="31" t="s">
        <v>149</v>
      </c>
      <c r="J3930" s="31" t="n">
        <v>5</v>
      </c>
      <c r="K3930" s="31" t="s">
        <v>150</v>
      </c>
      <c r="L3930" s="45" t="n">
        <f aca="false">DATE(YEAR(B3930),MONTH(B3930),1)</f>
        <v>46235</v>
      </c>
      <c r="M3930" s="31" t="n">
        <f aca="false">WEEKDAY(B3930,2)</f>
        <v>1</v>
      </c>
      <c r="N3930" s="31" t="str">
        <f aca="false">IF(G3930&lt;=INDEX(Assumptions!$B$15:$B$18,MATCH(E3930,Assumptions!$A$15:$A$18,0)),"Yes","No")</f>
        <v>Yes</v>
      </c>
      <c r="O3930" s="31" t="str">
        <f aca="false">IF(H3930="","Open",IF(H3930&lt;=INDEX(Assumptions!$C$15:$C$18,MATCH(E3930,Assumptions!$A$15:$A$18,0)),"Yes","No"))</f>
        <v>Yes</v>
      </c>
    </row>
    <row r="3931" customFormat="false" ht="15" hidden="false" customHeight="false" outlineLevel="0" collapsed="false">
      <c r="A3931" s="31" t="s">
        <v>4081</v>
      </c>
      <c r="B3931" s="44" t="n">
        <v>46258</v>
      </c>
      <c r="C3931" s="31" t="s">
        <v>60</v>
      </c>
      <c r="D3931" s="31" t="s">
        <v>68</v>
      </c>
      <c r="E3931" s="31" t="s">
        <v>52</v>
      </c>
      <c r="F3931" s="31" t="s">
        <v>128</v>
      </c>
      <c r="G3931" s="31" t="n">
        <v>4</v>
      </c>
      <c r="H3931" s="41" t="n">
        <v>6.8</v>
      </c>
      <c r="I3931" s="31" t="s">
        <v>149</v>
      </c>
      <c r="J3931" s="31"/>
      <c r="K3931" s="31" t="s">
        <v>150</v>
      </c>
      <c r="L3931" s="45" t="n">
        <f aca="false">DATE(YEAR(B3931),MONTH(B3931),1)</f>
        <v>46235</v>
      </c>
      <c r="M3931" s="31" t="n">
        <f aca="false">WEEKDAY(B3931,2)</f>
        <v>1</v>
      </c>
      <c r="N3931" s="31" t="str">
        <f aca="false">IF(G3931&lt;=INDEX(Assumptions!$B$15:$B$18,MATCH(E3931,Assumptions!$A$15:$A$18,0)),"Yes","No")</f>
        <v>Yes</v>
      </c>
      <c r="O3931" s="31" t="str">
        <f aca="false">IF(H3931="","Open",IF(H3931&lt;=INDEX(Assumptions!$C$15:$C$18,MATCH(E3931,Assumptions!$A$15:$A$18,0)),"Yes","No"))</f>
        <v>Yes</v>
      </c>
    </row>
    <row r="3932" customFormat="false" ht="15" hidden="false" customHeight="false" outlineLevel="0" collapsed="false">
      <c r="A3932" s="31" t="s">
        <v>4082</v>
      </c>
      <c r="B3932" s="44" t="n">
        <v>46258</v>
      </c>
      <c r="C3932" s="31" t="s">
        <v>59</v>
      </c>
      <c r="D3932" s="31" t="s">
        <v>66</v>
      </c>
      <c r="E3932" s="31" t="s">
        <v>52</v>
      </c>
      <c r="F3932" s="31" t="s">
        <v>124</v>
      </c>
      <c r="G3932" s="31" t="n">
        <v>83</v>
      </c>
      <c r="H3932" s="41" t="n">
        <v>11.1</v>
      </c>
      <c r="I3932" s="31" t="s">
        <v>149</v>
      </c>
      <c r="J3932" s="31" t="n">
        <v>5</v>
      </c>
      <c r="K3932" s="31" t="s">
        <v>150</v>
      </c>
      <c r="L3932" s="45" t="n">
        <f aca="false">DATE(YEAR(B3932),MONTH(B3932),1)</f>
        <v>46235</v>
      </c>
      <c r="M3932" s="31" t="n">
        <f aca="false">WEEKDAY(B3932,2)</f>
        <v>1</v>
      </c>
      <c r="N3932" s="31" t="str">
        <f aca="false">IF(G3932&lt;=INDEX(Assumptions!$B$15:$B$18,MATCH(E3932,Assumptions!$A$15:$A$18,0)),"Yes","No")</f>
        <v>Yes</v>
      </c>
      <c r="O3932" s="31" t="str">
        <f aca="false">IF(H3932="","Open",IF(H3932&lt;=INDEX(Assumptions!$C$15:$C$18,MATCH(E3932,Assumptions!$A$15:$A$18,0)),"Yes","No"))</f>
        <v>Yes</v>
      </c>
    </row>
    <row r="3933" customFormat="false" ht="15" hidden="false" customHeight="false" outlineLevel="0" collapsed="false">
      <c r="A3933" s="31" t="s">
        <v>4083</v>
      </c>
      <c r="B3933" s="44" t="n">
        <v>46258</v>
      </c>
      <c r="C3933" s="31" t="s">
        <v>60</v>
      </c>
      <c r="D3933" s="31" t="s">
        <v>67</v>
      </c>
      <c r="E3933" s="31" t="s">
        <v>49</v>
      </c>
      <c r="F3933" s="31" t="s">
        <v>135</v>
      </c>
      <c r="G3933" s="31" t="n">
        <v>2</v>
      </c>
      <c r="H3933" s="41" t="n">
        <v>6.4</v>
      </c>
      <c r="I3933" s="31" t="s">
        <v>149</v>
      </c>
      <c r="J3933" s="31"/>
      <c r="K3933" s="31" t="s">
        <v>150</v>
      </c>
      <c r="L3933" s="45" t="n">
        <f aca="false">DATE(YEAR(B3933),MONTH(B3933),1)</f>
        <v>46235</v>
      </c>
      <c r="M3933" s="31" t="n">
        <f aca="false">WEEKDAY(B3933,2)</f>
        <v>1</v>
      </c>
      <c r="N3933" s="31" t="str">
        <f aca="false">IF(G3933&lt;=INDEX(Assumptions!$B$15:$B$18,MATCH(E3933,Assumptions!$A$15:$A$18,0)),"Yes","No")</f>
        <v>Yes</v>
      </c>
      <c r="O3933" s="31" t="str">
        <f aca="false">IF(H3933="","Open",IF(H3933&lt;=INDEX(Assumptions!$C$15:$C$18,MATCH(E3933,Assumptions!$A$15:$A$18,0)),"Yes","No"))</f>
        <v>No</v>
      </c>
    </row>
    <row r="3934" customFormat="false" ht="15" hidden="false" customHeight="false" outlineLevel="0" collapsed="false">
      <c r="A3934" s="31" t="s">
        <v>4084</v>
      </c>
      <c r="B3934" s="44" t="n">
        <v>46258</v>
      </c>
      <c r="C3934" s="31" t="s">
        <v>58</v>
      </c>
      <c r="D3934" s="31" t="s">
        <v>65</v>
      </c>
      <c r="E3934" s="31" t="s">
        <v>50</v>
      </c>
      <c r="F3934" s="31" t="s">
        <v>135</v>
      </c>
      <c r="G3934" s="31" t="n">
        <v>30</v>
      </c>
      <c r="H3934" s="41" t="n">
        <v>22.7</v>
      </c>
      <c r="I3934" s="31" t="s">
        <v>149</v>
      </c>
      <c r="J3934" s="31" t="n">
        <v>3</v>
      </c>
      <c r="K3934" s="31" t="s">
        <v>150</v>
      </c>
      <c r="L3934" s="45" t="n">
        <f aca="false">DATE(YEAR(B3934),MONTH(B3934),1)</f>
        <v>46235</v>
      </c>
      <c r="M3934" s="31" t="n">
        <f aca="false">WEEKDAY(B3934,2)</f>
        <v>1</v>
      </c>
      <c r="N3934" s="31" t="str">
        <f aca="false">IF(G3934&lt;=INDEX(Assumptions!$B$15:$B$18,MATCH(E3934,Assumptions!$A$15:$A$18,0)),"Yes","No")</f>
        <v>Yes</v>
      </c>
      <c r="O3934" s="31" t="str">
        <f aca="false">IF(H3934="","Open",IF(H3934&lt;=INDEX(Assumptions!$C$15:$C$18,MATCH(E3934,Assumptions!$A$15:$A$18,0)),"Yes","No"))</f>
        <v>No</v>
      </c>
    </row>
    <row r="3935" customFormat="false" ht="15" hidden="false" customHeight="false" outlineLevel="0" collapsed="false">
      <c r="A3935" s="31" t="s">
        <v>4085</v>
      </c>
      <c r="B3935" s="44" t="n">
        <v>46258</v>
      </c>
      <c r="C3935" s="31" t="s">
        <v>58</v>
      </c>
      <c r="D3935" s="31" t="s">
        <v>68</v>
      </c>
      <c r="E3935" s="31" t="s">
        <v>52</v>
      </c>
      <c r="F3935" s="31" t="s">
        <v>128</v>
      </c>
      <c r="G3935" s="31" t="n">
        <v>22</v>
      </c>
      <c r="H3935" s="41"/>
      <c r="I3935" s="31" t="s">
        <v>158</v>
      </c>
      <c r="J3935" s="31"/>
      <c r="K3935" s="31" t="s">
        <v>150</v>
      </c>
      <c r="L3935" s="45" t="n">
        <f aca="false">DATE(YEAR(B3935),MONTH(B3935),1)</f>
        <v>46235</v>
      </c>
      <c r="M3935" s="31" t="n">
        <f aca="false">WEEKDAY(B3935,2)</f>
        <v>1</v>
      </c>
      <c r="N3935" s="31" t="str">
        <f aca="false">IF(G3935&lt;=INDEX(Assumptions!$B$15:$B$18,MATCH(E3935,Assumptions!$A$15:$A$18,0)),"Yes","No")</f>
        <v>Yes</v>
      </c>
      <c r="O3935" s="31" t="str">
        <f aca="false">IF(H3935="","Open",IF(H3935&lt;=INDEX(Assumptions!$C$15:$C$18,MATCH(E3935,Assumptions!$A$15:$A$18,0)),"Yes","No"))</f>
        <v>Open</v>
      </c>
    </row>
    <row r="3936" customFormat="false" ht="15" hidden="false" customHeight="false" outlineLevel="0" collapsed="false">
      <c r="A3936" s="31" t="s">
        <v>4086</v>
      </c>
      <c r="B3936" s="44" t="n">
        <v>46258</v>
      </c>
      <c r="C3936" s="31" t="s">
        <v>57</v>
      </c>
      <c r="D3936" s="31" t="s">
        <v>67</v>
      </c>
      <c r="E3936" s="31" t="s">
        <v>51</v>
      </c>
      <c r="F3936" s="31" t="s">
        <v>120</v>
      </c>
      <c r="G3936" s="31" t="n">
        <v>12</v>
      </c>
      <c r="H3936" s="41" t="n">
        <v>23.2</v>
      </c>
      <c r="I3936" s="31" t="s">
        <v>149</v>
      </c>
      <c r="J3936" s="31" t="n">
        <v>5</v>
      </c>
      <c r="K3936" s="31" t="s">
        <v>150</v>
      </c>
      <c r="L3936" s="45" t="n">
        <f aca="false">DATE(YEAR(B3936),MONTH(B3936),1)</f>
        <v>46235</v>
      </c>
      <c r="M3936" s="31" t="n">
        <f aca="false">WEEKDAY(B3936,2)</f>
        <v>1</v>
      </c>
      <c r="N3936" s="31" t="str">
        <f aca="false">IF(G3936&lt;=INDEX(Assumptions!$B$15:$B$18,MATCH(E3936,Assumptions!$A$15:$A$18,0)),"Yes","No")</f>
        <v>Yes</v>
      </c>
      <c r="O3936" s="31" t="str">
        <f aca="false">IF(H3936="","Open",IF(H3936&lt;=INDEX(Assumptions!$C$15:$C$18,MATCH(E3936,Assumptions!$A$15:$A$18,0)),"Yes","No"))</f>
        <v>Yes</v>
      </c>
    </row>
    <row r="3937" customFormat="false" ht="15" hidden="false" customHeight="false" outlineLevel="0" collapsed="false">
      <c r="A3937" s="31" t="s">
        <v>4087</v>
      </c>
      <c r="B3937" s="44" t="n">
        <v>46258</v>
      </c>
      <c r="C3937" s="31" t="s">
        <v>59</v>
      </c>
      <c r="D3937" s="31" t="s">
        <v>69</v>
      </c>
      <c r="E3937" s="31" t="s">
        <v>50</v>
      </c>
      <c r="F3937" s="31" t="s">
        <v>137</v>
      </c>
      <c r="G3937" s="31" t="n">
        <v>41</v>
      </c>
      <c r="H3937" s="41" t="n">
        <v>22</v>
      </c>
      <c r="I3937" s="31" t="s">
        <v>149</v>
      </c>
      <c r="J3937" s="31"/>
      <c r="K3937" s="31" t="s">
        <v>150</v>
      </c>
      <c r="L3937" s="45" t="n">
        <f aca="false">DATE(YEAR(B3937),MONTH(B3937),1)</f>
        <v>46235</v>
      </c>
      <c r="M3937" s="31" t="n">
        <f aca="false">WEEKDAY(B3937,2)</f>
        <v>1</v>
      </c>
      <c r="N3937" s="31" t="str">
        <f aca="false">IF(G3937&lt;=INDEX(Assumptions!$B$15:$B$18,MATCH(E3937,Assumptions!$A$15:$A$18,0)),"Yes","No")</f>
        <v>No</v>
      </c>
      <c r="O3937" s="31" t="str">
        <f aca="false">IF(H3937="","Open",IF(H3937&lt;=INDEX(Assumptions!$C$15:$C$18,MATCH(E3937,Assumptions!$A$15:$A$18,0)),"Yes","No"))</f>
        <v>No</v>
      </c>
    </row>
    <row r="3938" customFormat="false" ht="15" hidden="false" customHeight="false" outlineLevel="0" collapsed="false">
      <c r="A3938" s="31" t="s">
        <v>4088</v>
      </c>
      <c r="B3938" s="44" t="n">
        <v>46258</v>
      </c>
      <c r="C3938" s="31" t="s">
        <v>60</v>
      </c>
      <c r="D3938" s="31" t="s">
        <v>65</v>
      </c>
      <c r="E3938" s="31" t="s">
        <v>52</v>
      </c>
      <c r="F3938" s="31" t="s">
        <v>117</v>
      </c>
      <c r="G3938" s="31" t="n">
        <v>4</v>
      </c>
      <c r="H3938" s="41" t="n">
        <v>8.1</v>
      </c>
      <c r="I3938" s="31" t="s">
        <v>149</v>
      </c>
      <c r="J3938" s="31" t="n">
        <v>5</v>
      </c>
      <c r="K3938" s="31" t="s">
        <v>150</v>
      </c>
      <c r="L3938" s="45" t="n">
        <f aca="false">DATE(YEAR(B3938),MONTH(B3938),1)</f>
        <v>46235</v>
      </c>
      <c r="M3938" s="31" t="n">
        <f aca="false">WEEKDAY(B3938,2)</f>
        <v>1</v>
      </c>
      <c r="N3938" s="31" t="str">
        <f aca="false">IF(G3938&lt;=INDEX(Assumptions!$B$15:$B$18,MATCH(E3938,Assumptions!$A$15:$A$18,0)),"Yes","No")</f>
        <v>Yes</v>
      </c>
      <c r="O3938" s="31" t="str">
        <f aca="false">IF(H3938="","Open",IF(H3938&lt;=INDEX(Assumptions!$C$15:$C$18,MATCH(E3938,Assumptions!$A$15:$A$18,0)),"Yes","No"))</f>
        <v>Yes</v>
      </c>
    </row>
    <row r="3939" customFormat="false" ht="15" hidden="false" customHeight="false" outlineLevel="0" collapsed="false">
      <c r="A3939" s="31" t="s">
        <v>4089</v>
      </c>
      <c r="B3939" s="44" t="n">
        <v>46258</v>
      </c>
      <c r="C3939" s="31" t="s">
        <v>59</v>
      </c>
      <c r="D3939" s="31" t="s">
        <v>68</v>
      </c>
      <c r="E3939" s="31" t="s">
        <v>52</v>
      </c>
      <c r="F3939" s="31" t="s">
        <v>122</v>
      </c>
      <c r="G3939" s="31" t="n">
        <v>54</v>
      </c>
      <c r="H3939" s="41" t="n">
        <v>15</v>
      </c>
      <c r="I3939" s="31" t="s">
        <v>149</v>
      </c>
      <c r="J3939" s="31"/>
      <c r="K3939" s="31" t="s">
        <v>150</v>
      </c>
      <c r="L3939" s="45" t="n">
        <f aca="false">DATE(YEAR(B3939),MONTH(B3939),1)</f>
        <v>46235</v>
      </c>
      <c r="M3939" s="31" t="n">
        <f aca="false">WEEKDAY(B3939,2)</f>
        <v>1</v>
      </c>
      <c r="N3939" s="31" t="str">
        <f aca="false">IF(G3939&lt;=INDEX(Assumptions!$B$15:$B$18,MATCH(E3939,Assumptions!$A$15:$A$18,0)),"Yes","No")</f>
        <v>Yes</v>
      </c>
      <c r="O3939" s="31" t="str">
        <f aca="false">IF(H3939="","Open",IF(H3939&lt;=INDEX(Assumptions!$C$15:$C$18,MATCH(E3939,Assumptions!$A$15:$A$18,0)),"Yes","No"))</f>
        <v>Yes</v>
      </c>
    </row>
    <row r="3940" customFormat="false" ht="15" hidden="false" customHeight="false" outlineLevel="0" collapsed="false">
      <c r="A3940" s="31" t="s">
        <v>4090</v>
      </c>
      <c r="B3940" s="44" t="n">
        <v>46258</v>
      </c>
      <c r="C3940" s="31" t="s">
        <v>59</v>
      </c>
      <c r="D3940" s="31" t="s">
        <v>68</v>
      </c>
      <c r="E3940" s="31" t="s">
        <v>50</v>
      </c>
      <c r="F3940" s="31" t="s">
        <v>133</v>
      </c>
      <c r="G3940" s="31" t="n">
        <v>77</v>
      </c>
      <c r="H3940" s="41" t="n">
        <v>1.1</v>
      </c>
      <c r="I3940" s="31" t="s">
        <v>149</v>
      </c>
      <c r="J3940" s="31" t="n">
        <v>5</v>
      </c>
      <c r="K3940" s="31" t="s">
        <v>150</v>
      </c>
      <c r="L3940" s="45" t="n">
        <f aca="false">DATE(YEAR(B3940),MONTH(B3940),1)</f>
        <v>46235</v>
      </c>
      <c r="M3940" s="31" t="n">
        <f aca="false">WEEKDAY(B3940,2)</f>
        <v>1</v>
      </c>
      <c r="N3940" s="31" t="str">
        <f aca="false">IF(G3940&lt;=INDEX(Assumptions!$B$15:$B$18,MATCH(E3940,Assumptions!$A$15:$A$18,0)),"Yes","No")</f>
        <v>No</v>
      </c>
      <c r="O3940" s="31" t="str">
        <f aca="false">IF(H3940="","Open",IF(H3940&lt;=INDEX(Assumptions!$C$15:$C$18,MATCH(E3940,Assumptions!$A$15:$A$18,0)),"Yes","No"))</f>
        <v>Yes</v>
      </c>
    </row>
    <row r="3941" customFormat="false" ht="15" hidden="false" customHeight="false" outlineLevel="0" collapsed="false">
      <c r="A3941" s="31" t="s">
        <v>4091</v>
      </c>
      <c r="B3941" s="44" t="n">
        <v>46258</v>
      </c>
      <c r="C3941" s="31" t="s">
        <v>60</v>
      </c>
      <c r="D3941" s="31" t="s">
        <v>65</v>
      </c>
      <c r="E3941" s="31" t="s">
        <v>50</v>
      </c>
      <c r="F3941" s="31" t="s">
        <v>133</v>
      </c>
      <c r="G3941" s="31" t="n">
        <v>1</v>
      </c>
      <c r="H3941" s="41" t="n">
        <v>6.7</v>
      </c>
      <c r="I3941" s="31" t="s">
        <v>149</v>
      </c>
      <c r="J3941" s="31"/>
      <c r="K3941" s="31" t="s">
        <v>150</v>
      </c>
      <c r="L3941" s="45" t="n">
        <f aca="false">DATE(YEAR(B3941),MONTH(B3941),1)</f>
        <v>46235</v>
      </c>
      <c r="M3941" s="31" t="n">
        <f aca="false">WEEKDAY(B3941,2)</f>
        <v>1</v>
      </c>
      <c r="N3941" s="31" t="str">
        <f aca="false">IF(G3941&lt;=INDEX(Assumptions!$B$15:$B$18,MATCH(E3941,Assumptions!$A$15:$A$18,0)),"Yes","No")</f>
        <v>Yes</v>
      </c>
      <c r="O3941" s="31" t="str">
        <f aca="false">IF(H3941="","Open",IF(H3941&lt;=INDEX(Assumptions!$C$15:$C$18,MATCH(E3941,Assumptions!$A$15:$A$18,0)),"Yes","No"))</f>
        <v>Yes</v>
      </c>
    </row>
    <row r="3942" customFormat="false" ht="15" hidden="false" customHeight="false" outlineLevel="0" collapsed="false">
      <c r="A3942" s="31" t="s">
        <v>4092</v>
      </c>
      <c r="B3942" s="44" t="n">
        <v>46258</v>
      </c>
      <c r="C3942" s="31" t="s">
        <v>60</v>
      </c>
      <c r="D3942" s="31" t="s">
        <v>69</v>
      </c>
      <c r="E3942" s="31" t="s">
        <v>49</v>
      </c>
      <c r="F3942" s="31" t="s">
        <v>123</v>
      </c>
      <c r="G3942" s="31" t="n">
        <v>2</v>
      </c>
      <c r="H3942" s="41" t="n">
        <v>1.5</v>
      </c>
      <c r="I3942" s="31" t="s">
        <v>149</v>
      </c>
      <c r="J3942" s="31"/>
      <c r="K3942" s="31" t="s">
        <v>150</v>
      </c>
      <c r="L3942" s="45" t="n">
        <f aca="false">DATE(YEAR(B3942),MONTH(B3942),1)</f>
        <v>46235</v>
      </c>
      <c r="M3942" s="31" t="n">
        <f aca="false">WEEKDAY(B3942,2)</f>
        <v>1</v>
      </c>
      <c r="N3942" s="31" t="str">
        <f aca="false">IF(G3942&lt;=INDEX(Assumptions!$B$15:$B$18,MATCH(E3942,Assumptions!$A$15:$A$18,0)),"Yes","No")</f>
        <v>Yes</v>
      </c>
      <c r="O3942" s="31" t="str">
        <f aca="false">IF(H3942="","Open",IF(H3942&lt;=INDEX(Assumptions!$C$15:$C$18,MATCH(E3942,Assumptions!$A$15:$A$18,0)),"Yes","No"))</f>
        <v>Yes</v>
      </c>
    </row>
    <row r="3943" customFormat="false" ht="15" hidden="false" customHeight="false" outlineLevel="0" collapsed="false">
      <c r="A3943" s="31" t="s">
        <v>4093</v>
      </c>
      <c r="B3943" s="44" t="n">
        <v>46258</v>
      </c>
      <c r="C3943" s="31" t="s">
        <v>59</v>
      </c>
      <c r="D3943" s="31" t="s">
        <v>69</v>
      </c>
      <c r="E3943" s="31" t="s">
        <v>50</v>
      </c>
      <c r="F3943" s="31" t="s">
        <v>127</v>
      </c>
      <c r="G3943" s="31" t="n">
        <v>75</v>
      </c>
      <c r="H3943" s="41" t="n">
        <v>32.8</v>
      </c>
      <c r="I3943" s="31" t="s">
        <v>149</v>
      </c>
      <c r="J3943" s="31" t="n">
        <v>4</v>
      </c>
      <c r="K3943" s="31" t="s">
        <v>150</v>
      </c>
      <c r="L3943" s="45" t="n">
        <f aca="false">DATE(YEAR(B3943),MONTH(B3943),1)</f>
        <v>46235</v>
      </c>
      <c r="M3943" s="31" t="n">
        <f aca="false">WEEKDAY(B3943,2)</f>
        <v>1</v>
      </c>
      <c r="N3943" s="31" t="str">
        <f aca="false">IF(G3943&lt;=INDEX(Assumptions!$B$15:$B$18,MATCH(E3943,Assumptions!$A$15:$A$18,0)),"Yes","No")</f>
        <v>No</v>
      </c>
      <c r="O3943" s="31" t="str">
        <f aca="false">IF(H3943="","Open",IF(H3943&lt;=INDEX(Assumptions!$C$15:$C$18,MATCH(E3943,Assumptions!$A$15:$A$18,0)),"Yes","No"))</f>
        <v>No</v>
      </c>
    </row>
    <row r="3944" customFormat="false" ht="15" hidden="false" customHeight="false" outlineLevel="0" collapsed="false">
      <c r="A3944" s="31" t="s">
        <v>4094</v>
      </c>
      <c r="B3944" s="44" t="n">
        <v>46258</v>
      </c>
      <c r="C3944" s="31" t="s">
        <v>58</v>
      </c>
      <c r="D3944" s="31" t="s">
        <v>67</v>
      </c>
      <c r="E3944" s="31" t="s">
        <v>51</v>
      </c>
      <c r="F3944" s="31" t="s">
        <v>122</v>
      </c>
      <c r="G3944" s="31" t="n">
        <v>52</v>
      </c>
      <c r="H3944" s="41" t="n">
        <v>5.3</v>
      </c>
      <c r="I3944" s="31" t="s">
        <v>149</v>
      </c>
      <c r="J3944" s="31" t="n">
        <v>5</v>
      </c>
      <c r="K3944" s="31" t="s">
        <v>150</v>
      </c>
      <c r="L3944" s="45" t="n">
        <f aca="false">DATE(YEAR(B3944),MONTH(B3944),1)</f>
        <v>46235</v>
      </c>
      <c r="M3944" s="31" t="n">
        <f aca="false">WEEKDAY(B3944,2)</f>
        <v>1</v>
      </c>
      <c r="N3944" s="31" t="str">
        <f aca="false">IF(G3944&lt;=INDEX(Assumptions!$B$15:$B$18,MATCH(E3944,Assumptions!$A$15:$A$18,0)),"Yes","No")</f>
        <v>Yes</v>
      </c>
      <c r="O3944" s="31" t="str">
        <f aca="false">IF(H3944="","Open",IF(H3944&lt;=INDEX(Assumptions!$C$15:$C$18,MATCH(E3944,Assumptions!$A$15:$A$18,0)),"Yes","No"))</f>
        <v>Yes</v>
      </c>
    </row>
    <row r="3945" customFormat="false" ht="15" hidden="false" customHeight="false" outlineLevel="0" collapsed="false">
      <c r="A3945" s="31" t="s">
        <v>4095</v>
      </c>
      <c r="B3945" s="44" t="n">
        <v>46258</v>
      </c>
      <c r="C3945" s="31" t="s">
        <v>58</v>
      </c>
      <c r="D3945" s="31" t="s">
        <v>68</v>
      </c>
      <c r="E3945" s="31" t="s">
        <v>50</v>
      </c>
      <c r="F3945" s="31" t="s">
        <v>120</v>
      </c>
      <c r="G3945" s="31" t="n">
        <v>30</v>
      </c>
      <c r="H3945" s="41" t="n">
        <v>2</v>
      </c>
      <c r="I3945" s="31" t="s">
        <v>149</v>
      </c>
      <c r="J3945" s="31"/>
      <c r="K3945" s="31" t="s">
        <v>150</v>
      </c>
      <c r="L3945" s="45" t="n">
        <f aca="false">DATE(YEAR(B3945),MONTH(B3945),1)</f>
        <v>46235</v>
      </c>
      <c r="M3945" s="31" t="n">
        <f aca="false">WEEKDAY(B3945,2)</f>
        <v>1</v>
      </c>
      <c r="N3945" s="31" t="str">
        <f aca="false">IF(G3945&lt;=INDEX(Assumptions!$B$15:$B$18,MATCH(E3945,Assumptions!$A$15:$A$18,0)),"Yes","No")</f>
        <v>Yes</v>
      </c>
      <c r="O3945" s="31" t="str">
        <f aca="false">IF(H3945="","Open",IF(H3945&lt;=INDEX(Assumptions!$C$15:$C$18,MATCH(E3945,Assumptions!$A$15:$A$18,0)),"Yes","No"))</f>
        <v>Yes</v>
      </c>
    </row>
    <row r="3946" customFormat="false" ht="15" hidden="false" customHeight="false" outlineLevel="0" collapsed="false">
      <c r="A3946" s="31" t="s">
        <v>4096</v>
      </c>
      <c r="B3946" s="44" t="n">
        <v>46258</v>
      </c>
      <c r="C3946" s="31" t="s">
        <v>60</v>
      </c>
      <c r="D3946" s="31" t="s">
        <v>65</v>
      </c>
      <c r="E3946" s="31" t="s">
        <v>50</v>
      </c>
      <c r="F3946" s="31" t="s">
        <v>129</v>
      </c>
      <c r="G3946" s="31" t="n">
        <v>1</v>
      </c>
      <c r="H3946" s="41" t="n">
        <v>14.1</v>
      </c>
      <c r="I3946" s="31" t="s">
        <v>149</v>
      </c>
      <c r="J3946" s="31"/>
      <c r="K3946" s="31" t="s">
        <v>150</v>
      </c>
      <c r="L3946" s="45" t="n">
        <f aca="false">DATE(YEAR(B3946),MONTH(B3946),1)</f>
        <v>46235</v>
      </c>
      <c r="M3946" s="31" t="n">
        <f aca="false">WEEKDAY(B3946,2)</f>
        <v>1</v>
      </c>
      <c r="N3946" s="31" t="str">
        <f aca="false">IF(G3946&lt;=INDEX(Assumptions!$B$15:$B$18,MATCH(E3946,Assumptions!$A$15:$A$18,0)),"Yes","No")</f>
        <v>Yes</v>
      </c>
      <c r="O3946" s="31" t="str">
        <f aca="false">IF(H3946="","Open",IF(H3946&lt;=INDEX(Assumptions!$C$15:$C$18,MATCH(E3946,Assumptions!$A$15:$A$18,0)),"Yes","No"))</f>
        <v>No</v>
      </c>
    </row>
    <row r="3947" customFormat="false" ht="15" hidden="false" customHeight="false" outlineLevel="0" collapsed="false">
      <c r="A3947" s="31" t="s">
        <v>4097</v>
      </c>
      <c r="B3947" s="44" t="n">
        <v>46258</v>
      </c>
      <c r="C3947" s="31" t="s">
        <v>60</v>
      </c>
      <c r="D3947" s="31" t="s">
        <v>65</v>
      </c>
      <c r="E3947" s="31" t="s">
        <v>49</v>
      </c>
      <c r="F3947" s="31" t="s">
        <v>124</v>
      </c>
      <c r="G3947" s="31" t="n">
        <v>3</v>
      </c>
      <c r="H3947" s="41" t="n">
        <v>1.3</v>
      </c>
      <c r="I3947" s="31" t="s">
        <v>149</v>
      </c>
      <c r="J3947" s="31"/>
      <c r="K3947" s="31" t="s">
        <v>150</v>
      </c>
      <c r="L3947" s="45" t="n">
        <f aca="false">DATE(YEAR(B3947),MONTH(B3947),1)</f>
        <v>46235</v>
      </c>
      <c r="M3947" s="31" t="n">
        <f aca="false">WEEKDAY(B3947,2)</f>
        <v>1</v>
      </c>
      <c r="N3947" s="31" t="str">
        <f aca="false">IF(G3947&lt;=INDEX(Assumptions!$B$15:$B$18,MATCH(E3947,Assumptions!$A$15:$A$18,0)),"Yes","No")</f>
        <v>Yes</v>
      </c>
      <c r="O3947" s="31" t="str">
        <f aca="false">IF(H3947="","Open",IF(H3947&lt;=INDEX(Assumptions!$C$15:$C$18,MATCH(E3947,Assumptions!$A$15:$A$18,0)),"Yes","No"))</f>
        <v>Yes</v>
      </c>
    </row>
    <row r="3948" customFormat="false" ht="15" hidden="false" customHeight="false" outlineLevel="0" collapsed="false">
      <c r="A3948" s="31" t="s">
        <v>4098</v>
      </c>
      <c r="B3948" s="44" t="n">
        <v>46258</v>
      </c>
      <c r="C3948" s="31" t="s">
        <v>59</v>
      </c>
      <c r="D3948" s="31" t="s">
        <v>66</v>
      </c>
      <c r="E3948" s="31" t="s">
        <v>51</v>
      </c>
      <c r="F3948" s="31" t="s">
        <v>122</v>
      </c>
      <c r="G3948" s="31" t="n">
        <v>28</v>
      </c>
      <c r="H3948" s="41" t="n">
        <v>2.2</v>
      </c>
      <c r="I3948" s="31" t="s">
        <v>149</v>
      </c>
      <c r="J3948" s="31"/>
      <c r="K3948" s="31" t="s">
        <v>150</v>
      </c>
      <c r="L3948" s="45" t="n">
        <f aca="false">DATE(YEAR(B3948),MONTH(B3948),1)</f>
        <v>46235</v>
      </c>
      <c r="M3948" s="31" t="n">
        <f aca="false">WEEKDAY(B3948,2)</f>
        <v>1</v>
      </c>
      <c r="N3948" s="31" t="str">
        <f aca="false">IF(G3948&lt;=INDEX(Assumptions!$B$15:$B$18,MATCH(E3948,Assumptions!$A$15:$A$18,0)),"Yes","No")</f>
        <v>Yes</v>
      </c>
      <c r="O3948" s="31" t="str">
        <f aca="false">IF(H3948="","Open",IF(H3948&lt;=INDEX(Assumptions!$C$15:$C$18,MATCH(E3948,Assumptions!$A$15:$A$18,0)),"Yes","No"))</f>
        <v>Yes</v>
      </c>
    </row>
    <row r="3949" customFormat="false" ht="15" hidden="false" customHeight="false" outlineLevel="0" collapsed="false">
      <c r="A3949" s="31" t="s">
        <v>4099</v>
      </c>
      <c r="B3949" s="44" t="n">
        <v>46258</v>
      </c>
      <c r="C3949" s="31" t="s">
        <v>59</v>
      </c>
      <c r="D3949" s="31" t="s">
        <v>65</v>
      </c>
      <c r="E3949" s="31" t="s">
        <v>51</v>
      </c>
      <c r="F3949" s="31" t="s">
        <v>133</v>
      </c>
      <c r="G3949" s="31" t="n">
        <v>541</v>
      </c>
      <c r="H3949" s="41" t="n">
        <v>5.1</v>
      </c>
      <c r="I3949" s="31" t="s">
        <v>149</v>
      </c>
      <c r="J3949" s="31"/>
      <c r="K3949" s="31" t="s">
        <v>150</v>
      </c>
      <c r="L3949" s="45" t="n">
        <f aca="false">DATE(YEAR(B3949),MONTH(B3949),1)</f>
        <v>46235</v>
      </c>
      <c r="M3949" s="31" t="n">
        <f aca="false">WEEKDAY(B3949,2)</f>
        <v>1</v>
      </c>
      <c r="N3949" s="31" t="str">
        <f aca="false">IF(G3949&lt;=INDEX(Assumptions!$B$15:$B$18,MATCH(E3949,Assumptions!$A$15:$A$18,0)),"Yes","No")</f>
        <v>No</v>
      </c>
      <c r="O3949" s="31" t="str">
        <f aca="false">IF(H3949="","Open",IF(H3949&lt;=INDEX(Assumptions!$C$15:$C$18,MATCH(E3949,Assumptions!$A$15:$A$18,0)),"Yes","No"))</f>
        <v>Yes</v>
      </c>
    </row>
    <row r="3950" customFormat="false" ht="15" hidden="false" customHeight="false" outlineLevel="0" collapsed="false">
      <c r="A3950" s="31" t="s">
        <v>4100</v>
      </c>
      <c r="B3950" s="44" t="n">
        <v>46258</v>
      </c>
      <c r="C3950" s="31" t="s">
        <v>58</v>
      </c>
      <c r="D3950" s="31" t="s">
        <v>68</v>
      </c>
      <c r="E3950" s="31" t="s">
        <v>51</v>
      </c>
      <c r="F3950" s="31" t="s">
        <v>137</v>
      </c>
      <c r="G3950" s="31" t="n">
        <v>10</v>
      </c>
      <c r="H3950" s="41" t="n">
        <v>2.7</v>
      </c>
      <c r="I3950" s="31" t="s">
        <v>149</v>
      </c>
      <c r="J3950" s="31" t="n">
        <v>5</v>
      </c>
      <c r="K3950" s="31" t="s">
        <v>150</v>
      </c>
      <c r="L3950" s="45" t="n">
        <f aca="false">DATE(YEAR(B3950),MONTH(B3950),1)</f>
        <v>46235</v>
      </c>
      <c r="M3950" s="31" t="n">
        <f aca="false">WEEKDAY(B3950,2)</f>
        <v>1</v>
      </c>
      <c r="N3950" s="31" t="str">
        <f aca="false">IF(G3950&lt;=INDEX(Assumptions!$B$15:$B$18,MATCH(E3950,Assumptions!$A$15:$A$18,0)),"Yes","No")</f>
        <v>Yes</v>
      </c>
      <c r="O3950" s="31" t="str">
        <f aca="false">IF(H3950="","Open",IF(H3950&lt;=INDEX(Assumptions!$C$15:$C$18,MATCH(E3950,Assumptions!$A$15:$A$18,0)),"Yes","No"))</f>
        <v>Yes</v>
      </c>
    </row>
    <row r="3951" customFormat="false" ht="15" hidden="false" customHeight="false" outlineLevel="0" collapsed="false">
      <c r="A3951" s="31" t="s">
        <v>4101</v>
      </c>
      <c r="B3951" s="44" t="n">
        <v>46258</v>
      </c>
      <c r="C3951" s="31" t="s">
        <v>57</v>
      </c>
      <c r="D3951" s="31" t="s">
        <v>65</v>
      </c>
      <c r="E3951" s="31" t="s">
        <v>52</v>
      </c>
      <c r="F3951" s="31" t="s">
        <v>119</v>
      </c>
      <c r="G3951" s="31" t="n">
        <v>4</v>
      </c>
      <c r="H3951" s="41" t="n">
        <v>5.7</v>
      </c>
      <c r="I3951" s="31" t="s">
        <v>149</v>
      </c>
      <c r="J3951" s="31" t="n">
        <v>4</v>
      </c>
      <c r="K3951" s="31" t="s">
        <v>150</v>
      </c>
      <c r="L3951" s="45" t="n">
        <f aca="false">DATE(YEAR(B3951),MONTH(B3951),1)</f>
        <v>46235</v>
      </c>
      <c r="M3951" s="31" t="n">
        <f aca="false">WEEKDAY(B3951,2)</f>
        <v>1</v>
      </c>
      <c r="N3951" s="31" t="str">
        <f aca="false">IF(G3951&lt;=INDEX(Assumptions!$B$15:$B$18,MATCH(E3951,Assumptions!$A$15:$A$18,0)),"Yes","No")</f>
        <v>Yes</v>
      </c>
      <c r="O3951" s="31" t="str">
        <f aca="false">IF(H3951="","Open",IF(H3951&lt;=INDEX(Assumptions!$C$15:$C$18,MATCH(E3951,Assumptions!$A$15:$A$18,0)),"Yes","No"))</f>
        <v>Yes</v>
      </c>
    </row>
    <row r="3952" customFormat="false" ht="15" hidden="false" customHeight="false" outlineLevel="0" collapsed="false">
      <c r="A3952" s="31" t="s">
        <v>4102</v>
      </c>
      <c r="B3952" s="44" t="n">
        <v>46258</v>
      </c>
      <c r="C3952" s="31" t="s">
        <v>60</v>
      </c>
      <c r="D3952" s="31" t="s">
        <v>66</v>
      </c>
      <c r="E3952" s="31" t="s">
        <v>51</v>
      </c>
      <c r="F3952" s="31" t="s">
        <v>128</v>
      </c>
      <c r="G3952" s="31" t="n">
        <v>7</v>
      </c>
      <c r="H3952" s="41" t="n">
        <v>11.9</v>
      </c>
      <c r="I3952" s="31" t="s">
        <v>149</v>
      </c>
      <c r="J3952" s="31" t="n">
        <v>4</v>
      </c>
      <c r="K3952" s="31" t="s">
        <v>153</v>
      </c>
      <c r="L3952" s="45" t="n">
        <f aca="false">DATE(YEAR(B3952),MONTH(B3952),1)</f>
        <v>46235</v>
      </c>
      <c r="M3952" s="31" t="n">
        <f aca="false">WEEKDAY(B3952,2)</f>
        <v>1</v>
      </c>
      <c r="N3952" s="31" t="str">
        <f aca="false">IF(G3952&lt;=INDEX(Assumptions!$B$15:$B$18,MATCH(E3952,Assumptions!$A$15:$A$18,0)),"Yes","No")</f>
        <v>Yes</v>
      </c>
      <c r="O3952" s="31" t="str">
        <f aca="false">IF(H3952="","Open",IF(H3952&lt;=INDEX(Assumptions!$C$15:$C$18,MATCH(E3952,Assumptions!$A$15:$A$18,0)),"Yes","No"))</f>
        <v>Yes</v>
      </c>
    </row>
    <row r="3953" customFormat="false" ht="15" hidden="false" customHeight="false" outlineLevel="0" collapsed="false">
      <c r="A3953" s="31" t="s">
        <v>4103</v>
      </c>
      <c r="B3953" s="44" t="n">
        <v>46258</v>
      </c>
      <c r="C3953" s="31" t="s">
        <v>58</v>
      </c>
      <c r="D3953" s="31" t="s">
        <v>66</v>
      </c>
      <c r="E3953" s="31" t="s">
        <v>50</v>
      </c>
      <c r="F3953" s="31" t="s">
        <v>137</v>
      </c>
      <c r="G3953" s="31" t="n">
        <v>7</v>
      </c>
      <c r="H3953" s="41" t="n">
        <v>4.3</v>
      </c>
      <c r="I3953" s="31" t="s">
        <v>149</v>
      </c>
      <c r="J3953" s="31"/>
      <c r="K3953" s="31" t="s">
        <v>153</v>
      </c>
      <c r="L3953" s="45" t="n">
        <f aca="false">DATE(YEAR(B3953),MONTH(B3953),1)</f>
        <v>46235</v>
      </c>
      <c r="M3953" s="31" t="n">
        <f aca="false">WEEKDAY(B3953,2)</f>
        <v>1</v>
      </c>
      <c r="N3953" s="31" t="str">
        <f aca="false">IF(G3953&lt;=INDEX(Assumptions!$B$15:$B$18,MATCH(E3953,Assumptions!$A$15:$A$18,0)),"Yes","No")</f>
        <v>Yes</v>
      </c>
      <c r="O3953" s="31" t="str">
        <f aca="false">IF(H3953="","Open",IF(H3953&lt;=INDEX(Assumptions!$C$15:$C$18,MATCH(E3953,Assumptions!$A$15:$A$18,0)),"Yes","No"))</f>
        <v>Yes</v>
      </c>
    </row>
    <row r="3954" customFormat="false" ht="15" hidden="false" customHeight="false" outlineLevel="0" collapsed="false">
      <c r="A3954" s="31" t="s">
        <v>4104</v>
      </c>
      <c r="B3954" s="44" t="n">
        <v>46258</v>
      </c>
      <c r="C3954" s="31" t="s">
        <v>59</v>
      </c>
      <c r="D3954" s="31" t="s">
        <v>67</v>
      </c>
      <c r="E3954" s="31" t="s">
        <v>50</v>
      </c>
      <c r="F3954" s="31" t="s">
        <v>123</v>
      </c>
      <c r="G3954" s="31" t="n">
        <v>72</v>
      </c>
      <c r="H3954" s="41" t="n">
        <v>1.7</v>
      </c>
      <c r="I3954" s="31" t="s">
        <v>149</v>
      </c>
      <c r="J3954" s="31" t="n">
        <v>4</v>
      </c>
      <c r="K3954" s="31" t="s">
        <v>150</v>
      </c>
      <c r="L3954" s="45" t="n">
        <f aca="false">DATE(YEAR(B3954),MONTH(B3954),1)</f>
        <v>46235</v>
      </c>
      <c r="M3954" s="31" t="n">
        <f aca="false">WEEKDAY(B3954,2)</f>
        <v>1</v>
      </c>
      <c r="N3954" s="31" t="str">
        <f aca="false">IF(G3954&lt;=INDEX(Assumptions!$B$15:$B$18,MATCH(E3954,Assumptions!$A$15:$A$18,0)),"Yes","No")</f>
        <v>No</v>
      </c>
      <c r="O3954" s="31" t="str">
        <f aca="false">IF(H3954="","Open",IF(H3954&lt;=INDEX(Assumptions!$C$15:$C$18,MATCH(E3954,Assumptions!$A$15:$A$18,0)),"Yes","No"))</f>
        <v>Yes</v>
      </c>
    </row>
    <row r="3955" customFormat="false" ht="15" hidden="false" customHeight="false" outlineLevel="0" collapsed="false">
      <c r="A3955" s="31" t="s">
        <v>4105</v>
      </c>
      <c r="B3955" s="44" t="n">
        <v>46258</v>
      </c>
      <c r="C3955" s="31" t="s">
        <v>58</v>
      </c>
      <c r="D3955" s="31" t="s">
        <v>68</v>
      </c>
      <c r="E3955" s="31" t="s">
        <v>50</v>
      </c>
      <c r="F3955" s="31" t="s">
        <v>123</v>
      </c>
      <c r="G3955" s="31" t="n">
        <v>13</v>
      </c>
      <c r="H3955" s="41" t="n">
        <v>0.8</v>
      </c>
      <c r="I3955" s="31" t="s">
        <v>149</v>
      </c>
      <c r="J3955" s="31"/>
      <c r="K3955" s="31" t="s">
        <v>150</v>
      </c>
      <c r="L3955" s="45" t="n">
        <f aca="false">DATE(YEAR(B3955),MONTH(B3955),1)</f>
        <v>46235</v>
      </c>
      <c r="M3955" s="31" t="n">
        <f aca="false">WEEKDAY(B3955,2)</f>
        <v>1</v>
      </c>
      <c r="N3955" s="31" t="str">
        <f aca="false">IF(G3955&lt;=INDEX(Assumptions!$B$15:$B$18,MATCH(E3955,Assumptions!$A$15:$A$18,0)),"Yes","No")</f>
        <v>Yes</v>
      </c>
      <c r="O3955" s="31" t="str">
        <f aca="false">IF(H3955="","Open",IF(H3955&lt;=INDEX(Assumptions!$C$15:$C$18,MATCH(E3955,Assumptions!$A$15:$A$18,0)),"Yes","No"))</f>
        <v>Yes</v>
      </c>
    </row>
    <row r="3956" customFormat="false" ht="15" hidden="false" customHeight="false" outlineLevel="0" collapsed="false">
      <c r="A3956" s="31" t="s">
        <v>4106</v>
      </c>
      <c r="B3956" s="44" t="n">
        <v>46258</v>
      </c>
      <c r="C3956" s="31" t="s">
        <v>57</v>
      </c>
      <c r="D3956" s="31" t="s">
        <v>68</v>
      </c>
      <c r="E3956" s="31" t="s">
        <v>50</v>
      </c>
      <c r="F3956" s="31" t="s">
        <v>134</v>
      </c>
      <c r="G3956" s="31" t="n">
        <v>4</v>
      </c>
      <c r="H3956" s="41"/>
      <c r="I3956" s="31" t="s">
        <v>158</v>
      </c>
      <c r="J3956" s="31"/>
      <c r="K3956" s="31" t="s">
        <v>150</v>
      </c>
      <c r="L3956" s="45" t="n">
        <f aca="false">DATE(YEAR(B3956),MONTH(B3956),1)</f>
        <v>46235</v>
      </c>
      <c r="M3956" s="31" t="n">
        <f aca="false">WEEKDAY(B3956,2)</f>
        <v>1</v>
      </c>
      <c r="N3956" s="31" t="str">
        <f aca="false">IF(G3956&lt;=INDEX(Assumptions!$B$15:$B$18,MATCH(E3956,Assumptions!$A$15:$A$18,0)),"Yes","No")</f>
        <v>Yes</v>
      </c>
      <c r="O3956" s="31" t="str">
        <f aca="false">IF(H3956="","Open",IF(H3956&lt;=INDEX(Assumptions!$C$15:$C$18,MATCH(E3956,Assumptions!$A$15:$A$18,0)),"Yes","No"))</f>
        <v>Open</v>
      </c>
    </row>
    <row r="3957" customFormat="false" ht="15" hidden="false" customHeight="false" outlineLevel="0" collapsed="false">
      <c r="A3957" s="31" t="s">
        <v>4107</v>
      </c>
      <c r="B3957" s="44" t="n">
        <v>46258</v>
      </c>
      <c r="C3957" s="31" t="s">
        <v>57</v>
      </c>
      <c r="D3957" s="31" t="s">
        <v>69</v>
      </c>
      <c r="E3957" s="31" t="s">
        <v>51</v>
      </c>
      <c r="F3957" s="31" t="s">
        <v>126</v>
      </c>
      <c r="G3957" s="31" t="n">
        <v>3</v>
      </c>
      <c r="H3957" s="41" t="n">
        <v>17.3</v>
      </c>
      <c r="I3957" s="31" t="s">
        <v>149</v>
      </c>
      <c r="J3957" s="31"/>
      <c r="K3957" s="31" t="s">
        <v>150</v>
      </c>
      <c r="L3957" s="45" t="n">
        <f aca="false">DATE(YEAR(B3957),MONTH(B3957),1)</f>
        <v>46235</v>
      </c>
      <c r="M3957" s="31" t="n">
        <f aca="false">WEEKDAY(B3957,2)</f>
        <v>1</v>
      </c>
      <c r="N3957" s="31" t="str">
        <f aca="false">IF(G3957&lt;=INDEX(Assumptions!$B$15:$B$18,MATCH(E3957,Assumptions!$A$15:$A$18,0)),"Yes","No")</f>
        <v>Yes</v>
      </c>
      <c r="O3957" s="31" t="str">
        <f aca="false">IF(H3957="","Open",IF(H3957&lt;=INDEX(Assumptions!$C$15:$C$18,MATCH(E3957,Assumptions!$A$15:$A$18,0)),"Yes","No"))</f>
        <v>Yes</v>
      </c>
    </row>
    <row r="3958" customFormat="false" ht="15" hidden="false" customHeight="false" outlineLevel="0" collapsed="false">
      <c r="A3958" s="31" t="s">
        <v>4108</v>
      </c>
      <c r="B3958" s="44" t="n">
        <v>46258</v>
      </c>
      <c r="C3958" s="31" t="s">
        <v>57</v>
      </c>
      <c r="D3958" s="31" t="s">
        <v>69</v>
      </c>
      <c r="E3958" s="31" t="s">
        <v>50</v>
      </c>
      <c r="F3958" s="31" t="s">
        <v>124</v>
      </c>
      <c r="G3958" s="31" t="n">
        <v>2</v>
      </c>
      <c r="H3958" s="41" t="n">
        <v>7.4</v>
      </c>
      <c r="I3958" s="31" t="s">
        <v>149</v>
      </c>
      <c r="J3958" s="31" t="n">
        <v>5</v>
      </c>
      <c r="K3958" s="31" t="s">
        <v>150</v>
      </c>
      <c r="L3958" s="45" t="n">
        <f aca="false">DATE(YEAR(B3958),MONTH(B3958),1)</f>
        <v>46235</v>
      </c>
      <c r="M3958" s="31" t="n">
        <f aca="false">WEEKDAY(B3958,2)</f>
        <v>1</v>
      </c>
      <c r="N3958" s="31" t="str">
        <f aca="false">IF(G3958&lt;=INDEX(Assumptions!$B$15:$B$18,MATCH(E3958,Assumptions!$A$15:$A$18,0)),"Yes","No")</f>
        <v>Yes</v>
      </c>
      <c r="O3958" s="31" t="str">
        <f aca="false">IF(H3958="","Open",IF(H3958&lt;=INDEX(Assumptions!$C$15:$C$18,MATCH(E3958,Assumptions!$A$15:$A$18,0)),"Yes","No"))</f>
        <v>Yes</v>
      </c>
    </row>
    <row r="3959" customFormat="false" ht="15" hidden="false" customHeight="false" outlineLevel="0" collapsed="false">
      <c r="A3959" s="31" t="s">
        <v>4109</v>
      </c>
      <c r="B3959" s="44" t="n">
        <v>46258</v>
      </c>
      <c r="C3959" s="31" t="s">
        <v>57</v>
      </c>
      <c r="D3959" s="31" t="s">
        <v>65</v>
      </c>
      <c r="E3959" s="31" t="s">
        <v>51</v>
      </c>
      <c r="F3959" s="31" t="s">
        <v>123</v>
      </c>
      <c r="G3959" s="31" t="n">
        <v>8</v>
      </c>
      <c r="H3959" s="41" t="n">
        <v>22.9</v>
      </c>
      <c r="I3959" s="31" t="s">
        <v>64</v>
      </c>
      <c r="J3959" s="31"/>
      <c r="K3959" s="31" t="s">
        <v>150</v>
      </c>
      <c r="L3959" s="45" t="n">
        <f aca="false">DATE(YEAR(B3959),MONTH(B3959),1)</f>
        <v>46235</v>
      </c>
      <c r="M3959" s="31" t="n">
        <f aca="false">WEEKDAY(B3959,2)</f>
        <v>1</v>
      </c>
      <c r="N3959" s="31" t="str">
        <f aca="false">IF(G3959&lt;=INDEX(Assumptions!$B$15:$B$18,MATCH(E3959,Assumptions!$A$15:$A$18,0)),"Yes","No")</f>
        <v>Yes</v>
      </c>
      <c r="O3959" s="31" t="str">
        <f aca="false">IF(H3959="","Open",IF(H3959&lt;=INDEX(Assumptions!$C$15:$C$18,MATCH(E3959,Assumptions!$A$15:$A$18,0)),"Yes","No"))</f>
        <v>Yes</v>
      </c>
    </row>
    <row r="3960" customFormat="false" ht="15" hidden="false" customHeight="false" outlineLevel="0" collapsed="false">
      <c r="A3960" s="31" t="s">
        <v>4110</v>
      </c>
      <c r="B3960" s="44" t="n">
        <v>46258</v>
      </c>
      <c r="C3960" s="31" t="s">
        <v>59</v>
      </c>
      <c r="D3960" s="31" t="s">
        <v>67</v>
      </c>
      <c r="E3960" s="31" t="s">
        <v>50</v>
      </c>
      <c r="F3960" s="31" t="s">
        <v>134</v>
      </c>
      <c r="G3960" s="31" t="n">
        <v>85</v>
      </c>
      <c r="H3960" s="41" t="n">
        <v>5.6</v>
      </c>
      <c r="I3960" s="31" t="s">
        <v>149</v>
      </c>
      <c r="J3960" s="31"/>
      <c r="K3960" s="31" t="s">
        <v>150</v>
      </c>
      <c r="L3960" s="45" t="n">
        <f aca="false">DATE(YEAR(B3960),MONTH(B3960),1)</f>
        <v>46235</v>
      </c>
      <c r="M3960" s="31" t="n">
        <f aca="false">WEEKDAY(B3960,2)</f>
        <v>1</v>
      </c>
      <c r="N3960" s="31" t="str">
        <f aca="false">IF(G3960&lt;=INDEX(Assumptions!$B$15:$B$18,MATCH(E3960,Assumptions!$A$15:$A$18,0)),"Yes","No")</f>
        <v>No</v>
      </c>
      <c r="O3960" s="31" t="str">
        <f aca="false">IF(H3960="","Open",IF(H3960&lt;=INDEX(Assumptions!$C$15:$C$18,MATCH(E3960,Assumptions!$A$15:$A$18,0)),"Yes","No"))</f>
        <v>Yes</v>
      </c>
    </row>
    <row r="3961" customFormat="false" ht="15" hidden="false" customHeight="false" outlineLevel="0" collapsed="false">
      <c r="A3961" s="31" t="s">
        <v>4111</v>
      </c>
      <c r="B3961" s="44" t="n">
        <v>46258</v>
      </c>
      <c r="C3961" s="31" t="s">
        <v>58</v>
      </c>
      <c r="D3961" s="31" t="s">
        <v>67</v>
      </c>
      <c r="E3961" s="31" t="s">
        <v>50</v>
      </c>
      <c r="F3961" s="31" t="s">
        <v>137</v>
      </c>
      <c r="G3961" s="31" t="n">
        <v>94</v>
      </c>
      <c r="H3961" s="41" t="n">
        <v>9.5</v>
      </c>
      <c r="I3961" s="31" t="s">
        <v>149</v>
      </c>
      <c r="J3961" s="31"/>
      <c r="K3961" s="31" t="s">
        <v>150</v>
      </c>
      <c r="L3961" s="45" t="n">
        <f aca="false">DATE(YEAR(B3961),MONTH(B3961),1)</f>
        <v>46235</v>
      </c>
      <c r="M3961" s="31" t="n">
        <f aca="false">WEEKDAY(B3961,2)</f>
        <v>1</v>
      </c>
      <c r="N3961" s="31" t="str">
        <f aca="false">IF(G3961&lt;=INDEX(Assumptions!$B$15:$B$18,MATCH(E3961,Assumptions!$A$15:$A$18,0)),"Yes","No")</f>
        <v>No</v>
      </c>
      <c r="O3961" s="31" t="str">
        <f aca="false">IF(H3961="","Open",IF(H3961&lt;=INDEX(Assumptions!$C$15:$C$18,MATCH(E3961,Assumptions!$A$15:$A$18,0)),"Yes","No"))</f>
        <v>No</v>
      </c>
    </row>
    <row r="3962" customFormat="false" ht="15" hidden="false" customHeight="false" outlineLevel="0" collapsed="false">
      <c r="A3962" s="31" t="s">
        <v>4112</v>
      </c>
      <c r="B3962" s="44" t="n">
        <v>46258</v>
      </c>
      <c r="C3962" s="31" t="s">
        <v>57</v>
      </c>
      <c r="D3962" s="31" t="s">
        <v>66</v>
      </c>
      <c r="E3962" s="31" t="s">
        <v>51</v>
      </c>
      <c r="F3962" s="31" t="s">
        <v>129</v>
      </c>
      <c r="G3962" s="31" t="n">
        <v>1</v>
      </c>
      <c r="H3962" s="41" t="n">
        <v>1.5</v>
      </c>
      <c r="I3962" s="31" t="s">
        <v>149</v>
      </c>
      <c r="J3962" s="31" t="n">
        <v>5</v>
      </c>
      <c r="K3962" s="31" t="s">
        <v>150</v>
      </c>
      <c r="L3962" s="45" t="n">
        <f aca="false">DATE(YEAR(B3962),MONTH(B3962),1)</f>
        <v>46235</v>
      </c>
      <c r="M3962" s="31" t="n">
        <f aca="false">WEEKDAY(B3962,2)</f>
        <v>1</v>
      </c>
      <c r="N3962" s="31" t="str">
        <f aca="false">IF(G3962&lt;=INDEX(Assumptions!$B$15:$B$18,MATCH(E3962,Assumptions!$A$15:$A$18,0)),"Yes","No")</f>
        <v>Yes</v>
      </c>
      <c r="O3962" s="31" t="str">
        <f aca="false">IF(H3962="","Open",IF(H3962&lt;=INDEX(Assumptions!$C$15:$C$18,MATCH(E3962,Assumptions!$A$15:$A$18,0)),"Yes","No"))</f>
        <v>Yes</v>
      </c>
    </row>
    <row r="3963" customFormat="false" ht="15" hidden="false" customHeight="false" outlineLevel="0" collapsed="false">
      <c r="A3963" s="31" t="s">
        <v>4113</v>
      </c>
      <c r="B3963" s="44" t="n">
        <v>46258</v>
      </c>
      <c r="C3963" s="31" t="s">
        <v>57</v>
      </c>
      <c r="D3963" s="31" t="s">
        <v>66</v>
      </c>
      <c r="E3963" s="31" t="s">
        <v>51</v>
      </c>
      <c r="F3963" s="31" t="s">
        <v>117</v>
      </c>
      <c r="G3963" s="31" t="n">
        <v>8</v>
      </c>
      <c r="H3963" s="41" t="n">
        <v>4</v>
      </c>
      <c r="I3963" s="31" t="s">
        <v>149</v>
      </c>
      <c r="J3963" s="31" t="n">
        <v>5</v>
      </c>
      <c r="K3963" s="31" t="s">
        <v>150</v>
      </c>
      <c r="L3963" s="45" t="n">
        <f aca="false">DATE(YEAR(B3963),MONTH(B3963),1)</f>
        <v>46235</v>
      </c>
      <c r="M3963" s="31" t="n">
        <f aca="false">WEEKDAY(B3963,2)</f>
        <v>1</v>
      </c>
      <c r="N3963" s="31" t="str">
        <f aca="false">IF(G3963&lt;=INDEX(Assumptions!$B$15:$B$18,MATCH(E3963,Assumptions!$A$15:$A$18,0)),"Yes","No")</f>
        <v>Yes</v>
      </c>
      <c r="O3963" s="31" t="str">
        <f aca="false">IF(H3963="","Open",IF(H3963&lt;=INDEX(Assumptions!$C$15:$C$18,MATCH(E3963,Assumptions!$A$15:$A$18,0)),"Yes","No"))</f>
        <v>Yes</v>
      </c>
    </row>
    <row r="3964" customFormat="false" ht="15" hidden="false" customHeight="false" outlineLevel="0" collapsed="false">
      <c r="A3964" s="31" t="s">
        <v>4114</v>
      </c>
      <c r="B3964" s="44" t="n">
        <v>46258</v>
      </c>
      <c r="C3964" s="31" t="s">
        <v>57</v>
      </c>
      <c r="D3964" s="31" t="s">
        <v>65</v>
      </c>
      <c r="E3964" s="31" t="s">
        <v>51</v>
      </c>
      <c r="F3964" s="31" t="s">
        <v>124</v>
      </c>
      <c r="G3964" s="31" t="n">
        <v>4</v>
      </c>
      <c r="H3964" s="41" t="n">
        <v>40.5</v>
      </c>
      <c r="I3964" s="31" t="s">
        <v>149</v>
      </c>
      <c r="J3964" s="31" t="n">
        <v>4</v>
      </c>
      <c r="K3964" s="31" t="s">
        <v>150</v>
      </c>
      <c r="L3964" s="45" t="n">
        <f aca="false">DATE(YEAR(B3964),MONTH(B3964),1)</f>
        <v>46235</v>
      </c>
      <c r="M3964" s="31" t="n">
        <f aca="false">WEEKDAY(B3964,2)</f>
        <v>1</v>
      </c>
      <c r="N3964" s="31" t="str">
        <f aca="false">IF(G3964&lt;=INDEX(Assumptions!$B$15:$B$18,MATCH(E3964,Assumptions!$A$15:$A$18,0)),"Yes","No")</f>
        <v>Yes</v>
      </c>
      <c r="O3964" s="31" t="str">
        <f aca="false">IF(H3964="","Open",IF(H3964&lt;=INDEX(Assumptions!$C$15:$C$18,MATCH(E3964,Assumptions!$A$15:$A$18,0)),"Yes","No"))</f>
        <v>No</v>
      </c>
    </row>
    <row r="3965" customFormat="false" ht="15" hidden="false" customHeight="false" outlineLevel="0" collapsed="false">
      <c r="A3965" s="31" t="s">
        <v>4115</v>
      </c>
      <c r="B3965" s="44" t="n">
        <v>46258</v>
      </c>
      <c r="C3965" s="31" t="s">
        <v>60</v>
      </c>
      <c r="D3965" s="31" t="s">
        <v>65</v>
      </c>
      <c r="E3965" s="31" t="s">
        <v>52</v>
      </c>
      <c r="F3965" s="31" t="s">
        <v>122</v>
      </c>
      <c r="G3965" s="31" t="n">
        <v>9</v>
      </c>
      <c r="H3965" s="41" t="n">
        <v>37.5</v>
      </c>
      <c r="I3965" s="31" t="s">
        <v>149</v>
      </c>
      <c r="J3965" s="31"/>
      <c r="K3965" s="31" t="s">
        <v>150</v>
      </c>
      <c r="L3965" s="45" t="n">
        <f aca="false">DATE(YEAR(B3965),MONTH(B3965),1)</f>
        <v>46235</v>
      </c>
      <c r="M3965" s="31" t="n">
        <f aca="false">WEEKDAY(B3965,2)</f>
        <v>1</v>
      </c>
      <c r="N3965" s="31" t="str">
        <f aca="false">IF(G3965&lt;=INDEX(Assumptions!$B$15:$B$18,MATCH(E3965,Assumptions!$A$15:$A$18,0)),"Yes","No")</f>
        <v>Yes</v>
      </c>
      <c r="O3965" s="31" t="str">
        <f aca="false">IF(H3965="","Open",IF(H3965&lt;=INDEX(Assumptions!$C$15:$C$18,MATCH(E3965,Assumptions!$A$15:$A$18,0)),"Yes","No"))</f>
        <v>Yes</v>
      </c>
    </row>
    <row r="3966" customFormat="false" ht="15" hidden="false" customHeight="false" outlineLevel="0" collapsed="false">
      <c r="A3966" s="31" t="s">
        <v>4116</v>
      </c>
      <c r="B3966" s="44" t="n">
        <v>46258</v>
      </c>
      <c r="C3966" s="31" t="s">
        <v>58</v>
      </c>
      <c r="D3966" s="31" t="s">
        <v>68</v>
      </c>
      <c r="E3966" s="31" t="s">
        <v>51</v>
      </c>
      <c r="F3966" s="31" t="s">
        <v>128</v>
      </c>
      <c r="G3966" s="31" t="n">
        <v>24</v>
      </c>
      <c r="H3966" s="41" t="n">
        <v>42.4</v>
      </c>
      <c r="I3966" s="31" t="s">
        <v>149</v>
      </c>
      <c r="J3966" s="31" t="n">
        <v>3</v>
      </c>
      <c r="K3966" s="31" t="s">
        <v>150</v>
      </c>
      <c r="L3966" s="45" t="n">
        <f aca="false">DATE(YEAR(B3966),MONTH(B3966),1)</f>
        <v>46235</v>
      </c>
      <c r="M3966" s="31" t="n">
        <f aca="false">WEEKDAY(B3966,2)</f>
        <v>1</v>
      </c>
      <c r="N3966" s="31" t="str">
        <f aca="false">IF(G3966&lt;=INDEX(Assumptions!$B$15:$B$18,MATCH(E3966,Assumptions!$A$15:$A$18,0)),"Yes","No")</f>
        <v>Yes</v>
      </c>
      <c r="O3966" s="31" t="str">
        <f aca="false">IF(H3966="","Open",IF(H3966&lt;=INDEX(Assumptions!$C$15:$C$18,MATCH(E3966,Assumptions!$A$15:$A$18,0)),"Yes","No"))</f>
        <v>No</v>
      </c>
    </row>
    <row r="3967" customFormat="false" ht="15" hidden="false" customHeight="false" outlineLevel="0" collapsed="false">
      <c r="A3967" s="31" t="s">
        <v>4117</v>
      </c>
      <c r="B3967" s="44" t="n">
        <v>46258</v>
      </c>
      <c r="C3967" s="31" t="s">
        <v>58</v>
      </c>
      <c r="D3967" s="31" t="s">
        <v>66</v>
      </c>
      <c r="E3967" s="31" t="s">
        <v>49</v>
      </c>
      <c r="F3967" s="31" t="s">
        <v>120</v>
      </c>
      <c r="G3967" s="31" t="n">
        <v>7</v>
      </c>
      <c r="H3967" s="41" t="n">
        <v>1.4</v>
      </c>
      <c r="I3967" s="31" t="s">
        <v>149</v>
      </c>
      <c r="J3967" s="31"/>
      <c r="K3967" s="31" t="s">
        <v>150</v>
      </c>
      <c r="L3967" s="45" t="n">
        <f aca="false">DATE(YEAR(B3967),MONTH(B3967),1)</f>
        <v>46235</v>
      </c>
      <c r="M3967" s="31" t="n">
        <f aca="false">WEEKDAY(B3967,2)</f>
        <v>1</v>
      </c>
      <c r="N3967" s="31" t="str">
        <f aca="false">IF(G3967&lt;=INDEX(Assumptions!$B$15:$B$18,MATCH(E3967,Assumptions!$A$15:$A$18,0)),"Yes","No")</f>
        <v>Yes</v>
      </c>
      <c r="O3967" s="31" t="str">
        <f aca="false">IF(H3967="","Open",IF(H3967&lt;=INDEX(Assumptions!$C$15:$C$18,MATCH(E3967,Assumptions!$A$15:$A$18,0)),"Yes","No"))</f>
        <v>Yes</v>
      </c>
    </row>
    <row r="3968" customFormat="false" ht="15" hidden="false" customHeight="false" outlineLevel="0" collapsed="false">
      <c r="A3968" s="31" t="s">
        <v>4118</v>
      </c>
      <c r="B3968" s="44" t="n">
        <v>46258</v>
      </c>
      <c r="C3968" s="31" t="s">
        <v>57</v>
      </c>
      <c r="D3968" s="31" t="s">
        <v>67</v>
      </c>
      <c r="E3968" s="31" t="s">
        <v>50</v>
      </c>
      <c r="F3968" s="31" t="s">
        <v>121</v>
      </c>
      <c r="G3968" s="31" t="n">
        <v>9</v>
      </c>
      <c r="H3968" s="41" t="n">
        <v>4.9</v>
      </c>
      <c r="I3968" s="31" t="s">
        <v>149</v>
      </c>
      <c r="J3968" s="31" t="n">
        <v>4</v>
      </c>
      <c r="K3968" s="31" t="s">
        <v>150</v>
      </c>
      <c r="L3968" s="45" t="n">
        <f aca="false">DATE(YEAR(B3968),MONTH(B3968),1)</f>
        <v>46235</v>
      </c>
      <c r="M3968" s="31" t="n">
        <f aca="false">WEEKDAY(B3968,2)</f>
        <v>1</v>
      </c>
      <c r="N3968" s="31" t="str">
        <f aca="false">IF(G3968&lt;=INDEX(Assumptions!$B$15:$B$18,MATCH(E3968,Assumptions!$A$15:$A$18,0)),"Yes","No")</f>
        <v>Yes</v>
      </c>
      <c r="O3968" s="31" t="str">
        <f aca="false">IF(H3968="","Open",IF(H3968&lt;=INDEX(Assumptions!$C$15:$C$18,MATCH(E3968,Assumptions!$A$15:$A$18,0)),"Yes","No"))</f>
        <v>Yes</v>
      </c>
    </row>
    <row r="3969" customFormat="false" ht="15" hidden="false" customHeight="false" outlineLevel="0" collapsed="false">
      <c r="A3969" s="31" t="s">
        <v>4119</v>
      </c>
      <c r="B3969" s="44" t="n">
        <v>46258</v>
      </c>
      <c r="C3969" s="31" t="s">
        <v>60</v>
      </c>
      <c r="D3969" s="31" t="s">
        <v>66</v>
      </c>
      <c r="E3969" s="31" t="s">
        <v>52</v>
      </c>
      <c r="F3969" s="31" t="s">
        <v>131</v>
      </c>
      <c r="G3969" s="31" t="n">
        <v>1</v>
      </c>
      <c r="H3969" s="41" t="n">
        <v>1.8</v>
      </c>
      <c r="I3969" s="31" t="s">
        <v>149</v>
      </c>
      <c r="J3969" s="31" t="n">
        <v>4</v>
      </c>
      <c r="K3969" s="31" t="s">
        <v>153</v>
      </c>
      <c r="L3969" s="45" t="n">
        <f aca="false">DATE(YEAR(B3969),MONTH(B3969),1)</f>
        <v>46235</v>
      </c>
      <c r="M3969" s="31" t="n">
        <f aca="false">WEEKDAY(B3969,2)</f>
        <v>1</v>
      </c>
      <c r="N3969" s="31" t="str">
        <f aca="false">IF(G3969&lt;=INDEX(Assumptions!$B$15:$B$18,MATCH(E3969,Assumptions!$A$15:$A$18,0)),"Yes","No")</f>
        <v>Yes</v>
      </c>
      <c r="O3969" s="31" t="str">
        <f aca="false">IF(H3969="","Open",IF(H3969&lt;=INDEX(Assumptions!$C$15:$C$18,MATCH(E3969,Assumptions!$A$15:$A$18,0)),"Yes","No"))</f>
        <v>Yes</v>
      </c>
    </row>
    <row r="3970" customFormat="false" ht="15" hidden="false" customHeight="false" outlineLevel="0" collapsed="false">
      <c r="A3970" s="31" t="s">
        <v>4120</v>
      </c>
      <c r="B3970" s="44" t="n">
        <v>46258</v>
      </c>
      <c r="C3970" s="31" t="s">
        <v>58</v>
      </c>
      <c r="D3970" s="31" t="s">
        <v>66</v>
      </c>
      <c r="E3970" s="31" t="s">
        <v>52</v>
      </c>
      <c r="F3970" s="31" t="s">
        <v>122</v>
      </c>
      <c r="G3970" s="31" t="n">
        <v>19</v>
      </c>
      <c r="H3970" s="41" t="n">
        <v>11.7</v>
      </c>
      <c r="I3970" s="31" t="s">
        <v>149</v>
      </c>
      <c r="J3970" s="31" t="n">
        <v>5</v>
      </c>
      <c r="K3970" s="31" t="s">
        <v>150</v>
      </c>
      <c r="L3970" s="45" t="n">
        <f aca="false">DATE(YEAR(B3970),MONTH(B3970),1)</f>
        <v>46235</v>
      </c>
      <c r="M3970" s="31" t="n">
        <f aca="false">WEEKDAY(B3970,2)</f>
        <v>1</v>
      </c>
      <c r="N3970" s="31" t="str">
        <f aca="false">IF(G3970&lt;=INDEX(Assumptions!$B$15:$B$18,MATCH(E3970,Assumptions!$A$15:$A$18,0)),"Yes","No")</f>
        <v>Yes</v>
      </c>
      <c r="O3970" s="31" t="str">
        <f aca="false">IF(H3970="","Open",IF(H3970&lt;=INDEX(Assumptions!$C$15:$C$18,MATCH(E3970,Assumptions!$A$15:$A$18,0)),"Yes","No"))</f>
        <v>Yes</v>
      </c>
    </row>
    <row r="3971" customFormat="false" ht="15" hidden="false" customHeight="false" outlineLevel="0" collapsed="false">
      <c r="A3971" s="31" t="s">
        <v>4121</v>
      </c>
      <c r="B3971" s="44" t="n">
        <v>46258</v>
      </c>
      <c r="C3971" s="31" t="s">
        <v>60</v>
      </c>
      <c r="D3971" s="31" t="s">
        <v>65</v>
      </c>
      <c r="E3971" s="31" t="s">
        <v>49</v>
      </c>
      <c r="F3971" s="31" t="s">
        <v>129</v>
      </c>
      <c r="G3971" s="31" t="n">
        <v>2</v>
      </c>
      <c r="H3971" s="41" t="n">
        <v>0.8</v>
      </c>
      <c r="I3971" s="31" t="s">
        <v>149</v>
      </c>
      <c r="J3971" s="31"/>
      <c r="K3971" s="31" t="s">
        <v>153</v>
      </c>
      <c r="L3971" s="45" t="n">
        <f aca="false">DATE(YEAR(B3971),MONTH(B3971),1)</f>
        <v>46235</v>
      </c>
      <c r="M3971" s="31" t="n">
        <f aca="false">WEEKDAY(B3971,2)</f>
        <v>1</v>
      </c>
      <c r="N3971" s="31" t="str">
        <f aca="false">IF(G3971&lt;=INDEX(Assumptions!$B$15:$B$18,MATCH(E3971,Assumptions!$A$15:$A$18,0)),"Yes","No")</f>
        <v>Yes</v>
      </c>
      <c r="O3971" s="31" t="str">
        <f aca="false">IF(H3971="","Open",IF(H3971&lt;=INDEX(Assumptions!$C$15:$C$18,MATCH(E3971,Assumptions!$A$15:$A$18,0)),"Yes","No"))</f>
        <v>Yes</v>
      </c>
    </row>
    <row r="3972" customFormat="false" ht="15" hidden="false" customHeight="false" outlineLevel="0" collapsed="false">
      <c r="A3972" s="31" t="s">
        <v>4122</v>
      </c>
      <c r="B3972" s="44" t="n">
        <v>46258</v>
      </c>
      <c r="C3972" s="31" t="s">
        <v>59</v>
      </c>
      <c r="D3972" s="31" t="s">
        <v>67</v>
      </c>
      <c r="E3972" s="31" t="s">
        <v>52</v>
      </c>
      <c r="F3972" s="31" t="s">
        <v>121</v>
      </c>
      <c r="G3972" s="31" t="n">
        <v>302</v>
      </c>
      <c r="H3972" s="41" t="n">
        <v>10.4</v>
      </c>
      <c r="I3972" s="31" t="s">
        <v>149</v>
      </c>
      <c r="J3972" s="31"/>
      <c r="K3972" s="31" t="s">
        <v>150</v>
      </c>
      <c r="L3972" s="45" t="n">
        <f aca="false">DATE(YEAR(B3972),MONTH(B3972),1)</f>
        <v>46235</v>
      </c>
      <c r="M3972" s="31" t="n">
        <f aca="false">WEEKDAY(B3972,2)</f>
        <v>1</v>
      </c>
      <c r="N3972" s="31" t="str">
        <f aca="false">IF(G3972&lt;=INDEX(Assumptions!$B$15:$B$18,MATCH(E3972,Assumptions!$A$15:$A$18,0)),"Yes","No")</f>
        <v>No</v>
      </c>
      <c r="O3972" s="31" t="str">
        <f aca="false">IF(H3972="","Open",IF(H3972&lt;=INDEX(Assumptions!$C$15:$C$18,MATCH(E3972,Assumptions!$A$15:$A$18,0)),"Yes","No"))</f>
        <v>Yes</v>
      </c>
    </row>
    <row r="3973" customFormat="false" ht="15" hidden="false" customHeight="false" outlineLevel="0" collapsed="false">
      <c r="A3973" s="31" t="s">
        <v>4123</v>
      </c>
      <c r="B3973" s="44" t="n">
        <v>46258</v>
      </c>
      <c r="C3973" s="31" t="s">
        <v>59</v>
      </c>
      <c r="D3973" s="31" t="s">
        <v>65</v>
      </c>
      <c r="E3973" s="31" t="s">
        <v>51</v>
      </c>
      <c r="F3973" s="31" t="s">
        <v>124</v>
      </c>
      <c r="G3973" s="31" t="n">
        <v>16</v>
      </c>
      <c r="H3973" s="41" t="n">
        <v>5</v>
      </c>
      <c r="I3973" s="31" t="s">
        <v>149</v>
      </c>
      <c r="J3973" s="31"/>
      <c r="K3973" s="31" t="s">
        <v>150</v>
      </c>
      <c r="L3973" s="45" t="n">
        <f aca="false">DATE(YEAR(B3973),MONTH(B3973),1)</f>
        <v>46235</v>
      </c>
      <c r="M3973" s="31" t="n">
        <f aca="false">WEEKDAY(B3973,2)</f>
        <v>1</v>
      </c>
      <c r="N3973" s="31" t="str">
        <f aca="false">IF(G3973&lt;=INDEX(Assumptions!$B$15:$B$18,MATCH(E3973,Assumptions!$A$15:$A$18,0)),"Yes","No")</f>
        <v>Yes</v>
      </c>
      <c r="O3973" s="31" t="str">
        <f aca="false">IF(H3973="","Open",IF(H3973&lt;=INDEX(Assumptions!$C$15:$C$18,MATCH(E3973,Assumptions!$A$15:$A$18,0)),"Yes","No"))</f>
        <v>Yes</v>
      </c>
    </row>
    <row r="3974" customFormat="false" ht="15" hidden="false" customHeight="false" outlineLevel="0" collapsed="false">
      <c r="A3974" s="31" t="s">
        <v>4124</v>
      </c>
      <c r="B3974" s="44" t="n">
        <v>46258</v>
      </c>
      <c r="C3974" s="31" t="s">
        <v>57</v>
      </c>
      <c r="D3974" s="31" t="s">
        <v>66</v>
      </c>
      <c r="E3974" s="31" t="s">
        <v>50</v>
      </c>
      <c r="F3974" s="31" t="s">
        <v>133</v>
      </c>
      <c r="G3974" s="31" t="n">
        <v>4</v>
      </c>
      <c r="H3974" s="41" t="n">
        <v>1.4</v>
      </c>
      <c r="I3974" s="31" t="s">
        <v>149</v>
      </c>
      <c r="J3974" s="31"/>
      <c r="K3974" s="31" t="s">
        <v>150</v>
      </c>
      <c r="L3974" s="45" t="n">
        <f aca="false">DATE(YEAR(B3974),MONTH(B3974),1)</f>
        <v>46235</v>
      </c>
      <c r="M3974" s="31" t="n">
        <f aca="false">WEEKDAY(B3974,2)</f>
        <v>1</v>
      </c>
      <c r="N3974" s="31" t="str">
        <f aca="false">IF(G3974&lt;=INDEX(Assumptions!$B$15:$B$18,MATCH(E3974,Assumptions!$A$15:$A$18,0)),"Yes","No")</f>
        <v>Yes</v>
      </c>
      <c r="O3974" s="31" t="str">
        <f aca="false">IF(H3974="","Open",IF(H3974&lt;=INDEX(Assumptions!$C$15:$C$18,MATCH(E3974,Assumptions!$A$15:$A$18,0)),"Yes","No"))</f>
        <v>Yes</v>
      </c>
    </row>
    <row r="3975" customFormat="false" ht="15" hidden="false" customHeight="false" outlineLevel="0" collapsed="false">
      <c r="A3975" s="31" t="s">
        <v>4125</v>
      </c>
      <c r="B3975" s="44" t="n">
        <v>46258</v>
      </c>
      <c r="C3975" s="31" t="s">
        <v>57</v>
      </c>
      <c r="D3975" s="31" t="s">
        <v>66</v>
      </c>
      <c r="E3975" s="31" t="s">
        <v>51</v>
      </c>
      <c r="F3975" s="31" t="s">
        <v>117</v>
      </c>
      <c r="G3975" s="31" t="n">
        <v>3</v>
      </c>
      <c r="H3975" s="41" t="n">
        <v>0.9</v>
      </c>
      <c r="I3975" s="31" t="s">
        <v>149</v>
      </c>
      <c r="J3975" s="31"/>
      <c r="K3975" s="31" t="s">
        <v>150</v>
      </c>
      <c r="L3975" s="45" t="n">
        <f aca="false">DATE(YEAR(B3975),MONTH(B3975),1)</f>
        <v>46235</v>
      </c>
      <c r="M3975" s="31" t="n">
        <f aca="false">WEEKDAY(B3975,2)</f>
        <v>1</v>
      </c>
      <c r="N3975" s="31" t="str">
        <f aca="false">IF(G3975&lt;=INDEX(Assumptions!$B$15:$B$18,MATCH(E3975,Assumptions!$A$15:$A$18,0)),"Yes","No")</f>
        <v>Yes</v>
      </c>
      <c r="O3975" s="31" t="str">
        <f aca="false">IF(H3975="","Open",IF(H3975&lt;=INDEX(Assumptions!$C$15:$C$18,MATCH(E3975,Assumptions!$A$15:$A$18,0)),"Yes","No"))</f>
        <v>Yes</v>
      </c>
    </row>
    <row r="3976" customFormat="false" ht="15" hidden="false" customHeight="false" outlineLevel="0" collapsed="false">
      <c r="A3976" s="31" t="s">
        <v>4126</v>
      </c>
      <c r="B3976" s="44" t="n">
        <v>46258</v>
      </c>
      <c r="C3976" s="31" t="s">
        <v>59</v>
      </c>
      <c r="D3976" s="31" t="s">
        <v>66</v>
      </c>
      <c r="E3976" s="31" t="s">
        <v>50</v>
      </c>
      <c r="F3976" s="31" t="s">
        <v>120</v>
      </c>
      <c r="G3976" s="31" t="n">
        <v>194</v>
      </c>
      <c r="H3976" s="41" t="n">
        <v>5.6</v>
      </c>
      <c r="I3976" s="31" t="s">
        <v>149</v>
      </c>
      <c r="J3976" s="31" t="n">
        <v>2</v>
      </c>
      <c r="K3976" s="31" t="s">
        <v>150</v>
      </c>
      <c r="L3976" s="45" t="n">
        <f aca="false">DATE(YEAR(B3976),MONTH(B3976),1)</f>
        <v>46235</v>
      </c>
      <c r="M3976" s="31" t="n">
        <f aca="false">WEEKDAY(B3976,2)</f>
        <v>1</v>
      </c>
      <c r="N3976" s="31" t="str">
        <f aca="false">IF(G3976&lt;=INDEX(Assumptions!$B$15:$B$18,MATCH(E3976,Assumptions!$A$15:$A$18,0)),"Yes","No")</f>
        <v>No</v>
      </c>
      <c r="O3976" s="31" t="str">
        <f aca="false">IF(H3976="","Open",IF(H3976&lt;=INDEX(Assumptions!$C$15:$C$18,MATCH(E3976,Assumptions!$A$15:$A$18,0)),"Yes","No"))</f>
        <v>Yes</v>
      </c>
    </row>
    <row r="3977" customFormat="false" ht="15" hidden="false" customHeight="false" outlineLevel="0" collapsed="false">
      <c r="A3977" s="31" t="s">
        <v>4127</v>
      </c>
      <c r="B3977" s="44" t="n">
        <v>46258</v>
      </c>
      <c r="C3977" s="31" t="s">
        <v>59</v>
      </c>
      <c r="D3977" s="31" t="s">
        <v>65</v>
      </c>
      <c r="E3977" s="31" t="s">
        <v>51</v>
      </c>
      <c r="F3977" s="31" t="s">
        <v>126</v>
      </c>
      <c r="G3977" s="31" t="n">
        <v>74</v>
      </c>
      <c r="H3977" s="41" t="n">
        <v>17.8</v>
      </c>
      <c r="I3977" s="31" t="s">
        <v>149</v>
      </c>
      <c r="J3977" s="31"/>
      <c r="K3977" s="31" t="s">
        <v>150</v>
      </c>
      <c r="L3977" s="45" t="n">
        <f aca="false">DATE(YEAR(B3977),MONTH(B3977),1)</f>
        <v>46235</v>
      </c>
      <c r="M3977" s="31" t="n">
        <f aca="false">WEEKDAY(B3977,2)</f>
        <v>1</v>
      </c>
      <c r="N3977" s="31" t="str">
        <f aca="false">IF(G3977&lt;=INDEX(Assumptions!$B$15:$B$18,MATCH(E3977,Assumptions!$A$15:$A$18,0)),"Yes","No")</f>
        <v>No</v>
      </c>
      <c r="O3977" s="31" t="str">
        <f aca="false">IF(H3977="","Open",IF(H3977&lt;=INDEX(Assumptions!$C$15:$C$18,MATCH(E3977,Assumptions!$A$15:$A$18,0)),"Yes","No"))</f>
        <v>Yes</v>
      </c>
    </row>
    <row r="3978" customFormat="false" ht="15" hidden="false" customHeight="false" outlineLevel="0" collapsed="false">
      <c r="A3978" s="31" t="s">
        <v>4128</v>
      </c>
      <c r="B3978" s="44" t="n">
        <v>46258</v>
      </c>
      <c r="C3978" s="31" t="s">
        <v>58</v>
      </c>
      <c r="D3978" s="31" t="s">
        <v>66</v>
      </c>
      <c r="E3978" s="31" t="s">
        <v>51</v>
      </c>
      <c r="F3978" s="31" t="s">
        <v>131</v>
      </c>
      <c r="G3978" s="31" t="n">
        <v>5</v>
      </c>
      <c r="H3978" s="41" t="n">
        <v>2</v>
      </c>
      <c r="I3978" s="31" t="s">
        <v>149</v>
      </c>
      <c r="J3978" s="31" t="n">
        <v>4</v>
      </c>
      <c r="K3978" s="31" t="s">
        <v>150</v>
      </c>
      <c r="L3978" s="45" t="n">
        <f aca="false">DATE(YEAR(B3978),MONTH(B3978),1)</f>
        <v>46235</v>
      </c>
      <c r="M3978" s="31" t="n">
        <f aca="false">WEEKDAY(B3978,2)</f>
        <v>1</v>
      </c>
      <c r="N3978" s="31" t="str">
        <f aca="false">IF(G3978&lt;=INDEX(Assumptions!$B$15:$B$18,MATCH(E3978,Assumptions!$A$15:$A$18,0)),"Yes","No")</f>
        <v>Yes</v>
      </c>
      <c r="O3978" s="31" t="str">
        <f aca="false">IF(H3978="","Open",IF(H3978&lt;=INDEX(Assumptions!$C$15:$C$18,MATCH(E3978,Assumptions!$A$15:$A$18,0)),"Yes","No"))</f>
        <v>Yes</v>
      </c>
    </row>
    <row r="3979" customFormat="false" ht="15" hidden="false" customHeight="false" outlineLevel="0" collapsed="false">
      <c r="A3979" s="31" t="s">
        <v>4129</v>
      </c>
      <c r="B3979" s="44" t="n">
        <v>46258</v>
      </c>
      <c r="C3979" s="31" t="s">
        <v>60</v>
      </c>
      <c r="D3979" s="31" t="s">
        <v>65</v>
      </c>
      <c r="E3979" s="31" t="s">
        <v>52</v>
      </c>
      <c r="F3979" s="31" t="s">
        <v>134</v>
      </c>
      <c r="G3979" s="31" t="n">
        <v>10</v>
      </c>
      <c r="H3979" s="41" t="n">
        <v>41.3</v>
      </c>
      <c r="I3979" s="31" t="s">
        <v>149</v>
      </c>
      <c r="J3979" s="31"/>
      <c r="K3979" s="31" t="s">
        <v>150</v>
      </c>
      <c r="L3979" s="45" t="n">
        <f aca="false">DATE(YEAR(B3979),MONTH(B3979),1)</f>
        <v>46235</v>
      </c>
      <c r="M3979" s="31" t="n">
        <f aca="false">WEEKDAY(B3979,2)</f>
        <v>1</v>
      </c>
      <c r="N3979" s="31" t="str">
        <f aca="false">IF(G3979&lt;=INDEX(Assumptions!$B$15:$B$18,MATCH(E3979,Assumptions!$A$15:$A$18,0)),"Yes","No")</f>
        <v>Yes</v>
      </c>
      <c r="O3979" s="31" t="str">
        <f aca="false">IF(H3979="","Open",IF(H3979&lt;=INDEX(Assumptions!$C$15:$C$18,MATCH(E3979,Assumptions!$A$15:$A$18,0)),"Yes","No"))</f>
        <v>Yes</v>
      </c>
    </row>
    <row r="3980" customFormat="false" ht="15" hidden="false" customHeight="false" outlineLevel="0" collapsed="false">
      <c r="A3980" s="31" t="s">
        <v>4130</v>
      </c>
      <c r="B3980" s="44" t="n">
        <v>46258</v>
      </c>
      <c r="C3980" s="31" t="s">
        <v>60</v>
      </c>
      <c r="D3980" s="31" t="s">
        <v>66</v>
      </c>
      <c r="E3980" s="31" t="s">
        <v>51</v>
      </c>
      <c r="F3980" s="31" t="s">
        <v>117</v>
      </c>
      <c r="G3980" s="31" t="n">
        <v>2</v>
      </c>
      <c r="H3980" s="41" t="n">
        <v>26.4</v>
      </c>
      <c r="I3980" s="31" t="s">
        <v>149</v>
      </c>
      <c r="J3980" s="31"/>
      <c r="K3980" s="31" t="s">
        <v>150</v>
      </c>
      <c r="L3980" s="45" t="n">
        <f aca="false">DATE(YEAR(B3980),MONTH(B3980),1)</f>
        <v>46235</v>
      </c>
      <c r="M3980" s="31" t="n">
        <f aca="false">WEEKDAY(B3980,2)</f>
        <v>1</v>
      </c>
      <c r="N3980" s="31" t="str">
        <f aca="false">IF(G3980&lt;=INDEX(Assumptions!$B$15:$B$18,MATCH(E3980,Assumptions!$A$15:$A$18,0)),"Yes","No")</f>
        <v>Yes</v>
      </c>
      <c r="O3980" s="31" t="str">
        <f aca="false">IF(H3980="","Open",IF(H3980&lt;=INDEX(Assumptions!$C$15:$C$18,MATCH(E3980,Assumptions!$A$15:$A$18,0)),"Yes","No"))</f>
        <v>No</v>
      </c>
    </row>
    <row r="3981" customFormat="false" ht="15" hidden="false" customHeight="false" outlineLevel="0" collapsed="false">
      <c r="A3981" s="31" t="s">
        <v>4131</v>
      </c>
      <c r="B3981" s="44" t="n">
        <v>46258</v>
      </c>
      <c r="C3981" s="31" t="s">
        <v>59</v>
      </c>
      <c r="D3981" s="31" t="s">
        <v>66</v>
      </c>
      <c r="E3981" s="31" t="s">
        <v>50</v>
      </c>
      <c r="F3981" s="31" t="s">
        <v>123</v>
      </c>
      <c r="G3981" s="31" t="n">
        <v>62</v>
      </c>
      <c r="H3981" s="41" t="n">
        <v>9.5</v>
      </c>
      <c r="I3981" s="31" t="s">
        <v>149</v>
      </c>
      <c r="J3981" s="31" t="n">
        <v>3</v>
      </c>
      <c r="K3981" s="31" t="s">
        <v>150</v>
      </c>
      <c r="L3981" s="45" t="n">
        <f aca="false">DATE(YEAR(B3981),MONTH(B3981),1)</f>
        <v>46235</v>
      </c>
      <c r="M3981" s="31" t="n">
        <f aca="false">WEEKDAY(B3981,2)</f>
        <v>1</v>
      </c>
      <c r="N3981" s="31" t="str">
        <f aca="false">IF(G3981&lt;=INDEX(Assumptions!$B$15:$B$18,MATCH(E3981,Assumptions!$A$15:$A$18,0)),"Yes","No")</f>
        <v>No</v>
      </c>
      <c r="O3981" s="31" t="str">
        <f aca="false">IF(H3981="","Open",IF(H3981&lt;=INDEX(Assumptions!$C$15:$C$18,MATCH(E3981,Assumptions!$A$15:$A$18,0)),"Yes","No"))</f>
        <v>No</v>
      </c>
    </row>
    <row r="3982" customFormat="false" ht="15" hidden="false" customHeight="false" outlineLevel="0" collapsed="false">
      <c r="A3982" s="31" t="s">
        <v>4132</v>
      </c>
      <c r="B3982" s="44" t="n">
        <v>46258</v>
      </c>
      <c r="C3982" s="31" t="s">
        <v>57</v>
      </c>
      <c r="D3982" s="31" t="s">
        <v>69</v>
      </c>
      <c r="E3982" s="31" t="s">
        <v>51</v>
      </c>
      <c r="F3982" s="31" t="s">
        <v>126</v>
      </c>
      <c r="G3982" s="31" t="n">
        <v>1</v>
      </c>
      <c r="H3982" s="41" t="n">
        <v>17</v>
      </c>
      <c r="I3982" s="31" t="s">
        <v>149</v>
      </c>
      <c r="J3982" s="31" t="n">
        <v>5</v>
      </c>
      <c r="K3982" s="31" t="s">
        <v>150</v>
      </c>
      <c r="L3982" s="45" t="n">
        <f aca="false">DATE(YEAR(B3982),MONTH(B3982),1)</f>
        <v>46235</v>
      </c>
      <c r="M3982" s="31" t="n">
        <f aca="false">WEEKDAY(B3982,2)</f>
        <v>1</v>
      </c>
      <c r="N3982" s="31" t="str">
        <f aca="false">IF(G3982&lt;=INDEX(Assumptions!$B$15:$B$18,MATCH(E3982,Assumptions!$A$15:$A$18,0)),"Yes","No")</f>
        <v>Yes</v>
      </c>
      <c r="O3982" s="31" t="str">
        <f aca="false">IF(H3982="","Open",IF(H3982&lt;=INDEX(Assumptions!$C$15:$C$18,MATCH(E3982,Assumptions!$A$15:$A$18,0)),"Yes","No"))</f>
        <v>Yes</v>
      </c>
    </row>
    <row r="3983" customFormat="false" ht="15" hidden="false" customHeight="false" outlineLevel="0" collapsed="false">
      <c r="A3983" s="31" t="s">
        <v>4133</v>
      </c>
      <c r="B3983" s="44" t="n">
        <v>46258</v>
      </c>
      <c r="C3983" s="31" t="s">
        <v>60</v>
      </c>
      <c r="D3983" s="31" t="s">
        <v>68</v>
      </c>
      <c r="E3983" s="31" t="s">
        <v>50</v>
      </c>
      <c r="F3983" s="31" t="s">
        <v>136</v>
      </c>
      <c r="G3983" s="31" t="n">
        <v>1</v>
      </c>
      <c r="H3983" s="41" t="n">
        <v>0.6</v>
      </c>
      <c r="I3983" s="31" t="s">
        <v>149</v>
      </c>
      <c r="J3983" s="31" t="n">
        <v>3</v>
      </c>
      <c r="K3983" s="31" t="s">
        <v>150</v>
      </c>
      <c r="L3983" s="45" t="n">
        <f aca="false">DATE(YEAR(B3983),MONTH(B3983),1)</f>
        <v>46235</v>
      </c>
      <c r="M3983" s="31" t="n">
        <f aca="false">WEEKDAY(B3983,2)</f>
        <v>1</v>
      </c>
      <c r="N3983" s="31" t="str">
        <f aca="false">IF(G3983&lt;=INDEX(Assumptions!$B$15:$B$18,MATCH(E3983,Assumptions!$A$15:$A$18,0)),"Yes","No")</f>
        <v>Yes</v>
      </c>
      <c r="O3983" s="31" t="str">
        <f aca="false">IF(H3983="","Open",IF(H3983&lt;=INDEX(Assumptions!$C$15:$C$18,MATCH(E3983,Assumptions!$A$15:$A$18,0)),"Yes","No"))</f>
        <v>Yes</v>
      </c>
    </row>
    <row r="3984" customFormat="false" ht="15" hidden="false" customHeight="false" outlineLevel="0" collapsed="false">
      <c r="A3984" s="31" t="s">
        <v>4134</v>
      </c>
      <c r="B3984" s="44" t="n">
        <v>46258</v>
      </c>
      <c r="C3984" s="31" t="s">
        <v>57</v>
      </c>
      <c r="D3984" s="31" t="s">
        <v>66</v>
      </c>
      <c r="E3984" s="31" t="s">
        <v>51</v>
      </c>
      <c r="F3984" s="31" t="s">
        <v>119</v>
      </c>
      <c r="G3984" s="31" t="n">
        <v>8</v>
      </c>
      <c r="H3984" s="41" t="n">
        <v>4.3</v>
      </c>
      <c r="I3984" s="31" t="s">
        <v>149</v>
      </c>
      <c r="J3984" s="31" t="n">
        <v>5</v>
      </c>
      <c r="K3984" s="31" t="s">
        <v>150</v>
      </c>
      <c r="L3984" s="45" t="n">
        <f aca="false">DATE(YEAR(B3984),MONTH(B3984),1)</f>
        <v>46235</v>
      </c>
      <c r="M3984" s="31" t="n">
        <f aca="false">WEEKDAY(B3984,2)</f>
        <v>1</v>
      </c>
      <c r="N3984" s="31" t="str">
        <f aca="false">IF(G3984&lt;=INDEX(Assumptions!$B$15:$B$18,MATCH(E3984,Assumptions!$A$15:$A$18,0)),"Yes","No")</f>
        <v>Yes</v>
      </c>
      <c r="O3984" s="31" t="str">
        <f aca="false">IF(H3984="","Open",IF(H3984&lt;=INDEX(Assumptions!$C$15:$C$18,MATCH(E3984,Assumptions!$A$15:$A$18,0)),"Yes","No"))</f>
        <v>Yes</v>
      </c>
    </row>
    <row r="3985" customFormat="false" ht="15" hidden="false" customHeight="false" outlineLevel="0" collapsed="false">
      <c r="A3985" s="31" t="s">
        <v>4135</v>
      </c>
      <c r="B3985" s="44" t="n">
        <v>46258</v>
      </c>
      <c r="C3985" s="31" t="s">
        <v>60</v>
      </c>
      <c r="D3985" s="31" t="s">
        <v>66</v>
      </c>
      <c r="E3985" s="31" t="s">
        <v>51</v>
      </c>
      <c r="F3985" s="31" t="s">
        <v>121</v>
      </c>
      <c r="G3985" s="31" t="n">
        <v>2</v>
      </c>
      <c r="H3985" s="41" t="n">
        <v>0.9</v>
      </c>
      <c r="I3985" s="31" t="s">
        <v>149</v>
      </c>
      <c r="J3985" s="31"/>
      <c r="K3985" s="31" t="s">
        <v>150</v>
      </c>
      <c r="L3985" s="45" t="n">
        <f aca="false">DATE(YEAR(B3985),MONTH(B3985),1)</f>
        <v>46235</v>
      </c>
      <c r="M3985" s="31" t="n">
        <f aca="false">WEEKDAY(B3985,2)</f>
        <v>1</v>
      </c>
      <c r="N3985" s="31" t="str">
        <f aca="false">IF(G3985&lt;=INDEX(Assumptions!$B$15:$B$18,MATCH(E3985,Assumptions!$A$15:$A$18,0)),"Yes","No")</f>
        <v>Yes</v>
      </c>
      <c r="O3985" s="31" t="str">
        <f aca="false">IF(H3985="","Open",IF(H3985&lt;=INDEX(Assumptions!$C$15:$C$18,MATCH(E3985,Assumptions!$A$15:$A$18,0)),"Yes","No"))</f>
        <v>Yes</v>
      </c>
    </row>
    <row r="3986" customFormat="false" ht="15" hidden="false" customHeight="false" outlineLevel="0" collapsed="false">
      <c r="A3986" s="31" t="s">
        <v>4136</v>
      </c>
      <c r="B3986" s="44" t="n">
        <v>46259</v>
      </c>
      <c r="C3986" s="31" t="s">
        <v>58</v>
      </c>
      <c r="D3986" s="31" t="s">
        <v>67</v>
      </c>
      <c r="E3986" s="31" t="s">
        <v>51</v>
      </c>
      <c r="F3986" s="31" t="s">
        <v>131</v>
      </c>
      <c r="G3986" s="31" t="n">
        <v>6</v>
      </c>
      <c r="H3986" s="41" t="n">
        <v>20.1</v>
      </c>
      <c r="I3986" s="31" t="s">
        <v>149</v>
      </c>
      <c r="J3986" s="31" t="n">
        <v>4</v>
      </c>
      <c r="K3986" s="31" t="s">
        <v>150</v>
      </c>
      <c r="L3986" s="45" t="n">
        <f aca="false">DATE(YEAR(B3986),MONTH(B3986),1)</f>
        <v>46235</v>
      </c>
      <c r="M3986" s="31" t="n">
        <f aca="false">WEEKDAY(B3986,2)</f>
        <v>2</v>
      </c>
      <c r="N3986" s="31" t="str">
        <f aca="false">IF(G3986&lt;=INDEX(Assumptions!$B$15:$B$18,MATCH(E3986,Assumptions!$A$15:$A$18,0)),"Yes","No")</f>
        <v>Yes</v>
      </c>
      <c r="O3986" s="31" t="str">
        <f aca="false">IF(H3986="","Open",IF(H3986&lt;=INDEX(Assumptions!$C$15:$C$18,MATCH(E3986,Assumptions!$A$15:$A$18,0)),"Yes","No"))</f>
        <v>Yes</v>
      </c>
    </row>
    <row r="3987" customFormat="false" ht="15" hidden="false" customHeight="false" outlineLevel="0" collapsed="false">
      <c r="A3987" s="31" t="s">
        <v>4137</v>
      </c>
      <c r="B3987" s="44" t="n">
        <v>46259</v>
      </c>
      <c r="C3987" s="31" t="s">
        <v>58</v>
      </c>
      <c r="D3987" s="31" t="s">
        <v>67</v>
      </c>
      <c r="E3987" s="31" t="s">
        <v>50</v>
      </c>
      <c r="F3987" s="31" t="s">
        <v>121</v>
      </c>
      <c r="G3987" s="31" t="n">
        <v>13</v>
      </c>
      <c r="H3987" s="41" t="n">
        <v>13.2</v>
      </c>
      <c r="I3987" s="31" t="s">
        <v>149</v>
      </c>
      <c r="J3987" s="31" t="n">
        <v>4</v>
      </c>
      <c r="K3987" s="31" t="s">
        <v>150</v>
      </c>
      <c r="L3987" s="45" t="n">
        <f aca="false">DATE(YEAR(B3987),MONTH(B3987),1)</f>
        <v>46235</v>
      </c>
      <c r="M3987" s="31" t="n">
        <f aca="false">WEEKDAY(B3987,2)</f>
        <v>2</v>
      </c>
      <c r="N3987" s="31" t="str">
        <f aca="false">IF(G3987&lt;=INDEX(Assumptions!$B$15:$B$18,MATCH(E3987,Assumptions!$A$15:$A$18,0)),"Yes","No")</f>
        <v>Yes</v>
      </c>
      <c r="O3987" s="31" t="str">
        <f aca="false">IF(H3987="","Open",IF(H3987&lt;=INDEX(Assumptions!$C$15:$C$18,MATCH(E3987,Assumptions!$A$15:$A$18,0)),"Yes","No"))</f>
        <v>No</v>
      </c>
    </row>
    <row r="3988" customFormat="false" ht="15" hidden="false" customHeight="false" outlineLevel="0" collapsed="false">
      <c r="A3988" s="31" t="s">
        <v>4138</v>
      </c>
      <c r="B3988" s="44" t="n">
        <v>46259</v>
      </c>
      <c r="C3988" s="31" t="s">
        <v>59</v>
      </c>
      <c r="D3988" s="31" t="s">
        <v>67</v>
      </c>
      <c r="E3988" s="31" t="s">
        <v>51</v>
      </c>
      <c r="F3988" s="31" t="s">
        <v>126</v>
      </c>
      <c r="G3988" s="31" t="n">
        <v>32</v>
      </c>
      <c r="H3988" s="41" t="n">
        <v>14.3</v>
      </c>
      <c r="I3988" s="31" t="s">
        <v>149</v>
      </c>
      <c r="J3988" s="31"/>
      <c r="K3988" s="31" t="s">
        <v>150</v>
      </c>
      <c r="L3988" s="45" t="n">
        <f aca="false">DATE(YEAR(B3988),MONTH(B3988),1)</f>
        <v>46235</v>
      </c>
      <c r="M3988" s="31" t="n">
        <f aca="false">WEEKDAY(B3988,2)</f>
        <v>2</v>
      </c>
      <c r="N3988" s="31" t="str">
        <f aca="false">IF(G3988&lt;=INDEX(Assumptions!$B$15:$B$18,MATCH(E3988,Assumptions!$A$15:$A$18,0)),"Yes","No")</f>
        <v>Yes</v>
      </c>
      <c r="O3988" s="31" t="str">
        <f aca="false">IF(H3988="","Open",IF(H3988&lt;=INDEX(Assumptions!$C$15:$C$18,MATCH(E3988,Assumptions!$A$15:$A$18,0)),"Yes","No"))</f>
        <v>Yes</v>
      </c>
    </row>
    <row r="3989" customFormat="false" ht="15" hidden="false" customHeight="false" outlineLevel="0" collapsed="false">
      <c r="A3989" s="31" t="s">
        <v>4139</v>
      </c>
      <c r="B3989" s="44" t="n">
        <v>46259</v>
      </c>
      <c r="C3989" s="31" t="s">
        <v>58</v>
      </c>
      <c r="D3989" s="31" t="s">
        <v>68</v>
      </c>
      <c r="E3989" s="31" t="s">
        <v>51</v>
      </c>
      <c r="F3989" s="31" t="s">
        <v>137</v>
      </c>
      <c r="G3989" s="31" t="n">
        <v>3</v>
      </c>
      <c r="H3989" s="41" t="n">
        <v>11.9</v>
      </c>
      <c r="I3989" s="31" t="s">
        <v>149</v>
      </c>
      <c r="J3989" s="31" t="n">
        <v>4</v>
      </c>
      <c r="K3989" s="31" t="s">
        <v>150</v>
      </c>
      <c r="L3989" s="45" t="n">
        <f aca="false">DATE(YEAR(B3989),MONTH(B3989),1)</f>
        <v>46235</v>
      </c>
      <c r="M3989" s="31" t="n">
        <f aca="false">WEEKDAY(B3989,2)</f>
        <v>2</v>
      </c>
      <c r="N3989" s="31" t="str">
        <f aca="false">IF(G3989&lt;=INDEX(Assumptions!$B$15:$B$18,MATCH(E3989,Assumptions!$A$15:$A$18,0)),"Yes","No")</f>
        <v>Yes</v>
      </c>
      <c r="O3989" s="31" t="str">
        <f aca="false">IF(H3989="","Open",IF(H3989&lt;=INDEX(Assumptions!$C$15:$C$18,MATCH(E3989,Assumptions!$A$15:$A$18,0)),"Yes","No"))</f>
        <v>Yes</v>
      </c>
    </row>
    <row r="3990" customFormat="false" ht="15" hidden="false" customHeight="false" outlineLevel="0" collapsed="false">
      <c r="A3990" s="31" t="s">
        <v>4140</v>
      </c>
      <c r="B3990" s="44" t="n">
        <v>46259</v>
      </c>
      <c r="C3990" s="31" t="s">
        <v>59</v>
      </c>
      <c r="D3990" s="31" t="s">
        <v>67</v>
      </c>
      <c r="E3990" s="31" t="s">
        <v>51</v>
      </c>
      <c r="F3990" s="31" t="s">
        <v>136</v>
      </c>
      <c r="G3990" s="31" t="n">
        <v>32</v>
      </c>
      <c r="H3990" s="41" t="n">
        <v>20.9</v>
      </c>
      <c r="I3990" s="31" t="s">
        <v>149</v>
      </c>
      <c r="J3990" s="31" t="n">
        <v>4</v>
      </c>
      <c r="K3990" s="31" t="s">
        <v>150</v>
      </c>
      <c r="L3990" s="45" t="n">
        <f aca="false">DATE(YEAR(B3990),MONTH(B3990),1)</f>
        <v>46235</v>
      </c>
      <c r="M3990" s="31" t="n">
        <f aca="false">WEEKDAY(B3990,2)</f>
        <v>2</v>
      </c>
      <c r="N3990" s="31" t="str">
        <f aca="false">IF(G3990&lt;=INDEX(Assumptions!$B$15:$B$18,MATCH(E3990,Assumptions!$A$15:$A$18,0)),"Yes","No")</f>
        <v>Yes</v>
      </c>
      <c r="O3990" s="31" t="str">
        <f aca="false">IF(H3990="","Open",IF(H3990&lt;=INDEX(Assumptions!$C$15:$C$18,MATCH(E3990,Assumptions!$A$15:$A$18,0)),"Yes","No"))</f>
        <v>Yes</v>
      </c>
    </row>
    <row r="3991" customFormat="false" ht="15" hidden="false" customHeight="false" outlineLevel="0" collapsed="false">
      <c r="A3991" s="31" t="s">
        <v>4141</v>
      </c>
      <c r="B3991" s="44" t="n">
        <v>46259</v>
      </c>
      <c r="C3991" s="31" t="s">
        <v>60</v>
      </c>
      <c r="D3991" s="31" t="s">
        <v>65</v>
      </c>
      <c r="E3991" s="31" t="s">
        <v>51</v>
      </c>
      <c r="F3991" s="31" t="s">
        <v>127</v>
      </c>
      <c r="G3991" s="31" t="n">
        <v>1</v>
      </c>
      <c r="H3991" s="41" t="n">
        <v>8.5</v>
      </c>
      <c r="I3991" s="31" t="s">
        <v>149</v>
      </c>
      <c r="J3991" s="31" t="n">
        <v>4</v>
      </c>
      <c r="K3991" s="31" t="s">
        <v>150</v>
      </c>
      <c r="L3991" s="45" t="n">
        <f aca="false">DATE(YEAR(B3991),MONTH(B3991),1)</f>
        <v>46235</v>
      </c>
      <c r="M3991" s="31" t="n">
        <f aca="false">WEEKDAY(B3991,2)</f>
        <v>2</v>
      </c>
      <c r="N3991" s="31" t="str">
        <f aca="false">IF(G3991&lt;=INDEX(Assumptions!$B$15:$B$18,MATCH(E3991,Assumptions!$A$15:$A$18,0)),"Yes","No")</f>
        <v>Yes</v>
      </c>
      <c r="O3991" s="31" t="str">
        <f aca="false">IF(H3991="","Open",IF(H3991&lt;=INDEX(Assumptions!$C$15:$C$18,MATCH(E3991,Assumptions!$A$15:$A$18,0)),"Yes","No"))</f>
        <v>Yes</v>
      </c>
    </row>
    <row r="3992" customFormat="false" ht="15" hidden="false" customHeight="false" outlineLevel="0" collapsed="false">
      <c r="A3992" s="31" t="s">
        <v>4142</v>
      </c>
      <c r="B3992" s="44" t="n">
        <v>46259</v>
      </c>
      <c r="C3992" s="31" t="s">
        <v>58</v>
      </c>
      <c r="D3992" s="31" t="s">
        <v>67</v>
      </c>
      <c r="E3992" s="31" t="s">
        <v>52</v>
      </c>
      <c r="F3992" s="31" t="s">
        <v>121</v>
      </c>
      <c r="G3992" s="31" t="n">
        <v>13</v>
      </c>
      <c r="H3992" s="41" t="n">
        <v>52.5</v>
      </c>
      <c r="I3992" s="31" t="s">
        <v>64</v>
      </c>
      <c r="J3992" s="31" t="n">
        <v>4</v>
      </c>
      <c r="K3992" s="31" t="s">
        <v>150</v>
      </c>
      <c r="L3992" s="45" t="n">
        <f aca="false">DATE(YEAR(B3992),MONTH(B3992),1)</f>
        <v>46235</v>
      </c>
      <c r="M3992" s="31" t="n">
        <f aca="false">WEEKDAY(B3992,2)</f>
        <v>2</v>
      </c>
      <c r="N3992" s="31" t="str">
        <f aca="false">IF(G3992&lt;=INDEX(Assumptions!$B$15:$B$18,MATCH(E3992,Assumptions!$A$15:$A$18,0)),"Yes","No")</f>
        <v>Yes</v>
      </c>
      <c r="O3992" s="31" t="str">
        <f aca="false">IF(H3992="","Open",IF(H3992&lt;=INDEX(Assumptions!$C$15:$C$18,MATCH(E3992,Assumptions!$A$15:$A$18,0)),"Yes","No"))</f>
        <v>Yes</v>
      </c>
    </row>
    <row r="3993" customFormat="false" ht="15" hidden="false" customHeight="false" outlineLevel="0" collapsed="false">
      <c r="A3993" s="31" t="s">
        <v>4143</v>
      </c>
      <c r="B3993" s="44" t="n">
        <v>46259</v>
      </c>
      <c r="C3993" s="31" t="s">
        <v>58</v>
      </c>
      <c r="D3993" s="31" t="s">
        <v>66</v>
      </c>
      <c r="E3993" s="31" t="s">
        <v>52</v>
      </c>
      <c r="F3993" s="31" t="s">
        <v>123</v>
      </c>
      <c r="G3993" s="31" t="n">
        <v>8</v>
      </c>
      <c r="H3993" s="41" t="n">
        <v>5.7</v>
      </c>
      <c r="I3993" s="31" t="s">
        <v>149</v>
      </c>
      <c r="J3993" s="31"/>
      <c r="K3993" s="31" t="s">
        <v>153</v>
      </c>
      <c r="L3993" s="45" t="n">
        <f aca="false">DATE(YEAR(B3993),MONTH(B3993),1)</f>
        <v>46235</v>
      </c>
      <c r="M3993" s="31" t="n">
        <f aca="false">WEEKDAY(B3993,2)</f>
        <v>2</v>
      </c>
      <c r="N3993" s="31" t="str">
        <f aca="false">IF(G3993&lt;=INDEX(Assumptions!$B$15:$B$18,MATCH(E3993,Assumptions!$A$15:$A$18,0)),"Yes","No")</f>
        <v>Yes</v>
      </c>
      <c r="O3993" s="31" t="str">
        <f aca="false">IF(H3993="","Open",IF(H3993&lt;=INDEX(Assumptions!$C$15:$C$18,MATCH(E3993,Assumptions!$A$15:$A$18,0)),"Yes","No"))</f>
        <v>Yes</v>
      </c>
    </row>
    <row r="3994" customFormat="false" ht="15" hidden="false" customHeight="false" outlineLevel="0" collapsed="false">
      <c r="A3994" s="31" t="s">
        <v>4144</v>
      </c>
      <c r="B3994" s="44" t="n">
        <v>46259</v>
      </c>
      <c r="C3994" s="31" t="s">
        <v>58</v>
      </c>
      <c r="D3994" s="31" t="s">
        <v>68</v>
      </c>
      <c r="E3994" s="31" t="s">
        <v>51</v>
      </c>
      <c r="F3994" s="31" t="s">
        <v>121</v>
      </c>
      <c r="G3994" s="31" t="n">
        <v>16</v>
      </c>
      <c r="H3994" s="41" t="n">
        <v>2.6</v>
      </c>
      <c r="I3994" s="31" t="s">
        <v>149</v>
      </c>
      <c r="J3994" s="31" t="n">
        <v>4</v>
      </c>
      <c r="K3994" s="31" t="s">
        <v>150</v>
      </c>
      <c r="L3994" s="45" t="n">
        <f aca="false">DATE(YEAR(B3994),MONTH(B3994),1)</f>
        <v>46235</v>
      </c>
      <c r="M3994" s="31" t="n">
        <f aca="false">WEEKDAY(B3994,2)</f>
        <v>2</v>
      </c>
      <c r="N3994" s="31" t="str">
        <f aca="false">IF(G3994&lt;=INDEX(Assumptions!$B$15:$B$18,MATCH(E3994,Assumptions!$A$15:$A$18,0)),"Yes","No")</f>
        <v>Yes</v>
      </c>
      <c r="O3994" s="31" t="str">
        <f aca="false">IF(H3994="","Open",IF(H3994&lt;=INDEX(Assumptions!$C$15:$C$18,MATCH(E3994,Assumptions!$A$15:$A$18,0)),"Yes","No"))</f>
        <v>Yes</v>
      </c>
    </row>
    <row r="3995" customFormat="false" ht="15" hidden="false" customHeight="false" outlineLevel="0" collapsed="false">
      <c r="A3995" s="31" t="s">
        <v>4145</v>
      </c>
      <c r="B3995" s="44" t="n">
        <v>46259</v>
      </c>
      <c r="C3995" s="31" t="s">
        <v>59</v>
      </c>
      <c r="D3995" s="31" t="s">
        <v>65</v>
      </c>
      <c r="E3995" s="31" t="s">
        <v>52</v>
      </c>
      <c r="F3995" s="31" t="s">
        <v>123</v>
      </c>
      <c r="G3995" s="31" t="n">
        <v>74</v>
      </c>
      <c r="H3995" s="41" t="n">
        <v>15.9</v>
      </c>
      <c r="I3995" s="31" t="s">
        <v>149</v>
      </c>
      <c r="J3995" s="31" t="n">
        <v>4</v>
      </c>
      <c r="K3995" s="31" t="s">
        <v>150</v>
      </c>
      <c r="L3995" s="45" t="n">
        <f aca="false">DATE(YEAR(B3995),MONTH(B3995),1)</f>
        <v>46235</v>
      </c>
      <c r="M3995" s="31" t="n">
        <f aca="false">WEEKDAY(B3995,2)</f>
        <v>2</v>
      </c>
      <c r="N3995" s="31" t="str">
        <f aca="false">IF(G3995&lt;=INDEX(Assumptions!$B$15:$B$18,MATCH(E3995,Assumptions!$A$15:$A$18,0)),"Yes","No")</f>
        <v>Yes</v>
      </c>
      <c r="O3995" s="31" t="str">
        <f aca="false">IF(H3995="","Open",IF(H3995&lt;=INDEX(Assumptions!$C$15:$C$18,MATCH(E3995,Assumptions!$A$15:$A$18,0)),"Yes","No"))</f>
        <v>Yes</v>
      </c>
    </row>
    <row r="3996" customFormat="false" ht="15" hidden="false" customHeight="false" outlineLevel="0" collapsed="false">
      <c r="A3996" s="31" t="s">
        <v>4146</v>
      </c>
      <c r="B3996" s="44" t="n">
        <v>46259</v>
      </c>
      <c r="C3996" s="31" t="s">
        <v>59</v>
      </c>
      <c r="D3996" s="31" t="s">
        <v>66</v>
      </c>
      <c r="E3996" s="31" t="s">
        <v>50</v>
      </c>
      <c r="F3996" s="31" t="s">
        <v>128</v>
      </c>
      <c r="G3996" s="31" t="n">
        <v>236</v>
      </c>
      <c r="H3996" s="41" t="n">
        <v>1.7</v>
      </c>
      <c r="I3996" s="31" t="s">
        <v>149</v>
      </c>
      <c r="J3996" s="31" t="n">
        <v>4</v>
      </c>
      <c r="K3996" s="31" t="s">
        <v>153</v>
      </c>
      <c r="L3996" s="45" t="n">
        <f aca="false">DATE(YEAR(B3996),MONTH(B3996),1)</f>
        <v>46235</v>
      </c>
      <c r="M3996" s="31" t="n">
        <f aca="false">WEEKDAY(B3996,2)</f>
        <v>2</v>
      </c>
      <c r="N3996" s="31" t="str">
        <f aca="false">IF(G3996&lt;=INDEX(Assumptions!$B$15:$B$18,MATCH(E3996,Assumptions!$A$15:$A$18,0)),"Yes","No")</f>
        <v>No</v>
      </c>
      <c r="O3996" s="31" t="str">
        <f aca="false">IF(H3996="","Open",IF(H3996&lt;=INDEX(Assumptions!$C$15:$C$18,MATCH(E3996,Assumptions!$A$15:$A$18,0)),"Yes","No"))</f>
        <v>Yes</v>
      </c>
    </row>
    <row r="3997" customFormat="false" ht="15" hidden="false" customHeight="false" outlineLevel="0" collapsed="false">
      <c r="A3997" s="31" t="s">
        <v>4147</v>
      </c>
      <c r="B3997" s="44" t="n">
        <v>46259</v>
      </c>
      <c r="C3997" s="31" t="s">
        <v>60</v>
      </c>
      <c r="D3997" s="31" t="s">
        <v>66</v>
      </c>
      <c r="E3997" s="31" t="s">
        <v>50</v>
      </c>
      <c r="F3997" s="31" t="s">
        <v>119</v>
      </c>
      <c r="G3997" s="31" t="n">
        <v>1</v>
      </c>
      <c r="H3997" s="41" t="n">
        <v>0.8</v>
      </c>
      <c r="I3997" s="31" t="s">
        <v>149</v>
      </c>
      <c r="J3997" s="31"/>
      <c r="K3997" s="31" t="s">
        <v>150</v>
      </c>
      <c r="L3997" s="45" t="n">
        <f aca="false">DATE(YEAR(B3997),MONTH(B3997),1)</f>
        <v>46235</v>
      </c>
      <c r="M3997" s="31" t="n">
        <f aca="false">WEEKDAY(B3997,2)</f>
        <v>2</v>
      </c>
      <c r="N3997" s="31" t="str">
        <f aca="false">IF(G3997&lt;=INDEX(Assumptions!$B$15:$B$18,MATCH(E3997,Assumptions!$A$15:$A$18,0)),"Yes","No")</f>
        <v>Yes</v>
      </c>
      <c r="O3997" s="31" t="str">
        <f aca="false">IF(H3997="","Open",IF(H3997&lt;=INDEX(Assumptions!$C$15:$C$18,MATCH(E3997,Assumptions!$A$15:$A$18,0)),"Yes","No"))</f>
        <v>Yes</v>
      </c>
    </row>
    <row r="3998" customFormat="false" ht="15" hidden="false" customHeight="false" outlineLevel="0" collapsed="false">
      <c r="A3998" s="31" t="s">
        <v>4148</v>
      </c>
      <c r="B3998" s="44" t="n">
        <v>46259</v>
      </c>
      <c r="C3998" s="31" t="s">
        <v>58</v>
      </c>
      <c r="D3998" s="31" t="s">
        <v>65</v>
      </c>
      <c r="E3998" s="31" t="s">
        <v>51</v>
      </c>
      <c r="F3998" s="31" t="s">
        <v>120</v>
      </c>
      <c r="G3998" s="31" t="n">
        <v>15</v>
      </c>
      <c r="H3998" s="41" t="n">
        <v>41.1</v>
      </c>
      <c r="I3998" s="31" t="s">
        <v>64</v>
      </c>
      <c r="J3998" s="31" t="n">
        <v>1</v>
      </c>
      <c r="K3998" s="31" t="s">
        <v>150</v>
      </c>
      <c r="L3998" s="45" t="n">
        <f aca="false">DATE(YEAR(B3998),MONTH(B3998),1)</f>
        <v>46235</v>
      </c>
      <c r="M3998" s="31" t="n">
        <f aca="false">WEEKDAY(B3998,2)</f>
        <v>2</v>
      </c>
      <c r="N3998" s="31" t="str">
        <f aca="false">IF(G3998&lt;=INDEX(Assumptions!$B$15:$B$18,MATCH(E3998,Assumptions!$A$15:$A$18,0)),"Yes","No")</f>
        <v>Yes</v>
      </c>
      <c r="O3998" s="31" t="str">
        <f aca="false">IF(H3998="","Open",IF(H3998&lt;=INDEX(Assumptions!$C$15:$C$18,MATCH(E3998,Assumptions!$A$15:$A$18,0)),"Yes","No"))</f>
        <v>No</v>
      </c>
    </row>
    <row r="3999" customFormat="false" ht="15" hidden="false" customHeight="false" outlineLevel="0" collapsed="false">
      <c r="A3999" s="31" t="s">
        <v>4149</v>
      </c>
      <c r="B3999" s="44" t="n">
        <v>46259</v>
      </c>
      <c r="C3999" s="31" t="s">
        <v>60</v>
      </c>
      <c r="D3999" s="31" t="s">
        <v>66</v>
      </c>
      <c r="E3999" s="31" t="s">
        <v>52</v>
      </c>
      <c r="F3999" s="31" t="s">
        <v>137</v>
      </c>
      <c r="G3999" s="31" t="n">
        <v>6</v>
      </c>
      <c r="H3999" s="41" t="n">
        <v>15.6</v>
      </c>
      <c r="I3999" s="31" t="s">
        <v>149</v>
      </c>
      <c r="J3999" s="31" t="n">
        <v>4</v>
      </c>
      <c r="K3999" s="31" t="s">
        <v>150</v>
      </c>
      <c r="L3999" s="45" t="n">
        <f aca="false">DATE(YEAR(B3999),MONTH(B3999),1)</f>
        <v>46235</v>
      </c>
      <c r="M3999" s="31" t="n">
        <f aca="false">WEEKDAY(B3999,2)</f>
        <v>2</v>
      </c>
      <c r="N3999" s="31" t="str">
        <f aca="false">IF(G3999&lt;=INDEX(Assumptions!$B$15:$B$18,MATCH(E3999,Assumptions!$A$15:$A$18,0)),"Yes","No")</f>
        <v>Yes</v>
      </c>
      <c r="O3999" s="31" t="str">
        <f aca="false">IF(H3999="","Open",IF(H3999&lt;=INDEX(Assumptions!$C$15:$C$18,MATCH(E3999,Assumptions!$A$15:$A$18,0)),"Yes","No"))</f>
        <v>Yes</v>
      </c>
    </row>
    <row r="4000" customFormat="false" ht="15" hidden="false" customHeight="false" outlineLevel="0" collapsed="false">
      <c r="A4000" s="31" t="s">
        <v>4150</v>
      </c>
      <c r="B4000" s="44" t="n">
        <v>46259</v>
      </c>
      <c r="C4000" s="31" t="s">
        <v>59</v>
      </c>
      <c r="D4000" s="31" t="s">
        <v>65</v>
      </c>
      <c r="E4000" s="31" t="s">
        <v>52</v>
      </c>
      <c r="F4000" s="31" t="s">
        <v>135</v>
      </c>
      <c r="G4000" s="31" t="n">
        <v>374</v>
      </c>
      <c r="H4000" s="41" t="n">
        <v>50.8</v>
      </c>
      <c r="I4000" s="31" t="s">
        <v>149</v>
      </c>
      <c r="J4000" s="31"/>
      <c r="K4000" s="31" t="s">
        <v>150</v>
      </c>
      <c r="L4000" s="45" t="n">
        <f aca="false">DATE(YEAR(B4000),MONTH(B4000),1)</f>
        <v>46235</v>
      </c>
      <c r="M4000" s="31" t="n">
        <f aca="false">WEEKDAY(B4000,2)</f>
        <v>2</v>
      </c>
      <c r="N4000" s="31" t="str">
        <f aca="false">IF(G4000&lt;=INDEX(Assumptions!$B$15:$B$18,MATCH(E4000,Assumptions!$A$15:$A$18,0)),"Yes","No")</f>
        <v>No</v>
      </c>
      <c r="O4000" s="31" t="str">
        <f aca="false">IF(H4000="","Open",IF(H4000&lt;=INDEX(Assumptions!$C$15:$C$18,MATCH(E4000,Assumptions!$A$15:$A$18,0)),"Yes","No"))</f>
        <v>Yes</v>
      </c>
    </row>
    <row r="4001" customFormat="false" ht="15" hidden="false" customHeight="false" outlineLevel="0" collapsed="false">
      <c r="A4001" s="31" t="s">
        <v>4151</v>
      </c>
      <c r="B4001" s="44" t="n">
        <v>46259</v>
      </c>
      <c r="C4001" s="31" t="s">
        <v>60</v>
      </c>
      <c r="D4001" s="31" t="s">
        <v>67</v>
      </c>
      <c r="E4001" s="31" t="s">
        <v>49</v>
      </c>
      <c r="F4001" s="31" t="s">
        <v>134</v>
      </c>
      <c r="G4001" s="31" t="n">
        <v>1</v>
      </c>
      <c r="H4001" s="41" t="n">
        <v>13.5</v>
      </c>
      <c r="I4001" s="31" t="s">
        <v>149</v>
      </c>
      <c r="J4001" s="31"/>
      <c r="K4001" s="31" t="s">
        <v>150</v>
      </c>
      <c r="L4001" s="45" t="n">
        <f aca="false">DATE(YEAR(B4001),MONTH(B4001),1)</f>
        <v>46235</v>
      </c>
      <c r="M4001" s="31" t="n">
        <f aca="false">WEEKDAY(B4001,2)</f>
        <v>2</v>
      </c>
      <c r="N4001" s="31" t="str">
        <f aca="false">IF(G4001&lt;=INDEX(Assumptions!$B$15:$B$18,MATCH(E4001,Assumptions!$A$15:$A$18,0)),"Yes","No")</f>
        <v>Yes</v>
      </c>
      <c r="O4001" s="31" t="str">
        <f aca="false">IF(H4001="","Open",IF(H4001&lt;=INDEX(Assumptions!$C$15:$C$18,MATCH(E4001,Assumptions!$A$15:$A$18,0)),"Yes","No"))</f>
        <v>No</v>
      </c>
    </row>
    <row r="4002" customFormat="false" ht="15" hidden="false" customHeight="false" outlineLevel="0" collapsed="false">
      <c r="A4002" s="31" t="s">
        <v>4152</v>
      </c>
      <c r="B4002" s="44" t="n">
        <v>46259</v>
      </c>
      <c r="C4002" s="31" t="s">
        <v>58</v>
      </c>
      <c r="D4002" s="31" t="s">
        <v>65</v>
      </c>
      <c r="E4002" s="31" t="s">
        <v>51</v>
      </c>
      <c r="F4002" s="31" t="s">
        <v>134</v>
      </c>
      <c r="G4002" s="31" t="n">
        <v>11</v>
      </c>
      <c r="H4002" s="41" t="n">
        <v>45</v>
      </c>
      <c r="I4002" s="31" t="s">
        <v>149</v>
      </c>
      <c r="J4002" s="31"/>
      <c r="K4002" s="31" t="s">
        <v>150</v>
      </c>
      <c r="L4002" s="45" t="n">
        <f aca="false">DATE(YEAR(B4002),MONTH(B4002),1)</f>
        <v>46235</v>
      </c>
      <c r="M4002" s="31" t="n">
        <f aca="false">WEEKDAY(B4002,2)</f>
        <v>2</v>
      </c>
      <c r="N4002" s="31" t="str">
        <f aca="false">IF(G4002&lt;=INDEX(Assumptions!$B$15:$B$18,MATCH(E4002,Assumptions!$A$15:$A$18,0)),"Yes","No")</f>
        <v>Yes</v>
      </c>
      <c r="O4002" s="31" t="str">
        <f aca="false">IF(H4002="","Open",IF(H4002&lt;=INDEX(Assumptions!$C$15:$C$18,MATCH(E4002,Assumptions!$A$15:$A$18,0)),"Yes","No"))</f>
        <v>No</v>
      </c>
    </row>
    <row r="4003" customFormat="false" ht="15" hidden="false" customHeight="false" outlineLevel="0" collapsed="false">
      <c r="A4003" s="31" t="s">
        <v>4153</v>
      </c>
      <c r="B4003" s="44" t="n">
        <v>46259</v>
      </c>
      <c r="C4003" s="31" t="s">
        <v>60</v>
      </c>
      <c r="D4003" s="31" t="s">
        <v>67</v>
      </c>
      <c r="E4003" s="31" t="s">
        <v>51</v>
      </c>
      <c r="F4003" s="31" t="s">
        <v>134</v>
      </c>
      <c r="G4003" s="31" t="n">
        <v>5</v>
      </c>
      <c r="H4003" s="41" t="n">
        <v>54.4</v>
      </c>
      <c r="I4003" s="31" t="s">
        <v>149</v>
      </c>
      <c r="J4003" s="31" t="n">
        <v>4</v>
      </c>
      <c r="K4003" s="31" t="s">
        <v>150</v>
      </c>
      <c r="L4003" s="45" t="n">
        <f aca="false">DATE(YEAR(B4003),MONTH(B4003),1)</f>
        <v>46235</v>
      </c>
      <c r="M4003" s="31" t="n">
        <f aca="false">WEEKDAY(B4003,2)</f>
        <v>2</v>
      </c>
      <c r="N4003" s="31" t="str">
        <f aca="false">IF(G4003&lt;=INDEX(Assumptions!$B$15:$B$18,MATCH(E4003,Assumptions!$A$15:$A$18,0)),"Yes","No")</f>
        <v>Yes</v>
      </c>
      <c r="O4003" s="31" t="str">
        <f aca="false">IF(H4003="","Open",IF(H4003&lt;=INDEX(Assumptions!$C$15:$C$18,MATCH(E4003,Assumptions!$A$15:$A$18,0)),"Yes","No"))</f>
        <v>No</v>
      </c>
    </row>
    <row r="4004" customFormat="false" ht="15" hidden="false" customHeight="false" outlineLevel="0" collapsed="false">
      <c r="A4004" s="31" t="s">
        <v>4154</v>
      </c>
      <c r="B4004" s="44" t="n">
        <v>46259</v>
      </c>
      <c r="C4004" s="31" t="s">
        <v>57</v>
      </c>
      <c r="D4004" s="31" t="s">
        <v>66</v>
      </c>
      <c r="E4004" s="31" t="s">
        <v>51</v>
      </c>
      <c r="F4004" s="31" t="s">
        <v>123</v>
      </c>
      <c r="G4004" s="31" t="n">
        <v>5</v>
      </c>
      <c r="H4004" s="41" t="n">
        <v>6.6</v>
      </c>
      <c r="I4004" s="31" t="s">
        <v>149</v>
      </c>
      <c r="J4004" s="31" t="n">
        <v>4</v>
      </c>
      <c r="K4004" s="31" t="s">
        <v>150</v>
      </c>
      <c r="L4004" s="45" t="n">
        <f aca="false">DATE(YEAR(B4004),MONTH(B4004),1)</f>
        <v>46235</v>
      </c>
      <c r="M4004" s="31" t="n">
        <f aca="false">WEEKDAY(B4004,2)</f>
        <v>2</v>
      </c>
      <c r="N4004" s="31" t="str">
        <f aca="false">IF(G4004&lt;=INDEX(Assumptions!$B$15:$B$18,MATCH(E4004,Assumptions!$A$15:$A$18,0)),"Yes","No")</f>
        <v>Yes</v>
      </c>
      <c r="O4004" s="31" t="str">
        <f aca="false">IF(H4004="","Open",IF(H4004&lt;=INDEX(Assumptions!$C$15:$C$18,MATCH(E4004,Assumptions!$A$15:$A$18,0)),"Yes","No"))</f>
        <v>Yes</v>
      </c>
    </row>
    <row r="4005" customFormat="false" ht="15" hidden="false" customHeight="false" outlineLevel="0" collapsed="false">
      <c r="A4005" s="31" t="s">
        <v>4155</v>
      </c>
      <c r="B4005" s="44" t="n">
        <v>46259</v>
      </c>
      <c r="C4005" s="31" t="s">
        <v>57</v>
      </c>
      <c r="D4005" s="31" t="s">
        <v>65</v>
      </c>
      <c r="E4005" s="31" t="s">
        <v>51</v>
      </c>
      <c r="F4005" s="31" t="s">
        <v>135</v>
      </c>
      <c r="G4005" s="31" t="n">
        <v>10</v>
      </c>
      <c r="H4005" s="41" t="n">
        <v>10.4</v>
      </c>
      <c r="I4005" s="31" t="s">
        <v>149</v>
      </c>
      <c r="J4005" s="31"/>
      <c r="K4005" s="31" t="s">
        <v>150</v>
      </c>
      <c r="L4005" s="45" t="n">
        <f aca="false">DATE(YEAR(B4005),MONTH(B4005),1)</f>
        <v>46235</v>
      </c>
      <c r="M4005" s="31" t="n">
        <f aca="false">WEEKDAY(B4005,2)</f>
        <v>2</v>
      </c>
      <c r="N4005" s="31" t="str">
        <f aca="false">IF(G4005&lt;=INDEX(Assumptions!$B$15:$B$18,MATCH(E4005,Assumptions!$A$15:$A$18,0)),"Yes","No")</f>
        <v>Yes</v>
      </c>
      <c r="O4005" s="31" t="str">
        <f aca="false">IF(H4005="","Open",IF(H4005&lt;=INDEX(Assumptions!$C$15:$C$18,MATCH(E4005,Assumptions!$A$15:$A$18,0)),"Yes","No"))</f>
        <v>Yes</v>
      </c>
    </row>
    <row r="4006" customFormat="false" ht="15" hidden="false" customHeight="false" outlineLevel="0" collapsed="false">
      <c r="A4006" s="31" t="s">
        <v>4156</v>
      </c>
      <c r="B4006" s="44" t="n">
        <v>46259</v>
      </c>
      <c r="C4006" s="31" t="s">
        <v>57</v>
      </c>
      <c r="D4006" s="31" t="s">
        <v>66</v>
      </c>
      <c r="E4006" s="31" t="s">
        <v>51</v>
      </c>
      <c r="F4006" s="31" t="s">
        <v>133</v>
      </c>
      <c r="G4006" s="31" t="n">
        <v>14</v>
      </c>
      <c r="H4006" s="41" t="n">
        <v>1.3</v>
      </c>
      <c r="I4006" s="31" t="s">
        <v>149</v>
      </c>
      <c r="J4006" s="31" t="n">
        <v>5</v>
      </c>
      <c r="K4006" s="31" t="s">
        <v>150</v>
      </c>
      <c r="L4006" s="45" t="n">
        <f aca="false">DATE(YEAR(B4006),MONTH(B4006),1)</f>
        <v>46235</v>
      </c>
      <c r="M4006" s="31" t="n">
        <f aca="false">WEEKDAY(B4006,2)</f>
        <v>2</v>
      </c>
      <c r="N4006" s="31" t="str">
        <f aca="false">IF(G4006&lt;=INDEX(Assumptions!$B$15:$B$18,MATCH(E4006,Assumptions!$A$15:$A$18,0)),"Yes","No")</f>
        <v>Yes</v>
      </c>
      <c r="O4006" s="31" t="str">
        <f aca="false">IF(H4006="","Open",IF(H4006&lt;=INDEX(Assumptions!$C$15:$C$18,MATCH(E4006,Assumptions!$A$15:$A$18,0)),"Yes","No"))</f>
        <v>Yes</v>
      </c>
    </row>
    <row r="4007" customFormat="false" ht="15" hidden="false" customHeight="false" outlineLevel="0" collapsed="false">
      <c r="A4007" s="31" t="s">
        <v>4157</v>
      </c>
      <c r="B4007" s="44" t="n">
        <v>46259</v>
      </c>
      <c r="C4007" s="31" t="s">
        <v>59</v>
      </c>
      <c r="D4007" s="31" t="s">
        <v>65</v>
      </c>
      <c r="E4007" s="31" t="s">
        <v>50</v>
      </c>
      <c r="F4007" s="31" t="s">
        <v>134</v>
      </c>
      <c r="G4007" s="31" t="n">
        <v>255</v>
      </c>
      <c r="H4007" s="41" t="n">
        <v>4.1</v>
      </c>
      <c r="I4007" s="31" t="s">
        <v>149</v>
      </c>
      <c r="J4007" s="31"/>
      <c r="K4007" s="31" t="s">
        <v>150</v>
      </c>
      <c r="L4007" s="45" t="n">
        <f aca="false">DATE(YEAR(B4007),MONTH(B4007),1)</f>
        <v>46235</v>
      </c>
      <c r="M4007" s="31" t="n">
        <f aca="false">WEEKDAY(B4007,2)</f>
        <v>2</v>
      </c>
      <c r="N4007" s="31" t="str">
        <f aca="false">IF(G4007&lt;=INDEX(Assumptions!$B$15:$B$18,MATCH(E4007,Assumptions!$A$15:$A$18,0)),"Yes","No")</f>
        <v>No</v>
      </c>
      <c r="O4007" s="31" t="str">
        <f aca="false">IF(H4007="","Open",IF(H4007&lt;=INDEX(Assumptions!$C$15:$C$18,MATCH(E4007,Assumptions!$A$15:$A$18,0)),"Yes","No"))</f>
        <v>Yes</v>
      </c>
    </row>
    <row r="4008" customFormat="false" ht="15" hidden="false" customHeight="false" outlineLevel="0" collapsed="false">
      <c r="A4008" s="31" t="s">
        <v>4158</v>
      </c>
      <c r="B4008" s="44" t="n">
        <v>46259</v>
      </c>
      <c r="C4008" s="31" t="s">
        <v>59</v>
      </c>
      <c r="D4008" s="31" t="s">
        <v>65</v>
      </c>
      <c r="E4008" s="31" t="s">
        <v>51</v>
      </c>
      <c r="F4008" s="31" t="s">
        <v>129</v>
      </c>
      <c r="G4008" s="31" t="n">
        <v>311</v>
      </c>
      <c r="H4008" s="41" t="n">
        <v>6.1</v>
      </c>
      <c r="I4008" s="31" t="s">
        <v>149</v>
      </c>
      <c r="J4008" s="31" t="n">
        <v>5</v>
      </c>
      <c r="K4008" s="31" t="s">
        <v>150</v>
      </c>
      <c r="L4008" s="45" t="n">
        <f aca="false">DATE(YEAR(B4008),MONTH(B4008),1)</f>
        <v>46235</v>
      </c>
      <c r="M4008" s="31" t="n">
        <f aca="false">WEEKDAY(B4008,2)</f>
        <v>2</v>
      </c>
      <c r="N4008" s="31" t="str">
        <f aca="false">IF(G4008&lt;=INDEX(Assumptions!$B$15:$B$18,MATCH(E4008,Assumptions!$A$15:$A$18,0)),"Yes","No")</f>
        <v>No</v>
      </c>
      <c r="O4008" s="31" t="str">
        <f aca="false">IF(H4008="","Open",IF(H4008&lt;=INDEX(Assumptions!$C$15:$C$18,MATCH(E4008,Assumptions!$A$15:$A$18,0)),"Yes","No"))</f>
        <v>Yes</v>
      </c>
    </row>
    <row r="4009" customFormat="false" ht="15" hidden="false" customHeight="false" outlineLevel="0" collapsed="false">
      <c r="A4009" s="31" t="s">
        <v>4159</v>
      </c>
      <c r="B4009" s="44" t="n">
        <v>46259</v>
      </c>
      <c r="C4009" s="31" t="s">
        <v>58</v>
      </c>
      <c r="D4009" s="31" t="s">
        <v>66</v>
      </c>
      <c r="E4009" s="31" t="s">
        <v>52</v>
      </c>
      <c r="F4009" s="31" t="s">
        <v>117</v>
      </c>
      <c r="G4009" s="31" t="n">
        <v>7</v>
      </c>
      <c r="H4009" s="41" t="n">
        <v>8.5</v>
      </c>
      <c r="I4009" s="31" t="s">
        <v>149</v>
      </c>
      <c r="J4009" s="31"/>
      <c r="K4009" s="31" t="s">
        <v>150</v>
      </c>
      <c r="L4009" s="45" t="n">
        <f aca="false">DATE(YEAR(B4009),MONTH(B4009),1)</f>
        <v>46235</v>
      </c>
      <c r="M4009" s="31" t="n">
        <f aca="false">WEEKDAY(B4009,2)</f>
        <v>2</v>
      </c>
      <c r="N4009" s="31" t="str">
        <f aca="false">IF(G4009&lt;=INDEX(Assumptions!$B$15:$B$18,MATCH(E4009,Assumptions!$A$15:$A$18,0)),"Yes","No")</f>
        <v>Yes</v>
      </c>
      <c r="O4009" s="31" t="str">
        <f aca="false">IF(H4009="","Open",IF(H4009&lt;=INDEX(Assumptions!$C$15:$C$18,MATCH(E4009,Assumptions!$A$15:$A$18,0)),"Yes","No"))</f>
        <v>Yes</v>
      </c>
    </row>
    <row r="4010" customFormat="false" ht="15" hidden="false" customHeight="false" outlineLevel="0" collapsed="false">
      <c r="A4010" s="31" t="s">
        <v>4160</v>
      </c>
      <c r="B4010" s="44" t="n">
        <v>46259</v>
      </c>
      <c r="C4010" s="31" t="s">
        <v>58</v>
      </c>
      <c r="D4010" s="31" t="s">
        <v>65</v>
      </c>
      <c r="E4010" s="31" t="s">
        <v>52</v>
      </c>
      <c r="F4010" s="31" t="s">
        <v>130</v>
      </c>
      <c r="G4010" s="31" t="n">
        <v>65</v>
      </c>
      <c r="H4010" s="41" t="n">
        <v>11.5</v>
      </c>
      <c r="I4010" s="31" t="s">
        <v>149</v>
      </c>
      <c r="J4010" s="31"/>
      <c r="K4010" s="31" t="s">
        <v>150</v>
      </c>
      <c r="L4010" s="45" t="n">
        <f aca="false">DATE(YEAR(B4010),MONTH(B4010),1)</f>
        <v>46235</v>
      </c>
      <c r="M4010" s="31" t="n">
        <f aca="false">WEEKDAY(B4010,2)</f>
        <v>2</v>
      </c>
      <c r="N4010" s="31" t="str">
        <f aca="false">IF(G4010&lt;=INDEX(Assumptions!$B$15:$B$18,MATCH(E4010,Assumptions!$A$15:$A$18,0)),"Yes","No")</f>
        <v>Yes</v>
      </c>
      <c r="O4010" s="31" t="str">
        <f aca="false">IF(H4010="","Open",IF(H4010&lt;=INDEX(Assumptions!$C$15:$C$18,MATCH(E4010,Assumptions!$A$15:$A$18,0)),"Yes","No"))</f>
        <v>Yes</v>
      </c>
    </row>
    <row r="4011" customFormat="false" ht="15" hidden="false" customHeight="false" outlineLevel="0" collapsed="false">
      <c r="A4011" s="31" t="s">
        <v>4161</v>
      </c>
      <c r="B4011" s="44" t="n">
        <v>46259</v>
      </c>
      <c r="C4011" s="31" t="s">
        <v>57</v>
      </c>
      <c r="D4011" s="31" t="s">
        <v>65</v>
      </c>
      <c r="E4011" s="31" t="s">
        <v>51</v>
      </c>
      <c r="F4011" s="31" t="s">
        <v>130</v>
      </c>
      <c r="G4011" s="31" t="n">
        <v>2</v>
      </c>
      <c r="H4011" s="41" t="n">
        <v>30.9</v>
      </c>
      <c r="I4011" s="31" t="s">
        <v>149</v>
      </c>
      <c r="J4011" s="31" t="n">
        <v>4</v>
      </c>
      <c r="K4011" s="31" t="s">
        <v>150</v>
      </c>
      <c r="L4011" s="45" t="n">
        <f aca="false">DATE(YEAR(B4011),MONTH(B4011),1)</f>
        <v>46235</v>
      </c>
      <c r="M4011" s="31" t="n">
        <f aca="false">WEEKDAY(B4011,2)</f>
        <v>2</v>
      </c>
      <c r="N4011" s="31" t="str">
        <f aca="false">IF(G4011&lt;=INDEX(Assumptions!$B$15:$B$18,MATCH(E4011,Assumptions!$A$15:$A$18,0)),"Yes","No")</f>
        <v>Yes</v>
      </c>
      <c r="O4011" s="31" t="str">
        <f aca="false">IF(H4011="","Open",IF(H4011&lt;=INDEX(Assumptions!$C$15:$C$18,MATCH(E4011,Assumptions!$A$15:$A$18,0)),"Yes","No"))</f>
        <v>No</v>
      </c>
    </row>
    <row r="4012" customFormat="false" ht="15" hidden="false" customHeight="false" outlineLevel="0" collapsed="false">
      <c r="A4012" s="31" t="s">
        <v>4162</v>
      </c>
      <c r="B4012" s="44" t="n">
        <v>46259</v>
      </c>
      <c r="C4012" s="31" t="s">
        <v>60</v>
      </c>
      <c r="D4012" s="31" t="s">
        <v>68</v>
      </c>
      <c r="E4012" s="31" t="s">
        <v>52</v>
      </c>
      <c r="F4012" s="31" t="s">
        <v>119</v>
      </c>
      <c r="G4012" s="31" t="n">
        <v>1</v>
      </c>
      <c r="H4012" s="41" t="n">
        <v>3.8</v>
      </c>
      <c r="I4012" s="31" t="s">
        <v>149</v>
      </c>
      <c r="J4012" s="31"/>
      <c r="K4012" s="31" t="s">
        <v>150</v>
      </c>
      <c r="L4012" s="45" t="n">
        <f aca="false">DATE(YEAR(B4012),MONTH(B4012),1)</f>
        <v>46235</v>
      </c>
      <c r="M4012" s="31" t="n">
        <f aca="false">WEEKDAY(B4012,2)</f>
        <v>2</v>
      </c>
      <c r="N4012" s="31" t="str">
        <f aca="false">IF(G4012&lt;=INDEX(Assumptions!$B$15:$B$18,MATCH(E4012,Assumptions!$A$15:$A$18,0)),"Yes","No")</f>
        <v>Yes</v>
      </c>
      <c r="O4012" s="31" t="str">
        <f aca="false">IF(H4012="","Open",IF(H4012&lt;=INDEX(Assumptions!$C$15:$C$18,MATCH(E4012,Assumptions!$A$15:$A$18,0)),"Yes","No"))</f>
        <v>Yes</v>
      </c>
    </row>
    <row r="4013" customFormat="false" ht="15" hidden="false" customHeight="false" outlineLevel="0" collapsed="false">
      <c r="A4013" s="31" t="s">
        <v>4163</v>
      </c>
      <c r="B4013" s="44" t="n">
        <v>46259</v>
      </c>
      <c r="C4013" s="31" t="s">
        <v>59</v>
      </c>
      <c r="D4013" s="31" t="s">
        <v>66</v>
      </c>
      <c r="E4013" s="31" t="s">
        <v>50</v>
      </c>
      <c r="F4013" s="31" t="s">
        <v>131</v>
      </c>
      <c r="G4013" s="31" t="n">
        <v>47</v>
      </c>
      <c r="H4013" s="41" t="n">
        <v>1</v>
      </c>
      <c r="I4013" s="31" t="s">
        <v>149</v>
      </c>
      <c r="J4013" s="31"/>
      <c r="K4013" s="31" t="s">
        <v>150</v>
      </c>
      <c r="L4013" s="45" t="n">
        <f aca="false">DATE(YEAR(B4013),MONTH(B4013),1)</f>
        <v>46235</v>
      </c>
      <c r="M4013" s="31" t="n">
        <f aca="false">WEEKDAY(B4013,2)</f>
        <v>2</v>
      </c>
      <c r="N4013" s="31" t="str">
        <f aca="false">IF(G4013&lt;=INDEX(Assumptions!$B$15:$B$18,MATCH(E4013,Assumptions!$A$15:$A$18,0)),"Yes","No")</f>
        <v>No</v>
      </c>
      <c r="O4013" s="31" t="str">
        <f aca="false">IF(H4013="","Open",IF(H4013&lt;=INDEX(Assumptions!$C$15:$C$18,MATCH(E4013,Assumptions!$A$15:$A$18,0)),"Yes","No"))</f>
        <v>Yes</v>
      </c>
    </row>
    <row r="4014" customFormat="false" ht="15" hidden="false" customHeight="false" outlineLevel="0" collapsed="false">
      <c r="A4014" s="31" t="s">
        <v>4164</v>
      </c>
      <c r="B4014" s="44" t="n">
        <v>46259</v>
      </c>
      <c r="C4014" s="31" t="s">
        <v>59</v>
      </c>
      <c r="D4014" s="31" t="s">
        <v>69</v>
      </c>
      <c r="E4014" s="31" t="s">
        <v>51</v>
      </c>
      <c r="F4014" s="31" t="s">
        <v>123</v>
      </c>
      <c r="G4014" s="31" t="n">
        <v>53</v>
      </c>
      <c r="H4014" s="41" t="n">
        <v>161.2</v>
      </c>
      <c r="I4014" s="31" t="s">
        <v>149</v>
      </c>
      <c r="J4014" s="31"/>
      <c r="K4014" s="31" t="s">
        <v>150</v>
      </c>
      <c r="L4014" s="45" t="n">
        <f aca="false">DATE(YEAR(B4014),MONTH(B4014),1)</f>
        <v>46235</v>
      </c>
      <c r="M4014" s="31" t="n">
        <f aca="false">WEEKDAY(B4014,2)</f>
        <v>2</v>
      </c>
      <c r="N4014" s="31" t="str">
        <f aca="false">IF(G4014&lt;=INDEX(Assumptions!$B$15:$B$18,MATCH(E4014,Assumptions!$A$15:$A$18,0)),"Yes","No")</f>
        <v>Yes</v>
      </c>
      <c r="O4014" s="31" t="str">
        <f aca="false">IF(H4014="","Open",IF(H4014&lt;=INDEX(Assumptions!$C$15:$C$18,MATCH(E4014,Assumptions!$A$15:$A$18,0)),"Yes","No"))</f>
        <v>No</v>
      </c>
    </row>
    <row r="4015" customFormat="false" ht="15" hidden="false" customHeight="false" outlineLevel="0" collapsed="false">
      <c r="A4015" s="31" t="s">
        <v>4165</v>
      </c>
      <c r="B4015" s="44" t="n">
        <v>46259</v>
      </c>
      <c r="C4015" s="31" t="s">
        <v>60</v>
      </c>
      <c r="D4015" s="31" t="s">
        <v>66</v>
      </c>
      <c r="E4015" s="31" t="s">
        <v>51</v>
      </c>
      <c r="F4015" s="31" t="s">
        <v>131</v>
      </c>
      <c r="G4015" s="31" t="n">
        <v>1</v>
      </c>
      <c r="H4015" s="41" t="n">
        <v>15.7</v>
      </c>
      <c r="I4015" s="31" t="s">
        <v>149</v>
      </c>
      <c r="J4015" s="31"/>
      <c r="K4015" s="31" t="s">
        <v>150</v>
      </c>
      <c r="L4015" s="45" t="n">
        <f aca="false">DATE(YEAR(B4015),MONTH(B4015),1)</f>
        <v>46235</v>
      </c>
      <c r="M4015" s="31" t="n">
        <f aca="false">WEEKDAY(B4015,2)</f>
        <v>2</v>
      </c>
      <c r="N4015" s="31" t="str">
        <f aca="false">IF(G4015&lt;=INDEX(Assumptions!$B$15:$B$18,MATCH(E4015,Assumptions!$A$15:$A$18,0)),"Yes","No")</f>
        <v>Yes</v>
      </c>
      <c r="O4015" s="31" t="str">
        <f aca="false">IF(H4015="","Open",IF(H4015&lt;=INDEX(Assumptions!$C$15:$C$18,MATCH(E4015,Assumptions!$A$15:$A$18,0)),"Yes","No"))</f>
        <v>Yes</v>
      </c>
    </row>
    <row r="4016" customFormat="false" ht="15" hidden="false" customHeight="false" outlineLevel="0" collapsed="false">
      <c r="A4016" s="31" t="s">
        <v>4166</v>
      </c>
      <c r="B4016" s="44" t="n">
        <v>46259</v>
      </c>
      <c r="C4016" s="31" t="s">
        <v>59</v>
      </c>
      <c r="D4016" s="31" t="s">
        <v>65</v>
      </c>
      <c r="E4016" s="31" t="s">
        <v>51</v>
      </c>
      <c r="F4016" s="31" t="s">
        <v>137</v>
      </c>
      <c r="G4016" s="31" t="n">
        <v>96</v>
      </c>
      <c r="H4016" s="41" t="n">
        <v>64.2</v>
      </c>
      <c r="I4016" s="31" t="s">
        <v>64</v>
      </c>
      <c r="J4016" s="31"/>
      <c r="K4016" s="31" t="s">
        <v>150</v>
      </c>
      <c r="L4016" s="45" t="n">
        <f aca="false">DATE(YEAR(B4016),MONTH(B4016),1)</f>
        <v>46235</v>
      </c>
      <c r="M4016" s="31" t="n">
        <f aca="false">WEEKDAY(B4016,2)</f>
        <v>2</v>
      </c>
      <c r="N4016" s="31" t="str">
        <f aca="false">IF(G4016&lt;=INDEX(Assumptions!$B$15:$B$18,MATCH(E4016,Assumptions!$A$15:$A$18,0)),"Yes","No")</f>
        <v>No</v>
      </c>
      <c r="O4016" s="31" t="str">
        <f aca="false">IF(H4016="","Open",IF(H4016&lt;=INDEX(Assumptions!$C$15:$C$18,MATCH(E4016,Assumptions!$A$15:$A$18,0)),"Yes","No"))</f>
        <v>No</v>
      </c>
    </row>
    <row r="4017" customFormat="false" ht="15" hidden="false" customHeight="false" outlineLevel="0" collapsed="false">
      <c r="A4017" s="31" t="s">
        <v>4167</v>
      </c>
      <c r="B4017" s="44" t="n">
        <v>46259</v>
      </c>
      <c r="C4017" s="31" t="s">
        <v>58</v>
      </c>
      <c r="D4017" s="31" t="s">
        <v>68</v>
      </c>
      <c r="E4017" s="31" t="s">
        <v>51</v>
      </c>
      <c r="F4017" s="31" t="s">
        <v>127</v>
      </c>
      <c r="G4017" s="31" t="n">
        <v>9</v>
      </c>
      <c r="H4017" s="41" t="n">
        <v>2.7</v>
      </c>
      <c r="I4017" s="31" t="s">
        <v>149</v>
      </c>
      <c r="J4017" s="31" t="n">
        <v>5</v>
      </c>
      <c r="K4017" s="31" t="s">
        <v>150</v>
      </c>
      <c r="L4017" s="45" t="n">
        <f aca="false">DATE(YEAR(B4017),MONTH(B4017),1)</f>
        <v>46235</v>
      </c>
      <c r="M4017" s="31" t="n">
        <f aca="false">WEEKDAY(B4017,2)</f>
        <v>2</v>
      </c>
      <c r="N4017" s="31" t="str">
        <f aca="false">IF(G4017&lt;=INDEX(Assumptions!$B$15:$B$18,MATCH(E4017,Assumptions!$A$15:$A$18,0)),"Yes","No")</f>
        <v>Yes</v>
      </c>
      <c r="O4017" s="31" t="str">
        <f aca="false">IF(H4017="","Open",IF(H4017&lt;=INDEX(Assumptions!$C$15:$C$18,MATCH(E4017,Assumptions!$A$15:$A$18,0)),"Yes","No"))</f>
        <v>Yes</v>
      </c>
    </row>
    <row r="4018" customFormat="false" ht="15" hidden="false" customHeight="false" outlineLevel="0" collapsed="false">
      <c r="A4018" s="31" t="s">
        <v>4168</v>
      </c>
      <c r="B4018" s="44" t="n">
        <v>46259</v>
      </c>
      <c r="C4018" s="31" t="s">
        <v>57</v>
      </c>
      <c r="D4018" s="31" t="s">
        <v>66</v>
      </c>
      <c r="E4018" s="31" t="s">
        <v>52</v>
      </c>
      <c r="F4018" s="31" t="s">
        <v>129</v>
      </c>
      <c r="G4018" s="31" t="n">
        <v>2</v>
      </c>
      <c r="H4018" s="41" t="n">
        <v>22</v>
      </c>
      <c r="I4018" s="31" t="s">
        <v>149</v>
      </c>
      <c r="J4018" s="31" t="n">
        <v>5</v>
      </c>
      <c r="K4018" s="31" t="s">
        <v>150</v>
      </c>
      <c r="L4018" s="45" t="n">
        <f aca="false">DATE(YEAR(B4018),MONTH(B4018),1)</f>
        <v>46235</v>
      </c>
      <c r="M4018" s="31" t="n">
        <f aca="false">WEEKDAY(B4018,2)</f>
        <v>2</v>
      </c>
      <c r="N4018" s="31" t="str">
        <f aca="false">IF(G4018&lt;=INDEX(Assumptions!$B$15:$B$18,MATCH(E4018,Assumptions!$A$15:$A$18,0)),"Yes","No")</f>
        <v>Yes</v>
      </c>
      <c r="O4018" s="31" t="str">
        <f aca="false">IF(H4018="","Open",IF(H4018&lt;=INDEX(Assumptions!$C$15:$C$18,MATCH(E4018,Assumptions!$A$15:$A$18,0)),"Yes","No"))</f>
        <v>Yes</v>
      </c>
    </row>
    <row r="4019" customFormat="false" ht="15" hidden="false" customHeight="false" outlineLevel="0" collapsed="false">
      <c r="A4019" s="31" t="s">
        <v>4169</v>
      </c>
      <c r="B4019" s="44" t="n">
        <v>46259</v>
      </c>
      <c r="C4019" s="31" t="s">
        <v>58</v>
      </c>
      <c r="D4019" s="31" t="s">
        <v>65</v>
      </c>
      <c r="E4019" s="31" t="s">
        <v>51</v>
      </c>
      <c r="F4019" s="31" t="s">
        <v>127</v>
      </c>
      <c r="G4019" s="31" t="n">
        <v>16</v>
      </c>
      <c r="H4019" s="41" t="n">
        <v>19.4</v>
      </c>
      <c r="I4019" s="31" t="s">
        <v>149</v>
      </c>
      <c r="J4019" s="31"/>
      <c r="K4019" s="31" t="s">
        <v>150</v>
      </c>
      <c r="L4019" s="45" t="n">
        <f aca="false">DATE(YEAR(B4019),MONTH(B4019),1)</f>
        <v>46235</v>
      </c>
      <c r="M4019" s="31" t="n">
        <f aca="false">WEEKDAY(B4019,2)</f>
        <v>2</v>
      </c>
      <c r="N4019" s="31" t="str">
        <f aca="false">IF(G4019&lt;=INDEX(Assumptions!$B$15:$B$18,MATCH(E4019,Assumptions!$A$15:$A$18,0)),"Yes","No")</f>
        <v>Yes</v>
      </c>
      <c r="O4019" s="31" t="str">
        <f aca="false">IF(H4019="","Open",IF(H4019&lt;=INDEX(Assumptions!$C$15:$C$18,MATCH(E4019,Assumptions!$A$15:$A$18,0)),"Yes","No"))</f>
        <v>Yes</v>
      </c>
    </row>
    <row r="4020" customFormat="false" ht="15" hidden="false" customHeight="false" outlineLevel="0" collapsed="false">
      <c r="A4020" s="31" t="s">
        <v>4170</v>
      </c>
      <c r="B4020" s="44" t="n">
        <v>46259</v>
      </c>
      <c r="C4020" s="31" t="s">
        <v>57</v>
      </c>
      <c r="D4020" s="31" t="s">
        <v>65</v>
      </c>
      <c r="E4020" s="31" t="s">
        <v>52</v>
      </c>
      <c r="F4020" s="31" t="s">
        <v>135</v>
      </c>
      <c r="G4020" s="31" t="n">
        <v>5</v>
      </c>
      <c r="H4020" s="41" t="n">
        <v>19.8</v>
      </c>
      <c r="I4020" s="31" t="s">
        <v>149</v>
      </c>
      <c r="J4020" s="31"/>
      <c r="K4020" s="31" t="s">
        <v>150</v>
      </c>
      <c r="L4020" s="45" t="n">
        <f aca="false">DATE(YEAR(B4020),MONTH(B4020),1)</f>
        <v>46235</v>
      </c>
      <c r="M4020" s="31" t="n">
        <f aca="false">WEEKDAY(B4020,2)</f>
        <v>2</v>
      </c>
      <c r="N4020" s="31" t="str">
        <f aca="false">IF(G4020&lt;=INDEX(Assumptions!$B$15:$B$18,MATCH(E4020,Assumptions!$A$15:$A$18,0)),"Yes","No")</f>
        <v>Yes</v>
      </c>
      <c r="O4020" s="31" t="str">
        <f aca="false">IF(H4020="","Open",IF(H4020&lt;=INDEX(Assumptions!$C$15:$C$18,MATCH(E4020,Assumptions!$A$15:$A$18,0)),"Yes","No"))</f>
        <v>Yes</v>
      </c>
    </row>
    <row r="4021" customFormat="false" ht="15" hidden="false" customHeight="false" outlineLevel="0" collapsed="false">
      <c r="A4021" s="31" t="s">
        <v>4171</v>
      </c>
      <c r="B4021" s="44" t="n">
        <v>46259</v>
      </c>
      <c r="C4021" s="31" t="s">
        <v>60</v>
      </c>
      <c r="D4021" s="31" t="s">
        <v>66</v>
      </c>
      <c r="E4021" s="31" t="s">
        <v>49</v>
      </c>
      <c r="F4021" s="31" t="s">
        <v>128</v>
      </c>
      <c r="G4021" s="31" t="n">
        <v>5</v>
      </c>
      <c r="H4021" s="41" t="n">
        <v>2.6</v>
      </c>
      <c r="I4021" s="31" t="s">
        <v>149</v>
      </c>
      <c r="J4021" s="31" t="n">
        <v>4</v>
      </c>
      <c r="K4021" s="31" t="s">
        <v>150</v>
      </c>
      <c r="L4021" s="45" t="n">
        <f aca="false">DATE(YEAR(B4021),MONTH(B4021),1)</f>
        <v>46235</v>
      </c>
      <c r="M4021" s="31" t="n">
        <f aca="false">WEEKDAY(B4021,2)</f>
        <v>2</v>
      </c>
      <c r="N4021" s="31" t="str">
        <f aca="false">IF(G4021&lt;=INDEX(Assumptions!$B$15:$B$18,MATCH(E4021,Assumptions!$A$15:$A$18,0)),"Yes","No")</f>
        <v>Yes</v>
      </c>
      <c r="O4021" s="31" t="str">
        <f aca="false">IF(H4021="","Open",IF(H4021&lt;=INDEX(Assumptions!$C$15:$C$18,MATCH(E4021,Assumptions!$A$15:$A$18,0)),"Yes","No"))</f>
        <v>Yes</v>
      </c>
    </row>
    <row r="4022" customFormat="false" ht="15" hidden="false" customHeight="false" outlineLevel="0" collapsed="false">
      <c r="A4022" s="31" t="s">
        <v>4172</v>
      </c>
      <c r="B4022" s="44" t="n">
        <v>46259</v>
      </c>
      <c r="C4022" s="31" t="s">
        <v>58</v>
      </c>
      <c r="D4022" s="31" t="s">
        <v>67</v>
      </c>
      <c r="E4022" s="31" t="s">
        <v>51</v>
      </c>
      <c r="F4022" s="31" t="s">
        <v>136</v>
      </c>
      <c r="G4022" s="31" t="n">
        <v>4</v>
      </c>
      <c r="H4022" s="41" t="n">
        <v>20.5</v>
      </c>
      <c r="I4022" s="31" t="s">
        <v>149</v>
      </c>
      <c r="J4022" s="31" t="n">
        <v>4</v>
      </c>
      <c r="K4022" s="31" t="s">
        <v>150</v>
      </c>
      <c r="L4022" s="45" t="n">
        <f aca="false">DATE(YEAR(B4022),MONTH(B4022),1)</f>
        <v>46235</v>
      </c>
      <c r="M4022" s="31" t="n">
        <f aca="false">WEEKDAY(B4022,2)</f>
        <v>2</v>
      </c>
      <c r="N4022" s="31" t="str">
        <f aca="false">IF(G4022&lt;=INDEX(Assumptions!$B$15:$B$18,MATCH(E4022,Assumptions!$A$15:$A$18,0)),"Yes","No")</f>
        <v>Yes</v>
      </c>
      <c r="O4022" s="31" t="str">
        <f aca="false">IF(H4022="","Open",IF(H4022&lt;=INDEX(Assumptions!$C$15:$C$18,MATCH(E4022,Assumptions!$A$15:$A$18,0)),"Yes","No"))</f>
        <v>Yes</v>
      </c>
    </row>
    <row r="4023" customFormat="false" ht="15" hidden="false" customHeight="false" outlineLevel="0" collapsed="false">
      <c r="A4023" s="31" t="s">
        <v>4173</v>
      </c>
      <c r="B4023" s="44" t="n">
        <v>46259</v>
      </c>
      <c r="C4023" s="31" t="s">
        <v>58</v>
      </c>
      <c r="D4023" s="31" t="s">
        <v>65</v>
      </c>
      <c r="E4023" s="31" t="s">
        <v>52</v>
      </c>
      <c r="F4023" s="31" t="s">
        <v>136</v>
      </c>
      <c r="G4023" s="31" t="n">
        <v>15</v>
      </c>
      <c r="H4023" s="41" t="n">
        <v>10.8</v>
      </c>
      <c r="I4023" s="31" t="s">
        <v>149</v>
      </c>
      <c r="J4023" s="31" t="n">
        <v>5</v>
      </c>
      <c r="K4023" s="31" t="s">
        <v>150</v>
      </c>
      <c r="L4023" s="45" t="n">
        <f aca="false">DATE(YEAR(B4023),MONTH(B4023),1)</f>
        <v>46235</v>
      </c>
      <c r="M4023" s="31" t="n">
        <f aca="false">WEEKDAY(B4023,2)</f>
        <v>2</v>
      </c>
      <c r="N4023" s="31" t="str">
        <f aca="false">IF(G4023&lt;=INDEX(Assumptions!$B$15:$B$18,MATCH(E4023,Assumptions!$A$15:$A$18,0)),"Yes","No")</f>
        <v>Yes</v>
      </c>
      <c r="O4023" s="31" t="str">
        <f aca="false">IF(H4023="","Open",IF(H4023&lt;=INDEX(Assumptions!$C$15:$C$18,MATCH(E4023,Assumptions!$A$15:$A$18,0)),"Yes","No"))</f>
        <v>Yes</v>
      </c>
    </row>
    <row r="4024" customFormat="false" ht="15" hidden="false" customHeight="false" outlineLevel="0" collapsed="false">
      <c r="A4024" s="31" t="s">
        <v>4174</v>
      </c>
      <c r="B4024" s="44" t="n">
        <v>46259</v>
      </c>
      <c r="C4024" s="31" t="s">
        <v>59</v>
      </c>
      <c r="D4024" s="31" t="s">
        <v>66</v>
      </c>
      <c r="E4024" s="31" t="s">
        <v>52</v>
      </c>
      <c r="F4024" s="31" t="s">
        <v>131</v>
      </c>
      <c r="G4024" s="31" t="n">
        <v>119</v>
      </c>
      <c r="H4024" s="41" t="n">
        <v>6.6</v>
      </c>
      <c r="I4024" s="31" t="s">
        <v>149</v>
      </c>
      <c r="J4024" s="31"/>
      <c r="K4024" s="31" t="s">
        <v>150</v>
      </c>
      <c r="L4024" s="45" t="n">
        <f aca="false">DATE(YEAR(B4024),MONTH(B4024),1)</f>
        <v>46235</v>
      </c>
      <c r="M4024" s="31" t="n">
        <f aca="false">WEEKDAY(B4024,2)</f>
        <v>2</v>
      </c>
      <c r="N4024" s="31" t="str">
        <f aca="false">IF(G4024&lt;=INDEX(Assumptions!$B$15:$B$18,MATCH(E4024,Assumptions!$A$15:$A$18,0)),"Yes","No")</f>
        <v>Yes</v>
      </c>
      <c r="O4024" s="31" t="str">
        <f aca="false">IF(H4024="","Open",IF(H4024&lt;=INDEX(Assumptions!$C$15:$C$18,MATCH(E4024,Assumptions!$A$15:$A$18,0)),"Yes","No"))</f>
        <v>Yes</v>
      </c>
    </row>
    <row r="4025" customFormat="false" ht="15" hidden="false" customHeight="false" outlineLevel="0" collapsed="false">
      <c r="A4025" s="31" t="s">
        <v>4175</v>
      </c>
      <c r="B4025" s="44" t="n">
        <v>46259</v>
      </c>
      <c r="C4025" s="31" t="s">
        <v>57</v>
      </c>
      <c r="D4025" s="31" t="s">
        <v>67</v>
      </c>
      <c r="E4025" s="31" t="s">
        <v>52</v>
      </c>
      <c r="F4025" s="31" t="s">
        <v>124</v>
      </c>
      <c r="G4025" s="31" t="n">
        <v>5</v>
      </c>
      <c r="H4025" s="41" t="n">
        <v>21.2</v>
      </c>
      <c r="I4025" s="31" t="s">
        <v>149</v>
      </c>
      <c r="J4025" s="31" t="n">
        <v>4</v>
      </c>
      <c r="K4025" s="31" t="s">
        <v>150</v>
      </c>
      <c r="L4025" s="45" t="n">
        <f aca="false">DATE(YEAR(B4025),MONTH(B4025),1)</f>
        <v>46235</v>
      </c>
      <c r="M4025" s="31" t="n">
        <f aca="false">WEEKDAY(B4025,2)</f>
        <v>2</v>
      </c>
      <c r="N4025" s="31" t="str">
        <f aca="false">IF(G4025&lt;=INDEX(Assumptions!$B$15:$B$18,MATCH(E4025,Assumptions!$A$15:$A$18,0)),"Yes","No")</f>
        <v>Yes</v>
      </c>
      <c r="O4025" s="31" t="str">
        <f aca="false">IF(H4025="","Open",IF(H4025&lt;=INDEX(Assumptions!$C$15:$C$18,MATCH(E4025,Assumptions!$A$15:$A$18,0)),"Yes","No"))</f>
        <v>Yes</v>
      </c>
    </row>
    <row r="4026" customFormat="false" ht="15" hidden="false" customHeight="false" outlineLevel="0" collapsed="false">
      <c r="A4026" s="31" t="s">
        <v>4176</v>
      </c>
      <c r="B4026" s="44" t="n">
        <v>46259</v>
      </c>
      <c r="C4026" s="31" t="s">
        <v>59</v>
      </c>
      <c r="D4026" s="31" t="s">
        <v>67</v>
      </c>
      <c r="E4026" s="31" t="s">
        <v>51</v>
      </c>
      <c r="F4026" s="31" t="s">
        <v>133</v>
      </c>
      <c r="G4026" s="31" t="n">
        <v>53</v>
      </c>
      <c r="H4026" s="41" t="n">
        <v>14.3</v>
      </c>
      <c r="I4026" s="31" t="s">
        <v>149</v>
      </c>
      <c r="J4026" s="31" t="n">
        <v>4</v>
      </c>
      <c r="K4026" s="31" t="s">
        <v>150</v>
      </c>
      <c r="L4026" s="45" t="n">
        <f aca="false">DATE(YEAR(B4026),MONTH(B4026),1)</f>
        <v>46235</v>
      </c>
      <c r="M4026" s="31" t="n">
        <f aca="false">WEEKDAY(B4026,2)</f>
        <v>2</v>
      </c>
      <c r="N4026" s="31" t="str">
        <f aca="false">IF(G4026&lt;=INDEX(Assumptions!$B$15:$B$18,MATCH(E4026,Assumptions!$A$15:$A$18,0)),"Yes","No")</f>
        <v>Yes</v>
      </c>
      <c r="O4026" s="31" t="str">
        <f aca="false">IF(H4026="","Open",IF(H4026&lt;=INDEX(Assumptions!$C$15:$C$18,MATCH(E4026,Assumptions!$A$15:$A$18,0)),"Yes","No"))</f>
        <v>Yes</v>
      </c>
    </row>
    <row r="4027" customFormat="false" ht="15" hidden="false" customHeight="false" outlineLevel="0" collapsed="false">
      <c r="A4027" s="31" t="s">
        <v>4177</v>
      </c>
      <c r="B4027" s="44" t="n">
        <v>46259</v>
      </c>
      <c r="C4027" s="31" t="s">
        <v>60</v>
      </c>
      <c r="D4027" s="31" t="s">
        <v>68</v>
      </c>
      <c r="E4027" s="31" t="s">
        <v>50</v>
      </c>
      <c r="F4027" s="31" t="s">
        <v>124</v>
      </c>
      <c r="G4027" s="31" t="n">
        <v>2</v>
      </c>
      <c r="H4027" s="41" t="n">
        <v>1.3</v>
      </c>
      <c r="I4027" s="31" t="s">
        <v>149</v>
      </c>
      <c r="J4027" s="31" t="n">
        <v>5</v>
      </c>
      <c r="K4027" s="31" t="s">
        <v>150</v>
      </c>
      <c r="L4027" s="45" t="n">
        <f aca="false">DATE(YEAR(B4027),MONTH(B4027),1)</f>
        <v>46235</v>
      </c>
      <c r="M4027" s="31" t="n">
        <f aca="false">WEEKDAY(B4027,2)</f>
        <v>2</v>
      </c>
      <c r="N4027" s="31" t="str">
        <f aca="false">IF(G4027&lt;=INDEX(Assumptions!$B$15:$B$18,MATCH(E4027,Assumptions!$A$15:$A$18,0)),"Yes","No")</f>
        <v>Yes</v>
      </c>
      <c r="O4027" s="31" t="str">
        <f aca="false">IF(H4027="","Open",IF(H4027&lt;=INDEX(Assumptions!$C$15:$C$18,MATCH(E4027,Assumptions!$A$15:$A$18,0)),"Yes","No"))</f>
        <v>Yes</v>
      </c>
    </row>
    <row r="4028" customFormat="false" ht="15" hidden="false" customHeight="false" outlineLevel="0" collapsed="false">
      <c r="A4028" s="31" t="s">
        <v>4178</v>
      </c>
      <c r="B4028" s="44" t="n">
        <v>46259</v>
      </c>
      <c r="C4028" s="31" t="s">
        <v>57</v>
      </c>
      <c r="D4028" s="31" t="s">
        <v>66</v>
      </c>
      <c r="E4028" s="31" t="s">
        <v>51</v>
      </c>
      <c r="F4028" s="31" t="s">
        <v>133</v>
      </c>
      <c r="G4028" s="31" t="n">
        <v>3</v>
      </c>
      <c r="H4028" s="41" t="n">
        <v>0.8</v>
      </c>
      <c r="I4028" s="31" t="s">
        <v>149</v>
      </c>
      <c r="J4028" s="31" t="n">
        <v>4</v>
      </c>
      <c r="K4028" s="31" t="s">
        <v>150</v>
      </c>
      <c r="L4028" s="45" t="n">
        <f aca="false">DATE(YEAR(B4028),MONTH(B4028),1)</f>
        <v>46235</v>
      </c>
      <c r="M4028" s="31" t="n">
        <f aca="false">WEEKDAY(B4028,2)</f>
        <v>2</v>
      </c>
      <c r="N4028" s="31" t="str">
        <f aca="false">IF(G4028&lt;=INDEX(Assumptions!$B$15:$B$18,MATCH(E4028,Assumptions!$A$15:$A$18,0)),"Yes","No")</f>
        <v>Yes</v>
      </c>
      <c r="O4028" s="31" t="str">
        <f aca="false">IF(H4028="","Open",IF(H4028&lt;=INDEX(Assumptions!$C$15:$C$18,MATCH(E4028,Assumptions!$A$15:$A$18,0)),"Yes","No"))</f>
        <v>Yes</v>
      </c>
    </row>
    <row r="4029" customFormat="false" ht="15" hidden="false" customHeight="false" outlineLevel="0" collapsed="false">
      <c r="A4029" s="31" t="s">
        <v>4179</v>
      </c>
      <c r="B4029" s="44" t="n">
        <v>46259</v>
      </c>
      <c r="C4029" s="31" t="s">
        <v>58</v>
      </c>
      <c r="D4029" s="31" t="s">
        <v>67</v>
      </c>
      <c r="E4029" s="31" t="s">
        <v>51</v>
      </c>
      <c r="F4029" s="31" t="s">
        <v>137</v>
      </c>
      <c r="G4029" s="31" t="n">
        <v>21</v>
      </c>
      <c r="H4029" s="41" t="n">
        <v>32.1</v>
      </c>
      <c r="I4029" s="31" t="s">
        <v>149</v>
      </c>
      <c r="J4029" s="31"/>
      <c r="K4029" s="31" t="s">
        <v>150</v>
      </c>
      <c r="L4029" s="45" t="n">
        <f aca="false">DATE(YEAR(B4029),MONTH(B4029),1)</f>
        <v>46235</v>
      </c>
      <c r="M4029" s="31" t="n">
        <f aca="false">WEEKDAY(B4029,2)</f>
        <v>2</v>
      </c>
      <c r="N4029" s="31" t="str">
        <f aca="false">IF(G4029&lt;=INDEX(Assumptions!$B$15:$B$18,MATCH(E4029,Assumptions!$A$15:$A$18,0)),"Yes","No")</f>
        <v>Yes</v>
      </c>
      <c r="O4029" s="31" t="str">
        <f aca="false">IF(H4029="","Open",IF(H4029&lt;=INDEX(Assumptions!$C$15:$C$18,MATCH(E4029,Assumptions!$A$15:$A$18,0)),"Yes","No"))</f>
        <v>No</v>
      </c>
    </row>
    <row r="4030" customFormat="false" ht="15" hidden="false" customHeight="false" outlineLevel="0" collapsed="false">
      <c r="A4030" s="31" t="s">
        <v>4180</v>
      </c>
      <c r="B4030" s="44" t="n">
        <v>46259</v>
      </c>
      <c r="C4030" s="31" t="s">
        <v>60</v>
      </c>
      <c r="D4030" s="31" t="s">
        <v>67</v>
      </c>
      <c r="E4030" s="31" t="s">
        <v>51</v>
      </c>
      <c r="F4030" s="31" t="s">
        <v>123</v>
      </c>
      <c r="G4030" s="31" t="n">
        <v>4</v>
      </c>
      <c r="H4030" s="41" t="n">
        <v>22.7</v>
      </c>
      <c r="I4030" s="31" t="s">
        <v>149</v>
      </c>
      <c r="J4030" s="31" t="n">
        <v>3</v>
      </c>
      <c r="K4030" s="31" t="s">
        <v>150</v>
      </c>
      <c r="L4030" s="45" t="n">
        <f aca="false">DATE(YEAR(B4030),MONTH(B4030),1)</f>
        <v>46235</v>
      </c>
      <c r="M4030" s="31" t="n">
        <f aca="false">WEEKDAY(B4030,2)</f>
        <v>2</v>
      </c>
      <c r="N4030" s="31" t="str">
        <f aca="false">IF(G4030&lt;=INDEX(Assumptions!$B$15:$B$18,MATCH(E4030,Assumptions!$A$15:$A$18,0)),"Yes","No")</f>
        <v>Yes</v>
      </c>
      <c r="O4030" s="31" t="str">
        <f aca="false">IF(H4030="","Open",IF(H4030&lt;=INDEX(Assumptions!$C$15:$C$18,MATCH(E4030,Assumptions!$A$15:$A$18,0)),"Yes","No"))</f>
        <v>Yes</v>
      </c>
    </row>
    <row r="4031" customFormat="false" ht="15" hidden="false" customHeight="false" outlineLevel="0" collapsed="false">
      <c r="A4031" s="31" t="s">
        <v>4181</v>
      </c>
      <c r="B4031" s="44" t="n">
        <v>46259</v>
      </c>
      <c r="C4031" s="31" t="s">
        <v>59</v>
      </c>
      <c r="D4031" s="31" t="s">
        <v>66</v>
      </c>
      <c r="E4031" s="31" t="s">
        <v>52</v>
      </c>
      <c r="F4031" s="31" t="s">
        <v>134</v>
      </c>
      <c r="G4031" s="31" t="n">
        <v>223</v>
      </c>
      <c r="H4031" s="41" t="n">
        <v>3</v>
      </c>
      <c r="I4031" s="31" t="s">
        <v>149</v>
      </c>
      <c r="J4031" s="31"/>
      <c r="K4031" s="31" t="s">
        <v>150</v>
      </c>
      <c r="L4031" s="45" t="n">
        <f aca="false">DATE(YEAR(B4031),MONTH(B4031),1)</f>
        <v>46235</v>
      </c>
      <c r="M4031" s="31" t="n">
        <f aca="false">WEEKDAY(B4031,2)</f>
        <v>2</v>
      </c>
      <c r="N4031" s="31" t="str">
        <f aca="false">IF(G4031&lt;=INDEX(Assumptions!$B$15:$B$18,MATCH(E4031,Assumptions!$A$15:$A$18,0)),"Yes","No")</f>
        <v>Yes</v>
      </c>
      <c r="O4031" s="31" t="str">
        <f aca="false">IF(H4031="","Open",IF(H4031&lt;=INDEX(Assumptions!$C$15:$C$18,MATCH(E4031,Assumptions!$A$15:$A$18,0)),"Yes","No"))</f>
        <v>Yes</v>
      </c>
    </row>
    <row r="4032" customFormat="false" ht="15" hidden="false" customHeight="false" outlineLevel="0" collapsed="false">
      <c r="A4032" s="31" t="s">
        <v>4182</v>
      </c>
      <c r="B4032" s="44" t="n">
        <v>46259</v>
      </c>
      <c r="C4032" s="31" t="s">
        <v>57</v>
      </c>
      <c r="D4032" s="31" t="s">
        <v>66</v>
      </c>
      <c r="E4032" s="31" t="s">
        <v>50</v>
      </c>
      <c r="F4032" s="31" t="s">
        <v>134</v>
      </c>
      <c r="G4032" s="31" t="n">
        <v>9</v>
      </c>
      <c r="H4032" s="41" t="n">
        <v>5.8</v>
      </c>
      <c r="I4032" s="31" t="s">
        <v>149</v>
      </c>
      <c r="J4032" s="31"/>
      <c r="K4032" s="31" t="s">
        <v>153</v>
      </c>
      <c r="L4032" s="45" t="n">
        <f aca="false">DATE(YEAR(B4032),MONTH(B4032),1)</f>
        <v>46235</v>
      </c>
      <c r="M4032" s="31" t="n">
        <f aca="false">WEEKDAY(B4032,2)</f>
        <v>2</v>
      </c>
      <c r="N4032" s="31" t="str">
        <f aca="false">IF(G4032&lt;=INDEX(Assumptions!$B$15:$B$18,MATCH(E4032,Assumptions!$A$15:$A$18,0)),"Yes","No")</f>
        <v>Yes</v>
      </c>
      <c r="O4032" s="31" t="str">
        <f aca="false">IF(H4032="","Open",IF(H4032&lt;=INDEX(Assumptions!$C$15:$C$18,MATCH(E4032,Assumptions!$A$15:$A$18,0)),"Yes","No"))</f>
        <v>Yes</v>
      </c>
    </row>
    <row r="4033" customFormat="false" ht="15" hidden="false" customHeight="false" outlineLevel="0" collapsed="false">
      <c r="A4033" s="31" t="s">
        <v>4183</v>
      </c>
      <c r="B4033" s="44" t="n">
        <v>46259</v>
      </c>
      <c r="C4033" s="31" t="s">
        <v>59</v>
      </c>
      <c r="D4033" s="31" t="s">
        <v>67</v>
      </c>
      <c r="E4033" s="31" t="s">
        <v>52</v>
      </c>
      <c r="F4033" s="31" t="s">
        <v>126</v>
      </c>
      <c r="G4033" s="31" t="n">
        <v>59</v>
      </c>
      <c r="H4033" s="41" t="n">
        <v>16.2</v>
      </c>
      <c r="I4033" s="31" t="s">
        <v>149</v>
      </c>
      <c r="J4033" s="31" t="n">
        <v>4</v>
      </c>
      <c r="K4033" s="31" t="s">
        <v>150</v>
      </c>
      <c r="L4033" s="45" t="n">
        <f aca="false">DATE(YEAR(B4033),MONTH(B4033),1)</f>
        <v>46235</v>
      </c>
      <c r="M4033" s="31" t="n">
        <f aca="false">WEEKDAY(B4033,2)</f>
        <v>2</v>
      </c>
      <c r="N4033" s="31" t="str">
        <f aca="false">IF(G4033&lt;=INDEX(Assumptions!$B$15:$B$18,MATCH(E4033,Assumptions!$A$15:$A$18,0)),"Yes","No")</f>
        <v>Yes</v>
      </c>
      <c r="O4033" s="31" t="str">
        <f aca="false">IF(H4033="","Open",IF(H4033&lt;=INDEX(Assumptions!$C$15:$C$18,MATCH(E4033,Assumptions!$A$15:$A$18,0)),"Yes","No"))</f>
        <v>Yes</v>
      </c>
    </row>
    <row r="4034" customFormat="false" ht="15" hidden="false" customHeight="false" outlineLevel="0" collapsed="false">
      <c r="A4034" s="31" t="s">
        <v>4184</v>
      </c>
      <c r="B4034" s="44" t="n">
        <v>46259</v>
      </c>
      <c r="C4034" s="31" t="s">
        <v>59</v>
      </c>
      <c r="D4034" s="31" t="s">
        <v>65</v>
      </c>
      <c r="E4034" s="31" t="s">
        <v>51</v>
      </c>
      <c r="F4034" s="31" t="s">
        <v>122</v>
      </c>
      <c r="G4034" s="31" t="n">
        <v>89</v>
      </c>
      <c r="H4034" s="41" t="n">
        <v>11.5</v>
      </c>
      <c r="I4034" s="31" t="s">
        <v>149</v>
      </c>
      <c r="J4034" s="31" t="n">
        <v>5</v>
      </c>
      <c r="K4034" s="31" t="s">
        <v>150</v>
      </c>
      <c r="L4034" s="45" t="n">
        <f aca="false">DATE(YEAR(B4034),MONTH(B4034),1)</f>
        <v>46235</v>
      </c>
      <c r="M4034" s="31" t="n">
        <f aca="false">WEEKDAY(B4034,2)</f>
        <v>2</v>
      </c>
      <c r="N4034" s="31" t="str">
        <f aca="false">IF(G4034&lt;=INDEX(Assumptions!$B$15:$B$18,MATCH(E4034,Assumptions!$A$15:$A$18,0)),"Yes","No")</f>
        <v>No</v>
      </c>
      <c r="O4034" s="31" t="str">
        <f aca="false">IF(H4034="","Open",IF(H4034&lt;=INDEX(Assumptions!$C$15:$C$18,MATCH(E4034,Assumptions!$A$15:$A$18,0)),"Yes","No"))</f>
        <v>Yes</v>
      </c>
    </row>
    <row r="4035" customFormat="false" ht="15" hidden="false" customHeight="false" outlineLevel="0" collapsed="false">
      <c r="A4035" s="31" t="s">
        <v>4185</v>
      </c>
      <c r="B4035" s="44" t="n">
        <v>46259</v>
      </c>
      <c r="C4035" s="31" t="s">
        <v>57</v>
      </c>
      <c r="D4035" s="31" t="s">
        <v>65</v>
      </c>
      <c r="E4035" s="31" t="s">
        <v>51</v>
      </c>
      <c r="F4035" s="31" t="s">
        <v>119</v>
      </c>
      <c r="G4035" s="31" t="n">
        <v>12</v>
      </c>
      <c r="H4035" s="41" t="n">
        <v>2.7</v>
      </c>
      <c r="I4035" s="31" t="s">
        <v>149</v>
      </c>
      <c r="J4035" s="31" t="n">
        <v>5</v>
      </c>
      <c r="K4035" s="31" t="s">
        <v>150</v>
      </c>
      <c r="L4035" s="45" t="n">
        <f aca="false">DATE(YEAR(B4035),MONTH(B4035),1)</f>
        <v>46235</v>
      </c>
      <c r="M4035" s="31" t="n">
        <f aca="false">WEEKDAY(B4035,2)</f>
        <v>2</v>
      </c>
      <c r="N4035" s="31" t="str">
        <f aca="false">IF(G4035&lt;=INDEX(Assumptions!$B$15:$B$18,MATCH(E4035,Assumptions!$A$15:$A$18,0)),"Yes","No")</f>
        <v>Yes</v>
      </c>
      <c r="O4035" s="31" t="str">
        <f aca="false">IF(H4035="","Open",IF(H4035&lt;=INDEX(Assumptions!$C$15:$C$18,MATCH(E4035,Assumptions!$A$15:$A$18,0)),"Yes","No"))</f>
        <v>Yes</v>
      </c>
    </row>
    <row r="4036" customFormat="false" ht="15" hidden="false" customHeight="false" outlineLevel="0" collapsed="false">
      <c r="A4036" s="31" t="s">
        <v>4186</v>
      </c>
      <c r="B4036" s="44" t="n">
        <v>46259</v>
      </c>
      <c r="C4036" s="31" t="s">
        <v>58</v>
      </c>
      <c r="D4036" s="31" t="s">
        <v>67</v>
      </c>
      <c r="E4036" s="31" t="s">
        <v>51</v>
      </c>
      <c r="F4036" s="31" t="s">
        <v>127</v>
      </c>
      <c r="G4036" s="31" t="n">
        <v>4</v>
      </c>
      <c r="H4036" s="41" t="n">
        <v>2.9</v>
      </c>
      <c r="I4036" s="31" t="s">
        <v>149</v>
      </c>
      <c r="J4036" s="31" t="n">
        <v>5</v>
      </c>
      <c r="K4036" s="31" t="s">
        <v>150</v>
      </c>
      <c r="L4036" s="45" t="n">
        <f aca="false">DATE(YEAR(B4036),MONTH(B4036),1)</f>
        <v>46235</v>
      </c>
      <c r="M4036" s="31" t="n">
        <f aca="false">WEEKDAY(B4036,2)</f>
        <v>2</v>
      </c>
      <c r="N4036" s="31" t="str">
        <f aca="false">IF(G4036&lt;=INDEX(Assumptions!$B$15:$B$18,MATCH(E4036,Assumptions!$A$15:$A$18,0)),"Yes","No")</f>
        <v>Yes</v>
      </c>
      <c r="O4036" s="31" t="str">
        <f aca="false">IF(H4036="","Open",IF(H4036&lt;=INDEX(Assumptions!$C$15:$C$18,MATCH(E4036,Assumptions!$A$15:$A$18,0)),"Yes","No"))</f>
        <v>Yes</v>
      </c>
    </row>
    <row r="4037" customFormat="false" ht="15" hidden="false" customHeight="false" outlineLevel="0" collapsed="false">
      <c r="A4037" s="31" t="s">
        <v>4187</v>
      </c>
      <c r="B4037" s="44" t="n">
        <v>46259</v>
      </c>
      <c r="C4037" s="31" t="s">
        <v>58</v>
      </c>
      <c r="D4037" s="31" t="s">
        <v>65</v>
      </c>
      <c r="E4037" s="31" t="s">
        <v>51</v>
      </c>
      <c r="F4037" s="31" t="s">
        <v>119</v>
      </c>
      <c r="G4037" s="31" t="n">
        <v>9</v>
      </c>
      <c r="H4037" s="41" t="n">
        <v>9.1</v>
      </c>
      <c r="I4037" s="31" t="s">
        <v>149</v>
      </c>
      <c r="J4037" s="31" t="n">
        <v>5</v>
      </c>
      <c r="K4037" s="31" t="s">
        <v>150</v>
      </c>
      <c r="L4037" s="45" t="n">
        <f aca="false">DATE(YEAR(B4037),MONTH(B4037),1)</f>
        <v>46235</v>
      </c>
      <c r="M4037" s="31" t="n">
        <f aca="false">WEEKDAY(B4037,2)</f>
        <v>2</v>
      </c>
      <c r="N4037" s="31" t="str">
        <f aca="false">IF(G4037&lt;=INDEX(Assumptions!$B$15:$B$18,MATCH(E4037,Assumptions!$A$15:$A$18,0)),"Yes","No")</f>
        <v>Yes</v>
      </c>
      <c r="O4037" s="31" t="str">
        <f aca="false">IF(H4037="","Open",IF(H4037&lt;=INDEX(Assumptions!$C$15:$C$18,MATCH(E4037,Assumptions!$A$15:$A$18,0)),"Yes","No"))</f>
        <v>Yes</v>
      </c>
    </row>
    <row r="4038" customFormat="false" ht="15" hidden="false" customHeight="false" outlineLevel="0" collapsed="false">
      <c r="A4038" s="31" t="s">
        <v>4188</v>
      </c>
      <c r="B4038" s="44" t="n">
        <v>46259</v>
      </c>
      <c r="C4038" s="31" t="s">
        <v>59</v>
      </c>
      <c r="D4038" s="31" t="s">
        <v>68</v>
      </c>
      <c r="E4038" s="31" t="s">
        <v>52</v>
      </c>
      <c r="F4038" s="31" t="s">
        <v>136</v>
      </c>
      <c r="G4038" s="31" t="n">
        <v>54</v>
      </c>
      <c r="H4038" s="41" t="n">
        <v>12.5</v>
      </c>
      <c r="I4038" s="31" t="s">
        <v>149</v>
      </c>
      <c r="J4038" s="31" t="n">
        <v>4</v>
      </c>
      <c r="K4038" s="31" t="s">
        <v>150</v>
      </c>
      <c r="L4038" s="45" t="n">
        <f aca="false">DATE(YEAR(B4038),MONTH(B4038),1)</f>
        <v>46235</v>
      </c>
      <c r="M4038" s="31" t="n">
        <f aca="false">WEEKDAY(B4038,2)</f>
        <v>2</v>
      </c>
      <c r="N4038" s="31" t="str">
        <f aca="false">IF(G4038&lt;=INDEX(Assumptions!$B$15:$B$18,MATCH(E4038,Assumptions!$A$15:$A$18,0)),"Yes","No")</f>
        <v>Yes</v>
      </c>
      <c r="O4038" s="31" t="str">
        <f aca="false">IF(H4038="","Open",IF(H4038&lt;=INDEX(Assumptions!$C$15:$C$18,MATCH(E4038,Assumptions!$A$15:$A$18,0)),"Yes","No"))</f>
        <v>Yes</v>
      </c>
    </row>
    <row r="4039" customFormat="false" ht="15" hidden="false" customHeight="false" outlineLevel="0" collapsed="false">
      <c r="A4039" s="31" t="s">
        <v>4189</v>
      </c>
      <c r="B4039" s="44" t="n">
        <v>46259</v>
      </c>
      <c r="C4039" s="31" t="s">
        <v>57</v>
      </c>
      <c r="D4039" s="31" t="s">
        <v>66</v>
      </c>
      <c r="E4039" s="31" t="s">
        <v>51</v>
      </c>
      <c r="F4039" s="31" t="s">
        <v>119</v>
      </c>
      <c r="G4039" s="31" t="n">
        <v>1</v>
      </c>
      <c r="H4039" s="41" t="n">
        <v>6.6</v>
      </c>
      <c r="I4039" s="31" t="s">
        <v>149</v>
      </c>
      <c r="J4039" s="31"/>
      <c r="K4039" s="31" t="s">
        <v>150</v>
      </c>
      <c r="L4039" s="45" t="n">
        <f aca="false">DATE(YEAR(B4039),MONTH(B4039),1)</f>
        <v>46235</v>
      </c>
      <c r="M4039" s="31" t="n">
        <f aca="false">WEEKDAY(B4039,2)</f>
        <v>2</v>
      </c>
      <c r="N4039" s="31" t="str">
        <f aca="false">IF(G4039&lt;=INDEX(Assumptions!$B$15:$B$18,MATCH(E4039,Assumptions!$A$15:$A$18,0)),"Yes","No")</f>
        <v>Yes</v>
      </c>
      <c r="O4039" s="31" t="str">
        <f aca="false">IF(H4039="","Open",IF(H4039&lt;=INDEX(Assumptions!$C$15:$C$18,MATCH(E4039,Assumptions!$A$15:$A$18,0)),"Yes","No"))</f>
        <v>Yes</v>
      </c>
    </row>
    <row r="4040" customFormat="false" ht="15" hidden="false" customHeight="false" outlineLevel="0" collapsed="false">
      <c r="A4040" s="31" t="s">
        <v>4190</v>
      </c>
      <c r="B4040" s="44" t="n">
        <v>46259</v>
      </c>
      <c r="C4040" s="31" t="s">
        <v>58</v>
      </c>
      <c r="D4040" s="31" t="s">
        <v>69</v>
      </c>
      <c r="E4040" s="31" t="s">
        <v>52</v>
      </c>
      <c r="F4040" s="31" t="s">
        <v>127</v>
      </c>
      <c r="G4040" s="31" t="n">
        <v>9</v>
      </c>
      <c r="H4040" s="41" t="n">
        <v>12</v>
      </c>
      <c r="I4040" s="31" t="s">
        <v>149</v>
      </c>
      <c r="J4040" s="31" t="n">
        <v>5</v>
      </c>
      <c r="K4040" s="31" t="s">
        <v>150</v>
      </c>
      <c r="L4040" s="45" t="n">
        <f aca="false">DATE(YEAR(B4040),MONTH(B4040),1)</f>
        <v>46235</v>
      </c>
      <c r="M4040" s="31" t="n">
        <f aca="false">WEEKDAY(B4040,2)</f>
        <v>2</v>
      </c>
      <c r="N4040" s="31" t="str">
        <f aca="false">IF(G4040&lt;=INDEX(Assumptions!$B$15:$B$18,MATCH(E4040,Assumptions!$A$15:$A$18,0)),"Yes","No")</f>
        <v>Yes</v>
      </c>
      <c r="O4040" s="31" t="str">
        <f aca="false">IF(H4040="","Open",IF(H4040&lt;=INDEX(Assumptions!$C$15:$C$18,MATCH(E4040,Assumptions!$A$15:$A$18,0)),"Yes","No"))</f>
        <v>Yes</v>
      </c>
    </row>
    <row r="4041" customFormat="false" ht="15" hidden="false" customHeight="false" outlineLevel="0" collapsed="false">
      <c r="A4041" s="31" t="s">
        <v>4191</v>
      </c>
      <c r="B4041" s="44" t="n">
        <v>46259</v>
      </c>
      <c r="C4041" s="31" t="s">
        <v>59</v>
      </c>
      <c r="D4041" s="31" t="s">
        <v>69</v>
      </c>
      <c r="E4041" s="31" t="s">
        <v>49</v>
      </c>
      <c r="F4041" s="31" t="s">
        <v>134</v>
      </c>
      <c r="G4041" s="31" t="n">
        <v>131</v>
      </c>
      <c r="H4041" s="41" t="n">
        <v>7.4</v>
      </c>
      <c r="I4041" s="31" t="s">
        <v>149</v>
      </c>
      <c r="J4041" s="31" t="n">
        <v>1</v>
      </c>
      <c r="K4041" s="31" t="s">
        <v>150</v>
      </c>
      <c r="L4041" s="45" t="n">
        <f aca="false">DATE(YEAR(B4041),MONTH(B4041),1)</f>
        <v>46235</v>
      </c>
      <c r="M4041" s="31" t="n">
        <f aca="false">WEEKDAY(B4041,2)</f>
        <v>2</v>
      </c>
      <c r="N4041" s="31" t="str">
        <f aca="false">IF(G4041&lt;=INDEX(Assumptions!$B$15:$B$18,MATCH(E4041,Assumptions!$A$15:$A$18,0)),"Yes","No")</f>
        <v>No</v>
      </c>
      <c r="O4041" s="31" t="str">
        <f aca="false">IF(H4041="","Open",IF(H4041&lt;=INDEX(Assumptions!$C$15:$C$18,MATCH(E4041,Assumptions!$A$15:$A$18,0)),"Yes","No"))</f>
        <v>No</v>
      </c>
    </row>
    <row r="4042" customFormat="false" ht="15" hidden="false" customHeight="false" outlineLevel="0" collapsed="false">
      <c r="A4042" s="31" t="s">
        <v>4192</v>
      </c>
      <c r="B4042" s="44" t="n">
        <v>46259</v>
      </c>
      <c r="C4042" s="31" t="s">
        <v>60</v>
      </c>
      <c r="D4042" s="31" t="s">
        <v>65</v>
      </c>
      <c r="E4042" s="31" t="s">
        <v>51</v>
      </c>
      <c r="F4042" s="31" t="s">
        <v>128</v>
      </c>
      <c r="G4042" s="31" t="n">
        <v>3</v>
      </c>
      <c r="H4042" s="41" t="n">
        <v>15.6</v>
      </c>
      <c r="I4042" s="31" t="s">
        <v>149</v>
      </c>
      <c r="J4042" s="31"/>
      <c r="K4042" s="31" t="s">
        <v>150</v>
      </c>
      <c r="L4042" s="45" t="n">
        <f aca="false">DATE(YEAR(B4042),MONTH(B4042),1)</f>
        <v>46235</v>
      </c>
      <c r="M4042" s="31" t="n">
        <f aca="false">WEEKDAY(B4042,2)</f>
        <v>2</v>
      </c>
      <c r="N4042" s="31" t="str">
        <f aca="false">IF(G4042&lt;=INDEX(Assumptions!$B$15:$B$18,MATCH(E4042,Assumptions!$A$15:$A$18,0)),"Yes","No")</f>
        <v>Yes</v>
      </c>
      <c r="O4042" s="31" t="str">
        <f aca="false">IF(H4042="","Open",IF(H4042&lt;=INDEX(Assumptions!$C$15:$C$18,MATCH(E4042,Assumptions!$A$15:$A$18,0)),"Yes","No"))</f>
        <v>Yes</v>
      </c>
    </row>
    <row r="4043" customFormat="false" ht="15" hidden="false" customHeight="false" outlineLevel="0" collapsed="false">
      <c r="A4043" s="31" t="s">
        <v>4193</v>
      </c>
      <c r="B4043" s="44" t="n">
        <v>46259</v>
      </c>
      <c r="C4043" s="31" t="s">
        <v>57</v>
      </c>
      <c r="D4043" s="31" t="s">
        <v>67</v>
      </c>
      <c r="E4043" s="31" t="s">
        <v>51</v>
      </c>
      <c r="F4043" s="31" t="s">
        <v>133</v>
      </c>
      <c r="G4043" s="31" t="n">
        <v>4</v>
      </c>
      <c r="H4043" s="41" t="n">
        <v>1.8</v>
      </c>
      <c r="I4043" s="31" t="s">
        <v>149</v>
      </c>
      <c r="J4043" s="31"/>
      <c r="K4043" s="31" t="s">
        <v>150</v>
      </c>
      <c r="L4043" s="45" t="n">
        <f aca="false">DATE(YEAR(B4043),MONTH(B4043),1)</f>
        <v>46235</v>
      </c>
      <c r="M4043" s="31" t="n">
        <f aca="false">WEEKDAY(B4043,2)</f>
        <v>2</v>
      </c>
      <c r="N4043" s="31" t="str">
        <f aca="false">IF(G4043&lt;=INDEX(Assumptions!$B$15:$B$18,MATCH(E4043,Assumptions!$A$15:$A$18,0)),"Yes","No")</f>
        <v>Yes</v>
      </c>
      <c r="O4043" s="31" t="str">
        <f aca="false">IF(H4043="","Open",IF(H4043&lt;=INDEX(Assumptions!$C$15:$C$18,MATCH(E4043,Assumptions!$A$15:$A$18,0)),"Yes","No"))</f>
        <v>Yes</v>
      </c>
    </row>
    <row r="4044" customFormat="false" ht="15" hidden="false" customHeight="false" outlineLevel="0" collapsed="false">
      <c r="A4044" s="31" t="s">
        <v>4194</v>
      </c>
      <c r="B4044" s="44" t="n">
        <v>46259</v>
      </c>
      <c r="C4044" s="31" t="s">
        <v>57</v>
      </c>
      <c r="D4044" s="31" t="s">
        <v>67</v>
      </c>
      <c r="E4044" s="31" t="s">
        <v>50</v>
      </c>
      <c r="F4044" s="31" t="s">
        <v>119</v>
      </c>
      <c r="G4044" s="31" t="n">
        <v>5</v>
      </c>
      <c r="H4044" s="41" t="n">
        <v>23.5</v>
      </c>
      <c r="I4044" s="31" t="s">
        <v>149</v>
      </c>
      <c r="J4044" s="31" t="n">
        <v>4</v>
      </c>
      <c r="K4044" s="31" t="s">
        <v>153</v>
      </c>
      <c r="L4044" s="45" t="n">
        <f aca="false">DATE(YEAR(B4044),MONTH(B4044),1)</f>
        <v>46235</v>
      </c>
      <c r="M4044" s="31" t="n">
        <f aca="false">WEEKDAY(B4044,2)</f>
        <v>2</v>
      </c>
      <c r="N4044" s="31" t="str">
        <f aca="false">IF(G4044&lt;=INDEX(Assumptions!$B$15:$B$18,MATCH(E4044,Assumptions!$A$15:$A$18,0)),"Yes","No")</f>
        <v>Yes</v>
      </c>
      <c r="O4044" s="31" t="str">
        <f aca="false">IF(H4044="","Open",IF(H4044&lt;=INDEX(Assumptions!$C$15:$C$18,MATCH(E4044,Assumptions!$A$15:$A$18,0)),"Yes","No"))</f>
        <v>No</v>
      </c>
    </row>
    <row r="4045" customFormat="false" ht="15" hidden="false" customHeight="false" outlineLevel="0" collapsed="false">
      <c r="A4045" s="31" t="s">
        <v>4195</v>
      </c>
      <c r="B4045" s="44" t="n">
        <v>46259</v>
      </c>
      <c r="C4045" s="31" t="s">
        <v>60</v>
      </c>
      <c r="D4045" s="31" t="s">
        <v>67</v>
      </c>
      <c r="E4045" s="31" t="s">
        <v>51</v>
      </c>
      <c r="F4045" s="31" t="s">
        <v>117</v>
      </c>
      <c r="G4045" s="31" t="n">
        <v>4</v>
      </c>
      <c r="H4045" s="41" t="n">
        <v>5.7</v>
      </c>
      <c r="I4045" s="31" t="s">
        <v>149</v>
      </c>
      <c r="J4045" s="31"/>
      <c r="K4045" s="31" t="s">
        <v>150</v>
      </c>
      <c r="L4045" s="45" t="n">
        <f aca="false">DATE(YEAR(B4045),MONTH(B4045),1)</f>
        <v>46235</v>
      </c>
      <c r="M4045" s="31" t="n">
        <f aca="false">WEEKDAY(B4045,2)</f>
        <v>2</v>
      </c>
      <c r="N4045" s="31" t="str">
        <f aca="false">IF(G4045&lt;=INDEX(Assumptions!$B$15:$B$18,MATCH(E4045,Assumptions!$A$15:$A$18,0)),"Yes","No")</f>
        <v>Yes</v>
      </c>
      <c r="O4045" s="31" t="str">
        <f aca="false">IF(H4045="","Open",IF(H4045&lt;=INDEX(Assumptions!$C$15:$C$18,MATCH(E4045,Assumptions!$A$15:$A$18,0)),"Yes","No"))</f>
        <v>Yes</v>
      </c>
    </row>
    <row r="4046" customFormat="false" ht="15" hidden="false" customHeight="false" outlineLevel="0" collapsed="false">
      <c r="A4046" s="31" t="s">
        <v>4196</v>
      </c>
      <c r="B4046" s="44" t="n">
        <v>46259</v>
      </c>
      <c r="C4046" s="31" t="s">
        <v>60</v>
      </c>
      <c r="D4046" s="31" t="s">
        <v>67</v>
      </c>
      <c r="E4046" s="31" t="s">
        <v>50</v>
      </c>
      <c r="F4046" s="31" t="s">
        <v>130</v>
      </c>
      <c r="G4046" s="31" t="n">
        <v>1</v>
      </c>
      <c r="H4046" s="41" t="n">
        <v>2.7</v>
      </c>
      <c r="I4046" s="31" t="s">
        <v>149</v>
      </c>
      <c r="J4046" s="31"/>
      <c r="K4046" s="31" t="s">
        <v>150</v>
      </c>
      <c r="L4046" s="45" t="n">
        <f aca="false">DATE(YEAR(B4046),MONTH(B4046),1)</f>
        <v>46235</v>
      </c>
      <c r="M4046" s="31" t="n">
        <f aca="false">WEEKDAY(B4046,2)</f>
        <v>2</v>
      </c>
      <c r="N4046" s="31" t="str">
        <f aca="false">IF(G4046&lt;=INDEX(Assumptions!$B$15:$B$18,MATCH(E4046,Assumptions!$A$15:$A$18,0)),"Yes","No")</f>
        <v>Yes</v>
      </c>
      <c r="O4046" s="31" t="str">
        <f aca="false">IF(H4046="","Open",IF(H4046&lt;=INDEX(Assumptions!$C$15:$C$18,MATCH(E4046,Assumptions!$A$15:$A$18,0)),"Yes","No"))</f>
        <v>Yes</v>
      </c>
    </row>
    <row r="4047" customFormat="false" ht="15" hidden="false" customHeight="false" outlineLevel="0" collapsed="false">
      <c r="A4047" s="31" t="s">
        <v>4197</v>
      </c>
      <c r="B4047" s="44" t="n">
        <v>46259</v>
      </c>
      <c r="C4047" s="31" t="s">
        <v>57</v>
      </c>
      <c r="D4047" s="31" t="s">
        <v>66</v>
      </c>
      <c r="E4047" s="31" t="s">
        <v>52</v>
      </c>
      <c r="F4047" s="31" t="s">
        <v>123</v>
      </c>
      <c r="G4047" s="31" t="n">
        <v>10</v>
      </c>
      <c r="H4047" s="41" t="n">
        <v>10.9</v>
      </c>
      <c r="I4047" s="31" t="s">
        <v>149</v>
      </c>
      <c r="J4047" s="31"/>
      <c r="K4047" s="31" t="s">
        <v>153</v>
      </c>
      <c r="L4047" s="45" t="n">
        <f aca="false">DATE(YEAR(B4047),MONTH(B4047),1)</f>
        <v>46235</v>
      </c>
      <c r="M4047" s="31" t="n">
        <f aca="false">WEEKDAY(B4047,2)</f>
        <v>2</v>
      </c>
      <c r="N4047" s="31" t="str">
        <f aca="false">IF(G4047&lt;=INDEX(Assumptions!$B$15:$B$18,MATCH(E4047,Assumptions!$A$15:$A$18,0)),"Yes","No")</f>
        <v>Yes</v>
      </c>
      <c r="O4047" s="31" t="str">
        <f aca="false">IF(H4047="","Open",IF(H4047&lt;=INDEX(Assumptions!$C$15:$C$18,MATCH(E4047,Assumptions!$A$15:$A$18,0)),"Yes","No"))</f>
        <v>Yes</v>
      </c>
    </row>
    <row r="4048" customFormat="false" ht="15" hidden="false" customHeight="false" outlineLevel="0" collapsed="false">
      <c r="A4048" s="31" t="s">
        <v>4198</v>
      </c>
      <c r="B4048" s="44" t="n">
        <v>46259</v>
      </c>
      <c r="C4048" s="31" t="s">
        <v>58</v>
      </c>
      <c r="D4048" s="31" t="s">
        <v>65</v>
      </c>
      <c r="E4048" s="31" t="s">
        <v>50</v>
      </c>
      <c r="F4048" s="31" t="s">
        <v>127</v>
      </c>
      <c r="G4048" s="31" t="n">
        <v>3</v>
      </c>
      <c r="H4048" s="41" t="n">
        <v>8</v>
      </c>
      <c r="I4048" s="31" t="s">
        <v>149</v>
      </c>
      <c r="J4048" s="31"/>
      <c r="K4048" s="31" t="s">
        <v>150</v>
      </c>
      <c r="L4048" s="45" t="n">
        <f aca="false">DATE(YEAR(B4048),MONTH(B4048),1)</f>
        <v>46235</v>
      </c>
      <c r="M4048" s="31" t="n">
        <f aca="false">WEEKDAY(B4048,2)</f>
        <v>2</v>
      </c>
      <c r="N4048" s="31" t="str">
        <f aca="false">IF(G4048&lt;=INDEX(Assumptions!$B$15:$B$18,MATCH(E4048,Assumptions!$A$15:$A$18,0)),"Yes","No")</f>
        <v>Yes</v>
      </c>
      <c r="O4048" s="31" t="str">
        <f aca="false">IF(H4048="","Open",IF(H4048&lt;=INDEX(Assumptions!$C$15:$C$18,MATCH(E4048,Assumptions!$A$15:$A$18,0)),"Yes","No"))</f>
        <v>Yes</v>
      </c>
    </row>
    <row r="4049" customFormat="false" ht="15" hidden="false" customHeight="false" outlineLevel="0" collapsed="false">
      <c r="A4049" s="31" t="s">
        <v>4199</v>
      </c>
      <c r="B4049" s="44" t="n">
        <v>46259</v>
      </c>
      <c r="C4049" s="31" t="s">
        <v>57</v>
      </c>
      <c r="D4049" s="31" t="s">
        <v>66</v>
      </c>
      <c r="E4049" s="31" t="s">
        <v>52</v>
      </c>
      <c r="F4049" s="31" t="s">
        <v>133</v>
      </c>
      <c r="G4049" s="31" t="n">
        <v>4</v>
      </c>
      <c r="H4049" s="41" t="n">
        <v>4</v>
      </c>
      <c r="I4049" s="31" t="s">
        <v>149</v>
      </c>
      <c r="J4049" s="31" t="n">
        <v>5</v>
      </c>
      <c r="K4049" s="31" t="s">
        <v>150</v>
      </c>
      <c r="L4049" s="45" t="n">
        <f aca="false">DATE(YEAR(B4049),MONTH(B4049),1)</f>
        <v>46235</v>
      </c>
      <c r="M4049" s="31" t="n">
        <f aca="false">WEEKDAY(B4049,2)</f>
        <v>2</v>
      </c>
      <c r="N4049" s="31" t="str">
        <f aca="false">IF(G4049&lt;=INDEX(Assumptions!$B$15:$B$18,MATCH(E4049,Assumptions!$A$15:$A$18,0)),"Yes","No")</f>
        <v>Yes</v>
      </c>
      <c r="O4049" s="31" t="str">
        <f aca="false">IF(H4049="","Open",IF(H4049&lt;=INDEX(Assumptions!$C$15:$C$18,MATCH(E4049,Assumptions!$A$15:$A$18,0)),"Yes","No"))</f>
        <v>Yes</v>
      </c>
    </row>
    <row r="4050" customFormat="false" ht="15" hidden="false" customHeight="false" outlineLevel="0" collapsed="false">
      <c r="A4050" s="31" t="s">
        <v>4200</v>
      </c>
      <c r="B4050" s="44" t="n">
        <v>46259</v>
      </c>
      <c r="C4050" s="31" t="s">
        <v>59</v>
      </c>
      <c r="D4050" s="31" t="s">
        <v>67</v>
      </c>
      <c r="E4050" s="31" t="s">
        <v>50</v>
      </c>
      <c r="F4050" s="31" t="s">
        <v>126</v>
      </c>
      <c r="G4050" s="31" t="n">
        <v>94</v>
      </c>
      <c r="H4050" s="41" t="n">
        <v>43</v>
      </c>
      <c r="I4050" s="31" t="s">
        <v>149</v>
      </c>
      <c r="J4050" s="31" t="n">
        <v>5</v>
      </c>
      <c r="K4050" s="31" t="s">
        <v>150</v>
      </c>
      <c r="L4050" s="45" t="n">
        <f aca="false">DATE(YEAR(B4050),MONTH(B4050),1)</f>
        <v>46235</v>
      </c>
      <c r="M4050" s="31" t="n">
        <f aca="false">WEEKDAY(B4050,2)</f>
        <v>2</v>
      </c>
      <c r="N4050" s="31" t="str">
        <f aca="false">IF(G4050&lt;=INDEX(Assumptions!$B$15:$B$18,MATCH(E4050,Assumptions!$A$15:$A$18,0)),"Yes","No")</f>
        <v>No</v>
      </c>
      <c r="O4050" s="31" t="str">
        <f aca="false">IF(H4050="","Open",IF(H4050&lt;=INDEX(Assumptions!$C$15:$C$18,MATCH(E4050,Assumptions!$A$15:$A$18,0)),"Yes","No"))</f>
        <v>No</v>
      </c>
    </row>
    <row r="4051" customFormat="false" ht="15" hidden="false" customHeight="false" outlineLevel="0" collapsed="false">
      <c r="A4051" s="31" t="s">
        <v>4201</v>
      </c>
      <c r="B4051" s="44" t="n">
        <v>46259</v>
      </c>
      <c r="C4051" s="31" t="s">
        <v>60</v>
      </c>
      <c r="D4051" s="31" t="s">
        <v>65</v>
      </c>
      <c r="E4051" s="31" t="s">
        <v>52</v>
      </c>
      <c r="F4051" s="31" t="s">
        <v>133</v>
      </c>
      <c r="G4051" s="31" t="n">
        <v>3</v>
      </c>
      <c r="H4051" s="41" t="n">
        <v>27.3</v>
      </c>
      <c r="I4051" s="31" t="s">
        <v>149</v>
      </c>
      <c r="J4051" s="31" t="n">
        <v>3</v>
      </c>
      <c r="K4051" s="31" t="s">
        <v>150</v>
      </c>
      <c r="L4051" s="45" t="n">
        <f aca="false">DATE(YEAR(B4051),MONTH(B4051),1)</f>
        <v>46235</v>
      </c>
      <c r="M4051" s="31" t="n">
        <f aca="false">WEEKDAY(B4051,2)</f>
        <v>2</v>
      </c>
      <c r="N4051" s="31" t="str">
        <f aca="false">IF(G4051&lt;=INDEX(Assumptions!$B$15:$B$18,MATCH(E4051,Assumptions!$A$15:$A$18,0)),"Yes","No")</f>
        <v>Yes</v>
      </c>
      <c r="O4051" s="31" t="str">
        <f aca="false">IF(H4051="","Open",IF(H4051&lt;=INDEX(Assumptions!$C$15:$C$18,MATCH(E4051,Assumptions!$A$15:$A$18,0)),"Yes","No"))</f>
        <v>Yes</v>
      </c>
    </row>
    <row r="4052" customFormat="false" ht="15" hidden="false" customHeight="false" outlineLevel="0" collapsed="false">
      <c r="A4052" s="31" t="s">
        <v>4202</v>
      </c>
      <c r="B4052" s="44" t="n">
        <v>46259</v>
      </c>
      <c r="C4052" s="31" t="s">
        <v>59</v>
      </c>
      <c r="D4052" s="31" t="s">
        <v>69</v>
      </c>
      <c r="E4052" s="31" t="s">
        <v>49</v>
      </c>
      <c r="F4052" s="31" t="s">
        <v>134</v>
      </c>
      <c r="G4052" s="31" t="n">
        <v>29</v>
      </c>
      <c r="H4052" s="41" t="n">
        <v>18.5</v>
      </c>
      <c r="I4052" s="31" t="s">
        <v>149</v>
      </c>
      <c r="J4052" s="31"/>
      <c r="K4052" s="31" t="s">
        <v>150</v>
      </c>
      <c r="L4052" s="45" t="n">
        <f aca="false">DATE(YEAR(B4052),MONTH(B4052),1)</f>
        <v>46235</v>
      </c>
      <c r="M4052" s="31" t="n">
        <f aca="false">WEEKDAY(B4052,2)</f>
        <v>2</v>
      </c>
      <c r="N4052" s="31" t="str">
        <f aca="false">IF(G4052&lt;=INDEX(Assumptions!$B$15:$B$18,MATCH(E4052,Assumptions!$A$15:$A$18,0)),"Yes","No")</f>
        <v>No</v>
      </c>
      <c r="O4052" s="31" t="str">
        <f aca="false">IF(H4052="","Open",IF(H4052&lt;=INDEX(Assumptions!$C$15:$C$18,MATCH(E4052,Assumptions!$A$15:$A$18,0)),"Yes","No"))</f>
        <v>No</v>
      </c>
    </row>
    <row r="4053" customFormat="false" ht="15" hidden="false" customHeight="false" outlineLevel="0" collapsed="false">
      <c r="A4053" s="31" t="s">
        <v>4203</v>
      </c>
      <c r="B4053" s="44" t="n">
        <v>46259</v>
      </c>
      <c r="C4053" s="31" t="s">
        <v>57</v>
      </c>
      <c r="D4053" s="31" t="s">
        <v>66</v>
      </c>
      <c r="E4053" s="31" t="s">
        <v>51</v>
      </c>
      <c r="F4053" s="31" t="s">
        <v>117</v>
      </c>
      <c r="G4053" s="31" t="n">
        <v>4</v>
      </c>
      <c r="H4053" s="41" t="n">
        <v>6</v>
      </c>
      <c r="I4053" s="31" t="s">
        <v>149</v>
      </c>
      <c r="J4053" s="31"/>
      <c r="K4053" s="31" t="s">
        <v>150</v>
      </c>
      <c r="L4053" s="45" t="n">
        <f aca="false">DATE(YEAR(B4053),MONTH(B4053),1)</f>
        <v>46235</v>
      </c>
      <c r="M4053" s="31" t="n">
        <f aca="false">WEEKDAY(B4053,2)</f>
        <v>2</v>
      </c>
      <c r="N4053" s="31" t="str">
        <f aca="false">IF(G4053&lt;=INDEX(Assumptions!$B$15:$B$18,MATCH(E4053,Assumptions!$A$15:$A$18,0)),"Yes","No")</f>
        <v>Yes</v>
      </c>
      <c r="O4053" s="31" t="str">
        <f aca="false">IF(H4053="","Open",IF(H4053&lt;=INDEX(Assumptions!$C$15:$C$18,MATCH(E4053,Assumptions!$A$15:$A$18,0)),"Yes","No"))</f>
        <v>Yes</v>
      </c>
    </row>
    <row r="4054" customFormat="false" ht="15" hidden="false" customHeight="false" outlineLevel="0" collapsed="false">
      <c r="A4054" s="31" t="s">
        <v>4204</v>
      </c>
      <c r="B4054" s="44" t="n">
        <v>46259</v>
      </c>
      <c r="C4054" s="31" t="s">
        <v>58</v>
      </c>
      <c r="D4054" s="31" t="s">
        <v>69</v>
      </c>
      <c r="E4054" s="31" t="s">
        <v>52</v>
      </c>
      <c r="F4054" s="31" t="s">
        <v>137</v>
      </c>
      <c r="G4054" s="31" t="n">
        <v>35</v>
      </c>
      <c r="H4054" s="41" t="n">
        <v>24.6</v>
      </c>
      <c r="I4054" s="31" t="s">
        <v>149</v>
      </c>
      <c r="J4054" s="31" t="n">
        <v>5</v>
      </c>
      <c r="K4054" s="31" t="s">
        <v>153</v>
      </c>
      <c r="L4054" s="45" t="n">
        <f aca="false">DATE(YEAR(B4054),MONTH(B4054),1)</f>
        <v>46235</v>
      </c>
      <c r="M4054" s="31" t="n">
        <f aca="false">WEEKDAY(B4054,2)</f>
        <v>2</v>
      </c>
      <c r="N4054" s="31" t="str">
        <f aca="false">IF(G4054&lt;=INDEX(Assumptions!$B$15:$B$18,MATCH(E4054,Assumptions!$A$15:$A$18,0)),"Yes","No")</f>
        <v>Yes</v>
      </c>
      <c r="O4054" s="31" t="str">
        <f aca="false">IF(H4054="","Open",IF(H4054&lt;=INDEX(Assumptions!$C$15:$C$18,MATCH(E4054,Assumptions!$A$15:$A$18,0)),"Yes","No"))</f>
        <v>Yes</v>
      </c>
    </row>
    <row r="4055" customFormat="false" ht="15" hidden="false" customHeight="false" outlineLevel="0" collapsed="false">
      <c r="A4055" s="31" t="s">
        <v>4205</v>
      </c>
      <c r="B4055" s="44" t="n">
        <v>46259</v>
      </c>
      <c r="C4055" s="31" t="s">
        <v>57</v>
      </c>
      <c r="D4055" s="31" t="s">
        <v>65</v>
      </c>
      <c r="E4055" s="31" t="s">
        <v>51</v>
      </c>
      <c r="F4055" s="31" t="s">
        <v>129</v>
      </c>
      <c r="G4055" s="31" t="n">
        <v>2</v>
      </c>
      <c r="H4055" s="41" t="n">
        <v>7.2</v>
      </c>
      <c r="I4055" s="31" t="s">
        <v>149</v>
      </c>
      <c r="J4055" s="31" t="n">
        <v>4</v>
      </c>
      <c r="K4055" s="31" t="s">
        <v>150</v>
      </c>
      <c r="L4055" s="45" t="n">
        <f aca="false">DATE(YEAR(B4055),MONTH(B4055),1)</f>
        <v>46235</v>
      </c>
      <c r="M4055" s="31" t="n">
        <f aca="false">WEEKDAY(B4055,2)</f>
        <v>2</v>
      </c>
      <c r="N4055" s="31" t="str">
        <f aca="false">IF(G4055&lt;=INDEX(Assumptions!$B$15:$B$18,MATCH(E4055,Assumptions!$A$15:$A$18,0)),"Yes","No")</f>
        <v>Yes</v>
      </c>
      <c r="O4055" s="31" t="str">
        <f aca="false">IF(H4055="","Open",IF(H4055&lt;=INDEX(Assumptions!$C$15:$C$18,MATCH(E4055,Assumptions!$A$15:$A$18,0)),"Yes","No"))</f>
        <v>Yes</v>
      </c>
    </row>
    <row r="4056" customFormat="false" ht="15" hidden="false" customHeight="false" outlineLevel="0" collapsed="false">
      <c r="A4056" s="31" t="s">
        <v>4206</v>
      </c>
      <c r="B4056" s="44" t="n">
        <v>46259</v>
      </c>
      <c r="C4056" s="31" t="s">
        <v>58</v>
      </c>
      <c r="D4056" s="31" t="s">
        <v>69</v>
      </c>
      <c r="E4056" s="31" t="s">
        <v>51</v>
      </c>
      <c r="F4056" s="31" t="s">
        <v>124</v>
      </c>
      <c r="G4056" s="31" t="n">
        <v>11</v>
      </c>
      <c r="H4056" s="41" t="n">
        <v>67.8</v>
      </c>
      <c r="I4056" s="31" t="s">
        <v>149</v>
      </c>
      <c r="J4056" s="31" t="n">
        <v>4</v>
      </c>
      <c r="K4056" s="31" t="s">
        <v>150</v>
      </c>
      <c r="L4056" s="45" t="n">
        <f aca="false">DATE(YEAR(B4056),MONTH(B4056),1)</f>
        <v>46235</v>
      </c>
      <c r="M4056" s="31" t="n">
        <f aca="false">WEEKDAY(B4056,2)</f>
        <v>2</v>
      </c>
      <c r="N4056" s="31" t="str">
        <f aca="false">IF(G4056&lt;=INDEX(Assumptions!$B$15:$B$18,MATCH(E4056,Assumptions!$A$15:$A$18,0)),"Yes","No")</f>
        <v>Yes</v>
      </c>
      <c r="O4056" s="31" t="str">
        <f aca="false">IF(H4056="","Open",IF(H4056&lt;=INDEX(Assumptions!$C$15:$C$18,MATCH(E4056,Assumptions!$A$15:$A$18,0)),"Yes","No"))</f>
        <v>No</v>
      </c>
    </row>
    <row r="4057" customFormat="false" ht="15" hidden="false" customHeight="false" outlineLevel="0" collapsed="false">
      <c r="A4057" s="31" t="s">
        <v>4207</v>
      </c>
      <c r="B4057" s="44" t="n">
        <v>46259</v>
      </c>
      <c r="C4057" s="31" t="s">
        <v>58</v>
      </c>
      <c r="D4057" s="31" t="s">
        <v>66</v>
      </c>
      <c r="E4057" s="31" t="s">
        <v>49</v>
      </c>
      <c r="F4057" s="31" t="s">
        <v>122</v>
      </c>
      <c r="G4057" s="31" t="n">
        <v>1</v>
      </c>
      <c r="H4057" s="41" t="n">
        <v>2.3</v>
      </c>
      <c r="I4057" s="31" t="s">
        <v>64</v>
      </c>
      <c r="J4057" s="31" t="n">
        <v>4</v>
      </c>
      <c r="K4057" s="31" t="s">
        <v>150</v>
      </c>
      <c r="L4057" s="45" t="n">
        <f aca="false">DATE(YEAR(B4057),MONTH(B4057),1)</f>
        <v>46235</v>
      </c>
      <c r="M4057" s="31" t="n">
        <f aca="false">WEEKDAY(B4057,2)</f>
        <v>2</v>
      </c>
      <c r="N4057" s="31" t="str">
        <f aca="false">IF(G4057&lt;=INDEX(Assumptions!$B$15:$B$18,MATCH(E4057,Assumptions!$A$15:$A$18,0)),"Yes","No")</f>
        <v>Yes</v>
      </c>
      <c r="O4057" s="31" t="str">
        <f aca="false">IF(H4057="","Open",IF(H4057&lt;=INDEX(Assumptions!$C$15:$C$18,MATCH(E4057,Assumptions!$A$15:$A$18,0)),"Yes","No"))</f>
        <v>Yes</v>
      </c>
    </row>
    <row r="4058" customFormat="false" ht="15" hidden="false" customHeight="false" outlineLevel="0" collapsed="false">
      <c r="A4058" s="31" t="s">
        <v>4208</v>
      </c>
      <c r="B4058" s="44" t="n">
        <v>46259</v>
      </c>
      <c r="C4058" s="31" t="s">
        <v>59</v>
      </c>
      <c r="D4058" s="31" t="s">
        <v>67</v>
      </c>
      <c r="E4058" s="31" t="s">
        <v>51</v>
      </c>
      <c r="F4058" s="31" t="s">
        <v>123</v>
      </c>
      <c r="G4058" s="31" t="n">
        <v>187</v>
      </c>
      <c r="H4058" s="41" t="n">
        <v>58.1</v>
      </c>
      <c r="I4058" s="31" t="s">
        <v>149</v>
      </c>
      <c r="J4058" s="31" t="n">
        <v>2</v>
      </c>
      <c r="K4058" s="31" t="s">
        <v>150</v>
      </c>
      <c r="L4058" s="45" t="n">
        <f aca="false">DATE(YEAR(B4058),MONTH(B4058),1)</f>
        <v>46235</v>
      </c>
      <c r="M4058" s="31" t="n">
        <f aca="false">WEEKDAY(B4058,2)</f>
        <v>2</v>
      </c>
      <c r="N4058" s="31" t="str">
        <f aca="false">IF(G4058&lt;=INDEX(Assumptions!$B$15:$B$18,MATCH(E4058,Assumptions!$A$15:$A$18,0)),"Yes","No")</f>
        <v>No</v>
      </c>
      <c r="O4058" s="31" t="str">
        <f aca="false">IF(H4058="","Open",IF(H4058&lt;=INDEX(Assumptions!$C$15:$C$18,MATCH(E4058,Assumptions!$A$15:$A$18,0)),"Yes","No"))</f>
        <v>No</v>
      </c>
    </row>
    <row r="4059" customFormat="false" ht="15" hidden="false" customHeight="false" outlineLevel="0" collapsed="false">
      <c r="A4059" s="31" t="s">
        <v>4209</v>
      </c>
      <c r="B4059" s="44" t="n">
        <v>46259</v>
      </c>
      <c r="C4059" s="31" t="s">
        <v>58</v>
      </c>
      <c r="D4059" s="31" t="s">
        <v>65</v>
      </c>
      <c r="E4059" s="31" t="s">
        <v>51</v>
      </c>
      <c r="F4059" s="31" t="s">
        <v>133</v>
      </c>
      <c r="G4059" s="31" t="n">
        <v>13</v>
      </c>
      <c r="H4059" s="41" t="n">
        <v>19.9</v>
      </c>
      <c r="I4059" s="31" t="s">
        <v>149</v>
      </c>
      <c r="J4059" s="31" t="n">
        <v>5</v>
      </c>
      <c r="K4059" s="31" t="s">
        <v>150</v>
      </c>
      <c r="L4059" s="45" t="n">
        <f aca="false">DATE(YEAR(B4059),MONTH(B4059),1)</f>
        <v>46235</v>
      </c>
      <c r="M4059" s="31" t="n">
        <f aca="false">WEEKDAY(B4059,2)</f>
        <v>2</v>
      </c>
      <c r="N4059" s="31" t="str">
        <f aca="false">IF(G4059&lt;=INDEX(Assumptions!$B$15:$B$18,MATCH(E4059,Assumptions!$A$15:$A$18,0)),"Yes","No")</f>
        <v>Yes</v>
      </c>
      <c r="O4059" s="31" t="str">
        <f aca="false">IF(H4059="","Open",IF(H4059&lt;=INDEX(Assumptions!$C$15:$C$18,MATCH(E4059,Assumptions!$A$15:$A$18,0)),"Yes","No"))</f>
        <v>Yes</v>
      </c>
    </row>
    <row r="4060" customFormat="false" ht="15" hidden="false" customHeight="false" outlineLevel="0" collapsed="false">
      <c r="A4060" s="31" t="s">
        <v>4210</v>
      </c>
      <c r="B4060" s="44" t="n">
        <v>46259</v>
      </c>
      <c r="C4060" s="31" t="s">
        <v>60</v>
      </c>
      <c r="D4060" s="31" t="s">
        <v>67</v>
      </c>
      <c r="E4060" s="31" t="s">
        <v>52</v>
      </c>
      <c r="F4060" s="31" t="s">
        <v>119</v>
      </c>
      <c r="G4060" s="31" t="n">
        <v>1</v>
      </c>
      <c r="H4060" s="41" t="n">
        <v>48.6</v>
      </c>
      <c r="I4060" s="31" t="s">
        <v>149</v>
      </c>
      <c r="J4060" s="31" t="n">
        <v>5</v>
      </c>
      <c r="K4060" s="31" t="s">
        <v>150</v>
      </c>
      <c r="L4060" s="45" t="n">
        <f aca="false">DATE(YEAR(B4060),MONTH(B4060),1)</f>
        <v>46235</v>
      </c>
      <c r="M4060" s="31" t="n">
        <f aca="false">WEEKDAY(B4060,2)</f>
        <v>2</v>
      </c>
      <c r="N4060" s="31" t="str">
        <f aca="false">IF(G4060&lt;=INDEX(Assumptions!$B$15:$B$18,MATCH(E4060,Assumptions!$A$15:$A$18,0)),"Yes","No")</f>
        <v>Yes</v>
      </c>
      <c r="O4060" s="31" t="str">
        <f aca="false">IF(H4060="","Open",IF(H4060&lt;=INDEX(Assumptions!$C$15:$C$18,MATCH(E4060,Assumptions!$A$15:$A$18,0)),"Yes","No"))</f>
        <v>Yes</v>
      </c>
    </row>
    <row r="4061" customFormat="false" ht="15" hidden="false" customHeight="false" outlineLevel="0" collapsed="false">
      <c r="A4061" s="31" t="s">
        <v>4211</v>
      </c>
      <c r="B4061" s="44" t="n">
        <v>46259</v>
      </c>
      <c r="C4061" s="31" t="s">
        <v>60</v>
      </c>
      <c r="D4061" s="31" t="s">
        <v>65</v>
      </c>
      <c r="E4061" s="31" t="s">
        <v>49</v>
      </c>
      <c r="F4061" s="31" t="s">
        <v>119</v>
      </c>
      <c r="G4061" s="31" t="n">
        <v>1</v>
      </c>
      <c r="H4061" s="41" t="n">
        <v>6.7</v>
      </c>
      <c r="I4061" s="31" t="s">
        <v>149</v>
      </c>
      <c r="J4061" s="31"/>
      <c r="K4061" s="31" t="s">
        <v>150</v>
      </c>
      <c r="L4061" s="45" t="n">
        <f aca="false">DATE(YEAR(B4061),MONTH(B4061),1)</f>
        <v>46235</v>
      </c>
      <c r="M4061" s="31" t="n">
        <f aca="false">WEEKDAY(B4061,2)</f>
        <v>2</v>
      </c>
      <c r="N4061" s="31" t="str">
        <f aca="false">IF(G4061&lt;=INDEX(Assumptions!$B$15:$B$18,MATCH(E4061,Assumptions!$A$15:$A$18,0)),"Yes","No")</f>
        <v>Yes</v>
      </c>
      <c r="O4061" s="31" t="str">
        <f aca="false">IF(H4061="","Open",IF(H4061&lt;=INDEX(Assumptions!$C$15:$C$18,MATCH(E4061,Assumptions!$A$15:$A$18,0)),"Yes","No"))</f>
        <v>No</v>
      </c>
    </row>
    <row r="4062" customFormat="false" ht="15" hidden="false" customHeight="false" outlineLevel="0" collapsed="false">
      <c r="A4062" s="31" t="s">
        <v>4212</v>
      </c>
      <c r="B4062" s="44" t="n">
        <v>46259</v>
      </c>
      <c r="C4062" s="31" t="s">
        <v>57</v>
      </c>
      <c r="D4062" s="31" t="s">
        <v>65</v>
      </c>
      <c r="E4062" s="31" t="s">
        <v>50</v>
      </c>
      <c r="F4062" s="31" t="s">
        <v>120</v>
      </c>
      <c r="G4062" s="31" t="n">
        <v>5</v>
      </c>
      <c r="H4062" s="41" t="n">
        <v>21.6</v>
      </c>
      <c r="I4062" s="31" t="s">
        <v>149</v>
      </c>
      <c r="J4062" s="31"/>
      <c r="K4062" s="31" t="s">
        <v>150</v>
      </c>
      <c r="L4062" s="45" t="n">
        <f aca="false">DATE(YEAR(B4062),MONTH(B4062),1)</f>
        <v>46235</v>
      </c>
      <c r="M4062" s="31" t="n">
        <f aca="false">WEEKDAY(B4062,2)</f>
        <v>2</v>
      </c>
      <c r="N4062" s="31" t="str">
        <f aca="false">IF(G4062&lt;=INDEX(Assumptions!$B$15:$B$18,MATCH(E4062,Assumptions!$A$15:$A$18,0)),"Yes","No")</f>
        <v>Yes</v>
      </c>
      <c r="O4062" s="31" t="str">
        <f aca="false">IF(H4062="","Open",IF(H4062&lt;=INDEX(Assumptions!$C$15:$C$18,MATCH(E4062,Assumptions!$A$15:$A$18,0)),"Yes","No"))</f>
        <v>No</v>
      </c>
    </row>
    <row r="4063" customFormat="false" ht="15" hidden="false" customHeight="false" outlineLevel="0" collapsed="false">
      <c r="A4063" s="31" t="s">
        <v>4213</v>
      </c>
      <c r="B4063" s="44" t="n">
        <v>46259</v>
      </c>
      <c r="C4063" s="31" t="s">
        <v>60</v>
      </c>
      <c r="D4063" s="31" t="s">
        <v>65</v>
      </c>
      <c r="E4063" s="31" t="s">
        <v>50</v>
      </c>
      <c r="F4063" s="31" t="s">
        <v>119</v>
      </c>
      <c r="G4063" s="31" t="n">
        <v>1</v>
      </c>
      <c r="H4063" s="41" t="n">
        <v>7.8</v>
      </c>
      <c r="I4063" s="31" t="s">
        <v>149</v>
      </c>
      <c r="J4063" s="31"/>
      <c r="K4063" s="31" t="s">
        <v>150</v>
      </c>
      <c r="L4063" s="45" t="n">
        <f aca="false">DATE(YEAR(B4063),MONTH(B4063),1)</f>
        <v>46235</v>
      </c>
      <c r="M4063" s="31" t="n">
        <f aca="false">WEEKDAY(B4063,2)</f>
        <v>2</v>
      </c>
      <c r="N4063" s="31" t="str">
        <f aca="false">IF(G4063&lt;=INDEX(Assumptions!$B$15:$B$18,MATCH(E4063,Assumptions!$A$15:$A$18,0)),"Yes","No")</f>
        <v>Yes</v>
      </c>
      <c r="O4063" s="31" t="str">
        <f aca="false">IF(H4063="","Open",IF(H4063&lt;=INDEX(Assumptions!$C$15:$C$18,MATCH(E4063,Assumptions!$A$15:$A$18,0)),"Yes","No"))</f>
        <v>Yes</v>
      </c>
    </row>
    <row r="4064" customFormat="false" ht="15" hidden="false" customHeight="false" outlineLevel="0" collapsed="false">
      <c r="A4064" s="31" t="s">
        <v>4214</v>
      </c>
      <c r="B4064" s="44" t="n">
        <v>46259</v>
      </c>
      <c r="C4064" s="31" t="s">
        <v>59</v>
      </c>
      <c r="D4064" s="31" t="s">
        <v>65</v>
      </c>
      <c r="E4064" s="31" t="s">
        <v>52</v>
      </c>
      <c r="F4064" s="31" t="s">
        <v>136</v>
      </c>
      <c r="G4064" s="31" t="n">
        <v>28</v>
      </c>
      <c r="H4064" s="41" t="n">
        <v>13.3</v>
      </c>
      <c r="I4064" s="31" t="s">
        <v>149</v>
      </c>
      <c r="J4064" s="31" t="n">
        <v>5</v>
      </c>
      <c r="K4064" s="31" t="s">
        <v>150</v>
      </c>
      <c r="L4064" s="45" t="n">
        <f aca="false">DATE(YEAR(B4064),MONTH(B4064),1)</f>
        <v>46235</v>
      </c>
      <c r="M4064" s="31" t="n">
        <f aca="false">WEEKDAY(B4064,2)</f>
        <v>2</v>
      </c>
      <c r="N4064" s="31" t="str">
        <f aca="false">IF(G4064&lt;=INDEX(Assumptions!$B$15:$B$18,MATCH(E4064,Assumptions!$A$15:$A$18,0)),"Yes","No")</f>
        <v>Yes</v>
      </c>
      <c r="O4064" s="31" t="str">
        <f aca="false">IF(H4064="","Open",IF(H4064&lt;=INDEX(Assumptions!$C$15:$C$18,MATCH(E4064,Assumptions!$A$15:$A$18,0)),"Yes","No"))</f>
        <v>Yes</v>
      </c>
    </row>
    <row r="4065" customFormat="false" ht="15" hidden="false" customHeight="false" outlineLevel="0" collapsed="false">
      <c r="A4065" s="31" t="s">
        <v>4215</v>
      </c>
      <c r="B4065" s="44" t="n">
        <v>46259</v>
      </c>
      <c r="C4065" s="31" t="s">
        <v>58</v>
      </c>
      <c r="D4065" s="31" t="s">
        <v>65</v>
      </c>
      <c r="E4065" s="31" t="s">
        <v>52</v>
      </c>
      <c r="F4065" s="31" t="s">
        <v>134</v>
      </c>
      <c r="G4065" s="31" t="n">
        <v>17</v>
      </c>
      <c r="H4065" s="41" t="n">
        <v>11.5</v>
      </c>
      <c r="I4065" s="31" t="s">
        <v>149</v>
      </c>
      <c r="J4065" s="31"/>
      <c r="K4065" s="31" t="s">
        <v>150</v>
      </c>
      <c r="L4065" s="45" t="n">
        <f aca="false">DATE(YEAR(B4065),MONTH(B4065),1)</f>
        <v>46235</v>
      </c>
      <c r="M4065" s="31" t="n">
        <f aca="false">WEEKDAY(B4065,2)</f>
        <v>2</v>
      </c>
      <c r="N4065" s="31" t="str">
        <f aca="false">IF(G4065&lt;=INDEX(Assumptions!$B$15:$B$18,MATCH(E4065,Assumptions!$A$15:$A$18,0)),"Yes","No")</f>
        <v>Yes</v>
      </c>
      <c r="O4065" s="31" t="str">
        <f aca="false">IF(H4065="","Open",IF(H4065&lt;=INDEX(Assumptions!$C$15:$C$18,MATCH(E4065,Assumptions!$A$15:$A$18,0)),"Yes","No"))</f>
        <v>Yes</v>
      </c>
    </row>
    <row r="4066" customFormat="false" ht="15" hidden="false" customHeight="false" outlineLevel="0" collapsed="false">
      <c r="A4066" s="31" t="s">
        <v>4216</v>
      </c>
      <c r="B4066" s="44" t="n">
        <v>46259</v>
      </c>
      <c r="C4066" s="31" t="s">
        <v>57</v>
      </c>
      <c r="D4066" s="31" t="s">
        <v>67</v>
      </c>
      <c r="E4066" s="31" t="s">
        <v>50</v>
      </c>
      <c r="F4066" s="31" t="s">
        <v>130</v>
      </c>
      <c r="G4066" s="31" t="n">
        <v>7</v>
      </c>
      <c r="H4066" s="41" t="n">
        <v>30.7</v>
      </c>
      <c r="I4066" s="31" t="s">
        <v>64</v>
      </c>
      <c r="J4066" s="31" t="n">
        <v>3</v>
      </c>
      <c r="K4066" s="31" t="s">
        <v>150</v>
      </c>
      <c r="L4066" s="45" t="n">
        <f aca="false">DATE(YEAR(B4066),MONTH(B4066),1)</f>
        <v>46235</v>
      </c>
      <c r="M4066" s="31" t="n">
        <f aca="false">WEEKDAY(B4066,2)</f>
        <v>2</v>
      </c>
      <c r="N4066" s="31" t="str">
        <f aca="false">IF(G4066&lt;=INDEX(Assumptions!$B$15:$B$18,MATCH(E4066,Assumptions!$A$15:$A$18,0)),"Yes","No")</f>
        <v>Yes</v>
      </c>
      <c r="O4066" s="31" t="str">
        <f aca="false">IF(H4066="","Open",IF(H4066&lt;=INDEX(Assumptions!$C$15:$C$18,MATCH(E4066,Assumptions!$A$15:$A$18,0)),"Yes","No"))</f>
        <v>No</v>
      </c>
    </row>
    <row r="4067" customFormat="false" ht="15" hidden="false" customHeight="false" outlineLevel="0" collapsed="false">
      <c r="A4067" s="31" t="s">
        <v>4217</v>
      </c>
      <c r="B4067" s="44" t="n">
        <v>46259</v>
      </c>
      <c r="C4067" s="31" t="s">
        <v>58</v>
      </c>
      <c r="D4067" s="31" t="s">
        <v>65</v>
      </c>
      <c r="E4067" s="31" t="s">
        <v>52</v>
      </c>
      <c r="F4067" s="31" t="s">
        <v>117</v>
      </c>
      <c r="G4067" s="31" t="n">
        <v>3</v>
      </c>
      <c r="H4067" s="41" t="n">
        <v>18.1</v>
      </c>
      <c r="I4067" s="31" t="s">
        <v>149</v>
      </c>
      <c r="J4067" s="31"/>
      <c r="K4067" s="31" t="s">
        <v>150</v>
      </c>
      <c r="L4067" s="45" t="n">
        <f aca="false">DATE(YEAR(B4067),MONTH(B4067),1)</f>
        <v>46235</v>
      </c>
      <c r="M4067" s="31" t="n">
        <f aca="false">WEEKDAY(B4067,2)</f>
        <v>2</v>
      </c>
      <c r="N4067" s="31" t="str">
        <f aca="false">IF(G4067&lt;=INDEX(Assumptions!$B$15:$B$18,MATCH(E4067,Assumptions!$A$15:$A$18,0)),"Yes","No")</f>
        <v>Yes</v>
      </c>
      <c r="O4067" s="31" t="str">
        <f aca="false">IF(H4067="","Open",IF(H4067&lt;=INDEX(Assumptions!$C$15:$C$18,MATCH(E4067,Assumptions!$A$15:$A$18,0)),"Yes","No"))</f>
        <v>Yes</v>
      </c>
    </row>
    <row r="4068" customFormat="false" ht="15" hidden="false" customHeight="false" outlineLevel="0" collapsed="false">
      <c r="A4068" s="31" t="s">
        <v>4218</v>
      </c>
      <c r="B4068" s="44" t="n">
        <v>46259</v>
      </c>
      <c r="C4068" s="31" t="s">
        <v>59</v>
      </c>
      <c r="D4068" s="31" t="s">
        <v>67</v>
      </c>
      <c r="E4068" s="31" t="s">
        <v>50</v>
      </c>
      <c r="F4068" s="31" t="s">
        <v>120</v>
      </c>
      <c r="G4068" s="31" t="n">
        <v>64</v>
      </c>
      <c r="H4068" s="41" t="n">
        <v>6.3</v>
      </c>
      <c r="I4068" s="31" t="s">
        <v>149</v>
      </c>
      <c r="J4068" s="31" t="n">
        <v>5</v>
      </c>
      <c r="K4068" s="31" t="s">
        <v>150</v>
      </c>
      <c r="L4068" s="45" t="n">
        <f aca="false">DATE(YEAR(B4068),MONTH(B4068),1)</f>
        <v>46235</v>
      </c>
      <c r="M4068" s="31" t="n">
        <f aca="false">WEEKDAY(B4068,2)</f>
        <v>2</v>
      </c>
      <c r="N4068" s="31" t="str">
        <f aca="false">IF(G4068&lt;=INDEX(Assumptions!$B$15:$B$18,MATCH(E4068,Assumptions!$A$15:$A$18,0)),"Yes","No")</f>
        <v>No</v>
      </c>
      <c r="O4068" s="31" t="str">
        <f aca="false">IF(H4068="","Open",IF(H4068&lt;=INDEX(Assumptions!$C$15:$C$18,MATCH(E4068,Assumptions!$A$15:$A$18,0)),"Yes","No"))</f>
        <v>Yes</v>
      </c>
    </row>
    <row r="4069" customFormat="false" ht="15" hidden="false" customHeight="false" outlineLevel="0" collapsed="false">
      <c r="A4069" s="31" t="s">
        <v>4219</v>
      </c>
      <c r="B4069" s="44" t="n">
        <v>46259</v>
      </c>
      <c r="C4069" s="31" t="s">
        <v>57</v>
      </c>
      <c r="D4069" s="31" t="s">
        <v>66</v>
      </c>
      <c r="E4069" s="31" t="s">
        <v>50</v>
      </c>
      <c r="F4069" s="31" t="s">
        <v>126</v>
      </c>
      <c r="G4069" s="31" t="n">
        <v>1</v>
      </c>
      <c r="H4069" s="41" t="n">
        <v>3.8</v>
      </c>
      <c r="I4069" s="31" t="s">
        <v>149</v>
      </c>
      <c r="J4069" s="31" t="n">
        <v>5</v>
      </c>
      <c r="K4069" s="31" t="s">
        <v>150</v>
      </c>
      <c r="L4069" s="45" t="n">
        <f aca="false">DATE(YEAR(B4069),MONTH(B4069),1)</f>
        <v>46235</v>
      </c>
      <c r="M4069" s="31" t="n">
        <f aca="false">WEEKDAY(B4069,2)</f>
        <v>2</v>
      </c>
      <c r="N4069" s="31" t="str">
        <f aca="false">IF(G4069&lt;=INDEX(Assumptions!$B$15:$B$18,MATCH(E4069,Assumptions!$A$15:$A$18,0)),"Yes","No")</f>
        <v>Yes</v>
      </c>
      <c r="O4069" s="31" t="str">
        <f aca="false">IF(H4069="","Open",IF(H4069&lt;=INDEX(Assumptions!$C$15:$C$18,MATCH(E4069,Assumptions!$A$15:$A$18,0)),"Yes","No"))</f>
        <v>Yes</v>
      </c>
    </row>
    <row r="4070" customFormat="false" ht="15" hidden="false" customHeight="false" outlineLevel="0" collapsed="false">
      <c r="A4070" s="31" t="s">
        <v>4220</v>
      </c>
      <c r="B4070" s="44" t="n">
        <v>46259</v>
      </c>
      <c r="C4070" s="31" t="s">
        <v>59</v>
      </c>
      <c r="D4070" s="31" t="s">
        <v>68</v>
      </c>
      <c r="E4070" s="31" t="s">
        <v>52</v>
      </c>
      <c r="F4070" s="31" t="s">
        <v>121</v>
      </c>
      <c r="G4070" s="31" t="n">
        <v>182</v>
      </c>
      <c r="H4070" s="41" t="n">
        <v>1.3</v>
      </c>
      <c r="I4070" s="31" t="s">
        <v>149</v>
      </c>
      <c r="J4070" s="31"/>
      <c r="K4070" s="31" t="s">
        <v>150</v>
      </c>
      <c r="L4070" s="45" t="n">
        <f aca="false">DATE(YEAR(B4070),MONTH(B4070),1)</f>
        <v>46235</v>
      </c>
      <c r="M4070" s="31" t="n">
        <f aca="false">WEEKDAY(B4070,2)</f>
        <v>2</v>
      </c>
      <c r="N4070" s="31" t="str">
        <f aca="false">IF(G4070&lt;=INDEX(Assumptions!$B$15:$B$18,MATCH(E4070,Assumptions!$A$15:$A$18,0)),"Yes","No")</f>
        <v>Yes</v>
      </c>
      <c r="O4070" s="31" t="str">
        <f aca="false">IF(H4070="","Open",IF(H4070&lt;=INDEX(Assumptions!$C$15:$C$18,MATCH(E4070,Assumptions!$A$15:$A$18,0)),"Yes","No"))</f>
        <v>Yes</v>
      </c>
    </row>
    <row r="4071" customFormat="false" ht="15" hidden="false" customHeight="false" outlineLevel="0" collapsed="false">
      <c r="A4071" s="31" t="s">
        <v>4221</v>
      </c>
      <c r="B4071" s="44" t="n">
        <v>46259</v>
      </c>
      <c r="C4071" s="31" t="s">
        <v>57</v>
      </c>
      <c r="D4071" s="31" t="s">
        <v>67</v>
      </c>
      <c r="E4071" s="31" t="s">
        <v>51</v>
      </c>
      <c r="F4071" s="31" t="s">
        <v>123</v>
      </c>
      <c r="G4071" s="31" t="n">
        <v>5</v>
      </c>
      <c r="H4071" s="41" t="n">
        <v>11.4</v>
      </c>
      <c r="I4071" s="31" t="s">
        <v>149</v>
      </c>
      <c r="J4071" s="31" t="n">
        <v>4</v>
      </c>
      <c r="K4071" s="31" t="s">
        <v>150</v>
      </c>
      <c r="L4071" s="45" t="n">
        <f aca="false">DATE(YEAR(B4071),MONTH(B4071),1)</f>
        <v>46235</v>
      </c>
      <c r="M4071" s="31" t="n">
        <f aca="false">WEEKDAY(B4071,2)</f>
        <v>2</v>
      </c>
      <c r="N4071" s="31" t="str">
        <f aca="false">IF(G4071&lt;=INDEX(Assumptions!$B$15:$B$18,MATCH(E4071,Assumptions!$A$15:$A$18,0)),"Yes","No")</f>
        <v>Yes</v>
      </c>
      <c r="O4071" s="31" t="str">
        <f aca="false">IF(H4071="","Open",IF(H4071&lt;=INDEX(Assumptions!$C$15:$C$18,MATCH(E4071,Assumptions!$A$15:$A$18,0)),"Yes","No"))</f>
        <v>Yes</v>
      </c>
    </row>
    <row r="4072" customFormat="false" ht="15" hidden="false" customHeight="false" outlineLevel="0" collapsed="false">
      <c r="A4072" s="31" t="s">
        <v>4222</v>
      </c>
      <c r="B4072" s="44" t="n">
        <v>46260</v>
      </c>
      <c r="C4072" s="31" t="s">
        <v>57</v>
      </c>
      <c r="D4072" s="31" t="s">
        <v>65</v>
      </c>
      <c r="E4072" s="31" t="s">
        <v>51</v>
      </c>
      <c r="F4072" s="31" t="s">
        <v>122</v>
      </c>
      <c r="G4072" s="31" t="n">
        <v>8</v>
      </c>
      <c r="H4072" s="41" t="n">
        <v>10.8</v>
      </c>
      <c r="I4072" s="31" t="s">
        <v>149</v>
      </c>
      <c r="J4072" s="31" t="n">
        <v>5</v>
      </c>
      <c r="K4072" s="31" t="s">
        <v>153</v>
      </c>
      <c r="L4072" s="45" t="n">
        <f aca="false">DATE(YEAR(B4072),MONTH(B4072),1)</f>
        <v>46235</v>
      </c>
      <c r="M4072" s="31" t="n">
        <f aca="false">WEEKDAY(B4072,2)</f>
        <v>3</v>
      </c>
      <c r="N4072" s="31" t="str">
        <f aca="false">IF(G4072&lt;=INDEX(Assumptions!$B$15:$B$18,MATCH(E4072,Assumptions!$A$15:$A$18,0)),"Yes","No")</f>
        <v>Yes</v>
      </c>
      <c r="O4072" s="31" t="str">
        <f aca="false">IF(H4072="","Open",IF(H4072&lt;=INDEX(Assumptions!$C$15:$C$18,MATCH(E4072,Assumptions!$A$15:$A$18,0)),"Yes","No"))</f>
        <v>Yes</v>
      </c>
    </row>
    <row r="4073" customFormat="false" ht="15" hidden="false" customHeight="false" outlineLevel="0" collapsed="false">
      <c r="A4073" s="31" t="s">
        <v>4223</v>
      </c>
      <c r="B4073" s="44" t="n">
        <v>46260</v>
      </c>
      <c r="C4073" s="31" t="s">
        <v>58</v>
      </c>
      <c r="D4073" s="31" t="s">
        <v>65</v>
      </c>
      <c r="E4073" s="31" t="s">
        <v>52</v>
      </c>
      <c r="F4073" s="31" t="s">
        <v>135</v>
      </c>
      <c r="G4073" s="31" t="n">
        <v>7</v>
      </c>
      <c r="H4073" s="41" t="n">
        <v>10.7</v>
      </c>
      <c r="I4073" s="31" t="s">
        <v>149</v>
      </c>
      <c r="J4073" s="31" t="n">
        <v>4</v>
      </c>
      <c r="K4073" s="31" t="s">
        <v>150</v>
      </c>
      <c r="L4073" s="45" t="n">
        <f aca="false">DATE(YEAR(B4073),MONTH(B4073),1)</f>
        <v>46235</v>
      </c>
      <c r="M4073" s="31" t="n">
        <f aca="false">WEEKDAY(B4073,2)</f>
        <v>3</v>
      </c>
      <c r="N4073" s="31" t="str">
        <f aca="false">IF(G4073&lt;=INDEX(Assumptions!$B$15:$B$18,MATCH(E4073,Assumptions!$A$15:$A$18,0)),"Yes","No")</f>
        <v>Yes</v>
      </c>
      <c r="O4073" s="31" t="str">
        <f aca="false">IF(H4073="","Open",IF(H4073&lt;=INDEX(Assumptions!$C$15:$C$18,MATCH(E4073,Assumptions!$A$15:$A$18,0)),"Yes","No"))</f>
        <v>Yes</v>
      </c>
    </row>
    <row r="4074" customFormat="false" ht="15" hidden="false" customHeight="false" outlineLevel="0" collapsed="false">
      <c r="A4074" s="31" t="s">
        <v>4224</v>
      </c>
      <c r="B4074" s="44" t="n">
        <v>46260</v>
      </c>
      <c r="C4074" s="31" t="s">
        <v>57</v>
      </c>
      <c r="D4074" s="31" t="s">
        <v>66</v>
      </c>
      <c r="E4074" s="31" t="s">
        <v>51</v>
      </c>
      <c r="F4074" s="31" t="s">
        <v>121</v>
      </c>
      <c r="G4074" s="31" t="n">
        <v>2</v>
      </c>
      <c r="H4074" s="41" t="n">
        <v>9.4</v>
      </c>
      <c r="I4074" s="31" t="s">
        <v>149</v>
      </c>
      <c r="J4074" s="31" t="n">
        <v>4</v>
      </c>
      <c r="K4074" s="31" t="s">
        <v>153</v>
      </c>
      <c r="L4074" s="45" t="n">
        <f aca="false">DATE(YEAR(B4074),MONTH(B4074),1)</f>
        <v>46235</v>
      </c>
      <c r="M4074" s="31" t="n">
        <f aca="false">WEEKDAY(B4074,2)</f>
        <v>3</v>
      </c>
      <c r="N4074" s="31" t="str">
        <f aca="false">IF(G4074&lt;=INDEX(Assumptions!$B$15:$B$18,MATCH(E4074,Assumptions!$A$15:$A$18,0)),"Yes","No")</f>
        <v>Yes</v>
      </c>
      <c r="O4074" s="31" t="str">
        <f aca="false">IF(H4074="","Open",IF(H4074&lt;=INDEX(Assumptions!$C$15:$C$18,MATCH(E4074,Assumptions!$A$15:$A$18,0)),"Yes","No"))</f>
        <v>Yes</v>
      </c>
    </row>
    <row r="4075" customFormat="false" ht="15" hidden="false" customHeight="false" outlineLevel="0" collapsed="false">
      <c r="A4075" s="31" t="s">
        <v>4225</v>
      </c>
      <c r="B4075" s="44" t="n">
        <v>46260</v>
      </c>
      <c r="C4075" s="31" t="s">
        <v>57</v>
      </c>
      <c r="D4075" s="31" t="s">
        <v>69</v>
      </c>
      <c r="E4075" s="31" t="s">
        <v>52</v>
      </c>
      <c r="F4075" s="31" t="s">
        <v>128</v>
      </c>
      <c r="G4075" s="31" t="n">
        <v>12</v>
      </c>
      <c r="H4075" s="41" t="n">
        <v>61.1</v>
      </c>
      <c r="I4075" s="31" t="s">
        <v>149</v>
      </c>
      <c r="J4075" s="31" t="n">
        <v>2</v>
      </c>
      <c r="K4075" s="31" t="s">
        <v>150</v>
      </c>
      <c r="L4075" s="45" t="n">
        <f aca="false">DATE(YEAR(B4075),MONTH(B4075),1)</f>
        <v>46235</v>
      </c>
      <c r="M4075" s="31" t="n">
        <f aca="false">WEEKDAY(B4075,2)</f>
        <v>3</v>
      </c>
      <c r="N4075" s="31" t="str">
        <f aca="false">IF(G4075&lt;=INDEX(Assumptions!$B$15:$B$18,MATCH(E4075,Assumptions!$A$15:$A$18,0)),"Yes","No")</f>
        <v>Yes</v>
      </c>
      <c r="O4075" s="31" t="str">
        <f aca="false">IF(H4075="","Open",IF(H4075&lt;=INDEX(Assumptions!$C$15:$C$18,MATCH(E4075,Assumptions!$A$15:$A$18,0)),"Yes","No"))</f>
        <v>Yes</v>
      </c>
    </row>
    <row r="4076" customFormat="false" ht="15" hidden="false" customHeight="false" outlineLevel="0" collapsed="false">
      <c r="A4076" s="31" t="s">
        <v>4226</v>
      </c>
      <c r="B4076" s="44" t="n">
        <v>46260</v>
      </c>
      <c r="C4076" s="31" t="s">
        <v>58</v>
      </c>
      <c r="D4076" s="31" t="s">
        <v>67</v>
      </c>
      <c r="E4076" s="31" t="s">
        <v>51</v>
      </c>
      <c r="F4076" s="31" t="s">
        <v>134</v>
      </c>
      <c r="G4076" s="31" t="n">
        <v>15</v>
      </c>
      <c r="H4076" s="41" t="n">
        <v>44.7</v>
      </c>
      <c r="I4076" s="31" t="s">
        <v>149</v>
      </c>
      <c r="J4076" s="31" t="n">
        <v>2</v>
      </c>
      <c r="K4076" s="31" t="s">
        <v>150</v>
      </c>
      <c r="L4076" s="45" t="n">
        <f aca="false">DATE(YEAR(B4076),MONTH(B4076),1)</f>
        <v>46235</v>
      </c>
      <c r="M4076" s="31" t="n">
        <f aca="false">WEEKDAY(B4076,2)</f>
        <v>3</v>
      </c>
      <c r="N4076" s="31" t="str">
        <f aca="false">IF(G4076&lt;=INDEX(Assumptions!$B$15:$B$18,MATCH(E4076,Assumptions!$A$15:$A$18,0)),"Yes","No")</f>
        <v>Yes</v>
      </c>
      <c r="O4076" s="31" t="str">
        <f aca="false">IF(H4076="","Open",IF(H4076&lt;=INDEX(Assumptions!$C$15:$C$18,MATCH(E4076,Assumptions!$A$15:$A$18,0)),"Yes","No"))</f>
        <v>No</v>
      </c>
    </row>
    <row r="4077" customFormat="false" ht="15" hidden="false" customHeight="false" outlineLevel="0" collapsed="false">
      <c r="A4077" s="31" t="s">
        <v>4227</v>
      </c>
      <c r="B4077" s="44" t="n">
        <v>46260</v>
      </c>
      <c r="C4077" s="31" t="s">
        <v>58</v>
      </c>
      <c r="D4077" s="31" t="s">
        <v>67</v>
      </c>
      <c r="E4077" s="31" t="s">
        <v>52</v>
      </c>
      <c r="F4077" s="31" t="s">
        <v>124</v>
      </c>
      <c r="G4077" s="31" t="n">
        <v>17</v>
      </c>
      <c r="H4077" s="41" t="n">
        <v>21.7</v>
      </c>
      <c r="I4077" s="31" t="s">
        <v>149</v>
      </c>
      <c r="J4077" s="31" t="n">
        <v>4</v>
      </c>
      <c r="K4077" s="31" t="s">
        <v>150</v>
      </c>
      <c r="L4077" s="45" t="n">
        <f aca="false">DATE(YEAR(B4077),MONTH(B4077),1)</f>
        <v>46235</v>
      </c>
      <c r="M4077" s="31" t="n">
        <f aca="false">WEEKDAY(B4077,2)</f>
        <v>3</v>
      </c>
      <c r="N4077" s="31" t="str">
        <f aca="false">IF(G4077&lt;=INDEX(Assumptions!$B$15:$B$18,MATCH(E4077,Assumptions!$A$15:$A$18,0)),"Yes","No")</f>
        <v>Yes</v>
      </c>
      <c r="O4077" s="31" t="str">
        <f aca="false">IF(H4077="","Open",IF(H4077&lt;=INDEX(Assumptions!$C$15:$C$18,MATCH(E4077,Assumptions!$A$15:$A$18,0)),"Yes","No"))</f>
        <v>Yes</v>
      </c>
    </row>
    <row r="4078" customFormat="false" ht="15" hidden="false" customHeight="false" outlineLevel="0" collapsed="false">
      <c r="A4078" s="31" t="s">
        <v>4228</v>
      </c>
      <c r="B4078" s="44" t="n">
        <v>46260</v>
      </c>
      <c r="C4078" s="31" t="s">
        <v>58</v>
      </c>
      <c r="D4078" s="31" t="s">
        <v>65</v>
      </c>
      <c r="E4078" s="31" t="s">
        <v>51</v>
      </c>
      <c r="F4078" s="31" t="s">
        <v>122</v>
      </c>
      <c r="G4078" s="31" t="n">
        <v>6</v>
      </c>
      <c r="H4078" s="41" t="n">
        <v>30</v>
      </c>
      <c r="I4078" s="31" t="s">
        <v>149</v>
      </c>
      <c r="J4078" s="31" t="n">
        <v>4</v>
      </c>
      <c r="K4078" s="31" t="s">
        <v>150</v>
      </c>
      <c r="L4078" s="45" t="n">
        <f aca="false">DATE(YEAR(B4078),MONTH(B4078),1)</f>
        <v>46235</v>
      </c>
      <c r="M4078" s="31" t="n">
        <f aca="false">WEEKDAY(B4078,2)</f>
        <v>3</v>
      </c>
      <c r="N4078" s="31" t="str">
        <f aca="false">IF(G4078&lt;=INDEX(Assumptions!$B$15:$B$18,MATCH(E4078,Assumptions!$A$15:$A$18,0)),"Yes","No")</f>
        <v>Yes</v>
      </c>
      <c r="O4078" s="31" t="str">
        <f aca="false">IF(H4078="","Open",IF(H4078&lt;=INDEX(Assumptions!$C$15:$C$18,MATCH(E4078,Assumptions!$A$15:$A$18,0)),"Yes","No"))</f>
        <v>No</v>
      </c>
    </row>
    <row r="4079" customFormat="false" ht="15" hidden="false" customHeight="false" outlineLevel="0" collapsed="false">
      <c r="A4079" s="31" t="s">
        <v>4229</v>
      </c>
      <c r="B4079" s="44" t="n">
        <v>46260</v>
      </c>
      <c r="C4079" s="31" t="s">
        <v>57</v>
      </c>
      <c r="D4079" s="31" t="s">
        <v>67</v>
      </c>
      <c r="E4079" s="31" t="s">
        <v>51</v>
      </c>
      <c r="F4079" s="31" t="s">
        <v>129</v>
      </c>
      <c r="G4079" s="31" t="n">
        <v>2</v>
      </c>
      <c r="H4079" s="41" t="n">
        <v>3.9</v>
      </c>
      <c r="I4079" s="31" t="s">
        <v>149</v>
      </c>
      <c r="J4079" s="31"/>
      <c r="K4079" s="31" t="s">
        <v>150</v>
      </c>
      <c r="L4079" s="45" t="n">
        <f aca="false">DATE(YEAR(B4079),MONTH(B4079),1)</f>
        <v>46235</v>
      </c>
      <c r="M4079" s="31" t="n">
        <f aca="false">WEEKDAY(B4079,2)</f>
        <v>3</v>
      </c>
      <c r="N4079" s="31" t="str">
        <f aca="false">IF(G4079&lt;=INDEX(Assumptions!$B$15:$B$18,MATCH(E4079,Assumptions!$A$15:$A$18,0)),"Yes","No")</f>
        <v>Yes</v>
      </c>
      <c r="O4079" s="31" t="str">
        <f aca="false">IF(H4079="","Open",IF(H4079&lt;=INDEX(Assumptions!$C$15:$C$18,MATCH(E4079,Assumptions!$A$15:$A$18,0)),"Yes","No"))</f>
        <v>Yes</v>
      </c>
    </row>
    <row r="4080" customFormat="false" ht="15" hidden="false" customHeight="false" outlineLevel="0" collapsed="false">
      <c r="A4080" s="31" t="s">
        <v>4230</v>
      </c>
      <c r="B4080" s="44" t="n">
        <v>46260</v>
      </c>
      <c r="C4080" s="31" t="s">
        <v>59</v>
      </c>
      <c r="D4080" s="31" t="s">
        <v>68</v>
      </c>
      <c r="E4080" s="31" t="s">
        <v>52</v>
      </c>
      <c r="F4080" s="31" t="s">
        <v>123</v>
      </c>
      <c r="G4080" s="31" t="n">
        <v>34</v>
      </c>
      <c r="H4080" s="41" t="n">
        <v>4.4</v>
      </c>
      <c r="I4080" s="31" t="s">
        <v>149</v>
      </c>
      <c r="J4080" s="31"/>
      <c r="K4080" s="31" t="s">
        <v>150</v>
      </c>
      <c r="L4080" s="45" t="n">
        <f aca="false">DATE(YEAR(B4080),MONTH(B4080),1)</f>
        <v>46235</v>
      </c>
      <c r="M4080" s="31" t="n">
        <f aca="false">WEEKDAY(B4080,2)</f>
        <v>3</v>
      </c>
      <c r="N4080" s="31" t="str">
        <f aca="false">IF(G4080&lt;=INDEX(Assumptions!$B$15:$B$18,MATCH(E4080,Assumptions!$A$15:$A$18,0)),"Yes","No")</f>
        <v>Yes</v>
      </c>
      <c r="O4080" s="31" t="str">
        <f aca="false">IF(H4080="","Open",IF(H4080&lt;=INDEX(Assumptions!$C$15:$C$18,MATCH(E4080,Assumptions!$A$15:$A$18,0)),"Yes","No"))</f>
        <v>Yes</v>
      </c>
    </row>
    <row r="4081" customFormat="false" ht="15" hidden="false" customHeight="false" outlineLevel="0" collapsed="false">
      <c r="A4081" s="31" t="s">
        <v>4231</v>
      </c>
      <c r="B4081" s="44" t="n">
        <v>46260</v>
      </c>
      <c r="C4081" s="31" t="s">
        <v>58</v>
      </c>
      <c r="D4081" s="31" t="s">
        <v>66</v>
      </c>
      <c r="E4081" s="31" t="s">
        <v>49</v>
      </c>
      <c r="F4081" s="31" t="s">
        <v>135</v>
      </c>
      <c r="G4081" s="31" t="n">
        <v>35</v>
      </c>
      <c r="H4081" s="41" t="n">
        <v>5.2</v>
      </c>
      <c r="I4081" s="31" t="s">
        <v>149</v>
      </c>
      <c r="J4081" s="31"/>
      <c r="K4081" s="31" t="s">
        <v>153</v>
      </c>
      <c r="L4081" s="45" t="n">
        <f aca="false">DATE(YEAR(B4081),MONTH(B4081),1)</f>
        <v>46235</v>
      </c>
      <c r="M4081" s="31" t="n">
        <f aca="false">WEEKDAY(B4081,2)</f>
        <v>3</v>
      </c>
      <c r="N4081" s="31" t="str">
        <f aca="false">IF(G4081&lt;=INDEX(Assumptions!$B$15:$B$18,MATCH(E4081,Assumptions!$A$15:$A$18,0)),"Yes","No")</f>
        <v>No</v>
      </c>
      <c r="O4081" s="31" t="str">
        <f aca="false">IF(H4081="","Open",IF(H4081&lt;=INDEX(Assumptions!$C$15:$C$18,MATCH(E4081,Assumptions!$A$15:$A$18,0)),"Yes","No"))</f>
        <v>No</v>
      </c>
    </row>
    <row r="4082" customFormat="false" ht="15" hidden="false" customHeight="false" outlineLevel="0" collapsed="false">
      <c r="A4082" s="31" t="s">
        <v>4232</v>
      </c>
      <c r="B4082" s="44" t="n">
        <v>46260</v>
      </c>
      <c r="C4082" s="31" t="s">
        <v>59</v>
      </c>
      <c r="D4082" s="31" t="s">
        <v>66</v>
      </c>
      <c r="E4082" s="31" t="s">
        <v>50</v>
      </c>
      <c r="F4082" s="31" t="s">
        <v>120</v>
      </c>
      <c r="G4082" s="31" t="n">
        <v>103</v>
      </c>
      <c r="H4082" s="41" t="n">
        <v>6.4</v>
      </c>
      <c r="I4082" s="31" t="s">
        <v>149</v>
      </c>
      <c r="J4082" s="31"/>
      <c r="K4082" s="31" t="s">
        <v>150</v>
      </c>
      <c r="L4082" s="45" t="n">
        <f aca="false">DATE(YEAR(B4082),MONTH(B4082),1)</f>
        <v>46235</v>
      </c>
      <c r="M4082" s="31" t="n">
        <f aca="false">WEEKDAY(B4082,2)</f>
        <v>3</v>
      </c>
      <c r="N4082" s="31" t="str">
        <f aca="false">IF(G4082&lt;=INDEX(Assumptions!$B$15:$B$18,MATCH(E4082,Assumptions!$A$15:$A$18,0)),"Yes","No")</f>
        <v>No</v>
      </c>
      <c r="O4082" s="31" t="str">
        <f aca="false">IF(H4082="","Open",IF(H4082&lt;=INDEX(Assumptions!$C$15:$C$18,MATCH(E4082,Assumptions!$A$15:$A$18,0)),"Yes","No"))</f>
        <v>Yes</v>
      </c>
    </row>
    <row r="4083" customFormat="false" ht="15" hidden="false" customHeight="false" outlineLevel="0" collapsed="false">
      <c r="A4083" s="31" t="s">
        <v>4233</v>
      </c>
      <c r="B4083" s="44" t="n">
        <v>46260</v>
      </c>
      <c r="C4083" s="31" t="s">
        <v>57</v>
      </c>
      <c r="D4083" s="31" t="s">
        <v>68</v>
      </c>
      <c r="E4083" s="31" t="s">
        <v>52</v>
      </c>
      <c r="F4083" s="31" t="s">
        <v>122</v>
      </c>
      <c r="G4083" s="31" t="n">
        <v>3</v>
      </c>
      <c r="H4083" s="41" t="n">
        <v>11.4</v>
      </c>
      <c r="I4083" s="31" t="s">
        <v>149</v>
      </c>
      <c r="J4083" s="31" t="n">
        <v>5</v>
      </c>
      <c r="K4083" s="31" t="s">
        <v>150</v>
      </c>
      <c r="L4083" s="45" t="n">
        <f aca="false">DATE(YEAR(B4083),MONTH(B4083),1)</f>
        <v>46235</v>
      </c>
      <c r="M4083" s="31" t="n">
        <f aca="false">WEEKDAY(B4083,2)</f>
        <v>3</v>
      </c>
      <c r="N4083" s="31" t="str">
        <f aca="false">IF(G4083&lt;=INDEX(Assumptions!$B$15:$B$18,MATCH(E4083,Assumptions!$A$15:$A$18,0)),"Yes","No")</f>
        <v>Yes</v>
      </c>
      <c r="O4083" s="31" t="str">
        <f aca="false">IF(H4083="","Open",IF(H4083&lt;=INDEX(Assumptions!$C$15:$C$18,MATCH(E4083,Assumptions!$A$15:$A$18,0)),"Yes","No"))</f>
        <v>Yes</v>
      </c>
    </row>
    <row r="4084" customFormat="false" ht="15" hidden="false" customHeight="false" outlineLevel="0" collapsed="false">
      <c r="A4084" s="31" t="s">
        <v>4234</v>
      </c>
      <c r="B4084" s="44" t="n">
        <v>46260</v>
      </c>
      <c r="C4084" s="31" t="s">
        <v>59</v>
      </c>
      <c r="D4084" s="31" t="s">
        <v>68</v>
      </c>
      <c r="E4084" s="31" t="s">
        <v>51</v>
      </c>
      <c r="F4084" s="31" t="s">
        <v>120</v>
      </c>
      <c r="G4084" s="31" t="n">
        <v>194</v>
      </c>
      <c r="H4084" s="41" t="n">
        <v>3.2</v>
      </c>
      <c r="I4084" s="31" t="s">
        <v>149</v>
      </c>
      <c r="J4084" s="31" t="n">
        <v>4</v>
      </c>
      <c r="K4084" s="31" t="s">
        <v>150</v>
      </c>
      <c r="L4084" s="45" t="n">
        <f aca="false">DATE(YEAR(B4084),MONTH(B4084),1)</f>
        <v>46235</v>
      </c>
      <c r="M4084" s="31" t="n">
        <f aca="false">WEEKDAY(B4084,2)</f>
        <v>3</v>
      </c>
      <c r="N4084" s="31" t="str">
        <f aca="false">IF(G4084&lt;=INDEX(Assumptions!$B$15:$B$18,MATCH(E4084,Assumptions!$A$15:$A$18,0)),"Yes","No")</f>
        <v>No</v>
      </c>
      <c r="O4084" s="31" t="str">
        <f aca="false">IF(H4084="","Open",IF(H4084&lt;=INDEX(Assumptions!$C$15:$C$18,MATCH(E4084,Assumptions!$A$15:$A$18,0)),"Yes","No"))</f>
        <v>Yes</v>
      </c>
    </row>
    <row r="4085" customFormat="false" ht="15" hidden="false" customHeight="false" outlineLevel="0" collapsed="false">
      <c r="A4085" s="31" t="s">
        <v>4235</v>
      </c>
      <c r="B4085" s="44" t="n">
        <v>46260</v>
      </c>
      <c r="C4085" s="31" t="s">
        <v>59</v>
      </c>
      <c r="D4085" s="31" t="s">
        <v>66</v>
      </c>
      <c r="E4085" s="31" t="s">
        <v>52</v>
      </c>
      <c r="F4085" s="31" t="s">
        <v>137</v>
      </c>
      <c r="G4085" s="31" t="n">
        <v>50</v>
      </c>
      <c r="H4085" s="41" t="n">
        <v>11.2</v>
      </c>
      <c r="I4085" s="31" t="s">
        <v>149</v>
      </c>
      <c r="J4085" s="31" t="n">
        <v>5</v>
      </c>
      <c r="K4085" s="31" t="s">
        <v>150</v>
      </c>
      <c r="L4085" s="45" t="n">
        <f aca="false">DATE(YEAR(B4085),MONTH(B4085),1)</f>
        <v>46235</v>
      </c>
      <c r="M4085" s="31" t="n">
        <f aca="false">WEEKDAY(B4085,2)</f>
        <v>3</v>
      </c>
      <c r="N4085" s="31" t="str">
        <f aca="false">IF(G4085&lt;=INDEX(Assumptions!$B$15:$B$18,MATCH(E4085,Assumptions!$A$15:$A$18,0)),"Yes","No")</f>
        <v>Yes</v>
      </c>
      <c r="O4085" s="31" t="str">
        <f aca="false">IF(H4085="","Open",IF(H4085&lt;=INDEX(Assumptions!$C$15:$C$18,MATCH(E4085,Assumptions!$A$15:$A$18,0)),"Yes","No"))</f>
        <v>Yes</v>
      </c>
    </row>
    <row r="4086" customFormat="false" ht="15" hidden="false" customHeight="false" outlineLevel="0" collapsed="false">
      <c r="A4086" s="31" t="s">
        <v>4236</v>
      </c>
      <c r="B4086" s="44" t="n">
        <v>46260</v>
      </c>
      <c r="C4086" s="31" t="s">
        <v>59</v>
      </c>
      <c r="D4086" s="31" t="s">
        <v>67</v>
      </c>
      <c r="E4086" s="31" t="s">
        <v>52</v>
      </c>
      <c r="F4086" s="31" t="s">
        <v>117</v>
      </c>
      <c r="G4086" s="31" t="n">
        <v>83</v>
      </c>
      <c r="H4086" s="41" t="n">
        <v>64</v>
      </c>
      <c r="I4086" s="31" t="s">
        <v>149</v>
      </c>
      <c r="J4086" s="31"/>
      <c r="K4086" s="31" t="s">
        <v>150</v>
      </c>
      <c r="L4086" s="45" t="n">
        <f aca="false">DATE(YEAR(B4086),MONTH(B4086),1)</f>
        <v>46235</v>
      </c>
      <c r="M4086" s="31" t="n">
        <f aca="false">WEEKDAY(B4086,2)</f>
        <v>3</v>
      </c>
      <c r="N4086" s="31" t="str">
        <f aca="false">IF(G4086&lt;=INDEX(Assumptions!$B$15:$B$18,MATCH(E4086,Assumptions!$A$15:$A$18,0)),"Yes","No")</f>
        <v>Yes</v>
      </c>
      <c r="O4086" s="31" t="str">
        <f aca="false">IF(H4086="","Open",IF(H4086&lt;=INDEX(Assumptions!$C$15:$C$18,MATCH(E4086,Assumptions!$A$15:$A$18,0)),"Yes","No"))</f>
        <v>Yes</v>
      </c>
    </row>
    <row r="4087" customFormat="false" ht="15" hidden="false" customHeight="false" outlineLevel="0" collapsed="false">
      <c r="A4087" s="31" t="s">
        <v>4237</v>
      </c>
      <c r="B4087" s="44" t="n">
        <v>46260</v>
      </c>
      <c r="C4087" s="31" t="s">
        <v>57</v>
      </c>
      <c r="D4087" s="31" t="s">
        <v>66</v>
      </c>
      <c r="E4087" s="31" t="s">
        <v>51</v>
      </c>
      <c r="F4087" s="31" t="s">
        <v>117</v>
      </c>
      <c r="G4087" s="31" t="n">
        <v>1</v>
      </c>
      <c r="H4087" s="41" t="n">
        <v>3.5</v>
      </c>
      <c r="I4087" s="31" t="s">
        <v>149</v>
      </c>
      <c r="J4087" s="31" t="n">
        <v>5</v>
      </c>
      <c r="K4087" s="31" t="s">
        <v>150</v>
      </c>
      <c r="L4087" s="45" t="n">
        <f aca="false">DATE(YEAR(B4087),MONTH(B4087),1)</f>
        <v>46235</v>
      </c>
      <c r="M4087" s="31" t="n">
        <f aca="false">WEEKDAY(B4087,2)</f>
        <v>3</v>
      </c>
      <c r="N4087" s="31" t="str">
        <f aca="false">IF(G4087&lt;=INDEX(Assumptions!$B$15:$B$18,MATCH(E4087,Assumptions!$A$15:$A$18,0)),"Yes","No")</f>
        <v>Yes</v>
      </c>
      <c r="O4087" s="31" t="str">
        <f aca="false">IF(H4087="","Open",IF(H4087&lt;=INDEX(Assumptions!$C$15:$C$18,MATCH(E4087,Assumptions!$A$15:$A$18,0)),"Yes","No"))</f>
        <v>Yes</v>
      </c>
    </row>
    <row r="4088" customFormat="false" ht="15" hidden="false" customHeight="false" outlineLevel="0" collapsed="false">
      <c r="A4088" s="31" t="s">
        <v>4238</v>
      </c>
      <c r="B4088" s="44" t="n">
        <v>46260</v>
      </c>
      <c r="C4088" s="31" t="s">
        <v>58</v>
      </c>
      <c r="D4088" s="31" t="s">
        <v>66</v>
      </c>
      <c r="E4088" s="31" t="s">
        <v>51</v>
      </c>
      <c r="F4088" s="31" t="s">
        <v>130</v>
      </c>
      <c r="G4088" s="31" t="n">
        <v>6</v>
      </c>
      <c r="H4088" s="41" t="n">
        <v>3.6</v>
      </c>
      <c r="I4088" s="31" t="s">
        <v>149</v>
      </c>
      <c r="J4088" s="31"/>
      <c r="K4088" s="31" t="s">
        <v>150</v>
      </c>
      <c r="L4088" s="45" t="n">
        <f aca="false">DATE(YEAR(B4088),MONTH(B4088),1)</f>
        <v>46235</v>
      </c>
      <c r="M4088" s="31" t="n">
        <f aca="false">WEEKDAY(B4088,2)</f>
        <v>3</v>
      </c>
      <c r="N4088" s="31" t="str">
        <f aca="false">IF(G4088&lt;=INDEX(Assumptions!$B$15:$B$18,MATCH(E4088,Assumptions!$A$15:$A$18,0)),"Yes","No")</f>
        <v>Yes</v>
      </c>
      <c r="O4088" s="31" t="str">
        <f aca="false">IF(H4088="","Open",IF(H4088&lt;=INDEX(Assumptions!$C$15:$C$18,MATCH(E4088,Assumptions!$A$15:$A$18,0)),"Yes","No"))</f>
        <v>Yes</v>
      </c>
    </row>
    <row r="4089" customFormat="false" ht="15" hidden="false" customHeight="false" outlineLevel="0" collapsed="false">
      <c r="A4089" s="31" t="s">
        <v>4239</v>
      </c>
      <c r="B4089" s="44" t="n">
        <v>46260</v>
      </c>
      <c r="C4089" s="31" t="s">
        <v>60</v>
      </c>
      <c r="D4089" s="31" t="s">
        <v>65</v>
      </c>
      <c r="E4089" s="31" t="s">
        <v>50</v>
      </c>
      <c r="F4089" s="31" t="s">
        <v>119</v>
      </c>
      <c r="G4089" s="31" t="n">
        <v>1</v>
      </c>
      <c r="H4089" s="41" t="n">
        <v>3.9</v>
      </c>
      <c r="I4089" s="31" t="s">
        <v>149</v>
      </c>
      <c r="J4089" s="31"/>
      <c r="K4089" s="31" t="s">
        <v>150</v>
      </c>
      <c r="L4089" s="45" t="n">
        <f aca="false">DATE(YEAR(B4089),MONTH(B4089),1)</f>
        <v>46235</v>
      </c>
      <c r="M4089" s="31" t="n">
        <f aca="false">WEEKDAY(B4089,2)</f>
        <v>3</v>
      </c>
      <c r="N4089" s="31" t="str">
        <f aca="false">IF(G4089&lt;=INDEX(Assumptions!$B$15:$B$18,MATCH(E4089,Assumptions!$A$15:$A$18,0)),"Yes","No")</f>
        <v>Yes</v>
      </c>
      <c r="O4089" s="31" t="str">
        <f aca="false">IF(H4089="","Open",IF(H4089&lt;=INDEX(Assumptions!$C$15:$C$18,MATCH(E4089,Assumptions!$A$15:$A$18,0)),"Yes","No"))</f>
        <v>Yes</v>
      </c>
    </row>
    <row r="4090" customFormat="false" ht="15" hidden="false" customHeight="false" outlineLevel="0" collapsed="false">
      <c r="A4090" s="31" t="s">
        <v>4240</v>
      </c>
      <c r="B4090" s="44" t="n">
        <v>46260</v>
      </c>
      <c r="C4090" s="31" t="s">
        <v>57</v>
      </c>
      <c r="D4090" s="31" t="s">
        <v>65</v>
      </c>
      <c r="E4090" s="31" t="s">
        <v>52</v>
      </c>
      <c r="F4090" s="31" t="s">
        <v>133</v>
      </c>
      <c r="G4090" s="31" t="n">
        <v>1</v>
      </c>
      <c r="H4090" s="41" t="n">
        <v>21.5</v>
      </c>
      <c r="I4090" s="31" t="s">
        <v>149</v>
      </c>
      <c r="J4090" s="31"/>
      <c r="K4090" s="31" t="s">
        <v>153</v>
      </c>
      <c r="L4090" s="45" t="n">
        <f aca="false">DATE(YEAR(B4090),MONTH(B4090),1)</f>
        <v>46235</v>
      </c>
      <c r="M4090" s="31" t="n">
        <f aca="false">WEEKDAY(B4090,2)</f>
        <v>3</v>
      </c>
      <c r="N4090" s="31" t="str">
        <f aca="false">IF(G4090&lt;=INDEX(Assumptions!$B$15:$B$18,MATCH(E4090,Assumptions!$A$15:$A$18,0)),"Yes","No")</f>
        <v>Yes</v>
      </c>
      <c r="O4090" s="31" t="str">
        <f aca="false">IF(H4090="","Open",IF(H4090&lt;=INDEX(Assumptions!$C$15:$C$18,MATCH(E4090,Assumptions!$A$15:$A$18,0)),"Yes","No"))</f>
        <v>Yes</v>
      </c>
    </row>
    <row r="4091" customFormat="false" ht="15" hidden="false" customHeight="false" outlineLevel="0" collapsed="false">
      <c r="A4091" s="31" t="s">
        <v>4241</v>
      </c>
      <c r="B4091" s="44" t="n">
        <v>46260</v>
      </c>
      <c r="C4091" s="31" t="s">
        <v>59</v>
      </c>
      <c r="D4091" s="31" t="s">
        <v>67</v>
      </c>
      <c r="E4091" s="31" t="s">
        <v>51</v>
      </c>
      <c r="F4091" s="31" t="s">
        <v>136</v>
      </c>
      <c r="G4091" s="31" t="n">
        <v>46</v>
      </c>
      <c r="H4091" s="41"/>
      <c r="I4091" s="31" t="s">
        <v>158</v>
      </c>
      <c r="J4091" s="31"/>
      <c r="K4091" s="31" t="s">
        <v>150</v>
      </c>
      <c r="L4091" s="45" t="n">
        <f aca="false">DATE(YEAR(B4091),MONTH(B4091),1)</f>
        <v>46235</v>
      </c>
      <c r="M4091" s="31" t="n">
        <f aca="false">WEEKDAY(B4091,2)</f>
        <v>3</v>
      </c>
      <c r="N4091" s="31" t="str">
        <f aca="false">IF(G4091&lt;=INDEX(Assumptions!$B$15:$B$18,MATCH(E4091,Assumptions!$A$15:$A$18,0)),"Yes","No")</f>
        <v>Yes</v>
      </c>
      <c r="O4091" s="31" t="str">
        <f aca="false">IF(H4091="","Open",IF(H4091&lt;=INDEX(Assumptions!$C$15:$C$18,MATCH(E4091,Assumptions!$A$15:$A$18,0)),"Yes","No"))</f>
        <v>Open</v>
      </c>
    </row>
    <row r="4092" customFormat="false" ht="15" hidden="false" customHeight="false" outlineLevel="0" collapsed="false">
      <c r="A4092" s="31" t="s">
        <v>4242</v>
      </c>
      <c r="B4092" s="44" t="n">
        <v>46260</v>
      </c>
      <c r="C4092" s="31" t="s">
        <v>57</v>
      </c>
      <c r="D4092" s="31" t="s">
        <v>66</v>
      </c>
      <c r="E4092" s="31" t="s">
        <v>51</v>
      </c>
      <c r="F4092" s="31" t="s">
        <v>117</v>
      </c>
      <c r="G4092" s="31" t="n">
        <v>8</v>
      </c>
      <c r="H4092" s="41" t="n">
        <v>2.5</v>
      </c>
      <c r="I4092" s="31" t="s">
        <v>149</v>
      </c>
      <c r="J4092" s="31"/>
      <c r="K4092" s="31" t="s">
        <v>150</v>
      </c>
      <c r="L4092" s="45" t="n">
        <f aca="false">DATE(YEAR(B4092),MONTH(B4092),1)</f>
        <v>46235</v>
      </c>
      <c r="M4092" s="31" t="n">
        <f aca="false">WEEKDAY(B4092,2)</f>
        <v>3</v>
      </c>
      <c r="N4092" s="31" t="str">
        <f aca="false">IF(G4092&lt;=INDEX(Assumptions!$B$15:$B$18,MATCH(E4092,Assumptions!$A$15:$A$18,0)),"Yes","No")</f>
        <v>Yes</v>
      </c>
      <c r="O4092" s="31" t="str">
        <f aca="false">IF(H4092="","Open",IF(H4092&lt;=INDEX(Assumptions!$C$15:$C$18,MATCH(E4092,Assumptions!$A$15:$A$18,0)),"Yes","No"))</f>
        <v>Yes</v>
      </c>
    </row>
    <row r="4093" customFormat="false" ht="15" hidden="false" customHeight="false" outlineLevel="0" collapsed="false">
      <c r="A4093" s="31" t="s">
        <v>4243</v>
      </c>
      <c r="B4093" s="44" t="n">
        <v>46260</v>
      </c>
      <c r="C4093" s="31" t="s">
        <v>58</v>
      </c>
      <c r="D4093" s="31" t="s">
        <v>66</v>
      </c>
      <c r="E4093" s="31" t="s">
        <v>50</v>
      </c>
      <c r="F4093" s="31" t="s">
        <v>119</v>
      </c>
      <c r="G4093" s="31" t="n">
        <v>13</v>
      </c>
      <c r="H4093" s="41" t="n">
        <v>0.7</v>
      </c>
      <c r="I4093" s="31" t="s">
        <v>149</v>
      </c>
      <c r="J4093" s="31"/>
      <c r="K4093" s="31" t="s">
        <v>150</v>
      </c>
      <c r="L4093" s="45" t="n">
        <f aca="false">DATE(YEAR(B4093),MONTH(B4093),1)</f>
        <v>46235</v>
      </c>
      <c r="M4093" s="31" t="n">
        <f aca="false">WEEKDAY(B4093,2)</f>
        <v>3</v>
      </c>
      <c r="N4093" s="31" t="str">
        <f aca="false">IF(G4093&lt;=INDEX(Assumptions!$B$15:$B$18,MATCH(E4093,Assumptions!$A$15:$A$18,0)),"Yes","No")</f>
        <v>Yes</v>
      </c>
      <c r="O4093" s="31" t="str">
        <f aca="false">IF(H4093="","Open",IF(H4093&lt;=INDEX(Assumptions!$C$15:$C$18,MATCH(E4093,Assumptions!$A$15:$A$18,0)),"Yes","No"))</f>
        <v>Yes</v>
      </c>
    </row>
    <row r="4094" customFormat="false" ht="15" hidden="false" customHeight="false" outlineLevel="0" collapsed="false">
      <c r="A4094" s="31" t="s">
        <v>4244</v>
      </c>
      <c r="B4094" s="44" t="n">
        <v>46260</v>
      </c>
      <c r="C4094" s="31" t="s">
        <v>58</v>
      </c>
      <c r="D4094" s="31" t="s">
        <v>66</v>
      </c>
      <c r="E4094" s="31" t="s">
        <v>50</v>
      </c>
      <c r="F4094" s="31" t="s">
        <v>129</v>
      </c>
      <c r="G4094" s="31" t="n">
        <v>4</v>
      </c>
      <c r="H4094" s="41" t="n">
        <v>2.1</v>
      </c>
      <c r="I4094" s="31" t="s">
        <v>149</v>
      </c>
      <c r="J4094" s="31" t="n">
        <v>5</v>
      </c>
      <c r="K4094" s="31" t="s">
        <v>150</v>
      </c>
      <c r="L4094" s="45" t="n">
        <f aca="false">DATE(YEAR(B4094),MONTH(B4094),1)</f>
        <v>46235</v>
      </c>
      <c r="M4094" s="31" t="n">
        <f aca="false">WEEKDAY(B4094,2)</f>
        <v>3</v>
      </c>
      <c r="N4094" s="31" t="str">
        <f aca="false">IF(G4094&lt;=INDEX(Assumptions!$B$15:$B$18,MATCH(E4094,Assumptions!$A$15:$A$18,0)),"Yes","No")</f>
        <v>Yes</v>
      </c>
      <c r="O4094" s="31" t="str">
        <f aca="false">IF(H4094="","Open",IF(H4094&lt;=INDEX(Assumptions!$C$15:$C$18,MATCH(E4094,Assumptions!$A$15:$A$18,0)),"Yes","No"))</f>
        <v>Yes</v>
      </c>
    </row>
    <row r="4095" customFormat="false" ht="15" hidden="false" customHeight="false" outlineLevel="0" collapsed="false">
      <c r="A4095" s="31" t="s">
        <v>4245</v>
      </c>
      <c r="B4095" s="44" t="n">
        <v>46260</v>
      </c>
      <c r="C4095" s="31" t="s">
        <v>58</v>
      </c>
      <c r="D4095" s="31" t="s">
        <v>66</v>
      </c>
      <c r="E4095" s="31" t="s">
        <v>51</v>
      </c>
      <c r="F4095" s="31" t="s">
        <v>117</v>
      </c>
      <c r="G4095" s="31" t="n">
        <v>5</v>
      </c>
      <c r="H4095" s="41" t="n">
        <v>1.8</v>
      </c>
      <c r="I4095" s="31" t="s">
        <v>149</v>
      </c>
      <c r="J4095" s="31"/>
      <c r="K4095" s="31" t="s">
        <v>150</v>
      </c>
      <c r="L4095" s="45" t="n">
        <f aca="false">DATE(YEAR(B4095),MONTH(B4095),1)</f>
        <v>46235</v>
      </c>
      <c r="M4095" s="31" t="n">
        <f aca="false">WEEKDAY(B4095,2)</f>
        <v>3</v>
      </c>
      <c r="N4095" s="31" t="str">
        <f aca="false">IF(G4095&lt;=INDEX(Assumptions!$B$15:$B$18,MATCH(E4095,Assumptions!$A$15:$A$18,0)),"Yes","No")</f>
        <v>Yes</v>
      </c>
      <c r="O4095" s="31" t="str">
        <f aca="false">IF(H4095="","Open",IF(H4095&lt;=INDEX(Assumptions!$C$15:$C$18,MATCH(E4095,Assumptions!$A$15:$A$18,0)),"Yes","No"))</f>
        <v>Yes</v>
      </c>
    </row>
    <row r="4096" customFormat="false" ht="15" hidden="false" customHeight="false" outlineLevel="0" collapsed="false">
      <c r="A4096" s="31" t="s">
        <v>4246</v>
      </c>
      <c r="B4096" s="44" t="n">
        <v>46260</v>
      </c>
      <c r="C4096" s="31" t="s">
        <v>58</v>
      </c>
      <c r="D4096" s="31" t="s">
        <v>68</v>
      </c>
      <c r="E4096" s="31" t="s">
        <v>51</v>
      </c>
      <c r="F4096" s="31" t="s">
        <v>119</v>
      </c>
      <c r="G4096" s="31" t="n">
        <v>3</v>
      </c>
      <c r="H4096" s="41" t="n">
        <v>3.6</v>
      </c>
      <c r="I4096" s="31" t="s">
        <v>149</v>
      </c>
      <c r="J4096" s="31" t="n">
        <v>5</v>
      </c>
      <c r="K4096" s="31" t="s">
        <v>150</v>
      </c>
      <c r="L4096" s="45" t="n">
        <f aca="false">DATE(YEAR(B4096),MONTH(B4096),1)</f>
        <v>46235</v>
      </c>
      <c r="M4096" s="31" t="n">
        <f aca="false">WEEKDAY(B4096,2)</f>
        <v>3</v>
      </c>
      <c r="N4096" s="31" t="str">
        <f aca="false">IF(G4096&lt;=INDEX(Assumptions!$B$15:$B$18,MATCH(E4096,Assumptions!$A$15:$A$18,0)),"Yes","No")</f>
        <v>Yes</v>
      </c>
      <c r="O4096" s="31" t="str">
        <f aca="false">IF(H4096="","Open",IF(H4096&lt;=INDEX(Assumptions!$C$15:$C$18,MATCH(E4096,Assumptions!$A$15:$A$18,0)),"Yes","No"))</f>
        <v>Yes</v>
      </c>
    </row>
    <row r="4097" customFormat="false" ht="15" hidden="false" customHeight="false" outlineLevel="0" collapsed="false">
      <c r="A4097" s="31" t="s">
        <v>4247</v>
      </c>
      <c r="B4097" s="44" t="n">
        <v>46260</v>
      </c>
      <c r="C4097" s="31" t="s">
        <v>58</v>
      </c>
      <c r="D4097" s="31" t="s">
        <v>66</v>
      </c>
      <c r="E4097" s="31" t="s">
        <v>51</v>
      </c>
      <c r="F4097" s="31" t="s">
        <v>130</v>
      </c>
      <c r="G4097" s="31" t="n">
        <v>5</v>
      </c>
      <c r="H4097" s="41" t="n">
        <v>6.1</v>
      </c>
      <c r="I4097" s="31" t="s">
        <v>149</v>
      </c>
      <c r="J4097" s="31" t="n">
        <v>4</v>
      </c>
      <c r="K4097" s="31" t="s">
        <v>150</v>
      </c>
      <c r="L4097" s="45" t="n">
        <f aca="false">DATE(YEAR(B4097),MONTH(B4097),1)</f>
        <v>46235</v>
      </c>
      <c r="M4097" s="31" t="n">
        <f aca="false">WEEKDAY(B4097,2)</f>
        <v>3</v>
      </c>
      <c r="N4097" s="31" t="str">
        <f aca="false">IF(G4097&lt;=INDEX(Assumptions!$B$15:$B$18,MATCH(E4097,Assumptions!$A$15:$A$18,0)),"Yes","No")</f>
        <v>Yes</v>
      </c>
      <c r="O4097" s="31" t="str">
        <f aca="false">IF(H4097="","Open",IF(H4097&lt;=INDEX(Assumptions!$C$15:$C$18,MATCH(E4097,Assumptions!$A$15:$A$18,0)),"Yes","No"))</f>
        <v>Yes</v>
      </c>
    </row>
    <row r="4098" customFormat="false" ht="15" hidden="false" customHeight="false" outlineLevel="0" collapsed="false">
      <c r="A4098" s="31" t="s">
        <v>4248</v>
      </c>
      <c r="B4098" s="44" t="n">
        <v>46260</v>
      </c>
      <c r="C4098" s="31" t="s">
        <v>59</v>
      </c>
      <c r="D4098" s="31" t="s">
        <v>67</v>
      </c>
      <c r="E4098" s="31" t="s">
        <v>51</v>
      </c>
      <c r="F4098" s="31" t="s">
        <v>133</v>
      </c>
      <c r="G4098" s="31" t="n">
        <v>24</v>
      </c>
      <c r="H4098" s="41" t="n">
        <v>17.8</v>
      </c>
      <c r="I4098" s="31" t="s">
        <v>149</v>
      </c>
      <c r="J4098" s="31"/>
      <c r="K4098" s="31" t="s">
        <v>150</v>
      </c>
      <c r="L4098" s="45" t="n">
        <f aca="false">DATE(YEAR(B4098),MONTH(B4098),1)</f>
        <v>46235</v>
      </c>
      <c r="M4098" s="31" t="n">
        <f aca="false">WEEKDAY(B4098,2)</f>
        <v>3</v>
      </c>
      <c r="N4098" s="31" t="str">
        <f aca="false">IF(G4098&lt;=INDEX(Assumptions!$B$15:$B$18,MATCH(E4098,Assumptions!$A$15:$A$18,0)),"Yes","No")</f>
        <v>Yes</v>
      </c>
      <c r="O4098" s="31" t="str">
        <f aca="false">IF(H4098="","Open",IF(H4098&lt;=INDEX(Assumptions!$C$15:$C$18,MATCH(E4098,Assumptions!$A$15:$A$18,0)),"Yes","No"))</f>
        <v>Yes</v>
      </c>
    </row>
    <row r="4099" customFormat="false" ht="15" hidden="false" customHeight="false" outlineLevel="0" collapsed="false">
      <c r="A4099" s="31" t="s">
        <v>4249</v>
      </c>
      <c r="B4099" s="44" t="n">
        <v>46260</v>
      </c>
      <c r="C4099" s="31" t="s">
        <v>60</v>
      </c>
      <c r="D4099" s="31" t="s">
        <v>65</v>
      </c>
      <c r="E4099" s="31" t="s">
        <v>50</v>
      </c>
      <c r="F4099" s="31" t="s">
        <v>136</v>
      </c>
      <c r="G4099" s="31" t="n">
        <v>3</v>
      </c>
      <c r="H4099" s="41" t="n">
        <v>3.1</v>
      </c>
      <c r="I4099" s="31" t="s">
        <v>149</v>
      </c>
      <c r="J4099" s="31" t="n">
        <v>5</v>
      </c>
      <c r="K4099" s="31" t="s">
        <v>150</v>
      </c>
      <c r="L4099" s="45" t="n">
        <f aca="false">DATE(YEAR(B4099),MONTH(B4099),1)</f>
        <v>46235</v>
      </c>
      <c r="M4099" s="31" t="n">
        <f aca="false">WEEKDAY(B4099,2)</f>
        <v>3</v>
      </c>
      <c r="N4099" s="31" t="str">
        <f aca="false">IF(G4099&lt;=INDEX(Assumptions!$B$15:$B$18,MATCH(E4099,Assumptions!$A$15:$A$18,0)),"Yes","No")</f>
        <v>Yes</v>
      </c>
      <c r="O4099" s="31" t="str">
        <f aca="false">IF(H4099="","Open",IF(H4099&lt;=INDEX(Assumptions!$C$15:$C$18,MATCH(E4099,Assumptions!$A$15:$A$18,0)),"Yes","No"))</f>
        <v>Yes</v>
      </c>
    </row>
    <row r="4100" customFormat="false" ht="15" hidden="false" customHeight="false" outlineLevel="0" collapsed="false">
      <c r="A4100" s="31" t="s">
        <v>4250</v>
      </c>
      <c r="B4100" s="44" t="n">
        <v>46260</v>
      </c>
      <c r="C4100" s="31" t="s">
        <v>57</v>
      </c>
      <c r="D4100" s="31" t="s">
        <v>66</v>
      </c>
      <c r="E4100" s="31" t="s">
        <v>52</v>
      </c>
      <c r="F4100" s="31" t="s">
        <v>131</v>
      </c>
      <c r="G4100" s="31" t="n">
        <v>3</v>
      </c>
      <c r="H4100" s="41"/>
      <c r="I4100" s="31" t="s">
        <v>158</v>
      </c>
      <c r="J4100" s="31"/>
      <c r="K4100" s="31" t="s">
        <v>150</v>
      </c>
      <c r="L4100" s="45" t="n">
        <f aca="false">DATE(YEAR(B4100),MONTH(B4100),1)</f>
        <v>46235</v>
      </c>
      <c r="M4100" s="31" t="n">
        <f aca="false">WEEKDAY(B4100,2)</f>
        <v>3</v>
      </c>
      <c r="N4100" s="31" t="str">
        <f aca="false">IF(G4100&lt;=INDEX(Assumptions!$B$15:$B$18,MATCH(E4100,Assumptions!$A$15:$A$18,0)),"Yes","No")</f>
        <v>Yes</v>
      </c>
      <c r="O4100" s="31" t="str">
        <f aca="false">IF(H4100="","Open",IF(H4100&lt;=INDEX(Assumptions!$C$15:$C$18,MATCH(E4100,Assumptions!$A$15:$A$18,0)),"Yes","No"))</f>
        <v>Open</v>
      </c>
    </row>
    <row r="4101" customFormat="false" ht="15" hidden="false" customHeight="false" outlineLevel="0" collapsed="false">
      <c r="A4101" s="31" t="s">
        <v>4251</v>
      </c>
      <c r="B4101" s="44" t="n">
        <v>46260</v>
      </c>
      <c r="C4101" s="31" t="s">
        <v>60</v>
      </c>
      <c r="D4101" s="31" t="s">
        <v>68</v>
      </c>
      <c r="E4101" s="31" t="s">
        <v>50</v>
      </c>
      <c r="F4101" s="31" t="s">
        <v>133</v>
      </c>
      <c r="G4101" s="31" t="n">
        <v>1</v>
      </c>
      <c r="H4101" s="41" t="n">
        <v>2.8</v>
      </c>
      <c r="I4101" s="31" t="s">
        <v>149</v>
      </c>
      <c r="J4101" s="31"/>
      <c r="K4101" s="31" t="s">
        <v>150</v>
      </c>
      <c r="L4101" s="45" t="n">
        <f aca="false">DATE(YEAR(B4101),MONTH(B4101),1)</f>
        <v>46235</v>
      </c>
      <c r="M4101" s="31" t="n">
        <f aca="false">WEEKDAY(B4101,2)</f>
        <v>3</v>
      </c>
      <c r="N4101" s="31" t="str">
        <f aca="false">IF(G4101&lt;=INDEX(Assumptions!$B$15:$B$18,MATCH(E4101,Assumptions!$A$15:$A$18,0)),"Yes","No")</f>
        <v>Yes</v>
      </c>
      <c r="O4101" s="31" t="str">
        <f aca="false">IF(H4101="","Open",IF(H4101&lt;=INDEX(Assumptions!$C$15:$C$18,MATCH(E4101,Assumptions!$A$15:$A$18,0)),"Yes","No"))</f>
        <v>Yes</v>
      </c>
    </row>
    <row r="4102" customFormat="false" ht="15" hidden="false" customHeight="false" outlineLevel="0" collapsed="false">
      <c r="A4102" s="31" t="s">
        <v>4252</v>
      </c>
      <c r="B4102" s="44" t="n">
        <v>46260</v>
      </c>
      <c r="C4102" s="31" t="s">
        <v>57</v>
      </c>
      <c r="D4102" s="31" t="s">
        <v>65</v>
      </c>
      <c r="E4102" s="31" t="s">
        <v>52</v>
      </c>
      <c r="F4102" s="31" t="s">
        <v>137</v>
      </c>
      <c r="G4102" s="31" t="n">
        <v>5</v>
      </c>
      <c r="H4102" s="41" t="n">
        <v>4.7</v>
      </c>
      <c r="I4102" s="31" t="s">
        <v>149</v>
      </c>
      <c r="J4102" s="31" t="n">
        <v>4</v>
      </c>
      <c r="K4102" s="31" t="s">
        <v>150</v>
      </c>
      <c r="L4102" s="45" t="n">
        <f aca="false">DATE(YEAR(B4102),MONTH(B4102),1)</f>
        <v>46235</v>
      </c>
      <c r="M4102" s="31" t="n">
        <f aca="false">WEEKDAY(B4102,2)</f>
        <v>3</v>
      </c>
      <c r="N4102" s="31" t="str">
        <f aca="false">IF(G4102&lt;=INDEX(Assumptions!$B$15:$B$18,MATCH(E4102,Assumptions!$A$15:$A$18,0)),"Yes","No")</f>
        <v>Yes</v>
      </c>
      <c r="O4102" s="31" t="str">
        <f aca="false">IF(H4102="","Open",IF(H4102&lt;=INDEX(Assumptions!$C$15:$C$18,MATCH(E4102,Assumptions!$A$15:$A$18,0)),"Yes","No"))</f>
        <v>Yes</v>
      </c>
    </row>
    <row r="4103" customFormat="false" ht="15" hidden="false" customHeight="false" outlineLevel="0" collapsed="false">
      <c r="A4103" s="31" t="s">
        <v>4253</v>
      </c>
      <c r="B4103" s="44" t="n">
        <v>46260</v>
      </c>
      <c r="C4103" s="31" t="s">
        <v>58</v>
      </c>
      <c r="D4103" s="31" t="s">
        <v>65</v>
      </c>
      <c r="E4103" s="31" t="s">
        <v>51</v>
      </c>
      <c r="F4103" s="31" t="s">
        <v>131</v>
      </c>
      <c r="G4103" s="31" t="n">
        <v>10</v>
      </c>
      <c r="H4103" s="41" t="n">
        <v>4.3</v>
      </c>
      <c r="I4103" s="31" t="s">
        <v>149</v>
      </c>
      <c r="J4103" s="31" t="n">
        <v>3</v>
      </c>
      <c r="K4103" s="31" t="s">
        <v>150</v>
      </c>
      <c r="L4103" s="45" t="n">
        <f aca="false">DATE(YEAR(B4103),MONTH(B4103),1)</f>
        <v>46235</v>
      </c>
      <c r="M4103" s="31" t="n">
        <f aca="false">WEEKDAY(B4103,2)</f>
        <v>3</v>
      </c>
      <c r="N4103" s="31" t="str">
        <f aca="false">IF(G4103&lt;=INDEX(Assumptions!$B$15:$B$18,MATCH(E4103,Assumptions!$A$15:$A$18,0)),"Yes","No")</f>
        <v>Yes</v>
      </c>
      <c r="O4103" s="31" t="str">
        <f aca="false">IF(H4103="","Open",IF(H4103&lt;=INDEX(Assumptions!$C$15:$C$18,MATCH(E4103,Assumptions!$A$15:$A$18,0)),"Yes","No"))</f>
        <v>Yes</v>
      </c>
    </row>
    <row r="4104" customFormat="false" ht="15" hidden="false" customHeight="false" outlineLevel="0" collapsed="false">
      <c r="A4104" s="31" t="s">
        <v>4254</v>
      </c>
      <c r="B4104" s="44" t="n">
        <v>46260</v>
      </c>
      <c r="C4104" s="31" t="s">
        <v>59</v>
      </c>
      <c r="D4104" s="31" t="s">
        <v>69</v>
      </c>
      <c r="E4104" s="31" t="s">
        <v>49</v>
      </c>
      <c r="F4104" s="31" t="s">
        <v>117</v>
      </c>
      <c r="G4104" s="31" t="n">
        <v>33</v>
      </c>
      <c r="H4104" s="41" t="n">
        <v>14.3</v>
      </c>
      <c r="I4104" s="31" t="s">
        <v>149</v>
      </c>
      <c r="J4104" s="31" t="n">
        <v>4</v>
      </c>
      <c r="K4104" s="31" t="s">
        <v>150</v>
      </c>
      <c r="L4104" s="45" t="n">
        <f aca="false">DATE(YEAR(B4104),MONTH(B4104),1)</f>
        <v>46235</v>
      </c>
      <c r="M4104" s="31" t="n">
        <f aca="false">WEEKDAY(B4104,2)</f>
        <v>3</v>
      </c>
      <c r="N4104" s="31" t="str">
        <f aca="false">IF(G4104&lt;=INDEX(Assumptions!$B$15:$B$18,MATCH(E4104,Assumptions!$A$15:$A$18,0)),"Yes","No")</f>
        <v>No</v>
      </c>
      <c r="O4104" s="31" t="str">
        <f aca="false">IF(H4104="","Open",IF(H4104&lt;=INDEX(Assumptions!$C$15:$C$18,MATCH(E4104,Assumptions!$A$15:$A$18,0)),"Yes","No"))</f>
        <v>No</v>
      </c>
    </row>
    <row r="4105" customFormat="false" ht="15" hidden="false" customHeight="false" outlineLevel="0" collapsed="false">
      <c r="A4105" s="31" t="s">
        <v>4255</v>
      </c>
      <c r="B4105" s="44" t="n">
        <v>46260</v>
      </c>
      <c r="C4105" s="31" t="s">
        <v>58</v>
      </c>
      <c r="D4105" s="31" t="s">
        <v>65</v>
      </c>
      <c r="E4105" s="31" t="s">
        <v>52</v>
      </c>
      <c r="F4105" s="31" t="s">
        <v>127</v>
      </c>
      <c r="G4105" s="31" t="n">
        <v>8</v>
      </c>
      <c r="H4105" s="41" t="n">
        <v>24</v>
      </c>
      <c r="I4105" s="31" t="s">
        <v>149</v>
      </c>
      <c r="J4105" s="31"/>
      <c r="K4105" s="31" t="s">
        <v>150</v>
      </c>
      <c r="L4105" s="45" t="n">
        <f aca="false">DATE(YEAR(B4105),MONTH(B4105),1)</f>
        <v>46235</v>
      </c>
      <c r="M4105" s="31" t="n">
        <f aca="false">WEEKDAY(B4105,2)</f>
        <v>3</v>
      </c>
      <c r="N4105" s="31" t="str">
        <f aca="false">IF(G4105&lt;=INDEX(Assumptions!$B$15:$B$18,MATCH(E4105,Assumptions!$A$15:$A$18,0)),"Yes","No")</f>
        <v>Yes</v>
      </c>
      <c r="O4105" s="31" t="str">
        <f aca="false">IF(H4105="","Open",IF(H4105&lt;=INDEX(Assumptions!$C$15:$C$18,MATCH(E4105,Assumptions!$A$15:$A$18,0)),"Yes","No"))</f>
        <v>Yes</v>
      </c>
    </row>
    <row r="4106" customFormat="false" ht="15" hidden="false" customHeight="false" outlineLevel="0" collapsed="false">
      <c r="A4106" s="31" t="s">
        <v>4256</v>
      </c>
      <c r="B4106" s="44" t="n">
        <v>46260</v>
      </c>
      <c r="C4106" s="31" t="s">
        <v>59</v>
      </c>
      <c r="D4106" s="31" t="s">
        <v>66</v>
      </c>
      <c r="E4106" s="31" t="s">
        <v>52</v>
      </c>
      <c r="F4106" s="31" t="s">
        <v>133</v>
      </c>
      <c r="G4106" s="31" t="n">
        <v>177</v>
      </c>
      <c r="H4106" s="41" t="n">
        <v>20.6</v>
      </c>
      <c r="I4106" s="31" t="s">
        <v>64</v>
      </c>
      <c r="J4106" s="31"/>
      <c r="K4106" s="31" t="s">
        <v>150</v>
      </c>
      <c r="L4106" s="45" t="n">
        <f aca="false">DATE(YEAR(B4106),MONTH(B4106),1)</f>
        <v>46235</v>
      </c>
      <c r="M4106" s="31" t="n">
        <f aca="false">WEEKDAY(B4106,2)</f>
        <v>3</v>
      </c>
      <c r="N4106" s="31" t="str">
        <f aca="false">IF(G4106&lt;=INDEX(Assumptions!$B$15:$B$18,MATCH(E4106,Assumptions!$A$15:$A$18,0)),"Yes","No")</f>
        <v>Yes</v>
      </c>
      <c r="O4106" s="31" t="str">
        <f aca="false">IF(H4106="","Open",IF(H4106&lt;=INDEX(Assumptions!$C$15:$C$18,MATCH(E4106,Assumptions!$A$15:$A$18,0)),"Yes","No"))</f>
        <v>Yes</v>
      </c>
    </row>
    <row r="4107" customFormat="false" ht="15" hidden="false" customHeight="false" outlineLevel="0" collapsed="false">
      <c r="A4107" s="31" t="s">
        <v>4257</v>
      </c>
      <c r="B4107" s="44" t="n">
        <v>46260</v>
      </c>
      <c r="C4107" s="31" t="s">
        <v>59</v>
      </c>
      <c r="D4107" s="31" t="s">
        <v>67</v>
      </c>
      <c r="E4107" s="31" t="s">
        <v>52</v>
      </c>
      <c r="F4107" s="31" t="s">
        <v>137</v>
      </c>
      <c r="G4107" s="31" t="n">
        <v>93</v>
      </c>
      <c r="H4107" s="41" t="n">
        <v>17.1</v>
      </c>
      <c r="I4107" s="31" t="s">
        <v>149</v>
      </c>
      <c r="J4107" s="31" t="n">
        <v>4</v>
      </c>
      <c r="K4107" s="31" t="s">
        <v>150</v>
      </c>
      <c r="L4107" s="45" t="n">
        <f aca="false">DATE(YEAR(B4107),MONTH(B4107),1)</f>
        <v>46235</v>
      </c>
      <c r="M4107" s="31" t="n">
        <f aca="false">WEEKDAY(B4107,2)</f>
        <v>3</v>
      </c>
      <c r="N4107" s="31" t="str">
        <f aca="false">IF(G4107&lt;=INDEX(Assumptions!$B$15:$B$18,MATCH(E4107,Assumptions!$A$15:$A$18,0)),"Yes","No")</f>
        <v>Yes</v>
      </c>
      <c r="O4107" s="31" t="str">
        <f aca="false">IF(H4107="","Open",IF(H4107&lt;=INDEX(Assumptions!$C$15:$C$18,MATCH(E4107,Assumptions!$A$15:$A$18,0)),"Yes","No"))</f>
        <v>Yes</v>
      </c>
    </row>
    <row r="4108" customFormat="false" ht="15" hidden="false" customHeight="false" outlineLevel="0" collapsed="false">
      <c r="A4108" s="31" t="s">
        <v>4258</v>
      </c>
      <c r="B4108" s="44" t="n">
        <v>46260</v>
      </c>
      <c r="C4108" s="31" t="s">
        <v>58</v>
      </c>
      <c r="D4108" s="31" t="s">
        <v>65</v>
      </c>
      <c r="E4108" s="31" t="s">
        <v>51</v>
      </c>
      <c r="F4108" s="31" t="s">
        <v>123</v>
      </c>
      <c r="G4108" s="31" t="n">
        <v>4</v>
      </c>
      <c r="H4108" s="41" t="n">
        <v>14.4</v>
      </c>
      <c r="I4108" s="31" t="s">
        <v>149</v>
      </c>
      <c r="J4108" s="31"/>
      <c r="K4108" s="31" t="s">
        <v>150</v>
      </c>
      <c r="L4108" s="45" t="n">
        <f aca="false">DATE(YEAR(B4108),MONTH(B4108),1)</f>
        <v>46235</v>
      </c>
      <c r="M4108" s="31" t="n">
        <f aca="false">WEEKDAY(B4108,2)</f>
        <v>3</v>
      </c>
      <c r="N4108" s="31" t="str">
        <f aca="false">IF(G4108&lt;=INDEX(Assumptions!$B$15:$B$18,MATCH(E4108,Assumptions!$A$15:$A$18,0)),"Yes","No")</f>
        <v>Yes</v>
      </c>
      <c r="O4108" s="31" t="str">
        <f aca="false">IF(H4108="","Open",IF(H4108&lt;=INDEX(Assumptions!$C$15:$C$18,MATCH(E4108,Assumptions!$A$15:$A$18,0)),"Yes","No"))</f>
        <v>Yes</v>
      </c>
    </row>
    <row r="4109" customFormat="false" ht="15" hidden="false" customHeight="false" outlineLevel="0" collapsed="false">
      <c r="A4109" s="31" t="s">
        <v>4259</v>
      </c>
      <c r="B4109" s="44" t="n">
        <v>46260</v>
      </c>
      <c r="C4109" s="31" t="s">
        <v>57</v>
      </c>
      <c r="D4109" s="31" t="s">
        <v>65</v>
      </c>
      <c r="E4109" s="31" t="s">
        <v>51</v>
      </c>
      <c r="F4109" s="31" t="s">
        <v>127</v>
      </c>
      <c r="G4109" s="31" t="n">
        <v>9</v>
      </c>
      <c r="H4109" s="41" t="n">
        <v>3.8</v>
      </c>
      <c r="I4109" s="31" t="s">
        <v>149</v>
      </c>
      <c r="J4109" s="31"/>
      <c r="K4109" s="31" t="s">
        <v>150</v>
      </c>
      <c r="L4109" s="45" t="n">
        <f aca="false">DATE(YEAR(B4109),MONTH(B4109),1)</f>
        <v>46235</v>
      </c>
      <c r="M4109" s="31" t="n">
        <f aca="false">WEEKDAY(B4109,2)</f>
        <v>3</v>
      </c>
      <c r="N4109" s="31" t="str">
        <f aca="false">IF(G4109&lt;=INDEX(Assumptions!$B$15:$B$18,MATCH(E4109,Assumptions!$A$15:$A$18,0)),"Yes","No")</f>
        <v>Yes</v>
      </c>
      <c r="O4109" s="31" t="str">
        <f aca="false">IF(H4109="","Open",IF(H4109&lt;=INDEX(Assumptions!$C$15:$C$18,MATCH(E4109,Assumptions!$A$15:$A$18,0)),"Yes","No"))</f>
        <v>Yes</v>
      </c>
    </row>
    <row r="4110" customFormat="false" ht="15" hidden="false" customHeight="false" outlineLevel="0" collapsed="false">
      <c r="A4110" s="31" t="s">
        <v>4260</v>
      </c>
      <c r="B4110" s="44" t="n">
        <v>46260</v>
      </c>
      <c r="C4110" s="31" t="s">
        <v>57</v>
      </c>
      <c r="D4110" s="31" t="s">
        <v>65</v>
      </c>
      <c r="E4110" s="31" t="s">
        <v>51</v>
      </c>
      <c r="F4110" s="31" t="s">
        <v>124</v>
      </c>
      <c r="G4110" s="31" t="n">
        <v>1</v>
      </c>
      <c r="H4110" s="41" t="n">
        <v>7.5</v>
      </c>
      <c r="I4110" s="31" t="s">
        <v>149</v>
      </c>
      <c r="J4110" s="31"/>
      <c r="K4110" s="31" t="s">
        <v>150</v>
      </c>
      <c r="L4110" s="45" t="n">
        <f aca="false">DATE(YEAR(B4110),MONTH(B4110),1)</f>
        <v>46235</v>
      </c>
      <c r="M4110" s="31" t="n">
        <f aca="false">WEEKDAY(B4110,2)</f>
        <v>3</v>
      </c>
      <c r="N4110" s="31" t="str">
        <f aca="false">IF(G4110&lt;=INDEX(Assumptions!$B$15:$B$18,MATCH(E4110,Assumptions!$A$15:$A$18,0)),"Yes","No")</f>
        <v>Yes</v>
      </c>
      <c r="O4110" s="31" t="str">
        <f aca="false">IF(H4110="","Open",IF(H4110&lt;=INDEX(Assumptions!$C$15:$C$18,MATCH(E4110,Assumptions!$A$15:$A$18,0)),"Yes","No"))</f>
        <v>Yes</v>
      </c>
    </row>
    <row r="4111" customFormat="false" ht="15" hidden="false" customHeight="false" outlineLevel="0" collapsed="false">
      <c r="A4111" s="31" t="s">
        <v>4261</v>
      </c>
      <c r="B4111" s="44" t="n">
        <v>46260</v>
      </c>
      <c r="C4111" s="31" t="s">
        <v>60</v>
      </c>
      <c r="D4111" s="31" t="s">
        <v>66</v>
      </c>
      <c r="E4111" s="31" t="s">
        <v>52</v>
      </c>
      <c r="F4111" s="31" t="s">
        <v>124</v>
      </c>
      <c r="G4111" s="31" t="n">
        <v>5</v>
      </c>
      <c r="H4111" s="41" t="n">
        <v>5.7</v>
      </c>
      <c r="I4111" s="31" t="s">
        <v>149</v>
      </c>
      <c r="J4111" s="31" t="n">
        <v>5</v>
      </c>
      <c r="K4111" s="31" t="s">
        <v>150</v>
      </c>
      <c r="L4111" s="45" t="n">
        <f aca="false">DATE(YEAR(B4111),MONTH(B4111),1)</f>
        <v>46235</v>
      </c>
      <c r="M4111" s="31" t="n">
        <f aca="false">WEEKDAY(B4111,2)</f>
        <v>3</v>
      </c>
      <c r="N4111" s="31" t="str">
        <f aca="false">IF(G4111&lt;=INDEX(Assumptions!$B$15:$B$18,MATCH(E4111,Assumptions!$A$15:$A$18,0)),"Yes","No")</f>
        <v>Yes</v>
      </c>
      <c r="O4111" s="31" t="str">
        <f aca="false">IF(H4111="","Open",IF(H4111&lt;=INDEX(Assumptions!$C$15:$C$18,MATCH(E4111,Assumptions!$A$15:$A$18,0)),"Yes","No"))</f>
        <v>Yes</v>
      </c>
    </row>
    <row r="4112" customFormat="false" ht="15" hidden="false" customHeight="false" outlineLevel="0" collapsed="false">
      <c r="A4112" s="31" t="s">
        <v>4262</v>
      </c>
      <c r="B4112" s="44" t="n">
        <v>46260</v>
      </c>
      <c r="C4112" s="31" t="s">
        <v>58</v>
      </c>
      <c r="D4112" s="31" t="s">
        <v>67</v>
      </c>
      <c r="E4112" s="31" t="s">
        <v>52</v>
      </c>
      <c r="F4112" s="31" t="s">
        <v>120</v>
      </c>
      <c r="G4112" s="31" t="n">
        <v>52</v>
      </c>
      <c r="H4112" s="41" t="n">
        <v>18.6</v>
      </c>
      <c r="I4112" s="31" t="s">
        <v>149</v>
      </c>
      <c r="J4112" s="31"/>
      <c r="K4112" s="31" t="s">
        <v>150</v>
      </c>
      <c r="L4112" s="45" t="n">
        <f aca="false">DATE(YEAR(B4112),MONTH(B4112),1)</f>
        <v>46235</v>
      </c>
      <c r="M4112" s="31" t="n">
        <f aca="false">WEEKDAY(B4112,2)</f>
        <v>3</v>
      </c>
      <c r="N4112" s="31" t="str">
        <f aca="false">IF(G4112&lt;=INDEX(Assumptions!$B$15:$B$18,MATCH(E4112,Assumptions!$A$15:$A$18,0)),"Yes","No")</f>
        <v>Yes</v>
      </c>
      <c r="O4112" s="31" t="str">
        <f aca="false">IF(H4112="","Open",IF(H4112&lt;=INDEX(Assumptions!$C$15:$C$18,MATCH(E4112,Assumptions!$A$15:$A$18,0)),"Yes","No"))</f>
        <v>Yes</v>
      </c>
    </row>
    <row r="4113" customFormat="false" ht="15" hidden="false" customHeight="false" outlineLevel="0" collapsed="false">
      <c r="A4113" s="31" t="s">
        <v>4263</v>
      </c>
      <c r="B4113" s="44" t="n">
        <v>46260</v>
      </c>
      <c r="C4113" s="31" t="s">
        <v>58</v>
      </c>
      <c r="D4113" s="31" t="s">
        <v>65</v>
      </c>
      <c r="E4113" s="31" t="s">
        <v>49</v>
      </c>
      <c r="F4113" s="31" t="s">
        <v>120</v>
      </c>
      <c r="G4113" s="31" t="n">
        <v>33</v>
      </c>
      <c r="H4113" s="41" t="n">
        <v>11</v>
      </c>
      <c r="I4113" s="31" t="s">
        <v>149</v>
      </c>
      <c r="J4113" s="31" t="n">
        <v>3</v>
      </c>
      <c r="K4113" s="31" t="s">
        <v>150</v>
      </c>
      <c r="L4113" s="45" t="n">
        <f aca="false">DATE(YEAR(B4113),MONTH(B4113),1)</f>
        <v>46235</v>
      </c>
      <c r="M4113" s="31" t="n">
        <f aca="false">WEEKDAY(B4113,2)</f>
        <v>3</v>
      </c>
      <c r="N4113" s="31" t="str">
        <f aca="false">IF(G4113&lt;=INDEX(Assumptions!$B$15:$B$18,MATCH(E4113,Assumptions!$A$15:$A$18,0)),"Yes","No")</f>
        <v>No</v>
      </c>
      <c r="O4113" s="31" t="str">
        <f aca="false">IF(H4113="","Open",IF(H4113&lt;=INDEX(Assumptions!$C$15:$C$18,MATCH(E4113,Assumptions!$A$15:$A$18,0)),"Yes","No"))</f>
        <v>No</v>
      </c>
    </row>
    <row r="4114" customFormat="false" ht="15" hidden="false" customHeight="false" outlineLevel="0" collapsed="false">
      <c r="A4114" s="31" t="s">
        <v>4264</v>
      </c>
      <c r="B4114" s="44" t="n">
        <v>46260</v>
      </c>
      <c r="C4114" s="31" t="s">
        <v>58</v>
      </c>
      <c r="D4114" s="31" t="s">
        <v>66</v>
      </c>
      <c r="E4114" s="31" t="s">
        <v>51</v>
      </c>
      <c r="F4114" s="31" t="s">
        <v>135</v>
      </c>
      <c r="G4114" s="31" t="n">
        <v>117</v>
      </c>
      <c r="H4114" s="41" t="n">
        <v>21.4</v>
      </c>
      <c r="I4114" s="31" t="s">
        <v>149</v>
      </c>
      <c r="J4114" s="31"/>
      <c r="K4114" s="31" t="s">
        <v>150</v>
      </c>
      <c r="L4114" s="45" t="n">
        <f aca="false">DATE(YEAR(B4114),MONTH(B4114),1)</f>
        <v>46235</v>
      </c>
      <c r="M4114" s="31" t="n">
        <f aca="false">WEEKDAY(B4114,2)</f>
        <v>3</v>
      </c>
      <c r="N4114" s="31" t="str">
        <f aca="false">IF(G4114&lt;=INDEX(Assumptions!$B$15:$B$18,MATCH(E4114,Assumptions!$A$15:$A$18,0)),"Yes","No")</f>
        <v>No</v>
      </c>
      <c r="O4114" s="31" t="str">
        <f aca="false">IF(H4114="","Open",IF(H4114&lt;=INDEX(Assumptions!$C$15:$C$18,MATCH(E4114,Assumptions!$A$15:$A$18,0)),"Yes","No"))</f>
        <v>Yes</v>
      </c>
    </row>
    <row r="4115" customFormat="false" ht="15" hidden="false" customHeight="false" outlineLevel="0" collapsed="false">
      <c r="A4115" s="31" t="s">
        <v>4265</v>
      </c>
      <c r="B4115" s="44" t="n">
        <v>46260</v>
      </c>
      <c r="C4115" s="31" t="s">
        <v>57</v>
      </c>
      <c r="D4115" s="31" t="s">
        <v>67</v>
      </c>
      <c r="E4115" s="31" t="s">
        <v>52</v>
      </c>
      <c r="F4115" s="31" t="s">
        <v>133</v>
      </c>
      <c r="G4115" s="31" t="n">
        <v>7</v>
      </c>
      <c r="H4115" s="41" t="n">
        <v>7.1</v>
      </c>
      <c r="I4115" s="31" t="s">
        <v>149</v>
      </c>
      <c r="J4115" s="31"/>
      <c r="K4115" s="31" t="s">
        <v>150</v>
      </c>
      <c r="L4115" s="45" t="n">
        <f aca="false">DATE(YEAR(B4115),MONTH(B4115),1)</f>
        <v>46235</v>
      </c>
      <c r="M4115" s="31" t="n">
        <f aca="false">WEEKDAY(B4115,2)</f>
        <v>3</v>
      </c>
      <c r="N4115" s="31" t="str">
        <f aca="false">IF(G4115&lt;=INDEX(Assumptions!$B$15:$B$18,MATCH(E4115,Assumptions!$A$15:$A$18,0)),"Yes","No")</f>
        <v>Yes</v>
      </c>
      <c r="O4115" s="31" t="str">
        <f aca="false">IF(H4115="","Open",IF(H4115&lt;=INDEX(Assumptions!$C$15:$C$18,MATCH(E4115,Assumptions!$A$15:$A$18,0)),"Yes","No"))</f>
        <v>Yes</v>
      </c>
    </row>
    <row r="4116" customFormat="false" ht="15" hidden="false" customHeight="false" outlineLevel="0" collapsed="false">
      <c r="A4116" s="31" t="s">
        <v>4266</v>
      </c>
      <c r="B4116" s="44" t="n">
        <v>46260</v>
      </c>
      <c r="C4116" s="31" t="s">
        <v>59</v>
      </c>
      <c r="D4116" s="31" t="s">
        <v>65</v>
      </c>
      <c r="E4116" s="31" t="s">
        <v>51</v>
      </c>
      <c r="F4116" s="31" t="s">
        <v>135</v>
      </c>
      <c r="G4116" s="31" t="n">
        <v>16</v>
      </c>
      <c r="H4116" s="41" t="n">
        <v>9.6</v>
      </c>
      <c r="I4116" s="31" t="s">
        <v>149</v>
      </c>
      <c r="J4116" s="31" t="n">
        <v>5</v>
      </c>
      <c r="K4116" s="31" t="s">
        <v>150</v>
      </c>
      <c r="L4116" s="45" t="n">
        <f aca="false">DATE(YEAR(B4116),MONTH(B4116),1)</f>
        <v>46235</v>
      </c>
      <c r="M4116" s="31" t="n">
        <f aca="false">WEEKDAY(B4116,2)</f>
        <v>3</v>
      </c>
      <c r="N4116" s="31" t="str">
        <f aca="false">IF(G4116&lt;=INDEX(Assumptions!$B$15:$B$18,MATCH(E4116,Assumptions!$A$15:$A$18,0)),"Yes","No")</f>
        <v>Yes</v>
      </c>
      <c r="O4116" s="31" t="str">
        <f aca="false">IF(H4116="","Open",IF(H4116&lt;=INDEX(Assumptions!$C$15:$C$18,MATCH(E4116,Assumptions!$A$15:$A$18,0)),"Yes","No"))</f>
        <v>Yes</v>
      </c>
    </row>
    <row r="4117" customFormat="false" ht="15" hidden="false" customHeight="false" outlineLevel="0" collapsed="false">
      <c r="A4117" s="31" t="s">
        <v>4267</v>
      </c>
      <c r="B4117" s="44" t="n">
        <v>46260</v>
      </c>
      <c r="C4117" s="31" t="s">
        <v>57</v>
      </c>
      <c r="D4117" s="31" t="s">
        <v>69</v>
      </c>
      <c r="E4117" s="31" t="s">
        <v>51</v>
      </c>
      <c r="F4117" s="31" t="s">
        <v>137</v>
      </c>
      <c r="G4117" s="31" t="n">
        <v>1</v>
      </c>
      <c r="H4117" s="41" t="n">
        <v>19.3</v>
      </c>
      <c r="I4117" s="31" t="s">
        <v>149</v>
      </c>
      <c r="J4117" s="31" t="n">
        <v>4</v>
      </c>
      <c r="K4117" s="31" t="s">
        <v>150</v>
      </c>
      <c r="L4117" s="45" t="n">
        <f aca="false">DATE(YEAR(B4117),MONTH(B4117),1)</f>
        <v>46235</v>
      </c>
      <c r="M4117" s="31" t="n">
        <f aca="false">WEEKDAY(B4117,2)</f>
        <v>3</v>
      </c>
      <c r="N4117" s="31" t="str">
        <f aca="false">IF(G4117&lt;=INDEX(Assumptions!$B$15:$B$18,MATCH(E4117,Assumptions!$A$15:$A$18,0)),"Yes","No")</f>
        <v>Yes</v>
      </c>
      <c r="O4117" s="31" t="str">
        <f aca="false">IF(H4117="","Open",IF(H4117&lt;=INDEX(Assumptions!$C$15:$C$18,MATCH(E4117,Assumptions!$A$15:$A$18,0)),"Yes","No"))</f>
        <v>Yes</v>
      </c>
    </row>
    <row r="4118" customFormat="false" ht="15" hidden="false" customHeight="false" outlineLevel="0" collapsed="false">
      <c r="A4118" s="31" t="s">
        <v>4268</v>
      </c>
      <c r="B4118" s="44" t="n">
        <v>46260</v>
      </c>
      <c r="C4118" s="31" t="s">
        <v>59</v>
      </c>
      <c r="D4118" s="31" t="s">
        <v>68</v>
      </c>
      <c r="E4118" s="31" t="s">
        <v>51</v>
      </c>
      <c r="F4118" s="31" t="s">
        <v>137</v>
      </c>
      <c r="G4118" s="31" t="n">
        <v>78</v>
      </c>
      <c r="H4118" s="41" t="n">
        <v>7.1</v>
      </c>
      <c r="I4118" s="31" t="s">
        <v>64</v>
      </c>
      <c r="J4118" s="31"/>
      <c r="K4118" s="31" t="s">
        <v>150</v>
      </c>
      <c r="L4118" s="45" t="n">
        <f aca="false">DATE(YEAR(B4118),MONTH(B4118),1)</f>
        <v>46235</v>
      </c>
      <c r="M4118" s="31" t="n">
        <f aca="false">WEEKDAY(B4118,2)</f>
        <v>3</v>
      </c>
      <c r="N4118" s="31" t="str">
        <f aca="false">IF(G4118&lt;=INDEX(Assumptions!$B$15:$B$18,MATCH(E4118,Assumptions!$A$15:$A$18,0)),"Yes","No")</f>
        <v>No</v>
      </c>
      <c r="O4118" s="31" t="str">
        <f aca="false">IF(H4118="","Open",IF(H4118&lt;=INDEX(Assumptions!$C$15:$C$18,MATCH(E4118,Assumptions!$A$15:$A$18,0)),"Yes","No"))</f>
        <v>Yes</v>
      </c>
    </row>
    <row r="4119" customFormat="false" ht="15" hidden="false" customHeight="false" outlineLevel="0" collapsed="false">
      <c r="A4119" s="31" t="s">
        <v>4269</v>
      </c>
      <c r="B4119" s="44" t="n">
        <v>46260</v>
      </c>
      <c r="C4119" s="31" t="s">
        <v>57</v>
      </c>
      <c r="D4119" s="31" t="s">
        <v>65</v>
      </c>
      <c r="E4119" s="31" t="s">
        <v>52</v>
      </c>
      <c r="F4119" s="31" t="s">
        <v>137</v>
      </c>
      <c r="G4119" s="31" t="n">
        <v>4</v>
      </c>
      <c r="H4119" s="41" t="n">
        <v>60</v>
      </c>
      <c r="I4119" s="31" t="s">
        <v>149</v>
      </c>
      <c r="J4119" s="31" t="n">
        <v>4</v>
      </c>
      <c r="K4119" s="31" t="s">
        <v>153</v>
      </c>
      <c r="L4119" s="45" t="n">
        <f aca="false">DATE(YEAR(B4119),MONTH(B4119),1)</f>
        <v>46235</v>
      </c>
      <c r="M4119" s="31" t="n">
        <f aca="false">WEEKDAY(B4119,2)</f>
        <v>3</v>
      </c>
      <c r="N4119" s="31" t="str">
        <f aca="false">IF(G4119&lt;=INDEX(Assumptions!$B$15:$B$18,MATCH(E4119,Assumptions!$A$15:$A$18,0)),"Yes","No")</f>
        <v>Yes</v>
      </c>
      <c r="O4119" s="31" t="str">
        <f aca="false">IF(H4119="","Open",IF(H4119&lt;=INDEX(Assumptions!$C$15:$C$18,MATCH(E4119,Assumptions!$A$15:$A$18,0)),"Yes","No"))</f>
        <v>Yes</v>
      </c>
    </row>
    <row r="4120" customFormat="false" ht="15" hidden="false" customHeight="false" outlineLevel="0" collapsed="false">
      <c r="A4120" s="31" t="s">
        <v>4270</v>
      </c>
      <c r="B4120" s="44" t="n">
        <v>46260</v>
      </c>
      <c r="C4120" s="31" t="s">
        <v>58</v>
      </c>
      <c r="D4120" s="31" t="s">
        <v>67</v>
      </c>
      <c r="E4120" s="31" t="s">
        <v>52</v>
      </c>
      <c r="F4120" s="31" t="s">
        <v>133</v>
      </c>
      <c r="G4120" s="31" t="n">
        <v>43</v>
      </c>
      <c r="H4120" s="41" t="n">
        <v>26.5</v>
      </c>
      <c r="I4120" s="31" t="s">
        <v>149</v>
      </c>
      <c r="J4120" s="31" t="n">
        <v>4</v>
      </c>
      <c r="K4120" s="31" t="s">
        <v>153</v>
      </c>
      <c r="L4120" s="45" t="n">
        <f aca="false">DATE(YEAR(B4120),MONTH(B4120),1)</f>
        <v>46235</v>
      </c>
      <c r="M4120" s="31" t="n">
        <f aca="false">WEEKDAY(B4120,2)</f>
        <v>3</v>
      </c>
      <c r="N4120" s="31" t="str">
        <f aca="false">IF(G4120&lt;=INDEX(Assumptions!$B$15:$B$18,MATCH(E4120,Assumptions!$A$15:$A$18,0)),"Yes","No")</f>
        <v>Yes</v>
      </c>
      <c r="O4120" s="31" t="str">
        <f aca="false">IF(H4120="","Open",IF(H4120&lt;=INDEX(Assumptions!$C$15:$C$18,MATCH(E4120,Assumptions!$A$15:$A$18,0)),"Yes","No"))</f>
        <v>Yes</v>
      </c>
    </row>
    <row r="4121" customFormat="false" ht="15" hidden="false" customHeight="false" outlineLevel="0" collapsed="false">
      <c r="A4121" s="31" t="s">
        <v>4271</v>
      </c>
      <c r="B4121" s="44" t="n">
        <v>46260</v>
      </c>
      <c r="C4121" s="31" t="s">
        <v>57</v>
      </c>
      <c r="D4121" s="31" t="s">
        <v>65</v>
      </c>
      <c r="E4121" s="31" t="s">
        <v>52</v>
      </c>
      <c r="F4121" s="31" t="s">
        <v>123</v>
      </c>
      <c r="G4121" s="31" t="n">
        <v>9</v>
      </c>
      <c r="H4121" s="41" t="n">
        <v>18.6</v>
      </c>
      <c r="I4121" s="31" t="s">
        <v>149</v>
      </c>
      <c r="J4121" s="31"/>
      <c r="K4121" s="31" t="s">
        <v>153</v>
      </c>
      <c r="L4121" s="45" t="n">
        <f aca="false">DATE(YEAR(B4121),MONTH(B4121),1)</f>
        <v>46235</v>
      </c>
      <c r="M4121" s="31" t="n">
        <f aca="false">WEEKDAY(B4121,2)</f>
        <v>3</v>
      </c>
      <c r="N4121" s="31" t="str">
        <f aca="false">IF(G4121&lt;=INDEX(Assumptions!$B$15:$B$18,MATCH(E4121,Assumptions!$A$15:$A$18,0)),"Yes","No")</f>
        <v>Yes</v>
      </c>
      <c r="O4121" s="31" t="str">
        <f aca="false">IF(H4121="","Open",IF(H4121&lt;=INDEX(Assumptions!$C$15:$C$18,MATCH(E4121,Assumptions!$A$15:$A$18,0)),"Yes","No"))</f>
        <v>Yes</v>
      </c>
    </row>
    <row r="4122" customFormat="false" ht="15" hidden="false" customHeight="false" outlineLevel="0" collapsed="false">
      <c r="A4122" s="31" t="s">
        <v>4272</v>
      </c>
      <c r="B4122" s="44" t="n">
        <v>46260</v>
      </c>
      <c r="C4122" s="31" t="s">
        <v>58</v>
      </c>
      <c r="D4122" s="31" t="s">
        <v>69</v>
      </c>
      <c r="E4122" s="31" t="s">
        <v>51</v>
      </c>
      <c r="F4122" s="31" t="s">
        <v>137</v>
      </c>
      <c r="G4122" s="31" t="n">
        <v>8</v>
      </c>
      <c r="H4122" s="41" t="n">
        <v>4.6</v>
      </c>
      <c r="I4122" s="31" t="s">
        <v>149</v>
      </c>
      <c r="J4122" s="31" t="n">
        <v>4</v>
      </c>
      <c r="K4122" s="31" t="s">
        <v>153</v>
      </c>
      <c r="L4122" s="45" t="n">
        <f aca="false">DATE(YEAR(B4122),MONTH(B4122),1)</f>
        <v>46235</v>
      </c>
      <c r="M4122" s="31" t="n">
        <f aca="false">WEEKDAY(B4122,2)</f>
        <v>3</v>
      </c>
      <c r="N4122" s="31" t="str">
        <f aca="false">IF(G4122&lt;=INDEX(Assumptions!$B$15:$B$18,MATCH(E4122,Assumptions!$A$15:$A$18,0)),"Yes","No")</f>
        <v>Yes</v>
      </c>
      <c r="O4122" s="31" t="str">
        <f aca="false">IF(H4122="","Open",IF(H4122&lt;=INDEX(Assumptions!$C$15:$C$18,MATCH(E4122,Assumptions!$A$15:$A$18,0)),"Yes","No"))</f>
        <v>Yes</v>
      </c>
    </row>
    <row r="4123" customFormat="false" ht="15" hidden="false" customHeight="false" outlineLevel="0" collapsed="false">
      <c r="A4123" s="31" t="s">
        <v>4273</v>
      </c>
      <c r="B4123" s="44" t="n">
        <v>46260</v>
      </c>
      <c r="C4123" s="31" t="s">
        <v>58</v>
      </c>
      <c r="D4123" s="31" t="s">
        <v>65</v>
      </c>
      <c r="E4123" s="31" t="s">
        <v>50</v>
      </c>
      <c r="F4123" s="31" t="s">
        <v>123</v>
      </c>
      <c r="G4123" s="31" t="n">
        <v>3</v>
      </c>
      <c r="H4123" s="41" t="n">
        <v>2.6</v>
      </c>
      <c r="I4123" s="31" t="s">
        <v>149</v>
      </c>
      <c r="J4123" s="31"/>
      <c r="K4123" s="31" t="s">
        <v>150</v>
      </c>
      <c r="L4123" s="45" t="n">
        <f aca="false">DATE(YEAR(B4123),MONTH(B4123),1)</f>
        <v>46235</v>
      </c>
      <c r="M4123" s="31" t="n">
        <f aca="false">WEEKDAY(B4123,2)</f>
        <v>3</v>
      </c>
      <c r="N4123" s="31" t="str">
        <f aca="false">IF(G4123&lt;=INDEX(Assumptions!$B$15:$B$18,MATCH(E4123,Assumptions!$A$15:$A$18,0)),"Yes","No")</f>
        <v>Yes</v>
      </c>
      <c r="O4123" s="31" t="str">
        <f aca="false">IF(H4123="","Open",IF(H4123&lt;=INDEX(Assumptions!$C$15:$C$18,MATCH(E4123,Assumptions!$A$15:$A$18,0)),"Yes","No"))</f>
        <v>Yes</v>
      </c>
    </row>
    <row r="4124" customFormat="false" ht="15" hidden="false" customHeight="false" outlineLevel="0" collapsed="false">
      <c r="A4124" s="31" t="s">
        <v>4274</v>
      </c>
      <c r="B4124" s="44" t="n">
        <v>46260</v>
      </c>
      <c r="C4124" s="31" t="s">
        <v>58</v>
      </c>
      <c r="D4124" s="31" t="s">
        <v>69</v>
      </c>
      <c r="E4124" s="31" t="s">
        <v>52</v>
      </c>
      <c r="F4124" s="31" t="s">
        <v>127</v>
      </c>
      <c r="G4124" s="31" t="n">
        <v>9</v>
      </c>
      <c r="H4124" s="41" t="n">
        <v>30.1</v>
      </c>
      <c r="I4124" s="31" t="s">
        <v>149</v>
      </c>
      <c r="J4124" s="31"/>
      <c r="K4124" s="31" t="s">
        <v>150</v>
      </c>
      <c r="L4124" s="45" t="n">
        <f aca="false">DATE(YEAR(B4124),MONTH(B4124),1)</f>
        <v>46235</v>
      </c>
      <c r="M4124" s="31" t="n">
        <f aca="false">WEEKDAY(B4124,2)</f>
        <v>3</v>
      </c>
      <c r="N4124" s="31" t="str">
        <f aca="false">IF(G4124&lt;=INDEX(Assumptions!$B$15:$B$18,MATCH(E4124,Assumptions!$A$15:$A$18,0)),"Yes","No")</f>
        <v>Yes</v>
      </c>
      <c r="O4124" s="31" t="str">
        <f aca="false">IF(H4124="","Open",IF(H4124&lt;=INDEX(Assumptions!$C$15:$C$18,MATCH(E4124,Assumptions!$A$15:$A$18,0)),"Yes","No"))</f>
        <v>Yes</v>
      </c>
    </row>
    <row r="4125" customFormat="false" ht="15" hidden="false" customHeight="false" outlineLevel="0" collapsed="false">
      <c r="A4125" s="31" t="s">
        <v>4275</v>
      </c>
      <c r="B4125" s="44" t="n">
        <v>46260</v>
      </c>
      <c r="C4125" s="31" t="s">
        <v>58</v>
      </c>
      <c r="D4125" s="31" t="s">
        <v>66</v>
      </c>
      <c r="E4125" s="31" t="s">
        <v>52</v>
      </c>
      <c r="F4125" s="31" t="s">
        <v>117</v>
      </c>
      <c r="G4125" s="31" t="n">
        <v>10</v>
      </c>
      <c r="H4125" s="41" t="n">
        <v>9.4</v>
      </c>
      <c r="I4125" s="31" t="s">
        <v>149</v>
      </c>
      <c r="J4125" s="31" t="n">
        <v>5</v>
      </c>
      <c r="K4125" s="31" t="s">
        <v>150</v>
      </c>
      <c r="L4125" s="45" t="n">
        <f aca="false">DATE(YEAR(B4125),MONTH(B4125),1)</f>
        <v>46235</v>
      </c>
      <c r="M4125" s="31" t="n">
        <f aca="false">WEEKDAY(B4125,2)</f>
        <v>3</v>
      </c>
      <c r="N4125" s="31" t="str">
        <f aca="false">IF(G4125&lt;=INDEX(Assumptions!$B$15:$B$18,MATCH(E4125,Assumptions!$A$15:$A$18,0)),"Yes","No")</f>
        <v>Yes</v>
      </c>
      <c r="O4125" s="31" t="str">
        <f aca="false">IF(H4125="","Open",IF(H4125&lt;=INDEX(Assumptions!$C$15:$C$18,MATCH(E4125,Assumptions!$A$15:$A$18,0)),"Yes","No"))</f>
        <v>Yes</v>
      </c>
    </row>
    <row r="4126" customFormat="false" ht="15" hidden="false" customHeight="false" outlineLevel="0" collapsed="false">
      <c r="A4126" s="31" t="s">
        <v>4276</v>
      </c>
      <c r="B4126" s="44" t="n">
        <v>46260</v>
      </c>
      <c r="C4126" s="31" t="s">
        <v>60</v>
      </c>
      <c r="D4126" s="31" t="s">
        <v>69</v>
      </c>
      <c r="E4126" s="31" t="s">
        <v>51</v>
      </c>
      <c r="F4126" s="31" t="s">
        <v>119</v>
      </c>
      <c r="G4126" s="31" t="n">
        <v>1</v>
      </c>
      <c r="H4126" s="41" t="n">
        <v>11.6</v>
      </c>
      <c r="I4126" s="31" t="s">
        <v>149</v>
      </c>
      <c r="J4126" s="31" t="n">
        <v>4</v>
      </c>
      <c r="K4126" s="31" t="s">
        <v>150</v>
      </c>
      <c r="L4126" s="45" t="n">
        <f aca="false">DATE(YEAR(B4126),MONTH(B4126),1)</f>
        <v>46235</v>
      </c>
      <c r="M4126" s="31" t="n">
        <f aca="false">WEEKDAY(B4126,2)</f>
        <v>3</v>
      </c>
      <c r="N4126" s="31" t="str">
        <f aca="false">IF(G4126&lt;=INDEX(Assumptions!$B$15:$B$18,MATCH(E4126,Assumptions!$A$15:$A$18,0)),"Yes","No")</f>
        <v>Yes</v>
      </c>
      <c r="O4126" s="31" t="str">
        <f aca="false">IF(H4126="","Open",IF(H4126&lt;=INDEX(Assumptions!$C$15:$C$18,MATCH(E4126,Assumptions!$A$15:$A$18,0)),"Yes","No"))</f>
        <v>Yes</v>
      </c>
    </row>
    <row r="4127" customFormat="false" ht="15" hidden="false" customHeight="false" outlineLevel="0" collapsed="false">
      <c r="A4127" s="31" t="s">
        <v>4277</v>
      </c>
      <c r="B4127" s="44" t="n">
        <v>46260</v>
      </c>
      <c r="C4127" s="31" t="s">
        <v>57</v>
      </c>
      <c r="D4127" s="31" t="s">
        <v>66</v>
      </c>
      <c r="E4127" s="31" t="s">
        <v>51</v>
      </c>
      <c r="F4127" s="31" t="s">
        <v>126</v>
      </c>
      <c r="G4127" s="31" t="n">
        <v>1</v>
      </c>
      <c r="H4127" s="41" t="n">
        <v>6.2</v>
      </c>
      <c r="I4127" s="31" t="s">
        <v>149</v>
      </c>
      <c r="J4127" s="31" t="n">
        <v>5</v>
      </c>
      <c r="K4127" s="31" t="s">
        <v>150</v>
      </c>
      <c r="L4127" s="45" t="n">
        <f aca="false">DATE(YEAR(B4127),MONTH(B4127),1)</f>
        <v>46235</v>
      </c>
      <c r="M4127" s="31" t="n">
        <f aca="false">WEEKDAY(B4127,2)</f>
        <v>3</v>
      </c>
      <c r="N4127" s="31" t="str">
        <f aca="false">IF(G4127&lt;=INDEX(Assumptions!$B$15:$B$18,MATCH(E4127,Assumptions!$A$15:$A$18,0)),"Yes","No")</f>
        <v>Yes</v>
      </c>
      <c r="O4127" s="31" t="str">
        <f aca="false">IF(H4127="","Open",IF(H4127&lt;=INDEX(Assumptions!$C$15:$C$18,MATCH(E4127,Assumptions!$A$15:$A$18,0)),"Yes","No"))</f>
        <v>Yes</v>
      </c>
    </row>
    <row r="4128" customFormat="false" ht="15" hidden="false" customHeight="false" outlineLevel="0" collapsed="false">
      <c r="A4128" s="31" t="s">
        <v>4278</v>
      </c>
      <c r="B4128" s="44" t="n">
        <v>46260</v>
      </c>
      <c r="C4128" s="31" t="s">
        <v>57</v>
      </c>
      <c r="D4128" s="31" t="s">
        <v>66</v>
      </c>
      <c r="E4128" s="31" t="s">
        <v>52</v>
      </c>
      <c r="F4128" s="31" t="s">
        <v>127</v>
      </c>
      <c r="G4128" s="31" t="n">
        <v>3</v>
      </c>
      <c r="H4128" s="41" t="n">
        <v>32.5</v>
      </c>
      <c r="I4128" s="31" t="s">
        <v>149</v>
      </c>
      <c r="J4128" s="31"/>
      <c r="K4128" s="31" t="s">
        <v>150</v>
      </c>
      <c r="L4128" s="45" t="n">
        <f aca="false">DATE(YEAR(B4128),MONTH(B4128),1)</f>
        <v>46235</v>
      </c>
      <c r="M4128" s="31" t="n">
        <f aca="false">WEEKDAY(B4128,2)</f>
        <v>3</v>
      </c>
      <c r="N4128" s="31" t="str">
        <f aca="false">IF(G4128&lt;=INDEX(Assumptions!$B$15:$B$18,MATCH(E4128,Assumptions!$A$15:$A$18,0)),"Yes","No")</f>
        <v>Yes</v>
      </c>
      <c r="O4128" s="31" t="str">
        <f aca="false">IF(H4128="","Open",IF(H4128&lt;=INDEX(Assumptions!$C$15:$C$18,MATCH(E4128,Assumptions!$A$15:$A$18,0)),"Yes","No"))</f>
        <v>Yes</v>
      </c>
    </row>
    <row r="4129" customFormat="false" ht="15" hidden="false" customHeight="false" outlineLevel="0" collapsed="false">
      <c r="A4129" s="31" t="s">
        <v>4279</v>
      </c>
      <c r="B4129" s="44" t="n">
        <v>46260</v>
      </c>
      <c r="C4129" s="31" t="s">
        <v>58</v>
      </c>
      <c r="D4129" s="31" t="s">
        <v>66</v>
      </c>
      <c r="E4129" s="31" t="s">
        <v>49</v>
      </c>
      <c r="F4129" s="31" t="s">
        <v>131</v>
      </c>
      <c r="G4129" s="31" t="n">
        <v>5</v>
      </c>
      <c r="H4129" s="41" t="n">
        <v>0.9</v>
      </c>
      <c r="I4129" s="31" t="s">
        <v>149</v>
      </c>
      <c r="J4129" s="31"/>
      <c r="K4129" s="31" t="s">
        <v>150</v>
      </c>
      <c r="L4129" s="45" t="n">
        <f aca="false">DATE(YEAR(B4129),MONTH(B4129),1)</f>
        <v>46235</v>
      </c>
      <c r="M4129" s="31" t="n">
        <f aca="false">WEEKDAY(B4129,2)</f>
        <v>3</v>
      </c>
      <c r="N4129" s="31" t="str">
        <f aca="false">IF(G4129&lt;=INDEX(Assumptions!$B$15:$B$18,MATCH(E4129,Assumptions!$A$15:$A$18,0)),"Yes","No")</f>
        <v>Yes</v>
      </c>
      <c r="O4129" s="31" t="str">
        <f aca="false">IF(H4129="","Open",IF(H4129&lt;=INDEX(Assumptions!$C$15:$C$18,MATCH(E4129,Assumptions!$A$15:$A$18,0)),"Yes","No"))</f>
        <v>Yes</v>
      </c>
    </row>
    <row r="4130" customFormat="false" ht="15" hidden="false" customHeight="false" outlineLevel="0" collapsed="false">
      <c r="A4130" s="31" t="s">
        <v>4280</v>
      </c>
      <c r="B4130" s="44" t="n">
        <v>46260</v>
      </c>
      <c r="C4130" s="31" t="s">
        <v>57</v>
      </c>
      <c r="D4130" s="31" t="s">
        <v>69</v>
      </c>
      <c r="E4130" s="31" t="s">
        <v>52</v>
      </c>
      <c r="F4130" s="31" t="s">
        <v>134</v>
      </c>
      <c r="G4130" s="31" t="n">
        <v>10</v>
      </c>
      <c r="H4130" s="41" t="n">
        <v>34.2</v>
      </c>
      <c r="I4130" s="31" t="s">
        <v>149</v>
      </c>
      <c r="J4130" s="31" t="n">
        <v>5</v>
      </c>
      <c r="K4130" s="31" t="s">
        <v>153</v>
      </c>
      <c r="L4130" s="45" t="n">
        <f aca="false">DATE(YEAR(B4130),MONTH(B4130),1)</f>
        <v>46235</v>
      </c>
      <c r="M4130" s="31" t="n">
        <f aca="false">WEEKDAY(B4130,2)</f>
        <v>3</v>
      </c>
      <c r="N4130" s="31" t="str">
        <f aca="false">IF(G4130&lt;=INDEX(Assumptions!$B$15:$B$18,MATCH(E4130,Assumptions!$A$15:$A$18,0)),"Yes","No")</f>
        <v>Yes</v>
      </c>
      <c r="O4130" s="31" t="str">
        <f aca="false">IF(H4130="","Open",IF(H4130&lt;=INDEX(Assumptions!$C$15:$C$18,MATCH(E4130,Assumptions!$A$15:$A$18,0)),"Yes","No"))</f>
        <v>Yes</v>
      </c>
    </row>
    <row r="4131" customFormat="false" ht="15" hidden="false" customHeight="false" outlineLevel="0" collapsed="false">
      <c r="A4131" s="31" t="s">
        <v>4281</v>
      </c>
      <c r="B4131" s="44" t="n">
        <v>46260</v>
      </c>
      <c r="C4131" s="31" t="s">
        <v>58</v>
      </c>
      <c r="D4131" s="31" t="s">
        <v>66</v>
      </c>
      <c r="E4131" s="31" t="s">
        <v>52</v>
      </c>
      <c r="F4131" s="31" t="s">
        <v>131</v>
      </c>
      <c r="G4131" s="31" t="n">
        <v>12</v>
      </c>
      <c r="H4131" s="41" t="n">
        <v>0.7</v>
      </c>
      <c r="I4131" s="31" t="s">
        <v>149</v>
      </c>
      <c r="J4131" s="31" t="n">
        <v>4</v>
      </c>
      <c r="K4131" s="31" t="s">
        <v>150</v>
      </c>
      <c r="L4131" s="45" t="n">
        <f aca="false">DATE(YEAR(B4131),MONTH(B4131),1)</f>
        <v>46235</v>
      </c>
      <c r="M4131" s="31" t="n">
        <f aca="false">WEEKDAY(B4131,2)</f>
        <v>3</v>
      </c>
      <c r="N4131" s="31" t="str">
        <f aca="false">IF(G4131&lt;=INDEX(Assumptions!$B$15:$B$18,MATCH(E4131,Assumptions!$A$15:$A$18,0)),"Yes","No")</f>
        <v>Yes</v>
      </c>
      <c r="O4131" s="31" t="str">
        <f aca="false">IF(H4131="","Open",IF(H4131&lt;=INDEX(Assumptions!$C$15:$C$18,MATCH(E4131,Assumptions!$A$15:$A$18,0)),"Yes","No"))</f>
        <v>Yes</v>
      </c>
    </row>
    <row r="4132" customFormat="false" ht="15" hidden="false" customHeight="false" outlineLevel="0" collapsed="false">
      <c r="A4132" s="31" t="s">
        <v>4282</v>
      </c>
      <c r="B4132" s="44" t="n">
        <v>46260</v>
      </c>
      <c r="C4132" s="31" t="s">
        <v>59</v>
      </c>
      <c r="D4132" s="31" t="s">
        <v>65</v>
      </c>
      <c r="E4132" s="31" t="s">
        <v>52</v>
      </c>
      <c r="F4132" s="31" t="s">
        <v>134</v>
      </c>
      <c r="G4132" s="31" t="n">
        <v>264</v>
      </c>
      <c r="H4132" s="41"/>
      <c r="I4132" s="31" t="s">
        <v>158</v>
      </c>
      <c r="J4132" s="31"/>
      <c r="K4132" s="31" t="s">
        <v>150</v>
      </c>
      <c r="L4132" s="45" t="n">
        <f aca="false">DATE(YEAR(B4132),MONTH(B4132),1)</f>
        <v>46235</v>
      </c>
      <c r="M4132" s="31" t="n">
        <f aca="false">WEEKDAY(B4132,2)</f>
        <v>3</v>
      </c>
      <c r="N4132" s="31" t="str">
        <f aca="false">IF(G4132&lt;=INDEX(Assumptions!$B$15:$B$18,MATCH(E4132,Assumptions!$A$15:$A$18,0)),"Yes","No")</f>
        <v>No</v>
      </c>
      <c r="O4132" s="31" t="str">
        <f aca="false">IF(H4132="","Open",IF(H4132&lt;=INDEX(Assumptions!$C$15:$C$18,MATCH(E4132,Assumptions!$A$15:$A$18,0)),"Yes","No"))</f>
        <v>Open</v>
      </c>
    </row>
    <row r="4133" customFormat="false" ht="15" hidden="false" customHeight="false" outlineLevel="0" collapsed="false">
      <c r="A4133" s="31" t="s">
        <v>4283</v>
      </c>
      <c r="B4133" s="44" t="n">
        <v>46260</v>
      </c>
      <c r="C4133" s="31" t="s">
        <v>57</v>
      </c>
      <c r="D4133" s="31" t="s">
        <v>69</v>
      </c>
      <c r="E4133" s="31" t="s">
        <v>50</v>
      </c>
      <c r="F4133" s="31" t="s">
        <v>117</v>
      </c>
      <c r="G4133" s="31" t="n">
        <v>6</v>
      </c>
      <c r="H4133" s="41" t="n">
        <v>2.8</v>
      </c>
      <c r="I4133" s="31" t="s">
        <v>149</v>
      </c>
      <c r="J4133" s="31"/>
      <c r="K4133" s="31" t="s">
        <v>150</v>
      </c>
      <c r="L4133" s="45" t="n">
        <f aca="false">DATE(YEAR(B4133),MONTH(B4133),1)</f>
        <v>46235</v>
      </c>
      <c r="M4133" s="31" t="n">
        <f aca="false">WEEKDAY(B4133,2)</f>
        <v>3</v>
      </c>
      <c r="N4133" s="31" t="str">
        <f aca="false">IF(G4133&lt;=INDEX(Assumptions!$B$15:$B$18,MATCH(E4133,Assumptions!$A$15:$A$18,0)),"Yes","No")</f>
        <v>Yes</v>
      </c>
      <c r="O4133" s="31" t="str">
        <f aca="false">IF(H4133="","Open",IF(H4133&lt;=INDEX(Assumptions!$C$15:$C$18,MATCH(E4133,Assumptions!$A$15:$A$18,0)),"Yes","No"))</f>
        <v>Yes</v>
      </c>
    </row>
    <row r="4134" customFormat="false" ht="15" hidden="false" customHeight="false" outlineLevel="0" collapsed="false">
      <c r="A4134" s="31" t="s">
        <v>4284</v>
      </c>
      <c r="B4134" s="44" t="n">
        <v>46260</v>
      </c>
      <c r="C4134" s="31" t="s">
        <v>60</v>
      </c>
      <c r="D4134" s="31" t="s">
        <v>65</v>
      </c>
      <c r="E4134" s="31" t="s">
        <v>50</v>
      </c>
      <c r="F4134" s="31" t="s">
        <v>137</v>
      </c>
      <c r="G4134" s="31" t="n">
        <v>1</v>
      </c>
      <c r="H4134" s="41" t="n">
        <v>12.8</v>
      </c>
      <c r="I4134" s="31" t="s">
        <v>149</v>
      </c>
      <c r="J4134" s="31" t="n">
        <v>5</v>
      </c>
      <c r="K4134" s="31" t="s">
        <v>150</v>
      </c>
      <c r="L4134" s="45" t="n">
        <f aca="false">DATE(YEAR(B4134),MONTH(B4134),1)</f>
        <v>46235</v>
      </c>
      <c r="M4134" s="31" t="n">
        <f aca="false">WEEKDAY(B4134,2)</f>
        <v>3</v>
      </c>
      <c r="N4134" s="31" t="str">
        <f aca="false">IF(G4134&lt;=INDEX(Assumptions!$B$15:$B$18,MATCH(E4134,Assumptions!$A$15:$A$18,0)),"Yes","No")</f>
        <v>Yes</v>
      </c>
      <c r="O4134" s="31" t="str">
        <f aca="false">IF(H4134="","Open",IF(H4134&lt;=INDEX(Assumptions!$C$15:$C$18,MATCH(E4134,Assumptions!$A$15:$A$18,0)),"Yes","No"))</f>
        <v>No</v>
      </c>
    </row>
    <row r="4135" customFormat="false" ht="15" hidden="false" customHeight="false" outlineLevel="0" collapsed="false">
      <c r="A4135" s="31" t="s">
        <v>4285</v>
      </c>
      <c r="B4135" s="44" t="n">
        <v>46260</v>
      </c>
      <c r="C4135" s="31" t="s">
        <v>57</v>
      </c>
      <c r="D4135" s="31" t="s">
        <v>65</v>
      </c>
      <c r="E4135" s="31" t="s">
        <v>51</v>
      </c>
      <c r="F4135" s="31" t="s">
        <v>127</v>
      </c>
      <c r="G4135" s="31" t="n">
        <v>3</v>
      </c>
      <c r="H4135" s="41" t="n">
        <v>13.8</v>
      </c>
      <c r="I4135" s="31" t="s">
        <v>149</v>
      </c>
      <c r="J4135" s="31" t="n">
        <v>5</v>
      </c>
      <c r="K4135" s="31" t="s">
        <v>150</v>
      </c>
      <c r="L4135" s="45" t="n">
        <f aca="false">DATE(YEAR(B4135),MONTH(B4135),1)</f>
        <v>46235</v>
      </c>
      <c r="M4135" s="31" t="n">
        <f aca="false">WEEKDAY(B4135,2)</f>
        <v>3</v>
      </c>
      <c r="N4135" s="31" t="str">
        <f aca="false">IF(G4135&lt;=INDEX(Assumptions!$B$15:$B$18,MATCH(E4135,Assumptions!$A$15:$A$18,0)),"Yes","No")</f>
        <v>Yes</v>
      </c>
      <c r="O4135" s="31" t="str">
        <f aca="false">IF(H4135="","Open",IF(H4135&lt;=INDEX(Assumptions!$C$15:$C$18,MATCH(E4135,Assumptions!$A$15:$A$18,0)),"Yes","No"))</f>
        <v>Yes</v>
      </c>
    </row>
    <row r="4136" customFormat="false" ht="15" hidden="false" customHeight="false" outlineLevel="0" collapsed="false">
      <c r="A4136" s="31" t="s">
        <v>4286</v>
      </c>
      <c r="B4136" s="44" t="n">
        <v>46260</v>
      </c>
      <c r="C4136" s="31" t="s">
        <v>59</v>
      </c>
      <c r="D4136" s="31" t="s">
        <v>65</v>
      </c>
      <c r="E4136" s="31" t="s">
        <v>49</v>
      </c>
      <c r="F4136" s="31" t="s">
        <v>121</v>
      </c>
      <c r="G4136" s="31" t="n">
        <v>51</v>
      </c>
      <c r="H4136" s="41" t="n">
        <v>3.6</v>
      </c>
      <c r="I4136" s="31" t="s">
        <v>149</v>
      </c>
      <c r="J4136" s="31" t="n">
        <v>3</v>
      </c>
      <c r="K4136" s="31" t="s">
        <v>150</v>
      </c>
      <c r="L4136" s="45" t="n">
        <f aca="false">DATE(YEAR(B4136),MONTH(B4136),1)</f>
        <v>46235</v>
      </c>
      <c r="M4136" s="31" t="n">
        <f aca="false">WEEKDAY(B4136,2)</f>
        <v>3</v>
      </c>
      <c r="N4136" s="31" t="str">
        <f aca="false">IF(G4136&lt;=INDEX(Assumptions!$B$15:$B$18,MATCH(E4136,Assumptions!$A$15:$A$18,0)),"Yes","No")</f>
        <v>No</v>
      </c>
      <c r="O4136" s="31" t="str">
        <f aca="false">IF(H4136="","Open",IF(H4136&lt;=INDEX(Assumptions!$C$15:$C$18,MATCH(E4136,Assumptions!$A$15:$A$18,0)),"Yes","No"))</f>
        <v>Yes</v>
      </c>
    </row>
    <row r="4137" customFormat="false" ht="15" hidden="false" customHeight="false" outlineLevel="0" collapsed="false">
      <c r="A4137" s="31" t="s">
        <v>4287</v>
      </c>
      <c r="B4137" s="44" t="n">
        <v>46260</v>
      </c>
      <c r="C4137" s="31" t="s">
        <v>57</v>
      </c>
      <c r="D4137" s="31" t="s">
        <v>65</v>
      </c>
      <c r="E4137" s="31" t="s">
        <v>49</v>
      </c>
      <c r="F4137" s="31" t="s">
        <v>136</v>
      </c>
      <c r="G4137" s="31" t="n">
        <v>1</v>
      </c>
      <c r="H4137" s="41" t="n">
        <v>2.2</v>
      </c>
      <c r="I4137" s="31" t="s">
        <v>149</v>
      </c>
      <c r="J4137" s="31" t="n">
        <v>5</v>
      </c>
      <c r="K4137" s="31" t="s">
        <v>150</v>
      </c>
      <c r="L4137" s="45" t="n">
        <f aca="false">DATE(YEAR(B4137),MONTH(B4137),1)</f>
        <v>46235</v>
      </c>
      <c r="M4137" s="31" t="n">
        <f aca="false">WEEKDAY(B4137,2)</f>
        <v>3</v>
      </c>
      <c r="N4137" s="31" t="str">
        <f aca="false">IF(G4137&lt;=INDEX(Assumptions!$B$15:$B$18,MATCH(E4137,Assumptions!$A$15:$A$18,0)),"Yes","No")</f>
        <v>Yes</v>
      </c>
      <c r="O4137" s="31" t="str">
        <f aca="false">IF(H4137="","Open",IF(H4137&lt;=INDEX(Assumptions!$C$15:$C$18,MATCH(E4137,Assumptions!$A$15:$A$18,0)),"Yes","No"))</f>
        <v>Yes</v>
      </c>
    </row>
    <row r="4138" customFormat="false" ht="15" hidden="false" customHeight="false" outlineLevel="0" collapsed="false">
      <c r="A4138" s="31" t="s">
        <v>4288</v>
      </c>
      <c r="B4138" s="44" t="n">
        <v>46260</v>
      </c>
      <c r="C4138" s="31" t="s">
        <v>60</v>
      </c>
      <c r="D4138" s="31" t="s">
        <v>66</v>
      </c>
      <c r="E4138" s="31" t="s">
        <v>51</v>
      </c>
      <c r="F4138" s="31" t="s">
        <v>122</v>
      </c>
      <c r="G4138" s="31" t="n">
        <v>1</v>
      </c>
      <c r="H4138" s="41" t="n">
        <v>3.2</v>
      </c>
      <c r="I4138" s="31" t="s">
        <v>64</v>
      </c>
      <c r="J4138" s="31" t="n">
        <v>4</v>
      </c>
      <c r="K4138" s="31" t="s">
        <v>153</v>
      </c>
      <c r="L4138" s="45" t="n">
        <f aca="false">DATE(YEAR(B4138),MONTH(B4138),1)</f>
        <v>46235</v>
      </c>
      <c r="M4138" s="31" t="n">
        <f aca="false">WEEKDAY(B4138,2)</f>
        <v>3</v>
      </c>
      <c r="N4138" s="31" t="str">
        <f aca="false">IF(G4138&lt;=INDEX(Assumptions!$B$15:$B$18,MATCH(E4138,Assumptions!$A$15:$A$18,0)),"Yes","No")</f>
        <v>Yes</v>
      </c>
      <c r="O4138" s="31" t="str">
        <f aca="false">IF(H4138="","Open",IF(H4138&lt;=INDEX(Assumptions!$C$15:$C$18,MATCH(E4138,Assumptions!$A$15:$A$18,0)),"Yes","No"))</f>
        <v>Yes</v>
      </c>
    </row>
    <row r="4139" customFormat="false" ht="15" hidden="false" customHeight="false" outlineLevel="0" collapsed="false">
      <c r="A4139" s="31" t="s">
        <v>4289</v>
      </c>
      <c r="B4139" s="44" t="n">
        <v>46260</v>
      </c>
      <c r="C4139" s="31" t="s">
        <v>59</v>
      </c>
      <c r="D4139" s="31" t="s">
        <v>65</v>
      </c>
      <c r="E4139" s="31" t="s">
        <v>50</v>
      </c>
      <c r="F4139" s="31" t="s">
        <v>127</v>
      </c>
      <c r="G4139" s="31" t="n">
        <v>119</v>
      </c>
      <c r="H4139" s="41" t="n">
        <v>2</v>
      </c>
      <c r="I4139" s="31" t="s">
        <v>149</v>
      </c>
      <c r="J4139" s="31"/>
      <c r="K4139" s="31" t="s">
        <v>150</v>
      </c>
      <c r="L4139" s="45" t="n">
        <f aca="false">DATE(YEAR(B4139),MONTH(B4139),1)</f>
        <v>46235</v>
      </c>
      <c r="M4139" s="31" t="n">
        <f aca="false">WEEKDAY(B4139,2)</f>
        <v>3</v>
      </c>
      <c r="N4139" s="31" t="str">
        <f aca="false">IF(G4139&lt;=INDEX(Assumptions!$B$15:$B$18,MATCH(E4139,Assumptions!$A$15:$A$18,0)),"Yes","No")</f>
        <v>No</v>
      </c>
      <c r="O4139" s="31" t="str">
        <f aca="false">IF(H4139="","Open",IF(H4139&lt;=INDEX(Assumptions!$C$15:$C$18,MATCH(E4139,Assumptions!$A$15:$A$18,0)),"Yes","No"))</f>
        <v>Yes</v>
      </c>
    </row>
    <row r="4140" customFormat="false" ht="15" hidden="false" customHeight="false" outlineLevel="0" collapsed="false">
      <c r="A4140" s="31" t="s">
        <v>4290</v>
      </c>
      <c r="B4140" s="44" t="n">
        <v>46260</v>
      </c>
      <c r="C4140" s="31" t="s">
        <v>57</v>
      </c>
      <c r="D4140" s="31" t="s">
        <v>65</v>
      </c>
      <c r="E4140" s="31" t="s">
        <v>51</v>
      </c>
      <c r="F4140" s="31" t="s">
        <v>120</v>
      </c>
      <c r="G4140" s="31" t="n">
        <v>9</v>
      </c>
      <c r="H4140" s="41" t="n">
        <v>5.9</v>
      </c>
      <c r="I4140" s="31" t="s">
        <v>149</v>
      </c>
      <c r="J4140" s="31"/>
      <c r="K4140" s="31" t="s">
        <v>150</v>
      </c>
      <c r="L4140" s="45" t="n">
        <f aca="false">DATE(YEAR(B4140),MONTH(B4140),1)</f>
        <v>46235</v>
      </c>
      <c r="M4140" s="31" t="n">
        <f aca="false">WEEKDAY(B4140,2)</f>
        <v>3</v>
      </c>
      <c r="N4140" s="31" t="str">
        <f aca="false">IF(G4140&lt;=INDEX(Assumptions!$B$15:$B$18,MATCH(E4140,Assumptions!$A$15:$A$18,0)),"Yes","No")</f>
        <v>Yes</v>
      </c>
      <c r="O4140" s="31" t="str">
        <f aca="false">IF(H4140="","Open",IF(H4140&lt;=INDEX(Assumptions!$C$15:$C$18,MATCH(E4140,Assumptions!$A$15:$A$18,0)),"Yes","No"))</f>
        <v>Yes</v>
      </c>
    </row>
    <row r="4141" customFormat="false" ht="15" hidden="false" customHeight="false" outlineLevel="0" collapsed="false">
      <c r="A4141" s="31" t="s">
        <v>4291</v>
      </c>
      <c r="B4141" s="44" t="n">
        <v>46260</v>
      </c>
      <c r="C4141" s="31" t="s">
        <v>57</v>
      </c>
      <c r="D4141" s="31" t="s">
        <v>66</v>
      </c>
      <c r="E4141" s="31" t="s">
        <v>51</v>
      </c>
      <c r="F4141" s="31" t="s">
        <v>136</v>
      </c>
      <c r="G4141" s="31" t="n">
        <v>5</v>
      </c>
      <c r="H4141" s="41" t="n">
        <v>5.1</v>
      </c>
      <c r="I4141" s="31" t="s">
        <v>149</v>
      </c>
      <c r="J4141" s="31" t="n">
        <v>5</v>
      </c>
      <c r="K4141" s="31" t="s">
        <v>150</v>
      </c>
      <c r="L4141" s="45" t="n">
        <f aca="false">DATE(YEAR(B4141),MONTH(B4141),1)</f>
        <v>46235</v>
      </c>
      <c r="M4141" s="31" t="n">
        <f aca="false">WEEKDAY(B4141,2)</f>
        <v>3</v>
      </c>
      <c r="N4141" s="31" t="str">
        <f aca="false">IF(G4141&lt;=INDEX(Assumptions!$B$15:$B$18,MATCH(E4141,Assumptions!$A$15:$A$18,0)),"Yes","No")</f>
        <v>Yes</v>
      </c>
      <c r="O4141" s="31" t="str">
        <f aca="false">IF(H4141="","Open",IF(H4141&lt;=INDEX(Assumptions!$C$15:$C$18,MATCH(E4141,Assumptions!$A$15:$A$18,0)),"Yes","No"))</f>
        <v>Yes</v>
      </c>
    </row>
    <row r="4142" customFormat="false" ht="15" hidden="false" customHeight="false" outlineLevel="0" collapsed="false">
      <c r="A4142" s="31" t="s">
        <v>4292</v>
      </c>
      <c r="B4142" s="44" t="n">
        <v>46260</v>
      </c>
      <c r="C4142" s="31" t="s">
        <v>59</v>
      </c>
      <c r="D4142" s="31" t="s">
        <v>67</v>
      </c>
      <c r="E4142" s="31" t="s">
        <v>51</v>
      </c>
      <c r="F4142" s="31" t="s">
        <v>130</v>
      </c>
      <c r="G4142" s="31" t="n">
        <v>55</v>
      </c>
      <c r="H4142" s="41" t="n">
        <v>9.4</v>
      </c>
      <c r="I4142" s="31" t="s">
        <v>149</v>
      </c>
      <c r="J4142" s="31"/>
      <c r="K4142" s="31" t="s">
        <v>150</v>
      </c>
      <c r="L4142" s="45" t="n">
        <f aca="false">DATE(YEAR(B4142),MONTH(B4142),1)</f>
        <v>46235</v>
      </c>
      <c r="M4142" s="31" t="n">
        <f aca="false">WEEKDAY(B4142,2)</f>
        <v>3</v>
      </c>
      <c r="N4142" s="31" t="str">
        <f aca="false">IF(G4142&lt;=INDEX(Assumptions!$B$15:$B$18,MATCH(E4142,Assumptions!$A$15:$A$18,0)),"Yes","No")</f>
        <v>Yes</v>
      </c>
      <c r="O4142" s="31" t="str">
        <f aca="false">IF(H4142="","Open",IF(H4142&lt;=INDEX(Assumptions!$C$15:$C$18,MATCH(E4142,Assumptions!$A$15:$A$18,0)),"Yes","No"))</f>
        <v>Yes</v>
      </c>
    </row>
    <row r="4143" customFormat="false" ht="15" hidden="false" customHeight="false" outlineLevel="0" collapsed="false">
      <c r="A4143" s="31" t="s">
        <v>4293</v>
      </c>
      <c r="B4143" s="44" t="n">
        <v>46260</v>
      </c>
      <c r="C4143" s="31" t="s">
        <v>58</v>
      </c>
      <c r="D4143" s="31" t="s">
        <v>68</v>
      </c>
      <c r="E4143" s="31" t="s">
        <v>51</v>
      </c>
      <c r="F4143" s="31" t="s">
        <v>134</v>
      </c>
      <c r="G4143" s="31" t="n">
        <v>14</v>
      </c>
      <c r="H4143" s="41" t="n">
        <v>11.5</v>
      </c>
      <c r="I4143" s="31" t="s">
        <v>149</v>
      </c>
      <c r="J4143" s="31"/>
      <c r="K4143" s="31" t="s">
        <v>150</v>
      </c>
      <c r="L4143" s="45" t="n">
        <f aca="false">DATE(YEAR(B4143),MONTH(B4143),1)</f>
        <v>46235</v>
      </c>
      <c r="M4143" s="31" t="n">
        <f aca="false">WEEKDAY(B4143,2)</f>
        <v>3</v>
      </c>
      <c r="N4143" s="31" t="str">
        <f aca="false">IF(G4143&lt;=INDEX(Assumptions!$B$15:$B$18,MATCH(E4143,Assumptions!$A$15:$A$18,0)),"Yes","No")</f>
        <v>Yes</v>
      </c>
      <c r="O4143" s="31" t="str">
        <f aca="false">IF(H4143="","Open",IF(H4143&lt;=INDEX(Assumptions!$C$15:$C$18,MATCH(E4143,Assumptions!$A$15:$A$18,0)),"Yes","No"))</f>
        <v>Yes</v>
      </c>
    </row>
    <row r="4144" customFormat="false" ht="15" hidden="false" customHeight="false" outlineLevel="0" collapsed="false">
      <c r="A4144" s="31" t="s">
        <v>4294</v>
      </c>
      <c r="B4144" s="44" t="n">
        <v>46260</v>
      </c>
      <c r="C4144" s="31" t="s">
        <v>58</v>
      </c>
      <c r="D4144" s="31" t="s">
        <v>65</v>
      </c>
      <c r="E4144" s="31" t="s">
        <v>51</v>
      </c>
      <c r="F4144" s="31" t="s">
        <v>131</v>
      </c>
      <c r="G4144" s="31" t="n">
        <v>11</v>
      </c>
      <c r="H4144" s="41" t="n">
        <v>2.7</v>
      </c>
      <c r="I4144" s="31" t="s">
        <v>149</v>
      </c>
      <c r="J4144" s="31"/>
      <c r="K4144" s="31" t="s">
        <v>150</v>
      </c>
      <c r="L4144" s="45" t="n">
        <f aca="false">DATE(YEAR(B4144),MONTH(B4144),1)</f>
        <v>46235</v>
      </c>
      <c r="M4144" s="31" t="n">
        <f aca="false">WEEKDAY(B4144,2)</f>
        <v>3</v>
      </c>
      <c r="N4144" s="31" t="str">
        <f aca="false">IF(G4144&lt;=INDEX(Assumptions!$B$15:$B$18,MATCH(E4144,Assumptions!$A$15:$A$18,0)),"Yes","No")</f>
        <v>Yes</v>
      </c>
      <c r="O4144" s="31" t="str">
        <f aca="false">IF(H4144="","Open",IF(H4144&lt;=INDEX(Assumptions!$C$15:$C$18,MATCH(E4144,Assumptions!$A$15:$A$18,0)),"Yes","No"))</f>
        <v>Yes</v>
      </c>
    </row>
    <row r="4145" customFormat="false" ht="15" hidden="false" customHeight="false" outlineLevel="0" collapsed="false">
      <c r="A4145" s="31" t="s">
        <v>4295</v>
      </c>
      <c r="B4145" s="44" t="n">
        <v>46260</v>
      </c>
      <c r="C4145" s="31" t="s">
        <v>57</v>
      </c>
      <c r="D4145" s="31" t="s">
        <v>66</v>
      </c>
      <c r="E4145" s="31" t="s">
        <v>52</v>
      </c>
      <c r="F4145" s="31" t="s">
        <v>129</v>
      </c>
      <c r="G4145" s="31" t="n">
        <v>9</v>
      </c>
      <c r="H4145" s="41" t="n">
        <v>4</v>
      </c>
      <c r="I4145" s="31" t="s">
        <v>149</v>
      </c>
      <c r="J4145" s="31"/>
      <c r="K4145" s="31" t="s">
        <v>150</v>
      </c>
      <c r="L4145" s="45" t="n">
        <f aca="false">DATE(YEAR(B4145),MONTH(B4145),1)</f>
        <v>46235</v>
      </c>
      <c r="M4145" s="31" t="n">
        <f aca="false">WEEKDAY(B4145,2)</f>
        <v>3</v>
      </c>
      <c r="N4145" s="31" t="str">
        <f aca="false">IF(G4145&lt;=INDEX(Assumptions!$B$15:$B$18,MATCH(E4145,Assumptions!$A$15:$A$18,0)),"Yes","No")</f>
        <v>Yes</v>
      </c>
      <c r="O4145" s="31" t="str">
        <f aca="false">IF(H4145="","Open",IF(H4145&lt;=INDEX(Assumptions!$C$15:$C$18,MATCH(E4145,Assumptions!$A$15:$A$18,0)),"Yes","No"))</f>
        <v>Yes</v>
      </c>
    </row>
    <row r="4146" customFormat="false" ht="15" hidden="false" customHeight="false" outlineLevel="0" collapsed="false">
      <c r="A4146" s="31" t="s">
        <v>4296</v>
      </c>
      <c r="B4146" s="44" t="n">
        <v>46260</v>
      </c>
      <c r="C4146" s="31" t="s">
        <v>57</v>
      </c>
      <c r="D4146" s="31" t="s">
        <v>67</v>
      </c>
      <c r="E4146" s="31" t="s">
        <v>51</v>
      </c>
      <c r="F4146" s="31" t="s">
        <v>127</v>
      </c>
      <c r="G4146" s="31" t="n">
        <v>1</v>
      </c>
      <c r="H4146" s="41" t="n">
        <v>45.8</v>
      </c>
      <c r="I4146" s="31" t="s">
        <v>64</v>
      </c>
      <c r="J4146" s="31" t="n">
        <v>4</v>
      </c>
      <c r="K4146" s="31" t="s">
        <v>153</v>
      </c>
      <c r="L4146" s="45" t="n">
        <f aca="false">DATE(YEAR(B4146),MONTH(B4146),1)</f>
        <v>46235</v>
      </c>
      <c r="M4146" s="31" t="n">
        <f aca="false">WEEKDAY(B4146,2)</f>
        <v>3</v>
      </c>
      <c r="N4146" s="31" t="str">
        <f aca="false">IF(G4146&lt;=INDEX(Assumptions!$B$15:$B$18,MATCH(E4146,Assumptions!$A$15:$A$18,0)),"Yes","No")</f>
        <v>Yes</v>
      </c>
      <c r="O4146" s="31" t="str">
        <f aca="false">IF(H4146="","Open",IF(H4146&lt;=INDEX(Assumptions!$C$15:$C$18,MATCH(E4146,Assumptions!$A$15:$A$18,0)),"Yes","No"))</f>
        <v>No</v>
      </c>
    </row>
    <row r="4147" customFormat="false" ht="15" hidden="false" customHeight="false" outlineLevel="0" collapsed="false">
      <c r="A4147" s="31" t="s">
        <v>4297</v>
      </c>
      <c r="B4147" s="44" t="n">
        <v>46260</v>
      </c>
      <c r="C4147" s="31" t="s">
        <v>58</v>
      </c>
      <c r="D4147" s="31" t="s">
        <v>69</v>
      </c>
      <c r="E4147" s="31" t="s">
        <v>52</v>
      </c>
      <c r="F4147" s="31" t="s">
        <v>135</v>
      </c>
      <c r="G4147" s="31" t="n">
        <v>27</v>
      </c>
      <c r="H4147" s="41" t="n">
        <v>59.2</v>
      </c>
      <c r="I4147" s="31" t="s">
        <v>149</v>
      </c>
      <c r="J4147" s="31"/>
      <c r="K4147" s="31" t="s">
        <v>150</v>
      </c>
      <c r="L4147" s="45" t="n">
        <f aca="false">DATE(YEAR(B4147),MONTH(B4147),1)</f>
        <v>46235</v>
      </c>
      <c r="M4147" s="31" t="n">
        <f aca="false">WEEKDAY(B4147,2)</f>
        <v>3</v>
      </c>
      <c r="N4147" s="31" t="str">
        <f aca="false">IF(G4147&lt;=INDEX(Assumptions!$B$15:$B$18,MATCH(E4147,Assumptions!$A$15:$A$18,0)),"Yes","No")</f>
        <v>Yes</v>
      </c>
      <c r="O4147" s="31" t="str">
        <f aca="false">IF(H4147="","Open",IF(H4147&lt;=INDEX(Assumptions!$C$15:$C$18,MATCH(E4147,Assumptions!$A$15:$A$18,0)),"Yes","No"))</f>
        <v>Yes</v>
      </c>
    </row>
    <row r="4148" customFormat="false" ht="15" hidden="false" customHeight="false" outlineLevel="0" collapsed="false">
      <c r="A4148" s="31" t="s">
        <v>4298</v>
      </c>
      <c r="B4148" s="44" t="n">
        <v>46260</v>
      </c>
      <c r="C4148" s="31" t="s">
        <v>59</v>
      </c>
      <c r="D4148" s="31" t="s">
        <v>66</v>
      </c>
      <c r="E4148" s="31" t="s">
        <v>51</v>
      </c>
      <c r="F4148" s="31" t="s">
        <v>129</v>
      </c>
      <c r="G4148" s="31" t="n">
        <v>31</v>
      </c>
      <c r="H4148" s="41" t="n">
        <v>5.1</v>
      </c>
      <c r="I4148" s="31" t="s">
        <v>149</v>
      </c>
      <c r="J4148" s="31"/>
      <c r="K4148" s="31" t="s">
        <v>150</v>
      </c>
      <c r="L4148" s="45" t="n">
        <f aca="false">DATE(YEAR(B4148),MONTH(B4148),1)</f>
        <v>46235</v>
      </c>
      <c r="M4148" s="31" t="n">
        <f aca="false">WEEKDAY(B4148,2)</f>
        <v>3</v>
      </c>
      <c r="N4148" s="31" t="str">
        <f aca="false">IF(G4148&lt;=INDEX(Assumptions!$B$15:$B$18,MATCH(E4148,Assumptions!$A$15:$A$18,0)),"Yes","No")</f>
        <v>Yes</v>
      </c>
      <c r="O4148" s="31" t="str">
        <f aca="false">IF(H4148="","Open",IF(H4148&lt;=INDEX(Assumptions!$C$15:$C$18,MATCH(E4148,Assumptions!$A$15:$A$18,0)),"Yes","No"))</f>
        <v>Yes</v>
      </c>
    </row>
    <row r="4149" customFormat="false" ht="15" hidden="false" customHeight="false" outlineLevel="0" collapsed="false">
      <c r="A4149" s="31" t="s">
        <v>4299</v>
      </c>
      <c r="B4149" s="44" t="n">
        <v>46260</v>
      </c>
      <c r="C4149" s="31" t="s">
        <v>59</v>
      </c>
      <c r="D4149" s="31" t="s">
        <v>66</v>
      </c>
      <c r="E4149" s="31" t="s">
        <v>51</v>
      </c>
      <c r="F4149" s="31" t="s">
        <v>133</v>
      </c>
      <c r="G4149" s="31" t="n">
        <v>23</v>
      </c>
      <c r="H4149" s="41" t="n">
        <v>6.6</v>
      </c>
      <c r="I4149" s="31" t="s">
        <v>149</v>
      </c>
      <c r="J4149" s="31"/>
      <c r="K4149" s="31" t="s">
        <v>150</v>
      </c>
      <c r="L4149" s="45" t="n">
        <f aca="false">DATE(YEAR(B4149),MONTH(B4149),1)</f>
        <v>46235</v>
      </c>
      <c r="M4149" s="31" t="n">
        <f aca="false">WEEKDAY(B4149,2)</f>
        <v>3</v>
      </c>
      <c r="N4149" s="31" t="str">
        <f aca="false">IF(G4149&lt;=INDEX(Assumptions!$B$15:$B$18,MATCH(E4149,Assumptions!$A$15:$A$18,0)),"Yes","No")</f>
        <v>Yes</v>
      </c>
      <c r="O4149" s="31" t="str">
        <f aca="false">IF(H4149="","Open",IF(H4149&lt;=INDEX(Assumptions!$C$15:$C$18,MATCH(E4149,Assumptions!$A$15:$A$18,0)),"Yes","No"))</f>
        <v>Yes</v>
      </c>
    </row>
    <row r="4150" customFormat="false" ht="15" hidden="false" customHeight="false" outlineLevel="0" collapsed="false">
      <c r="A4150" s="31" t="s">
        <v>4300</v>
      </c>
      <c r="B4150" s="44" t="n">
        <v>46260</v>
      </c>
      <c r="C4150" s="31" t="s">
        <v>58</v>
      </c>
      <c r="D4150" s="31" t="s">
        <v>67</v>
      </c>
      <c r="E4150" s="31" t="s">
        <v>50</v>
      </c>
      <c r="F4150" s="31" t="s">
        <v>119</v>
      </c>
      <c r="G4150" s="31" t="n">
        <v>4</v>
      </c>
      <c r="H4150" s="41" t="n">
        <v>17.4</v>
      </c>
      <c r="I4150" s="31" t="s">
        <v>149</v>
      </c>
      <c r="J4150" s="31" t="n">
        <v>4</v>
      </c>
      <c r="K4150" s="31" t="s">
        <v>150</v>
      </c>
      <c r="L4150" s="45" t="n">
        <f aca="false">DATE(YEAR(B4150),MONTH(B4150),1)</f>
        <v>46235</v>
      </c>
      <c r="M4150" s="31" t="n">
        <f aca="false">WEEKDAY(B4150,2)</f>
        <v>3</v>
      </c>
      <c r="N4150" s="31" t="str">
        <f aca="false">IF(G4150&lt;=INDEX(Assumptions!$B$15:$B$18,MATCH(E4150,Assumptions!$A$15:$A$18,0)),"Yes","No")</f>
        <v>Yes</v>
      </c>
      <c r="O4150" s="31" t="str">
        <f aca="false">IF(H4150="","Open",IF(H4150&lt;=INDEX(Assumptions!$C$15:$C$18,MATCH(E4150,Assumptions!$A$15:$A$18,0)),"Yes","No"))</f>
        <v>No</v>
      </c>
    </row>
    <row r="4151" customFormat="false" ht="15" hidden="false" customHeight="false" outlineLevel="0" collapsed="false">
      <c r="A4151" s="31" t="s">
        <v>4301</v>
      </c>
      <c r="B4151" s="44" t="n">
        <v>46260</v>
      </c>
      <c r="C4151" s="31" t="s">
        <v>57</v>
      </c>
      <c r="D4151" s="31" t="s">
        <v>66</v>
      </c>
      <c r="E4151" s="31" t="s">
        <v>51</v>
      </c>
      <c r="F4151" s="31" t="s">
        <v>130</v>
      </c>
      <c r="G4151" s="31" t="n">
        <v>4</v>
      </c>
      <c r="H4151" s="41" t="n">
        <v>4.6</v>
      </c>
      <c r="I4151" s="31" t="s">
        <v>149</v>
      </c>
      <c r="J4151" s="31"/>
      <c r="K4151" s="31" t="s">
        <v>150</v>
      </c>
      <c r="L4151" s="45" t="n">
        <f aca="false">DATE(YEAR(B4151),MONTH(B4151),1)</f>
        <v>46235</v>
      </c>
      <c r="M4151" s="31" t="n">
        <f aca="false">WEEKDAY(B4151,2)</f>
        <v>3</v>
      </c>
      <c r="N4151" s="31" t="str">
        <f aca="false">IF(G4151&lt;=INDEX(Assumptions!$B$15:$B$18,MATCH(E4151,Assumptions!$A$15:$A$18,0)),"Yes","No")</f>
        <v>Yes</v>
      </c>
      <c r="O4151" s="31" t="str">
        <f aca="false">IF(H4151="","Open",IF(H4151&lt;=INDEX(Assumptions!$C$15:$C$18,MATCH(E4151,Assumptions!$A$15:$A$18,0)),"Yes","No"))</f>
        <v>Yes</v>
      </c>
    </row>
    <row r="4152" customFormat="false" ht="15" hidden="false" customHeight="false" outlineLevel="0" collapsed="false">
      <c r="A4152" s="31" t="s">
        <v>4302</v>
      </c>
      <c r="B4152" s="44" t="n">
        <v>46260</v>
      </c>
      <c r="C4152" s="31" t="s">
        <v>57</v>
      </c>
      <c r="D4152" s="31" t="s">
        <v>68</v>
      </c>
      <c r="E4152" s="31" t="s">
        <v>52</v>
      </c>
      <c r="F4152" s="31" t="s">
        <v>129</v>
      </c>
      <c r="G4152" s="31" t="n">
        <v>6</v>
      </c>
      <c r="H4152" s="41" t="n">
        <v>2.3</v>
      </c>
      <c r="I4152" s="31" t="s">
        <v>149</v>
      </c>
      <c r="J4152" s="31"/>
      <c r="K4152" s="31" t="s">
        <v>150</v>
      </c>
      <c r="L4152" s="45" t="n">
        <f aca="false">DATE(YEAR(B4152),MONTH(B4152),1)</f>
        <v>46235</v>
      </c>
      <c r="M4152" s="31" t="n">
        <f aca="false">WEEKDAY(B4152,2)</f>
        <v>3</v>
      </c>
      <c r="N4152" s="31" t="str">
        <f aca="false">IF(G4152&lt;=INDEX(Assumptions!$B$15:$B$18,MATCH(E4152,Assumptions!$A$15:$A$18,0)),"Yes","No")</f>
        <v>Yes</v>
      </c>
      <c r="O4152" s="31" t="str">
        <f aca="false">IF(H4152="","Open",IF(H4152&lt;=INDEX(Assumptions!$C$15:$C$18,MATCH(E4152,Assumptions!$A$15:$A$18,0)),"Yes","No"))</f>
        <v>Yes</v>
      </c>
    </row>
    <row r="4153" customFormat="false" ht="15" hidden="false" customHeight="false" outlineLevel="0" collapsed="false">
      <c r="A4153" s="31" t="s">
        <v>4303</v>
      </c>
      <c r="B4153" s="44" t="n">
        <v>46260</v>
      </c>
      <c r="C4153" s="31" t="s">
        <v>59</v>
      </c>
      <c r="D4153" s="31" t="s">
        <v>68</v>
      </c>
      <c r="E4153" s="31" t="s">
        <v>50</v>
      </c>
      <c r="F4153" s="31" t="s">
        <v>130</v>
      </c>
      <c r="G4153" s="31" t="n">
        <v>115</v>
      </c>
      <c r="H4153" s="41" t="n">
        <v>3.6</v>
      </c>
      <c r="I4153" s="31" t="s">
        <v>149</v>
      </c>
      <c r="J4153" s="31" t="n">
        <v>5</v>
      </c>
      <c r="K4153" s="31" t="s">
        <v>150</v>
      </c>
      <c r="L4153" s="45" t="n">
        <f aca="false">DATE(YEAR(B4153),MONTH(B4153),1)</f>
        <v>46235</v>
      </c>
      <c r="M4153" s="31" t="n">
        <f aca="false">WEEKDAY(B4153,2)</f>
        <v>3</v>
      </c>
      <c r="N4153" s="31" t="str">
        <f aca="false">IF(G4153&lt;=INDEX(Assumptions!$B$15:$B$18,MATCH(E4153,Assumptions!$A$15:$A$18,0)),"Yes","No")</f>
        <v>No</v>
      </c>
      <c r="O4153" s="31" t="str">
        <f aca="false">IF(H4153="","Open",IF(H4153&lt;=INDEX(Assumptions!$C$15:$C$18,MATCH(E4153,Assumptions!$A$15:$A$18,0)),"Yes","No"))</f>
        <v>Yes</v>
      </c>
    </row>
    <row r="4154" customFormat="false" ht="15" hidden="false" customHeight="false" outlineLevel="0" collapsed="false">
      <c r="A4154" s="31" t="s">
        <v>4304</v>
      </c>
      <c r="B4154" s="44" t="n">
        <v>46260</v>
      </c>
      <c r="C4154" s="31" t="s">
        <v>59</v>
      </c>
      <c r="D4154" s="31" t="s">
        <v>67</v>
      </c>
      <c r="E4154" s="31" t="s">
        <v>51</v>
      </c>
      <c r="F4154" s="31" t="s">
        <v>131</v>
      </c>
      <c r="G4154" s="31" t="n">
        <v>42</v>
      </c>
      <c r="H4154" s="41" t="n">
        <v>34.7</v>
      </c>
      <c r="I4154" s="31" t="s">
        <v>149</v>
      </c>
      <c r="J4154" s="31"/>
      <c r="K4154" s="31" t="s">
        <v>150</v>
      </c>
      <c r="L4154" s="45" t="n">
        <f aca="false">DATE(YEAR(B4154),MONTH(B4154),1)</f>
        <v>46235</v>
      </c>
      <c r="M4154" s="31" t="n">
        <f aca="false">WEEKDAY(B4154,2)</f>
        <v>3</v>
      </c>
      <c r="N4154" s="31" t="str">
        <f aca="false">IF(G4154&lt;=INDEX(Assumptions!$B$15:$B$18,MATCH(E4154,Assumptions!$A$15:$A$18,0)),"Yes","No")</f>
        <v>Yes</v>
      </c>
      <c r="O4154" s="31" t="str">
        <f aca="false">IF(H4154="","Open",IF(H4154&lt;=INDEX(Assumptions!$C$15:$C$18,MATCH(E4154,Assumptions!$A$15:$A$18,0)),"Yes","No"))</f>
        <v>No</v>
      </c>
    </row>
    <row r="4155" customFormat="false" ht="15" hidden="false" customHeight="false" outlineLevel="0" collapsed="false">
      <c r="A4155" s="31" t="s">
        <v>4305</v>
      </c>
      <c r="B4155" s="44" t="n">
        <v>46260</v>
      </c>
      <c r="C4155" s="31" t="s">
        <v>60</v>
      </c>
      <c r="D4155" s="31" t="s">
        <v>65</v>
      </c>
      <c r="E4155" s="31" t="s">
        <v>52</v>
      </c>
      <c r="F4155" s="31" t="s">
        <v>117</v>
      </c>
      <c r="G4155" s="31" t="n">
        <v>2</v>
      </c>
      <c r="H4155" s="41" t="n">
        <v>8.9</v>
      </c>
      <c r="I4155" s="31" t="s">
        <v>149</v>
      </c>
      <c r="J4155" s="31"/>
      <c r="K4155" s="31" t="s">
        <v>150</v>
      </c>
      <c r="L4155" s="45" t="n">
        <f aca="false">DATE(YEAR(B4155),MONTH(B4155),1)</f>
        <v>46235</v>
      </c>
      <c r="M4155" s="31" t="n">
        <f aca="false">WEEKDAY(B4155,2)</f>
        <v>3</v>
      </c>
      <c r="N4155" s="31" t="str">
        <f aca="false">IF(G4155&lt;=INDEX(Assumptions!$B$15:$B$18,MATCH(E4155,Assumptions!$A$15:$A$18,0)),"Yes","No")</f>
        <v>Yes</v>
      </c>
      <c r="O4155" s="31" t="str">
        <f aca="false">IF(H4155="","Open",IF(H4155&lt;=INDEX(Assumptions!$C$15:$C$18,MATCH(E4155,Assumptions!$A$15:$A$18,0)),"Yes","No"))</f>
        <v>Yes</v>
      </c>
    </row>
    <row r="4156" customFormat="false" ht="15" hidden="false" customHeight="false" outlineLevel="0" collapsed="false">
      <c r="A4156" s="31" t="s">
        <v>4306</v>
      </c>
      <c r="B4156" s="44" t="n">
        <v>46260</v>
      </c>
      <c r="C4156" s="31" t="s">
        <v>58</v>
      </c>
      <c r="D4156" s="31" t="s">
        <v>65</v>
      </c>
      <c r="E4156" s="31" t="s">
        <v>51</v>
      </c>
      <c r="F4156" s="31" t="s">
        <v>124</v>
      </c>
      <c r="G4156" s="31" t="n">
        <v>11</v>
      </c>
      <c r="H4156" s="41" t="n">
        <v>11.5</v>
      </c>
      <c r="I4156" s="31" t="s">
        <v>149</v>
      </c>
      <c r="J4156" s="31"/>
      <c r="K4156" s="31" t="s">
        <v>150</v>
      </c>
      <c r="L4156" s="45" t="n">
        <f aca="false">DATE(YEAR(B4156),MONTH(B4156),1)</f>
        <v>46235</v>
      </c>
      <c r="M4156" s="31" t="n">
        <f aca="false">WEEKDAY(B4156,2)</f>
        <v>3</v>
      </c>
      <c r="N4156" s="31" t="str">
        <f aca="false">IF(G4156&lt;=INDEX(Assumptions!$B$15:$B$18,MATCH(E4156,Assumptions!$A$15:$A$18,0)),"Yes","No")</f>
        <v>Yes</v>
      </c>
      <c r="O4156" s="31" t="str">
        <f aca="false">IF(H4156="","Open",IF(H4156&lt;=INDEX(Assumptions!$C$15:$C$18,MATCH(E4156,Assumptions!$A$15:$A$18,0)),"Yes","No"))</f>
        <v>Yes</v>
      </c>
    </row>
    <row r="4157" customFormat="false" ht="15" hidden="false" customHeight="false" outlineLevel="0" collapsed="false">
      <c r="A4157" s="31" t="s">
        <v>4307</v>
      </c>
      <c r="B4157" s="44" t="n">
        <v>46260</v>
      </c>
      <c r="C4157" s="31" t="s">
        <v>60</v>
      </c>
      <c r="D4157" s="31" t="s">
        <v>66</v>
      </c>
      <c r="E4157" s="31" t="s">
        <v>51</v>
      </c>
      <c r="F4157" s="31" t="s">
        <v>130</v>
      </c>
      <c r="G4157" s="31" t="n">
        <v>1</v>
      </c>
      <c r="H4157" s="41" t="n">
        <v>7.5</v>
      </c>
      <c r="I4157" s="31" t="s">
        <v>149</v>
      </c>
      <c r="J4157" s="31"/>
      <c r="K4157" s="31" t="s">
        <v>150</v>
      </c>
      <c r="L4157" s="45" t="n">
        <f aca="false">DATE(YEAR(B4157),MONTH(B4157),1)</f>
        <v>46235</v>
      </c>
      <c r="M4157" s="31" t="n">
        <f aca="false">WEEKDAY(B4157,2)</f>
        <v>3</v>
      </c>
      <c r="N4157" s="31" t="str">
        <f aca="false">IF(G4157&lt;=INDEX(Assumptions!$B$15:$B$18,MATCH(E4157,Assumptions!$A$15:$A$18,0)),"Yes","No")</f>
        <v>Yes</v>
      </c>
      <c r="O4157" s="31" t="str">
        <f aca="false">IF(H4157="","Open",IF(H4157&lt;=INDEX(Assumptions!$C$15:$C$18,MATCH(E4157,Assumptions!$A$15:$A$18,0)),"Yes","No"))</f>
        <v>Yes</v>
      </c>
    </row>
    <row r="4158" customFormat="false" ht="15" hidden="false" customHeight="false" outlineLevel="0" collapsed="false">
      <c r="A4158" s="31" t="s">
        <v>4308</v>
      </c>
      <c r="B4158" s="44" t="n">
        <v>46260</v>
      </c>
      <c r="C4158" s="31" t="s">
        <v>60</v>
      </c>
      <c r="D4158" s="31" t="s">
        <v>67</v>
      </c>
      <c r="E4158" s="31" t="s">
        <v>52</v>
      </c>
      <c r="F4158" s="31" t="s">
        <v>137</v>
      </c>
      <c r="G4158" s="31" t="n">
        <v>11</v>
      </c>
      <c r="H4158" s="41" t="n">
        <v>87.5</v>
      </c>
      <c r="I4158" s="31" t="s">
        <v>149</v>
      </c>
      <c r="J4158" s="31"/>
      <c r="K4158" s="31" t="s">
        <v>150</v>
      </c>
      <c r="L4158" s="45" t="n">
        <f aca="false">DATE(YEAR(B4158),MONTH(B4158),1)</f>
        <v>46235</v>
      </c>
      <c r="M4158" s="31" t="n">
        <f aca="false">WEEKDAY(B4158,2)</f>
        <v>3</v>
      </c>
      <c r="N4158" s="31" t="str">
        <f aca="false">IF(G4158&lt;=INDEX(Assumptions!$B$15:$B$18,MATCH(E4158,Assumptions!$A$15:$A$18,0)),"Yes","No")</f>
        <v>Yes</v>
      </c>
      <c r="O4158" s="31" t="str">
        <f aca="false">IF(H4158="","Open",IF(H4158&lt;=INDEX(Assumptions!$C$15:$C$18,MATCH(E4158,Assumptions!$A$15:$A$18,0)),"Yes","No"))</f>
        <v>No</v>
      </c>
    </row>
    <row r="4159" customFormat="false" ht="15" hidden="false" customHeight="false" outlineLevel="0" collapsed="false">
      <c r="A4159" s="31" t="s">
        <v>4309</v>
      </c>
      <c r="B4159" s="44" t="n">
        <v>46261</v>
      </c>
      <c r="C4159" s="31" t="s">
        <v>57</v>
      </c>
      <c r="D4159" s="31" t="s">
        <v>68</v>
      </c>
      <c r="E4159" s="31" t="s">
        <v>50</v>
      </c>
      <c r="F4159" s="31" t="s">
        <v>130</v>
      </c>
      <c r="G4159" s="31" t="n">
        <v>5</v>
      </c>
      <c r="H4159" s="41" t="n">
        <v>5.9</v>
      </c>
      <c r="I4159" s="31" t="s">
        <v>149</v>
      </c>
      <c r="J4159" s="31"/>
      <c r="K4159" s="31" t="s">
        <v>150</v>
      </c>
      <c r="L4159" s="45" t="n">
        <f aca="false">DATE(YEAR(B4159),MONTH(B4159),1)</f>
        <v>46235</v>
      </c>
      <c r="M4159" s="31" t="n">
        <f aca="false">WEEKDAY(B4159,2)</f>
        <v>4</v>
      </c>
      <c r="N4159" s="31" t="str">
        <f aca="false">IF(G4159&lt;=INDEX(Assumptions!$B$15:$B$18,MATCH(E4159,Assumptions!$A$15:$A$18,0)),"Yes","No")</f>
        <v>Yes</v>
      </c>
      <c r="O4159" s="31" t="str">
        <f aca="false">IF(H4159="","Open",IF(H4159&lt;=INDEX(Assumptions!$C$15:$C$18,MATCH(E4159,Assumptions!$A$15:$A$18,0)),"Yes","No"))</f>
        <v>Yes</v>
      </c>
    </row>
    <row r="4160" customFormat="false" ht="15" hidden="false" customHeight="false" outlineLevel="0" collapsed="false">
      <c r="A4160" s="31" t="s">
        <v>4310</v>
      </c>
      <c r="B4160" s="44" t="n">
        <v>46261</v>
      </c>
      <c r="C4160" s="31" t="s">
        <v>59</v>
      </c>
      <c r="D4160" s="31" t="s">
        <v>65</v>
      </c>
      <c r="E4160" s="31" t="s">
        <v>51</v>
      </c>
      <c r="F4160" s="31" t="s">
        <v>126</v>
      </c>
      <c r="G4160" s="31" t="n">
        <v>57</v>
      </c>
      <c r="H4160" s="41" t="n">
        <v>14.3</v>
      </c>
      <c r="I4160" s="31" t="s">
        <v>149</v>
      </c>
      <c r="J4160" s="31"/>
      <c r="K4160" s="31" t="s">
        <v>150</v>
      </c>
      <c r="L4160" s="45" t="n">
        <f aca="false">DATE(YEAR(B4160),MONTH(B4160),1)</f>
        <v>46235</v>
      </c>
      <c r="M4160" s="31" t="n">
        <f aca="false">WEEKDAY(B4160,2)</f>
        <v>4</v>
      </c>
      <c r="N4160" s="31" t="str">
        <f aca="false">IF(G4160&lt;=INDEX(Assumptions!$B$15:$B$18,MATCH(E4160,Assumptions!$A$15:$A$18,0)),"Yes","No")</f>
        <v>Yes</v>
      </c>
      <c r="O4160" s="31" t="str">
        <f aca="false">IF(H4160="","Open",IF(H4160&lt;=INDEX(Assumptions!$C$15:$C$18,MATCH(E4160,Assumptions!$A$15:$A$18,0)),"Yes","No"))</f>
        <v>Yes</v>
      </c>
    </row>
    <row r="4161" customFormat="false" ht="15" hidden="false" customHeight="false" outlineLevel="0" collapsed="false">
      <c r="A4161" s="31" t="s">
        <v>4311</v>
      </c>
      <c r="B4161" s="44" t="n">
        <v>46261</v>
      </c>
      <c r="C4161" s="31" t="s">
        <v>60</v>
      </c>
      <c r="D4161" s="31" t="s">
        <v>66</v>
      </c>
      <c r="E4161" s="31" t="s">
        <v>50</v>
      </c>
      <c r="F4161" s="31" t="s">
        <v>135</v>
      </c>
      <c r="G4161" s="31" t="n">
        <v>1</v>
      </c>
      <c r="H4161" s="41"/>
      <c r="I4161" s="31" t="s">
        <v>158</v>
      </c>
      <c r="J4161" s="31"/>
      <c r="K4161" s="31" t="s">
        <v>150</v>
      </c>
      <c r="L4161" s="45" t="n">
        <f aca="false">DATE(YEAR(B4161),MONTH(B4161),1)</f>
        <v>46235</v>
      </c>
      <c r="M4161" s="31" t="n">
        <f aca="false">WEEKDAY(B4161,2)</f>
        <v>4</v>
      </c>
      <c r="N4161" s="31" t="str">
        <f aca="false">IF(G4161&lt;=INDEX(Assumptions!$B$15:$B$18,MATCH(E4161,Assumptions!$A$15:$A$18,0)),"Yes","No")</f>
        <v>Yes</v>
      </c>
      <c r="O4161" s="31" t="str">
        <f aca="false">IF(H4161="","Open",IF(H4161&lt;=INDEX(Assumptions!$C$15:$C$18,MATCH(E4161,Assumptions!$A$15:$A$18,0)),"Yes","No"))</f>
        <v>Open</v>
      </c>
    </row>
    <row r="4162" customFormat="false" ht="15" hidden="false" customHeight="false" outlineLevel="0" collapsed="false">
      <c r="A4162" s="31" t="s">
        <v>4312</v>
      </c>
      <c r="B4162" s="44" t="n">
        <v>46261</v>
      </c>
      <c r="C4162" s="31" t="s">
        <v>57</v>
      </c>
      <c r="D4162" s="31" t="s">
        <v>65</v>
      </c>
      <c r="E4162" s="31" t="s">
        <v>50</v>
      </c>
      <c r="F4162" s="31" t="s">
        <v>137</v>
      </c>
      <c r="G4162" s="31" t="n">
        <v>3</v>
      </c>
      <c r="H4162" s="41" t="n">
        <v>13.4</v>
      </c>
      <c r="I4162" s="31" t="s">
        <v>149</v>
      </c>
      <c r="J4162" s="31" t="n">
        <v>4</v>
      </c>
      <c r="K4162" s="31" t="s">
        <v>153</v>
      </c>
      <c r="L4162" s="45" t="n">
        <f aca="false">DATE(YEAR(B4162),MONTH(B4162),1)</f>
        <v>46235</v>
      </c>
      <c r="M4162" s="31" t="n">
        <f aca="false">WEEKDAY(B4162,2)</f>
        <v>4</v>
      </c>
      <c r="N4162" s="31" t="str">
        <f aca="false">IF(G4162&lt;=INDEX(Assumptions!$B$15:$B$18,MATCH(E4162,Assumptions!$A$15:$A$18,0)),"Yes","No")</f>
        <v>Yes</v>
      </c>
      <c r="O4162" s="31" t="str">
        <f aca="false">IF(H4162="","Open",IF(H4162&lt;=INDEX(Assumptions!$C$15:$C$18,MATCH(E4162,Assumptions!$A$15:$A$18,0)),"Yes","No"))</f>
        <v>No</v>
      </c>
    </row>
    <row r="4163" customFormat="false" ht="15" hidden="false" customHeight="false" outlineLevel="0" collapsed="false">
      <c r="A4163" s="31" t="s">
        <v>4313</v>
      </c>
      <c r="B4163" s="44" t="n">
        <v>46261</v>
      </c>
      <c r="C4163" s="31" t="s">
        <v>59</v>
      </c>
      <c r="D4163" s="31" t="s">
        <v>65</v>
      </c>
      <c r="E4163" s="31" t="s">
        <v>51</v>
      </c>
      <c r="F4163" s="31" t="s">
        <v>126</v>
      </c>
      <c r="G4163" s="31" t="n">
        <v>81</v>
      </c>
      <c r="H4163" s="41" t="n">
        <v>6.2</v>
      </c>
      <c r="I4163" s="31" t="s">
        <v>149</v>
      </c>
      <c r="J4163" s="31" t="n">
        <v>4</v>
      </c>
      <c r="K4163" s="31" t="s">
        <v>150</v>
      </c>
      <c r="L4163" s="45" t="n">
        <f aca="false">DATE(YEAR(B4163),MONTH(B4163),1)</f>
        <v>46235</v>
      </c>
      <c r="M4163" s="31" t="n">
        <f aca="false">WEEKDAY(B4163,2)</f>
        <v>4</v>
      </c>
      <c r="N4163" s="31" t="str">
        <f aca="false">IF(G4163&lt;=INDEX(Assumptions!$B$15:$B$18,MATCH(E4163,Assumptions!$A$15:$A$18,0)),"Yes","No")</f>
        <v>No</v>
      </c>
      <c r="O4163" s="31" t="str">
        <f aca="false">IF(H4163="","Open",IF(H4163&lt;=INDEX(Assumptions!$C$15:$C$18,MATCH(E4163,Assumptions!$A$15:$A$18,0)),"Yes","No"))</f>
        <v>Yes</v>
      </c>
    </row>
    <row r="4164" customFormat="false" ht="15" hidden="false" customHeight="false" outlineLevel="0" collapsed="false">
      <c r="A4164" s="31" t="s">
        <v>4314</v>
      </c>
      <c r="B4164" s="44" t="n">
        <v>46261</v>
      </c>
      <c r="C4164" s="31" t="s">
        <v>60</v>
      </c>
      <c r="D4164" s="31" t="s">
        <v>68</v>
      </c>
      <c r="E4164" s="31" t="s">
        <v>52</v>
      </c>
      <c r="F4164" s="31" t="s">
        <v>131</v>
      </c>
      <c r="G4164" s="31" t="n">
        <v>3</v>
      </c>
      <c r="H4164" s="41" t="n">
        <v>19.2</v>
      </c>
      <c r="I4164" s="31" t="s">
        <v>149</v>
      </c>
      <c r="J4164" s="31"/>
      <c r="K4164" s="31" t="s">
        <v>150</v>
      </c>
      <c r="L4164" s="45" t="n">
        <f aca="false">DATE(YEAR(B4164),MONTH(B4164),1)</f>
        <v>46235</v>
      </c>
      <c r="M4164" s="31" t="n">
        <f aca="false">WEEKDAY(B4164,2)</f>
        <v>4</v>
      </c>
      <c r="N4164" s="31" t="str">
        <f aca="false">IF(G4164&lt;=INDEX(Assumptions!$B$15:$B$18,MATCH(E4164,Assumptions!$A$15:$A$18,0)),"Yes","No")</f>
        <v>Yes</v>
      </c>
      <c r="O4164" s="31" t="str">
        <f aca="false">IF(H4164="","Open",IF(H4164&lt;=INDEX(Assumptions!$C$15:$C$18,MATCH(E4164,Assumptions!$A$15:$A$18,0)),"Yes","No"))</f>
        <v>Yes</v>
      </c>
    </row>
    <row r="4165" customFormat="false" ht="15" hidden="false" customHeight="false" outlineLevel="0" collapsed="false">
      <c r="A4165" s="31" t="s">
        <v>4315</v>
      </c>
      <c r="B4165" s="44" t="n">
        <v>46261</v>
      </c>
      <c r="C4165" s="31" t="s">
        <v>60</v>
      </c>
      <c r="D4165" s="31" t="s">
        <v>69</v>
      </c>
      <c r="E4165" s="31" t="s">
        <v>52</v>
      </c>
      <c r="F4165" s="31" t="s">
        <v>121</v>
      </c>
      <c r="G4165" s="31" t="n">
        <v>6</v>
      </c>
      <c r="H4165" s="41" t="n">
        <v>15.4</v>
      </c>
      <c r="I4165" s="31" t="s">
        <v>149</v>
      </c>
      <c r="J4165" s="31" t="n">
        <v>5</v>
      </c>
      <c r="K4165" s="31" t="s">
        <v>153</v>
      </c>
      <c r="L4165" s="45" t="n">
        <f aca="false">DATE(YEAR(B4165),MONTH(B4165),1)</f>
        <v>46235</v>
      </c>
      <c r="M4165" s="31" t="n">
        <f aca="false">WEEKDAY(B4165,2)</f>
        <v>4</v>
      </c>
      <c r="N4165" s="31" t="str">
        <f aca="false">IF(G4165&lt;=INDEX(Assumptions!$B$15:$B$18,MATCH(E4165,Assumptions!$A$15:$A$18,0)),"Yes","No")</f>
        <v>Yes</v>
      </c>
      <c r="O4165" s="31" t="str">
        <f aca="false">IF(H4165="","Open",IF(H4165&lt;=INDEX(Assumptions!$C$15:$C$18,MATCH(E4165,Assumptions!$A$15:$A$18,0)),"Yes","No"))</f>
        <v>Yes</v>
      </c>
    </row>
    <row r="4166" customFormat="false" ht="15" hidden="false" customHeight="false" outlineLevel="0" collapsed="false">
      <c r="A4166" s="31" t="s">
        <v>4316</v>
      </c>
      <c r="B4166" s="44" t="n">
        <v>46261</v>
      </c>
      <c r="C4166" s="31" t="s">
        <v>57</v>
      </c>
      <c r="D4166" s="31" t="s">
        <v>65</v>
      </c>
      <c r="E4166" s="31" t="s">
        <v>50</v>
      </c>
      <c r="F4166" s="31" t="s">
        <v>135</v>
      </c>
      <c r="G4166" s="31" t="n">
        <v>4</v>
      </c>
      <c r="H4166" s="41" t="n">
        <v>16.8</v>
      </c>
      <c r="I4166" s="31" t="s">
        <v>149</v>
      </c>
      <c r="J4166" s="31"/>
      <c r="K4166" s="31" t="s">
        <v>150</v>
      </c>
      <c r="L4166" s="45" t="n">
        <f aca="false">DATE(YEAR(B4166),MONTH(B4166),1)</f>
        <v>46235</v>
      </c>
      <c r="M4166" s="31" t="n">
        <f aca="false">WEEKDAY(B4166,2)</f>
        <v>4</v>
      </c>
      <c r="N4166" s="31" t="str">
        <f aca="false">IF(G4166&lt;=INDEX(Assumptions!$B$15:$B$18,MATCH(E4166,Assumptions!$A$15:$A$18,0)),"Yes","No")</f>
        <v>Yes</v>
      </c>
      <c r="O4166" s="31" t="str">
        <f aca="false">IF(H4166="","Open",IF(H4166&lt;=INDEX(Assumptions!$C$15:$C$18,MATCH(E4166,Assumptions!$A$15:$A$18,0)),"Yes","No"))</f>
        <v>No</v>
      </c>
    </row>
    <row r="4167" customFormat="false" ht="15" hidden="false" customHeight="false" outlineLevel="0" collapsed="false">
      <c r="A4167" s="31" t="s">
        <v>4317</v>
      </c>
      <c r="B4167" s="44" t="n">
        <v>46261</v>
      </c>
      <c r="C4167" s="31" t="s">
        <v>57</v>
      </c>
      <c r="D4167" s="31" t="s">
        <v>66</v>
      </c>
      <c r="E4167" s="31" t="s">
        <v>49</v>
      </c>
      <c r="F4167" s="31" t="s">
        <v>124</v>
      </c>
      <c r="G4167" s="31" t="n">
        <v>6</v>
      </c>
      <c r="H4167" s="41" t="n">
        <v>2.2</v>
      </c>
      <c r="I4167" s="31" t="s">
        <v>149</v>
      </c>
      <c r="J4167" s="31" t="n">
        <v>5</v>
      </c>
      <c r="K4167" s="31" t="s">
        <v>150</v>
      </c>
      <c r="L4167" s="45" t="n">
        <f aca="false">DATE(YEAR(B4167),MONTH(B4167),1)</f>
        <v>46235</v>
      </c>
      <c r="M4167" s="31" t="n">
        <f aca="false">WEEKDAY(B4167,2)</f>
        <v>4</v>
      </c>
      <c r="N4167" s="31" t="str">
        <f aca="false">IF(G4167&lt;=INDEX(Assumptions!$B$15:$B$18,MATCH(E4167,Assumptions!$A$15:$A$18,0)),"Yes","No")</f>
        <v>Yes</v>
      </c>
      <c r="O4167" s="31" t="str">
        <f aca="false">IF(H4167="","Open",IF(H4167&lt;=INDEX(Assumptions!$C$15:$C$18,MATCH(E4167,Assumptions!$A$15:$A$18,0)),"Yes","No"))</f>
        <v>Yes</v>
      </c>
    </row>
    <row r="4168" customFormat="false" ht="15" hidden="false" customHeight="false" outlineLevel="0" collapsed="false">
      <c r="A4168" s="31" t="s">
        <v>4318</v>
      </c>
      <c r="B4168" s="44" t="n">
        <v>46261</v>
      </c>
      <c r="C4168" s="31" t="s">
        <v>59</v>
      </c>
      <c r="D4168" s="31" t="s">
        <v>65</v>
      </c>
      <c r="E4168" s="31" t="s">
        <v>51</v>
      </c>
      <c r="F4168" s="31" t="s">
        <v>131</v>
      </c>
      <c r="G4168" s="31" t="n">
        <v>24</v>
      </c>
      <c r="H4168" s="41" t="n">
        <v>6</v>
      </c>
      <c r="I4168" s="31" t="s">
        <v>149</v>
      </c>
      <c r="J4168" s="31" t="n">
        <v>4</v>
      </c>
      <c r="K4168" s="31" t="s">
        <v>150</v>
      </c>
      <c r="L4168" s="45" t="n">
        <f aca="false">DATE(YEAR(B4168),MONTH(B4168),1)</f>
        <v>46235</v>
      </c>
      <c r="M4168" s="31" t="n">
        <f aca="false">WEEKDAY(B4168,2)</f>
        <v>4</v>
      </c>
      <c r="N4168" s="31" t="str">
        <f aca="false">IF(G4168&lt;=INDEX(Assumptions!$B$15:$B$18,MATCH(E4168,Assumptions!$A$15:$A$18,0)),"Yes","No")</f>
        <v>Yes</v>
      </c>
      <c r="O4168" s="31" t="str">
        <f aca="false">IF(H4168="","Open",IF(H4168&lt;=INDEX(Assumptions!$C$15:$C$18,MATCH(E4168,Assumptions!$A$15:$A$18,0)),"Yes","No"))</f>
        <v>Yes</v>
      </c>
    </row>
    <row r="4169" customFormat="false" ht="15" hidden="false" customHeight="false" outlineLevel="0" collapsed="false">
      <c r="A4169" s="31" t="s">
        <v>4319</v>
      </c>
      <c r="B4169" s="44" t="n">
        <v>46261</v>
      </c>
      <c r="C4169" s="31" t="s">
        <v>60</v>
      </c>
      <c r="D4169" s="31" t="s">
        <v>66</v>
      </c>
      <c r="E4169" s="31" t="s">
        <v>52</v>
      </c>
      <c r="F4169" s="31" t="s">
        <v>137</v>
      </c>
      <c r="G4169" s="31" t="n">
        <v>4</v>
      </c>
      <c r="H4169" s="41" t="n">
        <v>16.7</v>
      </c>
      <c r="I4169" s="31" t="s">
        <v>149</v>
      </c>
      <c r="J4169" s="31"/>
      <c r="K4169" s="31" t="s">
        <v>150</v>
      </c>
      <c r="L4169" s="45" t="n">
        <f aca="false">DATE(YEAR(B4169),MONTH(B4169),1)</f>
        <v>46235</v>
      </c>
      <c r="M4169" s="31" t="n">
        <f aca="false">WEEKDAY(B4169,2)</f>
        <v>4</v>
      </c>
      <c r="N4169" s="31" t="str">
        <f aca="false">IF(G4169&lt;=INDEX(Assumptions!$B$15:$B$18,MATCH(E4169,Assumptions!$A$15:$A$18,0)),"Yes","No")</f>
        <v>Yes</v>
      </c>
      <c r="O4169" s="31" t="str">
        <f aca="false">IF(H4169="","Open",IF(H4169&lt;=INDEX(Assumptions!$C$15:$C$18,MATCH(E4169,Assumptions!$A$15:$A$18,0)),"Yes","No"))</f>
        <v>Yes</v>
      </c>
    </row>
    <row r="4170" customFormat="false" ht="15" hidden="false" customHeight="false" outlineLevel="0" collapsed="false">
      <c r="A4170" s="31" t="s">
        <v>4320</v>
      </c>
      <c r="B4170" s="44" t="n">
        <v>46261</v>
      </c>
      <c r="C4170" s="31" t="s">
        <v>58</v>
      </c>
      <c r="D4170" s="31" t="s">
        <v>67</v>
      </c>
      <c r="E4170" s="31" t="s">
        <v>51</v>
      </c>
      <c r="F4170" s="31" t="s">
        <v>122</v>
      </c>
      <c r="G4170" s="31" t="n">
        <v>6</v>
      </c>
      <c r="H4170" s="41" t="n">
        <v>14.5</v>
      </c>
      <c r="I4170" s="31" t="s">
        <v>149</v>
      </c>
      <c r="J4170" s="31" t="n">
        <v>4</v>
      </c>
      <c r="K4170" s="31" t="s">
        <v>150</v>
      </c>
      <c r="L4170" s="45" t="n">
        <f aca="false">DATE(YEAR(B4170),MONTH(B4170),1)</f>
        <v>46235</v>
      </c>
      <c r="M4170" s="31" t="n">
        <f aca="false">WEEKDAY(B4170,2)</f>
        <v>4</v>
      </c>
      <c r="N4170" s="31" t="str">
        <f aca="false">IF(G4170&lt;=INDEX(Assumptions!$B$15:$B$18,MATCH(E4170,Assumptions!$A$15:$A$18,0)),"Yes","No")</f>
        <v>Yes</v>
      </c>
      <c r="O4170" s="31" t="str">
        <f aca="false">IF(H4170="","Open",IF(H4170&lt;=INDEX(Assumptions!$C$15:$C$18,MATCH(E4170,Assumptions!$A$15:$A$18,0)),"Yes","No"))</f>
        <v>Yes</v>
      </c>
    </row>
    <row r="4171" customFormat="false" ht="15" hidden="false" customHeight="false" outlineLevel="0" collapsed="false">
      <c r="A4171" s="31" t="s">
        <v>4321</v>
      </c>
      <c r="B4171" s="44" t="n">
        <v>46261</v>
      </c>
      <c r="C4171" s="31" t="s">
        <v>59</v>
      </c>
      <c r="D4171" s="31" t="s">
        <v>66</v>
      </c>
      <c r="E4171" s="31" t="s">
        <v>52</v>
      </c>
      <c r="F4171" s="31" t="s">
        <v>121</v>
      </c>
      <c r="G4171" s="31" t="n">
        <v>118</v>
      </c>
      <c r="H4171" s="41" t="n">
        <v>26.6</v>
      </c>
      <c r="I4171" s="31" t="s">
        <v>149</v>
      </c>
      <c r="J4171" s="31"/>
      <c r="K4171" s="31" t="s">
        <v>150</v>
      </c>
      <c r="L4171" s="45" t="n">
        <f aca="false">DATE(YEAR(B4171),MONTH(B4171),1)</f>
        <v>46235</v>
      </c>
      <c r="M4171" s="31" t="n">
        <f aca="false">WEEKDAY(B4171,2)</f>
        <v>4</v>
      </c>
      <c r="N4171" s="31" t="str">
        <f aca="false">IF(G4171&lt;=INDEX(Assumptions!$B$15:$B$18,MATCH(E4171,Assumptions!$A$15:$A$18,0)),"Yes","No")</f>
        <v>Yes</v>
      </c>
      <c r="O4171" s="31" t="str">
        <f aca="false">IF(H4171="","Open",IF(H4171&lt;=INDEX(Assumptions!$C$15:$C$18,MATCH(E4171,Assumptions!$A$15:$A$18,0)),"Yes","No"))</f>
        <v>Yes</v>
      </c>
    </row>
    <row r="4172" customFormat="false" ht="15" hidden="false" customHeight="false" outlineLevel="0" collapsed="false">
      <c r="A4172" s="31" t="s">
        <v>4322</v>
      </c>
      <c r="B4172" s="44" t="n">
        <v>46261</v>
      </c>
      <c r="C4172" s="31" t="s">
        <v>58</v>
      </c>
      <c r="D4172" s="31" t="s">
        <v>65</v>
      </c>
      <c r="E4172" s="31" t="s">
        <v>52</v>
      </c>
      <c r="F4172" s="31" t="s">
        <v>128</v>
      </c>
      <c r="G4172" s="31" t="n">
        <v>11</v>
      </c>
      <c r="H4172" s="41" t="n">
        <v>8.6</v>
      </c>
      <c r="I4172" s="31" t="s">
        <v>149</v>
      </c>
      <c r="J4172" s="31" t="n">
        <v>3</v>
      </c>
      <c r="K4172" s="31" t="s">
        <v>153</v>
      </c>
      <c r="L4172" s="45" t="n">
        <f aca="false">DATE(YEAR(B4172),MONTH(B4172),1)</f>
        <v>46235</v>
      </c>
      <c r="M4172" s="31" t="n">
        <f aca="false">WEEKDAY(B4172,2)</f>
        <v>4</v>
      </c>
      <c r="N4172" s="31" t="str">
        <f aca="false">IF(G4172&lt;=INDEX(Assumptions!$B$15:$B$18,MATCH(E4172,Assumptions!$A$15:$A$18,0)),"Yes","No")</f>
        <v>Yes</v>
      </c>
      <c r="O4172" s="31" t="str">
        <f aca="false">IF(H4172="","Open",IF(H4172&lt;=INDEX(Assumptions!$C$15:$C$18,MATCH(E4172,Assumptions!$A$15:$A$18,0)),"Yes","No"))</f>
        <v>Yes</v>
      </c>
    </row>
    <row r="4173" customFormat="false" ht="15" hidden="false" customHeight="false" outlineLevel="0" collapsed="false">
      <c r="A4173" s="31" t="s">
        <v>4323</v>
      </c>
      <c r="B4173" s="44" t="n">
        <v>46261</v>
      </c>
      <c r="C4173" s="31" t="s">
        <v>59</v>
      </c>
      <c r="D4173" s="31" t="s">
        <v>66</v>
      </c>
      <c r="E4173" s="31" t="s">
        <v>51</v>
      </c>
      <c r="F4173" s="31" t="s">
        <v>136</v>
      </c>
      <c r="G4173" s="31" t="n">
        <v>46</v>
      </c>
      <c r="H4173" s="41" t="n">
        <v>4.5</v>
      </c>
      <c r="I4173" s="31" t="s">
        <v>149</v>
      </c>
      <c r="J4173" s="31"/>
      <c r="K4173" s="31" t="s">
        <v>150</v>
      </c>
      <c r="L4173" s="45" t="n">
        <f aca="false">DATE(YEAR(B4173),MONTH(B4173),1)</f>
        <v>46235</v>
      </c>
      <c r="M4173" s="31" t="n">
        <f aca="false">WEEKDAY(B4173,2)</f>
        <v>4</v>
      </c>
      <c r="N4173" s="31" t="str">
        <f aca="false">IF(G4173&lt;=INDEX(Assumptions!$B$15:$B$18,MATCH(E4173,Assumptions!$A$15:$A$18,0)),"Yes","No")</f>
        <v>Yes</v>
      </c>
      <c r="O4173" s="31" t="str">
        <f aca="false">IF(H4173="","Open",IF(H4173&lt;=INDEX(Assumptions!$C$15:$C$18,MATCH(E4173,Assumptions!$A$15:$A$18,0)),"Yes","No"))</f>
        <v>Yes</v>
      </c>
    </row>
    <row r="4174" customFormat="false" ht="15" hidden="false" customHeight="false" outlineLevel="0" collapsed="false">
      <c r="A4174" s="31" t="s">
        <v>4324</v>
      </c>
      <c r="B4174" s="44" t="n">
        <v>46261</v>
      </c>
      <c r="C4174" s="31" t="s">
        <v>58</v>
      </c>
      <c r="D4174" s="31" t="s">
        <v>65</v>
      </c>
      <c r="E4174" s="31" t="s">
        <v>50</v>
      </c>
      <c r="F4174" s="31" t="s">
        <v>134</v>
      </c>
      <c r="G4174" s="31" t="n">
        <v>18</v>
      </c>
      <c r="H4174" s="41" t="n">
        <v>9.3</v>
      </c>
      <c r="I4174" s="31" t="s">
        <v>149</v>
      </c>
      <c r="J4174" s="31"/>
      <c r="K4174" s="31" t="s">
        <v>150</v>
      </c>
      <c r="L4174" s="45" t="n">
        <f aca="false">DATE(YEAR(B4174),MONTH(B4174),1)</f>
        <v>46235</v>
      </c>
      <c r="M4174" s="31" t="n">
        <f aca="false">WEEKDAY(B4174,2)</f>
        <v>4</v>
      </c>
      <c r="N4174" s="31" t="str">
        <f aca="false">IF(G4174&lt;=INDEX(Assumptions!$B$15:$B$18,MATCH(E4174,Assumptions!$A$15:$A$18,0)),"Yes","No")</f>
        <v>Yes</v>
      </c>
      <c r="O4174" s="31" t="str">
        <f aca="false">IF(H4174="","Open",IF(H4174&lt;=INDEX(Assumptions!$C$15:$C$18,MATCH(E4174,Assumptions!$A$15:$A$18,0)),"Yes","No"))</f>
        <v>No</v>
      </c>
    </row>
    <row r="4175" customFormat="false" ht="15" hidden="false" customHeight="false" outlineLevel="0" collapsed="false">
      <c r="A4175" s="31" t="s">
        <v>4325</v>
      </c>
      <c r="B4175" s="44" t="n">
        <v>46261</v>
      </c>
      <c r="C4175" s="31" t="s">
        <v>59</v>
      </c>
      <c r="D4175" s="31" t="s">
        <v>67</v>
      </c>
      <c r="E4175" s="31" t="s">
        <v>51</v>
      </c>
      <c r="F4175" s="31" t="s">
        <v>134</v>
      </c>
      <c r="G4175" s="31" t="n">
        <v>99</v>
      </c>
      <c r="H4175" s="41" t="n">
        <v>28.6</v>
      </c>
      <c r="I4175" s="31" t="s">
        <v>149</v>
      </c>
      <c r="J4175" s="31"/>
      <c r="K4175" s="31" t="s">
        <v>150</v>
      </c>
      <c r="L4175" s="45" t="n">
        <f aca="false">DATE(YEAR(B4175),MONTH(B4175),1)</f>
        <v>46235</v>
      </c>
      <c r="M4175" s="31" t="n">
        <f aca="false">WEEKDAY(B4175,2)</f>
        <v>4</v>
      </c>
      <c r="N4175" s="31" t="str">
        <f aca="false">IF(G4175&lt;=INDEX(Assumptions!$B$15:$B$18,MATCH(E4175,Assumptions!$A$15:$A$18,0)),"Yes","No")</f>
        <v>No</v>
      </c>
      <c r="O4175" s="31" t="str">
        <f aca="false">IF(H4175="","Open",IF(H4175&lt;=INDEX(Assumptions!$C$15:$C$18,MATCH(E4175,Assumptions!$A$15:$A$18,0)),"Yes","No"))</f>
        <v>No</v>
      </c>
    </row>
    <row r="4176" customFormat="false" ht="15" hidden="false" customHeight="false" outlineLevel="0" collapsed="false">
      <c r="A4176" s="31" t="s">
        <v>4326</v>
      </c>
      <c r="B4176" s="44" t="n">
        <v>46261</v>
      </c>
      <c r="C4176" s="31" t="s">
        <v>59</v>
      </c>
      <c r="D4176" s="31" t="s">
        <v>67</v>
      </c>
      <c r="E4176" s="31" t="s">
        <v>51</v>
      </c>
      <c r="F4176" s="31" t="s">
        <v>127</v>
      </c>
      <c r="G4176" s="31" t="n">
        <v>83</v>
      </c>
      <c r="H4176" s="41" t="n">
        <v>10.4</v>
      </c>
      <c r="I4176" s="31" t="s">
        <v>149</v>
      </c>
      <c r="J4176" s="31"/>
      <c r="K4176" s="31" t="s">
        <v>150</v>
      </c>
      <c r="L4176" s="45" t="n">
        <f aca="false">DATE(YEAR(B4176),MONTH(B4176),1)</f>
        <v>46235</v>
      </c>
      <c r="M4176" s="31" t="n">
        <f aca="false">WEEKDAY(B4176,2)</f>
        <v>4</v>
      </c>
      <c r="N4176" s="31" t="str">
        <f aca="false">IF(G4176&lt;=INDEX(Assumptions!$B$15:$B$18,MATCH(E4176,Assumptions!$A$15:$A$18,0)),"Yes","No")</f>
        <v>No</v>
      </c>
      <c r="O4176" s="31" t="str">
        <f aca="false">IF(H4176="","Open",IF(H4176&lt;=INDEX(Assumptions!$C$15:$C$18,MATCH(E4176,Assumptions!$A$15:$A$18,0)),"Yes","No"))</f>
        <v>Yes</v>
      </c>
    </row>
    <row r="4177" customFormat="false" ht="15" hidden="false" customHeight="false" outlineLevel="0" collapsed="false">
      <c r="A4177" s="31" t="s">
        <v>4327</v>
      </c>
      <c r="B4177" s="44" t="n">
        <v>46261</v>
      </c>
      <c r="C4177" s="31" t="s">
        <v>59</v>
      </c>
      <c r="D4177" s="31" t="s">
        <v>65</v>
      </c>
      <c r="E4177" s="31" t="s">
        <v>50</v>
      </c>
      <c r="F4177" s="31" t="s">
        <v>120</v>
      </c>
      <c r="G4177" s="31" t="n">
        <v>118</v>
      </c>
      <c r="H4177" s="41" t="n">
        <v>4.9</v>
      </c>
      <c r="I4177" s="31" t="s">
        <v>149</v>
      </c>
      <c r="J4177" s="31"/>
      <c r="K4177" s="31" t="s">
        <v>150</v>
      </c>
      <c r="L4177" s="45" t="n">
        <f aca="false">DATE(YEAR(B4177),MONTH(B4177),1)</f>
        <v>46235</v>
      </c>
      <c r="M4177" s="31" t="n">
        <f aca="false">WEEKDAY(B4177,2)</f>
        <v>4</v>
      </c>
      <c r="N4177" s="31" t="str">
        <f aca="false">IF(G4177&lt;=INDEX(Assumptions!$B$15:$B$18,MATCH(E4177,Assumptions!$A$15:$A$18,0)),"Yes","No")</f>
        <v>No</v>
      </c>
      <c r="O4177" s="31" t="str">
        <f aca="false">IF(H4177="","Open",IF(H4177&lt;=INDEX(Assumptions!$C$15:$C$18,MATCH(E4177,Assumptions!$A$15:$A$18,0)),"Yes","No"))</f>
        <v>Yes</v>
      </c>
    </row>
    <row r="4178" customFormat="false" ht="15" hidden="false" customHeight="false" outlineLevel="0" collapsed="false">
      <c r="A4178" s="31" t="s">
        <v>4328</v>
      </c>
      <c r="B4178" s="44" t="n">
        <v>46261</v>
      </c>
      <c r="C4178" s="31" t="s">
        <v>57</v>
      </c>
      <c r="D4178" s="31" t="s">
        <v>66</v>
      </c>
      <c r="E4178" s="31" t="s">
        <v>50</v>
      </c>
      <c r="F4178" s="31" t="s">
        <v>136</v>
      </c>
      <c r="G4178" s="31" t="n">
        <v>10</v>
      </c>
      <c r="H4178" s="41" t="n">
        <v>1.5</v>
      </c>
      <c r="I4178" s="31" t="s">
        <v>149</v>
      </c>
      <c r="J4178" s="31" t="n">
        <v>4</v>
      </c>
      <c r="K4178" s="31" t="s">
        <v>150</v>
      </c>
      <c r="L4178" s="45" t="n">
        <f aca="false">DATE(YEAR(B4178),MONTH(B4178),1)</f>
        <v>46235</v>
      </c>
      <c r="M4178" s="31" t="n">
        <f aca="false">WEEKDAY(B4178,2)</f>
        <v>4</v>
      </c>
      <c r="N4178" s="31" t="str">
        <f aca="false">IF(G4178&lt;=INDEX(Assumptions!$B$15:$B$18,MATCH(E4178,Assumptions!$A$15:$A$18,0)),"Yes","No")</f>
        <v>Yes</v>
      </c>
      <c r="O4178" s="31" t="str">
        <f aca="false">IF(H4178="","Open",IF(H4178&lt;=INDEX(Assumptions!$C$15:$C$18,MATCH(E4178,Assumptions!$A$15:$A$18,0)),"Yes","No"))</f>
        <v>Yes</v>
      </c>
    </row>
    <row r="4179" customFormat="false" ht="15" hidden="false" customHeight="false" outlineLevel="0" collapsed="false">
      <c r="A4179" s="31" t="s">
        <v>4329</v>
      </c>
      <c r="B4179" s="44" t="n">
        <v>46261</v>
      </c>
      <c r="C4179" s="31" t="s">
        <v>58</v>
      </c>
      <c r="D4179" s="31" t="s">
        <v>69</v>
      </c>
      <c r="E4179" s="31" t="s">
        <v>52</v>
      </c>
      <c r="F4179" s="31" t="s">
        <v>128</v>
      </c>
      <c r="G4179" s="31" t="n">
        <v>18</v>
      </c>
      <c r="H4179" s="41" t="n">
        <v>10.5</v>
      </c>
      <c r="I4179" s="31" t="s">
        <v>149</v>
      </c>
      <c r="J4179" s="31"/>
      <c r="K4179" s="31" t="s">
        <v>150</v>
      </c>
      <c r="L4179" s="45" t="n">
        <f aca="false">DATE(YEAR(B4179),MONTH(B4179),1)</f>
        <v>46235</v>
      </c>
      <c r="M4179" s="31" t="n">
        <f aca="false">WEEKDAY(B4179,2)</f>
        <v>4</v>
      </c>
      <c r="N4179" s="31" t="str">
        <f aca="false">IF(G4179&lt;=INDEX(Assumptions!$B$15:$B$18,MATCH(E4179,Assumptions!$A$15:$A$18,0)),"Yes","No")</f>
        <v>Yes</v>
      </c>
      <c r="O4179" s="31" t="str">
        <f aca="false">IF(H4179="","Open",IF(H4179&lt;=INDEX(Assumptions!$C$15:$C$18,MATCH(E4179,Assumptions!$A$15:$A$18,0)),"Yes","No"))</f>
        <v>Yes</v>
      </c>
    </row>
    <row r="4180" customFormat="false" ht="15" hidden="false" customHeight="false" outlineLevel="0" collapsed="false">
      <c r="A4180" s="31" t="s">
        <v>4330</v>
      </c>
      <c r="B4180" s="44" t="n">
        <v>46261</v>
      </c>
      <c r="C4180" s="31" t="s">
        <v>59</v>
      </c>
      <c r="D4180" s="31" t="s">
        <v>65</v>
      </c>
      <c r="E4180" s="31" t="s">
        <v>51</v>
      </c>
      <c r="F4180" s="31" t="s">
        <v>133</v>
      </c>
      <c r="G4180" s="31" t="n">
        <v>22</v>
      </c>
      <c r="H4180" s="41" t="n">
        <v>13.3</v>
      </c>
      <c r="I4180" s="31" t="s">
        <v>149</v>
      </c>
      <c r="J4180" s="31" t="n">
        <v>5</v>
      </c>
      <c r="K4180" s="31" t="s">
        <v>150</v>
      </c>
      <c r="L4180" s="45" t="n">
        <f aca="false">DATE(YEAR(B4180),MONTH(B4180),1)</f>
        <v>46235</v>
      </c>
      <c r="M4180" s="31" t="n">
        <f aca="false">WEEKDAY(B4180,2)</f>
        <v>4</v>
      </c>
      <c r="N4180" s="31" t="str">
        <f aca="false">IF(G4180&lt;=INDEX(Assumptions!$B$15:$B$18,MATCH(E4180,Assumptions!$A$15:$A$18,0)),"Yes","No")</f>
        <v>Yes</v>
      </c>
      <c r="O4180" s="31" t="str">
        <f aca="false">IF(H4180="","Open",IF(H4180&lt;=INDEX(Assumptions!$C$15:$C$18,MATCH(E4180,Assumptions!$A$15:$A$18,0)),"Yes","No"))</f>
        <v>Yes</v>
      </c>
    </row>
    <row r="4181" customFormat="false" ht="15" hidden="false" customHeight="false" outlineLevel="0" collapsed="false">
      <c r="A4181" s="31" t="s">
        <v>4331</v>
      </c>
      <c r="B4181" s="44" t="n">
        <v>46261</v>
      </c>
      <c r="C4181" s="31" t="s">
        <v>59</v>
      </c>
      <c r="D4181" s="31" t="s">
        <v>65</v>
      </c>
      <c r="E4181" s="31" t="s">
        <v>52</v>
      </c>
      <c r="F4181" s="31" t="s">
        <v>130</v>
      </c>
      <c r="G4181" s="31" t="n">
        <v>66</v>
      </c>
      <c r="H4181" s="41" t="n">
        <v>18.2</v>
      </c>
      <c r="I4181" s="31" t="s">
        <v>149</v>
      </c>
      <c r="J4181" s="31"/>
      <c r="K4181" s="31" t="s">
        <v>150</v>
      </c>
      <c r="L4181" s="45" t="n">
        <f aca="false">DATE(YEAR(B4181),MONTH(B4181),1)</f>
        <v>46235</v>
      </c>
      <c r="M4181" s="31" t="n">
        <f aca="false">WEEKDAY(B4181,2)</f>
        <v>4</v>
      </c>
      <c r="N4181" s="31" t="str">
        <f aca="false">IF(G4181&lt;=INDEX(Assumptions!$B$15:$B$18,MATCH(E4181,Assumptions!$A$15:$A$18,0)),"Yes","No")</f>
        <v>Yes</v>
      </c>
      <c r="O4181" s="31" t="str">
        <f aca="false">IF(H4181="","Open",IF(H4181&lt;=INDEX(Assumptions!$C$15:$C$18,MATCH(E4181,Assumptions!$A$15:$A$18,0)),"Yes","No"))</f>
        <v>Yes</v>
      </c>
    </row>
    <row r="4182" customFormat="false" ht="15" hidden="false" customHeight="false" outlineLevel="0" collapsed="false">
      <c r="A4182" s="31" t="s">
        <v>4332</v>
      </c>
      <c r="B4182" s="44" t="n">
        <v>46261</v>
      </c>
      <c r="C4182" s="31" t="s">
        <v>59</v>
      </c>
      <c r="D4182" s="31" t="s">
        <v>66</v>
      </c>
      <c r="E4182" s="31" t="s">
        <v>50</v>
      </c>
      <c r="F4182" s="31" t="s">
        <v>130</v>
      </c>
      <c r="G4182" s="31" t="n">
        <v>32</v>
      </c>
      <c r="H4182" s="41" t="n">
        <v>0.4</v>
      </c>
      <c r="I4182" s="31" t="s">
        <v>149</v>
      </c>
      <c r="J4182" s="31"/>
      <c r="K4182" s="31" t="s">
        <v>150</v>
      </c>
      <c r="L4182" s="45" t="n">
        <f aca="false">DATE(YEAR(B4182),MONTH(B4182),1)</f>
        <v>46235</v>
      </c>
      <c r="M4182" s="31" t="n">
        <f aca="false">WEEKDAY(B4182,2)</f>
        <v>4</v>
      </c>
      <c r="N4182" s="31" t="str">
        <f aca="false">IF(G4182&lt;=INDEX(Assumptions!$B$15:$B$18,MATCH(E4182,Assumptions!$A$15:$A$18,0)),"Yes","No")</f>
        <v>No</v>
      </c>
      <c r="O4182" s="31" t="str">
        <f aca="false">IF(H4182="","Open",IF(H4182&lt;=INDEX(Assumptions!$C$15:$C$18,MATCH(E4182,Assumptions!$A$15:$A$18,0)),"Yes","No"))</f>
        <v>Yes</v>
      </c>
    </row>
    <row r="4183" customFormat="false" ht="15" hidden="false" customHeight="false" outlineLevel="0" collapsed="false">
      <c r="A4183" s="31" t="s">
        <v>4333</v>
      </c>
      <c r="B4183" s="44" t="n">
        <v>46261</v>
      </c>
      <c r="C4183" s="31" t="s">
        <v>59</v>
      </c>
      <c r="D4183" s="31" t="s">
        <v>67</v>
      </c>
      <c r="E4183" s="31" t="s">
        <v>52</v>
      </c>
      <c r="F4183" s="31" t="s">
        <v>130</v>
      </c>
      <c r="G4183" s="31" t="n">
        <v>71</v>
      </c>
      <c r="H4183" s="41" t="n">
        <v>11.1</v>
      </c>
      <c r="I4183" s="31" t="s">
        <v>149</v>
      </c>
      <c r="J4183" s="31" t="n">
        <v>3</v>
      </c>
      <c r="K4183" s="31" t="s">
        <v>150</v>
      </c>
      <c r="L4183" s="45" t="n">
        <f aca="false">DATE(YEAR(B4183),MONTH(B4183),1)</f>
        <v>46235</v>
      </c>
      <c r="M4183" s="31" t="n">
        <f aca="false">WEEKDAY(B4183,2)</f>
        <v>4</v>
      </c>
      <c r="N4183" s="31" t="str">
        <f aca="false">IF(G4183&lt;=INDEX(Assumptions!$B$15:$B$18,MATCH(E4183,Assumptions!$A$15:$A$18,0)),"Yes","No")</f>
        <v>Yes</v>
      </c>
      <c r="O4183" s="31" t="str">
        <f aca="false">IF(H4183="","Open",IF(H4183&lt;=INDEX(Assumptions!$C$15:$C$18,MATCH(E4183,Assumptions!$A$15:$A$18,0)),"Yes","No"))</f>
        <v>Yes</v>
      </c>
    </row>
    <row r="4184" customFormat="false" ht="15" hidden="false" customHeight="false" outlineLevel="0" collapsed="false">
      <c r="A4184" s="31" t="s">
        <v>4334</v>
      </c>
      <c r="B4184" s="44" t="n">
        <v>46261</v>
      </c>
      <c r="C4184" s="31" t="s">
        <v>59</v>
      </c>
      <c r="D4184" s="31" t="s">
        <v>68</v>
      </c>
      <c r="E4184" s="31" t="s">
        <v>51</v>
      </c>
      <c r="F4184" s="31" t="s">
        <v>134</v>
      </c>
      <c r="G4184" s="31" t="n">
        <v>91</v>
      </c>
      <c r="H4184" s="41" t="n">
        <v>5</v>
      </c>
      <c r="I4184" s="31" t="s">
        <v>149</v>
      </c>
      <c r="J4184" s="31"/>
      <c r="K4184" s="31" t="s">
        <v>150</v>
      </c>
      <c r="L4184" s="45" t="n">
        <f aca="false">DATE(YEAR(B4184),MONTH(B4184),1)</f>
        <v>46235</v>
      </c>
      <c r="M4184" s="31" t="n">
        <f aca="false">WEEKDAY(B4184,2)</f>
        <v>4</v>
      </c>
      <c r="N4184" s="31" t="str">
        <f aca="false">IF(G4184&lt;=INDEX(Assumptions!$B$15:$B$18,MATCH(E4184,Assumptions!$A$15:$A$18,0)),"Yes","No")</f>
        <v>No</v>
      </c>
      <c r="O4184" s="31" t="str">
        <f aca="false">IF(H4184="","Open",IF(H4184&lt;=INDEX(Assumptions!$C$15:$C$18,MATCH(E4184,Assumptions!$A$15:$A$18,0)),"Yes","No"))</f>
        <v>Yes</v>
      </c>
    </row>
    <row r="4185" customFormat="false" ht="15" hidden="false" customHeight="false" outlineLevel="0" collapsed="false">
      <c r="A4185" s="31" t="s">
        <v>4335</v>
      </c>
      <c r="B4185" s="44" t="n">
        <v>46261</v>
      </c>
      <c r="C4185" s="31" t="s">
        <v>60</v>
      </c>
      <c r="D4185" s="31" t="s">
        <v>69</v>
      </c>
      <c r="E4185" s="31" t="s">
        <v>51</v>
      </c>
      <c r="F4185" s="31" t="s">
        <v>120</v>
      </c>
      <c r="G4185" s="31" t="n">
        <v>6</v>
      </c>
      <c r="H4185" s="41" t="n">
        <v>46.7</v>
      </c>
      <c r="I4185" s="31" t="s">
        <v>149</v>
      </c>
      <c r="J4185" s="31" t="n">
        <v>3</v>
      </c>
      <c r="K4185" s="31" t="s">
        <v>150</v>
      </c>
      <c r="L4185" s="45" t="n">
        <f aca="false">DATE(YEAR(B4185),MONTH(B4185),1)</f>
        <v>46235</v>
      </c>
      <c r="M4185" s="31" t="n">
        <f aca="false">WEEKDAY(B4185,2)</f>
        <v>4</v>
      </c>
      <c r="N4185" s="31" t="str">
        <f aca="false">IF(G4185&lt;=INDEX(Assumptions!$B$15:$B$18,MATCH(E4185,Assumptions!$A$15:$A$18,0)),"Yes","No")</f>
        <v>Yes</v>
      </c>
      <c r="O4185" s="31" t="str">
        <f aca="false">IF(H4185="","Open",IF(H4185&lt;=INDEX(Assumptions!$C$15:$C$18,MATCH(E4185,Assumptions!$A$15:$A$18,0)),"Yes","No"))</f>
        <v>No</v>
      </c>
    </row>
    <row r="4186" customFormat="false" ht="15" hidden="false" customHeight="false" outlineLevel="0" collapsed="false">
      <c r="A4186" s="31" t="s">
        <v>4336</v>
      </c>
      <c r="B4186" s="44" t="n">
        <v>46261</v>
      </c>
      <c r="C4186" s="31" t="s">
        <v>59</v>
      </c>
      <c r="D4186" s="31" t="s">
        <v>66</v>
      </c>
      <c r="E4186" s="31" t="s">
        <v>51</v>
      </c>
      <c r="F4186" s="31" t="s">
        <v>128</v>
      </c>
      <c r="G4186" s="31" t="n">
        <v>93</v>
      </c>
      <c r="H4186" s="41" t="n">
        <v>4.7</v>
      </c>
      <c r="I4186" s="31" t="s">
        <v>149</v>
      </c>
      <c r="J4186" s="31"/>
      <c r="K4186" s="31" t="s">
        <v>150</v>
      </c>
      <c r="L4186" s="45" t="n">
        <f aca="false">DATE(YEAR(B4186),MONTH(B4186),1)</f>
        <v>46235</v>
      </c>
      <c r="M4186" s="31" t="n">
        <f aca="false">WEEKDAY(B4186,2)</f>
        <v>4</v>
      </c>
      <c r="N4186" s="31" t="str">
        <f aca="false">IF(G4186&lt;=INDEX(Assumptions!$B$15:$B$18,MATCH(E4186,Assumptions!$A$15:$A$18,0)),"Yes","No")</f>
        <v>No</v>
      </c>
      <c r="O4186" s="31" t="str">
        <f aca="false">IF(H4186="","Open",IF(H4186&lt;=INDEX(Assumptions!$C$15:$C$18,MATCH(E4186,Assumptions!$A$15:$A$18,0)),"Yes","No"))</f>
        <v>Yes</v>
      </c>
    </row>
    <row r="4187" customFormat="false" ht="15" hidden="false" customHeight="false" outlineLevel="0" collapsed="false">
      <c r="A4187" s="31" t="s">
        <v>4337</v>
      </c>
      <c r="B4187" s="44" t="n">
        <v>46261</v>
      </c>
      <c r="C4187" s="31" t="s">
        <v>60</v>
      </c>
      <c r="D4187" s="31" t="s">
        <v>67</v>
      </c>
      <c r="E4187" s="31" t="s">
        <v>50</v>
      </c>
      <c r="F4187" s="31" t="s">
        <v>120</v>
      </c>
      <c r="G4187" s="31" t="n">
        <v>3</v>
      </c>
      <c r="H4187" s="41" t="n">
        <v>35.8</v>
      </c>
      <c r="I4187" s="31" t="s">
        <v>149</v>
      </c>
      <c r="J4187" s="31"/>
      <c r="K4187" s="31" t="s">
        <v>150</v>
      </c>
      <c r="L4187" s="45" t="n">
        <f aca="false">DATE(YEAR(B4187),MONTH(B4187),1)</f>
        <v>46235</v>
      </c>
      <c r="M4187" s="31" t="n">
        <f aca="false">WEEKDAY(B4187,2)</f>
        <v>4</v>
      </c>
      <c r="N4187" s="31" t="str">
        <f aca="false">IF(G4187&lt;=INDEX(Assumptions!$B$15:$B$18,MATCH(E4187,Assumptions!$A$15:$A$18,0)),"Yes","No")</f>
        <v>Yes</v>
      </c>
      <c r="O4187" s="31" t="str">
        <f aca="false">IF(H4187="","Open",IF(H4187&lt;=INDEX(Assumptions!$C$15:$C$18,MATCH(E4187,Assumptions!$A$15:$A$18,0)),"Yes","No"))</f>
        <v>No</v>
      </c>
    </row>
    <row r="4188" customFormat="false" ht="15" hidden="false" customHeight="false" outlineLevel="0" collapsed="false">
      <c r="A4188" s="31" t="s">
        <v>4338</v>
      </c>
      <c r="B4188" s="44" t="n">
        <v>46261</v>
      </c>
      <c r="C4188" s="31" t="s">
        <v>59</v>
      </c>
      <c r="D4188" s="31" t="s">
        <v>66</v>
      </c>
      <c r="E4188" s="31" t="s">
        <v>51</v>
      </c>
      <c r="F4188" s="31" t="s">
        <v>136</v>
      </c>
      <c r="G4188" s="31" t="n">
        <v>48</v>
      </c>
      <c r="H4188" s="41" t="n">
        <v>20</v>
      </c>
      <c r="I4188" s="31" t="s">
        <v>149</v>
      </c>
      <c r="J4188" s="31" t="n">
        <v>5</v>
      </c>
      <c r="K4188" s="31" t="s">
        <v>150</v>
      </c>
      <c r="L4188" s="45" t="n">
        <f aca="false">DATE(YEAR(B4188),MONTH(B4188),1)</f>
        <v>46235</v>
      </c>
      <c r="M4188" s="31" t="n">
        <f aca="false">WEEKDAY(B4188,2)</f>
        <v>4</v>
      </c>
      <c r="N4188" s="31" t="str">
        <f aca="false">IF(G4188&lt;=INDEX(Assumptions!$B$15:$B$18,MATCH(E4188,Assumptions!$A$15:$A$18,0)),"Yes","No")</f>
        <v>Yes</v>
      </c>
      <c r="O4188" s="31" t="str">
        <f aca="false">IF(H4188="","Open",IF(H4188&lt;=INDEX(Assumptions!$C$15:$C$18,MATCH(E4188,Assumptions!$A$15:$A$18,0)),"Yes","No"))</f>
        <v>Yes</v>
      </c>
    </row>
    <row r="4189" customFormat="false" ht="15" hidden="false" customHeight="false" outlineLevel="0" collapsed="false">
      <c r="A4189" s="31" t="s">
        <v>4339</v>
      </c>
      <c r="B4189" s="44" t="n">
        <v>46261</v>
      </c>
      <c r="C4189" s="31" t="s">
        <v>60</v>
      </c>
      <c r="D4189" s="31" t="s">
        <v>67</v>
      </c>
      <c r="E4189" s="31" t="s">
        <v>51</v>
      </c>
      <c r="F4189" s="31" t="s">
        <v>131</v>
      </c>
      <c r="G4189" s="31" t="n">
        <v>2</v>
      </c>
      <c r="H4189" s="41" t="n">
        <v>8.8</v>
      </c>
      <c r="I4189" s="31" t="s">
        <v>149</v>
      </c>
      <c r="J4189" s="31" t="n">
        <v>5</v>
      </c>
      <c r="K4189" s="31" t="s">
        <v>150</v>
      </c>
      <c r="L4189" s="45" t="n">
        <f aca="false">DATE(YEAR(B4189),MONTH(B4189),1)</f>
        <v>46235</v>
      </c>
      <c r="M4189" s="31" t="n">
        <f aca="false">WEEKDAY(B4189,2)</f>
        <v>4</v>
      </c>
      <c r="N4189" s="31" t="str">
        <f aca="false">IF(G4189&lt;=INDEX(Assumptions!$B$15:$B$18,MATCH(E4189,Assumptions!$A$15:$A$18,0)),"Yes","No")</f>
        <v>Yes</v>
      </c>
      <c r="O4189" s="31" t="str">
        <f aca="false">IF(H4189="","Open",IF(H4189&lt;=INDEX(Assumptions!$C$15:$C$18,MATCH(E4189,Assumptions!$A$15:$A$18,0)),"Yes","No"))</f>
        <v>Yes</v>
      </c>
    </row>
    <row r="4190" customFormat="false" ht="15" hidden="false" customHeight="false" outlineLevel="0" collapsed="false">
      <c r="A4190" s="31" t="s">
        <v>4340</v>
      </c>
      <c r="B4190" s="44" t="n">
        <v>46261</v>
      </c>
      <c r="C4190" s="31" t="s">
        <v>59</v>
      </c>
      <c r="D4190" s="31" t="s">
        <v>65</v>
      </c>
      <c r="E4190" s="31" t="s">
        <v>51</v>
      </c>
      <c r="F4190" s="31" t="s">
        <v>134</v>
      </c>
      <c r="G4190" s="31" t="n">
        <v>64</v>
      </c>
      <c r="H4190" s="41" t="n">
        <v>54.4</v>
      </c>
      <c r="I4190" s="31" t="s">
        <v>149</v>
      </c>
      <c r="J4190" s="31"/>
      <c r="K4190" s="31" t="s">
        <v>150</v>
      </c>
      <c r="L4190" s="45" t="n">
        <f aca="false">DATE(YEAR(B4190),MONTH(B4190),1)</f>
        <v>46235</v>
      </c>
      <c r="M4190" s="31" t="n">
        <f aca="false">WEEKDAY(B4190,2)</f>
        <v>4</v>
      </c>
      <c r="N4190" s="31" t="str">
        <f aca="false">IF(G4190&lt;=INDEX(Assumptions!$B$15:$B$18,MATCH(E4190,Assumptions!$A$15:$A$18,0)),"Yes","No")</f>
        <v>No</v>
      </c>
      <c r="O4190" s="31" t="str">
        <f aca="false">IF(H4190="","Open",IF(H4190&lt;=INDEX(Assumptions!$C$15:$C$18,MATCH(E4190,Assumptions!$A$15:$A$18,0)),"Yes","No"))</f>
        <v>No</v>
      </c>
    </row>
    <row r="4191" customFormat="false" ht="15" hidden="false" customHeight="false" outlineLevel="0" collapsed="false">
      <c r="A4191" s="31" t="s">
        <v>4341</v>
      </c>
      <c r="B4191" s="44" t="n">
        <v>46261</v>
      </c>
      <c r="C4191" s="31" t="s">
        <v>60</v>
      </c>
      <c r="D4191" s="31" t="s">
        <v>66</v>
      </c>
      <c r="E4191" s="31" t="s">
        <v>50</v>
      </c>
      <c r="F4191" s="31" t="s">
        <v>126</v>
      </c>
      <c r="G4191" s="31" t="n">
        <v>1</v>
      </c>
      <c r="H4191" s="41" t="n">
        <v>3.4</v>
      </c>
      <c r="I4191" s="31" t="s">
        <v>149</v>
      </c>
      <c r="J4191" s="31"/>
      <c r="K4191" s="31" t="s">
        <v>150</v>
      </c>
      <c r="L4191" s="45" t="n">
        <f aca="false">DATE(YEAR(B4191),MONTH(B4191),1)</f>
        <v>46235</v>
      </c>
      <c r="M4191" s="31" t="n">
        <f aca="false">WEEKDAY(B4191,2)</f>
        <v>4</v>
      </c>
      <c r="N4191" s="31" t="str">
        <f aca="false">IF(G4191&lt;=INDEX(Assumptions!$B$15:$B$18,MATCH(E4191,Assumptions!$A$15:$A$18,0)),"Yes","No")</f>
        <v>Yes</v>
      </c>
      <c r="O4191" s="31" t="str">
        <f aca="false">IF(H4191="","Open",IF(H4191&lt;=INDEX(Assumptions!$C$15:$C$18,MATCH(E4191,Assumptions!$A$15:$A$18,0)),"Yes","No"))</f>
        <v>Yes</v>
      </c>
    </row>
    <row r="4192" customFormat="false" ht="15" hidden="false" customHeight="false" outlineLevel="0" collapsed="false">
      <c r="A4192" s="31" t="s">
        <v>4342</v>
      </c>
      <c r="B4192" s="44" t="n">
        <v>46261</v>
      </c>
      <c r="C4192" s="31" t="s">
        <v>60</v>
      </c>
      <c r="D4192" s="31" t="s">
        <v>65</v>
      </c>
      <c r="E4192" s="31" t="s">
        <v>50</v>
      </c>
      <c r="F4192" s="31" t="s">
        <v>126</v>
      </c>
      <c r="G4192" s="31" t="n">
        <v>1</v>
      </c>
      <c r="H4192" s="41" t="n">
        <v>1.9</v>
      </c>
      <c r="I4192" s="31" t="s">
        <v>149</v>
      </c>
      <c r="J4192" s="31"/>
      <c r="K4192" s="31" t="s">
        <v>150</v>
      </c>
      <c r="L4192" s="45" t="n">
        <f aca="false">DATE(YEAR(B4192),MONTH(B4192),1)</f>
        <v>46235</v>
      </c>
      <c r="M4192" s="31" t="n">
        <f aca="false">WEEKDAY(B4192,2)</f>
        <v>4</v>
      </c>
      <c r="N4192" s="31" t="str">
        <f aca="false">IF(G4192&lt;=INDEX(Assumptions!$B$15:$B$18,MATCH(E4192,Assumptions!$A$15:$A$18,0)),"Yes","No")</f>
        <v>Yes</v>
      </c>
      <c r="O4192" s="31" t="str">
        <f aca="false">IF(H4192="","Open",IF(H4192&lt;=INDEX(Assumptions!$C$15:$C$18,MATCH(E4192,Assumptions!$A$15:$A$18,0)),"Yes","No"))</f>
        <v>Yes</v>
      </c>
    </row>
    <row r="4193" customFormat="false" ht="15" hidden="false" customHeight="false" outlineLevel="0" collapsed="false">
      <c r="A4193" s="31" t="s">
        <v>4343</v>
      </c>
      <c r="B4193" s="44" t="n">
        <v>46261</v>
      </c>
      <c r="C4193" s="31" t="s">
        <v>58</v>
      </c>
      <c r="D4193" s="31" t="s">
        <v>69</v>
      </c>
      <c r="E4193" s="31" t="s">
        <v>50</v>
      </c>
      <c r="F4193" s="31" t="s">
        <v>119</v>
      </c>
      <c r="G4193" s="31" t="n">
        <v>3</v>
      </c>
      <c r="H4193" s="41" t="n">
        <v>7.2</v>
      </c>
      <c r="I4193" s="31" t="s">
        <v>149</v>
      </c>
      <c r="J4193" s="31" t="n">
        <v>3</v>
      </c>
      <c r="K4193" s="31" t="s">
        <v>150</v>
      </c>
      <c r="L4193" s="45" t="n">
        <f aca="false">DATE(YEAR(B4193),MONTH(B4193),1)</f>
        <v>46235</v>
      </c>
      <c r="M4193" s="31" t="n">
        <f aca="false">WEEKDAY(B4193,2)</f>
        <v>4</v>
      </c>
      <c r="N4193" s="31" t="str">
        <f aca="false">IF(G4193&lt;=INDEX(Assumptions!$B$15:$B$18,MATCH(E4193,Assumptions!$A$15:$A$18,0)),"Yes","No")</f>
        <v>Yes</v>
      </c>
      <c r="O4193" s="31" t="str">
        <f aca="false">IF(H4193="","Open",IF(H4193&lt;=INDEX(Assumptions!$C$15:$C$18,MATCH(E4193,Assumptions!$A$15:$A$18,0)),"Yes","No"))</f>
        <v>Yes</v>
      </c>
    </row>
    <row r="4194" customFormat="false" ht="15" hidden="false" customHeight="false" outlineLevel="0" collapsed="false">
      <c r="A4194" s="31" t="s">
        <v>4344</v>
      </c>
      <c r="B4194" s="44" t="n">
        <v>46261</v>
      </c>
      <c r="C4194" s="31" t="s">
        <v>60</v>
      </c>
      <c r="D4194" s="31" t="s">
        <v>67</v>
      </c>
      <c r="E4194" s="31" t="s">
        <v>51</v>
      </c>
      <c r="F4194" s="31" t="s">
        <v>120</v>
      </c>
      <c r="G4194" s="31" t="n">
        <v>7</v>
      </c>
      <c r="H4194" s="41" t="n">
        <v>26.8</v>
      </c>
      <c r="I4194" s="31" t="s">
        <v>149</v>
      </c>
      <c r="J4194" s="31"/>
      <c r="K4194" s="31" t="s">
        <v>150</v>
      </c>
      <c r="L4194" s="45" t="n">
        <f aca="false">DATE(YEAR(B4194),MONTH(B4194),1)</f>
        <v>46235</v>
      </c>
      <c r="M4194" s="31" t="n">
        <f aca="false">WEEKDAY(B4194,2)</f>
        <v>4</v>
      </c>
      <c r="N4194" s="31" t="str">
        <f aca="false">IF(G4194&lt;=INDEX(Assumptions!$B$15:$B$18,MATCH(E4194,Assumptions!$A$15:$A$18,0)),"Yes","No")</f>
        <v>Yes</v>
      </c>
      <c r="O4194" s="31" t="str">
        <f aca="false">IF(H4194="","Open",IF(H4194&lt;=INDEX(Assumptions!$C$15:$C$18,MATCH(E4194,Assumptions!$A$15:$A$18,0)),"Yes","No"))</f>
        <v>No</v>
      </c>
    </row>
    <row r="4195" customFormat="false" ht="15" hidden="false" customHeight="false" outlineLevel="0" collapsed="false">
      <c r="A4195" s="31" t="s">
        <v>4345</v>
      </c>
      <c r="B4195" s="44" t="n">
        <v>46261</v>
      </c>
      <c r="C4195" s="31" t="s">
        <v>60</v>
      </c>
      <c r="D4195" s="31" t="s">
        <v>66</v>
      </c>
      <c r="E4195" s="31" t="s">
        <v>51</v>
      </c>
      <c r="F4195" s="31" t="s">
        <v>136</v>
      </c>
      <c r="G4195" s="31" t="n">
        <v>3</v>
      </c>
      <c r="H4195" s="41" t="n">
        <v>12.5</v>
      </c>
      <c r="I4195" s="31" t="s">
        <v>149</v>
      </c>
      <c r="J4195" s="31"/>
      <c r="K4195" s="31" t="s">
        <v>150</v>
      </c>
      <c r="L4195" s="45" t="n">
        <f aca="false">DATE(YEAR(B4195),MONTH(B4195),1)</f>
        <v>46235</v>
      </c>
      <c r="M4195" s="31" t="n">
        <f aca="false">WEEKDAY(B4195,2)</f>
        <v>4</v>
      </c>
      <c r="N4195" s="31" t="str">
        <f aca="false">IF(G4195&lt;=INDEX(Assumptions!$B$15:$B$18,MATCH(E4195,Assumptions!$A$15:$A$18,0)),"Yes","No")</f>
        <v>Yes</v>
      </c>
      <c r="O4195" s="31" t="str">
        <f aca="false">IF(H4195="","Open",IF(H4195&lt;=INDEX(Assumptions!$C$15:$C$18,MATCH(E4195,Assumptions!$A$15:$A$18,0)),"Yes","No"))</f>
        <v>Yes</v>
      </c>
    </row>
    <row r="4196" customFormat="false" ht="15" hidden="false" customHeight="false" outlineLevel="0" collapsed="false">
      <c r="A4196" s="31" t="s">
        <v>4346</v>
      </c>
      <c r="B4196" s="44" t="n">
        <v>46261</v>
      </c>
      <c r="C4196" s="31" t="s">
        <v>60</v>
      </c>
      <c r="D4196" s="31" t="s">
        <v>67</v>
      </c>
      <c r="E4196" s="31" t="s">
        <v>51</v>
      </c>
      <c r="F4196" s="31" t="s">
        <v>134</v>
      </c>
      <c r="G4196" s="31" t="n">
        <v>4</v>
      </c>
      <c r="H4196" s="41" t="n">
        <v>21.9</v>
      </c>
      <c r="I4196" s="31" t="s">
        <v>149</v>
      </c>
      <c r="J4196" s="31" t="n">
        <v>4</v>
      </c>
      <c r="K4196" s="31" t="s">
        <v>150</v>
      </c>
      <c r="L4196" s="45" t="n">
        <f aca="false">DATE(YEAR(B4196),MONTH(B4196),1)</f>
        <v>46235</v>
      </c>
      <c r="M4196" s="31" t="n">
        <f aca="false">WEEKDAY(B4196,2)</f>
        <v>4</v>
      </c>
      <c r="N4196" s="31" t="str">
        <f aca="false">IF(G4196&lt;=INDEX(Assumptions!$B$15:$B$18,MATCH(E4196,Assumptions!$A$15:$A$18,0)),"Yes","No")</f>
        <v>Yes</v>
      </c>
      <c r="O4196" s="31" t="str">
        <f aca="false">IF(H4196="","Open",IF(H4196&lt;=INDEX(Assumptions!$C$15:$C$18,MATCH(E4196,Assumptions!$A$15:$A$18,0)),"Yes","No"))</f>
        <v>Yes</v>
      </c>
    </row>
    <row r="4197" customFormat="false" ht="15" hidden="false" customHeight="false" outlineLevel="0" collapsed="false">
      <c r="A4197" s="31" t="s">
        <v>4347</v>
      </c>
      <c r="B4197" s="44" t="n">
        <v>46261</v>
      </c>
      <c r="C4197" s="31" t="s">
        <v>58</v>
      </c>
      <c r="D4197" s="31" t="s">
        <v>69</v>
      </c>
      <c r="E4197" s="31" t="s">
        <v>52</v>
      </c>
      <c r="F4197" s="31" t="s">
        <v>130</v>
      </c>
      <c r="G4197" s="31" t="n">
        <v>14</v>
      </c>
      <c r="H4197" s="41" t="n">
        <v>29.9</v>
      </c>
      <c r="I4197" s="31" t="s">
        <v>149</v>
      </c>
      <c r="J4197" s="31" t="n">
        <v>4</v>
      </c>
      <c r="K4197" s="31" t="s">
        <v>150</v>
      </c>
      <c r="L4197" s="45" t="n">
        <f aca="false">DATE(YEAR(B4197),MONTH(B4197),1)</f>
        <v>46235</v>
      </c>
      <c r="M4197" s="31" t="n">
        <f aca="false">WEEKDAY(B4197,2)</f>
        <v>4</v>
      </c>
      <c r="N4197" s="31" t="str">
        <f aca="false">IF(G4197&lt;=INDEX(Assumptions!$B$15:$B$18,MATCH(E4197,Assumptions!$A$15:$A$18,0)),"Yes","No")</f>
        <v>Yes</v>
      </c>
      <c r="O4197" s="31" t="str">
        <f aca="false">IF(H4197="","Open",IF(H4197&lt;=INDEX(Assumptions!$C$15:$C$18,MATCH(E4197,Assumptions!$A$15:$A$18,0)),"Yes","No"))</f>
        <v>Yes</v>
      </c>
    </row>
    <row r="4198" customFormat="false" ht="15" hidden="false" customHeight="false" outlineLevel="0" collapsed="false">
      <c r="A4198" s="31" t="s">
        <v>4348</v>
      </c>
      <c r="B4198" s="44" t="n">
        <v>46261</v>
      </c>
      <c r="C4198" s="31" t="s">
        <v>59</v>
      </c>
      <c r="D4198" s="31" t="s">
        <v>66</v>
      </c>
      <c r="E4198" s="31" t="s">
        <v>51</v>
      </c>
      <c r="F4198" s="31" t="s">
        <v>121</v>
      </c>
      <c r="G4198" s="31" t="n">
        <v>99</v>
      </c>
      <c r="H4198" s="41" t="n">
        <v>8.2</v>
      </c>
      <c r="I4198" s="31" t="s">
        <v>149</v>
      </c>
      <c r="J4198" s="31"/>
      <c r="K4198" s="31" t="s">
        <v>150</v>
      </c>
      <c r="L4198" s="45" t="n">
        <f aca="false">DATE(YEAR(B4198),MONTH(B4198),1)</f>
        <v>46235</v>
      </c>
      <c r="M4198" s="31" t="n">
        <f aca="false">WEEKDAY(B4198,2)</f>
        <v>4</v>
      </c>
      <c r="N4198" s="31" t="str">
        <f aca="false">IF(G4198&lt;=INDEX(Assumptions!$B$15:$B$18,MATCH(E4198,Assumptions!$A$15:$A$18,0)),"Yes","No")</f>
        <v>No</v>
      </c>
      <c r="O4198" s="31" t="str">
        <f aca="false">IF(H4198="","Open",IF(H4198&lt;=INDEX(Assumptions!$C$15:$C$18,MATCH(E4198,Assumptions!$A$15:$A$18,0)),"Yes","No"))</f>
        <v>Yes</v>
      </c>
    </row>
    <row r="4199" customFormat="false" ht="15" hidden="false" customHeight="false" outlineLevel="0" collapsed="false">
      <c r="A4199" s="31" t="s">
        <v>4349</v>
      </c>
      <c r="B4199" s="44" t="n">
        <v>46261</v>
      </c>
      <c r="C4199" s="31" t="s">
        <v>59</v>
      </c>
      <c r="D4199" s="31" t="s">
        <v>65</v>
      </c>
      <c r="E4199" s="31" t="s">
        <v>51</v>
      </c>
      <c r="F4199" s="31" t="s">
        <v>123</v>
      </c>
      <c r="G4199" s="31" t="n">
        <v>547</v>
      </c>
      <c r="H4199" s="41" t="n">
        <v>4.4</v>
      </c>
      <c r="I4199" s="31" t="s">
        <v>149</v>
      </c>
      <c r="J4199" s="31" t="n">
        <v>4</v>
      </c>
      <c r="K4199" s="31" t="s">
        <v>150</v>
      </c>
      <c r="L4199" s="45" t="n">
        <f aca="false">DATE(YEAR(B4199),MONTH(B4199),1)</f>
        <v>46235</v>
      </c>
      <c r="M4199" s="31" t="n">
        <f aca="false">WEEKDAY(B4199,2)</f>
        <v>4</v>
      </c>
      <c r="N4199" s="31" t="str">
        <f aca="false">IF(G4199&lt;=INDEX(Assumptions!$B$15:$B$18,MATCH(E4199,Assumptions!$A$15:$A$18,0)),"Yes","No")</f>
        <v>No</v>
      </c>
      <c r="O4199" s="31" t="str">
        <f aca="false">IF(H4199="","Open",IF(H4199&lt;=INDEX(Assumptions!$C$15:$C$18,MATCH(E4199,Assumptions!$A$15:$A$18,0)),"Yes","No"))</f>
        <v>Yes</v>
      </c>
    </row>
    <row r="4200" customFormat="false" ht="15" hidden="false" customHeight="false" outlineLevel="0" collapsed="false">
      <c r="A4200" s="31" t="s">
        <v>4350</v>
      </c>
      <c r="B4200" s="44" t="n">
        <v>46261</v>
      </c>
      <c r="C4200" s="31" t="s">
        <v>60</v>
      </c>
      <c r="D4200" s="31" t="s">
        <v>66</v>
      </c>
      <c r="E4200" s="31" t="s">
        <v>51</v>
      </c>
      <c r="F4200" s="31" t="s">
        <v>133</v>
      </c>
      <c r="G4200" s="31" t="n">
        <v>5</v>
      </c>
      <c r="H4200" s="41" t="n">
        <v>3.4</v>
      </c>
      <c r="I4200" s="31" t="s">
        <v>149</v>
      </c>
      <c r="J4200" s="31"/>
      <c r="K4200" s="31" t="s">
        <v>150</v>
      </c>
      <c r="L4200" s="45" t="n">
        <f aca="false">DATE(YEAR(B4200),MONTH(B4200),1)</f>
        <v>46235</v>
      </c>
      <c r="M4200" s="31" t="n">
        <f aca="false">WEEKDAY(B4200,2)</f>
        <v>4</v>
      </c>
      <c r="N4200" s="31" t="str">
        <f aca="false">IF(G4200&lt;=INDEX(Assumptions!$B$15:$B$18,MATCH(E4200,Assumptions!$A$15:$A$18,0)),"Yes","No")</f>
        <v>Yes</v>
      </c>
      <c r="O4200" s="31" t="str">
        <f aca="false">IF(H4200="","Open",IF(H4200&lt;=INDEX(Assumptions!$C$15:$C$18,MATCH(E4200,Assumptions!$A$15:$A$18,0)),"Yes","No"))</f>
        <v>Yes</v>
      </c>
    </row>
    <row r="4201" customFormat="false" ht="15" hidden="false" customHeight="false" outlineLevel="0" collapsed="false">
      <c r="A4201" s="31" t="s">
        <v>4351</v>
      </c>
      <c r="B4201" s="44" t="n">
        <v>46261</v>
      </c>
      <c r="C4201" s="31" t="s">
        <v>60</v>
      </c>
      <c r="D4201" s="31" t="s">
        <v>69</v>
      </c>
      <c r="E4201" s="31" t="s">
        <v>52</v>
      </c>
      <c r="F4201" s="31" t="s">
        <v>137</v>
      </c>
      <c r="G4201" s="31" t="n">
        <v>1</v>
      </c>
      <c r="H4201" s="41" t="n">
        <v>31.6</v>
      </c>
      <c r="I4201" s="31" t="s">
        <v>149</v>
      </c>
      <c r="J4201" s="31" t="n">
        <v>4</v>
      </c>
      <c r="K4201" s="31" t="s">
        <v>150</v>
      </c>
      <c r="L4201" s="45" t="n">
        <f aca="false">DATE(YEAR(B4201),MONTH(B4201),1)</f>
        <v>46235</v>
      </c>
      <c r="M4201" s="31" t="n">
        <f aca="false">WEEKDAY(B4201,2)</f>
        <v>4</v>
      </c>
      <c r="N4201" s="31" t="str">
        <f aca="false">IF(G4201&lt;=INDEX(Assumptions!$B$15:$B$18,MATCH(E4201,Assumptions!$A$15:$A$18,0)),"Yes","No")</f>
        <v>Yes</v>
      </c>
      <c r="O4201" s="31" t="str">
        <f aca="false">IF(H4201="","Open",IF(H4201&lt;=INDEX(Assumptions!$C$15:$C$18,MATCH(E4201,Assumptions!$A$15:$A$18,0)),"Yes","No"))</f>
        <v>Yes</v>
      </c>
    </row>
    <row r="4202" customFormat="false" ht="15" hidden="false" customHeight="false" outlineLevel="0" collapsed="false">
      <c r="A4202" s="31" t="s">
        <v>4352</v>
      </c>
      <c r="B4202" s="44" t="n">
        <v>46261</v>
      </c>
      <c r="C4202" s="31" t="s">
        <v>58</v>
      </c>
      <c r="D4202" s="31" t="s">
        <v>69</v>
      </c>
      <c r="E4202" s="31" t="s">
        <v>51</v>
      </c>
      <c r="F4202" s="31" t="s">
        <v>117</v>
      </c>
      <c r="G4202" s="31" t="n">
        <v>7</v>
      </c>
      <c r="H4202" s="41" t="n">
        <v>7.1</v>
      </c>
      <c r="I4202" s="31" t="s">
        <v>149</v>
      </c>
      <c r="J4202" s="31"/>
      <c r="K4202" s="31" t="s">
        <v>150</v>
      </c>
      <c r="L4202" s="45" t="n">
        <f aca="false">DATE(YEAR(B4202),MONTH(B4202),1)</f>
        <v>46235</v>
      </c>
      <c r="M4202" s="31" t="n">
        <f aca="false">WEEKDAY(B4202,2)</f>
        <v>4</v>
      </c>
      <c r="N4202" s="31" t="str">
        <f aca="false">IF(G4202&lt;=INDEX(Assumptions!$B$15:$B$18,MATCH(E4202,Assumptions!$A$15:$A$18,0)),"Yes","No")</f>
        <v>Yes</v>
      </c>
      <c r="O4202" s="31" t="str">
        <f aca="false">IF(H4202="","Open",IF(H4202&lt;=INDEX(Assumptions!$C$15:$C$18,MATCH(E4202,Assumptions!$A$15:$A$18,0)),"Yes","No"))</f>
        <v>Yes</v>
      </c>
    </row>
    <row r="4203" customFormat="false" ht="15" hidden="false" customHeight="false" outlineLevel="0" collapsed="false">
      <c r="A4203" s="31" t="s">
        <v>4353</v>
      </c>
      <c r="B4203" s="44" t="n">
        <v>46261</v>
      </c>
      <c r="C4203" s="31" t="s">
        <v>59</v>
      </c>
      <c r="D4203" s="31" t="s">
        <v>68</v>
      </c>
      <c r="E4203" s="31" t="s">
        <v>51</v>
      </c>
      <c r="F4203" s="31" t="s">
        <v>131</v>
      </c>
      <c r="G4203" s="31" t="n">
        <v>102</v>
      </c>
      <c r="H4203" s="41" t="n">
        <v>3.4</v>
      </c>
      <c r="I4203" s="31" t="s">
        <v>149</v>
      </c>
      <c r="J4203" s="31" t="n">
        <v>5</v>
      </c>
      <c r="K4203" s="31" t="s">
        <v>150</v>
      </c>
      <c r="L4203" s="45" t="n">
        <f aca="false">DATE(YEAR(B4203),MONTH(B4203),1)</f>
        <v>46235</v>
      </c>
      <c r="M4203" s="31" t="n">
        <f aca="false">WEEKDAY(B4203,2)</f>
        <v>4</v>
      </c>
      <c r="N4203" s="31" t="str">
        <f aca="false">IF(G4203&lt;=INDEX(Assumptions!$B$15:$B$18,MATCH(E4203,Assumptions!$A$15:$A$18,0)),"Yes","No")</f>
        <v>No</v>
      </c>
      <c r="O4203" s="31" t="str">
        <f aca="false">IF(H4203="","Open",IF(H4203&lt;=INDEX(Assumptions!$C$15:$C$18,MATCH(E4203,Assumptions!$A$15:$A$18,0)),"Yes","No"))</f>
        <v>Yes</v>
      </c>
    </row>
    <row r="4204" customFormat="false" ht="15" hidden="false" customHeight="false" outlineLevel="0" collapsed="false">
      <c r="A4204" s="31" t="s">
        <v>4354</v>
      </c>
      <c r="B4204" s="44" t="n">
        <v>46261</v>
      </c>
      <c r="C4204" s="31" t="s">
        <v>57</v>
      </c>
      <c r="D4204" s="31" t="s">
        <v>66</v>
      </c>
      <c r="E4204" s="31" t="s">
        <v>51</v>
      </c>
      <c r="F4204" s="31" t="s">
        <v>135</v>
      </c>
      <c r="G4204" s="31" t="n">
        <v>3</v>
      </c>
      <c r="H4204" s="41" t="n">
        <v>6.7</v>
      </c>
      <c r="I4204" s="31" t="s">
        <v>149</v>
      </c>
      <c r="J4204" s="31" t="n">
        <v>4</v>
      </c>
      <c r="K4204" s="31" t="s">
        <v>150</v>
      </c>
      <c r="L4204" s="45" t="n">
        <f aca="false">DATE(YEAR(B4204),MONTH(B4204),1)</f>
        <v>46235</v>
      </c>
      <c r="M4204" s="31" t="n">
        <f aca="false">WEEKDAY(B4204,2)</f>
        <v>4</v>
      </c>
      <c r="N4204" s="31" t="str">
        <f aca="false">IF(G4204&lt;=INDEX(Assumptions!$B$15:$B$18,MATCH(E4204,Assumptions!$A$15:$A$18,0)),"Yes","No")</f>
        <v>Yes</v>
      </c>
      <c r="O4204" s="31" t="str">
        <f aca="false">IF(H4204="","Open",IF(H4204&lt;=INDEX(Assumptions!$C$15:$C$18,MATCH(E4204,Assumptions!$A$15:$A$18,0)),"Yes","No"))</f>
        <v>Yes</v>
      </c>
    </row>
    <row r="4205" customFormat="false" ht="15" hidden="false" customHeight="false" outlineLevel="0" collapsed="false">
      <c r="A4205" s="31" t="s">
        <v>4355</v>
      </c>
      <c r="B4205" s="44" t="n">
        <v>46261</v>
      </c>
      <c r="C4205" s="31" t="s">
        <v>59</v>
      </c>
      <c r="D4205" s="31" t="s">
        <v>65</v>
      </c>
      <c r="E4205" s="31" t="s">
        <v>51</v>
      </c>
      <c r="F4205" s="31" t="s">
        <v>130</v>
      </c>
      <c r="G4205" s="31" t="n">
        <v>85</v>
      </c>
      <c r="H4205" s="41" t="n">
        <v>27</v>
      </c>
      <c r="I4205" s="31" t="s">
        <v>149</v>
      </c>
      <c r="J4205" s="31"/>
      <c r="K4205" s="31" t="s">
        <v>150</v>
      </c>
      <c r="L4205" s="45" t="n">
        <f aca="false">DATE(YEAR(B4205),MONTH(B4205),1)</f>
        <v>46235</v>
      </c>
      <c r="M4205" s="31" t="n">
        <f aca="false">WEEKDAY(B4205,2)</f>
        <v>4</v>
      </c>
      <c r="N4205" s="31" t="str">
        <f aca="false">IF(G4205&lt;=INDEX(Assumptions!$B$15:$B$18,MATCH(E4205,Assumptions!$A$15:$A$18,0)),"Yes","No")</f>
        <v>No</v>
      </c>
      <c r="O4205" s="31" t="str">
        <f aca="false">IF(H4205="","Open",IF(H4205&lt;=INDEX(Assumptions!$C$15:$C$18,MATCH(E4205,Assumptions!$A$15:$A$18,0)),"Yes","No"))</f>
        <v>No</v>
      </c>
    </row>
    <row r="4206" customFormat="false" ht="15" hidden="false" customHeight="false" outlineLevel="0" collapsed="false">
      <c r="A4206" s="31" t="s">
        <v>4356</v>
      </c>
      <c r="B4206" s="44" t="n">
        <v>46261</v>
      </c>
      <c r="C4206" s="31" t="s">
        <v>57</v>
      </c>
      <c r="D4206" s="31" t="s">
        <v>67</v>
      </c>
      <c r="E4206" s="31" t="s">
        <v>52</v>
      </c>
      <c r="F4206" s="31" t="s">
        <v>120</v>
      </c>
      <c r="G4206" s="31" t="n">
        <v>3</v>
      </c>
      <c r="H4206" s="41" t="n">
        <v>52.7</v>
      </c>
      <c r="I4206" s="31" t="s">
        <v>149</v>
      </c>
      <c r="J4206" s="31" t="n">
        <v>5</v>
      </c>
      <c r="K4206" s="31" t="s">
        <v>153</v>
      </c>
      <c r="L4206" s="45" t="n">
        <f aca="false">DATE(YEAR(B4206),MONTH(B4206),1)</f>
        <v>46235</v>
      </c>
      <c r="M4206" s="31" t="n">
        <f aca="false">WEEKDAY(B4206,2)</f>
        <v>4</v>
      </c>
      <c r="N4206" s="31" t="str">
        <f aca="false">IF(G4206&lt;=INDEX(Assumptions!$B$15:$B$18,MATCH(E4206,Assumptions!$A$15:$A$18,0)),"Yes","No")</f>
        <v>Yes</v>
      </c>
      <c r="O4206" s="31" t="str">
        <f aca="false">IF(H4206="","Open",IF(H4206&lt;=INDEX(Assumptions!$C$15:$C$18,MATCH(E4206,Assumptions!$A$15:$A$18,0)),"Yes","No"))</f>
        <v>Yes</v>
      </c>
    </row>
    <row r="4207" customFormat="false" ht="15" hidden="false" customHeight="false" outlineLevel="0" collapsed="false">
      <c r="A4207" s="31" t="s">
        <v>4357</v>
      </c>
      <c r="B4207" s="44" t="n">
        <v>46261</v>
      </c>
      <c r="C4207" s="31" t="s">
        <v>57</v>
      </c>
      <c r="D4207" s="31" t="s">
        <v>67</v>
      </c>
      <c r="E4207" s="31" t="s">
        <v>52</v>
      </c>
      <c r="F4207" s="31" t="s">
        <v>123</v>
      </c>
      <c r="G4207" s="31" t="n">
        <v>3</v>
      </c>
      <c r="H4207" s="41" t="n">
        <v>61</v>
      </c>
      <c r="I4207" s="31" t="s">
        <v>149</v>
      </c>
      <c r="J4207" s="31" t="n">
        <v>4</v>
      </c>
      <c r="K4207" s="31" t="s">
        <v>153</v>
      </c>
      <c r="L4207" s="45" t="n">
        <f aca="false">DATE(YEAR(B4207),MONTH(B4207),1)</f>
        <v>46235</v>
      </c>
      <c r="M4207" s="31" t="n">
        <f aca="false">WEEKDAY(B4207,2)</f>
        <v>4</v>
      </c>
      <c r="N4207" s="31" t="str">
        <f aca="false">IF(G4207&lt;=INDEX(Assumptions!$B$15:$B$18,MATCH(E4207,Assumptions!$A$15:$A$18,0)),"Yes","No")</f>
        <v>Yes</v>
      </c>
      <c r="O4207" s="31" t="str">
        <f aca="false">IF(H4207="","Open",IF(H4207&lt;=INDEX(Assumptions!$C$15:$C$18,MATCH(E4207,Assumptions!$A$15:$A$18,0)),"Yes","No"))</f>
        <v>Yes</v>
      </c>
    </row>
    <row r="4208" customFormat="false" ht="15" hidden="false" customHeight="false" outlineLevel="0" collapsed="false">
      <c r="A4208" s="31" t="s">
        <v>4358</v>
      </c>
      <c r="B4208" s="44" t="n">
        <v>46261</v>
      </c>
      <c r="C4208" s="31" t="s">
        <v>59</v>
      </c>
      <c r="D4208" s="31" t="s">
        <v>68</v>
      </c>
      <c r="E4208" s="31" t="s">
        <v>52</v>
      </c>
      <c r="F4208" s="31" t="s">
        <v>130</v>
      </c>
      <c r="G4208" s="31" t="n">
        <v>135</v>
      </c>
      <c r="H4208" s="41" t="n">
        <v>9.6</v>
      </c>
      <c r="I4208" s="31" t="s">
        <v>149</v>
      </c>
      <c r="J4208" s="31"/>
      <c r="K4208" s="31" t="s">
        <v>150</v>
      </c>
      <c r="L4208" s="45" t="n">
        <f aca="false">DATE(YEAR(B4208),MONTH(B4208),1)</f>
        <v>46235</v>
      </c>
      <c r="M4208" s="31" t="n">
        <f aca="false">WEEKDAY(B4208,2)</f>
        <v>4</v>
      </c>
      <c r="N4208" s="31" t="str">
        <f aca="false">IF(G4208&lt;=INDEX(Assumptions!$B$15:$B$18,MATCH(E4208,Assumptions!$A$15:$A$18,0)),"Yes","No")</f>
        <v>Yes</v>
      </c>
      <c r="O4208" s="31" t="str">
        <f aca="false">IF(H4208="","Open",IF(H4208&lt;=INDEX(Assumptions!$C$15:$C$18,MATCH(E4208,Assumptions!$A$15:$A$18,0)),"Yes","No"))</f>
        <v>Yes</v>
      </c>
    </row>
    <row r="4209" customFormat="false" ht="15" hidden="false" customHeight="false" outlineLevel="0" collapsed="false">
      <c r="A4209" s="31" t="s">
        <v>4359</v>
      </c>
      <c r="B4209" s="44" t="n">
        <v>46261</v>
      </c>
      <c r="C4209" s="31" t="s">
        <v>58</v>
      </c>
      <c r="D4209" s="31" t="s">
        <v>67</v>
      </c>
      <c r="E4209" s="31" t="s">
        <v>52</v>
      </c>
      <c r="F4209" s="31" t="s">
        <v>131</v>
      </c>
      <c r="G4209" s="31" t="n">
        <v>21</v>
      </c>
      <c r="H4209" s="41" t="n">
        <v>40.6</v>
      </c>
      <c r="I4209" s="31" t="s">
        <v>149</v>
      </c>
      <c r="J4209" s="31" t="n">
        <v>4</v>
      </c>
      <c r="K4209" s="31" t="s">
        <v>150</v>
      </c>
      <c r="L4209" s="45" t="n">
        <f aca="false">DATE(YEAR(B4209),MONTH(B4209),1)</f>
        <v>46235</v>
      </c>
      <c r="M4209" s="31" t="n">
        <f aca="false">WEEKDAY(B4209,2)</f>
        <v>4</v>
      </c>
      <c r="N4209" s="31" t="str">
        <f aca="false">IF(G4209&lt;=INDEX(Assumptions!$B$15:$B$18,MATCH(E4209,Assumptions!$A$15:$A$18,0)),"Yes","No")</f>
        <v>Yes</v>
      </c>
      <c r="O4209" s="31" t="str">
        <f aca="false">IF(H4209="","Open",IF(H4209&lt;=INDEX(Assumptions!$C$15:$C$18,MATCH(E4209,Assumptions!$A$15:$A$18,0)),"Yes","No"))</f>
        <v>Yes</v>
      </c>
    </row>
    <row r="4210" customFormat="false" ht="15" hidden="false" customHeight="false" outlineLevel="0" collapsed="false">
      <c r="A4210" s="31" t="s">
        <v>4360</v>
      </c>
      <c r="B4210" s="44" t="n">
        <v>46261</v>
      </c>
      <c r="C4210" s="31" t="s">
        <v>60</v>
      </c>
      <c r="D4210" s="31" t="s">
        <v>66</v>
      </c>
      <c r="E4210" s="31" t="s">
        <v>51</v>
      </c>
      <c r="F4210" s="31" t="s">
        <v>135</v>
      </c>
      <c r="G4210" s="31" t="n">
        <v>3</v>
      </c>
      <c r="H4210" s="41" t="n">
        <v>3.9</v>
      </c>
      <c r="I4210" s="31" t="s">
        <v>149</v>
      </c>
      <c r="J4210" s="31"/>
      <c r="K4210" s="31" t="s">
        <v>150</v>
      </c>
      <c r="L4210" s="45" t="n">
        <f aca="false">DATE(YEAR(B4210),MONTH(B4210),1)</f>
        <v>46235</v>
      </c>
      <c r="M4210" s="31" t="n">
        <f aca="false">WEEKDAY(B4210,2)</f>
        <v>4</v>
      </c>
      <c r="N4210" s="31" t="str">
        <f aca="false">IF(G4210&lt;=INDEX(Assumptions!$B$15:$B$18,MATCH(E4210,Assumptions!$A$15:$A$18,0)),"Yes","No")</f>
        <v>Yes</v>
      </c>
      <c r="O4210" s="31" t="str">
        <f aca="false">IF(H4210="","Open",IF(H4210&lt;=INDEX(Assumptions!$C$15:$C$18,MATCH(E4210,Assumptions!$A$15:$A$18,0)),"Yes","No"))</f>
        <v>Yes</v>
      </c>
    </row>
    <row r="4211" customFormat="false" ht="15" hidden="false" customHeight="false" outlineLevel="0" collapsed="false">
      <c r="A4211" s="31" t="s">
        <v>4361</v>
      </c>
      <c r="B4211" s="44" t="n">
        <v>46261</v>
      </c>
      <c r="C4211" s="31" t="s">
        <v>58</v>
      </c>
      <c r="D4211" s="31" t="s">
        <v>65</v>
      </c>
      <c r="E4211" s="31" t="s">
        <v>52</v>
      </c>
      <c r="F4211" s="31" t="s">
        <v>130</v>
      </c>
      <c r="G4211" s="31" t="n">
        <v>8</v>
      </c>
      <c r="H4211" s="41" t="n">
        <v>13.6</v>
      </c>
      <c r="I4211" s="31" t="s">
        <v>149</v>
      </c>
      <c r="J4211" s="31" t="n">
        <v>4</v>
      </c>
      <c r="K4211" s="31" t="s">
        <v>153</v>
      </c>
      <c r="L4211" s="45" t="n">
        <f aca="false">DATE(YEAR(B4211),MONTH(B4211),1)</f>
        <v>46235</v>
      </c>
      <c r="M4211" s="31" t="n">
        <f aca="false">WEEKDAY(B4211,2)</f>
        <v>4</v>
      </c>
      <c r="N4211" s="31" t="str">
        <f aca="false">IF(G4211&lt;=INDEX(Assumptions!$B$15:$B$18,MATCH(E4211,Assumptions!$A$15:$A$18,0)),"Yes","No")</f>
        <v>Yes</v>
      </c>
      <c r="O4211" s="31" t="str">
        <f aca="false">IF(H4211="","Open",IF(H4211&lt;=INDEX(Assumptions!$C$15:$C$18,MATCH(E4211,Assumptions!$A$15:$A$18,0)),"Yes","No"))</f>
        <v>Yes</v>
      </c>
    </row>
    <row r="4212" customFormat="false" ht="15" hidden="false" customHeight="false" outlineLevel="0" collapsed="false">
      <c r="A4212" s="31" t="s">
        <v>4362</v>
      </c>
      <c r="B4212" s="44" t="n">
        <v>46261</v>
      </c>
      <c r="C4212" s="31" t="s">
        <v>59</v>
      </c>
      <c r="D4212" s="31" t="s">
        <v>68</v>
      </c>
      <c r="E4212" s="31" t="s">
        <v>52</v>
      </c>
      <c r="F4212" s="31" t="s">
        <v>123</v>
      </c>
      <c r="G4212" s="31" t="n">
        <v>219</v>
      </c>
      <c r="H4212" s="41" t="n">
        <v>2.9</v>
      </c>
      <c r="I4212" s="31" t="s">
        <v>149</v>
      </c>
      <c r="J4212" s="31" t="n">
        <v>4</v>
      </c>
      <c r="K4212" s="31" t="s">
        <v>150</v>
      </c>
      <c r="L4212" s="45" t="n">
        <f aca="false">DATE(YEAR(B4212),MONTH(B4212),1)</f>
        <v>46235</v>
      </c>
      <c r="M4212" s="31" t="n">
        <f aca="false">WEEKDAY(B4212,2)</f>
        <v>4</v>
      </c>
      <c r="N4212" s="31" t="str">
        <f aca="false">IF(G4212&lt;=INDEX(Assumptions!$B$15:$B$18,MATCH(E4212,Assumptions!$A$15:$A$18,0)),"Yes","No")</f>
        <v>Yes</v>
      </c>
      <c r="O4212" s="31" t="str">
        <f aca="false">IF(H4212="","Open",IF(H4212&lt;=INDEX(Assumptions!$C$15:$C$18,MATCH(E4212,Assumptions!$A$15:$A$18,0)),"Yes","No"))</f>
        <v>Yes</v>
      </c>
    </row>
    <row r="4213" customFormat="false" ht="15" hidden="false" customHeight="false" outlineLevel="0" collapsed="false">
      <c r="A4213" s="31" t="s">
        <v>4363</v>
      </c>
      <c r="B4213" s="44" t="n">
        <v>46261</v>
      </c>
      <c r="C4213" s="31" t="s">
        <v>59</v>
      </c>
      <c r="D4213" s="31" t="s">
        <v>65</v>
      </c>
      <c r="E4213" s="31" t="s">
        <v>52</v>
      </c>
      <c r="F4213" s="31" t="s">
        <v>131</v>
      </c>
      <c r="G4213" s="31" t="n">
        <v>119</v>
      </c>
      <c r="H4213" s="41" t="n">
        <v>79.7</v>
      </c>
      <c r="I4213" s="31" t="s">
        <v>149</v>
      </c>
      <c r="J4213" s="31" t="n">
        <v>5</v>
      </c>
      <c r="K4213" s="31" t="s">
        <v>150</v>
      </c>
      <c r="L4213" s="45" t="n">
        <f aca="false">DATE(YEAR(B4213),MONTH(B4213),1)</f>
        <v>46235</v>
      </c>
      <c r="M4213" s="31" t="n">
        <f aca="false">WEEKDAY(B4213,2)</f>
        <v>4</v>
      </c>
      <c r="N4213" s="31" t="str">
        <f aca="false">IF(G4213&lt;=INDEX(Assumptions!$B$15:$B$18,MATCH(E4213,Assumptions!$A$15:$A$18,0)),"Yes","No")</f>
        <v>Yes</v>
      </c>
      <c r="O4213" s="31" t="str">
        <f aca="false">IF(H4213="","Open",IF(H4213&lt;=INDEX(Assumptions!$C$15:$C$18,MATCH(E4213,Assumptions!$A$15:$A$18,0)),"Yes","No"))</f>
        <v>No</v>
      </c>
    </row>
    <row r="4214" customFormat="false" ht="15" hidden="false" customHeight="false" outlineLevel="0" collapsed="false">
      <c r="A4214" s="31" t="s">
        <v>4364</v>
      </c>
      <c r="B4214" s="44" t="n">
        <v>46261</v>
      </c>
      <c r="C4214" s="31" t="s">
        <v>57</v>
      </c>
      <c r="D4214" s="31" t="s">
        <v>65</v>
      </c>
      <c r="E4214" s="31" t="s">
        <v>50</v>
      </c>
      <c r="F4214" s="31" t="s">
        <v>122</v>
      </c>
      <c r="G4214" s="31" t="n">
        <v>7</v>
      </c>
      <c r="H4214" s="41" t="n">
        <v>1.6</v>
      </c>
      <c r="I4214" s="31" t="s">
        <v>149</v>
      </c>
      <c r="J4214" s="31" t="n">
        <v>4</v>
      </c>
      <c r="K4214" s="31" t="s">
        <v>150</v>
      </c>
      <c r="L4214" s="45" t="n">
        <f aca="false">DATE(YEAR(B4214),MONTH(B4214),1)</f>
        <v>46235</v>
      </c>
      <c r="M4214" s="31" t="n">
        <f aca="false">WEEKDAY(B4214,2)</f>
        <v>4</v>
      </c>
      <c r="N4214" s="31" t="str">
        <f aca="false">IF(G4214&lt;=INDEX(Assumptions!$B$15:$B$18,MATCH(E4214,Assumptions!$A$15:$A$18,0)),"Yes","No")</f>
        <v>Yes</v>
      </c>
      <c r="O4214" s="31" t="str">
        <f aca="false">IF(H4214="","Open",IF(H4214&lt;=INDEX(Assumptions!$C$15:$C$18,MATCH(E4214,Assumptions!$A$15:$A$18,0)),"Yes","No"))</f>
        <v>Yes</v>
      </c>
    </row>
    <row r="4215" customFormat="false" ht="15" hidden="false" customHeight="false" outlineLevel="0" collapsed="false">
      <c r="A4215" s="31" t="s">
        <v>4365</v>
      </c>
      <c r="B4215" s="44" t="n">
        <v>46261</v>
      </c>
      <c r="C4215" s="31" t="s">
        <v>58</v>
      </c>
      <c r="D4215" s="31" t="s">
        <v>69</v>
      </c>
      <c r="E4215" s="31" t="s">
        <v>52</v>
      </c>
      <c r="F4215" s="31" t="s">
        <v>133</v>
      </c>
      <c r="G4215" s="31" t="n">
        <v>25</v>
      </c>
      <c r="H4215" s="41" t="n">
        <v>27.9</v>
      </c>
      <c r="I4215" s="31" t="s">
        <v>149</v>
      </c>
      <c r="J4215" s="31" t="n">
        <v>5</v>
      </c>
      <c r="K4215" s="31" t="s">
        <v>150</v>
      </c>
      <c r="L4215" s="45" t="n">
        <f aca="false">DATE(YEAR(B4215),MONTH(B4215),1)</f>
        <v>46235</v>
      </c>
      <c r="M4215" s="31" t="n">
        <f aca="false">WEEKDAY(B4215,2)</f>
        <v>4</v>
      </c>
      <c r="N4215" s="31" t="str">
        <f aca="false">IF(G4215&lt;=INDEX(Assumptions!$B$15:$B$18,MATCH(E4215,Assumptions!$A$15:$A$18,0)),"Yes","No")</f>
        <v>Yes</v>
      </c>
      <c r="O4215" s="31" t="str">
        <f aca="false">IF(H4215="","Open",IF(H4215&lt;=INDEX(Assumptions!$C$15:$C$18,MATCH(E4215,Assumptions!$A$15:$A$18,0)),"Yes","No"))</f>
        <v>Yes</v>
      </c>
    </row>
    <row r="4216" customFormat="false" ht="15" hidden="false" customHeight="false" outlineLevel="0" collapsed="false">
      <c r="A4216" s="31" t="s">
        <v>4366</v>
      </c>
      <c r="B4216" s="44" t="n">
        <v>46261</v>
      </c>
      <c r="C4216" s="31" t="s">
        <v>57</v>
      </c>
      <c r="D4216" s="31" t="s">
        <v>65</v>
      </c>
      <c r="E4216" s="31" t="s">
        <v>51</v>
      </c>
      <c r="F4216" s="31" t="s">
        <v>129</v>
      </c>
      <c r="G4216" s="31" t="n">
        <v>2</v>
      </c>
      <c r="H4216" s="41" t="n">
        <v>15.3</v>
      </c>
      <c r="I4216" s="31" t="s">
        <v>64</v>
      </c>
      <c r="J4216" s="31"/>
      <c r="K4216" s="31" t="s">
        <v>150</v>
      </c>
      <c r="L4216" s="45" t="n">
        <f aca="false">DATE(YEAR(B4216),MONTH(B4216),1)</f>
        <v>46235</v>
      </c>
      <c r="M4216" s="31" t="n">
        <f aca="false">WEEKDAY(B4216,2)</f>
        <v>4</v>
      </c>
      <c r="N4216" s="31" t="str">
        <f aca="false">IF(G4216&lt;=INDEX(Assumptions!$B$15:$B$18,MATCH(E4216,Assumptions!$A$15:$A$18,0)),"Yes","No")</f>
        <v>Yes</v>
      </c>
      <c r="O4216" s="31" t="str">
        <f aca="false">IF(H4216="","Open",IF(H4216&lt;=INDEX(Assumptions!$C$15:$C$18,MATCH(E4216,Assumptions!$A$15:$A$18,0)),"Yes","No"))</f>
        <v>Yes</v>
      </c>
    </row>
    <row r="4217" customFormat="false" ht="15" hidden="false" customHeight="false" outlineLevel="0" collapsed="false">
      <c r="A4217" s="31" t="s">
        <v>4367</v>
      </c>
      <c r="B4217" s="44" t="n">
        <v>46261</v>
      </c>
      <c r="C4217" s="31" t="s">
        <v>58</v>
      </c>
      <c r="D4217" s="31" t="s">
        <v>68</v>
      </c>
      <c r="E4217" s="31" t="s">
        <v>51</v>
      </c>
      <c r="F4217" s="31" t="s">
        <v>129</v>
      </c>
      <c r="G4217" s="31" t="n">
        <v>10</v>
      </c>
      <c r="H4217" s="41" t="n">
        <v>3.9</v>
      </c>
      <c r="I4217" s="31" t="s">
        <v>149</v>
      </c>
      <c r="J4217" s="31" t="n">
        <v>5</v>
      </c>
      <c r="K4217" s="31" t="s">
        <v>150</v>
      </c>
      <c r="L4217" s="45" t="n">
        <f aca="false">DATE(YEAR(B4217),MONTH(B4217),1)</f>
        <v>46235</v>
      </c>
      <c r="M4217" s="31" t="n">
        <f aca="false">WEEKDAY(B4217,2)</f>
        <v>4</v>
      </c>
      <c r="N4217" s="31" t="str">
        <f aca="false">IF(G4217&lt;=INDEX(Assumptions!$B$15:$B$18,MATCH(E4217,Assumptions!$A$15:$A$18,0)),"Yes","No")</f>
        <v>Yes</v>
      </c>
      <c r="O4217" s="31" t="str">
        <f aca="false">IF(H4217="","Open",IF(H4217&lt;=INDEX(Assumptions!$C$15:$C$18,MATCH(E4217,Assumptions!$A$15:$A$18,0)),"Yes","No"))</f>
        <v>Yes</v>
      </c>
    </row>
    <row r="4218" customFormat="false" ht="15" hidden="false" customHeight="false" outlineLevel="0" collapsed="false">
      <c r="A4218" s="31" t="s">
        <v>4368</v>
      </c>
      <c r="B4218" s="44" t="n">
        <v>46261</v>
      </c>
      <c r="C4218" s="31" t="s">
        <v>57</v>
      </c>
      <c r="D4218" s="31" t="s">
        <v>67</v>
      </c>
      <c r="E4218" s="31" t="s">
        <v>51</v>
      </c>
      <c r="F4218" s="31" t="s">
        <v>134</v>
      </c>
      <c r="G4218" s="31" t="n">
        <v>5</v>
      </c>
      <c r="H4218" s="41" t="n">
        <v>56</v>
      </c>
      <c r="I4218" s="31" t="s">
        <v>149</v>
      </c>
      <c r="J4218" s="31" t="n">
        <v>2</v>
      </c>
      <c r="K4218" s="31" t="s">
        <v>150</v>
      </c>
      <c r="L4218" s="45" t="n">
        <f aca="false">DATE(YEAR(B4218),MONTH(B4218),1)</f>
        <v>46235</v>
      </c>
      <c r="M4218" s="31" t="n">
        <f aca="false">WEEKDAY(B4218,2)</f>
        <v>4</v>
      </c>
      <c r="N4218" s="31" t="str">
        <f aca="false">IF(G4218&lt;=INDEX(Assumptions!$B$15:$B$18,MATCH(E4218,Assumptions!$A$15:$A$18,0)),"Yes","No")</f>
        <v>Yes</v>
      </c>
      <c r="O4218" s="31" t="str">
        <f aca="false">IF(H4218="","Open",IF(H4218&lt;=INDEX(Assumptions!$C$15:$C$18,MATCH(E4218,Assumptions!$A$15:$A$18,0)),"Yes","No"))</f>
        <v>No</v>
      </c>
    </row>
    <row r="4219" customFormat="false" ht="15" hidden="false" customHeight="false" outlineLevel="0" collapsed="false">
      <c r="A4219" s="31" t="s">
        <v>4369</v>
      </c>
      <c r="B4219" s="44" t="n">
        <v>46261</v>
      </c>
      <c r="C4219" s="31" t="s">
        <v>57</v>
      </c>
      <c r="D4219" s="31" t="s">
        <v>66</v>
      </c>
      <c r="E4219" s="31" t="s">
        <v>51</v>
      </c>
      <c r="F4219" s="31" t="s">
        <v>130</v>
      </c>
      <c r="G4219" s="31" t="n">
        <v>2</v>
      </c>
      <c r="H4219" s="41" t="n">
        <v>2.5</v>
      </c>
      <c r="I4219" s="31" t="s">
        <v>149</v>
      </c>
      <c r="J4219" s="31" t="n">
        <v>5</v>
      </c>
      <c r="K4219" s="31" t="s">
        <v>150</v>
      </c>
      <c r="L4219" s="45" t="n">
        <f aca="false">DATE(YEAR(B4219),MONTH(B4219),1)</f>
        <v>46235</v>
      </c>
      <c r="M4219" s="31" t="n">
        <f aca="false">WEEKDAY(B4219,2)</f>
        <v>4</v>
      </c>
      <c r="N4219" s="31" t="str">
        <f aca="false">IF(G4219&lt;=INDEX(Assumptions!$B$15:$B$18,MATCH(E4219,Assumptions!$A$15:$A$18,0)),"Yes","No")</f>
        <v>Yes</v>
      </c>
      <c r="O4219" s="31" t="str">
        <f aca="false">IF(H4219="","Open",IF(H4219&lt;=INDEX(Assumptions!$C$15:$C$18,MATCH(E4219,Assumptions!$A$15:$A$18,0)),"Yes","No"))</f>
        <v>Yes</v>
      </c>
    </row>
    <row r="4220" customFormat="false" ht="15" hidden="false" customHeight="false" outlineLevel="0" collapsed="false">
      <c r="A4220" s="31" t="s">
        <v>4370</v>
      </c>
      <c r="B4220" s="44" t="n">
        <v>46261</v>
      </c>
      <c r="C4220" s="31" t="s">
        <v>58</v>
      </c>
      <c r="D4220" s="31" t="s">
        <v>68</v>
      </c>
      <c r="E4220" s="31" t="s">
        <v>51</v>
      </c>
      <c r="F4220" s="31" t="s">
        <v>134</v>
      </c>
      <c r="G4220" s="31" t="n">
        <v>9</v>
      </c>
      <c r="H4220" s="41" t="n">
        <v>1.9</v>
      </c>
      <c r="I4220" s="31" t="s">
        <v>149</v>
      </c>
      <c r="J4220" s="31" t="n">
        <v>4</v>
      </c>
      <c r="K4220" s="31" t="s">
        <v>150</v>
      </c>
      <c r="L4220" s="45" t="n">
        <f aca="false">DATE(YEAR(B4220),MONTH(B4220),1)</f>
        <v>46235</v>
      </c>
      <c r="M4220" s="31" t="n">
        <f aca="false">WEEKDAY(B4220,2)</f>
        <v>4</v>
      </c>
      <c r="N4220" s="31" t="str">
        <f aca="false">IF(G4220&lt;=INDEX(Assumptions!$B$15:$B$18,MATCH(E4220,Assumptions!$A$15:$A$18,0)),"Yes","No")</f>
        <v>Yes</v>
      </c>
      <c r="O4220" s="31" t="str">
        <f aca="false">IF(H4220="","Open",IF(H4220&lt;=INDEX(Assumptions!$C$15:$C$18,MATCH(E4220,Assumptions!$A$15:$A$18,0)),"Yes","No"))</f>
        <v>Yes</v>
      </c>
    </row>
    <row r="4221" customFormat="false" ht="15" hidden="false" customHeight="false" outlineLevel="0" collapsed="false">
      <c r="A4221" s="31" t="s">
        <v>4371</v>
      </c>
      <c r="B4221" s="44" t="n">
        <v>46261</v>
      </c>
      <c r="C4221" s="31" t="s">
        <v>59</v>
      </c>
      <c r="D4221" s="31" t="s">
        <v>66</v>
      </c>
      <c r="E4221" s="31" t="s">
        <v>52</v>
      </c>
      <c r="F4221" s="31" t="s">
        <v>123</v>
      </c>
      <c r="G4221" s="31" t="n">
        <v>290</v>
      </c>
      <c r="H4221" s="41" t="n">
        <v>2</v>
      </c>
      <c r="I4221" s="31" t="s">
        <v>149</v>
      </c>
      <c r="J4221" s="31" t="n">
        <v>4</v>
      </c>
      <c r="K4221" s="31" t="s">
        <v>153</v>
      </c>
      <c r="L4221" s="45" t="n">
        <f aca="false">DATE(YEAR(B4221),MONTH(B4221),1)</f>
        <v>46235</v>
      </c>
      <c r="M4221" s="31" t="n">
        <f aca="false">WEEKDAY(B4221,2)</f>
        <v>4</v>
      </c>
      <c r="N4221" s="31" t="str">
        <f aca="false">IF(G4221&lt;=INDEX(Assumptions!$B$15:$B$18,MATCH(E4221,Assumptions!$A$15:$A$18,0)),"Yes","No")</f>
        <v>No</v>
      </c>
      <c r="O4221" s="31" t="str">
        <f aca="false">IF(H4221="","Open",IF(H4221&lt;=INDEX(Assumptions!$C$15:$C$18,MATCH(E4221,Assumptions!$A$15:$A$18,0)),"Yes","No"))</f>
        <v>Yes</v>
      </c>
    </row>
    <row r="4222" customFormat="false" ht="15" hidden="false" customHeight="false" outlineLevel="0" collapsed="false">
      <c r="A4222" s="31" t="s">
        <v>4372</v>
      </c>
      <c r="B4222" s="44" t="n">
        <v>46261</v>
      </c>
      <c r="C4222" s="31" t="s">
        <v>57</v>
      </c>
      <c r="D4222" s="31" t="s">
        <v>66</v>
      </c>
      <c r="E4222" s="31" t="s">
        <v>51</v>
      </c>
      <c r="F4222" s="31" t="s">
        <v>124</v>
      </c>
      <c r="G4222" s="31" t="n">
        <v>5</v>
      </c>
      <c r="H4222" s="41" t="n">
        <v>11</v>
      </c>
      <c r="I4222" s="31" t="s">
        <v>149</v>
      </c>
      <c r="J4222" s="31"/>
      <c r="K4222" s="31" t="s">
        <v>150</v>
      </c>
      <c r="L4222" s="45" t="n">
        <f aca="false">DATE(YEAR(B4222),MONTH(B4222),1)</f>
        <v>46235</v>
      </c>
      <c r="M4222" s="31" t="n">
        <f aca="false">WEEKDAY(B4222,2)</f>
        <v>4</v>
      </c>
      <c r="N4222" s="31" t="str">
        <f aca="false">IF(G4222&lt;=INDEX(Assumptions!$B$15:$B$18,MATCH(E4222,Assumptions!$A$15:$A$18,0)),"Yes","No")</f>
        <v>Yes</v>
      </c>
      <c r="O4222" s="31" t="str">
        <f aca="false">IF(H4222="","Open",IF(H4222&lt;=INDEX(Assumptions!$C$15:$C$18,MATCH(E4222,Assumptions!$A$15:$A$18,0)),"Yes","No"))</f>
        <v>Yes</v>
      </c>
    </row>
    <row r="4223" customFormat="false" ht="15" hidden="false" customHeight="false" outlineLevel="0" collapsed="false">
      <c r="A4223" s="31" t="s">
        <v>4373</v>
      </c>
      <c r="B4223" s="44" t="n">
        <v>46261</v>
      </c>
      <c r="C4223" s="31" t="s">
        <v>57</v>
      </c>
      <c r="D4223" s="31" t="s">
        <v>69</v>
      </c>
      <c r="E4223" s="31" t="s">
        <v>52</v>
      </c>
      <c r="F4223" s="31" t="s">
        <v>119</v>
      </c>
      <c r="G4223" s="31" t="n">
        <v>6</v>
      </c>
      <c r="H4223" s="41" t="n">
        <v>25.4</v>
      </c>
      <c r="I4223" s="31" t="s">
        <v>149</v>
      </c>
      <c r="J4223" s="31"/>
      <c r="K4223" s="31" t="s">
        <v>153</v>
      </c>
      <c r="L4223" s="45" t="n">
        <f aca="false">DATE(YEAR(B4223),MONTH(B4223),1)</f>
        <v>46235</v>
      </c>
      <c r="M4223" s="31" t="n">
        <f aca="false">WEEKDAY(B4223,2)</f>
        <v>4</v>
      </c>
      <c r="N4223" s="31" t="str">
        <f aca="false">IF(G4223&lt;=INDEX(Assumptions!$B$15:$B$18,MATCH(E4223,Assumptions!$A$15:$A$18,0)),"Yes","No")</f>
        <v>Yes</v>
      </c>
      <c r="O4223" s="31" t="str">
        <f aca="false">IF(H4223="","Open",IF(H4223&lt;=INDEX(Assumptions!$C$15:$C$18,MATCH(E4223,Assumptions!$A$15:$A$18,0)),"Yes","No"))</f>
        <v>Yes</v>
      </c>
    </row>
    <row r="4224" customFormat="false" ht="15" hidden="false" customHeight="false" outlineLevel="0" collapsed="false">
      <c r="A4224" s="31" t="s">
        <v>4374</v>
      </c>
      <c r="B4224" s="44" t="n">
        <v>46261</v>
      </c>
      <c r="C4224" s="31" t="s">
        <v>57</v>
      </c>
      <c r="D4224" s="31" t="s">
        <v>67</v>
      </c>
      <c r="E4224" s="31" t="s">
        <v>51</v>
      </c>
      <c r="F4224" s="31" t="s">
        <v>120</v>
      </c>
      <c r="G4224" s="31" t="n">
        <v>8</v>
      </c>
      <c r="H4224" s="41" t="n">
        <v>5.3</v>
      </c>
      <c r="I4224" s="31" t="s">
        <v>149</v>
      </c>
      <c r="J4224" s="31"/>
      <c r="K4224" s="31" t="s">
        <v>150</v>
      </c>
      <c r="L4224" s="45" t="n">
        <f aca="false">DATE(YEAR(B4224),MONTH(B4224),1)</f>
        <v>46235</v>
      </c>
      <c r="M4224" s="31" t="n">
        <f aca="false">WEEKDAY(B4224,2)</f>
        <v>4</v>
      </c>
      <c r="N4224" s="31" t="str">
        <f aca="false">IF(G4224&lt;=INDEX(Assumptions!$B$15:$B$18,MATCH(E4224,Assumptions!$A$15:$A$18,0)),"Yes","No")</f>
        <v>Yes</v>
      </c>
      <c r="O4224" s="31" t="str">
        <f aca="false">IF(H4224="","Open",IF(H4224&lt;=INDEX(Assumptions!$C$15:$C$18,MATCH(E4224,Assumptions!$A$15:$A$18,0)),"Yes","No"))</f>
        <v>Yes</v>
      </c>
    </row>
    <row r="4225" customFormat="false" ht="15" hidden="false" customHeight="false" outlineLevel="0" collapsed="false">
      <c r="A4225" s="31" t="s">
        <v>4375</v>
      </c>
      <c r="B4225" s="44" t="n">
        <v>46261</v>
      </c>
      <c r="C4225" s="31" t="s">
        <v>58</v>
      </c>
      <c r="D4225" s="31" t="s">
        <v>67</v>
      </c>
      <c r="E4225" s="31" t="s">
        <v>51</v>
      </c>
      <c r="F4225" s="31" t="s">
        <v>126</v>
      </c>
      <c r="G4225" s="31" t="n">
        <v>2</v>
      </c>
      <c r="H4225" s="41" t="n">
        <v>5.6</v>
      </c>
      <c r="I4225" s="31" t="s">
        <v>149</v>
      </c>
      <c r="J4225" s="31" t="n">
        <v>5</v>
      </c>
      <c r="K4225" s="31" t="s">
        <v>150</v>
      </c>
      <c r="L4225" s="45" t="n">
        <f aca="false">DATE(YEAR(B4225),MONTH(B4225),1)</f>
        <v>46235</v>
      </c>
      <c r="M4225" s="31" t="n">
        <f aca="false">WEEKDAY(B4225,2)</f>
        <v>4</v>
      </c>
      <c r="N4225" s="31" t="str">
        <f aca="false">IF(G4225&lt;=INDEX(Assumptions!$B$15:$B$18,MATCH(E4225,Assumptions!$A$15:$A$18,0)),"Yes","No")</f>
        <v>Yes</v>
      </c>
      <c r="O4225" s="31" t="str">
        <f aca="false">IF(H4225="","Open",IF(H4225&lt;=INDEX(Assumptions!$C$15:$C$18,MATCH(E4225,Assumptions!$A$15:$A$18,0)),"Yes","No"))</f>
        <v>Yes</v>
      </c>
    </row>
    <row r="4226" customFormat="false" ht="15" hidden="false" customHeight="false" outlineLevel="0" collapsed="false">
      <c r="A4226" s="31" t="s">
        <v>4376</v>
      </c>
      <c r="B4226" s="44" t="n">
        <v>46261</v>
      </c>
      <c r="C4226" s="31" t="s">
        <v>58</v>
      </c>
      <c r="D4226" s="31" t="s">
        <v>69</v>
      </c>
      <c r="E4226" s="31" t="s">
        <v>50</v>
      </c>
      <c r="F4226" s="31" t="s">
        <v>129</v>
      </c>
      <c r="G4226" s="31" t="n">
        <v>16</v>
      </c>
      <c r="H4226" s="41" t="n">
        <v>5.4</v>
      </c>
      <c r="I4226" s="31" t="s">
        <v>149</v>
      </c>
      <c r="J4226" s="31" t="n">
        <v>5</v>
      </c>
      <c r="K4226" s="31" t="s">
        <v>150</v>
      </c>
      <c r="L4226" s="45" t="n">
        <f aca="false">DATE(YEAR(B4226),MONTH(B4226),1)</f>
        <v>46235</v>
      </c>
      <c r="M4226" s="31" t="n">
        <f aca="false">WEEKDAY(B4226,2)</f>
        <v>4</v>
      </c>
      <c r="N4226" s="31" t="str">
        <f aca="false">IF(G4226&lt;=INDEX(Assumptions!$B$15:$B$18,MATCH(E4226,Assumptions!$A$15:$A$18,0)),"Yes","No")</f>
        <v>Yes</v>
      </c>
      <c r="O4226" s="31" t="str">
        <f aca="false">IF(H4226="","Open",IF(H4226&lt;=INDEX(Assumptions!$C$15:$C$18,MATCH(E4226,Assumptions!$A$15:$A$18,0)),"Yes","No"))</f>
        <v>Yes</v>
      </c>
    </row>
    <row r="4227" customFormat="false" ht="15" hidden="false" customHeight="false" outlineLevel="0" collapsed="false">
      <c r="A4227" s="31" t="s">
        <v>4377</v>
      </c>
      <c r="B4227" s="44" t="n">
        <v>46261</v>
      </c>
      <c r="C4227" s="31" t="s">
        <v>59</v>
      </c>
      <c r="D4227" s="31" t="s">
        <v>65</v>
      </c>
      <c r="E4227" s="31" t="s">
        <v>51</v>
      </c>
      <c r="F4227" s="31" t="s">
        <v>129</v>
      </c>
      <c r="G4227" s="31" t="n">
        <v>69</v>
      </c>
      <c r="H4227" s="41" t="n">
        <v>15.7</v>
      </c>
      <c r="I4227" s="31" t="s">
        <v>149</v>
      </c>
      <c r="J4227" s="31"/>
      <c r="K4227" s="31" t="s">
        <v>150</v>
      </c>
      <c r="L4227" s="45" t="n">
        <f aca="false">DATE(YEAR(B4227),MONTH(B4227),1)</f>
        <v>46235</v>
      </c>
      <c r="M4227" s="31" t="n">
        <f aca="false">WEEKDAY(B4227,2)</f>
        <v>4</v>
      </c>
      <c r="N4227" s="31" t="str">
        <f aca="false">IF(G4227&lt;=INDEX(Assumptions!$B$15:$B$18,MATCH(E4227,Assumptions!$A$15:$A$18,0)),"Yes","No")</f>
        <v>No</v>
      </c>
      <c r="O4227" s="31" t="str">
        <f aca="false">IF(H4227="","Open",IF(H4227&lt;=INDEX(Assumptions!$C$15:$C$18,MATCH(E4227,Assumptions!$A$15:$A$18,0)),"Yes","No"))</f>
        <v>Yes</v>
      </c>
    </row>
    <row r="4228" customFormat="false" ht="15" hidden="false" customHeight="false" outlineLevel="0" collapsed="false">
      <c r="A4228" s="31" t="s">
        <v>4378</v>
      </c>
      <c r="B4228" s="44" t="n">
        <v>46261</v>
      </c>
      <c r="C4228" s="31" t="s">
        <v>58</v>
      </c>
      <c r="D4228" s="31" t="s">
        <v>67</v>
      </c>
      <c r="E4228" s="31" t="s">
        <v>52</v>
      </c>
      <c r="F4228" s="31" t="s">
        <v>137</v>
      </c>
      <c r="G4228" s="31" t="n">
        <v>2</v>
      </c>
      <c r="H4228" s="41" t="n">
        <v>30.7</v>
      </c>
      <c r="I4228" s="31" t="s">
        <v>149</v>
      </c>
      <c r="J4228" s="31" t="n">
        <v>4</v>
      </c>
      <c r="K4228" s="31" t="s">
        <v>150</v>
      </c>
      <c r="L4228" s="45" t="n">
        <f aca="false">DATE(YEAR(B4228),MONTH(B4228),1)</f>
        <v>46235</v>
      </c>
      <c r="M4228" s="31" t="n">
        <f aca="false">WEEKDAY(B4228,2)</f>
        <v>4</v>
      </c>
      <c r="N4228" s="31" t="str">
        <f aca="false">IF(G4228&lt;=INDEX(Assumptions!$B$15:$B$18,MATCH(E4228,Assumptions!$A$15:$A$18,0)),"Yes","No")</f>
        <v>Yes</v>
      </c>
      <c r="O4228" s="31" t="str">
        <f aca="false">IF(H4228="","Open",IF(H4228&lt;=INDEX(Assumptions!$C$15:$C$18,MATCH(E4228,Assumptions!$A$15:$A$18,0)),"Yes","No"))</f>
        <v>Yes</v>
      </c>
    </row>
    <row r="4229" customFormat="false" ht="15" hidden="false" customHeight="false" outlineLevel="0" collapsed="false">
      <c r="A4229" s="31" t="s">
        <v>4379</v>
      </c>
      <c r="B4229" s="44" t="n">
        <v>46261</v>
      </c>
      <c r="C4229" s="31" t="s">
        <v>60</v>
      </c>
      <c r="D4229" s="31" t="s">
        <v>68</v>
      </c>
      <c r="E4229" s="31" t="s">
        <v>51</v>
      </c>
      <c r="F4229" s="31" t="s">
        <v>117</v>
      </c>
      <c r="G4229" s="31" t="n">
        <v>1</v>
      </c>
      <c r="H4229" s="41" t="n">
        <v>9.7</v>
      </c>
      <c r="I4229" s="31" t="s">
        <v>149</v>
      </c>
      <c r="J4229" s="31"/>
      <c r="K4229" s="31" t="s">
        <v>150</v>
      </c>
      <c r="L4229" s="45" t="n">
        <f aca="false">DATE(YEAR(B4229),MONTH(B4229),1)</f>
        <v>46235</v>
      </c>
      <c r="M4229" s="31" t="n">
        <f aca="false">WEEKDAY(B4229,2)</f>
        <v>4</v>
      </c>
      <c r="N4229" s="31" t="str">
        <f aca="false">IF(G4229&lt;=INDEX(Assumptions!$B$15:$B$18,MATCH(E4229,Assumptions!$A$15:$A$18,0)),"Yes","No")</f>
        <v>Yes</v>
      </c>
      <c r="O4229" s="31" t="str">
        <f aca="false">IF(H4229="","Open",IF(H4229&lt;=INDEX(Assumptions!$C$15:$C$18,MATCH(E4229,Assumptions!$A$15:$A$18,0)),"Yes","No"))</f>
        <v>Yes</v>
      </c>
    </row>
    <row r="4230" customFormat="false" ht="15" hidden="false" customHeight="false" outlineLevel="0" collapsed="false">
      <c r="A4230" s="31" t="s">
        <v>4380</v>
      </c>
      <c r="B4230" s="44" t="n">
        <v>46261</v>
      </c>
      <c r="C4230" s="31" t="s">
        <v>57</v>
      </c>
      <c r="D4230" s="31" t="s">
        <v>66</v>
      </c>
      <c r="E4230" s="31" t="s">
        <v>52</v>
      </c>
      <c r="F4230" s="31" t="s">
        <v>123</v>
      </c>
      <c r="G4230" s="31" t="n">
        <v>8</v>
      </c>
      <c r="H4230" s="41" t="n">
        <v>8.1</v>
      </c>
      <c r="I4230" s="31" t="s">
        <v>149</v>
      </c>
      <c r="J4230" s="31" t="n">
        <v>4</v>
      </c>
      <c r="K4230" s="31" t="s">
        <v>150</v>
      </c>
      <c r="L4230" s="45" t="n">
        <f aca="false">DATE(YEAR(B4230),MONTH(B4230),1)</f>
        <v>46235</v>
      </c>
      <c r="M4230" s="31" t="n">
        <f aca="false">WEEKDAY(B4230,2)</f>
        <v>4</v>
      </c>
      <c r="N4230" s="31" t="str">
        <f aca="false">IF(G4230&lt;=INDEX(Assumptions!$B$15:$B$18,MATCH(E4230,Assumptions!$A$15:$A$18,0)),"Yes","No")</f>
        <v>Yes</v>
      </c>
      <c r="O4230" s="31" t="str">
        <f aca="false">IF(H4230="","Open",IF(H4230&lt;=INDEX(Assumptions!$C$15:$C$18,MATCH(E4230,Assumptions!$A$15:$A$18,0)),"Yes","No"))</f>
        <v>Yes</v>
      </c>
    </row>
    <row r="4231" customFormat="false" ht="15" hidden="false" customHeight="false" outlineLevel="0" collapsed="false">
      <c r="A4231" s="31" t="s">
        <v>4381</v>
      </c>
      <c r="B4231" s="44" t="n">
        <v>46261</v>
      </c>
      <c r="C4231" s="31" t="s">
        <v>57</v>
      </c>
      <c r="D4231" s="31" t="s">
        <v>67</v>
      </c>
      <c r="E4231" s="31" t="s">
        <v>50</v>
      </c>
      <c r="F4231" s="31" t="s">
        <v>128</v>
      </c>
      <c r="G4231" s="31" t="n">
        <v>5</v>
      </c>
      <c r="H4231" s="41" t="n">
        <v>7.7</v>
      </c>
      <c r="I4231" s="31" t="s">
        <v>149</v>
      </c>
      <c r="J4231" s="31"/>
      <c r="K4231" s="31" t="s">
        <v>150</v>
      </c>
      <c r="L4231" s="45" t="n">
        <f aca="false">DATE(YEAR(B4231),MONTH(B4231),1)</f>
        <v>46235</v>
      </c>
      <c r="M4231" s="31" t="n">
        <f aca="false">WEEKDAY(B4231,2)</f>
        <v>4</v>
      </c>
      <c r="N4231" s="31" t="str">
        <f aca="false">IF(G4231&lt;=INDEX(Assumptions!$B$15:$B$18,MATCH(E4231,Assumptions!$A$15:$A$18,0)),"Yes","No")</f>
        <v>Yes</v>
      </c>
      <c r="O4231" s="31" t="str">
        <f aca="false">IF(H4231="","Open",IF(H4231&lt;=INDEX(Assumptions!$C$15:$C$18,MATCH(E4231,Assumptions!$A$15:$A$18,0)),"Yes","No"))</f>
        <v>Yes</v>
      </c>
    </row>
    <row r="4232" customFormat="false" ht="15" hidden="false" customHeight="false" outlineLevel="0" collapsed="false">
      <c r="A4232" s="31" t="s">
        <v>4382</v>
      </c>
      <c r="B4232" s="44" t="n">
        <v>46261</v>
      </c>
      <c r="C4232" s="31" t="s">
        <v>58</v>
      </c>
      <c r="D4232" s="31" t="s">
        <v>69</v>
      </c>
      <c r="E4232" s="31" t="s">
        <v>52</v>
      </c>
      <c r="F4232" s="31" t="s">
        <v>136</v>
      </c>
      <c r="G4232" s="31" t="n">
        <v>21</v>
      </c>
      <c r="H4232" s="41" t="n">
        <v>24.9</v>
      </c>
      <c r="I4232" s="31" t="s">
        <v>149</v>
      </c>
      <c r="J4232" s="31" t="n">
        <v>5</v>
      </c>
      <c r="K4232" s="31" t="s">
        <v>150</v>
      </c>
      <c r="L4232" s="45" t="n">
        <f aca="false">DATE(YEAR(B4232),MONTH(B4232),1)</f>
        <v>46235</v>
      </c>
      <c r="M4232" s="31" t="n">
        <f aca="false">WEEKDAY(B4232,2)</f>
        <v>4</v>
      </c>
      <c r="N4232" s="31" t="str">
        <f aca="false">IF(G4232&lt;=INDEX(Assumptions!$B$15:$B$18,MATCH(E4232,Assumptions!$A$15:$A$18,0)),"Yes","No")</f>
        <v>Yes</v>
      </c>
      <c r="O4232" s="31" t="str">
        <f aca="false">IF(H4232="","Open",IF(H4232&lt;=INDEX(Assumptions!$C$15:$C$18,MATCH(E4232,Assumptions!$A$15:$A$18,0)),"Yes","No"))</f>
        <v>Yes</v>
      </c>
    </row>
    <row r="4233" customFormat="false" ht="15" hidden="false" customHeight="false" outlineLevel="0" collapsed="false">
      <c r="A4233" s="31" t="s">
        <v>4383</v>
      </c>
      <c r="B4233" s="44" t="n">
        <v>46261</v>
      </c>
      <c r="C4233" s="31" t="s">
        <v>59</v>
      </c>
      <c r="D4233" s="31" t="s">
        <v>68</v>
      </c>
      <c r="E4233" s="31" t="s">
        <v>52</v>
      </c>
      <c r="F4233" s="31" t="s">
        <v>135</v>
      </c>
      <c r="G4233" s="31" t="n">
        <v>421</v>
      </c>
      <c r="H4233" s="41" t="n">
        <v>44.8</v>
      </c>
      <c r="I4233" s="31" t="s">
        <v>149</v>
      </c>
      <c r="J4233" s="31"/>
      <c r="K4233" s="31" t="s">
        <v>150</v>
      </c>
      <c r="L4233" s="45" t="n">
        <f aca="false">DATE(YEAR(B4233),MONTH(B4233),1)</f>
        <v>46235</v>
      </c>
      <c r="M4233" s="31" t="n">
        <f aca="false">WEEKDAY(B4233,2)</f>
        <v>4</v>
      </c>
      <c r="N4233" s="31" t="str">
        <f aca="false">IF(G4233&lt;=INDEX(Assumptions!$B$15:$B$18,MATCH(E4233,Assumptions!$A$15:$A$18,0)),"Yes","No")</f>
        <v>No</v>
      </c>
      <c r="O4233" s="31" t="str">
        <f aca="false">IF(H4233="","Open",IF(H4233&lt;=INDEX(Assumptions!$C$15:$C$18,MATCH(E4233,Assumptions!$A$15:$A$18,0)),"Yes","No"))</f>
        <v>Yes</v>
      </c>
    </row>
    <row r="4234" customFormat="false" ht="15" hidden="false" customHeight="false" outlineLevel="0" collapsed="false">
      <c r="A4234" s="31" t="s">
        <v>4384</v>
      </c>
      <c r="B4234" s="44" t="n">
        <v>46261</v>
      </c>
      <c r="C4234" s="31" t="s">
        <v>57</v>
      </c>
      <c r="D4234" s="31" t="s">
        <v>68</v>
      </c>
      <c r="E4234" s="31" t="s">
        <v>50</v>
      </c>
      <c r="F4234" s="31" t="s">
        <v>123</v>
      </c>
      <c r="G4234" s="31" t="n">
        <v>5</v>
      </c>
      <c r="H4234" s="41" t="n">
        <v>0.5</v>
      </c>
      <c r="I4234" s="31" t="s">
        <v>149</v>
      </c>
      <c r="J4234" s="31" t="n">
        <v>4</v>
      </c>
      <c r="K4234" s="31" t="s">
        <v>150</v>
      </c>
      <c r="L4234" s="45" t="n">
        <f aca="false">DATE(YEAR(B4234),MONTH(B4234),1)</f>
        <v>46235</v>
      </c>
      <c r="M4234" s="31" t="n">
        <f aca="false">WEEKDAY(B4234,2)</f>
        <v>4</v>
      </c>
      <c r="N4234" s="31" t="str">
        <f aca="false">IF(G4234&lt;=INDEX(Assumptions!$B$15:$B$18,MATCH(E4234,Assumptions!$A$15:$A$18,0)),"Yes","No")</f>
        <v>Yes</v>
      </c>
      <c r="O4234" s="31" t="str">
        <f aca="false">IF(H4234="","Open",IF(H4234&lt;=INDEX(Assumptions!$C$15:$C$18,MATCH(E4234,Assumptions!$A$15:$A$18,0)),"Yes","No"))</f>
        <v>Yes</v>
      </c>
    </row>
    <row r="4235" customFormat="false" ht="15" hidden="false" customHeight="false" outlineLevel="0" collapsed="false">
      <c r="A4235" s="31" t="s">
        <v>4385</v>
      </c>
      <c r="B4235" s="44" t="n">
        <v>46261</v>
      </c>
      <c r="C4235" s="31" t="s">
        <v>58</v>
      </c>
      <c r="D4235" s="31" t="s">
        <v>65</v>
      </c>
      <c r="E4235" s="31" t="s">
        <v>51</v>
      </c>
      <c r="F4235" s="31" t="s">
        <v>128</v>
      </c>
      <c r="G4235" s="31" t="n">
        <v>44</v>
      </c>
      <c r="H4235" s="41"/>
      <c r="I4235" s="31" t="s">
        <v>158</v>
      </c>
      <c r="J4235" s="31"/>
      <c r="K4235" s="31" t="s">
        <v>150</v>
      </c>
      <c r="L4235" s="45" t="n">
        <f aca="false">DATE(YEAR(B4235),MONTH(B4235),1)</f>
        <v>46235</v>
      </c>
      <c r="M4235" s="31" t="n">
        <f aca="false">WEEKDAY(B4235,2)</f>
        <v>4</v>
      </c>
      <c r="N4235" s="31" t="str">
        <f aca="false">IF(G4235&lt;=INDEX(Assumptions!$B$15:$B$18,MATCH(E4235,Assumptions!$A$15:$A$18,0)),"Yes","No")</f>
        <v>Yes</v>
      </c>
      <c r="O4235" s="31" t="str">
        <f aca="false">IF(H4235="","Open",IF(H4235&lt;=INDEX(Assumptions!$C$15:$C$18,MATCH(E4235,Assumptions!$A$15:$A$18,0)),"Yes","No"))</f>
        <v>Open</v>
      </c>
    </row>
    <row r="4236" customFormat="false" ht="15" hidden="false" customHeight="false" outlineLevel="0" collapsed="false">
      <c r="A4236" s="31" t="s">
        <v>4386</v>
      </c>
      <c r="B4236" s="44" t="n">
        <v>46261</v>
      </c>
      <c r="C4236" s="31" t="s">
        <v>59</v>
      </c>
      <c r="D4236" s="31" t="s">
        <v>65</v>
      </c>
      <c r="E4236" s="31" t="s">
        <v>52</v>
      </c>
      <c r="F4236" s="31" t="s">
        <v>123</v>
      </c>
      <c r="G4236" s="31" t="n">
        <v>45</v>
      </c>
      <c r="H4236" s="41" t="n">
        <v>9.8</v>
      </c>
      <c r="I4236" s="31" t="s">
        <v>149</v>
      </c>
      <c r="J4236" s="31" t="n">
        <v>4</v>
      </c>
      <c r="K4236" s="31" t="s">
        <v>150</v>
      </c>
      <c r="L4236" s="45" t="n">
        <f aca="false">DATE(YEAR(B4236),MONTH(B4236),1)</f>
        <v>46235</v>
      </c>
      <c r="M4236" s="31" t="n">
        <f aca="false">WEEKDAY(B4236,2)</f>
        <v>4</v>
      </c>
      <c r="N4236" s="31" t="str">
        <f aca="false">IF(G4236&lt;=INDEX(Assumptions!$B$15:$B$18,MATCH(E4236,Assumptions!$A$15:$A$18,0)),"Yes","No")</f>
        <v>Yes</v>
      </c>
      <c r="O4236" s="31" t="str">
        <f aca="false">IF(H4236="","Open",IF(H4236&lt;=INDEX(Assumptions!$C$15:$C$18,MATCH(E4236,Assumptions!$A$15:$A$18,0)),"Yes","No"))</f>
        <v>Yes</v>
      </c>
    </row>
    <row r="4237" customFormat="false" ht="15" hidden="false" customHeight="false" outlineLevel="0" collapsed="false">
      <c r="A4237" s="31" t="s">
        <v>4387</v>
      </c>
      <c r="B4237" s="44" t="n">
        <v>46261</v>
      </c>
      <c r="C4237" s="31" t="s">
        <v>57</v>
      </c>
      <c r="D4237" s="31" t="s">
        <v>65</v>
      </c>
      <c r="E4237" s="31" t="s">
        <v>50</v>
      </c>
      <c r="F4237" s="31" t="s">
        <v>126</v>
      </c>
      <c r="G4237" s="31" t="n">
        <v>6</v>
      </c>
      <c r="H4237" s="41"/>
      <c r="I4237" s="31" t="s">
        <v>158</v>
      </c>
      <c r="J4237" s="31"/>
      <c r="K4237" s="31" t="s">
        <v>150</v>
      </c>
      <c r="L4237" s="45" t="n">
        <f aca="false">DATE(YEAR(B4237),MONTH(B4237),1)</f>
        <v>46235</v>
      </c>
      <c r="M4237" s="31" t="n">
        <f aca="false">WEEKDAY(B4237,2)</f>
        <v>4</v>
      </c>
      <c r="N4237" s="31" t="str">
        <f aca="false">IF(G4237&lt;=INDEX(Assumptions!$B$15:$B$18,MATCH(E4237,Assumptions!$A$15:$A$18,0)),"Yes","No")</f>
        <v>Yes</v>
      </c>
      <c r="O4237" s="31" t="str">
        <f aca="false">IF(H4237="","Open",IF(H4237&lt;=INDEX(Assumptions!$C$15:$C$18,MATCH(E4237,Assumptions!$A$15:$A$18,0)),"Yes","No"))</f>
        <v>Open</v>
      </c>
    </row>
    <row r="4238" customFormat="false" ht="15" hidden="false" customHeight="false" outlineLevel="0" collapsed="false">
      <c r="A4238" s="31" t="s">
        <v>4388</v>
      </c>
      <c r="B4238" s="44" t="n">
        <v>46261</v>
      </c>
      <c r="C4238" s="31" t="s">
        <v>59</v>
      </c>
      <c r="D4238" s="31" t="s">
        <v>68</v>
      </c>
      <c r="E4238" s="31" t="s">
        <v>50</v>
      </c>
      <c r="F4238" s="31" t="s">
        <v>123</v>
      </c>
      <c r="G4238" s="31" t="n">
        <v>35</v>
      </c>
      <c r="H4238" s="41" t="n">
        <v>0.8</v>
      </c>
      <c r="I4238" s="31" t="s">
        <v>149</v>
      </c>
      <c r="J4238" s="31"/>
      <c r="K4238" s="31" t="s">
        <v>150</v>
      </c>
      <c r="L4238" s="45" t="n">
        <f aca="false">DATE(YEAR(B4238),MONTH(B4238),1)</f>
        <v>46235</v>
      </c>
      <c r="M4238" s="31" t="n">
        <f aca="false">WEEKDAY(B4238,2)</f>
        <v>4</v>
      </c>
      <c r="N4238" s="31" t="str">
        <f aca="false">IF(G4238&lt;=INDEX(Assumptions!$B$15:$B$18,MATCH(E4238,Assumptions!$A$15:$A$18,0)),"Yes","No")</f>
        <v>No</v>
      </c>
      <c r="O4238" s="31" t="str">
        <f aca="false">IF(H4238="","Open",IF(H4238&lt;=INDEX(Assumptions!$C$15:$C$18,MATCH(E4238,Assumptions!$A$15:$A$18,0)),"Yes","No"))</f>
        <v>Yes</v>
      </c>
    </row>
    <row r="4239" customFormat="false" ht="15" hidden="false" customHeight="false" outlineLevel="0" collapsed="false">
      <c r="A4239" s="31" t="s">
        <v>4389</v>
      </c>
      <c r="B4239" s="44" t="n">
        <v>46261</v>
      </c>
      <c r="C4239" s="31" t="s">
        <v>60</v>
      </c>
      <c r="D4239" s="31" t="s">
        <v>65</v>
      </c>
      <c r="E4239" s="31" t="s">
        <v>52</v>
      </c>
      <c r="F4239" s="31" t="s">
        <v>119</v>
      </c>
      <c r="G4239" s="31" t="n">
        <v>9</v>
      </c>
      <c r="H4239" s="41" t="n">
        <v>19.4</v>
      </c>
      <c r="I4239" s="31" t="s">
        <v>149</v>
      </c>
      <c r="J4239" s="31"/>
      <c r="K4239" s="31" t="s">
        <v>150</v>
      </c>
      <c r="L4239" s="45" t="n">
        <f aca="false">DATE(YEAR(B4239),MONTH(B4239),1)</f>
        <v>46235</v>
      </c>
      <c r="M4239" s="31" t="n">
        <f aca="false">WEEKDAY(B4239,2)</f>
        <v>4</v>
      </c>
      <c r="N4239" s="31" t="str">
        <f aca="false">IF(G4239&lt;=INDEX(Assumptions!$B$15:$B$18,MATCH(E4239,Assumptions!$A$15:$A$18,0)),"Yes","No")</f>
        <v>Yes</v>
      </c>
      <c r="O4239" s="31" t="str">
        <f aca="false">IF(H4239="","Open",IF(H4239&lt;=INDEX(Assumptions!$C$15:$C$18,MATCH(E4239,Assumptions!$A$15:$A$18,0)),"Yes","No"))</f>
        <v>Yes</v>
      </c>
    </row>
    <row r="4240" customFormat="false" ht="15" hidden="false" customHeight="false" outlineLevel="0" collapsed="false">
      <c r="A4240" s="31" t="s">
        <v>4390</v>
      </c>
      <c r="B4240" s="44" t="n">
        <v>46262</v>
      </c>
      <c r="C4240" s="31" t="s">
        <v>60</v>
      </c>
      <c r="D4240" s="31" t="s">
        <v>67</v>
      </c>
      <c r="E4240" s="31" t="s">
        <v>51</v>
      </c>
      <c r="F4240" s="31" t="s">
        <v>120</v>
      </c>
      <c r="G4240" s="31" t="n">
        <v>2</v>
      </c>
      <c r="H4240" s="41" t="n">
        <v>36.3</v>
      </c>
      <c r="I4240" s="31" t="s">
        <v>149</v>
      </c>
      <c r="J4240" s="31" t="n">
        <v>4</v>
      </c>
      <c r="K4240" s="31" t="s">
        <v>150</v>
      </c>
      <c r="L4240" s="45" t="n">
        <f aca="false">DATE(YEAR(B4240),MONTH(B4240),1)</f>
        <v>46235</v>
      </c>
      <c r="M4240" s="31" t="n">
        <f aca="false">WEEKDAY(B4240,2)</f>
        <v>5</v>
      </c>
      <c r="N4240" s="31" t="str">
        <f aca="false">IF(G4240&lt;=INDEX(Assumptions!$B$15:$B$18,MATCH(E4240,Assumptions!$A$15:$A$18,0)),"Yes","No")</f>
        <v>Yes</v>
      </c>
      <c r="O4240" s="31" t="str">
        <f aca="false">IF(H4240="","Open",IF(H4240&lt;=INDEX(Assumptions!$C$15:$C$18,MATCH(E4240,Assumptions!$A$15:$A$18,0)),"Yes","No"))</f>
        <v>No</v>
      </c>
    </row>
    <row r="4241" customFormat="false" ht="15" hidden="false" customHeight="false" outlineLevel="0" collapsed="false">
      <c r="A4241" s="31" t="s">
        <v>4391</v>
      </c>
      <c r="B4241" s="44" t="n">
        <v>46262</v>
      </c>
      <c r="C4241" s="31" t="s">
        <v>59</v>
      </c>
      <c r="D4241" s="31" t="s">
        <v>65</v>
      </c>
      <c r="E4241" s="31" t="s">
        <v>50</v>
      </c>
      <c r="F4241" s="31" t="s">
        <v>126</v>
      </c>
      <c r="G4241" s="31" t="n">
        <v>72</v>
      </c>
      <c r="H4241" s="41" t="n">
        <v>5.9</v>
      </c>
      <c r="I4241" s="31" t="s">
        <v>149</v>
      </c>
      <c r="J4241" s="31" t="n">
        <v>4</v>
      </c>
      <c r="K4241" s="31" t="s">
        <v>150</v>
      </c>
      <c r="L4241" s="45" t="n">
        <f aca="false">DATE(YEAR(B4241),MONTH(B4241),1)</f>
        <v>46235</v>
      </c>
      <c r="M4241" s="31" t="n">
        <f aca="false">WEEKDAY(B4241,2)</f>
        <v>5</v>
      </c>
      <c r="N4241" s="31" t="str">
        <f aca="false">IF(G4241&lt;=INDEX(Assumptions!$B$15:$B$18,MATCH(E4241,Assumptions!$A$15:$A$18,0)),"Yes","No")</f>
        <v>No</v>
      </c>
      <c r="O4241" s="31" t="str">
        <f aca="false">IF(H4241="","Open",IF(H4241&lt;=INDEX(Assumptions!$C$15:$C$18,MATCH(E4241,Assumptions!$A$15:$A$18,0)),"Yes","No"))</f>
        <v>Yes</v>
      </c>
    </row>
    <row r="4242" customFormat="false" ht="15" hidden="false" customHeight="false" outlineLevel="0" collapsed="false">
      <c r="A4242" s="31" t="s">
        <v>4392</v>
      </c>
      <c r="B4242" s="44" t="n">
        <v>46262</v>
      </c>
      <c r="C4242" s="31" t="s">
        <v>57</v>
      </c>
      <c r="D4242" s="31" t="s">
        <v>67</v>
      </c>
      <c r="E4242" s="31" t="s">
        <v>51</v>
      </c>
      <c r="F4242" s="31" t="s">
        <v>130</v>
      </c>
      <c r="G4242" s="31" t="n">
        <v>3</v>
      </c>
      <c r="H4242" s="41" t="n">
        <v>3.6</v>
      </c>
      <c r="I4242" s="31" t="s">
        <v>149</v>
      </c>
      <c r="J4242" s="31" t="n">
        <v>3</v>
      </c>
      <c r="K4242" s="31" t="s">
        <v>150</v>
      </c>
      <c r="L4242" s="45" t="n">
        <f aca="false">DATE(YEAR(B4242),MONTH(B4242),1)</f>
        <v>46235</v>
      </c>
      <c r="M4242" s="31" t="n">
        <f aca="false">WEEKDAY(B4242,2)</f>
        <v>5</v>
      </c>
      <c r="N4242" s="31" t="str">
        <f aca="false">IF(G4242&lt;=INDEX(Assumptions!$B$15:$B$18,MATCH(E4242,Assumptions!$A$15:$A$18,0)),"Yes","No")</f>
        <v>Yes</v>
      </c>
      <c r="O4242" s="31" t="str">
        <f aca="false">IF(H4242="","Open",IF(H4242&lt;=INDEX(Assumptions!$C$15:$C$18,MATCH(E4242,Assumptions!$A$15:$A$18,0)),"Yes","No"))</f>
        <v>Yes</v>
      </c>
    </row>
    <row r="4243" customFormat="false" ht="15" hidden="false" customHeight="false" outlineLevel="0" collapsed="false">
      <c r="A4243" s="31" t="s">
        <v>4393</v>
      </c>
      <c r="B4243" s="44" t="n">
        <v>46262</v>
      </c>
      <c r="C4243" s="31" t="s">
        <v>60</v>
      </c>
      <c r="D4243" s="31" t="s">
        <v>67</v>
      </c>
      <c r="E4243" s="31" t="s">
        <v>51</v>
      </c>
      <c r="F4243" s="31" t="s">
        <v>128</v>
      </c>
      <c r="G4243" s="31" t="n">
        <v>2</v>
      </c>
      <c r="H4243" s="41" t="n">
        <v>21.1</v>
      </c>
      <c r="I4243" s="31" t="s">
        <v>149</v>
      </c>
      <c r="J4243" s="31" t="n">
        <v>4</v>
      </c>
      <c r="K4243" s="31" t="s">
        <v>150</v>
      </c>
      <c r="L4243" s="45" t="n">
        <f aca="false">DATE(YEAR(B4243),MONTH(B4243),1)</f>
        <v>46235</v>
      </c>
      <c r="M4243" s="31" t="n">
        <f aca="false">WEEKDAY(B4243,2)</f>
        <v>5</v>
      </c>
      <c r="N4243" s="31" t="str">
        <f aca="false">IF(G4243&lt;=INDEX(Assumptions!$B$15:$B$18,MATCH(E4243,Assumptions!$A$15:$A$18,0)),"Yes","No")</f>
        <v>Yes</v>
      </c>
      <c r="O4243" s="31" t="str">
        <f aca="false">IF(H4243="","Open",IF(H4243&lt;=INDEX(Assumptions!$C$15:$C$18,MATCH(E4243,Assumptions!$A$15:$A$18,0)),"Yes","No"))</f>
        <v>Yes</v>
      </c>
    </row>
    <row r="4244" customFormat="false" ht="15" hidden="false" customHeight="false" outlineLevel="0" collapsed="false">
      <c r="A4244" s="31" t="s">
        <v>4394</v>
      </c>
      <c r="B4244" s="44" t="n">
        <v>46262</v>
      </c>
      <c r="C4244" s="31" t="s">
        <v>58</v>
      </c>
      <c r="D4244" s="31" t="s">
        <v>66</v>
      </c>
      <c r="E4244" s="31" t="s">
        <v>51</v>
      </c>
      <c r="F4244" s="31" t="s">
        <v>123</v>
      </c>
      <c r="G4244" s="31" t="n">
        <v>11</v>
      </c>
      <c r="H4244" s="41" t="n">
        <v>3.2</v>
      </c>
      <c r="I4244" s="31" t="s">
        <v>149</v>
      </c>
      <c r="J4244" s="31"/>
      <c r="K4244" s="31" t="s">
        <v>150</v>
      </c>
      <c r="L4244" s="45" t="n">
        <f aca="false">DATE(YEAR(B4244),MONTH(B4244),1)</f>
        <v>46235</v>
      </c>
      <c r="M4244" s="31" t="n">
        <f aca="false">WEEKDAY(B4244,2)</f>
        <v>5</v>
      </c>
      <c r="N4244" s="31" t="str">
        <f aca="false">IF(G4244&lt;=INDEX(Assumptions!$B$15:$B$18,MATCH(E4244,Assumptions!$A$15:$A$18,0)),"Yes","No")</f>
        <v>Yes</v>
      </c>
      <c r="O4244" s="31" t="str">
        <f aca="false">IF(H4244="","Open",IF(H4244&lt;=INDEX(Assumptions!$C$15:$C$18,MATCH(E4244,Assumptions!$A$15:$A$18,0)),"Yes","No"))</f>
        <v>Yes</v>
      </c>
    </row>
    <row r="4245" customFormat="false" ht="15" hidden="false" customHeight="false" outlineLevel="0" collapsed="false">
      <c r="A4245" s="31" t="s">
        <v>4395</v>
      </c>
      <c r="B4245" s="44" t="n">
        <v>46262</v>
      </c>
      <c r="C4245" s="31" t="s">
        <v>58</v>
      </c>
      <c r="D4245" s="31" t="s">
        <v>65</v>
      </c>
      <c r="E4245" s="31" t="s">
        <v>51</v>
      </c>
      <c r="F4245" s="31" t="s">
        <v>127</v>
      </c>
      <c r="G4245" s="31" t="n">
        <v>10</v>
      </c>
      <c r="H4245" s="41" t="n">
        <v>12.8</v>
      </c>
      <c r="I4245" s="31" t="s">
        <v>149</v>
      </c>
      <c r="J4245" s="31"/>
      <c r="K4245" s="31" t="s">
        <v>150</v>
      </c>
      <c r="L4245" s="45" t="n">
        <f aca="false">DATE(YEAR(B4245),MONTH(B4245),1)</f>
        <v>46235</v>
      </c>
      <c r="M4245" s="31" t="n">
        <f aca="false">WEEKDAY(B4245,2)</f>
        <v>5</v>
      </c>
      <c r="N4245" s="31" t="str">
        <f aca="false">IF(G4245&lt;=INDEX(Assumptions!$B$15:$B$18,MATCH(E4245,Assumptions!$A$15:$A$18,0)),"Yes","No")</f>
        <v>Yes</v>
      </c>
      <c r="O4245" s="31" t="str">
        <f aca="false">IF(H4245="","Open",IF(H4245&lt;=INDEX(Assumptions!$C$15:$C$18,MATCH(E4245,Assumptions!$A$15:$A$18,0)),"Yes","No"))</f>
        <v>Yes</v>
      </c>
    </row>
    <row r="4246" customFormat="false" ht="15" hidden="false" customHeight="false" outlineLevel="0" collapsed="false">
      <c r="A4246" s="31" t="s">
        <v>4396</v>
      </c>
      <c r="B4246" s="44" t="n">
        <v>46262</v>
      </c>
      <c r="C4246" s="31" t="s">
        <v>59</v>
      </c>
      <c r="D4246" s="31" t="s">
        <v>65</v>
      </c>
      <c r="E4246" s="31" t="s">
        <v>52</v>
      </c>
      <c r="F4246" s="31" t="s">
        <v>134</v>
      </c>
      <c r="G4246" s="31" t="n">
        <v>312</v>
      </c>
      <c r="H4246" s="41" t="n">
        <v>52.1</v>
      </c>
      <c r="I4246" s="31" t="s">
        <v>149</v>
      </c>
      <c r="J4246" s="31"/>
      <c r="K4246" s="31" t="s">
        <v>150</v>
      </c>
      <c r="L4246" s="45" t="n">
        <f aca="false">DATE(YEAR(B4246),MONTH(B4246),1)</f>
        <v>46235</v>
      </c>
      <c r="M4246" s="31" t="n">
        <f aca="false">WEEKDAY(B4246,2)</f>
        <v>5</v>
      </c>
      <c r="N4246" s="31" t="str">
        <f aca="false">IF(G4246&lt;=INDEX(Assumptions!$B$15:$B$18,MATCH(E4246,Assumptions!$A$15:$A$18,0)),"Yes","No")</f>
        <v>No</v>
      </c>
      <c r="O4246" s="31" t="str">
        <f aca="false">IF(H4246="","Open",IF(H4246&lt;=INDEX(Assumptions!$C$15:$C$18,MATCH(E4246,Assumptions!$A$15:$A$18,0)),"Yes","No"))</f>
        <v>Yes</v>
      </c>
    </row>
    <row r="4247" customFormat="false" ht="15" hidden="false" customHeight="false" outlineLevel="0" collapsed="false">
      <c r="A4247" s="31" t="s">
        <v>4397</v>
      </c>
      <c r="B4247" s="44" t="n">
        <v>46262</v>
      </c>
      <c r="C4247" s="31" t="s">
        <v>58</v>
      </c>
      <c r="D4247" s="31" t="s">
        <v>68</v>
      </c>
      <c r="E4247" s="31" t="s">
        <v>51</v>
      </c>
      <c r="F4247" s="31" t="s">
        <v>127</v>
      </c>
      <c r="G4247" s="31" t="n">
        <v>17</v>
      </c>
      <c r="H4247" s="41" t="n">
        <v>3.1</v>
      </c>
      <c r="I4247" s="31" t="s">
        <v>149</v>
      </c>
      <c r="J4247" s="31" t="n">
        <v>4</v>
      </c>
      <c r="K4247" s="31" t="s">
        <v>150</v>
      </c>
      <c r="L4247" s="45" t="n">
        <f aca="false">DATE(YEAR(B4247),MONTH(B4247),1)</f>
        <v>46235</v>
      </c>
      <c r="M4247" s="31" t="n">
        <f aca="false">WEEKDAY(B4247,2)</f>
        <v>5</v>
      </c>
      <c r="N4247" s="31" t="str">
        <f aca="false">IF(G4247&lt;=INDEX(Assumptions!$B$15:$B$18,MATCH(E4247,Assumptions!$A$15:$A$18,0)),"Yes","No")</f>
        <v>Yes</v>
      </c>
      <c r="O4247" s="31" t="str">
        <f aca="false">IF(H4247="","Open",IF(H4247&lt;=INDEX(Assumptions!$C$15:$C$18,MATCH(E4247,Assumptions!$A$15:$A$18,0)),"Yes","No"))</f>
        <v>Yes</v>
      </c>
    </row>
    <row r="4248" customFormat="false" ht="15" hidden="false" customHeight="false" outlineLevel="0" collapsed="false">
      <c r="A4248" s="31" t="s">
        <v>4398</v>
      </c>
      <c r="B4248" s="44" t="n">
        <v>46262</v>
      </c>
      <c r="C4248" s="31" t="s">
        <v>60</v>
      </c>
      <c r="D4248" s="31" t="s">
        <v>65</v>
      </c>
      <c r="E4248" s="31" t="s">
        <v>52</v>
      </c>
      <c r="F4248" s="31" t="s">
        <v>131</v>
      </c>
      <c r="G4248" s="31" t="n">
        <v>2</v>
      </c>
      <c r="H4248" s="41" t="n">
        <v>15.5</v>
      </c>
      <c r="I4248" s="31" t="s">
        <v>149</v>
      </c>
      <c r="J4248" s="31" t="n">
        <v>5</v>
      </c>
      <c r="K4248" s="31" t="s">
        <v>150</v>
      </c>
      <c r="L4248" s="45" t="n">
        <f aca="false">DATE(YEAR(B4248),MONTH(B4248),1)</f>
        <v>46235</v>
      </c>
      <c r="M4248" s="31" t="n">
        <f aca="false">WEEKDAY(B4248,2)</f>
        <v>5</v>
      </c>
      <c r="N4248" s="31" t="str">
        <f aca="false">IF(G4248&lt;=INDEX(Assumptions!$B$15:$B$18,MATCH(E4248,Assumptions!$A$15:$A$18,0)),"Yes","No")</f>
        <v>Yes</v>
      </c>
      <c r="O4248" s="31" t="str">
        <f aca="false">IF(H4248="","Open",IF(H4248&lt;=INDEX(Assumptions!$C$15:$C$18,MATCH(E4248,Assumptions!$A$15:$A$18,0)),"Yes","No"))</f>
        <v>Yes</v>
      </c>
    </row>
    <row r="4249" customFormat="false" ht="15" hidden="false" customHeight="false" outlineLevel="0" collapsed="false">
      <c r="A4249" s="31" t="s">
        <v>4399</v>
      </c>
      <c r="B4249" s="44" t="n">
        <v>46262</v>
      </c>
      <c r="C4249" s="31" t="s">
        <v>58</v>
      </c>
      <c r="D4249" s="31" t="s">
        <v>65</v>
      </c>
      <c r="E4249" s="31" t="s">
        <v>50</v>
      </c>
      <c r="F4249" s="31" t="s">
        <v>136</v>
      </c>
      <c r="G4249" s="31" t="n">
        <v>20</v>
      </c>
      <c r="H4249" s="41" t="n">
        <v>3.6</v>
      </c>
      <c r="I4249" s="31" t="s">
        <v>149</v>
      </c>
      <c r="J4249" s="31" t="n">
        <v>5</v>
      </c>
      <c r="K4249" s="31" t="s">
        <v>150</v>
      </c>
      <c r="L4249" s="45" t="n">
        <f aca="false">DATE(YEAR(B4249),MONTH(B4249),1)</f>
        <v>46235</v>
      </c>
      <c r="M4249" s="31" t="n">
        <f aca="false">WEEKDAY(B4249,2)</f>
        <v>5</v>
      </c>
      <c r="N4249" s="31" t="str">
        <f aca="false">IF(G4249&lt;=INDEX(Assumptions!$B$15:$B$18,MATCH(E4249,Assumptions!$A$15:$A$18,0)),"Yes","No")</f>
        <v>Yes</v>
      </c>
      <c r="O4249" s="31" t="str">
        <f aca="false">IF(H4249="","Open",IF(H4249&lt;=INDEX(Assumptions!$C$15:$C$18,MATCH(E4249,Assumptions!$A$15:$A$18,0)),"Yes","No"))</f>
        <v>Yes</v>
      </c>
    </row>
    <row r="4250" customFormat="false" ht="15" hidden="false" customHeight="false" outlineLevel="0" collapsed="false">
      <c r="A4250" s="31" t="s">
        <v>4400</v>
      </c>
      <c r="B4250" s="44" t="n">
        <v>46262</v>
      </c>
      <c r="C4250" s="31" t="s">
        <v>60</v>
      </c>
      <c r="D4250" s="31" t="s">
        <v>65</v>
      </c>
      <c r="E4250" s="31" t="s">
        <v>51</v>
      </c>
      <c r="F4250" s="31" t="s">
        <v>123</v>
      </c>
      <c r="G4250" s="31" t="n">
        <v>1</v>
      </c>
      <c r="H4250" s="41" t="n">
        <v>9.4</v>
      </c>
      <c r="I4250" s="31" t="s">
        <v>149</v>
      </c>
      <c r="J4250" s="31"/>
      <c r="K4250" s="31" t="s">
        <v>150</v>
      </c>
      <c r="L4250" s="45" t="n">
        <f aca="false">DATE(YEAR(B4250),MONTH(B4250),1)</f>
        <v>46235</v>
      </c>
      <c r="M4250" s="31" t="n">
        <f aca="false">WEEKDAY(B4250,2)</f>
        <v>5</v>
      </c>
      <c r="N4250" s="31" t="str">
        <f aca="false">IF(G4250&lt;=INDEX(Assumptions!$B$15:$B$18,MATCH(E4250,Assumptions!$A$15:$A$18,0)),"Yes","No")</f>
        <v>Yes</v>
      </c>
      <c r="O4250" s="31" t="str">
        <f aca="false">IF(H4250="","Open",IF(H4250&lt;=INDEX(Assumptions!$C$15:$C$18,MATCH(E4250,Assumptions!$A$15:$A$18,0)),"Yes","No"))</f>
        <v>Yes</v>
      </c>
    </row>
    <row r="4251" customFormat="false" ht="15" hidden="false" customHeight="false" outlineLevel="0" collapsed="false">
      <c r="A4251" s="31" t="s">
        <v>4401</v>
      </c>
      <c r="B4251" s="44" t="n">
        <v>46262</v>
      </c>
      <c r="C4251" s="31" t="s">
        <v>58</v>
      </c>
      <c r="D4251" s="31" t="s">
        <v>66</v>
      </c>
      <c r="E4251" s="31" t="s">
        <v>51</v>
      </c>
      <c r="F4251" s="31" t="s">
        <v>127</v>
      </c>
      <c r="G4251" s="31" t="n">
        <v>5</v>
      </c>
      <c r="H4251" s="41" t="n">
        <v>9.3</v>
      </c>
      <c r="I4251" s="31" t="s">
        <v>149</v>
      </c>
      <c r="J4251" s="31" t="n">
        <v>4</v>
      </c>
      <c r="K4251" s="31" t="s">
        <v>150</v>
      </c>
      <c r="L4251" s="45" t="n">
        <f aca="false">DATE(YEAR(B4251),MONTH(B4251),1)</f>
        <v>46235</v>
      </c>
      <c r="M4251" s="31" t="n">
        <f aca="false">WEEKDAY(B4251,2)</f>
        <v>5</v>
      </c>
      <c r="N4251" s="31" t="str">
        <f aca="false">IF(G4251&lt;=INDEX(Assumptions!$B$15:$B$18,MATCH(E4251,Assumptions!$A$15:$A$18,0)),"Yes","No")</f>
        <v>Yes</v>
      </c>
      <c r="O4251" s="31" t="str">
        <f aca="false">IF(H4251="","Open",IF(H4251&lt;=INDEX(Assumptions!$C$15:$C$18,MATCH(E4251,Assumptions!$A$15:$A$18,0)),"Yes","No"))</f>
        <v>Yes</v>
      </c>
    </row>
    <row r="4252" customFormat="false" ht="15" hidden="false" customHeight="false" outlineLevel="0" collapsed="false">
      <c r="A4252" s="31" t="s">
        <v>4402</v>
      </c>
      <c r="B4252" s="44" t="n">
        <v>46262</v>
      </c>
      <c r="C4252" s="31" t="s">
        <v>59</v>
      </c>
      <c r="D4252" s="31" t="s">
        <v>67</v>
      </c>
      <c r="E4252" s="31" t="s">
        <v>51</v>
      </c>
      <c r="F4252" s="31" t="s">
        <v>131</v>
      </c>
      <c r="G4252" s="31" t="n">
        <v>120</v>
      </c>
      <c r="H4252" s="41" t="n">
        <v>9.9</v>
      </c>
      <c r="I4252" s="31" t="s">
        <v>149</v>
      </c>
      <c r="J4252" s="31" t="n">
        <v>5</v>
      </c>
      <c r="K4252" s="31" t="s">
        <v>150</v>
      </c>
      <c r="L4252" s="45" t="n">
        <f aca="false">DATE(YEAR(B4252),MONTH(B4252),1)</f>
        <v>46235</v>
      </c>
      <c r="M4252" s="31" t="n">
        <f aca="false">WEEKDAY(B4252,2)</f>
        <v>5</v>
      </c>
      <c r="N4252" s="31" t="str">
        <f aca="false">IF(G4252&lt;=INDEX(Assumptions!$B$15:$B$18,MATCH(E4252,Assumptions!$A$15:$A$18,0)),"Yes","No")</f>
        <v>No</v>
      </c>
      <c r="O4252" s="31" t="str">
        <f aca="false">IF(H4252="","Open",IF(H4252&lt;=INDEX(Assumptions!$C$15:$C$18,MATCH(E4252,Assumptions!$A$15:$A$18,0)),"Yes","No"))</f>
        <v>Yes</v>
      </c>
    </row>
    <row r="4253" customFormat="false" ht="15" hidden="false" customHeight="false" outlineLevel="0" collapsed="false">
      <c r="A4253" s="31" t="s">
        <v>4403</v>
      </c>
      <c r="B4253" s="44" t="n">
        <v>46262</v>
      </c>
      <c r="C4253" s="31" t="s">
        <v>57</v>
      </c>
      <c r="D4253" s="31" t="s">
        <v>66</v>
      </c>
      <c r="E4253" s="31" t="s">
        <v>51</v>
      </c>
      <c r="F4253" s="31" t="s">
        <v>117</v>
      </c>
      <c r="G4253" s="31" t="n">
        <v>4</v>
      </c>
      <c r="H4253" s="41" t="n">
        <v>4.9</v>
      </c>
      <c r="I4253" s="31" t="s">
        <v>149</v>
      </c>
      <c r="J4253" s="31"/>
      <c r="K4253" s="31" t="s">
        <v>150</v>
      </c>
      <c r="L4253" s="45" t="n">
        <f aca="false">DATE(YEAR(B4253),MONTH(B4253),1)</f>
        <v>46235</v>
      </c>
      <c r="M4253" s="31" t="n">
        <f aca="false">WEEKDAY(B4253,2)</f>
        <v>5</v>
      </c>
      <c r="N4253" s="31" t="str">
        <f aca="false">IF(G4253&lt;=INDEX(Assumptions!$B$15:$B$18,MATCH(E4253,Assumptions!$A$15:$A$18,0)),"Yes","No")</f>
        <v>Yes</v>
      </c>
      <c r="O4253" s="31" t="str">
        <f aca="false">IF(H4253="","Open",IF(H4253&lt;=INDEX(Assumptions!$C$15:$C$18,MATCH(E4253,Assumptions!$A$15:$A$18,0)),"Yes","No"))</f>
        <v>Yes</v>
      </c>
    </row>
    <row r="4254" customFormat="false" ht="15" hidden="false" customHeight="false" outlineLevel="0" collapsed="false">
      <c r="A4254" s="31" t="s">
        <v>4404</v>
      </c>
      <c r="B4254" s="44" t="n">
        <v>46262</v>
      </c>
      <c r="C4254" s="31" t="s">
        <v>57</v>
      </c>
      <c r="D4254" s="31" t="s">
        <v>68</v>
      </c>
      <c r="E4254" s="31" t="s">
        <v>49</v>
      </c>
      <c r="F4254" s="31" t="s">
        <v>120</v>
      </c>
      <c r="G4254" s="31" t="n">
        <v>5</v>
      </c>
      <c r="H4254" s="41" t="n">
        <v>3</v>
      </c>
      <c r="I4254" s="31" t="s">
        <v>64</v>
      </c>
      <c r="J4254" s="31"/>
      <c r="K4254" s="31" t="s">
        <v>150</v>
      </c>
      <c r="L4254" s="45" t="n">
        <f aca="false">DATE(YEAR(B4254),MONTH(B4254),1)</f>
        <v>46235</v>
      </c>
      <c r="M4254" s="31" t="n">
        <f aca="false">WEEKDAY(B4254,2)</f>
        <v>5</v>
      </c>
      <c r="N4254" s="31" t="str">
        <f aca="false">IF(G4254&lt;=INDEX(Assumptions!$B$15:$B$18,MATCH(E4254,Assumptions!$A$15:$A$18,0)),"Yes","No")</f>
        <v>Yes</v>
      </c>
      <c r="O4254" s="31" t="str">
        <f aca="false">IF(H4254="","Open",IF(H4254&lt;=INDEX(Assumptions!$C$15:$C$18,MATCH(E4254,Assumptions!$A$15:$A$18,0)),"Yes","No"))</f>
        <v>Yes</v>
      </c>
    </row>
    <row r="4255" customFormat="false" ht="15" hidden="false" customHeight="false" outlineLevel="0" collapsed="false">
      <c r="A4255" s="31" t="s">
        <v>4405</v>
      </c>
      <c r="B4255" s="44" t="n">
        <v>46262</v>
      </c>
      <c r="C4255" s="31" t="s">
        <v>59</v>
      </c>
      <c r="D4255" s="31" t="s">
        <v>65</v>
      </c>
      <c r="E4255" s="31" t="s">
        <v>51</v>
      </c>
      <c r="F4255" s="31" t="s">
        <v>117</v>
      </c>
      <c r="G4255" s="31" t="n">
        <v>42</v>
      </c>
      <c r="H4255" s="41" t="n">
        <v>7.5</v>
      </c>
      <c r="I4255" s="31" t="s">
        <v>149</v>
      </c>
      <c r="J4255" s="31" t="n">
        <v>5</v>
      </c>
      <c r="K4255" s="31" t="s">
        <v>150</v>
      </c>
      <c r="L4255" s="45" t="n">
        <f aca="false">DATE(YEAR(B4255),MONTH(B4255),1)</f>
        <v>46235</v>
      </c>
      <c r="M4255" s="31" t="n">
        <f aca="false">WEEKDAY(B4255,2)</f>
        <v>5</v>
      </c>
      <c r="N4255" s="31" t="str">
        <f aca="false">IF(G4255&lt;=INDEX(Assumptions!$B$15:$B$18,MATCH(E4255,Assumptions!$A$15:$A$18,0)),"Yes","No")</f>
        <v>Yes</v>
      </c>
      <c r="O4255" s="31" t="str">
        <f aca="false">IF(H4255="","Open",IF(H4255&lt;=INDEX(Assumptions!$C$15:$C$18,MATCH(E4255,Assumptions!$A$15:$A$18,0)),"Yes","No"))</f>
        <v>Yes</v>
      </c>
    </row>
    <row r="4256" customFormat="false" ht="15" hidden="false" customHeight="false" outlineLevel="0" collapsed="false">
      <c r="A4256" s="31" t="s">
        <v>4406</v>
      </c>
      <c r="B4256" s="44" t="n">
        <v>46262</v>
      </c>
      <c r="C4256" s="31" t="s">
        <v>57</v>
      </c>
      <c r="D4256" s="31" t="s">
        <v>65</v>
      </c>
      <c r="E4256" s="31" t="s">
        <v>50</v>
      </c>
      <c r="F4256" s="31" t="s">
        <v>130</v>
      </c>
      <c r="G4256" s="31" t="n">
        <v>1</v>
      </c>
      <c r="H4256" s="41" t="n">
        <v>8.8</v>
      </c>
      <c r="I4256" s="31" t="s">
        <v>149</v>
      </c>
      <c r="J4256" s="31" t="n">
        <v>5</v>
      </c>
      <c r="K4256" s="31" t="s">
        <v>150</v>
      </c>
      <c r="L4256" s="45" t="n">
        <f aca="false">DATE(YEAR(B4256),MONTH(B4256),1)</f>
        <v>46235</v>
      </c>
      <c r="M4256" s="31" t="n">
        <f aca="false">WEEKDAY(B4256,2)</f>
        <v>5</v>
      </c>
      <c r="N4256" s="31" t="str">
        <f aca="false">IF(G4256&lt;=INDEX(Assumptions!$B$15:$B$18,MATCH(E4256,Assumptions!$A$15:$A$18,0)),"Yes","No")</f>
        <v>Yes</v>
      </c>
      <c r="O4256" s="31" t="str">
        <f aca="false">IF(H4256="","Open",IF(H4256&lt;=INDEX(Assumptions!$C$15:$C$18,MATCH(E4256,Assumptions!$A$15:$A$18,0)),"Yes","No"))</f>
        <v>No</v>
      </c>
    </row>
    <row r="4257" customFormat="false" ht="15" hidden="false" customHeight="false" outlineLevel="0" collapsed="false">
      <c r="A4257" s="31" t="s">
        <v>4407</v>
      </c>
      <c r="B4257" s="44" t="n">
        <v>46262</v>
      </c>
      <c r="C4257" s="31" t="s">
        <v>57</v>
      </c>
      <c r="D4257" s="31" t="s">
        <v>69</v>
      </c>
      <c r="E4257" s="31" t="s">
        <v>49</v>
      </c>
      <c r="F4257" s="31" t="s">
        <v>127</v>
      </c>
      <c r="G4257" s="31" t="n">
        <v>2</v>
      </c>
      <c r="H4257" s="41" t="n">
        <v>4.1</v>
      </c>
      <c r="I4257" s="31" t="s">
        <v>149</v>
      </c>
      <c r="J4257" s="31" t="n">
        <v>3</v>
      </c>
      <c r="K4257" s="31" t="s">
        <v>150</v>
      </c>
      <c r="L4257" s="45" t="n">
        <f aca="false">DATE(YEAR(B4257),MONTH(B4257),1)</f>
        <v>46235</v>
      </c>
      <c r="M4257" s="31" t="n">
        <f aca="false">WEEKDAY(B4257,2)</f>
        <v>5</v>
      </c>
      <c r="N4257" s="31" t="str">
        <f aca="false">IF(G4257&lt;=INDEX(Assumptions!$B$15:$B$18,MATCH(E4257,Assumptions!$A$15:$A$18,0)),"Yes","No")</f>
        <v>Yes</v>
      </c>
      <c r="O4257" s="31" t="str">
        <f aca="false">IF(H4257="","Open",IF(H4257&lt;=INDEX(Assumptions!$C$15:$C$18,MATCH(E4257,Assumptions!$A$15:$A$18,0)),"Yes","No"))</f>
        <v>No</v>
      </c>
    </row>
    <row r="4258" customFormat="false" ht="15" hidden="false" customHeight="false" outlineLevel="0" collapsed="false">
      <c r="A4258" s="31" t="s">
        <v>4408</v>
      </c>
      <c r="B4258" s="44" t="n">
        <v>46262</v>
      </c>
      <c r="C4258" s="31" t="s">
        <v>57</v>
      </c>
      <c r="D4258" s="31" t="s">
        <v>69</v>
      </c>
      <c r="E4258" s="31" t="s">
        <v>52</v>
      </c>
      <c r="F4258" s="31" t="s">
        <v>124</v>
      </c>
      <c r="G4258" s="31" t="n">
        <v>5</v>
      </c>
      <c r="H4258" s="41" t="n">
        <v>12</v>
      </c>
      <c r="I4258" s="31" t="s">
        <v>149</v>
      </c>
      <c r="J4258" s="31" t="n">
        <v>5</v>
      </c>
      <c r="K4258" s="31" t="s">
        <v>150</v>
      </c>
      <c r="L4258" s="45" t="n">
        <f aca="false">DATE(YEAR(B4258),MONTH(B4258),1)</f>
        <v>46235</v>
      </c>
      <c r="M4258" s="31" t="n">
        <f aca="false">WEEKDAY(B4258,2)</f>
        <v>5</v>
      </c>
      <c r="N4258" s="31" t="str">
        <f aca="false">IF(G4258&lt;=INDEX(Assumptions!$B$15:$B$18,MATCH(E4258,Assumptions!$A$15:$A$18,0)),"Yes","No")</f>
        <v>Yes</v>
      </c>
      <c r="O4258" s="31" t="str">
        <f aca="false">IF(H4258="","Open",IF(H4258&lt;=INDEX(Assumptions!$C$15:$C$18,MATCH(E4258,Assumptions!$A$15:$A$18,0)),"Yes","No"))</f>
        <v>Yes</v>
      </c>
    </row>
    <row r="4259" customFormat="false" ht="15" hidden="false" customHeight="false" outlineLevel="0" collapsed="false">
      <c r="A4259" s="31" t="s">
        <v>4409</v>
      </c>
      <c r="B4259" s="44" t="n">
        <v>46262</v>
      </c>
      <c r="C4259" s="31" t="s">
        <v>58</v>
      </c>
      <c r="D4259" s="31" t="s">
        <v>65</v>
      </c>
      <c r="E4259" s="31" t="s">
        <v>51</v>
      </c>
      <c r="F4259" s="31" t="s">
        <v>134</v>
      </c>
      <c r="G4259" s="31" t="n">
        <v>12</v>
      </c>
      <c r="H4259" s="41" t="n">
        <v>54.6</v>
      </c>
      <c r="I4259" s="31" t="s">
        <v>149</v>
      </c>
      <c r="J4259" s="31"/>
      <c r="K4259" s="31" t="s">
        <v>150</v>
      </c>
      <c r="L4259" s="45" t="n">
        <f aca="false">DATE(YEAR(B4259),MONTH(B4259),1)</f>
        <v>46235</v>
      </c>
      <c r="M4259" s="31" t="n">
        <f aca="false">WEEKDAY(B4259,2)</f>
        <v>5</v>
      </c>
      <c r="N4259" s="31" t="str">
        <f aca="false">IF(G4259&lt;=INDEX(Assumptions!$B$15:$B$18,MATCH(E4259,Assumptions!$A$15:$A$18,0)),"Yes","No")</f>
        <v>Yes</v>
      </c>
      <c r="O4259" s="31" t="str">
        <f aca="false">IF(H4259="","Open",IF(H4259&lt;=INDEX(Assumptions!$C$15:$C$18,MATCH(E4259,Assumptions!$A$15:$A$18,0)),"Yes","No"))</f>
        <v>No</v>
      </c>
    </row>
    <row r="4260" customFormat="false" ht="15" hidden="false" customHeight="false" outlineLevel="0" collapsed="false">
      <c r="A4260" s="31" t="s">
        <v>4410</v>
      </c>
      <c r="B4260" s="44" t="n">
        <v>46262</v>
      </c>
      <c r="C4260" s="31" t="s">
        <v>57</v>
      </c>
      <c r="D4260" s="31" t="s">
        <v>65</v>
      </c>
      <c r="E4260" s="31" t="s">
        <v>50</v>
      </c>
      <c r="F4260" s="31" t="s">
        <v>124</v>
      </c>
      <c r="G4260" s="31" t="n">
        <v>1</v>
      </c>
      <c r="H4260" s="41" t="n">
        <v>5.2</v>
      </c>
      <c r="I4260" s="31" t="s">
        <v>149</v>
      </c>
      <c r="J4260" s="31"/>
      <c r="K4260" s="31" t="s">
        <v>150</v>
      </c>
      <c r="L4260" s="45" t="n">
        <f aca="false">DATE(YEAR(B4260),MONTH(B4260),1)</f>
        <v>46235</v>
      </c>
      <c r="M4260" s="31" t="n">
        <f aca="false">WEEKDAY(B4260,2)</f>
        <v>5</v>
      </c>
      <c r="N4260" s="31" t="str">
        <f aca="false">IF(G4260&lt;=INDEX(Assumptions!$B$15:$B$18,MATCH(E4260,Assumptions!$A$15:$A$18,0)),"Yes","No")</f>
        <v>Yes</v>
      </c>
      <c r="O4260" s="31" t="str">
        <f aca="false">IF(H4260="","Open",IF(H4260&lt;=INDEX(Assumptions!$C$15:$C$18,MATCH(E4260,Assumptions!$A$15:$A$18,0)),"Yes","No"))</f>
        <v>Yes</v>
      </c>
    </row>
    <row r="4261" customFormat="false" ht="15" hidden="false" customHeight="false" outlineLevel="0" collapsed="false">
      <c r="A4261" s="31" t="s">
        <v>4411</v>
      </c>
      <c r="B4261" s="44" t="n">
        <v>46262</v>
      </c>
      <c r="C4261" s="31" t="s">
        <v>59</v>
      </c>
      <c r="D4261" s="31" t="s">
        <v>66</v>
      </c>
      <c r="E4261" s="31" t="s">
        <v>51</v>
      </c>
      <c r="F4261" s="31" t="s">
        <v>117</v>
      </c>
      <c r="G4261" s="31" t="n">
        <v>45</v>
      </c>
      <c r="H4261" s="41" t="n">
        <v>10.2</v>
      </c>
      <c r="I4261" s="31" t="s">
        <v>149</v>
      </c>
      <c r="J4261" s="31" t="n">
        <v>5</v>
      </c>
      <c r="K4261" s="31" t="s">
        <v>150</v>
      </c>
      <c r="L4261" s="45" t="n">
        <f aca="false">DATE(YEAR(B4261),MONTH(B4261),1)</f>
        <v>46235</v>
      </c>
      <c r="M4261" s="31" t="n">
        <f aca="false">WEEKDAY(B4261,2)</f>
        <v>5</v>
      </c>
      <c r="N4261" s="31" t="str">
        <f aca="false">IF(G4261&lt;=INDEX(Assumptions!$B$15:$B$18,MATCH(E4261,Assumptions!$A$15:$A$18,0)),"Yes","No")</f>
        <v>Yes</v>
      </c>
      <c r="O4261" s="31" t="str">
        <f aca="false">IF(H4261="","Open",IF(H4261&lt;=INDEX(Assumptions!$C$15:$C$18,MATCH(E4261,Assumptions!$A$15:$A$18,0)),"Yes","No"))</f>
        <v>Yes</v>
      </c>
    </row>
    <row r="4262" customFormat="false" ht="15" hidden="false" customHeight="false" outlineLevel="0" collapsed="false">
      <c r="A4262" s="31" t="s">
        <v>4412</v>
      </c>
      <c r="B4262" s="44" t="n">
        <v>46262</v>
      </c>
      <c r="C4262" s="31" t="s">
        <v>60</v>
      </c>
      <c r="D4262" s="31" t="s">
        <v>65</v>
      </c>
      <c r="E4262" s="31" t="s">
        <v>50</v>
      </c>
      <c r="F4262" s="31" t="s">
        <v>134</v>
      </c>
      <c r="G4262" s="31" t="n">
        <v>4</v>
      </c>
      <c r="H4262" s="41" t="n">
        <v>11.5</v>
      </c>
      <c r="I4262" s="31" t="s">
        <v>149</v>
      </c>
      <c r="J4262" s="31"/>
      <c r="K4262" s="31" t="s">
        <v>150</v>
      </c>
      <c r="L4262" s="45" t="n">
        <f aca="false">DATE(YEAR(B4262),MONTH(B4262),1)</f>
        <v>46235</v>
      </c>
      <c r="M4262" s="31" t="n">
        <f aca="false">WEEKDAY(B4262,2)</f>
        <v>5</v>
      </c>
      <c r="N4262" s="31" t="str">
        <f aca="false">IF(G4262&lt;=INDEX(Assumptions!$B$15:$B$18,MATCH(E4262,Assumptions!$A$15:$A$18,0)),"Yes","No")</f>
        <v>Yes</v>
      </c>
      <c r="O4262" s="31" t="str">
        <f aca="false">IF(H4262="","Open",IF(H4262&lt;=INDEX(Assumptions!$C$15:$C$18,MATCH(E4262,Assumptions!$A$15:$A$18,0)),"Yes","No"))</f>
        <v>No</v>
      </c>
    </row>
    <row r="4263" customFormat="false" ht="15" hidden="false" customHeight="false" outlineLevel="0" collapsed="false">
      <c r="A4263" s="31" t="s">
        <v>4413</v>
      </c>
      <c r="B4263" s="44" t="n">
        <v>46262</v>
      </c>
      <c r="C4263" s="31" t="s">
        <v>57</v>
      </c>
      <c r="D4263" s="31" t="s">
        <v>65</v>
      </c>
      <c r="E4263" s="31" t="s">
        <v>52</v>
      </c>
      <c r="F4263" s="31" t="s">
        <v>117</v>
      </c>
      <c r="G4263" s="31" t="n">
        <v>2</v>
      </c>
      <c r="H4263" s="41" t="n">
        <v>34.6</v>
      </c>
      <c r="I4263" s="31" t="s">
        <v>149</v>
      </c>
      <c r="J4263" s="31" t="n">
        <v>5</v>
      </c>
      <c r="K4263" s="31" t="s">
        <v>150</v>
      </c>
      <c r="L4263" s="45" t="n">
        <f aca="false">DATE(YEAR(B4263),MONTH(B4263),1)</f>
        <v>46235</v>
      </c>
      <c r="M4263" s="31" t="n">
        <f aca="false">WEEKDAY(B4263,2)</f>
        <v>5</v>
      </c>
      <c r="N4263" s="31" t="str">
        <f aca="false">IF(G4263&lt;=INDEX(Assumptions!$B$15:$B$18,MATCH(E4263,Assumptions!$A$15:$A$18,0)),"Yes","No")</f>
        <v>Yes</v>
      </c>
      <c r="O4263" s="31" t="str">
        <f aca="false">IF(H4263="","Open",IF(H4263&lt;=INDEX(Assumptions!$C$15:$C$18,MATCH(E4263,Assumptions!$A$15:$A$18,0)),"Yes","No"))</f>
        <v>Yes</v>
      </c>
    </row>
    <row r="4264" customFormat="false" ht="15" hidden="false" customHeight="false" outlineLevel="0" collapsed="false">
      <c r="A4264" s="31" t="s">
        <v>4414</v>
      </c>
      <c r="B4264" s="44" t="n">
        <v>46262</v>
      </c>
      <c r="C4264" s="31" t="s">
        <v>58</v>
      </c>
      <c r="D4264" s="31" t="s">
        <v>65</v>
      </c>
      <c r="E4264" s="31" t="s">
        <v>51</v>
      </c>
      <c r="F4264" s="31" t="s">
        <v>135</v>
      </c>
      <c r="G4264" s="31" t="n">
        <v>16</v>
      </c>
      <c r="H4264" s="41" t="n">
        <v>19</v>
      </c>
      <c r="I4264" s="31" t="s">
        <v>149</v>
      </c>
      <c r="J4264" s="31"/>
      <c r="K4264" s="31" t="s">
        <v>150</v>
      </c>
      <c r="L4264" s="45" t="n">
        <f aca="false">DATE(YEAR(B4264),MONTH(B4264),1)</f>
        <v>46235</v>
      </c>
      <c r="M4264" s="31" t="n">
        <f aca="false">WEEKDAY(B4264,2)</f>
        <v>5</v>
      </c>
      <c r="N4264" s="31" t="str">
        <f aca="false">IF(G4264&lt;=INDEX(Assumptions!$B$15:$B$18,MATCH(E4264,Assumptions!$A$15:$A$18,0)),"Yes","No")</f>
        <v>Yes</v>
      </c>
      <c r="O4264" s="31" t="str">
        <f aca="false">IF(H4264="","Open",IF(H4264&lt;=INDEX(Assumptions!$C$15:$C$18,MATCH(E4264,Assumptions!$A$15:$A$18,0)),"Yes","No"))</f>
        <v>Yes</v>
      </c>
    </row>
    <row r="4265" customFormat="false" ht="15" hidden="false" customHeight="false" outlineLevel="0" collapsed="false">
      <c r="A4265" s="31" t="s">
        <v>4415</v>
      </c>
      <c r="B4265" s="44" t="n">
        <v>46262</v>
      </c>
      <c r="C4265" s="31" t="s">
        <v>60</v>
      </c>
      <c r="D4265" s="31" t="s">
        <v>69</v>
      </c>
      <c r="E4265" s="31" t="s">
        <v>51</v>
      </c>
      <c r="F4265" s="31" t="s">
        <v>131</v>
      </c>
      <c r="G4265" s="31" t="n">
        <v>2</v>
      </c>
      <c r="H4265" s="41" t="n">
        <v>19.9</v>
      </c>
      <c r="I4265" s="31" t="s">
        <v>149</v>
      </c>
      <c r="J4265" s="31"/>
      <c r="K4265" s="31" t="s">
        <v>150</v>
      </c>
      <c r="L4265" s="45" t="n">
        <f aca="false">DATE(YEAR(B4265),MONTH(B4265),1)</f>
        <v>46235</v>
      </c>
      <c r="M4265" s="31" t="n">
        <f aca="false">WEEKDAY(B4265,2)</f>
        <v>5</v>
      </c>
      <c r="N4265" s="31" t="str">
        <f aca="false">IF(G4265&lt;=INDEX(Assumptions!$B$15:$B$18,MATCH(E4265,Assumptions!$A$15:$A$18,0)),"Yes","No")</f>
        <v>Yes</v>
      </c>
      <c r="O4265" s="31" t="str">
        <f aca="false">IF(H4265="","Open",IF(H4265&lt;=INDEX(Assumptions!$C$15:$C$18,MATCH(E4265,Assumptions!$A$15:$A$18,0)),"Yes","No"))</f>
        <v>Yes</v>
      </c>
    </row>
    <row r="4266" customFormat="false" ht="15" hidden="false" customHeight="false" outlineLevel="0" collapsed="false">
      <c r="A4266" s="31" t="s">
        <v>4416</v>
      </c>
      <c r="B4266" s="44" t="n">
        <v>46262</v>
      </c>
      <c r="C4266" s="31" t="s">
        <v>60</v>
      </c>
      <c r="D4266" s="31" t="s">
        <v>68</v>
      </c>
      <c r="E4266" s="31" t="s">
        <v>51</v>
      </c>
      <c r="F4266" s="31" t="s">
        <v>129</v>
      </c>
      <c r="G4266" s="31" t="n">
        <v>5</v>
      </c>
      <c r="H4266" s="41" t="n">
        <v>2.5</v>
      </c>
      <c r="I4266" s="31" t="s">
        <v>149</v>
      </c>
      <c r="J4266" s="31" t="n">
        <v>5</v>
      </c>
      <c r="K4266" s="31" t="s">
        <v>150</v>
      </c>
      <c r="L4266" s="45" t="n">
        <f aca="false">DATE(YEAR(B4266),MONTH(B4266),1)</f>
        <v>46235</v>
      </c>
      <c r="M4266" s="31" t="n">
        <f aca="false">WEEKDAY(B4266,2)</f>
        <v>5</v>
      </c>
      <c r="N4266" s="31" t="str">
        <f aca="false">IF(G4266&lt;=INDEX(Assumptions!$B$15:$B$18,MATCH(E4266,Assumptions!$A$15:$A$18,0)),"Yes","No")</f>
        <v>Yes</v>
      </c>
      <c r="O4266" s="31" t="str">
        <f aca="false">IF(H4266="","Open",IF(H4266&lt;=INDEX(Assumptions!$C$15:$C$18,MATCH(E4266,Assumptions!$A$15:$A$18,0)),"Yes","No"))</f>
        <v>Yes</v>
      </c>
    </row>
    <row r="4267" customFormat="false" ht="15" hidden="false" customHeight="false" outlineLevel="0" collapsed="false">
      <c r="A4267" s="31" t="s">
        <v>4417</v>
      </c>
      <c r="B4267" s="44" t="n">
        <v>46262</v>
      </c>
      <c r="C4267" s="31" t="s">
        <v>59</v>
      </c>
      <c r="D4267" s="31" t="s">
        <v>65</v>
      </c>
      <c r="E4267" s="31" t="s">
        <v>52</v>
      </c>
      <c r="F4267" s="31" t="s">
        <v>135</v>
      </c>
      <c r="G4267" s="31" t="n">
        <v>355</v>
      </c>
      <c r="H4267" s="41" t="n">
        <v>72.2</v>
      </c>
      <c r="I4267" s="31" t="s">
        <v>149</v>
      </c>
      <c r="J4267" s="31"/>
      <c r="K4267" s="31" t="s">
        <v>153</v>
      </c>
      <c r="L4267" s="45" t="n">
        <f aca="false">DATE(YEAR(B4267),MONTH(B4267),1)</f>
        <v>46235</v>
      </c>
      <c r="M4267" s="31" t="n">
        <f aca="false">WEEKDAY(B4267,2)</f>
        <v>5</v>
      </c>
      <c r="N4267" s="31" t="str">
        <f aca="false">IF(G4267&lt;=INDEX(Assumptions!$B$15:$B$18,MATCH(E4267,Assumptions!$A$15:$A$18,0)),"Yes","No")</f>
        <v>No</v>
      </c>
      <c r="O4267" s="31" t="str">
        <f aca="false">IF(H4267="","Open",IF(H4267&lt;=INDEX(Assumptions!$C$15:$C$18,MATCH(E4267,Assumptions!$A$15:$A$18,0)),"Yes","No"))</f>
        <v>No</v>
      </c>
    </row>
    <row r="4268" customFormat="false" ht="15" hidden="false" customHeight="false" outlineLevel="0" collapsed="false">
      <c r="A4268" s="31" t="s">
        <v>4418</v>
      </c>
      <c r="B4268" s="44" t="n">
        <v>46262</v>
      </c>
      <c r="C4268" s="31" t="s">
        <v>58</v>
      </c>
      <c r="D4268" s="31" t="s">
        <v>66</v>
      </c>
      <c r="E4268" s="31" t="s">
        <v>52</v>
      </c>
      <c r="F4268" s="31" t="s">
        <v>121</v>
      </c>
      <c r="G4268" s="31" t="n">
        <v>9</v>
      </c>
      <c r="H4268" s="41" t="n">
        <v>4.4</v>
      </c>
      <c r="I4268" s="31" t="s">
        <v>149</v>
      </c>
      <c r="J4268" s="31" t="n">
        <v>5</v>
      </c>
      <c r="K4268" s="31" t="s">
        <v>150</v>
      </c>
      <c r="L4268" s="45" t="n">
        <f aca="false">DATE(YEAR(B4268),MONTH(B4268),1)</f>
        <v>46235</v>
      </c>
      <c r="M4268" s="31" t="n">
        <f aca="false">WEEKDAY(B4268,2)</f>
        <v>5</v>
      </c>
      <c r="N4268" s="31" t="str">
        <f aca="false">IF(G4268&lt;=INDEX(Assumptions!$B$15:$B$18,MATCH(E4268,Assumptions!$A$15:$A$18,0)),"Yes","No")</f>
        <v>Yes</v>
      </c>
      <c r="O4268" s="31" t="str">
        <f aca="false">IF(H4268="","Open",IF(H4268&lt;=INDEX(Assumptions!$C$15:$C$18,MATCH(E4268,Assumptions!$A$15:$A$18,0)),"Yes","No"))</f>
        <v>Yes</v>
      </c>
    </row>
    <row r="4269" customFormat="false" ht="15" hidden="false" customHeight="false" outlineLevel="0" collapsed="false">
      <c r="A4269" s="31" t="s">
        <v>4419</v>
      </c>
      <c r="B4269" s="44" t="n">
        <v>46262</v>
      </c>
      <c r="C4269" s="31" t="s">
        <v>59</v>
      </c>
      <c r="D4269" s="31" t="s">
        <v>67</v>
      </c>
      <c r="E4269" s="31" t="s">
        <v>51</v>
      </c>
      <c r="F4269" s="31" t="s">
        <v>121</v>
      </c>
      <c r="G4269" s="31" t="n">
        <v>92</v>
      </c>
      <c r="H4269" s="41" t="n">
        <v>44</v>
      </c>
      <c r="I4269" s="31" t="s">
        <v>149</v>
      </c>
      <c r="J4269" s="31" t="n">
        <v>2</v>
      </c>
      <c r="K4269" s="31" t="s">
        <v>150</v>
      </c>
      <c r="L4269" s="45" t="n">
        <f aca="false">DATE(YEAR(B4269),MONTH(B4269),1)</f>
        <v>46235</v>
      </c>
      <c r="M4269" s="31" t="n">
        <f aca="false">WEEKDAY(B4269,2)</f>
        <v>5</v>
      </c>
      <c r="N4269" s="31" t="str">
        <f aca="false">IF(G4269&lt;=INDEX(Assumptions!$B$15:$B$18,MATCH(E4269,Assumptions!$A$15:$A$18,0)),"Yes","No")</f>
        <v>No</v>
      </c>
      <c r="O4269" s="31" t="str">
        <f aca="false">IF(H4269="","Open",IF(H4269&lt;=INDEX(Assumptions!$C$15:$C$18,MATCH(E4269,Assumptions!$A$15:$A$18,0)),"Yes","No"))</f>
        <v>No</v>
      </c>
    </row>
    <row r="4270" customFormat="false" ht="15" hidden="false" customHeight="false" outlineLevel="0" collapsed="false">
      <c r="A4270" s="31" t="s">
        <v>4420</v>
      </c>
      <c r="B4270" s="44" t="n">
        <v>46262</v>
      </c>
      <c r="C4270" s="31" t="s">
        <v>58</v>
      </c>
      <c r="D4270" s="31" t="s">
        <v>65</v>
      </c>
      <c r="E4270" s="31" t="s">
        <v>51</v>
      </c>
      <c r="F4270" s="31" t="s">
        <v>136</v>
      </c>
      <c r="G4270" s="31" t="n">
        <v>3</v>
      </c>
      <c r="H4270" s="41" t="n">
        <v>51.4</v>
      </c>
      <c r="I4270" s="31" t="s">
        <v>149</v>
      </c>
      <c r="J4270" s="31" t="n">
        <v>4</v>
      </c>
      <c r="K4270" s="31" t="s">
        <v>150</v>
      </c>
      <c r="L4270" s="45" t="n">
        <f aca="false">DATE(YEAR(B4270),MONTH(B4270),1)</f>
        <v>46235</v>
      </c>
      <c r="M4270" s="31" t="n">
        <f aca="false">WEEKDAY(B4270,2)</f>
        <v>5</v>
      </c>
      <c r="N4270" s="31" t="str">
        <f aca="false">IF(G4270&lt;=INDEX(Assumptions!$B$15:$B$18,MATCH(E4270,Assumptions!$A$15:$A$18,0)),"Yes","No")</f>
        <v>Yes</v>
      </c>
      <c r="O4270" s="31" t="str">
        <f aca="false">IF(H4270="","Open",IF(H4270&lt;=INDEX(Assumptions!$C$15:$C$18,MATCH(E4270,Assumptions!$A$15:$A$18,0)),"Yes","No"))</f>
        <v>No</v>
      </c>
    </row>
    <row r="4271" customFormat="false" ht="15" hidden="false" customHeight="false" outlineLevel="0" collapsed="false">
      <c r="A4271" s="31" t="s">
        <v>4421</v>
      </c>
      <c r="B4271" s="44" t="n">
        <v>46262</v>
      </c>
      <c r="C4271" s="31" t="s">
        <v>58</v>
      </c>
      <c r="D4271" s="31" t="s">
        <v>66</v>
      </c>
      <c r="E4271" s="31" t="s">
        <v>52</v>
      </c>
      <c r="F4271" s="31" t="s">
        <v>134</v>
      </c>
      <c r="G4271" s="31" t="n">
        <v>21</v>
      </c>
      <c r="H4271" s="41" t="n">
        <v>12.2</v>
      </c>
      <c r="I4271" s="31" t="s">
        <v>149</v>
      </c>
      <c r="J4271" s="31"/>
      <c r="K4271" s="31" t="s">
        <v>150</v>
      </c>
      <c r="L4271" s="45" t="n">
        <f aca="false">DATE(YEAR(B4271),MONTH(B4271),1)</f>
        <v>46235</v>
      </c>
      <c r="M4271" s="31" t="n">
        <f aca="false">WEEKDAY(B4271,2)</f>
        <v>5</v>
      </c>
      <c r="N4271" s="31" t="str">
        <f aca="false">IF(G4271&lt;=INDEX(Assumptions!$B$15:$B$18,MATCH(E4271,Assumptions!$A$15:$A$18,0)),"Yes","No")</f>
        <v>Yes</v>
      </c>
      <c r="O4271" s="31" t="str">
        <f aca="false">IF(H4271="","Open",IF(H4271&lt;=INDEX(Assumptions!$C$15:$C$18,MATCH(E4271,Assumptions!$A$15:$A$18,0)),"Yes","No"))</f>
        <v>Yes</v>
      </c>
    </row>
    <row r="4272" customFormat="false" ht="15" hidden="false" customHeight="false" outlineLevel="0" collapsed="false">
      <c r="A4272" s="31" t="s">
        <v>4422</v>
      </c>
      <c r="B4272" s="44" t="n">
        <v>46262</v>
      </c>
      <c r="C4272" s="31" t="s">
        <v>57</v>
      </c>
      <c r="D4272" s="31" t="s">
        <v>66</v>
      </c>
      <c r="E4272" s="31" t="s">
        <v>50</v>
      </c>
      <c r="F4272" s="31" t="s">
        <v>126</v>
      </c>
      <c r="G4272" s="31" t="n">
        <v>1</v>
      </c>
      <c r="H4272" s="41" t="n">
        <v>3.8</v>
      </c>
      <c r="I4272" s="31" t="s">
        <v>149</v>
      </c>
      <c r="J4272" s="31" t="n">
        <v>5</v>
      </c>
      <c r="K4272" s="31" t="s">
        <v>150</v>
      </c>
      <c r="L4272" s="45" t="n">
        <f aca="false">DATE(YEAR(B4272),MONTH(B4272),1)</f>
        <v>46235</v>
      </c>
      <c r="M4272" s="31" t="n">
        <f aca="false">WEEKDAY(B4272,2)</f>
        <v>5</v>
      </c>
      <c r="N4272" s="31" t="str">
        <f aca="false">IF(G4272&lt;=INDEX(Assumptions!$B$15:$B$18,MATCH(E4272,Assumptions!$A$15:$A$18,0)),"Yes","No")</f>
        <v>Yes</v>
      </c>
      <c r="O4272" s="31" t="str">
        <f aca="false">IF(H4272="","Open",IF(H4272&lt;=INDEX(Assumptions!$C$15:$C$18,MATCH(E4272,Assumptions!$A$15:$A$18,0)),"Yes","No"))</f>
        <v>Yes</v>
      </c>
    </row>
    <row r="4273" customFormat="false" ht="15" hidden="false" customHeight="false" outlineLevel="0" collapsed="false">
      <c r="A4273" s="31" t="s">
        <v>4423</v>
      </c>
      <c r="B4273" s="44" t="n">
        <v>46262</v>
      </c>
      <c r="C4273" s="31" t="s">
        <v>59</v>
      </c>
      <c r="D4273" s="31" t="s">
        <v>68</v>
      </c>
      <c r="E4273" s="31" t="s">
        <v>52</v>
      </c>
      <c r="F4273" s="31" t="s">
        <v>136</v>
      </c>
      <c r="G4273" s="31" t="n">
        <v>162</v>
      </c>
      <c r="H4273" s="41" t="n">
        <v>15.3</v>
      </c>
      <c r="I4273" s="31" t="s">
        <v>149</v>
      </c>
      <c r="J4273" s="31"/>
      <c r="K4273" s="31" t="s">
        <v>150</v>
      </c>
      <c r="L4273" s="45" t="n">
        <f aca="false">DATE(YEAR(B4273),MONTH(B4273),1)</f>
        <v>46235</v>
      </c>
      <c r="M4273" s="31" t="n">
        <f aca="false">WEEKDAY(B4273,2)</f>
        <v>5</v>
      </c>
      <c r="N4273" s="31" t="str">
        <f aca="false">IF(G4273&lt;=INDEX(Assumptions!$B$15:$B$18,MATCH(E4273,Assumptions!$A$15:$A$18,0)),"Yes","No")</f>
        <v>Yes</v>
      </c>
      <c r="O4273" s="31" t="str">
        <f aca="false">IF(H4273="","Open",IF(H4273&lt;=INDEX(Assumptions!$C$15:$C$18,MATCH(E4273,Assumptions!$A$15:$A$18,0)),"Yes","No"))</f>
        <v>Yes</v>
      </c>
    </row>
    <row r="4274" customFormat="false" ht="15" hidden="false" customHeight="false" outlineLevel="0" collapsed="false">
      <c r="A4274" s="31" t="s">
        <v>4424</v>
      </c>
      <c r="B4274" s="44" t="n">
        <v>46262</v>
      </c>
      <c r="C4274" s="31" t="s">
        <v>58</v>
      </c>
      <c r="D4274" s="31" t="s">
        <v>68</v>
      </c>
      <c r="E4274" s="31" t="s">
        <v>52</v>
      </c>
      <c r="F4274" s="31" t="s">
        <v>124</v>
      </c>
      <c r="G4274" s="31" t="n">
        <v>6</v>
      </c>
      <c r="H4274" s="41" t="n">
        <v>2.5</v>
      </c>
      <c r="I4274" s="31" t="s">
        <v>149</v>
      </c>
      <c r="J4274" s="31" t="n">
        <v>5</v>
      </c>
      <c r="K4274" s="31" t="s">
        <v>150</v>
      </c>
      <c r="L4274" s="45" t="n">
        <f aca="false">DATE(YEAR(B4274),MONTH(B4274),1)</f>
        <v>46235</v>
      </c>
      <c r="M4274" s="31" t="n">
        <f aca="false">WEEKDAY(B4274,2)</f>
        <v>5</v>
      </c>
      <c r="N4274" s="31" t="str">
        <f aca="false">IF(G4274&lt;=INDEX(Assumptions!$B$15:$B$18,MATCH(E4274,Assumptions!$A$15:$A$18,0)),"Yes","No")</f>
        <v>Yes</v>
      </c>
      <c r="O4274" s="31" t="str">
        <f aca="false">IF(H4274="","Open",IF(H4274&lt;=INDEX(Assumptions!$C$15:$C$18,MATCH(E4274,Assumptions!$A$15:$A$18,0)),"Yes","No"))</f>
        <v>Yes</v>
      </c>
    </row>
    <row r="4275" customFormat="false" ht="15" hidden="false" customHeight="false" outlineLevel="0" collapsed="false">
      <c r="A4275" s="31" t="s">
        <v>4425</v>
      </c>
      <c r="B4275" s="44" t="n">
        <v>46262</v>
      </c>
      <c r="C4275" s="31" t="s">
        <v>57</v>
      </c>
      <c r="D4275" s="31" t="s">
        <v>65</v>
      </c>
      <c r="E4275" s="31" t="s">
        <v>52</v>
      </c>
      <c r="F4275" s="31" t="s">
        <v>123</v>
      </c>
      <c r="G4275" s="31" t="n">
        <v>7</v>
      </c>
      <c r="H4275" s="41" t="n">
        <v>13.5</v>
      </c>
      <c r="I4275" s="31" t="s">
        <v>149</v>
      </c>
      <c r="J4275" s="31" t="n">
        <v>4</v>
      </c>
      <c r="K4275" s="31" t="s">
        <v>150</v>
      </c>
      <c r="L4275" s="45" t="n">
        <f aca="false">DATE(YEAR(B4275),MONTH(B4275),1)</f>
        <v>46235</v>
      </c>
      <c r="M4275" s="31" t="n">
        <f aca="false">WEEKDAY(B4275,2)</f>
        <v>5</v>
      </c>
      <c r="N4275" s="31" t="str">
        <f aca="false">IF(G4275&lt;=INDEX(Assumptions!$B$15:$B$18,MATCH(E4275,Assumptions!$A$15:$A$18,0)),"Yes","No")</f>
        <v>Yes</v>
      </c>
      <c r="O4275" s="31" t="str">
        <f aca="false">IF(H4275="","Open",IF(H4275&lt;=INDEX(Assumptions!$C$15:$C$18,MATCH(E4275,Assumptions!$A$15:$A$18,0)),"Yes","No"))</f>
        <v>Yes</v>
      </c>
    </row>
    <row r="4276" customFormat="false" ht="15" hidden="false" customHeight="false" outlineLevel="0" collapsed="false">
      <c r="A4276" s="31" t="s">
        <v>4426</v>
      </c>
      <c r="B4276" s="44" t="n">
        <v>46262</v>
      </c>
      <c r="C4276" s="31" t="s">
        <v>57</v>
      </c>
      <c r="D4276" s="31" t="s">
        <v>65</v>
      </c>
      <c r="E4276" s="31" t="s">
        <v>51</v>
      </c>
      <c r="F4276" s="31" t="s">
        <v>120</v>
      </c>
      <c r="G4276" s="31" t="n">
        <v>11</v>
      </c>
      <c r="H4276" s="41" t="n">
        <v>185.9</v>
      </c>
      <c r="I4276" s="31" t="s">
        <v>64</v>
      </c>
      <c r="J4276" s="31"/>
      <c r="K4276" s="31" t="s">
        <v>150</v>
      </c>
      <c r="L4276" s="45" t="n">
        <f aca="false">DATE(YEAR(B4276),MONTH(B4276),1)</f>
        <v>46235</v>
      </c>
      <c r="M4276" s="31" t="n">
        <f aca="false">WEEKDAY(B4276,2)</f>
        <v>5</v>
      </c>
      <c r="N4276" s="31" t="str">
        <f aca="false">IF(G4276&lt;=INDEX(Assumptions!$B$15:$B$18,MATCH(E4276,Assumptions!$A$15:$A$18,0)),"Yes","No")</f>
        <v>Yes</v>
      </c>
      <c r="O4276" s="31" t="str">
        <f aca="false">IF(H4276="","Open",IF(H4276&lt;=INDEX(Assumptions!$C$15:$C$18,MATCH(E4276,Assumptions!$A$15:$A$18,0)),"Yes","No"))</f>
        <v>No</v>
      </c>
    </row>
    <row r="4277" customFormat="false" ht="15" hidden="false" customHeight="false" outlineLevel="0" collapsed="false">
      <c r="A4277" s="31" t="s">
        <v>4427</v>
      </c>
      <c r="B4277" s="44" t="n">
        <v>46262</v>
      </c>
      <c r="C4277" s="31" t="s">
        <v>57</v>
      </c>
      <c r="D4277" s="31" t="s">
        <v>65</v>
      </c>
      <c r="E4277" s="31" t="s">
        <v>51</v>
      </c>
      <c r="F4277" s="31" t="s">
        <v>130</v>
      </c>
      <c r="G4277" s="31" t="n">
        <v>6</v>
      </c>
      <c r="H4277" s="41" t="n">
        <v>4.3</v>
      </c>
      <c r="I4277" s="31" t="s">
        <v>149</v>
      </c>
      <c r="J4277" s="31"/>
      <c r="K4277" s="31" t="s">
        <v>150</v>
      </c>
      <c r="L4277" s="45" t="n">
        <f aca="false">DATE(YEAR(B4277),MONTH(B4277),1)</f>
        <v>46235</v>
      </c>
      <c r="M4277" s="31" t="n">
        <f aca="false">WEEKDAY(B4277,2)</f>
        <v>5</v>
      </c>
      <c r="N4277" s="31" t="str">
        <f aca="false">IF(G4277&lt;=INDEX(Assumptions!$B$15:$B$18,MATCH(E4277,Assumptions!$A$15:$A$18,0)),"Yes","No")</f>
        <v>Yes</v>
      </c>
      <c r="O4277" s="31" t="str">
        <f aca="false">IF(H4277="","Open",IF(H4277&lt;=INDEX(Assumptions!$C$15:$C$18,MATCH(E4277,Assumptions!$A$15:$A$18,0)),"Yes","No"))</f>
        <v>Yes</v>
      </c>
    </row>
    <row r="4278" customFormat="false" ht="15" hidden="false" customHeight="false" outlineLevel="0" collapsed="false">
      <c r="A4278" s="31" t="s">
        <v>4428</v>
      </c>
      <c r="B4278" s="44" t="n">
        <v>46262</v>
      </c>
      <c r="C4278" s="31" t="s">
        <v>60</v>
      </c>
      <c r="D4278" s="31" t="s">
        <v>66</v>
      </c>
      <c r="E4278" s="31" t="s">
        <v>51</v>
      </c>
      <c r="F4278" s="31" t="s">
        <v>131</v>
      </c>
      <c r="G4278" s="31" t="n">
        <v>1</v>
      </c>
      <c r="H4278" s="41" t="n">
        <v>2.7</v>
      </c>
      <c r="I4278" s="31" t="s">
        <v>149</v>
      </c>
      <c r="J4278" s="31"/>
      <c r="K4278" s="31" t="s">
        <v>150</v>
      </c>
      <c r="L4278" s="45" t="n">
        <f aca="false">DATE(YEAR(B4278),MONTH(B4278),1)</f>
        <v>46235</v>
      </c>
      <c r="M4278" s="31" t="n">
        <f aca="false">WEEKDAY(B4278,2)</f>
        <v>5</v>
      </c>
      <c r="N4278" s="31" t="str">
        <f aca="false">IF(G4278&lt;=INDEX(Assumptions!$B$15:$B$18,MATCH(E4278,Assumptions!$A$15:$A$18,0)),"Yes","No")</f>
        <v>Yes</v>
      </c>
      <c r="O4278" s="31" t="str">
        <f aca="false">IF(H4278="","Open",IF(H4278&lt;=INDEX(Assumptions!$C$15:$C$18,MATCH(E4278,Assumptions!$A$15:$A$18,0)),"Yes","No"))</f>
        <v>Yes</v>
      </c>
    </row>
    <row r="4279" customFormat="false" ht="15" hidden="false" customHeight="false" outlineLevel="0" collapsed="false">
      <c r="A4279" s="31" t="s">
        <v>4429</v>
      </c>
      <c r="B4279" s="44" t="n">
        <v>46262</v>
      </c>
      <c r="C4279" s="31" t="s">
        <v>58</v>
      </c>
      <c r="D4279" s="31" t="s">
        <v>67</v>
      </c>
      <c r="E4279" s="31" t="s">
        <v>51</v>
      </c>
      <c r="F4279" s="31" t="s">
        <v>126</v>
      </c>
      <c r="G4279" s="31" t="n">
        <v>4</v>
      </c>
      <c r="H4279" s="41" t="n">
        <v>1.8</v>
      </c>
      <c r="I4279" s="31" t="s">
        <v>149</v>
      </c>
      <c r="J4279" s="31"/>
      <c r="K4279" s="31" t="s">
        <v>150</v>
      </c>
      <c r="L4279" s="45" t="n">
        <f aca="false">DATE(YEAR(B4279),MONTH(B4279),1)</f>
        <v>46235</v>
      </c>
      <c r="M4279" s="31" t="n">
        <f aca="false">WEEKDAY(B4279,2)</f>
        <v>5</v>
      </c>
      <c r="N4279" s="31" t="str">
        <f aca="false">IF(G4279&lt;=INDEX(Assumptions!$B$15:$B$18,MATCH(E4279,Assumptions!$A$15:$A$18,0)),"Yes","No")</f>
        <v>Yes</v>
      </c>
      <c r="O4279" s="31" t="str">
        <f aca="false">IF(H4279="","Open",IF(H4279&lt;=INDEX(Assumptions!$C$15:$C$18,MATCH(E4279,Assumptions!$A$15:$A$18,0)),"Yes","No"))</f>
        <v>Yes</v>
      </c>
    </row>
    <row r="4280" customFormat="false" ht="15" hidden="false" customHeight="false" outlineLevel="0" collapsed="false">
      <c r="A4280" s="31" t="s">
        <v>4430</v>
      </c>
      <c r="B4280" s="44" t="n">
        <v>46262</v>
      </c>
      <c r="C4280" s="31" t="s">
        <v>60</v>
      </c>
      <c r="D4280" s="31" t="s">
        <v>65</v>
      </c>
      <c r="E4280" s="31" t="s">
        <v>51</v>
      </c>
      <c r="F4280" s="31" t="s">
        <v>124</v>
      </c>
      <c r="G4280" s="31" t="n">
        <v>2</v>
      </c>
      <c r="H4280" s="41" t="n">
        <v>12.5</v>
      </c>
      <c r="I4280" s="31" t="s">
        <v>149</v>
      </c>
      <c r="J4280" s="31"/>
      <c r="K4280" s="31" t="s">
        <v>150</v>
      </c>
      <c r="L4280" s="45" t="n">
        <f aca="false">DATE(YEAR(B4280),MONTH(B4280),1)</f>
        <v>46235</v>
      </c>
      <c r="M4280" s="31" t="n">
        <f aca="false">WEEKDAY(B4280,2)</f>
        <v>5</v>
      </c>
      <c r="N4280" s="31" t="str">
        <f aca="false">IF(G4280&lt;=INDEX(Assumptions!$B$15:$B$18,MATCH(E4280,Assumptions!$A$15:$A$18,0)),"Yes","No")</f>
        <v>Yes</v>
      </c>
      <c r="O4280" s="31" t="str">
        <f aca="false">IF(H4280="","Open",IF(H4280&lt;=INDEX(Assumptions!$C$15:$C$18,MATCH(E4280,Assumptions!$A$15:$A$18,0)),"Yes","No"))</f>
        <v>Yes</v>
      </c>
    </row>
    <row r="4281" customFormat="false" ht="15" hidden="false" customHeight="false" outlineLevel="0" collapsed="false">
      <c r="A4281" s="31" t="s">
        <v>4431</v>
      </c>
      <c r="B4281" s="44" t="n">
        <v>46262</v>
      </c>
      <c r="C4281" s="31" t="s">
        <v>60</v>
      </c>
      <c r="D4281" s="31" t="s">
        <v>69</v>
      </c>
      <c r="E4281" s="31" t="s">
        <v>52</v>
      </c>
      <c r="F4281" s="31" t="s">
        <v>133</v>
      </c>
      <c r="G4281" s="31" t="n">
        <v>3</v>
      </c>
      <c r="H4281" s="41" t="n">
        <v>78</v>
      </c>
      <c r="I4281" s="31" t="s">
        <v>149</v>
      </c>
      <c r="J4281" s="31"/>
      <c r="K4281" s="31" t="s">
        <v>150</v>
      </c>
      <c r="L4281" s="45" t="n">
        <f aca="false">DATE(YEAR(B4281),MONTH(B4281),1)</f>
        <v>46235</v>
      </c>
      <c r="M4281" s="31" t="n">
        <f aca="false">WEEKDAY(B4281,2)</f>
        <v>5</v>
      </c>
      <c r="N4281" s="31" t="str">
        <f aca="false">IF(G4281&lt;=INDEX(Assumptions!$B$15:$B$18,MATCH(E4281,Assumptions!$A$15:$A$18,0)),"Yes","No")</f>
        <v>Yes</v>
      </c>
      <c r="O4281" s="31" t="str">
        <f aca="false">IF(H4281="","Open",IF(H4281&lt;=INDEX(Assumptions!$C$15:$C$18,MATCH(E4281,Assumptions!$A$15:$A$18,0)),"Yes","No"))</f>
        <v>No</v>
      </c>
    </row>
    <row r="4282" customFormat="false" ht="15" hidden="false" customHeight="false" outlineLevel="0" collapsed="false">
      <c r="A4282" s="31" t="s">
        <v>4432</v>
      </c>
      <c r="B4282" s="44" t="n">
        <v>46262</v>
      </c>
      <c r="C4282" s="31" t="s">
        <v>57</v>
      </c>
      <c r="D4282" s="31" t="s">
        <v>66</v>
      </c>
      <c r="E4282" s="31" t="s">
        <v>49</v>
      </c>
      <c r="F4282" s="31" t="s">
        <v>124</v>
      </c>
      <c r="G4282" s="31" t="n">
        <v>2</v>
      </c>
      <c r="H4282" s="41" t="n">
        <v>1.5</v>
      </c>
      <c r="I4282" s="31" t="s">
        <v>149</v>
      </c>
      <c r="J4282" s="31"/>
      <c r="K4282" s="31" t="s">
        <v>153</v>
      </c>
      <c r="L4282" s="45" t="n">
        <f aca="false">DATE(YEAR(B4282),MONTH(B4282),1)</f>
        <v>46235</v>
      </c>
      <c r="M4282" s="31" t="n">
        <f aca="false">WEEKDAY(B4282,2)</f>
        <v>5</v>
      </c>
      <c r="N4282" s="31" t="str">
        <f aca="false">IF(G4282&lt;=INDEX(Assumptions!$B$15:$B$18,MATCH(E4282,Assumptions!$A$15:$A$18,0)),"Yes","No")</f>
        <v>Yes</v>
      </c>
      <c r="O4282" s="31" t="str">
        <f aca="false">IF(H4282="","Open",IF(H4282&lt;=INDEX(Assumptions!$C$15:$C$18,MATCH(E4282,Assumptions!$A$15:$A$18,0)),"Yes","No"))</f>
        <v>Yes</v>
      </c>
    </row>
    <row r="4283" customFormat="false" ht="15" hidden="false" customHeight="false" outlineLevel="0" collapsed="false">
      <c r="A4283" s="31" t="s">
        <v>4433</v>
      </c>
      <c r="B4283" s="44" t="n">
        <v>46262</v>
      </c>
      <c r="C4283" s="31" t="s">
        <v>58</v>
      </c>
      <c r="D4283" s="31" t="s">
        <v>67</v>
      </c>
      <c r="E4283" s="31" t="s">
        <v>52</v>
      </c>
      <c r="F4283" s="31" t="s">
        <v>128</v>
      </c>
      <c r="G4283" s="31" t="n">
        <v>32</v>
      </c>
      <c r="H4283" s="41" t="n">
        <v>18.2</v>
      </c>
      <c r="I4283" s="31" t="s">
        <v>149</v>
      </c>
      <c r="J4283" s="31" t="n">
        <v>4</v>
      </c>
      <c r="K4283" s="31" t="s">
        <v>150</v>
      </c>
      <c r="L4283" s="45" t="n">
        <f aca="false">DATE(YEAR(B4283),MONTH(B4283),1)</f>
        <v>46235</v>
      </c>
      <c r="M4283" s="31" t="n">
        <f aca="false">WEEKDAY(B4283,2)</f>
        <v>5</v>
      </c>
      <c r="N4283" s="31" t="str">
        <f aca="false">IF(G4283&lt;=INDEX(Assumptions!$B$15:$B$18,MATCH(E4283,Assumptions!$A$15:$A$18,0)),"Yes","No")</f>
        <v>Yes</v>
      </c>
      <c r="O4283" s="31" t="str">
        <f aca="false">IF(H4283="","Open",IF(H4283&lt;=INDEX(Assumptions!$C$15:$C$18,MATCH(E4283,Assumptions!$A$15:$A$18,0)),"Yes","No"))</f>
        <v>Yes</v>
      </c>
    </row>
    <row r="4284" customFormat="false" ht="15" hidden="false" customHeight="false" outlineLevel="0" collapsed="false">
      <c r="A4284" s="31" t="s">
        <v>4434</v>
      </c>
      <c r="B4284" s="44" t="n">
        <v>46262</v>
      </c>
      <c r="C4284" s="31" t="s">
        <v>57</v>
      </c>
      <c r="D4284" s="31" t="s">
        <v>67</v>
      </c>
      <c r="E4284" s="31" t="s">
        <v>50</v>
      </c>
      <c r="F4284" s="31" t="s">
        <v>130</v>
      </c>
      <c r="G4284" s="31" t="n">
        <v>1</v>
      </c>
      <c r="H4284" s="41" t="n">
        <v>6.5</v>
      </c>
      <c r="I4284" s="31" t="s">
        <v>149</v>
      </c>
      <c r="J4284" s="31"/>
      <c r="K4284" s="31" t="s">
        <v>150</v>
      </c>
      <c r="L4284" s="45" t="n">
        <f aca="false">DATE(YEAR(B4284),MONTH(B4284),1)</f>
        <v>46235</v>
      </c>
      <c r="M4284" s="31" t="n">
        <f aca="false">WEEKDAY(B4284,2)</f>
        <v>5</v>
      </c>
      <c r="N4284" s="31" t="str">
        <f aca="false">IF(G4284&lt;=INDEX(Assumptions!$B$15:$B$18,MATCH(E4284,Assumptions!$A$15:$A$18,0)),"Yes","No")</f>
        <v>Yes</v>
      </c>
      <c r="O4284" s="31" t="str">
        <f aca="false">IF(H4284="","Open",IF(H4284&lt;=INDEX(Assumptions!$C$15:$C$18,MATCH(E4284,Assumptions!$A$15:$A$18,0)),"Yes","No"))</f>
        <v>Yes</v>
      </c>
    </row>
    <row r="4285" customFormat="false" ht="15" hidden="false" customHeight="false" outlineLevel="0" collapsed="false">
      <c r="A4285" s="31" t="s">
        <v>4435</v>
      </c>
      <c r="B4285" s="44" t="n">
        <v>46262</v>
      </c>
      <c r="C4285" s="31" t="s">
        <v>58</v>
      </c>
      <c r="D4285" s="31" t="s">
        <v>65</v>
      </c>
      <c r="E4285" s="31" t="s">
        <v>52</v>
      </c>
      <c r="F4285" s="31" t="s">
        <v>137</v>
      </c>
      <c r="G4285" s="31" t="n">
        <v>24</v>
      </c>
      <c r="H4285" s="41" t="n">
        <v>13.5</v>
      </c>
      <c r="I4285" s="31" t="s">
        <v>149</v>
      </c>
      <c r="J4285" s="31"/>
      <c r="K4285" s="31" t="s">
        <v>150</v>
      </c>
      <c r="L4285" s="45" t="n">
        <f aca="false">DATE(YEAR(B4285),MONTH(B4285),1)</f>
        <v>46235</v>
      </c>
      <c r="M4285" s="31" t="n">
        <f aca="false">WEEKDAY(B4285,2)</f>
        <v>5</v>
      </c>
      <c r="N4285" s="31" t="str">
        <f aca="false">IF(G4285&lt;=INDEX(Assumptions!$B$15:$B$18,MATCH(E4285,Assumptions!$A$15:$A$18,0)),"Yes","No")</f>
        <v>Yes</v>
      </c>
      <c r="O4285" s="31" t="str">
        <f aca="false">IF(H4285="","Open",IF(H4285&lt;=INDEX(Assumptions!$C$15:$C$18,MATCH(E4285,Assumptions!$A$15:$A$18,0)),"Yes","No"))</f>
        <v>Yes</v>
      </c>
    </row>
    <row r="4286" customFormat="false" ht="15" hidden="false" customHeight="false" outlineLevel="0" collapsed="false">
      <c r="A4286" s="31" t="s">
        <v>4436</v>
      </c>
      <c r="B4286" s="44" t="n">
        <v>46262</v>
      </c>
      <c r="C4286" s="31" t="s">
        <v>57</v>
      </c>
      <c r="D4286" s="31" t="s">
        <v>67</v>
      </c>
      <c r="E4286" s="31" t="s">
        <v>52</v>
      </c>
      <c r="F4286" s="31" t="s">
        <v>120</v>
      </c>
      <c r="G4286" s="31" t="n">
        <v>16</v>
      </c>
      <c r="H4286" s="41" t="n">
        <v>45.4</v>
      </c>
      <c r="I4286" s="31" t="s">
        <v>149</v>
      </c>
      <c r="J4286" s="31" t="n">
        <v>3</v>
      </c>
      <c r="K4286" s="31" t="s">
        <v>150</v>
      </c>
      <c r="L4286" s="45" t="n">
        <f aca="false">DATE(YEAR(B4286),MONTH(B4286),1)</f>
        <v>46235</v>
      </c>
      <c r="M4286" s="31" t="n">
        <f aca="false">WEEKDAY(B4286,2)</f>
        <v>5</v>
      </c>
      <c r="N4286" s="31" t="str">
        <f aca="false">IF(G4286&lt;=INDEX(Assumptions!$B$15:$B$18,MATCH(E4286,Assumptions!$A$15:$A$18,0)),"Yes","No")</f>
        <v>Yes</v>
      </c>
      <c r="O4286" s="31" t="str">
        <f aca="false">IF(H4286="","Open",IF(H4286&lt;=INDEX(Assumptions!$C$15:$C$18,MATCH(E4286,Assumptions!$A$15:$A$18,0)),"Yes","No"))</f>
        <v>Yes</v>
      </c>
    </row>
    <row r="4287" customFormat="false" ht="15" hidden="false" customHeight="false" outlineLevel="0" collapsed="false">
      <c r="A4287" s="31" t="s">
        <v>4437</v>
      </c>
      <c r="B4287" s="44" t="n">
        <v>46262</v>
      </c>
      <c r="C4287" s="31" t="s">
        <v>58</v>
      </c>
      <c r="D4287" s="31" t="s">
        <v>69</v>
      </c>
      <c r="E4287" s="31" t="s">
        <v>51</v>
      </c>
      <c r="F4287" s="31" t="s">
        <v>128</v>
      </c>
      <c r="G4287" s="31" t="n">
        <v>3</v>
      </c>
      <c r="H4287" s="41" t="n">
        <v>11</v>
      </c>
      <c r="I4287" s="31" t="s">
        <v>149</v>
      </c>
      <c r="J4287" s="31"/>
      <c r="K4287" s="31" t="s">
        <v>153</v>
      </c>
      <c r="L4287" s="45" t="n">
        <f aca="false">DATE(YEAR(B4287),MONTH(B4287),1)</f>
        <v>46235</v>
      </c>
      <c r="M4287" s="31" t="n">
        <f aca="false">WEEKDAY(B4287,2)</f>
        <v>5</v>
      </c>
      <c r="N4287" s="31" t="str">
        <f aca="false">IF(G4287&lt;=INDEX(Assumptions!$B$15:$B$18,MATCH(E4287,Assumptions!$A$15:$A$18,0)),"Yes","No")</f>
        <v>Yes</v>
      </c>
      <c r="O4287" s="31" t="str">
        <f aca="false">IF(H4287="","Open",IF(H4287&lt;=INDEX(Assumptions!$C$15:$C$18,MATCH(E4287,Assumptions!$A$15:$A$18,0)),"Yes","No"))</f>
        <v>Yes</v>
      </c>
    </row>
    <row r="4288" customFormat="false" ht="15" hidden="false" customHeight="false" outlineLevel="0" collapsed="false">
      <c r="A4288" s="31" t="s">
        <v>4438</v>
      </c>
      <c r="B4288" s="44" t="n">
        <v>46262</v>
      </c>
      <c r="C4288" s="31" t="s">
        <v>57</v>
      </c>
      <c r="D4288" s="31" t="s">
        <v>67</v>
      </c>
      <c r="E4288" s="31" t="s">
        <v>52</v>
      </c>
      <c r="F4288" s="31" t="s">
        <v>134</v>
      </c>
      <c r="G4288" s="31" t="n">
        <v>26</v>
      </c>
      <c r="H4288" s="41" t="n">
        <v>9.6</v>
      </c>
      <c r="I4288" s="31" t="s">
        <v>149</v>
      </c>
      <c r="J4288" s="31" t="n">
        <v>4</v>
      </c>
      <c r="K4288" s="31" t="s">
        <v>150</v>
      </c>
      <c r="L4288" s="45" t="n">
        <f aca="false">DATE(YEAR(B4288),MONTH(B4288),1)</f>
        <v>46235</v>
      </c>
      <c r="M4288" s="31" t="n">
        <f aca="false">WEEKDAY(B4288,2)</f>
        <v>5</v>
      </c>
      <c r="N4288" s="31" t="str">
        <f aca="false">IF(G4288&lt;=INDEX(Assumptions!$B$15:$B$18,MATCH(E4288,Assumptions!$A$15:$A$18,0)),"Yes","No")</f>
        <v>Yes</v>
      </c>
      <c r="O4288" s="31" t="str">
        <f aca="false">IF(H4288="","Open",IF(H4288&lt;=INDEX(Assumptions!$C$15:$C$18,MATCH(E4288,Assumptions!$A$15:$A$18,0)),"Yes","No"))</f>
        <v>Yes</v>
      </c>
    </row>
    <row r="4289" customFormat="false" ht="15" hidden="false" customHeight="false" outlineLevel="0" collapsed="false">
      <c r="A4289" s="31" t="s">
        <v>4439</v>
      </c>
      <c r="B4289" s="44" t="n">
        <v>46262</v>
      </c>
      <c r="C4289" s="31" t="s">
        <v>58</v>
      </c>
      <c r="D4289" s="31" t="s">
        <v>69</v>
      </c>
      <c r="E4289" s="31" t="s">
        <v>50</v>
      </c>
      <c r="F4289" s="31" t="s">
        <v>127</v>
      </c>
      <c r="G4289" s="31" t="n">
        <v>3</v>
      </c>
      <c r="H4289" s="41" t="n">
        <v>15.6</v>
      </c>
      <c r="I4289" s="31" t="s">
        <v>149</v>
      </c>
      <c r="J4289" s="31" t="n">
        <v>3</v>
      </c>
      <c r="K4289" s="31" t="s">
        <v>150</v>
      </c>
      <c r="L4289" s="45" t="n">
        <f aca="false">DATE(YEAR(B4289),MONTH(B4289),1)</f>
        <v>46235</v>
      </c>
      <c r="M4289" s="31" t="n">
        <f aca="false">WEEKDAY(B4289,2)</f>
        <v>5</v>
      </c>
      <c r="N4289" s="31" t="str">
        <f aca="false">IF(G4289&lt;=INDEX(Assumptions!$B$15:$B$18,MATCH(E4289,Assumptions!$A$15:$A$18,0)),"Yes","No")</f>
        <v>Yes</v>
      </c>
      <c r="O4289" s="31" t="str">
        <f aca="false">IF(H4289="","Open",IF(H4289&lt;=INDEX(Assumptions!$C$15:$C$18,MATCH(E4289,Assumptions!$A$15:$A$18,0)),"Yes","No"))</f>
        <v>No</v>
      </c>
    </row>
    <row r="4290" customFormat="false" ht="15" hidden="false" customHeight="false" outlineLevel="0" collapsed="false">
      <c r="A4290" s="31" t="s">
        <v>4440</v>
      </c>
      <c r="B4290" s="44" t="n">
        <v>46262</v>
      </c>
      <c r="C4290" s="31" t="s">
        <v>59</v>
      </c>
      <c r="D4290" s="31" t="s">
        <v>69</v>
      </c>
      <c r="E4290" s="31" t="s">
        <v>51</v>
      </c>
      <c r="F4290" s="31" t="s">
        <v>133</v>
      </c>
      <c r="G4290" s="31" t="n">
        <v>8</v>
      </c>
      <c r="H4290" s="41" t="n">
        <v>6.6</v>
      </c>
      <c r="I4290" s="31" t="s">
        <v>149</v>
      </c>
      <c r="J4290" s="31" t="n">
        <v>5</v>
      </c>
      <c r="K4290" s="31" t="s">
        <v>150</v>
      </c>
      <c r="L4290" s="45" t="n">
        <f aca="false">DATE(YEAR(B4290),MONTH(B4290),1)</f>
        <v>46235</v>
      </c>
      <c r="M4290" s="31" t="n">
        <f aca="false">WEEKDAY(B4290,2)</f>
        <v>5</v>
      </c>
      <c r="N4290" s="31" t="str">
        <f aca="false">IF(G4290&lt;=INDEX(Assumptions!$B$15:$B$18,MATCH(E4290,Assumptions!$A$15:$A$18,0)),"Yes","No")</f>
        <v>Yes</v>
      </c>
      <c r="O4290" s="31" t="str">
        <f aca="false">IF(H4290="","Open",IF(H4290&lt;=INDEX(Assumptions!$C$15:$C$18,MATCH(E4290,Assumptions!$A$15:$A$18,0)),"Yes","No"))</f>
        <v>Yes</v>
      </c>
    </row>
    <row r="4291" customFormat="false" ht="15" hidden="false" customHeight="false" outlineLevel="0" collapsed="false">
      <c r="A4291" s="31" t="s">
        <v>4441</v>
      </c>
      <c r="B4291" s="44" t="n">
        <v>46262</v>
      </c>
      <c r="C4291" s="31" t="s">
        <v>59</v>
      </c>
      <c r="D4291" s="31" t="s">
        <v>65</v>
      </c>
      <c r="E4291" s="31" t="s">
        <v>52</v>
      </c>
      <c r="F4291" s="31" t="s">
        <v>120</v>
      </c>
      <c r="G4291" s="31" t="n">
        <v>95</v>
      </c>
      <c r="H4291" s="41" t="n">
        <v>49.6</v>
      </c>
      <c r="I4291" s="31" t="s">
        <v>64</v>
      </c>
      <c r="J4291" s="31" t="n">
        <v>3</v>
      </c>
      <c r="K4291" s="31" t="s">
        <v>153</v>
      </c>
      <c r="L4291" s="45" t="n">
        <f aca="false">DATE(YEAR(B4291),MONTH(B4291),1)</f>
        <v>46235</v>
      </c>
      <c r="M4291" s="31" t="n">
        <f aca="false">WEEKDAY(B4291,2)</f>
        <v>5</v>
      </c>
      <c r="N4291" s="31" t="str">
        <f aca="false">IF(G4291&lt;=INDEX(Assumptions!$B$15:$B$18,MATCH(E4291,Assumptions!$A$15:$A$18,0)),"Yes","No")</f>
        <v>Yes</v>
      </c>
      <c r="O4291" s="31" t="str">
        <f aca="false">IF(H4291="","Open",IF(H4291&lt;=INDEX(Assumptions!$C$15:$C$18,MATCH(E4291,Assumptions!$A$15:$A$18,0)),"Yes","No"))</f>
        <v>Yes</v>
      </c>
    </row>
    <row r="4292" customFormat="false" ht="15" hidden="false" customHeight="false" outlineLevel="0" collapsed="false">
      <c r="A4292" s="31" t="s">
        <v>4442</v>
      </c>
      <c r="B4292" s="44" t="n">
        <v>46262</v>
      </c>
      <c r="C4292" s="31" t="s">
        <v>58</v>
      </c>
      <c r="D4292" s="31" t="s">
        <v>65</v>
      </c>
      <c r="E4292" s="31" t="s">
        <v>50</v>
      </c>
      <c r="F4292" s="31" t="s">
        <v>119</v>
      </c>
      <c r="G4292" s="31" t="n">
        <v>8</v>
      </c>
      <c r="H4292" s="41" t="n">
        <v>7.7</v>
      </c>
      <c r="I4292" s="31" t="s">
        <v>149</v>
      </c>
      <c r="J4292" s="31"/>
      <c r="K4292" s="31" t="s">
        <v>150</v>
      </c>
      <c r="L4292" s="45" t="n">
        <f aca="false">DATE(YEAR(B4292),MONTH(B4292),1)</f>
        <v>46235</v>
      </c>
      <c r="M4292" s="31" t="n">
        <f aca="false">WEEKDAY(B4292,2)</f>
        <v>5</v>
      </c>
      <c r="N4292" s="31" t="str">
        <f aca="false">IF(G4292&lt;=INDEX(Assumptions!$B$15:$B$18,MATCH(E4292,Assumptions!$A$15:$A$18,0)),"Yes","No")</f>
        <v>Yes</v>
      </c>
      <c r="O4292" s="31" t="str">
        <f aca="false">IF(H4292="","Open",IF(H4292&lt;=INDEX(Assumptions!$C$15:$C$18,MATCH(E4292,Assumptions!$A$15:$A$18,0)),"Yes","No"))</f>
        <v>Yes</v>
      </c>
    </row>
    <row r="4293" customFormat="false" ht="15" hidden="false" customHeight="false" outlineLevel="0" collapsed="false">
      <c r="A4293" s="31" t="s">
        <v>4443</v>
      </c>
      <c r="B4293" s="44" t="n">
        <v>46262</v>
      </c>
      <c r="C4293" s="31" t="s">
        <v>60</v>
      </c>
      <c r="D4293" s="31" t="s">
        <v>65</v>
      </c>
      <c r="E4293" s="31" t="s">
        <v>50</v>
      </c>
      <c r="F4293" s="31" t="s">
        <v>123</v>
      </c>
      <c r="G4293" s="31" t="n">
        <v>5</v>
      </c>
      <c r="H4293" s="41" t="n">
        <v>2.9</v>
      </c>
      <c r="I4293" s="31" t="s">
        <v>149</v>
      </c>
      <c r="J4293" s="31" t="n">
        <v>4</v>
      </c>
      <c r="K4293" s="31" t="s">
        <v>150</v>
      </c>
      <c r="L4293" s="45" t="n">
        <f aca="false">DATE(YEAR(B4293),MONTH(B4293),1)</f>
        <v>46235</v>
      </c>
      <c r="M4293" s="31" t="n">
        <f aca="false">WEEKDAY(B4293,2)</f>
        <v>5</v>
      </c>
      <c r="N4293" s="31" t="str">
        <f aca="false">IF(G4293&lt;=INDEX(Assumptions!$B$15:$B$18,MATCH(E4293,Assumptions!$A$15:$A$18,0)),"Yes","No")</f>
        <v>Yes</v>
      </c>
      <c r="O4293" s="31" t="str">
        <f aca="false">IF(H4293="","Open",IF(H4293&lt;=INDEX(Assumptions!$C$15:$C$18,MATCH(E4293,Assumptions!$A$15:$A$18,0)),"Yes","No"))</f>
        <v>Yes</v>
      </c>
    </row>
    <row r="4294" customFormat="false" ht="15" hidden="false" customHeight="false" outlineLevel="0" collapsed="false">
      <c r="A4294" s="31" t="s">
        <v>4444</v>
      </c>
      <c r="B4294" s="44" t="n">
        <v>46262</v>
      </c>
      <c r="C4294" s="31" t="s">
        <v>57</v>
      </c>
      <c r="D4294" s="31" t="s">
        <v>65</v>
      </c>
      <c r="E4294" s="31" t="s">
        <v>51</v>
      </c>
      <c r="F4294" s="31" t="s">
        <v>137</v>
      </c>
      <c r="G4294" s="31" t="n">
        <v>9</v>
      </c>
      <c r="H4294" s="41" t="n">
        <v>15.7</v>
      </c>
      <c r="I4294" s="31" t="s">
        <v>149</v>
      </c>
      <c r="J4294" s="31" t="n">
        <v>4</v>
      </c>
      <c r="K4294" s="31" t="s">
        <v>150</v>
      </c>
      <c r="L4294" s="45" t="n">
        <f aca="false">DATE(YEAR(B4294),MONTH(B4294),1)</f>
        <v>46235</v>
      </c>
      <c r="M4294" s="31" t="n">
        <f aca="false">WEEKDAY(B4294,2)</f>
        <v>5</v>
      </c>
      <c r="N4294" s="31" t="str">
        <f aca="false">IF(G4294&lt;=INDEX(Assumptions!$B$15:$B$18,MATCH(E4294,Assumptions!$A$15:$A$18,0)),"Yes","No")</f>
        <v>Yes</v>
      </c>
      <c r="O4294" s="31" t="str">
        <f aca="false">IF(H4294="","Open",IF(H4294&lt;=INDEX(Assumptions!$C$15:$C$18,MATCH(E4294,Assumptions!$A$15:$A$18,0)),"Yes","No"))</f>
        <v>Yes</v>
      </c>
    </row>
    <row r="4295" customFormat="false" ht="15" hidden="false" customHeight="false" outlineLevel="0" collapsed="false">
      <c r="A4295" s="31" t="s">
        <v>4445</v>
      </c>
      <c r="B4295" s="44" t="n">
        <v>46262</v>
      </c>
      <c r="C4295" s="31" t="s">
        <v>59</v>
      </c>
      <c r="D4295" s="31" t="s">
        <v>65</v>
      </c>
      <c r="E4295" s="31" t="s">
        <v>51</v>
      </c>
      <c r="F4295" s="31" t="s">
        <v>121</v>
      </c>
      <c r="G4295" s="31" t="n">
        <v>140</v>
      </c>
      <c r="H4295" s="41" t="n">
        <v>26.7</v>
      </c>
      <c r="I4295" s="31" t="s">
        <v>149</v>
      </c>
      <c r="J4295" s="31"/>
      <c r="K4295" s="31" t="s">
        <v>150</v>
      </c>
      <c r="L4295" s="45" t="n">
        <f aca="false">DATE(YEAR(B4295),MONTH(B4295),1)</f>
        <v>46235</v>
      </c>
      <c r="M4295" s="31" t="n">
        <f aca="false">WEEKDAY(B4295,2)</f>
        <v>5</v>
      </c>
      <c r="N4295" s="31" t="str">
        <f aca="false">IF(G4295&lt;=INDEX(Assumptions!$B$15:$B$18,MATCH(E4295,Assumptions!$A$15:$A$18,0)),"Yes","No")</f>
        <v>No</v>
      </c>
      <c r="O4295" s="31" t="str">
        <f aca="false">IF(H4295="","Open",IF(H4295&lt;=INDEX(Assumptions!$C$15:$C$18,MATCH(E4295,Assumptions!$A$15:$A$18,0)),"Yes","No"))</f>
        <v>No</v>
      </c>
    </row>
    <row r="4296" customFormat="false" ht="15" hidden="false" customHeight="false" outlineLevel="0" collapsed="false">
      <c r="A4296" s="31" t="s">
        <v>4446</v>
      </c>
      <c r="B4296" s="44" t="n">
        <v>46262</v>
      </c>
      <c r="C4296" s="31" t="s">
        <v>58</v>
      </c>
      <c r="D4296" s="31" t="s">
        <v>67</v>
      </c>
      <c r="E4296" s="31" t="s">
        <v>51</v>
      </c>
      <c r="F4296" s="31" t="s">
        <v>130</v>
      </c>
      <c r="G4296" s="31" t="n">
        <v>13</v>
      </c>
      <c r="H4296" s="41" t="n">
        <v>39.4</v>
      </c>
      <c r="I4296" s="31" t="s">
        <v>64</v>
      </c>
      <c r="J4296" s="31"/>
      <c r="K4296" s="31" t="s">
        <v>150</v>
      </c>
      <c r="L4296" s="45" t="n">
        <f aca="false">DATE(YEAR(B4296),MONTH(B4296),1)</f>
        <v>46235</v>
      </c>
      <c r="M4296" s="31" t="n">
        <f aca="false">WEEKDAY(B4296,2)</f>
        <v>5</v>
      </c>
      <c r="N4296" s="31" t="str">
        <f aca="false">IF(G4296&lt;=INDEX(Assumptions!$B$15:$B$18,MATCH(E4296,Assumptions!$A$15:$A$18,0)),"Yes","No")</f>
        <v>Yes</v>
      </c>
      <c r="O4296" s="31" t="str">
        <f aca="false">IF(H4296="","Open",IF(H4296&lt;=INDEX(Assumptions!$C$15:$C$18,MATCH(E4296,Assumptions!$A$15:$A$18,0)),"Yes","No"))</f>
        <v>No</v>
      </c>
    </row>
    <row r="4297" customFormat="false" ht="15" hidden="false" customHeight="false" outlineLevel="0" collapsed="false">
      <c r="A4297" s="31" t="s">
        <v>4447</v>
      </c>
      <c r="B4297" s="44" t="n">
        <v>46262</v>
      </c>
      <c r="C4297" s="31" t="s">
        <v>58</v>
      </c>
      <c r="D4297" s="31" t="s">
        <v>66</v>
      </c>
      <c r="E4297" s="31" t="s">
        <v>51</v>
      </c>
      <c r="F4297" s="31" t="s">
        <v>117</v>
      </c>
      <c r="G4297" s="31" t="n">
        <v>7</v>
      </c>
      <c r="H4297" s="41" t="n">
        <v>7.8</v>
      </c>
      <c r="I4297" s="31" t="s">
        <v>149</v>
      </c>
      <c r="J4297" s="31" t="n">
        <v>5</v>
      </c>
      <c r="K4297" s="31" t="s">
        <v>150</v>
      </c>
      <c r="L4297" s="45" t="n">
        <f aca="false">DATE(YEAR(B4297),MONTH(B4297),1)</f>
        <v>46235</v>
      </c>
      <c r="M4297" s="31" t="n">
        <f aca="false">WEEKDAY(B4297,2)</f>
        <v>5</v>
      </c>
      <c r="N4297" s="31" t="str">
        <f aca="false">IF(G4297&lt;=INDEX(Assumptions!$B$15:$B$18,MATCH(E4297,Assumptions!$A$15:$A$18,0)),"Yes","No")</f>
        <v>Yes</v>
      </c>
      <c r="O4297" s="31" t="str">
        <f aca="false">IF(H4297="","Open",IF(H4297&lt;=INDEX(Assumptions!$C$15:$C$18,MATCH(E4297,Assumptions!$A$15:$A$18,0)),"Yes","No"))</f>
        <v>Yes</v>
      </c>
    </row>
    <row r="4298" customFormat="false" ht="15" hidden="false" customHeight="false" outlineLevel="0" collapsed="false">
      <c r="A4298" s="31" t="s">
        <v>4448</v>
      </c>
      <c r="B4298" s="44" t="n">
        <v>46262</v>
      </c>
      <c r="C4298" s="31" t="s">
        <v>57</v>
      </c>
      <c r="D4298" s="31" t="s">
        <v>67</v>
      </c>
      <c r="E4298" s="31" t="s">
        <v>51</v>
      </c>
      <c r="F4298" s="31" t="s">
        <v>130</v>
      </c>
      <c r="G4298" s="31" t="n">
        <v>1</v>
      </c>
      <c r="H4298" s="41" t="n">
        <v>11.2</v>
      </c>
      <c r="I4298" s="31" t="s">
        <v>149</v>
      </c>
      <c r="J4298" s="31" t="n">
        <v>4</v>
      </c>
      <c r="K4298" s="31" t="s">
        <v>150</v>
      </c>
      <c r="L4298" s="45" t="n">
        <f aca="false">DATE(YEAR(B4298),MONTH(B4298),1)</f>
        <v>46235</v>
      </c>
      <c r="M4298" s="31" t="n">
        <f aca="false">WEEKDAY(B4298,2)</f>
        <v>5</v>
      </c>
      <c r="N4298" s="31" t="str">
        <f aca="false">IF(G4298&lt;=INDEX(Assumptions!$B$15:$B$18,MATCH(E4298,Assumptions!$A$15:$A$18,0)),"Yes","No")</f>
        <v>Yes</v>
      </c>
      <c r="O4298" s="31" t="str">
        <f aca="false">IF(H4298="","Open",IF(H4298&lt;=INDEX(Assumptions!$C$15:$C$18,MATCH(E4298,Assumptions!$A$15:$A$18,0)),"Yes","No"))</f>
        <v>Yes</v>
      </c>
    </row>
    <row r="4299" customFormat="false" ht="15" hidden="false" customHeight="false" outlineLevel="0" collapsed="false">
      <c r="A4299" s="31" t="s">
        <v>4449</v>
      </c>
      <c r="B4299" s="44" t="n">
        <v>46262</v>
      </c>
      <c r="C4299" s="31" t="s">
        <v>59</v>
      </c>
      <c r="D4299" s="31" t="s">
        <v>69</v>
      </c>
      <c r="E4299" s="31" t="s">
        <v>51</v>
      </c>
      <c r="F4299" s="31" t="s">
        <v>124</v>
      </c>
      <c r="G4299" s="31" t="n">
        <v>305</v>
      </c>
      <c r="H4299" s="41" t="n">
        <v>11.1</v>
      </c>
      <c r="I4299" s="31" t="s">
        <v>149</v>
      </c>
      <c r="J4299" s="31" t="n">
        <v>5</v>
      </c>
      <c r="K4299" s="31" t="s">
        <v>150</v>
      </c>
      <c r="L4299" s="45" t="n">
        <f aca="false">DATE(YEAR(B4299),MONTH(B4299),1)</f>
        <v>46235</v>
      </c>
      <c r="M4299" s="31" t="n">
        <f aca="false">WEEKDAY(B4299,2)</f>
        <v>5</v>
      </c>
      <c r="N4299" s="31" t="str">
        <f aca="false">IF(G4299&lt;=INDEX(Assumptions!$B$15:$B$18,MATCH(E4299,Assumptions!$A$15:$A$18,0)),"Yes","No")</f>
        <v>No</v>
      </c>
      <c r="O4299" s="31" t="str">
        <f aca="false">IF(H4299="","Open",IF(H4299&lt;=INDEX(Assumptions!$C$15:$C$18,MATCH(E4299,Assumptions!$A$15:$A$18,0)),"Yes","No"))</f>
        <v>Yes</v>
      </c>
    </row>
    <row r="4300" customFormat="false" ht="15" hidden="false" customHeight="false" outlineLevel="0" collapsed="false">
      <c r="A4300" s="31" t="s">
        <v>4450</v>
      </c>
      <c r="B4300" s="44" t="n">
        <v>46262</v>
      </c>
      <c r="C4300" s="31" t="s">
        <v>58</v>
      </c>
      <c r="D4300" s="31" t="s">
        <v>68</v>
      </c>
      <c r="E4300" s="31" t="s">
        <v>52</v>
      </c>
      <c r="F4300" s="31" t="s">
        <v>124</v>
      </c>
      <c r="G4300" s="31" t="n">
        <v>8</v>
      </c>
      <c r="H4300" s="41" t="n">
        <v>5.7</v>
      </c>
      <c r="I4300" s="31" t="s">
        <v>149</v>
      </c>
      <c r="J4300" s="31" t="n">
        <v>5</v>
      </c>
      <c r="K4300" s="31" t="s">
        <v>150</v>
      </c>
      <c r="L4300" s="45" t="n">
        <f aca="false">DATE(YEAR(B4300),MONTH(B4300),1)</f>
        <v>46235</v>
      </c>
      <c r="M4300" s="31" t="n">
        <f aca="false">WEEKDAY(B4300,2)</f>
        <v>5</v>
      </c>
      <c r="N4300" s="31" t="str">
        <f aca="false">IF(G4300&lt;=INDEX(Assumptions!$B$15:$B$18,MATCH(E4300,Assumptions!$A$15:$A$18,0)),"Yes","No")</f>
        <v>Yes</v>
      </c>
      <c r="O4300" s="31" t="str">
        <f aca="false">IF(H4300="","Open",IF(H4300&lt;=INDEX(Assumptions!$C$15:$C$18,MATCH(E4300,Assumptions!$A$15:$A$18,0)),"Yes","No"))</f>
        <v>Yes</v>
      </c>
    </row>
    <row r="4301" customFormat="false" ht="15" hidden="false" customHeight="false" outlineLevel="0" collapsed="false">
      <c r="A4301" s="31" t="s">
        <v>4451</v>
      </c>
      <c r="B4301" s="44" t="n">
        <v>46262</v>
      </c>
      <c r="C4301" s="31" t="s">
        <v>57</v>
      </c>
      <c r="D4301" s="31" t="s">
        <v>66</v>
      </c>
      <c r="E4301" s="31" t="s">
        <v>51</v>
      </c>
      <c r="F4301" s="31" t="s">
        <v>131</v>
      </c>
      <c r="G4301" s="31" t="n">
        <v>1</v>
      </c>
      <c r="H4301" s="41" t="n">
        <v>0.7</v>
      </c>
      <c r="I4301" s="31" t="s">
        <v>149</v>
      </c>
      <c r="J4301" s="31"/>
      <c r="K4301" s="31" t="s">
        <v>150</v>
      </c>
      <c r="L4301" s="45" t="n">
        <f aca="false">DATE(YEAR(B4301),MONTH(B4301),1)</f>
        <v>46235</v>
      </c>
      <c r="M4301" s="31" t="n">
        <f aca="false">WEEKDAY(B4301,2)</f>
        <v>5</v>
      </c>
      <c r="N4301" s="31" t="str">
        <f aca="false">IF(G4301&lt;=INDEX(Assumptions!$B$15:$B$18,MATCH(E4301,Assumptions!$A$15:$A$18,0)),"Yes","No")</f>
        <v>Yes</v>
      </c>
      <c r="O4301" s="31" t="str">
        <f aca="false">IF(H4301="","Open",IF(H4301&lt;=INDEX(Assumptions!$C$15:$C$18,MATCH(E4301,Assumptions!$A$15:$A$18,0)),"Yes","No"))</f>
        <v>Yes</v>
      </c>
    </row>
    <row r="4302" customFormat="false" ht="15" hidden="false" customHeight="false" outlineLevel="0" collapsed="false">
      <c r="A4302" s="31" t="s">
        <v>4452</v>
      </c>
      <c r="B4302" s="44" t="n">
        <v>46262</v>
      </c>
      <c r="C4302" s="31" t="s">
        <v>60</v>
      </c>
      <c r="D4302" s="31" t="s">
        <v>69</v>
      </c>
      <c r="E4302" s="31" t="s">
        <v>51</v>
      </c>
      <c r="F4302" s="31" t="s">
        <v>134</v>
      </c>
      <c r="G4302" s="31" t="n">
        <v>3</v>
      </c>
      <c r="H4302" s="41" t="n">
        <v>19.8</v>
      </c>
      <c r="I4302" s="31" t="s">
        <v>149</v>
      </c>
      <c r="J4302" s="31" t="n">
        <v>5</v>
      </c>
      <c r="K4302" s="31" t="s">
        <v>153</v>
      </c>
      <c r="L4302" s="45" t="n">
        <f aca="false">DATE(YEAR(B4302),MONTH(B4302),1)</f>
        <v>46235</v>
      </c>
      <c r="M4302" s="31" t="n">
        <f aca="false">WEEKDAY(B4302,2)</f>
        <v>5</v>
      </c>
      <c r="N4302" s="31" t="str">
        <f aca="false">IF(G4302&lt;=INDEX(Assumptions!$B$15:$B$18,MATCH(E4302,Assumptions!$A$15:$A$18,0)),"Yes","No")</f>
        <v>Yes</v>
      </c>
      <c r="O4302" s="31" t="str">
        <f aca="false">IF(H4302="","Open",IF(H4302&lt;=INDEX(Assumptions!$C$15:$C$18,MATCH(E4302,Assumptions!$A$15:$A$18,0)),"Yes","No"))</f>
        <v>Yes</v>
      </c>
    </row>
    <row r="4303" customFormat="false" ht="15" hidden="false" customHeight="false" outlineLevel="0" collapsed="false">
      <c r="A4303" s="31" t="s">
        <v>4453</v>
      </c>
      <c r="B4303" s="44" t="n">
        <v>46262</v>
      </c>
      <c r="C4303" s="31" t="s">
        <v>58</v>
      </c>
      <c r="D4303" s="31" t="s">
        <v>65</v>
      </c>
      <c r="E4303" s="31" t="s">
        <v>52</v>
      </c>
      <c r="F4303" s="31" t="s">
        <v>127</v>
      </c>
      <c r="G4303" s="31" t="n">
        <v>5</v>
      </c>
      <c r="H4303" s="41" t="n">
        <v>18</v>
      </c>
      <c r="I4303" s="31" t="s">
        <v>149</v>
      </c>
      <c r="J4303" s="31"/>
      <c r="K4303" s="31" t="s">
        <v>150</v>
      </c>
      <c r="L4303" s="45" t="n">
        <f aca="false">DATE(YEAR(B4303),MONTH(B4303),1)</f>
        <v>46235</v>
      </c>
      <c r="M4303" s="31" t="n">
        <f aca="false">WEEKDAY(B4303,2)</f>
        <v>5</v>
      </c>
      <c r="N4303" s="31" t="str">
        <f aca="false">IF(G4303&lt;=INDEX(Assumptions!$B$15:$B$18,MATCH(E4303,Assumptions!$A$15:$A$18,0)),"Yes","No")</f>
        <v>Yes</v>
      </c>
      <c r="O4303" s="31" t="str">
        <f aca="false">IF(H4303="","Open",IF(H4303&lt;=INDEX(Assumptions!$C$15:$C$18,MATCH(E4303,Assumptions!$A$15:$A$18,0)),"Yes","No"))</f>
        <v>Yes</v>
      </c>
    </row>
    <row r="4304" customFormat="false" ht="15" hidden="false" customHeight="false" outlineLevel="0" collapsed="false">
      <c r="A4304" s="31" t="s">
        <v>4454</v>
      </c>
      <c r="B4304" s="44" t="n">
        <v>46262</v>
      </c>
      <c r="C4304" s="31" t="s">
        <v>59</v>
      </c>
      <c r="D4304" s="31" t="s">
        <v>65</v>
      </c>
      <c r="E4304" s="31" t="s">
        <v>51</v>
      </c>
      <c r="F4304" s="31" t="s">
        <v>119</v>
      </c>
      <c r="G4304" s="31" t="n">
        <v>58</v>
      </c>
      <c r="H4304" s="41" t="n">
        <v>4.8</v>
      </c>
      <c r="I4304" s="31" t="s">
        <v>149</v>
      </c>
      <c r="J4304" s="31"/>
      <c r="K4304" s="31" t="s">
        <v>150</v>
      </c>
      <c r="L4304" s="45" t="n">
        <f aca="false">DATE(YEAR(B4304),MONTH(B4304),1)</f>
        <v>46235</v>
      </c>
      <c r="M4304" s="31" t="n">
        <f aca="false">WEEKDAY(B4304,2)</f>
        <v>5</v>
      </c>
      <c r="N4304" s="31" t="str">
        <f aca="false">IF(G4304&lt;=INDEX(Assumptions!$B$15:$B$18,MATCH(E4304,Assumptions!$A$15:$A$18,0)),"Yes","No")</f>
        <v>Yes</v>
      </c>
      <c r="O4304" s="31" t="str">
        <f aca="false">IF(H4304="","Open",IF(H4304&lt;=INDEX(Assumptions!$C$15:$C$18,MATCH(E4304,Assumptions!$A$15:$A$18,0)),"Yes","No"))</f>
        <v>Yes</v>
      </c>
    </row>
    <row r="4305" customFormat="false" ht="15" hidden="false" customHeight="false" outlineLevel="0" collapsed="false">
      <c r="A4305" s="31" t="s">
        <v>4455</v>
      </c>
      <c r="B4305" s="44" t="n">
        <v>46262</v>
      </c>
      <c r="C4305" s="31" t="s">
        <v>57</v>
      </c>
      <c r="D4305" s="31" t="s">
        <v>68</v>
      </c>
      <c r="E4305" s="31" t="s">
        <v>50</v>
      </c>
      <c r="F4305" s="31" t="s">
        <v>126</v>
      </c>
      <c r="G4305" s="31" t="n">
        <v>3</v>
      </c>
      <c r="H4305" s="41" t="n">
        <v>0.9</v>
      </c>
      <c r="I4305" s="31" t="s">
        <v>149</v>
      </c>
      <c r="J4305" s="31"/>
      <c r="K4305" s="31" t="s">
        <v>150</v>
      </c>
      <c r="L4305" s="45" t="n">
        <f aca="false">DATE(YEAR(B4305),MONTH(B4305),1)</f>
        <v>46235</v>
      </c>
      <c r="M4305" s="31" t="n">
        <f aca="false">WEEKDAY(B4305,2)</f>
        <v>5</v>
      </c>
      <c r="N4305" s="31" t="str">
        <f aca="false">IF(G4305&lt;=INDEX(Assumptions!$B$15:$B$18,MATCH(E4305,Assumptions!$A$15:$A$18,0)),"Yes","No")</f>
        <v>Yes</v>
      </c>
      <c r="O4305" s="31" t="str">
        <f aca="false">IF(H4305="","Open",IF(H4305&lt;=INDEX(Assumptions!$C$15:$C$18,MATCH(E4305,Assumptions!$A$15:$A$18,0)),"Yes","No"))</f>
        <v>Yes</v>
      </c>
    </row>
    <row r="4306" customFormat="false" ht="15" hidden="false" customHeight="false" outlineLevel="0" collapsed="false">
      <c r="A4306" s="31" t="s">
        <v>4456</v>
      </c>
      <c r="B4306" s="44" t="n">
        <v>46262</v>
      </c>
      <c r="C4306" s="31" t="s">
        <v>57</v>
      </c>
      <c r="D4306" s="31" t="s">
        <v>67</v>
      </c>
      <c r="E4306" s="31" t="s">
        <v>52</v>
      </c>
      <c r="F4306" s="31" t="s">
        <v>136</v>
      </c>
      <c r="G4306" s="31" t="n">
        <v>2</v>
      </c>
      <c r="H4306" s="41" t="n">
        <v>18.2</v>
      </c>
      <c r="I4306" s="31" t="s">
        <v>149</v>
      </c>
      <c r="J4306" s="31"/>
      <c r="K4306" s="31" t="s">
        <v>150</v>
      </c>
      <c r="L4306" s="45" t="n">
        <f aca="false">DATE(YEAR(B4306),MONTH(B4306),1)</f>
        <v>46235</v>
      </c>
      <c r="M4306" s="31" t="n">
        <f aca="false">WEEKDAY(B4306,2)</f>
        <v>5</v>
      </c>
      <c r="N4306" s="31" t="str">
        <f aca="false">IF(G4306&lt;=INDEX(Assumptions!$B$15:$B$18,MATCH(E4306,Assumptions!$A$15:$A$18,0)),"Yes","No")</f>
        <v>Yes</v>
      </c>
      <c r="O4306" s="31" t="str">
        <f aca="false">IF(H4306="","Open",IF(H4306&lt;=INDEX(Assumptions!$C$15:$C$18,MATCH(E4306,Assumptions!$A$15:$A$18,0)),"Yes","No"))</f>
        <v>Yes</v>
      </c>
    </row>
    <row r="4307" customFormat="false" ht="15" hidden="false" customHeight="false" outlineLevel="0" collapsed="false">
      <c r="A4307" s="31" t="s">
        <v>4457</v>
      </c>
      <c r="B4307" s="44" t="n">
        <v>46262</v>
      </c>
      <c r="C4307" s="31" t="s">
        <v>59</v>
      </c>
      <c r="D4307" s="31" t="s">
        <v>65</v>
      </c>
      <c r="E4307" s="31" t="s">
        <v>52</v>
      </c>
      <c r="F4307" s="31" t="s">
        <v>124</v>
      </c>
      <c r="G4307" s="31" t="n">
        <v>63</v>
      </c>
      <c r="H4307" s="41" t="n">
        <v>7</v>
      </c>
      <c r="I4307" s="31" t="s">
        <v>149</v>
      </c>
      <c r="J4307" s="31"/>
      <c r="K4307" s="31" t="s">
        <v>153</v>
      </c>
      <c r="L4307" s="45" t="n">
        <f aca="false">DATE(YEAR(B4307),MONTH(B4307),1)</f>
        <v>46235</v>
      </c>
      <c r="M4307" s="31" t="n">
        <f aca="false">WEEKDAY(B4307,2)</f>
        <v>5</v>
      </c>
      <c r="N4307" s="31" t="str">
        <f aca="false">IF(G4307&lt;=INDEX(Assumptions!$B$15:$B$18,MATCH(E4307,Assumptions!$A$15:$A$18,0)),"Yes","No")</f>
        <v>Yes</v>
      </c>
      <c r="O4307" s="31" t="str">
        <f aca="false">IF(H4307="","Open",IF(H4307&lt;=INDEX(Assumptions!$C$15:$C$18,MATCH(E4307,Assumptions!$A$15:$A$18,0)),"Yes","No"))</f>
        <v>Yes</v>
      </c>
    </row>
    <row r="4308" customFormat="false" ht="15" hidden="false" customHeight="false" outlineLevel="0" collapsed="false">
      <c r="A4308" s="31" t="s">
        <v>4458</v>
      </c>
      <c r="B4308" s="44" t="n">
        <v>46262</v>
      </c>
      <c r="C4308" s="31" t="s">
        <v>58</v>
      </c>
      <c r="D4308" s="31" t="s">
        <v>65</v>
      </c>
      <c r="E4308" s="31" t="s">
        <v>52</v>
      </c>
      <c r="F4308" s="31" t="s">
        <v>130</v>
      </c>
      <c r="G4308" s="31" t="n">
        <v>6</v>
      </c>
      <c r="H4308" s="41" t="n">
        <v>10.1</v>
      </c>
      <c r="I4308" s="31" t="s">
        <v>149</v>
      </c>
      <c r="J4308" s="31" t="n">
        <v>4</v>
      </c>
      <c r="K4308" s="31" t="s">
        <v>150</v>
      </c>
      <c r="L4308" s="45" t="n">
        <f aca="false">DATE(YEAR(B4308),MONTH(B4308),1)</f>
        <v>46235</v>
      </c>
      <c r="M4308" s="31" t="n">
        <f aca="false">WEEKDAY(B4308,2)</f>
        <v>5</v>
      </c>
      <c r="N4308" s="31" t="str">
        <f aca="false">IF(G4308&lt;=INDEX(Assumptions!$B$15:$B$18,MATCH(E4308,Assumptions!$A$15:$A$18,0)),"Yes","No")</f>
        <v>Yes</v>
      </c>
      <c r="O4308" s="31" t="str">
        <f aca="false">IF(H4308="","Open",IF(H4308&lt;=INDEX(Assumptions!$C$15:$C$18,MATCH(E4308,Assumptions!$A$15:$A$18,0)),"Yes","No"))</f>
        <v>Yes</v>
      </c>
    </row>
    <row r="4309" customFormat="false" ht="15" hidden="false" customHeight="false" outlineLevel="0" collapsed="false">
      <c r="A4309" s="31" t="s">
        <v>4459</v>
      </c>
      <c r="B4309" s="44" t="n">
        <v>46262</v>
      </c>
      <c r="C4309" s="31" t="s">
        <v>60</v>
      </c>
      <c r="D4309" s="31" t="s">
        <v>68</v>
      </c>
      <c r="E4309" s="31" t="s">
        <v>52</v>
      </c>
      <c r="F4309" s="31" t="s">
        <v>136</v>
      </c>
      <c r="G4309" s="31" t="n">
        <v>5</v>
      </c>
      <c r="H4309" s="41" t="n">
        <v>14</v>
      </c>
      <c r="I4309" s="31" t="s">
        <v>149</v>
      </c>
      <c r="J4309" s="31"/>
      <c r="K4309" s="31" t="s">
        <v>150</v>
      </c>
      <c r="L4309" s="45" t="n">
        <f aca="false">DATE(YEAR(B4309),MONTH(B4309),1)</f>
        <v>46235</v>
      </c>
      <c r="M4309" s="31" t="n">
        <f aca="false">WEEKDAY(B4309,2)</f>
        <v>5</v>
      </c>
      <c r="N4309" s="31" t="str">
        <f aca="false">IF(G4309&lt;=INDEX(Assumptions!$B$15:$B$18,MATCH(E4309,Assumptions!$A$15:$A$18,0)),"Yes","No")</f>
        <v>Yes</v>
      </c>
      <c r="O4309" s="31" t="str">
        <f aca="false">IF(H4309="","Open",IF(H4309&lt;=INDEX(Assumptions!$C$15:$C$18,MATCH(E4309,Assumptions!$A$15:$A$18,0)),"Yes","No"))</f>
        <v>Yes</v>
      </c>
    </row>
    <row r="4310" customFormat="false" ht="15" hidden="false" customHeight="false" outlineLevel="0" collapsed="false">
      <c r="A4310" s="31" t="s">
        <v>4460</v>
      </c>
      <c r="B4310" s="44" t="n">
        <v>46262</v>
      </c>
      <c r="C4310" s="31" t="s">
        <v>58</v>
      </c>
      <c r="D4310" s="31" t="s">
        <v>68</v>
      </c>
      <c r="E4310" s="31" t="s">
        <v>50</v>
      </c>
      <c r="F4310" s="31" t="s">
        <v>137</v>
      </c>
      <c r="G4310" s="31" t="n">
        <v>15</v>
      </c>
      <c r="H4310" s="41" t="n">
        <v>1.1</v>
      </c>
      <c r="I4310" s="31" t="s">
        <v>149</v>
      </c>
      <c r="J4310" s="31"/>
      <c r="K4310" s="31" t="s">
        <v>150</v>
      </c>
      <c r="L4310" s="45" t="n">
        <f aca="false">DATE(YEAR(B4310),MONTH(B4310),1)</f>
        <v>46235</v>
      </c>
      <c r="M4310" s="31" t="n">
        <f aca="false">WEEKDAY(B4310,2)</f>
        <v>5</v>
      </c>
      <c r="N4310" s="31" t="str">
        <f aca="false">IF(G4310&lt;=INDEX(Assumptions!$B$15:$B$18,MATCH(E4310,Assumptions!$A$15:$A$18,0)),"Yes","No")</f>
        <v>Yes</v>
      </c>
      <c r="O4310" s="31" t="str">
        <f aca="false">IF(H4310="","Open",IF(H4310&lt;=INDEX(Assumptions!$C$15:$C$18,MATCH(E4310,Assumptions!$A$15:$A$18,0)),"Yes","No"))</f>
        <v>Yes</v>
      </c>
    </row>
    <row r="4311" customFormat="false" ht="15" hidden="false" customHeight="false" outlineLevel="0" collapsed="false">
      <c r="A4311" s="31" t="s">
        <v>4461</v>
      </c>
      <c r="B4311" s="44" t="n">
        <v>46262</v>
      </c>
      <c r="C4311" s="31" t="s">
        <v>58</v>
      </c>
      <c r="D4311" s="31" t="s">
        <v>65</v>
      </c>
      <c r="E4311" s="31" t="s">
        <v>52</v>
      </c>
      <c r="F4311" s="31" t="s">
        <v>137</v>
      </c>
      <c r="G4311" s="31" t="n">
        <v>34</v>
      </c>
      <c r="H4311" s="41" t="n">
        <v>16.6</v>
      </c>
      <c r="I4311" s="31" t="s">
        <v>149</v>
      </c>
      <c r="J4311" s="31"/>
      <c r="K4311" s="31" t="s">
        <v>150</v>
      </c>
      <c r="L4311" s="45" t="n">
        <f aca="false">DATE(YEAR(B4311),MONTH(B4311),1)</f>
        <v>46235</v>
      </c>
      <c r="M4311" s="31" t="n">
        <f aca="false">WEEKDAY(B4311,2)</f>
        <v>5</v>
      </c>
      <c r="N4311" s="31" t="str">
        <f aca="false">IF(G4311&lt;=INDEX(Assumptions!$B$15:$B$18,MATCH(E4311,Assumptions!$A$15:$A$18,0)),"Yes","No")</f>
        <v>Yes</v>
      </c>
      <c r="O4311" s="31" t="str">
        <f aca="false">IF(H4311="","Open",IF(H4311&lt;=INDEX(Assumptions!$C$15:$C$18,MATCH(E4311,Assumptions!$A$15:$A$18,0)),"Yes","No"))</f>
        <v>Yes</v>
      </c>
    </row>
    <row r="4312" customFormat="false" ht="15" hidden="false" customHeight="false" outlineLevel="0" collapsed="false">
      <c r="A4312" s="31" t="s">
        <v>4462</v>
      </c>
      <c r="B4312" s="44" t="n">
        <v>46262</v>
      </c>
      <c r="C4312" s="31" t="s">
        <v>60</v>
      </c>
      <c r="D4312" s="31" t="s">
        <v>65</v>
      </c>
      <c r="E4312" s="31" t="s">
        <v>51</v>
      </c>
      <c r="F4312" s="31" t="s">
        <v>135</v>
      </c>
      <c r="G4312" s="31" t="n">
        <v>4</v>
      </c>
      <c r="H4312" s="41" t="n">
        <v>3.3</v>
      </c>
      <c r="I4312" s="31" t="s">
        <v>149</v>
      </c>
      <c r="J4312" s="31" t="n">
        <v>5</v>
      </c>
      <c r="K4312" s="31" t="s">
        <v>150</v>
      </c>
      <c r="L4312" s="45" t="n">
        <f aca="false">DATE(YEAR(B4312),MONTH(B4312),1)</f>
        <v>46235</v>
      </c>
      <c r="M4312" s="31" t="n">
        <f aca="false">WEEKDAY(B4312,2)</f>
        <v>5</v>
      </c>
      <c r="N4312" s="31" t="str">
        <f aca="false">IF(G4312&lt;=INDEX(Assumptions!$B$15:$B$18,MATCH(E4312,Assumptions!$A$15:$A$18,0)),"Yes","No")</f>
        <v>Yes</v>
      </c>
      <c r="O4312" s="31" t="str">
        <f aca="false">IF(H4312="","Open",IF(H4312&lt;=INDEX(Assumptions!$C$15:$C$18,MATCH(E4312,Assumptions!$A$15:$A$18,0)),"Yes","No"))</f>
        <v>Yes</v>
      </c>
    </row>
    <row r="4313" customFormat="false" ht="15" hidden="false" customHeight="false" outlineLevel="0" collapsed="false">
      <c r="A4313" s="31" t="s">
        <v>4463</v>
      </c>
      <c r="B4313" s="44" t="n">
        <v>46262</v>
      </c>
      <c r="C4313" s="31" t="s">
        <v>58</v>
      </c>
      <c r="D4313" s="31" t="s">
        <v>66</v>
      </c>
      <c r="E4313" s="31" t="s">
        <v>51</v>
      </c>
      <c r="F4313" s="31" t="s">
        <v>126</v>
      </c>
      <c r="G4313" s="31" t="n">
        <v>9</v>
      </c>
      <c r="H4313" s="41" t="n">
        <v>3</v>
      </c>
      <c r="I4313" s="31" t="s">
        <v>64</v>
      </c>
      <c r="J4313" s="31" t="n">
        <v>5</v>
      </c>
      <c r="K4313" s="31" t="s">
        <v>150</v>
      </c>
      <c r="L4313" s="45" t="n">
        <f aca="false">DATE(YEAR(B4313),MONTH(B4313),1)</f>
        <v>46235</v>
      </c>
      <c r="M4313" s="31" t="n">
        <f aca="false">WEEKDAY(B4313,2)</f>
        <v>5</v>
      </c>
      <c r="N4313" s="31" t="str">
        <f aca="false">IF(G4313&lt;=INDEX(Assumptions!$B$15:$B$18,MATCH(E4313,Assumptions!$A$15:$A$18,0)),"Yes","No")</f>
        <v>Yes</v>
      </c>
      <c r="O4313" s="31" t="str">
        <f aca="false">IF(H4313="","Open",IF(H4313&lt;=INDEX(Assumptions!$C$15:$C$18,MATCH(E4313,Assumptions!$A$15:$A$18,0)),"Yes","No"))</f>
        <v>Yes</v>
      </c>
    </row>
    <row r="4314" customFormat="false" ht="15" hidden="false" customHeight="false" outlineLevel="0" collapsed="false">
      <c r="A4314" s="31" t="s">
        <v>4464</v>
      </c>
      <c r="B4314" s="44" t="n">
        <v>46262</v>
      </c>
      <c r="C4314" s="31" t="s">
        <v>57</v>
      </c>
      <c r="D4314" s="31" t="s">
        <v>66</v>
      </c>
      <c r="E4314" s="31" t="s">
        <v>51</v>
      </c>
      <c r="F4314" s="31" t="s">
        <v>123</v>
      </c>
      <c r="G4314" s="31" t="n">
        <v>5</v>
      </c>
      <c r="H4314" s="41" t="n">
        <v>7.9</v>
      </c>
      <c r="I4314" s="31" t="s">
        <v>149</v>
      </c>
      <c r="J4314" s="31"/>
      <c r="K4314" s="31" t="s">
        <v>150</v>
      </c>
      <c r="L4314" s="45" t="n">
        <f aca="false">DATE(YEAR(B4314),MONTH(B4314),1)</f>
        <v>46235</v>
      </c>
      <c r="M4314" s="31" t="n">
        <f aca="false">WEEKDAY(B4314,2)</f>
        <v>5</v>
      </c>
      <c r="N4314" s="31" t="str">
        <f aca="false">IF(G4314&lt;=INDEX(Assumptions!$B$15:$B$18,MATCH(E4314,Assumptions!$A$15:$A$18,0)),"Yes","No")</f>
        <v>Yes</v>
      </c>
      <c r="O4314" s="31" t="str">
        <f aca="false">IF(H4314="","Open",IF(H4314&lt;=INDEX(Assumptions!$C$15:$C$18,MATCH(E4314,Assumptions!$A$15:$A$18,0)),"Yes","No"))</f>
        <v>Yes</v>
      </c>
    </row>
    <row r="4315" customFormat="false" ht="15" hidden="false" customHeight="false" outlineLevel="0" collapsed="false">
      <c r="A4315" s="31" t="s">
        <v>4465</v>
      </c>
      <c r="B4315" s="44" t="n">
        <v>46262</v>
      </c>
      <c r="C4315" s="31" t="s">
        <v>58</v>
      </c>
      <c r="D4315" s="31" t="s">
        <v>66</v>
      </c>
      <c r="E4315" s="31" t="s">
        <v>51</v>
      </c>
      <c r="F4315" s="31" t="s">
        <v>126</v>
      </c>
      <c r="G4315" s="31" t="n">
        <v>7</v>
      </c>
      <c r="H4315" s="41" t="n">
        <v>33.1</v>
      </c>
      <c r="I4315" s="31" t="s">
        <v>149</v>
      </c>
      <c r="J4315" s="31"/>
      <c r="K4315" s="31" t="s">
        <v>150</v>
      </c>
      <c r="L4315" s="45" t="n">
        <f aca="false">DATE(YEAR(B4315),MONTH(B4315),1)</f>
        <v>46235</v>
      </c>
      <c r="M4315" s="31" t="n">
        <f aca="false">WEEKDAY(B4315,2)</f>
        <v>5</v>
      </c>
      <c r="N4315" s="31" t="str">
        <f aca="false">IF(G4315&lt;=INDEX(Assumptions!$B$15:$B$18,MATCH(E4315,Assumptions!$A$15:$A$18,0)),"Yes","No")</f>
        <v>Yes</v>
      </c>
      <c r="O4315" s="31" t="str">
        <f aca="false">IF(H4315="","Open",IF(H4315&lt;=INDEX(Assumptions!$C$15:$C$18,MATCH(E4315,Assumptions!$A$15:$A$18,0)),"Yes","No"))</f>
        <v>No</v>
      </c>
    </row>
    <row r="4316" customFormat="false" ht="15" hidden="false" customHeight="false" outlineLevel="0" collapsed="false">
      <c r="A4316" s="31" t="s">
        <v>4466</v>
      </c>
      <c r="B4316" s="44" t="n">
        <v>46262</v>
      </c>
      <c r="C4316" s="31" t="s">
        <v>59</v>
      </c>
      <c r="D4316" s="31" t="s">
        <v>65</v>
      </c>
      <c r="E4316" s="31" t="s">
        <v>51</v>
      </c>
      <c r="F4316" s="31" t="s">
        <v>136</v>
      </c>
      <c r="G4316" s="31" t="n">
        <v>54</v>
      </c>
      <c r="H4316" s="41" t="n">
        <v>5.7</v>
      </c>
      <c r="I4316" s="31" t="s">
        <v>149</v>
      </c>
      <c r="J4316" s="31"/>
      <c r="K4316" s="31" t="s">
        <v>150</v>
      </c>
      <c r="L4316" s="45" t="n">
        <f aca="false">DATE(YEAR(B4316),MONTH(B4316),1)</f>
        <v>46235</v>
      </c>
      <c r="M4316" s="31" t="n">
        <f aca="false">WEEKDAY(B4316,2)</f>
        <v>5</v>
      </c>
      <c r="N4316" s="31" t="str">
        <f aca="false">IF(G4316&lt;=INDEX(Assumptions!$B$15:$B$18,MATCH(E4316,Assumptions!$A$15:$A$18,0)),"Yes","No")</f>
        <v>Yes</v>
      </c>
      <c r="O4316" s="31" t="str">
        <f aca="false">IF(H4316="","Open",IF(H4316&lt;=INDEX(Assumptions!$C$15:$C$18,MATCH(E4316,Assumptions!$A$15:$A$18,0)),"Yes","No"))</f>
        <v>Yes</v>
      </c>
    </row>
    <row r="4317" customFormat="false" ht="15" hidden="false" customHeight="false" outlineLevel="0" collapsed="false">
      <c r="A4317" s="31" t="s">
        <v>4467</v>
      </c>
      <c r="B4317" s="44" t="n">
        <v>46262</v>
      </c>
      <c r="C4317" s="31" t="s">
        <v>58</v>
      </c>
      <c r="D4317" s="31" t="s">
        <v>65</v>
      </c>
      <c r="E4317" s="31" t="s">
        <v>49</v>
      </c>
      <c r="F4317" s="31" t="s">
        <v>130</v>
      </c>
      <c r="G4317" s="31" t="n">
        <v>7</v>
      </c>
      <c r="H4317" s="41" t="n">
        <v>3.3</v>
      </c>
      <c r="I4317" s="31" t="s">
        <v>149</v>
      </c>
      <c r="J4317" s="31" t="n">
        <v>4</v>
      </c>
      <c r="K4317" s="31" t="s">
        <v>150</v>
      </c>
      <c r="L4317" s="45" t="n">
        <f aca="false">DATE(YEAR(B4317),MONTH(B4317),1)</f>
        <v>46235</v>
      </c>
      <c r="M4317" s="31" t="n">
        <f aca="false">WEEKDAY(B4317,2)</f>
        <v>5</v>
      </c>
      <c r="N4317" s="31" t="str">
        <f aca="false">IF(G4317&lt;=INDEX(Assumptions!$B$15:$B$18,MATCH(E4317,Assumptions!$A$15:$A$18,0)),"Yes","No")</f>
        <v>Yes</v>
      </c>
      <c r="O4317" s="31" t="str">
        <f aca="false">IF(H4317="","Open",IF(H4317&lt;=INDEX(Assumptions!$C$15:$C$18,MATCH(E4317,Assumptions!$A$15:$A$18,0)),"Yes","No"))</f>
        <v>Yes</v>
      </c>
    </row>
    <row r="4318" customFormat="false" ht="15" hidden="false" customHeight="false" outlineLevel="0" collapsed="false">
      <c r="A4318" s="31" t="s">
        <v>4468</v>
      </c>
      <c r="B4318" s="44" t="n">
        <v>46262</v>
      </c>
      <c r="C4318" s="31" t="s">
        <v>59</v>
      </c>
      <c r="D4318" s="31" t="s">
        <v>69</v>
      </c>
      <c r="E4318" s="31" t="s">
        <v>51</v>
      </c>
      <c r="F4318" s="31" t="s">
        <v>126</v>
      </c>
      <c r="G4318" s="31" t="n">
        <v>172</v>
      </c>
      <c r="H4318" s="41" t="n">
        <v>28.7</v>
      </c>
      <c r="I4318" s="31" t="s">
        <v>64</v>
      </c>
      <c r="J4318" s="31"/>
      <c r="K4318" s="31" t="s">
        <v>150</v>
      </c>
      <c r="L4318" s="45" t="n">
        <f aca="false">DATE(YEAR(B4318),MONTH(B4318),1)</f>
        <v>46235</v>
      </c>
      <c r="M4318" s="31" t="n">
        <f aca="false">WEEKDAY(B4318,2)</f>
        <v>5</v>
      </c>
      <c r="N4318" s="31" t="str">
        <f aca="false">IF(G4318&lt;=INDEX(Assumptions!$B$15:$B$18,MATCH(E4318,Assumptions!$A$15:$A$18,0)),"Yes","No")</f>
        <v>No</v>
      </c>
      <c r="O4318" s="31" t="str">
        <f aca="false">IF(H4318="","Open",IF(H4318&lt;=INDEX(Assumptions!$C$15:$C$18,MATCH(E4318,Assumptions!$A$15:$A$18,0)),"Yes","No"))</f>
        <v>No</v>
      </c>
    </row>
    <row r="4319" customFormat="false" ht="15" hidden="false" customHeight="false" outlineLevel="0" collapsed="false">
      <c r="A4319" s="31" t="s">
        <v>4469</v>
      </c>
      <c r="B4319" s="44" t="n">
        <v>46262</v>
      </c>
      <c r="C4319" s="31" t="s">
        <v>58</v>
      </c>
      <c r="D4319" s="31" t="s">
        <v>65</v>
      </c>
      <c r="E4319" s="31" t="s">
        <v>49</v>
      </c>
      <c r="F4319" s="31" t="s">
        <v>128</v>
      </c>
      <c r="G4319" s="31" t="n">
        <v>3</v>
      </c>
      <c r="H4319" s="41" t="n">
        <v>4.4</v>
      </c>
      <c r="I4319" s="31" t="s">
        <v>149</v>
      </c>
      <c r="J4319" s="31" t="n">
        <v>3</v>
      </c>
      <c r="K4319" s="31" t="s">
        <v>153</v>
      </c>
      <c r="L4319" s="45" t="n">
        <f aca="false">DATE(YEAR(B4319),MONTH(B4319),1)</f>
        <v>46235</v>
      </c>
      <c r="M4319" s="31" t="n">
        <f aca="false">WEEKDAY(B4319,2)</f>
        <v>5</v>
      </c>
      <c r="N4319" s="31" t="str">
        <f aca="false">IF(G4319&lt;=INDEX(Assumptions!$B$15:$B$18,MATCH(E4319,Assumptions!$A$15:$A$18,0)),"Yes","No")</f>
        <v>Yes</v>
      </c>
      <c r="O4319" s="31" t="str">
        <f aca="false">IF(H4319="","Open",IF(H4319&lt;=INDEX(Assumptions!$C$15:$C$18,MATCH(E4319,Assumptions!$A$15:$A$18,0)),"Yes","No"))</f>
        <v>No</v>
      </c>
    </row>
    <row r="4320" customFormat="false" ht="15" hidden="false" customHeight="false" outlineLevel="0" collapsed="false">
      <c r="A4320" s="31" t="s">
        <v>4470</v>
      </c>
      <c r="B4320" s="44" t="n">
        <v>46262</v>
      </c>
      <c r="C4320" s="31" t="s">
        <v>58</v>
      </c>
      <c r="D4320" s="31" t="s">
        <v>69</v>
      </c>
      <c r="E4320" s="31" t="s">
        <v>52</v>
      </c>
      <c r="F4320" s="31" t="s">
        <v>134</v>
      </c>
      <c r="G4320" s="31" t="n">
        <v>21</v>
      </c>
      <c r="H4320" s="41" t="n">
        <v>27.4</v>
      </c>
      <c r="I4320" s="31" t="s">
        <v>149</v>
      </c>
      <c r="J4320" s="31"/>
      <c r="K4320" s="31" t="s">
        <v>150</v>
      </c>
      <c r="L4320" s="45" t="n">
        <f aca="false">DATE(YEAR(B4320),MONTH(B4320),1)</f>
        <v>46235</v>
      </c>
      <c r="M4320" s="31" t="n">
        <f aca="false">WEEKDAY(B4320,2)</f>
        <v>5</v>
      </c>
      <c r="N4320" s="31" t="str">
        <f aca="false">IF(G4320&lt;=INDEX(Assumptions!$B$15:$B$18,MATCH(E4320,Assumptions!$A$15:$A$18,0)),"Yes","No")</f>
        <v>Yes</v>
      </c>
      <c r="O4320" s="31" t="str">
        <f aca="false">IF(H4320="","Open",IF(H4320&lt;=INDEX(Assumptions!$C$15:$C$18,MATCH(E4320,Assumptions!$A$15:$A$18,0)),"Yes","No"))</f>
        <v>Yes</v>
      </c>
    </row>
    <row r="4321" customFormat="false" ht="15" hidden="false" customHeight="false" outlineLevel="0" collapsed="false">
      <c r="A4321" s="31" t="s">
        <v>4471</v>
      </c>
      <c r="B4321" s="44" t="n">
        <v>46262</v>
      </c>
      <c r="C4321" s="31" t="s">
        <v>59</v>
      </c>
      <c r="D4321" s="31" t="s">
        <v>65</v>
      </c>
      <c r="E4321" s="31" t="s">
        <v>51</v>
      </c>
      <c r="F4321" s="31" t="s">
        <v>122</v>
      </c>
      <c r="G4321" s="31" t="n">
        <v>40</v>
      </c>
      <c r="H4321" s="41" t="n">
        <v>14</v>
      </c>
      <c r="I4321" s="31" t="s">
        <v>149</v>
      </c>
      <c r="J4321" s="31" t="n">
        <v>4</v>
      </c>
      <c r="K4321" s="31" t="s">
        <v>150</v>
      </c>
      <c r="L4321" s="45" t="n">
        <f aca="false">DATE(YEAR(B4321),MONTH(B4321),1)</f>
        <v>46235</v>
      </c>
      <c r="M4321" s="31" t="n">
        <f aca="false">WEEKDAY(B4321,2)</f>
        <v>5</v>
      </c>
      <c r="N4321" s="31" t="str">
        <f aca="false">IF(G4321&lt;=INDEX(Assumptions!$B$15:$B$18,MATCH(E4321,Assumptions!$A$15:$A$18,0)),"Yes","No")</f>
        <v>Yes</v>
      </c>
      <c r="O4321" s="31" t="str">
        <f aca="false">IF(H4321="","Open",IF(H4321&lt;=INDEX(Assumptions!$C$15:$C$18,MATCH(E4321,Assumptions!$A$15:$A$18,0)),"Yes","No"))</f>
        <v>Yes</v>
      </c>
    </row>
    <row r="4322" customFormat="false" ht="15" hidden="false" customHeight="false" outlineLevel="0" collapsed="false">
      <c r="A4322" s="31" t="s">
        <v>4472</v>
      </c>
      <c r="B4322" s="44" t="n">
        <v>46262</v>
      </c>
      <c r="C4322" s="31" t="s">
        <v>57</v>
      </c>
      <c r="D4322" s="31" t="s">
        <v>66</v>
      </c>
      <c r="E4322" s="31" t="s">
        <v>52</v>
      </c>
      <c r="F4322" s="31" t="s">
        <v>137</v>
      </c>
      <c r="G4322" s="31" t="n">
        <v>4</v>
      </c>
      <c r="H4322" s="41" t="n">
        <v>10.1</v>
      </c>
      <c r="I4322" s="31" t="s">
        <v>149</v>
      </c>
      <c r="J4322" s="31" t="n">
        <v>5</v>
      </c>
      <c r="K4322" s="31" t="s">
        <v>150</v>
      </c>
      <c r="L4322" s="45" t="n">
        <f aca="false">DATE(YEAR(B4322),MONTH(B4322),1)</f>
        <v>46235</v>
      </c>
      <c r="M4322" s="31" t="n">
        <f aca="false">WEEKDAY(B4322,2)</f>
        <v>5</v>
      </c>
      <c r="N4322" s="31" t="str">
        <f aca="false">IF(G4322&lt;=INDEX(Assumptions!$B$15:$B$18,MATCH(E4322,Assumptions!$A$15:$A$18,0)),"Yes","No")</f>
        <v>Yes</v>
      </c>
      <c r="O4322" s="31" t="str">
        <f aca="false">IF(H4322="","Open",IF(H4322&lt;=INDEX(Assumptions!$C$15:$C$18,MATCH(E4322,Assumptions!$A$15:$A$18,0)),"Yes","No"))</f>
        <v>Yes</v>
      </c>
    </row>
    <row r="4323" customFormat="false" ht="15" hidden="false" customHeight="false" outlineLevel="0" collapsed="false">
      <c r="A4323" s="31" t="s">
        <v>4473</v>
      </c>
      <c r="B4323" s="44" t="n">
        <v>46262</v>
      </c>
      <c r="C4323" s="31" t="s">
        <v>58</v>
      </c>
      <c r="D4323" s="31" t="s">
        <v>67</v>
      </c>
      <c r="E4323" s="31" t="s">
        <v>52</v>
      </c>
      <c r="F4323" s="31" t="s">
        <v>126</v>
      </c>
      <c r="G4323" s="31" t="n">
        <v>21</v>
      </c>
      <c r="H4323" s="41" t="n">
        <v>5.2</v>
      </c>
      <c r="I4323" s="31" t="s">
        <v>149</v>
      </c>
      <c r="J4323" s="31" t="n">
        <v>4</v>
      </c>
      <c r="K4323" s="31" t="s">
        <v>150</v>
      </c>
      <c r="L4323" s="45" t="n">
        <f aca="false">DATE(YEAR(B4323),MONTH(B4323),1)</f>
        <v>46235</v>
      </c>
      <c r="M4323" s="31" t="n">
        <f aca="false">WEEKDAY(B4323,2)</f>
        <v>5</v>
      </c>
      <c r="N4323" s="31" t="str">
        <f aca="false">IF(G4323&lt;=INDEX(Assumptions!$B$15:$B$18,MATCH(E4323,Assumptions!$A$15:$A$18,0)),"Yes","No")</f>
        <v>Yes</v>
      </c>
      <c r="O4323" s="31" t="str">
        <f aca="false">IF(H4323="","Open",IF(H4323&lt;=INDEX(Assumptions!$C$15:$C$18,MATCH(E4323,Assumptions!$A$15:$A$18,0)),"Yes","No"))</f>
        <v>Yes</v>
      </c>
    </row>
    <row r="4324" customFormat="false" ht="15" hidden="false" customHeight="false" outlineLevel="0" collapsed="false">
      <c r="A4324" s="31" t="s">
        <v>4474</v>
      </c>
      <c r="B4324" s="44" t="n">
        <v>46263</v>
      </c>
      <c r="C4324" s="31" t="s">
        <v>60</v>
      </c>
      <c r="D4324" s="31" t="s">
        <v>65</v>
      </c>
      <c r="E4324" s="31" t="s">
        <v>50</v>
      </c>
      <c r="F4324" s="31" t="s">
        <v>117</v>
      </c>
      <c r="G4324" s="31" t="n">
        <v>1</v>
      </c>
      <c r="H4324" s="41" t="n">
        <v>8.6</v>
      </c>
      <c r="I4324" s="31" t="s">
        <v>149</v>
      </c>
      <c r="J4324" s="31"/>
      <c r="K4324" s="31" t="s">
        <v>150</v>
      </c>
      <c r="L4324" s="45" t="n">
        <f aca="false">DATE(YEAR(B4324),MONTH(B4324),1)</f>
        <v>46235</v>
      </c>
      <c r="M4324" s="31" t="n">
        <f aca="false">WEEKDAY(B4324,2)</f>
        <v>6</v>
      </c>
      <c r="N4324" s="31" t="str">
        <f aca="false">IF(G4324&lt;=INDEX(Assumptions!$B$15:$B$18,MATCH(E4324,Assumptions!$A$15:$A$18,0)),"Yes","No")</f>
        <v>Yes</v>
      </c>
      <c r="O4324" s="31" t="str">
        <f aca="false">IF(H4324="","Open",IF(H4324&lt;=INDEX(Assumptions!$C$15:$C$18,MATCH(E4324,Assumptions!$A$15:$A$18,0)),"Yes","No"))</f>
        <v>No</v>
      </c>
    </row>
    <row r="4325" customFormat="false" ht="15" hidden="false" customHeight="false" outlineLevel="0" collapsed="false">
      <c r="A4325" s="31" t="s">
        <v>4475</v>
      </c>
      <c r="B4325" s="44" t="n">
        <v>46263</v>
      </c>
      <c r="C4325" s="31" t="s">
        <v>59</v>
      </c>
      <c r="D4325" s="31" t="s">
        <v>68</v>
      </c>
      <c r="E4325" s="31" t="s">
        <v>52</v>
      </c>
      <c r="F4325" s="31" t="s">
        <v>120</v>
      </c>
      <c r="G4325" s="31" t="n">
        <v>79</v>
      </c>
      <c r="H4325" s="41" t="n">
        <v>5.9</v>
      </c>
      <c r="I4325" s="31" t="s">
        <v>149</v>
      </c>
      <c r="J4325" s="31" t="n">
        <v>4</v>
      </c>
      <c r="K4325" s="31" t="s">
        <v>153</v>
      </c>
      <c r="L4325" s="45" t="n">
        <f aca="false">DATE(YEAR(B4325),MONTH(B4325),1)</f>
        <v>46235</v>
      </c>
      <c r="M4325" s="31" t="n">
        <f aca="false">WEEKDAY(B4325,2)</f>
        <v>6</v>
      </c>
      <c r="N4325" s="31" t="str">
        <f aca="false">IF(G4325&lt;=INDEX(Assumptions!$B$15:$B$18,MATCH(E4325,Assumptions!$A$15:$A$18,0)),"Yes","No")</f>
        <v>Yes</v>
      </c>
      <c r="O4325" s="31" t="str">
        <f aca="false">IF(H4325="","Open",IF(H4325&lt;=INDEX(Assumptions!$C$15:$C$18,MATCH(E4325,Assumptions!$A$15:$A$18,0)),"Yes","No"))</f>
        <v>Yes</v>
      </c>
    </row>
    <row r="4326" customFormat="false" ht="15" hidden="false" customHeight="false" outlineLevel="0" collapsed="false">
      <c r="A4326" s="31" t="s">
        <v>4476</v>
      </c>
      <c r="B4326" s="44" t="n">
        <v>46263</v>
      </c>
      <c r="C4326" s="31" t="s">
        <v>59</v>
      </c>
      <c r="D4326" s="31" t="s">
        <v>67</v>
      </c>
      <c r="E4326" s="31" t="s">
        <v>51</v>
      </c>
      <c r="F4326" s="31" t="s">
        <v>129</v>
      </c>
      <c r="G4326" s="31" t="n">
        <v>75</v>
      </c>
      <c r="H4326" s="41" t="n">
        <v>1.4</v>
      </c>
      <c r="I4326" s="31" t="s">
        <v>149</v>
      </c>
      <c r="J4326" s="31" t="n">
        <v>4</v>
      </c>
      <c r="K4326" s="31" t="s">
        <v>150</v>
      </c>
      <c r="L4326" s="45" t="n">
        <f aca="false">DATE(YEAR(B4326),MONTH(B4326),1)</f>
        <v>46235</v>
      </c>
      <c r="M4326" s="31" t="n">
        <f aca="false">WEEKDAY(B4326,2)</f>
        <v>6</v>
      </c>
      <c r="N4326" s="31" t="str">
        <f aca="false">IF(G4326&lt;=INDEX(Assumptions!$B$15:$B$18,MATCH(E4326,Assumptions!$A$15:$A$18,0)),"Yes","No")</f>
        <v>No</v>
      </c>
      <c r="O4326" s="31" t="str">
        <f aca="false">IF(H4326="","Open",IF(H4326&lt;=INDEX(Assumptions!$C$15:$C$18,MATCH(E4326,Assumptions!$A$15:$A$18,0)),"Yes","No"))</f>
        <v>Yes</v>
      </c>
    </row>
    <row r="4327" customFormat="false" ht="15" hidden="false" customHeight="false" outlineLevel="0" collapsed="false">
      <c r="A4327" s="31" t="s">
        <v>4477</v>
      </c>
      <c r="B4327" s="44" t="n">
        <v>46263</v>
      </c>
      <c r="C4327" s="31" t="s">
        <v>57</v>
      </c>
      <c r="D4327" s="31" t="s">
        <v>65</v>
      </c>
      <c r="E4327" s="31" t="s">
        <v>49</v>
      </c>
      <c r="F4327" s="31" t="s">
        <v>135</v>
      </c>
      <c r="G4327" s="31" t="n">
        <v>4</v>
      </c>
      <c r="H4327" s="41" t="n">
        <v>4</v>
      </c>
      <c r="I4327" s="31" t="s">
        <v>149</v>
      </c>
      <c r="J4327" s="31"/>
      <c r="K4327" s="31" t="s">
        <v>153</v>
      </c>
      <c r="L4327" s="45" t="n">
        <f aca="false">DATE(YEAR(B4327),MONTH(B4327),1)</f>
        <v>46235</v>
      </c>
      <c r="M4327" s="31" t="n">
        <f aca="false">WEEKDAY(B4327,2)</f>
        <v>6</v>
      </c>
      <c r="N4327" s="31" t="str">
        <f aca="false">IF(G4327&lt;=INDEX(Assumptions!$B$15:$B$18,MATCH(E4327,Assumptions!$A$15:$A$18,0)),"Yes","No")</f>
        <v>Yes</v>
      </c>
      <c r="O4327" s="31" t="str">
        <f aca="false">IF(H4327="","Open",IF(H4327&lt;=INDEX(Assumptions!$C$15:$C$18,MATCH(E4327,Assumptions!$A$15:$A$18,0)),"Yes","No"))</f>
        <v>Yes</v>
      </c>
    </row>
    <row r="4328" customFormat="false" ht="15" hidden="false" customHeight="false" outlineLevel="0" collapsed="false">
      <c r="A4328" s="31" t="s">
        <v>4478</v>
      </c>
      <c r="B4328" s="44" t="n">
        <v>46263</v>
      </c>
      <c r="C4328" s="31" t="s">
        <v>57</v>
      </c>
      <c r="D4328" s="31" t="s">
        <v>67</v>
      </c>
      <c r="E4328" s="31" t="s">
        <v>50</v>
      </c>
      <c r="F4328" s="31" t="s">
        <v>123</v>
      </c>
      <c r="G4328" s="31" t="n">
        <v>5</v>
      </c>
      <c r="H4328" s="41" t="n">
        <v>10.5</v>
      </c>
      <c r="I4328" s="31" t="s">
        <v>149</v>
      </c>
      <c r="J4328" s="31" t="n">
        <v>3</v>
      </c>
      <c r="K4328" s="31" t="s">
        <v>150</v>
      </c>
      <c r="L4328" s="45" t="n">
        <f aca="false">DATE(YEAR(B4328),MONTH(B4328),1)</f>
        <v>46235</v>
      </c>
      <c r="M4328" s="31" t="n">
        <f aca="false">WEEKDAY(B4328,2)</f>
        <v>6</v>
      </c>
      <c r="N4328" s="31" t="str">
        <f aca="false">IF(G4328&lt;=INDEX(Assumptions!$B$15:$B$18,MATCH(E4328,Assumptions!$A$15:$A$18,0)),"Yes","No")</f>
        <v>Yes</v>
      </c>
      <c r="O4328" s="31" t="str">
        <f aca="false">IF(H4328="","Open",IF(H4328&lt;=INDEX(Assumptions!$C$15:$C$18,MATCH(E4328,Assumptions!$A$15:$A$18,0)),"Yes","No"))</f>
        <v>No</v>
      </c>
    </row>
    <row r="4329" customFormat="false" ht="15" hidden="false" customHeight="false" outlineLevel="0" collapsed="false">
      <c r="A4329" s="31" t="s">
        <v>4479</v>
      </c>
      <c r="B4329" s="44" t="n">
        <v>46263</v>
      </c>
      <c r="C4329" s="31" t="s">
        <v>59</v>
      </c>
      <c r="D4329" s="31" t="s">
        <v>66</v>
      </c>
      <c r="E4329" s="31" t="s">
        <v>52</v>
      </c>
      <c r="F4329" s="31" t="s">
        <v>133</v>
      </c>
      <c r="G4329" s="31" t="n">
        <v>58</v>
      </c>
      <c r="H4329" s="41" t="n">
        <v>16.5</v>
      </c>
      <c r="I4329" s="31" t="s">
        <v>149</v>
      </c>
      <c r="J4329" s="31"/>
      <c r="K4329" s="31" t="s">
        <v>150</v>
      </c>
      <c r="L4329" s="45" t="n">
        <f aca="false">DATE(YEAR(B4329),MONTH(B4329),1)</f>
        <v>46235</v>
      </c>
      <c r="M4329" s="31" t="n">
        <f aca="false">WEEKDAY(B4329,2)</f>
        <v>6</v>
      </c>
      <c r="N4329" s="31" t="str">
        <f aca="false">IF(G4329&lt;=INDEX(Assumptions!$B$15:$B$18,MATCH(E4329,Assumptions!$A$15:$A$18,0)),"Yes","No")</f>
        <v>Yes</v>
      </c>
      <c r="O4329" s="31" t="str">
        <f aca="false">IF(H4329="","Open",IF(H4329&lt;=INDEX(Assumptions!$C$15:$C$18,MATCH(E4329,Assumptions!$A$15:$A$18,0)),"Yes","No"))</f>
        <v>Yes</v>
      </c>
    </row>
    <row r="4330" customFormat="false" ht="15" hidden="false" customHeight="false" outlineLevel="0" collapsed="false">
      <c r="A4330" s="31" t="s">
        <v>4480</v>
      </c>
      <c r="B4330" s="44" t="n">
        <v>46263</v>
      </c>
      <c r="C4330" s="31" t="s">
        <v>60</v>
      </c>
      <c r="D4330" s="31" t="s">
        <v>65</v>
      </c>
      <c r="E4330" s="31" t="s">
        <v>50</v>
      </c>
      <c r="F4330" s="31" t="s">
        <v>119</v>
      </c>
      <c r="G4330" s="31" t="n">
        <v>1</v>
      </c>
      <c r="H4330" s="41" t="n">
        <v>5.6</v>
      </c>
      <c r="I4330" s="31" t="s">
        <v>149</v>
      </c>
      <c r="J4330" s="31" t="n">
        <v>5</v>
      </c>
      <c r="K4330" s="31" t="s">
        <v>150</v>
      </c>
      <c r="L4330" s="45" t="n">
        <f aca="false">DATE(YEAR(B4330),MONTH(B4330),1)</f>
        <v>46235</v>
      </c>
      <c r="M4330" s="31" t="n">
        <f aca="false">WEEKDAY(B4330,2)</f>
        <v>6</v>
      </c>
      <c r="N4330" s="31" t="str">
        <f aca="false">IF(G4330&lt;=INDEX(Assumptions!$B$15:$B$18,MATCH(E4330,Assumptions!$A$15:$A$18,0)),"Yes","No")</f>
        <v>Yes</v>
      </c>
      <c r="O4330" s="31" t="str">
        <f aca="false">IF(H4330="","Open",IF(H4330&lt;=INDEX(Assumptions!$C$15:$C$18,MATCH(E4330,Assumptions!$A$15:$A$18,0)),"Yes","No"))</f>
        <v>Yes</v>
      </c>
    </row>
    <row r="4331" customFormat="false" ht="15" hidden="false" customHeight="false" outlineLevel="0" collapsed="false">
      <c r="A4331" s="31" t="s">
        <v>4481</v>
      </c>
      <c r="B4331" s="44" t="n">
        <v>46263</v>
      </c>
      <c r="C4331" s="31" t="s">
        <v>58</v>
      </c>
      <c r="D4331" s="31" t="s">
        <v>67</v>
      </c>
      <c r="E4331" s="31" t="s">
        <v>51</v>
      </c>
      <c r="F4331" s="31" t="s">
        <v>128</v>
      </c>
      <c r="G4331" s="31" t="n">
        <v>39</v>
      </c>
      <c r="H4331" s="41" t="n">
        <v>49.1</v>
      </c>
      <c r="I4331" s="31" t="s">
        <v>149</v>
      </c>
      <c r="J4331" s="31"/>
      <c r="K4331" s="31" t="s">
        <v>150</v>
      </c>
      <c r="L4331" s="45" t="n">
        <f aca="false">DATE(YEAR(B4331),MONTH(B4331),1)</f>
        <v>46235</v>
      </c>
      <c r="M4331" s="31" t="n">
        <f aca="false">WEEKDAY(B4331,2)</f>
        <v>6</v>
      </c>
      <c r="N4331" s="31" t="str">
        <f aca="false">IF(G4331&lt;=INDEX(Assumptions!$B$15:$B$18,MATCH(E4331,Assumptions!$A$15:$A$18,0)),"Yes","No")</f>
        <v>Yes</v>
      </c>
      <c r="O4331" s="31" t="str">
        <f aca="false">IF(H4331="","Open",IF(H4331&lt;=INDEX(Assumptions!$C$15:$C$18,MATCH(E4331,Assumptions!$A$15:$A$18,0)),"Yes","No"))</f>
        <v>No</v>
      </c>
    </row>
    <row r="4332" customFormat="false" ht="15" hidden="false" customHeight="false" outlineLevel="0" collapsed="false">
      <c r="A4332" s="31" t="s">
        <v>4482</v>
      </c>
      <c r="B4332" s="44" t="n">
        <v>46263</v>
      </c>
      <c r="C4332" s="31" t="s">
        <v>57</v>
      </c>
      <c r="D4332" s="31" t="s">
        <v>66</v>
      </c>
      <c r="E4332" s="31" t="s">
        <v>52</v>
      </c>
      <c r="F4332" s="31" t="s">
        <v>130</v>
      </c>
      <c r="G4332" s="31" t="n">
        <v>3</v>
      </c>
      <c r="H4332" s="41" t="n">
        <v>2.8</v>
      </c>
      <c r="I4332" s="31" t="s">
        <v>149</v>
      </c>
      <c r="J4332" s="31"/>
      <c r="K4332" s="31" t="s">
        <v>150</v>
      </c>
      <c r="L4332" s="45" t="n">
        <f aca="false">DATE(YEAR(B4332),MONTH(B4332),1)</f>
        <v>46235</v>
      </c>
      <c r="M4332" s="31" t="n">
        <f aca="false">WEEKDAY(B4332,2)</f>
        <v>6</v>
      </c>
      <c r="N4332" s="31" t="str">
        <f aca="false">IF(G4332&lt;=INDEX(Assumptions!$B$15:$B$18,MATCH(E4332,Assumptions!$A$15:$A$18,0)),"Yes","No")</f>
        <v>Yes</v>
      </c>
      <c r="O4332" s="31" t="str">
        <f aca="false">IF(H4332="","Open",IF(H4332&lt;=INDEX(Assumptions!$C$15:$C$18,MATCH(E4332,Assumptions!$A$15:$A$18,0)),"Yes","No"))</f>
        <v>Yes</v>
      </c>
    </row>
    <row r="4333" customFormat="false" ht="15" hidden="false" customHeight="false" outlineLevel="0" collapsed="false">
      <c r="A4333" s="31" t="s">
        <v>4483</v>
      </c>
      <c r="B4333" s="44" t="n">
        <v>46263</v>
      </c>
      <c r="C4333" s="31" t="s">
        <v>57</v>
      </c>
      <c r="D4333" s="31" t="s">
        <v>66</v>
      </c>
      <c r="E4333" s="31" t="s">
        <v>52</v>
      </c>
      <c r="F4333" s="31" t="s">
        <v>136</v>
      </c>
      <c r="G4333" s="31" t="n">
        <v>5</v>
      </c>
      <c r="H4333" s="41" t="n">
        <v>12.5</v>
      </c>
      <c r="I4333" s="31" t="s">
        <v>149</v>
      </c>
      <c r="J4333" s="31"/>
      <c r="K4333" s="31" t="s">
        <v>150</v>
      </c>
      <c r="L4333" s="45" t="n">
        <f aca="false">DATE(YEAR(B4333),MONTH(B4333),1)</f>
        <v>46235</v>
      </c>
      <c r="M4333" s="31" t="n">
        <f aca="false">WEEKDAY(B4333,2)</f>
        <v>6</v>
      </c>
      <c r="N4333" s="31" t="str">
        <f aca="false">IF(G4333&lt;=INDEX(Assumptions!$B$15:$B$18,MATCH(E4333,Assumptions!$A$15:$A$18,0)),"Yes","No")</f>
        <v>Yes</v>
      </c>
      <c r="O4333" s="31" t="str">
        <f aca="false">IF(H4333="","Open",IF(H4333&lt;=INDEX(Assumptions!$C$15:$C$18,MATCH(E4333,Assumptions!$A$15:$A$18,0)),"Yes","No"))</f>
        <v>Yes</v>
      </c>
    </row>
    <row r="4334" customFormat="false" ht="15" hidden="false" customHeight="false" outlineLevel="0" collapsed="false">
      <c r="A4334" s="31" t="s">
        <v>4484</v>
      </c>
      <c r="B4334" s="44" t="n">
        <v>46263</v>
      </c>
      <c r="C4334" s="31" t="s">
        <v>60</v>
      </c>
      <c r="D4334" s="31" t="s">
        <v>65</v>
      </c>
      <c r="E4334" s="31" t="s">
        <v>51</v>
      </c>
      <c r="F4334" s="31" t="s">
        <v>135</v>
      </c>
      <c r="G4334" s="31" t="n">
        <v>3</v>
      </c>
      <c r="H4334" s="41" t="n">
        <v>29.7</v>
      </c>
      <c r="I4334" s="31" t="s">
        <v>149</v>
      </c>
      <c r="J4334" s="31"/>
      <c r="K4334" s="31" t="s">
        <v>150</v>
      </c>
      <c r="L4334" s="45" t="n">
        <f aca="false">DATE(YEAR(B4334),MONTH(B4334),1)</f>
        <v>46235</v>
      </c>
      <c r="M4334" s="31" t="n">
        <f aca="false">WEEKDAY(B4334,2)</f>
        <v>6</v>
      </c>
      <c r="N4334" s="31" t="str">
        <f aca="false">IF(G4334&lt;=INDEX(Assumptions!$B$15:$B$18,MATCH(E4334,Assumptions!$A$15:$A$18,0)),"Yes","No")</f>
        <v>Yes</v>
      </c>
      <c r="O4334" s="31" t="str">
        <f aca="false">IF(H4334="","Open",IF(H4334&lt;=INDEX(Assumptions!$C$15:$C$18,MATCH(E4334,Assumptions!$A$15:$A$18,0)),"Yes","No"))</f>
        <v>No</v>
      </c>
    </row>
    <row r="4335" customFormat="false" ht="15" hidden="false" customHeight="false" outlineLevel="0" collapsed="false">
      <c r="A4335" s="31" t="s">
        <v>4485</v>
      </c>
      <c r="B4335" s="44" t="n">
        <v>46263</v>
      </c>
      <c r="C4335" s="31" t="s">
        <v>57</v>
      </c>
      <c r="D4335" s="31" t="s">
        <v>65</v>
      </c>
      <c r="E4335" s="31" t="s">
        <v>52</v>
      </c>
      <c r="F4335" s="31" t="s">
        <v>129</v>
      </c>
      <c r="G4335" s="31" t="n">
        <v>4</v>
      </c>
      <c r="H4335" s="41" t="n">
        <v>15.4</v>
      </c>
      <c r="I4335" s="31" t="s">
        <v>149</v>
      </c>
      <c r="J4335" s="31"/>
      <c r="K4335" s="31" t="s">
        <v>150</v>
      </c>
      <c r="L4335" s="45" t="n">
        <f aca="false">DATE(YEAR(B4335),MONTH(B4335),1)</f>
        <v>46235</v>
      </c>
      <c r="M4335" s="31" t="n">
        <f aca="false">WEEKDAY(B4335,2)</f>
        <v>6</v>
      </c>
      <c r="N4335" s="31" t="str">
        <f aca="false">IF(G4335&lt;=INDEX(Assumptions!$B$15:$B$18,MATCH(E4335,Assumptions!$A$15:$A$18,0)),"Yes","No")</f>
        <v>Yes</v>
      </c>
      <c r="O4335" s="31" t="str">
        <f aca="false">IF(H4335="","Open",IF(H4335&lt;=INDEX(Assumptions!$C$15:$C$18,MATCH(E4335,Assumptions!$A$15:$A$18,0)),"Yes","No"))</f>
        <v>Yes</v>
      </c>
    </row>
    <row r="4336" customFormat="false" ht="15" hidden="false" customHeight="false" outlineLevel="0" collapsed="false">
      <c r="A4336" s="31" t="s">
        <v>4486</v>
      </c>
      <c r="B4336" s="44" t="n">
        <v>46263</v>
      </c>
      <c r="C4336" s="31" t="s">
        <v>60</v>
      </c>
      <c r="D4336" s="31" t="s">
        <v>67</v>
      </c>
      <c r="E4336" s="31" t="s">
        <v>51</v>
      </c>
      <c r="F4336" s="31" t="s">
        <v>123</v>
      </c>
      <c r="G4336" s="31" t="n">
        <v>2</v>
      </c>
      <c r="H4336" s="41" t="n">
        <v>8.3</v>
      </c>
      <c r="I4336" s="31" t="s">
        <v>149</v>
      </c>
      <c r="J4336" s="31"/>
      <c r="K4336" s="31" t="s">
        <v>150</v>
      </c>
      <c r="L4336" s="45" t="n">
        <f aca="false">DATE(YEAR(B4336),MONTH(B4336),1)</f>
        <v>46235</v>
      </c>
      <c r="M4336" s="31" t="n">
        <f aca="false">WEEKDAY(B4336,2)</f>
        <v>6</v>
      </c>
      <c r="N4336" s="31" t="str">
        <f aca="false">IF(G4336&lt;=INDEX(Assumptions!$B$15:$B$18,MATCH(E4336,Assumptions!$A$15:$A$18,0)),"Yes","No")</f>
        <v>Yes</v>
      </c>
      <c r="O4336" s="31" t="str">
        <f aca="false">IF(H4336="","Open",IF(H4336&lt;=INDEX(Assumptions!$C$15:$C$18,MATCH(E4336,Assumptions!$A$15:$A$18,0)),"Yes","No"))</f>
        <v>Yes</v>
      </c>
    </row>
    <row r="4337" customFormat="false" ht="15" hidden="false" customHeight="false" outlineLevel="0" collapsed="false">
      <c r="A4337" s="31" t="s">
        <v>4487</v>
      </c>
      <c r="B4337" s="44" t="n">
        <v>46263</v>
      </c>
      <c r="C4337" s="31" t="s">
        <v>57</v>
      </c>
      <c r="D4337" s="31" t="s">
        <v>66</v>
      </c>
      <c r="E4337" s="31" t="s">
        <v>49</v>
      </c>
      <c r="F4337" s="31" t="s">
        <v>126</v>
      </c>
      <c r="G4337" s="31" t="n">
        <v>5</v>
      </c>
      <c r="H4337" s="41" t="n">
        <v>1.7</v>
      </c>
      <c r="I4337" s="31" t="s">
        <v>149</v>
      </c>
      <c r="J4337" s="31"/>
      <c r="K4337" s="31" t="s">
        <v>150</v>
      </c>
      <c r="L4337" s="45" t="n">
        <f aca="false">DATE(YEAR(B4337),MONTH(B4337),1)</f>
        <v>46235</v>
      </c>
      <c r="M4337" s="31" t="n">
        <f aca="false">WEEKDAY(B4337,2)</f>
        <v>6</v>
      </c>
      <c r="N4337" s="31" t="str">
        <f aca="false">IF(G4337&lt;=INDEX(Assumptions!$B$15:$B$18,MATCH(E4337,Assumptions!$A$15:$A$18,0)),"Yes","No")</f>
        <v>Yes</v>
      </c>
      <c r="O4337" s="31" t="str">
        <f aca="false">IF(H4337="","Open",IF(H4337&lt;=INDEX(Assumptions!$C$15:$C$18,MATCH(E4337,Assumptions!$A$15:$A$18,0)),"Yes","No"))</f>
        <v>Yes</v>
      </c>
    </row>
    <row r="4338" customFormat="false" ht="15" hidden="false" customHeight="false" outlineLevel="0" collapsed="false">
      <c r="A4338" s="31" t="s">
        <v>4488</v>
      </c>
      <c r="B4338" s="44" t="n">
        <v>46263</v>
      </c>
      <c r="C4338" s="31" t="s">
        <v>57</v>
      </c>
      <c r="D4338" s="31" t="s">
        <v>67</v>
      </c>
      <c r="E4338" s="31" t="s">
        <v>50</v>
      </c>
      <c r="F4338" s="31" t="s">
        <v>128</v>
      </c>
      <c r="G4338" s="31" t="n">
        <v>6</v>
      </c>
      <c r="H4338" s="41" t="n">
        <v>53.2</v>
      </c>
      <c r="I4338" s="31" t="s">
        <v>149</v>
      </c>
      <c r="J4338" s="31" t="n">
        <v>3</v>
      </c>
      <c r="K4338" s="31" t="s">
        <v>150</v>
      </c>
      <c r="L4338" s="45" t="n">
        <f aca="false">DATE(YEAR(B4338),MONTH(B4338),1)</f>
        <v>46235</v>
      </c>
      <c r="M4338" s="31" t="n">
        <f aca="false">WEEKDAY(B4338,2)</f>
        <v>6</v>
      </c>
      <c r="N4338" s="31" t="str">
        <f aca="false">IF(G4338&lt;=INDEX(Assumptions!$B$15:$B$18,MATCH(E4338,Assumptions!$A$15:$A$18,0)),"Yes","No")</f>
        <v>Yes</v>
      </c>
      <c r="O4338" s="31" t="str">
        <f aca="false">IF(H4338="","Open",IF(H4338&lt;=INDEX(Assumptions!$C$15:$C$18,MATCH(E4338,Assumptions!$A$15:$A$18,0)),"Yes","No"))</f>
        <v>No</v>
      </c>
    </row>
    <row r="4339" customFormat="false" ht="15" hidden="false" customHeight="false" outlineLevel="0" collapsed="false">
      <c r="A4339" s="31" t="s">
        <v>4489</v>
      </c>
      <c r="B4339" s="44" t="n">
        <v>46263</v>
      </c>
      <c r="C4339" s="31" t="s">
        <v>57</v>
      </c>
      <c r="D4339" s="31" t="s">
        <v>67</v>
      </c>
      <c r="E4339" s="31" t="s">
        <v>51</v>
      </c>
      <c r="F4339" s="31" t="s">
        <v>135</v>
      </c>
      <c r="G4339" s="31" t="n">
        <v>1</v>
      </c>
      <c r="H4339" s="41" t="n">
        <v>96.7</v>
      </c>
      <c r="I4339" s="31" t="s">
        <v>149</v>
      </c>
      <c r="J4339" s="31" t="n">
        <v>3</v>
      </c>
      <c r="K4339" s="31" t="s">
        <v>153</v>
      </c>
      <c r="L4339" s="45" t="n">
        <f aca="false">DATE(YEAR(B4339),MONTH(B4339),1)</f>
        <v>46235</v>
      </c>
      <c r="M4339" s="31" t="n">
        <f aca="false">WEEKDAY(B4339,2)</f>
        <v>6</v>
      </c>
      <c r="N4339" s="31" t="str">
        <f aca="false">IF(G4339&lt;=INDEX(Assumptions!$B$15:$B$18,MATCH(E4339,Assumptions!$A$15:$A$18,0)),"Yes","No")</f>
        <v>Yes</v>
      </c>
      <c r="O4339" s="31" t="str">
        <f aca="false">IF(H4339="","Open",IF(H4339&lt;=INDEX(Assumptions!$C$15:$C$18,MATCH(E4339,Assumptions!$A$15:$A$18,0)),"Yes","No"))</f>
        <v>No</v>
      </c>
    </row>
    <row r="4340" customFormat="false" ht="15" hidden="false" customHeight="false" outlineLevel="0" collapsed="false">
      <c r="A4340" s="31" t="s">
        <v>4490</v>
      </c>
      <c r="B4340" s="44" t="n">
        <v>46263</v>
      </c>
      <c r="C4340" s="31" t="s">
        <v>57</v>
      </c>
      <c r="D4340" s="31" t="s">
        <v>67</v>
      </c>
      <c r="E4340" s="31" t="s">
        <v>52</v>
      </c>
      <c r="F4340" s="31" t="s">
        <v>122</v>
      </c>
      <c r="G4340" s="31" t="n">
        <v>8</v>
      </c>
      <c r="H4340" s="41" t="n">
        <v>32.1</v>
      </c>
      <c r="I4340" s="31" t="s">
        <v>149</v>
      </c>
      <c r="J4340" s="31"/>
      <c r="K4340" s="31" t="s">
        <v>150</v>
      </c>
      <c r="L4340" s="45" t="n">
        <f aca="false">DATE(YEAR(B4340),MONTH(B4340),1)</f>
        <v>46235</v>
      </c>
      <c r="M4340" s="31" t="n">
        <f aca="false">WEEKDAY(B4340,2)</f>
        <v>6</v>
      </c>
      <c r="N4340" s="31" t="str">
        <f aca="false">IF(G4340&lt;=INDEX(Assumptions!$B$15:$B$18,MATCH(E4340,Assumptions!$A$15:$A$18,0)),"Yes","No")</f>
        <v>Yes</v>
      </c>
      <c r="O4340" s="31" t="str">
        <f aca="false">IF(H4340="","Open",IF(H4340&lt;=INDEX(Assumptions!$C$15:$C$18,MATCH(E4340,Assumptions!$A$15:$A$18,0)),"Yes","No"))</f>
        <v>Yes</v>
      </c>
    </row>
    <row r="4341" customFormat="false" ht="15" hidden="false" customHeight="false" outlineLevel="0" collapsed="false">
      <c r="A4341" s="31" t="s">
        <v>4491</v>
      </c>
      <c r="B4341" s="44" t="n">
        <v>46263</v>
      </c>
      <c r="C4341" s="31" t="s">
        <v>58</v>
      </c>
      <c r="D4341" s="31" t="s">
        <v>65</v>
      </c>
      <c r="E4341" s="31" t="s">
        <v>51</v>
      </c>
      <c r="F4341" s="31" t="s">
        <v>117</v>
      </c>
      <c r="G4341" s="31" t="n">
        <v>10</v>
      </c>
      <c r="H4341" s="41" t="n">
        <v>7</v>
      </c>
      <c r="I4341" s="31" t="s">
        <v>149</v>
      </c>
      <c r="J4341" s="31"/>
      <c r="K4341" s="31" t="s">
        <v>150</v>
      </c>
      <c r="L4341" s="45" t="n">
        <f aca="false">DATE(YEAR(B4341),MONTH(B4341),1)</f>
        <v>46235</v>
      </c>
      <c r="M4341" s="31" t="n">
        <f aca="false">WEEKDAY(B4341,2)</f>
        <v>6</v>
      </c>
      <c r="N4341" s="31" t="str">
        <f aca="false">IF(G4341&lt;=INDEX(Assumptions!$B$15:$B$18,MATCH(E4341,Assumptions!$A$15:$A$18,0)),"Yes","No")</f>
        <v>Yes</v>
      </c>
      <c r="O4341" s="31" t="str">
        <f aca="false">IF(H4341="","Open",IF(H4341&lt;=INDEX(Assumptions!$C$15:$C$18,MATCH(E4341,Assumptions!$A$15:$A$18,0)),"Yes","No"))</f>
        <v>Yes</v>
      </c>
    </row>
    <row r="4342" customFormat="false" ht="15" hidden="false" customHeight="false" outlineLevel="0" collapsed="false">
      <c r="A4342" s="31" t="s">
        <v>4492</v>
      </c>
      <c r="B4342" s="44" t="n">
        <v>46263</v>
      </c>
      <c r="C4342" s="31" t="s">
        <v>60</v>
      </c>
      <c r="D4342" s="31" t="s">
        <v>66</v>
      </c>
      <c r="E4342" s="31" t="s">
        <v>52</v>
      </c>
      <c r="F4342" s="31" t="s">
        <v>128</v>
      </c>
      <c r="G4342" s="31" t="n">
        <v>5</v>
      </c>
      <c r="H4342" s="41" t="n">
        <v>14.5</v>
      </c>
      <c r="I4342" s="31" t="s">
        <v>149</v>
      </c>
      <c r="J4342" s="31"/>
      <c r="K4342" s="31" t="s">
        <v>150</v>
      </c>
      <c r="L4342" s="45" t="n">
        <f aca="false">DATE(YEAR(B4342),MONTH(B4342),1)</f>
        <v>46235</v>
      </c>
      <c r="M4342" s="31" t="n">
        <f aca="false">WEEKDAY(B4342,2)</f>
        <v>6</v>
      </c>
      <c r="N4342" s="31" t="str">
        <f aca="false">IF(G4342&lt;=INDEX(Assumptions!$B$15:$B$18,MATCH(E4342,Assumptions!$A$15:$A$18,0)),"Yes","No")</f>
        <v>Yes</v>
      </c>
      <c r="O4342" s="31" t="str">
        <f aca="false">IF(H4342="","Open",IF(H4342&lt;=INDEX(Assumptions!$C$15:$C$18,MATCH(E4342,Assumptions!$A$15:$A$18,0)),"Yes","No"))</f>
        <v>Yes</v>
      </c>
    </row>
    <row r="4343" customFormat="false" ht="15" hidden="false" customHeight="false" outlineLevel="0" collapsed="false">
      <c r="A4343" s="31" t="s">
        <v>4493</v>
      </c>
      <c r="B4343" s="44" t="n">
        <v>46263</v>
      </c>
      <c r="C4343" s="31" t="s">
        <v>59</v>
      </c>
      <c r="D4343" s="31" t="s">
        <v>67</v>
      </c>
      <c r="E4343" s="31" t="s">
        <v>51</v>
      </c>
      <c r="F4343" s="31" t="s">
        <v>134</v>
      </c>
      <c r="G4343" s="31" t="n">
        <v>28</v>
      </c>
      <c r="H4343" s="41" t="n">
        <v>18.4</v>
      </c>
      <c r="I4343" s="31" t="s">
        <v>149</v>
      </c>
      <c r="J4343" s="31" t="n">
        <v>3</v>
      </c>
      <c r="K4343" s="31" t="s">
        <v>150</v>
      </c>
      <c r="L4343" s="45" t="n">
        <f aca="false">DATE(YEAR(B4343),MONTH(B4343),1)</f>
        <v>46235</v>
      </c>
      <c r="M4343" s="31" t="n">
        <f aca="false">WEEKDAY(B4343,2)</f>
        <v>6</v>
      </c>
      <c r="N4343" s="31" t="str">
        <f aca="false">IF(G4343&lt;=INDEX(Assumptions!$B$15:$B$18,MATCH(E4343,Assumptions!$A$15:$A$18,0)),"Yes","No")</f>
        <v>Yes</v>
      </c>
      <c r="O4343" s="31" t="str">
        <f aca="false">IF(H4343="","Open",IF(H4343&lt;=INDEX(Assumptions!$C$15:$C$18,MATCH(E4343,Assumptions!$A$15:$A$18,0)),"Yes","No"))</f>
        <v>Yes</v>
      </c>
    </row>
    <row r="4344" customFormat="false" ht="15" hidden="false" customHeight="false" outlineLevel="0" collapsed="false">
      <c r="A4344" s="31" t="s">
        <v>4494</v>
      </c>
      <c r="B4344" s="44" t="n">
        <v>46263</v>
      </c>
      <c r="C4344" s="31" t="s">
        <v>57</v>
      </c>
      <c r="D4344" s="31" t="s">
        <v>67</v>
      </c>
      <c r="E4344" s="31" t="s">
        <v>50</v>
      </c>
      <c r="F4344" s="31" t="s">
        <v>136</v>
      </c>
      <c r="G4344" s="31" t="n">
        <v>1</v>
      </c>
      <c r="H4344" s="41" t="n">
        <v>6.4</v>
      </c>
      <c r="I4344" s="31" t="s">
        <v>149</v>
      </c>
      <c r="J4344" s="31" t="n">
        <v>4</v>
      </c>
      <c r="K4344" s="31" t="s">
        <v>150</v>
      </c>
      <c r="L4344" s="45" t="n">
        <f aca="false">DATE(YEAR(B4344),MONTH(B4344),1)</f>
        <v>46235</v>
      </c>
      <c r="M4344" s="31" t="n">
        <f aca="false">WEEKDAY(B4344,2)</f>
        <v>6</v>
      </c>
      <c r="N4344" s="31" t="str">
        <f aca="false">IF(G4344&lt;=INDEX(Assumptions!$B$15:$B$18,MATCH(E4344,Assumptions!$A$15:$A$18,0)),"Yes","No")</f>
        <v>Yes</v>
      </c>
      <c r="O4344" s="31" t="str">
        <f aca="false">IF(H4344="","Open",IF(H4344&lt;=INDEX(Assumptions!$C$15:$C$18,MATCH(E4344,Assumptions!$A$15:$A$18,0)),"Yes","No"))</f>
        <v>Yes</v>
      </c>
    </row>
    <row r="4345" customFormat="false" ht="15" hidden="false" customHeight="false" outlineLevel="0" collapsed="false">
      <c r="A4345" s="31" t="s">
        <v>4495</v>
      </c>
      <c r="B4345" s="44" t="n">
        <v>46263</v>
      </c>
      <c r="C4345" s="31" t="s">
        <v>60</v>
      </c>
      <c r="D4345" s="31" t="s">
        <v>66</v>
      </c>
      <c r="E4345" s="31" t="s">
        <v>51</v>
      </c>
      <c r="F4345" s="31" t="s">
        <v>136</v>
      </c>
      <c r="G4345" s="31" t="n">
        <v>1</v>
      </c>
      <c r="H4345" s="41" t="n">
        <v>3.7</v>
      </c>
      <c r="I4345" s="31" t="s">
        <v>149</v>
      </c>
      <c r="J4345" s="31"/>
      <c r="K4345" s="31" t="s">
        <v>150</v>
      </c>
      <c r="L4345" s="45" t="n">
        <f aca="false">DATE(YEAR(B4345),MONTH(B4345),1)</f>
        <v>46235</v>
      </c>
      <c r="M4345" s="31" t="n">
        <f aca="false">WEEKDAY(B4345,2)</f>
        <v>6</v>
      </c>
      <c r="N4345" s="31" t="str">
        <f aca="false">IF(G4345&lt;=INDEX(Assumptions!$B$15:$B$18,MATCH(E4345,Assumptions!$A$15:$A$18,0)),"Yes","No")</f>
        <v>Yes</v>
      </c>
      <c r="O4345" s="31" t="str">
        <f aca="false">IF(H4345="","Open",IF(H4345&lt;=INDEX(Assumptions!$C$15:$C$18,MATCH(E4345,Assumptions!$A$15:$A$18,0)),"Yes","No"))</f>
        <v>Yes</v>
      </c>
    </row>
    <row r="4346" customFormat="false" ht="15" hidden="false" customHeight="false" outlineLevel="0" collapsed="false">
      <c r="A4346" s="31" t="s">
        <v>4496</v>
      </c>
      <c r="B4346" s="44" t="n">
        <v>46263</v>
      </c>
      <c r="C4346" s="31" t="s">
        <v>57</v>
      </c>
      <c r="D4346" s="31" t="s">
        <v>65</v>
      </c>
      <c r="E4346" s="31" t="s">
        <v>50</v>
      </c>
      <c r="F4346" s="31" t="s">
        <v>134</v>
      </c>
      <c r="G4346" s="31" t="n">
        <v>6</v>
      </c>
      <c r="H4346" s="41" t="n">
        <v>2.1</v>
      </c>
      <c r="I4346" s="31" t="s">
        <v>149</v>
      </c>
      <c r="J4346" s="31"/>
      <c r="K4346" s="31" t="s">
        <v>150</v>
      </c>
      <c r="L4346" s="45" t="n">
        <f aca="false">DATE(YEAR(B4346),MONTH(B4346),1)</f>
        <v>46235</v>
      </c>
      <c r="M4346" s="31" t="n">
        <f aca="false">WEEKDAY(B4346,2)</f>
        <v>6</v>
      </c>
      <c r="N4346" s="31" t="str">
        <f aca="false">IF(G4346&lt;=INDEX(Assumptions!$B$15:$B$18,MATCH(E4346,Assumptions!$A$15:$A$18,0)),"Yes","No")</f>
        <v>Yes</v>
      </c>
      <c r="O4346" s="31" t="str">
        <f aca="false">IF(H4346="","Open",IF(H4346&lt;=INDEX(Assumptions!$C$15:$C$18,MATCH(E4346,Assumptions!$A$15:$A$18,0)),"Yes","No"))</f>
        <v>Yes</v>
      </c>
    </row>
    <row r="4347" customFormat="false" ht="15" hidden="false" customHeight="false" outlineLevel="0" collapsed="false">
      <c r="A4347" s="31" t="s">
        <v>4497</v>
      </c>
      <c r="B4347" s="44" t="n">
        <v>46263</v>
      </c>
      <c r="C4347" s="31" t="s">
        <v>59</v>
      </c>
      <c r="D4347" s="31" t="s">
        <v>66</v>
      </c>
      <c r="E4347" s="31" t="s">
        <v>51</v>
      </c>
      <c r="F4347" s="31" t="s">
        <v>134</v>
      </c>
      <c r="G4347" s="31" t="n">
        <v>137</v>
      </c>
      <c r="H4347" s="41" t="n">
        <v>30.9</v>
      </c>
      <c r="I4347" s="31" t="s">
        <v>149</v>
      </c>
      <c r="J4347" s="31"/>
      <c r="K4347" s="31" t="s">
        <v>150</v>
      </c>
      <c r="L4347" s="45" t="n">
        <f aca="false">DATE(YEAR(B4347),MONTH(B4347),1)</f>
        <v>46235</v>
      </c>
      <c r="M4347" s="31" t="n">
        <f aca="false">WEEKDAY(B4347,2)</f>
        <v>6</v>
      </c>
      <c r="N4347" s="31" t="str">
        <f aca="false">IF(G4347&lt;=INDEX(Assumptions!$B$15:$B$18,MATCH(E4347,Assumptions!$A$15:$A$18,0)),"Yes","No")</f>
        <v>No</v>
      </c>
      <c r="O4347" s="31" t="str">
        <f aca="false">IF(H4347="","Open",IF(H4347&lt;=INDEX(Assumptions!$C$15:$C$18,MATCH(E4347,Assumptions!$A$15:$A$18,0)),"Yes","No"))</f>
        <v>No</v>
      </c>
    </row>
    <row r="4348" customFormat="false" ht="15" hidden="false" customHeight="false" outlineLevel="0" collapsed="false">
      <c r="A4348" s="31" t="s">
        <v>4498</v>
      </c>
      <c r="B4348" s="44" t="n">
        <v>46263</v>
      </c>
      <c r="C4348" s="31" t="s">
        <v>58</v>
      </c>
      <c r="D4348" s="31" t="s">
        <v>66</v>
      </c>
      <c r="E4348" s="31" t="s">
        <v>51</v>
      </c>
      <c r="F4348" s="31" t="s">
        <v>120</v>
      </c>
      <c r="G4348" s="31" t="n">
        <v>16</v>
      </c>
      <c r="H4348" s="41" t="n">
        <v>2.3</v>
      </c>
      <c r="I4348" s="31" t="s">
        <v>149</v>
      </c>
      <c r="J4348" s="31"/>
      <c r="K4348" s="31" t="s">
        <v>150</v>
      </c>
      <c r="L4348" s="45" t="n">
        <f aca="false">DATE(YEAR(B4348),MONTH(B4348),1)</f>
        <v>46235</v>
      </c>
      <c r="M4348" s="31" t="n">
        <f aca="false">WEEKDAY(B4348,2)</f>
        <v>6</v>
      </c>
      <c r="N4348" s="31" t="str">
        <f aca="false">IF(G4348&lt;=INDEX(Assumptions!$B$15:$B$18,MATCH(E4348,Assumptions!$A$15:$A$18,0)),"Yes","No")</f>
        <v>Yes</v>
      </c>
      <c r="O4348" s="31" t="str">
        <f aca="false">IF(H4348="","Open",IF(H4348&lt;=INDEX(Assumptions!$C$15:$C$18,MATCH(E4348,Assumptions!$A$15:$A$18,0)),"Yes","No"))</f>
        <v>Yes</v>
      </c>
    </row>
    <row r="4349" customFormat="false" ht="15" hidden="false" customHeight="false" outlineLevel="0" collapsed="false">
      <c r="A4349" s="31" t="s">
        <v>4499</v>
      </c>
      <c r="B4349" s="44" t="n">
        <v>46263</v>
      </c>
      <c r="C4349" s="31" t="s">
        <v>58</v>
      </c>
      <c r="D4349" s="31" t="s">
        <v>69</v>
      </c>
      <c r="E4349" s="31" t="s">
        <v>51</v>
      </c>
      <c r="F4349" s="31" t="s">
        <v>135</v>
      </c>
      <c r="G4349" s="31" t="n">
        <v>21</v>
      </c>
      <c r="H4349" s="41" t="n">
        <v>50.5</v>
      </c>
      <c r="I4349" s="31" t="s">
        <v>149</v>
      </c>
      <c r="J4349" s="31"/>
      <c r="K4349" s="31" t="s">
        <v>150</v>
      </c>
      <c r="L4349" s="45" t="n">
        <f aca="false">DATE(YEAR(B4349),MONTH(B4349),1)</f>
        <v>46235</v>
      </c>
      <c r="M4349" s="31" t="n">
        <f aca="false">WEEKDAY(B4349,2)</f>
        <v>6</v>
      </c>
      <c r="N4349" s="31" t="str">
        <f aca="false">IF(G4349&lt;=INDEX(Assumptions!$B$15:$B$18,MATCH(E4349,Assumptions!$A$15:$A$18,0)),"Yes","No")</f>
        <v>Yes</v>
      </c>
      <c r="O4349" s="31" t="str">
        <f aca="false">IF(H4349="","Open",IF(H4349&lt;=INDEX(Assumptions!$C$15:$C$18,MATCH(E4349,Assumptions!$A$15:$A$18,0)),"Yes","No"))</f>
        <v>No</v>
      </c>
    </row>
    <row r="4350" customFormat="false" ht="15" hidden="false" customHeight="false" outlineLevel="0" collapsed="false">
      <c r="A4350" s="31" t="s">
        <v>4500</v>
      </c>
      <c r="B4350" s="44" t="n">
        <v>46263</v>
      </c>
      <c r="C4350" s="31" t="s">
        <v>57</v>
      </c>
      <c r="D4350" s="31" t="s">
        <v>69</v>
      </c>
      <c r="E4350" s="31" t="s">
        <v>51</v>
      </c>
      <c r="F4350" s="31" t="s">
        <v>126</v>
      </c>
      <c r="G4350" s="31" t="n">
        <v>19</v>
      </c>
      <c r="H4350" s="41" t="n">
        <v>11</v>
      </c>
      <c r="I4350" s="31" t="s">
        <v>149</v>
      </c>
      <c r="J4350" s="31"/>
      <c r="K4350" s="31" t="s">
        <v>150</v>
      </c>
      <c r="L4350" s="45" t="n">
        <f aca="false">DATE(YEAR(B4350),MONTH(B4350),1)</f>
        <v>46235</v>
      </c>
      <c r="M4350" s="31" t="n">
        <f aca="false">WEEKDAY(B4350,2)</f>
        <v>6</v>
      </c>
      <c r="N4350" s="31" t="str">
        <f aca="false">IF(G4350&lt;=INDEX(Assumptions!$B$15:$B$18,MATCH(E4350,Assumptions!$A$15:$A$18,0)),"Yes","No")</f>
        <v>Yes</v>
      </c>
      <c r="O4350" s="31" t="str">
        <f aca="false">IF(H4350="","Open",IF(H4350&lt;=INDEX(Assumptions!$C$15:$C$18,MATCH(E4350,Assumptions!$A$15:$A$18,0)),"Yes","No"))</f>
        <v>Yes</v>
      </c>
    </row>
    <row r="4351" customFormat="false" ht="15" hidden="false" customHeight="false" outlineLevel="0" collapsed="false">
      <c r="A4351" s="31" t="s">
        <v>4501</v>
      </c>
      <c r="B4351" s="44" t="n">
        <v>46263</v>
      </c>
      <c r="C4351" s="31" t="s">
        <v>57</v>
      </c>
      <c r="D4351" s="31" t="s">
        <v>66</v>
      </c>
      <c r="E4351" s="31" t="s">
        <v>51</v>
      </c>
      <c r="F4351" s="31" t="s">
        <v>131</v>
      </c>
      <c r="G4351" s="31" t="n">
        <v>3</v>
      </c>
      <c r="H4351" s="41" t="n">
        <v>5.4</v>
      </c>
      <c r="I4351" s="31" t="s">
        <v>149</v>
      </c>
      <c r="J4351" s="31"/>
      <c r="K4351" s="31" t="s">
        <v>150</v>
      </c>
      <c r="L4351" s="45" t="n">
        <f aca="false">DATE(YEAR(B4351),MONTH(B4351),1)</f>
        <v>46235</v>
      </c>
      <c r="M4351" s="31" t="n">
        <f aca="false">WEEKDAY(B4351,2)</f>
        <v>6</v>
      </c>
      <c r="N4351" s="31" t="str">
        <f aca="false">IF(G4351&lt;=INDEX(Assumptions!$B$15:$B$18,MATCH(E4351,Assumptions!$A$15:$A$18,0)),"Yes","No")</f>
        <v>Yes</v>
      </c>
      <c r="O4351" s="31" t="str">
        <f aca="false">IF(H4351="","Open",IF(H4351&lt;=INDEX(Assumptions!$C$15:$C$18,MATCH(E4351,Assumptions!$A$15:$A$18,0)),"Yes","No"))</f>
        <v>Yes</v>
      </c>
    </row>
    <row r="4352" customFormat="false" ht="15" hidden="false" customHeight="false" outlineLevel="0" collapsed="false">
      <c r="A4352" s="31" t="s">
        <v>4502</v>
      </c>
      <c r="B4352" s="44" t="n">
        <v>46263</v>
      </c>
      <c r="C4352" s="31" t="s">
        <v>57</v>
      </c>
      <c r="D4352" s="31" t="s">
        <v>67</v>
      </c>
      <c r="E4352" s="31" t="s">
        <v>51</v>
      </c>
      <c r="F4352" s="31" t="s">
        <v>128</v>
      </c>
      <c r="G4352" s="31" t="n">
        <v>13</v>
      </c>
      <c r="H4352" s="41" t="n">
        <v>18.6</v>
      </c>
      <c r="I4352" s="31" t="s">
        <v>149</v>
      </c>
      <c r="J4352" s="31" t="n">
        <v>4</v>
      </c>
      <c r="K4352" s="31" t="s">
        <v>150</v>
      </c>
      <c r="L4352" s="45" t="n">
        <f aca="false">DATE(YEAR(B4352),MONTH(B4352),1)</f>
        <v>46235</v>
      </c>
      <c r="M4352" s="31" t="n">
        <f aca="false">WEEKDAY(B4352,2)</f>
        <v>6</v>
      </c>
      <c r="N4352" s="31" t="str">
        <f aca="false">IF(G4352&lt;=INDEX(Assumptions!$B$15:$B$18,MATCH(E4352,Assumptions!$A$15:$A$18,0)),"Yes","No")</f>
        <v>Yes</v>
      </c>
      <c r="O4352" s="31" t="str">
        <f aca="false">IF(H4352="","Open",IF(H4352&lt;=INDEX(Assumptions!$C$15:$C$18,MATCH(E4352,Assumptions!$A$15:$A$18,0)),"Yes","No"))</f>
        <v>Yes</v>
      </c>
    </row>
    <row r="4353" customFormat="false" ht="15" hidden="false" customHeight="false" outlineLevel="0" collapsed="false">
      <c r="A4353" s="31" t="s">
        <v>4503</v>
      </c>
      <c r="B4353" s="44" t="n">
        <v>46263</v>
      </c>
      <c r="C4353" s="31" t="s">
        <v>59</v>
      </c>
      <c r="D4353" s="31" t="s">
        <v>66</v>
      </c>
      <c r="E4353" s="31" t="s">
        <v>51</v>
      </c>
      <c r="F4353" s="31" t="s">
        <v>129</v>
      </c>
      <c r="G4353" s="31" t="n">
        <v>72</v>
      </c>
      <c r="H4353" s="41" t="n">
        <v>3.8</v>
      </c>
      <c r="I4353" s="31" t="s">
        <v>149</v>
      </c>
      <c r="J4353" s="31" t="n">
        <v>5</v>
      </c>
      <c r="K4353" s="31" t="s">
        <v>150</v>
      </c>
      <c r="L4353" s="45" t="n">
        <f aca="false">DATE(YEAR(B4353),MONTH(B4353),1)</f>
        <v>46235</v>
      </c>
      <c r="M4353" s="31" t="n">
        <f aca="false">WEEKDAY(B4353,2)</f>
        <v>6</v>
      </c>
      <c r="N4353" s="31" t="str">
        <f aca="false">IF(G4353&lt;=INDEX(Assumptions!$B$15:$B$18,MATCH(E4353,Assumptions!$A$15:$A$18,0)),"Yes","No")</f>
        <v>No</v>
      </c>
      <c r="O4353" s="31" t="str">
        <f aca="false">IF(H4353="","Open",IF(H4353&lt;=INDEX(Assumptions!$C$15:$C$18,MATCH(E4353,Assumptions!$A$15:$A$18,0)),"Yes","No"))</f>
        <v>Yes</v>
      </c>
    </row>
    <row r="4354" customFormat="false" ht="15" hidden="false" customHeight="false" outlineLevel="0" collapsed="false">
      <c r="A4354" s="31" t="s">
        <v>4504</v>
      </c>
      <c r="B4354" s="44" t="n">
        <v>46263</v>
      </c>
      <c r="C4354" s="31" t="s">
        <v>60</v>
      </c>
      <c r="D4354" s="31" t="s">
        <v>65</v>
      </c>
      <c r="E4354" s="31" t="s">
        <v>49</v>
      </c>
      <c r="F4354" s="31" t="s">
        <v>130</v>
      </c>
      <c r="G4354" s="31" t="n">
        <v>1</v>
      </c>
      <c r="H4354" s="41" t="n">
        <v>8.7</v>
      </c>
      <c r="I4354" s="31" t="s">
        <v>149</v>
      </c>
      <c r="J4354" s="31"/>
      <c r="K4354" s="31" t="s">
        <v>150</v>
      </c>
      <c r="L4354" s="45" t="n">
        <f aca="false">DATE(YEAR(B4354),MONTH(B4354),1)</f>
        <v>46235</v>
      </c>
      <c r="M4354" s="31" t="n">
        <f aca="false">WEEKDAY(B4354,2)</f>
        <v>6</v>
      </c>
      <c r="N4354" s="31" t="str">
        <f aca="false">IF(G4354&lt;=INDEX(Assumptions!$B$15:$B$18,MATCH(E4354,Assumptions!$A$15:$A$18,0)),"Yes","No")</f>
        <v>Yes</v>
      </c>
      <c r="O4354" s="31" t="str">
        <f aca="false">IF(H4354="","Open",IF(H4354&lt;=INDEX(Assumptions!$C$15:$C$18,MATCH(E4354,Assumptions!$A$15:$A$18,0)),"Yes","No"))</f>
        <v>No</v>
      </c>
    </row>
    <row r="4355" customFormat="false" ht="15" hidden="false" customHeight="false" outlineLevel="0" collapsed="false">
      <c r="A4355" s="31" t="s">
        <v>4505</v>
      </c>
      <c r="B4355" s="44" t="n">
        <v>46263</v>
      </c>
      <c r="C4355" s="31" t="s">
        <v>58</v>
      </c>
      <c r="D4355" s="31" t="s">
        <v>65</v>
      </c>
      <c r="E4355" s="31" t="s">
        <v>49</v>
      </c>
      <c r="F4355" s="31" t="s">
        <v>133</v>
      </c>
      <c r="G4355" s="31" t="n">
        <v>3</v>
      </c>
      <c r="H4355" s="41" t="n">
        <v>5.9</v>
      </c>
      <c r="I4355" s="31" t="s">
        <v>149</v>
      </c>
      <c r="J4355" s="31"/>
      <c r="K4355" s="31" t="s">
        <v>150</v>
      </c>
      <c r="L4355" s="45" t="n">
        <f aca="false">DATE(YEAR(B4355),MONTH(B4355),1)</f>
        <v>46235</v>
      </c>
      <c r="M4355" s="31" t="n">
        <f aca="false">WEEKDAY(B4355,2)</f>
        <v>6</v>
      </c>
      <c r="N4355" s="31" t="str">
        <f aca="false">IF(G4355&lt;=INDEX(Assumptions!$B$15:$B$18,MATCH(E4355,Assumptions!$A$15:$A$18,0)),"Yes","No")</f>
        <v>Yes</v>
      </c>
      <c r="O4355" s="31" t="str">
        <f aca="false">IF(H4355="","Open",IF(H4355&lt;=INDEX(Assumptions!$C$15:$C$18,MATCH(E4355,Assumptions!$A$15:$A$18,0)),"Yes","No"))</f>
        <v>No</v>
      </c>
    </row>
    <row r="4356" customFormat="false" ht="15" hidden="false" customHeight="false" outlineLevel="0" collapsed="false">
      <c r="A4356" s="31" t="s">
        <v>4506</v>
      </c>
      <c r="B4356" s="44" t="n">
        <v>46263</v>
      </c>
      <c r="C4356" s="31" t="s">
        <v>59</v>
      </c>
      <c r="D4356" s="31" t="s">
        <v>65</v>
      </c>
      <c r="E4356" s="31" t="s">
        <v>51</v>
      </c>
      <c r="F4356" s="31" t="s">
        <v>117</v>
      </c>
      <c r="G4356" s="31" t="n">
        <v>38</v>
      </c>
      <c r="H4356" s="41" t="n">
        <v>29.7</v>
      </c>
      <c r="I4356" s="31" t="s">
        <v>149</v>
      </c>
      <c r="J4356" s="31" t="n">
        <v>4</v>
      </c>
      <c r="K4356" s="31" t="s">
        <v>150</v>
      </c>
      <c r="L4356" s="45" t="n">
        <f aca="false">DATE(YEAR(B4356),MONTH(B4356),1)</f>
        <v>46235</v>
      </c>
      <c r="M4356" s="31" t="n">
        <f aca="false">WEEKDAY(B4356,2)</f>
        <v>6</v>
      </c>
      <c r="N4356" s="31" t="str">
        <f aca="false">IF(G4356&lt;=INDEX(Assumptions!$B$15:$B$18,MATCH(E4356,Assumptions!$A$15:$A$18,0)),"Yes","No")</f>
        <v>Yes</v>
      </c>
      <c r="O4356" s="31" t="str">
        <f aca="false">IF(H4356="","Open",IF(H4356&lt;=INDEX(Assumptions!$C$15:$C$18,MATCH(E4356,Assumptions!$A$15:$A$18,0)),"Yes","No"))</f>
        <v>No</v>
      </c>
    </row>
    <row r="4357" customFormat="false" ht="15" hidden="false" customHeight="false" outlineLevel="0" collapsed="false">
      <c r="A4357" s="31" t="s">
        <v>4507</v>
      </c>
      <c r="B4357" s="44" t="n">
        <v>46263</v>
      </c>
      <c r="C4357" s="31" t="s">
        <v>60</v>
      </c>
      <c r="D4357" s="31" t="s">
        <v>69</v>
      </c>
      <c r="E4357" s="31" t="s">
        <v>50</v>
      </c>
      <c r="F4357" s="31" t="s">
        <v>120</v>
      </c>
      <c r="G4357" s="31" t="n">
        <v>1</v>
      </c>
      <c r="H4357" s="41" t="n">
        <v>127.3</v>
      </c>
      <c r="I4357" s="31" t="s">
        <v>149</v>
      </c>
      <c r="J4357" s="31"/>
      <c r="K4357" s="31" t="s">
        <v>150</v>
      </c>
      <c r="L4357" s="45" t="n">
        <f aca="false">DATE(YEAR(B4357),MONTH(B4357),1)</f>
        <v>46235</v>
      </c>
      <c r="M4357" s="31" t="n">
        <f aca="false">WEEKDAY(B4357,2)</f>
        <v>6</v>
      </c>
      <c r="N4357" s="31" t="str">
        <f aca="false">IF(G4357&lt;=INDEX(Assumptions!$B$15:$B$18,MATCH(E4357,Assumptions!$A$15:$A$18,0)),"Yes","No")</f>
        <v>Yes</v>
      </c>
      <c r="O4357" s="31" t="str">
        <f aca="false">IF(H4357="","Open",IF(H4357&lt;=INDEX(Assumptions!$C$15:$C$18,MATCH(E4357,Assumptions!$A$15:$A$18,0)),"Yes","No"))</f>
        <v>No</v>
      </c>
    </row>
    <row r="4358" customFormat="false" ht="15" hidden="false" customHeight="false" outlineLevel="0" collapsed="false">
      <c r="A4358" s="31" t="s">
        <v>4508</v>
      </c>
      <c r="B4358" s="44" t="n">
        <v>46263</v>
      </c>
      <c r="C4358" s="31" t="s">
        <v>60</v>
      </c>
      <c r="D4358" s="31" t="s">
        <v>67</v>
      </c>
      <c r="E4358" s="31" t="s">
        <v>52</v>
      </c>
      <c r="F4358" s="31" t="s">
        <v>133</v>
      </c>
      <c r="G4358" s="31" t="n">
        <v>3</v>
      </c>
      <c r="H4358" s="41" t="n">
        <v>15.3</v>
      </c>
      <c r="I4358" s="31" t="s">
        <v>149</v>
      </c>
      <c r="J4358" s="31"/>
      <c r="K4358" s="31" t="s">
        <v>150</v>
      </c>
      <c r="L4358" s="45" t="n">
        <f aca="false">DATE(YEAR(B4358),MONTH(B4358),1)</f>
        <v>46235</v>
      </c>
      <c r="M4358" s="31" t="n">
        <f aca="false">WEEKDAY(B4358,2)</f>
        <v>6</v>
      </c>
      <c r="N4358" s="31" t="str">
        <f aca="false">IF(G4358&lt;=INDEX(Assumptions!$B$15:$B$18,MATCH(E4358,Assumptions!$A$15:$A$18,0)),"Yes","No")</f>
        <v>Yes</v>
      </c>
      <c r="O4358" s="31" t="str">
        <f aca="false">IF(H4358="","Open",IF(H4358&lt;=INDEX(Assumptions!$C$15:$C$18,MATCH(E4358,Assumptions!$A$15:$A$18,0)),"Yes","No"))</f>
        <v>Yes</v>
      </c>
    </row>
    <row r="4359" customFormat="false" ht="15" hidden="false" customHeight="false" outlineLevel="0" collapsed="false">
      <c r="A4359" s="31" t="s">
        <v>4509</v>
      </c>
      <c r="B4359" s="44" t="n">
        <v>46263</v>
      </c>
      <c r="C4359" s="31" t="s">
        <v>60</v>
      </c>
      <c r="D4359" s="31" t="s">
        <v>67</v>
      </c>
      <c r="E4359" s="31" t="s">
        <v>52</v>
      </c>
      <c r="F4359" s="31" t="s">
        <v>128</v>
      </c>
      <c r="G4359" s="31" t="n">
        <v>3</v>
      </c>
      <c r="H4359" s="41" t="n">
        <v>45.7</v>
      </c>
      <c r="I4359" s="31" t="s">
        <v>149</v>
      </c>
      <c r="J4359" s="31"/>
      <c r="K4359" s="31" t="s">
        <v>150</v>
      </c>
      <c r="L4359" s="45" t="n">
        <f aca="false">DATE(YEAR(B4359),MONTH(B4359),1)</f>
        <v>46235</v>
      </c>
      <c r="M4359" s="31" t="n">
        <f aca="false">WEEKDAY(B4359,2)</f>
        <v>6</v>
      </c>
      <c r="N4359" s="31" t="str">
        <f aca="false">IF(G4359&lt;=INDEX(Assumptions!$B$15:$B$18,MATCH(E4359,Assumptions!$A$15:$A$18,0)),"Yes","No")</f>
        <v>Yes</v>
      </c>
      <c r="O4359" s="31" t="str">
        <f aca="false">IF(H4359="","Open",IF(H4359&lt;=INDEX(Assumptions!$C$15:$C$18,MATCH(E4359,Assumptions!$A$15:$A$18,0)),"Yes","No"))</f>
        <v>Yes</v>
      </c>
    </row>
    <row r="4360" customFormat="false" ht="15" hidden="false" customHeight="false" outlineLevel="0" collapsed="false">
      <c r="A4360" s="31" t="s">
        <v>4510</v>
      </c>
      <c r="B4360" s="44" t="n">
        <v>46263</v>
      </c>
      <c r="C4360" s="31" t="s">
        <v>60</v>
      </c>
      <c r="D4360" s="31" t="s">
        <v>65</v>
      </c>
      <c r="E4360" s="31" t="s">
        <v>50</v>
      </c>
      <c r="F4360" s="31" t="s">
        <v>117</v>
      </c>
      <c r="G4360" s="31" t="n">
        <v>1</v>
      </c>
      <c r="H4360" s="41" t="n">
        <v>2.6</v>
      </c>
      <c r="I4360" s="31" t="s">
        <v>149</v>
      </c>
      <c r="J4360" s="31"/>
      <c r="K4360" s="31" t="s">
        <v>150</v>
      </c>
      <c r="L4360" s="45" t="n">
        <f aca="false">DATE(YEAR(B4360),MONTH(B4360),1)</f>
        <v>46235</v>
      </c>
      <c r="M4360" s="31" t="n">
        <f aca="false">WEEKDAY(B4360,2)</f>
        <v>6</v>
      </c>
      <c r="N4360" s="31" t="str">
        <f aca="false">IF(G4360&lt;=INDEX(Assumptions!$B$15:$B$18,MATCH(E4360,Assumptions!$A$15:$A$18,0)),"Yes","No")</f>
        <v>Yes</v>
      </c>
      <c r="O4360" s="31" t="str">
        <f aca="false">IF(H4360="","Open",IF(H4360&lt;=INDEX(Assumptions!$C$15:$C$18,MATCH(E4360,Assumptions!$A$15:$A$18,0)),"Yes","No"))</f>
        <v>Yes</v>
      </c>
    </row>
    <row r="4361" customFormat="false" ht="15" hidden="false" customHeight="false" outlineLevel="0" collapsed="false">
      <c r="A4361" s="31" t="s">
        <v>4511</v>
      </c>
      <c r="B4361" s="44" t="n">
        <v>46263</v>
      </c>
      <c r="C4361" s="31" t="s">
        <v>60</v>
      </c>
      <c r="D4361" s="31" t="s">
        <v>66</v>
      </c>
      <c r="E4361" s="31" t="s">
        <v>51</v>
      </c>
      <c r="F4361" s="31" t="s">
        <v>126</v>
      </c>
      <c r="G4361" s="31" t="n">
        <v>1</v>
      </c>
      <c r="H4361" s="41" t="n">
        <v>24.5</v>
      </c>
      <c r="I4361" s="31" t="s">
        <v>64</v>
      </c>
      <c r="J4361" s="31" t="n">
        <v>2</v>
      </c>
      <c r="K4361" s="31" t="s">
        <v>153</v>
      </c>
      <c r="L4361" s="45" t="n">
        <f aca="false">DATE(YEAR(B4361),MONTH(B4361),1)</f>
        <v>46235</v>
      </c>
      <c r="M4361" s="31" t="n">
        <f aca="false">WEEKDAY(B4361,2)</f>
        <v>6</v>
      </c>
      <c r="N4361" s="31" t="str">
        <f aca="false">IF(G4361&lt;=INDEX(Assumptions!$B$15:$B$18,MATCH(E4361,Assumptions!$A$15:$A$18,0)),"Yes","No")</f>
        <v>Yes</v>
      </c>
      <c r="O4361" s="31" t="str">
        <f aca="false">IF(H4361="","Open",IF(H4361&lt;=INDEX(Assumptions!$C$15:$C$18,MATCH(E4361,Assumptions!$A$15:$A$18,0)),"Yes","No"))</f>
        <v>No</v>
      </c>
    </row>
    <row r="4362" customFormat="false" ht="15" hidden="false" customHeight="false" outlineLevel="0" collapsed="false">
      <c r="A4362" s="31" t="s">
        <v>4512</v>
      </c>
      <c r="B4362" s="44" t="n">
        <v>46263</v>
      </c>
      <c r="C4362" s="31" t="s">
        <v>58</v>
      </c>
      <c r="D4362" s="31" t="s">
        <v>69</v>
      </c>
      <c r="E4362" s="31" t="s">
        <v>51</v>
      </c>
      <c r="F4362" s="31" t="s">
        <v>126</v>
      </c>
      <c r="G4362" s="31" t="n">
        <v>6</v>
      </c>
      <c r="H4362" s="41" t="n">
        <v>38.4</v>
      </c>
      <c r="I4362" s="31" t="s">
        <v>149</v>
      </c>
      <c r="J4362" s="31"/>
      <c r="K4362" s="31" t="s">
        <v>150</v>
      </c>
      <c r="L4362" s="45" t="n">
        <f aca="false">DATE(YEAR(B4362),MONTH(B4362),1)</f>
        <v>46235</v>
      </c>
      <c r="M4362" s="31" t="n">
        <f aca="false">WEEKDAY(B4362,2)</f>
        <v>6</v>
      </c>
      <c r="N4362" s="31" t="str">
        <f aca="false">IF(G4362&lt;=INDEX(Assumptions!$B$15:$B$18,MATCH(E4362,Assumptions!$A$15:$A$18,0)),"Yes","No")</f>
        <v>Yes</v>
      </c>
      <c r="O4362" s="31" t="str">
        <f aca="false">IF(H4362="","Open",IF(H4362&lt;=INDEX(Assumptions!$C$15:$C$18,MATCH(E4362,Assumptions!$A$15:$A$18,0)),"Yes","No"))</f>
        <v>No</v>
      </c>
    </row>
    <row r="4363" customFormat="false" ht="15" hidden="false" customHeight="false" outlineLevel="0" collapsed="false">
      <c r="A4363" s="31" t="s">
        <v>4513</v>
      </c>
      <c r="B4363" s="44" t="n">
        <v>46263</v>
      </c>
      <c r="C4363" s="31" t="s">
        <v>59</v>
      </c>
      <c r="D4363" s="31" t="s">
        <v>66</v>
      </c>
      <c r="E4363" s="31" t="s">
        <v>49</v>
      </c>
      <c r="F4363" s="31" t="s">
        <v>137</v>
      </c>
      <c r="G4363" s="31" t="n">
        <v>25</v>
      </c>
      <c r="H4363" s="41" t="n">
        <v>0.6</v>
      </c>
      <c r="I4363" s="31" t="s">
        <v>149</v>
      </c>
      <c r="J4363" s="31"/>
      <c r="K4363" s="31" t="s">
        <v>150</v>
      </c>
      <c r="L4363" s="45" t="n">
        <f aca="false">DATE(YEAR(B4363),MONTH(B4363),1)</f>
        <v>46235</v>
      </c>
      <c r="M4363" s="31" t="n">
        <f aca="false">WEEKDAY(B4363,2)</f>
        <v>6</v>
      </c>
      <c r="N4363" s="31" t="str">
        <f aca="false">IF(G4363&lt;=INDEX(Assumptions!$B$15:$B$18,MATCH(E4363,Assumptions!$A$15:$A$18,0)),"Yes","No")</f>
        <v>No</v>
      </c>
      <c r="O4363" s="31" t="str">
        <f aca="false">IF(H4363="","Open",IF(H4363&lt;=INDEX(Assumptions!$C$15:$C$18,MATCH(E4363,Assumptions!$A$15:$A$18,0)),"Yes","No"))</f>
        <v>Yes</v>
      </c>
    </row>
    <row r="4364" customFormat="false" ht="15" hidden="false" customHeight="false" outlineLevel="0" collapsed="false">
      <c r="A4364" s="31" t="s">
        <v>4514</v>
      </c>
      <c r="B4364" s="44" t="n">
        <v>46263</v>
      </c>
      <c r="C4364" s="31" t="s">
        <v>59</v>
      </c>
      <c r="D4364" s="31" t="s">
        <v>65</v>
      </c>
      <c r="E4364" s="31" t="s">
        <v>50</v>
      </c>
      <c r="F4364" s="31" t="s">
        <v>122</v>
      </c>
      <c r="G4364" s="31" t="n">
        <v>154</v>
      </c>
      <c r="H4364" s="41" t="n">
        <v>4.6</v>
      </c>
      <c r="I4364" s="31" t="s">
        <v>149</v>
      </c>
      <c r="J4364" s="31" t="n">
        <v>4</v>
      </c>
      <c r="K4364" s="31" t="s">
        <v>150</v>
      </c>
      <c r="L4364" s="45" t="n">
        <f aca="false">DATE(YEAR(B4364),MONTH(B4364),1)</f>
        <v>46235</v>
      </c>
      <c r="M4364" s="31" t="n">
        <f aca="false">WEEKDAY(B4364,2)</f>
        <v>6</v>
      </c>
      <c r="N4364" s="31" t="str">
        <f aca="false">IF(G4364&lt;=INDEX(Assumptions!$B$15:$B$18,MATCH(E4364,Assumptions!$A$15:$A$18,0)),"Yes","No")</f>
        <v>No</v>
      </c>
      <c r="O4364" s="31" t="str">
        <f aca="false">IF(H4364="","Open",IF(H4364&lt;=INDEX(Assumptions!$C$15:$C$18,MATCH(E4364,Assumptions!$A$15:$A$18,0)),"Yes","No"))</f>
        <v>Yes</v>
      </c>
    </row>
    <row r="4365" customFormat="false" ht="15" hidden="false" customHeight="false" outlineLevel="0" collapsed="false">
      <c r="A4365" s="31" t="s">
        <v>4515</v>
      </c>
      <c r="B4365" s="44" t="n">
        <v>46263</v>
      </c>
      <c r="C4365" s="31" t="s">
        <v>57</v>
      </c>
      <c r="D4365" s="31" t="s">
        <v>69</v>
      </c>
      <c r="E4365" s="31" t="s">
        <v>52</v>
      </c>
      <c r="F4365" s="31" t="s">
        <v>127</v>
      </c>
      <c r="G4365" s="31" t="n">
        <v>3</v>
      </c>
      <c r="H4365" s="41" t="n">
        <v>23.5</v>
      </c>
      <c r="I4365" s="31" t="s">
        <v>149</v>
      </c>
      <c r="J4365" s="31" t="n">
        <v>5</v>
      </c>
      <c r="K4365" s="31" t="s">
        <v>150</v>
      </c>
      <c r="L4365" s="45" t="n">
        <f aca="false">DATE(YEAR(B4365),MONTH(B4365),1)</f>
        <v>46235</v>
      </c>
      <c r="M4365" s="31" t="n">
        <f aca="false">WEEKDAY(B4365,2)</f>
        <v>6</v>
      </c>
      <c r="N4365" s="31" t="str">
        <f aca="false">IF(G4365&lt;=INDEX(Assumptions!$B$15:$B$18,MATCH(E4365,Assumptions!$A$15:$A$18,0)),"Yes","No")</f>
        <v>Yes</v>
      </c>
      <c r="O4365" s="31" t="str">
        <f aca="false">IF(H4365="","Open",IF(H4365&lt;=INDEX(Assumptions!$C$15:$C$18,MATCH(E4365,Assumptions!$A$15:$A$18,0)),"Yes","No"))</f>
        <v>Yes</v>
      </c>
    </row>
    <row r="4366" customFormat="false" ht="15" hidden="false" customHeight="false" outlineLevel="0" collapsed="false">
      <c r="A4366" s="31" t="s">
        <v>4516</v>
      </c>
      <c r="B4366" s="44" t="n">
        <v>46263</v>
      </c>
      <c r="C4366" s="31" t="s">
        <v>57</v>
      </c>
      <c r="D4366" s="31" t="s">
        <v>68</v>
      </c>
      <c r="E4366" s="31" t="s">
        <v>52</v>
      </c>
      <c r="F4366" s="31" t="s">
        <v>124</v>
      </c>
      <c r="G4366" s="31" t="n">
        <v>2</v>
      </c>
      <c r="H4366" s="41" t="n">
        <v>8.9</v>
      </c>
      <c r="I4366" s="31" t="s">
        <v>64</v>
      </c>
      <c r="J4366" s="31" t="n">
        <v>3</v>
      </c>
      <c r="K4366" s="31" t="s">
        <v>150</v>
      </c>
      <c r="L4366" s="45" t="n">
        <f aca="false">DATE(YEAR(B4366),MONTH(B4366),1)</f>
        <v>46235</v>
      </c>
      <c r="M4366" s="31" t="n">
        <f aca="false">WEEKDAY(B4366,2)</f>
        <v>6</v>
      </c>
      <c r="N4366" s="31" t="str">
        <f aca="false">IF(G4366&lt;=INDEX(Assumptions!$B$15:$B$18,MATCH(E4366,Assumptions!$A$15:$A$18,0)),"Yes","No")</f>
        <v>Yes</v>
      </c>
      <c r="O4366" s="31" t="str">
        <f aca="false">IF(H4366="","Open",IF(H4366&lt;=INDEX(Assumptions!$C$15:$C$18,MATCH(E4366,Assumptions!$A$15:$A$18,0)),"Yes","No"))</f>
        <v>Yes</v>
      </c>
    </row>
    <row r="4367" customFormat="false" ht="15" hidden="false" customHeight="false" outlineLevel="0" collapsed="false">
      <c r="A4367" s="31" t="s">
        <v>4517</v>
      </c>
      <c r="B4367" s="44" t="n">
        <v>46263</v>
      </c>
      <c r="C4367" s="31" t="s">
        <v>59</v>
      </c>
      <c r="D4367" s="31" t="s">
        <v>69</v>
      </c>
      <c r="E4367" s="31" t="s">
        <v>52</v>
      </c>
      <c r="F4367" s="31" t="s">
        <v>124</v>
      </c>
      <c r="G4367" s="31" t="n">
        <v>93</v>
      </c>
      <c r="H4367" s="41" t="n">
        <v>24.2</v>
      </c>
      <c r="I4367" s="31" t="s">
        <v>149</v>
      </c>
      <c r="J4367" s="31" t="n">
        <v>5</v>
      </c>
      <c r="K4367" s="31" t="s">
        <v>150</v>
      </c>
      <c r="L4367" s="45" t="n">
        <f aca="false">DATE(YEAR(B4367),MONTH(B4367),1)</f>
        <v>46235</v>
      </c>
      <c r="M4367" s="31" t="n">
        <f aca="false">WEEKDAY(B4367,2)</f>
        <v>6</v>
      </c>
      <c r="N4367" s="31" t="str">
        <f aca="false">IF(G4367&lt;=INDEX(Assumptions!$B$15:$B$18,MATCH(E4367,Assumptions!$A$15:$A$18,0)),"Yes","No")</f>
        <v>Yes</v>
      </c>
      <c r="O4367" s="31" t="str">
        <f aca="false">IF(H4367="","Open",IF(H4367&lt;=INDEX(Assumptions!$C$15:$C$18,MATCH(E4367,Assumptions!$A$15:$A$18,0)),"Yes","No"))</f>
        <v>Yes</v>
      </c>
    </row>
    <row r="4368" customFormat="false" ht="15" hidden="false" customHeight="false" outlineLevel="0" collapsed="false">
      <c r="A4368" s="31" t="s">
        <v>4518</v>
      </c>
      <c r="B4368" s="44" t="n">
        <v>46264</v>
      </c>
      <c r="C4368" s="31" t="s">
        <v>58</v>
      </c>
      <c r="D4368" s="31" t="s">
        <v>66</v>
      </c>
      <c r="E4368" s="31" t="s">
        <v>50</v>
      </c>
      <c r="F4368" s="31" t="s">
        <v>126</v>
      </c>
      <c r="G4368" s="31" t="n">
        <v>5</v>
      </c>
      <c r="H4368" s="41" t="n">
        <v>8.9</v>
      </c>
      <c r="I4368" s="31" t="s">
        <v>149</v>
      </c>
      <c r="J4368" s="31" t="n">
        <v>4</v>
      </c>
      <c r="K4368" s="31" t="s">
        <v>150</v>
      </c>
      <c r="L4368" s="45" t="n">
        <f aca="false">DATE(YEAR(B4368),MONTH(B4368),1)</f>
        <v>46235</v>
      </c>
      <c r="M4368" s="31" t="n">
        <f aca="false">WEEKDAY(B4368,2)</f>
        <v>7</v>
      </c>
      <c r="N4368" s="31" t="str">
        <f aca="false">IF(G4368&lt;=INDEX(Assumptions!$B$15:$B$18,MATCH(E4368,Assumptions!$A$15:$A$18,0)),"Yes","No")</f>
        <v>Yes</v>
      </c>
      <c r="O4368" s="31" t="str">
        <f aca="false">IF(H4368="","Open",IF(H4368&lt;=INDEX(Assumptions!$C$15:$C$18,MATCH(E4368,Assumptions!$A$15:$A$18,0)),"Yes","No"))</f>
        <v>No</v>
      </c>
    </row>
    <row r="4369" customFormat="false" ht="15" hidden="false" customHeight="false" outlineLevel="0" collapsed="false">
      <c r="A4369" s="31" t="s">
        <v>4519</v>
      </c>
      <c r="B4369" s="44" t="n">
        <v>46264</v>
      </c>
      <c r="C4369" s="31" t="s">
        <v>57</v>
      </c>
      <c r="D4369" s="31" t="s">
        <v>65</v>
      </c>
      <c r="E4369" s="31" t="s">
        <v>52</v>
      </c>
      <c r="F4369" s="31" t="s">
        <v>129</v>
      </c>
      <c r="G4369" s="31" t="n">
        <v>1</v>
      </c>
      <c r="H4369" s="41" t="n">
        <v>36.2</v>
      </c>
      <c r="I4369" s="31" t="s">
        <v>149</v>
      </c>
      <c r="J4369" s="31" t="n">
        <v>5</v>
      </c>
      <c r="K4369" s="31" t="s">
        <v>150</v>
      </c>
      <c r="L4369" s="45" t="n">
        <f aca="false">DATE(YEAR(B4369),MONTH(B4369),1)</f>
        <v>46235</v>
      </c>
      <c r="M4369" s="31" t="n">
        <f aca="false">WEEKDAY(B4369,2)</f>
        <v>7</v>
      </c>
      <c r="N4369" s="31" t="str">
        <f aca="false">IF(G4369&lt;=INDEX(Assumptions!$B$15:$B$18,MATCH(E4369,Assumptions!$A$15:$A$18,0)),"Yes","No")</f>
        <v>Yes</v>
      </c>
      <c r="O4369" s="31" t="str">
        <f aca="false">IF(H4369="","Open",IF(H4369&lt;=INDEX(Assumptions!$C$15:$C$18,MATCH(E4369,Assumptions!$A$15:$A$18,0)),"Yes","No"))</f>
        <v>Yes</v>
      </c>
    </row>
    <row r="4370" customFormat="false" ht="15" hidden="false" customHeight="false" outlineLevel="0" collapsed="false">
      <c r="A4370" s="31" t="s">
        <v>4520</v>
      </c>
      <c r="B4370" s="44" t="n">
        <v>46264</v>
      </c>
      <c r="C4370" s="31" t="s">
        <v>59</v>
      </c>
      <c r="D4370" s="31" t="s">
        <v>68</v>
      </c>
      <c r="E4370" s="31" t="s">
        <v>51</v>
      </c>
      <c r="F4370" s="31" t="s">
        <v>123</v>
      </c>
      <c r="G4370" s="31" t="n">
        <v>242</v>
      </c>
      <c r="H4370" s="41" t="n">
        <v>7.3</v>
      </c>
      <c r="I4370" s="31" t="s">
        <v>149</v>
      </c>
      <c r="J4370" s="31" t="n">
        <v>3</v>
      </c>
      <c r="K4370" s="31" t="s">
        <v>150</v>
      </c>
      <c r="L4370" s="45" t="n">
        <f aca="false">DATE(YEAR(B4370),MONTH(B4370),1)</f>
        <v>46235</v>
      </c>
      <c r="M4370" s="31" t="n">
        <f aca="false">WEEKDAY(B4370,2)</f>
        <v>7</v>
      </c>
      <c r="N4370" s="31" t="str">
        <f aca="false">IF(G4370&lt;=INDEX(Assumptions!$B$15:$B$18,MATCH(E4370,Assumptions!$A$15:$A$18,0)),"Yes","No")</f>
        <v>No</v>
      </c>
      <c r="O4370" s="31" t="str">
        <f aca="false">IF(H4370="","Open",IF(H4370&lt;=INDEX(Assumptions!$C$15:$C$18,MATCH(E4370,Assumptions!$A$15:$A$18,0)),"Yes","No"))</f>
        <v>Yes</v>
      </c>
    </row>
    <row r="4371" customFormat="false" ht="15" hidden="false" customHeight="false" outlineLevel="0" collapsed="false">
      <c r="A4371" s="31" t="s">
        <v>4521</v>
      </c>
      <c r="B4371" s="44" t="n">
        <v>46264</v>
      </c>
      <c r="C4371" s="31" t="s">
        <v>60</v>
      </c>
      <c r="D4371" s="31" t="s">
        <v>65</v>
      </c>
      <c r="E4371" s="31" t="s">
        <v>50</v>
      </c>
      <c r="F4371" s="31" t="s">
        <v>127</v>
      </c>
      <c r="G4371" s="31" t="n">
        <v>5</v>
      </c>
      <c r="H4371" s="41" t="n">
        <v>1.9</v>
      </c>
      <c r="I4371" s="31" t="s">
        <v>149</v>
      </c>
      <c r="J4371" s="31" t="n">
        <v>5</v>
      </c>
      <c r="K4371" s="31" t="s">
        <v>150</v>
      </c>
      <c r="L4371" s="45" t="n">
        <f aca="false">DATE(YEAR(B4371),MONTH(B4371),1)</f>
        <v>46235</v>
      </c>
      <c r="M4371" s="31" t="n">
        <f aca="false">WEEKDAY(B4371,2)</f>
        <v>7</v>
      </c>
      <c r="N4371" s="31" t="str">
        <f aca="false">IF(G4371&lt;=INDEX(Assumptions!$B$15:$B$18,MATCH(E4371,Assumptions!$A$15:$A$18,0)),"Yes","No")</f>
        <v>Yes</v>
      </c>
      <c r="O4371" s="31" t="str">
        <f aca="false">IF(H4371="","Open",IF(H4371&lt;=INDEX(Assumptions!$C$15:$C$18,MATCH(E4371,Assumptions!$A$15:$A$18,0)),"Yes","No"))</f>
        <v>Yes</v>
      </c>
    </row>
    <row r="4372" customFormat="false" ht="15" hidden="false" customHeight="false" outlineLevel="0" collapsed="false">
      <c r="A4372" s="31" t="s">
        <v>4522</v>
      </c>
      <c r="B4372" s="44" t="n">
        <v>46264</v>
      </c>
      <c r="C4372" s="31" t="s">
        <v>58</v>
      </c>
      <c r="D4372" s="31" t="s">
        <v>65</v>
      </c>
      <c r="E4372" s="31" t="s">
        <v>51</v>
      </c>
      <c r="F4372" s="31" t="s">
        <v>129</v>
      </c>
      <c r="G4372" s="31" t="n">
        <v>4</v>
      </c>
      <c r="H4372" s="41" t="n">
        <v>25.2</v>
      </c>
      <c r="I4372" s="31" t="s">
        <v>149</v>
      </c>
      <c r="J4372" s="31"/>
      <c r="K4372" s="31" t="s">
        <v>150</v>
      </c>
      <c r="L4372" s="45" t="n">
        <f aca="false">DATE(YEAR(B4372),MONTH(B4372),1)</f>
        <v>46235</v>
      </c>
      <c r="M4372" s="31" t="n">
        <f aca="false">WEEKDAY(B4372,2)</f>
        <v>7</v>
      </c>
      <c r="N4372" s="31" t="str">
        <f aca="false">IF(G4372&lt;=INDEX(Assumptions!$B$15:$B$18,MATCH(E4372,Assumptions!$A$15:$A$18,0)),"Yes","No")</f>
        <v>Yes</v>
      </c>
      <c r="O4372" s="31" t="str">
        <f aca="false">IF(H4372="","Open",IF(H4372&lt;=INDEX(Assumptions!$C$15:$C$18,MATCH(E4372,Assumptions!$A$15:$A$18,0)),"Yes","No"))</f>
        <v>No</v>
      </c>
    </row>
    <row r="4373" customFormat="false" ht="15" hidden="false" customHeight="false" outlineLevel="0" collapsed="false">
      <c r="A4373" s="31" t="s">
        <v>4523</v>
      </c>
      <c r="B4373" s="44" t="n">
        <v>46264</v>
      </c>
      <c r="C4373" s="31" t="s">
        <v>59</v>
      </c>
      <c r="D4373" s="31" t="s">
        <v>67</v>
      </c>
      <c r="E4373" s="31" t="s">
        <v>51</v>
      </c>
      <c r="F4373" s="31" t="s">
        <v>119</v>
      </c>
      <c r="G4373" s="31" t="n">
        <v>116</v>
      </c>
      <c r="H4373" s="41" t="n">
        <v>11.7</v>
      </c>
      <c r="I4373" s="31" t="s">
        <v>149</v>
      </c>
      <c r="J4373" s="31"/>
      <c r="K4373" s="31" t="s">
        <v>150</v>
      </c>
      <c r="L4373" s="45" t="n">
        <f aca="false">DATE(YEAR(B4373),MONTH(B4373),1)</f>
        <v>46235</v>
      </c>
      <c r="M4373" s="31" t="n">
        <f aca="false">WEEKDAY(B4373,2)</f>
        <v>7</v>
      </c>
      <c r="N4373" s="31" t="str">
        <f aca="false">IF(G4373&lt;=INDEX(Assumptions!$B$15:$B$18,MATCH(E4373,Assumptions!$A$15:$A$18,0)),"Yes","No")</f>
        <v>No</v>
      </c>
      <c r="O4373" s="31" t="str">
        <f aca="false">IF(H4373="","Open",IF(H4373&lt;=INDEX(Assumptions!$C$15:$C$18,MATCH(E4373,Assumptions!$A$15:$A$18,0)),"Yes","No"))</f>
        <v>Yes</v>
      </c>
    </row>
    <row r="4374" customFormat="false" ht="15" hidden="false" customHeight="false" outlineLevel="0" collapsed="false">
      <c r="A4374" s="31" t="s">
        <v>4524</v>
      </c>
      <c r="B4374" s="44" t="n">
        <v>46264</v>
      </c>
      <c r="C4374" s="31" t="s">
        <v>58</v>
      </c>
      <c r="D4374" s="31" t="s">
        <v>68</v>
      </c>
      <c r="E4374" s="31" t="s">
        <v>51</v>
      </c>
      <c r="F4374" s="31" t="s">
        <v>126</v>
      </c>
      <c r="G4374" s="31" t="n">
        <v>11</v>
      </c>
      <c r="H4374" s="41" t="n">
        <v>2</v>
      </c>
      <c r="I4374" s="31" t="s">
        <v>149</v>
      </c>
      <c r="J4374" s="31"/>
      <c r="K4374" s="31" t="s">
        <v>150</v>
      </c>
      <c r="L4374" s="45" t="n">
        <f aca="false">DATE(YEAR(B4374),MONTH(B4374),1)</f>
        <v>46235</v>
      </c>
      <c r="M4374" s="31" t="n">
        <f aca="false">WEEKDAY(B4374,2)</f>
        <v>7</v>
      </c>
      <c r="N4374" s="31" t="str">
        <f aca="false">IF(G4374&lt;=INDEX(Assumptions!$B$15:$B$18,MATCH(E4374,Assumptions!$A$15:$A$18,0)),"Yes","No")</f>
        <v>Yes</v>
      </c>
      <c r="O4374" s="31" t="str">
        <f aca="false">IF(H4374="","Open",IF(H4374&lt;=INDEX(Assumptions!$C$15:$C$18,MATCH(E4374,Assumptions!$A$15:$A$18,0)),"Yes","No"))</f>
        <v>Yes</v>
      </c>
    </row>
    <row r="4375" customFormat="false" ht="15" hidden="false" customHeight="false" outlineLevel="0" collapsed="false">
      <c r="A4375" s="31" t="s">
        <v>4525</v>
      </c>
      <c r="B4375" s="44" t="n">
        <v>46264</v>
      </c>
      <c r="C4375" s="31" t="s">
        <v>57</v>
      </c>
      <c r="D4375" s="31" t="s">
        <v>68</v>
      </c>
      <c r="E4375" s="31" t="s">
        <v>52</v>
      </c>
      <c r="F4375" s="31" t="s">
        <v>131</v>
      </c>
      <c r="G4375" s="31" t="n">
        <v>1</v>
      </c>
      <c r="H4375" s="41" t="n">
        <v>18.1</v>
      </c>
      <c r="I4375" s="31" t="s">
        <v>149</v>
      </c>
      <c r="J4375" s="31"/>
      <c r="K4375" s="31" t="s">
        <v>150</v>
      </c>
      <c r="L4375" s="45" t="n">
        <f aca="false">DATE(YEAR(B4375),MONTH(B4375),1)</f>
        <v>46235</v>
      </c>
      <c r="M4375" s="31" t="n">
        <f aca="false">WEEKDAY(B4375,2)</f>
        <v>7</v>
      </c>
      <c r="N4375" s="31" t="str">
        <f aca="false">IF(G4375&lt;=INDEX(Assumptions!$B$15:$B$18,MATCH(E4375,Assumptions!$A$15:$A$18,0)),"Yes","No")</f>
        <v>Yes</v>
      </c>
      <c r="O4375" s="31" t="str">
        <f aca="false">IF(H4375="","Open",IF(H4375&lt;=INDEX(Assumptions!$C$15:$C$18,MATCH(E4375,Assumptions!$A$15:$A$18,0)),"Yes","No"))</f>
        <v>Yes</v>
      </c>
    </row>
    <row r="4376" customFormat="false" ht="15" hidden="false" customHeight="false" outlineLevel="0" collapsed="false">
      <c r="A4376" s="31" t="s">
        <v>4526</v>
      </c>
      <c r="B4376" s="44" t="n">
        <v>46264</v>
      </c>
      <c r="C4376" s="31" t="s">
        <v>57</v>
      </c>
      <c r="D4376" s="31" t="s">
        <v>68</v>
      </c>
      <c r="E4376" s="31" t="s">
        <v>50</v>
      </c>
      <c r="F4376" s="31" t="s">
        <v>121</v>
      </c>
      <c r="G4376" s="31" t="n">
        <v>1</v>
      </c>
      <c r="H4376" s="41" t="n">
        <v>4.6</v>
      </c>
      <c r="I4376" s="31" t="s">
        <v>149</v>
      </c>
      <c r="J4376" s="31"/>
      <c r="K4376" s="31" t="s">
        <v>150</v>
      </c>
      <c r="L4376" s="45" t="n">
        <f aca="false">DATE(YEAR(B4376),MONTH(B4376),1)</f>
        <v>46235</v>
      </c>
      <c r="M4376" s="31" t="n">
        <f aca="false">WEEKDAY(B4376,2)</f>
        <v>7</v>
      </c>
      <c r="N4376" s="31" t="str">
        <f aca="false">IF(G4376&lt;=INDEX(Assumptions!$B$15:$B$18,MATCH(E4376,Assumptions!$A$15:$A$18,0)),"Yes","No")</f>
        <v>Yes</v>
      </c>
      <c r="O4376" s="31" t="str">
        <f aca="false">IF(H4376="","Open",IF(H4376&lt;=INDEX(Assumptions!$C$15:$C$18,MATCH(E4376,Assumptions!$A$15:$A$18,0)),"Yes","No"))</f>
        <v>Yes</v>
      </c>
    </row>
    <row r="4377" customFormat="false" ht="15" hidden="false" customHeight="false" outlineLevel="0" collapsed="false">
      <c r="A4377" s="31" t="s">
        <v>4527</v>
      </c>
      <c r="B4377" s="44" t="n">
        <v>46264</v>
      </c>
      <c r="C4377" s="31" t="s">
        <v>57</v>
      </c>
      <c r="D4377" s="31" t="s">
        <v>65</v>
      </c>
      <c r="E4377" s="31" t="s">
        <v>51</v>
      </c>
      <c r="F4377" s="31" t="s">
        <v>136</v>
      </c>
      <c r="G4377" s="31" t="n">
        <v>11</v>
      </c>
      <c r="H4377" s="41" t="n">
        <v>19.2</v>
      </c>
      <c r="I4377" s="31" t="s">
        <v>64</v>
      </c>
      <c r="J4377" s="31" t="n">
        <v>3</v>
      </c>
      <c r="K4377" s="31" t="s">
        <v>150</v>
      </c>
      <c r="L4377" s="45" t="n">
        <f aca="false">DATE(YEAR(B4377),MONTH(B4377),1)</f>
        <v>46235</v>
      </c>
      <c r="M4377" s="31" t="n">
        <f aca="false">WEEKDAY(B4377,2)</f>
        <v>7</v>
      </c>
      <c r="N4377" s="31" t="str">
        <f aca="false">IF(G4377&lt;=INDEX(Assumptions!$B$15:$B$18,MATCH(E4377,Assumptions!$A$15:$A$18,0)),"Yes","No")</f>
        <v>Yes</v>
      </c>
      <c r="O4377" s="31" t="str">
        <f aca="false">IF(H4377="","Open",IF(H4377&lt;=INDEX(Assumptions!$C$15:$C$18,MATCH(E4377,Assumptions!$A$15:$A$18,0)),"Yes","No"))</f>
        <v>Yes</v>
      </c>
    </row>
    <row r="4378" customFormat="false" ht="15" hidden="false" customHeight="false" outlineLevel="0" collapsed="false">
      <c r="A4378" s="31" t="s">
        <v>4528</v>
      </c>
      <c r="B4378" s="44" t="n">
        <v>46264</v>
      </c>
      <c r="C4378" s="31" t="s">
        <v>58</v>
      </c>
      <c r="D4378" s="31" t="s">
        <v>67</v>
      </c>
      <c r="E4378" s="31" t="s">
        <v>52</v>
      </c>
      <c r="F4378" s="31" t="s">
        <v>124</v>
      </c>
      <c r="G4378" s="31" t="n">
        <v>6</v>
      </c>
      <c r="H4378" s="41" t="n">
        <v>31.2</v>
      </c>
      <c r="I4378" s="31" t="s">
        <v>149</v>
      </c>
      <c r="J4378" s="31" t="n">
        <v>5</v>
      </c>
      <c r="K4378" s="31" t="s">
        <v>150</v>
      </c>
      <c r="L4378" s="45" t="n">
        <f aca="false">DATE(YEAR(B4378),MONTH(B4378),1)</f>
        <v>46235</v>
      </c>
      <c r="M4378" s="31" t="n">
        <f aca="false">WEEKDAY(B4378,2)</f>
        <v>7</v>
      </c>
      <c r="N4378" s="31" t="str">
        <f aca="false">IF(G4378&lt;=INDEX(Assumptions!$B$15:$B$18,MATCH(E4378,Assumptions!$A$15:$A$18,0)),"Yes","No")</f>
        <v>Yes</v>
      </c>
      <c r="O4378" s="31" t="str">
        <f aca="false">IF(H4378="","Open",IF(H4378&lt;=INDEX(Assumptions!$C$15:$C$18,MATCH(E4378,Assumptions!$A$15:$A$18,0)),"Yes","No"))</f>
        <v>Yes</v>
      </c>
    </row>
    <row r="4379" customFormat="false" ht="15" hidden="false" customHeight="false" outlineLevel="0" collapsed="false">
      <c r="A4379" s="31" t="s">
        <v>4529</v>
      </c>
      <c r="B4379" s="44" t="n">
        <v>46264</v>
      </c>
      <c r="C4379" s="31" t="s">
        <v>57</v>
      </c>
      <c r="D4379" s="31" t="s">
        <v>68</v>
      </c>
      <c r="E4379" s="31" t="s">
        <v>52</v>
      </c>
      <c r="F4379" s="31" t="s">
        <v>134</v>
      </c>
      <c r="G4379" s="31" t="n">
        <v>7</v>
      </c>
      <c r="H4379" s="41" t="n">
        <v>3.1</v>
      </c>
      <c r="I4379" s="31" t="s">
        <v>149</v>
      </c>
      <c r="J4379" s="31" t="n">
        <v>5</v>
      </c>
      <c r="K4379" s="31" t="s">
        <v>150</v>
      </c>
      <c r="L4379" s="45" t="n">
        <f aca="false">DATE(YEAR(B4379),MONTH(B4379),1)</f>
        <v>46235</v>
      </c>
      <c r="M4379" s="31" t="n">
        <f aca="false">WEEKDAY(B4379,2)</f>
        <v>7</v>
      </c>
      <c r="N4379" s="31" t="str">
        <f aca="false">IF(G4379&lt;=INDEX(Assumptions!$B$15:$B$18,MATCH(E4379,Assumptions!$A$15:$A$18,0)),"Yes","No")</f>
        <v>Yes</v>
      </c>
      <c r="O4379" s="31" t="str">
        <f aca="false">IF(H4379="","Open",IF(H4379&lt;=INDEX(Assumptions!$C$15:$C$18,MATCH(E4379,Assumptions!$A$15:$A$18,0)),"Yes","No"))</f>
        <v>Yes</v>
      </c>
    </row>
    <row r="4380" customFormat="false" ht="15" hidden="false" customHeight="false" outlineLevel="0" collapsed="false">
      <c r="A4380" s="31" t="s">
        <v>4530</v>
      </c>
      <c r="B4380" s="44" t="n">
        <v>46264</v>
      </c>
      <c r="C4380" s="31" t="s">
        <v>57</v>
      </c>
      <c r="D4380" s="31" t="s">
        <v>66</v>
      </c>
      <c r="E4380" s="31" t="s">
        <v>52</v>
      </c>
      <c r="F4380" s="31" t="s">
        <v>133</v>
      </c>
      <c r="G4380" s="31" t="n">
        <v>9</v>
      </c>
      <c r="H4380" s="41" t="n">
        <v>7.5</v>
      </c>
      <c r="I4380" s="31" t="s">
        <v>149</v>
      </c>
      <c r="J4380" s="31" t="n">
        <v>5</v>
      </c>
      <c r="K4380" s="31" t="s">
        <v>150</v>
      </c>
      <c r="L4380" s="45" t="n">
        <f aca="false">DATE(YEAR(B4380),MONTH(B4380),1)</f>
        <v>46235</v>
      </c>
      <c r="M4380" s="31" t="n">
        <f aca="false">WEEKDAY(B4380,2)</f>
        <v>7</v>
      </c>
      <c r="N4380" s="31" t="str">
        <f aca="false">IF(G4380&lt;=INDEX(Assumptions!$B$15:$B$18,MATCH(E4380,Assumptions!$A$15:$A$18,0)),"Yes","No")</f>
        <v>Yes</v>
      </c>
      <c r="O4380" s="31" t="str">
        <f aca="false">IF(H4380="","Open",IF(H4380&lt;=INDEX(Assumptions!$C$15:$C$18,MATCH(E4380,Assumptions!$A$15:$A$18,0)),"Yes","No"))</f>
        <v>Yes</v>
      </c>
    </row>
    <row r="4381" customFormat="false" ht="15" hidden="false" customHeight="false" outlineLevel="0" collapsed="false">
      <c r="A4381" s="31" t="s">
        <v>4531</v>
      </c>
      <c r="B4381" s="44" t="n">
        <v>46264</v>
      </c>
      <c r="C4381" s="31" t="s">
        <v>58</v>
      </c>
      <c r="D4381" s="31" t="s">
        <v>67</v>
      </c>
      <c r="E4381" s="31" t="s">
        <v>51</v>
      </c>
      <c r="F4381" s="31" t="s">
        <v>121</v>
      </c>
      <c r="G4381" s="31" t="n">
        <v>67</v>
      </c>
      <c r="H4381" s="41" t="n">
        <v>32.7</v>
      </c>
      <c r="I4381" s="31" t="s">
        <v>149</v>
      </c>
      <c r="J4381" s="31" t="n">
        <v>3</v>
      </c>
      <c r="K4381" s="31" t="s">
        <v>150</v>
      </c>
      <c r="L4381" s="45" t="n">
        <f aca="false">DATE(YEAR(B4381),MONTH(B4381),1)</f>
        <v>46235</v>
      </c>
      <c r="M4381" s="31" t="n">
        <f aca="false">WEEKDAY(B4381,2)</f>
        <v>7</v>
      </c>
      <c r="N4381" s="31" t="str">
        <f aca="false">IF(G4381&lt;=INDEX(Assumptions!$B$15:$B$18,MATCH(E4381,Assumptions!$A$15:$A$18,0)),"Yes","No")</f>
        <v>No</v>
      </c>
      <c r="O4381" s="31" t="str">
        <f aca="false">IF(H4381="","Open",IF(H4381&lt;=INDEX(Assumptions!$C$15:$C$18,MATCH(E4381,Assumptions!$A$15:$A$18,0)),"Yes","No"))</f>
        <v>No</v>
      </c>
    </row>
    <row r="4382" customFormat="false" ht="15" hidden="false" customHeight="false" outlineLevel="0" collapsed="false">
      <c r="A4382" s="31" t="s">
        <v>4532</v>
      </c>
      <c r="B4382" s="44" t="n">
        <v>46264</v>
      </c>
      <c r="C4382" s="31" t="s">
        <v>60</v>
      </c>
      <c r="D4382" s="31" t="s">
        <v>67</v>
      </c>
      <c r="E4382" s="31" t="s">
        <v>50</v>
      </c>
      <c r="F4382" s="31" t="s">
        <v>133</v>
      </c>
      <c r="G4382" s="31" t="n">
        <v>5</v>
      </c>
      <c r="H4382" s="41" t="n">
        <v>2.8</v>
      </c>
      <c r="I4382" s="31" t="s">
        <v>149</v>
      </c>
      <c r="J4382" s="31" t="n">
        <v>5</v>
      </c>
      <c r="K4382" s="31" t="s">
        <v>150</v>
      </c>
      <c r="L4382" s="45" t="n">
        <f aca="false">DATE(YEAR(B4382),MONTH(B4382),1)</f>
        <v>46235</v>
      </c>
      <c r="M4382" s="31" t="n">
        <f aca="false">WEEKDAY(B4382,2)</f>
        <v>7</v>
      </c>
      <c r="N4382" s="31" t="str">
        <f aca="false">IF(G4382&lt;=INDEX(Assumptions!$B$15:$B$18,MATCH(E4382,Assumptions!$A$15:$A$18,0)),"Yes","No")</f>
        <v>Yes</v>
      </c>
      <c r="O4382" s="31" t="str">
        <f aca="false">IF(H4382="","Open",IF(H4382&lt;=INDEX(Assumptions!$C$15:$C$18,MATCH(E4382,Assumptions!$A$15:$A$18,0)),"Yes","No"))</f>
        <v>Yes</v>
      </c>
    </row>
    <row r="4383" customFormat="false" ht="15" hidden="false" customHeight="false" outlineLevel="0" collapsed="false">
      <c r="A4383" s="31" t="s">
        <v>4533</v>
      </c>
      <c r="B4383" s="44" t="n">
        <v>46264</v>
      </c>
      <c r="C4383" s="31" t="s">
        <v>60</v>
      </c>
      <c r="D4383" s="31" t="s">
        <v>66</v>
      </c>
      <c r="E4383" s="31" t="s">
        <v>51</v>
      </c>
      <c r="F4383" s="31" t="s">
        <v>134</v>
      </c>
      <c r="G4383" s="31" t="n">
        <v>1</v>
      </c>
      <c r="H4383" s="41" t="n">
        <v>9.5</v>
      </c>
      <c r="I4383" s="31" t="s">
        <v>149</v>
      </c>
      <c r="J4383" s="31" t="n">
        <v>3</v>
      </c>
      <c r="K4383" s="31" t="s">
        <v>150</v>
      </c>
      <c r="L4383" s="45" t="n">
        <f aca="false">DATE(YEAR(B4383),MONTH(B4383),1)</f>
        <v>46235</v>
      </c>
      <c r="M4383" s="31" t="n">
        <f aca="false">WEEKDAY(B4383,2)</f>
        <v>7</v>
      </c>
      <c r="N4383" s="31" t="str">
        <f aca="false">IF(G4383&lt;=INDEX(Assumptions!$B$15:$B$18,MATCH(E4383,Assumptions!$A$15:$A$18,0)),"Yes","No")</f>
        <v>Yes</v>
      </c>
      <c r="O4383" s="31" t="str">
        <f aca="false">IF(H4383="","Open",IF(H4383&lt;=INDEX(Assumptions!$C$15:$C$18,MATCH(E4383,Assumptions!$A$15:$A$18,0)),"Yes","No"))</f>
        <v>Yes</v>
      </c>
    </row>
    <row r="4384" customFormat="false" ht="15" hidden="false" customHeight="false" outlineLevel="0" collapsed="false">
      <c r="A4384" s="31" t="s">
        <v>4534</v>
      </c>
      <c r="B4384" s="44" t="n">
        <v>46264</v>
      </c>
      <c r="C4384" s="31" t="s">
        <v>59</v>
      </c>
      <c r="D4384" s="31" t="s">
        <v>65</v>
      </c>
      <c r="E4384" s="31" t="s">
        <v>50</v>
      </c>
      <c r="F4384" s="31" t="s">
        <v>124</v>
      </c>
      <c r="G4384" s="31" t="n">
        <v>24</v>
      </c>
      <c r="H4384" s="41" t="n">
        <v>2.6</v>
      </c>
      <c r="I4384" s="31" t="s">
        <v>149</v>
      </c>
      <c r="J4384" s="31"/>
      <c r="K4384" s="31" t="s">
        <v>150</v>
      </c>
      <c r="L4384" s="45" t="n">
        <f aca="false">DATE(YEAR(B4384),MONTH(B4384),1)</f>
        <v>46235</v>
      </c>
      <c r="M4384" s="31" t="n">
        <f aca="false">WEEKDAY(B4384,2)</f>
        <v>7</v>
      </c>
      <c r="N4384" s="31" t="str">
        <f aca="false">IF(G4384&lt;=INDEX(Assumptions!$B$15:$B$18,MATCH(E4384,Assumptions!$A$15:$A$18,0)),"Yes","No")</f>
        <v>Yes</v>
      </c>
      <c r="O4384" s="31" t="str">
        <f aca="false">IF(H4384="","Open",IF(H4384&lt;=INDEX(Assumptions!$C$15:$C$18,MATCH(E4384,Assumptions!$A$15:$A$18,0)),"Yes","No"))</f>
        <v>Yes</v>
      </c>
    </row>
    <row r="4385" customFormat="false" ht="15" hidden="false" customHeight="false" outlineLevel="0" collapsed="false">
      <c r="A4385" s="31" t="s">
        <v>4535</v>
      </c>
      <c r="B4385" s="44" t="n">
        <v>46264</v>
      </c>
      <c r="C4385" s="31" t="s">
        <v>58</v>
      </c>
      <c r="D4385" s="31" t="s">
        <v>67</v>
      </c>
      <c r="E4385" s="31" t="s">
        <v>49</v>
      </c>
      <c r="F4385" s="31" t="s">
        <v>120</v>
      </c>
      <c r="G4385" s="31" t="n">
        <v>24</v>
      </c>
      <c r="H4385" s="41" t="n">
        <v>35.1</v>
      </c>
      <c r="I4385" s="31" t="s">
        <v>149</v>
      </c>
      <c r="J4385" s="31"/>
      <c r="K4385" s="31" t="s">
        <v>150</v>
      </c>
      <c r="L4385" s="45" t="n">
        <f aca="false">DATE(YEAR(B4385),MONTH(B4385),1)</f>
        <v>46235</v>
      </c>
      <c r="M4385" s="31" t="n">
        <f aca="false">WEEKDAY(B4385,2)</f>
        <v>7</v>
      </c>
      <c r="N4385" s="31" t="str">
        <f aca="false">IF(G4385&lt;=INDEX(Assumptions!$B$15:$B$18,MATCH(E4385,Assumptions!$A$15:$A$18,0)),"Yes","No")</f>
        <v>No</v>
      </c>
      <c r="O4385" s="31" t="str">
        <f aca="false">IF(H4385="","Open",IF(H4385&lt;=INDEX(Assumptions!$C$15:$C$18,MATCH(E4385,Assumptions!$A$15:$A$18,0)),"Yes","No"))</f>
        <v>No</v>
      </c>
    </row>
    <row r="4386" customFormat="false" ht="15" hidden="false" customHeight="false" outlineLevel="0" collapsed="false">
      <c r="A4386" s="31" t="s">
        <v>4536</v>
      </c>
      <c r="B4386" s="44" t="n">
        <v>46264</v>
      </c>
      <c r="C4386" s="31" t="s">
        <v>58</v>
      </c>
      <c r="D4386" s="31" t="s">
        <v>69</v>
      </c>
      <c r="E4386" s="31" t="s">
        <v>50</v>
      </c>
      <c r="F4386" s="31" t="s">
        <v>127</v>
      </c>
      <c r="G4386" s="31" t="n">
        <v>4</v>
      </c>
      <c r="H4386" s="41" t="n">
        <v>15</v>
      </c>
      <c r="I4386" s="31" t="s">
        <v>149</v>
      </c>
      <c r="J4386" s="31" t="n">
        <v>5</v>
      </c>
      <c r="K4386" s="31" t="s">
        <v>150</v>
      </c>
      <c r="L4386" s="45" t="n">
        <f aca="false">DATE(YEAR(B4386),MONTH(B4386),1)</f>
        <v>46235</v>
      </c>
      <c r="M4386" s="31" t="n">
        <f aca="false">WEEKDAY(B4386,2)</f>
        <v>7</v>
      </c>
      <c r="N4386" s="31" t="str">
        <f aca="false">IF(G4386&lt;=INDEX(Assumptions!$B$15:$B$18,MATCH(E4386,Assumptions!$A$15:$A$18,0)),"Yes","No")</f>
        <v>Yes</v>
      </c>
      <c r="O4386" s="31" t="str">
        <f aca="false">IF(H4386="","Open",IF(H4386&lt;=INDEX(Assumptions!$C$15:$C$18,MATCH(E4386,Assumptions!$A$15:$A$18,0)),"Yes","No"))</f>
        <v>No</v>
      </c>
    </row>
    <row r="4387" customFormat="false" ht="15" hidden="false" customHeight="false" outlineLevel="0" collapsed="false">
      <c r="A4387" s="31" t="s">
        <v>4537</v>
      </c>
      <c r="B4387" s="44" t="n">
        <v>46264</v>
      </c>
      <c r="C4387" s="31" t="s">
        <v>60</v>
      </c>
      <c r="D4387" s="31" t="s">
        <v>65</v>
      </c>
      <c r="E4387" s="31" t="s">
        <v>49</v>
      </c>
      <c r="F4387" s="31" t="s">
        <v>128</v>
      </c>
      <c r="G4387" s="31" t="n">
        <v>1</v>
      </c>
      <c r="H4387" s="41" t="n">
        <v>12.7</v>
      </c>
      <c r="I4387" s="31" t="s">
        <v>149</v>
      </c>
      <c r="J4387" s="31" t="n">
        <v>4</v>
      </c>
      <c r="K4387" s="31" t="s">
        <v>150</v>
      </c>
      <c r="L4387" s="45" t="n">
        <f aca="false">DATE(YEAR(B4387),MONTH(B4387),1)</f>
        <v>46235</v>
      </c>
      <c r="M4387" s="31" t="n">
        <f aca="false">WEEKDAY(B4387,2)</f>
        <v>7</v>
      </c>
      <c r="N4387" s="31" t="str">
        <f aca="false">IF(G4387&lt;=INDEX(Assumptions!$B$15:$B$18,MATCH(E4387,Assumptions!$A$15:$A$18,0)),"Yes","No")</f>
        <v>Yes</v>
      </c>
      <c r="O4387" s="31" t="str">
        <f aca="false">IF(H4387="","Open",IF(H4387&lt;=INDEX(Assumptions!$C$15:$C$18,MATCH(E4387,Assumptions!$A$15:$A$18,0)),"Yes","No"))</f>
        <v>No</v>
      </c>
    </row>
    <row r="4388" customFormat="false" ht="15" hidden="false" customHeight="false" outlineLevel="0" collapsed="false">
      <c r="A4388" s="31" t="s">
        <v>4538</v>
      </c>
      <c r="B4388" s="44" t="n">
        <v>46264</v>
      </c>
      <c r="C4388" s="31" t="s">
        <v>57</v>
      </c>
      <c r="D4388" s="31" t="s">
        <v>65</v>
      </c>
      <c r="E4388" s="31" t="s">
        <v>49</v>
      </c>
      <c r="F4388" s="31" t="s">
        <v>129</v>
      </c>
      <c r="G4388" s="31" t="n">
        <v>1</v>
      </c>
      <c r="H4388" s="41" t="n">
        <v>1.4</v>
      </c>
      <c r="I4388" s="31" t="s">
        <v>149</v>
      </c>
      <c r="J4388" s="31"/>
      <c r="K4388" s="31" t="s">
        <v>150</v>
      </c>
      <c r="L4388" s="45" t="n">
        <f aca="false">DATE(YEAR(B4388),MONTH(B4388),1)</f>
        <v>46235</v>
      </c>
      <c r="M4388" s="31" t="n">
        <f aca="false">WEEKDAY(B4388,2)</f>
        <v>7</v>
      </c>
      <c r="N4388" s="31" t="str">
        <f aca="false">IF(G4388&lt;=INDEX(Assumptions!$B$15:$B$18,MATCH(E4388,Assumptions!$A$15:$A$18,0)),"Yes","No")</f>
        <v>Yes</v>
      </c>
      <c r="O4388" s="31" t="str">
        <f aca="false">IF(H4388="","Open",IF(H4388&lt;=INDEX(Assumptions!$C$15:$C$18,MATCH(E4388,Assumptions!$A$15:$A$18,0)),"Yes","No"))</f>
        <v>Yes</v>
      </c>
    </row>
    <row r="4389" customFormat="false" ht="15" hidden="false" customHeight="false" outlineLevel="0" collapsed="false">
      <c r="A4389" s="31" t="s">
        <v>4539</v>
      </c>
      <c r="B4389" s="44" t="n">
        <v>46264</v>
      </c>
      <c r="C4389" s="31" t="s">
        <v>57</v>
      </c>
      <c r="D4389" s="31" t="s">
        <v>67</v>
      </c>
      <c r="E4389" s="31" t="s">
        <v>51</v>
      </c>
      <c r="F4389" s="31" t="s">
        <v>121</v>
      </c>
      <c r="G4389" s="31" t="n">
        <v>14</v>
      </c>
      <c r="H4389" s="41" t="n">
        <v>11.6</v>
      </c>
      <c r="I4389" s="31" t="s">
        <v>149</v>
      </c>
      <c r="J4389" s="31" t="n">
        <v>4</v>
      </c>
      <c r="K4389" s="31" t="s">
        <v>150</v>
      </c>
      <c r="L4389" s="45" t="n">
        <f aca="false">DATE(YEAR(B4389),MONTH(B4389),1)</f>
        <v>46235</v>
      </c>
      <c r="M4389" s="31" t="n">
        <f aca="false">WEEKDAY(B4389,2)</f>
        <v>7</v>
      </c>
      <c r="N4389" s="31" t="str">
        <f aca="false">IF(G4389&lt;=INDEX(Assumptions!$B$15:$B$18,MATCH(E4389,Assumptions!$A$15:$A$18,0)),"Yes","No")</f>
        <v>Yes</v>
      </c>
      <c r="O4389" s="31" t="str">
        <f aca="false">IF(H4389="","Open",IF(H4389&lt;=INDEX(Assumptions!$C$15:$C$18,MATCH(E4389,Assumptions!$A$15:$A$18,0)),"Yes","No"))</f>
        <v>Yes</v>
      </c>
    </row>
    <row r="4390" customFormat="false" ht="15" hidden="false" customHeight="false" outlineLevel="0" collapsed="false">
      <c r="A4390" s="31" t="s">
        <v>4540</v>
      </c>
      <c r="B4390" s="44" t="n">
        <v>46264</v>
      </c>
      <c r="C4390" s="31" t="s">
        <v>59</v>
      </c>
      <c r="D4390" s="31" t="s">
        <v>65</v>
      </c>
      <c r="E4390" s="31" t="s">
        <v>51</v>
      </c>
      <c r="F4390" s="31" t="s">
        <v>135</v>
      </c>
      <c r="G4390" s="31" t="n">
        <v>80</v>
      </c>
      <c r="H4390" s="41" t="n">
        <v>44.7</v>
      </c>
      <c r="I4390" s="31" t="s">
        <v>149</v>
      </c>
      <c r="J4390" s="31"/>
      <c r="K4390" s="31" t="s">
        <v>150</v>
      </c>
      <c r="L4390" s="45" t="n">
        <f aca="false">DATE(YEAR(B4390),MONTH(B4390),1)</f>
        <v>46235</v>
      </c>
      <c r="M4390" s="31" t="n">
        <f aca="false">WEEKDAY(B4390,2)</f>
        <v>7</v>
      </c>
      <c r="N4390" s="31" t="str">
        <f aca="false">IF(G4390&lt;=INDEX(Assumptions!$B$15:$B$18,MATCH(E4390,Assumptions!$A$15:$A$18,0)),"Yes","No")</f>
        <v>No</v>
      </c>
      <c r="O4390" s="31" t="str">
        <f aca="false">IF(H4390="","Open",IF(H4390&lt;=INDEX(Assumptions!$C$15:$C$18,MATCH(E4390,Assumptions!$A$15:$A$18,0)),"Yes","No"))</f>
        <v>No</v>
      </c>
    </row>
    <row r="4391" customFormat="false" ht="15" hidden="false" customHeight="false" outlineLevel="0" collapsed="false">
      <c r="A4391" s="31" t="s">
        <v>4541</v>
      </c>
      <c r="B4391" s="44" t="n">
        <v>46264</v>
      </c>
      <c r="C4391" s="31" t="s">
        <v>58</v>
      </c>
      <c r="D4391" s="31" t="s">
        <v>68</v>
      </c>
      <c r="E4391" s="31" t="s">
        <v>51</v>
      </c>
      <c r="F4391" s="31" t="s">
        <v>121</v>
      </c>
      <c r="G4391" s="31" t="n">
        <v>5</v>
      </c>
      <c r="H4391" s="41" t="n">
        <v>3.3</v>
      </c>
      <c r="I4391" s="31" t="s">
        <v>149</v>
      </c>
      <c r="J4391" s="31" t="n">
        <v>5</v>
      </c>
      <c r="K4391" s="31" t="s">
        <v>150</v>
      </c>
      <c r="L4391" s="45" t="n">
        <f aca="false">DATE(YEAR(B4391),MONTH(B4391),1)</f>
        <v>46235</v>
      </c>
      <c r="M4391" s="31" t="n">
        <f aca="false">WEEKDAY(B4391,2)</f>
        <v>7</v>
      </c>
      <c r="N4391" s="31" t="str">
        <f aca="false">IF(G4391&lt;=INDEX(Assumptions!$B$15:$B$18,MATCH(E4391,Assumptions!$A$15:$A$18,0)),"Yes","No")</f>
        <v>Yes</v>
      </c>
      <c r="O4391" s="31" t="str">
        <f aca="false">IF(H4391="","Open",IF(H4391&lt;=INDEX(Assumptions!$C$15:$C$18,MATCH(E4391,Assumptions!$A$15:$A$18,0)),"Yes","No"))</f>
        <v>Yes</v>
      </c>
    </row>
    <row r="4392" customFormat="false" ht="15" hidden="false" customHeight="false" outlineLevel="0" collapsed="false">
      <c r="A4392" s="31" t="s">
        <v>4542</v>
      </c>
      <c r="B4392" s="44" t="n">
        <v>46264</v>
      </c>
      <c r="C4392" s="31" t="s">
        <v>59</v>
      </c>
      <c r="D4392" s="31" t="s">
        <v>66</v>
      </c>
      <c r="E4392" s="31" t="s">
        <v>52</v>
      </c>
      <c r="F4392" s="31" t="s">
        <v>134</v>
      </c>
      <c r="G4392" s="31" t="n">
        <v>173</v>
      </c>
      <c r="H4392" s="41" t="n">
        <v>19.8</v>
      </c>
      <c r="I4392" s="31" t="s">
        <v>149</v>
      </c>
      <c r="J4392" s="31" t="n">
        <v>3</v>
      </c>
      <c r="K4392" s="31" t="s">
        <v>150</v>
      </c>
      <c r="L4392" s="45" t="n">
        <f aca="false">DATE(YEAR(B4392),MONTH(B4392),1)</f>
        <v>46235</v>
      </c>
      <c r="M4392" s="31" t="n">
        <f aca="false">WEEKDAY(B4392,2)</f>
        <v>7</v>
      </c>
      <c r="N4392" s="31" t="str">
        <f aca="false">IF(G4392&lt;=INDEX(Assumptions!$B$15:$B$18,MATCH(E4392,Assumptions!$A$15:$A$18,0)),"Yes","No")</f>
        <v>Yes</v>
      </c>
      <c r="O4392" s="31" t="str">
        <f aca="false">IF(H4392="","Open",IF(H4392&lt;=INDEX(Assumptions!$C$15:$C$18,MATCH(E4392,Assumptions!$A$15:$A$18,0)),"Yes","No"))</f>
        <v>Yes</v>
      </c>
    </row>
    <row r="4393" customFormat="false" ht="15" hidden="false" customHeight="false" outlineLevel="0" collapsed="false">
      <c r="A4393" s="31" t="s">
        <v>4543</v>
      </c>
      <c r="B4393" s="44" t="n">
        <v>46264</v>
      </c>
      <c r="C4393" s="31" t="s">
        <v>59</v>
      </c>
      <c r="D4393" s="31" t="s">
        <v>69</v>
      </c>
      <c r="E4393" s="31" t="s">
        <v>50</v>
      </c>
      <c r="F4393" s="31" t="s">
        <v>119</v>
      </c>
      <c r="G4393" s="31" t="n">
        <v>70</v>
      </c>
      <c r="H4393" s="41" t="n">
        <v>19.3</v>
      </c>
      <c r="I4393" s="31" t="s">
        <v>149</v>
      </c>
      <c r="J4393" s="31" t="n">
        <v>4</v>
      </c>
      <c r="K4393" s="31" t="s">
        <v>150</v>
      </c>
      <c r="L4393" s="45" t="n">
        <f aca="false">DATE(YEAR(B4393),MONTH(B4393),1)</f>
        <v>46235</v>
      </c>
      <c r="M4393" s="31" t="n">
        <f aca="false">WEEKDAY(B4393,2)</f>
        <v>7</v>
      </c>
      <c r="N4393" s="31" t="str">
        <f aca="false">IF(G4393&lt;=INDEX(Assumptions!$B$15:$B$18,MATCH(E4393,Assumptions!$A$15:$A$18,0)),"Yes","No")</f>
        <v>No</v>
      </c>
      <c r="O4393" s="31" t="str">
        <f aca="false">IF(H4393="","Open",IF(H4393&lt;=INDEX(Assumptions!$C$15:$C$18,MATCH(E4393,Assumptions!$A$15:$A$18,0)),"Yes","No"))</f>
        <v>No</v>
      </c>
    </row>
    <row r="4394" customFormat="false" ht="15" hidden="false" customHeight="false" outlineLevel="0" collapsed="false">
      <c r="A4394" s="31" t="s">
        <v>4544</v>
      </c>
      <c r="B4394" s="44" t="n">
        <v>46264</v>
      </c>
      <c r="C4394" s="31" t="s">
        <v>58</v>
      </c>
      <c r="D4394" s="31" t="s">
        <v>66</v>
      </c>
      <c r="E4394" s="31" t="s">
        <v>52</v>
      </c>
      <c r="F4394" s="31" t="s">
        <v>119</v>
      </c>
      <c r="G4394" s="31" t="n">
        <v>27</v>
      </c>
      <c r="H4394" s="41" t="n">
        <v>1.6</v>
      </c>
      <c r="I4394" s="31" t="s">
        <v>149</v>
      </c>
      <c r="J4394" s="31"/>
      <c r="K4394" s="31" t="s">
        <v>150</v>
      </c>
      <c r="L4394" s="45" t="n">
        <f aca="false">DATE(YEAR(B4394),MONTH(B4394),1)</f>
        <v>46235</v>
      </c>
      <c r="M4394" s="31" t="n">
        <f aca="false">WEEKDAY(B4394,2)</f>
        <v>7</v>
      </c>
      <c r="N4394" s="31" t="str">
        <f aca="false">IF(G4394&lt;=INDEX(Assumptions!$B$15:$B$18,MATCH(E4394,Assumptions!$A$15:$A$18,0)),"Yes","No")</f>
        <v>Yes</v>
      </c>
      <c r="O4394" s="31" t="str">
        <f aca="false">IF(H4394="","Open",IF(H4394&lt;=INDEX(Assumptions!$C$15:$C$18,MATCH(E4394,Assumptions!$A$15:$A$18,0)),"Yes","No"))</f>
        <v>Yes</v>
      </c>
    </row>
    <row r="4395" customFormat="false" ht="15" hidden="false" customHeight="false" outlineLevel="0" collapsed="false">
      <c r="A4395" s="31" t="s">
        <v>4545</v>
      </c>
      <c r="B4395" s="44" t="n">
        <v>46264</v>
      </c>
      <c r="C4395" s="31" t="s">
        <v>57</v>
      </c>
      <c r="D4395" s="31" t="s">
        <v>66</v>
      </c>
      <c r="E4395" s="31" t="s">
        <v>51</v>
      </c>
      <c r="F4395" s="31" t="s">
        <v>127</v>
      </c>
      <c r="G4395" s="31" t="n">
        <v>1</v>
      </c>
      <c r="H4395" s="41" t="n">
        <v>2</v>
      </c>
      <c r="I4395" s="31" t="s">
        <v>149</v>
      </c>
      <c r="J4395" s="31"/>
      <c r="K4395" s="31" t="s">
        <v>150</v>
      </c>
      <c r="L4395" s="45" t="n">
        <f aca="false">DATE(YEAR(B4395),MONTH(B4395),1)</f>
        <v>46235</v>
      </c>
      <c r="M4395" s="31" t="n">
        <f aca="false">WEEKDAY(B4395,2)</f>
        <v>7</v>
      </c>
      <c r="N4395" s="31" t="str">
        <f aca="false">IF(G4395&lt;=INDEX(Assumptions!$B$15:$B$18,MATCH(E4395,Assumptions!$A$15:$A$18,0)),"Yes","No")</f>
        <v>Yes</v>
      </c>
      <c r="O4395" s="31" t="str">
        <f aca="false">IF(H4395="","Open",IF(H4395&lt;=INDEX(Assumptions!$C$15:$C$18,MATCH(E4395,Assumptions!$A$15:$A$18,0)),"Yes","No"))</f>
        <v>Yes</v>
      </c>
    </row>
    <row r="4396" customFormat="false" ht="15" hidden="false" customHeight="false" outlineLevel="0" collapsed="false">
      <c r="A4396" s="31" t="s">
        <v>4546</v>
      </c>
      <c r="B4396" s="44" t="n">
        <v>46264</v>
      </c>
      <c r="C4396" s="31" t="s">
        <v>58</v>
      </c>
      <c r="D4396" s="31" t="s">
        <v>68</v>
      </c>
      <c r="E4396" s="31" t="s">
        <v>51</v>
      </c>
      <c r="F4396" s="31" t="s">
        <v>130</v>
      </c>
      <c r="G4396" s="31" t="n">
        <v>14</v>
      </c>
      <c r="H4396" s="41" t="n">
        <v>2.4</v>
      </c>
      <c r="I4396" s="31" t="s">
        <v>149</v>
      </c>
      <c r="J4396" s="31"/>
      <c r="K4396" s="31" t="s">
        <v>150</v>
      </c>
      <c r="L4396" s="45" t="n">
        <f aca="false">DATE(YEAR(B4396),MONTH(B4396),1)</f>
        <v>46235</v>
      </c>
      <c r="M4396" s="31" t="n">
        <f aca="false">WEEKDAY(B4396,2)</f>
        <v>7</v>
      </c>
      <c r="N4396" s="31" t="str">
        <f aca="false">IF(G4396&lt;=INDEX(Assumptions!$B$15:$B$18,MATCH(E4396,Assumptions!$A$15:$A$18,0)),"Yes","No")</f>
        <v>Yes</v>
      </c>
      <c r="O4396" s="31" t="str">
        <f aca="false">IF(H4396="","Open",IF(H4396&lt;=INDEX(Assumptions!$C$15:$C$18,MATCH(E4396,Assumptions!$A$15:$A$18,0)),"Yes","No"))</f>
        <v>Yes</v>
      </c>
    </row>
    <row r="4397" customFormat="false" ht="15" hidden="false" customHeight="false" outlineLevel="0" collapsed="false">
      <c r="A4397" s="31" t="s">
        <v>4547</v>
      </c>
      <c r="B4397" s="44" t="n">
        <v>46264</v>
      </c>
      <c r="C4397" s="31" t="s">
        <v>58</v>
      </c>
      <c r="D4397" s="31" t="s">
        <v>69</v>
      </c>
      <c r="E4397" s="31" t="s">
        <v>52</v>
      </c>
      <c r="F4397" s="31" t="s">
        <v>122</v>
      </c>
      <c r="G4397" s="31" t="n">
        <v>6</v>
      </c>
      <c r="H4397" s="41" t="n">
        <v>26.7</v>
      </c>
      <c r="I4397" s="31" t="s">
        <v>149</v>
      </c>
      <c r="J4397" s="31" t="n">
        <v>5</v>
      </c>
      <c r="K4397" s="31" t="s">
        <v>150</v>
      </c>
      <c r="L4397" s="45" t="n">
        <f aca="false">DATE(YEAR(B4397),MONTH(B4397),1)</f>
        <v>46235</v>
      </c>
      <c r="M4397" s="31" t="n">
        <f aca="false">WEEKDAY(B4397,2)</f>
        <v>7</v>
      </c>
      <c r="N4397" s="31" t="str">
        <f aca="false">IF(G4397&lt;=INDEX(Assumptions!$B$15:$B$18,MATCH(E4397,Assumptions!$A$15:$A$18,0)),"Yes","No")</f>
        <v>Yes</v>
      </c>
      <c r="O4397" s="31" t="str">
        <f aca="false">IF(H4397="","Open",IF(H4397&lt;=INDEX(Assumptions!$C$15:$C$18,MATCH(E4397,Assumptions!$A$15:$A$18,0)),"Yes","No"))</f>
        <v>Yes</v>
      </c>
    </row>
    <row r="4398" customFormat="false" ht="15" hidden="false" customHeight="false" outlineLevel="0" collapsed="false">
      <c r="A4398" s="31" t="s">
        <v>4548</v>
      </c>
      <c r="B4398" s="44" t="n">
        <v>46264</v>
      </c>
      <c r="C4398" s="31" t="s">
        <v>58</v>
      </c>
      <c r="D4398" s="31" t="s">
        <v>66</v>
      </c>
      <c r="E4398" s="31" t="s">
        <v>51</v>
      </c>
      <c r="F4398" s="31" t="s">
        <v>135</v>
      </c>
      <c r="G4398" s="31" t="n">
        <v>21</v>
      </c>
      <c r="H4398" s="41" t="n">
        <v>4.9</v>
      </c>
      <c r="I4398" s="31" t="s">
        <v>149</v>
      </c>
      <c r="J4398" s="31"/>
      <c r="K4398" s="31" t="s">
        <v>150</v>
      </c>
      <c r="L4398" s="45" t="n">
        <f aca="false">DATE(YEAR(B4398),MONTH(B4398),1)</f>
        <v>46235</v>
      </c>
      <c r="M4398" s="31" t="n">
        <f aca="false">WEEKDAY(B4398,2)</f>
        <v>7</v>
      </c>
      <c r="N4398" s="31" t="str">
        <f aca="false">IF(G4398&lt;=INDEX(Assumptions!$B$15:$B$18,MATCH(E4398,Assumptions!$A$15:$A$18,0)),"Yes","No")</f>
        <v>Yes</v>
      </c>
      <c r="O4398" s="31" t="str">
        <f aca="false">IF(H4398="","Open",IF(H4398&lt;=INDEX(Assumptions!$C$15:$C$18,MATCH(E4398,Assumptions!$A$15:$A$18,0)),"Yes","No"))</f>
        <v>Yes</v>
      </c>
    </row>
    <row r="4399" customFormat="false" ht="15" hidden="false" customHeight="false" outlineLevel="0" collapsed="false">
      <c r="A4399" s="31" t="s">
        <v>4549</v>
      </c>
      <c r="B4399" s="44" t="n">
        <v>46264</v>
      </c>
      <c r="C4399" s="31" t="s">
        <v>59</v>
      </c>
      <c r="D4399" s="31" t="s">
        <v>68</v>
      </c>
      <c r="E4399" s="31" t="s">
        <v>51</v>
      </c>
      <c r="F4399" s="31" t="s">
        <v>133</v>
      </c>
      <c r="G4399" s="31" t="n">
        <v>54</v>
      </c>
      <c r="H4399" s="41" t="n">
        <v>4.4</v>
      </c>
      <c r="I4399" s="31" t="s">
        <v>149</v>
      </c>
      <c r="J4399" s="31"/>
      <c r="K4399" s="31" t="s">
        <v>153</v>
      </c>
      <c r="L4399" s="45" t="n">
        <f aca="false">DATE(YEAR(B4399),MONTH(B4399),1)</f>
        <v>46235</v>
      </c>
      <c r="M4399" s="31" t="n">
        <f aca="false">WEEKDAY(B4399,2)</f>
        <v>7</v>
      </c>
      <c r="N4399" s="31" t="str">
        <f aca="false">IF(G4399&lt;=INDEX(Assumptions!$B$15:$B$18,MATCH(E4399,Assumptions!$A$15:$A$18,0)),"Yes","No")</f>
        <v>Yes</v>
      </c>
      <c r="O4399" s="31" t="str">
        <f aca="false">IF(H4399="","Open",IF(H4399&lt;=INDEX(Assumptions!$C$15:$C$18,MATCH(E4399,Assumptions!$A$15:$A$18,0)),"Yes","No"))</f>
        <v>Yes</v>
      </c>
    </row>
    <row r="4400" customFormat="false" ht="15" hidden="false" customHeight="false" outlineLevel="0" collapsed="false">
      <c r="A4400" s="31" t="s">
        <v>4550</v>
      </c>
      <c r="B4400" s="44" t="n">
        <v>46264</v>
      </c>
      <c r="C4400" s="31" t="s">
        <v>60</v>
      </c>
      <c r="D4400" s="31" t="s">
        <v>69</v>
      </c>
      <c r="E4400" s="31" t="s">
        <v>51</v>
      </c>
      <c r="F4400" s="31" t="s">
        <v>128</v>
      </c>
      <c r="G4400" s="31" t="n">
        <v>2</v>
      </c>
      <c r="H4400" s="41" t="n">
        <v>39.7</v>
      </c>
      <c r="I4400" s="31" t="s">
        <v>149</v>
      </c>
      <c r="J4400" s="31"/>
      <c r="K4400" s="31" t="s">
        <v>150</v>
      </c>
      <c r="L4400" s="45" t="n">
        <f aca="false">DATE(YEAR(B4400),MONTH(B4400),1)</f>
        <v>46235</v>
      </c>
      <c r="M4400" s="31" t="n">
        <f aca="false">WEEKDAY(B4400,2)</f>
        <v>7</v>
      </c>
      <c r="N4400" s="31" t="str">
        <f aca="false">IF(G4400&lt;=INDEX(Assumptions!$B$15:$B$18,MATCH(E4400,Assumptions!$A$15:$A$18,0)),"Yes","No")</f>
        <v>Yes</v>
      </c>
      <c r="O4400" s="31" t="str">
        <f aca="false">IF(H4400="","Open",IF(H4400&lt;=INDEX(Assumptions!$C$15:$C$18,MATCH(E4400,Assumptions!$A$15:$A$18,0)),"Yes","No"))</f>
        <v>No</v>
      </c>
    </row>
    <row r="4401" customFormat="false" ht="15" hidden="false" customHeight="false" outlineLevel="0" collapsed="false">
      <c r="A4401" s="31" t="s">
        <v>4551</v>
      </c>
      <c r="B4401" s="44" t="n">
        <v>46264</v>
      </c>
      <c r="C4401" s="31" t="s">
        <v>59</v>
      </c>
      <c r="D4401" s="31" t="s">
        <v>67</v>
      </c>
      <c r="E4401" s="31" t="s">
        <v>50</v>
      </c>
      <c r="F4401" s="31" t="s">
        <v>131</v>
      </c>
      <c r="G4401" s="31" t="n">
        <v>9</v>
      </c>
      <c r="H4401" s="41" t="n">
        <v>4.4</v>
      </c>
      <c r="I4401" s="31" t="s">
        <v>149</v>
      </c>
      <c r="J4401" s="31"/>
      <c r="K4401" s="31" t="s">
        <v>150</v>
      </c>
      <c r="L4401" s="45" t="n">
        <f aca="false">DATE(YEAR(B4401),MONTH(B4401),1)</f>
        <v>46235</v>
      </c>
      <c r="M4401" s="31" t="n">
        <f aca="false">WEEKDAY(B4401,2)</f>
        <v>7</v>
      </c>
      <c r="N4401" s="31" t="str">
        <f aca="false">IF(G4401&lt;=INDEX(Assumptions!$B$15:$B$18,MATCH(E4401,Assumptions!$A$15:$A$18,0)),"Yes","No")</f>
        <v>Yes</v>
      </c>
      <c r="O4401" s="31" t="str">
        <f aca="false">IF(H4401="","Open",IF(H4401&lt;=INDEX(Assumptions!$C$15:$C$18,MATCH(E4401,Assumptions!$A$15:$A$18,0)),"Yes","No"))</f>
        <v>Yes</v>
      </c>
    </row>
    <row r="4402" customFormat="false" ht="15" hidden="false" customHeight="false" outlineLevel="0" collapsed="false">
      <c r="A4402" s="31" t="s">
        <v>4552</v>
      </c>
      <c r="B4402" s="44" t="n">
        <v>46264</v>
      </c>
      <c r="C4402" s="31" t="s">
        <v>58</v>
      </c>
      <c r="D4402" s="31" t="s">
        <v>68</v>
      </c>
      <c r="E4402" s="31" t="s">
        <v>51</v>
      </c>
      <c r="F4402" s="31" t="s">
        <v>121</v>
      </c>
      <c r="G4402" s="31" t="n">
        <v>36</v>
      </c>
      <c r="H4402" s="41" t="n">
        <v>1.3</v>
      </c>
      <c r="I4402" s="31" t="s">
        <v>149</v>
      </c>
      <c r="J4402" s="31" t="n">
        <v>3</v>
      </c>
      <c r="K4402" s="31" t="s">
        <v>150</v>
      </c>
      <c r="L4402" s="45" t="n">
        <f aca="false">DATE(YEAR(B4402),MONTH(B4402),1)</f>
        <v>46235</v>
      </c>
      <c r="M4402" s="31" t="n">
        <f aca="false">WEEKDAY(B4402,2)</f>
        <v>7</v>
      </c>
      <c r="N4402" s="31" t="str">
        <f aca="false">IF(G4402&lt;=INDEX(Assumptions!$B$15:$B$18,MATCH(E4402,Assumptions!$A$15:$A$18,0)),"Yes","No")</f>
        <v>Yes</v>
      </c>
      <c r="O4402" s="31" t="str">
        <f aca="false">IF(H4402="","Open",IF(H4402&lt;=INDEX(Assumptions!$C$15:$C$18,MATCH(E4402,Assumptions!$A$15:$A$18,0)),"Yes","No"))</f>
        <v>Yes</v>
      </c>
    </row>
    <row r="4403" customFormat="false" ht="15" hidden="false" customHeight="false" outlineLevel="0" collapsed="false">
      <c r="A4403" s="31" t="s">
        <v>4553</v>
      </c>
      <c r="B4403" s="44" t="n">
        <v>46264</v>
      </c>
      <c r="C4403" s="31" t="s">
        <v>58</v>
      </c>
      <c r="D4403" s="31" t="s">
        <v>67</v>
      </c>
      <c r="E4403" s="31" t="s">
        <v>51</v>
      </c>
      <c r="F4403" s="31" t="s">
        <v>128</v>
      </c>
      <c r="G4403" s="31" t="n">
        <v>49</v>
      </c>
      <c r="H4403" s="41" t="n">
        <v>9.3</v>
      </c>
      <c r="I4403" s="31" t="s">
        <v>149</v>
      </c>
      <c r="J4403" s="31"/>
      <c r="K4403" s="31" t="s">
        <v>150</v>
      </c>
      <c r="L4403" s="45" t="n">
        <f aca="false">DATE(YEAR(B4403),MONTH(B4403),1)</f>
        <v>46235</v>
      </c>
      <c r="M4403" s="31" t="n">
        <f aca="false">WEEKDAY(B4403,2)</f>
        <v>7</v>
      </c>
      <c r="N4403" s="31" t="str">
        <f aca="false">IF(G4403&lt;=INDEX(Assumptions!$B$15:$B$18,MATCH(E4403,Assumptions!$A$15:$A$18,0)),"Yes","No")</f>
        <v>Yes</v>
      </c>
      <c r="O4403" s="31" t="str">
        <f aca="false">IF(H4403="","Open",IF(H4403&lt;=INDEX(Assumptions!$C$15:$C$18,MATCH(E4403,Assumptions!$A$15:$A$18,0)),"Yes","No"))</f>
        <v>Yes</v>
      </c>
    </row>
    <row r="4404" customFormat="false" ht="15" hidden="false" customHeight="false" outlineLevel="0" collapsed="false">
      <c r="A4404" s="31" t="s">
        <v>4554</v>
      </c>
      <c r="B4404" s="44" t="n">
        <v>46264</v>
      </c>
      <c r="C4404" s="31" t="s">
        <v>58</v>
      </c>
      <c r="D4404" s="31" t="s">
        <v>66</v>
      </c>
      <c r="E4404" s="31" t="s">
        <v>52</v>
      </c>
      <c r="F4404" s="31" t="s">
        <v>120</v>
      </c>
      <c r="G4404" s="31" t="n">
        <v>26</v>
      </c>
      <c r="H4404" s="41" t="n">
        <v>20.1</v>
      </c>
      <c r="I4404" s="31" t="s">
        <v>149</v>
      </c>
      <c r="J4404" s="31" t="n">
        <v>5</v>
      </c>
      <c r="K4404" s="31" t="s">
        <v>150</v>
      </c>
      <c r="L4404" s="45" t="n">
        <f aca="false">DATE(YEAR(B4404),MONTH(B4404),1)</f>
        <v>46235</v>
      </c>
      <c r="M4404" s="31" t="n">
        <f aca="false">WEEKDAY(B4404,2)</f>
        <v>7</v>
      </c>
      <c r="N4404" s="31" t="str">
        <f aca="false">IF(G4404&lt;=INDEX(Assumptions!$B$15:$B$18,MATCH(E4404,Assumptions!$A$15:$A$18,0)),"Yes","No")</f>
        <v>Yes</v>
      </c>
      <c r="O4404" s="31" t="str">
        <f aca="false">IF(H4404="","Open",IF(H4404&lt;=INDEX(Assumptions!$C$15:$C$18,MATCH(E4404,Assumptions!$A$15:$A$18,0)),"Yes","No"))</f>
        <v>Yes</v>
      </c>
    </row>
    <row r="4405" customFormat="false" ht="15" hidden="false" customHeight="false" outlineLevel="0" collapsed="false">
      <c r="A4405" s="31" t="s">
        <v>4555</v>
      </c>
      <c r="B4405" s="44" t="n">
        <v>46265</v>
      </c>
      <c r="C4405" s="31" t="s">
        <v>58</v>
      </c>
      <c r="D4405" s="31" t="s">
        <v>68</v>
      </c>
      <c r="E4405" s="31" t="s">
        <v>50</v>
      </c>
      <c r="F4405" s="31" t="s">
        <v>131</v>
      </c>
      <c r="G4405" s="31" t="n">
        <v>10</v>
      </c>
      <c r="H4405" s="41" t="n">
        <v>3.7</v>
      </c>
      <c r="I4405" s="31" t="s">
        <v>149</v>
      </c>
      <c r="J4405" s="31"/>
      <c r="K4405" s="31" t="s">
        <v>150</v>
      </c>
      <c r="L4405" s="45" t="n">
        <f aca="false">DATE(YEAR(B4405),MONTH(B4405),1)</f>
        <v>46235</v>
      </c>
      <c r="M4405" s="31" t="n">
        <f aca="false">WEEKDAY(B4405,2)</f>
        <v>1</v>
      </c>
      <c r="N4405" s="31" t="str">
        <f aca="false">IF(G4405&lt;=INDEX(Assumptions!$B$15:$B$18,MATCH(E4405,Assumptions!$A$15:$A$18,0)),"Yes","No")</f>
        <v>Yes</v>
      </c>
      <c r="O4405" s="31" t="str">
        <f aca="false">IF(H4405="","Open",IF(H4405&lt;=INDEX(Assumptions!$C$15:$C$18,MATCH(E4405,Assumptions!$A$15:$A$18,0)),"Yes","No"))</f>
        <v>Yes</v>
      </c>
    </row>
    <row r="4406" customFormat="false" ht="15" hidden="false" customHeight="false" outlineLevel="0" collapsed="false">
      <c r="A4406" s="31" t="s">
        <v>4556</v>
      </c>
      <c r="B4406" s="44" t="n">
        <v>46265</v>
      </c>
      <c r="C4406" s="31" t="s">
        <v>58</v>
      </c>
      <c r="D4406" s="31" t="s">
        <v>69</v>
      </c>
      <c r="E4406" s="31" t="s">
        <v>50</v>
      </c>
      <c r="F4406" s="31" t="s">
        <v>131</v>
      </c>
      <c r="G4406" s="31" t="n">
        <v>11</v>
      </c>
      <c r="H4406" s="41" t="n">
        <v>3.5</v>
      </c>
      <c r="I4406" s="31" t="s">
        <v>149</v>
      </c>
      <c r="J4406" s="31"/>
      <c r="K4406" s="31" t="s">
        <v>150</v>
      </c>
      <c r="L4406" s="45" t="n">
        <f aca="false">DATE(YEAR(B4406),MONTH(B4406),1)</f>
        <v>46235</v>
      </c>
      <c r="M4406" s="31" t="n">
        <f aca="false">WEEKDAY(B4406,2)</f>
        <v>1</v>
      </c>
      <c r="N4406" s="31" t="str">
        <f aca="false">IF(G4406&lt;=INDEX(Assumptions!$B$15:$B$18,MATCH(E4406,Assumptions!$A$15:$A$18,0)),"Yes","No")</f>
        <v>Yes</v>
      </c>
      <c r="O4406" s="31" t="str">
        <f aca="false">IF(H4406="","Open",IF(H4406&lt;=INDEX(Assumptions!$C$15:$C$18,MATCH(E4406,Assumptions!$A$15:$A$18,0)),"Yes","No"))</f>
        <v>Yes</v>
      </c>
    </row>
    <row r="4407" customFormat="false" ht="15" hidden="false" customHeight="false" outlineLevel="0" collapsed="false">
      <c r="A4407" s="31" t="s">
        <v>4557</v>
      </c>
      <c r="B4407" s="44" t="n">
        <v>46265</v>
      </c>
      <c r="C4407" s="31" t="s">
        <v>57</v>
      </c>
      <c r="D4407" s="31" t="s">
        <v>65</v>
      </c>
      <c r="E4407" s="31" t="s">
        <v>51</v>
      </c>
      <c r="F4407" s="31" t="s">
        <v>136</v>
      </c>
      <c r="G4407" s="31" t="n">
        <v>11</v>
      </c>
      <c r="H4407" s="41" t="n">
        <v>9.7</v>
      </c>
      <c r="I4407" s="31" t="s">
        <v>149</v>
      </c>
      <c r="J4407" s="31" t="n">
        <v>4</v>
      </c>
      <c r="K4407" s="31" t="s">
        <v>150</v>
      </c>
      <c r="L4407" s="45" t="n">
        <f aca="false">DATE(YEAR(B4407),MONTH(B4407),1)</f>
        <v>46235</v>
      </c>
      <c r="M4407" s="31" t="n">
        <f aca="false">WEEKDAY(B4407,2)</f>
        <v>1</v>
      </c>
      <c r="N4407" s="31" t="str">
        <f aca="false">IF(G4407&lt;=INDEX(Assumptions!$B$15:$B$18,MATCH(E4407,Assumptions!$A$15:$A$18,0)),"Yes","No")</f>
        <v>Yes</v>
      </c>
      <c r="O4407" s="31" t="str">
        <f aca="false">IF(H4407="","Open",IF(H4407&lt;=INDEX(Assumptions!$C$15:$C$18,MATCH(E4407,Assumptions!$A$15:$A$18,0)),"Yes","No"))</f>
        <v>Yes</v>
      </c>
    </row>
    <row r="4408" customFormat="false" ht="15" hidden="false" customHeight="false" outlineLevel="0" collapsed="false">
      <c r="A4408" s="31" t="s">
        <v>4558</v>
      </c>
      <c r="B4408" s="44" t="n">
        <v>46265</v>
      </c>
      <c r="C4408" s="31" t="s">
        <v>60</v>
      </c>
      <c r="D4408" s="31" t="s">
        <v>65</v>
      </c>
      <c r="E4408" s="31" t="s">
        <v>51</v>
      </c>
      <c r="F4408" s="31" t="s">
        <v>133</v>
      </c>
      <c r="G4408" s="31" t="n">
        <v>1</v>
      </c>
      <c r="H4408" s="41" t="n">
        <v>13.9</v>
      </c>
      <c r="I4408" s="31" t="s">
        <v>149</v>
      </c>
      <c r="J4408" s="31" t="n">
        <v>4</v>
      </c>
      <c r="K4408" s="31" t="s">
        <v>153</v>
      </c>
      <c r="L4408" s="45" t="n">
        <f aca="false">DATE(YEAR(B4408),MONTH(B4408),1)</f>
        <v>46235</v>
      </c>
      <c r="M4408" s="31" t="n">
        <f aca="false">WEEKDAY(B4408,2)</f>
        <v>1</v>
      </c>
      <c r="N4408" s="31" t="str">
        <f aca="false">IF(G4408&lt;=INDEX(Assumptions!$B$15:$B$18,MATCH(E4408,Assumptions!$A$15:$A$18,0)),"Yes","No")</f>
        <v>Yes</v>
      </c>
      <c r="O4408" s="31" t="str">
        <f aca="false">IF(H4408="","Open",IF(H4408&lt;=INDEX(Assumptions!$C$15:$C$18,MATCH(E4408,Assumptions!$A$15:$A$18,0)),"Yes","No"))</f>
        <v>Yes</v>
      </c>
    </row>
    <row r="4409" customFormat="false" ht="15" hidden="false" customHeight="false" outlineLevel="0" collapsed="false">
      <c r="A4409" s="31" t="s">
        <v>4559</v>
      </c>
      <c r="B4409" s="44" t="n">
        <v>46265</v>
      </c>
      <c r="C4409" s="31" t="s">
        <v>58</v>
      </c>
      <c r="D4409" s="31" t="s">
        <v>69</v>
      </c>
      <c r="E4409" s="31" t="s">
        <v>51</v>
      </c>
      <c r="F4409" s="31" t="s">
        <v>124</v>
      </c>
      <c r="G4409" s="31" t="n">
        <v>18</v>
      </c>
      <c r="H4409" s="41" t="n">
        <v>44.7</v>
      </c>
      <c r="I4409" s="31" t="s">
        <v>64</v>
      </c>
      <c r="J4409" s="31" t="n">
        <v>3</v>
      </c>
      <c r="K4409" s="31" t="s">
        <v>150</v>
      </c>
      <c r="L4409" s="45" t="n">
        <f aca="false">DATE(YEAR(B4409),MONTH(B4409),1)</f>
        <v>46235</v>
      </c>
      <c r="M4409" s="31" t="n">
        <f aca="false">WEEKDAY(B4409,2)</f>
        <v>1</v>
      </c>
      <c r="N4409" s="31" t="str">
        <f aca="false">IF(G4409&lt;=INDEX(Assumptions!$B$15:$B$18,MATCH(E4409,Assumptions!$A$15:$A$18,0)),"Yes","No")</f>
        <v>Yes</v>
      </c>
      <c r="O4409" s="31" t="str">
        <f aca="false">IF(H4409="","Open",IF(H4409&lt;=INDEX(Assumptions!$C$15:$C$18,MATCH(E4409,Assumptions!$A$15:$A$18,0)),"Yes","No"))</f>
        <v>No</v>
      </c>
    </row>
    <row r="4410" customFormat="false" ht="15" hidden="false" customHeight="false" outlineLevel="0" collapsed="false">
      <c r="A4410" s="31" t="s">
        <v>4560</v>
      </c>
      <c r="B4410" s="44" t="n">
        <v>46265</v>
      </c>
      <c r="C4410" s="31" t="s">
        <v>60</v>
      </c>
      <c r="D4410" s="31" t="s">
        <v>66</v>
      </c>
      <c r="E4410" s="31" t="s">
        <v>51</v>
      </c>
      <c r="F4410" s="31" t="s">
        <v>136</v>
      </c>
      <c r="G4410" s="31" t="n">
        <v>1</v>
      </c>
      <c r="H4410" s="41" t="n">
        <v>2.1</v>
      </c>
      <c r="I4410" s="31" t="s">
        <v>149</v>
      </c>
      <c r="J4410" s="31" t="n">
        <v>4</v>
      </c>
      <c r="K4410" s="31" t="s">
        <v>150</v>
      </c>
      <c r="L4410" s="45" t="n">
        <f aca="false">DATE(YEAR(B4410),MONTH(B4410),1)</f>
        <v>46235</v>
      </c>
      <c r="M4410" s="31" t="n">
        <f aca="false">WEEKDAY(B4410,2)</f>
        <v>1</v>
      </c>
      <c r="N4410" s="31" t="str">
        <f aca="false">IF(G4410&lt;=INDEX(Assumptions!$B$15:$B$18,MATCH(E4410,Assumptions!$A$15:$A$18,0)),"Yes","No")</f>
        <v>Yes</v>
      </c>
      <c r="O4410" s="31" t="str">
        <f aca="false">IF(H4410="","Open",IF(H4410&lt;=INDEX(Assumptions!$C$15:$C$18,MATCH(E4410,Assumptions!$A$15:$A$18,0)),"Yes","No"))</f>
        <v>Yes</v>
      </c>
    </row>
    <row r="4411" customFormat="false" ht="15" hidden="false" customHeight="false" outlineLevel="0" collapsed="false">
      <c r="A4411" s="31" t="s">
        <v>4561</v>
      </c>
      <c r="B4411" s="44" t="n">
        <v>46265</v>
      </c>
      <c r="C4411" s="31" t="s">
        <v>59</v>
      </c>
      <c r="D4411" s="31" t="s">
        <v>66</v>
      </c>
      <c r="E4411" s="31" t="s">
        <v>52</v>
      </c>
      <c r="F4411" s="31" t="s">
        <v>121</v>
      </c>
      <c r="G4411" s="31" t="n">
        <v>156</v>
      </c>
      <c r="H4411" s="41" t="n">
        <v>10.5</v>
      </c>
      <c r="I4411" s="31" t="s">
        <v>149</v>
      </c>
      <c r="J4411" s="31" t="n">
        <v>4</v>
      </c>
      <c r="K4411" s="31" t="s">
        <v>150</v>
      </c>
      <c r="L4411" s="45" t="n">
        <f aca="false">DATE(YEAR(B4411),MONTH(B4411),1)</f>
        <v>46235</v>
      </c>
      <c r="M4411" s="31" t="n">
        <f aca="false">WEEKDAY(B4411,2)</f>
        <v>1</v>
      </c>
      <c r="N4411" s="31" t="str">
        <f aca="false">IF(G4411&lt;=INDEX(Assumptions!$B$15:$B$18,MATCH(E4411,Assumptions!$A$15:$A$18,0)),"Yes","No")</f>
        <v>Yes</v>
      </c>
      <c r="O4411" s="31" t="str">
        <f aca="false">IF(H4411="","Open",IF(H4411&lt;=INDEX(Assumptions!$C$15:$C$18,MATCH(E4411,Assumptions!$A$15:$A$18,0)),"Yes","No"))</f>
        <v>Yes</v>
      </c>
    </row>
    <row r="4412" customFormat="false" ht="15" hidden="false" customHeight="false" outlineLevel="0" collapsed="false">
      <c r="A4412" s="31" t="s">
        <v>4562</v>
      </c>
      <c r="B4412" s="44" t="n">
        <v>46265</v>
      </c>
      <c r="C4412" s="31" t="s">
        <v>57</v>
      </c>
      <c r="D4412" s="31" t="s">
        <v>69</v>
      </c>
      <c r="E4412" s="31" t="s">
        <v>51</v>
      </c>
      <c r="F4412" s="31" t="s">
        <v>124</v>
      </c>
      <c r="G4412" s="31" t="n">
        <v>3</v>
      </c>
      <c r="H4412" s="41" t="n">
        <v>35.3</v>
      </c>
      <c r="I4412" s="31" t="s">
        <v>149</v>
      </c>
      <c r="J4412" s="31" t="n">
        <v>3</v>
      </c>
      <c r="K4412" s="31" t="s">
        <v>150</v>
      </c>
      <c r="L4412" s="45" t="n">
        <f aca="false">DATE(YEAR(B4412),MONTH(B4412),1)</f>
        <v>46235</v>
      </c>
      <c r="M4412" s="31" t="n">
        <f aca="false">WEEKDAY(B4412,2)</f>
        <v>1</v>
      </c>
      <c r="N4412" s="31" t="str">
        <f aca="false">IF(G4412&lt;=INDEX(Assumptions!$B$15:$B$18,MATCH(E4412,Assumptions!$A$15:$A$18,0)),"Yes","No")</f>
        <v>Yes</v>
      </c>
      <c r="O4412" s="31" t="str">
        <f aca="false">IF(H4412="","Open",IF(H4412&lt;=INDEX(Assumptions!$C$15:$C$18,MATCH(E4412,Assumptions!$A$15:$A$18,0)),"Yes","No"))</f>
        <v>No</v>
      </c>
    </row>
    <row r="4413" customFormat="false" ht="15" hidden="false" customHeight="false" outlineLevel="0" collapsed="false">
      <c r="A4413" s="31" t="s">
        <v>4563</v>
      </c>
      <c r="B4413" s="44" t="n">
        <v>46265</v>
      </c>
      <c r="C4413" s="31" t="s">
        <v>59</v>
      </c>
      <c r="D4413" s="31" t="s">
        <v>65</v>
      </c>
      <c r="E4413" s="31" t="s">
        <v>50</v>
      </c>
      <c r="F4413" s="31" t="s">
        <v>122</v>
      </c>
      <c r="G4413" s="31" t="n">
        <v>58</v>
      </c>
      <c r="H4413" s="41" t="n">
        <v>5.6</v>
      </c>
      <c r="I4413" s="31" t="s">
        <v>149</v>
      </c>
      <c r="J4413" s="31"/>
      <c r="K4413" s="31" t="s">
        <v>150</v>
      </c>
      <c r="L4413" s="45" t="n">
        <f aca="false">DATE(YEAR(B4413),MONTH(B4413),1)</f>
        <v>46235</v>
      </c>
      <c r="M4413" s="31" t="n">
        <f aca="false">WEEKDAY(B4413,2)</f>
        <v>1</v>
      </c>
      <c r="N4413" s="31" t="str">
        <f aca="false">IF(G4413&lt;=INDEX(Assumptions!$B$15:$B$18,MATCH(E4413,Assumptions!$A$15:$A$18,0)),"Yes","No")</f>
        <v>No</v>
      </c>
      <c r="O4413" s="31" t="str">
        <f aca="false">IF(H4413="","Open",IF(H4413&lt;=INDEX(Assumptions!$C$15:$C$18,MATCH(E4413,Assumptions!$A$15:$A$18,0)),"Yes","No"))</f>
        <v>Yes</v>
      </c>
    </row>
    <row r="4414" customFormat="false" ht="15" hidden="false" customHeight="false" outlineLevel="0" collapsed="false">
      <c r="A4414" s="31" t="s">
        <v>4564</v>
      </c>
      <c r="B4414" s="44" t="n">
        <v>46265</v>
      </c>
      <c r="C4414" s="31" t="s">
        <v>58</v>
      </c>
      <c r="D4414" s="31" t="s">
        <v>65</v>
      </c>
      <c r="E4414" s="31" t="s">
        <v>52</v>
      </c>
      <c r="F4414" s="31" t="s">
        <v>135</v>
      </c>
      <c r="G4414" s="31" t="n">
        <v>17</v>
      </c>
      <c r="H4414" s="41" t="n">
        <v>30.6</v>
      </c>
      <c r="I4414" s="31" t="s">
        <v>149</v>
      </c>
      <c r="J4414" s="31"/>
      <c r="K4414" s="31" t="s">
        <v>150</v>
      </c>
      <c r="L4414" s="45" t="n">
        <f aca="false">DATE(YEAR(B4414),MONTH(B4414),1)</f>
        <v>46235</v>
      </c>
      <c r="M4414" s="31" t="n">
        <f aca="false">WEEKDAY(B4414,2)</f>
        <v>1</v>
      </c>
      <c r="N4414" s="31" t="str">
        <f aca="false">IF(G4414&lt;=INDEX(Assumptions!$B$15:$B$18,MATCH(E4414,Assumptions!$A$15:$A$18,0)),"Yes","No")</f>
        <v>Yes</v>
      </c>
      <c r="O4414" s="31" t="str">
        <f aca="false">IF(H4414="","Open",IF(H4414&lt;=INDEX(Assumptions!$C$15:$C$18,MATCH(E4414,Assumptions!$A$15:$A$18,0)),"Yes","No"))</f>
        <v>Yes</v>
      </c>
    </row>
    <row r="4415" customFormat="false" ht="15" hidden="false" customHeight="false" outlineLevel="0" collapsed="false">
      <c r="A4415" s="31" t="s">
        <v>4565</v>
      </c>
      <c r="B4415" s="44" t="n">
        <v>46265</v>
      </c>
      <c r="C4415" s="31" t="s">
        <v>58</v>
      </c>
      <c r="D4415" s="31" t="s">
        <v>67</v>
      </c>
      <c r="E4415" s="31" t="s">
        <v>51</v>
      </c>
      <c r="F4415" s="31" t="s">
        <v>137</v>
      </c>
      <c r="G4415" s="31" t="n">
        <v>18</v>
      </c>
      <c r="H4415" s="41" t="n">
        <v>28.9</v>
      </c>
      <c r="I4415" s="31" t="s">
        <v>149</v>
      </c>
      <c r="J4415" s="31" t="n">
        <v>4</v>
      </c>
      <c r="K4415" s="31" t="s">
        <v>150</v>
      </c>
      <c r="L4415" s="45" t="n">
        <f aca="false">DATE(YEAR(B4415),MONTH(B4415),1)</f>
        <v>46235</v>
      </c>
      <c r="M4415" s="31" t="n">
        <f aca="false">WEEKDAY(B4415,2)</f>
        <v>1</v>
      </c>
      <c r="N4415" s="31" t="str">
        <f aca="false">IF(G4415&lt;=INDEX(Assumptions!$B$15:$B$18,MATCH(E4415,Assumptions!$A$15:$A$18,0)),"Yes","No")</f>
        <v>Yes</v>
      </c>
      <c r="O4415" s="31" t="str">
        <f aca="false">IF(H4415="","Open",IF(H4415&lt;=INDEX(Assumptions!$C$15:$C$18,MATCH(E4415,Assumptions!$A$15:$A$18,0)),"Yes","No"))</f>
        <v>No</v>
      </c>
    </row>
    <row r="4416" customFormat="false" ht="15" hidden="false" customHeight="false" outlineLevel="0" collapsed="false">
      <c r="A4416" s="31" t="s">
        <v>4566</v>
      </c>
      <c r="B4416" s="44" t="n">
        <v>46265</v>
      </c>
      <c r="C4416" s="31" t="s">
        <v>60</v>
      </c>
      <c r="D4416" s="31" t="s">
        <v>65</v>
      </c>
      <c r="E4416" s="31" t="s">
        <v>51</v>
      </c>
      <c r="F4416" s="31" t="s">
        <v>130</v>
      </c>
      <c r="G4416" s="31" t="n">
        <v>2</v>
      </c>
      <c r="H4416" s="41" t="n">
        <v>13.1</v>
      </c>
      <c r="I4416" s="31" t="s">
        <v>149</v>
      </c>
      <c r="J4416" s="31" t="n">
        <v>5</v>
      </c>
      <c r="K4416" s="31" t="s">
        <v>150</v>
      </c>
      <c r="L4416" s="45" t="n">
        <f aca="false">DATE(YEAR(B4416),MONTH(B4416),1)</f>
        <v>46235</v>
      </c>
      <c r="M4416" s="31" t="n">
        <f aca="false">WEEKDAY(B4416,2)</f>
        <v>1</v>
      </c>
      <c r="N4416" s="31" t="str">
        <f aca="false">IF(G4416&lt;=INDEX(Assumptions!$B$15:$B$18,MATCH(E4416,Assumptions!$A$15:$A$18,0)),"Yes","No")</f>
        <v>Yes</v>
      </c>
      <c r="O4416" s="31" t="str">
        <f aca="false">IF(H4416="","Open",IF(H4416&lt;=INDEX(Assumptions!$C$15:$C$18,MATCH(E4416,Assumptions!$A$15:$A$18,0)),"Yes","No"))</f>
        <v>Yes</v>
      </c>
    </row>
    <row r="4417" customFormat="false" ht="15" hidden="false" customHeight="false" outlineLevel="0" collapsed="false">
      <c r="A4417" s="31" t="s">
        <v>4567</v>
      </c>
      <c r="B4417" s="44" t="n">
        <v>46265</v>
      </c>
      <c r="C4417" s="31" t="s">
        <v>59</v>
      </c>
      <c r="D4417" s="31" t="s">
        <v>66</v>
      </c>
      <c r="E4417" s="31" t="s">
        <v>50</v>
      </c>
      <c r="F4417" s="31" t="s">
        <v>136</v>
      </c>
      <c r="G4417" s="31" t="n">
        <v>143</v>
      </c>
      <c r="H4417" s="41" t="n">
        <v>12</v>
      </c>
      <c r="I4417" s="31" t="s">
        <v>149</v>
      </c>
      <c r="J4417" s="31"/>
      <c r="K4417" s="31" t="s">
        <v>150</v>
      </c>
      <c r="L4417" s="45" t="n">
        <f aca="false">DATE(YEAR(B4417),MONTH(B4417),1)</f>
        <v>46235</v>
      </c>
      <c r="M4417" s="31" t="n">
        <f aca="false">WEEKDAY(B4417,2)</f>
        <v>1</v>
      </c>
      <c r="N4417" s="31" t="str">
        <f aca="false">IF(G4417&lt;=INDEX(Assumptions!$B$15:$B$18,MATCH(E4417,Assumptions!$A$15:$A$18,0)),"Yes","No")</f>
        <v>No</v>
      </c>
      <c r="O4417" s="31" t="str">
        <f aca="false">IF(H4417="","Open",IF(H4417&lt;=INDEX(Assumptions!$C$15:$C$18,MATCH(E4417,Assumptions!$A$15:$A$18,0)),"Yes","No"))</f>
        <v>No</v>
      </c>
    </row>
    <row r="4418" customFormat="false" ht="15" hidden="false" customHeight="false" outlineLevel="0" collapsed="false">
      <c r="A4418" s="31" t="s">
        <v>4568</v>
      </c>
      <c r="B4418" s="44" t="n">
        <v>46265</v>
      </c>
      <c r="C4418" s="31" t="s">
        <v>57</v>
      </c>
      <c r="D4418" s="31" t="s">
        <v>65</v>
      </c>
      <c r="E4418" s="31" t="s">
        <v>50</v>
      </c>
      <c r="F4418" s="31" t="s">
        <v>134</v>
      </c>
      <c r="G4418" s="31" t="n">
        <v>7</v>
      </c>
      <c r="H4418" s="41" t="n">
        <v>3.2</v>
      </c>
      <c r="I4418" s="31" t="s">
        <v>149</v>
      </c>
      <c r="J4418" s="31"/>
      <c r="K4418" s="31" t="s">
        <v>153</v>
      </c>
      <c r="L4418" s="45" t="n">
        <f aca="false">DATE(YEAR(B4418),MONTH(B4418),1)</f>
        <v>46235</v>
      </c>
      <c r="M4418" s="31" t="n">
        <f aca="false">WEEKDAY(B4418,2)</f>
        <v>1</v>
      </c>
      <c r="N4418" s="31" t="str">
        <f aca="false">IF(G4418&lt;=INDEX(Assumptions!$B$15:$B$18,MATCH(E4418,Assumptions!$A$15:$A$18,0)),"Yes","No")</f>
        <v>Yes</v>
      </c>
      <c r="O4418" s="31" t="str">
        <f aca="false">IF(H4418="","Open",IF(H4418&lt;=INDEX(Assumptions!$C$15:$C$18,MATCH(E4418,Assumptions!$A$15:$A$18,0)),"Yes","No"))</f>
        <v>Yes</v>
      </c>
    </row>
    <row r="4419" customFormat="false" ht="15" hidden="false" customHeight="false" outlineLevel="0" collapsed="false">
      <c r="A4419" s="31" t="s">
        <v>4569</v>
      </c>
      <c r="B4419" s="44" t="n">
        <v>46265</v>
      </c>
      <c r="C4419" s="31" t="s">
        <v>58</v>
      </c>
      <c r="D4419" s="31" t="s">
        <v>65</v>
      </c>
      <c r="E4419" s="31" t="s">
        <v>50</v>
      </c>
      <c r="F4419" s="31" t="s">
        <v>127</v>
      </c>
      <c r="G4419" s="31" t="n">
        <v>3</v>
      </c>
      <c r="H4419" s="41" t="n">
        <v>5.9</v>
      </c>
      <c r="I4419" s="31" t="s">
        <v>149</v>
      </c>
      <c r="J4419" s="31"/>
      <c r="K4419" s="31" t="s">
        <v>150</v>
      </c>
      <c r="L4419" s="45" t="n">
        <f aca="false">DATE(YEAR(B4419),MONTH(B4419),1)</f>
        <v>46235</v>
      </c>
      <c r="M4419" s="31" t="n">
        <f aca="false">WEEKDAY(B4419,2)</f>
        <v>1</v>
      </c>
      <c r="N4419" s="31" t="str">
        <f aca="false">IF(G4419&lt;=INDEX(Assumptions!$B$15:$B$18,MATCH(E4419,Assumptions!$A$15:$A$18,0)),"Yes","No")</f>
        <v>Yes</v>
      </c>
      <c r="O4419" s="31" t="str">
        <f aca="false">IF(H4419="","Open",IF(H4419&lt;=INDEX(Assumptions!$C$15:$C$18,MATCH(E4419,Assumptions!$A$15:$A$18,0)),"Yes","No"))</f>
        <v>Yes</v>
      </c>
    </row>
    <row r="4420" customFormat="false" ht="15" hidden="false" customHeight="false" outlineLevel="0" collapsed="false">
      <c r="A4420" s="31" t="s">
        <v>4570</v>
      </c>
      <c r="B4420" s="44" t="n">
        <v>46265</v>
      </c>
      <c r="C4420" s="31" t="s">
        <v>57</v>
      </c>
      <c r="D4420" s="31" t="s">
        <v>65</v>
      </c>
      <c r="E4420" s="31" t="s">
        <v>51</v>
      </c>
      <c r="F4420" s="31" t="s">
        <v>136</v>
      </c>
      <c r="G4420" s="31" t="n">
        <v>4</v>
      </c>
      <c r="H4420" s="41" t="n">
        <v>9.5</v>
      </c>
      <c r="I4420" s="31" t="s">
        <v>64</v>
      </c>
      <c r="J4420" s="31"/>
      <c r="K4420" s="31" t="s">
        <v>150</v>
      </c>
      <c r="L4420" s="45" t="n">
        <f aca="false">DATE(YEAR(B4420),MONTH(B4420),1)</f>
        <v>46235</v>
      </c>
      <c r="M4420" s="31" t="n">
        <f aca="false">WEEKDAY(B4420,2)</f>
        <v>1</v>
      </c>
      <c r="N4420" s="31" t="str">
        <f aca="false">IF(G4420&lt;=INDEX(Assumptions!$B$15:$B$18,MATCH(E4420,Assumptions!$A$15:$A$18,0)),"Yes","No")</f>
        <v>Yes</v>
      </c>
      <c r="O4420" s="31" t="str">
        <f aca="false">IF(H4420="","Open",IF(H4420&lt;=INDEX(Assumptions!$C$15:$C$18,MATCH(E4420,Assumptions!$A$15:$A$18,0)),"Yes","No"))</f>
        <v>Yes</v>
      </c>
    </row>
    <row r="4421" customFormat="false" ht="15" hidden="false" customHeight="false" outlineLevel="0" collapsed="false">
      <c r="A4421" s="31" t="s">
        <v>4571</v>
      </c>
      <c r="B4421" s="44" t="n">
        <v>46265</v>
      </c>
      <c r="C4421" s="31" t="s">
        <v>59</v>
      </c>
      <c r="D4421" s="31" t="s">
        <v>65</v>
      </c>
      <c r="E4421" s="31" t="s">
        <v>52</v>
      </c>
      <c r="F4421" s="31" t="s">
        <v>128</v>
      </c>
      <c r="G4421" s="31" t="n">
        <v>330</v>
      </c>
      <c r="H4421" s="41" t="n">
        <v>22.3</v>
      </c>
      <c r="I4421" s="31" t="s">
        <v>149</v>
      </c>
      <c r="J4421" s="31" t="n">
        <v>4</v>
      </c>
      <c r="K4421" s="31" t="s">
        <v>150</v>
      </c>
      <c r="L4421" s="45" t="n">
        <f aca="false">DATE(YEAR(B4421),MONTH(B4421),1)</f>
        <v>46235</v>
      </c>
      <c r="M4421" s="31" t="n">
        <f aca="false">WEEKDAY(B4421,2)</f>
        <v>1</v>
      </c>
      <c r="N4421" s="31" t="str">
        <f aca="false">IF(G4421&lt;=INDEX(Assumptions!$B$15:$B$18,MATCH(E4421,Assumptions!$A$15:$A$18,0)),"Yes","No")</f>
        <v>No</v>
      </c>
      <c r="O4421" s="31" t="str">
        <f aca="false">IF(H4421="","Open",IF(H4421&lt;=INDEX(Assumptions!$C$15:$C$18,MATCH(E4421,Assumptions!$A$15:$A$18,0)),"Yes","No"))</f>
        <v>Yes</v>
      </c>
    </row>
    <row r="4422" customFormat="false" ht="15" hidden="false" customHeight="false" outlineLevel="0" collapsed="false">
      <c r="A4422" s="31" t="s">
        <v>4572</v>
      </c>
      <c r="B4422" s="44" t="n">
        <v>46265</v>
      </c>
      <c r="C4422" s="31" t="s">
        <v>58</v>
      </c>
      <c r="D4422" s="31" t="s">
        <v>68</v>
      </c>
      <c r="E4422" s="31" t="s">
        <v>51</v>
      </c>
      <c r="F4422" s="31" t="s">
        <v>120</v>
      </c>
      <c r="G4422" s="31" t="n">
        <v>18</v>
      </c>
      <c r="H4422" s="41" t="n">
        <v>17.6</v>
      </c>
      <c r="I4422" s="31" t="s">
        <v>149</v>
      </c>
      <c r="J4422" s="31" t="n">
        <v>3</v>
      </c>
      <c r="K4422" s="31" t="s">
        <v>150</v>
      </c>
      <c r="L4422" s="45" t="n">
        <f aca="false">DATE(YEAR(B4422),MONTH(B4422),1)</f>
        <v>46235</v>
      </c>
      <c r="M4422" s="31" t="n">
        <f aca="false">WEEKDAY(B4422,2)</f>
        <v>1</v>
      </c>
      <c r="N4422" s="31" t="str">
        <f aca="false">IF(G4422&lt;=INDEX(Assumptions!$B$15:$B$18,MATCH(E4422,Assumptions!$A$15:$A$18,0)),"Yes","No")</f>
        <v>Yes</v>
      </c>
      <c r="O4422" s="31" t="str">
        <f aca="false">IF(H4422="","Open",IF(H4422&lt;=INDEX(Assumptions!$C$15:$C$18,MATCH(E4422,Assumptions!$A$15:$A$18,0)),"Yes","No"))</f>
        <v>Yes</v>
      </c>
    </row>
    <row r="4423" customFormat="false" ht="15" hidden="false" customHeight="false" outlineLevel="0" collapsed="false">
      <c r="A4423" s="31" t="s">
        <v>4573</v>
      </c>
      <c r="B4423" s="44" t="n">
        <v>46265</v>
      </c>
      <c r="C4423" s="31" t="s">
        <v>58</v>
      </c>
      <c r="D4423" s="31" t="s">
        <v>66</v>
      </c>
      <c r="E4423" s="31" t="s">
        <v>50</v>
      </c>
      <c r="F4423" s="31" t="s">
        <v>117</v>
      </c>
      <c r="G4423" s="31" t="n">
        <v>7</v>
      </c>
      <c r="H4423" s="41" t="n">
        <v>3.3</v>
      </c>
      <c r="I4423" s="31" t="s">
        <v>149</v>
      </c>
      <c r="J4423" s="31"/>
      <c r="K4423" s="31" t="s">
        <v>150</v>
      </c>
      <c r="L4423" s="45" t="n">
        <f aca="false">DATE(YEAR(B4423),MONTH(B4423),1)</f>
        <v>46235</v>
      </c>
      <c r="M4423" s="31" t="n">
        <f aca="false">WEEKDAY(B4423,2)</f>
        <v>1</v>
      </c>
      <c r="N4423" s="31" t="str">
        <f aca="false">IF(G4423&lt;=INDEX(Assumptions!$B$15:$B$18,MATCH(E4423,Assumptions!$A$15:$A$18,0)),"Yes","No")</f>
        <v>Yes</v>
      </c>
      <c r="O4423" s="31" t="str">
        <f aca="false">IF(H4423="","Open",IF(H4423&lt;=INDEX(Assumptions!$C$15:$C$18,MATCH(E4423,Assumptions!$A$15:$A$18,0)),"Yes","No"))</f>
        <v>Yes</v>
      </c>
    </row>
    <row r="4424" customFormat="false" ht="15" hidden="false" customHeight="false" outlineLevel="0" collapsed="false">
      <c r="A4424" s="31" t="s">
        <v>4574</v>
      </c>
      <c r="B4424" s="44" t="n">
        <v>46265</v>
      </c>
      <c r="C4424" s="31" t="s">
        <v>57</v>
      </c>
      <c r="D4424" s="31" t="s">
        <v>66</v>
      </c>
      <c r="E4424" s="31" t="s">
        <v>50</v>
      </c>
      <c r="F4424" s="31" t="s">
        <v>136</v>
      </c>
      <c r="G4424" s="31" t="n">
        <v>39</v>
      </c>
      <c r="H4424" s="41" t="n">
        <v>5.9</v>
      </c>
      <c r="I4424" s="31" t="s">
        <v>149</v>
      </c>
      <c r="J4424" s="31" t="n">
        <v>4</v>
      </c>
      <c r="K4424" s="31" t="s">
        <v>150</v>
      </c>
      <c r="L4424" s="45" t="n">
        <f aca="false">DATE(YEAR(B4424),MONTH(B4424),1)</f>
        <v>46235</v>
      </c>
      <c r="M4424" s="31" t="n">
        <f aca="false">WEEKDAY(B4424,2)</f>
        <v>1</v>
      </c>
      <c r="N4424" s="31" t="str">
        <f aca="false">IF(G4424&lt;=INDEX(Assumptions!$B$15:$B$18,MATCH(E4424,Assumptions!$A$15:$A$18,0)),"Yes","No")</f>
        <v>No</v>
      </c>
      <c r="O4424" s="31" t="str">
        <f aca="false">IF(H4424="","Open",IF(H4424&lt;=INDEX(Assumptions!$C$15:$C$18,MATCH(E4424,Assumptions!$A$15:$A$18,0)),"Yes","No"))</f>
        <v>Yes</v>
      </c>
    </row>
    <row r="4425" customFormat="false" ht="15" hidden="false" customHeight="false" outlineLevel="0" collapsed="false">
      <c r="A4425" s="31" t="s">
        <v>4575</v>
      </c>
      <c r="B4425" s="44" t="n">
        <v>46265</v>
      </c>
      <c r="C4425" s="31" t="s">
        <v>60</v>
      </c>
      <c r="D4425" s="31" t="s">
        <v>69</v>
      </c>
      <c r="E4425" s="31" t="s">
        <v>51</v>
      </c>
      <c r="F4425" s="31" t="s">
        <v>126</v>
      </c>
      <c r="G4425" s="31" t="n">
        <v>1</v>
      </c>
      <c r="H4425" s="41" t="n">
        <v>46.4</v>
      </c>
      <c r="I4425" s="31" t="s">
        <v>149</v>
      </c>
      <c r="J4425" s="31"/>
      <c r="K4425" s="31" t="s">
        <v>150</v>
      </c>
      <c r="L4425" s="45" t="n">
        <f aca="false">DATE(YEAR(B4425),MONTH(B4425),1)</f>
        <v>46235</v>
      </c>
      <c r="M4425" s="31" t="n">
        <f aca="false">WEEKDAY(B4425,2)</f>
        <v>1</v>
      </c>
      <c r="N4425" s="31" t="str">
        <f aca="false">IF(G4425&lt;=INDEX(Assumptions!$B$15:$B$18,MATCH(E4425,Assumptions!$A$15:$A$18,0)),"Yes","No")</f>
        <v>Yes</v>
      </c>
      <c r="O4425" s="31" t="str">
        <f aca="false">IF(H4425="","Open",IF(H4425&lt;=INDEX(Assumptions!$C$15:$C$18,MATCH(E4425,Assumptions!$A$15:$A$18,0)),"Yes","No"))</f>
        <v>No</v>
      </c>
    </row>
    <row r="4426" customFormat="false" ht="15" hidden="false" customHeight="false" outlineLevel="0" collapsed="false">
      <c r="A4426" s="31" t="s">
        <v>4576</v>
      </c>
      <c r="B4426" s="44" t="n">
        <v>46265</v>
      </c>
      <c r="C4426" s="31" t="s">
        <v>59</v>
      </c>
      <c r="D4426" s="31" t="s">
        <v>68</v>
      </c>
      <c r="E4426" s="31" t="s">
        <v>50</v>
      </c>
      <c r="F4426" s="31" t="s">
        <v>117</v>
      </c>
      <c r="G4426" s="31" t="n">
        <v>36</v>
      </c>
      <c r="H4426" s="41" t="n">
        <v>3.6</v>
      </c>
      <c r="I4426" s="31" t="s">
        <v>149</v>
      </c>
      <c r="J4426" s="31" t="n">
        <v>3</v>
      </c>
      <c r="K4426" s="31" t="s">
        <v>150</v>
      </c>
      <c r="L4426" s="45" t="n">
        <f aca="false">DATE(YEAR(B4426),MONTH(B4426),1)</f>
        <v>46235</v>
      </c>
      <c r="M4426" s="31" t="n">
        <f aca="false">WEEKDAY(B4426,2)</f>
        <v>1</v>
      </c>
      <c r="N4426" s="31" t="str">
        <f aca="false">IF(G4426&lt;=INDEX(Assumptions!$B$15:$B$18,MATCH(E4426,Assumptions!$A$15:$A$18,0)),"Yes","No")</f>
        <v>No</v>
      </c>
      <c r="O4426" s="31" t="str">
        <f aca="false">IF(H4426="","Open",IF(H4426&lt;=INDEX(Assumptions!$C$15:$C$18,MATCH(E4426,Assumptions!$A$15:$A$18,0)),"Yes","No"))</f>
        <v>Yes</v>
      </c>
    </row>
    <row r="4427" customFormat="false" ht="15" hidden="false" customHeight="false" outlineLevel="0" collapsed="false">
      <c r="A4427" s="31" t="s">
        <v>4577</v>
      </c>
      <c r="B4427" s="44" t="n">
        <v>46265</v>
      </c>
      <c r="C4427" s="31" t="s">
        <v>60</v>
      </c>
      <c r="D4427" s="31" t="s">
        <v>68</v>
      </c>
      <c r="E4427" s="31" t="s">
        <v>50</v>
      </c>
      <c r="F4427" s="31" t="s">
        <v>137</v>
      </c>
      <c r="G4427" s="31" t="n">
        <v>14</v>
      </c>
      <c r="H4427" s="41" t="n">
        <v>0.3</v>
      </c>
      <c r="I4427" s="31" t="s">
        <v>149</v>
      </c>
      <c r="J4427" s="31" t="n">
        <v>5</v>
      </c>
      <c r="K4427" s="31" t="s">
        <v>150</v>
      </c>
      <c r="L4427" s="45" t="n">
        <f aca="false">DATE(YEAR(B4427),MONTH(B4427),1)</f>
        <v>46235</v>
      </c>
      <c r="M4427" s="31" t="n">
        <f aca="false">WEEKDAY(B4427,2)</f>
        <v>1</v>
      </c>
      <c r="N4427" s="31" t="str">
        <f aca="false">IF(G4427&lt;=INDEX(Assumptions!$B$15:$B$18,MATCH(E4427,Assumptions!$A$15:$A$18,0)),"Yes","No")</f>
        <v>Yes</v>
      </c>
      <c r="O4427" s="31" t="str">
        <f aca="false">IF(H4427="","Open",IF(H4427&lt;=INDEX(Assumptions!$C$15:$C$18,MATCH(E4427,Assumptions!$A$15:$A$18,0)),"Yes","No"))</f>
        <v>Yes</v>
      </c>
    </row>
    <row r="4428" customFormat="false" ht="15" hidden="false" customHeight="false" outlineLevel="0" collapsed="false">
      <c r="A4428" s="31" t="s">
        <v>4578</v>
      </c>
      <c r="B4428" s="44" t="n">
        <v>46265</v>
      </c>
      <c r="C4428" s="31" t="s">
        <v>58</v>
      </c>
      <c r="D4428" s="31" t="s">
        <v>67</v>
      </c>
      <c r="E4428" s="31" t="s">
        <v>51</v>
      </c>
      <c r="F4428" s="31" t="s">
        <v>130</v>
      </c>
      <c r="G4428" s="31" t="n">
        <v>8</v>
      </c>
      <c r="H4428" s="41" t="n">
        <v>26.6</v>
      </c>
      <c r="I4428" s="31" t="s">
        <v>149</v>
      </c>
      <c r="J4428" s="31"/>
      <c r="K4428" s="31" t="s">
        <v>150</v>
      </c>
      <c r="L4428" s="45" t="n">
        <f aca="false">DATE(YEAR(B4428),MONTH(B4428),1)</f>
        <v>46235</v>
      </c>
      <c r="M4428" s="31" t="n">
        <f aca="false">WEEKDAY(B4428,2)</f>
        <v>1</v>
      </c>
      <c r="N4428" s="31" t="str">
        <f aca="false">IF(G4428&lt;=INDEX(Assumptions!$B$15:$B$18,MATCH(E4428,Assumptions!$A$15:$A$18,0)),"Yes","No")</f>
        <v>Yes</v>
      </c>
      <c r="O4428" s="31" t="str">
        <f aca="false">IF(H4428="","Open",IF(H4428&lt;=INDEX(Assumptions!$C$15:$C$18,MATCH(E4428,Assumptions!$A$15:$A$18,0)),"Yes","No"))</f>
        <v>No</v>
      </c>
    </row>
    <row r="4429" customFormat="false" ht="15" hidden="false" customHeight="false" outlineLevel="0" collapsed="false">
      <c r="A4429" s="31" t="s">
        <v>4579</v>
      </c>
      <c r="B4429" s="44" t="n">
        <v>46265</v>
      </c>
      <c r="C4429" s="31" t="s">
        <v>60</v>
      </c>
      <c r="D4429" s="31" t="s">
        <v>67</v>
      </c>
      <c r="E4429" s="31" t="s">
        <v>52</v>
      </c>
      <c r="F4429" s="31" t="s">
        <v>134</v>
      </c>
      <c r="G4429" s="31" t="n">
        <v>10</v>
      </c>
      <c r="H4429" s="41" t="n">
        <v>6.8</v>
      </c>
      <c r="I4429" s="31" t="s">
        <v>149</v>
      </c>
      <c r="J4429" s="31"/>
      <c r="K4429" s="31" t="s">
        <v>150</v>
      </c>
      <c r="L4429" s="45" t="n">
        <f aca="false">DATE(YEAR(B4429),MONTH(B4429),1)</f>
        <v>46235</v>
      </c>
      <c r="M4429" s="31" t="n">
        <f aca="false">WEEKDAY(B4429,2)</f>
        <v>1</v>
      </c>
      <c r="N4429" s="31" t="str">
        <f aca="false">IF(G4429&lt;=INDEX(Assumptions!$B$15:$B$18,MATCH(E4429,Assumptions!$A$15:$A$18,0)),"Yes","No")</f>
        <v>Yes</v>
      </c>
      <c r="O4429" s="31" t="str">
        <f aca="false">IF(H4429="","Open",IF(H4429&lt;=INDEX(Assumptions!$C$15:$C$18,MATCH(E4429,Assumptions!$A$15:$A$18,0)),"Yes","No"))</f>
        <v>Yes</v>
      </c>
    </row>
    <row r="4430" customFormat="false" ht="15" hidden="false" customHeight="false" outlineLevel="0" collapsed="false">
      <c r="A4430" s="31" t="s">
        <v>4580</v>
      </c>
      <c r="B4430" s="44" t="n">
        <v>46265</v>
      </c>
      <c r="C4430" s="31" t="s">
        <v>60</v>
      </c>
      <c r="D4430" s="31" t="s">
        <v>69</v>
      </c>
      <c r="E4430" s="31" t="s">
        <v>50</v>
      </c>
      <c r="F4430" s="31" t="s">
        <v>119</v>
      </c>
      <c r="G4430" s="31" t="n">
        <v>1</v>
      </c>
      <c r="H4430" s="41" t="n">
        <v>14.1</v>
      </c>
      <c r="I4430" s="31" t="s">
        <v>149</v>
      </c>
      <c r="J4430" s="31" t="n">
        <v>5</v>
      </c>
      <c r="K4430" s="31" t="s">
        <v>150</v>
      </c>
      <c r="L4430" s="45" t="n">
        <f aca="false">DATE(YEAR(B4430),MONTH(B4430),1)</f>
        <v>46235</v>
      </c>
      <c r="M4430" s="31" t="n">
        <f aca="false">WEEKDAY(B4430,2)</f>
        <v>1</v>
      </c>
      <c r="N4430" s="31" t="str">
        <f aca="false">IF(G4430&lt;=INDEX(Assumptions!$B$15:$B$18,MATCH(E4430,Assumptions!$A$15:$A$18,0)),"Yes","No")</f>
        <v>Yes</v>
      </c>
      <c r="O4430" s="31" t="str">
        <f aca="false">IF(H4430="","Open",IF(H4430&lt;=INDEX(Assumptions!$C$15:$C$18,MATCH(E4430,Assumptions!$A$15:$A$18,0)),"Yes","No"))</f>
        <v>No</v>
      </c>
    </row>
    <row r="4431" customFormat="false" ht="15" hidden="false" customHeight="false" outlineLevel="0" collapsed="false">
      <c r="A4431" s="31" t="s">
        <v>4581</v>
      </c>
      <c r="B4431" s="44" t="n">
        <v>46265</v>
      </c>
      <c r="C4431" s="31" t="s">
        <v>58</v>
      </c>
      <c r="D4431" s="31" t="s">
        <v>65</v>
      </c>
      <c r="E4431" s="31" t="s">
        <v>50</v>
      </c>
      <c r="F4431" s="31" t="s">
        <v>137</v>
      </c>
      <c r="G4431" s="31" t="n">
        <v>6</v>
      </c>
      <c r="H4431" s="41" t="n">
        <v>4.1</v>
      </c>
      <c r="I4431" s="31" t="s">
        <v>149</v>
      </c>
      <c r="J4431" s="31"/>
      <c r="K4431" s="31" t="s">
        <v>150</v>
      </c>
      <c r="L4431" s="45" t="n">
        <f aca="false">DATE(YEAR(B4431),MONTH(B4431),1)</f>
        <v>46235</v>
      </c>
      <c r="M4431" s="31" t="n">
        <f aca="false">WEEKDAY(B4431,2)</f>
        <v>1</v>
      </c>
      <c r="N4431" s="31" t="str">
        <f aca="false">IF(G4431&lt;=INDEX(Assumptions!$B$15:$B$18,MATCH(E4431,Assumptions!$A$15:$A$18,0)),"Yes","No")</f>
        <v>Yes</v>
      </c>
      <c r="O4431" s="31" t="str">
        <f aca="false">IF(H4431="","Open",IF(H4431&lt;=INDEX(Assumptions!$C$15:$C$18,MATCH(E4431,Assumptions!$A$15:$A$18,0)),"Yes","No"))</f>
        <v>Yes</v>
      </c>
    </row>
    <row r="4432" customFormat="false" ht="15" hidden="false" customHeight="false" outlineLevel="0" collapsed="false">
      <c r="A4432" s="31" t="s">
        <v>4582</v>
      </c>
      <c r="B4432" s="44" t="n">
        <v>46265</v>
      </c>
      <c r="C4432" s="31" t="s">
        <v>58</v>
      </c>
      <c r="D4432" s="31" t="s">
        <v>66</v>
      </c>
      <c r="E4432" s="31" t="s">
        <v>51</v>
      </c>
      <c r="F4432" s="31" t="s">
        <v>128</v>
      </c>
      <c r="G4432" s="31" t="n">
        <v>29</v>
      </c>
      <c r="H4432" s="41" t="n">
        <v>12.8</v>
      </c>
      <c r="I4432" s="31" t="s">
        <v>149</v>
      </c>
      <c r="J4432" s="31" t="n">
        <v>5</v>
      </c>
      <c r="K4432" s="31" t="s">
        <v>153</v>
      </c>
      <c r="L4432" s="45" t="n">
        <f aca="false">DATE(YEAR(B4432),MONTH(B4432),1)</f>
        <v>46235</v>
      </c>
      <c r="M4432" s="31" t="n">
        <f aca="false">WEEKDAY(B4432,2)</f>
        <v>1</v>
      </c>
      <c r="N4432" s="31" t="str">
        <f aca="false">IF(G4432&lt;=INDEX(Assumptions!$B$15:$B$18,MATCH(E4432,Assumptions!$A$15:$A$18,0)),"Yes","No")</f>
        <v>Yes</v>
      </c>
      <c r="O4432" s="31" t="str">
        <f aca="false">IF(H4432="","Open",IF(H4432&lt;=INDEX(Assumptions!$C$15:$C$18,MATCH(E4432,Assumptions!$A$15:$A$18,0)),"Yes","No"))</f>
        <v>Yes</v>
      </c>
    </row>
    <row r="4433" customFormat="false" ht="15" hidden="false" customHeight="false" outlineLevel="0" collapsed="false">
      <c r="A4433" s="31" t="s">
        <v>4583</v>
      </c>
      <c r="B4433" s="44" t="n">
        <v>46265</v>
      </c>
      <c r="C4433" s="31" t="s">
        <v>58</v>
      </c>
      <c r="D4433" s="31" t="s">
        <v>68</v>
      </c>
      <c r="E4433" s="31" t="s">
        <v>52</v>
      </c>
      <c r="F4433" s="31" t="s">
        <v>134</v>
      </c>
      <c r="G4433" s="31" t="n">
        <v>50</v>
      </c>
      <c r="H4433" s="41" t="n">
        <v>22.1</v>
      </c>
      <c r="I4433" s="31" t="s">
        <v>149</v>
      </c>
      <c r="J4433" s="31"/>
      <c r="K4433" s="31" t="s">
        <v>150</v>
      </c>
      <c r="L4433" s="45" t="n">
        <f aca="false">DATE(YEAR(B4433),MONTH(B4433),1)</f>
        <v>46235</v>
      </c>
      <c r="M4433" s="31" t="n">
        <f aca="false">WEEKDAY(B4433,2)</f>
        <v>1</v>
      </c>
      <c r="N4433" s="31" t="str">
        <f aca="false">IF(G4433&lt;=INDEX(Assumptions!$B$15:$B$18,MATCH(E4433,Assumptions!$A$15:$A$18,0)),"Yes","No")</f>
        <v>Yes</v>
      </c>
      <c r="O4433" s="31" t="str">
        <f aca="false">IF(H4433="","Open",IF(H4433&lt;=INDEX(Assumptions!$C$15:$C$18,MATCH(E4433,Assumptions!$A$15:$A$18,0)),"Yes","No"))</f>
        <v>Yes</v>
      </c>
    </row>
    <row r="4434" customFormat="false" ht="15" hidden="false" customHeight="false" outlineLevel="0" collapsed="false">
      <c r="A4434" s="31" t="s">
        <v>4584</v>
      </c>
      <c r="B4434" s="44" t="n">
        <v>46265</v>
      </c>
      <c r="C4434" s="31" t="s">
        <v>57</v>
      </c>
      <c r="D4434" s="31" t="s">
        <v>68</v>
      </c>
      <c r="E4434" s="31" t="s">
        <v>52</v>
      </c>
      <c r="F4434" s="31" t="s">
        <v>133</v>
      </c>
      <c r="G4434" s="31" t="n">
        <v>7</v>
      </c>
      <c r="H4434" s="41" t="n">
        <v>5.5</v>
      </c>
      <c r="I4434" s="31" t="s">
        <v>149</v>
      </c>
      <c r="J4434" s="31"/>
      <c r="K4434" s="31" t="s">
        <v>153</v>
      </c>
      <c r="L4434" s="45" t="n">
        <f aca="false">DATE(YEAR(B4434),MONTH(B4434),1)</f>
        <v>46235</v>
      </c>
      <c r="M4434" s="31" t="n">
        <f aca="false">WEEKDAY(B4434,2)</f>
        <v>1</v>
      </c>
      <c r="N4434" s="31" t="str">
        <f aca="false">IF(G4434&lt;=INDEX(Assumptions!$B$15:$B$18,MATCH(E4434,Assumptions!$A$15:$A$18,0)),"Yes","No")</f>
        <v>Yes</v>
      </c>
      <c r="O4434" s="31" t="str">
        <f aca="false">IF(H4434="","Open",IF(H4434&lt;=INDEX(Assumptions!$C$15:$C$18,MATCH(E4434,Assumptions!$A$15:$A$18,0)),"Yes","No"))</f>
        <v>Yes</v>
      </c>
    </row>
    <row r="4435" customFormat="false" ht="15" hidden="false" customHeight="false" outlineLevel="0" collapsed="false">
      <c r="A4435" s="31" t="s">
        <v>4585</v>
      </c>
      <c r="B4435" s="44" t="n">
        <v>46265</v>
      </c>
      <c r="C4435" s="31" t="s">
        <v>59</v>
      </c>
      <c r="D4435" s="31" t="s">
        <v>67</v>
      </c>
      <c r="E4435" s="31" t="s">
        <v>50</v>
      </c>
      <c r="F4435" s="31" t="s">
        <v>134</v>
      </c>
      <c r="G4435" s="31" t="n">
        <v>139</v>
      </c>
      <c r="H4435" s="41" t="n">
        <v>55.3</v>
      </c>
      <c r="I4435" s="31" t="s">
        <v>149</v>
      </c>
      <c r="J4435" s="31"/>
      <c r="K4435" s="31" t="s">
        <v>150</v>
      </c>
      <c r="L4435" s="45" t="n">
        <f aca="false">DATE(YEAR(B4435),MONTH(B4435),1)</f>
        <v>46235</v>
      </c>
      <c r="M4435" s="31" t="n">
        <f aca="false">WEEKDAY(B4435,2)</f>
        <v>1</v>
      </c>
      <c r="N4435" s="31" t="str">
        <f aca="false">IF(G4435&lt;=INDEX(Assumptions!$B$15:$B$18,MATCH(E4435,Assumptions!$A$15:$A$18,0)),"Yes","No")</f>
        <v>No</v>
      </c>
      <c r="O4435" s="31" t="str">
        <f aca="false">IF(H4435="","Open",IF(H4435&lt;=INDEX(Assumptions!$C$15:$C$18,MATCH(E4435,Assumptions!$A$15:$A$18,0)),"Yes","No"))</f>
        <v>No</v>
      </c>
    </row>
    <row r="4436" customFormat="false" ht="15" hidden="false" customHeight="false" outlineLevel="0" collapsed="false">
      <c r="A4436" s="31" t="s">
        <v>4586</v>
      </c>
      <c r="B4436" s="44" t="n">
        <v>46265</v>
      </c>
      <c r="C4436" s="31" t="s">
        <v>57</v>
      </c>
      <c r="D4436" s="31" t="s">
        <v>66</v>
      </c>
      <c r="E4436" s="31" t="s">
        <v>51</v>
      </c>
      <c r="F4436" s="31" t="s">
        <v>128</v>
      </c>
      <c r="G4436" s="31" t="n">
        <v>11</v>
      </c>
      <c r="H4436" s="41" t="n">
        <v>2.4</v>
      </c>
      <c r="I4436" s="31" t="s">
        <v>149</v>
      </c>
      <c r="J4436" s="31" t="n">
        <v>5</v>
      </c>
      <c r="K4436" s="31" t="s">
        <v>150</v>
      </c>
      <c r="L4436" s="45" t="n">
        <f aca="false">DATE(YEAR(B4436),MONTH(B4436),1)</f>
        <v>46235</v>
      </c>
      <c r="M4436" s="31" t="n">
        <f aca="false">WEEKDAY(B4436,2)</f>
        <v>1</v>
      </c>
      <c r="N4436" s="31" t="str">
        <f aca="false">IF(G4436&lt;=INDEX(Assumptions!$B$15:$B$18,MATCH(E4436,Assumptions!$A$15:$A$18,0)),"Yes","No")</f>
        <v>Yes</v>
      </c>
      <c r="O4436" s="31" t="str">
        <f aca="false">IF(H4436="","Open",IF(H4436&lt;=INDEX(Assumptions!$C$15:$C$18,MATCH(E4436,Assumptions!$A$15:$A$18,0)),"Yes","No"))</f>
        <v>Yes</v>
      </c>
    </row>
    <row r="4437" customFormat="false" ht="15" hidden="false" customHeight="false" outlineLevel="0" collapsed="false">
      <c r="A4437" s="31" t="s">
        <v>4587</v>
      </c>
      <c r="B4437" s="44" t="n">
        <v>46265</v>
      </c>
      <c r="C4437" s="31" t="s">
        <v>57</v>
      </c>
      <c r="D4437" s="31" t="s">
        <v>65</v>
      </c>
      <c r="E4437" s="31" t="s">
        <v>51</v>
      </c>
      <c r="F4437" s="31" t="s">
        <v>120</v>
      </c>
      <c r="G4437" s="31" t="n">
        <v>7</v>
      </c>
      <c r="H4437" s="41" t="n">
        <v>27.5</v>
      </c>
      <c r="I4437" s="31" t="s">
        <v>149</v>
      </c>
      <c r="J4437" s="31"/>
      <c r="K4437" s="31" t="s">
        <v>150</v>
      </c>
      <c r="L4437" s="45" t="n">
        <f aca="false">DATE(YEAR(B4437),MONTH(B4437),1)</f>
        <v>46235</v>
      </c>
      <c r="M4437" s="31" t="n">
        <f aca="false">WEEKDAY(B4437,2)</f>
        <v>1</v>
      </c>
      <c r="N4437" s="31" t="str">
        <f aca="false">IF(G4437&lt;=INDEX(Assumptions!$B$15:$B$18,MATCH(E4437,Assumptions!$A$15:$A$18,0)),"Yes","No")</f>
        <v>Yes</v>
      </c>
      <c r="O4437" s="31" t="str">
        <f aca="false">IF(H4437="","Open",IF(H4437&lt;=INDEX(Assumptions!$C$15:$C$18,MATCH(E4437,Assumptions!$A$15:$A$18,0)),"Yes","No"))</f>
        <v>No</v>
      </c>
    </row>
    <row r="4438" customFormat="false" ht="15" hidden="false" customHeight="false" outlineLevel="0" collapsed="false">
      <c r="A4438" s="31" t="s">
        <v>4588</v>
      </c>
      <c r="B4438" s="44" t="n">
        <v>46265</v>
      </c>
      <c r="C4438" s="31" t="s">
        <v>58</v>
      </c>
      <c r="D4438" s="31" t="s">
        <v>65</v>
      </c>
      <c r="E4438" s="31" t="s">
        <v>49</v>
      </c>
      <c r="F4438" s="31" t="s">
        <v>133</v>
      </c>
      <c r="G4438" s="31" t="n">
        <v>17</v>
      </c>
      <c r="H4438" s="41" t="n">
        <v>1.9</v>
      </c>
      <c r="I4438" s="31" t="s">
        <v>149</v>
      </c>
      <c r="J4438" s="31"/>
      <c r="K4438" s="31" t="s">
        <v>150</v>
      </c>
      <c r="L4438" s="45" t="n">
        <f aca="false">DATE(YEAR(B4438),MONTH(B4438),1)</f>
        <v>46235</v>
      </c>
      <c r="M4438" s="31" t="n">
        <f aca="false">WEEKDAY(B4438,2)</f>
        <v>1</v>
      </c>
      <c r="N4438" s="31" t="str">
        <f aca="false">IF(G4438&lt;=INDEX(Assumptions!$B$15:$B$18,MATCH(E4438,Assumptions!$A$15:$A$18,0)),"Yes","No")</f>
        <v>No</v>
      </c>
      <c r="O4438" s="31" t="str">
        <f aca="false">IF(H4438="","Open",IF(H4438&lt;=INDEX(Assumptions!$C$15:$C$18,MATCH(E4438,Assumptions!$A$15:$A$18,0)),"Yes","No"))</f>
        <v>Yes</v>
      </c>
    </row>
    <row r="4439" customFormat="false" ht="15" hidden="false" customHeight="false" outlineLevel="0" collapsed="false">
      <c r="A4439" s="31" t="s">
        <v>4589</v>
      </c>
      <c r="B4439" s="44" t="n">
        <v>46265</v>
      </c>
      <c r="C4439" s="31" t="s">
        <v>57</v>
      </c>
      <c r="D4439" s="31" t="s">
        <v>67</v>
      </c>
      <c r="E4439" s="31" t="s">
        <v>52</v>
      </c>
      <c r="F4439" s="31" t="s">
        <v>129</v>
      </c>
      <c r="G4439" s="31" t="n">
        <v>5</v>
      </c>
      <c r="H4439" s="41" t="n">
        <v>57.8</v>
      </c>
      <c r="I4439" s="31" t="s">
        <v>149</v>
      </c>
      <c r="J4439" s="31"/>
      <c r="K4439" s="31" t="s">
        <v>150</v>
      </c>
      <c r="L4439" s="45" t="n">
        <f aca="false">DATE(YEAR(B4439),MONTH(B4439),1)</f>
        <v>46235</v>
      </c>
      <c r="M4439" s="31" t="n">
        <f aca="false">WEEKDAY(B4439,2)</f>
        <v>1</v>
      </c>
      <c r="N4439" s="31" t="str">
        <f aca="false">IF(G4439&lt;=INDEX(Assumptions!$B$15:$B$18,MATCH(E4439,Assumptions!$A$15:$A$18,0)),"Yes","No")</f>
        <v>Yes</v>
      </c>
      <c r="O4439" s="31" t="str">
        <f aca="false">IF(H4439="","Open",IF(H4439&lt;=INDEX(Assumptions!$C$15:$C$18,MATCH(E4439,Assumptions!$A$15:$A$18,0)),"Yes","No"))</f>
        <v>Yes</v>
      </c>
    </row>
    <row r="4440" customFormat="false" ht="15" hidden="false" customHeight="false" outlineLevel="0" collapsed="false">
      <c r="A4440" s="31" t="s">
        <v>4590</v>
      </c>
      <c r="B4440" s="44" t="n">
        <v>46265</v>
      </c>
      <c r="C4440" s="31" t="s">
        <v>58</v>
      </c>
      <c r="D4440" s="31" t="s">
        <v>65</v>
      </c>
      <c r="E4440" s="31" t="s">
        <v>51</v>
      </c>
      <c r="F4440" s="31" t="s">
        <v>128</v>
      </c>
      <c r="G4440" s="31" t="n">
        <v>14</v>
      </c>
      <c r="H4440" s="41" t="n">
        <v>10.2</v>
      </c>
      <c r="I4440" s="31" t="s">
        <v>149</v>
      </c>
      <c r="J4440" s="31" t="n">
        <v>5</v>
      </c>
      <c r="K4440" s="31" t="s">
        <v>150</v>
      </c>
      <c r="L4440" s="45" t="n">
        <f aca="false">DATE(YEAR(B4440),MONTH(B4440),1)</f>
        <v>46235</v>
      </c>
      <c r="M4440" s="31" t="n">
        <f aca="false">WEEKDAY(B4440,2)</f>
        <v>1</v>
      </c>
      <c r="N4440" s="31" t="str">
        <f aca="false">IF(G4440&lt;=INDEX(Assumptions!$B$15:$B$18,MATCH(E4440,Assumptions!$A$15:$A$18,0)),"Yes","No")</f>
        <v>Yes</v>
      </c>
      <c r="O4440" s="31" t="str">
        <f aca="false">IF(H4440="","Open",IF(H4440&lt;=INDEX(Assumptions!$C$15:$C$18,MATCH(E4440,Assumptions!$A$15:$A$18,0)),"Yes","No"))</f>
        <v>Yes</v>
      </c>
    </row>
    <row r="4441" customFormat="false" ht="15" hidden="false" customHeight="false" outlineLevel="0" collapsed="false">
      <c r="A4441" s="31" t="s">
        <v>4591</v>
      </c>
      <c r="B4441" s="44" t="n">
        <v>46265</v>
      </c>
      <c r="C4441" s="31" t="s">
        <v>57</v>
      </c>
      <c r="D4441" s="31" t="s">
        <v>66</v>
      </c>
      <c r="E4441" s="31" t="s">
        <v>52</v>
      </c>
      <c r="F4441" s="31" t="s">
        <v>122</v>
      </c>
      <c r="G4441" s="31" t="n">
        <v>10</v>
      </c>
      <c r="H4441" s="41" t="n">
        <v>4.9</v>
      </c>
      <c r="I4441" s="31" t="s">
        <v>149</v>
      </c>
      <c r="J4441" s="31" t="n">
        <v>4</v>
      </c>
      <c r="K4441" s="31" t="s">
        <v>150</v>
      </c>
      <c r="L4441" s="45" t="n">
        <f aca="false">DATE(YEAR(B4441),MONTH(B4441),1)</f>
        <v>46235</v>
      </c>
      <c r="M4441" s="31" t="n">
        <f aca="false">WEEKDAY(B4441,2)</f>
        <v>1</v>
      </c>
      <c r="N4441" s="31" t="str">
        <f aca="false">IF(G4441&lt;=INDEX(Assumptions!$B$15:$B$18,MATCH(E4441,Assumptions!$A$15:$A$18,0)),"Yes","No")</f>
        <v>Yes</v>
      </c>
      <c r="O4441" s="31" t="str">
        <f aca="false">IF(H4441="","Open",IF(H4441&lt;=INDEX(Assumptions!$C$15:$C$18,MATCH(E4441,Assumptions!$A$15:$A$18,0)),"Yes","No"))</f>
        <v>Yes</v>
      </c>
    </row>
    <row r="4442" customFormat="false" ht="15" hidden="false" customHeight="false" outlineLevel="0" collapsed="false">
      <c r="A4442" s="31" t="s">
        <v>4592</v>
      </c>
      <c r="B4442" s="44" t="n">
        <v>46265</v>
      </c>
      <c r="C4442" s="31" t="s">
        <v>57</v>
      </c>
      <c r="D4442" s="31" t="s">
        <v>68</v>
      </c>
      <c r="E4442" s="31" t="s">
        <v>51</v>
      </c>
      <c r="F4442" s="31" t="s">
        <v>137</v>
      </c>
      <c r="G4442" s="31" t="n">
        <v>5</v>
      </c>
      <c r="H4442" s="41" t="n">
        <v>5.8</v>
      </c>
      <c r="I4442" s="31" t="s">
        <v>64</v>
      </c>
      <c r="J4442" s="31" t="n">
        <v>3</v>
      </c>
      <c r="K4442" s="31" t="s">
        <v>150</v>
      </c>
      <c r="L4442" s="45" t="n">
        <f aca="false">DATE(YEAR(B4442),MONTH(B4442),1)</f>
        <v>46235</v>
      </c>
      <c r="M4442" s="31" t="n">
        <f aca="false">WEEKDAY(B4442,2)</f>
        <v>1</v>
      </c>
      <c r="N4442" s="31" t="str">
        <f aca="false">IF(G4442&lt;=INDEX(Assumptions!$B$15:$B$18,MATCH(E4442,Assumptions!$A$15:$A$18,0)),"Yes","No")</f>
        <v>Yes</v>
      </c>
      <c r="O4442" s="31" t="str">
        <f aca="false">IF(H4442="","Open",IF(H4442&lt;=INDEX(Assumptions!$C$15:$C$18,MATCH(E4442,Assumptions!$A$15:$A$18,0)),"Yes","No"))</f>
        <v>Yes</v>
      </c>
    </row>
    <row r="4443" customFormat="false" ht="15" hidden="false" customHeight="false" outlineLevel="0" collapsed="false">
      <c r="A4443" s="31" t="s">
        <v>4593</v>
      </c>
      <c r="B4443" s="44" t="n">
        <v>46265</v>
      </c>
      <c r="C4443" s="31" t="s">
        <v>59</v>
      </c>
      <c r="D4443" s="31" t="s">
        <v>69</v>
      </c>
      <c r="E4443" s="31" t="s">
        <v>51</v>
      </c>
      <c r="F4443" s="31" t="s">
        <v>136</v>
      </c>
      <c r="G4443" s="31" t="n">
        <v>23</v>
      </c>
      <c r="H4443" s="41" t="n">
        <v>34.3</v>
      </c>
      <c r="I4443" s="31" t="s">
        <v>149</v>
      </c>
      <c r="J4443" s="31"/>
      <c r="K4443" s="31" t="s">
        <v>150</v>
      </c>
      <c r="L4443" s="45" t="n">
        <f aca="false">DATE(YEAR(B4443),MONTH(B4443),1)</f>
        <v>46235</v>
      </c>
      <c r="M4443" s="31" t="n">
        <f aca="false">WEEKDAY(B4443,2)</f>
        <v>1</v>
      </c>
      <c r="N4443" s="31" t="str">
        <f aca="false">IF(G4443&lt;=INDEX(Assumptions!$B$15:$B$18,MATCH(E4443,Assumptions!$A$15:$A$18,0)),"Yes","No")</f>
        <v>Yes</v>
      </c>
      <c r="O4443" s="31" t="str">
        <f aca="false">IF(H4443="","Open",IF(H4443&lt;=INDEX(Assumptions!$C$15:$C$18,MATCH(E4443,Assumptions!$A$15:$A$18,0)),"Yes","No"))</f>
        <v>No</v>
      </c>
    </row>
    <row r="4444" customFormat="false" ht="15" hidden="false" customHeight="false" outlineLevel="0" collapsed="false">
      <c r="A4444" s="31" t="s">
        <v>4594</v>
      </c>
      <c r="B4444" s="44" t="n">
        <v>46265</v>
      </c>
      <c r="C4444" s="31" t="s">
        <v>60</v>
      </c>
      <c r="D4444" s="31" t="s">
        <v>65</v>
      </c>
      <c r="E4444" s="31" t="s">
        <v>50</v>
      </c>
      <c r="F4444" s="31" t="s">
        <v>131</v>
      </c>
      <c r="G4444" s="31" t="n">
        <v>1</v>
      </c>
      <c r="H4444" s="41" t="n">
        <v>4</v>
      </c>
      <c r="I4444" s="31" t="s">
        <v>149</v>
      </c>
      <c r="J4444" s="31"/>
      <c r="K4444" s="31" t="s">
        <v>150</v>
      </c>
      <c r="L4444" s="45" t="n">
        <f aca="false">DATE(YEAR(B4444),MONTH(B4444),1)</f>
        <v>46235</v>
      </c>
      <c r="M4444" s="31" t="n">
        <f aca="false">WEEKDAY(B4444,2)</f>
        <v>1</v>
      </c>
      <c r="N4444" s="31" t="str">
        <f aca="false">IF(G4444&lt;=INDEX(Assumptions!$B$15:$B$18,MATCH(E4444,Assumptions!$A$15:$A$18,0)),"Yes","No")</f>
        <v>Yes</v>
      </c>
      <c r="O4444" s="31" t="str">
        <f aca="false">IF(H4444="","Open",IF(H4444&lt;=INDEX(Assumptions!$C$15:$C$18,MATCH(E4444,Assumptions!$A$15:$A$18,0)),"Yes","No"))</f>
        <v>Yes</v>
      </c>
    </row>
    <row r="4445" customFormat="false" ht="15" hidden="false" customHeight="false" outlineLevel="0" collapsed="false">
      <c r="A4445" s="31" t="s">
        <v>4595</v>
      </c>
      <c r="B4445" s="44" t="n">
        <v>46265</v>
      </c>
      <c r="C4445" s="31" t="s">
        <v>57</v>
      </c>
      <c r="D4445" s="31" t="s">
        <v>68</v>
      </c>
      <c r="E4445" s="31" t="s">
        <v>52</v>
      </c>
      <c r="F4445" s="31" t="s">
        <v>131</v>
      </c>
      <c r="G4445" s="31" t="n">
        <v>5</v>
      </c>
      <c r="H4445" s="41" t="n">
        <v>26.5</v>
      </c>
      <c r="I4445" s="31" t="s">
        <v>149</v>
      </c>
      <c r="J4445" s="31" t="n">
        <v>5</v>
      </c>
      <c r="K4445" s="31" t="s">
        <v>150</v>
      </c>
      <c r="L4445" s="45" t="n">
        <f aca="false">DATE(YEAR(B4445),MONTH(B4445),1)</f>
        <v>46235</v>
      </c>
      <c r="M4445" s="31" t="n">
        <f aca="false">WEEKDAY(B4445,2)</f>
        <v>1</v>
      </c>
      <c r="N4445" s="31" t="str">
        <f aca="false">IF(G4445&lt;=INDEX(Assumptions!$B$15:$B$18,MATCH(E4445,Assumptions!$A$15:$A$18,0)),"Yes","No")</f>
        <v>Yes</v>
      </c>
      <c r="O4445" s="31" t="str">
        <f aca="false">IF(H4445="","Open",IF(H4445&lt;=INDEX(Assumptions!$C$15:$C$18,MATCH(E4445,Assumptions!$A$15:$A$18,0)),"Yes","No"))</f>
        <v>Yes</v>
      </c>
    </row>
    <row r="4446" customFormat="false" ht="15" hidden="false" customHeight="false" outlineLevel="0" collapsed="false">
      <c r="A4446" s="31" t="s">
        <v>4596</v>
      </c>
      <c r="B4446" s="44" t="n">
        <v>46265</v>
      </c>
      <c r="C4446" s="31" t="s">
        <v>60</v>
      </c>
      <c r="D4446" s="31" t="s">
        <v>65</v>
      </c>
      <c r="E4446" s="31" t="s">
        <v>52</v>
      </c>
      <c r="F4446" s="31" t="s">
        <v>120</v>
      </c>
      <c r="G4446" s="31" t="n">
        <v>4</v>
      </c>
      <c r="H4446" s="41" t="n">
        <v>24.7</v>
      </c>
      <c r="I4446" s="31" t="s">
        <v>149</v>
      </c>
      <c r="J4446" s="31"/>
      <c r="K4446" s="31" t="s">
        <v>150</v>
      </c>
      <c r="L4446" s="45" t="n">
        <f aca="false">DATE(YEAR(B4446),MONTH(B4446),1)</f>
        <v>46235</v>
      </c>
      <c r="M4446" s="31" t="n">
        <f aca="false">WEEKDAY(B4446,2)</f>
        <v>1</v>
      </c>
      <c r="N4446" s="31" t="str">
        <f aca="false">IF(G4446&lt;=INDEX(Assumptions!$B$15:$B$18,MATCH(E4446,Assumptions!$A$15:$A$18,0)),"Yes","No")</f>
        <v>Yes</v>
      </c>
      <c r="O4446" s="31" t="str">
        <f aca="false">IF(H4446="","Open",IF(H4446&lt;=INDEX(Assumptions!$C$15:$C$18,MATCH(E4446,Assumptions!$A$15:$A$18,0)),"Yes","No"))</f>
        <v>Yes</v>
      </c>
    </row>
    <row r="4447" customFormat="false" ht="15" hidden="false" customHeight="false" outlineLevel="0" collapsed="false">
      <c r="A4447" s="31" t="s">
        <v>4597</v>
      </c>
      <c r="B4447" s="44" t="n">
        <v>46265</v>
      </c>
      <c r="C4447" s="31" t="s">
        <v>58</v>
      </c>
      <c r="D4447" s="31" t="s">
        <v>66</v>
      </c>
      <c r="E4447" s="31" t="s">
        <v>50</v>
      </c>
      <c r="F4447" s="31" t="s">
        <v>123</v>
      </c>
      <c r="G4447" s="31" t="n">
        <v>10</v>
      </c>
      <c r="H4447" s="41" t="n">
        <v>3.1</v>
      </c>
      <c r="I4447" s="31" t="s">
        <v>149</v>
      </c>
      <c r="J4447" s="31" t="n">
        <v>5</v>
      </c>
      <c r="K4447" s="31" t="s">
        <v>150</v>
      </c>
      <c r="L4447" s="45" t="n">
        <f aca="false">DATE(YEAR(B4447),MONTH(B4447),1)</f>
        <v>46235</v>
      </c>
      <c r="M4447" s="31" t="n">
        <f aca="false">WEEKDAY(B4447,2)</f>
        <v>1</v>
      </c>
      <c r="N4447" s="31" t="str">
        <f aca="false">IF(G4447&lt;=INDEX(Assumptions!$B$15:$B$18,MATCH(E4447,Assumptions!$A$15:$A$18,0)),"Yes","No")</f>
        <v>Yes</v>
      </c>
      <c r="O4447" s="31" t="str">
        <f aca="false">IF(H4447="","Open",IF(H4447&lt;=INDEX(Assumptions!$C$15:$C$18,MATCH(E4447,Assumptions!$A$15:$A$18,0)),"Yes","No"))</f>
        <v>Yes</v>
      </c>
    </row>
    <row r="4448" customFormat="false" ht="15" hidden="false" customHeight="false" outlineLevel="0" collapsed="false">
      <c r="A4448" s="31" t="s">
        <v>4598</v>
      </c>
      <c r="B4448" s="44" t="n">
        <v>46265</v>
      </c>
      <c r="C4448" s="31" t="s">
        <v>57</v>
      </c>
      <c r="D4448" s="31" t="s">
        <v>65</v>
      </c>
      <c r="E4448" s="31" t="s">
        <v>50</v>
      </c>
      <c r="F4448" s="31" t="s">
        <v>129</v>
      </c>
      <c r="G4448" s="31" t="n">
        <v>1</v>
      </c>
      <c r="H4448" s="41" t="n">
        <v>3.2</v>
      </c>
      <c r="I4448" s="31" t="s">
        <v>149</v>
      </c>
      <c r="J4448" s="31"/>
      <c r="K4448" s="31" t="s">
        <v>150</v>
      </c>
      <c r="L4448" s="45" t="n">
        <f aca="false">DATE(YEAR(B4448),MONTH(B4448),1)</f>
        <v>46235</v>
      </c>
      <c r="M4448" s="31" t="n">
        <f aca="false">WEEKDAY(B4448,2)</f>
        <v>1</v>
      </c>
      <c r="N4448" s="31" t="str">
        <f aca="false">IF(G4448&lt;=INDEX(Assumptions!$B$15:$B$18,MATCH(E4448,Assumptions!$A$15:$A$18,0)),"Yes","No")</f>
        <v>Yes</v>
      </c>
      <c r="O4448" s="31" t="str">
        <f aca="false">IF(H4448="","Open",IF(H4448&lt;=INDEX(Assumptions!$C$15:$C$18,MATCH(E4448,Assumptions!$A$15:$A$18,0)),"Yes","No"))</f>
        <v>Yes</v>
      </c>
    </row>
    <row r="4449" customFormat="false" ht="15" hidden="false" customHeight="false" outlineLevel="0" collapsed="false">
      <c r="A4449" s="31" t="s">
        <v>4599</v>
      </c>
      <c r="B4449" s="44" t="n">
        <v>46265</v>
      </c>
      <c r="C4449" s="31" t="s">
        <v>60</v>
      </c>
      <c r="D4449" s="31" t="s">
        <v>67</v>
      </c>
      <c r="E4449" s="31" t="s">
        <v>51</v>
      </c>
      <c r="F4449" s="31" t="s">
        <v>119</v>
      </c>
      <c r="G4449" s="31" t="n">
        <v>1</v>
      </c>
      <c r="H4449" s="41" t="n">
        <v>13.5</v>
      </c>
      <c r="I4449" s="31" t="s">
        <v>149</v>
      </c>
      <c r="J4449" s="31"/>
      <c r="K4449" s="31" t="s">
        <v>150</v>
      </c>
      <c r="L4449" s="45" t="n">
        <f aca="false">DATE(YEAR(B4449),MONTH(B4449),1)</f>
        <v>46235</v>
      </c>
      <c r="M4449" s="31" t="n">
        <f aca="false">WEEKDAY(B4449,2)</f>
        <v>1</v>
      </c>
      <c r="N4449" s="31" t="str">
        <f aca="false">IF(G4449&lt;=INDEX(Assumptions!$B$15:$B$18,MATCH(E4449,Assumptions!$A$15:$A$18,0)),"Yes","No")</f>
        <v>Yes</v>
      </c>
      <c r="O4449" s="31" t="str">
        <f aca="false">IF(H4449="","Open",IF(H4449&lt;=INDEX(Assumptions!$C$15:$C$18,MATCH(E4449,Assumptions!$A$15:$A$18,0)),"Yes","No"))</f>
        <v>Yes</v>
      </c>
    </row>
    <row r="4450" customFormat="false" ht="15" hidden="false" customHeight="false" outlineLevel="0" collapsed="false">
      <c r="A4450" s="31" t="s">
        <v>4600</v>
      </c>
      <c r="B4450" s="44" t="n">
        <v>46265</v>
      </c>
      <c r="C4450" s="31" t="s">
        <v>59</v>
      </c>
      <c r="D4450" s="31" t="s">
        <v>66</v>
      </c>
      <c r="E4450" s="31" t="s">
        <v>51</v>
      </c>
      <c r="F4450" s="31" t="s">
        <v>129</v>
      </c>
      <c r="G4450" s="31" t="n">
        <v>103</v>
      </c>
      <c r="H4450" s="41" t="n">
        <v>5</v>
      </c>
      <c r="I4450" s="31" t="s">
        <v>149</v>
      </c>
      <c r="J4450" s="31"/>
      <c r="K4450" s="31" t="s">
        <v>150</v>
      </c>
      <c r="L4450" s="45" t="n">
        <f aca="false">DATE(YEAR(B4450),MONTH(B4450),1)</f>
        <v>46235</v>
      </c>
      <c r="M4450" s="31" t="n">
        <f aca="false">WEEKDAY(B4450,2)</f>
        <v>1</v>
      </c>
      <c r="N4450" s="31" t="str">
        <f aca="false">IF(G4450&lt;=INDEX(Assumptions!$B$15:$B$18,MATCH(E4450,Assumptions!$A$15:$A$18,0)),"Yes","No")</f>
        <v>No</v>
      </c>
      <c r="O4450" s="31" t="str">
        <f aca="false">IF(H4450="","Open",IF(H4450&lt;=INDEX(Assumptions!$C$15:$C$18,MATCH(E4450,Assumptions!$A$15:$A$18,0)),"Yes","No"))</f>
        <v>Yes</v>
      </c>
    </row>
    <row r="4451" customFormat="false" ht="15" hidden="false" customHeight="false" outlineLevel="0" collapsed="false">
      <c r="A4451" s="31" t="s">
        <v>4601</v>
      </c>
      <c r="B4451" s="44" t="n">
        <v>46265</v>
      </c>
      <c r="C4451" s="31" t="s">
        <v>59</v>
      </c>
      <c r="D4451" s="31" t="s">
        <v>65</v>
      </c>
      <c r="E4451" s="31" t="s">
        <v>52</v>
      </c>
      <c r="F4451" s="31" t="s">
        <v>117</v>
      </c>
      <c r="G4451" s="31" t="n">
        <v>65</v>
      </c>
      <c r="H4451" s="41" t="n">
        <v>19.3</v>
      </c>
      <c r="I4451" s="31" t="s">
        <v>149</v>
      </c>
      <c r="J4451" s="31" t="n">
        <v>5</v>
      </c>
      <c r="K4451" s="31" t="s">
        <v>150</v>
      </c>
      <c r="L4451" s="45" t="n">
        <f aca="false">DATE(YEAR(B4451),MONTH(B4451),1)</f>
        <v>46235</v>
      </c>
      <c r="M4451" s="31" t="n">
        <f aca="false">WEEKDAY(B4451,2)</f>
        <v>1</v>
      </c>
      <c r="N4451" s="31" t="str">
        <f aca="false">IF(G4451&lt;=INDEX(Assumptions!$B$15:$B$18,MATCH(E4451,Assumptions!$A$15:$A$18,0)),"Yes","No")</f>
        <v>Yes</v>
      </c>
      <c r="O4451" s="31" t="str">
        <f aca="false">IF(H4451="","Open",IF(H4451&lt;=INDEX(Assumptions!$C$15:$C$18,MATCH(E4451,Assumptions!$A$15:$A$18,0)),"Yes","No"))</f>
        <v>Yes</v>
      </c>
    </row>
    <row r="4452" customFormat="false" ht="15" hidden="false" customHeight="false" outlineLevel="0" collapsed="false">
      <c r="A4452" s="31" t="s">
        <v>4602</v>
      </c>
      <c r="B4452" s="44" t="n">
        <v>46265</v>
      </c>
      <c r="C4452" s="31" t="s">
        <v>59</v>
      </c>
      <c r="D4452" s="31" t="s">
        <v>66</v>
      </c>
      <c r="E4452" s="31" t="s">
        <v>52</v>
      </c>
      <c r="F4452" s="31" t="s">
        <v>122</v>
      </c>
      <c r="G4452" s="31" t="n">
        <v>83</v>
      </c>
      <c r="H4452" s="41"/>
      <c r="I4452" s="31" t="s">
        <v>158</v>
      </c>
      <c r="J4452" s="31"/>
      <c r="K4452" s="31" t="s">
        <v>150</v>
      </c>
      <c r="L4452" s="45" t="n">
        <f aca="false">DATE(YEAR(B4452),MONTH(B4452),1)</f>
        <v>46235</v>
      </c>
      <c r="M4452" s="31" t="n">
        <f aca="false">WEEKDAY(B4452,2)</f>
        <v>1</v>
      </c>
      <c r="N4452" s="31" t="str">
        <f aca="false">IF(G4452&lt;=INDEX(Assumptions!$B$15:$B$18,MATCH(E4452,Assumptions!$A$15:$A$18,0)),"Yes","No")</f>
        <v>Yes</v>
      </c>
      <c r="O4452" s="31" t="str">
        <f aca="false">IF(H4452="","Open",IF(H4452&lt;=INDEX(Assumptions!$C$15:$C$18,MATCH(E4452,Assumptions!$A$15:$A$18,0)),"Yes","No"))</f>
        <v>Open</v>
      </c>
    </row>
    <row r="4453" customFormat="false" ht="15" hidden="false" customHeight="false" outlineLevel="0" collapsed="false">
      <c r="A4453" s="31" t="s">
        <v>4603</v>
      </c>
      <c r="B4453" s="44" t="n">
        <v>46265</v>
      </c>
      <c r="C4453" s="31" t="s">
        <v>59</v>
      </c>
      <c r="D4453" s="31" t="s">
        <v>67</v>
      </c>
      <c r="E4453" s="31" t="s">
        <v>51</v>
      </c>
      <c r="F4453" s="31" t="s">
        <v>124</v>
      </c>
      <c r="G4453" s="31" t="n">
        <v>81</v>
      </c>
      <c r="H4453" s="41" t="n">
        <v>12</v>
      </c>
      <c r="I4453" s="31" t="s">
        <v>149</v>
      </c>
      <c r="J4453" s="31" t="n">
        <v>3</v>
      </c>
      <c r="K4453" s="31" t="s">
        <v>153</v>
      </c>
      <c r="L4453" s="45" t="n">
        <f aca="false">DATE(YEAR(B4453),MONTH(B4453),1)</f>
        <v>46235</v>
      </c>
      <c r="M4453" s="31" t="n">
        <f aca="false">WEEKDAY(B4453,2)</f>
        <v>1</v>
      </c>
      <c r="N4453" s="31" t="str">
        <f aca="false">IF(G4453&lt;=INDEX(Assumptions!$B$15:$B$18,MATCH(E4453,Assumptions!$A$15:$A$18,0)),"Yes","No")</f>
        <v>No</v>
      </c>
      <c r="O4453" s="31" t="str">
        <f aca="false">IF(H4453="","Open",IF(H4453&lt;=INDEX(Assumptions!$C$15:$C$18,MATCH(E4453,Assumptions!$A$15:$A$18,0)),"Yes","No"))</f>
        <v>Yes</v>
      </c>
    </row>
    <row r="4454" customFormat="false" ht="15" hidden="false" customHeight="false" outlineLevel="0" collapsed="false">
      <c r="A4454" s="31" t="s">
        <v>4604</v>
      </c>
      <c r="B4454" s="44" t="n">
        <v>46265</v>
      </c>
      <c r="C4454" s="31" t="s">
        <v>59</v>
      </c>
      <c r="D4454" s="31" t="s">
        <v>66</v>
      </c>
      <c r="E4454" s="31" t="s">
        <v>51</v>
      </c>
      <c r="F4454" s="31" t="s">
        <v>117</v>
      </c>
      <c r="G4454" s="31" t="n">
        <v>101</v>
      </c>
      <c r="H4454" s="41" t="n">
        <v>5</v>
      </c>
      <c r="I4454" s="31" t="s">
        <v>149</v>
      </c>
      <c r="J4454" s="31"/>
      <c r="K4454" s="31" t="s">
        <v>150</v>
      </c>
      <c r="L4454" s="45" t="n">
        <f aca="false">DATE(YEAR(B4454),MONTH(B4454),1)</f>
        <v>46235</v>
      </c>
      <c r="M4454" s="31" t="n">
        <f aca="false">WEEKDAY(B4454,2)</f>
        <v>1</v>
      </c>
      <c r="N4454" s="31" t="str">
        <f aca="false">IF(G4454&lt;=INDEX(Assumptions!$B$15:$B$18,MATCH(E4454,Assumptions!$A$15:$A$18,0)),"Yes","No")</f>
        <v>No</v>
      </c>
      <c r="O4454" s="31" t="str">
        <f aca="false">IF(H4454="","Open",IF(H4454&lt;=INDEX(Assumptions!$C$15:$C$18,MATCH(E4454,Assumptions!$A$15:$A$18,0)),"Yes","No"))</f>
        <v>Yes</v>
      </c>
    </row>
    <row r="4455" customFormat="false" ht="15" hidden="false" customHeight="false" outlineLevel="0" collapsed="false">
      <c r="A4455" s="31" t="s">
        <v>4605</v>
      </c>
      <c r="B4455" s="44" t="n">
        <v>46265</v>
      </c>
      <c r="C4455" s="31" t="s">
        <v>57</v>
      </c>
      <c r="D4455" s="31" t="s">
        <v>65</v>
      </c>
      <c r="E4455" s="31" t="s">
        <v>52</v>
      </c>
      <c r="F4455" s="31" t="s">
        <v>126</v>
      </c>
      <c r="G4455" s="31" t="n">
        <v>7</v>
      </c>
      <c r="H4455" s="41" t="n">
        <v>19.6</v>
      </c>
      <c r="I4455" s="31" t="s">
        <v>149</v>
      </c>
      <c r="J4455" s="31" t="n">
        <v>5</v>
      </c>
      <c r="K4455" s="31" t="s">
        <v>150</v>
      </c>
      <c r="L4455" s="45" t="n">
        <f aca="false">DATE(YEAR(B4455),MONTH(B4455),1)</f>
        <v>46235</v>
      </c>
      <c r="M4455" s="31" t="n">
        <f aca="false">WEEKDAY(B4455,2)</f>
        <v>1</v>
      </c>
      <c r="N4455" s="31" t="str">
        <f aca="false">IF(G4455&lt;=INDEX(Assumptions!$B$15:$B$18,MATCH(E4455,Assumptions!$A$15:$A$18,0)),"Yes","No")</f>
        <v>Yes</v>
      </c>
      <c r="O4455" s="31" t="str">
        <f aca="false">IF(H4455="","Open",IF(H4455&lt;=INDEX(Assumptions!$C$15:$C$18,MATCH(E4455,Assumptions!$A$15:$A$18,0)),"Yes","No"))</f>
        <v>Yes</v>
      </c>
    </row>
    <row r="4456" customFormat="false" ht="15" hidden="false" customHeight="false" outlineLevel="0" collapsed="false">
      <c r="A4456" s="31" t="s">
        <v>4606</v>
      </c>
      <c r="B4456" s="44" t="n">
        <v>46265</v>
      </c>
      <c r="C4456" s="31" t="s">
        <v>58</v>
      </c>
      <c r="D4456" s="31" t="s">
        <v>65</v>
      </c>
      <c r="E4456" s="31" t="s">
        <v>51</v>
      </c>
      <c r="F4456" s="31" t="s">
        <v>135</v>
      </c>
      <c r="G4456" s="31" t="n">
        <v>14</v>
      </c>
      <c r="H4456" s="41" t="n">
        <v>15.6</v>
      </c>
      <c r="I4456" s="31" t="s">
        <v>149</v>
      </c>
      <c r="J4456" s="31"/>
      <c r="K4456" s="31" t="s">
        <v>150</v>
      </c>
      <c r="L4456" s="45" t="n">
        <f aca="false">DATE(YEAR(B4456),MONTH(B4456),1)</f>
        <v>46235</v>
      </c>
      <c r="M4456" s="31" t="n">
        <f aca="false">WEEKDAY(B4456,2)</f>
        <v>1</v>
      </c>
      <c r="N4456" s="31" t="str">
        <f aca="false">IF(G4456&lt;=INDEX(Assumptions!$B$15:$B$18,MATCH(E4456,Assumptions!$A$15:$A$18,0)),"Yes","No")</f>
        <v>Yes</v>
      </c>
      <c r="O4456" s="31" t="str">
        <f aca="false">IF(H4456="","Open",IF(H4456&lt;=INDEX(Assumptions!$C$15:$C$18,MATCH(E4456,Assumptions!$A$15:$A$18,0)),"Yes","No"))</f>
        <v>Yes</v>
      </c>
    </row>
    <row r="4457" customFormat="false" ht="15" hidden="false" customHeight="false" outlineLevel="0" collapsed="false">
      <c r="A4457" s="31" t="s">
        <v>4607</v>
      </c>
      <c r="B4457" s="44" t="n">
        <v>46265</v>
      </c>
      <c r="C4457" s="31" t="s">
        <v>60</v>
      </c>
      <c r="D4457" s="31" t="s">
        <v>66</v>
      </c>
      <c r="E4457" s="31" t="s">
        <v>51</v>
      </c>
      <c r="F4457" s="31" t="s">
        <v>131</v>
      </c>
      <c r="G4457" s="31" t="n">
        <v>1</v>
      </c>
      <c r="H4457" s="41" t="n">
        <v>2.6</v>
      </c>
      <c r="I4457" s="31" t="s">
        <v>149</v>
      </c>
      <c r="J4457" s="31" t="n">
        <v>5</v>
      </c>
      <c r="K4457" s="31" t="s">
        <v>150</v>
      </c>
      <c r="L4457" s="45" t="n">
        <f aca="false">DATE(YEAR(B4457),MONTH(B4457),1)</f>
        <v>46235</v>
      </c>
      <c r="M4457" s="31" t="n">
        <f aca="false">WEEKDAY(B4457,2)</f>
        <v>1</v>
      </c>
      <c r="N4457" s="31" t="str">
        <f aca="false">IF(G4457&lt;=INDEX(Assumptions!$B$15:$B$18,MATCH(E4457,Assumptions!$A$15:$A$18,0)),"Yes","No")</f>
        <v>Yes</v>
      </c>
      <c r="O4457" s="31" t="str">
        <f aca="false">IF(H4457="","Open",IF(H4457&lt;=INDEX(Assumptions!$C$15:$C$18,MATCH(E4457,Assumptions!$A$15:$A$18,0)),"Yes","No"))</f>
        <v>Yes</v>
      </c>
    </row>
    <row r="4458" customFormat="false" ht="15" hidden="false" customHeight="false" outlineLevel="0" collapsed="false">
      <c r="A4458" s="31" t="s">
        <v>4608</v>
      </c>
      <c r="B4458" s="44" t="n">
        <v>46265</v>
      </c>
      <c r="C4458" s="31" t="s">
        <v>59</v>
      </c>
      <c r="D4458" s="31" t="s">
        <v>65</v>
      </c>
      <c r="E4458" s="31" t="s">
        <v>52</v>
      </c>
      <c r="F4458" s="31" t="s">
        <v>129</v>
      </c>
      <c r="G4458" s="31" t="n">
        <v>63</v>
      </c>
      <c r="H4458" s="41" t="n">
        <v>20.8</v>
      </c>
      <c r="I4458" s="31" t="s">
        <v>149</v>
      </c>
      <c r="J4458" s="31"/>
      <c r="K4458" s="31" t="s">
        <v>150</v>
      </c>
      <c r="L4458" s="45" t="n">
        <f aca="false">DATE(YEAR(B4458),MONTH(B4458),1)</f>
        <v>46235</v>
      </c>
      <c r="M4458" s="31" t="n">
        <f aca="false">WEEKDAY(B4458,2)</f>
        <v>1</v>
      </c>
      <c r="N4458" s="31" t="str">
        <f aca="false">IF(G4458&lt;=INDEX(Assumptions!$B$15:$B$18,MATCH(E4458,Assumptions!$A$15:$A$18,0)),"Yes","No")</f>
        <v>Yes</v>
      </c>
      <c r="O4458" s="31" t="str">
        <f aca="false">IF(H4458="","Open",IF(H4458&lt;=INDEX(Assumptions!$C$15:$C$18,MATCH(E4458,Assumptions!$A$15:$A$18,0)),"Yes","No"))</f>
        <v>Yes</v>
      </c>
    </row>
    <row r="4459" customFormat="false" ht="15" hidden="false" customHeight="false" outlineLevel="0" collapsed="false">
      <c r="A4459" s="31" t="s">
        <v>4609</v>
      </c>
      <c r="B4459" s="44" t="n">
        <v>46265</v>
      </c>
      <c r="C4459" s="31" t="s">
        <v>60</v>
      </c>
      <c r="D4459" s="31" t="s">
        <v>68</v>
      </c>
      <c r="E4459" s="31" t="s">
        <v>49</v>
      </c>
      <c r="F4459" s="31" t="s">
        <v>127</v>
      </c>
      <c r="G4459" s="31" t="n">
        <v>1</v>
      </c>
      <c r="H4459" s="41" t="n">
        <v>1.1</v>
      </c>
      <c r="I4459" s="31" t="s">
        <v>149</v>
      </c>
      <c r="J4459" s="31"/>
      <c r="K4459" s="31" t="s">
        <v>150</v>
      </c>
      <c r="L4459" s="45" t="n">
        <f aca="false">DATE(YEAR(B4459),MONTH(B4459),1)</f>
        <v>46235</v>
      </c>
      <c r="M4459" s="31" t="n">
        <f aca="false">WEEKDAY(B4459,2)</f>
        <v>1</v>
      </c>
      <c r="N4459" s="31" t="str">
        <f aca="false">IF(G4459&lt;=INDEX(Assumptions!$B$15:$B$18,MATCH(E4459,Assumptions!$A$15:$A$18,0)),"Yes","No")</f>
        <v>Yes</v>
      </c>
      <c r="O4459" s="31" t="str">
        <f aca="false">IF(H4459="","Open",IF(H4459&lt;=INDEX(Assumptions!$C$15:$C$18,MATCH(E4459,Assumptions!$A$15:$A$18,0)),"Yes","No"))</f>
        <v>Yes</v>
      </c>
    </row>
    <row r="4460" customFormat="false" ht="15" hidden="false" customHeight="false" outlineLevel="0" collapsed="false">
      <c r="A4460" s="31" t="s">
        <v>4610</v>
      </c>
      <c r="B4460" s="44" t="n">
        <v>46265</v>
      </c>
      <c r="C4460" s="31" t="s">
        <v>59</v>
      </c>
      <c r="D4460" s="31" t="s">
        <v>66</v>
      </c>
      <c r="E4460" s="31" t="s">
        <v>50</v>
      </c>
      <c r="F4460" s="31" t="s">
        <v>131</v>
      </c>
      <c r="G4460" s="31" t="n">
        <v>125</v>
      </c>
      <c r="H4460" s="41" t="n">
        <v>1</v>
      </c>
      <c r="I4460" s="31" t="s">
        <v>149</v>
      </c>
      <c r="J4460" s="31"/>
      <c r="K4460" s="31" t="s">
        <v>150</v>
      </c>
      <c r="L4460" s="45" t="n">
        <f aca="false">DATE(YEAR(B4460),MONTH(B4460),1)</f>
        <v>46235</v>
      </c>
      <c r="M4460" s="31" t="n">
        <f aca="false">WEEKDAY(B4460,2)</f>
        <v>1</v>
      </c>
      <c r="N4460" s="31" t="str">
        <f aca="false">IF(G4460&lt;=INDEX(Assumptions!$B$15:$B$18,MATCH(E4460,Assumptions!$A$15:$A$18,0)),"Yes","No")</f>
        <v>No</v>
      </c>
      <c r="O4460" s="31" t="str">
        <f aca="false">IF(H4460="","Open",IF(H4460&lt;=INDEX(Assumptions!$C$15:$C$18,MATCH(E4460,Assumptions!$A$15:$A$18,0)),"Yes","No"))</f>
        <v>Yes</v>
      </c>
    </row>
    <row r="4461" customFormat="false" ht="15" hidden="false" customHeight="false" outlineLevel="0" collapsed="false">
      <c r="A4461" s="31" t="s">
        <v>4611</v>
      </c>
      <c r="B4461" s="44" t="n">
        <v>46265</v>
      </c>
      <c r="C4461" s="31" t="s">
        <v>60</v>
      </c>
      <c r="D4461" s="31" t="s">
        <v>65</v>
      </c>
      <c r="E4461" s="31" t="s">
        <v>50</v>
      </c>
      <c r="F4461" s="31" t="s">
        <v>123</v>
      </c>
      <c r="G4461" s="31" t="n">
        <v>5</v>
      </c>
      <c r="H4461" s="41" t="n">
        <v>29.1</v>
      </c>
      <c r="I4461" s="31" t="s">
        <v>64</v>
      </c>
      <c r="J4461" s="31" t="n">
        <v>3</v>
      </c>
      <c r="K4461" s="31" t="s">
        <v>150</v>
      </c>
      <c r="L4461" s="45" t="n">
        <f aca="false">DATE(YEAR(B4461),MONTH(B4461),1)</f>
        <v>46235</v>
      </c>
      <c r="M4461" s="31" t="n">
        <f aca="false">WEEKDAY(B4461,2)</f>
        <v>1</v>
      </c>
      <c r="N4461" s="31" t="str">
        <f aca="false">IF(G4461&lt;=INDEX(Assumptions!$B$15:$B$18,MATCH(E4461,Assumptions!$A$15:$A$18,0)),"Yes","No")</f>
        <v>Yes</v>
      </c>
      <c r="O4461" s="31" t="str">
        <f aca="false">IF(H4461="","Open",IF(H4461&lt;=INDEX(Assumptions!$C$15:$C$18,MATCH(E4461,Assumptions!$A$15:$A$18,0)),"Yes","No"))</f>
        <v>No</v>
      </c>
    </row>
    <row r="4462" customFormat="false" ht="15" hidden="false" customHeight="false" outlineLevel="0" collapsed="false">
      <c r="A4462" s="31" t="s">
        <v>4612</v>
      </c>
      <c r="B4462" s="44" t="n">
        <v>46265</v>
      </c>
      <c r="C4462" s="31" t="s">
        <v>57</v>
      </c>
      <c r="D4462" s="31" t="s">
        <v>68</v>
      </c>
      <c r="E4462" s="31" t="s">
        <v>51</v>
      </c>
      <c r="F4462" s="31" t="s">
        <v>120</v>
      </c>
      <c r="G4462" s="31" t="n">
        <v>5</v>
      </c>
      <c r="H4462" s="41" t="n">
        <v>14.5</v>
      </c>
      <c r="I4462" s="31" t="s">
        <v>64</v>
      </c>
      <c r="J4462" s="31" t="n">
        <v>4</v>
      </c>
      <c r="K4462" s="31" t="s">
        <v>153</v>
      </c>
      <c r="L4462" s="45" t="n">
        <f aca="false">DATE(YEAR(B4462),MONTH(B4462),1)</f>
        <v>46235</v>
      </c>
      <c r="M4462" s="31" t="n">
        <f aca="false">WEEKDAY(B4462,2)</f>
        <v>1</v>
      </c>
      <c r="N4462" s="31" t="str">
        <f aca="false">IF(G4462&lt;=INDEX(Assumptions!$B$15:$B$18,MATCH(E4462,Assumptions!$A$15:$A$18,0)),"Yes","No")</f>
        <v>Yes</v>
      </c>
      <c r="O4462" s="31" t="str">
        <f aca="false">IF(H4462="","Open",IF(H4462&lt;=INDEX(Assumptions!$C$15:$C$18,MATCH(E4462,Assumptions!$A$15:$A$18,0)),"Yes","No"))</f>
        <v>Yes</v>
      </c>
    </row>
    <row r="4463" customFormat="false" ht="15" hidden="false" customHeight="false" outlineLevel="0" collapsed="false">
      <c r="A4463" s="31" t="s">
        <v>4613</v>
      </c>
      <c r="B4463" s="44" t="n">
        <v>46265</v>
      </c>
      <c r="C4463" s="31" t="s">
        <v>57</v>
      </c>
      <c r="D4463" s="31" t="s">
        <v>65</v>
      </c>
      <c r="E4463" s="31" t="s">
        <v>51</v>
      </c>
      <c r="F4463" s="31" t="s">
        <v>130</v>
      </c>
      <c r="G4463" s="31" t="n">
        <v>4</v>
      </c>
      <c r="H4463" s="41" t="n">
        <v>19.8</v>
      </c>
      <c r="I4463" s="31" t="s">
        <v>149</v>
      </c>
      <c r="J4463" s="31" t="n">
        <v>4</v>
      </c>
      <c r="K4463" s="31" t="s">
        <v>150</v>
      </c>
      <c r="L4463" s="45" t="n">
        <f aca="false">DATE(YEAR(B4463),MONTH(B4463),1)</f>
        <v>46235</v>
      </c>
      <c r="M4463" s="31" t="n">
        <f aca="false">WEEKDAY(B4463,2)</f>
        <v>1</v>
      </c>
      <c r="N4463" s="31" t="str">
        <f aca="false">IF(G4463&lt;=INDEX(Assumptions!$B$15:$B$18,MATCH(E4463,Assumptions!$A$15:$A$18,0)),"Yes","No")</f>
        <v>Yes</v>
      </c>
      <c r="O4463" s="31" t="str">
        <f aca="false">IF(H4463="","Open",IF(H4463&lt;=INDEX(Assumptions!$C$15:$C$18,MATCH(E4463,Assumptions!$A$15:$A$18,0)),"Yes","No"))</f>
        <v>Yes</v>
      </c>
    </row>
    <row r="4464" customFormat="false" ht="15" hidden="false" customHeight="false" outlineLevel="0" collapsed="false">
      <c r="A4464" s="31" t="s">
        <v>4614</v>
      </c>
      <c r="B4464" s="44" t="n">
        <v>46265</v>
      </c>
      <c r="C4464" s="31" t="s">
        <v>60</v>
      </c>
      <c r="D4464" s="31" t="s">
        <v>68</v>
      </c>
      <c r="E4464" s="31" t="s">
        <v>50</v>
      </c>
      <c r="F4464" s="31" t="s">
        <v>128</v>
      </c>
      <c r="G4464" s="31" t="n">
        <v>1</v>
      </c>
      <c r="H4464" s="41" t="n">
        <v>0.6</v>
      </c>
      <c r="I4464" s="31" t="s">
        <v>149</v>
      </c>
      <c r="J4464" s="31" t="n">
        <v>4</v>
      </c>
      <c r="K4464" s="31" t="s">
        <v>150</v>
      </c>
      <c r="L4464" s="45" t="n">
        <f aca="false">DATE(YEAR(B4464),MONTH(B4464),1)</f>
        <v>46235</v>
      </c>
      <c r="M4464" s="31" t="n">
        <f aca="false">WEEKDAY(B4464,2)</f>
        <v>1</v>
      </c>
      <c r="N4464" s="31" t="str">
        <f aca="false">IF(G4464&lt;=INDEX(Assumptions!$B$15:$B$18,MATCH(E4464,Assumptions!$A$15:$A$18,0)),"Yes","No")</f>
        <v>Yes</v>
      </c>
      <c r="O4464" s="31" t="str">
        <f aca="false">IF(H4464="","Open",IF(H4464&lt;=INDEX(Assumptions!$C$15:$C$18,MATCH(E4464,Assumptions!$A$15:$A$18,0)),"Yes","No"))</f>
        <v>Yes</v>
      </c>
    </row>
    <row r="4465" customFormat="false" ht="15" hidden="false" customHeight="false" outlineLevel="0" collapsed="false">
      <c r="A4465" s="31" t="s">
        <v>4615</v>
      </c>
      <c r="B4465" s="44" t="n">
        <v>46265</v>
      </c>
      <c r="C4465" s="31" t="s">
        <v>58</v>
      </c>
      <c r="D4465" s="31" t="s">
        <v>65</v>
      </c>
      <c r="E4465" s="31" t="s">
        <v>49</v>
      </c>
      <c r="F4465" s="31" t="s">
        <v>127</v>
      </c>
      <c r="G4465" s="31" t="n">
        <v>2</v>
      </c>
      <c r="H4465" s="41" t="n">
        <v>2.6</v>
      </c>
      <c r="I4465" s="31" t="s">
        <v>149</v>
      </c>
      <c r="J4465" s="31"/>
      <c r="K4465" s="31" t="s">
        <v>150</v>
      </c>
      <c r="L4465" s="45" t="n">
        <f aca="false">DATE(YEAR(B4465),MONTH(B4465),1)</f>
        <v>46235</v>
      </c>
      <c r="M4465" s="31" t="n">
        <f aca="false">WEEKDAY(B4465,2)</f>
        <v>1</v>
      </c>
      <c r="N4465" s="31" t="str">
        <f aca="false">IF(G4465&lt;=INDEX(Assumptions!$B$15:$B$18,MATCH(E4465,Assumptions!$A$15:$A$18,0)),"Yes","No")</f>
        <v>Yes</v>
      </c>
      <c r="O4465" s="31" t="str">
        <f aca="false">IF(H4465="","Open",IF(H4465&lt;=INDEX(Assumptions!$C$15:$C$18,MATCH(E4465,Assumptions!$A$15:$A$18,0)),"Yes","No"))</f>
        <v>Yes</v>
      </c>
    </row>
    <row r="4466" customFormat="false" ht="15" hidden="false" customHeight="false" outlineLevel="0" collapsed="false">
      <c r="A4466" s="31" t="s">
        <v>4616</v>
      </c>
      <c r="B4466" s="44" t="n">
        <v>46265</v>
      </c>
      <c r="C4466" s="31" t="s">
        <v>59</v>
      </c>
      <c r="D4466" s="31" t="s">
        <v>69</v>
      </c>
      <c r="E4466" s="31" t="s">
        <v>49</v>
      </c>
      <c r="F4466" s="31" t="s">
        <v>128</v>
      </c>
      <c r="G4466" s="31" t="n">
        <v>47</v>
      </c>
      <c r="H4466" s="41" t="n">
        <v>10.2</v>
      </c>
      <c r="I4466" s="31" t="s">
        <v>149</v>
      </c>
      <c r="J4466" s="31"/>
      <c r="K4466" s="31" t="s">
        <v>150</v>
      </c>
      <c r="L4466" s="45" t="n">
        <f aca="false">DATE(YEAR(B4466),MONTH(B4466),1)</f>
        <v>46235</v>
      </c>
      <c r="M4466" s="31" t="n">
        <f aca="false">WEEKDAY(B4466,2)</f>
        <v>1</v>
      </c>
      <c r="N4466" s="31" t="str">
        <f aca="false">IF(G4466&lt;=INDEX(Assumptions!$B$15:$B$18,MATCH(E4466,Assumptions!$A$15:$A$18,0)),"Yes","No")</f>
        <v>No</v>
      </c>
      <c r="O4466" s="31" t="str">
        <f aca="false">IF(H4466="","Open",IF(H4466&lt;=INDEX(Assumptions!$C$15:$C$18,MATCH(E4466,Assumptions!$A$15:$A$18,0)),"Yes","No"))</f>
        <v>No</v>
      </c>
    </row>
    <row r="4467" customFormat="false" ht="15" hidden="false" customHeight="false" outlineLevel="0" collapsed="false">
      <c r="A4467" s="31" t="s">
        <v>4617</v>
      </c>
      <c r="B4467" s="44" t="n">
        <v>46265</v>
      </c>
      <c r="C4467" s="31" t="s">
        <v>60</v>
      </c>
      <c r="D4467" s="31" t="s">
        <v>67</v>
      </c>
      <c r="E4467" s="31" t="s">
        <v>50</v>
      </c>
      <c r="F4467" s="31" t="s">
        <v>131</v>
      </c>
      <c r="G4467" s="31" t="n">
        <v>4</v>
      </c>
      <c r="H4467" s="41" t="n">
        <v>9.5</v>
      </c>
      <c r="I4467" s="31" t="s">
        <v>149</v>
      </c>
      <c r="J4467" s="31"/>
      <c r="K4467" s="31" t="s">
        <v>150</v>
      </c>
      <c r="L4467" s="45" t="n">
        <f aca="false">DATE(YEAR(B4467),MONTH(B4467),1)</f>
        <v>46235</v>
      </c>
      <c r="M4467" s="31" t="n">
        <f aca="false">WEEKDAY(B4467,2)</f>
        <v>1</v>
      </c>
      <c r="N4467" s="31" t="str">
        <f aca="false">IF(G4467&lt;=INDEX(Assumptions!$B$15:$B$18,MATCH(E4467,Assumptions!$A$15:$A$18,0)),"Yes","No")</f>
        <v>Yes</v>
      </c>
      <c r="O4467" s="31" t="str">
        <f aca="false">IF(H4467="","Open",IF(H4467&lt;=INDEX(Assumptions!$C$15:$C$18,MATCH(E4467,Assumptions!$A$15:$A$18,0)),"Yes","No"))</f>
        <v>No</v>
      </c>
    </row>
    <row r="4468" customFormat="false" ht="15" hidden="false" customHeight="false" outlineLevel="0" collapsed="false">
      <c r="A4468" s="31" t="s">
        <v>4618</v>
      </c>
      <c r="B4468" s="44" t="n">
        <v>46265</v>
      </c>
      <c r="C4468" s="31" t="s">
        <v>59</v>
      </c>
      <c r="D4468" s="31" t="s">
        <v>65</v>
      </c>
      <c r="E4468" s="31" t="s">
        <v>51</v>
      </c>
      <c r="F4468" s="31" t="s">
        <v>126</v>
      </c>
      <c r="G4468" s="31" t="n">
        <v>196</v>
      </c>
      <c r="H4468" s="41" t="n">
        <v>28.1</v>
      </c>
      <c r="I4468" s="31" t="s">
        <v>149</v>
      </c>
      <c r="J4468" s="31" t="n">
        <v>5</v>
      </c>
      <c r="K4468" s="31" t="s">
        <v>150</v>
      </c>
      <c r="L4468" s="45" t="n">
        <f aca="false">DATE(YEAR(B4468),MONTH(B4468),1)</f>
        <v>46235</v>
      </c>
      <c r="M4468" s="31" t="n">
        <f aca="false">WEEKDAY(B4468,2)</f>
        <v>1</v>
      </c>
      <c r="N4468" s="31" t="str">
        <f aca="false">IF(G4468&lt;=INDEX(Assumptions!$B$15:$B$18,MATCH(E4468,Assumptions!$A$15:$A$18,0)),"Yes","No")</f>
        <v>No</v>
      </c>
      <c r="O4468" s="31" t="str">
        <f aca="false">IF(H4468="","Open",IF(H4468&lt;=INDEX(Assumptions!$C$15:$C$18,MATCH(E4468,Assumptions!$A$15:$A$18,0)),"Yes","No"))</f>
        <v>No</v>
      </c>
    </row>
    <row r="4469" customFormat="false" ht="15" hidden="false" customHeight="false" outlineLevel="0" collapsed="false">
      <c r="A4469" s="31" t="s">
        <v>4619</v>
      </c>
      <c r="B4469" s="44" t="n">
        <v>46265</v>
      </c>
      <c r="C4469" s="31" t="s">
        <v>59</v>
      </c>
      <c r="D4469" s="31" t="s">
        <v>66</v>
      </c>
      <c r="E4469" s="31" t="s">
        <v>51</v>
      </c>
      <c r="F4469" s="31" t="s">
        <v>137</v>
      </c>
      <c r="G4469" s="31" t="n">
        <v>163</v>
      </c>
      <c r="H4469" s="41" t="n">
        <v>7.8</v>
      </c>
      <c r="I4469" s="31" t="s">
        <v>149</v>
      </c>
      <c r="J4469" s="31" t="n">
        <v>5</v>
      </c>
      <c r="K4469" s="31" t="s">
        <v>150</v>
      </c>
      <c r="L4469" s="45" t="n">
        <f aca="false">DATE(YEAR(B4469),MONTH(B4469),1)</f>
        <v>46235</v>
      </c>
      <c r="M4469" s="31" t="n">
        <f aca="false">WEEKDAY(B4469,2)</f>
        <v>1</v>
      </c>
      <c r="N4469" s="31" t="str">
        <f aca="false">IF(G4469&lt;=INDEX(Assumptions!$B$15:$B$18,MATCH(E4469,Assumptions!$A$15:$A$18,0)),"Yes","No")</f>
        <v>No</v>
      </c>
      <c r="O4469" s="31" t="str">
        <f aca="false">IF(H4469="","Open",IF(H4469&lt;=INDEX(Assumptions!$C$15:$C$18,MATCH(E4469,Assumptions!$A$15:$A$18,0)),"Yes","No"))</f>
        <v>Yes</v>
      </c>
    </row>
    <row r="4470" customFormat="false" ht="15" hidden="false" customHeight="false" outlineLevel="0" collapsed="false">
      <c r="A4470" s="31" t="s">
        <v>4620</v>
      </c>
      <c r="B4470" s="44" t="n">
        <v>46265</v>
      </c>
      <c r="C4470" s="31" t="s">
        <v>58</v>
      </c>
      <c r="D4470" s="31" t="s">
        <v>67</v>
      </c>
      <c r="E4470" s="31" t="s">
        <v>51</v>
      </c>
      <c r="F4470" s="31" t="s">
        <v>119</v>
      </c>
      <c r="G4470" s="31" t="n">
        <v>35</v>
      </c>
      <c r="H4470" s="41" t="n">
        <v>29.7</v>
      </c>
      <c r="I4470" s="31" t="s">
        <v>149</v>
      </c>
      <c r="J4470" s="31"/>
      <c r="K4470" s="31" t="s">
        <v>150</v>
      </c>
      <c r="L4470" s="45" t="n">
        <f aca="false">DATE(YEAR(B4470),MONTH(B4470),1)</f>
        <v>46235</v>
      </c>
      <c r="M4470" s="31" t="n">
        <f aca="false">WEEKDAY(B4470,2)</f>
        <v>1</v>
      </c>
      <c r="N4470" s="31" t="str">
        <f aca="false">IF(G4470&lt;=INDEX(Assumptions!$B$15:$B$18,MATCH(E4470,Assumptions!$A$15:$A$18,0)),"Yes","No")</f>
        <v>Yes</v>
      </c>
      <c r="O4470" s="31" t="str">
        <f aca="false">IF(H4470="","Open",IF(H4470&lt;=INDEX(Assumptions!$C$15:$C$18,MATCH(E4470,Assumptions!$A$15:$A$18,0)),"Yes","No"))</f>
        <v>No</v>
      </c>
    </row>
    <row r="4471" customFormat="false" ht="15" hidden="false" customHeight="false" outlineLevel="0" collapsed="false">
      <c r="A4471" s="31" t="s">
        <v>4621</v>
      </c>
      <c r="B4471" s="44" t="n">
        <v>46265</v>
      </c>
      <c r="C4471" s="31" t="s">
        <v>59</v>
      </c>
      <c r="D4471" s="31" t="s">
        <v>69</v>
      </c>
      <c r="E4471" s="31" t="s">
        <v>52</v>
      </c>
      <c r="F4471" s="31" t="s">
        <v>121</v>
      </c>
      <c r="G4471" s="31" t="n">
        <v>177</v>
      </c>
      <c r="H4471" s="41" t="n">
        <v>73.3</v>
      </c>
      <c r="I4471" s="31" t="s">
        <v>149</v>
      </c>
      <c r="J4471" s="31"/>
      <c r="K4471" s="31" t="s">
        <v>150</v>
      </c>
      <c r="L4471" s="45" t="n">
        <f aca="false">DATE(YEAR(B4471),MONTH(B4471),1)</f>
        <v>46235</v>
      </c>
      <c r="M4471" s="31" t="n">
        <f aca="false">WEEKDAY(B4471,2)</f>
        <v>1</v>
      </c>
      <c r="N4471" s="31" t="str">
        <f aca="false">IF(G4471&lt;=INDEX(Assumptions!$B$15:$B$18,MATCH(E4471,Assumptions!$A$15:$A$18,0)),"Yes","No")</f>
        <v>Yes</v>
      </c>
      <c r="O4471" s="31" t="str">
        <f aca="false">IF(H4471="","Open",IF(H4471&lt;=INDEX(Assumptions!$C$15:$C$18,MATCH(E4471,Assumptions!$A$15:$A$18,0)),"Yes","No"))</f>
        <v>No</v>
      </c>
    </row>
    <row r="4472" customFormat="false" ht="15" hidden="false" customHeight="false" outlineLevel="0" collapsed="false">
      <c r="A4472" s="31" t="s">
        <v>4622</v>
      </c>
      <c r="B4472" s="44" t="n">
        <v>46265</v>
      </c>
      <c r="C4472" s="31" t="s">
        <v>59</v>
      </c>
      <c r="D4472" s="31" t="s">
        <v>65</v>
      </c>
      <c r="E4472" s="31" t="s">
        <v>50</v>
      </c>
      <c r="F4472" s="31" t="s">
        <v>122</v>
      </c>
      <c r="G4472" s="31" t="n">
        <v>42</v>
      </c>
      <c r="H4472" s="41" t="n">
        <v>6.1</v>
      </c>
      <c r="I4472" s="31" t="s">
        <v>149</v>
      </c>
      <c r="J4472" s="31"/>
      <c r="K4472" s="31" t="s">
        <v>150</v>
      </c>
      <c r="L4472" s="45" t="n">
        <f aca="false">DATE(YEAR(B4472),MONTH(B4472),1)</f>
        <v>46235</v>
      </c>
      <c r="M4472" s="31" t="n">
        <f aca="false">WEEKDAY(B4472,2)</f>
        <v>1</v>
      </c>
      <c r="N4472" s="31" t="str">
        <f aca="false">IF(G4472&lt;=INDEX(Assumptions!$B$15:$B$18,MATCH(E4472,Assumptions!$A$15:$A$18,0)),"Yes","No")</f>
        <v>No</v>
      </c>
      <c r="O4472" s="31" t="str">
        <f aca="false">IF(H4472="","Open",IF(H4472&lt;=INDEX(Assumptions!$C$15:$C$18,MATCH(E4472,Assumptions!$A$15:$A$18,0)),"Yes","No"))</f>
        <v>Yes</v>
      </c>
    </row>
    <row r="4473" customFormat="false" ht="15" hidden="false" customHeight="false" outlineLevel="0" collapsed="false">
      <c r="A4473" s="31" t="s">
        <v>4623</v>
      </c>
      <c r="B4473" s="44" t="n">
        <v>46265</v>
      </c>
      <c r="C4473" s="31" t="s">
        <v>60</v>
      </c>
      <c r="D4473" s="31" t="s">
        <v>69</v>
      </c>
      <c r="E4473" s="31" t="s">
        <v>52</v>
      </c>
      <c r="F4473" s="31" t="s">
        <v>120</v>
      </c>
      <c r="G4473" s="31" t="n">
        <v>8</v>
      </c>
      <c r="H4473" s="41" t="n">
        <v>124.2</v>
      </c>
      <c r="I4473" s="31" t="s">
        <v>149</v>
      </c>
      <c r="J4473" s="31"/>
      <c r="K4473" s="31" t="s">
        <v>150</v>
      </c>
      <c r="L4473" s="45" t="n">
        <f aca="false">DATE(YEAR(B4473),MONTH(B4473),1)</f>
        <v>46235</v>
      </c>
      <c r="M4473" s="31" t="n">
        <f aca="false">WEEKDAY(B4473,2)</f>
        <v>1</v>
      </c>
      <c r="N4473" s="31" t="str">
        <f aca="false">IF(G4473&lt;=INDEX(Assumptions!$B$15:$B$18,MATCH(E4473,Assumptions!$A$15:$A$18,0)),"Yes","No")</f>
        <v>Yes</v>
      </c>
      <c r="O4473" s="31" t="str">
        <f aca="false">IF(H4473="","Open",IF(H4473&lt;=INDEX(Assumptions!$C$15:$C$18,MATCH(E4473,Assumptions!$A$15:$A$18,0)),"Yes","No"))</f>
        <v>No</v>
      </c>
    </row>
    <row r="4474" customFormat="false" ht="15" hidden="false" customHeight="false" outlineLevel="0" collapsed="false">
      <c r="A4474" s="31" t="s">
        <v>4624</v>
      </c>
      <c r="B4474" s="44" t="n">
        <v>46265</v>
      </c>
      <c r="C4474" s="31" t="s">
        <v>57</v>
      </c>
      <c r="D4474" s="31" t="s">
        <v>65</v>
      </c>
      <c r="E4474" s="31" t="s">
        <v>51</v>
      </c>
      <c r="F4474" s="31" t="s">
        <v>133</v>
      </c>
      <c r="G4474" s="31" t="n">
        <v>5</v>
      </c>
      <c r="H4474" s="41" t="n">
        <v>6.8</v>
      </c>
      <c r="I4474" s="31" t="s">
        <v>149</v>
      </c>
      <c r="J4474" s="31" t="n">
        <v>5</v>
      </c>
      <c r="K4474" s="31" t="s">
        <v>150</v>
      </c>
      <c r="L4474" s="45" t="n">
        <f aca="false">DATE(YEAR(B4474),MONTH(B4474),1)</f>
        <v>46235</v>
      </c>
      <c r="M4474" s="31" t="n">
        <f aca="false">WEEKDAY(B4474,2)</f>
        <v>1</v>
      </c>
      <c r="N4474" s="31" t="str">
        <f aca="false">IF(G4474&lt;=INDEX(Assumptions!$B$15:$B$18,MATCH(E4474,Assumptions!$A$15:$A$18,0)),"Yes","No")</f>
        <v>Yes</v>
      </c>
      <c r="O4474" s="31" t="str">
        <f aca="false">IF(H4474="","Open",IF(H4474&lt;=INDEX(Assumptions!$C$15:$C$18,MATCH(E4474,Assumptions!$A$15:$A$18,0)),"Yes","No"))</f>
        <v>Yes</v>
      </c>
    </row>
    <row r="4475" customFormat="false" ht="15" hidden="false" customHeight="false" outlineLevel="0" collapsed="false">
      <c r="A4475" s="31" t="s">
        <v>4625</v>
      </c>
      <c r="B4475" s="44" t="n">
        <v>46265</v>
      </c>
      <c r="C4475" s="31" t="s">
        <v>59</v>
      </c>
      <c r="D4475" s="31" t="s">
        <v>66</v>
      </c>
      <c r="E4475" s="31" t="s">
        <v>50</v>
      </c>
      <c r="F4475" s="31" t="s">
        <v>137</v>
      </c>
      <c r="G4475" s="31" t="n">
        <v>184</v>
      </c>
      <c r="H4475" s="41" t="n">
        <v>3.8</v>
      </c>
      <c r="I4475" s="31" t="s">
        <v>149</v>
      </c>
      <c r="J4475" s="31" t="n">
        <v>4</v>
      </c>
      <c r="K4475" s="31" t="s">
        <v>150</v>
      </c>
      <c r="L4475" s="45" t="n">
        <f aca="false">DATE(YEAR(B4475),MONTH(B4475),1)</f>
        <v>46235</v>
      </c>
      <c r="M4475" s="31" t="n">
        <f aca="false">WEEKDAY(B4475,2)</f>
        <v>1</v>
      </c>
      <c r="N4475" s="31" t="str">
        <f aca="false">IF(G4475&lt;=INDEX(Assumptions!$B$15:$B$18,MATCH(E4475,Assumptions!$A$15:$A$18,0)),"Yes","No")</f>
        <v>No</v>
      </c>
      <c r="O4475" s="31" t="str">
        <f aca="false">IF(H4475="","Open",IF(H4475&lt;=INDEX(Assumptions!$C$15:$C$18,MATCH(E4475,Assumptions!$A$15:$A$18,0)),"Yes","No"))</f>
        <v>Yes</v>
      </c>
    </row>
    <row r="4476" customFormat="false" ht="15" hidden="false" customHeight="false" outlineLevel="0" collapsed="false">
      <c r="A4476" s="31" t="s">
        <v>4626</v>
      </c>
      <c r="B4476" s="44" t="n">
        <v>46265</v>
      </c>
      <c r="C4476" s="31" t="s">
        <v>58</v>
      </c>
      <c r="D4476" s="31" t="s">
        <v>66</v>
      </c>
      <c r="E4476" s="31" t="s">
        <v>51</v>
      </c>
      <c r="F4476" s="31" t="s">
        <v>122</v>
      </c>
      <c r="G4476" s="31" t="n">
        <v>22</v>
      </c>
      <c r="H4476" s="41" t="n">
        <v>6.1</v>
      </c>
      <c r="I4476" s="31" t="s">
        <v>149</v>
      </c>
      <c r="J4476" s="31" t="n">
        <v>5</v>
      </c>
      <c r="K4476" s="31" t="s">
        <v>150</v>
      </c>
      <c r="L4476" s="45" t="n">
        <f aca="false">DATE(YEAR(B4476),MONTH(B4476),1)</f>
        <v>46235</v>
      </c>
      <c r="M4476" s="31" t="n">
        <f aca="false">WEEKDAY(B4476,2)</f>
        <v>1</v>
      </c>
      <c r="N4476" s="31" t="str">
        <f aca="false">IF(G4476&lt;=INDEX(Assumptions!$B$15:$B$18,MATCH(E4476,Assumptions!$A$15:$A$18,0)),"Yes","No")</f>
        <v>Yes</v>
      </c>
      <c r="O4476" s="31" t="str">
        <f aca="false">IF(H4476="","Open",IF(H4476&lt;=INDEX(Assumptions!$C$15:$C$18,MATCH(E4476,Assumptions!$A$15:$A$18,0)),"Yes","No"))</f>
        <v>Yes</v>
      </c>
    </row>
    <row r="4477" customFormat="false" ht="15" hidden="false" customHeight="false" outlineLevel="0" collapsed="false">
      <c r="A4477" s="31" t="s">
        <v>4627</v>
      </c>
      <c r="B4477" s="44" t="n">
        <v>46265</v>
      </c>
      <c r="C4477" s="31" t="s">
        <v>60</v>
      </c>
      <c r="D4477" s="31" t="s">
        <v>68</v>
      </c>
      <c r="E4477" s="31" t="s">
        <v>51</v>
      </c>
      <c r="F4477" s="31" t="s">
        <v>136</v>
      </c>
      <c r="G4477" s="31" t="n">
        <v>2</v>
      </c>
      <c r="H4477" s="41" t="n">
        <v>3.6</v>
      </c>
      <c r="I4477" s="31" t="s">
        <v>149</v>
      </c>
      <c r="J4477" s="31" t="n">
        <v>5</v>
      </c>
      <c r="K4477" s="31" t="s">
        <v>150</v>
      </c>
      <c r="L4477" s="45" t="n">
        <f aca="false">DATE(YEAR(B4477),MONTH(B4477),1)</f>
        <v>46235</v>
      </c>
      <c r="M4477" s="31" t="n">
        <f aca="false">WEEKDAY(B4477,2)</f>
        <v>1</v>
      </c>
      <c r="N4477" s="31" t="str">
        <f aca="false">IF(G4477&lt;=INDEX(Assumptions!$B$15:$B$18,MATCH(E4477,Assumptions!$A$15:$A$18,0)),"Yes","No")</f>
        <v>Yes</v>
      </c>
      <c r="O4477" s="31" t="str">
        <f aca="false">IF(H4477="","Open",IF(H4477&lt;=INDEX(Assumptions!$C$15:$C$18,MATCH(E4477,Assumptions!$A$15:$A$18,0)),"Yes","No"))</f>
        <v>Yes</v>
      </c>
    </row>
    <row r="4478" customFormat="false" ht="15" hidden="false" customHeight="false" outlineLevel="0" collapsed="false">
      <c r="A4478" s="31" t="s">
        <v>4628</v>
      </c>
      <c r="B4478" s="44" t="n">
        <v>46265</v>
      </c>
      <c r="C4478" s="31" t="s">
        <v>59</v>
      </c>
      <c r="D4478" s="31" t="s">
        <v>66</v>
      </c>
      <c r="E4478" s="31" t="s">
        <v>52</v>
      </c>
      <c r="F4478" s="31" t="s">
        <v>122</v>
      </c>
      <c r="G4478" s="31" t="n">
        <v>149</v>
      </c>
      <c r="H4478" s="41" t="n">
        <v>3.8</v>
      </c>
      <c r="I4478" s="31" t="s">
        <v>149</v>
      </c>
      <c r="J4478" s="31" t="n">
        <v>3</v>
      </c>
      <c r="K4478" s="31" t="s">
        <v>150</v>
      </c>
      <c r="L4478" s="45" t="n">
        <f aca="false">DATE(YEAR(B4478),MONTH(B4478),1)</f>
        <v>46235</v>
      </c>
      <c r="M4478" s="31" t="n">
        <f aca="false">WEEKDAY(B4478,2)</f>
        <v>1</v>
      </c>
      <c r="N4478" s="31" t="str">
        <f aca="false">IF(G4478&lt;=INDEX(Assumptions!$B$15:$B$18,MATCH(E4478,Assumptions!$A$15:$A$18,0)),"Yes","No")</f>
        <v>Yes</v>
      </c>
      <c r="O4478" s="31" t="str">
        <f aca="false">IF(H4478="","Open",IF(H4478&lt;=INDEX(Assumptions!$C$15:$C$18,MATCH(E4478,Assumptions!$A$15:$A$18,0)),"Yes","No"))</f>
        <v>Yes</v>
      </c>
    </row>
    <row r="4479" customFormat="false" ht="15" hidden="false" customHeight="false" outlineLevel="0" collapsed="false">
      <c r="A4479" s="31" t="s">
        <v>4629</v>
      </c>
      <c r="B4479" s="44" t="n">
        <v>46265</v>
      </c>
      <c r="C4479" s="31" t="s">
        <v>59</v>
      </c>
      <c r="D4479" s="31" t="s">
        <v>67</v>
      </c>
      <c r="E4479" s="31" t="s">
        <v>51</v>
      </c>
      <c r="F4479" s="31" t="s">
        <v>117</v>
      </c>
      <c r="G4479" s="31" t="n">
        <v>102</v>
      </c>
      <c r="H4479" s="41" t="n">
        <v>1.9</v>
      </c>
      <c r="I4479" s="31" t="s">
        <v>149</v>
      </c>
      <c r="J4479" s="31"/>
      <c r="K4479" s="31" t="s">
        <v>150</v>
      </c>
      <c r="L4479" s="45" t="n">
        <f aca="false">DATE(YEAR(B4479),MONTH(B4479),1)</f>
        <v>46235</v>
      </c>
      <c r="M4479" s="31" t="n">
        <f aca="false">WEEKDAY(B4479,2)</f>
        <v>1</v>
      </c>
      <c r="N4479" s="31" t="str">
        <f aca="false">IF(G4479&lt;=INDEX(Assumptions!$B$15:$B$18,MATCH(E4479,Assumptions!$A$15:$A$18,0)),"Yes","No")</f>
        <v>No</v>
      </c>
      <c r="O4479" s="31" t="str">
        <f aca="false">IF(H4479="","Open",IF(H4479&lt;=INDEX(Assumptions!$C$15:$C$18,MATCH(E4479,Assumptions!$A$15:$A$18,0)),"Yes","No"))</f>
        <v>Yes</v>
      </c>
    </row>
    <row r="4480" customFormat="false" ht="15" hidden="false" customHeight="false" outlineLevel="0" collapsed="false">
      <c r="A4480" s="31" t="s">
        <v>4630</v>
      </c>
      <c r="B4480" s="44" t="n">
        <v>46265</v>
      </c>
      <c r="C4480" s="31" t="s">
        <v>59</v>
      </c>
      <c r="D4480" s="31" t="s">
        <v>66</v>
      </c>
      <c r="E4480" s="31" t="s">
        <v>51</v>
      </c>
      <c r="F4480" s="31" t="s">
        <v>119</v>
      </c>
      <c r="G4480" s="31" t="n">
        <v>74</v>
      </c>
      <c r="H4480" s="41" t="n">
        <v>23</v>
      </c>
      <c r="I4480" s="31" t="s">
        <v>149</v>
      </c>
      <c r="J4480" s="31" t="n">
        <v>4</v>
      </c>
      <c r="K4480" s="31" t="s">
        <v>150</v>
      </c>
      <c r="L4480" s="45" t="n">
        <f aca="false">DATE(YEAR(B4480),MONTH(B4480),1)</f>
        <v>46235</v>
      </c>
      <c r="M4480" s="31" t="n">
        <f aca="false">WEEKDAY(B4480,2)</f>
        <v>1</v>
      </c>
      <c r="N4480" s="31" t="str">
        <f aca="false">IF(G4480&lt;=INDEX(Assumptions!$B$15:$B$18,MATCH(E4480,Assumptions!$A$15:$A$18,0)),"Yes","No")</f>
        <v>No</v>
      </c>
      <c r="O4480" s="31" t="str">
        <f aca="false">IF(H4480="","Open",IF(H4480&lt;=INDEX(Assumptions!$C$15:$C$18,MATCH(E4480,Assumptions!$A$15:$A$18,0)),"Yes","No"))</f>
        <v>Yes</v>
      </c>
    </row>
    <row r="4481" customFormat="false" ht="15" hidden="false" customHeight="false" outlineLevel="0" collapsed="false">
      <c r="A4481" s="31" t="s">
        <v>4631</v>
      </c>
      <c r="B4481" s="44" t="n">
        <v>46265</v>
      </c>
      <c r="C4481" s="31" t="s">
        <v>57</v>
      </c>
      <c r="D4481" s="31" t="s">
        <v>67</v>
      </c>
      <c r="E4481" s="31" t="s">
        <v>52</v>
      </c>
      <c r="F4481" s="31" t="s">
        <v>124</v>
      </c>
      <c r="G4481" s="31" t="n">
        <v>5</v>
      </c>
      <c r="H4481" s="41" t="n">
        <v>10.7</v>
      </c>
      <c r="I4481" s="31" t="s">
        <v>149</v>
      </c>
      <c r="J4481" s="31"/>
      <c r="K4481" s="31" t="s">
        <v>150</v>
      </c>
      <c r="L4481" s="45" t="n">
        <f aca="false">DATE(YEAR(B4481),MONTH(B4481),1)</f>
        <v>46235</v>
      </c>
      <c r="M4481" s="31" t="n">
        <f aca="false">WEEKDAY(B4481,2)</f>
        <v>1</v>
      </c>
      <c r="N4481" s="31" t="str">
        <f aca="false">IF(G4481&lt;=INDEX(Assumptions!$B$15:$B$18,MATCH(E4481,Assumptions!$A$15:$A$18,0)),"Yes","No")</f>
        <v>Yes</v>
      </c>
      <c r="O4481" s="31" t="str">
        <f aca="false">IF(H4481="","Open",IF(H4481&lt;=INDEX(Assumptions!$C$15:$C$18,MATCH(E4481,Assumptions!$A$15:$A$18,0)),"Yes","No"))</f>
        <v>Yes</v>
      </c>
    </row>
    <row r="4482" customFormat="false" ht="15" hidden="false" customHeight="false" outlineLevel="0" collapsed="false">
      <c r="A4482" s="31" t="s">
        <v>4632</v>
      </c>
      <c r="B4482" s="44" t="n">
        <v>46265</v>
      </c>
      <c r="C4482" s="31" t="s">
        <v>60</v>
      </c>
      <c r="D4482" s="31" t="s">
        <v>65</v>
      </c>
      <c r="E4482" s="31" t="s">
        <v>51</v>
      </c>
      <c r="F4482" s="31" t="s">
        <v>124</v>
      </c>
      <c r="G4482" s="31" t="n">
        <v>2</v>
      </c>
      <c r="H4482" s="41" t="n">
        <v>16.6</v>
      </c>
      <c r="I4482" s="31" t="s">
        <v>149</v>
      </c>
      <c r="J4482" s="31" t="n">
        <v>4</v>
      </c>
      <c r="K4482" s="31" t="s">
        <v>150</v>
      </c>
      <c r="L4482" s="45" t="n">
        <f aca="false">DATE(YEAR(B4482),MONTH(B4482),1)</f>
        <v>46235</v>
      </c>
      <c r="M4482" s="31" t="n">
        <f aca="false">WEEKDAY(B4482,2)</f>
        <v>1</v>
      </c>
      <c r="N4482" s="31" t="str">
        <f aca="false">IF(G4482&lt;=INDEX(Assumptions!$B$15:$B$18,MATCH(E4482,Assumptions!$A$15:$A$18,0)),"Yes","No")</f>
        <v>Yes</v>
      </c>
      <c r="O4482" s="31" t="str">
        <f aca="false">IF(H4482="","Open",IF(H4482&lt;=INDEX(Assumptions!$C$15:$C$18,MATCH(E4482,Assumptions!$A$15:$A$18,0)),"Yes","No"))</f>
        <v>Yes</v>
      </c>
    </row>
    <row r="4483" customFormat="false" ht="15" hidden="false" customHeight="false" outlineLevel="0" collapsed="false">
      <c r="A4483" s="31" t="s">
        <v>4633</v>
      </c>
      <c r="B4483" s="44" t="n">
        <v>46265</v>
      </c>
      <c r="C4483" s="31" t="s">
        <v>57</v>
      </c>
      <c r="D4483" s="31" t="s">
        <v>68</v>
      </c>
      <c r="E4483" s="31" t="s">
        <v>51</v>
      </c>
      <c r="F4483" s="31" t="s">
        <v>137</v>
      </c>
      <c r="G4483" s="31" t="n">
        <v>12</v>
      </c>
      <c r="H4483" s="41" t="n">
        <v>11</v>
      </c>
      <c r="I4483" s="31" t="s">
        <v>149</v>
      </c>
      <c r="J4483" s="31" t="n">
        <v>3</v>
      </c>
      <c r="K4483" s="31" t="s">
        <v>150</v>
      </c>
      <c r="L4483" s="45" t="n">
        <f aca="false">DATE(YEAR(B4483),MONTH(B4483),1)</f>
        <v>46235</v>
      </c>
      <c r="M4483" s="31" t="n">
        <f aca="false">WEEKDAY(B4483,2)</f>
        <v>1</v>
      </c>
      <c r="N4483" s="31" t="str">
        <f aca="false">IF(G4483&lt;=INDEX(Assumptions!$B$15:$B$18,MATCH(E4483,Assumptions!$A$15:$A$18,0)),"Yes","No")</f>
        <v>Yes</v>
      </c>
      <c r="O4483" s="31" t="str">
        <f aca="false">IF(H4483="","Open",IF(H4483&lt;=INDEX(Assumptions!$C$15:$C$18,MATCH(E4483,Assumptions!$A$15:$A$18,0)),"Yes","No"))</f>
        <v>Yes</v>
      </c>
    </row>
    <row r="4484" customFormat="false" ht="15" hidden="false" customHeight="false" outlineLevel="0" collapsed="false">
      <c r="A4484" s="31" t="s">
        <v>4634</v>
      </c>
      <c r="B4484" s="44" t="n">
        <v>46265</v>
      </c>
      <c r="C4484" s="31" t="s">
        <v>59</v>
      </c>
      <c r="D4484" s="31" t="s">
        <v>65</v>
      </c>
      <c r="E4484" s="31" t="s">
        <v>51</v>
      </c>
      <c r="F4484" s="31" t="s">
        <v>128</v>
      </c>
      <c r="G4484" s="31" t="n">
        <v>483</v>
      </c>
      <c r="H4484" s="41" t="n">
        <v>5.3</v>
      </c>
      <c r="I4484" s="31" t="s">
        <v>149</v>
      </c>
      <c r="J4484" s="31"/>
      <c r="K4484" s="31" t="s">
        <v>150</v>
      </c>
      <c r="L4484" s="45" t="n">
        <f aca="false">DATE(YEAR(B4484),MONTH(B4484),1)</f>
        <v>46235</v>
      </c>
      <c r="M4484" s="31" t="n">
        <f aca="false">WEEKDAY(B4484,2)</f>
        <v>1</v>
      </c>
      <c r="N4484" s="31" t="str">
        <f aca="false">IF(G4484&lt;=INDEX(Assumptions!$B$15:$B$18,MATCH(E4484,Assumptions!$A$15:$A$18,0)),"Yes","No")</f>
        <v>No</v>
      </c>
      <c r="O4484" s="31" t="str">
        <f aca="false">IF(H4484="","Open",IF(H4484&lt;=INDEX(Assumptions!$C$15:$C$18,MATCH(E4484,Assumptions!$A$15:$A$18,0)),"Yes","No"))</f>
        <v>Yes</v>
      </c>
    </row>
    <row r="4485" customFormat="false" ht="15" hidden="false" customHeight="false" outlineLevel="0" collapsed="false">
      <c r="A4485" s="31" t="s">
        <v>4635</v>
      </c>
      <c r="B4485" s="44" t="n">
        <v>46265</v>
      </c>
      <c r="C4485" s="31" t="s">
        <v>57</v>
      </c>
      <c r="D4485" s="31" t="s">
        <v>66</v>
      </c>
      <c r="E4485" s="31" t="s">
        <v>51</v>
      </c>
      <c r="F4485" s="31" t="s">
        <v>127</v>
      </c>
      <c r="G4485" s="31" t="n">
        <v>1</v>
      </c>
      <c r="H4485" s="41" t="n">
        <v>2.8</v>
      </c>
      <c r="I4485" s="31" t="s">
        <v>149</v>
      </c>
      <c r="J4485" s="31" t="n">
        <v>5</v>
      </c>
      <c r="K4485" s="31" t="s">
        <v>150</v>
      </c>
      <c r="L4485" s="45" t="n">
        <f aca="false">DATE(YEAR(B4485),MONTH(B4485),1)</f>
        <v>46235</v>
      </c>
      <c r="M4485" s="31" t="n">
        <f aca="false">WEEKDAY(B4485,2)</f>
        <v>1</v>
      </c>
      <c r="N4485" s="31" t="str">
        <f aca="false">IF(G4485&lt;=INDEX(Assumptions!$B$15:$B$18,MATCH(E4485,Assumptions!$A$15:$A$18,0)),"Yes","No")</f>
        <v>Yes</v>
      </c>
      <c r="O4485" s="31" t="str">
        <f aca="false">IF(H4485="","Open",IF(H4485&lt;=INDEX(Assumptions!$C$15:$C$18,MATCH(E4485,Assumptions!$A$15:$A$18,0)),"Yes","No"))</f>
        <v>Yes</v>
      </c>
    </row>
    <row r="4486" customFormat="false" ht="15" hidden="false" customHeight="false" outlineLevel="0" collapsed="false">
      <c r="A4486" s="31" t="s">
        <v>4636</v>
      </c>
      <c r="B4486" s="44" t="n">
        <v>46265</v>
      </c>
      <c r="C4486" s="31" t="s">
        <v>58</v>
      </c>
      <c r="D4486" s="31" t="s">
        <v>68</v>
      </c>
      <c r="E4486" s="31" t="s">
        <v>50</v>
      </c>
      <c r="F4486" s="31" t="s">
        <v>135</v>
      </c>
      <c r="G4486" s="31" t="n">
        <v>52</v>
      </c>
      <c r="H4486" s="41" t="n">
        <v>5.8</v>
      </c>
      <c r="I4486" s="31" t="s">
        <v>64</v>
      </c>
      <c r="J4486" s="31" t="n">
        <v>1</v>
      </c>
      <c r="K4486" s="31" t="s">
        <v>150</v>
      </c>
      <c r="L4486" s="45" t="n">
        <f aca="false">DATE(YEAR(B4486),MONTH(B4486),1)</f>
        <v>46235</v>
      </c>
      <c r="M4486" s="31" t="n">
        <f aca="false">WEEKDAY(B4486,2)</f>
        <v>1</v>
      </c>
      <c r="N4486" s="31" t="str">
        <f aca="false">IF(G4486&lt;=INDEX(Assumptions!$B$15:$B$18,MATCH(E4486,Assumptions!$A$15:$A$18,0)),"Yes","No")</f>
        <v>No</v>
      </c>
      <c r="O4486" s="31" t="str">
        <f aca="false">IF(H4486="","Open",IF(H4486&lt;=INDEX(Assumptions!$C$15:$C$18,MATCH(E4486,Assumptions!$A$15:$A$18,0)),"Yes","No"))</f>
        <v>Yes</v>
      </c>
    </row>
    <row r="4487" customFormat="false" ht="15" hidden="false" customHeight="false" outlineLevel="0" collapsed="false">
      <c r="A4487" s="31" t="s">
        <v>4637</v>
      </c>
      <c r="B4487" s="44" t="n">
        <v>46265</v>
      </c>
      <c r="C4487" s="31" t="s">
        <v>57</v>
      </c>
      <c r="D4487" s="31" t="s">
        <v>66</v>
      </c>
      <c r="E4487" s="31" t="s">
        <v>52</v>
      </c>
      <c r="F4487" s="31" t="s">
        <v>117</v>
      </c>
      <c r="G4487" s="31" t="n">
        <v>2</v>
      </c>
      <c r="H4487" s="41" t="n">
        <v>5.1</v>
      </c>
      <c r="I4487" s="31" t="s">
        <v>149</v>
      </c>
      <c r="J4487" s="31" t="n">
        <v>4</v>
      </c>
      <c r="K4487" s="31" t="s">
        <v>150</v>
      </c>
      <c r="L4487" s="45" t="n">
        <f aca="false">DATE(YEAR(B4487),MONTH(B4487),1)</f>
        <v>46235</v>
      </c>
      <c r="M4487" s="31" t="n">
        <f aca="false">WEEKDAY(B4487,2)</f>
        <v>1</v>
      </c>
      <c r="N4487" s="31" t="str">
        <f aca="false">IF(G4487&lt;=INDEX(Assumptions!$B$15:$B$18,MATCH(E4487,Assumptions!$A$15:$A$18,0)),"Yes","No")</f>
        <v>Yes</v>
      </c>
      <c r="O4487" s="31" t="str">
        <f aca="false">IF(H4487="","Open",IF(H4487&lt;=INDEX(Assumptions!$C$15:$C$18,MATCH(E4487,Assumptions!$A$15:$A$18,0)),"Yes","No"))</f>
        <v>Yes</v>
      </c>
    </row>
    <row r="4488" customFormat="false" ht="15" hidden="false" customHeight="false" outlineLevel="0" collapsed="false">
      <c r="A4488" s="31" t="s">
        <v>4638</v>
      </c>
      <c r="B4488" s="44" t="n">
        <v>46265</v>
      </c>
      <c r="C4488" s="31" t="s">
        <v>57</v>
      </c>
      <c r="D4488" s="31" t="s">
        <v>68</v>
      </c>
      <c r="E4488" s="31" t="s">
        <v>51</v>
      </c>
      <c r="F4488" s="31" t="s">
        <v>119</v>
      </c>
      <c r="G4488" s="31" t="n">
        <v>9</v>
      </c>
      <c r="H4488" s="41" t="n">
        <v>18.8</v>
      </c>
      <c r="I4488" s="31" t="s">
        <v>149</v>
      </c>
      <c r="J4488" s="31" t="n">
        <v>4</v>
      </c>
      <c r="K4488" s="31" t="s">
        <v>150</v>
      </c>
      <c r="L4488" s="45" t="n">
        <f aca="false">DATE(YEAR(B4488),MONTH(B4488),1)</f>
        <v>46235</v>
      </c>
      <c r="M4488" s="31" t="n">
        <f aca="false">WEEKDAY(B4488,2)</f>
        <v>1</v>
      </c>
      <c r="N4488" s="31" t="str">
        <f aca="false">IF(G4488&lt;=INDEX(Assumptions!$B$15:$B$18,MATCH(E4488,Assumptions!$A$15:$A$18,0)),"Yes","No")</f>
        <v>Yes</v>
      </c>
      <c r="O4488" s="31" t="str">
        <f aca="false">IF(H4488="","Open",IF(H4488&lt;=INDEX(Assumptions!$C$15:$C$18,MATCH(E4488,Assumptions!$A$15:$A$18,0)),"Yes","No"))</f>
        <v>Yes</v>
      </c>
    </row>
    <row r="4489" customFormat="false" ht="15" hidden="false" customHeight="false" outlineLevel="0" collapsed="false">
      <c r="A4489" s="31" t="s">
        <v>4639</v>
      </c>
      <c r="B4489" s="44" t="n">
        <v>46265</v>
      </c>
      <c r="C4489" s="31" t="s">
        <v>57</v>
      </c>
      <c r="D4489" s="31" t="s">
        <v>65</v>
      </c>
      <c r="E4489" s="31" t="s">
        <v>51</v>
      </c>
      <c r="F4489" s="31" t="s">
        <v>123</v>
      </c>
      <c r="G4489" s="31" t="n">
        <v>9</v>
      </c>
      <c r="H4489" s="41" t="n">
        <v>7.2</v>
      </c>
      <c r="I4489" s="31" t="s">
        <v>149</v>
      </c>
      <c r="J4489" s="31" t="n">
        <v>5</v>
      </c>
      <c r="K4489" s="31" t="s">
        <v>150</v>
      </c>
      <c r="L4489" s="45" t="n">
        <f aca="false">DATE(YEAR(B4489),MONTH(B4489),1)</f>
        <v>46235</v>
      </c>
      <c r="M4489" s="31" t="n">
        <f aca="false">WEEKDAY(B4489,2)</f>
        <v>1</v>
      </c>
      <c r="N4489" s="31" t="str">
        <f aca="false">IF(G4489&lt;=INDEX(Assumptions!$B$15:$B$18,MATCH(E4489,Assumptions!$A$15:$A$18,0)),"Yes","No")</f>
        <v>Yes</v>
      </c>
      <c r="O4489" s="31" t="str">
        <f aca="false">IF(H4489="","Open",IF(H4489&lt;=INDEX(Assumptions!$C$15:$C$18,MATCH(E4489,Assumptions!$A$15:$A$18,0)),"Yes","No"))</f>
        <v>Yes</v>
      </c>
    </row>
    <row r="4490" customFormat="false" ht="15" hidden="false" customHeight="false" outlineLevel="0" collapsed="false">
      <c r="A4490" s="31" t="s">
        <v>4640</v>
      </c>
      <c r="B4490" s="44" t="n">
        <v>46265</v>
      </c>
      <c r="C4490" s="31" t="s">
        <v>57</v>
      </c>
      <c r="D4490" s="31" t="s">
        <v>66</v>
      </c>
      <c r="E4490" s="31" t="s">
        <v>50</v>
      </c>
      <c r="F4490" s="31" t="s">
        <v>130</v>
      </c>
      <c r="G4490" s="31" t="n">
        <v>3</v>
      </c>
      <c r="H4490" s="41" t="n">
        <v>3.1</v>
      </c>
      <c r="I4490" s="31" t="s">
        <v>149</v>
      </c>
      <c r="J4490" s="31" t="n">
        <v>4</v>
      </c>
      <c r="K4490" s="31" t="s">
        <v>150</v>
      </c>
      <c r="L4490" s="45" t="n">
        <f aca="false">DATE(YEAR(B4490),MONTH(B4490),1)</f>
        <v>46235</v>
      </c>
      <c r="M4490" s="31" t="n">
        <f aca="false">WEEKDAY(B4490,2)</f>
        <v>1</v>
      </c>
      <c r="N4490" s="31" t="str">
        <f aca="false">IF(G4490&lt;=INDEX(Assumptions!$B$15:$B$18,MATCH(E4490,Assumptions!$A$15:$A$18,0)),"Yes","No")</f>
        <v>Yes</v>
      </c>
      <c r="O4490" s="31" t="str">
        <f aca="false">IF(H4490="","Open",IF(H4490&lt;=INDEX(Assumptions!$C$15:$C$18,MATCH(E4490,Assumptions!$A$15:$A$18,0)),"Yes","No"))</f>
        <v>Yes</v>
      </c>
    </row>
    <row r="4491" customFormat="false" ht="15" hidden="false" customHeight="false" outlineLevel="0" collapsed="false">
      <c r="A4491" s="31" t="s">
        <v>4641</v>
      </c>
      <c r="B4491" s="44" t="n">
        <v>46265</v>
      </c>
      <c r="C4491" s="31" t="s">
        <v>59</v>
      </c>
      <c r="D4491" s="31" t="s">
        <v>65</v>
      </c>
      <c r="E4491" s="31" t="s">
        <v>51</v>
      </c>
      <c r="F4491" s="31" t="s">
        <v>122</v>
      </c>
      <c r="G4491" s="31" t="n">
        <v>124</v>
      </c>
      <c r="H4491" s="41" t="n">
        <v>7</v>
      </c>
      <c r="I4491" s="31" t="s">
        <v>149</v>
      </c>
      <c r="J4491" s="31" t="n">
        <v>4</v>
      </c>
      <c r="K4491" s="31" t="s">
        <v>150</v>
      </c>
      <c r="L4491" s="45" t="n">
        <f aca="false">DATE(YEAR(B4491),MONTH(B4491),1)</f>
        <v>46235</v>
      </c>
      <c r="M4491" s="31" t="n">
        <f aca="false">WEEKDAY(B4491,2)</f>
        <v>1</v>
      </c>
      <c r="N4491" s="31" t="str">
        <f aca="false">IF(G4491&lt;=INDEX(Assumptions!$B$15:$B$18,MATCH(E4491,Assumptions!$A$15:$A$18,0)),"Yes","No")</f>
        <v>No</v>
      </c>
      <c r="O4491" s="31" t="str">
        <f aca="false">IF(H4491="","Open",IF(H4491&lt;=INDEX(Assumptions!$C$15:$C$18,MATCH(E4491,Assumptions!$A$15:$A$18,0)),"Yes","No"))</f>
        <v>Yes</v>
      </c>
    </row>
    <row r="4492" customFormat="false" ht="15" hidden="false" customHeight="false" outlineLevel="0" collapsed="false">
      <c r="A4492" s="31" t="s">
        <v>4642</v>
      </c>
      <c r="B4492" s="44" t="n">
        <v>46266</v>
      </c>
      <c r="C4492" s="31" t="s">
        <v>58</v>
      </c>
      <c r="D4492" s="31" t="s">
        <v>67</v>
      </c>
      <c r="E4492" s="31" t="s">
        <v>50</v>
      </c>
      <c r="F4492" s="31" t="s">
        <v>120</v>
      </c>
      <c r="G4492" s="31" t="n">
        <v>6</v>
      </c>
      <c r="H4492" s="41" t="n">
        <v>7.6</v>
      </c>
      <c r="I4492" s="31" t="s">
        <v>149</v>
      </c>
      <c r="J4492" s="31"/>
      <c r="K4492" s="31" t="s">
        <v>150</v>
      </c>
      <c r="L4492" s="45" t="n">
        <f aca="false">DATE(YEAR(B4492),MONTH(B4492),1)</f>
        <v>46266</v>
      </c>
      <c r="M4492" s="31" t="n">
        <f aca="false">WEEKDAY(B4492,2)</f>
        <v>2</v>
      </c>
      <c r="N4492" s="31" t="str">
        <f aca="false">IF(G4492&lt;=INDEX(Assumptions!$B$15:$B$18,MATCH(E4492,Assumptions!$A$15:$A$18,0)),"Yes","No")</f>
        <v>Yes</v>
      </c>
      <c r="O4492" s="31" t="str">
        <f aca="false">IF(H4492="","Open",IF(H4492&lt;=INDEX(Assumptions!$C$15:$C$18,MATCH(E4492,Assumptions!$A$15:$A$18,0)),"Yes","No"))</f>
        <v>Yes</v>
      </c>
    </row>
    <row r="4493" customFormat="false" ht="15" hidden="false" customHeight="false" outlineLevel="0" collapsed="false">
      <c r="A4493" s="31" t="s">
        <v>4643</v>
      </c>
      <c r="B4493" s="44" t="n">
        <v>46266</v>
      </c>
      <c r="C4493" s="31" t="s">
        <v>59</v>
      </c>
      <c r="D4493" s="31" t="s">
        <v>68</v>
      </c>
      <c r="E4493" s="31" t="s">
        <v>50</v>
      </c>
      <c r="F4493" s="31" t="s">
        <v>133</v>
      </c>
      <c r="G4493" s="31" t="n">
        <v>117</v>
      </c>
      <c r="H4493" s="41" t="n">
        <v>2.5</v>
      </c>
      <c r="I4493" s="31" t="s">
        <v>149</v>
      </c>
      <c r="J4493" s="31"/>
      <c r="K4493" s="31" t="s">
        <v>150</v>
      </c>
      <c r="L4493" s="45" t="n">
        <f aca="false">DATE(YEAR(B4493),MONTH(B4493),1)</f>
        <v>46266</v>
      </c>
      <c r="M4493" s="31" t="n">
        <f aca="false">WEEKDAY(B4493,2)</f>
        <v>2</v>
      </c>
      <c r="N4493" s="31" t="str">
        <f aca="false">IF(G4493&lt;=INDEX(Assumptions!$B$15:$B$18,MATCH(E4493,Assumptions!$A$15:$A$18,0)),"Yes","No")</f>
        <v>No</v>
      </c>
      <c r="O4493" s="31" t="str">
        <f aca="false">IF(H4493="","Open",IF(H4493&lt;=INDEX(Assumptions!$C$15:$C$18,MATCH(E4493,Assumptions!$A$15:$A$18,0)),"Yes","No"))</f>
        <v>Yes</v>
      </c>
    </row>
    <row r="4494" customFormat="false" ht="15" hidden="false" customHeight="false" outlineLevel="0" collapsed="false">
      <c r="A4494" s="31" t="s">
        <v>4644</v>
      </c>
      <c r="B4494" s="44" t="n">
        <v>46266</v>
      </c>
      <c r="C4494" s="31" t="s">
        <v>57</v>
      </c>
      <c r="D4494" s="31" t="s">
        <v>65</v>
      </c>
      <c r="E4494" s="31" t="s">
        <v>50</v>
      </c>
      <c r="F4494" s="31" t="s">
        <v>133</v>
      </c>
      <c r="G4494" s="31" t="n">
        <v>1</v>
      </c>
      <c r="H4494" s="41" t="n">
        <v>37.1</v>
      </c>
      <c r="I4494" s="31" t="s">
        <v>149</v>
      </c>
      <c r="J4494" s="31"/>
      <c r="K4494" s="31" t="s">
        <v>150</v>
      </c>
      <c r="L4494" s="45" t="n">
        <f aca="false">DATE(YEAR(B4494),MONTH(B4494),1)</f>
        <v>46266</v>
      </c>
      <c r="M4494" s="31" t="n">
        <f aca="false">WEEKDAY(B4494,2)</f>
        <v>2</v>
      </c>
      <c r="N4494" s="31" t="str">
        <f aca="false">IF(G4494&lt;=INDEX(Assumptions!$B$15:$B$18,MATCH(E4494,Assumptions!$A$15:$A$18,0)),"Yes","No")</f>
        <v>Yes</v>
      </c>
      <c r="O4494" s="31" t="str">
        <f aca="false">IF(H4494="","Open",IF(H4494&lt;=INDEX(Assumptions!$C$15:$C$18,MATCH(E4494,Assumptions!$A$15:$A$18,0)),"Yes","No"))</f>
        <v>No</v>
      </c>
    </row>
    <row r="4495" customFormat="false" ht="15" hidden="false" customHeight="false" outlineLevel="0" collapsed="false">
      <c r="A4495" s="31" t="s">
        <v>4645</v>
      </c>
      <c r="B4495" s="44" t="n">
        <v>46266</v>
      </c>
      <c r="C4495" s="31" t="s">
        <v>57</v>
      </c>
      <c r="D4495" s="31" t="s">
        <v>65</v>
      </c>
      <c r="E4495" s="31" t="s">
        <v>51</v>
      </c>
      <c r="F4495" s="31" t="s">
        <v>128</v>
      </c>
      <c r="G4495" s="31" t="n">
        <v>1</v>
      </c>
      <c r="H4495" s="41" t="n">
        <v>18.9</v>
      </c>
      <c r="I4495" s="31" t="s">
        <v>64</v>
      </c>
      <c r="J4495" s="31" t="n">
        <v>3</v>
      </c>
      <c r="K4495" s="31" t="s">
        <v>150</v>
      </c>
      <c r="L4495" s="45" t="n">
        <f aca="false">DATE(YEAR(B4495),MONTH(B4495),1)</f>
        <v>46266</v>
      </c>
      <c r="M4495" s="31" t="n">
        <f aca="false">WEEKDAY(B4495,2)</f>
        <v>2</v>
      </c>
      <c r="N4495" s="31" t="str">
        <f aca="false">IF(G4495&lt;=INDEX(Assumptions!$B$15:$B$18,MATCH(E4495,Assumptions!$A$15:$A$18,0)),"Yes","No")</f>
        <v>Yes</v>
      </c>
      <c r="O4495" s="31" t="str">
        <f aca="false">IF(H4495="","Open",IF(H4495&lt;=INDEX(Assumptions!$C$15:$C$18,MATCH(E4495,Assumptions!$A$15:$A$18,0)),"Yes","No"))</f>
        <v>Yes</v>
      </c>
    </row>
    <row r="4496" customFormat="false" ht="15" hidden="false" customHeight="false" outlineLevel="0" collapsed="false">
      <c r="A4496" s="31" t="s">
        <v>4646</v>
      </c>
      <c r="B4496" s="44" t="n">
        <v>46266</v>
      </c>
      <c r="C4496" s="31" t="s">
        <v>60</v>
      </c>
      <c r="D4496" s="31" t="s">
        <v>67</v>
      </c>
      <c r="E4496" s="31" t="s">
        <v>51</v>
      </c>
      <c r="F4496" s="31" t="s">
        <v>121</v>
      </c>
      <c r="G4496" s="31" t="n">
        <v>9</v>
      </c>
      <c r="H4496" s="41" t="n">
        <v>7.7</v>
      </c>
      <c r="I4496" s="31" t="s">
        <v>149</v>
      </c>
      <c r="J4496" s="31"/>
      <c r="K4496" s="31" t="s">
        <v>150</v>
      </c>
      <c r="L4496" s="45" t="n">
        <f aca="false">DATE(YEAR(B4496),MONTH(B4496),1)</f>
        <v>46266</v>
      </c>
      <c r="M4496" s="31" t="n">
        <f aca="false">WEEKDAY(B4496,2)</f>
        <v>2</v>
      </c>
      <c r="N4496" s="31" t="str">
        <f aca="false">IF(G4496&lt;=INDEX(Assumptions!$B$15:$B$18,MATCH(E4496,Assumptions!$A$15:$A$18,0)),"Yes","No")</f>
        <v>Yes</v>
      </c>
      <c r="O4496" s="31" t="str">
        <f aca="false">IF(H4496="","Open",IF(H4496&lt;=INDEX(Assumptions!$C$15:$C$18,MATCH(E4496,Assumptions!$A$15:$A$18,0)),"Yes","No"))</f>
        <v>Yes</v>
      </c>
    </row>
    <row r="4497" customFormat="false" ht="15" hidden="false" customHeight="false" outlineLevel="0" collapsed="false">
      <c r="A4497" s="31" t="s">
        <v>4647</v>
      </c>
      <c r="B4497" s="44" t="n">
        <v>46266</v>
      </c>
      <c r="C4497" s="31" t="s">
        <v>59</v>
      </c>
      <c r="D4497" s="31" t="s">
        <v>69</v>
      </c>
      <c r="E4497" s="31" t="s">
        <v>51</v>
      </c>
      <c r="F4497" s="31" t="s">
        <v>131</v>
      </c>
      <c r="G4497" s="31" t="n">
        <v>14</v>
      </c>
      <c r="H4497" s="41" t="n">
        <v>22.9</v>
      </c>
      <c r="I4497" s="31" t="s">
        <v>149</v>
      </c>
      <c r="J4497" s="31" t="n">
        <v>5</v>
      </c>
      <c r="K4497" s="31" t="s">
        <v>150</v>
      </c>
      <c r="L4497" s="45" t="n">
        <f aca="false">DATE(YEAR(B4497),MONTH(B4497),1)</f>
        <v>46266</v>
      </c>
      <c r="M4497" s="31" t="n">
        <f aca="false">WEEKDAY(B4497,2)</f>
        <v>2</v>
      </c>
      <c r="N4497" s="31" t="str">
        <f aca="false">IF(G4497&lt;=INDEX(Assumptions!$B$15:$B$18,MATCH(E4497,Assumptions!$A$15:$A$18,0)),"Yes","No")</f>
        <v>Yes</v>
      </c>
      <c r="O4497" s="31" t="str">
        <f aca="false">IF(H4497="","Open",IF(H4497&lt;=INDEX(Assumptions!$C$15:$C$18,MATCH(E4497,Assumptions!$A$15:$A$18,0)),"Yes","No"))</f>
        <v>Yes</v>
      </c>
    </row>
    <row r="4498" customFormat="false" ht="15" hidden="false" customHeight="false" outlineLevel="0" collapsed="false">
      <c r="A4498" s="31" t="s">
        <v>4648</v>
      </c>
      <c r="B4498" s="44" t="n">
        <v>46266</v>
      </c>
      <c r="C4498" s="31" t="s">
        <v>60</v>
      </c>
      <c r="D4498" s="31" t="s">
        <v>65</v>
      </c>
      <c r="E4498" s="31" t="s">
        <v>52</v>
      </c>
      <c r="F4498" s="31" t="s">
        <v>127</v>
      </c>
      <c r="G4498" s="31" t="n">
        <v>1</v>
      </c>
      <c r="H4498" s="41" t="n">
        <v>40.1</v>
      </c>
      <c r="I4498" s="31" t="s">
        <v>149</v>
      </c>
      <c r="J4498" s="31" t="n">
        <v>4</v>
      </c>
      <c r="K4498" s="31" t="s">
        <v>150</v>
      </c>
      <c r="L4498" s="45" t="n">
        <f aca="false">DATE(YEAR(B4498),MONTH(B4498),1)</f>
        <v>46266</v>
      </c>
      <c r="M4498" s="31" t="n">
        <f aca="false">WEEKDAY(B4498,2)</f>
        <v>2</v>
      </c>
      <c r="N4498" s="31" t="str">
        <f aca="false">IF(G4498&lt;=INDEX(Assumptions!$B$15:$B$18,MATCH(E4498,Assumptions!$A$15:$A$18,0)),"Yes","No")</f>
        <v>Yes</v>
      </c>
      <c r="O4498" s="31" t="str">
        <f aca="false">IF(H4498="","Open",IF(H4498&lt;=INDEX(Assumptions!$C$15:$C$18,MATCH(E4498,Assumptions!$A$15:$A$18,0)),"Yes","No"))</f>
        <v>Yes</v>
      </c>
    </row>
    <row r="4499" customFormat="false" ht="15" hidden="false" customHeight="false" outlineLevel="0" collapsed="false">
      <c r="A4499" s="31" t="s">
        <v>4649</v>
      </c>
      <c r="B4499" s="44" t="n">
        <v>46266</v>
      </c>
      <c r="C4499" s="31" t="s">
        <v>59</v>
      </c>
      <c r="D4499" s="31" t="s">
        <v>66</v>
      </c>
      <c r="E4499" s="31" t="s">
        <v>51</v>
      </c>
      <c r="F4499" s="31" t="s">
        <v>117</v>
      </c>
      <c r="G4499" s="31" t="n">
        <v>43</v>
      </c>
      <c r="H4499" s="41" t="n">
        <v>4.5</v>
      </c>
      <c r="I4499" s="31" t="s">
        <v>149</v>
      </c>
      <c r="J4499" s="31" t="n">
        <v>5</v>
      </c>
      <c r="K4499" s="31" t="s">
        <v>150</v>
      </c>
      <c r="L4499" s="45" t="n">
        <f aca="false">DATE(YEAR(B4499),MONTH(B4499),1)</f>
        <v>46266</v>
      </c>
      <c r="M4499" s="31" t="n">
        <f aca="false">WEEKDAY(B4499,2)</f>
        <v>2</v>
      </c>
      <c r="N4499" s="31" t="str">
        <f aca="false">IF(G4499&lt;=INDEX(Assumptions!$B$15:$B$18,MATCH(E4499,Assumptions!$A$15:$A$18,0)),"Yes","No")</f>
        <v>Yes</v>
      </c>
      <c r="O4499" s="31" t="str">
        <f aca="false">IF(H4499="","Open",IF(H4499&lt;=INDEX(Assumptions!$C$15:$C$18,MATCH(E4499,Assumptions!$A$15:$A$18,0)),"Yes","No"))</f>
        <v>Yes</v>
      </c>
    </row>
    <row r="4500" customFormat="false" ht="15" hidden="false" customHeight="false" outlineLevel="0" collapsed="false">
      <c r="A4500" s="31" t="s">
        <v>4650</v>
      </c>
      <c r="B4500" s="44" t="n">
        <v>46266</v>
      </c>
      <c r="C4500" s="31" t="s">
        <v>57</v>
      </c>
      <c r="D4500" s="31" t="s">
        <v>65</v>
      </c>
      <c r="E4500" s="31" t="s">
        <v>51</v>
      </c>
      <c r="F4500" s="31" t="s">
        <v>131</v>
      </c>
      <c r="G4500" s="31" t="n">
        <v>9</v>
      </c>
      <c r="H4500" s="41" t="n">
        <v>18.4</v>
      </c>
      <c r="I4500" s="31" t="s">
        <v>149</v>
      </c>
      <c r="J4500" s="31"/>
      <c r="K4500" s="31" t="s">
        <v>150</v>
      </c>
      <c r="L4500" s="45" t="n">
        <f aca="false">DATE(YEAR(B4500),MONTH(B4500),1)</f>
        <v>46266</v>
      </c>
      <c r="M4500" s="31" t="n">
        <f aca="false">WEEKDAY(B4500,2)</f>
        <v>2</v>
      </c>
      <c r="N4500" s="31" t="str">
        <f aca="false">IF(G4500&lt;=INDEX(Assumptions!$B$15:$B$18,MATCH(E4500,Assumptions!$A$15:$A$18,0)),"Yes","No")</f>
        <v>Yes</v>
      </c>
      <c r="O4500" s="31" t="str">
        <f aca="false">IF(H4500="","Open",IF(H4500&lt;=INDEX(Assumptions!$C$15:$C$18,MATCH(E4500,Assumptions!$A$15:$A$18,0)),"Yes","No"))</f>
        <v>Yes</v>
      </c>
    </row>
    <row r="4501" customFormat="false" ht="15" hidden="false" customHeight="false" outlineLevel="0" collapsed="false">
      <c r="A4501" s="31" t="s">
        <v>4651</v>
      </c>
      <c r="B4501" s="44" t="n">
        <v>46266</v>
      </c>
      <c r="C4501" s="31" t="s">
        <v>57</v>
      </c>
      <c r="D4501" s="31" t="s">
        <v>68</v>
      </c>
      <c r="E4501" s="31" t="s">
        <v>52</v>
      </c>
      <c r="F4501" s="31" t="s">
        <v>119</v>
      </c>
      <c r="G4501" s="31" t="n">
        <v>4</v>
      </c>
      <c r="H4501" s="41" t="n">
        <v>11.8</v>
      </c>
      <c r="I4501" s="31" t="s">
        <v>149</v>
      </c>
      <c r="J4501" s="31" t="n">
        <v>5</v>
      </c>
      <c r="K4501" s="31" t="s">
        <v>150</v>
      </c>
      <c r="L4501" s="45" t="n">
        <f aca="false">DATE(YEAR(B4501),MONTH(B4501),1)</f>
        <v>46266</v>
      </c>
      <c r="M4501" s="31" t="n">
        <f aca="false">WEEKDAY(B4501,2)</f>
        <v>2</v>
      </c>
      <c r="N4501" s="31" t="str">
        <f aca="false">IF(G4501&lt;=INDEX(Assumptions!$B$15:$B$18,MATCH(E4501,Assumptions!$A$15:$A$18,0)),"Yes","No")</f>
        <v>Yes</v>
      </c>
      <c r="O4501" s="31" t="str">
        <f aca="false">IF(H4501="","Open",IF(H4501&lt;=INDEX(Assumptions!$C$15:$C$18,MATCH(E4501,Assumptions!$A$15:$A$18,0)),"Yes","No"))</f>
        <v>Yes</v>
      </c>
    </row>
    <row r="4502" customFormat="false" ht="15" hidden="false" customHeight="false" outlineLevel="0" collapsed="false">
      <c r="A4502" s="31" t="s">
        <v>4652</v>
      </c>
      <c r="B4502" s="44" t="n">
        <v>46266</v>
      </c>
      <c r="C4502" s="31" t="s">
        <v>60</v>
      </c>
      <c r="D4502" s="31" t="s">
        <v>65</v>
      </c>
      <c r="E4502" s="31" t="s">
        <v>51</v>
      </c>
      <c r="F4502" s="31" t="s">
        <v>127</v>
      </c>
      <c r="G4502" s="31" t="n">
        <v>1</v>
      </c>
      <c r="H4502" s="41" t="n">
        <v>20.6</v>
      </c>
      <c r="I4502" s="31" t="s">
        <v>149</v>
      </c>
      <c r="J4502" s="31"/>
      <c r="K4502" s="31" t="s">
        <v>150</v>
      </c>
      <c r="L4502" s="45" t="n">
        <f aca="false">DATE(YEAR(B4502),MONTH(B4502),1)</f>
        <v>46266</v>
      </c>
      <c r="M4502" s="31" t="n">
        <f aca="false">WEEKDAY(B4502,2)</f>
        <v>2</v>
      </c>
      <c r="N4502" s="31" t="str">
        <f aca="false">IF(G4502&lt;=INDEX(Assumptions!$B$15:$B$18,MATCH(E4502,Assumptions!$A$15:$A$18,0)),"Yes","No")</f>
        <v>Yes</v>
      </c>
      <c r="O4502" s="31" t="str">
        <f aca="false">IF(H4502="","Open",IF(H4502&lt;=INDEX(Assumptions!$C$15:$C$18,MATCH(E4502,Assumptions!$A$15:$A$18,0)),"Yes","No"))</f>
        <v>Yes</v>
      </c>
    </row>
    <row r="4503" customFormat="false" ht="15" hidden="false" customHeight="false" outlineLevel="0" collapsed="false">
      <c r="A4503" s="31" t="s">
        <v>4653</v>
      </c>
      <c r="B4503" s="44" t="n">
        <v>46266</v>
      </c>
      <c r="C4503" s="31" t="s">
        <v>57</v>
      </c>
      <c r="D4503" s="31" t="s">
        <v>66</v>
      </c>
      <c r="E4503" s="31" t="s">
        <v>49</v>
      </c>
      <c r="F4503" s="31" t="s">
        <v>117</v>
      </c>
      <c r="G4503" s="31" t="n">
        <v>4</v>
      </c>
      <c r="H4503" s="41" t="n">
        <v>1.3</v>
      </c>
      <c r="I4503" s="31" t="s">
        <v>149</v>
      </c>
      <c r="J4503" s="31" t="n">
        <v>5</v>
      </c>
      <c r="K4503" s="31" t="s">
        <v>150</v>
      </c>
      <c r="L4503" s="45" t="n">
        <f aca="false">DATE(YEAR(B4503),MONTH(B4503),1)</f>
        <v>46266</v>
      </c>
      <c r="M4503" s="31" t="n">
        <f aca="false">WEEKDAY(B4503,2)</f>
        <v>2</v>
      </c>
      <c r="N4503" s="31" t="str">
        <f aca="false">IF(G4503&lt;=INDEX(Assumptions!$B$15:$B$18,MATCH(E4503,Assumptions!$A$15:$A$18,0)),"Yes","No")</f>
        <v>Yes</v>
      </c>
      <c r="O4503" s="31" t="str">
        <f aca="false">IF(H4503="","Open",IF(H4503&lt;=INDEX(Assumptions!$C$15:$C$18,MATCH(E4503,Assumptions!$A$15:$A$18,0)),"Yes","No"))</f>
        <v>Yes</v>
      </c>
    </row>
    <row r="4504" customFormat="false" ht="15" hidden="false" customHeight="false" outlineLevel="0" collapsed="false">
      <c r="A4504" s="31" t="s">
        <v>4654</v>
      </c>
      <c r="B4504" s="44" t="n">
        <v>46266</v>
      </c>
      <c r="C4504" s="31" t="s">
        <v>59</v>
      </c>
      <c r="D4504" s="31" t="s">
        <v>67</v>
      </c>
      <c r="E4504" s="31" t="s">
        <v>51</v>
      </c>
      <c r="F4504" s="31" t="s">
        <v>129</v>
      </c>
      <c r="G4504" s="31" t="n">
        <v>43</v>
      </c>
      <c r="H4504" s="41" t="n">
        <v>34.5</v>
      </c>
      <c r="I4504" s="31" t="s">
        <v>149</v>
      </c>
      <c r="J4504" s="31" t="n">
        <v>4</v>
      </c>
      <c r="K4504" s="31" t="s">
        <v>150</v>
      </c>
      <c r="L4504" s="45" t="n">
        <f aca="false">DATE(YEAR(B4504),MONTH(B4504),1)</f>
        <v>46266</v>
      </c>
      <c r="M4504" s="31" t="n">
        <f aca="false">WEEKDAY(B4504,2)</f>
        <v>2</v>
      </c>
      <c r="N4504" s="31" t="str">
        <f aca="false">IF(G4504&lt;=INDEX(Assumptions!$B$15:$B$18,MATCH(E4504,Assumptions!$A$15:$A$18,0)),"Yes","No")</f>
        <v>Yes</v>
      </c>
      <c r="O4504" s="31" t="str">
        <f aca="false">IF(H4504="","Open",IF(H4504&lt;=INDEX(Assumptions!$C$15:$C$18,MATCH(E4504,Assumptions!$A$15:$A$18,0)),"Yes","No"))</f>
        <v>No</v>
      </c>
    </row>
    <row r="4505" customFormat="false" ht="15" hidden="false" customHeight="false" outlineLevel="0" collapsed="false">
      <c r="A4505" s="31" t="s">
        <v>4655</v>
      </c>
      <c r="B4505" s="44" t="n">
        <v>46266</v>
      </c>
      <c r="C4505" s="31" t="s">
        <v>57</v>
      </c>
      <c r="D4505" s="31" t="s">
        <v>65</v>
      </c>
      <c r="E4505" s="31" t="s">
        <v>51</v>
      </c>
      <c r="F4505" s="31" t="s">
        <v>137</v>
      </c>
      <c r="G4505" s="31" t="n">
        <v>3</v>
      </c>
      <c r="H4505" s="41" t="n">
        <v>10.9</v>
      </c>
      <c r="I4505" s="31" t="s">
        <v>149</v>
      </c>
      <c r="J4505" s="31" t="n">
        <v>4</v>
      </c>
      <c r="K4505" s="31" t="s">
        <v>150</v>
      </c>
      <c r="L4505" s="45" t="n">
        <f aca="false">DATE(YEAR(B4505),MONTH(B4505),1)</f>
        <v>46266</v>
      </c>
      <c r="M4505" s="31" t="n">
        <f aca="false">WEEKDAY(B4505,2)</f>
        <v>2</v>
      </c>
      <c r="N4505" s="31" t="str">
        <f aca="false">IF(G4505&lt;=INDEX(Assumptions!$B$15:$B$18,MATCH(E4505,Assumptions!$A$15:$A$18,0)),"Yes","No")</f>
        <v>Yes</v>
      </c>
      <c r="O4505" s="31" t="str">
        <f aca="false">IF(H4505="","Open",IF(H4505&lt;=INDEX(Assumptions!$C$15:$C$18,MATCH(E4505,Assumptions!$A$15:$A$18,0)),"Yes","No"))</f>
        <v>Yes</v>
      </c>
    </row>
    <row r="4506" customFormat="false" ht="15" hidden="false" customHeight="false" outlineLevel="0" collapsed="false">
      <c r="A4506" s="31" t="s">
        <v>4656</v>
      </c>
      <c r="B4506" s="44" t="n">
        <v>46266</v>
      </c>
      <c r="C4506" s="31" t="s">
        <v>58</v>
      </c>
      <c r="D4506" s="31" t="s">
        <v>65</v>
      </c>
      <c r="E4506" s="31" t="s">
        <v>50</v>
      </c>
      <c r="F4506" s="31" t="s">
        <v>126</v>
      </c>
      <c r="G4506" s="31" t="n">
        <v>6</v>
      </c>
      <c r="H4506" s="41" t="n">
        <v>13.3</v>
      </c>
      <c r="I4506" s="31" t="s">
        <v>149</v>
      </c>
      <c r="J4506" s="31"/>
      <c r="K4506" s="31" t="s">
        <v>150</v>
      </c>
      <c r="L4506" s="45" t="n">
        <f aca="false">DATE(YEAR(B4506),MONTH(B4506),1)</f>
        <v>46266</v>
      </c>
      <c r="M4506" s="31" t="n">
        <f aca="false">WEEKDAY(B4506,2)</f>
        <v>2</v>
      </c>
      <c r="N4506" s="31" t="str">
        <f aca="false">IF(G4506&lt;=INDEX(Assumptions!$B$15:$B$18,MATCH(E4506,Assumptions!$A$15:$A$18,0)),"Yes","No")</f>
        <v>Yes</v>
      </c>
      <c r="O4506" s="31" t="str">
        <f aca="false">IF(H4506="","Open",IF(H4506&lt;=INDEX(Assumptions!$C$15:$C$18,MATCH(E4506,Assumptions!$A$15:$A$18,0)),"Yes","No"))</f>
        <v>No</v>
      </c>
    </row>
    <row r="4507" customFormat="false" ht="15" hidden="false" customHeight="false" outlineLevel="0" collapsed="false">
      <c r="A4507" s="31" t="s">
        <v>4657</v>
      </c>
      <c r="B4507" s="44" t="n">
        <v>46266</v>
      </c>
      <c r="C4507" s="31" t="s">
        <v>60</v>
      </c>
      <c r="D4507" s="31" t="s">
        <v>65</v>
      </c>
      <c r="E4507" s="31" t="s">
        <v>52</v>
      </c>
      <c r="F4507" s="31" t="s">
        <v>129</v>
      </c>
      <c r="G4507" s="31" t="n">
        <v>7</v>
      </c>
      <c r="H4507" s="41" t="n">
        <v>21.7</v>
      </c>
      <c r="I4507" s="31" t="s">
        <v>149</v>
      </c>
      <c r="J4507" s="31"/>
      <c r="K4507" s="31" t="s">
        <v>150</v>
      </c>
      <c r="L4507" s="45" t="n">
        <f aca="false">DATE(YEAR(B4507),MONTH(B4507),1)</f>
        <v>46266</v>
      </c>
      <c r="M4507" s="31" t="n">
        <f aca="false">WEEKDAY(B4507,2)</f>
        <v>2</v>
      </c>
      <c r="N4507" s="31" t="str">
        <f aca="false">IF(G4507&lt;=INDEX(Assumptions!$B$15:$B$18,MATCH(E4507,Assumptions!$A$15:$A$18,0)),"Yes","No")</f>
        <v>Yes</v>
      </c>
      <c r="O4507" s="31" t="str">
        <f aca="false">IF(H4507="","Open",IF(H4507&lt;=INDEX(Assumptions!$C$15:$C$18,MATCH(E4507,Assumptions!$A$15:$A$18,0)),"Yes","No"))</f>
        <v>Yes</v>
      </c>
    </row>
    <row r="4508" customFormat="false" ht="15" hidden="false" customHeight="false" outlineLevel="0" collapsed="false">
      <c r="A4508" s="31" t="s">
        <v>4658</v>
      </c>
      <c r="B4508" s="44" t="n">
        <v>46266</v>
      </c>
      <c r="C4508" s="31" t="s">
        <v>60</v>
      </c>
      <c r="D4508" s="31" t="s">
        <v>65</v>
      </c>
      <c r="E4508" s="31" t="s">
        <v>52</v>
      </c>
      <c r="F4508" s="31" t="s">
        <v>137</v>
      </c>
      <c r="G4508" s="31" t="n">
        <v>1</v>
      </c>
      <c r="H4508" s="41" t="n">
        <v>11.8</v>
      </c>
      <c r="I4508" s="31" t="s">
        <v>149</v>
      </c>
      <c r="J4508" s="31"/>
      <c r="K4508" s="31" t="s">
        <v>150</v>
      </c>
      <c r="L4508" s="45" t="n">
        <f aca="false">DATE(YEAR(B4508),MONTH(B4508),1)</f>
        <v>46266</v>
      </c>
      <c r="M4508" s="31" t="n">
        <f aca="false">WEEKDAY(B4508,2)</f>
        <v>2</v>
      </c>
      <c r="N4508" s="31" t="str">
        <f aca="false">IF(G4508&lt;=INDEX(Assumptions!$B$15:$B$18,MATCH(E4508,Assumptions!$A$15:$A$18,0)),"Yes","No")</f>
        <v>Yes</v>
      </c>
      <c r="O4508" s="31" t="str">
        <f aca="false">IF(H4508="","Open",IF(H4508&lt;=INDEX(Assumptions!$C$15:$C$18,MATCH(E4508,Assumptions!$A$15:$A$18,0)),"Yes","No"))</f>
        <v>Yes</v>
      </c>
    </row>
    <row r="4509" customFormat="false" ht="15" hidden="false" customHeight="false" outlineLevel="0" collapsed="false">
      <c r="A4509" s="31" t="s">
        <v>4659</v>
      </c>
      <c r="B4509" s="44" t="n">
        <v>46266</v>
      </c>
      <c r="C4509" s="31" t="s">
        <v>57</v>
      </c>
      <c r="D4509" s="31" t="s">
        <v>66</v>
      </c>
      <c r="E4509" s="31" t="s">
        <v>52</v>
      </c>
      <c r="F4509" s="31" t="s">
        <v>133</v>
      </c>
      <c r="G4509" s="31" t="n">
        <v>13</v>
      </c>
      <c r="H4509" s="41" t="n">
        <v>3.1</v>
      </c>
      <c r="I4509" s="31" t="s">
        <v>149</v>
      </c>
      <c r="J4509" s="31" t="n">
        <v>5</v>
      </c>
      <c r="K4509" s="31" t="s">
        <v>150</v>
      </c>
      <c r="L4509" s="45" t="n">
        <f aca="false">DATE(YEAR(B4509),MONTH(B4509),1)</f>
        <v>46266</v>
      </c>
      <c r="M4509" s="31" t="n">
        <f aca="false">WEEKDAY(B4509,2)</f>
        <v>2</v>
      </c>
      <c r="N4509" s="31" t="str">
        <f aca="false">IF(G4509&lt;=INDEX(Assumptions!$B$15:$B$18,MATCH(E4509,Assumptions!$A$15:$A$18,0)),"Yes","No")</f>
        <v>Yes</v>
      </c>
      <c r="O4509" s="31" t="str">
        <f aca="false">IF(H4509="","Open",IF(H4509&lt;=INDEX(Assumptions!$C$15:$C$18,MATCH(E4509,Assumptions!$A$15:$A$18,0)),"Yes","No"))</f>
        <v>Yes</v>
      </c>
    </row>
    <row r="4510" customFormat="false" ht="15" hidden="false" customHeight="false" outlineLevel="0" collapsed="false">
      <c r="A4510" s="31" t="s">
        <v>4660</v>
      </c>
      <c r="B4510" s="44" t="n">
        <v>46266</v>
      </c>
      <c r="C4510" s="31" t="s">
        <v>57</v>
      </c>
      <c r="D4510" s="31" t="s">
        <v>65</v>
      </c>
      <c r="E4510" s="31" t="s">
        <v>51</v>
      </c>
      <c r="F4510" s="31" t="s">
        <v>117</v>
      </c>
      <c r="G4510" s="31" t="n">
        <v>3</v>
      </c>
      <c r="H4510" s="41" t="n">
        <v>11.5</v>
      </c>
      <c r="I4510" s="31" t="s">
        <v>149</v>
      </c>
      <c r="J4510" s="31"/>
      <c r="K4510" s="31" t="s">
        <v>150</v>
      </c>
      <c r="L4510" s="45" t="n">
        <f aca="false">DATE(YEAR(B4510),MONTH(B4510),1)</f>
        <v>46266</v>
      </c>
      <c r="M4510" s="31" t="n">
        <f aca="false">WEEKDAY(B4510,2)</f>
        <v>2</v>
      </c>
      <c r="N4510" s="31" t="str">
        <f aca="false">IF(G4510&lt;=INDEX(Assumptions!$B$15:$B$18,MATCH(E4510,Assumptions!$A$15:$A$18,0)),"Yes","No")</f>
        <v>Yes</v>
      </c>
      <c r="O4510" s="31" t="str">
        <f aca="false">IF(H4510="","Open",IF(H4510&lt;=INDEX(Assumptions!$C$15:$C$18,MATCH(E4510,Assumptions!$A$15:$A$18,0)),"Yes","No"))</f>
        <v>Yes</v>
      </c>
    </row>
    <row r="4511" customFormat="false" ht="15" hidden="false" customHeight="false" outlineLevel="0" collapsed="false">
      <c r="A4511" s="31" t="s">
        <v>4661</v>
      </c>
      <c r="B4511" s="44" t="n">
        <v>46266</v>
      </c>
      <c r="C4511" s="31" t="s">
        <v>58</v>
      </c>
      <c r="D4511" s="31" t="s">
        <v>66</v>
      </c>
      <c r="E4511" s="31" t="s">
        <v>51</v>
      </c>
      <c r="F4511" s="31" t="s">
        <v>128</v>
      </c>
      <c r="G4511" s="31" t="n">
        <v>25</v>
      </c>
      <c r="H4511" s="41" t="n">
        <v>3.2</v>
      </c>
      <c r="I4511" s="31" t="s">
        <v>149</v>
      </c>
      <c r="J4511" s="31" t="n">
        <v>4</v>
      </c>
      <c r="K4511" s="31" t="s">
        <v>150</v>
      </c>
      <c r="L4511" s="45" t="n">
        <f aca="false">DATE(YEAR(B4511),MONTH(B4511),1)</f>
        <v>46266</v>
      </c>
      <c r="M4511" s="31" t="n">
        <f aca="false">WEEKDAY(B4511,2)</f>
        <v>2</v>
      </c>
      <c r="N4511" s="31" t="str">
        <f aca="false">IF(G4511&lt;=INDEX(Assumptions!$B$15:$B$18,MATCH(E4511,Assumptions!$A$15:$A$18,0)),"Yes","No")</f>
        <v>Yes</v>
      </c>
      <c r="O4511" s="31" t="str">
        <f aca="false">IF(H4511="","Open",IF(H4511&lt;=INDEX(Assumptions!$C$15:$C$18,MATCH(E4511,Assumptions!$A$15:$A$18,0)),"Yes","No"))</f>
        <v>Yes</v>
      </c>
    </row>
    <row r="4512" customFormat="false" ht="15" hidden="false" customHeight="false" outlineLevel="0" collapsed="false">
      <c r="A4512" s="31" t="s">
        <v>4662</v>
      </c>
      <c r="B4512" s="44" t="n">
        <v>46266</v>
      </c>
      <c r="C4512" s="31" t="s">
        <v>57</v>
      </c>
      <c r="D4512" s="31" t="s">
        <v>68</v>
      </c>
      <c r="E4512" s="31" t="s">
        <v>51</v>
      </c>
      <c r="F4512" s="31" t="s">
        <v>134</v>
      </c>
      <c r="G4512" s="31" t="n">
        <v>7</v>
      </c>
      <c r="H4512" s="41" t="n">
        <v>8.4</v>
      </c>
      <c r="I4512" s="31" t="s">
        <v>149</v>
      </c>
      <c r="J4512" s="31"/>
      <c r="K4512" s="31" t="s">
        <v>150</v>
      </c>
      <c r="L4512" s="45" t="n">
        <f aca="false">DATE(YEAR(B4512),MONTH(B4512),1)</f>
        <v>46266</v>
      </c>
      <c r="M4512" s="31" t="n">
        <f aca="false">WEEKDAY(B4512,2)</f>
        <v>2</v>
      </c>
      <c r="N4512" s="31" t="str">
        <f aca="false">IF(G4512&lt;=INDEX(Assumptions!$B$15:$B$18,MATCH(E4512,Assumptions!$A$15:$A$18,0)),"Yes","No")</f>
        <v>Yes</v>
      </c>
      <c r="O4512" s="31" t="str">
        <f aca="false">IF(H4512="","Open",IF(H4512&lt;=INDEX(Assumptions!$C$15:$C$18,MATCH(E4512,Assumptions!$A$15:$A$18,0)),"Yes","No"))</f>
        <v>Yes</v>
      </c>
    </row>
    <row r="4513" customFormat="false" ht="15" hidden="false" customHeight="false" outlineLevel="0" collapsed="false">
      <c r="A4513" s="31" t="s">
        <v>4663</v>
      </c>
      <c r="B4513" s="44" t="n">
        <v>46266</v>
      </c>
      <c r="C4513" s="31" t="s">
        <v>58</v>
      </c>
      <c r="D4513" s="31" t="s">
        <v>65</v>
      </c>
      <c r="E4513" s="31" t="s">
        <v>51</v>
      </c>
      <c r="F4513" s="31" t="s">
        <v>126</v>
      </c>
      <c r="G4513" s="31" t="n">
        <v>8</v>
      </c>
      <c r="H4513" s="41" t="n">
        <v>16.1</v>
      </c>
      <c r="I4513" s="31" t="s">
        <v>149</v>
      </c>
      <c r="J4513" s="31" t="n">
        <v>5</v>
      </c>
      <c r="K4513" s="31" t="s">
        <v>150</v>
      </c>
      <c r="L4513" s="45" t="n">
        <f aca="false">DATE(YEAR(B4513),MONTH(B4513),1)</f>
        <v>46266</v>
      </c>
      <c r="M4513" s="31" t="n">
        <f aca="false">WEEKDAY(B4513,2)</f>
        <v>2</v>
      </c>
      <c r="N4513" s="31" t="str">
        <f aca="false">IF(G4513&lt;=INDEX(Assumptions!$B$15:$B$18,MATCH(E4513,Assumptions!$A$15:$A$18,0)),"Yes","No")</f>
        <v>Yes</v>
      </c>
      <c r="O4513" s="31" t="str">
        <f aca="false">IF(H4513="","Open",IF(H4513&lt;=INDEX(Assumptions!$C$15:$C$18,MATCH(E4513,Assumptions!$A$15:$A$18,0)),"Yes","No"))</f>
        <v>Yes</v>
      </c>
    </row>
    <row r="4514" customFormat="false" ht="15" hidden="false" customHeight="false" outlineLevel="0" collapsed="false">
      <c r="A4514" s="31" t="s">
        <v>4664</v>
      </c>
      <c r="B4514" s="44" t="n">
        <v>46266</v>
      </c>
      <c r="C4514" s="31" t="s">
        <v>57</v>
      </c>
      <c r="D4514" s="31" t="s">
        <v>65</v>
      </c>
      <c r="E4514" s="31" t="s">
        <v>51</v>
      </c>
      <c r="F4514" s="31" t="s">
        <v>126</v>
      </c>
      <c r="G4514" s="31" t="n">
        <v>6</v>
      </c>
      <c r="H4514" s="41" t="n">
        <v>3.6</v>
      </c>
      <c r="I4514" s="31" t="s">
        <v>149</v>
      </c>
      <c r="J4514" s="31"/>
      <c r="K4514" s="31" t="s">
        <v>150</v>
      </c>
      <c r="L4514" s="45" t="n">
        <f aca="false">DATE(YEAR(B4514),MONTH(B4514),1)</f>
        <v>46266</v>
      </c>
      <c r="M4514" s="31" t="n">
        <f aca="false">WEEKDAY(B4514,2)</f>
        <v>2</v>
      </c>
      <c r="N4514" s="31" t="str">
        <f aca="false">IF(G4514&lt;=INDEX(Assumptions!$B$15:$B$18,MATCH(E4514,Assumptions!$A$15:$A$18,0)),"Yes","No")</f>
        <v>Yes</v>
      </c>
      <c r="O4514" s="31" t="str">
        <f aca="false">IF(H4514="","Open",IF(H4514&lt;=INDEX(Assumptions!$C$15:$C$18,MATCH(E4514,Assumptions!$A$15:$A$18,0)),"Yes","No"))</f>
        <v>Yes</v>
      </c>
    </row>
    <row r="4515" customFormat="false" ht="15" hidden="false" customHeight="false" outlineLevel="0" collapsed="false">
      <c r="A4515" s="31" t="s">
        <v>4665</v>
      </c>
      <c r="B4515" s="44" t="n">
        <v>46266</v>
      </c>
      <c r="C4515" s="31" t="s">
        <v>58</v>
      </c>
      <c r="D4515" s="31" t="s">
        <v>66</v>
      </c>
      <c r="E4515" s="31" t="s">
        <v>50</v>
      </c>
      <c r="F4515" s="31" t="s">
        <v>126</v>
      </c>
      <c r="G4515" s="31" t="n">
        <v>7</v>
      </c>
      <c r="H4515" s="41" t="n">
        <v>1.1</v>
      </c>
      <c r="I4515" s="31" t="s">
        <v>149</v>
      </c>
      <c r="J4515" s="31" t="n">
        <v>5</v>
      </c>
      <c r="K4515" s="31" t="s">
        <v>150</v>
      </c>
      <c r="L4515" s="45" t="n">
        <f aca="false">DATE(YEAR(B4515),MONTH(B4515),1)</f>
        <v>46266</v>
      </c>
      <c r="M4515" s="31" t="n">
        <f aca="false">WEEKDAY(B4515,2)</f>
        <v>2</v>
      </c>
      <c r="N4515" s="31" t="str">
        <f aca="false">IF(G4515&lt;=INDEX(Assumptions!$B$15:$B$18,MATCH(E4515,Assumptions!$A$15:$A$18,0)),"Yes","No")</f>
        <v>Yes</v>
      </c>
      <c r="O4515" s="31" t="str">
        <f aca="false">IF(H4515="","Open",IF(H4515&lt;=INDEX(Assumptions!$C$15:$C$18,MATCH(E4515,Assumptions!$A$15:$A$18,0)),"Yes","No"))</f>
        <v>Yes</v>
      </c>
    </row>
    <row r="4516" customFormat="false" ht="15" hidden="false" customHeight="false" outlineLevel="0" collapsed="false">
      <c r="A4516" s="31" t="s">
        <v>4666</v>
      </c>
      <c r="B4516" s="44" t="n">
        <v>46266</v>
      </c>
      <c r="C4516" s="31" t="s">
        <v>57</v>
      </c>
      <c r="D4516" s="31" t="s">
        <v>65</v>
      </c>
      <c r="E4516" s="31" t="s">
        <v>50</v>
      </c>
      <c r="F4516" s="31" t="s">
        <v>131</v>
      </c>
      <c r="G4516" s="31" t="n">
        <v>1</v>
      </c>
      <c r="H4516" s="41" t="n">
        <v>1.7</v>
      </c>
      <c r="I4516" s="31" t="s">
        <v>149</v>
      </c>
      <c r="J4516" s="31"/>
      <c r="K4516" s="31" t="s">
        <v>150</v>
      </c>
      <c r="L4516" s="45" t="n">
        <f aca="false">DATE(YEAR(B4516),MONTH(B4516),1)</f>
        <v>46266</v>
      </c>
      <c r="M4516" s="31" t="n">
        <f aca="false">WEEKDAY(B4516,2)</f>
        <v>2</v>
      </c>
      <c r="N4516" s="31" t="str">
        <f aca="false">IF(G4516&lt;=INDEX(Assumptions!$B$15:$B$18,MATCH(E4516,Assumptions!$A$15:$A$18,0)),"Yes","No")</f>
        <v>Yes</v>
      </c>
      <c r="O4516" s="31" t="str">
        <f aca="false">IF(H4516="","Open",IF(H4516&lt;=INDEX(Assumptions!$C$15:$C$18,MATCH(E4516,Assumptions!$A$15:$A$18,0)),"Yes","No"))</f>
        <v>Yes</v>
      </c>
    </row>
    <row r="4517" customFormat="false" ht="15" hidden="false" customHeight="false" outlineLevel="0" collapsed="false">
      <c r="A4517" s="31" t="s">
        <v>4667</v>
      </c>
      <c r="B4517" s="44" t="n">
        <v>46266</v>
      </c>
      <c r="C4517" s="31" t="s">
        <v>58</v>
      </c>
      <c r="D4517" s="31" t="s">
        <v>67</v>
      </c>
      <c r="E4517" s="31" t="s">
        <v>50</v>
      </c>
      <c r="F4517" s="31" t="s">
        <v>136</v>
      </c>
      <c r="G4517" s="31" t="n">
        <v>7</v>
      </c>
      <c r="H4517" s="41" t="n">
        <v>1.8</v>
      </c>
      <c r="I4517" s="31" t="s">
        <v>149</v>
      </c>
      <c r="J4517" s="31" t="n">
        <v>4</v>
      </c>
      <c r="K4517" s="31" t="s">
        <v>150</v>
      </c>
      <c r="L4517" s="45" t="n">
        <f aca="false">DATE(YEAR(B4517),MONTH(B4517),1)</f>
        <v>46266</v>
      </c>
      <c r="M4517" s="31" t="n">
        <f aca="false">WEEKDAY(B4517,2)</f>
        <v>2</v>
      </c>
      <c r="N4517" s="31" t="str">
        <f aca="false">IF(G4517&lt;=INDEX(Assumptions!$B$15:$B$18,MATCH(E4517,Assumptions!$A$15:$A$18,0)),"Yes","No")</f>
        <v>Yes</v>
      </c>
      <c r="O4517" s="31" t="str">
        <f aca="false">IF(H4517="","Open",IF(H4517&lt;=INDEX(Assumptions!$C$15:$C$18,MATCH(E4517,Assumptions!$A$15:$A$18,0)),"Yes","No"))</f>
        <v>Yes</v>
      </c>
    </row>
    <row r="4518" customFormat="false" ht="15" hidden="false" customHeight="false" outlineLevel="0" collapsed="false">
      <c r="A4518" s="31" t="s">
        <v>4668</v>
      </c>
      <c r="B4518" s="44" t="n">
        <v>46266</v>
      </c>
      <c r="C4518" s="31" t="s">
        <v>60</v>
      </c>
      <c r="D4518" s="31" t="s">
        <v>69</v>
      </c>
      <c r="E4518" s="31" t="s">
        <v>51</v>
      </c>
      <c r="F4518" s="31" t="s">
        <v>129</v>
      </c>
      <c r="G4518" s="31" t="n">
        <v>4</v>
      </c>
      <c r="H4518" s="41" t="n">
        <v>3.5</v>
      </c>
      <c r="I4518" s="31" t="s">
        <v>149</v>
      </c>
      <c r="J4518" s="31"/>
      <c r="K4518" s="31" t="s">
        <v>150</v>
      </c>
      <c r="L4518" s="45" t="n">
        <f aca="false">DATE(YEAR(B4518),MONTH(B4518),1)</f>
        <v>46266</v>
      </c>
      <c r="M4518" s="31" t="n">
        <f aca="false">WEEKDAY(B4518,2)</f>
        <v>2</v>
      </c>
      <c r="N4518" s="31" t="str">
        <f aca="false">IF(G4518&lt;=INDEX(Assumptions!$B$15:$B$18,MATCH(E4518,Assumptions!$A$15:$A$18,0)),"Yes","No")</f>
        <v>Yes</v>
      </c>
      <c r="O4518" s="31" t="str">
        <f aca="false">IF(H4518="","Open",IF(H4518&lt;=INDEX(Assumptions!$C$15:$C$18,MATCH(E4518,Assumptions!$A$15:$A$18,0)),"Yes","No"))</f>
        <v>Yes</v>
      </c>
    </row>
    <row r="4519" customFormat="false" ht="15" hidden="false" customHeight="false" outlineLevel="0" collapsed="false">
      <c r="A4519" s="31" t="s">
        <v>4669</v>
      </c>
      <c r="B4519" s="44" t="n">
        <v>46266</v>
      </c>
      <c r="C4519" s="31" t="s">
        <v>57</v>
      </c>
      <c r="D4519" s="31" t="s">
        <v>67</v>
      </c>
      <c r="E4519" s="31" t="s">
        <v>51</v>
      </c>
      <c r="F4519" s="31" t="s">
        <v>120</v>
      </c>
      <c r="G4519" s="31" t="n">
        <v>8</v>
      </c>
      <c r="H4519" s="41" t="n">
        <v>21.1</v>
      </c>
      <c r="I4519" s="31" t="s">
        <v>149</v>
      </c>
      <c r="J4519" s="31" t="n">
        <v>4</v>
      </c>
      <c r="K4519" s="31" t="s">
        <v>150</v>
      </c>
      <c r="L4519" s="45" t="n">
        <f aca="false">DATE(YEAR(B4519),MONTH(B4519),1)</f>
        <v>46266</v>
      </c>
      <c r="M4519" s="31" t="n">
        <f aca="false">WEEKDAY(B4519,2)</f>
        <v>2</v>
      </c>
      <c r="N4519" s="31" t="str">
        <f aca="false">IF(G4519&lt;=INDEX(Assumptions!$B$15:$B$18,MATCH(E4519,Assumptions!$A$15:$A$18,0)),"Yes","No")</f>
        <v>Yes</v>
      </c>
      <c r="O4519" s="31" t="str">
        <f aca="false">IF(H4519="","Open",IF(H4519&lt;=INDEX(Assumptions!$C$15:$C$18,MATCH(E4519,Assumptions!$A$15:$A$18,0)),"Yes","No"))</f>
        <v>Yes</v>
      </c>
    </row>
    <row r="4520" customFormat="false" ht="15" hidden="false" customHeight="false" outlineLevel="0" collapsed="false">
      <c r="A4520" s="31" t="s">
        <v>4670</v>
      </c>
      <c r="B4520" s="44" t="n">
        <v>46266</v>
      </c>
      <c r="C4520" s="31" t="s">
        <v>57</v>
      </c>
      <c r="D4520" s="31" t="s">
        <v>68</v>
      </c>
      <c r="E4520" s="31" t="s">
        <v>51</v>
      </c>
      <c r="F4520" s="31" t="s">
        <v>135</v>
      </c>
      <c r="G4520" s="31" t="n">
        <v>1</v>
      </c>
      <c r="H4520" s="41" t="n">
        <v>11</v>
      </c>
      <c r="I4520" s="31" t="s">
        <v>149</v>
      </c>
      <c r="J4520" s="31"/>
      <c r="K4520" s="31" t="s">
        <v>150</v>
      </c>
      <c r="L4520" s="45" t="n">
        <f aca="false">DATE(YEAR(B4520),MONTH(B4520),1)</f>
        <v>46266</v>
      </c>
      <c r="M4520" s="31" t="n">
        <f aca="false">WEEKDAY(B4520,2)</f>
        <v>2</v>
      </c>
      <c r="N4520" s="31" t="str">
        <f aca="false">IF(G4520&lt;=INDEX(Assumptions!$B$15:$B$18,MATCH(E4520,Assumptions!$A$15:$A$18,0)),"Yes","No")</f>
        <v>Yes</v>
      </c>
      <c r="O4520" s="31" t="str">
        <f aca="false">IF(H4520="","Open",IF(H4520&lt;=INDEX(Assumptions!$C$15:$C$18,MATCH(E4520,Assumptions!$A$15:$A$18,0)),"Yes","No"))</f>
        <v>Yes</v>
      </c>
    </row>
    <row r="4521" customFormat="false" ht="15" hidden="false" customHeight="false" outlineLevel="0" collapsed="false">
      <c r="A4521" s="31" t="s">
        <v>4671</v>
      </c>
      <c r="B4521" s="44" t="n">
        <v>46266</v>
      </c>
      <c r="C4521" s="31" t="s">
        <v>58</v>
      </c>
      <c r="D4521" s="31" t="s">
        <v>65</v>
      </c>
      <c r="E4521" s="31" t="s">
        <v>51</v>
      </c>
      <c r="F4521" s="31" t="s">
        <v>136</v>
      </c>
      <c r="G4521" s="31" t="n">
        <v>3</v>
      </c>
      <c r="H4521" s="41" t="n">
        <v>9</v>
      </c>
      <c r="I4521" s="31" t="s">
        <v>149</v>
      </c>
      <c r="J4521" s="31" t="n">
        <v>4</v>
      </c>
      <c r="K4521" s="31" t="s">
        <v>150</v>
      </c>
      <c r="L4521" s="45" t="n">
        <f aca="false">DATE(YEAR(B4521),MONTH(B4521),1)</f>
        <v>46266</v>
      </c>
      <c r="M4521" s="31" t="n">
        <f aca="false">WEEKDAY(B4521,2)</f>
        <v>2</v>
      </c>
      <c r="N4521" s="31" t="str">
        <f aca="false">IF(G4521&lt;=INDEX(Assumptions!$B$15:$B$18,MATCH(E4521,Assumptions!$A$15:$A$18,0)),"Yes","No")</f>
        <v>Yes</v>
      </c>
      <c r="O4521" s="31" t="str">
        <f aca="false">IF(H4521="","Open",IF(H4521&lt;=INDEX(Assumptions!$C$15:$C$18,MATCH(E4521,Assumptions!$A$15:$A$18,0)),"Yes","No"))</f>
        <v>Yes</v>
      </c>
    </row>
    <row r="4522" customFormat="false" ht="15" hidden="false" customHeight="false" outlineLevel="0" collapsed="false">
      <c r="A4522" s="31" t="s">
        <v>4672</v>
      </c>
      <c r="B4522" s="44" t="n">
        <v>46266</v>
      </c>
      <c r="C4522" s="31" t="s">
        <v>59</v>
      </c>
      <c r="D4522" s="31" t="s">
        <v>69</v>
      </c>
      <c r="E4522" s="31" t="s">
        <v>51</v>
      </c>
      <c r="F4522" s="31" t="s">
        <v>128</v>
      </c>
      <c r="G4522" s="31" t="n">
        <v>23</v>
      </c>
      <c r="H4522" s="41" t="n">
        <v>35.8</v>
      </c>
      <c r="I4522" s="31" t="s">
        <v>64</v>
      </c>
      <c r="J4522" s="31" t="n">
        <v>3</v>
      </c>
      <c r="K4522" s="31" t="s">
        <v>150</v>
      </c>
      <c r="L4522" s="45" t="n">
        <f aca="false">DATE(YEAR(B4522),MONTH(B4522),1)</f>
        <v>46266</v>
      </c>
      <c r="M4522" s="31" t="n">
        <f aca="false">WEEKDAY(B4522,2)</f>
        <v>2</v>
      </c>
      <c r="N4522" s="31" t="str">
        <f aca="false">IF(G4522&lt;=INDEX(Assumptions!$B$15:$B$18,MATCH(E4522,Assumptions!$A$15:$A$18,0)),"Yes","No")</f>
        <v>Yes</v>
      </c>
      <c r="O4522" s="31" t="str">
        <f aca="false">IF(H4522="","Open",IF(H4522&lt;=INDEX(Assumptions!$C$15:$C$18,MATCH(E4522,Assumptions!$A$15:$A$18,0)),"Yes","No"))</f>
        <v>No</v>
      </c>
    </row>
    <row r="4523" customFormat="false" ht="15" hidden="false" customHeight="false" outlineLevel="0" collapsed="false">
      <c r="A4523" s="31" t="s">
        <v>4673</v>
      </c>
      <c r="B4523" s="44" t="n">
        <v>46266</v>
      </c>
      <c r="C4523" s="31" t="s">
        <v>57</v>
      </c>
      <c r="D4523" s="31" t="s">
        <v>66</v>
      </c>
      <c r="E4523" s="31" t="s">
        <v>51</v>
      </c>
      <c r="F4523" s="31" t="s">
        <v>131</v>
      </c>
      <c r="G4523" s="31" t="n">
        <v>1</v>
      </c>
      <c r="H4523" s="41" t="n">
        <v>6.7</v>
      </c>
      <c r="I4523" s="31" t="s">
        <v>149</v>
      </c>
      <c r="J4523" s="31" t="n">
        <v>5</v>
      </c>
      <c r="K4523" s="31" t="s">
        <v>150</v>
      </c>
      <c r="L4523" s="45" t="n">
        <f aca="false">DATE(YEAR(B4523),MONTH(B4523),1)</f>
        <v>46266</v>
      </c>
      <c r="M4523" s="31" t="n">
        <f aca="false">WEEKDAY(B4523,2)</f>
        <v>2</v>
      </c>
      <c r="N4523" s="31" t="str">
        <f aca="false">IF(G4523&lt;=INDEX(Assumptions!$B$15:$B$18,MATCH(E4523,Assumptions!$A$15:$A$18,0)),"Yes","No")</f>
        <v>Yes</v>
      </c>
      <c r="O4523" s="31" t="str">
        <f aca="false">IF(H4523="","Open",IF(H4523&lt;=INDEX(Assumptions!$C$15:$C$18,MATCH(E4523,Assumptions!$A$15:$A$18,0)),"Yes","No"))</f>
        <v>Yes</v>
      </c>
    </row>
    <row r="4524" customFormat="false" ht="15" hidden="false" customHeight="false" outlineLevel="0" collapsed="false">
      <c r="A4524" s="31" t="s">
        <v>4674</v>
      </c>
      <c r="B4524" s="44" t="n">
        <v>46266</v>
      </c>
      <c r="C4524" s="31" t="s">
        <v>58</v>
      </c>
      <c r="D4524" s="31" t="s">
        <v>65</v>
      </c>
      <c r="E4524" s="31" t="s">
        <v>51</v>
      </c>
      <c r="F4524" s="31" t="s">
        <v>119</v>
      </c>
      <c r="G4524" s="31" t="n">
        <v>15</v>
      </c>
      <c r="H4524" s="41" t="n">
        <v>16.1</v>
      </c>
      <c r="I4524" s="31" t="s">
        <v>149</v>
      </c>
      <c r="J4524" s="31" t="n">
        <v>4</v>
      </c>
      <c r="K4524" s="31" t="s">
        <v>150</v>
      </c>
      <c r="L4524" s="45" t="n">
        <f aca="false">DATE(YEAR(B4524),MONTH(B4524),1)</f>
        <v>46266</v>
      </c>
      <c r="M4524" s="31" t="n">
        <f aca="false">WEEKDAY(B4524,2)</f>
        <v>2</v>
      </c>
      <c r="N4524" s="31" t="str">
        <f aca="false">IF(G4524&lt;=INDEX(Assumptions!$B$15:$B$18,MATCH(E4524,Assumptions!$A$15:$A$18,0)),"Yes","No")</f>
        <v>Yes</v>
      </c>
      <c r="O4524" s="31" t="str">
        <f aca="false">IF(H4524="","Open",IF(H4524&lt;=INDEX(Assumptions!$C$15:$C$18,MATCH(E4524,Assumptions!$A$15:$A$18,0)),"Yes","No"))</f>
        <v>Yes</v>
      </c>
    </row>
    <row r="4525" customFormat="false" ht="15" hidden="false" customHeight="false" outlineLevel="0" collapsed="false">
      <c r="A4525" s="31" t="s">
        <v>4675</v>
      </c>
      <c r="B4525" s="44" t="n">
        <v>46266</v>
      </c>
      <c r="C4525" s="31" t="s">
        <v>58</v>
      </c>
      <c r="D4525" s="31" t="s">
        <v>67</v>
      </c>
      <c r="E4525" s="31" t="s">
        <v>52</v>
      </c>
      <c r="F4525" s="31" t="s">
        <v>127</v>
      </c>
      <c r="G4525" s="31" t="n">
        <v>8</v>
      </c>
      <c r="H4525" s="41" t="n">
        <v>34.4</v>
      </c>
      <c r="I4525" s="31" t="s">
        <v>149</v>
      </c>
      <c r="J4525" s="31"/>
      <c r="K4525" s="31" t="s">
        <v>150</v>
      </c>
      <c r="L4525" s="45" t="n">
        <f aca="false">DATE(YEAR(B4525),MONTH(B4525),1)</f>
        <v>46266</v>
      </c>
      <c r="M4525" s="31" t="n">
        <f aca="false">WEEKDAY(B4525,2)</f>
        <v>2</v>
      </c>
      <c r="N4525" s="31" t="str">
        <f aca="false">IF(G4525&lt;=INDEX(Assumptions!$B$15:$B$18,MATCH(E4525,Assumptions!$A$15:$A$18,0)),"Yes","No")</f>
        <v>Yes</v>
      </c>
      <c r="O4525" s="31" t="str">
        <f aca="false">IF(H4525="","Open",IF(H4525&lt;=INDEX(Assumptions!$C$15:$C$18,MATCH(E4525,Assumptions!$A$15:$A$18,0)),"Yes","No"))</f>
        <v>Yes</v>
      </c>
    </row>
    <row r="4526" customFormat="false" ht="15" hidden="false" customHeight="false" outlineLevel="0" collapsed="false">
      <c r="A4526" s="31" t="s">
        <v>4676</v>
      </c>
      <c r="B4526" s="44" t="n">
        <v>46266</v>
      </c>
      <c r="C4526" s="31" t="s">
        <v>59</v>
      </c>
      <c r="D4526" s="31" t="s">
        <v>66</v>
      </c>
      <c r="E4526" s="31" t="s">
        <v>51</v>
      </c>
      <c r="F4526" s="31" t="s">
        <v>131</v>
      </c>
      <c r="G4526" s="31" t="n">
        <v>106</v>
      </c>
      <c r="H4526" s="41" t="n">
        <v>17.8</v>
      </c>
      <c r="I4526" s="31" t="s">
        <v>149</v>
      </c>
      <c r="J4526" s="31" t="n">
        <v>4</v>
      </c>
      <c r="K4526" s="31" t="s">
        <v>150</v>
      </c>
      <c r="L4526" s="45" t="n">
        <f aca="false">DATE(YEAR(B4526),MONTH(B4526),1)</f>
        <v>46266</v>
      </c>
      <c r="M4526" s="31" t="n">
        <f aca="false">WEEKDAY(B4526,2)</f>
        <v>2</v>
      </c>
      <c r="N4526" s="31" t="str">
        <f aca="false">IF(G4526&lt;=INDEX(Assumptions!$B$15:$B$18,MATCH(E4526,Assumptions!$A$15:$A$18,0)),"Yes","No")</f>
        <v>No</v>
      </c>
      <c r="O4526" s="31" t="str">
        <f aca="false">IF(H4526="","Open",IF(H4526&lt;=INDEX(Assumptions!$C$15:$C$18,MATCH(E4526,Assumptions!$A$15:$A$18,0)),"Yes","No"))</f>
        <v>Yes</v>
      </c>
    </row>
    <row r="4527" customFormat="false" ht="15" hidden="false" customHeight="false" outlineLevel="0" collapsed="false">
      <c r="A4527" s="31" t="s">
        <v>4677</v>
      </c>
      <c r="B4527" s="44" t="n">
        <v>46266</v>
      </c>
      <c r="C4527" s="31" t="s">
        <v>57</v>
      </c>
      <c r="D4527" s="31" t="s">
        <v>67</v>
      </c>
      <c r="E4527" s="31" t="s">
        <v>51</v>
      </c>
      <c r="F4527" s="31" t="s">
        <v>128</v>
      </c>
      <c r="G4527" s="31" t="n">
        <v>6</v>
      </c>
      <c r="H4527" s="41" t="n">
        <v>7.8</v>
      </c>
      <c r="I4527" s="31" t="s">
        <v>149</v>
      </c>
      <c r="J4527" s="31" t="n">
        <v>5</v>
      </c>
      <c r="K4527" s="31" t="s">
        <v>150</v>
      </c>
      <c r="L4527" s="45" t="n">
        <f aca="false">DATE(YEAR(B4527),MONTH(B4527),1)</f>
        <v>46266</v>
      </c>
      <c r="M4527" s="31" t="n">
        <f aca="false">WEEKDAY(B4527,2)</f>
        <v>2</v>
      </c>
      <c r="N4527" s="31" t="str">
        <f aca="false">IF(G4527&lt;=INDEX(Assumptions!$B$15:$B$18,MATCH(E4527,Assumptions!$A$15:$A$18,0)),"Yes","No")</f>
        <v>Yes</v>
      </c>
      <c r="O4527" s="31" t="str">
        <f aca="false">IF(H4527="","Open",IF(H4527&lt;=INDEX(Assumptions!$C$15:$C$18,MATCH(E4527,Assumptions!$A$15:$A$18,0)),"Yes","No"))</f>
        <v>Yes</v>
      </c>
    </row>
    <row r="4528" customFormat="false" ht="15" hidden="false" customHeight="false" outlineLevel="0" collapsed="false">
      <c r="A4528" s="31" t="s">
        <v>4678</v>
      </c>
      <c r="B4528" s="44" t="n">
        <v>46266</v>
      </c>
      <c r="C4528" s="31" t="s">
        <v>60</v>
      </c>
      <c r="D4528" s="31" t="s">
        <v>68</v>
      </c>
      <c r="E4528" s="31" t="s">
        <v>52</v>
      </c>
      <c r="F4528" s="31" t="s">
        <v>117</v>
      </c>
      <c r="G4528" s="31" t="n">
        <v>1</v>
      </c>
      <c r="H4528" s="41" t="n">
        <v>7</v>
      </c>
      <c r="I4528" s="31" t="s">
        <v>149</v>
      </c>
      <c r="J4528" s="31" t="n">
        <v>5</v>
      </c>
      <c r="K4528" s="31" t="s">
        <v>150</v>
      </c>
      <c r="L4528" s="45" t="n">
        <f aca="false">DATE(YEAR(B4528),MONTH(B4528),1)</f>
        <v>46266</v>
      </c>
      <c r="M4528" s="31" t="n">
        <f aca="false">WEEKDAY(B4528,2)</f>
        <v>2</v>
      </c>
      <c r="N4528" s="31" t="str">
        <f aca="false">IF(G4528&lt;=INDEX(Assumptions!$B$15:$B$18,MATCH(E4528,Assumptions!$A$15:$A$18,0)),"Yes","No")</f>
        <v>Yes</v>
      </c>
      <c r="O4528" s="31" t="str">
        <f aca="false">IF(H4528="","Open",IF(H4528&lt;=INDEX(Assumptions!$C$15:$C$18,MATCH(E4528,Assumptions!$A$15:$A$18,0)),"Yes","No"))</f>
        <v>Yes</v>
      </c>
    </row>
    <row r="4529" customFormat="false" ht="15" hidden="false" customHeight="false" outlineLevel="0" collapsed="false">
      <c r="A4529" s="31" t="s">
        <v>4679</v>
      </c>
      <c r="B4529" s="44" t="n">
        <v>46266</v>
      </c>
      <c r="C4529" s="31" t="s">
        <v>59</v>
      </c>
      <c r="D4529" s="31" t="s">
        <v>68</v>
      </c>
      <c r="E4529" s="31" t="s">
        <v>51</v>
      </c>
      <c r="F4529" s="31" t="s">
        <v>129</v>
      </c>
      <c r="G4529" s="31" t="n">
        <v>130</v>
      </c>
      <c r="H4529" s="41" t="n">
        <v>8.7</v>
      </c>
      <c r="I4529" s="31" t="s">
        <v>149</v>
      </c>
      <c r="J4529" s="31"/>
      <c r="K4529" s="31" t="s">
        <v>150</v>
      </c>
      <c r="L4529" s="45" t="n">
        <f aca="false">DATE(YEAR(B4529),MONTH(B4529),1)</f>
        <v>46266</v>
      </c>
      <c r="M4529" s="31" t="n">
        <f aca="false">WEEKDAY(B4529,2)</f>
        <v>2</v>
      </c>
      <c r="N4529" s="31" t="str">
        <f aca="false">IF(G4529&lt;=INDEX(Assumptions!$B$15:$B$18,MATCH(E4529,Assumptions!$A$15:$A$18,0)),"Yes","No")</f>
        <v>No</v>
      </c>
      <c r="O4529" s="31" t="str">
        <f aca="false">IF(H4529="","Open",IF(H4529&lt;=INDEX(Assumptions!$C$15:$C$18,MATCH(E4529,Assumptions!$A$15:$A$18,0)),"Yes","No"))</f>
        <v>Yes</v>
      </c>
    </row>
    <row r="4530" customFormat="false" ht="15" hidden="false" customHeight="false" outlineLevel="0" collapsed="false">
      <c r="A4530" s="31" t="s">
        <v>4680</v>
      </c>
      <c r="B4530" s="44" t="n">
        <v>46266</v>
      </c>
      <c r="C4530" s="31" t="s">
        <v>57</v>
      </c>
      <c r="D4530" s="31" t="s">
        <v>65</v>
      </c>
      <c r="E4530" s="31" t="s">
        <v>52</v>
      </c>
      <c r="F4530" s="31" t="s">
        <v>126</v>
      </c>
      <c r="G4530" s="31" t="n">
        <v>3</v>
      </c>
      <c r="H4530" s="41" t="n">
        <v>4.6</v>
      </c>
      <c r="I4530" s="31" t="s">
        <v>149</v>
      </c>
      <c r="J4530" s="31"/>
      <c r="K4530" s="31" t="s">
        <v>150</v>
      </c>
      <c r="L4530" s="45" t="n">
        <f aca="false">DATE(YEAR(B4530),MONTH(B4530),1)</f>
        <v>46266</v>
      </c>
      <c r="M4530" s="31" t="n">
        <f aca="false">WEEKDAY(B4530,2)</f>
        <v>2</v>
      </c>
      <c r="N4530" s="31" t="str">
        <f aca="false">IF(G4530&lt;=INDEX(Assumptions!$B$15:$B$18,MATCH(E4530,Assumptions!$A$15:$A$18,0)),"Yes","No")</f>
        <v>Yes</v>
      </c>
      <c r="O4530" s="31" t="str">
        <f aca="false">IF(H4530="","Open",IF(H4530&lt;=INDEX(Assumptions!$C$15:$C$18,MATCH(E4530,Assumptions!$A$15:$A$18,0)),"Yes","No"))</f>
        <v>Yes</v>
      </c>
    </row>
    <row r="4531" customFormat="false" ht="15" hidden="false" customHeight="false" outlineLevel="0" collapsed="false">
      <c r="A4531" s="31" t="s">
        <v>4681</v>
      </c>
      <c r="B4531" s="44" t="n">
        <v>46266</v>
      </c>
      <c r="C4531" s="31" t="s">
        <v>59</v>
      </c>
      <c r="D4531" s="31" t="s">
        <v>66</v>
      </c>
      <c r="E4531" s="31" t="s">
        <v>51</v>
      </c>
      <c r="F4531" s="31" t="s">
        <v>122</v>
      </c>
      <c r="G4531" s="31" t="n">
        <v>88</v>
      </c>
      <c r="H4531" s="41" t="n">
        <v>8</v>
      </c>
      <c r="I4531" s="31" t="s">
        <v>149</v>
      </c>
      <c r="J4531" s="31" t="n">
        <v>4</v>
      </c>
      <c r="K4531" s="31" t="s">
        <v>150</v>
      </c>
      <c r="L4531" s="45" t="n">
        <f aca="false">DATE(YEAR(B4531),MONTH(B4531),1)</f>
        <v>46266</v>
      </c>
      <c r="M4531" s="31" t="n">
        <f aca="false">WEEKDAY(B4531,2)</f>
        <v>2</v>
      </c>
      <c r="N4531" s="31" t="str">
        <f aca="false">IF(G4531&lt;=INDEX(Assumptions!$B$15:$B$18,MATCH(E4531,Assumptions!$A$15:$A$18,0)),"Yes","No")</f>
        <v>No</v>
      </c>
      <c r="O4531" s="31" t="str">
        <f aca="false">IF(H4531="","Open",IF(H4531&lt;=INDEX(Assumptions!$C$15:$C$18,MATCH(E4531,Assumptions!$A$15:$A$18,0)),"Yes","No"))</f>
        <v>Yes</v>
      </c>
    </row>
    <row r="4532" customFormat="false" ht="15" hidden="false" customHeight="false" outlineLevel="0" collapsed="false">
      <c r="A4532" s="31" t="s">
        <v>4682</v>
      </c>
      <c r="B4532" s="44" t="n">
        <v>46266</v>
      </c>
      <c r="C4532" s="31" t="s">
        <v>60</v>
      </c>
      <c r="D4532" s="31" t="s">
        <v>68</v>
      </c>
      <c r="E4532" s="31" t="s">
        <v>52</v>
      </c>
      <c r="F4532" s="31" t="s">
        <v>135</v>
      </c>
      <c r="G4532" s="31" t="n">
        <v>4</v>
      </c>
      <c r="H4532" s="41" t="n">
        <v>13.9</v>
      </c>
      <c r="I4532" s="31" t="s">
        <v>149</v>
      </c>
      <c r="J4532" s="31" t="n">
        <v>3</v>
      </c>
      <c r="K4532" s="31" t="s">
        <v>150</v>
      </c>
      <c r="L4532" s="45" t="n">
        <f aca="false">DATE(YEAR(B4532),MONTH(B4532),1)</f>
        <v>46266</v>
      </c>
      <c r="M4532" s="31" t="n">
        <f aca="false">WEEKDAY(B4532,2)</f>
        <v>2</v>
      </c>
      <c r="N4532" s="31" t="str">
        <f aca="false">IF(G4532&lt;=INDEX(Assumptions!$B$15:$B$18,MATCH(E4532,Assumptions!$A$15:$A$18,0)),"Yes","No")</f>
        <v>Yes</v>
      </c>
      <c r="O4532" s="31" t="str">
        <f aca="false">IF(H4532="","Open",IF(H4532&lt;=INDEX(Assumptions!$C$15:$C$18,MATCH(E4532,Assumptions!$A$15:$A$18,0)),"Yes","No"))</f>
        <v>Yes</v>
      </c>
    </row>
    <row r="4533" customFormat="false" ht="15" hidden="false" customHeight="false" outlineLevel="0" collapsed="false">
      <c r="A4533" s="31" t="s">
        <v>4683</v>
      </c>
      <c r="B4533" s="44" t="n">
        <v>46266</v>
      </c>
      <c r="C4533" s="31" t="s">
        <v>58</v>
      </c>
      <c r="D4533" s="31" t="s">
        <v>66</v>
      </c>
      <c r="E4533" s="31" t="s">
        <v>52</v>
      </c>
      <c r="F4533" s="31" t="s">
        <v>117</v>
      </c>
      <c r="G4533" s="31" t="n">
        <v>6</v>
      </c>
      <c r="H4533" s="41" t="n">
        <v>6.5</v>
      </c>
      <c r="I4533" s="31" t="s">
        <v>149</v>
      </c>
      <c r="J4533" s="31" t="n">
        <v>5</v>
      </c>
      <c r="K4533" s="31" t="s">
        <v>150</v>
      </c>
      <c r="L4533" s="45" t="n">
        <f aca="false">DATE(YEAR(B4533),MONTH(B4533),1)</f>
        <v>46266</v>
      </c>
      <c r="M4533" s="31" t="n">
        <f aca="false">WEEKDAY(B4533,2)</f>
        <v>2</v>
      </c>
      <c r="N4533" s="31" t="str">
        <f aca="false">IF(G4533&lt;=INDEX(Assumptions!$B$15:$B$18,MATCH(E4533,Assumptions!$A$15:$A$18,0)),"Yes","No")</f>
        <v>Yes</v>
      </c>
      <c r="O4533" s="31" t="str">
        <f aca="false">IF(H4533="","Open",IF(H4533&lt;=INDEX(Assumptions!$C$15:$C$18,MATCH(E4533,Assumptions!$A$15:$A$18,0)),"Yes","No"))</f>
        <v>Yes</v>
      </c>
    </row>
    <row r="4534" customFormat="false" ht="15" hidden="false" customHeight="false" outlineLevel="0" collapsed="false">
      <c r="A4534" s="31" t="s">
        <v>4684</v>
      </c>
      <c r="B4534" s="44" t="n">
        <v>46266</v>
      </c>
      <c r="C4534" s="31" t="s">
        <v>58</v>
      </c>
      <c r="D4534" s="31" t="s">
        <v>68</v>
      </c>
      <c r="E4534" s="31" t="s">
        <v>50</v>
      </c>
      <c r="F4534" s="31" t="s">
        <v>126</v>
      </c>
      <c r="G4534" s="31" t="n">
        <v>22</v>
      </c>
      <c r="H4534" s="41" t="n">
        <v>3.9</v>
      </c>
      <c r="I4534" s="31" t="s">
        <v>149</v>
      </c>
      <c r="J4534" s="31" t="n">
        <v>5</v>
      </c>
      <c r="K4534" s="31" t="s">
        <v>150</v>
      </c>
      <c r="L4534" s="45" t="n">
        <f aca="false">DATE(YEAR(B4534),MONTH(B4534),1)</f>
        <v>46266</v>
      </c>
      <c r="M4534" s="31" t="n">
        <f aca="false">WEEKDAY(B4534,2)</f>
        <v>2</v>
      </c>
      <c r="N4534" s="31" t="str">
        <f aca="false">IF(G4534&lt;=INDEX(Assumptions!$B$15:$B$18,MATCH(E4534,Assumptions!$A$15:$A$18,0)),"Yes","No")</f>
        <v>Yes</v>
      </c>
      <c r="O4534" s="31" t="str">
        <f aca="false">IF(H4534="","Open",IF(H4534&lt;=INDEX(Assumptions!$C$15:$C$18,MATCH(E4534,Assumptions!$A$15:$A$18,0)),"Yes","No"))</f>
        <v>Yes</v>
      </c>
    </row>
    <row r="4535" customFormat="false" ht="15" hidden="false" customHeight="false" outlineLevel="0" collapsed="false">
      <c r="A4535" s="31" t="s">
        <v>4685</v>
      </c>
      <c r="B4535" s="44" t="n">
        <v>46266</v>
      </c>
      <c r="C4535" s="31" t="s">
        <v>58</v>
      </c>
      <c r="D4535" s="31" t="s">
        <v>65</v>
      </c>
      <c r="E4535" s="31" t="s">
        <v>49</v>
      </c>
      <c r="F4535" s="31" t="s">
        <v>120</v>
      </c>
      <c r="G4535" s="31" t="n">
        <v>10</v>
      </c>
      <c r="H4535" s="41" t="n">
        <v>7.2</v>
      </c>
      <c r="I4535" s="31" t="s">
        <v>149</v>
      </c>
      <c r="J4535" s="31"/>
      <c r="K4535" s="31" t="s">
        <v>150</v>
      </c>
      <c r="L4535" s="45" t="n">
        <f aca="false">DATE(YEAR(B4535),MONTH(B4535),1)</f>
        <v>46266</v>
      </c>
      <c r="M4535" s="31" t="n">
        <f aca="false">WEEKDAY(B4535,2)</f>
        <v>2</v>
      </c>
      <c r="N4535" s="31" t="str">
        <f aca="false">IF(G4535&lt;=INDEX(Assumptions!$B$15:$B$18,MATCH(E4535,Assumptions!$A$15:$A$18,0)),"Yes","No")</f>
        <v>Yes</v>
      </c>
      <c r="O4535" s="31" t="str">
        <f aca="false">IF(H4535="","Open",IF(H4535&lt;=INDEX(Assumptions!$C$15:$C$18,MATCH(E4535,Assumptions!$A$15:$A$18,0)),"Yes","No"))</f>
        <v>No</v>
      </c>
    </row>
    <row r="4536" customFormat="false" ht="15" hidden="false" customHeight="false" outlineLevel="0" collapsed="false">
      <c r="A4536" s="31" t="s">
        <v>4686</v>
      </c>
      <c r="B4536" s="44" t="n">
        <v>46266</v>
      </c>
      <c r="C4536" s="31" t="s">
        <v>58</v>
      </c>
      <c r="D4536" s="31" t="s">
        <v>66</v>
      </c>
      <c r="E4536" s="31" t="s">
        <v>49</v>
      </c>
      <c r="F4536" s="31" t="s">
        <v>129</v>
      </c>
      <c r="G4536" s="31" t="n">
        <v>7</v>
      </c>
      <c r="H4536" s="41" t="n">
        <v>3.2</v>
      </c>
      <c r="I4536" s="31" t="s">
        <v>149</v>
      </c>
      <c r="J4536" s="31" t="n">
        <v>5</v>
      </c>
      <c r="K4536" s="31" t="s">
        <v>150</v>
      </c>
      <c r="L4536" s="45" t="n">
        <f aca="false">DATE(YEAR(B4536),MONTH(B4536),1)</f>
        <v>46266</v>
      </c>
      <c r="M4536" s="31" t="n">
        <f aca="false">WEEKDAY(B4536,2)</f>
        <v>2</v>
      </c>
      <c r="N4536" s="31" t="str">
        <f aca="false">IF(G4536&lt;=INDEX(Assumptions!$B$15:$B$18,MATCH(E4536,Assumptions!$A$15:$A$18,0)),"Yes","No")</f>
        <v>Yes</v>
      </c>
      <c r="O4536" s="31" t="str">
        <f aca="false">IF(H4536="","Open",IF(H4536&lt;=INDEX(Assumptions!$C$15:$C$18,MATCH(E4536,Assumptions!$A$15:$A$18,0)),"Yes","No"))</f>
        <v>Yes</v>
      </c>
    </row>
    <row r="4537" customFormat="false" ht="15" hidden="false" customHeight="false" outlineLevel="0" collapsed="false">
      <c r="A4537" s="31" t="s">
        <v>4687</v>
      </c>
      <c r="B4537" s="44" t="n">
        <v>46266</v>
      </c>
      <c r="C4537" s="31" t="s">
        <v>60</v>
      </c>
      <c r="D4537" s="31" t="s">
        <v>65</v>
      </c>
      <c r="E4537" s="31" t="s">
        <v>52</v>
      </c>
      <c r="F4537" s="31" t="s">
        <v>137</v>
      </c>
      <c r="G4537" s="31" t="n">
        <v>10</v>
      </c>
      <c r="H4537" s="41" t="n">
        <v>9.8</v>
      </c>
      <c r="I4537" s="31" t="s">
        <v>149</v>
      </c>
      <c r="J4537" s="31" t="n">
        <v>4</v>
      </c>
      <c r="K4537" s="31" t="s">
        <v>150</v>
      </c>
      <c r="L4537" s="45" t="n">
        <f aca="false">DATE(YEAR(B4537),MONTH(B4537),1)</f>
        <v>46266</v>
      </c>
      <c r="M4537" s="31" t="n">
        <f aca="false">WEEKDAY(B4537,2)</f>
        <v>2</v>
      </c>
      <c r="N4537" s="31" t="str">
        <f aca="false">IF(G4537&lt;=INDEX(Assumptions!$B$15:$B$18,MATCH(E4537,Assumptions!$A$15:$A$18,0)),"Yes","No")</f>
        <v>Yes</v>
      </c>
      <c r="O4537" s="31" t="str">
        <f aca="false">IF(H4537="","Open",IF(H4537&lt;=INDEX(Assumptions!$C$15:$C$18,MATCH(E4537,Assumptions!$A$15:$A$18,0)),"Yes","No"))</f>
        <v>Yes</v>
      </c>
    </row>
    <row r="4538" customFormat="false" ht="15" hidden="false" customHeight="false" outlineLevel="0" collapsed="false">
      <c r="A4538" s="31" t="s">
        <v>4688</v>
      </c>
      <c r="B4538" s="44" t="n">
        <v>46266</v>
      </c>
      <c r="C4538" s="31" t="s">
        <v>58</v>
      </c>
      <c r="D4538" s="31" t="s">
        <v>67</v>
      </c>
      <c r="E4538" s="31" t="s">
        <v>50</v>
      </c>
      <c r="F4538" s="31" t="s">
        <v>137</v>
      </c>
      <c r="G4538" s="31" t="n">
        <v>4</v>
      </c>
      <c r="H4538" s="41" t="n">
        <v>3</v>
      </c>
      <c r="I4538" s="31" t="s">
        <v>149</v>
      </c>
      <c r="J4538" s="31" t="n">
        <v>3</v>
      </c>
      <c r="K4538" s="31" t="s">
        <v>150</v>
      </c>
      <c r="L4538" s="45" t="n">
        <f aca="false">DATE(YEAR(B4538),MONTH(B4538),1)</f>
        <v>46266</v>
      </c>
      <c r="M4538" s="31" t="n">
        <f aca="false">WEEKDAY(B4538,2)</f>
        <v>2</v>
      </c>
      <c r="N4538" s="31" t="str">
        <f aca="false">IF(G4538&lt;=INDEX(Assumptions!$B$15:$B$18,MATCH(E4538,Assumptions!$A$15:$A$18,0)),"Yes","No")</f>
        <v>Yes</v>
      </c>
      <c r="O4538" s="31" t="str">
        <f aca="false">IF(H4538="","Open",IF(H4538&lt;=INDEX(Assumptions!$C$15:$C$18,MATCH(E4538,Assumptions!$A$15:$A$18,0)),"Yes","No"))</f>
        <v>Yes</v>
      </c>
    </row>
    <row r="4539" customFormat="false" ht="15" hidden="false" customHeight="false" outlineLevel="0" collapsed="false">
      <c r="A4539" s="31" t="s">
        <v>4689</v>
      </c>
      <c r="B4539" s="44" t="n">
        <v>46266</v>
      </c>
      <c r="C4539" s="31" t="s">
        <v>57</v>
      </c>
      <c r="D4539" s="31" t="s">
        <v>68</v>
      </c>
      <c r="E4539" s="31" t="s">
        <v>51</v>
      </c>
      <c r="F4539" s="31" t="s">
        <v>134</v>
      </c>
      <c r="G4539" s="31" t="n">
        <v>8</v>
      </c>
      <c r="H4539" s="41" t="n">
        <v>10.7</v>
      </c>
      <c r="I4539" s="31" t="s">
        <v>149</v>
      </c>
      <c r="J4539" s="31" t="n">
        <v>4</v>
      </c>
      <c r="K4539" s="31" t="s">
        <v>150</v>
      </c>
      <c r="L4539" s="45" t="n">
        <f aca="false">DATE(YEAR(B4539),MONTH(B4539),1)</f>
        <v>46266</v>
      </c>
      <c r="M4539" s="31" t="n">
        <f aca="false">WEEKDAY(B4539,2)</f>
        <v>2</v>
      </c>
      <c r="N4539" s="31" t="str">
        <f aca="false">IF(G4539&lt;=INDEX(Assumptions!$B$15:$B$18,MATCH(E4539,Assumptions!$A$15:$A$18,0)),"Yes","No")</f>
        <v>Yes</v>
      </c>
      <c r="O4539" s="31" t="str">
        <f aca="false">IF(H4539="","Open",IF(H4539&lt;=INDEX(Assumptions!$C$15:$C$18,MATCH(E4539,Assumptions!$A$15:$A$18,0)),"Yes","No"))</f>
        <v>Yes</v>
      </c>
    </row>
    <row r="4540" customFormat="false" ht="15" hidden="false" customHeight="false" outlineLevel="0" collapsed="false">
      <c r="A4540" s="31" t="s">
        <v>4690</v>
      </c>
      <c r="B4540" s="44" t="n">
        <v>46266</v>
      </c>
      <c r="C4540" s="31" t="s">
        <v>58</v>
      </c>
      <c r="D4540" s="31" t="s">
        <v>66</v>
      </c>
      <c r="E4540" s="31" t="s">
        <v>51</v>
      </c>
      <c r="F4540" s="31" t="s">
        <v>126</v>
      </c>
      <c r="G4540" s="31" t="n">
        <v>7</v>
      </c>
      <c r="H4540" s="41" t="n">
        <v>3.8</v>
      </c>
      <c r="I4540" s="31" t="s">
        <v>149</v>
      </c>
      <c r="J4540" s="31" t="n">
        <v>5</v>
      </c>
      <c r="K4540" s="31" t="s">
        <v>150</v>
      </c>
      <c r="L4540" s="45" t="n">
        <f aca="false">DATE(YEAR(B4540),MONTH(B4540),1)</f>
        <v>46266</v>
      </c>
      <c r="M4540" s="31" t="n">
        <f aca="false">WEEKDAY(B4540,2)</f>
        <v>2</v>
      </c>
      <c r="N4540" s="31" t="str">
        <f aca="false">IF(G4540&lt;=INDEX(Assumptions!$B$15:$B$18,MATCH(E4540,Assumptions!$A$15:$A$18,0)),"Yes","No")</f>
        <v>Yes</v>
      </c>
      <c r="O4540" s="31" t="str">
        <f aca="false">IF(H4540="","Open",IF(H4540&lt;=INDEX(Assumptions!$C$15:$C$18,MATCH(E4540,Assumptions!$A$15:$A$18,0)),"Yes","No"))</f>
        <v>Yes</v>
      </c>
    </row>
    <row r="4541" customFormat="false" ht="15" hidden="false" customHeight="false" outlineLevel="0" collapsed="false">
      <c r="A4541" s="31" t="s">
        <v>4691</v>
      </c>
      <c r="B4541" s="44" t="n">
        <v>46266</v>
      </c>
      <c r="C4541" s="31" t="s">
        <v>58</v>
      </c>
      <c r="D4541" s="31" t="s">
        <v>65</v>
      </c>
      <c r="E4541" s="31" t="s">
        <v>50</v>
      </c>
      <c r="F4541" s="31" t="s">
        <v>123</v>
      </c>
      <c r="G4541" s="31" t="n">
        <v>5</v>
      </c>
      <c r="H4541" s="41" t="n">
        <v>3.3</v>
      </c>
      <c r="I4541" s="31" t="s">
        <v>149</v>
      </c>
      <c r="J4541" s="31" t="n">
        <v>4</v>
      </c>
      <c r="K4541" s="31" t="s">
        <v>150</v>
      </c>
      <c r="L4541" s="45" t="n">
        <f aca="false">DATE(YEAR(B4541),MONTH(B4541),1)</f>
        <v>46266</v>
      </c>
      <c r="M4541" s="31" t="n">
        <f aca="false">WEEKDAY(B4541,2)</f>
        <v>2</v>
      </c>
      <c r="N4541" s="31" t="str">
        <f aca="false">IF(G4541&lt;=INDEX(Assumptions!$B$15:$B$18,MATCH(E4541,Assumptions!$A$15:$A$18,0)),"Yes","No")</f>
        <v>Yes</v>
      </c>
      <c r="O4541" s="31" t="str">
        <f aca="false">IF(H4541="","Open",IF(H4541&lt;=INDEX(Assumptions!$C$15:$C$18,MATCH(E4541,Assumptions!$A$15:$A$18,0)),"Yes","No"))</f>
        <v>Yes</v>
      </c>
    </row>
    <row r="4542" customFormat="false" ht="15" hidden="false" customHeight="false" outlineLevel="0" collapsed="false">
      <c r="A4542" s="31" t="s">
        <v>4692</v>
      </c>
      <c r="B4542" s="44" t="n">
        <v>46266</v>
      </c>
      <c r="C4542" s="31" t="s">
        <v>60</v>
      </c>
      <c r="D4542" s="31" t="s">
        <v>66</v>
      </c>
      <c r="E4542" s="31" t="s">
        <v>51</v>
      </c>
      <c r="F4542" s="31" t="s">
        <v>121</v>
      </c>
      <c r="G4542" s="31" t="n">
        <v>5</v>
      </c>
      <c r="H4542" s="41" t="n">
        <v>2.7</v>
      </c>
      <c r="I4542" s="31" t="s">
        <v>149</v>
      </c>
      <c r="J4542" s="31" t="n">
        <v>5</v>
      </c>
      <c r="K4542" s="31" t="s">
        <v>153</v>
      </c>
      <c r="L4542" s="45" t="n">
        <f aca="false">DATE(YEAR(B4542),MONTH(B4542),1)</f>
        <v>46266</v>
      </c>
      <c r="M4542" s="31" t="n">
        <f aca="false">WEEKDAY(B4542,2)</f>
        <v>2</v>
      </c>
      <c r="N4542" s="31" t="str">
        <f aca="false">IF(G4542&lt;=INDEX(Assumptions!$B$15:$B$18,MATCH(E4542,Assumptions!$A$15:$A$18,0)),"Yes","No")</f>
        <v>Yes</v>
      </c>
      <c r="O4542" s="31" t="str">
        <f aca="false">IF(H4542="","Open",IF(H4542&lt;=INDEX(Assumptions!$C$15:$C$18,MATCH(E4542,Assumptions!$A$15:$A$18,0)),"Yes","No"))</f>
        <v>Yes</v>
      </c>
    </row>
    <row r="4543" customFormat="false" ht="15" hidden="false" customHeight="false" outlineLevel="0" collapsed="false">
      <c r="A4543" s="31" t="s">
        <v>4693</v>
      </c>
      <c r="B4543" s="44" t="n">
        <v>46266</v>
      </c>
      <c r="C4543" s="31" t="s">
        <v>57</v>
      </c>
      <c r="D4543" s="31" t="s">
        <v>66</v>
      </c>
      <c r="E4543" s="31" t="s">
        <v>51</v>
      </c>
      <c r="F4543" s="31" t="s">
        <v>117</v>
      </c>
      <c r="G4543" s="31" t="n">
        <v>3</v>
      </c>
      <c r="H4543" s="41" t="n">
        <v>10.7</v>
      </c>
      <c r="I4543" s="31" t="s">
        <v>149</v>
      </c>
      <c r="J4543" s="31" t="n">
        <v>5</v>
      </c>
      <c r="K4543" s="31" t="s">
        <v>150</v>
      </c>
      <c r="L4543" s="45" t="n">
        <f aca="false">DATE(YEAR(B4543),MONTH(B4543),1)</f>
        <v>46266</v>
      </c>
      <c r="M4543" s="31" t="n">
        <f aca="false">WEEKDAY(B4543,2)</f>
        <v>2</v>
      </c>
      <c r="N4543" s="31" t="str">
        <f aca="false">IF(G4543&lt;=INDEX(Assumptions!$B$15:$B$18,MATCH(E4543,Assumptions!$A$15:$A$18,0)),"Yes","No")</f>
        <v>Yes</v>
      </c>
      <c r="O4543" s="31" t="str">
        <f aca="false">IF(H4543="","Open",IF(H4543&lt;=INDEX(Assumptions!$C$15:$C$18,MATCH(E4543,Assumptions!$A$15:$A$18,0)),"Yes","No"))</f>
        <v>Yes</v>
      </c>
    </row>
    <row r="4544" customFormat="false" ht="15" hidden="false" customHeight="false" outlineLevel="0" collapsed="false">
      <c r="A4544" s="31" t="s">
        <v>4694</v>
      </c>
      <c r="B4544" s="44" t="n">
        <v>46266</v>
      </c>
      <c r="C4544" s="31" t="s">
        <v>58</v>
      </c>
      <c r="D4544" s="31" t="s">
        <v>66</v>
      </c>
      <c r="E4544" s="31" t="s">
        <v>50</v>
      </c>
      <c r="F4544" s="31" t="s">
        <v>122</v>
      </c>
      <c r="G4544" s="31" t="n">
        <v>8</v>
      </c>
      <c r="H4544" s="41" t="n">
        <v>1.3</v>
      </c>
      <c r="I4544" s="31" t="s">
        <v>149</v>
      </c>
      <c r="J4544" s="31"/>
      <c r="K4544" s="31" t="s">
        <v>150</v>
      </c>
      <c r="L4544" s="45" t="n">
        <f aca="false">DATE(YEAR(B4544),MONTH(B4544),1)</f>
        <v>46266</v>
      </c>
      <c r="M4544" s="31" t="n">
        <f aca="false">WEEKDAY(B4544,2)</f>
        <v>2</v>
      </c>
      <c r="N4544" s="31" t="str">
        <f aca="false">IF(G4544&lt;=INDEX(Assumptions!$B$15:$B$18,MATCH(E4544,Assumptions!$A$15:$A$18,0)),"Yes","No")</f>
        <v>Yes</v>
      </c>
      <c r="O4544" s="31" t="str">
        <f aca="false">IF(H4544="","Open",IF(H4544&lt;=INDEX(Assumptions!$C$15:$C$18,MATCH(E4544,Assumptions!$A$15:$A$18,0)),"Yes","No"))</f>
        <v>Yes</v>
      </c>
    </row>
    <row r="4545" customFormat="false" ht="15" hidden="false" customHeight="false" outlineLevel="0" collapsed="false">
      <c r="A4545" s="31" t="s">
        <v>4695</v>
      </c>
      <c r="B4545" s="44" t="n">
        <v>46266</v>
      </c>
      <c r="C4545" s="31" t="s">
        <v>59</v>
      </c>
      <c r="D4545" s="31" t="s">
        <v>65</v>
      </c>
      <c r="E4545" s="31" t="s">
        <v>50</v>
      </c>
      <c r="F4545" s="31" t="s">
        <v>129</v>
      </c>
      <c r="G4545" s="31" t="n">
        <v>39</v>
      </c>
      <c r="H4545" s="41" t="n">
        <v>4.7</v>
      </c>
      <c r="I4545" s="31" t="s">
        <v>149</v>
      </c>
      <c r="J4545" s="31"/>
      <c r="K4545" s="31" t="s">
        <v>150</v>
      </c>
      <c r="L4545" s="45" t="n">
        <f aca="false">DATE(YEAR(B4545),MONTH(B4545),1)</f>
        <v>46266</v>
      </c>
      <c r="M4545" s="31" t="n">
        <f aca="false">WEEKDAY(B4545,2)</f>
        <v>2</v>
      </c>
      <c r="N4545" s="31" t="str">
        <f aca="false">IF(G4545&lt;=INDEX(Assumptions!$B$15:$B$18,MATCH(E4545,Assumptions!$A$15:$A$18,0)),"Yes","No")</f>
        <v>No</v>
      </c>
      <c r="O4545" s="31" t="str">
        <f aca="false">IF(H4545="","Open",IF(H4545&lt;=INDEX(Assumptions!$C$15:$C$18,MATCH(E4545,Assumptions!$A$15:$A$18,0)),"Yes","No"))</f>
        <v>Yes</v>
      </c>
    </row>
    <row r="4546" customFormat="false" ht="15" hidden="false" customHeight="false" outlineLevel="0" collapsed="false">
      <c r="A4546" s="31" t="s">
        <v>4696</v>
      </c>
      <c r="B4546" s="44" t="n">
        <v>46266</v>
      </c>
      <c r="C4546" s="31" t="s">
        <v>57</v>
      </c>
      <c r="D4546" s="31" t="s">
        <v>65</v>
      </c>
      <c r="E4546" s="31" t="s">
        <v>51</v>
      </c>
      <c r="F4546" s="31" t="s">
        <v>117</v>
      </c>
      <c r="G4546" s="31" t="n">
        <v>1</v>
      </c>
      <c r="H4546" s="41" t="n">
        <v>6.3</v>
      </c>
      <c r="I4546" s="31" t="s">
        <v>149</v>
      </c>
      <c r="J4546" s="31"/>
      <c r="K4546" s="31" t="s">
        <v>150</v>
      </c>
      <c r="L4546" s="45" t="n">
        <f aca="false">DATE(YEAR(B4546),MONTH(B4546),1)</f>
        <v>46266</v>
      </c>
      <c r="M4546" s="31" t="n">
        <f aca="false">WEEKDAY(B4546,2)</f>
        <v>2</v>
      </c>
      <c r="N4546" s="31" t="str">
        <f aca="false">IF(G4546&lt;=INDEX(Assumptions!$B$15:$B$18,MATCH(E4546,Assumptions!$A$15:$A$18,0)),"Yes","No")</f>
        <v>Yes</v>
      </c>
      <c r="O4546" s="31" t="str">
        <f aca="false">IF(H4546="","Open",IF(H4546&lt;=INDEX(Assumptions!$C$15:$C$18,MATCH(E4546,Assumptions!$A$15:$A$18,0)),"Yes","No"))</f>
        <v>Yes</v>
      </c>
    </row>
    <row r="4547" customFormat="false" ht="15" hidden="false" customHeight="false" outlineLevel="0" collapsed="false">
      <c r="A4547" s="31" t="s">
        <v>4697</v>
      </c>
      <c r="B4547" s="44" t="n">
        <v>46266</v>
      </c>
      <c r="C4547" s="31" t="s">
        <v>58</v>
      </c>
      <c r="D4547" s="31" t="s">
        <v>66</v>
      </c>
      <c r="E4547" s="31" t="s">
        <v>50</v>
      </c>
      <c r="F4547" s="31" t="s">
        <v>126</v>
      </c>
      <c r="G4547" s="31" t="n">
        <v>9</v>
      </c>
      <c r="H4547" s="41" t="n">
        <v>1.2</v>
      </c>
      <c r="I4547" s="31" t="s">
        <v>149</v>
      </c>
      <c r="J4547" s="31" t="n">
        <v>5</v>
      </c>
      <c r="K4547" s="31" t="s">
        <v>150</v>
      </c>
      <c r="L4547" s="45" t="n">
        <f aca="false">DATE(YEAR(B4547),MONTH(B4547),1)</f>
        <v>46266</v>
      </c>
      <c r="M4547" s="31" t="n">
        <f aca="false">WEEKDAY(B4547,2)</f>
        <v>2</v>
      </c>
      <c r="N4547" s="31" t="str">
        <f aca="false">IF(G4547&lt;=INDEX(Assumptions!$B$15:$B$18,MATCH(E4547,Assumptions!$A$15:$A$18,0)),"Yes","No")</f>
        <v>Yes</v>
      </c>
      <c r="O4547" s="31" t="str">
        <f aca="false">IF(H4547="","Open",IF(H4547&lt;=INDEX(Assumptions!$C$15:$C$18,MATCH(E4547,Assumptions!$A$15:$A$18,0)),"Yes","No"))</f>
        <v>Yes</v>
      </c>
    </row>
    <row r="4548" customFormat="false" ht="15" hidden="false" customHeight="false" outlineLevel="0" collapsed="false">
      <c r="A4548" s="31" t="s">
        <v>4698</v>
      </c>
      <c r="B4548" s="44" t="n">
        <v>46266</v>
      </c>
      <c r="C4548" s="31" t="s">
        <v>58</v>
      </c>
      <c r="D4548" s="31" t="s">
        <v>65</v>
      </c>
      <c r="E4548" s="31" t="s">
        <v>51</v>
      </c>
      <c r="F4548" s="31" t="s">
        <v>120</v>
      </c>
      <c r="G4548" s="31" t="n">
        <v>7</v>
      </c>
      <c r="H4548" s="41" t="n">
        <v>7.9</v>
      </c>
      <c r="I4548" s="31" t="s">
        <v>149</v>
      </c>
      <c r="J4548" s="31" t="n">
        <v>4</v>
      </c>
      <c r="K4548" s="31" t="s">
        <v>150</v>
      </c>
      <c r="L4548" s="45" t="n">
        <f aca="false">DATE(YEAR(B4548),MONTH(B4548),1)</f>
        <v>46266</v>
      </c>
      <c r="M4548" s="31" t="n">
        <f aca="false">WEEKDAY(B4548,2)</f>
        <v>2</v>
      </c>
      <c r="N4548" s="31" t="str">
        <f aca="false">IF(G4548&lt;=INDEX(Assumptions!$B$15:$B$18,MATCH(E4548,Assumptions!$A$15:$A$18,0)),"Yes","No")</f>
        <v>Yes</v>
      </c>
      <c r="O4548" s="31" t="str">
        <f aca="false">IF(H4548="","Open",IF(H4548&lt;=INDEX(Assumptions!$C$15:$C$18,MATCH(E4548,Assumptions!$A$15:$A$18,0)),"Yes","No"))</f>
        <v>Yes</v>
      </c>
    </row>
    <row r="4549" customFormat="false" ht="15" hidden="false" customHeight="false" outlineLevel="0" collapsed="false">
      <c r="A4549" s="31" t="s">
        <v>4699</v>
      </c>
      <c r="B4549" s="44" t="n">
        <v>46266</v>
      </c>
      <c r="C4549" s="31" t="s">
        <v>59</v>
      </c>
      <c r="D4549" s="31" t="s">
        <v>68</v>
      </c>
      <c r="E4549" s="31" t="s">
        <v>52</v>
      </c>
      <c r="F4549" s="31" t="s">
        <v>133</v>
      </c>
      <c r="G4549" s="31" t="n">
        <v>294</v>
      </c>
      <c r="H4549" s="41" t="n">
        <v>3.7</v>
      </c>
      <c r="I4549" s="31" t="s">
        <v>149</v>
      </c>
      <c r="J4549" s="31" t="n">
        <v>5</v>
      </c>
      <c r="K4549" s="31" t="s">
        <v>150</v>
      </c>
      <c r="L4549" s="45" t="n">
        <f aca="false">DATE(YEAR(B4549),MONTH(B4549),1)</f>
        <v>46266</v>
      </c>
      <c r="M4549" s="31" t="n">
        <f aca="false">WEEKDAY(B4549,2)</f>
        <v>2</v>
      </c>
      <c r="N4549" s="31" t="str">
        <f aca="false">IF(G4549&lt;=INDEX(Assumptions!$B$15:$B$18,MATCH(E4549,Assumptions!$A$15:$A$18,0)),"Yes","No")</f>
        <v>No</v>
      </c>
      <c r="O4549" s="31" t="str">
        <f aca="false">IF(H4549="","Open",IF(H4549&lt;=INDEX(Assumptions!$C$15:$C$18,MATCH(E4549,Assumptions!$A$15:$A$18,0)),"Yes","No"))</f>
        <v>Yes</v>
      </c>
    </row>
    <row r="4550" customFormat="false" ht="15" hidden="false" customHeight="false" outlineLevel="0" collapsed="false">
      <c r="A4550" s="31" t="s">
        <v>4700</v>
      </c>
      <c r="B4550" s="44" t="n">
        <v>46266</v>
      </c>
      <c r="C4550" s="31" t="s">
        <v>59</v>
      </c>
      <c r="D4550" s="31" t="s">
        <v>66</v>
      </c>
      <c r="E4550" s="31" t="s">
        <v>51</v>
      </c>
      <c r="F4550" s="31" t="s">
        <v>124</v>
      </c>
      <c r="G4550" s="31" t="n">
        <v>17</v>
      </c>
      <c r="H4550" s="41" t="n">
        <v>21.8</v>
      </c>
      <c r="I4550" s="31" t="s">
        <v>149</v>
      </c>
      <c r="J4550" s="31" t="n">
        <v>4</v>
      </c>
      <c r="K4550" s="31" t="s">
        <v>150</v>
      </c>
      <c r="L4550" s="45" t="n">
        <f aca="false">DATE(YEAR(B4550),MONTH(B4550),1)</f>
        <v>46266</v>
      </c>
      <c r="M4550" s="31" t="n">
        <f aca="false">WEEKDAY(B4550,2)</f>
        <v>2</v>
      </c>
      <c r="N4550" s="31" t="str">
        <f aca="false">IF(G4550&lt;=INDEX(Assumptions!$B$15:$B$18,MATCH(E4550,Assumptions!$A$15:$A$18,0)),"Yes","No")</f>
        <v>Yes</v>
      </c>
      <c r="O4550" s="31" t="str">
        <f aca="false">IF(H4550="","Open",IF(H4550&lt;=INDEX(Assumptions!$C$15:$C$18,MATCH(E4550,Assumptions!$A$15:$A$18,0)),"Yes","No"))</f>
        <v>Yes</v>
      </c>
    </row>
    <row r="4551" customFormat="false" ht="15" hidden="false" customHeight="false" outlineLevel="0" collapsed="false">
      <c r="A4551" s="31" t="s">
        <v>4701</v>
      </c>
      <c r="B4551" s="44" t="n">
        <v>46266</v>
      </c>
      <c r="C4551" s="31" t="s">
        <v>58</v>
      </c>
      <c r="D4551" s="31" t="s">
        <v>68</v>
      </c>
      <c r="E4551" s="31" t="s">
        <v>52</v>
      </c>
      <c r="F4551" s="31" t="s">
        <v>129</v>
      </c>
      <c r="G4551" s="31" t="n">
        <v>25</v>
      </c>
      <c r="H4551" s="41" t="n">
        <v>4.7</v>
      </c>
      <c r="I4551" s="31" t="s">
        <v>149</v>
      </c>
      <c r="J4551" s="31"/>
      <c r="K4551" s="31" t="s">
        <v>150</v>
      </c>
      <c r="L4551" s="45" t="n">
        <f aca="false">DATE(YEAR(B4551),MONTH(B4551),1)</f>
        <v>46266</v>
      </c>
      <c r="M4551" s="31" t="n">
        <f aca="false">WEEKDAY(B4551,2)</f>
        <v>2</v>
      </c>
      <c r="N4551" s="31" t="str">
        <f aca="false">IF(G4551&lt;=INDEX(Assumptions!$B$15:$B$18,MATCH(E4551,Assumptions!$A$15:$A$18,0)),"Yes","No")</f>
        <v>Yes</v>
      </c>
      <c r="O4551" s="31" t="str">
        <f aca="false">IF(H4551="","Open",IF(H4551&lt;=INDEX(Assumptions!$C$15:$C$18,MATCH(E4551,Assumptions!$A$15:$A$18,0)),"Yes","No"))</f>
        <v>Yes</v>
      </c>
    </row>
    <row r="4552" customFormat="false" ht="15" hidden="false" customHeight="false" outlineLevel="0" collapsed="false">
      <c r="A4552" s="31" t="s">
        <v>4702</v>
      </c>
      <c r="B4552" s="44" t="n">
        <v>46266</v>
      </c>
      <c r="C4552" s="31" t="s">
        <v>57</v>
      </c>
      <c r="D4552" s="31" t="s">
        <v>66</v>
      </c>
      <c r="E4552" s="31" t="s">
        <v>50</v>
      </c>
      <c r="F4552" s="31" t="s">
        <v>136</v>
      </c>
      <c r="G4552" s="31" t="n">
        <v>6</v>
      </c>
      <c r="H4552" s="41" t="n">
        <v>1.1</v>
      </c>
      <c r="I4552" s="31" t="s">
        <v>149</v>
      </c>
      <c r="J4552" s="31"/>
      <c r="K4552" s="31" t="s">
        <v>150</v>
      </c>
      <c r="L4552" s="45" t="n">
        <f aca="false">DATE(YEAR(B4552),MONTH(B4552),1)</f>
        <v>46266</v>
      </c>
      <c r="M4552" s="31" t="n">
        <f aca="false">WEEKDAY(B4552,2)</f>
        <v>2</v>
      </c>
      <c r="N4552" s="31" t="str">
        <f aca="false">IF(G4552&lt;=INDEX(Assumptions!$B$15:$B$18,MATCH(E4552,Assumptions!$A$15:$A$18,0)),"Yes","No")</f>
        <v>Yes</v>
      </c>
      <c r="O4552" s="31" t="str">
        <f aca="false">IF(H4552="","Open",IF(H4552&lt;=INDEX(Assumptions!$C$15:$C$18,MATCH(E4552,Assumptions!$A$15:$A$18,0)),"Yes","No"))</f>
        <v>Yes</v>
      </c>
    </row>
    <row r="4553" customFormat="false" ht="15" hidden="false" customHeight="false" outlineLevel="0" collapsed="false">
      <c r="A4553" s="31" t="s">
        <v>4703</v>
      </c>
      <c r="B4553" s="44" t="n">
        <v>46266</v>
      </c>
      <c r="C4553" s="31" t="s">
        <v>57</v>
      </c>
      <c r="D4553" s="31" t="s">
        <v>67</v>
      </c>
      <c r="E4553" s="31" t="s">
        <v>51</v>
      </c>
      <c r="F4553" s="31" t="s">
        <v>122</v>
      </c>
      <c r="G4553" s="31" t="n">
        <v>1</v>
      </c>
      <c r="H4553" s="41" t="n">
        <v>21.5</v>
      </c>
      <c r="I4553" s="31" t="s">
        <v>149</v>
      </c>
      <c r="J4553" s="31"/>
      <c r="K4553" s="31" t="s">
        <v>150</v>
      </c>
      <c r="L4553" s="45" t="n">
        <f aca="false">DATE(YEAR(B4553),MONTH(B4553),1)</f>
        <v>46266</v>
      </c>
      <c r="M4553" s="31" t="n">
        <f aca="false">WEEKDAY(B4553,2)</f>
        <v>2</v>
      </c>
      <c r="N4553" s="31" t="str">
        <f aca="false">IF(G4553&lt;=INDEX(Assumptions!$B$15:$B$18,MATCH(E4553,Assumptions!$A$15:$A$18,0)),"Yes","No")</f>
        <v>Yes</v>
      </c>
      <c r="O4553" s="31" t="str">
        <f aca="false">IF(H4553="","Open",IF(H4553&lt;=INDEX(Assumptions!$C$15:$C$18,MATCH(E4553,Assumptions!$A$15:$A$18,0)),"Yes","No"))</f>
        <v>Yes</v>
      </c>
    </row>
    <row r="4554" customFormat="false" ht="15" hidden="false" customHeight="false" outlineLevel="0" collapsed="false">
      <c r="A4554" s="31" t="s">
        <v>4704</v>
      </c>
      <c r="B4554" s="44" t="n">
        <v>46266</v>
      </c>
      <c r="C4554" s="31" t="s">
        <v>59</v>
      </c>
      <c r="D4554" s="31" t="s">
        <v>66</v>
      </c>
      <c r="E4554" s="31" t="s">
        <v>51</v>
      </c>
      <c r="F4554" s="31" t="s">
        <v>136</v>
      </c>
      <c r="G4554" s="31" t="n">
        <v>59</v>
      </c>
      <c r="H4554" s="41" t="n">
        <v>29.3</v>
      </c>
      <c r="I4554" s="31" t="s">
        <v>149</v>
      </c>
      <c r="J4554" s="31" t="n">
        <v>5</v>
      </c>
      <c r="K4554" s="31" t="s">
        <v>150</v>
      </c>
      <c r="L4554" s="45" t="n">
        <f aca="false">DATE(YEAR(B4554),MONTH(B4554),1)</f>
        <v>46266</v>
      </c>
      <c r="M4554" s="31" t="n">
        <f aca="false">WEEKDAY(B4554,2)</f>
        <v>2</v>
      </c>
      <c r="N4554" s="31" t="str">
        <f aca="false">IF(G4554&lt;=INDEX(Assumptions!$B$15:$B$18,MATCH(E4554,Assumptions!$A$15:$A$18,0)),"Yes","No")</f>
        <v>Yes</v>
      </c>
      <c r="O4554" s="31" t="str">
        <f aca="false">IF(H4554="","Open",IF(H4554&lt;=INDEX(Assumptions!$C$15:$C$18,MATCH(E4554,Assumptions!$A$15:$A$18,0)),"Yes","No"))</f>
        <v>No</v>
      </c>
    </row>
    <row r="4555" customFormat="false" ht="15" hidden="false" customHeight="false" outlineLevel="0" collapsed="false">
      <c r="A4555" s="31" t="s">
        <v>4705</v>
      </c>
      <c r="B4555" s="44" t="n">
        <v>46266</v>
      </c>
      <c r="C4555" s="31" t="s">
        <v>59</v>
      </c>
      <c r="D4555" s="31" t="s">
        <v>68</v>
      </c>
      <c r="E4555" s="31" t="s">
        <v>50</v>
      </c>
      <c r="F4555" s="31" t="s">
        <v>119</v>
      </c>
      <c r="G4555" s="31" t="n">
        <v>55</v>
      </c>
      <c r="H4555" s="41" t="n">
        <v>0.5</v>
      </c>
      <c r="I4555" s="31" t="s">
        <v>149</v>
      </c>
      <c r="J4555" s="31"/>
      <c r="K4555" s="31" t="s">
        <v>153</v>
      </c>
      <c r="L4555" s="45" t="n">
        <f aca="false">DATE(YEAR(B4555),MONTH(B4555),1)</f>
        <v>46266</v>
      </c>
      <c r="M4555" s="31" t="n">
        <f aca="false">WEEKDAY(B4555,2)</f>
        <v>2</v>
      </c>
      <c r="N4555" s="31" t="str">
        <f aca="false">IF(G4555&lt;=INDEX(Assumptions!$B$15:$B$18,MATCH(E4555,Assumptions!$A$15:$A$18,0)),"Yes","No")</f>
        <v>No</v>
      </c>
      <c r="O4555" s="31" t="str">
        <f aca="false">IF(H4555="","Open",IF(H4555&lt;=INDEX(Assumptions!$C$15:$C$18,MATCH(E4555,Assumptions!$A$15:$A$18,0)),"Yes","No"))</f>
        <v>Yes</v>
      </c>
    </row>
    <row r="4556" customFormat="false" ht="15" hidden="false" customHeight="false" outlineLevel="0" collapsed="false">
      <c r="A4556" s="31" t="s">
        <v>4706</v>
      </c>
      <c r="B4556" s="44" t="n">
        <v>46266</v>
      </c>
      <c r="C4556" s="31" t="s">
        <v>57</v>
      </c>
      <c r="D4556" s="31" t="s">
        <v>67</v>
      </c>
      <c r="E4556" s="31" t="s">
        <v>49</v>
      </c>
      <c r="F4556" s="31" t="s">
        <v>127</v>
      </c>
      <c r="G4556" s="31" t="n">
        <v>4</v>
      </c>
      <c r="H4556" s="41"/>
      <c r="I4556" s="31" t="s">
        <v>158</v>
      </c>
      <c r="J4556" s="31"/>
      <c r="K4556" s="31" t="s">
        <v>150</v>
      </c>
      <c r="L4556" s="45" t="n">
        <f aca="false">DATE(YEAR(B4556),MONTH(B4556),1)</f>
        <v>46266</v>
      </c>
      <c r="M4556" s="31" t="n">
        <f aca="false">WEEKDAY(B4556,2)</f>
        <v>2</v>
      </c>
      <c r="N4556" s="31" t="str">
        <f aca="false">IF(G4556&lt;=INDEX(Assumptions!$B$15:$B$18,MATCH(E4556,Assumptions!$A$15:$A$18,0)),"Yes","No")</f>
        <v>Yes</v>
      </c>
      <c r="O4556" s="31" t="str">
        <f aca="false">IF(H4556="","Open",IF(H4556&lt;=INDEX(Assumptions!$C$15:$C$18,MATCH(E4556,Assumptions!$A$15:$A$18,0)),"Yes","No"))</f>
        <v>Open</v>
      </c>
    </row>
    <row r="4557" customFormat="false" ht="15" hidden="false" customHeight="false" outlineLevel="0" collapsed="false">
      <c r="A4557" s="31" t="s">
        <v>4707</v>
      </c>
      <c r="B4557" s="44" t="n">
        <v>46266</v>
      </c>
      <c r="C4557" s="31" t="s">
        <v>57</v>
      </c>
      <c r="D4557" s="31" t="s">
        <v>66</v>
      </c>
      <c r="E4557" s="31" t="s">
        <v>51</v>
      </c>
      <c r="F4557" s="31" t="s">
        <v>127</v>
      </c>
      <c r="G4557" s="31" t="n">
        <v>6</v>
      </c>
      <c r="H4557" s="41" t="n">
        <v>5.7</v>
      </c>
      <c r="I4557" s="31" t="s">
        <v>149</v>
      </c>
      <c r="J4557" s="31"/>
      <c r="K4557" s="31" t="s">
        <v>150</v>
      </c>
      <c r="L4557" s="45" t="n">
        <f aca="false">DATE(YEAR(B4557),MONTH(B4557),1)</f>
        <v>46266</v>
      </c>
      <c r="M4557" s="31" t="n">
        <f aca="false">WEEKDAY(B4557,2)</f>
        <v>2</v>
      </c>
      <c r="N4557" s="31" t="str">
        <f aca="false">IF(G4557&lt;=INDEX(Assumptions!$B$15:$B$18,MATCH(E4557,Assumptions!$A$15:$A$18,0)),"Yes","No")</f>
        <v>Yes</v>
      </c>
      <c r="O4557" s="31" t="str">
        <f aca="false">IF(H4557="","Open",IF(H4557&lt;=INDEX(Assumptions!$C$15:$C$18,MATCH(E4557,Assumptions!$A$15:$A$18,0)),"Yes","No"))</f>
        <v>Yes</v>
      </c>
    </row>
    <row r="4558" customFormat="false" ht="15" hidden="false" customHeight="false" outlineLevel="0" collapsed="false">
      <c r="A4558" s="31" t="s">
        <v>4708</v>
      </c>
      <c r="B4558" s="44" t="n">
        <v>46266</v>
      </c>
      <c r="C4558" s="31" t="s">
        <v>58</v>
      </c>
      <c r="D4558" s="31" t="s">
        <v>68</v>
      </c>
      <c r="E4558" s="31" t="s">
        <v>51</v>
      </c>
      <c r="F4558" s="31" t="s">
        <v>117</v>
      </c>
      <c r="G4558" s="31" t="n">
        <v>5</v>
      </c>
      <c r="H4558" s="41" t="n">
        <v>3</v>
      </c>
      <c r="I4558" s="31" t="s">
        <v>149</v>
      </c>
      <c r="J4558" s="31"/>
      <c r="K4558" s="31" t="s">
        <v>153</v>
      </c>
      <c r="L4558" s="45" t="n">
        <f aca="false">DATE(YEAR(B4558),MONTH(B4558),1)</f>
        <v>46266</v>
      </c>
      <c r="M4558" s="31" t="n">
        <f aca="false">WEEKDAY(B4558,2)</f>
        <v>2</v>
      </c>
      <c r="N4558" s="31" t="str">
        <f aca="false">IF(G4558&lt;=INDEX(Assumptions!$B$15:$B$18,MATCH(E4558,Assumptions!$A$15:$A$18,0)),"Yes","No")</f>
        <v>Yes</v>
      </c>
      <c r="O4558" s="31" t="str">
        <f aca="false">IF(H4558="","Open",IF(H4558&lt;=INDEX(Assumptions!$C$15:$C$18,MATCH(E4558,Assumptions!$A$15:$A$18,0)),"Yes","No"))</f>
        <v>Yes</v>
      </c>
    </row>
    <row r="4559" customFormat="false" ht="15" hidden="false" customHeight="false" outlineLevel="0" collapsed="false">
      <c r="A4559" s="31" t="s">
        <v>4709</v>
      </c>
      <c r="B4559" s="44" t="n">
        <v>46266</v>
      </c>
      <c r="C4559" s="31" t="s">
        <v>57</v>
      </c>
      <c r="D4559" s="31" t="s">
        <v>65</v>
      </c>
      <c r="E4559" s="31" t="s">
        <v>51</v>
      </c>
      <c r="F4559" s="31" t="s">
        <v>126</v>
      </c>
      <c r="G4559" s="31" t="n">
        <v>3</v>
      </c>
      <c r="H4559" s="41" t="n">
        <v>6.9</v>
      </c>
      <c r="I4559" s="31" t="s">
        <v>149</v>
      </c>
      <c r="J4559" s="31" t="n">
        <v>5</v>
      </c>
      <c r="K4559" s="31" t="s">
        <v>150</v>
      </c>
      <c r="L4559" s="45" t="n">
        <f aca="false">DATE(YEAR(B4559),MONTH(B4559),1)</f>
        <v>46266</v>
      </c>
      <c r="M4559" s="31" t="n">
        <f aca="false">WEEKDAY(B4559,2)</f>
        <v>2</v>
      </c>
      <c r="N4559" s="31" t="str">
        <f aca="false">IF(G4559&lt;=INDEX(Assumptions!$B$15:$B$18,MATCH(E4559,Assumptions!$A$15:$A$18,0)),"Yes","No")</f>
        <v>Yes</v>
      </c>
      <c r="O4559" s="31" t="str">
        <f aca="false">IF(H4559="","Open",IF(H4559&lt;=INDEX(Assumptions!$C$15:$C$18,MATCH(E4559,Assumptions!$A$15:$A$18,0)),"Yes","No"))</f>
        <v>Yes</v>
      </c>
    </row>
    <row r="4560" customFormat="false" ht="15" hidden="false" customHeight="false" outlineLevel="0" collapsed="false">
      <c r="A4560" s="31" t="s">
        <v>4710</v>
      </c>
      <c r="B4560" s="44" t="n">
        <v>46266</v>
      </c>
      <c r="C4560" s="31" t="s">
        <v>60</v>
      </c>
      <c r="D4560" s="31" t="s">
        <v>66</v>
      </c>
      <c r="E4560" s="31" t="s">
        <v>51</v>
      </c>
      <c r="F4560" s="31" t="s">
        <v>119</v>
      </c>
      <c r="G4560" s="31" t="n">
        <v>1</v>
      </c>
      <c r="H4560" s="41" t="n">
        <v>7.2</v>
      </c>
      <c r="I4560" s="31" t="s">
        <v>149</v>
      </c>
      <c r="J4560" s="31" t="n">
        <v>4</v>
      </c>
      <c r="K4560" s="31" t="s">
        <v>150</v>
      </c>
      <c r="L4560" s="45" t="n">
        <f aca="false">DATE(YEAR(B4560),MONTH(B4560),1)</f>
        <v>46266</v>
      </c>
      <c r="M4560" s="31" t="n">
        <f aca="false">WEEKDAY(B4560,2)</f>
        <v>2</v>
      </c>
      <c r="N4560" s="31" t="str">
        <f aca="false">IF(G4560&lt;=INDEX(Assumptions!$B$15:$B$18,MATCH(E4560,Assumptions!$A$15:$A$18,0)),"Yes","No")</f>
        <v>Yes</v>
      </c>
      <c r="O4560" s="31" t="str">
        <f aca="false">IF(H4560="","Open",IF(H4560&lt;=INDEX(Assumptions!$C$15:$C$18,MATCH(E4560,Assumptions!$A$15:$A$18,0)),"Yes","No"))</f>
        <v>Yes</v>
      </c>
    </row>
    <row r="4561" customFormat="false" ht="15" hidden="false" customHeight="false" outlineLevel="0" collapsed="false">
      <c r="A4561" s="31" t="s">
        <v>4711</v>
      </c>
      <c r="B4561" s="44" t="n">
        <v>46266</v>
      </c>
      <c r="C4561" s="31" t="s">
        <v>58</v>
      </c>
      <c r="D4561" s="31" t="s">
        <v>65</v>
      </c>
      <c r="E4561" s="31" t="s">
        <v>49</v>
      </c>
      <c r="F4561" s="31" t="s">
        <v>129</v>
      </c>
      <c r="G4561" s="31" t="n">
        <v>5</v>
      </c>
      <c r="H4561" s="41" t="n">
        <v>1.9</v>
      </c>
      <c r="I4561" s="31" t="s">
        <v>149</v>
      </c>
      <c r="J4561" s="31" t="n">
        <v>5</v>
      </c>
      <c r="K4561" s="31" t="s">
        <v>150</v>
      </c>
      <c r="L4561" s="45" t="n">
        <f aca="false">DATE(YEAR(B4561),MONTH(B4561),1)</f>
        <v>46266</v>
      </c>
      <c r="M4561" s="31" t="n">
        <f aca="false">WEEKDAY(B4561,2)</f>
        <v>2</v>
      </c>
      <c r="N4561" s="31" t="str">
        <f aca="false">IF(G4561&lt;=INDEX(Assumptions!$B$15:$B$18,MATCH(E4561,Assumptions!$A$15:$A$18,0)),"Yes","No")</f>
        <v>Yes</v>
      </c>
      <c r="O4561" s="31" t="str">
        <f aca="false">IF(H4561="","Open",IF(H4561&lt;=INDEX(Assumptions!$C$15:$C$18,MATCH(E4561,Assumptions!$A$15:$A$18,0)),"Yes","No"))</f>
        <v>Yes</v>
      </c>
    </row>
    <row r="4562" customFormat="false" ht="15" hidden="false" customHeight="false" outlineLevel="0" collapsed="false">
      <c r="A4562" s="31" t="s">
        <v>4712</v>
      </c>
      <c r="B4562" s="44" t="n">
        <v>46266</v>
      </c>
      <c r="C4562" s="31" t="s">
        <v>59</v>
      </c>
      <c r="D4562" s="31" t="s">
        <v>68</v>
      </c>
      <c r="E4562" s="31" t="s">
        <v>51</v>
      </c>
      <c r="F4562" s="31" t="s">
        <v>131</v>
      </c>
      <c r="G4562" s="31" t="n">
        <v>52</v>
      </c>
      <c r="H4562" s="41" t="n">
        <v>6.5</v>
      </c>
      <c r="I4562" s="31" t="s">
        <v>149</v>
      </c>
      <c r="J4562" s="31"/>
      <c r="K4562" s="31" t="s">
        <v>150</v>
      </c>
      <c r="L4562" s="45" t="n">
        <f aca="false">DATE(YEAR(B4562),MONTH(B4562),1)</f>
        <v>46266</v>
      </c>
      <c r="M4562" s="31" t="n">
        <f aca="false">WEEKDAY(B4562,2)</f>
        <v>2</v>
      </c>
      <c r="N4562" s="31" t="str">
        <f aca="false">IF(G4562&lt;=INDEX(Assumptions!$B$15:$B$18,MATCH(E4562,Assumptions!$A$15:$A$18,0)),"Yes","No")</f>
        <v>Yes</v>
      </c>
      <c r="O4562" s="31" t="str">
        <f aca="false">IF(H4562="","Open",IF(H4562&lt;=INDEX(Assumptions!$C$15:$C$18,MATCH(E4562,Assumptions!$A$15:$A$18,0)),"Yes","No"))</f>
        <v>Yes</v>
      </c>
    </row>
    <row r="4563" customFormat="false" ht="15" hidden="false" customHeight="false" outlineLevel="0" collapsed="false">
      <c r="A4563" s="31" t="s">
        <v>4713</v>
      </c>
      <c r="B4563" s="44" t="n">
        <v>46266</v>
      </c>
      <c r="C4563" s="31" t="s">
        <v>57</v>
      </c>
      <c r="D4563" s="31" t="s">
        <v>67</v>
      </c>
      <c r="E4563" s="31" t="s">
        <v>51</v>
      </c>
      <c r="F4563" s="31" t="s">
        <v>130</v>
      </c>
      <c r="G4563" s="31" t="n">
        <v>7</v>
      </c>
      <c r="H4563" s="41" t="n">
        <v>70.4</v>
      </c>
      <c r="I4563" s="31" t="s">
        <v>149</v>
      </c>
      <c r="J4563" s="31" t="n">
        <v>5</v>
      </c>
      <c r="K4563" s="31" t="s">
        <v>150</v>
      </c>
      <c r="L4563" s="45" t="n">
        <f aca="false">DATE(YEAR(B4563),MONTH(B4563),1)</f>
        <v>46266</v>
      </c>
      <c r="M4563" s="31" t="n">
        <f aca="false">WEEKDAY(B4563,2)</f>
        <v>2</v>
      </c>
      <c r="N4563" s="31" t="str">
        <f aca="false">IF(G4563&lt;=INDEX(Assumptions!$B$15:$B$18,MATCH(E4563,Assumptions!$A$15:$A$18,0)),"Yes","No")</f>
        <v>Yes</v>
      </c>
      <c r="O4563" s="31" t="str">
        <f aca="false">IF(H4563="","Open",IF(H4563&lt;=INDEX(Assumptions!$C$15:$C$18,MATCH(E4563,Assumptions!$A$15:$A$18,0)),"Yes","No"))</f>
        <v>No</v>
      </c>
    </row>
    <row r="4564" customFormat="false" ht="15" hidden="false" customHeight="false" outlineLevel="0" collapsed="false">
      <c r="A4564" s="31" t="s">
        <v>4714</v>
      </c>
      <c r="B4564" s="44" t="n">
        <v>46266</v>
      </c>
      <c r="C4564" s="31" t="s">
        <v>58</v>
      </c>
      <c r="D4564" s="31" t="s">
        <v>65</v>
      </c>
      <c r="E4564" s="31" t="s">
        <v>52</v>
      </c>
      <c r="F4564" s="31" t="s">
        <v>131</v>
      </c>
      <c r="G4564" s="31" t="n">
        <v>5</v>
      </c>
      <c r="H4564" s="41" t="n">
        <v>9.9</v>
      </c>
      <c r="I4564" s="31" t="s">
        <v>149</v>
      </c>
      <c r="J4564" s="31" t="n">
        <v>4</v>
      </c>
      <c r="K4564" s="31" t="s">
        <v>150</v>
      </c>
      <c r="L4564" s="45" t="n">
        <f aca="false">DATE(YEAR(B4564),MONTH(B4564),1)</f>
        <v>46266</v>
      </c>
      <c r="M4564" s="31" t="n">
        <f aca="false">WEEKDAY(B4564,2)</f>
        <v>2</v>
      </c>
      <c r="N4564" s="31" t="str">
        <f aca="false">IF(G4564&lt;=INDEX(Assumptions!$B$15:$B$18,MATCH(E4564,Assumptions!$A$15:$A$18,0)),"Yes","No")</f>
        <v>Yes</v>
      </c>
      <c r="O4564" s="31" t="str">
        <f aca="false">IF(H4564="","Open",IF(H4564&lt;=INDEX(Assumptions!$C$15:$C$18,MATCH(E4564,Assumptions!$A$15:$A$18,0)),"Yes","No"))</f>
        <v>Yes</v>
      </c>
    </row>
    <row r="4565" customFormat="false" ht="15" hidden="false" customHeight="false" outlineLevel="0" collapsed="false">
      <c r="A4565" s="31" t="s">
        <v>4715</v>
      </c>
      <c r="B4565" s="44" t="n">
        <v>46266</v>
      </c>
      <c r="C4565" s="31" t="s">
        <v>58</v>
      </c>
      <c r="D4565" s="31" t="s">
        <v>69</v>
      </c>
      <c r="E4565" s="31" t="s">
        <v>50</v>
      </c>
      <c r="F4565" s="31" t="s">
        <v>124</v>
      </c>
      <c r="G4565" s="31" t="n">
        <v>5</v>
      </c>
      <c r="H4565" s="41" t="n">
        <v>10</v>
      </c>
      <c r="I4565" s="31" t="s">
        <v>149</v>
      </c>
      <c r="J4565" s="31"/>
      <c r="K4565" s="31" t="s">
        <v>150</v>
      </c>
      <c r="L4565" s="45" t="n">
        <f aca="false">DATE(YEAR(B4565),MONTH(B4565),1)</f>
        <v>46266</v>
      </c>
      <c r="M4565" s="31" t="n">
        <f aca="false">WEEKDAY(B4565,2)</f>
        <v>2</v>
      </c>
      <c r="N4565" s="31" t="str">
        <f aca="false">IF(G4565&lt;=INDEX(Assumptions!$B$15:$B$18,MATCH(E4565,Assumptions!$A$15:$A$18,0)),"Yes","No")</f>
        <v>Yes</v>
      </c>
      <c r="O4565" s="31" t="str">
        <f aca="false">IF(H4565="","Open",IF(H4565&lt;=INDEX(Assumptions!$C$15:$C$18,MATCH(E4565,Assumptions!$A$15:$A$18,0)),"Yes","No"))</f>
        <v>No</v>
      </c>
    </row>
    <row r="4566" customFormat="false" ht="15" hidden="false" customHeight="false" outlineLevel="0" collapsed="false">
      <c r="A4566" s="31" t="s">
        <v>4716</v>
      </c>
      <c r="B4566" s="44" t="n">
        <v>46266</v>
      </c>
      <c r="C4566" s="31" t="s">
        <v>58</v>
      </c>
      <c r="D4566" s="31" t="s">
        <v>69</v>
      </c>
      <c r="E4566" s="31" t="s">
        <v>52</v>
      </c>
      <c r="F4566" s="31" t="s">
        <v>119</v>
      </c>
      <c r="G4566" s="31" t="n">
        <v>6</v>
      </c>
      <c r="H4566" s="41" t="n">
        <v>44.7</v>
      </c>
      <c r="I4566" s="31" t="s">
        <v>149</v>
      </c>
      <c r="J4566" s="31"/>
      <c r="K4566" s="31" t="s">
        <v>150</v>
      </c>
      <c r="L4566" s="45" t="n">
        <f aca="false">DATE(YEAR(B4566),MONTH(B4566),1)</f>
        <v>46266</v>
      </c>
      <c r="M4566" s="31" t="n">
        <f aca="false">WEEKDAY(B4566,2)</f>
        <v>2</v>
      </c>
      <c r="N4566" s="31" t="str">
        <f aca="false">IF(G4566&lt;=INDEX(Assumptions!$B$15:$B$18,MATCH(E4566,Assumptions!$A$15:$A$18,0)),"Yes","No")</f>
        <v>Yes</v>
      </c>
      <c r="O4566" s="31" t="str">
        <f aca="false">IF(H4566="","Open",IF(H4566&lt;=INDEX(Assumptions!$C$15:$C$18,MATCH(E4566,Assumptions!$A$15:$A$18,0)),"Yes","No"))</f>
        <v>Yes</v>
      </c>
    </row>
    <row r="4567" customFormat="false" ht="15" hidden="false" customHeight="false" outlineLevel="0" collapsed="false">
      <c r="A4567" s="31" t="s">
        <v>4717</v>
      </c>
      <c r="B4567" s="44" t="n">
        <v>46266</v>
      </c>
      <c r="C4567" s="31" t="s">
        <v>58</v>
      </c>
      <c r="D4567" s="31" t="s">
        <v>68</v>
      </c>
      <c r="E4567" s="31" t="s">
        <v>50</v>
      </c>
      <c r="F4567" s="31" t="s">
        <v>117</v>
      </c>
      <c r="G4567" s="31" t="n">
        <v>2</v>
      </c>
      <c r="H4567" s="41" t="n">
        <v>1.9</v>
      </c>
      <c r="I4567" s="31" t="s">
        <v>149</v>
      </c>
      <c r="J4567" s="31"/>
      <c r="K4567" s="31" t="s">
        <v>150</v>
      </c>
      <c r="L4567" s="45" t="n">
        <f aca="false">DATE(YEAR(B4567),MONTH(B4567),1)</f>
        <v>46266</v>
      </c>
      <c r="M4567" s="31" t="n">
        <f aca="false">WEEKDAY(B4567,2)</f>
        <v>2</v>
      </c>
      <c r="N4567" s="31" t="str">
        <f aca="false">IF(G4567&lt;=INDEX(Assumptions!$B$15:$B$18,MATCH(E4567,Assumptions!$A$15:$A$18,0)),"Yes","No")</f>
        <v>Yes</v>
      </c>
      <c r="O4567" s="31" t="str">
        <f aca="false">IF(H4567="","Open",IF(H4567&lt;=INDEX(Assumptions!$C$15:$C$18,MATCH(E4567,Assumptions!$A$15:$A$18,0)),"Yes","No"))</f>
        <v>Yes</v>
      </c>
    </row>
    <row r="4568" customFormat="false" ht="15" hidden="false" customHeight="false" outlineLevel="0" collapsed="false">
      <c r="A4568" s="31" t="s">
        <v>4718</v>
      </c>
      <c r="B4568" s="44" t="n">
        <v>46266</v>
      </c>
      <c r="C4568" s="31" t="s">
        <v>58</v>
      </c>
      <c r="D4568" s="31" t="s">
        <v>69</v>
      </c>
      <c r="E4568" s="31" t="s">
        <v>50</v>
      </c>
      <c r="F4568" s="31" t="s">
        <v>117</v>
      </c>
      <c r="G4568" s="31" t="n">
        <v>5</v>
      </c>
      <c r="H4568" s="41" t="n">
        <v>4.7</v>
      </c>
      <c r="I4568" s="31" t="s">
        <v>149</v>
      </c>
      <c r="J4568" s="31" t="n">
        <v>5</v>
      </c>
      <c r="K4568" s="31" t="s">
        <v>150</v>
      </c>
      <c r="L4568" s="45" t="n">
        <f aca="false">DATE(YEAR(B4568),MONTH(B4568),1)</f>
        <v>46266</v>
      </c>
      <c r="M4568" s="31" t="n">
        <f aca="false">WEEKDAY(B4568,2)</f>
        <v>2</v>
      </c>
      <c r="N4568" s="31" t="str">
        <f aca="false">IF(G4568&lt;=INDEX(Assumptions!$B$15:$B$18,MATCH(E4568,Assumptions!$A$15:$A$18,0)),"Yes","No")</f>
        <v>Yes</v>
      </c>
      <c r="O4568" s="31" t="str">
        <f aca="false">IF(H4568="","Open",IF(H4568&lt;=INDEX(Assumptions!$C$15:$C$18,MATCH(E4568,Assumptions!$A$15:$A$18,0)),"Yes","No"))</f>
        <v>Yes</v>
      </c>
    </row>
    <row r="4569" customFormat="false" ht="15" hidden="false" customHeight="false" outlineLevel="0" collapsed="false">
      <c r="A4569" s="31" t="s">
        <v>4719</v>
      </c>
      <c r="B4569" s="44" t="n">
        <v>46266</v>
      </c>
      <c r="C4569" s="31" t="s">
        <v>57</v>
      </c>
      <c r="D4569" s="31" t="s">
        <v>69</v>
      </c>
      <c r="E4569" s="31" t="s">
        <v>51</v>
      </c>
      <c r="F4569" s="31" t="s">
        <v>133</v>
      </c>
      <c r="G4569" s="31" t="n">
        <v>2</v>
      </c>
      <c r="H4569" s="41" t="n">
        <v>48.6</v>
      </c>
      <c r="I4569" s="31" t="s">
        <v>149</v>
      </c>
      <c r="J4569" s="31" t="n">
        <v>4</v>
      </c>
      <c r="K4569" s="31" t="s">
        <v>150</v>
      </c>
      <c r="L4569" s="45" t="n">
        <f aca="false">DATE(YEAR(B4569),MONTH(B4569),1)</f>
        <v>46266</v>
      </c>
      <c r="M4569" s="31" t="n">
        <f aca="false">WEEKDAY(B4569,2)</f>
        <v>2</v>
      </c>
      <c r="N4569" s="31" t="str">
        <f aca="false">IF(G4569&lt;=INDEX(Assumptions!$B$15:$B$18,MATCH(E4569,Assumptions!$A$15:$A$18,0)),"Yes","No")</f>
        <v>Yes</v>
      </c>
      <c r="O4569" s="31" t="str">
        <f aca="false">IF(H4569="","Open",IF(H4569&lt;=INDEX(Assumptions!$C$15:$C$18,MATCH(E4569,Assumptions!$A$15:$A$18,0)),"Yes","No"))</f>
        <v>No</v>
      </c>
    </row>
    <row r="4570" customFormat="false" ht="15" hidden="false" customHeight="false" outlineLevel="0" collapsed="false">
      <c r="A4570" s="31" t="s">
        <v>4720</v>
      </c>
      <c r="B4570" s="44" t="n">
        <v>46266</v>
      </c>
      <c r="C4570" s="31" t="s">
        <v>58</v>
      </c>
      <c r="D4570" s="31" t="s">
        <v>67</v>
      </c>
      <c r="E4570" s="31" t="s">
        <v>50</v>
      </c>
      <c r="F4570" s="31" t="s">
        <v>121</v>
      </c>
      <c r="G4570" s="31" t="n">
        <v>16</v>
      </c>
      <c r="H4570" s="41" t="n">
        <v>42.8</v>
      </c>
      <c r="I4570" s="31" t="s">
        <v>149</v>
      </c>
      <c r="J4570" s="31"/>
      <c r="K4570" s="31" t="s">
        <v>150</v>
      </c>
      <c r="L4570" s="45" t="n">
        <f aca="false">DATE(YEAR(B4570),MONTH(B4570),1)</f>
        <v>46266</v>
      </c>
      <c r="M4570" s="31" t="n">
        <f aca="false">WEEKDAY(B4570,2)</f>
        <v>2</v>
      </c>
      <c r="N4570" s="31" t="str">
        <f aca="false">IF(G4570&lt;=INDEX(Assumptions!$B$15:$B$18,MATCH(E4570,Assumptions!$A$15:$A$18,0)),"Yes","No")</f>
        <v>Yes</v>
      </c>
      <c r="O4570" s="31" t="str">
        <f aca="false">IF(H4570="","Open",IF(H4570&lt;=INDEX(Assumptions!$C$15:$C$18,MATCH(E4570,Assumptions!$A$15:$A$18,0)),"Yes","No"))</f>
        <v>No</v>
      </c>
    </row>
    <row r="4571" customFormat="false" ht="15" hidden="false" customHeight="false" outlineLevel="0" collapsed="false">
      <c r="A4571" s="31" t="s">
        <v>4721</v>
      </c>
      <c r="B4571" s="44" t="n">
        <v>46266</v>
      </c>
      <c r="C4571" s="31" t="s">
        <v>57</v>
      </c>
      <c r="D4571" s="31" t="s">
        <v>65</v>
      </c>
      <c r="E4571" s="31" t="s">
        <v>51</v>
      </c>
      <c r="F4571" s="31" t="s">
        <v>130</v>
      </c>
      <c r="G4571" s="31" t="n">
        <v>5</v>
      </c>
      <c r="H4571" s="41" t="n">
        <v>6.2</v>
      </c>
      <c r="I4571" s="31" t="s">
        <v>149</v>
      </c>
      <c r="J4571" s="31"/>
      <c r="K4571" s="31" t="s">
        <v>150</v>
      </c>
      <c r="L4571" s="45" t="n">
        <f aca="false">DATE(YEAR(B4571),MONTH(B4571),1)</f>
        <v>46266</v>
      </c>
      <c r="M4571" s="31" t="n">
        <f aca="false">WEEKDAY(B4571,2)</f>
        <v>2</v>
      </c>
      <c r="N4571" s="31" t="str">
        <f aca="false">IF(G4571&lt;=INDEX(Assumptions!$B$15:$B$18,MATCH(E4571,Assumptions!$A$15:$A$18,0)),"Yes","No")</f>
        <v>Yes</v>
      </c>
      <c r="O4571" s="31" t="str">
        <f aca="false">IF(H4571="","Open",IF(H4571&lt;=INDEX(Assumptions!$C$15:$C$18,MATCH(E4571,Assumptions!$A$15:$A$18,0)),"Yes","No"))</f>
        <v>Yes</v>
      </c>
    </row>
    <row r="4572" customFormat="false" ht="15" hidden="false" customHeight="false" outlineLevel="0" collapsed="false">
      <c r="A4572" s="31" t="s">
        <v>4722</v>
      </c>
      <c r="B4572" s="44" t="n">
        <v>46266</v>
      </c>
      <c r="C4572" s="31" t="s">
        <v>57</v>
      </c>
      <c r="D4572" s="31" t="s">
        <v>66</v>
      </c>
      <c r="E4572" s="31" t="s">
        <v>51</v>
      </c>
      <c r="F4572" s="31" t="s">
        <v>133</v>
      </c>
      <c r="G4572" s="31" t="n">
        <v>6</v>
      </c>
      <c r="H4572" s="41" t="n">
        <v>11.5</v>
      </c>
      <c r="I4572" s="31" t="s">
        <v>149</v>
      </c>
      <c r="J4572" s="31" t="n">
        <v>4</v>
      </c>
      <c r="K4572" s="31" t="s">
        <v>150</v>
      </c>
      <c r="L4572" s="45" t="n">
        <f aca="false">DATE(YEAR(B4572),MONTH(B4572),1)</f>
        <v>46266</v>
      </c>
      <c r="M4572" s="31" t="n">
        <f aca="false">WEEKDAY(B4572,2)</f>
        <v>2</v>
      </c>
      <c r="N4572" s="31" t="str">
        <f aca="false">IF(G4572&lt;=INDEX(Assumptions!$B$15:$B$18,MATCH(E4572,Assumptions!$A$15:$A$18,0)),"Yes","No")</f>
        <v>Yes</v>
      </c>
      <c r="O4572" s="31" t="str">
        <f aca="false">IF(H4572="","Open",IF(H4572&lt;=INDEX(Assumptions!$C$15:$C$18,MATCH(E4572,Assumptions!$A$15:$A$18,0)),"Yes","No"))</f>
        <v>Yes</v>
      </c>
    </row>
    <row r="4573" customFormat="false" ht="15" hidden="false" customHeight="false" outlineLevel="0" collapsed="false">
      <c r="A4573" s="31" t="s">
        <v>4723</v>
      </c>
      <c r="B4573" s="44" t="n">
        <v>46266</v>
      </c>
      <c r="C4573" s="31" t="s">
        <v>58</v>
      </c>
      <c r="D4573" s="31" t="s">
        <v>67</v>
      </c>
      <c r="E4573" s="31" t="s">
        <v>52</v>
      </c>
      <c r="F4573" s="31" t="s">
        <v>134</v>
      </c>
      <c r="G4573" s="31" t="n">
        <v>14</v>
      </c>
      <c r="H4573" s="41" t="n">
        <v>16.8</v>
      </c>
      <c r="I4573" s="31" t="s">
        <v>149</v>
      </c>
      <c r="J4573" s="31" t="n">
        <v>5</v>
      </c>
      <c r="K4573" s="31" t="s">
        <v>150</v>
      </c>
      <c r="L4573" s="45" t="n">
        <f aca="false">DATE(YEAR(B4573),MONTH(B4573),1)</f>
        <v>46266</v>
      </c>
      <c r="M4573" s="31" t="n">
        <f aca="false">WEEKDAY(B4573,2)</f>
        <v>2</v>
      </c>
      <c r="N4573" s="31" t="str">
        <f aca="false">IF(G4573&lt;=INDEX(Assumptions!$B$15:$B$18,MATCH(E4573,Assumptions!$A$15:$A$18,0)),"Yes","No")</f>
        <v>Yes</v>
      </c>
      <c r="O4573" s="31" t="str">
        <f aca="false">IF(H4573="","Open",IF(H4573&lt;=INDEX(Assumptions!$C$15:$C$18,MATCH(E4573,Assumptions!$A$15:$A$18,0)),"Yes","No"))</f>
        <v>Yes</v>
      </c>
    </row>
    <row r="4574" customFormat="false" ht="15" hidden="false" customHeight="false" outlineLevel="0" collapsed="false">
      <c r="A4574" s="31" t="s">
        <v>4724</v>
      </c>
      <c r="B4574" s="44" t="n">
        <v>46266</v>
      </c>
      <c r="C4574" s="31" t="s">
        <v>58</v>
      </c>
      <c r="D4574" s="31" t="s">
        <v>66</v>
      </c>
      <c r="E4574" s="31" t="s">
        <v>50</v>
      </c>
      <c r="F4574" s="31" t="s">
        <v>133</v>
      </c>
      <c r="G4574" s="31" t="n">
        <v>7</v>
      </c>
      <c r="H4574" s="41" t="n">
        <v>4</v>
      </c>
      <c r="I4574" s="31" t="s">
        <v>149</v>
      </c>
      <c r="J4574" s="31" t="n">
        <v>4</v>
      </c>
      <c r="K4574" s="31" t="s">
        <v>150</v>
      </c>
      <c r="L4574" s="45" t="n">
        <f aca="false">DATE(YEAR(B4574),MONTH(B4574),1)</f>
        <v>46266</v>
      </c>
      <c r="M4574" s="31" t="n">
        <f aca="false">WEEKDAY(B4574,2)</f>
        <v>2</v>
      </c>
      <c r="N4574" s="31" t="str">
        <f aca="false">IF(G4574&lt;=INDEX(Assumptions!$B$15:$B$18,MATCH(E4574,Assumptions!$A$15:$A$18,0)),"Yes","No")</f>
        <v>Yes</v>
      </c>
      <c r="O4574" s="31" t="str">
        <f aca="false">IF(H4574="","Open",IF(H4574&lt;=INDEX(Assumptions!$C$15:$C$18,MATCH(E4574,Assumptions!$A$15:$A$18,0)),"Yes","No"))</f>
        <v>Yes</v>
      </c>
    </row>
    <row r="4575" customFormat="false" ht="15" hidden="false" customHeight="false" outlineLevel="0" collapsed="false">
      <c r="A4575" s="31" t="s">
        <v>4725</v>
      </c>
      <c r="B4575" s="44" t="n">
        <v>46266</v>
      </c>
      <c r="C4575" s="31" t="s">
        <v>57</v>
      </c>
      <c r="D4575" s="31" t="s">
        <v>67</v>
      </c>
      <c r="E4575" s="31" t="s">
        <v>51</v>
      </c>
      <c r="F4575" s="31" t="s">
        <v>129</v>
      </c>
      <c r="G4575" s="31" t="n">
        <v>2</v>
      </c>
      <c r="H4575" s="41" t="n">
        <v>9.7</v>
      </c>
      <c r="I4575" s="31" t="s">
        <v>149</v>
      </c>
      <c r="J4575" s="31"/>
      <c r="K4575" s="31" t="s">
        <v>150</v>
      </c>
      <c r="L4575" s="45" t="n">
        <f aca="false">DATE(YEAR(B4575),MONTH(B4575),1)</f>
        <v>46266</v>
      </c>
      <c r="M4575" s="31" t="n">
        <f aca="false">WEEKDAY(B4575,2)</f>
        <v>2</v>
      </c>
      <c r="N4575" s="31" t="str">
        <f aca="false">IF(G4575&lt;=INDEX(Assumptions!$B$15:$B$18,MATCH(E4575,Assumptions!$A$15:$A$18,0)),"Yes","No")</f>
        <v>Yes</v>
      </c>
      <c r="O4575" s="31" t="str">
        <f aca="false">IF(H4575="","Open",IF(H4575&lt;=INDEX(Assumptions!$C$15:$C$18,MATCH(E4575,Assumptions!$A$15:$A$18,0)),"Yes","No"))</f>
        <v>Yes</v>
      </c>
    </row>
    <row r="4576" customFormat="false" ht="15" hidden="false" customHeight="false" outlineLevel="0" collapsed="false">
      <c r="A4576" s="31" t="s">
        <v>4726</v>
      </c>
      <c r="B4576" s="44" t="n">
        <v>46266</v>
      </c>
      <c r="C4576" s="31" t="s">
        <v>60</v>
      </c>
      <c r="D4576" s="31" t="s">
        <v>65</v>
      </c>
      <c r="E4576" s="31" t="s">
        <v>50</v>
      </c>
      <c r="F4576" s="31" t="s">
        <v>134</v>
      </c>
      <c r="G4576" s="31" t="n">
        <v>3</v>
      </c>
      <c r="H4576" s="41" t="n">
        <v>1.6</v>
      </c>
      <c r="I4576" s="31" t="s">
        <v>149</v>
      </c>
      <c r="J4576" s="31"/>
      <c r="K4576" s="31" t="s">
        <v>150</v>
      </c>
      <c r="L4576" s="45" t="n">
        <f aca="false">DATE(YEAR(B4576),MONTH(B4576),1)</f>
        <v>46266</v>
      </c>
      <c r="M4576" s="31" t="n">
        <f aca="false">WEEKDAY(B4576,2)</f>
        <v>2</v>
      </c>
      <c r="N4576" s="31" t="str">
        <f aca="false">IF(G4576&lt;=INDEX(Assumptions!$B$15:$B$18,MATCH(E4576,Assumptions!$A$15:$A$18,0)),"Yes","No")</f>
        <v>Yes</v>
      </c>
      <c r="O4576" s="31" t="str">
        <f aca="false">IF(H4576="","Open",IF(H4576&lt;=INDEX(Assumptions!$C$15:$C$18,MATCH(E4576,Assumptions!$A$15:$A$18,0)),"Yes","No"))</f>
        <v>Yes</v>
      </c>
    </row>
    <row r="4577" customFormat="false" ht="15" hidden="false" customHeight="false" outlineLevel="0" collapsed="false">
      <c r="A4577" s="31" t="s">
        <v>4727</v>
      </c>
      <c r="B4577" s="44" t="n">
        <v>46266</v>
      </c>
      <c r="C4577" s="31" t="s">
        <v>58</v>
      </c>
      <c r="D4577" s="31" t="s">
        <v>66</v>
      </c>
      <c r="E4577" s="31" t="s">
        <v>51</v>
      </c>
      <c r="F4577" s="31" t="s">
        <v>121</v>
      </c>
      <c r="G4577" s="31" t="n">
        <v>6</v>
      </c>
      <c r="H4577" s="41" t="n">
        <v>25.9</v>
      </c>
      <c r="I4577" s="31" t="s">
        <v>149</v>
      </c>
      <c r="J4577" s="31"/>
      <c r="K4577" s="31" t="s">
        <v>150</v>
      </c>
      <c r="L4577" s="45" t="n">
        <f aca="false">DATE(YEAR(B4577),MONTH(B4577),1)</f>
        <v>46266</v>
      </c>
      <c r="M4577" s="31" t="n">
        <f aca="false">WEEKDAY(B4577,2)</f>
        <v>2</v>
      </c>
      <c r="N4577" s="31" t="str">
        <f aca="false">IF(G4577&lt;=INDEX(Assumptions!$B$15:$B$18,MATCH(E4577,Assumptions!$A$15:$A$18,0)),"Yes","No")</f>
        <v>Yes</v>
      </c>
      <c r="O4577" s="31" t="str">
        <f aca="false">IF(H4577="","Open",IF(H4577&lt;=INDEX(Assumptions!$C$15:$C$18,MATCH(E4577,Assumptions!$A$15:$A$18,0)),"Yes","No"))</f>
        <v>No</v>
      </c>
    </row>
    <row r="4578" customFormat="false" ht="15" hidden="false" customHeight="false" outlineLevel="0" collapsed="false">
      <c r="A4578" s="31" t="s">
        <v>4728</v>
      </c>
      <c r="B4578" s="44" t="n">
        <v>46266</v>
      </c>
      <c r="C4578" s="31" t="s">
        <v>58</v>
      </c>
      <c r="D4578" s="31" t="s">
        <v>65</v>
      </c>
      <c r="E4578" s="31" t="s">
        <v>51</v>
      </c>
      <c r="F4578" s="31" t="s">
        <v>120</v>
      </c>
      <c r="G4578" s="31" t="n">
        <v>18</v>
      </c>
      <c r="H4578" s="41" t="n">
        <v>6.8</v>
      </c>
      <c r="I4578" s="31" t="s">
        <v>149</v>
      </c>
      <c r="J4578" s="31" t="n">
        <v>4</v>
      </c>
      <c r="K4578" s="31" t="s">
        <v>153</v>
      </c>
      <c r="L4578" s="45" t="n">
        <f aca="false">DATE(YEAR(B4578),MONTH(B4578),1)</f>
        <v>46266</v>
      </c>
      <c r="M4578" s="31" t="n">
        <f aca="false">WEEKDAY(B4578,2)</f>
        <v>2</v>
      </c>
      <c r="N4578" s="31" t="str">
        <f aca="false">IF(G4578&lt;=INDEX(Assumptions!$B$15:$B$18,MATCH(E4578,Assumptions!$A$15:$A$18,0)),"Yes","No")</f>
        <v>Yes</v>
      </c>
      <c r="O4578" s="31" t="str">
        <f aca="false">IF(H4578="","Open",IF(H4578&lt;=INDEX(Assumptions!$C$15:$C$18,MATCH(E4578,Assumptions!$A$15:$A$18,0)),"Yes","No"))</f>
        <v>Yes</v>
      </c>
    </row>
    <row r="4579" customFormat="false" ht="15" hidden="false" customHeight="false" outlineLevel="0" collapsed="false">
      <c r="A4579" s="31" t="s">
        <v>4729</v>
      </c>
      <c r="B4579" s="44" t="n">
        <v>46266</v>
      </c>
      <c r="C4579" s="31" t="s">
        <v>57</v>
      </c>
      <c r="D4579" s="31" t="s">
        <v>66</v>
      </c>
      <c r="E4579" s="31" t="s">
        <v>51</v>
      </c>
      <c r="F4579" s="31" t="s">
        <v>134</v>
      </c>
      <c r="G4579" s="31" t="n">
        <v>7</v>
      </c>
      <c r="H4579" s="41" t="n">
        <v>10.3</v>
      </c>
      <c r="I4579" s="31" t="s">
        <v>149</v>
      </c>
      <c r="J4579" s="31" t="n">
        <v>3</v>
      </c>
      <c r="K4579" s="31" t="s">
        <v>150</v>
      </c>
      <c r="L4579" s="45" t="n">
        <f aca="false">DATE(YEAR(B4579),MONTH(B4579),1)</f>
        <v>46266</v>
      </c>
      <c r="M4579" s="31" t="n">
        <f aca="false">WEEKDAY(B4579,2)</f>
        <v>2</v>
      </c>
      <c r="N4579" s="31" t="str">
        <f aca="false">IF(G4579&lt;=INDEX(Assumptions!$B$15:$B$18,MATCH(E4579,Assumptions!$A$15:$A$18,0)),"Yes","No")</f>
        <v>Yes</v>
      </c>
      <c r="O4579" s="31" t="str">
        <f aca="false">IF(H4579="","Open",IF(H4579&lt;=INDEX(Assumptions!$C$15:$C$18,MATCH(E4579,Assumptions!$A$15:$A$18,0)),"Yes","No"))</f>
        <v>Yes</v>
      </c>
    </row>
    <row r="4580" customFormat="false" ht="15" hidden="false" customHeight="false" outlineLevel="0" collapsed="false">
      <c r="A4580" s="31" t="s">
        <v>4730</v>
      </c>
      <c r="B4580" s="44" t="n">
        <v>46266</v>
      </c>
      <c r="C4580" s="31" t="s">
        <v>58</v>
      </c>
      <c r="D4580" s="31" t="s">
        <v>68</v>
      </c>
      <c r="E4580" s="31" t="s">
        <v>49</v>
      </c>
      <c r="F4580" s="31" t="s">
        <v>119</v>
      </c>
      <c r="G4580" s="31" t="n">
        <v>7</v>
      </c>
      <c r="H4580" s="41" t="n">
        <v>1.8</v>
      </c>
      <c r="I4580" s="31" t="s">
        <v>149</v>
      </c>
      <c r="J4580" s="31" t="n">
        <v>4</v>
      </c>
      <c r="K4580" s="31" t="s">
        <v>150</v>
      </c>
      <c r="L4580" s="45" t="n">
        <f aca="false">DATE(YEAR(B4580),MONTH(B4580),1)</f>
        <v>46266</v>
      </c>
      <c r="M4580" s="31" t="n">
        <f aca="false">WEEKDAY(B4580,2)</f>
        <v>2</v>
      </c>
      <c r="N4580" s="31" t="str">
        <f aca="false">IF(G4580&lt;=INDEX(Assumptions!$B$15:$B$18,MATCH(E4580,Assumptions!$A$15:$A$18,0)),"Yes","No")</f>
        <v>Yes</v>
      </c>
      <c r="O4580" s="31" t="str">
        <f aca="false">IF(H4580="","Open",IF(H4580&lt;=INDEX(Assumptions!$C$15:$C$18,MATCH(E4580,Assumptions!$A$15:$A$18,0)),"Yes","No"))</f>
        <v>Yes</v>
      </c>
    </row>
    <row r="4581" customFormat="false" ht="15" hidden="false" customHeight="false" outlineLevel="0" collapsed="false">
      <c r="A4581" s="31" t="s">
        <v>4731</v>
      </c>
      <c r="B4581" s="44" t="n">
        <v>46267</v>
      </c>
      <c r="C4581" s="31" t="s">
        <v>59</v>
      </c>
      <c r="D4581" s="31" t="s">
        <v>65</v>
      </c>
      <c r="E4581" s="31" t="s">
        <v>49</v>
      </c>
      <c r="F4581" s="31" t="s">
        <v>129</v>
      </c>
      <c r="G4581" s="31" t="n">
        <v>47</v>
      </c>
      <c r="H4581" s="41" t="n">
        <v>1.8</v>
      </c>
      <c r="I4581" s="31" t="s">
        <v>149</v>
      </c>
      <c r="J4581" s="31"/>
      <c r="K4581" s="31" t="s">
        <v>150</v>
      </c>
      <c r="L4581" s="45" t="n">
        <f aca="false">DATE(YEAR(B4581),MONTH(B4581),1)</f>
        <v>46266</v>
      </c>
      <c r="M4581" s="31" t="n">
        <f aca="false">WEEKDAY(B4581,2)</f>
        <v>3</v>
      </c>
      <c r="N4581" s="31" t="str">
        <f aca="false">IF(G4581&lt;=INDEX(Assumptions!$B$15:$B$18,MATCH(E4581,Assumptions!$A$15:$A$18,0)),"Yes","No")</f>
        <v>No</v>
      </c>
      <c r="O4581" s="31" t="str">
        <f aca="false">IF(H4581="","Open",IF(H4581&lt;=INDEX(Assumptions!$C$15:$C$18,MATCH(E4581,Assumptions!$A$15:$A$18,0)),"Yes","No"))</f>
        <v>Yes</v>
      </c>
    </row>
    <row r="4582" customFormat="false" ht="15" hidden="false" customHeight="false" outlineLevel="0" collapsed="false">
      <c r="A4582" s="31" t="s">
        <v>4732</v>
      </c>
      <c r="B4582" s="44" t="n">
        <v>46267</v>
      </c>
      <c r="C4582" s="31" t="s">
        <v>60</v>
      </c>
      <c r="D4582" s="31" t="s">
        <v>65</v>
      </c>
      <c r="E4582" s="31" t="s">
        <v>52</v>
      </c>
      <c r="F4582" s="31" t="s">
        <v>127</v>
      </c>
      <c r="G4582" s="31" t="n">
        <v>5</v>
      </c>
      <c r="H4582" s="41" t="n">
        <v>7.3</v>
      </c>
      <c r="I4582" s="31" t="s">
        <v>149</v>
      </c>
      <c r="J4582" s="31" t="n">
        <v>5</v>
      </c>
      <c r="K4582" s="31" t="s">
        <v>153</v>
      </c>
      <c r="L4582" s="45" t="n">
        <f aca="false">DATE(YEAR(B4582),MONTH(B4582),1)</f>
        <v>46266</v>
      </c>
      <c r="M4582" s="31" t="n">
        <f aca="false">WEEKDAY(B4582,2)</f>
        <v>3</v>
      </c>
      <c r="N4582" s="31" t="str">
        <f aca="false">IF(G4582&lt;=INDEX(Assumptions!$B$15:$B$18,MATCH(E4582,Assumptions!$A$15:$A$18,0)),"Yes","No")</f>
        <v>Yes</v>
      </c>
      <c r="O4582" s="31" t="str">
        <f aca="false">IF(H4582="","Open",IF(H4582&lt;=INDEX(Assumptions!$C$15:$C$18,MATCH(E4582,Assumptions!$A$15:$A$18,0)),"Yes","No"))</f>
        <v>Yes</v>
      </c>
    </row>
    <row r="4583" customFormat="false" ht="15" hidden="false" customHeight="false" outlineLevel="0" collapsed="false">
      <c r="A4583" s="31" t="s">
        <v>4733</v>
      </c>
      <c r="B4583" s="44" t="n">
        <v>46267</v>
      </c>
      <c r="C4583" s="31" t="s">
        <v>59</v>
      </c>
      <c r="D4583" s="31" t="s">
        <v>65</v>
      </c>
      <c r="E4583" s="31" t="s">
        <v>50</v>
      </c>
      <c r="F4583" s="31" t="s">
        <v>130</v>
      </c>
      <c r="G4583" s="31" t="n">
        <v>81</v>
      </c>
      <c r="H4583" s="41" t="n">
        <v>3.7</v>
      </c>
      <c r="I4583" s="31" t="s">
        <v>149</v>
      </c>
      <c r="J4583" s="31" t="n">
        <v>5</v>
      </c>
      <c r="K4583" s="31" t="s">
        <v>150</v>
      </c>
      <c r="L4583" s="45" t="n">
        <f aca="false">DATE(YEAR(B4583),MONTH(B4583),1)</f>
        <v>46266</v>
      </c>
      <c r="M4583" s="31" t="n">
        <f aca="false">WEEKDAY(B4583,2)</f>
        <v>3</v>
      </c>
      <c r="N4583" s="31" t="str">
        <f aca="false">IF(G4583&lt;=INDEX(Assumptions!$B$15:$B$18,MATCH(E4583,Assumptions!$A$15:$A$18,0)),"Yes","No")</f>
        <v>No</v>
      </c>
      <c r="O4583" s="31" t="str">
        <f aca="false">IF(H4583="","Open",IF(H4583&lt;=INDEX(Assumptions!$C$15:$C$18,MATCH(E4583,Assumptions!$A$15:$A$18,0)),"Yes","No"))</f>
        <v>Yes</v>
      </c>
    </row>
    <row r="4584" customFormat="false" ht="15" hidden="false" customHeight="false" outlineLevel="0" collapsed="false">
      <c r="A4584" s="31" t="s">
        <v>4734</v>
      </c>
      <c r="B4584" s="44" t="n">
        <v>46267</v>
      </c>
      <c r="C4584" s="31" t="s">
        <v>57</v>
      </c>
      <c r="D4584" s="31" t="s">
        <v>68</v>
      </c>
      <c r="E4584" s="31" t="s">
        <v>51</v>
      </c>
      <c r="F4584" s="31" t="s">
        <v>135</v>
      </c>
      <c r="G4584" s="31" t="n">
        <v>7</v>
      </c>
      <c r="H4584" s="41" t="n">
        <v>16.4</v>
      </c>
      <c r="I4584" s="31" t="s">
        <v>149</v>
      </c>
      <c r="J4584" s="31" t="n">
        <v>4</v>
      </c>
      <c r="K4584" s="31" t="s">
        <v>150</v>
      </c>
      <c r="L4584" s="45" t="n">
        <f aca="false">DATE(YEAR(B4584),MONTH(B4584),1)</f>
        <v>46266</v>
      </c>
      <c r="M4584" s="31" t="n">
        <f aca="false">WEEKDAY(B4584,2)</f>
        <v>3</v>
      </c>
      <c r="N4584" s="31" t="str">
        <f aca="false">IF(G4584&lt;=INDEX(Assumptions!$B$15:$B$18,MATCH(E4584,Assumptions!$A$15:$A$18,0)),"Yes","No")</f>
        <v>Yes</v>
      </c>
      <c r="O4584" s="31" t="str">
        <f aca="false">IF(H4584="","Open",IF(H4584&lt;=INDEX(Assumptions!$C$15:$C$18,MATCH(E4584,Assumptions!$A$15:$A$18,0)),"Yes","No"))</f>
        <v>Yes</v>
      </c>
    </row>
    <row r="4585" customFormat="false" ht="15" hidden="false" customHeight="false" outlineLevel="0" collapsed="false">
      <c r="A4585" s="31" t="s">
        <v>4735</v>
      </c>
      <c r="B4585" s="44" t="n">
        <v>46267</v>
      </c>
      <c r="C4585" s="31" t="s">
        <v>58</v>
      </c>
      <c r="D4585" s="31" t="s">
        <v>65</v>
      </c>
      <c r="E4585" s="31" t="s">
        <v>52</v>
      </c>
      <c r="F4585" s="31" t="s">
        <v>121</v>
      </c>
      <c r="G4585" s="31" t="n">
        <v>12</v>
      </c>
      <c r="H4585" s="41" t="n">
        <v>18.3</v>
      </c>
      <c r="I4585" s="31" t="s">
        <v>149</v>
      </c>
      <c r="J4585" s="31"/>
      <c r="K4585" s="31" t="s">
        <v>150</v>
      </c>
      <c r="L4585" s="45" t="n">
        <f aca="false">DATE(YEAR(B4585),MONTH(B4585),1)</f>
        <v>46266</v>
      </c>
      <c r="M4585" s="31" t="n">
        <f aca="false">WEEKDAY(B4585,2)</f>
        <v>3</v>
      </c>
      <c r="N4585" s="31" t="str">
        <f aca="false">IF(G4585&lt;=INDEX(Assumptions!$B$15:$B$18,MATCH(E4585,Assumptions!$A$15:$A$18,0)),"Yes","No")</f>
        <v>Yes</v>
      </c>
      <c r="O4585" s="31" t="str">
        <f aca="false">IF(H4585="","Open",IF(H4585&lt;=INDEX(Assumptions!$C$15:$C$18,MATCH(E4585,Assumptions!$A$15:$A$18,0)),"Yes","No"))</f>
        <v>Yes</v>
      </c>
    </row>
    <row r="4586" customFormat="false" ht="15" hidden="false" customHeight="false" outlineLevel="0" collapsed="false">
      <c r="A4586" s="31" t="s">
        <v>4736</v>
      </c>
      <c r="B4586" s="44" t="n">
        <v>46267</v>
      </c>
      <c r="C4586" s="31" t="s">
        <v>58</v>
      </c>
      <c r="D4586" s="31" t="s">
        <v>66</v>
      </c>
      <c r="E4586" s="31" t="s">
        <v>51</v>
      </c>
      <c r="F4586" s="31" t="s">
        <v>133</v>
      </c>
      <c r="G4586" s="31" t="n">
        <v>4</v>
      </c>
      <c r="H4586" s="41" t="n">
        <v>2.3</v>
      </c>
      <c r="I4586" s="31" t="s">
        <v>149</v>
      </c>
      <c r="J4586" s="31" t="n">
        <v>2</v>
      </c>
      <c r="K4586" s="31" t="s">
        <v>150</v>
      </c>
      <c r="L4586" s="45" t="n">
        <f aca="false">DATE(YEAR(B4586),MONTH(B4586),1)</f>
        <v>46266</v>
      </c>
      <c r="M4586" s="31" t="n">
        <f aca="false">WEEKDAY(B4586,2)</f>
        <v>3</v>
      </c>
      <c r="N4586" s="31" t="str">
        <f aca="false">IF(G4586&lt;=INDEX(Assumptions!$B$15:$B$18,MATCH(E4586,Assumptions!$A$15:$A$18,0)),"Yes","No")</f>
        <v>Yes</v>
      </c>
      <c r="O4586" s="31" t="str">
        <f aca="false">IF(H4586="","Open",IF(H4586&lt;=INDEX(Assumptions!$C$15:$C$18,MATCH(E4586,Assumptions!$A$15:$A$18,0)),"Yes","No"))</f>
        <v>Yes</v>
      </c>
    </row>
    <row r="4587" customFormat="false" ht="15" hidden="false" customHeight="false" outlineLevel="0" collapsed="false">
      <c r="A4587" s="31" t="s">
        <v>4737</v>
      </c>
      <c r="B4587" s="44" t="n">
        <v>46267</v>
      </c>
      <c r="C4587" s="31" t="s">
        <v>58</v>
      </c>
      <c r="D4587" s="31" t="s">
        <v>69</v>
      </c>
      <c r="E4587" s="31" t="s">
        <v>52</v>
      </c>
      <c r="F4587" s="31" t="s">
        <v>135</v>
      </c>
      <c r="G4587" s="31" t="n">
        <v>14</v>
      </c>
      <c r="H4587" s="41" t="n">
        <v>122.5</v>
      </c>
      <c r="I4587" s="31" t="s">
        <v>149</v>
      </c>
      <c r="J4587" s="31" t="n">
        <v>3</v>
      </c>
      <c r="K4587" s="31" t="s">
        <v>150</v>
      </c>
      <c r="L4587" s="45" t="n">
        <f aca="false">DATE(YEAR(B4587),MONTH(B4587),1)</f>
        <v>46266</v>
      </c>
      <c r="M4587" s="31" t="n">
        <f aca="false">WEEKDAY(B4587,2)</f>
        <v>3</v>
      </c>
      <c r="N4587" s="31" t="str">
        <f aca="false">IF(G4587&lt;=INDEX(Assumptions!$B$15:$B$18,MATCH(E4587,Assumptions!$A$15:$A$18,0)),"Yes","No")</f>
        <v>Yes</v>
      </c>
      <c r="O4587" s="31" t="str">
        <f aca="false">IF(H4587="","Open",IF(H4587&lt;=INDEX(Assumptions!$C$15:$C$18,MATCH(E4587,Assumptions!$A$15:$A$18,0)),"Yes","No"))</f>
        <v>No</v>
      </c>
    </row>
    <row r="4588" customFormat="false" ht="15" hidden="false" customHeight="false" outlineLevel="0" collapsed="false">
      <c r="A4588" s="31" t="s">
        <v>4738</v>
      </c>
      <c r="B4588" s="44" t="n">
        <v>46267</v>
      </c>
      <c r="C4588" s="31" t="s">
        <v>57</v>
      </c>
      <c r="D4588" s="31" t="s">
        <v>68</v>
      </c>
      <c r="E4588" s="31" t="s">
        <v>49</v>
      </c>
      <c r="F4588" s="31" t="s">
        <v>122</v>
      </c>
      <c r="G4588" s="31" t="n">
        <v>2</v>
      </c>
      <c r="H4588" s="41" t="n">
        <v>1.3</v>
      </c>
      <c r="I4588" s="31" t="s">
        <v>149</v>
      </c>
      <c r="J4588" s="31"/>
      <c r="K4588" s="31" t="s">
        <v>150</v>
      </c>
      <c r="L4588" s="45" t="n">
        <f aca="false">DATE(YEAR(B4588),MONTH(B4588),1)</f>
        <v>46266</v>
      </c>
      <c r="M4588" s="31" t="n">
        <f aca="false">WEEKDAY(B4588,2)</f>
        <v>3</v>
      </c>
      <c r="N4588" s="31" t="str">
        <f aca="false">IF(G4588&lt;=INDEX(Assumptions!$B$15:$B$18,MATCH(E4588,Assumptions!$A$15:$A$18,0)),"Yes","No")</f>
        <v>Yes</v>
      </c>
      <c r="O4588" s="31" t="str">
        <f aca="false">IF(H4588="","Open",IF(H4588&lt;=INDEX(Assumptions!$C$15:$C$18,MATCH(E4588,Assumptions!$A$15:$A$18,0)),"Yes","No"))</f>
        <v>Yes</v>
      </c>
    </row>
    <row r="4589" customFormat="false" ht="15" hidden="false" customHeight="false" outlineLevel="0" collapsed="false">
      <c r="A4589" s="31" t="s">
        <v>4739</v>
      </c>
      <c r="B4589" s="44" t="n">
        <v>46267</v>
      </c>
      <c r="C4589" s="31" t="s">
        <v>60</v>
      </c>
      <c r="D4589" s="31" t="s">
        <v>67</v>
      </c>
      <c r="E4589" s="31" t="s">
        <v>52</v>
      </c>
      <c r="F4589" s="31" t="s">
        <v>119</v>
      </c>
      <c r="G4589" s="31" t="n">
        <v>1</v>
      </c>
      <c r="H4589" s="41" t="n">
        <v>14.5</v>
      </c>
      <c r="I4589" s="31" t="s">
        <v>149</v>
      </c>
      <c r="J4589" s="31"/>
      <c r="K4589" s="31" t="s">
        <v>150</v>
      </c>
      <c r="L4589" s="45" t="n">
        <f aca="false">DATE(YEAR(B4589),MONTH(B4589),1)</f>
        <v>46266</v>
      </c>
      <c r="M4589" s="31" t="n">
        <f aca="false">WEEKDAY(B4589,2)</f>
        <v>3</v>
      </c>
      <c r="N4589" s="31" t="str">
        <f aca="false">IF(G4589&lt;=INDEX(Assumptions!$B$15:$B$18,MATCH(E4589,Assumptions!$A$15:$A$18,0)),"Yes","No")</f>
        <v>Yes</v>
      </c>
      <c r="O4589" s="31" t="str">
        <f aca="false">IF(H4589="","Open",IF(H4589&lt;=INDEX(Assumptions!$C$15:$C$18,MATCH(E4589,Assumptions!$A$15:$A$18,0)),"Yes","No"))</f>
        <v>Yes</v>
      </c>
    </row>
    <row r="4590" customFormat="false" ht="15" hidden="false" customHeight="false" outlineLevel="0" collapsed="false">
      <c r="A4590" s="31" t="s">
        <v>4740</v>
      </c>
      <c r="B4590" s="44" t="n">
        <v>46267</v>
      </c>
      <c r="C4590" s="31" t="s">
        <v>60</v>
      </c>
      <c r="D4590" s="31" t="s">
        <v>67</v>
      </c>
      <c r="E4590" s="31" t="s">
        <v>50</v>
      </c>
      <c r="F4590" s="31" t="s">
        <v>137</v>
      </c>
      <c r="G4590" s="31" t="n">
        <v>2</v>
      </c>
      <c r="H4590" s="41" t="n">
        <v>19.1</v>
      </c>
      <c r="I4590" s="31" t="s">
        <v>149</v>
      </c>
      <c r="J4590" s="31"/>
      <c r="K4590" s="31" t="s">
        <v>150</v>
      </c>
      <c r="L4590" s="45" t="n">
        <f aca="false">DATE(YEAR(B4590),MONTH(B4590),1)</f>
        <v>46266</v>
      </c>
      <c r="M4590" s="31" t="n">
        <f aca="false">WEEKDAY(B4590,2)</f>
        <v>3</v>
      </c>
      <c r="N4590" s="31" t="str">
        <f aca="false">IF(G4590&lt;=INDEX(Assumptions!$B$15:$B$18,MATCH(E4590,Assumptions!$A$15:$A$18,0)),"Yes","No")</f>
        <v>Yes</v>
      </c>
      <c r="O4590" s="31" t="str">
        <f aca="false">IF(H4590="","Open",IF(H4590&lt;=INDEX(Assumptions!$C$15:$C$18,MATCH(E4590,Assumptions!$A$15:$A$18,0)),"Yes","No"))</f>
        <v>No</v>
      </c>
    </row>
    <row r="4591" customFormat="false" ht="15" hidden="false" customHeight="false" outlineLevel="0" collapsed="false">
      <c r="A4591" s="31" t="s">
        <v>4741</v>
      </c>
      <c r="B4591" s="44" t="n">
        <v>46267</v>
      </c>
      <c r="C4591" s="31" t="s">
        <v>57</v>
      </c>
      <c r="D4591" s="31" t="s">
        <v>66</v>
      </c>
      <c r="E4591" s="31" t="s">
        <v>51</v>
      </c>
      <c r="F4591" s="31" t="s">
        <v>128</v>
      </c>
      <c r="G4591" s="31" t="n">
        <v>2</v>
      </c>
      <c r="H4591" s="41" t="n">
        <v>34.3</v>
      </c>
      <c r="I4591" s="31" t="s">
        <v>149</v>
      </c>
      <c r="J4591" s="31" t="n">
        <v>3</v>
      </c>
      <c r="K4591" s="31" t="s">
        <v>150</v>
      </c>
      <c r="L4591" s="45" t="n">
        <f aca="false">DATE(YEAR(B4591),MONTH(B4591),1)</f>
        <v>46266</v>
      </c>
      <c r="M4591" s="31" t="n">
        <f aca="false">WEEKDAY(B4591,2)</f>
        <v>3</v>
      </c>
      <c r="N4591" s="31" t="str">
        <f aca="false">IF(G4591&lt;=INDEX(Assumptions!$B$15:$B$18,MATCH(E4591,Assumptions!$A$15:$A$18,0)),"Yes","No")</f>
        <v>Yes</v>
      </c>
      <c r="O4591" s="31" t="str">
        <f aca="false">IF(H4591="","Open",IF(H4591&lt;=INDEX(Assumptions!$C$15:$C$18,MATCH(E4591,Assumptions!$A$15:$A$18,0)),"Yes","No"))</f>
        <v>No</v>
      </c>
    </row>
    <row r="4592" customFormat="false" ht="15" hidden="false" customHeight="false" outlineLevel="0" collapsed="false">
      <c r="A4592" s="31" t="s">
        <v>4742</v>
      </c>
      <c r="B4592" s="44" t="n">
        <v>46267</v>
      </c>
      <c r="C4592" s="31" t="s">
        <v>59</v>
      </c>
      <c r="D4592" s="31" t="s">
        <v>65</v>
      </c>
      <c r="E4592" s="31" t="s">
        <v>52</v>
      </c>
      <c r="F4592" s="31" t="s">
        <v>119</v>
      </c>
      <c r="G4592" s="31" t="n">
        <v>73</v>
      </c>
      <c r="H4592" s="41" t="n">
        <v>89.6</v>
      </c>
      <c r="I4592" s="31" t="s">
        <v>149</v>
      </c>
      <c r="J4592" s="31" t="n">
        <v>4</v>
      </c>
      <c r="K4592" s="31" t="s">
        <v>150</v>
      </c>
      <c r="L4592" s="45" t="n">
        <f aca="false">DATE(YEAR(B4592),MONTH(B4592),1)</f>
        <v>46266</v>
      </c>
      <c r="M4592" s="31" t="n">
        <f aca="false">WEEKDAY(B4592,2)</f>
        <v>3</v>
      </c>
      <c r="N4592" s="31" t="str">
        <f aca="false">IF(G4592&lt;=INDEX(Assumptions!$B$15:$B$18,MATCH(E4592,Assumptions!$A$15:$A$18,0)),"Yes","No")</f>
        <v>Yes</v>
      </c>
      <c r="O4592" s="31" t="str">
        <f aca="false">IF(H4592="","Open",IF(H4592&lt;=INDEX(Assumptions!$C$15:$C$18,MATCH(E4592,Assumptions!$A$15:$A$18,0)),"Yes","No"))</f>
        <v>No</v>
      </c>
    </row>
    <row r="4593" customFormat="false" ht="15" hidden="false" customHeight="false" outlineLevel="0" collapsed="false">
      <c r="A4593" s="31" t="s">
        <v>4743</v>
      </c>
      <c r="B4593" s="44" t="n">
        <v>46267</v>
      </c>
      <c r="C4593" s="31" t="s">
        <v>58</v>
      </c>
      <c r="D4593" s="31" t="s">
        <v>69</v>
      </c>
      <c r="E4593" s="31" t="s">
        <v>49</v>
      </c>
      <c r="F4593" s="31" t="s">
        <v>137</v>
      </c>
      <c r="G4593" s="31" t="n">
        <v>5</v>
      </c>
      <c r="H4593" s="41" t="n">
        <v>28.7</v>
      </c>
      <c r="I4593" s="31" t="s">
        <v>64</v>
      </c>
      <c r="J4593" s="31"/>
      <c r="K4593" s="31" t="s">
        <v>150</v>
      </c>
      <c r="L4593" s="45" t="n">
        <f aca="false">DATE(YEAR(B4593),MONTH(B4593),1)</f>
        <v>46266</v>
      </c>
      <c r="M4593" s="31" t="n">
        <f aca="false">WEEKDAY(B4593,2)</f>
        <v>3</v>
      </c>
      <c r="N4593" s="31" t="str">
        <f aca="false">IF(G4593&lt;=INDEX(Assumptions!$B$15:$B$18,MATCH(E4593,Assumptions!$A$15:$A$18,0)),"Yes","No")</f>
        <v>Yes</v>
      </c>
      <c r="O4593" s="31" t="str">
        <f aca="false">IF(H4593="","Open",IF(H4593&lt;=INDEX(Assumptions!$C$15:$C$18,MATCH(E4593,Assumptions!$A$15:$A$18,0)),"Yes","No"))</f>
        <v>No</v>
      </c>
    </row>
    <row r="4594" customFormat="false" ht="15" hidden="false" customHeight="false" outlineLevel="0" collapsed="false">
      <c r="A4594" s="31" t="s">
        <v>4744</v>
      </c>
      <c r="B4594" s="44" t="n">
        <v>46267</v>
      </c>
      <c r="C4594" s="31" t="s">
        <v>60</v>
      </c>
      <c r="D4594" s="31" t="s">
        <v>65</v>
      </c>
      <c r="E4594" s="31" t="s">
        <v>52</v>
      </c>
      <c r="F4594" s="31" t="s">
        <v>123</v>
      </c>
      <c r="G4594" s="31" t="n">
        <v>2</v>
      </c>
      <c r="H4594" s="41" t="n">
        <v>64.9</v>
      </c>
      <c r="I4594" s="31" t="s">
        <v>149</v>
      </c>
      <c r="J4594" s="31"/>
      <c r="K4594" s="31" t="s">
        <v>150</v>
      </c>
      <c r="L4594" s="45" t="n">
        <f aca="false">DATE(YEAR(B4594),MONTH(B4594),1)</f>
        <v>46266</v>
      </c>
      <c r="M4594" s="31" t="n">
        <f aca="false">WEEKDAY(B4594,2)</f>
        <v>3</v>
      </c>
      <c r="N4594" s="31" t="str">
        <f aca="false">IF(G4594&lt;=INDEX(Assumptions!$B$15:$B$18,MATCH(E4594,Assumptions!$A$15:$A$18,0)),"Yes","No")</f>
        <v>Yes</v>
      </c>
      <c r="O4594" s="31" t="str">
        <f aca="false">IF(H4594="","Open",IF(H4594&lt;=INDEX(Assumptions!$C$15:$C$18,MATCH(E4594,Assumptions!$A$15:$A$18,0)),"Yes","No"))</f>
        <v>Yes</v>
      </c>
    </row>
    <row r="4595" customFormat="false" ht="15" hidden="false" customHeight="false" outlineLevel="0" collapsed="false">
      <c r="A4595" s="31" t="s">
        <v>4745</v>
      </c>
      <c r="B4595" s="44" t="n">
        <v>46267</v>
      </c>
      <c r="C4595" s="31" t="s">
        <v>58</v>
      </c>
      <c r="D4595" s="31" t="s">
        <v>65</v>
      </c>
      <c r="E4595" s="31" t="s">
        <v>52</v>
      </c>
      <c r="F4595" s="31" t="s">
        <v>133</v>
      </c>
      <c r="G4595" s="31" t="n">
        <v>17</v>
      </c>
      <c r="H4595" s="41" t="n">
        <v>5.1</v>
      </c>
      <c r="I4595" s="31" t="s">
        <v>149</v>
      </c>
      <c r="J4595" s="31" t="n">
        <v>5</v>
      </c>
      <c r="K4595" s="31" t="s">
        <v>150</v>
      </c>
      <c r="L4595" s="45" t="n">
        <f aca="false">DATE(YEAR(B4595),MONTH(B4595),1)</f>
        <v>46266</v>
      </c>
      <c r="M4595" s="31" t="n">
        <f aca="false">WEEKDAY(B4595,2)</f>
        <v>3</v>
      </c>
      <c r="N4595" s="31" t="str">
        <f aca="false">IF(G4595&lt;=INDEX(Assumptions!$B$15:$B$18,MATCH(E4595,Assumptions!$A$15:$A$18,0)),"Yes","No")</f>
        <v>Yes</v>
      </c>
      <c r="O4595" s="31" t="str">
        <f aca="false">IF(H4595="","Open",IF(H4595&lt;=INDEX(Assumptions!$C$15:$C$18,MATCH(E4595,Assumptions!$A$15:$A$18,0)),"Yes","No"))</f>
        <v>Yes</v>
      </c>
    </row>
    <row r="4596" customFormat="false" ht="15" hidden="false" customHeight="false" outlineLevel="0" collapsed="false">
      <c r="A4596" s="31" t="s">
        <v>4746</v>
      </c>
      <c r="B4596" s="44" t="n">
        <v>46267</v>
      </c>
      <c r="C4596" s="31" t="s">
        <v>58</v>
      </c>
      <c r="D4596" s="31" t="s">
        <v>65</v>
      </c>
      <c r="E4596" s="31" t="s">
        <v>52</v>
      </c>
      <c r="F4596" s="31" t="s">
        <v>137</v>
      </c>
      <c r="G4596" s="31" t="n">
        <v>7</v>
      </c>
      <c r="H4596" s="41" t="n">
        <v>6.3</v>
      </c>
      <c r="I4596" s="31" t="s">
        <v>149</v>
      </c>
      <c r="J4596" s="31"/>
      <c r="K4596" s="31" t="s">
        <v>150</v>
      </c>
      <c r="L4596" s="45" t="n">
        <f aca="false">DATE(YEAR(B4596),MONTH(B4596),1)</f>
        <v>46266</v>
      </c>
      <c r="M4596" s="31" t="n">
        <f aca="false">WEEKDAY(B4596,2)</f>
        <v>3</v>
      </c>
      <c r="N4596" s="31" t="str">
        <f aca="false">IF(G4596&lt;=INDEX(Assumptions!$B$15:$B$18,MATCH(E4596,Assumptions!$A$15:$A$18,0)),"Yes","No")</f>
        <v>Yes</v>
      </c>
      <c r="O4596" s="31" t="str">
        <f aca="false">IF(H4596="","Open",IF(H4596&lt;=INDEX(Assumptions!$C$15:$C$18,MATCH(E4596,Assumptions!$A$15:$A$18,0)),"Yes","No"))</f>
        <v>Yes</v>
      </c>
    </row>
    <row r="4597" customFormat="false" ht="15" hidden="false" customHeight="false" outlineLevel="0" collapsed="false">
      <c r="A4597" s="31" t="s">
        <v>4747</v>
      </c>
      <c r="B4597" s="44" t="n">
        <v>46267</v>
      </c>
      <c r="C4597" s="31" t="s">
        <v>60</v>
      </c>
      <c r="D4597" s="31" t="s">
        <v>65</v>
      </c>
      <c r="E4597" s="31" t="s">
        <v>52</v>
      </c>
      <c r="F4597" s="31" t="s">
        <v>129</v>
      </c>
      <c r="G4597" s="31" t="n">
        <v>2</v>
      </c>
      <c r="H4597" s="41" t="n">
        <v>14.1</v>
      </c>
      <c r="I4597" s="31" t="s">
        <v>149</v>
      </c>
      <c r="J4597" s="31" t="n">
        <v>5</v>
      </c>
      <c r="K4597" s="31" t="s">
        <v>150</v>
      </c>
      <c r="L4597" s="45" t="n">
        <f aca="false">DATE(YEAR(B4597),MONTH(B4597),1)</f>
        <v>46266</v>
      </c>
      <c r="M4597" s="31" t="n">
        <f aca="false">WEEKDAY(B4597,2)</f>
        <v>3</v>
      </c>
      <c r="N4597" s="31" t="str">
        <f aca="false">IF(G4597&lt;=INDEX(Assumptions!$B$15:$B$18,MATCH(E4597,Assumptions!$A$15:$A$18,0)),"Yes","No")</f>
        <v>Yes</v>
      </c>
      <c r="O4597" s="31" t="str">
        <f aca="false">IF(H4597="","Open",IF(H4597&lt;=INDEX(Assumptions!$C$15:$C$18,MATCH(E4597,Assumptions!$A$15:$A$18,0)),"Yes","No"))</f>
        <v>Yes</v>
      </c>
    </row>
    <row r="4598" customFormat="false" ht="15" hidden="false" customHeight="false" outlineLevel="0" collapsed="false">
      <c r="A4598" s="31" t="s">
        <v>4748</v>
      </c>
      <c r="B4598" s="44" t="n">
        <v>46267</v>
      </c>
      <c r="C4598" s="31" t="s">
        <v>59</v>
      </c>
      <c r="D4598" s="31" t="s">
        <v>65</v>
      </c>
      <c r="E4598" s="31" t="s">
        <v>50</v>
      </c>
      <c r="F4598" s="31" t="s">
        <v>129</v>
      </c>
      <c r="G4598" s="31" t="n">
        <v>50</v>
      </c>
      <c r="H4598" s="41" t="n">
        <v>5.3</v>
      </c>
      <c r="I4598" s="31" t="s">
        <v>149</v>
      </c>
      <c r="J4598" s="31"/>
      <c r="K4598" s="31" t="s">
        <v>150</v>
      </c>
      <c r="L4598" s="45" t="n">
        <f aca="false">DATE(YEAR(B4598),MONTH(B4598),1)</f>
        <v>46266</v>
      </c>
      <c r="M4598" s="31" t="n">
        <f aca="false">WEEKDAY(B4598,2)</f>
        <v>3</v>
      </c>
      <c r="N4598" s="31" t="str">
        <f aca="false">IF(G4598&lt;=INDEX(Assumptions!$B$15:$B$18,MATCH(E4598,Assumptions!$A$15:$A$18,0)),"Yes","No")</f>
        <v>No</v>
      </c>
      <c r="O4598" s="31" t="str">
        <f aca="false">IF(H4598="","Open",IF(H4598&lt;=INDEX(Assumptions!$C$15:$C$18,MATCH(E4598,Assumptions!$A$15:$A$18,0)),"Yes","No"))</f>
        <v>Yes</v>
      </c>
    </row>
    <row r="4599" customFormat="false" ht="15" hidden="false" customHeight="false" outlineLevel="0" collapsed="false">
      <c r="A4599" s="31" t="s">
        <v>4749</v>
      </c>
      <c r="B4599" s="44" t="n">
        <v>46267</v>
      </c>
      <c r="C4599" s="31" t="s">
        <v>57</v>
      </c>
      <c r="D4599" s="31" t="s">
        <v>67</v>
      </c>
      <c r="E4599" s="31" t="s">
        <v>51</v>
      </c>
      <c r="F4599" s="31" t="s">
        <v>123</v>
      </c>
      <c r="G4599" s="31" t="n">
        <v>1</v>
      </c>
      <c r="H4599" s="41" t="n">
        <v>4.5</v>
      </c>
      <c r="I4599" s="31" t="s">
        <v>149</v>
      </c>
      <c r="J4599" s="31" t="n">
        <v>4</v>
      </c>
      <c r="K4599" s="31" t="s">
        <v>150</v>
      </c>
      <c r="L4599" s="45" t="n">
        <f aca="false">DATE(YEAR(B4599),MONTH(B4599),1)</f>
        <v>46266</v>
      </c>
      <c r="M4599" s="31" t="n">
        <f aca="false">WEEKDAY(B4599,2)</f>
        <v>3</v>
      </c>
      <c r="N4599" s="31" t="str">
        <f aca="false">IF(G4599&lt;=INDEX(Assumptions!$B$15:$B$18,MATCH(E4599,Assumptions!$A$15:$A$18,0)),"Yes","No")</f>
        <v>Yes</v>
      </c>
      <c r="O4599" s="31" t="str">
        <f aca="false">IF(H4599="","Open",IF(H4599&lt;=INDEX(Assumptions!$C$15:$C$18,MATCH(E4599,Assumptions!$A$15:$A$18,0)),"Yes","No"))</f>
        <v>Yes</v>
      </c>
    </row>
    <row r="4600" customFormat="false" ht="15" hidden="false" customHeight="false" outlineLevel="0" collapsed="false">
      <c r="A4600" s="31" t="s">
        <v>4750</v>
      </c>
      <c r="B4600" s="44" t="n">
        <v>46267</v>
      </c>
      <c r="C4600" s="31" t="s">
        <v>59</v>
      </c>
      <c r="D4600" s="31" t="s">
        <v>66</v>
      </c>
      <c r="E4600" s="31" t="s">
        <v>50</v>
      </c>
      <c r="F4600" s="31" t="s">
        <v>131</v>
      </c>
      <c r="G4600" s="31" t="n">
        <v>35</v>
      </c>
      <c r="H4600" s="41" t="n">
        <v>2.8</v>
      </c>
      <c r="I4600" s="31" t="s">
        <v>64</v>
      </c>
      <c r="J4600" s="31" t="n">
        <v>3</v>
      </c>
      <c r="K4600" s="31" t="s">
        <v>150</v>
      </c>
      <c r="L4600" s="45" t="n">
        <f aca="false">DATE(YEAR(B4600),MONTH(B4600),1)</f>
        <v>46266</v>
      </c>
      <c r="M4600" s="31" t="n">
        <f aca="false">WEEKDAY(B4600,2)</f>
        <v>3</v>
      </c>
      <c r="N4600" s="31" t="str">
        <f aca="false">IF(G4600&lt;=INDEX(Assumptions!$B$15:$B$18,MATCH(E4600,Assumptions!$A$15:$A$18,0)),"Yes","No")</f>
        <v>No</v>
      </c>
      <c r="O4600" s="31" t="str">
        <f aca="false">IF(H4600="","Open",IF(H4600&lt;=INDEX(Assumptions!$C$15:$C$18,MATCH(E4600,Assumptions!$A$15:$A$18,0)),"Yes","No"))</f>
        <v>Yes</v>
      </c>
    </row>
    <row r="4601" customFormat="false" ht="15" hidden="false" customHeight="false" outlineLevel="0" collapsed="false">
      <c r="A4601" s="31" t="s">
        <v>4751</v>
      </c>
      <c r="B4601" s="44" t="n">
        <v>46267</v>
      </c>
      <c r="C4601" s="31" t="s">
        <v>58</v>
      </c>
      <c r="D4601" s="31" t="s">
        <v>67</v>
      </c>
      <c r="E4601" s="31" t="s">
        <v>51</v>
      </c>
      <c r="F4601" s="31" t="s">
        <v>122</v>
      </c>
      <c r="G4601" s="31" t="n">
        <v>4</v>
      </c>
      <c r="H4601" s="41" t="n">
        <v>16.1</v>
      </c>
      <c r="I4601" s="31" t="s">
        <v>149</v>
      </c>
      <c r="J4601" s="31"/>
      <c r="K4601" s="31" t="s">
        <v>150</v>
      </c>
      <c r="L4601" s="45" t="n">
        <f aca="false">DATE(YEAR(B4601),MONTH(B4601),1)</f>
        <v>46266</v>
      </c>
      <c r="M4601" s="31" t="n">
        <f aca="false">WEEKDAY(B4601,2)</f>
        <v>3</v>
      </c>
      <c r="N4601" s="31" t="str">
        <f aca="false">IF(G4601&lt;=INDEX(Assumptions!$B$15:$B$18,MATCH(E4601,Assumptions!$A$15:$A$18,0)),"Yes","No")</f>
        <v>Yes</v>
      </c>
      <c r="O4601" s="31" t="str">
        <f aca="false">IF(H4601="","Open",IF(H4601&lt;=INDEX(Assumptions!$C$15:$C$18,MATCH(E4601,Assumptions!$A$15:$A$18,0)),"Yes","No"))</f>
        <v>Yes</v>
      </c>
    </row>
    <row r="4602" customFormat="false" ht="15" hidden="false" customHeight="false" outlineLevel="0" collapsed="false">
      <c r="A4602" s="31" t="s">
        <v>4752</v>
      </c>
      <c r="B4602" s="44" t="n">
        <v>46267</v>
      </c>
      <c r="C4602" s="31" t="s">
        <v>57</v>
      </c>
      <c r="D4602" s="31" t="s">
        <v>67</v>
      </c>
      <c r="E4602" s="31" t="s">
        <v>49</v>
      </c>
      <c r="F4602" s="31" t="s">
        <v>124</v>
      </c>
      <c r="G4602" s="31" t="n">
        <v>2</v>
      </c>
      <c r="H4602" s="41" t="n">
        <v>18.8</v>
      </c>
      <c r="I4602" s="31" t="s">
        <v>149</v>
      </c>
      <c r="J4602" s="31"/>
      <c r="K4602" s="31" t="s">
        <v>150</v>
      </c>
      <c r="L4602" s="45" t="n">
        <f aca="false">DATE(YEAR(B4602),MONTH(B4602),1)</f>
        <v>46266</v>
      </c>
      <c r="M4602" s="31" t="n">
        <f aca="false">WEEKDAY(B4602,2)</f>
        <v>3</v>
      </c>
      <c r="N4602" s="31" t="str">
        <f aca="false">IF(G4602&lt;=INDEX(Assumptions!$B$15:$B$18,MATCH(E4602,Assumptions!$A$15:$A$18,0)),"Yes","No")</f>
        <v>Yes</v>
      </c>
      <c r="O4602" s="31" t="str">
        <f aca="false">IF(H4602="","Open",IF(H4602&lt;=INDEX(Assumptions!$C$15:$C$18,MATCH(E4602,Assumptions!$A$15:$A$18,0)),"Yes","No"))</f>
        <v>No</v>
      </c>
    </row>
    <row r="4603" customFormat="false" ht="15" hidden="false" customHeight="false" outlineLevel="0" collapsed="false">
      <c r="A4603" s="31" t="s">
        <v>4753</v>
      </c>
      <c r="B4603" s="44" t="n">
        <v>46267</v>
      </c>
      <c r="C4603" s="31" t="s">
        <v>58</v>
      </c>
      <c r="D4603" s="31" t="s">
        <v>66</v>
      </c>
      <c r="E4603" s="31" t="s">
        <v>50</v>
      </c>
      <c r="F4603" s="31" t="s">
        <v>124</v>
      </c>
      <c r="G4603" s="31" t="n">
        <v>10</v>
      </c>
      <c r="H4603" s="41" t="n">
        <v>5.9</v>
      </c>
      <c r="I4603" s="31" t="s">
        <v>149</v>
      </c>
      <c r="J4603" s="31" t="n">
        <v>5</v>
      </c>
      <c r="K4603" s="31" t="s">
        <v>150</v>
      </c>
      <c r="L4603" s="45" t="n">
        <f aca="false">DATE(YEAR(B4603),MONTH(B4603),1)</f>
        <v>46266</v>
      </c>
      <c r="M4603" s="31" t="n">
        <f aca="false">WEEKDAY(B4603,2)</f>
        <v>3</v>
      </c>
      <c r="N4603" s="31" t="str">
        <f aca="false">IF(G4603&lt;=INDEX(Assumptions!$B$15:$B$18,MATCH(E4603,Assumptions!$A$15:$A$18,0)),"Yes","No")</f>
        <v>Yes</v>
      </c>
      <c r="O4603" s="31" t="str">
        <f aca="false">IF(H4603="","Open",IF(H4603&lt;=INDEX(Assumptions!$C$15:$C$18,MATCH(E4603,Assumptions!$A$15:$A$18,0)),"Yes","No"))</f>
        <v>Yes</v>
      </c>
    </row>
    <row r="4604" customFormat="false" ht="15" hidden="false" customHeight="false" outlineLevel="0" collapsed="false">
      <c r="A4604" s="31" t="s">
        <v>4754</v>
      </c>
      <c r="B4604" s="44" t="n">
        <v>46267</v>
      </c>
      <c r="C4604" s="31" t="s">
        <v>60</v>
      </c>
      <c r="D4604" s="31" t="s">
        <v>69</v>
      </c>
      <c r="E4604" s="31" t="s">
        <v>51</v>
      </c>
      <c r="F4604" s="31" t="s">
        <v>121</v>
      </c>
      <c r="G4604" s="31" t="n">
        <v>3</v>
      </c>
      <c r="H4604" s="41" t="n">
        <v>29.1</v>
      </c>
      <c r="I4604" s="31" t="s">
        <v>149</v>
      </c>
      <c r="J4604" s="31"/>
      <c r="K4604" s="31" t="s">
        <v>150</v>
      </c>
      <c r="L4604" s="45" t="n">
        <f aca="false">DATE(YEAR(B4604),MONTH(B4604),1)</f>
        <v>46266</v>
      </c>
      <c r="M4604" s="31" t="n">
        <f aca="false">WEEKDAY(B4604,2)</f>
        <v>3</v>
      </c>
      <c r="N4604" s="31" t="str">
        <f aca="false">IF(G4604&lt;=INDEX(Assumptions!$B$15:$B$18,MATCH(E4604,Assumptions!$A$15:$A$18,0)),"Yes","No")</f>
        <v>Yes</v>
      </c>
      <c r="O4604" s="31" t="str">
        <f aca="false">IF(H4604="","Open",IF(H4604&lt;=INDEX(Assumptions!$C$15:$C$18,MATCH(E4604,Assumptions!$A$15:$A$18,0)),"Yes","No"))</f>
        <v>No</v>
      </c>
    </row>
    <row r="4605" customFormat="false" ht="15" hidden="false" customHeight="false" outlineLevel="0" collapsed="false">
      <c r="A4605" s="31" t="s">
        <v>4755</v>
      </c>
      <c r="B4605" s="44" t="n">
        <v>46267</v>
      </c>
      <c r="C4605" s="31" t="s">
        <v>57</v>
      </c>
      <c r="D4605" s="31" t="s">
        <v>66</v>
      </c>
      <c r="E4605" s="31" t="s">
        <v>50</v>
      </c>
      <c r="F4605" s="31" t="s">
        <v>123</v>
      </c>
      <c r="G4605" s="31" t="n">
        <v>7</v>
      </c>
      <c r="H4605" s="41" t="n">
        <v>2.2</v>
      </c>
      <c r="I4605" s="31" t="s">
        <v>149</v>
      </c>
      <c r="J4605" s="31" t="n">
        <v>4</v>
      </c>
      <c r="K4605" s="31" t="s">
        <v>150</v>
      </c>
      <c r="L4605" s="45" t="n">
        <f aca="false">DATE(YEAR(B4605),MONTH(B4605),1)</f>
        <v>46266</v>
      </c>
      <c r="M4605" s="31" t="n">
        <f aca="false">WEEKDAY(B4605,2)</f>
        <v>3</v>
      </c>
      <c r="N4605" s="31" t="str">
        <f aca="false">IF(G4605&lt;=INDEX(Assumptions!$B$15:$B$18,MATCH(E4605,Assumptions!$A$15:$A$18,0)),"Yes","No")</f>
        <v>Yes</v>
      </c>
      <c r="O4605" s="31" t="str">
        <f aca="false">IF(H4605="","Open",IF(H4605&lt;=INDEX(Assumptions!$C$15:$C$18,MATCH(E4605,Assumptions!$A$15:$A$18,0)),"Yes","No"))</f>
        <v>Yes</v>
      </c>
    </row>
    <row r="4606" customFormat="false" ht="15" hidden="false" customHeight="false" outlineLevel="0" collapsed="false">
      <c r="A4606" s="31" t="s">
        <v>4756</v>
      </c>
      <c r="B4606" s="44" t="n">
        <v>46267</v>
      </c>
      <c r="C4606" s="31" t="s">
        <v>58</v>
      </c>
      <c r="D4606" s="31" t="s">
        <v>66</v>
      </c>
      <c r="E4606" s="31" t="s">
        <v>51</v>
      </c>
      <c r="F4606" s="31" t="s">
        <v>130</v>
      </c>
      <c r="G4606" s="31" t="n">
        <v>4</v>
      </c>
      <c r="H4606" s="41" t="n">
        <v>5.9</v>
      </c>
      <c r="I4606" s="31" t="s">
        <v>149</v>
      </c>
      <c r="J4606" s="31" t="n">
        <v>5</v>
      </c>
      <c r="K4606" s="31" t="s">
        <v>150</v>
      </c>
      <c r="L4606" s="45" t="n">
        <f aca="false">DATE(YEAR(B4606),MONTH(B4606),1)</f>
        <v>46266</v>
      </c>
      <c r="M4606" s="31" t="n">
        <f aca="false">WEEKDAY(B4606,2)</f>
        <v>3</v>
      </c>
      <c r="N4606" s="31" t="str">
        <f aca="false">IF(G4606&lt;=INDEX(Assumptions!$B$15:$B$18,MATCH(E4606,Assumptions!$A$15:$A$18,0)),"Yes","No")</f>
        <v>Yes</v>
      </c>
      <c r="O4606" s="31" t="str">
        <f aca="false">IF(H4606="","Open",IF(H4606&lt;=INDEX(Assumptions!$C$15:$C$18,MATCH(E4606,Assumptions!$A$15:$A$18,0)),"Yes","No"))</f>
        <v>Yes</v>
      </c>
    </row>
    <row r="4607" customFormat="false" ht="15" hidden="false" customHeight="false" outlineLevel="0" collapsed="false">
      <c r="A4607" s="31" t="s">
        <v>4757</v>
      </c>
      <c r="B4607" s="44" t="n">
        <v>46267</v>
      </c>
      <c r="C4607" s="31" t="s">
        <v>60</v>
      </c>
      <c r="D4607" s="31" t="s">
        <v>67</v>
      </c>
      <c r="E4607" s="31" t="s">
        <v>51</v>
      </c>
      <c r="F4607" s="31" t="s">
        <v>120</v>
      </c>
      <c r="G4607" s="31" t="n">
        <v>5</v>
      </c>
      <c r="H4607" s="41" t="n">
        <v>34.2</v>
      </c>
      <c r="I4607" s="31" t="s">
        <v>149</v>
      </c>
      <c r="J4607" s="31"/>
      <c r="K4607" s="31" t="s">
        <v>153</v>
      </c>
      <c r="L4607" s="45" t="n">
        <f aca="false">DATE(YEAR(B4607),MONTH(B4607),1)</f>
        <v>46266</v>
      </c>
      <c r="M4607" s="31" t="n">
        <f aca="false">WEEKDAY(B4607,2)</f>
        <v>3</v>
      </c>
      <c r="N4607" s="31" t="str">
        <f aca="false">IF(G4607&lt;=INDEX(Assumptions!$B$15:$B$18,MATCH(E4607,Assumptions!$A$15:$A$18,0)),"Yes","No")</f>
        <v>Yes</v>
      </c>
      <c r="O4607" s="31" t="str">
        <f aca="false">IF(H4607="","Open",IF(H4607&lt;=INDEX(Assumptions!$C$15:$C$18,MATCH(E4607,Assumptions!$A$15:$A$18,0)),"Yes","No"))</f>
        <v>No</v>
      </c>
    </row>
    <row r="4608" customFormat="false" ht="15" hidden="false" customHeight="false" outlineLevel="0" collapsed="false">
      <c r="A4608" s="31" t="s">
        <v>4758</v>
      </c>
      <c r="B4608" s="44" t="n">
        <v>46267</v>
      </c>
      <c r="C4608" s="31" t="s">
        <v>60</v>
      </c>
      <c r="D4608" s="31" t="s">
        <v>66</v>
      </c>
      <c r="E4608" s="31" t="s">
        <v>50</v>
      </c>
      <c r="F4608" s="31" t="s">
        <v>133</v>
      </c>
      <c r="G4608" s="31" t="n">
        <v>1</v>
      </c>
      <c r="H4608" s="41" t="n">
        <v>3</v>
      </c>
      <c r="I4608" s="31" t="s">
        <v>149</v>
      </c>
      <c r="J4608" s="31"/>
      <c r="K4608" s="31" t="s">
        <v>150</v>
      </c>
      <c r="L4608" s="45" t="n">
        <f aca="false">DATE(YEAR(B4608),MONTH(B4608),1)</f>
        <v>46266</v>
      </c>
      <c r="M4608" s="31" t="n">
        <f aca="false">WEEKDAY(B4608,2)</f>
        <v>3</v>
      </c>
      <c r="N4608" s="31" t="str">
        <f aca="false">IF(G4608&lt;=INDEX(Assumptions!$B$15:$B$18,MATCH(E4608,Assumptions!$A$15:$A$18,0)),"Yes","No")</f>
        <v>Yes</v>
      </c>
      <c r="O4608" s="31" t="str">
        <f aca="false">IF(H4608="","Open",IF(H4608&lt;=INDEX(Assumptions!$C$15:$C$18,MATCH(E4608,Assumptions!$A$15:$A$18,0)),"Yes","No"))</f>
        <v>Yes</v>
      </c>
    </row>
    <row r="4609" customFormat="false" ht="15" hidden="false" customHeight="false" outlineLevel="0" collapsed="false">
      <c r="A4609" s="31" t="s">
        <v>4759</v>
      </c>
      <c r="B4609" s="44" t="n">
        <v>46267</v>
      </c>
      <c r="C4609" s="31" t="s">
        <v>57</v>
      </c>
      <c r="D4609" s="31" t="s">
        <v>68</v>
      </c>
      <c r="E4609" s="31" t="s">
        <v>50</v>
      </c>
      <c r="F4609" s="31" t="s">
        <v>120</v>
      </c>
      <c r="G4609" s="31" t="n">
        <v>2</v>
      </c>
      <c r="H4609" s="41" t="n">
        <v>4.5</v>
      </c>
      <c r="I4609" s="31" t="s">
        <v>149</v>
      </c>
      <c r="J4609" s="31"/>
      <c r="K4609" s="31" t="s">
        <v>150</v>
      </c>
      <c r="L4609" s="45" t="n">
        <f aca="false">DATE(YEAR(B4609),MONTH(B4609),1)</f>
        <v>46266</v>
      </c>
      <c r="M4609" s="31" t="n">
        <f aca="false">WEEKDAY(B4609,2)</f>
        <v>3</v>
      </c>
      <c r="N4609" s="31" t="str">
        <f aca="false">IF(G4609&lt;=INDEX(Assumptions!$B$15:$B$18,MATCH(E4609,Assumptions!$A$15:$A$18,0)),"Yes","No")</f>
        <v>Yes</v>
      </c>
      <c r="O4609" s="31" t="str">
        <f aca="false">IF(H4609="","Open",IF(H4609&lt;=INDEX(Assumptions!$C$15:$C$18,MATCH(E4609,Assumptions!$A$15:$A$18,0)),"Yes","No"))</f>
        <v>Yes</v>
      </c>
    </row>
    <row r="4610" customFormat="false" ht="15" hidden="false" customHeight="false" outlineLevel="0" collapsed="false">
      <c r="A4610" s="31" t="s">
        <v>4760</v>
      </c>
      <c r="B4610" s="44" t="n">
        <v>46267</v>
      </c>
      <c r="C4610" s="31" t="s">
        <v>58</v>
      </c>
      <c r="D4610" s="31" t="s">
        <v>67</v>
      </c>
      <c r="E4610" s="31" t="s">
        <v>49</v>
      </c>
      <c r="F4610" s="31" t="s">
        <v>126</v>
      </c>
      <c r="G4610" s="31" t="n">
        <v>7</v>
      </c>
      <c r="H4610" s="41"/>
      <c r="I4610" s="31" t="s">
        <v>158</v>
      </c>
      <c r="J4610" s="31"/>
      <c r="K4610" s="31" t="s">
        <v>150</v>
      </c>
      <c r="L4610" s="45" t="n">
        <f aca="false">DATE(YEAR(B4610),MONTH(B4610),1)</f>
        <v>46266</v>
      </c>
      <c r="M4610" s="31" t="n">
        <f aca="false">WEEKDAY(B4610,2)</f>
        <v>3</v>
      </c>
      <c r="N4610" s="31" t="str">
        <f aca="false">IF(G4610&lt;=INDEX(Assumptions!$B$15:$B$18,MATCH(E4610,Assumptions!$A$15:$A$18,0)),"Yes","No")</f>
        <v>Yes</v>
      </c>
      <c r="O4610" s="31" t="str">
        <f aca="false">IF(H4610="","Open",IF(H4610&lt;=INDEX(Assumptions!$C$15:$C$18,MATCH(E4610,Assumptions!$A$15:$A$18,0)),"Yes","No"))</f>
        <v>Open</v>
      </c>
    </row>
    <row r="4611" customFormat="false" ht="15" hidden="false" customHeight="false" outlineLevel="0" collapsed="false">
      <c r="A4611" s="31" t="s">
        <v>4761</v>
      </c>
      <c r="B4611" s="44" t="n">
        <v>46267</v>
      </c>
      <c r="C4611" s="31" t="s">
        <v>60</v>
      </c>
      <c r="D4611" s="31" t="s">
        <v>65</v>
      </c>
      <c r="E4611" s="31" t="s">
        <v>51</v>
      </c>
      <c r="F4611" s="31" t="s">
        <v>121</v>
      </c>
      <c r="G4611" s="31" t="n">
        <v>5</v>
      </c>
      <c r="H4611" s="41" t="n">
        <v>8.7</v>
      </c>
      <c r="I4611" s="31" t="s">
        <v>149</v>
      </c>
      <c r="J4611" s="31" t="n">
        <v>4</v>
      </c>
      <c r="K4611" s="31" t="s">
        <v>150</v>
      </c>
      <c r="L4611" s="45" t="n">
        <f aca="false">DATE(YEAR(B4611),MONTH(B4611),1)</f>
        <v>46266</v>
      </c>
      <c r="M4611" s="31" t="n">
        <f aca="false">WEEKDAY(B4611,2)</f>
        <v>3</v>
      </c>
      <c r="N4611" s="31" t="str">
        <f aca="false">IF(G4611&lt;=INDEX(Assumptions!$B$15:$B$18,MATCH(E4611,Assumptions!$A$15:$A$18,0)),"Yes","No")</f>
        <v>Yes</v>
      </c>
      <c r="O4611" s="31" t="str">
        <f aca="false">IF(H4611="","Open",IF(H4611&lt;=INDEX(Assumptions!$C$15:$C$18,MATCH(E4611,Assumptions!$A$15:$A$18,0)),"Yes","No"))</f>
        <v>Yes</v>
      </c>
    </row>
    <row r="4612" customFormat="false" ht="15" hidden="false" customHeight="false" outlineLevel="0" collapsed="false">
      <c r="A4612" s="31" t="s">
        <v>4762</v>
      </c>
      <c r="B4612" s="44" t="n">
        <v>46267</v>
      </c>
      <c r="C4612" s="31" t="s">
        <v>57</v>
      </c>
      <c r="D4612" s="31" t="s">
        <v>65</v>
      </c>
      <c r="E4612" s="31" t="s">
        <v>50</v>
      </c>
      <c r="F4612" s="31" t="s">
        <v>133</v>
      </c>
      <c r="G4612" s="31" t="n">
        <v>3</v>
      </c>
      <c r="H4612" s="41" t="n">
        <v>4.6</v>
      </c>
      <c r="I4612" s="31" t="s">
        <v>149</v>
      </c>
      <c r="J4612" s="31"/>
      <c r="K4612" s="31" t="s">
        <v>153</v>
      </c>
      <c r="L4612" s="45" t="n">
        <f aca="false">DATE(YEAR(B4612),MONTH(B4612),1)</f>
        <v>46266</v>
      </c>
      <c r="M4612" s="31" t="n">
        <f aca="false">WEEKDAY(B4612,2)</f>
        <v>3</v>
      </c>
      <c r="N4612" s="31" t="str">
        <f aca="false">IF(G4612&lt;=INDEX(Assumptions!$B$15:$B$18,MATCH(E4612,Assumptions!$A$15:$A$18,0)),"Yes","No")</f>
        <v>Yes</v>
      </c>
      <c r="O4612" s="31" t="str">
        <f aca="false">IF(H4612="","Open",IF(H4612&lt;=INDEX(Assumptions!$C$15:$C$18,MATCH(E4612,Assumptions!$A$15:$A$18,0)),"Yes","No"))</f>
        <v>Yes</v>
      </c>
    </row>
    <row r="4613" customFormat="false" ht="15" hidden="false" customHeight="false" outlineLevel="0" collapsed="false">
      <c r="A4613" s="31" t="s">
        <v>4763</v>
      </c>
      <c r="B4613" s="44" t="n">
        <v>46267</v>
      </c>
      <c r="C4613" s="31" t="s">
        <v>60</v>
      </c>
      <c r="D4613" s="31" t="s">
        <v>66</v>
      </c>
      <c r="E4613" s="31" t="s">
        <v>51</v>
      </c>
      <c r="F4613" s="31" t="s">
        <v>126</v>
      </c>
      <c r="G4613" s="31" t="n">
        <v>3</v>
      </c>
      <c r="H4613" s="41" t="n">
        <v>2.2</v>
      </c>
      <c r="I4613" s="31" t="s">
        <v>149</v>
      </c>
      <c r="J4613" s="31" t="n">
        <v>4</v>
      </c>
      <c r="K4613" s="31" t="s">
        <v>150</v>
      </c>
      <c r="L4613" s="45" t="n">
        <f aca="false">DATE(YEAR(B4613),MONTH(B4613),1)</f>
        <v>46266</v>
      </c>
      <c r="M4613" s="31" t="n">
        <f aca="false">WEEKDAY(B4613,2)</f>
        <v>3</v>
      </c>
      <c r="N4613" s="31" t="str">
        <f aca="false">IF(G4613&lt;=INDEX(Assumptions!$B$15:$B$18,MATCH(E4613,Assumptions!$A$15:$A$18,0)),"Yes","No")</f>
        <v>Yes</v>
      </c>
      <c r="O4613" s="31" t="str">
        <f aca="false">IF(H4613="","Open",IF(H4613&lt;=INDEX(Assumptions!$C$15:$C$18,MATCH(E4613,Assumptions!$A$15:$A$18,0)),"Yes","No"))</f>
        <v>Yes</v>
      </c>
    </row>
    <row r="4614" customFormat="false" ht="15" hidden="false" customHeight="false" outlineLevel="0" collapsed="false">
      <c r="A4614" s="31" t="s">
        <v>4764</v>
      </c>
      <c r="B4614" s="44" t="n">
        <v>46267</v>
      </c>
      <c r="C4614" s="31" t="s">
        <v>57</v>
      </c>
      <c r="D4614" s="31" t="s">
        <v>69</v>
      </c>
      <c r="E4614" s="31" t="s">
        <v>51</v>
      </c>
      <c r="F4614" s="31" t="s">
        <v>122</v>
      </c>
      <c r="G4614" s="31" t="n">
        <v>5</v>
      </c>
      <c r="H4614" s="41" t="n">
        <v>6.5</v>
      </c>
      <c r="I4614" s="31" t="s">
        <v>149</v>
      </c>
      <c r="J4614" s="31"/>
      <c r="K4614" s="31" t="s">
        <v>150</v>
      </c>
      <c r="L4614" s="45" t="n">
        <f aca="false">DATE(YEAR(B4614),MONTH(B4614),1)</f>
        <v>46266</v>
      </c>
      <c r="M4614" s="31" t="n">
        <f aca="false">WEEKDAY(B4614,2)</f>
        <v>3</v>
      </c>
      <c r="N4614" s="31" t="str">
        <f aca="false">IF(G4614&lt;=INDEX(Assumptions!$B$15:$B$18,MATCH(E4614,Assumptions!$A$15:$A$18,0)),"Yes","No")</f>
        <v>Yes</v>
      </c>
      <c r="O4614" s="31" t="str">
        <f aca="false">IF(H4614="","Open",IF(H4614&lt;=INDEX(Assumptions!$C$15:$C$18,MATCH(E4614,Assumptions!$A$15:$A$18,0)),"Yes","No"))</f>
        <v>Yes</v>
      </c>
    </row>
    <row r="4615" customFormat="false" ht="15" hidden="false" customHeight="false" outlineLevel="0" collapsed="false">
      <c r="A4615" s="31" t="s">
        <v>4765</v>
      </c>
      <c r="B4615" s="44" t="n">
        <v>46267</v>
      </c>
      <c r="C4615" s="31" t="s">
        <v>57</v>
      </c>
      <c r="D4615" s="31" t="s">
        <v>67</v>
      </c>
      <c r="E4615" s="31" t="s">
        <v>49</v>
      </c>
      <c r="F4615" s="31" t="s">
        <v>124</v>
      </c>
      <c r="G4615" s="31" t="n">
        <v>2</v>
      </c>
      <c r="H4615" s="41" t="n">
        <v>12.3</v>
      </c>
      <c r="I4615" s="31" t="s">
        <v>149</v>
      </c>
      <c r="J4615" s="31" t="n">
        <v>4</v>
      </c>
      <c r="K4615" s="31" t="s">
        <v>150</v>
      </c>
      <c r="L4615" s="45" t="n">
        <f aca="false">DATE(YEAR(B4615),MONTH(B4615),1)</f>
        <v>46266</v>
      </c>
      <c r="M4615" s="31" t="n">
        <f aca="false">WEEKDAY(B4615,2)</f>
        <v>3</v>
      </c>
      <c r="N4615" s="31" t="str">
        <f aca="false">IF(G4615&lt;=INDEX(Assumptions!$B$15:$B$18,MATCH(E4615,Assumptions!$A$15:$A$18,0)),"Yes","No")</f>
        <v>Yes</v>
      </c>
      <c r="O4615" s="31" t="str">
        <f aca="false">IF(H4615="","Open",IF(H4615&lt;=INDEX(Assumptions!$C$15:$C$18,MATCH(E4615,Assumptions!$A$15:$A$18,0)),"Yes","No"))</f>
        <v>No</v>
      </c>
    </row>
    <row r="4616" customFormat="false" ht="15" hidden="false" customHeight="false" outlineLevel="0" collapsed="false">
      <c r="A4616" s="31" t="s">
        <v>4766</v>
      </c>
      <c r="B4616" s="44" t="n">
        <v>46267</v>
      </c>
      <c r="C4616" s="31" t="s">
        <v>57</v>
      </c>
      <c r="D4616" s="31" t="s">
        <v>65</v>
      </c>
      <c r="E4616" s="31" t="s">
        <v>49</v>
      </c>
      <c r="F4616" s="31" t="s">
        <v>135</v>
      </c>
      <c r="G4616" s="31" t="n">
        <v>8</v>
      </c>
      <c r="H4616" s="41" t="n">
        <v>6.8</v>
      </c>
      <c r="I4616" s="31" t="s">
        <v>149</v>
      </c>
      <c r="J4616" s="31"/>
      <c r="K4616" s="31" t="s">
        <v>153</v>
      </c>
      <c r="L4616" s="45" t="n">
        <f aca="false">DATE(YEAR(B4616),MONTH(B4616),1)</f>
        <v>46266</v>
      </c>
      <c r="M4616" s="31" t="n">
        <f aca="false">WEEKDAY(B4616,2)</f>
        <v>3</v>
      </c>
      <c r="N4616" s="31" t="str">
        <f aca="false">IF(G4616&lt;=INDEX(Assumptions!$B$15:$B$18,MATCH(E4616,Assumptions!$A$15:$A$18,0)),"Yes","No")</f>
        <v>Yes</v>
      </c>
      <c r="O4616" s="31" t="str">
        <f aca="false">IF(H4616="","Open",IF(H4616&lt;=INDEX(Assumptions!$C$15:$C$18,MATCH(E4616,Assumptions!$A$15:$A$18,0)),"Yes","No"))</f>
        <v>No</v>
      </c>
    </row>
    <row r="4617" customFormat="false" ht="15" hidden="false" customHeight="false" outlineLevel="0" collapsed="false">
      <c r="A4617" s="31" t="s">
        <v>4767</v>
      </c>
      <c r="B4617" s="44" t="n">
        <v>46267</v>
      </c>
      <c r="C4617" s="31" t="s">
        <v>57</v>
      </c>
      <c r="D4617" s="31" t="s">
        <v>68</v>
      </c>
      <c r="E4617" s="31" t="s">
        <v>51</v>
      </c>
      <c r="F4617" s="31" t="s">
        <v>117</v>
      </c>
      <c r="G4617" s="31" t="n">
        <v>2</v>
      </c>
      <c r="H4617" s="41" t="n">
        <v>3.2</v>
      </c>
      <c r="I4617" s="31" t="s">
        <v>149</v>
      </c>
      <c r="J4617" s="31"/>
      <c r="K4617" s="31" t="s">
        <v>150</v>
      </c>
      <c r="L4617" s="45" t="n">
        <f aca="false">DATE(YEAR(B4617),MONTH(B4617),1)</f>
        <v>46266</v>
      </c>
      <c r="M4617" s="31" t="n">
        <f aca="false">WEEKDAY(B4617,2)</f>
        <v>3</v>
      </c>
      <c r="N4617" s="31" t="str">
        <f aca="false">IF(G4617&lt;=INDEX(Assumptions!$B$15:$B$18,MATCH(E4617,Assumptions!$A$15:$A$18,0)),"Yes","No")</f>
        <v>Yes</v>
      </c>
      <c r="O4617" s="31" t="str">
        <f aca="false">IF(H4617="","Open",IF(H4617&lt;=INDEX(Assumptions!$C$15:$C$18,MATCH(E4617,Assumptions!$A$15:$A$18,0)),"Yes","No"))</f>
        <v>Yes</v>
      </c>
    </row>
    <row r="4618" customFormat="false" ht="15" hidden="false" customHeight="false" outlineLevel="0" collapsed="false">
      <c r="A4618" s="31" t="s">
        <v>4768</v>
      </c>
      <c r="B4618" s="44" t="n">
        <v>46267</v>
      </c>
      <c r="C4618" s="31" t="s">
        <v>60</v>
      </c>
      <c r="D4618" s="31" t="s">
        <v>66</v>
      </c>
      <c r="E4618" s="31" t="s">
        <v>49</v>
      </c>
      <c r="F4618" s="31" t="s">
        <v>130</v>
      </c>
      <c r="G4618" s="31" t="n">
        <v>2</v>
      </c>
      <c r="H4618" s="41" t="n">
        <v>0.8</v>
      </c>
      <c r="I4618" s="31" t="s">
        <v>149</v>
      </c>
      <c r="J4618" s="31" t="n">
        <v>4</v>
      </c>
      <c r="K4618" s="31" t="s">
        <v>150</v>
      </c>
      <c r="L4618" s="45" t="n">
        <f aca="false">DATE(YEAR(B4618),MONTH(B4618),1)</f>
        <v>46266</v>
      </c>
      <c r="M4618" s="31" t="n">
        <f aca="false">WEEKDAY(B4618,2)</f>
        <v>3</v>
      </c>
      <c r="N4618" s="31" t="str">
        <f aca="false">IF(G4618&lt;=INDEX(Assumptions!$B$15:$B$18,MATCH(E4618,Assumptions!$A$15:$A$18,0)),"Yes","No")</f>
        <v>Yes</v>
      </c>
      <c r="O4618" s="31" t="str">
        <f aca="false">IF(H4618="","Open",IF(H4618&lt;=INDEX(Assumptions!$C$15:$C$18,MATCH(E4618,Assumptions!$A$15:$A$18,0)),"Yes","No"))</f>
        <v>Yes</v>
      </c>
    </row>
    <row r="4619" customFormat="false" ht="15" hidden="false" customHeight="false" outlineLevel="0" collapsed="false">
      <c r="A4619" s="31" t="s">
        <v>4769</v>
      </c>
      <c r="B4619" s="44" t="n">
        <v>46267</v>
      </c>
      <c r="C4619" s="31" t="s">
        <v>60</v>
      </c>
      <c r="D4619" s="31" t="s">
        <v>66</v>
      </c>
      <c r="E4619" s="31" t="s">
        <v>51</v>
      </c>
      <c r="F4619" s="31" t="s">
        <v>128</v>
      </c>
      <c r="G4619" s="31" t="n">
        <v>2</v>
      </c>
      <c r="H4619" s="41" t="n">
        <v>10.6</v>
      </c>
      <c r="I4619" s="31" t="s">
        <v>149</v>
      </c>
      <c r="J4619" s="31" t="n">
        <v>5</v>
      </c>
      <c r="K4619" s="31" t="s">
        <v>150</v>
      </c>
      <c r="L4619" s="45" t="n">
        <f aca="false">DATE(YEAR(B4619),MONTH(B4619),1)</f>
        <v>46266</v>
      </c>
      <c r="M4619" s="31" t="n">
        <f aca="false">WEEKDAY(B4619,2)</f>
        <v>3</v>
      </c>
      <c r="N4619" s="31" t="str">
        <f aca="false">IF(G4619&lt;=INDEX(Assumptions!$B$15:$B$18,MATCH(E4619,Assumptions!$A$15:$A$18,0)),"Yes","No")</f>
        <v>Yes</v>
      </c>
      <c r="O4619" s="31" t="str">
        <f aca="false">IF(H4619="","Open",IF(H4619&lt;=INDEX(Assumptions!$C$15:$C$18,MATCH(E4619,Assumptions!$A$15:$A$18,0)),"Yes","No"))</f>
        <v>Yes</v>
      </c>
    </row>
    <row r="4620" customFormat="false" ht="15" hidden="false" customHeight="false" outlineLevel="0" collapsed="false">
      <c r="A4620" s="31" t="s">
        <v>4770</v>
      </c>
      <c r="B4620" s="44" t="n">
        <v>46267</v>
      </c>
      <c r="C4620" s="31" t="s">
        <v>60</v>
      </c>
      <c r="D4620" s="31" t="s">
        <v>66</v>
      </c>
      <c r="E4620" s="31" t="s">
        <v>52</v>
      </c>
      <c r="F4620" s="31" t="s">
        <v>122</v>
      </c>
      <c r="G4620" s="31" t="n">
        <v>4</v>
      </c>
      <c r="H4620" s="41" t="n">
        <v>24.2</v>
      </c>
      <c r="I4620" s="31" t="s">
        <v>149</v>
      </c>
      <c r="J4620" s="31" t="n">
        <v>4</v>
      </c>
      <c r="K4620" s="31" t="s">
        <v>150</v>
      </c>
      <c r="L4620" s="45" t="n">
        <f aca="false">DATE(YEAR(B4620),MONTH(B4620),1)</f>
        <v>46266</v>
      </c>
      <c r="M4620" s="31" t="n">
        <f aca="false">WEEKDAY(B4620,2)</f>
        <v>3</v>
      </c>
      <c r="N4620" s="31" t="str">
        <f aca="false">IF(G4620&lt;=INDEX(Assumptions!$B$15:$B$18,MATCH(E4620,Assumptions!$A$15:$A$18,0)),"Yes","No")</f>
        <v>Yes</v>
      </c>
      <c r="O4620" s="31" t="str">
        <f aca="false">IF(H4620="","Open",IF(H4620&lt;=INDEX(Assumptions!$C$15:$C$18,MATCH(E4620,Assumptions!$A$15:$A$18,0)),"Yes","No"))</f>
        <v>Yes</v>
      </c>
    </row>
    <row r="4621" customFormat="false" ht="15" hidden="false" customHeight="false" outlineLevel="0" collapsed="false">
      <c r="A4621" s="31" t="s">
        <v>4771</v>
      </c>
      <c r="B4621" s="44" t="n">
        <v>46267</v>
      </c>
      <c r="C4621" s="31" t="s">
        <v>59</v>
      </c>
      <c r="D4621" s="31" t="s">
        <v>66</v>
      </c>
      <c r="E4621" s="31" t="s">
        <v>49</v>
      </c>
      <c r="F4621" s="31" t="s">
        <v>136</v>
      </c>
      <c r="G4621" s="31" t="n">
        <v>18</v>
      </c>
      <c r="H4621" s="41" t="n">
        <v>2.3</v>
      </c>
      <c r="I4621" s="31" t="s">
        <v>149</v>
      </c>
      <c r="J4621" s="31" t="n">
        <v>3</v>
      </c>
      <c r="K4621" s="31" t="s">
        <v>150</v>
      </c>
      <c r="L4621" s="45" t="n">
        <f aca="false">DATE(YEAR(B4621),MONTH(B4621),1)</f>
        <v>46266</v>
      </c>
      <c r="M4621" s="31" t="n">
        <f aca="false">WEEKDAY(B4621,2)</f>
        <v>3</v>
      </c>
      <c r="N4621" s="31" t="str">
        <f aca="false">IF(G4621&lt;=INDEX(Assumptions!$B$15:$B$18,MATCH(E4621,Assumptions!$A$15:$A$18,0)),"Yes","No")</f>
        <v>No</v>
      </c>
      <c r="O4621" s="31" t="str">
        <f aca="false">IF(H4621="","Open",IF(H4621&lt;=INDEX(Assumptions!$C$15:$C$18,MATCH(E4621,Assumptions!$A$15:$A$18,0)),"Yes","No"))</f>
        <v>Yes</v>
      </c>
    </row>
    <row r="4622" customFormat="false" ht="15" hidden="false" customHeight="false" outlineLevel="0" collapsed="false">
      <c r="A4622" s="31" t="s">
        <v>4772</v>
      </c>
      <c r="B4622" s="44" t="n">
        <v>46267</v>
      </c>
      <c r="C4622" s="31" t="s">
        <v>58</v>
      </c>
      <c r="D4622" s="31" t="s">
        <v>66</v>
      </c>
      <c r="E4622" s="31" t="s">
        <v>50</v>
      </c>
      <c r="F4622" s="31" t="s">
        <v>134</v>
      </c>
      <c r="G4622" s="31" t="n">
        <v>21</v>
      </c>
      <c r="H4622" s="41" t="n">
        <v>3.4</v>
      </c>
      <c r="I4622" s="31" t="s">
        <v>149</v>
      </c>
      <c r="J4622" s="31"/>
      <c r="K4622" s="31" t="s">
        <v>153</v>
      </c>
      <c r="L4622" s="45" t="n">
        <f aca="false">DATE(YEAR(B4622),MONTH(B4622),1)</f>
        <v>46266</v>
      </c>
      <c r="M4622" s="31" t="n">
        <f aca="false">WEEKDAY(B4622,2)</f>
        <v>3</v>
      </c>
      <c r="N4622" s="31" t="str">
        <f aca="false">IF(G4622&lt;=INDEX(Assumptions!$B$15:$B$18,MATCH(E4622,Assumptions!$A$15:$A$18,0)),"Yes","No")</f>
        <v>Yes</v>
      </c>
      <c r="O4622" s="31" t="str">
        <f aca="false">IF(H4622="","Open",IF(H4622&lt;=INDEX(Assumptions!$C$15:$C$18,MATCH(E4622,Assumptions!$A$15:$A$18,0)),"Yes","No"))</f>
        <v>Yes</v>
      </c>
    </row>
    <row r="4623" customFormat="false" ht="15" hidden="false" customHeight="false" outlineLevel="0" collapsed="false">
      <c r="A4623" s="31" t="s">
        <v>4773</v>
      </c>
      <c r="B4623" s="44" t="n">
        <v>46267</v>
      </c>
      <c r="C4623" s="31" t="s">
        <v>60</v>
      </c>
      <c r="D4623" s="31" t="s">
        <v>69</v>
      </c>
      <c r="E4623" s="31" t="s">
        <v>51</v>
      </c>
      <c r="F4623" s="31" t="s">
        <v>124</v>
      </c>
      <c r="G4623" s="31" t="n">
        <v>1</v>
      </c>
      <c r="H4623" s="41" t="n">
        <v>47.2</v>
      </c>
      <c r="I4623" s="31" t="s">
        <v>149</v>
      </c>
      <c r="J4623" s="31"/>
      <c r="K4623" s="31" t="s">
        <v>150</v>
      </c>
      <c r="L4623" s="45" t="n">
        <f aca="false">DATE(YEAR(B4623),MONTH(B4623),1)</f>
        <v>46266</v>
      </c>
      <c r="M4623" s="31" t="n">
        <f aca="false">WEEKDAY(B4623,2)</f>
        <v>3</v>
      </c>
      <c r="N4623" s="31" t="str">
        <f aca="false">IF(G4623&lt;=INDEX(Assumptions!$B$15:$B$18,MATCH(E4623,Assumptions!$A$15:$A$18,0)),"Yes","No")</f>
        <v>Yes</v>
      </c>
      <c r="O4623" s="31" t="str">
        <f aca="false">IF(H4623="","Open",IF(H4623&lt;=INDEX(Assumptions!$C$15:$C$18,MATCH(E4623,Assumptions!$A$15:$A$18,0)),"Yes","No"))</f>
        <v>No</v>
      </c>
    </row>
    <row r="4624" customFormat="false" ht="15" hidden="false" customHeight="false" outlineLevel="0" collapsed="false">
      <c r="A4624" s="31" t="s">
        <v>4774</v>
      </c>
      <c r="B4624" s="44" t="n">
        <v>46267</v>
      </c>
      <c r="C4624" s="31" t="s">
        <v>59</v>
      </c>
      <c r="D4624" s="31" t="s">
        <v>66</v>
      </c>
      <c r="E4624" s="31" t="s">
        <v>49</v>
      </c>
      <c r="F4624" s="31" t="s">
        <v>133</v>
      </c>
      <c r="G4624" s="31" t="n">
        <v>22</v>
      </c>
      <c r="H4624" s="41" t="n">
        <v>1.1</v>
      </c>
      <c r="I4624" s="31" t="s">
        <v>149</v>
      </c>
      <c r="J4624" s="31" t="n">
        <v>5</v>
      </c>
      <c r="K4624" s="31" t="s">
        <v>150</v>
      </c>
      <c r="L4624" s="45" t="n">
        <f aca="false">DATE(YEAR(B4624),MONTH(B4624),1)</f>
        <v>46266</v>
      </c>
      <c r="M4624" s="31" t="n">
        <f aca="false">WEEKDAY(B4624,2)</f>
        <v>3</v>
      </c>
      <c r="N4624" s="31" t="str">
        <f aca="false">IF(G4624&lt;=INDEX(Assumptions!$B$15:$B$18,MATCH(E4624,Assumptions!$A$15:$A$18,0)),"Yes","No")</f>
        <v>No</v>
      </c>
      <c r="O4624" s="31" t="str">
        <f aca="false">IF(H4624="","Open",IF(H4624&lt;=INDEX(Assumptions!$C$15:$C$18,MATCH(E4624,Assumptions!$A$15:$A$18,0)),"Yes","No"))</f>
        <v>Yes</v>
      </c>
    </row>
    <row r="4625" customFormat="false" ht="15" hidden="false" customHeight="false" outlineLevel="0" collapsed="false">
      <c r="A4625" s="31" t="s">
        <v>4775</v>
      </c>
      <c r="B4625" s="44" t="n">
        <v>46267</v>
      </c>
      <c r="C4625" s="31" t="s">
        <v>58</v>
      </c>
      <c r="D4625" s="31" t="s">
        <v>65</v>
      </c>
      <c r="E4625" s="31" t="s">
        <v>52</v>
      </c>
      <c r="F4625" s="31" t="s">
        <v>117</v>
      </c>
      <c r="G4625" s="31" t="n">
        <v>3</v>
      </c>
      <c r="H4625" s="41" t="n">
        <v>7.9</v>
      </c>
      <c r="I4625" s="31" t="s">
        <v>149</v>
      </c>
      <c r="J4625" s="31"/>
      <c r="K4625" s="31" t="s">
        <v>150</v>
      </c>
      <c r="L4625" s="45" t="n">
        <f aca="false">DATE(YEAR(B4625),MONTH(B4625),1)</f>
        <v>46266</v>
      </c>
      <c r="M4625" s="31" t="n">
        <f aca="false">WEEKDAY(B4625,2)</f>
        <v>3</v>
      </c>
      <c r="N4625" s="31" t="str">
        <f aca="false">IF(G4625&lt;=INDEX(Assumptions!$B$15:$B$18,MATCH(E4625,Assumptions!$A$15:$A$18,0)),"Yes","No")</f>
        <v>Yes</v>
      </c>
      <c r="O4625" s="31" t="str">
        <f aca="false">IF(H4625="","Open",IF(H4625&lt;=INDEX(Assumptions!$C$15:$C$18,MATCH(E4625,Assumptions!$A$15:$A$18,0)),"Yes","No"))</f>
        <v>Yes</v>
      </c>
    </row>
    <row r="4626" customFormat="false" ht="15" hidden="false" customHeight="false" outlineLevel="0" collapsed="false">
      <c r="A4626" s="31" t="s">
        <v>4776</v>
      </c>
      <c r="B4626" s="44" t="n">
        <v>46267</v>
      </c>
      <c r="C4626" s="31" t="s">
        <v>59</v>
      </c>
      <c r="D4626" s="31" t="s">
        <v>65</v>
      </c>
      <c r="E4626" s="31" t="s">
        <v>51</v>
      </c>
      <c r="F4626" s="31" t="s">
        <v>127</v>
      </c>
      <c r="G4626" s="31" t="n">
        <v>35</v>
      </c>
      <c r="H4626" s="41" t="n">
        <v>17.3</v>
      </c>
      <c r="I4626" s="31" t="s">
        <v>149</v>
      </c>
      <c r="J4626" s="31"/>
      <c r="K4626" s="31" t="s">
        <v>150</v>
      </c>
      <c r="L4626" s="45" t="n">
        <f aca="false">DATE(YEAR(B4626),MONTH(B4626),1)</f>
        <v>46266</v>
      </c>
      <c r="M4626" s="31" t="n">
        <f aca="false">WEEKDAY(B4626,2)</f>
        <v>3</v>
      </c>
      <c r="N4626" s="31" t="str">
        <f aca="false">IF(G4626&lt;=INDEX(Assumptions!$B$15:$B$18,MATCH(E4626,Assumptions!$A$15:$A$18,0)),"Yes","No")</f>
        <v>Yes</v>
      </c>
      <c r="O4626" s="31" t="str">
        <f aca="false">IF(H4626="","Open",IF(H4626&lt;=INDEX(Assumptions!$C$15:$C$18,MATCH(E4626,Assumptions!$A$15:$A$18,0)),"Yes","No"))</f>
        <v>Yes</v>
      </c>
    </row>
    <row r="4627" customFormat="false" ht="15" hidden="false" customHeight="false" outlineLevel="0" collapsed="false">
      <c r="A4627" s="31" t="s">
        <v>4777</v>
      </c>
      <c r="B4627" s="44" t="n">
        <v>46267</v>
      </c>
      <c r="C4627" s="31" t="s">
        <v>57</v>
      </c>
      <c r="D4627" s="31" t="s">
        <v>66</v>
      </c>
      <c r="E4627" s="31" t="s">
        <v>50</v>
      </c>
      <c r="F4627" s="31" t="s">
        <v>120</v>
      </c>
      <c r="G4627" s="31" t="n">
        <v>5</v>
      </c>
      <c r="H4627" s="41"/>
      <c r="I4627" s="31" t="s">
        <v>158</v>
      </c>
      <c r="J4627" s="31"/>
      <c r="K4627" s="31" t="s">
        <v>150</v>
      </c>
      <c r="L4627" s="45" t="n">
        <f aca="false">DATE(YEAR(B4627),MONTH(B4627),1)</f>
        <v>46266</v>
      </c>
      <c r="M4627" s="31" t="n">
        <f aca="false">WEEKDAY(B4627,2)</f>
        <v>3</v>
      </c>
      <c r="N4627" s="31" t="str">
        <f aca="false">IF(G4627&lt;=INDEX(Assumptions!$B$15:$B$18,MATCH(E4627,Assumptions!$A$15:$A$18,0)),"Yes","No")</f>
        <v>Yes</v>
      </c>
      <c r="O4627" s="31" t="str">
        <f aca="false">IF(H4627="","Open",IF(H4627&lt;=INDEX(Assumptions!$C$15:$C$18,MATCH(E4627,Assumptions!$A$15:$A$18,0)),"Yes","No"))</f>
        <v>Open</v>
      </c>
    </row>
    <row r="4628" customFormat="false" ht="15" hidden="false" customHeight="false" outlineLevel="0" collapsed="false">
      <c r="A4628" s="31" t="s">
        <v>4778</v>
      </c>
      <c r="B4628" s="44" t="n">
        <v>46267</v>
      </c>
      <c r="C4628" s="31" t="s">
        <v>59</v>
      </c>
      <c r="D4628" s="31" t="s">
        <v>69</v>
      </c>
      <c r="E4628" s="31" t="s">
        <v>51</v>
      </c>
      <c r="F4628" s="31" t="s">
        <v>129</v>
      </c>
      <c r="G4628" s="31" t="n">
        <v>107</v>
      </c>
      <c r="H4628" s="41" t="n">
        <v>15.1</v>
      </c>
      <c r="I4628" s="31" t="s">
        <v>149</v>
      </c>
      <c r="J4628" s="31"/>
      <c r="K4628" s="31" t="s">
        <v>150</v>
      </c>
      <c r="L4628" s="45" t="n">
        <f aca="false">DATE(YEAR(B4628),MONTH(B4628),1)</f>
        <v>46266</v>
      </c>
      <c r="M4628" s="31" t="n">
        <f aca="false">WEEKDAY(B4628,2)</f>
        <v>3</v>
      </c>
      <c r="N4628" s="31" t="str">
        <f aca="false">IF(G4628&lt;=INDEX(Assumptions!$B$15:$B$18,MATCH(E4628,Assumptions!$A$15:$A$18,0)),"Yes","No")</f>
        <v>No</v>
      </c>
      <c r="O4628" s="31" t="str">
        <f aca="false">IF(H4628="","Open",IF(H4628&lt;=INDEX(Assumptions!$C$15:$C$18,MATCH(E4628,Assumptions!$A$15:$A$18,0)),"Yes","No"))</f>
        <v>Yes</v>
      </c>
    </row>
    <row r="4629" customFormat="false" ht="15" hidden="false" customHeight="false" outlineLevel="0" collapsed="false">
      <c r="A4629" s="31" t="s">
        <v>4779</v>
      </c>
      <c r="B4629" s="44" t="n">
        <v>46267</v>
      </c>
      <c r="C4629" s="31" t="s">
        <v>58</v>
      </c>
      <c r="D4629" s="31" t="s">
        <v>69</v>
      </c>
      <c r="E4629" s="31" t="s">
        <v>51</v>
      </c>
      <c r="F4629" s="31" t="s">
        <v>134</v>
      </c>
      <c r="G4629" s="31" t="n">
        <v>19</v>
      </c>
      <c r="H4629" s="41" t="n">
        <v>26.6</v>
      </c>
      <c r="I4629" s="31" t="s">
        <v>149</v>
      </c>
      <c r="J4629" s="31"/>
      <c r="K4629" s="31" t="s">
        <v>150</v>
      </c>
      <c r="L4629" s="45" t="n">
        <f aca="false">DATE(YEAR(B4629),MONTH(B4629),1)</f>
        <v>46266</v>
      </c>
      <c r="M4629" s="31" t="n">
        <f aca="false">WEEKDAY(B4629,2)</f>
        <v>3</v>
      </c>
      <c r="N4629" s="31" t="str">
        <f aca="false">IF(G4629&lt;=INDEX(Assumptions!$B$15:$B$18,MATCH(E4629,Assumptions!$A$15:$A$18,0)),"Yes","No")</f>
        <v>Yes</v>
      </c>
      <c r="O4629" s="31" t="str">
        <f aca="false">IF(H4629="","Open",IF(H4629&lt;=INDEX(Assumptions!$C$15:$C$18,MATCH(E4629,Assumptions!$A$15:$A$18,0)),"Yes","No"))</f>
        <v>No</v>
      </c>
    </row>
    <row r="4630" customFormat="false" ht="15" hidden="false" customHeight="false" outlineLevel="0" collapsed="false">
      <c r="A4630" s="31" t="s">
        <v>4780</v>
      </c>
      <c r="B4630" s="44" t="n">
        <v>46267</v>
      </c>
      <c r="C4630" s="31" t="s">
        <v>59</v>
      </c>
      <c r="D4630" s="31" t="s">
        <v>69</v>
      </c>
      <c r="E4630" s="31" t="s">
        <v>52</v>
      </c>
      <c r="F4630" s="31" t="s">
        <v>119</v>
      </c>
      <c r="G4630" s="31" t="n">
        <v>223</v>
      </c>
      <c r="H4630" s="41" t="n">
        <v>17.3</v>
      </c>
      <c r="I4630" s="31" t="s">
        <v>149</v>
      </c>
      <c r="J4630" s="31" t="n">
        <v>4</v>
      </c>
      <c r="K4630" s="31" t="s">
        <v>150</v>
      </c>
      <c r="L4630" s="45" t="n">
        <f aca="false">DATE(YEAR(B4630),MONTH(B4630),1)</f>
        <v>46266</v>
      </c>
      <c r="M4630" s="31" t="n">
        <f aca="false">WEEKDAY(B4630,2)</f>
        <v>3</v>
      </c>
      <c r="N4630" s="31" t="str">
        <f aca="false">IF(G4630&lt;=INDEX(Assumptions!$B$15:$B$18,MATCH(E4630,Assumptions!$A$15:$A$18,0)),"Yes","No")</f>
        <v>Yes</v>
      </c>
      <c r="O4630" s="31" t="str">
        <f aca="false">IF(H4630="","Open",IF(H4630&lt;=INDEX(Assumptions!$C$15:$C$18,MATCH(E4630,Assumptions!$A$15:$A$18,0)),"Yes","No"))</f>
        <v>Yes</v>
      </c>
    </row>
    <row r="4631" customFormat="false" ht="15" hidden="false" customHeight="false" outlineLevel="0" collapsed="false">
      <c r="A4631" s="31" t="s">
        <v>4781</v>
      </c>
      <c r="B4631" s="44" t="n">
        <v>46267</v>
      </c>
      <c r="C4631" s="31" t="s">
        <v>57</v>
      </c>
      <c r="D4631" s="31" t="s">
        <v>66</v>
      </c>
      <c r="E4631" s="31" t="s">
        <v>51</v>
      </c>
      <c r="F4631" s="31" t="s">
        <v>133</v>
      </c>
      <c r="G4631" s="31" t="n">
        <v>3</v>
      </c>
      <c r="H4631" s="41" t="n">
        <v>6.6</v>
      </c>
      <c r="I4631" s="31" t="s">
        <v>149</v>
      </c>
      <c r="J4631" s="31"/>
      <c r="K4631" s="31" t="s">
        <v>150</v>
      </c>
      <c r="L4631" s="45" t="n">
        <f aca="false">DATE(YEAR(B4631),MONTH(B4631),1)</f>
        <v>46266</v>
      </c>
      <c r="M4631" s="31" t="n">
        <f aca="false">WEEKDAY(B4631,2)</f>
        <v>3</v>
      </c>
      <c r="N4631" s="31" t="str">
        <f aca="false">IF(G4631&lt;=INDEX(Assumptions!$B$15:$B$18,MATCH(E4631,Assumptions!$A$15:$A$18,0)),"Yes","No")</f>
        <v>Yes</v>
      </c>
      <c r="O4631" s="31" t="str">
        <f aca="false">IF(H4631="","Open",IF(H4631&lt;=INDEX(Assumptions!$C$15:$C$18,MATCH(E4631,Assumptions!$A$15:$A$18,0)),"Yes","No"))</f>
        <v>Yes</v>
      </c>
    </row>
    <row r="4632" customFormat="false" ht="15" hidden="false" customHeight="false" outlineLevel="0" collapsed="false">
      <c r="A4632" s="31" t="s">
        <v>4782</v>
      </c>
      <c r="B4632" s="44" t="n">
        <v>46267</v>
      </c>
      <c r="C4632" s="31" t="s">
        <v>59</v>
      </c>
      <c r="D4632" s="31" t="s">
        <v>67</v>
      </c>
      <c r="E4632" s="31" t="s">
        <v>52</v>
      </c>
      <c r="F4632" s="31" t="s">
        <v>134</v>
      </c>
      <c r="G4632" s="31" t="n">
        <v>119</v>
      </c>
      <c r="H4632" s="41" t="n">
        <v>135.2</v>
      </c>
      <c r="I4632" s="31" t="s">
        <v>149</v>
      </c>
      <c r="J4632" s="31"/>
      <c r="K4632" s="31" t="s">
        <v>150</v>
      </c>
      <c r="L4632" s="45" t="n">
        <f aca="false">DATE(YEAR(B4632),MONTH(B4632),1)</f>
        <v>46266</v>
      </c>
      <c r="M4632" s="31" t="n">
        <f aca="false">WEEKDAY(B4632,2)</f>
        <v>3</v>
      </c>
      <c r="N4632" s="31" t="str">
        <f aca="false">IF(G4632&lt;=INDEX(Assumptions!$B$15:$B$18,MATCH(E4632,Assumptions!$A$15:$A$18,0)),"Yes","No")</f>
        <v>Yes</v>
      </c>
      <c r="O4632" s="31" t="str">
        <f aca="false">IF(H4632="","Open",IF(H4632&lt;=INDEX(Assumptions!$C$15:$C$18,MATCH(E4632,Assumptions!$A$15:$A$18,0)),"Yes","No"))</f>
        <v>No</v>
      </c>
    </row>
    <row r="4633" customFormat="false" ht="15" hidden="false" customHeight="false" outlineLevel="0" collapsed="false">
      <c r="A4633" s="31" t="s">
        <v>4783</v>
      </c>
      <c r="B4633" s="44" t="n">
        <v>46267</v>
      </c>
      <c r="C4633" s="31" t="s">
        <v>58</v>
      </c>
      <c r="D4633" s="31" t="s">
        <v>69</v>
      </c>
      <c r="E4633" s="31" t="s">
        <v>51</v>
      </c>
      <c r="F4633" s="31" t="s">
        <v>135</v>
      </c>
      <c r="G4633" s="31" t="n">
        <v>7</v>
      </c>
      <c r="H4633" s="41" t="n">
        <v>8</v>
      </c>
      <c r="I4633" s="31" t="s">
        <v>149</v>
      </c>
      <c r="J4633" s="31" t="n">
        <v>4</v>
      </c>
      <c r="K4633" s="31" t="s">
        <v>150</v>
      </c>
      <c r="L4633" s="45" t="n">
        <f aca="false">DATE(YEAR(B4633),MONTH(B4633),1)</f>
        <v>46266</v>
      </c>
      <c r="M4633" s="31" t="n">
        <f aca="false">WEEKDAY(B4633,2)</f>
        <v>3</v>
      </c>
      <c r="N4633" s="31" t="str">
        <f aca="false">IF(G4633&lt;=INDEX(Assumptions!$B$15:$B$18,MATCH(E4633,Assumptions!$A$15:$A$18,0)),"Yes","No")</f>
        <v>Yes</v>
      </c>
      <c r="O4633" s="31" t="str">
        <f aca="false">IF(H4633="","Open",IF(H4633&lt;=INDEX(Assumptions!$C$15:$C$18,MATCH(E4633,Assumptions!$A$15:$A$18,0)),"Yes","No"))</f>
        <v>Yes</v>
      </c>
    </row>
    <row r="4634" customFormat="false" ht="15" hidden="false" customHeight="false" outlineLevel="0" collapsed="false">
      <c r="A4634" s="31" t="s">
        <v>4784</v>
      </c>
      <c r="B4634" s="44" t="n">
        <v>46267</v>
      </c>
      <c r="C4634" s="31" t="s">
        <v>58</v>
      </c>
      <c r="D4634" s="31" t="s">
        <v>69</v>
      </c>
      <c r="E4634" s="31" t="s">
        <v>52</v>
      </c>
      <c r="F4634" s="31" t="s">
        <v>131</v>
      </c>
      <c r="G4634" s="31" t="n">
        <v>7</v>
      </c>
      <c r="H4634" s="41" t="n">
        <v>19.2</v>
      </c>
      <c r="I4634" s="31" t="s">
        <v>149</v>
      </c>
      <c r="J4634" s="31" t="n">
        <v>3</v>
      </c>
      <c r="K4634" s="31" t="s">
        <v>150</v>
      </c>
      <c r="L4634" s="45" t="n">
        <f aca="false">DATE(YEAR(B4634),MONTH(B4634),1)</f>
        <v>46266</v>
      </c>
      <c r="M4634" s="31" t="n">
        <f aca="false">WEEKDAY(B4634,2)</f>
        <v>3</v>
      </c>
      <c r="N4634" s="31" t="str">
        <f aca="false">IF(G4634&lt;=INDEX(Assumptions!$B$15:$B$18,MATCH(E4634,Assumptions!$A$15:$A$18,0)),"Yes","No")</f>
        <v>Yes</v>
      </c>
      <c r="O4634" s="31" t="str">
        <f aca="false">IF(H4634="","Open",IF(H4634&lt;=INDEX(Assumptions!$C$15:$C$18,MATCH(E4634,Assumptions!$A$15:$A$18,0)),"Yes","No"))</f>
        <v>Yes</v>
      </c>
    </row>
    <row r="4635" customFormat="false" ht="15" hidden="false" customHeight="false" outlineLevel="0" collapsed="false">
      <c r="A4635" s="31" t="s">
        <v>4785</v>
      </c>
      <c r="B4635" s="44" t="n">
        <v>46267</v>
      </c>
      <c r="C4635" s="31" t="s">
        <v>58</v>
      </c>
      <c r="D4635" s="31" t="s">
        <v>65</v>
      </c>
      <c r="E4635" s="31" t="s">
        <v>51</v>
      </c>
      <c r="F4635" s="31" t="s">
        <v>134</v>
      </c>
      <c r="G4635" s="31" t="n">
        <v>21</v>
      </c>
      <c r="H4635" s="41" t="n">
        <v>39.8</v>
      </c>
      <c r="I4635" s="31" t="s">
        <v>149</v>
      </c>
      <c r="J4635" s="31" t="n">
        <v>3</v>
      </c>
      <c r="K4635" s="31" t="s">
        <v>150</v>
      </c>
      <c r="L4635" s="45" t="n">
        <f aca="false">DATE(YEAR(B4635),MONTH(B4635),1)</f>
        <v>46266</v>
      </c>
      <c r="M4635" s="31" t="n">
        <f aca="false">WEEKDAY(B4635,2)</f>
        <v>3</v>
      </c>
      <c r="N4635" s="31" t="str">
        <f aca="false">IF(G4635&lt;=INDEX(Assumptions!$B$15:$B$18,MATCH(E4635,Assumptions!$A$15:$A$18,0)),"Yes","No")</f>
        <v>Yes</v>
      </c>
      <c r="O4635" s="31" t="str">
        <f aca="false">IF(H4635="","Open",IF(H4635&lt;=INDEX(Assumptions!$C$15:$C$18,MATCH(E4635,Assumptions!$A$15:$A$18,0)),"Yes","No"))</f>
        <v>No</v>
      </c>
    </row>
    <row r="4636" customFormat="false" ht="15" hidden="false" customHeight="false" outlineLevel="0" collapsed="false">
      <c r="A4636" s="31" t="s">
        <v>4786</v>
      </c>
      <c r="B4636" s="44" t="n">
        <v>46267</v>
      </c>
      <c r="C4636" s="31" t="s">
        <v>57</v>
      </c>
      <c r="D4636" s="31" t="s">
        <v>66</v>
      </c>
      <c r="E4636" s="31" t="s">
        <v>50</v>
      </c>
      <c r="F4636" s="31" t="s">
        <v>121</v>
      </c>
      <c r="G4636" s="31" t="n">
        <v>4</v>
      </c>
      <c r="H4636" s="41" t="n">
        <v>4.9</v>
      </c>
      <c r="I4636" s="31" t="s">
        <v>149</v>
      </c>
      <c r="J4636" s="31"/>
      <c r="K4636" s="31" t="s">
        <v>150</v>
      </c>
      <c r="L4636" s="45" t="n">
        <f aca="false">DATE(YEAR(B4636),MONTH(B4636),1)</f>
        <v>46266</v>
      </c>
      <c r="M4636" s="31" t="n">
        <f aca="false">WEEKDAY(B4636,2)</f>
        <v>3</v>
      </c>
      <c r="N4636" s="31" t="str">
        <f aca="false">IF(G4636&lt;=INDEX(Assumptions!$B$15:$B$18,MATCH(E4636,Assumptions!$A$15:$A$18,0)),"Yes","No")</f>
        <v>Yes</v>
      </c>
      <c r="O4636" s="31" t="str">
        <f aca="false">IF(H4636="","Open",IF(H4636&lt;=INDEX(Assumptions!$C$15:$C$18,MATCH(E4636,Assumptions!$A$15:$A$18,0)),"Yes","No"))</f>
        <v>Yes</v>
      </c>
    </row>
    <row r="4637" customFormat="false" ht="15" hidden="false" customHeight="false" outlineLevel="0" collapsed="false">
      <c r="A4637" s="31" t="s">
        <v>4787</v>
      </c>
      <c r="B4637" s="44" t="n">
        <v>46267</v>
      </c>
      <c r="C4637" s="31" t="s">
        <v>58</v>
      </c>
      <c r="D4637" s="31" t="s">
        <v>68</v>
      </c>
      <c r="E4637" s="31" t="s">
        <v>50</v>
      </c>
      <c r="F4637" s="31" t="s">
        <v>126</v>
      </c>
      <c r="G4637" s="31" t="n">
        <v>2</v>
      </c>
      <c r="H4637" s="41" t="n">
        <v>2.8</v>
      </c>
      <c r="I4637" s="31" t="s">
        <v>149</v>
      </c>
      <c r="J4637" s="31"/>
      <c r="K4637" s="31" t="s">
        <v>150</v>
      </c>
      <c r="L4637" s="45" t="n">
        <f aca="false">DATE(YEAR(B4637),MONTH(B4637),1)</f>
        <v>46266</v>
      </c>
      <c r="M4637" s="31" t="n">
        <f aca="false">WEEKDAY(B4637,2)</f>
        <v>3</v>
      </c>
      <c r="N4637" s="31" t="str">
        <f aca="false">IF(G4637&lt;=INDEX(Assumptions!$B$15:$B$18,MATCH(E4637,Assumptions!$A$15:$A$18,0)),"Yes","No")</f>
        <v>Yes</v>
      </c>
      <c r="O4637" s="31" t="str">
        <f aca="false">IF(H4637="","Open",IF(H4637&lt;=INDEX(Assumptions!$C$15:$C$18,MATCH(E4637,Assumptions!$A$15:$A$18,0)),"Yes","No"))</f>
        <v>Yes</v>
      </c>
    </row>
    <row r="4638" customFormat="false" ht="15" hidden="false" customHeight="false" outlineLevel="0" collapsed="false">
      <c r="A4638" s="31" t="s">
        <v>4788</v>
      </c>
      <c r="B4638" s="44" t="n">
        <v>46267</v>
      </c>
      <c r="C4638" s="31" t="s">
        <v>59</v>
      </c>
      <c r="D4638" s="31" t="s">
        <v>65</v>
      </c>
      <c r="E4638" s="31" t="s">
        <v>51</v>
      </c>
      <c r="F4638" s="31" t="s">
        <v>134</v>
      </c>
      <c r="G4638" s="31" t="n">
        <v>159</v>
      </c>
      <c r="H4638" s="41" t="n">
        <v>93.7</v>
      </c>
      <c r="I4638" s="31" t="s">
        <v>64</v>
      </c>
      <c r="J4638" s="31"/>
      <c r="K4638" s="31" t="s">
        <v>150</v>
      </c>
      <c r="L4638" s="45" t="n">
        <f aca="false">DATE(YEAR(B4638),MONTH(B4638),1)</f>
        <v>46266</v>
      </c>
      <c r="M4638" s="31" t="n">
        <f aca="false">WEEKDAY(B4638,2)</f>
        <v>3</v>
      </c>
      <c r="N4638" s="31" t="str">
        <f aca="false">IF(G4638&lt;=INDEX(Assumptions!$B$15:$B$18,MATCH(E4638,Assumptions!$A$15:$A$18,0)),"Yes","No")</f>
        <v>No</v>
      </c>
      <c r="O4638" s="31" t="str">
        <f aca="false">IF(H4638="","Open",IF(H4638&lt;=INDEX(Assumptions!$C$15:$C$18,MATCH(E4638,Assumptions!$A$15:$A$18,0)),"Yes","No"))</f>
        <v>No</v>
      </c>
    </row>
    <row r="4639" customFormat="false" ht="15" hidden="false" customHeight="false" outlineLevel="0" collapsed="false">
      <c r="A4639" s="31" t="s">
        <v>4789</v>
      </c>
      <c r="B4639" s="44" t="n">
        <v>46267</v>
      </c>
      <c r="C4639" s="31" t="s">
        <v>58</v>
      </c>
      <c r="D4639" s="31" t="s">
        <v>68</v>
      </c>
      <c r="E4639" s="31" t="s">
        <v>51</v>
      </c>
      <c r="F4639" s="31" t="s">
        <v>120</v>
      </c>
      <c r="G4639" s="31" t="n">
        <v>8</v>
      </c>
      <c r="H4639" s="41" t="n">
        <v>14.6</v>
      </c>
      <c r="I4639" s="31" t="s">
        <v>64</v>
      </c>
      <c r="J4639" s="31"/>
      <c r="K4639" s="31" t="s">
        <v>153</v>
      </c>
      <c r="L4639" s="45" t="n">
        <f aca="false">DATE(YEAR(B4639),MONTH(B4639),1)</f>
        <v>46266</v>
      </c>
      <c r="M4639" s="31" t="n">
        <f aca="false">WEEKDAY(B4639,2)</f>
        <v>3</v>
      </c>
      <c r="N4639" s="31" t="str">
        <f aca="false">IF(G4639&lt;=INDEX(Assumptions!$B$15:$B$18,MATCH(E4639,Assumptions!$A$15:$A$18,0)),"Yes","No")</f>
        <v>Yes</v>
      </c>
      <c r="O4639" s="31" t="str">
        <f aca="false">IF(H4639="","Open",IF(H4639&lt;=INDEX(Assumptions!$C$15:$C$18,MATCH(E4639,Assumptions!$A$15:$A$18,0)),"Yes","No"))</f>
        <v>Yes</v>
      </c>
    </row>
    <row r="4640" customFormat="false" ht="15" hidden="false" customHeight="false" outlineLevel="0" collapsed="false">
      <c r="A4640" s="31" t="s">
        <v>4790</v>
      </c>
      <c r="B4640" s="44" t="n">
        <v>46267</v>
      </c>
      <c r="C4640" s="31" t="s">
        <v>58</v>
      </c>
      <c r="D4640" s="31" t="s">
        <v>68</v>
      </c>
      <c r="E4640" s="31" t="s">
        <v>50</v>
      </c>
      <c r="F4640" s="31" t="s">
        <v>135</v>
      </c>
      <c r="G4640" s="31" t="n">
        <v>19</v>
      </c>
      <c r="H4640" s="41" t="n">
        <v>4</v>
      </c>
      <c r="I4640" s="31" t="s">
        <v>149</v>
      </c>
      <c r="J4640" s="31" t="n">
        <v>5</v>
      </c>
      <c r="K4640" s="31" t="s">
        <v>150</v>
      </c>
      <c r="L4640" s="45" t="n">
        <f aca="false">DATE(YEAR(B4640),MONTH(B4640),1)</f>
        <v>46266</v>
      </c>
      <c r="M4640" s="31" t="n">
        <f aca="false">WEEKDAY(B4640,2)</f>
        <v>3</v>
      </c>
      <c r="N4640" s="31" t="str">
        <f aca="false">IF(G4640&lt;=INDEX(Assumptions!$B$15:$B$18,MATCH(E4640,Assumptions!$A$15:$A$18,0)),"Yes","No")</f>
        <v>Yes</v>
      </c>
      <c r="O4640" s="31" t="str">
        <f aca="false">IF(H4640="","Open",IF(H4640&lt;=INDEX(Assumptions!$C$15:$C$18,MATCH(E4640,Assumptions!$A$15:$A$18,0)),"Yes","No"))</f>
        <v>Yes</v>
      </c>
    </row>
    <row r="4641" customFormat="false" ht="15" hidden="false" customHeight="false" outlineLevel="0" collapsed="false">
      <c r="A4641" s="31" t="s">
        <v>4791</v>
      </c>
      <c r="B4641" s="44" t="n">
        <v>46267</v>
      </c>
      <c r="C4641" s="31" t="s">
        <v>60</v>
      </c>
      <c r="D4641" s="31" t="s">
        <v>66</v>
      </c>
      <c r="E4641" s="31" t="s">
        <v>52</v>
      </c>
      <c r="F4641" s="31" t="s">
        <v>121</v>
      </c>
      <c r="G4641" s="31" t="n">
        <v>10</v>
      </c>
      <c r="H4641" s="41" t="n">
        <v>8.3</v>
      </c>
      <c r="I4641" s="31" t="s">
        <v>149</v>
      </c>
      <c r="J4641" s="31"/>
      <c r="K4641" s="31" t="s">
        <v>150</v>
      </c>
      <c r="L4641" s="45" t="n">
        <f aca="false">DATE(YEAR(B4641),MONTH(B4641),1)</f>
        <v>46266</v>
      </c>
      <c r="M4641" s="31" t="n">
        <f aca="false">WEEKDAY(B4641,2)</f>
        <v>3</v>
      </c>
      <c r="N4641" s="31" t="str">
        <f aca="false">IF(G4641&lt;=INDEX(Assumptions!$B$15:$B$18,MATCH(E4641,Assumptions!$A$15:$A$18,0)),"Yes","No")</f>
        <v>Yes</v>
      </c>
      <c r="O4641" s="31" t="str">
        <f aca="false">IF(H4641="","Open",IF(H4641&lt;=INDEX(Assumptions!$C$15:$C$18,MATCH(E4641,Assumptions!$A$15:$A$18,0)),"Yes","No"))</f>
        <v>Yes</v>
      </c>
    </row>
    <row r="4642" customFormat="false" ht="15" hidden="false" customHeight="false" outlineLevel="0" collapsed="false">
      <c r="A4642" s="31" t="s">
        <v>4792</v>
      </c>
      <c r="B4642" s="44" t="n">
        <v>46267</v>
      </c>
      <c r="C4642" s="31" t="s">
        <v>57</v>
      </c>
      <c r="D4642" s="31" t="s">
        <v>67</v>
      </c>
      <c r="E4642" s="31" t="s">
        <v>51</v>
      </c>
      <c r="F4642" s="31" t="s">
        <v>137</v>
      </c>
      <c r="G4642" s="31" t="n">
        <v>14</v>
      </c>
      <c r="H4642" s="41" t="n">
        <v>15</v>
      </c>
      <c r="I4642" s="31" t="s">
        <v>149</v>
      </c>
      <c r="J4642" s="31" t="n">
        <v>3</v>
      </c>
      <c r="K4642" s="31" t="s">
        <v>150</v>
      </c>
      <c r="L4642" s="45" t="n">
        <f aca="false">DATE(YEAR(B4642),MONTH(B4642),1)</f>
        <v>46266</v>
      </c>
      <c r="M4642" s="31" t="n">
        <f aca="false">WEEKDAY(B4642,2)</f>
        <v>3</v>
      </c>
      <c r="N4642" s="31" t="str">
        <f aca="false">IF(G4642&lt;=INDEX(Assumptions!$B$15:$B$18,MATCH(E4642,Assumptions!$A$15:$A$18,0)),"Yes","No")</f>
        <v>Yes</v>
      </c>
      <c r="O4642" s="31" t="str">
        <f aca="false">IF(H4642="","Open",IF(H4642&lt;=INDEX(Assumptions!$C$15:$C$18,MATCH(E4642,Assumptions!$A$15:$A$18,0)),"Yes","No"))</f>
        <v>Yes</v>
      </c>
    </row>
    <row r="4643" customFormat="false" ht="15" hidden="false" customHeight="false" outlineLevel="0" collapsed="false">
      <c r="A4643" s="31" t="s">
        <v>4793</v>
      </c>
      <c r="B4643" s="44" t="n">
        <v>46267</v>
      </c>
      <c r="C4643" s="31" t="s">
        <v>57</v>
      </c>
      <c r="D4643" s="31" t="s">
        <v>65</v>
      </c>
      <c r="E4643" s="31" t="s">
        <v>51</v>
      </c>
      <c r="F4643" s="31" t="s">
        <v>134</v>
      </c>
      <c r="G4643" s="31" t="n">
        <v>7</v>
      </c>
      <c r="H4643" s="41" t="n">
        <v>6.9</v>
      </c>
      <c r="I4643" s="31" t="s">
        <v>149</v>
      </c>
      <c r="J4643" s="31" t="n">
        <v>4</v>
      </c>
      <c r="K4643" s="31" t="s">
        <v>150</v>
      </c>
      <c r="L4643" s="45" t="n">
        <f aca="false">DATE(YEAR(B4643),MONTH(B4643),1)</f>
        <v>46266</v>
      </c>
      <c r="M4643" s="31" t="n">
        <f aca="false">WEEKDAY(B4643,2)</f>
        <v>3</v>
      </c>
      <c r="N4643" s="31" t="str">
        <f aca="false">IF(G4643&lt;=INDEX(Assumptions!$B$15:$B$18,MATCH(E4643,Assumptions!$A$15:$A$18,0)),"Yes","No")</f>
        <v>Yes</v>
      </c>
      <c r="O4643" s="31" t="str">
        <f aca="false">IF(H4643="","Open",IF(H4643&lt;=INDEX(Assumptions!$C$15:$C$18,MATCH(E4643,Assumptions!$A$15:$A$18,0)),"Yes","No"))</f>
        <v>Yes</v>
      </c>
    </row>
    <row r="4644" customFormat="false" ht="15" hidden="false" customHeight="false" outlineLevel="0" collapsed="false">
      <c r="A4644" s="31" t="s">
        <v>4794</v>
      </c>
      <c r="B4644" s="44" t="n">
        <v>46267</v>
      </c>
      <c r="C4644" s="31" t="s">
        <v>60</v>
      </c>
      <c r="D4644" s="31" t="s">
        <v>67</v>
      </c>
      <c r="E4644" s="31" t="s">
        <v>52</v>
      </c>
      <c r="F4644" s="31" t="s">
        <v>119</v>
      </c>
      <c r="G4644" s="31" t="n">
        <v>1</v>
      </c>
      <c r="H4644" s="41" t="n">
        <v>39.5</v>
      </c>
      <c r="I4644" s="31" t="s">
        <v>149</v>
      </c>
      <c r="J4644" s="31"/>
      <c r="K4644" s="31" t="s">
        <v>150</v>
      </c>
      <c r="L4644" s="45" t="n">
        <f aca="false">DATE(YEAR(B4644),MONTH(B4644),1)</f>
        <v>46266</v>
      </c>
      <c r="M4644" s="31" t="n">
        <f aca="false">WEEKDAY(B4644,2)</f>
        <v>3</v>
      </c>
      <c r="N4644" s="31" t="str">
        <f aca="false">IF(G4644&lt;=INDEX(Assumptions!$B$15:$B$18,MATCH(E4644,Assumptions!$A$15:$A$18,0)),"Yes","No")</f>
        <v>Yes</v>
      </c>
      <c r="O4644" s="31" t="str">
        <f aca="false">IF(H4644="","Open",IF(H4644&lt;=INDEX(Assumptions!$C$15:$C$18,MATCH(E4644,Assumptions!$A$15:$A$18,0)),"Yes","No"))</f>
        <v>Yes</v>
      </c>
    </row>
    <row r="4645" customFormat="false" ht="15" hidden="false" customHeight="false" outlineLevel="0" collapsed="false">
      <c r="A4645" s="31" t="s">
        <v>4795</v>
      </c>
      <c r="B4645" s="44" t="n">
        <v>46267</v>
      </c>
      <c r="C4645" s="31" t="s">
        <v>59</v>
      </c>
      <c r="D4645" s="31" t="s">
        <v>68</v>
      </c>
      <c r="E4645" s="31" t="s">
        <v>51</v>
      </c>
      <c r="F4645" s="31" t="s">
        <v>123</v>
      </c>
      <c r="G4645" s="31" t="n">
        <v>46</v>
      </c>
      <c r="H4645" s="41" t="n">
        <v>1.2</v>
      </c>
      <c r="I4645" s="31" t="s">
        <v>149</v>
      </c>
      <c r="J4645" s="31" t="n">
        <v>5</v>
      </c>
      <c r="K4645" s="31" t="s">
        <v>150</v>
      </c>
      <c r="L4645" s="45" t="n">
        <f aca="false">DATE(YEAR(B4645),MONTH(B4645),1)</f>
        <v>46266</v>
      </c>
      <c r="M4645" s="31" t="n">
        <f aca="false">WEEKDAY(B4645,2)</f>
        <v>3</v>
      </c>
      <c r="N4645" s="31" t="str">
        <f aca="false">IF(G4645&lt;=INDEX(Assumptions!$B$15:$B$18,MATCH(E4645,Assumptions!$A$15:$A$18,0)),"Yes","No")</f>
        <v>Yes</v>
      </c>
      <c r="O4645" s="31" t="str">
        <f aca="false">IF(H4645="","Open",IF(H4645&lt;=INDEX(Assumptions!$C$15:$C$18,MATCH(E4645,Assumptions!$A$15:$A$18,0)),"Yes","No"))</f>
        <v>Yes</v>
      </c>
    </row>
    <row r="4646" customFormat="false" ht="15" hidden="false" customHeight="false" outlineLevel="0" collapsed="false">
      <c r="A4646" s="31" t="s">
        <v>4796</v>
      </c>
      <c r="B4646" s="44" t="n">
        <v>46267</v>
      </c>
      <c r="C4646" s="31" t="s">
        <v>58</v>
      </c>
      <c r="D4646" s="31" t="s">
        <v>68</v>
      </c>
      <c r="E4646" s="31" t="s">
        <v>52</v>
      </c>
      <c r="F4646" s="31" t="s">
        <v>127</v>
      </c>
      <c r="G4646" s="31" t="n">
        <v>9</v>
      </c>
      <c r="H4646" s="41" t="n">
        <v>5.3</v>
      </c>
      <c r="I4646" s="31" t="s">
        <v>149</v>
      </c>
      <c r="J4646" s="31" t="n">
        <v>5</v>
      </c>
      <c r="K4646" s="31" t="s">
        <v>150</v>
      </c>
      <c r="L4646" s="45" t="n">
        <f aca="false">DATE(YEAR(B4646),MONTH(B4646),1)</f>
        <v>46266</v>
      </c>
      <c r="M4646" s="31" t="n">
        <f aca="false">WEEKDAY(B4646,2)</f>
        <v>3</v>
      </c>
      <c r="N4646" s="31" t="str">
        <f aca="false">IF(G4646&lt;=INDEX(Assumptions!$B$15:$B$18,MATCH(E4646,Assumptions!$A$15:$A$18,0)),"Yes","No")</f>
        <v>Yes</v>
      </c>
      <c r="O4646" s="31" t="str">
        <f aca="false">IF(H4646="","Open",IF(H4646&lt;=INDEX(Assumptions!$C$15:$C$18,MATCH(E4646,Assumptions!$A$15:$A$18,0)),"Yes","No"))</f>
        <v>Yes</v>
      </c>
    </row>
    <row r="4647" customFormat="false" ht="15" hidden="false" customHeight="false" outlineLevel="0" collapsed="false">
      <c r="A4647" s="31" t="s">
        <v>4797</v>
      </c>
      <c r="B4647" s="44" t="n">
        <v>46267</v>
      </c>
      <c r="C4647" s="31" t="s">
        <v>60</v>
      </c>
      <c r="D4647" s="31" t="s">
        <v>65</v>
      </c>
      <c r="E4647" s="31" t="s">
        <v>50</v>
      </c>
      <c r="F4647" s="31" t="s">
        <v>136</v>
      </c>
      <c r="G4647" s="31" t="n">
        <v>1</v>
      </c>
      <c r="H4647" s="41" t="n">
        <v>8.9</v>
      </c>
      <c r="I4647" s="31" t="s">
        <v>149</v>
      </c>
      <c r="J4647" s="31"/>
      <c r="K4647" s="31" t="s">
        <v>150</v>
      </c>
      <c r="L4647" s="45" t="n">
        <f aca="false">DATE(YEAR(B4647),MONTH(B4647),1)</f>
        <v>46266</v>
      </c>
      <c r="M4647" s="31" t="n">
        <f aca="false">WEEKDAY(B4647,2)</f>
        <v>3</v>
      </c>
      <c r="N4647" s="31" t="str">
        <f aca="false">IF(G4647&lt;=INDEX(Assumptions!$B$15:$B$18,MATCH(E4647,Assumptions!$A$15:$A$18,0)),"Yes","No")</f>
        <v>Yes</v>
      </c>
      <c r="O4647" s="31" t="str">
        <f aca="false">IF(H4647="","Open",IF(H4647&lt;=INDEX(Assumptions!$C$15:$C$18,MATCH(E4647,Assumptions!$A$15:$A$18,0)),"Yes","No"))</f>
        <v>No</v>
      </c>
    </row>
    <row r="4648" customFormat="false" ht="15" hidden="false" customHeight="false" outlineLevel="0" collapsed="false">
      <c r="A4648" s="31" t="s">
        <v>4798</v>
      </c>
      <c r="B4648" s="44" t="n">
        <v>46267</v>
      </c>
      <c r="C4648" s="31" t="s">
        <v>60</v>
      </c>
      <c r="D4648" s="31" t="s">
        <v>66</v>
      </c>
      <c r="E4648" s="31" t="s">
        <v>51</v>
      </c>
      <c r="F4648" s="31" t="s">
        <v>134</v>
      </c>
      <c r="G4648" s="31" t="n">
        <v>4</v>
      </c>
      <c r="H4648" s="41" t="n">
        <v>38.2</v>
      </c>
      <c r="I4648" s="31" t="s">
        <v>149</v>
      </c>
      <c r="J4648" s="31" t="n">
        <v>4</v>
      </c>
      <c r="K4648" s="31" t="s">
        <v>150</v>
      </c>
      <c r="L4648" s="45" t="n">
        <f aca="false">DATE(YEAR(B4648),MONTH(B4648),1)</f>
        <v>46266</v>
      </c>
      <c r="M4648" s="31" t="n">
        <f aca="false">WEEKDAY(B4648,2)</f>
        <v>3</v>
      </c>
      <c r="N4648" s="31" t="str">
        <f aca="false">IF(G4648&lt;=INDEX(Assumptions!$B$15:$B$18,MATCH(E4648,Assumptions!$A$15:$A$18,0)),"Yes","No")</f>
        <v>Yes</v>
      </c>
      <c r="O4648" s="31" t="str">
        <f aca="false">IF(H4648="","Open",IF(H4648&lt;=INDEX(Assumptions!$C$15:$C$18,MATCH(E4648,Assumptions!$A$15:$A$18,0)),"Yes","No"))</f>
        <v>No</v>
      </c>
    </row>
    <row r="4649" customFormat="false" ht="15" hidden="false" customHeight="false" outlineLevel="0" collapsed="false">
      <c r="A4649" s="31" t="s">
        <v>4799</v>
      </c>
      <c r="B4649" s="44" t="n">
        <v>46267</v>
      </c>
      <c r="C4649" s="31" t="s">
        <v>58</v>
      </c>
      <c r="D4649" s="31" t="s">
        <v>67</v>
      </c>
      <c r="E4649" s="31" t="s">
        <v>49</v>
      </c>
      <c r="F4649" s="31" t="s">
        <v>127</v>
      </c>
      <c r="G4649" s="31" t="n">
        <v>1</v>
      </c>
      <c r="H4649" s="41" t="n">
        <v>0.9</v>
      </c>
      <c r="I4649" s="31" t="s">
        <v>149</v>
      </c>
      <c r="J4649" s="31" t="n">
        <v>5</v>
      </c>
      <c r="K4649" s="31" t="s">
        <v>153</v>
      </c>
      <c r="L4649" s="45" t="n">
        <f aca="false">DATE(YEAR(B4649),MONTH(B4649),1)</f>
        <v>46266</v>
      </c>
      <c r="M4649" s="31" t="n">
        <f aca="false">WEEKDAY(B4649,2)</f>
        <v>3</v>
      </c>
      <c r="N4649" s="31" t="str">
        <f aca="false">IF(G4649&lt;=INDEX(Assumptions!$B$15:$B$18,MATCH(E4649,Assumptions!$A$15:$A$18,0)),"Yes","No")</f>
        <v>Yes</v>
      </c>
      <c r="O4649" s="31" t="str">
        <f aca="false">IF(H4649="","Open",IF(H4649&lt;=INDEX(Assumptions!$C$15:$C$18,MATCH(E4649,Assumptions!$A$15:$A$18,0)),"Yes","No"))</f>
        <v>Yes</v>
      </c>
    </row>
    <row r="4650" customFormat="false" ht="15" hidden="false" customHeight="false" outlineLevel="0" collapsed="false">
      <c r="A4650" s="31" t="s">
        <v>4800</v>
      </c>
      <c r="B4650" s="44" t="n">
        <v>46267</v>
      </c>
      <c r="C4650" s="31" t="s">
        <v>57</v>
      </c>
      <c r="D4650" s="31" t="s">
        <v>67</v>
      </c>
      <c r="E4650" s="31" t="s">
        <v>52</v>
      </c>
      <c r="F4650" s="31" t="s">
        <v>135</v>
      </c>
      <c r="G4650" s="31" t="n">
        <v>15</v>
      </c>
      <c r="H4650" s="41" t="n">
        <v>11.6</v>
      </c>
      <c r="I4650" s="31" t="s">
        <v>149</v>
      </c>
      <c r="J4650" s="31" t="n">
        <v>5</v>
      </c>
      <c r="K4650" s="31" t="s">
        <v>150</v>
      </c>
      <c r="L4650" s="45" t="n">
        <f aca="false">DATE(YEAR(B4650),MONTH(B4650),1)</f>
        <v>46266</v>
      </c>
      <c r="M4650" s="31" t="n">
        <f aca="false">WEEKDAY(B4650,2)</f>
        <v>3</v>
      </c>
      <c r="N4650" s="31" t="str">
        <f aca="false">IF(G4650&lt;=INDEX(Assumptions!$B$15:$B$18,MATCH(E4650,Assumptions!$A$15:$A$18,0)),"Yes","No")</f>
        <v>Yes</v>
      </c>
      <c r="O4650" s="31" t="str">
        <f aca="false">IF(H4650="","Open",IF(H4650&lt;=INDEX(Assumptions!$C$15:$C$18,MATCH(E4650,Assumptions!$A$15:$A$18,0)),"Yes","No"))</f>
        <v>Yes</v>
      </c>
    </row>
    <row r="4651" customFormat="false" ht="15" hidden="false" customHeight="false" outlineLevel="0" collapsed="false">
      <c r="A4651" s="31" t="s">
        <v>4801</v>
      </c>
      <c r="B4651" s="44" t="n">
        <v>46267</v>
      </c>
      <c r="C4651" s="31" t="s">
        <v>60</v>
      </c>
      <c r="D4651" s="31" t="s">
        <v>65</v>
      </c>
      <c r="E4651" s="31" t="s">
        <v>51</v>
      </c>
      <c r="F4651" s="31" t="s">
        <v>131</v>
      </c>
      <c r="G4651" s="31" t="n">
        <v>1</v>
      </c>
      <c r="H4651" s="41" t="n">
        <v>24.1</v>
      </c>
      <c r="I4651" s="31" t="s">
        <v>149</v>
      </c>
      <c r="J4651" s="31"/>
      <c r="K4651" s="31" t="s">
        <v>150</v>
      </c>
      <c r="L4651" s="45" t="n">
        <f aca="false">DATE(YEAR(B4651),MONTH(B4651),1)</f>
        <v>46266</v>
      </c>
      <c r="M4651" s="31" t="n">
        <f aca="false">WEEKDAY(B4651,2)</f>
        <v>3</v>
      </c>
      <c r="N4651" s="31" t="str">
        <f aca="false">IF(G4651&lt;=INDEX(Assumptions!$B$15:$B$18,MATCH(E4651,Assumptions!$A$15:$A$18,0)),"Yes","No")</f>
        <v>Yes</v>
      </c>
      <c r="O4651" s="31" t="str">
        <f aca="false">IF(H4651="","Open",IF(H4651&lt;=INDEX(Assumptions!$C$15:$C$18,MATCH(E4651,Assumptions!$A$15:$A$18,0)),"Yes","No"))</f>
        <v>No</v>
      </c>
    </row>
    <row r="4652" customFormat="false" ht="15" hidden="false" customHeight="false" outlineLevel="0" collapsed="false">
      <c r="A4652" s="31" t="s">
        <v>4802</v>
      </c>
      <c r="B4652" s="44" t="n">
        <v>46267</v>
      </c>
      <c r="C4652" s="31" t="s">
        <v>58</v>
      </c>
      <c r="D4652" s="31" t="s">
        <v>69</v>
      </c>
      <c r="E4652" s="31" t="s">
        <v>51</v>
      </c>
      <c r="F4652" s="31" t="s">
        <v>124</v>
      </c>
      <c r="G4652" s="31" t="n">
        <v>8</v>
      </c>
      <c r="H4652" s="41" t="n">
        <v>48.7</v>
      </c>
      <c r="I4652" s="31" t="s">
        <v>149</v>
      </c>
      <c r="J4652" s="31" t="n">
        <v>4</v>
      </c>
      <c r="K4652" s="31" t="s">
        <v>150</v>
      </c>
      <c r="L4652" s="45" t="n">
        <f aca="false">DATE(YEAR(B4652),MONTH(B4652),1)</f>
        <v>46266</v>
      </c>
      <c r="M4652" s="31" t="n">
        <f aca="false">WEEKDAY(B4652,2)</f>
        <v>3</v>
      </c>
      <c r="N4652" s="31" t="str">
        <f aca="false">IF(G4652&lt;=INDEX(Assumptions!$B$15:$B$18,MATCH(E4652,Assumptions!$A$15:$A$18,0)),"Yes","No")</f>
        <v>Yes</v>
      </c>
      <c r="O4652" s="31" t="str">
        <f aca="false">IF(H4652="","Open",IF(H4652&lt;=INDEX(Assumptions!$C$15:$C$18,MATCH(E4652,Assumptions!$A$15:$A$18,0)),"Yes","No"))</f>
        <v>No</v>
      </c>
    </row>
    <row r="4653" customFormat="false" ht="15" hidden="false" customHeight="false" outlineLevel="0" collapsed="false">
      <c r="A4653" s="31" t="s">
        <v>4803</v>
      </c>
      <c r="B4653" s="44" t="n">
        <v>46267</v>
      </c>
      <c r="C4653" s="31" t="s">
        <v>59</v>
      </c>
      <c r="D4653" s="31" t="s">
        <v>65</v>
      </c>
      <c r="E4653" s="31" t="s">
        <v>51</v>
      </c>
      <c r="F4653" s="31" t="s">
        <v>134</v>
      </c>
      <c r="G4653" s="31" t="n">
        <v>127</v>
      </c>
      <c r="H4653" s="41" t="n">
        <v>5.1</v>
      </c>
      <c r="I4653" s="31" t="s">
        <v>149</v>
      </c>
      <c r="J4653" s="31" t="n">
        <v>4</v>
      </c>
      <c r="K4653" s="31" t="s">
        <v>150</v>
      </c>
      <c r="L4653" s="45" t="n">
        <f aca="false">DATE(YEAR(B4653),MONTH(B4653),1)</f>
        <v>46266</v>
      </c>
      <c r="M4653" s="31" t="n">
        <f aca="false">WEEKDAY(B4653,2)</f>
        <v>3</v>
      </c>
      <c r="N4653" s="31" t="str">
        <f aca="false">IF(G4653&lt;=INDEX(Assumptions!$B$15:$B$18,MATCH(E4653,Assumptions!$A$15:$A$18,0)),"Yes","No")</f>
        <v>No</v>
      </c>
      <c r="O4653" s="31" t="str">
        <f aca="false">IF(H4653="","Open",IF(H4653&lt;=INDEX(Assumptions!$C$15:$C$18,MATCH(E4653,Assumptions!$A$15:$A$18,0)),"Yes","No"))</f>
        <v>Yes</v>
      </c>
    </row>
    <row r="4654" customFormat="false" ht="15" hidden="false" customHeight="false" outlineLevel="0" collapsed="false">
      <c r="A4654" s="31" t="s">
        <v>4804</v>
      </c>
      <c r="B4654" s="44" t="n">
        <v>46267</v>
      </c>
      <c r="C4654" s="31" t="s">
        <v>59</v>
      </c>
      <c r="D4654" s="31" t="s">
        <v>65</v>
      </c>
      <c r="E4654" s="31" t="s">
        <v>50</v>
      </c>
      <c r="F4654" s="31" t="s">
        <v>120</v>
      </c>
      <c r="G4654" s="31" t="n">
        <v>52</v>
      </c>
      <c r="H4654" s="41" t="n">
        <v>8.2</v>
      </c>
      <c r="I4654" s="31" t="s">
        <v>149</v>
      </c>
      <c r="J4654" s="31" t="n">
        <v>1</v>
      </c>
      <c r="K4654" s="31" t="s">
        <v>150</v>
      </c>
      <c r="L4654" s="45" t="n">
        <f aca="false">DATE(YEAR(B4654),MONTH(B4654),1)</f>
        <v>46266</v>
      </c>
      <c r="M4654" s="31" t="n">
        <f aca="false">WEEKDAY(B4654,2)</f>
        <v>3</v>
      </c>
      <c r="N4654" s="31" t="str">
        <f aca="false">IF(G4654&lt;=INDEX(Assumptions!$B$15:$B$18,MATCH(E4654,Assumptions!$A$15:$A$18,0)),"Yes","No")</f>
        <v>No</v>
      </c>
      <c r="O4654" s="31" t="str">
        <f aca="false">IF(H4654="","Open",IF(H4654&lt;=INDEX(Assumptions!$C$15:$C$18,MATCH(E4654,Assumptions!$A$15:$A$18,0)),"Yes","No"))</f>
        <v>No</v>
      </c>
    </row>
    <row r="4655" customFormat="false" ht="15" hidden="false" customHeight="false" outlineLevel="0" collapsed="false">
      <c r="A4655" s="31" t="s">
        <v>4805</v>
      </c>
      <c r="B4655" s="44" t="n">
        <v>46267</v>
      </c>
      <c r="C4655" s="31" t="s">
        <v>57</v>
      </c>
      <c r="D4655" s="31" t="s">
        <v>65</v>
      </c>
      <c r="E4655" s="31" t="s">
        <v>51</v>
      </c>
      <c r="F4655" s="31" t="s">
        <v>126</v>
      </c>
      <c r="G4655" s="31" t="n">
        <v>1</v>
      </c>
      <c r="H4655" s="41" t="n">
        <v>7.9</v>
      </c>
      <c r="I4655" s="31" t="s">
        <v>149</v>
      </c>
      <c r="J4655" s="31"/>
      <c r="K4655" s="31" t="s">
        <v>150</v>
      </c>
      <c r="L4655" s="45" t="n">
        <f aca="false">DATE(YEAR(B4655),MONTH(B4655),1)</f>
        <v>46266</v>
      </c>
      <c r="M4655" s="31" t="n">
        <f aca="false">WEEKDAY(B4655,2)</f>
        <v>3</v>
      </c>
      <c r="N4655" s="31" t="str">
        <f aca="false">IF(G4655&lt;=INDEX(Assumptions!$B$15:$B$18,MATCH(E4655,Assumptions!$A$15:$A$18,0)),"Yes","No")</f>
        <v>Yes</v>
      </c>
      <c r="O4655" s="31" t="str">
        <f aca="false">IF(H4655="","Open",IF(H4655&lt;=INDEX(Assumptions!$C$15:$C$18,MATCH(E4655,Assumptions!$A$15:$A$18,0)),"Yes","No"))</f>
        <v>Yes</v>
      </c>
    </row>
    <row r="4656" customFormat="false" ht="15" hidden="false" customHeight="false" outlineLevel="0" collapsed="false">
      <c r="A4656" s="31" t="s">
        <v>4806</v>
      </c>
      <c r="B4656" s="44" t="n">
        <v>46267</v>
      </c>
      <c r="C4656" s="31" t="s">
        <v>57</v>
      </c>
      <c r="D4656" s="31" t="s">
        <v>66</v>
      </c>
      <c r="E4656" s="31" t="s">
        <v>52</v>
      </c>
      <c r="F4656" s="31" t="s">
        <v>134</v>
      </c>
      <c r="G4656" s="31" t="n">
        <v>4</v>
      </c>
      <c r="H4656" s="41" t="n">
        <v>12.8</v>
      </c>
      <c r="I4656" s="31" t="s">
        <v>149</v>
      </c>
      <c r="J4656" s="31" t="n">
        <v>3</v>
      </c>
      <c r="K4656" s="31" t="s">
        <v>150</v>
      </c>
      <c r="L4656" s="45" t="n">
        <f aca="false">DATE(YEAR(B4656),MONTH(B4656),1)</f>
        <v>46266</v>
      </c>
      <c r="M4656" s="31" t="n">
        <f aca="false">WEEKDAY(B4656,2)</f>
        <v>3</v>
      </c>
      <c r="N4656" s="31" t="str">
        <f aca="false">IF(G4656&lt;=INDEX(Assumptions!$B$15:$B$18,MATCH(E4656,Assumptions!$A$15:$A$18,0)),"Yes","No")</f>
        <v>Yes</v>
      </c>
      <c r="O4656" s="31" t="str">
        <f aca="false">IF(H4656="","Open",IF(H4656&lt;=INDEX(Assumptions!$C$15:$C$18,MATCH(E4656,Assumptions!$A$15:$A$18,0)),"Yes","No"))</f>
        <v>Yes</v>
      </c>
    </row>
    <row r="4657" customFormat="false" ht="15" hidden="false" customHeight="false" outlineLevel="0" collapsed="false">
      <c r="A4657" s="31" t="s">
        <v>4807</v>
      </c>
      <c r="B4657" s="44" t="n">
        <v>46267</v>
      </c>
      <c r="C4657" s="31" t="s">
        <v>60</v>
      </c>
      <c r="D4657" s="31" t="s">
        <v>65</v>
      </c>
      <c r="E4657" s="31" t="s">
        <v>52</v>
      </c>
      <c r="F4657" s="31" t="s">
        <v>119</v>
      </c>
      <c r="G4657" s="31" t="n">
        <v>5</v>
      </c>
      <c r="H4657" s="41" t="n">
        <v>12.5</v>
      </c>
      <c r="I4657" s="31" t="s">
        <v>149</v>
      </c>
      <c r="J4657" s="31"/>
      <c r="K4657" s="31" t="s">
        <v>150</v>
      </c>
      <c r="L4657" s="45" t="n">
        <f aca="false">DATE(YEAR(B4657),MONTH(B4657),1)</f>
        <v>46266</v>
      </c>
      <c r="M4657" s="31" t="n">
        <f aca="false">WEEKDAY(B4657,2)</f>
        <v>3</v>
      </c>
      <c r="N4657" s="31" t="str">
        <f aca="false">IF(G4657&lt;=INDEX(Assumptions!$B$15:$B$18,MATCH(E4657,Assumptions!$A$15:$A$18,0)),"Yes","No")</f>
        <v>Yes</v>
      </c>
      <c r="O4657" s="31" t="str">
        <f aca="false">IF(H4657="","Open",IF(H4657&lt;=INDEX(Assumptions!$C$15:$C$18,MATCH(E4657,Assumptions!$A$15:$A$18,0)),"Yes","No"))</f>
        <v>Yes</v>
      </c>
    </row>
    <row r="4658" customFormat="false" ht="15" hidden="false" customHeight="false" outlineLevel="0" collapsed="false">
      <c r="A4658" s="31" t="s">
        <v>4808</v>
      </c>
      <c r="B4658" s="44" t="n">
        <v>46267</v>
      </c>
      <c r="C4658" s="31" t="s">
        <v>57</v>
      </c>
      <c r="D4658" s="31" t="s">
        <v>65</v>
      </c>
      <c r="E4658" s="31" t="s">
        <v>50</v>
      </c>
      <c r="F4658" s="31" t="s">
        <v>131</v>
      </c>
      <c r="G4658" s="31" t="n">
        <v>4</v>
      </c>
      <c r="H4658" s="41" t="n">
        <v>3.8</v>
      </c>
      <c r="I4658" s="31" t="s">
        <v>149</v>
      </c>
      <c r="J4658" s="31"/>
      <c r="K4658" s="31" t="s">
        <v>150</v>
      </c>
      <c r="L4658" s="45" t="n">
        <f aca="false">DATE(YEAR(B4658),MONTH(B4658),1)</f>
        <v>46266</v>
      </c>
      <c r="M4658" s="31" t="n">
        <f aca="false">WEEKDAY(B4658,2)</f>
        <v>3</v>
      </c>
      <c r="N4658" s="31" t="str">
        <f aca="false">IF(G4658&lt;=INDEX(Assumptions!$B$15:$B$18,MATCH(E4658,Assumptions!$A$15:$A$18,0)),"Yes","No")</f>
        <v>Yes</v>
      </c>
      <c r="O4658" s="31" t="str">
        <f aca="false">IF(H4658="","Open",IF(H4658&lt;=INDEX(Assumptions!$C$15:$C$18,MATCH(E4658,Assumptions!$A$15:$A$18,0)),"Yes","No"))</f>
        <v>Yes</v>
      </c>
    </row>
    <row r="4659" customFormat="false" ht="15" hidden="false" customHeight="false" outlineLevel="0" collapsed="false">
      <c r="A4659" s="31" t="s">
        <v>4809</v>
      </c>
      <c r="B4659" s="44" t="n">
        <v>46267</v>
      </c>
      <c r="C4659" s="31" t="s">
        <v>59</v>
      </c>
      <c r="D4659" s="31" t="s">
        <v>67</v>
      </c>
      <c r="E4659" s="31" t="s">
        <v>51</v>
      </c>
      <c r="F4659" s="31" t="s">
        <v>137</v>
      </c>
      <c r="G4659" s="31" t="n">
        <v>70</v>
      </c>
      <c r="H4659" s="41" t="n">
        <v>18.4</v>
      </c>
      <c r="I4659" s="31" t="s">
        <v>149</v>
      </c>
      <c r="J4659" s="31" t="n">
        <v>3</v>
      </c>
      <c r="K4659" s="31" t="s">
        <v>150</v>
      </c>
      <c r="L4659" s="45" t="n">
        <f aca="false">DATE(YEAR(B4659),MONTH(B4659),1)</f>
        <v>46266</v>
      </c>
      <c r="M4659" s="31" t="n">
        <f aca="false">WEEKDAY(B4659,2)</f>
        <v>3</v>
      </c>
      <c r="N4659" s="31" t="str">
        <f aca="false">IF(G4659&lt;=INDEX(Assumptions!$B$15:$B$18,MATCH(E4659,Assumptions!$A$15:$A$18,0)),"Yes","No")</f>
        <v>No</v>
      </c>
      <c r="O4659" s="31" t="str">
        <f aca="false">IF(H4659="","Open",IF(H4659&lt;=INDEX(Assumptions!$C$15:$C$18,MATCH(E4659,Assumptions!$A$15:$A$18,0)),"Yes","No"))</f>
        <v>Yes</v>
      </c>
    </row>
    <row r="4660" customFormat="false" ht="15" hidden="false" customHeight="false" outlineLevel="0" collapsed="false">
      <c r="A4660" s="31" t="s">
        <v>4810</v>
      </c>
      <c r="B4660" s="44" t="n">
        <v>46267</v>
      </c>
      <c r="C4660" s="31" t="s">
        <v>58</v>
      </c>
      <c r="D4660" s="31" t="s">
        <v>65</v>
      </c>
      <c r="E4660" s="31" t="s">
        <v>52</v>
      </c>
      <c r="F4660" s="31" t="s">
        <v>121</v>
      </c>
      <c r="G4660" s="31" t="n">
        <v>8</v>
      </c>
      <c r="H4660" s="41" t="n">
        <v>7</v>
      </c>
      <c r="I4660" s="31" t="s">
        <v>149</v>
      </c>
      <c r="J4660" s="31" t="n">
        <v>4</v>
      </c>
      <c r="K4660" s="31" t="s">
        <v>150</v>
      </c>
      <c r="L4660" s="45" t="n">
        <f aca="false">DATE(YEAR(B4660),MONTH(B4660),1)</f>
        <v>46266</v>
      </c>
      <c r="M4660" s="31" t="n">
        <f aca="false">WEEKDAY(B4660,2)</f>
        <v>3</v>
      </c>
      <c r="N4660" s="31" t="str">
        <f aca="false">IF(G4660&lt;=INDEX(Assumptions!$B$15:$B$18,MATCH(E4660,Assumptions!$A$15:$A$18,0)),"Yes","No")</f>
        <v>Yes</v>
      </c>
      <c r="O4660" s="31" t="str">
        <f aca="false">IF(H4660="","Open",IF(H4660&lt;=INDEX(Assumptions!$C$15:$C$18,MATCH(E4660,Assumptions!$A$15:$A$18,0)),"Yes","No"))</f>
        <v>Yes</v>
      </c>
    </row>
    <row r="4661" customFormat="false" ht="15" hidden="false" customHeight="false" outlineLevel="0" collapsed="false">
      <c r="A4661" s="31" t="s">
        <v>4811</v>
      </c>
      <c r="B4661" s="44" t="n">
        <v>46267</v>
      </c>
      <c r="C4661" s="31" t="s">
        <v>57</v>
      </c>
      <c r="D4661" s="31" t="s">
        <v>65</v>
      </c>
      <c r="E4661" s="31" t="s">
        <v>50</v>
      </c>
      <c r="F4661" s="31" t="s">
        <v>130</v>
      </c>
      <c r="G4661" s="31" t="n">
        <v>4</v>
      </c>
      <c r="H4661" s="41" t="n">
        <v>2.3</v>
      </c>
      <c r="I4661" s="31" t="s">
        <v>149</v>
      </c>
      <c r="J4661" s="31"/>
      <c r="K4661" s="31" t="s">
        <v>150</v>
      </c>
      <c r="L4661" s="45" t="n">
        <f aca="false">DATE(YEAR(B4661),MONTH(B4661),1)</f>
        <v>46266</v>
      </c>
      <c r="M4661" s="31" t="n">
        <f aca="false">WEEKDAY(B4661,2)</f>
        <v>3</v>
      </c>
      <c r="N4661" s="31" t="str">
        <f aca="false">IF(G4661&lt;=INDEX(Assumptions!$B$15:$B$18,MATCH(E4661,Assumptions!$A$15:$A$18,0)),"Yes","No")</f>
        <v>Yes</v>
      </c>
      <c r="O4661" s="31" t="str">
        <f aca="false">IF(H4661="","Open",IF(H4661&lt;=INDEX(Assumptions!$C$15:$C$18,MATCH(E4661,Assumptions!$A$15:$A$18,0)),"Yes","No"))</f>
        <v>Yes</v>
      </c>
    </row>
    <row r="4662" customFormat="false" ht="15" hidden="false" customHeight="false" outlineLevel="0" collapsed="false">
      <c r="A4662" s="31" t="s">
        <v>4812</v>
      </c>
      <c r="B4662" s="44" t="n">
        <v>46267</v>
      </c>
      <c r="C4662" s="31" t="s">
        <v>57</v>
      </c>
      <c r="D4662" s="31" t="s">
        <v>65</v>
      </c>
      <c r="E4662" s="31" t="s">
        <v>51</v>
      </c>
      <c r="F4662" s="31" t="s">
        <v>119</v>
      </c>
      <c r="G4662" s="31" t="n">
        <v>7</v>
      </c>
      <c r="H4662" s="41" t="n">
        <v>6.7</v>
      </c>
      <c r="I4662" s="31" t="s">
        <v>149</v>
      </c>
      <c r="J4662" s="31" t="n">
        <v>3</v>
      </c>
      <c r="K4662" s="31" t="s">
        <v>150</v>
      </c>
      <c r="L4662" s="45" t="n">
        <f aca="false">DATE(YEAR(B4662),MONTH(B4662),1)</f>
        <v>46266</v>
      </c>
      <c r="M4662" s="31" t="n">
        <f aca="false">WEEKDAY(B4662,2)</f>
        <v>3</v>
      </c>
      <c r="N4662" s="31" t="str">
        <f aca="false">IF(G4662&lt;=INDEX(Assumptions!$B$15:$B$18,MATCH(E4662,Assumptions!$A$15:$A$18,0)),"Yes","No")</f>
        <v>Yes</v>
      </c>
      <c r="O4662" s="31" t="str">
        <f aca="false">IF(H4662="","Open",IF(H4662&lt;=INDEX(Assumptions!$C$15:$C$18,MATCH(E4662,Assumptions!$A$15:$A$18,0)),"Yes","No"))</f>
        <v>Yes</v>
      </c>
    </row>
    <row r="4663" customFormat="false" ht="15" hidden="false" customHeight="false" outlineLevel="0" collapsed="false">
      <c r="A4663" s="31" t="s">
        <v>4813</v>
      </c>
      <c r="B4663" s="44" t="n">
        <v>46267</v>
      </c>
      <c r="C4663" s="31" t="s">
        <v>59</v>
      </c>
      <c r="D4663" s="31" t="s">
        <v>66</v>
      </c>
      <c r="E4663" s="31" t="s">
        <v>51</v>
      </c>
      <c r="F4663" s="31" t="s">
        <v>134</v>
      </c>
      <c r="G4663" s="31" t="n">
        <v>119</v>
      </c>
      <c r="H4663" s="41"/>
      <c r="I4663" s="31" t="s">
        <v>158</v>
      </c>
      <c r="J4663" s="31"/>
      <c r="K4663" s="31" t="s">
        <v>150</v>
      </c>
      <c r="L4663" s="45" t="n">
        <f aca="false">DATE(YEAR(B4663),MONTH(B4663),1)</f>
        <v>46266</v>
      </c>
      <c r="M4663" s="31" t="n">
        <f aca="false">WEEKDAY(B4663,2)</f>
        <v>3</v>
      </c>
      <c r="N4663" s="31" t="str">
        <f aca="false">IF(G4663&lt;=INDEX(Assumptions!$B$15:$B$18,MATCH(E4663,Assumptions!$A$15:$A$18,0)),"Yes","No")</f>
        <v>No</v>
      </c>
      <c r="O4663" s="31" t="str">
        <f aca="false">IF(H4663="","Open",IF(H4663&lt;=INDEX(Assumptions!$C$15:$C$18,MATCH(E4663,Assumptions!$A$15:$A$18,0)),"Yes","No"))</f>
        <v>Open</v>
      </c>
    </row>
    <row r="4664" customFormat="false" ht="15" hidden="false" customHeight="false" outlineLevel="0" collapsed="false">
      <c r="A4664" s="31" t="s">
        <v>4814</v>
      </c>
      <c r="B4664" s="44" t="n">
        <v>46267</v>
      </c>
      <c r="C4664" s="31" t="s">
        <v>59</v>
      </c>
      <c r="D4664" s="31" t="s">
        <v>65</v>
      </c>
      <c r="E4664" s="31" t="s">
        <v>51</v>
      </c>
      <c r="F4664" s="31" t="s">
        <v>117</v>
      </c>
      <c r="G4664" s="31" t="n">
        <v>23</v>
      </c>
      <c r="H4664" s="41" t="n">
        <v>8.3</v>
      </c>
      <c r="I4664" s="31" t="s">
        <v>149</v>
      </c>
      <c r="J4664" s="31" t="n">
        <v>5</v>
      </c>
      <c r="K4664" s="31" t="s">
        <v>150</v>
      </c>
      <c r="L4664" s="45" t="n">
        <f aca="false">DATE(YEAR(B4664),MONTH(B4664),1)</f>
        <v>46266</v>
      </c>
      <c r="M4664" s="31" t="n">
        <f aca="false">WEEKDAY(B4664,2)</f>
        <v>3</v>
      </c>
      <c r="N4664" s="31" t="str">
        <f aca="false">IF(G4664&lt;=INDEX(Assumptions!$B$15:$B$18,MATCH(E4664,Assumptions!$A$15:$A$18,0)),"Yes","No")</f>
        <v>Yes</v>
      </c>
      <c r="O4664" s="31" t="str">
        <f aca="false">IF(H4664="","Open",IF(H4664&lt;=INDEX(Assumptions!$C$15:$C$18,MATCH(E4664,Assumptions!$A$15:$A$18,0)),"Yes","No"))</f>
        <v>Yes</v>
      </c>
    </row>
    <row r="4665" customFormat="false" ht="15" hidden="false" customHeight="false" outlineLevel="0" collapsed="false">
      <c r="A4665" s="31" t="s">
        <v>4815</v>
      </c>
      <c r="B4665" s="44" t="n">
        <v>46267</v>
      </c>
      <c r="C4665" s="31" t="s">
        <v>57</v>
      </c>
      <c r="D4665" s="31" t="s">
        <v>68</v>
      </c>
      <c r="E4665" s="31" t="s">
        <v>52</v>
      </c>
      <c r="F4665" s="31" t="s">
        <v>122</v>
      </c>
      <c r="G4665" s="31" t="n">
        <v>2</v>
      </c>
      <c r="H4665" s="41"/>
      <c r="I4665" s="31" t="s">
        <v>158</v>
      </c>
      <c r="J4665" s="31"/>
      <c r="K4665" s="31" t="s">
        <v>150</v>
      </c>
      <c r="L4665" s="45" t="n">
        <f aca="false">DATE(YEAR(B4665),MONTH(B4665),1)</f>
        <v>46266</v>
      </c>
      <c r="M4665" s="31" t="n">
        <f aca="false">WEEKDAY(B4665,2)</f>
        <v>3</v>
      </c>
      <c r="N4665" s="31" t="str">
        <f aca="false">IF(G4665&lt;=INDEX(Assumptions!$B$15:$B$18,MATCH(E4665,Assumptions!$A$15:$A$18,0)),"Yes","No")</f>
        <v>Yes</v>
      </c>
      <c r="O4665" s="31" t="str">
        <f aca="false">IF(H4665="","Open",IF(H4665&lt;=INDEX(Assumptions!$C$15:$C$18,MATCH(E4665,Assumptions!$A$15:$A$18,0)),"Yes","No"))</f>
        <v>Open</v>
      </c>
    </row>
    <row r="4666" customFormat="false" ht="15" hidden="false" customHeight="false" outlineLevel="0" collapsed="false">
      <c r="A4666" s="31" t="s">
        <v>4816</v>
      </c>
      <c r="B4666" s="44" t="n">
        <v>46267</v>
      </c>
      <c r="C4666" s="31" t="s">
        <v>58</v>
      </c>
      <c r="D4666" s="31" t="s">
        <v>67</v>
      </c>
      <c r="E4666" s="31" t="s">
        <v>49</v>
      </c>
      <c r="F4666" s="31" t="s">
        <v>124</v>
      </c>
      <c r="G4666" s="31" t="n">
        <v>10</v>
      </c>
      <c r="H4666" s="41" t="n">
        <v>1.5</v>
      </c>
      <c r="I4666" s="31" t="s">
        <v>149</v>
      </c>
      <c r="J4666" s="31"/>
      <c r="K4666" s="31" t="s">
        <v>150</v>
      </c>
      <c r="L4666" s="45" t="n">
        <f aca="false">DATE(YEAR(B4666),MONTH(B4666),1)</f>
        <v>46266</v>
      </c>
      <c r="M4666" s="31" t="n">
        <f aca="false">WEEKDAY(B4666,2)</f>
        <v>3</v>
      </c>
      <c r="N4666" s="31" t="str">
        <f aca="false">IF(G4666&lt;=INDEX(Assumptions!$B$15:$B$18,MATCH(E4666,Assumptions!$A$15:$A$18,0)),"Yes","No")</f>
        <v>Yes</v>
      </c>
      <c r="O4666" s="31" t="str">
        <f aca="false">IF(H4666="","Open",IF(H4666&lt;=INDEX(Assumptions!$C$15:$C$18,MATCH(E4666,Assumptions!$A$15:$A$18,0)),"Yes","No"))</f>
        <v>Yes</v>
      </c>
    </row>
    <row r="4667" customFormat="false" ht="15" hidden="false" customHeight="false" outlineLevel="0" collapsed="false">
      <c r="A4667" s="31" t="s">
        <v>4817</v>
      </c>
      <c r="B4667" s="44" t="n">
        <v>46267</v>
      </c>
      <c r="C4667" s="31" t="s">
        <v>60</v>
      </c>
      <c r="D4667" s="31" t="s">
        <v>65</v>
      </c>
      <c r="E4667" s="31" t="s">
        <v>49</v>
      </c>
      <c r="F4667" s="31" t="s">
        <v>130</v>
      </c>
      <c r="G4667" s="31" t="n">
        <v>1</v>
      </c>
      <c r="H4667" s="41" t="n">
        <v>2.2</v>
      </c>
      <c r="I4667" s="31" t="s">
        <v>149</v>
      </c>
      <c r="J4667" s="31" t="n">
        <v>4</v>
      </c>
      <c r="K4667" s="31" t="s">
        <v>150</v>
      </c>
      <c r="L4667" s="45" t="n">
        <f aca="false">DATE(YEAR(B4667),MONTH(B4667),1)</f>
        <v>46266</v>
      </c>
      <c r="M4667" s="31" t="n">
        <f aca="false">WEEKDAY(B4667,2)</f>
        <v>3</v>
      </c>
      <c r="N4667" s="31" t="str">
        <f aca="false">IF(G4667&lt;=INDEX(Assumptions!$B$15:$B$18,MATCH(E4667,Assumptions!$A$15:$A$18,0)),"Yes","No")</f>
        <v>Yes</v>
      </c>
      <c r="O4667" s="31" t="str">
        <f aca="false">IF(H4667="","Open",IF(H4667&lt;=INDEX(Assumptions!$C$15:$C$18,MATCH(E4667,Assumptions!$A$15:$A$18,0)),"Yes","No"))</f>
        <v>Yes</v>
      </c>
    </row>
    <row r="4668" customFormat="false" ht="15" hidden="false" customHeight="false" outlineLevel="0" collapsed="false">
      <c r="A4668" s="31" t="s">
        <v>4818</v>
      </c>
      <c r="B4668" s="44" t="n">
        <v>46267</v>
      </c>
      <c r="C4668" s="31" t="s">
        <v>60</v>
      </c>
      <c r="D4668" s="31" t="s">
        <v>65</v>
      </c>
      <c r="E4668" s="31" t="s">
        <v>50</v>
      </c>
      <c r="F4668" s="31" t="s">
        <v>120</v>
      </c>
      <c r="G4668" s="31" t="n">
        <v>1</v>
      </c>
      <c r="H4668" s="41" t="n">
        <v>5.2</v>
      </c>
      <c r="I4668" s="31" t="s">
        <v>149</v>
      </c>
      <c r="J4668" s="31"/>
      <c r="K4668" s="31" t="s">
        <v>150</v>
      </c>
      <c r="L4668" s="45" t="n">
        <f aca="false">DATE(YEAR(B4668),MONTH(B4668),1)</f>
        <v>46266</v>
      </c>
      <c r="M4668" s="31" t="n">
        <f aca="false">WEEKDAY(B4668,2)</f>
        <v>3</v>
      </c>
      <c r="N4668" s="31" t="str">
        <f aca="false">IF(G4668&lt;=INDEX(Assumptions!$B$15:$B$18,MATCH(E4668,Assumptions!$A$15:$A$18,0)),"Yes","No")</f>
        <v>Yes</v>
      </c>
      <c r="O4668" s="31" t="str">
        <f aca="false">IF(H4668="","Open",IF(H4668&lt;=INDEX(Assumptions!$C$15:$C$18,MATCH(E4668,Assumptions!$A$15:$A$18,0)),"Yes","No"))</f>
        <v>Yes</v>
      </c>
    </row>
    <row r="4669" customFormat="false" ht="15" hidden="false" customHeight="false" outlineLevel="0" collapsed="false">
      <c r="A4669" s="31" t="s">
        <v>4819</v>
      </c>
      <c r="B4669" s="44" t="n">
        <v>46267</v>
      </c>
      <c r="C4669" s="31" t="s">
        <v>60</v>
      </c>
      <c r="D4669" s="31" t="s">
        <v>67</v>
      </c>
      <c r="E4669" s="31" t="s">
        <v>51</v>
      </c>
      <c r="F4669" s="31" t="s">
        <v>134</v>
      </c>
      <c r="G4669" s="31" t="n">
        <v>4</v>
      </c>
      <c r="H4669" s="41" t="n">
        <v>8.1</v>
      </c>
      <c r="I4669" s="31" t="s">
        <v>149</v>
      </c>
      <c r="J4669" s="31" t="n">
        <v>4</v>
      </c>
      <c r="K4669" s="31" t="s">
        <v>150</v>
      </c>
      <c r="L4669" s="45" t="n">
        <f aca="false">DATE(YEAR(B4669),MONTH(B4669),1)</f>
        <v>46266</v>
      </c>
      <c r="M4669" s="31" t="n">
        <f aca="false">WEEKDAY(B4669,2)</f>
        <v>3</v>
      </c>
      <c r="N4669" s="31" t="str">
        <f aca="false">IF(G4669&lt;=INDEX(Assumptions!$B$15:$B$18,MATCH(E4669,Assumptions!$A$15:$A$18,0)),"Yes","No")</f>
        <v>Yes</v>
      </c>
      <c r="O4669" s="31" t="str">
        <f aca="false">IF(H4669="","Open",IF(H4669&lt;=INDEX(Assumptions!$C$15:$C$18,MATCH(E4669,Assumptions!$A$15:$A$18,0)),"Yes","No"))</f>
        <v>Yes</v>
      </c>
    </row>
    <row r="4670" customFormat="false" ht="15" hidden="false" customHeight="false" outlineLevel="0" collapsed="false">
      <c r="A4670" s="31" t="s">
        <v>4820</v>
      </c>
      <c r="B4670" s="44" t="n">
        <v>46267</v>
      </c>
      <c r="C4670" s="31" t="s">
        <v>57</v>
      </c>
      <c r="D4670" s="31" t="s">
        <v>65</v>
      </c>
      <c r="E4670" s="31" t="s">
        <v>50</v>
      </c>
      <c r="F4670" s="31" t="s">
        <v>122</v>
      </c>
      <c r="G4670" s="31" t="n">
        <v>1</v>
      </c>
      <c r="H4670" s="41" t="n">
        <v>1.4</v>
      </c>
      <c r="I4670" s="31" t="s">
        <v>149</v>
      </c>
      <c r="J4670" s="31" t="n">
        <v>4</v>
      </c>
      <c r="K4670" s="31" t="s">
        <v>150</v>
      </c>
      <c r="L4670" s="45" t="n">
        <f aca="false">DATE(YEAR(B4670),MONTH(B4670),1)</f>
        <v>46266</v>
      </c>
      <c r="M4670" s="31" t="n">
        <f aca="false">WEEKDAY(B4670,2)</f>
        <v>3</v>
      </c>
      <c r="N4670" s="31" t="str">
        <f aca="false">IF(G4670&lt;=INDEX(Assumptions!$B$15:$B$18,MATCH(E4670,Assumptions!$A$15:$A$18,0)),"Yes","No")</f>
        <v>Yes</v>
      </c>
      <c r="O4670" s="31" t="str">
        <f aca="false">IF(H4670="","Open",IF(H4670&lt;=INDEX(Assumptions!$C$15:$C$18,MATCH(E4670,Assumptions!$A$15:$A$18,0)),"Yes","No"))</f>
        <v>Yes</v>
      </c>
    </row>
    <row r="4671" customFormat="false" ht="15" hidden="false" customHeight="false" outlineLevel="0" collapsed="false">
      <c r="A4671" s="31" t="s">
        <v>4821</v>
      </c>
      <c r="B4671" s="44" t="n">
        <v>46267</v>
      </c>
      <c r="C4671" s="31" t="s">
        <v>59</v>
      </c>
      <c r="D4671" s="31" t="s">
        <v>65</v>
      </c>
      <c r="E4671" s="31" t="s">
        <v>51</v>
      </c>
      <c r="F4671" s="31" t="s">
        <v>119</v>
      </c>
      <c r="G4671" s="31" t="n">
        <v>97</v>
      </c>
      <c r="H4671" s="41" t="n">
        <v>8.4</v>
      </c>
      <c r="I4671" s="31" t="s">
        <v>149</v>
      </c>
      <c r="J4671" s="31"/>
      <c r="K4671" s="31" t="s">
        <v>150</v>
      </c>
      <c r="L4671" s="45" t="n">
        <f aca="false">DATE(YEAR(B4671),MONTH(B4671),1)</f>
        <v>46266</v>
      </c>
      <c r="M4671" s="31" t="n">
        <f aca="false">WEEKDAY(B4671,2)</f>
        <v>3</v>
      </c>
      <c r="N4671" s="31" t="str">
        <f aca="false">IF(G4671&lt;=INDEX(Assumptions!$B$15:$B$18,MATCH(E4671,Assumptions!$A$15:$A$18,0)),"Yes","No")</f>
        <v>No</v>
      </c>
      <c r="O4671" s="31" t="str">
        <f aca="false">IF(H4671="","Open",IF(H4671&lt;=INDEX(Assumptions!$C$15:$C$18,MATCH(E4671,Assumptions!$A$15:$A$18,0)),"Yes","No"))</f>
        <v>Yes</v>
      </c>
    </row>
    <row r="4672" customFormat="false" ht="15" hidden="false" customHeight="false" outlineLevel="0" collapsed="false">
      <c r="A4672" s="31" t="s">
        <v>4822</v>
      </c>
      <c r="B4672" s="44" t="n">
        <v>46267</v>
      </c>
      <c r="C4672" s="31" t="s">
        <v>57</v>
      </c>
      <c r="D4672" s="31" t="s">
        <v>65</v>
      </c>
      <c r="E4672" s="31" t="s">
        <v>51</v>
      </c>
      <c r="F4672" s="31" t="s">
        <v>119</v>
      </c>
      <c r="G4672" s="31" t="n">
        <v>5</v>
      </c>
      <c r="H4672" s="41" t="n">
        <v>15.1</v>
      </c>
      <c r="I4672" s="31" t="s">
        <v>149</v>
      </c>
      <c r="J4672" s="31" t="n">
        <v>5</v>
      </c>
      <c r="K4672" s="31" t="s">
        <v>150</v>
      </c>
      <c r="L4672" s="45" t="n">
        <f aca="false">DATE(YEAR(B4672),MONTH(B4672),1)</f>
        <v>46266</v>
      </c>
      <c r="M4672" s="31" t="n">
        <f aca="false">WEEKDAY(B4672,2)</f>
        <v>3</v>
      </c>
      <c r="N4672" s="31" t="str">
        <f aca="false">IF(G4672&lt;=INDEX(Assumptions!$B$15:$B$18,MATCH(E4672,Assumptions!$A$15:$A$18,0)),"Yes","No")</f>
        <v>Yes</v>
      </c>
      <c r="O4672" s="31" t="str">
        <f aca="false">IF(H4672="","Open",IF(H4672&lt;=INDEX(Assumptions!$C$15:$C$18,MATCH(E4672,Assumptions!$A$15:$A$18,0)),"Yes","No"))</f>
        <v>Yes</v>
      </c>
    </row>
    <row r="4673" customFormat="false" ht="15" hidden="false" customHeight="false" outlineLevel="0" collapsed="false">
      <c r="A4673" s="31" t="s">
        <v>4823</v>
      </c>
      <c r="B4673" s="44" t="n">
        <v>46267</v>
      </c>
      <c r="C4673" s="31" t="s">
        <v>58</v>
      </c>
      <c r="D4673" s="31" t="s">
        <v>69</v>
      </c>
      <c r="E4673" s="31" t="s">
        <v>49</v>
      </c>
      <c r="F4673" s="31" t="s">
        <v>129</v>
      </c>
      <c r="G4673" s="31" t="n">
        <v>4</v>
      </c>
      <c r="H4673" s="41" t="n">
        <v>8.3</v>
      </c>
      <c r="I4673" s="31" t="s">
        <v>149</v>
      </c>
      <c r="J4673" s="31"/>
      <c r="K4673" s="31" t="s">
        <v>150</v>
      </c>
      <c r="L4673" s="45" t="n">
        <f aca="false">DATE(YEAR(B4673),MONTH(B4673),1)</f>
        <v>46266</v>
      </c>
      <c r="M4673" s="31" t="n">
        <f aca="false">WEEKDAY(B4673,2)</f>
        <v>3</v>
      </c>
      <c r="N4673" s="31" t="str">
        <f aca="false">IF(G4673&lt;=INDEX(Assumptions!$B$15:$B$18,MATCH(E4673,Assumptions!$A$15:$A$18,0)),"Yes","No")</f>
        <v>Yes</v>
      </c>
      <c r="O4673" s="31" t="str">
        <f aca="false">IF(H4673="","Open",IF(H4673&lt;=INDEX(Assumptions!$C$15:$C$18,MATCH(E4673,Assumptions!$A$15:$A$18,0)),"Yes","No"))</f>
        <v>No</v>
      </c>
    </row>
    <row r="4674" customFormat="false" ht="15" hidden="false" customHeight="false" outlineLevel="0" collapsed="false">
      <c r="A4674" s="31" t="s">
        <v>4824</v>
      </c>
      <c r="B4674" s="44" t="n">
        <v>46267</v>
      </c>
      <c r="C4674" s="31" t="s">
        <v>57</v>
      </c>
      <c r="D4674" s="31" t="s">
        <v>69</v>
      </c>
      <c r="E4674" s="31" t="s">
        <v>50</v>
      </c>
      <c r="F4674" s="31" t="s">
        <v>126</v>
      </c>
      <c r="G4674" s="31" t="n">
        <v>2</v>
      </c>
      <c r="H4674" s="41" t="n">
        <v>11.5</v>
      </c>
      <c r="I4674" s="31" t="s">
        <v>149</v>
      </c>
      <c r="J4674" s="31"/>
      <c r="K4674" s="31" t="s">
        <v>150</v>
      </c>
      <c r="L4674" s="45" t="n">
        <f aca="false">DATE(YEAR(B4674),MONTH(B4674),1)</f>
        <v>46266</v>
      </c>
      <c r="M4674" s="31" t="n">
        <f aca="false">WEEKDAY(B4674,2)</f>
        <v>3</v>
      </c>
      <c r="N4674" s="31" t="str">
        <f aca="false">IF(G4674&lt;=INDEX(Assumptions!$B$15:$B$18,MATCH(E4674,Assumptions!$A$15:$A$18,0)),"Yes","No")</f>
        <v>Yes</v>
      </c>
      <c r="O4674" s="31" t="str">
        <f aca="false">IF(H4674="","Open",IF(H4674&lt;=INDEX(Assumptions!$C$15:$C$18,MATCH(E4674,Assumptions!$A$15:$A$18,0)),"Yes","No"))</f>
        <v>No</v>
      </c>
    </row>
    <row r="4675" customFormat="false" ht="15" hidden="false" customHeight="false" outlineLevel="0" collapsed="false">
      <c r="A4675" s="31" t="s">
        <v>4825</v>
      </c>
      <c r="B4675" s="44" t="n">
        <v>46267</v>
      </c>
      <c r="C4675" s="31" t="s">
        <v>58</v>
      </c>
      <c r="D4675" s="31" t="s">
        <v>65</v>
      </c>
      <c r="E4675" s="31" t="s">
        <v>50</v>
      </c>
      <c r="F4675" s="31" t="s">
        <v>131</v>
      </c>
      <c r="G4675" s="31" t="n">
        <v>9</v>
      </c>
      <c r="H4675" s="41" t="n">
        <v>17.8</v>
      </c>
      <c r="I4675" s="31" t="s">
        <v>64</v>
      </c>
      <c r="J4675" s="31"/>
      <c r="K4675" s="31" t="s">
        <v>150</v>
      </c>
      <c r="L4675" s="45" t="n">
        <f aca="false">DATE(YEAR(B4675),MONTH(B4675),1)</f>
        <v>46266</v>
      </c>
      <c r="M4675" s="31" t="n">
        <f aca="false">WEEKDAY(B4675,2)</f>
        <v>3</v>
      </c>
      <c r="N4675" s="31" t="str">
        <f aca="false">IF(G4675&lt;=INDEX(Assumptions!$B$15:$B$18,MATCH(E4675,Assumptions!$A$15:$A$18,0)),"Yes","No")</f>
        <v>Yes</v>
      </c>
      <c r="O4675" s="31" t="str">
        <f aca="false">IF(H4675="","Open",IF(H4675&lt;=INDEX(Assumptions!$C$15:$C$18,MATCH(E4675,Assumptions!$A$15:$A$18,0)),"Yes","No"))</f>
        <v>No</v>
      </c>
    </row>
    <row r="4676" customFormat="false" ht="15" hidden="false" customHeight="false" outlineLevel="0" collapsed="false">
      <c r="A4676" s="31" t="s">
        <v>4826</v>
      </c>
      <c r="B4676" s="44" t="n">
        <v>46268</v>
      </c>
      <c r="C4676" s="31" t="s">
        <v>60</v>
      </c>
      <c r="D4676" s="31" t="s">
        <v>66</v>
      </c>
      <c r="E4676" s="31" t="s">
        <v>52</v>
      </c>
      <c r="F4676" s="31" t="s">
        <v>134</v>
      </c>
      <c r="G4676" s="31" t="n">
        <v>12</v>
      </c>
      <c r="H4676" s="41" t="n">
        <v>4.1</v>
      </c>
      <c r="I4676" s="31" t="s">
        <v>149</v>
      </c>
      <c r="J4676" s="31"/>
      <c r="K4676" s="31" t="s">
        <v>150</v>
      </c>
      <c r="L4676" s="45" t="n">
        <f aca="false">DATE(YEAR(B4676),MONTH(B4676),1)</f>
        <v>46266</v>
      </c>
      <c r="M4676" s="31" t="n">
        <f aca="false">WEEKDAY(B4676,2)</f>
        <v>4</v>
      </c>
      <c r="N4676" s="31" t="str">
        <f aca="false">IF(G4676&lt;=INDEX(Assumptions!$B$15:$B$18,MATCH(E4676,Assumptions!$A$15:$A$18,0)),"Yes","No")</f>
        <v>Yes</v>
      </c>
      <c r="O4676" s="31" t="str">
        <f aca="false">IF(H4676="","Open",IF(H4676&lt;=INDEX(Assumptions!$C$15:$C$18,MATCH(E4676,Assumptions!$A$15:$A$18,0)),"Yes","No"))</f>
        <v>Yes</v>
      </c>
    </row>
    <row r="4677" customFormat="false" ht="15" hidden="false" customHeight="false" outlineLevel="0" collapsed="false">
      <c r="A4677" s="31" t="s">
        <v>4827</v>
      </c>
      <c r="B4677" s="44" t="n">
        <v>46268</v>
      </c>
      <c r="C4677" s="31" t="s">
        <v>60</v>
      </c>
      <c r="D4677" s="31" t="s">
        <v>69</v>
      </c>
      <c r="E4677" s="31" t="s">
        <v>52</v>
      </c>
      <c r="F4677" s="31" t="s">
        <v>123</v>
      </c>
      <c r="G4677" s="31" t="n">
        <v>2</v>
      </c>
      <c r="H4677" s="41" t="n">
        <v>31.2</v>
      </c>
      <c r="I4677" s="31" t="s">
        <v>149</v>
      </c>
      <c r="J4677" s="31"/>
      <c r="K4677" s="31" t="s">
        <v>150</v>
      </c>
      <c r="L4677" s="45" t="n">
        <f aca="false">DATE(YEAR(B4677),MONTH(B4677),1)</f>
        <v>46266</v>
      </c>
      <c r="M4677" s="31" t="n">
        <f aca="false">WEEKDAY(B4677,2)</f>
        <v>4</v>
      </c>
      <c r="N4677" s="31" t="str">
        <f aca="false">IF(G4677&lt;=INDEX(Assumptions!$B$15:$B$18,MATCH(E4677,Assumptions!$A$15:$A$18,0)),"Yes","No")</f>
        <v>Yes</v>
      </c>
      <c r="O4677" s="31" t="str">
        <f aca="false">IF(H4677="","Open",IF(H4677&lt;=INDEX(Assumptions!$C$15:$C$18,MATCH(E4677,Assumptions!$A$15:$A$18,0)),"Yes","No"))</f>
        <v>Yes</v>
      </c>
    </row>
    <row r="4678" customFormat="false" ht="15" hidden="false" customHeight="false" outlineLevel="0" collapsed="false">
      <c r="A4678" s="31" t="s">
        <v>4828</v>
      </c>
      <c r="B4678" s="44" t="n">
        <v>46268</v>
      </c>
      <c r="C4678" s="31" t="s">
        <v>59</v>
      </c>
      <c r="D4678" s="31" t="s">
        <v>68</v>
      </c>
      <c r="E4678" s="31" t="s">
        <v>52</v>
      </c>
      <c r="F4678" s="31" t="s">
        <v>128</v>
      </c>
      <c r="G4678" s="31" t="n">
        <v>514</v>
      </c>
      <c r="H4678" s="41" t="n">
        <v>9.5</v>
      </c>
      <c r="I4678" s="31" t="s">
        <v>149</v>
      </c>
      <c r="J4678" s="31"/>
      <c r="K4678" s="31" t="s">
        <v>150</v>
      </c>
      <c r="L4678" s="45" t="n">
        <f aca="false">DATE(YEAR(B4678),MONTH(B4678),1)</f>
        <v>46266</v>
      </c>
      <c r="M4678" s="31" t="n">
        <f aca="false">WEEKDAY(B4678,2)</f>
        <v>4</v>
      </c>
      <c r="N4678" s="31" t="str">
        <f aca="false">IF(G4678&lt;=INDEX(Assumptions!$B$15:$B$18,MATCH(E4678,Assumptions!$A$15:$A$18,0)),"Yes","No")</f>
        <v>No</v>
      </c>
      <c r="O4678" s="31" t="str">
        <f aca="false">IF(H4678="","Open",IF(H4678&lt;=INDEX(Assumptions!$C$15:$C$18,MATCH(E4678,Assumptions!$A$15:$A$18,0)),"Yes","No"))</f>
        <v>Yes</v>
      </c>
    </row>
    <row r="4679" customFormat="false" ht="15" hidden="false" customHeight="false" outlineLevel="0" collapsed="false">
      <c r="A4679" s="31" t="s">
        <v>4829</v>
      </c>
      <c r="B4679" s="44" t="n">
        <v>46268</v>
      </c>
      <c r="C4679" s="31" t="s">
        <v>60</v>
      </c>
      <c r="D4679" s="31" t="s">
        <v>69</v>
      </c>
      <c r="E4679" s="31" t="s">
        <v>51</v>
      </c>
      <c r="F4679" s="31" t="s">
        <v>131</v>
      </c>
      <c r="G4679" s="31" t="n">
        <v>1</v>
      </c>
      <c r="H4679" s="41" t="n">
        <v>59.7</v>
      </c>
      <c r="I4679" s="31" t="s">
        <v>149</v>
      </c>
      <c r="J4679" s="31" t="n">
        <v>4</v>
      </c>
      <c r="K4679" s="31" t="s">
        <v>150</v>
      </c>
      <c r="L4679" s="45" t="n">
        <f aca="false">DATE(YEAR(B4679),MONTH(B4679),1)</f>
        <v>46266</v>
      </c>
      <c r="M4679" s="31" t="n">
        <f aca="false">WEEKDAY(B4679,2)</f>
        <v>4</v>
      </c>
      <c r="N4679" s="31" t="str">
        <f aca="false">IF(G4679&lt;=INDEX(Assumptions!$B$15:$B$18,MATCH(E4679,Assumptions!$A$15:$A$18,0)),"Yes","No")</f>
        <v>Yes</v>
      </c>
      <c r="O4679" s="31" t="str">
        <f aca="false">IF(H4679="","Open",IF(H4679&lt;=INDEX(Assumptions!$C$15:$C$18,MATCH(E4679,Assumptions!$A$15:$A$18,0)),"Yes","No"))</f>
        <v>No</v>
      </c>
    </row>
    <row r="4680" customFormat="false" ht="15" hidden="false" customHeight="false" outlineLevel="0" collapsed="false">
      <c r="A4680" s="31" t="s">
        <v>4830</v>
      </c>
      <c r="B4680" s="44" t="n">
        <v>46268</v>
      </c>
      <c r="C4680" s="31" t="s">
        <v>60</v>
      </c>
      <c r="D4680" s="31" t="s">
        <v>67</v>
      </c>
      <c r="E4680" s="31" t="s">
        <v>51</v>
      </c>
      <c r="F4680" s="31" t="s">
        <v>126</v>
      </c>
      <c r="G4680" s="31" t="n">
        <v>1</v>
      </c>
      <c r="H4680" s="41" t="n">
        <v>8.1</v>
      </c>
      <c r="I4680" s="31" t="s">
        <v>149</v>
      </c>
      <c r="J4680" s="31" t="n">
        <v>4</v>
      </c>
      <c r="K4680" s="31" t="s">
        <v>150</v>
      </c>
      <c r="L4680" s="45" t="n">
        <f aca="false">DATE(YEAR(B4680),MONTH(B4680),1)</f>
        <v>46266</v>
      </c>
      <c r="M4680" s="31" t="n">
        <f aca="false">WEEKDAY(B4680,2)</f>
        <v>4</v>
      </c>
      <c r="N4680" s="31" t="str">
        <f aca="false">IF(G4680&lt;=INDEX(Assumptions!$B$15:$B$18,MATCH(E4680,Assumptions!$A$15:$A$18,0)),"Yes","No")</f>
        <v>Yes</v>
      </c>
      <c r="O4680" s="31" t="str">
        <f aca="false">IF(H4680="","Open",IF(H4680&lt;=INDEX(Assumptions!$C$15:$C$18,MATCH(E4680,Assumptions!$A$15:$A$18,0)),"Yes","No"))</f>
        <v>Yes</v>
      </c>
    </row>
    <row r="4681" customFormat="false" ht="15" hidden="false" customHeight="false" outlineLevel="0" collapsed="false">
      <c r="A4681" s="31" t="s">
        <v>4831</v>
      </c>
      <c r="B4681" s="44" t="n">
        <v>46268</v>
      </c>
      <c r="C4681" s="31" t="s">
        <v>57</v>
      </c>
      <c r="D4681" s="31" t="s">
        <v>66</v>
      </c>
      <c r="E4681" s="31" t="s">
        <v>51</v>
      </c>
      <c r="F4681" s="31" t="s">
        <v>130</v>
      </c>
      <c r="G4681" s="31" t="n">
        <v>3</v>
      </c>
      <c r="H4681" s="41" t="n">
        <v>4.5</v>
      </c>
      <c r="I4681" s="31" t="s">
        <v>149</v>
      </c>
      <c r="J4681" s="31" t="n">
        <v>4</v>
      </c>
      <c r="K4681" s="31" t="s">
        <v>150</v>
      </c>
      <c r="L4681" s="45" t="n">
        <f aca="false">DATE(YEAR(B4681),MONTH(B4681),1)</f>
        <v>46266</v>
      </c>
      <c r="M4681" s="31" t="n">
        <f aca="false">WEEKDAY(B4681,2)</f>
        <v>4</v>
      </c>
      <c r="N4681" s="31" t="str">
        <f aca="false">IF(G4681&lt;=INDEX(Assumptions!$B$15:$B$18,MATCH(E4681,Assumptions!$A$15:$A$18,0)),"Yes","No")</f>
        <v>Yes</v>
      </c>
      <c r="O4681" s="31" t="str">
        <f aca="false">IF(H4681="","Open",IF(H4681&lt;=INDEX(Assumptions!$C$15:$C$18,MATCH(E4681,Assumptions!$A$15:$A$18,0)),"Yes","No"))</f>
        <v>Yes</v>
      </c>
    </row>
    <row r="4682" customFormat="false" ht="15" hidden="false" customHeight="false" outlineLevel="0" collapsed="false">
      <c r="A4682" s="31" t="s">
        <v>4832</v>
      </c>
      <c r="B4682" s="44" t="n">
        <v>46268</v>
      </c>
      <c r="C4682" s="31" t="s">
        <v>58</v>
      </c>
      <c r="D4682" s="31" t="s">
        <v>65</v>
      </c>
      <c r="E4682" s="31" t="s">
        <v>51</v>
      </c>
      <c r="F4682" s="31" t="s">
        <v>137</v>
      </c>
      <c r="G4682" s="31" t="n">
        <v>9</v>
      </c>
      <c r="H4682" s="41" t="n">
        <v>4.2</v>
      </c>
      <c r="I4682" s="31" t="s">
        <v>149</v>
      </c>
      <c r="J4682" s="31"/>
      <c r="K4682" s="31" t="s">
        <v>150</v>
      </c>
      <c r="L4682" s="45" t="n">
        <f aca="false">DATE(YEAR(B4682),MONTH(B4682),1)</f>
        <v>46266</v>
      </c>
      <c r="M4682" s="31" t="n">
        <f aca="false">WEEKDAY(B4682,2)</f>
        <v>4</v>
      </c>
      <c r="N4682" s="31" t="str">
        <f aca="false">IF(G4682&lt;=INDEX(Assumptions!$B$15:$B$18,MATCH(E4682,Assumptions!$A$15:$A$18,0)),"Yes","No")</f>
        <v>Yes</v>
      </c>
      <c r="O4682" s="31" t="str">
        <f aca="false">IF(H4682="","Open",IF(H4682&lt;=INDEX(Assumptions!$C$15:$C$18,MATCH(E4682,Assumptions!$A$15:$A$18,0)),"Yes","No"))</f>
        <v>Yes</v>
      </c>
    </row>
    <row r="4683" customFormat="false" ht="15" hidden="false" customHeight="false" outlineLevel="0" collapsed="false">
      <c r="A4683" s="31" t="s">
        <v>4833</v>
      </c>
      <c r="B4683" s="44" t="n">
        <v>46268</v>
      </c>
      <c r="C4683" s="31" t="s">
        <v>59</v>
      </c>
      <c r="D4683" s="31" t="s">
        <v>67</v>
      </c>
      <c r="E4683" s="31" t="s">
        <v>51</v>
      </c>
      <c r="F4683" s="31" t="s">
        <v>121</v>
      </c>
      <c r="G4683" s="31" t="n">
        <v>58</v>
      </c>
      <c r="H4683" s="41" t="n">
        <v>11.4</v>
      </c>
      <c r="I4683" s="31" t="s">
        <v>149</v>
      </c>
      <c r="J4683" s="31" t="n">
        <v>5</v>
      </c>
      <c r="K4683" s="31" t="s">
        <v>150</v>
      </c>
      <c r="L4683" s="45" t="n">
        <f aca="false">DATE(YEAR(B4683),MONTH(B4683),1)</f>
        <v>46266</v>
      </c>
      <c r="M4683" s="31" t="n">
        <f aca="false">WEEKDAY(B4683,2)</f>
        <v>4</v>
      </c>
      <c r="N4683" s="31" t="str">
        <f aca="false">IF(G4683&lt;=INDEX(Assumptions!$B$15:$B$18,MATCH(E4683,Assumptions!$A$15:$A$18,0)),"Yes","No")</f>
        <v>Yes</v>
      </c>
      <c r="O4683" s="31" t="str">
        <f aca="false">IF(H4683="","Open",IF(H4683&lt;=INDEX(Assumptions!$C$15:$C$18,MATCH(E4683,Assumptions!$A$15:$A$18,0)),"Yes","No"))</f>
        <v>Yes</v>
      </c>
    </row>
    <row r="4684" customFormat="false" ht="15" hidden="false" customHeight="false" outlineLevel="0" collapsed="false">
      <c r="A4684" s="31" t="s">
        <v>4834</v>
      </c>
      <c r="B4684" s="44" t="n">
        <v>46268</v>
      </c>
      <c r="C4684" s="31" t="s">
        <v>58</v>
      </c>
      <c r="D4684" s="31" t="s">
        <v>65</v>
      </c>
      <c r="E4684" s="31" t="s">
        <v>51</v>
      </c>
      <c r="F4684" s="31" t="s">
        <v>120</v>
      </c>
      <c r="G4684" s="31" t="n">
        <v>23</v>
      </c>
      <c r="H4684" s="41" t="n">
        <v>10.1</v>
      </c>
      <c r="I4684" s="31" t="s">
        <v>149</v>
      </c>
      <c r="J4684" s="31" t="n">
        <v>4</v>
      </c>
      <c r="K4684" s="31" t="s">
        <v>150</v>
      </c>
      <c r="L4684" s="45" t="n">
        <f aca="false">DATE(YEAR(B4684),MONTH(B4684),1)</f>
        <v>46266</v>
      </c>
      <c r="M4684" s="31" t="n">
        <f aca="false">WEEKDAY(B4684,2)</f>
        <v>4</v>
      </c>
      <c r="N4684" s="31" t="str">
        <f aca="false">IF(G4684&lt;=INDEX(Assumptions!$B$15:$B$18,MATCH(E4684,Assumptions!$A$15:$A$18,0)),"Yes","No")</f>
        <v>Yes</v>
      </c>
      <c r="O4684" s="31" t="str">
        <f aca="false">IF(H4684="","Open",IF(H4684&lt;=INDEX(Assumptions!$C$15:$C$18,MATCH(E4684,Assumptions!$A$15:$A$18,0)),"Yes","No"))</f>
        <v>Yes</v>
      </c>
    </row>
    <row r="4685" customFormat="false" ht="15" hidden="false" customHeight="false" outlineLevel="0" collapsed="false">
      <c r="A4685" s="31" t="s">
        <v>4835</v>
      </c>
      <c r="B4685" s="44" t="n">
        <v>46268</v>
      </c>
      <c r="C4685" s="31" t="s">
        <v>57</v>
      </c>
      <c r="D4685" s="31" t="s">
        <v>65</v>
      </c>
      <c r="E4685" s="31" t="s">
        <v>51</v>
      </c>
      <c r="F4685" s="31" t="s">
        <v>131</v>
      </c>
      <c r="G4685" s="31" t="n">
        <v>4</v>
      </c>
      <c r="H4685" s="41" t="n">
        <v>6</v>
      </c>
      <c r="I4685" s="31" t="s">
        <v>149</v>
      </c>
      <c r="J4685" s="31" t="n">
        <v>5</v>
      </c>
      <c r="K4685" s="31" t="s">
        <v>150</v>
      </c>
      <c r="L4685" s="45" t="n">
        <f aca="false">DATE(YEAR(B4685),MONTH(B4685),1)</f>
        <v>46266</v>
      </c>
      <c r="M4685" s="31" t="n">
        <f aca="false">WEEKDAY(B4685,2)</f>
        <v>4</v>
      </c>
      <c r="N4685" s="31" t="str">
        <f aca="false">IF(G4685&lt;=INDEX(Assumptions!$B$15:$B$18,MATCH(E4685,Assumptions!$A$15:$A$18,0)),"Yes","No")</f>
        <v>Yes</v>
      </c>
      <c r="O4685" s="31" t="str">
        <f aca="false">IF(H4685="","Open",IF(H4685&lt;=INDEX(Assumptions!$C$15:$C$18,MATCH(E4685,Assumptions!$A$15:$A$18,0)),"Yes","No"))</f>
        <v>Yes</v>
      </c>
    </row>
    <row r="4686" customFormat="false" ht="15" hidden="false" customHeight="false" outlineLevel="0" collapsed="false">
      <c r="A4686" s="31" t="s">
        <v>4836</v>
      </c>
      <c r="B4686" s="44" t="n">
        <v>46268</v>
      </c>
      <c r="C4686" s="31" t="s">
        <v>58</v>
      </c>
      <c r="D4686" s="31" t="s">
        <v>66</v>
      </c>
      <c r="E4686" s="31" t="s">
        <v>52</v>
      </c>
      <c r="F4686" s="31" t="s">
        <v>133</v>
      </c>
      <c r="G4686" s="31" t="n">
        <v>27</v>
      </c>
      <c r="H4686" s="41" t="n">
        <v>7.7</v>
      </c>
      <c r="I4686" s="31" t="s">
        <v>149</v>
      </c>
      <c r="J4686" s="31"/>
      <c r="K4686" s="31" t="s">
        <v>150</v>
      </c>
      <c r="L4686" s="45" t="n">
        <f aca="false">DATE(YEAR(B4686),MONTH(B4686),1)</f>
        <v>46266</v>
      </c>
      <c r="M4686" s="31" t="n">
        <f aca="false">WEEKDAY(B4686,2)</f>
        <v>4</v>
      </c>
      <c r="N4686" s="31" t="str">
        <f aca="false">IF(G4686&lt;=INDEX(Assumptions!$B$15:$B$18,MATCH(E4686,Assumptions!$A$15:$A$18,0)),"Yes","No")</f>
        <v>Yes</v>
      </c>
      <c r="O4686" s="31" t="str">
        <f aca="false">IF(H4686="","Open",IF(H4686&lt;=INDEX(Assumptions!$C$15:$C$18,MATCH(E4686,Assumptions!$A$15:$A$18,0)),"Yes","No"))</f>
        <v>Yes</v>
      </c>
    </row>
    <row r="4687" customFormat="false" ht="15" hidden="false" customHeight="false" outlineLevel="0" collapsed="false">
      <c r="A4687" s="31" t="s">
        <v>4837</v>
      </c>
      <c r="B4687" s="44" t="n">
        <v>46268</v>
      </c>
      <c r="C4687" s="31" t="s">
        <v>59</v>
      </c>
      <c r="D4687" s="31" t="s">
        <v>67</v>
      </c>
      <c r="E4687" s="31" t="s">
        <v>52</v>
      </c>
      <c r="F4687" s="31" t="s">
        <v>134</v>
      </c>
      <c r="G4687" s="31" t="n">
        <v>151</v>
      </c>
      <c r="H4687" s="41" t="n">
        <v>56.9</v>
      </c>
      <c r="I4687" s="31" t="s">
        <v>149</v>
      </c>
      <c r="J4687" s="31" t="n">
        <v>3</v>
      </c>
      <c r="K4687" s="31" t="s">
        <v>150</v>
      </c>
      <c r="L4687" s="45" t="n">
        <f aca="false">DATE(YEAR(B4687),MONTH(B4687),1)</f>
        <v>46266</v>
      </c>
      <c r="M4687" s="31" t="n">
        <f aca="false">WEEKDAY(B4687,2)</f>
        <v>4</v>
      </c>
      <c r="N4687" s="31" t="str">
        <f aca="false">IF(G4687&lt;=INDEX(Assumptions!$B$15:$B$18,MATCH(E4687,Assumptions!$A$15:$A$18,0)),"Yes","No")</f>
        <v>Yes</v>
      </c>
      <c r="O4687" s="31" t="str">
        <f aca="false">IF(H4687="","Open",IF(H4687&lt;=INDEX(Assumptions!$C$15:$C$18,MATCH(E4687,Assumptions!$A$15:$A$18,0)),"Yes","No"))</f>
        <v>Yes</v>
      </c>
    </row>
    <row r="4688" customFormat="false" ht="15" hidden="false" customHeight="false" outlineLevel="0" collapsed="false">
      <c r="A4688" s="31" t="s">
        <v>4838</v>
      </c>
      <c r="B4688" s="44" t="n">
        <v>46268</v>
      </c>
      <c r="C4688" s="31" t="s">
        <v>57</v>
      </c>
      <c r="D4688" s="31" t="s">
        <v>69</v>
      </c>
      <c r="E4688" s="31" t="s">
        <v>51</v>
      </c>
      <c r="F4688" s="31" t="s">
        <v>117</v>
      </c>
      <c r="G4688" s="31" t="n">
        <v>1</v>
      </c>
      <c r="H4688" s="41" t="n">
        <v>15.1</v>
      </c>
      <c r="I4688" s="31" t="s">
        <v>149</v>
      </c>
      <c r="J4688" s="31" t="n">
        <v>4</v>
      </c>
      <c r="K4688" s="31" t="s">
        <v>150</v>
      </c>
      <c r="L4688" s="45" t="n">
        <f aca="false">DATE(YEAR(B4688),MONTH(B4688),1)</f>
        <v>46266</v>
      </c>
      <c r="M4688" s="31" t="n">
        <f aca="false">WEEKDAY(B4688,2)</f>
        <v>4</v>
      </c>
      <c r="N4688" s="31" t="str">
        <f aca="false">IF(G4688&lt;=INDEX(Assumptions!$B$15:$B$18,MATCH(E4688,Assumptions!$A$15:$A$18,0)),"Yes","No")</f>
        <v>Yes</v>
      </c>
      <c r="O4688" s="31" t="str">
        <f aca="false">IF(H4688="","Open",IF(H4688&lt;=INDEX(Assumptions!$C$15:$C$18,MATCH(E4688,Assumptions!$A$15:$A$18,0)),"Yes","No"))</f>
        <v>Yes</v>
      </c>
    </row>
    <row r="4689" customFormat="false" ht="15" hidden="false" customHeight="false" outlineLevel="0" collapsed="false">
      <c r="A4689" s="31" t="s">
        <v>4839</v>
      </c>
      <c r="B4689" s="44" t="n">
        <v>46268</v>
      </c>
      <c r="C4689" s="31" t="s">
        <v>57</v>
      </c>
      <c r="D4689" s="31" t="s">
        <v>67</v>
      </c>
      <c r="E4689" s="31" t="s">
        <v>52</v>
      </c>
      <c r="F4689" s="31" t="s">
        <v>124</v>
      </c>
      <c r="G4689" s="31" t="n">
        <v>15</v>
      </c>
      <c r="H4689" s="41" t="n">
        <v>96</v>
      </c>
      <c r="I4689" s="31" t="s">
        <v>149</v>
      </c>
      <c r="J4689" s="31" t="n">
        <v>4</v>
      </c>
      <c r="K4689" s="31" t="s">
        <v>150</v>
      </c>
      <c r="L4689" s="45" t="n">
        <f aca="false">DATE(YEAR(B4689),MONTH(B4689),1)</f>
        <v>46266</v>
      </c>
      <c r="M4689" s="31" t="n">
        <f aca="false">WEEKDAY(B4689,2)</f>
        <v>4</v>
      </c>
      <c r="N4689" s="31" t="str">
        <f aca="false">IF(G4689&lt;=INDEX(Assumptions!$B$15:$B$18,MATCH(E4689,Assumptions!$A$15:$A$18,0)),"Yes","No")</f>
        <v>Yes</v>
      </c>
      <c r="O4689" s="31" t="str">
        <f aca="false">IF(H4689="","Open",IF(H4689&lt;=INDEX(Assumptions!$C$15:$C$18,MATCH(E4689,Assumptions!$A$15:$A$18,0)),"Yes","No"))</f>
        <v>No</v>
      </c>
    </row>
    <row r="4690" customFormat="false" ht="15" hidden="false" customHeight="false" outlineLevel="0" collapsed="false">
      <c r="A4690" s="31" t="s">
        <v>4840</v>
      </c>
      <c r="B4690" s="44" t="n">
        <v>46268</v>
      </c>
      <c r="C4690" s="31" t="s">
        <v>58</v>
      </c>
      <c r="D4690" s="31" t="s">
        <v>66</v>
      </c>
      <c r="E4690" s="31" t="s">
        <v>52</v>
      </c>
      <c r="F4690" s="31" t="s">
        <v>126</v>
      </c>
      <c r="G4690" s="31" t="n">
        <v>4</v>
      </c>
      <c r="H4690" s="41" t="n">
        <v>13.2</v>
      </c>
      <c r="I4690" s="31" t="s">
        <v>64</v>
      </c>
      <c r="J4690" s="31"/>
      <c r="K4690" s="31" t="s">
        <v>150</v>
      </c>
      <c r="L4690" s="45" t="n">
        <f aca="false">DATE(YEAR(B4690),MONTH(B4690),1)</f>
        <v>46266</v>
      </c>
      <c r="M4690" s="31" t="n">
        <f aca="false">WEEKDAY(B4690,2)</f>
        <v>4</v>
      </c>
      <c r="N4690" s="31" t="str">
        <f aca="false">IF(G4690&lt;=INDEX(Assumptions!$B$15:$B$18,MATCH(E4690,Assumptions!$A$15:$A$18,0)),"Yes","No")</f>
        <v>Yes</v>
      </c>
      <c r="O4690" s="31" t="str">
        <f aca="false">IF(H4690="","Open",IF(H4690&lt;=INDEX(Assumptions!$C$15:$C$18,MATCH(E4690,Assumptions!$A$15:$A$18,0)),"Yes","No"))</f>
        <v>Yes</v>
      </c>
    </row>
    <row r="4691" customFormat="false" ht="15" hidden="false" customHeight="false" outlineLevel="0" collapsed="false">
      <c r="A4691" s="31" t="s">
        <v>4841</v>
      </c>
      <c r="B4691" s="44" t="n">
        <v>46268</v>
      </c>
      <c r="C4691" s="31" t="s">
        <v>58</v>
      </c>
      <c r="D4691" s="31" t="s">
        <v>65</v>
      </c>
      <c r="E4691" s="31" t="s">
        <v>51</v>
      </c>
      <c r="F4691" s="31" t="s">
        <v>119</v>
      </c>
      <c r="G4691" s="31" t="n">
        <v>20</v>
      </c>
      <c r="H4691" s="41" t="n">
        <v>8.9</v>
      </c>
      <c r="I4691" s="31" t="s">
        <v>149</v>
      </c>
      <c r="J4691" s="31" t="n">
        <v>4</v>
      </c>
      <c r="K4691" s="31" t="s">
        <v>150</v>
      </c>
      <c r="L4691" s="45" t="n">
        <f aca="false">DATE(YEAR(B4691),MONTH(B4691),1)</f>
        <v>46266</v>
      </c>
      <c r="M4691" s="31" t="n">
        <f aca="false">WEEKDAY(B4691,2)</f>
        <v>4</v>
      </c>
      <c r="N4691" s="31" t="str">
        <f aca="false">IF(G4691&lt;=INDEX(Assumptions!$B$15:$B$18,MATCH(E4691,Assumptions!$A$15:$A$18,0)),"Yes","No")</f>
        <v>Yes</v>
      </c>
      <c r="O4691" s="31" t="str">
        <f aca="false">IF(H4691="","Open",IF(H4691&lt;=INDEX(Assumptions!$C$15:$C$18,MATCH(E4691,Assumptions!$A$15:$A$18,0)),"Yes","No"))</f>
        <v>Yes</v>
      </c>
    </row>
    <row r="4692" customFormat="false" ht="15" hidden="false" customHeight="false" outlineLevel="0" collapsed="false">
      <c r="A4692" s="31" t="s">
        <v>4842</v>
      </c>
      <c r="B4692" s="44" t="n">
        <v>46268</v>
      </c>
      <c r="C4692" s="31" t="s">
        <v>60</v>
      </c>
      <c r="D4692" s="31" t="s">
        <v>66</v>
      </c>
      <c r="E4692" s="31" t="s">
        <v>52</v>
      </c>
      <c r="F4692" s="31" t="s">
        <v>133</v>
      </c>
      <c r="G4692" s="31" t="n">
        <v>3</v>
      </c>
      <c r="H4692" s="41" t="n">
        <v>13.2</v>
      </c>
      <c r="I4692" s="31" t="s">
        <v>149</v>
      </c>
      <c r="J4692" s="31"/>
      <c r="K4692" s="31" t="s">
        <v>150</v>
      </c>
      <c r="L4692" s="45" t="n">
        <f aca="false">DATE(YEAR(B4692),MONTH(B4692),1)</f>
        <v>46266</v>
      </c>
      <c r="M4692" s="31" t="n">
        <f aca="false">WEEKDAY(B4692,2)</f>
        <v>4</v>
      </c>
      <c r="N4692" s="31" t="str">
        <f aca="false">IF(G4692&lt;=INDEX(Assumptions!$B$15:$B$18,MATCH(E4692,Assumptions!$A$15:$A$18,0)),"Yes","No")</f>
        <v>Yes</v>
      </c>
      <c r="O4692" s="31" t="str">
        <f aca="false">IF(H4692="","Open",IF(H4692&lt;=INDEX(Assumptions!$C$15:$C$18,MATCH(E4692,Assumptions!$A$15:$A$18,0)),"Yes","No"))</f>
        <v>Yes</v>
      </c>
    </row>
    <row r="4693" customFormat="false" ht="15" hidden="false" customHeight="false" outlineLevel="0" collapsed="false">
      <c r="A4693" s="31" t="s">
        <v>4843</v>
      </c>
      <c r="B4693" s="44" t="n">
        <v>46268</v>
      </c>
      <c r="C4693" s="31" t="s">
        <v>60</v>
      </c>
      <c r="D4693" s="31" t="s">
        <v>68</v>
      </c>
      <c r="E4693" s="31" t="s">
        <v>51</v>
      </c>
      <c r="F4693" s="31" t="s">
        <v>134</v>
      </c>
      <c r="G4693" s="31" t="n">
        <v>4</v>
      </c>
      <c r="H4693" s="41" t="n">
        <v>10.1</v>
      </c>
      <c r="I4693" s="31" t="s">
        <v>149</v>
      </c>
      <c r="J4693" s="31" t="n">
        <v>5</v>
      </c>
      <c r="K4693" s="31" t="s">
        <v>150</v>
      </c>
      <c r="L4693" s="45" t="n">
        <f aca="false">DATE(YEAR(B4693),MONTH(B4693),1)</f>
        <v>46266</v>
      </c>
      <c r="M4693" s="31" t="n">
        <f aca="false">WEEKDAY(B4693,2)</f>
        <v>4</v>
      </c>
      <c r="N4693" s="31" t="str">
        <f aca="false">IF(G4693&lt;=INDEX(Assumptions!$B$15:$B$18,MATCH(E4693,Assumptions!$A$15:$A$18,0)),"Yes","No")</f>
        <v>Yes</v>
      </c>
      <c r="O4693" s="31" t="str">
        <f aca="false">IF(H4693="","Open",IF(H4693&lt;=INDEX(Assumptions!$C$15:$C$18,MATCH(E4693,Assumptions!$A$15:$A$18,0)),"Yes","No"))</f>
        <v>Yes</v>
      </c>
    </row>
    <row r="4694" customFormat="false" ht="15" hidden="false" customHeight="false" outlineLevel="0" collapsed="false">
      <c r="A4694" s="31" t="s">
        <v>4844</v>
      </c>
      <c r="B4694" s="44" t="n">
        <v>46268</v>
      </c>
      <c r="C4694" s="31" t="s">
        <v>58</v>
      </c>
      <c r="D4694" s="31" t="s">
        <v>65</v>
      </c>
      <c r="E4694" s="31" t="s">
        <v>51</v>
      </c>
      <c r="F4694" s="31" t="s">
        <v>129</v>
      </c>
      <c r="G4694" s="31" t="n">
        <v>12</v>
      </c>
      <c r="H4694" s="41" t="n">
        <v>6.5</v>
      </c>
      <c r="I4694" s="31" t="s">
        <v>149</v>
      </c>
      <c r="J4694" s="31"/>
      <c r="K4694" s="31" t="s">
        <v>150</v>
      </c>
      <c r="L4694" s="45" t="n">
        <f aca="false">DATE(YEAR(B4694),MONTH(B4694),1)</f>
        <v>46266</v>
      </c>
      <c r="M4694" s="31" t="n">
        <f aca="false">WEEKDAY(B4694,2)</f>
        <v>4</v>
      </c>
      <c r="N4694" s="31" t="str">
        <f aca="false">IF(G4694&lt;=INDEX(Assumptions!$B$15:$B$18,MATCH(E4694,Assumptions!$A$15:$A$18,0)),"Yes","No")</f>
        <v>Yes</v>
      </c>
      <c r="O4694" s="31" t="str">
        <f aca="false">IF(H4694="","Open",IF(H4694&lt;=INDEX(Assumptions!$C$15:$C$18,MATCH(E4694,Assumptions!$A$15:$A$18,0)),"Yes","No"))</f>
        <v>Yes</v>
      </c>
    </row>
    <row r="4695" customFormat="false" ht="15" hidden="false" customHeight="false" outlineLevel="0" collapsed="false">
      <c r="A4695" s="31" t="s">
        <v>4845</v>
      </c>
      <c r="B4695" s="44" t="n">
        <v>46268</v>
      </c>
      <c r="C4695" s="31" t="s">
        <v>58</v>
      </c>
      <c r="D4695" s="31" t="s">
        <v>66</v>
      </c>
      <c r="E4695" s="31" t="s">
        <v>49</v>
      </c>
      <c r="F4695" s="31" t="s">
        <v>135</v>
      </c>
      <c r="G4695" s="31" t="n">
        <v>13</v>
      </c>
      <c r="H4695" s="41" t="n">
        <v>6.5</v>
      </c>
      <c r="I4695" s="31" t="s">
        <v>64</v>
      </c>
      <c r="J4695" s="31" t="n">
        <v>2</v>
      </c>
      <c r="K4695" s="31" t="s">
        <v>150</v>
      </c>
      <c r="L4695" s="45" t="n">
        <f aca="false">DATE(YEAR(B4695),MONTH(B4695),1)</f>
        <v>46266</v>
      </c>
      <c r="M4695" s="31" t="n">
        <f aca="false">WEEKDAY(B4695,2)</f>
        <v>4</v>
      </c>
      <c r="N4695" s="31" t="str">
        <f aca="false">IF(G4695&lt;=INDEX(Assumptions!$B$15:$B$18,MATCH(E4695,Assumptions!$A$15:$A$18,0)),"Yes","No")</f>
        <v>Yes</v>
      </c>
      <c r="O4695" s="31" t="str">
        <f aca="false">IF(H4695="","Open",IF(H4695&lt;=INDEX(Assumptions!$C$15:$C$18,MATCH(E4695,Assumptions!$A$15:$A$18,0)),"Yes","No"))</f>
        <v>No</v>
      </c>
    </row>
    <row r="4696" customFormat="false" ht="15" hidden="false" customHeight="false" outlineLevel="0" collapsed="false">
      <c r="A4696" s="31" t="s">
        <v>4846</v>
      </c>
      <c r="B4696" s="44" t="n">
        <v>46268</v>
      </c>
      <c r="C4696" s="31" t="s">
        <v>58</v>
      </c>
      <c r="D4696" s="31" t="s">
        <v>65</v>
      </c>
      <c r="E4696" s="31" t="s">
        <v>51</v>
      </c>
      <c r="F4696" s="31" t="s">
        <v>119</v>
      </c>
      <c r="G4696" s="31" t="n">
        <v>9</v>
      </c>
      <c r="H4696" s="41" t="n">
        <v>12.3</v>
      </c>
      <c r="I4696" s="31" t="s">
        <v>149</v>
      </c>
      <c r="J4696" s="31"/>
      <c r="K4696" s="31" t="s">
        <v>150</v>
      </c>
      <c r="L4696" s="45" t="n">
        <f aca="false">DATE(YEAR(B4696),MONTH(B4696),1)</f>
        <v>46266</v>
      </c>
      <c r="M4696" s="31" t="n">
        <f aca="false">WEEKDAY(B4696,2)</f>
        <v>4</v>
      </c>
      <c r="N4696" s="31" t="str">
        <f aca="false">IF(G4696&lt;=INDEX(Assumptions!$B$15:$B$18,MATCH(E4696,Assumptions!$A$15:$A$18,0)),"Yes","No")</f>
        <v>Yes</v>
      </c>
      <c r="O4696" s="31" t="str">
        <f aca="false">IF(H4696="","Open",IF(H4696&lt;=INDEX(Assumptions!$C$15:$C$18,MATCH(E4696,Assumptions!$A$15:$A$18,0)),"Yes","No"))</f>
        <v>Yes</v>
      </c>
    </row>
    <row r="4697" customFormat="false" ht="15" hidden="false" customHeight="false" outlineLevel="0" collapsed="false">
      <c r="A4697" s="31" t="s">
        <v>4847</v>
      </c>
      <c r="B4697" s="44" t="n">
        <v>46268</v>
      </c>
      <c r="C4697" s="31" t="s">
        <v>58</v>
      </c>
      <c r="D4697" s="31" t="s">
        <v>65</v>
      </c>
      <c r="E4697" s="31" t="s">
        <v>52</v>
      </c>
      <c r="F4697" s="31" t="s">
        <v>131</v>
      </c>
      <c r="G4697" s="31" t="n">
        <v>6</v>
      </c>
      <c r="H4697" s="41" t="n">
        <v>9.2</v>
      </c>
      <c r="I4697" s="31" t="s">
        <v>149</v>
      </c>
      <c r="J4697" s="31"/>
      <c r="K4697" s="31" t="s">
        <v>150</v>
      </c>
      <c r="L4697" s="45" t="n">
        <f aca="false">DATE(YEAR(B4697),MONTH(B4697),1)</f>
        <v>46266</v>
      </c>
      <c r="M4697" s="31" t="n">
        <f aca="false">WEEKDAY(B4697,2)</f>
        <v>4</v>
      </c>
      <c r="N4697" s="31" t="str">
        <f aca="false">IF(G4697&lt;=INDEX(Assumptions!$B$15:$B$18,MATCH(E4697,Assumptions!$A$15:$A$18,0)),"Yes","No")</f>
        <v>Yes</v>
      </c>
      <c r="O4697" s="31" t="str">
        <f aca="false">IF(H4697="","Open",IF(H4697&lt;=INDEX(Assumptions!$C$15:$C$18,MATCH(E4697,Assumptions!$A$15:$A$18,0)),"Yes","No"))</f>
        <v>Yes</v>
      </c>
    </row>
    <row r="4698" customFormat="false" ht="15" hidden="false" customHeight="false" outlineLevel="0" collapsed="false">
      <c r="A4698" s="31" t="s">
        <v>4848</v>
      </c>
      <c r="B4698" s="44" t="n">
        <v>46268</v>
      </c>
      <c r="C4698" s="31" t="s">
        <v>57</v>
      </c>
      <c r="D4698" s="31" t="s">
        <v>69</v>
      </c>
      <c r="E4698" s="31" t="s">
        <v>51</v>
      </c>
      <c r="F4698" s="31" t="s">
        <v>119</v>
      </c>
      <c r="G4698" s="31" t="n">
        <v>7</v>
      </c>
      <c r="H4698" s="41" t="n">
        <v>2</v>
      </c>
      <c r="I4698" s="31" t="s">
        <v>149</v>
      </c>
      <c r="J4698" s="31"/>
      <c r="K4698" s="31" t="s">
        <v>150</v>
      </c>
      <c r="L4698" s="45" t="n">
        <f aca="false">DATE(YEAR(B4698),MONTH(B4698),1)</f>
        <v>46266</v>
      </c>
      <c r="M4698" s="31" t="n">
        <f aca="false">WEEKDAY(B4698,2)</f>
        <v>4</v>
      </c>
      <c r="N4698" s="31" t="str">
        <f aca="false">IF(G4698&lt;=INDEX(Assumptions!$B$15:$B$18,MATCH(E4698,Assumptions!$A$15:$A$18,0)),"Yes","No")</f>
        <v>Yes</v>
      </c>
      <c r="O4698" s="31" t="str">
        <f aca="false">IF(H4698="","Open",IF(H4698&lt;=INDEX(Assumptions!$C$15:$C$18,MATCH(E4698,Assumptions!$A$15:$A$18,0)),"Yes","No"))</f>
        <v>Yes</v>
      </c>
    </row>
    <row r="4699" customFormat="false" ht="15" hidden="false" customHeight="false" outlineLevel="0" collapsed="false">
      <c r="A4699" s="31" t="s">
        <v>4849</v>
      </c>
      <c r="B4699" s="44" t="n">
        <v>46268</v>
      </c>
      <c r="C4699" s="31" t="s">
        <v>58</v>
      </c>
      <c r="D4699" s="31" t="s">
        <v>65</v>
      </c>
      <c r="E4699" s="31" t="s">
        <v>50</v>
      </c>
      <c r="F4699" s="31" t="s">
        <v>123</v>
      </c>
      <c r="G4699" s="31" t="n">
        <v>17</v>
      </c>
      <c r="H4699" s="41" t="n">
        <v>5.5</v>
      </c>
      <c r="I4699" s="31" t="s">
        <v>149</v>
      </c>
      <c r="J4699" s="31" t="n">
        <v>5</v>
      </c>
      <c r="K4699" s="31" t="s">
        <v>150</v>
      </c>
      <c r="L4699" s="45" t="n">
        <f aca="false">DATE(YEAR(B4699),MONTH(B4699),1)</f>
        <v>46266</v>
      </c>
      <c r="M4699" s="31" t="n">
        <f aca="false">WEEKDAY(B4699,2)</f>
        <v>4</v>
      </c>
      <c r="N4699" s="31" t="str">
        <f aca="false">IF(G4699&lt;=INDEX(Assumptions!$B$15:$B$18,MATCH(E4699,Assumptions!$A$15:$A$18,0)),"Yes","No")</f>
        <v>Yes</v>
      </c>
      <c r="O4699" s="31" t="str">
        <f aca="false">IF(H4699="","Open",IF(H4699&lt;=INDEX(Assumptions!$C$15:$C$18,MATCH(E4699,Assumptions!$A$15:$A$18,0)),"Yes","No"))</f>
        <v>Yes</v>
      </c>
    </row>
    <row r="4700" customFormat="false" ht="15" hidden="false" customHeight="false" outlineLevel="0" collapsed="false">
      <c r="A4700" s="31" t="s">
        <v>4850</v>
      </c>
      <c r="B4700" s="44" t="n">
        <v>46268</v>
      </c>
      <c r="C4700" s="31" t="s">
        <v>59</v>
      </c>
      <c r="D4700" s="31" t="s">
        <v>66</v>
      </c>
      <c r="E4700" s="31" t="s">
        <v>51</v>
      </c>
      <c r="F4700" s="31" t="s">
        <v>122</v>
      </c>
      <c r="G4700" s="31" t="n">
        <v>239</v>
      </c>
      <c r="H4700" s="41" t="n">
        <v>3.4</v>
      </c>
      <c r="I4700" s="31" t="s">
        <v>149</v>
      </c>
      <c r="J4700" s="31"/>
      <c r="K4700" s="31" t="s">
        <v>150</v>
      </c>
      <c r="L4700" s="45" t="n">
        <f aca="false">DATE(YEAR(B4700),MONTH(B4700),1)</f>
        <v>46266</v>
      </c>
      <c r="M4700" s="31" t="n">
        <f aca="false">WEEKDAY(B4700,2)</f>
        <v>4</v>
      </c>
      <c r="N4700" s="31" t="str">
        <f aca="false">IF(G4700&lt;=INDEX(Assumptions!$B$15:$B$18,MATCH(E4700,Assumptions!$A$15:$A$18,0)),"Yes","No")</f>
        <v>No</v>
      </c>
      <c r="O4700" s="31" t="str">
        <f aca="false">IF(H4700="","Open",IF(H4700&lt;=INDEX(Assumptions!$C$15:$C$18,MATCH(E4700,Assumptions!$A$15:$A$18,0)),"Yes","No"))</f>
        <v>Yes</v>
      </c>
    </row>
    <row r="4701" customFormat="false" ht="15" hidden="false" customHeight="false" outlineLevel="0" collapsed="false">
      <c r="A4701" s="31" t="s">
        <v>4851</v>
      </c>
      <c r="B4701" s="44" t="n">
        <v>46268</v>
      </c>
      <c r="C4701" s="31" t="s">
        <v>57</v>
      </c>
      <c r="D4701" s="31" t="s">
        <v>68</v>
      </c>
      <c r="E4701" s="31" t="s">
        <v>51</v>
      </c>
      <c r="F4701" s="31" t="s">
        <v>117</v>
      </c>
      <c r="G4701" s="31" t="n">
        <v>5</v>
      </c>
      <c r="H4701" s="41" t="n">
        <v>7.4</v>
      </c>
      <c r="I4701" s="31" t="s">
        <v>149</v>
      </c>
      <c r="J4701" s="31" t="n">
        <v>5</v>
      </c>
      <c r="K4701" s="31" t="s">
        <v>150</v>
      </c>
      <c r="L4701" s="45" t="n">
        <f aca="false">DATE(YEAR(B4701),MONTH(B4701),1)</f>
        <v>46266</v>
      </c>
      <c r="M4701" s="31" t="n">
        <f aca="false">WEEKDAY(B4701,2)</f>
        <v>4</v>
      </c>
      <c r="N4701" s="31" t="str">
        <f aca="false">IF(G4701&lt;=INDEX(Assumptions!$B$15:$B$18,MATCH(E4701,Assumptions!$A$15:$A$18,0)),"Yes","No")</f>
        <v>Yes</v>
      </c>
      <c r="O4701" s="31" t="str">
        <f aca="false">IF(H4701="","Open",IF(H4701&lt;=INDEX(Assumptions!$C$15:$C$18,MATCH(E4701,Assumptions!$A$15:$A$18,0)),"Yes","No"))</f>
        <v>Yes</v>
      </c>
    </row>
    <row r="4702" customFormat="false" ht="15" hidden="false" customHeight="false" outlineLevel="0" collapsed="false">
      <c r="A4702" s="31" t="s">
        <v>4852</v>
      </c>
      <c r="B4702" s="44" t="n">
        <v>46268</v>
      </c>
      <c r="C4702" s="31" t="s">
        <v>59</v>
      </c>
      <c r="D4702" s="31" t="s">
        <v>65</v>
      </c>
      <c r="E4702" s="31" t="s">
        <v>52</v>
      </c>
      <c r="F4702" s="31" t="s">
        <v>137</v>
      </c>
      <c r="G4702" s="31" t="n">
        <v>134</v>
      </c>
      <c r="H4702" s="41" t="n">
        <v>19.9</v>
      </c>
      <c r="I4702" s="31" t="s">
        <v>149</v>
      </c>
      <c r="J4702" s="31"/>
      <c r="K4702" s="31" t="s">
        <v>150</v>
      </c>
      <c r="L4702" s="45" t="n">
        <f aca="false">DATE(YEAR(B4702),MONTH(B4702),1)</f>
        <v>46266</v>
      </c>
      <c r="M4702" s="31" t="n">
        <f aca="false">WEEKDAY(B4702,2)</f>
        <v>4</v>
      </c>
      <c r="N4702" s="31" t="str">
        <f aca="false">IF(G4702&lt;=INDEX(Assumptions!$B$15:$B$18,MATCH(E4702,Assumptions!$A$15:$A$18,0)),"Yes","No")</f>
        <v>Yes</v>
      </c>
      <c r="O4702" s="31" t="str">
        <f aca="false">IF(H4702="","Open",IF(H4702&lt;=INDEX(Assumptions!$C$15:$C$18,MATCH(E4702,Assumptions!$A$15:$A$18,0)),"Yes","No"))</f>
        <v>Yes</v>
      </c>
    </row>
    <row r="4703" customFormat="false" ht="15" hidden="false" customHeight="false" outlineLevel="0" collapsed="false">
      <c r="A4703" s="31" t="s">
        <v>4853</v>
      </c>
      <c r="B4703" s="44" t="n">
        <v>46268</v>
      </c>
      <c r="C4703" s="31" t="s">
        <v>59</v>
      </c>
      <c r="D4703" s="31" t="s">
        <v>69</v>
      </c>
      <c r="E4703" s="31" t="s">
        <v>52</v>
      </c>
      <c r="F4703" s="31" t="s">
        <v>135</v>
      </c>
      <c r="G4703" s="31" t="n">
        <v>176</v>
      </c>
      <c r="H4703" s="41" t="n">
        <v>151.3</v>
      </c>
      <c r="I4703" s="31" t="s">
        <v>149</v>
      </c>
      <c r="J4703" s="31" t="n">
        <v>4</v>
      </c>
      <c r="K4703" s="31" t="s">
        <v>150</v>
      </c>
      <c r="L4703" s="45" t="n">
        <f aca="false">DATE(YEAR(B4703),MONTH(B4703),1)</f>
        <v>46266</v>
      </c>
      <c r="M4703" s="31" t="n">
        <f aca="false">WEEKDAY(B4703,2)</f>
        <v>4</v>
      </c>
      <c r="N4703" s="31" t="str">
        <f aca="false">IF(G4703&lt;=INDEX(Assumptions!$B$15:$B$18,MATCH(E4703,Assumptions!$A$15:$A$18,0)),"Yes","No")</f>
        <v>Yes</v>
      </c>
      <c r="O4703" s="31" t="str">
        <f aca="false">IF(H4703="","Open",IF(H4703&lt;=INDEX(Assumptions!$C$15:$C$18,MATCH(E4703,Assumptions!$A$15:$A$18,0)),"Yes","No"))</f>
        <v>No</v>
      </c>
    </row>
    <row r="4704" customFormat="false" ht="15" hidden="false" customHeight="false" outlineLevel="0" collapsed="false">
      <c r="A4704" s="31" t="s">
        <v>4854</v>
      </c>
      <c r="B4704" s="44" t="n">
        <v>46268</v>
      </c>
      <c r="C4704" s="31" t="s">
        <v>58</v>
      </c>
      <c r="D4704" s="31" t="s">
        <v>65</v>
      </c>
      <c r="E4704" s="31" t="s">
        <v>50</v>
      </c>
      <c r="F4704" s="31" t="s">
        <v>122</v>
      </c>
      <c r="G4704" s="31" t="n">
        <v>8</v>
      </c>
      <c r="H4704" s="41"/>
      <c r="I4704" s="31" t="s">
        <v>158</v>
      </c>
      <c r="J4704" s="31"/>
      <c r="K4704" s="31" t="s">
        <v>150</v>
      </c>
      <c r="L4704" s="45" t="n">
        <f aca="false">DATE(YEAR(B4704),MONTH(B4704),1)</f>
        <v>46266</v>
      </c>
      <c r="M4704" s="31" t="n">
        <f aca="false">WEEKDAY(B4704,2)</f>
        <v>4</v>
      </c>
      <c r="N4704" s="31" t="str">
        <f aca="false">IF(G4704&lt;=INDEX(Assumptions!$B$15:$B$18,MATCH(E4704,Assumptions!$A$15:$A$18,0)),"Yes","No")</f>
        <v>Yes</v>
      </c>
      <c r="O4704" s="31" t="str">
        <f aca="false">IF(H4704="","Open",IF(H4704&lt;=INDEX(Assumptions!$C$15:$C$18,MATCH(E4704,Assumptions!$A$15:$A$18,0)),"Yes","No"))</f>
        <v>Open</v>
      </c>
    </row>
    <row r="4705" customFormat="false" ht="15" hidden="false" customHeight="false" outlineLevel="0" collapsed="false">
      <c r="A4705" s="31" t="s">
        <v>4855</v>
      </c>
      <c r="B4705" s="44" t="n">
        <v>46268</v>
      </c>
      <c r="C4705" s="31" t="s">
        <v>60</v>
      </c>
      <c r="D4705" s="31" t="s">
        <v>67</v>
      </c>
      <c r="E4705" s="31" t="s">
        <v>51</v>
      </c>
      <c r="F4705" s="31" t="s">
        <v>123</v>
      </c>
      <c r="G4705" s="31" t="n">
        <v>3</v>
      </c>
      <c r="H4705" s="41" t="n">
        <v>18.6</v>
      </c>
      <c r="I4705" s="31" t="s">
        <v>149</v>
      </c>
      <c r="J4705" s="31"/>
      <c r="K4705" s="31" t="s">
        <v>150</v>
      </c>
      <c r="L4705" s="45" t="n">
        <f aca="false">DATE(YEAR(B4705),MONTH(B4705),1)</f>
        <v>46266</v>
      </c>
      <c r="M4705" s="31" t="n">
        <f aca="false">WEEKDAY(B4705,2)</f>
        <v>4</v>
      </c>
      <c r="N4705" s="31" t="str">
        <f aca="false">IF(G4705&lt;=INDEX(Assumptions!$B$15:$B$18,MATCH(E4705,Assumptions!$A$15:$A$18,0)),"Yes","No")</f>
        <v>Yes</v>
      </c>
      <c r="O4705" s="31" t="str">
        <f aca="false">IF(H4705="","Open",IF(H4705&lt;=INDEX(Assumptions!$C$15:$C$18,MATCH(E4705,Assumptions!$A$15:$A$18,0)),"Yes","No"))</f>
        <v>Yes</v>
      </c>
    </row>
    <row r="4706" customFormat="false" ht="15" hidden="false" customHeight="false" outlineLevel="0" collapsed="false">
      <c r="A4706" s="31" t="s">
        <v>4856</v>
      </c>
      <c r="B4706" s="44" t="n">
        <v>46268</v>
      </c>
      <c r="C4706" s="31" t="s">
        <v>58</v>
      </c>
      <c r="D4706" s="31" t="s">
        <v>67</v>
      </c>
      <c r="E4706" s="31" t="s">
        <v>50</v>
      </c>
      <c r="F4706" s="31" t="s">
        <v>123</v>
      </c>
      <c r="G4706" s="31" t="n">
        <v>4</v>
      </c>
      <c r="H4706" s="41" t="n">
        <v>3.1</v>
      </c>
      <c r="I4706" s="31" t="s">
        <v>149</v>
      </c>
      <c r="J4706" s="31" t="n">
        <v>4</v>
      </c>
      <c r="K4706" s="31" t="s">
        <v>150</v>
      </c>
      <c r="L4706" s="45" t="n">
        <f aca="false">DATE(YEAR(B4706),MONTH(B4706),1)</f>
        <v>46266</v>
      </c>
      <c r="M4706" s="31" t="n">
        <f aca="false">WEEKDAY(B4706,2)</f>
        <v>4</v>
      </c>
      <c r="N4706" s="31" t="str">
        <f aca="false">IF(G4706&lt;=INDEX(Assumptions!$B$15:$B$18,MATCH(E4706,Assumptions!$A$15:$A$18,0)),"Yes","No")</f>
        <v>Yes</v>
      </c>
      <c r="O4706" s="31" t="str">
        <f aca="false">IF(H4706="","Open",IF(H4706&lt;=INDEX(Assumptions!$C$15:$C$18,MATCH(E4706,Assumptions!$A$15:$A$18,0)),"Yes","No"))</f>
        <v>Yes</v>
      </c>
    </row>
    <row r="4707" customFormat="false" ht="15" hidden="false" customHeight="false" outlineLevel="0" collapsed="false">
      <c r="A4707" s="31" t="s">
        <v>4857</v>
      </c>
      <c r="B4707" s="44" t="n">
        <v>46268</v>
      </c>
      <c r="C4707" s="31" t="s">
        <v>58</v>
      </c>
      <c r="D4707" s="31" t="s">
        <v>69</v>
      </c>
      <c r="E4707" s="31" t="s">
        <v>51</v>
      </c>
      <c r="F4707" s="31" t="s">
        <v>130</v>
      </c>
      <c r="G4707" s="31" t="n">
        <v>13</v>
      </c>
      <c r="H4707" s="41" t="n">
        <v>25.2</v>
      </c>
      <c r="I4707" s="31" t="s">
        <v>149</v>
      </c>
      <c r="J4707" s="31"/>
      <c r="K4707" s="31" t="s">
        <v>150</v>
      </c>
      <c r="L4707" s="45" t="n">
        <f aca="false">DATE(YEAR(B4707),MONTH(B4707),1)</f>
        <v>46266</v>
      </c>
      <c r="M4707" s="31" t="n">
        <f aca="false">WEEKDAY(B4707,2)</f>
        <v>4</v>
      </c>
      <c r="N4707" s="31" t="str">
        <f aca="false">IF(G4707&lt;=INDEX(Assumptions!$B$15:$B$18,MATCH(E4707,Assumptions!$A$15:$A$18,0)),"Yes","No")</f>
        <v>Yes</v>
      </c>
      <c r="O4707" s="31" t="str">
        <f aca="false">IF(H4707="","Open",IF(H4707&lt;=INDEX(Assumptions!$C$15:$C$18,MATCH(E4707,Assumptions!$A$15:$A$18,0)),"Yes","No"))</f>
        <v>No</v>
      </c>
    </row>
    <row r="4708" customFormat="false" ht="15" hidden="false" customHeight="false" outlineLevel="0" collapsed="false">
      <c r="A4708" s="31" t="s">
        <v>4858</v>
      </c>
      <c r="B4708" s="44" t="n">
        <v>46268</v>
      </c>
      <c r="C4708" s="31" t="s">
        <v>60</v>
      </c>
      <c r="D4708" s="31" t="s">
        <v>66</v>
      </c>
      <c r="E4708" s="31" t="s">
        <v>52</v>
      </c>
      <c r="F4708" s="31" t="s">
        <v>126</v>
      </c>
      <c r="G4708" s="31" t="n">
        <v>4</v>
      </c>
      <c r="H4708" s="41" t="n">
        <v>17.3</v>
      </c>
      <c r="I4708" s="31" t="s">
        <v>149</v>
      </c>
      <c r="J4708" s="31"/>
      <c r="K4708" s="31" t="s">
        <v>150</v>
      </c>
      <c r="L4708" s="45" t="n">
        <f aca="false">DATE(YEAR(B4708),MONTH(B4708),1)</f>
        <v>46266</v>
      </c>
      <c r="M4708" s="31" t="n">
        <f aca="false">WEEKDAY(B4708,2)</f>
        <v>4</v>
      </c>
      <c r="N4708" s="31" t="str">
        <f aca="false">IF(G4708&lt;=INDEX(Assumptions!$B$15:$B$18,MATCH(E4708,Assumptions!$A$15:$A$18,0)),"Yes","No")</f>
        <v>Yes</v>
      </c>
      <c r="O4708" s="31" t="str">
        <f aca="false">IF(H4708="","Open",IF(H4708&lt;=INDEX(Assumptions!$C$15:$C$18,MATCH(E4708,Assumptions!$A$15:$A$18,0)),"Yes","No"))</f>
        <v>Yes</v>
      </c>
    </row>
    <row r="4709" customFormat="false" ht="15" hidden="false" customHeight="false" outlineLevel="0" collapsed="false">
      <c r="A4709" s="31" t="s">
        <v>4859</v>
      </c>
      <c r="B4709" s="44" t="n">
        <v>46268</v>
      </c>
      <c r="C4709" s="31" t="s">
        <v>60</v>
      </c>
      <c r="D4709" s="31" t="s">
        <v>68</v>
      </c>
      <c r="E4709" s="31" t="s">
        <v>51</v>
      </c>
      <c r="F4709" s="31" t="s">
        <v>129</v>
      </c>
      <c r="G4709" s="31" t="n">
        <v>5</v>
      </c>
      <c r="H4709" s="41" t="n">
        <v>1</v>
      </c>
      <c r="I4709" s="31" t="s">
        <v>149</v>
      </c>
      <c r="J4709" s="31" t="n">
        <v>5</v>
      </c>
      <c r="K4709" s="31" t="s">
        <v>150</v>
      </c>
      <c r="L4709" s="45" t="n">
        <f aca="false">DATE(YEAR(B4709),MONTH(B4709),1)</f>
        <v>46266</v>
      </c>
      <c r="M4709" s="31" t="n">
        <f aca="false">WEEKDAY(B4709,2)</f>
        <v>4</v>
      </c>
      <c r="N4709" s="31" t="str">
        <f aca="false">IF(G4709&lt;=INDEX(Assumptions!$B$15:$B$18,MATCH(E4709,Assumptions!$A$15:$A$18,0)),"Yes","No")</f>
        <v>Yes</v>
      </c>
      <c r="O4709" s="31" t="str">
        <f aca="false">IF(H4709="","Open",IF(H4709&lt;=INDEX(Assumptions!$C$15:$C$18,MATCH(E4709,Assumptions!$A$15:$A$18,0)),"Yes","No"))</f>
        <v>Yes</v>
      </c>
    </row>
    <row r="4710" customFormat="false" ht="15" hidden="false" customHeight="false" outlineLevel="0" collapsed="false">
      <c r="A4710" s="31" t="s">
        <v>4860</v>
      </c>
      <c r="B4710" s="44" t="n">
        <v>46268</v>
      </c>
      <c r="C4710" s="31" t="s">
        <v>58</v>
      </c>
      <c r="D4710" s="31" t="s">
        <v>68</v>
      </c>
      <c r="E4710" s="31" t="s">
        <v>51</v>
      </c>
      <c r="F4710" s="31" t="s">
        <v>126</v>
      </c>
      <c r="G4710" s="31" t="n">
        <v>2</v>
      </c>
      <c r="H4710" s="41" t="n">
        <v>3.5</v>
      </c>
      <c r="I4710" s="31" t="s">
        <v>149</v>
      </c>
      <c r="J4710" s="31" t="n">
        <v>5</v>
      </c>
      <c r="K4710" s="31" t="s">
        <v>153</v>
      </c>
      <c r="L4710" s="45" t="n">
        <f aca="false">DATE(YEAR(B4710),MONTH(B4710),1)</f>
        <v>46266</v>
      </c>
      <c r="M4710" s="31" t="n">
        <f aca="false">WEEKDAY(B4710,2)</f>
        <v>4</v>
      </c>
      <c r="N4710" s="31" t="str">
        <f aca="false">IF(G4710&lt;=INDEX(Assumptions!$B$15:$B$18,MATCH(E4710,Assumptions!$A$15:$A$18,0)),"Yes","No")</f>
        <v>Yes</v>
      </c>
      <c r="O4710" s="31" t="str">
        <f aca="false">IF(H4710="","Open",IF(H4710&lt;=INDEX(Assumptions!$C$15:$C$18,MATCH(E4710,Assumptions!$A$15:$A$18,0)),"Yes","No"))</f>
        <v>Yes</v>
      </c>
    </row>
    <row r="4711" customFormat="false" ht="15" hidden="false" customHeight="false" outlineLevel="0" collapsed="false">
      <c r="A4711" s="31" t="s">
        <v>4861</v>
      </c>
      <c r="B4711" s="44" t="n">
        <v>46268</v>
      </c>
      <c r="C4711" s="31" t="s">
        <v>58</v>
      </c>
      <c r="D4711" s="31" t="s">
        <v>66</v>
      </c>
      <c r="E4711" s="31" t="s">
        <v>51</v>
      </c>
      <c r="F4711" s="31" t="s">
        <v>124</v>
      </c>
      <c r="G4711" s="31" t="n">
        <v>7</v>
      </c>
      <c r="H4711" s="41" t="n">
        <v>0.9</v>
      </c>
      <c r="I4711" s="31" t="s">
        <v>149</v>
      </c>
      <c r="J4711" s="31"/>
      <c r="K4711" s="31" t="s">
        <v>150</v>
      </c>
      <c r="L4711" s="45" t="n">
        <f aca="false">DATE(YEAR(B4711),MONTH(B4711),1)</f>
        <v>46266</v>
      </c>
      <c r="M4711" s="31" t="n">
        <f aca="false">WEEKDAY(B4711,2)</f>
        <v>4</v>
      </c>
      <c r="N4711" s="31" t="str">
        <f aca="false">IF(G4711&lt;=INDEX(Assumptions!$B$15:$B$18,MATCH(E4711,Assumptions!$A$15:$A$18,0)),"Yes","No")</f>
        <v>Yes</v>
      </c>
      <c r="O4711" s="31" t="str">
        <f aca="false">IF(H4711="","Open",IF(H4711&lt;=INDEX(Assumptions!$C$15:$C$18,MATCH(E4711,Assumptions!$A$15:$A$18,0)),"Yes","No"))</f>
        <v>Yes</v>
      </c>
    </row>
    <row r="4712" customFormat="false" ht="15" hidden="false" customHeight="false" outlineLevel="0" collapsed="false">
      <c r="A4712" s="31" t="s">
        <v>4862</v>
      </c>
      <c r="B4712" s="44" t="n">
        <v>46268</v>
      </c>
      <c r="C4712" s="31" t="s">
        <v>59</v>
      </c>
      <c r="D4712" s="31" t="s">
        <v>65</v>
      </c>
      <c r="E4712" s="31" t="s">
        <v>51</v>
      </c>
      <c r="F4712" s="31" t="s">
        <v>137</v>
      </c>
      <c r="G4712" s="31" t="n">
        <v>133</v>
      </c>
      <c r="H4712" s="41" t="n">
        <v>63.9</v>
      </c>
      <c r="I4712" s="31" t="s">
        <v>149</v>
      </c>
      <c r="J4712" s="31" t="n">
        <v>2</v>
      </c>
      <c r="K4712" s="31" t="s">
        <v>150</v>
      </c>
      <c r="L4712" s="45" t="n">
        <f aca="false">DATE(YEAR(B4712),MONTH(B4712),1)</f>
        <v>46266</v>
      </c>
      <c r="M4712" s="31" t="n">
        <f aca="false">WEEKDAY(B4712,2)</f>
        <v>4</v>
      </c>
      <c r="N4712" s="31" t="str">
        <f aca="false">IF(G4712&lt;=INDEX(Assumptions!$B$15:$B$18,MATCH(E4712,Assumptions!$A$15:$A$18,0)),"Yes","No")</f>
        <v>No</v>
      </c>
      <c r="O4712" s="31" t="str">
        <f aca="false">IF(H4712="","Open",IF(H4712&lt;=INDEX(Assumptions!$C$15:$C$18,MATCH(E4712,Assumptions!$A$15:$A$18,0)),"Yes","No"))</f>
        <v>No</v>
      </c>
    </row>
    <row r="4713" customFormat="false" ht="15" hidden="false" customHeight="false" outlineLevel="0" collapsed="false">
      <c r="A4713" s="31" t="s">
        <v>4863</v>
      </c>
      <c r="B4713" s="44" t="n">
        <v>46268</v>
      </c>
      <c r="C4713" s="31" t="s">
        <v>58</v>
      </c>
      <c r="D4713" s="31" t="s">
        <v>69</v>
      </c>
      <c r="E4713" s="31" t="s">
        <v>50</v>
      </c>
      <c r="F4713" s="31" t="s">
        <v>134</v>
      </c>
      <c r="G4713" s="31" t="n">
        <v>13</v>
      </c>
      <c r="H4713" s="41" t="n">
        <v>16.1</v>
      </c>
      <c r="I4713" s="31" t="s">
        <v>149</v>
      </c>
      <c r="J4713" s="31"/>
      <c r="K4713" s="31" t="s">
        <v>150</v>
      </c>
      <c r="L4713" s="45" t="n">
        <f aca="false">DATE(YEAR(B4713),MONTH(B4713),1)</f>
        <v>46266</v>
      </c>
      <c r="M4713" s="31" t="n">
        <f aca="false">WEEKDAY(B4713,2)</f>
        <v>4</v>
      </c>
      <c r="N4713" s="31" t="str">
        <f aca="false">IF(G4713&lt;=INDEX(Assumptions!$B$15:$B$18,MATCH(E4713,Assumptions!$A$15:$A$18,0)),"Yes","No")</f>
        <v>Yes</v>
      </c>
      <c r="O4713" s="31" t="str">
        <f aca="false">IF(H4713="","Open",IF(H4713&lt;=INDEX(Assumptions!$C$15:$C$18,MATCH(E4713,Assumptions!$A$15:$A$18,0)),"Yes","No"))</f>
        <v>No</v>
      </c>
    </row>
    <row r="4714" customFormat="false" ht="15" hidden="false" customHeight="false" outlineLevel="0" collapsed="false">
      <c r="A4714" s="31" t="s">
        <v>4864</v>
      </c>
      <c r="B4714" s="44" t="n">
        <v>46268</v>
      </c>
      <c r="C4714" s="31" t="s">
        <v>60</v>
      </c>
      <c r="D4714" s="31" t="s">
        <v>67</v>
      </c>
      <c r="E4714" s="31" t="s">
        <v>50</v>
      </c>
      <c r="F4714" s="31" t="s">
        <v>124</v>
      </c>
      <c r="G4714" s="31" t="n">
        <v>1</v>
      </c>
      <c r="H4714" s="41" t="n">
        <v>5.8</v>
      </c>
      <c r="I4714" s="31" t="s">
        <v>149</v>
      </c>
      <c r="J4714" s="31" t="n">
        <v>4</v>
      </c>
      <c r="K4714" s="31" t="s">
        <v>150</v>
      </c>
      <c r="L4714" s="45" t="n">
        <f aca="false">DATE(YEAR(B4714),MONTH(B4714),1)</f>
        <v>46266</v>
      </c>
      <c r="M4714" s="31" t="n">
        <f aca="false">WEEKDAY(B4714,2)</f>
        <v>4</v>
      </c>
      <c r="N4714" s="31" t="str">
        <f aca="false">IF(G4714&lt;=INDEX(Assumptions!$B$15:$B$18,MATCH(E4714,Assumptions!$A$15:$A$18,0)),"Yes","No")</f>
        <v>Yes</v>
      </c>
      <c r="O4714" s="31" t="str">
        <f aca="false">IF(H4714="","Open",IF(H4714&lt;=INDEX(Assumptions!$C$15:$C$18,MATCH(E4714,Assumptions!$A$15:$A$18,0)),"Yes","No"))</f>
        <v>Yes</v>
      </c>
    </row>
    <row r="4715" customFormat="false" ht="15" hidden="false" customHeight="false" outlineLevel="0" collapsed="false">
      <c r="A4715" s="31" t="s">
        <v>4865</v>
      </c>
      <c r="B4715" s="44" t="n">
        <v>46268</v>
      </c>
      <c r="C4715" s="31" t="s">
        <v>58</v>
      </c>
      <c r="D4715" s="31" t="s">
        <v>66</v>
      </c>
      <c r="E4715" s="31" t="s">
        <v>51</v>
      </c>
      <c r="F4715" s="31" t="s">
        <v>128</v>
      </c>
      <c r="G4715" s="31" t="n">
        <v>11</v>
      </c>
      <c r="H4715" s="41" t="n">
        <v>7</v>
      </c>
      <c r="I4715" s="31" t="s">
        <v>149</v>
      </c>
      <c r="J4715" s="31"/>
      <c r="K4715" s="31" t="s">
        <v>150</v>
      </c>
      <c r="L4715" s="45" t="n">
        <f aca="false">DATE(YEAR(B4715),MONTH(B4715),1)</f>
        <v>46266</v>
      </c>
      <c r="M4715" s="31" t="n">
        <f aca="false">WEEKDAY(B4715,2)</f>
        <v>4</v>
      </c>
      <c r="N4715" s="31" t="str">
        <f aca="false">IF(G4715&lt;=INDEX(Assumptions!$B$15:$B$18,MATCH(E4715,Assumptions!$A$15:$A$18,0)),"Yes","No")</f>
        <v>Yes</v>
      </c>
      <c r="O4715" s="31" t="str">
        <f aca="false">IF(H4715="","Open",IF(H4715&lt;=INDEX(Assumptions!$C$15:$C$18,MATCH(E4715,Assumptions!$A$15:$A$18,0)),"Yes","No"))</f>
        <v>Yes</v>
      </c>
    </row>
    <row r="4716" customFormat="false" ht="15" hidden="false" customHeight="false" outlineLevel="0" collapsed="false">
      <c r="A4716" s="31" t="s">
        <v>4866</v>
      </c>
      <c r="B4716" s="44" t="n">
        <v>46268</v>
      </c>
      <c r="C4716" s="31" t="s">
        <v>57</v>
      </c>
      <c r="D4716" s="31" t="s">
        <v>66</v>
      </c>
      <c r="E4716" s="31" t="s">
        <v>51</v>
      </c>
      <c r="F4716" s="31" t="s">
        <v>126</v>
      </c>
      <c r="G4716" s="31" t="n">
        <v>5</v>
      </c>
      <c r="H4716" s="41" t="n">
        <v>3.4</v>
      </c>
      <c r="I4716" s="31" t="s">
        <v>149</v>
      </c>
      <c r="J4716" s="31"/>
      <c r="K4716" s="31" t="s">
        <v>150</v>
      </c>
      <c r="L4716" s="45" t="n">
        <f aca="false">DATE(YEAR(B4716),MONTH(B4716),1)</f>
        <v>46266</v>
      </c>
      <c r="M4716" s="31" t="n">
        <f aca="false">WEEKDAY(B4716,2)</f>
        <v>4</v>
      </c>
      <c r="N4716" s="31" t="str">
        <f aca="false">IF(G4716&lt;=INDEX(Assumptions!$B$15:$B$18,MATCH(E4716,Assumptions!$A$15:$A$18,0)),"Yes","No")</f>
        <v>Yes</v>
      </c>
      <c r="O4716" s="31" t="str">
        <f aca="false">IF(H4716="","Open",IF(H4716&lt;=INDEX(Assumptions!$C$15:$C$18,MATCH(E4716,Assumptions!$A$15:$A$18,0)),"Yes","No"))</f>
        <v>Yes</v>
      </c>
    </row>
    <row r="4717" customFormat="false" ht="15" hidden="false" customHeight="false" outlineLevel="0" collapsed="false">
      <c r="A4717" s="31" t="s">
        <v>4867</v>
      </c>
      <c r="B4717" s="44" t="n">
        <v>46268</v>
      </c>
      <c r="C4717" s="31" t="s">
        <v>59</v>
      </c>
      <c r="D4717" s="31" t="s">
        <v>65</v>
      </c>
      <c r="E4717" s="31" t="s">
        <v>51</v>
      </c>
      <c r="F4717" s="31" t="s">
        <v>120</v>
      </c>
      <c r="G4717" s="31" t="n">
        <v>254</v>
      </c>
      <c r="H4717" s="41" t="n">
        <v>44.3</v>
      </c>
      <c r="I4717" s="31" t="s">
        <v>149</v>
      </c>
      <c r="J4717" s="31"/>
      <c r="K4717" s="31" t="s">
        <v>150</v>
      </c>
      <c r="L4717" s="45" t="n">
        <f aca="false">DATE(YEAR(B4717),MONTH(B4717),1)</f>
        <v>46266</v>
      </c>
      <c r="M4717" s="31" t="n">
        <f aca="false">WEEKDAY(B4717,2)</f>
        <v>4</v>
      </c>
      <c r="N4717" s="31" t="str">
        <f aca="false">IF(G4717&lt;=INDEX(Assumptions!$B$15:$B$18,MATCH(E4717,Assumptions!$A$15:$A$18,0)),"Yes","No")</f>
        <v>No</v>
      </c>
      <c r="O4717" s="31" t="str">
        <f aca="false">IF(H4717="","Open",IF(H4717&lt;=INDEX(Assumptions!$C$15:$C$18,MATCH(E4717,Assumptions!$A$15:$A$18,0)),"Yes","No"))</f>
        <v>No</v>
      </c>
    </row>
    <row r="4718" customFormat="false" ht="15" hidden="false" customHeight="false" outlineLevel="0" collapsed="false">
      <c r="A4718" s="31" t="s">
        <v>4868</v>
      </c>
      <c r="B4718" s="44" t="n">
        <v>46268</v>
      </c>
      <c r="C4718" s="31" t="s">
        <v>58</v>
      </c>
      <c r="D4718" s="31" t="s">
        <v>66</v>
      </c>
      <c r="E4718" s="31" t="s">
        <v>50</v>
      </c>
      <c r="F4718" s="31" t="s">
        <v>128</v>
      </c>
      <c r="G4718" s="31" t="n">
        <v>16</v>
      </c>
      <c r="H4718" s="41" t="n">
        <v>11.2</v>
      </c>
      <c r="I4718" s="31" t="s">
        <v>149</v>
      </c>
      <c r="J4718" s="31" t="n">
        <v>4</v>
      </c>
      <c r="K4718" s="31" t="s">
        <v>153</v>
      </c>
      <c r="L4718" s="45" t="n">
        <f aca="false">DATE(YEAR(B4718),MONTH(B4718),1)</f>
        <v>46266</v>
      </c>
      <c r="M4718" s="31" t="n">
        <f aca="false">WEEKDAY(B4718,2)</f>
        <v>4</v>
      </c>
      <c r="N4718" s="31" t="str">
        <f aca="false">IF(G4718&lt;=INDEX(Assumptions!$B$15:$B$18,MATCH(E4718,Assumptions!$A$15:$A$18,0)),"Yes","No")</f>
        <v>Yes</v>
      </c>
      <c r="O4718" s="31" t="str">
        <f aca="false">IF(H4718="","Open",IF(H4718&lt;=INDEX(Assumptions!$C$15:$C$18,MATCH(E4718,Assumptions!$A$15:$A$18,0)),"Yes","No"))</f>
        <v>No</v>
      </c>
    </row>
    <row r="4719" customFormat="false" ht="15" hidden="false" customHeight="false" outlineLevel="0" collapsed="false">
      <c r="A4719" s="31" t="s">
        <v>4869</v>
      </c>
      <c r="B4719" s="44" t="n">
        <v>46268</v>
      </c>
      <c r="C4719" s="31" t="s">
        <v>59</v>
      </c>
      <c r="D4719" s="31" t="s">
        <v>66</v>
      </c>
      <c r="E4719" s="31" t="s">
        <v>51</v>
      </c>
      <c r="F4719" s="31" t="s">
        <v>136</v>
      </c>
      <c r="G4719" s="31" t="n">
        <v>22</v>
      </c>
      <c r="H4719" s="41" t="n">
        <v>2.1</v>
      </c>
      <c r="I4719" s="31" t="s">
        <v>149</v>
      </c>
      <c r="J4719" s="31" t="n">
        <v>4</v>
      </c>
      <c r="K4719" s="31" t="s">
        <v>150</v>
      </c>
      <c r="L4719" s="45" t="n">
        <f aca="false">DATE(YEAR(B4719),MONTH(B4719),1)</f>
        <v>46266</v>
      </c>
      <c r="M4719" s="31" t="n">
        <f aca="false">WEEKDAY(B4719,2)</f>
        <v>4</v>
      </c>
      <c r="N4719" s="31" t="str">
        <f aca="false">IF(G4719&lt;=INDEX(Assumptions!$B$15:$B$18,MATCH(E4719,Assumptions!$A$15:$A$18,0)),"Yes","No")</f>
        <v>Yes</v>
      </c>
      <c r="O4719" s="31" t="str">
        <f aca="false">IF(H4719="","Open",IF(H4719&lt;=INDEX(Assumptions!$C$15:$C$18,MATCH(E4719,Assumptions!$A$15:$A$18,0)),"Yes","No"))</f>
        <v>Yes</v>
      </c>
    </row>
    <row r="4720" customFormat="false" ht="15" hidden="false" customHeight="false" outlineLevel="0" collapsed="false">
      <c r="A4720" s="31" t="s">
        <v>4870</v>
      </c>
      <c r="B4720" s="44" t="n">
        <v>46268</v>
      </c>
      <c r="C4720" s="31" t="s">
        <v>57</v>
      </c>
      <c r="D4720" s="31" t="s">
        <v>69</v>
      </c>
      <c r="E4720" s="31" t="s">
        <v>51</v>
      </c>
      <c r="F4720" s="31" t="s">
        <v>126</v>
      </c>
      <c r="G4720" s="31" t="n">
        <v>3</v>
      </c>
      <c r="H4720" s="41" t="n">
        <v>4.7</v>
      </c>
      <c r="I4720" s="31" t="s">
        <v>149</v>
      </c>
      <c r="J4720" s="31" t="n">
        <v>5</v>
      </c>
      <c r="K4720" s="31" t="s">
        <v>150</v>
      </c>
      <c r="L4720" s="45" t="n">
        <f aca="false">DATE(YEAR(B4720),MONTH(B4720),1)</f>
        <v>46266</v>
      </c>
      <c r="M4720" s="31" t="n">
        <f aca="false">WEEKDAY(B4720,2)</f>
        <v>4</v>
      </c>
      <c r="N4720" s="31" t="str">
        <f aca="false">IF(G4720&lt;=INDEX(Assumptions!$B$15:$B$18,MATCH(E4720,Assumptions!$A$15:$A$18,0)),"Yes","No")</f>
        <v>Yes</v>
      </c>
      <c r="O4720" s="31" t="str">
        <f aca="false">IF(H4720="","Open",IF(H4720&lt;=INDEX(Assumptions!$C$15:$C$18,MATCH(E4720,Assumptions!$A$15:$A$18,0)),"Yes","No"))</f>
        <v>Yes</v>
      </c>
    </row>
    <row r="4721" customFormat="false" ht="15" hidden="false" customHeight="false" outlineLevel="0" collapsed="false">
      <c r="A4721" s="31" t="s">
        <v>4871</v>
      </c>
      <c r="B4721" s="44" t="n">
        <v>46268</v>
      </c>
      <c r="C4721" s="31" t="s">
        <v>58</v>
      </c>
      <c r="D4721" s="31" t="s">
        <v>69</v>
      </c>
      <c r="E4721" s="31" t="s">
        <v>52</v>
      </c>
      <c r="F4721" s="31" t="s">
        <v>119</v>
      </c>
      <c r="G4721" s="31" t="n">
        <v>13</v>
      </c>
      <c r="H4721" s="41" t="n">
        <v>48</v>
      </c>
      <c r="I4721" s="31" t="s">
        <v>149</v>
      </c>
      <c r="J4721" s="31" t="n">
        <v>3</v>
      </c>
      <c r="K4721" s="31" t="s">
        <v>150</v>
      </c>
      <c r="L4721" s="45" t="n">
        <f aca="false">DATE(YEAR(B4721),MONTH(B4721),1)</f>
        <v>46266</v>
      </c>
      <c r="M4721" s="31" t="n">
        <f aca="false">WEEKDAY(B4721,2)</f>
        <v>4</v>
      </c>
      <c r="N4721" s="31" t="str">
        <f aca="false">IF(G4721&lt;=INDEX(Assumptions!$B$15:$B$18,MATCH(E4721,Assumptions!$A$15:$A$18,0)),"Yes","No")</f>
        <v>Yes</v>
      </c>
      <c r="O4721" s="31" t="str">
        <f aca="false">IF(H4721="","Open",IF(H4721&lt;=INDEX(Assumptions!$C$15:$C$18,MATCH(E4721,Assumptions!$A$15:$A$18,0)),"Yes","No"))</f>
        <v>Yes</v>
      </c>
    </row>
    <row r="4722" customFormat="false" ht="15" hidden="false" customHeight="false" outlineLevel="0" collapsed="false">
      <c r="A4722" s="31" t="s">
        <v>4872</v>
      </c>
      <c r="B4722" s="44" t="n">
        <v>46268</v>
      </c>
      <c r="C4722" s="31" t="s">
        <v>57</v>
      </c>
      <c r="D4722" s="31" t="s">
        <v>69</v>
      </c>
      <c r="E4722" s="31" t="s">
        <v>52</v>
      </c>
      <c r="F4722" s="31" t="s">
        <v>134</v>
      </c>
      <c r="G4722" s="31" t="n">
        <v>7</v>
      </c>
      <c r="H4722" s="41" t="n">
        <v>42.8</v>
      </c>
      <c r="I4722" s="31" t="s">
        <v>149</v>
      </c>
      <c r="J4722" s="31" t="n">
        <v>4</v>
      </c>
      <c r="K4722" s="31" t="s">
        <v>150</v>
      </c>
      <c r="L4722" s="45" t="n">
        <f aca="false">DATE(YEAR(B4722),MONTH(B4722),1)</f>
        <v>46266</v>
      </c>
      <c r="M4722" s="31" t="n">
        <f aca="false">WEEKDAY(B4722,2)</f>
        <v>4</v>
      </c>
      <c r="N4722" s="31" t="str">
        <f aca="false">IF(G4722&lt;=INDEX(Assumptions!$B$15:$B$18,MATCH(E4722,Assumptions!$A$15:$A$18,0)),"Yes","No")</f>
        <v>Yes</v>
      </c>
      <c r="O4722" s="31" t="str">
        <f aca="false">IF(H4722="","Open",IF(H4722&lt;=INDEX(Assumptions!$C$15:$C$18,MATCH(E4722,Assumptions!$A$15:$A$18,0)),"Yes","No"))</f>
        <v>Yes</v>
      </c>
    </row>
    <row r="4723" customFormat="false" ht="15" hidden="false" customHeight="false" outlineLevel="0" collapsed="false">
      <c r="A4723" s="31" t="s">
        <v>4873</v>
      </c>
      <c r="B4723" s="44" t="n">
        <v>46268</v>
      </c>
      <c r="C4723" s="31" t="s">
        <v>57</v>
      </c>
      <c r="D4723" s="31" t="s">
        <v>66</v>
      </c>
      <c r="E4723" s="31" t="s">
        <v>51</v>
      </c>
      <c r="F4723" s="31" t="s">
        <v>128</v>
      </c>
      <c r="G4723" s="31" t="n">
        <v>9</v>
      </c>
      <c r="H4723" s="41" t="n">
        <v>5.4</v>
      </c>
      <c r="I4723" s="31" t="s">
        <v>149</v>
      </c>
      <c r="J4723" s="31" t="n">
        <v>3</v>
      </c>
      <c r="K4723" s="31" t="s">
        <v>150</v>
      </c>
      <c r="L4723" s="45" t="n">
        <f aca="false">DATE(YEAR(B4723),MONTH(B4723),1)</f>
        <v>46266</v>
      </c>
      <c r="M4723" s="31" t="n">
        <f aca="false">WEEKDAY(B4723,2)</f>
        <v>4</v>
      </c>
      <c r="N4723" s="31" t="str">
        <f aca="false">IF(G4723&lt;=INDEX(Assumptions!$B$15:$B$18,MATCH(E4723,Assumptions!$A$15:$A$18,0)),"Yes","No")</f>
        <v>Yes</v>
      </c>
      <c r="O4723" s="31" t="str">
        <f aca="false">IF(H4723="","Open",IF(H4723&lt;=INDEX(Assumptions!$C$15:$C$18,MATCH(E4723,Assumptions!$A$15:$A$18,0)),"Yes","No"))</f>
        <v>Yes</v>
      </c>
    </row>
    <row r="4724" customFormat="false" ht="15" hidden="false" customHeight="false" outlineLevel="0" collapsed="false">
      <c r="A4724" s="31" t="s">
        <v>4874</v>
      </c>
      <c r="B4724" s="44" t="n">
        <v>46268</v>
      </c>
      <c r="C4724" s="31" t="s">
        <v>59</v>
      </c>
      <c r="D4724" s="31" t="s">
        <v>66</v>
      </c>
      <c r="E4724" s="31" t="s">
        <v>51</v>
      </c>
      <c r="F4724" s="31" t="s">
        <v>129</v>
      </c>
      <c r="G4724" s="31" t="n">
        <v>54</v>
      </c>
      <c r="H4724" s="41" t="n">
        <v>4.9</v>
      </c>
      <c r="I4724" s="31" t="s">
        <v>149</v>
      </c>
      <c r="J4724" s="31" t="n">
        <v>5</v>
      </c>
      <c r="K4724" s="31" t="s">
        <v>150</v>
      </c>
      <c r="L4724" s="45" t="n">
        <f aca="false">DATE(YEAR(B4724),MONTH(B4724),1)</f>
        <v>46266</v>
      </c>
      <c r="M4724" s="31" t="n">
        <f aca="false">WEEKDAY(B4724,2)</f>
        <v>4</v>
      </c>
      <c r="N4724" s="31" t="str">
        <f aca="false">IF(G4724&lt;=INDEX(Assumptions!$B$15:$B$18,MATCH(E4724,Assumptions!$A$15:$A$18,0)),"Yes","No")</f>
        <v>Yes</v>
      </c>
      <c r="O4724" s="31" t="str">
        <f aca="false">IF(H4724="","Open",IF(H4724&lt;=INDEX(Assumptions!$C$15:$C$18,MATCH(E4724,Assumptions!$A$15:$A$18,0)),"Yes","No"))</f>
        <v>Yes</v>
      </c>
    </row>
    <row r="4725" customFormat="false" ht="15" hidden="false" customHeight="false" outlineLevel="0" collapsed="false">
      <c r="A4725" s="31" t="s">
        <v>4875</v>
      </c>
      <c r="B4725" s="44" t="n">
        <v>46268</v>
      </c>
      <c r="C4725" s="31" t="s">
        <v>57</v>
      </c>
      <c r="D4725" s="31" t="s">
        <v>68</v>
      </c>
      <c r="E4725" s="31" t="s">
        <v>50</v>
      </c>
      <c r="F4725" s="31" t="s">
        <v>126</v>
      </c>
      <c r="G4725" s="31" t="n">
        <v>7</v>
      </c>
      <c r="H4725" s="41" t="n">
        <v>5.2</v>
      </c>
      <c r="I4725" s="31" t="s">
        <v>149</v>
      </c>
      <c r="J4725" s="31" t="n">
        <v>5</v>
      </c>
      <c r="K4725" s="31" t="s">
        <v>150</v>
      </c>
      <c r="L4725" s="45" t="n">
        <f aca="false">DATE(YEAR(B4725),MONTH(B4725),1)</f>
        <v>46266</v>
      </c>
      <c r="M4725" s="31" t="n">
        <f aca="false">WEEKDAY(B4725,2)</f>
        <v>4</v>
      </c>
      <c r="N4725" s="31" t="str">
        <f aca="false">IF(G4725&lt;=INDEX(Assumptions!$B$15:$B$18,MATCH(E4725,Assumptions!$A$15:$A$18,0)),"Yes","No")</f>
        <v>Yes</v>
      </c>
      <c r="O4725" s="31" t="str">
        <f aca="false">IF(H4725="","Open",IF(H4725&lt;=INDEX(Assumptions!$C$15:$C$18,MATCH(E4725,Assumptions!$A$15:$A$18,0)),"Yes","No"))</f>
        <v>Yes</v>
      </c>
    </row>
    <row r="4726" customFormat="false" ht="15" hidden="false" customHeight="false" outlineLevel="0" collapsed="false">
      <c r="A4726" s="31" t="s">
        <v>4876</v>
      </c>
      <c r="B4726" s="44" t="n">
        <v>46268</v>
      </c>
      <c r="C4726" s="31" t="s">
        <v>57</v>
      </c>
      <c r="D4726" s="31" t="s">
        <v>65</v>
      </c>
      <c r="E4726" s="31" t="s">
        <v>52</v>
      </c>
      <c r="F4726" s="31" t="s">
        <v>129</v>
      </c>
      <c r="G4726" s="31" t="n">
        <v>3</v>
      </c>
      <c r="H4726" s="41" t="n">
        <v>19.6</v>
      </c>
      <c r="I4726" s="31" t="s">
        <v>149</v>
      </c>
      <c r="J4726" s="31" t="n">
        <v>5</v>
      </c>
      <c r="K4726" s="31" t="s">
        <v>150</v>
      </c>
      <c r="L4726" s="45" t="n">
        <f aca="false">DATE(YEAR(B4726),MONTH(B4726),1)</f>
        <v>46266</v>
      </c>
      <c r="M4726" s="31" t="n">
        <f aca="false">WEEKDAY(B4726,2)</f>
        <v>4</v>
      </c>
      <c r="N4726" s="31" t="str">
        <f aca="false">IF(G4726&lt;=INDEX(Assumptions!$B$15:$B$18,MATCH(E4726,Assumptions!$A$15:$A$18,0)),"Yes","No")</f>
        <v>Yes</v>
      </c>
      <c r="O4726" s="31" t="str">
        <f aca="false">IF(H4726="","Open",IF(H4726&lt;=INDEX(Assumptions!$C$15:$C$18,MATCH(E4726,Assumptions!$A$15:$A$18,0)),"Yes","No"))</f>
        <v>Yes</v>
      </c>
    </row>
    <row r="4727" customFormat="false" ht="15" hidden="false" customHeight="false" outlineLevel="0" collapsed="false">
      <c r="A4727" s="31" t="s">
        <v>4877</v>
      </c>
      <c r="B4727" s="44" t="n">
        <v>46268</v>
      </c>
      <c r="C4727" s="31" t="s">
        <v>59</v>
      </c>
      <c r="D4727" s="31" t="s">
        <v>67</v>
      </c>
      <c r="E4727" s="31" t="s">
        <v>51</v>
      </c>
      <c r="F4727" s="31" t="s">
        <v>130</v>
      </c>
      <c r="G4727" s="31" t="n">
        <v>48</v>
      </c>
      <c r="H4727" s="41" t="n">
        <v>13.4</v>
      </c>
      <c r="I4727" s="31" t="s">
        <v>149</v>
      </c>
      <c r="J4727" s="31" t="n">
        <v>5</v>
      </c>
      <c r="K4727" s="31" t="s">
        <v>150</v>
      </c>
      <c r="L4727" s="45" t="n">
        <f aca="false">DATE(YEAR(B4727),MONTH(B4727),1)</f>
        <v>46266</v>
      </c>
      <c r="M4727" s="31" t="n">
        <f aca="false">WEEKDAY(B4727,2)</f>
        <v>4</v>
      </c>
      <c r="N4727" s="31" t="str">
        <f aca="false">IF(G4727&lt;=INDEX(Assumptions!$B$15:$B$18,MATCH(E4727,Assumptions!$A$15:$A$18,0)),"Yes","No")</f>
        <v>Yes</v>
      </c>
      <c r="O4727" s="31" t="str">
        <f aca="false">IF(H4727="","Open",IF(H4727&lt;=INDEX(Assumptions!$C$15:$C$18,MATCH(E4727,Assumptions!$A$15:$A$18,0)),"Yes","No"))</f>
        <v>Yes</v>
      </c>
    </row>
    <row r="4728" customFormat="false" ht="15" hidden="false" customHeight="false" outlineLevel="0" collapsed="false">
      <c r="A4728" s="31" t="s">
        <v>4878</v>
      </c>
      <c r="B4728" s="44" t="n">
        <v>46268</v>
      </c>
      <c r="C4728" s="31" t="s">
        <v>60</v>
      </c>
      <c r="D4728" s="31" t="s">
        <v>66</v>
      </c>
      <c r="E4728" s="31" t="s">
        <v>51</v>
      </c>
      <c r="F4728" s="31" t="s">
        <v>122</v>
      </c>
      <c r="G4728" s="31" t="n">
        <v>2</v>
      </c>
      <c r="H4728" s="41" t="n">
        <v>0.8</v>
      </c>
      <c r="I4728" s="31" t="s">
        <v>149</v>
      </c>
      <c r="J4728" s="31"/>
      <c r="K4728" s="31" t="s">
        <v>150</v>
      </c>
      <c r="L4728" s="45" t="n">
        <f aca="false">DATE(YEAR(B4728),MONTH(B4728),1)</f>
        <v>46266</v>
      </c>
      <c r="M4728" s="31" t="n">
        <f aca="false">WEEKDAY(B4728,2)</f>
        <v>4</v>
      </c>
      <c r="N4728" s="31" t="str">
        <f aca="false">IF(G4728&lt;=INDEX(Assumptions!$B$15:$B$18,MATCH(E4728,Assumptions!$A$15:$A$18,0)),"Yes","No")</f>
        <v>Yes</v>
      </c>
      <c r="O4728" s="31" t="str">
        <f aca="false">IF(H4728="","Open",IF(H4728&lt;=INDEX(Assumptions!$C$15:$C$18,MATCH(E4728,Assumptions!$A$15:$A$18,0)),"Yes","No"))</f>
        <v>Yes</v>
      </c>
    </row>
    <row r="4729" customFormat="false" ht="15" hidden="false" customHeight="false" outlineLevel="0" collapsed="false">
      <c r="A4729" s="31" t="s">
        <v>4879</v>
      </c>
      <c r="B4729" s="44" t="n">
        <v>46268</v>
      </c>
      <c r="C4729" s="31" t="s">
        <v>58</v>
      </c>
      <c r="D4729" s="31" t="s">
        <v>68</v>
      </c>
      <c r="E4729" s="31" t="s">
        <v>49</v>
      </c>
      <c r="F4729" s="31" t="s">
        <v>127</v>
      </c>
      <c r="G4729" s="31" t="n">
        <v>6</v>
      </c>
      <c r="H4729" s="41" t="n">
        <v>1.1</v>
      </c>
      <c r="I4729" s="31" t="s">
        <v>149</v>
      </c>
      <c r="J4729" s="31"/>
      <c r="K4729" s="31" t="s">
        <v>150</v>
      </c>
      <c r="L4729" s="45" t="n">
        <f aca="false">DATE(YEAR(B4729),MONTH(B4729),1)</f>
        <v>46266</v>
      </c>
      <c r="M4729" s="31" t="n">
        <f aca="false">WEEKDAY(B4729,2)</f>
        <v>4</v>
      </c>
      <c r="N4729" s="31" t="str">
        <f aca="false">IF(G4729&lt;=INDEX(Assumptions!$B$15:$B$18,MATCH(E4729,Assumptions!$A$15:$A$18,0)),"Yes","No")</f>
        <v>Yes</v>
      </c>
      <c r="O4729" s="31" t="str">
        <f aca="false">IF(H4729="","Open",IF(H4729&lt;=INDEX(Assumptions!$C$15:$C$18,MATCH(E4729,Assumptions!$A$15:$A$18,0)),"Yes","No"))</f>
        <v>Yes</v>
      </c>
    </row>
    <row r="4730" customFormat="false" ht="15" hidden="false" customHeight="false" outlineLevel="0" collapsed="false">
      <c r="A4730" s="31" t="s">
        <v>4880</v>
      </c>
      <c r="B4730" s="44" t="n">
        <v>46268</v>
      </c>
      <c r="C4730" s="31" t="s">
        <v>60</v>
      </c>
      <c r="D4730" s="31" t="s">
        <v>65</v>
      </c>
      <c r="E4730" s="31" t="s">
        <v>51</v>
      </c>
      <c r="F4730" s="31" t="s">
        <v>131</v>
      </c>
      <c r="G4730" s="31" t="n">
        <v>1</v>
      </c>
      <c r="H4730" s="41" t="n">
        <v>1.9</v>
      </c>
      <c r="I4730" s="31" t="s">
        <v>149</v>
      </c>
      <c r="J4730" s="31"/>
      <c r="K4730" s="31" t="s">
        <v>150</v>
      </c>
      <c r="L4730" s="45" t="n">
        <f aca="false">DATE(YEAR(B4730),MONTH(B4730),1)</f>
        <v>46266</v>
      </c>
      <c r="M4730" s="31" t="n">
        <f aca="false">WEEKDAY(B4730,2)</f>
        <v>4</v>
      </c>
      <c r="N4730" s="31" t="str">
        <f aca="false">IF(G4730&lt;=INDEX(Assumptions!$B$15:$B$18,MATCH(E4730,Assumptions!$A$15:$A$18,0)),"Yes","No")</f>
        <v>Yes</v>
      </c>
      <c r="O4730" s="31" t="str">
        <f aca="false">IF(H4730="","Open",IF(H4730&lt;=INDEX(Assumptions!$C$15:$C$18,MATCH(E4730,Assumptions!$A$15:$A$18,0)),"Yes","No"))</f>
        <v>Yes</v>
      </c>
    </row>
    <row r="4731" customFormat="false" ht="15" hidden="false" customHeight="false" outlineLevel="0" collapsed="false">
      <c r="A4731" s="31" t="s">
        <v>4881</v>
      </c>
      <c r="B4731" s="44" t="n">
        <v>46268</v>
      </c>
      <c r="C4731" s="31" t="s">
        <v>59</v>
      </c>
      <c r="D4731" s="31" t="s">
        <v>68</v>
      </c>
      <c r="E4731" s="31" t="s">
        <v>51</v>
      </c>
      <c r="F4731" s="31" t="s">
        <v>133</v>
      </c>
      <c r="G4731" s="31" t="n">
        <v>108</v>
      </c>
      <c r="H4731" s="41" t="n">
        <v>4.3</v>
      </c>
      <c r="I4731" s="31" t="s">
        <v>149</v>
      </c>
      <c r="J4731" s="31"/>
      <c r="K4731" s="31" t="s">
        <v>150</v>
      </c>
      <c r="L4731" s="45" t="n">
        <f aca="false">DATE(YEAR(B4731),MONTH(B4731),1)</f>
        <v>46266</v>
      </c>
      <c r="M4731" s="31" t="n">
        <f aca="false">WEEKDAY(B4731,2)</f>
        <v>4</v>
      </c>
      <c r="N4731" s="31" t="str">
        <f aca="false">IF(G4731&lt;=INDEX(Assumptions!$B$15:$B$18,MATCH(E4731,Assumptions!$A$15:$A$18,0)),"Yes","No")</f>
        <v>No</v>
      </c>
      <c r="O4731" s="31" t="str">
        <f aca="false">IF(H4731="","Open",IF(H4731&lt;=INDEX(Assumptions!$C$15:$C$18,MATCH(E4731,Assumptions!$A$15:$A$18,0)),"Yes","No"))</f>
        <v>Yes</v>
      </c>
    </row>
    <row r="4732" customFormat="false" ht="15" hidden="false" customHeight="false" outlineLevel="0" collapsed="false">
      <c r="A4732" s="31" t="s">
        <v>4882</v>
      </c>
      <c r="B4732" s="44" t="n">
        <v>46268</v>
      </c>
      <c r="C4732" s="31" t="s">
        <v>58</v>
      </c>
      <c r="D4732" s="31" t="s">
        <v>67</v>
      </c>
      <c r="E4732" s="31" t="s">
        <v>50</v>
      </c>
      <c r="F4732" s="31" t="s">
        <v>126</v>
      </c>
      <c r="G4732" s="31" t="n">
        <v>9</v>
      </c>
      <c r="H4732" s="41" t="n">
        <v>1</v>
      </c>
      <c r="I4732" s="31" t="s">
        <v>149</v>
      </c>
      <c r="J4732" s="31" t="n">
        <v>4</v>
      </c>
      <c r="K4732" s="31" t="s">
        <v>150</v>
      </c>
      <c r="L4732" s="45" t="n">
        <f aca="false">DATE(YEAR(B4732),MONTH(B4732),1)</f>
        <v>46266</v>
      </c>
      <c r="M4732" s="31" t="n">
        <f aca="false">WEEKDAY(B4732,2)</f>
        <v>4</v>
      </c>
      <c r="N4732" s="31" t="str">
        <f aca="false">IF(G4732&lt;=INDEX(Assumptions!$B$15:$B$18,MATCH(E4732,Assumptions!$A$15:$A$18,0)),"Yes","No")</f>
        <v>Yes</v>
      </c>
      <c r="O4732" s="31" t="str">
        <f aca="false">IF(H4732="","Open",IF(H4732&lt;=INDEX(Assumptions!$C$15:$C$18,MATCH(E4732,Assumptions!$A$15:$A$18,0)),"Yes","No"))</f>
        <v>Yes</v>
      </c>
    </row>
    <row r="4733" customFormat="false" ht="15" hidden="false" customHeight="false" outlineLevel="0" collapsed="false">
      <c r="A4733" s="31" t="s">
        <v>4883</v>
      </c>
      <c r="B4733" s="44" t="n">
        <v>46268</v>
      </c>
      <c r="C4733" s="31" t="s">
        <v>59</v>
      </c>
      <c r="D4733" s="31" t="s">
        <v>68</v>
      </c>
      <c r="E4733" s="31" t="s">
        <v>51</v>
      </c>
      <c r="F4733" s="31" t="s">
        <v>131</v>
      </c>
      <c r="G4733" s="31" t="n">
        <v>56</v>
      </c>
      <c r="H4733" s="41" t="n">
        <v>13.5</v>
      </c>
      <c r="I4733" s="31" t="s">
        <v>149</v>
      </c>
      <c r="J4733" s="31" t="n">
        <v>5</v>
      </c>
      <c r="K4733" s="31" t="s">
        <v>150</v>
      </c>
      <c r="L4733" s="45" t="n">
        <f aca="false">DATE(YEAR(B4733),MONTH(B4733),1)</f>
        <v>46266</v>
      </c>
      <c r="M4733" s="31" t="n">
        <f aca="false">WEEKDAY(B4733,2)</f>
        <v>4</v>
      </c>
      <c r="N4733" s="31" t="str">
        <f aca="false">IF(G4733&lt;=INDEX(Assumptions!$B$15:$B$18,MATCH(E4733,Assumptions!$A$15:$A$18,0)),"Yes","No")</f>
        <v>Yes</v>
      </c>
      <c r="O4733" s="31" t="str">
        <f aca="false">IF(H4733="","Open",IF(H4733&lt;=INDEX(Assumptions!$C$15:$C$18,MATCH(E4733,Assumptions!$A$15:$A$18,0)),"Yes","No"))</f>
        <v>Yes</v>
      </c>
    </row>
    <row r="4734" customFormat="false" ht="15" hidden="false" customHeight="false" outlineLevel="0" collapsed="false">
      <c r="A4734" s="31" t="s">
        <v>4884</v>
      </c>
      <c r="B4734" s="44" t="n">
        <v>46268</v>
      </c>
      <c r="C4734" s="31" t="s">
        <v>59</v>
      </c>
      <c r="D4734" s="31" t="s">
        <v>68</v>
      </c>
      <c r="E4734" s="31" t="s">
        <v>51</v>
      </c>
      <c r="F4734" s="31" t="s">
        <v>131</v>
      </c>
      <c r="G4734" s="31" t="n">
        <v>114</v>
      </c>
      <c r="H4734" s="41" t="n">
        <v>0.8</v>
      </c>
      <c r="I4734" s="31" t="s">
        <v>149</v>
      </c>
      <c r="J4734" s="31" t="n">
        <v>4</v>
      </c>
      <c r="K4734" s="31" t="s">
        <v>150</v>
      </c>
      <c r="L4734" s="45" t="n">
        <f aca="false">DATE(YEAR(B4734),MONTH(B4734),1)</f>
        <v>46266</v>
      </c>
      <c r="M4734" s="31" t="n">
        <f aca="false">WEEKDAY(B4734,2)</f>
        <v>4</v>
      </c>
      <c r="N4734" s="31" t="str">
        <f aca="false">IF(G4734&lt;=INDEX(Assumptions!$B$15:$B$18,MATCH(E4734,Assumptions!$A$15:$A$18,0)),"Yes","No")</f>
        <v>No</v>
      </c>
      <c r="O4734" s="31" t="str">
        <f aca="false">IF(H4734="","Open",IF(H4734&lt;=INDEX(Assumptions!$C$15:$C$18,MATCH(E4734,Assumptions!$A$15:$A$18,0)),"Yes","No"))</f>
        <v>Yes</v>
      </c>
    </row>
    <row r="4735" customFormat="false" ht="15" hidden="false" customHeight="false" outlineLevel="0" collapsed="false">
      <c r="A4735" s="31" t="s">
        <v>4885</v>
      </c>
      <c r="B4735" s="44" t="n">
        <v>46268</v>
      </c>
      <c r="C4735" s="31" t="s">
        <v>60</v>
      </c>
      <c r="D4735" s="31" t="s">
        <v>67</v>
      </c>
      <c r="E4735" s="31" t="s">
        <v>51</v>
      </c>
      <c r="F4735" s="31" t="s">
        <v>119</v>
      </c>
      <c r="G4735" s="31" t="n">
        <v>3</v>
      </c>
      <c r="H4735" s="41" t="n">
        <v>12.4</v>
      </c>
      <c r="I4735" s="31" t="s">
        <v>149</v>
      </c>
      <c r="J4735" s="31"/>
      <c r="K4735" s="31" t="s">
        <v>150</v>
      </c>
      <c r="L4735" s="45" t="n">
        <f aca="false">DATE(YEAR(B4735),MONTH(B4735),1)</f>
        <v>46266</v>
      </c>
      <c r="M4735" s="31" t="n">
        <f aca="false">WEEKDAY(B4735,2)</f>
        <v>4</v>
      </c>
      <c r="N4735" s="31" t="str">
        <f aca="false">IF(G4735&lt;=INDEX(Assumptions!$B$15:$B$18,MATCH(E4735,Assumptions!$A$15:$A$18,0)),"Yes","No")</f>
        <v>Yes</v>
      </c>
      <c r="O4735" s="31" t="str">
        <f aca="false">IF(H4735="","Open",IF(H4735&lt;=INDEX(Assumptions!$C$15:$C$18,MATCH(E4735,Assumptions!$A$15:$A$18,0)),"Yes","No"))</f>
        <v>Yes</v>
      </c>
    </row>
    <row r="4736" customFormat="false" ht="15" hidden="false" customHeight="false" outlineLevel="0" collapsed="false">
      <c r="A4736" s="31" t="s">
        <v>4886</v>
      </c>
      <c r="B4736" s="44" t="n">
        <v>46268</v>
      </c>
      <c r="C4736" s="31" t="s">
        <v>58</v>
      </c>
      <c r="D4736" s="31" t="s">
        <v>68</v>
      </c>
      <c r="E4736" s="31" t="s">
        <v>51</v>
      </c>
      <c r="F4736" s="31" t="s">
        <v>137</v>
      </c>
      <c r="G4736" s="31" t="n">
        <v>6</v>
      </c>
      <c r="H4736" s="41" t="n">
        <v>18.4</v>
      </c>
      <c r="I4736" s="31" t="s">
        <v>149</v>
      </c>
      <c r="J4736" s="31"/>
      <c r="K4736" s="31" t="s">
        <v>153</v>
      </c>
      <c r="L4736" s="45" t="n">
        <f aca="false">DATE(YEAR(B4736),MONTH(B4736),1)</f>
        <v>46266</v>
      </c>
      <c r="M4736" s="31" t="n">
        <f aca="false">WEEKDAY(B4736,2)</f>
        <v>4</v>
      </c>
      <c r="N4736" s="31" t="str">
        <f aca="false">IF(G4736&lt;=INDEX(Assumptions!$B$15:$B$18,MATCH(E4736,Assumptions!$A$15:$A$18,0)),"Yes","No")</f>
        <v>Yes</v>
      </c>
      <c r="O4736" s="31" t="str">
        <f aca="false">IF(H4736="","Open",IF(H4736&lt;=INDEX(Assumptions!$C$15:$C$18,MATCH(E4736,Assumptions!$A$15:$A$18,0)),"Yes","No"))</f>
        <v>Yes</v>
      </c>
    </row>
    <row r="4737" customFormat="false" ht="15" hidden="false" customHeight="false" outlineLevel="0" collapsed="false">
      <c r="A4737" s="31" t="s">
        <v>4887</v>
      </c>
      <c r="B4737" s="44" t="n">
        <v>46268</v>
      </c>
      <c r="C4737" s="31" t="s">
        <v>59</v>
      </c>
      <c r="D4737" s="31" t="s">
        <v>66</v>
      </c>
      <c r="E4737" s="31" t="s">
        <v>51</v>
      </c>
      <c r="F4737" s="31" t="s">
        <v>127</v>
      </c>
      <c r="G4737" s="31" t="n">
        <v>107</v>
      </c>
      <c r="H4737" s="41" t="n">
        <v>7.5</v>
      </c>
      <c r="I4737" s="31" t="s">
        <v>64</v>
      </c>
      <c r="J4737" s="31"/>
      <c r="K4737" s="31" t="s">
        <v>150</v>
      </c>
      <c r="L4737" s="45" t="n">
        <f aca="false">DATE(YEAR(B4737),MONTH(B4737),1)</f>
        <v>46266</v>
      </c>
      <c r="M4737" s="31" t="n">
        <f aca="false">WEEKDAY(B4737,2)</f>
        <v>4</v>
      </c>
      <c r="N4737" s="31" t="str">
        <f aca="false">IF(G4737&lt;=INDEX(Assumptions!$B$15:$B$18,MATCH(E4737,Assumptions!$A$15:$A$18,0)),"Yes","No")</f>
        <v>No</v>
      </c>
      <c r="O4737" s="31" t="str">
        <f aca="false">IF(H4737="","Open",IF(H4737&lt;=INDEX(Assumptions!$C$15:$C$18,MATCH(E4737,Assumptions!$A$15:$A$18,0)),"Yes","No"))</f>
        <v>Yes</v>
      </c>
    </row>
    <row r="4738" customFormat="false" ht="15" hidden="false" customHeight="false" outlineLevel="0" collapsed="false">
      <c r="A4738" s="31" t="s">
        <v>4888</v>
      </c>
      <c r="B4738" s="44" t="n">
        <v>46268</v>
      </c>
      <c r="C4738" s="31" t="s">
        <v>57</v>
      </c>
      <c r="D4738" s="31" t="s">
        <v>65</v>
      </c>
      <c r="E4738" s="31" t="s">
        <v>51</v>
      </c>
      <c r="F4738" s="31" t="s">
        <v>127</v>
      </c>
      <c r="G4738" s="31" t="n">
        <v>2</v>
      </c>
      <c r="H4738" s="41" t="n">
        <v>11.9</v>
      </c>
      <c r="I4738" s="31" t="s">
        <v>149</v>
      </c>
      <c r="J4738" s="31" t="n">
        <v>5</v>
      </c>
      <c r="K4738" s="31" t="s">
        <v>150</v>
      </c>
      <c r="L4738" s="45" t="n">
        <f aca="false">DATE(YEAR(B4738),MONTH(B4738),1)</f>
        <v>46266</v>
      </c>
      <c r="M4738" s="31" t="n">
        <f aca="false">WEEKDAY(B4738,2)</f>
        <v>4</v>
      </c>
      <c r="N4738" s="31" t="str">
        <f aca="false">IF(G4738&lt;=INDEX(Assumptions!$B$15:$B$18,MATCH(E4738,Assumptions!$A$15:$A$18,0)),"Yes","No")</f>
        <v>Yes</v>
      </c>
      <c r="O4738" s="31" t="str">
        <f aca="false">IF(H4738="","Open",IF(H4738&lt;=INDEX(Assumptions!$C$15:$C$18,MATCH(E4738,Assumptions!$A$15:$A$18,0)),"Yes","No"))</f>
        <v>Yes</v>
      </c>
    </row>
    <row r="4739" customFormat="false" ht="15" hidden="false" customHeight="false" outlineLevel="0" collapsed="false">
      <c r="A4739" s="31" t="s">
        <v>4889</v>
      </c>
      <c r="B4739" s="44" t="n">
        <v>46268</v>
      </c>
      <c r="C4739" s="31" t="s">
        <v>57</v>
      </c>
      <c r="D4739" s="31" t="s">
        <v>69</v>
      </c>
      <c r="E4739" s="31" t="s">
        <v>52</v>
      </c>
      <c r="F4739" s="31" t="s">
        <v>122</v>
      </c>
      <c r="G4739" s="31" t="n">
        <v>2</v>
      </c>
      <c r="H4739" s="41" t="n">
        <v>36.6</v>
      </c>
      <c r="I4739" s="31" t="s">
        <v>149</v>
      </c>
      <c r="J4739" s="31" t="n">
        <v>5</v>
      </c>
      <c r="K4739" s="31" t="s">
        <v>150</v>
      </c>
      <c r="L4739" s="45" t="n">
        <f aca="false">DATE(YEAR(B4739),MONTH(B4739),1)</f>
        <v>46266</v>
      </c>
      <c r="M4739" s="31" t="n">
        <f aca="false">WEEKDAY(B4739,2)</f>
        <v>4</v>
      </c>
      <c r="N4739" s="31" t="str">
        <f aca="false">IF(G4739&lt;=INDEX(Assumptions!$B$15:$B$18,MATCH(E4739,Assumptions!$A$15:$A$18,0)),"Yes","No")</f>
        <v>Yes</v>
      </c>
      <c r="O4739" s="31" t="str">
        <f aca="false">IF(H4739="","Open",IF(H4739&lt;=INDEX(Assumptions!$C$15:$C$18,MATCH(E4739,Assumptions!$A$15:$A$18,0)),"Yes","No"))</f>
        <v>Yes</v>
      </c>
    </row>
    <row r="4740" customFormat="false" ht="15" hidden="false" customHeight="false" outlineLevel="0" collapsed="false">
      <c r="A4740" s="31" t="s">
        <v>4890</v>
      </c>
      <c r="B4740" s="44" t="n">
        <v>46268</v>
      </c>
      <c r="C4740" s="31" t="s">
        <v>58</v>
      </c>
      <c r="D4740" s="31" t="s">
        <v>69</v>
      </c>
      <c r="E4740" s="31" t="s">
        <v>51</v>
      </c>
      <c r="F4740" s="31" t="s">
        <v>135</v>
      </c>
      <c r="G4740" s="31" t="n">
        <v>13</v>
      </c>
      <c r="H4740" s="41" t="n">
        <v>11.1</v>
      </c>
      <c r="I4740" s="31" t="s">
        <v>149</v>
      </c>
      <c r="J4740" s="31"/>
      <c r="K4740" s="31" t="s">
        <v>150</v>
      </c>
      <c r="L4740" s="45" t="n">
        <f aca="false">DATE(YEAR(B4740),MONTH(B4740),1)</f>
        <v>46266</v>
      </c>
      <c r="M4740" s="31" t="n">
        <f aca="false">WEEKDAY(B4740,2)</f>
        <v>4</v>
      </c>
      <c r="N4740" s="31" t="str">
        <f aca="false">IF(G4740&lt;=INDEX(Assumptions!$B$15:$B$18,MATCH(E4740,Assumptions!$A$15:$A$18,0)),"Yes","No")</f>
        <v>Yes</v>
      </c>
      <c r="O4740" s="31" t="str">
        <f aca="false">IF(H4740="","Open",IF(H4740&lt;=INDEX(Assumptions!$C$15:$C$18,MATCH(E4740,Assumptions!$A$15:$A$18,0)),"Yes","No"))</f>
        <v>Yes</v>
      </c>
    </row>
    <row r="4741" customFormat="false" ht="15" hidden="false" customHeight="false" outlineLevel="0" collapsed="false">
      <c r="A4741" s="31" t="s">
        <v>4891</v>
      </c>
      <c r="B4741" s="44" t="n">
        <v>46268</v>
      </c>
      <c r="C4741" s="31" t="s">
        <v>58</v>
      </c>
      <c r="D4741" s="31" t="s">
        <v>69</v>
      </c>
      <c r="E4741" s="31" t="s">
        <v>51</v>
      </c>
      <c r="F4741" s="31" t="s">
        <v>126</v>
      </c>
      <c r="G4741" s="31" t="n">
        <v>7</v>
      </c>
      <c r="H4741" s="41" t="n">
        <v>12.5</v>
      </c>
      <c r="I4741" s="31" t="s">
        <v>149</v>
      </c>
      <c r="J4741" s="31"/>
      <c r="K4741" s="31" t="s">
        <v>150</v>
      </c>
      <c r="L4741" s="45" t="n">
        <f aca="false">DATE(YEAR(B4741),MONTH(B4741),1)</f>
        <v>46266</v>
      </c>
      <c r="M4741" s="31" t="n">
        <f aca="false">WEEKDAY(B4741,2)</f>
        <v>4</v>
      </c>
      <c r="N4741" s="31" t="str">
        <f aca="false">IF(G4741&lt;=INDEX(Assumptions!$B$15:$B$18,MATCH(E4741,Assumptions!$A$15:$A$18,0)),"Yes","No")</f>
        <v>Yes</v>
      </c>
      <c r="O4741" s="31" t="str">
        <f aca="false">IF(H4741="","Open",IF(H4741&lt;=INDEX(Assumptions!$C$15:$C$18,MATCH(E4741,Assumptions!$A$15:$A$18,0)),"Yes","No"))</f>
        <v>Yes</v>
      </c>
    </row>
    <row r="4742" customFormat="false" ht="15" hidden="false" customHeight="false" outlineLevel="0" collapsed="false">
      <c r="A4742" s="31" t="s">
        <v>4892</v>
      </c>
      <c r="B4742" s="44" t="n">
        <v>46268</v>
      </c>
      <c r="C4742" s="31" t="s">
        <v>59</v>
      </c>
      <c r="D4742" s="31" t="s">
        <v>65</v>
      </c>
      <c r="E4742" s="31" t="s">
        <v>50</v>
      </c>
      <c r="F4742" s="31" t="s">
        <v>134</v>
      </c>
      <c r="G4742" s="31" t="n">
        <v>73</v>
      </c>
      <c r="H4742" s="41" t="n">
        <v>15.5</v>
      </c>
      <c r="I4742" s="31" t="s">
        <v>149</v>
      </c>
      <c r="J4742" s="31"/>
      <c r="K4742" s="31" t="s">
        <v>150</v>
      </c>
      <c r="L4742" s="45" t="n">
        <f aca="false">DATE(YEAR(B4742),MONTH(B4742),1)</f>
        <v>46266</v>
      </c>
      <c r="M4742" s="31" t="n">
        <f aca="false">WEEKDAY(B4742,2)</f>
        <v>4</v>
      </c>
      <c r="N4742" s="31" t="str">
        <f aca="false">IF(G4742&lt;=INDEX(Assumptions!$B$15:$B$18,MATCH(E4742,Assumptions!$A$15:$A$18,0)),"Yes","No")</f>
        <v>No</v>
      </c>
      <c r="O4742" s="31" t="str">
        <f aca="false">IF(H4742="","Open",IF(H4742&lt;=INDEX(Assumptions!$C$15:$C$18,MATCH(E4742,Assumptions!$A$15:$A$18,0)),"Yes","No"))</f>
        <v>No</v>
      </c>
    </row>
    <row r="4743" customFormat="false" ht="15" hidden="false" customHeight="false" outlineLevel="0" collapsed="false">
      <c r="A4743" s="31" t="s">
        <v>4893</v>
      </c>
      <c r="B4743" s="44" t="n">
        <v>46268</v>
      </c>
      <c r="C4743" s="31" t="s">
        <v>60</v>
      </c>
      <c r="D4743" s="31" t="s">
        <v>65</v>
      </c>
      <c r="E4743" s="31" t="s">
        <v>51</v>
      </c>
      <c r="F4743" s="31" t="s">
        <v>133</v>
      </c>
      <c r="G4743" s="31" t="n">
        <v>1</v>
      </c>
      <c r="H4743" s="41" t="n">
        <v>2.3</v>
      </c>
      <c r="I4743" s="31" t="s">
        <v>149</v>
      </c>
      <c r="J4743" s="31" t="n">
        <v>4</v>
      </c>
      <c r="K4743" s="31" t="s">
        <v>150</v>
      </c>
      <c r="L4743" s="45" t="n">
        <f aca="false">DATE(YEAR(B4743),MONTH(B4743),1)</f>
        <v>46266</v>
      </c>
      <c r="M4743" s="31" t="n">
        <f aca="false">WEEKDAY(B4743,2)</f>
        <v>4</v>
      </c>
      <c r="N4743" s="31" t="str">
        <f aca="false">IF(G4743&lt;=INDEX(Assumptions!$B$15:$B$18,MATCH(E4743,Assumptions!$A$15:$A$18,0)),"Yes","No")</f>
        <v>Yes</v>
      </c>
      <c r="O4743" s="31" t="str">
        <f aca="false">IF(H4743="","Open",IF(H4743&lt;=INDEX(Assumptions!$C$15:$C$18,MATCH(E4743,Assumptions!$A$15:$A$18,0)),"Yes","No"))</f>
        <v>Yes</v>
      </c>
    </row>
    <row r="4744" customFormat="false" ht="15" hidden="false" customHeight="false" outlineLevel="0" collapsed="false">
      <c r="A4744" s="31" t="s">
        <v>4894</v>
      </c>
      <c r="B4744" s="44" t="n">
        <v>46268</v>
      </c>
      <c r="C4744" s="31" t="s">
        <v>60</v>
      </c>
      <c r="D4744" s="31" t="s">
        <v>65</v>
      </c>
      <c r="E4744" s="31" t="s">
        <v>51</v>
      </c>
      <c r="F4744" s="31" t="s">
        <v>128</v>
      </c>
      <c r="G4744" s="31" t="n">
        <v>2</v>
      </c>
      <c r="H4744" s="41" t="n">
        <v>8.1</v>
      </c>
      <c r="I4744" s="31" t="s">
        <v>149</v>
      </c>
      <c r="J4744" s="31"/>
      <c r="K4744" s="31" t="s">
        <v>150</v>
      </c>
      <c r="L4744" s="45" t="n">
        <f aca="false">DATE(YEAR(B4744),MONTH(B4744),1)</f>
        <v>46266</v>
      </c>
      <c r="M4744" s="31" t="n">
        <f aca="false">WEEKDAY(B4744,2)</f>
        <v>4</v>
      </c>
      <c r="N4744" s="31" t="str">
        <f aca="false">IF(G4744&lt;=INDEX(Assumptions!$B$15:$B$18,MATCH(E4744,Assumptions!$A$15:$A$18,0)),"Yes","No")</f>
        <v>Yes</v>
      </c>
      <c r="O4744" s="31" t="str">
        <f aca="false">IF(H4744="","Open",IF(H4744&lt;=INDEX(Assumptions!$C$15:$C$18,MATCH(E4744,Assumptions!$A$15:$A$18,0)),"Yes","No"))</f>
        <v>Yes</v>
      </c>
    </row>
    <row r="4745" customFormat="false" ht="15" hidden="false" customHeight="false" outlineLevel="0" collapsed="false">
      <c r="A4745" s="31" t="s">
        <v>4895</v>
      </c>
      <c r="B4745" s="44" t="n">
        <v>46268</v>
      </c>
      <c r="C4745" s="31" t="s">
        <v>59</v>
      </c>
      <c r="D4745" s="31" t="s">
        <v>65</v>
      </c>
      <c r="E4745" s="31" t="s">
        <v>52</v>
      </c>
      <c r="F4745" s="31" t="s">
        <v>130</v>
      </c>
      <c r="G4745" s="31" t="n">
        <v>245</v>
      </c>
      <c r="H4745" s="41" t="n">
        <v>2.7</v>
      </c>
      <c r="I4745" s="31" t="s">
        <v>149</v>
      </c>
      <c r="J4745" s="31"/>
      <c r="K4745" s="31" t="s">
        <v>150</v>
      </c>
      <c r="L4745" s="45" t="n">
        <f aca="false">DATE(YEAR(B4745),MONTH(B4745),1)</f>
        <v>46266</v>
      </c>
      <c r="M4745" s="31" t="n">
        <f aca="false">WEEKDAY(B4745,2)</f>
        <v>4</v>
      </c>
      <c r="N4745" s="31" t="str">
        <f aca="false">IF(G4745&lt;=INDEX(Assumptions!$B$15:$B$18,MATCH(E4745,Assumptions!$A$15:$A$18,0)),"Yes","No")</f>
        <v>No</v>
      </c>
      <c r="O4745" s="31" t="str">
        <f aca="false">IF(H4745="","Open",IF(H4745&lt;=INDEX(Assumptions!$C$15:$C$18,MATCH(E4745,Assumptions!$A$15:$A$18,0)),"Yes","No"))</f>
        <v>Yes</v>
      </c>
    </row>
    <row r="4746" customFormat="false" ht="15" hidden="false" customHeight="false" outlineLevel="0" collapsed="false">
      <c r="A4746" s="31" t="s">
        <v>4896</v>
      </c>
      <c r="B4746" s="44" t="n">
        <v>46268</v>
      </c>
      <c r="C4746" s="31" t="s">
        <v>60</v>
      </c>
      <c r="D4746" s="31" t="s">
        <v>65</v>
      </c>
      <c r="E4746" s="31" t="s">
        <v>51</v>
      </c>
      <c r="F4746" s="31" t="s">
        <v>127</v>
      </c>
      <c r="G4746" s="31" t="n">
        <v>4</v>
      </c>
      <c r="H4746" s="41" t="n">
        <v>14.2</v>
      </c>
      <c r="I4746" s="31" t="s">
        <v>149</v>
      </c>
      <c r="J4746" s="31" t="n">
        <v>5</v>
      </c>
      <c r="K4746" s="31" t="s">
        <v>150</v>
      </c>
      <c r="L4746" s="45" t="n">
        <f aca="false">DATE(YEAR(B4746),MONTH(B4746),1)</f>
        <v>46266</v>
      </c>
      <c r="M4746" s="31" t="n">
        <f aca="false">WEEKDAY(B4746,2)</f>
        <v>4</v>
      </c>
      <c r="N4746" s="31" t="str">
        <f aca="false">IF(G4746&lt;=INDEX(Assumptions!$B$15:$B$18,MATCH(E4746,Assumptions!$A$15:$A$18,0)),"Yes","No")</f>
        <v>Yes</v>
      </c>
      <c r="O4746" s="31" t="str">
        <f aca="false">IF(H4746="","Open",IF(H4746&lt;=INDEX(Assumptions!$C$15:$C$18,MATCH(E4746,Assumptions!$A$15:$A$18,0)),"Yes","No"))</f>
        <v>Yes</v>
      </c>
    </row>
    <row r="4747" customFormat="false" ht="15" hidden="false" customHeight="false" outlineLevel="0" collapsed="false">
      <c r="A4747" s="31" t="s">
        <v>4897</v>
      </c>
      <c r="B4747" s="44" t="n">
        <v>46268</v>
      </c>
      <c r="C4747" s="31" t="s">
        <v>58</v>
      </c>
      <c r="D4747" s="31" t="s">
        <v>69</v>
      </c>
      <c r="E4747" s="31" t="s">
        <v>50</v>
      </c>
      <c r="F4747" s="31" t="s">
        <v>121</v>
      </c>
      <c r="G4747" s="31" t="n">
        <v>21</v>
      </c>
      <c r="H4747" s="41" t="n">
        <v>18.3</v>
      </c>
      <c r="I4747" s="31" t="s">
        <v>149</v>
      </c>
      <c r="J4747" s="31"/>
      <c r="K4747" s="31" t="s">
        <v>150</v>
      </c>
      <c r="L4747" s="45" t="n">
        <f aca="false">DATE(YEAR(B4747),MONTH(B4747),1)</f>
        <v>46266</v>
      </c>
      <c r="M4747" s="31" t="n">
        <f aca="false">WEEKDAY(B4747,2)</f>
        <v>4</v>
      </c>
      <c r="N4747" s="31" t="str">
        <f aca="false">IF(G4747&lt;=INDEX(Assumptions!$B$15:$B$18,MATCH(E4747,Assumptions!$A$15:$A$18,0)),"Yes","No")</f>
        <v>Yes</v>
      </c>
      <c r="O4747" s="31" t="str">
        <f aca="false">IF(H4747="","Open",IF(H4747&lt;=INDEX(Assumptions!$C$15:$C$18,MATCH(E4747,Assumptions!$A$15:$A$18,0)),"Yes","No"))</f>
        <v>No</v>
      </c>
    </row>
    <row r="4748" customFormat="false" ht="15" hidden="false" customHeight="false" outlineLevel="0" collapsed="false">
      <c r="A4748" s="31" t="s">
        <v>4898</v>
      </c>
      <c r="B4748" s="44" t="n">
        <v>46268</v>
      </c>
      <c r="C4748" s="31" t="s">
        <v>58</v>
      </c>
      <c r="D4748" s="31" t="s">
        <v>65</v>
      </c>
      <c r="E4748" s="31" t="s">
        <v>52</v>
      </c>
      <c r="F4748" s="31" t="s">
        <v>133</v>
      </c>
      <c r="G4748" s="31" t="n">
        <v>11</v>
      </c>
      <c r="H4748" s="41" t="n">
        <v>12.8</v>
      </c>
      <c r="I4748" s="31" t="s">
        <v>149</v>
      </c>
      <c r="J4748" s="31" t="n">
        <v>5</v>
      </c>
      <c r="K4748" s="31" t="s">
        <v>150</v>
      </c>
      <c r="L4748" s="45" t="n">
        <f aca="false">DATE(YEAR(B4748),MONTH(B4748),1)</f>
        <v>46266</v>
      </c>
      <c r="M4748" s="31" t="n">
        <f aca="false">WEEKDAY(B4748,2)</f>
        <v>4</v>
      </c>
      <c r="N4748" s="31" t="str">
        <f aca="false">IF(G4748&lt;=INDEX(Assumptions!$B$15:$B$18,MATCH(E4748,Assumptions!$A$15:$A$18,0)),"Yes","No")</f>
        <v>Yes</v>
      </c>
      <c r="O4748" s="31" t="str">
        <f aca="false">IF(H4748="","Open",IF(H4748&lt;=INDEX(Assumptions!$C$15:$C$18,MATCH(E4748,Assumptions!$A$15:$A$18,0)),"Yes","No"))</f>
        <v>Yes</v>
      </c>
    </row>
    <row r="4749" customFormat="false" ht="15" hidden="false" customHeight="false" outlineLevel="0" collapsed="false">
      <c r="A4749" s="31" t="s">
        <v>4899</v>
      </c>
      <c r="B4749" s="44" t="n">
        <v>46268</v>
      </c>
      <c r="C4749" s="31" t="s">
        <v>57</v>
      </c>
      <c r="D4749" s="31" t="s">
        <v>65</v>
      </c>
      <c r="E4749" s="31" t="s">
        <v>51</v>
      </c>
      <c r="F4749" s="31" t="s">
        <v>137</v>
      </c>
      <c r="G4749" s="31" t="n">
        <v>20</v>
      </c>
      <c r="H4749" s="41" t="n">
        <v>5.9</v>
      </c>
      <c r="I4749" s="31" t="s">
        <v>149</v>
      </c>
      <c r="J4749" s="31" t="n">
        <v>5</v>
      </c>
      <c r="K4749" s="31" t="s">
        <v>150</v>
      </c>
      <c r="L4749" s="45" t="n">
        <f aca="false">DATE(YEAR(B4749),MONTH(B4749),1)</f>
        <v>46266</v>
      </c>
      <c r="M4749" s="31" t="n">
        <f aca="false">WEEKDAY(B4749,2)</f>
        <v>4</v>
      </c>
      <c r="N4749" s="31" t="str">
        <f aca="false">IF(G4749&lt;=INDEX(Assumptions!$B$15:$B$18,MATCH(E4749,Assumptions!$A$15:$A$18,0)),"Yes","No")</f>
        <v>Yes</v>
      </c>
      <c r="O4749" s="31" t="str">
        <f aca="false">IF(H4749="","Open",IF(H4749&lt;=INDEX(Assumptions!$C$15:$C$18,MATCH(E4749,Assumptions!$A$15:$A$18,0)),"Yes","No"))</f>
        <v>Yes</v>
      </c>
    </row>
    <row r="4750" customFormat="false" ht="15" hidden="false" customHeight="false" outlineLevel="0" collapsed="false">
      <c r="A4750" s="31" t="s">
        <v>4900</v>
      </c>
      <c r="B4750" s="44" t="n">
        <v>46268</v>
      </c>
      <c r="C4750" s="31" t="s">
        <v>58</v>
      </c>
      <c r="D4750" s="31" t="s">
        <v>65</v>
      </c>
      <c r="E4750" s="31" t="s">
        <v>49</v>
      </c>
      <c r="F4750" s="31" t="s">
        <v>137</v>
      </c>
      <c r="G4750" s="31" t="n">
        <v>14</v>
      </c>
      <c r="H4750" s="41" t="n">
        <v>3.7</v>
      </c>
      <c r="I4750" s="31" t="s">
        <v>149</v>
      </c>
      <c r="J4750" s="31"/>
      <c r="K4750" s="31" t="s">
        <v>150</v>
      </c>
      <c r="L4750" s="45" t="n">
        <f aca="false">DATE(YEAR(B4750),MONTH(B4750),1)</f>
        <v>46266</v>
      </c>
      <c r="M4750" s="31" t="n">
        <f aca="false">WEEKDAY(B4750,2)</f>
        <v>4</v>
      </c>
      <c r="N4750" s="31" t="str">
        <f aca="false">IF(G4750&lt;=INDEX(Assumptions!$B$15:$B$18,MATCH(E4750,Assumptions!$A$15:$A$18,0)),"Yes","No")</f>
        <v>Yes</v>
      </c>
      <c r="O4750" s="31" t="str">
        <f aca="false">IF(H4750="","Open",IF(H4750&lt;=INDEX(Assumptions!$C$15:$C$18,MATCH(E4750,Assumptions!$A$15:$A$18,0)),"Yes","No"))</f>
        <v>Yes</v>
      </c>
    </row>
    <row r="4751" customFormat="false" ht="15" hidden="false" customHeight="false" outlineLevel="0" collapsed="false">
      <c r="A4751" s="31" t="s">
        <v>4901</v>
      </c>
      <c r="B4751" s="44" t="n">
        <v>46268</v>
      </c>
      <c r="C4751" s="31" t="s">
        <v>60</v>
      </c>
      <c r="D4751" s="31" t="s">
        <v>66</v>
      </c>
      <c r="E4751" s="31" t="s">
        <v>50</v>
      </c>
      <c r="F4751" s="31" t="s">
        <v>123</v>
      </c>
      <c r="G4751" s="31" t="n">
        <v>2</v>
      </c>
      <c r="H4751" s="41" t="n">
        <v>1.8</v>
      </c>
      <c r="I4751" s="31" t="s">
        <v>149</v>
      </c>
      <c r="J4751" s="31" t="n">
        <v>4</v>
      </c>
      <c r="K4751" s="31" t="s">
        <v>150</v>
      </c>
      <c r="L4751" s="45" t="n">
        <f aca="false">DATE(YEAR(B4751),MONTH(B4751),1)</f>
        <v>46266</v>
      </c>
      <c r="M4751" s="31" t="n">
        <f aca="false">WEEKDAY(B4751,2)</f>
        <v>4</v>
      </c>
      <c r="N4751" s="31" t="str">
        <f aca="false">IF(G4751&lt;=INDEX(Assumptions!$B$15:$B$18,MATCH(E4751,Assumptions!$A$15:$A$18,0)),"Yes","No")</f>
        <v>Yes</v>
      </c>
      <c r="O4751" s="31" t="str">
        <f aca="false">IF(H4751="","Open",IF(H4751&lt;=INDEX(Assumptions!$C$15:$C$18,MATCH(E4751,Assumptions!$A$15:$A$18,0)),"Yes","No"))</f>
        <v>Yes</v>
      </c>
    </row>
    <row r="4752" customFormat="false" ht="15" hidden="false" customHeight="false" outlineLevel="0" collapsed="false">
      <c r="A4752" s="31" t="s">
        <v>4902</v>
      </c>
      <c r="B4752" s="44" t="n">
        <v>46268</v>
      </c>
      <c r="C4752" s="31" t="s">
        <v>58</v>
      </c>
      <c r="D4752" s="31" t="s">
        <v>66</v>
      </c>
      <c r="E4752" s="31" t="s">
        <v>51</v>
      </c>
      <c r="F4752" s="31" t="s">
        <v>122</v>
      </c>
      <c r="G4752" s="31" t="n">
        <v>14</v>
      </c>
      <c r="H4752" s="41" t="n">
        <v>2.7</v>
      </c>
      <c r="I4752" s="31" t="s">
        <v>149</v>
      </c>
      <c r="J4752" s="31"/>
      <c r="K4752" s="31" t="s">
        <v>150</v>
      </c>
      <c r="L4752" s="45" t="n">
        <f aca="false">DATE(YEAR(B4752),MONTH(B4752),1)</f>
        <v>46266</v>
      </c>
      <c r="M4752" s="31" t="n">
        <f aca="false">WEEKDAY(B4752,2)</f>
        <v>4</v>
      </c>
      <c r="N4752" s="31" t="str">
        <f aca="false">IF(G4752&lt;=INDEX(Assumptions!$B$15:$B$18,MATCH(E4752,Assumptions!$A$15:$A$18,0)),"Yes","No")</f>
        <v>Yes</v>
      </c>
      <c r="O4752" s="31" t="str">
        <f aca="false">IF(H4752="","Open",IF(H4752&lt;=INDEX(Assumptions!$C$15:$C$18,MATCH(E4752,Assumptions!$A$15:$A$18,0)),"Yes","No"))</f>
        <v>Yes</v>
      </c>
    </row>
    <row r="4753" customFormat="false" ht="15" hidden="false" customHeight="false" outlineLevel="0" collapsed="false">
      <c r="A4753" s="31" t="s">
        <v>4903</v>
      </c>
      <c r="B4753" s="44" t="n">
        <v>46268</v>
      </c>
      <c r="C4753" s="31" t="s">
        <v>59</v>
      </c>
      <c r="D4753" s="31" t="s">
        <v>68</v>
      </c>
      <c r="E4753" s="31" t="s">
        <v>52</v>
      </c>
      <c r="F4753" s="31" t="s">
        <v>136</v>
      </c>
      <c r="G4753" s="31" t="n">
        <v>48</v>
      </c>
      <c r="H4753" s="41" t="n">
        <v>37.5</v>
      </c>
      <c r="I4753" s="31" t="s">
        <v>149</v>
      </c>
      <c r="J4753" s="31"/>
      <c r="K4753" s="31" t="s">
        <v>150</v>
      </c>
      <c r="L4753" s="45" t="n">
        <f aca="false">DATE(YEAR(B4753),MONTH(B4753),1)</f>
        <v>46266</v>
      </c>
      <c r="M4753" s="31" t="n">
        <f aca="false">WEEKDAY(B4753,2)</f>
        <v>4</v>
      </c>
      <c r="N4753" s="31" t="str">
        <f aca="false">IF(G4753&lt;=INDEX(Assumptions!$B$15:$B$18,MATCH(E4753,Assumptions!$A$15:$A$18,0)),"Yes","No")</f>
        <v>Yes</v>
      </c>
      <c r="O4753" s="31" t="str">
        <f aca="false">IF(H4753="","Open",IF(H4753&lt;=INDEX(Assumptions!$C$15:$C$18,MATCH(E4753,Assumptions!$A$15:$A$18,0)),"Yes","No"))</f>
        <v>Yes</v>
      </c>
    </row>
    <row r="4754" customFormat="false" ht="15" hidden="false" customHeight="false" outlineLevel="0" collapsed="false">
      <c r="A4754" s="31" t="s">
        <v>4904</v>
      </c>
      <c r="B4754" s="44" t="n">
        <v>46268</v>
      </c>
      <c r="C4754" s="31" t="s">
        <v>57</v>
      </c>
      <c r="D4754" s="31" t="s">
        <v>66</v>
      </c>
      <c r="E4754" s="31" t="s">
        <v>52</v>
      </c>
      <c r="F4754" s="31" t="s">
        <v>136</v>
      </c>
      <c r="G4754" s="31" t="n">
        <v>4</v>
      </c>
      <c r="H4754" s="41" t="n">
        <v>10.9</v>
      </c>
      <c r="I4754" s="31" t="s">
        <v>149</v>
      </c>
      <c r="J4754" s="31"/>
      <c r="K4754" s="31" t="s">
        <v>150</v>
      </c>
      <c r="L4754" s="45" t="n">
        <f aca="false">DATE(YEAR(B4754),MONTH(B4754),1)</f>
        <v>46266</v>
      </c>
      <c r="M4754" s="31" t="n">
        <f aca="false">WEEKDAY(B4754,2)</f>
        <v>4</v>
      </c>
      <c r="N4754" s="31" t="str">
        <f aca="false">IF(G4754&lt;=INDEX(Assumptions!$B$15:$B$18,MATCH(E4754,Assumptions!$A$15:$A$18,0)),"Yes","No")</f>
        <v>Yes</v>
      </c>
      <c r="O4754" s="31" t="str">
        <f aca="false">IF(H4754="","Open",IF(H4754&lt;=INDEX(Assumptions!$C$15:$C$18,MATCH(E4754,Assumptions!$A$15:$A$18,0)),"Yes","No"))</f>
        <v>Yes</v>
      </c>
    </row>
    <row r="4755" customFormat="false" ht="15" hidden="false" customHeight="false" outlineLevel="0" collapsed="false">
      <c r="A4755" s="31" t="s">
        <v>4905</v>
      </c>
      <c r="B4755" s="44" t="n">
        <v>46268</v>
      </c>
      <c r="C4755" s="31" t="s">
        <v>60</v>
      </c>
      <c r="D4755" s="31" t="s">
        <v>67</v>
      </c>
      <c r="E4755" s="31" t="s">
        <v>51</v>
      </c>
      <c r="F4755" s="31" t="s">
        <v>133</v>
      </c>
      <c r="G4755" s="31" t="n">
        <v>3</v>
      </c>
      <c r="H4755" s="41" t="n">
        <v>20.1</v>
      </c>
      <c r="I4755" s="31" t="s">
        <v>149</v>
      </c>
      <c r="J4755" s="31"/>
      <c r="K4755" s="31" t="s">
        <v>150</v>
      </c>
      <c r="L4755" s="45" t="n">
        <f aca="false">DATE(YEAR(B4755),MONTH(B4755),1)</f>
        <v>46266</v>
      </c>
      <c r="M4755" s="31" t="n">
        <f aca="false">WEEKDAY(B4755,2)</f>
        <v>4</v>
      </c>
      <c r="N4755" s="31" t="str">
        <f aca="false">IF(G4755&lt;=INDEX(Assumptions!$B$15:$B$18,MATCH(E4755,Assumptions!$A$15:$A$18,0)),"Yes","No")</f>
        <v>Yes</v>
      </c>
      <c r="O4755" s="31" t="str">
        <f aca="false">IF(H4755="","Open",IF(H4755&lt;=INDEX(Assumptions!$C$15:$C$18,MATCH(E4755,Assumptions!$A$15:$A$18,0)),"Yes","No"))</f>
        <v>Yes</v>
      </c>
    </row>
    <row r="4756" customFormat="false" ht="15" hidden="false" customHeight="false" outlineLevel="0" collapsed="false">
      <c r="A4756" s="31" t="s">
        <v>4906</v>
      </c>
      <c r="B4756" s="44" t="n">
        <v>46268</v>
      </c>
      <c r="C4756" s="31" t="s">
        <v>60</v>
      </c>
      <c r="D4756" s="31" t="s">
        <v>67</v>
      </c>
      <c r="E4756" s="31" t="s">
        <v>52</v>
      </c>
      <c r="F4756" s="31" t="s">
        <v>120</v>
      </c>
      <c r="G4756" s="31" t="n">
        <v>5</v>
      </c>
      <c r="H4756" s="41" t="n">
        <v>27.1</v>
      </c>
      <c r="I4756" s="31" t="s">
        <v>149</v>
      </c>
      <c r="J4756" s="31"/>
      <c r="K4756" s="31" t="s">
        <v>150</v>
      </c>
      <c r="L4756" s="45" t="n">
        <f aca="false">DATE(YEAR(B4756),MONTH(B4756),1)</f>
        <v>46266</v>
      </c>
      <c r="M4756" s="31" t="n">
        <f aca="false">WEEKDAY(B4756,2)</f>
        <v>4</v>
      </c>
      <c r="N4756" s="31" t="str">
        <f aca="false">IF(G4756&lt;=INDEX(Assumptions!$B$15:$B$18,MATCH(E4756,Assumptions!$A$15:$A$18,0)),"Yes","No")</f>
        <v>Yes</v>
      </c>
      <c r="O4756" s="31" t="str">
        <f aca="false">IF(H4756="","Open",IF(H4756&lt;=INDEX(Assumptions!$C$15:$C$18,MATCH(E4756,Assumptions!$A$15:$A$18,0)),"Yes","No"))</f>
        <v>Yes</v>
      </c>
    </row>
    <row r="4757" customFormat="false" ht="15" hidden="false" customHeight="false" outlineLevel="0" collapsed="false">
      <c r="A4757" s="31" t="s">
        <v>4907</v>
      </c>
      <c r="B4757" s="44" t="n">
        <v>46268</v>
      </c>
      <c r="C4757" s="31" t="s">
        <v>60</v>
      </c>
      <c r="D4757" s="31" t="s">
        <v>66</v>
      </c>
      <c r="E4757" s="31" t="s">
        <v>52</v>
      </c>
      <c r="F4757" s="31" t="s">
        <v>133</v>
      </c>
      <c r="G4757" s="31" t="n">
        <v>2</v>
      </c>
      <c r="H4757" s="41" t="n">
        <v>2.8</v>
      </c>
      <c r="I4757" s="31" t="s">
        <v>149</v>
      </c>
      <c r="J4757" s="31"/>
      <c r="K4757" s="31" t="s">
        <v>150</v>
      </c>
      <c r="L4757" s="45" t="n">
        <f aca="false">DATE(YEAR(B4757),MONTH(B4757),1)</f>
        <v>46266</v>
      </c>
      <c r="M4757" s="31" t="n">
        <f aca="false">WEEKDAY(B4757,2)</f>
        <v>4</v>
      </c>
      <c r="N4757" s="31" t="str">
        <f aca="false">IF(G4757&lt;=INDEX(Assumptions!$B$15:$B$18,MATCH(E4757,Assumptions!$A$15:$A$18,0)),"Yes","No")</f>
        <v>Yes</v>
      </c>
      <c r="O4757" s="31" t="str">
        <f aca="false">IF(H4757="","Open",IF(H4757&lt;=INDEX(Assumptions!$C$15:$C$18,MATCH(E4757,Assumptions!$A$15:$A$18,0)),"Yes","No"))</f>
        <v>Yes</v>
      </c>
    </row>
    <row r="4758" customFormat="false" ht="15" hidden="false" customHeight="false" outlineLevel="0" collapsed="false">
      <c r="A4758" s="31" t="s">
        <v>4908</v>
      </c>
      <c r="B4758" s="44" t="n">
        <v>46268</v>
      </c>
      <c r="C4758" s="31" t="s">
        <v>58</v>
      </c>
      <c r="D4758" s="31" t="s">
        <v>67</v>
      </c>
      <c r="E4758" s="31" t="s">
        <v>51</v>
      </c>
      <c r="F4758" s="31" t="s">
        <v>121</v>
      </c>
      <c r="G4758" s="31" t="n">
        <v>18</v>
      </c>
      <c r="H4758" s="41" t="n">
        <v>17.8</v>
      </c>
      <c r="I4758" s="31" t="s">
        <v>149</v>
      </c>
      <c r="J4758" s="31"/>
      <c r="K4758" s="31" t="s">
        <v>150</v>
      </c>
      <c r="L4758" s="45" t="n">
        <f aca="false">DATE(YEAR(B4758),MONTH(B4758),1)</f>
        <v>46266</v>
      </c>
      <c r="M4758" s="31" t="n">
        <f aca="false">WEEKDAY(B4758,2)</f>
        <v>4</v>
      </c>
      <c r="N4758" s="31" t="str">
        <f aca="false">IF(G4758&lt;=INDEX(Assumptions!$B$15:$B$18,MATCH(E4758,Assumptions!$A$15:$A$18,0)),"Yes","No")</f>
        <v>Yes</v>
      </c>
      <c r="O4758" s="31" t="str">
        <f aca="false">IF(H4758="","Open",IF(H4758&lt;=INDEX(Assumptions!$C$15:$C$18,MATCH(E4758,Assumptions!$A$15:$A$18,0)),"Yes","No"))</f>
        <v>Yes</v>
      </c>
    </row>
    <row r="4759" customFormat="false" ht="15" hidden="false" customHeight="false" outlineLevel="0" collapsed="false">
      <c r="A4759" s="31" t="s">
        <v>4909</v>
      </c>
      <c r="B4759" s="44" t="n">
        <v>46268</v>
      </c>
      <c r="C4759" s="31" t="s">
        <v>59</v>
      </c>
      <c r="D4759" s="31" t="s">
        <v>65</v>
      </c>
      <c r="E4759" s="31" t="s">
        <v>51</v>
      </c>
      <c r="F4759" s="31" t="s">
        <v>134</v>
      </c>
      <c r="G4759" s="31" t="n">
        <v>26</v>
      </c>
      <c r="H4759" s="41" t="n">
        <v>16.9</v>
      </c>
      <c r="I4759" s="31" t="s">
        <v>149</v>
      </c>
      <c r="J4759" s="31"/>
      <c r="K4759" s="31" t="s">
        <v>150</v>
      </c>
      <c r="L4759" s="45" t="n">
        <f aca="false">DATE(YEAR(B4759),MONTH(B4759),1)</f>
        <v>46266</v>
      </c>
      <c r="M4759" s="31" t="n">
        <f aca="false">WEEKDAY(B4759,2)</f>
        <v>4</v>
      </c>
      <c r="N4759" s="31" t="str">
        <f aca="false">IF(G4759&lt;=INDEX(Assumptions!$B$15:$B$18,MATCH(E4759,Assumptions!$A$15:$A$18,0)),"Yes","No")</f>
        <v>Yes</v>
      </c>
      <c r="O4759" s="31" t="str">
        <f aca="false">IF(H4759="","Open",IF(H4759&lt;=INDEX(Assumptions!$C$15:$C$18,MATCH(E4759,Assumptions!$A$15:$A$18,0)),"Yes","No"))</f>
        <v>Yes</v>
      </c>
    </row>
    <row r="4760" customFormat="false" ht="15" hidden="false" customHeight="false" outlineLevel="0" collapsed="false">
      <c r="A4760" s="31" t="s">
        <v>4910</v>
      </c>
      <c r="B4760" s="44" t="n">
        <v>46268</v>
      </c>
      <c r="C4760" s="31" t="s">
        <v>57</v>
      </c>
      <c r="D4760" s="31" t="s">
        <v>65</v>
      </c>
      <c r="E4760" s="31" t="s">
        <v>52</v>
      </c>
      <c r="F4760" s="31" t="s">
        <v>131</v>
      </c>
      <c r="G4760" s="31" t="n">
        <v>4</v>
      </c>
      <c r="H4760" s="41" t="n">
        <v>9.1</v>
      </c>
      <c r="I4760" s="31" t="s">
        <v>149</v>
      </c>
      <c r="J4760" s="31" t="n">
        <v>5</v>
      </c>
      <c r="K4760" s="31" t="s">
        <v>150</v>
      </c>
      <c r="L4760" s="45" t="n">
        <f aca="false">DATE(YEAR(B4760),MONTH(B4760),1)</f>
        <v>46266</v>
      </c>
      <c r="M4760" s="31" t="n">
        <f aca="false">WEEKDAY(B4760,2)</f>
        <v>4</v>
      </c>
      <c r="N4760" s="31" t="str">
        <f aca="false">IF(G4760&lt;=INDEX(Assumptions!$B$15:$B$18,MATCH(E4760,Assumptions!$A$15:$A$18,0)),"Yes","No")</f>
        <v>Yes</v>
      </c>
      <c r="O4760" s="31" t="str">
        <f aca="false">IF(H4760="","Open",IF(H4760&lt;=INDEX(Assumptions!$C$15:$C$18,MATCH(E4760,Assumptions!$A$15:$A$18,0)),"Yes","No"))</f>
        <v>Yes</v>
      </c>
    </row>
    <row r="4761" customFormat="false" ht="15" hidden="false" customHeight="false" outlineLevel="0" collapsed="false">
      <c r="A4761" s="31" t="s">
        <v>4911</v>
      </c>
      <c r="B4761" s="44" t="n">
        <v>46268</v>
      </c>
      <c r="C4761" s="31" t="s">
        <v>60</v>
      </c>
      <c r="D4761" s="31" t="s">
        <v>66</v>
      </c>
      <c r="E4761" s="31" t="s">
        <v>52</v>
      </c>
      <c r="F4761" s="31" t="s">
        <v>127</v>
      </c>
      <c r="G4761" s="31" t="n">
        <v>3</v>
      </c>
      <c r="H4761" s="41" t="n">
        <v>7.6</v>
      </c>
      <c r="I4761" s="31" t="s">
        <v>149</v>
      </c>
      <c r="J4761" s="31"/>
      <c r="K4761" s="31" t="s">
        <v>150</v>
      </c>
      <c r="L4761" s="45" t="n">
        <f aca="false">DATE(YEAR(B4761),MONTH(B4761),1)</f>
        <v>46266</v>
      </c>
      <c r="M4761" s="31" t="n">
        <f aca="false">WEEKDAY(B4761,2)</f>
        <v>4</v>
      </c>
      <c r="N4761" s="31" t="str">
        <f aca="false">IF(G4761&lt;=INDEX(Assumptions!$B$15:$B$18,MATCH(E4761,Assumptions!$A$15:$A$18,0)),"Yes","No")</f>
        <v>Yes</v>
      </c>
      <c r="O4761" s="31" t="str">
        <f aca="false">IF(H4761="","Open",IF(H4761&lt;=INDEX(Assumptions!$C$15:$C$18,MATCH(E4761,Assumptions!$A$15:$A$18,0)),"Yes","No"))</f>
        <v>Yes</v>
      </c>
    </row>
    <row r="4762" customFormat="false" ht="15" hidden="false" customHeight="false" outlineLevel="0" collapsed="false">
      <c r="A4762" s="31" t="s">
        <v>4912</v>
      </c>
      <c r="B4762" s="44" t="n">
        <v>46268</v>
      </c>
      <c r="C4762" s="31" t="s">
        <v>57</v>
      </c>
      <c r="D4762" s="31" t="s">
        <v>66</v>
      </c>
      <c r="E4762" s="31" t="s">
        <v>51</v>
      </c>
      <c r="F4762" s="31" t="s">
        <v>124</v>
      </c>
      <c r="G4762" s="31" t="n">
        <v>3</v>
      </c>
      <c r="H4762" s="41" t="n">
        <v>24</v>
      </c>
      <c r="I4762" s="31" t="s">
        <v>64</v>
      </c>
      <c r="J4762" s="31" t="n">
        <v>2</v>
      </c>
      <c r="K4762" s="31" t="s">
        <v>150</v>
      </c>
      <c r="L4762" s="45" t="n">
        <f aca="false">DATE(YEAR(B4762),MONTH(B4762),1)</f>
        <v>46266</v>
      </c>
      <c r="M4762" s="31" t="n">
        <f aca="false">WEEKDAY(B4762,2)</f>
        <v>4</v>
      </c>
      <c r="N4762" s="31" t="str">
        <f aca="false">IF(G4762&lt;=INDEX(Assumptions!$B$15:$B$18,MATCH(E4762,Assumptions!$A$15:$A$18,0)),"Yes","No")</f>
        <v>Yes</v>
      </c>
      <c r="O4762" s="31" t="str">
        <f aca="false">IF(H4762="","Open",IF(H4762&lt;=INDEX(Assumptions!$C$15:$C$18,MATCH(E4762,Assumptions!$A$15:$A$18,0)),"Yes","No"))</f>
        <v>Yes</v>
      </c>
    </row>
    <row r="4763" customFormat="false" ht="15" hidden="false" customHeight="false" outlineLevel="0" collapsed="false">
      <c r="A4763" s="31" t="s">
        <v>4913</v>
      </c>
      <c r="B4763" s="44" t="n">
        <v>46268</v>
      </c>
      <c r="C4763" s="31" t="s">
        <v>58</v>
      </c>
      <c r="D4763" s="31" t="s">
        <v>67</v>
      </c>
      <c r="E4763" s="31" t="s">
        <v>52</v>
      </c>
      <c r="F4763" s="31" t="s">
        <v>117</v>
      </c>
      <c r="G4763" s="31" t="n">
        <v>21</v>
      </c>
      <c r="H4763" s="41" t="n">
        <v>5.1</v>
      </c>
      <c r="I4763" s="31" t="s">
        <v>149</v>
      </c>
      <c r="J4763" s="31" t="n">
        <v>5</v>
      </c>
      <c r="K4763" s="31" t="s">
        <v>150</v>
      </c>
      <c r="L4763" s="45" t="n">
        <f aca="false">DATE(YEAR(B4763),MONTH(B4763),1)</f>
        <v>46266</v>
      </c>
      <c r="M4763" s="31" t="n">
        <f aca="false">WEEKDAY(B4763,2)</f>
        <v>4</v>
      </c>
      <c r="N4763" s="31" t="str">
        <f aca="false">IF(G4763&lt;=INDEX(Assumptions!$B$15:$B$18,MATCH(E4763,Assumptions!$A$15:$A$18,0)),"Yes","No")</f>
        <v>Yes</v>
      </c>
      <c r="O4763" s="31" t="str">
        <f aca="false">IF(H4763="","Open",IF(H4763&lt;=INDEX(Assumptions!$C$15:$C$18,MATCH(E4763,Assumptions!$A$15:$A$18,0)),"Yes","No"))</f>
        <v>Yes</v>
      </c>
    </row>
    <row r="4764" customFormat="false" ht="15" hidden="false" customHeight="false" outlineLevel="0" collapsed="false">
      <c r="A4764" s="31" t="s">
        <v>4914</v>
      </c>
      <c r="B4764" s="44" t="n">
        <v>46268</v>
      </c>
      <c r="C4764" s="31" t="s">
        <v>57</v>
      </c>
      <c r="D4764" s="31" t="s">
        <v>66</v>
      </c>
      <c r="E4764" s="31" t="s">
        <v>51</v>
      </c>
      <c r="F4764" s="31" t="s">
        <v>127</v>
      </c>
      <c r="G4764" s="31" t="n">
        <v>5</v>
      </c>
      <c r="H4764" s="41" t="n">
        <v>0.8</v>
      </c>
      <c r="I4764" s="31" t="s">
        <v>149</v>
      </c>
      <c r="J4764" s="31"/>
      <c r="K4764" s="31" t="s">
        <v>150</v>
      </c>
      <c r="L4764" s="45" t="n">
        <f aca="false">DATE(YEAR(B4764),MONTH(B4764),1)</f>
        <v>46266</v>
      </c>
      <c r="M4764" s="31" t="n">
        <f aca="false">WEEKDAY(B4764,2)</f>
        <v>4</v>
      </c>
      <c r="N4764" s="31" t="str">
        <f aca="false">IF(G4764&lt;=INDEX(Assumptions!$B$15:$B$18,MATCH(E4764,Assumptions!$A$15:$A$18,0)),"Yes","No")</f>
        <v>Yes</v>
      </c>
      <c r="O4764" s="31" t="str">
        <f aca="false">IF(H4764="","Open",IF(H4764&lt;=INDEX(Assumptions!$C$15:$C$18,MATCH(E4764,Assumptions!$A$15:$A$18,0)),"Yes","No"))</f>
        <v>Yes</v>
      </c>
    </row>
    <row r="4765" customFormat="false" ht="15" hidden="false" customHeight="false" outlineLevel="0" collapsed="false">
      <c r="A4765" s="31" t="s">
        <v>4915</v>
      </c>
      <c r="B4765" s="44" t="n">
        <v>46268</v>
      </c>
      <c r="C4765" s="31" t="s">
        <v>57</v>
      </c>
      <c r="D4765" s="31" t="s">
        <v>68</v>
      </c>
      <c r="E4765" s="31" t="s">
        <v>50</v>
      </c>
      <c r="F4765" s="31" t="s">
        <v>126</v>
      </c>
      <c r="G4765" s="31" t="n">
        <v>2</v>
      </c>
      <c r="H4765" s="41" t="n">
        <v>0.9</v>
      </c>
      <c r="I4765" s="31" t="s">
        <v>149</v>
      </c>
      <c r="J4765" s="31" t="n">
        <v>4</v>
      </c>
      <c r="K4765" s="31" t="s">
        <v>150</v>
      </c>
      <c r="L4765" s="45" t="n">
        <f aca="false">DATE(YEAR(B4765),MONTH(B4765),1)</f>
        <v>46266</v>
      </c>
      <c r="M4765" s="31" t="n">
        <f aca="false">WEEKDAY(B4765,2)</f>
        <v>4</v>
      </c>
      <c r="N4765" s="31" t="str">
        <f aca="false">IF(G4765&lt;=INDEX(Assumptions!$B$15:$B$18,MATCH(E4765,Assumptions!$A$15:$A$18,0)),"Yes","No")</f>
        <v>Yes</v>
      </c>
      <c r="O4765" s="31" t="str">
        <f aca="false">IF(H4765="","Open",IF(H4765&lt;=INDEX(Assumptions!$C$15:$C$18,MATCH(E4765,Assumptions!$A$15:$A$18,0)),"Yes","No"))</f>
        <v>Yes</v>
      </c>
    </row>
    <row r="4766" customFormat="false" ht="15" hidden="false" customHeight="false" outlineLevel="0" collapsed="false">
      <c r="A4766" s="31" t="s">
        <v>4916</v>
      </c>
      <c r="B4766" s="44" t="n">
        <v>46268</v>
      </c>
      <c r="C4766" s="31" t="s">
        <v>59</v>
      </c>
      <c r="D4766" s="31" t="s">
        <v>65</v>
      </c>
      <c r="E4766" s="31" t="s">
        <v>51</v>
      </c>
      <c r="F4766" s="31" t="s">
        <v>130</v>
      </c>
      <c r="G4766" s="31" t="n">
        <v>34</v>
      </c>
      <c r="H4766" s="41" t="n">
        <v>32.5</v>
      </c>
      <c r="I4766" s="31" t="s">
        <v>149</v>
      </c>
      <c r="J4766" s="31" t="n">
        <v>5</v>
      </c>
      <c r="K4766" s="31" t="s">
        <v>150</v>
      </c>
      <c r="L4766" s="45" t="n">
        <f aca="false">DATE(YEAR(B4766),MONTH(B4766),1)</f>
        <v>46266</v>
      </c>
      <c r="M4766" s="31" t="n">
        <f aca="false">WEEKDAY(B4766,2)</f>
        <v>4</v>
      </c>
      <c r="N4766" s="31" t="str">
        <f aca="false">IF(G4766&lt;=INDEX(Assumptions!$B$15:$B$18,MATCH(E4766,Assumptions!$A$15:$A$18,0)),"Yes","No")</f>
        <v>Yes</v>
      </c>
      <c r="O4766" s="31" t="str">
        <f aca="false">IF(H4766="","Open",IF(H4766&lt;=INDEX(Assumptions!$C$15:$C$18,MATCH(E4766,Assumptions!$A$15:$A$18,0)),"Yes","No"))</f>
        <v>No</v>
      </c>
    </row>
    <row r="4767" customFormat="false" ht="15" hidden="false" customHeight="false" outlineLevel="0" collapsed="false">
      <c r="A4767" s="31" t="s">
        <v>4917</v>
      </c>
      <c r="B4767" s="44" t="n">
        <v>46268</v>
      </c>
      <c r="C4767" s="31" t="s">
        <v>60</v>
      </c>
      <c r="D4767" s="31" t="s">
        <v>65</v>
      </c>
      <c r="E4767" s="31" t="s">
        <v>50</v>
      </c>
      <c r="F4767" s="31" t="s">
        <v>120</v>
      </c>
      <c r="G4767" s="31" t="n">
        <v>5</v>
      </c>
      <c r="H4767" s="41" t="n">
        <v>11.3</v>
      </c>
      <c r="I4767" s="31" t="s">
        <v>149</v>
      </c>
      <c r="J4767" s="31" t="n">
        <v>3</v>
      </c>
      <c r="K4767" s="31" t="s">
        <v>150</v>
      </c>
      <c r="L4767" s="45" t="n">
        <f aca="false">DATE(YEAR(B4767),MONTH(B4767),1)</f>
        <v>46266</v>
      </c>
      <c r="M4767" s="31" t="n">
        <f aca="false">WEEKDAY(B4767,2)</f>
        <v>4</v>
      </c>
      <c r="N4767" s="31" t="str">
        <f aca="false">IF(G4767&lt;=INDEX(Assumptions!$B$15:$B$18,MATCH(E4767,Assumptions!$A$15:$A$18,0)),"Yes","No")</f>
        <v>Yes</v>
      </c>
      <c r="O4767" s="31" t="str">
        <f aca="false">IF(H4767="","Open",IF(H4767&lt;=INDEX(Assumptions!$C$15:$C$18,MATCH(E4767,Assumptions!$A$15:$A$18,0)),"Yes","No"))</f>
        <v>No</v>
      </c>
    </row>
    <row r="4768" customFormat="false" ht="15" hidden="false" customHeight="false" outlineLevel="0" collapsed="false">
      <c r="A4768" s="31" t="s">
        <v>4918</v>
      </c>
      <c r="B4768" s="44" t="n">
        <v>46268</v>
      </c>
      <c r="C4768" s="31" t="s">
        <v>59</v>
      </c>
      <c r="D4768" s="31" t="s">
        <v>68</v>
      </c>
      <c r="E4768" s="31" t="s">
        <v>50</v>
      </c>
      <c r="F4768" s="31" t="s">
        <v>131</v>
      </c>
      <c r="G4768" s="31" t="n">
        <v>67</v>
      </c>
      <c r="H4768" s="41" t="n">
        <v>1.3</v>
      </c>
      <c r="I4768" s="31" t="s">
        <v>149</v>
      </c>
      <c r="J4768" s="31"/>
      <c r="K4768" s="31" t="s">
        <v>150</v>
      </c>
      <c r="L4768" s="45" t="n">
        <f aca="false">DATE(YEAR(B4768),MONTH(B4768),1)</f>
        <v>46266</v>
      </c>
      <c r="M4768" s="31" t="n">
        <f aca="false">WEEKDAY(B4768,2)</f>
        <v>4</v>
      </c>
      <c r="N4768" s="31" t="str">
        <f aca="false">IF(G4768&lt;=INDEX(Assumptions!$B$15:$B$18,MATCH(E4768,Assumptions!$A$15:$A$18,0)),"Yes","No")</f>
        <v>No</v>
      </c>
      <c r="O4768" s="31" t="str">
        <f aca="false">IF(H4768="","Open",IF(H4768&lt;=INDEX(Assumptions!$C$15:$C$18,MATCH(E4768,Assumptions!$A$15:$A$18,0)),"Yes","No"))</f>
        <v>Yes</v>
      </c>
    </row>
    <row r="4769" customFormat="false" ht="15" hidden="false" customHeight="false" outlineLevel="0" collapsed="false">
      <c r="A4769" s="31" t="s">
        <v>4919</v>
      </c>
      <c r="B4769" s="44" t="n">
        <v>46269</v>
      </c>
      <c r="C4769" s="31" t="s">
        <v>58</v>
      </c>
      <c r="D4769" s="31" t="s">
        <v>65</v>
      </c>
      <c r="E4769" s="31" t="s">
        <v>51</v>
      </c>
      <c r="F4769" s="31" t="s">
        <v>135</v>
      </c>
      <c r="G4769" s="31" t="n">
        <v>18</v>
      </c>
      <c r="H4769" s="41" t="n">
        <v>33.6</v>
      </c>
      <c r="I4769" s="31" t="s">
        <v>149</v>
      </c>
      <c r="J4769" s="31"/>
      <c r="K4769" s="31" t="s">
        <v>150</v>
      </c>
      <c r="L4769" s="45" t="n">
        <f aca="false">DATE(YEAR(B4769),MONTH(B4769),1)</f>
        <v>46266</v>
      </c>
      <c r="M4769" s="31" t="n">
        <f aca="false">WEEKDAY(B4769,2)</f>
        <v>5</v>
      </c>
      <c r="N4769" s="31" t="str">
        <f aca="false">IF(G4769&lt;=INDEX(Assumptions!$B$15:$B$18,MATCH(E4769,Assumptions!$A$15:$A$18,0)),"Yes","No")</f>
        <v>Yes</v>
      </c>
      <c r="O4769" s="31" t="str">
        <f aca="false">IF(H4769="","Open",IF(H4769&lt;=INDEX(Assumptions!$C$15:$C$18,MATCH(E4769,Assumptions!$A$15:$A$18,0)),"Yes","No"))</f>
        <v>No</v>
      </c>
    </row>
    <row r="4770" customFormat="false" ht="15" hidden="false" customHeight="false" outlineLevel="0" collapsed="false">
      <c r="A4770" s="31" t="s">
        <v>4920</v>
      </c>
      <c r="B4770" s="44" t="n">
        <v>46269</v>
      </c>
      <c r="C4770" s="31" t="s">
        <v>59</v>
      </c>
      <c r="D4770" s="31" t="s">
        <v>67</v>
      </c>
      <c r="E4770" s="31" t="s">
        <v>51</v>
      </c>
      <c r="F4770" s="31" t="s">
        <v>128</v>
      </c>
      <c r="G4770" s="31" t="n">
        <v>27</v>
      </c>
      <c r="H4770" s="41" t="n">
        <v>13</v>
      </c>
      <c r="I4770" s="31" t="s">
        <v>149</v>
      </c>
      <c r="J4770" s="31"/>
      <c r="K4770" s="31" t="s">
        <v>153</v>
      </c>
      <c r="L4770" s="45" t="n">
        <f aca="false">DATE(YEAR(B4770),MONTH(B4770),1)</f>
        <v>46266</v>
      </c>
      <c r="M4770" s="31" t="n">
        <f aca="false">WEEKDAY(B4770,2)</f>
        <v>5</v>
      </c>
      <c r="N4770" s="31" t="str">
        <f aca="false">IF(G4770&lt;=INDEX(Assumptions!$B$15:$B$18,MATCH(E4770,Assumptions!$A$15:$A$18,0)),"Yes","No")</f>
        <v>Yes</v>
      </c>
      <c r="O4770" s="31" t="str">
        <f aca="false">IF(H4770="","Open",IF(H4770&lt;=INDEX(Assumptions!$C$15:$C$18,MATCH(E4770,Assumptions!$A$15:$A$18,0)),"Yes","No"))</f>
        <v>Yes</v>
      </c>
    </row>
    <row r="4771" customFormat="false" ht="15" hidden="false" customHeight="false" outlineLevel="0" collapsed="false">
      <c r="A4771" s="31" t="s">
        <v>4921</v>
      </c>
      <c r="B4771" s="44" t="n">
        <v>46269</v>
      </c>
      <c r="C4771" s="31" t="s">
        <v>59</v>
      </c>
      <c r="D4771" s="31" t="s">
        <v>65</v>
      </c>
      <c r="E4771" s="31" t="s">
        <v>52</v>
      </c>
      <c r="F4771" s="31" t="s">
        <v>136</v>
      </c>
      <c r="G4771" s="31" t="n">
        <v>123</v>
      </c>
      <c r="H4771" s="41" t="n">
        <v>13</v>
      </c>
      <c r="I4771" s="31" t="s">
        <v>149</v>
      </c>
      <c r="J4771" s="31" t="n">
        <v>5</v>
      </c>
      <c r="K4771" s="31" t="s">
        <v>150</v>
      </c>
      <c r="L4771" s="45" t="n">
        <f aca="false">DATE(YEAR(B4771),MONTH(B4771),1)</f>
        <v>46266</v>
      </c>
      <c r="M4771" s="31" t="n">
        <f aca="false">WEEKDAY(B4771,2)</f>
        <v>5</v>
      </c>
      <c r="N4771" s="31" t="str">
        <f aca="false">IF(G4771&lt;=INDEX(Assumptions!$B$15:$B$18,MATCH(E4771,Assumptions!$A$15:$A$18,0)),"Yes","No")</f>
        <v>Yes</v>
      </c>
      <c r="O4771" s="31" t="str">
        <f aca="false">IF(H4771="","Open",IF(H4771&lt;=INDEX(Assumptions!$C$15:$C$18,MATCH(E4771,Assumptions!$A$15:$A$18,0)),"Yes","No"))</f>
        <v>Yes</v>
      </c>
    </row>
    <row r="4772" customFormat="false" ht="15" hidden="false" customHeight="false" outlineLevel="0" collapsed="false">
      <c r="A4772" s="31" t="s">
        <v>4922</v>
      </c>
      <c r="B4772" s="44" t="n">
        <v>46269</v>
      </c>
      <c r="C4772" s="31" t="s">
        <v>57</v>
      </c>
      <c r="D4772" s="31" t="s">
        <v>66</v>
      </c>
      <c r="E4772" s="31" t="s">
        <v>50</v>
      </c>
      <c r="F4772" s="31" t="s">
        <v>136</v>
      </c>
      <c r="G4772" s="31" t="n">
        <v>1</v>
      </c>
      <c r="H4772" s="41" t="n">
        <v>14.6</v>
      </c>
      <c r="I4772" s="31" t="s">
        <v>149</v>
      </c>
      <c r="J4772" s="31" t="n">
        <v>4</v>
      </c>
      <c r="K4772" s="31" t="s">
        <v>150</v>
      </c>
      <c r="L4772" s="45" t="n">
        <f aca="false">DATE(YEAR(B4772),MONTH(B4772),1)</f>
        <v>46266</v>
      </c>
      <c r="M4772" s="31" t="n">
        <f aca="false">WEEKDAY(B4772,2)</f>
        <v>5</v>
      </c>
      <c r="N4772" s="31" t="str">
        <f aca="false">IF(G4772&lt;=INDEX(Assumptions!$B$15:$B$18,MATCH(E4772,Assumptions!$A$15:$A$18,0)),"Yes","No")</f>
        <v>Yes</v>
      </c>
      <c r="O4772" s="31" t="str">
        <f aca="false">IF(H4772="","Open",IF(H4772&lt;=INDEX(Assumptions!$C$15:$C$18,MATCH(E4772,Assumptions!$A$15:$A$18,0)),"Yes","No"))</f>
        <v>No</v>
      </c>
    </row>
    <row r="4773" customFormat="false" ht="15" hidden="false" customHeight="false" outlineLevel="0" collapsed="false">
      <c r="A4773" s="31" t="s">
        <v>4923</v>
      </c>
      <c r="B4773" s="44" t="n">
        <v>46269</v>
      </c>
      <c r="C4773" s="31" t="s">
        <v>58</v>
      </c>
      <c r="D4773" s="31" t="s">
        <v>65</v>
      </c>
      <c r="E4773" s="31" t="s">
        <v>50</v>
      </c>
      <c r="F4773" s="31" t="s">
        <v>127</v>
      </c>
      <c r="G4773" s="31" t="n">
        <v>10</v>
      </c>
      <c r="H4773" s="41" t="n">
        <v>11.5</v>
      </c>
      <c r="I4773" s="31" t="s">
        <v>149</v>
      </c>
      <c r="J4773" s="31"/>
      <c r="K4773" s="31" t="s">
        <v>150</v>
      </c>
      <c r="L4773" s="45" t="n">
        <f aca="false">DATE(YEAR(B4773),MONTH(B4773),1)</f>
        <v>46266</v>
      </c>
      <c r="M4773" s="31" t="n">
        <f aca="false">WEEKDAY(B4773,2)</f>
        <v>5</v>
      </c>
      <c r="N4773" s="31" t="str">
        <f aca="false">IF(G4773&lt;=INDEX(Assumptions!$B$15:$B$18,MATCH(E4773,Assumptions!$A$15:$A$18,0)),"Yes","No")</f>
        <v>Yes</v>
      </c>
      <c r="O4773" s="31" t="str">
        <f aca="false">IF(H4773="","Open",IF(H4773&lt;=INDEX(Assumptions!$C$15:$C$18,MATCH(E4773,Assumptions!$A$15:$A$18,0)),"Yes","No"))</f>
        <v>No</v>
      </c>
    </row>
    <row r="4774" customFormat="false" ht="15" hidden="false" customHeight="false" outlineLevel="0" collapsed="false">
      <c r="A4774" s="31" t="s">
        <v>4924</v>
      </c>
      <c r="B4774" s="44" t="n">
        <v>46269</v>
      </c>
      <c r="C4774" s="31" t="s">
        <v>59</v>
      </c>
      <c r="D4774" s="31" t="s">
        <v>66</v>
      </c>
      <c r="E4774" s="31" t="s">
        <v>51</v>
      </c>
      <c r="F4774" s="31" t="s">
        <v>129</v>
      </c>
      <c r="G4774" s="31" t="n">
        <v>36</v>
      </c>
      <c r="H4774" s="41" t="n">
        <v>4.2</v>
      </c>
      <c r="I4774" s="31" t="s">
        <v>149</v>
      </c>
      <c r="J4774" s="31"/>
      <c r="K4774" s="31" t="s">
        <v>150</v>
      </c>
      <c r="L4774" s="45" t="n">
        <f aca="false">DATE(YEAR(B4774),MONTH(B4774),1)</f>
        <v>46266</v>
      </c>
      <c r="M4774" s="31" t="n">
        <f aca="false">WEEKDAY(B4774,2)</f>
        <v>5</v>
      </c>
      <c r="N4774" s="31" t="str">
        <f aca="false">IF(G4774&lt;=INDEX(Assumptions!$B$15:$B$18,MATCH(E4774,Assumptions!$A$15:$A$18,0)),"Yes","No")</f>
        <v>Yes</v>
      </c>
      <c r="O4774" s="31" t="str">
        <f aca="false">IF(H4774="","Open",IF(H4774&lt;=INDEX(Assumptions!$C$15:$C$18,MATCH(E4774,Assumptions!$A$15:$A$18,0)),"Yes","No"))</f>
        <v>Yes</v>
      </c>
    </row>
    <row r="4775" customFormat="false" ht="15" hidden="false" customHeight="false" outlineLevel="0" collapsed="false">
      <c r="A4775" s="31" t="s">
        <v>4925</v>
      </c>
      <c r="B4775" s="44" t="n">
        <v>46269</v>
      </c>
      <c r="C4775" s="31" t="s">
        <v>57</v>
      </c>
      <c r="D4775" s="31" t="s">
        <v>67</v>
      </c>
      <c r="E4775" s="31" t="s">
        <v>49</v>
      </c>
      <c r="F4775" s="31" t="s">
        <v>130</v>
      </c>
      <c r="G4775" s="31" t="n">
        <v>1</v>
      </c>
      <c r="H4775" s="41" t="n">
        <v>2.2</v>
      </c>
      <c r="I4775" s="31" t="s">
        <v>149</v>
      </c>
      <c r="J4775" s="31" t="n">
        <v>4</v>
      </c>
      <c r="K4775" s="31" t="s">
        <v>150</v>
      </c>
      <c r="L4775" s="45" t="n">
        <f aca="false">DATE(YEAR(B4775),MONTH(B4775),1)</f>
        <v>46266</v>
      </c>
      <c r="M4775" s="31" t="n">
        <f aca="false">WEEKDAY(B4775,2)</f>
        <v>5</v>
      </c>
      <c r="N4775" s="31" t="str">
        <f aca="false">IF(G4775&lt;=INDEX(Assumptions!$B$15:$B$18,MATCH(E4775,Assumptions!$A$15:$A$18,0)),"Yes","No")</f>
        <v>Yes</v>
      </c>
      <c r="O4775" s="31" t="str">
        <f aca="false">IF(H4775="","Open",IF(H4775&lt;=INDEX(Assumptions!$C$15:$C$18,MATCH(E4775,Assumptions!$A$15:$A$18,0)),"Yes","No"))</f>
        <v>Yes</v>
      </c>
    </row>
    <row r="4776" customFormat="false" ht="15" hidden="false" customHeight="false" outlineLevel="0" collapsed="false">
      <c r="A4776" s="31" t="s">
        <v>4926</v>
      </c>
      <c r="B4776" s="44" t="n">
        <v>46269</v>
      </c>
      <c r="C4776" s="31" t="s">
        <v>58</v>
      </c>
      <c r="D4776" s="31" t="s">
        <v>66</v>
      </c>
      <c r="E4776" s="31" t="s">
        <v>52</v>
      </c>
      <c r="F4776" s="31" t="s">
        <v>126</v>
      </c>
      <c r="G4776" s="31" t="n">
        <v>7</v>
      </c>
      <c r="H4776" s="41" t="n">
        <v>7.4</v>
      </c>
      <c r="I4776" s="31" t="s">
        <v>149</v>
      </c>
      <c r="J4776" s="31" t="n">
        <v>5</v>
      </c>
      <c r="K4776" s="31" t="s">
        <v>150</v>
      </c>
      <c r="L4776" s="45" t="n">
        <f aca="false">DATE(YEAR(B4776),MONTH(B4776),1)</f>
        <v>46266</v>
      </c>
      <c r="M4776" s="31" t="n">
        <f aca="false">WEEKDAY(B4776,2)</f>
        <v>5</v>
      </c>
      <c r="N4776" s="31" t="str">
        <f aca="false">IF(G4776&lt;=INDEX(Assumptions!$B$15:$B$18,MATCH(E4776,Assumptions!$A$15:$A$18,0)),"Yes","No")</f>
        <v>Yes</v>
      </c>
      <c r="O4776" s="31" t="str">
        <f aca="false">IF(H4776="","Open",IF(H4776&lt;=INDEX(Assumptions!$C$15:$C$18,MATCH(E4776,Assumptions!$A$15:$A$18,0)),"Yes","No"))</f>
        <v>Yes</v>
      </c>
    </row>
    <row r="4777" customFormat="false" ht="15" hidden="false" customHeight="false" outlineLevel="0" collapsed="false">
      <c r="A4777" s="31" t="s">
        <v>4927</v>
      </c>
      <c r="B4777" s="44" t="n">
        <v>46269</v>
      </c>
      <c r="C4777" s="31" t="s">
        <v>57</v>
      </c>
      <c r="D4777" s="31" t="s">
        <v>68</v>
      </c>
      <c r="E4777" s="31" t="s">
        <v>50</v>
      </c>
      <c r="F4777" s="31" t="s">
        <v>126</v>
      </c>
      <c r="G4777" s="31" t="n">
        <v>2</v>
      </c>
      <c r="H4777" s="41"/>
      <c r="I4777" s="31" t="s">
        <v>158</v>
      </c>
      <c r="J4777" s="31"/>
      <c r="K4777" s="31" t="s">
        <v>150</v>
      </c>
      <c r="L4777" s="45" t="n">
        <f aca="false">DATE(YEAR(B4777),MONTH(B4777),1)</f>
        <v>46266</v>
      </c>
      <c r="M4777" s="31" t="n">
        <f aca="false">WEEKDAY(B4777,2)</f>
        <v>5</v>
      </c>
      <c r="N4777" s="31" t="str">
        <f aca="false">IF(G4777&lt;=INDEX(Assumptions!$B$15:$B$18,MATCH(E4777,Assumptions!$A$15:$A$18,0)),"Yes","No")</f>
        <v>Yes</v>
      </c>
      <c r="O4777" s="31" t="str">
        <f aca="false">IF(H4777="","Open",IF(H4777&lt;=INDEX(Assumptions!$C$15:$C$18,MATCH(E4777,Assumptions!$A$15:$A$18,0)),"Yes","No"))</f>
        <v>Open</v>
      </c>
    </row>
    <row r="4778" customFormat="false" ht="15" hidden="false" customHeight="false" outlineLevel="0" collapsed="false">
      <c r="A4778" s="31" t="s">
        <v>4928</v>
      </c>
      <c r="B4778" s="44" t="n">
        <v>46269</v>
      </c>
      <c r="C4778" s="31" t="s">
        <v>57</v>
      </c>
      <c r="D4778" s="31" t="s">
        <v>69</v>
      </c>
      <c r="E4778" s="31" t="s">
        <v>52</v>
      </c>
      <c r="F4778" s="31" t="s">
        <v>123</v>
      </c>
      <c r="G4778" s="31" t="n">
        <v>3</v>
      </c>
      <c r="H4778" s="41" t="n">
        <v>32.2</v>
      </c>
      <c r="I4778" s="31" t="s">
        <v>149</v>
      </c>
      <c r="J4778" s="31" t="n">
        <v>5</v>
      </c>
      <c r="K4778" s="31" t="s">
        <v>150</v>
      </c>
      <c r="L4778" s="45" t="n">
        <f aca="false">DATE(YEAR(B4778),MONTH(B4778),1)</f>
        <v>46266</v>
      </c>
      <c r="M4778" s="31" t="n">
        <f aca="false">WEEKDAY(B4778,2)</f>
        <v>5</v>
      </c>
      <c r="N4778" s="31" t="str">
        <f aca="false">IF(G4778&lt;=INDEX(Assumptions!$B$15:$B$18,MATCH(E4778,Assumptions!$A$15:$A$18,0)),"Yes","No")</f>
        <v>Yes</v>
      </c>
      <c r="O4778" s="31" t="str">
        <f aca="false">IF(H4778="","Open",IF(H4778&lt;=INDEX(Assumptions!$C$15:$C$18,MATCH(E4778,Assumptions!$A$15:$A$18,0)),"Yes","No"))</f>
        <v>Yes</v>
      </c>
    </row>
    <row r="4779" customFormat="false" ht="15" hidden="false" customHeight="false" outlineLevel="0" collapsed="false">
      <c r="A4779" s="31" t="s">
        <v>4929</v>
      </c>
      <c r="B4779" s="44" t="n">
        <v>46269</v>
      </c>
      <c r="C4779" s="31" t="s">
        <v>59</v>
      </c>
      <c r="D4779" s="31" t="s">
        <v>68</v>
      </c>
      <c r="E4779" s="31" t="s">
        <v>51</v>
      </c>
      <c r="F4779" s="31" t="s">
        <v>120</v>
      </c>
      <c r="G4779" s="31" t="n">
        <v>194</v>
      </c>
      <c r="H4779" s="41" t="n">
        <v>4.9</v>
      </c>
      <c r="I4779" s="31" t="s">
        <v>149</v>
      </c>
      <c r="J4779" s="31"/>
      <c r="K4779" s="31" t="s">
        <v>153</v>
      </c>
      <c r="L4779" s="45" t="n">
        <f aca="false">DATE(YEAR(B4779),MONTH(B4779),1)</f>
        <v>46266</v>
      </c>
      <c r="M4779" s="31" t="n">
        <f aca="false">WEEKDAY(B4779,2)</f>
        <v>5</v>
      </c>
      <c r="N4779" s="31" t="str">
        <f aca="false">IF(G4779&lt;=INDEX(Assumptions!$B$15:$B$18,MATCH(E4779,Assumptions!$A$15:$A$18,0)),"Yes","No")</f>
        <v>No</v>
      </c>
      <c r="O4779" s="31" t="str">
        <f aca="false">IF(H4779="","Open",IF(H4779&lt;=INDEX(Assumptions!$C$15:$C$18,MATCH(E4779,Assumptions!$A$15:$A$18,0)),"Yes","No"))</f>
        <v>Yes</v>
      </c>
    </row>
    <row r="4780" customFormat="false" ht="15" hidden="false" customHeight="false" outlineLevel="0" collapsed="false">
      <c r="A4780" s="31" t="s">
        <v>4930</v>
      </c>
      <c r="B4780" s="44" t="n">
        <v>46269</v>
      </c>
      <c r="C4780" s="31" t="s">
        <v>60</v>
      </c>
      <c r="D4780" s="31" t="s">
        <v>69</v>
      </c>
      <c r="E4780" s="31" t="s">
        <v>50</v>
      </c>
      <c r="F4780" s="31" t="s">
        <v>136</v>
      </c>
      <c r="G4780" s="31" t="n">
        <v>1</v>
      </c>
      <c r="H4780" s="41" t="n">
        <v>9.7</v>
      </c>
      <c r="I4780" s="31" t="s">
        <v>149</v>
      </c>
      <c r="J4780" s="31"/>
      <c r="K4780" s="31" t="s">
        <v>150</v>
      </c>
      <c r="L4780" s="45" t="n">
        <f aca="false">DATE(YEAR(B4780),MONTH(B4780),1)</f>
        <v>46266</v>
      </c>
      <c r="M4780" s="31" t="n">
        <f aca="false">WEEKDAY(B4780,2)</f>
        <v>5</v>
      </c>
      <c r="N4780" s="31" t="str">
        <f aca="false">IF(G4780&lt;=INDEX(Assumptions!$B$15:$B$18,MATCH(E4780,Assumptions!$A$15:$A$18,0)),"Yes","No")</f>
        <v>Yes</v>
      </c>
      <c r="O4780" s="31" t="str">
        <f aca="false">IF(H4780="","Open",IF(H4780&lt;=INDEX(Assumptions!$C$15:$C$18,MATCH(E4780,Assumptions!$A$15:$A$18,0)),"Yes","No"))</f>
        <v>No</v>
      </c>
    </row>
    <row r="4781" customFormat="false" ht="15" hidden="false" customHeight="false" outlineLevel="0" collapsed="false">
      <c r="A4781" s="31" t="s">
        <v>4931</v>
      </c>
      <c r="B4781" s="44" t="n">
        <v>46269</v>
      </c>
      <c r="C4781" s="31" t="s">
        <v>58</v>
      </c>
      <c r="D4781" s="31" t="s">
        <v>65</v>
      </c>
      <c r="E4781" s="31" t="s">
        <v>49</v>
      </c>
      <c r="F4781" s="31" t="s">
        <v>122</v>
      </c>
      <c r="G4781" s="31" t="n">
        <v>4</v>
      </c>
      <c r="H4781" s="41" t="n">
        <v>2.2</v>
      </c>
      <c r="I4781" s="31" t="s">
        <v>149</v>
      </c>
      <c r="J4781" s="31" t="n">
        <v>5</v>
      </c>
      <c r="K4781" s="31" t="s">
        <v>150</v>
      </c>
      <c r="L4781" s="45" t="n">
        <f aca="false">DATE(YEAR(B4781),MONTH(B4781),1)</f>
        <v>46266</v>
      </c>
      <c r="M4781" s="31" t="n">
        <f aca="false">WEEKDAY(B4781,2)</f>
        <v>5</v>
      </c>
      <c r="N4781" s="31" t="str">
        <f aca="false">IF(G4781&lt;=INDEX(Assumptions!$B$15:$B$18,MATCH(E4781,Assumptions!$A$15:$A$18,0)),"Yes","No")</f>
        <v>Yes</v>
      </c>
      <c r="O4781" s="31" t="str">
        <f aca="false">IF(H4781="","Open",IF(H4781&lt;=INDEX(Assumptions!$C$15:$C$18,MATCH(E4781,Assumptions!$A$15:$A$18,0)),"Yes","No"))</f>
        <v>Yes</v>
      </c>
    </row>
    <row r="4782" customFormat="false" ht="15" hidden="false" customHeight="false" outlineLevel="0" collapsed="false">
      <c r="A4782" s="31" t="s">
        <v>4932</v>
      </c>
      <c r="B4782" s="44" t="n">
        <v>46269</v>
      </c>
      <c r="C4782" s="31" t="s">
        <v>58</v>
      </c>
      <c r="D4782" s="31" t="s">
        <v>67</v>
      </c>
      <c r="E4782" s="31" t="s">
        <v>50</v>
      </c>
      <c r="F4782" s="31" t="s">
        <v>122</v>
      </c>
      <c r="G4782" s="31" t="n">
        <v>6</v>
      </c>
      <c r="H4782" s="41" t="n">
        <v>6.1</v>
      </c>
      <c r="I4782" s="31" t="s">
        <v>64</v>
      </c>
      <c r="J4782" s="31"/>
      <c r="K4782" s="31" t="s">
        <v>150</v>
      </c>
      <c r="L4782" s="45" t="n">
        <f aca="false">DATE(YEAR(B4782),MONTH(B4782),1)</f>
        <v>46266</v>
      </c>
      <c r="M4782" s="31" t="n">
        <f aca="false">WEEKDAY(B4782,2)</f>
        <v>5</v>
      </c>
      <c r="N4782" s="31" t="str">
        <f aca="false">IF(G4782&lt;=INDEX(Assumptions!$B$15:$B$18,MATCH(E4782,Assumptions!$A$15:$A$18,0)),"Yes","No")</f>
        <v>Yes</v>
      </c>
      <c r="O4782" s="31" t="str">
        <f aca="false">IF(H4782="","Open",IF(H4782&lt;=INDEX(Assumptions!$C$15:$C$18,MATCH(E4782,Assumptions!$A$15:$A$18,0)),"Yes","No"))</f>
        <v>Yes</v>
      </c>
    </row>
    <row r="4783" customFormat="false" ht="15" hidden="false" customHeight="false" outlineLevel="0" collapsed="false">
      <c r="A4783" s="31" t="s">
        <v>4933</v>
      </c>
      <c r="B4783" s="44" t="n">
        <v>46269</v>
      </c>
      <c r="C4783" s="31" t="s">
        <v>57</v>
      </c>
      <c r="D4783" s="31" t="s">
        <v>65</v>
      </c>
      <c r="E4783" s="31" t="s">
        <v>51</v>
      </c>
      <c r="F4783" s="31" t="s">
        <v>120</v>
      </c>
      <c r="G4783" s="31" t="n">
        <v>3</v>
      </c>
      <c r="H4783" s="41" t="n">
        <v>22.5</v>
      </c>
      <c r="I4783" s="31" t="s">
        <v>149</v>
      </c>
      <c r="J4783" s="31"/>
      <c r="K4783" s="31" t="s">
        <v>150</v>
      </c>
      <c r="L4783" s="45" t="n">
        <f aca="false">DATE(YEAR(B4783),MONTH(B4783),1)</f>
        <v>46266</v>
      </c>
      <c r="M4783" s="31" t="n">
        <f aca="false">WEEKDAY(B4783,2)</f>
        <v>5</v>
      </c>
      <c r="N4783" s="31" t="str">
        <f aca="false">IF(G4783&lt;=INDEX(Assumptions!$B$15:$B$18,MATCH(E4783,Assumptions!$A$15:$A$18,0)),"Yes","No")</f>
        <v>Yes</v>
      </c>
      <c r="O4783" s="31" t="str">
        <f aca="false">IF(H4783="","Open",IF(H4783&lt;=INDEX(Assumptions!$C$15:$C$18,MATCH(E4783,Assumptions!$A$15:$A$18,0)),"Yes","No"))</f>
        <v>Yes</v>
      </c>
    </row>
    <row r="4784" customFormat="false" ht="15" hidden="false" customHeight="false" outlineLevel="0" collapsed="false">
      <c r="A4784" s="31" t="s">
        <v>4934</v>
      </c>
      <c r="B4784" s="44" t="n">
        <v>46269</v>
      </c>
      <c r="C4784" s="31" t="s">
        <v>58</v>
      </c>
      <c r="D4784" s="31" t="s">
        <v>67</v>
      </c>
      <c r="E4784" s="31" t="s">
        <v>50</v>
      </c>
      <c r="F4784" s="31" t="s">
        <v>137</v>
      </c>
      <c r="G4784" s="31" t="n">
        <v>13</v>
      </c>
      <c r="H4784" s="41" t="n">
        <v>10</v>
      </c>
      <c r="I4784" s="31" t="s">
        <v>149</v>
      </c>
      <c r="J4784" s="31"/>
      <c r="K4784" s="31" t="s">
        <v>150</v>
      </c>
      <c r="L4784" s="45" t="n">
        <f aca="false">DATE(YEAR(B4784),MONTH(B4784),1)</f>
        <v>46266</v>
      </c>
      <c r="M4784" s="31" t="n">
        <f aca="false">WEEKDAY(B4784,2)</f>
        <v>5</v>
      </c>
      <c r="N4784" s="31" t="str">
        <f aca="false">IF(G4784&lt;=INDEX(Assumptions!$B$15:$B$18,MATCH(E4784,Assumptions!$A$15:$A$18,0)),"Yes","No")</f>
        <v>Yes</v>
      </c>
      <c r="O4784" s="31" t="str">
        <f aca="false">IF(H4784="","Open",IF(H4784&lt;=INDEX(Assumptions!$C$15:$C$18,MATCH(E4784,Assumptions!$A$15:$A$18,0)),"Yes","No"))</f>
        <v>No</v>
      </c>
    </row>
    <row r="4785" customFormat="false" ht="15" hidden="false" customHeight="false" outlineLevel="0" collapsed="false">
      <c r="A4785" s="31" t="s">
        <v>4935</v>
      </c>
      <c r="B4785" s="44" t="n">
        <v>46269</v>
      </c>
      <c r="C4785" s="31" t="s">
        <v>57</v>
      </c>
      <c r="D4785" s="31" t="s">
        <v>65</v>
      </c>
      <c r="E4785" s="31" t="s">
        <v>51</v>
      </c>
      <c r="F4785" s="31" t="s">
        <v>117</v>
      </c>
      <c r="G4785" s="31" t="n">
        <v>4</v>
      </c>
      <c r="H4785" s="41" t="n">
        <v>27.6</v>
      </c>
      <c r="I4785" s="31" t="s">
        <v>149</v>
      </c>
      <c r="J4785" s="31" t="n">
        <v>3</v>
      </c>
      <c r="K4785" s="31" t="s">
        <v>150</v>
      </c>
      <c r="L4785" s="45" t="n">
        <f aca="false">DATE(YEAR(B4785),MONTH(B4785),1)</f>
        <v>46266</v>
      </c>
      <c r="M4785" s="31" t="n">
        <f aca="false">WEEKDAY(B4785,2)</f>
        <v>5</v>
      </c>
      <c r="N4785" s="31" t="str">
        <f aca="false">IF(G4785&lt;=INDEX(Assumptions!$B$15:$B$18,MATCH(E4785,Assumptions!$A$15:$A$18,0)),"Yes","No")</f>
        <v>Yes</v>
      </c>
      <c r="O4785" s="31" t="str">
        <f aca="false">IF(H4785="","Open",IF(H4785&lt;=INDEX(Assumptions!$C$15:$C$18,MATCH(E4785,Assumptions!$A$15:$A$18,0)),"Yes","No"))</f>
        <v>No</v>
      </c>
    </row>
    <row r="4786" customFormat="false" ht="15" hidden="false" customHeight="false" outlineLevel="0" collapsed="false">
      <c r="A4786" s="31" t="s">
        <v>4936</v>
      </c>
      <c r="B4786" s="44" t="n">
        <v>46269</v>
      </c>
      <c r="C4786" s="31" t="s">
        <v>60</v>
      </c>
      <c r="D4786" s="31" t="s">
        <v>65</v>
      </c>
      <c r="E4786" s="31" t="s">
        <v>49</v>
      </c>
      <c r="F4786" s="31" t="s">
        <v>123</v>
      </c>
      <c r="G4786" s="31" t="n">
        <v>1</v>
      </c>
      <c r="H4786" s="41" t="n">
        <v>1.3</v>
      </c>
      <c r="I4786" s="31" t="s">
        <v>149</v>
      </c>
      <c r="J4786" s="31"/>
      <c r="K4786" s="31" t="s">
        <v>150</v>
      </c>
      <c r="L4786" s="45" t="n">
        <f aca="false">DATE(YEAR(B4786),MONTH(B4786),1)</f>
        <v>46266</v>
      </c>
      <c r="M4786" s="31" t="n">
        <f aca="false">WEEKDAY(B4786,2)</f>
        <v>5</v>
      </c>
      <c r="N4786" s="31" t="str">
        <f aca="false">IF(G4786&lt;=INDEX(Assumptions!$B$15:$B$18,MATCH(E4786,Assumptions!$A$15:$A$18,0)),"Yes","No")</f>
        <v>Yes</v>
      </c>
      <c r="O4786" s="31" t="str">
        <f aca="false">IF(H4786="","Open",IF(H4786&lt;=INDEX(Assumptions!$C$15:$C$18,MATCH(E4786,Assumptions!$A$15:$A$18,0)),"Yes","No"))</f>
        <v>Yes</v>
      </c>
    </row>
    <row r="4787" customFormat="false" ht="15" hidden="false" customHeight="false" outlineLevel="0" collapsed="false">
      <c r="A4787" s="31" t="s">
        <v>4937</v>
      </c>
      <c r="B4787" s="44" t="n">
        <v>46269</v>
      </c>
      <c r="C4787" s="31" t="s">
        <v>58</v>
      </c>
      <c r="D4787" s="31" t="s">
        <v>67</v>
      </c>
      <c r="E4787" s="31" t="s">
        <v>52</v>
      </c>
      <c r="F4787" s="31" t="s">
        <v>131</v>
      </c>
      <c r="G4787" s="31" t="n">
        <v>11</v>
      </c>
      <c r="H4787" s="41" t="n">
        <v>10.1</v>
      </c>
      <c r="I4787" s="31" t="s">
        <v>149</v>
      </c>
      <c r="J4787" s="31" t="n">
        <v>5</v>
      </c>
      <c r="K4787" s="31" t="s">
        <v>150</v>
      </c>
      <c r="L4787" s="45" t="n">
        <f aca="false">DATE(YEAR(B4787),MONTH(B4787),1)</f>
        <v>46266</v>
      </c>
      <c r="M4787" s="31" t="n">
        <f aca="false">WEEKDAY(B4787,2)</f>
        <v>5</v>
      </c>
      <c r="N4787" s="31" t="str">
        <f aca="false">IF(G4787&lt;=INDEX(Assumptions!$B$15:$B$18,MATCH(E4787,Assumptions!$A$15:$A$18,0)),"Yes","No")</f>
        <v>Yes</v>
      </c>
      <c r="O4787" s="31" t="str">
        <f aca="false">IF(H4787="","Open",IF(H4787&lt;=INDEX(Assumptions!$C$15:$C$18,MATCH(E4787,Assumptions!$A$15:$A$18,0)),"Yes","No"))</f>
        <v>Yes</v>
      </c>
    </row>
    <row r="4788" customFormat="false" ht="15" hidden="false" customHeight="false" outlineLevel="0" collapsed="false">
      <c r="A4788" s="31" t="s">
        <v>4938</v>
      </c>
      <c r="B4788" s="44" t="n">
        <v>46269</v>
      </c>
      <c r="C4788" s="31" t="s">
        <v>58</v>
      </c>
      <c r="D4788" s="31" t="s">
        <v>66</v>
      </c>
      <c r="E4788" s="31" t="s">
        <v>51</v>
      </c>
      <c r="F4788" s="31" t="s">
        <v>121</v>
      </c>
      <c r="G4788" s="31" t="n">
        <v>17</v>
      </c>
      <c r="H4788" s="41" t="n">
        <v>3</v>
      </c>
      <c r="I4788" s="31" t="s">
        <v>149</v>
      </c>
      <c r="J4788" s="31"/>
      <c r="K4788" s="31" t="s">
        <v>150</v>
      </c>
      <c r="L4788" s="45" t="n">
        <f aca="false">DATE(YEAR(B4788),MONTH(B4788),1)</f>
        <v>46266</v>
      </c>
      <c r="M4788" s="31" t="n">
        <f aca="false">WEEKDAY(B4788,2)</f>
        <v>5</v>
      </c>
      <c r="N4788" s="31" t="str">
        <f aca="false">IF(G4788&lt;=INDEX(Assumptions!$B$15:$B$18,MATCH(E4788,Assumptions!$A$15:$A$18,0)),"Yes","No")</f>
        <v>Yes</v>
      </c>
      <c r="O4788" s="31" t="str">
        <f aca="false">IF(H4788="","Open",IF(H4788&lt;=INDEX(Assumptions!$C$15:$C$18,MATCH(E4788,Assumptions!$A$15:$A$18,0)),"Yes","No"))</f>
        <v>Yes</v>
      </c>
    </row>
    <row r="4789" customFormat="false" ht="15" hidden="false" customHeight="false" outlineLevel="0" collapsed="false">
      <c r="A4789" s="31" t="s">
        <v>4939</v>
      </c>
      <c r="B4789" s="44" t="n">
        <v>46269</v>
      </c>
      <c r="C4789" s="31" t="s">
        <v>59</v>
      </c>
      <c r="D4789" s="31" t="s">
        <v>67</v>
      </c>
      <c r="E4789" s="31" t="s">
        <v>52</v>
      </c>
      <c r="F4789" s="31" t="s">
        <v>131</v>
      </c>
      <c r="G4789" s="31" t="n">
        <v>209</v>
      </c>
      <c r="H4789" s="41" t="n">
        <v>42.7</v>
      </c>
      <c r="I4789" s="31" t="s">
        <v>64</v>
      </c>
      <c r="J4789" s="31" t="n">
        <v>4</v>
      </c>
      <c r="K4789" s="31" t="s">
        <v>150</v>
      </c>
      <c r="L4789" s="45" t="n">
        <f aca="false">DATE(YEAR(B4789),MONTH(B4789),1)</f>
        <v>46266</v>
      </c>
      <c r="M4789" s="31" t="n">
        <f aca="false">WEEKDAY(B4789,2)</f>
        <v>5</v>
      </c>
      <c r="N4789" s="31" t="str">
        <f aca="false">IF(G4789&lt;=INDEX(Assumptions!$B$15:$B$18,MATCH(E4789,Assumptions!$A$15:$A$18,0)),"Yes","No")</f>
        <v>Yes</v>
      </c>
      <c r="O4789" s="31" t="str">
        <f aca="false">IF(H4789="","Open",IF(H4789&lt;=INDEX(Assumptions!$C$15:$C$18,MATCH(E4789,Assumptions!$A$15:$A$18,0)),"Yes","No"))</f>
        <v>Yes</v>
      </c>
    </row>
    <row r="4790" customFormat="false" ht="15" hidden="false" customHeight="false" outlineLevel="0" collapsed="false">
      <c r="A4790" s="31" t="s">
        <v>4940</v>
      </c>
      <c r="B4790" s="44" t="n">
        <v>46269</v>
      </c>
      <c r="C4790" s="31" t="s">
        <v>58</v>
      </c>
      <c r="D4790" s="31" t="s">
        <v>67</v>
      </c>
      <c r="E4790" s="31" t="s">
        <v>52</v>
      </c>
      <c r="F4790" s="31" t="s">
        <v>131</v>
      </c>
      <c r="G4790" s="31" t="n">
        <v>16</v>
      </c>
      <c r="H4790" s="41" t="n">
        <v>6.3</v>
      </c>
      <c r="I4790" s="31" t="s">
        <v>149</v>
      </c>
      <c r="J4790" s="31"/>
      <c r="K4790" s="31" t="s">
        <v>150</v>
      </c>
      <c r="L4790" s="45" t="n">
        <f aca="false">DATE(YEAR(B4790),MONTH(B4790),1)</f>
        <v>46266</v>
      </c>
      <c r="M4790" s="31" t="n">
        <f aca="false">WEEKDAY(B4790,2)</f>
        <v>5</v>
      </c>
      <c r="N4790" s="31" t="str">
        <f aca="false">IF(G4790&lt;=INDEX(Assumptions!$B$15:$B$18,MATCH(E4790,Assumptions!$A$15:$A$18,0)),"Yes","No")</f>
        <v>Yes</v>
      </c>
      <c r="O4790" s="31" t="str">
        <f aca="false">IF(H4790="","Open",IF(H4790&lt;=INDEX(Assumptions!$C$15:$C$18,MATCH(E4790,Assumptions!$A$15:$A$18,0)),"Yes","No"))</f>
        <v>Yes</v>
      </c>
    </row>
    <row r="4791" customFormat="false" ht="15" hidden="false" customHeight="false" outlineLevel="0" collapsed="false">
      <c r="A4791" s="31" t="s">
        <v>4941</v>
      </c>
      <c r="B4791" s="44" t="n">
        <v>46269</v>
      </c>
      <c r="C4791" s="31" t="s">
        <v>58</v>
      </c>
      <c r="D4791" s="31" t="s">
        <v>65</v>
      </c>
      <c r="E4791" s="31" t="s">
        <v>52</v>
      </c>
      <c r="F4791" s="31" t="s">
        <v>131</v>
      </c>
      <c r="G4791" s="31" t="n">
        <v>10</v>
      </c>
      <c r="H4791" s="41" t="n">
        <v>30.3</v>
      </c>
      <c r="I4791" s="31" t="s">
        <v>149</v>
      </c>
      <c r="J4791" s="31"/>
      <c r="K4791" s="31" t="s">
        <v>150</v>
      </c>
      <c r="L4791" s="45" t="n">
        <f aca="false">DATE(YEAR(B4791),MONTH(B4791),1)</f>
        <v>46266</v>
      </c>
      <c r="M4791" s="31" t="n">
        <f aca="false">WEEKDAY(B4791,2)</f>
        <v>5</v>
      </c>
      <c r="N4791" s="31" t="str">
        <f aca="false">IF(G4791&lt;=INDEX(Assumptions!$B$15:$B$18,MATCH(E4791,Assumptions!$A$15:$A$18,0)),"Yes","No")</f>
        <v>Yes</v>
      </c>
      <c r="O4791" s="31" t="str">
        <f aca="false">IF(H4791="","Open",IF(H4791&lt;=INDEX(Assumptions!$C$15:$C$18,MATCH(E4791,Assumptions!$A$15:$A$18,0)),"Yes","No"))</f>
        <v>Yes</v>
      </c>
    </row>
    <row r="4792" customFormat="false" ht="15" hidden="false" customHeight="false" outlineLevel="0" collapsed="false">
      <c r="A4792" s="31" t="s">
        <v>4942</v>
      </c>
      <c r="B4792" s="44" t="n">
        <v>46269</v>
      </c>
      <c r="C4792" s="31" t="s">
        <v>57</v>
      </c>
      <c r="D4792" s="31" t="s">
        <v>65</v>
      </c>
      <c r="E4792" s="31" t="s">
        <v>50</v>
      </c>
      <c r="F4792" s="31" t="s">
        <v>135</v>
      </c>
      <c r="G4792" s="31" t="n">
        <v>6</v>
      </c>
      <c r="H4792" s="41" t="n">
        <v>5.9</v>
      </c>
      <c r="I4792" s="31" t="s">
        <v>149</v>
      </c>
      <c r="J4792" s="31" t="n">
        <v>4</v>
      </c>
      <c r="K4792" s="31" t="s">
        <v>150</v>
      </c>
      <c r="L4792" s="45" t="n">
        <f aca="false">DATE(YEAR(B4792),MONTH(B4792),1)</f>
        <v>46266</v>
      </c>
      <c r="M4792" s="31" t="n">
        <f aca="false">WEEKDAY(B4792,2)</f>
        <v>5</v>
      </c>
      <c r="N4792" s="31" t="str">
        <f aca="false">IF(G4792&lt;=INDEX(Assumptions!$B$15:$B$18,MATCH(E4792,Assumptions!$A$15:$A$18,0)),"Yes","No")</f>
        <v>Yes</v>
      </c>
      <c r="O4792" s="31" t="str">
        <f aca="false">IF(H4792="","Open",IF(H4792&lt;=INDEX(Assumptions!$C$15:$C$18,MATCH(E4792,Assumptions!$A$15:$A$18,0)),"Yes","No"))</f>
        <v>Yes</v>
      </c>
    </row>
    <row r="4793" customFormat="false" ht="15" hidden="false" customHeight="false" outlineLevel="0" collapsed="false">
      <c r="A4793" s="31" t="s">
        <v>4943</v>
      </c>
      <c r="B4793" s="44" t="n">
        <v>46269</v>
      </c>
      <c r="C4793" s="31" t="s">
        <v>58</v>
      </c>
      <c r="D4793" s="31" t="s">
        <v>65</v>
      </c>
      <c r="E4793" s="31" t="s">
        <v>51</v>
      </c>
      <c r="F4793" s="31" t="s">
        <v>121</v>
      </c>
      <c r="G4793" s="31" t="n">
        <v>7</v>
      </c>
      <c r="H4793" s="41" t="n">
        <v>12.9</v>
      </c>
      <c r="I4793" s="31" t="s">
        <v>149</v>
      </c>
      <c r="J4793" s="31" t="n">
        <v>3</v>
      </c>
      <c r="K4793" s="31" t="s">
        <v>153</v>
      </c>
      <c r="L4793" s="45" t="n">
        <f aca="false">DATE(YEAR(B4793),MONTH(B4793),1)</f>
        <v>46266</v>
      </c>
      <c r="M4793" s="31" t="n">
        <f aca="false">WEEKDAY(B4793,2)</f>
        <v>5</v>
      </c>
      <c r="N4793" s="31" t="str">
        <f aca="false">IF(G4793&lt;=INDEX(Assumptions!$B$15:$B$18,MATCH(E4793,Assumptions!$A$15:$A$18,0)),"Yes","No")</f>
        <v>Yes</v>
      </c>
      <c r="O4793" s="31" t="str">
        <f aca="false">IF(H4793="","Open",IF(H4793&lt;=INDEX(Assumptions!$C$15:$C$18,MATCH(E4793,Assumptions!$A$15:$A$18,0)),"Yes","No"))</f>
        <v>Yes</v>
      </c>
    </row>
    <row r="4794" customFormat="false" ht="15" hidden="false" customHeight="false" outlineLevel="0" collapsed="false">
      <c r="A4794" s="31" t="s">
        <v>4944</v>
      </c>
      <c r="B4794" s="44" t="n">
        <v>46269</v>
      </c>
      <c r="C4794" s="31" t="s">
        <v>59</v>
      </c>
      <c r="D4794" s="31" t="s">
        <v>65</v>
      </c>
      <c r="E4794" s="31" t="s">
        <v>51</v>
      </c>
      <c r="F4794" s="31" t="s">
        <v>126</v>
      </c>
      <c r="G4794" s="31" t="n">
        <v>33</v>
      </c>
      <c r="H4794" s="41" t="n">
        <v>6.1</v>
      </c>
      <c r="I4794" s="31" t="s">
        <v>149</v>
      </c>
      <c r="J4794" s="31" t="n">
        <v>5</v>
      </c>
      <c r="K4794" s="31" t="s">
        <v>150</v>
      </c>
      <c r="L4794" s="45" t="n">
        <f aca="false">DATE(YEAR(B4794),MONTH(B4794),1)</f>
        <v>46266</v>
      </c>
      <c r="M4794" s="31" t="n">
        <f aca="false">WEEKDAY(B4794,2)</f>
        <v>5</v>
      </c>
      <c r="N4794" s="31" t="str">
        <f aca="false">IF(G4794&lt;=INDEX(Assumptions!$B$15:$B$18,MATCH(E4794,Assumptions!$A$15:$A$18,0)),"Yes","No")</f>
        <v>Yes</v>
      </c>
      <c r="O4794" s="31" t="str">
        <f aca="false">IF(H4794="","Open",IF(H4794&lt;=INDEX(Assumptions!$C$15:$C$18,MATCH(E4794,Assumptions!$A$15:$A$18,0)),"Yes","No"))</f>
        <v>Yes</v>
      </c>
    </row>
    <row r="4795" customFormat="false" ht="15" hidden="false" customHeight="false" outlineLevel="0" collapsed="false">
      <c r="A4795" s="31" t="s">
        <v>4945</v>
      </c>
      <c r="B4795" s="44" t="n">
        <v>46269</v>
      </c>
      <c r="C4795" s="31" t="s">
        <v>60</v>
      </c>
      <c r="D4795" s="31" t="s">
        <v>68</v>
      </c>
      <c r="E4795" s="31" t="s">
        <v>52</v>
      </c>
      <c r="F4795" s="31" t="s">
        <v>119</v>
      </c>
      <c r="G4795" s="31" t="n">
        <v>1</v>
      </c>
      <c r="H4795" s="41" t="n">
        <v>6.4</v>
      </c>
      <c r="I4795" s="31" t="s">
        <v>149</v>
      </c>
      <c r="J4795" s="31" t="n">
        <v>5</v>
      </c>
      <c r="K4795" s="31" t="s">
        <v>150</v>
      </c>
      <c r="L4795" s="45" t="n">
        <f aca="false">DATE(YEAR(B4795),MONTH(B4795),1)</f>
        <v>46266</v>
      </c>
      <c r="M4795" s="31" t="n">
        <f aca="false">WEEKDAY(B4795,2)</f>
        <v>5</v>
      </c>
      <c r="N4795" s="31" t="str">
        <f aca="false">IF(G4795&lt;=INDEX(Assumptions!$B$15:$B$18,MATCH(E4795,Assumptions!$A$15:$A$18,0)),"Yes","No")</f>
        <v>Yes</v>
      </c>
      <c r="O4795" s="31" t="str">
        <f aca="false">IF(H4795="","Open",IF(H4795&lt;=INDEX(Assumptions!$C$15:$C$18,MATCH(E4795,Assumptions!$A$15:$A$18,0)),"Yes","No"))</f>
        <v>Yes</v>
      </c>
    </row>
    <row r="4796" customFormat="false" ht="15" hidden="false" customHeight="false" outlineLevel="0" collapsed="false">
      <c r="A4796" s="31" t="s">
        <v>4946</v>
      </c>
      <c r="B4796" s="44" t="n">
        <v>46269</v>
      </c>
      <c r="C4796" s="31" t="s">
        <v>57</v>
      </c>
      <c r="D4796" s="31" t="s">
        <v>68</v>
      </c>
      <c r="E4796" s="31" t="s">
        <v>51</v>
      </c>
      <c r="F4796" s="31" t="s">
        <v>128</v>
      </c>
      <c r="G4796" s="31" t="n">
        <v>10</v>
      </c>
      <c r="H4796" s="41" t="n">
        <v>6.6</v>
      </c>
      <c r="I4796" s="31" t="s">
        <v>149</v>
      </c>
      <c r="J4796" s="31" t="n">
        <v>4</v>
      </c>
      <c r="K4796" s="31" t="s">
        <v>150</v>
      </c>
      <c r="L4796" s="45" t="n">
        <f aca="false">DATE(YEAR(B4796),MONTH(B4796),1)</f>
        <v>46266</v>
      </c>
      <c r="M4796" s="31" t="n">
        <f aca="false">WEEKDAY(B4796,2)</f>
        <v>5</v>
      </c>
      <c r="N4796" s="31" t="str">
        <f aca="false">IF(G4796&lt;=INDEX(Assumptions!$B$15:$B$18,MATCH(E4796,Assumptions!$A$15:$A$18,0)),"Yes","No")</f>
        <v>Yes</v>
      </c>
      <c r="O4796" s="31" t="str">
        <f aca="false">IF(H4796="","Open",IF(H4796&lt;=INDEX(Assumptions!$C$15:$C$18,MATCH(E4796,Assumptions!$A$15:$A$18,0)),"Yes","No"))</f>
        <v>Yes</v>
      </c>
    </row>
    <row r="4797" customFormat="false" ht="15" hidden="false" customHeight="false" outlineLevel="0" collapsed="false">
      <c r="A4797" s="31" t="s">
        <v>4947</v>
      </c>
      <c r="B4797" s="44" t="n">
        <v>46269</v>
      </c>
      <c r="C4797" s="31" t="s">
        <v>58</v>
      </c>
      <c r="D4797" s="31" t="s">
        <v>67</v>
      </c>
      <c r="E4797" s="31" t="s">
        <v>49</v>
      </c>
      <c r="F4797" s="31" t="s">
        <v>119</v>
      </c>
      <c r="G4797" s="31" t="n">
        <v>4</v>
      </c>
      <c r="H4797" s="41" t="n">
        <v>2</v>
      </c>
      <c r="I4797" s="31" t="s">
        <v>149</v>
      </c>
      <c r="J4797" s="31" t="n">
        <v>4</v>
      </c>
      <c r="K4797" s="31" t="s">
        <v>150</v>
      </c>
      <c r="L4797" s="45" t="n">
        <f aca="false">DATE(YEAR(B4797),MONTH(B4797),1)</f>
        <v>46266</v>
      </c>
      <c r="M4797" s="31" t="n">
        <f aca="false">WEEKDAY(B4797,2)</f>
        <v>5</v>
      </c>
      <c r="N4797" s="31" t="str">
        <f aca="false">IF(G4797&lt;=INDEX(Assumptions!$B$15:$B$18,MATCH(E4797,Assumptions!$A$15:$A$18,0)),"Yes","No")</f>
        <v>Yes</v>
      </c>
      <c r="O4797" s="31" t="str">
        <f aca="false">IF(H4797="","Open",IF(H4797&lt;=INDEX(Assumptions!$C$15:$C$18,MATCH(E4797,Assumptions!$A$15:$A$18,0)),"Yes","No"))</f>
        <v>Yes</v>
      </c>
    </row>
    <row r="4798" customFormat="false" ht="15" hidden="false" customHeight="false" outlineLevel="0" collapsed="false">
      <c r="A4798" s="31" t="s">
        <v>4948</v>
      </c>
      <c r="B4798" s="44" t="n">
        <v>46269</v>
      </c>
      <c r="C4798" s="31" t="s">
        <v>57</v>
      </c>
      <c r="D4798" s="31" t="s">
        <v>68</v>
      </c>
      <c r="E4798" s="31" t="s">
        <v>51</v>
      </c>
      <c r="F4798" s="31" t="s">
        <v>124</v>
      </c>
      <c r="G4798" s="31" t="n">
        <v>2</v>
      </c>
      <c r="H4798" s="41" t="n">
        <v>5.4</v>
      </c>
      <c r="I4798" s="31" t="s">
        <v>149</v>
      </c>
      <c r="J4798" s="31" t="n">
        <v>5</v>
      </c>
      <c r="K4798" s="31" t="s">
        <v>150</v>
      </c>
      <c r="L4798" s="45" t="n">
        <f aca="false">DATE(YEAR(B4798),MONTH(B4798),1)</f>
        <v>46266</v>
      </c>
      <c r="M4798" s="31" t="n">
        <f aca="false">WEEKDAY(B4798,2)</f>
        <v>5</v>
      </c>
      <c r="N4798" s="31" t="str">
        <f aca="false">IF(G4798&lt;=INDEX(Assumptions!$B$15:$B$18,MATCH(E4798,Assumptions!$A$15:$A$18,0)),"Yes","No")</f>
        <v>Yes</v>
      </c>
      <c r="O4798" s="31" t="str">
        <f aca="false">IF(H4798="","Open",IF(H4798&lt;=INDEX(Assumptions!$C$15:$C$18,MATCH(E4798,Assumptions!$A$15:$A$18,0)),"Yes","No"))</f>
        <v>Yes</v>
      </c>
    </row>
    <row r="4799" customFormat="false" ht="15" hidden="false" customHeight="false" outlineLevel="0" collapsed="false">
      <c r="A4799" s="31" t="s">
        <v>4949</v>
      </c>
      <c r="B4799" s="44" t="n">
        <v>46269</v>
      </c>
      <c r="C4799" s="31" t="s">
        <v>57</v>
      </c>
      <c r="D4799" s="31" t="s">
        <v>65</v>
      </c>
      <c r="E4799" s="31" t="s">
        <v>51</v>
      </c>
      <c r="F4799" s="31" t="s">
        <v>127</v>
      </c>
      <c r="G4799" s="31" t="n">
        <v>2</v>
      </c>
      <c r="H4799" s="41" t="n">
        <v>7</v>
      </c>
      <c r="I4799" s="31" t="s">
        <v>149</v>
      </c>
      <c r="J4799" s="31"/>
      <c r="K4799" s="31" t="s">
        <v>150</v>
      </c>
      <c r="L4799" s="45" t="n">
        <f aca="false">DATE(YEAR(B4799),MONTH(B4799),1)</f>
        <v>46266</v>
      </c>
      <c r="M4799" s="31" t="n">
        <f aca="false">WEEKDAY(B4799,2)</f>
        <v>5</v>
      </c>
      <c r="N4799" s="31" t="str">
        <f aca="false">IF(G4799&lt;=INDEX(Assumptions!$B$15:$B$18,MATCH(E4799,Assumptions!$A$15:$A$18,0)),"Yes","No")</f>
        <v>Yes</v>
      </c>
      <c r="O4799" s="31" t="str">
        <f aca="false">IF(H4799="","Open",IF(H4799&lt;=INDEX(Assumptions!$C$15:$C$18,MATCH(E4799,Assumptions!$A$15:$A$18,0)),"Yes","No"))</f>
        <v>Yes</v>
      </c>
    </row>
    <row r="4800" customFormat="false" ht="15" hidden="false" customHeight="false" outlineLevel="0" collapsed="false">
      <c r="A4800" s="31" t="s">
        <v>4950</v>
      </c>
      <c r="B4800" s="44" t="n">
        <v>46269</v>
      </c>
      <c r="C4800" s="31" t="s">
        <v>60</v>
      </c>
      <c r="D4800" s="31" t="s">
        <v>68</v>
      </c>
      <c r="E4800" s="31" t="s">
        <v>51</v>
      </c>
      <c r="F4800" s="31" t="s">
        <v>119</v>
      </c>
      <c r="G4800" s="31" t="n">
        <v>1</v>
      </c>
      <c r="H4800" s="41" t="n">
        <v>1.4</v>
      </c>
      <c r="I4800" s="31" t="s">
        <v>149</v>
      </c>
      <c r="J4800" s="31"/>
      <c r="K4800" s="31" t="s">
        <v>150</v>
      </c>
      <c r="L4800" s="45" t="n">
        <f aca="false">DATE(YEAR(B4800),MONTH(B4800),1)</f>
        <v>46266</v>
      </c>
      <c r="M4800" s="31" t="n">
        <f aca="false">WEEKDAY(B4800,2)</f>
        <v>5</v>
      </c>
      <c r="N4800" s="31" t="str">
        <f aca="false">IF(G4800&lt;=INDEX(Assumptions!$B$15:$B$18,MATCH(E4800,Assumptions!$A$15:$A$18,0)),"Yes","No")</f>
        <v>Yes</v>
      </c>
      <c r="O4800" s="31" t="str">
        <f aca="false">IF(H4800="","Open",IF(H4800&lt;=INDEX(Assumptions!$C$15:$C$18,MATCH(E4800,Assumptions!$A$15:$A$18,0)),"Yes","No"))</f>
        <v>Yes</v>
      </c>
    </row>
    <row r="4801" customFormat="false" ht="15" hidden="false" customHeight="false" outlineLevel="0" collapsed="false">
      <c r="A4801" s="31" t="s">
        <v>4951</v>
      </c>
      <c r="B4801" s="44" t="n">
        <v>46269</v>
      </c>
      <c r="C4801" s="31" t="s">
        <v>57</v>
      </c>
      <c r="D4801" s="31" t="s">
        <v>67</v>
      </c>
      <c r="E4801" s="31" t="s">
        <v>51</v>
      </c>
      <c r="F4801" s="31" t="s">
        <v>137</v>
      </c>
      <c r="G4801" s="31" t="n">
        <v>7</v>
      </c>
      <c r="H4801" s="41" t="n">
        <v>20.4</v>
      </c>
      <c r="I4801" s="31" t="s">
        <v>64</v>
      </c>
      <c r="J4801" s="31"/>
      <c r="K4801" s="31" t="s">
        <v>153</v>
      </c>
      <c r="L4801" s="45" t="n">
        <f aca="false">DATE(YEAR(B4801),MONTH(B4801),1)</f>
        <v>46266</v>
      </c>
      <c r="M4801" s="31" t="n">
        <f aca="false">WEEKDAY(B4801,2)</f>
        <v>5</v>
      </c>
      <c r="N4801" s="31" t="str">
        <f aca="false">IF(G4801&lt;=INDEX(Assumptions!$B$15:$B$18,MATCH(E4801,Assumptions!$A$15:$A$18,0)),"Yes","No")</f>
        <v>Yes</v>
      </c>
      <c r="O4801" s="31" t="str">
        <f aca="false">IF(H4801="","Open",IF(H4801&lt;=INDEX(Assumptions!$C$15:$C$18,MATCH(E4801,Assumptions!$A$15:$A$18,0)),"Yes","No"))</f>
        <v>Yes</v>
      </c>
    </row>
    <row r="4802" customFormat="false" ht="15" hidden="false" customHeight="false" outlineLevel="0" collapsed="false">
      <c r="A4802" s="31" t="s">
        <v>4952</v>
      </c>
      <c r="B4802" s="44" t="n">
        <v>46269</v>
      </c>
      <c r="C4802" s="31" t="s">
        <v>60</v>
      </c>
      <c r="D4802" s="31" t="s">
        <v>67</v>
      </c>
      <c r="E4802" s="31" t="s">
        <v>51</v>
      </c>
      <c r="F4802" s="31" t="s">
        <v>123</v>
      </c>
      <c r="G4802" s="31" t="n">
        <v>1</v>
      </c>
      <c r="H4802" s="41" t="n">
        <v>4.3</v>
      </c>
      <c r="I4802" s="31" t="s">
        <v>149</v>
      </c>
      <c r="J4802" s="31"/>
      <c r="K4802" s="31" t="s">
        <v>150</v>
      </c>
      <c r="L4802" s="45" t="n">
        <f aca="false">DATE(YEAR(B4802),MONTH(B4802),1)</f>
        <v>46266</v>
      </c>
      <c r="M4802" s="31" t="n">
        <f aca="false">WEEKDAY(B4802,2)</f>
        <v>5</v>
      </c>
      <c r="N4802" s="31" t="str">
        <f aca="false">IF(G4802&lt;=INDEX(Assumptions!$B$15:$B$18,MATCH(E4802,Assumptions!$A$15:$A$18,0)),"Yes","No")</f>
        <v>Yes</v>
      </c>
      <c r="O4802" s="31" t="str">
        <f aca="false">IF(H4802="","Open",IF(H4802&lt;=INDEX(Assumptions!$C$15:$C$18,MATCH(E4802,Assumptions!$A$15:$A$18,0)),"Yes","No"))</f>
        <v>Yes</v>
      </c>
    </row>
    <row r="4803" customFormat="false" ht="15" hidden="false" customHeight="false" outlineLevel="0" collapsed="false">
      <c r="A4803" s="31" t="s">
        <v>4953</v>
      </c>
      <c r="B4803" s="44" t="n">
        <v>46269</v>
      </c>
      <c r="C4803" s="31" t="s">
        <v>57</v>
      </c>
      <c r="D4803" s="31" t="s">
        <v>65</v>
      </c>
      <c r="E4803" s="31" t="s">
        <v>52</v>
      </c>
      <c r="F4803" s="31" t="s">
        <v>120</v>
      </c>
      <c r="G4803" s="31" t="n">
        <v>4</v>
      </c>
      <c r="H4803" s="41" t="n">
        <v>50.5</v>
      </c>
      <c r="I4803" s="31" t="s">
        <v>149</v>
      </c>
      <c r="J4803" s="31" t="n">
        <v>5</v>
      </c>
      <c r="K4803" s="31" t="s">
        <v>150</v>
      </c>
      <c r="L4803" s="45" t="n">
        <f aca="false">DATE(YEAR(B4803),MONTH(B4803),1)</f>
        <v>46266</v>
      </c>
      <c r="M4803" s="31" t="n">
        <f aca="false">WEEKDAY(B4803,2)</f>
        <v>5</v>
      </c>
      <c r="N4803" s="31" t="str">
        <f aca="false">IF(G4803&lt;=INDEX(Assumptions!$B$15:$B$18,MATCH(E4803,Assumptions!$A$15:$A$18,0)),"Yes","No")</f>
        <v>Yes</v>
      </c>
      <c r="O4803" s="31" t="str">
        <f aca="false">IF(H4803="","Open",IF(H4803&lt;=INDEX(Assumptions!$C$15:$C$18,MATCH(E4803,Assumptions!$A$15:$A$18,0)),"Yes","No"))</f>
        <v>Yes</v>
      </c>
    </row>
    <row r="4804" customFormat="false" ht="15" hidden="false" customHeight="false" outlineLevel="0" collapsed="false">
      <c r="A4804" s="31" t="s">
        <v>4954</v>
      </c>
      <c r="B4804" s="44" t="n">
        <v>46269</v>
      </c>
      <c r="C4804" s="31" t="s">
        <v>57</v>
      </c>
      <c r="D4804" s="31" t="s">
        <v>65</v>
      </c>
      <c r="E4804" s="31" t="s">
        <v>50</v>
      </c>
      <c r="F4804" s="31" t="s">
        <v>136</v>
      </c>
      <c r="G4804" s="31" t="n">
        <v>1</v>
      </c>
      <c r="H4804" s="41" t="n">
        <v>56.3</v>
      </c>
      <c r="I4804" s="31" t="s">
        <v>64</v>
      </c>
      <c r="J4804" s="31" t="n">
        <v>2</v>
      </c>
      <c r="K4804" s="31" t="s">
        <v>150</v>
      </c>
      <c r="L4804" s="45" t="n">
        <f aca="false">DATE(YEAR(B4804),MONTH(B4804),1)</f>
        <v>46266</v>
      </c>
      <c r="M4804" s="31" t="n">
        <f aca="false">WEEKDAY(B4804,2)</f>
        <v>5</v>
      </c>
      <c r="N4804" s="31" t="str">
        <f aca="false">IF(G4804&lt;=INDEX(Assumptions!$B$15:$B$18,MATCH(E4804,Assumptions!$A$15:$A$18,0)),"Yes","No")</f>
        <v>Yes</v>
      </c>
      <c r="O4804" s="31" t="str">
        <f aca="false">IF(H4804="","Open",IF(H4804&lt;=INDEX(Assumptions!$C$15:$C$18,MATCH(E4804,Assumptions!$A$15:$A$18,0)),"Yes","No"))</f>
        <v>No</v>
      </c>
    </row>
    <row r="4805" customFormat="false" ht="15" hidden="false" customHeight="false" outlineLevel="0" collapsed="false">
      <c r="A4805" s="31" t="s">
        <v>4955</v>
      </c>
      <c r="B4805" s="44" t="n">
        <v>46269</v>
      </c>
      <c r="C4805" s="31" t="s">
        <v>59</v>
      </c>
      <c r="D4805" s="31" t="s">
        <v>65</v>
      </c>
      <c r="E4805" s="31" t="s">
        <v>49</v>
      </c>
      <c r="F4805" s="31" t="s">
        <v>121</v>
      </c>
      <c r="G4805" s="31" t="n">
        <v>79</v>
      </c>
      <c r="H4805" s="41" t="n">
        <v>18.1</v>
      </c>
      <c r="I4805" s="31" t="s">
        <v>64</v>
      </c>
      <c r="J4805" s="31"/>
      <c r="K4805" s="31" t="s">
        <v>150</v>
      </c>
      <c r="L4805" s="45" t="n">
        <f aca="false">DATE(YEAR(B4805),MONTH(B4805),1)</f>
        <v>46266</v>
      </c>
      <c r="M4805" s="31" t="n">
        <f aca="false">WEEKDAY(B4805,2)</f>
        <v>5</v>
      </c>
      <c r="N4805" s="31" t="str">
        <f aca="false">IF(G4805&lt;=INDEX(Assumptions!$B$15:$B$18,MATCH(E4805,Assumptions!$A$15:$A$18,0)),"Yes","No")</f>
        <v>No</v>
      </c>
      <c r="O4805" s="31" t="str">
        <f aca="false">IF(H4805="","Open",IF(H4805&lt;=INDEX(Assumptions!$C$15:$C$18,MATCH(E4805,Assumptions!$A$15:$A$18,0)),"Yes","No"))</f>
        <v>No</v>
      </c>
    </row>
    <row r="4806" customFormat="false" ht="15" hidden="false" customHeight="false" outlineLevel="0" collapsed="false">
      <c r="A4806" s="31" t="s">
        <v>4956</v>
      </c>
      <c r="B4806" s="44" t="n">
        <v>46269</v>
      </c>
      <c r="C4806" s="31" t="s">
        <v>58</v>
      </c>
      <c r="D4806" s="31" t="s">
        <v>67</v>
      </c>
      <c r="E4806" s="31" t="s">
        <v>52</v>
      </c>
      <c r="F4806" s="31" t="s">
        <v>128</v>
      </c>
      <c r="G4806" s="31" t="n">
        <v>17</v>
      </c>
      <c r="H4806" s="41" t="n">
        <v>30.7</v>
      </c>
      <c r="I4806" s="31" t="s">
        <v>149</v>
      </c>
      <c r="J4806" s="31" t="n">
        <v>3</v>
      </c>
      <c r="K4806" s="31" t="s">
        <v>150</v>
      </c>
      <c r="L4806" s="45" t="n">
        <f aca="false">DATE(YEAR(B4806),MONTH(B4806),1)</f>
        <v>46266</v>
      </c>
      <c r="M4806" s="31" t="n">
        <f aca="false">WEEKDAY(B4806,2)</f>
        <v>5</v>
      </c>
      <c r="N4806" s="31" t="str">
        <f aca="false">IF(G4806&lt;=INDEX(Assumptions!$B$15:$B$18,MATCH(E4806,Assumptions!$A$15:$A$18,0)),"Yes","No")</f>
        <v>Yes</v>
      </c>
      <c r="O4806" s="31" t="str">
        <f aca="false">IF(H4806="","Open",IF(H4806&lt;=INDEX(Assumptions!$C$15:$C$18,MATCH(E4806,Assumptions!$A$15:$A$18,0)),"Yes","No"))</f>
        <v>Yes</v>
      </c>
    </row>
    <row r="4807" customFormat="false" ht="15" hidden="false" customHeight="false" outlineLevel="0" collapsed="false">
      <c r="A4807" s="31" t="s">
        <v>4957</v>
      </c>
      <c r="B4807" s="44" t="n">
        <v>46269</v>
      </c>
      <c r="C4807" s="31" t="s">
        <v>57</v>
      </c>
      <c r="D4807" s="31" t="s">
        <v>65</v>
      </c>
      <c r="E4807" s="31" t="s">
        <v>52</v>
      </c>
      <c r="F4807" s="31" t="s">
        <v>120</v>
      </c>
      <c r="G4807" s="31" t="n">
        <v>26</v>
      </c>
      <c r="H4807" s="41" t="n">
        <v>88</v>
      </c>
      <c r="I4807" s="31" t="s">
        <v>149</v>
      </c>
      <c r="J4807" s="31"/>
      <c r="K4807" s="31" t="s">
        <v>150</v>
      </c>
      <c r="L4807" s="45" t="n">
        <f aca="false">DATE(YEAR(B4807),MONTH(B4807),1)</f>
        <v>46266</v>
      </c>
      <c r="M4807" s="31" t="n">
        <f aca="false">WEEKDAY(B4807,2)</f>
        <v>5</v>
      </c>
      <c r="N4807" s="31" t="str">
        <f aca="false">IF(G4807&lt;=INDEX(Assumptions!$B$15:$B$18,MATCH(E4807,Assumptions!$A$15:$A$18,0)),"Yes","No")</f>
        <v>Yes</v>
      </c>
      <c r="O4807" s="31" t="str">
        <f aca="false">IF(H4807="","Open",IF(H4807&lt;=INDEX(Assumptions!$C$15:$C$18,MATCH(E4807,Assumptions!$A$15:$A$18,0)),"Yes","No"))</f>
        <v>No</v>
      </c>
    </row>
    <row r="4808" customFormat="false" ht="15" hidden="false" customHeight="false" outlineLevel="0" collapsed="false">
      <c r="A4808" s="31" t="s">
        <v>4958</v>
      </c>
      <c r="B4808" s="44" t="n">
        <v>46269</v>
      </c>
      <c r="C4808" s="31" t="s">
        <v>59</v>
      </c>
      <c r="D4808" s="31" t="s">
        <v>66</v>
      </c>
      <c r="E4808" s="31" t="s">
        <v>50</v>
      </c>
      <c r="F4808" s="31" t="s">
        <v>123</v>
      </c>
      <c r="G4808" s="31" t="n">
        <v>91</v>
      </c>
      <c r="H4808" s="41" t="n">
        <v>1.4</v>
      </c>
      <c r="I4808" s="31" t="s">
        <v>149</v>
      </c>
      <c r="J4808" s="31" t="n">
        <v>4</v>
      </c>
      <c r="K4808" s="31" t="s">
        <v>150</v>
      </c>
      <c r="L4808" s="45" t="n">
        <f aca="false">DATE(YEAR(B4808),MONTH(B4808),1)</f>
        <v>46266</v>
      </c>
      <c r="M4808" s="31" t="n">
        <f aca="false">WEEKDAY(B4808,2)</f>
        <v>5</v>
      </c>
      <c r="N4808" s="31" t="str">
        <f aca="false">IF(G4808&lt;=INDEX(Assumptions!$B$15:$B$18,MATCH(E4808,Assumptions!$A$15:$A$18,0)),"Yes","No")</f>
        <v>No</v>
      </c>
      <c r="O4808" s="31" t="str">
        <f aca="false">IF(H4808="","Open",IF(H4808&lt;=INDEX(Assumptions!$C$15:$C$18,MATCH(E4808,Assumptions!$A$15:$A$18,0)),"Yes","No"))</f>
        <v>Yes</v>
      </c>
    </row>
    <row r="4809" customFormat="false" ht="15" hidden="false" customHeight="false" outlineLevel="0" collapsed="false">
      <c r="A4809" s="31" t="s">
        <v>4959</v>
      </c>
      <c r="B4809" s="44" t="n">
        <v>46269</v>
      </c>
      <c r="C4809" s="31" t="s">
        <v>58</v>
      </c>
      <c r="D4809" s="31" t="s">
        <v>65</v>
      </c>
      <c r="E4809" s="31" t="s">
        <v>49</v>
      </c>
      <c r="F4809" s="31" t="s">
        <v>121</v>
      </c>
      <c r="G4809" s="31" t="n">
        <v>5</v>
      </c>
      <c r="H4809" s="41" t="n">
        <v>1</v>
      </c>
      <c r="I4809" s="31" t="s">
        <v>149</v>
      </c>
      <c r="J4809" s="31"/>
      <c r="K4809" s="31" t="s">
        <v>150</v>
      </c>
      <c r="L4809" s="45" t="n">
        <f aca="false">DATE(YEAR(B4809),MONTH(B4809),1)</f>
        <v>46266</v>
      </c>
      <c r="M4809" s="31" t="n">
        <f aca="false">WEEKDAY(B4809,2)</f>
        <v>5</v>
      </c>
      <c r="N4809" s="31" t="str">
        <f aca="false">IF(G4809&lt;=INDEX(Assumptions!$B$15:$B$18,MATCH(E4809,Assumptions!$A$15:$A$18,0)),"Yes","No")</f>
        <v>Yes</v>
      </c>
      <c r="O4809" s="31" t="str">
        <f aca="false">IF(H4809="","Open",IF(H4809&lt;=INDEX(Assumptions!$C$15:$C$18,MATCH(E4809,Assumptions!$A$15:$A$18,0)),"Yes","No"))</f>
        <v>Yes</v>
      </c>
    </row>
    <row r="4810" customFormat="false" ht="15" hidden="false" customHeight="false" outlineLevel="0" collapsed="false">
      <c r="A4810" s="31" t="s">
        <v>4960</v>
      </c>
      <c r="B4810" s="44" t="n">
        <v>46269</v>
      </c>
      <c r="C4810" s="31" t="s">
        <v>57</v>
      </c>
      <c r="D4810" s="31" t="s">
        <v>67</v>
      </c>
      <c r="E4810" s="31" t="s">
        <v>50</v>
      </c>
      <c r="F4810" s="31" t="s">
        <v>121</v>
      </c>
      <c r="G4810" s="31" t="n">
        <v>5</v>
      </c>
      <c r="H4810" s="41" t="n">
        <v>8.5</v>
      </c>
      <c r="I4810" s="31" t="s">
        <v>149</v>
      </c>
      <c r="J4810" s="31"/>
      <c r="K4810" s="31" t="s">
        <v>150</v>
      </c>
      <c r="L4810" s="45" t="n">
        <f aca="false">DATE(YEAR(B4810),MONTH(B4810),1)</f>
        <v>46266</v>
      </c>
      <c r="M4810" s="31" t="n">
        <f aca="false">WEEKDAY(B4810,2)</f>
        <v>5</v>
      </c>
      <c r="N4810" s="31" t="str">
        <f aca="false">IF(G4810&lt;=INDEX(Assumptions!$B$15:$B$18,MATCH(E4810,Assumptions!$A$15:$A$18,0)),"Yes","No")</f>
        <v>Yes</v>
      </c>
      <c r="O4810" s="31" t="str">
        <f aca="false">IF(H4810="","Open",IF(H4810&lt;=INDEX(Assumptions!$C$15:$C$18,MATCH(E4810,Assumptions!$A$15:$A$18,0)),"Yes","No"))</f>
        <v>No</v>
      </c>
    </row>
    <row r="4811" customFormat="false" ht="15" hidden="false" customHeight="false" outlineLevel="0" collapsed="false">
      <c r="A4811" s="31" t="s">
        <v>4961</v>
      </c>
      <c r="B4811" s="44" t="n">
        <v>46269</v>
      </c>
      <c r="C4811" s="31" t="s">
        <v>57</v>
      </c>
      <c r="D4811" s="31" t="s">
        <v>67</v>
      </c>
      <c r="E4811" s="31" t="s">
        <v>51</v>
      </c>
      <c r="F4811" s="31" t="s">
        <v>136</v>
      </c>
      <c r="G4811" s="31" t="n">
        <v>11</v>
      </c>
      <c r="H4811" s="41" t="n">
        <v>15.8</v>
      </c>
      <c r="I4811" s="31" t="s">
        <v>149</v>
      </c>
      <c r="J4811" s="31"/>
      <c r="K4811" s="31" t="s">
        <v>150</v>
      </c>
      <c r="L4811" s="45" t="n">
        <f aca="false">DATE(YEAR(B4811),MONTH(B4811),1)</f>
        <v>46266</v>
      </c>
      <c r="M4811" s="31" t="n">
        <f aca="false">WEEKDAY(B4811,2)</f>
        <v>5</v>
      </c>
      <c r="N4811" s="31" t="str">
        <f aca="false">IF(G4811&lt;=INDEX(Assumptions!$B$15:$B$18,MATCH(E4811,Assumptions!$A$15:$A$18,0)),"Yes","No")</f>
        <v>Yes</v>
      </c>
      <c r="O4811" s="31" t="str">
        <f aca="false">IF(H4811="","Open",IF(H4811&lt;=INDEX(Assumptions!$C$15:$C$18,MATCH(E4811,Assumptions!$A$15:$A$18,0)),"Yes","No"))</f>
        <v>Yes</v>
      </c>
    </row>
    <row r="4812" customFormat="false" ht="15" hidden="false" customHeight="false" outlineLevel="0" collapsed="false">
      <c r="A4812" s="31" t="s">
        <v>4962</v>
      </c>
      <c r="B4812" s="44" t="n">
        <v>46269</v>
      </c>
      <c r="C4812" s="31" t="s">
        <v>59</v>
      </c>
      <c r="D4812" s="31" t="s">
        <v>67</v>
      </c>
      <c r="E4812" s="31" t="s">
        <v>51</v>
      </c>
      <c r="F4812" s="31" t="s">
        <v>122</v>
      </c>
      <c r="G4812" s="31" t="n">
        <v>87</v>
      </c>
      <c r="H4812" s="41" t="n">
        <v>11.6</v>
      </c>
      <c r="I4812" s="31" t="s">
        <v>149</v>
      </c>
      <c r="J4812" s="31" t="n">
        <v>5</v>
      </c>
      <c r="K4812" s="31" t="s">
        <v>150</v>
      </c>
      <c r="L4812" s="45" t="n">
        <f aca="false">DATE(YEAR(B4812),MONTH(B4812),1)</f>
        <v>46266</v>
      </c>
      <c r="M4812" s="31" t="n">
        <f aca="false">WEEKDAY(B4812,2)</f>
        <v>5</v>
      </c>
      <c r="N4812" s="31" t="str">
        <f aca="false">IF(G4812&lt;=INDEX(Assumptions!$B$15:$B$18,MATCH(E4812,Assumptions!$A$15:$A$18,0)),"Yes","No")</f>
        <v>No</v>
      </c>
      <c r="O4812" s="31" t="str">
        <f aca="false">IF(H4812="","Open",IF(H4812&lt;=INDEX(Assumptions!$C$15:$C$18,MATCH(E4812,Assumptions!$A$15:$A$18,0)),"Yes","No"))</f>
        <v>Yes</v>
      </c>
    </row>
    <row r="4813" customFormat="false" ht="15" hidden="false" customHeight="false" outlineLevel="0" collapsed="false">
      <c r="A4813" s="31" t="s">
        <v>4963</v>
      </c>
      <c r="B4813" s="44" t="n">
        <v>46269</v>
      </c>
      <c r="C4813" s="31" t="s">
        <v>58</v>
      </c>
      <c r="D4813" s="31" t="s">
        <v>67</v>
      </c>
      <c r="E4813" s="31" t="s">
        <v>52</v>
      </c>
      <c r="F4813" s="31" t="s">
        <v>137</v>
      </c>
      <c r="G4813" s="31" t="n">
        <v>6</v>
      </c>
      <c r="H4813" s="41" t="n">
        <v>44.8</v>
      </c>
      <c r="I4813" s="31" t="s">
        <v>149</v>
      </c>
      <c r="J4813" s="31"/>
      <c r="K4813" s="31" t="s">
        <v>150</v>
      </c>
      <c r="L4813" s="45" t="n">
        <f aca="false">DATE(YEAR(B4813),MONTH(B4813),1)</f>
        <v>46266</v>
      </c>
      <c r="M4813" s="31" t="n">
        <f aca="false">WEEKDAY(B4813,2)</f>
        <v>5</v>
      </c>
      <c r="N4813" s="31" t="str">
        <f aca="false">IF(G4813&lt;=INDEX(Assumptions!$B$15:$B$18,MATCH(E4813,Assumptions!$A$15:$A$18,0)),"Yes","No")</f>
        <v>Yes</v>
      </c>
      <c r="O4813" s="31" t="str">
        <f aca="false">IF(H4813="","Open",IF(H4813&lt;=INDEX(Assumptions!$C$15:$C$18,MATCH(E4813,Assumptions!$A$15:$A$18,0)),"Yes","No"))</f>
        <v>Yes</v>
      </c>
    </row>
    <row r="4814" customFormat="false" ht="15" hidden="false" customHeight="false" outlineLevel="0" collapsed="false">
      <c r="A4814" s="31" t="s">
        <v>4964</v>
      </c>
      <c r="B4814" s="44" t="n">
        <v>46269</v>
      </c>
      <c r="C4814" s="31" t="s">
        <v>59</v>
      </c>
      <c r="D4814" s="31" t="s">
        <v>66</v>
      </c>
      <c r="E4814" s="31" t="s">
        <v>52</v>
      </c>
      <c r="F4814" s="31" t="s">
        <v>129</v>
      </c>
      <c r="G4814" s="31" t="n">
        <v>209</v>
      </c>
      <c r="H4814" s="41" t="n">
        <v>5.1</v>
      </c>
      <c r="I4814" s="31" t="s">
        <v>149</v>
      </c>
      <c r="J4814" s="31" t="n">
        <v>4</v>
      </c>
      <c r="K4814" s="31" t="s">
        <v>150</v>
      </c>
      <c r="L4814" s="45" t="n">
        <f aca="false">DATE(YEAR(B4814),MONTH(B4814),1)</f>
        <v>46266</v>
      </c>
      <c r="M4814" s="31" t="n">
        <f aca="false">WEEKDAY(B4814,2)</f>
        <v>5</v>
      </c>
      <c r="N4814" s="31" t="str">
        <f aca="false">IF(G4814&lt;=INDEX(Assumptions!$B$15:$B$18,MATCH(E4814,Assumptions!$A$15:$A$18,0)),"Yes","No")</f>
        <v>Yes</v>
      </c>
      <c r="O4814" s="31" t="str">
        <f aca="false">IF(H4814="","Open",IF(H4814&lt;=INDEX(Assumptions!$C$15:$C$18,MATCH(E4814,Assumptions!$A$15:$A$18,0)),"Yes","No"))</f>
        <v>Yes</v>
      </c>
    </row>
    <row r="4815" customFormat="false" ht="15" hidden="false" customHeight="false" outlineLevel="0" collapsed="false">
      <c r="A4815" s="31" t="s">
        <v>4965</v>
      </c>
      <c r="B4815" s="44" t="n">
        <v>46269</v>
      </c>
      <c r="C4815" s="31" t="s">
        <v>60</v>
      </c>
      <c r="D4815" s="31" t="s">
        <v>69</v>
      </c>
      <c r="E4815" s="31" t="s">
        <v>52</v>
      </c>
      <c r="F4815" s="31" t="s">
        <v>130</v>
      </c>
      <c r="G4815" s="31" t="n">
        <v>2</v>
      </c>
      <c r="H4815" s="41" t="n">
        <v>58.1</v>
      </c>
      <c r="I4815" s="31" t="s">
        <v>149</v>
      </c>
      <c r="J4815" s="31" t="n">
        <v>4</v>
      </c>
      <c r="K4815" s="31" t="s">
        <v>150</v>
      </c>
      <c r="L4815" s="45" t="n">
        <f aca="false">DATE(YEAR(B4815),MONTH(B4815),1)</f>
        <v>46266</v>
      </c>
      <c r="M4815" s="31" t="n">
        <f aca="false">WEEKDAY(B4815,2)</f>
        <v>5</v>
      </c>
      <c r="N4815" s="31" t="str">
        <f aca="false">IF(G4815&lt;=INDEX(Assumptions!$B$15:$B$18,MATCH(E4815,Assumptions!$A$15:$A$18,0)),"Yes","No")</f>
        <v>Yes</v>
      </c>
      <c r="O4815" s="31" t="str">
        <f aca="false">IF(H4815="","Open",IF(H4815&lt;=INDEX(Assumptions!$C$15:$C$18,MATCH(E4815,Assumptions!$A$15:$A$18,0)),"Yes","No"))</f>
        <v>Yes</v>
      </c>
    </row>
    <row r="4816" customFormat="false" ht="15" hidden="false" customHeight="false" outlineLevel="0" collapsed="false">
      <c r="A4816" s="31" t="s">
        <v>4966</v>
      </c>
      <c r="B4816" s="44" t="n">
        <v>46269</v>
      </c>
      <c r="C4816" s="31" t="s">
        <v>59</v>
      </c>
      <c r="D4816" s="31" t="s">
        <v>66</v>
      </c>
      <c r="E4816" s="31" t="s">
        <v>50</v>
      </c>
      <c r="F4816" s="31" t="s">
        <v>126</v>
      </c>
      <c r="G4816" s="31" t="n">
        <v>19</v>
      </c>
      <c r="H4816" s="41" t="n">
        <v>4.1</v>
      </c>
      <c r="I4816" s="31" t="s">
        <v>149</v>
      </c>
      <c r="J4816" s="31"/>
      <c r="K4816" s="31" t="s">
        <v>150</v>
      </c>
      <c r="L4816" s="45" t="n">
        <f aca="false">DATE(YEAR(B4816),MONTH(B4816),1)</f>
        <v>46266</v>
      </c>
      <c r="M4816" s="31" t="n">
        <f aca="false">WEEKDAY(B4816,2)</f>
        <v>5</v>
      </c>
      <c r="N4816" s="31" t="str">
        <f aca="false">IF(G4816&lt;=INDEX(Assumptions!$B$15:$B$18,MATCH(E4816,Assumptions!$A$15:$A$18,0)),"Yes","No")</f>
        <v>Yes</v>
      </c>
      <c r="O4816" s="31" t="str">
        <f aca="false">IF(H4816="","Open",IF(H4816&lt;=INDEX(Assumptions!$C$15:$C$18,MATCH(E4816,Assumptions!$A$15:$A$18,0)),"Yes","No"))</f>
        <v>Yes</v>
      </c>
    </row>
    <row r="4817" customFormat="false" ht="15" hidden="false" customHeight="false" outlineLevel="0" collapsed="false">
      <c r="A4817" s="31" t="s">
        <v>4967</v>
      </c>
      <c r="B4817" s="44" t="n">
        <v>46269</v>
      </c>
      <c r="C4817" s="31" t="s">
        <v>57</v>
      </c>
      <c r="D4817" s="31" t="s">
        <v>66</v>
      </c>
      <c r="E4817" s="31" t="s">
        <v>51</v>
      </c>
      <c r="F4817" s="31" t="s">
        <v>133</v>
      </c>
      <c r="G4817" s="31" t="n">
        <v>2</v>
      </c>
      <c r="H4817" s="41" t="n">
        <v>10.8</v>
      </c>
      <c r="I4817" s="31" t="s">
        <v>149</v>
      </c>
      <c r="J4817" s="31" t="n">
        <v>4</v>
      </c>
      <c r="K4817" s="31" t="s">
        <v>150</v>
      </c>
      <c r="L4817" s="45" t="n">
        <f aca="false">DATE(YEAR(B4817),MONTH(B4817),1)</f>
        <v>46266</v>
      </c>
      <c r="M4817" s="31" t="n">
        <f aca="false">WEEKDAY(B4817,2)</f>
        <v>5</v>
      </c>
      <c r="N4817" s="31" t="str">
        <f aca="false">IF(G4817&lt;=INDEX(Assumptions!$B$15:$B$18,MATCH(E4817,Assumptions!$A$15:$A$18,0)),"Yes","No")</f>
        <v>Yes</v>
      </c>
      <c r="O4817" s="31" t="str">
        <f aca="false">IF(H4817="","Open",IF(H4817&lt;=INDEX(Assumptions!$C$15:$C$18,MATCH(E4817,Assumptions!$A$15:$A$18,0)),"Yes","No"))</f>
        <v>Yes</v>
      </c>
    </row>
    <row r="4818" customFormat="false" ht="15" hidden="false" customHeight="false" outlineLevel="0" collapsed="false">
      <c r="A4818" s="31" t="s">
        <v>4968</v>
      </c>
      <c r="B4818" s="44" t="n">
        <v>46269</v>
      </c>
      <c r="C4818" s="31" t="s">
        <v>59</v>
      </c>
      <c r="D4818" s="31" t="s">
        <v>65</v>
      </c>
      <c r="E4818" s="31" t="s">
        <v>50</v>
      </c>
      <c r="F4818" s="31" t="s">
        <v>117</v>
      </c>
      <c r="G4818" s="31" t="n">
        <v>20</v>
      </c>
      <c r="H4818" s="41" t="n">
        <v>5.9</v>
      </c>
      <c r="I4818" s="31" t="s">
        <v>64</v>
      </c>
      <c r="J4818" s="31" t="n">
        <v>3</v>
      </c>
      <c r="K4818" s="31" t="s">
        <v>150</v>
      </c>
      <c r="L4818" s="45" t="n">
        <f aca="false">DATE(YEAR(B4818),MONTH(B4818),1)</f>
        <v>46266</v>
      </c>
      <c r="M4818" s="31" t="n">
        <f aca="false">WEEKDAY(B4818,2)</f>
        <v>5</v>
      </c>
      <c r="N4818" s="31" t="str">
        <f aca="false">IF(G4818&lt;=INDEX(Assumptions!$B$15:$B$18,MATCH(E4818,Assumptions!$A$15:$A$18,0)),"Yes","No")</f>
        <v>Yes</v>
      </c>
      <c r="O4818" s="31" t="str">
        <f aca="false">IF(H4818="","Open",IF(H4818&lt;=INDEX(Assumptions!$C$15:$C$18,MATCH(E4818,Assumptions!$A$15:$A$18,0)),"Yes","No"))</f>
        <v>Yes</v>
      </c>
    </row>
    <row r="4819" customFormat="false" ht="15" hidden="false" customHeight="false" outlineLevel="0" collapsed="false">
      <c r="A4819" s="31" t="s">
        <v>4969</v>
      </c>
      <c r="B4819" s="44" t="n">
        <v>46269</v>
      </c>
      <c r="C4819" s="31" t="s">
        <v>60</v>
      </c>
      <c r="D4819" s="31" t="s">
        <v>67</v>
      </c>
      <c r="E4819" s="31" t="s">
        <v>51</v>
      </c>
      <c r="F4819" s="31" t="s">
        <v>133</v>
      </c>
      <c r="G4819" s="31" t="n">
        <v>2</v>
      </c>
      <c r="H4819" s="41" t="n">
        <v>6.9</v>
      </c>
      <c r="I4819" s="31" t="s">
        <v>149</v>
      </c>
      <c r="J4819" s="31" t="n">
        <v>4</v>
      </c>
      <c r="K4819" s="31" t="s">
        <v>150</v>
      </c>
      <c r="L4819" s="45" t="n">
        <f aca="false">DATE(YEAR(B4819),MONTH(B4819),1)</f>
        <v>46266</v>
      </c>
      <c r="M4819" s="31" t="n">
        <f aca="false">WEEKDAY(B4819,2)</f>
        <v>5</v>
      </c>
      <c r="N4819" s="31" t="str">
        <f aca="false">IF(G4819&lt;=INDEX(Assumptions!$B$15:$B$18,MATCH(E4819,Assumptions!$A$15:$A$18,0)),"Yes","No")</f>
        <v>Yes</v>
      </c>
      <c r="O4819" s="31" t="str">
        <f aca="false">IF(H4819="","Open",IF(H4819&lt;=INDEX(Assumptions!$C$15:$C$18,MATCH(E4819,Assumptions!$A$15:$A$18,0)),"Yes","No"))</f>
        <v>Yes</v>
      </c>
    </row>
    <row r="4820" customFormat="false" ht="15" hidden="false" customHeight="false" outlineLevel="0" collapsed="false">
      <c r="A4820" s="31" t="s">
        <v>4970</v>
      </c>
      <c r="B4820" s="44" t="n">
        <v>46269</v>
      </c>
      <c r="C4820" s="31" t="s">
        <v>59</v>
      </c>
      <c r="D4820" s="31" t="s">
        <v>66</v>
      </c>
      <c r="E4820" s="31" t="s">
        <v>51</v>
      </c>
      <c r="F4820" s="31" t="s">
        <v>121</v>
      </c>
      <c r="G4820" s="31" t="n">
        <v>30</v>
      </c>
      <c r="H4820" s="41" t="n">
        <v>2.7</v>
      </c>
      <c r="I4820" s="31" t="s">
        <v>149</v>
      </c>
      <c r="J4820" s="31" t="n">
        <v>5</v>
      </c>
      <c r="K4820" s="31" t="s">
        <v>150</v>
      </c>
      <c r="L4820" s="45" t="n">
        <f aca="false">DATE(YEAR(B4820),MONTH(B4820),1)</f>
        <v>46266</v>
      </c>
      <c r="M4820" s="31" t="n">
        <f aca="false">WEEKDAY(B4820,2)</f>
        <v>5</v>
      </c>
      <c r="N4820" s="31" t="str">
        <f aca="false">IF(G4820&lt;=INDEX(Assumptions!$B$15:$B$18,MATCH(E4820,Assumptions!$A$15:$A$18,0)),"Yes","No")</f>
        <v>Yes</v>
      </c>
      <c r="O4820" s="31" t="str">
        <f aca="false">IF(H4820="","Open",IF(H4820&lt;=INDEX(Assumptions!$C$15:$C$18,MATCH(E4820,Assumptions!$A$15:$A$18,0)),"Yes","No"))</f>
        <v>Yes</v>
      </c>
    </row>
    <row r="4821" customFormat="false" ht="15" hidden="false" customHeight="false" outlineLevel="0" collapsed="false">
      <c r="A4821" s="31" t="s">
        <v>4971</v>
      </c>
      <c r="B4821" s="44" t="n">
        <v>46269</v>
      </c>
      <c r="C4821" s="31" t="s">
        <v>59</v>
      </c>
      <c r="D4821" s="31" t="s">
        <v>69</v>
      </c>
      <c r="E4821" s="31" t="s">
        <v>51</v>
      </c>
      <c r="F4821" s="31" t="s">
        <v>119</v>
      </c>
      <c r="G4821" s="31" t="n">
        <v>156</v>
      </c>
      <c r="H4821" s="41" t="n">
        <v>78.7</v>
      </c>
      <c r="I4821" s="31" t="s">
        <v>149</v>
      </c>
      <c r="J4821" s="31"/>
      <c r="K4821" s="31" t="s">
        <v>150</v>
      </c>
      <c r="L4821" s="45" t="n">
        <f aca="false">DATE(YEAR(B4821),MONTH(B4821),1)</f>
        <v>46266</v>
      </c>
      <c r="M4821" s="31" t="n">
        <f aca="false">WEEKDAY(B4821,2)</f>
        <v>5</v>
      </c>
      <c r="N4821" s="31" t="str">
        <f aca="false">IF(G4821&lt;=INDEX(Assumptions!$B$15:$B$18,MATCH(E4821,Assumptions!$A$15:$A$18,0)),"Yes","No")</f>
        <v>No</v>
      </c>
      <c r="O4821" s="31" t="str">
        <f aca="false">IF(H4821="","Open",IF(H4821&lt;=INDEX(Assumptions!$C$15:$C$18,MATCH(E4821,Assumptions!$A$15:$A$18,0)),"Yes","No"))</f>
        <v>No</v>
      </c>
    </row>
    <row r="4822" customFormat="false" ht="15" hidden="false" customHeight="false" outlineLevel="0" collapsed="false">
      <c r="A4822" s="31" t="s">
        <v>4972</v>
      </c>
      <c r="B4822" s="44" t="n">
        <v>46269</v>
      </c>
      <c r="C4822" s="31" t="s">
        <v>60</v>
      </c>
      <c r="D4822" s="31" t="s">
        <v>67</v>
      </c>
      <c r="E4822" s="31" t="s">
        <v>51</v>
      </c>
      <c r="F4822" s="31" t="s">
        <v>134</v>
      </c>
      <c r="G4822" s="31" t="n">
        <v>2</v>
      </c>
      <c r="H4822" s="41" t="n">
        <v>12.4</v>
      </c>
      <c r="I4822" s="31" t="s">
        <v>149</v>
      </c>
      <c r="J4822" s="31" t="n">
        <v>4</v>
      </c>
      <c r="K4822" s="31" t="s">
        <v>150</v>
      </c>
      <c r="L4822" s="45" t="n">
        <f aca="false">DATE(YEAR(B4822),MONTH(B4822),1)</f>
        <v>46266</v>
      </c>
      <c r="M4822" s="31" t="n">
        <f aca="false">WEEKDAY(B4822,2)</f>
        <v>5</v>
      </c>
      <c r="N4822" s="31" t="str">
        <f aca="false">IF(G4822&lt;=INDEX(Assumptions!$B$15:$B$18,MATCH(E4822,Assumptions!$A$15:$A$18,0)),"Yes","No")</f>
        <v>Yes</v>
      </c>
      <c r="O4822" s="31" t="str">
        <f aca="false">IF(H4822="","Open",IF(H4822&lt;=INDEX(Assumptions!$C$15:$C$18,MATCH(E4822,Assumptions!$A$15:$A$18,0)),"Yes","No"))</f>
        <v>Yes</v>
      </c>
    </row>
    <row r="4823" customFormat="false" ht="15" hidden="false" customHeight="false" outlineLevel="0" collapsed="false">
      <c r="A4823" s="31" t="s">
        <v>4973</v>
      </c>
      <c r="B4823" s="44" t="n">
        <v>46269</v>
      </c>
      <c r="C4823" s="31" t="s">
        <v>58</v>
      </c>
      <c r="D4823" s="31" t="s">
        <v>66</v>
      </c>
      <c r="E4823" s="31" t="s">
        <v>51</v>
      </c>
      <c r="F4823" s="31" t="s">
        <v>126</v>
      </c>
      <c r="G4823" s="31" t="n">
        <v>1</v>
      </c>
      <c r="H4823" s="41" t="n">
        <v>3.2</v>
      </c>
      <c r="I4823" s="31" t="s">
        <v>149</v>
      </c>
      <c r="J4823" s="31" t="n">
        <v>4</v>
      </c>
      <c r="K4823" s="31" t="s">
        <v>150</v>
      </c>
      <c r="L4823" s="45" t="n">
        <f aca="false">DATE(YEAR(B4823),MONTH(B4823),1)</f>
        <v>46266</v>
      </c>
      <c r="M4823" s="31" t="n">
        <f aca="false">WEEKDAY(B4823,2)</f>
        <v>5</v>
      </c>
      <c r="N4823" s="31" t="str">
        <f aca="false">IF(G4823&lt;=INDEX(Assumptions!$B$15:$B$18,MATCH(E4823,Assumptions!$A$15:$A$18,0)),"Yes","No")</f>
        <v>Yes</v>
      </c>
      <c r="O4823" s="31" t="str">
        <f aca="false">IF(H4823="","Open",IF(H4823&lt;=INDEX(Assumptions!$C$15:$C$18,MATCH(E4823,Assumptions!$A$15:$A$18,0)),"Yes","No"))</f>
        <v>Yes</v>
      </c>
    </row>
    <row r="4824" customFormat="false" ht="15" hidden="false" customHeight="false" outlineLevel="0" collapsed="false">
      <c r="A4824" s="31" t="s">
        <v>4974</v>
      </c>
      <c r="B4824" s="44" t="n">
        <v>46269</v>
      </c>
      <c r="C4824" s="31" t="s">
        <v>58</v>
      </c>
      <c r="D4824" s="31" t="s">
        <v>67</v>
      </c>
      <c r="E4824" s="31" t="s">
        <v>52</v>
      </c>
      <c r="F4824" s="31" t="s">
        <v>129</v>
      </c>
      <c r="G4824" s="31" t="n">
        <v>12</v>
      </c>
      <c r="H4824" s="41" t="n">
        <v>44.3</v>
      </c>
      <c r="I4824" s="31" t="s">
        <v>149</v>
      </c>
      <c r="J4824" s="31" t="n">
        <v>5</v>
      </c>
      <c r="K4824" s="31" t="s">
        <v>150</v>
      </c>
      <c r="L4824" s="45" t="n">
        <f aca="false">DATE(YEAR(B4824),MONTH(B4824),1)</f>
        <v>46266</v>
      </c>
      <c r="M4824" s="31" t="n">
        <f aca="false">WEEKDAY(B4824,2)</f>
        <v>5</v>
      </c>
      <c r="N4824" s="31" t="str">
        <f aca="false">IF(G4824&lt;=INDEX(Assumptions!$B$15:$B$18,MATCH(E4824,Assumptions!$A$15:$A$18,0)),"Yes","No")</f>
        <v>Yes</v>
      </c>
      <c r="O4824" s="31" t="str">
        <f aca="false">IF(H4824="","Open",IF(H4824&lt;=INDEX(Assumptions!$C$15:$C$18,MATCH(E4824,Assumptions!$A$15:$A$18,0)),"Yes","No"))</f>
        <v>Yes</v>
      </c>
    </row>
    <row r="4825" customFormat="false" ht="15" hidden="false" customHeight="false" outlineLevel="0" collapsed="false">
      <c r="A4825" s="31" t="s">
        <v>4975</v>
      </c>
      <c r="B4825" s="44" t="n">
        <v>46269</v>
      </c>
      <c r="C4825" s="31" t="s">
        <v>60</v>
      </c>
      <c r="D4825" s="31" t="s">
        <v>66</v>
      </c>
      <c r="E4825" s="31" t="s">
        <v>50</v>
      </c>
      <c r="F4825" s="31" t="s">
        <v>117</v>
      </c>
      <c r="G4825" s="31" t="n">
        <v>2</v>
      </c>
      <c r="H4825" s="41" t="n">
        <v>3.1</v>
      </c>
      <c r="I4825" s="31" t="s">
        <v>64</v>
      </c>
      <c r="J4825" s="31" t="n">
        <v>4</v>
      </c>
      <c r="K4825" s="31" t="s">
        <v>150</v>
      </c>
      <c r="L4825" s="45" t="n">
        <f aca="false">DATE(YEAR(B4825),MONTH(B4825),1)</f>
        <v>46266</v>
      </c>
      <c r="M4825" s="31" t="n">
        <f aca="false">WEEKDAY(B4825,2)</f>
        <v>5</v>
      </c>
      <c r="N4825" s="31" t="str">
        <f aca="false">IF(G4825&lt;=INDEX(Assumptions!$B$15:$B$18,MATCH(E4825,Assumptions!$A$15:$A$18,0)),"Yes","No")</f>
        <v>Yes</v>
      </c>
      <c r="O4825" s="31" t="str">
        <f aca="false">IF(H4825="","Open",IF(H4825&lt;=INDEX(Assumptions!$C$15:$C$18,MATCH(E4825,Assumptions!$A$15:$A$18,0)),"Yes","No"))</f>
        <v>Yes</v>
      </c>
    </row>
    <row r="4826" customFormat="false" ht="15" hidden="false" customHeight="false" outlineLevel="0" collapsed="false">
      <c r="A4826" s="31" t="s">
        <v>4976</v>
      </c>
      <c r="B4826" s="44" t="n">
        <v>46269</v>
      </c>
      <c r="C4826" s="31" t="s">
        <v>60</v>
      </c>
      <c r="D4826" s="31" t="s">
        <v>66</v>
      </c>
      <c r="E4826" s="31" t="s">
        <v>51</v>
      </c>
      <c r="F4826" s="31" t="s">
        <v>126</v>
      </c>
      <c r="G4826" s="31" t="n">
        <v>5</v>
      </c>
      <c r="H4826" s="41" t="n">
        <v>3.4</v>
      </c>
      <c r="I4826" s="31" t="s">
        <v>149</v>
      </c>
      <c r="J4826" s="31"/>
      <c r="K4826" s="31" t="s">
        <v>150</v>
      </c>
      <c r="L4826" s="45" t="n">
        <f aca="false">DATE(YEAR(B4826),MONTH(B4826),1)</f>
        <v>46266</v>
      </c>
      <c r="M4826" s="31" t="n">
        <f aca="false">WEEKDAY(B4826,2)</f>
        <v>5</v>
      </c>
      <c r="N4826" s="31" t="str">
        <f aca="false">IF(G4826&lt;=INDEX(Assumptions!$B$15:$B$18,MATCH(E4826,Assumptions!$A$15:$A$18,0)),"Yes","No")</f>
        <v>Yes</v>
      </c>
      <c r="O4826" s="31" t="str">
        <f aca="false">IF(H4826="","Open",IF(H4826&lt;=INDEX(Assumptions!$C$15:$C$18,MATCH(E4826,Assumptions!$A$15:$A$18,0)),"Yes","No"))</f>
        <v>Yes</v>
      </c>
    </row>
    <row r="4827" customFormat="false" ht="15" hidden="false" customHeight="false" outlineLevel="0" collapsed="false">
      <c r="A4827" s="31" t="s">
        <v>4977</v>
      </c>
      <c r="B4827" s="44" t="n">
        <v>46269</v>
      </c>
      <c r="C4827" s="31" t="s">
        <v>59</v>
      </c>
      <c r="D4827" s="31" t="s">
        <v>67</v>
      </c>
      <c r="E4827" s="31" t="s">
        <v>49</v>
      </c>
      <c r="F4827" s="31" t="s">
        <v>127</v>
      </c>
      <c r="G4827" s="31" t="n">
        <v>23</v>
      </c>
      <c r="H4827" s="41" t="n">
        <v>12.6</v>
      </c>
      <c r="I4827" s="31" t="s">
        <v>149</v>
      </c>
      <c r="J4827" s="31"/>
      <c r="K4827" s="31" t="s">
        <v>153</v>
      </c>
      <c r="L4827" s="45" t="n">
        <f aca="false">DATE(YEAR(B4827),MONTH(B4827),1)</f>
        <v>46266</v>
      </c>
      <c r="M4827" s="31" t="n">
        <f aca="false">WEEKDAY(B4827,2)</f>
        <v>5</v>
      </c>
      <c r="N4827" s="31" t="str">
        <f aca="false">IF(G4827&lt;=INDEX(Assumptions!$B$15:$B$18,MATCH(E4827,Assumptions!$A$15:$A$18,0)),"Yes","No")</f>
        <v>No</v>
      </c>
      <c r="O4827" s="31" t="str">
        <f aca="false">IF(H4827="","Open",IF(H4827&lt;=INDEX(Assumptions!$C$15:$C$18,MATCH(E4827,Assumptions!$A$15:$A$18,0)),"Yes","No"))</f>
        <v>No</v>
      </c>
    </row>
    <row r="4828" customFormat="false" ht="15" hidden="false" customHeight="false" outlineLevel="0" collapsed="false">
      <c r="A4828" s="31" t="s">
        <v>4978</v>
      </c>
      <c r="B4828" s="44" t="n">
        <v>46269</v>
      </c>
      <c r="C4828" s="31" t="s">
        <v>57</v>
      </c>
      <c r="D4828" s="31" t="s">
        <v>66</v>
      </c>
      <c r="E4828" s="31" t="s">
        <v>51</v>
      </c>
      <c r="F4828" s="31" t="s">
        <v>135</v>
      </c>
      <c r="G4828" s="31" t="n">
        <v>5</v>
      </c>
      <c r="H4828" s="41" t="n">
        <v>2.4</v>
      </c>
      <c r="I4828" s="31" t="s">
        <v>149</v>
      </c>
      <c r="J4828" s="31" t="n">
        <v>5</v>
      </c>
      <c r="K4828" s="31" t="s">
        <v>150</v>
      </c>
      <c r="L4828" s="45" t="n">
        <f aca="false">DATE(YEAR(B4828),MONTH(B4828),1)</f>
        <v>46266</v>
      </c>
      <c r="M4828" s="31" t="n">
        <f aca="false">WEEKDAY(B4828,2)</f>
        <v>5</v>
      </c>
      <c r="N4828" s="31" t="str">
        <f aca="false">IF(G4828&lt;=INDEX(Assumptions!$B$15:$B$18,MATCH(E4828,Assumptions!$A$15:$A$18,0)),"Yes","No")</f>
        <v>Yes</v>
      </c>
      <c r="O4828" s="31" t="str">
        <f aca="false">IF(H4828="","Open",IF(H4828&lt;=INDEX(Assumptions!$C$15:$C$18,MATCH(E4828,Assumptions!$A$15:$A$18,0)),"Yes","No"))</f>
        <v>Yes</v>
      </c>
    </row>
    <row r="4829" customFormat="false" ht="15" hidden="false" customHeight="false" outlineLevel="0" collapsed="false">
      <c r="A4829" s="31" t="s">
        <v>4979</v>
      </c>
      <c r="B4829" s="44" t="n">
        <v>46269</v>
      </c>
      <c r="C4829" s="31" t="s">
        <v>60</v>
      </c>
      <c r="D4829" s="31" t="s">
        <v>66</v>
      </c>
      <c r="E4829" s="31" t="s">
        <v>51</v>
      </c>
      <c r="F4829" s="31" t="s">
        <v>120</v>
      </c>
      <c r="G4829" s="31" t="n">
        <v>3</v>
      </c>
      <c r="H4829" s="41" t="n">
        <v>5.1</v>
      </c>
      <c r="I4829" s="31" t="s">
        <v>149</v>
      </c>
      <c r="J4829" s="31" t="n">
        <v>4</v>
      </c>
      <c r="K4829" s="31" t="s">
        <v>150</v>
      </c>
      <c r="L4829" s="45" t="n">
        <f aca="false">DATE(YEAR(B4829),MONTH(B4829),1)</f>
        <v>46266</v>
      </c>
      <c r="M4829" s="31" t="n">
        <f aca="false">WEEKDAY(B4829,2)</f>
        <v>5</v>
      </c>
      <c r="N4829" s="31" t="str">
        <f aca="false">IF(G4829&lt;=INDEX(Assumptions!$B$15:$B$18,MATCH(E4829,Assumptions!$A$15:$A$18,0)),"Yes","No")</f>
        <v>Yes</v>
      </c>
      <c r="O4829" s="31" t="str">
        <f aca="false">IF(H4829="","Open",IF(H4829&lt;=INDEX(Assumptions!$C$15:$C$18,MATCH(E4829,Assumptions!$A$15:$A$18,0)),"Yes","No"))</f>
        <v>Yes</v>
      </c>
    </row>
    <row r="4830" customFormat="false" ht="15" hidden="false" customHeight="false" outlineLevel="0" collapsed="false">
      <c r="A4830" s="31" t="s">
        <v>4980</v>
      </c>
      <c r="B4830" s="44" t="n">
        <v>46269</v>
      </c>
      <c r="C4830" s="31" t="s">
        <v>57</v>
      </c>
      <c r="D4830" s="31" t="s">
        <v>67</v>
      </c>
      <c r="E4830" s="31" t="s">
        <v>49</v>
      </c>
      <c r="F4830" s="31" t="s">
        <v>131</v>
      </c>
      <c r="G4830" s="31" t="n">
        <v>3</v>
      </c>
      <c r="H4830" s="41" t="n">
        <v>42.3</v>
      </c>
      <c r="I4830" s="31" t="s">
        <v>64</v>
      </c>
      <c r="J4830" s="31" t="n">
        <v>2</v>
      </c>
      <c r="K4830" s="31" t="s">
        <v>153</v>
      </c>
      <c r="L4830" s="45" t="n">
        <f aca="false">DATE(YEAR(B4830),MONTH(B4830),1)</f>
        <v>46266</v>
      </c>
      <c r="M4830" s="31" t="n">
        <f aca="false">WEEKDAY(B4830,2)</f>
        <v>5</v>
      </c>
      <c r="N4830" s="31" t="str">
        <f aca="false">IF(G4830&lt;=INDEX(Assumptions!$B$15:$B$18,MATCH(E4830,Assumptions!$A$15:$A$18,0)),"Yes","No")</f>
        <v>Yes</v>
      </c>
      <c r="O4830" s="31" t="str">
        <f aca="false">IF(H4830="","Open",IF(H4830&lt;=INDEX(Assumptions!$C$15:$C$18,MATCH(E4830,Assumptions!$A$15:$A$18,0)),"Yes","No"))</f>
        <v>No</v>
      </c>
    </row>
    <row r="4831" customFormat="false" ht="15" hidden="false" customHeight="false" outlineLevel="0" collapsed="false">
      <c r="A4831" s="31" t="s">
        <v>4981</v>
      </c>
      <c r="B4831" s="44" t="n">
        <v>46269</v>
      </c>
      <c r="C4831" s="31" t="s">
        <v>58</v>
      </c>
      <c r="D4831" s="31" t="s">
        <v>67</v>
      </c>
      <c r="E4831" s="31" t="s">
        <v>52</v>
      </c>
      <c r="F4831" s="31" t="s">
        <v>136</v>
      </c>
      <c r="G4831" s="31" t="n">
        <v>6</v>
      </c>
      <c r="H4831" s="41" t="n">
        <v>38.7</v>
      </c>
      <c r="I4831" s="31" t="s">
        <v>149</v>
      </c>
      <c r="J4831" s="31"/>
      <c r="K4831" s="31" t="s">
        <v>150</v>
      </c>
      <c r="L4831" s="45" t="n">
        <f aca="false">DATE(YEAR(B4831),MONTH(B4831),1)</f>
        <v>46266</v>
      </c>
      <c r="M4831" s="31" t="n">
        <f aca="false">WEEKDAY(B4831,2)</f>
        <v>5</v>
      </c>
      <c r="N4831" s="31" t="str">
        <f aca="false">IF(G4831&lt;=INDEX(Assumptions!$B$15:$B$18,MATCH(E4831,Assumptions!$A$15:$A$18,0)),"Yes","No")</f>
        <v>Yes</v>
      </c>
      <c r="O4831" s="31" t="str">
        <f aca="false">IF(H4831="","Open",IF(H4831&lt;=INDEX(Assumptions!$C$15:$C$18,MATCH(E4831,Assumptions!$A$15:$A$18,0)),"Yes","No"))</f>
        <v>Yes</v>
      </c>
    </row>
    <row r="4832" customFormat="false" ht="15" hidden="false" customHeight="false" outlineLevel="0" collapsed="false">
      <c r="A4832" s="31" t="s">
        <v>4982</v>
      </c>
      <c r="B4832" s="44" t="n">
        <v>46269</v>
      </c>
      <c r="C4832" s="31" t="s">
        <v>57</v>
      </c>
      <c r="D4832" s="31" t="s">
        <v>67</v>
      </c>
      <c r="E4832" s="31" t="s">
        <v>51</v>
      </c>
      <c r="F4832" s="31" t="s">
        <v>124</v>
      </c>
      <c r="G4832" s="31" t="n">
        <v>7</v>
      </c>
      <c r="H4832" s="41" t="n">
        <v>17</v>
      </c>
      <c r="I4832" s="31" t="s">
        <v>149</v>
      </c>
      <c r="J4832" s="31" t="n">
        <v>4</v>
      </c>
      <c r="K4832" s="31" t="s">
        <v>150</v>
      </c>
      <c r="L4832" s="45" t="n">
        <f aca="false">DATE(YEAR(B4832),MONTH(B4832),1)</f>
        <v>46266</v>
      </c>
      <c r="M4832" s="31" t="n">
        <f aca="false">WEEKDAY(B4832,2)</f>
        <v>5</v>
      </c>
      <c r="N4832" s="31" t="str">
        <f aca="false">IF(G4832&lt;=INDEX(Assumptions!$B$15:$B$18,MATCH(E4832,Assumptions!$A$15:$A$18,0)),"Yes","No")</f>
        <v>Yes</v>
      </c>
      <c r="O4832" s="31" t="str">
        <f aca="false">IF(H4832="","Open",IF(H4832&lt;=INDEX(Assumptions!$C$15:$C$18,MATCH(E4832,Assumptions!$A$15:$A$18,0)),"Yes","No"))</f>
        <v>Yes</v>
      </c>
    </row>
    <row r="4833" customFormat="false" ht="15" hidden="false" customHeight="false" outlineLevel="0" collapsed="false">
      <c r="A4833" s="31" t="s">
        <v>4983</v>
      </c>
      <c r="B4833" s="44" t="n">
        <v>46269</v>
      </c>
      <c r="C4833" s="31" t="s">
        <v>58</v>
      </c>
      <c r="D4833" s="31" t="s">
        <v>68</v>
      </c>
      <c r="E4833" s="31" t="s">
        <v>51</v>
      </c>
      <c r="F4833" s="31" t="s">
        <v>123</v>
      </c>
      <c r="G4833" s="31" t="n">
        <v>13</v>
      </c>
      <c r="H4833" s="41" t="n">
        <v>6.9</v>
      </c>
      <c r="I4833" s="31" t="s">
        <v>149</v>
      </c>
      <c r="J4833" s="31"/>
      <c r="K4833" s="31" t="s">
        <v>150</v>
      </c>
      <c r="L4833" s="45" t="n">
        <f aca="false">DATE(YEAR(B4833),MONTH(B4833),1)</f>
        <v>46266</v>
      </c>
      <c r="M4833" s="31" t="n">
        <f aca="false">WEEKDAY(B4833,2)</f>
        <v>5</v>
      </c>
      <c r="N4833" s="31" t="str">
        <f aca="false">IF(G4833&lt;=INDEX(Assumptions!$B$15:$B$18,MATCH(E4833,Assumptions!$A$15:$A$18,0)),"Yes","No")</f>
        <v>Yes</v>
      </c>
      <c r="O4833" s="31" t="str">
        <f aca="false">IF(H4833="","Open",IF(H4833&lt;=INDEX(Assumptions!$C$15:$C$18,MATCH(E4833,Assumptions!$A$15:$A$18,0)),"Yes","No"))</f>
        <v>Yes</v>
      </c>
    </row>
    <row r="4834" customFormat="false" ht="15" hidden="false" customHeight="false" outlineLevel="0" collapsed="false">
      <c r="A4834" s="31" t="s">
        <v>4984</v>
      </c>
      <c r="B4834" s="44" t="n">
        <v>46269</v>
      </c>
      <c r="C4834" s="31" t="s">
        <v>59</v>
      </c>
      <c r="D4834" s="31" t="s">
        <v>68</v>
      </c>
      <c r="E4834" s="31" t="s">
        <v>51</v>
      </c>
      <c r="F4834" s="31" t="s">
        <v>129</v>
      </c>
      <c r="G4834" s="31" t="n">
        <v>62</v>
      </c>
      <c r="H4834" s="41" t="n">
        <v>1.5</v>
      </c>
      <c r="I4834" s="31" t="s">
        <v>149</v>
      </c>
      <c r="J4834" s="31"/>
      <c r="K4834" s="31" t="s">
        <v>150</v>
      </c>
      <c r="L4834" s="45" t="n">
        <f aca="false">DATE(YEAR(B4834),MONTH(B4834),1)</f>
        <v>46266</v>
      </c>
      <c r="M4834" s="31" t="n">
        <f aca="false">WEEKDAY(B4834,2)</f>
        <v>5</v>
      </c>
      <c r="N4834" s="31" t="str">
        <f aca="false">IF(G4834&lt;=INDEX(Assumptions!$B$15:$B$18,MATCH(E4834,Assumptions!$A$15:$A$18,0)),"Yes","No")</f>
        <v>No</v>
      </c>
      <c r="O4834" s="31" t="str">
        <f aca="false">IF(H4834="","Open",IF(H4834&lt;=INDEX(Assumptions!$C$15:$C$18,MATCH(E4834,Assumptions!$A$15:$A$18,0)),"Yes","No"))</f>
        <v>Yes</v>
      </c>
    </row>
    <row r="4835" customFormat="false" ht="15" hidden="false" customHeight="false" outlineLevel="0" collapsed="false">
      <c r="A4835" s="31" t="s">
        <v>4985</v>
      </c>
      <c r="B4835" s="44" t="n">
        <v>46269</v>
      </c>
      <c r="C4835" s="31" t="s">
        <v>57</v>
      </c>
      <c r="D4835" s="31" t="s">
        <v>68</v>
      </c>
      <c r="E4835" s="31" t="s">
        <v>51</v>
      </c>
      <c r="F4835" s="31" t="s">
        <v>131</v>
      </c>
      <c r="G4835" s="31" t="n">
        <v>2</v>
      </c>
      <c r="H4835" s="41" t="n">
        <v>2.1</v>
      </c>
      <c r="I4835" s="31" t="s">
        <v>149</v>
      </c>
      <c r="J4835" s="31" t="n">
        <v>5</v>
      </c>
      <c r="K4835" s="31" t="s">
        <v>150</v>
      </c>
      <c r="L4835" s="45" t="n">
        <f aca="false">DATE(YEAR(B4835),MONTH(B4835),1)</f>
        <v>46266</v>
      </c>
      <c r="M4835" s="31" t="n">
        <f aca="false">WEEKDAY(B4835,2)</f>
        <v>5</v>
      </c>
      <c r="N4835" s="31" t="str">
        <f aca="false">IF(G4835&lt;=INDEX(Assumptions!$B$15:$B$18,MATCH(E4835,Assumptions!$A$15:$A$18,0)),"Yes","No")</f>
        <v>Yes</v>
      </c>
      <c r="O4835" s="31" t="str">
        <f aca="false">IF(H4835="","Open",IF(H4835&lt;=INDEX(Assumptions!$C$15:$C$18,MATCH(E4835,Assumptions!$A$15:$A$18,0)),"Yes","No"))</f>
        <v>Yes</v>
      </c>
    </row>
    <row r="4836" customFormat="false" ht="15" hidden="false" customHeight="false" outlineLevel="0" collapsed="false">
      <c r="A4836" s="31" t="s">
        <v>4986</v>
      </c>
      <c r="B4836" s="44" t="n">
        <v>46269</v>
      </c>
      <c r="C4836" s="31" t="s">
        <v>57</v>
      </c>
      <c r="D4836" s="31" t="s">
        <v>69</v>
      </c>
      <c r="E4836" s="31" t="s">
        <v>50</v>
      </c>
      <c r="F4836" s="31" t="s">
        <v>133</v>
      </c>
      <c r="G4836" s="31" t="n">
        <v>6</v>
      </c>
      <c r="H4836" s="41" t="n">
        <v>35.2</v>
      </c>
      <c r="I4836" s="31" t="s">
        <v>149</v>
      </c>
      <c r="J4836" s="31" t="n">
        <v>3</v>
      </c>
      <c r="K4836" s="31" t="s">
        <v>150</v>
      </c>
      <c r="L4836" s="45" t="n">
        <f aca="false">DATE(YEAR(B4836),MONTH(B4836),1)</f>
        <v>46266</v>
      </c>
      <c r="M4836" s="31" t="n">
        <f aca="false">WEEKDAY(B4836,2)</f>
        <v>5</v>
      </c>
      <c r="N4836" s="31" t="str">
        <f aca="false">IF(G4836&lt;=INDEX(Assumptions!$B$15:$B$18,MATCH(E4836,Assumptions!$A$15:$A$18,0)),"Yes","No")</f>
        <v>Yes</v>
      </c>
      <c r="O4836" s="31" t="str">
        <f aca="false">IF(H4836="","Open",IF(H4836&lt;=INDEX(Assumptions!$C$15:$C$18,MATCH(E4836,Assumptions!$A$15:$A$18,0)),"Yes","No"))</f>
        <v>No</v>
      </c>
    </row>
    <row r="4837" customFormat="false" ht="15" hidden="false" customHeight="false" outlineLevel="0" collapsed="false">
      <c r="A4837" s="31" t="s">
        <v>4987</v>
      </c>
      <c r="B4837" s="44" t="n">
        <v>46269</v>
      </c>
      <c r="C4837" s="31" t="s">
        <v>57</v>
      </c>
      <c r="D4837" s="31" t="s">
        <v>66</v>
      </c>
      <c r="E4837" s="31" t="s">
        <v>52</v>
      </c>
      <c r="F4837" s="31" t="s">
        <v>131</v>
      </c>
      <c r="G4837" s="31" t="n">
        <v>4</v>
      </c>
      <c r="H4837" s="41" t="n">
        <v>13.5</v>
      </c>
      <c r="I4837" s="31" t="s">
        <v>149</v>
      </c>
      <c r="J4837" s="31"/>
      <c r="K4837" s="31" t="s">
        <v>150</v>
      </c>
      <c r="L4837" s="45" t="n">
        <f aca="false">DATE(YEAR(B4837),MONTH(B4837),1)</f>
        <v>46266</v>
      </c>
      <c r="M4837" s="31" t="n">
        <f aca="false">WEEKDAY(B4837,2)</f>
        <v>5</v>
      </c>
      <c r="N4837" s="31" t="str">
        <f aca="false">IF(G4837&lt;=INDEX(Assumptions!$B$15:$B$18,MATCH(E4837,Assumptions!$A$15:$A$18,0)),"Yes","No")</f>
        <v>Yes</v>
      </c>
      <c r="O4837" s="31" t="str">
        <f aca="false">IF(H4837="","Open",IF(H4837&lt;=INDEX(Assumptions!$C$15:$C$18,MATCH(E4837,Assumptions!$A$15:$A$18,0)),"Yes","No"))</f>
        <v>Yes</v>
      </c>
    </row>
    <row r="4838" customFormat="false" ht="15" hidden="false" customHeight="false" outlineLevel="0" collapsed="false">
      <c r="A4838" s="31" t="s">
        <v>4988</v>
      </c>
      <c r="B4838" s="44" t="n">
        <v>46269</v>
      </c>
      <c r="C4838" s="31" t="s">
        <v>59</v>
      </c>
      <c r="D4838" s="31" t="s">
        <v>68</v>
      </c>
      <c r="E4838" s="31" t="s">
        <v>52</v>
      </c>
      <c r="F4838" s="31" t="s">
        <v>124</v>
      </c>
      <c r="G4838" s="31" t="n">
        <v>42</v>
      </c>
      <c r="H4838" s="41" t="n">
        <v>11.1</v>
      </c>
      <c r="I4838" s="31" t="s">
        <v>149</v>
      </c>
      <c r="J4838" s="31"/>
      <c r="K4838" s="31" t="s">
        <v>150</v>
      </c>
      <c r="L4838" s="45" t="n">
        <f aca="false">DATE(YEAR(B4838),MONTH(B4838),1)</f>
        <v>46266</v>
      </c>
      <c r="M4838" s="31" t="n">
        <f aca="false">WEEKDAY(B4838,2)</f>
        <v>5</v>
      </c>
      <c r="N4838" s="31" t="str">
        <f aca="false">IF(G4838&lt;=INDEX(Assumptions!$B$15:$B$18,MATCH(E4838,Assumptions!$A$15:$A$18,0)),"Yes","No")</f>
        <v>Yes</v>
      </c>
      <c r="O4838" s="31" t="str">
        <f aca="false">IF(H4838="","Open",IF(H4838&lt;=INDEX(Assumptions!$C$15:$C$18,MATCH(E4838,Assumptions!$A$15:$A$18,0)),"Yes","No"))</f>
        <v>Yes</v>
      </c>
    </row>
    <row r="4839" customFormat="false" ht="15" hidden="false" customHeight="false" outlineLevel="0" collapsed="false">
      <c r="A4839" s="31" t="s">
        <v>4989</v>
      </c>
      <c r="B4839" s="44" t="n">
        <v>46269</v>
      </c>
      <c r="C4839" s="31" t="s">
        <v>59</v>
      </c>
      <c r="D4839" s="31" t="s">
        <v>68</v>
      </c>
      <c r="E4839" s="31" t="s">
        <v>51</v>
      </c>
      <c r="F4839" s="31" t="s">
        <v>123</v>
      </c>
      <c r="G4839" s="31" t="n">
        <v>320</v>
      </c>
      <c r="H4839" s="41" t="n">
        <v>9.5</v>
      </c>
      <c r="I4839" s="31" t="s">
        <v>149</v>
      </c>
      <c r="J4839" s="31" t="n">
        <v>5</v>
      </c>
      <c r="K4839" s="31" t="s">
        <v>150</v>
      </c>
      <c r="L4839" s="45" t="n">
        <f aca="false">DATE(YEAR(B4839),MONTH(B4839),1)</f>
        <v>46266</v>
      </c>
      <c r="M4839" s="31" t="n">
        <f aca="false">WEEKDAY(B4839,2)</f>
        <v>5</v>
      </c>
      <c r="N4839" s="31" t="str">
        <f aca="false">IF(G4839&lt;=INDEX(Assumptions!$B$15:$B$18,MATCH(E4839,Assumptions!$A$15:$A$18,0)),"Yes","No")</f>
        <v>No</v>
      </c>
      <c r="O4839" s="31" t="str">
        <f aca="false">IF(H4839="","Open",IF(H4839&lt;=INDEX(Assumptions!$C$15:$C$18,MATCH(E4839,Assumptions!$A$15:$A$18,0)),"Yes","No"))</f>
        <v>Yes</v>
      </c>
    </row>
    <row r="4840" customFormat="false" ht="15" hidden="false" customHeight="false" outlineLevel="0" collapsed="false">
      <c r="A4840" s="31" t="s">
        <v>4990</v>
      </c>
      <c r="B4840" s="44" t="n">
        <v>46269</v>
      </c>
      <c r="C4840" s="31" t="s">
        <v>58</v>
      </c>
      <c r="D4840" s="31" t="s">
        <v>68</v>
      </c>
      <c r="E4840" s="31" t="s">
        <v>50</v>
      </c>
      <c r="F4840" s="31" t="s">
        <v>129</v>
      </c>
      <c r="G4840" s="31" t="n">
        <v>7</v>
      </c>
      <c r="H4840" s="41" t="n">
        <v>3.7</v>
      </c>
      <c r="I4840" s="31" t="s">
        <v>64</v>
      </c>
      <c r="J4840" s="31"/>
      <c r="K4840" s="31" t="s">
        <v>150</v>
      </c>
      <c r="L4840" s="45" t="n">
        <f aca="false">DATE(YEAR(B4840),MONTH(B4840),1)</f>
        <v>46266</v>
      </c>
      <c r="M4840" s="31" t="n">
        <f aca="false">WEEKDAY(B4840,2)</f>
        <v>5</v>
      </c>
      <c r="N4840" s="31" t="str">
        <f aca="false">IF(G4840&lt;=INDEX(Assumptions!$B$15:$B$18,MATCH(E4840,Assumptions!$A$15:$A$18,0)),"Yes","No")</f>
        <v>Yes</v>
      </c>
      <c r="O4840" s="31" t="str">
        <f aca="false">IF(H4840="","Open",IF(H4840&lt;=INDEX(Assumptions!$C$15:$C$18,MATCH(E4840,Assumptions!$A$15:$A$18,0)),"Yes","No"))</f>
        <v>Yes</v>
      </c>
    </row>
    <row r="4841" customFormat="false" ht="15" hidden="false" customHeight="false" outlineLevel="0" collapsed="false">
      <c r="A4841" s="31" t="s">
        <v>4991</v>
      </c>
      <c r="B4841" s="44" t="n">
        <v>46269</v>
      </c>
      <c r="C4841" s="31" t="s">
        <v>59</v>
      </c>
      <c r="D4841" s="31" t="s">
        <v>67</v>
      </c>
      <c r="E4841" s="31" t="s">
        <v>49</v>
      </c>
      <c r="F4841" s="31" t="s">
        <v>126</v>
      </c>
      <c r="G4841" s="31" t="n">
        <v>44</v>
      </c>
      <c r="H4841" s="41" t="n">
        <v>1.6</v>
      </c>
      <c r="I4841" s="31" t="s">
        <v>149</v>
      </c>
      <c r="J4841" s="31"/>
      <c r="K4841" s="31" t="s">
        <v>150</v>
      </c>
      <c r="L4841" s="45" t="n">
        <f aca="false">DATE(YEAR(B4841),MONTH(B4841),1)</f>
        <v>46266</v>
      </c>
      <c r="M4841" s="31" t="n">
        <f aca="false">WEEKDAY(B4841,2)</f>
        <v>5</v>
      </c>
      <c r="N4841" s="31" t="str">
        <f aca="false">IF(G4841&lt;=INDEX(Assumptions!$B$15:$B$18,MATCH(E4841,Assumptions!$A$15:$A$18,0)),"Yes","No")</f>
        <v>No</v>
      </c>
      <c r="O4841" s="31" t="str">
        <f aca="false">IF(H4841="","Open",IF(H4841&lt;=INDEX(Assumptions!$C$15:$C$18,MATCH(E4841,Assumptions!$A$15:$A$18,0)),"Yes","No"))</f>
        <v>Yes</v>
      </c>
    </row>
    <row r="4842" customFormat="false" ht="15" hidden="false" customHeight="false" outlineLevel="0" collapsed="false">
      <c r="A4842" s="31" t="s">
        <v>4992</v>
      </c>
      <c r="B4842" s="44" t="n">
        <v>46269</v>
      </c>
      <c r="C4842" s="31" t="s">
        <v>57</v>
      </c>
      <c r="D4842" s="31" t="s">
        <v>65</v>
      </c>
      <c r="E4842" s="31" t="s">
        <v>52</v>
      </c>
      <c r="F4842" s="31" t="s">
        <v>128</v>
      </c>
      <c r="G4842" s="31" t="n">
        <v>6</v>
      </c>
      <c r="H4842" s="41" t="n">
        <v>5.3</v>
      </c>
      <c r="I4842" s="31" t="s">
        <v>149</v>
      </c>
      <c r="J4842" s="31" t="n">
        <v>5</v>
      </c>
      <c r="K4842" s="31" t="s">
        <v>150</v>
      </c>
      <c r="L4842" s="45" t="n">
        <f aca="false">DATE(YEAR(B4842),MONTH(B4842),1)</f>
        <v>46266</v>
      </c>
      <c r="M4842" s="31" t="n">
        <f aca="false">WEEKDAY(B4842,2)</f>
        <v>5</v>
      </c>
      <c r="N4842" s="31" t="str">
        <f aca="false">IF(G4842&lt;=INDEX(Assumptions!$B$15:$B$18,MATCH(E4842,Assumptions!$A$15:$A$18,0)),"Yes","No")</f>
        <v>Yes</v>
      </c>
      <c r="O4842" s="31" t="str">
        <f aca="false">IF(H4842="","Open",IF(H4842&lt;=INDEX(Assumptions!$C$15:$C$18,MATCH(E4842,Assumptions!$A$15:$A$18,0)),"Yes","No"))</f>
        <v>Yes</v>
      </c>
    </row>
    <row r="4843" customFormat="false" ht="15" hidden="false" customHeight="false" outlineLevel="0" collapsed="false">
      <c r="A4843" s="31" t="s">
        <v>4993</v>
      </c>
      <c r="B4843" s="44" t="n">
        <v>46269</v>
      </c>
      <c r="C4843" s="31" t="s">
        <v>58</v>
      </c>
      <c r="D4843" s="31" t="s">
        <v>68</v>
      </c>
      <c r="E4843" s="31" t="s">
        <v>51</v>
      </c>
      <c r="F4843" s="31" t="s">
        <v>122</v>
      </c>
      <c r="G4843" s="31" t="n">
        <v>18</v>
      </c>
      <c r="H4843" s="41" t="n">
        <v>7</v>
      </c>
      <c r="I4843" s="31" t="s">
        <v>149</v>
      </c>
      <c r="J4843" s="31"/>
      <c r="K4843" s="31" t="s">
        <v>150</v>
      </c>
      <c r="L4843" s="45" t="n">
        <f aca="false">DATE(YEAR(B4843),MONTH(B4843),1)</f>
        <v>46266</v>
      </c>
      <c r="M4843" s="31" t="n">
        <f aca="false">WEEKDAY(B4843,2)</f>
        <v>5</v>
      </c>
      <c r="N4843" s="31" t="str">
        <f aca="false">IF(G4843&lt;=INDEX(Assumptions!$B$15:$B$18,MATCH(E4843,Assumptions!$A$15:$A$18,0)),"Yes","No")</f>
        <v>Yes</v>
      </c>
      <c r="O4843" s="31" t="str">
        <f aca="false">IF(H4843="","Open",IF(H4843&lt;=INDEX(Assumptions!$C$15:$C$18,MATCH(E4843,Assumptions!$A$15:$A$18,0)),"Yes","No"))</f>
        <v>Yes</v>
      </c>
    </row>
    <row r="4844" customFormat="false" ht="15" hidden="false" customHeight="false" outlineLevel="0" collapsed="false">
      <c r="A4844" s="31" t="s">
        <v>4994</v>
      </c>
      <c r="B4844" s="44" t="n">
        <v>46269</v>
      </c>
      <c r="C4844" s="31" t="s">
        <v>58</v>
      </c>
      <c r="D4844" s="31" t="s">
        <v>67</v>
      </c>
      <c r="E4844" s="31" t="s">
        <v>52</v>
      </c>
      <c r="F4844" s="31" t="s">
        <v>120</v>
      </c>
      <c r="G4844" s="31" t="n">
        <v>18</v>
      </c>
      <c r="H4844" s="41" t="n">
        <v>19.9</v>
      </c>
      <c r="I4844" s="31" t="s">
        <v>149</v>
      </c>
      <c r="J4844" s="31" t="n">
        <v>5</v>
      </c>
      <c r="K4844" s="31" t="s">
        <v>150</v>
      </c>
      <c r="L4844" s="45" t="n">
        <f aca="false">DATE(YEAR(B4844),MONTH(B4844),1)</f>
        <v>46266</v>
      </c>
      <c r="M4844" s="31" t="n">
        <f aca="false">WEEKDAY(B4844,2)</f>
        <v>5</v>
      </c>
      <c r="N4844" s="31" t="str">
        <f aca="false">IF(G4844&lt;=INDEX(Assumptions!$B$15:$B$18,MATCH(E4844,Assumptions!$A$15:$A$18,0)),"Yes","No")</f>
        <v>Yes</v>
      </c>
      <c r="O4844" s="31" t="str">
        <f aca="false">IF(H4844="","Open",IF(H4844&lt;=INDEX(Assumptions!$C$15:$C$18,MATCH(E4844,Assumptions!$A$15:$A$18,0)),"Yes","No"))</f>
        <v>Yes</v>
      </c>
    </row>
    <row r="4845" customFormat="false" ht="15" hidden="false" customHeight="false" outlineLevel="0" collapsed="false">
      <c r="A4845" s="31" t="s">
        <v>4995</v>
      </c>
      <c r="B4845" s="44" t="n">
        <v>46269</v>
      </c>
      <c r="C4845" s="31" t="s">
        <v>58</v>
      </c>
      <c r="D4845" s="31" t="s">
        <v>65</v>
      </c>
      <c r="E4845" s="31" t="s">
        <v>52</v>
      </c>
      <c r="F4845" s="31" t="s">
        <v>130</v>
      </c>
      <c r="G4845" s="31" t="n">
        <v>8</v>
      </c>
      <c r="H4845" s="41" t="n">
        <v>17.4</v>
      </c>
      <c r="I4845" s="31" t="s">
        <v>149</v>
      </c>
      <c r="J4845" s="31"/>
      <c r="K4845" s="31" t="s">
        <v>150</v>
      </c>
      <c r="L4845" s="45" t="n">
        <f aca="false">DATE(YEAR(B4845),MONTH(B4845),1)</f>
        <v>46266</v>
      </c>
      <c r="M4845" s="31" t="n">
        <f aca="false">WEEKDAY(B4845,2)</f>
        <v>5</v>
      </c>
      <c r="N4845" s="31" t="str">
        <f aca="false">IF(G4845&lt;=INDEX(Assumptions!$B$15:$B$18,MATCH(E4845,Assumptions!$A$15:$A$18,0)),"Yes","No")</f>
        <v>Yes</v>
      </c>
      <c r="O4845" s="31" t="str">
        <f aca="false">IF(H4845="","Open",IF(H4845&lt;=INDEX(Assumptions!$C$15:$C$18,MATCH(E4845,Assumptions!$A$15:$A$18,0)),"Yes","No"))</f>
        <v>Yes</v>
      </c>
    </row>
    <row r="4846" customFormat="false" ht="15" hidden="false" customHeight="false" outlineLevel="0" collapsed="false">
      <c r="A4846" s="31" t="s">
        <v>4996</v>
      </c>
      <c r="B4846" s="44" t="n">
        <v>46269</v>
      </c>
      <c r="C4846" s="31" t="s">
        <v>58</v>
      </c>
      <c r="D4846" s="31" t="s">
        <v>69</v>
      </c>
      <c r="E4846" s="31" t="s">
        <v>51</v>
      </c>
      <c r="F4846" s="31" t="s">
        <v>131</v>
      </c>
      <c r="G4846" s="31" t="n">
        <v>12</v>
      </c>
      <c r="H4846" s="41" t="n">
        <v>10</v>
      </c>
      <c r="I4846" s="31" t="s">
        <v>149</v>
      </c>
      <c r="J4846" s="31" t="n">
        <v>4</v>
      </c>
      <c r="K4846" s="31" t="s">
        <v>150</v>
      </c>
      <c r="L4846" s="45" t="n">
        <f aca="false">DATE(YEAR(B4846),MONTH(B4846),1)</f>
        <v>46266</v>
      </c>
      <c r="M4846" s="31" t="n">
        <f aca="false">WEEKDAY(B4846,2)</f>
        <v>5</v>
      </c>
      <c r="N4846" s="31" t="str">
        <f aca="false">IF(G4846&lt;=INDEX(Assumptions!$B$15:$B$18,MATCH(E4846,Assumptions!$A$15:$A$18,0)),"Yes","No")</f>
        <v>Yes</v>
      </c>
      <c r="O4846" s="31" t="str">
        <f aca="false">IF(H4846="","Open",IF(H4846&lt;=INDEX(Assumptions!$C$15:$C$18,MATCH(E4846,Assumptions!$A$15:$A$18,0)),"Yes","No"))</f>
        <v>Yes</v>
      </c>
    </row>
    <row r="4847" customFormat="false" ht="15" hidden="false" customHeight="false" outlineLevel="0" collapsed="false">
      <c r="A4847" s="31" t="s">
        <v>4997</v>
      </c>
      <c r="B4847" s="44" t="n">
        <v>46269</v>
      </c>
      <c r="C4847" s="31" t="s">
        <v>60</v>
      </c>
      <c r="D4847" s="31" t="s">
        <v>67</v>
      </c>
      <c r="E4847" s="31" t="s">
        <v>52</v>
      </c>
      <c r="F4847" s="31" t="s">
        <v>135</v>
      </c>
      <c r="G4847" s="31" t="n">
        <v>4</v>
      </c>
      <c r="H4847" s="41" t="n">
        <v>10.4</v>
      </c>
      <c r="I4847" s="31" t="s">
        <v>149</v>
      </c>
      <c r="J4847" s="31"/>
      <c r="K4847" s="31" t="s">
        <v>150</v>
      </c>
      <c r="L4847" s="45" t="n">
        <f aca="false">DATE(YEAR(B4847),MONTH(B4847),1)</f>
        <v>46266</v>
      </c>
      <c r="M4847" s="31" t="n">
        <f aca="false">WEEKDAY(B4847,2)</f>
        <v>5</v>
      </c>
      <c r="N4847" s="31" t="str">
        <f aca="false">IF(G4847&lt;=INDEX(Assumptions!$B$15:$B$18,MATCH(E4847,Assumptions!$A$15:$A$18,0)),"Yes","No")</f>
        <v>Yes</v>
      </c>
      <c r="O4847" s="31" t="str">
        <f aca="false">IF(H4847="","Open",IF(H4847&lt;=INDEX(Assumptions!$C$15:$C$18,MATCH(E4847,Assumptions!$A$15:$A$18,0)),"Yes","No"))</f>
        <v>Yes</v>
      </c>
    </row>
    <row r="4848" customFormat="false" ht="15" hidden="false" customHeight="false" outlineLevel="0" collapsed="false">
      <c r="A4848" s="31" t="s">
        <v>4998</v>
      </c>
      <c r="B4848" s="44" t="n">
        <v>46269</v>
      </c>
      <c r="C4848" s="31" t="s">
        <v>60</v>
      </c>
      <c r="D4848" s="31" t="s">
        <v>65</v>
      </c>
      <c r="E4848" s="31" t="s">
        <v>51</v>
      </c>
      <c r="F4848" s="31" t="s">
        <v>133</v>
      </c>
      <c r="G4848" s="31" t="n">
        <v>1</v>
      </c>
      <c r="H4848" s="41" t="n">
        <v>11.9</v>
      </c>
      <c r="I4848" s="31" t="s">
        <v>149</v>
      </c>
      <c r="J4848" s="31"/>
      <c r="K4848" s="31" t="s">
        <v>150</v>
      </c>
      <c r="L4848" s="45" t="n">
        <f aca="false">DATE(YEAR(B4848),MONTH(B4848),1)</f>
        <v>46266</v>
      </c>
      <c r="M4848" s="31" t="n">
        <f aca="false">WEEKDAY(B4848,2)</f>
        <v>5</v>
      </c>
      <c r="N4848" s="31" t="str">
        <f aca="false">IF(G4848&lt;=INDEX(Assumptions!$B$15:$B$18,MATCH(E4848,Assumptions!$A$15:$A$18,0)),"Yes","No")</f>
        <v>Yes</v>
      </c>
      <c r="O4848" s="31" t="str">
        <f aca="false">IF(H4848="","Open",IF(H4848&lt;=INDEX(Assumptions!$C$15:$C$18,MATCH(E4848,Assumptions!$A$15:$A$18,0)),"Yes","No"))</f>
        <v>Yes</v>
      </c>
    </row>
    <row r="4849" customFormat="false" ht="15" hidden="false" customHeight="false" outlineLevel="0" collapsed="false">
      <c r="A4849" s="31" t="s">
        <v>4999</v>
      </c>
      <c r="B4849" s="44" t="n">
        <v>46269</v>
      </c>
      <c r="C4849" s="31" t="s">
        <v>57</v>
      </c>
      <c r="D4849" s="31" t="s">
        <v>69</v>
      </c>
      <c r="E4849" s="31" t="s">
        <v>52</v>
      </c>
      <c r="F4849" s="31" t="s">
        <v>128</v>
      </c>
      <c r="G4849" s="31" t="n">
        <v>7</v>
      </c>
      <c r="H4849" s="41" t="n">
        <v>29.9</v>
      </c>
      <c r="I4849" s="31" t="s">
        <v>149</v>
      </c>
      <c r="J4849" s="31" t="n">
        <v>4</v>
      </c>
      <c r="K4849" s="31" t="s">
        <v>150</v>
      </c>
      <c r="L4849" s="45" t="n">
        <f aca="false">DATE(YEAR(B4849),MONTH(B4849),1)</f>
        <v>46266</v>
      </c>
      <c r="M4849" s="31" t="n">
        <f aca="false">WEEKDAY(B4849,2)</f>
        <v>5</v>
      </c>
      <c r="N4849" s="31" t="str">
        <f aca="false">IF(G4849&lt;=INDEX(Assumptions!$B$15:$B$18,MATCH(E4849,Assumptions!$A$15:$A$18,0)),"Yes","No")</f>
        <v>Yes</v>
      </c>
      <c r="O4849" s="31" t="str">
        <f aca="false">IF(H4849="","Open",IF(H4849&lt;=INDEX(Assumptions!$C$15:$C$18,MATCH(E4849,Assumptions!$A$15:$A$18,0)),"Yes","No"))</f>
        <v>Yes</v>
      </c>
    </row>
    <row r="4850" customFormat="false" ht="15" hidden="false" customHeight="false" outlineLevel="0" collapsed="false">
      <c r="A4850" s="31" t="s">
        <v>5000</v>
      </c>
      <c r="B4850" s="44" t="n">
        <v>46270</v>
      </c>
      <c r="C4850" s="31" t="s">
        <v>58</v>
      </c>
      <c r="D4850" s="31" t="s">
        <v>67</v>
      </c>
      <c r="E4850" s="31" t="s">
        <v>51</v>
      </c>
      <c r="F4850" s="31" t="s">
        <v>131</v>
      </c>
      <c r="G4850" s="31" t="n">
        <v>3</v>
      </c>
      <c r="H4850" s="41" t="n">
        <v>23.1</v>
      </c>
      <c r="I4850" s="31" t="s">
        <v>149</v>
      </c>
      <c r="J4850" s="31"/>
      <c r="K4850" s="31" t="s">
        <v>150</v>
      </c>
      <c r="L4850" s="45" t="n">
        <f aca="false">DATE(YEAR(B4850),MONTH(B4850),1)</f>
        <v>46266</v>
      </c>
      <c r="M4850" s="31" t="n">
        <f aca="false">WEEKDAY(B4850,2)</f>
        <v>6</v>
      </c>
      <c r="N4850" s="31" t="str">
        <f aca="false">IF(G4850&lt;=INDEX(Assumptions!$B$15:$B$18,MATCH(E4850,Assumptions!$A$15:$A$18,0)),"Yes","No")</f>
        <v>Yes</v>
      </c>
      <c r="O4850" s="31" t="str">
        <f aca="false">IF(H4850="","Open",IF(H4850&lt;=INDEX(Assumptions!$C$15:$C$18,MATCH(E4850,Assumptions!$A$15:$A$18,0)),"Yes","No"))</f>
        <v>Yes</v>
      </c>
    </row>
    <row r="4851" customFormat="false" ht="15" hidden="false" customHeight="false" outlineLevel="0" collapsed="false">
      <c r="A4851" s="31" t="s">
        <v>5001</v>
      </c>
      <c r="B4851" s="44" t="n">
        <v>46270</v>
      </c>
      <c r="C4851" s="31" t="s">
        <v>58</v>
      </c>
      <c r="D4851" s="31" t="s">
        <v>65</v>
      </c>
      <c r="E4851" s="31" t="s">
        <v>51</v>
      </c>
      <c r="F4851" s="31" t="s">
        <v>117</v>
      </c>
      <c r="G4851" s="31" t="n">
        <v>9</v>
      </c>
      <c r="H4851" s="41" t="n">
        <v>2.9</v>
      </c>
      <c r="I4851" s="31" t="s">
        <v>149</v>
      </c>
      <c r="J4851" s="31"/>
      <c r="K4851" s="31" t="s">
        <v>150</v>
      </c>
      <c r="L4851" s="45" t="n">
        <f aca="false">DATE(YEAR(B4851),MONTH(B4851),1)</f>
        <v>46266</v>
      </c>
      <c r="M4851" s="31" t="n">
        <f aca="false">WEEKDAY(B4851,2)</f>
        <v>6</v>
      </c>
      <c r="N4851" s="31" t="str">
        <f aca="false">IF(G4851&lt;=INDEX(Assumptions!$B$15:$B$18,MATCH(E4851,Assumptions!$A$15:$A$18,0)),"Yes","No")</f>
        <v>Yes</v>
      </c>
      <c r="O4851" s="31" t="str">
        <f aca="false">IF(H4851="","Open",IF(H4851&lt;=INDEX(Assumptions!$C$15:$C$18,MATCH(E4851,Assumptions!$A$15:$A$18,0)),"Yes","No"))</f>
        <v>Yes</v>
      </c>
    </row>
    <row r="4852" customFormat="false" ht="15" hidden="false" customHeight="false" outlineLevel="0" collapsed="false">
      <c r="A4852" s="31" t="s">
        <v>5002</v>
      </c>
      <c r="B4852" s="44" t="n">
        <v>46270</v>
      </c>
      <c r="C4852" s="31" t="s">
        <v>57</v>
      </c>
      <c r="D4852" s="31" t="s">
        <v>65</v>
      </c>
      <c r="E4852" s="31" t="s">
        <v>49</v>
      </c>
      <c r="F4852" s="31" t="s">
        <v>127</v>
      </c>
      <c r="G4852" s="31" t="n">
        <v>2</v>
      </c>
      <c r="H4852" s="41" t="n">
        <v>1.5</v>
      </c>
      <c r="I4852" s="31" t="s">
        <v>149</v>
      </c>
      <c r="J4852" s="31"/>
      <c r="K4852" s="31" t="s">
        <v>150</v>
      </c>
      <c r="L4852" s="45" t="n">
        <f aca="false">DATE(YEAR(B4852),MONTH(B4852),1)</f>
        <v>46266</v>
      </c>
      <c r="M4852" s="31" t="n">
        <f aca="false">WEEKDAY(B4852,2)</f>
        <v>6</v>
      </c>
      <c r="N4852" s="31" t="str">
        <f aca="false">IF(G4852&lt;=INDEX(Assumptions!$B$15:$B$18,MATCH(E4852,Assumptions!$A$15:$A$18,0)),"Yes","No")</f>
        <v>Yes</v>
      </c>
      <c r="O4852" s="31" t="str">
        <f aca="false">IF(H4852="","Open",IF(H4852&lt;=INDEX(Assumptions!$C$15:$C$18,MATCH(E4852,Assumptions!$A$15:$A$18,0)),"Yes","No"))</f>
        <v>Yes</v>
      </c>
    </row>
    <row r="4853" customFormat="false" ht="15" hidden="false" customHeight="false" outlineLevel="0" collapsed="false">
      <c r="A4853" s="31" t="s">
        <v>5003</v>
      </c>
      <c r="B4853" s="44" t="n">
        <v>46270</v>
      </c>
      <c r="C4853" s="31" t="s">
        <v>57</v>
      </c>
      <c r="D4853" s="31" t="s">
        <v>66</v>
      </c>
      <c r="E4853" s="31" t="s">
        <v>51</v>
      </c>
      <c r="F4853" s="31" t="s">
        <v>136</v>
      </c>
      <c r="G4853" s="31" t="n">
        <v>2</v>
      </c>
      <c r="H4853" s="41" t="n">
        <v>4.6</v>
      </c>
      <c r="I4853" s="31" t="s">
        <v>149</v>
      </c>
      <c r="J4853" s="31" t="n">
        <v>4</v>
      </c>
      <c r="K4853" s="31" t="s">
        <v>150</v>
      </c>
      <c r="L4853" s="45" t="n">
        <f aca="false">DATE(YEAR(B4853),MONTH(B4853),1)</f>
        <v>46266</v>
      </c>
      <c r="M4853" s="31" t="n">
        <f aca="false">WEEKDAY(B4853,2)</f>
        <v>6</v>
      </c>
      <c r="N4853" s="31" t="str">
        <f aca="false">IF(G4853&lt;=INDEX(Assumptions!$B$15:$B$18,MATCH(E4853,Assumptions!$A$15:$A$18,0)),"Yes","No")</f>
        <v>Yes</v>
      </c>
      <c r="O4853" s="31" t="str">
        <f aca="false">IF(H4853="","Open",IF(H4853&lt;=INDEX(Assumptions!$C$15:$C$18,MATCH(E4853,Assumptions!$A$15:$A$18,0)),"Yes","No"))</f>
        <v>Yes</v>
      </c>
    </row>
    <row r="4854" customFormat="false" ht="15" hidden="false" customHeight="false" outlineLevel="0" collapsed="false">
      <c r="A4854" s="31" t="s">
        <v>5004</v>
      </c>
      <c r="B4854" s="44" t="n">
        <v>46270</v>
      </c>
      <c r="C4854" s="31" t="s">
        <v>60</v>
      </c>
      <c r="D4854" s="31" t="s">
        <v>65</v>
      </c>
      <c r="E4854" s="31" t="s">
        <v>51</v>
      </c>
      <c r="F4854" s="31" t="s">
        <v>134</v>
      </c>
      <c r="G4854" s="31" t="n">
        <v>14</v>
      </c>
      <c r="H4854" s="41" t="n">
        <v>17.3</v>
      </c>
      <c r="I4854" s="31" t="s">
        <v>149</v>
      </c>
      <c r="J4854" s="31"/>
      <c r="K4854" s="31" t="s">
        <v>150</v>
      </c>
      <c r="L4854" s="45" t="n">
        <f aca="false">DATE(YEAR(B4854),MONTH(B4854),1)</f>
        <v>46266</v>
      </c>
      <c r="M4854" s="31" t="n">
        <f aca="false">WEEKDAY(B4854,2)</f>
        <v>6</v>
      </c>
      <c r="N4854" s="31" t="str">
        <f aca="false">IF(G4854&lt;=INDEX(Assumptions!$B$15:$B$18,MATCH(E4854,Assumptions!$A$15:$A$18,0)),"Yes","No")</f>
        <v>Yes</v>
      </c>
      <c r="O4854" s="31" t="str">
        <f aca="false">IF(H4854="","Open",IF(H4854&lt;=INDEX(Assumptions!$C$15:$C$18,MATCH(E4854,Assumptions!$A$15:$A$18,0)),"Yes","No"))</f>
        <v>Yes</v>
      </c>
    </row>
    <row r="4855" customFormat="false" ht="15" hidden="false" customHeight="false" outlineLevel="0" collapsed="false">
      <c r="A4855" s="31" t="s">
        <v>5005</v>
      </c>
      <c r="B4855" s="44" t="n">
        <v>46270</v>
      </c>
      <c r="C4855" s="31" t="s">
        <v>57</v>
      </c>
      <c r="D4855" s="31" t="s">
        <v>65</v>
      </c>
      <c r="E4855" s="31" t="s">
        <v>51</v>
      </c>
      <c r="F4855" s="31" t="s">
        <v>134</v>
      </c>
      <c r="G4855" s="31" t="n">
        <v>4</v>
      </c>
      <c r="H4855" s="41" t="n">
        <v>11.8</v>
      </c>
      <c r="I4855" s="31" t="s">
        <v>149</v>
      </c>
      <c r="J4855" s="31" t="n">
        <v>4</v>
      </c>
      <c r="K4855" s="31" t="s">
        <v>150</v>
      </c>
      <c r="L4855" s="45" t="n">
        <f aca="false">DATE(YEAR(B4855),MONTH(B4855),1)</f>
        <v>46266</v>
      </c>
      <c r="M4855" s="31" t="n">
        <f aca="false">WEEKDAY(B4855,2)</f>
        <v>6</v>
      </c>
      <c r="N4855" s="31" t="str">
        <f aca="false">IF(G4855&lt;=INDEX(Assumptions!$B$15:$B$18,MATCH(E4855,Assumptions!$A$15:$A$18,0)),"Yes","No")</f>
        <v>Yes</v>
      </c>
      <c r="O4855" s="31" t="str">
        <f aca="false">IF(H4855="","Open",IF(H4855&lt;=INDEX(Assumptions!$C$15:$C$18,MATCH(E4855,Assumptions!$A$15:$A$18,0)),"Yes","No"))</f>
        <v>Yes</v>
      </c>
    </row>
    <row r="4856" customFormat="false" ht="15" hidden="false" customHeight="false" outlineLevel="0" collapsed="false">
      <c r="A4856" s="31" t="s">
        <v>5006</v>
      </c>
      <c r="B4856" s="44" t="n">
        <v>46270</v>
      </c>
      <c r="C4856" s="31" t="s">
        <v>59</v>
      </c>
      <c r="D4856" s="31" t="s">
        <v>67</v>
      </c>
      <c r="E4856" s="31" t="s">
        <v>50</v>
      </c>
      <c r="F4856" s="31" t="s">
        <v>127</v>
      </c>
      <c r="G4856" s="31" t="n">
        <v>77</v>
      </c>
      <c r="H4856" s="41" t="n">
        <v>10.4</v>
      </c>
      <c r="I4856" s="31" t="s">
        <v>149</v>
      </c>
      <c r="J4856" s="31" t="n">
        <v>4</v>
      </c>
      <c r="K4856" s="31" t="s">
        <v>150</v>
      </c>
      <c r="L4856" s="45" t="n">
        <f aca="false">DATE(YEAR(B4856),MONTH(B4856),1)</f>
        <v>46266</v>
      </c>
      <c r="M4856" s="31" t="n">
        <f aca="false">WEEKDAY(B4856,2)</f>
        <v>6</v>
      </c>
      <c r="N4856" s="31" t="str">
        <f aca="false">IF(G4856&lt;=INDEX(Assumptions!$B$15:$B$18,MATCH(E4856,Assumptions!$A$15:$A$18,0)),"Yes","No")</f>
        <v>No</v>
      </c>
      <c r="O4856" s="31" t="str">
        <f aca="false">IF(H4856="","Open",IF(H4856&lt;=INDEX(Assumptions!$C$15:$C$18,MATCH(E4856,Assumptions!$A$15:$A$18,0)),"Yes","No"))</f>
        <v>No</v>
      </c>
    </row>
    <row r="4857" customFormat="false" ht="15" hidden="false" customHeight="false" outlineLevel="0" collapsed="false">
      <c r="A4857" s="31" t="s">
        <v>5007</v>
      </c>
      <c r="B4857" s="44" t="n">
        <v>46270</v>
      </c>
      <c r="C4857" s="31" t="s">
        <v>59</v>
      </c>
      <c r="D4857" s="31" t="s">
        <v>65</v>
      </c>
      <c r="E4857" s="31" t="s">
        <v>52</v>
      </c>
      <c r="F4857" s="31" t="s">
        <v>137</v>
      </c>
      <c r="G4857" s="31" t="n">
        <v>68</v>
      </c>
      <c r="H4857" s="41" t="n">
        <v>128.6</v>
      </c>
      <c r="I4857" s="31" t="s">
        <v>64</v>
      </c>
      <c r="J4857" s="31" t="n">
        <v>3</v>
      </c>
      <c r="K4857" s="31" t="s">
        <v>150</v>
      </c>
      <c r="L4857" s="45" t="n">
        <f aca="false">DATE(YEAR(B4857),MONTH(B4857),1)</f>
        <v>46266</v>
      </c>
      <c r="M4857" s="31" t="n">
        <f aca="false">WEEKDAY(B4857,2)</f>
        <v>6</v>
      </c>
      <c r="N4857" s="31" t="str">
        <f aca="false">IF(G4857&lt;=INDEX(Assumptions!$B$15:$B$18,MATCH(E4857,Assumptions!$A$15:$A$18,0)),"Yes","No")</f>
        <v>Yes</v>
      </c>
      <c r="O4857" s="31" t="str">
        <f aca="false">IF(H4857="","Open",IF(H4857&lt;=INDEX(Assumptions!$C$15:$C$18,MATCH(E4857,Assumptions!$A$15:$A$18,0)),"Yes","No"))</f>
        <v>No</v>
      </c>
    </row>
    <row r="4858" customFormat="false" ht="15" hidden="false" customHeight="false" outlineLevel="0" collapsed="false">
      <c r="A4858" s="31" t="s">
        <v>5008</v>
      </c>
      <c r="B4858" s="44" t="n">
        <v>46270</v>
      </c>
      <c r="C4858" s="31" t="s">
        <v>57</v>
      </c>
      <c r="D4858" s="31" t="s">
        <v>65</v>
      </c>
      <c r="E4858" s="31" t="s">
        <v>51</v>
      </c>
      <c r="F4858" s="31" t="s">
        <v>119</v>
      </c>
      <c r="G4858" s="31" t="n">
        <v>2</v>
      </c>
      <c r="H4858" s="41" t="n">
        <v>26.7</v>
      </c>
      <c r="I4858" s="31" t="s">
        <v>64</v>
      </c>
      <c r="J4858" s="31" t="n">
        <v>2</v>
      </c>
      <c r="K4858" s="31" t="s">
        <v>150</v>
      </c>
      <c r="L4858" s="45" t="n">
        <f aca="false">DATE(YEAR(B4858),MONTH(B4858),1)</f>
        <v>46266</v>
      </c>
      <c r="M4858" s="31" t="n">
        <f aca="false">WEEKDAY(B4858,2)</f>
        <v>6</v>
      </c>
      <c r="N4858" s="31" t="str">
        <f aca="false">IF(G4858&lt;=INDEX(Assumptions!$B$15:$B$18,MATCH(E4858,Assumptions!$A$15:$A$18,0)),"Yes","No")</f>
        <v>Yes</v>
      </c>
      <c r="O4858" s="31" t="str">
        <f aca="false">IF(H4858="","Open",IF(H4858&lt;=INDEX(Assumptions!$C$15:$C$18,MATCH(E4858,Assumptions!$A$15:$A$18,0)),"Yes","No"))</f>
        <v>No</v>
      </c>
    </row>
    <row r="4859" customFormat="false" ht="15" hidden="false" customHeight="false" outlineLevel="0" collapsed="false">
      <c r="A4859" s="31" t="s">
        <v>5009</v>
      </c>
      <c r="B4859" s="44" t="n">
        <v>46270</v>
      </c>
      <c r="C4859" s="31" t="s">
        <v>57</v>
      </c>
      <c r="D4859" s="31" t="s">
        <v>67</v>
      </c>
      <c r="E4859" s="31" t="s">
        <v>52</v>
      </c>
      <c r="F4859" s="31" t="s">
        <v>119</v>
      </c>
      <c r="G4859" s="31" t="n">
        <v>2</v>
      </c>
      <c r="H4859" s="41" t="n">
        <v>62.7</v>
      </c>
      <c r="I4859" s="31" t="s">
        <v>149</v>
      </c>
      <c r="J4859" s="31" t="n">
        <v>4</v>
      </c>
      <c r="K4859" s="31" t="s">
        <v>150</v>
      </c>
      <c r="L4859" s="45" t="n">
        <f aca="false">DATE(YEAR(B4859),MONTH(B4859),1)</f>
        <v>46266</v>
      </c>
      <c r="M4859" s="31" t="n">
        <f aca="false">WEEKDAY(B4859,2)</f>
        <v>6</v>
      </c>
      <c r="N4859" s="31" t="str">
        <f aca="false">IF(G4859&lt;=INDEX(Assumptions!$B$15:$B$18,MATCH(E4859,Assumptions!$A$15:$A$18,0)),"Yes","No")</f>
        <v>Yes</v>
      </c>
      <c r="O4859" s="31" t="str">
        <f aca="false">IF(H4859="","Open",IF(H4859&lt;=INDEX(Assumptions!$C$15:$C$18,MATCH(E4859,Assumptions!$A$15:$A$18,0)),"Yes","No"))</f>
        <v>Yes</v>
      </c>
    </row>
    <row r="4860" customFormat="false" ht="15" hidden="false" customHeight="false" outlineLevel="0" collapsed="false">
      <c r="A4860" s="31" t="s">
        <v>5010</v>
      </c>
      <c r="B4860" s="44" t="n">
        <v>46270</v>
      </c>
      <c r="C4860" s="31" t="s">
        <v>59</v>
      </c>
      <c r="D4860" s="31" t="s">
        <v>67</v>
      </c>
      <c r="E4860" s="31" t="s">
        <v>51</v>
      </c>
      <c r="F4860" s="31" t="s">
        <v>127</v>
      </c>
      <c r="G4860" s="31" t="n">
        <v>18</v>
      </c>
      <c r="H4860" s="41" t="n">
        <v>112.3</v>
      </c>
      <c r="I4860" s="31" t="s">
        <v>64</v>
      </c>
      <c r="J4860" s="31"/>
      <c r="K4860" s="31" t="s">
        <v>150</v>
      </c>
      <c r="L4860" s="45" t="n">
        <f aca="false">DATE(YEAR(B4860),MONTH(B4860),1)</f>
        <v>46266</v>
      </c>
      <c r="M4860" s="31" t="n">
        <f aca="false">WEEKDAY(B4860,2)</f>
        <v>6</v>
      </c>
      <c r="N4860" s="31" t="str">
        <f aca="false">IF(G4860&lt;=INDEX(Assumptions!$B$15:$B$18,MATCH(E4860,Assumptions!$A$15:$A$18,0)),"Yes","No")</f>
        <v>Yes</v>
      </c>
      <c r="O4860" s="31" t="str">
        <f aca="false">IF(H4860="","Open",IF(H4860&lt;=INDEX(Assumptions!$C$15:$C$18,MATCH(E4860,Assumptions!$A$15:$A$18,0)),"Yes","No"))</f>
        <v>No</v>
      </c>
    </row>
    <row r="4861" customFormat="false" ht="15" hidden="false" customHeight="false" outlineLevel="0" collapsed="false">
      <c r="A4861" s="31" t="s">
        <v>5011</v>
      </c>
      <c r="B4861" s="44" t="n">
        <v>46270</v>
      </c>
      <c r="C4861" s="31" t="s">
        <v>57</v>
      </c>
      <c r="D4861" s="31" t="s">
        <v>69</v>
      </c>
      <c r="E4861" s="31" t="s">
        <v>51</v>
      </c>
      <c r="F4861" s="31" t="s">
        <v>122</v>
      </c>
      <c r="G4861" s="31" t="n">
        <v>4</v>
      </c>
      <c r="H4861" s="41" t="n">
        <v>13.1</v>
      </c>
      <c r="I4861" s="31" t="s">
        <v>149</v>
      </c>
      <c r="J4861" s="31"/>
      <c r="K4861" s="31" t="s">
        <v>150</v>
      </c>
      <c r="L4861" s="45" t="n">
        <f aca="false">DATE(YEAR(B4861),MONTH(B4861),1)</f>
        <v>46266</v>
      </c>
      <c r="M4861" s="31" t="n">
        <f aca="false">WEEKDAY(B4861,2)</f>
        <v>6</v>
      </c>
      <c r="N4861" s="31" t="str">
        <f aca="false">IF(G4861&lt;=INDEX(Assumptions!$B$15:$B$18,MATCH(E4861,Assumptions!$A$15:$A$18,0)),"Yes","No")</f>
        <v>Yes</v>
      </c>
      <c r="O4861" s="31" t="str">
        <f aca="false">IF(H4861="","Open",IF(H4861&lt;=INDEX(Assumptions!$C$15:$C$18,MATCH(E4861,Assumptions!$A$15:$A$18,0)),"Yes","No"))</f>
        <v>Yes</v>
      </c>
    </row>
    <row r="4862" customFormat="false" ht="15" hidden="false" customHeight="false" outlineLevel="0" collapsed="false">
      <c r="A4862" s="31" t="s">
        <v>5012</v>
      </c>
      <c r="B4862" s="44" t="n">
        <v>46270</v>
      </c>
      <c r="C4862" s="31" t="s">
        <v>58</v>
      </c>
      <c r="D4862" s="31" t="s">
        <v>66</v>
      </c>
      <c r="E4862" s="31" t="s">
        <v>51</v>
      </c>
      <c r="F4862" s="31" t="s">
        <v>124</v>
      </c>
      <c r="G4862" s="31" t="n">
        <v>5</v>
      </c>
      <c r="H4862" s="41" t="n">
        <v>7.5</v>
      </c>
      <c r="I4862" s="31" t="s">
        <v>149</v>
      </c>
      <c r="J4862" s="31"/>
      <c r="K4862" s="31" t="s">
        <v>150</v>
      </c>
      <c r="L4862" s="45" t="n">
        <f aca="false">DATE(YEAR(B4862),MONTH(B4862),1)</f>
        <v>46266</v>
      </c>
      <c r="M4862" s="31" t="n">
        <f aca="false">WEEKDAY(B4862,2)</f>
        <v>6</v>
      </c>
      <c r="N4862" s="31" t="str">
        <f aca="false">IF(G4862&lt;=INDEX(Assumptions!$B$15:$B$18,MATCH(E4862,Assumptions!$A$15:$A$18,0)),"Yes","No")</f>
        <v>Yes</v>
      </c>
      <c r="O4862" s="31" t="str">
        <f aca="false">IF(H4862="","Open",IF(H4862&lt;=INDEX(Assumptions!$C$15:$C$18,MATCH(E4862,Assumptions!$A$15:$A$18,0)),"Yes","No"))</f>
        <v>Yes</v>
      </c>
    </row>
    <row r="4863" customFormat="false" ht="15" hidden="false" customHeight="false" outlineLevel="0" collapsed="false">
      <c r="A4863" s="31" t="s">
        <v>5013</v>
      </c>
      <c r="B4863" s="44" t="n">
        <v>46270</v>
      </c>
      <c r="C4863" s="31" t="s">
        <v>60</v>
      </c>
      <c r="D4863" s="31" t="s">
        <v>65</v>
      </c>
      <c r="E4863" s="31" t="s">
        <v>51</v>
      </c>
      <c r="F4863" s="31" t="s">
        <v>133</v>
      </c>
      <c r="G4863" s="31" t="n">
        <v>5</v>
      </c>
      <c r="H4863" s="41" t="n">
        <v>30.4</v>
      </c>
      <c r="I4863" s="31" t="s">
        <v>149</v>
      </c>
      <c r="J4863" s="31" t="n">
        <v>5</v>
      </c>
      <c r="K4863" s="31" t="s">
        <v>150</v>
      </c>
      <c r="L4863" s="45" t="n">
        <f aca="false">DATE(YEAR(B4863),MONTH(B4863),1)</f>
        <v>46266</v>
      </c>
      <c r="M4863" s="31" t="n">
        <f aca="false">WEEKDAY(B4863,2)</f>
        <v>6</v>
      </c>
      <c r="N4863" s="31" t="str">
        <f aca="false">IF(G4863&lt;=INDEX(Assumptions!$B$15:$B$18,MATCH(E4863,Assumptions!$A$15:$A$18,0)),"Yes","No")</f>
        <v>Yes</v>
      </c>
      <c r="O4863" s="31" t="str">
        <f aca="false">IF(H4863="","Open",IF(H4863&lt;=INDEX(Assumptions!$C$15:$C$18,MATCH(E4863,Assumptions!$A$15:$A$18,0)),"Yes","No"))</f>
        <v>No</v>
      </c>
    </row>
    <row r="4864" customFormat="false" ht="15" hidden="false" customHeight="false" outlineLevel="0" collapsed="false">
      <c r="A4864" s="31" t="s">
        <v>5014</v>
      </c>
      <c r="B4864" s="44" t="n">
        <v>46270</v>
      </c>
      <c r="C4864" s="31" t="s">
        <v>57</v>
      </c>
      <c r="D4864" s="31" t="s">
        <v>67</v>
      </c>
      <c r="E4864" s="31" t="s">
        <v>51</v>
      </c>
      <c r="F4864" s="31" t="s">
        <v>117</v>
      </c>
      <c r="G4864" s="31" t="n">
        <v>1</v>
      </c>
      <c r="H4864" s="41" t="n">
        <v>114.8</v>
      </c>
      <c r="I4864" s="31" t="s">
        <v>64</v>
      </c>
      <c r="J4864" s="31" t="n">
        <v>3</v>
      </c>
      <c r="K4864" s="31" t="s">
        <v>150</v>
      </c>
      <c r="L4864" s="45" t="n">
        <f aca="false">DATE(YEAR(B4864),MONTH(B4864),1)</f>
        <v>46266</v>
      </c>
      <c r="M4864" s="31" t="n">
        <f aca="false">WEEKDAY(B4864,2)</f>
        <v>6</v>
      </c>
      <c r="N4864" s="31" t="str">
        <f aca="false">IF(G4864&lt;=INDEX(Assumptions!$B$15:$B$18,MATCH(E4864,Assumptions!$A$15:$A$18,0)),"Yes","No")</f>
        <v>Yes</v>
      </c>
      <c r="O4864" s="31" t="str">
        <f aca="false">IF(H4864="","Open",IF(H4864&lt;=INDEX(Assumptions!$C$15:$C$18,MATCH(E4864,Assumptions!$A$15:$A$18,0)),"Yes","No"))</f>
        <v>No</v>
      </c>
    </row>
    <row r="4865" customFormat="false" ht="15" hidden="false" customHeight="false" outlineLevel="0" collapsed="false">
      <c r="A4865" s="31" t="s">
        <v>5015</v>
      </c>
      <c r="B4865" s="44" t="n">
        <v>46270</v>
      </c>
      <c r="C4865" s="31" t="s">
        <v>59</v>
      </c>
      <c r="D4865" s="31" t="s">
        <v>67</v>
      </c>
      <c r="E4865" s="31" t="s">
        <v>49</v>
      </c>
      <c r="F4865" s="31" t="s">
        <v>123</v>
      </c>
      <c r="G4865" s="31" t="n">
        <v>84</v>
      </c>
      <c r="H4865" s="41" t="n">
        <v>5.7</v>
      </c>
      <c r="I4865" s="31" t="s">
        <v>149</v>
      </c>
      <c r="J4865" s="31" t="n">
        <v>3</v>
      </c>
      <c r="K4865" s="31" t="s">
        <v>150</v>
      </c>
      <c r="L4865" s="45" t="n">
        <f aca="false">DATE(YEAR(B4865),MONTH(B4865),1)</f>
        <v>46266</v>
      </c>
      <c r="M4865" s="31" t="n">
        <f aca="false">WEEKDAY(B4865,2)</f>
        <v>6</v>
      </c>
      <c r="N4865" s="31" t="str">
        <f aca="false">IF(G4865&lt;=INDEX(Assumptions!$B$15:$B$18,MATCH(E4865,Assumptions!$A$15:$A$18,0)),"Yes","No")</f>
        <v>No</v>
      </c>
      <c r="O4865" s="31" t="str">
        <f aca="false">IF(H4865="","Open",IF(H4865&lt;=INDEX(Assumptions!$C$15:$C$18,MATCH(E4865,Assumptions!$A$15:$A$18,0)),"Yes","No"))</f>
        <v>No</v>
      </c>
    </row>
    <row r="4866" customFormat="false" ht="15" hidden="false" customHeight="false" outlineLevel="0" collapsed="false">
      <c r="A4866" s="31" t="s">
        <v>5016</v>
      </c>
      <c r="B4866" s="44" t="n">
        <v>46270</v>
      </c>
      <c r="C4866" s="31" t="s">
        <v>57</v>
      </c>
      <c r="D4866" s="31" t="s">
        <v>68</v>
      </c>
      <c r="E4866" s="31" t="s">
        <v>52</v>
      </c>
      <c r="F4866" s="31" t="s">
        <v>129</v>
      </c>
      <c r="G4866" s="31" t="n">
        <v>8</v>
      </c>
      <c r="H4866" s="41" t="n">
        <v>1.6</v>
      </c>
      <c r="I4866" s="31" t="s">
        <v>149</v>
      </c>
      <c r="J4866" s="31"/>
      <c r="K4866" s="31" t="s">
        <v>150</v>
      </c>
      <c r="L4866" s="45" t="n">
        <f aca="false">DATE(YEAR(B4866),MONTH(B4866),1)</f>
        <v>46266</v>
      </c>
      <c r="M4866" s="31" t="n">
        <f aca="false">WEEKDAY(B4866,2)</f>
        <v>6</v>
      </c>
      <c r="N4866" s="31" t="str">
        <f aca="false">IF(G4866&lt;=INDEX(Assumptions!$B$15:$B$18,MATCH(E4866,Assumptions!$A$15:$A$18,0)),"Yes","No")</f>
        <v>Yes</v>
      </c>
      <c r="O4866" s="31" t="str">
        <f aca="false">IF(H4866="","Open",IF(H4866&lt;=INDEX(Assumptions!$C$15:$C$18,MATCH(E4866,Assumptions!$A$15:$A$18,0)),"Yes","No"))</f>
        <v>Yes</v>
      </c>
    </row>
    <row r="4867" customFormat="false" ht="15" hidden="false" customHeight="false" outlineLevel="0" collapsed="false">
      <c r="A4867" s="31" t="s">
        <v>5017</v>
      </c>
      <c r="B4867" s="44" t="n">
        <v>46270</v>
      </c>
      <c r="C4867" s="31" t="s">
        <v>60</v>
      </c>
      <c r="D4867" s="31" t="s">
        <v>67</v>
      </c>
      <c r="E4867" s="31" t="s">
        <v>50</v>
      </c>
      <c r="F4867" s="31" t="s">
        <v>128</v>
      </c>
      <c r="G4867" s="31" t="n">
        <v>1</v>
      </c>
      <c r="H4867" s="41" t="n">
        <v>26.8</v>
      </c>
      <c r="I4867" s="31" t="s">
        <v>149</v>
      </c>
      <c r="J4867" s="31" t="n">
        <v>3</v>
      </c>
      <c r="K4867" s="31" t="s">
        <v>153</v>
      </c>
      <c r="L4867" s="45" t="n">
        <f aca="false">DATE(YEAR(B4867),MONTH(B4867),1)</f>
        <v>46266</v>
      </c>
      <c r="M4867" s="31" t="n">
        <f aca="false">WEEKDAY(B4867,2)</f>
        <v>6</v>
      </c>
      <c r="N4867" s="31" t="str">
        <f aca="false">IF(G4867&lt;=INDEX(Assumptions!$B$15:$B$18,MATCH(E4867,Assumptions!$A$15:$A$18,0)),"Yes","No")</f>
        <v>Yes</v>
      </c>
      <c r="O4867" s="31" t="str">
        <f aca="false">IF(H4867="","Open",IF(H4867&lt;=INDEX(Assumptions!$C$15:$C$18,MATCH(E4867,Assumptions!$A$15:$A$18,0)),"Yes","No"))</f>
        <v>No</v>
      </c>
    </row>
    <row r="4868" customFormat="false" ht="15" hidden="false" customHeight="false" outlineLevel="0" collapsed="false">
      <c r="A4868" s="31" t="s">
        <v>5018</v>
      </c>
      <c r="B4868" s="44" t="n">
        <v>46270</v>
      </c>
      <c r="C4868" s="31" t="s">
        <v>59</v>
      </c>
      <c r="D4868" s="31" t="s">
        <v>67</v>
      </c>
      <c r="E4868" s="31" t="s">
        <v>52</v>
      </c>
      <c r="F4868" s="31" t="s">
        <v>130</v>
      </c>
      <c r="G4868" s="31" t="n">
        <v>133</v>
      </c>
      <c r="H4868" s="41" t="n">
        <v>17.8</v>
      </c>
      <c r="I4868" s="31" t="s">
        <v>149</v>
      </c>
      <c r="J4868" s="31"/>
      <c r="K4868" s="31" t="s">
        <v>150</v>
      </c>
      <c r="L4868" s="45" t="n">
        <f aca="false">DATE(YEAR(B4868),MONTH(B4868),1)</f>
        <v>46266</v>
      </c>
      <c r="M4868" s="31" t="n">
        <f aca="false">WEEKDAY(B4868,2)</f>
        <v>6</v>
      </c>
      <c r="N4868" s="31" t="str">
        <f aca="false">IF(G4868&lt;=INDEX(Assumptions!$B$15:$B$18,MATCH(E4868,Assumptions!$A$15:$A$18,0)),"Yes","No")</f>
        <v>Yes</v>
      </c>
      <c r="O4868" s="31" t="str">
        <f aca="false">IF(H4868="","Open",IF(H4868&lt;=INDEX(Assumptions!$C$15:$C$18,MATCH(E4868,Assumptions!$A$15:$A$18,0)),"Yes","No"))</f>
        <v>Yes</v>
      </c>
    </row>
    <row r="4869" customFormat="false" ht="15" hidden="false" customHeight="false" outlineLevel="0" collapsed="false">
      <c r="A4869" s="31" t="s">
        <v>5019</v>
      </c>
      <c r="B4869" s="44" t="n">
        <v>46270</v>
      </c>
      <c r="C4869" s="31" t="s">
        <v>57</v>
      </c>
      <c r="D4869" s="31" t="s">
        <v>65</v>
      </c>
      <c r="E4869" s="31" t="s">
        <v>49</v>
      </c>
      <c r="F4869" s="31" t="s">
        <v>122</v>
      </c>
      <c r="G4869" s="31" t="n">
        <v>5</v>
      </c>
      <c r="H4869" s="41" t="n">
        <v>2.2</v>
      </c>
      <c r="I4869" s="31" t="s">
        <v>149</v>
      </c>
      <c r="J4869" s="31" t="n">
        <v>5</v>
      </c>
      <c r="K4869" s="31" t="s">
        <v>150</v>
      </c>
      <c r="L4869" s="45" t="n">
        <f aca="false">DATE(YEAR(B4869),MONTH(B4869),1)</f>
        <v>46266</v>
      </c>
      <c r="M4869" s="31" t="n">
        <f aca="false">WEEKDAY(B4869,2)</f>
        <v>6</v>
      </c>
      <c r="N4869" s="31" t="str">
        <f aca="false">IF(G4869&lt;=INDEX(Assumptions!$B$15:$B$18,MATCH(E4869,Assumptions!$A$15:$A$18,0)),"Yes","No")</f>
        <v>Yes</v>
      </c>
      <c r="O4869" s="31" t="str">
        <f aca="false">IF(H4869="","Open",IF(H4869&lt;=INDEX(Assumptions!$C$15:$C$18,MATCH(E4869,Assumptions!$A$15:$A$18,0)),"Yes","No"))</f>
        <v>Yes</v>
      </c>
    </row>
    <row r="4870" customFormat="false" ht="15" hidden="false" customHeight="false" outlineLevel="0" collapsed="false">
      <c r="A4870" s="31" t="s">
        <v>5020</v>
      </c>
      <c r="B4870" s="44" t="n">
        <v>46270</v>
      </c>
      <c r="C4870" s="31" t="s">
        <v>57</v>
      </c>
      <c r="D4870" s="31" t="s">
        <v>66</v>
      </c>
      <c r="E4870" s="31" t="s">
        <v>50</v>
      </c>
      <c r="F4870" s="31" t="s">
        <v>128</v>
      </c>
      <c r="G4870" s="31" t="n">
        <v>25</v>
      </c>
      <c r="H4870" s="41" t="n">
        <v>4</v>
      </c>
      <c r="I4870" s="31" t="s">
        <v>149</v>
      </c>
      <c r="J4870" s="31"/>
      <c r="K4870" s="31" t="s">
        <v>150</v>
      </c>
      <c r="L4870" s="45" t="n">
        <f aca="false">DATE(YEAR(B4870),MONTH(B4870),1)</f>
        <v>46266</v>
      </c>
      <c r="M4870" s="31" t="n">
        <f aca="false">WEEKDAY(B4870,2)</f>
        <v>6</v>
      </c>
      <c r="N4870" s="31" t="str">
        <f aca="false">IF(G4870&lt;=INDEX(Assumptions!$B$15:$B$18,MATCH(E4870,Assumptions!$A$15:$A$18,0)),"Yes","No")</f>
        <v>Yes</v>
      </c>
      <c r="O4870" s="31" t="str">
        <f aca="false">IF(H4870="","Open",IF(H4870&lt;=INDEX(Assumptions!$C$15:$C$18,MATCH(E4870,Assumptions!$A$15:$A$18,0)),"Yes","No"))</f>
        <v>Yes</v>
      </c>
    </row>
    <row r="4871" customFormat="false" ht="15" hidden="false" customHeight="false" outlineLevel="0" collapsed="false">
      <c r="A4871" s="31" t="s">
        <v>5021</v>
      </c>
      <c r="B4871" s="44" t="n">
        <v>46270</v>
      </c>
      <c r="C4871" s="31" t="s">
        <v>58</v>
      </c>
      <c r="D4871" s="31" t="s">
        <v>65</v>
      </c>
      <c r="E4871" s="31" t="s">
        <v>51</v>
      </c>
      <c r="F4871" s="31" t="s">
        <v>131</v>
      </c>
      <c r="G4871" s="31" t="n">
        <v>10</v>
      </c>
      <c r="H4871" s="41" t="n">
        <v>12.7</v>
      </c>
      <c r="I4871" s="31" t="s">
        <v>149</v>
      </c>
      <c r="J4871" s="31"/>
      <c r="K4871" s="31" t="s">
        <v>150</v>
      </c>
      <c r="L4871" s="45" t="n">
        <f aca="false">DATE(YEAR(B4871),MONTH(B4871),1)</f>
        <v>46266</v>
      </c>
      <c r="M4871" s="31" t="n">
        <f aca="false">WEEKDAY(B4871,2)</f>
        <v>6</v>
      </c>
      <c r="N4871" s="31" t="str">
        <f aca="false">IF(G4871&lt;=INDEX(Assumptions!$B$15:$B$18,MATCH(E4871,Assumptions!$A$15:$A$18,0)),"Yes","No")</f>
        <v>Yes</v>
      </c>
      <c r="O4871" s="31" t="str">
        <f aca="false">IF(H4871="","Open",IF(H4871&lt;=INDEX(Assumptions!$C$15:$C$18,MATCH(E4871,Assumptions!$A$15:$A$18,0)),"Yes","No"))</f>
        <v>Yes</v>
      </c>
    </row>
    <row r="4872" customFormat="false" ht="15" hidden="false" customHeight="false" outlineLevel="0" collapsed="false">
      <c r="A4872" s="31" t="s">
        <v>5022</v>
      </c>
      <c r="B4872" s="44" t="n">
        <v>46270</v>
      </c>
      <c r="C4872" s="31" t="s">
        <v>60</v>
      </c>
      <c r="D4872" s="31" t="s">
        <v>66</v>
      </c>
      <c r="E4872" s="31" t="s">
        <v>50</v>
      </c>
      <c r="F4872" s="31" t="s">
        <v>127</v>
      </c>
      <c r="G4872" s="31" t="n">
        <v>1</v>
      </c>
      <c r="H4872" s="41" t="n">
        <v>48.7</v>
      </c>
      <c r="I4872" s="31" t="s">
        <v>149</v>
      </c>
      <c r="J4872" s="31" t="n">
        <v>4</v>
      </c>
      <c r="K4872" s="31" t="s">
        <v>150</v>
      </c>
      <c r="L4872" s="45" t="n">
        <f aca="false">DATE(YEAR(B4872),MONTH(B4872),1)</f>
        <v>46266</v>
      </c>
      <c r="M4872" s="31" t="n">
        <f aca="false">WEEKDAY(B4872,2)</f>
        <v>6</v>
      </c>
      <c r="N4872" s="31" t="str">
        <f aca="false">IF(G4872&lt;=INDEX(Assumptions!$B$15:$B$18,MATCH(E4872,Assumptions!$A$15:$A$18,0)),"Yes","No")</f>
        <v>Yes</v>
      </c>
      <c r="O4872" s="31" t="str">
        <f aca="false">IF(H4872="","Open",IF(H4872&lt;=INDEX(Assumptions!$C$15:$C$18,MATCH(E4872,Assumptions!$A$15:$A$18,0)),"Yes","No"))</f>
        <v>No</v>
      </c>
    </row>
    <row r="4873" customFormat="false" ht="15" hidden="false" customHeight="false" outlineLevel="0" collapsed="false">
      <c r="A4873" s="31" t="s">
        <v>5023</v>
      </c>
      <c r="B4873" s="44" t="n">
        <v>46270</v>
      </c>
      <c r="C4873" s="31" t="s">
        <v>60</v>
      </c>
      <c r="D4873" s="31" t="s">
        <v>68</v>
      </c>
      <c r="E4873" s="31" t="s">
        <v>51</v>
      </c>
      <c r="F4873" s="31" t="s">
        <v>130</v>
      </c>
      <c r="G4873" s="31" t="n">
        <v>2</v>
      </c>
      <c r="H4873" s="41" t="n">
        <v>9.8</v>
      </c>
      <c r="I4873" s="31" t="s">
        <v>149</v>
      </c>
      <c r="J4873" s="31" t="n">
        <v>4</v>
      </c>
      <c r="K4873" s="31" t="s">
        <v>150</v>
      </c>
      <c r="L4873" s="45" t="n">
        <f aca="false">DATE(YEAR(B4873),MONTH(B4873),1)</f>
        <v>46266</v>
      </c>
      <c r="M4873" s="31" t="n">
        <f aca="false">WEEKDAY(B4873,2)</f>
        <v>6</v>
      </c>
      <c r="N4873" s="31" t="str">
        <f aca="false">IF(G4873&lt;=INDEX(Assumptions!$B$15:$B$18,MATCH(E4873,Assumptions!$A$15:$A$18,0)),"Yes","No")</f>
        <v>Yes</v>
      </c>
      <c r="O4873" s="31" t="str">
        <f aca="false">IF(H4873="","Open",IF(H4873&lt;=INDEX(Assumptions!$C$15:$C$18,MATCH(E4873,Assumptions!$A$15:$A$18,0)),"Yes","No"))</f>
        <v>Yes</v>
      </c>
    </row>
    <row r="4874" customFormat="false" ht="15" hidden="false" customHeight="false" outlineLevel="0" collapsed="false">
      <c r="A4874" s="31" t="s">
        <v>5024</v>
      </c>
      <c r="B4874" s="44" t="n">
        <v>46270</v>
      </c>
      <c r="C4874" s="31" t="s">
        <v>57</v>
      </c>
      <c r="D4874" s="31" t="s">
        <v>66</v>
      </c>
      <c r="E4874" s="31" t="s">
        <v>52</v>
      </c>
      <c r="F4874" s="31" t="s">
        <v>127</v>
      </c>
      <c r="G4874" s="31" t="n">
        <v>13</v>
      </c>
      <c r="H4874" s="41" t="n">
        <v>4.7</v>
      </c>
      <c r="I4874" s="31" t="s">
        <v>149</v>
      </c>
      <c r="J4874" s="31"/>
      <c r="K4874" s="31" t="s">
        <v>150</v>
      </c>
      <c r="L4874" s="45" t="n">
        <f aca="false">DATE(YEAR(B4874),MONTH(B4874),1)</f>
        <v>46266</v>
      </c>
      <c r="M4874" s="31" t="n">
        <f aca="false">WEEKDAY(B4874,2)</f>
        <v>6</v>
      </c>
      <c r="N4874" s="31" t="str">
        <f aca="false">IF(G4874&lt;=INDEX(Assumptions!$B$15:$B$18,MATCH(E4874,Assumptions!$A$15:$A$18,0)),"Yes","No")</f>
        <v>Yes</v>
      </c>
      <c r="O4874" s="31" t="str">
        <f aca="false">IF(H4874="","Open",IF(H4874&lt;=INDEX(Assumptions!$C$15:$C$18,MATCH(E4874,Assumptions!$A$15:$A$18,0)),"Yes","No"))</f>
        <v>Yes</v>
      </c>
    </row>
    <row r="4875" customFormat="false" ht="15" hidden="false" customHeight="false" outlineLevel="0" collapsed="false">
      <c r="A4875" s="31" t="s">
        <v>5025</v>
      </c>
      <c r="B4875" s="44" t="n">
        <v>46270</v>
      </c>
      <c r="C4875" s="31" t="s">
        <v>57</v>
      </c>
      <c r="D4875" s="31" t="s">
        <v>65</v>
      </c>
      <c r="E4875" s="31" t="s">
        <v>52</v>
      </c>
      <c r="F4875" s="31" t="s">
        <v>136</v>
      </c>
      <c r="G4875" s="31" t="n">
        <v>2</v>
      </c>
      <c r="H4875" s="41" t="n">
        <v>30.8</v>
      </c>
      <c r="I4875" s="31" t="s">
        <v>149</v>
      </c>
      <c r="J4875" s="31" t="n">
        <v>4</v>
      </c>
      <c r="K4875" s="31" t="s">
        <v>150</v>
      </c>
      <c r="L4875" s="45" t="n">
        <f aca="false">DATE(YEAR(B4875),MONTH(B4875),1)</f>
        <v>46266</v>
      </c>
      <c r="M4875" s="31" t="n">
        <f aca="false">WEEKDAY(B4875,2)</f>
        <v>6</v>
      </c>
      <c r="N4875" s="31" t="str">
        <f aca="false">IF(G4875&lt;=INDEX(Assumptions!$B$15:$B$18,MATCH(E4875,Assumptions!$A$15:$A$18,0)),"Yes","No")</f>
        <v>Yes</v>
      </c>
      <c r="O4875" s="31" t="str">
        <f aca="false">IF(H4875="","Open",IF(H4875&lt;=INDEX(Assumptions!$C$15:$C$18,MATCH(E4875,Assumptions!$A$15:$A$18,0)),"Yes","No"))</f>
        <v>Yes</v>
      </c>
    </row>
    <row r="4876" customFormat="false" ht="15" hidden="false" customHeight="false" outlineLevel="0" collapsed="false">
      <c r="A4876" s="31" t="s">
        <v>5026</v>
      </c>
      <c r="B4876" s="44" t="n">
        <v>46270</v>
      </c>
      <c r="C4876" s="31" t="s">
        <v>57</v>
      </c>
      <c r="D4876" s="31" t="s">
        <v>65</v>
      </c>
      <c r="E4876" s="31" t="s">
        <v>52</v>
      </c>
      <c r="F4876" s="31" t="s">
        <v>117</v>
      </c>
      <c r="G4876" s="31" t="n">
        <v>5</v>
      </c>
      <c r="H4876" s="41" t="n">
        <v>4.1</v>
      </c>
      <c r="I4876" s="31" t="s">
        <v>149</v>
      </c>
      <c r="J4876" s="31" t="n">
        <v>4</v>
      </c>
      <c r="K4876" s="31" t="s">
        <v>150</v>
      </c>
      <c r="L4876" s="45" t="n">
        <f aca="false">DATE(YEAR(B4876),MONTH(B4876),1)</f>
        <v>46266</v>
      </c>
      <c r="M4876" s="31" t="n">
        <f aca="false">WEEKDAY(B4876,2)</f>
        <v>6</v>
      </c>
      <c r="N4876" s="31" t="str">
        <f aca="false">IF(G4876&lt;=INDEX(Assumptions!$B$15:$B$18,MATCH(E4876,Assumptions!$A$15:$A$18,0)),"Yes","No")</f>
        <v>Yes</v>
      </c>
      <c r="O4876" s="31" t="str">
        <f aca="false">IF(H4876="","Open",IF(H4876&lt;=INDEX(Assumptions!$C$15:$C$18,MATCH(E4876,Assumptions!$A$15:$A$18,0)),"Yes","No"))</f>
        <v>Yes</v>
      </c>
    </row>
    <row r="4877" customFormat="false" ht="15" hidden="false" customHeight="false" outlineLevel="0" collapsed="false">
      <c r="A4877" s="31" t="s">
        <v>5027</v>
      </c>
      <c r="B4877" s="44" t="n">
        <v>46270</v>
      </c>
      <c r="C4877" s="31" t="s">
        <v>60</v>
      </c>
      <c r="D4877" s="31" t="s">
        <v>69</v>
      </c>
      <c r="E4877" s="31" t="s">
        <v>52</v>
      </c>
      <c r="F4877" s="31" t="s">
        <v>121</v>
      </c>
      <c r="G4877" s="31" t="n">
        <v>4</v>
      </c>
      <c r="H4877" s="41" t="n">
        <v>74.8</v>
      </c>
      <c r="I4877" s="31" t="s">
        <v>149</v>
      </c>
      <c r="J4877" s="31" t="n">
        <v>3</v>
      </c>
      <c r="K4877" s="31" t="s">
        <v>150</v>
      </c>
      <c r="L4877" s="45" t="n">
        <f aca="false">DATE(YEAR(B4877),MONTH(B4877),1)</f>
        <v>46266</v>
      </c>
      <c r="M4877" s="31" t="n">
        <f aca="false">WEEKDAY(B4877,2)</f>
        <v>6</v>
      </c>
      <c r="N4877" s="31" t="str">
        <f aca="false">IF(G4877&lt;=INDEX(Assumptions!$B$15:$B$18,MATCH(E4877,Assumptions!$A$15:$A$18,0)),"Yes","No")</f>
        <v>Yes</v>
      </c>
      <c r="O4877" s="31" t="str">
        <f aca="false">IF(H4877="","Open",IF(H4877&lt;=INDEX(Assumptions!$C$15:$C$18,MATCH(E4877,Assumptions!$A$15:$A$18,0)),"Yes","No"))</f>
        <v>No</v>
      </c>
    </row>
    <row r="4878" customFormat="false" ht="15" hidden="false" customHeight="false" outlineLevel="0" collapsed="false">
      <c r="A4878" s="31" t="s">
        <v>5028</v>
      </c>
      <c r="B4878" s="44" t="n">
        <v>46270</v>
      </c>
      <c r="C4878" s="31" t="s">
        <v>57</v>
      </c>
      <c r="D4878" s="31" t="s">
        <v>68</v>
      </c>
      <c r="E4878" s="31" t="s">
        <v>51</v>
      </c>
      <c r="F4878" s="31" t="s">
        <v>128</v>
      </c>
      <c r="G4878" s="31" t="n">
        <v>6</v>
      </c>
      <c r="H4878" s="41" t="n">
        <v>4.4</v>
      </c>
      <c r="I4878" s="31" t="s">
        <v>149</v>
      </c>
      <c r="J4878" s="31"/>
      <c r="K4878" s="31" t="s">
        <v>150</v>
      </c>
      <c r="L4878" s="45" t="n">
        <f aca="false">DATE(YEAR(B4878),MONTH(B4878),1)</f>
        <v>46266</v>
      </c>
      <c r="M4878" s="31" t="n">
        <f aca="false">WEEKDAY(B4878,2)</f>
        <v>6</v>
      </c>
      <c r="N4878" s="31" t="str">
        <f aca="false">IF(G4878&lt;=INDEX(Assumptions!$B$15:$B$18,MATCH(E4878,Assumptions!$A$15:$A$18,0)),"Yes","No")</f>
        <v>Yes</v>
      </c>
      <c r="O4878" s="31" t="str">
        <f aca="false">IF(H4878="","Open",IF(H4878&lt;=INDEX(Assumptions!$C$15:$C$18,MATCH(E4878,Assumptions!$A$15:$A$18,0)),"Yes","No"))</f>
        <v>Yes</v>
      </c>
    </row>
    <row r="4879" customFormat="false" ht="15" hidden="false" customHeight="false" outlineLevel="0" collapsed="false">
      <c r="A4879" s="31" t="s">
        <v>5029</v>
      </c>
      <c r="B4879" s="44" t="n">
        <v>46270</v>
      </c>
      <c r="C4879" s="31" t="s">
        <v>58</v>
      </c>
      <c r="D4879" s="31" t="s">
        <v>67</v>
      </c>
      <c r="E4879" s="31" t="s">
        <v>50</v>
      </c>
      <c r="F4879" s="31" t="s">
        <v>120</v>
      </c>
      <c r="G4879" s="31" t="n">
        <v>17</v>
      </c>
      <c r="H4879" s="41" t="n">
        <v>13.1</v>
      </c>
      <c r="I4879" s="31" t="s">
        <v>149</v>
      </c>
      <c r="J4879" s="31"/>
      <c r="K4879" s="31" t="s">
        <v>150</v>
      </c>
      <c r="L4879" s="45" t="n">
        <f aca="false">DATE(YEAR(B4879),MONTH(B4879),1)</f>
        <v>46266</v>
      </c>
      <c r="M4879" s="31" t="n">
        <f aca="false">WEEKDAY(B4879,2)</f>
        <v>6</v>
      </c>
      <c r="N4879" s="31" t="str">
        <f aca="false">IF(G4879&lt;=INDEX(Assumptions!$B$15:$B$18,MATCH(E4879,Assumptions!$A$15:$A$18,0)),"Yes","No")</f>
        <v>Yes</v>
      </c>
      <c r="O4879" s="31" t="str">
        <f aca="false">IF(H4879="","Open",IF(H4879&lt;=INDEX(Assumptions!$C$15:$C$18,MATCH(E4879,Assumptions!$A$15:$A$18,0)),"Yes","No"))</f>
        <v>No</v>
      </c>
    </row>
    <row r="4880" customFormat="false" ht="15" hidden="false" customHeight="false" outlineLevel="0" collapsed="false">
      <c r="A4880" s="31" t="s">
        <v>5030</v>
      </c>
      <c r="B4880" s="44" t="n">
        <v>46270</v>
      </c>
      <c r="C4880" s="31" t="s">
        <v>57</v>
      </c>
      <c r="D4880" s="31" t="s">
        <v>67</v>
      </c>
      <c r="E4880" s="31" t="s">
        <v>51</v>
      </c>
      <c r="F4880" s="31" t="s">
        <v>128</v>
      </c>
      <c r="G4880" s="31" t="n">
        <v>6</v>
      </c>
      <c r="H4880" s="41" t="n">
        <v>29.2</v>
      </c>
      <c r="I4880" s="31" t="s">
        <v>149</v>
      </c>
      <c r="J4880" s="31"/>
      <c r="K4880" s="31" t="s">
        <v>150</v>
      </c>
      <c r="L4880" s="45" t="n">
        <f aca="false">DATE(YEAR(B4880),MONTH(B4880),1)</f>
        <v>46266</v>
      </c>
      <c r="M4880" s="31" t="n">
        <f aca="false">WEEKDAY(B4880,2)</f>
        <v>6</v>
      </c>
      <c r="N4880" s="31" t="str">
        <f aca="false">IF(G4880&lt;=INDEX(Assumptions!$B$15:$B$18,MATCH(E4880,Assumptions!$A$15:$A$18,0)),"Yes","No")</f>
        <v>Yes</v>
      </c>
      <c r="O4880" s="31" t="str">
        <f aca="false">IF(H4880="","Open",IF(H4880&lt;=INDEX(Assumptions!$C$15:$C$18,MATCH(E4880,Assumptions!$A$15:$A$18,0)),"Yes","No"))</f>
        <v>No</v>
      </c>
    </row>
    <row r="4881" customFormat="false" ht="15" hidden="false" customHeight="false" outlineLevel="0" collapsed="false">
      <c r="A4881" s="31" t="s">
        <v>5031</v>
      </c>
      <c r="B4881" s="44" t="n">
        <v>46270</v>
      </c>
      <c r="C4881" s="31" t="s">
        <v>57</v>
      </c>
      <c r="D4881" s="31" t="s">
        <v>65</v>
      </c>
      <c r="E4881" s="31" t="s">
        <v>51</v>
      </c>
      <c r="F4881" s="31" t="s">
        <v>137</v>
      </c>
      <c r="G4881" s="31" t="n">
        <v>3</v>
      </c>
      <c r="H4881" s="41" t="n">
        <v>20.3</v>
      </c>
      <c r="I4881" s="31" t="s">
        <v>149</v>
      </c>
      <c r="J4881" s="31" t="n">
        <v>5</v>
      </c>
      <c r="K4881" s="31" t="s">
        <v>150</v>
      </c>
      <c r="L4881" s="45" t="n">
        <f aca="false">DATE(YEAR(B4881),MONTH(B4881),1)</f>
        <v>46266</v>
      </c>
      <c r="M4881" s="31" t="n">
        <f aca="false">WEEKDAY(B4881,2)</f>
        <v>6</v>
      </c>
      <c r="N4881" s="31" t="str">
        <f aca="false">IF(G4881&lt;=INDEX(Assumptions!$B$15:$B$18,MATCH(E4881,Assumptions!$A$15:$A$18,0)),"Yes","No")</f>
        <v>Yes</v>
      </c>
      <c r="O4881" s="31" t="str">
        <f aca="false">IF(H4881="","Open",IF(H4881&lt;=INDEX(Assumptions!$C$15:$C$18,MATCH(E4881,Assumptions!$A$15:$A$18,0)),"Yes","No"))</f>
        <v>Yes</v>
      </c>
    </row>
    <row r="4882" customFormat="false" ht="15" hidden="false" customHeight="false" outlineLevel="0" collapsed="false">
      <c r="A4882" s="31" t="s">
        <v>5032</v>
      </c>
      <c r="B4882" s="44" t="n">
        <v>46270</v>
      </c>
      <c r="C4882" s="31" t="s">
        <v>57</v>
      </c>
      <c r="D4882" s="31" t="s">
        <v>66</v>
      </c>
      <c r="E4882" s="31" t="s">
        <v>51</v>
      </c>
      <c r="F4882" s="31" t="s">
        <v>127</v>
      </c>
      <c r="G4882" s="31" t="n">
        <v>2</v>
      </c>
      <c r="H4882" s="41" t="n">
        <v>9.2</v>
      </c>
      <c r="I4882" s="31" t="s">
        <v>149</v>
      </c>
      <c r="J4882" s="31" t="n">
        <v>5</v>
      </c>
      <c r="K4882" s="31" t="s">
        <v>150</v>
      </c>
      <c r="L4882" s="45" t="n">
        <f aca="false">DATE(YEAR(B4882),MONTH(B4882),1)</f>
        <v>46266</v>
      </c>
      <c r="M4882" s="31" t="n">
        <f aca="false">WEEKDAY(B4882,2)</f>
        <v>6</v>
      </c>
      <c r="N4882" s="31" t="str">
        <f aca="false">IF(G4882&lt;=INDEX(Assumptions!$B$15:$B$18,MATCH(E4882,Assumptions!$A$15:$A$18,0)),"Yes","No")</f>
        <v>Yes</v>
      </c>
      <c r="O4882" s="31" t="str">
        <f aca="false">IF(H4882="","Open",IF(H4882&lt;=INDEX(Assumptions!$C$15:$C$18,MATCH(E4882,Assumptions!$A$15:$A$18,0)),"Yes","No"))</f>
        <v>Yes</v>
      </c>
    </row>
    <row r="4883" customFormat="false" ht="15" hidden="false" customHeight="false" outlineLevel="0" collapsed="false">
      <c r="A4883" s="31" t="s">
        <v>5033</v>
      </c>
      <c r="B4883" s="44" t="n">
        <v>46270</v>
      </c>
      <c r="C4883" s="31" t="s">
        <v>57</v>
      </c>
      <c r="D4883" s="31" t="s">
        <v>65</v>
      </c>
      <c r="E4883" s="31" t="s">
        <v>52</v>
      </c>
      <c r="F4883" s="31" t="s">
        <v>121</v>
      </c>
      <c r="G4883" s="31" t="n">
        <v>5</v>
      </c>
      <c r="H4883" s="41" t="n">
        <v>27.6</v>
      </c>
      <c r="I4883" s="31" t="s">
        <v>149</v>
      </c>
      <c r="J4883" s="31" t="n">
        <v>4</v>
      </c>
      <c r="K4883" s="31" t="s">
        <v>150</v>
      </c>
      <c r="L4883" s="45" t="n">
        <f aca="false">DATE(YEAR(B4883),MONTH(B4883),1)</f>
        <v>46266</v>
      </c>
      <c r="M4883" s="31" t="n">
        <f aca="false">WEEKDAY(B4883,2)</f>
        <v>6</v>
      </c>
      <c r="N4883" s="31" t="str">
        <f aca="false">IF(G4883&lt;=INDEX(Assumptions!$B$15:$B$18,MATCH(E4883,Assumptions!$A$15:$A$18,0)),"Yes","No")</f>
        <v>Yes</v>
      </c>
      <c r="O4883" s="31" t="str">
        <f aca="false">IF(H4883="","Open",IF(H4883&lt;=INDEX(Assumptions!$C$15:$C$18,MATCH(E4883,Assumptions!$A$15:$A$18,0)),"Yes","No"))</f>
        <v>Yes</v>
      </c>
    </row>
    <row r="4884" customFormat="false" ht="15" hidden="false" customHeight="false" outlineLevel="0" collapsed="false">
      <c r="A4884" s="31" t="s">
        <v>5034</v>
      </c>
      <c r="B4884" s="44" t="n">
        <v>46270</v>
      </c>
      <c r="C4884" s="31" t="s">
        <v>58</v>
      </c>
      <c r="D4884" s="31" t="s">
        <v>66</v>
      </c>
      <c r="E4884" s="31" t="s">
        <v>51</v>
      </c>
      <c r="F4884" s="31" t="s">
        <v>128</v>
      </c>
      <c r="G4884" s="31" t="n">
        <v>13</v>
      </c>
      <c r="H4884" s="41" t="n">
        <v>2.4</v>
      </c>
      <c r="I4884" s="31" t="s">
        <v>149</v>
      </c>
      <c r="J4884" s="31"/>
      <c r="K4884" s="31" t="s">
        <v>150</v>
      </c>
      <c r="L4884" s="45" t="n">
        <f aca="false">DATE(YEAR(B4884),MONTH(B4884),1)</f>
        <v>46266</v>
      </c>
      <c r="M4884" s="31" t="n">
        <f aca="false">WEEKDAY(B4884,2)</f>
        <v>6</v>
      </c>
      <c r="N4884" s="31" t="str">
        <f aca="false">IF(G4884&lt;=INDEX(Assumptions!$B$15:$B$18,MATCH(E4884,Assumptions!$A$15:$A$18,0)),"Yes","No")</f>
        <v>Yes</v>
      </c>
      <c r="O4884" s="31" t="str">
        <f aca="false">IF(H4884="","Open",IF(H4884&lt;=INDEX(Assumptions!$C$15:$C$18,MATCH(E4884,Assumptions!$A$15:$A$18,0)),"Yes","No"))</f>
        <v>Yes</v>
      </c>
    </row>
    <row r="4885" customFormat="false" ht="15" hidden="false" customHeight="false" outlineLevel="0" collapsed="false">
      <c r="A4885" s="31" t="s">
        <v>5035</v>
      </c>
      <c r="B4885" s="44" t="n">
        <v>46270</v>
      </c>
      <c r="C4885" s="31" t="s">
        <v>57</v>
      </c>
      <c r="D4885" s="31" t="s">
        <v>67</v>
      </c>
      <c r="E4885" s="31" t="s">
        <v>52</v>
      </c>
      <c r="F4885" s="31" t="s">
        <v>136</v>
      </c>
      <c r="G4885" s="31" t="n">
        <v>6</v>
      </c>
      <c r="H4885" s="41" t="n">
        <v>6.9</v>
      </c>
      <c r="I4885" s="31" t="s">
        <v>149</v>
      </c>
      <c r="J4885" s="31"/>
      <c r="K4885" s="31" t="s">
        <v>150</v>
      </c>
      <c r="L4885" s="45" t="n">
        <f aca="false">DATE(YEAR(B4885),MONTH(B4885),1)</f>
        <v>46266</v>
      </c>
      <c r="M4885" s="31" t="n">
        <f aca="false">WEEKDAY(B4885,2)</f>
        <v>6</v>
      </c>
      <c r="N4885" s="31" t="str">
        <f aca="false">IF(G4885&lt;=INDEX(Assumptions!$B$15:$B$18,MATCH(E4885,Assumptions!$A$15:$A$18,0)),"Yes","No")</f>
        <v>Yes</v>
      </c>
      <c r="O4885" s="31" t="str">
        <f aca="false">IF(H4885="","Open",IF(H4885&lt;=INDEX(Assumptions!$C$15:$C$18,MATCH(E4885,Assumptions!$A$15:$A$18,0)),"Yes","No"))</f>
        <v>Yes</v>
      </c>
    </row>
    <row r="4886" customFormat="false" ht="15" hidden="false" customHeight="false" outlineLevel="0" collapsed="false">
      <c r="A4886" s="31" t="s">
        <v>5036</v>
      </c>
      <c r="B4886" s="44" t="n">
        <v>46270</v>
      </c>
      <c r="C4886" s="31" t="s">
        <v>59</v>
      </c>
      <c r="D4886" s="31" t="s">
        <v>65</v>
      </c>
      <c r="E4886" s="31" t="s">
        <v>51</v>
      </c>
      <c r="F4886" s="31" t="s">
        <v>135</v>
      </c>
      <c r="G4886" s="31" t="n">
        <v>228</v>
      </c>
      <c r="H4886" s="41" t="n">
        <v>10.9</v>
      </c>
      <c r="I4886" s="31" t="s">
        <v>149</v>
      </c>
      <c r="J4886" s="31" t="n">
        <v>4</v>
      </c>
      <c r="K4886" s="31" t="s">
        <v>150</v>
      </c>
      <c r="L4886" s="45" t="n">
        <f aca="false">DATE(YEAR(B4886),MONTH(B4886),1)</f>
        <v>46266</v>
      </c>
      <c r="M4886" s="31" t="n">
        <f aca="false">WEEKDAY(B4886,2)</f>
        <v>6</v>
      </c>
      <c r="N4886" s="31" t="str">
        <f aca="false">IF(G4886&lt;=INDEX(Assumptions!$B$15:$B$18,MATCH(E4886,Assumptions!$A$15:$A$18,0)),"Yes","No")</f>
        <v>No</v>
      </c>
      <c r="O4886" s="31" t="str">
        <f aca="false">IF(H4886="","Open",IF(H4886&lt;=INDEX(Assumptions!$C$15:$C$18,MATCH(E4886,Assumptions!$A$15:$A$18,0)),"Yes","No"))</f>
        <v>Yes</v>
      </c>
    </row>
    <row r="4887" customFormat="false" ht="15" hidden="false" customHeight="false" outlineLevel="0" collapsed="false">
      <c r="A4887" s="31" t="s">
        <v>5037</v>
      </c>
      <c r="B4887" s="44" t="n">
        <v>46270</v>
      </c>
      <c r="C4887" s="31" t="s">
        <v>57</v>
      </c>
      <c r="D4887" s="31" t="s">
        <v>68</v>
      </c>
      <c r="E4887" s="31" t="s">
        <v>49</v>
      </c>
      <c r="F4887" s="31" t="s">
        <v>128</v>
      </c>
      <c r="G4887" s="31" t="n">
        <v>1</v>
      </c>
      <c r="H4887" s="41" t="n">
        <v>1.1</v>
      </c>
      <c r="I4887" s="31" t="s">
        <v>149</v>
      </c>
      <c r="J4887" s="31" t="n">
        <v>5</v>
      </c>
      <c r="K4887" s="31" t="s">
        <v>150</v>
      </c>
      <c r="L4887" s="45" t="n">
        <f aca="false">DATE(YEAR(B4887),MONTH(B4887),1)</f>
        <v>46266</v>
      </c>
      <c r="M4887" s="31" t="n">
        <f aca="false">WEEKDAY(B4887,2)</f>
        <v>6</v>
      </c>
      <c r="N4887" s="31" t="str">
        <f aca="false">IF(G4887&lt;=INDEX(Assumptions!$B$15:$B$18,MATCH(E4887,Assumptions!$A$15:$A$18,0)),"Yes","No")</f>
        <v>Yes</v>
      </c>
      <c r="O4887" s="31" t="str">
        <f aca="false">IF(H4887="","Open",IF(H4887&lt;=INDEX(Assumptions!$C$15:$C$18,MATCH(E4887,Assumptions!$A$15:$A$18,0)),"Yes","No"))</f>
        <v>Yes</v>
      </c>
    </row>
    <row r="4888" customFormat="false" ht="15" hidden="false" customHeight="false" outlineLevel="0" collapsed="false">
      <c r="A4888" s="31" t="s">
        <v>5038</v>
      </c>
      <c r="B4888" s="44" t="n">
        <v>46270</v>
      </c>
      <c r="C4888" s="31" t="s">
        <v>59</v>
      </c>
      <c r="D4888" s="31" t="s">
        <v>67</v>
      </c>
      <c r="E4888" s="31" t="s">
        <v>51</v>
      </c>
      <c r="F4888" s="31" t="s">
        <v>126</v>
      </c>
      <c r="G4888" s="31" t="n">
        <v>190</v>
      </c>
      <c r="H4888" s="41" t="n">
        <v>33.3</v>
      </c>
      <c r="I4888" s="31" t="s">
        <v>149</v>
      </c>
      <c r="J4888" s="31" t="n">
        <v>4</v>
      </c>
      <c r="K4888" s="31" t="s">
        <v>150</v>
      </c>
      <c r="L4888" s="45" t="n">
        <f aca="false">DATE(YEAR(B4888),MONTH(B4888),1)</f>
        <v>46266</v>
      </c>
      <c r="M4888" s="31" t="n">
        <f aca="false">WEEKDAY(B4888,2)</f>
        <v>6</v>
      </c>
      <c r="N4888" s="31" t="str">
        <f aca="false">IF(G4888&lt;=INDEX(Assumptions!$B$15:$B$18,MATCH(E4888,Assumptions!$A$15:$A$18,0)),"Yes","No")</f>
        <v>No</v>
      </c>
      <c r="O4888" s="31" t="str">
        <f aca="false">IF(H4888="","Open",IF(H4888&lt;=INDEX(Assumptions!$C$15:$C$18,MATCH(E4888,Assumptions!$A$15:$A$18,0)),"Yes","No"))</f>
        <v>No</v>
      </c>
    </row>
    <row r="4889" customFormat="false" ht="15" hidden="false" customHeight="false" outlineLevel="0" collapsed="false">
      <c r="A4889" s="31" t="s">
        <v>5039</v>
      </c>
      <c r="B4889" s="44" t="n">
        <v>46270</v>
      </c>
      <c r="C4889" s="31" t="s">
        <v>59</v>
      </c>
      <c r="D4889" s="31" t="s">
        <v>66</v>
      </c>
      <c r="E4889" s="31" t="s">
        <v>52</v>
      </c>
      <c r="F4889" s="31" t="s">
        <v>124</v>
      </c>
      <c r="G4889" s="31" t="n">
        <v>65</v>
      </c>
      <c r="H4889" s="41" t="n">
        <v>14.8</v>
      </c>
      <c r="I4889" s="31" t="s">
        <v>149</v>
      </c>
      <c r="J4889" s="31"/>
      <c r="K4889" s="31" t="s">
        <v>150</v>
      </c>
      <c r="L4889" s="45" t="n">
        <f aca="false">DATE(YEAR(B4889),MONTH(B4889),1)</f>
        <v>46266</v>
      </c>
      <c r="M4889" s="31" t="n">
        <f aca="false">WEEKDAY(B4889,2)</f>
        <v>6</v>
      </c>
      <c r="N4889" s="31" t="str">
        <f aca="false">IF(G4889&lt;=INDEX(Assumptions!$B$15:$B$18,MATCH(E4889,Assumptions!$A$15:$A$18,0)),"Yes","No")</f>
        <v>Yes</v>
      </c>
      <c r="O4889" s="31" t="str">
        <f aca="false">IF(H4889="","Open",IF(H4889&lt;=INDEX(Assumptions!$C$15:$C$18,MATCH(E4889,Assumptions!$A$15:$A$18,0)),"Yes","No"))</f>
        <v>Yes</v>
      </c>
    </row>
    <row r="4890" customFormat="false" ht="15" hidden="false" customHeight="false" outlineLevel="0" collapsed="false">
      <c r="A4890" s="31" t="s">
        <v>5040</v>
      </c>
      <c r="B4890" s="44" t="n">
        <v>46270</v>
      </c>
      <c r="C4890" s="31" t="s">
        <v>58</v>
      </c>
      <c r="D4890" s="31" t="s">
        <v>69</v>
      </c>
      <c r="E4890" s="31" t="s">
        <v>49</v>
      </c>
      <c r="F4890" s="31" t="s">
        <v>135</v>
      </c>
      <c r="G4890" s="31" t="n">
        <v>9</v>
      </c>
      <c r="H4890" s="41" t="n">
        <v>20.9</v>
      </c>
      <c r="I4890" s="31" t="s">
        <v>149</v>
      </c>
      <c r="J4890" s="31" t="n">
        <v>4</v>
      </c>
      <c r="K4890" s="31" t="s">
        <v>150</v>
      </c>
      <c r="L4890" s="45" t="n">
        <f aca="false">DATE(YEAR(B4890),MONTH(B4890),1)</f>
        <v>46266</v>
      </c>
      <c r="M4890" s="31" t="n">
        <f aca="false">WEEKDAY(B4890,2)</f>
        <v>6</v>
      </c>
      <c r="N4890" s="31" t="str">
        <f aca="false">IF(G4890&lt;=INDEX(Assumptions!$B$15:$B$18,MATCH(E4890,Assumptions!$A$15:$A$18,0)),"Yes","No")</f>
        <v>Yes</v>
      </c>
      <c r="O4890" s="31" t="str">
        <f aca="false">IF(H4890="","Open",IF(H4890&lt;=INDEX(Assumptions!$C$15:$C$18,MATCH(E4890,Assumptions!$A$15:$A$18,0)),"Yes","No"))</f>
        <v>No</v>
      </c>
    </row>
    <row r="4891" customFormat="false" ht="15" hidden="false" customHeight="false" outlineLevel="0" collapsed="false">
      <c r="A4891" s="31" t="s">
        <v>5041</v>
      </c>
      <c r="B4891" s="44" t="n">
        <v>46270</v>
      </c>
      <c r="C4891" s="31" t="s">
        <v>58</v>
      </c>
      <c r="D4891" s="31" t="s">
        <v>65</v>
      </c>
      <c r="E4891" s="31" t="s">
        <v>52</v>
      </c>
      <c r="F4891" s="31" t="s">
        <v>124</v>
      </c>
      <c r="G4891" s="31" t="n">
        <v>10</v>
      </c>
      <c r="H4891" s="41" t="n">
        <v>80.7</v>
      </c>
      <c r="I4891" s="31" t="s">
        <v>64</v>
      </c>
      <c r="J4891" s="31" t="n">
        <v>2</v>
      </c>
      <c r="K4891" s="31" t="s">
        <v>150</v>
      </c>
      <c r="L4891" s="45" t="n">
        <f aca="false">DATE(YEAR(B4891),MONTH(B4891),1)</f>
        <v>46266</v>
      </c>
      <c r="M4891" s="31" t="n">
        <f aca="false">WEEKDAY(B4891,2)</f>
        <v>6</v>
      </c>
      <c r="N4891" s="31" t="str">
        <f aca="false">IF(G4891&lt;=INDEX(Assumptions!$B$15:$B$18,MATCH(E4891,Assumptions!$A$15:$A$18,0)),"Yes","No")</f>
        <v>Yes</v>
      </c>
      <c r="O4891" s="31" t="str">
        <f aca="false">IF(H4891="","Open",IF(H4891&lt;=INDEX(Assumptions!$C$15:$C$18,MATCH(E4891,Assumptions!$A$15:$A$18,0)),"Yes","No"))</f>
        <v>No</v>
      </c>
    </row>
    <row r="4892" customFormat="false" ht="15" hidden="false" customHeight="false" outlineLevel="0" collapsed="false">
      <c r="A4892" s="31" t="s">
        <v>5042</v>
      </c>
      <c r="B4892" s="44" t="n">
        <v>46270</v>
      </c>
      <c r="C4892" s="31" t="s">
        <v>59</v>
      </c>
      <c r="D4892" s="31" t="s">
        <v>65</v>
      </c>
      <c r="E4892" s="31" t="s">
        <v>50</v>
      </c>
      <c r="F4892" s="31" t="s">
        <v>130</v>
      </c>
      <c r="G4892" s="31" t="n">
        <v>114</v>
      </c>
      <c r="H4892" s="41" t="n">
        <v>8.6</v>
      </c>
      <c r="I4892" s="31" t="s">
        <v>149</v>
      </c>
      <c r="J4892" s="31" t="n">
        <v>4</v>
      </c>
      <c r="K4892" s="31" t="s">
        <v>150</v>
      </c>
      <c r="L4892" s="45" t="n">
        <f aca="false">DATE(YEAR(B4892),MONTH(B4892),1)</f>
        <v>46266</v>
      </c>
      <c r="M4892" s="31" t="n">
        <f aca="false">WEEKDAY(B4892,2)</f>
        <v>6</v>
      </c>
      <c r="N4892" s="31" t="str">
        <f aca="false">IF(G4892&lt;=INDEX(Assumptions!$B$15:$B$18,MATCH(E4892,Assumptions!$A$15:$A$18,0)),"Yes","No")</f>
        <v>No</v>
      </c>
      <c r="O4892" s="31" t="str">
        <f aca="false">IF(H4892="","Open",IF(H4892&lt;=INDEX(Assumptions!$C$15:$C$18,MATCH(E4892,Assumptions!$A$15:$A$18,0)),"Yes","No"))</f>
        <v>No</v>
      </c>
    </row>
    <row r="4893" customFormat="false" ht="15" hidden="false" customHeight="false" outlineLevel="0" collapsed="false">
      <c r="A4893" s="31" t="s">
        <v>5043</v>
      </c>
      <c r="B4893" s="44" t="n">
        <v>46270</v>
      </c>
      <c r="C4893" s="31" t="s">
        <v>57</v>
      </c>
      <c r="D4893" s="31" t="s">
        <v>66</v>
      </c>
      <c r="E4893" s="31" t="s">
        <v>51</v>
      </c>
      <c r="F4893" s="31" t="s">
        <v>131</v>
      </c>
      <c r="G4893" s="31" t="n">
        <v>2</v>
      </c>
      <c r="H4893" s="41" t="n">
        <v>8.8</v>
      </c>
      <c r="I4893" s="31" t="s">
        <v>149</v>
      </c>
      <c r="J4893" s="31" t="n">
        <v>4</v>
      </c>
      <c r="K4893" s="31" t="s">
        <v>150</v>
      </c>
      <c r="L4893" s="45" t="n">
        <f aca="false">DATE(YEAR(B4893),MONTH(B4893),1)</f>
        <v>46266</v>
      </c>
      <c r="M4893" s="31" t="n">
        <f aca="false">WEEKDAY(B4893,2)</f>
        <v>6</v>
      </c>
      <c r="N4893" s="31" t="str">
        <f aca="false">IF(G4893&lt;=INDEX(Assumptions!$B$15:$B$18,MATCH(E4893,Assumptions!$A$15:$A$18,0)),"Yes","No")</f>
        <v>Yes</v>
      </c>
      <c r="O4893" s="31" t="str">
        <f aca="false">IF(H4893="","Open",IF(H4893&lt;=INDEX(Assumptions!$C$15:$C$18,MATCH(E4893,Assumptions!$A$15:$A$18,0)),"Yes","No"))</f>
        <v>Yes</v>
      </c>
    </row>
    <row r="4894" customFormat="false" ht="15" hidden="false" customHeight="false" outlineLevel="0" collapsed="false">
      <c r="A4894" s="31" t="s">
        <v>5044</v>
      </c>
      <c r="B4894" s="44" t="n">
        <v>46270</v>
      </c>
      <c r="C4894" s="31" t="s">
        <v>60</v>
      </c>
      <c r="D4894" s="31" t="s">
        <v>65</v>
      </c>
      <c r="E4894" s="31" t="s">
        <v>52</v>
      </c>
      <c r="F4894" s="31" t="s">
        <v>128</v>
      </c>
      <c r="G4894" s="31" t="n">
        <v>6</v>
      </c>
      <c r="H4894" s="41" t="n">
        <v>21.1</v>
      </c>
      <c r="I4894" s="31" t="s">
        <v>149</v>
      </c>
      <c r="J4894" s="31"/>
      <c r="K4894" s="31" t="s">
        <v>150</v>
      </c>
      <c r="L4894" s="45" t="n">
        <f aca="false">DATE(YEAR(B4894),MONTH(B4894),1)</f>
        <v>46266</v>
      </c>
      <c r="M4894" s="31" t="n">
        <f aca="false">WEEKDAY(B4894,2)</f>
        <v>6</v>
      </c>
      <c r="N4894" s="31" t="str">
        <f aca="false">IF(G4894&lt;=INDEX(Assumptions!$B$15:$B$18,MATCH(E4894,Assumptions!$A$15:$A$18,0)),"Yes","No")</f>
        <v>Yes</v>
      </c>
      <c r="O4894" s="31" t="str">
        <f aca="false">IF(H4894="","Open",IF(H4894&lt;=INDEX(Assumptions!$C$15:$C$18,MATCH(E4894,Assumptions!$A$15:$A$18,0)),"Yes","No"))</f>
        <v>Yes</v>
      </c>
    </row>
    <row r="4895" customFormat="false" ht="15" hidden="false" customHeight="false" outlineLevel="0" collapsed="false">
      <c r="A4895" s="31" t="s">
        <v>5045</v>
      </c>
      <c r="B4895" s="44" t="n">
        <v>46270</v>
      </c>
      <c r="C4895" s="31" t="s">
        <v>57</v>
      </c>
      <c r="D4895" s="31" t="s">
        <v>66</v>
      </c>
      <c r="E4895" s="31" t="s">
        <v>51</v>
      </c>
      <c r="F4895" s="31" t="s">
        <v>117</v>
      </c>
      <c r="G4895" s="31" t="n">
        <v>3</v>
      </c>
      <c r="H4895" s="41" t="n">
        <v>8.7</v>
      </c>
      <c r="I4895" s="31" t="s">
        <v>149</v>
      </c>
      <c r="J4895" s="31"/>
      <c r="K4895" s="31" t="s">
        <v>153</v>
      </c>
      <c r="L4895" s="45" t="n">
        <f aca="false">DATE(YEAR(B4895),MONTH(B4895),1)</f>
        <v>46266</v>
      </c>
      <c r="M4895" s="31" t="n">
        <f aca="false">WEEKDAY(B4895,2)</f>
        <v>6</v>
      </c>
      <c r="N4895" s="31" t="str">
        <f aca="false">IF(G4895&lt;=INDEX(Assumptions!$B$15:$B$18,MATCH(E4895,Assumptions!$A$15:$A$18,0)),"Yes","No")</f>
        <v>Yes</v>
      </c>
      <c r="O4895" s="31" t="str">
        <f aca="false">IF(H4895="","Open",IF(H4895&lt;=INDEX(Assumptions!$C$15:$C$18,MATCH(E4895,Assumptions!$A$15:$A$18,0)),"Yes","No"))</f>
        <v>Yes</v>
      </c>
    </row>
    <row r="4896" customFormat="false" ht="15" hidden="false" customHeight="false" outlineLevel="0" collapsed="false">
      <c r="A4896" s="31" t="s">
        <v>5046</v>
      </c>
      <c r="B4896" s="44" t="n">
        <v>46270</v>
      </c>
      <c r="C4896" s="31" t="s">
        <v>60</v>
      </c>
      <c r="D4896" s="31" t="s">
        <v>66</v>
      </c>
      <c r="E4896" s="31" t="s">
        <v>51</v>
      </c>
      <c r="F4896" s="31" t="s">
        <v>124</v>
      </c>
      <c r="G4896" s="31" t="n">
        <v>3</v>
      </c>
      <c r="H4896" s="41" t="n">
        <v>1.5</v>
      </c>
      <c r="I4896" s="31" t="s">
        <v>149</v>
      </c>
      <c r="J4896" s="31"/>
      <c r="K4896" s="31" t="s">
        <v>150</v>
      </c>
      <c r="L4896" s="45" t="n">
        <f aca="false">DATE(YEAR(B4896),MONTH(B4896),1)</f>
        <v>46266</v>
      </c>
      <c r="M4896" s="31" t="n">
        <f aca="false">WEEKDAY(B4896,2)</f>
        <v>6</v>
      </c>
      <c r="N4896" s="31" t="str">
        <f aca="false">IF(G4896&lt;=INDEX(Assumptions!$B$15:$B$18,MATCH(E4896,Assumptions!$A$15:$A$18,0)),"Yes","No")</f>
        <v>Yes</v>
      </c>
      <c r="O4896" s="31" t="str">
        <f aca="false">IF(H4896="","Open",IF(H4896&lt;=INDEX(Assumptions!$C$15:$C$18,MATCH(E4896,Assumptions!$A$15:$A$18,0)),"Yes","No"))</f>
        <v>Yes</v>
      </c>
    </row>
    <row r="4897" customFormat="false" ht="15" hidden="false" customHeight="false" outlineLevel="0" collapsed="false">
      <c r="A4897" s="31" t="s">
        <v>5047</v>
      </c>
      <c r="B4897" s="44" t="n">
        <v>46270</v>
      </c>
      <c r="C4897" s="31" t="s">
        <v>59</v>
      </c>
      <c r="D4897" s="31" t="s">
        <v>66</v>
      </c>
      <c r="E4897" s="31" t="s">
        <v>51</v>
      </c>
      <c r="F4897" s="31" t="s">
        <v>117</v>
      </c>
      <c r="G4897" s="31" t="n">
        <v>43</v>
      </c>
      <c r="H4897" s="41" t="n">
        <v>15.4</v>
      </c>
      <c r="I4897" s="31" t="s">
        <v>149</v>
      </c>
      <c r="J4897" s="31"/>
      <c r="K4897" s="31" t="s">
        <v>150</v>
      </c>
      <c r="L4897" s="45" t="n">
        <f aca="false">DATE(YEAR(B4897),MONTH(B4897),1)</f>
        <v>46266</v>
      </c>
      <c r="M4897" s="31" t="n">
        <f aca="false">WEEKDAY(B4897,2)</f>
        <v>6</v>
      </c>
      <c r="N4897" s="31" t="str">
        <f aca="false">IF(G4897&lt;=INDEX(Assumptions!$B$15:$B$18,MATCH(E4897,Assumptions!$A$15:$A$18,0)),"Yes","No")</f>
        <v>Yes</v>
      </c>
      <c r="O4897" s="31" t="str">
        <f aca="false">IF(H4897="","Open",IF(H4897&lt;=INDEX(Assumptions!$C$15:$C$18,MATCH(E4897,Assumptions!$A$15:$A$18,0)),"Yes","No"))</f>
        <v>Yes</v>
      </c>
    </row>
    <row r="4898" customFormat="false" ht="15" hidden="false" customHeight="false" outlineLevel="0" collapsed="false">
      <c r="A4898" s="31" t="s">
        <v>5048</v>
      </c>
      <c r="B4898" s="44" t="n">
        <v>46270</v>
      </c>
      <c r="C4898" s="31" t="s">
        <v>59</v>
      </c>
      <c r="D4898" s="31" t="s">
        <v>65</v>
      </c>
      <c r="E4898" s="31" t="s">
        <v>52</v>
      </c>
      <c r="F4898" s="31" t="s">
        <v>135</v>
      </c>
      <c r="G4898" s="31" t="n">
        <v>105</v>
      </c>
      <c r="H4898" s="41" t="n">
        <v>14.7</v>
      </c>
      <c r="I4898" s="31" t="s">
        <v>149</v>
      </c>
      <c r="J4898" s="31" t="n">
        <v>4</v>
      </c>
      <c r="K4898" s="31" t="s">
        <v>150</v>
      </c>
      <c r="L4898" s="45" t="n">
        <f aca="false">DATE(YEAR(B4898),MONTH(B4898),1)</f>
        <v>46266</v>
      </c>
      <c r="M4898" s="31" t="n">
        <f aca="false">WEEKDAY(B4898,2)</f>
        <v>6</v>
      </c>
      <c r="N4898" s="31" t="str">
        <f aca="false">IF(G4898&lt;=INDEX(Assumptions!$B$15:$B$18,MATCH(E4898,Assumptions!$A$15:$A$18,0)),"Yes","No")</f>
        <v>Yes</v>
      </c>
      <c r="O4898" s="31" t="str">
        <f aca="false">IF(H4898="","Open",IF(H4898&lt;=INDEX(Assumptions!$C$15:$C$18,MATCH(E4898,Assumptions!$A$15:$A$18,0)),"Yes","No"))</f>
        <v>Yes</v>
      </c>
    </row>
    <row r="4899" customFormat="false" ht="15" hidden="false" customHeight="false" outlineLevel="0" collapsed="false">
      <c r="A4899" s="31" t="s">
        <v>5049</v>
      </c>
      <c r="B4899" s="44" t="n">
        <v>46270</v>
      </c>
      <c r="C4899" s="31" t="s">
        <v>58</v>
      </c>
      <c r="D4899" s="31" t="s">
        <v>65</v>
      </c>
      <c r="E4899" s="31" t="s">
        <v>52</v>
      </c>
      <c r="F4899" s="31" t="s">
        <v>135</v>
      </c>
      <c r="G4899" s="31" t="n">
        <v>72</v>
      </c>
      <c r="H4899" s="41" t="n">
        <v>70.4</v>
      </c>
      <c r="I4899" s="31" t="s">
        <v>149</v>
      </c>
      <c r="J4899" s="31" t="n">
        <v>3</v>
      </c>
      <c r="K4899" s="31" t="s">
        <v>150</v>
      </c>
      <c r="L4899" s="45" t="n">
        <f aca="false">DATE(YEAR(B4899),MONTH(B4899),1)</f>
        <v>46266</v>
      </c>
      <c r="M4899" s="31" t="n">
        <f aca="false">WEEKDAY(B4899,2)</f>
        <v>6</v>
      </c>
      <c r="N4899" s="31" t="str">
        <f aca="false">IF(G4899&lt;=INDEX(Assumptions!$B$15:$B$18,MATCH(E4899,Assumptions!$A$15:$A$18,0)),"Yes","No")</f>
        <v>Yes</v>
      </c>
      <c r="O4899" s="31" t="str">
        <f aca="false">IF(H4899="","Open",IF(H4899&lt;=INDEX(Assumptions!$C$15:$C$18,MATCH(E4899,Assumptions!$A$15:$A$18,0)),"Yes","No"))</f>
        <v>Yes</v>
      </c>
    </row>
    <row r="4900" customFormat="false" ht="15" hidden="false" customHeight="false" outlineLevel="0" collapsed="false">
      <c r="A4900" s="31" t="s">
        <v>5050</v>
      </c>
      <c r="B4900" s="44" t="n">
        <v>46270</v>
      </c>
      <c r="C4900" s="31" t="s">
        <v>58</v>
      </c>
      <c r="D4900" s="31" t="s">
        <v>65</v>
      </c>
      <c r="E4900" s="31" t="s">
        <v>52</v>
      </c>
      <c r="F4900" s="31" t="s">
        <v>130</v>
      </c>
      <c r="G4900" s="31" t="n">
        <v>8</v>
      </c>
      <c r="H4900" s="41" t="n">
        <v>6.2</v>
      </c>
      <c r="I4900" s="31" t="s">
        <v>149</v>
      </c>
      <c r="J4900" s="31" t="n">
        <v>5</v>
      </c>
      <c r="K4900" s="31" t="s">
        <v>153</v>
      </c>
      <c r="L4900" s="45" t="n">
        <f aca="false">DATE(YEAR(B4900),MONTH(B4900),1)</f>
        <v>46266</v>
      </c>
      <c r="M4900" s="31" t="n">
        <f aca="false">WEEKDAY(B4900,2)</f>
        <v>6</v>
      </c>
      <c r="N4900" s="31" t="str">
        <f aca="false">IF(G4900&lt;=INDEX(Assumptions!$B$15:$B$18,MATCH(E4900,Assumptions!$A$15:$A$18,0)),"Yes","No")</f>
        <v>Yes</v>
      </c>
      <c r="O4900" s="31" t="str">
        <f aca="false">IF(H4900="","Open",IF(H4900&lt;=INDEX(Assumptions!$C$15:$C$18,MATCH(E4900,Assumptions!$A$15:$A$18,0)),"Yes","No"))</f>
        <v>Yes</v>
      </c>
    </row>
    <row r="4901" customFormat="false" ht="15" hidden="false" customHeight="false" outlineLevel="0" collapsed="false">
      <c r="A4901" s="31" t="s">
        <v>5051</v>
      </c>
      <c r="B4901" s="44" t="n">
        <v>46270</v>
      </c>
      <c r="C4901" s="31" t="s">
        <v>57</v>
      </c>
      <c r="D4901" s="31" t="s">
        <v>65</v>
      </c>
      <c r="E4901" s="31" t="s">
        <v>52</v>
      </c>
      <c r="F4901" s="31" t="s">
        <v>127</v>
      </c>
      <c r="G4901" s="31" t="n">
        <v>6</v>
      </c>
      <c r="H4901" s="41" t="n">
        <v>9.9</v>
      </c>
      <c r="I4901" s="31" t="s">
        <v>149</v>
      </c>
      <c r="J4901" s="31" t="n">
        <v>5</v>
      </c>
      <c r="K4901" s="31" t="s">
        <v>150</v>
      </c>
      <c r="L4901" s="45" t="n">
        <f aca="false">DATE(YEAR(B4901),MONTH(B4901),1)</f>
        <v>46266</v>
      </c>
      <c r="M4901" s="31" t="n">
        <f aca="false">WEEKDAY(B4901,2)</f>
        <v>6</v>
      </c>
      <c r="N4901" s="31" t="str">
        <f aca="false">IF(G4901&lt;=INDEX(Assumptions!$B$15:$B$18,MATCH(E4901,Assumptions!$A$15:$A$18,0)),"Yes","No")</f>
        <v>Yes</v>
      </c>
      <c r="O4901" s="31" t="str">
        <f aca="false">IF(H4901="","Open",IF(H4901&lt;=INDEX(Assumptions!$C$15:$C$18,MATCH(E4901,Assumptions!$A$15:$A$18,0)),"Yes","No"))</f>
        <v>Yes</v>
      </c>
    </row>
    <row r="4902" customFormat="false" ht="15" hidden="false" customHeight="false" outlineLevel="0" collapsed="false">
      <c r="A4902" s="31" t="s">
        <v>5052</v>
      </c>
      <c r="B4902" s="44" t="n">
        <v>46270</v>
      </c>
      <c r="C4902" s="31" t="s">
        <v>57</v>
      </c>
      <c r="D4902" s="31" t="s">
        <v>69</v>
      </c>
      <c r="E4902" s="31" t="s">
        <v>52</v>
      </c>
      <c r="F4902" s="31" t="s">
        <v>120</v>
      </c>
      <c r="G4902" s="31" t="n">
        <v>11</v>
      </c>
      <c r="H4902" s="41" t="n">
        <v>9.3</v>
      </c>
      <c r="I4902" s="31" t="s">
        <v>149</v>
      </c>
      <c r="J4902" s="31" t="n">
        <v>3</v>
      </c>
      <c r="K4902" s="31" t="s">
        <v>150</v>
      </c>
      <c r="L4902" s="45" t="n">
        <f aca="false">DATE(YEAR(B4902),MONTH(B4902),1)</f>
        <v>46266</v>
      </c>
      <c r="M4902" s="31" t="n">
        <f aca="false">WEEKDAY(B4902,2)</f>
        <v>6</v>
      </c>
      <c r="N4902" s="31" t="str">
        <f aca="false">IF(G4902&lt;=INDEX(Assumptions!$B$15:$B$18,MATCH(E4902,Assumptions!$A$15:$A$18,0)),"Yes","No")</f>
        <v>Yes</v>
      </c>
      <c r="O4902" s="31" t="str">
        <f aca="false">IF(H4902="","Open",IF(H4902&lt;=INDEX(Assumptions!$C$15:$C$18,MATCH(E4902,Assumptions!$A$15:$A$18,0)),"Yes","No"))</f>
        <v>Yes</v>
      </c>
    </row>
    <row r="4903" customFormat="false" ht="15" hidden="false" customHeight="false" outlineLevel="0" collapsed="false">
      <c r="A4903" s="31" t="s">
        <v>5053</v>
      </c>
      <c r="B4903" s="44" t="n">
        <v>46270</v>
      </c>
      <c r="C4903" s="31" t="s">
        <v>60</v>
      </c>
      <c r="D4903" s="31" t="s">
        <v>67</v>
      </c>
      <c r="E4903" s="31" t="s">
        <v>52</v>
      </c>
      <c r="F4903" s="31" t="s">
        <v>130</v>
      </c>
      <c r="G4903" s="31" t="n">
        <v>2</v>
      </c>
      <c r="H4903" s="41" t="n">
        <v>26.8</v>
      </c>
      <c r="I4903" s="31" t="s">
        <v>149</v>
      </c>
      <c r="J4903" s="31"/>
      <c r="K4903" s="31" t="s">
        <v>150</v>
      </c>
      <c r="L4903" s="45" t="n">
        <f aca="false">DATE(YEAR(B4903),MONTH(B4903),1)</f>
        <v>46266</v>
      </c>
      <c r="M4903" s="31" t="n">
        <f aca="false">WEEKDAY(B4903,2)</f>
        <v>6</v>
      </c>
      <c r="N4903" s="31" t="str">
        <f aca="false">IF(G4903&lt;=INDEX(Assumptions!$B$15:$B$18,MATCH(E4903,Assumptions!$A$15:$A$18,0)),"Yes","No")</f>
        <v>Yes</v>
      </c>
      <c r="O4903" s="31" t="str">
        <f aca="false">IF(H4903="","Open",IF(H4903&lt;=INDEX(Assumptions!$C$15:$C$18,MATCH(E4903,Assumptions!$A$15:$A$18,0)),"Yes","No"))</f>
        <v>Yes</v>
      </c>
    </row>
    <row r="4904" customFormat="false" ht="15" hidden="false" customHeight="false" outlineLevel="0" collapsed="false">
      <c r="A4904" s="31" t="s">
        <v>5054</v>
      </c>
      <c r="B4904" s="44" t="n">
        <v>46270</v>
      </c>
      <c r="C4904" s="31" t="s">
        <v>59</v>
      </c>
      <c r="D4904" s="31" t="s">
        <v>66</v>
      </c>
      <c r="E4904" s="31" t="s">
        <v>52</v>
      </c>
      <c r="F4904" s="31" t="s">
        <v>136</v>
      </c>
      <c r="G4904" s="31" t="n">
        <v>101</v>
      </c>
      <c r="H4904" s="41" t="n">
        <v>14.1</v>
      </c>
      <c r="I4904" s="31" t="s">
        <v>149</v>
      </c>
      <c r="J4904" s="31"/>
      <c r="K4904" s="31" t="s">
        <v>150</v>
      </c>
      <c r="L4904" s="45" t="n">
        <f aca="false">DATE(YEAR(B4904),MONTH(B4904),1)</f>
        <v>46266</v>
      </c>
      <c r="M4904" s="31" t="n">
        <f aca="false">WEEKDAY(B4904,2)</f>
        <v>6</v>
      </c>
      <c r="N4904" s="31" t="str">
        <f aca="false">IF(G4904&lt;=INDEX(Assumptions!$B$15:$B$18,MATCH(E4904,Assumptions!$A$15:$A$18,0)),"Yes","No")</f>
        <v>Yes</v>
      </c>
      <c r="O4904" s="31" t="str">
        <f aca="false">IF(H4904="","Open",IF(H4904&lt;=INDEX(Assumptions!$C$15:$C$18,MATCH(E4904,Assumptions!$A$15:$A$18,0)),"Yes","No"))</f>
        <v>Yes</v>
      </c>
    </row>
    <row r="4905" customFormat="false" ht="15" hidden="false" customHeight="false" outlineLevel="0" collapsed="false">
      <c r="A4905" s="31" t="s">
        <v>5055</v>
      </c>
      <c r="B4905" s="44" t="n">
        <v>46270</v>
      </c>
      <c r="C4905" s="31" t="s">
        <v>58</v>
      </c>
      <c r="D4905" s="31" t="s">
        <v>65</v>
      </c>
      <c r="E4905" s="31" t="s">
        <v>51</v>
      </c>
      <c r="F4905" s="31" t="s">
        <v>136</v>
      </c>
      <c r="G4905" s="31" t="n">
        <v>9</v>
      </c>
      <c r="H4905" s="41" t="n">
        <v>9</v>
      </c>
      <c r="I4905" s="31" t="s">
        <v>149</v>
      </c>
      <c r="J4905" s="31" t="n">
        <v>5</v>
      </c>
      <c r="K4905" s="31" t="s">
        <v>150</v>
      </c>
      <c r="L4905" s="45" t="n">
        <f aca="false">DATE(YEAR(B4905),MONTH(B4905),1)</f>
        <v>46266</v>
      </c>
      <c r="M4905" s="31" t="n">
        <f aca="false">WEEKDAY(B4905,2)</f>
        <v>6</v>
      </c>
      <c r="N4905" s="31" t="str">
        <f aca="false">IF(G4905&lt;=INDEX(Assumptions!$B$15:$B$18,MATCH(E4905,Assumptions!$A$15:$A$18,0)),"Yes","No")</f>
        <v>Yes</v>
      </c>
      <c r="O4905" s="31" t="str">
        <f aca="false">IF(H4905="","Open",IF(H4905&lt;=INDEX(Assumptions!$C$15:$C$18,MATCH(E4905,Assumptions!$A$15:$A$18,0)),"Yes","No"))</f>
        <v>Yes</v>
      </c>
    </row>
    <row r="4906" customFormat="false" ht="15" hidden="false" customHeight="false" outlineLevel="0" collapsed="false">
      <c r="A4906" s="31" t="s">
        <v>5056</v>
      </c>
      <c r="B4906" s="44" t="n">
        <v>46270</v>
      </c>
      <c r="C4906" s="31" t="s">
        <v>59</v>
      </c>
      <c r="D4906" s="31" t="s">
        <v>65</v>
      </c>
      <c r="E4906" s="31" t="s">
        <v>50</v>
      </c>
      <c r="F4906" s="31" t="s">
        <v>123</v>
      </c>
      <c r="G4906" s="31" t="n">
        <v>21</v>
      </c>
      <c r="H4906" s="41" t="n">
        <v>9.4</v>
      </c>
      <c r="I4906" s="31" t="s">
        <v>149</v>
      </c>
      <c r="J4906" s="31"/>
      <c r="K4906" s="31" t="s">
        <v>150</v>
      </c>
      <c r="L4906" s="45" t="n">
        <f aca="false">DATE(YEAR(B4906),MONTH(B4906),1)</f>
        <v>46266</v>
      </c>
      <c r="M4906" s="31" t="n">
        <f aca="false">WEEKDAY(B4906,2)</f>
        <v>6</v>
      </c>
      <c r="N4906" s="31" t="str">
        <f aca="false">IF(G4906&lt;=INDEX(Assumptions!$B$15:$B$18,MATCH(E4906,Assumptions!$A$15:$A$18,0)),"Yes","No")</f>
        <v>Yes</v>
      </c>
      <c r="O4906" s="31" t="str">
        <f aca="false">IF(H4906="","Open",IF(H4906&lt;=INDEX(Assumptions!$C$15:$C$18,MATCH(E4906,Assumptions!$A$15:$A$18,0)),"Yes","No"))</f>
        <v>No</v>
      </c>
    </row>
    <row r="4907" customFormat="false" ht="15" hidden="false" customHeight="false" outlineLevel="0" collapsed="false">
      <c r="A4907" s="31" t="s">
        <v>5057</v>
      </c>
      <c r="B4907" s="44" t="n">
        <v>46270</v>
      </c>
      <c r="C4907" s="31" t="s">
        <v>58</v>
      </c>
      <c r="D4907" s="31" t="s">
        <v>65</v>
      </c>
      <c r="E4907" s="31" t="s">
        <v>50</v>
      </c>
      <c r="F4907" s="31" t="s">
        <v>129</v>
      </c>
      <c r="G4907" s="31" t="n">
        <v>11</v>
      </c>
      <c r="H4907" s="41" t="n">
        <v>3.8</v>
      </c>
      <c r="I4907" s="31" t="s">
        <v>149</v>
      </c>
      <c r="J4907" s="31"/>
      <c r="K4907" s="31" t="s">
        <v>150</v>
      </c>
      <c r="L4907" s="45" t="n">
        <f aca="false">DATE(YEAR(B4907),MONTH(B4907),1)</f>
        <v>46266</v>
      </c>
      <c r="M4907" s="31" t="n">
        <f aca="false">WEEKDAY(B4907,2)</f>
        <v>6</v>
      </c>
      <c r="N4907" s="31" t="str">
        <f aca="false">IF(G4907&lt;=INDEX(Assumptions!$B$15:$B$18,MATCH(E4907,Assumptions!$A$15:$A$18,0)),"Yes","No")</f>
        <v>Yes</v>
      </c>
      <c r="O4907" s="31" t="str">
        <f aca="false">IF(H4907="","Open",IF(H4907&lt;=INDEX(Assumptions!$C$15:$C$18,MATCH(E4907,Assumptions!$A$15:$A$18,0)),"Yes","No"))</f>
        <v>Yes</v>
      </c>
    </row>
    <row r="4908" customFormat="false" ht="15" hidden="false" customHeight="false" outlineLevel="0" collapsed="false">
      <c r="A4908" s="31" t="s">
        <v>5058</v>
      </c>
      <c r="B4908" s="44" t="n">
        <v>46270</v>
      </c>
      <c r="C4908" s="31" t="s">
        <v>60</v>
      </c>
      <c r="D4908" s="31" t="s">
        <v>66</v>
      </c>
      <c r="E4908" s="31" t="s">
        <v>51</v>
      </c>
      <c r="F4908" s="31" t="s">
        <v>121</v>
      </c>
      <c r="G4908" s="31" t="n">
        <v>3</v>
      </c>
      <c r="H4908" s="41" t="n">
        <v>9.3</v>
      </c>
      <c r="I4908" s="31" t="s">
        <v>149</v>
      </c>
      <c r="J4908" s="31" t="n">
        <v>4</v>
      </c>
      <c r="K4908" s="31" t="s">
        <v>150</v>
      </c>
      <c r="L4908" s="45" t="n">
        <f aca="false">DATE(YEAR(B4908),MONTH(B4908),1)</f>
        <v>46266</v>
      </c>
      <c r="M4908" s="31" t="n">
        <f aca="false">WEEKDAY(B4908,2)</f>
        <v>6</v>
      </c>
      <c r="N4908" s="31" t="str">
        <f aca="false">IF(G4908&lt;=INDEX(Assumptions!$B$15:$B$18,MATCH(E4908,Assumptions!$A$15:$A$18,0)),"Yes","No")</f>
        <v>Yes</v>
      </c>
      <c r="O4908" s="31" t="str">
        <f aca="false">IF(H4908="","Open",IF(H4908&lt;=INDEX(Assumptions!$C$15:$C$18,MATCH(E4908,Assumptions!$A$15:$A$18,0)),"Yes","No"))</f>
        <v>Yes</v>
      </c>
    </row>
    <row r="4909" customFormat="false" ht="15" hidden="false" customHeight="false" outlineLevel="0" collapsed="false">
      <c r="A4909" s="31" t="s">
        <v>5059</v>
      </c>
      <c r="B4909" s="44" t="n">
        <v>46270</v>
      </c>
      <c r="C4909" s="31" t="s">
        <v>57</v>
      </c>
      <c r="D4909" s="31" t="s">
        <v>69</v>
      </c>
      <c r="E4909" s="31" t="s">
        <v>51</v>
      </c>
      <c r="F4909" s="31" t="s">
        <v>119</v>
      </c>
      <c r="G4909" s="31" t="n">
        <v>18</v>
      </c>
      <c r="H4909" s="41" t="n">
        <v>41</v>
      </c>
      <c r="I4909" s="31" t="s">
        <v>149</v>
      </c>
      <c r="J4909" s="31" t="n">
        <v>2</v>
      </c>
      <c r="K4909" s="31" t="s">
        <v>150</v>
      </c>
      <c r="L4909" s="45" t="n">
        <f aca="false">DATE(YEAR(B4909),MONTH(B4909),1)</f>
        <v>46266</v>
      </c>
      <c r="M4909" s="31" t="n">
        <f aca="false">WEEKDAY(B4909,2)</f>
        <v>6</v>
      </c>
      <c r="N4909" s="31" t="str">
        <f aca="false">IF(G4909&lt;=INDEX(Assumptions!$B$15:$B$18,MATCH(E4909,Assumptions!$A$15:$A$18,0)),"Yes","No")</f>
        <v>Yes</v>
      </c>
      <c r="O4909" s="31" t="str">
        <f aca="false">IF(H4909="","Open",IF(H4909&lt;=INDEX(Assumptions!$C$15:$C$18,MATCH(E4909,Assumptions!$A$15:$A$18,0)),"Yes","No"))</f>
        <v>No</v>
      </c>
    </row>
    <row r="4910" customFormat="false" ht="15" hidden="false" customHeight="false" outlineLevel="0" collapsed="false">
      <c r="A4910" s="31" t="s">
        <v>5060</v>
      </c>
      <c r="B4910" s="44" t="n">
        <v>46271</v>
      </c>
      <c r="C4910" s="31" t="s">
        <v>57</v>
      </c>
      <c r="D4910" s="31" t="s">
        <v>65</v>
      </c>
      <c r="E4910" s="31" t="s">
        <v>50</v>
      </c>
      <c r="F4910" s="31" t="s">
        <v>126</v>
      </c>
      <c r="G4910" s="31" t="n">
        <v>1</v>
      </c>
      <c r="H4910" s="41" t="n">
        <v>1.9</v>
      </c>
      <c r="I4910" s="31" t="s">
        <v>149</v>
      </c>
      <c r="J4910" s="31" t="n">
        <v>4</v>
      </c>
      <c r="K4910" s="31" t="s">
        <v>150</v>
      </c>
      <c r="L4910" s="45" t="n">
        <f aca="false">DATE(YEAR(B4910),MONTH(B4910),1)</f>
        <v>46266</v>
      </c>
      <c r="M4910" s="31" t="n">
        <f aca="false">WEEKDAY(B4910,2)</f>
        <v>7</v>
      </c>
      <c r="N4910" s="31" t="str">
        <f aca="false">IF(G4910&lt;=INDEX(Assumptions!$B$15:$B$18,MATCH(E4910,Assumptions!$A$15:$A$18,0)),"Yes","No")</f>
        <v>Yes</v>
      </c>
      <c r="O4910" s="31" t="str">
        <f aca="false">IF(H4910="","Open",IF(H4910&lt;=INDEX(Assumptions!$C$15:$C$18,MATCH(E4910,Assumptions!$A$15:$A$18,0)),"Yes","No"))</f>
        <v>Yes</v>
      </c>
    </row>
    <row r="4911" customFormat="false" ht="15" hidden="false" customHeight="false" outlineLevel="0" collapsed="false">
      <c r="A4911" s="31" t="s">
        <v>5061</v>
      </c>
      <c r="B4911" s="44" t="n">
        <v>46271</v>
      </c>
      <c r="C4911" s="31" t="s">
        <v>59</v>
      </c>
      <c r="D4911" s="31" t="s">
        <v>66</v>
      </c>
      <c r="E4911" s="31" t="s">
        <v>50</v>
      </c>
      <c r="F4911" s="31" t="s">
        <v>117</v>
      </c>
      <c r="G4911" s="31" t="n">
        <v>22</v>
      </c>
      <c r="H4911" s="41" t="n">
        <v>5.8</v>
      </c>
      <c r="I4911" s="31" t="s">
        <v>149</v>
      </c>
      <c r="J4911" s="31" t="n">
        <v>5</v>
      </c>
      <c r="K4911" s="31" t="s">
        <v>150</v>
      </c>
      <c r="L4911" s="45" t="n">
        <f aca="false">DATE(YEAR(B4911),MONTH(B4911),1)</f>
        <v>46266</v>
      </c>
      <c r="M4911" s="31" t="n">
        <f aca="false">WEEKDAY(B4911,2)</f>
        <v>7</v>
      </c>
      <c r="N4911" s="31" t="str">
        <f aca="false">IF(G4911&lt;=INDEX(Assumptions!$B$15:$B$18,MATCH(E4911,Assumptions!$A$15:$A$18,0)),"Yes","No")</f>
        <v>Yes</v>
      </c>
      <c r="O4911" s="31" t="str">
        <f aca="false">IF(H4911="","Open",IF(H4911&lt;=INDEX(Assumptions!$C$15:$C$18,MATCH(E4911,Assumptions!$A$15:$A$18,0)),"Yes","No"))</f>
        <v>Yes</v>
      </c>
    </row>
    <row r="4912" customFormat="false" ht="15" hidden="false" customHeight="false" outlineLevel="0" collapsed="false">
      <c r="A4912" s="31" t="s">
        <v>5062</v>
      </c>
      <c r="B4912" s="44" t="n">
        <v>46271</v>
      </c>
      <c r="C4912" s="31" t="s">
        <v>57</v>
      </c>
      <c r="D4912" s="31" t="s">
        <v>65</v>
      </c>
      <c r="E4912" s="31" t="s">
        <v>52</v>
      </c>
      <c r="F4912" s="31" t="s">
        <v>133</v>
      </c>
      <c r="G4912" s="31" t="n">
        <v>4</v>
      </c>
      <c r="H4912" s="41" t="n">
        <v>10.5</v>
      </c>
      <c r="I4912" s="31" t="s">
        <v>149</v>
      </c>
      <c r="J4912" s="31" t="n">
        <v>3</v>
      </c>
      <c r="K4912" s="31" t="s">
        <v>150</v>
      </c>
      <c r="L4912" s="45" t="n">
        <f aca="false">DATE(YEAR(B4912),MONTH(B4912),1)</f>
        <v>46266</v>
      </c>
      <c r="M4912" s="31" t="n">
        <f aca="false">WEEKDAY(B4912,2)</f>
        <v>7</v>
      </c>
      <c r="N4912" s="31" t="str">
        <f aca="false">IF(G4912&lt;=INDEX(Assumptions!$B$15:$B$18,MATCH(E4912,Assumptions!$A$15:$A$18,0)),"Yes","No")</f>
        <v>Yes</v>
      </c>
      <c r="O4912" s="31" t="str">
        <f aca="false">IF(H4912="","Open",IF(H4912&lt;=INDEX(Assumptions!$C$15:$C$18,MATCH(E4912,Assumptions!$A$15:$A$18,0)),"Yes","No"))</f>
        <v>Yes</v>
      </c>
    </row>
    <row r="4913" customFormat="false" ht="15" hidden="false" customHeight="false" outlineLevel="0" collapsed="false">
      <c r="A4913" s="31" t="s">
        <v>5063</v>
      </c>
      <c r="B4913" s="44" t="n">
        <v>46271</v>
      </c>
      <c r="C4913" s="31" t="s">
        <v>58</v>
      </c>
      <c r="D4913" s="31" t="s">
        <v>67</v>
      </c>
      <c r="E4913" s="31" t="s">
        <v>51</v>
      </c>
      <c r="F4913" s="31" t="s">
        <v>136</v>
      </c>
      <c r="G4913" s="31" t="n">
        <v>20</v>
      </c>
      <c r="H4913" s="41" t="n">
        <v>4.9</v>
      </c>
      <c r="I4913" s="31" t="s">
        <v>149</v>
      </c>
      <c r="J4913" s="31"/>
      <c r="K4913" s="31" t="s">
        <v>150</v>
      </c>
      <c r="L4913" s="45" t="n">
        <f aca="false">DATE(YEAR(B4913),MONTH(B4913),1)</f>
        <v>46266</v>
      </c>
      <c r="M4913" s="31" t="n">
        <f aca="false">WEEKDAY(B4913,2)</f>
        <v>7</v>
      </c>
      <c r="N4913" s="31" t="str">
        <f aca="false">IF(G4913&lt;=INDEX(Assumptions!$B$15:$B$18,MATCH(E4913,Assumptions!$A$15:$A$18,0)),"Yes","No")</f>
        <v>Yes</v>
      </c>
      <c r="O4913" s="31" t="str">
        <f aca="false">IF(H4913="","Open",IF(H4913&lt;=INDEX(Assumptions!$C$15:$C$18,MATCH(E4913,Assumptions!$A$15:$A$18,0)),"Yes","No"))</f>
        <v>Yes</v>
      </c>
    </row>
    <row r="4914" customFormat="false" ht="15" hidden="false" customHeight="false" outlineLevel="0" collapsed="false">
      <c r="A4914" s="31" t="s">
        <v>5064</v>
      </c>
      <c r="B4914" s="44" t="n">
        <v>46271</v>
      </c>
      <c r="C4914" s="31" t="s">
        <v>60</v>
      </c>
      <c r="D4914" s="31" t="s">
        <v>69</v>
      </c>
      <c r="E4914" s="31" t="s">
        <v>51</v>
      </c>
      <c r="F4914" s="31" t="s">
        <v>123</v>
      </c>
      <c r="G4914" s="31" t="n">
        <v>10</v>
      </c>
      <c r="H4914" s="41" t="n">
        <v>7.1</v>
      </c>
      <c r="I4914" s="31" t="s">
        <v>149</v>
      </c>
      <c r="J4914" s="31"/>
      <c r="K4914" s="31" t="s">
        <v>150</v>
      </c>
      <c r="L4914" s="45" t="n">
        <f aca="false">DATE(YEAR(B4914),MONTH(B4914),1)</f>
        <v>46266</v>
      </c>
      <c r="M4914" s="31" t="n">
        <f aca="false">WEEKDAY(B4914,2)</f>
        <v>7</v>
      </c>
      <c r="N4914" s="31" t="str">
        <f aca="false">IF(G4914&lt;=INDEX(Assumptions!$B$15:$B$18,MATCH(E4914,Assumptions!$A$15:$A$18,0)),"Yes","No")</f>
        <v>Yes</v>
      </c>
      <c r="O4914" s="31" t="str">
        <f aca="false">IF(H4914="","Open",IF(H4914&lt;=INDEX(Assumptions!$C$15:$C$18,MATCH(E4914,Assumptions!$A$15:$A$18,0)),"Yes","No"))</f>
        <v>Yes</v>
      </c>
    </row>
    <row r="4915" customFormat="false" ht="15" hidden="false" customHeight="false" outlineLevel="0" collapsed="false">
      <c r="A4915" s="31" t="s">
        <v>5065</v>
      </c>
      <c r="B4915" s="44" t="n">
        <v>46271</v>
      </c>
      <c r="C4915" s="31" t="s">
        <v>59</v>
      </c>
      <c r="D4915" s="31" t="s">
        <v>68</v>
      </c>
      <c r="E4915" s="31" t="s">
        <v>51</v>
      </c>
      <c r="F4915" s="31" t="s">
        <v>126</v>
      </c>
      <c r="G4915" s="31" t="n">
        <v>38</v>
      </c>
      <c r="H4915" s="41" t="n">
        <v>4.2</v>
      </c>
      <c r="I4915" s="31" t="s">
        <v>149</v>
      </c>
      <c r="J4915" s="31"/>
      <c r="K4915" s="31" t="s">
        <v>150</v>
      </c>
      <c r="L4915" s="45" t="n">
        <f aca="false">DATE(YEAR(B4915),MONTH(B4915),1)</f>
        <v>46266</v>
      </c>
      <c r="M4915" s="31" t="n">
        <f aca="false">WEEKDAY(B4915,2)</f>
        <v>7</v>
      </c>
      <c r="N4915" s="31" t="str">
        <f aca="false">IF(G4915&lt;=INDEX(Assumptions!$B$15:$B$18,MATCH(E4915,Assumptions!$A$15:$A$18,0)),"Yes","No")</f>
        <v>Yes</v>
      </c>
      <c r="O4915" s="31" t="str">
        <f aca="false">IF(H4915="","Open",IF(H4915&lt;=INDEX(Assumptions!$C$15:$C$18,MATCH(E4915,Assumptions!$A$15:$A$18,0)),"Yes","No"))</f>
        <v>Yes</v>
      </c>
    </row>
    <row r="4916" customFormat="false" ht="15" hidden="false" customHeight="false" outlineLevel="0" collapsed="false">
      <c r="A4916" s="31" t="s">
        <v>5066</v>
      </c>
      <c r="B4916" s="44" t="n">
        <v>46271</v>
      </c>
      <c r="C4916" s="31" t="s">
        <v>57</v>
      </c>
      <c r="D4916" s="31" t="s">
        <v>67</v>
      </c>
      <c r="E4916" s="31" t="s">
        <v>51</v>
      </c>
      <c r="F4916" s="31" t="s">
        <v>130</v>
      </c>
      <c r="G4916" s="31" t="n">
        <v>10</v>
      </c>
      <c r="H4916" s="41" t="n">
        <v>15.2</v>
      </c>
      <c r="I4916" s="31" t="s">
        <v>149</v>
      </c>
      <c r="J4916" s="31"/>
      <c r="K4916" s="31" t="s">
        <v>150</v>
      </c>
      <c r="L4916" s="45" t="n">
        <f aca="false">DATE(YEAR(B4916),MONTH(B4916),1)</f>
        <v>46266</v>
      </c>
      <c r="M4916" s="31" t="n">
        <f aca="false">WEEKDAY(B4916,2)</f>
        <v>7</v>
      </c>
      <c r="N4916" s="31" t="str">
        <f aca="false">IF(G4916&lt;=INDEX(Assumptions!$B$15:$B$18,MATCH(E4916,Assumptions!$A$15:$A$18,0)),"Yes","No")</f>
        <v>Yes</v>
      </c>
      <c r="O4916" s="31" t="str">
        <f aca="false">IF(H4916="","Open",IF(H4916&lt;=INDEX(Assumptions!$C$15:$C$18,MATCH(E4916,Assumptions!$A$15:$A$18,0)),"Yes","No"))</f>
        <v>Yes</v>
      </c>
    </row>
    <row r="4917" customFormat="false" ht="15" hidden="false" customHeight="false" outlineLevel="0" collapsed="false">
      <c r="A4917" s="31" t="s">
        <v>5067</v>
      </c>
      <c r="B4917" s="44" t="n">
        <v>46271</v>
      </c>
      <c r="C4917" s="31" t="s">
        <v>59</v>
      </c>
      <c r="D4917" s="31" t="s">
        <v>67</v>
      </c>
      <c r="E4917" s="31" t="s">
        <v>50</v>
      </c>
      <c r="F4917" s="31" t="s">
        <v>120</v>
      </c>
      <c r="G4917" s="31" t="n">
        <v>180</v>
      </c>
      <c r="H4917" s="41" t="n">
        <v>5</v>
      </c>
      <c r="I4917" s="31" t="s">
        <v>149</v>
      </c>
      <c r="J4917" s="31" t="n">
        <v>4</v>
      </c>
      <c r="K4917" s="31" t="s">
        <v>150</v>
      </c>
      <c r="L4917" s="45" t="n">
        <f aca="false">DATE(YEAR(B4917),MONTH(B4917),1)</f>
        <v>46266</v>
      </c>
      <c r="M4917" s="31" t="n">
        <f aca="false">WEEKDAY(B4917,2)</f>
        <v>7</v>
      </c>
      <c r="N4917" s="31" t="str">
        <f aca="false">IF(G4917&lt;=INDEX(Assumptions!$B$15:$B$18,MATCH(E4917,Assumptions!$A$15:$A$18,0)),"Yes","No")</f>
        <v>No</v>
      </c>
      <c r="O4917" s="31" t="str">
        <f aca="false">IF(H4917="","Open",IF(H4917&lt;=INDEX(Assumptions!$C$15:$C$18,MATCH(E4917,Assumptions!$A$15:$A$18,0)),"Yes","No"))</f>
        <v>Yes</v>
      </c>
    </row>
    <row r="4918" customFormat="false" ht="15" hidden="false" customHeight="false" outlineLevel="0" collapsed="false">
      <c r="A4918" s="31" t="s">
        <v>5068</v>
      </c>
      <c r="B4918" s="44" t="n">
        <v>46271</v>
      </c>
      <c r="C4918" s="31" t="s">
        <v>59</v>
      </c>
      <c r="D4918" s="31" t="s">
        <v>65</v>
      </c>
      <c r="E4918" s="31" t="s">
        <v>51</v>
      </c>
      <c r="F4918" s="31" t="s">
        <v>119</v>
      </c>
      <c r="G4918" s="31" t="n">
        <v>37</v>
      </c>
      <c r="H4918" s="41" t="n">
        <v>11.6</v>
      </c>
      <c r="I4918" s="31" t="s">
        <v>64</v>
      </c>
      <c r="J4918" s="31"/>
      <c r="K4918" s="31" t="s">
        <v>150</v>
      </c>
      <c r="L4918" s="45" t="n">
        <f aca="false">DATE(YEAR(B4918),MONTH(B4918),1)</f>
        <v>46266</v>
      </c>
      <c r="M4918" s="31" t="n">
        <f aca="false">WEEKDAY(B4918,2)</f>
        <v>7</v>
      </c>
      <c r="N4918" s="31" t="str">
        <f aca="false">IF(G4918&lt;=INDEX(Assumptions!$B$15:$B$18,MATCH(E4918,Assumptions!$A$15:$A$18,0)),"Yes","No")</f>
        <v>Yes</v>
      </c>
      <c r="O4918" s="31" t="str">
        <f aca="false">IF(H4918="","Open",IF(H4918&lt;=INDEX(Assumptions!$C$15:$C$18,MATCH(E4918,Assumptions!$A$15:$A$18,0)),"Yes","No"))</f>
        <v>Yes</v>
      </c>
    </row>
    <row r="4919" customFormat="false" ht="15" hidden="false" customHeight="false" outlineLevel="0" collapsed="false">
      <c r="A4919" s="31" t="s">
        <v>5069</v>
      </c>
      <c r="B4919" s="44" t="n">
        <v>46271</v>
      </c>
      <c r="C4919" s="31" t="s">
        <v>58</v>
      </c>
      <c r="D4919" s="31" t="s">
        <v>66</v>
      </c>
      <c r="E4919" s="31" t="s">
        <v>52</v>
      </c>
      <c r="F4919" s="31" t="s">
        <v>131</v>
      </c>
      <c r="G4919" s="31" t="n">
        <v>3</v>
      </c>
      <c r="H4919" s="41" t="n">
        <v>1.1</v>
      </c>
      <c r="I4919" s="31" t="s">
        <v>149</v>
      </c>
      <c r="J4919" s="31" t="n">
        <v>5</v>
      </c>
      <c r="K4919" s="31" t="s">
        <v>150</v>
      </c>
      <c r="L4919" s="45" t="n">
        <f aca="false">DATE(YEAR(B4919),MONTH(B4919),1)</f>
        <v>46266</v>
      </c>
      <c r="M4919" s="31" t="n">
        <f aca="false">WEEKDAY(B4919,2)</f>
        <v>7</v>
      </c>
      <c r="N4919" s="31" t="str">
        <f aca="false">IF(G4919&lt;=INDEX(Assumptions!$B$15:$B$18,MATCH(E4919,Assumptions!$A$15:$A$18,0)),"Yes","No")</f>
        <v>Yes</v>
      </c>
      <c r="O4919" s="31" t="str">
        <f aca="false">IF(H4919="","Open",IF(H4919&lt;=INDEX(Assumptions!$C$15:$C$18,MATCH(E4919,Assumptions!$A$15:$A$18,0)),"Yes","No"))</f>
        <v>Yes</v>
      </c>
    </row>
    <row r="4920" customFormat="false" ht="15" hidden="false" customHeight="false" outlineLevel="0" collapsed="false">
      <c r="A4920" s="31" t="s">
        <v>5070</v>
      </c>
      <c r="B4920" s="44" t="n">
        <v>46271</v>
      </c>
      <c r="C4920" s="31" t="s">
        <v>59</v>
      </c>
      <c r="D4920" s="31" t="s">
        <v>65</v>
      </c>
      <c r="E4920" s="31" t="s">
        <v>51</v>
      </c>
      <c r="F4920" s="31" t="s">
        <v>137</v>
      </c>
      <c r="G4920" s="31" t="n">
        <v>73</v>
      </c>
      <c r="H4920" s="41" t="n">
        <v>8</v>
      </c>
      <c r="I4920" s="31" t="s">
        <v>149</v>
      </c>
      <c r="J4920" s="31" t="n">
        <v>4</v>
      </c>
      <c r="K4920" s="31" t="s">
        <v>150</v>
      </c>
      <c r="L4920" s="45" t="n">
        <f aca="false">DATE(YEAR(B4920),MONTH(B4920),1)</f>
        <v>46266</v>
      </c>
      <c r="M4920" s="31" t="n">
        <f aca="false">WEEKDAY(B4920,2)</f>
        <v>7</v>
      </c>
      <c r="N4920" s="31" t="str">
        <f aca="false">IF(G4920&lt;=INDEX(Assumptions!$B$15:$B$18,MATCH(E4920,Assumptions!$A$15:$A$18,0)),"Yes","No")</f>
        <v>No</v>
      </c>
      <c r="O4920" s="31" t="str">
        <f aca="false">IF(H4920="","Open",IF(H4920&lt;=INDEX(Assumptions!$C$15:$C$18,MATCH(E4920,Assumptions!$A$15:$A$18,0)),"Yes","No"))</f>
        <v>Yes</v>
      </c>
    </row>
    <row r="4921" customFormat="false" ht="15" hidden="false" customHeight="false" outlineLevel="0" collapsed="false">
      <c r="A4921" s="31" t="s">
        <v>5071</v>
      </c>
      <c r="B4921" s="44" t="n">
        <v>46271</v>
      </c>
      <c r="C4921" s="31" t="s">
        <v>60</v>
      </c>
      <c r="D4921" s="31" t="s">
        <v>67</v>
      </c>
      <c r="E4921" s="31" t="s">
        <v>51</v>
      </c>
      <c r="F4921" s="31" t="s">
        <v>136</v>
      </c>
      <c r="G4921" s="31" t="n">
        <v>1</v>
      </c>
      <c r="H4921" s="41" t="n">
        <v>29.3</v>
      </c>
      <c r="I4921" s="31" t="s">
        <v>149</v>
      </c>
      <c r="J4921" s="31" t="n">
        <v>3</v>
      </c>
      <c r="K4921" s="31" t="s">
        <v>150</v>
      </c>
      <c r="L4921" s="45" t="n">
        <f aca="false">DATE(YEAR(B4921),MONTH(B4921),1)</f>
        <v>46266</v>
      </c>
      <c r="M4921" s="31" t="n">
        <f aca="false">WEEKDAY(B4921,2)</f>
        <v>7</v>
      </c>
      <c r="N4921" s="31" t="str">
        <f aca="false">IF(G4921&lt;=INDEX(Assumptions!$B$15:$B$18,MATCH(E4921,Assumptions!$A$15:$A$18,0)),"Yes","No")</f>
        <v>Yes</v>
      </c>
      <c r="O4921" s="31" t="str">
        <f aca="false">IF(H4921="","Open",IF(H4921&lt;=INDEX(Assumptions!$C$15:$C$18,MATCH(E4921,Assumptions!$A$15:$A$18,0)),"Yes","No"))</f>
        <v>No</v>
      </c>
    </row>
    <row r="4922" customFormat="false" ht="15" hidden="false" customHeight="false" outlineLevel="0" collapsed="false">
      <c r="A4922" s="31" t="s">
        <v>5072</v>
      </c>
      <c r="B4922" s="44" t="n">
        <v>46271</v>
      </c>
      <c r="C4922" s="31" t="s">
        <v>60</v>
      </c>
      <c r="D4922" s="31" t="s">
        <v>65</v>
      </c>
      <c r="E4922" s="31" t="s">
        <v>51</v>
      </c>
      <c r="F4922" s="31" t="s">
        <v>133</v>
      </c>
      <c r="G4922" s="31" t="n">
        <v>1</v>
      </c>
      <c r="H4922" s="41" t="n">
        <v>21.5</v>
      </c>
      <c r="I4922" s="31" t="s">
        <v>149</v>
      </c>
      <c r="J4922" s="31" t="n">
        <v>4</v>
      </c>
      <c r="K4922" s="31" t="s">
        <v>150</v>
      </c>
      <c r="L4922" s="45" t="n">
        <f aca="false">DATE(YEAR(B4922),MONTH(B4922),1)</f>
        <v>46266</v>
      </c>
      <c r="M4922" s="31" t="n">
        <f aca="false">WEEKDAY(B4922,2)</f>
        <v>7</v>
      </c>
      <c r="N4922" s="31" t="str">
        <f aca="false">IF(G4922&lt;=INDEX(Assumptions!$B$15:$B$18,MATCH(E4922,Assumptions!$A$15:$A$18,0)),"Yes","No")</f>
        <v>Yes</v>
      </c>
      <c r="O4922" s="31" t="str">
        <f aca="false">IF(H4922="","Open",IF(H4922&lt;=INDEX(Assumptions!$C$15:$C$18,MATCH(E4922,Assumptions!$A$15:$A$18,0)),"Yes","No"))</f>
        <v>Yes</v>
      </c>
    </row>
    <row r="4923" customFormat="false" ht="15" hidden="false" customHeight="false" outlineLevel="0" collapsed="false">
      <c r="A4923" s="31" t="s">
        <v>5073</v>
      </c>
      <c r="B4923" s="44" t="n">
        <v>46271</v>
      </c>
      <c r="C4923" s="31" t="s">
        <v>59</v>
      </c>
      <c r="D4923" s="31" t="s">
        <v>65</v>
      </c>
      <c r="E4923" s="31" t="s">
        <v>51</v>
      </c>
      <c r="F4923" s="31" t="s">
        <v>121</v>
      </c>
      <c r="G4923" s="31" t="n">
        <v>335</v>
      </c>
      <c r="H4923" s="41" t="n">
        <v>10.5</v>
      </c>
      <c r="I4923" s="31" t="s">
        <v>149</v>
      </c>
      <c r="J4923" s="31" t="n">
        <v>4</v>
      </c>
      <c r="K4923" s="31" t="s">
        <v>150</v>
      </c>
      <c r="L4923" s="45" t="n">
        <f aca="false">DATE(YEAR(B4923),MONTH(B4923),1)</f>
        <v>46266</v>
      </c>
      <c r="M4923" s="31" t="n">
        <f aca="false">WEEKDAY(B4923,2)</f>
        <v>7</v>
      </c>
      <c r="N4923" s="31" t="str">
        <f aca="false">IF(G4923&lt;=INDEX(Assumptions!$B$15:$B$18,MATCH(E4923,Assumptions!$A$15:$A$18,0)),"Yes","No")</f>
        <v>No</v>
      </c>
      <c r="O4923" s="31" t="str">
        <f aca="false">IF(H4923="","Open",IF(H4923&lt;=INDEX(Assumptions!$C$15:$C$18,MATCH(E4923,Assumptions!$A$15:$A$18,0)),"Yes","No"))</f>
        <v>Yes</v>
      </c>
    </row>
    <row r="4924" customFormat="false" ht="15" hidden="false" customHeight="false" outlineLevel="0" collapsed="false">
      <c r="A4924" s="31" t="s">
        <v>5074</v>
      </c>
      <c r="B4924" s="44" t="n">
        <v>46271</v>
      </c>
      <c r="C4924" s="31" t="s">
        <v>57</v>
      </c>
      <c r="D4924" s="31" t="s">
        <v>67</v>
      </c>
      <c r="E4924" s="31" t="s">
        <v>50</v>
      </c>
      <c r="F4924" s="31" t="s">
        <v>134</v>
      </c>
      <c r="G4924" s="31" t="n">
        <v>6</v>
      </c>
      <c r="H4924" s="41" t="n">
        <v>18</v>
      </c>
      <c r="I4924" s="31" t="s">
        <v>149</v>
      </c>
      <c r="J4924" s="31" t="n">
        <v>4</v>
      </c>
      <c r="K4924" s="31" t="s">
        <v>153</v>
      </c>
      <c r="L4924" s="45" t="n">
        <f aca="false">DATE(YEAR(B4924),MONTH(B4924),1)</f>
        <v>46266</v>
      </c>
      <c r="M4924" s="31" t="n">
        <f aca="false">WEEKDAY(B4924,2)</f>
        <v>7</v>
      </c>
      <c r="N4924" s="31" t="str">
        <f aca="false">IF(G4924&lt;=INDEX(Assumptions!$B$15:$B$18,MATCH(E4924,Assumptions!$A$15:$A$18,0)),"Yes","No")</f>
        <v>Yes</v>
      </c>
      <c r="O4924" s="31" t="str">
        <f aca="false">IF(H4924="","Open",IF(H4924&lt;=INDEX(Assumptions!$C$15:$C$18,MATCH(E4924,Assumptions!$A$15:$A$18,0)),"Yes","No"))</f>
        <v>No</v>
      </c>
    </row>
    <row r="4925" customFormat="false" ht="15" hidden="false" customHeight="false" outlineLevel="0" collapsed="false">
      <c r="A4925" s="31" t="s">
        <v>5075</v>
      </c>
      <c r="B4925" s="44" t="n">
        <v>46271</v>
      </c>
      <c r="C4925" s="31" t="s">
        <v>57</v>
      </c>
      <c r="D4925" s="31" t="s">
        <v>65</v>
      </c>
      <c r="E4925" s="31" t="s">
        <v>52</v>
      </c>
      <c r="F4925" s="31" t="s">
        <v>137</v>
      </c>
      <c r="G4925" s="31" t="n">
        <v>8</v>
      </c>
      <c r="H4925" s="41" t="n">
        <v>50.1</v>
      </c>
      <c r="I4925" s="31" t="s">
        <v>64</v>
      </c>
      <c r="J4925" s="31" t="n">
        <v>3</v>
      </c>
      <c r="K4925" s="31" t="s">
        <v>150</v>
      </c>
      <c r="L4925" s="45" t="n">
        <f aca="false">DATE(YEAR(B4925),MONTH(B4925),1)</f>
        <v>46266</v>
      </c>
      <c r="M4925" s="31" t="n">
        <f aca="false">WEEKDAY(B4925,2)</f>
        <v>7</v>
      </c>
      <c r="N4925" s="31" t="str">
        <f aca="false">IF(G4925&lt;=INDEX(Assumptions!$B$15:$B$18,MATCH(E4925,Assumptions!$A$15:$A$18,0)),"Yes","No")</f>
        <v>Yes</v>
      </c>
      <c r="O4925" s="31" t="str">
        <f aca="false">IF(H4925="","Open",IF(H4925&lt;=INDEX(Assumptions!$C$15:$C$18,MATCH(E4925,Assumptions!$A$15:$A$18,0)),"Yes","No"))</f>
        <v>Yes</v>
      </c>
    </row>
    <row r="4926" customFormat="false" ht="15" hidden="false" customHeight="false" outlineLevel="0" collapsed="false">
      <c r="A4926" s="31" t="s">
        <v>5076</v>
      </c>
      <c r="B4926" s="44" t="n">
        <v>46271</v>
      </c>
      <c r="C4926" s="31" t="s">
        <v>58</v>
      </c>
      <c r="D4926" s="31" t="s">
        <v>66</v>
      </c>
      <c r="E4926" s="31" t="s">
        <v>51</v>
      </c>
      <c r="F4926" s="31" t="s">
        <v>123</v>
      </c>
      <c r="G4926" s="31" t="n">
        <v>5</v>
      </c>
      <c r="H4926" s="41" t="n">
        <v>5</v>
      </c>
      <c r="I4926" s="31" t="s">
        <v>149</v>
      </c>
      <c r="J4926" s="31" t="n">
        <v>4</v>
      </c>
      <c r="K4926" s="31" t="s">
        <v>150</v>
      </c>
      <c r="L4926" s="45" t="n">
        <f aca="false">DATE(YEAR(B4926),MONTH(B4926),1)</f>
        <v>46266</v>
      </c>
      <c r="M4926" s="31" t="n">
        <f aca="false">WEEKDAY(B4926,2)</f>
        <v>7</v>
      </c>
      <c r="N4926" s="31" t="str">
        <f aca="false">IF(G4926&lt;=INDEX(Assumptions!$B$15:$B$18,MATCH(E4926,Assumptions!$A$15:$A$18,0)),"Yes","No")</f>
        <v>Yes</v>
      </c>
      <c r="O4926" s="31" t="str">
        <f aca="false">IF(H4926="","Open",IF(H4926&lt;=INDEX(Assumptions!$C$15:$C$18,MATCH(E4926,Assumptions!$A$15:$A$18,0)),"Yes","No"))</f>
        <v>Yes</v>
      </c>
    </row>
    <row r="4927" customFormat="false" ht="15" hidden="false" customHeight="false" outlineLevel="0" collapsed="false">
      <c r="A4927" s="31" t="s">
        <v>5077</v>
      </c>
      <c r="B4927" s="44" t="n">
        <v>46271</v>
      </c>
      <c r="C4927" s="31" t="s">
        <v>58</v>
      </c>
      <c r="D4927" s="31" t="s">
        <v>67</v>
      </c>
      <c r="E4927" s="31" t="s">
        <v>52</v>
      </c>
      <c r="F4927" s="31" t="s">
        <v>123</v>
      </c>
      <c r="G4927" s="31" t="n">
        <v>39</v>
      </c>
      <c r="H4927" s="41" t="n">
        <v>48.9</v>
      </c>
      <c r="I4927" s="31" t="s">
        <v>149</v>
      </c>
      <c r="J4927" s="31"/>
      <c r="K4927" s="31" t="s">
        <v>150</v>
      </c>
      <c r="L4927" s="45" t="n">
        <f aca="false">DATE(YEAR(B4927),MONTH(B4927),1)</f>
        <v>46266</v>
      </c>
      <c r="M4927" s="31" t="n">
        <f aca="false">WEEKDAY(B4927,2)</f>
        <v>7</v>
      </c>
      <c r="N4927" s="31" t="str">
        <f aca="false">IF(G4927&lt;=INDEX(Assumptions!$B$15:$B$18,MATCH(E4927,Assumptions!$A$15:$A$18,0)),"Yes","No")</f>
        <v>Yes</v>
      </c>
      <c r="O4927" s="31" t="str">
        <f aca="false">IF(H4927="","Open",IF(H4927&lt;=INDEX(Assumptions!$C$15:$C$18,MATCH(E4927,Assumptions!$A$15:$A$18,0)),"Yes","No"))</f>
        <v>Yes</v>
      </c>
    </row>
    <row r="4928" customFormat="false" ht="15" hidden="false" customHeight="false" outlineLevel="0" collapsed="false">
      <c r="A4928" s="31" t="s">
        <v>5078</v>
      </c>
      <c r="B4928" s="44" t="n">
        <v>46271</v>
      </c>
      <c r="C4928" s="31" t="s">
        <v>60</v>
      </c>
      <c r="D4928" s="31" t="s">
        <v>67</v>
      </c>
      <c r="E4928" s="31" t="s">
        <v>49</v>
      </c>
      <c r="F4928" s="31" t="s">
        <v>124</v>
      </c>
      <c r="G4928" s="31" t="n">
        <v>1</v>
      </c>
      <c r="H4928" s="41" t="n">
        <v>16</v>
      </c>
      <c r="I4928" s="31" t="s">
        <v>149</v>
      </c>
      <c r="J4928" s="31" t="n">
        <v>3</v>
      </c>
      <c r="K4928" s="31" t="s">
        <v>150</v>
      </c>
      <c r="L4928" s="45" t="n">
        <f aca="false">DATE(YEAR(B4928),MONTH(B4928),1)</f>
        <v>46266</v>
      </c>
      <c r="M4928" s="31" t="n">
        <f aca="false">WEEKDAY(B4928,2)</f>
        <v>7</v>
      </c>
      <c r="N4928" s="31" t="str">
        <f aca="false">IF(G4928&lt;=INDEX(Assumptions!$B$15:$B$18,MATCH(E4928,Assumptions!$A$15:$A$18,0)),"Yes","No")</f>
        <v>Yes</v>
      </c>
      <c r="O4928" s="31" t="str">
        <f aca="false">IF(H4928="","Open",IF(H4928&lt;=INDEX(Assumptions!$C$15:$C$18,MATCH(E4928,Assumptions!$A$15:$A$18,0)),"Yes","No"))</f>
        <v>No</v>
      </c>
    </row>
    <row r="4929" customFormat="false" ht="15" hidden="false" customHeight="false" outlineLevel="0" collapsed="false">
      <c r="A4929" s="31" t="s">
        <v>5079</v>
      </c>
      <c r="B4929" s="44" t="n">
        <v>46271</v>
      </c>
      <c r="C4929" s="31" t="s">
        <v>58</v>
      </c>
      <c r="D4929" s="31" t="s">
        <v>65</v>
      </c>
      <c r="E4929" s="31" t="s">
        <v>52</v>
      </c>
      <c r="F4929" s="31" t="s">
        <v>135</v>
      </c>
      <c r="G4929" s="31" t="n">
        <v>7</v>
      </c>
      <c r="H4929" s="41" t="n">
        <v>57.7</v>
      </c>
      <c r="I4929" s="31" t="s">
        <v>149</v>
      </c>
      <c r="J4929" s="31" t="n">
        <v>3</v>
      </c>
      <c r="K4929" s="31" t="s">
        <v>153</v>
      </c>
      <c r="L4929" s="45" t="n">
        <f aca="false">DATE(YEAR(B4929),MONTH(B4929),1)</f>
        <v>46266</v>
      </c>
      <c r="M4929" s="31" t="n">
        <f aca="false">WEEKDAY(B4929,2)</f>
        <v>7</v>
      </c>
      <c r="N4929" s="31" t="str">
        <f aca="false">IF(G4929&lt;=INDEX(Assumptions!$B$15:$B$18,MATCH(E4929,Assumptions!$A$15:$A$18,0)),"Yes","No")</f>
        <v>Yes</v>
      </c>
      <c r="O4929" s="31" t="str">
        <f aca="false">IF(H4929="","Open",IF(H4929&lt;=INDEX(Assumptions!$C$15:$C$18,MATCH(E4929,Assumptions!$A$15:$A$18,0)),"Yes","No"))</f>
        <v>Yes</v>
      </c>
    </row>
    <row r="4930" customFormat="false" ht="15" hidden="false" customHeight="false" outlineLevel="0" collapsed="false">
      <c r="A4930" s="31" t="s">
        <v>5080</v>
      </c>
      <c r="B4930" s="44" t="n">
        <v>46271</v>
      </c>
      <c r="C4930" s="31" t="s">
        <v>60</v>
      </c>
      <c r="D4930" s="31" t="s">
        <v>65</v>
      </c>
      <c r="E4930" s="31" t="s">
        <v>49</v>
      </c>
      <c r="F4930" s="31" t="s">
        <v>128</v>
      </c>
      <c r="G4930" s="31" t="n">
        <v>1</v>
      </c>
      <c r="H4930" s="41" t="n">
        <v>16.6</v>
      </c>
      <c r="I4930" s="31" t="s">
        <v>149</v>
      </c>
      <c r="J4930" s="31" t="n">
        <v>4</v>
      </c>
      <c r="K4930" s="31" t="s">
        <v>150</v>
      </c>
      <c r="L4930" s="45" t="n">
        <f aca="false">DATE(YEAR(B4930),MONTH(B4930),1)</f>
        <v>46266</v>
      </c>
      <c r="M4930" s="31" t="n">
        <f aca="false">WEEKDAY(B4930,2)</f>
        <v>7</v>
      </c>
      <c r="N4930" s="31" t="str">
        <f aca="false">IF(G4930&lt;=INDEX(Assumptions!$B$15:$B$18,MATCH(E4930,Assumptions!$A$15:$A$18,0)),"Yes","No")</f>
        <v>Yes</v>
      </c>
      <c r="O4930" s="31" t="str">
        <f aca="false">IF(H4930="","Open",IF(H4930&lt;=INDEX(Assumptions!$C$15:$C$18,MATCH(E4930,Assumptions!$A$15:$A$18,0)),"Yes","No"))</f>
        <v>No</v>
      </c>
    </row>
    <row r="4931" customFormat="false" ht="15" hidden="false" customHeight="false" outlineLevel="0" collapsed="false">
      <c r="A4931" s="31" t="s">
        <v>5081</v>
      </c>
      <c r="B4931" s="44" t="n">
        <v>46271</v>
      </c>
      <c r="C4931" s="31" t="s">
        <v>58</v>
      </c>
      <c r="D4931" s="31" t="s">
        <v>65</v>
      </c>
      <c r="E4931" s="31" t="s">
        <v>52</v>
      </c>
      <c r="F4931" s="31" t="s">
        <v>127</v>
      </c>
      <c r="G4931" s="31" t="n">
        <v>14</v>
      </c>
      <c r="H4931" s="41" t="n">
        <v>68.5</v>
      </c>
      <c r="I4931" s="31" t="s">
        <v>149</v>
      </c>
      <c r="J4931" s="31" t="n">
        <v>5</v>
      </c>
      <c r="K4931" s="31" t="s">
        <v>150</v>
      </c>
      <c r="L4931" s="45" t="n">
        <f aca="false">DATE(YEAR(B4931),MONTH(B4931),1)</f>
        <v>46266</v>
      </c>
      <c r="M4931" s="31" t="n">
        <f aca="false">WEEKDAY(B4931,2)</f>
        <v>7</v>
      </c>
      <c r="N4931" s="31" t="str">
        <f aca="false">IF(G4931&lt;=INDEX(Assumptions!$B$15:$B$18,MATCH(E4931,Assumptions!$A$15:$A$18,0)),"Yes","No")</f>
        <v>Yes</v>
      </c>
      <c r="O4931" s="31" t="str">
        <f aca="false">IF(H4931="","Open",IF(H4931&lt;=INDEX(Assumptions!$C$15:$C$18,MATCH(E4931,Assumptions!$A$15:$A$18,0)),"Yes","No"))</f>
        <v>Yes</v>
      </c>
    </row>
    <row r="4932" customFormat="false" ht="15" hidden="false" customHeight="false" outlineLevel="0" collapsed="false">
      <c r="A4932" s="31" t="s">
        <v>5082</v>
      </c>
      <c r="B4932" s="44" t="n">
        <v>46271</v>
      </c>
      <c r="C4932" s="31" t="s">
        <v>57</v>
      </c>
      <c r="D4932" s="31" t="s">
        <v>66</v>
      </c>
      <c r="E4932" s="31" t="s">
        <v>52</v>
      </c>
      <c r="F4932" s="31" t="s">
        <v>119</v>
      </c>
      <c r="G4932" s="31" t="n">
        <v>6</v>
      </c>
      <c r="H4932" s="41" t="n">
        <v>2.8</v>
      </c>
      <c r="I4932" s="31" t="s">
        <v>149</v>
      </c>
      <c r="J4932" s="31" t="n">
        <v>4</v>
      </c>
      <c r="K4932" s="31" t="s">
        <v>150</v>
      </c>
      <c r="L4932" s="45" t="n">
        <f aca="false">DATE(YEAR(B4932),MONTH(B4932),1)</f>
        <v>46266</v>
      </c>
      <c r="M4932" s="31" t="n">
        <f aca="false">WEEKDAY(B4932,2)</f>
        <v>7</v>
      </c>
      <c r="N4932" s="31" t="str">
        <f aca="false">IF(G4932&lt;=INDEX(Assumptions!$B$15:$B$18,MATCH(E4932,Assumptions!$A$15:$A$18,0)),"Yes","No")</f>
        <v>Yes</v>
      </c>
      <c r="O4932" s="31" t="str">
        <f aca="false">IF(H4932="","Open",IF(H4932&lt;=INDEX(Assumptions!$C$15:$C$18,MATCH(E4932,Assumptions!$A$15:$A$18,0)),"Yes","No"))</f>
        <v>Yes</v>
      </c>
    </row>
    <row r="4933" customFormat="false" ht="15" hidden="false" customHeight="false" outlineLevel="0" collapsed="false">
      <c r="A4933" s="31" t="s">
        <v>5083</v>
      </c>
      <c r="B4933" s="44" t="n">
        <v>46271</v>
      </c>
      <c r="C4933" s="31" t="s">
        <v>58</v>
      </c>
      <c r="D4933" s="31" t="s">
        <v>65</v>
      </c>
      <c r="E4933" s="31" t="s">
        <v>52</v>
      </c>
      <c r="F4933" s="31" t="s">
        <v>130</v>
      </c>
      <c r="G4933" s="31" t="n">
        <v>28</v>
      </c>
      <c r="H4933" s="41" t="n">
        <v>51.7</v>
      </c>
      <c r="I4933" s="31" t="s">
        <v>149</v>
      </c>
      <c r="J4933" s="31" t="n">
        <v>5</v>
      </c>
      <c r="K4933" s="31" t="s">
        <v>150</v>
      </c>
      <c r="L4933" s="45" t="n">
        <f aca="false">DATE(YEAR(B4933),MONTH(B4933),1)</f>
        <v>46266</v>
      </c>
      <c r="M4933" s="31" t="n">
        <f aca="false">WEEKDAY(B4933,2)</f>
        <v>7</v>
      </c>
      <c r="N4933" s="31" t="str">
        <f aca="false">IF(G4933&lt;=INDEX(Assumptions!$B$15:$B$18,MATCH(E4933,Assumptions!$A$15:$A$18,0)),"Yes","No")</f>
        <v>Yes</v>
      </c>
      <c r="O4933" s="31" t="str">
        <f aca="false">IF(H4933="","Open",IF(H4933&lt;=INDEX(Assumptions!$C$15:$C$18,MATCH(E4933,Assumptions!$A$15:$A$18,0)),"Yes","No"))</f>
        <v>Yes</v>
      </c>
    </row>
    <row r="4934" customFormat="false" ht="15" hidden="false" customHeight="false" outlineLevel="0" collapsed="false">
      <c r="A4934" s="31" t="s">
        <v>5084</v>
      </c>
      <c r="B4934" s="44" t="n">
        <v>46271</v>
      </c>
      <c r="C4934" s="31" t="s">
        <v>59</v>
      </c>
      <c r="D4934" s="31" t="s">
        <v>65</v>
      </c>
      <c r="E4934" s="31" t="s">
        <v>51</v>
      </c>
      <c r="F4934" s="31" t="s">
        <v>122</v>
      </c>
      <c r="G4934" s="31" t="n">
        <v>36</v>
      </c>
      <c r="H4934" s="41" t="n">
        <v>17.1</v>
      </c>
      <c r="I4934" s="31" t="s">
        <v>149</v>
      </c>
      <c r="J4934" s="31"/>
      <c r="K4934" s="31" t="s">
        <v>153</v>
      </c>
      <c r="L4934" s="45" t="n">
        <f aca="false">DATE(YEAR(B4934),MONTH(B4934),1)</f>
        <v>46266</v>
      </c>
      <c r="M4934" s="31" t="n">
        <f aca="false">WEEKDAY(B4934,2)</f>
        <v>7</v>
      </c>
      <c r="N4934" s="31" t="str">
        <f aca="false">IF(G4934&lt;=INDEX(Assumptions!$B$15:$B$18,MATCH(E4934,Assumptions!$A$15:$A$18,0)),"Yes","No")</f>
        <v>Yes</v>
      </c>
      <c r="O4934" s="31" t="str">
        <f aca="false">IF(H4934="","Open",IF(H4934&lt;=INDEX(Assumptions!$C$15:$C$18,MATCH(E4934,Assumptions!$A$15:$A$18,0)),"Yes","No"))</f>
        <v>Yes</v>
      </c>
    </row>
    <row r="4935" customFormat="false" ht="15" hidden="false" customHeight="false" outlineLevel="0" collapsed="false">
      <c r="A4935" s="31" t="s">
        <v>5085</v>
      </c>
      <c r="B4935" s="44" t="n">
        <v>46271</v>
      </c>
      <c r="C4935" s="31" t="s">
        <v>57</v>
      </c>
      <c r="D4935" s="31" t="s">
        <v>66</v>
      </c>
      <c r="E4935" s="31" t="s">
        <v>52</v>
      </c>
      <c r="F4935" s="31" t="s">
        <v>128</v>
      </c>
      <c r="G4935" s="31" t="n">
        <v>6</v>
      </c>
      <c r="H4935" s="41" t="n">
        <v>5.4</v>
      </c>
      <c r="I4935" s="31" t="s">
        <v>149</v>
      </c>
      <c r="J4935" s="31" t="n">
        <v>5</v>
      </c>
      <c r="K4935" s="31" t="s">
        <v>150</v>
      </c>
      <c r="L4935" s="45" t="n">
        <f aca="false">DATE(YEAR(B4935),MONTH(B4935),1)</f>
        <v>46266</v>
      </c>
      <c r="M4935" s="31" t="n">
        <f aca="false">WEEKDAY(B4935,2)</f>
        <v>7</v>
      </c>
      <c r="N4935" s="31" t="str">
        <f aca="false">IF(G4935&lt;=INDEX(Assumptions!$B$15:$B$18,MATCH(E4935,Assumptions!$A$15:$A$18,0)),"Yes","No")</f>
        <v>Yes</v>
      </c>
      <c r="O4935" s="31" t="str">
        <f aca="false">IF(H4935="","Open",IF(H4935&lt;=INDEX(Assumptions!$C$15:$C$18,MATCH(E4935,Assumptions!$A$15:$A$18,0)),"Yes","No"))</f>
        <v>Yes</v>
      </c>
    </row>
    <row r="4936" customFormat="false" ht="15" hidden="false" customHeight="false" outlineLevel="0" collapsed="false">
      <c r="A4936" s="31" t="s">
        <v>5086</v>
      </c>
      <c r="B4936" s="44" t="n">
        <v>46271</v>
      </c>
      <c r="C4936" s="31" t="s">
        <v>57</v>
      </c>
      <c r="D4936" s="31" t="s">
        <v>69</v>
      </c>
      <c r="E4936" s="31" t="s">
        <v>51</v>
      </c>
      <c r="F4936" s="31" t="s">
        <v>122</v>
      </c>
      <c r="G4936" s="31" t="n">
        <v>5</v>
      </c>
      <c r="H4936" s="41" t="n">
        <v>17.4</v>
      </c>
      <c r="I4936" s="31" t="s">
        <v>149</v>
      </c>
      <c r="J4936" s="31"/>
      <c r="K4936" s="31" t="s">
        <v>150</v>
      </c>
      <c r="L4936" s="45" t="n">
        <f aca="false">DATE(YEAR(B4936),MONTH(B4936),1)</f>
        <v>46266</v>
      </c>
      <c r="M4936" s="31" t="n">
        <f aca="false">WEEKDAY(B4936,2)</f>
        <v>7</v>
      </c>
      <c r="N4936" s="31" t="str">
        <f aca="false">IF(G4936&lt;=INDEX(Assumptions!$B$15:$B$18,MATCH(E4936,Assumptions!$A$15:$A$18,0)),"Yes","No")</f>
        <v>Yes</v>
      </c>
      <c r="O4936" s="31" t="str">
        <f aca="false">IF(H4936="","Open",IF(H4936&lt;=INDEX(Assumptions!$C$15:$C$18,MATCH(E4936,Assumptions!$A$15:$A$18,0)),"Yes","No"))</f>
        <v>Yes</v>
      </c>
    </row>
    <row r="4937" customFormat="false" ht="15" hidden="false" customHeight="false" outlineLevel="0" collapsed="false">
      <c r="A4937" s="31" t="s">
        <v>5087</v>
      </c>
      <c r="B4937" s="44" t="n">
        <v>46271</v>
      </c>
      <c r="C4937" s="31" t="s">
        <v>57</v>
      </c>
      <c r="D4937" s="31" t="s">
        <v>67</v>
      </c>
      <c r="E4937" s="31" t="s">
        <v>51</v>
      </c>
      <c r="F4937" s="31" t="s">
        <v>120</v>
      </c>
      <c r="G4937" s="31" t="n">
        <v>10</v>
      </c>
      <c r="H4937" s="41" t="n">
        <v>21.5</v>
      </c>
      <c r="I4937" s="31" t="s">
        <v>149</v>
      </c>
      <c r="J4937" s="31" t="n">
        <v>4</v>
      </c>
      <c r="K4937" s="31" t="s">
        <v>150</v>
      </c>
      <c r="L4937" s="45" t="n">
        <f aca="false">DATE(YEAR(B4937),MONTH(B4937),1)</f>
        <v>46266</v>
      </c>
      <c r="M4937" s="31" t="n">
        <f aca="false">WEEKDAY(B4937,2)</f>
        <v>7</v>
      </c>
      <c r="N4937" s="31" t="str">
        <f aca="false">IF(G4937&lt;=INDEX(Assumptions!$B$15:$B$18,MATCH(E4937,Assumptions!$A$15:$A$18,0)),"Yes","No")</f>
        <v>Yes</v>
      </c>
      <c r="O4937" s="31" t="str">
        <f aca="false">IF(H4937="","Open",IF(H4937&lt;=INDEX(Assumptions!$C$15:$C$18,MATCH(E4937,Assumptions!$A$15:$A$18,0)),"Yes","No"))</f>
        <v>Yes</v>
      </c>
    </row>
    <row r="4938" customFormat="false" ht="15" hidden="false" customHeight="false" outlineLevel="0" collapsed="false">
      <c r="A4938" s="31" t="s">
        <v>5088</v>
      </c>
      <c r="B4938" s="44" t="n">
        <v>46271</v>
      </c>
      <c r="C4938" s="31" t="s">
        <v>57</v>
      </c>
      <c r="D4938" s="31" t="s">
        <v>68</v>
      </c>
      <c r="E4938" s="31" t="s">
        <v>51</v>
      </c>
      <c r="F4938" s="31" t="s">
        <v>133</v>
      </c>
      <c r="G4938" s="31" t="n">
        <v>1</v>
      </c>
      <c r="H4938" s="41" t="n">
        <v>4.8</v>
      </c>
      <c r="I4938" s="31" t="s">
        <v>149</v>
      </c>
      <c r="J4938" s="31"/>
      <c r="K4938" s="31" t="s">
        <v>150</v>
      </c>
      <c r="L4938" s="45" t="n">
        <f aca="false">DATE(YEAR(B4938),MONTH(B4938),1)</f>
        <v>46266</v>
      </c>
      <c r="M4938" s="31" t="n">
        <f aca="false">WEEKDAY(B4938,2)</f>
        <v>7</v>
      </c>
      <c r="N4938" s="31" t="str">
        <f aca="false">IF(G4938&lt;=INDEX(Assumptions!$B$15:$B$18,MATCH(E4938,Assumptions!$A$15:$A$18,0)),"Yes","No")</f>
        <v>Yes</v>
      </c>
      <c r="O4938" s="31" t="str">
        <f aca="false">IF(H4938="","Open",IF(H4938&lt;=INDEX(Assumptions!$C$15:$C$18,MATCH(E4938,Assumptions!$A$15:$A$18,0)),"Yes","No"))</f>
        <v>Yes</v>
      </c>
    </row>
    <row r="4939" customFormat="false" ht="15" hidden="false" customHeight="false" outlineLevel="0" collapsed="false">
      <c r="A4939" s="31" t="s">
        <v>5089</v>
      </c>
      <c r="B4939" s="44" t="n">
        <v>46271</v>
      </c>
      <c r="C4939" s="31" t="s">
        <v>57</v>
      </c>
      <c r="D4939" s="31" t="s">
        <v>67</v>
      </c>
      <c r="E4939" s="31" t="s">
        <v>50</v>
      </c>
      <c r="F4939" s="31" t="s">
        <v>126</v>
      </c>
      <c r="G4939" s="31" t="n">
        <v>3</v>
      </c>
      <c r="H4939" s="41" t="n">
        <v>8.9</v>
      </c>
      <c r="I4939" s="31" t="s">
        <v>149</v>
      </c>
      <c r="J4939" s="31" t="n">
        <v>3</v>
      </c>
      <c r="K4939" s="31" t="s">
        <v>150</v>
      </c>
      <c r="L4939" s="45" t="n">
        <f aca="false">DATE(YEAR(B4939),MONTH(B4939),1)</f>
        <v>46266</v>
      </c>
      <c r="M4939" s="31" t="n">
        <f aca="false">WEEKDAY(B4939,2)</f>
        <v>7</v>
      </c>
      <c r="N4939" s="31" t="str">
        <f aca="false">IF(G4939&lt;=INDEX(Assumptions!$B$15:$B$18,MATCH(E4939,Assumptions!$A$15:$A$18,0)),"Yes","No")</f>
        <v>Yes</v>
      </c>
      <c r="O4939" s="31" t="str">
        <f aca="false">IF(H4939="","Open",IF(H4939&lt;=INDEX(Assumptions!$C$15:$C$18,MATCH(E4939,Assumptions!$A$15:$A$18,0)),"Yes","No"))</f>
        <v>No</v>
      </c>
    </row>
    <row r="4940" customFormat="false" ht="15" hidden="false" customHeight="false" outlineLevel="0" collapsed="false">
      <c r="A4940" s="31" t="s">
        <v>5090</v>
      </c>
      <c r="B4940" s="44" t="n">
        <v>46271</v>
      </c>
      <c r="C4940" s="31" t="s">
        <v>57</v>
      </c>
      <c r="D4940" s="31" t="s">
        <v>68</v>
      </c>
      <c r="E4940" s="31" t="s">
        <v>51</v>
      </c>
      <c r="F4940" s="31" t="s">
        <v>119</v>
      </c>
      <c r="G4940" s="31" t="n">
        <v>3</v>
      </c>
      <c r="H4940" s="41" t="n">
        <v>3.2</v>
      </c>
      <c r="I4940" s="31" t="s">
        <v>149</v>
      </c>
      <c r="J4940" s="31" t="n">
        <v>4</v>
      </c>
      <c r="K4940" s="31" t="s">
        <v>150</v>
      </c>
      <c r="L4940" s="45" t="n">
        <f aca="false">DATE(YEAR(B4940),MONTH(B4940),1)</f>
        <v>46266</v>
      </c>
      <c r="M4940" s="31" t="n">
        <f aca="false">WEEKDAY(B4940,2)</f>
        <v>7</v>
      </c>
      <c r="N4940" s="31" t="str">
        <f aca="false">IF(G4940&lt;=INDEX(Assumptions!$B$15:$B$18,MATCH(E4940,Assumptions!$A$15:$A$18,0)),"Yes","No")</f>
        <v>Yes</v>
      </c>
      <c r="O4940" s="31" t="str">
        <f aca="false">IF(H4940="","Open",IF(H4940&lt;=INDEX(Assumptions!$C$15:$C$18,MATCH(E4940,Assumptions!$A$15:$A$18,0)),"Yes","No"))</f>
        <v>Yes</v>
      </c>
    </row>
    <row r="4941" customFormat="false" ht="15" hidden="false" customHeight="false" outlineLevel="0" collapsed="false">
      <c r="A4941" s="31" t="s">
        <v>5091</v>
      </c>
      <c r="B4941" s="44" t="n">
        <v>46271</v>
      </c>
      <c r="C4941" s="31" t="s">
        <v>58</v>
      </c>
      <c r="D4941" s="31" t="s">
        <v>66</v>
      </c>
      <c r="E4941" s="31" t="s">
        <v>51</v>
      </c>
      <c r="F4941" s="31" t="s">
        <v>126</v>
      </c>
      <c r="G4941" s="31" t="n">
        <v>14</v>
      </c>
      <c r="H4941" s="41" t="n">
        <v>4.2</v>
      </c>
      <c r="I4941" s="31" t="s">
        <v>149</v>
      </c>
      <c r="J4941" s="31"/>
      <c r="K4941" s="31" t="s">
        <v>150</v>
      </c>
      <c r="L4941" s="45" t="n">
        <f aca="false">DATE(YEAR(B4941),MONTH(B4941),1)</f>
        <v>46266</v>
      </c>
      <c r="M4941" s="31" t="n">
        <f aca="false">WEEKDAY(B4941,2)</f>
        <v>7</v>
      </c>
      <c r="N4941" s="31" t="str">
        <f aca="false">IF(G4941&lt;=INDEX(Assumptions!$B$15:$B$18,MATCH(E4941,Assumptions!$A$15:$A$18,0)),"Yes","No")</f>
        <v>Yes</v>
      </c>
      <c r="O4941" s="31" t="str">
        <f aca="false">IF(H4941="","Open",IF(H4941&lt;=INDEX(Assumptions!$C$15:$C$18,MATCH(E4941,Assumptions!$A$15:$A$18,0)),"Yes","No"))</f>
        <v>Yes</v>
      </c>
    </row>
    <row r="4942" customFormat="false" ht="15" hidden="false" customHeight="false" outlineLevel="0" collapsed="false">
      <c r="A4942" s="31" t="s">
        <v>5092</v>
      </c>
      <c r="B4942" s="44" t="n">
        <v>46271</v>
      </c>
      <c r="C4942" s="31" t="s">
        <v>57</v>
      </c>
      <c r="D4942" s="31" t="s">
        <v>68</v>
      </c>
      <c r="E4942" s="31" t="s">
        <v>52</v>
      </c>
      <c r="F4942" s="31" t="s">
        <v>129</v>
      </c>
      <c r="G4942" s="31" t="n">
        <v>6</v>
      </c>
      <c r="H4942" s="41" t="n">
        <v>5.2</v>
      </c>
      <c r="I4942" s="31" t="s">
        <v>149</v>
      </c>
      <c r="J4942" s="31"/>
      <c r="K4942" s="31" t="s">
        <v>150</v>
      </c>
      <c r="L4942" s="45" t="n">
        <f aca="false">DATE(YEAR(B4942),MONTH(B4942),1)</f>
        <v>46266</v>
      </c>
      <c r="M4942" s="31" t="n">
        <f aca="false">WEEKDAY(B4942,2)</f>
        <v>7</v>
      </c>
      <c r="N4942" s="31" t="str">
        <f aca="false">IF(G4942&lt;=INDEX(Assumptions!$B$15:$B$18,MATCH(E4942,Assumptions!$A$15:$A$18,0)),"Yes","No")</f>
        <v>Yes</v>
      </c>
      <c r="O4942" s="31" t="str">
        <f aca="false">IF(H4942="","Open",IF(H4942&lt;=INDEX(Assumptions!$C$15:$C$18,MATCH(E4942,Assumptions!$A$15:$A$18,0)),"Yes","No"))</f>
        <v>Yes</v>
      </c>
    </row>
    <row r="4943" customFormat="false" ht="15" hidden="false" customHeight="false" outlineLevel="0" collapsed="false">
      <c r="A4943" s="31" t="s">
        <v>5093</v>
      </c>
      <c r="B4943" s="44" t="n">
        <v>46271</v>
      </c>
      <c r="C4943" s="31" t="s">
        <v>59</v>
      </c>
      <c r="D4943" s="31" t="s">
        <v>67</v>
      </c>
      <c r="E4943" s="31" t="s">
        <v>51</v>
      </c>
      <c r="F4943" s="31" t="s">
        <v>129</v>
      </c>
      <c r="G4943" s="31" t="n">
        <v>42</v>
      </c>
      <c r="H4943" s="41" t="n">
        <v>9.7</v>
      </c>
      <c r="I4943" s="31" t="s">
        <v>149</v>
      </c>
      <c r="J4943" s="31"/>
      <c r="K4943" s="31" t="s">
        <v>150</v>
      </c>
      <c r="L4943" s="45" t="n">
        <f aca="false">DATE(YEAR(B4943),MONTH(B4943),1)</f>
        <v>46266</v>
      </c>
      <c r="M4943" s="31" t="n">
        <f aca="false">WEEKDAY(B4943,2)</f>
        <v>7</v>
      </c>
      <c r="N4943" s="31" t="str">
        <f aca="false">IF(G4943&lt;=INDEX(Assumptions!$B$15:$B$18,MATCH(E4943,Assumptions!$A$15:$A$18,0)),"Yes","No")</f>
        <v>Yes</v>
      </c>
      <c r="O4943" s="31" t="str">
        <f aca="false">IF(H4943="","Open",IF(H4943&lt;=INDEX(Assumptions!$C$15:$C$18,MATCH(E4943,Assumptions!$A$15:$A$18,0)),"Yes","No"))</f>
        <v>Yes</v>
      </c>
    </row>
    <row r="4944" customFormat="false" ht="15" hidden="false" customHeight="false" outlineLevel="0" collapsed="false">
      <c r="A4944" s="31" t="s">
        <v>5094</v>
      </c>
      <c r="B4944" s="44" t="n">
        <v>46271</v>
      </c>
      <c r="C4944" s="31" t="s">
        <v>59</v>
      </c>
      <c r="D4944" s="31" t="s">
        <v>68</v>
      </c>
      <c r="E4944" s="31" t="s">
        <v>51</v>
      </c>
      <c r="F4944" s="31" t="s">
        <v>129</v>
      </c>
      <c r="G4944" s="31" t="n">
        <v>123</v>
      </c>
      <c r="H4944" s="41" t="n">
        <v>10.4</v>
      </c>
      <c r="I4944" s="31" t="s">
        <v>64</v>
      </c>
      <c r="J4944" s="31" t="n">
        <v>3</v>
      </c>
      <c r="K4944" s="31" t="s">
        <v>150</v>
      </c>
      <c r="L4944" s="45" t="n">
        <f aca="false">DATE(YEAR(B4944),MONTH(B4944),1)</f>
        <v>46266</v>
      </c>
      <c r="M4944" s="31" t="n">
        <f aca="false">WEEKDAY(B4944,2)</f>
        <v>7</v>
      </c>
      <c r="N4944" s="31" t="str">
        <f aca="false">IF(G4944&lt;=INDEX(Assumptions!$B$15:$B$18,MATCH(E4944,Assumptions!$A$15:$A$18,0)),"Yes","No")</f>
        <v>No</v>
      </c>
      <c r="O4944" s="31" t="str">
        <f aca="false">IF(H4944="","Open",IF(H4944&lt;=INDEX(Assumptions!$C$15:$C$18,MATCH(E4944,Assumptions!$A$15:$A$18,0)),"Yes","No"))</f>
        <v>Yes</v>
      </c>
    </row>
    <row r="4945" customFormat="false" ht="15" hidden="false" customHeight="false" outlineLevel="0" collapsed="false">
      <c r="A4945" s="31" t="s">
        <v>5095</v>
      </c>
      <c r="B4945" s="44" t="n">
        <v>46271</v>
      </c>
      <c r="C4945" s="31" t="s">
        <v>59</v>
      </c>
      <c r="D4945" s="31" t="s">
        <v>66</v>
      </c>
      <c r="E4945" s="31" t="s">
        <v>51</v>
      </c>
      <c r="F4945" s="31" t="s">
        <v>137</v>
      </c>
      <c r="G4945" s="31" t="n">
        <v>37</v>
      </c>
      <c r="H4945" s="41" t="n">
        <v>2.8</v>
      </c>
      <c r="I4945" s="31" t="s">
        <v>149</v>
      </c>
      <c r="J4945" s="31" t="n">
        <v>3</v>
      </c>
      <c r="K4945" s="31" t="s">
        <v>150</v>
      </c>
      <c r="L4945" s="45" t="n">
        <f aca="false">DATE(YEAR(B4945),MONTH(B4945),1)</f>
        <v>46266</v>
      </c>
      <c r="M4945" s="31" t="n">
        <f aca="false">WEEKDAY(B4945,2)</f>
        <v>7</v>
      </c>
      <c r="N4945" s="31" t="str">
        <f aca="false">IF(G4945&lt;=INDEX(Assumptions!$B$15:$B$18,MATCH(E4945,Assumptions!$A$15:$A$18,0)),"Yes","No")</f>
        <v>Yes</v>
      </c>
      <c r="O4945" s="31" t="str">
        <f aca="false">IF(H4945="","Open",IF(H4945&lt;=INDEX(Assumptions!$C$15:$C$18,MATCH(E4945,Assumptions!$A$15:$A$18,0)),"Yes","No"))</f>
        <v>Yes</v>
      </c>
    </row>
    <row r="4946" customFormat="false" ht="15" hidden="false" customHeight="false" outlineLevel="0" collapsed="false">
      <c r="A4946" s="31" t="s">
        <v>5096</v>
      </c>
      <c r="B4946" s="44" t="n">
        <v>46271</v>
      </c>
      <c r="C4946" s="31" t="s">
        <v>58</v>
      </c>
      <c r="D4946" s="31" t="s">
        <v>66</v>
      </c>
      <c r="E4946" s="31" t="s">
        <v>52</v>
      </c>
      <c r="F4946" s="31" t="s">
        <v>120</v>
      </c>
      <c r="G4946" s="31" t="n">
        <v>9</v>
      </c>
      <c r="H4946" s="41" t="n">
        <v>87.4</v>
      </c>
      <c r="I4946" s="31" t="s">
        <v>149</v>
      </c>
      <c r="J4946" s="31"/>
      <c r="K4946" s="31" t="s">
        <v>150</v>
      </c>
      <c r="L4946" s="45" t="n">
        <f aca="false">DATE(YEAR(B4946),MONTH(B4946),1)</f>
        <v>46266</v>
      </c>
      <c r="M4946" s="31" t="n">
        <f aca="false">WEEKDAY(B4946,2)</f>
        <v>7</v>
      </c>
      <c r="N4946" s="31" t="str">
        <f aca="false">IF(G4946&lt;=INDEX(Assumptions!$B$15:$B$18,MATCH(E4946,Assumptions!$A$15:$A$18,0)),"Yes","No")</f>
        <v>Yes</v>
      </c>
      <c r="O4946" s="31" t="str">
        <f aca="false">IF(H4946="","Open",IF(H4946&lt;=INDEX(Assumptions!$C$15:$C$18,MATCH(E4946,Assumptions!$A$15:$A$18,0)),"Yes","No"))</f>
        <v>No</v>
      </c>
    </row>
    <row r="4947" customFormat="false" ht="15" hidden="false" customHeight="false" outlineLevel="0" collapsed="false">
      <c r="A4947" s="31" t="s">
        <v>5097</v>
      </c>
      <c r="B4947" s="44" t="n">
        <v>46271</v>
      </c>
      <c r="C4947" s="31" t="s">
        <v>58</v>
      </c>
      <c r="D4947" s="31" t="s">
        <v>65</v>
      </c>
      <c r="E4947" s="31" t="s">
        <v>51</v>
      </c>
      <c r="F4947" s="31" t="s">
        <v>137</v>
      </c>
      <c r="G4947" s="31" t="n">
        <v>4</v>
      </c>
      <c r="H4947" s="41" t="n">
        <v>32.3</v>
      </c>
      <c r="I4947" s="31" t="s">
        <v>149</v>
      </c>
      <c r="J4947" s="31" t="n">
        <v>4</v>
      </c>
      <c r="K4947" s="31" t="s">
        <v>150</v>
      </c>
      <c r="L4947" s="45" t="n">
        <f aca="false">DATE(YEAR(B4947),MONTH(B4947),1)</f>
        <v>46266</v>
      </c>
      <c r="M4947" s="31" t="n">
        <f aca="false">WEEKDAY(B4947,2)</f>
        <v>7</v>
      </c>
      <c r="N4947" s="31" t="str">
        <f aca="false">IF(G4947&lt;=INDEX(Assumptions!$B$15:$B$18,MATCH(E4947,Assumptions!$A$15:$A$18,0)),"Yes","No")</f>
        <v>Yes</v>
      </c>
      <c r="O4947" s="31" t="str">
        <f aca="false">IF(H4947="","Open",IF(H4947&lt;=INDEX(Assumptions!$C$15:$C$18,MATCH(E4947,Assumptions!$A$15:$A$18,0)),"Yes","No"))</f>
        <v>No</v>
      </c>
    </row>
    <row r="4948" customFormat="false" ht="15" hidden="false" customHeight="false" outlineLevel="0" collapsed="false">
      <c r="A4948" s="31" t="s">
        <v>5098</v>
      </c>
      <c r="B4948" s="44" t="n">
        <v>46271</v>
      </c>
      <c r="C4948" s="31" t="s">
        <v>58</v>
      </c>
      <c r="D4948" s="31" t="s">
        <v>65</v>
      </c>
      <c r="E4948" s="31" t="s">
        <v>51</v>
      </c>
      <c r="F4948" s="31" t="s">
        <v>123</v>
      </c>
      <c r="G4948" s="31" t="n">
        <v>7</v>
      </c>
      <c r="H4948" s="41" t="n">
        <v>6.4</v>
      </c>
      <c r="I4948" s="31" t="s">
        <v>149</v>
      </c>
      <c r="J4948" s="31" t="n">
        <v>5</v>
      </c>
      <c r="K4948" s="31" t="s">
        <v>150</v>
      </c>
      <c r="L4948" s="45" t="n">
        <f aca="false">DATE(YEAR(B4948),MONTH(B4948),1)</f>
        <v>46266</v>
      </c>
      <c r="M4948" s="31" t="n">
        <f aca="false">WEEKDAY(B4948,2)</f>
        <v>7</v>
      </c>
      <c r="N4948" s="31" t="str">
        <f aca="false">IF(G4948&lt;=INDEX(Assumptions!$B$15:$B$18,MATCH(E4948,Assumptions!$A$15:$A$18,0)),"Yes","No")</f>
        <v>Yes</v>
      </c>
      <c r="O4948" s="31" t="str">
        <f aca="false">IF(H4948="","Open",IF(H4948&lt;=INDEX(Assumptions!$C$15:$C$18,MATCH(E4948,Assumptions!$A$15:$A$18,0)),"Yes","No"))</f>
        <v>Yes</v>
      </c>
    </row>
    <row r="4949" customFormat="false" ht="15" hidden="false" customHeight="false" outlineLevel="0" collapsed="false">
      <c r="A4949" s="31" t="s">
        <v>5099</v>
      </c>
      <c r="B4949" s="44" t="n">
        <v>46271</v>
      </c>
      <c r="C4949" s="31" t="s">
        <v>57</v>
      </c>
      <c r="D4949" s="31" t="s">
        <v>69</v>
      </c>
      <c r="E4949" s="31" t="s">
        <v>50</v>
      </c>
      <c r="F4949" s="31" t="s">
        <v>119</v>
      </c>
      <c r="G4949" s="31" t="n">
        <v>5</v>
      </c>
      <c r="H4949" s="41" t="n">
        <v>8.3</v>
      </c>
      <c r="I4949" s="31" t="s">
        <v>149</v>
      </c>
      <c r="J4949" s="31" t="n">
        <v>4</v>
      </c>
      <c r="K4949" s="31" t="s">
        <v>150</v>
      </c>
      <c r="L4949" s="45" t="n">
        <f aca="false">DATE(YEAR(B4949),MONTH(B4949),1)</f>
        <v>46266</v>
      </c>
      <c r="M4949" s="31" t="n">
        <f aca="false">WEEKDAY(B4949,2)</f>
        <v>7</v>
      </c>
      <c r="N4949" s="31" t="str">
        <f aca="false">IF(G4949&lt;=INDEX(Assumptions!$B$15:$B$18,MATCH(E4949,Assumptions!$A$15:$A$18,0)),"Yes","No")</f>
        <v>Yes</v>
      </c>
      <c r="O4949" s="31" t="str">
        <f aca="false">IF(H4949="","Open",IF(H4949&lt;=INDEX(Assumptions!$C$15:$C$18,MATCH(E4949,Assumptions!$A$15:$A$18,0)),"Yes","No"))</f>
        <v>No</v>
      </c>
    </row>
    <row r="4950" customFormat="false" ht="15" hidden="false" customHeight="false" outlineLevel="0" collapsed="false">
      <c r="A4950" s="31" t="s">
        <v>5100</v>
      </c>
      <c r="B4950" s="44" t="n">
        <v>46271</v>
      </c>
      <c r="C4950" s="31" t="s">
        <v>60</v>
      </c>
      <c r="D4950" s="31" t="s">
        <v>68</v>
      </c>
      <c r="E4950" s="31" t="s">
        <v>51</v>
      </c>
      <c r="F4950" s="31" t="s">
        <v>136</v>
      </c>
      <c r="G4950" s="31" t="n">
        <v>1</v>
      </c>
      <c r="H4950" s="41" t="n">
        <v>2.5</v>
      </c>
      <c r="I4950" s="31" t="s">
        <v>149</v>
      </c>
      <c r="J4950" s="31"/>
      <c r="K4950" s="31" t="s">
        <v>150</v>
      </c>
      <c r="L4950" s="45" t="n">
        <f aca="false">DATE(YEAR(B4950),MONTH(B4950),1)</f>
        <v>46266</v>
      </c>
      <c r="M4950" s="31" t="n">
        <f aca="false">WEEKDAY(B4950,2)</f>
        <v>7</v>
      </c>
      <c r="N4950" s="31" t="str">
        <f aca="false">IF(G4950&lt;=INDEX(Assumptions!$B$15:$B$18,MATCH(E4950,Assumptions!$A$15:$A$18,0)),"Yes","No")</f>
        <v>Yes</v>
      </c>
      <c r="O4950" s="31" t="str">
        <f aca="false">IF(H4950="","Open",IF(H4950&lt;=INDEX(Assumptions!$C$15:$C$18,MATCH(E4950,Assumptions!$A$15:$A$18,0)),"Yes","No"))</f>
        <v>Yes</v>
      </c>
    </row>
    <row r="4951" customFormat="false" ht="15" hidden="false" customHeight="false" outlineLevel="0" collapsed="false">
      <c r="A4951" s="31" t="s">
        <v>5101</v>
      </c>
      <c r="B4951" s="44" t="n">
        <v>46271</v>
      </c>
      <c r="C4951" s="31" t="s">
        <v>58</v>
      </c>
      <c r="D4951" s="31" t="s">
        <v>65</v>
      </c>
      <c r="E4951" s="31" t="s">
        <v>52</v>
      </c>
      <c r="F4951" s="31" t="s">
        <v>130</v>
      </c>
      <c r="G4951" s="31" t="n">
        <v>32</v>
      </c>
      <c r="H4951" s="41" t="n">
        <v>14.5</v>
      </c>
      <c r="I4951" s="31" t="s">
        <v>149</v>
      </c>
      <c r="J4951" s="31" t="n">
        <v>5</v>
      </c>
      <c r="K4951" s="31" t="s">
        <v>150</v>
      </c>
      <c r="L4951" s="45" t="n">
        <f aca="false">DATE(YEAR(B4951),MONTH(B4951),1)</f>
        <v>46266</v>
      </c>
      <c r="M4951" s="31" t="n">
        <f aca="false">WEEKDAY(B4951,2)</f>
        <v>7</v>
      </c>
      <c r="N4951" s="31" t="str">
        <f aca="false">IF(G4951&lt;=INDEX(Assumptions!$B$15:$B$18,MATCH(E4951,Assumptions!$A$15:$A$18,0)),"Yes","No")</f>
        <v>Yes</v>
      </c>
      <c r="O4951" s="31" t="str">
        <f aca="false">IF(H4951="","Open",IF(H4951&lt;=INDEX(Assumptions!$C$15:$C$18,MATCH(E4951,Assumptions!$A$15:$A$18,0)),"Yes","No"))</f>
        <v>Yes</v>
      </c>
    </row>
    <row r="4952" customFormat="false" ht="15" hidden="false" customHeight="false" outlineLevel="0" collapsed="false">
      <c r="A4952" s="31" t="s">
        <v>5102</v>
      </c>
      <c r="B4952" s="44" t="n">
        <v>46271</v>
      </c>
      <c r="C4952" s="31" t="s">
        <v>60</v>
      </c>
      <c r="D4952" s="31" t="s">
        <v>69</v>
      </c>
      <c r="E4952" s="31" t="s">
        <v>51</v>
      </c>
      <c r="F4952" s="31" t="s">
        <v>134</v>
      </c>
      <c r="G4952" s="31" t="n">
        <v>3</v>
      </c>
      <c r="H4952" s="41"/>
      <c r="I4952" s="31" t="s">
        <v>158</v>
      </c>
      <c r="J4952" s="31"/>
      <c r="K4952" s="31" t="s">
        <v>150</v>
      </c>
      <c r="L4952" s="45" t="n">
        <f aca="false">DATE(YEAR(B4952),MONTH(B4952),1)</f>
        <v>46266</v>
      </c>
      <c r="M4952" s="31" t="n">
        <f aca="false">WEEKDAY(B4952,2)</f>
        <v>7</v>
      </c>
      <c r="N4952" s="31" t="str">
        <f aca="false">IF(G4952&lt;=INDEX(Assumptions!$B$15:$B$18,MATCH(E4952,Assumptions!$A$15:$A$18,0)),"Yes","No")</f>
        <v>Yes</v>
      </c>
      <c r="O4952" s="31" t="str">
        <f aca="false">IF(H4952="","Open",IF(H4952&lt;=INDEX(Assumptions!$C$15:$C$18,MATCH(E4952,Assumptions!$A$15:$A$18,0)),"Yes","No"))</f>
        <v>Open</v>
      </c>
    </row>
    <row r="4953" customFormat="false" ht="15" hidden="false" customHeight="false" outlineLevel="0" collapsed="false">
      <c r="A4953" s="31" t="s">
        <v>5103</v>
      </c>
      <c r="B4953" s="44" t="n">
        <v>46271</v>
      </c>
      <c r="C4953" s="31" t="s">
        <v>58</v>
      </c>
      <c r="D4953" s="31" t="s">
        <v>65</v>
      </c>
      <c r="E4953" s="31" t="s">
        <v>51</v>
      </c>
      <c r="F4953" s="31" t="s">
        <v>123</v>
      </c>
      <c r="G4953" s="31" t="n">
        <v>5</v>
      </c>
      <c r="H4953" s="41" t="n">
        <v>6.4</v>
      </c>
      <c r="I4953" s="31" t="s">
        <v>149</v>
      </c>
      <c r="J4953" s="31"/>
      <c r="K4953" s="31" t="s">
        <v>150</v>
      </c>
      <c r="L4953" s="45" t="n">
        <f aca="false">DATE(YEAR(B4953),MONTH(B4953),1)</f>
        <v>46266</v>
      </c>
      <c r="M4953" s="31" t="n">
        <f aca="false">WEEKDAY(B4953,2)</f>
        <v>7</v>
      </c>
      <c r="N4953" s="31" t="str">
        <f aca="false">IF(G4953&lt;=INDEX(Assumptions!$B$15:$B$18,MATCH(E4953,Assumptions!$A$15:$A$18,0)),"Yes","No")</f>
        <v>Yes</v>
      </c>
      <c r="O4953" s="31" t="str">
        <f aca="false">IF(H4953="","Open",IF(H4953&lt;=INDEX(Assumptions!$C$15:$C$18,MATCH(E4953,Assumptions!$A$15:$A$18,0)),"Yes","No"))</f>
        <v>Yes</v>
      </c>
    </row>
    <row r="4954" customFormat="false" ht="15" hidden="false" customHeight="false" outlineLevel="0" collapsed="false">
      <c r="A4954" s="31" t="s">
        <v>5104</v>
      </c>
      <c r="B4954" s="44" t="n">
        <v>46272</v>
      </c>
      <c r="C4954" s="31" t="s">
        <v>58</v>
      </c>
      <c r="D4954" s="31" t="s">
        <v>68</v>
      </c>
      <c r="E4954" s="31" t="s">
        <v>50</v>
      </c>
      <c r="F4954" s="31" t="s">
        <v>134</v>
      </c>
      <c r="G4954" s="31" t="n">
        <v>44</v>
      </c>
      <c r="H4954" s="41" t="n">
        <v>12.8</v>
      </c>
      <c r="I4954" s="31" t="s">
        <v>149</v>
      </c>
      <c r="J4954" s="31"/>
      <c r="K4954" s="31" t="s">
        <v>150</v>
      </c>
      <c r="L4954" s="45" t="n">
        <f aca="false">DATE(YEAR(B4954),MONTH(B4954),1)</f>
        <v>46266</v>
      </c>
      <c r="M4954" s="31" t="n">
        <f aca="false">WEEKDAY(B4954,2)</f>
        <v>1</v>
      </c>
      <c r="N4954" s="31" t="str">
        <f aca="false">IF(G4954&lt;=INDEX(Assumptions!$B$15:$B$18,MATCH(E4954,Assumptions!$A$15:$A$18,0)),"Yes","No")</f>
        <v>No</v>
      </c>
      <c r="O4954" s="31" t="str">
        <f aca="false">IF(H4954="","Open",IF(H4954&lt;=INDEX(Assumptions!$C$15:$C$18,MATCH(E4954,Assumptions!$A$15:$A$18,0)),"Yes","No"))</f>
        <v>No</v>
      </c>
    </row>
    <row r="4955" customFormat="false" ht="15" hidden="false" customHeight="false" outlineLevel="0" collapsed="false">
      <c r="A4955" s="31" t="s">
        <v>5105</v>
      </c>
      <c r="B4955" s="44" t="n">
        <v>46272</v>
      </c>
      <c r="C4955" s="31" t="s">
        <v>59</v>
      </c>
      <c r="D4955" s="31" t="s">
        <v>65</v>
      </c>
      <c r="E4955" s="31" t="s">
        <v>51</v>
      </c>
      <c r="F4955" s="31" t="s">
        <v>137</v>
      </c>
      <c r="G4955" s="31" t="n">
        <v>116</v>
      </c>
      <c r="H4955" s="41" t="n">
        <v>21.5</v>
      </c>
      <c r="I4955" s="31" t="s">
        <v>149</v>
      </c>
      <c r="J4955" s="31"/>
      <c r="K4955" s="31" t="s">
        <v>150</v>
      </c>
      <c r="L4955" s="45" t="n">
        <f aca="false">DATE(YEAR(B4955),MONTH(B4955),1)</f>
        <v>46266</v>
      </c>
      <c r="M4955" s="31" t="n">
        <f aca="false">WEEKDAY(B4955,2)</f>
        <v>1</v>
      </c>
      <c r="N4955" s="31" t="str">
        <f aca="false">IF(G4955&lt;=INDEX(Assumptions!$B$15:$B$18,MATCH(E4955,Assumptions!$A$15:$A$18,0)),"Yes","No")</f>
        <v>No</v>
      </c>
      <c r="O4955" s="31" t="str">
        <f aca="false">IF(H4955="","Open",IF(H4955&lt;=INDEX(Assumptions!$C$15:$C$18,MATCH(E4955,Assumptions!$A$15:$A$18,0)),"Yes","No"))</f>
        <v>Yes</v>
      </c>
    </row>
    <row r="4956" customFormat="false" ht="15" hidden="false" customHeight="false" outlineLevel="0" collapsed="false">
      <c r="A4956" s="31" t="s">
        <v>5106</v>
      </c>
      <c r="B4956" s="44" t="n">
        <v>46272</v>
      </c>
      <c r="C4956" s="31" t="s">
        <v>58</v>
      </c>
      <c r="D4956" s="31" t="s">
        <v>68</v>
      </c>
      <c r="E4956" s="31" t="s">
        <v>51</v>
      </c>
      <c r="F4956" s="31" t="s">
        <v>121</v>
      </c>
      <c r="G4956" s="31" t="n">
        <v>69</v>
      </c>
      <c r="H4956" s="41" t="n">
        <v>1.2</v>
      </c>
      <c r="I4956" s="31" t="s">
        <v>149</v>
      </c>
      <c r="J4956" s="31"/>
      <c r="K4956" s="31" t="s">
        <v>150</v>
      </c>
      <c r="L4956" s="45" t="n">
        <f aca="false">DATE(YEAR(B4956),MONTH(B4956),1)</f>
        <v>46266</v>
      </c>
      <c r="M4956" s="31" t="n">
        <f aca="false">WEEKDAY(B4956,2)</f>
        <v>1</v>
      </c>
      <c r="N4956" s="31" t="str">
        <f aca="false">IF(G4956&lt;=INDEX(Assumptions!$B$15:$B$18,MATCH(E4956,Assumptions!$A$15:$A$18,0)),"Yes","No")</f>
        <v>No</v>
      </c>
      <c r="O4956" s="31" t="str">
        <f aca="false">IF(H4956="","Open",IF(H4956&lt;=INDEX(Assumptions!$C$15:$C$18,MATCH(E4956,Assumptions!$A$15:$A$18,0)),"Yes","No"))</f>
        <v>Yes</v>
      </c>
    </row>
    <row r="4957" customFormat="false" ht="15" hidden="false" customHeight="false" outlineLevel="0" collapsed="false">
      <c r="A4957" s="31" t="s">
        <v>5107</v>
      </c>
      <c r="B4957" s="44" t="n">
        <v>46272</v>
      </c>
      <c r="C4957" s="31" t="s">
        <v>57</v>
      </c>
      <c r="D4957" s="31" t="s">
        <v>69</v>
      </c>
      <c r="E4957" s="31" t="s">
        <v>51</v>
      </c>
      <c r="F4957" s="31" t="s">
        <v>128</v>
      </c>
      <c r="G4957" s="31" t="n">
        <v>17</v>
      </c>
      <c r="H4957" s="41" t="n">
        <v>7.8</v>
      </c>
      <c r="I4957" s="31" t="s">
        <v>149</v>
      </c>
      <c r="J4957" s="31" t="n">
        <v>5</v>
      </c>
      <c r="K4957" s="31" t="s">
        <v>153</v>
      </c>
      <c r="L4957" s="45" t="n">
        <f aca="false">DATE(YEAR(B4957),MONTH(B4957),1)</f>
        <v>46266</v>
      </c>
      <c r="M4957" s="31" t="n">
        <f aca="false">WEEKDAY(B4957,2)</f>
        <v>1</v>
      </c>
      <c r="N4957" s="31" t="str">
        <f aca="false">IF(G4957&lt;=INDEX(Assumptions!$B$15:$B$18,MATCH(E4957,Assumptions!$A$15:$A$18,0)),"Yes","No")</f>
        <v>Yes</v>
      </c>
      <c r="O4957" s="31" t="str">
        <f aca="false">IF(H4957="","Open",IF(H4957&lt;=INDEX(Assumptions!$C$15:$C$18,MATCH(E4957,Assumptions!$A$15:$A$18,0)),"Yes","No"))</f>
        <v>Yes</v>
      </c>
    </row>
    <row r="4958" customFormat="false" ht="15" hidden="false" customHeight="false" outlineLevel="0" collapsed="false">
      <c r="A4958" s="31" t="s">
        <v>5108</v>
      </c>
      <c r="B4958" s="44" t="n">
        <v>46272</v>
      </c>
      <c r="C4958" s="31" t="s">
        <v>58</v>
      </c>
      <c r="D4958" s="31" t="s">
        <v>69</v>
      </c>
      <c r="E4958" s="31" t="s">
        <v>51</v>
      </c>
      <c r="F4958" s="31" t="s">
        <v>137</v>
      </c>
      <c r="G4958" s="31" t="n">
        <v>20</v>
      </c>
      <c r="H4958" s="41" t="n">
        <v>28.7</v>
      </c>
      <c r="I4958" s="31" t="s">
        <v>149</v>
      </c>
      <c r="J4958" s="31" t="n">
        <v>3</v>
      </c>
      <c r="K4958" s="31" t="s">
        <v>150</v>
      </c>
      <c r="L4958" s="45" t="n">
        <f aca="false">DATE(YEAR(B4958),MONTH(B4958),1)</f>
        <v>46266</v>
      </c>
      <c r="M4958" s="31" t="n">
        <f aca="false">WEEKDAY(B4958,2)</f>
        <v>1</v>
      </c>
      <c r="N4958" s="31" t="str">
        <f aca="false">IF(G4958&lt;=INDEX(Assumptions!$B$15:$B$18,MATCH(E4958,Assumptions!$A$15:$A$18,0)),"Yes","No")</f>
        <v>Yes</v>
      </c>
      <c r="O4958" s="31" t="str">
        <f aca="false">IF(H4958="","Open",IF(H4958&lt;=INDEX(Assumptions!$C$15:$C$18,MATCH(E4958,Assumptions!$A$15:$A$18,0)),"Yes","No"))</f>
        <v>No</v>
      </c>
    </row>
    <row r="4959" customFormat="false" ht="15" hidden="false" customHeight="false" outlineLevel="0" collapsed="false">
      <c r="A4959" s="31" t="s">
        <v>5109</v>
      </c>
      <c r="B4959" s="44" t="n">
        <v>46272</v>
      </c>
      <c r="C4959" s="31" t="s">
        <v>57</v>
      </c>
      <c r="D4959" s="31" t="s">
        <v>65</v>
      </c>
      <c r="E4959" s="31" t="s">
        <v>51</v>
      </c>
      <c r="F4959" s="31" t="s">
        <v>117</v>
      </c>
      <c r="G4959" s="31" t="n">
        <v>2</v>
      </c>
      <c r="H4959" s="41" t="n">
        <v>3.1</v>
      </c>
      <c r="I4959" s="31" t="s">
        <v>149</v>
      </c>
      <c r="J4959" s="31"/>
      <c r="K4959" s="31" t="s">
        <v>153</v>
      </c>
      <c r="L4959" s="45" t="n">
        <f aca="false">DATE(YEAR(B4959),MONTH(B4959),1)</f>
        <v>46266</v>
      </c>
      <c r="M4959" s="31" t="n">
        <f aca="false">WEEKDAY(B4959,2)</f>
        <v>1</v>
      </c>
      <c r="N4959" s="31" t="str">
        <f aca="false">IF(G4959&lt;=INDEX(Assumptions!$B$15:$B$18,MATCH(E4959,Assumptions!$A$15:$A$18,0)),"Yes","No")</f>
        <v>Yes</v>
      </c>
      <c r="O4959" s="31" t="str">
        <f aca="false">IF(H4959="","Open",IF(H4959&lt;=INDEX(Assumptions!$C$15:$C$18,MATCH(E4959,Assumptions!$A$15:$A$18,0)),"Yes","No"))</f>
        <v>Yes</v>
      </c>
    </row>
    <row r="4960" customFormat="false" ht="15" hidden="false" customHeight="false" outlineLevel="0" collapsed="false">
      <c r="A4960" s="31" t="s">
        <v>5110</v>
      </c>
      <c r="B4960" s="44" t="n">
        <v>46272</v>
      </c>
      <c r="C4960" s="31" t="s">
        <v>58</v>
      </c>
      <c r="D4960" s="31" t="s">
        <v>65</v>
      </c>
      <c r="E4960" s="31" t="s">
        <v>51</v>
      </c>
      <c r="F4960" s="31" t="s">
        <v>127</v>
      </c>
      <c r="G4960" s="31" t="n">
        <v>5</v>
      </c>
      <c r="H4960" s="41" t="n">
        <v>6</v>
      </c>
      <c r="I4960" s="31" t="s">
        <v>149</v>
      </c>
      <c r="J4960" s="31"/>
      <c r="K4960" s="31" t="s">
        <v>150</v>
      </c>
      <c r="L4960" s="45" t="n">
        <f aca="false">DATE(YEAR(B4960),MONTH(B4960),1)</f>
        <v>46266</v>
      </c>
      <c r="M4960" s="31" t="n">
        <f aca="false">WEEKDAY(B4960,2)</f>
        <v>1</v>
      </c>
      <c r="N4960" s="31" t="str">
        <f aca="false">IF(G4960&lt;=INDEX(Assumptions!$B$15:$B$18,MATCH(E4960,Assumptions!$A$15:$A$18,0)),"Yes","No")</f>
        <v>Yes</v>
      </c>
      <c r="O4960" s="31" t="str">
        <f aca="false">IF(H4960="","Open",IF(H4960&lt;=INDEX(Assumptions!$C$15:$C$18,MATCH(E4960,Assumptions!$A$15:$A$18,0)),"Yes","No"))</f>
        <v>Yes</v>
      </c>
    </row>
    <row r="4961" customFormat="false" ht="15" hidden="false" customHeight="false" outlineLevel="0" collapsed="false">
      <c r="A4961" s="31" t="s">
        <v>5111</v>
      </c>
      <c r="B4961" s="44" t="n">
        <v>46272</v>
      </c>
      <c r="C4961" s="31" t="s">
        <v>60</v>
      </c>
      <c r="D4961" s="31" t="s">
        <v>67</v>
      </c>
      <c r="E4961" s="31" t="s">
        <v>51</v>
      </c>
      <c r="F4961" s="31" t="s">
        <v>120</v>
      </c>
      <c r="G4961" s="31" t="n">
        <v>4</v>
      </c>
      <c r="H4961" s="41" t="n">
        <v>53.8</v>
      </c>
      <c r="I4961" s="31" t="s">
        <v>149</v>
      </c>
      <c r="J4961" s="31"/>
      <c r="K4961" s="31" t="s">
        <v>150</v>
      </c>
      <c r="L4961" s="45" t="n">
        <f aca="false">DATE(YEAR(B4961),MONTH(B4961),1)</f>
        <v>46266</v>
      </c>
      <c r="M4961" s="31" t="n">
        <f aca="false">WEEKDAY(B4961,2)</f>
        <v>1</v>
      </c>
      <c r="N4961" s="31" t="str">
        <f aca="false">IF(G4961&lt;=INDEX(Assumptions!$B$15:$B$18,MATCH(E4961,Assumptions!$A$15:$A$18,0)),"Yes","No")</f>
        <v>Yes</v>
      </c>
      <c r="O4961" s="31" t="str">
        <f aca="false">IF(H4961="","Open",IF(H4961&lt;=INDEX(Assumptions!$C$15:$C$18,MATCH(E4961,Assumptions!$A$15:$A$18,0)),"Yes","No"))</f>
        <v>No</v>
      </c>
    </row>
    <row r="4962" customFormat="false" ht="15" hidden="false" customHeight="false" outlineLevel="0" collapsed="false">
      <c r="A4962" s="31" t="s">
        <v>5112</v>
      </c>
      <c r="B4962" s="44" t="n">
        <v>46272</v>
      </c>
      <c r="C4962" s="31" t="s">
        <v>59</v>
      </c>
      <c r="D4962" s="31" t="s">
        <v>69</v>
      </c>
      <c r="E4962" s="31" t="s">
        <v>51</v>
      </c>
      <c r="F4962" s="31" t="s">
        <v>133</v>
      </c>
      <c r="G4962" s="31" t="n">
        <v>73</v>
      </c>
      <c r="H4962" s="41" t="n">
        <v>12.9</v>
      </c>
      <c r="I4962" s="31" t="s">
        <v>149</v>
      </c>
      <c r="J4962" s="31" t="n">
        <v>5</v>
      </c>
      <c r="K4962" s="31" t="s">
        <v>150</v>
      </c>
      <c r="L4962" s="45" t="n">
        <f aca="false">DATE(YEAR(B4962),MONTH(B4962),1)</f>
        <v>46266</v>
      </c>
      <c r="M4962" s="31" t="n">
        <f aca="false">WEEKDAY(B4962,2)</f>
        <v>1</v>
      </c>
      <c r="N4962" s="31" t="str">
        <f aca="false">IF(G4962&lt;=INDEX(Assumptions!$B$15:$B$18,MATCH(E4962,Assumptions!$A$15:$A$18,0)),"Yes","No")</f>
        <v>No</v>
      </c>
      <c r="O4962" s="31" t="str">
        <f aca="false">IF(H4962="","Open",IF(H4962&lt;=INDEX(Assumptions!$C$15:$C$18,MATCH(E4962,Assumptions!$A$15:$A$18,0)),"Yes","No"))</f>
        <v>Yes</v>
      </c>
    </row>
    <row r="4963" customFormat="false" ht="15" hidden="false" customHeight="false" outlineLevel="0" collapsed="false">
      <c r="A4963" s="31" t="s">
        <v>5113</v>
      </c>
      <c r="B4963" s="44" t="n">
        <v>46272</v>
      </c>
      <c r="C4963" s="31" t="s">
        <v>59</v>
      </c>
      <c r="D4963" s="31" t="s">
        <v>67</v>
      </c>
      <c r="E4963" s="31" t="s">
        <v>51</v>
      </c>
      <c r="F4963" s="31" t="s">
        <v>122</v>
      </c>
      <c r="G4963" s="31" t="n">
        <v>144</v>
      </c>
      <c r="H4963" s="41" t="n">
        <v>10.3</v>
      </c>
      <c r="I4963" s="31" t="s">
        <v>149</v>
      </c>
      <c r="J4963" s="31"/>
      <c r="K4963" s="31" t="s">
        <v>150</v>
      </c>
      <c r="L4963" s="45" t="n">
        <f aca="false">DATE(YEAR(B4963),MONTH(B4963),1)</f>
        <v>46266</v>
      </c>
      <c r="M4963" s="31" t="n">
        <f aca="false">WEEKDAY(B4963,2)</f>
        <v>1</v>
      </c>
      <c r="N4963" s="31" t="str">
        <f aca="false">IF(G4963&lt;=INDEX(Assumptions!$B$15:$B$18,MATCH(E4963,Assumptions!$A$15:$A$18,0)),"Yes","No")</f>
        <v>No</v>
      </c>
      <c r="O4963" s="31" t="str">
        <f aca="false">IF(H4963="","Open",IF(H4963&lt;=INDEX(Assumptions!$C$15:$C$18,MATCH(E4963,Assumptions!$A$15:$A$18,0)),"Yes","No"))</f>
        <v>Yes</v>
      </c>
    </row>
    <row r="4964" customFormat="false" ht="15" hidden="false" customHeight="false" outlineLevel="0" collapsed="false">
      <c r="A4964" s="31" t="s">
        <v>5114</v>
      </c>
      <c r="B4964" s="44" t="n">
        <v>46272</v>
      </c>
      <c r="C4964" s="31" t="s">
        <v>58</v>
      </c>
      <c r="D4964" s="31" t="s">
        <v>65</v>
      </c>
      <c r="E4964" s="31" t="s">
        <v>51</v>
      </c>
      <c r="F4964" s="31" t="s">
        <v>128</v>
      </c>
      <c r="G4964" s="31" t="n">
        <v>28</v>
      </c>
      <c r="H4964" s="41" t="n">
        <v>12</v>
      </c>
      <c r="I4964" s="31" t="s">
        <v>149</v>
      </c>
      <c r="J4964" s="31"/>
      <c r="K4964" s="31" t="s">
        <v>150</v>
      </c>
      <c r="L4964" s="45" t="n">
        <f aca="false">DATE(YEAR(B4964),MONTH(B4964),1)</f>
        <v>46266</v>
      </c>
      <c r="M4964" s="31" t="n">
        <f aca="false">WEEKDAY(B4964,2)</f>
        <v>1</v>
      </c>
      <c r="N4964" s="31" t="str">
        <f aca="false">IF(G4964&lt;=INDEX(Assumptions!$B$15:$B$18,MATCH(E4964,Assumptions!$A$15:$A$18,0)),"Yes","No")</f>
        <v>Yes</v>
      </c>
      <c r="O4964" s="31" t="str">
        <f aca="false">IF(H4964="","Open",IF(H4964&lt;=INDEX(Assumptions!$C$15:$C$18,MATCH(E4964,Assumptions!$A$15:$A$18,0)),"Yes","No"))</f>
        <v>Yes</v>
      </c>
    </row>
    <row r="4965" customFormat="false" ht="15" hidden="false" customHeight="false" outlineLevel="0" collapsed="false">
      <c r="A4965" s="31" t="s">
        <v>5115</v>
      </c>
      <c r="B4965" s="44" t="n">
        <v>46272</v>
      </c>
      <c r="C4965" s="31" t="s">
        <v>58</v>
      </c>
      <c r="D4965" s="31" t="s">
        <v>66</v>
      </c>
      <c r="E4965" s="31" t="s">
        <v>51</v>
      </c>
      <c r="F4965" s="31" t="s">
        <v>119</v>
      </c>
      <c r="G4965" s="31" t="n">
        <v>13</v>
      </c>
      <c r="H4965" s="41" t="n">
        <v>14.7</v>
      </c>
      <c r="I4965" s="31" t="s">
        <v>149</v>
      </c>
      <c r="J4965" s="31" t="n">
        <v>5</v>
      </c>
      <c r="K4965" s="31" t="s">
        <v>150</v>
      </c>
      <c r="L4965" s="45" t="n">
        <f aca="false">DATE(YEAR(B4965),MONTH(B4965),1)</f>
        <v>46266</v>
      </c>
      <c r="M4965" s="31" t="n">
        <f aca="false">WEEKDAY(B4965,2)</f>
        <v>1</v>
      </c>
      <c r="N4965" s="31" t="str">
        <f aca="false">IF(G4965&lt;=INDEX(Assumptions!$B$15:$B$18,MATCH(E4965,Assumptions!$A$15:$A$18,0)),"Yes","No")</f>
        <v>Yes</v>
      </c>
      <c r="O4965" s="31" t="str">
        <f aca="false">IF(H4965="","Open",IF(H4965&lt;=INDEX(Assumptions!$C$15:$C$18,MATCH(E4965,Assumptions!$A$15:$A$18,0)),"Yes","No"))</f>
        <v>Yes</v>
      </c>
    </row>
    <row r="4966" customFormat="false" ht="15" hidden="false" customHeight="false" outlineLevel="0" collapsed="false">
      <c r="A4966" s="31" t="s">
        <v>5116</v>
      </c>
      <c r="B4966" s="44" t="n">
        <v>46272</v>
      </c>
      <c r="C4966" s="31" t="s">
        <v>59</v>
      </c>
      <c r="D4966" s="31" t="s">
        <v>69</v>
      </c>
      <c r="E4966" s="31" t="s">
        <v>51</v>
      </c>
      <c r="F4966" s="31" t="s">
        <v>127</v>
      </c>
      <c r="G4966" s="31" t="n">
        <v>138</v>
      </c>
      <c r="H4966" s="41" t="n">
        <v>94.2</v>
      </c>
      <c r="I4966" s="31" t="s">
        <v>149</v>
      </c>
      <c r="J4966" s="31" t="n">
        <v>2</v>
      </c>
      <c r="K4966" s="31" t="s">
        <v>150</v>
      </c>
      <c r="L4966" s="45" t="n">
        <f aca="false">DATE(YEAR(B4966),MONTH(B4966),1)</f>
        <v>46266</v>
      </c>
      <c r="M4966" s="31" t="n">
        <f aca="false">WEEKDAY(B4966,2)</f>
        <v>1</v>
      </c>
      <c r="N4966" s="31" t="str">
        <f aca="false">IF(G4966&lt;=INDEX(Assumptions!$B$15:$B$18,MATCH(E4966,Assumptions!$A$15:$A$18,0)),"Yes","No")</f>
        <v>No</v>
      </c>
      <c r="O4966" s="31" t="str">
        <f aca="false">IF(H4966="","Open",IF(H4966&lt;=INDEX(Assumptions!$C$15:$C$18,MATCH(E4966,Assumptions!$A$15:$A$18,0)),"Yes","No"))</f>
        <v>No</v>
      </c>
    </row>
    <row r="4967" customFormat="false" ht="15" hidden="false" customHeight="false" outlineLevel="0" collapsed="false">
      <c r="A4967" s="31" t="s">
        <v>5117</v>
      </c>
      <c r="B4967" s="44" t="n">
        <v>46272</v>
      </c>
      <c r="C4967" s="31" t="s">
        <v>60</v>
      </c>
      <c r="D4967" s="31" t="s">
        <v>66</v>
      </c>
      <c r="E4967" s="31" t="s">
        <v>51</v>
      </c>
      <c r="F4967" s="31" t="s">
        <v>123</v>
      </c>
      <c r="G4967" s="31" t="n">
        <v>2</v>
      </c>
      <c r="H4967" s="41" t="n">
        <v>20.6</v>
      </c>
      <c r="I4967" s="31" t="s">
        <v>149</v>
      </c>
      <c r="J4967" s="31"/>
      <c r="K4967" s="31" t="s">
        <v>150</v>
      </c>
      <c r="L4967" s="45" t="n">
        <f aca="false">DATE(YEAR(B4967),MONTH(B4967),1)</f>
        <v>46266</v>
      </c>
      <c r="M4967" s="31" t="n">
        <f aca="false">WEEKDAY(B4967,2)</f>
        <v>1</v>
      </c>
      <c r="N4967" s="31" t="str">
        <f aca="false">IF(G4967&lt;=INDEX(Assumptions!$B$15:$B$18,MATCH(E4967,Assumptions!$A$15:$A$18,0)),"Yes","No")</f>
        <v>Yes</v>
      </c>
      <c r="O4967" s="31" t="str">
        <f aca="false">IF(H4967="","Open",IF(H4967&lt;=INDEX(Assumptions!$C$15:$C$18,MATCH(E4967,Assumptions!$A$15:$A$18,0)),"Yes","No"))</f>
        <v>Yes</v>
      </c>
    </row>
    <row r="4968" customFormat="false" ht="15" hidden="false" customHeight="false" outlineLevel="0" collapsed="false">
      <c r="A4968" s="31" t="s">
        <v>5118</v>
      </c>
      <c r="B4968" s="44" t="n">
        <v>46272</v>
      </c>
      <c r="C4968" s="31" t="s">
        <v>58</v>
      </c>
      <c r="D4968" s="31" t="s">
        <v>66</v>
      </c>
      <c r="E4968" s="31" t="s">
        <v>49</v>
      </c>
      <c r="F4968" s="31" t="s">
        <v>119</v>
      </c>
      <c r="G4968" s="31" t="n">
        <v>6</v>
      </c>
      <c r="H4968" s="41" t="n">
        <v>1.1</v>
      </c>
      <c r="I4968" s="31" t="s">
        <v>149</v>
      </c>
      <c r="J4968" s="31" t="n">
        <v>5</v>
      </c>
      <c r="K4968" s="31" t="s">
        <v>150</v>
      </c>
      <c r="L4968" s="45" t="n">
        <f aca="false">DATE(YEAR(B4968),MONTH(B4968),1)</f>
        <v>46266</v>
      </c>
      <c r="M4968" s="31" t="n">
        <f aca="false">WEEKDAY(B4968,2)</f>
        <v>1</v>
      </c>
      <c r="N4968" s="31" t="str">
        <f aca="false">IF(G4968&lt;=INDEX(Assumptions!$B$15:$B$18,MATCH(E4968,Assumptions!$A$15:$A$18,0)),"Yes","No")</f>
        <v>Yes</v>
      </c>
      <c r="O4968" s="31" t="str">
        <f aca="false">IF(H4968="","Open",IF(H4968&lt;=INDEX(Assumptions!$C$15:$C$18,MATCH(E4968,Assumptions!$A$15:$A$18,0)),"Yes","No"))</f>
        <v>Yes</v>
      </c>
    </row>
    <row r="4969" customFormat="false" ht="15" hidden="false" customHeight="false" outlineLevel="0" collapsed="false">
      <c r="A4969" s="31" t="s">
        <v>5119</v>
      </c>
      <c r="B4969" s="44" t="n">
        <v>46272</v>
      </c>
      <c r="C4969" s="31" t="s">
        <v>59</v>
      </c>
      <c r="D4969" s="31" t="s">
        <v>67</v>
      </c>
      <c r="E4969" s="31" t="s">
        <v>51</v>
      </c>
      <c r="F4969" s="31" t="s">
        <v>126</v>
      </c>
      <c r="G4969" s="31" t="n">
        <v>141</v>
      </c>
      <c r="H4969" s="41" t="n">
        <v>11.1</v>
      </c>
      <c r="I4969" s="31" t="s">
        <v>64</v>
      </c>
      <c r="J4969" s="31" t="n">
        <v>3</v>
      </c>
      <c r="K4969" s="31" t="s">
        <v>150</v>
      </c>
      <c r="L4969" s="45" t="n">
        <f aca="false">DATE(YEAR(B4969),MONTH(B4969),1)</f>
        <v>46266</v>
      </c>
      <c r="M4969" s="31" t="n">
        <f aca="false">WEEKDAY(B4969,2)</f>
        <v>1</v>
      </c>
      <c r="N4969" s="31" t="str">
        <f aca="false">IF(G4969&lt;=INDEX(Assumptions!$B$15:$B$18,MATCH(E4969,Assumptions!$A$15:$A$18,0)),"Yes","No")</f>
        <v>No</v>
      </c>
      <c r="O4969" s="31" t="str">
        <f aca="false">IF(H4969="","Open",IF(H4969&lt;=INDEX(Assumptions!$C$15:$C$18,MATCH(E4969,Assumptions!$A$15:$A$18,0)),"Yes","No"))</f>
        <v>Yes</v>
      </c>
    </row>
    <row r="4970" customFormat="false" ht="15" hidden="false" customHeight="false" outlineLevel="0" collapsed="false">
      <c r="A4970" s="31" t="s">
        <v>5120</v>
      </c>
      <c r="B4970" s="44" t="n">
        <v>46272</v>
      </c>
      <c r="C4970" s="31" t="s">
        <v>57</v>
      </c>
      <c r="D4970" s="31" t="s">
        <v>66</v>
      </c>
      <c r="E4970" s="31" t="s">
        <v>52</v>
      </c>
      <c r="F4970" s="31" t="s">
        <v>121</v>
      </c>
      <c r="G4970" s="31" t="n">
        <v>6</v>
      </c>
      <c r="H4970" s="41" t="n">
        <v>33.7</v>
      </c>
      <c r="I4970" s="31" t="s">
        <v>149</v>
      </c>
      <c r="J4970" s="31"/>
      <c r="K4970" s="31" t="s">
        <v>150</v>
      </c>
      <c r="L4970" s="45" t="n">
        <f aca="false">DATE(YEAR(B4970),MONTH(B4970),1)</f>
        <v>46266</v>
      </c>
      <c r="M4970" s="31" t="n">
        <f aca="false">WEEKDAY(B4970,2)</f>
        <v>1</v>
      </c>
      <c r="N4970" s="31" t="str">
        <f aca="false">IF(G4970&lt;=INDEX(Assumptions!$B$15:$B$18,MATCH(E4970,Assumptions!$A$15:$A$18,0)),"Yes","No")</f>
        <v>Yes</v>
      </c>
      <c r="O4970" s="31" t="str">
        <f aca="false">IF(H4970="","Open",IF(H4970&lt;=INDEX(Assumptions!$C$15:$C$18,MATCH(E4970,Assumptions!$A$15:$A$18,0)),"Yes","No"))</f>
        <v>Yes</v>
      </c>
    </row>
    <row r="4971" customFormat="false" ht="15" hidden="false" customHeight="false" outlineLevel="0" collapsed="false">
      <c r="A4971" s="31" t="s">
        <v>5121</v>
      </c>
      <c r="B4971" s="44" t="n">
        <v>46272</v>
      </c>
      <c r="C4971" s="31" t="s">
        <v>57</v>
      </c>
      <c r="D4971" s="31" t="s">
        <v>65</v>
      </c>
      <c r="E4971" s="31" t="s">
        <v>52</v>
      </c>
      <c r="F4971" s="31" t="s">
        <v>127</v>
      </c>
      <c r="G4971" s="31" t="n">
        <v>3</v>
      </c>
      <c r="H4971" s="41" t="n">
        <v>6.3</v>
      </c>
      <c r="I4971" s="31" t="s">
        <v>149</v>
      </c>
      <c r="J4971" s="31" t="n">
        <v>5</v>
      </c>
      <c r="K4971" s="31" t="s">
        <v>150</v>
      </c>
      <c r="L4971" s="45" t="n">
        <f aca="false">DATE(YEAR(B4971),MONTH(B4971),1)</f>
        <v>46266</v>
      </c>
      <c r="M4971" s="31" t="n">
        <f aca="false">WEEKDAY(B4971,2)</f>
        <v>1</v>
      </c>
      <c r="N4971" s="31" t="str">
        <f aca="false">IF(G4971&lt;=INDEX(Assumptions!$B$15:$B$18,MATCH(E4971,Assumptions!$A$15:$A$18,0)),"Yes","No")</f>
        <v>Yes</v>
      </c>
      <c r="O4971" s="31" t="str">
        <f aca="false">IF(H4971="","Open",IF(H4971&lt;=INDEX(Assumptions!$C$15:$C$18,MATCH(E4971,Assumptions!$A$15:$A$18,0)),"Yes","No"))</f>
        <v>Yes</v>
      </c>
    </row>
    <row r="4972" customFormat="false" ht="15" hidden="false" customHeight="false" outlineLevel="0" collapsed="false">
      <c r="A4972" s="31" t="s">
        <v>5122</v>
      </c>
      <c r="B4972" s="44" t="n">
        <v>46272</v>
      </c>
      <c r="C4972" s="31" t="s">
        <v>58</v>
      </c>
      <c r="D4972" s="31" t="s">
        <v>66</v>
      </c>
      <c r="E4972" s="31" t="s">
        <v>52</v>
      </c>
      <c r="F4972" s="31" t="s">
        <v>135</v>
      </c>
      <c r="G4972" s="31" t="n">
        <v>87</v>
      </c>
      <c r="H4972" s="41" t="n">
        <v>9.2</v>
      </c>
      <c r="I4972" s="31" t="s">
        <v>149</v>
      </c>
      <c r="J4972" s="31"/>
      <c r="K4972" s="31" t="s">
        <v>150</v>
      </c>
      <c r="L4972" s="45" t="n">
        <f aca="false">DATE(YEAR(B4972),MONTH(B4972),1)</f>
        <v>46266</v>
      </c>
      <c r="M4972" s="31" t="n">
        <f aca="false">WEEKDAY(B4972,2)</f>
        <v>1</v>
      </c>
      <c r="N4972" s="31" t="str">
        <f aca="false">IF(G4972&lt;=INDEX(Assumptions!$B$15:$B$18,MATCH(E4972,Assumptions!$A$15:$A$18,0)),"Yes","No")</f>
        <v>Yes</v>
      </c>
      <c r="O4972" s="31" t="str">
        <f aca="false">IF(H4972="","Open",IF(H4972&lt;=INDEX(Assumptions!$C$15:$C$18,MATCH(E4972,Assumptions!$A$15:$A$18,0)),"Yes","No"))</f>
        <v>Yes</v>
      </c>
    </row>
    <row r="4973" customFormat="false" ht="15" hidden="false" customHeight="false" outlineLevel="0" collapsed="false">
      <c r="A4973" s="31" t="s">
        <v>5123</v>
      </c>
      <c r="B4973" s="44" t="n">
        <v>46272</v>
      </c>
      <c r="C4973" s="31" t="s">
        <v>57</v>
      </c>
      <c r="D4973" s="31" t="s">
        <v>66</v>
      </c>
      <c r="E4973" s="31" t="s">
        <v>51</v>
      </c>
      <c r="F4973" s="31" t="s">
        <v>119</v>
      </c>
      <c r="G4973" s="31" t="n">
        <v>1</v>
      </c>
      <c r="H4973" s="41" t="n">
        <v>1.9</v>
      </c>
      <c r="I4973" s="31" t="s">
        <v>149</v>
      </c>
      <c r="J4973" s="31"/>
      <c r="K4973" s="31" t="s">
        <v>150</v>
      </c>
      <c r="L4973" s="45" t="n">
        <f aca="false">DATE(YEAR(B4973),MONTH(B4973),1)</f>
        <v>46266</v>
      </c>
      <c r="M4973" s="31" t="n">
        <f aca="false">WEEKDAY(B4973,2)</f>
        <v>1</v>
      </c>
      <c r="N4973" s="31" t="str">
        <f aca="false">IF(G4973&lt;=INDEX(Assumptions!$B$15:$B$18,MATCH(E4973,Assumptions!$A$15:$A$18,0)),"Yes","No")</f>
        <v>Yes</v>
      </c>
      <c r="O4973" s="31" t="str">
        <f aca="false">IF(H4973="","Open",IF(H4973&lt;=INDEX(Assumptions!$C$15:$C$18,MATCH(E4973,Assumptions!$A$15:$A$18,0)),"Yes","No"))</f>
        <v>Yes</v>
      </c>
    </row>
    <row r="4974" customFormat="false" ht="15" hidden="false" customHeight="false" outlineLevel="0" collapsed="false">
      <c r="A4974" s="31" t="s">
        <v>5124</v>
      </c>
      <c r="B4974" s="44" t="n">
        <v>46272</v>
      </c>
      <c r="C4974" s="31" t="s">
        <v>60</v>
      </c>
      <c r="D4974" s="31" t="s">
        <v>66</v>
      </c>
      <c r="E4974" s="31" t="s">
        <v>52</v>
      </c>
      <c r="F4974" s="31" t="s">
        <v>122</v>
      </c>
      <c r="G4974" s="31" t="n">
        <v>11</v>
      </c>
      <c r="H4974" s="41" t="n">
        <v>5.3</v>
      </c>
      <c r="I4974" s="31" t="s">
        <v>149</v>
      </c>
      <c r="J4974" s="31" t="n">
        <v>3</v>
      </c>
      <c r="K4974" s="31" t="s">
        <v>150</v>
      </c>
      <c r="L4974" s="45" t="n">
        <f aca="false">DATE(YEAR(B4974),MONTH(B4974),1)</f>
        <v>46266</v>
      </c>
      <c r="M4974" s="31" t="n">
        <f aca="false">WEEKDAY(B4974,2)</f>
        <v>1</v>
      </c>
      <c r="N4974" s="31" t="str">
        <f aca="false">IF(G4974&lt;=INDEX(Assumptions!$B$15:$B$18,MATCH(E4974,Assumptions!$A$15:$A$18,0)),"Yes","No")</f>
        <v>Yes</v>
      </c>
      <c r="O4974" s="31" t="str">
        <f aca="false">IF(H4974="","Open",IF(H4974&lt;=INDEX(Assumptions!$C$15:$C$18,MATCH(E4974,Assumptions!$A$15:$A$18,0)),"Yes","No"))</f>
        <v>Yes</v>
      </c>
    </row>
    <row r="4975" customFormat="false" ht="15" hidden="false" customHeight="false" outlineLevel="0" collapsed="false">
      <c r="A4975" s="31" t="s">
        <v>5125</v>
      </c>
      <c r="B4975" s="44" t="n">
        <v>46272</v>
      </c>
      <c r="C4975" s="31" t="s">
        <v>58</v>
      </c>
      <c r="D4975" s="31" t="s">
        <v>69</v>
      </c>
      <c r="E4975" s="31" t="s">
        <v>51</v>
      </c>
      <c r="F4975" s="31" t="s">
        <v>131</v>
      </c>
      <c r="G4975" s="31" t="n">
        <v>4</v>
      </c>
      <c r="H4975" s="41" t="n">
        <v>13.6</v>
      </c>
      <c r="I4975" s="31" t="s">
        <v>149</v>
      </c>
      <c r="J4975" s="31"/>
      <c r="K4975" s="31" t="s">
        <v>150</v>
      </c>
      <c r="L4975" s="45" t="n">
        <f aca="false">DATE(YEAR(B4975),MONTH(B4975),1)</f>
        <v>46266</v>
      </c>
      <c r="M4975" s="31" t="n">
        <f aca="false">WEEKDAY(B4975,2)</f>
        <v>1</v>
      </c>
      <c r="N4975" s="31" t="str">
        <f aca="false">IF(G4975&lt;=INDEX(Assumptions!$B$15:$B$18,MATCH(E4975,Assumptions!$A$15:$A$18,0)),"Yes","No")</f>
        <v>Yes</v>
      </c>
      <c r="O4975" s="31" t="str">
        <f aca="false">IF(H4975="","Open",IF(H4975&lt;=INDEX(Assumptions!$C$15:$C$18,MATCH(E4975,Assumptions!$A$15:$A$18,0)),"Yes","No"))</f>
        <v>Yes</v>
      </c>
    </row>
    <row r="4976" customFormat="false" ht="15" hidden="false" customHeight="false" outlineLevel="0" collapsed="false">
      <c r="A4976" s="31" t="s">
        <v>5126</v>
      </c>
      <c r="B4976" s="44" t="n">
        <v>46272</v>
      </c>
      <c r="C4976" s="31" t="s">
        <v>58</v>
      </c>
      <c r="D4976" s="31" t="s">
        <v>65</v>
      </c>
      <c r="E4976" s="31" t="s">
        <v>51</v>
      </c>
      <c r="F4976" s="31" t="s">
        <v>123</v>
      </c>
      <c r="G4976" s="31" t="n">
        <v>6</v>
      </c>
      <c r="H4976" s="41" t="n">
        <v>13.3</v>
      </c>
      <c r="I4976" s="31" t="s">
        <v>149</v>
      </c>
      <c r="J4976" s="31"/>
      <c r="K4976" s="31" t="s">
        <v>150</v>
      </c>
      <c r="L4976" s="45" t="n">
        <f aca="false">DATE(YEAR(B4976),MONTH(B4976),1)</f>
        <v>46266</v>
      </c>
      <c r="M4976" s="31" t="n">
        <f aca="false">WEEKDAY(B4976,2)</f>
        <v>1</v>
      </c>
      <c r="N4976" s="31" t="str">
        <f aca="false">IF(G4976&lt;=INDEX(Assumptions!$B$15:$B$18,MATCH(E4976,Assumptions!$A$15:$A$18,0)),"Yes","No")</f>
        <v>Yes</v>
      </c>
      <c r="O4976" s="31" t="str">
        <f aca="false">IF(H4976="","Open",IF(H4976&lt;=INDEX(Assumptions!$C$15:$C$18,MATCH(E4976,Assumptions!$A$15:$A$18,0)),"Yes","No"))</f>
        <v>Yes</v>
      </c>
    </row>
    <row r="4977" customFormat="false" ht="15" hidden="false" customHeight="false" outlineLevel="0" collapsed="false">
      <c r="A4977" s="31" t="s">
        <v>5127</v>
      </c>
      <c r="B4977" s="44" t="n">
        <v>46272</v>
      </c>
      <c r="C4977" s="31" t="s">
        <v>60</v>
      </c>
      <c r="D4977" s="31" t="s">
        <v>67</v>
      </c>
      <c r="E4977" s="31" t="s">
        <v>49</v>
      </c>
      <c r="F4977" s="31" t="s">
        <v>127</v>
      </c>
      <c r="G4977" s="31" t="n">
        <v>2</v>
      </c>
      <c r="H4977" s="41" t="n">
        <v>7.3</v>
      </c>
      <c r="I4977" s="31" t="s">
        <v>149</v>
      </c>
      <c r="J4977" s="31"/>
      <c r="K4977" s="31" t="s">
        <v>150</v>
      </c>
      <c r="L4977" s="45" t="n">
        <f aca="false">DATE(YEAR(B4977),MONTH(B4977),1)</f>
        <v>46266</v>
      </c>
      <c r="M4977" s="31" t="n">
        <f aca="false">WEEKDAY(B4977,2)</f>
        <v>1</v>
      </c>
      <c r="N4977" s="31" t="str">
        <f aca="false">IF(G4977&lt;=INDEX(Assumptions!$B$15:$B$18,MATCH(E4977,Assumptions!$A$15:$A$18,0)),"Yes","No")</f>
        <v>Yes</v>
      </c>
      <c r="O4977" s="31" t="str">
        <f aca="false">IF(H4977="","Open",IF(H4977&lt;=INDEX(Assumptions!$C$15:$C$18,MATCH(E4977,Assumptions!$A$15:$A$18,0)),"Yes","No"))</f>
        <v>No</v>
      </c>
    </row>
    <row r="4978" customFormat="false" ht="15" hidden="false" customHeight="false" outlineLevel="0" collapsed="false">
      <c r="A4978" s="31" t="s">
        <v>5128</v>
      </c>
      <c r="B4978" s="44" t="n">
        <v>46272</v>
      </c>
      <c r="C4978" s="31" t="s">
        <v>59</v>
      </c>
      <c r="D4978" s="31" t="s">
        <v>65</v>
      </c>
      <c r="E4978" s="31" t="s">
        <v>52</v>
      </c>
      <c r="F4978" s="31" t="s">
        <v>121</v>
      </c>
      <c r="G4978" s="31" t="n">
        <v>245</v>
      </c>
      <c r="H4978" s="41" t="n">
        <v>26</v>
      </c>
      <c r="I4978" s="31" t="s">
        <v>149</v>
      </c>
      <c r="J4978" s="31" t="n">
        <v>4</v>
      </c>
      <c r="K4978" s="31" t="s">
        <v>150</v>
      </c>
      <c r="L4978" s="45" t="n">
        <f aca="false">DATE(YEAR(B4978),MONTH(B4978),1)</f>
        <v>46266</v>
      </c>
      <c r="M4978" s="31" t="n">
        <f aca="false">WEEKDAY(B4978,2)</f>
        <v>1</v>
      </c>
      <c r="N4978" s="31" t="str">
        <f aca="false">IF(G4978&lt;=INDEX(Assumptions!$B$15:$B$18,MATCH(E4978,Assumptions!$A$15:$A$18,0)),"Yes","No")</f>
        <v>No</v>
      </c>
      <c r="O4978" s="31" t="str">
        <f aca="false">IF(H4978="","Open",IF(H4978&lt;=INDEX(Assumptions!$C$15:$C$18,MATCH(E4978,Assumptions!$A$15:$A$18,0)),"Yes","No"))</f>
        <v>Yes</v>
      </c>
    </row>
    <row r="4979" customFormat="false" ht="15" hidden="false" customHeight="false" outlineLevel="0" collapsed="false">
      <c r="A4979" s="31" t="s">
        <v>5129</v>
      </c>
      <c r="B4979" s="44" t="n">
        <v>46272</v>
      </c>
      <c r="C4979" s="31" t="s">
        <v>58</v>
      </c>
      <c r="D4979" s="31" t="s">
        <v>65</v>
      </c>
      <c r="E4979" s="31" t="s">
        <v>51</v>
      </c>
      <c r="F4979" s="31" t="s">
        <v>126</v>
      </c>
      <c r="G4979" s="31" t="n">
        <v>21</v>
      </c>
      <c r="H4979" s="41" t="n">
        <v>12.9</v>
      </c>
      <c r="I4979" s="31" t="s">
        <v>149</v>
      </c>
      <c r="J4979" s="31" t="n">
        <v>5</v>
      </c>
      <c r="K4979" s="31" t="s">
        <v>150</v>
      </c>
      <c r="L4979" s="45" t="n">
        <f aca="false">DATE(YEAR(B4979),MONTH(B4979),1)</f>
        <v>46266</v>
      </c>
      <c r="M4979" s="31" t="n">
        <f aca="false">WEEKDAY(B4979,2)</f>
        <v>1</v>
      </c>
      <c r="N4979" s="31" t="str">
        <f aca="false">IF(G4979&lt;=INDEX(Assumptions!$B$15:$B$18,MATCH(E4979,Assumptions!$A$15:$A$18,0)),"Yes","No")</f>
        <v>Yes</v>
      </c>
      <c r="O4979" s="31" t="str">
        <f aca="false">IF(H4979="","Open",IF(H4979&lt;=INDEX(Assumptions!$C$15:$C$18,MATCH(E4979,Assumptions!$A$15:$A$18,0)),"Yes","No"))</f>
        <v>Yes</v>
      </c>
    </row>
    <row r="4980" customFormat="false" ht="15" hidden="false" customHeight="false" outlineLevel="0" collapsed="false">
      <c r="A4980" s="31" t="s">
        <v>5130</v>
      </c>
      <c r="B4980" s="44" t="n">
        <v>46272</v>
      </c>
      <c r="C4980" s="31" t="s">
        <v>60</v>
      </c>
      <c r="D4980" s="31" t="s">
        <v>67</v>
      </c>
      <c r="E4980" s="31" t="s">
        <v>51</v>
      </c>
      <c r="F4980" s="31" t="s">
        <v>127</v>
      </c>
      <c r="G4980" s="31" t="n">
        <v>3</v>
      </c>
      <c r="H4980" s="41" t="n">
        <v>5.6</v>
      </c>
      <c r="I4980" s="31" t="s">
        <v>149</v>
      </c>
      <c r="J4980" s="31"/>
      <c r="K4980" s="31" t="s">
        <v>153</v>
      </c>
      <c r="L4980" s="45" t="n">
        <f aca="false">DATE(YEAR(B4980),MONTH(B4980),1)</f>
        <v>46266</v>
      </c>
      <c r="M4980" s="31" t="n">
        <f aca="false">WEEKDAY(B4980,2)</f>
        <v>1</v>
      </c>
      <c r="N4980" s="31" t="str">
        <f aca="false">IF(G4980&lt;=INDEX(Assumptions!$B$15:$B$18,MATCH(E4980,Assumptions!$A$15:$A$18,0)),"Yes","No")</f>
        <v>Yes</v>
      </c>
      <c r="O4980" s="31" t="str">
        <f aca="false">IF(H4980="","Open",IF(H4980&lt;=INDEX(Assumptions!$C$15:$C$18,MATCH(E4980,Assumptions!$A$15:$A$18,0)),"Yes","No"))</f>
        <v>Yes</v>
      </c>
    </row>
    <row r="4981" customFormat="false" ht="15" hidden="false" customHeight="false" outlineLevel="0" collapsed="false">
      <c r="A4981" s="31" t="s">
        <v>5131</v>
      </c>
      <c r="B4981" s="44" t="n">
        <v>46272</v>
      </c>
      <c r="C4981" s="31" t="s">
        <v>57</v>
      </c>
      <c r="D4981" s="31" t="s">
        <v>67</v>
      </c>
      <c r="E4981" s="31" t="s">
        <v>51</v>
      </c>
      <c r="F4981" s="31" t="s">
        <v>123</v>
      </c>
      <c r="G4981" s="31" t="n">
        <v>5</v>
      </c>
      <c r="H4981" s="41" t="n">
        <v>1.7</v>
      </c>
      <c r="I4981" s="31" t="s">
        <v>149</v>
      </c>
      <c r="J4981" s="31"/>
      <c r="K4981" s="31" t="s">
        <v>150</v>
      </c>
      <c r="L4981" s="45" t="n">
        <f aca="false">DATE(YEAR(B4981),MONTH(B4981),1)</f>
        <v>46266</v>
      </c>
      <c r="M4981" s="31" t="n">
        <f aca="false">WEEKDAY(B4981,2)</f>
        <v>1</v>
      </c>
      <c r="N4981" s="31" t="str">
        <f aca="false">IF(G4981&lt;=INDEX(Assumptions!$B$15:$B$18,MATCH(E4981,Assumptions!$A$15:$A$18,0)),"Yes","No")</f>
        <v>Yes</v>
      </c>
      <c r="O4981" s="31" t="str">
        <f aca="false">IF(H4981="","Open",IF(H4981&lt;=INDEX(Assumptions!$C$15:$C$18,MATCH(E4981,Assumptions!$A$15:$A$18,0)),"Yes","No"))</f>
        <v>Yes</v>
      </c>
    </row>
    <row r="4982" customFormat="false" ht="15" hidden="false" customHeight="false" outlineLevel="0" collapsed="false">
      <c r="A4982" s="31" t="s">
        <v>5132</v>
      </c>
      <c r="B4982" s="44" t="n">
        <v>46272</v>
      </c>
      <c r="C4982" s="31" t="s">
        <v>59</v>
      </c>
      <c r="D4982" s="31" t="s">
        <v>65</v>
      </c>
      <c r="E4982" s="31" t="s">
        <v>51</v>
      </c>
      <c r="F4982" s="31" t="s">
        <v>127</v>
      </c>
      <c r="G4982" s="31" t="n">
        <v>315</v>
      </c>
      <c r="H4982" s="41" t="n">
        <v>4.4</v>
      </c>
      <c r="I4982" s="31" t="s">
        <v>149</v>
      </c>
      <c r="J4982" s="31"/>
      <c r="K4982" s="31" t="s">
        <v>150</v>
      </c>
      <c r="L4982" s="45" t="n">
        <f aca="false">DATE(YEAR(B4982),MONTH(B4982),1)</f>
        <v>46266</v>
      </c>
      <c r="M4982" s="31" t="n">
        <f aca="false">WEEKDAY(B4982,2)</f>
        <v>1</v>
      </c>
      <c r="N4982" s="31" t="str">
        <f aca="false">IF(G4982&lt;=INDEX(Assumptions!$B$15:$B$18,MATCH(E4982,Assumptions!$A$15:$A$18,0)),"Yes","No")</f>
        <v>No</v>
      </c>
      <c r="O4982" s="31" t="str">
        <f aca="false">IF(H4982="","Open",IF(H4982&lt;=INDEX(Assumptions!$C$15:$C$18,MATCH(E4982,Assumptions!$A$15:$A$18,0)),"Yes","No"))</f>
        <v>Yes</v>
      </c>
    </row>
    <row r="4983" customFormat="false" ht="15" hidden="false" customHeight="false" outlineLevel="0" collapsed="false">
      <c r="A4983" s="31" t="s">
        <v>5133</v>
      </c>
      <c r="B4983" s="44" t="n">
        <v>46272</v>
      </c>
      <c r="C4983" s="31" t="s">
        <v>59</v>
      </c>
      <c r="D4983" s="31" t="s">
        <v>65</v>
      </c>
      <c r="E4983" s="31" t="s">
        <v>51</v>
      </c>
      <c r="F4983" s="31" t="s">
        <v>129</v>
      </c>
      <c r="G4983" s="31" t="n">
        <v>38</v>
      </c>
      <c r="H4983" s="41" t="n">
        <v>6.1</v>
      </c>
      <c r="I4983" s="31" t="s">
        <v>149</v>
      </c>
      <c r="J4983" s="31"/>
      <c r="K4983" s="31" t="s">
        <v>153</v>
      </c>
      <c r="L4983" s="45" t="n">
        <f aca="false">DATE(YEAR(B4983),MONTH(B4983),1)</f>
        <v>46266</v>
      </c>
      <c r="M4983" s="31" t="n">
        <f aca="false">WEEKDAY(B4983,2)</f>
        <v>1</v>
      </c>
      <c r="N4983" s="31" t="str">
        <f aca="false">IF(G4983&lt;=INDEX(Assumptions!$B$15:$B$18,MATCH(E4983,Assumptions!$A$15:$A$18,0)),"Yes","No")</f>
        <v>Yes</v>
      </c>
      <c r="O4983" s="31" t="str">
        <f aca="false">IF(H4983="","Open",IF(H4983&lt;=INDEX(Assumptions!$C$15:$C$18,MATCH(E4983,Assumptions!$A$15:$A$18,0)),"Yes","No"))</f>
        <v>Yes</v>
      </c>
    </row>
    <row r="4984" customFormat="false" ht="15" hidden="false" customHeight="false" outlineLevel="0" collapsed="false">
      <c r="A4984" s="31" t="s">
        <v>5134</v>
      </c>
      <c r="B4984" s="44" t="n">
        <v>46272</v>
      </c>
      <c r="C4984" s="31" t="s">
        <v>57</v>
      </c>
      <c r="D4984" s="31" t="s">
        <v>65</v>
      </c>
      <c r="E4984" s="31" t="s">
        <v>51</v>
      </c>
      <c r="F4984" s="31" t="s">
        <v>135</v>
      </c>
      <c r="G4984" s="31" t="n">
        <v>14</v>
      </c>
      <c r="H4984" s="41" t="n">
        <v>47.4</v>
      </c>
      <c r="I4984" s="31" t="s">
        <v>149</v>
      </c>
      <c r="J4984" s="31" t="n">
        <v>3</v>
      </c>
      <c r="K4984" s="31" t="s">
        <v>150</v>
      </c>
      <c r="L4984" s="45" t="n">
        <f aca="false">DATE(YEAR(B4984),MONTH(B4984),1)</f>
        <v>46266</v>
      </c>
      <c r="M4984" s="31" t="n">
        <f aca="false">WEEKDAY(B4984,2)</f>
        <v>1</v>
      </c>
      <c r="N4984" s="31" t="str">
        <f aca="false">IF(G4984&lt;=INDEX(Assumptions!$B$15:$B$18,MATCH(E4984,Assumptions!$A$15:$A$18,0)),"Yes","No")</f>
        <v>Yes</v>
      </c>
      <c r="O4984" s="31" t="str">
        <f aca="false">IF(H4984="","Open",IF(H4984&lt;=INDEX(Assumptions!$C$15:$C$18,MATCH(E4984,Assumptions!$A$15:$A$18,0)),"Yes","No"))</f>
        <v>No</v>
      </c>
    </row>
    <row r="4985" customFormat="false" ht="15" hidden="false" customHeight="false" outlineLevel="0" collapsed="false">
      <c r="A4985" s="31" t="s">
        <v>5135</v>
      </c>
      <c r="B4985" s="44" t="n">
        <v>46272</v>
      </c>
      <c r="C4985" s="31" t="s">
        <v>60</v>
      </c>
      <c r="D4985" s="31" t="s">
        <v>65</v>
      </c>
      <c r="E4985" s="31" t="s">
        <v>50</v>
      </c>
      <c r="F4985" s="31" t="s">
        <v>134</v>
      </c>
      <c r="G4985" s="31" t="n">
        <v>2</v>
      </c>
      <c r="H4985" s="41" t="n">
        <v>11.4</v>
      </c>
      <c r="I4985" s="31" t="s">
        <v>149</v>
      </c>
      <c r="J4985" s="31" t="n">
        <v>3</v>
      </c>
      <c r="K4985" s="31" t="s">
        <v>150</v>
      </c>
      <c r="L4985" s="45" t="n">
        <f aca="false">DATE(YEAR(B4985),MONTH(B4985),1)</f>
        <v>46266</v>
      </c>
      <c r="M4985" s="31" t="n">
        <f aca="false">WEEKDAY(B4985,2)</f>
        <v>1</v>
      </c>
      <c r="N4985" s="31" t="str">
        <f aca="false">IF(G4985&lt;=INDEX(Assumptions!$B$15:$B$18,MATCH(E4985,Assumptions!$A$15:$A$18,0)),"Yes","No")</f>
        <v>Yes</v>
      </c>
      <c r="O4985" s="31" t="str">
        <f aca="false">IF(H4985="","Open",IF(H4985&lt;=INDEX(Assumptions!$C$15:$C$18,MATCH(E4985,Assumptions!$A$15:$A$18,0)),"Yes","No"))</f>
        <v>No</v>
      </c>
    </row>
    <row r="4986" customFormat="false" ht="15" hidden="false" customHeight="false" outlineLevel="0" collapsed="false">
      <c r="A4986" s="31" t="s">
        <v>5136</v>
      </c>
      <c r="B4986" s="44" t="n">
        <v>46272</v>
      </c>
      <c r="C4986" s="31" t="s">
        <v>57</v>
      </c>
      <c r="D4986" s="31" t="s">
        <v>69</v>
      </c>
      <c r="E4986" s="31" t="s">
        <v>52</v>
      </c>
      <c r="F4986" s="31" t="s">
        <v>129</v>
      </c>
      <c r="G4986" s="31" t="n">
        <v>4</v>
      </c>
      <c r="H4986" s="41" t="n">
        <v>6.7</v>
      </c>
      <c r="I4986" s="31" t="s">
        <v>149</v>
      </c>
      <c r="J4986" s="31"/>
      <c r="K4986" s="31" t="s">
        <v>150</v>
      </c>
      <c r="L4986" s="45" t="n">
        <f aca="false">DATE(YEAR(B4986),MONTH(B4986),1)</f>
        <v>46266</v>
      </c>
      <c r="M4986" s="31" t="n">
        <f aca="false">WEEKDAY(B4986,2)</f>
        <v>1</v>
      </c>
      <c r="N4986" s="31" t="str">
        <f aca="false">IF(G4986&lt;=INDEX(Assumptions!$B$15:$B$18,MATCH(E4986,Assumptions!$A$15:$A$18,0)),"Yes","No")</f>
        <v>Yes</v>
      </c>
      <c r="O4986" s="31" t="str">
        <f aca="false">IF(H4986="","Open",IF(H4986&lt;=INDEX(Assumptions!$C$15:$C$18,MATCH(E4986,Assumptions!$A$15:$A$18,0)),"Yes","No"))</f>
        <v>Yes</v>
      </c>
    </row>
    <row r="4987" customFormat="false" ht="15" hidden="false" customHeight="false" outlineLevel="0" collapsed="false">
      <c r="A4987" s="31" t="s">
        <v>5137</v>
      </c>
      <c r="B4987" s="44" t="n">
        <v>46272</v>
      </c>
      <c r="C4987" s="31" t="s">
        <v>59</v>
      </c>
      <c r="D4987" s="31" t="s">
        <v>66</v>
      </c>
      <c r="E4987" s="31" t="s">
        <v>52</v>
      </c>
      <c r="F4987" s="31" t="s">
        <v>128</v>
      </c>
      <c r="G4987" s="31" t="n">
        <v>987</v>
      </c>
      <c r="H4987" s="41" t="n">
        <v>9.6</v>
      </c>
      <c r="I4987" s="31" t="s">
        <v>149</v>
      </c>
      <c r="J4987" s="31"/>
      <c r="K4987" s="31" t="s">
        <v>150</v>
      </c>
      <c r="L4987" s="45" t="n">
        <f aca="false">DATE(YEAR(B4987),MONTH(B4987),1)</f>
        <v>46266</v>
      </c>
      <c r="M4987" s="31" t="n">
        <f aca="false">WEEKDAY(B4987,2)</f>
        <v>1</v>
      </c>
      <c r="N4987" s="31" t="str">
        <f aca="false">IF(G4987&lt;=INDEX(Assumptions!$B$15:$B$18,MATCH(E4987,Assumptions!$A$15:$A$18,0)),"Yes","No")</f>
        <v>No</v>
      </c>
      <c r="O4987" s="31" t="str">
        <f aca="false">IF(H4987="","Open",IF(H4987&lt;=INDEX(Assumptions!$C$15:$C$18,MATCH(E4987,Assumptions!$A$15:$A$18,0)),"Yes","No"))</f>
        <v>Yes</v>
      </c>
    </row>
    <row r="4988" customFormat="false" ht="15" hidden="false" customHeight="false" outlineLevel="0" collapsed="false">
      <c r="A4988" s="31" t="s">
        <v>5138</v>
      </c>
      <c r="B4988" s="44" t="n">
        <v>46272</v>
      </c>
      <c r="C4988" s="31" t="s">
        <v>59</v>
      </c>
      <c r="D4988" s="31" t="s">
        <v>67</v>
      </c>
      <c r="E4988" s="31" t="s">
        <v>51</v>
      </c>
      <c r="F4988" s="31" t="s">
        <v>133</v>
      </c>
      <c r="G4988" s="31" t="n">
        <v>149</v>
      </c>
      <c r="H4988" s="41" t="n">
        <v>9.2</v>
      </c>
      <c r="I4988" s="31" t="s">
        <v>149</v>
      </c>
      <c r="J4988" s="31" t="n">
        <v>4</v>
      </c>
      <c r="K4988" s="31" t="s">
        <v>150</v>
      </c>
      <c r="L4988" s="45" t="n">
        <f aca="false">DATE(YEAR(B4988),MONTH(B4988),1)</f>
        <v>46266</v>
      </c>
      <c r="M4988" s="31" t="n">
        <f aca="false">WEEKDAY(B4988,2)</f>
        <v>1</v>
      </c>
      <c r="N4988" s="31" t="str">
        <f aca="false">IF(G4988&lt;=INDEX(Assumptions!$B$15:$B$18,MATCH(E4988,Assumptions!$A$15:$A$18,0)),"Yes","No")</f>
        <v>No</v>
      </c>
      <c r="O4988" s="31" t="str">
        <f aca="false">IF(H4988="","Open",IF(H4988&lt;=INDEX(Assumptions!$C$15:$C$18,MATCH(E4988,Assumptions!$A$15:$A$18,0)),"Yes","No"))</f>
        <v>Yes</v>
      </c>
    </row>
    <row r="4989" customFormat="false" ht="15" hidden="false" customHeight="false" outlineLevel="0" collapsed="false">
      <c r="A4989" s="31" t="s">
        <v>5139</v>
      </c>
      <c r="B4989" s="44" t="n">
        <v>46272</v>
      </c>
      <c r="C4989" s="31" t="s">
        <v>57</v>
      </c>
      <c r="D4989" s="31" t="s">
        <v>66</v>
      </c>
      <c r="E4989" s="31" t="s">
        <v>50</v>
      </c>
      <c r="F4989" s="31" t="s">
        <v>121</v>
      </c>
      <c r="G4989" s="31" t="n">
        <v>5</v>
      </c>
      <c r="H4989" s="41" t="n">
        <v>3.8</v>
      </c>
      <c r="I4989" s="31" t="s">
        <v>149</v>
      </c>
      <c r="J4989" s="31"/>
      <c r="K4989" s="31" t="s">
        <v>150</v>
      </c>
      <c r="L4989" s="45" t="n">
        <f aca="false">DATE(YEAR(B4989),MONTH(B4989),1)</f>
        <v>46266</v>
      </c>
      <c r="M4989" s="31" t="n">
        <f aca="false">WEEKDAY(B4989,2)</f>
        <v>1</v>
      </c>
      <c r="N4989" s="31" t="str">
        <f aca="false">IF(G4989&lt;=INDEX(Assumptions!$B$15:$B$18,MATCH(E4989,Assumptions!$A$15:$A$18,0)),"Yes","No")</f>
        <v>Yes</v>
      </c>
      <c r="O4989" s="31" t="str">
        <f aca="false">IF(H4989="","Open",IF(H4989&lt;=INDEX(Assumptions!$C$15:$C$18,MATCH(E4989,Assumptions!$A$15:$A$18,0)),"Yes","No"))</f>
        <v>Yes</v>
      </c>
    </row>
    <row r="4990" customFormat="false" ht="15" hidden="false" customHeight="false" outlineLevel="0" collapsed="false">
      <c r="A4990" s="31" t="s">
        <v>5140</v>
      </c>
      <c r="B4990" s="44" t="n">
        <v>46272</v>
      </c>
      <c r="C4990" s="31" t="s">
        <v>58</v>
      </c>
      <c r="D4990" s="31" t="s">
        <v>66</v>
      </c>
      <c r="E4990" s="31" t="s">
        <v>52</v>
      </c>
      <c r="F4990" s="31" t="s">
        <v>119</v>
      </c>
      <c r="G4990" s="31" t="n">
        <v>25</v>
      </c>
      <c r="H4990" s="41" t="n">
        <v>17.8</v>
      </c>
      <c r="I4990" s="31" t="s">
        <v>149</v>
      </c>
      <c r="J4990" s="31"/>
      <c r="K4990" s="31" t="s">
        <v>153</v>
      </c>
      <c r="L4990" s="45" t="n">
        <f aca="false">DATE(YEAR(B4990),MONTH(B4990),1)</f>
        <v>46266</v>
      </c>
      <c r="M4990" s="31" t="n">
        <f aca="false">WEEKDAY(B4990,2)</f>
        <v>1</v>
      </c>
      <c r="N4990" s="31" t="str">
        <f aca="false">IF(G4990&lt;=INDEX(Assumptions!$B$15:$B$18,MATCH(E4990,Assumptions!$A$15:$A$18,0)),"Yes","No")</f>
        <v>Yes</v>
      </c>
      <c r="O4990" s="31" t="str">
        <f aca="false">IF(H4990="","Open",IF(H4990&lt;=INDEX(Assumptions!$C$15:$C$18,MATCH(E4990,Assumptions!$A$15:$A$18,0)),"Yes","No"))</f>
        <v>Yes</v>
      </c>
    </row>
    <row r="4991" customFormat="false" ht="15" hidden="false" customHeight="false" outlineLevel="0" collapsed="false">
      <c r="A4991" s="31" t="s">
        <v>5141</v>
      </c>
      <c r="B4991" s="44" t="n">
        <v>46272</v>
      </c>
      <c r="C4991" s="31" t="s">
        <v>57</v>
      </c>
      <c r="D4991" s="31" t="s">
        <v>66</v>
      </c>
      <c r="E4991" s="31" t="s">
        <v>52</v>
      </c>
      <c r="F4991" s="31" t="s">
        <v>121</v>
      </c>
      <c r="G4991" s="31" t="n">
        <v>11</v>
      </c>
      <c r="H4991" s="41" t="n">
        <v>7.3</v>
      </c>
      <c r="I4991" s="31" t="s">
        <v>149</v>
      </c>
      <c r="J4991" s="31" t="n">
        <v>5</v>
      </c>
      <c r="K4991" s="31" t="s">
        <v>150</v>
      </c>
      <c r="L4991" s="45" t="n">
        <f aca="false">DATE(YEAR(B4991),MONTH(B4991),1)</f>
        <v>46266</v>
      </c>
      <c r="M4991" s="31" t="n">
        <f aca="false">WEEKDAY(B4991,2)</f>
        <v>1</v>
      </c>
      <c r="N4991" s="31" t="str">
        <f aca="false">IF(G4991&lt;=INDEX(Assumptions!$B$15:$B$18,MATCH(E4991,Assumptions!$A$15:$A$18,0)),"Yes","No")</f>
        <v>Yes</v>
      </c>
      <c r="O4991" s="31" t="str">
        <f aca="false">IF(H4991="","Open",IF(H4991&lt;=INDEX(Assumptions!$C$15:$C$18,MATCH(E4991,Assumptions!$A$15:$A$18,0)),"Yes","No"))</f>
        <v>Yes</v>
      </c>
    </row>
    <row r="4992" customFormat="false" ht="15" hidden="false" customHeight="false" outlineLevel="0" collapsed="false">
      <c r="A4992" s="31" t="s">
        <v>5142</v>
      </c>
      <c r="B4992" s="44" t="n">
        <v>46272</v>
      </c>
      <c r="C4992" s="31" t="s">
        <v>60</v>
      </c>
      <c r="D4992" s="31" t="s">
        <v>67</v>
      </c>
      <c r="E4992" s="31" t="s">
        <v>51</v>
      </c>
      <c r="F4992" s="31" t="s">
        <v>123</v>
      </c>
      <c r="G4992" s="31" t="n">
        <v>1</v>
      </c>
      <c r="H4992" s="41" t="n">
        <v>16.3</v>
      </c>
      <c r="I4992" s="31" t="s">
        <v>149</v>
      </c>
      <c r="J4992" s="31" t="n">
        <v>4</v>
      </c>
      <c r="K4992" s="31" t="s">
        <v>150</v>
      </c>
      <c r="L4992" s="45" t="n">
        <f aca="false">DATE(YEAR(B4992),MONTH(B4992),1)</f>
        <v>46266</v>
      </c>
      <c r="M4992" s="31" t="n">
        <f aca="false">WEEKDAY(B4992,2)</f>
        <v>1</v>
      </c>
      <c r="N4992" s="31" t="str">
        <f aca="false">IF(G4992&lt;=INDEX(Assumptions!$B$15:$B$18,MATCH(E4992,Assumptions!$A$15:$A$18,0)),"Yes","No")</f>
        <v>Yes</v>
      </c>
      <c r="O4992" s="31" t="str">
        <f aca="false">IF(H4992="","Open",IF(H4992&lt;=INDEX(Assumptions!$C$15:$C$18,MATCH(E4992,Assumptions!$A$15:$A$18,0)),"Yes","No"))</f>
        <v>Yes</v>
      </c>
    </row>
    <row r="4993" customFormat="false" ht="15" hidden="false" customHeight="false" outlineLevel="0" collapsed="false">
      <c r="A4993" s="31" t="s">
        <v>5143</v>
      </c>
      <c r="B4993" s="44" t="n">
        <v>46272</v>
      </c>
      <c r="C4993" s="31" t="s">
        <v>57</v>
      </c>
      <c r="D4993" s="31" t="s">
        <v>69</v>
      </c>
      <c r="E4993" s="31" t="s">
        <v>51</v>
      </c>
      <c r="F4993" s="31" t="s">
        <v>122</v>
      </c>
      <c r="G4993" s="31" t="n">
        <v>4</v>
      </c>
      <c r="H4993" s="41" t="n">
        <v>85.7</v>
      </c>
      <c r="I4993" s="31" t="s">
        <v>149</v>
      </c>
      <c r="J4993" s="31" t="n">
        <v>3</v>
      </c>
      <c r="K4993" s="31" t="s">
        <v>150</v>
      </c>
      <c r="L4993" s="45" t="n">
        <f aca="false">DATE(YEAR(B4993),MONTH(B4993),1)</f>
        <v>46266</v>
      </c>
      <c r="M4993" s="31" t="n">
        <f aca="false">WEEKDAY(B4993,2)</f>
        <v>1</v>
      </c>
      <c r="N4993" s="31" t="str">
        <f aca="false">IF(G4993&lt;=INDEX(Assumptions!$B$15:$B$18,MATCH(E4993,Assumptions!$A$15:$A$18,0)),"Yes","No")</f>
        <v>Yes</v>
      </c>
      <c r="O4993" s="31" t="str">
        <f aca="false">IF(H4993="","Open",IF(H4993&lt;=INDEX(Assumptions!$C$15:$C$18,MATCH(E4993,Assumptions!$A$15:$A$18,0)),"Yes","No"))</f>
        <v>No</v>
      </c>
    </row>
    <row r="4994" customFormat="false" ht="15" hidden="false" customHeight="false" outlineLevel="0" collapsed="false">
      <c r="A4994" s="31" t="s">
        <v>5144</v>
      </c>
      <c r="B4994" s="44" t="n">
        <v>46272</v>
      </c>
      <c r="C4994" s="31" t="s">
        <v>60</v>
      </c>
      <c r="D4994" s="31" t="s">
        <v>65</v>
      </c>
      <c r="E4994" s="31" t="s">
        <v>52</v>
      </c>
      <c r="F4994" s="31" t="s">
        <v>126</v>
      </c>
      <c r="G4994" s="31" t="n">
        <v>8</v>
      </c>
      <c r="H4994" s="41" t="n">
        <v>14.7</v>
      </c>
      <c r="I4994" s="31" t="s">
        <v>149</v>
      </c>
      <c r="J4994" s="31"/>
      <c r="K4994" s="31" t="s">
        <v>150</v>
      </c>
      <c r="L4994" s="45" t="n">
        <f aca="false">DATE(YEAR(B4994),MONTH(B4994),1)</f>
        <v>46266</v>
      </c>
      <c r="M4994" s="31" t="n">
        <f aca="false">WEEKDAY(B4994,2)</f>
        <v>1</v>
      </c>
      <c r="N4994" s="31" t="str">
        <f aca="false">IF(G4994&lt;=INDEX(Assumptions!$B$15:$B$18,MATCH(E4994,Assumptions!$A$15:$A$18,0)),"Yes","No")</f>
        <v>Yes</v>
      </c>
      <c r="O4994" s="31" t="str">
        <f aca="false">IF(H4994="","Open",IF(H4994&lt;=INDEX(Assumptions!$C$15:$C$18,MATCH(E4994,Assumptions!$A$15:$A$18,0)),"Yes","No"))</f>
        <v>Yes</v>
      </c>
    </row>
    <row r="4995" customFormat="false" ht="15" hidden="false" customHeight="false" outlineLevel="0" collapsed="false">
      <c r="A4995" s="31" t="s">
        <v>5145</v>
      </c>
      <c r="B4995" s="44" t="n">
        <v>46272</v>
      </c>
      <c r="C4995" s="31" t="s">
        <v>57</v>
      </c>
      <c r="D4995" s="31" t="s">
        <v>67</v>
      </c>
      <c r="E4995" s="31" t="s">
        <v>50</v>
      </c>
      <c r="F4995" s="31" t="s">
        <v>131</v>
      </c>
      <c r="G4995" s="31" t="n">
        <v>5</v>
      </c>
      <c r="H4995" s="41" t="n">
        <v>14.5</v>
      </c>
      <c r="I4995" s="31" t="s">
        <v>149</v>
      </c>
      <c r="J4995" s="31" t="n">
        <v>3</v>
      </c>
      <c r="K4995" s="31" t="s">
        <v>150</v>
      </c>
      <c r="L4995" s="45" t="n">
        <f aca="false">DATE(YEAR(B4995),MONTH(B4995),1)</f>
        <v>46266</v>
      </c>
      <c r="M4995" s="31" t="n">
        <f aca="false">WEEKDAY(B4995,2)</f>
        <v>1</v>
      </c>
      <c r="N4995" s="31" t="str">
        <f aca="false">IF(G4995&lt;=INDEX(Assumptions!$B$15:$B$18,MATCH(E4995,Assumptions!$A$15:$A$18,0)),"Yes","No")</f>
        <v>Yes</v>
      </c>
      <c r="O4995" s="31" t="str">
        <f aca="false">IF(H4995="","Open",IF(H4995&lt;=INDEX(Assumptions!$C$15:$C$18,MATCH(E4995,Assumptions!$A$15:$A$18,0)),"Yes","No"))</f>
        <v>No</v>
      </c>
    </row>
    <row r="4996" customFormat="false" ht="15" hidden="false" customHeight="false" outlineLevel="0" collapsed="false">
      <c r="A4996" s="31" t="s">
        <v>5146</v>
      </c>
      <c r="B4996" s="44" t="n">
        <v>46272</v>
      </c>
      <c r="C4996" s="31" t="s">
        <v>60</v>
      </c>
      <c r="D4996" s="31" t="s">
        <v>65</v>
      </c>
      <c r="E4996" s="31" t="s">
        <v>52</v>
      </c>
      <c r="F4996" s="31" t="s">
        <v>128</v>
      </c>
      <c r="G4996" s="31" t="n">
        <v>2</v>
      </c>
      <c r="H4996" s="41" t="n">
        <v>26.9</v>
      </c>
      <c r="I4996" s="31" t="s">
        <v>149</v>
      </c>
      <c r="J4996" s="31" t="n">
        <v>4</v>
      </c>
      <c r="K4996" s="31" t="s">
        <v>150</v>
      </c>
      <c r="L4996" s="45" t="n">
        <f aca="false">DATE(YEAR(B4996),MONTH(B4996),1)</f>
        <v>46266</v>
      </c>
      <c r="M4996" s="31" t="n">
        <f aca="false">WEEKDAY(B4996,2)</f>
        <v>1</v>
      </c>
      <c r="N4996" s="31" t="str">
        <f aca="false">IF(G4996&lt;=INDEX(Assumptions!$B$15:$B$18,MATCH(E4996,Assumptions!$A$15:$A$18,0)),"Yes","No")</f>
        <v>Yes</v>
      </c>
      <c r="O4996" s="31" t="str">
        <f aca="false">IF(H4996="","Open",IF(H4996&lt;=INDEX(Assumptions!$C$15:$C$18,MATCH(E4996,Assumptions!$A$15:$A$18,0)),"Yes","No"))</f>
        <v>Yes</v>
      </c>
    </row>
    <row r="4997" customFormat="false" ht="15" hidden="false" customHeight="false" outlineLevel="0" collapsed="false">
      <c r="A4997" s="31" t="s">
        <v>5147</v>
      </c>
      <c r="B4997" s="44" t="n">
        <v>46272</v>
      </c>
      <c r="C4997" s="31" t="s">
        <v>57</v>
      </c>
      <c r="D4997" s="31" t="s">
        <v>66</v>
      </c>
      <c r="E4997" s="31" t="s">
        <v>52</v>
      </c>
      <c r="F4997" s="31" t="s">
        <v>126</v>
      </c>
      <c r="G4997" s="31" t="n">
        <v>2</v>
      </c>
      <c r="H4997" s="41" t="n">
        <v>8.9</v>
      </c>
      <c r="I4997" s="31" t="s">
        <v>149</v>
      </c>
      <c r="J4997" s="31" t="n">
        <v>5</v>
      </c>
      <c r="K4997" s="31" t="s">
        <v>150</v>
      </c>
      <c r="L4997" s="45" t="n">
        <f aca="false">DATE(YEAR(B4997),MONTH(B4997),1)</f>
        <v>46266</v>
      </c>
      <c r="M4997" s="31" t="n">
        <f aca="false">WEEKDAY(B4997,2)</f>
        <v>1</v>
      </c>
      <c r="N4997" s="31" t="str">
        <f aca="false">IF(G4997&lt;=INDEX(Assumptions!$B$15:$B$18,MATCH(E4997,Assumptions!$A$15:$A$18,0)),"Yes","No")</f>
        <v>Yes</v>
      </c>
      <c r="O4997" s="31" t="str">
        <f aca="false">IF(H4997="","Open",IF(H4997&lt;=INDEX(Assumptions!$C$15:$C$18,MATCH(E4997,Assumptions!$A$15:$A$18,0)),"Yes","No"))</f>
        <v>Yes</v>
      </c>
    </row>
    <row r="4998" customFormat="false" ht="15" hidden="false" customHeight="false" outlineLevel="0" collapsed="false">
      <c r="A4998" s="31" t="s">
        <v>5148</v>
      </c>
      <c r="B4998" s="44" t="n">
        <v>46272</v>
      </c>
      <c r="C4998" s="31" t="s">
        <v>59</v>
      </c>
      <c r="D4998" s="31" t="s">
        <v>69</v>
      </c>
      <c r="E4998" s="31" t="s">
        <v>51</v>
      </c>
      <c r="F4998" s="31" t="s">
        <v>124</v>
      </c>
      <c r="G4998" s="31" t="n">
        <v>53</v>
      </c>
      <c r="H4998" s="41" t="n">
        <v>36</v>
      </c>
      <c r="I4998" s="31" t="s">
        <v>149</v>
      </c>
      <c r="J4998" s="31" t="n">
        <v>5</v>
      </c>
      <c r="K4998" s="31" t="s">
        <v>150</v>
      </c>
      <c r="L4998" s="45" t="n">
        <f aca="false">DATE(YEAR(B4998),MONTH(B4998),1)</f>
        <v>46266</v>
      </c>
      <c r="M4998" s="31" t="n">
        <f aca="false">WEEKDAY(B4998,2)</f>
        <v>1</v>
      </c>
      <c r="N4998" s="31" t="str">
        <f aca="false">IF(G4998&lt;=INDEX(Assumptions!$B$15:$B$18,MATCH(E4998,Assumptions!$A$15:$A$18,0)),"Yes","No")</f>
        <v>Yes</v>
      </c>
      <c r="O4998" s="31" t="str">
        <f aca="false">IF(H4998="","Open",IF(H4998&lt;=INDEX(Assumptions!$C$15:$C$18,MATCH(E4998,Assumptions!$A$15:$A$18,0)),"Yes","No"))</f>
        <v>No</v>
      </c>
    </row>
    <row r="4999" customFormat="false" ht="15" hidden="false" customHeight="false" outlineLevel="0" collapsed="false">
      <c r="A4999" s="31" t="s">
        <v>5149</v>
      </c>
      <c r="B4999" s="44" t="n">
        <v>46272</v>
      </c>
      <c r="C4999" s="31" t="s">
        <v>60</v>
      </c>
      <c r="D4999" s="31" t="s">
        <v>65</v>
      </c>
      <c r="E4999" s="31" t="s">
        <v>51</v>
      </c>
      <c r="F4999" s="31" t="s">
        <v>124</v>
      </c>
      <c r="G4999" s="31" t="n">
        <v>1</v>
      </c>
      <c r="H4999" s="41" t="n">
        <v>6.3</v>
      </c>
      <c r="I4999" s="31" t="s">
        <v>149</v>
      </c>
      <c r="J4999" s="31"/>
      <c r="K4999" s="31" t="s">
        <v>150</v>
      </c>
      <c r="L4999" s="45" t="n">
        <f aca="false">DATE(YEAR(B4999),MONTH(B4999),1)</f>
        <v>46266</v>
      </c>
      <c r="M4999" s="31" t="n">
        <f aca="false">WEEKDAY(B4999,2)</f>
        <v>1</v>
      </c>
      <c r="N4999" s="31" t="str">
        <f aca="false">IF(G4999&lt;=INDEX(Assumptions!$B$15:$B$18,MATCH(E4999,Assumptions!$A$15:$A$18,0)),"Yes","No")</f>
        <v>Yes</v>
      </c>
      <c r="O4999" s="31" t="str">
        <f aca="false">IF(H4999="","Open",IF(H4999&lt;=INDEX(Assumptions!$C$15:$C$18,MATCH(E4999,Assumptions!$A$15:$A$18,0)),"Yes","No"))</f>
        <v>Yes</v>
      </c>
    </row>
    <row r="5000" customFormat="false" ht="15" hidden="false" customHeight="false" outlineLevel="0" collapsed="false">
      <c r="A5000" s="31" t="s">
        <v>5150</v>
      </c>
      <c r="B5000" s="44" t="n">
        <v>46272</v>
      </c>
      <c r="C5000" s="31" t="s">
        <v>59</v>
      </c>
      <c r="D5000" s="31" t="s">
        <v>68</v>
      </c>
      <c r="E5000" s="31" t="s">
        <v>50</v>
      </c>
      <c r="F5000" s="31" t="s">
        <v>123</v>
      </c>
      <c r="G5000" s="31" t="n">
        <v>21</v>
      </c>
      <c r="H5000" s="41" t="n">
        <v>2</v>
      </c>
      <c r="I5000" s="31" t="s">
        <v>149</v>
      </c>
      <c r="J5000" s="31" t="n">
        <v>4</v>
      </c>
      <c r="K5000" s="31" t="s">
        <v>150</v>
      </c>
      <c r="L5000" s="45" t="n">
        <f aca="false">DATE(YEAR(B5000),MONTH(B5000),1)</f>
        <v>46266</v>
      </c>
      <c r="M5000" s="31" t="n">
        <f aca="false">WEEKDAY(B5000,2)</f>
        <v>1</v>
      </c>
      <c r="N5000" s="31" t="str">
        <f aca="false">IF(G5000&lt;=INDEX(Assumptions!$B$15:$B$18,MATCH(E5000,Assumptions!$A$15:$A$18,0)),"Yes","No")</f>
        <v>Yes</v>
      </c>
      <c r="O5000" s="31" t="str">
        <f aca="false">IF(H5000="","Open",IF(H5000&lt;=INDEX(Assumptions!$C$15:$C$18,MATCH(E5000,Assumptions!$A$15:$A$18,0)),"Yes","No"))</f>
        <v>Yes</v>
      </c>
    </row>
    <row r="5001" customFormat="false" ht="15" hidden="false" customHeight="false" outlineLevel="0" collapsed="false">
      <c r="A5001" s="31" t="s">
        <v>5151</v>
      </c>
      <c r="B5001" s="44" t="n">
        <v>46272</v>
      </c>
      <c r="C5001" s="31" t="s">
        <v>58</v>
      </c>
      <c r="D5001" s="31" t="s">
        <v>69</v>
      </c>
      <c r="E5001" s="31" t="s">
        <v>51</v>
      </c>
      <c r="F5001" s="31" t="s">
        <v>133</v>
      </c>
      <c r="G5001" s="31" t="n">
        <v>20</v>
      </c>
      <c r="H5001" s="41" t="n">
        <v>18.3</v>
      </c>
      <c r="I5001" s="31" t="s">
        <v>149</v>
      </c>
      <c r="J5001" s="31" t="n">
        <v>4</v>
      </c>
      <c r="K5001" s="31" t="s">
        <v>150</v>
      </c>
      <c r="L5001" s="45" t="n">
        <f aca="false">DATE(YEAR(B5001),MONTH(B5001),1)</f>
        <v>46266</v>
      </c>
      <c r="M5001" s="31" t="n">
        <f aca="false">WEEKDAY(B5001,2)</f>
        <v>1</v>
      </c>
      <c r="N5001" s="31" t="str">
        <f aca="false">IF(G5001&lt;=INDEX(Assumptions!$B$15:$B$18,MATCH(E5001,Assumptions!$A$15:$A$18,0)),"Yes","No")</f>
        <v>Yes</v>
      </c>
      <c r="O5001" s="31" t="str">
        <f aca="false">IF(H5001="","Open",IF(H5001&lt;=INDEX(Assumptions!$C$15:$C$18,MATCH(E5001,Assumptions!$A$15:$A$18,0)),"Yes","No"))</f>
        <v>Yes</v>
      </c>
    </row>
    <row r="5002" customFormat="false" ht="15" hidden="false" customHeight="false" outlineLevel="0" collapsed="false">
      <c r="A5002" s="31" t="s">
        <v>5152</v>
      </c>
      <c r="B5002" s="44" t="n">
        <v>46272</v>
      </c>
      <c r="C5002" s="31" t="s">
        <v>57</v>
      </c>
      <c r="D5002" s="31" t="s">
        <v>67</v>
      </c>
      <c r="E5002" s="31" t="s">
        <v>51</v>
      </c>
      <c r="F5002" s="31" t="s">
        <v>128</v>
      </c>
      <c r="G5002" s="31" t="n">
        <v>11</v>
      </c>
      <c r="H5002" s="41" t="n">
        <v>26.6</v>
      </c>
      <c r="I5002" s="31" t="s">
        <v>149</v>
      </c>
      <c r="J5002" s="31" t="n">
        <v>4</v>
      </c>
      <c r="K5002" s="31" t="s">
        <v>150</v>
      </c>
      <c r="L5002" s="45" t="n">
        <f aca="false">DATE(YEAR(B5002),MONTH(B5002),1)</f>
        <v>46266</v>
      </c>
      <c r="M5002" s="31" t="n">
        <f aca="false">WEEKDAY(B5002,2)</f>
        <v>1</v>
      </c>
      <c r="N5002" s="31" t="str">
        <f aca="false">IF(G5002&lt;=INDEX(Assumptions!$B$15:$B$18,MATCH(E5002,Assumptions!$A$15:$A$18,0)),"Yes","No")</f>
        <v>Yes</v>
      </c>
      <c r="O5002" s="31" t="str">
        <f aca="false">IF(H5002="","Open",IF(H5002&lt;=INDEX(Assumptions!$C$15:$C$18,MATCH(E5002,Assumptions!$A$15:$A$18,0)),"Yes","No"))</f>
        <v>No</v>
      </c>
    </row>
    <row r="5003" customFormat="false" ht="15" hidden="false" customHeight="false" outlineLevel="0" collapsed="false">
      <c r="A5003" s="31" t="s">
        <v>5153</v>
      </c>
      <c r="B5003" s="44" t="n">
        <v>46272</v>
      </c>
      <c r="C5003" s="31" t="s">
        <v>58</v>
      </c>
      <c r="D5003" s="31" t="s">
        <v>67</v>
      </c>
      <c r="E5003" s="31" t="s">
        <v>51</v>
      </c>
      <c r="F5003" s="31" t="s">
        <v>120</v>
      </c>
      <c r="G5003" s="31" t="n">
        <v>65</v>
      </c>
      <c r="H5003" s="41" t="n">
        <v>12.2</v>
      </c>
      <c r="I5003" s="31" t="s">
        <v>149</v>
      </c>
      <c r="J5003" s="31" t="n">
        <v>5</v>
      </c>
      <c r="K5003" s="31" t="s">
        <v>153</v>
      </c>
      <c r="L5003" s="45" t="n">
        <f aca="false">DATE(YEAR(B5003),MONTH(B5003),1)</f>
        <v>46266</v>
      </c>
      <c r="M5003" s="31" t="n">
        <f aca="false">WEEKDAY(B5003,2)</f>
        <v>1</v>
      </c>
      <c r="N5003" s="31" t="str">
        <f aca="false">IF(G5003&lt;=INDEX(Assumptions!$B$15:$B$18,MATCH(E5003,Assumptions!$A$15:$A$18,0)),"Yes","No")</f>
        <v>No</v>
      </c>
      <c r="O5003" s="31" t="str">
        <f aca="false">IF(H5003="","Open",IF(H5003&lt;=INDEX(Assumptions!$C$15:$C$18,MATCH(E5003,Assumptions!$A$15:$A$18,0)),"Yes","No"))</f>
        <v>Yes</v>
      </c>
    </row>
    <row r="5004" customFormat="false" ht="15" hidden="false" customHeight="false" outlineLevel="0" collapsed="false">
      <c r="A5004" s="31" t="s">
        <v>5154</v>
      </c>
      <c r="B5004" s="44" t="n">
        <v>46272</v>
      </c>
      <c r="C5004" s="31" t="s">
        <v>57</v>
      </c>
      <c r="D5004" s="31" t="s">
        <v>66</v>
      </c>
      <c r="E5004" s="31" t="s">
        <v>52</v>
      </c>
      <c r="F5004" s="31" t="s">
        <v>136</v>
      </c>
      <c r="G5004" s="31" t="n">
        <v>4</v>
      </c>
      <c r="H5004" s="41" t="n">
        <v>7.7</v>
      </c>
      <c r="I5004" s="31" t="s">
        <v>149</v>
      </c>
      <c r="J5004" s="31"/>
      <c r="K5004" s="31" t="s">
        <v>150</v>
      </c>
      <c r="L5004" s="45" t="n">
        <f aca="false">DATE(YEAR(B5004),MONTH(B5004),1)</f>
        <v>46266</v>
      </c>
      <c r="M5004" s="31" t="n">
        <f aca="false">WEEKDAY(B5004,2)</f>
        <v>1</v>
      </c>
      <c r="N5004" s="31" t="str">
        <f aca="false">IF(G5004&lt;=INDEX(Assumptions!$B$15:$B$18,MATCH(E5004,Assumptions!$A$15:$A$18,0)),"Yes","No")</f>
        <v>Yes</v>
      </c>
      <c r="O5004" s="31" t="str">
        <f aca="false">IF(H5004="","Open",IF(H5004&lt;=INDEX(Assumptions!$C$15:$C$18,MATCH(E5004,Assumptions!$A$15:$A$18,0)),"Yes","No"))</f>
        <v>Yes</v>
      </c>
    </row>
    <row r="5005" customFormat="false" ht="15" hidden="false" customHeight="false" outlineLevel="0" collapsed="false">
      <c r="A5005" s="31" t="s">
        <v>5155</v>
      </c>
      <c r="B5005" s="44" t="n">
        <v>46272</v>
      </c>
      <c r="C5005" s="31" t="s">
        <v>59</v>
      </c>
      <c r="D5005" s="31" t="s">
        <v>65</v>
      </c>
      <c r="E5005" s="31" t="s">
        <v>52</v>
      </c>
      <c r="F5005" s="31" t="s">
        <v>128</v>
      </c>
      <c r="G5005" s="31" t="n">
        <v>752</v>
      </c>
      <c r="H5005" s="41" t="n">
        <v>49.4</v>
      </c>
      <c r="I5005" s="31" t="s">
        <v>149</v>
      </c>
      <c r="J5005" s="31"/>
      <c r="K5005" s="31" t="s">
        <v>150</v>
      </c>
      <c r="L5005" s="45" t="n">
        <f aca="false">DATE(YEAR(B5005),MONTH(B5005),1)</f>
        <v>46266</v>
      </c>
      <c r="M5005" s="31" t="n">
        <f aca="false">WEEKDAY(B5005,2)</f>
        <v>1</v>
      </c>
      <c r="N5005" s="31" t="str">
        <f aca="false">IF(G5005&lt;=INDEX(Assumptions!$B$15:$B$18,MATCH(E5005,Assumptions!$A$15:$A$18,0)),"Yes","No")</f>
        <v>No</v>
      </c>
      <c r="O5005" s="31" t="str">
        <f aca="false">IF(H5005="","Open",IF(H5005&lt;=INDEX(Assumptions!$C$15:$C$18,MATCH(E5005,Assumptions!$A$15:$A$18,0)),"Yes","No"))</f>
        <v>Yes</v>
      </c>
    </row>
    <row r="5006" customFormat="false" ht="15" hidden="false" customHeight="false" outlineLevel="0" collapsed="false">
      <c r="A5006" s="31" t="s">
        <v>5156</v>
      </c>
      <c r="B5006" s="44" t="n">
        <v>46272</v>
      </c>
      <c r="C5006" s="31" t="s">
        <v>57</v>
      </c>
      <c r="D5006" s="31" t="s">
        <v>69</v>
      </c>
      <c r="E5006" s="31" t="s">
        <v>51</v>
      </c>
      <c r="F5006" s="31" t="s">
        <v>119</v>
      </c>
      <c r="G5006" s="31" t="n">
        <v>6</v>
      </c>
      <c r="H5006" s="41" t="n">
        <v>19.6</v>
      </c>
      <c r="I5006" s="31" t="s">
        <v>149</v>
      </c>
      <c r="J5006" s="31"/>
      <c r="K5006" s="31" t="s">
        <v>150</v>
      </c>
      <c r="L5006" s="45" t="n">
        <f aca="false">DATE(YEAR(B5006),MONTH(B5006),1)</f>
        <v>46266</v>
      </c>
      <c r="M5006" s="31" t="n">
        <f aca="false">WEEKDAY(B5006,2)</f>
        <v>1</v>
      </c>
      <c r="N5006" s="31" t="str">
        <f aca="false">IF(G5006&lt;=INDEX(Assumptions!$B$15:$B$18,MATCH(E5006,Assumptions!$A$15:$A$18,0)),"Yes","No")</f>
        <v>Yes</v>
      </c>
      <c r="O5006" s="31" t="str">
        <f aca="false">IF(H5006="","Open",IF(H5006&lt;=INDEX(Assumptions!$C$15:$C$18,MATCH(E5006,Assumptions!$A$15:$A$18,0)),"Yes","No"))</f>
        <v>Yes</v>
      </c>
    </row>
    <row r="5007" customFormat="false" ht="15" hidden="false" customHeight="false" outlineLevel="0" collapsed="false">
      <c r="A5007" s="31" t="s">
        <v>5157</v>
      </c>
      <c r="B5007" s="44" t="n">
        <v>46272</v>
      </c>
      <c r="C5007" s="31" t="s">
        <v>59</v>
      </c>
      <c r="D5007" s="31" t="s">
        <v>68</v>
      </c>
      <c r="E5007" s="31" t="s">
        <v>51</v>
      </c>
      <c r="F5007" s="31" t="s">
        <v>133</v>
      </c>
      <c r="G5007" s="31" t="n">
        <v>66</v>
      </c>
      <c r="H5007" s="41" t="n">
        <v>8.6</v>
      </c>
      <c r="I5007" s="31" t="s">
        <v>149</v>
      </c>
      <c r="J5007" s="31" t="n">
        <v>5</v>
      </c>
      <c r="K5007" s="31" t="s">
        <v>150</v>
      </c>
      <c r="L5007" s="45" t="n">
        <f aca="false">DATE(YEAR(B5007),MONTH(B5007),1)</f>
        <v>46266</v>
      </c>
      <c r="M5007" s="31" t="n">
        <f aca="false">WEEKDAY(B5007,2)</f>
        <v>1</v>
      </c>
      <c r="N5007" s="31" t="str">
        <f aca="false">IF(G5007&lt;=INDEX(Assumptions!$B$15:$B$18,MATCH(E5007,Assumptions!$A$15:$A$18,0)),"Yes","No")</f>
        <v>No</v>
      </c>
      <c r="O5007" s="31" t="str">
        <f aca="false">IF(H5007="","Open",IF(H5007&lt;=INDEX(Assumptions!$C$15:$C$18,MATCH(E5007,Assumptions!$A$15:$A$18,0)),"Yes","No"))</f>
        <v>Yes</v>
      </c>
    </row>
    <row r="5008" customFormat="false" ht="15" hidden="false" customHeight="false" outlineLevel="0" collapsed="false">
      <c r="A5008" s="31" t="s">
        <v>5158</v>
      </c>
      <c r="B5008" s="44" t="n">
        <v>46272</v>
      </c>
      <c r="C5008" s="31" t="s">
        <v>58</v>
      </c>
      <c r="D5008" s="31" t="s">
        <v>69</v>
      </c>
      <c r="E5008" s="31" t="s">
        <v>51</v>
      </c>
      <c r="F5008" s="31" t="s">
        <v>124</v>
      </c>
      <c r="G5008" s="31" t="n">
        <v>32</v>
      </c>
      <c r="H5008" s="41" t="n">
        <v>46.2</v>
      </c>
      <c r="I5008" s="31" t="s">
        <v>149</v>
      </c>
      <c r="J5008" s="31"/>
      <c r="K5008" s="31" t="s">
        <v>150</v>
      </c>
      <c r="L5008" s="45" t="n">
        <f aca="false">DATE(YEAR(B5008),MONTH(B5008),1)</f>
        <v>46266</v>
      </c>
      <c r="M5008" s="31" t="n">
        <f aca="false">WEEKDAY(B5008,2)</f>
        <v>1</v>
      </c>
      <c r="N5008" s="31" t="str">
        <f aca="false">IF(G5008&lt;=INDEX(Assumptions!$B$15:$B$18,MATCH(E5008,Assumptions!$A$15:$A$18,0)),"Yes","No")</f>
        <v>Yes</v>
      </c>
      <c r="O5008" s="31" t="str">
        <f aca="false">IF(H5008="","Open",IF(H5008&lt;=INDEX(Assumptions!$C$15:$C$18,MATCH(E5008,Assumptions!$A$15:$A$18,0)),"Yes","No"))</f>
        <v>No</v>
      </c>
    </row>
    <row r="5009" customFormat="false" ht="15" hidden="false" customHeight="false" outlineLevel="0" collapsed="false">
      <c r="A5009" s="31" t="s">
        <v>5159</v>
      </c>
      <c r="B5009" s="44" t="n">
        <v>46272</v>
      </c>
      <c r="C5009" s="31" t="s">
        <v>57</v>
      </c>
      <c r="D5009" s="31" t="s">
        <v>67</v>
      </c>
      <c r="E5009" s="31" t="s">
        <v>52</v>
      </c>
      <c r="F5009" s="31" t="s">
        <v>136</v>
      </c>
      <c r="G5009" s="31" t="n">
        <v>1</v>
      </c>
      <c r="H5009" s="41" t="n">
        <v>25.7</v>
      </c>
      <c r="I5009" s="31" t="s">
        <v>149</v>
      </c>
      <c r="J5009" s="31"/>
      <c r="K5009" s="31" t="s">
        <v>150</v>
      </c>
      <c r="L5009" s="45" t="n">
        <f aca="false">DATE(YEAR(B5009),MONTH(B5009),1)</f>
        <v>46266</v>
      </c>
      <c r="M5009" s="31" t="n">
        <f aca="false">WEEKDAY(B5009,2)</f>
        <v>1</v>
      </c>
      <c r="N5009" s="31" t="str">
        <f aca="false">IF(G5009&lt;=INDEX(Assumptions!$B$15:$B$18,MATCH(E5009,Assumptions!$A$15:$A$18,0)),"Yes","No")</f>
        <v>Yes</v>
      </c>
      <c r="O5009" s="31" t="str">
        <f aca="false">IF(H5009="","Open",IF(H5009&lt;=INDEX(Assumptions!$C$15:$C$18,MATCH(E5009,Assumptions!$A$15:$A$18,0)),"Yes","No"))</f>
        <v>Yes</v>
      </c>
    </row>
    <row r="5010" customFormat="false" ht="15" hidden="false" customHeight="false" outlineLevel="0" collapsed="false">
      <c r="A5010" s="31" t="s">
        <v>5160</v>
      </c>
      <c r="B5010" s="44" t="n">
        <v>46272</v>
      </c>
      <c r="C5010" s="31" t="s">
        <v>59</v>
      </c>
      <c r="D5010" s="31" t="s">
        <v>65</v>
      </c>
      <c r="E5010" s="31" t="s">
        <v>51</v>
      </c>
      <c r="F5010" s="31" t="s">
        <v>130</v>
      </c>
      <c r="G5010" s="31" t="n">
        <v>174</v>
      </c>
      <c r="H5010" s="41" t="n">
        <v>12.3</v>
      </c>
      <c r="I5010" s="31" t="s">
        <v>64</v>
      </c>
      <c r="J5010" s="31"/>
      <c r="K5010" s="31" t="s">
        <v>150</v>
      </c>
      <c r="L5010" s="45" t="n">
        <f aca="false">DATE(YEAR(B5010),MONTH(B5010),1)</f>
        <v>46266</v>
      </c>
      <c r="M5010" s="31" t="n">
        <f aca="false">WEEKDAY(B5010,2)</f>
        <v>1</v>
      </c>
      <c r="N5010" s="31" t="str">
        <f aca="false">IF(G5010&lt;=INDEX(Assumptions!$B$15:$B$18,MATCH(E5010,Assumptions!$A$15:$A$18,0)),"Yes","No")</f>
        <v>No</v>
      </c>
      <c r="O5010" s="31" t="str">
        <f aca="false">IF(H5010="","Open",IF(H5010&lt;=INDEX(Assumptions!$C$15:$C$18,MATCH(E5010,Assumptions!$A$15:$A$18,0)),"Yes","No"))</f>
        <v>Yes</v>
      </c>
    </row>
    <row r="5011" customFormat="false" ht="15" hidden="false" customHeight="false" outlineLevel="0" collapsed="false">
      <c r="A5011" s="31" t="s">
        <v>5161</v>
      </c>
      <c r="B5011" s="44" t="n">
        <v>46272</v>
      </c>
      <c r="C5011" s="31" t="s">
        <v>58</v>
      </c>
      <c r="D5011" s="31" t="s">
        <v>66</v>
      </c>
      <c r="E5011" s="31" t="s">
        <v>52</v>
      </c>
      <c r="F5011" s="31" t="s">
        <v>123</v>
      </c>
      <c r="G5011" s="31" t="n">
        <v>10</v>
      </c>
      <c r="H5011" s="41" t="n">
        <v>7.2</v>
      </c>
      <c r="I5011" s="31" t="s">
        <v>149</v>
      </c>
      <c r="J5011" s="31"/>
      <c r="K5011" s="31" t="s">
        <v>150</v>
      </c>
      <c r="L5011" s="45" t="n">
        <f aca="false">DATE(YEAR(B5011),MONTH(B5011),1)</f>
        <v>46266</v>
      </c>
      <c r="M5011" s="31" t="n">
        <f aca="false">WEEKDAY(B5011,2)</f>
        <v>1</v>
      </c>
      <c r="N5011" s="31" t="str">
        <f aca="false">IF(G5011&lt;=INDEX(Assumptions!$B$15:$B$18,MATCH(E5011,Assumptions!$A$15:$A$18,0)),"Yes","No")</f>
        <v>Yes</v>
      </c>
      <c r="O5011" s="31" t="str">
        <f aca="false">IF(H5011="","Open",IF(H5011&lt;=INDEX(Assumptions!$C$15:$C$18,MATCH(E5011,Assumptions!$A$15:$A$18,0)),"Yes","No"))</f>
        <v>Yes</v>
      </c>
    </row>
    <row r="5012" customFormat="false" ht="15" hidden="false" customHeight="false" outlineLevel="0" collapsed="false">
      <c r="A5012" s="31" t="s">
        <v>5162</v>
      </c>
      <c r="B5012" s="44" t="n">
        <v>46272</v>
      </c>
      <c r="C5012" s="31" t="s">
        <v>60</v>
      </c>
      <c r="D5012" s="31" t="s">
        <v>69</v>
      </c>
      <c r="E5012" s="31" t="s">
        <v>52</v>
      </c>
      <c r="F5012" s="31" t="s">
        <v>117</v>
      </c>
      <c r="G5012" s="31" t="n">
        <v>4</v>
      </c>
      <c r="H5012" s="41" t="n">
        <v>28.6</v>
      </c>
      <c r="I5012" s="31" t="s">
        <v>149</v>
      </c>
      <c r="J5012" s="31" t="n">
        <v>4</v>
      </c>
      <c r="K5012" s="31" t="s">
        <v>150</v>
      </c>
      <c r="L5012" s="45" t="n">
        <f aca="false">DATE(YEAR(B5012),MONTH(B5012),1)</f>
        <v>46266</v>
      </c>
      <c r="M5012" s="31" t="n">
        <f aca="false">WEEKDAY(B5012,2)</f>
        <v>1</v>
      </c>
      <c r="N5012" s="31" t="str">
        <f aca="false">IF(G5012&lt;=INDEX(Assumptions!$B$15:$B$18,MATCH(E5012,Assumptions!$A$15:$A$18,0)),"Yes","No")</f>
        <v>Yes</v>
      </c>
      <c r="O5012" s="31" t="str">
        <f aca="false">IF(H5012="","Open",IF(H5012&lt;=INDEX(Assumptions!$C$15:$C$18,MATCH(E5012,Assumptions!$A$15:$A$18,0)),"Yes","No"))</f>
        <v>Yes</v>
      </c>
    </row>
    <row r="5013" customFormat="false" ht="15" hidden="false" customHeight="false" outlineLevel="0" collapsed="false">
      <c r="A5013" s="31" t="s">
        <v>5163</v>
      </c>
      <c r="B5013" s="44" t="n">
        <v>46272</v>
      </c>
      <c r="C5013" s="31" t="s">
        <v>57</v>
      </c>
      <c r="D5013" s="31" t="s">
        <v>69</v>
      </c>
      <c r="E5013" s="31" t="s">
        <v>52</v>
      </c>
      <c r="F5013" s="31" t="s">
        <v>136</v>
      </c>
      <c r="G5013" s="31" t="n">
        <v>9</v>
      </c>
      <c r="H5013" s="41" t="n">
        <v>31.6</v>
      </c>
      <c r="I5013" s="31" t="s">
        <v>149</v>
      </c>
      <c r="J5013" s="31"/>
      <c r="K5013" s="31" t="s">
        <v>150</v>
      </c>
      <c r="L5013" s="45" t="n">
        <f aca="false">DATE(YEAR(B5013),MONTH(B5013),1)</f>
        <v>46266</v>
      </c>
      <c r="M5013" s="31" t="n">
        <f aca="false">WEEKDAY(B5013,2)</f>
        <v>1</v>
      </c>
      <c r="N5013" s="31" t="str">
        <f aca="false">IF(G5013&lt;=INDEX(Assumptions!$B$15:$B$18,MATCH(E5013,Assumptions!$A$15:$A$18,0)),"Yes","No")</f>
        <v>Yes</v>
      </c>
      <c r="O5013" s="31" t="str">
        <f aca="false">IF(H5013="","Open",IF(H5013&lt;=INDEX(Assumptions!$C$15:$C$18,MATCH(E5013,Assumptions!$A$15:$A$18,0)),"Yes","No"))</f>
        <v>Yes</v>
      </c>
    </row>
    <row r="5014" customFormat="false" ht="15" hidden="false" customHeight="false" outlineLevel="0" collapsed="false">
      <c r="A5014" s="31" t="s">
        <v>5164</v>
      </c>
      <c r="B5014" s="44" t="n">
        <v>46272</v>
      </c>
      <c r="C5014" s="31" t="s">
        <v>59</v>
      </c>
      <c r="D5014" s="31" t="s">
        <v>66</v>
      </c>
      <c r="E5014" s="31" t="s">
        <v>50</v>
      </c>
      <c r="F5014" s="31" t="s">
        <v>126</v>
      </c>
      <c r="G5014" s="31" t="n">
        <v>104</v>
      </c>
      <c r="H5014" s="41" t="n">
        <v>6</v>
      </c>
      <c r="I5014" s="31" t="s">
        <v>64</v>
      </c>
      <c r="J5014" s="31"/>
      <c r="K5014" s="31" t="s">
        <v>150</v>
      </c>
      <c r="L5014" s="45" t="n">
        <f aca="false">DATE(YEAR(B5014),MONTH(B5014),1)</f>
        <v>46266</v>
      </c>
      <c r="M5014" s="31" t="n">
        <f aca="false">WEEKDAY(B5014,2)</f>
        <v>1</v>
      </c>
      <c r="N5014" s="31" t="str">
        <f aca="false">IF(G5014&lt;=INDEX(Assumptions!$B$15:$B$18,MATCH(E5014,Assumptions!$A$15:$A$18,0)),"Yes","No")</f>
        <v>No</v>
      </c>
      <c r="O5014" s="31" t="str">
        <f aca="false">IF(H5014="","Open",IF(H5014&lt;=INDEX(Assumptions!$C$15:$C$18,MATCH(E5014,Assumptions!$A$15:$A$18,0)),"Yes","No"))</f>
        <v>Yes</v>
      </c>
    </row>
    <row r="5015" customFormat="false" ht="15" hidden="false" customHeight="false" outlineLevel="0" collapsed="false">
      <c r="A5015" s="31" t="s">
        <v>5165</v>
      </c>
      <c r="B5015" s="44" t="n">
        <v>46272</v>
      </c>
      <c r="C5015" s="31" t="s">
        <v>58</v>
      </c>
      <c r="D5015" s="31" t="s">
        <v>66</v>
      </c>
      <c r="E5015" s="31" t="s">
        <v>50</v>
      </c>
      <c r="F5015" s="31" t="s">
        <v>134</v>
      </c>
      <c r="G5015" s="31" t="n">
        <v>15</v>
      </c>
      <c r="H5015" s="41" t="n">
        <v>2.5</v>
      </c>
      <c r="I5015" s="31" t="s">
        <v>149</v>
      </c>
      <c r="J5015" s="31" t="n">
        <v>3</v>
      </c>
      <c r="K5015" s="31" t="s">
        <v>150</v>
      </c>
      <c r="L5015" s="45" t="n">
        <f aca="false">DATE(YEAR(B5015),MONTH(B5015),1)</f>
        <v>46266</v>
      </c>
      <c r="M5015" s="31" t="n">
        <f aca="false">WEEKDAY(B5015,2)</f>
        <v>1</v>
      </c>
      <c r="N5015" s="31" t="str">
        <f aca="false">IF(G5015&lt;=INDEX(Assumptions!$B$15:$B$18,MATCH(E5015,Assumptions!$A$15:$A$18,0)),"Yes","No")</f>
        <v>Yes</v>
      </c>
      <c r="O5015" s="31" t="str">
        <f aca="false">IF(H5015="","Open",IF(H5015&lt;=INDEX(Assumptions!$C$15:$C$18,MATCH(E5015,Assumptions!$A$15:$A$18,0)),"Yes","No"))</f>
        <v>Yes</v>
      </c>
    </row>
    <row r="5016" customFormat="false" ht="15" hidden="false" customHeight="false" outlineLevel="0" collapsed="false">
      <c r="A5016" s="31" t="s">
        <v>5166</v>
      </c>
      <c r="B5016" s="44" t="n">
        <v>46272</v>
      </c>
      <c r="C5016" s="31" t="s">
        <v>60</v>
      </c>
      <c r="D5016" s="31" t="s">
        <v>67</v>
      </c>
      <c r="E5016" s="31" t="s">
        <v>51</v>
      </c>
      <c r="F5016" s="31" t="s">
        <v>119</v>
      </c>
      <c r="G5016" s="31" t="n">
        <v>3</v>
      </c>
      <c r="H5016" s="41" t="n">
        <v>12.2</v>
      </c>
      <c r="I5016" s="31" t="s">
        <v>149</v>
      </c>
      <c r="J5016" s="31" t="n">
        <v>4</v>
      </c>
      <c r="K5016" s="31" t="s">
        <v>150</v>
      </c>
      <c r="L5016" s="45" t="n">
        <f aca="false">DATE(YEAR(B5016),MONTH(B5016),1)</f>
        <v>46266</v>
      </c>
      <c r="M5016" s="31" t="n">
        <f aca="false">WEEKDAY(B5016,2)</f>
        <v>1</v>
      </c>
      <c r="N5016" s="31" t="str">
        <f aca="false">IF(G5016&lt;=INDEX(Assumptions!$B$15:$B$18,MATCH(E5016,Assumptions!$A$15:$A$18,0)),"Yes","No")</f>
        <v>Yes</v>
      </c>
      <c r="O5016" s="31" t="str">
        <f aca="false">IF(H5016="","Open",IF(H5016&lt;=INDEX(Assumptions!$C$15:$C$18,MATCH(E5016,Assumptions!$A$15:$A$18,0)),"Yes","No"))</f>
        <v>Yes</v>
      </c>
    </row>
    <row r="5017" customFormat="false" ht="15" hidden="false" customHeight="false" outlineLevel="0" collapsed="false">
      <c r="A5017" s="31" t="s">
        <v>5167</v>
      </c>
      <c r="B5017" s="44" t="n">
        <v>46272</v>
      </c>
      <c r="C5017" s="31" t="s">
        <v>57</v>
      </c>
      <c r="D5017" s="31" t="s">
        <v>68</v>
      </c>
      <c r="E5017" s="31" t="s">
        <v>50</v>
      </c>
      <c r="F5017" s="31" t="s">
        <v>121</v>
      </c>
      <c r="G5017" s="31" t="n">
        <v>4</v>
      </c>
      <c r="H5017" s="41" t="n">
        <v>2.3</v>
      </c>
      <c r="I5017" s="31" t="s">
        <v>149</v>
      </c>
      <c r="J5017" s="31"/>
      <c r="K5017" s="31" t="s">
        <v>150</v>
      </c>
      <c r="L5017" s="45" t="n">
        <f aca="false">DATE(YEAR(B5017),MONTH(B5017),1)</f>
        <v>46266</v>
      </c>
      <c r="M5017" s="31" t="n">
        <f aca="false">WEEKDAY(B5017,2)</f>
        <v>1</v>
      </c>
      <c r="N5017" s="31" t="str">
        <f aca="false">IF(G5017&lt;=INDEX(Assumptions!$B$15:$B$18,MATCH(E5017,Assumptions!$A$15:$A$18,0)),"Yes","No")</f>
        <v>Yes</v>
      </c>
      <c r="O5017" s="31" t="str">
        <f aca="false">IF(H5017="","Open",IF(H5017&lt;=INDEX(Assumptions!$C$15:$C$18,MATCH(E5017,Assumptions!$A$15:$A$18,0)),"Yes","No"))</f>
        <v>Yes</v>
      </c>
    </row>
    <row r="5018" customFormat="false" ht="15" hidden="false" customHeight="false" outlineLevel="0" collapsed="false">
      <c r="A5018" s="31" t="s">
        <v>5168</v>
      </c>
      <c r="B5018" s="44" t="n">
        <v>46272</v>
      </c>
      <c r="C5018" s="31" t="s">
        <v>58</v>
      </c>
      <c r="D5018" s="31" t="s">
        <v>67</v>
      </c>
      <c r="E5018" s="31" t="s">
        <v>52</v>
      </c>
      <c r="F5018" s="31" t="s">
        <v>127</v>
      </c>
      <c r="G5018" s="31" t="n">
        <v>19</v>
      </c>
      <c r="H5018" s="41" t="n">
        <v>10.5</v>
      </c>
      <c r="I5018" s="31" t="s">
        <v>149</v>
      </c>
      <c r="J5018" s="31"/>
      <c r="K5018" s="31" t="s">
        <v>150</v>
      </c>
      <c r="L5018" s="45" t="n">
        <f aca="false">DATE(YEAR(B5018),MONTH(B5018),1)</f>
        <v>46266</v>
      </c>
      <c r="M5018" s="31" t="n">
        <f aca="false">WEEKDAY(B5018,2)</f>
        <v>1</v>
      </c>
      <c r="N5018" s="31" t="str">
        <f aca="false">IF(G5018&lt;=INDEX(Assumptions!$B$15:$B$18,MATCH(E5018,Assumptions!$A$15:$A$18,0)),"Yes","No")</f>
        <v>Yes</v>
      </c>
      <c r="O5018" s="31" t="str">
        <f aca="false">IF(H5018="","Open",IF(H5018&lt;=INDEX(Assumptions!$C$15:$C$18,MATCH(E5018,Assumptions!$A$15:$A$18,0)),"Yes","No"))</f>
        <v>Yes</v>
      </c>
    </row>
    <row r="5019" customFormat="false" ht="15" hidden="false" customHeight="false" outlineLevel="0" collapsed="false">
      <c r="A5019" s="31" t="s">
        <v>5169</v>
      </c>
      <c r="B5019" s="44" t="n">
        <v>46272</v>
      </c>
      <c r="C5019" s="31" t="s">
        <v>57</v>
      </c>
      <c r="D5019" s="31" t="s">
        <v>65</v>
      </c>
      <c r="E5019" s="31" t="s">
        <v>51</v>
      </c>
      <c r="F5019" s="31" t="s">
        <v>123</v>
      </c>
      <c r="G5019" s="31" t="n">
        <v>5</v>
      </c>
      <c r="H5019" s="41" t="n">
        <v>5.6</v>
      </c>
      <c r="I5019" s="31" t="s">
        <v>149</v>
      </c>
      <c r="J5019" s="31"/>
      <c r="K5019" s="31" t="s">
        <v>150</v>
      </c>
      <c r="L5019" s="45" t="n">
        <f aca="false">DATE(YEAR(B5019),MONTH(B5019),1)</f>
        <v>46266</v>
      </c>
      <c r="M5019" s="31" t="n">
        <f aca="false">WEEKDAY(B5019,2)</f>
        <v>1</v>
      </c>
      <c r="N5019" s="31" t="str">
        <f aca="false">IF(G5019&lt;=INDEX(Assumptions!$B$15:$B$18,MATCH(E5019,Assumptions!$A$15:$A$18,0)),"Yes","No")</f>
        <v>Yes</v>
      </c>
      <c r="O5019" s="31" t="str">
        <f aca="false">IF(H5019="","Open",IF(H5019&lt;=INDEX(Assumptions!$C$15:$C$18,MATCH(E5019,Assumptions!$A$15:$A$18,0)),"Yes","No"))</f>
        <v>Yes</v>
      </c>
    </row>
    <row r="5020" customFormat="false" ht="15" hidden="false" customHeight="false" outlineLevel="0" collapsed="false">
      <c r="A5020" s="31" t="s">
        <v>5170</v>
      </c>
      <c r="B5020" s="44" t="n">
        <v>46272</v>
      </c>
      <c r="C5020" s="31" t="s">
        <v>57</v>
      </c>
      <c r="D5020" s="31" t="s">
        <v>68</v>
      </c>
      <c r="E5020" s="31" t="s">
        <v>50</v>
      </c>
      <c r="F5020" s="31" t="s">
        <v>128</v>
      </c>
      <c r="G5020" s="31" t="n">
        <v>7</v>
      </c>
      <c r="H5020" s="41" t="n">
        <v>7.5</v>
      </c>
      <c r="I5020" s="31" t="s">
        <v>149</v>
      </c>
      <c r="J5020" s="31" t="n">
        <v>4</v>
      </c>
      <c r="K5020" s="31" t="s">
        <v>150</v>
      </c>
      <c r="L5020" s="45" t="n">
        <f aca="false">DATE(YEAR(B5020),MONTH(B5020),1)</f>
        <v>46266</v>
      </c>
      <c r="M5020" s="31" t="n">
        <f aca="false">WEEKDAY(B5020,2)</f>
        <v>1</v>
      </c>
      <c r="N5020" s="31" t="str">
        <f aca="false">IF(G5020&lt;=INDEX(Assumptions!$B$15:$B$18,MATCH(E5020,Assumptions!$A$15:$A$18,0)),"Yes","No")</f>
        <v>Yes</v>
      </c>
      <c r="O5020" s="31" t="str">
        <f aca="false">IF(H5020="","Open",IF(H5020&lt;=INDEX(Assumptions!$C$15:$C$18,MATCH(E5020,Assumptions!$A$15:$A$18,0)),"Yes","No"))</f>
        <v>Yes</v>
      </c>
    </row>
    <row r="5021" customFormat="false" ht="15" hidden="false" customHeight="false" outlineLevel="0" collapsed="false">
      <c r="A5021" s="31" t="s">
        <v>5171</v>
      </c>
      <c r="B5021" s="44" t="n">
        <v>46272</v>
      </c>
      <c r="C5021" s="31" t="s">
        <v>60</v>
      </c>
      <c r="D5021" s="31" t="s">
        <v>67</v>
      </c>
      <c r="E5021" s="31" t="s">
        <v>52</v>
      </c>
      <c r="F5021" s="31" t="s">
        <v>127</v>
      </c>
      <c r="G5021" s="31" t="n">
        <v>2</v>
      </c>
      <c r="H5021" s="41" t="n">
        <v>6.6</v>
      </c>
      <c r="I5021" s="31" t="s">
        <v>149</v>
      </c>
      <c r="J5021" s="31" t="n">
        <v>5</v>
      </c>
      <c r="K5021" s="31" t="s">
        <v>150</v>
      </c>
      <c r="L5021" s="45" t="n">
        <f aca="false">DATE(YEAR(B5021),MONTH(B5021),1)</f>
        <v>46266</v>
      </c>
      <c r="M5021" s="31" t="n">
        <f aca="false">WEEKDAY(B5021,2)</f>
        <v>1</v>
      </c>
      <c r="N5021" s="31" t="str">
        <f aca="false">IF(G5021&lt;=INDEX(Assumptions!$B$15:$B$18,MATCH(E5021,Assumptions!$A$15:$A$18,0)),"Yes","No")</f>
        <v>Yes</v>
      </c>
      <c r="O5021" s="31" t="str">
        <f aca="false">IF(H5021="","Open",IF(H5021&lt;=INDEX(Assumptions!$C$15:$C$18,MATCH(E5021,Assumptions!$A$15:$A$18,0)),"Yes","No"))</f>
        <v>Yes</v>
      </c>
    </row>
    <row r="5022" customFormat="false" ht="15" hidden="false" customHeight="false" outlineLevel="0" collapsed="false">
      <c r="A5022" s="31" t="s">
        <v>5172</v>
      </c>
      <c r="B5022" s="44" t="n">
        <v>46272</v>
      </c>
      <c r="C5022" s="31" t="s">
        <v>58</v>
      </c>
      <c r="D5022" s="31" t="s">
        <v>67</v>
      </c>
      <c r="E5022" s="31" t="s">
        <v>52</v>
      </c>
      <c r="F5022" s="31" t="s">
        <v>127</v>
      </c>
      <c r="G5022" s="31" t="n">
        <v>6</v>
      </c>
      <c r="H5022" s="41" t="n">
        <v>36.1</v>
      </c>
      <c r="I5022" s="31" t="s">
        <v>149</v>
      </c>
      <c r="J5022" s="31" t="n">
        <v>4</v>
      </c>
      <c r="K5022" s="31" t="s">
        <v>150</v>
      </c>
      <c r="L5022" s="45" t="n">
        <f aca="false">DATE(YEAR(B5022),MONTH(B5022),1)</f>
        <v>46266</v>
      </c>
      <c r="M5022" s="31" t="n">
        <f aca="false">WEEKDAY(B5022,2)</f>
        <v>1</v>
      </c>
      <c r="N5022" s="31" t="str">
        <f aca="false">IF(G5022&lt;=INDEX(Assumptions!$B$15:$B$18,MATCH(E5022,Assumptions!$A$15:$A$18,0)),"Yes","No")</f>
        <v>Yes</v>
      </c>
      <c r="O5022" s="31" t="str">
        <f aca="false">IF(H5022="","Open",IF(H5022&lt;=INDEX(Assumptions!$C$15:$C$18,MATCH(E5022,Assumptions!$A$15:$A$18,0)),"Yes","No"))</f>
        <v>Yes</v>
      </c>
    </row>
    <row r="5023" customFormat="false" ht="15" hidden="false" customHeight="false" outlineLevel="0" collapsed="false">
      <c r="A5023" s="31" t="s">
        <v>5173</v>
      </c>
      <c r="B5023" s="44" t="n">
        <v>46272</v>
      </c>
      <c r="C5023" s="31" t="s">
        <v>58</v>
      </c>
      <c r="D5023" s="31" t="s">
        <v>66</v>
      </c>
      <c r="E5023" s="31" t="s">
        <v>51</v>
      </c>
      <c r="F5023" s="31" t="s">
        <v>137</v>
      </c>
      <c r="G5023" s="31" t="n">
        <v>14</v>
      </c>
      <c r="H5023" s="41" t="n">
        <v>6.5</v>
      </c>
      <c r="I5023" s="31" t="s">
        <v>149</v>
      </c>
      <c r="J5023" s="31" t="n">
        <v>3</v>
      </c>
      <c r="K5023" s="31" t="s">
        <v>150</v>
      </c>
      <c r="L5023" s="45" t="n">
        <f aca="false">DATE(YEAR(B5023),MONTH(B5023),1)</f>
        <v>46266</v>
      </c>
      <c r="M5023" s="31" t="n">
        <f aca="false">WEEKDAY(B5023,2)</f>
        <v>1</v>
      </c>
      <c r="N5023" s="31" t="str">
        <f aca="false">IF(G5023&lt;=INDEX(Assumptions!$B$15:$B$18,MATCH(E5023,Assumptions!$A$15:$A$18,0)),"Yes","No")</f>
        <v>Yes</v>
      </c>
      <c r="O5023" s="31" t="str">
        <f aca="false">IF(H5023="","Open",IF(H5023&lt;=INDEX(Assumptions!$C$15:$C$18,MATCH(E5023,Assumptions!$A$15:$A$18,0)),"Yes","No"))</f>
        <v>Yes</v>
      </c>
    </row>
    <row r="5024" customFormat="false" ht="15" hidden="false" customHeight="false" outlineLevel="0" collapsed="false">
      <c r="A5024" s="31" t="s">
        <v>5174</v>
      </c>
      <c r="B5024" s="44" t="n">
        <v>46272</v>
      </c>
      <c r="C5024" s="31" t="s">
        <v>60</v>
      </c>
      <c r="D5024" s="31" t="s">
        <v>67</v>
      </c>
      <c r="E5024" s="31" t="s">
        <v>50</v>
      </c>
      <c r="F5024" s="31" t="s">
        <v>133</v>
      </c>
      <c r="G5024" s="31" t="n">
        <v>1</v>
      </c>
      <c r="H5024" s="41" t="n">
        <v>12</v>
      </c>
      <c r="I5024" s="31" t="s">
        <v>149</v>
      </c>
      <c r="J5024" s="31"/>
      <c r="K5024" s="31" t="s">
        <v>153</v>
      </c>
      <c r="L5024" s="45" t="n">
        <f aca="false">DATE(YEAR(B5024),MONTH(B5024),1)</f>
        <v>46266</v>
      </c>
      <c r="M5024" s="31" t="n">
        <f aca="false">WEEKDAY(B5024,2)</f>
        <v>1</v>
      </c>
      <c r="N5024" s="31" t="str">
        <f aca="false">IF(G5024&lt;=INDEX(Assumptions!$B$15:$B$18,MATCH(E5024,Assumptions!$A$15:$A$18,0)),"Yes","No")</f>
        <v>Yes</v>
      </c>
      <c r="O5024" s="31" t="str">
        <f aca="false">IF(H5024="","Open",IF(H5024&lt;=INDEX(Assumptions!$C$15:$C$18,MATCH(E5024,Assumptions!$A$15:$A$18,0)),"Yes","No"))</f>
        <v>No</v>
      </c>
    </row>
    <row r="5025" customFormat="false" ht="15" hidden="false" customHeight="false" outlineLevel="0" collapsed="false">
      <c r="A5025" s="31" t="s">
        <v>5175</v>
      </c>
      <c r="B5025" s="44" t="n">
        <v>46272</v>
      </c>
      <c r="C5025" s="31" t="s">
        <v>59</v>
      </c>
      <c r="D5025" s="31" t="s">
        <v>66</v>
      </c>
      <c r="E5025" s="31" t="s">
        <v>51</v>
      </c>
      <c r="F5025" s="31" t="s">
        <v>134</v>
      </c>
      <c r="G5025" s="31" t="n">
        <v>201</v>
      </c>
      <c r="H5025" s="41" t="n">
        <v>10.3</v>
      </c>
      <c r="I5025" s="31" t="s">
        <v>149</v>
      </c>
      <c r="J5025" s="31" t="n">
        <v>4</v>
      </c>
      <c r="K5025" s="31" t="s">
        <v>150</v>
      </c>
      <c r="L5025" s="45" t="n">
        <f aca="false">DATE(YEAR(B5025),MONTH(B5025),1)</f>
        <v>46266</v>
      </c>
      <c r="M5025" s="31" t="n">
        <f aca="false">WEEKDAY(B5025,2)</f>
        <v>1</v>
      </c>
      <c r="N5025" s="31" t="str">
        <f aca="false">IF(G5025&lt;=INDEX(Assumptions!$B$15:$B$18,MATCH(E5025,Assumptions!$A$15:$A$18,0)),"Yes","No")</f>
        <v>No</v>
      </c>
      <c r="O5025" s="31" t="str">
        <f aca="false">IF(H5025="","Open",IF(H5025&lt;=INDEX(Assumptions!$C$15:$C$18,MATCH(E5025,Assumptions!$A$15:$A$18,0)),"Yes","No"))</f>
        <v>Yes</v>
      </c>
    </row>
    <row r="5026" customFormat="false" ht="15" hidden="false" customHeight="false" outlineLevel="0" collapsed="false">
      <c r="A5026" s="31" t="s">
        <v>5176</v>
      </c>
      <c r="B5026" s="44" t="n">
        <v>46272</v>
      </c>
      <c r="C5026" s="31" t="s">
        <v>58</v>
      </c>
      <c r="D5026" s="31" t="s">
        <v>68</v>
      </c>
      <c r="E5026" s="31" t="s">
        <v>52</v>
      </c>
      <c r="F5026" s="31" t="s">
        <v>126</v>
      </c>
      <c r="G5026" s="31" t="n">
        <v>30</v>
      </c>
      <c r="H5026" s="41" t="n">
        <v>3.1</v>
      </c>
      <c r="I5026" s="31" t="s">
        <v>149</v>
      </c>
      <c r="J5026" s="31" t="n">
        <v>5</v>
      </c>
      <c r="K5026" s="31" t="s">
        <v>150</v>
      </c>
      <c r="L5026" s="45" t="n">
        <f aca="false">DATE(YEAR(B5026),MONTH(B5026),1)</f>
        <v>46266</v>
      </c>
      <c r="M5026" s="31" t="n">
        <f aca="false">WEEKDAY(B5026,2)</f>
        <v>1</v>
      </c>
      <c r="N5026" s="31" t="str">
        <f aca="false">IF(G5026&lt;=INDEX(Assumptions!$B$15:$B$18,MATCH(E5026,Assumptions!$A$15:$A$18,0)),"Yes","No")</f>
        <v>Yes</v>
      </c>
      <c r="O5026" s="31" t="str">
        <f aca="false">IF(H5026="","Open",IF(H5026&lt;=INDEX(Assumptions!$C$15:$C$18,MATCH(E5026,Assumptions!$A$15:$A$18,0)),"Yes","No"))</f>
        <v>Yes</v>
      </c>
    </row>
    <row r="5027" customFormat="false" ht="15" hidden="false" customHeight="false" outlineLevel="0" collapsed="false">
      <c r="A5027" s="31" t="s">
        <v>5177</v>
      </c>
      <c r="B5027" s="44" t="n">
        <v>46272</v>
      </c>
      <c r="C5027" s="31" t="s">
        <v>57</v>
      </c>
      <c r="D5027" s="31" t="s">
        <v>67</v>
      </c>
      <c r="E5027" s="31" t="s">
        <v>51</v>
      </c>
      <c r="F5027" s="31" t="s">
        <v>134</v>
      </c>
      <c r="G5027" s="31" t="n">
        <v>7</v>
      </c>
      <c r="H5027" s="41" t="n">
        <v>28.5</v>
      </c>
      <c r="I5027" s="31" t="s">
        <v>149</v>
      </c>
      <c r="J5027" s="31"/>
      <c r="K5027" s="31" t="s">
        <v>150</v>
      </c>
      <c r="L5027" s="45" t="n">
        <f aca="false">DATE(YEAR(B5027),MONTH(B5027),1)</f>
        <v>46266</v>
      </c>
      <c r="M5027" s="31" t="n">
        <f aca="false">WEEKDAY(B5027,2)</f>
        <v>1</v>
      </c>
      <c r="N5027" s="31" t="str">
        <f aca="false">IF(G5027&lt;=INDEX(Assumptions!$B$15:$B$18,MATCH(E5027,Assumptions!$A$15:$A$18,0)),"Yes","No")</f>
        <v>Yes</v>
      </c>
      <c r="O5027" s="31" t="str">
        <f aca="false">IF(H5027="","Open",IF(H5027&lt;=INDEX(Assumptions!$C$15:$C$18,MATCH(E5027,Assumptions!$A$15:$A$18,0)),"Yes","No"))</f>
        <v>No</v>
      </c>
    </row>
    <row r="5028" customFormat="false" ht="15" hidden="false" customHeight="false" outlineLevel="0" collapsed="false">
      <c r="A5028" s="31" t="s">
        <v>5178</v>
      </c>
      <c r="B5028" s="44" t="n">
        <v>46272</v>
      </c>
      <c r="C5028" s="31" t="s">
        <v>59</v>
      </c>
      <c r="D5028" s="31" t="s">
        <v>65</v>
      </c>
      <c r="E5028" s="31" t="s">
        <v>51</v>
      </c>
      <c r="F5028" s="31" t="s">
        <v>133</v>
      </c>
      <c r="G5028" s="31" t="n">
        <v>70</v>
      </c>
      <c r="H5028" s="41" t="n">
        <v>30.9</v>
      </c>
      <c r="I5028" s="31" t="s">
        <v>149</v>
      </c>
      <c r="J5028" s="31" t="n">
        <v>4</v>
      </c>
      <c r="K5028" s="31" t="s">
        <v>150</v>
      </c>
      <c r="L5028" s="45" t="n">
        <f aca="false">DATE(YEAR(B5028),MONTH(B5028),1)</f>
        <v>46266</v>
      </c>
      <c r="M5028" s="31" t="n">
        <f aca="false">WEEKDAY(B5028,2)</f>
        <v>1</v>
      </c>
      <c r="N5028" s="31" t="str">
        <f aca="false">IF(G5028&lt;=INDEX(Assumptions!$B$15:$B$18,MATCH(E5028,Assumptions!$A$15:$A$18,0)),"Yes","No")</f>
        <v>No</v>
      </c>
      <c r="O5028" s="31" t="str">
        <f aca="false">IF(H5028="","Open",IF(H5028&lt;=INDEX(Assumptions!$C$15:$C$18,MATCH(E5028,Assumptions!$A$15:$A$18,0)),"Yes","No"))</f>
        <v>No</v>
      </c>
    </row>
    <row r="5029" customFormat="false" ht="15" hidden="false" customHeight="false" outlineLevel="0" collapsed="false">
      <c r="A5029" s="31" t="s">
        <v>5179</v>
      </c>
      <c r="B5029" s="44" t="n">
        <v>46272</v>
      </c>
      <c r="C5029" s="31" t="s">
        <v>57</v>
      </c>
      <c r="D5029" s="31" t="s">
        <v>67</v>
      </c>
      <c r="E5029" s="31" t="s">
        <v>51</v>
      </c>
      <c r="F5029" s="31" t="s">
        <v>134</v>
      </c>
      <c r="G5029" s="31" t="n">
        <v>8</v>
      </c>
      <c r="H5029" s="41" t="n">
        <v>26.3</v>
      </c>
      <c r="I5029" s="31" t="s">
        <v>149</v>
      </c>
      <c r="J5029" s="31"/>
      <c r="K5029" s="31" t="s">
        <v>150</v>
      </c>
      <c r="L5029" s="45" t="n">
        <f aca="false">DATE(YEAR(B5029),MONTH(B5029),1)</f>
        <v>46266</v>
      </c>
      <c r="M5029" s="31" t="n">
        <f aca="false">WEEKDAY(B5029,2)</f>
        <v>1</v>
      </c>
      <c r="N5029" s="31" t="str">
        <f aca="false">IF(G5029&lt;=INDEX(Assumptions!$B$15:$B$18,MATCH(E5029,Assumptions!$A$15:$A$18,0)),"Yes","No")</f>
        <v>Yes</v>
      </c>
      <c r="O5029" s="31" t="str">
        <f aca="false">IF(H5029="","Open",IF(H5029&lt;=INDEX(Assumptions!$C$15:$C$18,MATCH(E5029,Assumptions!$A$15:$A$18,0)),"Yes","No"))</f>
        <v>No</v>
      </c>
    </row>
    <row r="5030" customFormat="false" ht="15" hidden="false" customHeight="false" outlineLevel="0" collapsed="false">
      <c r="A5030" s="31" t="s">
        <v>5180</v>
      </c>
      <c r="B5030" s="44" t="n">
        <v>46272</v>
      </c>
      <c r="C5030" s="31" t="s">
        <v>57</v>
      </c>
      <c r="D5030" s="31" t="s">
        <v>69</v>
      </c>
      <c r="E5030" s="31" t="s">
        <v>51</v>
      </c>
      <c r="F5030" s="31" t="s">
        <v>134</v>
      </c>
      <c r="G5030" s="31" t="n">
        <v>22</v>
      </c>
      <c r="H5030" s="41" t="n">
        <v>33.3</v>
      </c>
      <c r="I5030" s="31" t="s">
        <v>149</v>
      </c>
      <c r="J5030" s="31"/>
      <c r="K5030" s="31" t="s">
        <v>150</v>
      </c>
      <c r="L5030" s="45" t="n">
        <f aca="false">DATE(YEAR(B5030),MONTH(B5030),1)</f>
        <v>46266</v>
      </c>
      <c r="M5030" s="31" t="n">
        <f aca="false">WEEKDAY(B5030,2)</f>
        <v>1</v>
      </c>
      <c r="N5030" s="31" t="str">
        <f aca="false">IF(G5030&lt;=INDEX(Assumptions!$B$15:$B$18,MATCH(E5030,Assumptions!$A$15:$A$18,0)),"Yes","No")</f>
        <v>Yes</v>
      </c>
      <c r="O5030" s="31" t="str">
        <f aca="false">IF(H5030="","Open",IF(H5030&lt;=INDEX(Assumptions!$C$15:$C$18,MATCH(E5030,Assumptions!$A$15:$A$18,0)),"Yes","No"))</f>
        <v>No</v>
      </c>
    </row>
    <row r="5031" customFormat="false" ht="15" hidden="false" customHeight="false" outlineLevel="0" collapsed="false">
      <c r="A5031" s="31" t="s">
        <v>5181</v>
      </c>
      <c r="B5031" s="44" t="n">
        <v>46272</v>
      </c>
      <c r="C5031" s="31" t="s">
        <v>60</v>
      </c>
      <c r="D5031" s="31" t="s">
        <v>67</v>
      </c>
      <c r="E5031" s="31" t="s">
        <v>51</v>
      </c>
      <c r="F5031" s="31" t="s">
        <v>128</v>
      </c>
      <c r="G5031" s="31" t="n">
        <v>1</v>
      </c>
      <c r="H5031" s="41"/>
      <c r="I5031" s="31" t="s">
        <v>158</v>
      </c>
      <c r="J5031" s="31"/>
      <c r="K5031" s="31" t="s">
        <v>150</v>
      </c>
      <c r="L5031" s="45" t="n">
        <f aca="false">DATE(YEAR(B5031),MONTH(B5031),1)</f>
        <v>46266</v>
      </c>
      <c r="M5031" s="31" t="n">
        <f aca="false">WEEKDAY(B5031,2)</f>
        <v>1</v>
      </c>
      <c r="N5031" s="31" t="str">
        <f aca="false">IF(G5031&lt;=INDEX(Assumptions!$B$15:$B$18,MATCH(E5031,Assumptions!$A$15:$A$18,0)),"Yes","No")</f>
        <v>Yes</v>
      </c>
      <c r="O5031" s="31" t="str">
        <f aca="false">IF(H5031="","Open",IF(H5031&lt;=INDEX(Assumptions!$C$15:$C$18,MATCH(E5031,Assumptions!$A$15:$A$18,0)),"Yes","No"))</f>
        <v>Open</v>
      </c>
    </row>
    <row r="5032" customFormat="false" ht="15" hidden="false" customHeight="false" outlineLevel="0" collapsed="false">
      <c r="A5032" s="31" t="s">
        <v>5182</v>
      </c>
      <c r="B5032" s="44" t="n">
        <v>46272</v>
      </c>
      <c r="C5032" s="31" t="s">
        <v>57</v>
      </c>
      <c r="D5032" s="31" t="s">
        <v>65</v>
      </c>
      <c r="E5032" s="31" t="s">
        <v>49</v>
      </c>
      <c r="F5032" s="31" t="s">
        <v>123</v>
      </c>
      <c r="G5032" s="31" t="n">
        <v>4</v>
      </c>
      <c r="H5032" s="41" t="n">
        <v>5.9</v>
      </c>
      <c r="I5032" s="31" t="s">
        <v>149</v>
      </c>
      <c r="J5032" s="31"/>
      <c r="K5032" s="31" t="s">
        <v>150</v>
      </c>
      <c r="L5032" s="45" t="n">
        <f aca="false">DATE(YEAR(B5032),MONTH(B5032),1)</f>
        <v>46266</v>
      </c>
      <c r="M5032" s="31" t="n">
        <f aca="false">WEEKDAY(B5032,2)</f>
        <v>1</v>
      </c>
      <c r="N5032" s="31" t="str">
        <f aca="false">IF(G5032&lt;=INDEX(Assumptions!$B$15:$B$18,MATCH(E5032,Assumptions!$A$15:$A$18,0)),"Yes","No")</f>
        <v>Yes</v>
      </c>
      <c r="O5032" s="31" t="str">
        <f aca="false">IF(H5032="","Open",IF(H5032&lt;=INDEX(Assumptions!$C$15:$C$18,MATCH(E5032,Assumptions!$A$15:$A$18,0)),"Yes","No"))</f>
        <v>No</v>
      </c>
    </row>
    <row r="5033" customFormat="false" ht="15" hidden="false" customHeight="false" outlineLevel="0" collapsed="false">
      <c r="A5033" s="31" t="s">
        <v>5183</v>
      </c>
      <c r="B5033" s="44" t="n">
        <v>46272</v>
      </c>
      <c r="C5033" s="31" t="s">
        <v>57</v>
      </c>
      <c r="D5033" s="31" t="s">
        <v>67</v>
      </c>
      <c r="E5033" s="31" t="s">
        <v>52</v>
      </c>
      <c r="F5033" s="31" t="s">
        <v>130</v>
      </c>
      <c r="G5033" s="31" t="n">
        <v>7</v>
      </c>
      <c r="H5033" s="41" t="n">
        <v>67.1</v>
      </c>
      <c r="I5033" s="31" t="s">
        <v>149</v>
      </c>
      <c r="J5033" s="31"/>
      <c r="K5033" s="31" t="s">
        <v>150</v>
      </c>
      <c r="L5033" s="45" t="n">
        <f aca="false">DATE(YEAR(B5033),MONTH(B5033),1)</f>
        <v>46266</v>
      </c>
      <c r="M5033" s="31" t="n">
        <f aca="false">WEEKDAY(B5033,2)</f>
        <v>1</v>
      </c>
      <c r="N5033" s="31" t="str">
        <f aca="false">IF(G5033&lt;=INDEX(Assumptions!$B$15:$B$18,MATCH(E5033,Assumptions!$A$15:$A$18,0)),"Yes","No")</f>
        <v>Yes</v>
      </c>
      <c r="O5033" s="31" t="str">
        <f aca="false">IF(H5033="","Open",IF(H5033&lt;=INDEX(Assumptions!$C$15:$C$18,MATCH(E5033,Assumptions!$A$15:$A$18,0)),"Yes","No"))</f>
        <v>Yes</v>
      </c>
    </row>
    <row r="5034" customFormat="false" ht="15" hidden="false" customHeight="false" outlineLevel="0" collapsed="false">
      <c r="A5034" s="31" t="s">
        <v>5184</v>
      </c>
      <c r="B5034" s="44" t="n">
        <v>46272</v>
      </c>
      <c r="C5034" s="31" t="s">
        <v>57</v>
      </c>
      <c r="D5034" s="31" t="s">
        <v>69</v>
      </c>
      <c r="E5034" s="31" t="s">
        <v>50</v>
      </c>
      <c r="F5034" s="31" t="s">
        <v>135</v>
      </c>
      <c r="G5034" s="31" t="n">
        <v>2</v>
      </c>
      <c r="H5034" s="41" t="n">
        <v>4.7</v>
      </c>
      <c r="I5034" s="31" t="s">
        <v>149</v>
      </c>
      <c r="J5034" s="31"/>
      <c r="K5034" s="31" t="s">
        <v>150</v>
      </c>
      <c r="L5034" s="45" t="n">
        <f aca="false">DATE(YEAR(B5034),MONTH(B5034),1)</f>
        <v>46266</v>
      </c>
      <c r="M5034" s="31" t="n">
        <f aca="false">WEEKDAY(B5034,2)</f>
        <v>1</v>
      </c>
      <c r="N5034" s="31" t="str">
        <f aca="false">IF(G5034&lt;=INDEX(Assumptions!$B$15:$B$18,MATCH(E5034,Assumptions!$A$15:$A$18,0)),"Yes","No")</f>
        <v>Yes</v>
      </c>
      <c r="O5034" s="31" t="str">
        <f aca="false">IF(H5034="","Open",IF(H5034&lt;=INDEX(Assumptions!$C$15:$C$18,MATCH(E5034,Assumptions!$A$15:$A$18,0)),"Yes","No"))</f>
        <v>Yes</v>
      </c>
    </row>
    <row r="5035" customFormat="false" ht="15" hidden="false" customHeight="false" outlineLevel="0" collapsed="false">
      <c r="A5035" s="31" t="s">
        <v>5185</v>
      </c>
      <c r="B5035" s="44" t="n">
        <v>46272</v>
      </c>
      <c r="C5035" s="31" t="s">
        <v>58</v>
      </c>
      <c r="D5035" s="31" t="s">
        <v>69</v>
      </c>
      <c r="E5035" s="31" t="s">
        <v>52</v>
      </c>
      <c r="F5035" s="31" t="s">
        <v>128</v>
      </c>
      <c r="G5035" s="31" t="n">
        <v>76</v>
      </c>
      <c r="H5035" s="41" t="n">
        <v>180</v>
      </c>
      <c r="I5035" s="31" t="s">
        <v>149</v>
      </c>
      <c r="J5035" s="31"/>
      <c r="K5035" s="31" t="s">
        <v>153</v>
      </c>
      <c r="L5035" s="45" t="n">
        <f aca="false">DATE(YEAR(B5035),MONTH(B5035),1)</f>
        <v>46266</v>
      </c>
      <c r="M5035" s="31" t="n">
        <f aca="false">WEEKDAY(B5035,2)</f>
        <v>1</v>
      </c>
      <c r="N5035" s="31" t="str">
        <f aca="false">IF(G5035&lt;=INDEX(Assumptions!$B$15:$B$18,MATCH(E5035,Assumptions!$A$15:$A$18,0)),"Yes","No")</f>
        <v>Yes</v>
      </c>
      <c r="O5035" s="31" t="str">
        <f aca="false">IF(H5035="","Open",IF(H5035&lt;=INDEX(Assumptions!$C$15:$C$18,MATCH(E5035,Assumptions!$A$15:$A$18,0)),"Yes","No"))</f>
        <v>No</v>
      </c>
    </row>
    <row r="5036" customFormat="false" ht="15" hidden="false" customHeight="false" outlineLevel="0" collapsed="false">
      <c r="A5036" s="31" t="s">
        <v>5186</v>
      </c>
      <c r="B5036" s="44" t="n">
        <v>46272</v>
      </c>
      <c r="C5036" s="31" t="s">
        <v>60</v>
      </c>
      <c r="D5036" s="31" t="s">
        <v>65</v>
      </c>
      <c r="E5036" s="31" t="s">
        <v>50</v>
      </c>
      <c r="F5036" s="31" t="s">
        <v>127</v>
      </c>
      <c r="G5036" s="31" t="n">
        <v>1</v>
      </c>
      <c r="H5036" s="41" t="n">
        <v>6.7</v>
      </c>
      <c r="I5036" s="31" t="s">
        <v>149</v>
      </c>
      <c r="J5036" s="31" t="n">
        <v>4</v>
      </c>
      <c r="K5036" s="31" t="s">
        <v>150</v>
      </c>
      <c r="L5036" s="45" t="n">
        <f aca="false">DATE(YEAR(B5036),MONTH(B5036),1)</f>
        <v>46266</v>
      </c>
      <c r="M5036" s="31" t="n">
        <f aca="false">WEEKDAY(B5036,2)</f>
        <v>1</v>
      </c>
      <c r="N5036" s="31" t="str">
        <f aca="false">IF(G5036&lt;=INDEX(Assumptions!$B$15:$B$18,MATCH(E5036,Assumptions!$A$15:$A$18,0)),"Yes","No")</f>
        <v>Yes</v>
      </c>
      <c r="O5036" s="31" t="str">
        <f aca="false">IF(H5036="","Open",IF(H5036&lt;=INDEX(Assumptions!$C$15:$C$18,MATCH(E5036,Assumptions!$A$15:$A$18,0)),"Yes","No"))</f>
        <v>Yes</v>
      </c>
    </row>
    <row r="5037" customFormat="false" ht="15" hidden="false" customHeight="false" outlineLevel="0" collapsed="false">
      <c r="A5037" s="31" t="s">
        <v>5187</v>
      </c>
      <c r="B5037" s="44" t="n">
        <v>46272</v>
      </c>
      <c r="C5037" s="31" t="s">
        <v>57</v>
      </c>
      <c r="D5037" s="31" t="s">
        <v>65</v>
      </c>
      <c r="E5037" s="31" t="s">
        <v>51</v>
      </c>
      <c r="F5037" s="31" t="s">
        <v>130</v>
      </c>
      <c r="G5037" s="31" t="n">
        <v>3</v>
      </c>
      <c r="H5037" s="41" t="n">
        <v>6.5</v>
      </c>
      <c r="I5037" s="31" t="s">
        <v>149</v>
      </c>
      <c r="J5037" s="31"/>
      <c r="K5037" s="31" t="s">
        <v>150</v>
      </c>
      <c r="L5037" s="45" t="n">
        <f aca="false">DATE(YEAR(B5037),MONTH(B5037),1)</f>
        <v>46266</v>
      </c>
      <c r="M5037" s="31" t="n">
        <f aca="false">WEEKDAY(B5037,2)</f>
        <v>1</v>
      </c>
      <c r="N5037" s="31" t="str">
        <f aca="false">IF(G5037&lt;=INDEX(Assumptions!$B$15:$B$18,MATCH(E5037,Assumptions!$A$15:$A$18,0)),"Yes","No")</f>
        <v>Yes</v>
      </c>
      <c r="O5037" s="31" t="str">
        <f aca="false">IF(H5037="","Open",IF(H5037&lt;=INDEX(Assumptions!$C$15:$C$18,MATCH(E5037,Assumptions!$A$15:$A$18,0)),"Yes","No"))</f>
        <v>Yes</v>
      </c>
    </row>
    <row r="5038" customFormat="false" ht="15" hidden="false" customHeight="false" outlineLevel="0" collapsed="false">
      <c r="A5038" s="31" t="s">
        <v>5188</v>
      </c>
      <c r="B5038" s="44" t="n">
        <v>46272</v>
      </c>
      <c r="C5038" s="31" t="s">
        <v>60</v>
      </c>
      <c r="D5038" s="31" t="s">
        <v>66</v>
      </c>
      <c r="E5038" s="31" t="s">
        <v>51</v>
      </c>
      <c r="F5038" s="31" t="s">
        <v>136</v>
      </c>
      <c r="G5038" s="31" t="n">
        <v>4</v>
      </c>
      <c r="H5038" s="41" t="n">
        <v>2</v>
      </c>
      <c r="I5038" s="31" t="s">
        <v>149</v>
      </c>
      <c r="J5038" s="31" t="n">
        <v>5</v>
      </c>
      <c r="K5038" s="31" t="s">
        <v>150</v>
      </c>
      <c r="L5038" s="45" t="n">
        <f aca="false">DATE(YEAR(B5038),MONTH(B5038),1)</f>
        <v>46266</v>
      </c>
      <c r="M5038" s="31" t="n">
        <f aca="false">WEEKDAY(B5038,2)</f>
        <v>1</v>
      </c>
      <c r="N5038" s="31" t="str">
        <f aca="false">IF(G5038&lt;=INDEX(Assumptions!$B$15:$B$18,MATCH(E5038,Assumptions!$A$15:$A$18,0)),"Yes","No")</f>
        <v>Yes</v>
      </c>
      <c r="O5038" s="31" t="str">
        <f aca="false">IF(H5038="","Open",IF(H5038&lt;=INDEX(Assumptions!$C$15:$C$18,MATCH(E5038,Assumptions!$A$15:$A$18,0)),"Yes","No"))</f>
        <v>Yes</v>
      </c>
    </row>
    <row r="5039" customFormat="false" ht="15" hidden="false" customHeight="false" outlineLevel="0" collapsed="false">
      <c r="A5039" s="31" t="s">
        <v>5189</v>
      </c>
      <c r="B5039" s="44" t="n">
        <v>46272</v>
      </c>
      <c r="C5039" s="31" t="s">
        <v>60</v>
      </c>
      <c r="D5039" s="31" t="s">
        <v>66</v>
      </c>
      <c r="E5039" s="31" t="s">
        <v>52</v>
      </c>
      <c r="F5039" s="31" t="s">
        <v>117</v>
      </c>
      <c r="G5039" s="31" t="n">
        <v>3</v>
      </c>
      <c r="H5039" s="41" t="n">
        <v>8</v>
      </c>
      <c r="I5039" s="31" t="s">
        <v>149</v>
      </c>
      <c r="J5039" s="31" t="n">
        <v>5</v>
      </c>
      <c r="K5039" s="31" t="s">
        <v>150</v>
      </c>
      <c r="L5039" s="45" t="n">
        <f aca="false">DATE(YEAR(B5039),MONTH(B5039),1)</f>
        <v>46266</v>
      </c>
      <c r="M5039" s="31" t="n">
        <f aca="false">WEEKDAY(B5039,2)</f>
        <v>1</v>
      </c>
      <c r="N5039" s="31" t="str">
        <f aca="false">IF(G5039&lt;=INDEX(Assumptions!$B$15:$B$18,MATCH(E5039,Assumptions!$A$15:$A$18,0)),"Yes","No")</f>
        <v>Yes</v>
      </c>
      <c r="O5039" s="31" t="str">
        <f aca="false">IF(H5039="","Open",IF(H5039&lt;=INDEX(Assumptions!$C$15:$C$18,MATCH(E5039,Assumptions!$A$15:$A$18,0)),"Yes","No"))</f>
        <v>Yes</v>
      </c>
    </row>
    <row r="5040" customFormat="false" ht="15" hidden="false" customHeight="false" outlineLevel="0" collapsed="false">
      <c r="A5040" s="31" t="s">
        <v>5190</v>
      </c>
      <c r="B5040" s="44" t="n">
        <v>46272</v>
      </c>
      <c r="C5040" s="31" t="s">
        <v>58</v>
      </c>
      <c r="D5040" s="31" t="s">
        <v>66</v>
      </c>
      <c r="E5040" s="31" t="s">
        <v>52</v>
      </c>
      <c r="F5040" s="31" t="s">
        <v>120</v>
      </c>
      <c r="G5040" s="31" t="n">
        <v>12</v>
      </c>
      <c r="H5040" s="41" t="n">
        <v>38.3</v>
      </c>
      <c r="I5040" s="31" t="s">
        <v>149</v>
      </c>
      <c r="J5040" s="31"/>
      <c r="K5040" s="31" t="s">
        <v>150</v>
      </c>
      <c r="L5040" s="45" t="n">
        <f aca="false">DATE(YEAR(B5040),MONTH(B5040),1)</f>
        <v>46266</v>
      </c>
      <c r="M5040" s="31" t="n">
        <f aca="false">WEEKDAY(B5040,2)</f>
        <v>1</v>
      </c>
      <c r="N5040" s="31" t="str">
        <f aca="false">IF(G5040&lt;=INDEX(Assumptions!$B$15:$B$18,MATCH(E5040,Assumptions!$A$15:$A$18,0)),"Yes","No")</f>
        <v>Yes</v>
      </c>
      <c r="O5040" s="31" t="str">
        <f aca="false">IF(H5040="","Open",IF(H5040&lt;=INDEX(Assumptions!$C$15:$C$18,MATCH(E5040,Assumptions!$A$15:$A$18,0)),"Yes","No"))</f>
        <v>Yes</v>
      </c>
    </row>
    <row r="5041" customFormat="false" ht="15" hidden="false" customHeight="false" outlineLevel="0" collapsed="false">
      <c r="A5041" s="31" t="s">
        <v>5191</v>
      </c>
      <c r="B5041" s="44" t="n">
        <v>46272</v>
      </c>
      <c r="C5041" s="31" t="s">
        <v>60</v>
      </c>
      <c r="D5041" s="31" t="s">
        <v>67</v>
      </c>
      <c r="E5041" s="31" t="s">
        <v>51</v>
      </c>
      <c r="F5041" s="31" t="s">
        <v>128</v>
      </c>
      <c r="G5041" s="31" t="n">
        <v>4</v>
      </c>
      <c r="H5041" s="41" t="n">
        <v>42</v>
      </c>
      <c r="I5041" s="31" t="s">
        <v>149</v>
      </c>
      <c r="J5041" s="31" t="n">
        <v>3</v>
      </c>
      <c r="K5041" s="31" t="s">
        <v>150</v>
      </c>
      <c r="L5041" s="45" t="n">
        <f aca="false">DATE(YEAR(B5041),MONTH(B5041),1)</f>
        <v>46266</v>
      </c>
      <c r="M5041" s="31" t="n">
        <f aca="false">WEEKDAY(B5041,2)</f>
        <v>1</v>
      </c>
      <c r="N5041" s="31" t="str">
        <f aca="false">IF(G5041&lt;=INDEX(Assumptions!$B$15:$B$18,MATCH(E5041,Assumptions!$A$15:$A$18,0)),"Yes","No")</f>
        <v>Yes</v>
      </c>
      <c r="O5041" s="31" t="str">
        <f aca="false">IF(H5041="","Open",IF(H5041&lt;=INDEX(Assumptions!$C$15:$C$18,MATCH(E5041,Assumptions!$A$15:$A$18,0)),"Yes","No"))</f>
        <v>No</v>
      </c>
    </row>
    <row r="5042" customFormat="false" ht="15" hidden="false" customHeight="false" outlineLevel="0" collapsed="false">
      <c r="A5042" s="31" t="s">
        <v>5192</v>
      </c>
      <c r="B5042" s="44" t="n">
        <v>46272</v>
      </c>
      <c r="C5042" s="31" t="s">
        <v>58</v>
      </c>
      <c r="D5042" s="31" t="s">
        <v>69</v>
      </c>
      <c r="E5042" s="31" t="s">
        <v>50</v>
      </c>
      <c r="F5042" s="31" t="s">
        <v>124</v>
      </c>
      <c r="G5042" s="31" t="n">
        <v>11</v>
      </c>
      <c r="H5042" s="41" t="n">
        <v>12.7</v>
      </c>
      <c r="I5042" s="31" t="s">
        <v>149</v>
      </c>
      <c r="J5042" s="31"/>
      <c r="K5042" s="31" t="s">
        <v>150</v>
      </c>
      <c r="L5042" s="45" t="n">
        <f aca="false">DATE(YEAR(B5042),MONTH(B5042),1)</f>
        <v>46266</v>
      </c>
      <c r="M5042" s="31" t="n">
        <f aca="false">WEEKDAY(B5042,2)</f>
        <v>1</v>
      </c>
      <c r="N5042" s="31" t="str">
        <f aca="false">IF(G5042&lt;=INDEX(Assumptions!$B$15:$B$18,MATCH(E5042,Assumptions!$A$15:$A$18,0)),"Yes","No")</f>
        <v>Yes</v>
      </c>
      <c r="O5042" s="31" t="str">
        <f aca="false">IF(H5042="","Open",IF(H5042&lt;=INDEX(Assumptions!$C$15:$C$18,MATCH(E5042,Assumptions!$A$15:$A$18,0)),"Yes","No"))</f>
        <v>No</v>
      </c>
    </row>
    <row r="5043" customFormat="false" ht="15" hidden="false" customHeight="false" outlineLevel="0" collapsed="false">
      <c r="A5043" s="31" t="s">
        <v>5193</v>
      </c>
      <c r="B5043" s="44" t="n">
        <v>46272</v>
      </c>
      <c r="C5043" s="31" t="s">
        <v>58</v>
      </c>
      <c r="D5043" s="31" t="s">
        <v>69</v>
      </c>
      <c r="E5043" s="31" t="s">
        <v>52</v>
      </c>
      <c r="F5043" s="31" t="s">
        <v>121</v>
      </c>
      <c r="G5043" s="31" t="n">
        <v>11</v>
      </c>
      <c r="H5043" s="41" t="n">
        <v>34.8</v>
      </c>
      <c r="I5043" s="31" t="s">
        <v>149</v>
      </c>
      <c r="J5043" s="31" t="n">
        <v>5</v>
      </c>
      <c r="K5043" s="31" t="s">
        <v>150</v>
      </c>
      <c r="L5043" s="45" t="n">
        <f aca="false">DATE(YEAR(B5043),MONTH(B5043),1)</f>
        <v>46266</v>
      </c>
      <c r="M5043" s="31" t="n">
        <f aca="false">WEEKDAY(B5043,2)</f>
        <v>1</v>
      </c>
      <c r="N5043" s="31" t="str">
        <f aca="false">IF(G5043&lt;=INDEX(Assumptions!$B$15:$B$18,MATCH(E5043,Assumptions!$A$15:$A$18,0)),"Yes","No")</f>
        <v>Yes</v>
      </c>
      <c r="O5043" s="31" t="str">
        <f aca="false">IF(H5043="","Open",IF(H5043&lt;=INDEX(Assumptions!$C$15:$C$18,MATCH(E5043,Assumptions!$A$15:$A$18,0)),"Yes","No"))</f>
        <v>Yes</v>
      </c>
    </row>
    <row r="5044" customFormat="false" ht="15" hidden="false" customHeight="false" outlineLevel="0" collapsed="false">
      <c r="A5044" s="31" t="s">
        <v>5194</v>
      </c>
      <c r="B5044" s="44" t="n">
        <v>46272</v>
      </c>
      <c r="C5044" s="31" t="s">
        <v>57</v>
      </c>
      <c r="D5044" s="31" t="s">
        <v>65</v>
      </c>
      <c r="E5044" s="31" t="s">
        <v>51</v>
      </c>
      <c r="F5044" s="31" t="s">
        <v>133</v>
      </c>
      <c r="G5044" s="31" t="n">
        <v>5</v>
      </c>
      <c r="H5044" s="41" t="n">
        <v>30.5</v>
      </c>
      <c r="I5044" s="31" t="s">
        <v>64</v>
      </c>
      <c r="J5044" s="31"/>
      <c r="K5044" s="31" t="s">
        <v>150</v>
      </c>
      <c r="L5044" s="45" t="n">
        <f aca="false">DATE(YEAR(B5044),MONTH(B5044),1)</f>
        <v>46266</v>
      </c>
      <c r="M5044" s="31" t="n">
        <f aca="false">WEEKDAY(B5044,2)</f>
        <v>1</v>
      </c>
      <c r="N5044" s="31" t="str">
        <f aca="false">IF(G5044&lt;=INDEX(Assumptions!$B$15:$B$18,MATCH(E5044,Assumptions!$A$15:$A$18,0)),"Yes","No")</f>
        <v>Yes</v>
      </c>
      <c r="O5044" s="31" t="str">
        <f aca="false">IF(H5044="","Open",IF(H5044&lt;=INDEX(Assumptions!$C$15:$C$18,MATCH(E5044,Assumptions!$A$15:$A$18,0)),"Yes","No"))</f>
        <v>No</v>
      </c>
    </row>
    <row r="5045" customFormat="false" ht="15" hidden="false" customHeight="false" outlineLevel="0" collapsed="false">
      <c r="A5045" s="31" t="s">
        <v>5195</v>
      </c>
      <c r="B5045" s="44" t="n">
        <v>46272</v>
      </c>
      <c r="C5045" s="31" t="s">
        <v>57</v>
      </c>
      <c r="D5045" s="31" t="s">
        <v>66</v>
      </c>
      <c r="E5045" s="31" t="s">
        <v>51</v>
      </c>
      <c r="F5045" s="31" t="s">
        <v>133</v>
      </c>
      <c r="G5045" s="31" t="n">
        <v>2</v>
      </c>
      <c r="H5045" s="41" t="n">
        <v>6.9</v>
      </c>
      <c r="I5045" s="31" t="s">
        <v>149</v>
      </c>
      <c r="J5045" s="31"/>
      <c r="K5045" s="31" t="s">
        <v>150</v>
      </c>
      <c r="L5045" s="45" t="n">
        <f aca="false">DATE(YEAR(B5045),MONTH(B5045),1)</f>
        <v>46266</v>
      </c>
      <c r="M5045" s="31" t="n">
        <f aca="false">WEEKDAY(B5045,2)</f>
        <v>1</v>
      </c>
      <c r="N5045" s="31" t="str">
        <f aca="false">IF(G5045&lt;=INDEX(Assumptions!$B$15:$B$18,MATCH(E5045,Assumptions!$A$15:$A$18,0)),"Yes","No")</f>
        <v>Yes</v>
      </c>
      <c r="O5045" s="31" t="str">
        <f aca="false">IF(H5045="","Open",IF(H5045&lt;=INDEX(Assumptions!$C$15:$C$18,MATCH(E5045,Assumptions!$A$15:$A$18,0)),"Yes","No"))</f>
        <v>Yes</v>
      </c>
    </row>
    <row r="5046" customFormat="false" ht="15" hidden="false" customHeight="false" outlineLevel="0" collapsed="false">
      <c r="A5046" s="31" t="s">
        <v>5196</v>
      </c>
      <c r="B5046" s="44" t="n">
        <v>46272</v>
      </c>
      <c r="C5046" s="31" t="s">
        <v>58</v>
      </c>
      <c r="D5046" s="31" t="s">
        <v>67</v>
      </c>
      <c r="E5046" s="31" t="s">
        <v>52</v>
      </c>
      <c r="F5046" s="31" t="s">
        <v>122</v>
      </c>
      <c r="G5046" s="31" t="n">
        <v>5</v>
      </c>
      <c r="H5046" s="41" t="n">
        <v>77.5</v>
      </c>
      <c r="I5046" s="31" t="s">
        <v>149</v>
      </c>
      <c r="J5046" s="31" t="n">
        <v>4</v>
      </c>
      <c r="K5046" s="31" t="s">
        <v>150</v>
      </c>
      <c r="L5046" s="45" t="n">
        <f aca="false">DATE(YEAR(B5046),MONTH(B5046),1)</f>
        <v>46266</v>
      </c>
      <c r="M5046" s="31" t="n">
        <f aca="false">WEEKDAY(B5046,2)</f>
        <v>1</v>
      </c>
      <c r="N5046" s="31" t="str">
        <f aca="false">IF(G5046&lt;=INDEX(Assumptions!$B$15:$B$18,MATCH(E5046,Assumptions!$A$15:$A$18,0)),"Yes","No")</f>
        <v>Yes</v>
      </c>
      <c r="O5046" s="31" t="str">
        <f aca="false">IF(H5046="","Open",IF(H5046&lt;=INDEX(Assumptions!$C$15:$C$18,MATCH(E5046,Assumptions!$A$15:$A$18,0)),"Yes","No"))</f>
        <v>No</v>
      </c>
    </row>
    <row r="5047" customFormat="false" ht="15" hidden="false" customHeight="false" outlineLevel="0" collapsed="false">
      <c r="A5047" s="31" t="s">
        <v>5197</v>
      </c>
      <c r="B5047" s="44" t="n">
        <v>46272</v>
      </c>
      <c r="C5047" s="31" t="s">
        <v>59</v>
      </c>
      <c r="D5047" s="31" t="s">
        <v>68</v>
      </c>
      <c r="E5047" s="31" t="s">
        <v>52</v>
      </c>
      <c r="F5047" s="31" t="s">
        <v>130</v>
      </c>
      <c r="G5047" s="31" t="n">
        <v>89</v>
      </c>
      <c r="H5047" s="41" t="n">
        <v>4.3</v>
      </c>
      <c r="I5047" s="31" t="s">
        <v>149</v>
      </c>
      <c r="J5047" s="31" t="n">
        <v>4</v>
      </c>
      <c r="K5047" s="31" t="s">
        <v>150</v>
      </c>
      <c r="L5047" s="45" t="n">
        <f aca="false">DATE(YEAR(B5047),MONTH(B5047),1)</f>
        <v>46266</v>
      </c>
      <c r="M5047" s="31" t="n">
        <f aca="false">WEEKDAY(B5047,2)</f>
        <v>1</v>
      </c>
      <c r="N5047" s="31" t="str">
        <f aca="false">IF(G5047&lt;=INDEX(Assumptions!$B$15:$B$18,MATCH(E5047,Assumptions!$A$15:$A$18,0)),"Yes","No")</f>
        <v>Yes</v>
      </c>
      <c r="O5047" s="31" t="str">
        <f aca="false">IF(H5047="","Open",IF(H5047&lt;=INDEX(Assumptions!$C$15:$C$18,MATCH(E5047,Assumptions!$A$15:$A$18,0)),"Yes","No"))</f>
        <v>Yes</v>
      </c>
    </row>
    <row r="5048" customFormat="false" ht="15" hidden="false" customHeight="false" outlineLevel="0" collapsed="false">
      <c r="A5048" s="31" t="s">
        <v>5198</v>
      </c>
      <c r="B5048" s="44" t="n">
        <v>46272</v>
      </c>
      <c r="C5048" s="31" t="s">
        <v>57</v>
      </c>
      <c r="D5048" s="31" t="s">
        <v>66</v>
      </c>
      <c r="E5048" s="31" t="s">
        <v>51</v>
      </c>
      <c r="F5048" s="31" t="s">
        <v>129</v>
      </c>
      <c r="G5048" s="31" t="n">
        <v>5</v>
      </c>
      <c r="H5048" s="41" t="n">
        <v>4.6</v>
      </c>
      <c r="I5048" s="31" t="s">
        <v>149</v>
      </c>
      <c r="J5048" s="31"/>
      <c r="K5048" s="31" t="s">
        <v>150</v>
      </c>
      <c r="L5048" s="45" t="n">
        <f aca="false">DATE(YEAR(B5048),MONTH(B5048),1)</f>
        <v>46266</v>
      </c>
      <c r="M5048" s="31" t="n">
        <f aca="false">WEEKDAY(B5048,2)</f>
        <v>1</v>
      </c>
      <c r="N5048" s="31" t="str">
        <f aca="false">IF(G5048&lt;=INDEX(Assumptions!$B$15:$B$18,MATCH(E5048,Assumptions!$A$15:$A$18,0)),"Yes","No")</f>
        <v>Yes</v>
      </c>
      <c r="O5048" s="31" t="str">
        <f aca="false">IF(H5048="","Open",IF(H5048&lt;=INDEX(Assumptions!$C$15:$C$18,MATCH(E5048,Assumptions!$A$15:$A$18,0)),"Yes","No"))</f>
        <v>Yes</v>
      </c>
    </row>
    <row r="5049" customFormat="false" ht="15" hidden="false" customHeight="false" outlineLevel="0" collapsed="false">
      <c r="A5049" s="31" t="s">
        <v>5199</v>
      </c>
      <c r="B5049" s="44" t="n">
        <v>46272</v>
      </c>
      <c r="C5049" s="31" t="s">
        <v>58</v>
      </c>
      <c r="D5049" s="31" t="s">
        <v>65</v>
      </c>
      <c r="E5049" s="31" t="s">
        <v>49</v>
      </c>
      <c r="F5049" s="31" t="s">
        <v>136</v>
      </c>
      <c r="G5049" s="31" t="n">
        <v>11</v>
      </c>
      <c r="H5049" s="41" t="n">
        <v>10.1</v>
      </c>
      <c r="I5049" s="31" t="s">
        <v>149</v>
      </c>
      <c r="J5049" s="31" t="n">
        <v>4</v>
      </c>
      <c r="K5049" s="31" t="s">
        <v>150</v>
      </c>
      <c r="L5049" s="45" t="n">
        <f aca="false">DATE(YEAR(B5049),MONTH(B5049),1)</f>
        <v>46266</v>
      </c>
      <c r="M5049" s="31" t="n">
        <f aca="false">WEEKDAY(B5049,2)</f>
        <v>1</v>
      </c>
      <c r="N5049" s="31" t="str">
        <f aca="false">IF(G5049&lt;=INDEX(Assumptions!$B$15:$B$18,MATCH(E5049,Assumptions!$A$15:$A$18,0)),"Yes","No")</f>
        <v>Yes</v>
      </c>
      <c r="O5049" s="31" t="str">
        <f aca="false">IF(H5049="","Open",IF(H5049&lt;=INDEX(Assumptions!$C$15:$C$18,MATCH(E5049,Assumptions!$A$15:$A$18,0)),"Yes","No"))</f>
        <v>No</v>
      </c>
    </row>
    <row r="5050" customFormat="false" ht="15" hidden="false" customHeight="false" outlineLevel="0" collapsed="false">
      <c r="A5050" s="31" t="s">
        <v>5200</v>
      </c>
      <c r="B5050" s="44" t="n">
        <v>46272</v>
      </c>
      <c r="C5050" s="31" t="s">
        <v>58</v>
      </c>
      <c r="D5050" s="31" t="s">
        <v>66</v>
      </c>
      <c r="E5050" s="31" t="s">
        <v>52</v>
      </c>
      <c r="F5050" s="31" t="s">
        <v>131</v>
      </c>
      <c r="G5050" s="31" t="n">
        <v>13</v>
      </c>
      <c r="H5050" s="41" t="n">
        <v>4.6</v>
      </c>
      <c r="I5050" s="31" t="s">
        <v>149</v>
      </c>
      <c r="J5050" s="31" t="n">
        <v>5</v>
      </c>
      <c r="K5050" s="31" t="s">
        <v>150</v>
      </c>
      <c r="L5050" s="45" t="n">
        <f aca="false">DATE(YEAR(B5050),MONTH(B5050),1)</f>
        <v>46266</v>
      </c>
      <c r="M5050" s="31" t="n">
        <f aca="false">WEEKDAY(B5050,2)</f>
        <v>1</v>
      </c>
      <c r="N5050" s="31" t="str">
        <f aca="false">IF(G5050&lt;=INDEX(Assumptions!$B$15:$B$18,MATCH(E5050,Assumptions!$A$15:$A$18,0)),"Yes","No")</f>
        <v>Yes</v>
      </c>
      <c r="O5050" s="31" t="str">
        <f aca="false">IF(H5050="","Open",IF(H5050&lt;=INDEX(Assumptions!$C$15:$C$18,MATCH(E5050,Assumptions!$A$15:$A$18,0)),"Yes","No"))</f>
        <v>Yes</v>
      </c>
    </row>
    <row r="5051" customFormat="false" ht="15" hidden="false" customHeight="false" outlineLevel="0" collapsed="false">
      <c r="A5051" s="31" t="s">
        <v>5201</v>
      </c>
      <c r="B5051" s="44" t="n">
        <v>46272</v>
      </c>
      <c r="C5051" s="31" t="s">
        <v>57</v>
      </c>
      <c r="D5051" s="31" t="s">
        <v>65</v>
      </c>
      <c r="E5051" s="31" t="s">
        <v>51</v>
      </c>
      <c r="F5051" s="31" t="s">
        <v>119</v>
      </c>
      <c r="G5051" s="31" t="n">
        <v>5</v>
      </c>
      <c r="H5051" s="41" t="n">
        <v>7.4</v>
      </c>
      <c r="I5051" s="31" t="s">
        <v>149</v>
      </c>
      <c r="J5051" s="31" t="n">
        <v>4</v>
      </c>
      <c r="K5051" s="31" t="s">
        <v>150</v>
      </c>
      <c r="L5051" s="45" t="n">
        <f aca="false">DATE(YEAR(B5051),MONTH(B5051),1)</f>
        <v>46266</v>
      </c>
      <c r="M5051" s="31" t="n">
        <f aca="false">WEEKDAY(B5051,2)</f>
        <v>1</v>
      </c>
      <c r="N5051" s="31" t="str">
        <f aca="false">IF(G5051&lt;=INDEX(Assumptions!$B$15:$B$18,MATCH(E5051,Assumptions!$A$15:$A$18,0)),"Yes","No")</f>
        <v>Yes</v>
      </c>
      <c r="O5051" s="31" t="str">
        <f aca="false">IF(H5051="","Open",IF(H5051&lt;=INDEX(Assumptions!$C$15:$C$18,MATCH(E5051,Assumptions!$A$15:$A$18,0)),"Yes","No"))</f>
        <v>Yes</v>
      </c>
    </row>
    <row r="5052" customFormat="false" ht="15" hidden="false" customHeight="false" outlineLevel="0" collapsed="false">
      <c r="A5052" s="31" t="s">
        <v>5202</v>
      </c>
      <c r="B5052" s="44" t="n">
        <v>46272</v>
      </c>
      <c r="C5052" s="31" t="s">
        <v>60</v>
      </c>
      <c r="D5052" s="31" t="s">
        <v>65</v>
      </c>
      <c r="E5052" s="31" t="s">
        <v>49</v>
      </c>
      <c r="F5052" s="31" t="s">
        <v>119</v>
      </c>
      <c r="G5052" s="31" t="n">
        <v>1</v>
      </c>
      <c r="H5052" s="41" t="n">
        <v>3.2</v>
      </c>
      <c r="I5052" s="31" t="s">
        <v>149</v>
      </c>
      <c r="J5052" s="31"/>
      <c r="K5052" s="31" t="s">
        <v>150</v>
      </c>
      <c r="L5052" s="45" t="n">
        <f aca="false">DATE(YEAR(B5052),MONTH(B5052),1)</f>
        <v>46266</v>
      </c>
      <c r="M5052" s="31" t="n">
        <f aca="false">WEEKDAY(B5052,2)</f>
        <v>1</v>
      </c>
      <c r="N5052" s="31" t="str">
        <f aca="false">IF(G5052&lt;=INDEX(Assumptions!$B$15:$B$18,MATCH(E5052,Assumptions!$A$15:$A$18,0)),"Yes","No")</f>
        <v>Yes</v>
      </c>
      <c r="O5052" s="31" t="str">
        <f aca="false">IF(H5052="","Open",IF(H5052&lt;=INDEX(Assumptions!$C$15:$C$18,MATCH(E5052,Assumptions!$A$15:$A$18,0)),"Yes","No"))</f>
        <v>Yes</v>
      </c>
    </row>
    <row r="5053" customFormat="false" ht="15" hidden="false" customHeight="false" outlineLevel="0" collapsed="false">
      <c r="A5053" s="31" t="s">
        <v>5203</v>
      </c>
      <c r="B5053" s="44" t="n">
        <v>46272</v>
      </c>
      <c r="C5053" s="31" t="s">
        <v>59</v>
      </c>
      <c r="D5053" s="31" t="s">
        <v>66</v>
      </c>
      <c r="E5053" s="31" t="s">
        <v>52</v>
      </c>
      <c r="F5053" s="31" t="s">
        <v>134</v>
      </c>
      <c r="G5053" s="31" t="n">
        <v>107</v>
      </c>
      <c r="H5053" s="41" t="n">
        <v>29.7</v>
      </c>
      <c r="I5053" s="31" t="s">
        <v>64</v>
      </c>
      <c r="J5053" s="31"/>
      <c r="K5053" s="31" t="s">
        <v>150</v>
      </c>
      <c r="L5053" s="45" t="n">
        <f aca="false">DATE(YEAR(B5053),MONTH(B5053),1)</f>
        <v>46266</v>
      </c>
      <c r="M5053" s="31" t="n">
        <f aca="false">WEEKDAY(B5053,2)</f>
        <v>1</v>
      </c>
      <c r="N5053" s="31" t="str">
        <f aca="false">IF(G5053&lt;=INDEX(Assumptions!$B$15:$B$18,MATCH(E5053,Assumptions!$A$15:$A$18,0)),"Yes","No")</f>
        <v>Yes</v>
      </c>
      <c r="O5053" s="31" t="str">
        <f aca="false">IF(H5053="","Open",IF(H5053&lt;=INDEX(Assumptions!$C$15:$C$18,MATCH(E5053,Assumptions!$A$15:$A$18,0)),"Yes","No"))</f>
        <v>Yes</v>
      </c>
    </row>
    <row r="5054" customFormat="false" ht="15" hidden="false" customHeight="false" outlineLevel="0" collapsed="false">
      <c r="A5054" s="31" t="s">
        <v>5204</v>
      </c>
      <c r="B5054" s="44" t="n">
        <v>46272</v>
      </c>
      <c r="C5054" s="31" t="s">
        <v>57</v>
      </c>
      <c r="D5054" s="31" t="s">
        <v>65</v>
      </c>
      <c r="E5054" s="31" t="s">
        <v>52</v>
      </c>
      <c r="F5054" s="31" t="s">
        <v>124</v>
      </c>
      <c r="G5054" s="31" t="n">
        <v>10</v>
      </c>
      <c r="H5054" s="41" t="n">
        <v>11.7</v>
      </c>
      <c r="I5054" s="31" t="s">
        <v>149</v>
      </c>
      <c r="J5054" s="31"/>
      <c r="K5054" s="31" t="s">
        <v>150</v>
      </c>
      <c r="L5054" s="45" t="n">
        <f aca="false">DATE(YEAR(B5054),MONTH(B5054),1)</f>
        <v>46266</v>
      </c>
      <c r="M5054" s="31" t="n">
        <f aca="false">WEEKDAY(B5054,2)</f>
        <v>1</v>
      </c>
      <c r="N5054" s="31" t="str">
        <f aca="false">IF(G5054&lt;=INDEX(Assumptions!$B$15:$B$18,MATCH(E5054,Assumptions!$A$15:$A$18,0)),"Yes","No")</f>
        <v>Yes</v>
      </c>
      <c r="O5054" s="31" t="str">
        <f aca="false">IF(H5054="","Open",IF(H5054&lt;=INDEX(Assumptions!$C$15:$C$18,MATCH(E5054,Assumptions!$A$15:$A$18,0)),"Yes","No"))</f>
        <v>Yes</v>
      </c>
    </row>
    <row r="5055" customFormat="false" ht="15" hidden="false" customHeight="false" outlineLevel="0" collapsed="false">
      <c r="A5055" s="31" t="s">
        <v>5205</v>
      </c>
      <c r="B5055" s="44" t="n">
        <v>46272</v>
      </c>
      <c r="C5055" s="31" t="s">
        <v>58</v>
      </c>
      <c r="D5055" s="31" t="s">
        <v>69</v>
      </c>
      <c r="E5055" s="31" t="s">
        <v>51</v>
      </c>
      <c r="F5055" s="31" t="s">
        <v>127</v>
      </c>
      <c r="G5055" s="31" t="n">
        <v>14</v>
      </c>
      <c r="H5055" s="41" t="n">
        <v>37.1</v>
      </c>
      <c r="I5055" s="31" t="s">
        <v>149</v>
      </c>
      <c r="J5055" s="31" t="n">
        <v>3</v>
      </c>
      <c r="K5055" s="31" t="s">
        <v>150</v>
      </c>
      <c r="L5055" s="45" t="n">
        <f aca="false">DATE(YEAR(B5055),MONTH(B5055),1)</f>
        <v>46266</v>
      </c>
      <c r="M5055" s="31" t="n">
        <f aca="false">WEEKDAY(B5055,2)</f>
        <v>1</v>
      </c>
      <c r="N5055" s="31" t="str">
        <f aca="false">IF(G5055&lt;=INDEX(Assumptions!$B$15:$B$18,MATCH(E5055,Assumptions!$A$15:$A$18,0)),"Yes","No")</f>
        <v>Yes</v>
      </c>
      <c r="O5055" s="31" t="str">
        <f aca="false">IF(H5055="","Open",IF(H5055&lt;=INDEX(Assumptions!$C$15:$C$18,MATCH(E5055,Assumptions!$A$15:$A$18,0)),"Yes","No"))</f>
        <v>No</v>
      </c>
    </row>
    <row r="5056" customFormat="false" ht="15" hidden="false" customHeight="false" outlineLevel="0" collapsed="false">
      <c r="A5056" s="31" t="s">
        <v>5206</v>
      </c>
      <c r="B5056" s="44" t="n">
        <v>46272</v>
      </c>
      <c r="C5056" s="31" t="s">
        <v>59</v>
      </c>
      <c r="D5056" s="31" t="s">
        <v>67</v>
      </c>
      <c r="E5056" s="31" t="s">
        <v>52</v>
      </c>
      <c r="F5056" s="31" t="s">
        <v>122</v>
      </c>
      <c r="G5056" s="31" t="n">
        <v>103</v>
      </c>
      <c r="H5056" s="41" t="n">
        <v>4.9</v>
      </c>
      <c r="I5056" s="31" t="s">
        <v>149</v>
      </c>
      <c r="J5056" s="31" t="n">
        <v>4</v>
      </c>
      <c r="K5056" s="31" t="s">
        <v>150</v>
      </c>
      <c r="L5056" s="45" t="n">
        <f aca="false">DATE(YEAR(B5056),MONTH(B5056),1)</f>
        <v>46266</v>
      </c>
      <c r="M5056" s="31" t="n">
        <f aca="false">WEEKDAY(B5056,2)</f>
        <v>1</v>
      </c>
      <c r="N5056" s="31" t="str">
        <f aca="false">IF(G5056&lt;=INDEX(Assumptions!$B$15:$B$18,MATCH(E5056,Assumptions!$A$15:$A$18,0)),"Yes","No")</f>
        <v>Yes</v>
      </c>
      <c r="O5056" s="31" t="str">
        <f aca="false">IF(H5056="","Open",IF(H5056&lt;=INDEX(Assumptions!$C$15:$C$18,MATCH(E5056,Assumptions!$A$15:$A$18,0)),"Yes","No"))</f>
        <v>Yes</v>
      </c>
    </row>
    <row r="5057" customFormat="false" ht="15" hidden="false" customHeight="false" outlineLevel="0" collapsed="false">
      <c r="A5057" s="31" t="s">
        <v>5207</v>
      </c>
      <c r="B5057" s="44" t="n">
        <v>46272</v>
      </c>
      <c r="C5057" s="31" t="s">
        <v>57</v>
      </c>
      <c r="D5057" s="31" t="s">
        <v>67</v>
      </c>
      <c r="E5057" s="31" t="s">
        <v>51</v>
      </c>
      <c r="F5057" s="31" t="s">
        <v>120</v>
      </c>
      <c r="G5057" s="31" t="n">
        <v>10</v>
      </c>
      <c r="H5057" s="41" t="n">
        <v>32.6</v>
      </c>
      <c r="I5057" s="31" t="s">
        <v>149</v>
      </c>
      <c r="J5057" s="31" t="n">
        <v>3</v>
      </c>
      <c r="K5057" s="31" t="s">
        <v>150</v>
      </c>
      <c r="L5057" s="45" t="n">
        <f aca="false">DATE(YEAR(B5057),MONTH(B5057),1)</f>
        <v>46266</v>
      </c>
      <c r="M5057" s="31" t="n">
        <f aca="false">WEEKDAY(B5057,2)</f>
        <v>1</v>
      </c>
      <c r="N5057" s="31" t="str">
        <f aca="false">IF(G5057&lt;=INDEX(Assumptions!$B$15:$B$18,MATCH(E5057,Assumptions!$A$15:$A$18,0)),"Yes","No")</f>
        <v>Yes</v>
      </c>
      <c r="O5057" s="31" t="str">
        <f aca="false">IF(H5057="","Open",IF(H5057&lt;=INDEX(Assumptions!$C$15:$C$18,MATCH(E5057,Assumptions!$A$15:$A$18,0)),"Yes","No"))</f>
        <v>No</v>
      </c>
    </row>
    <row r="5058" customFormat="false" ht="15" hidden="false" customHeight="false" outlineLevel="0" collapsed="false">
      <c r="A5058" s="31" t="s">
        <v>5208</v>
      </c>
      <c r="B5058" s="44" t="n">
        <v>46272</v>
      </c>
      <c r="C5058" s="31" t="s">
        <v>57</v>
      </c>
      <c r="D5058" s="31" t="s">
        <v>68</v>
      </c>
      <c r="E5058" s="31" t="s">
        <v>51</v>
      </c>
      <c r="F5058" s="31" t="s">
        <v>136</v>
      </c>
      <c r="G5058" s="31" t="n">
        <v>3</v>
      </c>
      <c r="H5058" s="41" t="n">
        <v>5.3</v>
      </c>
      <c r="I5058" s="31" t="s">
        <v>149</v>
      </c>
      <c r="J5058" s="31"/>
      <c r="K5058" s="31" t="s">
        <v>150</v>
      </c>
      <c r="L5058" s="45" t="n">
        <f aca="false">DATE(YEAR(B5058),MONTH(B5058),1)</f>
        <v>46266</v>
      </c>
      <c r="M5058" s="31" t="n">
        <f aca="false">WEEKDAY(B5058,2)</f>
        <v>1</v>
      </c>
      <c r="N5058" s="31" t="str">
        <f aca="false">IF(G5058&lt;=INDEX(Assumptions!$B$15:$B$18,MATCH(E5058,Assumptions!$A$15:$A$18,0)),"Yes","No")</f>
        <v>Yes</v>
      </c>
      <c r="O5058" s="31" t="str">
        <f aca="false">IF(H5058="","Open",IF(H5058&lt;=INDEX(Assumptions!$C$15:$C$18,MATCH(E5058,Assumptions!$A$15:$A$18,0)),"Yes","No"))</f>
        <v>Yes</v>
      </c>
    </row>
    <row r="5059" customFormat="false" ht="15" hidden="false" customHeight="false" outlineLevel="0" collapsed="false">
      <c r="A5059" s="31" t="s">
        <v>5209</v>
      </c>
      <c r="B5059" s="44" t="n">
        <v>46272</v>
      </c>
      <c r="C5059" s="31" t="s">
        <v>57</v>
      </c>
      <c r="D5059" s="31" t="s">
        <v>69</v>
      </c>
      <c r="E5059" s="31" t="s">
        <v>51</v>
      </c>
      <c r="F5059" s="31" t="s">
        <v>134</v>
      </c>
      <c r="G5059" s="31" t="n">
        <v>5</v>
      </c>
      <c r="H5059" s="41" t="n">
        <v>24.1</v>
      </c>
      <c r="I5059" s="31" t="s">
        <v>149</v>
      </c>
      <c r="J5059" s="31" t="n">
        <v>3</v>
      </c>
      <c r="K5059" s="31" t="s">
        <v>153</v>
      </c>
      <c r="L5059" s="45" t="n">
        <f aca="false">DATE(YEAR(B5059),MONTH(B5059),1)</f>
        <v>46266</v>
      </c>
      <c r="M5059" s="31" t="n">
        <f aca="false">WEEKDAY(B5059,2)</f>
        <v>1</v>
      </c>
      <c r="N5059" s="31" t="str">
        <f aca="false">IF(G5059&lt;=INDEX(Assumptions!$B$15:$B$18,MATCH(E5059,Assumptions!$A$15:$A$18,0)),"Yes","No")</f>
        <v>Yes</v>
      </c>
      <c r="O5059" s="31" t="str">
        <f aca="false">IF(H5059="","Open",IF(H5059&lt;=INDEX(Assumptions!$C$15:$C$18,MATCH(E5059,Assumptions!$A$15:$A$18,0)),"Yes","No"))</f>
        <v>No</v>
      </c>
    </row>
    <row r="5060" customFormat="false" ht="15" hidden="false" customHeight="false" outlineLevel="0" collapsed="false">
      <c r="A5060" s="31" t="s">
        <v>5210</v>
      </c>
      <c r="B5060" s="44" t="n">
        <v>46272</v>
      </c>
      <c r="C5060" s="31" t="s">
        <v>59</v>
      </c>
      <c r="D5060" s="31" t="s">
        <v>66</v>
      </c>
      <c r="E5060" s="31" t="s">
        <v>51</v>
      </c>
      <c r="F5060" s="31" t="s">
        <v>117</v>
      </c>
      <c r="G5060" s="31" t="n">
        <v>273</v>
      </c>
      <c r="H5060" s="41" t="n">
        <v>1.4</v>
      </c>
      <c r="I5060" s="31" t="s">
        <v>149</v>
      </c>
      <c r="J5060" s="31"/>
      <c r="K5060" s="31" t="s">
        <v>150</v>
      </c>
      <c r="L5060" s="45" t="n">
        <f aca="false">DATE(YEAR(B5060),MONTH(B5060),1)</f>
        <v>46266</v>
      </c>
      <c r="M5060" s="31" t="n">
        <f aca="false">WEEKDAY(B5060,2)</f>
        <v>1</v>
      </c>
      <c r="N5060" s="31" t="str">
        <f aca="false">IF(G5060&lt;=INDEX(Assumptions!$B$15:$B$18,MATCH(E5060,Assumptions!$A$15:$A$18,0)),"Yes","No")</f>
        <v>No</v>
      </c>
      <c r="O5060" s="31" t="str">
        <f aca="false">IF(H5060="","Open",IF(H5060&lt;=INDEX(Assumptions!$C$15:$C$18,MATCH(E5060,Assumptions!$A$15:$A$18,0)),"Yes","No"))</f>
        <v>Yes</v>
      </c>
    </row>
    <row r="5061" customFormat="false" ht="15" hidden="false" customHeight="false" outlineLevel="0" collapsed="false">
      <c r="A5061" s="31" t="s">
        <v>5211</v>
      </c>
      <c r="B5061" s="44" t="n">
        <v>46272</v>
      </c>
      <c r="C5061" s="31" t="s">
        <v>59</v>
      </c>
      <c r="D5061" s="31" t="s">
        <v>67</v>
      </c>
      <c r="E5061" s="31" t="s">
        <v>52</v>
      </c>
      <c r="F5061" s="31" t="s">
        <v>136</v>
      </c>
      <c r="G5061" s="31" t="n">
        <v>229</v>
      </c>
      <c r="H5061" s="41" t="n">
        <v>29.3</v>
      </c>
      <c r="I5061" s="31" t="s">
        <v>149</v>
      </c>
      <c r="J5061" s="31" t="n">
        <v>4</v>
      </c>
      <c r="K5061" s="31" t="s">
        <v>150</v>
      </c>
      <c r="L5061" s="45" t="n">
        <f aca="false">DATE(YEAR(B5061),MONTH(B5061),1)</f>
        <v>46266</v>
      </c>
      <c r="M5061" s="31" t="n">
        <f aca="false">WEEKDAY(B5061,2)</f>
        <v>1</v>
      </c>
      <c r="N5061" s="31" t="str">
        <f aca="false">IF(G5061&lt;=INDEX(Assumptions!$B$15:$B$18,MATCH(E5061,Assumptions!$A$15:$A$18,0)),"Yes","No")</f>
        <v>Yes</v>
      </c>
      <c r="O5061" s="31" t="str">
        <f aca="false">IF(H5061="","Open",IF(H5061&lt;=INDEX(Assumptions!$C$15:$C$18,MATCH(E5061,Assumptions!$A$15:$A$18,0)),"Yes","No"))</f>
        <v>Yes</v>
      </c>
    </row>
    <row r="5062" customFormat="false" ht="15" hidden="false" customHeight="false" outlineLevel="0" collapsed="false">
      <c r="A5062" s="31" t="s">
        <v>5212</v>
      </c>
      <c r="B5062" s="44" t="n">
        <v>46272</v>
      </c>
      <c r="C5062" s="31" t="s">
        <v>58</v>
      </c>
      <c r="D5062" s="31" t="s">
        <v>66</v>
      </c>
      <c r="E5062" s="31" t="s">
        <v>51</v>
      </c>
      <c r="F5062" s="31" t="s">
        <v>121</v>
      </c>
      <c r="G5062" s="31" t="n">
        <v>16</v>
      </c>
      <c r="H5062" s="41" t="n">
        <v>10.7</v>
      </c>
      <c r="I5062" s="31" t="s">
        <v>149</v>
      </c>
      <c r="J5062" s="31" t="n">
        <v>4</v>
      </c>
      <c r="K5062" s="31" t="s">
        <v>150</v>
      </c>
      <c r="L5062" s="45" t="n">
        <f aca="false">DATE(YEAR(B5062),MONTH(B5062),1)</f>
        <v>46266</v>
      </c>
      <c r="M5062" s="31" t="n">
        <f aca="false">WEEKDAY(B5062,2)</f>
        <v>1</v>
      </c>
      <c r="N5062" s="31" t="str">
        <f aca="false">IF(G5062&lt;=INDEX(Assumptions!$B$15:$B$18,MATCH(E5062,Assumptions!$A$15:$A$18,0)),"Yes","No")</f>
        <v>Yes</v>
      </c>
      <c r="O5062" s="31" t="str">
        <f aca="false">IF(H5062="","Open",IF(H5062&lt;=INDEX(Assumptions!$C$15:$C$18,MATCH(E5062,Assumptions!$A$15:$A$18,0)),"Yes","No"))</f>
        <v>Yes</v>
      </c>
    </row>
    <row r="5063" customFormat="false" ht="15" hidden="false" customHeight="false" outlineLevel="0" collapsed="false">
      <c r="A5063" s="31" t="s">
        <v>5213</v>
      </c>
      <c r="B5063" s="44" t="n">
        <v>46273</v>
      </c>
      <c r="C5063" s="31" t="s">
        <v>59</v>
      </c>
      <c r="D5063" s="31" t="s">
        <v>69</v>
      </c>
      <c r="E5063" s="31" t="s">
        <v>50</v>
      </c>
      <c r="F5063" s="31" t="s">
        <v>124</v>
      </c>
      <c r="G5063" s="31" t="n">
        <v>105</v>
      </c>
      <c r="H5063" s="41" t="n">
        <v>19.5</v>
      </c>
      <c r="I5063" s="31" t="s">
        <v>149</v>
      </c>
      <c r="J5063" s="31"/>
      <c r="K5063" s="31" t="s">
        <v>153</v>
      </c>
      <c r="L5063" s="45" t="n">
        <f aca="false">DATE(YEAR(B5063),MONTH(B5063),1)</f>
        <v>46266</v>
      </c>
      <c r="M5063" s="31" t="n">
        <f aca="false">WEEKDAY(B5063,2)</f>
        <v>2</v>
      </c>
      <c r="N5063" s="31" t="str">
        <f aca="false">IF(G5063&lt;=INDEX(Assumptions!$B$15:$B$18,MATCH(E5063,Assumptions!$A$15:$A$18,0)),"Yes","No")</f>
        <v>No</v>
      </c>
      <c r="O5063" s="31" t="str">
        <f aca="false">IF(H5063="","Open",IF(H5063&lt;=INDEX(Assumptions!$C$15:$C$18,MATCH(E5063,Assumptions!$A$15:$A$18,0)),"Yes","No"))</f>
        <v>No</v>
      </c>
    </row>
    <row r="5064" customFormat="false" ht="15" hidden="false" customHeight="false" outlineLevel="0" collapsed="false">
      <c r="A5064" s="31" t="s">
        <v>5214</v>
      </c>
      <c r="B5064" s="44" t="n">
        <v>46273</v>
      </c>
      <c r="C5064" s="31" t="s">
        <v>60</v>
      </c>
      <c r="D5064" s="31" t="s">
        <v>67</v>
      </c>
      <c r="E5064" s="31" t="s">
        <v>51</v>
      </c>
      <c r="F5064" s="31" t="s">
        <v>120</v>
      </c>
      <c r="G5064" s="31" t="n">
        <v>5</v>
      </c>
      <c r="H5064" s="41" t="n">
        <v>12</v>
      </c>
      <c r="I5064" s="31" t="s">
        <v>149</v>
      </c>
      <c r="J5064" s="31" t="n">
        <v>5</v>
      </c>
      <c r="K5064" s="31" t="s">
        <v>150</v>
      </c>
      <c r="L5064" s="45" t="n">
        <f aca="false">DATE(YEAR(B5064),MONTH(B5064),1)</f>
        <v>46266</v>
      </c>
      <c r="M5064" s="31" t="n">
        <f aca="false">WEEKDAY(B5064,2)</f>
        <v>2</v>
      </c>
      <c r="N5064" s="31" t="str">
        <f aca="false">IF(G5064&lt;=INDEX(Assumptions!$B$15:$B$18,MATCH(E5064,Assumptions!$A$15:$A$18,0)),"Yes","No")</f>
        <v>Yes</v>
      </c>
      <c r="O5064" s="31" t="str">
        <f aca="false">IF(H5064="","Open",IF(H5064&lt;=INDEX(Assumptions!$C$15:$C$18,MATCH(E5064,Assumptions!$A$15:$A$18,0)),"Yes","No"))</f>
        <v>Yes</v>
      </c>
    </row>
    <row r="5065" customFormat="false" ht="15" hidden="false" customHeight="false" outlineLevel="0" collapsed="false">
      <c r="A5065" s="31" t="s">
        <v>5215</v>
      </c>
      <c r="B5065" s="44" t="n">
        <v>46273</v>
      </c>
      <c r="C5065" s="31" t="s">
        <v>58</v>
      </c>
      <c r="D5065" s="31" t="s">
        <v>67</v>
      </c>
      <c r="E5065" s="31" t="s">
        <v>52</v>
      </c>
      <c r="F5065" s="31" t="s">
        <v>120</v>
      </c>
      <c r="G5065" s="31" t="n">
        <v>24</v>
      </c>
      <c r="H5065" s="41" t="n">
        <v>86</v>
      </c>
      <c r="I5065" s="31" t="s">
        <v>149</v>
      </c>
      <c r="J5065" s="31" t="n">
        <v>4</v>
      </c>
      <c r="K5065" s="31" t="s">
        <v>150</v>
      </c>
      <c r="L5065" s="45" t="n">
        <f aca="false">DATE(YEAR(B5065),MONTH(B5065),1)</f>
        <v>46266</v>
      </c>
      <c r="M5065" s="31" t="n">
        <f aca="false">WEEKDAY(B5065,2)</f>
        <v>2</v>
      </c>
      <c r="N5065" s="31" t="str">
        <f aca="false">IF(G5065&lt;=INDEX(Assumptions!$B$15:$B$18,MATCH(E5065,Assumptions!$A$15:$A$18,0)),"Yes","No")</f>
        <v>Yes</v>
      </c>
      <c r="O5065" s="31" t="str">
        <f aca="false">IF(H5065="","Open",IF(H5065&lt;=INDEX(Assumptions!$C$15:$C$18,MATCH(E5065,Assumptions!$A$15:$A$18,0)),"Yes","No"))</f>
        <v>No</v>
      </c>
    </row>
    <row r="5066" customFormat="false" ht="15" hidden="false" customHeight="false" outlineLevel="0" collapsed="false">
      <c r="A5066" s="31" t="s">
        <v>5216</v>
      </c>
      <c r="B5066" s="44" t="n">
        <v>46273</v>
      </c>
      <c r="C5066" s="31" t="s">
        <v>58</v>
      </c>
      <c r="D5066" s="31" t="s">
        <v>67</v>
      </c>
      <c r="E5066" s="31" t="s">
        <v>51</v>
      </c>
      <c r="F5066" s="31" t="s">
        <v>134</v>
      </c>
      <c r="G5066" s="31" t="n">
        <v>16</v>
      </c>
      <c r="H5066" s="41" t="n">
        <v>48.8</v>
      </c>
      <c r="I5066" s="31" t="s">
        <v>149</v>
      </c>
      <c r="J5066" s="31"/>
      <c r="K5066" s="31" t="s">
        <v>150</v>
      </c>
      <c r="L5066" s="45" t="n">
        <f aca="false">DATE(YEAR(B5066),MONTH(B5066),1)</f>
        <v>46266</v>
      </c>
      <c r="M5066" s="31" t="n">
        <f aca="false">WEEKDAY(B5066,2)</f>
        <v>2</v>
      </c>
      <c r="N5066" s="31" t="str">
        <f aca="false">IF(G5066&lt;=INDEX(Assumptions!$B$15:$B$18,MATCH(E5066,Assumptions!$A$15:$A$18,0)),"Yes","No")</f>
        <v>Yes</v>
      </c>
      <c r="O5066" s="31" t="str">
        <f aca="false">IF(H5066="","Open",IF(H5066&lt;=INDEX(Assumptions!$C$15:$C$18,MATCH(E5066,Assumptions!$A$15:$A$18,0)),"Yes","No"))</f>
        <v>No</v>
      </c>
    </row>
    <row r="5067" customFormat="false" ht="15" hidden="false" customHeight="false" outlineLevel="0" collapsed="false">
      <c r="A5067" s="31" t="s">
        <v>5217</v>
      </c>
      <c r="B5067" s="44" t="n">
        <v>46273</v>
      </c>
      <c r="C5067" s="31" t="s">
        <v>58</v>
      </c>
      <c r="D5067" s="31" t="s">
        <v>66</v>
      </c>
      <c r="E5067" s="31" t="s">
        <v>51</v>
      </c>
      <c r="F5067" s="31" t="s">
        <v>122</v>
      </c>
      <c r="G5067" s="31" t="n">
        <v>2</v>
      </c>
      <c r="H5067" s="41" t="n">
        <v>8.4</v>
      </c>
      <c r="I5067" s="31" t="s">
        <v>149</v>
      </c>
      <c r="J5067" s="31" t="n">
        <v>5</v>
      </c>
      <c r="K5067" s="31" t="s">
        <v>150</v>
      </c>
      <c r="L5067" s="45" t="n">
        <f aca="false">DATE(YEAR(B5067),MONTH(B5067),1)</f>
        <v>46266</v>
      </c>
      <c r="M5067" s="31" t="n">
        <f aca="false">WEEKDAY(B5067,2)</f>
        <v>2</v>
      </c>
      <c r="N5067" s="31" t="str">
        <f aca="false">IF(G5067&lt;=INDEX(Assumptions!$B$15:$B$18,MATCH(E5067,Assumptions!$A$15:$A$18,0)),"Yes","No")</f>
        <v>Yes</v>
      </c>
      <c r="O5067" s="31" t="str">
        <f aca="false">IF(H5067="","Open",IF(H5067&lt;=INDEX(Assumptions!$C$15:$C$18,MATCH(E5067,Assumptions!$A$15:$A$18,0)),"Yes","No"))</f>
        <v>Yes</v>
      </c>
    </row>
    <row r="5068" customFormat="false" ht="15" hidden="false" customHeight="false" outlineLevel="0" collapsed="false">
      <c r="A5068" s="31" t="s">
        <v>5218</v>
      </c>
      <c r="B5068" s="44" t="n">
        <v>46273</v>
      </c>
      <c r="C5068" s="31" t="s">
        <v>58</v>
      </c>
      <c r="D5068" s="31" t="s">
        <v>69</v>
      </c>
      <c r="E5068" s="31" t="s">
        <v>51</v>
      </c>
      <c r="F5068" s="31" t="s">
        <v>120</v>
      </c>
      <c r="G5068" s="31" t="n">
        <v>16</v>
      </c>
      <c r="H5068" s="41" t="n">
        <v>51.8</v>
      </c>
      <c r="I5068" s="31" t="s">
        <v>149</v>
      </c>
      <c r="J5068" s="31" t="n">
        <v>4</v>
      </c>
      <c r="K5068" s="31" t="s">
        <v>150</v>
      </c>
      <c r="L5068" s="45" t="n">
        <f aca="false">DATE(YEAR(B5068),MONTH(B5068),1)</f>
        <v>46266</v>
      </c>
      <c r="M5068" s="31" t="n">
        <f aca="false">WEEKDAY(B5068,2)</f>
        <v>2</v>
      </c>
      <c r="N5068" s="31" t="str">
        <f aca="false">IF(G5068&lt;=INDEX(Assumptions!$B$15:$B$18,MATCH(E5068,Assumptions!$A$15:$A$18,0)),"Yes","No")</f>
        <v>Yes</v>
      </c>
      <c r="O5068" s="31" t="str">
        <f aca="false">IF(H5068="","Open",IF(H5068&lt;=INDEX(Assumptions!$C$15:$C$18,MATCH(E5068,Assumptions!$A$15:$A$18,0)),"Yes","No"))</f>
        <v>No</v>
      </c>
    </row>
    <row r="5069" customFormat="false" ht="15" hidden="false" customHeight="false" outlineLevel="0" collapsed="false">
      <c r="A5069" s="31" t="s">
        <v>5219</v>
      </c>
      <c r="B5069" s="44" t="n">
        <v>46273</v>
      </c>
      <c r="C5069" s="31" t="s">
        <v>58</v>
      </c>
      <c r="D5069" s="31" t="s">
        <v>65</v>
      </c>
      <c r="E5069" s="31" t="s">
        <v>51</v>
      </c>
      <c r="F5069" s="31" t="s">
        <v>136</v>
      </c>
      <c r="G5069" s="31" t="n">
        <v>27</v>
      </c>
      <c r="H5069" s="41" t="n">
        <v>4.3</v>
      </c>
      <c r="I5069" s="31" t="s">
        <v>149</v>
      </c>
      <c r="J5069" s="31"/>
      <c r="K5069" s="31" t="s">
        <v>150</v>
      </c>
      <c r="L5069" s="45" t="n">
        <f aca="false">DATE(YEAR(B5069),MONTH(B5069),1)</f>
        <v>46266</v>
      </c>
      <c r="M5069" s="31" t="n">
        <f aca="false">WEEKDAY(B5069,2)</f>
        <v>2</v>
      </c>
      <c r="N5069" s="31" t="str">
        <f aca="false">IF(G5069&lt;=INDEX(Assumptions!$B$15:$B$18,MATCH(E5069,Assumptions!$A$15:$A$18,0)),"Yes","No")</f>
        <v>Yes</v>
      </c>
      <c r="O5069" s="31" t="str">
        <f aca="false">IF(H5069="","Open",IF(H5069&lt;=INDEX(Assumptions!$C$15:$C$18,MATCH(E5069,Assumptions!$A$15:$A$18,0)),"Yes","No"))</f>
        <v>Yes</v>
      </c>
    </row>
    <row r="5070" customFormat="false" ht="15" hidden="false" customHeight="false" outlineLevel="0" collapsed="false">
      <c r="A5070" s="31" t="s">
        <v>5220</v>
      </c>
      <c r="B5070" s="44" t="n">
        <v>46273</v>
      </c>
      <c r="C5070" s="31" t="s">
        <v>60</v>
      </c>
      <c r="D5070" s="31" t="s">
        <v>65</v>
      </c>
      <c r="E5070" s="31" t="s">
        <v>50</v>
      </c>
      <c r="F5070" s="31" t="s">
        <v>129</v>
      </c>
      <c r="G5070" s="31" t="n">
        <v>1</v>
      </c>
      <c r="H5070" s="41" t="n">
        <v>5.7</v>
      </c>
      <c r="I5070" s="31" t="s">
        <v>149</v>
      </c>
      <c r="J5070" s="31" t="n">
        <v>5</v>
      </c>
      <c r="K5070" s="31" t="s">
        <v>150</v>
      </c>
      <c r="L5070" s="45" t="n">
        <f aca="false">DATE(YEAR(B5070),MONTH(B5070),1)</f>
        <v>46266</v>
      </c>
      <c r="M5070" s="31" t="n">
        <f aca="false">WEEKDAY(B5070,2)</f>
        <v>2</v>
      </c>
      <c r="N5070" s="31" t="str">
        <f aca="false">IF(G5070&lt;=INDEX(Assumptions!$B$15:$B$18,MATCH(E5070,Assumptions!$A$15:$A$18,0)),"Yes","No")</f>
        <v>Yes</v>
      </c>
      <c r="O5070" s="31" t="str">
        <f aca="false">IF(H5070="","Open",IF(H5070&lt;=INDEX(Assumptions!$C$15:$C$18,MATCH(E5070,Assumptions!$A$15:$A$18,0)),"Yes","No"))</f>
        <v>Yes</v>
      </c>
    </row>
    <row r="5071" customFormat="false" ht="15" hidden="false" customHeight="false" outlineLevel="0" collapsed="false">
      <c r="A5071" s="31" t="s">
        <v>5221</v>
      </c>
      <c r="B5071" s="44" t="n">
        <v>46273</v>
      </c>
      <c r="C5071" s="31" t="s">
        <v>59</v>
      </c>
      <c r="D5071" s="31" t="s">
        <v>65</v>
      </c>
      <c r="E5071" s="31" t="s">
        <v>51</v>
      </c>
      <c r="F5071" s="31" t="s">
        <v>128</v>
      </c>
      <c r="G5071" s="31" t="n">
        <v>202</v>
      </c>
      <c r="H5071" s="41" t="n">
        <v>20.4</v>
      </c>
      <c r="I5071" s="31" t="s">
        <v>149</v>
      </c>
      <c r="J5071" s="31" t="n">
        <v>3</v>
      </c>
      <c r="K5071" s="31" t="s">
        <v>150</v>
      </c>
      <c r="L5071" s="45" t="n">
        <f aca="false">DATE(YEAR(B5071),MONTH(B5071),1)</f>
        <v>46266</v>
      </c>
      <c r="M5071" s="31" t="n">
        <f aca="false">WEEKDAY(B5071,2)</f>
        <v>2</v>
      </c>
      <c r="N5071" s="31" t="str">
        <f aca="false">IF(G5071&lt;=INDEX(Assumptions!$B$15:$B$18,MATCH(E5071,Assumptions!$A$15:$A$18,0)),"Yes","No")</f>
        <v>No</v>
      </c>
      <c r="O5071" s="31" t="str">
        <f aca="false">IF(H5071="","Open",IF(H5071&lt;=INDEX(Assumptions!$C$15:$C$18,MATCH(E5071,Assumptions!$A$15:$A$18,0)),"Yes","No"))</f>
        <v>Yes</v>
      </c>
    </row>
    <row r="5072" customFormat="false" ht="15" hidden="false" customHeight="false" outlineLevel="0" collapsed="false">
      <c r="A5072" s="31" t="s">
        <v>5222</v>
      </c>
      <c r="B5072" s="44" t="n">
        <v>46273</v>
      </c>
      <c r="C5072" s="31" t="s">
        <v>60</v>
      </c>
      <c r="D5072" s="31" t="s">
        <v>66</v>
      </c>
      <c r="E5072" s="31" t="s">
        <v>51</v>
      </c>
      <c r="F5072" s="31" t="s">
        <v>121</v>
      </c>
      <c r="G5072" s="31" t="n">
        <v>8</v>
      </c>
      <c r="H5072" s="41" t="n">
        <v>13.6</v>
      </c>
      <c r="I5072" s="31" t="s">
        <v>149</v>
      </c>
      <c r="J5072" s="31"/>
      <c r="K5072" s="31" t="s">
        <v>150</v>
      </c>
      <c r="L5072" s="45" t="n">
        <f aca="false">DATE(YEAR(B5072),MONTH(B5072),1)</f>
        <v>46266</v>
      </c>
      <c r="M5072" s="31" t="n">
        <f aca="false">WEEKDAY(B5072,2)</f>
        <v>2</v>
      </c>
      <c r="N5072" s="31" t="str">
        <f aca="false">IF(G5072&lt;=INDEX(Assumptions!$B$15:$B$18,MATCH(E5072,Assumptions!$A$15:$A$18,0)),"Yes","No")</f>
        <v>Yes</v>
      </c>
      <c r="O5072" s="31" t="str">
        <f aca="false">IF(H5072="","Open",IF(H5072&lt;=INDEX(Assumptions!$C$15:$C$18,MATCH(E5072,Assumptions!$A$15:$A$18,0)),"Yes","No"))</f>
        <v>Yes</v>
      </c>
    </row>
    <row r="5073" customFormat="false" ht="15" hidden="false" customHeight="false" outlineLevel="0" collapsed="false">
      <c r="A5073" s="31" t="s">
        <v>5223</v>
      </c>
      <c r="B5073" s="44" t="n">
        <v>46273</v>
      </c>
      <c r="C5073" s="31" t="s">
        <v>59</v>
      </c>
      <c r="D5073" s="31" t="s">
        <v>68</v>
      </c>
      <c r="E5073" s="31" t="s">
        <v>51</v>
      </c>
      <c r="F5073" s="31" t="s">
        <v>121</v>
      </c>
      <c r="G5073" s="31" t="n">
        <v>84</v>
      </c>
      <c r="H5073" s="41" t="n">
        <v>9.8</v>
      </c>
      <c r="I5073" s="31" t="s">
        <v>149</v>
      </c>
      <c r="J5073" s="31" t="n">
        <v>4</v>
      </c>
      <c r="K5073" s="31" t="s">
        <v>150</v>
      </c>
      <c r="L5073" s="45" t="n">
        <f aca="false">DATE(YEAR(B5073),MONTH(B5073),1)</f>
        <v>46266</v>
      </c>
      <c r="M5073" s="31" t="n">
        <f aca="false">WEEKDAY(B5073,2)</f>
        <v>2</v>
      </c>
      <c r="N5073" s="31" t="str">
        <f aca="false">IF(G5073&lt;=INDEX(Assumptions!$B$15:$B$18,MATCH(E5073,Assumptions!$A$15:$A$18,0)),"Yes","No")</f>
        <v>No</v>
      </c>
      <c r="O5073" s="31" t="str">
        <f aca="false">IF(H5073="","Open",IF(H5073&lt;=INDEX(Assumptions!$C$15:$C$18,MATCH(E5073,Assumptions!$A$15:$A$18,0)),"Yes","No"))</f>
        <v>Yes</v>
      </c>
    </row>
    <row r="5074" customFormat="false" ht="15" hidden="false" customHeight="false" outlineLevel="0" collapsed="false">
      <c r="A5074" s="31" t="s">
        <v>5224</v>
      </c>
      <c r="B5074" s="44" t="n">
        <v>46273</v>
      </c>
      <c r="C5074" s="31" t="s">
        <v>60</v>
      </c>
      <c r="D5074" s="31" t="s">
        <v>68</v>
      </c>
      <c r="E5074" s="31" t="s">
        <v>51</v>
      </c>
      <c r="F5074" s="31" t="s">
        <v>136</v>
      </c>
      <c r="G5074" s="31" t="n">
        <v>1</v>
      </c>
      <c r="H5074" s="41" t="n">
        <v>2.3</v>
      </c>
      <c r="I5074" s="31" t="s">
        <v>149</v>
      </c>
      <c r="J5074" s="31"/>
      <c r="K5074" s="31" t="s">
        <v>150</v>
      </c>
      <c r="L5074" s="45" t="n">
        <f aca="false">DATE(YEAR(B5074),MONTH(B5074),1)</f>
        <v>46266</v>
      </c>
      <c r="M5074" s="31" t="n">
        <f aca="false">WEEKDAY(B5074,2)</f>
        <v>2</v>
      </c>
      <c r="N5074" s="31" t="str">
        <f aca="false">IF(G5074&lt;=INDEX(Assumptions!$B$15:$B$18,MATCH(E5074,Assumptions!$A$15:$A$18,0)),"Yes","No")</f>
        <v>Yes</v>
      </c>
      <c r="O5074" s="31" t="str">
        <f aca="false">IF(H5074="","Open",IF(H5074&lt;=INDEX(Assumptions!$C$15:$C$18,MATCH(E5074,Assumptions!$A$15:$A$18,0)),"Yes","No"))</f>
        <v>Yes</v>
      </c>
    </row>
    <row r="5075" customFormat="false" ht="15" hidden="false" customHeight="false" outlineLevel="0" collapsed="false">
      <c r="A5075" s="31" t="s">
        <v>5225</v>
      </c>
      <c r="B5075" s="44" t="n">
        <v>46273</v>
      </c>
      <c r="C5075" s="31" t="s">
        <v>59</v>
      </c>
      <c r="D5075" s="31" t="s">
        <v>69</v>
      </c>
      <c r="E5075" s="31" t="s">
        <v>51</v>
      </c>
      <c r="F5075" s="31" t="s">
        <v>133</v>
      </c>
      <c r="G5075" s="31" t="n">
        <v>163</v>
      </c>
      <c r="H5075" s="41" t="n">
        <v>89.1</v>
      </c>
      <c r="I5075" s="31" t="s">
        <v>149</v>
      </c>
      <c r="J5075" s="31" t="n">
        <v>4</v>
      </c>
      <c r="K5075" s="31" t="s">
        <v>150</v>
      </c>
      <c r="L5075" s="45" t="n">
        <f aca="false">DATE(YEAR(B5075),MONTH(B5075),1)</f>
        <v>46266</v>
      </c>
      <c r="M5075" s="31" t="n">
        <f aca="false">WEEKDAY(B5075,2)</f>
        <v>2</v>
      </c>
      <c r="N5075" s="31" t="str">
        <f aca="false">IF(G5075&lt;=INDEX(Assumptions!$B$15:$B$18,MATCH(E5075,Assumptions!$A$15:$A$18,0)),"Yes","No")</f>
        <v>No</v>
      </c>
      <c r="O5075" s="31" t="str">
        <f aca="false">IF(H5075="","Open",IF(H5075&lt;=INDEX(Assumptions!$C$15:$C$18,MATCH(E5075,Assumptions!$A$15:$A$18,0)),"Yes","No"))</f>
        <v>No</v>
      </c>
    </row>
    <row r="5076" customFormat="false" ht="15" hidden="false" customHeight="false" outlineLevel="0" collapsed="false">
      <c r="A5076" s="31" t="s">
        <v>5226</v>
      </c>
      <c r="B5076" s="44" t="n">
        <v>46273</v>
      </c>
      <c r="C5076" s="31" t="s">
        <v>58</v>
      </c>
      <c r="D5076" s="31" t="s">
        <v>66</v>
      </c>
      <c r="E5076" s="31" t="s">
        <v>52</v>
      </c>
      <c r="F5076" s="31" t="s">
        <v>126</v>
      </c>
      <c r="G5076" s="31" t="n">
        <v>11</v>
      </c>
      <c r="H5076" s="41" t="n">
        <v>1.4</v>
      </c>
      <c r="I5076" s="31" t="s">
        <v>149</v>
      </c>
      <c r="J5076" s="31"/>
      <c r="K5076" s="31" t="s">
        <v>150</v>
      </c>
      <c r="L5076" s="45" t="n">
        <f aca="false">DATE(YEAR(B5076),MONTH(B5076),1)</f>
        <v>46266</v>
      </c>
      <c r="M5076" s="31" t="n">
        <f aca="false">WEEKDAY(B5076,2)</f>
        <v>2</v>
      </c>
      <c r="N5076" s="31" t="str">
        <f aca="false">IF(G5076&lt;=INDEX(Assumptions!$B$15:$B$18,MATCH(E5076,Assumptions!$A$15:$A$18,0)),"Yes","No")</f>
        <v>Yes</v>
      </c>
      <c r="O5076" s="31" t="str">
        <f aca="false">IF(H5076="","Open",IF(H5076&lt;=INDEX(Assumptions!$C$15:$C$18,MATCH(E5076,Assumptions!$A$15:$A$18,0)),"Yes","No"))</f>
        <v>Yes</v>
      </c>
    </row>
    <row r="5077" customFormat="false" ht="15" hidden="false" customHeight="false" outlineLevel="0" collapsed="false">
      <c r="A5077" s="31" t="s">
        <v>5227</v>
      </c>
      <c r="B5077" s="44" t="n">
        <v>46273</v>
      </c>
      <c r="C5077" s="31" t="s">
        <v>58</v>
      </c>
      <c r="D5077" s="31" t="s">
        <v>65</v>
      </c>
      <c r="E5077" s="31" t="s">
        <v>51</v>
      </c>
      <c r="F5077" s="31" t="s">
        <v>123</v>
      </c>
      <c r="G5077" s="31" t="n">
        <v>21</v>
      </c>
      <c r="H5077" s="41" t="n">
        <v>13.2</v>
      </c>
      <c r="I5077" s="31" t="s">
        <v>149</v>
      </c>
      <c r="J5077" s="31" t="n">
        <v>5</v>
      </c>
      <c r="K5077" s="31" t="s">
        <v>150</v>
      </c>
      <c r="L5077" s="45" t="n">
        <f aca="false">DATE(YEAR(B5077),MONTH(B5077),1)</f>
        <v>46266</v>
      </c>
      <c r="M5077" s="31" t="n">
        <f aca="false">WEEKDAY(B5077,2)</f>
        <v>2</v>
      </c>
      <c r="N5077" s="31" t="str">
        <f aca="false">IF(G5077&lt;=INDEX(Assumptions!$B$15:$B$18,MATCH(E5077,Assumptions!$A$15:$A$18,0)),"Yes","No")</f>
        <v>Yes</v>
      </c>
      <c r="O5077" s="31" t="str">
        <f aca="false">IF(H5077="","Open",IF(H5077&lt;=INDEX(Assumptions!$C$15:$C$18,MATCH(E5077,Assumptions!$A$15:$A$18,0)),"Yes","No"))</f>
        <v>Yes</v>
      </c>
    </row>
    <row r="5078" customFormat="false" ht="15" hidden="false" customHeight="false" outlineLevel="0" collapsed="false">
      <c r="A5078" s="31" t="s">
        <v>5228</v>
      </c>
      <c r="B5078" s="44" t="n">
        <v>46273</v>
      </c>
      <c r="C5078" s="31" t="s">
        <v>58</v>
      </c>
      <c r="D5078" s="31" t="s">
        <v>67</v>
      </c>
      <c r="E5078" s="31" t="s">
        <v>50</v>
      </c>
      <c r="F5078" s="31" t="s">
        <v>123</v>
      </c>
      <c r="G5078" s="31" t="n">
        <v>10</v>
      </c>
      <c r="H5078" s="41" t="n">
        <v>8.1</v>
      </c>
      <c r="I5078" s="31" t="s">
        <v>149</v>
      </c>
      <c r="J5078" s="31" t="n">
        <v>3</v>
      </c>
      <c r="K5078" s="31" t="s">
        <v>150</v>
      </c>
      <c r="L5078" s="45" t="n">
        <f aca="false">DATE(YEAR(B5078),MONTH(B5078),1)</f>
        <v>46266</v>
      </c>
      <c r="M5078" s="31" t="n">
        <f aca="false">WEEKDAY(B5078,2)</f>
        <v>2</v>
      </c>
      <c r="N5078" s="31" t="str">
        <f aca="false">IF(G5078&lt;=INDEX(Assumptions!$B$15:$B$18,MATCH(E5078,Assumptions!$A$15:$A$18,0)),"Yes","No")</f>
        <v>Yes</v>
      </c>
      <c r="O5078" s="31" t="str">
        <f aca="false">IF(H5078="","Open",IF(H5078&lt;=INDEX(Assumptions!$C$15:$C$18,MATCH(E5078,Assumptions!$A$15:$A$18,0)),"Yes","No"))</f>
        <v>No</v>
      </c>
    </row>
    <row r="5079" customFormat="false" ht="15" hidden="false" customHeight="false" outlineLevel="0" collapsed="false">
      <c r="A5079" s="31" t="s">
        <v>5229</v>
      </c>
      <c r="B5079" s="44" t="n">
        <v>46273</v>
      </c>
      <c r="C5079" s="31" t="s">
        <v>59</v>
      </c>
      <c r="D5079" s="31" t="s">
        <v>66</v>
      </c>
      <c r="E5079" s="31" t="s">
        <v>51</v>
      </c>
      <c r="F5079" s="31" t="s">
        <v>127</v>
      </c>
      <c r="G5079" s="31" t="n">
        <v>64</v>
      </c>
      <c r="H5079" s="41" t="n">
        <v>11.9</v>
      </c>
      <c r="I5079" s="31" t="s">
        <v>64</v>
      </c>
      <c r="J5079" s="31" t="n">
        <v>4</v>
      </c>
      <c r="K5079" s="31" t="s">
        <v>150</v>
      </c>
      <c r="L5079" s="45" t="n">
        <f aca="false">DATE(YEAR(B5079),MONTH(B5079),1)</f>
        <v>46266</v>
      </c>
      <c r="M5079" s="31" t="n">
        <f aca="false">WEEKDAY(B5079,2)</f>
        <v>2</v>
      </c>
      <c r="N5079" s="31" t="str">
        <f aca="false">IF(G5079&lt;=INDEX(Assumptions!$B$15:$B$18,MATCH(E5079,Assumptions!$A$15:$A$18,0)),"Yes","No")</f>
        <v>No</v>
      </c>
      <c r="O5079" s="31" t="str">
        <f aca="false">IF(H5079="","Open",IF(H5079&lt;=INDEX(Assumptions!$C$15:$C$18,MATCH(E5079,Assumptions!$A$15:$A$18,0)),"Yes","No"))</f>
        <v>Yes</v>
      </c>
    </row>
    <row r="5080" customFormat="false" ht="15" hidden="false" customHeight="false" outlineLevel="0" collapsed="false">
      <c r="A5080" s="31" t="s">
        <v>5230</v>
      </c>
      <c r="B5080" s="44" t="n">
        <v>46273</v>
      </c>
      <c r="C5080" s="31" t="s">
        <v>58</v>
      </c>
      <c r="D5080" s="31" t="s">
        <v>66</v>
      </c>
      <c r="E5080" s="31" t="s">
        <v>51</v>
      </c>
      <c r="F5080" s="31" t="s">
        <v>119</v>
      </c>
      <c r="G5080" s="31" t="n">
        <v>7</v>
      </c>
      <c r="H5080" s="41"/>
      <c r="I5080" s="31" t="s">
        <v>158</v>
      </c>
      <c r="J5080" s="31"/>
      <c r="K5080" s="31" t="s">
        <v>150</v>
      </c>
      <c r="L5080" s="45" t="n">
        <f aca="false">DATE(YEAR(B5080),MONTH(B5080),1)</f>
        <v>46266</v>
      </c>
      <c r="M5080" s="31" t="n">
        <f aca="false">WEEKDAY(B5080,2)</f>
        <v>2</v>
      </c>
      <c r="N5080" s="31" t="str">
        <f aca="false">IF(G5080&lt;=INDEX(Assumptions!$B$15:$B$18,MATCH(E5080,Assumptions!$A$15:$A$18,0)),"Yes","No")</f>
        <v>Yes</v>
      </c>
      <c r="O5080" s="31" t="str">
        <f aca="false">IF(H5080="","Open",IF(H5080&lt;=INDEX(Assumptions!$C$15:$C$18,MATCH(E5080,Assumptions!$A$15:$A$18,0)),"Yes","No"))</f>
        <v>Open</v>
      </c>
    </row>
    <row r="5081" customFormat="false" ht="15" hidden="false" customHeight="false" outlineLevel="0" collapsed="false">
      <c r="A5081" s="31" t="s">
        <v>5231</v>
      </c>
      <c r="B5081" s="44" t="n">
        <v>46273</v>
      </c>
      <c r="C5081" s="31" t="s">
        <v>59</v>
      </c>
      <c r="D5081" s="31" t="s">
        <v>68</v>
      </c>
      <c r="E5081" s="31" t="s">
        <v>51</v>
      </c>
      <c r="F5081" s="31" t="s">
        <v>129</v>
      </c>
      <c r="G5081" s="31" t="n">
        <v>100</v>
      </c>
      <c r="H5081" s="41" t="n">
        <v>1.8</v>
      </c>
      <c r="I5081" s="31" t="s">
        <v>149</v>
      </c>
      <c r="J5081" s="31" t="n">
        <v>4</v>
      </c>
      <c r="K5081" s="31" t="s">
        <v>150</v>
      </c>
      <c r="L5081" s="45" t="n">
        <f aca="false">DATE(YEAR(B5081),MONTH(B5081),1)</f>
        <v>46266</v>
      </c>
      <c r="M5081" s="31" t="n">
        <f aca="false">WEEKDAY(B5081,2)</f>
        <v>2</v>
      </c>
      <c r="N5081" s="31" t="str">
        <f aca="false">IF(G5081&lt;=INDEX(Assumptions!$B$15:$B$18,MATCH(E5081,Assumptions!$A$15:$A$18,0)),"Yes","No")</f>
        <v>No</v>
      </c>
      <c r="O5081" s="31" t="str">
        <f aca="false">IF(H5081="","Open",IF(H5081&lt;=INDEX(Assumptions!$C$15:$C$18,MATCH(E5081,Assumptions!$A$15:$A$18,0)),"Yes","No"))</f>
        <v>Yes</v>
      </c>
    </row>
    <row r="5082" customFormat="false" ht="15" hidden="false" customHeight="false" outlineLevel="0" collapsed="false">
      <c r="A5082" s="31" t="s">
        <v>5232</v>
      </c>
      <c r="B5082" s="44" t="n">
        <v>46273</v>
      </c>
      <c r="C5082" s="31" t="s">
        <v>59</v>
      </c>
      <c r="D5082" s="31" t="s">
        <v>67</v>
      </c>
      <c r="E5082" s="31" t="s">
        <v>51</v>
      </c>
      <c r="F5082" s="31" t="s">
        <v>134</v>
      </c>
      <c r="G5082" s="31" t="n">
        <v>192</v>
      </c>
      <c r="H5082" s="41" t="n">
        <v>7.3</v>
      </c>
      <c r="I5082" s="31" t="s">
        <v>149</v>
      </c>
      <c r="J5082" s="31" t="n">
        <v>4</v>
      </c>
      <c r="K5082" s="31" t="s">
        <v>150</v>
      </c>
      <c r="L5082" s="45" t="n">
        <f aca="false">DATE(YEAR(B5082),MONTH(B5082),1)</f>
        <v>46266</v>
      </c>
      <c r="M5082" s="31" t="n">
        <f aca="false">WEEKDAY(B5082,2)</f>
        <v>2</v>
      </c>
      <c r="N5082" s="31" t="str">
        <f aca="false">IF(G5082&lt;=INDEX(Assumptions!$B$15:$B$18,MATCH(E5082,Assumptions!$A$15:$A$18,0)),"Yes","No")</f>
        <v>No</v>
      </c>
      <c r="O5082" s="31" t="str">
        <f aca="false">IF(H5082="","Open",IF(H5082&lt;=INDEX(Assumptions!$C$15:$C$18,MATCH(E5082,Assumptions!$A$15:$A$18,0)),"Yes","No"))</f>
        <v>Yes</v>
      </c>
    </row>
    <row r="5083" customFormat="false" ht="15" hidden="false" customHeight="false" outlineLevel="0" collapsed="false">
      <c r="A5083" s="31" t="s">
        <v>5233</v>
      </c>
      <c r="B5083" s="44" t="n">
        <v>46273</v>
      </c>
      <c r="C5083" s="31" t="s">
        <v>60</v>
      </c>
      <c r="D5083" s="31" t="s">
        <v>65</v>
      </c>
      <c r="E5083" s="31" t="s">
        <v>52</v>
      </c>
      <c r="F5083" s="31" t="s">
        <v>117</v>
      </c>
      <c r="G5083" s="31" t="n">
        <v>1</v>
      </c>
      <c r="H5083" s="41" t="n">
        <v>2.7</v>
      </c>
      <c r="I5083" s="31" t="s">
        <v>149</v>
      </c>
      <c r="J5083" s="31"/>
      <c r="K5083" s="31" t="s">
        <v>150</v>
      </c>
      <c r="L5083" s="45" t="n">
        <f aca="false">DATE(YEAR(B5083),MONTH(B5083),1)</f>
        <v>46266</v>
      </c>
      <c r="M5083" s="31" t="n">
        <f aca="false">WEEKDAY(B5083,2)</f>
        <v>2</v>
      </c>
      <c r="N5083" s="31" t="str">
        <f aca="false">IF(G5083&lt;=INDEX(Assumptions!$B$15:$B$18,MATCH(E5083,Assumptions!$A$15:$A$18,0)),"Yes","No")</f>
        <v>Yes</v>
      </c>
      <c r="O5083" s="31" t="str">
        <f aca="false">IF(H5083="","Open",IF(H5083&lt;=INDEX(Assumptions!$C$15:$C$18,MATCH(E5083,Assumptions!$A$15:$A$18,0)),"Yes","No"))</f>
        <v>Yes</v>
      </c>
    </row>
    <row r="5084" customFormat="false" ht="15" hidden="false" customHeight="false" outlineLevel="0" collapsed="false">
      <c r="A5084" s="31" t="s">
        <v>5234</v>
      </c>
      <c r="B5084" s="44" t="n">
        <v>46273</v>
      </c>
      <c r="C5084" s="31" t="s">
        <v>57</v>
      </c>
      <c r="D5084" s="31" t="s">
        <v>65</v>
      </c>
      <c r="E5084" s="31" t="s">
        <v>50</v>
      </c>
      <c r="F5084" s="31" t="s">
        <v>120</v>
      </c>
      <c r="G5084" s="31" t="n">
        <v>3</v>
      </c>
      <c r="H5084" s="41" t="n">
        <v>3.5</v>
      </c>
      <c r="I5084" s="31" t="s">
        <v>149</v>
      </c>
      <c r="J5084" s="31" t="n">
        <v>4</v>
      </c>
      <c r="K5084" s="31" t="s">
        <v>150</v>
      </c>
      <c r="L5084" s="45" t="n">
        <f aca="false">DATE(YEAR(B5084),MONTH(B5084),1)</f>
        <v>46266</v>
      </c>
      <c r="M5084" s="31" t="n">
        <f aca="false">WEEKDAY(B5084,2)</f>
        <v>2</v>
      </c>
      <c r="N5084" s="31" t="str">
        <f aca="false">IF(G5084&lt;=INDEX(Assumptions!$B$15:$B$18,MATCH(E5084,Assumptions!$A$15:$A$18,0)),"Yes","No")</f>
        <v>Yes</v>
      </c>
      <c r="O5084" s="31" t="str">
        <f aca="false">IF(H5084="","Open",IF(H5084&lt;=INDEX(Assumptions!$C$15:$C$18,MATCH(E5084,Assumptions!$A$15:$A$18,0)),"Yes","No"))</f>
        <v>Yes</v>
      </c>
    </row>
    <row r="5085" customFormat="false" ht="15" hidden="false" customHeight="false" outlineLevel="0" collapsed="false">
      <c r="A5085" s="31" t="s">
        <v>5235</v>
      </c>
      <c r="B5085" s="44" t="n">
        <v>46273</v>
      </c>
      <c r="C5085" s="31" t="s">
        <v>60</v>
      </c>
      <c r="D5085" s="31" t="s">
        <v>65</v>
      </c>
      <c r="E5085" s="31" t="s">
        <v>52</v>
      </c>
      <c r="F5085" s="31" t="s">
        <v>120</v>
      </c>
      <c r="G5085" s="31" t="n">
        <v>3</v>
      </c>
      <c r="H5085" s="41" t="n">
        <v>38.1</v>
      </c>
      <c r="I5085" s="31" t="s">
        <v>149</v>
      </c>
      <c r="J5085" s="31" t="n">
        <v>5</v>
      </c>
      <c r="K5085" s="31" t="s">
        <v>150</v>
      </c>
      <c r="L5085" s="45" t="n">
        <f aca="false">DATE(YEAR(B5085),MONTH(B5085),1)</f>
        <v>46266</v>
      </c>
      <c r="M5085" s="31" t="n">
        <f aca="false">WEEKDAY(B5085,2)</f>
        <v>2</v>
      </c>
      <c r="N5085" s="31" t="str">
        <f aca="false">IF(G5085&lt;=INDEX(Assumptions!$B$15:$B$18,MATCH(E5085,Assumptions!$A$15:$A$18,0)),"Yes","No")</f>
        <v>Yes</v>
      </c>
      <c r="O5085" s="31" t="str">
        <f aca="false">IF(H5085="","Open",IF(H5085&lt;=INDEX(Assumptions!$C$15:$C$18,MATCH(E5085,Assumptions!$A$15:$A$18,0)),"Yes","No"))</f>
        <v>Yes</v>
      </c>
    </row>
    <row r="5086" customFormat="false" ht="15" hidden="false" customHeight="false" outlineLevel="0" collapsed="false">
      <c r="A5086" s="31" t="s">
        <v>5236</v>
      </c>
      <c r="B5086" s="44" t="n">
        <v>46273</v>
      </c>
      <c r="C5086" s="31" t="s">
        <v>58</v>
      </c>
      <c r="D5086" s="31" t="s">
        <v>65</v>
      </c>
      <c r="E5086" s="31" t="s">
        <v>52</v>
      </c>
      <c r="F5086" s="31" t="s">
        <v>120</v>
      </c>
      <c r="G5086" s="31" t="n">
        <v>23</v>
      </c>
      <c r="H5086" s="41" t="n">
        <v>4.5</v>
      </c>
      <c r="I5086" s="31" t="s">
        <v>149</v>
      </c>
      <c r="J5086" s="31" t="n">
        <v>4</v>
      </c>
      <c r="K5086" s="31" t="s">
        <v>150</v>
      </c>
      <c r="L5086" s="45" t="n">
        <f aca="false">DATE(YEAR(B5086),MONTH(B5086),1)</f>
        <v>46266</v>
      </c>
      <c r="M5086" s="31" t="n">
        <f aca="false">WEEKDAY(B5086,2)</f>
        <v>2</v>
      </c>
      <c r="N5086" s="31" t="str">
        <f aca="false">IF(G5086&lt;=INDEX(Assumptions!$B$15:$B$18,MATCH(E5086,Assumptions!$A$15:$A$18,0)),"Yes","No")</f>
        <v>Yes</v>
      </c>
      <c r="O5086" s="31" t="str">
        <f aca="false">IF(H5086="","Open",IF(H5086&lt;=INDEX(Assumptions!$C$15:$C$18,MATCH(E5086,Assumptions!$A$15:$A$18,0)),"Yes","No"))</f>
        <v>Yes</v>
      </c>
    </row>
    <row r="5087" customFormat="false" ht="15" hidden="false" customHeight="false" outlineLevel="0" collapsed="false">
      <c r="A5087" s="31" t="s">
        <v>5237</v>
      </c>
      <c r="B5087" s="44" t="n">
        <v>46273</v>
      </c>
      <c r="C5087" s="31" t="s">
        <v>58</v>
      </c>
      <c r="D5087" s="31" t="s">
        <v>66</v>
      </c>
      <c r="E5087" s="31" t="s">
        <v>51</v>
      </c>
      <c r="F5087" s="31" t="s">
        <v>123</v>
      </c>
      <c r="G5087" s="31" t="n">
        <v>14</v>
      </c>
      <c r="H5087" s="41" t="n">
        <v>39.5</v>
      </c>
      <c r="I5087" s="31" t="s">
        <v>149</v>
      </c>
      <c r="J5087" s="31"/>
      <c r="K5087" s="31" t="s">
        <v>150</v>
      </c>
      <c r="L5087" s="45" t="n">
        <f aca="false">DATE(YEAR(B5087),MONTH(B5087),1)</f>
        <v>46266</v>
      </c>
      <c r="M5087" s="31" t="n">
        <f aca="false">WEEKDAY(B5087,2)</f>
        <v>2</v>
      </c>
      <c r="N5087" s="31" t="str">
        <f aca="false">IF(G5087&lt;=INDEX(Assumptions!$B$15:$B$18,MATCH(E5087,Assumptions!$A$15:$A$18,0)),"Yes","No")</f>
        <v>Yes</v>
      </c>
      <c r="O5087" s="31" t="str">
        <f aca="false">IF(H5087="","Open",IF(H5087&lt;=INDEX(Assumptions!$C$15:$C$18,MATCH(E5087,Assumptions!$A$15:$A$18,0)),"Yes","No"))</f>
        <v>No</v>
      </c>
    </row>
    <row r="5088" customFormat="false" ht="15" hidden="false" customHeight="false" outlineLevel="0" collapsed="false">
      <c r="A5088" s="31" t="s">
        <v>5238</v>
      </c>
      <c r="B5088" s="44" t="n">
        <v>46273</v>
      </c>
      <c r="C5088" s="31" t="s">
        <v>57</v>
      </c>
      <c r="D5088" s="31" t="s">
        <v>68</v>
      </c>
      <c r="E5088" s="31" t="s">
        <v>50</v>
      </c>
      <c r="F5088" s="31" t="s">
        <v>121</v>
      </c>
      <c r="G5088" s="31" t="n">
        <v>2</v>
      </c>
      <c r="H5088" s="41" t="n">
        <v>1.4</v>
      </c>
      <c r="I5088" s="31" t="s">
        <v>149</v>
      </c>
      <c r="J5088" s="31"/>
      <c r="K5088" s="31" t="s">
        <v>150</v>
      </c>
      <c r="L5088" s="45" t="n">
        <f aca="false">DATE(YEAR(B5088),MONTH(B5088),1)</f>
        <v>46266</v>
      </c>
      <c r="M5088" s="31" t="n">
        <f aca="false">WEEKDAY(B5088,2)</f>
        <v>2</v>
      </c>
      <c r="N5088" s="31" t="str">
        <f aca="false">IF(G5088&lt;=INDEX(Assumptions!$B$15:$B$18,MATCH(E5088,Assumptions!$A$15:$A$18,0)),"Yes","No")</f>
        <v>Yes</v>
      </c>
      <c r="O5088" s="31" t="str">
        <f aca="false">IF(H5088="","Open",IF(H5088&lt;=INDEX(Assumptions!$C$15:$C$18,MATCH(E5088,Assumptions!$A$15:$A$18,0)),"Yes","No"))</f>
        <v>Yes</v>
      </c>
    </row>
    <row r="5089" customFormat="false" ht="15" hidden="false" customHeight="false" outlineLevel="0" collapsed="false">
      <c r="A5089" s="31" t="s">
        <v>5239</v>
      </c>
      <c r="B5089" s="44" t="n">
        <v>46273</v>
      </c>
      <c r="C5089" s="31" t="s">
        <v>58</v>
      </c>
      <c r="D5089" s="31" t="s">
        <v>69</v>
      </c>
      <c r="E5089" s="31" t="s">
        <v>51</v>
      </c>
      <c r="F5089" s="31" t="s">
        <v>130</v>
      </c>
      <c r="G5089" s="31" t="n">
        <v>7</v>
      </c>
      <c r="H5089" s="41" t="n">
        <v>8.4</v>
      </c>
      <c r="I5089" s="31" t="s">
        <v>149</v>
      </c>
      <c r="J5089" s="31"/>
      <c r="K5089" s="31" t="s">
        <v>150</v>
      </c>
      <c r="L5089" s="45" t="n">
        <f aca="false">DATE(YEAR(B5089),MONTH(B5089),1)</f>
        <v>46266</v>
      </c>
      <c r="M5089" s="31" t="n">
        <f aca="false">WEEKDAY(B5089,2)</f>
        <v>2</v>
      </c>
      <c r="N5089" s="31" t="str">
        <f aca="false">IF(G5089&lt;=INDEX(Assumptions!$B$15:$B$18,MATCH(E5089,Assumptions!$A$15:$A$18,0)),"Yes","No")</f>
        <v>Yes</v>
      </c>
      <c r="O5089" s="31" t="str">
        <f aca="false">IF(H5089="","Open",IF(H5089&lt;=INDEX(Assumptions!$C$15:$C$18,MATCH(E5089,Assumptions!$A$15:$A$18,0)),"Yes","No"))</f>
        <v>Yes</v>
      </c>
    </row>
    <row r="5090" customFormat="false" ht="15" hidden="false" customHeight="false" outlineLevel="0" collapsed="false">
      <c r="A5090" s="31" t="s">
        <v>5240</v>
      </c>
      <c r="B5090" s="44" t="n">
        <v>46273</v>
      </c>
      <c r="C5090" s="31" t="s">
        <v>58</v>
      </c>
      <c r="D5090" s="31" t="s">
        <v>66</v>
      </c>
      <c r="E5090" s="31" t="s">
        <v>50</v>
      </c>
      <c r="F5090" s="31" t="s">
        <v>121</v>
      </c>
      <c r="G5090" s="31" t="n">
        <v>10</v>
      </c>
      <c r="H5090" s="41" t="n">
        <v>4</v>
      </c>
      <c r="I5090" s="31" t="s">
        <v>149</v>
      </c>
      <c r="J5090" s="31" t="n">
        <v>5</v>
      </c>
      <c r="K5090" s="31" t="s">
        <v>150</v>
      </c>
      <c r="L5090" s="45" t="n">
        <f aca="false">DATE(YEAR(B5090),MONTH(B5090),1)</f>
        <v>46266</v>
      </c>
      <c r="M5090" s="31" t="n">
        <f aca="false">WEEKDAY(B5090,2)</f>
        <v>2</v>
      </c>
      <c r="N5090" s="31" t="str">
        <f aca="false">IF(G5090&lt;=INDEX(Assumptions!$B$15:$B$18,MATCH(E5090,Assumptions!$A$15:$A$18,0)),"Yes","No")</f>
        <v>Yes</v>
      </c>
      <c r="O5090" s="31" t="str">
        <f aca="false">IF(H5090="","Open",IF(H5090&lt;=INDEX(Assumptions!$C$15:$C$18,MATCH(E5090,Assumptions!$A$15:$A$18,0)),"Yes","No"))</f>
        <v>Yes</v>
      </c>
    </row>
    <row r="5091" customFormat="false" ht="15" hidden="false" customHeight="false" outlineLevel="0" collapsed="false">
      <c r="A5091" s="31" t="s">
        <v>5241</v>
      </c>
      <c r="B5091" s="44" t="n">
        <v>46273</v>
      </c>
      <c r="C5091" s="31" t="s">
        <v>60</v>
      </c>
      <c r="D5091" s="31" t="s">
        <v>65</v>
      </c>
      <c r="E5091" s="31" t="s">
        <v>50</v>
      </c>
      <c r="F5091" s="31" t="s">
        <v>122</v>
      </c>
      <c r="G5091" s="31" t="n">
        <v>1</v>
      </c>
      <c r="H5091" s="41" t="n">
        <v>20.1</v>
      </c>
      <c r="I5091" s="31" t="s">
        <v>149</v>
      </c>
      <c r="J5091" s="31"/>
      <c r="K5091" s="31" t="s">
        <v>150</v>
      </c>
      <c r="L5091" s="45" t="n">
        <f aca="false">DATE(YEAR(B5091),MONTH(B5091),1)</f>
        <v>46266</v>
      </c>
      <c r="M5091" s="31" t="n">
        <f aca="false">WEEKDAY(B5091,2)</f>
        <v>2</v>
      </c>
      <c r="N5091" s="31" t="str">
        <f aca="false">IF(G5091&lt;=INDEX(Assumptions!$B$15:$B$18,MATCH(E5091,Assumptions!$A$15:$A$18,0)),"Yes","No")</f>
        <v>Yes</v>
      </c>
      <c r="O5091" s="31" t="str">
        <f aca="false">IF(H5091="","Open",IF(H5091&lt;=INDEX(Assumptions!$C$15:$C$18,MATCH(E5091,Assumptions!$A$15:$A$18,0)),"Yes","No"))</f>
        <v>No</v>
      </c>
    </row>
    <row r="5092" customFormat="false" ht="15" hidden="false" customHeight="false" outlineLevel="0" collapsed="false">
      <c r="A5092" s="31" t="s">
        <v>5242</v>
      </c>
      <c r="B5092" s="44" t="n">
        <v>46273</v>
      </c>
      <c r="C5092" s="31" t="s">
        <v>58</v>
      </c>
      <c r="D5092" s="31" t="s">
        <v>65</v>
      </c>
      <c r="E5092" s="31" t="s">
        <v>51</v>
      </c>
      <c r="F5092" s="31" t="s">
        <v>137</v>
      </c>
      <c r="G5092" s="31" t="n">
        <v>9</v>
      </c>
      <c r="H5092" s="41" t="n">
        <v>5.2</v>
      </c>
      <c r="I5092" s="31" t="s">
        <v>149</v>
      </c>
      <c r="J5092" s="31"/>
      <c r="K5092" s="31" t="s">
        <v>153</v>
      </c>
      <c r="L5092" s="45" t="n">
        <f aca="false">DATE(YEAR(B5092),MONTH(B5092),1)</f>
        <v>46266</v>
      </c>
      <c r="M5092" s="31" t="n">
        <f aca="false">WEEKDAY(B5092,2)</f>
        <v>2</v>
      </c>
      <c r="N5092" s="31" t="str">
        <f aca="false">IF(G5092&lt;=INDEX(Assumptions!$B$15:$B$18,MATCH(E5092,Assumptions!$A$15:$A$18,0)),"Yes","No")</f>
        <v>Yes</v>
      </c>
      <c r="O5092" s="31" t="str">
        <f aca="false">IF(H5092="","Open",IF(H5092&lt;=INDEX(Assumptions!$C$15:$C$18,MATCH(E5092,Assumptions!$A$15:$A$18,0)),"Yes","No"))</f>
        <v>Yes</v>
      </c>
    </row>
    <row r="5093" customFormat="false" ht="15" hidden="false" customHeight="false" outlineLevel="0" collapsed="false">
      <c r="A5093" s="31" t="s">
        <v>5243</v>
      </c>
      <c r="B5093" s="44" t="n">
        <v>46273</v>
      </c>
      <c r="C5093" s="31" t="s">
        <v>58</v>
      </c>
      <c r="D5093" s="31" t="s">
        <v>65</v>
      </c>
      <c r="E5093" s="31" t="s">
        <v>51</v>
      </c>
      <c r="F5093" s="31" t="s">
        <v>121</v>
      </c>
      <c r="G5093" s="31" t="n">
        <v>6</v>
      </c>
      <c r="H5093" s="41" t="n">
        <v>9.6</v>
      </c>
      <c r="I5093" s="31" t="s">
        <v>149</v>
      </c>
      <c r="J5093" s="31" t="n">
        <v>4</v>
      </c>
      <c r="K5093" s="31" t="s">
        <v>150</v>
      </c>
      <c r="L5093" s="45" t="n">
        <f aca="false">DATE(YEAR(B5093),MONTH(B5093),1)</f>
        <v>46266</v>
      </c>
      <c r="M5093" s="31" t="n">
        <f aca="false">WEEKDAY(B5093,2)</f>
        <v>2</v>
      </c>
      <c r="N5093" s="31" t="str">
        <f aca="false">IF(G5093&lt;=INDEX(Assumptions!$B$15:$B$18,MATCH(E5093,Assumptions!$A$15:$A$18,0)),"Yes","No")</f>
        <v>Yes</v>
      </c>
      <c r="O5093" s="31" t="str">
        <f aca="false">IF(H5093="","Open",IF(H5093&lt;=INDEX(Assumptions!$C$15:$C$18,MATCH(E5093,Assumptions!$A$15:$A$18,0)),"Yes","No"))</f>
        <v>Yes</v>
      </c>
    </row>
    <row r="5094" customFormat="false" ht="15" hidden="false" customHeight="false" outlineLevel="0" collapsed="false">
      <c r="A5094" s="31" t="s">
        <v>5244</v>
      </c>
      <c r="B5094" s="44" t="n">
        <v>46273</v>
      </c>
      <c r="C5094" s="31" t="s">
        <v>60</v>
      </c>
      <c r="D5094" s="31" t="s">
        <v>67</v>
      </c>
      <c r="E5094" s="31" t="s">
        <v>52</v>
      </c>
      <c r="F5094" s="31" t="s">
        <v>117</v>
      </c>
      <c r="G5094" s="31" t="n">
        <v>3</v>
      </c>
      <c r="H5094" s="41" t="n">
        <v>37.3</v>
      </c>
      <c r="I5094" s="31" t="s">
        <v>149</v>
      </c>
      <c r="J5094" s="31" t="n">
        <v>5</v>
      </c>
      <c r="K5094" s="31" t="s">
        <v>150</v>
      </c>
      <c r="L5094" s="45" t="n">
        <f aca="false">DATE(YEAR(B5094),MONTH(B5094),1)</f>
        <v>46266</v>
      </c>
      <c r="M5094" s="31" t="n">
        <f aca="false">WEEKDAY(B5094,2)</f>
        <v>2</v>
      </c>
      <c r="N5094" s="31" t="str">
        <f aca="false">IF(G5094&lt;=INDEX(Assumptions!$B$15:$B$18,MATCH(E5094,Assumptions!$A$15:$A$18,0)),"Yes","No")</f>
        <v>Yes</v>
      </c>
      <c r="O5094" s="31" t="str">
        <f aca="false">IF(H5094="","Open",IF(H5094&lt;=INDEX(Assumptions!$C$15:$C$18,MATCH(E5094,Assumptions!$A$15:$A$18,0)),"Yes","No"))</f>
        <v>Yes</v>
      </c>
    </row>
    <row r="5095" customFormat="false" ht="15" hidden="false" customHeight="false" outlineLevel="0" collapsed="false">
      <c r="A5095" s="31" t="s">
        <v>5245</v>
      </c>
      <c r="B5095" s="44" t="n">
        <v>46273</v>
      </c>
      <c r="C5095" s="31" t="s">
        <v>57</v>
      </c>
      <c r="D5095" s="31" t="s">
        <v>67</v>
      </c>
      <c r="E5095" s="31" t="s">
        <v>52</v>
      </c>
      <c r="F5095" s="31" t="s">
        <v>122</v>
      </c>
      <c r="G5095" s="31" t="n">
        <v>10</v>
      </c>
      <c r="H5095" s="41" t="n">
        <v>25.8</v>
      </c>
      <c r="I5095" s="31" t="s">
        <v>149</v>
      </c>
      <c r="J5095" s="31"/>
      <c r="K5095" s="31" t="s">
        <v>150</v>
      </c>
      <c r="L5095" s="45" t="n">
        <f aca="false">DATE(YEAR(B5095),MONTH(B5095),1)</f>
        <v>46266</v>
      </c>
      <c r="M5095" s="31" t="n">
        <f aca="false">WEEKDAY(B5095,2)</f>
        <v>2</v>
      </c>
      <c r="N5095" s="31" t="str">
        <f aca="false">IF(G5095&lt;=INDEX(Assumptions!$B$15:$B$18,MATCH(E5095,Assumptions!$A$15:$A$18,0)),"Yes","No")</f>
        <v>Yes</v>
      </c>
      <c r="O5095" s="31" t="str">
        <f aca="false">IF(H5095="","Open",IF(H5095&lt;=INDEX(Assumptions!$C$15:$C$18,MATCH(E5095,Assumptions!$A$15:$A$18,0)),"Yes","No"))</f>
        <v>Yes</v>
      </c>
    </row>
    <row r="5096" customFormat="false" ht="15" hidden="false" customHeight="false" outlineLevel="0" collapsed="false">
      <c r="A5096" s="31" t="s">
        <v>5246</v>
      </c>
      <c r="B5096" s="44" t="n">
        <v>46273</v>
      </c>
      <c r="C5096" s="31" t="s">
        <v>57</v>
      </c>
      <c r="D5096" s="31" t="s">
        <v>67</v>
      </c>
      <c r="E5096" s="31" t="s">
        <v>52</v>
      </c>
      <c r="F5096" s="31" t="s">
        <v>134</v>
      </c>
      <c r="G5096" s="31" t="n">
        <v>2</v>
      </c>
      <c r="H5096" s="41" t="n">
        <v>25.5</v>
      </c>
      <c r="I5096" s="31" t="s">
        <v>149</v>
      </c>
      <c r="J5096" s="31" t="n">
        <v>5</v>
      </c>
      <c r="K5096" s="31" t="s">
        <v>150</v>
      </c>
      <c r="L5096" s="45" t="n">
        <f aca="false">DATE(YEAR(B5096),MONTH(B5096),1)</f>
        <v>46266</v>
      </c>
      <c r="M5096" s="31" t="n">
        <f aca="false">WEEKDAY(B5096,2)</f>
        <v>2</v>
      </c>
      <c r="N5096" s="31" t="str">
        <f aca="false">IF(G5096&lt;=INDEX(Assumptions!$B$15:$B$18,MATCH(E5096,Assumptions!$A$15:$A$18,0)),"Yes","No")</f>
        <v>Yes</v>
      </c>
      <c r="O5096" s="31" t="str">
        <f aca="false">IF(H5096="","Open",IF(H5096&lt;=INDEX(Assumptions!$C$15:$C$18,MATCH(E5096,Assumptions!$A$15:$A$18,0)),"Yes","No"))</f>
        <v>Yes</v>
      </c>
    </row>
    <row r="5097" customFormat="false" ht="15" hidden="false" customHeight="false" outlineLevel="0" collapsed="false">
      <c r="A5097" s="31" t="s">
        <v>5247</v>
      </c>
      <c r="B5097" s="44" t="n">
        <v>46273</v>
      </c>
      <c r="C5097" s="31" t="s">
        <v>58</v>
      </c>
      <c r="D5097" s="31" t="s">
        <v>66</v>
      </c>
      <c r="E5097" s="31" t="s">
        <v>50</v>
      </c>
      <c r="F5097" s="31" t="s">
        <v>120</v>
      </c>
      <c r="G5097" s="31" t="n">
        <v>14</v>
      </c>
      <c r="H5097" s="41" t="n">
        <v>4.9</v>
      </c>
      <c r="I5097" s="31" t="s">
        <v>149</v>
      </c>
      <c r="J5097" s="31" t="n">
        <v>4</v>
      </c>
      <c r="K5097" s="31" t="s">
        <v>150</v>
      </c>
      <c r="L5097" s="45" t="n">
        <f aca="false">DATE(YEAR(B5097),MONTH(B5097),1)</f>
        <v>46266</v>
      </c>
      <c r="M5097" s="31" t="n">
        <f aca="false">WEEKDAY(B5097,2)</f>
        <v>2</v>
      </c>
      <c r="N5097" s="31" t="str">
        <f aca="false">IF(G5097&lt;=INDEX(Assumptions!$B$15:$B$18,MATCH(E5097,Assumptions!$A$15:$A$18,0)),"Yes","No")</f>
        <v>Yes</v>
      </c>
      <c r="O5097" s="31" t="str">
        <f aca="false">IF(H5097="","Open",IF(H5097&lt;=INDEX(Assumptions!$C$15:$C$18,MATCH(E5097,Assumptions!$A$15:$A$18,0)),"Yes","No"))</f>
        <v>Yes</v>
      </c>
    </row>
    <row r="5098" customFormat="false" ht="15" hidden="false" customHeight="false" outlineLevel="0" collapsed="false">
      <c r="A5098" s="31" t="s">
        <v>5248</v>
      </c>
      <c r="B5098" s="44" t="n">
        <v>46273</v>
      </c>
      <c r="C5098" s="31" t="s">
        <v>58</v>
      </c>
      <c r="D5098" s="31" t="s">
        <v>65</v>
      </c>
      <c r="E5098" s="31" t="s">
        <v>52</v>
      </c>
      <c r="F5098" s="31" t="s">
        <v>117</v>
      </c>
      <c r="G5098" s="31" t="n">
        <v>24</v>
      </c>
      <c r="H5098" s="41" t="n">
        <v>3.1</v>
      </c>
      <c r="I5098" s="31" t="s">
        <v>149</v>
      </c>
      <c r="J5098" s="31"/>
      <c r="K5098" s="31" t="s">
        <v>150</v>
      </c>
      <c r="L5098" s="45" t="n">
        <f aca="false">DATE(YEAR(B5098),MONTH(B5098),1)</f>
        <v>46266</v>
      </c>
      <c r="M5098" s="31" t="n">
        <f aca="false">WEEKDAY(B5098,2)</f>
        <v>2</v>
      </c>
      <c r="N5098" s="31" t="str">
        <f aca="false">IF(G5098&lt;=INDEX(Assumptions!$B$15:$B$18,MATCH(E5098,Assumptions!$A$15:$A$18,0)),"Yes","No")</f>
        <v>Yes</v>
      </c>
      <c r="O5098" s="31" t="str">
        <f aca="false">IF(H5098="","Open",IF(H5098&lt;=INDEX(Assumptions!$C$15:$C$18,MATCH(E5098,Assumptions!$A$15:$A$18,0)),"Yes","No"))</f>
        <v>Yes</v>
      </c>
    </row>
    <row r="5099" customFormat="false" ht="15" hidden="false" customHeight="false" outlineLevel="0" collapsed="false">
      <c r="A5099" s="31" t="s">
        <v>5249</v>
      </c>
      <c r="B5099" s="44" t="n">
        <v>46273</v>
      </c>
      <c r="C5099" s="31" t="s">
        <v>58</v>
      </c>
      <c r="D5099" s="31" t="s">
        <v>69</v>
      </c>
      <c r="E5099" s="31" t="s">
        <v>51</v>
      </c>
      <c r="F5099" s="31" t="s">
        <v>123</v>
      </c>
      <c r="G5099" s="31" t="n">
        <v>24</v>
      </c>
      <c r="H5099" s="41" t="n">
        <v>43.4</v>
      </c>
      <c r="I5099" s="31" t="s">
        <v>149</v>
      </c>
      <c r="J5099" s="31" t="n">
        <v>4</v>
      </c>
      <c r="K5099" s="31" t="s">
        <v>150</v>
      </c>
      <c r="L5099" s="45" t="n">
        <f aca="false">DATE(YEAR(B5099),MONTH(B5099),1)</f>
        <v>46266</v>
      </c>
      <c r="M5099" s="31" t="n">
        <f aca="false">WEEKDAY(B5099,2)</f>
        <v>2</v>
      </c>
      <c r="N5099" s="31" t="str">
        <f aca="false">IF(G5099&lt;=INDEX(Assumptions!$B$15:$B$18,MATCH(E5099,Assumptions!$A$15:$A$18,0)),"Yes","No")</f>
        <v>Yes</v>
      </c>
      <c r="O5099" s="31" t="str">
        <f aca="false">IF(H5099="","Open",IF(H5099&lt;=INDEX(Assumptions!$C$15:$C$18,MATCH(E5099,Assumptions!$A$15:$A$18,0)),"Yes","No"))</f>
        <v>No</v>
      </c>
    </row>
    <row r="5100" customFormat="false" ht="15" hidden="false" customHeight="false" outlineLevel="0" collapsed="false">
      <c r="A5100" s="31" t="s">
        <v>5250</v>
      </c>
      <c r="B5100" s="44" t="n">
        <v>46273</v>
      </c>
      <c r="C5100" s="31" t="s">
        <v>58</v>
      </c>
      <c r="D5100" s="31" t="s">
        <v>68</v>
      </c>
      <c r="E5100" s="31" t="s">
        <v>51</v>
      </c>
      <c r="F5100" s="31" t="s">
        <v>131</v>
      </c>
      <c r="G5100" s="31" t="n">
        <v>15</v>
      </c>
      <c r="H5100" s="41" t="n">
        <v>3.6</v>
      </c>
      <c r="I5100" s="31" t="s">
        <v>149</v>
      </c>
      <c r="J5100" s="31" t="n">
        <v>5</v>
      </c>
      <c r="K5100" s="31" t="s">
        <v>150</v>
      </c>
      <c r="L5100" s="45" t="n">
        <f aca="false">DATE(YEAR(B5100),MONTH(B5100),1)</f>
        <v>46266</v>
      </c>
      <c r="M5100" s="31" t="n">
        <f aca="false">WEEKDAY(B5100,2)</f>
        <v>2</v>
      </c>
      <c r="N5100" s="31" t="str">
        <f aca="false">IF(G5100&lt;=INDEX(Assumptions!$B$15:$B$18,MATCH(E5100,Assumptions!$A$15:$A$18,0)),"Yes","No")</f>
        <v>Yes</v>
      </c>
      <c r="O5100" s="31" t="str">
        <f aca="false">IF(H5100="","Open",IF(H5100&lt;=INDEX(Assumptions!$C$15:$C$18,MATCH(E5100,Assumptions!$A$15:$A$18,0)),"Yes","No"))</f>
        <v>Yes</v>
      </c>
    </row>
    <row r="5101" customFormat="false" ht="15" hidden="false" customHeight="false" outlineLevel="0" collapsed="false">
      <c r="A5101" s="31" t="s">
        <v>5251</v>
      </c>
      <c r="B5101" s="44" t="n">
        <v>46273</v>
      </c>
      <c r="C5101" s="31" t="s">
        <v>59</v>
      </c>
      <c r="D5101" s="31" t="s">
        <v>68</v>
      </c>
      <c r="E5101" s="31" t="s">
        <v>51</v>
      </c>
      <c r="F5101" s="31" t="s">
        <v>135</v>
      </c>
      <c r="G5101" s="31" t="n">
        <v>24</v>
      </c>
      <c r="H5101" s="41" t="n">
        <v>3.1</v>
      </c>
      <c r="I5101" s="31" t="s">
        <v>64</v>
      </c>
      <c r="J5101" s="31"/>
      <c r="K5101" s="31" t="s">
        <v>150</v>
      </c>
      <c r="L5101" s="45" t="n">
        <f aca="false">DATE(YEAR(B5101),MONTH(B5101),1)</f>
        <v>46266</v>
      </c>
      <c r="M5101" s="31" t="n">
        <f aca="false">WEEKDAY(B5101,2)</f>
        <v>2</v>
      </c>
      <c r="N5101" s="31" t="str">
        <f aca="false">IF(G5101&lt;=INDEX(Assumptions!$B$15:$B$18,MATCH(E5101,Assumptions!$A$15:$A$18,0)),"Yes","No")</f>
        <v>Yes</v>
      </c>
      <c r="O5101" s="31" t="str">
        <f aca="false">IF(H5101="","Open",IF(H5101&lt;=INDEX(Assumptions!$C$15:$C$18,MATCH(E5101,Assumptions!$A$15:$A$18,0)),"Yes","No"))</f>
        <v>Yes</v>
      </c>
    </row>
    <row r="5102" customFormat="false" ht="15" hidden="false" customHeight="false" outlineLevel="0" collapsed="false">
      <c r="A5102" s="31" t="s">
        <v>5252</v>
      </c>
      <c r="B5102" s="44" t="n">
        <v>46273</v>
      </c>
      <c r="C5102" s="31" t="s">
        <v>57</v>
      </c>
      <c r="D5102" s="31" t="s">
        <v>67</v>
      </c>
      <c r="E5102" s="31" t="s">
        <v>51</v>
      </c>
      <c r="F5102" s="31" t="s">
        <v>135</v>
      </c>
      <c r="G5102" s="31" t="n">
        <v>12</v>
      </c>
      <c r="H5102" s="41" t="n">
        <v>26.4</v>
      </c>
      <c r="I5102" s="31" t="s">
        <v>149</v>
      </c>
      <c r="J5102" s="31"/>
      <c r="K5102" s="31" t="s">
        <v>150</v>
      </c>
      <c r="L5102" s="45" t="n">
        <f aca="false">DATE(YEAR(B5102),MONTH(B5102),1)</f>
        <v>46266</v>
      </c>
      <c r="M5102" s="31" t="n">
        <f aca="false">WEEKDAY(B5102,2)</f>
        <v>2</v>
      </c>
      <c r="N5102" s="31" t="str">
        <f aca="false">IF(G5102&lt;=INDEX(Assumptions!$B$15:$B$18,MATCH(E5102,Assumptions!$A$15:$A$18,0)),"Yes","No")</f>
        <v>Yes</v>
      </c>
      <c r="O5102" s="31" t="str">
        <f aca="false">IF(H5102="","Open",IF(H5102&lt;=INDEX(Assumptions!$C$15:$C$18,MATCH(E5102,Assumptions!$A$15:$A$18,0)),"Yes","No"))</f>
        <v>No</v>
      </c>
    </row>
    <row r="5103" customFormat="false" ht="15" hidden="false" customHeight="false" outlineLevel="0" collapsed="false">
      <c r="A5103" s="31" t="s">
        <v>5253</v>
      </c>
      <c r="B5103" s="44" t="n">
        <v>46273</v>
      </c>
      <c r="C5103" s="31" t="s">
        <v>57</v>
      </c>
      <c r="D5103" s="31" t="s">
        <v>65</v>
      </c>
      <c r="E5103" s="31" t="s">
        <v>52</v>
      </c>
      <c r="F5103" s="31" t="s">
        <v>121</v>
      </c>
      <c r="G5103" s="31" t="n">
        <v>9</v>
      </c>
      <c r="H5103" s="41" t="n">
        <v>15.9</v>
      </c>
      <c r="I5103" s="31" t="s">
        <v>149</v>
      </c>
      <c r="J5103" s="31" t="n">
        <v>3</v>
      </c>
      <c r="K5103" s="31" t="s">
        <v>150</v>
      </c>
      <c r="L5103" s="45" t="n">
        <f aca="false">DATE(YEAR(B5103),MONTH(B5103),1)</f>
        <v>46266</v>
      </c>
      <c r="M5103" s="31" t="n">
        <f aca="false">WEEKDAY(B5103,2)</f>
        <v>2</v>
      </c>
      <c r="N5103" s="31" t="str">
        <f aca="false">IF(G5103&lt;=INDEX(Assumptions!$B$15:$B$18,MATCH(E5103,Assumptions!$A$15:$A$18,0)),"Yes","No")</f>
        <v>Yes</v>
      </c>
      <c r="O5103" s="31" t="str">
        <f aca="false">IF(H5103="","Open",IF(H5103&lt;=INDEX(Assumptions!$C$15:$C$18,MATCH(E5103,Assumptions!$A$15:$A$18,0)),"Yes","No"))</f>
        <v>Yes</v>
      </c>
    </row>
    <row r="5104" customFormat="false" ht="15" hidden="false" customHeight="false" outlineLevel="0" collapsed="false">
      <c r="A5104" s="31" t="s">
        <v>5254</v>
      </c>
      <c r="B5104" s="44" t="n">
        <v>46273</v>
      </c>
      <c r="C5104" s="31" t="s">
        <v>57</v>
      </c>
      <c r="D5104" s="31" t="s">
        <v>69</v>
      </c>
      <c r="E5104" s="31" t="s">
        <v>51</v>
      </c>
      <c r="F5104" s="31" t="s">
        <v>133</v>
      </c>
      <c r="G5104" s="31" t="n">
        <v>1</v>
      </c>
      <c r="H5104" s="41" t="n">
        <v>5.2</v>
      </c>
      <c r="I5104" s="31" t="s">
        <v>149</v>
      </c>
      <c r="J5104" s="31" t="n">
        <v>5</v>
      </c>
      <c r="K5104" s="31" t="s">
        <v>150</v>
      </c>
      <c r="L5104" s="45" t="n">
        <f aca="false">DATE(YEAR(B5104),MONTH(B5104),1)</f>
        <v>46266</v>
      </c>
      <c r="M5104" s="31" t="n">
        <f aca="false">WEEKDAY(B5104,2)</f>
        <v>2</v>
      </c>
      <c r="N5104" s="31" t="str">
        <f aca="false">IF(G5104&lt;=INDEX(Assumptions!$B$15:$B$18,MATCH(E5104,Assumptions!$A$15:$A$18,0)),"Yes","No")</f>
        <v>Yes</v>
      </c>
      <c r="O5104" s="31" t="str">
        <f aca="false">IF(H5104="","Open",IF(H5104&lt;=INDEX(Assumptions!$C$15:$C$18,MATCH(E5104,Assumptions!$A$15:$A$18,0)),"Yes","No"))</f>
        <v>Yes</v>
      </c>
    </row>
    <row r="5105" customFormat="false" ht="15" hidden="false" customHeight="false" outlineLevel="0" collapsed="false">
      <c r="A5105" s="31" t="s">
        <v>5255</v>
      </c>
      <c r="B5105" s="44" t="n">
        <v>46273</v>
      </c>
      <c r="C5105" s="31" t="s">
        <v>57</v>
      </c>
      <c r="D5105" s="31" t="s">
        <v>69</v>
      </c>
      <c r="E5105" s="31" t="s">
        <v>52</v>
      </c>
      <c r="F5105" s="31" t="s">
        <v>119</v>
      </c>
      <c r="G5105" s="31" t="n">
        <v>5</v>
      </c>
      <c r="H5105" s="41" t="n">
        <v>36</v>
      </c>
      <c r="I5105" s="31" t="s">
        <v>149</v>
      </c>
      <c r="J5105" s="31"/>
      <c r="K5105" s="31" t="s">
        <v>150</v>
      </c>
      <c r="L5105" s="45" t="n">
        <f aca="false">DATE(YEAR(B5105),MONTH(B5105),1)</f>
        <v>46266</v>
      </c>
      <c r="M5105" s="31" t="n">
        <f aca="false">WEEKDAY(B5105,2)</f>
        <v>2</v>
      </c>
      <c r="N5105" s="31" t="str">
        <f aca="false">IF(G5105&lt;=INDEX(Assumptions!$B$15:$B$18,MATCH(E5105,Assumptions!$A$15:$A$18,0)),"Yes","No")</f>
        <v>Yes</v>
      </c>
      <c r="O5105" s="31" t="str">
        <f aca="false">IF(H5105="","Open",IF(H5105&lt;=INDEX(Assumptions!$C$15:$C$18,MATCH(E5105,Assumptions!$A$15:$A$18,0)),"Yes","No"))</f>
        <v>Yes</v>
      </c>
    </row>
    <row r="5106" customFormat="false" ht="15" hidden="false" customHeight="false" outlineLevel="0" collapsed="false">
      <c r="A5106" s="31" t="s">
        <v>5256</v>
      </c>
      <c r="B5106" s="44" t="n">
        <v>46273</v>
      </c>
      <c r="C5106" s="31" t="s">
        <v>59</v>
      </c>
      <c r="D5106" s="31" t="s">
        <v>65</v>
      </c>
      <c r="E5106" s="31" t="s">
        <v>52</v>
      </c>
      <c r="F5106" s="31" t="s">
        <v>129</v>
      </c>
      <c r="G5106" s="31" t="n">
        <v>88</v>
      </c>
      <c r="H5106" s="41" t="n">
        <v>6.3</v>
      </c>
      <c r="I5106" s="31" t="s">
        <v>149</v>
      </c>
      <c r="J5106" s="31" t="n">
        <v>5</v>
      </c>
      <c r="K5106" s="31" t="s">
        <v>150</v>
      </c>
      <c r="L5106" s="45" t="n">
        <f aca="false">DATE(YEAR(B5106),MONTH(B5106),1)</f>
        <v>46266</v>
      </c>
      <c r="M5106" s="31" t="n">
        <f aca="false">WEEKDAY(B5106,2)</f>
        <v>2</v>
      </c>
      <c r="N5106" s="31" t="str">
        <f aca="false">IF(G5106&lt;=INDEX(Assumptions!$B$15:$B$18,MATCH(E5106,Assumptions!$A$15:$A$18,0)),"Yes","No")</f>
        <v>Yes</v>
      </c>
      <c r="O5106" s="31" t="str">
        <f aca="false">IF(H5106="","Open",IF(H5106&lt;=INDEX(Assumptions!$C$15:$C$18,MATCH(E5106,Assumptions!$A$15:$A$18,0)),"Yes","No"))</f>
        <v>Yes</v>
      </c>
    </row>
    <row r="5107" customFormat="false" ht="15" hidden="false" customHeight="false" outlineLevel="0" collapsed="false">
      <c r="A5107" s="31" t="s">
        <v>5257</v>
      </c>
      <c r="B5107" s="44" t="n">
        <v>46273</v>
      </c>
      <c r="C5107" s="31" t="s">
        <v>58</v>
      </c>
      <c r="D5107" s="31" t="s">
        <v>65</v>
      </c>
      <c r="E5107" s="31" t="s">
        <v>52</v>
      </c>
      <c r="F5107" s="31" t="s">
        <v>124</v>
      </c>
      <c r="G5107" s="31" t="n">
        <v>3</v>
      </c>
      <c r="H5107" s="41" t="n">
        <v>59.3</v>
      </c>
      <c r="I5107" s="31" t="s">
        <v>149</v>
      </c>
      <c r="J5107" s="31"/>
      <c r="K5107" s="31" t="s">
        <v>150</v>
      </c>
      <c r="L5107" s="45" t="n">
        <f aca="false">DATE(YEAR(B5107),MONTH(B5107),1)</f>
        <v>46266</v>
      </c>
      <c r="M5107" s="31" t="n">
        <f aca="false">WEEKDAY(B5107,2)</f>
        <v>2</v>
      </c>
      <c r="N5107" s="31" t="str">
        <f aca="false">IF(G5107&lt;=INDEX(Assumptions!$B$15:$B$18,MATCH(E5107,Assumptions!$A$15:$A$18,0)),"Yes","No")</f>
        <v>Yes</v>
      </c>
      <c r="O5107" s="31" t="str">
        <f aca="false">IF(H5107="","Open",IF(H5107&lt;=INDEX(Assumptions!$C$15:$C$18,MATCH(E5107,Assumptions!$A$15:$A$18,0)),"Yes","No"))</f>
        <v>Yes</v>
      </c>
    </row>
    <row r="5108" customFormat="false" ht="15" hidden="false" customHeight="false" outlineLevel="0" collapsed="false">
      <c r="A5108" s="31" t="s">
        <v>5258</v>
      </c>
      <c r="B5108" s="44" t="n">
        <v>46273</v>
      </c>
      <c r="C5108" s="31" t="s">
        <v>60</v>
      </c>
      <c r="D5108" s="31" t="s">
        <v>66</v>
      </c>
      <c r="E5108" s="31" t="s">
        <v>50</v>
      </c>
      <c r="F5108" s="31" t="s">
        <v>130</v>
      </c>
      <c r="G5108" s="31" t="n">
        <v>2</v>
      </c>
      <c r="H5108" s="41" t="n">
        <v>0.8</v>
      </c>
      <c r="I5108" s="31" t="s">
        <v>149</v>
      </c>
      <c r="J5108" s="31" t="n">
        <v>5</v>
      </c>
      <c r="K5108" s="31" t="s">
        <v>150</v>
      </c>
      <c r="L5108" s="45" t="n">
        <f aca="false">DATE(YEAR(B5108),MONTH(B5108),1)</f>
        <v>46266</v>
      </c>
      <c r="M5108" s="31" t="n">
        <f aca="false">WEEKDAY(B5108,2)</f>
        <v>2</v>
      </c>
      <c r="N5108" s="31" t="str">
        <f aca="false">IF(G5108&lt;=INDEX(Assumptions!$B$15:$B$18,MATCH(E5108,Assumptions!$A$15:$A$18,0)),"Yes","No")</f>
        <v>Yes</v>
      </c>
      <c r="O5108" s="31" t="str">
        <f aca="false">IF(H5108="","Open",IF(H5108&lt;=INDEX(Assumptions!$C$15:$C$18,MATCH(E5108,Assumptions!$A$15:$A$18,0)),"Yes","No"))</f>
        <v>Yes</v>
      </c>
    </row>
    <row r="5109" customFormat="false" ht="15" hidden="false" customHeight="false" outlineLevel="0" collapsed="false">
      <c r="A5109" s="31" t="s">
        <v>5259</v>
      </c>
      <c r="B5109" s="44" t="n">
        <v>46273</v>
      </c>
      <c r="C5109" s="31" t="s">
        <v>59</v>
      </c>
      <c r="D5109" s="31" t="s">
        <v>66</v>
      </c>
      <c r="E5109" s="31" t="s">
        <v>52</v>
      </c>
      <c r="F5109" s="31" t="s">
        <v>133</v>
      </c>
      <c r="G5109" s="31" t="n">
        <v>60</v>
      </c>
      <c r="H5109" s="41" t="n">
        <v>10.8</v>
      </c>
      <c r="I5109" s="31" t="s">
        <v>149</v>
      </c>
      <c r="J5109" s="31" t="n">
        <v>5</v>
      </c>
      <c r="K5109" s="31" t="s">
        <v>150</v>
      </c>
      <c r="L5109" s="45" t="n">
        <f aca="false">DATE(YEAR(B5109),MONTH(B5109),1)</f>
        <v>46266</v>
      </c>
      <c r="M5109" s="31" t="n">
        <f aca="false">WEEKDAY(B5109,2)</f>
        <v>2</v>
      </c>
      <c r="N5109" s="31" t="str">
        <f aca="false">IF(G5109&lt;=INDEX(Assumptions!$B$15:$B$18,MATCH(E5109,Assumptions!$A$15:$A$18,0)),"Yes","No")</f>
        <v>Yes</v>
      </c>
      <c r="O5109" s="31" t="str">
        <f aca="false">IF(H5109="","Open",IF(H5109&lt;=INDEX(Assumptions!$C$15:$C$18,MATCH(E5109,Assumptions!$A$15:$A$18,0)),"Yes","No"))</f>
        <v>Yes</v>
      </c>
    </row>
    <row r="5110" customFormat="false" ht="15" hidden="false" customHeight="false" outlineLevel="0" collapsed="false">
      <c r="A5110" s="31" t="s">
        <v>5260</v>
      </c>
      <c r="B5110" s="44" t="n">
        <v>46273</v>
      </c>
      <c r="C5110" s="31" t="s">
        <v>60</v>
      </c>
      <c r="D5110" s="31" t="s">
        <v>67</v>
      </c>
      <c r="E5110" s="31" t="s">
        <v>52</v>
      </c>
      <c r="F5110" s="31" t="s">
        <v>135</v>
      </c>
      <c r="G5110" s="31" t="n">
        <v>3</v>
      </c>
      <c r="H5110" s="41" t="n">
        <v>9</v>
      </c>
      <c r="I5110" s="31" t="s">
        <v>149</v>
      </c>
      <c r="J5110" s="31" t="n">
        <v>4</v>
      </c>
      <c r="K5110" s="31" t="s">
        <v>153</v>
      </c>
      <c r="L5110" s="45" t="n">
        <f aca="false">DATE(YEAR(B5110),MONTH(B5110),1)</f>
        <v>46266</v>
      </c>
      <c r="M5110" s="31" t="n">
        <f aca="false">WEEKDAY(B5110,2)</f>
        <v>2</v>
      </c>
      <c r="N5110" s="31" t="str">
        <f aca="false">IF(G5110&lt;=INDEX(Assumptions!$B$15:$B$18,MATCH(E5110,Assumptions!$A$15:$A$18,0)),"Yes","No")</f>
        <v>Yes</v>
      </c>
      <c r="O5110" s="31" t="str">
        <f aca="false">IF(H5110="","Open",IF(H5110&lt;=INDEX(Assumptions!$C$15:$C$18,MATCH(E5110,Assumptions!$A$15:$A$18,0)),"Yes","No"))</f>
        <v>Yes</v>
      </c>
    </row>
    <row r="5111" customFormat="false" ht="15" hidden="false" customHeight="false" outlineLevel="0" collapsed="false">
      <c r="A5111" s="31" t="s">
        <v>5261</v>
      </c>
      <c r="B5111" s="44" t="n">
        <v>46273</v>
      </c>
      <c r="C5111" s="31" t="s">
        <v>60</v>
      </c>
      <c r="D5111" s="31" t="s">
        <v>66</v>
      </c>
      <c r="E5111" s="31" t="s">
        <v>51</v>
      </c>
      <c r="F5111" s="31" t="s">
        <v>136</v>
      </c>
      <c r="G5111" s="31" t="n">
        <v>1</v>
      </c>
      <c r="H5111" s="41" t="n">
        <v>7.8</v>
      </c>
      <c r="I5111" s="31" t="s">
        <v>149</v>
      </c>
      <c r="J5111" s="31"/>
      <c r="K5111" s="31" t="s">
        <v>150</v>
      </c>
      <c r="L5111" s="45" t="n">
        <f aca="false">DATE(YEAR(B5111),MONTH(B5111),1)</f>
        <v>46266</v>
      </c>
      <c r="M5111" s="31" t="n">
        <f aca="false">WEEKDAY(B5111,2)</f>
        <v>2</v>
      </c>
      <c r="N5111" s="31" t="str">
        <f aca="false">IF(G5111&lt;=INDEX(Assumptions!$B$15:$B$18,MATCH(E5111,Assumptions!$A$15:$A$18,0)),"Yes","No")</f>
        <v>Yes</v>
      </c>
      <c r="O5111" s="31" t="str">
        <f aca="false">IF(H5111="","Open",IF(H5111&lt;=INDEX(Assumptions!$C$15:$C$18,MATCH(E5111,Assumptions!$A$15:$A$18,0)),"Yes","No"))</f>
        <v>Yes</v>
      </c>
    </row>
    <row r="5112" customFormat="false" ht="15" hidden="false" customHeight="false" outlineLevel="0" collapsed="false">
      <c r="A5112" s="31" t="s">
        <v>5262</v>
      </c>
      <c r="B5112" s="44" t="n">
        <v>46273</v>
      </c>
      <c r="C5112" s="31" t="s">
        <v>59</v>
      </c>
      <c r="D5112" s="31" t="s">
        <v>65</v>
      </c>
      <c r="E5112" s="31" t="s">
        <v>51</v>
      </c>
      <c r="F5112" s="31" t="s">
        <v>120</v>
      </c>
      <c r="G5112" s="31" t="n">
        <v>79</v>
      </c>
      <c r="H5112" s="41" t="n">
        <v>13.3</v>
      </c>
      <c r="I5112" s="31" t="s">
        <v>149</v>
      </c>
      <c r="J5112" s="31"/>
      <c r="K5112" s="31" t="s">
        <v>150</v>
      </c>
      <c r="L5112" s="45" t="n">
        <f aca="false">DATE(YEAR(B5112),MONTH(B5112),1)</f>
        <v>46266</v>
      </c>
      <c r="M5112" s="31" t="n">
        <f aca="false">WEEKDAY(B5112,2)</f>
        <v>2</v>
      </c>
      <c r="N5112" s="31" t="str">
        <f aca="false">IF(G5112&lt;=INDEX(Assumptions!$B$15:$B$18,MATCH(E5112,Assumptions!$A$15:$A$18,0)),"Yes","No")</f>
        <v>No</v>
      </c>
      <c r="O5112" s="31" t="str">
        <f aca="false">IF(H5112="","Open",IF(H5112&lt;=INDEX(Assumptions!$C$15:$C$18,MATCH(E5112,Assumptions!$A$15:$A$18,0)),"Yes","No"))</f>
        <v>Yes</v>
      </c>
    </row>
    <row r="5113" customFormat="false" ht="15" hidden="false" customHeight="false" outlineLevel="0" collapsed="false">
      <c r="A5113" s="31" t="s">
        <v>5263</v>
      </c>
      <c r="B5113" s="44" t="n">
        <v>46273</v>
      </c>
      <c r="C5113" s="31" t="s">
        <v>60</v>
      </c>
      <c r="D5113" s="31" t="s">
        <v>65</v>
      </c>
      <c r="E5113" s="31" t="s">
        <v>51</v>
      </c>
      <c r="F5113" s="31" t="s">
        <v>120</v>
      </c>
      <c r="G5113" s="31" t="n">
        <v>2</v>
      </c>
      <c r="H5113" s="41" t="n">
        <v>13</v>
      </c>
      <c r="I5113" s="31" t="s">
        <v>149</v>
      </c>
      <c r="J5113" s="31"/>
      <c r="K5113" s="31" t="s">
        <v>150</v>
      </c>
      <c r="L5113" s="45" t="n">
        <f aca="false">DATE(YEAR(B5113),MONTH(B5113),1)</f>
        <v>46266</v>
      </c>
      <c r="M5113" s="31" t="n">
        <f aca="false">WEEKDAY(B5113,2)</f>
        <v>2</v>
      </c>
      <c r="N5113" s="31" t="str">
        <f aca="false">IF(G5113&lt;=INDEX(Assumptions!$B$15:$B$18,MATCH(E5113,Assumptions!$A$15:$A$18,0)),"Yes","No")</f>
        <v>Yes</v>
      </c>
      <c r="O5113" s="31" t="str">
        <f aca="false">IF(H5113="","Open",IF(H5113&lt;=INDEX(Assumptions!$C$15:$C$18,MATCH(E5113,Assumptions!$A$15:$A$18,0)),"Yes","No"))</f>
        <v>Yes</v>
      </c>
    </row>
    <row r="5114" customFormat="false" ht="15" hidden="false" customHeight="false" outlineLevel="0" collapsed="false">
      <c r="A5114" s="31" t="s">
        <v>5264</v>
      </c>
      <c r="B5114" s="44" t="n">
        <v>46273</v>
      </c>
      <c r="C5114" s="31" t="s">
        <v>58</v>
      </c>
      <c r="D5114" s="31" t="s">
        <v>66</v>
      </c>
      <c r="E5114" s="31" t="s">
        <v>52</v>
      </c>
      <c r="F5114" s="31" t="s">
        <v>126</v>
      </c>
      <c r="G5114" s="31" t="n">
        <v>8</v>
      </c>
      <c r="H5114" s="41" t="n">
        <v>4.6</v>
      </c>
      <c r="I5114" s="31" t="s">
        <v>149</v>
      </c>
      <c r="J5114" s="31" t="n">
        <v>5</v>
      </c>
      <c r="K5114" s="31" t="s">
        <v>150</v>
      </c>
      <c r="L5114" s="45" t="n">
        <f aca="false">DATE(YEAR(B5114),MONTH(B5114),1)</f>
        <v>46266</v>
      </c>
      <c r="M5114" s="31" t="n">
        <f aca="false">WEEKDAY(B5114,2)</f>
        <v>2</v>
      </c>
      <c r="N5114" s="31" t="str">
        <f aca="false">IF(G5114&lt;=INDEX(Assumptions!$B$15:$B$18,MATCH(E5114,Assumptions!$A$15:$A$18,0)),"Yes","No")</f>
        <v>Yes</v>
      </c>
      <c r="O5114" s="31" t="str">
        <f aca="false">IF(H5114="","Open",IF(H5114&lt;=INDEX(Assumptions!$C$15:$C$18,MATCH(E5114,Assumptions!$A$15:$A$18,0)),"Yes","No"))</f>
        <v>Yes</v>
      </c>
    </row>
    <row r="5115" customFormat="false" ht="15" hidden="false" customHeight="false" outlineLevel="0" collapsed="false">
      <c r="A5115" s="31" t="s">
        <v>5265</v>
      </c>
      <c r="B5115" s="44" t="n">
        <v>46273</v>
      </c>
      <c r="C5115" s="31" t="s">
        <v>57</v>
      </c>
      <c r="D5115" s="31" t="s">
        <v>66</v>
      </c>
      <c r="E5115" s="31" t="s">
        <v>52</v>
      </c>
      <c r="F5115" s="31" t="s">
        <v>130</v>
      </c>
      <c r="G5115" s="31" t="n">
        <v>5</v>
      </c>
      <c r="H5115" s="41" t="n">
        <v>5.6</v>
      </c>
      <c r="I5115" s="31" t="s">
        <v>149</v>
      </c>
      <c r="J5115" s="31" t="n">
        <v>5</v>
      </c>
      <c r="K5115" s="31" t="s">
        <v>150</v>
      </c>
      <c r="L5115" s="45" t="n">
        <f aca="false">DATE(YEAR(B5115),MONTH(B5115),1)</f>
        <v>46266</v>
      </c>
      <c r="M5115" s="31" t="n">
        <f aca="false">WEEKDAY(B5115,2)</f>
        <v>2</v>
      </c>
      <c r="N5115" s="31" t="str">
        <f aca="false">IF(G5115&lt;=INDEX(Assumptions!$B$15:$B$18,MATCH(E5115,Assumptions!$A$15:$A$18,0)),"Yes","No")</f>
        <v>Yes</v>
      </c>
      <c r="O5115" s="31" t="str">
        <f aca="false">IF(H5115="","Open",IF(H5115&lt;=INDEX(Assumptions!$C$15:$C$18,MATCH(E5115,Assumptions!$A$15:$A$18,0)),"Yes","No"))</f>
        <v>Yes</v>
      </c>
    </row>
    <row r="5116" customFormat="false" ht="15" hidden="false" customHeight="false" outlineLevel="0" collapsed="false">
      <c r="A5116" s="31" t="s">
        <v>5266</v>
      </c>
      <c r="B5116" s="44" t="n">
        <v>46273</v>
      </c>
      <c r="C5116" s="31" t="s">
        <v>58</v>
      </c>
      <c r="D5116" s="31" t="s">
        <v>66</v>
      </c>
      <c r="E5116" s="31" t="s">
        <v>50</v>
      </c>
      <c r="F5116" s="31" t="s">
        <v>131</v>
      </c>
      <c r="G5116" s="31" t="n">
        <v>5</v>
      </c>
      <c r="H5116" s="41" t="n">
        <v>1.2</v>
      </c>
      <c r="I5116" s="31" t="s">
        <v>149</v>
      </c>
      <c r="J5116" s="31" t="n">
        <v>5</v>
      </c>
      <c r="K5116" s="31" t="s">
        <v>150</v>
      </c>
      <c r="L5116" s="45" t="n">
        <f aca="false">DATE(YEAR(B5116),MONTH(B5116),1)</f>
        <v>46266</v>
      </c>
      <c r="M5116" s="31" t="n">
        <f aca="false">WEEKDAY(B5116,2)</f>
        <v>2</v>
      </c>
      <c r="N5116" s="31" t="str">
        <f aca="false">IF(G5116&lt;=INDEX(Assumptions!$B$15:$B$18,MATCH(E5116,Assumptions!$A$15:$A$18,0)),"Yes","No")</f>
        <v>Yes</v>
      </c>
      <c r="O5116" s="31" t="str">
        <f aca="false">IF(H5116="","Open",IF(H5116&lt;=INDEX(Assumptions!$C$15:$C$18,MATCH(E5116,Assumptions!$A$15:$A$18,0)),"Yes","No"))</f>
        <v>Yes</v>
      </c>
    </row>
    <row r="5117" customFormat="false" ht="15" hidden="false" customHeight="false" outlineLevel="0" collapsed="false">
      <c r="A5117" s="31" t="s">
        <v>5267</v>
      </c>
      <c r="B5117" s="44" t="n">
        <v>46273</v>
      </c>
      <c r="C5117" s="31" t="s">
        <v>57</v>
      </c>
      <c r="D5117" s="31" t="s">
        <v>65</v>
      </c>
      <c r="E5117" s="31" t="s">
        <v>51</v>
      </c>
      <c r="F5117" s="31" t="s">
        <v>131</v>
      </c>
      <c r="G5117" s="31" t="n">
        <v>3</v>
      </c>
      <c r="H5117" s="41" t="n">
        <v>3</v>
      </c>
      <c r="I5117" s="31" t="s">
        <v>149</v>
      </c>
      <c r="J5117" s="31" t="n">
        <v>4</v>
      </c>
      <c r="K5117" s="31" t="s">
        <v>150</v>
      </c>
      <c r="L5117" s="45" t="n">
        <f aca="false">DATE(YEAR(B5117),MONTH(B5117),1)</f>
        <v>46266</v>
      </c>
      <c r="M5117" s="31" t="n">
        <f aca="false">WEEKDAY(B5117,2)</f>
        <v>2</v>
      </c>
      <c r="N5117" s="31" t="str">
        <f aca="false">IF(G5117&lt;=INDEX(Assumptions!$B$15:$B$18,MATCH(E5117,Assumptions!$A$15:$A$18,0)),"Yes","No")</f>
        <v>Yes</v>
      </c>
      <c r="O5117" s="31" t="str">
        <f aca="false">IF(H5117="","Open",IF(H5117&lt;=INDEX(Assumptions!$C$15:$C$18,MATCH(E5117,Assumptions!$A$15:$A$18,0)),"Yes","No"))</f>
        <v>Yes</v>
      </c>
    </row>
    <row r="5118" customFormat="false" ht="15" hidden="false" customHeight="false" outlineLevel="0" collapsed="false">
      <c r="A5118" s="31" t="s">
        <v>5268</v>
      </c>
      <c r="B5118" s="44" t="n">
        <v>46273</v>
      </c>
      <c r="C5118" s="31" t="s">
        <v>57</v>
      </c>
      <c r="D5118" s="31" t="s">
        <v>69</v>
      </c>
      <c r="E5118" s="31" t="s">
        <v>52</v>
      </c>
      <c r="F5118" s="31" t="s">
        <v>135</v>
      </c>
      <c r="G5118" s="31" t="n">
        <v>4</v>
      </c>
      <c r="H5118" s="41" t="n">
        <v>59.4</v>
      </c>
      <c r="I5118" s="31" t="s">
        <v>149</v>
      </c>
      <c r="J5118" s="31" t="n">
        <v>4</v>
      </c>
      <c r="K5118" s="31" t="s">
        <v>150</v>
      </c>
      <c r="L5118" s="45" t="n">
        <f aca="false">DATE(YEAR(B5118),MONTH(B5118),1)</f>
        <v>46266</v>
      </c>
      <c r="M5118" s="31" t="n">
        <f aca="false">WEEKDAY(B5118,2)</f>
        <v>2</v>
      </c>
      <c r="N5118" s="31" t="str">
        <f aca="false">IF(G5118&lt;=INDEX(Assumptions!$B$15:$B$18,MATCH(E5118,Assumptions!$A$15:$A$18,0)),"Yes","No")</f>
        <v>Yes</v>
      </c>
      <c r="O5118" s="31" t="str">
        <f aca="false">IF(H5118="","Open",IF(H5118&lt;=INDEX(Assumptions!$C$15:$C$18,MATCH(E5118,Assumptions!$A$15:$A$18,0)),"Yes","No"))</f>
        <v>Yes</v>
      </c>
    </row>
    <row r="5119" customFormat="false" ht="15" hidden="false" customHeight="false" outlineLevel="0" collapsed="false">
      <c r="A5119" s="31" t="s">
        <v>5269</v>
      </c>
      <c r="B5119" s="44" t="n">
        <v>46273</v>
      </c>
      <c r="C5119" s="31" t="s">
        <v>60</v>
      </c>
      <c r="D5119" s="31" t="s">
        <v>66</v>
      </c>
      <c r="E5119" s="31" t="s">
        <v>51</v>
      </c>
      <c r="F5119" s="31" t="s">
        <v>124</v>
      </c>
      <c r="G5119" s="31" t="n">
        <v>1</v>
      </c>
      <c r="H5119" s="41" t="n">
        <v>0.7</v>
      </c>
      <c r="I5119" s="31" t="s">
        <v>149</v>
      </c>
      <c r="J5119" s="31"/>
      <c r="K5119" s="31" t="s">
        <v>150</v>
      </c>
      <c r="L5119" s="45" t="n">
        <f aca="false">DATE(YEAR(B5119),MONTH(B5119),1)</f>
        <v>46266</v>
      </c>
      <c r="M5119" s="31" t="n">
        <f aca="false">WEEKDAY(B5119,2)</f>
        <v>2</v>
      </c>
      <c r="N5119" s="31" t="str">
        <f aca="false">IF(G5119&lt;=INDEX(Assumptions!$B$15:$B$18,MATCH(E5119,Assumptions!$A$15:$A$18,0)),"Yes","No")</f>
        <v>Yes</v>
      </c>
      <c r="O5119" s="31" t="str">
        <f aca="false">IF(H5119="","Open",IF(H5119&lt;=INDEX(Assumptions!$C$15:$C$18,MATCH(E5119,Assumptions!$A$15:$A$18,0)),"Yes","No"))</f>
        <v>Yes</v>
      </c>
    </row>
    <row r="5120" customFormat="false" ht="15" hidden="false" customHeight="false" outlineLevel="0" collapsed="false">
      <c r="A5120" s="31" t="s">
        <v>5270</v>
      </c>
      <c r="B5120" s="44" t="n">
        <v>46273</v>
      </c>
      <c r="C5120" s="31" t="s">
        <v>60</v>
      </c>
      <c r="D5120" s="31" t="s">
        <v>67</v>
      </c>
      <c r="E5120" s="31" t="s">
        <v>51</v>
      </c>
      <c r="F5120" s="31" t="s">
        <v>121</v>
      </c>
      <c r="G5120" s="31" t="n">
        <v>2</v>
      </c>
      <c r="H5120" s="41" t="n">
        <v>18.7</v>
      </c>
      <c r="I5120" s="31" t="s">
        <v>149</v>
      </c>
      <c r="J5120" s="31" t="n">
        <v>5</v>
      </c>
      <c r="K5120" s="31" t="s">
        <v>150</v>
      </c>
      <c r="L5120" s="45" t="n">
        <f aca="false">DATE(YEAR(B5120),MONTH(B5120),1)</f>
        <v>46266</v>
      </c>
      <c r="M5120" s="31" t="n">
        <f aca="false">WEEKDAY(B5120,2)</f>
        <v>2</v>
      </c>
      <c r="N5120" s="31" t="str">
        <f aca="false">IF(G5120&lt;=INDEX(Assumptions!$B$15:$B$18,MATCH(E5120,Assumptions!$A$15:$A$18,0)),"Yes","No")</f>
        <v>Yes</v>
      </c>
      <c r="O5120" s="31" t="str">
        <f aca="false">IF(H5120="","Open",IF(H5120&lt;=INDEX(Assumptions!$C$15:$C$18,MATCH(E5120,Assumptions!$A$15:$A$18,0)),"Yes","No"))</f>
        <v>Yes</v>
      </c>
    </row>
    <row r="5121" customFormat="false" ht="15" hidden="false" customHeight="false" outlineLevel="0" collapsed="false">
      <c r="A5121" s="31" t="s">
        <v>5271</v>
      </c>
      <c r="B5121" s="44" t="n">
        <v>46273</v>
      </c>
      <c r="C5121" s="31" t="s">
        <v>58</v>
      </c>
      <c r="D5121" s="31" t="s">
        <v>65</v>
      </c>
      <c r="E5121" s="31" t="s">
        <v>51</v>
      </c>
      <c r="F5121" s="31" t="s">
        <v>127</v>
      </c>
      <c r="G5121" s="31" t="n">
        <v>13</v>
      </c>
      <c r="H5121" s="41" t="n">
        <v>20.2</v>
      </c>
      <c r="I5121" s="31" t="s">
        <v>64</v>
      </c>
      <c r="J5121" s="31" t="n">
        <v>3</v>
      </c>
      <c r="K5121" s="31" t="s">
        <v>150</v>
      </c>
      <c r="L5121" s="45" t="n">
        <f aca="false">DATE(YEAR(B5121),MONTH(B5121),1)</f>
        <v>46266</v>
      </c>
      <c r="M5121" s="31" t="n">
        <f aca="false">WEEKDAY(B5121,2)</f>
        <v>2</v>
      </c>
      <c r="N5121" s="31" t="str">
        <f aca="false">IF(G5121&lt;=INDEX(Assumptions!$B$15:$B$18,MATCH(E5121,Assumptions!$A$15:$A$18,0)),"Yes","No")</f>
        <v>Yes</v>
      </c>
      <c r="O5121" s="31" t="str">
        <f aca="false">IF(H5121="","Open",IF(H5121&lt;=INDEX(Assumptions!$C$15:$C$18,MATCH(E5121,Assumptions!$A$15:$A$18,0)),"Yes","No"))</f>
        <v>Yes</v>
      </c>
    </row>
    <row r="5122" customFormat="false" ht="15" hidden="false" customHeight="false" outlineLevel="0" collapsed="false">
      <c r="A5122" s="31" t="s">
        <v>5272</v>
      </c>
      <c r="B5122" s="44" t="n">
        <v>46273</v>
      </c>
      <c r="C5122" s="31" t="s">
        <v>59</v>
      </c>
      <c r="D5122" s="31" t="s">
        <v>65</v>
      </c>
      <c r="E5122" s="31" t="s">
        <v>52</v>
      </c>
      <c r="F5122" s="31" t="s">
        <v>129</v>
      </c>
      <c r="G5122" s="31" t="n">
        <v>28</v>
      </c>
      <c r="H5122" s="41" t="n">
        <v>32.5</v>
      </c>
      <c r="I5122" s="31" t="s">
        <v>149</v>
      </c>
      <c r="J5122" s="31"/>
      <c r="K5122" s="31" t="s">
        <v>150</v>
      </c>
      <c r="L5122" s="45" t="n">
        <f aca="false">DATE(YEAR(B5122),MONTH(B5122),1)</f>
        <v>46266</v>
      </c>
      <c r="M5122" s="31" t="n">
        <f aca="false">WEEKDAY(B5122,2)</f>
        <v>2</v>
      </c>
      <c r="N5122" s="31" t="str">
        <f aca="false">IF(G5122&lt;=INDEX(Assumptions!$B$15:$B$18,MATCH(E5122,Assumptions!$A$15:$A$18,0)),"Yes","No")</f>
        <v>Yes</v>
      </c>
      <c r="O5122" s="31" t="str">
        <f aca="false">IF(H5122="","Open",IF(H5122&lt;=INDEX(Assumptions!$C$15:$C$18,MATCH(E5122,Assumptions!$A$15:$A$18,0)),"Yes","No"))</f>
        <v>Yes</v>
      </c>
    </row>
    <row r="5123" customFormat="false" ht="15" hidden="false" customHeight="false" outlineLevel="0" collapsed="false">
      <c r="A5123" s="31" t="s">
        <v>5273</v>
      </c>
      <c r="B5123" s="44" t="n">
        <v>46273</v>
      </c>
      <c r="C5123" s="31" t="s">
        <v>57</v>
      </c>
      <c r="D5123" s="31" t="s">
        <v>67</v>
      </c>
      <c r="E5123" s="31" t="s">
        <v>50</v>
      </c>
      <c r="F5123" s="31" t="s">
        <v>120</v>
      </c>
      <c r="G5123" s="31" t="n">
        <v>11</v>
      </c>
      <c r="H5123" s="41" t="n">
        <v>3.1</v>
      </c>
      <c r="I5123" s="31" t="s">
        <v>149</v>
      </c>
      <c r="J5123" s="31" t="n">
        <v>4</v>
      </c>
      <c r="K5123" s="31" t="s">
        <v>153</v>
      </c>
      <c r="L5123" s="45" t="n">
        <f aca="false">DATE(YEAR(B5123),MONTH(B5123),1)</f>
        <v>46266</v>
      </c>
      <c r="M5123" s="31" t="n">
        <f aca="false">WEEKDAY(B5123,2)</f>
        <v>2</v>
      </c>
      <c r="N5123" s="31" t="str">
        <f aca="false">IF(G5123&lt;=INDEX(Assumptions!$B$15:$B$18,MATCH(E5123,Assumptions!$A$15:$A$18,0)),"Yes","No")</f>
        <v>Yes</v>
      </c>
      <c r="O5123" s="31" t="str">
        <f aca="false">IF(H5123="","Open",IF(H5123&lt;=INDEX(Assumptions!$C$15:$C$18,MATCH(E5123,Assumptions!$A$15:$A$18,0)),"Yes","No"))</f>
        <v>Yes</v>
      </c>
    </row>
    <row r="5124" customFormat="false" ht="15" hidden="false" customHeight="false" outlineLevel="0" collapsed="false">
      <c r="A5124" s="31" t="s">
        <v>5274</v>
      </c>
      <c r="B5124" s="44" t="n">
        <v>46273</v>
      </c>
      <c r="C5124" s="31" t="s">
        <v>60</v>
      </c>
      <c r="D5124" s="31" t="s">
        <v>65</v>
      </c>
      <c r="E5124" s="31" t="s">
        <v>51</v>
      </c>
      <c r="F5124" s="31" t="s">
        <v>117</v>
      </c>
      <c r="G5124" s="31" t="n">
        <v>2</v>
      </c>
      <c r="H5124" s="41" t="n">
        <v>33.7</v>
      </c>
      <c r="I5124" s="31" t="s">
        <v>149</v>
      </c>
      <c r="J5124" s="31"/>
      <c r="K5124" s="31" t="s">
        <v>150</v>
      </c>
      <c r="L5124" s="45" t="n">
        <f aca="false">DATE(YEAR(B5124),MONTH(B5124),1)</f>
        <v>46266</v>
      </c>
      <c r="M5124" s="31" t="n">
        <f aca="false">WEEKDAY(B5124,2)</f>
        <v>2</v>
      </c>
      <c r="N5124" s="31" t="str">
        <f aca="false">IF(G5124&lt;=INDEX(Assumptions!$B$15:$B$18,MATCH(E5124,Assumptions!$A$15:$A$18,0)),"Yes","No")</f>
        <v>Yes</v>
      </c>
      <c r="O5124" s="31" t="str">
        <f aca="false">IF(H5124="","Open",IF(H5124&lt;=INDEX(Assumptions!$C$15:$C$18,MATCH(E5124,Assumptions!$A$15:$A$18,0)),"Yes","No"))</f>
        <v>No</v>
      </c>
    </row>
    <row r="5125" customFormat="false" ht="15" hidden="false" customHeight="false" outlineLevel="0" collapsed="false">
      <c r="A5125" s="31" t="s">
        <v>5275</v>
      </c>
      <c r="B5125" s="44" t="n">
        <v>46273</v>
      </c>
      <c r="C5125" s="31" t="s">
        <v>57</v>
      </c>
      <c r="D5125" s="31" t="s">
        <v>66</v>
      </c>
      <c r="E5125" s="31" t="s">
        <v>51</v>
      </c>
      <c r="F5125" s="31" t="s">
        <v>127</v>
      </c>
      <c r="G5125" s="31" t="n">
        <v>13</v>
      </c>
      <c r="H5125" s="41" t="n">
        <v>5.4</v>
      </c>
      <c r="I5125" s="31" t="s">
        <v>149</v>
      </c>
      <c r="J5125" s="31" t="n">
        <v>4</v>
      </c>
      <c r="K5125" s="31" t="s">
        <v>150</v>
      </c>
      <c r="L5125" s="45" t="n">
        <f aca="false">DATE(YEAR(B5125),MONTH(B5125),1)</f>
        <v>46266</v>
      </c>
      <c r="M5125" s="31" t="n">
        <f aca="false">WEEKDAY(B5125,2)</f>
        <v>2</v>
      </c>
      <c r="N5125" s="31" t="str">
        <f aca="false">IF(G5125&lt;=INDEX(Assumptions!$B$15:$B$18,MATCH(E5125,Assumptions!$A$15:$A$18,0)),"Yes","No")</f>
        <v>Yes</v>
      </c>
      <c r="O5125" s="31" t="str">
        <f aca="false">IF(H5125="","Open",IF(H5125&lt;=INDEX(Assumptions!$C$15:$C$18,MATCH(E5125,Assumptions!$A$15:$A$18,0)),"Yes","No"))</f>
        <v>Yes</v>
      </c>
    </row>
    <row r="5126" customFormat="false" ht="15" hidden="false" customHeight="false" outlineLevel="0" collapsed="false">
      <c r="A5126" s="31" t="s">
        <v>5276</v>
      </c>
      <c r="B5126" s="44" t="n">
        <v>46273</v>
      </c>
      <c r="C5126" s="31" t="s">
        <v>57</v>
      </c>
      <c r="D5126" s="31" t="s">
        <v>69</v>
      </c>
      <c r="E5126" s="31" t="s">
        <v>51</v>
      </c>
      <c r="F5126" s="31" t="s">
        <v>136</v>
      </c>
      <c r="G5126" s="31" t="n">
        <v>23</v>
      </c>
      <c r="H5126" s="41"/>
      <c r="I5126" s="31" t="s">
        <v>158</v>
      </c>
      <c r="J5126" s="31"/>
      <c r="K5126" s="31" t="s">
        <v>150</v>
      </c>
      <c r="L5126" s="45" t="n">
        <f aca="false">DATE(YEAR(B5126),MONTH(B5126),1)</f>
        <v>46266</v>
      </c>
      <c r="M5126" s="31" t="n">
        <f aca="false">WEEKDAY(B5126,2)</f>
        <v>2</v>
      </c>
      <c r="N5126" s="31" t="str">
        <f aca="false">IF(G5126&lt;=INDEX(Assumptions!$B$15:$B$18,MATCH(E5126,Assumptions!$A$15:$A$18,0)),"Yes","No")</f>
        <v>Yes</v>
      </c>
      <c r="O5126" s="31" t="str">
        <f aca="false">IF(H5126="","Open",IF(H5126&lt;=INDEX(Assumptions!$C$15:$C$18,MATCH(E5126,Assumptions!$A$15:$A$18,0)),"Yes","No"))</f>
        <v>Open</v>
      </c>
    </row>
    <row r="5127" customFormat="false" ht="15" hidden="false" customHeight="false" outlineLevel="0" collapsed="false">
      <c r="A5127" s="31" t="s">
        <v>5277</v>
      </c>
      <c r="B5127" s="44" t="n">
        <v>46273</v>
      </c>
      <c r="C5127" s="31" t="s">
        <v>60</v>
      </c>
      <c r="D5127" s="31" t="s">
        <v>65</v>
      </c>
      <c r="E5127" s="31" t="s">
        <v>51</v>
      </c>
      <c r="F5127" s="31" t="s">
        <v>135</v>
      </c>
      <c r="G5127" s="31" t="n">
        <v>9</v>
      </c>
      <c r="H5127" s="41" t="n">
        <v>29.2</v>
      </c>
      <c r="I5127" s="31" t="s">
        <v>149</v>
      </c>
      <c r="J5127" s="31" t="n">
        <v>3</v>
      </c>
      <c r="K5127" s="31" t="s">
        <v>150</v>
      </c>
      <c r="L5127" s="45" t="n">
        <f aca="false">DATE(YEAR(B5127),MONTH(B5127),1)</f>
        <v>46266</v>
      </c>
      <c r="M5127" s="31" t="n">
        <f aca="false">WEEKDAY(B5127,2)</f>
        <v>2</v>
      </c>
      <c r="N5127" s="31" t="str">
        <f aca="false">IF(G5127&lt;=INDEX(Assumptions!$B$15:$B$18,MATCH(E5127,Assumptions!$A$15:$A$18,0)),"Yes","No")</f>
        <v>Yes</v>
      </c>
      <c r="O5127" s="31" t="str">
        <f aca="false">IF(H5127="","Open",IF(H5127&lt;=INDEX(Assumptions!$C$15:$C$18,MATCH(E5127,Assumptions!$A$15:$A$18,0)),"Yes","No"))</f>
        <v>No</v>
      </c>
    </row>
    <row r="5128" customFormat="false" ht="15" hidden="false" customHeight="false" outlineLevel="0" collapsed="false">
      <c r="A5128" s="31" t="s">
        <v>5278</v>
      </c>
      <c r="B5128" s="44" t="n">
        <v>46273</v>
      </c>
      <c r="C5128" s="31" t="s">
        <v>59</v>
      </c>
      <c r="D5128" s="31" t="s">
        <v>66</v>
      </c>
      <c r="E5128" s="31" t="s">
        <v>50</v>
      </c>
      <c r="F5128" s="31" t="s">
        <v>123</v>
      </c>
      <c r="G5128" s="31" t="n">
        <v>44</v>
      </c>
      <c r="H5128" s="41" t="n">
        <v>11</v>
      </c>
      <c r="I5128" s="31" t="s">
        <v>149</v>
      </c>
      <c r="J5128" s="31"/>
      <c r="K5128" s="31" t="s">
        <v>150</v>
      </c>
      <c r="L5128" s="45" t="n">
        <f aca="false">DATE(YEAR(B5128),MONTH(B5128),1)</f>
        <v>46266</v>
      </c>
      <c r="M5128" s="31" t="n">
        <f aca="false">WEEKDAY(B5128,2)</f>
        <v>2</v>
      </c>
      <c r="N5128" s="31" t="str">
        <f aca="false">IF(G5128&lt;=INDEX(Assumptions!$B$15:$B$18,MATCH(E5128,Assumptions!$A$15:$A$18,0)),"Yes","No")</f>
        <v>No</v>
      </c>
      <c r="O5128" s="31" t="str">
        <f aca="false">IF(H5128="","Open",IF(H5128&lt;=INDEX(Assumptions!$C$15:$C$18,MATCH(E5128,Assumptions!$A$15:$A$18,0)),"Yes","No"))</f>
        <v>No</v>
      </c>
    </row>
    <row r="5129" customFormat="false" ht="15" hidden="false" customHeight="false" outlineLevel="0" collapsed="false">
      <c r="A5129" s="31" t="s">
        <v>5279</v>
      </c>
      <c r="B5129" s="44" t="n">
        <v>46273</v>
      </c>
      <c r="C5129" s="31" t="s">
        <v>57</v>
      </c>
      <c r="D5129" s="31" t="s">
        <v>69</v>
      </c>
      <c r="E5129" s="31" t="s">
        <v>51</v>
      </c>
      <c r="F5129" s="31" t="s">
        <v>121</v>
      </c>
      <c r="G5129" s="31" t="n">
        <v>2</v>
      </c>
      <c r="H5129" s="41"/>
      <c r="I5129" s="31" t="s">
        <v>158</v>
      </c>
      <c r="J5129" s="31"/>
      <c r="K5129" s="31" t="s">
        <v>150</v>
      </c>
      <c r="L5129" s="45" t="n">
        <f aca="false">DATE(YEAR(B5129),MONTH(B5129),1)</f>
        <v>46266</v>
      </c>
      <c r="M5129" s="31" t="n">
        <f aca="false">WEEKDAY(B5129,2)</f>
        <v>2</v>
      </c>
      <c r="N5129" s="31" t="str">
        <f aca="false">IF(G5129&lt;=INDEX(Assumptions!$B$15:$B$18,MATCH(E5129,Assumptions!$A$15:$A$18,0)),"Yes","No")</f>
        <v>Yes</v>
      </c>
      <c r="O5129" s="31" t="str">
        <f aca="false">IF(H5129="","Open",IF(H5129&lt;=INDEX(Assumptions!$C$15:$C$18,MATCH(E5129,Assumptions!$A$15:$A$18,0)),"Yes","No"))</f>
        <v>Open</v>
      </c>
    </row>
    <row r="5130" customFormat="false" ht="15" hidden="false" customHeight="false" outlineLevel="0" collapsed="false">
      <c r="A5130" s="31" t="s">
        <v>5280</v>
      </c>
      <c r="B5130" s="44" t="n">
        <v>46273</v>
      </c>
      <c r="C5130" s="31" t="s">
        <v>57</v>
      </c>
      <c r="D5130" s="31" t="s">
        <v>67</v>
      </c>
      <c r="E5130" s="31" t="s">
        <v>52</v>
      </c>
      <c r="F5130" s="31" t="s">
        <v>127</v>
      </c>
      <c r="G5130" s="31" t="n">
        <v>8</v>
      </c>
      <c r="H5130" s="41" t="n">
        <v>85.5</v>
      </c>
      <c r="I5130" s="31" t="s">
        <v>149</v>
      </c>
      <c r="J5130" s="31" t="n">
        <v>4</v>
      </c>
      <c r="K5130" s="31" t="s">
        <v>150</v>
      </c>
      <c r="L5130" s="45" t="n">
        <f aca="false">DATE(YEAR(B5130),MONTH(B5130),1)</f>
        <v>46266</v>
      </c>
      <c r="M5130" s="31" t="n">
        <f aca="false">WEEKDAY(B5130,2)</f>
        <v>2</v>
      </c>
      <c r="N5130" s="31" t="str">
        <f aca="false">IF(G5130&lt;=INDEX(Assumptions!$B$15:$B$18,MATCH(E5130,Assumptions!$A$15:$A$18,0)),"Yes","No")</f>
        <v>Yes</v>
      </c>
      <c r="O5130" s="31" t="str">
        <f aca="false">IF(H5130="","Open",IF(H5130&lt;=INDEX(Assumptions!$C$15:$C$18,MATCH(E5130,Assumptions!$A$15:$A$18,0)),"Yes","No"))</f>
        <v>No</v>
      </c>
    </row>
    <row r="5131" customFormat="false" ht="15" hidden="false" customHeight="false" outlineLevel="0" collapsed="false">
      <c r="A5131" s="31" t="s">
        <v>5281</v>
      </c>
      <c r="B5131" s="44" t="n">
        <v>46273</v>
      </c>
      <c r="C5131" s="31" t="s">
        <v>60</v>
      </c>
      <c r="D5131" s="31" t="s">
        <v>67</v>
      </c>
      <c r="E5131" s="31" t="s">
        <v>49</v>
      </c>
      <c r="F5131" s="31" t="s">
        <v>117</v>
      </c>
      <c r="G5131" s="31" t="n">
        <v>1</v>
      </c>
      <c r="H5131" s="41" t="n">
        <v>1.6</v>
      </c>
      <c r="I5131" s="31" t="s">
        <v>149</v>
      </c>
      <c r="J5131" s="31"/>
      <c r="K5131" s="31" t="s">
        <v>150</v>
      </c>
      <c r="L5131" s="45" t="n">
        <f aca="false">DATE(YEAR(B5131),MONTH(B5131),1)</f>
        <v>46266</v>
      </c>
      <c r="M5131" s="31" t="n">
        <f aca="false">WEEKDAY(B5131,2)</f>
        <v>2</v>
      </c>
      <c r="N5131" s="31" t="str">
        <f aca="false">IF(G5131&lt;=INDEX(Assumptions!$B$15:$B$18,MATCH(E5131,Assumptions!$A$15:$A$18,0)),"Yes","No")</f>
        <v>Yes</v>
      </c>
      <c r="O5131" s="31" t="str">
        <f aca="false">IF(H5131="","Open",IF(H5131&lt;=INDEX(Assumptions!$C$15:$C$18,MATCH(E5131,Assumptions!$A$15:$A$18,0)),"Yes","No"))</f>
        <v>Yes</v>
      </c>
    </row>
    <row r="5132" customFormat="false" ht="15" hidden="false" customHeight="false" outlineLevel="0" collapsed="false">
      <c r="A5132" s="31" t="s">
        <v>5282</v>
      </c>
      <c r="B5132" s="44" t="n">
        <v>46273</v>
      </c>
      <c r="C5132" s="31" t="s">
        <v>59</v>
      </c>
      <c r="D5132" s="31" t="s">
        <v>68</v>
      </c>
      <c r="E5132" s="31" t="s">
        <v>52</v>
      </c>
      <c r="F5132" s="31" t="s">
        <v>122</v>
      </c>
      <c r="G5132" s="31" t="n">
        <v>70</v>
      </c>
      <c r="H5132" s="41" t="n">
        <v>1.3</v>
      </c>
      <c r="I5132" s="31" t="s">
        <v>149</v>
      </c>
      <c r="J5132" s="31"/>
      <c r="K5132" s="31" t="s">
        <v>150</v>
      </c>
      <c r="L5132" s="45" t="n">
        <f aca="false">DATE(YEAR(B5132),MONTH(B5132),1)</f>
        <v>46266</v>
      </c>
      <c r="M5132" s="31" t="n">
        <f aca="false">WEEKDAY(B5132,2)</f>
        <v>2</v>
      </c>
      <c r="N5132" s="31" t="str">
        <f aca="false">IF(G5132&lt;=INDEX(Assumptions!$B$15:$B$18,MATCH(E5132,Assumptions!$A$15:$A$18,0)),"Yes","No")</f>
        <v>Yes</v>
      </c>
      <c r="O5132" s="31" t="str">
        <f aca="false">IF(H5132="","Open",IF(H5132&lt;=INDEX(Assumptions!$C$15:$C$18,MATCH(E5132,Assumptions!$A$15:$A$18,0)),"Yes","No"))</f>
        <v>Yes</v>
      </c>
    </row>
    <row r="5133" customFormat="false" ht="15" hidden="false" customHeight="false" outlineLevel="0" collapsed="false">
      <c r="A5133" s="31" t="s">
        <v>5283</v>
      </c>
      <c r="B5133" s="44" t="n">
        <v>46273</v>
      </c>
      <c r="C5133" s="31" t="s">
        <v>58</v>
      </c>
      <c r="D5133" s="31" t="s">
        <v>66</v>
      </c>
      <c r="E5133" s="31" t="s">
        <v>51</v>
      </c>
      <c r="F5133" s="31" t="s">
        <v>123</v>
      </c>
      <c r="G5133" s="31" t="n">
        <v>9</v>
      </c>
      <c r="H5133" s="41" t="n">
        <v>0.9</v>
      </c>
      <c r="I5133" s="31" t="s">
        <v>149</v>
      </c>
      <c r="J5133" s="31" t="n">
        <v>4</v>
      </c>
      <c r="K5133" s="31" t="s">
        <v>150</v>
      </c>
      <c r="L5133" s="45" t="n">
        <f aca="false">DATE(YEAR(B5133),MONTH(B5133),1)</f>
        <v>46266</v>
      </c>
      <c r="M5133" s="31" t="n">
        <f aca="false">WEEKDAY(B5133,2)</f>
        <v>2</v>
      </c>
      <c r="N5133" s="31" t="str">
        <f aca="false">IF(G5133&lt;=INDEX(Assumptions!$B$15:$B$18,MATCH(E5133,Assumptions!$A$15:$A$18,0)),"Yes","No")</f>
        <v>Yes</v>
      </c>
      <c r="O5133" s="31" t="str">
        <f aca="false">IF(H5133="","Open",IF(H5133&lt;=INDEX(Assumptions!$C$15:$C$18,MATCH(E5133,Assumptions!$A$15:$A$18,0)),"Yes","No"))</f>
        <v>Yes</v>
      </c>
    </row>
    <row r="5134" customFormat="false" ht="15" hidden="false" customHeight="false" outlineLevel="0" collapsed="false">
      <c r="A5134" s="31" t="s">
        <v>5284</v>
      </c>
      <c r="B5134" s="44" t="n">
        <v>46273</v>
      </c>
      <c r="C5134" s="31" t="s">
        <v>57</v>
      </c>
      <c r="D5134" s="31" t="s">
        <v>65</v>
      </c>
      <c r="E5134" s="31" t="s">
        <v>51</v>
      </c>
      <c r="F5134" s="31" t="s">
        <v>120</v>
      </c>
      <c r="G5134" s="31" t="n">
        <v>2</v>
      </c>
      <c r="H5134" s="41" t="n">
        <v>16.4</v>
      </c>
      <c r="I5134" s="31" t="s">
        <v>149</v>
      </c>
      <c r="J5134" s="31" t="n">
        <v>4</v>
      </c>
      <c r="K5134" s="31" t="s">
        <v>150</v>
      </c>
      <c r="L5134" s="45" t="n">
        <f aca="false">DATE(YEAR(B5134),MONTH(B5134),1)</f>
        <v>46266</v>
      </c>
      <c r="M5134" s="31" t="n">
        <f aca="false">WEEKDAY(B5134,2)</f>
        <v>2</v>
      </c>
      <c r="N5134" s="31" t="str">
        <f aca="false">IF(G5134&lt;=INDEX(Assumptions!$B$15:$B$18,MATCH(E5134,Assumptions!$A$15:$A$18,0)),"Yes","No")</f>
        <v>Yes</v>
      </c>
      <c r="O5134" s="31" t="str">
        <f aca="false">IF(H5134="","Open",IF(H5134&lt;=INDEX(Assumptions!$C$15:$C$18,MATCH(E5134,Assumptions!$A$15:$A$18,0)),"Yes","No"))</f>
        <v>Yes</v>
      </c>
    </row>
    <row r="5135" customFormat="false" ht="15" hidden="false" customHeight="false" outlineLevel="0" collapsed="false">
      <c r="A5135" s="31" t="s">
        <v>5285</v>
      </c>
      <c r="B5135" s="44" t="n">
        <v>46273</v>
      </c>
      <c r="C5135" s="31" t="s">
        <v>58</v>
      </c>
      <c r="D5135" s="31" t="s">
        <v>66</v>
      </c>
      <c r="E5135" s="31" t="s">
        <v>52</v>
      </c>
      <c r="F5135" s="31" t="s">
        <v>120</v>
      </c>
      <c r="G5135" s="31" t="n">
        <v>24</v>
      </c>
      <c r="H5135" s="41" t="n">
        <v>4.7</v>
      </c>
      <c r="I5135" s="31" t="s">
        <v>149</v>
      </c>
      <c r="J5135" s="31" t="n">
        <v>3</v>
      </c>
      <c r="K5135" s="31" t="s">
        <v>150</v>
      </c>
      <c r="L5135" s="45" t="n">
        <f aca="false">DATE(YEAR(B5135),MONTH(B5135),1)</f>
        <v>46266</v>
      </c>
      <c r="M5135" s="31" t="n">
        <f aca="false">WEEKDAY(B5135,2)</f>
        <v>2</v>
      </c>
      <c r="N5135" s="31" t="str">
        <f aca="false">IF(G5135&lt;=INDEX(Assumptions!$B$15:$B$18,MATCH(E5135,Assumptions!$A$15:$A$18,0)),"Yes","No")</f>
        <v>Yes</v>
      </c>
      <c r="O5135" s="31" t="str">
        <f aca="false">IF(H5135="","Open",IF(H5135&lt;=INDEX(Assumptions!$C$15:$C$18,MATCH(E5135,Assumptions!$A$15:$A$18,0)),"Yes","No"))</f>
        <v>Yes</v>
      </c>
    </row>
    <row r="5136" customFormat="false" ht="15" hidden="false" customHeight="false" outlineLevel="0" collapsed="false">
      <c r="A5136" s="31" t="s">
        <v>5286</v>
      </c>
      <c r="B5136" s="44" t="n">
        <v>46273</v>
      </c>
      <c r="C5136" s="31" t="s">
        <v>59</v>
      </c>
      <c r="D5136" s="31" t="s">
        <v>65</v>
      </c>
      <c r="E5136" s="31" t="s">
        <v>51</v>
      </c>
      <c r="F5136" s="31" t="s">
        <v>137</v>
      </c>
      <c r="G5136" s="31" t="n">
        <v>269</v>
      </c>
      <c r="H5136" s="41" t="n">
        <v>7.3</v>
      </c>
      <c r="I5136" s="31" t="s">
        <v>149</v>
      </c>
      <c r="J5136" s="31"/>
      <c r="K5136" s="31" t="s">
        <v>150</v>
      </c>
      <c r="L5136" s="45" t="n">
        <f aca="false">DATE(YEAR(B5136),MONTH(B5136),1)</f>
        <v>46266</v>
      </c>
      <c r="M5136" s="31" t="n">
        <f aca="false">WEEKDAY(B5136,2)</f>
        <v>2</v>
      </c>
      <c r="N5136" s="31" t="str">
        <f aca="false">IF(G5136&lt;=INDEX(Assumptions!$B$15:$B$18,MATCH(E5136,Assumptions!$A$15:$A$18,0)),"Yes","No")</f>
        <v>No</v>
      </c>
      <c r="O5136" s="31" t="str">
        <f aca="false">IF(H5136="","Open",IF(H5136&lt;=INDEX(Assumptions!$C$15:$C$18,MATCH(E5136,Assumptions!$A$15:$A$18,0)),"Yes","No"))</f>
        <v>Yes</v>
      </c>
    </row>
    <row r="5137" customFormat="false" ht="15" hidden="false" customHeight="false" outlineLevel="0" collapsed="false">
      <c r="A5137" s="31" t="s">
        <v>5287</v>
      </c>
      <c r="B5137" s="44" t="n">
        <v>46273</v>
      </c>
      <c r="C5137" s="31" t="s">
        <v>58</v>
      </c>
      <c r="D5137" s="31" t="s">
        <v>66</v>
      </c>
      <c r="E5137" s="31" t="s">
        <v>50</v>
      </c>
      <c r="F5137" s="31" t="s">
        <v>124</v>
      </c>
      <c r="G5137" s="31" t="n">
        <v>3</v>
      </c>
      <c r="H5137" s="41" t="n">
        <v>1.4</v>
      </c>
      <c r="I5137" s="31" t="s">
        <v>149</v>
      </c>
      <c r="J5137" s="31" t="n">
        <v>5</v>
      </c>
      <c r="K5137" s="31" t="s">
        <v>150</v>
      </c>
      <c r="L5137" s="45" t="n">
        <f aca="false">DATE(YEAR(B5137),MONTH(B5137),1)</f>
        <v>46266</v>
      </c>
      <c r="M5137" s="31" t="n">
        <f aca="false">WEEKDAY(B5137,2)</f>
        <v>2</v>
      </c>
      <c r="N5137" s="31" t="str">
        <f aca="false">IF(G5137&lt;=INDEX(Assumptions!$B$15:$B$18,MATCH(E5137,Assumptions!$A$15:$A$18,0)),"Yes","No")</f>
        <v>Yes</v>
      </c>
      <c r="O5137" s="31" t="str">
        <f aca="false">IF(H5137="","Open",IF(H5137&lt;=INDEX(Assumptions!$C$15:$C$18,MATCH(E5137,Assumptions!$A$15:$A$18,0)),"Yes","No"))</f>
        <v>Yes</v>
      </c>
    </row>
    <row r="5138" customFormat="false" ht="15" hidden="false" customHeight="false" outlineLevel="0" collapsed="false">
      <c r="A5138" s="31" t="s">
        <v>5288</v>
      </c>
      <c r="B5138" s="44" t="n">
        <v>46273</v>
      </c>
      <c r="C5138" s="31" t="s">
        <v>57</v>
      </c>
      <c r="D5138" s="31" t="s">
        <v>67</v>
      </c>
      <c r="E5138" s="31" t="s">
        <v>52</v>
      </c>
      <c r="F5138" s="31" t="s">
        <v>122</v>
      </c>
      <c r="G5138" s="31" t="n">
        <v>3</v>
      </c>
      <c r="H5138" s="41" t="n">
        <v>57</v>
      </c>
      <c r="I5138" s="31" t="s">
        <v>149</v>
      </c>
      <c r="J5138" s="31" t="n">
        <v>5</v>
      </c>
      <c r="K5138" s="31" t="s">
        <v>150</v>
      </c>
      <c r="L5138" s="45" t="n">
        <f aca="false">DATE(YEAR(B5138),MONTH(B5138),1)</f>
        <v>46266</v>
      </c>
      <c r="M5138" s="31" t="n">
        <f aca="false">WEEKDAY(B5138,2)</f>
        <v>2</v>
      </c>
      <c r="N5138" s="31" t="str">
        <f aca="false">IF(G5138&lt;=INDEX(Assumptions!$B$15:$B$18,MATCH(E5138,Assumptions!$A$15:$A$18,0)),"Yes","No")</f>
        <v>Yes</v>
      </c>
      <c r="O5138" s="31" t="str">
        <f aca="false">IF(H5138="","Open",IF(H5138&lt;=INDEX(Assumptions!$C$15:$C$18,MATCH(E5138,Assumptions!$A$15:$A$18,0)),"Yes","No"))</f>
        <v>Yes</v>
      </c>
    </row>
    <row r="5139" customFormat="false" ht="15" hidden="false" customHeight="false" outlineLevel="0" collapsed="false">
      <c r="A5139" s="31" t="s">
        <v>5289</v>
      </c>
      <c r="B5139" s="44" t="n">
        <v>46273</v>
      </c>
      <c r="C5139" s="31" t="s">
        <v>58</v>
      </c>
      <c r="D5139" s="31" t="s">
        <v>67</v>
      </c>
      <c r="E5139" s="31" t="s">
        <v>52</v>
      </c>
      <c r="F5139" s="31" t="s">
        <v>122</v>
      </c>
      <c r="G5139" s="31" t="n">
        <v>37</v>
      </c>
      <c r="H5139" s="41" t="n">
        <v>20.3</v>
      </c>
      <c r="I5139" s="31" t="s">
        <v>149</v>
      </c>
      <c r="J5139" s="31"/>
      <c r="K5139" s="31" t="s">
        <v>150</v>
      </c>
      <c r="L5139" s="45" t="n">
        <f aca="false">DATE(YEAR(B5139),MONTH(B5139),1)</f>
        <v>46266</v>
      </c>
      <c r="M5139" s="31" t="n">
        <f aca="false">WEEKDAY(B5139,2)</f>
        <v>2</v>
      </c>
      <c r="N5139" s="31" t="str">
        <f aca="false">IF(G5139&lt;=INDEX(Assumptions!$B$15:$B$18,MATCH(E5139,Assumptions!$A$15:$A$18,0)),"Yes","No")</f>
        <v>Yes</v>
      </c>
      <c r="O5139" s="31" t="str">
        <f aca="false">IF(H5139="","Open",IF(H5139&lt;=INDEX(Assumptions!$C$15:$C$18,MATCH(E5139,Assumptions!$A$15:$A$18,0)),"Yes","No"))</f>
        <v>Yes</v>
      </c>
    </row>
    <row r="5140" customFormat="false" ht="15" hidden="false" customHeight="false" outlineLevel="0" collapsed="false">
      <c r="A5140" s="31" t="s">
        <v>5290</v>
      </c>
      <c r="B5140" s="44" t="n">
        <v>46273</v>
      </c>
      <c r="C5140" s="31" t="s">
        <v>58</v>
      </c>
      <c r="D5140" s="31" t="s">
        <v>65</v>
      </c>
      <c r="E5140" s="31" t="s">
        <v>52</v>
      </c>
      <c r="F5140" s="31" t="s">
        <v>120</v>
      </c>
      <c r="G5140" s="31" t="n">
        <v>15</v>
      </c>
      <c r="H5140" s="41" t="n">
        <v>3.1</v>
      </c>
      <c r="I5140" s="31" t="s">
        <v>149</v>
      </c>
      <c r="J5140" s="31" t="n">
        <v>4</v>
      </c>
      <c r="K5140" s="31" t="s">
        <v>150</v>
      </c>
      <c r="L5140" s="45" t="n">
        <f aca="false">DATE(YEAR(B5140),MONTH(B5140),1)</f>
        <v>46266</v>
      </c>
      <c r="M5140" s="31" t="n">
        <f aca="false">WEEKDAY(B5140,2)</f>
        <v>2</v>
      </c>
      <c r="N5140" s="31" t="str">
        <f aca="false">IF(G5140&lt;=INDEX(Assumptions!$B$15:$B$18,MATCH(E5140,Assumptions!$A$15:$A$18,0)),"Yes","No")</f>
        <v>Yes</v>
      </c>
      <c r="O5140" s="31" t="str">
        <f aca="false">IF(H5140="","Open",IF(H5140&lt;=INDEX(Assumptions!$C$15:$C$18,MATCH(E5140,Assumptions!$A$15:$A$18,0)),"Yes","No"))</f>
        <v>Yes</v>
      </c>
    </row>
    <row r="5141" customFormat="false" ht="15" hidden="false" customHeight="false" outlineLevel="0" collapsed="false">
      <c r="A5141" s="31" t="s">
        <v>5291</v>
      </c>
      <c r="B5141" s="44" t="n">
        <v>46273</v>
      </c>
      <c r="C5141" s="31" t="s">
        <v>59</v>
      </c>
      <c r="D5141" s="31" t="s">
        <v>69</v>
      </c>
      <c r="E5141" s="31" t="s">
        <v>51</v>
      </c>
      <c r="F5141" s="31" t="s">
        <v>135</v>
      </c>
      <c r="G5141" s="31" t="n">
        <v>20</v>
      </c>
      <c r="H5141" s="41" t="n">
        <v>54.8</v>
      </c>
      <c r="I5141" s="31" t="s">
        <v>149</v>
      </c>
      <c r="J5141" s="31" t="n">
        <v>4</v>
      </c>
      <c r="K5141" s="31" t="s">
        <v>150</v>
      </c>
      <c r="L5141" s="45" t="n">
        <f aca="false">DATE(YEAR(B5141),MONTH(B5141),1)</f>
        <v>46266</v>
      </c>
      <c r="M5141" s="31" t="n">
        <f aca="false">WEEKDAY(B5141,2)</f>
        <v>2</v>
      </c>
      <c r="N5141" s="31" t="str">
        <f aca="false">IF(G5141&lt;=INDEX(Assumptions!$B$15:$B$18,MATCH(E5141,Assumptions!$A$15:$A$18,0)),"Yes","No")</f>
        <v>Yes</v>
      </c>
      <c r="O5141" s="31" t="str">
        <f aca="false">IF(H5141="","Open",IF(H5141&lt;=INDEX(Assumptions!$C$15:$C$18,MATCH(E5141,Assumptions!$A$15:$A$18,0)),"Yes","No"))</f>
        <v>No</v>
      </c>
    </row>
    <row r="5142" customFormat="false" ht="15" hidden="false" customHeight="false" outlineLevel="0" collapsed="false">
      <c r="A5142" s="31" t="s">
        <v>5292</v>
      </c>
      <c r="B5142" s="44" t="n">
        <v>46273</v>
      </c>
      <c r="C5142" s="31" t="s">
        <v>57</v>
      </c>
      <c r="D5142" s="31" t="s">
        <v>69</v>
      </c>
      <c r="E5142" s="31" t="s">
        <v>52</v>
      </c>
      <c r="F5142" s="31" t="s">
        <v>123</v>
      </c>
      <c r="G5142" s="31" t="n">
        <v>2</v>
      </c>
      <c r="H5142" s="41" t="n">
        <v>12.2</v>
      </c>
      <c r="I5142" s="31" t="s">
        <v>149</v>
      </c>
      <c r="J5142" s="31" t="n">
        <v>4</v>
      </c>
      <c r="K5142" s="31" t="s">
        <v>150</v>
      </c>
      <c r="L5142" s="45" t="n">
        <f aca="false">DATE(YEAR(B5142),MONTH(B5142),1)</f>
        <v>46266</v>
      </c>
      <c r="M5142" s="31" t="n">
        <f aca="false">WEEKDAY(B5142,2)</f>
        <v>2</v>
      </c>
      <c r="N5142" s="31" t="str">
        <f aca="false">IF(G5142&lt;=INDEX(Assumptions!$B$15:$B$18,MATCH(E5142,Assumptions!$A$15:$A$18,0)),"Yes","No")</f>
        <v>Yes</v>
      </c>
      <c r="O5142" s="31" t="str">
        <f aca="false">IF(H5142="","Open",IF(H5142&lt;=INDEX(Assumptions!$C$15:$C$18,MATCH(E5142,Assumptions!$A$15:$A$18,0)),"Yes","No"))</f>
        <v>Yes</v>
      </c>
    </row>
    <row r="5143" customFormat="false" ht="15" hidden="false" customHeight="false" outlineLevel="0" collapsed="false">
      <c r="A5143" s="31" t="s">
        <v>5293</v>
      </c>
      <c r="B5143" s="44" t="n">
        <v>46274</v>
      </c>
      <c r="C5143" s="31" t="s">
        <v>58</v>
      </c>
      <c r="D5143" s="31" t="s">
        <v>65</v>
      </c>
      <c r="E5143" s="31" t="s">
        <v>52</v>
      </c>
      <c r="F5143" s="31" t="s">
        <v>122</v>
      </c>
      <c r="G5143" s="31" t="n">
        <v>12</v>
      </c>
      <c r="H5143" s="41" t="n">
        <v>18.8</v>
      </c>
      <c r="I5143" s="31" t="s">
        <v>149</v>
      </c>
      <c r="J5143" s="31"/>
      <c r="K5143" s="31" t="s">
        <v>150</v>
      </c>
      <c r="L5143" s="45" t="n">
        <f aca="false">DATE(YEAR(B5143),MONTH(B5143),1)</f>
        <v>46266</v>
      </c>
      <c r="M5143" s="31" t="n">
        <f aca="false">WEEKDAY(B5143,2)</f>
        <v>3</v>
      </c>
      <c r="N5143" s="31" t="str">
        <f aca="false">IF(G5143&lt;=INDEX(Assumptions!$B$15:$B$18,MATCH(E5143,Assumptions!$A$15:$A$18,0)),"Yes","No")</f>
        <v>Yes</v>
      </c>
      <c r="O5143" s="31" t="str">
        <f aca="false">IF(H5143="","Open",IF(H5143&lt;=INDEX(Assumptions!$C$15:$C$18,MATCH(E5143,Assumptions!$A$15:$A$18,0)),"Yes","No"))</f>
        <v>Yes</v>
      </c>
    </row>
    <row r="5144" customFormat="false" ht="15" hidden="false" customHeight="false" outlineLevel="0" collapsed="false">
      <c r="A5144" s="31" t="s">
        <v>5294</v>
      </c>
      <c r="B5144" s="44" t="n">
        <v>46274</v>
      </c>
      <c r="C5144" s="31" t="s">
        <v>60</v>
      </c>
      <c r="D5144" s="31" t="s">
        <v>67</v>
      </c>
      <c r="E5144" s="31" t="s">
        <v>51</v>
      </c>
      <c r="F5144" s="31" t="s">
        <v>137</v>
      </c>
      <c r="G5144" s="31" t="n">
        <v>1</v>
      </c>
      <c r="H5144" s="41" t="n">
        <v>27</v>
      </c>
      <c r="I5144" s="31" t="s">
        <v>149</v>
      </c>
      <c r="J5144" s="31" t="n">
        <v>5</v>
      </c>
      <c r="K5144" s="31" t="s">
        <v>150</v>
      </c>
      <c r="L5144" s="45" t="n">
        <f aca="false">DATE(YEAR(B5144),MONTH(B5144),1)</f>
        <v>46266</v>
      </c>
      <c r="M5144" s="31" t="n">
        <f aca="false">WEEKDAY(B5144,2)</f>
        <v>3</v>
      </c>
      <c r="N5144" s="31" t="str">
        <f aca="false">IF(G5144&lt;=INDEX(Assumptions!$B$15:$B$18,MATCH(E5144,Assumptions!$A$15:$A$18,0)),"Yes","No")</f>
        <v>Yes</v>
      </c>
      <c r="O5144" s="31" t="str">
        <f aca="false">IF(H5144="","Open",IF(H5144&lt;=INDEX(Assumptions!$C$15:$C$18,MATCH(E5144,Assumptions!$A$15:$A$18,0)),"Yes","No"))</f>
        <v>No</v>
      </c>
    </row>
    <row r="5145" customFormat="false" ht="15" hidden="false" customHeight="false" outlineLevel="0" collapsed="false">
      <c r="A5145" s="31" t="s">
        <v>5295</v>
      </c>
      <c r="B5145" s="44" t="n">
        <v>46274</v>
      </c>
      <c r="C5145" s="31" t="s">
        <v>59</v>
      </c>
      <c r="D5145" s="31" t="s">
        <v>69</v>
      </c>
      <c r="E5145" s="31" t="s">
        <v>51</v>
      </c>
      <c r="F5145" s="31" t="s">
        <v>119</v>
      </c>
      <c r="G5145" s="31" t="n">
        <v>55</v>
      </c>
      <c r="H5145" s="41" t="n">
        <v>23.2</v>
      </c>
      <c r="I5145" s="31" t="s">
        <v>149</v>
      </c>
      <c r="J5145" s="31" t="n">
        <v>5</v>
      </c>
      <c r="K5145" s="31" t="s">
        <v>150</v>
      </c>
      <c r="L5145" s="45" t="n">
        <f aca="false">DATE(YEAR(B5145),MONTH(B5145),1)</f>
        <v>46266</v>
      </c>
      <c r="M5145" s="31" t="n">
        <f aca="false">WEEKDAY(B5145,2)</f>
        <v>3</v>
      </c>
      <c r="N5145" s="31" t="str">
        <f aca="false">IF(G5145&lt;=INDEX(Assumptions!$B$15:$B$18,MATCH(E5145,Assumptions!$A$15:$A$18,0)),"Yes","No")</f>
        <v>Yes</v>
      </c>
      <c r="O5145" s="31" t="str">
        <f aca="false">IF(H5145="","Open",IF(H5145&lt;=INDEX(Assumptions!$C$15:$C$18,MATCH(E5145,Assumptions!$A$15:$A$18,0)),"Yes","No"))</f>
        <v>Yes</v>
      </c>
    </row>
    <row r="5146" customFormat="false" ht="15" hidden="false" customHeight="false" outlineLevel="0" collapsed="false">
      <c r="A5146" s="31" t="s">
        <v>5296</v>
      </c>
      <c r="B5146" s="44" t="n">
        <v>46274</v>
      </c>
      <c r="C5146" s="31" t="s">
        <v>60</v>
      </c>
      <c r="D5146" s="31" t="s">
        <v>65</v>
      </c>
      <c r="E5146" s="31" t="s">
        <v>51</v>
      </c>
      <c r="F5146" s="31" t="s">
        <v>129</v>
      </c>
      <c r="G5146" s="31" t="n">
        <v>2</v>
      </c>
      <c r="H5146" s="41" t="n">
        <v>9.1</v>
      </c>
      <c r="I5146" s="31" t="s">
        <v>149</v>
      </c>
      <c r="J5146" s="31"/>
      <c r="K5146" s="31" t="s">
        <v>150</v>
      </c>
      <c r="L5146" s="45" t="n">
        <f aca="false">DATE(YEAR(B5146),MONTH(B5146),1)</f>
        <v>46266</v>
      </c>
      <c r="M5146" s="31" t="n">
        <f aca="false">WEEKDAY(B5146,2)</f>
        <v>3</v>
      </c>
      <c r="N5146" s="31" t="str">
        <f aca="false">IF(G5146&lt;=INDEX(Assumptions!$B$15:$B$18,MATCH(E5146,Assumptions!$A$15:$A$18,0)),"Yes","No")</f>
        <v>Yes</v>
      </c>
      <c r="O5146" s="31" t="str">
        <f aca="false">IF(H5146="","Open",IF(H5146&lt;=INDEX(Assumptions!$C$15:$C$18,MATCH(E5146,Assumptions!$A$15:$A$18,0)),"Yes","No"))</f>
        <v>Yes</v>
      </c>
    </row>
    <row r="5147" customFormat="false" ht="15" hidden="false" customHeight="false" outlineLevel="0" collapsed="false">
      <c r="A5147" s="31" t="s">
        <v>5297</v>
      </c>
      <c r="B5147" s="44" t="n">
        <v>46274</v>
      </c>
      <c r="C5147" s="31" t="s">
        <v>58</v>
      </c>
      <c r="D5147" s="31" t="s">
        <v>67</v>
      </c>
      <c r="E5147" s="31" t="s">
        <v>50</v>
      </c>
      <c r="F5147" s="31" t="s">
        <v>123</v>
      </c>
      <c r="G5147" s="31" t="n">
        <v>4</v>
      </c>
      <c r="H5147" s="41" t="n">
        <v>25.2</v>
      </c>
      <c r="I5147" s="31" t="s">
        <v>149</v>
      </c>
      <c r="J5147" s="31"/>
      <c r="K5147" s="31" t="s">
        <v>150</v>
      </c>
      <c r="L5147" s="45" t="n">
        <f aca="false">DATE(YEAR(B5147),MONTH(B5147),1)</f>
        <v>46266</v>
      </c>
      <c r="M5147" s="31" t="n">
        <f aca="false">WEEKDAY(B5147,2)</f>
        <v>3</v>
      </c>
      <c r="N5147" s="31" t="str">
        <f aca="false">IF(G5147&lt;=INDEX(Assumptions!$B$15:$B$18,MATCH(E5147,Assumptions!$A$15:$A$18,0)),"Yes","No")</f>
        <v>Yes</v>
      </c>
      <c r="O5147" s="31" t="str">
        <f aca="false">IF(H5147="","Open",IF(H5147&lt;=INDEX(Assumptions!$C$15:$C$18,MATCH(E5147,Assumptions!$A$15:$A$18,0)),"Yes","No"))</f>
        <v>No</v>
      </c>
    </row>
    <row r="5148" customFormat="false" ht="15" hidden="false" customHeight="false" outlineLevel="0" collapsed="false">
      <c r="A5148" s="31" t="s">
        <v>5298</v>
      </c>
      <c r="B5148" s="44" t="n">
        <v>46274</v>
      </c>
      <c r="C5148" s="31" t="s">
        <v>58</v>
      </c>
      <c r="D5148" s="31" t="s">
        <v>67</v>
      </c>
      <c r="E5148" s="31" t="s">
        <v>51</v>
      </c>
      <c r="F5148" s="31" t="s">
        <v>121</v>
      </c>
      <c r="G5148" s="31" t="n">
        <v>12</v>
      </c>
      <c r="H5148" s="41" t="n">
        <v>6.8</v>
      </c>
      <c r="I5148" s="31" t="s">
        <v>149</v>
      </c>
      <c r="J5148" s="31"/>
      <c r="K5148" s="31" t="s">
        <v>150</v>
      </c>
      <c r="L5148" s="45" t="n">
        <f aca="false">DATE(YEAR(B5148),MONTH(B5148),1)</f>
        <v>46266</v>
      </c>
      <c r="M5148" s="31" t="n">
        <f aca="false">WEEKDAY(B5148,2)</f>
        <v>3</v>
      </c>
      <c r="N5148" s="31" t="str">
        <f aca="false">IF(G5148&lt;=INDEX(Assumptions!$B$15:$B$18,MATCH(E5148,Assumptions!$A$15:$A$18,0)),"Yes","No")</f>
        <v>Yes</v>
      </c>
      <c r="O5148" s="31" t="str">
        <f aca="false">IF(H5148="","Open",IF(H5148&lt;=INDEX(Assumptions!$C$15:$C$18,MATCH(E5148,Assumptions!$A$15:$A$18,0)),"Yes","No"))</f>
        <v>Yes</v>
      </c>
    </row>
    <row r="5149" customFormat="false" ht="15" hidden="false" customHeight="false" outlineLevel="0" collapsed="false">
      <c r="A5149" s="31" t="s">
        <v>5299</v>
      </c>
      <c r="B5149" s="44" t="n">
        <v>46274</v>
      </c>
      <c r="C5149" s="31" t="s">
        <v>59</v>
      </c>
      <c r="D5149" s="31" t="s">
        <v>66</v>
      </c>
      <c r="E5149" s="31" t="s">
        <v>51</v>
      </c>
      <c r="F5149" s="31" t="s">
        <v>123</v>
      </c>
      <c r="G5149" s="31" t="n">
        <v>18</v>
      </c>
      <c r="H5149" s="41" t="n">
        <v>10.6</v>
      </c>
      <c r="I5149" s="31" t="s">
        <v>149</v>
      </c>
      <c r="J5149" s="31"/>
      <c r="K5149" s="31" t="s">
        <v>153</v>
      </c>
      <c r="L5149" s="45" t="n">
        <f aca="false">DATE(YEAR(B5149),MONTH(B5149),1)</f>
        <v>46266</v>
      </c>
      <c r="M5149" s="31" t="n">
        <f aca="false">WEEKDAY(B5149,2)</f>
        <v>3</v>
      </c>
      <c r="N5149" s="31" t="str">
        <f aca="false">IF(G5149&lt;=INDEX(Assumptions!$B$15:$B$18,MATCH(E5149,Assumptions!$A$15:$A$18,0)),"Yes","No")</f>
        <v>Yes</v>
      </c>
      <c r="O5149" s="31" t="str">
        <f aca="false">IF(H5149="","Open",IF(H5149&lt;=INDEX(Assumptions!$C$15:$C$18,MATCH(E5149,Assumptions!$A$15:$A$18,0)),"Yes","No"))</f>
        <v>Yes</v>
      </c>
    </row>
    <row r="5150" customFormat="false" ht="15" hidden="false" customHeight="false" outlineLevel="0" collapsed="false">
      <c r="A5150" s="31" t="s">
        <v>5300</v>
      </c>
      <c r="B5150" s="44" t="n">
        <v>46274</v>
      </c>
      <c r="C5150" s="31" t="s">
        <v>57</v>
      </c>
      <c r="D5150" s="31" t="s">
        <v>67</v>
      </c>
      <c r="E5150" s="31" t="s">
        <v>50</v>
      </c>
      <c r="F5150" s="31" t="s">
        <v>117</v>
      </c>
      <c r="G5150" s="31" t="n">
        <v>2</v>
      </c>
      <c r="H5150" s="41" t="n">
        <v>6.7</v>
      </c>
      <c r="I5150" s="31" t="s">
        <v>149</v>
      </c>
      <c r="J5150" s="31" t="n">
        <v>5</v>
      </c>
      <c r="K5150" s="31" t="s">
        <v>150</v>
      </c>
      <c r="L5150" s="45" t="n">
        <f aca="false">DATE(YEAR(B5150),MONTH(B5150),1)</f>
        <v>46266</v>
      </c>
      <c r="M5150" s="31" t="n">
        <f aca="false">WEEKDAY(B5150,2)</f>
        <v>3</v>
      </c>
      <c r="N5150" s="31" t="str">
        <f aca="false">IF(G5150&lt;=INDEX(Assumptions!$B$15:$B$18,MATCH(E5150,Assumptions!$A$15:$A$18,0)),"Yes","No")</f>
        <v>Yes</v>
      </c>
      <c r="O5150" s="31" t="str">
        <f aca="false">IF(H5150="","Open",IF(H5150&lt;=INDEX(Assumptions!$C$15:$C$18,MATCH(E5150,Assumptions!$A$15:$A$18,0)),"Yes","No"))</f>
        <v>Yes</v>
      </c>
    </row>
    <row r="5151" customFormat="false" ht="15" hidden="false" customHeight="false" outlineLevel="0" collapsed="false">
      <c r="A5151" s="31" t="s">
        <v>5301</v>
      </c>
      <c r="B5151" s="44" t="n">
        <v>46274</v>
      </c>
      <c r="C5151" s="31" t="s">
        <v>58</v>
      </c>
      <c r="D5151" s="31" t="s">
        <v>65</v>
      </c>
      <c r="E5151" s="31" t="s">
        <v>52</v>
      </c>
      <c r="F5151" s="31" t="s">
        <v>134</v>
      </c>
      <c r="G5151" s="31" t="n">
        <v>62</v>
      </c>
      <c r="H5151" s="41" t="n">
        <v>45.5</v>
      </c>
      <c r="I5151" s="31" t="s">
        <v>149</v>
      </c>
      <c r="J5151" s="31" t="n">
        <v>4</v>
      </c>
      <c r="K5151" s="31" t="s">
        <v>150</v>
      </c>
      <c r="L5151" s="45" t="n">
        <f aca="false">DATE(YEAR(B5151),MONTH(B5151),1)</f>
        <v>46266</v>
      </c>
      <c r="M5151" s="31" t="n">
        <f aca="false">WEEKDAY(B5151,2)</f>
        <v>3</v>
      </c>
      <c r="N5151" s="31" t="str">
        <f aca="false">IF(G5151&lt;=INDEX(Assumptions!$B$15:$B$18,MATCH(E5151,Assumptions!$A$15:$A$18,0)),"Yes","No")</f>
        <v>Yes</v>
      </c>
      <c r="O5151" s="31" t="str">
        <f aca="false">IF(H5151="","Open",IF(H5151&lt;=INDEX(Assumptions!$C$15:$C$18,MATCH(E5151,Assumptions!$A$15:$A$18,0)),"Yes","No"))</f>
        <v>Yes</v>
      </c>
    </row>
    <row r="5152" customFormat="false" ht="15" hidden="false" customHeight="false" outlineLevel="0" collapsed="false">
      <c r="A5152" s="31" t="s">
        <v>5302</v>
      </c>
      <c r="B5152" s="44" t="n">
        <v>46274</v>
      </c>
      <c r="C5152" s="31" t="s">
        <v>60</v>
      </c>
      <c r="D5152" s="31" t="s">
        <v>66</v>
      </c>
      <c r="E5152" s="31" t="s">
        <v>52</v>
      </c>
      <c r="F5152" s="31" t="s">
        <v>136</v>
      </c>
      <c r="G5152" s="31" t="n">
        <v>2</v>
      </c>
      <c r="H5152" s="41" t="n">
        <v>5.1</v>
      </c>
      <c r="I5152" s="31" t="s">
        <v>149</v>
      </c>
      <c r="J5152" s="31"/>
      <c r="K5152" s="31" t="s">
        <v>150</v>
      </c>
      <c r="L5152" s="45" t="n">
        <f aca="false">DATE(YEAR(B5152),MONTH(B5152),1)</f>
        <v>46266</v>
      </c>
      <c r="M5152" s="31" t="n">
        <f aca="false">WEEKDAY(B5152,2)</f>
        <v>3</v>
      </c>
      <c r="N5152" s="31" t="str">
        <f aca="false">IF(G5152&lt;=INDEX(Assumptions!$B$15:$B$18,MATCH(E5152,Assumptions!$A$15:$A$18,0)),"Yes","No")</f>
        <v>Yes</v>
      </c>
      <c r="O5152" s="31" t="str">
        <f aca="false">IF(H5152="","Open",IF(H5152&lt;=INDEX(Assumptions!$C$15:$C$18,MATCH(E5152,Assumptions!$A$15:$A$18,0)),"Yes","No"))</f>
        <v>Yes</v>
      </c>
    </row>
    <row r="5153" customFormat="false" ht="15" hidden="false" customHeight="false" outlineLevel="0" collapsed="false">
      <c r="A5153" s="31" t="s">
        <v>5303</v>
      </c>
      <c r="B5153" s="44" t="n">
        <v>46274</v>
      </c>
      <c r="C5153" s="31" t="s">
        <v>60</v>
      </c>
      <c r="D5153" s="31" t="s">
        <v>67</v>
      </c>
      <c r="E5153" s="31" t="s">
        <v>50</v>
      </c>
      <c r="F5153" s="31" t="s">
        <v>136</v>
      </c>
      <c r="G5153" s="31" t="n">
        <v>1</v>
      </c>
      <c r="H5153" s="41" t="n">
        <v>21.5</v>
      </c>
      <c r="I5153" s="31" t="s">
        <v>64</v>
      </c>
      <c r="J5153" s="31"/>
      <c r="K5153" s="31" t="s">
        <v>150</v>
      </c>
      <c r="L5153" s="45" t="n">
        <f aca="false">DATE(YEAR(B5153),MONTH(B5153),1)</f>
        <v>46266</v>
      </c>
      <c r="M5153" s="31" t="n">
        <f aca="false">WEEKDAY(B5153,2)</f>
        <v>3</v>
      </c>
      <c r="N5153" s="31" t="str">
        <f aca="false">IF(G5153&lt;=INDEX(Assumptions!$B$15:$B$18,MATCH(E5153,Assumptions!$A$15:$A$18,0)),"Yes","No")</f>
        <v>Yes</v>
      </c>
      <c r="O5153" s="31" t="str">
        <f aca="false">IF(H5153="","Open",IF(H5153&lt;=INDEX(Assumptions!$C$15:$C$18,MATCH(E5153,Assumptions!$A$15:$A$18,0)),"Yes","No"))</f>
        <v>No</v>
      </c>
    </row>
    <row r="5154" customFormat="false" ht="15" hidden="false" customHeight="false" outlineLevel="0" collapsed="false">
      <c r="A5154" s="31" t="s">
        <v>5304</v>
      </c>
      <c r="B5154" s="44" t="n">
        <v>46274</v>
      </c>
      <c r="C5154" s="31" t="s">
        <v>60</v>
      </c>
      <c r="D5154" s="31" t="s">
        <v>68</v>
      </c>
      <c r="E5154" s="31" t="s">
        <v>51</v>
      </c>
      <c r="F5154" s="31" t="s">
        <v>117</v>
      </c>
      <c r="G5154" s="31" t="n">
        <v>2</v>
      </c>
      <c r="H5154" s="41" t="n">
        <v>5.2</v>
      </c>
      <c r="I5154" s="31" t="s">
        <v>149</v>
      </c>
      <c r="J5154" s="31" t="n">
        <v>5</v>
      </c>
      <c r="K5154" s="31" t="s">
        <v>150</v>
      </c>
      <c r="L5154" s="45" t="n">
        <f aca="false">DATE(YEAR(B5154),MONTH(B5154),1)</f>
        <v>46266</v>
      </c>
      <c r="M5154" s="31" t="n">
        <f aca="false">WEEKDAY(B5154,2)</f>
        <v>3</v>
      </c>
      <c r="N5154" s="31" t="str">
        <f aca="false">IF(G5154&lt;=INDEX(Assumptions!$B$15:$B$18,MATCH(E5154,Assumptions!$A$15:$A$18,0)),"Yes","No")</f>
        <v>Yes</v>
      </c>
      <c r="O5154" s="31" t="str">
        <f aca="false">IF(H5154="","Open",IF(H5154&lt;=INDEX(Assumptions!$C$15:$C$18,MATCH(E5154,Assumptions!$A$15:$A$18,0)),"Yes","No"))</f>
        <v>Yes</v>
      </c>
    </row>
    <row r="5155" customFormat="false" ht="15" hidden="false" customHeight="false" outlineLevel="0" collapsed="false">
      <c r="A5155" s="31" t="s">
        <v>5305</v>
      </c>
      <c r="B5155" s="44" t="n">
        <v>46274</v>
      </c>
      <c r="C5155" s="31" t="s">
        <v>57</v>
      </c>
      <c r="D5155" s="31" t="s">
        <v>68</v>
      </c>
      <c r="E5155" s="31" t="s">
        <v>51</v>
      </c>
      <c r="F5155" s="31" t="s">
        <v>135</v>
      </c>
      <c r="G5155" s="31" t="n">
        <v>5</v>
      </c>
      <c r="H5155" s="41" t="n">
        <v>5.8</v>
      </c>
      <c r="I5155" s="31" t="s">
        <v>149</v>
      </c>
      <c r="J5155" s="31"/>
      <c r="K5155" s="31" t="s">
        <v>150</v>
      </c>
      <c r="L5155" s="45" t="n">
        <f aca="false">DATE(YEAR(B5155),MONTH(B5155),1)</f>
        <v>46266</v>
      </c>
      <c r="M5155" s="31" t="n">
        <f aca="false">WEEKDAY(B5155,2)</f>
        <v>3</v>
      </c>
      <c r="N5155" s="31" t="str">
        <f aca="false">IF(G5155&lt;=INDEX(Assumptions!$B$15:$B$18,MATCH(E5155,Assumptions!$A$15:$A$18,0)),"Yes","No")</f>
        <v>Yes</v>
      </c>
      <c r="O5155" s="31" t="str">
        <f aca="false">IF(H5155="","Open",IF(H5155&lt;=INDEX(Assumptions!$C$15:$C$18,MATCH(E5155,Assumptions!$A$15:$A$18,0)),"Yes","No"))</f>
        <v>Yes</v>
      </c>
    </row>
    <row r="5156" customFormat="false" ht="15" hidden="false" customHeight="false" outlineLevel="0" collapsed="false">
      <c r="A5156" s="31" t="s">
        <v>5306</v>
      </c>
      <c r="B5156" s="44" t="n">
        <v>46274</v>
      </c>
      <c r="C5156" s="31" t="s">
        <v>60</v>
      </c>
      <c r="D5156" s="31" t="s">
        <v>65</v>
      </c>
      <c r="E5156" s="31" t="s">
        <v>51</v>
      </c>
      <c r="F5156" s="31" t="s">
        <v>129</v>
      </c>
      <c r="G5156" s="31" t="n">
        <v>1</v>
      </c>
      <c r="H5156" s="41" t="n">
        <v>3.1</v>
      </c>
      <c r="I5156" s="31" t="s">
        <v>149</v>
      </c>
      <c r="J5156" s="31"/>
      <c r="K5156" s="31" t="s">
        <v>150</v>
      </c>
      <c r="L5156" s="45" t="n">
        <f aca="false">DATE(YEAR(B5156),MONTH(B5156),1)</f>
        <v>46266</v>
      </c>
      <c r="M5156" s="31" t="n">
        <f aca="false">WEEKDAY(B5156,2)</f>
        <v>3</v>
      </c>
      <c r="N5156" s="31" t="str">
        <f aca="false">IF(G5156&lt;=INDEX(Assumptions!$B$15:$B$18,MATCH(E5156,Assumptions!$A$15:$A$18,0)),"Yes","No")</f>
        <v>Yes</v>
      </c>
      <c r="O5156" s="31" t="str">
        <f aca="false">IF(H5156="","Open",IF(H5156&lt;=INDEX(Assumptions!$C$15:$C$18,MATCH(E5156,Assumptions!$A$15:$A$18,0)),"Yes","No"))</f>
        <v>Yes</v>
      </c>
    </row>
    <row r="5157" customFormat="false" ht="15" hidden="false" customHeight="false" outlineLevel="0" collapsed="false">
      <c r="A5157" s="31" t="s">
        <v>5307</v>
      </c>
      <c r="B5157" s="44" t="n">
        <v>46274</v>
      </c>
      <c r="C5157" s="31" t="s">
        <v>57</v>
      </c>
      <c r="D5157" s="31" t="s">
        <v>66</v>
      </c>
      <c r="E5157" s="31" t="s">
        <v>51</v>
      </c>
      <c r="F5157" s="31" t="s">
        <v>130</v>
      </c>
      <c r="G5157" s="31" t="n">
        <v>2</v>
      </c>
      <c r="H5157" s="41" t="n">
        <v>7.1</v>
      </c>
      <c r="I5157" s="31" t="s">
        <v>149</v>
      </c>
      <c r="J5157" s="31" t="n">
        <v>5</v>
      </c>
      <c r="K5157" s="31" t="s">
        <v>150</v>
      </c>
      <c r="L5157" s="45" t="n">
        <f aca="false">DATE(YEAR(B5157),MONTH(B5157),1)</f>
        <v>46266</v>
      </c>
      <c r="M5157" s="31" t="n">
        <f aca="false">WEEKDAY(B5157,2)</f>
        <v>3</v>
      </c>
      <c r="N5157" s="31" t="str">
        <f aca="false">IF(G5157&lt;=INDEX(Assumptions!$B$15:$B$18,MATCH(E5157,Assumptions!$A$15:$A$18,0)),"Yes","No")</f>
        <v>Yes</v>
      </c>
      <c r="O5157" s="31" t="str">
        <f aca="false">IF(H5157="","Open",IF(H5157&lt;=INDEX(Assumptions!$C$15:$C$18,MATCH(E5157,Assumptions!$A$15:$A$18,0)),"Yes","No"))</f>
        <v>Yes</v>
      </c>
    </row>
    <row r="5158" customFormat="false" ht="15" hidden="false" customHeight="false" outlineLevel="0" collapsed="false">
      <c r="A5158" s="31" t="s">
        <v>5308</v>
      </c>
      <c r="B5158" s="44" t="n">
        <v>46274</v>
      </c>
      <c r="C5158" s="31" t="s">
        <v>60</v>
      </c>
      <c r="D5158" s="31" t="s">
        <v>65</v>
      </c>
      <c r="E5158" s="31" t="s">
        <v>51</v>
      </c>
      <c r="F5158" s="31" t="s">
        <v>120</v>
      </c>
      <c r="G5158" s="31" t="n">
        <v>6</v>
      </c>
      <c r="H5158" s="41" t="n">
        <v>59</v>
      </c>
      <c r="I5158" s="31" t="s">
        <v>149</v>
      </c>
      <c r="J5158" s="31" t="n">
        <v>4</v>
      </c>
      <c r="K5158" s="31" t="s">
        <v>150</v>
      </c>
      <c r="L5158" s="45" t="n">
        <f aca="false">DATE(YEAR(B5158),MONTH(B5158),1)</f>
        <v>46266</v>
      </c>
      <c r="M5158" s="31" t="n">
        <f aca="false">WEEKDAY(B5158,2)</f>
        <v>3</v>
      </c>
      <c r="N5158" s="31" t="str">
        <f aca="false">IF(G5158&lt;=INDEX(Assumptions!$B$15:$B$18,MATCH(E5158,Assumptions!$A$15:$A$18,0)),"Yes","No")</f>
        <v>Yes</v>
      </c>
      <c r="O5158" s="31" t="str">
        <f aca="false">IF(H5158="","Open",IF(H5158&lt;=INDEX(Assumptions!$C$15:$C$18,MATCH(E5158,Assumptions!$A$15:$A$18,0)),"Yes","No"))</f>
        <v>No</v>
      </c>
    </row>
    <row r="5159" customFormat="false" ht="15" hidden="false" customHeight="false" outlineLevel="0" collapsed="false">
      <c r="A5159" s="31" t="s">
        <v>5309</v>
      </c>
      <c r="B5159" s="44" t="n">
        <v>46274</v>
      </c>
      <c r="C5159" s="31" t="s">
        <v>57</v>
      </c>
      <c r="D5159" s="31" t="s">
        <v>65</v>
      </c>
      <c r="E5159" s="31" t="s">
        <v>49</v>
      </c>
      <c r="F5159" s="31" t="s">
        <v>123</v>
      </c>
      <c r="G5159" s="31" t="n">
        <v>1</v>
      </c>
      <c r="H5159" s="41" t="n">
        <v>3.4</v>
      </c>
      <c r="I5159" s="31" t="s">
        <v>149</v>
      </c>
      <c r="J5159" s="31"/>
      <c r="K5159" s="31" t="s">
        <v>150</v>
      </c>
      <c r="L5159" s="45" t="n">
        <f aca="false">DATE(YEAR(B5159),MONTH(B5159),1)</f>
        <v>46266</v>
      </c>
      <c r="M5159" s="31" t="n">
        <f aca="false">WEEKDAY(B5159,2)</f>
        <v>3</v>
      </c>
      <c r="N5159" s="31" t="str">
        <f aca="false">IF(G5159&lt;=INDEX(Assumptions!$B$15:$B$18,MATCH(E5159,Assumptions!$A$15:$A$18,0)),"Yes","No")</f>
        <v>Yes</v>
      </c>
      <c r="O5159" s="31" t="str">
        <f aca="false">IF(H5159="","Open",IF(H5159&lt;=INDEX(Assumptions!$C$15:$C$18,MATCH(E5159,Assumptions!$A$15:$A$18,0)),"Yes","No"))</f>
        <v>Yes</v>
      </c>
    </row>
    <row r="5160" customFormat="false" ht="15" hidden="false" customHeight="false" outlineLevel="0" collapsed="false">
      <c r="A5160" s="31" t="s">
        <v>5310</v>
      </c>
      <c r="B5160" s="44" t="n">
        <v>46274</v>
      </c>
      <c r="C5160" s="31" t="s">
        <v>58</v>
      </c>
      <c r="D5160" s="31" t="s">
        <v>67</v>
      </c>
      <c r="E5160" s="31" t="s">
        <v>51</v>
      </c>
      <c r="F5160" s="31" t="s">
        <v>130</v>
      </c>
      <c r="G5160" s="31" t="n">
        <v>15</v>
      </c>
      <c r="H5160" s="41" t="n">
        <v>17</v>
      </c>
      <c r="I5160" s="31" t="s">
        <v>149</v>
      </c>
      <c r="J5160" s="31" t="n">
        <v>4</v>
      </c>
      <c r="K5160" s="31" t="s">
        <v>150</v>
      </c>
      <c r="L5160" s="45" t="n">
        <f aca="false">DATE(YEAR(B5160),MONTH(B5160),1)</f>
        <v>46266</v>
      </c>
      <c r="M5160" s="31" t="n">
        <f aca="false">WEEKDAY(B5160,2)</f>
        <v>3</v>
      </c>
      <c r="N5160" s="31" t="str">
        <f aca="false">IF(G5160&lt;=INDEX(Assumptions!$B$15:$B$18,MATCH(E5160,Assumptions!$A$15:$A$18,0)),"Yes","No")</f>
        <v>Yes</v>
      </c>
      <c r="O5160" s="31" t="str">
        <f aca="false">IF(H5160="","Open",IF(H5160&lt;=INDEX(Assumptions!$C$15:$C$18,MATCH(E5160,Assumptions!$A$15:$A$18,0)),"Yes","No"))</f>
        <v>Yes</v>
      </c>
    </row>
    <row r="5161" customFormat="false" ht="15" hidden="false" customHeight="false" outlineLevel="0" collapsed="false">
      <c r="A5161" s="31" t="s">
        <v>5311</v>
      </c>
      <c r="B5161" s="44" t="n">
        <v>46274</v>
      </c>
      <c r="C5161" s="31" t="s">
        <v>58</v>
      </c>
      <c r="D5161" s="31" t="s">
        <v>68</v>
      </c>
      <c r="E5161" s="31" t="s">
        <v>51</v>
      </c>
      <c r="F5161" s="31" t="s">
        <v>122</v>
      </c>
      <c r="G5161" s="31" t="n">
        <v>19</v>
      </c>
      <c r="H5161" s="41" t="n">
        <v>2.8</v>
      </c>
      <c r="I5161" s="31" t="s">
        <v>149</v>
      </c>
      <c r="J5161" s="31" t="n">
        <v>5</v>
      </c>
      <c r="K5161" s="31" t="s">
        <v>150</v>
      </c>
      <c r="L5161" s="45" t="n">
        <f aca="false">DATE(YEAR(B5161),MONTH(B5161),1)</f>
        <v>46266</v>
      </c>
      <c r="M5161" s="31" t="n">
        <f aca="false">WEEKDAY(B5161,2)</f>
        <v>3</v>
      </c>
      <c r="N5161" s="31" t="str">
        <f aca="false">IF(G5161&lt;=INDEX(Assumptions!$B$15:$B$18,MATCH(E5161,Assumptions!$A$15:$A$18,0)),"Yes","No")</f>
        <v>Yes</v>
      </c>
      <c r="O5161" s="31" t="str">
        <f aca="false">IF(H5161="","Open",IF(H5161&lt;=INDEX(Assumptions!$C$15:$C$18,MATCH(E5161,Assumptions!$A$15:$A$18,0)),"Yes","No"))</f>
        <v>Yes</v>
      </c>
    </row>
    <row r="5162" customFormat="false" ht="15" hidden="false" customHeight="false" outlineLevel="0" collapsed="false">
      <c r="A5162" s="31" t="s">
        <v>5312</v>
      </c>
      <c r="B5162" s="44" t="n">
        <v>46274</v>
      </c>
      <c r="C5162" s="31" t="s">
        <v>60</v>
      </c>
      <c r="D5162" s="31" t="s">
        <v>66</v>
      </c>
      <c r="E5162" s="31" t="s">
        <v>51</v>
      </c>
      <c r="F5162" s="31" t="s">
        <v>119</v>
      </c>
      <c r="G5162" s="31" t="n">
        <v>6</v>
      </c>
      <c r="H5162" s="41" t="n">
        <v>6.6</v>
      </c>
      <c r="I5162" s="31" t="s">
        <v>149</v>
      </c>
      <c r="J5162" s="31"/>
      <c r="K5162" s="31" t="s">
        <v>150</v>
      </c>
      <c r="L5162" s="45" t="n">
        <f aca="false">DATE(YEAR(B5162),MONTH(B5162),1)</f>
        <v>46266</v>
      </c>
      <c r="M5162" s="31" t="n">
        <f aca="false">WEEKDAY(B5162,2)</f>
        <v>3</v>
      </c>
      <c r="N5162" s="31" t="str">
        <f aca="false">IF(G5162&lt;=INDEX(Assumptions!$B$15:$B$18,MATCH(E5162,Assumptions!$A$15:$A$18,0)),"Yes","No")</f>
        <v>Yes</v>
      </c>
      <c r="O5162" s="31" t="str">
        <f aca="false">IF(H5162="","Open",IF(H5162&lt;=INDEX(Assumptions!$C$15:$C$18,MATCH(E5162,Assumptions!$A$15:$A$18,0)),"Yes","No"))</f>
        <v>Yes</v>
      </c>
    </row>
    <row r="5163" customFormat="false" ht="15" hidden="false" customHeight="false" outlineLevel="0" collapsed="false">
      <c r="A5163" s="31" t="s">
        <v>5313</v>
      </c>
      <c r="B5163" s="44" t="n">
        <v>46274</v>
      </c>
      <c r="C5163" s="31" t="s">
        <v>57</v>
      </c>
      <c r="D5163" s="31" t="s">
        <v>65</v>
      </c>
      <c r="E5163" s="31" t="s">
        <v>52</v>
      </c>
      <c r="F5163" s="31" t="s">
        <v>126</v>
      </c>
      <c r="G5163" s="31" t="n">
        <v>8</v>
      </c>
      <c r="H5163" s="41" t="n">
        <v>22.8</v>
      </c>
      <c r="I5163" s="31" t="s">
        <v>149</v>
      </c>
      <c r="J5163" s="31"/>
      <c r="K5163" s="31" t="s">
        <v>150</v>
      </c>
      <c r="L5163" s="45" t="n">
        <f aca="false">DATE(YEAR(B5163),MONTH(B5163),1)</f>
        <v>46266</v>
      </c>
      <c r="M5163" s="31" t="n">
        <f aca="false">WEEKDAY(B5163,2)</f>
        <v>3</v>
      </c>
      <c r="N5163" s="31" t="str">
        <f aca="false">IF(G5163&lt;=INDEX(Assumptions!$B$15:$B$18,MATCH(E5163,Assumptions!$A$15:$A$18,0)),"Yes","No")</f>
        <v>Yes</v>
      </c>
      <c r="O5163" s="31" t="str">
        <f aca="false">IF(H5163="","Open",IF(H5163&lt;=INDEX(Assumptions!$C$15:$C$18,MATCH(E5163,Assumptions!$A$15:$A$18,0)),"Yes","No"))</f>
        <v>Yes</v>
      </c>
    </row>
    <row r="5164" customFormat="false" ht="15" hidden="false" customHeight="false" outlineLevel="0" collapsed="false">
      <c r="A5164" s="31" t="s">
        <v>5314</v>
      </c>
      <c r="B5164" s="44" t="n">
        <v>46274</v>
      </c>
      <c r="C5164" s="31" t="s">
        <v>60</v>
      </c>
      <c r="D5164" s="31" t="s">
        <v>67</v>
      </c>
      <c r="E5164" s="31" t="s">
        <v>51</v>
      </c>
      <c r="F5164" s="31" t="s">
        <v>123</v>
      </c>
      <c r="G5164" s="31" t="n">
        <v>1</v>
      </c>
      <c r="H5164" s="41" t="n">
        <v>53.8</v>
      </c>
      <c r="I5164" s="31" t="s">
        <v>149</v>
      </c>
      <c r="J5164" s="31"/>
      <c r="K5164" s="31" t="s">
        <v>150</v>
      </c>
      <c r="L5164" s="45" t="n">
        <f aca="false">DATE(YEAR(B5164),MONTH(B5164),1)</f>
        <v>46266</v>
      </c>
      <c r="M5164" s="31" t="n">
        <f aca="false">WEEKDAY(B5164,2)</f>
        <v>3</v>
      </c>
      <c r="N5164" s="31" t="str">
        <f aca="false">IF(G5164&lt;=INDEX(Assumptions!$B$15:$B$18,MATCH(E5164,Assumptions!$A$15:$A$18,0)),"Yes","No")</f>
        <v>Yes</v>
      </c>
      <c r="O5164" s="31" t="str">
        <f aca="false">IF(H5164="","Open",IF(H5164&lt;=INDEX(Assumptions!$C$15:$C$18,MATCH(E5164,Assumptions!$A$15:$A$18,0)),"Yes","No"))</f>
        <v>No</v>
      </c>
    </row>
    <row r="5165" customFormat="false" ht="15" hidden="false" customHeight="false" outlineLevel="0" collapsed="false">
      <c r="A5165" s="31" t="s">
        <v>5315</v>
      </c>
      <c r="B5165" s="44" t="n">
        <v>46274</v>
      </c>
      <c r="C5165" s="31" t="s">
        <v>59</v>
      </c>
      <c r="D5165" s="31" t="s">
        <v>65</v>
      </c>
      <c r="E5165" s="31" t="s">
        <v>52</v>
      </c>
      <c r="F5165" s="31" t="s">
        <v>134</v>
      </c>
      <c r="G5165" s="31" t="n">
        <v>39</v>
      </c>
      <c r="H5165" s="41" t="n">
        <v>39.5</v>
      </c>
      <c r="I5165" s="31" t="s">
        <v>149</v>
      </c>
      <c r="J5165" s="31" t="n">
        <v>4</v>
      </c>
      <c r="K5165" s="31" t="s">
        <v>150</v>
      </c>
      <c r="L5165" s="45" t="n">
        <f aca="false">DATE(YEAR(B5165),MONTH(B5165),1)</f>
        <v>46266</v>
      </c>
      <c r="M5165" s="31" t="n">
        <f aca="false">WEEKDAY(B5165,2)</f>
        <v>3</v>
      </c>
      <c r="N5165" s="31" t="str">
        <f aca="false">IF(G5165&lt;=INDEX(Assumptions!$B$15:$B$18,MATCH(E5165,Assumptions!$A$15:$A$18,0)),"Yes","No")</f>
        <v>Yes</v>
      </c>
      <c r="O5165" s="31" t="str">
        <f aca="false">IF(H5165="","Open",IF(H5165&lt;=INDEX(Assumptions!$C$15:$C$18,MATCH(E5165,Assumptions!$A$15:$A$18,0)),"Yes","No"))</f>
        <v>Yes</v>
      </c>
    </row>
    <row r="5166" customFormat="false" ht="15" hidden="false" customHeight="false" outlineLevel="0" collapsed="false">
      <c r="A5166" s="31" t="s">
        <v>5316</v>
      </c>
      <c r="B5166" s="44" t="n">
        <v>46274</v>
      </c>
      <c r="C5166" s="31" t="s">
        <v>60</v>
      </c>
      <c r="D5166" s="31" t="s">
        <v>65</v>
      </c>
      <c r="E5166" s="31" t="s">
        <v>51</v>
      </c>
      <c r="F5166" s="31" t="s">
        <v>127</v>
      </c>
      <c r="G5166" s="31" t="n">
        <v>1</v>
      </c>
      <c r="H5166" s="41" t="n">
        <v>4.1</v>
      </c>
      <c r="I5166" s="31" t="s">
        <v>149</v>
      </c>
      <c r="J5166" s="31"/>
      <c r="K5166" s="31" t="s">
        <v>150</v>
      </c>
      <c r="L5166" s="45" t="n">
        <f aca="false">DATE(YEAR(B5166),MONTH(B5166),1)</f>
        <v>46266</v>
      </c>
      <c r="M5166" s="31" t="n">
        <f aca="false">WEEKDAY(B5166,2)</f>
        <v>3</v>
      </c>
      <c r="N5166" s="31" t="str">
        <f aca="false">IF(G5166&lt;=INDEX(Assumptions!$B$15:$B$18,MATCH(E5166,Assumptions!$A$15:$A$18,0)),"Yes","No")</f>
        <v>Yes</v>
      </c>
      <c r="O5166" s="31" t="str">
        <f aca="false">IF(H5166="","Open",IF(H5166&lt;=INDEX(Assumptions!$C$15:$C$18,MATCH(E5166,Assumptions!$A$15:$A$18,0)),"Yes","No"))</f>
        <v>Yes</v>
      </c>
    </row>
    <row r="5167" customFormat="false" ht="15" hidden="false" customHeight="false" outlineLevel="0" collapsed="false">
      <c r="A5167" s="31" t="s">
        <v>5317</v>
      </c>
      <c r="B5167" s="44" t="n">
        <v>46274</v>
      </c>
      <c r="C5167" s="31" t="s">
        <v>57</v>
      </c>
      <c r="D5167" s="31" t="s">
        <v>68</v>
      </c>
      <c r="E5167" s="31" t="s">
        <v>51</v>
      </c>
      <c r="F5167" s="31" t="s">
        <v>120</v>
      </c>
      <c r="G5167" s="31" t="n">
        <v>5</v>
      </c>
      <c r="H5167" s="41" t="n">
        <v>12.7</v>
      </c>
      <c r="I5167" s="31" t="s">
        <v>149</v>
      </c>
      <c r="J5167" s="31"/>
      <c r="K5167" s="31" t="s">
        <v>150</v>
      </c>
      <c r="L5167" s="45" t="n">
        <f aca="false">DATE(YEAR(B5167),MONTH(B5167),1)</f>
        <v>46266</v>
      </c>
      <c r="M5167" s="31" t="n">
        <f aca="false">WEEKDAY(B5167,2)</f>
        <v>3</v>
      </c>
      <c r="N5167" s="31" t="str">
        <f aca="false">IF(G5167&lt;=INDEX(Assumptions!$B$15:$B$18,MATCH(E5167,Assumptions!$A$15:$A$18,0)),"Yes","No")</f>
        <v>Yes</v>
      </c>
      <c r="O5167" s="31" t="str">
        <f aca="false">IF(H5167="","Open",IF(H5167&lt;=INDEX(Assumptions!$C$15:$C$18,MATCH(E5167,Assumptions!$A$15:$A$18,0)),"Yes","No"))</f>
        <v>Yes</v>
      </c>
    </row>
    <row r="5168" customFormat="false" ht="15" hidden="false" customHeight="false" outlineLevel="0" collapsed="false">
      <c r="A5168" s="31" t="s">
        <v>5318</v>
      </c>
      <c r="B5168" s="44" t="n">
        <v>46274</v>
      </c>
      <c r="C5168" s="31" t="s">
        <v>60</v>
      </c>
      <c r="D5168" s="31" t="s">
        <v>65</v>
      </c>
      <c r="E5168" s="31" t="s">
        <v>52</v>
      </c>
      <c r="F5168" s="31" t="s">
        <v>129</v>
      </c>
      <c r="G5168" s="31" t="n">
        <v>1</v>
      </c>
      <c r="H5168" s="41" t="n">
        <v>8.3</v>
      </c>
      <c r="I5168" s="31" t="s">
        <v>149</v>
      </c>
      <c r="J5168" s="31" t="n">
        <v>5</v>
      </c>
      <c r="K5168" s="31" t="s">
        <v>150</v>
      </c>
      <c r="L5168" s="45" t="n">
        <f aca="false">DATE(YEAR(B5168),MONTH(B5168),1)</f>
        <v>46266</v>
      </c>
      <c r="M5168" s="31" t="n">
        <f aca="false">WEEKDAY(B5168,2)</f>
        <v>3</v>
      </c>
      <c r="N5168" s="31" t="str">
        <f aca="false">IF(G5168&lt;=INDEX(Assumptions!$B$15:$B$18,MATCH(E5168,Assumptions!$A$15:$A$18,0)),"Yes","No")</f>
        <v>Yes</v>
      </c>
      <c r="O5168" s="31" t="str">
        <f aca="false">IF(H5168="","Open",IF(H5168&lt;=INDEX(Assumptions!$C$15:$C$18,MATCH(E5168,Assumptions!$A$15:$A$18,0)),"Yes","No"))</f>
        <v>Yes</v>
      </c>
    </row>
    <row r="5169" customFormat="false" ht="15" hidden="false" customHeight="false" outlineLevel="0" collapsed="false">
      <c r="A5169" s="31" t="s">
        <v>5319</v>
      </c>
      <c r="B5169" s="44" t="n">
        <v>46274</v>
      </c>
      <c r="C5169" s="31" t="s">
        <v>58</v>
      </c>
      <c r="D5169" s="31" t="s">
        <v>68</v>
      </c>
      <c r="E5169" s="31" t="s">
        <v>52</v>
      </c>
      <c r="F5169" s="31" t="s">
        <v>128</v>
      </c>
      <c r="G5169" s="31" t="n">
        <v>12</v>
      </c>
      <c r="H5169" s="41" t="n">
        <v>6.8</v>
      </c>
      <c r="I5169" s="31" t="s">
        <v>149</v>
      </c>
      <c r="J5169" s="31" t="n">
        <v>4</v>
      </c>
      <c r="K5169" s="31" t="s">
        <v>150</v>
      </c>
      <c r="L5169" s="45" t="n">
        <f aca="false">DATE(YEAR(B5169),MONTH(B5169),1)</f>
        <v>46266</v>
      </c>
      <c r="M5169" s="31" t="n">
        <f aca="false">WEEKDAY(B5169,2)</f>
        <v>3</v>
      </c>
      <c r="N5169" s="31" t="str">
        <f aca="false">IF(G5169&lt;=INDEX(Assumptions!$B$15:$B$18,MATCH(E5169,Assumptions!$A$15:$A$18,0)),"Yes","No")</f>
        <v>Yes</v>
      </c>
      <c r="O5169" s="31" t="str">
        <f aca="false">IF(H5169="","Open",IF(H5169&lt;=INDEX(Assumptions!$C$15:$C$18,MATCH(E5169,Assumptions!$A$15:$A$18,0)),"Yes","No"))</f>
        <v>Yes</v>
      </c>
    </row>
    <row r="5170" customFormat="false" ht="15" hidden="false" customHeight="false" outlineLevel="0" collapsed="false">
      <c r="A5170" s="31" t="s">
        <v>5320</v>
      </c>
      <c r="B5170" s="44" t="n">
        <v>46274</v>
      </c>
      <c r="C5170" s="31" t="s">
        <v>57</v>
      </c>
      <c r="D5170" s="31" t="s">
        <v>69</v>
      </c>
      <c r="E5170" s="31" t="s">
        <v>52</v>
      </c>
      <c r="F5170" s="31" t="s">
        <v>117</v>
      </c>
      <c r="G5170" s="31" t="n">
        <v>2</v>
      </c>
      <c r="H5170" s="41" t="n">
        <v>14.8</v>
      </c>
      <c r="I5170" s="31" t="s">
        <v>149</v>
      </c>
      <c r="J5170" s="31"/>
      <c r="K5170" s="31" t="s">
        <v>150</v>
      </c>
      <c r="L5170" s="45" t="n">
        <f aca="false">DATE(YEAR(B5170),MONTH(B5170),1)</f>
        <v>46266</v>
      </c>
      <c r="M5170" s="31" t="n">
        <f aca="false">WEEKDAY(B5170,2)</f>
        <v>3</v>
      </c>
      <c r="N5170" s="31" t="str">
        <f aca="false">IF(G5170&lt;=INDEX(Assumptions!$B$15:$B$18,MATCH(E5170,Assumptions!$A$15:$A$18,0)),"Yes","No")</f>
        <v>Yes</v>
      </c>
      <c r="O5170" s="31" t="str">
        <f aca="false">IF(H5170="","Open",IF(H5170&lt;=INDEX(Assumptions!$C$15:$C$18,MATCH(E5170,Assumptions!$A$15:$A$18,0)),"Yes","No"))</f>
        <v>Yes</v>
      </c>
    </row>
    <row r="5171" customFormat="false" ht="15" hidden="false" customHeight="false" outlineLevel="0" collapsed="false">
      <c r="A5171" s="31" t="s">
        <v>5321</v>
      </c>
      <c r="B5171" s="44" t="n">
        <v>46274</v>
      </c>
      <c r="C5171" s="31" t="s">
        <v>58</v>
      </c>
      <c r="D5171" s="31" t="s">
        <v>67</v>
      </c>
      <c r="E5171" s="31" t="s">
        <v>50</v>
      </c>
      <c r="F5171" s="31" t="s">
        <v>121</v>
      </c>
      <c r="G5171" s="31" t="n">
        <v>17</v>
      </c>
      <c r="H5171" s="41" t="n">
        <v>16</v>
      </c>
      <c r="I5171" s="31" t="s">
        <v>149</v>
      </c>
      <c r="J5171" s="31"/>
      <c r="K5171" s="31" t="s">
        <v>150</v>
      </c>
      <c r="L5171" s="45" t="n">
        <f aca="false">DATE(YEAR(B5171),MONTH(B5171),1)</f>
        <v>46266</v>
      </c>
      <c r="M5171" s="31" t="n">
        <f aca="false">WEEKDAY(B5171,2)</f>
        <v>3</v>
      </c>
      <c r="N5171" s="31" t="str">
        <f aca="false">IF(G5171&lt;=INDEX(Assumptions!$B$15:$B$18,MATCH(E5171,Assumptions!$A$15:$A$18,0)),"Yes","No")</f>
        <v>Yes</v>
      </c>
      <c r="O5171" s="31" t="str">
        <f aca="false">IF(H5171="","Open",IF(H5171&lt;=INDEX(Assumptions!$C$15:$C$18,MATCH(E5171,Assumptions!$A$15:$A$18,0)),"Yes","No"))</f>
        <v>No</v>
      </c>
    </row>
    <row r="5172" customFormat="false" ht="15" hidden="false" customHeight="false" outlineLevel="0" collapsed="false">
      <c r="A5172" s="31" t="s">
        <v>5322</v>
      </c>
      <c r="B5172" s="44" t="n">
        <v>46274</v>
      </c>
      <c r="C5172" s="31" t="s">
        <v>57</v>
      </c>
      <c r="D5172" s="31" t="s">
        <v>65</v>
      </c>
      <c r="E5172" s="31" t="s">
        <v>52</v>
      </c>
      <c r="F5172" s="31" t="s">
        <v>135</v>
      </c>
      <c r="G5172" s="31" t="n">
        <v>6</v>
      </c>
      <c r="H5172" s="41" t="n">
        <v>38.1</v>
      </c>
      <c r="I5172" s="31" t="s">
        <v>149</v>
      </c>
      <c r="J5172" s="31" t="n">
        <v>5</v>
      </c>
      <c r="K5172" s="31" t="s">
        <v>150</v>
      </c>
      <c r="L5172" s="45" t="n">
        <f aca="false">DATE(YEAR(B5172),MONTH(B5172),1)</f>
        <v>46266</v>
      </c>
      <c r="M5172" s="31" t="n">
        <f aca="false">WEEKDAY(B5172,2)</f>
        <v>3</v>
      </c>
      <c r="N5172" s="31" t="str">
        <f aca="false">IF(G5172&lt;=INDEX(Assumptions!$B$15:$B$18,MATCH(E5172,Assumptions!$A$15:$A$18,0)),"Yes","No")</f>
        <v>Yes</v>
      </c>
      <c r="O5172" s="31" t="str">
        <f aca="false">IF(H5172="","Open",IF(H5172&lt;=INDEX(Assumptions!$C$15:$C$18,MATCH(E5172,Assumptions!$A$15:$A$18,0)),"Yes","No"))</f>
        <v>Yes</v>
      </c>
    </row>
    <row r="5173" customFormat="false" ht="15" hidden="false" customHeight="false" outlineLevel="0" collapsed="false">
      <c r="A5173" s="31" t="s">
        <v>5323</v>
      </c>
      <c r="B5173" s="44" t="n">
        <v>46274</v>
      </c>
      <c r="C5173" s="31" t="s">
        <v>60</v>
      </c>
      <c r="D5173" s="31" t="s">
        <v>65</v>
      </c>
      <c r="E5173" s="31" t="s">
        <v>52</v>
      </c>
      <c r="F5173" s="31" t="s">
        <v>123</v>
      </c>
      <c r="G5173" s="31" t="n">
        <v>2</v>
      </c>
      <c r="H5173" s="41" t="n">
        <v>29.3</v>
      </c>
      <c r="I5173" s="31" t="s">
        <v>149</v>
      </c>
      <c r="J5173" s="31" t="n">
        <v>5</v>
      </c>
      <c r="K5173" s="31" t="s">
        <v>150</v>
      </c>
      <c r="L5173" s="45" t="n">
        <f aca="false">DATE(YEAR(B5173),MONTH(B5173),1)</f>
        <v>46266</v>
      </c>
      <c r="M5173" s="31" t="n">
        <f aca="false">WEEKDAY(B5173,2)</f>
        <v>3</v>
      </c>
      <c r="N5173" s="31" t="str">
        <f aca="false">IF(G5173&lt;=INDEX(Assumptions!$B$15:$B$18,MATCH(E5173,Assumptions!$A$15:$A$18,0)),"Yes","No")</f>
        <v>Yes</v>
      </c>
      <c r="O5173" s="31" t="str">
        <f aca="false">IF(H5173="","Open",IF(H5173&lt;=INDEX(Assumptions!$C$15:$C$18,MATCH(E5173,Assumptions!$A$15:$A$18,0)),"Yes","No"))</f>
        <v>Yes</v>
      </c>
    </row>
    <row r="5174" customFormat="false" ht="15" hidden="false" customHeight="false" outlineLevel="0" collapsed="false">
      <c r="A5174" s="31" t="s">
        <v>5324</v>
      </c>
      <c r="B5174" s="44" t="n">
        <v>46274</v>
      </c>
      <c r="C5174" s="31" t="s">
        <v>57</v>
      </c>
      <c r="D5174" s="31" t="s">
        <v>65</v>
      </c>
      <c r="E5174" s="31" t="s">
        <v>52</v>
      </c>
      <c r="F5174" s="31" t="s">
        <v>123</v>
      </c>
      <c r="G5174" s="31" t="n">
        <v>5</v>
      </c>
      <c r="H5174" s="41" t="n">
        <v>66</v>
      </c>
      <c r="I5174" s="31" t="s">
        <v>149</v>
      </c>
      <c r="J5174" s="31"/>
      <c r="K5174" s="31" t="s">
        <v>150</v>
      </c>
      <c r="L5174" s="45" t="n">
        <f aca="false">DATE(YEAR(B5174),MONTH(B5174),1)</f>
        <v>46266</v>
      </c>
      <c r="M5174" s="31" t="n">
        <f aca="false">WEEKDAY(B5174,2)</f>
        <v>3</v>
      </c>
      <c r="N5174" s="31" t="str">
        <f aca="false">IF(G5174&lt;=INDEX(Assumptions!$B$15:$B$18,MATCH(E5174,Assumptions!$A$15:$A$18,0)),"Yes","No")</f>
        <v>Yes</v>
      </c>
      <c r="O5174" s="31" t="str">
        <f aca="false">IF(H5174="","Open",IF(H5174&lt;=INDEX(Assumptions!$C$15:$C$18,MATCH(E5174,Assumptions!$A$15:$A$18,0)),"Yes","No"))</f>
        <v>Yes</v>
      </c>
    </row>
    <row r="5175" customFormat="false" ht="15" hidden="false" customHeight="false" outlineLevel="0" collapsed="false">
      <c r="A5175" s="31" t="s">
        <v>5325</v>
      </c>
      <c r="B5175" s="44" t="n">
        <v>46274</v>
      </c>
      <c r="C5175" s="31" t="s">
        <v>59</v>
      </c>
      <c r="D5175" s="31" t="s">
        <v>67</v>
      </c>
      <c r="E5175" s="31" t="s">
        <v>52</v>
      </c>
      <c r="F5175" s="31" t="s">
        <v>133</v>
      </c>
      <c r="G5175" s="31" t="n">
        <v>113</v>
      </c>
      <c r="H5175" s="41" t="n">
        <v>13.2</v>
      </c>
      <c r="I5175" s="31" t="s">
        <v>149</v>
      </c>
      <c r="J5175" s="31" t="n">
        <v>5</v>
      </c>
      <c r="K5175" s="31" t="s">
        <v>150</v>
      </c>
      <c r="L5175" s="45" t="n">
        <f aca="false">DATE(YEAR(B5175),MONTH(B5175),1)</f>
        <v>46266</v>
      </c>
      <c r="M5175" s="31" t="n">
        <f aca="false">WEEKDAY(B5175,2)</f>
        <v>3</v>
      </c>
      <c r="N5175" s="31" t="str">
        <f aca="false">IF(G5175&lt;=INDEX(Assumptions!$B$15:$B$18,MATCH(E5175,Assumptions!$A$15:$A$18,0)),"Yes","No")</f>
        <v>Yes</v>
      </c>
      <c r="O5175" s="31" t="str">
        <f aca="false">IF(H5175="","Open",IF(H5175&lt;=INDEX(Assumptions!$C$15:$C$18,MATCH(E5175,Assumptions!$A$15:$A$18,0)),"Yes","No"))</f>
        <v>Yes</v>
      </c>
    </row>
    <row r="5176" customFormat="false" ht="15" hidden="false" customHeight="false" outlineLevel="0" collapsed="false">
      <c r="A5176" s="31" t="s">
        <v>5326</v>
      </c>
      <c r="B5176" s="44" t="n">
        <v>46274</v>
      </c>
      <c r="C5176" s="31" t="s">
        <v>57</v>
      </c>
      <c r="D5176" s="31" t="s">
        <v>69</v>
      </c>
      <c r="E5176" s="31" t="s">
        <v>51</v>
      </c>
      <c r="F5176" s="31" t="s">
        <v>128</v>
      </c>
      <c r="G5176" s="31" t="n">
        <v>18</v>
      </c>
      <c r="H5176" s="41"/>
      <c r="I5176" s="31" t="s">
        <v>158</v>
      </c>
      <c r="J5176" s="31"/>
      <c r="K5176" s="31" t="s">
        <v>150</v>
      </c>
      <c r="L5176" s="45" t="n">
        <f aca="false">DATE(YEAR(B5176),MONTH(B5176),1)</f>
        <v>46266</v>
      </c>
      <c r="M5176" s="31" t="n">
        <f aca="false">WEEKDAY(B5176,2)</f>
        <v>3</v>
      </c>
      <c r="N5176" s="31" t="str">
        <f aca="false">IF(G5176&lt;=INDEX(Assumptions!$B$15:$B$18,MATCH(E5176,Assumptions!$A$15:$A$18,0)),"Yes","No")</f>
        <v>Yes</v>
      </c>
      <c r="O5176" s="31" t="str">
        <f aca="false">IF(H5176="","Open",IF(H5176&lt;=INDEX(Assumptions!$C$15:$C$18,MATCH(E5176,Assumptions!$A$15:$A$18,0)),"Yes","No"))</f>
        <v>Open</v>
      </c>
    </row>
    <row r="5177" customFormat="false" ht="15" hidden="false" customHeight="false" outlineLevel="0" collapsed="false">
      <c r="A5177" s="31" t="s">
        <v>5327</v>
      </c>
      <c r="B5177" s="44" t="n">
        <v>46274</v>
      </c>
      <c r="C5177" s="31" t="s">
        <v>57</v>
      </c>
      <c r="D5177" s="31" t="s">
        <v>69</v>
      </c>
      <c r="E5177" s="31" t="s">
        <v>52</v>
      </c>
      <c r="F5177" s="31" t="s">
        <v>136</v>
      </c>
      <c r="G5177" s="31" t="n">
        <v>5</v>
      </c>
      <c r="H5177" s="41" t="n">
        <v>13</v>
      </c>
      <c r="I5177" s="31" t="s">
        <v>149</v>
      </c>
      <c r="J5177" s="31" t="n">
        <v>4</v>
      </c>
      <c r="K5177" s="31" t="s">
        <v>150</v>
      </c>
      <c r="L5177" s="45" t="n">
        <f aca="false">DATE(YEAR(B5177),MONTH(B5177),1)</f>
        <v>46266</v>
      </c>
      <c r="M5177" s="31" t="n">
        <f aca="false">WEEKDAY(B5177,2)</f>
        <v>3</v>
      </c>
      <c r="N5177" s="31" t="str">
        <f aca="false">IF(G5177&lt;=INDEX(Assumptions!$B$15:$B$18,MATCH(E5177,Assumptions!$A$15:$A$18,0)),"Yes","No")</f>
        <v>Yes</v>
      </c>
      <c r="O5177" s="31" t="str">
        <f aca="false">IF(H5177="","Open",IF(H5177&lt;=INDEX(Assumptions!$C$15:$C$18,MATCH(E5177,Assumptions!$A$15:$A$18,0)),"Yes","No"))</f>
        <v>Yes</v>
      </c>
    </row>
    <row r="5178" customFormat="false" ht="15" hidden="false" customHeight="false" outlineLevel="0" collapsed="false">
      <c r="A5178" s="31" t="s">
        <v>5328</v>
      </c>
      <c r="B5178" s="44" t="n">
        <v>46274</v>
      </c>
      <c r="C5178" s="31" t="s">
        <v>60</v>
      </c>
      <c r="D5178" s="31" t="s">
        <v>66</v>
      </c>
      <c r="E5178" s="31" t="s">
        <v>51</v>
      </c>
      <c r="F5178" s="31" t="s">
        <v>124</v>
      </c>
      <c r="G5178" s="31" t="n">
        <v>1</v>
      </c>
      <c r="H5178" s="41" t="n">
        <v>2.6</v>
      </c>
      <c r="I5178" s="31" t="s">
        <v>149</v>
      </c>
      <c r="J5178" s="31" t="n">
        <v>5</v>
      </c>
      <c r="K5178" s="31" t="s">
        <v>150</v>
      </c>
      <c r="L5178" s="45" t="n">
        <f aca="false">DATE(YEAR(B5178),MONTH(B5178),1)</f>
        <v>46266</v>
      </c>
      <c r="M5178" s="31" t="n">
        <f aca="false">WEEKDAY(B5178,2)</f>
        <v>3</v>
      </c>
      <c r="N5178" s="31" t="str">
        <f aca="false">IF(G5178&lt;=INDEX(Assumptions!$B$15:$B$18,MATCH(E5178,Assumptions!$A$15:$A$18,0)),"Yes","No")</f>
        <v>Yes</v>
      </c>
      <c r="O5178" s="31" t="str">
        <f aca="false">IF(H5178="","Open",IF(H5178&lt;=INDEX(Assumptions!$C$15:$C$18,MATCH(E5178,Assumptions!$A$15:$A$18,0)),"Yes","No"))</f>
        <v>Yes</v>
      </c>
    </row>
    <row r="5179" customFormat="false" ht="15" hidden="false" customHeight="false" outlineLevel="0" collapsed="false">
      <c r="A5179" s="31" t="s">
        <v>5329</v>
      </c>
      <c r="B5179" s="44" t="n">
        <v>46274</v>
      </c>
      <c r="C5179" s="31" t="s">
        <v>57</v>
      </c>
      <c r="D5179" s="31" t="s">
        <v>65</v>
      </c>
      <c r="E5179" s="31" t="s">
        <v>52</v>
      </c>
      <c r="F5179" s="31" t="s">
        <v>133</v>
      </c>
      <c r="G5179" s="31" t="n">
        <v>8</v>
      </c>
      <c r="H5179" s="41" t="n">
        <v>14.3</v>
      </c>
      <c r="I5179" s="31" t="s">
        <v>149</v>
      </c>
      <c r="J5179" s="31"/>
      <c r="K5179" s="31" t="s">
        <v>150</v>
      </c>
      <c r="L5179" s="45" t="n">
        <f aca="false">DATE(YEAR(B5179),MONTH(B5179),1)</f>
        <v>46266</v>
      </c>
      <c r="M5179" s="31" t="n">
        <f aca="false">WEEKDAY(B5179,2)</f>
        <v>3</v>
      </c>
      <c r="N5179" s="31" t="str">
        <f aca="false">IF(G5179&lt;=INDEX(Assumptions!$B$15:$B$18,MATCH(E5179,Assumptions!$A$15:$A$18,0)),"Yes","No")</f>
        <v>Yes</v>
      </c>
      <c r="O5179" s="31" t="str">
        <f aca="false">IF(H5179="","Open",IF(H5179&lt;=INDEX(Assumptions!$C$15:$C$18,MATCH(E5179,Assumptions!$A$15:$A$18,0)),"Yes","No"))</f>
        <v>Yes</v>
      </c>
    </row>
    <row r="5180" customFormat="false" ht="15" hidden="false" customHeight="false" outlineLevel="0" collapsed="false">
      <c r="A5180" s="31" t="s">
        <v>5330</v>
      </c>
      <c r="B5180" s="44" t="n">
        <v>46274</v>
      </c>
      <c r="C5180" s="31" t="s">
        <v>57</v>
      </c>
      <c r="D5180" s="31" t="s">
        <v>69</v>
      </c>
      <c r="E5180" s="31" t="s">
        <v>51</v>
      </c>
      <c r="F5180" s="31" t="s">
        <v>137</v>
      </c>
      <c r="G5180" s="31" t="n">
        <v>5</v>
      </c>
      <c r="H5180" s="41" t="n">
        <v>13.8</v>
      </c>
      <c r="I5180" s="31" t="s">
        <v>149</v>
      </c>
      <c r="J5180" s="31" t="n">
        <v>4</v>
      </c>
      <c r="K5180" s="31" t="s">
        <v>150</v>
      </c>
      <c r="L5180" s="45" t="n">
        <f aca="false">DATE(YEAR(B5180),MONTH(B5180),1)</f>
        <v>46266</v>
      </c>
      <c r="M5180" s="31" t="n">
        <f aca="false">WEEKDAY(B5180,2)</f>
        <v>3</v>
      </c>
      <c r="N5180" s="31" t="str">
        <f aca="false">IF(G5180&lt;=INDEX(Assumptions!$B$15:$B$18,MATCH(E5180,Assumptions!$A$15:$A$18,0)),"Yes","No")</f>
        <v>Yes</v>
      </c>
      <c r="O5180" s="31" t="str">
        <f aca="false">IF(H5180="","Open",IF(H5180&lt;=INDEX(Assumptions!$C$15:$C$18,MATCH(E5180,Assumptions!$A$15:$A$18,0)),"Yes","No"))</f>
        <v>Yes</v>
      </c>
    </row>
    <row r="5181" customFormat="false" ht="15" hidden="false" customHeight="false" outlineLevel="0" collapsed="false">
      <c r="A5181" s="31" t="s">
        <v>5331</v>
      </c>
      <c r="B5181" s="44" t="n">
        <v>46274</v>
      </c>
      <c r="C5181" s="31" t="s">
        <v>60</v>
      </c>
      <c r="D5181" s="31" t="s">
        <v>66</v>
      </c>
      <c r="E5181" s="31" t="s">
        <v>51</v>
      </c>
      <c r="F5181" s="31" t="s">
        <v>136</v>
      </c>
      <c r="G5181" s="31" t="n">
        <v>1</v>
      </c>
      <c r="H5181" s="41" t="n">
        <v>9.4</v>
      </c>
      <c r="I5181" s="31" t="s">
        <v>149</v>
      </c>
      <c r="J5181" s="31" t="n">
        <v>4</v>
      </c>
      <c r="K5181" s="31" t="s">
        <v>150</v>
      </c>
      <c r="L5181" s="45" t="n">
        <f aca="false">DATE(YEAR(B5181),MONTH(B5181),1)</f>
        <v>46266</v>
      </c>
      <c r="M5181" s="31" t="n">
        <f aca="false">WEEKDAY(B5181,2)</f>
        <v>3</v>
      </c>
      <c r="N5181" s="31" t="str">
        <f aca="false">IF(G5181&lt;=INDEX(Assumptions!$B$15:$B$18,MATCH(E5181,Assumptions!$A$15:$A$18,0)),"Yes","No")</f>
        <v>Yes</v>
      </c>
      <c r="O5181" s="31" t="str">
        <f aca="false">IF(H5181="","Open",IF(H5181&lt;=INDEX(Assumptions!$C$15:$C$18,MATCH(E5181,Assumptions!$A$15:$A$18,0)),"Yes","No"))</f>
        <v>Yes</v>
      </c>
    </row>
    <row r="5182" customFormat="false" ht="15" hidden="false" customHeight="false" outlineLevel="0" collapsed="false">
      <c r="A5182" s="31" t="s">
        <v>5332</v>
      </c>
      <c r="B5182" s="44" t="n">
        <v>46274</v>
      </c>
      <c r="C5182" s="31" t="s">
        <v>58</v>
      </c>
      <c r="D5182" s="31" t="s">
        <v>66</v>
      </c>
      <c r="E5182" s="31" t="s">
        <v>50</v>
      </c>
      <c r="F5182" s="31" t="s">
        <v>136</v>
      </c>
      <c r="G5182" s="31" t="n">
        <v>10</v>
      </c>
      <c r="H5182" s="41" t="n">
        <v>2.4</v>
      </c>
      <c r="I5182" s="31" t="s">
        <v>149</v>
      </c>
      <c r="J5182" s="31" t="n">
        <v>4</v>
      </c>
      <c r="K5182" s="31" t="s">
        <v>150</v>
      </c>
      <c r="L5182" s="45" t="n">
        <f aca="false">DATE(YEAR(B5182),MONTH(B5182),1)</f>
        <v>46266</v>
      </c>
      <c r="M5182" s="31" t="n">
        <f aca="false">WEEKDAY(B5182,2)</f>
        <v>3</v>
      </c>
      <c r="N5182" s="31" t="str">
        <f aca="false">IF(G5182&lt;=INDEX(Assumptions!$B$15:$B$18,MATCH(E5182,Assumptions!$A$15:$A$18,0)),"Yes","No")</f>
        <v>Yes</v>
      </c>
      <c r="O5182" s="31" t="str">
        <f aca="false">IF(H5182="","Open",IF(H5182&lt;=INDEX(Assumptions!$C$15:$C$18,MATCH(E5182,Assumptions!$A$15:$A$18,0)),"Yes","No"))</f>
        <v>Yes</v>
      </c>
    </row>
    <row r="5183" customFormat="false" ht="15" hidden="false" customHeight="false" outlineLevel="0" collapsed="false">
      <c r="A5183" s="31" t="s">
        <v>5333</v>
      </c>
      <c r="B5183" s="44" t="n">
        <v>46274</v>
      </c>
      <c r="C5183" s="31" t="s">
        <v>58</v>
      </c>
      <c r="D5183" s="31" t="s">
        <v>65</v>
      </c>
      <c r="E5183" s="31" t="s">
        <v>52</v>
      </c>
      <c r="F5183" s="31" t="s">
        <v>137</v>
      </c>
      <c r="G5183" s="31" t="n">
        <v>9</v>
      </c>
      <c r="H5183" s="41" t="n">
        <v>17.8</v>
      </c>
      <c r="I5183" s="31" t="s">
        <v>149</v>
      </c>
      <c r="J5183" s="31"/>
      <c r="K5183" s="31" t="s">
        <v>150</v>
      </c>
      <c r="L5183" s="45" t="n">
        <f aca="false">DATE(YEAR(B5183),MONTH(B5183),1)</f>
        <v>46266</v>
      </c>
      <c r="M5183" s="31" t="n">
        <f aca="false">WEEKDAY(B5183,2)</f>
        <v>3</v>
      </c>
      <c r="N5183" s="31" t="str">
        <f aca="false">IF(G5183&lt;=INDEX(Assumptions!$B$15:$B$18,MATCH(E5183,Assumptions!$A$15:$A$18,0)),"Yes","No")</f>
        <v>Yes</v>
      </c>
      <c r="O5183" s="31" t="str">
        <f aca="false">IF(H5183="","Open",IF(H5183&lt;=INDEX(Assumptions!$C$15:$C$18,MATCH(E5183,Assumptions!$A$15:$A$18,0)),"Yes","No"))</f>
        <v>Yes</v>
      </c>
    </row>
    <row r="5184" customFormat="false" ht="15" hidden="false" customHeight="false" outlineLevel="0" collapsed="false">
      <c r="A5184" s="31" t="s">
        <v>5334</v>
      </c>
      <c r="B5184" s="44" t="n">
        <v>46274</v>
      </c>
      <c r="C5184" s="31" t="s">
        <v>57</v>
      </c>
      <c r="D5184" s="31" t="s">
        <v>65</v>
      </c>
      <c r="E5184" s="31" t="s">
        <v>50</v>
      </c>
      <c r="F5184" s="31" t="s">
        <v>120</v>
      </c>
      <c r="G5184" s="31" t="n">
        <v>4</v>
      </c>
      <c r="H5184" s="41" t="n">
        <v>9</v>
      </c>
      <c r="I5184" s="31" t="s">
        <v>149</v>
      </c>
      <c r="J5184" s="31" t="n">
        <v>3</v>
      </c>
      <c r="K5184" s="31" t="s">
        <v>150</v>
      </c>
      <c r="L5184" s="45" t="n">
        <f aca="false">DATE(YEAR(B5184),MONTH(B5184),1)</f>
        <v>46266</v>
      </c>
      <c r="M5184" s="31" t="n">
        <f aca="false">WEEKDAY(B5184,2)</f>
        <v>3</v>
      </c>
      <c r="N5184" s="31" t="str">
        <f aca="false">IF(G5184&lt;=INDEX(Assumptions!$B$15:$B$18,MATCH(E5184,Assumptions!$A$15:$A$18,0)),"Yes","No")</f>
        <v>Yes</v>
      </c>
      <c r="O5184" s="31" t="str">
        <f aca="false">IF(H5184="","Open",IF(H5184&lt;=INDEX(Assumptions!$C$15:$C$18,MATCH(E5184,Assumptions!$A$15:$A$18,0)),"Yes","No"))</f>
        <v>No</v>
      </c>
    </row>
    <row r="5185" customFormat="false" ht="15" hidden="false" customHeight="false" outlineLevel="0" collapsed="false">
      <c r="A5185" s="31" t="s">
        <v>5335</v>
      </c>
      <c r="B5185" s="44" t="n">
        <v>46274</v>
      </c>
      <c r="C5185" s="31" t="s">
        <v>58</v>
      </c>
      <c r="D5185" s="31" t="s">
        <v>68</v>
      </c>
      <c r="E5185" s="31" t="s">
        <v>51</v>
      </c>
      <c r="F5185" s="31" t="s">
        <v>134</v>
      </c>
      <c r="G5185" s="31" t="n">
        <v>13</v>
      </c>
      <c r="H5185" s="41" t="n">
        <v>9.2</v>
      </c>
      <c r="I5185" s="31" t="s">
        <v>149</v>
      </c>
      <c r="J5185" s="31" t="n">
        <v>3</v>
      </c>
      <c r="K5185" s="31" t="s">
        <v>150</v>
      </c>
      <c r="L5185" s="45" t="n">
        <f aca="false">DATE(YEAR(B5185),MONTH(B5185),1)</f>
        <v>46266</v>
      </c>
      <c r="M5185" s="31" t="n">
        <f aca="false">WEEKDAY(B5185,2)</f>
        <v>3</v>
      </c>
      <c r="N5185" s="31" t="str">
        <f aca="false">IF(G5185&lt;=INDEX(Assumptions!$B$15:$B$18,MATCH(E5185,Assumptions!$A$15:$A$18,0)),"Yes","No")</f>
        <v>Yes</v>
      </c>
      <c r="O5185" s="31" t="str">
        <f aca="false">IF(H5185="","Open",IF(H5185&lt;=INDEX(Assumptions!$C$15:$C$18,MATCH(E5185,Assumptions!$A$15:$A$18,0)),"Yes","No"))</f>
        <v>Yes</v>
      </c>
    </row>
    <row r="5186" customFormat="false" ht="15" hidden="false" customHeight="false" outlineLevel="0" collapsed="false">
      <c r="A5186" s="31" t="s">
        <v>5336</v>
      </c>
      <c r="B5186" s="44" t="n">
        <v>46274</v>
      </c>
      <c r="C5186" s="31" t="s">
        <v>58</v>
      </c>
      <c r="D5186" s="31" t="s">
        <v>66</v>
      </c>
      <c r="E5186" s="31" t="s">
        <v>49</v>
      </c>
      <c r="F5186" s="31" t="s">
        <v>124</v>
      </c>
      <c r="G5186" s="31" t="n">
        <v>11</v>
      </c>
      <c r="H5186" s="41" t="n">
        <v>0.9</v>
      </c>
      <c r="I5186" s="31" t="s">
        <v>149</v>
      </c>
      <c r="J5186" s="31"/>
      <c r="K5186" s="31" t="s">
        <v>150</v>
      </c>
      <c r="L5186" s="45" t="n">
        <f aca="false">DATE(YEAR(B5186),MONTH(B5186),1)</f>
        <v>46266</v>
      </c>
      <c r="M5186" s="31" t="n">
        <f aca="false">WEEKDAY(B5186,2)</f>
        <v>3</v>
      </c>
      <c r="N5186" s="31" t="str">
        <f aca="false">IF(G5186&lt;=INDEX(Assumptions!$B$15:$B$18,MATCH(E5186,Assumptions!$A$15:$A$18,0)),"Yes","No")</f>
        <v>Yes</v>
      </c>
      <c r="O5186" s="31" t="str">
        <f aca="false">IF(H5186="","Open",IF(H5186&lt;=INDEX(Assumptions!$C$15:$C$18,MATCH(E5186,Assumptions!$A$15:$A$18,0)),"Yes","No"))</f>
        <v>Yes</v>
      </c>
    </row>
    <row r="5187" customFormat="false" ht="15" hidden="false" customHeight="false" outlineLevel="0" collapsed="false">
      <c r="A5187" s="31" t="s">
        <v>5337</v>
      </c>
      <c r="B5187" s="44" t="n">
        <v>46274</v>
      </c>
      <c r="C5187" s="31" t="s">
        <v>58</v>
      </c>
      <c r="D5187" s="31" t="s">
        <v>68</v>
      </c>
      <c r="E5187" s="31" t="s">
        <v>50</v>
      </c>
      <c r="F5187" s="31" t="s">
        <v>126</v>
      </c>
      <c r="G5187" s="31" t="n">
        <v>4</v>
      </c>
      <c r="H5187" s="41" t="n">
        <v>0.9</v>
      </c>
      <c r="I5187" s="31" t="s">
        <v>149</v>
      </c>
      <c r="J5187" s="31" t="n">
        <v>4</v>
      </c>
      <c r="K5187" s="31" t="s">
        <v>150</v>
      </c>
      <c r="L5187" s="45" t="n">
        <f aca="false">DATE(YEAR(B5187),MONTH(B5187),1)</f>
        <v>46266</v>
      </c>
      <c r="M5187" s="31" t="n">
        <f aca="false">WEEKDAY(B5187,2)</f>
        <v>3</v>
      </c>
      <c r="N5187" s="31" t="str">
        <f aca="false">IF(G5187&lt;=INDEX(Assumptions!$B$15:$B$18,MATCH(E5187,Assumptions!$A$15:$A$18,0)),"Yes","No")</f>
        <v>Yes</v>
      </c>
      <c r="O5187" s="31" t="str">
        <f aca="false">IF(H5187="","Open",IF(H5187&lt;=INDEX(Assumptions!$C$15:$C$18,MATCH(E5187,Assumptions!$A$15:$A$18,0)),"Yes","No"))</f>
        <v>Yes</v>
      </c>
    </row>
    <row r="5188" customFormat="false" ht="15" hidden="false" customHeight="false" outlineLevel="0" collapsed="false">
      <c r="A5188" s="31" t="s">
        <v>5338</v>
      </c>
      <c r="B5188" s="44" t="n">
        <v>46274</v>
      </c>
      <c r="C5188" s="31" t="s">
        <v>58</v>
      </c>
      <c r="D5188" s="31" t="s">
        <v>66</v>
      </c>
      <c r="E5188" s="31" t="s">
        <v>51</v>
      </c>
      <c r="F5188" s="31" t="s">
        <v>122</v>
      </c>
      <c r="G5188" s="31" t="n">
        <v>3</v>
      </c>
      <c r="H5188" s="41" t="n">
        <v>1.1</v>
      </c>
      <c r="I5188" s="31" t="s">
        <v>149</v>
      </c>
      <c r="J5188" s="31" t="n">
        <v>5</v>
      </c>
      <c r="K5188" s="31" t="s">
        <v>150</v>
      </c>
      <c r="L5188" s="45" t="n">
        <f aca="false">DATE(YEAR(B5188),MONTH(B5188),1)</f>
        <v>46266</v>
      </c>
      <c r="M5188" s="31" t="n">
        <f aca="false">WEEKDAY(B5188,2)</f>
        <v>3</v>
      </c>
      <c r="N5188" s="31" t="str">
        <f aca="false">IF(G5188&lt;=INDEX(Assumptions!$B$15:$B$18,MATCH(E5188,Assumptions!$A$15:$A$18,0)),"Yes","No")</f>
        <v>Yes</v>
      </c>
      <c r="O5188" s="31" t="str">
        <f aca="false">IF(H5188="","Open",IF(H5188&lt;=INDEX(Assumptions!$C$15:$C$18,MATCH(E5188,Assumptions!$A$15:$A$18,0)),"Yes","No"))</f>
        <v>Yes</v>
      </c>
    </row>
    <row r="5189" customFormat="false" ht="15" hidden="false" customHeight="false" outlineLevel="0" collapsed="false">
      <c r="A5189" s="31" t="s">
        <v>5339</v>
      </c>
      <c r="B5189" s="44" t="n">
        <v>46274</v>
      </c>
      <c r="C5189" s="31" t="s">
        <v>57</v>
      </c>
      <c r="D5189" s="31" t="s">
        <v>67</v>
      </c>
      <c r="E5189" s="31" t="s">
        <v>51</v>
      </c>
      <c r="F5189" s="31" t="s">
        <v>127</v>
      </c>
      <c r="G5189" s="31" t="n">
        <v>5</v>
      </c>
      <c r="H5189" s="41" t="n">
        <v>14.7</v>
      </c>
      <c r="I5189" s="31" t="s">
        <v>149</v>
      </c>
      <c r="J5189" s="31" t="n">
        <v>5</v>
      </c>
      <c r="K5189" s="31" t="s">
        <v>150</v>
      </c>
      <c r="L5189" s="45" t="n">
        <f aca="false">DATE(YEAR(B5189),MONTH(B5189),1)</f>
        <v>46266</v>
      </c>
      <c r="M5189" s="31" t="n">
        <f aca="false">WEEKDAY(B5189,2)</f>
        <v>3</v>
      </c>
      <c r="N5189" s="31" t="str">
        <f aca="false">IF(G5189&lt;=INDEX(Assumptions!$B$15:$B$18,MATCH(E5189,Assumptions!$A$15:$A$18,0)),"Yes","No")</f>
        <v>Yes</v>
      </c>
      <c r="O5189" s="31" t="str">
        <f aca="false">IF(H5189="","Open",IF(H5189&lt;=INDEX(Assumptions!$C$15:$C$18,MATCH(E5189,Assumptions!$A$15:$A$18,0)),"Yes","No"))</f>
        <v>Yes</v>
      </c>
    </row>
    <row r="5190" customFormat="false" ht="15" hidden="false" customHeight="false" outlineLevel="0" collapsed="false">
      <c r="A5190" s="31" t="s">
        <v>5340</v>
      </c>
      <c r="B5190" s="44" t="n">
        <v>46274</v>
      </c>
      <c r="C5190" s="31" t="s">
        <v>60</v>
      </c>
      <c r="D5190" s="31" t="s">
        <v>67</v>
      </c>
      <c r="E5190" s="31" t="s">
        <v>51</v>
      </c>
      <c r="F5190" s="31" t="s">
        <v>117</v>
      </c>
      <c r="G5190" s="31" t="n">
        <v>3</v>
      </c>
      <c r="H5190" s="41" t="n">
        <v>7.9</v>
      </c>
      <c r="I5190" s="31" t="s">
        <v>149</v>
      </c>
      <c r="J5190" s="31"/>
      <c r="K5190" s="31" t="s">
        <v>150</v>
      </c>
      <c r="L5190" s="45" t="n">
        <f aca="false">DATE(YEAR(B5190),MONTH(B5190),1)</f>
        <v>46266</v>
      </c>
      <c r="M5190" s="31" t="n">
        <f aca="false">WEEKDAY(B5190,2)</f>
        <v>3</v>
      </c>
      <c r="N5190" s="31" t="str">
        <f aca="false">IF(G5190&lt;=INDEX(Assumptions!$B$15:$B$18,MATCH(E5190,Assumptions!$A$15:$A$18,0)),"Yes","No")</f>
        <v>Yes</v>
      </c>
      <c r="O5190" s="31" t="str">
        <f aca="false">IF(H5190="","Open",IF(H5190&lt;=INDEX(Assumptions!$C$15:$C$18,MATCH(E5190,Assumptions!$A$15:$A$18,0)),"Yes","No"))</f>
        <v>Yes</v>
      </c>
    </row>
    <row r="5191" customFormat="false" ht="15" hidden="false" customHeight="false" outlineLevel="0" collapsed="false">
      <c r="A5191" s="31" t="s">
        <v>5341</v>
      </c>
      <c r="B5191" s="44" t="n">
        <v>46274</v>
      </c>
      <c r="C5191" s="31" t="s">
        <v>57</v>
      </c>
      <c r="D5191" s="31" t="s">
        <v>66</v>
      </c>
      <c r="E5191" s="31" t="s">
        <v>51</v>
      </c>
      <c r="F5191" s="31" t="s">
        <v>117</v>
      </c>
      <c r="G5191" s="31" t="n">
        <v>2</v>
      </c>
      <c r="H5191" s="41" t="n">
        <v>4.9</v>
      </c>
      <c r="I5191" s="31" t="s">
        <v>64</v>
      </c>
      <c r="J5191" s="31"/>
      <c r="K5191" s="31" t="s">
        <v>150</v>
      </c>
      <c r="L5191" s="45" t="n">
        <f aca="false">DATE(YEAR(B5191),MONTH(B5191),1)</f>
        <v>46266</v>
      </c>
      <c r="M5191" s="31" t="n">
        <f aca="false">WEEKDAY(B5191,2)</f>
        <v>3</v>
      </c>
      <c r="N5191" s="31" t="str">
        <f aca="false">IF(G5191&lt;=INDEX(Assumptions!$B$15:$B$18,MATCH(E5191,Assumptions!$A$15:$A$18,0)),"Yes","No")</f>
        <v>Yes</v>
      </c>
      <c r="O5191" s="31" t="str">
        <f aca="false">IF(H5191="","Open",IF(H5191&lt;=INDEX(Assumptions!$C$15:$C$18,MATCH(E5191,Assumptions!$A$15:$A$18,0)),"Yes","No"))</f>
        <v>Yes</v>
      </c>
    </row>
    <row r="5192" customFormat="false" ht="15" hidden="false" customHeight="false" outlineLevel="0" collapsed="false">
      <c r="A5192" s="31" t="s">
        <v>5342</v>
      </c>
      <c r="B5192" s="44" t="n">
        <v>46274</v>
      </c>
      <c r="C5192" s="31" t="s">
        <v>60</v>
      </c>
      <c r="D5192" s="31" t="s">
        <v>66</v>
      </c>
      <c r="E5192" s="31" t="s">
        <v>51</v>
      </c>
      <c r="F5192" s="31" t="s">
        <v>135</v>
      </c>
      <c r="G5192" s="31" t="n">
        <v>2</v>
      </c>
      <c r="H5192" s="41" t="n">
        <v>3.1</v>
      </c>
      <c r="I5192" s="31" t="s">
        <v>149</v>
      </c>
      <c r="J5192" s="31"/>
      <c r="K5192" s="31" t="s">
        <v>150</v>
      </c>
      <c r="L5192" s="45" t="n">
        <f aca="false">DATE(YEAR(B5192),MONTH(B5192),1)</f>
        <v>46266</v>
      </c>
      <c r="M5192" s="31" t="n">
        <f aca="false">WEEKDAY(B5192,2)</f>
        <v>3</v>
      </c>
      <c r="N5192" s="31" t="str">
        <f aca="false">IF(G5192&lt;=INDEX(Assumptions!$B$15:$B$18,MATCH(E5192,Assumptions!$A$15:$A$18,0)),"Yes","No")</f>
        <v>Yes</v>
      </c>
      <c r="O5192" s="31" t="str">
        <f aca="false">IF(H5192="","Open",IF(H5192&lt;=INDEX(Assumptions!$C$15:$C$18,MATCH(E5192,Assumptions!$A$15:$A$18,0)),"Yes","No"))</f>
        <v>Yes</v>
      </c>
    </row>
    <row r="5193" customFormat="false" ht="15" hidden="false" customHeight="false" outlineLevel="0" collapsed="false">
      <c r="A5193" s="31" t="s">
        <v>5343</v>
      </c>
      <c r="B5193" s="44" t="n">
        <v>46274</v>
      </c>
      <c r="C5193" s="31" t="s">
        <v>58</v>
      </c>
      <c r="D5193" s="31" t="s">
        <v>68</v>
      </c>
      <c r="E5193" s="31" t="s">
        <v>50</v>
      </c>
      <c r="F5193" s="31" t="s">
        <v>128</v>
      </c>
      <c r="G5193" s="31" t="n">
        <v>50</v>
      </c>
      <c r="H5193" s="41" t="n">
        <v>1.3</v>
      </c>
      <c r="I5193" s="31" t="s">
        <v>149</v>
      </c>
      <c r="J5193" s="31"/>
      <c r="K5193" s="31" t="s">
        <v>150</v>
      </c>
      <c r="L5193" s="45" t="n">
        <f aca="false">DATE(YEAR(B5193),MONTH(B5193),1)</f>
        <v>46266</v>
      </c>
      <c r="M5193" s="31" t="n">
        <f aca="false">WEEKDAY(B5193,2)</f>
        <v>3</v>
      </c>
      <c r="N5193" s="31" t="str">
        <f aca="false">IF(G5193&lt;=INDEX(Assumptions!$B$15:$B$18,MATCH(E5193,Assumptions!$A$15:$A$18,0)),"Yes","No")</f>
        <v>No</v>
      </c>
      <c r="O5193" s="31" t="str">
        <f aca="false">IF(H5193="","Open",IF(H5193&lt;=INDEX(Assumptions!$C$15:$C$18,MATCH(E5193,Assumptions!$A$15:$A$18,0)),"Yes","No"))</f>
        <v>Yes</v>
      </c>
    </row>
    <row r="5194" customFormat="false" ht="15" hidden="false" customHeight="false" outlineLevel="0" collapsed="false">
      <c r="A5194" s="31" t="s">
        <v>5344</v>
      </c>
      <c r="B5194" s="44" t="n">
        <v>46274</v>
      </c>
      <c r="C5194" s="31" t="s">
        <v>58</v>
      </c>
      <c r="D5194" s="31" t="s">
        <v>69</v>
      </c>
      <c r="E5194" s="31" t="s">
        <v>52</v>
      </c>
      <c r="F5194" s="31" t="s">
        <v>117</v>
      </c>
      <c r="G5194" s="31" t="n">
        <v>13</v>
      </c>
      <c r="H5194" s="41" t="n">
        <v>28.5</v>
      </c>
      <c r="I5194" s="31" t="s">
        <v>149</v>
      </c>
      <c r="J5194" s="31" t="n">
        <v>4</v>
      </c>
      <c r="K5194" s="31" t="s">
        <v>150</v>
      </c>
      <c r="L5194" s="45" t="n">
        <f aca="false">DATE(YEAR(B5194),MONTH(B5194),1)</f>
        <v>46266</v>
      </c>
      <c r="M5194" s="31" t="n">
        <f aca="false">WEEKDAY(B5194,2)</f>
        <v>3</v>
      </c>
      <c r="N5194" s="31" t="str">
        <f aca="false">IF(G5194&lt;=INDEX(Assumptions!$B$15:$B$18,MATCH(E5194,Assumptions!$A$15:$A$18,0)),"Yes","No")</f>
        <v>Yes</v>
      </c>
      <c r="O5194" s="31" t="str">
        <f aca="false">IF(H5194="","Open",IF(H5194&lt;=INDEX(Assumptions!$C$15:$C$18,MATCH(E5194,Assumptions!$A$15:$A$18,0)),"Yes","No"))</f>
        <v>Yes</v>
      </c>
    </row>
    <row r="5195" customFormat="false" ht="15" hidden="false" customHeight="false" outlineLevel="0" collapsed="false">
      <c r="A5195" s="31" t="s">
        <v>5345</v>
      </c>
      <c r="B5195" s="44" t="n">
        <v>46274</v>
      </c>
      <c r="C5195" s="31" t="s">
        <v>60</v>
      </c>
      <c r="D5195" s="31" t="s">
        <v>66</v>
      </c>
      <c r="E5195" s="31" t="s">
        <v>50</v>
      </c>
      <c r="F5195" s="31" t="s">
        <v>123</v>
      </c>
      <c r="G5195" s="31" t="n">
        <v>1</v>
      </c>
      <c r="H5195" s="41" t="n">
        <v>3.8</v>
      </c>
      <c r="I5195" s="31" t="s">
        <v>149</v>
      </c>
      <c r="J5195" s="31" t="n">
        <v>5</v>
      </c>
      <c r="K5195" s="31" t="s">
        <v>153</v>
      </c>
      <c r="L5195" s="45" t="n">
        <f aca="false">DATE(YEAR(B5195),MONTH(B5195),1)</f>
        <v>46266</v>
      </c>
      <c r="M5195" s="31" t="n">
        <f aca="false">WEEKDAY(B5195,2)</f>
        <v>3</v>
      </c>
      <c r="N5195" s="31" t="str">
        <f aca="false">IF(G5195&lt;=INDEX(Assumptions!$B$15:$B$18,MATCH(E5195,Assumptions!$A$15:$A$18,0)),"Yes","No")</f>
        <v>Yes</v>
      </c>
      <c r="O5195" s="31" t="str">
        <f aca="false">IF(H5195="","Open",IF(H5195&lt;=INDEX(Assumptions!$C$15:$C$18,MATCH(E5195,Assumptions!$A$15:$A$18,0)),"Yes","No"))</f>
        <v>Yes</v>
      </c>
    </row>
    <row r="5196" customFormat="false" ht="15" hidden="false" customHeight="false" outlineLevel="0" collapsed="false">
      <c r="A5196" s="31" t="s">
        <v>5346</v>
      </c>
      <c r="B5196" s="44" t="n">
        <v>46274</v>
      </c>
      <c r="C5196" s="31" t="s">
        <v>59</v>
      </c>
      <c r="D5196" s="31" t="s">
        <v>66</v>
      </c>
      <c r="E5196" s="31" t="s">
        <v>52</v>
      </c>
      <c r="F5196" s="31" t="s">
        <v>133</v>
      </c>
      <c r="G5196" s="31" t="n">
        <v>109</v>
      </c>
      <c r="H5196" s="41" t="n">
        <v>22</v>
      </c>
      <c r="I5196" s="31" t="s">
        <v>149</v>
      </c>
      <c r="J5196" s="31" t="n">
        <v>5</v>
      </c>
      <c r="K5196" s="31" t="s">
        <v>150</v>
      </c>
      <c r="L5196" s="45" t="n">
        <f aca="false">DATE(YEAR(B5196),MONTH(B5196),1)</f>
        <v>46266</v>
      </c>
      <c r="M5196" s="31" t="n">
        <f aca="false">WEEKDAY(B5196,2)</f>
        <v>3</v>
      </c>
      <c r="N5196" s="31" t="str">
        <f aca="false">IF(G5196&lt;=INDEX(Assumptions!$B$15:$B$18,MATCH(E5196,Assumptions!$A$15:$A$18,0)),"Yes","No")</f>
        <v>Yes</v>
      </c>
      <c r="O5196" s="31" t="str">
        <f aca="false">IF(H5196="","Open",IF(H5196&lt;=INDEX(Assumptions!$C$15:$C$18,MATCH(E5196,Assumptions!$A$15:$A$18,0)),"Yes","No"))</f>
        <v>Yes</v>
      </c>
    </row>
    <row r="5197" customFormat="false" ht="15" hidden="false" customHeight="false" outlineLevel="0" collapsed="false">
      <c r="A5197" s="31" t="s">
        <v>5347</v>
      </c>
      <c r="B5197" s="44" t="n">
        <v>46274</v>
      </c>
      <c r="C5197" s="31" t="s">
        <v>60</v>
      </c>
      <c r="D5197" s="31" t="s">
        <v>67</v>
      </c>
      <c r="E5197" s="31" t="s">
        <v>51</v>
      </c>
      <c r="F5197" s="31" t="s">
        <v>135</v>
      </c>
      <c r="G5197" s="31" t="n">
        <v>8</v>
      </c>
      <c r="H5197" s="41" t="n">
        <v>58</v>
      </c>
      <c r="I5197" s="31" t="s">
        <v>149</v>
      </c>
      <c r="J5197" s="31" t="n">
        <v>4</v>
      </c>
      <c r="K5197" s="31" t="s">
        <v>150</v>
      </c>
      <c r="L5197" s="45" t="n">
        <f aca="false">DATE(YEAR(B5197),MONTH(B5197),1)</f>
        <v>46266</v>
      </c>
      <c r="M5197" s="31" t="n">
        <f aca="false">WEEKDAY(B5197,2)</f>
        <v>3</v>
      </c>
      <c r="N5197" s="31" t="str">
        <f aca="false">IF(G5197&lt;=INDEX(Assumptions!$B$15:$B$18,MATCH(E5197,Assumptions!$A$15:$A$18,0)),"Yes","No")</f>
        <v>Yes</v>
      </c>
      <c r="O5197" s="31" t="str">
        <f aca="false">IF(H5197="","Open",IF(H5197&lt;=INDEX(Assumptions!$C$15:$C$18,MATCH(E5197,Assumptions!$A$15:$A$18,0)),"Yes","No"))</f>
        <v>No</v>
      </c>
    </row>
    <row r="5198" customFormat="false" ht="15" hidden="false" customHeight="false" outlineLevel="0" collapsed="false">
      <c r="A5198" s="31" t="s">
        <v>5348</v>
      </c>
      <c r="B5198" s="44" t="n">
        <v>46274</v>
      </c>
      <c r="C5198" s="31" t="s">
        <v>59</v>
      </c>
      <c r="D5198" s="31" t="s">
        <v>68</v>
      </c>
      <c r="E5198" s="31" t="s">
        <v>50</v>
      </c>
      <c r="F5198" s="31" t="s">
        <v>135</v>
      </c>
      <c r="G5198" s="31" t="n">
        <v>43</v>
      </c>
      <c r="H5198" s="41" t="n">
        <v>3.5</v>
      </c>
      <c r="I5198" s="31" t="s">
        <v>149</v>
      </c>
      <c r="J5198" s="31" t="n">
        <v>4</v>
      </c>
      <c r="K5198" s="31" t="s">
        <v>150</v>
      </c>
      <c r="L5198" s="45" t="n">
        <f aca="false">DATE(YEAR(B5198),MONTH(B5198),1)</f>
        <v>46266</v>
      </c>
      <c r="M5198" s="31" t="n">
        <f aca="false">WEEKDAY(B5198,2)</f>
        <v>3</v>
      </c>
      <c r="N5198" s="31" t="str">
        <f aca="false">IF(G5198&lt;=INDEX(Assumptions!$B$15:$B$18,MATCH(E5198,Assumptions!$A$15:$A$18,0)),"Yes","No")</f>
        <v>No</v>
      </c>
      <c r="O5198" s="31" t="str">
        <f aca="false">IF(H5198="","Open",IF(H5198&lt;=INDEX(Assumptions!$C$15:$C$18,MATCH(E5198,Assumptions!$A$15:$A$18,0)),"Yes","No"))</f>
        <v>Yes</v>
      </c>
    </row>
    <row r="5199" customFormat="false" ht="15" hidden="false" customHeight="false" outlineLevel="0" collapsed="false">
      <c r="A5199" s="31" t="s">
        <v>5349</v>
      </c>
      <c r="B5199" s="44" t="n">
        <v>46274</v>
      </c>
      <c r="C5199" s="31" t="s">
        <v>57</v>
      </c>
      <c r="D5199" s="31" t="s">
        <v>68</v>
      </c>
      <c r="E5199" s="31" t="s">
        <v>50</v>
      </c>
      <c r="F5199" s="31" t="s">
        <v>137</v>
      </c>
      <c r="G5199" s="31" t="n">
        <v>3</v>
      </c>
      <c r="H5199" s="41" t="n">
        <v>4</v>
      </c>
      <c r="I5199" s="31" t="s">
        <v>149</v>
      </c>
      <c r="J5199" s="31" t="n">
        <v>5</v>
      </c>
      <c r="K5199" s="31" t="s">
        <v>150</v>
      </c>
      <c r="L5199" s="45" t="n">
        <f aca="false">DATE(YEAR(B5199),MONTH(B5199),1)</f>
        <v>46266</v>
      </c>
      <c r="M5199" s="31" t="n">
        <f aca="false">WEEKDAY(B5199,2)</f>
        <v>3</v>
      </c>
      <c r="N5199" s="31" t="str">
        <f aca="false">IF(G5199&lt;=INDEX(Assumptions!$B$15:$B$18,MATCH(E5199,Assumptions!$A$15:$A$18,0)),"Yes","No")</f>
        <v>Yes</v>
      </c>
      <c r="O5199" s="31" t="str">
        <f aca="false">IF(H5199="","Open",IF(H5199&lt;=INDEX(Assumptions!$C$15:$C$18,MATCH(E5199,Assumptions!$A$15:$A$18,0)),"Yes","No"))</f>
        <v>Yes</v>
      </c>
    </row>
    <row r="5200" customFormat="false" ht="15" hidden="false" customHeight="false" outlineLevel="0" collapsed="false">
      <c r="A5200" s="31" t="s">
        <v>5350</v>
      </c>
      <c r="B5200" s="44" t="n">
        <v>46274</v>
      </c>
      <c r="C5200" s="31" t="s">
        <v>59</v>
      </c>
      <c r="D5200" s="31" t="s">
        <v>65</v>
      </c>
      <c r="E5200" s="31" t="s">
        <v>51</v>
      </c>
      <c r="F5200" s="31" t="s">
        <v>119</v>
      </c>
      <c r="G5200" s="31" t="n">
        <v>112</v>
      </c>
      <c r="H5200" s="41" t="n">
        <v>4.9</v>
      </c>
      <c r="I5200" s="31" t="s">
        <v>149</v>
      </c>
      <c r="J5200" s="31"/>
      <c r="K5200" s="31" t="s">
        <v>150</v>
      </c>
      <c r="L5200" s="45" t="n">
        <f aca="false">DATE(YEAR(B5200),MONTH(B5200),1)</f>
        <v>46266</v>
      </c>
      <c r="M5200" s="31" t="n">
        <f aca="false">WEEKDAY(B5200,2)</f>
        <v>3</v>
      </c>
      <c r="N5200" s="31" t="str">
        <f aca="false">IF(G5200&lt;=INDEX(Assumptions!$B$15:$B$18,MATCH(E5200,Assumptions!$A$15:$A$18,0)),"Yes","No")</f>
        <v>No</v>
      </c>
      <c r="O5200" s="31" t="str">
        <f aca="false">IF(H5200="","Open",IF(H5200&lt;=INDEX(Assumptions!$C$15:$C$18,MATCH(E5200,Assumptions!$A$15:$A$18,0)),"Yes","No"))</f>
        <v>Yes</v>
      </c>
    </row>
    <row r="5201" customFormat="false" ht="15" hidden="false" customHeight="false" outlineLevel="0" collapsed="false">
      <c r="A5201" s="31" t="s">
        <v>5351</v>
      </c>
      <c r="B5201" s="44" t="n">
        <v>46274</v>
      </c>
      <c r="C5201" s="31" t="s">
        <v>58</v>
      </c>
      <c r="D5201" s="31" t="s">
        <v>67</v>
      </c>
      <c r="E5201" s="31" t="s">
        <v>50</v>
      </c>
      <c r="F5201" s="31" t="s">
        <v>134</v>
      </c>
      <c r="G5201" s="31" t="n">
        <v>15</v>
      </c>
      <c r="H5201" s="41" t="n">
        <v>11</v>
      </c>
      <c r="I5201" s="31" t="s">
        <v>149</v>
      </c>
      <c r="J5201" s="31" t="n">
        <v>4</v>
      </c>
      <c r="K5201" s="31" t="s">
        <v>150</v>
      </c>
      <c r="L5201" s="45" t="n">
        <f aca="false">DATE(YEAR(B5201),MONTH(B5201),1)</f>
        <v>46266</v>
      </c>
      <c r="M5201" s="31" t="n">
        <f aca="false">WEEKDAY(B5201,2)</f>
        <v>3</v>
      </c>
      <c r="N5201" s="31" t="str">
        <f aca="false">IF(G5201&lt;=INDEX(Assumptions!$B$15:$B$18,MATCH(E5201,Assumptions!$A$15:$A$18,0)),"Yes","No")</f>
        <v>Yes</v>
      </c>
      <c r="O5201" s="31" t="str">
        <f aca="false">IF(H5201="","Open",IF(H5201&lt;=INDEX(Assumptions!$C$15:$C$18,MATCH(E5201,Assumptions!$A$15:$A$18,0)),"Yes","No"))</f>
        <v>No</v>
      </c>
    </row>
    <row r="5202" customFormat="false" ht="15" hidden="false" customHeight="false" outlineLevel="0" collapsed="false">
      <c r="A5202" s="31" t="s">
        <v>5352</v>
      </c>
      <c r="B5202" s="44" t="n">
        <v>46274</v>
      </c>
      <c r="C5202" s="31" t="s">
        <v>57</v>
      </c>
      <c r="D5202" s="31" t="s">
        <v>65</v>
      </c>
      <c r="E5202" s="31" t="s">
        <v>52</v>
      </c>
      <c r="F5202" s="31" t="s">
        <v>121</v>
      </c>
      <c r="G5202" s="31" t="n">
        <v>3</v>
      </c>
      <c r="H5202" s="41" t="n">
        <v>5.9</v>
      </c>
      <c r="I5202" s="31" t="s">
        <v>149</v>
      </c>
      <c r="J5202" s="31"/>
      <c r="K5202" s="31" t="s">
        <v>150</v>
      </c>
      <c r="L5202" s="45" t="n">
        <f aca="false">DATE(YEAR(B5202),MONTH(B5202),1)</f>
        <v>46266</v>
      </c>
      <c r="M5202" s="31" t="n">
        <f aca="false">WEEKDAY(B5202,2)</f>
        <v>3</v>
      </c>
      <c r="N5202" s="31" t="str">
        <f aca="false">IF(G5202&lt;=INDEX(Assumptions!$B$15:$B$18,MATCH(E5202,Assumptions!$A$15:$A$18,0)),"Yes","No")</f>
        <v>Yes</v>
      </c>
      <c r="O5202" s="31" t="str">
        <f aca="false">IF(H5202="","Open",IF(H5202&lt;=INDEX(Assumptions!$C$15:$C$18,MATCH(E5202,Assumptions!$A$15:$A$18,0)),"Yes","No"))</f>
        <v>Yes</v>
      </c>
    </row>
    <row r="5203" customFormat="false" ht="15" hidden="false" customHeight="false" outlineLevel="0" collapsed="false">
      <c r="A5203" s="31" t="s">
        <v>5353</v>
      </c>
      <c r="B5203" s="44" t="n">
        <v>46274</v>
      </c>
      <c r="C5203" s="31" t="s">
        <v>59</v>
      </c>
      <c r="D5203" s="31" t="s">
        <v>68</v>
      </c>
      <c r="E5203" s="31" t="s">
        <v>51</v>
      </c>
      <c r="F5203" s="31" t="s">
        <v>120</v>
      </c>
      <c r="G5203" s="31" t="n">
        <v>57</v>
      </c>
      <c r="H5203" s="41" t="n">
        <v>5.4</v>
      </c>
      <c r="I5203" s="31" t="s">
        <v>149</v>
      </c>
      <c r="J5203" s="31" t="n">
        <v>4</v>
      </c>
      <c r="K5203" s="31" t="s">
        <v>150</v>
      </c>
      <c r="L5203" s="45" t="n">
        <f aca="false">DATE(YEAR(B5203),MONTH(B5203),1)</f>
        <v>46266</v>
      </c>
      <c r="M5203" s="31" t="n">
        <f aca="false">WEEKDAY(B5203,2)</f>
        <v>3</v>
      </c>
      <c r="N5203" s="31" t="str">
        <f aca="false">IF(G5203&lt;=INDEX(Assumptions!$B$15:$B$18,MATCH(E5203,Assumptions!$A$15:$A$18,0)),"Yes","No")</f>
        <v>Yes</v>
      </c>
      <c r="O5203" s="31" t="str">
        <f aca="false">IF(H5203="","Open",IF(H5203&lt;=INDEX(Assumptions!$C$15:$C$18,MATCH(E5203,Assumptions!$A$15:$A$18,0)),"Yes","No"))</f>
        <v>Yes</v>
      </c>
    </row>
    <row r="5204" customFormat="false" ht="15" hidden="false" customHeight="false" outlineLevel="0" collapsed="false">
      <c r="A5204" s="31" t="s">
        <v>5354</v>
      </c>
      <c r="B5204" s="44" t="n">
        <v>46274</v>
      </c>
      <c r="C5204" s="31" t="s">
        <v>59</v>
      </c>
      <c r="D5204" s="31" t="s">
        <v>67</v>
      </c>
      <c r="E5204" s="31" t="s">
        <v>51</v>
      </c>
      <c r="F5204" s="31" t="s">
        <v>126</v>
      </c>
      <c r="G5204" s="31" t="n">
        <v>33</v>
      </c>
      <c r="H5204" s="41" t="n">
        <v>9.9</v>
      </c>
      <c r="I5204" s="31" t="s">
        <v>149</v>
      </c>
      <c r="J5204" s="31"/>
      <c r="K5204" s="31" t="s">
        <v>150</v>
      </c>
      <c r="L5204" s="45" t="n">
        <f aca="false">DATE(YEAR(B5204),MONTH(B5204),1)</f>
        <v>46266</v>
      </c>
      <c r="M5204" s="31" t="n">
        <f aca="false">WEEKDAY(B5204,2)</f>
        <v>3</v>
      </c>
      <c r="N5204" s="31" t="str">
        <f aca="false">IF(G5204&lt;=INDEX(Assumptions!$B$15:$B$18,MATCH(E5204,Assumptions!$A$15:$A$18,0)),"Yes","No")</f>
        <v>Yes</v>
      </c>
      <c r="O5204" s="31" t="str">
        <f aca="false">IF(H5204="","Open",IF(H5204&lt;=INDEX(Assumptions!$C$15:$C$18,MATCH(E5204,Assumptions!$A$15:$A$18,0)),"Yes","No"))</f>
        <v>Yes</v>
      </c>
    </row>
    <row r="5205" customFormat="false" ht="15" hidden="false" customHeight="false" outlineLevel="0" collapsed="false">
      <c r="A5205" s="31" t="s">
        <v>5355</v>
      </c>
      <c r="B5205" s="44" t="n">
        <v>46274</v>
      </c>
      <c r="C5205" s="31" t="s">
        <v>58</v>
      </c>
      <c r="D5205" s="31" t="s">
        <v>66</v>
      </c>
      <c r="E5205" s="31" t="s">
        <v>52</v>
      </c>
      <c r="F5205" s="31" t="s">
        <v>122</v>
      </c>
      <c r="G5205" s="31" t="n">
        <v>11</v>
      </c>
      <c r="H5205" s="41" t="n">
        <v>3.1</v>
      </c>
      <c r="I5205" s="31" t="s">
        <v>149</v>
      </c>
      <c r="J5205" s="31" t="n">
        <v>4</v>
      </c>
      <c r="K5205" s="31" t="s">
        <v>150</v>
      </c>
      <c r="L5205" s="45" t="n">
        <f aca="false">DATE(YEAR(B5205),MONTH(B5205),1)</f>
        <v>46266</v>
      </c>
      <c r="M5205" s="31" t="n">
        <f aca="false">WEEKDAY(B5205,2)</f>
        <v>3</v>
      </c>
      <c r="N5205" s="31" t="str">
        <f aca="false">IF(G5205&lt;=INDEX(Assumptions!$B$15:$B$18,MATCH(E5205,Assumptions!$A$15:$A$18,0)),"Yes","No")</f>
        <v>Yes</v>
      </c>
      <c r="O5205" s="31" t="str">
        <f aca="false">IF(H5205="","Open",IF(H5205&lt;=INDEX(Assumptions!$C$15:$C$18,MATCH(E5205,Assumptions!$A$15:$A$18,0)),"Yes","No"))</f>
        <v>Yes</v>
      </c>
    </row>
    <row r="5206" customFormat="false" ht="15" hidden="false" customHeight="false" outlineLevel="0" collapsed="false">
      <c r="A5206" s="31" t="s">
        <v>5356</v>
      </c>
      <c r="B5206" s="44" t="n">
        <v>46274</v>
      </c>
      <c r="C5206" s="31" t="s">
        <v>57</v>
      </c>
      <c r="D5206" s="31" t="s">
        <v>65</v>
      </c>
      <c r="E5206" s="31" t="s">
        <v>52</v>
      </c>
      <c r="F5206" s="31" t="s">
        <v>133</v>
      </c>
      <c r="G5206" s="31" t="n">
        <v>11</v>
      </c>
      <c r="H5206" s="41" t="n">
        <v>15</v>
      </c>
      <c r="I5206" s="31" t="s">
        <v>149</v>
      </c>
      <c r="J5206" s="31"/>
      <c r="K5206" s="31" t="s">
        <v>150</v>
      </c>
      <c r="L5206" s="45" t="n">
        <f aca="false">DATE(YEAR(B5206),MONTH(B5206),1)</f>
        <v>46266</v>
      </c>
      <c r="M5206" s="31" t="n">
        <f aca="false">WEEKDAY(B5206,2)</f>
        <v>3</v>
      </c>
      <c r="N5206" s="31" t="str">
        <f aca="false">IF(G5206&lt;=INDEX(Assumptions!$B$15:$B$18,MATCH(E5206,Assumptions!$A$15:$A$18,0)),"Yes","No")</f>
        <v>Yes</v>
      </c>
      <c r="O5206" s="31" t="str">
        <f aca="false">IF(H5206="","Open",IF(H5206&lt;=INDEX(Assumptions!$C$15:$C$18,MATCH(E5206,Assumptions!$A$15:$A$18,0)),"Yes","No"))</f>
        <v>Yes</v>
      </c>
    </row>
    <row r="5207" customFormat="false" ht="15" hidden="false" customHeight="false" outlineLevel="0" collapsed="false">
      <c r="A5207" s="31" t="s">
        <v>5357</v>
      </c>
      <c r="B5207" s="44" t="n">
        <v>46274</v>
      </c>
      <c r="C5207" s="31" t="s">
        <v>59</v>
      </c>
      <c r="D5207" s="31" t="s">
        <v>65</v>
      </c>
      <c r="E5207" s="31" t="s">
        <v>51</v>
      </c>
      <c r="F5207" s="31" t="s">
        <v>128</v>
      </c>
      <c r="G5207" s="31" t="n">
        <v>85</v>
      </c>
      <c r="H5207" s="41" t="n">
        <v>2.9</v>
      </c>
      <c r="I5207" s="31" t="s">
        <v>149</v>
      </c>
      <c r="J5207" s="31" t="n">
        <v>5</v>
      </c>
      <c r="K5207" s="31" t="s">
        <v>150</v>
      </c>
      <c r="L5207" s="45" t="n">
        <f aca="false">DATE(YEAR(B5207),MONTH(B5207),1)</f>
        <v>46266</v>
      </c>
      <c r="M5207" s="31" t="n">
        <f aca="false">WEEKDAY(B5207,2)</f>
        <v>3</v>
      </c>
      <c r="N5207" s="31" t="str">
        <f aca="false">IF(G5207&lt;=INDEX(Assumptions!$B$15:$B$18,MATCH(E5207,Assumptions!$A$15:$A$18,0)),"Yes","No")</f>
        <v>No</v>
      </c>
      <c r="O5207" s="31" t="str">
        <f aca="false">IF(H5207="","Open",IF(H5207&lt;=INDEX(Assumptions!$C$15:$C$18,MATCH(E5207,Assumptions!$A$15:$A$18,0)),"Yes","No"))</f>
        <v>Yes</v>
      </c>
    </row>
    <row r="5208" customFormat="false" ht="15" hidden="false" customHeight="false" outlineLevel="0" collapsed="false">
      <c r="A5208" s="31" t="s">
        <v>5358</v>
      </c>
      <c r="B5208" s="44" t="n">
        <v>46274</v>
      </c>
      <c r="C5208" s="31" t="s">
        <v>60</v>
      </c>
      <c r="D5208" s="31" t="s">
        <v>68</v>
      </c>
      <c r="E5208" s="31" t="s">
        <v>50</v>
      </c>
      <c r="F5208" s="31" t="s">
        <v>120</v>
      </c>
      <c r="G5208" s="31" t="n">
        <v>5</v>
      </c>
      <c r="H5208" s="41" t="n">
        <v>3.6</v>
      </c>
      <c r="I5208" s="31" t="s">
        <v>149</v>
      </c>
      <c r="J5208" s="31"/>
      <c r="K5208" s="31" t="s">
        <v>150</v>
      </c>
      <c r="L5208" s="45" t="n">
        <f aca="false">DATE(YEAR(B5208),MONTH(B5208),1)</f>
        <v>46266</v>
      </c>
      <c r="M5208" s="31" t="n">
        <f aca="false">WEEKDAY(B5208,2)</f>
        <v>3</v>
      </c>
      <c r="N5208" s="31" t="str">
        <f aca="false">IF(G5208&lt;=INDEX(Assumptions!$B$15:$B$18,MATCH(E5208,Assumptions!$A$15:$A$18,0)),"Yes","No")</f>
        <v>Yes</v>
      </c>
      <c r="O5208" s="31" t="str">
        <f aca="false">IF(H5208="","Open",IF(H5208&lt;=INDEX(Assumptions!$C$15:$C$18,MATCH(E5208,Assumptions!$A$15:$A$18,0)),"Yes","No"))</f>
        <v>Yes</v>
      </c>
    </row>
    <row r="5209" customFormat="false" ht="15" hidden="false" customHeight="false" outlineLevel="0" collapsed="false">
      <c r="A5209" s="31" t="s">
        <v>5359</v>
      </c>
      <c r="B5209" s="44" t="n">
        <v>46274</v>
      </c>
      <c r="C5209" s="31" t="s">
        <v>60</v>
      </c>
      <c r="D5209" s="31" t="s">
        <v>68</v>
      </c>
      <c r="E5209" s="31" t="s">
        <v>51</v>
      </c>
      <c r="F5209" s="31" t="s">
        <v>136</v>
      </c>
      <c r="G5209" s="31" t="n">
        <v>1</v>
      </c>
      <c r="H5209" s="41" t="n">
        <v>10.1</v>
      </c>
      <c r="I5209" s="31" t="s">
        <v>64</v>
      </c>
      <c r="J5209" s="31" t="n">
        <v>4</v>
      </c>
      <c r="K5209" s="31" t="s">
        <v>150</v>
      </c>
      <c r="L5209" s="45" t="n">
        <f aca="false">DATE(YEAR(B5209),MONTH(B5209),1)</f>
        <v>46266</v>
      </c>
      <c r="M5209" s="31" t="n">
        <f aca="false">WEEKDAY(B5209,2)</f>
        <v>3</v>
      </c>
      <c r="N5209" s="31" t="str">
        <f aca="false">IF(G5209&lt;=INDEX(Assumptions!$B$15:$B$18,MATCH(E5209,Assumptions!$A$15:$A$18,0)),"Yes","No")</f>
        <v>Yes</v>
      </c>
      <c r="O5209" s="31" t="str">
        <f aca="false">IF(H5209="","Open",IF(H5209&lt;=INDEX(Assumptions!$C$15:$C$18,MATCH(E5209,Assumptions!$A$15:$A$18,0)),"Yes","No"))</f>
        <v>Yes</v>
      </c>
    </row>
    <row r="5210" customFormat="false" ht="15" hidden="false" customHeight="false" outlineLevel="0" collapsed="false">
      <c r="A5210" s="31" t="s">
        <v>5360</v>
      </c>
      <c r="B5210" s="44" t="n">
        <v>46274</v>
      </c>
      <c r="C5210" s="31" t="s">
        <v>57</v>
      </c>
      <c r="D5210" s="31" t="s">
        <v>65</v>
      </c>
      <c r="E5210" s="31" t="s">
        <v>49</v>
      </c>
      <c r="F5210" s="31" t="s">
        <v>128</v>
      </c>
      <c r="G5210" s="31" t="n">
        <v>1</v>
      </c>
      <c r="H5210" s="41" t="n">
        <v>3.5</v>
      </c>
      <c r="I5210" s="31" t="s">
        <v>149</v>
      </c>
      <c r="J5210" s="31" t="n">
        <v>4</v>
      </c>
      <c r="K5210" s="31" t="s">
        <v>150</v>
      </c>
      <c r="L5210" s="45" t="n">
        <f aca="false">DATE(YEAR(B5210),MONTH(B5210),1)</f>
        <v>46266</v>
      </c>
      <c r="M5210" s="31" t="n">
        <f aca="false">WEEKDAY(B5210,2)</f>
        <v>3</v>
      </c>
      <c r="N5210" s="31" t="str">
        <f aca="false">IF(G5210&lt;=INDEX(Assumptions!$B$15:$B$18,MATCH(E5210,Assumptions!$A$15:$A$18,0)),"Yes","No")</f>
        <v>Yes</v>
      </c>
      <c r="O5210" s="31" t="str">
        <f aca="false">IF(H5210="","Open",IF(H5210&lt;=INDEX(Assumptions!$C$15:$C$18,MATCH(E5210,Assumptions!$A$15:$A$18,0)),"Yes","No"))</f>
        <v>Yes</v>
      </c>
    </row>
    <row r="5211" customFormat="false" ht="15" hidden="false" customHeight="false" outlineLevel="0" collapsed="false">
      <c r="A5211" s="31" t="s">
        <v>5361</v>
      </c>
      <c r="B5211" s="44" t="n">
        <v>46274</v>
      </c>
      <c r="C5211" s="31" t="s">
        <v>60</v>
      </c>
      <c r="D5211" s="31" t="s">
        <v>65</v>
      </c>
      <c r="E5211" s="31" t="s">
        <v>51</v>
      </c>
      <c r="F5211" s="31" t="s">
        <v>137</v>
      </c>
      <c r="G5211" s="31" t="n">
        <v>2</v>
      </c>
      <c r="H5211" s="41" t="n">
        <v>19.7</v>
      </c>
      <c r="I5211" s="31" t="s">
        <v>149</v>
      </c>
      <c r="J5211" s="31"/>
      <c r="K5211" s="31" t="s">
        <v>150</v>
      </c>
      <c r="L5211" s="45" t="n">
        <f aca="false">DATE(YEAR(B5211),MONTH(B5211),1)</f>
        <v>46266</v>
      </c>
      <c r="M5211" s="31" t="n">
        <f aca="false">WEEKDAY(B5211,2)</f>
        <v>3</v>
      </c>
      <c r="N5211" s="31" t="str">
        <f aca="false">IF(G5211&lt;=INDEX(Assumptions!$B$15:$B$18,MATCH(E5211,Assumptions!$A$15:$A$18,0)),"Yes","No")</f>
        <v>Yes</v>
      </c>
      <c r="O5211" s="31" t="str">
        <f aca="false">IF(H5211="","Open",IF(H5211&lt;=INDEX(Assumptions!$C$15:$C$18,MATCH(E5211,Assumptions!$A$15:$A$18,0)),"Yes","No"))</f>
        <v>Yes</v>
      </c>
    </row>
    <row r="5212" customFormat="false" ht="15" hidden="false" customHeight="false" outlineLevel="0" collapsed="false">
      <c r="A5212" s="31" t="s">
        <v>5362</v>
      </c>
      <c r="B5212" s="44" t="n">
        <v>46274</v>
      </c>
      <c r="C5212" s="31" t="s">
        <v>58</v>
      </c>
      <c r="D5212" s="31" t="s">
        <v>67</v>
      </c>
      <c r="E5212" s="31" t="s">
        <v>51</v>
      </c>
      <c r="F5212" s="31" t="s">
        <v>133</v>
      </c>
      <c r="G5212" s="31" t="n">
        <v>15</v>
      </c>
      <c r="H5212" s="41" t="n">
        <v>37.8</v>
      </c>
      <c r="I5212" s="31" t="s">
        <v>149</v>
      </c>
      <c r="J5212" s="31"/>
      <c r="K5212" s="31" t="s">
        <v>150</v>
      </c>
      <c r="L5212" s="45" t="n">
        <f aca="false">DATE(YEAR(B5212),MONTH(B5212),1)</f>
        <v>46266</v>
      </c>
      <c r="M5212" s="31" t="n">
        <f aca="false">WEEKDAY(B5212,2)</f>
        <v>3</v>
      </c>
      <c r="N5212" s="31" t="str">
        <f aca="false">IF(G5212&lt;=INDEX(Assumptions!$B$15:$B$18,MATCH(E5212,Assumptions!$A$15:$A$18,0)),"Yes","No")</f>
        <v>Yes</v>
      </c>
      <c r="O5212" s="31" t="str">
        <f aca="false">IF(H5212="","Open",IF(H5212&lt;=INDEX(Assumptions!$C$15:$C$18,MATCH(E5212,Assumptions!$A$15:$A$18,0)),"Yes","No"))</f>
        <v>No</v>
      </c>
    </row>
    <row r="5213" customFormat="false" ht="15" hidden="false" customHeight="false" outlineLevel="0" collapsed="false">
      <c r="A5213" s="31" t="s">
        <v>5363</v>
      </c>
      <c r="B5213" s="44" t="n">
        <v>46274</v>
      </c>
      <c r="C5213" s="31" t="s">
        <v>58</v>
      </c>
      <c r="D5213" s="31" t="s">
        <v>69</v>
      </c>
      <c r="E5213" s="31" t="s">
        <v>52</v>
      </c>
      <c r="F5213" s="31" t="s">
        <v>127</v>
      </c>
      <c r="G5213" s="31" t="n">
        <v>5</v>
      </c>
      <c r="H5213" s="41" t="n">
        <v>20.1</v>
      </c>
      <c r="I5213" s="31" t="s">
        <v>149</v>
      </c>
      <c r="J5213" s="31" t="n">
        <v>4</v>
      </c>
      <c r="K5213" s="31" t="s">
        <v>150</v>
      </c>
      <c r="L5213" s="45" t="n">
        <f aca="false">DATE(YEAR(B5213),MONTH(B5213),1)</f>
        <v>46266</v>
      </c>
      <c r="M5213" s="31" t="n">
        <f aca="false">WEEKDAY(B5213,2)</f>
        <v>3</v>
      </c>
      <c r="N5213" s="31" t="str">
        <f aca="false">IF(G5213&lt;=INDEX(Assumptions!$B$15:$B$18,MATCH(E5213,Assumptions!$A$15:$A$18,0)),"Yes","No")</f>
        <v>Yes</v>
      </c>
      <c r="O5213" s="31" t="str">
        <f aca="false">IF(H5213="","Open",IF(H5213&lt;=INDEX(Assumptions!$C$15:$C$18,MATCH(E5213,Assumptions!$A$15:$A$18,0)),"Yes","No"))</f>
        <v>Yes</v>
      </c>
    </row>
    <row r="5214" customFormat="false" ht="15" hidden="false" customHeight="false" outlineLevel="0" collapsed="false">
      <c r="A5214" s="31" t="s">
        <v>5364</v>
      </c>
      <c r="B5214" s="44" t="n">
        <v>46274</v>
      </c>
      <c r="C5214" s="31" t="s">
        <v>58</v>
      </c>
      <c r="D5214" s="31" t="s">
        <v>69</v>
      </c>
      <c r="E5214" s="31" t="s">
        <v>51</v>
      </c>
      <c r="F5214" s="31" t="s">
        <v>129</v>
      </c>
      <c r="G5214" s="31" t="n">
        <v>24</v>
      </c>
      <c r="H5214" s="41" t="n">
        <v>44.7</v>
      </c>
      <c r="I5214" s="31" t="s">
        <v>64</v>
      </c>
      <c r="J5214" s="31" t="n">
        <v>3</v>
      </c>
      <c r="K5214" s="31" t="s">
        <v>150</v>
      </c>
      <c r="L5214" s="45" t="n">
        <f aca="false">DATE(YEAR(B5214),MONTH(B5214),1)</f>
        <v>46266</v>
      </c>
      <c r="M5214" s="31" t="n">
        <f aca="false">WEEKDAY(B5214,2)</f>
        <v>3</v>
      </c>
      <c r="N5214" s="31" t="str">
        <f aca="false">IF(G5214&lt;=INDEX(Assumptions!$B$15:$B$18,MATCH(E5214,Assumptions!$A$15:$A$18,0)),"Yes","No")</f>
        <v>Yes</v>
      </c>
      <c r="O5214" s="31" t="str">
        <f aca="false">IF(H5214="","Open",IF(H5214&lt;=INDEX(Assumptions!$C$15:$C$18,MATCH(E5214,Assumptions!$A$15:$A$18,0)),"Yes","No"))</f>
        <v>No</v>
      </c>
    </row>
    <row r="5215" customFormat="false" ht="15" hidden="false" customHeight="false" outlineLevel="0" collapsed="false">
      <c r="A5215" s="31" t="s">
        <v>5365</v>
      </c>
      <c r="B5215" s="44" t="n">
        <v>46274</v>
      </c>
      <c r="C5215" s="31" t="s">
        <v>57</v>
      </c>
      <c r="D5215" s="31" t="s">
        <v>66</v>
      </c>
      <c r="E5215" s="31" t="s">
        <v>50</v>
      </c>
      <c r="F5215" s="31" t="s">
        <v>128</v>
      </c>
      <c r="G5215" s="31" t="n">
        <v>5</v>
      </c>
      <c r="H5215" s="41" t="n">
        <v>10.4</v>
      </c>
      <c r="I5215" s="31" t="s">
        <v>149</v>
      </c>
      <c r="J5215" s="31" t="n">
        <v>2</v>
      </c>
      <c r="K5215" s="31" t="s">
        <v>150</v>
      </c>
      <c r="L5215" s="45" t="n">
        <f aca="false">DATE(YEAR(B5215),MONTH(B5215),1)</f>
        <v>46266</v>
      </c>
      <c r="M5215" s="31" t="n">
        <f aca="false">WEEKDAY(B5215,2)</f>
        <v>3</v>
      </c>
      <c r="N5215" s="31" t="str">
        <f aca="false">IF(G5215&lt;=INDEX(Assumptions!$B$15:$B$18,MATCH(E5215,Assumptions!$A$15:$A$18,0)),"Yes","No")</f>
        <v>Yes</v>
      </c>
      <c r="O5215" s="31" t="str">
        <f aca="false">IF(H5215="","Open",IF(H5215&lt;=INDEX(Assumptions!$C$15:$C$18,MATCH(E5215,Assumptions!$A$15:$A$18,0)),"Yes","No"))</f>
        <v>No</v>
      </c>
    </row>
    <row r="5216" customFormat="false" ht="15" hidden="false" customHeight="false" outlineLevel="0" collapsed="false">
      <c r="A5216" s="31" t="s">
        <v>5366</v>
      </c>
      <c r="B5216" s="44" t="n">
        <v>46274</v>
      </c>
      <c r="C5216" s="31" t="s">
        <v>59</v>
      </c>
      <c r="D5216" s="31" t="s">
        <v>66</v>
      </c>
      <c r="E5216" s="31" t="s">
        <v>51</v>
      </c>
      <c r="F5216" s="31" t="s">
        <v>121</v>
      </c>
      <c r="G5216" s="31" t="n">
        <v>102</v>
      </c>
      <c r="H5216" s="41" t="n">
        <v>24.9</v>
      </c>
      <c r="I5216" s="31" t="s">
        <v>149</v>
      </c>
      <c r="J5216" s="31" t="n">
        <v>4</v>
      </c>
      <c r="K5216" s="31" t="s">
        <v>150</v>
      </c>
      <c r="L5216" s="45" t="n">
        <f aca="false">DATE(YEAR(B5216),MONTH(B5216),1)</f>
        <v>46266</v>
      </c>
      <c r="M5216" s="31" t="n">
        <f aca="false">WEEKDAY(B5216,2)</f>
        <v>3</v>
      </c>
      <c r="N5216" s="31" t="str">
        <f aca="false">IF(G5216&lt;=INDEX(Assumptions!$B$15:$B$18,MATCH(E5216,Assumptions!$A$15:$A$18,0)),"Yes","No")</f>
        <v>No</v>
      </c>
      <c r="O5216" s="31" t="str">
        <f aca="false">IF(H5216="","Open",IF(H5216&lt;=INDEX(Assumptions!$C$15:$C$18,MATCH(E5216,Assumptions!$A$15:$A$18,0)),"Yes","No"))</f>
        <v>No</v>
      </c>
    </row>
    <row r="5217" customFormat="false" ht="15" hidden="false" customHeight="false" outlineLevel="0" collapsed="false">
      <c r="A5217" s="31" t="s">
        <v>5367</v>
      </c>
      <c r="B5217" s="44" t="n">
        <v>46274</v>
      </c>
      <c r="C5217" s="31" t="s">
        <v>57</v>
      </c>
      <c r="D5217" s="31" t="s">
        <v>66</v>
      </c>
      <c r="E5217" s="31" t="s">
        <v>50</v>
      </c>
      <c r="F5217" s="31" t="s">
        <v>126</v>
      </c>
      <c r="G5217" s="31" t="n">
        <v>1</v>
      </c>
      <c r="H5217" s="41" t="n">
        <v>2.7</v>
      </c>
      <c r="I5217" s="31" t="s">
        <v>149</v>
      </c>
      <c r="J5217" s="31"/>
      <c r="K5217" s="31" t="s">
        <v>150</v>
      </c>
      <c r="L5217" s="45" t="n">
        <f aca="false">DATE(YEAR(B5217),MONTH(B5217),1)</f>
        <v>46266</v>
      </c>
      <c r="M5217" s="31" t="n">
        <f aca="false">WEEKDAY(B5217,2)</f>
        <v>3</v>
      </c>
      <c r="N5217" s="31" t="str">
        <f aca="false">IF(G5217&lt;=INDEX(Assumptions!$B$15:$B$18,MATCH(E5217,Assumptions!$A$15:$A$18,0)),"Yes","No")</f>
        <v>Yes</v>
      </c>
      <c r="O5217" s="31" t="str">
        <f aca="false">IF(H5217="","Open",IF(H5217&lt;=INDEX(Assumptions!$C$15:$C$18,MATCH(E5217,Assumptions!$A$15:$A$18,0)),"Yes","No"))</f>
        <v>Yes</v>
      </c>
    </row>
    <row r="5218" customFormat="false" ht="15" hidden="false" customHeight="false" outlineLevel="0" collapsed="false">
      <c r="A5218" s="31" t="s">
        <v>5368</v>
      </c>
      <c r="B5218" s="44" t="n">
        <v>46274</v>
      </c>
      <c r="C5218" s="31" t="s">
        <v>58</v>
      </c>
      <c r="D5218" s="31" t="s">
        <v>65</v>
      </c>
      <c r="E5218" s="31" t="s">
        <v>52</v>
      </c>
      <c r="F5218" s="31" t="s">
        <v>133</v>
      </c>
      <c r="G5218" s="31" t="n">
        <v>20</v>
      </c>
      <c r="H5218" s="41" t="n">
        <v>11.4</v>
      </c>
      <c r="I5218" s="31" t="s">
        <v>64</v>
      </c>
      <c r="J5218" s="31" t="n">
        <v>3</v>
      </c>
      <c r="K5218" s="31" t="s">
        <v>150</v>
      </c>
      <c r="L5218" s="45" t="n">
        <f aca="false">DATE(YEAR(B5218),MONTH(B5218),1)</f>
        <v>46266</v>
      </c>
      <c r="M5218" s="31" t="n">
        <f aca="false">WEEKDAY(B5218,2)</f>
        <v>3</v>
      </c>
      <c r="N5218" s="31" t="str">
        <f aca="false">IF(G5218&lt;=INDEX(Assumptions!$B$15:$B$18,MATCH(E5218,Assumptions!$A$15:$A$18,0)),"Yes","No")</f>
        <v>Yes</v>
      </c>
      <c r="O5218" s="31" t="str">
        <f aca="false">IF(H5218="","Open",IF(H5218&lt;=INDEX(Assumptions!$C$15:$C$18,MATCH(E5218,Assumptions!$A$15:$A$18,0)),"Yes","No"))</f>
        <v>Yes</v>
      </c>
    </row>
    <row r="5219" customFormat="false" ht="15" hidden="false" customHeight="false" outlineLevel="0" collapsed="false">
      <c r="A5219" s="31" t="s">
        <v>5369</v>
      </c>
      <c r="B5219" s="44" t="n">
        <v>46274</v>
      </c>
      <c r="C5219" s="31" t="s">
        <v>57</v>
      </c>
      <c r="D5219" s="31" t="s">
        <v>65</v>
      </c>
      <c r="E5219" s="31" t="s">
        <v>50</v>
      </c>
      <c r="F5219" s="31" t="s">
        <v>134</v>
      </c>
      <c r="G5219" s="31" t="n">
        <v>4</v>
      </c>
      <c r="H5219" s="41" t="n">
        <v>60.7</v>
      </c>
      <c r="I5219" s="31" t="s">
        <v>64</v>
      </c>
      <c r="J5219" s="31" t="n">
        <v>2</v>
      </c>
      <c r="K5219" s="31" t="s">
        <v>150</v>
      </c>
      <c r="L5219" s="45" t="n">
        <f aca="false">DATE(YEAR(B5219),MONTH(B5219),1)</f>
        <v>46266</v>
      </c>
      <c r="M5219" s="31" t="n">
        <f aca="false">WEEKDAY(B5219,2)</f>
        <v>3</v>
      </c>
      <c r="N5219" s="31" t="str">
        <f aca="false">IF(G5219&lt;=INDEX(Assumptions!$B$15:$B$18,MATCH(E5219,Assumptions!$A$15:$A$18,0)),"Yes","No")</f>
        <v>Yes</v>
      </c>
      <c r="O5219" s="31" t="str">
        <f aca="false">IF(H5219="","Open",IF(H5219&lt;=INDEX(Assumptions!$C$15:$C$18,MATCH(E5219,Assumptions!$A$15:$A$18,0)),"Yes","No"))</f>
        <v>No</v>
      </c>
    </row>
    <row r="5220" customFormat="false" ht="15" hidden="false" customHeight="false" outlineLevel="0" collapsed="false">
      <c r="A5220" s="31" t="s">
        <v>5370</v>
      </c>
      <c r="B5220" s="44" t="n">
        <v>46274</v>
      </c>
      <c r="C5220" s="31" t="s">
        <v>58</v>
      </c>
      <c r="D5220" s="31" t="s">
        <v>67</v>
      </c>
      <c r="E5220" s="31" t="s">
        <v>50</v>
      </c>
      <c r="F5220" s="31" t="s">
        <v>122</v>
      </c>
      <c r="G5220" s="31" t="n">
        <v>3</v>
      </c>
      <c r="H5220" s="41" t="n">
        <v>6.6</v>
      </c>
      <c r="I5220" s="31" t="s">
        <v>149</v>
      </c>
      <c r="J5220" s="31" t="n">
        <v>5</v>
      </c>
      <c r="K5220" s="31" t="s">
        <v>150</v>
      </c>
      <c r="L5220" s="45" t="n">
        <f aca="false">DATE(YEAR(B5220),MONTH(B5220),1)</f>
        <v>46266</v>
      </c>
      <c r="M5220" s="31" t="n">
        <f aca="false">WEEKDAY(B5220,2)</f>
        <v>3</v>
      </c>
      <c r="N5220" s="31" t="str">
        <f aca="false">IF(G5220&lt;=INDEX(Assumptions!$B$15:$B$18,MATCH(E5220,Assumptions!$A$15:$A$18,0)),"Yes","No")</f>
        <v>Yes</v>
      </c>
      <c r="O5220" s="31" t="str">
        <f aca="false">IF(H5220="","Open",IF(H5220&lt;=INDEX(Assumptions!$C$15:$C$18,MATCH(E5220,Assumptions!$A$15:$A$18,0)),"Yes","No"))</f>
        <v>Yes</v>
      </c>
    </row>
    <row r="5221" customFormat="false" ht="15" hidden="false" customHeight="false" outlineLevel="0" collapsed="false">
      <c r="A5221" s="31" t="s">
        <v>5371</v>
      </c>
      <c r="B5221" s="44" t="n">
        <v>46274</v>
      </c>
      <c r="C5221" s="31" t="s">
        <v>58</v>
      </c>
      <c r="D5221" s="31" t="s">
        <v>67</v>
      </c>
      <c r="E5221" s="31" t="s">
        <v>49</v>
      </c>
      <c r="F5221" s="31" t="s">
        <v>122</v>
      </c>
      <c r="G5221" s="31" t="n">
        <v>10</v>
      </c>
      <c r="H5221" s="41" t="n">
        <v>9.4</v>
      </c>
      <c r="I5221" s="31" t="s">
        <v>149</v>
      </c>
      <c r="J5221" s="31"/>
      <c r="K5221" s="31" t="s">
        <v>150</v>
      </c>
      <c r="L5221" s="45" t="n">
        <f aca="false">DATE(YEAR(B5221),MONTH(B5221),1)</f>
        <v>46266</v>
      </c>
      <c r="M5221" s="31" t="n">
        <f aca="false">WEEKDAY(B5221,2)</f>
        <v>3</v>
      </c>
      <c r="N5221" s="31" t="str">
        <f aca="false">IF(G5221&lt;=INDEX(Assumptions!$B$15:$B$18,MATCH(E5221,Assumptions!$A$15:$A$18,0)),"Yes","No")</f>
        <v>Yes</v>
      </c>
      <c r="O5221" s="31" t="str">
        <f aca="false">IF(H5221="","Open",IF(H5221&lt;=INDEX(Assumptions!$C$15:$C$18,MATCH(E5221,Assumptions!$A$15:$A$18,0)),"Yes","No"))</f>
        <v>No</v>
      </c>
    </row>
    <row r="5222" customFormat="false" ht="15" hidden="false" customHeight="false" outlineLevel="0" collapsed="false">
      <c r="A5222" s="31" t="s">
        <v>5372</v>
      </c>
      <c r="B5222" s="44" t="n">
        <v>46274</v>
      </c>
      <c r="C5222" s="31" t="s">
        <v>60</v>
      </c>
      <c r="D5222" s="31" t="s">
        <v>67</v>
      </c>
      <c r="E5222" s="31" t="s">
        <v>52</v>
      </c>
      <c r="F5222" s="31" t="s">
        <v>133</v>
      </c>
      <c r="G5222" s="31" t="n">
        <v>1</v>
      </c>
      <c r="H5222" s="41" t="n">
        <v>12.9</v>
      </c>
      <c r="I5222" s="31" t="s">
        <v>149</v>
      </c>
      <c r="J5222" s="31" t="n">
        <v>5</v>
      </c>
      <c r="K5222" s="31" t="s">
        <v>150</v>
      </c>
      <c r="L5222" s="45" t="n">
        <f aca="false">DATE(YEAR(B5222),MONTH(B5222),1)</f>
        <v>46266</v>
      </c>
      <c r="M5222" s="31" t="n">
        <f aca="false">WEEKDAY(B5222,2)</f>
        <v>3</v>
      </c>
      <c r="N5222" s="31" t="str">
        <f aca="false">IF(G5222&lt;=INDEX(Assumptions!$B$15:$B$18,MATCH(E5222,Assumptions!$A$15:$A$18,0)),"Yes","No")</f>
        <v>Yes</v>
      </c>
      <c r="O5222" s="31" t="str">
        <f aca="false">IF(H5222="","Open",IF(H5222&lt;=INDEX(Assumptions!$C$15:$C$18,MATCH(E5222,Assumptions!$A$15:$A$18,0)),"Yes","No"))</f>
        <v>Yes</v>
      </c>
    </row>
    <row r="5223" customFormat="false" ht="15" hidden="false" customHeight="false" outlineLevel="0" collapsed="false">
      <c r="A5223" s="31" t="s">
        <v>5373</v>
      </c>
      <c r="B5223" s="44" t="n">
        <v>46274</v>
      </c>
      <c r="C5223" s="31" t="s">
        <v>59</v>
      </c>
      <c r="D5223" s="31" t="s">
        <v>69</v>
      </c>
      <c r="E5223" s="31" t="s">
        <v>50</v>
      </c>
      <c r="F5223" s="31" t="s">
        <v>128</v>
      </c>
      <c r="G5223" s="31" t="n">
        <v>88</v>
      </c>
      <c r="H5223" s="41" t="n">
        <v>31.9</v>
      </c>
      <c r="I5223" s="31" t="s">
        <v>149</v>
      </c>
      <c r="J5223" s="31" t="n">
        <v>3</v>
      </c>
      <c r="K5223" s="31" t="s">
        <v>150</v>
      </c>
      <c r="L5223" s="45" t="n">
        <f aca="false">DATE(YEAR(B5223),MONTH(B5223),1)</f>
        <v>46266</v>
      </c>
      <c r="M5223" s="31" t="n">
        <f aca="false">WEEKDAY(B5223,2)</f>
        <v>3</v>
      </c>
      <c r="N5223" s="31" t="str">
        <f aca="false">IF(G5223&lt;=INDEX(Assumptions!$B$15:$B$18,MATCH(E5223,Assumptions!$A$15:$A$18,0)),"Yes","No")</f>
        <v>No</v>
      </c>
      <c r="O5223" s="31" t="str">
        <f aca="false">IF(H5223="","Open",IF(H5223&lt;=INDEX(Assumptions!$C$15:$C$18,MATCH(E5223,Assumptions!$A$15:$A$18,0)),"Yes","No"))</f>
        <v>No</v>
      </c>
    </row>
    <row r="5224" customFormat="false" ht="15" hidden="false" customHeight="false" outlineLevel="0" collapsed="false">
      <c r="A5224" s="31" t="s">
        <v>5374</v>
      </c>
      <c r="B5224" s="44" t="n">
        <v>46274</v>
      </c>
      <c r="C5224" s="31" t="s">
        <v>58</v>
      </c>
      <c r="D5224" s="31" t="s">
        <v>65</v>
      </c>
      <c r="E5224" s="31" t="s">
        <v>52</v>
      </c>
      <c r="F5224" s="31" t="s">
        <v>136</v>
      </c>
      <c r="G5224" s="31" t="n">
        <v>12</v>
      </c>
      <c r="H5224" s="41" t="n">
        <v>15.9</v>
      </c>
      <c r="I5224" s="31" t="s">
        <v>149</v>
      </c>
      <c r="J5224" s="31"/>
      <c r="K5224" s="31" t="s">
        <v>150</v>
      </c>
      <c r="L5224" s="45" t="n">
        <f aca="false">DATE(YEAR(B5224),MONTH(B5224),1)</f>
        <v>46266</v>
      </c>
      <c r="M5224" s="31" t="n">
        <f aca="false">WEEKDAY(B5224,2)</f>
        <v>3</v>
      </c>
      <c r="N5224" s="31" t="str">
        <f aca="false">IF(G5224&lt;=INDEX(Assumptions!$B$15:$B$18,MATCH(E5224,Assumptions!$A$15:$A$18,0)),"Yes","No")</f>
        <v>Yes</v>
      </c>
      <c r="O5224" s="31" t="str">
        <f aca="false">IF(H5224="","Open",IF(H5224&lt;=INDEX(Assumptions!$C$15:$C$18,MATCH(E5224,Assumptions!$A$15:$A$18,0)),"Yes","No"))</f>
        <v>Yes</v>
      </c>
    </row>
    <row r="5225" customFormat="false" ht="15" hidden="false" customHeight="false" outlineLevel="0" collapsed="false">
      <c r="A5225" s="31" t="s">
        <v>5375</v>
      </c>
      <c r="B5225" s="44" t="n">
        <v>46274</v>
      </c>
      <c r="C5225" s="31" t="s">
        <v>57</v>
      </c>
      <c r="D5225" s="31" t="s">
        <v>65</v>
      </c>
      <c r="E5225" s="31" t="s">
        <v>49</v>
      </c>
      <c r="F5225" s="31" t="s">
        <v>117</v>
      </c>
      <c r="G5225" s="31" t="n">
        <v>1</v>
      </c>
      <c r="H5225" s="41" t="n">
        <v>4.9</v>
      </c>
      <c r="I5225" s="31" t="s">
        <v>149</v>
      </c>
      <c r="J5225" s="31"/>
      <c r="K5225" s="31" t="s">
        <v>150</v>
      </c>
      <c r="L5225" s="45" t="n">
        <f aca="false">DATE(YEAR(B5225),MONTH(B5225),1)</f>
        <v>46266</v>
      </c>
      <c r="M5225" s="31" t="n">
        <f aca="false">WEEKDAY(B5225,2)</f>
        <v>3</v>
      </c>
      <c r="N5225" s="31" t="str">
        <f aca="false">IF(G5225&lt;=INDEX(Assumptions!$B$15:$B$18,MATCH(E5225,Assumptions!$A$15:$A$18,0)),"Yes","No")</f>
        <v>Yes</v>
      </c>
      <c r="O5225" s="31" t="str">
        <f aca="false">IF(H5225="","Open",IF(H5225&lt;=INDEX(Assumptions!$C$15:$C$18,MATCH(E5225,Assumptions!$A$15:$A$18,0)),"Yes","No"))</f>
        <v>No</v>
      </c>
    </row>
    <row r="5226" customFormat="false" ht="15" hidden="false" customHeight="false" outlineLevel="0" collapsed="false">
      <c r="A5226" s="31" t="s">
        <v>5376</v>
      </c>
      <c r="B5226" s="44" t="n">
        <v>46274</v>
      </c>
      <c r="C5226" s="31" t="s">
        <v>57</v>
      </c>
      <c r="D5226" s="31" t="s">
        <v>67</v>
      </c>
      <c r="E5226" s="31" t="s">
        <v>51</v>
      </c>
      <c r="F5226" s="31" t="s">
        <v>124</v>
      </c>
      <c r="G5226" s="31" t="n">
        <v>3</v>
      </c>
      <c r="H5226" s="41" t="n">
        <v>7.6</v>
      </c>
      <c r="I5226" s="31" t="s">
        <v>149</v>
      </c>
      <c r="J5226" s="31" t="n">
        <v>5</v>
      </c>
      <c r="K5226" s="31" t="s">
        <v>150</v>
      </c>
      <c r="L5226" s="45" t="n">
        <f aca="false">DATE(YEAR(B5226),MONTH(B5226),1)</f>
        <v>46266</v>
      </c>
      <c r="M5226" s="31" t="n">
        <f aca="false">WEEKDAY(B5226,2)</f>
        <v>3</v>
      </c>
      <c r="N5226" s="31" t="str">
        <f aca="false">IF(G5226&lt;=INDEX(Assumptions!$B$15:$B$18,MATCH(E5226,Assumptions!$A$15:$A$18,0)),"Yes","No")</f>
        <v>Yes</v>
      </c>
      <c r="O5226" s="31" t="str">
        <f aca="false">IF(H5226="","Open",IF(H5226&lt;=INDEX(Assumptions!$C$15:$C$18,MATCH(E5226,Assumptions!$A$15:$A$18,0)),"Yes","No"))</f>
        <v>Yes</v>
      </c>
    </row>
    <row r="5227" customFormat="false" ht="15" hidden="false" customHeight="false" outlineLevel="0" collapsed="false">
      <c r="A5227" s="31" t="s">
        <v>5377</v>
      </c>
      <c r="B5227" s="44" t="n">
        <v>46274</v>
      </c>
      <c r="C5227" s="31" t="s">
        <v>57</v>
      </c>
      <c r="D5227" s="31" t="s">
        <v>66</v>
      </c>
      <c r="E5227" s="31" t="s">
        <v>52</v>
      </c>
      <c r="F5227" s="31" t="s">
        <v>126</v>
      </c>
      <c r="G5227" s="31" t="n">
        <v>3</v>
      </c>
      <c r="H5227" s="41" t="n">
        <v>9.7</v>
      </c>
      <c r="I5227" s="31" t="s">
        <v>149</v>
      </c>
      <c r="J5227" s="31" t="n">
        <v>5</v>
      </c>
      <c r="K5227" s="31" t="s">
        <v>150</v>
      </c>
      <c r="L5227" s="45" t="n">
        <f aca="false">DATE(YEAR(B5227),MONTH(B5227),1)</f>
        <v>46266</v>
      </c>
      <c r="M5227" s="31" t="n">
        <f aca="false">WEEKDAY(B5227,2)</f>
        <v>3</v>
      </c>
      <c r="N5227" s="31" t="str">
        <f aca="false">IF(G5227&lt;=INDEX(Assumptions!$B$15:$B$18,MATCH(E5227,Assumptions!$A$15:$A$18,0)),"Yes","No")</f>
        <v>Yes</v>
      </c>
      <c r="O5227" s="31" t="str">
        <f aca="false">IF(H5227="","Open",IF(H5227&lt;=INDEX(Assumptions!$C$15:$C$18,MATCH(E5227,Assumptions!$A$15:$A$18,0)),"Yes","No"))</f>
        <v>Yes</v>
      </c>
    </row>
    <row r="5228" customFormat="false" ht="15" hidden="false" customHeight="false" outlineLevel="0" collapsed="false">
      <c r="A5228" s="31" t="s">
        <v>5378</v>
      </c>
      <c r="B5228" s="44" t="n">
        <v>46274</v>
      </c>
      <c r="C5228" s="31" t="s">
        <v>57</v>
      </c>
      <c r="D5228" s="31" t="s">
        <v>65</v>
      </c>
      <c r="E5228" s="31" t="s">
        <v>51</v>
      </c>
      <c r="F5228" s="31" t="s">
        <v>121</v>
      </c>
      <c r="G5228" s="31" t="n">
        <v>8</v>
      </c>
      <c r="H5228" s="41" t="n">
        <v>15.2</v>
      </c>
      <c r="I5228" s="31" t="s">
        <v>149</v>
      </c>
      <c r="J5228" s="31" t="n">
        <v>4</v>
      </c>
      <c r="K5228" s="31" t="s">
        <v>150</v>
      </c>
      <c r="L5228" s="45" t="n">
        <f aca="false">DATE(YEAR(B5228),MONTH(B5228),1)</f>
        <v>46266</v>
      </c>
      <c r="M5228" s="31" t="n">
        <f aca="false">WEEKDAY(B5228,2)</f>
        <v>3</v>
      </c>
      <c r="N5228" s="31" t="str">
        <f aca="false">IF(G5228&lt;=INDEX(Assumptions!$B$15:$B$18,MATCH(E5228,Assumptions!$A$15:$A$18,0)),"Yes","No")</f>
        <v>Yes</v>
      </c>
      <c r="O5228" s="31" t="str">
        <f aca="false">IF(H5228="","Open",IF(H5228&lt;=INDEX(Assumptions!$C$15:$C$18,MATCH(E5228,Assumptions!$A$15:$A$18,0)),"Yes","No"))</f>
        <v>Yes</v>
      </c>
    </row>
    <row r="5229" customFormat="false" ht="15" hidden="false" customHeight="false" outlineLevel="0" collapsed="false">
      <c r="A5229" s="31" t="s">
        <v>5379</v>
      </c>
      <c r="B5229" s="44" t="n">
        <v>46275</v>
      </c>
      <c r="C5229" s="31" t="s">
        <v>60</v>
      </c>
      <c r="D5229" s="31" t="s">
        <v>67</v>
      </c>
      <c r="E5229" s="31" t="s">
        <v>51</v>
      </c>
      <c r="F5229" s="31" t="s">
        <v>126</v>
      </c>
      <c r="G5229" s="31" t="n">
        <v>2</v>
      </c>
      <c r="H5229" s="41" t="n">
        <v>7.2</v>
      </c>
      <c r="I5229" s="31" t="s">
        <v>149</v>
      </c>
      <c r="J5229" s="31" t="n">
        <v>5</v>
      </c>
      <c r="K5229" s="31" t="s">
        <v>150</v>
      </c>
      <c r="L5229" s="45" t="n">
        <f aca="false">DATE(YEAR(B5229),MONTH(B5229),1)</f>
        <v>46266</v>
      </c>
      <c r="M5229" s="31" t="n">
        <f aca="false">WEEKDAY(B5229,2)</f>
        <v>4</v>
      </c>
      <c r="N5229" s="31" t="str">
        <f aca="false">IF(G5229&lt;=INDEX(Assumptions!$B$15:$B$18,MATCH(E5229,Assumptions!$A$15:$A$18,0)),"Yes","No")</f>
        <v>Yes</v>
      </c>
      <c r="O5229" s="31" t="str">
        <f aca="false">IF(H5229="","Open",IF(H5229&lt;=INDEX(Assumptions!$C$15:$C$18,MATCH(E5229,Assumptions!$A$15:$A$18,0)),"Yes","No"))</f>
        <v>Yes</v>
      </c>
    </row>
    <row r="5230" customFormat="false" ht="15" hidden="false" customHeight="false" outlineLevel="0" collapsed="false">
      <c r="A5230" s="31" t="s">
        <v>5380</v>
      </c>
      <c r="B5230" s="44" t="n">
        <v>46275</v>
      </c>
      <c r="C5230" s="31" t="s">
        <v>57</v>
      </c>
      <c r="D5230" s="31" t="s">
        <v>68</v>
      </c>
      <c r="E5230" s="31" t="s">
        <v>52</v>
      </c>
      <c r="F5230" s="31" t="s">
        <v>134</v>
      </c>
      <c r="G5230" s="31" t="n">
        <v>11</v>
      </c>
      <c r="H5230" s="41" t="n">
        <v>8</v>
      </c>
      <c r="I5230" s="31" t="s">
        <v>149</v>
      </c>
      <c r="J5230" s="31" t="n">
        <v>4</v>
      </c>
      <c r="K5230" s="31" t="s">
        <v>150</v>
      </c>
      <c r="L5230" s="45" t="n">
        <f aca="false">DATE(YEAR(B5230),MONTH(B5230),1)</f>
        <v>46266</v>
      </c>
      <c r="M5230" s="31" t="n">
        <f aca="false">WEEKDAY(B5230,2)</f>
        <v>4</v>
      </c>
      <c r="N5230" s="31" t="str">
        <f aca="false">IF(G5230&lt;=INDEX(Assumptions!$B$15:$B$18,MATCH(E5230,Assumptions!$A$15:$A$18,0)),"Yes","No")</f>
        <v>Yes</v>
      </c>
      <c r="O5230" s="31" t="str">
        <f aca="false">IF(H5230="","Open",IF(H5230&lt;=INDEX(Assumptions!$C$15:$C$18,MATCH(E5230,Assumptions!$A$15:$A$18,0)),"Yes","No"))</f>
        <v>Yes</v>
      </c>
    </row>
    <row r="5231" customFormat="false" ht="15" hidden="false" customHeight="false" outlineLevel="0" collapsed="false">
      <c r="A5231" s="31" t="s">
        <v>5381</v>
      </c>
      <c r="B5231" s="44" t="n">
        <v>46275</v>
      </c>
      <c r="C5231" s="31" t="s">
        <v>57</v>
      </c>
      <c r="D5231" s="31" t="s">
        <v>68</v>
      </c>
      <c r="E5231" s="31" t="s">
        <v>50</v>
      </c>
      <c r="F5231" s="31" t="s">
        <v>128</v>
      </c>
      <c r="G5231" s="31" t="n">
        <v>12</v>
      </c>
      <c r="H5231" s="41" t="n">
        <v>4.9</v>
      </c>
      <c r="I5231" s="31" t="s">
        <v>64</v>
      </c>
      <c r="J5231" s="31"/>
      <c r="K5231" s="31" t="s">
        <v>153</v>
      </c>
      <c r="L5231" s="45" t="n">
        <f aca="false">DATE(YEAR(B5231),MONTH(B5231),1)</f>
        <v>46266</v>
      </c>
      <c r="M5231" s="31" t="n">
        <f aca="false">WEEKDAY(B5231,2)</f>
        <v>4</v>
      </c>
      <c r="N5231" s="31" t="str">
        <f aca="false">IF(G5231&lt;=INDEX(Assumptions!$B$15:$B$18,MATCH(E5231,Assumptions!$A$15:$A$18,0)),"Yes","No")</f>
        <v>Yes</v>
      </c>
      <c r="O5231" s="31" t="str">
        <f aca="false">IF(H5231="","Open",IF(H5231&lt;=INDEX(Assumptions!$C$15:$C$18,MATCH(E5231,Assumptions!$A$15:$A$18,0)),"Yes","No"))</f>
        <v>Yes</v>
      </c>
    </row>
    <row r="5232" customFormat="false" ht="15" hidden="false" customHeight="false" outlineLevel="0" collapsed="false">
      <c r="A5232" s="31" t="s">
        <v>5382</v>
      </c>
      <c r="B5232" s="44" t="n">
        <v>46275</v>
      </c>
      <c r="C5232" s="31" t="s">
        <v>60</v>
      </c>
      <c r="D5232" s="31" t="s">
        <v>66</v>
      </c>
      <c r="E5232" s="31" t="s">
        <v>51</v>
      </c>
      <c r="F5232" s="31" t="s">
        <v>119</v>
      </c>
      <c r="G5232" s="31" t="n">
        <v>2</v>
      </c>
      <c r="H5232" s="41"/>
      <c r="I5232" s="31" t="s">
        <v>158</v>
      </c>
      <c r="J5232" s="31"/>
      <c r="K5232" s="31" t="s">
        <v>150</v>
      </c>
      <c r="L5232" s="45" t="n">
        <f aca="false">DATE(YEAR(B5232),MONTH(B5232),1)</f>
        <v>46266</v>
      </c>
      <c r="M5232" s="31" t="n">
        <f aca="false">WEEKDAY(B5232,2)</f>
        <v>4</v>
      </c>
      <c r="N5232" s="31" t="str">
        <f aca="false">IF(G5232&lt;=INDEX(Assumptions!$B$15:$B$18,MATCH(E5232,Assumptions!$A$15:$A$18,0)),"Yes","No")</f>
        <v>Yes</v>
      </c>
      <c r="O5232" s="31" t="str">
        <f aca="false">IF(H5232="","Open",IF(H5232&lt;=INDEX(Assumptions!$C$15:$C$18,MATCH(E5232,Assumptions!$A$15:$A$18,0)),"Yes","No"))</f>
        <v>Open</v>
      </c>
    </row>
    <row r="5233" customFormat="false" ht="15" hidden="false" customHeight="false" outlineLevel="0" collapsed="false">
      <c r="A5233" s="31" t="s">
        <v>5383</v>
      </c>
      <c r="B5233" s="44" t="n">
        <v>46275</v>
      </c>
      <c r="C5233" s="31" t="s">
        <v>58</v>
      </c>
      <c r="D5233" s="31" t="s">
        <v>68</v>
      </c>
      <c r="E5233" s="31" t="s">
        <v>50</v>
      </c>
      <c r="F5233" s="31" t="s">
        <v>117</v>
      </c>
      <c r="G5233" s="31" t="n">
        <v>5</v>
      </c>
      <c r="H5233" s="41" t="n">
        <v>2</v>
      </c>
      <c r="I5233" s="31" t="s">
        <v>149</v>
      </c>
      <c r="J5233" s="31"/>
      <c r="K5233" s="31" t="s">
        <v>150</v>
      </c>
      <c r="L5233" s="45" t="n">
        <f aca="false">DATE(YEAR(B5233),MONTH(B5233),1)</f>
        <v>46266</v>
      </c>
      <c r="M5233" s="31" t="n">
        <f aca="false">WEEKDAY(B5233,2)</f>
        <v>4</v>
      </c>
      <c r="N5233" s="31" t="str">
        <f aca="false">IF(G5233&lt;=INDEX(Assumptions!$B$15:$B$18,MATCH(E5233,Assumptions!$A$15:$A$18,0)),"Yes","No")</f>
        <v>Yes</v>
      </c>
      <c r="O5233" s="31" t="str">
        <f aca="false">IF(H5233="","Open",IF(H5233&lt;=INDEX(Assumptions!$C$15:$C$18,MATCH(E5233,Assumptions!$A$15:$A$18,0)),"Yes","No"))</f>
        <v>Yes</v>
      </c>
    </row>
    <row r="5234" customFormat="false" ht="15" hidden="false" customHeight="false" outlineLevel="0" collapsed="false">
      <c r="A5234" s="31" t="s">
        <v>5384</v>
      </c>
      <c r="B5234" s="44" t="n">
        <v>46275</v>
      </c>
      <c r="C5234" s="31" t="s">
        <v>57</v>
      </c>
      <c r="D5234" s="31" t="s">
        <v>65</v>
      </c>
      <c r="E5234" s="31" t="s">
        <v>49</v>
      </c>
      <c r="F5234" s="31" t="s">
        <v>130</v>
      </c>
      <c r="G5234" s="31" t="n">
        <v>3</v>
      </c>
      <c r="H5234" s="41" t="n">
        <v>1</v>
      </c>
      <c r="I5234" s="31" t="s">
        <v>149</v>
      </c>
      <c r="J5234" s="31" t="n">
        <v>5</v>
      </c>
      <c r="K5234" s="31" t="s">
        <v>150</v>
      </c>
      <c r="L5234" s="45" t="n">
        <f aca="false">DATE(YEAR(B5234),MONTH(B5234),1)</f>
        <v>46266</v>
      </c>
      <c r="M5234" s="31" t="n">
        <f aca="false">WEEKDAY(B5234,2)</f>
        <v>4</v>
      </c>
      <c r="N5234" s="31" t="str">
        <f aca="false">IF(G5234&lt;=INDEX(Assumptions!$B$15:$B$18,MATCH(E5234,Assumptions!$A$15:$A$18,0)),"Yes","No")</f>
        <v>Yes</v>
      </c>
      <c r="O5234" s="31" t="str">
        <f aca="false">IF(H5234="","Open",IF(H5234&lt;=INDEX(Assumptions!$C$15:$C$18,MATCH(E5234,Assumptions!$A$15:$A$18,0)),"Yes","No"))</f>
        <v>Yes</v>
      </c>
    </row>
    <row r="5235" customFormat="false" ht="15" hidden="false" customHeight="false" outlineLevel="0" collapsed="false">
      <c r="A5235" s="31" t="s">
        <v>5385</v>
      </c>
      <c r="B5235" s="44" t="n">
        <v>46275</v>
      </c>
      <c r="C5235" s="31" t="s">
        <v>60</v>
      </c>
      <c r="D5235" s="31" t="s">
        <v>67</v>
      </c>
      <c r="E5235" s="31" t="s">
        <v>51</v>
      </c>
      <c r="F5235" s="31" t="s">
        <v>126</v>
      </c>
      <c r="G5235" s="31" t="n">
        <v>3</v>
      </c>
      <c r="H5235" s="41" t="n">
        <v>3.6</v>
      </c>
      <c r="I5235" s="31" t="s">
        <v>149</v>
      </c>
      <c r="J5235" s="31" t="n">
        <v>4</v>
      </c>
      <c r="K5235" s="31" t="s">
        <v>150</v>
      </c>
      <c r="L5235" s="45" t="n">
        <f aca="false">DATE(YEAR(B5235),MONTH(B5235),1)</f>
        <v>46266</v>
      </c>
      <c r="M5235" s="31" t="n">
        <f aca="false">WEEKDAY(B5235,2)</f>
        <v>4</v>
      </c>
      <c r="N5235" s="31" t="str">
        <f aca="false">IF(G5235&lt;=INDEX(Assumptions!$B$15:$B$18,MATCH(E5235,Assumptions!$A$15:$A$18,0)),"Yes","No")</f>
        <v>Yes</v>
      </c>
      <c r="O5235" s="31" t="str">
        <f aca="false">IF(H5235="","Open",IF(H5235&lt;=INDEX(Assumptions!$C$15:$C$18,MATCH(E5235,Assumptions!$A$15:$A$18,0)),"Yes","No"))</f>
        <v>Yes</v>
      </c>
    </row>
    <row r="5236" customFormat="false" ht="15" hidden="false" customHeight="false" outlineLevel="0" collapsed="false">
      <c r="A5236" s="31" t="s">
        <v>5386</v>
      </c>
      <c r="B5236" s="44" t="n">
        <v>46275</v>
      </c>
      <c r="C5236" s="31" t="s">
        <v>60</v>
      </c>
      <c r="D5236" s="31" t="s">
        <v>68</v>
      </c>
      <c r="E5236" s="31" t="s">
        <v>51</v>
      </c>
      <c r="F5236" s="31" t="s">
        <v>134</v>
      </c>
      <c r="G5236" s="31" t="n">
        <v>5</v>
      </c>
      <c r="H5236" s="41" t="n">
        <v>5</v>
      </c>
      <c r="I5236" s="31" t="s">
        <v>149</v>
      </c>
      <c r="J5236" s="31" t="n">
        <v>4</v>
      </c>
      <c r="K5236" s="31" t="s">
        <v>150</v>
      </c>
      <c r="L5236" s="45" t="n">
        <f aca="false">DATE(YEAR(B5236),MONTH(B5236),1)</f>
        <v>46266</v>
      </c>
      <c r="M5236" s="31" t="n">
        <f aca="false">WEEKDAY(B5236,2)</f>
        <v>4</v>
      </c>
      <c r="N5236" s="31" t="str">
        <f aca="false">IF(G5236&lt;=INDEX(Assumptions!$B$15:$B$18,MATCH(E5236,Assumptions!$A$15:$A$18,0)),"Yes","No")</f>
        <v>Yes</v>
      </c>
      <c r="O5236" s="31" t="str">
        <f aca="false">IF(H5236="","Open",IF(H5236&lt;=INDEX(Assumptions!$C$15:$C$18,MATCH(E5236,Assumptions!$A$15:$A$18,0)),"Yes","No"))</f>
        <v>Yes</v>
      </c>
    </row>
    <row r="5237" customFormat="false" ht="15" hidden="false" customHeight="false" outlineLevel="0" collapsed="false">
      <c r="A5237" s="31" t="s">
        <v>5387</v>
      </c>
      <c r="B5237" s="44" t="n">
        <v>46275</v>
      </c>
      <c r="C5237" s="31" t="s">
        <v>59</v>
      </c>
      <c r="D5237" s="31" t="s">
        <v>65</v>
      </c>
      <c r="E5237" s="31" t="s">
        <v>51</v>
      </c>
      <c r="F5237" s="31" t="s">
        <v>135</v>
      </c>
      <c r="G5237" s="31" t="n">
        <v>56</v>
      </c>
      <c r="H5237" s="41" t="n">
        <v>35.5</v>
      </c>
      <c r="I5237" s="31" t="s">
        <v>149</v>
      </c>
      <c r="J5237" s="31" t="n">
        <v>3</v>
      </c>
      <c r="K5237" s="31" t="s">
        <v>150</v>
      </c>
      <c r="L5237" s="45" t="n">
        <f aca="false">DATE(YEAR(B5237),MONTH(B5237),1)</f>
        <v>46266</v>
      </c>
      <c r="M5237" s="31" t="n">
        <f aca="false">WEEKDAY(B5237,2)</f>
        <v>4</v>
      </c>
      <c r="N5237" s="31" t="str">
        <f aca="false">IF(G5237&lt;=INDEX(Assumptions!$B$15:$B$18,MATCH(E5237,Assumptions!$A$15:$A$18,0)),"Yes","No")</f>
        <v>Yes</v>
      </c>
      <c r="O5237" s="31" t="str">
        <f aca="false">IF(H5237="","Open",IF(H5237&lt;=INDEX(Assumptions!$C$15:$C$18,MATCH(E5237,Assumptions!$A$15:$A$18,0)),"Yes","No"))</f>
        <v>No</v>
      </c>
    </row>
    <row r="5238" customFormat="false" ht="15" hidden="false" customHeight="false" outlineLevel="0" collapsed="false">
      <c r="A5238" s="31" t="s">
        <v>5388</v>
      </c>
      <c r="B5238" s="44" t="n">
        <v>46275</v>
      </c>
      <c r="C5238" s="31" t="s">
        <v>59</v>
      </c>
      <c r="D5238" s="31" t="s">
        <v>66</v>
      </c>
      <c r="E5238" s="31" t="s">
        <v>51</v>
      </c>
      <c r="F5238" s="31" t="s">
        <v>134</v>
      </c>
      <c r="G5238" s="31" t="n">
        <v>226</v>
      </c>
      <c r="H5238" s="41" t="n">
        <v>4.3</v>
      </c>
      <c r="I5238" s="31" t="s">
        <v>149</v>
      </c>
      <c r="J5238" s="31"/>
      <c r="K5238" s="31" t="s">
        <v>150</v>
      </c>
      <c r="L5238" s="45" t="n">
        <f aca="false">DATE(YEAR(B5238),MONTH(B5238),1)</f>
        <v>46266</v>
      </c>
      <c r="M5238" s="31" t="n">
        <f aca="false">WEEKDAY(B5238,2)</f>
        <v>4</v>
      </c>
      <c r="N5238" s="31" t="str">
        <f aca="false">IF(G5238&lt;=INDEX(Assumptions!$B$15:$B$18,MATCH(E5238,Assumptions!$A$15:$A$18,0)),"Yes","No")</f>
        <v>No</v>
      </c>
      <c r="O5238" s="31" t="str">
        <f aca="false">IF(H5238="","Open",IF(H5238&lt;=INDEX(Assumptions!$C$15:$C$18,MATCH(E5238,Assumptions!$A$15:$A$18,0)),"Yes","No"))</f>
        <v>Yes</v>
      </c>
    </row>
    <row r="5239" customFormat="false" ht="15" hidden="false" customHeight="false" outlineLevel="0" collapsed="false">
      <c r="A5239" s="31" t="s">
        <v>5389</v>
      </c>
      <c r="B5239" s="44" t="n">
        <v>46275</v>
      </c>
      <c r="C5239" s="31" t="s">
        <v>60</v>
      </c>
      <c r="D5239" s="31" t="s">
        <v>66</v>
      </c>
      <c r="E5239" s="31" t="s">
        <v>51</v>
      </c>
      <c r="F5239" s="31" t="s">
        <v>129</v>
      </c>
      <c r="G5239" s="31" t="n">
        <v>3</v>
      </c>
      <c r="H5239" s="41" t="n">
        <v>3.3</v>
      </c>
      <c r="I5239" s="31" t="s">
        <v>149</v>
      </c>
      <c r="J5239" s="31"/>
      <c r="K5239" s="31" t="s">
        <v>150</v>
      </c>
      <c r="L5239" s="45" t="n">
        <f aca="false">DATE(YEAR(B5239),MONTH(B5239),1)</f>
        <v>46266</v>
      </c>
      <c r="M5239" s="31" t="n">
        <f aca="false">WEEKDAY(B5239,2)</f>
        <v>4</v>
      </c>
      <c r="N5239" s="31" t="str">
        <f aca="false">IF(G5239&lt;=INDEX(Assumptions!$B$15:$B$18,MATCH(E5239,Assumptions!$A$15:$A$18,0)),"Yes","No")</f>
        <v>Yes</v>
      </c>
      <c r="O5239" s="31" t="str">
        <f aca="false">IF(H5239="","Open",IF(H5239&lt;=INDEX(Assumptions!$C$15:$C$18,MATCH(E5239,Assumptions!$A$15:$A$18,0)),"Yes","No"))</f>
        <v>Yes</v>
      </c>
    </row>
    <row r="5240" customFormat="false" ht="15" hidden="false" customHeight="false" outlineLevel="0" collapsed="false">
      <c r="A5240" s="31" t="s">
        <v>5390</v>
      </c>
      <c r="B5240" s="44" t="n">
        <v>46275</v>
      </c>
      <c r="C5240" s="31" t="s">
        <v>57</v>
      </c>
      <c r="D5240" s="31" t="s">
        <v>66</v>
      </c>
      <c r="E5240" s="31" t="s">
        <v>50</v>
      </c>
      <c r="F5240" s="31" t="s">
        <v>122</v>
      </c>
      <c r="G5240" s="31" t="n">
        <v>1</v>
      </c>
      <c r="H5240" s="41" t="n">
        <v>2.8</v>
      </c>
      <c r="I5240" s="31" t="s">
        <v>149</v>
      </c>
      <c r="J5240" s="31" t="n">
        <v>5</v>
      </c>
      <c r="K5240" s="31" t="s">
        <v>150</v>
      </c>
      <c r="L5240" s="45" t="n">
        <f aca="false">DATE(YEAR(B5240),MONTH(B5240),1)</f>
        <v>46266</v>
      </c>
      <c r="M5240" s="31" t="n">
        <f aca="false">WEEKDAY(B5240,2)</f>
        <v>4</v>
      </c>
      <c r="N5240" s="31" t="str">
        <f aca="false">IF(G5240&lt;=INDEX(Assumptions!$B$15:$B$18,MATCH(E5240,Assumptions!$A$15:$A$18,0)),"Yes","No")</f>
        <v>Yes</v>
      </c>
      <c r="O5240" s="31" t="str">
        <f aca="false">IF(H5240="","Open",IF(H5240&lt;=INDEX(Assumptions!$C$15:$C$18,MATCH(E5240,Assumptions!$A$15:$A$18,0)),"Yes","No"))</f>
        <v>Yes</v>
      </c>
    </row>
    <row r="5241" customFormat="false" ht="15" hidden="false" customHeight="false" outlineLevel="0" collapsed="false">
      <c r="A5241" s="31" t="s">
        <v>5391</v>
      </c>
      <c r="B5241" s="44" t="n">
        <v>46275</v>
      </c>
      <c r="C5241" s="31" t="s">
        <v>59</v>
      </c>
      <c r="D5241" s="31" t="s">
        <v>68</v>
      </c>
      <c r="E5241" s="31" t="s">
        <v>51</v>
      </c>
      <c r="F5241" s="31" t="s">
        <v>123</v>
      </c>
      <c r="G5241" s="31" t="n">
        <v>70</v>
      </c>
      <c r="H5241" s="41" t="n">
        <v>1.7</v>
      </c>
      <c r="I5241" s="31" t="s">
        <v>149</v>
      </c>
      <c r="J5241" s="31" t="n">
        <v>4</v>
      </c>
      <c r="K5241" s="31" t="s">
        <v>150</v>
      </c>
      <c r="L5241" s="45" t="n">
        <f aca="false">DATE(YEAR(B5241),MONTH(B5241),1)</f>
        <v>46266</v>
      </c>
      <c r="M5241" s="31" t="n">
        <f aca="false">WEEKDAY(B5241,2)</f>
        <v>4</v>
      </c>
      <c r="N5241" s="31" t="str">
        <f aca="false">IF(G5241&lt;=INDEX(Assumptions!$B$15:$B$18,MATCH(E5241,Assumptions!$A$15:$A$18,0)),"Yes","No")</f>
        <v>No</v>
      </c>
      <c r="O5241" s="31" t="str">
        <f aca="false">IF(H5241="","Open",IF(H5241&lt;=INDEX(Assumptions!$C$15:$C$18,MATCH(E5241,Assumptions!$A$15:$A$18,0)),"Yes","No"))</f>
        <v>Yes</v>
      </c>
    </row>
    <row r="5242" customFormat="false" ht="15" hidden="false" customHeight="false" outlineLevel="0" collapsed="false">
      <c r="A5242" s="31" t="s">
        <v>5392</v>
      </c>
      <c r="B5242" s="44" t="n">
        <v>46275</v>
      </c>
      <c r="C5242" s="31" t="s">
        <v>58</v>
      </c>
      <c r="D5242" s="31" t="s">
        <v>65</v>
      </c>
      <c r="E5242" s="31" t="s">
        <v>51</v>
      </c>
      <c r="F5242" s="31" t="s">
        <v>123</v>
      </c>
      <c r="G5242" s="31" t="n">
        <v>11</v>
      </c>
      <c r="H5242" s="41" t="n">
        <v>15.5</v>
      </c>
      <c r="I5242" s="31" t="s">
        <v>149</v>
      </c>
      <c r="J5242" s="31" t="n">
        <v>4</v>
      </c>
      <c r="K5242" s="31" t="s">
        <v>150</v>
      </c>
      <c r="L5242" s="45" t="n">
        <f aca="false">DATE(YEAR(B5242),MONTH(B5242),1)</f>
        <v>46266</v>
      </c>
      <c r="M5242" s="31" t="n">
        <f aca="false">WEEKDAY(B5242,2)</f>
        <v>4</v>
      </c>
      <c r="N5242" s="31" t="str">
        <f aca="false">IF(G5242&lt;=INDEX(Assumptions!$B$15:$B$18,MATCH(E5242,Assumptions!$A$15:$A$18,0)),"Yes","No")</f>
        <v>Yes</v>
      </c>
      <c r="O5242" s="31" t="str">
        <f aca="false">IF(H5242="","Open",IF(H5242&lt;=INDEX(Assumptions!$C$15:$C$18,MATCH(E5242,Assumptions!$A$15:$A$18,0)),"Yes","No"))</f>
        <v>Yes</v>
      </c>
    </row>
    <row r="5243" customFormat="false" ht="15" hidden="false" customHeight="false" outlineLevel="0" collapsed="false">
      <c r="A5243" s="31" t="s">
        <v>5393</v>
      </c>
      <c r="B5243" s="44" t="n">
        <v>46275</v>
      </c>
      <c r="C5243" s="31" t="s">
        <v>58</v>
      </c>
      <c r="D5243" s="31" t="s">
        <v>67</v>
      </c>
      <c r="E5243" s="31" t="s">
        <v>50</v>
      </c>
      <c r="F5243" s="31" t="s">
        <v>126</v>
      </c>
      <c r="G5243" s="31" t="n">
        <v>8</v>
      </c>
      <c r="H5243" s="41" t="n">
        <v>6.3</v>
      </c>
      <c r="I5243" s="31" t="s">
        <v>149</v>
      </c>
      <c r="J5243" s="31"/>
      <c r="K5243" s="31" t="s">
        <v>153</v>
      </c>
      <c r="L5243" s="45" t="n">
        <f aca="false">DATE(YEAR(B5243),MONTH(B5243),1)</f>
        <v>46266</v>
      </c>
      <c r="M5243" s="31" t="n">
        <f aca="false">WEEKDAY(B5243,2)</f>
        <v>4</v>
      </c>
      <c r="N5243" s="31" t="str">
        <f aca="false">IF(G5243&lt;=INDEX(Assumptions!$B$15:$B$18,MATCH(E5243,Assumptions!$A$15:$A$18,0)),"Yes","No")</f>
        <v>Yes</v>
      </c>
      <c r="O5243" s="31" t="str">
        <f aca="false">IF(H5243="","Open",IF(H5243&lt;=INDEX(Assumptions!$C$15:$C$18,MATCH(E5243,Assumptions!$A$15:$A$18,0)),"Yes","No"))</f>
        <v>Yes</v>
      </c>
    </row>
    <row r="5244" customFormat="false" ht="15" hidden="false" customHeight="false" outlineLevel="0" collapsed="false">
      <c r="A5244" s="31" t="s">
        <v>5394</v>
      </c>
      <c r="B5244" s="44" t="n">
        <v>46275</v>
      </c>
      <c r="C5244" s="31" t="s">
        <v>58</v>
      </c>
      <c r="D5244" s="31" t="s">
        <v>67</v>
      </c>
      <c r="E5244" s="31" t="s">
        <v>51</v>
      </c>
      <c r="F5244" s="31" t="s">
        <v>136</v>
      </c>
      <c r="G5244" s="31" t="n">
        <v>20</v>
      </c>
      <c r="H5244" s="41" t="n">
        <v>17.3</v>
      </c>
      <c r="I5244" s="31" t="s">
        <v>149</v>
      </c>
      <c r="J5244" s="31" t="n">
        <v>4</v>
      </c>
      <c r="K5244" s="31" t="s">
        <v>150</v>
      </c>
      <c r="L5244" s="45" t="n">
        <f aca="false">DATE(YEAR(B5244),MONTH(B5244),1)</f>
        <v>46266</v>
      </c>
      <c r="M5244" s="31" t="n">
        <f aca="false">WEEKDAY(B5244,2)</f>
        <v>4</v>
      </c>
      <c r="N5244" s="31" t="str">
        <f aca="false">IF(G5244&lt;=INDEX(Assumptions!$B$15:$B$18,MATCH(E5244,Assumptions!$A$15:$A$18,0)),"Yes","No")</f>
        <v>Yes</v>
      </c>
      <c r="O5244" s="31" t="str">
        <f aca="false">IF(H5244="","Open",IF(H5244&lt;=INDEX(Assumptions!$C$15:$C$18,MATCH(E5244,Assumptions!$A$15:$A$18,0)),"Yes","No"))</f>
        <v>Yes</v>
      </c>
    </row>
    <row r="5245" customFormat="false" ht="15" hidden="false" customHeight="false" outlineLevel="0" collapsed="false">
      <c r="A5245" s="31" t="s">
        <v>5395</v>
      </c>
      <c r="B5245" s="44" t="n">
        <v>46275</v>
      </c>
      <c r="C5245" s="31" t="s">
        <v>59</v>
      </c>
      <c r="D5245" s="31" t="s">
        <v>69</v>
      </c>
      <c r="E5245" s="31" t="s">
        <v>50</v>
      </c>
      <c r="F5245" s="31" t="s">
        <v>124</v>
      </c>
      <c r="G5245" s="31" t="n">
        <v>71</v>
      </c>
      <c r="H5245" s="41" t="n">
        <v>18.7</v>
      </c>
      <c r="I5245" s="31" t="s">
        <v>149</v>
      </c>
      <c r="J5245" s="31"/>
      <c r="K5245" s="31" t="s">
        <v>150</v>
      </c>
      <c r="L5245" s="45" t="n">
        <f aca="false">DATE(YEAR(B5245),MONTH(B5245),1)</f>
        <v>46266</v>
      </c>
      <c r="M5245" s="31" t="n">
        <f aca="false">WEEKDAY(B5245,2)</f>
        <v>4</v>
      </c>
      <c r="N5245" s="31" t="str">
        <f aca="false">IF(G5245&lt;=INDEX(Assumptions!$B$15:$B$18,MATCH(E5245,Assumptions!$A$15:$A$18,0)),"Yes","No")</f>
        <v>No</v>
      </c>
      <c r="O5245" s="31" t="str">
        <f aca="false">IF(H5245="","Open",IF(H5245&lt;=INDEX(Assumptions!$C$15:$C$18,MATCH(E5245,Assumptions!$A$15:$A$18,0)),"Yes","No"))</f>
        <v>No</v>
      </c>
    </row>
    <row r="5246" customFormat="false" ht="15" hidden="false" customHeight="false" outlineLevel="0" collapsed="false">
      <c r="A5246" s="31" t="s">
        <v>5396</v>
      </c>
      <c r="B5246" s="44" t="n">
        <v>46275</v>
      </c>
      <c r="C5246" s="31" t="s">
        <v>57</v>
      </c>
      <c r="D5246" s="31" t="s">
        <v>69</v>
      </c>
      <c r="E5246" s="31" t="s">
        <v>51</v>
      </c>
      <c r="F5246" s="31" t="s">
        <v>129</v>
      </c>
      <c r="G5246" s="31" t="n">
        <v>3</v>
      </c>
      <c r="H5246" s="41" t="n">
        <v>10.3</v>
      </c>
      <c r="I5246" s="31" t="s">
        <v>149</v>
      </c>
      <c r="J5246" s="31"/>
      <c r="K5246" s="31" t="s">
        <v>150</v>
      </c>
      <c r="L5246" s="45" t="n">
        <f aca="false">DATE(YEAR(B5246),MONTH(B5246),1)</f>
        <v>46266</v>
      </c>
      <c r="M5246" s="31" t="n">
        <f aca="false">WEEKDAY(B5246,2)</f>
        <v>4</v>
      </c>
      <c r="N5246" s="31" t="str">
        <f aca="false">IF(G5246&lt;=INDEX(Assumptions!$B$15:$B$18,MATCH(E5246,Assumptions!$A$15:$A$18,0)),"Yes","No")</f>
        <v>Yes</v>
      </c>
      <c r="O5246" s="31" t="str">
        <f aca="false">IF(H5246="","Open",IF(H5246&lt;=INDEX(Assumptions!$C$15:$C$18,MATCH(E5246,Assumptions!$A$15:$A$18,0)),"Yes","No"))</f>
        <v>Yes</v>
      </c>
    </row>
    <row r="5247" customFormat="false" ht="15" hidden="false" customHeight="false" outlineLevel="0" collapsed="false">
      <c r="A5247" s="31" t="s">
        <v>5397</v>
      </c>
      <c r="B5247" s="44" t="n">
        <v>46275</v>
      </c>
      <c r="C5247" s="31" t="s">
        <v>60</v>
      </c>
      <c r="D5247" s="31" t="s">
        <v>69</v>
      </c>
      <c r="E5247" s="31" t="s">
        <v>50</v>
      </c>
      <c r="F5247" s="31" t="s">
        <v>119</v>
      </c>
      <c r="G5247" s="31" t="n">
        <v>1</v>
      </c>
      <c r="H5247" s="41" t="n">
        <v>10</v>
      </c>
      <c r="I5247" s="31" t="s">
        <v>149</v>
      </c>
      <c r="J5247" s="31"/>
      <c r="K5247" s="31" t="s">
        <v>150</v>
      </c>
      <c r="L5247" s="45" t="n">
        <f aca="false">DATE(YEAR(B5247),MONTH(B5247),1)</f>
        <v>46266</v>
      </c>
      <c r="M5247" s="31" t="n">
        <f aca="false">WEEKDAY(B5247,2)</f>
        <v>4</v>
      </c>
      <c r="N5247" s="31" t="str">
        <f aca="false">IF(G5247&lt;=INDEX(Assumptions!$B$15:$B$18,MATCH(E5247,Assumptions!$A$15:$A$18,0)),"Yes","No")</f>
        <v>Yes</v>
      </c>
      <c r="O5247" s="31" t="str">
        <f aca="false">IF(H5247="","Open",IF(H5247&lt;=INDEX(Assumptions!$C$15:$C$18,MATCH(E5247,Assumptions!$A$15:$A$18,0)),"Yes","No"))</f>
        <v>No</v>
      </c>
    </row>
    <row r="5248" customFormat="false" ht="15" hidden="false" customHeight="false" outlineLevel="0" collapsed="false">
      <c r="A5248" s="31" t="s">
        <v>5398</v>
      </c>
      <c r="B5248" s="44" t="n">
        <v>46275</v>
      </c>
      <c r="C5248" s="31" t="s">
        <v>59</v>
      </c>
      <c r="D5248" s="31" t="s">
        <v>65</v>
      </c>
      <c r="E5248" s="31" t="s">
        <v>52</v>
      </c>
      <c r="F5248" s="31" t="s">
        <v>122</v>
      </c>
      <c r="G5248" s="31" t="n">
        <v>69</v>
      </c>
      <c r="H5248" s="41" t="n">
        <v>20.5</v>
      </c>
      <c r="I5248" s="31" t="s">
        <v>149</v>
      </c>
      <c r="J5248" s="31" t="n">
        <v>4</v>
      </c>
      <c r="K5248" s="31" t="s">
        <v>150</v>
      </c>
      <c r="L5248" s="45" t="n">
        <f aca="false">DATE(YEAR(B5248),MONTH(B5248),1)</f>
        <v>46266</v>
      </c>
      <c r="M5248" s="31" t="n">
        <f aca="false">WEEKDAY(B5248,2)</f>
        <v>4</v>
      </c>
      <c r="N5248" s="31" t="str">
        <f aca="false">IF(G5248&lt;=INDEX(Assumptions!$B$15:$B$18,MATCH(E5248,Assumptions!$A$15:$A$18,0)),"Yes","No")</f>
        <v>Yes</v>
      </c>
      <c r="O5248" s="31" t="str">
        <f aca="false">IF(H5248="","Open",IF(H5248&lt;=INDEX(Assumptions!$C$15:$C$18,MATCH(E5248,Assumptions!$A$15:$A$18,0)),"Yes","No"))</f>
        <v>Yes</v>
      </c>
    </row>
    <row r="5249" customFormat="false" ht="15" hidden="false" customHeight="false" outlineLevel="0" collapsed="false">
      <c r="A5249" s="31" t="s">
        <v>5399</v>
      </c>
      <c r="B5249" s="44" t="n">
        <v>46275</v>
      </c>
      <c r="C5249" s="31" t="s">
        <v>58</v>
      </c>
      <c r="D5249" s="31" t="s">
        <v>65</v>
      </c>
      <c r="E5249" s="31" t="s">
        <v>50</v>
      </c>
      <c r="F5249" s="31" t="s">
        <v>122</v>
      </c>
      <c r="G5249" s="31" t="n">
        <v>10</v>
      </c>
      <c r="H5249" s="41" t="n">
        <v>11.5</v>
      </c>
      <c r="I5249" s="31" t="s">
        <v>149</v>
      </c>
      <c r="J5249" s="31"/>
      <c r="K5249" s="31" t="s">
        <v>150</v>
      </c>
      <c r="L5249" s="45" t="n">
        <f aca="false">DATE(YEAR(B5249),MONTH(B5249),1)</f>
        <v>46266</v>
      </c>
      <c r="M5249" s="31" t="n">
        <f aca="false">WEEKDAY(B5249,2)</f>
        <v>4</v>
      </c>
      <c r="N5249" s="31" t="str">
        <f aca="false">IF(G5249&lt;=INDEX(Assumptions!$B$15:$B$18,MATCH(E5249,Assumptions!$A$15:$A$18,0)),"Yes","No")</f>
        <v>Yes</v>
      </c>
      <c r="O5249" s="31" t="str">
        <f aca="false">IF(H5249="","Open",IF(H5249&lt;=INDEX(Assumptions!$C$15:$C$18,MATCH(E5249,Assumptions!$A$15:$A$18,0)),"Yes","No"))</f>
        <v>No</v>
      </c>
    </row>
    <row r="5250" customFormat="false" ht="15" hidden="false" customHeight="false" outlineLevel="0" collapsed="false">
      <c r="A5250" s="31" t="s">
        <v>5400</v>
      </c>
      <c r="B5250" s="44" t="n">
        <v>46275</v>
      </c>
      <c r="C5250" s="31" t="s">
        <v>59</v>
      </c>
      <c r="D5250" s="31" t="s">
        <v>68</v>
      </c>
      <c r="E5250" s="31" t="s">
        <v>51</v>
      </c>
      <c r="F5250" s="31" t="s">
        <v>124</v>
      </c>
      <c r="G5250" s="31" t="n">
        <v>66</v>
      </c>
      <c r="H5250" s="41" t="n">
        <v>1.8</v>
      </c>
      <c r="I5250" s="31" t="s">
        <v>149</v>
      </c>
      <c r="J5250" s="31" t="n">
        <v>3</v>
      </c>
      <c r="K5250" s="31" t="s">
        <v>153</v>
      </c>
      <c r="L5250" s="45" t="n">
        <f aca="false">DATE(YEAR(B5250),MONTH(B5250),1)</f>
        <v>46266</v>
      </c>
      <c r="M5250" s="31" t="n">
        <f aca="false">WEEKDAY(B5250,2)</f>
        <v>4</v>
      </c>
      <c r="N5250" s="31" t="str">
        <f aca="false">IF(G5250&lt;=INDEX(Assumptions!$B$15:$B$18,MATCH(E5250,Assumptions!$A$15:$A$18,0)),"Yes","No")</f>
        <v>No</v>
      </c>
      <c r="O5250" s="31" t="str">
        <f aca="false">IF(H5250="","Open",IF(H5250&lt;=INDEX(Assumptions!$C$15:$C$18,MATCH(E5250,Assumptions!$A$15:$A$18,0)),"Yes","No"))</f>
        <v>Yes</v>
      </c>
    </row>
    <row r="5251" customFormat="false" ht="15" hidden="false" customHeight="false" outlineLevel="0" collapsed="false">
      <c r="A5251" s="31" t="s">
        <v>5401</v>
      </c>
      <c r="B5251" s="44" t="n">
        <v>46275</v>
      </c>
      <c r="C5251" s="31" t="s">
        <v>58</v>
      </c>
      <c r="D5251" s="31" t="s">
        <v>69</v>
      </c>
      <c r="E5251" s="31" t="s">
        <v>50</v>
      </c>
      <c r="F5251" s="31" t="s">
        <v>137</v>
      </c>
      <c r="G5251" s="31" t="n">
        <v>5</v>
      </c>
      <c r="H5251" s="41" t="n">
        <v>10.2</v>
      </c>
      <c r="I5251" s="31" t="s">
        <v>149</v>
      </c>
      <c r="J5251" s="31" t="n">
        <v>3</v>
      </c>
      <c r="K5251" s="31" t="s">
        <v>150</v>
      </c>
      <c r="L5251" s="45" t="n">
        <f aca="false">DATE(YEAR(B5251),MONTH(B5251),1)</f>
        <v>46266</v>
      </c>
      <c r="M5251" s="31" t="n">
        <f aca="false">WEEKDAY(B5251,2)</f>
        <v>4</v>
      </c>
      <c r="N5251" s="31" t="str">
        <f aca="false">IF(G5251&lt;=INDEX(Assumptions!$B$15:$B$18,MATCH(E5251,Assumptions!$A$15:$A$18,0)),"Yes","No")</f>
        <v>Yes</v>
      </c>
      <c r="O5251" s="31" t="str">
        <f aca="false">IF(H5251="","Open",IF(H5251&lt;=INDEX(Assumptions!$C$15:$C$18,MATCH(E5251,Assumptions!$A$15:$A$18,0)),"Yes","No"))</f>
        <v>No</v>
      </c>
    </row>
    <row r="5252" customFormat="false" ht="15" hidden="false" customHeight="false" outlineLevel="0" collapsed="false">
      <c r="A5252" s="31" t="s">
        <v>5402</v>
      </c>
      <c r="B5252" s="44" t="n">
        <v>46275</v>
      </c>
      <c r="C5252" s="31" t="s">
        <v>58</v>
      </c>
      <c r="D5252" s="31" t="s">
        <v>67</v>
      </c>
      <c r="E5252" s="31" t="s">
        <v>50</v>
      </c>
      <c r="F5252" s="31" t="s">
        <v>130</v>
      </c>
      <c r="G5252" s="31" t="n">
        <v>4</v>
      </c>
      <c r="H5252" s="41" t="n">
        <v>10.5</v>
      </c>
      <c r="I5252" s="31" t="s">
        <v>149</v>
      </c>
      <c r="J5252" s="31"/>
      <c r="K5252" s="31" t="s">
        <v>150</v>
      </c>
      <c r="L5252" s="45" t="n">
        <f aca="false">DATE(YEAR(B5252),MONTH(B5252),1)</f>
        <v>46266</v>
      </c>
      <c r="M5252" s="31" t="n">
        <f aca="false">WEEKDAY(B5252,2)</f>
        <v>4</v>
      </c>
      <c r="N5252" s="31" t="str">
        <f aca="false">IF(G5252&lt;=INDEX(Assumptions!$B$15:$B$18,MATCH(E5252,Assumptions!$A$15:$A$18,0)),"Yes","No")</f>
        <v>Yes</v>
      </c>
      <c r="O5252" s="31" t="str">
        <f aca="false">IF(H5252="","Open",IF(H5252&lt;=INDEX(Assumptions!$C$15:$C$18,MATCH(E5252,Assumptions!$A$15:$A$18,0)),"Yes","No"))</f>
        <v>No</v>
      </c>
    </row>
    <row r="5253" customFormat="false" ht="15" hidden="false" customHeight="false" outlineLevel="0" collapsed="false">
      <c r="A5253" s="31" t="s">
        <v>5403</v>
      </c>
      <c r="B5253" s="44" t="n">
        <v>46275</v>
      </c>
      <c r="C5253" s="31" t="s">
        <v>60</v>
      </c>
      <c r="D5253" s="31" t="s">
        <v>67</v>
      </c>
      <c r="E5253" s="31" t="s">
        <v>50</v>
      </c>
      <c r="F5253" s="31" t="s">
        <v>134</v>
      </c>
      <c r="G5253" s="31" t="n">
        <v>3</v>
      </c>
      <c r="H5253" s="41" t="n">
        <v>33.2</v>
      </c>
      <c r="I5253" s="31" t="s">
        <v>149</v>
      </c>
      <c r="J5253" s="31"/>
      <c r="K5253" s="31" t="s">
        <v>150</v>
      </c>
      <c r="L5253" s="45" t="n">
        <f aca="false">DATE(YEAR(B5253),MONTH(B5253),1)</f>
        <v>46266</v>
      </c>
      <c r="M5253" s="31" t="n">
        <f aca="false">WEEKDAY(B5253,2)</f>
        <v>4</v>
      </c>
      <c r="N5253" s="31" t="str">
        <f aca="false">IF(G5253&lt;=INDEX(Assumptions!$B$15:$B$18,MATCH(E5253,Assumptions!$A$15:$A$18,0)),"Yes","No")</f>
        <v>Yes</v>
      </c>
      <c r="O5253" s="31" t="str">
        <f aca="false">IF(H5253="","Open",IF(H5253&lt;=INDEX(Assumptions!$C$15:$C$18,MATCH(E5253,Assumptions!$A$15:$A$18,0)),"Yes","No"))</f>
        <v>No</v>
      </c>
    </row>
    <row r="5254" customFormat="false" ht="15" hidden="false" customHeight="false" outlineLevel="0" collapsed="false">
      <c r="A5254" s="31" t="s">
        <v>5404</v>
      </c>
      <c r="B5254" s="44" t="n">
        <v>46275</v>
      </c>
      <c r="C5254" s="31" t="s">
        <v>57</v>
      </c>
      <c r="D5254" s="31" t="s">
        <v>65</v>
      </c>
      <c r="E5254" s="31" t="s">
        <v>49</v>
      </c>
      <c r="F5254" s="31" t="s">
        <v>134</v>
      </c>
      <c r="G5254" s="31" t="n">
        <v>4</v>
      </c>
      <c r="H5254" s="41" t="n">
        <v>4.5</v>
      </c>
      <c r="I5254" s="31" t="s">
        <v>149</v>
      </c>
      <c r="J5254" s="31"/>
      <c r="K5254" s="31" t="s">
        <v>150</v>
      </c>
      <c r="L5254" s="45" t="n">
        <f aca="false">DATE(YEAR(B5254),MONTH(B5254),1)</f>
        <v>46266</v>
      </c>
      <c r="M5254" s="31" t="n">
        <f aca="false">WEEKDAY(B5254,2)</f>
        <v>4</v>
      </c>
      <c r="N5254" s="31" t="str">
        <f aca="false">IF(G5254&lt;=INDEX(Assumptions!$B$15:$B$18,MATCH(E5254,Assumptions!$A$15:$A$18,0)),"Yes","No")</f>
        <v>Yes</v>
      </c>
      <c r="O5254" s="31" t="str">
        <f aca="false">IF(H5254="","Open",IF(H5254&lt;=INDEX(Assumptions!$C$15:$C$18,MATCH(E5254,Assumptions!$A$15:$A$18,0)),"Yes","No"))</f>
        <v>No</v>
      </c>
    </row>
    <row r="5255" customFormat="false" ht="15" hidden="false" customHeight="false" outlineLevel="0" collapsed="false">
      <c r="A5255" s="31" t="s">
        <v>5405</v>
      </c>
      <c r="B5255" s="44" t="n">
        <v>46275</v>
      </c>
      <c r="C5255" s="31" t="s">
        <v>58</v>
      </c>
      <c r="D5255" s="31" t="s">
        <v>65</v>
      </c>
      <c r="E5255" s="31" t="s">
        <v>52</v>
      </c>
      <c r="F5255" s="31" t="s">
        <v>130</v>
      </c>
      <c r="G5255" s="31" t="n">
        <v>17</v>
      </c>
      <c r="H5255" s="41" t="n">
        <v>13.3</v>
      </c>
      <c r="I5255" s="31" t="s">
        <v>149</v>
      </c>
      <c r="J5255" s="31" t="n">
        <v>4</v>
      </c>
      <c r="K5255" s="31" t="s">
        <v>150</v>
      </c>
      <c r="L5255" s="45" t="n">
        <f aca="false">DATE(YEAR(B5255),MONTH(B5255),1)</f>
        <v>46266</v>
      </c>
      <c r="M5255" s="31" t="n">
        <f aca="false">WEEKDAY(B5255,2)</f>
        <v>4</v>
      </c>
      <c r="N5255" s="31" t="str">
        <f aca="false">IF(G5255&lt;=INDEX(Assumptions!$B$15:$B$18,MATCH(E5255,Assumptions!$A$15:$A$18,0)),"Yes","No")</f>
        <v>Yes</v>
      </c>
      <c r="O5255" s="31" t="str">
        <f aca="false">IF(H5255="","Open",IF(H5255&lt;=INDEX(Assumptions!$C$15:$C$18,MATCH(E5255,Assumptions!$A$15:$A$18,0)),"Yes","No"))</f>
        <v>Yes</v>
      </c>
    </row>
    <row r="5256" customFormat="false" ht="15" hidden="false" customHeight="false" outlineLevel="0" collapsed="false">
      <c r="A5256" s="31" t="s">
        <v>5406</v>
      </c>
      <c r="B5256" s="44" t="n">
        <v>46275</v>
      </c>
      <c r="C5256" s="31" t="s">
        <v>58</v>
      </c>
      <c r="D5256" s="31" t="s">
        <v>66</v>
      </c>
      <c r="E5256" s="31" t="s">
        <v>52</v>
      </c>
      <c r="F5256" s="31" t="s">
        <v>120</v>
      </c>
      <c r="G5256" s="31" t="n">
        <v>30</v>
      </c>
      <c r="H5256" s="41" t="n">
        <v>6.6</v>
      </c>
      <c r="I5256" s="31" t="s">
        <v>149</v>
      </c>
      <c r="J5256" s="31"/>
      <c r="K5256" s="31" t="s">
        <v>150</v>
      </c>
      <c r="L5256" s="45" t="n">
        <f aca="false">DATE(YEAR(B5256),MONTH(B5256),1)</f>
        <v>46266</v>
      </c>
      <c r="M5256" s="31" t="n">
        <f aca="false">WEEKDAY(B5256,2)</f>
        <v>4</v>
      </c>
      <c r="N5256" s="31" t="str">
        <f aca="false">IF(G5256&lt;=INDEX(Assumptions!$B$15:$B$18,MATCH(E5256,Assumptions!$A$15:$A$18,0)),"Yes","No")</f>
        <v>Yes</v>
      </c>
      <c r="O5256" s="31" t="str">
        <f aca="false">IF(H5256="","Open",IF(H5256&lt;=INDEX(Assumptions!$C$15:$C$18,MATCH(E5256,Assumptions!$A$15:$A$18,0)),"Yes","No"))</f>
        <v>Yes</v>
      </c>
    </row>
    <row r="5257" customFormat="false" ht="15" hidden="false" customHeight="false" outlineLevel="0" collapsed="false">
      <c r="A5257" s="31" t="s">
        <v>5407</v>
      </c>
      <c r="B5257" s="44" t="n">
        <v>46275</v>
      </c>
      <c r="C5257" s="31" t="s">
        <v>59</v>
      </c>
      <c r="D5257" s="31" t="s">
        <v>65</v>
      </c>
      <c r="E5257" s="31" t="s">
        <v>50</v>
      </c>
      <c r="F5257" s="31" t="s">
        <v>117</v>
      </c>
      <c r="G5257" s="31" t="n">
        <v>52</v>
      </c>
      <c r="H5257" s="41" t="n">
        <v>4.9</v>
      </c>
      <c r="I5257" s="31" t="s">
        <v>149</v>
      </c>
      <c r="J5257" s="31"/>
      <c r="K5257" s="31" t="s">
        <v>150</v>
      </c>
      <c r="L5257" s="45" t="n">
        <f aca="false">DATE(YEAR(B5257),MONTH(B5257),1)</f>
        <v>46266</v>
      </c>
      <c r="M5257" s="31" t="n">
        <f aca="false">WEEKDAY(B5257,2)</f>
        <v>4</v>
      </c>
      <c r="N5257" s="31" t="str">
        <f aca="false">IF(G5257&lt;=INDEX(Assumptions!$B$15:$B$18,MATCH(E5257,Assumptions!$A$15:$A$18,0)),"Yes","No")</f>
        <v>No</v>
      </c>
      <c r="O5257" s="31" t="str">
        <f aca="false">IF(H5257="","Open",IF(H5257&lt;=INDEX(Assumptions!$C$15:$C$18,MATCH(E5257,Assumptions!$A$15:$A$18,0)),"Yes","No"))</f>
        <v>Yes</v>
      </c>
    </row>
    <row r="5258" customFormat="false" ht="15" hidden="false" customHeight="false" outlineLevel="0" collapsed="false">
      <c r="A5258" s="31" t="s">
        <v>5408</v>
      </c>
      <c r="B5258" s="44" t="n">
        <v>46275</v>
      </c>
      <c r="C5258" s="31" t="s">
        <v>58</v>
      </c>
      <c r="D5258" s="31" t="s">
        <v>65</v>
      </c>
      <c r="E5258" s="31" t="s">
        <v>50</v>
      </c>
      <c r="F5258" s="31" t="s">
        <v>128</v>
      </c>
      <c r="G5258" s="31" t="n">
        <v>13</v>
      </c>
      <c r="H5258" s="41" t="n">
        <v>11.6</v>
      </c>
      <c r="I5258" s="31" t="s">
        <v>149</v>
      </c>
      <c r="J5258" s="31"/>
      <c r="K5258" s="31" t="s">
        <v>150</v>
      </c>
      <c r="L5258" s="45" t="n">
        <f aca="false">DATE(YEAR(B5258),MONTH(B5258),1)</f>
        <v>46266</v>
      </c>
      <c r="M5258" s="31" t="n">
        <f aca="false">WEEKDAY(B5258,2)</f>
        <v>4</v>
      </c>
      <c r="N5258" s="31" t="str">
        <f aca="false">IF(G5258&lt;=INDEX(Assumptions!$B$15:$B$18,MATCH(E5258,Assumptions!$A$15:$A$18,0)),"Yes","No")</f>
        <v>Yes</v>
      </c>
      <c r="O5258" s="31" t="str">
        <f aca="false">IF(H5258="","Open",IF(H5258&lt;=INDEX(Assumptions!$C$15:$C$18,MATCH(E5258,Assumptions!$A$15:$A$18,0)),"Yes","No"))</f>
        <v>No</v>
      </c>
    </row>
    <row r="5259" customFormat="false" ht="15" hidden="false" customHeight="false" outlineLevel="0" collapsed="false">
      <c r="A5259" s="31" t="s">
        <v>5409</v>
      </c>
      <c r="B5259" s="44" t="n">
        <v>46275</v>
      </c>
      <c r="C5259" s="31" t="s">
        <v>58</v>
      </c>
      <c r="D5259" s="31" t="s">
        <v>65</v>
      </c>
      <c r="E5259" s="31" t="s">
        <v>52</v>
      </c>
      <c r="F5259" s="31" t="s">
        <v>120</v>
      </c>
      <c r="G5259" s="31" t="n">
        <v>29</v>
      </c>
      <c r="H5259" s="41" t="n">
        <v>27.3</v>
      </c>
      <c r="I5259" s="31" t="s">
        <v>149</v>
      </c>
      <c r="J5259" s="31"/>
      <c r="K5259" s="31" t="s">
        <v>150</v>
      </c>
      <c r="L5259" s="45" t="n">
        <f aca="false">DATE(YEAR(B5259),MONTH(B5259),1)</f>
        <v>46266</v>
      </c>
      <c r="M5259" s="31" t="n">
        <f aca="false">WEEKDAY(B5259,2)</f>
        <v>4</v>
      </c>
      <c r="N5259" s="31" t="str">
        <f aca="false">IF(G5259&lt;=INDEX(Assumptions!$B$15:$B$18,MATCH(E5259,Assumptions!$A$15:$A$18,0)),"Yes","No")</f>
        <v>Yes</v>
      </c>
      <c r="O5259" s="31" t="str">
        <f aca="false">IF(H5259="","Open",IF(H5259&lt;=INDEX(Assumptions!$C$15:$C$18,MATCH(E5259,Assumptions!$A$15:$A$18,0)),"Yes","No"))</f>
        <v>Yes</v>
      </c>
    </row>
    <row r="5260" customFormat="false" ht="15" hidden="false" customHeight="false" outlineLevel="0" collapsed="false">
      <c r="A5260" s="31" t="s">
        <v>5410</v>
      </c>
      <c r="B5260" s="44" t="n">
        <v>46275</v>
      </c>
      <c r="C5260" s="31" t="s">
        <v>58</v>
      </c>
      <c r="D5260" s="31" t="s">
        <v>67</v>
      </c>
      <c r="E5260" s="31" t="s">
        <v>51</v>
      </c>
      <c r="F5260" s="31" t="s">
        <v>131</v>
      </c>
      <c r="G5260" s="31" t="n">
        <v>8</v>
      </c>
      <c r="H5260" s="41" t="n">
        <v>1.2</v>
      </c>
      <c r="I5260" s="31" t="s">
        <v>149</v>
      </c>
      <c r="J5260" s="31"/>
      <c r="K5260" s="31" t="s">
        <v>150</v>
      </c>
      <c r="L5260" s="45" t="n">
        <f aca="false">DATE(YEAR(B5260),MONTH(B5260),1)</f>
        <v>46266</v>
      </c>
      <c r="M5260" s="31" t="n">
        <f aca="false">WEEKDAY(B5260,2)</f>
        <v>4</v>
      </c>
      <c r="N5260" s="31" t="str">
        <f aca="false">IF(G5260&lt;=INDEX(Assumptions!$B$15:$B$18,MATCH(E5260,Assumptions!$A$15:$A$18,0)),"Yes","No")</f>
        <v>Yes</v>
      </c>
      <c r="O5260" s="31" t="str">
        <f aca="false">IF(H5260="","Open",IF(H5260&lt;=INDEX(Assumptions!$C$15:$C$18,MATCH(E5260,Assumptions!$A$15:$A$18,0)),"Yes","No"))</f>
        <v>Yes</v>
      </c>
    </row>
    <row r="5261" customFormat="false" ht="15" hidden="false" customHeight="false" outlineLevel="0" collapsed="false">
      <c r="A5261" s="31" t="s">
        <v>5411</v>
      </c>
      <c r="B5261" s="44" t="n">
        <v>46275</v>
      </c>
      <c r="C5261" s="31" t="s">
        <v>60</v>
      </c>
      <c r="D5261" s="31" t="s">
        <v>65</v>
      </c>
      <c r="E5261" s="31" t="s">
        <v>52</v>
      </c>
      <c r="F5261" s="31" t="s">
        <v>127</v>
      </c>
      <c r="G5261" s="31" t="n">
        <v>12</v>
      </c>
      <c r="H5261" s="41" t="n">
        <v>7.7</v>
      </c>
      <c r="I5261" s="31" t="s">
        <v>149</v>
      </c>
      <c r="J5261" s="31"/>
      <c r="K5261" s="31" t="s">
        <v>150</v>
      </c>
      <c r="L5261" s="45" t="n">
        <f aca="false">DATE(YEAR(B5261),MONTH(B5261),1)</f>
        <v>46266</v>
      </c>
      <c r="M5261" s="31" t="n">
        <f aca="false">WEEKDAY(B5261,2)</f>
        <v>4</v>
      </c>
      <c r="N5261" s="31" t="str">
        <f aca="false">IF(G5261&lt;=INDEX(Assumptions!$B$15:$B$18,MATCH(E5261,Assumptions!$A$15:$A$18,0)),"Yes","No")</f>
        <v>Yes</v>
      </c>
      <c r="O5261" s="31" t="str">
        <f aca="false">IF(H5261="","Open",IF(H5261&lt;=INDEX(Assumptions!$C$15:$C$18,MATCH(E5261,Assumptions!$A$15:$A$18,0)),"Yes","No"))</f>
        <v>Yes</v>
      </c>
    </row>
    <row r="5262" customFormat="false" ht="15" hidden="false" customHeight="false" outlineLevel="0" collapsed="false">
      <c r="A5262" s="31" t="s">
        <v>5412</v>
      </c>
      <c r="B5262" s="44" t="n">
        <v>46275</v>
      </c>
      <c r="C5262" s="31" t="s">
        <v>59</v>
      </c>
      <c r="D5262" s="31" t="s">
        <v>67</v>
      </c>
      <c r="E5262" s="31" t="s">
        <v>52</v>
      </c>
      <c r="F5262" s="31" t="s">
        <v>120</v>
      </c>
      <c r="G5262" s="31" t="n">
        <v>167</v>
      </c>
      <c r="H5262" s="41" t="n">
        <v>236.9</v>
      </c>
      <c r="I5262" s="31" t="s">
        <v>64</v>
      </c>
      <c r="J5262" s="31" t="n">
        <v>2</v>
      </c>
      <c r="K5262" s="31" t="s">
        <v>150</v>
      </c>
      <c r="L5262" s="45" t="n">
        <f aca="false">DATE(YEAR(B5262),MONTH(B5262),1)</f>
        <v>46266</v>
      </c>
      <c r="M5262" s="31" t="n">
        <f aca="false">WEEKDAY(B5262,2)</f>
        <v>4</v>
      </c>
      <c r="N5262" s="31" t="str">
        <f aca="false">IF(G5262&lt;=INDEX(Assumptions!$B$15:$B$18,MATCH(E5262,Assumptions!$A$15:$A$18,0)),"Yes","No")</f>
        <v>Yes</v>
      </c>
      <c r="O5262" s="31" t="str">
        <f aca="false">IF(H5262="","Open",IF(H5262&lt;=INDEX(Assumptions!$C$15:$C$18,MATCH(E5262,Assumptions!$A$15:$A$18,0)),"Yes","No"))</f>
        <v>No</v>
      </c>
    </row>
    <row r="5263" customFormat="false" ht="15" hidden="false" customHeight="false" outlineLevel="0" collapsed="false">
      <c r="A5263" s="31" t="s">
        <v>5413</v>
      </c>
      <c r="B5263" s="44" t="n">
        <v>46275</v>
      </c>
      <c r="C5263" s="31" t="s">
        <v>58</v>
      </c>
      <c r="D5263" s="31" t="s">
        <v>67</v>
      </c>
      <c r="E5263" s="31" t="s">
        <v>50</v>
      </c>
      <c r="F5263" s="31" t="s">
        <v>117</v>
      </c>
      <c r="G5263" s="31" t="n">
        <v>25</v>
      </c>
      <c r="H5263" s="41" t="n">
        <v>3</v>
      </c>
      <c r="I5263" s="31" t="s">
        <v>149</v>
      </c>
      <c r="J5263" s="31"/>
      <c r="K5263" s="31" t="s">
        <v>150</v>
      </c>
      <c r="L5263" s="45" t="n">
        <f aca="false">DATE(YEAR(B5263),MONTH(B5263),1)</f>
        <v>46266</v>
      </c>
      <c r="M5263" s="31" t="n">
        <f aca="false">WEEKDAY(B5263,2)</f>
        <v>4</v>
      </c>
      <c r="N5263" s="31" t="str">
        <f aca="false">IF(G5263&lt;=INDEX(Assumptions!$B$15:$B$18,MATCH(E5263,Assumptions!$A$15:$A$18,0)),"Yes","No")</f>
        <v>Yes</v>
      </c>
      <c r="O5263" s="31" t="str">
        <f aca="false">IF(H5263="","Open",IF(H5263&lt;=INDEX(Assumptions!$C$15:$C$18,MATCH(E5263,Assumptions!$A$15:$A$18,0)),"Yes","No"))</f>
        <v>Yes</v>
      </c>
    </row>
    <row r="5264" customFormat="false" ht="15" hidden="false" customHeight="false" outlineLevel="0" collapsed="false">
      <c r="A5264" s="31" t="s">
        <v>5414</v>
      </c>
      <c r="B5264" s="44" t="n">
        <v>46275</v>
      </c>
      <c r="C5264" s="31" t="s">
        <v>59</v>
      </c>
      <c r="D5264" s="31" t="s">
        <v>65</v>
      </c>
      <c r="E5264" s="31" t="s">
        <v>51</v>
      </c>
      <c r="F5264" s="31" t="s">
        <v>122</v>
      </c>
      <c r="G5264" s="31" t="n">
        <v>47</v>
      </c>
      <c r="H5264" s="41" t="n">
        <v>2.6</v>
      </c>
      <c r="I5264" s="31" t="s">
        <v>149</v>
      </c>
      <c r="J5264" s="31" t="n">
        <v>4</v>
      </c>
      <c r="K5264" s="31" t="s">
        <v>150</v>
      </c>
      <c r="L5264" s="45" t="n">
        <f aca="false">DATE(YEAR(B5264),MONTH(B5264),1)</f>
        <v>46266</v>
      </c>
      <c r="M5264" s="31" t="n">
        <f aca="false">WEEKDAY(B5264,2)</f>
        <v>4</v>
      </c>
      <c r="N5264" s="31" t="str">
        <f aca="false">IF(G5264&lt;=INDEX(Assumptions!$B$15:$B$18,MATCH(E5264,Assumptions!$A$15:$A$18,0)),"Yes","No")</f>
        <v>Yes</v>
      </c>
      <c r="O5264" s="31" t="str">
        <f aca="false">IF(H5264="","Open",IF(H5264&lt;=INDEX(Assumptions!$C$15:$C$18,MATCH(E5264,Assumptions!$A$15:$A$18,0)),"Yes","No"))</f>
        <v>Yes</v>
      </c>
    </row>
    <row r="5265" customFormat="false" ht="15" hidden="false" customHeight="false" outlineLevel="0" collapsed="false">
      <c r="A5265" s="31" t="s">
        <v>5415</v>
      </c>
      <c r="B5265" s="44" t="n">
        <v>46275</v>
      </c>
      <c r="C5265" s="31" t="s">
        <v>59</v>
      </c>
      <c r="D5265" s="31" t="s">
        <v>66</v>
      </c>
      <c r="E5265" s="31" t="s">
        <v>52</v>
      </c>
      <c r="F5265" s="31" t="s">
        <v>124</v>
      </c>
      <c r="G5265" s="31" t="n">
        <v>142</v>
      </c>
      <c r="H5265" s="41" t="n">
        <v>11.9</v>
      </c>
      <c r="I5265" s="31" t="s">
        <v>149</v>
      </c>
      <c r="J5265" s="31"/>
      <c r="K5265" s="31" t="s">
        <v>150</v>
      </c>
      <c r="L5265" s="45" t="n">
        <f aca="false">DATE(YEAR(B5265),MONTH(B5265),1)</f>
        <v>46266</v>
      </c>
      <c r="M5265" s="31" t="n">
        <f aca="false">WEEKDAY(B5265,2)</f>
        <v>4</v>
      </c>
      <c r="N5265" s="31" t="str">
        <f aca="false">IF(G5265&lt;=INDEX(Assumptions!$B$15:$B$18,MATCH(E5265,Assumptions!$A$15:$A$18,0)),"Yes","No")</f>
        <v>Yes</v>
      </c>
      <c r="O5265" s="31" t="str">
        <f aca="false">IF(H5265="","Open",IF(H5265&lt;=INDEX(Assumptions!$C$15:$C$18,MATCH(E5265,Assumptions!$A$15:$A$18,0)),"Yes","No"))</f>
        <v>Yes</v>
      </c>
    </row>
    <row r="5266" customFormat="false" ht="15" hidden="false" customHeight="false" outlineLevel="0" collapsed="false">
      <c r="A5266" s="31" t="s">
        <v>5416</v>
      </c>
      <c r="B5266" s="44" t="n">
        <v>46275</v>
      </c>
      <c r="C5266" s="31" t="s">
        <v>59</v>
      </c>
      <c r="D5266" s="31" t="s">
        <v>68</v>
      </c>
      <c r="E5266" s="31" t="s">
        <v>51</v>
      </c>
      <c r="F5266" s="31" t="s">
        <v>129</v>
      </c>
      <c r="G5266" s="31" t="n">
        <v>35</v>
      </c>
      <c r="H5266" s="41" t="n">
        <v>1.2</v>
      </c>
      <c r="I5266" s="31" t="s">
        <v>149</v>
      </c>
      <c r="J5266" s="31" t="n">
        <v>5</v>
      </c>
      <c r="K5266" s="31" t="s">
        <v>150</v>
      </c>
      <c r="L5266" s="45" t="n">
        <f aca="false">DATE(YEAR(B5266),MONTH(B5266),1)</f>
        <v>46266</v>
      </c>
      <c r="M5266" s="31" t="n">
        <f aca="false">WEEKDAY(B5266,2)</f>
        <v>4</v>
      </c>
      <c r="N5266" s="31" t="str">
        <f aca="false">IF(G5266&lt;=INDEX(Assumptions!$B$15:$B$18,MATCH(E5266,Assumptions!$A$15:$A$18,0)),"Yes","No")</f>
        <v>Yes</v>
      </c>
      <c r="O5266" s="31" t="str">
        <f aca="false">IF(H5266="","Open",IF(H5266&lt;=INDEX(Assumptions!$C$15:$C$18,MATCH(E5266,Assumptions!$A$15:$A$18,0)),"Yes","No"))</f>
        <v>Yes</v>
      </c>
    </row>
    <row r="5267" customFormat="false" ht="15" hidden="false" customHeight="false" outlineLevel="0" collapsed="false">
      <c r="A5267" s="31" t="s">
        <v>5417</v>
      </c>
      <c r="B5267" s="44" t="n">
        <v>46275</v>
      </c>
      <c r="C5267" s="31" t="s">
        <v>59</v>
      </c>
      <c r="D5267" s="31" t="s">
        <v>65</v>
      </c>
      <c r="E5267" s="31" t="s">
        <v>52</v>
      </c>
      <c r="F5267" s="31" t="s">
        <v>128</v>
      </c>
      <c r="G5267" s="31" t="n">
        <v>50</v>
      </c>
      <c r="H5267" s="41" t="n">
        <v>13.1</v>
      </c>
      <c r="I5267" s="31" t="s">
        <v>149</v>
      </c>
      <c r="J5267" s="31" t="n">
        <v>4</v>
      </c>
      <c r="K5267" s="31" t="s">
        <v>150</v>
      </c>
      <c r="L5267" s="45" t="n">
        <f aca="false">DATE(YEAR(B5267),MONTH(B5267),1)</f>
        <v>46266</v>
      </c>
      <c r="M5267" s="31" t="n">
        <f aca="false">WEEKDAY(B5267,2)</f>
        <v>4</v>
      </c>
      <c r="N5267" s="31" t="str">
        <f aca="false">IF(G5267&lt;=INDEX(Assumptions!$B$15:$B$18,MATCH(E5267,Assumptions!$A$15:$A$18,0)),"Yes","No")</f>
        <v>Yes</v>
      </c>
      <c r="O5267" s="31" t="str">
        <f aca="false">IF(H5267="","Open",IF(H5267&lt;=INDEX(Assumptions!$C$15:$C$18,MATCH(E5267,Assumptions!$A$15:$A$18,0)),"Yes","No"))</f>
        <v>Yes</v>
      </c>
    </row>
    <row r="5268" customFormat="false" ht="15" hidden="false" customHeight="false" outlineLevel="0" collapsed="false">
      <c r="A5268" s="31" t="s">
        <v>5418</v>
      </c>
      <c r="B5268" s="44" t="n">
        <v>46275</v>
      </c>
      <c r="C5268" s="31" t="s">
        <v>59</v>
      </c>
      <c r="D5268" s="31" t="s">
        <v>67</v>
      </c>
      <c r="E5268" s="31" t="s">
        <v>50</v>
      </c>
      <c r="F5268" s="31" t="s">
        <v>131</v>
      </c>
      <c r="G5268" s="31" t="n">
        <v>117</v>
      </c>
      <c r="H5268" s="41" t="n">
        <v>1.6</v>
      </c>
      <c r="I5268" s="31" t="s">
        <v>149</v>
      </c>
      <c r="J5268" s="31"/>
      <c r="K5268" s="31" t="s">
        <v>150</v>
      </c>
      <c r="L5268" s="45" t="n">
        <f aca="false">DATE(YEAR(B5268),MONTH(B5268),1)</f>
        <v>46266</v>
      </c>
      <c r="M5268" s="31" t="n">
        <f aca="false">WEEKDAY(B5268,2)</f>
        <v>4</v>
      </c>
      <c r="N5268" s="31" t="str">
        <f aca="false">IF(G5268&lt;=INDEX(Assumptions!$B$15:$B$18,MATCH(E5268,Assumptions!$A$15:$A$18,0)),"Yes","No")</f>
        <v>No</v>
      </c>
      <c r="O5268" s="31" t="str">
        <f aca="false">IF(H5268="","Open",IF(H5268&lt;=INDEX(Assumptions!$C$15:$C$18,MATCH(E5268,Assumptions!$A$15:$A$18,0)),"Yes","No"))</f>
        <v>Yes</v>
      </c>
    </row>
    <row r="5269" customFormat="false" ht="15" hidden="false" customHeight="false" outlineLevel="0" collapsed="false">
      <c r="A5269" s="31" t="s">
        <v>5419</v>
      </c>
      <c r="B5269" s="44" t="n">
        <v>46275</v>
      </c>
      <c r="C5269" s="31" t="s">
        <v>59</v>
      </c>
      <c r="D5269" s="31" t="s">
        <v>68</v>
      </c>
      <c r="E5269" s="31" t="s">
        <v>52</v>
      </c>
      <c r="F5269" s="31" t="s">
        <v>128</v>
      </c>
      <c r="G5269" s="31" t="n">
        <v>554</v>
      </c>
      <c r="H5269" s="41" t="n">
        <v>28.5</v>
      </c>
      <c r="I5269" s="31" t="s">
        <v>149</v>
      </c>
      <c r="J5269" s="31"/>
      <c r="K5269" s="31" t="s">
        <v>150</v>
      </c>
      <c r="L5269" s="45" t="n">
        <f aca="false">DATE(YEAR(B5269),MONTH(B5269),1)</f>
        <v>46266</v>
      </c>
      <c r="M5269" s="31" t="n">
        <f aca="false">WEEKDAY(B5269,2)</f>
        <v>4</v>
      </c>
      <c r="N5269" s="31" t="str">
        <f aca="false">IF(G5269&lt;=INDEX(Assumptions!$B$15:$B$18,MATCH(E5269,Assumptions!$A$15:$A$18,0)),"Yes","No")</f>
        <v>No</v>
      </c>
      <c r="O5269" s="31" t="str">
        <f aca="false">IF(H5269="","Open",IF(H5269&lt;=INDEX(Assumptions!$C$15:$C$18,MATCH(E5269,Assumptions!$A$15:$A$18,0)),"Yes","No"))</f>
        <v>Yes</v>
      </c>
    </row>
    <row r="5270" customFormat="false" ht="15" hidden="false" customHeight="false" outlineLevel="0" collapsed="false">
      <c r="A5270" s="31" t="s">
        <v>5420</v>
      </c>
      <c r="B5270" s="44" t="n">
        <v>46275</v>
      </c>
      <c r="C5270" s="31" t="s">
        <v>59</v>
      </c>
      <c r="D5270" s="31" t="s">
        <v>66</v>
      </c>
      <c r="E5270" s="31" t="s">
        <v>52</v>
      </c>
      <c r="F5270" s="31" t="s">
        <v>117</v>
      </c>
      <c r="G5270" s="31" t="n">
        <v>24</v>
      </c>
      <c r="H5270" s="41" t="n">
        <v>1.7</v>
      </c>
      <c r="I5270" s="31" t="s">
        <v>149</v>
      </c>
      <c r="J5270" s="31"/>
      <c r="K5270" s="31" t="s">
        <v>150</v>
      </c>
      <c r="L5270" s="45" t="n">
        <f aca="false">DATE(YEAR(B5270),MONTH(B5270),1)</f>
        <v>46266</v>
      </c>
      <c r="M5270" s="31" t="n">
        <f aca="false">WEEKDAY(B5270,2)</f>
        <v>4</v>
      </c>
      <c r="N5270" s="31" t="str">
        <f aca="false">IF(G5270&lt;=INDEX(Assumptions!$B$15:$B$18,MATCH(E5270,Assumptions!$A$15:$A$18,0)),"Yes","No")</f>
        <v>Yes</v>
      </c>
      <c r="O5270" s="31" t="str">
        <f aca="false">IF(H5270="","Open",IF(H5270&lt;=INDEX(Assumptions!$C$15:$C$18,MATCH(E5270,Assumptions!$A$15:$A$18,0)),"Yes","No"))</f>
        <v>Yes</v>
      </c>
    </row>
    <row r="5271" customFormat="false" ht="15" hidden="false" customHeight="false" outlineLevel="0" collapsed="false">
      <c r="A5271" s="31" t="s">
        <v>5421</v>
      </c>
      <c r="B5271" s="44" t="n">
        <v>46275</v>
      </c>
      <c r="C5271" s="31" t="s">
        <v>57</v>
      </c>
      <c r="D5271" s="31" t="s">
        <v>68</v>
      </c>
      <c r="E5271" s="31" t="s">
        <v>49</v>
      </c>
      <c r="F5271" s="31" t="s">
        <v>128</v>
      </c>
      <c r="G5271" s="31" t="n">
        <v>2</v>
      </c>
      <c r="H5271" s="41" t="n">
        <v>17.3</v>
      </c>
      <c r="I5271" s="31" t="s">
        <v>149</v>
      </c>
      <c r="J5271" s="31"/>
      <c r="K5271" s="31" t="s">
        <v>150</v>
      </c>
      <c r="L5271" s="45" t="n">
        <f aca="false">DATE(YEAR(B5271),MONTH(B5271),1)</f>
        <v>46266</v>
      </c>
      <c r="M5271" s="31" t="n">
        <f aca="false">WEEKDAY(B5271,2)</f>
        <v>4</v>
      </c>
      <c r="N5271" s="31" t="str">
        <f aca="false">IF(G5271&lt;=INDEX(Assumptions!$B$15:$B$18,MATCH(E5271,Assumptions!$A$15:$A$18,0)),"Yes","No")</f>
        <v>Yes</v>
      </c>
      <c r="O5271" s="31" t="str">
        <f aca="false">IF(H5271="","Open",IF(H5271&lt;=INDEX(Assumptions!$C$15:$C$18,MATCH(E5271,Assumptions!$A$15:$A$18,0)),"Yes","No"))</f>
        <v>No</v>
      </c>
    </row>
    <row r="5272" customFormat="false" ht="15" hidden="false" customHeight="false" outlineLevel="0" collapsed="false">
      <c r="A5272" s="31" t="s">
        <v>5422</v>
      </c>
      <c r="B5272" s="44" t="n">
        <v>46275</v>
      </c>
      <c r="C5272" s="31" t="s">
        <v>57</v>
      </c>
      <c r="D5272" s="31" t="s">
        <v>68</v>
      </c>
      <c r="E5272" s="31" t="s">
        <v>51</v>
      </c>
      <c r="F5272" s="31" t="s">
        <v>128</v>
      </c>
      <c r="G5272" s="31" t="n">
        <v>7</v>
      </c>
      <c r="H5272" s="41"/>
      <c r="I5272" s="31" t="s">
        <v>158</v>
      </c>
      <c r="J5272" s="31"/>
      <c r="K5272" s="31" t="s">
        <v>150</v>
      </c>
      <c r="L5272" s="45" t="n">
        <f aca="false">DATE(YEAR(B5272),MONTH(B5272),1)</f>
        <v>46266</v>
      </c>
      <c r="M5272" s="31" t="n">
        <f aca="false">WEEKDAY(B5272,2)</f>
        <v>4</v>
      </c>
      <c r="N5272" s="31" t="str">
        <f aca="false">IF(G5272&lt;=INDEX(Assumptions!$B$15:$B$18,MATCH(E5272,Assumptions!$A$15:$A$18,0)),"Yes","No")</f>
        <v>Yes</v>
      </c>
      <c r="O5272" s="31" t="str">
        <f aca="false">IF(H5272="","Open",IF(H5272&lt;=INDEX(Assumptions!$C$15:$C$18,MATCH(E5272,Assumptions!$A$15:$A$18,0)),"Yes","No"))</f>
        <v>Open</v>
      </c>
    </row>
    <row r="5273" customFormat="false" ht="15" hidden="false" customHeight="false" outlineLevel="0" collapsed="false">
      <c r="A5273" s="31" t="s">
        <v>5423</v>
      </c>
      <c r="B5273" s="44" t="n">
        <v>46275</v>
      </c>
      <c r="C5273" s="31" t="s">
        <v>57</v>
      </c>
      <c r="D5273" s="31" t="s">
        <v>65</v>
      </c>
      <c r="E5273" s="31" t="s">
        <v>50</v>
      </c>
      <c r="F5273" s="31" t="s">
        <v>127</v>
      </c>
      <c r="G5273" s="31" t="n">
        <v>2</v>
      </c>
      <c r="H5273" s="41" t="n">
        <v>0.7</v>
      </c>
      <c r="I5273" s="31" t="s">
        <v>149</v>
      </c>
      <c r="J5273" s="31" t="n">
        <v>3</v>
      </c>
      <c r="K5273" s="31" t="s">
        <v>150</v>
      </c>
      <c r="L5273" s="45" t="n">
        <f aca="false">DATE(YEAR(B5273),MONTH(B5273),1)</f>
        <v>46266</v>
      </c>
      <c r="M5273" s="31" t="n">
        <f aca="false">WEEKDAY(B5273,2)</f>
        <v>4</v>
      </c>
      <c r="N5273" s="31" t="str">
        <f aca="false">IF(G5273&lt;=INDEX(Assumptions!$B$15:$B$18,MATCH(E5273,Assumptions!$A$15:$A$18,0)),"Yes","No")</f>
        <v>Yes</v>
      </c>
      <c r="O5273" s="31" t="str">
        <f aca="false">IF(H5273="","Open",IF(H5273&lt;=INDEX(Assumptions!$C$15:$C$18,MATCH(E5273,Assumptions!$A$15:$A$18,0)),"Yes","No"))</f>
        <v>Yes</v>
      </c>
    </row>
    <row r="5274" customFormat="false" ht="15" hidden="false" customHeight="false" outlineLevel="0" collapsed="false">
      <c r="A5274" s="31" t="s">
        <v>5424</v>
      </c>
      <c r="B5274" s="44" t="n">
        <v>46275</v>
      </c>
      <c r="C5274" s="31" t="s">
        <v>59</v>
      </c>
      <c r="D5274" s="31" t="s">
        <v>68</v>
      </c>
      <c r="E5274" s="31" t="s">
        <v>49</v>
      </c>
      <c r="F5274" s="31" t="s">
        <v>120</v>
      </c>
      <c r="G5274" s="31" t="n">
        <v>24</v>
      </c>
      <c r="H5274" s="41" t="n">
        <v>1.7</v>
      </c>
      <c r="I5274" s="31" t="s">
        <v>149</v>
      </c>
      <c r="J5274" s="31" t="n">
        <v>4</v>
      </c>
      <c r="K5274" s="31" t="s">
        <v>150</v>
      </c>
      <c r="L5274" s="45" t="n">
        <f aca="false">DATE(YEAR(B5274),MONTH(B5274),1)</f>
        <v>46266</v>
      </c>
      <c r="M5274" s="31" t="n">
        <f aca="false">WEEKDAY(B5274,2)</f>
        <v>4</v>
      </c>
      <c r="N5274" s="31" t="str">
        <f aca="false">IF(G5274&lt;=INDEX(Assumptions!$B$15:$B$18,MATCH(E5274,Assumptions!$A$15:$A$18,0)),"Yes","No")</f>
        <v>No</v>
      </c>
      <c r="O5274" s="31" t="str">
        <f aca="false">IF(H5274="","Open",IF(H5274&lt;=INDEX(Assumptions!$C$15:$C$18,MATCH(E5274,Assumptions!$A$15:$A$18,0)),"Yes","No"))</f>
        <v>Yes</v>
      </c>
    </row>
    <row r="5275" customFormat="false" ht="15" hidden="false" customHeight="false" outlineLevel="0" collapsed="false">
      <c r="A5275" s="31" t="s">
        <v>5425</v>
      </c>
      <c r="B5275" s="44" t="n">
        <v>46275</v>
      </c>
      <c r="C5275" s="31" t="s">
        <v>57</v>
      </c>
      <c r="D5275" s="31" t="s">
        <v>66</v>
      </c>
      <c r="E5275" s="31" t="s">
        <v>52</v>
      </c>
      <c r="F5275" s="31" t="s">
        <v>121</v>
      </c>
      <c r="G5275" s="31" t="n">
        <v>12</v>
      </c>
      <c r="H5275" s="41" t="n">
        <v>22.2</v>
      </c>
      <c r="I5275" s="31" t="s">
        <v>149</v>
      </c>
      <c r="J5275" s="31"/>
      <c r="K5275" s="31" t="s">
        <v>150</v>
      </c>
      <c r="L5275" s="45" t="n">
        <f aca="false">DATE(YEAR(B5275),MONTH(B5275),1)</f>
        <v>46266</v>
      </c>
      <c r="M5275" s="31" t="n">
        <f aca="false">WEEKDAY(B5275,2)</f>
        <v>4</v>
      </c>
      <c r="N5275" s="31" t="str">
        <f aca="false">IF(G5275&lt;=INDEX(Assumptions!$B$15:$B$18,MATCH(E5275,Assumptions!$A$15:$A$18,0)),"Yes","No")</f>
        <v>Yes</v>
      </c>
      <c r="O5275" s="31" t="str">
        <f aca="false">IF(H5275="","Open",IF(H5275&lt;=INDEX(Assumptions!$C$15:$C$18,MATCH(E5275,Assumptions!$A$15:$A$18,0)),"Yes","No"))</f>
        <v>Yes</v>
      </c>
    </row>
    <row r="5276" customFormat="false" ht="15" hidden="false" customHeight="false" outlineLevel="0" collapsed="false">
      <c r="A5276" s="31" t="s">
        <v>5426</v>
      </c>
      <c r="B5276" s="44" t="n">
        <v>46275</v>
      </c>
      <c r="C5276" s="31" t="s">
        <v>57</v>
      </c>
      <c r="D5276" s="31" t="s">
        <v>65</v>
      </c>
      <c r="E5276" s="31" t="s">
        <v>52</v>
      </c>
      <c r="F5276" s="31" t="s">
        <v>117</v>
      </c>
      <c r="G5276" s="31" t="n">
        <v>2</v>
      </c>
      <c r="H5276" s="41" t="n">
        <v>18.5</v>
      </c>
      <c r="I5276" s="31" t="s">
        <v>64</v>
      </c>
      <c r="J5276" s="31" t="n">
        <v>4</v>
      </c>
      <c r="K5276" s="31" t="s">
        <v>150</v>
      </c>
      <c r="L5276" s="45" t="n">
        <f aca="false">DATE(YEAR(B5276),MONTH(B5276),1)</f>
        <v>46266</v>
      </c>
      <c r="M5276" s="31" t="n">
        <f aca="false">WEEKDAY(B5276,2)</f>
        <v>4</v>
      </c>
      <c r="N5276" s="31" t="str">
        <f aca="false">IF(G5276&lt;=INDEX(Assumptions!$B$15:$B$18,MATCH(E5276,Assumptions!$A$15:$A$18,0)),"Yes","No")</f>
        <v>Yes</v>
      </c>
      <c r="O5276" s="31" t="str">
        <f aca="false">IF(H5276="","Open",IF(H5276&lt;=INDEX(Assumptions!$C$15:$C$18,MATCH(E5276,Assumptions!$A$15:$A$18,0)),"Yes","No"))</f>
        <v>Yes</v>
      </c>
    </row>
    <row r="5277" customFormat="false" ht="15" hidden="false" customHeight="false" outlineLevel="0" collapsed="false">
      <c r="A5277" s="31" t="s">
        <v>5427</v>
      </c>
      <c r="B5277" s="44" t="n">
        <v>46275</v>
      </c>
      <c r="C5277" s="31" t="s">
        <v>58</v>
      </c>
      <c r="D5277" s="31" t="s">
        <v>66</v>
      </c>
      <c r="E5277" s="31" t="s">
        <v>51</v>
      </c>
      <c r="F5277" s="31" t="s">
        <v>123</v>
      </c>
      <c r="G5277" s="31" t="n">
        <v>6</v>
      </c>
      <c r="H5277" s="41" t="n">
        <v>8.4</v>
      </c>
      <c r="I5277" s="31" t="s">
        <v>149</v>
      </c>
      <c r="J5277" s="31" t="n">
        <v>4</v>
      </c>
      <c r="K5277" s="31" t="s">
        <v>150</v>
      </c>
      <c r="L5277" s="45" t="n">
        <f aca="false">DATE(YEAR(B5277),MONTH(B5277),1)</f>
        <v>46266</v>
      </c>
      <c r="M5277" s="31" t="n">
        <f aca="false">WEEKDAY(B5277,2)</f>
        <v>4</v>
      </c>
      <c r="N5277" s="31" t="str">
        <f aca="false">IF(G5277&lt;=INDEX(Assumptions!$B$15:$B$18,MATCH(E5277,Assumptions!$A$15:$A$18,0)),"Yes","No")</f>
        <v>Yes</v>
      </c>
      <c r="O5277" s="31" t="str">
        <f aca="false">IF(H5277="","Open",IF(H5277&lt;=INDEX(Assumptions!$C$15:$C$18,MATCH(E5277,Assumptions!$A$15:$A$18,0)),"Yes","No"))</f>
        <v>Yes</v>
      </c>
    </row>
    <row r="5278" customFormat="false" ht="15" hidden="false" customHeight="false" outlineLevel="0" collapsed="false">
      <c r="A5278" s="31" t="s">
        <v>5428</v>
      </c>
      <c r="B5278" s="44" t="n">
        <v>46275</v>
      </c>
      <c r="C5278" s="31" t="s">
        <v>58</v>
      </c>
      <c r="D5278" s="31" t="s">
        <v>65</v>
      </c>
      <c r="E5278" s="31" t="s">
        <v>51</v>
      </c>
      <c r="F5278" s="31" t="s">
        <v>133</v>
      </c>
      <c r="G5278" s="31" t="n">
        <v>2</v>
      </c>
      <c r="H5278" s="41" t="n">
        <v>25.8</v>
      </c>
      <c r="I5278" s="31" t="s">
        <v>149</v>
      </c>
      <c r="J5278" s="31" t="n">
        <v>4</v>
      </c>
      <c r="K5278" s="31" t="s">
        <v>153</v>
      </c>
      <c r="L5278" s="45" t="n">
        <f aca="false">DATE(YEAR(B5278),MONTH(B5278),1)</f>
        <v>46266</v>
      </c>
      <c r="M5278" s="31" t="n">
        <f aca="false">WEEKDAY(B5278,2)</f>
        <v>4</v>
      </c>
      <c r="N5278" s="31" t="str">
        <f aca="false">IF(G5278&lt;=INDEX(Assumptions!$B$15:$B$18,MATCH(E5278,Assumptions!$A$15:$A$18,0)),"Yes","No")</f>
        <v>Yes</v>
      </c>
      <c r="O5278" s="31" t="str">
        <f aca="false">IF(H5278="","Open",IF(H5278&lt;=INDEX(Assumptions!$C$15:$C$18,MATCH(E5278,Assumptions!$A$15:$A$18,0)),"Yes","No"))</f>
        <v>No</v>
      </c>
    </row>
    <row r="5279" customFormat="false" ht="15" hidden="false" customHeight="false" outlineLevel="0" collapsed="false">
      <c r="A5279" s="31" t="s">
        <v>5429</v>
      </c>
      <c r="B5279" s="44" t="n">
        <v>46275</v>
      </c>
      <c r="C5279" s="31" t="s">
        <v>60</v>
      </c>
      <c r="D5279" s="31" t="s">
        <v>67</v>
      </c>
      <c r="E5279" s="31" t="s">
        <v>52</v>
      </c>
      <c r="F5279" s="31" t="s">
        <v>123</v>
      </c>
      <c r="G5279" s="31" t="n">
        <v>3</v>
      </c>
      <c r="H5279" s="41" t="n">
        <v>68.4</v>
      </c>
      <c r="I5279" s="31" t="s">
        <v>149</v>
      </c>
      <c r="J5279" s="31" t="n">
        <v>5</v>
      </c>
      <c r="K5279" s="31" t="s">
        <v>150</v>
      </c>
      <c r="L5279" s="45" t="n">
        <f aca="false">DATE(YEAR(B5279),MONTH(B5279),1)</f>
        <v>46266</v>
      </c>
      <c r="M5279" s="31" t="n">
        <f aca="false">WEEKDAY(B5279,2)</f>
        <v>4</v>
      </c>
      <c r="N5279" s="31" t="str">
        <f aca="false">IF(G5279&lt;=INDEX(Assumptions!$B$15:$B$18,MATCH(E5279,Assumptions!$A$15:$A$18,0)),"Yes","No")</f>
        <v>Yes</v>
      </c>
      <c r="O5279" s="31" t="str">
        <f aca="false">IF(H5279="","Open",IF(H5279&lt;=INDEX(Assumptions!$C$15:$C$18,MATCH(E5279,Assumptions!$A$15:$A$18,0)),"Yes","No"))</f>
        <v>Yes</v>
      </c>
    </row>
    <row r="5280" customFormat="false" ht="15" hidden="false" customHeight="false" outlineLevel="0" collapsed="false">
      <c r="A5280" s="31" t="s">
        <v>5430</v>
      </c>
      <c r="B5280" s="44" t="n">
        <v>46275</v>
      </c>
      <c r="C5280" s="31" t="s">
        <v>59</v>
      </c>
      <c r="D5280" s="31" t="s">
        <v>69</v>
      </c>
      <c r="E5280" s="31" t="s">
        <v>49</v>
      </c>
      <c r="F5280" s="31" t="s">
        <v>133</v>
      </c>
      <c r="G5280" s="31" t="n">
        <v>49</v>
      </c>
      <c r="H5280" s="41" t="n">
        <v>4.6</v>
      </c>
      <c r="I5280" s="31" t="s">
        <v>149</v>
      </c>
      <c r="J5280" s="31" t="n">
        <v>3</v>
      </c>
      <c r="K5280" s="31" t="s">
        <v>150</v>
      </c>
      <c r="L5280" s="45" t="n">
        <f aca="false">DATE(YEAR(B5280),MONTH(B5280),1)</f>
        <v>46266</v>
      </c>
      <c r="M5280" s="31" t="n">
        <f aca="false">WEEKDAY(B5280,2)</f>
        <v>4</v>
      </c>
      <c r="N5280" s="31" t="str">
        <f aca="false">IF(G5280&lt;=INDEX(Assumptions!$B$15:$B$18,MATCH(E5280,Assumptions!$A$15:$A$18,0)),"Yes","No")</f>
        <v>No</v>
      </c>
      <c r="O5280" s="31" t="str">
        <f aca="false">IF(H5280="","Open",IF(H5280&lt;=INDEX(Assumptions!$C$15:$C$18,MATCH(E5280,Assumptions!$A$15:$A$18,0)),"Yes","No"))</f>
        <v>No</v>
      </c>
    </row>
    <row r="5281" customFormat="false" ht="15" hidden="false" customHeight="false" outlineLevel="0" collapsed="false">
      <c r="A5281" s="31" t="s">
        <v>5431</v>
      </c>
      <c r="B5281" s="44" t="n">
        <v>46275</v>
      </c>
      <c r="C5281" s="31" t="s">
        <v>59</v>
      </c>
      <c r="D5281" s="31" t="s">
        <v>65</v>
      </c>
      <c r="E5281" s="31" t="s">
        <v>51</v>
      </c>
      <c r="F5281" s="31" t="s">
        <v>120</v>
      </c>
      <c r="G5281" s="31" t="n">
        <v>347</v>
      </c>
      <c r="H5281" s="41" t="n">
        <v>6.9</v>
      </c>
      <c r="I5281" s="31" t="s">
        <v>149</v>
      </c>
      <c r="J5281" s="31" t="n">
        <v>5</v>
      </c>
      <c r="K5281" s="31" t="s">
        <v>150</v>
      </c>
      <c r="L5281" s="45" t="n">
        <f aca="false">DATE(YEAR(B5281),MONTH(B5281),1)</f>
        <v>46266</v>
      </c>
      <c r="M5281" s="31" t="n">
        <f aca="false">WEEKDAY(B5281,2)</f>
        <v>4</v>
      </c>
      <c r="N5281" s="31" t="str">
        <f aca="false">IF(G5281&lt;=INDEX(Assumptions!$B$15:$B$18,MATCH(E5281,Assumptions!$A$15:$A$18,0)),"Yes","No")</f>
        <v>No</v>
      </c>
      <c r="O5281" s="31" t="str">
        <f aca="false">IF(H5281="","Open",IF(H5281&lt;=INDEX(Assumptions!$C$15:$C$18,MATCH(E5281,Assumptions!$A$15:$A$18,0)),"Yes","No"))</f>
        <v>Yes</v>
      </c>
    </row>
    <row r="5282" customFormat="false" ht="15" hidden="false" customHeight="false" outlineLevel="0" collapsed="false">
      <c r="A5282" s="31" t="s">
        <v>5432</v>
      </c>
      <c r="B5282" s="44" t="n">
        <v>46275</v>
      </c>
      <c r="C5282" s="31" t="s">
        <v>57</v>
      </c>
      <c r="D5282" s="31" t="s">
        <v>66</v>
      </c>
      <c r="E5282" s="31" t="s">
        <v>50</v>
      </c>
      <c r="F5282" s="31" t="s">
        <v>124</v>
      </c>
      <c r="G5282" s="31" t="n">
        <v>2</v>
      </c>
      <c r="H5282" s="41" t="n">
        <v>1.5</v>
      </c>
      <c r="I5282" s="31" t="s">
        <v>149</v>
      </c>
      <c r="J5282" s="31" t="n">
        <v>4</v>
      </c>
      <c r="K5282" s="31" t="s">
        <v>150</v>
      </c>
      <c r="L5282" s="45" t="n">
        <f aca="false">DATE(YEAR(B5282),MONTH(B5282),1)</f>
        <v>46266</v>
      </c>
      <c r="M5282" s="31" t="n">
        <f aca="false">WEEKDAY(B5282,2)</f>
        <v>4</v>
      </c>
      <c r="N5282" s="31" t="str">
        <f aca="false">IF(G5282&lt;=INDEX(Assumptions!$B$15:$B$18,MATCH(E5282,Assumptions!$A$15:$A$18,0)),"Yes","No")</f>
        <v>Yes</v>
      </c>
      <c r="O5282" s="31" t="str">
        <f aca="false">IF(H5282="","Open",IF(H5282&lt;=INDEX(Assumptions!$C$15:$C$18,MATCH(E5282,Assumptions!$A$15:$A$18,0)),"Yes","No"))</f>
        <v>Yes</v>
      </c>
    </row>
    <row r="5283" customFormat="false" ht="15" hidden="false" customHeight="false" outlineLevel="0" collapsed="false">
      <c r="A5283" s="31" t="s">
        <v>5433</v>
      </c>
      <c r="B5283" s="44" t="n">
        <v>46275</v>
      </c>
      <c r="C5283" s="31" t="s">
        <v>57</v>
      </c>
      <c r="D5283" s="31" t="s">
        <v>66</v>
      </c>
      <c r="E5283" s="31" t="s">
        <v>50</v>
      </c>
      <c r="F5283" s="31" t="s">
        <v>131</v>
      </c>
      <c r="G5283" s="31" t="n">
        <v>4</v>
      </c>
      <c r="H5283" s="41" t="n">
        <v>1.9</v>
      </c>
      <c r="I5283" s="31" t="s">
        <v>149</v>
      </c>
      <c r="J5283" s="31" t="n">
        <v>4</v>
      </c>
      <c r="K5283" s="31" t="s">
        <v>150</v>
      </c>
      <c r="L5283" s="45" t="n">
        <f aca="false">DATE(YEAR(B5283),MONTH(B5283),1)</f>
        <v>46266</v>
      </c>
      <c r="M5283" s="31" t="n">
        <f aca="false">WEEKDAY(B5283,2)</f>
        <v>4</v>
      </c>
      <c r="N5283" s="31" t="str">
        <f aca="false">IF(G5283&lt;=INDEX(Assumptions!$B$15:$B$18,MATCH(E5283,Assumptions!$A$15:$A$18,0)),"Yes","No")</f>
        <v>Yes</v>
      </c>
      <c r="O5283" s="31" t="str">
        <f aca="false">IF(H5283="","Open",IF(H5283&lt;=INDEX(Assumptions!$C$15:$C$18,MATCH(E5283,Assumptions!$A$15:$A$18,0)),"Yes","No"))</f>
        <v>Yes</v>
      </c>
    </row>
    <row r="5284" customFormat="false" ht="15" hidden="false" customHeight="false" outlineLevel="0" collapsed="false">
      <c r="A5284" s="31" t="s">
        <v>5434</v>
      </c>
      <c r="B5284" s="44" t="n">
        <v>46275</v>
      </c>
      <c r="C5284" s="31" t="s">
        <v>58</v>
      </c>
      <c r="D5284" s="31" t="s">
        <v>66</v>
      </c>
      <c r="E5284" s="31" t="s">
        <v>51</v>
      </c>
      <c r="F5284" s="31" t="s">
        <v>127</v>
      </c>
      <c r="G5284" s="31" t="n">
        <v>6</v>
      </c>
      <c r="H5284" s="41" t="n">
        <v>3.7</v>
      </c>
      <c r="I5284" s="31" t="s">
        <v>149</v>
      </c>
      <c r="J5284" s="31" t="n">
        <v>5</v>
      </c>
      <c r="K5284" s="31" t="s">
        <v>150</v>
      </c>
      <c r="L5284" s="45" t="n">
        <f aca="false">DATE(YEAR(B5284),MONTH(B5284),1)</f>
        <v>46266</v>
      </c>
      <c r="M5284" s="31" t="n">
        <f aca="false">WEEKDAY(B5284,2)</f>
        <v>4</v>
      </c>
      <c r="N5284" s="31" t="str">
        <f aca="false">IF(G5284&lt;=INDEX(Assumptions!$B$15:$B$18,MATCH(E5284,Assumptions!$A$15:$A$18,0)),"Yes","No")</f>
        <v>Yes</v>
      </c>
      <c r="O5284" s="31" t="str">
        <f aca="false">IF(H5284="","Open",IF(H5284&lt;=INDEX(Assumptions!$C$15:$C$18,MATCH(E5284,Assumptions!$A$15:$A$18,0)),"Yes","No"))</f>
        <v>Yes</v>
      </c>
    </row>
    <row r="5285" customFormat="false" ht="15" hidden="false" customHeight="false" outlineLevel="0" collapsed="false">
      <c r="A5285" s="31" t="s">
        <v>5435</v>
      </c>
      <c r="B5285" s="44" t="n">
        <v>46275</v>
      </c>
      <c r="C5285" s="31" t="s">
        <v>58</v>
      </c>
      <c r="D5285" s="31" t="s">
        <v>66</v>
      </c>
      <c r="E5285" s="31" t="s">
        <v>50</v>
      </c>
      <c r="F5285" s="31" t="s">
        <v>131</v>
      </c>
      <c r="G5285" s="31" t="n">
        <v>5</v>
      </c>
      <c r="H5285" s="41" t="n">
        <v>6</v>
      </c>
      <c r="I5285" s="31" t="s">
        <v>149</v>
      </c>
      <c r="J5285" s="31" t="n">
        <v>4</v>
      </c>
      <c r="K5285" s="31" t="s">
        <v>150</v>
      </c>
      <c r="L5285" s="45" t="n">
        <f aca="false">DATE(YEAR(B5285),MONTH(B5285),1)</f>
        <v>46266</v>
      </c>
      <c r="M5285" s="31" t="n">
        <f aca="false">WEEKDAY(B5285,2)</f>
        <v>4</v>
      </c>
      <c r="N5285" s="31" t="str">
        <f aca="false">IF(G5285&lt;=INDEX(Assumptions!$B$15:$B$18,MATCH(E5285,Assumptions!$A$15:$A$18,0)),"Yes","No")</f>
        <v>Yes</v>
      </c>
      <c r="O5285" s="31" t="str">
        <f aca="false">IF(H5285="","Open",IF(H5285&lt;=INDEX(Assumptions!$C$15:$C$18,MATCH(E5285,Assumptions!$A$15:$A$18,0)),"Yes","No"))</f>
        <v>Yes</v>
      </c>
    </row>
    <row r="5286" customFormat="false" ht="15" hidden="false" customHeight="false" outlineLevel="0" collapsed="false">
      <c r="A5286" s="31" t="s">
        <v>5436</v>
      </c>
      <c r="B5286" s="44" t="n">
        <v>46275</v>
      </c>
      <c r="C5286" s="31" t="s">
        <v>60</v>
      </c>
      <c r="D5286" s="31" t="s">
        <v>65</v>
      </c>
      <c r="E5286" s="31" t="s">
        <v>51</v>
      </c>
      <c r="F5286" s="31" t="s">
        <v>119</v>
      </c>
      <c r="G5286" s="31" t="n">
        <v>2</v>
      </c>
      <c r="H5286" s="41"/>
      <c r="I5286" s="31" t="s">
        <v>158</v>
      </c>
      <c r="J5286" s="31"/>
      <c r="K5286" s="31" t="s">
        <v>150</v>
      </c>
      <c r="L5286" s="45" t="n">
        <f aca="false">DATE(YEAR(B5286),MONTH(B5286),1)</f>
        <v>46266</v>
      </c>
      <c r="M5286" s="31" t="n">
        <f aca="false">WEEKDAY(B5286,2)</f>
        <v>4</v>
      </c>
      <c r="N5286" s="31" t="str">
        <f aca="false">IF(G5286&lt;=INDEX(Assumptions!$B$15:$B$18,MATCH(E5286,Assumptions!$A$15:$A$18,0)),"Yes","No")</f>
        <v>Yes</v>
      </c>
      <c r="O5286" s="31" t="str">
        <f aca="false">IF(H5286="","Open",IF(H5286&lt;=INDEX(Assumptions!$C$15:$C$18,MATCH(E5286,Assumptions!$A$15:$A$18,0)),"Yes","No"))</f>
        <v>Open</v>
      </c>
    </row>
    <row r="5287" customFormat="false" ht="15" hidden="false" customHeight="false" outlineLevel="0" collapsed="false">
      <c r="A5287" s="31" t="s">
        <v>5437</v>
      </c>
      <c r="B5287" s="44" t="n">
        <v>46275</v>
      </c>
      <c r="C5287" s="31" t="s">
        <v>57</v>
      </c>
      <c r="D5287" s="31" t="s">
        <v>68</v>
      </c>
      <c r="E5287" s="31" t="s">
        <v>51</v>
      </c>
      <c r="F5287" s="31" t="s">
        <v>133</v>
      </c>
      <c r="G5287" s="31" t="n">
        <v>2</v>
      </c>
      <c r="H5287" s="41" t="n">
        <v>9.7</v>
      </c>
      <c r="I5287" s="31" t="s">
        <v>149</v>
      </c>
      <c r="J5287" s="31" t="n">
        <v>5</v>
      </c>
      <c r="K5287" s="31" t="s">
        <v>150</v>
      </c>
      <c r="L5287" s="45" t="n">
        <f aca="false">DATE(YEAR(B5287),MONTH(B5287),1)</f>
        <v>46266</v>
      </c>
      <c r="M5287" s="31" t="n">
        <f aca="false">WEEKDAY(B5287,2)</f>
        <v>4</v>
      </c>
      <c r="N5287" s="31" t="str">
        <f aca="false">IF(G5287&lt;=INDEX(Assumptions!$B$15:$B$18,MATCH(E5287,Assumptions!$A$15:$A$18,0)),"Yes","No")</f>
        <v>Yes</v>
      </c>
      <c r="O5287" s="31" t="str">
        <f aca="false">IF(H5287="","Open",IF(H5287&lt;=INDEX(Assumptions!$C$15:$C$18,MATCH(E5287,Assumptions!$A$15:$A$18,0)),"Yes","No"))</f>
        <v>Yes</v>
      </c>
    </row>
    <row r="5288" customFormat="false" ht="15" hidden="false" customHeight="false" outlineLevel="0" collapsed="false">
      <c r="A5288" s="31" t="s">
        <v>5438</v>
      </c>
      <c r="B5288" s="44" t="n">
        <v>46275</v>
      </c>
      <c r="C5288" s="31" t="s">
        <v>60</v>
      </c>
      <c r="D5288" s="31" t="s">
        <v>67</v>
      </c>
      <c r="E5288" s="31" t="s">
        <v>50</v>
      </c>
      <c r="F5288" s="31" t="s">
        <v>120</v>
      </c>
      <c r="G5288" s="31" t="n">
        <v>1</v>
      </c>
      <c r="H5288" s="41" t="n">
        <v>31.1</v>
      </c>
      <c r="I5288" s="31" t="s">
        <v>149</v>
      </c>
      <c r="J5288" s="31" t="n">
        <v>3</v>
      </c>
      <c r="K5288" s="31" t="s">
        <v>150</v>
      </c>
      <c r="L5288" s="45" t="n">
        <f aca="false">DATE(YEAR(B5288),MONTH(B5288),1)</f>
        <v>46266</v>
      </c>
      <c r="M5288" s="31" t="n">
        <f aca="false">WEEKDAY(B5288,2)</f>
        <v>4</v>
      </c>
      <c r="N5288" s="31" t="str">
        <f aca="false">IF(G5288&lt;=INDEX(Assumptions!$B$15:$B$18,MATCH(E5288,Assumptions!$A$15:$A$18,0)),"Yes","No")</f>
        <v>Yes</v>
      </c>
      <c r="O5288" s="31" t="str">
        <f aca="false">IF(H5288="","Open",IF(H5288&lt;=INDEX(Assumptions!$C$15:$C$18,MATCH(E5288,Assumptions!$A$15:$A$18,0)),"Yes","No"))</f>
        <v>No</v>
      </c>
    </row>
    <row r="5289" customFormat="false" ht="15" hidden="false" customHeight="false" outlineLevel="0" collapsed="false">
      <c r="A5289" s="31" t="s">
        <v>5439</v>
      </c>
      <c r="B5289" s="44" t="n">
        <v>46275</v>
      </c>
      <c r="C5289" s="31" t="s">
        <v>58</v>
      </c>
      <c r="D5289" s="31" t="s">
        <v>66</v>
      </c>
      <c r="E5289" s="31" t="s">
        <v>52</v>
      </c>
      <c r="F5289" s="31" t="s">
        <v>135</v>
      </c>
      <c r="G5289" s="31" t="n">
        <v>18</v>
      </c>
      <c r="H5289" s="41" t="n">
        <v>9.8</v>
      </c>
      <c r="I5289" s="31" t="s">
        <v>149</v>
      </c>
      <c r="J5289" s="31"/>
      <c r="K5289" s="31" t="s">
        <v>150</v>
      </c>
      <c r="L5289" s="45" t="n">
        <f aca="false">DATE(YEAR(B5289),MONTH(B5289),1)</f>
        <v>46266</v>
      </c>
      <c r="M5289" s="31" t="n">
        <f aca="false">WEEKDAY(B5289,2)</f>
        <v>4</v>
      </c>
      <c r="N5289" s="31" t="str">
        <f aca="false">IF(G5289&lt;=INDEX(Assumptions!$B$15:$B$18,MATCH(E5289,Assumptions!$A$15:$A$18,0)),"Yes","No")</f>
        <v>Yes</v>
      </c>
      <c r="O5289" s="31" t="str">
        <f aca="false">IF(H5289="","Open",IF(H5289&lt;=INDEX(Assumptions!$C$15:$C$18,MATCH(E5289,Assumptions!$A$15:$A$18,0)),"Yes","No"))</f>
        <v>Yes</v>
      </c>
    </row>
    <row r="5290" customFormat="false" ht="15" hidden="false" customHeight="false" outlineLevel="0" collapsed="false">
      <c r="A5290" s="31" t="s">
        <v>5440</v>
      </c>
      <c r="B5290" s="44" t="n">
        <v>46275</v>
      </c>
      <c r="C5290" s="31" t="s">
        <v>59</v>
      </c>
      <c r="D5290" s="31" t="s">
        <v>67</v>
      </c>
      <c r="E5290" s="31" t="s">
        <v>51</v>
      </c>
      <c r="F5290" s="31" t="s">
        <v>137</v>
      </c>
      <c r="G5290" s="31" t="n">
        <v>48</v>
      </c>
      <c r="H5290" s="41" t="n">
        <v>16.7</v>
      </c>
      <c r="I5290" s="31" t="s">
        <v>149</v>
      </c>
      <c r="J5290" s="31"/>
      <c r="K5290" s="31" t="s">
        <v>150</v>
      </c>
      <c r="L5290" s="45" t="n">
        <f aca="false">DATE(YEAR(B5290),MONTH(B5290),1)</f>
        <v>46266</v>
      </c>
      <c r="M5290" s="31" t="n">
        <f aca="false">WEEKDAY(B5290,2)</f>
        <v>4</v>
      </c>
      <c r="N5290" s="31" t="str">
        <f aca="false">IF(G5290&lt;=INDEX(Assumptions!$B$15:$B$18,MATCH(E5290,Assumptions!$A$15:$A$18,0)),"Yes","No")</f>
        <v>Yes</v>
      </c>
      <c r="O5290" s="31" t="str">
        <f aca="false">IF(H5290="","Open",IF(H5290&lt;=INDEX(Assumptions!$C$15:$C$18,MATCH(E5290,Assumptions!$A$15:$A$18,0)),"Yes","No"))</f>
        <v>Yes</v>
      </c>
    </row>
    <row r="5291" customFormat="false" ht="15" hidden="false" customHeight="false" outlineLevel="0" collapsed="false">
      <c r="A5291" s="31" t="s">
        <v>5441</v>
      </c>
      <c r="B5291" s="44" t="n">
        <v>46275</v>
      </c>
      <c r="C5291" s="31" t="s">
        <v>60</v>
      </c>
      <c r="D5291" s="31" t="s">
        <v>66</v>
      </c>
      <c r="E5291" s="31" t="s">
        <v>51</v>
      </c>
      <c r="F5291" s="31" t="s">
        <v>127</v>
      </c>
      <c r="G5291" s="31" t="n">
        <v>6</v>
      </c>
      <c r="H5291" s="41" t="n">
        <v>3.1</v>
      </c>
      <c r="I5291" s="31" t="s">
        <v>149</v>
      </c>
      <c r="J5291" s="31" t="n">
        <v>4</v>
      </c>
      <c r="K5291" s="31" t="s">
        <v>150</v>
      </c>
      <c r="L5291" s="45" t="n">
        <f aca="false">DATE(YEAR(B5291),MONTH(B5291),1)</f>
        <v>46266</v>
      </c>
      <c r="M5291" s="31" t="n">
        <f aca="false">WEEKDAY(B5291,2)</f>
        <v>4</v>
      </c>
      <c r="N5291" s="31" t="str">
        <f aca="false">IF(G5291&lt;=INDEX(Assumptions!$B$15:$B$18,MATCH(E5291,Assumptions!$A$15:$A$18,0)),"Yes","No")</f>
        <v>Yes</v>
      </c>
      <c r="O5291" s="31" t="str">
        <f aca="false">IF(H5291="","Open",IF(H5291&lt;=INDEX(Assumptions!$C$15:$C$18,MATCH(E5291,Assumptions!$A$15:$A$18,0)),"Yes","No"))</f>
        <v>Yes</v>
      </c>
    </row>
    <row r="5292" customFormat="false" ht="15" hidden="false" customHeight="false" outlineLevel="0" collapsed="false">
      <c r="A5292" s="31" t="s">
        <v>5442</v>
      </c>
      <c r="B5292" s="44" t="n">
        <v>46275</v>
      </c>
      <c r="C5292" s="31" t="s">
        <v>58</v>
      </c>
      <c r="D5292" s="31" t="s">
        <v>67</v>
      </c>
      <c r="E5292" s="31" t="s">
        <v>51</v>
      </c>
      <c r="F5292" s="31" t="s">
        <v>128</v>
      </c>
      <c r="G5292" s="31" t="n">
        <v>34</v>
      </c>
      <c r="H5292" s="41" t="n">
        <v>33.5</v>
      </c>
      <c r="I5292" s="31" t="s">
        <v>149</v>
      </c>
      <c r="J5292" s="31" t="n">
        <v>4</v>
      </c>
      <c r="K5292" s="31" t="s">
        <v>150</v>
      </c>
      <c r="L5292" s="45" t="n">
        <f aca="false">DATE(YEAR(B5292),MONTH(B5292),1)</f>
        <v>46266</v>
      </c>
      <c r="M5292" s="31" t="n">
        <f aca="false">WEEKDAY(B5292,2)</f>
        <v>4</v>
      </c>
      <c r="N5292" s="31" t="str">
        <f aca="false">IF(G5292&lt;=INDEX(Assumptions!$B$15:$B$18,MATCH(E5292,Assumptions!$A$15:$A$18,0)),"Yes","No")</f>
        <v>Yes</v>
      </c>
      <c r="O5292" s="31" t="str">
        <f aca="false">IF(H5292="","Open",IF(H5292&lt;=INDEX(Assumptions!$C$15:$C$18,MATCH(E5292,Assumptions!$A$15:$A$18,0)),"Yes","No"))</f>
        <v>No</v>
      </c>
    </row>
    <row r="5293" customFormat="false" ht="15" hidden="false" customHeight="false" outlineLevel="0" collapsed="false">
      <c r="A5293" s="31" t="s">
        <v>5443</v>
      </c>
      <c r="B5293" s="44" t="n">
        <v>46275</v>
      </c>
      <c r="C5293" s="31" t="s">
        <v>59</v>
      </c>
      <c r="D5293" s="31" t="s">
        <v>66</v>
      </c>
      <c r="E5293" s="31" t="s">
        <v>51</v>
      </c>
      <c r="F5293" s="31" t="s">
        <v>131</v>
      </c>
      <c r="G5293" s="31" t="n">
        <v>44</v>
      </c>
      <c r="H5293" s="41" t="n">
        <v>8.6</v>
      </c>
      <c r="I5293" s="31" t="s">
        <v>149</v>
      </c>
      <c r="J5293" s="31"/>
      <c r="K5293" s="31" t="s">
        <v>150</v>
      </c>
      <c r="L5293" s="45" t="n">
        <f aca="false">DATE(YEAR(B5293),MONTH(B5293),1)</f>
        <v>46266</v>
      </c>
      <c r="M5293" s="31" t="n">
        <f aca="false">WEEKDAY(B5293,2)</f>
        <v>4</v>
      </c>
      <c r="N5293" s="31" t="str">
        <f aca="false">IF(G5293&lt;=INDEX(Assumptions!$B$15:$B$18,MATCH(E5293,Assumptions!$A$15:$A$18,0)),"Yes","No")</f>
        <v>Yes</v>
      </c>
      <c r="O5293" s="31" t="str">
        <f aca="false">IF(H5293="","Open",IF(H5293&lt;=INDEX(Assumptions!$C$15:$C$18,MATCH(E5293,Assumptions!$A$15:$A$18,0)),"Yes","No"))</f>
        <v>Yes</v>
      </c>
    </row>
    <row r="5294" customFormat="false" ht="15" hidden="false" customHeight="false" outlineLevel="0" collapsed="false">
      <c r="A5294" s="31" t="s">
        <v>5444</v>
      </c>
      <c r="B5294" s="44" t="n">
        <v>46275</v>
      </c>
      <c r="C5294" s="31" t="s">
        <v>60</v>
      </c>
      <c r="D5294" s="31" t="s">
        <v>65</v>
      </c>
      <c r="E5294" s="31" t="s">
        <v>51</v>
      </c>
      <c r="F5294" s="31" t="s">
        <v>130</v>
      </c>
      <c r="G5294" s="31" t="n">
        <v>2</v>
      </c>
      <c r="H5294" s="41" t="n">
        <v>3.2</v>
      </c>
      <c r="I5294" s="31" t="s">
        <v>149</v>
      </c>
      <c r="J5294" s="31"/>
      <c r="K5294" s="31" t="s">
        <v>150</v>
      </c>
      <c r="L5294" s="45" t="n">
        <f aca="false">DATE(YEAR(B5294),MONTH(B5294),1)</f>
        <v>46266</v>
      </c>
      <c r="M5294" s="31" t="n">
        <f aca="false">WEEKDAY(B5294,2)</f>
        <v>4</v>
      </c>
      <c r="N5294" s="31" t="str">
        <f aca="false">IF(G5294&lt;=INDEX(Assumptions!$B$15:$B$18,MATCH(E5294,Assumptions!$A$15:$A$18,0)),"Yes","No")</f>
        <v>Yes</v>
      </c>
      <c r="O5294" s="31" t="str">
        <f aca="false">IF(H5294="","Open",IF(H5294&lt;=INDEX(Assumptions!$C$15:$C$18,MATCH(E5294,Assumptions!$A$15:$A$18,0)),"Yes","No"))</f>
        <v>Yes</v>
      </c>
    </row>
    <row r="5295" customFormat="false" ht="15" hidden="false" customHeight="false" outlineLevel="0" collapsed="false">
      <c r="A5295" s="31" t="s">
        <v>5445</v>
      </c>
      <c r="B5295" s="44" t="n">
        <v>46275</v>
      </c>
      <c r="C5295" s="31" t="s">
        <v>57</v>
      </c>
      <c r="D5295" s="31" t="s">
        <v>66</v>
      </c>
      <c r="E5295" s="31" t="s">
        <v>51</v>
      </c>
      <c r="F5295" s="31" t="s">
        <v>120</v>
      </c>
      <c r="G5295" s="31" t="n">
        <v>5</v>
      </c>
      <c r="H5295" s="41" t="n">
        <v>6.2</v>
      </c>
      <c r="I5295" s="31" t="s">
        <v>149</v>
      </c>
      <c r="J5295" s="31"/>
      <c r="K5295" s="31" t="s">
        <v>150</v>
      </c>
      <c r="L5295" s="45" t="n">
        <f aca="false">DATE(YEAR(B5295),MONTH(B5295),1)</f>
        <v>46266</v>
      </c>
      <c r="M5295" s="31" t="n">
        <f aca="false">WEEKDAY(B5295,2)</f>
        <v>4</v>
      </c>
      <c r="N5295" s="31" t="str">
        <f aca="false">IF(G5295&lt;=INDEX(Assumptions!$B$15:$B$18,MATCH(E5295,Assumptions!$A$15:$A$18,0)),"Yes","No")</f>
        <v>Yes</v>
      </c>
      <c r="O5295" s="31" t="str">
        <f aca="false">IF(H5295="","Open",IF(H5295&lt;=INDEX(Assumptions!$C$15:$C$18,MATCH(E5295,Assumptions!$A$15:$A$18,0)),"Yes","No"))</f>
        <v>Yes</v>
      </c>
    </row>
    <row r="5296" customFormat="false" ht="15" hidden="false" customHeight="false" outlineLevel="0" collapsed="false">
      <c r="A5296" s="31" t="s">
        <v>5446</v>
      </c>
      <c r="B5296" s="44" t="n">
        <v>46275</v>
      </c>
      <c r="C5296" s="31" t="s">
        <v>57</v>
      </c>
      <c r="D5296" s="31" t="s">
        <v>66</v>
      </c>
      <c r="E5296" s="31" t="s">
        <v>51</v>
      </c>
      <c r="F5296" s="31" t="s">
        <v>119</v>
      </c>
      <c r="G5296" s="31" t="n">
        <v>2</v>
      </c>
      <c r="H5296" s="41" t="n">
        <v>3.4</v>
      </c>
      <c r="I5296" s="31" t="s">
        <v>149</v>
      </c>
      <c r="J5296" s="31"/>
      <c r="K5296" s="31" t="s">
        <v>150</v>
      </c>
      <c r="L5296" s="45" t="n">
        <f aca="false">DATE(YEAR(B5296),MONTH(B5296),1)</f>
        <v>46266</v>
      </c>
      <c r="M5296" s="31" t="n">
        <f aca="false">WEEKDAY(B5296,2)</f>
        <v>4</v>
      </c>
      <c r="N5296" s="31" t="str">
        <f aca="false">IF(G5296&lt;=INDEX(Assumptions!$B$15:$B$18,MATCH(E5296,Assumptions!$A$15:$A$18,0)),"Yes","No")</f>
        <v>Yes</v>
      </c>
      <c r="O5296" s="31" t="str">
        <f aca="false">IF(H5296="","Open",IF(H5296&lt;=INDEX(Assumptions!$C$15:$C$18,MATCH(E5296,Assumptions!$A$15:$A$18,0)),"Yes","No"))</f>
        <v>Yes</v>
      </c>
    </row>
    <row r="5297" customFormat="false" ht="15" hidden="false" customHeight="false" outlineLevel="0" collapsed="false">
      <c r="A5297" s="31" t="s">
        <v>5447</v>
      </c>
      <c r="B5297" s="44" t="n">
        <v>46275</v>
      </c>
      <c r="C5297" s="31" t="s">
        <v>60</v>
      </c>
      <c r="D5297" s="31" t="s">
        <v>68</v>
      </c>
      <c r="E5297" s="31" t="s">
        <v>51</v>
      </c>
      <c r="F5297" s="31" t="s">
        <v>137</v>
      </c>
      <c r="G5297" s="31" t="n">
        <v>1</v>
      </c>
      <c r="H5297" s="41" t="n">
        <v>0.8</v>
      </c>
      <c r="I5297" s="31" t="s">
        <v>149</v>
      </c>
      <c r="J5297" s="31" t="n">
        <v>4</v>
      </c>
      <c r="K5297" s="31" t="s">
        <v>150</v>
      </c>
      <c r="L5297" s="45" t="n">
        <f aca="false">DATE(YEAR(B5297),MONTH(B5297),1)</f>
        <v>46266</v>
      </c>
      <c r="M5297" s="31" t="n">
        <f aca="false">WEEKDAY(B5297,2)</f>
        <v>4</v>
      </c>
      <c r="N5297" s="31" t="str">
        <f aca="false">IF(G5297&lt;=INDEX(Assumptions!$B$15:$B$18,MATCH(E5297,Assumptions!$A$15:$A$18,0)),"Yes","No")</f>
        <v>Yes</v>
      </c>
      <c r="O5297" s="31" t="str">
        <f aca="false">IF(H5297="","Open",IF(H5297&lt;=INDEX(Assumptions!$C$15:$C$18,MATCH(E5297,Assumptions!$A$15:$A$18,0)),"Yes","No"))</f>
        <v>Yes</v>
      </c>
    </row>
    <row r="5298" customFormat="false" ht="15" hidden="false" customHeight="false" outlineLevel="0" collapsed="false">
      <c r="A5298" s="31" t="s">
        <v>5448</v>
      </c>
      <c r="B5298" s="44" t="n">
        <v>46275</v>
      </c>
      <c r="C5298" s="31" t="s">
        <v>59</v>
      </c>
      <c r="D5298" s="31" t="s">
        <v>66</v>
      </c>
      <c r="E5298" s="31" t="s">
        <v>51</v>
      </c>
      <c r="F5298" s="31" t="s">
        <v>127</v>
      </c>
      <c r="G5298" s="31" t="n">
        <v>57</v>
      </c>
      <c r="H5298" s="41" t="n">
        <v>6.1</v>
      </c>
      <c r="I5298" s="31" t="s">
        <v>149</v>
      </c>
      <c r="J5298" s="31" t="n">
        <v>3</v>
      </c>
      <c r="K5298" s="31" t="s">
        <v>150</v>
      </c>
      <c r="L5298" s="45" t="n">
        <f aca="false">DATE(YEAR(B5298),MONTH(B5298),1)</f>
        <v>46266</v>
      </c>
      <c r="M5298" s="31" t="n">
        <f aca="false">WEEKDAY(B5298,2)</f>
        <v>4</v>
      </c>
      <c r="N5298" s="31" t="str">
        <f aca="false">IF(G5298&lt;=INDEX(Assumptions!$B$15:$B$18,MATCH(E5298,Assumptions!$A$15:$A$18,0)),"Yes","No")</f>
        <v>Yes</v>
      </c>
      <c r="O5298" s="31" t="str">
        <f aca="false">IF(H5298="","Open",IF(H5298&lt;=INDEX(Assumptions!$C$15:$C$18,MATCH(E5298,Assumptions!$A$15:$A$18,0)),"Yes","No"))</f>
        <v>Yes</v>
      </c>
    </row>
    <row r="5299" customFormat="false" ht="15" hidden="false" customHeight="false" outlineLevel="0" collapsed="false">
      <c r="A5299" s="31" t="s">
        <v>5449</v>
      </c>
      <c r="B5299" s="44" t="n">
        <v>46275</v>
      </c>
      <c r="C5299" s="31" t="s">
        <v>58</v>
      </c>
      <c r="D5299" s="31" t="s">
        <v>65</v>
      </c>
      <c r="E5299" s="31" t="s">
        <v>52</v>
      </c>
      <c r="F5299" s="31" t="s">
        <v>124</v>
      </c>
      <c r="G5299" s="31" t="n">
        <v>7</v>
      </c>
      <c r="H5299" s="41" t="n">
        <v>45.2</v>
      </c>
      <c r="I5299" s="31" t="s">
        <v>149</v>
      </c>
      <c r="J5299" s="31" t="n">
        <v>5</v>
      </c>
      <c r="K5299" s="31" t="s">
        <v>150</v>
      </c>
      <c r="L5299" s="45" t="n">
        <f aca="false">DATE(YEAR(B5299),MONTH(B5299),1)</f>
        <v>46266</v>
      </c>
      <c r="M5299" s="31" t="n">
        <f aca="false">WEEKDAY(B5299,2)</f>
        <v>4</v>
      </c>
      <c r="N5299" s="31" t="str">
        <f aca="false">IF(G5299&lt;=INDEX(Assumptions!$B$15:$B$18,MATCH(E5299,Assumptions!$A$15:$A$18,0)),"Yes","No")</f>
        <v>Yes</v>
      </c>
      <c r="O5299" s="31" t="str">
        <f aca="false">IF(H5299="","Open",IF(H5299&lt;=INDEX(Assumptions!$C$15:$C$18,MATCH(E5299,Assumptions!$A$15:$A$18,0)),"Yes","No"))</f>
        <v>Yes</v>
      </c>
    </row>
    <row r="5300" customFormat="false" ht="15" hidden="false" customHeight="false" outlineLevel="0" collapsed="false">
      <c r="A5300" s="31" t="s">
        <v>5450</v>
      </c>
      <c r="B5300" s="44" t="n">
        <v>46275</v>
      </c>
      <c r="C5300" s="31" t="s">
        <v>59</v>
      </c>
      <c r="D5300" s="31" t="s">
        <v>65</v>
      </c>
      <c r="E5300" s="31" t="s">
        <v>52</v>
      </c>
      <c r="F5300" s="31" t="s">
        <v>122</v>
      </c>
      <c r="G5300" s="31" t="n">
        <v>69</v>
      </c>
      <c r="H5300" s="41" t="n">
        <v>10</v>
      </c>
      <c r="I5300" s="31" t="s">
        <v>149</v>
      </c>
      <c r="J5300" s="31"/>
      <c r="K5300" s="31" t="s">
        <v>150</v>
      </c>
      <c r="L5300" s="45" t="n">
        <f aca="false">DATE(YEAR(B5300),MONTH(B5300),1)</f>
        <v>46266</v>
      </c>
      <c r="M5300" s="31" t="n">
        <f aca="false">WEEKDAY(B5300,2)</f>
        <v>4</v>
      </c>
      <c r="N5300" s="31" t="str">
        <f aca="false">IF(G5300&lt;=INDEX(Assumptions!$B$15:$B$18,MATCH(E5300,Assumptions!$A$15:$A$18,0)),"Yes","No")</f>
        <v>Yes</v>
      </c>
      <c r="O5300" s="31" t="str">
        <f aca="false">IF(H5300="","Open",IF(H5300&lt;=INDEX(Assumptions!$C$15:$C$18,MATCH(E5300,Assumptions!$A$15:$A$18,0)),"Yes","No"))</f>
        <v>Yes</v>
      </c>
    </row>
    <row r="5301" customFormat="false" ht="15" hidden="false" customHeight="false" outlineLevel="0" collapsed="false">
      <c r="A5301" s="31" t="s">
        <v>5451</v>
      </c>
      <c r="B5301" s="44" t="n">
        <v>46275</v>
      </c>
      <c r="C5301" s="31" t="s">
        <v>57</v>
      </c>
      <c r="D5301" s="31" t="s">
        <v>65</v>
      </c>
      <c r="E5301" s="31" t="s">
        <v>51</v>
      </c>
      <c r="F5301" s="31" t="s">
        <v>120</v>
      </c>
      <c r="G5301" s="31" t="n">
        <v>4</v>
      </c>
      <c r="H5301" s="41" t="n">
        <v>25.2</v>
      </c>
      <c r="I5301" s="31" t="s">
        <v>149</v>
      </c>
      <c r="J5301" s="31" t="n">
        <v>3</v>
      </c>
      <c r="K5301" s="31" t="s">
        <v>150</v>
      </c>
      <c r="L5301" s="45" t="n">
        <f aca="false">DATE(YEAR(B5301),MONTH(B5301),1)</f>
        <v>46266</v>
      </c>
      <c r="M5301" s="31" t="n">
        <f aca="false">WEEKDAY(B5301,2)</f>
        <v>4</v>
      </c>
      <c r="N5301" s="31" t="str">
        <f aca="false">IF(G5301&lt;=INDEX(Assumptions!$B$15:$B$18,MATCH(E5301,Assumptions!$A$15:$A$18,0)),"Yes","No")</f>
        <v>Yes</v>
      </c>
      <c r="O5301" s="31" t="str">
        <f aca="false">IF(H5301="","Open",IF(H5301&lt;=INDEX(Assumptions!$C$15:$C$18,MATCH(E5301,Assumptions!$A$15:$A$18,0)),"Yes","No"))</f>
        <v>No</v>
      </c>
    </row>
    <row r="5302" customFormat="false" ht="15" hidden="false" customHeight="false" outlineLevel="0" collapsed="false">
      <c r="A5302" s="31" t="s">
        <v>5452</v>
      </c>
      <c r="B5302" s="44" t="n">
        <v>46275</v>
      </c>
      <c r="C5302" s="31" t="s">
        <v>58</v>
      </c>
      <c r="D5302" s="31" t="s">
        <v>66</v>
      </c>
      <c r="E5302" s="31" t="s">
        <v>52</v>
      </c>
      <c r="F5302" s="31" t="s">
        <v>120</v>
      </c>
      <c r="G5302" s="31" t="n">
        <v>21</v>
      </c>
      <c r="H5302" s="41" t="n">
        <v>20.3</v>
      </c>
      <c r="I5302" s="31" t="s">
        <v>149</v>
      </c>
      <c r="J5302" s="31" t="n">
        <v>3</v>
      </c>
      <c r="K5302" s="31" t="s">
        <v>150</v>
      </c>
      <c r="L5302" s="45" t="n">
        <f aca="false">DATE(YEAR(B5302),MONTH(B5302),1)</f>
        <v>46266</v>
      </c>
      <c r="M5302" s="31" t="n">
        <f aca="false">WEEKDAY(B5302,2)</f>
        <v>4</v>
      </c>
      <c r="N5302" s="31" t="str">
        <f aca="false">IF(G5302&lt;=INDEX(Assumptions!$B$15:$B$18,MATCH(E5302,Assumptions!$A$15:$A$18,0)),"Yes","No")</f>
        <v>Yes</v>
      </c>
      <c r="O5302" s="31" t="str">
        <f aca="false">IF(H5302="","Open",IF(H5302&lt;=INDEX(Assumptions!$C$15:$C$18,MATCH(E5302,Assumptions!$A$15:$A$18,0)),"Yes","No"))</f>
        <v>Yes</v>
      </c>
    </row>
    <row r="5303" customFormat="false" ht="15" hidden="false" customHeight="false" outlineLevel="0" collapsed="false">
      <c r="A5303" s="31" t="s">
        <v>5453</v>
      </c>
      <c r="B5303" s="44" t="n">
        <v>46275</v>
      </c>
      <c r="C5303" s="31" t="s">
        <v>60</v>
      </c>
      <c r="D5303" s="31" t="s">
        <v>66</v>
      </c>
      <c r="E5303" s="31" t="s">
        <v>51</v>
      </c>
      <c r="F5303" s="31" t="s">
        <v>133</v>
      </c>
      <c r="G5303" s="31" t="n">
        <v>1</v>
      </c>
      <c r="H5303" s="41" t="n">
        <v>5.1</v>
      </c>
      <c r="I5303" s="31" t="s">
        <v>149</v>
      </c>
      <c r="J5303" s="31"/>
      <c r="K5303" s="31" t="s">
        <v>150</v>
      </c>
      <c r="L5303" s="45" t="n">
        <f aca="false">DATE(YEAR(B5303),MONTH(B5303),1)</f>
        <v>46266</v>
      </c>
      <c r="M5303" s="31" t="n">
        <f aca="false">WEEKDAY(B5303,2)</f>
        <v>4</v>
      </c>
      <c r="N5303" s="31" t="str">
        <f aca="false">IF(G5303&lt;=INDEX(Assumptions!$B$15:$B$18,MATCH(E5303,Assumptions!$A$15:$A$18,0)),"Yes","No")</f>
        <v>Yes</v>
      </c>
      <c r="O5303" s="31" t="str">
        <f aca="false">IF(H5303="","Open",IF(H5303&lt;=INDEX(Assumptions!$C$15:$C$18,MATCH(E5303,Assumptions!$A$15:$A$18,0)),"Yes","No"))</f>
        <v>Yes</v>
      </c>
    </row>
    <row r="5304" customFormat="false" ht="15" hidden="false" customHeight="false" outlineLevel="0" collapsed="false">
      <c r="A5304" s="31" t="s">
        <v>5454</v>
      </c>
      <c r="B5304" s="44" t="n">
        <v>46275</v>
      </c>
      <c r="C5304" s="31" t="s">
        <v>60</v>
      </c>
      <c r="D5304" s="31" t="s">
        <v>67</v>
      </c>
      <c r="E5304" s="31" t="s">
        <v>51</v>
      </c>
      <c r="F5304" s="31" t="s">
        <v>121</v>
      </c>
      <c r="G5304" s="31" t="n">
        <v>3</v>
      </c>
      <c r="H5304" s="41" t="n">
        <v>24.7</v>
      </c>
      <c r="I5304" s="31" t="s">
        <v>149</v>
      </c>
      <c r="J5304" s="31" t="n">
        <v>4</v>
      </c>
      <c r="K5304" s="31" t="s">
        <v>153</v>
      </c>
      <c r="L5304" s="45" t="n">
        <f aca="false">DATE(YEAR(B5304),MONTH(B5304),1)</f>
        <v>46266</v>
      </c>
      <c r="M5304" s="31" t="n">
        <f aca="false">WEEKDAY(B5304,2)</f>
        <v>4</v>
      </c>
      <c r="N5304" s="31" t="str">
        <f aca="false">IF(G5304&lt;=INDEX(Assumptions!$B$15:$B$18,MATCH(E5304,Assumptions!$A$15:$A$18,0)),"Yes","No")</f>
        <v>Yes</v>
      </c>
      <c r="O5304" s="31" t="str">
        <f aca="false">IF(H5304="","Open",IF(H5304&lt;=INDEX(Assumptions!$C$15:$C$18,MATCH(E5304,Assumptions!$A$15:$A$18,0)),"Yes","No"))</f>
        <v>No</v>
      </c>
    </row>
    <row r="5305" customFormat="false" ht="15" hidden="false" customHeight="false" outlineLevel="0" collapsed="false">
      <c r="A5305" s="31" t="s">
        <v>5455</v>
      </c>
      <c r="B5305" s="44" t="n">
        <v>46275</v>
      </c>
      <c r="C5305" s="31" t="s">
        <v>57</v>
      </c>
      <c r="D5305" s="31" t="s">
        <v>67</v>
      </c>
      <c r="E5305" s="31" t="s">
        <v>52</v>
      </c>
      <c r="F5305" s="31" t="s">
        <v>135</v>
      </c>
      <c r="G5305" s="31" t="n">
        <v>5</v>
      </c>
      <c r="H5305" s="41" t="n">
        <v>45.1</v>
      </c>
      <c r="I5305" s="31" t="s">
        <v>149</v>
      </c>
      <c r="J5305" s="31" t="n">
        <v>5</v>
      </c>
      <c r="K5305" s="31" t="s">
        <v>150</v>
      </c>
      <c r="L5305" s="45" t="n">
        <f aca="false">DATE(YEAR(B5305),MONTH(B5305),1)</f>
        <v>46266</v>
      </c>
      <c r="M5305" s="31" t="n">
        <f aca="false">WEEKDAY(B5305,2)</f>
        <v>4</v>
      </c>
      <c r="N5305" s="31" t="str">
        <f aca="false">IF(G5305&lt;=INDEX(Assumptions!$B$15:$B$18,MATCH(E5305,Assumptions!$A$15:$A$18,0)),"Yes","No")</f>
        <v>Yes</v>
      </c>
      <c r="O5305" s="31" t="str">
        <f aca="false">IF(H5305="","Open",IF(H5305&lt;=INDEX(Assumptions!$C$15:$C$18,MATCH(E5305,Assumptions!$A$15:$A$18,0)),"Yes","No"))</f>
        <v>Yes</v>
      </c>
    </row>
    <row r="5306" customFormat="false" ht="15" hidden="false" customHeight="false" outlineLevel="0" collapsed="false">
      <c r="A5306" s="31" t="s">
        <v>5456</v>
      </c>
      <c r="B5306" s="44" t="n">
        <v>46275</v>
      </c>
      <c r="C5306" s="31" t="s">
        <v>59</v>
      </c>
      <c r="D5306" s="31" t="s">
        <v>65</v>
      </c>
      <c r="E5306" s="31" t="s">
        <v>52</v>
      </c>
      <c r="F5306" s="31" t="s">
        <v>136</v>
      </c>
      <c r="G5306" s="31" t="n">
        <v>65</v>
      </c>
      <c r="H5306" s="41" t="n">
        <v>68.7</v>
      </c>
      <c r="I5306" s="31" t="s">
        <v>149</v>
      </c>
      <c r="J5306" s="31"/>
      <c r="K5306" s="31" t="s">
        <v>150</v>
      </c>
      <c r="L5306" s="45" t="n">
        <f aca="false">DATE(YEAR(B5306),MONTH(B5306),1)</f>
        <v>46266</v>
      </c>
      <c r="M5306" s="31" t="n">
        <f aca="false">WEEKDAY(B5306,2)</f>
        <v>4</v>
      </c>
      <c r="N5306" s="31" t="str">
        <f aca="false">IF(G5306&lt;=INDEX(Assumptions!$B$15:$B$18,MATCH(E5306,Assumptions!$A$15:$A$18,0)),"Yes","No")</f>
        <v>Yes</v>
      </c>
      <c r="O5306" s="31" t="str">
        <f aca="false">IF(H5306="","Open",IF(H5306&lt;=INDEX(Assumptions!$C$15:$C$18,MATCH(E5306,Assumptions!$A$15:$A$18,0)),"Yes","No"))</f>
        <v>Yes</v>
      </c>
    </row>
    <row r="5307" customFormat="false" ht="15" hidden="false" customHeight="false" outlineLevel="0" collapsed="false">
      <c r="A5307" s="31" t="s">
        <v>5457</v>
      </c>
      <c r="B5307" s="44" t="n">
        <v>46275</v>
      </c>
      <c r="C5307" s="31" t="s">
        <v>57</v>
      </c>
      <c r="D5307" s="31" t="s">
        <v>67</v>
      </c>
      <c r="E5307" s="31" t="s">
        <v>51</v>
      </c>
      <c r="F5307" s="31" t="s">
        <v>117</v>
      </c>
      <c r="G5307" s="31" t="n">
        <v>11</v>
      </c>
      <c r="H5307" s="41" t="n">
        <v>6</v>
      </c>
      <c r="I5307" s="31" t="s">
        <v>149</v>
      </c>
      <c r="J5307" s="31" t="n">
        <v>5</v>
      </c>
      <c r="K5307" s="31" t="s">
        <v>150</v>
      </c>
      <c r="L5307" s="45" t="n">
        <f aca="false">DATE(YEAR(B5307),MONTH(B5307),1)</f>
        <v>46266</v>
      </c>
      <c r="M5307" s="31" t="n">
        <f aca="false">WEEKDAY(B5307,2)</f>
        <v>4</v>
      </c>
      <c r="N5307" s="31" t="str">
        <f aca="false">IF(G5307&lt;=INDEX(Assumptions!$B$15:$B$18,MATCH(E5307,Assumptions!$A$15:$A$18,0)),"Yes","No")</f>
        <v>Yes</v>
      </c>
      <c r="O5307" s="31" t="str">
        <f aca="false">IF(H5307="","Open",IF(H5307&lt;=INDEX(Assumptions!$C$15:$C$18,MATCH(E5307,Assumptions!$A$15:$A$18,0)),"Yes","No"))</f>
        <v>Yes</v>
      </c>
    </row>
    <row r="5308" customFormat="false" ht="15" hidden="false" customHeight="false" outlineLevel="0" collapsed="false">
      <c r="A5308" s="31" t="s">
        <v>5458</v>
      </c>
      <c r="B5308" s="44" t="n">
        <v>46275</v>
      </c>
      <c r="C5308" s="31" t="s">
        <v>57</v>
      </c>
      <c r="D5308" s="31" t="s">
        <v>65</v>
      </c>
      <c r="E5308" s="31" t="s">
        <v>51</v>
      </c>
      <c r="F5308" s="31" t="s">
        <v>131</v>
      </c>
      <c r="G5308" s="31" t="n">
        <v>6</v>
      </c>
      <c r="H5308" s="41" t="n">
        <v>48.4</v>
      </c>
      <c r="I5308" s="31" t="s">
        <v>64</v>
      </c>
      <c r="J5308" s="31" t="n">
        <v>3</v>
      </c>
      <c r="K5308" s="31" t="s">
        <v>150</v>
      </c>
      <c r="L5308" s="45" t="n">
        <f aca="false">DATE(YEAR(B5308),MONTH(B5308),1)</f>
        <v>46266</v>
      </c>
      <c r="M5308" s="31" t="n">
        <f aca="false">WEEKDAY(B5308,2)</f>
        <v>4</v>
      </c>
      <c r="N5308" s="31" t="str">
        <f aca="false">IF(G5308&lt;=INDEX(Assumptions!$B$15:$B$18,MATCH(E5308,Assumptions!$A$15:$A$18,0)),"Yes","No")</f>
        <v>Yes</v>
      </c>
      <c r="O5308" s="31" t="str">
        <f aca="false">IF(H5308="","Open",IF(H5308&lt;=INDEX(Assumptions!$C$15:$C$18,MATCH(E5308,Assumptions!$A$15:$A$18,0)),"Yes","No"))</f>
        <v>No</v>
      </c>
    </row>
    <row r="5309" customFormat="false" ht="15" hidden="false" customHeight="false" outlineLevel="0" collapsed="false">
      <c r="A5309" s="31" t="s">
        <v>5459</v>
      </c>
      <c r="B5309" s="44" t="n">
        <v>46275</v>
      </c>
      <c r="C5309" s="31" t="s">
        <v>58</v>
      </c>
      <c r="D5309" s="31" t="s">
        <v>66</v>
      </c>
      <c r="E5309" s="31" t="s">
        <v>51</v>
      </c>
      <c r="F5309" s="31" t="s">
        <v>136</v>
      </c>
      <c r="G5309" s="31" t="n">
        <v>7</v>
      </c>
      <c r="H5309" s="41" t="n">
        <v>6.1</v>
      </c>
      <c r="I5309" s="31" t="s">
        <v>149</v>
      </c>
      <c r="J5309" s="31"/>
      <c r="K5309" s="31" t="s">
        <v>153</v>
      </c>
      <c r="L5309" s="45" t="n">
        <f aca="false">DATE(YEAR(B5309),MONTH(B5309),1)</f>
        <v>46266</v>
      </c>
      <c r="M5309" s="31" t="n">
        <f aca="false">WEEKDAY(B5309,2)</f>
        <v>4</v>
      </c>
      <c r="N5309" s="31" t="str">
        <f aca="false">IF(G5309&lt;=INDEX(Assumptions!$B$15:$B$18,MATCH(E5309,Assumptions!$A$15:$A$18,0)),"Yes","No")</f>
        <v>Yes</v>
      </c>
      <c r="O5309" s="31" t="str">
        <f aca="false">IF(H5309="","Open",IF(H5309&lt;=INDEX(Assumptions!$C$15:$C$18,MATCH(E5309,Assumptions!$A$15:$A$18,0)),"Yes","No"))</f>
        <v>Yes</v>
      </c>
    </row>
    <row r="5310" customFormat="false" ht="15" hidden="false" customHeight="false" outlineLevel="0" collapsed="false">
      <c r="A5310" s="31" t="s">
        <v>5460</v>
      </c>
      <c r="B5310" s="44" t="n">
        <v>46275</v>
      </c>
      <c r="C5310" s="31" t="s">
        <v>58</v>
      </c>
      <c r="D5310" s="31" t="s">
        <v>67</v>
      </c>
      <c r="E5310" s="31" t="s">
        <v>49</v>
      </c>
      <c r="F5310" s="31" t="s">
        <v>135</v>
      </c>
      <c r="G5310" s="31" t="n">
        <v>9</v>
      </c>
      <c r="H5310" s="41" t="n">
        <v>17.1</v>
      </c>
      <c r="I5310" s="31" t="s">
        <v>149</v>
      </c>
      <c r="J5310" s="31" t="n">
        <v>3</v>
      </c>
      <c r="K5310" s="31" t="s">
        <v>150</v>
      </c>
      <c r="L5310" s="45" t="n">
        <f aca="false">DATE(YEAR(B5310),MONTH(B5310),1)</f>
        <v>46266</v>
      </c>
      <c r="M5310" s="31" t="n">
        <f aca="false">WEEKDAY(B5310,2)</f>
        <v>4</v>
      </c>
      <c r="N5310" s="31" t="str">
        <f aca="false">IF(G5310&lt;=INDEX(Assumptions!$B$15:$B$18,MATCH(E5310,Assumptions!$A$15:$A$18,0)),"Yes","No")</f>
        <v>Yes</v>
      </c>
      <c r="O5310" s="31" t="str">
        <f aca="false">IF(H5310="","Open",IF(H5310&lt;=INDEX(Assumptions!$C$15:$C$18,MATCH(E5310,Assumptions!$A$15:$A$18,0)),"Yes","No"))</f>
        <v>No</v>
      </c>
    </row>
    <row r="5311" customFormat="false" ht="15" hidden="false" customHeight="false" outlineLevel="0" collapsed="false">
      <c r="A5311" s="31" t="s">
        <v>5461</v>
      </c>
      <c r="B5311" s="44" t="n">
        <v>46275</v>
      </c>
      <c r="C5311" s="31" t="s">
        <v>59</v>
      </c>
      <c r="D5311" s="31" t="s">
        <v>68</v>
      </c>
      <c r="E5311" s="31" t="s">
        <v>49</v>
      </c>
      <c r="F5311" s="31" t="s">
        <v>127</v>
      </c>
      <c r="G5311" s="31" t="n">
        <v>33</v>
      </c>
      <c r="H5311" s="41" t="n">
        <v>1.8</v>
      </c>
      <c r="I5311" s="31" t="s">
        <v>149</v>
      </c>
      <c r="J5311" s="31"/>
      <c r="K5311" s="31" t="s">
        <v>150</v>
      </c>
      <c r="L5311" s="45" t="n">
        <f aca="false">DATE(YEAR(B5311),MONTH(B5311),1)</f>
        <v>46266</v>
      </c>
      <c r="M5311" s="31" t="n">
        <f aca="false">WEEKDAY(B5311,2)</f>
        <v>4</v>
      </c>
      <c r="N5311" s="31" t="str">
        <f aca="false">IF(G5311&lt;=INDEX(Assumptions!$B$15:$B$18,MATCH(E5311,Assumptions!$A$15:$A$18,0)),"Yes","No")</f>
        <v>No</v>
      </c>
      <c r="O5311" s="31" t="str">
        <f aca="false">IF(H5311="","Open",IF(H5311&lt;=INDEX(Assumptions!$C$15:$C$18,MATCH(E5311,Assumptions!$A$15:$A$18,0)),"Yes","No"))</f>
        <v>Yes</v>
      </c>
    </row>
    <row r="5312" customFormat="false" ht="15" hidden="false" customHeight="false" outlineLevel="0" collapsed="false">
      <c r="A5312" s="31" t="s">
        <v>5462</v>
      </c>
      <c r="B5312" s="44" t="n">
        <v>46275</v>
      </c>
      <c r="C5312" s="31" t="s">
        <v>58</v>
      </c>
      <c r="D5312" s="31" t="s">
        <v>65</v>
      </c>
      <c r="E5312" s="31" t="s">
        <v>49</v>
      </c>
      <c r="F5312" s="31" t="s">
        <v>124</v>
      </c>
      <c r="G5312" s="31" t="n">
        <v>13</v>
      </c>
      <c r="H5312" s="41" t="n">
        <v>2.2</v>
      </c>
      <c r="I5312" s="31" t="s">
        <v>149</v>
      </c>
      <c r="J5312" s="31"/>
      <c r="K5312" s="31" t="s">
        <v>150</v>
      </c>
      <c r="L5312" s="45" t="n">
        <f aca="false">DATE(YEAR(B5312),MONTH(B5312),1)</f>
        <v>46266</v>
      </c>
      <c r="M5312" s="31" t="n">
        <f aca="false">WEEKDAY(B5312,2)</f>
        <v>4</v>
      </c>
      <c r="N5312" s="31" t="str">
        <f aca="false">IF(G5312&lt;=INDEX(Assumptions!$B$15:$B$18,MATCH(E5312,Assumptions!$A$15:$A$18,0)),"Yes","No")</f>
        <v>Yes</v>
      </c>
      <c r="O5312" s="31" t="str">
        <f aca="false">IF(H5312="","Open",IF(H5312&lt;=INDEX(Assumptions!$C$15:$C$18,MATCH(E5312,Assumptions!$A$15:$A$18,0)),"Yes","No"))</f>
        <v>Yes</v>
      </c>
    </row>
    <row r="5313" customFormat="false" ht="15" hidden="false" customHeight="false" outlineLevel="0" collapsed="false">
      <c r="A5313" s="31" t="s">
        <v>5463</v>
      </c>
      <c r="B5313" s="44" t="n">
        <v>46275</v>
      </c>
      <c r="C5313" s="31" t="s">
        <v>59</v>
      </c>
      <c r="D5313" s="31" t="s">
        <v>68</v>
      </c>
      <c r="E5313" s="31" t="s">
        <v>52</v>
      </c>
      <c r="F5313" s="31" t="s">
        <v>133</v>
      </c>
      <c r="G5313" s="31" t="n">
        <v>74</v>
      </c>
      <c r="H5313" s="41" t="n">
        <v>4.8</v>
      </c>
      <c r="I5313" s="31" t="s">
        <v>149</v>
      </c>
      <c r="J5313" s="31" t="n">
        <v>5</v>
      </c>
      <c r="K5313" s="31" t="s">
        <v>150</v>
      </c>
      <c r="L5313" s="45" t="n">
        <f aca="false">DATE(YEAR(B5313),MONTH(B5313),1)</f>
        <v>46266</v>
      </c>
      <c r="M5313" s="31" t="n">
        <f aca="false">WEEKDAY(B5313,2)</f>
        <v>4</v>
      </c>
      <c r="N5313" s="31" t="str">
        <f aca="false">IF(G5313&lt;=INDEX(Assumptions!$B$15:$B$18,MATCH(E5313,Assumptions!$A$15:$A$18,0)),"Yes","No")</f>
        <v>Yes</v>
      </c>
      <c r="O5313" s="31" t="str">
        <f aca="false">IF(H5313="","Open",IF(H5313&lt;=INDEX(Assumptions!$C$15:$C$18,MATCH(E5313,Assumptions!$A$15:$A$18,0)),"Yes","No"))</f>
        <v>Yes</v>
      </c>
    </row>
    <row r="5314" customFormat="false" ht="15" hidden="false" customHeight="false" outlineLevel="0" collapsed="false">
      <c r="A5314" s="31" t="s">
        <v>5464</v>
      </c>
      <c r="B5314" s="44" t="n">
        <v>46275</v>
      </c>
      <c r="C5314" s="31" t="s">
        <v>59</v>
      </c>
      <c r="D5314" s="31" t="s">
        <v>65</v>
      </c>
      <c r="E5314" s="31" t="s">
        <v>49</v>
      </c>
      <c r="F5314" s="31" t="s">
        <v>123</v>
      </c>
      <c r="G5314" s="31" t="n">
        <v>20</v>
      </c>
      <c r="H5314" s="41" t="n">
        <v>2</v>
      </c>
      <c r="I5314" s="31" t="s">
        <v>149</v>
      </c>
      <c r="J5314" s="31"/>
      <c r="K5314" s="31" t="s">
        <v>150</v>
      </c>
      <c r="L5314" s="45" t="n">
        <f aca="false">DATE(YEAR(B5314),MONTH(B5314),1)</f>
        <v>46266</v>
      </c>
      <c r="M5314" s="31" t="n">
        <f aca="false">WEEKDAY(B5314,2)</f>
        <v>4</v>
      </c>
      <c r="N5314" s="31" t="str">
        <f aca="false">IF(G5314&lt;=INDEX(Assumptions!$B$15:$B$18,MATCH(E5314,Assumptions!$A$15:$A$18,0)),"Yes","No")</f>
        <v>No</v>
      </c>
      <c r="O5314" s="31" t="str">
        <f aca="false">IF(H5314="","Open",IF(H5314&lt;=INDEX(Assumptions!$C$15:$C$18,MATCH(E5314,Assumptions!$A$15:$A$18,0)),"Yes","No"))</f>
        <v>Yes</v>
      </c>
    </row>
    <row r="5315" customFormat="false" ht="15" hidden="false" customHeight="false" outlineLevel="0" collapsed="false">
      <c r="A5315" s="31" t="s">
        <v>5465</v>
      </c>
      <c r="B5315" s="44" t="n">
        <v>46275</v>
      </c>
      <c r="C5315" s="31" t="s">
        <v>60</v>
      </c>
      <c r="D5315" s="31" t="s">
        <v>67</v>
      </c>
      <c r="E5315" s="31" t="s">
        <v>52</v>
      </c>
      <c r="F5315" s="31" t="s">
        <v>121</v>
      </c>
      <c r="G5315" s="31" t="n">
        <v>4</v>
      </c>
      <c r="H5315" s="41" t="n">
        <v>16.9</v>
      </c>
      <c r="I5315" s="31" t="s">
        <v>149</v>
      </c>
      <c r="J5315" s="31" t="n">
        <v>3</v>
      </c>
      <c r="K5315" s="31" t="s">
        <v>150</v>
      </c>
      <c r="L5315" s="45" t="n">
        <f aca="false">DATE(YEAR(B5315),MONTH(B5315),1)</f>
        <v>46266</v>
      </c>
      <c r="M5315" s="31" t="n">
        <f aca="false">WEEKDAY(B5315,2)</f>
        <v>4</v>
      </c>
      <c r="N5315" s="31" t="str">
        <f aca="false">IF(G5315&lt;=INDEX(Assumptions!$B$15:$B$18,MATCH(E5315,Assumptions!$A$15:$A$18,0)),"Yes","No")</f>
        <v>Yes</v>
      </c>
      <c r="O5315" s="31" t="str">
        <f aca="false">IF(H5315="","Open",IF(H5315&lt;=INDEX(Assumptions!$C$15:$C$18,MATCH(E5315,Assumptions!$A$15:$A$18,0)),"Yes","No"))</f>
        <v>Yes</v>
      </c>
    </row>
    <row r="5316" customFormat="false" ht="15" hidden="false" customHeight="false" outlineLevel="0" collapsed="false">
      <c r="A5316" s="31" t="s">
        <v>5466</v>
      </c>
      <c r="B5316" s="44" t="n">
        <v>46275</v>
      </c>
      <c r="C5316" s="31" t="s">
        <v>60</v>
      </c>
      <c r="D5316" s="31" t="s">
        <v>66</v>
      </c>
      <c r="E5316" s="31" t="s">
        <v>51</v>
      </c>
      <c r="F5316" s="31" t="s">
        <v>128</v>
      </c>
      <c r="G5316" s="31" t="n">
        <v>5</v>
      </c>
      <c r="H5316" s="41" t="n">
        <v>6.6</v>
      </c>
      <c r="I5316" s="31" t="s">
        <v>149</v>
      </c>
      <c r="J5316" s="31"/>
      <c r="K5316" s="31" t="s">
        <v>150</v>
      </c>
      <c r="L5316" s="45" t="n">
        <f aca="false">DATE(YEAR(B5316),MONTH(B5316),1)</f>
        <v>46266</v>
      </c>
      <c r="M5316" s="31" t="n">
        <f aca="false">WEEKDAY(B5316,2)</f>
        <v>4</v>
      </c>
      <c r="N5316" s="31" t="str">
        <f aca="false">IF(G5316&lt;=INDEX(Assumptions!$B$15:$B$18,MATCH(E5316,Assumptions!$A$15:$A$18,0)),"Yes","No")</f>
        <v>Yes</v>
      </c>
      <c r="O5316" s="31" t="str">
        <f aca="false">IF(H5316="","Open",IF(H5316&lt;=INDEX(Assumptions!$C$15:$C$18,MATCH(E5316,Assumptions!$A$15:$A$18,0)),"Yes","No"))</f>
        <v>Yes</v>
      </c>
    </row>
    <row r="5317" customFormat="false" ht="15" hidden="false" customHeight="false" outlineLevel="0" collapsed="false">
      <c r="A5317" s="31" t="s">
        <v>5467</v>
      </c>
      <c r="B5317" s="44" t="n">
        <v>46275</v>
      </c>
      <c r="C5317" s="31" t="s">
        <v>57</v>
      </c>
      <c r="D5317" s="31" t="s">
        <v>68</v>
      </c>
      <c r="E5317" s="31" t="s">
        <v>51</v>
      </c>
      <c r="F5317" s="31" t="s">
        <v>128</v>
      </c>
      <c r="G5317" s="31" t="n">
        <v>22</v>
      </c>
      <c r="H5317" s="41" t="n">
        <v>1.5</v>
      </c>
      <c r="I5317" s="31" t="s">
        <v>149</v>
      </c>
      <c r="J5317" s="31" t="n">
        <v>4</v>
      </c>
      <c r="K5317" s="31" t="s">
        <v>150</v>
      </c>
      <c r="L5317" s="45" t="n">
        <f aca="false">DATE(YEAR(B5317),MONTH(B5317),1)</f>
        <v>46266</v>
      </c>
      <c r="M5317" s="31" t="n">
        <f aca="false">WEEKDAY(B5317,2)</f>
        <v>4</v>
      </c>
      <c r="N5317" s="31" t="str">
        <f aca="false">IF(G5317&lt;=INDEX(Assumptions!$B$15:$B$18,MATCH(E5317,Assumptions!$A$15:$A$18,0)),"Yes","No")</f>
        <v>Yes</v>
      </c>
      <c r="O5317" s="31" t="str">
        <f aca="false">IF(H5317="","Open",IF(H5317&lt;=INDEX(Assumptions!$C$15:$C$18,MATCH(E5317,Assumptions!$A$15:$A$18,0)),"Yes","No"))</f>
        <v>Yes</v>
      </c>
    </row>
    <row r="5318" customFormat="false" ht="15" hidden="false" customHeight="false" outlineLevel="0" collapsed="false">
      <c r="A5318" s="31" t="s">
        <v>5468</v>
      </c>
      <c r="B5318" s="44" t="n">
        <v>46275</v>
      </c>
      <c r="C5318" s="31" t="s">
        <v>60</v>
      </c>
      <c r="D5318" s="31" t="s">
        <v>67</v>
      </c>
      <c r="E5318" s="31" t="s">
        <v>51</v>
      </c>
      <c r="F5318" s="31" t="s">
        <v>124</v>
      </c>
      <c r="G5318" s="31" t="n">
        <v>2</v>
      </c>
      <c r="H5318" s="41" t="n">
        <v>54.4</v>
      </c>
      <c r="I5318" s="31" t="s">
        <v>149</v>
      </c>
      <c r="J5318" s="31"/>
      <c r="K5318" s="31" t="s">
        <v>150</v>
      </c>
      <c r="L5318" s="45" t="n">
        <f aca="false">DATE(YEAR(B5318),MONTH(B5318),1)</f>
        <v>46266</v>
      </c>
      <c r="M5318" s="31" t="n">
        <f aca="false">WEEKDAY(B5318,2)</f>
        <v>4</v>
      </c>
      <c r="N5318" s="31" t="str">
        <f aca="false">IF(G5318&lt;=INDEX(Assumptions!$B$15:$B$18,MATCH(E5318,Assumptions!$A$15:$A$18,0)),"Yes","No")</f>
        <v>Yes</v>
      </c>
      <c r="O5318" s="31" t="str">
        <f aca="false">IF(H5318="","Open",IF(H5318&lt;=INDEX(Assumptions!$C$15:$C$18,MATCH(E5318,Assumptions!$A$15:$A$18,0)),"Yes","No"))</f>
        <v>No</v>
      </c>
    </row>
    <row r="5319" customFormat="false" ht="15" hidden="false" customHeight="false" outlineLevel="0" collapsed="false">
      <c r="A5319" s="31" t="s">
        <v>5469</v>
      </c>
      <c r="B5319" s="44" t="n">
        <v>46275</v>
      </c>
      <c r="C5319" s="31" t="s">
        <v>58</v>
      </c>
      <c r="D5319" s="31" t="s">
        <v>65</v>
      </c>
      <c r="E5319" s="31" t="s">
        <v>51</v>
      </c>
      <c r="F5319" s="31" t="s">
        <v>133</v>
      </c>
      <c r="G5319" s="31" t="n">
        <v>6</v>
      </c>
      <c r="H5319" s="41" t="n">
        <v>5.3</v>
      </c>
      <c r="I5319" s="31" t="s">
        <v>149</v>
      </c>
      <c r="J5319" s="31"/>
      <c r="K5319" s="31" t="s">
        <v>150</v>
      </c>
      <c r="L5319" s="45" t="n">
        <f aca="false">DATE(YEAR(B5319),MONTH(B5319),1)</f>
        <v>46266</v>
      </c>
      <c r="M5319" s="31" t="n">
        <f aca="false">WEEKDAY(B5319,2)</f>
        <v>4</v>
      </c>
      <c r="N5319" s="31" t="str">
        <f aca="false">IF(G5319&lt;=INDEX(Assumptions!$B$15:$B$18,MATCH(E5319,Assumptions!$A$15:$A$18,0)),"Yes","No")</f>
        <v>Yes</v>
      </c>
      <c r="O5319" s="31" t="str">
        <f aca="false">IF(H5319="","Open",IF(H5319&lt;=INDEX(Assumptions!$C$15:$C$18,MATCH(E5319,Assumptions!$A$15:$A$18,0)),"Yes","No"))</f>
        <v>Yes</v>
      </c>
    </row>
    <row r="5320" customFormat="false" ht="15" hidden="false" customHeight="false" outlineLevel="0" collapsed="false">
      <c r="A5320" s="31" t="s">
        <v>5470</v>
      </c>
      <c r="B5320" s="44" t="n">
        <v>46275</v>
      </c>
      <c r="C5320" s="31" t="s">
        <v>59</v>
      </c>
      <c r="D5320" s="31" t="s">
        <v>69</v>
      </c>
      <c r="E5320" s="31" t="s">
        <v>52</v>
      </c>
      <c r="F5320" s="31" t="s">
        <v>122</v>
      </c>
      <c r="G5320" s="31" t="n">
        <v>137</v>
      </c>
      <c r="H5320" s="41" t="n">
        <v>16.1</v>
      </c>
      <c r="I5320" s="31" t="s">
        <v>149</v>
      </c>
      <c r="J5320" s="31" t="n">
        <v>5</v>
      </c>
      <c r="K5320" s="31" t="s">
        <v>150</v>
      </c>
      <c r="L5320" s="45" t="n">
        <f aca="false">DATE(YEAR(B5320),MONTH(B5320),1)</f>
        <v>46266</v>
      </c>
      <c r="M5320" s="31" t="n">
        <f aca="false">WEEKDAY(B5320,2)</f>
        <v>4</v>
      </c>
      <c r="N5320" s="31" t="str">
        <f aca="false">IF(G5320&lt;=INDEX(Assumptions!$B$15:$B$18,MATCH(E5320,Assumptions!$A$15:$A$18,0)),"Yes","No")</f>
        <v>Yes</v>
      </c>
      <c r="O5320" s="31" t="str">
        <f aca="false">IF(H5320="","Open",IF(H5320&lt;=INDEX(Assumptions!$C$15:$C$18,MATCH(E5320,Assumptions!$A$15:$A$18,0)),"Yes","No"))</f>
        <v>Yes</v>
      </c>
    </row>
    <row r="5321" customFormat="false" ht="15" hidden="false" customHeight="false" outlineLevel="0" collapsed="false">
      <c r="A5321" s="31" t="s">
        <v>5471</v>
      </c>
      <c r="B5321" s="44" t="n">
        <v>46275</v>
      </c>
      <c r="C5321" s="31" t="s">
        <v>60</v>
      </c>
      <c r="D5321" s="31" t="s">
        <v>67</v>
      </c>
      <c r="E5321" s="31" t="s">
        <v>51</v>
      </c>
      <c r="F5321" s="31" t="s">
        <v>123</v>
      </c>
      <c r="G5321" s="31" t="n">
        <v>1</v>
      </c>
      <c r="H5321" s="41" t="n">
        <v>31.3</v>
      </c>
      <c r="I5321" s="31" t="s">
        <v>149</v>
      </c>
      <c r="J5321" s="31" t="n">
        <v>4</v>
      </c>
      <c r="K5321" s="31" t="s">
        <v>150</v>
      </c>
      <c r="L5321" s="45" t="n">
        <f aca="false">DATE(YEAR(B5321),MONTH(B5321),1)</f>
        <v>46266</v>
      </c>
      <c r="M5321" s="31" t="n">
        <f aca="false">WEEKDAY(B5321,2)</f>
        <v>4</v>
      </c>
      <c r="N5321" s="31" t="str">
        <f aca="false">IF(G5321&lt;=INDEX(Assumptions!$B$15:$B$18,MATCH(E5321,Assumptions!$A$15:$A$18,0)),"Yes","No")</f>
        <v>Yes</v>
      </c>
      <c r="O5321" s="31" t="str">
        <f aca="false">IF(H5321="","Open",IF(H5321&lt;=INDEX(Assumptions!$C$15:$C$18,MATCH(E5321,Assumptions!$A$15:$A$18,0)),"Yes","No"))</f>
        <v>No</v>
      </c>
    </row>
    <row r="5322" customFormat="false" ht="15" hidden="false" customHeight="false" outlineLevel="0" collapsed="false">
      <c r="A5322" s="31" t="s">
        <v>5472</v>
      </c>
      <c r="B5322" s="44" t="n">
        <v>46275</v>
      </c>
      <c r="C5322" s="31" t="s">
        <v>59</v>
      </c>
      <c r="D5322" s="31" t="s">
        <v>69</v>
      </c>
      <c r="E5322" s="31" t="s">
        <v>52</v>
      </c>
      <c r="F5322" s="31" t="s">
        <v>131</v>
      </c>
      <c r="G5322" s="31" t="n">
        <v>17</v>
      </c>
      <c r="H5322" s="41" t="n">
        <v>9.3</v>
      </c>
      <c r="I5322" s="31" t="s">
        <v>149</v>
      </c>
      <c r="J5322" s="31" t="n">
        <v>4</v>
      </c>
      <c r="K5322" s="31" t="s">
        <v>150</v>
      </c>
      <c r="L5322" s="45" t="n">
        <f aca="false">DATE(YEAR(B5322),MONTH(B5322),1)</f>
        <v>46266</v>
      </c>
      <c r="M5322" s="31" t="n">
        <f aca="false">WEEKDAY(B5322,2)</f>
        <v>4</v>
      </c>
      <c r="N5322" s="31" t="str">
        <f aca="false">IF(G5322&lt;=INDEX(Assumptions!$B$15:$B$18,MATCH(E5322,Assumptions!$A$15:$A$18,0)),"Yes","No")</f>
        <v>Yes</v>
      </c>
      <c r="O5322" s="31" t="str">
        <f aca="false">IF(H5322="","Open",IF(H5322&lt;=INDEX(Assumptions!$C$15:$C$18,MATCH(E5322,Assumptions!$A$15:$A$18,0)),"Yes","No"))</f>
        <v>Yes</v>
      </c>
    </row>
    <row r="5323" customFormat="false" ht="15" hidden="false" customHeight="false" outlineLevel="0" collapsed="false">
      <c r="A5323" s="31" t="s">
        <v>5473</v>
      </c>
      <c r="B5323" s="44" t="n">
        <v>46275</v>
      </c>
      <c r="C5323" s="31" t="s">
        <v>58</v>
      </c>
      <c r="D5323" s="31" t="s">
        <v>65</v>
      </c>
      <c r="E5323" s="31" t="s">
        <v>50</v>
      </c>
      <c r="F5323" s="31" t="s">
        <v>127</v>
      </c>
      <c r="G5323" s="31" t="n">
        <v>4</v>
      </c>
      <c r="H5323" s="41" t="n">
        <v>12.3</v>
      </c>
      <c r="I5323" s="31" t="s">
        <v>149</v>
      </c>
      <c r="J5323" s="31" t="n">
        <v>3</v>
      </c>
      <c r="K5323" s="31" t="s">
        <v>150</v>
      </c>
      <c r="L5323" s="45" t="n">
        <f aca="false">DATE(YEAR(B5323),MONTH(B5323),1)</f>
        <v>46266</v>
      </c>
      <c r="M5323" s="31" t="n">
        <f aca="false">WEEKDAY(B5323,2)</f>
        <v>4</v>
      </c>
      <c r="N5323" s="31" t="str">
        <f aca="false">IF(G5323&lt;=INDEX(Assumptions!$B$15:$B$18,MATCH(E5323,Assumptions!$A$15:$A$18,0)),"Yes","No")</f>
        <v>Yes</v>
      </c>
      <c r="O5323" s="31" t="str">
        <f aca="false">IF(H5323="","Open",IF(H5323&lt;=INDEX(Assumptions!$C$15:$C$18,MATCH(E5323,Assumptions!$A$15:$A$18,0)),"Yes","No"))</f>
        <v>No</v>
      </c>
    </row>
    <row r="5324" customFormat="false" ht="15" hidden="false" customHeight="false" outlineLevel="0" collapsed="false">
      <c r="A5324" s="31" t="s">
        <v>5474</v>
      </c>
      <c r="B5324" s="44" t="n">
        <v>46276</v>
      </c>
      <c r="C5324" s="31" t="s">
        <v>57</v>
      </c>
      <c r="D5324" s="31" t="s">
        <v>65</v>
      </c>
      <c r="E5324" s="31" t="s">
        <v>51</v>
      </c>
      <c r="F5324" s="31" t="s">
        <v>130</v>
      </c>
      <c r="G5324" s="31" t="n">
        <v>3</v>
      </c>
      <c r="H5324" s="41" t="n">
        <v>3.3</v>
      </c>
      <c r="I5324" s="31" t="s">
        <v>149</v>
      </c>
      <c r="J5324" s="31"/>
      <c r="K5324" s="31" t="s">
        <v>150</v>
      </c>
      <c r="L5324" s="45" t="n">
        <f aca="false">DATE(YEAR(B5324),MONTH(B5324),1)</f>
        <v>46266</v>
      </c>
      <c r="M5324" s="31" t="n">
        <f aca="false">WEEKDAY(B5324,2)</f>
        <v>5</v>
      </c>
      <c r="N5324" s="31" t="str">
        <f aca="false">IF(G5324&lt;=INDEX(Assumptions!$B$15:$B$18,MATCH(E5324,Assumptions!$A$15:$A$18,0)),"Yes","No")</f>
        <v>Yes</v>
      </c>
      <c r="O5324" s="31" t="str">
        <f aca="false">IF(H5324="","Open",IF(H5324&lt;=INDEX(Assumptions!$C$15:$C$18,MATCH(E5324,Assumptions!$A$15:$A$18,0)),"Yes","No"))</f>
        <v>Yes</v>
      </c>
    </row>
    <row r="5325" customFormat="false" ht="15" hidden="false" customHeight="false" outlineLevel="0" collapsed="false">
      <c r="A5325" s="31" t="s">
        <v>5475</v>
      </c>
      <c r="B5325" s="44" t="n">
        <v>46276</v>
      </c>
      <c r="C5325" s="31" t="s">
        <v>57</v>
      </c>
      <c r="D5325" s="31" t="s">
        <v>68</v>
      </c>
      <c r="E5325" s="31" t="s">
        <v>52</v>
      </c>
      <c r="F5325" s="31" t="s">
        <v>119</v>
      </c>
      <c r="G5325" s="31" t="n">
        <v>2</v>
      </c>
      <c r="H5325" s="41" t="n">
        <v>5.7</v>
      </c>
      <c r="I5325" s="31" t="s">
        <v>149</v>
      </c>
      <c r="J5325" s="31"/>
      <c r="K5325" s="31" t="s">
        <v>150</v>
      </c>
      <c r="L5325" s="45" t="n">
        <f aca="false">DATE(YEAR(B5325),MONTH(B5325),1)</f>
        <v>46266</v>
      </c>
      <c r="M5325" s="31" t="n">
        <f aca="false">WEEKDAY(B5325,2)</f>
        <v>5</v>
      </c>
      <c r="N5325" s="31" t="str">
        <f aca="false">IF(G5325&lt;=INDEX(Assumptions!$B$15:$B$18,MATCH(E5325,Assumptions!$A$15:$A$18,0)),"Yes","No")</f>
        <v>Yes</v>
      </c>
      <c r="O5325" s="31" t="str">
        <f aca="false">IF(H5325="","Open",IF(H5325&lt;=INDEX(Assumptions!$C$15:$C$18,MATCH(E5325,Assumptions!$A$15:$A$18,0)),"Yes","No"))</f>
        <v>Yes</v>
      </c>
    </row>
    <row r="5326" customFormat="false" ht="15" hidden="false" customHeight="false" outlineLevel="0" collapsed="false">
      <c r="A5326" s="31" t="s">
        <v>5476</v>
      </c>
      <c r="B5326" s="44" t="n">
        <v>46276</v>
      </c>
      <c r="C5326" s="31" t="s">
        <v>58</v>
      </c>
      <c r="D5326" s="31" t="s">
        <v>66</v>
      </c>
      <c r="E5326" s="31" t="s">
        <v>52</v>
      </c>
      <c r="F5326" s="31" t="s">
        <v>124</v>
      </c>
      <c r="G5326" s="31" t="n">
        <v>68</v>
      </c>
      <c r="H5326" s="41" t="n">
        <v>8.5</v>
      </c>
      <c r="I5326" s="31" t="s">
        <v>149</v>
      </c>
      <c r="J5326" s="31"/>
      <c r="K5326" s="31" t="s">
        <v>150</v>
      </c>
      <c r="L5326" s="45" t="n">
        <f aca="false">DATE(YEAR(B5326),MONTH(B5326),1)</f>
        <v>46266</v>
      </c>
      <c r="M5326" s="31" t="n">
        <f aca="false">WEEKDAY(B5326,2)</f>
        <v>5</v>
      </c>
      <c r="N5326" s="31" t="str">
        <f aca="false">IF(G5326&lt;=INDEX(Assumptions!$B$15:$B$18,MATCH(E5326,Assumptions!$A$15:$A$18,0)),"Yes","No")</f>
        <v>Yes</v>
      </c>
      <c r="O5326" s="31" t="str">
        <f aca="false">IF(H5326="","Open",IF(H5326&lt;=INDEX(Assumptions!$C$15:$C$18,MATCH(E5326,Assumptions!$A$15:$A$18,0)),"Yes","No"))</f>
        <v>Yes</v>
      </c>
    </row>
    <row r="5327" customFormat="false" ht="15" hidden="false" customHeight="false" outlineLevel="0" collapsed="false">
      <c r="A5327" s="31" t="s">
        <v>5477</v>
      </c>
      <c r="B5327" s="44" t="n">
        <v>46276</v>
      </c>
      <c r="C5327" s="31" t="s">
        <v>57</v>
      </c>
      <c r="D5327" s="31" t="s">
        <v>66</v>
      </c>
      <c r="E5327" s="31" t="s">
        <v>51</v>
      </c>
      <c r="F5327" s="31" t="s">
        <v>122</v>
      </c>
      <c r="G5327" s="31" t="n">
        <v>5</v>
      </c>
      <c r="H5327" s="41" t="n">
        <v>10.9</v>
      </c>
      <c r="I5327" s="31" t="s">
        <v>149</v>
      </c>
      <c r="J5327" s="31" t="n">
        <v>4</v>
      </c>
      <c r="K5327" s="31" t="s">
        <v>150</v>
      </c>
      <c r="L5327" s="45" t="n">
        <f aca="false">DATE(YEAR(B5327),MONTH(B5327),1)</f>
        <v>46266</v>
      </c>
      <c r="M5327" s="31" t="n">
        <f aca="false">WEEKDAY(B5327,2)</f>
        <v>5</v>
      </c>
      <c r="N5327" s="31" t="str">
        <f aca="false">IF(G5327&lt;=INDEX(Assumptions!$B$15:$B$18,MATCH(E5327,Assumptions!$A$15:$A$18,0)),"Yes","No")</f>
        <v>Yes</v>
      </c>
      <c r="O5327" s="31" t="str">
        <f aca="false">IF(H5327="","Open",IF(H5327&lt;=INDEX(Assumptions!$C$15:$C$18,MATCH(E5327,Assumptions!$A$15:$A$18,0)),"Yes","No"))</f>
        <v>Yes</v>
      </c>
    </row>
    <row r="5328" customFormat="false" ht="15" hidden="false" customHeight="false" outlineLevel="0" collapsed="false">
      <c r="A5328" s="31" t="s">
        <v>5478</v>
      </c>
      <c r="B5328" s="44" t="n">
        <v>46276</v>
      </c>
      <c r="C5328" s="31" t="s">
        <v>59</v>
      </c>
      <c r="D5328" s="31" t="s">
        <v>68</v>
      </c>
      <c r="E5328" s="31" t="s">
        <v>52</v>
      </c>
      <c r="F5328" s="31" t="s">
        <v>124</v>
      </c>
      <c r="G5328" s="31" t="n">
        <v>21</v>
      </c>
      <c r="H5328" s="41" t="n">
        <v>1.8</v>
      </c>
      <c r="I5328" s="31" t="s">
        <v>149</v>
      </c>
      <c r="J5328" s="31"/>
      <c r="K5328" s="31" t="s">
        <v>150</v>
      </c>
      <c r="L5328" s="45" t="n">
        <f aca="false">DATE(YEAR(B5328),MONTH(B5328),1)</f>
        <v>46266</v>
      </c>
      <c r="M5328" s="31" t="n">
        <f aca="false">WEEKDAY(B5328,2)</f>
        <v>5</v>
      </c>
      <c r="N5328" s="31" t="str">
        <f aca="false">IF(G5328&lt;=INDEX(Assumptions!$B$15:$B$18,MATCH(E5328,Assumptions!$A$15:$A$18,0)),"Yes","No")</f>
        <v>Yes</v>
      </c>
      <c r="O5328" s="31" t="str">
        <f aca="false">IF(H5328="","Open",IF(H5328&lt;=INDEX(Assumptions!$C$15:$C$18,MATCH(E5328,Assumptions!$A$15:$A$18,0)),"Yes","No"))</f>
        <v>Yes</v>
      </c>
    </row>
    <row r="5329" customFormat="false" ht="15" hidden="false" customHeight="false" outlineLevel="0" collapsed="false">
      <c r="A5329" s="31" t="s">
        <v>5479</v>
      </c>
      <c r="B5329" s="44" t="n">
        <v>46276</v>
      </c>
      <c r="C5329" s="31" t="s">
        <v>58</v>
      </c>
      <c r="D5329" s="31" t="s">
        <v>67</v>
      </c>
      <c r="E5329" s="31" t="s">
        <v>51</v>
      </c>
      <c r="F5329" s="31" t="s">
        <v>121</v>
      </c>
      <c r="G5329" s="31" t="n">
        <v>17</v>
      </c>
      <c r="H5329" s="41" t="n">
        <v>49.8</v>
      </c>
      <c r="I5329" s="31" t="s">
        <v>149</v>
      </c>
      <c r="J5329" s="31" t="n">
        <v>5</v>
      </c>
      <c r="K5329" s="31" t="s">
        <v>150</v>
      </c>
      <c r="L5329" s="45" t="n">
        <f aca="false">DATE(YEAR(B5329),MONTH(B5329),1)</f>
        <v>46266</v>
      </c>
      <c r="M5329" s="31" t="n">
        <f aca="false">WEEKDAY(B5329,2)</f>
        <v>5</v>
      </c>
      <c r="N5329" s="31" t="str">
        <f aca="false">IF(G5329&lt;=INDEX(Assumptions!$B$15:$B$18,MATCH(E5329,Assumptions!$A$15:$A$18,0)),"Yes","No")</f>
        <v>Yes</v>
      </c>
      <c r="O5329" s="31" t="str">
        <f aca="false">IF(H5329="","Open",IF(H5329&lt;=INDEX(Assumptions!$C$15:$C$18,MATCH(E5329,Assumptions!$A$15:$A$18,0)),"Yes","No"))</f>
        <v>No</v>
      </c>
    </row>
    <row r="5330" customFormat="false" ht="15" hidden="false" customHeight="false" outlineLevel="0" collapsed="false">
      <c r="A5330" s="31" t="s">
        <v>5480</v>
      </c>
      <c r="B5330" s="44" t="n">
        <v>46276</v>
      </c>
      <c r="C5330" s="31" t="s">
        <v>57</v>
      </c>
      <c r="D5330" s="31" t="s">
        <v>65</v>
      </c>
      <c r="E5330" s="31" t="s">
        <v>52</v>
      </c>
      <c r="F5330" s="31" t="s">
        <v>127</v>
      </c>
      <c r="G5330" s="31" t="n">
        <v>6</v>
      </c>
      <c r="H5330" s="41" t="n">
        <v>20.7</v>
      </c>
      <c r="I5330" s="31" t="s">
        <v>149</v>
      </c>
      <c r="J5330" s="31" t="n">
        <v>5</v>
      </c>
      <c r="K5330" s="31" t="s">
        <v>150</v>
      </c>
      <c r="L5330" s="45" t="n">
        <f aca="false">DATE(YEAR(B5330),MONTH(B5330),1)</f>
        <v>46266</v>
      </c>
      <c r="M5330" s="31" t="n">
        <f aca="false">WEEKDAY(B5330,2)</f>
        <v>5</v>
      </c>
      <c r="N5330" s="31" t="str">
        <f aca="false">IF(G5330&lt;=INDEX(Assumptions!$B$15:$B$18,MATCH(E5330,Assumptions!$A$15:$A$18,0)),"Yes","No")</f>
        <v>Yes</v>
      </c>
      <c r="O5330" s="31" t="str">
        <f aca="false">IF(H5330="","Open",IF(H5330&lt;=INDEX(Assumptions!$C$15:$C$18,MATCH(E5330,Assumptions!$A$15:$A$18,0)),"Yes","No"))</f>
        <v>Yes</v>
      </c>
    </row>
    <row r="5331" customFormat="false" ht="15" hidden="false" customHeight="false" outlineLevel="0" collapsed="false">
      <c r="A5331" s="31" t="s">
        <v>5481</v>
      </c>
      <c r="B5331" s="44" t="n">
        <v>46276</v>
      </c>
      <c r="C5331" s="31" t="s">
        <v>60</v>
      </c>
      <c r="D5331" s="31" t="s">
        <v>66</v>
      </c>
      <c r="E5331" s="31" t="s">
        <v>51</v>
      </c>
      <c r="F5331" s="31" t="s">
        <v>131</v>
      </c>
      <c r="G5331" s="31" t="n">
        <v>1</v>
      </c>
      <c r="H5331" s="41" t="n">
        <v>11.7</v>
      </c>
      <c r="I5331" s="31" t="s">
        <v>149</v>
      </c>
      <c r="J5331" s="31" t="n">
        <v>5</v>
      </c>
      <c r="K5331" s="31" t="s">
        <v>150</v>
      </c>
      <c r="L5331" s="45" t="n">
        <f aca="false">DATE(YEAR(B5331),MONTH(B5331),1)</f>
        <v>46266</v>
      </c>
      <c r="M5331" s="31" t="n">
        <f aca="false">WEEKDAY(B5331,2)</f>
        <v>5</v>
      </c>
      <c r="N5331" s="31" t="str">
        <f aca="false">IF(G5331&lt;=INDEX(Assumptions!$B$15:$B$18,MATCH(E5331,Assumptions!$A$15:$A$18,0)),"Yes","No")</f>
        <v>Yes</v>
      </c>
      <c r="O5331" s="31" t="str">
        <f aca="false">IF(H5331="","Open",IF(H5331&lt;=INDEX(Assumptions!$C$15:$C$18,MATCH(E5331,Assumptions!$A$15:$A$18,0)),"Yes","No"))</f>
        <v>Yes</v>
      </c>
    </row>
    <row r="5332" customFormat="false" ht="15" hidden="false" customHeight="false" outlineLevel="0" collapsed="false">
      <c r="A5332" s="31" t="s">
        <v>5482</v>
      </c>
      <c r="B5332" s="44" t="n">
        <v>46276</v>
      </c>
      <c r="C5332" s="31" t="s">
        <v>60</v>
      </c>
      <c r="D5332" s="31" t="s">
        <v>65</v>
      </c>
      <c r="E5332" s="31" t="s">
        <v>51</v>
      </c>
      <c r="F5332" s="31" t="s">
        <v>119</v>
      </c>
      <c r="G5332" s="31" t="n">
        <v>2</v>
      </c>
      <c r="H5332" s="41" t="n">
        <v>11.1</v>
      </c>
      <c r="I5332" s="31" t="s">
        <v>149</v>
      </c>
      <c r="J5332" s="31"/>
      <c r="K5332" s="31" t="s">
        <v>150</v>
      </c>
      <c r="L5332" s="45" t="n">
        <f aca="false">DATE(YEAR(B5332),MONTH(B5332),1)</f>
        <v>46266</v>
      </c>
      <c r="M5332" s="31" t="n">
        <f aca="false">WEEKDAY(B5332,2)</f>
        <v>5</v>
      </c>
      <c r="N5332" s="31" t="str">
        <f aca="false">IF(G5332&lt;=INDEX(Assumptions!$B$15:$B$18,MATCH(E5332,Assumptions!$A$15:$A$18,0)),"Yes","No")</f>
        <v>Yes</v>
      </c>
      <c r="O5332" s="31" t="str">
        <f aca="false">IF(H5332="","Open",IF(H5332&lt;=INDEX(Assumptions!$C$15:$C$18,MATCH(E5332,Assumptions!$A$15:$A$18,0)),"Yes","No"))</f>
        <v>Yes</v>
      </c>
    </row>
    <row r="5333" customFormat="false" ht="15" hidden="false" customHeight="false" outlineLevel="0" collapsed="false">
      <c r="A5333" s="31" t="s">
        <v>5483</v>
      </c>
      <c r="B5333" s="44" t="n">
        <v>46276</v>
      </c>
      <c r="C5333" s="31" t="s">
        <v>58</v>
      </c>
      <c r="D5333" s="31" t="s">
        <v>66</v>
      </c>
      <c r="E5333" s="31" t="s">
        <v>52</v>
      </c>
      <c r="F5333" s="31" t="s">
        <v>121</v>
      </c>
      <c r="G5333" s="31" t="n">
        <v>9</v>
      </c>
      <c r="H5333" s="41" t="n">
        <v>8.4</v>
      </c>
      <c r="I5333" s="31" t="s">
        <v>149</v>
      </c>
      <c r="J5333" s="31" t="n">
        <v>4</v>
      </c>
      <c r="K5333" s="31" t="s">
        <v>150</v>
      </c>
      <c r="L5333" s="45" t="n">
        <f aca="false">DATE(YEAR(B5333),MONTH(B5333),1)</f>
        <v>46266</v>
      </c>
      <c r="M5333" s="31" t="n">
        <f aca="false">WEEKDAY(B5333,2)</f>
        <v>5</v>
      </c>
      <c r="N5333" s="31" t="str">
        <f aca="false">IF(G5333&lt;=INDEX(Assumptions!$B$15:$B$18,MATCH(E5333,Assumptions!$A$15:$A$18,0)),"Yes","No")</f>
        <v>Yes</v>
      </c>
      <c r="O5333" s="31" t="str">
        <f aca="false">IF(H5333="","Open",IF(H5333&lt;=INDEX(Assumptions!$C$15:$C$18,MATCH(E5333,Assumptions!$A$15:$A$18,0)),"Yes","No"))</f>
        <v>Yes</v>
      </c>
    </row>
    <row r="5334" customFormat="false" ht="15" hidden="false" customHeight="false" outlineLevel="0" collapsed="false">
      <c r="A5334" s="31" t="s">
        <v>5484</v>
      </c>
      <c r="B5334" s="44" t="n">
        <v>46276</v>
      </c>
      <c r="C5334" s="31" t="s">
        <v>59</v>
      </c>
      <c r="D5334" s="31" t="s">
        <v>67</v>
      </c>
      <c r="E5334" s="31" t="s">
        <v>52</v>
      </c>
      <c r="F5334" s="31" t="s">
        <v>129</v>
      </c>
      <c r="G5334" s="31" t="n">
        <v>37</v>
      </c>
      <c r="H5334" s="41" t="n">
        <v>183.8</v>
      </c>
      <c r="I5334" s="31" t="s">
        <v>149</v>
      </c>
      <c r="J5334" s="31" t="n">
        <v>4</v>
      </c>
      <c r="K5334" s="31" t="s">
        <v>150</v>
      </c>
      <c r="L5334" s="45" t="n">
        <f aca="false">DATE(YEAR(B5334),MONTH(B5334),1)</f>
        <v>46266</v>
      </c>
      <c r="M5334" s="31" t="n">
        <f aca="false">WEEKDAY(B5334,2)</f>
        <v>5</v>
      </c>
      <c r="N5334" s="31" t="str">
        <f aca="false">IF(G5334&lt;=INDEX(Assumptions!$B$15:$B$18,MATCH(E5334,Assumptions!$A$15:$A$18,0)),"Yes","No")</f>
        <v>Yes</v>
      </c>
      <c r="O5334" s="31" t="str">
        <f aca="false">IF(H5334="","Open",IF(H5334&lt;=INDEX(Assumptions!$C$15:$C$18,MATCH(E5334,Assumptions!$A$15:$A$18,0)),"Yes","No"))</f>
        <v>No</v>
      </c>
    </row>
    <row r="5335" customFormat="false" ht="15" hidden="false" customHeight="false" outlineLevel="0" collapsed="false">
      <c r="A5335" s="31" t="s">
        <v>5485</v>
      </c>
      <c r="B5335" s="44" t="n">
        <v>46276</v>
      </c>
      <c r="C5335" s="31" t="s">
        <v>60</v>
      </c>
      <c r="D5335" s="31" t="s">
        <v>65</v>
      </c>
      <c r="E5335" s="31" t="s">
        <v>51</v>
      </c>
      <c r="F5335" s="31" t="s">
        <v>122</v>
      </c>
      <c r="G5335" s="31" t="n">
        <v>2</v>
      </c>
      <c r="H5335" s="41" t="n">
        <v>1.9</v>
      </c>
      <c r="I5335" s="31" t="s">
        <v>149</v>
      </c>
      <c r="J5335" s="31"/>
      <c r="K5335" s="31" t="s">
        <v>150</v>
      </c>
      <c r="L5335" s="45" t="n">
        <f aca="false">DATE(YEAR(B5335),MONTH(B5335),1)</f>
        <v>46266</v>
      </c>
      <c r="M5335" s="31" t="n">
        <f aca="false">WEEKDAY(B5335,2)</f>
        <v>5</v>
      </c>
      <c r="N5335" s="31" t="str">
        <f aca="false">IF(G5335&lt;=INDEX(Assumptions!$B$15:$B$18,MATCH(E5335,Assumptions!$A$15:$A$18,0)),"Yes","No")</f>
        <v>Yes</v>
      </c>
      <c r="O5335" s="31" t="str">
        <f aca="false">IF(H5335="","Open",IF(H5335&lt;=INDEX(Assumptions!$C$15:$C$18,MATCH(E5335,Assumptions!$A$15:$A$18,0)),"Yes","No"))</f>
        <v>Yes</v>
      </c>
    </row>
    <row r="5336" customFormat="false" ht="15" hidden="false" customHeight="false" outlineLevel="0" collapsed="false">
      <c r="A5336" s="31" t="s">
        <v>5486</v>
      </c>
      <c r="B5336" s="44" t="n">
        <v>46276</v>
      </c>
      <c r="C5336" s="31" t="s">
        <v>57</v>
      </c>
      <c r="D5336" s="31" t="s">
        <v>65</v>
      </c>
      <c r="E5336" s="31" t="s">
        <v>51</v>
      </c>
      <c r="F5336" s="31" t="s">
        <v>134</v>
      </c>
      <c r="G5336" s="31" t="n">
        <v>3</v>
      </c>
      <c r="H5336" s="41" t="n">
        <v>5</v>
      </c>
      <c r="I5336" s="31" t="s">
        <v>149</v>
      </c>
      <c r="J5336" s="31" t="n">
        <v>4</v>
      </c>
      <c r="K5336" s="31" t="s">
        <v>150</v>
      </c>
      <c r="L5336" s="45" t="n">
        <f aca="false">DATE(YEAR(B5336),MONTH(B5336),1)</f>
        <v>46266</v>
      </c>
      <c r="M5336" s="31" t="n">
        <f aca="false">WEEKDAY(B5336,2)</f>
        <v>5</v>
      </c>
      <c r="N5336" s="31" t="str">
        <f aca="false">IF(G5336&lt;=INDEX(Assumptions!$B$15:$B$18,MATCH(E5336,Assumptions!$A$15:$A$18,0)),"Yes","No")</f>
        <v>Yes</v>
      </c>
      <c r="O5336" s="31" t="str">
        <f aca="false">IF(H5336="","Open",IF(H5336&lt;=INDEX(Assumptions!$C$15:$C$18,MATCH(E5336,Assumptions!$A$15:$A$18,0)),"Yes","No"))</f>
        <v>Yes</v>
      </c>
    </row>
    <row r="5337" customFormat="false" ht="15" hidden="false" customHeight="false" outlineLevel="0" collapsed="false">
      <c r="A5337" s="31" t="s">
        <v>5487</v>
      </c>
      <c r="B5337" s="44" t="n">
        <v>46276</v>
      </c>
      <c r="C5337" s="31" t="s">
        <v>59</v>
      </c>
      <c r="D5337" s="31" t="s">
        <v>69</v>
      </c>
      <c r="E5337" s="31" t="s">
        <v>52</v>
      </c>
      <c r="F5337" s="31" t="s">
        <v>130</v>
      </c>
      <c r="G5337" s="31" t="n">
        <v>88</v>
      </c>
      <c r="H5337" s="41" t="n">
        <v>13.7</v>
      </c>
      <c r="I5337" s="31" t="s">
        <v>149</v>
      </c>
      <c r="J5337" s="31" t="n">
        <v>4</v>
      </c>
      <c r="K5337" s="31" t="s">
        <v>150</v>
      </c>
      <c r="L5337" s="45" t="n">
        <f aca="false">DATE(YEAR(B5337),MONTH(B5337),1)</f>
        <v>46266</v>
      </c>
      <c r="M5337" s="31" t="n">
        <f aca="false">WEEKDAY(B5337,2)</f>
        <v>5</v>
      </c>
      <c r="N5337" s="31" t="str">
        <f aca="false">IF(G5337&lt;=INDEX(Assumptions!$B$15:$B$18,MATCH(E5337,Assumptions!$A$15:$A$18,0)),"Yes","No")</f>
        <v>Yes</v>
      </c>
      <c r="O5337" s="31" t="str">
        <f aca="false">IF(H5337="","Open",IF(H5337&lt;=INDEX(Assumptions!$C$15:$C$18,MATCH(E5337,Assumptions!$A$15:$A$18,0)),"Yes","No"))</f>
        <v>Yes</v>
      </c>
    </row>
    <row r="5338" customFormat="false" ht="15" hidden="false" customHeight="false" outlineLevel="0" collapsed="false">
      <c r="A5338" s="31" t="s">
        <v>5488</v>
      </c>
      <c r="B5338" s="44" t="n">
        <v>46276</v>
      </c>
      <c r="C5338" s="31" t="s">
        <v>58</v>
      </c>
      <c r="D5338" s="31" t="s">
        <v>65</v>
      </c>
      <c r="E5338" s="31" t="s">
        <v>52</v>
      </c>
      <c r="F5338" s="31" t="s">
        <v>124</v>
      </c>
      <c r="G5338" s="31" t="n">
        <v>7</v>
      </c>
      <c r="H5338" s="41" t="n">
        <v>8.1</v>
      </c>
      <c r="I5338" s="31" t="s">
        <v>149</v>
      </c>
      <c r="J5338" s="31" t="n">
        <v>5</v>
      </c>
      <c r="K5338" s="31" t="s">
        <v>150</v>
      </c>
      <c r="L5338" s="45" t="n">
        <f aca="false">DATE(YEAR(B5338),MONTH(B5338),1)</f>
        <v>46266</v>
      </c>
      <c r="M5338" s="31" t="n">
        <f aca="false">WEEKDAY(B5338,2)</f>
        <v>5</v>
      </c>
      <c r="N5338" s="31" t="str">
        <f aca="false">IF(G5338&lt;=INDEX(Assumptions!$B$15:$B$18,MATCH(E5338,Assumptions!$A$15:$A$18,0)),"Yes","No")</f>
        <v>Yes</v>
      </c>
      <c r="O5338" s="31" t="str">
        <f aca="false">IF(H5338="","Open",IF(H5338&lt;=INDEX(Assumptions!$C$15:$C$18,MATCH(E5338,Assumptions!$A$15:$A$18,0)),"Yes","No"))</f>
        <v>Yes</v>
      </c>
    </row>
    <row r="5339" customFormat="false" ht="15" hidden="false" customHeight="false" outlineLevel="0" collapsed="false">
      <c r="A5339" s="31" t="s">
        <v>5489</v>
      </c>
      <c r="B5339" s="44" t="n">
        <v>46276</v>
      </c>
      <c r="C5339" s="31" t="s">
        <v>57</v>
      </c>
      <c r="D5339" s="31" t="s">
        <v>67</v>
      </c>
      <c r="E5339" s="31" t="s">
        <v>52</v>
      </c>
      <c r="F5339" s="31" t="s">
        <v>129</v>
      </c>
      <c r="G5339" s="31" t="n">
        <v>6</v>
      </c>
      <c r="H5339" s="41" t="n">
        <v>22.1</v>
      </c>
      <c r="I5339" s="31" t="s">
        <v>149</v>
      </c>
      <c r="J5339" s="31" t="n">
        <v>4</v>
      </c>
      <c r="K5339" s="31" t="s">
        <v>150</v>
      </c>
      <c r="L5339" s="45" t="n">
        <f aca="false">DATE(YEAR(B5339),MONTH(B5339),1)</f>
        <v>46266</v>
      </c>
      <c r="M5339" s="31" t="n">
        <f aca="false">WEEKDAY(B5339,2)</f>
        <v>5</v>
      </c>
      <c r="N5339" s="31" t="str">
        <f aca="false">IF(G5339&lt;=INDEX(Assumptions!$B$15:$B$18,MATCH(E5339,Assumptions!$A$15:$A$18,0)),"Yes","No")</f>
        <v>Yes</v>
      </c>
      <c r="O5339" s="31" t="str">
        <f aca="false">IF(H5339="","Open",IF(H5339&lt;=INDEX(Assumptions!$C$15:$C$18,MATCH(E5339,Assumptions!$A$15:$A$18,0)),"Yes","No"))</f>
        <v>Yes</v>
      </c>
    </row>
    <row r="5340" customFormat="false" ht="15" hidden="false" customHeight="false" outlineLevel="0" collapsed="false">
      <c r="A5340" s="31" t="s">
        <v>5490</v>
      </c>
      <c r="B5340" s="44" t="n">
        <v>46276</v>
      </c>
      <c r="C5340" s="31" t="s">
        <v>59</v>
      </c>
      <c r="D5340" s="31" t="s">
        <v>67</v>
      </c>
      <c r="E5340" s="31" t="s">
        <v>50</v>
      </c>
      <c r="F5340" s="31" t="s">
        <v>135</v>
      </c>
      <c r="G5340" s="31" t="n">
        <v>80</v>
      </c>
      <c r="H5340" s="41" t="n">
        <v>20.5</v>
      </c>
      <c r="I5340" s="31" t="s">
        <v>149</v>
      </c>
      <c r="J5340" s="31" t="n">
        <v>4</v>
      </c>
      <c r="K5340" s="31" t="s">
        <v>150</v>
      </c>
      <c r="L5340" s="45" t="n">
        <f aca="false">DATE(YEAR(B5340),MONTH(B5340),1)</f>
        <v>46266</v>
      </c>
      <c r="M5340" s="31" t="n">
        <f aca="false">WEEKDAY(B5340,2)</f>
        <v>5</v>
      </c>
      <c r="N5340" s="31" t="str">
        <f aca="false">IF(G5340&lt;=INDEX(Assumptions!$B$15:$B$18,MATCH(E5340,Assumptions!$A$15:$A$18,0)),"Yes","No")</f>
        <v>No</v>
      </c>
      <c r="O5340" s="31" t="str">
        <f aca="false">IF(H5340="","Open",IF(H5340&lt;=INDEX(Assumptions!$C$15:$C$18,MATCH(E5340,Assumptions!$A$15:$A$18,0)),"Yes","No"))</f>
        <v>No</v>
      </c>
    </row>
    <row r="5341" customFormat="false" ht="15" hidden="false" customHeight="false" outlineLevel="0" collapsed="false">
      <c r="A5341" s="31" t="s">
        <v>5491</v>
      </c>
      <c r="B5341" s="44" t="n">
        <v>46276</v>
      </c>
      <c r="C5341" s="31" t="s">
        <v>58</v>
      </c>
      <c r="D5341" s="31" t="s">
        <v>66</v>
      </c>
      <c r="E5341" s="31" t="s">
        <v>51</v>
      </c>
      <c r="F5341" s="31" t="s">
        <v>133</v>
      </c>
      <c r="G5341" s="31" t="n">
        <v>43</v>
      </c>
      <c r="H5341" s="41" t="n">
        <v>2.6</v>
      </c>
      <c r="I5341" s="31" t="s">
        <v>149</v>
      </c>
      <c r="J5341" s="31"/>
      <c r="K5341" s="31" t="s">
        <v>150</v>
      </c>
      <c r="L5341" s="45" t="n">
        <f aca="false">DATE(YEAR(B5341),MONTH(B5341),1)</f>
        <v>46266</v>
      </c>
      <c r="M5341" s="31" t="n">
        <f aca="false">WEEKDAY(B5341,2)</f>
        <v>5</v>
      </c>
      <c r="N5341" s="31" t="str">
        <f aca="false">IF(G5341&lt;=INDEX(Assumptions!$B$15:$B$18,MATCH(E5341,Assumptions!$A$15:$A$18,0)),"Yes","No")</f>
        <v>Yes</v>
      </c>
      <c r="O5341" s="31" t="str">
        <f aca="false">IF(H5341="","Open",IF(H5341&lt;=INDEX(Assumptions!$C$15:$C$18,MATCH(E5341,Assumptions!$A$15:$A$18,0)),"Yes","No"))</f>
        <v>Yes</v>
      </c>
    </row>
    <row r="5342" customFormat="false" ht="15" hidden="false" customHeight="false" outlineLevel="0" collapsed="false">
      <c r="A5342" s="31" t="s">
        <v>5492</v>
      </c>
      <c r="B5342" s="44" t="n">
        <v>46276</v>
      </c>
      <c r="C5342" s="31" t="s">
        <v>60</v>
      </c>
      <c r="D5342" s="31" t="s">
        <v>68</v>
      </c>
      <c r="E5342" s="31" t="s">
        <v>51</v>
      </c>
      <c r="F5342" s="31" t="s">
        <v>117</v>
      </c>
      <c r="G5342" s="31" t="n">
        <v>2</v>
      </c>
      <c r="H5342" s="41" t="n">
        <v>13.5</v>
      </c>
      <c r="I5342" s="31" t="s">
        <v>149</v>
      </c>
      <c r="J5342" s="31"/>
      <c r="K5342" s="31" t="s">
        <v>150</v>
      </c>
      <c r="L5342" s="45" t="n">
        <f aca="false">DATE(YEAR(B5342),MONTH(B5342),1)</f>
        <v>46266</v>
      </c>
      <c r="M5342" s="31" t="n">
        <f aca="false">WEEKDAY(B5342,2)</f>
        <v>5</v>
      </c>
      <c r="N5342" s="31" t="str">
        <f aca="false">IF(G5342&lt;=INDEX(Assumptions!$B$15:$B$18,MATCH(E5342,Assumptions!$A$15:$A$18,0)),"Yes","No")</f>
        <v>Yes</v>
      </c>
      <c r="O5342" s="31" t="str">
        <f aca="false">IF(H5342="","Open",IF(H5342&lt;=INDEX(Assumptions!$C$15:$C$18,MATCH(E5342,Assumptions!$A$15:$A$18,0)),"Yes","No"))</f>
        <v>Yes</v>
      </c>
    </row>
    <row r="5343" customFormat="false" ht="15" hidden="false" customHeight="false" outlineLevel="0" collapsed="false">
      <c r="A5343" s="31" t="s">
        <v>5493</v>
      </c>
      <c r="B5343" s="44" t="n">
        <v>46276</v>
      </c>
      <c r="C5343" s="31" t="s">
        <v>59</v>
      </c>
      <c r="D5343" s="31" t="s">
        <v>66</v>
      </c>
      <c r="E5343" s="31" t="s">
        <v>50</v>
      </c>
      <c r="F5343" s="31" t="s">
        <v>126</v>
      </c>
      <c r="G5343" s="31" t="n">
        <v>122</v>
      </c>
      <c r="H5343" s="41" t="n">
        <v>4.2</v>
      </c>
      <c r="I5343" s="31" t="s">
        <v>149</v>
      </c>
      <c r="J5343" s="31"/>
      <c r="K5343" s="31" t="s">
        <v>150</v>
      </c>
      <c r="L5343" s="45" t="n">
        <f aca="false">DATE(YEAR(B5343),MONTH(B5343),1)</f>
        <v>46266</v>
      </c>
      <c r="M5343" s="31" t="n">
        <f aca="false">WEEKDAY(B5343,2)</f>
        <v>5</v>
      </c>
      <c r="N5343" s="31" t="str">
        <f aca="false">IF(G5343&lt;=INDEX(Assumptions!$B$15:$B$18,MATCH(E5343,Assumptions!$A$15:$A$18,0)),"Yes","No")</f>
        <v>No</v>
      </c>
      <c r="O5343" s="31" t="str">
        <f aca="false">IF(H5343="","Open",IF(H5343&lt;=INDEX(Assumptions!$C$15:$C$18,MATCH(E5343,Assumptions!$A$15:$A$18,0)),"Yes","No"))</f>
        <v>Yes</v>
      </c>
    </row>
    <row r="5344" customFormat="false" ht="15" hidden="false" customHeight="false" outlineLevel="0" collapsed="false">
      <c r="A5344" s="31" t="s">
        <v>5494</v>
      </c>
      <c r="B5344" s="44" t="n">
        <v>46276</v>
      </c>
      <c r="C5344" s="31" t="s">
        <v>57</v>
      </c>
      <c r="D5344" s="31" t="s">
        <v>67</v>
      </c>
      <c r="E5344" s="31" t="s">
        <v>51</v>
      </c>
      <c r="F5344" s="31" t="s">
        <v>120</v>
      </c>
      <c r="G5344" s="31" t="n">
        <v>9</v>
      </c>
      <c r="H5344" s="41" t="n">
        <v>19.2</v>
      </c>
      <c r="I5344" s="31" t="s">
        <v>149</v>
      </c>
      <c r="J5344" s="31" t="n">
        <v>4</v>
      </c>
      <c r="K5344" s="31" t="s">
        <v>153</v>
      </c>
      <c r="L5344" s="45" t="n">
        <f aca="false">DATE(YEAR(B5344),MONTH(B5344),1)</f>
        <v>46266</v>
      </c>
      <c r="M5344" s="31" t="n">
        <f aca="false">WEEKDAY(B5344,2)</f>
        <v>5</v>
      </c>
      <c r="N5344" s="31" t="str">
        <f aca="false">IF(G5344&lt;=INDEX(Assumptions!$B$15:$B$18,MATCH(E5344,Assumptions!$A$15:$A$18,0)),"Yes","No")</f>
        <v>Yes</v>
      </c>
      <c r="O5344" s="31" t="str">
        <f aca="false">IF(H5344="","Open",IF(H5344&lt;=INDEX(Assumptions!$C$15:$C$18,MATCH(E5344,Assumptions!$A$15:$A$18,0)),"Yes","No"))</f>
        <v>Yes</v>
      </c>
    </row>
    <row r="5345" customFormat="false" ht="15" hidden="false" customHeight="false" outlineLevel="0" collapsed="false">
      <c r="A5345" s="31" t="s">
        <v>5495</v>
      </c>
      <c r="B5345" s="44" t="n">
        <v>46276</v>
      </c>
      <c r="C5345" s="31" t="s">
        <v>57</v>
      </c>
      <c r="D5345" s="31" t="s">
        <v>67</v>
      </c>
      <c r="E5345" s="31" t="s">
        <v>50</v>
      </c>
      <c r="F5345" s="31" t="s">
        <v>130</v>
      </c>
      <c r="G5345" s="31" t="n">
        <v>1</v>
      </c>
      <c r="H5345" s="41" t="n">
        <v>6.5</v>
      </c>
      <c r="I5345" s="31" t="s">
        <v>149</v>
      </c>
      <c r="J5345" s="31" t="n">
        <v>4</v>
      </c>
      <c r="K5345" s="31" t="s">
        <v>150</v>
      </c>
      <c r="L5345" s="45" t="n">
        <f aca="false">DATE(YEAR(B5345),MONTH(B5345),1)</f>
        <v>46266</v>
      </c>
      <c r="M5345" s="31" t="n">
        <f aca="false">WEEKDAY(B5345,2)</f>
        <v>5</v>
      </c>
      <c r="N5345" s="31" t="str">
        <f aca="false">IF(G5345&lt;=INDEX(Assumptions!$B$15:$B$18,MATCH(E5345,Assumptions!$A$15:$A$18,0)),"Yes","No")</f>
        <v>Yes</v>
      </c>
      <c r="O5345" s="31" t="str">
        <f aca="false">IF(H5345="","Open",IF(H5345&lt;=INDEX(Assumptions!$C$15:$C$18,MATCH(E5345,Assumptions!$A$15:$A$18,0)),"Yes","No"))</f>
        <v>Yes</v>
      </c>
    </row>
    <row r="5346" customFormat="false" ht="15" hidden="false" customHeight="false" outlineLevel="0" collapsed="false">
      <c r="A5346" s="31" t="s">
        <v>5496</v>
      </c>
      <c r="B5346" s="44" t="n">
        <v>46276</v>
      </c>
      <c r="C5346" s="31" t="s">
        <v>57</v>
      </c>
      <c r="D5346" s="31" t="s">
        <v>65</v>
      </c>
      <c r="E5346" s="31" t="s">
        <v>51</v>
      </c>
      <c r="F5346" s="31" t="s">
        <v>124</v>
      </c>
      <c r="G5346" s="31" t="n">
        <v>4</v>
      </c>
      <c r="H5346" s="41" t="n">
        <v>3.7</v>
      </c>
      <c r="I5346" s="31" t="s">
        <v>149</v>
      </c>
      <c r="J5346" s="31"/>
      <c r="K5346" s="31" t="s">
        <v>150</v>
      </c>
      <c r="L5346" s="45" t="n">
        <f aca="false">DATE(YEAR(B5346),MONTH(B5346),1)</f>
        <v>46266</v>
      </c>
      <c r="M5346" s="31" t="n">
        <f aca="false">WEEKDAY(B5346,2)</f>
        <v>5</v>
      </c>
      <c r="N5346" s="31" t="str">
        <f aca="false">IF(G5346&lt;=INDEX(Assumptions!$B$15:$B$18,MATCH(E5346,Assumptions!$A$15:$A$18,0)),"Yes","No")</f>
        <v>Yes</v>
      </c>
      <c r="O5346" s="31" t="str">
        <f aca="false">IF(H5346="","Open",IF(H5346&lt;=INDEX(Assumptions!$C$15:$C$18,MATCH(E5346,Assumptions!$A$15:$A$18,0)),"Yes","No"))</f>
        <v>Yes</v>
      </c>
    </row>
    <row r="5347" customFormat="false" ht="15" hidden="false" customHeight="false" outlineLevel="0" collapsed="false">
      <c r="A5347" s="31" t="s">
        <v>5497</v>
      </c>
      <c r="B5347" s="44" t="n">
        <v>46276</v>
      </c>
      <c r="C5347" s="31" t="s">
        <v>58</v>
      </c>
      <c r="D5347" s="31" t="s">
        <v>67</v>
      </c>
      <c r="E5347" s="31" t="s">
        <v>51</v>
      </c>
      <c r="F5347" s="31" t="s">
        <v>129</v>
      </c>
      <c r="G5347" s="31" t="n">
        <v>11</v>
      </c>
      <c r="H5347" s="41" t="n">
        <v>9</v>
      </c>
      <c r="I5347" s="31" t="s">
        <v>149</v>
      </c>
      <c r="J5347" s="31"/>
      <c r="K5347" s="31" t="s">
        <v>150</v>
      </c>
      <c r="L5347" s="45" t="n">
        <f aca="false">DATE(YEAR(B5347),MONTH(B5347),1)</f>
        <v>46266</v>
      </c>
      <c r="M5347" s="31" t="n">
        <f aca="false">WEEKDAY(B5347,2)</f>
        <v>5</v>
      </c>
      <c r="N5347" s="31" t="str">
        <f aca="false">IF(G5347&lt;=INDEX(Assumptions!$B$15:$B$18,MATCH(E5347,Assumptions!$A$15:$A$18,0)),"Yes","No")</f>
        <v>Yes</v>
      </c>
      <c r="O5347" s="31" t="str">
        <f aca="false">IF(H5347="","Open",IF(H5347&lt;=INDEX(Assumptions!$C$15:$C$18,MATCH(E5347,Assumptions!$A$15:$A$18,0)),"Yes","No"))</f>
        <v>Yes</v>
      </c>
    </row>
    <row r="5348" customFormat="false" ht="15" hidden="false" customHeight="false" outlineLevel="0" collapsed="false">
      <c r="A5348" s="31" t="s">
        <v>5498</v>
      </c>
      <c r="B5348" s="44" t="n">
        <v>46276</v>
      </c>
      <c r="C5348" s="31" t="s">
        <v>59</v>
      </c>
      <c r="D5348" s="31" t="s">
        <v>65</v>
      </c>
      <c r="E5348" s="31" t="s">
        <v>50</v>
      </c>
      <c r="F5348" s="31" t="s">
        <v>137</v>
      </c>
      <c r="G5348" s="31" t="n">
        <v>18</v>
      </c>
      <c r="H5348" s="41" t="n">
        <v>4.4</v>
      </c>
      <c r="I5348" s="31" t="s">
        <v>149</v>
      </c>
      <c r="J5348" s="31" t="n">
        <v>4</v>
      </c>
      <c r="K5348" s="31" t="s">
        <v>150</v>
      </c>
      <c r="L5348" s="45" t="n">
        <f aca="false">DATE(YEAR(B5348),MONTH(B5348),1)</f>
        <v>46266</v>
      </c>
      <c r="M5348" s="31" t="n">
        <f aca="false">WEEKDAY(B5348,2)</f>
        <v>5</v>
      </c>
      <c r="N5348" s="31" t="str">
        <f aca="false">IF(G5348&lt;=INDEX(Assumptions!$B$15:$B$18,MATCH(E5348,Assumptions!$A$15:$A$18,0)),"Yes","No")</f>
        <v>Yes</v>
      </c>
      <c r="O5348" s="31" t="str">
        <f aca="false">IF(H5348="","Open",IF(H5348&lt;=INDEX(Assumptions!$C$15:$C$18,MATCH(E5348,Assumptions!$A$15:$A$18,0)),"Yes","No"))</f>
        <v>Yes</v>
      </c>
    </row>
    <row r="5349" customFormat="false" ht="15" hidden="false" customHeight="false" outlineLevel="0" collapsed="false">
      <c r="A5349" s="31" t="s">
        <v>5499</v>
      </c>
      <c r="B5349" s="44" t="n">
        <v>46276</v>
      </c>
      <c r="C5349" s="31" t="s">
        <v>57</v>
      </c>
      <c r="D5349" s="31" t="s">
        <v>66</v>
      </c>
      <c r="E5349" s="31" t="s">
        <v>52</v>
      </c>
      <c r="F5349" s="31" t="s">
        <v>122</v>
      </c>
      <c r="G5349" s="31" t="n">
        <v>7</v>
      </c>
      <c r="H5349" s="41" t="n">
        <v>9.3</v>
      </c>
      <c r="I5349" s="31" t="s">
        <v>149</v>
      </c>
      <c r="J5349" s="31"/>
      <c r="K5349" s="31" t="s">
        <v>150</v>
      </c>
      <c r="L5349" s="45" t="n">
        <f aca="false">DATE(YEAR(B5349),MONTH(B5349),1)</f>
        <v>46266</v>
      </c>
      <c r="M5349" s="31" t="n">
        <f aca="false">WEEKDAY(B5349,2)</f>
        <v>5</v>
      </c>
      <c r="N5349" s="31" t="str">
        <f aca="false">IF(G5349&lt;=INDEX(Assumptions!$B$15:$B$18,MATCH(E5349,Assumptions!$A$15:$A$18,0)),"Yes","No")</f>
        <v>Yes</v>
      </c>
      <c r="O5349" s="31" t="str">
        <f aca="false">IF(H5349="","Open",IF(H5349&lt;=INDEX(Assumptions!$C$15:$C$18,MATCH(E5349,Assumptions!$A$15:$A$18,0)),"Yes","No"))</f>
        <v>Yes</v>
      </c>
    </row>
    <row r="5350" customFormat="false" ht="15" hidden="false" customHeight="false" outlineLevel="0" collapsed="false">
      <c r="A5350" s="31" t="s">
        <v>5500</v>
      </c>
      <c r="B5350" s="44" t="n">
        <v>46276</v>
      </c>
      <c r="C5350" s="31" t="s">
        <v>58</v>
      </c>
      <c r="D5350" s="31" t="s">
        <v>65</v>
      </c>
      <c r="E5350" s="31" t="s">
        <v>50</v>
      </c>
      <c r="F5350" s="31" t="s">
        <v>135</v>
      </c>
      <c r="G5350" s="31" t="n">
        <v>26</v>
      </c>
      <c r="H5350" s="41" t="n">
        <v>8.8</v>
      </c>
      <c r="I5350" s="31" t="s">
        <v>149</v>
      </c>
      <c r="J5350" s="31"/>
      <c r="K5350" s="31" t="s">
        <v>150</v>
      </c>
      <c r="L5350" s="45" t="n">
        <f aca="false">DATE(YEAR(B5350),MONTH(B5350),1)</f>
        <v>46266</v>
      </c>
      <c r="M5350" s="31" t="n">
        <f aca="false">WEEKDAY(B5350,2)</f>
        <v>5</v>
      </c>
      <c r="N5350" s="31" t="str">
        <f aca="false">IF(G5350&lt;=INDEX(Assumptions!$B$15:$B$18,MATCH(E5350,Assumptions!$A$15:$A$18,0)),"Yes","No")</f>
        <v>Yes</v>
      </c>
      <c r="O5350" s="31" t="str">
        <f aca="false">IF(H5350="","Open",IF(H5350&lt;=INDEX(Assumptions!$C$15:$C$18,MATCH(E5350,Assumptions!$A$15:$A$18,0)),"Yes","No"))</f>
        <v>No</v>
      </c>
    </row>
    <row r="5351" customFormat="false" ht="15" hidden="false" customHeight="false" outlineLevel="0" collapsed="false">
      <c r="A5351" s="31" t="s">
        <v>5501</v>
      </c>
      <c r="B5351" s="44" t="n">
        <v>46276</v>
      </c>
      <c r="C5351" s="31" t="s">
        <v>59</v>
      </c>
      <c r="D5351" s="31" t="s">
        <v>68</v>
      </c>
      <c r="E5351" s="31" t="s">
        <v>51</v>
      </c>
      <c r="F5351" s="31" t="s">
        <v>127</v>
      </c>
      <c r="G5351" s="31" t="n">
        <v>92</v>
      </c>
      <c r="H5351" s="41" t="n">
        <v>2.1</v>
      </c>
      <c r="I5351" s="31" t="s">
        <v>149</v>
      </c>
      <c r="J5351" s="31" t="n">
        <v>5</v>
      </c>
      <c r="K5351" s="31" t="s">
        <v>150</v>
      </c>
      <c r="L5351" s="45" t="n">
        <f aca="false">DATE(YEAR(B5351),MONTH(B5351),1)</f>
        <v>46266</v>
      </c>
      <c r="M5351" s="31" t="n">
        <f aca="false">WEEKDAY(B5351,2)</f>
        <v>5</v>
      </c>
      <c r="N5351" s="31" t="str">
        <f aca="false">IF(G5351&lt;=INDEX(Assumptions!$B$15:$B$18,MATCH(E5351,Assumptions!$A$15:$A$18,0)),"Yes","No")</f>
        <v>No</v>
      </c>
      <c r="O5351" s="31" t="str">
        <f aca="false">IF(H5351="","Open",IF(H5351&lt;=INDEX(Assumptions!$C$15:$C$18,MATCH(E5351,Assumptions!$A$15:$A$18,0)),"Yes","No"))</f>
        <v>Yes</v>
      </c>
    </row>
    <row r="5352" customFormat="false" ht="15" hidden="false" customHeight="false" outlineLevel="0" collapsed="false">
      <c r="A5352" s="31" t="s">
        <v>5502</v>
      </c>
      <c r="B5352" s="44" t="n">
        <v>46276</v>
      </c>
      <c r="C5352" s="31" t="s">
        <v>58</v>
      </c>
      <c r="D5352" s="31" t="s">
        <v>68</v>
      </c>
      <c r="E5352" s="31" t="s">
        <v>52</v>
      </c>
      <c r="F5352" s="31" t="s">
        <v>117</v>
      </c>
      <c r="G5352" s="31" t="n">
        <v>18</v>
      </c>
      <c r="H5352" s="41" t="n">
        <v>4.3</v>
      </c>
      <c r="I5352" s="31" t="s">
        <v>149</v>
      </c>
      <c r="J5352" s="31"/>
      <c r="K5352" s="31" t="s">
        <v>153</v>
      </c>
      <c r="L5352" s="45" t="n">
        <f aca="false">DATE(YEAR(B5352),MONTH(B5352),1)</f>
        <v>46266</v>
      </c>
      <c r="M5352" s="31" t="n">
        <f aca="false">WEEKDAY(B5352,2)</f>
        <v>5</v>
      </c>
      <c r="N5352" s="31" t="str">
        <f aca="false">IF(G5352&lt;=INDEX(Assumptions!$B$15:$B$18,MATCH(E5352,Assumptions!$A$15:$A$18,0)),"Yes","No")</f>
        <v>Yes</v>
      </c>
      <c r="O5352" s="31" t="str">
        <f aca="false">IF(H5352="","Open",IF(H5352&lt;=INDEX(Assumptions!$C$15:$C$18,MATCH(E5352,Assumptions!$A$15:$A$18,0)),"Yes","No"))</f>
        <v>Yes</v>
      </c>
    </row>
    <row r="5353" customFormat="false" ht="15" hidden="false" customHeight="false" outlineLevel="0" collapsed="false">
      <c r="A5353" s="31" t="s">
        <v>5503</v>
      </c>
      <c r="B5353" s="44" t="n">
        <v>46276</v>
      </c>
      <c r="C5353" s="31" t="s">
        <v>59</v>
      </c>
      <c r="D5353" s="31" t="s">
        <v>68</v>
      </c>
      <c r="E5353" s="31" t="s">
        <v>50</v>
      </c>
      <c r="F5353" s="31" t="s">
        <v>134</v>
      </c>
      <c r="G5353" s="31" t="n">
        <v>98</v>
      </c>
      <c r="H5353" s="41" t="n">
        <v>1.6</v>
      </c>
      <c r="I5353" s="31" t="s">
        <v>149</v>
      </c>
      <c r="J5353" s="31" t="n">
        <v>4</v>
      </c>
      <c r="K5353" s="31" t="s">
        <v>153</v>
      </c>
      <c r="L5353" s="45" t="n">
        <f aca="false">DATE(YEAR(B5353),MONTH(B5353),1)</f>
        <v>46266</v>
      </c>
      <c r="M5353" s="31" t="n">
        <f aca="false">WEEKDAY(B5353,2)</f>
        <v>5</v>
      </c>
      <c r="N5353" s="31" t="str">
        <f aca="false">IF(G5353&lt;=INDEX(Assumptions!$B$15:$B$18,MATCH(E5353,Assumptions!$A$15:$A$18,0)),"Yes","No")</f>
        <v>No</v>
      </c>
      <c r="O5353" s="31" t="str">
        <f aca="false">IF(H5353="","Open",IF(H5353&lt;=INDEX(Assumptions!$C$15:$C$18,MATCH(E5353,Assumptions!$A$15:$A$18,0)),"Yes","No"))</f>
        <v>Yes</v>
      </c>
    </row>
    <row r="5354" customFormat="false" ht="15" hidden="false" customHeight="false" outlineLevel="0" collapsed="false">
      <c r="A5354" s="31" t="s">
        <v>5504</v>
      </c>
      <c r="B5354" s="44" t="n">
        <v>46276</v>
      </c>
      <c r="C5354" s="31" t="s">
        <v>59</v>
      </c>
      <c r="D5354" s="31" t="s">
        <v>67</v>
      </c>
      <c r="E5354" s="31" t="s">
        <v>51</v>
      </c>
      <c r="F5354" s="31" t="s">
        <v>134</v>
      </c>
      <c r="G5354" s="31" t="n">
        <v>67</v>
      </c>
      <c r="H5354" s="41" t="n">
        <v>54</v>
      </c>
      <c r="I5354" s="31" t="s">
        <v>149</v>
      </c>
      <c r="J5354" s="31"/>
      <c r="K5354" s="31" t="s">
        <v>150</v>
      </c>
      <c r="L5354" s="45" t="n">
        <f aca="false">DATE(YEAR(B5354),MONTH(B5354),1)</f>
        <v>46266</v>
      </c>
      <c r="M5354" s="31" t="n">
        <f aca="false">WEEKDAY(B5354,2)</f>
        <v>5</v>
      </c>
      <c r="N5354" s="31" t="str">
        <f aca="false">IF(G5354&lt;=INDEX(Assumptions!$B$15:$B$18,MATCH(E5354,Assumptions!$A$15:$A$18,0)),"Yes","No")</f>
        <v>No</v>
      </c>
      <c r="O5354" s="31" t="str">
        <f aca="false">IF(H5354="","Open",IF(H5354&lt;=INDEX(Assumptions!$C$15:$C$18,MATCH(E5354,Assumptions!$A$15:$A$18,0)),"Yes","No"))</f>
        <v>No</v>
      </c>
    </row>
    <row r="5355" customFormat="false" ht="15" hidden="false" customHeight="false" outlineLevel="0" collapsed="false">
      <c r="A5355" s="31" t="s">
        <v>5505</v>
      </c>
      <c r="B5355" s="44" t="n">
        <v>46276</v>
      </c>
      <c r="C5355" s="31" t="s">
        <v>58</v>
      </c>
      <c r="D5355" s="31" t="s">
        <v>66</v>
      </c>
      <c r="E5355" s="31" t="s">
        <v>51</v>
      </c>
      <c r="F5355" s="31" t="s">
        <v>129</v>
      </c>
      <c r="G5355" s="31" t="n">
        <v>6</v>
      </c>
      <c r="H5355" s="41" t="n">
        <v>5.9</v>
      </c>
      <c r="I5355" s="31" t="s">
        <v>149</v>
      </c>
      <c r="J5355" s="31" t="n">
        <v>5</v>
      </c>
      <c r="K5355" s="31" t="s">
        <v>150</v>
      </c>
      <c r="L5355" s="45" t="n">
        <f aca="false">DATE(YEAR(B5355),MONTH(B5355),1)</f>
        <v>46266</v>
      </c>
      <c r="M5355" s="31" t="n">
        <f aca="false">WEEKDAY(B5355,2)</f>
        <v>5</v>
      </c>
      <c r="N5355" s="31" t="str">
        <f aca="false">IF(G5355&lt;=INDEX(Assumptions!$B$15:$B$18,MATCH(E5355,Assumptions!$A$15:$A$18,0)),"Yes","No")</f>
        <v>Yes</v>
      </c>
      <c r="O5355" s="31" t="str">
        <f aca="false">IF(H5355="","Open",IF(H5355&lt;=INDEX(Assumptions!$C$15:$C$18,MATCH(E5355,Assumptions!$A$15:$A$18,0)),"Yes","No"))</f>
        <v>Yes</v>
      </c>
    </row>
    <row r="5356" customFormat="false" ht="15" hidden="false" customHeight="false" outlineLevel="0" collapsed="false">
      <c r="A5356" s="31" t="s">
        <v>5506</v>
      </c>
      <c r="B5356" s="44" t="n">
        <v>46276</v>
      </c>
      <c r="C5356" s="31" t="s">
        <v>57</v>
      </c>
      <c r="D5356" s="31" t="s">
        <v>67</v>
      </c>
      <c r="E5356" s="31" t="s">
        <v>52</v>
      </c>
      <c r="F5356" s="31" t="s">
        <v>133</v>
      </c>
      <c r="G5356" s="31" t="n">
        <v>2</v>
      </c>
      <c r="H5356" s="41" t="n">
        <v>42.4</v>
      </c>
      <c r="I5356" s="31" t="s">
        <v>149</v>
      </c>
      <c r="J5356" s="31"/>
      <c r="K5356" s="31" t="s">
        <v>150</v>
      </c>
      <c r="L5356" s="45" t="n">
        <f aca="false">DATE(YEAR(B5356),MONTH(B5356),1)</f>
        <v>46266</v>
      </c>
      <c r="M5356" s="31" t="n">
        <f aca="false">WEEKDAY(B5356,2)</f>
        <v>5</v>
      </c>
      <c r="N5356" s="31" t="str">
        <f aca="false">IF(G5356&lt;=INDEX(Assumptions!$B$15:$B$18,MATCH(E5356,Assumptions!$A$15:$A$18,0)),"Yes","No")</f>
        <v>Yes</v>
      </c>
      <c r="O5356" s="31" t="str">
        <f aca="false">IF(H5356="","Open",IF(H5356&lt;=INDEX(Assumptions!$C$15:$C$18,MATCH(E5356,Assumptions!$A$15:$A$18,0)),"Yes","No"))</f>
        <v>Yes</v>
      </c>
    </row>
    <row r="5357" customFormat="false" ht="15" hidden="false" customHeight="false" outlineLevel="0" collapsed="false">
      <c r="A5357" s="31" t="s">
        <v>5507</v>
      </c>
      <c r="B5357" s="44" t="n">
        <v>46276</v>
      </c>
      <c r="C5357" s="31" t="s">
        <v>60</v>
      </c>
      <c r="D5357" s="31" t="s">
        <v>69</v>
      </c>
      <c r="E5357" s="31" t="s">
        <v>51</v>
      </c>
      <c r="F5357" s="31" t="s">
        <v>117</v>
      </c>
      <c r="G5357" s="31" t="n">
        <v>3</v>
      </c>
      <c r="H5357" s="41"/>
      <c r="I5357" s="31" t="s">
        <v>158</v>
      </c>
      <c r="J5357" s="31"/>
      <c r="K5357" s="31" t="s">
        <v>150</v>
      </c>
      <c r="L5357" s="45" t="n">
        <f aca="false">DATE(YEAR(B5357),MONTH(B5357),1)</f>
        <v>46266</v>
      </c>
      <c r="M5357" s="31" t="n">
        <f aca="false">WEEKDAY(B5357,2)</f>
        <v>5</v>
      </c>
      <c r="N5357" s="31" t="str">
        <f aca="false">IF(G5357&lt;=INDEX(Assumptions!$B$15:$B$18,MATCH(E5357,Assumptions!$A$15:$A$18,0)),"Yes","No")</f>
        <v>Yes</v>
      </c>
      <c r="O5357" s="31" t="str">
        <f aca="false">IF(H5357="","Open",IF(H5357&lt;=INDEX(Assumptions!$C$15:$C$18,MATCH(E5357,Assumptions!$A$15:$A$18,0)),"Yes","No"))</f>
        <v>Open</v>
      </c>
    </row>
    <row r="5358" customFormat="false" ht="15" hidden="false" customHeight="false" outlineLevel="0" collapsed="false">
      <c r="A5358" s="31" t="s">
        <v>5508</v>
      </c>
      <c r="B5358" s="44" t="n">
        <v>46276</v>
      </c>
      <c r="C5358" s="31" t="s">
        <v>59</v>
      </c>
      <c r="D5358" s="31" t="s">
        <v>65</v>
      </c>
      <c r="E5358" s="31" t="s">
        <v>50</v>
      </c>
      <c r="F5358" s="31" t="s">
        <v>120</v>
      </c>
      <c r="G5358" s="31" t="n">
        <v>50</v>
      </c>
      <c r="H5358" s="41" t="n">
        <v>19.9</v>
      </c>
      <c r="I5358" s="31" t="s">
        <v>149</v>
      </c>
      <c r="J5358" s="31" t="n">
        <v>3</v>
      </c>
      <c r="K5358" s="31" t="s">
        <v>150</v>
      </c>
      <c r="L5358" s="45" t="n">
        <f aca="false">DATE(YEAR(B5358),MONTH(B5358),1)</f>
        <v>46266</v>
      </c>
      <c r="M5358" s="31" t="n">
        <f aca="false">WEEKDAY(B5358,2)</f>
        <v>5</v>
      </c>
      <c r="N5358" s="31" t="str">
        <f aca="false">IF(G5358&lt;=INDEX(Assumptions!$B$15:$B$18,MATCH(E5358,Assumptions!$A$15:$A$18,0)),"Yes","No")</f>
        <v>No</v>
      </c>
      <c r="O5358" s="31" t="str">
        <f aca="false">IF(H5358="","Open",IF(H5358&lt;=INDEX(Assumptions!$C$15:$C$18,MATCH(E5358,Assumptions!$A$15:$A$18,0)),"Yes","No"))</f>
        <v>No</v>
      </c>
    </row>
    <row r="5359" customFormat="false" ht="15" hidden="false" customHeight="false" outlineLevel="0" collapsed="false">
      <c r="A5359" s="31" t="s">
        <v>5509</v>
      </c>
      <c r="B5359" s="44" t="n">
        <v>46276</v>
      </c>
      <c r="C5359" s="31" t="s">
        <v>60</v>
      </c>
      <c r="D5359" s="31" t="s">
        <v>66</v>
      </c>
      <c r="E5359" s="31" t="s">
        <v>51</v>
      </c>
      <c r="F5359" s="31" t="s">
        <v>135</v>
      </c>
      <c r="G5359" s="31" t="n">
        <v>4</v>
      </c>
      <c r="H5359" s="41" t="n">
        <v>12</v>
      </c>
      <c r="I5359" s="31" t="s">
        <v>149</v>
      </c>
      <c r="J5359" s="31" t="n">
        <v>4</v>
      </c>
      <c r="K5359" s="31" t="s">
        <v>150</v>
      </c>
      <c r="L5359" s="45" t="n">
        <f aca="false">DATE(YEAR(B5359),MONTH(B5359),1)</f>
        <v>46266</v>
      </c>
      <c r="M5359" s="31" t="n">
        <f aca="false">WEEKDAY(B5359,2)</f>
        <v>5</v>
      </c>
      <c r="N5359" s="31" t="str">
        <f aca="false">IF(G5359&lt;=INDEX(Assumptions!$B$15:$B$18,MATCH(E5359,Assumptions!$A$15:$A$18,0)),"Yes","No")</f>
        <v>Yes</v>
      </c>
      <c r="O5359" s="31" t="str">
        <f aca="false">IF(H5359="","Open",IF(H5359&lt;=INDEX(Assumptions!$C$15:$C$18,MATCH(E5359,Assumptions!$A$15:$A$18,0)),"Yes","No"))</f>
        <v>Yes</v>
      </c>
    </row>
    <row r="5360" customFormat="false" ht="15" hidden="false" customHeight="false" outlineLevel="0" collapsed="false">
      <c r="A5360" s="31" t="s">
        <v>5510</v>
      </c>
      <c r="B5360" s="44" t="n">
        <v>46276</v>
      </c>
      <c r="C5360" s="31" t="s">
        <v>58</v>
      </c>
      <c r="D5360" s="31" t="s">
        <v>66</v>
      </c>
      <c r="E5360" s="31" t="s">
        <v>50</v>
      </c>
      <c r="F5360" s="31" t="s">
        <v>121</v>
      </c>
      <c r="G5360" s="31" t="n">
        <v>13</v>
      </c>
      <c r="H5360" s="41" t="n">
        <v>0.8</v>
      </c>
      <c r="I5360" s="31" t="s">
        <v>149</v>
      </c>
      <c r="J5360" s="31" t="n">
        <v>4</v>
      </c>
      <c r="K5360" s="31" t="s">
        <v>150</v>
      </c>
      <c r="L5360" s="45" t="n">
        <f aca="false">DATE(YEAR(B5360),MONTH(B5360),1)</f>
        <v>46266</v>
      </c>
      <c r="M5360" s="31" t="n">
        <f aca="false">WEEKDAY(B5360,2)</f>
        <v>5</v>
      </c>
      <c r="N5360" s="31" t="str">
        <f aca="false">IF(G5360&lt;=INDEX(Assumptions!$B$15:$B$18,MATCH(E5360,Assumptions!$A$15:$A$18,0)),"Yes","No")</f>
        <v>Yes</v>
      </c>
      <c r="O5360" s="31" t="str">
        <f aca="false">IF(H5360="","Open",IF(H5360&lt;=INDEX(Assumptions!$C$15:$C$18,MATCH(E5360,Assumptions!$A$15:$A$18,0)),"Yes","No"))</f>
        <v>Yes</v>
      </c>
    </row>
    <row r="5361" customFormat="false" ht="15" hidden="false" customHeight="false" outlineLevel="0" collapsed="false">
      <c r="A5361" s="31" t="s">
        <v>5511</v>
      </c>
      <c r="B5361" s="44" t="n">
        <v>46276</v>
      </c>
      <c r="C5361" s="31" t="s">
        <v>58</v>
      </c>
      <c r="D5361" s="31" t="s">
        <v>66</v>
      </c>
      <c r="E5361" s="31" t="s">
        <v>51</v>
      </c>
      <c r="F5361" s="31" t="s">
        <v>131</v>
      </c>
      <c r="G5361" s="31" t="n">
        <v>12</v>
      </c>
      <c r="H5361" s="41" t="n">
        <v>2.6</v>
      </c>
      <c r="I5361" s="31" t="s">
        <v>149</v>
      </c>
      <c r="J5361" s="31" t="n">
        <v>4</v>
      </c>
      <c r="K5361" s="31" t="s">
        <v>150</v>
      </c>
      <c r="L5361" s="45" t="n">
        <f aca="false">DATE(YEAR(B5361),MONTH(B5361),1)</f>
        <v>46266</v>
      </c>
      <c r="M5361" s="31" t="n">
        <f aca="false">WEEKDAY(B5361,2)</f>
        <v>5</v>
      </c>
      <c r="N5361" s="31" t="str">
        <f aca="false">IF(G5361&lt;=INDEX(Assumptions!$B$15:$B$18,MATCH(E5361,Assumptions!$A$15:$A$18,0)),"Yes","No")</f>
        <v>Yes</v>
      </c>
      <c r="O5361" s="31" t="str">
        <f aca="false">IF(H5361="","Open",IF(H5361&lt;=INDEX(Assumptions!$C$15:$C$18,MATCH(E5361,Assumptions!$A$15:$A$18,0)),"Yes","No"))</f>
        <v>Yes</v>
      </c>
    </row>
    <row r="5362" customFormat="false" ht="15" hidden="false" customHeight="false" outlineLevel="0" collapsed="false">
      <c r="A5362" s="31" t="s">
        <v>5512</v>
      </c>
      <c r="B5362" s="44" t="n">
        <v>46276</v>
      </c>
      <c r="C5362" s="31" t="s">
        <v>59</v>
      </c>
      <c r="D5362" s="31" t="s">
        <v>68</v>
      </c>
      <c r="E5362" s="31" t="s">
        <v>50</v>
      </c>
      <c r="F5362" s="31" t="s">
        <v>128</v>
      </c>
      <c r="G5362" s="31" t="n">
        <v>90</v>
      </c>
      <c r="H5362" s="41" t="n">
        <v>12.5</v>
      </c>
      <c r="I5362" s="31" t="s">
        <v>149</v>
      </c>
      <c r="J5362" s="31" t="n">
        <v>2</v>
      </c>
      <c r="K5362" s="31" t="s">
        <v>150</v>
      </c>
      <c r="L5362" s="45" t="n">
        <f aca="false">DATE(YEAR(B5362),MONTH(B5362),1)</f>
        <v>46266</v>
      </c>
      <c r="M5362" s="31" t="n">
        <f aca="false">WEEKDAY(B5362,2)</f>
        <v>5</v>
      </c>
      <c r="N5362" s="31" t="str">
        <f aca="false">IF(G5362&lt;=INDEX(Assumptions!$B$15:$B$18,MATCH(E5362,Assumptions!$A$15:$A$18,0)),"Yes","No")</f>
        <v>No</v>
      </c>
      <c r="O5362" s="31" t="str">
        <f aca="false">IF(H5362="","Open",IF(H5362&lt;=INDEX(Assumptions!$C$15:$C$18,MATCH(E5362,Assumptions!$A$15:$A$18,0)),"Yes","No"))</f>
        <v>No</v>
      </c>
    </row>
    <row r="5363" customFormat="false" ht="15" hidden="false" customHeight="false" outlineLevel="0" collapsed="false">
      <c r="A5363" s="31" t="s">
        <v>5513</v>
      </c>
      <c r="B5363" s="44" t="n">
        <v>46276</v>
      </c>
      <c r="C5363" s="31" t="s">
        <v>57</v>
      </c>
      <c r="D5363" s="31" t="s">
        <v>65</v>
      </c>
      <c r="E5363" s="31" t="s">
        <v>51</v>
      </c>
      <c r="F5363" s="31" t="s">
        <v>128</v>
      </c>
      <c r="G5363" s="31" t="n">
        <v>5</v>
      </c>
      <c r="H5363" s="41" t="n">
        <v>47.3</v>
      </c>
      <c r="I5363" s="31" t="s">
        <v>149</v>
      </c>
      <c r="J5363" s="31"/>
      <c r="K5363" s="31" t="s">
        <v>150</v>
      </c>
      <c r="L5363" s="45" t="n">
        <f aca="false">DATE(YEAR(B5363),MONTH(B5363),1)</f>
        <v>46266</v>
      </c>
      <c r="M5363" s="31" t="n">
        <f aca="false">WEEKDAY(B5363,2)</f>
        <v>5</v>
      </c>
      <c r="N5363" s="31" t="str">
        <f aca="false">IF(G5363&lt;=INDEX(Assumptions!$B$15:$B$18,MATCH(E5363,Assumptions!$A$15:$A$18,0)),"Yes","No")</f>
        <v>Yes</v>
      </c>
      <c r="O5363" s="31" t="str">
        <f aca="false">IF(H5363="","Open",IF(H5363&lt;=INDEX(Assumptions!$C$15:$C$18,MATCH(E5363,Assumptions!$A$15:$A$18,0)),"Yes","No"))</f>
        <v>No</v>
      </c>
    </row>
    <row r="5364" customFormat="false" ht="15" hidden="false" customHeight="false" outlineLevel="0" collapsed="false">
      <c r="A5364" s="31" t="s">
        <v>5514</v>
      </c>
      <c r="B5364" s="44" t="n">
        <v>46276</v>
      </c>
      <c r="C5364" s="31" t="s">
        <v>59</v>
      </c>
      <c r="D5364" s="31" t="s">
        <v>66</v>
      </c>
      <c r="E5364" s="31" t="s">
        <v>51</v>
      </c>
      <c r="F5364" s="31" t="s">
        <v>130</v>
      </c>
      <c r="G5364" s="31" t="n">
        <v>82</v>
      </c>
      <c r="H5364" s="41" t="n">
        <v>16.4</v>
      </c>
      <c r="I5364" s="31" t="s">
        <v>149</v>
      </c>
      <c r="J5364" s="31" t="n">
        <v>4</v>
      </c>
      <c r="K5364" s="31" t="s">
        <v>150</v>
      </c>
      <c r="L5364" s="45" t="n">
        <f aca="false">DATE(YEAR(B5364),MONTH(B5364),1)</f>
        <v>46266</v>
      </c>
      <c r="M5364" s="31" t="n">
        <f aca="false">WEEKDAY(B5364,2)</f>
        <v>5</v>
      </c>
      <c r="N5364" s="31" t="str">
        <f aca="false">IF(G5364&lt;=INDEX(Assumptions!$B$15:$B$18,MATCH(E5364,Assumptions!$A$15:$A$18,0)),"Yes","No")</f>
        <v>No</v>
      </c>
      <c r="O5364" s="31" t="str">
        <f aca="false">IF(H5364="","Open",IF(H5364&lt;=INDEX(Assumptions!$C$15:$C$18,MATCH(E5364,Assumptions!$A$15:$A$18,0)),"Yes","No"))</f>
        <v>Yes</v>
      </c>
    </row>
    <row r="5365" customFormat="false" ht="15" hidden="false" customHeight="false" outlineLevel="0" collapsed="false">
      <c r="A5365" s="31" t="s">
        <v>5515</v>
      </c>
      <c r="B5365" s="44" t="n">
        <v>46276</v>
      </c>
      <c r="C5365" s="31" t="s">
        <v>57</v>
      </c>
      <c r="D5365" s="31" t="s">
        <v>65</v>
      </c>
      <c r="E5365" s="31" t="s">
        <v>50</v>
      </c>
      <c r="F5365" s="31" t="s">
        <v>130</v>
      </c>
      <c r="G5365" s="31" t="n">
        <v>3</v>
      </c>
      <c r="H5365" s="41" t="n">
        <v>2.2</v>
      </c>
      <c r="I5365" s="31" t="s">
        <v>149</v>
      </c>
      <c r="J5365" s="31" t="n">
        <v>5</v>
      </c>
      <c r="K5365" s="31" t="s">
        <v>150</v>
      </c>
      <c r="L5365" s="45" t="n">
        <f aca="false">DATE(YEAR(B5365),MONTH(B5365),1)</f>
        <v>46266</v>
      </c>
      <c r="M5365" s="31" t="n">
        <f aca="false">WEEKDAY(B5365,2)</f>
        <v>5</v>
      </c>
      <c r="N5365" s="31" t="str">
        <f aca="false">IF(G5365&lt;=INDEX(Assumptions!$B$15:$B$18,MATCH(E5365,Assumptions!$A$15:$A$18,0)),"Yes","No")</f>
        <v>Yes</v>
      </c>
      <c r="O5365" s="31" t="str">
        <f aca="false">IF(H5365="","Open",IF(H5365&lt;=INDEX(Assumptions!$C$15:$C$18,MATCH(E5365,Assumptions!$A$15:$A$18,0)),"Yes","No"))</f>
        <v>Yes</v>
      </c>
    </row>
    <row r="5366" customFormat="false" ht="15" hidden="false" customHeight="false" outlineLevel="0" collapsed="false">
      <c r="A5366" s="31" t="s">
        <v>5516</v>
      </c>
      <c r="B5366" s="44" t="n">
        <v>46276</v>
      </c>
      <c r="C5366" s="31" t="s">
        <v>58</v>
      </c>
      <c r="D5366" s="31" t="s">
        <v>67</v>
      </c>
      <c r="E5366" s="31" t="s">
        <v>51</v>
      </c>
      <c r="F5366" s="31" t="s">
        <v>131</v>
      </c>
      <c r="G5366" s="31" t="n">
        <v>17</v>
      </c>
      <c r="H5366" s="41" t="n">
        <v>2.6</v>
      </c>
      <c r="I5366" s="31" t="s">
        <v>149</v>
      </c>
      <c r="J5366" s="31"/>
      <c r="K5366" s="31" t="s">
        <v>150</v>
      </c>
      <c r="L5366" s="45" t="n">
        <f aca="false">DATE(YEAR(B5366),MONTH(B5366),1)</f>
        <v>46266</v>
      </c>
      <c r="M5366" s="31" t="n">
        <f aca="false">WEEKDAY(B5366,2)</f>
        <v>5</v>
      </c>
      <c r="N5366" s="31" t="str">
        <f aca="false">IF(G5366&lt;=INDEX(Assumptions!$B$15:$B$18,MATCH(E5366,Assumptions!$A$15:$A$18,0)),"Yes","No")</f>
        <v>Yes</v>
      </c>
      <c r="O5366" s="31" t="str">
        <f aca="false">IF(H5366="","Open",IF(H5366&lt;=INDEX(Assumptions!$C$15:$C$18,MATCH(E5366,Assumptions!$A$15:$A$18,0)),"Yes","No"))</f>
        <v>Yes</v>
      </c>
    </row>
    <row r="5367" customFormat="false" ht="15" hidden="false" customHeight="false" outlineLevel="0" collapsed="false">
      <c r="A5367" s="31" t="s">
        <v>5517</v>
      </c>
      <c r="B5367" s="44" t="n">
        <v>46276</v>
      </c>
      <c r="C5367" s="31" t="s">
        <v>57</v>
      </c>
      <c r="D5367" s="31" t="s">
        <v>67</v>
      </c>
      <c r="E5367" s="31" t="s">
        <v>51</v>
      </c>
      <c r="F5367" s="31" t="s">
        <v>134</v>
      </c>
      <c r="G5367" s="31" t="n">
        <v>5</v>
      </c>
      <c r="H5367" s="41" t="n">
        <v>7.1</v>
      </c>
      <c r="I5367" s="31" t="s">
        <v>149</v>
      </c>
      <c r="J5367" s="31"/>
      <c r="K5367" s="31" t="s">
        <v>150</v>
      </c>
      <c r="L5367" s="45" t="n">
        <f aca="false">DATE(YEAR(B5367),MONTH(B5367),1)</f>
        <v>46266</v>
      </c>
      <c r="M5367" s="31" t="n">
        <f aca="false">WEEKDAY(B5367,2)</f>
        <v>5</v>
      </c>
      <c r="N5367" s="31" t="str">
        <f aca="false">IF(G5367&lt;=INDEX(Assumptions!$B$15:$B$18,MATCH(E5367,Assumptions!$A$15:$A$18,0)),"Yes","No")</f>
        <v>Yes</v>
      </c>
      <c r="O5367" s="31" t="str">
        <f aca="false">IF(H5367="","Open",IF(H5367&lt;=INDEX(Assumptions!$C$15:$C$18,MATCH(E5367,Assumptions!$A$15:$A$18,0)),"Yes","No"))</f>
        <v>Yes</v>
      </c>
    </row>
    <row r="5368" customFormat="false" ht="15" hidden="false" customHeight="false" outlineLevel="0" collapsed="false">
      <c r="A5368" s="31" t="s">
        <v>5518</v>
      </c>
      <c r="B5368" s="44" t="n">
        <v>46276</v>
      </c>
      <c r="C5368" s="31" t="s">
        <v>57</v>
      </c>
      <c r="D5368" s="31" t="s">
        <v>65</v>
      </c>
      <c r="E5368" s="31" t="s">
        <v>51</v>
      </c>
      <c r="F5368" s="31" t="s">
        <v>134</v>
      </c>
      <c r="G5368" s="31" t="n">
        <v>5</v>
      </c>
      <c r="H5368" s="41" t="n">
        <v>40</v>
      </c>
      <c r="I5368" s="31" t="s">
        <v>149</v>
      </c>
      <c r="J5368" s="31" t="n">
        <v>2</v>
      </c>
      <c r="K5368" s="31" t="s">
        <v>150</v>
      </c>
      <c r="L5368" s="45" t="n">
        <f aca="false">DATE(YEAR(B5368),MONTH(B5368),1)</f>
        <v>46266</v>
      </c>
      <c r="M5368" s="31" t="n">
        <f aca="false">WEEKDAY(B5368,2)</f>
        <v>5</v>
      </c>
      <c r="N5368" s="31" t="str">
        <f aca="false">IF(G5368&lt;=INDEX(Assumptions!$B$15:$B$18,MATCH(E5368,Assumptions!$A$15:$A$18,0)),"Yes","No")</f>
        <v>Yes</v>
      </c>
      <c r="O5368" s="31" t="str">
        <f aca="false">IF(H5368="","Open",IF(H5368&lt;=INDEX(Assumptions!$C$15:$C$18,MATCH(E5368,Assumptions!$A$15:$A$18,0)),"Yes","No"))</f>
        <v>No</v>
      </c>
    </row>
    <row r="5369" customFormat="false" ht="15" hidden="false" customHeight="false" outlineLevel="0" collapsed="false">
      <c r="A5369" s="31" t="s">
        <v>5519</v>
      </c>
      <c r="B5369" s="44" t="n">
        <v>46276</v>
      </c>
      <c r="C5369" s="31" t="s">
        <v>57</v>
      </c>
      <c r="D5369" s="31" t="s">
        <v>65</v>
      </c>
      <c r="E5369" s="31" t="s">
        <v>52</v>
      </c>
      <c r="F5369" s="31" t="s">
        <v>121</v>
      </c>
      <c r="G5369" s="31" t="n">
        <v>4</v>
      </c>
      <c r="H5369" s="41" t="n">
        <v>20.3</v>
      </c>
      <c r="I5369" s="31" t="s">
        <v>149</v>
      </c>
      <c r="J5369" s="31" t="n">
        <v>2</v>
      </c>
      <c r="K5369" s="31" t="s">
        <v>150</v>
      </c>
      <c r="L5369" s="45" t="n">
        <f aca="false">DATE(YEAR(B5369),MONTH(B5369),1)</f>
        <v>46266</v>
      </c>
      <c r="M5369" s="31" t="n">
        <f aca="false">WEEKDAY(B5369,2)</f>
        <v>5</v>
      </c>
      <c r="N5369" s="31" t="str">
        <f aca="false">IF(G5369&lt;=INDEX(Assumptions!$B$15:$B$18,MATCH(E5369,Assumptions!$A$15:$A$18,0)),"Yes","No")</f>
        <v>Yes</v>
      </c>
      <c r="O5369" s="31" t="str">
        <f aca="false">IF(H5369="","Open",IF(H5369&lt;=INDEX(Assumptions!$C$15:$C$18,MATCH(E5369,Assumptions!$A$15:$A$18,0)),"Yes","No"))</f>
        <v>Yes</v>
      </c>
    </row>
    <row r="5370" customFormat="false" ht="15" hidden="false" customHeight="false" outlineLevel="0" collapsed="false">
      <c r="A5370" s="31" t="s">
        <v>5520</v>
      </c>
      <c r="B5370" s="44" t="n">
        <v>46276</v>
      </c>
      <c r="C5370" s="31" t="s">
        <v>58</v>
      </c>
      <c r="D5370" s="31" t="s">
        <v>66</v>
      </c>
      <c r="E5370" s="31" t="s">
        <v>52</v>
      </c>
      <c r="F5370" s="31" t="s">
        <v>134</v>
      </c>
      <c r="G5370" s="31" t="n">
        <v>46</v>
      </c>
      <c r="H5370" s="41" t="n">
        <v>13.6</v>
      </c>
      <c r="I5370" s="31" t="s">
        <v>149</v>
      </c>
      <c r="J5370" s="31"/>
      <c r="K5370" s="31" t="s">
        <v>150</v>
      </c>
      <c r="L5370" s="45" t="n">
        <f aca="false">DATE(YEAR(B5370),MONTH(B5370),1)</f>
        <v>46266</v>
      </c>
      <c r="M5370" s="31" t="n">
        <f aca="false">WEEKDAY(B5370,2)</f>
        <v>5</v>
      </c>
      <c r="N5370" s="31" t="str">
        <f aca="false">IF(G5370&lt;=INDEX(Assumptions!$B$15:$B$18,MATCH(E5370,Assumptions!$A$15:$A$18,0)),"Yes","No")</f>
        <v>Yes</v>
      </c>
      <c r="O5370" s="31" t="str">
        <f aca="false">IF(H5370="","Open",IF(H5370&lt;=INDEX(Assumptions!$C$15:$C$18,MATCH(E5370,Assumptions!$A$15:$A$18,0)),"Yes","No"))</f>
        <v>Yes</v>
      </c>
    </row>
    <row r="5371" customFormat="false" ht="15" hidden="false" customHeight="false" outlineLevel="0" collapsed="false">
      <c r="A5371" s="31" t="s">
        <v>5521</v>
      </c>
      <c r="B5371" s="44" t="n">
        <v>46276</v>
      </c>
      <c r="C5371" s="31" t="s">
        <v>60</v>
      </c>
      <c r="D5371" s="31" t="s">
        <v>67</v>
      </c>
      <c r="E5371" s="31" t="s">
        <v>49</v>
      </c>
      <c r="F5371" s="31" t="s">
        <v>127</v>
      </c>
      <c r="G5371" s="31" t="n">
        <v>2</v>
      </c>
      <c r="H5371" s="41" t="n">
        <v>5.1</v>
      </c>
      <c r="I5371" s="31" t="s">
        <v>149</v>
      </c>
      <c r="J5371" s="31" t="n">
        <v>5</v>
      </c>
      <c r="K5371" s="31" t="s">
        <v>150</v>
      </c>
      <c r="L5371" s="45" t="n">
        <f aca="false">DATE(YEAR(B5371),MONTH(B5371),1)</f>
        <v>46266</v>
      </c>
      <c r="M5371" s="31" t="n">
        <f aca="false">WEEKDAY(B5371,2)</f>
        <v>5</v>
      </c>
      <c r="N5371" s="31" t="str">
        <f aca="false">IF(G5371&lt;=INDEX(Assumptions!$B$15:$B$18,MATCH(E5371,Assumptions!$A$15:$A$18,0)),"Yes","No")</f>
        <v>Yes</v>
      </c>
      <c r="O5371" s="31" t="str">
        <f aca="false">IF(H5371="","Open",IF(H5371&lt;=INDEX(Assumptions!$C$15:$C$18,MATCH(E5371,Assumptions!$A$15:$A$18,0)),"Yes","No"))</f>
        <v>No</v>
      </c>
    </row>
    <row r="5372" customFormat="false" ht="15" hidden="false" customHeight="false" outlineLevel="0" collapsed="false">
      <c r="A5372" s="31" t="s">
        <v>5522</v>
      </c>
      <c r="B5372" s="44" t="n">
        <v>46276</v>
      </c>
      <c r="C5372" s="31" t="s">
        <v>60</v>
      </c>
      <c r="D5372" s="31" t="s">
        <v>67</v>
      </c>
      <c r="E5372" s="31" t="s">
        <v>50</v>
      </c>
      <c r="F5372" s="31" t="s">
        <v>127</v>
      </c>
      <c r="G5372" s="31" t="n">
        <v>1</v>
      </c>
      <c r="H5372" s="41" t="n">
        <v>2.1</v>
      </c>
      <c r="I5372" s="31" t="s">
        <v>149</v>
      </c>
      <c r="J5372" s="31"/>
      <c r="K5372" s="31" t="s">
        <v>153</v>
      </c>
      <c r="L5372" s="45" t="n">
        <f aca="false">DATE(YEAR(B5372),MONTH(B5372),1)</f>
        <v>46266</v>
      </c>
      <c r="M5372" s="31" t="n">
        <f aca="false">WEEKDAY(B5372,2)</f>
        <v>5</v>
      </c>
      <c r="N5372" s="31" t="str">
        <f aca="false">IF(G5372&lt;=INDEX(Assumptions!$B$15:$B$18,MATCH(E5372,Assumptions!$A$15:$A$18,0)),"Yes","No")</f>
        <v>Yes</v>
      </c>
      <c r="O5372" s="31" t="str">
        <f aca="false">IF(H5372="","Open",IF(H5372&lt;=INDEX(Assumptions!$C$15:$C$18,MATCH(E5372,Assumptions!$A$15:$A$18,0)),"Yes","No"))</f>
        <v>Yes</v>
      </c>
    </row>
    <row r="5373" customFormat="false" ht="15" hidden="false" customHeight="false" outlineLevel="0" collapsed="false">
      <c r="A5373" s="31" t="s">
        <v>5523</v>
      </c>
      <c r="B5373" s="44" t="n">
        <v>46276</v>
      </c>
      <c r="C5373" s="31" t="s">
        <v>59</v>
      </c>
      <c r="D5373" s="31" t="s">
        <v>65</v>
      </c>
      <c r="E5373" s="31" t="s">
        <v>51</v>
      </c>
      <c r="F5373" s="31" t="s">
        <v>129</v>
      </c>
      <c r="G5373" s="31" t="n">
        <v>73</v>
      </c>
      <c r="H5373" s="41" t="n">
        <v>3.4</v>
      </c>
      <c r="I5373" s="31" t="s">
        <v>149</v>
      </c>
      <c r="J5373" s="31" t="n">
        <v>4</v>
      </c>
      <c r="K5373" s="31" t="s">
        <v>150</v>
      </c>
      <c r="L5373" s="45" t="n">
        <f aca="false">DATE(YEAR(B5373),MONTH(B5373),1)</f>
        <v>46266</v>
      </c>
      <c r="M5373" s="31" t="n">
        <f aca="false">WEEKDAY(B5373,2)</f>
        <v>5</v>
      </c>
      <c r="N5373" s="31" t="str">
        <f aca="false">IF(G5373&lt;=INDEX(Assumptions!$B$15:$B$18,MATCH(E5373,Assumptions!$A$15:$A$18,0)),"Yes","No")</f>
        <v>No</v>
      </c>
      <c r="O5373" s="31" t="str">
        <f aca="false">IF(H5373="","Open",IF(H5373&lt;=INDEX(Assumptions!$C$15:$C$18,MATCH(E5373,Assumptions!$A$15:$A$18,0)),"Yes","No"))</f>
        <v>Yes</v>
      </c>
    </row>
    <row r="5374" customFormat="false" ht="15" hidden="false" customHeight="false" outlineLevel="0" collapsed="false">
      <c r="A5374" s="31" t="s">
        <v>5524</v>
      </c>
      <c r="B5374" s="44" t="n">
        <v>46276</v>
      </c>
      <c r="C5374" s="31" t="s">
        <v>59</v>
      </c>
      <c r="D5374" s="31" t="s">
        <v>65</v>
      </c>
      <c r="E5374" s="31" t="s">
        <v>52</v>
      </c>
      <c r="F5374" s="31" t="s">
        <v>117</v>
      </c>
      <c r="G5374" s="31" t="n">
        <v>132</v>
      </c>
      <c r="H5374" s="41" t="n">
        <v>55.6</v>
      </c>
      <c r="I5374" s="31" t="s">
        <v>149</v>
      </c>
      <c r="J5374" s="31" t="n">
        <v>5</v>
      </c>
      <c r="K5374" s="31" t="s">
        <v>150</v>
      </c>
      <c r="L5374" s="45" t="n">
        <f aca="false">DATE(YEAR(B5374),MONTH(B5374),1)</f>
        <v>46266</v>
      </c>
      <c r="M5374" s="31" t="n">
        <f aca="false">WEEKDAY(B5374,2)</f>
        <v>5</v>
      </c>
      <c r="N5374" s="31" t="str">
        <f aca="false">IF(G5374&lt;=INDEX(Assumptions!$B$15:$B$18,MATCH(E5374,Assumptions!$A$15:$A$18,0)),"Yes","No")</f>
        <v>Yes</v>
      </c>
      <c r="O5374" s="31" t="str">
        <f aca="false">IF(H5374="","Open",IF(H5374&lt;=INDEX(Assumptions!$C$15:$C$18,MATCH(E5374,Assumptions!$A$15:$A$18,0)),"Yes","No"))</f>
        <v>Yes</v>
      </c>
    </row>
    <row r="5375" customFormat="false" ht="15" hidden="false" customHeight="false" outlineLevel="0" collapsed="false">
      <c r="A5375" s="31" t="s">
        <v>5525</v>
      </c>
      <c r="B5375" s="44" t="n">
        <v>46276</v>
      </c>
      <c r="C5375" s="31" t="s">
        <v>58</v>
      </c>
      <c r="D5375" s="31" t="s">
        <v>65</v>
      </c>
      <c r="E5375" s="31" t="s">
        <v>52</v>
      </c>
      <c r="F5375" s="31" t="s">
        <v>137</v>
      </c>
      <c r="G5375" s="31" t="n">
        <v>8</v>
      </c>
      <c r="H5375" s="41" t="n">
        <v>21.6</v>
      </c>
      <c r="I5375" s="31" t="s">
        <v>149</v>
      </c>
      <c r="J5375" s="31"/>
      <c r="K5375" s="31" t="s">
        <v>150</v>
      </c>
      <c r="L5375" s="45" t="n">
        <f aca="false">DATE(YEAR(B5375),MONTH(B5375),1)</f>
        <v>46266</v>
      </c>
      <c r="M5375" s="31" t="n">
        <f aca="false">WEEKDAY(B5375,2)</f>
        <v>5</v>
      </c>
      <c r="N5375" s="31" t="str">
        <f aca="false">IF(G5375&lt;=INDEX(Assumptions!$B$15:$B$18,MATCH(E5375,Assumptions!$A$15:$A$18,0)),"Yes","No")</f>
        <v>Yes</v>
      </c>
      <c r="O5375" s="31" t="str">
        <f aca="false">IF(H5375="","Open",IF(H5375&lt;=INDEX(Assumptions!$C$15:$C$18,MATCH(E5375,Assumptions!$A$15:$A$18,0)),"Yes","No"))</f>
        <v>Yes</v>
      </c>
    </row>
    <row r="5376" customFormat="false" ht="15" hidden="false" customHeight="false" outlineLevel="0" collapsed="false">
      <c r="A5376" s="31" t="s">
        <v>5526</v>
      </c>
      <c r="B5376" s="44" t="n">
        <v>46276</v>
      </c>
      <c r="C5376" s="31" t="s">
        <v>58</v>
      </c>
      <c r="D5376" s="31" t="s">
        <v>67</v>
      </c>
      <c r="E5376" s="31" t="s">
        <v>50</v>
      </c>
      <c r="F5376" s="31" t="s">
        <v>124</v>
      </c>
      <c r="G5376" s="31" t="n">
        <v>21</v>
      </c>
      <c r="H5376" s="41" t="n">
        <v>13.5</v>
      </c>
      <c r="I5376" s="31" t="s">
        <v>149</v>
      </c>
      <c r="J5376" s="31" t="n">
        <v>3</v>
      </c>
      <c r="K5376" s="31" t="s">
        <v>150</v>
      </c>
      <c r="L5376" s="45" t="n">
        <f aca="false">DATE(YEAR(B5376),MONTH(B5376),1)</f>
        <v>46266</v>
      </c>
      <c r="M5376" s="31" t="n">
        <f aca="false">WEEKDAY(B5376,2)</f>
        <v>5</v>
      </c>
      <c r="N5376" s="31" t="str">
        <f aca="false">IF(G5376&lt;=INDEX(Assumptions!$B$15:$B$18,MATCH(E5376,Assumptions!$A$15:$A$18,0)),"Yes","No")</f>
        <v>Yes</v>
      </c>
      <c r="O5376" s="31" t="str">
        <f aca="false">IF(H5376="","Open",IF(H5376&lt;=INDEX(Assumptions!$C$15:$C$18,MATCH(E5376,Assumptions!$A$15:$A$18,0)),"Yes","No"))</f>
        <v>No</v>
      </c>
    </row>
    <row r="5377" customFormat="false" ht="15" hidden="false" customHeight="false" outlineLevel="0" collapsed="false">
      <c r="A5377" s="31" t="s">
        <v>5527</v>
      </c>
      <c r="B5377" s="44" t="n">
        <v>46276</v>
      </c>
      <c r="C5377" s="31" t="s">
        <v>60</v>
      </c>
      <c r="D5377" s="31" t="s">
        <v>67</v>
      </c>
      <c r="E5377" s="31" t="s">
        <v>51</v>
      </c>
      <c r="F5377" s="31" t="s">
        <v>135</v>
      </c>
      <c r="G5377" s="31" t="n">
        <v>1</v>
      </c>
      <c r="H5377" s="41" t="n">
        <v>13.9</v>
      </c>
      <c r="I5377" s="31" t="s">
        <v>149</v>
      </c>
      <c r="J5377" s="31" t="n">
        <v>5</v>
      </c>
      <c r="K5377" s="31" t="s">
        <v>150</v>
      </c>
      <c r="L5377" s="45" t="n">
        <f aca="false">DATE(YEAR(B5377),MONTH(B5377),1)</f>
        <v>46266</v>
      </c>
      <c r="M5377" s="31" t="n">
        <f aca="false">WEEKDAY(B5377,2)</f>
        <v>5</v>
      </c>
      <c r="N5377" s="31" t="str">
        <f aca="false">IF(G5377&lt;=INDEX(Assumptions!$B$15:$B$18,MATCH(E5377,Assumptions!$A$15:$A$18,0)),"Yes","No")</f>
        <v>Yes</v>
      </c>
      <c r="O5377" s="31" t="str">
        <f aca="false">IF(H5377="","Open",IF(H5377&lt;=INDEX(Assumptions!$C$15:$C$18,MATCH(E5377,Assumptions!$A$15:$A$18,0)),"Yes","No"))</f>
        <v>Yes</v>
      </c>
    </row>
    <row r="5378" customFormat="false" ht="15" hidden="false" customHeight="false" outlineLevel="0" collapsed="false">
      <c r="A5378" s="31" t="s">
        <v>5528</v>
      </c>
      <c r="B5378" s="44" t="n">
        <v>46276</v>
      </c>
      <c r="C5378" s="31" t="s">
        <v>57</v>
      </c>
      <c r="D5378" s="31" t="s">
        <v>69</v>
      </c>
      <c r="E5378" s="31" t="s">
        <v>52</v>
      </c>
      <c r="F5378" s="31" t="s">
        <v>134</v>
      </c>
      <c r="G5378" s="31" t="n">
        <v>10</v>
      </c>
      <c r="H5378" s="41" t="n">
        <v>73.3</v>
      </c>
      <c r="I5378" s="31" t="s">
        <v>149</v>
      </c>
      <c r="J5378" s="31" t="n">
        <v>3</v>
      </c>
      <c r="K5378" s="31" t="s">
        <v>150</v>
      </c>
      <c r="L5378" s="45" t="n">
        <f aca="false">DATE(YEAR(B5378),MONTH(B5378),1)</f>
        <v>46266</v>
      </c>
      <c r="M5378" s="31" t="n">
        <f aca="false">WEEKDAY(B5378,2)</f>
        <v>5</v>
      </c>
      <c r="N5378" s="31" t="str">
        <f aca="false">IF(G5378&lt;=INDEX(Assumptions!$B$15:$B$18,MATCH(E5378,Assumptions!$A$15:$A$18,0)),"Yes","No")</f>
        <v>Yes</v>
      </c>
      <c r="O5378" s="31" t="str">
        <f aca="false">IF(H5378="","Open",IF(H5378&lt;=INDEX(Assumptions!$C$15:$C$18,MATCH(E5378,Assumptions!$A$15:$A$18,0)),"Yes","No"))</f>
        <v>No</v>
      </c>
    </row>
    <row r="5379" customFormat="false" ht="15" hidden="false" customHeight="false" outlineLevel="0" collapsed="false">
      <c r="A5379" s="31" t="s">
        <v>5529</v>
      </c>
      <c r="B5379" s="44" t="n">
        <v>46276</v>
      </c>
      <c r="C5379" s="31" t="s">
        <v>58</v>
      </c>
      <c r="D5379" s="31" t="s">
        <v>67</v>
      </c>
      <c r="E5379" s="31" t="s">
        <v>50</v>
      </c>
      <c r="F5379" s="31" t="s">
        <v>130</v>
      </c>
      <c r="G5379" s="31" t="n">
        <v>5</v>
      </c>
      <c r="H5379" s="41" t="n">
        <v>27.1</v>
      </c>
      <c r="I5379" s="31" t="s">
        <v>149</v>
      </c>
      <c r="J5379" s="31"/>
      <c r="K5379" s="31" t="s">
        <v>150</v>
      </c>
      <c r="L5379" s="45" t="n">
        <f aca="false">DATE(YEAR(B5379),MONTH(B5379),1)</f>
        <v>46266</v>
      </c>
      <c r="M5379" s="31" t="n">
        <f aca="false">WEEKDAY(B5379,2)</f>
        <v>5</v>
      </c>
      <c r="N5379" s="31" t="str">
        <f aca="false">IF(G5379&lt;=INDEX(Assumptions!$B$15:$B$18,MATCH(E5379,Assumptions!$A$15:$A$18,0)),"Yes","No")</f>
        <v>Yes</v>
      </c>
      <c r="O5379" s="31" t="str">
        <f aca="false">IF(H5379="","Open",IF(H5379&lt;=INDEX(Assumptions!$C$15:$C$18,MATCH(E5379,Assumptions!$A$15:$A$18,0)),"Yes","No"))</f>
        <v>No</v>
      </c>
    </row>
    <row r="5380" customFormat="false" ht="15" hidden="false" customHeight="false" outlineLevel="0" collapsed="false">
      <c r="A5380" s="31" t="s">
        <v>5530</v>
      </c>
      <c r="B5380" s="44" t="n">
        <v>46276</v>
      </c>
      <c r="C5380" s="31" t="s">
        <v>57</v>
      </c>
      <c r="D5380" s="31" t="s">
        <v>65</v>
      </c>
      <c r="E5380" s="31" t="s">
        <v>51</v>
      </c>
      <c r="F5380" s="31" t="s">
        <v>117</v>
      </c>
      <c r="G5380" s="31" t="n">
        <v>1</v>
      </c>
      <c r="H5380" s="41" t="n">
        <v>20</v>
      </c>
      <c r="I5380" s="31" t="s">
        <v>149</v>
      </c>
      <c r="J5380" s="31"/>
      <c r="K5380" s="31" t="s">
        <v>150</v>
      </c>
      <c r="L5380" s="45" t="n">
        <f aca="false">DATE(YEAR(B5380),MONTH(B5380),1)</f>
        <v>46266</v>
      </c>
      <c r="M5380" s="31" t="n">
        <f aca="false">WEEKDAY(B5380,2)</f>
        <v>5</v>
      </c>
      <c r="N5380" s="31" t="str">
        <f aca="false">IF(G5380&lt;=INDEX(Assumptions!$B$15:$B$18,MATCH(E5380,Assumptions!$A$15:$A$18,0)),"Yes","No")</f>
        <v>Yes</v>
      </c>
      <c r="O5380" s="31" t="str">
        <f aca="false">IF(H5380="","Open",IF(H5380&lt;=INDEX(Assumptions!$C$15:$C$18,MATCH(E5380,Assumptions!$A$15:$A$18,0)),"Yes","No"))</f>
        <v>Yes</v>
      </c>
    </row>
    <row r="5381" customFormat="false" ht="15" hidden="false" customHeight="false" outlineLevel="0" collapsed="false">
      <c r="A5381" s="31" t="s">
        <v>5531</v>
      </c>
      <c r="B5381" s="44" t="n">
        <v>46276</v>
      </c>
      <c r="C5381" s="31" t="s">
        <v>59</v>
      </c>
      <c r="D5381" s="31" t="s">
        <v>65</v>
      </c>
      <c r="E5381" s="31" t="s">
        <v>50</v>
      </c>
      <c r="F5381" s="31" t="s">
        <v>128</v>
      </c>
      <c r="G5381" s="31" t="n">
        <v>189</v>
      </c>
      <c r="H5381" s="41" t="n">
        <v>8.6</v>
      </c>
      <c r="I5381" s="31" t="s">
        <v>149</v>
      </c>
      <c r="J5381" s="31" t="n">
        <v>2</v>
      </c>
      <c r="K5381" s="31" t="s">
        <v>150</v>
      </c>
      <c r="L5381" s="45" t="n">
        <f aca="false">DATE(YEAR(B5381),MONTH(B5381),1)</f>
        <v>46266</v>
      </c>
      <c r="M5381" s="31" t="n">
        <f aca="false">WEEKDAY(B5381,2)</f>
        <v>5</v>
      </c>
      <c r="N5381" s="31" t="str">
        <f aca="false">IF(G5381&lt;=INDEX(Assumptions!$B$15:$B$18,MATCH(E5381,Assumptions!$A$15:$A$18,0)),"Yes","No")</f>
        <v>No</v>
      </c>
      <c r="O5381" s="31" t="str">
        <f aca="false">IF(H5381="","Open",IF(H5381&lt;=INDEX(Assumptions!$C$15:$C$18,MATCH(E5381,Assumptions!$A$15:$A$18,0)),"Yes","No"))</f>
        <v>No</v>
      </c>
    </row>
    <row r="5382" customFormat="false" ht="15" hidden="false" customHeight="false" outlineLevel="0" collapsed="false">
      <c r="A5382" s="31" t="s">
        <v>5532</v>
      </c>
      <c r="B5382" s="44" t="n">
        <v>46276</v>
      </c>
      <c r="C5382" s="31" t="s">
        <v>58</v>
      </c>
      <c r="D5382" s="31" t="s">
        <v>67</v>
      </c>
      <c r="E5382" s="31" t="s">
        <v>51</v>
      </c>
      <c r="F5382" s="31" t="s">
        <v>131</v>
      </c>
      <c r="G5382" s="31" t="n">
        <v>13</v>
      </c>
      <c r="H5382" s="41" t="n">
        <v>2.9</v>
      </c>
      <c r="I5382" s="31" t="s">
        <v>149</v>
      </c>
      <c r="J5382" s="31" t="n">
        <v>5</v>
      </c>
      <c r="K5382" s="31" t="s">
        <v>150</v>
      </c>
      <c r="L5382" s="45" t="n">
        <f aca="false">DATE(YEAR(B5382),MONTH(B5382),1)</f>
        <v>46266</v>
      </c>
      <c r="M5382" s="31" t="n">
        <f aca="false">WEEKDAY(B5382,2)</f>
        <v>5</v>
      </c>
      <c r="N5382" s="31" t="str">
        <f aca="false">IF(G5382&lt;=INDEX(Assumptions!$B$15:$B$18,MATCH(E5382,Assumptions!$A$15:$A$18,0)),"Yes","No")</f>
        <v>Yes</v>
      </c>
      <c r="O5382" s="31" t="str">
        <f aca="false">IF(H5382="","Open",IF(H5382&lt;=INDEX(Assumptions!$C$15:$C$18,MATCH(E5382,Assumptions!$A$15:$A$18,0)),"Yes","No"))</f>
        <v>Yes</v>
      </c>
    </row>
    <row r="5383" customFormat="false" ht="15" hidden="false" customHeight="false" outlineLevel="0" collapsed="false">
      <c r="A5383" s="31" t="s">
        <v>5533</v>
      </c>
      <c r="B5383" s="44" t="n">
        <v>46276</v>
      </c>
      <c r="C5383" s="31" t="s">
        <v>60</v>
      </c>
      <c r="D5383" s="31" t="s">
        <v>69</v>
      </c>
      <c r="E5383" s="31" t="s">
        <v>51</v>
      </c>
      <c r="F5383" s="31" t="s">
        <v>134</v>
      </c>
      <c r="G5383" s="31" t="n">
        <v>4</v>
      </c>
      <c r="H5383" s="41" t="n">
        <v>159.2</v>
      </c>
      <c r="I5383" s="31" t="s">
        <v>149</v>
      </c>
      <c r="J5383" s="31"/>
      <c r="K5383" s="31" t="s">
        <v>150</v>
      </c>
      <c r="L5383" s="45" t="n">
        <f aca="false">DATE(YEAR(B5383),MONTH(B5383),1)</f>
        <v>46266</v>
      </c>
      <c r="M5383" s="31" t="n">
        <f aca="false">WEEKDAY(B5383,2)</f>
        <v>5</v>
      </c>
      <c r="N5383" s="31" t="str">
        <f aca="false">IF(G5383&lt;=INDEX(Assumptions!$B$15:$B$18,MATCH(E5383,Assumptions!$A$15:$A$18,0)),"Yes","No")</f>
        <v>Yes</v>
      </c>
      <c r="O5383" s="31" t="str">
        <f aca="false">IF(H5383="","Open",IF(H5383&lt;=INDEX(Assumptions!$C$15:$C$18,MATCH(E5383,Assumptions!$A$15:$A$18,0)),"Yes","No"))</f>
        <v>No</v>
      </c>
    </row>
    <row r="5384" customFormat="false" ht="15" hidden="false" customHeight="false" outlineLevel="0" collapsed="false">
      <c r="A5384" s="31" t="s">
        <v>5534</v>
      </c>
      <c r="B5384" s="44" t="n">
        <v>46276</v>
      </c>
      <c r="C5384" s="31" t="s">
        <v>60</v>
      </c>
      <c r="D5384" s="31" t="s">
        <v>66</v>
      </c>
      <c r="E5384" s="31" t="s">
        <v>51</v>
      </c>
      <c r="F5384" s="31" t="s">
        <v>133</v>
      </c>
      <c r="G5384" s="31" t="n">
        <v>3</v>
      </c>
      <c r="H5384" s="41" t="n">
        <v>2.3</v>
      </c>
      <c r="I5384" s="31" t="s">
        <v>149</v>
      </c>
      <c r="J5384" s="31" t="n">
        <v>4</v>
      </c>
      <c r="K5384" s="31" t="s">
        <v>150</v>
      </c>
      <c r="L5384" s="45" t="n">
        <f aca="false">DATE(YEAR(B5384),MONTH(B5384),1)</f>
        <v>46266</v>
      </c>
      <c r="M5384" s="31" t="n">
        <f aca="false">WEEKDAY(B5384,2)</f>
        <v>5</v>
      </c>
      <c r="N5384" s="31" t="str">
        <f aca="false">IF(G5384&lt;=INDEX(Assumptions!$B$15:$B$18,MATCH(E5384,Assumptions!$A$15:$A$18,0)),"Yes","No")</f>
        <v>Yes</v>
      </c>
      <c r="O5384" s="31" t="str">
        <f aca="false">IF(H5384="","Open",IF(H5384&lt;=INDEX(Assumptions!$C$15:$C$18,MATCH(E5384,Assumptions!$A$15:$A$18,0)),"Yes","No"))</f>
        <v>Yes</v>
      </c>
    </row>
    <row r="5385" customFormat="false" ht="15" hidden="false" customHeight="false" outlineLevel="0" collapsed="false">
      <c r="A5385" s="31" t="s">
        <v>5535</v>
      </c>
      <c r="B5385" s="44" t="n">
        <v>46276</v>
      </c>
      <c r="C5385" s="31" t="s">
        <v>59</v>
      </c>
      <c r="D5385" s="31" t="s">
        <v>65</v>
      </c>
      <c r="E5385" s="31" t="s">
        <v>50</v>
      </c>
      <c r="F5385" s="31" t="s">
        <v>122</v>
      </c>
      <c r="G5385" s="31" t="n">
        <v>43</v>
      </c>
      <c r="H5385" s="41" t="n">
        <v>3.2</v>
      </c>
      <c r="I5385" s="31" t="s">
        <v>149</v>
      </c>
      <c r="J5385" s="31"/>
      <c r="K5385" s="31" t="s">
        <v>153</v>
      </c>
      <c r="L5385" s="45" t="n">
        <f aca="false">DATE(YEAR(B5385),MONTH(B5385),1)</f>
        <v>46266</v>
      </c>
      <c r="M5385" s="31" t="n">
        <f aca="false">WEEKDAY(B5385,2)</f>
        <v>5</v>
      </c>
      <c r="N5385" s="31" t="str">
        <f aca="false">IF(G5385&lt;=INDEX(Assumptions!$B$15:$B$18,MATCH(E5385,Assumptions!$A$15:$A$18,0)),"Yes","No")</f>
        <v>No</v>
      </c>
      <c r="O5385" s="31" t="str">
        <f aca="false">IF(H5385="","Open",IF(H5385&lt;=INDEX(Assumptions!$C$15:$C$18,MATCH(E5385,Assumptions!$A$15:$A$18,0)),"Yes","No"))</f>
        <v>Yes</v>
      </c>
    </row>
    <row r="5386" customFormat="false" ht="15" hidden="false" customHeight="false" outlineLevel="0" collapsed="false">
      <c r="A5386" s="31" t="s">
        <v>5536</v>
      </c>
      <c r="B5386" s="44" t="n">
        <v>46276</v>
      </c>
      <c r="C5386" s="31" t="s">
        <v>58</v>
      </c>
      <c r="D5386" s="31" t="s">
        <v>65</v>
      </c>
      <c r="E5386" s="31" t="s">
        <v>52</v>
      </c>
      <c r="F5386" s="31" t="s">
        <v>128</v>
      </c>
      <c r="G5386" s="31" t="n">
        <v>15</v>
      </c>
      <c r="H5386" s="41" t="n">
        <v>9.9</v>
      </c>
      <c r="I5386" s="31" t="s">
        <v>149</v>
      </c>
      <c r="J5386" s="31" t="n">
        <v>4</v>
      </c>
      <c r="K5386" s="31" t="s">
        <v>150</v>
      </c>
      <c r="L5386" s="45" t="n">
        <f aca="false">DATE(YEAR(B5386),MONTH(B5386),1)</f>
        <v>46266</v>
      </c>
      <c r="M5386" s="31" t="n">
        <f aca="false">WEEKDAY(B5386,2)</f>
        <v>5</v>
      </c>
      <c r="N5386" s="31" t="str">
        <f aca="false">IF(G5386&lt;=INDEX(Assumptions!$B$15:$B$18,MATCH(E5386,Assumptions!$A$15:$A$18,0)),"Yes","No")</f>
        <v>Yes</v>
      </c>
      <c r="O5386" s="31" t="str">
        <f aca="false">IF(H5386="","Open",IF(H5386&lt;=INDEX(Assumptions!$C$15:$C$18,MATCH(E5386,Assumptions!$A$15:$A$18,0)),"Yes","No"))</f>
        <v>Yes</v>
      </c>
    </row>
    <row r="5387" customFormat="false" ht="15" hidden="false" customHeight="false" outlineLevel="0" collapsed="false">
      <c r="A5387" s="31" t="s">
        <v>5537</v>
      </c>
      <c r="B5387" s="44" t="n">
        <v>46276</v>
      </c>
      <c r="C5387" s="31" t="s">
        <v>60</v>
      </c>
      <c r="D5387" s="31" t="s">
        <v>67</v>
      </c>
      <c r="E5387" s="31" t="s">
        <v>50</v>
      </c>
      <c r="F5387" s="31" t="s">
        <v>133</v>
      </c>
      <c r="G5387" s="31" t="n">
        <v>3</v>
      </c>
      <c r="H5387" s="41" t="n">
        <v>5</v>
      </c>
      <c r="I5387" s="31" t="s">
        <v>149</v>
      </c>
      <c r="J5387" s="31" t="n">
        <v>4</v>
      </c>
      <c r="K5387" s="31" t="s">
        <v>150</v>
      </c>
      <c r="L5387" s="45" t="n">
        <f aca="false">DATE(YEAR(B5387),MONTH(B5387),1)</f>
        <v>46266</v>
      </c>
      <c r="M5387" s="31" t="n">
        <f aca="false">WEEKDAY(B5387,2)</f>
        <v>5</v>
      </c>
      <c r="N5387" s="31" t="str">
        <f aca="false">IF(G5387&lt;=INDEX(Assumptions!$B$15:$B$18,MATCH(E5387,Assumptions!$A$15:$A$18,0)),"Yes","No")</f>
        <v>Yes</v>
      </c>
      <c r="O5387" s="31" t="str">
        <f aca="false">IF(H5387="","Open",IF(H5387&lt;=INDEX(Assumptions!$C$15:$C$18,MATCH(E5387,Assumptions!$A$15:$A$18,0)),"Yes","No"))</f>
        <v>Yes</v>
      </c>
    </row>
    <row r="5388" customFormat="false" ht="15" hidden="false" customHeight="false" outlineLevel="0" collapsed="false">
      <c r="A5388" s="31" t="s">
        <v>5538</v>
      </c>
      <c r="B5388" s="44" t="n">
        <v>46276</v>
      </c>
      <c r="C5388" s="31" t="s">
        <v>57</v>
      </c>
      <c r="D5388" s="31" t="s">
        <v>65</v>
      </c>
      <c r="E5388" s="31" t="s">
        <v>50</v>
      </c>
      <c r="F5388" s="31" t="s">
        <v>122</v>
      </c>
      <c r="G5388" s="31" t="n">
        <v>5</v>
      </c>
      <c r="H5388" s="41" t="n">
        <v>1.7</v>
      </c>
      <c r="I5388" s="31" t="s">
        <v>149</v>
      </c>
      <c r="J5388" s="31"/>
      <c r="K5388" s="31" t="s">
        <v>150</v>
      </c>
      <c r="L5388" s="45" t="n">
        <f aca="false">DATE(YEAR(B5388),MONTH(B5388),1)</f>
        <v>46266</v>
      </c>
      <c r="M5388" s="31" t="n">
        <f aca="false">WEEKDAY(B5388,2)</f>
        <v>5</v>
      </c>
      <c r="N5388" s="31" t="str">
        <f aca="false">IF(G5388&lt;=INDEX(Assumptions!$B$15:$B$18,MATCH(E5388,Assumptions!$A$15:$A$18,0)),"Yes","No")</f>
        <v>Yes</v>
      </c>
      <c r="O5388" s="31" t="str">
        <f aca="false">IF(H5388="","Open",IF(H5388&lt;=INDEX(Assumptions!$C$15:$C$18,MATCH(E5388,Assumptions!$A$15:$A$18,0)),"Yes","No"))</f>
        <v>Yes</v>
      </c>
    </row>
    <row r="5389" customFormat="false" ht="15" hidden="false" customHeight="false" outlineLevel="0" collapsed="false">
      <c r="A5389" s="31" t="s">
        <v>5539</v>
      </c>
      <c r="B5389" s="44" t="n">
        <v>46276</v>
      </c>
      <c r="C5389" s="31" t="s">
        <v>57</v>
      </c>
      <c r="D5389" s="31" t="s">
        <v>68</v>
      </c>
      <c r="E5389" s="31" t="s">
        <v>51</v>
      </c>
      <c r="F5389" s="31" t="s">
        <v>129</v>
      </c>
      <c r="G5389" s="31" t="n">
        <v>1</v>
      </c>
      <c r="H5389" s="41" t="n">
        <v>1.7</v>
      </c>
      <c r="I5389" s="31" t="s">
        <v>149</v>
      </c>
      <c r="J5389" s="31"/>
      <c r="K5389" s="31" t="s">
        <v>150</v>
      </c>
      <c r="L5389" s="45" t="n">
        <f aca="false">DATE(YEAR(B5389),MONTH(B5389),1)</f>
        <v>46266</v>
      </c>
      <c r="M5389" s="31" t="n">
        <f aca="false">WEEKDAY(B5389,2)</f>
        <v>5</v>
      </c>
      <c r="N5389" s="31" t="str">
        <f aca="false">IF(G5389&lt;=INDEX(Assumptions!$B$15:$B$18,MATCH(E5389,Assumptions!$A$15:$A$18,0)),"Yes","No")</f>
        <v>Yes</v>
      </c>
      <c r="O5389" s="31" t="str">
        <f aca="false">IF(H5389="","Open",IF(H5389&lt;=INDEX(Assumptions!$C$15:$C$18,MATCH(E5389,Assumptions!$A$15:$A$18,0)),"Yes","No"))</f>
        <v>Yes</v>
      </c>
    </row>
    <row r="5390" customFormat="false" ht="15" hidden="false" customHeight="false" outlineLevel="0" collapsed="false">
      <c r="A5390" s="31" t="s">
        <v>5540</v>
      </c>
      <c r="B5390" s="44" t="n">
        <v>46276</v>
      </c>
      <c r="C5390" s="31" t="s">
        <v>60</v>
      </c>
      <c r="D5390" s="31" t="s">
        <v>68</v>
      </c>
      <c r="E5390" s="31" t="s">
        <v>51</v>
      </c>
      <c r="F5390" s="31" t="s">
        <v>137</v>
      </c>
      <c r="G5390" s="31" t="n">
        <v>2</v>
      </c>
      <c r="H5390" s="41" t="n">
        <v>7.3</v>
      </c>
      <c r="I5390" s="31" t="s">
        <v>149</v>
      </c>
      <c r="J5390" s="31" t="n">
        <v>5</v>
      </c>
      <c r="K5390" s="31" t="s">
        <v>150</v>
      </c>
      <c r="L5390" s="45" t="n">
        <f aca="false">DATE(YEAR(B5390),MONTH(B5390),1)</f>
        <v>46266</v>
      </c>
      <c r="M5390" s="31" t="n">
        <f aca="false">WEEKDAY(B5390,2)</f>
        <v>5</v>
      </c>
      <c r="N5390" s="31" t="str">
        <f aca="false">IF(G5390&lt;=INDEX(Assumptions!$B$15:$B$18,MATCH(E5390,Assumptions!$A$15:$A$18,0)),"Yes","No")</f>
        <v>Yes</v>
      </c>
      <c r="O5390" s="31" t="str">
        <f aca="false">IF(H5390="","Open",IF(H5390&lt;=INDEX(Assumptions!$C$15:$C$18,MATCH(E5390,Assumptions!$A$15:$A$18,0)),"Yes","No"))</f>
        <v>Yes</v>
      </c>
    </row>
    <row r="5391" customFormat="false" ht="15" hidden="false" customHeight="false" outlineLevel="0" collapsed="false">
      <c r="A5391" s="31" t="s">
        <v>5541</v>
      </c>
      <c r="B5391" s="44" t="n">
        <v>46276</v>
      </c>
      <c r="C5391" s="31" t="s">
        <v>59</v>
      </c>
      <c r="D5391" s="31" t="s">
        <v>65</v>
      </c>
      <c r="E5391" s="31" t="s">
        <v>51</v>
      </c>
      <c r="F5391" s="31" t="s">
        <v>121</v>
      </c>
      <c r="G5391" s="31" t="n">
        <v>188</v>
      </c>
      <c r="H5391" s="41" t="n">
        <v>8</v>
      </c>
      <c r="I5391" s="31" t="s">
        <v>149</v>
      </c>
      <c r="J5391" s="31" t="n">
        <v>4</v>
      </c>
      <c r="K5391" s="31" t="s">
        <v>150</v>
      </c>
      <c r="L5391" s="45" t="n">
        <f aca="false">DATE(YEAR(B5391),MONTH(B5391),1)</f>
        <v>46266</v>
      </c>
      <c r="M5391" s="31" t="n">
        <f aca="false">WEEKDAY(B5391,2)</f>
        <v>5</v>
      </c>
      <c r="N5391" s="31" t="str">
        <f aca="false">IF(G5391&lt;=INDEX(Assumptions!$B$15:$B$18,MATCH(E5391,Assumptions!$A$15:$A$18,0)),"Yes","No")</f>
        <v>No</v>
      </c>
      <c r="O5391" s="31" t="str">
        <f aca="false">IF(H5391="","Open",IF(H5391&lt;=INDEX(Assumptions!$C$15:$C$18,MATCH(E5391,Assumptions!$A$15:$A$18,0)),"Yes","No"))</f>
        <v>Yes</v>
      </c>
    </row>
    <row r="5392" customFormat="false" ht="15" hidden="false" customHeight="false" outlineLevel="0" collapsed="false">
      <c r="A5392" s="31" t="s">
        <v>5542</v>
      </c>
      <c r="B5392" s="44" t="n">
        <v>46276</v>
      </c>
      <c r="C5392" s="31" t="s">
        <v>59</v>
      </c>
      <c r="D5392" s="31" t="s">
        <v>69</v>
      </c>
      <c r="E5392" s="31" t="s">
        <v>51</v>
      </c>
      <c r="F5392" s="31" t="s">
        <v>124</v>
      </c>
      <c r="G5392" s="31" t="n">
        <v>46</v>
      </c>
      <c r="H5392" s="41" t="n">
        <v>23.1</v>
      </c>
      <c r="I5392" s="31" t="s">
        <v>149</v>
      </c>
      <c r="J5392" s="31"/>
      <c r="K5392" s="31" t="s">
        <v>150</v>
      </c>
      <c r="L5392" s="45" t="n">
        <f aca="false">DATE(YEAR(B5392),MONTH(B5392),1)</f>
        <v>46266</v>
      </c>
      <c r="M5392" s="31" t="n">
        <f aca="false">WEEKDAY(B5392,2)</f>
        <v>5</v>
      </c>
      <c r="N5392" s="31" t="str">
        <f aca="false">IF(G5392&lt;=INDEX(Assumptions!$B$15:$B$18,MATCH(E5392,Assumptions!$A$15:$A$18,0)),"Yes","No")</f>
        <v>Yes</v>
      </c>
      <c r="O5392" s="31" t="str">
        <f aca="false">IF(H5392="","Open",IF(H5392&lt;=INDEX(Assumptions!$C$15:$C$18,MATCH(E5392,Assumptions!$A$15:$A$18,0)),"Yes","No"))</f>
        <v>Yes</v>
      </c>
    </row>
    <row r="5393" customFormat="false" ht="15" hidden="false" customHeight="false" outlineLevel="0" collapsed="false">
      <c r="A5393" s="31" t="s">
        <v>5543</v>
      </c>
      <c r="B5393" s="44" t="n">
        <v>46276</v>
      </c>
      <c r="C5393" s="31" t="s">
        <v>58</v>
      </c>
      <c r="D5393" s="31" t="s">
        <v>68</v>
      </c>
      <c r="E5393" s="31" t="s">
        <v>49</v>
      </c>
      <c r="F5393" s="31" t="s">
        <v>120</v>
      </c>
      <c r="G5393" s="31" t="n">
        <v>5</v>
      </c>
      <c r="H5393" s="41" t="n">
        <v>2.3</v>
      </c>
      <c r="I5393" s="31" t="s">
        <v>149</v>
      </c>
      <c r="J5393" s="31"/>
      <c r="K5393" s="31" t="s">
        <v>150</v>
      </c>
      <c r="L5393" s="45" t="n">
        <f aca="false">DATE(YEAR(B5393),MONTH(B5393),1)</f>
        <v>46266</v>
      </c>
      <c r="M5393" s="31" t="n">
        <f aca="false">WEEKDAY(B5393,2)</f>
        <v>5</v>
      </c>
      <c r="N5393" s="31" t="str">
        <f aca="false">IF(G5393&lt;=INDEX(Assumptions!$B$15:$B$18,MATCH(E5393,Assumptions!$A$15:$A$18,0)),"Yes","No")</f>
        <v>Yes</v>
      </c>
      <c r="O5393" s="31" t="str">
        <f aca="false">IF(H5393="","Open",IF(H5393&lt;=INDEX(Assumptions!$C$15:$C$18,MATCH(E5393,Assumptions!$A$15:$A$18,0)),"Yes","No"))</f>
        <v>Yes</v>
      </c>
    </row>
    <row r="5394" customFormat="false" ht="15" hidden="false" customHeight="false" outlineLevel="0" collapsed="false">
      <c r="A5394" s="31" t="s">
        <v>5544</v>
      </c>
      <c r="B5394" s="44" t="n">
        <v>46276</v>
      </c>
      <c r="C5394" s="31" t="s">
        <v>60</v>
      </c>
      <c r="D5394" s="31" t="s">
        <v>65</v>
      </c>
      <c r="E5394" s="31" t="s">
        <v>51</v>
      </c>
      <c r="F5394" s="31" t="s">
        <v>129</v>
      </c>
      <c r="G5394" s="31" t="n">
        <v>4</v>
      </c>
      <c r="H5394" s="41" t="n">
        <v>11.7</v>
      </c>
      <c r="I5394" s="31" t="s">
        <v>149</v>
      </c>
      <c r="J5394" s="31"/>
      <c r="K5394" s="31" t="s">
        <v>150</v>
      </c>
      <c r="L5394" s="45" t="n">
        <f aca="false">DATE(YEAR(B5394),MONTH(B5394),1)</f>
        <v>46266</v>
      </c>
      <c r="M5394" s="31" t="n">
        <f aca="false">WEEKDAY(B5394,2)</f>
        <v>5</v>
      </c>
      <c r="N5394" s="31" t="str">
        <f aca="false">IF(G5394&lt;=INDEX(Assumptions!$B$15:$B$18,MATCH(E5394,Assumptions!$A$15:$A$18,0)),"Yes","No")</f>
        <v>Yes</v>
      </c>
      <c r="O5394" s="31" t="str">
        <f aca="false">IF(H5394="","Open",IF(H5394&lt;=INDEX(Assumptions!$C$15:$C$18,MATCH(E5394,Assumptions!$A$15:$A$18,0)),"Yes","No"))</f>
        <v>Yes</v>
      </c>
    </row>
    <row r="5395" customFormat="false" ht="15" hidden="false" customHeight="false" outlineLevel="0" collapsed="false">
      <c r="A5395" s="31" t="s">
        <v>5545</v>
      </c>
      <c r="B5395" s="44" t="n">
        <v>46276</v>
      </c>
      <c r="C5395" s="31" t="s">
        <v>58</v>
      </c>
      <c r="D5395" s="31" t="s">
        <v>65</v>
      </c>
      <c r="E5395" s="31" t="s">
        <v>49</v>
      </c>
      <c r="F5395" s="31" t="s">
        <v>131</v>
      </c>
      <c r="G5395" s="31" t="n">
        <v>4</v>
      </c>
      <c r="H5395" s="41" t="n">
        <v>11</v>
      </c>
      <c r="I5395" s="31" t="s">
        <v>149</v>
      </c>
      <c r="J5395" s="31" t="n">
        <v>3</v>
      </c>
      <c r="K5395" s="31" t="s">
        <v>150</v>
      </c>
      <c r="L5395" s="45" t="n">
        <f aca="false">DATE(YEAR(B5395),MONTH(B5395),1)</f>
        <v>46266</v>
      </c>
      <c r="M5395" s="31" t="n">
        <f aca="false">WEEKDAY(B5395,2)</f>
        <v>5</v>
      </c>
      <c r="N5395" s="31" t="str">
        <f aca="false">IF(G5395&lt;=INDEX(Assumptions!$B$15:$B$18,MATCH(E5395,Assumptions!$A$15:$A$18,0)),"Yes","No")</f>
        <v>Yes</v>
      </c>
      <c r="O5395" s="31" t="str">
        <f aca="false">IF(H5395="","Open",IF(H5395&lt;=INDEX(Assumptions!$C$15:$C$18,MATCH(E5395,Assumptions!$A$15:$A$18,0)),"Yes","No"))</f>
        <v>No</v>
      </c>
    </row>
    <row r="5396" customFormat="false" ht="15" hidden="false" customHeight="false" outlineLevel="0" collapsed="false">
      <c r="A5396" s="31" t="s">
        <v>5546</v>
      </c>
      <c r="B5396" s="44" t="n">
        <v>46276</v>
      </c>
      <c r="C5396" s="31" t="s">
        <v>57</v>
      </c>
      <c r="D5396" s="31" t="s">
        <v>67</v>
      </c>
      <c r="E5396" s="31" t="s">
        <v>51</v>
      </c>
      <c r="F5396" s="31" t="s">
        <v>121</v>
      </c>
      <c r="G5396" s="31" t="n">
        <v>11</v>
      </c>
      <c r="H5396" s="41" t="n">
        <v>18.7</v>
      </c>
      <c r="I5396" s="31" t="s">
        <v>149</v>
      </c>
      <c r="J5396" s="31" t="n">
        <v>4</v>
      </c>
      <c r="K5396" s="31" t="s">
        <v>150</v>
      </c>
      <c r="L5396" s="45" t="n">
        <f aca="false">DATE(YEAR(B5396),MONTH(B5396),1)</f>
        <v>46266</v>
      </c>
      <c r="M5396" s="31" t="n">
        <f aca="false">WEEKDAY(B5396,2)</f>
        <v>5</v>
      </c>
      <c r="N5396" s="31" t="str">
        <f aca="false">IF(G5396&lt;=INDEX(Assumptions!$B$15:$B$18,MATCH(E5396,Assumptions!$A$15:$A$18,0)),"Yes","No")</f>
        <v>Yes</v>
      </c>
      <c r="O5396" s="31" t="str">
        <f aca="false">IF(H5396="","Open",IF(H5396&lt;=INDEX(Assumptions!$C$15:$C$18,MATCH(E5396,Assumptions!$A$15:$A$18,0)),"Yes","No"))</f>
        <v>Yes</v>
      </c>
    </row>
    <row r="5397" customFormat="false" ht="15" hidden="false" customHeight="false" outlineLevel="0" collapsed="false">
      <c r="A5397" s="31" t="s">
        <v>5547</v>
      </c>
      <c r="B5397" s="44" t="n">
        <v>46276</v>
      </c>
      <c r="C5397" s="31" t="s">
        <v>57</v>
      </c>
      <c r="D5397" s="31" t="s">
        <v>65</v>
      </c>
      <c r="E5397" s="31" t="s">
        <v>52</v>
      </c>
      <c r="F5397" s="31" t="s">
        <v>122</v>
      </c>
      <c r="G5397" s="31" t="n">
        <v>3</v>
      </c>
      <c r="H5397" s="41" t="n">
        <v>18</v>
      </c>
      <c r="I5397" s="31" t="s">
        <v>149</v>
      </c>
      <c r="J5397" s="31"/>
      <c r="K5397" s="31" t="s">
        <v>150</v>
      </c>
      <c r="L5397" s="45" t="n">
        <f aca="false">DATE(YEAR(B5397),MONTH(B5397),1)</f>
        <v>46266</v>
      </c>
      <c r="M5397" s="31" t="n">
        <f aca="false">WEEKDAY(B5397,2)</f>
        <v>5</v>
      </c>
      <c r="N5397" s="31" t="str">
        <f aca="false">IF(G5397&lt;=INDEX(Assumptions!$B$15:$B$18,MATCH(E5397,Assumptions!$A$15:$A$18,0)),"Yes","No")</f>
        <v>Yes</v>
      </c>
      <c r="O5397" s="31" t="str">
        <f aca="false">IF(H5397="","Open",IF(H5397&lt;=INDEX(Assumptions!$C$15:$C$18,MATCH(E5397,Assumptions!$A$15:$A$18,0)),"Yes","No"))</f>
        <v>Yes</v>
      </c>
    </row>
    <row r="5398" customFormat="false" ht="15" hidden="false" customHeight="false" outlineLevel="0" collapsed="false">
      <c r="A5398" s="31" t="s">
        <v>5548</v>
      </c>
      <c r="B5398" s="44" t="n">
        <v>46276</v>
      </c>
      <c r="C5398" s="31" t="s">
        <v>57</v>
      </c>
      <c r="D5398" s="31" t="s">
        <v>69</v>
      </c>
      <c r="E5398" s="31" t="s">
        <v>51</v>
      </c>
      <c r="F5398" s="31" t="s">
        <v>121</v>
      </c>
      <c r="G5398" s="31" t="n">
        <v>3</v>
      </c>
      <c r="H5398" s="41" t="n">
        <v>57.8</v>
      </c>
      <c r="I5398" s="31" t="s">
        <v>149</v>
      </c>
      <c r="J5398" s="31" t="n">
        <v>3</v>
      </c>
      <c r="K5398" s="31" t="s">
        <v>150</v>
      </c>
      <c r="L5398" s="45" t="n">
        <f aca="false">DATE(YEAR(B5398),MONTH(B5398),1)</f>
        <v>46266</v>
      </c>
      <c r="M5398" s="31" t="n">
        <f aca="false">WEEKDAY(B5398,2)</f>
        <v>5</v>
      </c>
      <c r="N5398" s="31" t="str">
        <f aca="false">IF(G5398&lt;=INDEX(Assumptions!$B$15:$B$18,MATCH(E5398,Assumptions!$A$15:$A$18,0)),"Yes","No")</f>
        <v>Yes</v>
      </c>
      <c r="O5398" s="31" t="str">
        <f aca="false">IF(H5398="","Open",IF(H5398&lt;=INDEX(Assumptions!$C$15:$C$18,MATCH(E5398,Assumptions!$A$15:$A$18,0)),"Yes","No"))</f>
        <v>No</v>
      </c>
    </row>
    <row r="5399" customFormat="false" ht="15" hidden="false" customHeight="false" outlineLevel="0" collapsed="false">
      <c r="A5399" s="31" t="s">
        <v>5549</v>
      </c>
      <c r="B5399" s="44" t="n">
        <v>46276</v>
      </c>
      <c r="C5399" s="31" t="s">
        <v>57</v>
      </c>
      <c r="D5399" s="31" t="s">
        <v>66</v>
      </c>
      <c r="E5399" s="31" t="s">
        <v>49</v>
      </c>
      <c r="F5399" s="31" t="s">
        <v>119</v>
      </c>
      <c r="G5399" s="31" t="n">
        <v>3</v>
      </c>
      <c r="H5399" s="41" t="n">
        <v>11.8</v>
      </c>
      <c r="I5399" s="31" t="s">
        <v>149</v>
      </c>
      <c r="J5399" s="31" t="n">
        <v>4</v>
      </c>
      <c r="K5399" s="31" t="s">
        <v>150</v>
      </c>
      <c r="L5399" s="45" t="n">
        <f aca="false">DATE(YEAR(B5399),MONTH(B5399),1)</f>
        <v>46266</v>
      </c>
      <c r="M5399" s="31" t="n">
        <f aca="false">WEEKDAY(B5399,2)</f>
        <v>5</v>
      </c>
      <c r="N5399" s="31" t="str">
        <f aca="false">IF(G5399&lt;=INDEX(Assumptions!$B$15:$B$18,MATCH(E5399,Assumptions!$A$15:$A$18,0)),"Yes","No")</f>
        <v>Yes</v>
      </c>
      <c r="O5399" s="31" t="str">
        <f aca="false">IF(H5399="","Open",IF(H5399&lt;=INDEX(Assumptions!$C$15:$C$18,MATCH(E5399,Assumptions!$A$15:$A$18,0)),"Yes","No"))</f>
        <v>No</v>
      </c>
    </row>
    <row r="5400" customFormat="false" ht="15" hidden="false" customHeight="false" outlineLevel="0" collapsed="false">
      <c r="A5400" s="31" t="s">
        <v>5550</v>
      </c>
      <c r="B5400" s="44" t="n">
        <v>46276</v>
      </c>
      <c r="C5400" s="31" t="s">
        <v>59</v>
      </c>
      <c r="D5400" s="31" t="s">
        <v>66</v>
      </c>
      <c r="E5400" s="31" t="s">
        <v>51</v>
      </c>
      <c r="F5400" s="31" t="s">
        <v>122</v>
      </c>
      <c r="G5400" s="31" t="n">
        <v>148</v>
      </c>
      <c r="H5400" s="41" t="n">
        <v>2.9</v>
      </c>
      <c r="I5400" s="31" t="s">
        <v>149</v>
      </c>
      <c r="J5400" s="31"/>
      <c r="K5400" s="31" t="s">
        <v>150</v>
      </c>
      <c r="L5400" s="45" t="n">
        <f aca="false">DATE(YEAR(B5400),MONTH(B5400),1)</f>
        <v>46266</v>
      </c>
      <c r="M5400" s="31" t="n">
        <f aca="false">WEEKDAY(B5400,2)</f>
        <v>5</v>
      </c>
      <c r="N5400" s="31" t="str">
        <f aca="false">IF(G5400&lt;=INDEX(Assumptions!$B$15:$B$18,MATCH(E5400,Assumptions!$A$15:$A$18,0)),"Yes","No")</f>
        <v>No</v>
      </c>
      <c r="O5400" s="31" t="str">
        <f aca="false">IF(H5400="","Open",IF(H5400&lt;=INDEX(Assumptions!$C$15:$C$18,MATCH(E5400,Assumptions!$A$15:$A$18,0)),"Yes","No"))</f>
        <v>Yes</v>
      </c>
    </row>
    <row r="5401" customFormat="false" ht="15" hidden="false" customHeight="false" outlineLevel="0" collapsed="false">
      <c r="A5401" s="31" t="s">
        <v>5551</v>
      </c>
      <c r="B5401" s="44" t="n">
        <v>46276</v>
      </c>
      <c r="C5401" s="31" t="s">
        <v>60</v>
      </c>
      <c r="D5401" s="31" t="s">
        <v>69</v>
      </c>
      <c r="E5401" s="31" t="s">
        <v>52</v>
      </c>
      <c r="F5401" s="31" t="s">
        <v>129</v>
      </c>
      <c r="G5401" s="31" t="n">
        <v>3</v>
      </c>
      <c r="H5401" s="41" t="n">
        <v>22.3</v>
      </c>
      <c r="I5401" s="31" t="s">
        <v>149</v>
      </c>
      <c r="J5401" s="31" t="n">
        <v>5</v>
      </c>
      <c r="K5401" s="31" t="s">
        <v>150</v>
      </c>
      <c r="L5401" s="45" t="n">
        <f aca="false">DATE(YEAR(B5401),MONTH(B5401),1)</f>
        <v>46266</v>
      </c>
      <c r="M5401" s="31" t="n">
        <f aca="false">WEEKDAY(B5401,2)</f>
        <v>5</v>
      </c>
      <c r="N5401" s="31" t="str">
        <f aca="false">IF(G5401&lt;=INDEX(Assumptions!$B$15:$B$18,MATCH(E5401,Assumptions!$A$15:$A$18,0)),"Yes","No")</f>
        <v>Yes</v>
      </c>
      <c r="O5401" s="31" t="str">
        <f aca="false">IF(H5401="","Open",IF(H5401&lt;=INDEX(Assumptions!$C$15:$C$18,MATCH(E5401,Assumptions!$A$15:$A$18,0)),"Yes","No"))</f>
        <v>Yes</v>
      </c>
    </row>
    <row r="5402" customFormat="false" ht="15" hidden="false" customHeight="false" outlineLevel="0" collapsed="false">
      <c r="A5402" s="31" t="s">
        <v>5552</v>
      </c>
      <c r="B5402" s="44" t="n">
        <v>46276</v>
      </c>
      <c r="C5402" s="31" t="s">
        <v>59</v>
      </c>
      <c r="D5402" s="31" t="s">
        <v>68</v>
      </c>
      <c r="E5402" s="31" t="s">
        <v>50</v>
      </c>
      <c r="F5402" s="31" t="s">
        <v>123</v>
      </c>
      <c r="G5402" s="31" t="n">
        <v>6</v>
      </c>
      <c r="H5402" s="41" t="n">
        <v>2.4</v>
      </c>
      <c r="I5402" s="31" t="s">
        <v>149</v>
      </c>
      <c r="J5402" s="31" t="n">
        <v>4</v>
      </c>
      <c r="K5402" s="31" t="s">
        <v>150</v>
      </c>
      <c r="L5402" s="45" t="n">
        <f aca="false">DATE(YEAR(B5402),MONTH(B5402),1)</f>
        <v>46266</v>
      </c>
      <c r="M5402" s="31" t="n">
        <f aca="false">WEEKDAY(B5402,2)</f>
        <v>5</v>
      </c>
      <c r="N5402" s="31" t="str">
        <f aca="false">IF(G5402&lt;=INDEX(Assumptions!$B$15:$B$18,MATCH(E5402,Assumptions!$A$15:$A$18,0)),"Yes","No")</f>
        <v>Yes</v>
      </c>
      <c r="O5402" s="31" t="str">
        <f aca="false">IF(H5402="","Open",IF(H5402&lt;=INDEX(Assumptions!$C$15:$C$18,MATCH(E5402,Assumptions!$A$15:$A$18,0)),"Yes","No"))</f>
        <v>Yes</v>
      </c>
    </row>
    <row r="5403" customFormat="false" ht="15" hidden="false" customHeight="false" outlineLevel="0" collapsed="false">
      <c r="A5403" s="31" t="s">
        <v>5553</v>
      </c>
      <c r="B5403" s="44" t="n">
        <v>46276</v>
      </c>
      <c r="C5403" s="31" t="s">
        <v>57</v>
      </c>
      <c r="D5403" s="31" t="s">
        <v>67</v>
      </c>
      <c r="E5403" s="31" t="s">
        <v>50</v>
      </c>
      <c r="F5403" s="31" t="s">
        <v>124</v>
      </c>
      <c r="G5403" s="31" t="n">
        <v>3</v>
      </c>
      <c r="H5403" s="41" t="n">
        <v>13.7</v>
      </c>
      <c r="I5403" s="31" t="s">
        <v>149</v>
      </c>
      <c r="J5403" s="31" t="n">
        <v>3</v>
      </c>
      <c r="K5403" s="31" t="s">
        <v>150</v>
      </c>
      <c r="L5403" s="45" t="n">
        <f aca="false">DATE(YEAR(B5403),MONTH(B5403),1)</f>
        <v>46266</v>
      </c>
      <c r="M5403" s="31" t="n">
        <f aca="false">WEEKDAY(B5403,2)</f>
        <v>5</v>
      </c>
      <c r="N5403" s="31" t="str">
        <f aca="false">IF(G5403&lt;=INDEX(Assumptions!$B$15:$B$18,MATCH(E5403,Assumptions!$A$15:$A$18,0)),"Yes","No")</f>
        <v>Yes</v>
      </c>
      <c r="O5403" s="31" t="str">
        <f aca="false">IF(H5403="","Open",IF(H5403&lt;=INDEX(Assumptions!$C$15:$C$18,MATCH(E5403,Assumptions!$A$15:$A$18,0)),"Yes","No"))</f>
        <v>No</v>
      </c>
    </row>
    <row r="5404" customFormat="false" ht="15" hidden="false" customHeight="false" outlineLevel="0" collapsed="false">
      <c r="A5404" s="31" t="s">
        <v>5554</v>
      </c>
      <c r="B5404" s="44" t="n">
        <v>46276</v>
      </c>
      <c r="C5404" s="31" t="s">
        <v>60</v>
      </c>
      <c r="D5404" s="31" t="s">
        <v>65</v>
      </c>
      <c r="E5404" s="31" t="s">
        <v>50</v>
      </c>
      <c r="F5404" s="31" t="s">
        <v>134</v>
      </c>
      <c r="G5404" s="31" t="n">
        <v>3</v>
      </c>
      <c r="H5404" s="41" t="n">
        <v>11.1</v>
      </c>
      <c r="I5404" s="31" t="s">
        <v>149</v>
      </c>
      <c r="J5404" s="31"/>
      <c r="K5404" s="31" t="s">
        <v>150</v>
      </c>
      <c r="L5404" s="45" t="n">
        <f aca="false">DATE(YEAR(B5404),MONTH(B5404),1)</f>
        <v>46266</v>
      </c>
      <c r="M5404" s="31" t="n">
        <f aca="false">WEEKDAY(B5404,2)</f>
        <v>5</v>
      </c>
      <c r="N5404" s="31" t="str">
        <f aca="false">IF(G5404&lt;=INDEX(Assumptions!$B$15:$B$18,MATCH(E5404,Assumptions!$A$15:$A$18,0)),"Yes","No")</f>
        <v>Yes</v>
      </c>
      <c r="O5404" s="31" t="str">
        <f aca="false">IF(H5404="","Open",IF(H5404&lt;=INDEX(Assumptions!$C$15:$C$18,MATCH(E5404,Assumptions!$A$15:$A$18,0)),"Yes","No"))</f>
        <v>No</v>
      </c>
    </row>
    <row r="5405" customFormat="false" ht="15" hidden="false" customHeight="false" outlineLevel="0" collapsed="false">
      <c r="A5405" s="31" t="s">
        <v>5555</v>
      </c>
      <c r="B5405" s="44" t="n">
        <v>46276</v>
      </c>
      <c r="C5405" s="31" t="s">
        <v>57</v>
      </c>
      <c r="D5405" s="31" t="s">
        <v>67</v>
      </c>
      <c r="E5405" s="31" t="s">
        <v>52</v>
      </c>
      <c r="F5405" s="31" t="s">
        <v>123</v>
      </c>
      <c r="G5405" s="31" t="n">
        <v>7</v>
      </c>
      <c r="H5405" s="41" t="n">
        <v>34.4</v>
      </c>
      <c r="I5405" s="31" t="s">
        <v>149</v>
      </c>
      <c r="J5405" s="31" t="n">
        <v>3</v>
      </c>
      <c r="K5405" s="31" t="s">
        <v>150</v>
      </c>
      <c r="L5405" s="45" t="n">
        <f aca="false">DATE(YEAR(B5405),MONTH(B5405),1)</f>
        <v>46266</v>
      </c>
      <c r="M5405" s="31" t="n">
        <f aca="false">WEEKDAY(B5405,2)</f>
        <v>5</v>
      </c>
      <c r="N5405" s="31" t="str">
        <f aca="false">IF(G5405&lt;=INDEX(Assumptions!$B$15:$B$18,MATCH(E5405,Assumptions!$A$15:$A$18,0)),"Yes","No")</f>
        <v>Yes</v>
      </c>
      <c r="O5405" s="31" t="str">
        <f aca="false">IF(H5405="","Open",IF(H5405&lt;=INDEX(Assumptions!$C$15:$C$18,MATCH(E5405,Assumptions!$A$15:$A$18,0)),"Yes","No"))</f>
        <v>Yes</v>
      </c>
    </row>
    <row r="5406" customFormat="false" ht="15" hidden="false" customHeight="false" outlineLevel="0" collapsed="false">
      <c r="A5406" s="31" t="s">
        <v>5556</v>
      </c>
      <c r="B5406" s="44" t="n">
        <v>46276</v>
      </c>
      <c r="C5406" s="31" t="s">
        <v>58</v>
      </c>
      <c r="D5406" s="31" t="s">
        <v>68</v>
      </c>
      <c r="E5406" s="31" t="s">
        <v>51</v>
      </c>
      <c r="F5406" s="31" t="s">
        <v>121</v>
      </c>
      <c r="G5406" s="31" t="n">
        <v>13</v>
      </c>
      <c r="H5406" s="41" t="n">
        <v>3</v>
      </c>
      <c r="I5406" s="31" t="s">
        <v>149</v>
      </c>
      <c r="J5406" s="31" t="n">
        <v>4</v>
      </c>
      <c r="K5406" s="31" t="s">
        <v>153</v>
      </c>
      <c r="L5406" s="45" t="n">
        <f aca="false">DATE(YEAR(B5406),MONTH(B5406),1)</f>
        <v>46266</v>
      </c>
      <c r="M5406" s="31" t="n">
        <f aca="false">WEEKDAY(B5406,2)</f>
        <v>5</v>
      </c>
      <c r="N5406" s="31" t="str">
        <f aca="false">IF(G5406&lt;=INDEX(Assumptions!$B$15:$B$18,MATCH(E5406,Assumptions!$A$15:$A$18,0)),"Yes","No")</f>
        <v>Yes</v>
      </c>
      <c r="O5406" s="31" t="str">
        <f aca="false">IF(H5406="","Open",IF(H5406&lt;=INDEX(Assumptions!$C$15:$C$18,MATCH(E5406,Assumptions!$A$15:$A$18,0)),"Yes","No"))</f>
        <v>Yes</v>
      </c>
    </row>
    <row r="5407" customFormat="false" ht="15" hidden="false" customHeight="false" outlineLevel="0" collapsed="false">
      <c r="A5407" s="31" t="s">
        <v>5557</v>
      </c>
      <c r="B5407" s="44" t="n">
        <v>46276</v>
      </c>
      <c r="C5407" s="31" t="s">
        <v>59</v>
      </c>
      <c r="D5407" s="31" t="s">
        <v>67</v>
      </c>
      <c r="E5407" s="31" t="s">
        <v>51</v>
      </c>
      <c r="F5407" s="31" t="s">
        <v>117</v>
      </c>
      <c r="G5407" s="31" t="n">
        <v>45</v>
      </c>
      <c r="H5407" s="41" t="n">
        <v>35.9</v>
      </c>
      <c r="I5407" s="31" t="s">
        <v>64</v>
      </c>
      <c r="J5407" s="31"/>
      <c r="K5407" s="31" t="s">
        <v>150</v>
      </c>
      <c r="L5407" s="45" t="n">
        <f aca="false">DATE(YEAR(B5407),MONTH(B5407),1)</f>
        <v>46266</v>
      </c>
      <c r="M5407" s="31" t="n">
        <f aca="false">WEEKDAY(B5407,2)</f>
        <v>5</v>
      </c>
      <c r="N5407" s="31" t="str">
        <f aca="false">IF(G5407&lt;=INDEX(Assumptions!$B$15:$B$18,MATCH(E5407,Assumptions!$A$15:$A$18,0)),"Yes","No")</f>
        <v>Yes</v>
      </c>
      <c r="O5407" s="31" t="str">
        <f aca="false">IF(H5407="","Open",IF(H5407&lt;=INDEX(Assumptions!$C$15:$C$18,MATCH(E5407,Assumptions!$A$15:$A$18,0)),"Yes","No"))</f>
        <v>No</v>
      </c>
    </row>
    <row r="5408" customFormat="false" ht="15" hidden="false" customHeight="false" outlineLevel="0" collapsed="false">
      <c r="A5408" s="31" t="s">
        <v>5558</v>
      </c>
      <c r="B5408" s="44" t="n">
        <v>46276</v>
      </c>
      <c r="C5408" s="31" t="s">
        <v>57</v>
      </c>
      <c r="D5408" s="31" t="s">
        <v>65</v>
      </c>
      <c r="E5408" s="31" t="s">
        <v>52</v>
      </c>
      <c r="F5408" s="31" t="s">
        <v>127</v>
      </c>
      <c r="G5408" s="31" t="n">
        <v>3</v>
      </c>
      <c r="H5408" s="41" t="n">
        <v>12.5</v>
      </c>
      <c r="I5408" s="31" t="s">
        <v>149</v>
      </c>
      <c r="J5408" s="31" t="n">
        <v>5</v>
      </c>
      <c r="K5408" s="31" t="s">
        <v>150</v>
      </c>
      <c r="L5408" s="45" t="n">
        <f aca="false">DATE(YEAR(B5408),MONTH(B5408),1)</f>
        <v>46266</v>
      </c>
      <c r="M5408" s="31" t="n">
        <f aca="false">WEEKDAY(B5408,2)</f>
        <v>5</v>
      </c>
      <c r="N5408" s="31" t="str">
        <f aca="false">IF(G5408&lt;=INDEX(Assumptions!$B$15:$B$18,MATCH(E5408,Assumptions!$A$15:$A$18,0)),"Yes","No")</f>
        <v>Yes</v>
      </c>
      <c r="O5408" s="31" t="str">
        <f aca="false">IF(H5408="","Open",IF(H5408&lt;=INDEX(Assumptions!$C$15:$C$18,MATCH(E5408,Assumptions!$A$15:$A$18,0)),"Yes","No"))</f>
        <v>Yes</v>
      </c>
    </row>
    <row r="5409" customFormat="false" ht="15" hidden="false" customHeight="false" outlineLevel="0" collapsed="false">
      <c r="A5409" s="31" t="s">
        <v>5559</v>
      </c>
      <c r="B5409" s="44" t="n">
        <v>46276</v>
      </c>
      <c r="C5409" s="31" t="s">
        <v>58</v>
      </c>
      <c r="D5409" s="31" t="s">
        <v>66</v>
      </c>
      <c r="E5409" s="31" t="s">
        <v>51</v>
      </c>
      <c r="F5409" s="31" t="s">
        <v>137</v>
      </c>
      <c r="G5409" s="31" t="n">
        <v>7</v>
      </c>
      <c r="H5409" s="41" t="n">
        <v>2.2</v>
      </c>
      <c r="I5409" s="31" t="s">
        <v>149</v>
      </c>
      <c r="J5409" s="31"/>
      <c r="K5409" s="31" t="s">
        <v>150</v>
      </c>
      <c r="L5409" s="45" t="n">
        <f aca="false">DATE(YEAR(B5409),MONTH(B5409),1)</f>
        <v>46266</v>
      </c>
      <c r="M5409" s="31" t="n">
        <f aca="false">WEEKDAY(B5409,2)</f>
        <v>5</v>
      </c>
      <c r="N5409" s="31" t="str">
        <f aca="false">IF(G5409&lt;=INDEX(Assumptions!$B$15:$B$18,MATCH(E5409,Assumptions!$A$15:$A$18,0)),"Yes","No")</f>
        <v>Yes</v>
      </c>
      <c r="O5409" s="31" t="str">
        <f aca="false">IF(H5409="","Open",IF(H5409&lt;=INDEX(Assumptions!$C$15:$C$18,MATCH(E5409,Assumptions!$A$15:$A$18,0)),"Yes","No"))</f>
        <v>Yes</v>
      </c>
    </row>
    <row r="5410" customFormat="false" ht="15" hidden="false" customHeight="false" outlineLevel="0" collapsed="false">
      <c r="A5410" s="31" t="s">
        <v>5560</v>
      </c>
      <c r="B5410" s="44" t="n">
        <v>46276</v>
      </c>
      <c r="C5410" s="31" t="s">
        <v>59</v>
      </c>
      <c r="D5410" s="31" t="s">
        <v>66</v>
      </c>
      <c r="E5410" s="31" t="s">
        <v>51</v>
      </c>
      <c r="F5410" s="31" t="s">
        <v>134</v>
      </c>
      <c r="G5410" s="31" t="n">
        <v>206</v>
      </c>
      <c r="H5410" s="41" t="n">
        <v>16.3</v>
      </c>
      <c r="I5410" s="31" t="s">
        <v>149</v>
      </c>
      <c r="J5410" s="31"/>
      <c r="K5410" s="31" t="s">
        <v>150</v>
      </c>
      <c r="L5410" s="45" t="n">
        <f aca="false">DATE(YEAR(B5410),MONTH(B5410),1)</f>
        <v>46266</v>
      </c>
      <c r="M5410" s="31" t="n">
        <f aca="false">WEEKDAY(B5410,2)</f>
        <v>5</v>
      </c>
      <c r="N5410" s="31" t="str">
        <f aca="false">IF(G5410&lt;=INDEX(Assumptions!$B$15:$B$18,MATCH(E5410,Assumptions!$A$15:$A$18,0)),"Yes","No")</f>
        <v>No</v>
      </c>
      <c r="O5410" s="31" t="str">
        <f aca="false">IF(H5410="","Open",IF(H5410&lt;=INDEX(Assumptions!$C$15:$C$18,MATCH(E5410,Assumptions!$A$15:$A$18,0)),"Yes","No"))</f>
        <v>Yes</v>
      </c>
    </row>
    <row r="5411" customFormat="false" ht="15" hidden="false" customHeight="false" outlineLevel="0" collapsed="false">
      <c r="A5411" s="31" t="s">
        <v>5561</v>
      </c>
      <c r="B5411" s="44" t="n">
        <v>46276</v>
      </c>
      <c r="C5411" s="31" t="s">
        <v>59</v>
      </c>
      <c r="D5411" s="31" t="s">
        <v>69</v>
      </c>
      <c r="E5411" s="31" t="s">
        <v>52</v>
      </c>
      <c r="F5411" s="31" t="s">
        <v>129</v>
      </c>
      <c r="G5411" s="31" t="n">
        <v>71</v>
      </c>
      <c r="H5411" s="41" t="n">
        <v>39.4</v>
      </c>
      <c r="I5411" s="31" t="s">
        <v>149</v>
      </c>
      <c r="J5411" s="31" t="n">
        <v>5</v>
      </c>
      <c r="K5411" s="31" t="s">
        <v>150</v>
      </c>
      <c r="L5411" s="45" t="n">
        <f aca="false">DATE(YEAR(B5411),MONTH(B5411),1)</f>
        <v>46266</v>
      </c>
      <c r="M5411" s="31" t="n">
        <f aca="false">WEEKDAY(B5411,2)</f>
        <v>5</v>
      </c>
      <c r="N5411" s="31" t="str">
        <f aca="false">IF(G5411&lt;=INDEX(Assumptions!$B$15:$B$18,MATCH(E5411,Assumptions!$A$15:$A$18,0)),"Yes","No")</f>
        <v>Yes</v>
      </c>
      <c r="O5411" s="31" t="str">
        <f aca="false">IF(H5411="","Open",IF(H5411&lt;=INDEX(Assumptions!$C$15:$C$18,MATCH(E5411,Assumptions!$A$15:$A$18,0)),"Yes","No"))</f>
        <v>Yes</v>
      </c>
    </row>
    <row r="5412" customFormat="false" ht="15" hidden="false" customHeight="false" outlineLevel="0" collapsed="false">
      <c r="A5412" s="31" t="s">
        <v>5562</v>
      </c>
      <c r="B5412" s="44" t="n">
        <v>46276</v>
      </c>
      <c r="C5412" s="31" t="s">
        <v>60</v>
      </c>
      <c r="D5412" s="31" t="s">
        <v>69</v>
      </c>
      <c r="E5412" s="31" t="s">
        <v>50</v>
      </c>
      <c r="F5412" s="31" t="s">
        <v>126</v>
      </c>
      <c r="G5412" s="31" t="n">
        <v>3</v>
      </c>
      <c r="H5412" s="41" t="n">
        <v>12</v>
      </c>
      <c r="I5412" s="31" t="s">
        <v>149</v>
      </c>
      <c r="J5412" s="31"/>
      <c r="K5412" s="31" t="s">
        <v>150</v>
      </c>
      <c r="L5412" s="45" t="n">
        <f aca="false">DATE(YEAR(B5412),MONTH(B5412),1)</f>
        <v>46266</v>
      </c>
      <c r="M5412" s="31" t="n">
        <f aca="false">WEEKDAY(B5412,2)</f>
        <v>5</v>
      </c>
      <c r="N5412" s="31" t="str">
        <f aca="false">IF(G5412&lt;=INDEX(Assumptions!$B$15:$B$18,MATCH(E5412,Assumptions!$A$15:$A$18,0)),"Yes","No")</f>
        <v>Yes</v>
      </c>
      <c r="O5412" s="31" t="str">
        <f aca="false">IF(H5412="","Open",IF(H5412&lt;=INDEX(Assumptions!$C$15:$C$18,MATCH(E5412,Assumptions!$A$15:$A$18,0)),"Yes","No"))</f>
        <v>No</v>
      </c>
    </row>
    <row r="5413" customFormat="false" ht="15" hidden="false" customHeight="false" outlineLevel="0" collapsed="false">
      <c r="A5413" s="31" t="s">
        <v>5563</v>
      </c>
      <c r="B5413" s="44" t="n">
        <v>46276</v>
      </c>
      <c r="C5413" s="31" t="s">
        <v>60</v>
      </c>
      <c r="D5413" s="31" t="s">
        <v>66</v>
      </c>
      <c r="E5413" s="31" t="s">
        <v>52</v>
      </c>
      <c r="F5413" s="31" t="s">
        <v>135</v>
      </c>
      <c r="G5413" s="31" t="n">
        <v>9</v>
      </c>
      <c r="H5413" s="41" t="n">
        <v>15.4</v>
      </c>
      <c r="I5413" s="31" t="s">
        <v>149</v>
      </c>
      <c r="J5413" s="31" t="n">
        <v>4</v>
      </c>
      <c r="K5413" s="31" t="s">
        <v>150</v>
      </c>
      <c r="L5413" s="45" t="n">
        <f aca="false">DATE(YEAR(B5413),MONTH(B5413),1)</f>
        <v>46266</v>
      </c>
      <c r="M5413" s="31" t="n">
        <f aca="false">WEEKDAY(B5413,2)</f>
        <v>5</v>
      </c>
      <c r="N5413" s="31" t="str">
        <f aca="false">IF(G5413&lt;=INDEX(Assumptions!$B$15:$B$18,MATCH(E5413,Assumptions!$A$15:$A$18,0)),"Yes","No")</f>
        <v>Yes</v>
      </c>
      <c r="O5413" s="31" t="str">
        <f aca="false">IF(H5413="","Open",IF(H5413&lt;=INDEX(Assumptions!$C$15:$C$18,MATCH(E5413,Assumptions!$A$15:$A$18,0)),"Yes","No"))</f>
        <v>Yes</v>
      </c>
    </row>
    <row r="5414" customFormat="false" ht="15" hidden="false" customHeight="false" outlineLevel="0" collapsed="false">
      <c r="A5414" s="31" t="s">
        <v>5564</v>
      </c>
      <c r="B5414" s="44" t="n">
        <v>46276</v>
      </c>
      <c r="C5414" s="31" t="s">
        <v>60</v>
      </c>
      <c r="D5414" s="31" t="s">
        <v>65</v>
      </c>
      <c r="E5414" s="31" t="s">
        <v>52</v>
      </c>
      <c r="F5414" s="31" t="s">
        <v>127</v>
      </c>
      <c r="G5414" s="31" t="n">
        <v>3</v>
      </c>
      <c r="H5414" s="41" t="n">
        <v>8.9</v>
      </c>
      <c r="I5414" s="31" t="s">
        <v>149</v>
      </c>
      <c r="J5414" s="31" t="n">
        <v>4</v>
      </c>
      <c r="K5414" s="31" t="s">
        <v>153</v>
      </c>
      <c r="L5414" s="45" t="n">
        <f aca="false">DATE(YEAR(B5414),MONTH(B5414),1)</f>
        <v>46266</v>
      </c>
      <c r="M5414" s="31" t="n">
        <f aca="false">WEEKDAY(B5414,2)</f>
        <v>5</v>
      </c>
      <c r="N5414" s="31" t="str">
        <f aca="false">IF(G5414&lt;=INDEX(Assumptions!$B$15:$B$18,MATCH(E5414,Assumptions!$A$15:$A$18,0)),"Yes","No")</f>
        <v>Yes</v>
      </c>
      <c r="O5414" s="31" t="str">
        <f aca="false">IF(H5414="","Open",IF(H5414&lt;=INDEX(Assumptions!$C$15:$C$18,MATCH(E5414,Assumptions!$A$15:$A$18,0)),"Yes","No"))</f>
        <v>Yes</v>
      </c>
    </row>
    <row r="5415" customFormat="false" ht="15" hidden="false" customHeight="false" outlineLevel="0" collapsed="false">
      <c r="A5415" s="31" t="s">
        <v>5565</v>
      </c>
      <c r="B5415" s="44" t="n">
        <v>46276</v>
      </c>
      <c r="C5415" s="31" t="s">
        <v>57</v>
      </c>
      <c r="D5415" s="31" t="s">
        <v>67</v>
      </c>
      <c r="E5415" s="31" t="s">
        <v>51</v>
      </c>
      <c r="F5415" s="31" t="s">
        <v>130</v>
      </c>
      <c r="G5415" s="31" t="n">
        <v>3</v>
      </c>
      <c r="H5415" s="41" t="n">
        <v>18.6</v>
      </c>
      <c r="I5415" s="31" t="s">
        <v>149</v>
      </c>
      <c r="J5415" s="31" t="n">
        <v>3</v>
      </c>
      <c r="K5415" s="31" t="s">
        <v>150</v>
      </c>
      <c r="L5415" s="45" t="n">
        <f aca="false">DATE(YEAR(B5415),MONTH(B5415),1)</f>
        <v>46266</v>
      </c>
      <c r="M5415" s="31" t="n">
        <f aca="false">WEEKDAY(B5415,2)</f>
        <v>5</v>
      </c>
      <c r="N5415" s="31" t="str">
        <f aca="false">IF(G5415&lt;=INDEX(Assumptions!$B$15:$B$18,MATCH(E5415,Assumptions!$A$15:$A$18,0)),"Yes","No")</f>
        <v>Yes</v>
      </c>
      <c r="O5415" s="31" t="str">
        <f aca="false">IF(H5415="","Open",IF(H5415&lt;=INDEX(Assumptions!$C$15:$C$18,MATCH(E5415,Assumptions!$A$15:$A$18,0)),"Yes","No"))</f>
        <v>Yes</v>
      </c>
    </row>
    <row r="5416" customFormat="false" ht="15" hidden="false" customHeight="false" outlineLevel="0" collapsed="false">
      <c r="A5416" s="31" t="s">
        <v>5566</v>
      </c>
      <c r="B5416" s="44" t="n">
        <v>46276</v>
      </c>
      <c r="C5416" s="31" t="s">
        <v>58</v>
      </c>
      <c r="D5416" s="31" t="s">
        <v>66</v>
      </c>
      <c r="E5416" s="31" t="s">
        <v>51</v>
      </c>
      <c r="F5416" s="31" t="s">
        <v>121</v>
      </c>
      <c r="G5416" s="31" t="n">
        <v>24</v>
      </c>
      <c r="H5416" s="41" t="n">
        <v>4.9</v>
      </c>
      <c r="I5416" s="31" t="s">
        <v>149</v>
      </c>
      <c r="J5416" s="31"/>
      <c r="K5416" s="31" t="s">
        <v>150</v>
      </c>
      <c r="L5416" s="45" t="n">
        <f aca="false">DATE(YEAR(B5416),MONTH(B5416),1)</f>
        <v>46266</v>
      </c>
      <c r="M5416" s="31" t="n">
        <f aca="false">WEEKDAY(B5416,2)</f>
        <v>5</v>
      </c>
      <c r="N5416" s="31" t="str">
        <f aca="false">IF(G5416&lt;=INDEX(Assumptions!$B$15:$B$18,MATCH(E5416,Assumptions!$A$15:$A$18,0)),"Yes","No")</f>
        <v>Yes</v>
      </c>
      <c r="O5416" s="31" t="str">
        <f aca="false">IF(H5416="","Open",IF(H5416&lt;=INDEX(Assumptions!$C$15:$C$18,MATCH(E5416,Assumptions!$A$15:$A$18,0)),"Yes","No"))</f>
        <v>Yes</v>
      </c>
    </row>
    <row r="5417" customFormat="false" ht="15" hidden="false" customHeight="false" outlineLevel="0" collapsed="false">
      <c r="A5417" s="31" t="s">
        <v>5567</v>
      </c>
      <c r="B5417" s="44" t="n">
        <v>46276</v>
      </c>
      <c r="C5417" s="31" t="s">
        <v>57</v>
      </c>
      <c r="D5417" s="31" t="s">
        <v>65</v>
      </c>
      <c r="E5417" s="31" t="s">
        <v>50</v>
      </c>
      <c r="F5417" s="31" t="s">
        <v>124</v>
      </c>
      <c r="G5417" s="31" t="n">
        <v>1</v>
      </c>
      <c r="H5417" s="41" t="n">
        <v>9.8</v>
      </c>
      <c r="I5417" s="31" t="s">
        <v>149</v>
      </c>
      <c r="J5417" s="31" t="n">
        <v>5</v>
      </c>
      <c r="K5417" s="31" t="s">
        <v>150</v>
      </c>
      <c r="L5417" s="45" t="n">
        <f aca="false">DATE(YEAR(B5417),MONTH(B5417),1)</f>
        <v>46266</v>
      </c>
      <c r="M5417" s="31" t="n">
        <f aca="false">WEEKDAY(B5417,2)</f>
        <v>5</v>
      </c>
      <c r="N5417" s="31" t="str">
        <f aca="false">IF(G5417&lt;=INDEX(Assumptions!$B$15:$B$18,MATCH(E5417,Assumptions!$A$15:$A$18,0)),"Yes","No")</f>
        <v>Yes</v>
      </c>
      <c r="O5417" s="31" t="str">
        <f aca="false">IF(H5417="","Open",IF(H5417&lt;=INDEX(Assumptions!$C$15:$C$18,MATCH(E5417,Assumptions!$A$15:$A$18,0)),"Yes","No"))</f>
        <v>No</v>
      </c>
    </row>
    <row r="5418" customFormat="false" ht="15" hidden="false" customHeight="false" outlineLevel="0" collapsed="false">
      <c r="A5418" s="31" t="s">
        <v>5568</v>
      </c>
      <c r="B5418" s="44" t="n">
        <v>46276</v>
      </c>
      <c r="C5418" s="31" t="s">
        <v>59</v>
      </c>
      <c r="D5418" s="31" t="s">
        <v>66</v>
      </c>
      <c r="E5418" s="31" t="s">
        <v>50</v>
      </c>
      <c r="F5418" s="31" t="s">
        <v>131</v>
      </c>
      <c r="G5418" s="31" t="n">
        <v>105</v>
      </c>
      <c r="H5418" s="41" t="n">
        <v>0.9</v>
      </c>
      <c r="I5418" s="31" t="s">
        <v>149</v>
      </c>
      <c r="J5418" s="31"/>
      <c r="K5418" s="31" t="s">
        <v>150</v>
      </c>
      <c r="L5418" s="45" t="n">
        <f aca="false">DATE(YEAR(B5418),MONTH(B5418),1)</f>
        <v>46266</v>
      </c>
      <c r="M5418" s="31" t="n">
        <f aca="false">WEEKDAY(B5418,2)</f>
        <v>5</v>
      </c>
      <c r="N5418" s="31" t="str">
        <f aca="false">IF(G5418&lt;=INDEX(Assumptions!$B$15:$B$18,MATCH(E5418,Assumptions!$A$15:$A$18,0)),"Yes","No")</f>
        <v>No</v>
      </c>
      <c r="O5418" s="31" t="str">
        <f aca="false">IF(H5418="","Open",IF(H5418&lt;=INDEX(Assumptions!$C$15:$C$18,MATCH(E5418,Assumptions!$A$15:$A$18,0)),"Yes","No"))</f>
        <v>Yes</v>
      </c>
    </row>
    <row r="5419" customFormat="false" ht="15" hidden="false" customHeight="false" outlineLevel="0" collapsed="false">
      <c r="A5419" s="31" t="s">
        <v>5569</v>
      </c>
      <c r="B5419" s="44" t="n">
        <v>46276</v>
      </c>
      <c r="C5419" s="31" t="s">
        <v>58</v>
      </c>
      <c r="D5419" s="31" t="s">
        <v>68</v>
      </c>
      <c r="E5419" s="31" t="s">
        <v>51</v>
      </c>
      <c r="F5419" s="31" t="s">
        <v>120</v>
      </c>
      <c r="G5419" s="31" t="n">
        <v>9</v>
      </c>
      <c r="H5419" s="41" t="n">
        <v>7.1</v>
      </c>
      <c r="I5419" s="31" t="s">
        <v>149</v>
      </c>
      <c r="J5419" s="31" t="n">
        <v>4</v>
      </c>
      <c r="K5419" s="31" t="s">
        <v>150</v>
      </c>
      <c r="L5419" s="45" t="n">
        <f aca="false">DATE(YEAR(B5419),MONTH(B5419),1)</f>
        <v>46266</v>
      </c>
      <c r="M5419" s="31" t="n">
        <f aca="false">WEEKDAY(B5419,2)</f>
        <v>5</v>
      </c>
      <c r="N5419" s="31" t="str">
        <f aca="false">IF(G5419&lt;=INDEX(Assumptions!$B$15:$B$18,MATCH(E5419,Assumptions!$A$15:$A$18,0)),"Yes","No")</f>
        <v>Yes</v>
      </c>
      <c r="O5419" s="31" t="str">
        <f aca="false">IF(H5419="","Open",IF(H5419&lt;=INDEX(Assumptions!$C$15:$C$18,MATCH(E5419,Assumptions!$A$15:$A$18,0)),"Yes","No"))</f>
        <v>Yes</v>
      </c>
    </row>
    <row r="5420" customFormat="false" ht="15" hidden="false" customHeight="false" outlineLevel="0" collapsed="false">
      <c r="A5420" s="31" t="s">
        <v>5570</v>
      </c>
      <c r="B5420" s="44" t="n">
        <v>46276</v>
      </c>
      <c r="C5420" s="31" t="s">
        <v>59</v>
      </c>
      <c r="D5420" s="31" t="s">
        <v>69</v>
      </c>
      <c r="E5420" s="31" t="s">
        <v>50</v>
      </c>
      <c r="F5420" s="31" t="s">
        <v>137</v>
      </c>
      <c r="G5420" s="31" t="n">
        <v>79</v>
      </c>
      <c r="H5420" s="41" t="n">
        <v>57.5</v>
      </c>
      <c r="I5420" s="31" t="s">
        <v>149</v>
      </c>
      <c r="J5420" s="31"/>
      <c r="K5420" s="31" t="s">
        <v>150</v>
      </c>
      <c r="L5420" s="45" t="n">
        <f aca="false">DATE(YEAR(B5420),MONTH(B5420),1)</f>
        <v>46266</v>
      </c>
      <c r="M5420" s="31" t="n">
        <f aca="false">WEEKDAY(B5420,2)</f>
        <v>5</v>
      </c>
      <c r="N5420" s="31" t="str">
        <f aca="false">IF(G5420&lt;=INDEX(Assumptions!$B$15:$B$18,MATCH(E5420,Assumptions!$A$15:$A$18,0)),"Yes","No")</f>
        <v>No</v>
      </c>
      <c r="O5420" s="31" t="str">
        <f aca="false">IF(H5420="","Open",IF(H5420&lt;=INDEX(Assumptions!$C$15:$C$18,MATCH(E5420,Assumptions!$A$15:$A$18,0)),"Yes","No"))</f>
        <v>No</v>
      </c>
    </row>
    <row r="5421" customFormat="false" ht="15" hidden="false" customHeight="false" outlineLevel="0" collapsed="false">
      <c r="A5421" s="31" t="s">
        <v>5571</v>
      </c>
      <c r="B5421" s="44" t="n">
        <v>46276</v>
      </c>
      <c r="C5421" s="31" t="s">
        <v>59</v>
      </c>
      <c r="D5421" s="31" t="s">
        <v>67</v>
      </c>
      <c r="E5421" s="31" t="s">
        <v>52</v>
      </c>
      <c r="F5421" s="31" t="s">
        <v>127</v>
      </c>
      <c r="G5421" s="31" t="n">
        <v>141</v>
      </c>
      <c r="H5421" s="41" t="n">
        <v>7.2</v>
      </c>
      <c r="I5421" s="31" t="s">
        <v>149</v>
      </c>
      <c r="J5421" s="31"/>
      <c r="K5421" s="31" t="s">
        <v>150</v>
      </c>
      <c r="L5421" s="45" t="n">
        <f aca="false">DATE(YEAR(B5421),MONTH(B5421),1)</f>
        <v>46266</v>
      </c>
      <c r="M5421" s="31" t="n">
        <f aca="false">WEEKDAY(B5421,2)</f>
        <v>5</v>
      </c>
      <c r="N5421" s="31" t="str">
        <f aca="false">IF(G5421&lt;=INDEX(Assumptions!$B$15:$B$18,MATCH(E5421,Assumptions!$A$15:$A$18,0)),"Yes","No")</f>
        <v>Yes</v>
      </c>
      <c r="O5421" s="31" t="str">
        <f aca="false">IF(H5421="","Open",IF(H5421&lt;=INDEX(Assumptions!$C$15:$C$18,MATCH(E5421,Assumptions!$A$15:$A$18,0)),"Yes","No"))</f>
        <v>Yes</v>
      </c>
    </row>
    <row r="5422" customFormat="false" ht="15" hidden="false" customHeight="false" outlineLevel="0" collapsed="false">
      <c r="A5422" s="31" t="s">
        <v>5572</v>
      </c>
      <c r="B5422" s="44" t="n">
        <v>46276</v>
      </c>
      <c r="C5422" s="31" t="s">
        <v>60</v>
      </c>
      <c r="D5422" s="31" t="s">
        <v>68</v>
      </c>
      <c r="E5422" s="31" t="s">
        <v>50</v>
      </c>
      <c r="F5422" s="31" t="s">
        <v>120</v>
      </c>
      <c r="G5422" s="31" t="n">
        <v>4</v>
      </c>
      <c r="H5422" s="41" t="n">
        <v>6.8</v>
      </c>
      <c r="I5422" s="31" t="s">
        <v>149</v>
      </c>
      <c r="J5422" s="31" t="n">
        <v>4</v>
      </c>
      <c r="K5422" s="31" t="s">
        <v>150</v>
      </c>
      <c r="L5422" s="45" t="n">
        <f aca="false">DATE(YEAR(B5422),MONTH(B5422),1)</f>
        <v>46266</v>
      </c>
      <c r="M5422" s="31" t="n">
        <f aca="false">WEEKDAY(B5422,2)</f>
        <v>5</v>
      </c>
      <c r="N5422" s="31" t="str">
        <f aca="false">IF(G5422&lt;=INDEX(Assumptions!$B$15:$B$18,MATCH(E5422,Assumptions!$A$15:$A$18,0)),"Yes","No")</f>
        <v>Yes</v>
      </c>
      <c r="O5422" s="31" t="str">
        <f aca="false">IF(H5422="","Open",IF(H5422&lt;=INDEX(Assumptions!$C$15:$C$18,MATCH(E5422,Assumptions!$A$15:$A$18,0)),"Yes","No"))</f>
        <v>Yes</v>
      </c>
    </row>
    <row r="5423" customFormat="false" ht="15" hidden="false" customHeight="false" outlineLevel="0" collapsed="false">
      <c r="A5423" s="31" t="s">
        <v>5573</v>
      </c>
      <c r="B5423" s="44" t="n">
        <v>46276</v>
      </c>
      <c r="C5423" s="31" t="s">
        <v>58</v>
      </c>
      <c r="D5423" s="31" t="s">
        <v>68</v>
      </c>
      <c r="E5423" s="31" t="s">
        <v>52</v>
      </c>
      <c r="F5423" s="31" t="s">
        <v>136</v>
      </c>
      <c r="G5423" s="31" t="n">
        <v>62</v>
      </c>
      <c r="H5423" s="41" t="n">
        <v>13.6</v>
      </c>
      <c r="I5423" s="31" t="s">
        <v>149</v>
      </c>
      <c r="J5423" s="31" t="n">
        <v>4</v>
      </c>
      <c r="K5423" s="31" t="s">
        <v>150</v>
      </c>
      <c r="L5423" s="45" t="n">
        <f aca="false">DATE(YEAR(B5423),MONTH(B5423),1)</f>
        <v>46266</v>
      </c>
      <c r="M5423" s="31" t="n">
        <f aca="false">WEEKDAY(B5423,2)</f>
        <v>5</v>
      </c>
      <c r="N5423" s="31" t="str">
        <f aca="false">IF(G5423&lt;=INDEX(Assumptions!$B$15:$B$18,MATCH(E5423,Assumptions!$A$15:$A$18,0)),"Yes","No")</f>
        <v>Yes</v>
      </c>
      <c r="O5423" s="31" t="str">
        <f aca="false">IF(H5423="","Open",IF(H5423&lt;=INDEX(Assumptions!$C$15:$C$18,MATCH(E5423,Assumptions!$A$15:$A$18,0)),"Yes","No"))</f>
        <v>Yes</v>
      </c>
    </row>
    <row r="5424" customFormat="false" ht="15" hidden="false" customHeight="false" outlineLevel="0" collapsed="false">
      <c r="A5424" s="31" t="s">
        <v>5574</v>
      </c>
      <c r="B5424" s="44" t="n">
        <v>46276</v>
      </c>
      <c r="C5424" s="31" t="s">
        <v>60</v>
      </c>
      <c r="D5424" s="31" t="s">
        <v>66</v>
      </c>
      <c r="E5424" s="31" t="s">
        <v>50</v>
      </c>
      <c r="F5424" s="31" t="s">
        <v>124</v>
      </c>
      <c r="G5424" s="31" t="n">
        <v>1</v>
      </c>
      <c r="H5424" s="41" t="n">
        <v>2.1</v>
      </c>
      <c r="I5424" s="31" t="s">
        <v>149</v>
      </c>
      <c r="J5424" s="31"/>
      <c r="K5424" s="31" t="s">
        <v>150</v>
      </c>
      <c r="L5424" s="45" t="n">
        <f aca="false">DATE(YEAR(B5424),MONTH(B5424),1)</f>
        <v>46266</v>
      </c>
      <c r="M5424" s="31" t="n">
        <f aca="false">WEEKDAY(B5424,2)</f>
        <v>5</v>
      </c>
      <c r="N5424" s="31" t="str">
        <f aca="false">IF(G5424&lt;=INDEX(Assumptions!$B$15:$B$18,MATCH(E5424,Assumptions!$A$15:$A$18,0)),"Yes","No")</f>
        <v>Yes</v>
      </c>
      <c r="O5424" s="31" t="str">
        <f aca="false">IF(H5424="","Open",IF(H5424&lt;=INDEX(Assumptions!$C$15:$C$18,MATCH(E5424,Assumptions!$A$15:$A$18,0)),"Yes","No"))</f>
        <v>Yes</v>
      </c>
    </row>
    <row r="5425" customFormat="false" ht="15" hidden="false" customHeight="false" outlineLevel="0" collapsed="false">
      <c r="A5425" s="31" t="s">
        <v>5575</v>
      </c>
      <c r="B5425" s="44" t="n">
        <v>46276</v>
      </c>
      <c r="C5425" s="31" t="s">
        <v>60</v>
      </c>
      <c r="D5425" s="31" t="s">
        <v>68</v>
      </c>
      <c r="E5425" s="31" t="s">
        <v>50</v>
      </c>
      <c r="F5425" s="31" t="s">
        <v>123</v>
      </c>
      <c r="G5425" s="31" t="n">
        <v>1</v>
      </c>
      <c r="H5425" s="41" t="n">
        <v>1.4</v>
      </c>
      <c r="I5425" s="31" t="s">
        <v>149</v>
      </c>
      <c r="J5425" s="31"/>
      <c r="K5425" s="31" t="s">
        <v>150</v>
      </c>
      <c r="L5425" s="45" t="n">
        <f aca="false">DATE(YEAR(B5425),MONTH(B5425),1)</f>
        <v>46266</v>
      </c>
      <c r="M5425" s="31" t="n">
        <f aca="false">WEEKDAY(B5425,2)</f>
        <v>5</v>
      </c>
      <c r="N5425" s="31" t="str">
        <f aca="false">IF(G5425&lt;=INDEX(Assumptions!$B$15:$B$18,MATCH(E5425,Assumptions!$A$15:$A$18,0)),"Yes","No")</f>
        <v>Yes</v>
      </c>
      <c r="O5425" s="31" t="str">
        <f aca="false">IF(H5425="","Open",IF(H5425&lt;=INDEX(Assumptions!$C$15:$C$18,MATCH(E5425,Assumptions!$A$15:$A$18,0)),"Yes","No"))</f>
        <v>Yes</v>
      </c>
    </row>
    <row r="5426" customFormat="false" ht="15" hidden="false" customHeight="false" outlineLevel="0" collapsed="false">
      <c r="A5426" s="31" t="s">
        <v>5576</v>
      </c>
      <c r="B5426" s="44" t="n">
        <v>46276</v>
      </c>
      <c r="C5426" s="31" t="s">
        <v>57</v>
      </c>
      <c r="D5426" s="31" t="s">
        <v>66</v>
      </c>
      <c r="E5426" s="31" t="s">
        <v>52</v>
      </c>
      <c r="F5426" s="31" t="s">
        <v>129</v>
      </c>
      <c r="G5426" s="31" t="n">
        <v>8</v>
      </c>
      <c r="H5426" s="41" t="n">
        <v>6.7</v>
      </c>
      <c r="I5426" s="31" t="s">
        <v>149</v>
      </c>
      <c r="J5426" s="31" t="n">
        <v>4</v>
      </c>
      <c r="K5426" s="31" t="s">
        <v>150</v>
      </c>
      <c r="L5426" s="45" t="n">
        <f aca="false">DATE(YEAR(B5426),MONTH(B5426),1)</f>
        <v>46266</v>
      </c>
      <c r="M5426" s="31" t="n">
        <f aca="false">WEEKDAY(B5426,2)</f>
        <v>5</v>
      </c>
      <c r="N5426" s="31" t="str">
        <f aca="false">IF(G5426&lt;=INDEX(Assumptions!$B$15:$B$18,MATCH(E5426,Assumptions!$A$15:$A$18,0)),"Yes","No")</f>
        <v>Yes</v>
      </c>
      <c r="O5426" s="31" t="str">
        <f aca="false">IF(H5426="","Open",IF(H5426&lt;=INDEX(Assumptions!$C$15:$C$18,MATCH(E5426,Assumptions!$A$15:$A$18,0)),"Yes","No"))</f>
        <v>Yes</v>
      </c>
    </row>
    <row r="5427" customFormat="false" ht="15" hidden="false" customHeight="false" outlineLevel="0" collapsed="false">
      <c r="A5427" s="31" t="s">
        <v>5577</v>
      </c>
      <c r="B5427" s="44" t="n">
        <v>46277</v>
      </c>
      <c r="C5427" s="31" t="s">
        <v>58</v>
      </c>
      <c r="D5427" s="31" t="s">
        <v>66</v>
      </c>
      <c r="E5427" s="31" t="s">
        <v>51</v>
      </c>
      <c r="F5427" s="31" t="s">
        <v>122</v>
      </c>
      <c r="G5427" s="31" t="n">
        <v>10</v>
      </c>
      <c r="H5427" s="41" t="n">
        <v>15</v>
      </c>
      <c r="I5427" s="31" t="s">
        <v>149</v>
      </c>
      <c r="J5427" s="31" t="n">
        <v>5</v>
      </c>
      <c r="K5427" s="31" t="s">
        <v>150</v>
      </c>
      <c r="L5427" s="45" t="n">
        <f aca="false">DATE(YEAR(B5427),MONTH(B5427),1)</f>
        <v>46266</v>
      </c>
      <c r="M5427" s="31" t="n">
        <f aca="false">WEEKDAY(B5427,2)</f>
        <v>6</v>
      </c>
      <c r="N5427" s="31" t="str">
        <f aca="false">IF(G5427&lt;=INDEX(Assumptions!$B$15:$B$18,MATCH(E5427,Assumptions!$A$15:$A$18,0)),"Yes","No")</f>
        <v>Yes</v>
      </c>
      <c r="O5427" s="31" t="str">
        <f aca="false">IF(H5427="","Open",IF(H5427&lt;=INDEX(Assumptions!$C$15:$C$18,MATCH(E5427,Assumptions!$A$15:$A$18,0)),"Yes","No"))</f>
        <v>Yes</v>
      </c>
    </row>
    <row r="5428" customFormat="false" ht="15" hidden="false" customHeight="false" outlineLevel="0" collapsed="false">
      <c r="A5428" s="31" t="s">
        <v>5578</v>
      </c>
      <c r="B5428" s="44" t="n">
        <v>46277</v>
      </c>
      <c r="C5428" s="31" t="s">
        <v>59</v>
      </c>
      <c r="D5428" s="31" t="s">
        <v>67</v>
      </c>
      <c r="E5428" s="31" t="s">
        <v>49</v>
      </c>
      <c r="F5428" s="31" t="s">
        <v>130</v>
      </c>
      <c r="G5428" s="31" t="n">
        <v>56</v>
      </c>
      <c r="H5428" s="41" t="n">
        <v>4.5</v>
      </c>
      <c r="I5428" s="31" t="s">
        <v>149</v>
      </c>
      <c r="J5428" s="31"/>
      <c r="K5428" s="31" t="s">
        <v>150</v>
      </c>
      <c r="L5428" s="45" t="n">
        <f aca="false">DATE(YEAR(B5428),MONTH(B5428),1)</f>
        <v>46266</v>
      </c>
      <c r="M5428" s="31" t="n">
        <f aca="false">WEEKDAY(B5428,2)</f>
        <v>6</v>
      </c>
      <c r="N5428" s="31" t="str">
        <f aca="false">IF(G5428&lt;=INDEX(Assumptions!$B$15:$B$18,MATCH(E5428,Assumptions!$A$15:$A$18,0)),"Yes","No")</f>
        <v>No</v>
      </c>
      <c r="O5428" s="31" t="str">
        <f aca="false">IF(H5428="","Open",IF(H5428&lt;=INDEX(Assumptions!$C$15:$C$18,MATCH(E5428,Assumptions!$A$15:$A$18,0)),"Yes","No"))</f>
        <v>No</v>
      </c>
    </row>
    <row r="5429" customFormat="false" ht="15" hidden="false" customHeight="false" outlineLevel="0" collapsed="false">
      <c r="A5429" s="31" t="s">
        <v>5579</v>
      </c>
      <c r="B5429" s="44" t="n">
        <v>46277</v>
      </c>
      <c r="C5429" s="31" t="s">
        <v>57</v>
      </c>
      <c r="D5429" s="31" t="s">
        <v>69</v>
      </c>
      <c r="E5429" s="31" t="s">
        <v>51</v>
      </c>
      <c r="F5429" s="31" t="s">
        <v>122</v>
      </c>
      <c r="G5429" s="31" t="n">
        <v>4</v>
      </c>
      <c r="H5429" s="41" t="n">
        <v>9.9</v>
      </c>
      <c r="I5429" s="31" t="s">
        <v>149</v>
      </c>
      <c r="J5429" s="31"/>
      <c r="K5429" s="31" t="s">
        <v>150</v>
      </c>
      <c r="L5429" s="45" t="n">
        <f aca="false">DATE(YEAR(B5429),MONTH(B5429),1)</f>
        <v>46266</v>
      </c>
      <c r="M5429" s="31" t="n">
        <f aca="false">WEEKDAY(B5429,2)</f>
        <v>6</v>
      </c>
      <c r="N5429" s="31" t="str">
        <f aca="false">IF(G5429&lt;=INDEX(Assumptions!$B$15:$B$18,MATCH(E5429,Assumptions!$A$15:$A$18,0)),"Yes","No")</f>
        <v>Yes</v>
      </c>
      <c r="O5429" s="31" t="str">
        <f aca="false">IF(H5429="","Open",IF(H5429&lt;=INDEX(Assumptions!$C$15:$C$18,MATCH(E5429,Assumptions!$A$15:$A$18,0)),"Yes","No"))</f>
        <v>Yes</v>
      </c>
    </row>
    <row r="5430" customFormat="false" ht="15" hidden="false" customHeight="false" outlineLevel="0" collapsed="false">
      <c r="A5430" s="31" t="s">
        <v>5580</v>
      </c>
      <c r="B5430" s="44" t="n">
        <v>46277</v>
      </c>
      <c r="C5430" s="31" t="s">
        <v>57</v>
      </c>
      <c r="D5430" s="31" t="s">
        <v>67</v>
      </c>
      <c r="E5430" s="31" t="s">
        <v>52</v>
      </c>
      <c r="F5430" s="31" t="s">
        <v>134</v>
      </c>
      <c r="G5430" s="31" t="n">
        <v>3</v>
      </c>
      <c r="H5430" s="41" t="n">
        <v>15.5</v>
      </c>
      <c r="I5430" s="31" t="s">
        <v>149</v>
      </c>
      <c r="J5430" s="31" t="n">
        <v>4</v>
      </c>
      <c r="K5430" s="31" t="s">
        <v>150</v>
      </c>
      <c r="L5430" s="45" t="n">
        <f aca="false">DATE(YEAR(B5430),MONTH(B5430),1)</f>
        <v>46266</v>
      </c>
      <c r="M5430" s="31" t="n">
        <f aca="false">WEEKDAY(B5430,2)</f>
        <v>6</v>
      </c>
      <c r="N5430" s="31" t="str">
        <f aca="false">IF(G5430&lt;=INDEX(Assumptions!$B$15:$B$18,MATCH(E5430,Assumptions!$A$15:$A$18,0)),"Yes","No")</f>
        <v>Yes</v>
      </c>
      <c r="O5430" s="31" t="str">
        <f aca="false">IF(H5430="","Open",IF(H5430&lt;=INDEX(Assumptions!$C$15:$C$18,MATCH(E5430,Assumptions!$A$15:$A$18,0)),"Yes","No"))</f>
        <v>Yes</v>
      </c>
    </row>
    <row r="5431" customFormat="false" ht="15" hidden="false" customHeight="false" outlineLevel="0" collapsed="false">
      <c r="A5431" s="31" t="s">
        <v>5581</v>
      </c>
      <c r="B5431" s="44" t="n">
        <v>46277</v>
      </c>
      <c r="C5431" s="31" t="s">
        <v>57</v>
      </c>
      <c r="D5431" s="31" t="s">
        <v>66</v>
      </c>
      <c r="E5431" s="31" t="s">
        <v>52</v>
      </c>
      <c r="F5431" s="31" t="s">
        <v>120</v>
      </c>
      <c r="G5431" s="31" t="n">
        <v>6</v>
      </c>
      <c r="H5431" s="41" t="n">
        <v>50.6</v>
      </c>
      <c r="I5431" s="31" t="s">
        <v>149</v>
      </c>
      <c r="J5431" s="31"/>
      <c r="K5431" s="31" t="s">
        <v>150</v>
      </c>
      <c r="L5431" s="45" t="n">
        <f aca="false">DATE(YEAR(B5431),MONTH(B5431),1)</f>
        <v>46266</v>
      </c>
      <c r="M5431" s="31" t="n">
        <f aca="false">WEEKDAY(B5431,2)</f>
        <v>6</v>
      </c>
      <c r="N5431" s="31" t="str">
        <f aca="false">IF(G5431&lt;=INDEX(Assumptions!$B$15:$B$18,MATCH(E5431,Assumptions!$A$15:$A$18,0)),"Yes","No")</f>
        <v>Yes</v>
      </c>
      <c r="O5431" s="31" t="str">
        <f aca="false">IF(H5431="","Open",IF(H5431&lt;=INDEX(Assumptions!$C$15:$C$18,MATCH(E5431,Assumptions!$A$15:$A$18,0)),"Yes","No"))</f>
        <v>Yes</v>
      </c>
    </row>
    <row r="5432" customFormat="false" ht="15" hidden="false" customHeight="false" outlineLevel="0" collapsed="false">
      <c r="A5432" s="31" t="s">
        <v>5582</v>
      </c>
      <c r="B5432" s="44" t="n">
        <v>46277</v>
      </c>
      <c r="C5432" s="31" t="s">
        <v>58</v>
      </c>
      <c r="D5432" s="31" t="s">
        <v>67</v>
      </c>
      <c r="E5432" s="31" t="s">
        <v>51</v>
      </c>
      <c r="F5432" s="31" t="s">
        <v>137</v>
      </c>
      <c r="G5432" s="31" t="n">
        <v>13</v>
      </c>
      <c r="H5432" s="41" t="n">
        <v>16.4</v>
      </c>
      <c r="I5432" s="31" t="s">
        <v>149</v>
      </c>
      <c r="J5432" s="31" t="n">
        <v>4</v>
      </c>
      <c r="K5432" s="31" t="s">
        <v>150</v>
      </c>
      <c r="L5432" s="45" t="n">
        <f aca="false">DATE(YEAR(B5432),MONTH(B5432),1)</f>
        <v>46266</v>
      </c>
      <c r="M5432" s="31" t="n">
        <f aca="false">WEEKDAY(B5432,2)</f>
        <v>6</v>
      </c>
      <c r="N5432" s="31" t="str">
        <f aca="false">IF(G5432&lt;=INDEX(Assumptions!$B$15:$B$18,MATCH(E5432,Assumptions!$A$15:$A$18,0)),"Yes","No")</f>
        <v>Yes</v>
      </c>
      <c r="O5432" s="31" t="str">
        <f aca="false">IF(H5432="","Open",IF(H5432&lt;=INDEX(Assumptions!$C$15:$C$18,MATCH(E5432,Assumptions!$A$15:$A$18,0)),"Yes","No"))</f>
        <v>Yes</v>
      </c>
    </row>
    <row r="5433" customFormat="false" ht="15" hidden="false" customHeight="false" outlineLevel="0" collapsed="false">
      <c r="A5433" s="31" t="s">
        <v>5583</v>
      </c>
      <c r="B5433" s="44" t="n">
        <v>46277</v>
      </c>
      <c r="C5433" s="31" t="s">
        <v>57</v>
      </c>
      <c r="D5433" s="31" t="s">
        <v>67</v>
      </c>
      <c r="E5433" s="31" t="s">
        <v>50</v>
      </c>
      <c r="F5433" s="31" t="s">
        <v>121</v>
      </c>
      <c r="G5433" s="31" t="n">
        <v>3</v>
      </c>
      <c r="H5433" s="41"/>
      <c r="I5433" s="31" t="s">
        <v>158</v>
      </c>
      <c r="J5433" s="31"/>
      <c r="K5433" s="31" t="s">
        <v>150</v>
      </c>
      <c r="L5433" s="45" t="n">
        <f aca="false">DATE(YEAR(B5433),MONTH(B5433),1)</f>
        <v>46266</v>
      </c>
      <c r="M5433" s="31" t="n">
        <f aca="false">WEEKDAY(B5433,2)</f>
        <v>6</v>
      </c>
      <c r="N5433" s="31" t="str">
        <f aca="false">IF(G5433&lt;=INDEX(Assumptions!$B$15:$B$18,MATCH(E5433,Assumptions!$A$15:$A$18,0)),"Yes","No")</f>
        <v>Yes</v>
      </c>
      <c r="O5433" s="31" t="str">
        <f aca="false">IF(H5433="","Open",IF(H5433&lt;=INDEX(Assumptions!$C$15:$C$18,MATCH(E5433,Assumptions!$A$15:$A$18,0)),"Yes","No"))</f>
        <v>Open</v>
      </c>
    </row>
    <row r="5434" customFormat="false" ht="15" hidden="false" customHeight="false" outlineLevel="0" collapsed="false">
      <c r="A5434" s="31" t="s">
        <v>5584</v>
      </c>
      <c r="B5434" s="44" t="n">
        <v>46277</v>
      </c>
      <c r="C5434" s="31" t="s">
        <v>57</v>
      </c>
      <c r="D5434" s="31" t="s">
        <v>65</v>
      </c>
      <c r="E5434" s="31" t="s">
        <v>51</v>
      </c>
      <c r="F5434" s="31" t="s">
        <v>123</v>
      </c>
      <c r="G5434" s="31" t="n">
        <v>3</v>
      </c>
      <c r="H5434" s="41" t="n">
        <v>6.9</v>
      </c>
      <c r="I5434" s="31" t="s">
        <v>149</v>
      </c>
      <c r="J5434" s="31"/>
      <c r="K5434" s="31" t="s">
        <v>150</v>
      </c>
      <c r="L5434" s="45" t="n">
        <f aca="false">DATE(YEAR(B5434),MONTH(B5434),1)</f>
        <v>46266</v>
      </c>
      <c r="M5434" s="31" t="n">
        <f aca="false">WEEKDAY(B5434,2)</f>
        <v>6</v>
      </c>
      <c r="N5434" s="31" t="str">
        <f aca="false">IF(G5434&lt;=INDEX(Assumptions!$B$15:$B$18,MATCH(E5434,Assumptions!$A$15:$A$18,0)),"Yes","No")</f>
        <v>Yes</v>
      </c>
      <c r="O5434" s="31" t="str">
        <f aca="false">IF(H5434="","Open",IF(H5434&lt;=INDEX(Assumptions!$C$15:$C$18,MATCH(E5434,Assumptions!$A$15:$A$18,0)),"Yes","No"))</f>
        <v>Yes</v>
      </c>
    </row>
    <row r="5435" customFormat="false" ht="15" hidden="false" customHeight="false" outlineLevel="0" collapsed="false">
      <c r="A5435" s="31" t="s">
        <v>5585</v>
      </c>
      <c r="B5435" s="44" t="n">
        <v>46277</v>
      </c>
      <c r="C5435" s="31" t="s">
        <v>57</v>
      </c>
      <c r="D5435" s="31" t="s">
        <v>65</v>
      </c>
      <c r="E5435" s="31" t="s">
        <v>49</v>
      </c>
      <c r="F5435" s="31" t="s">
        <v>137</v>
      </c>
      <c r="G5435" s="31" t="n">
        <v>4</v>
      </c>
      <c r="H5435" s="41" t="n">
        <v>3.2</v>
      </c>
      <c r="I5435" s="31" t="s">
        <v>149</v>
      </c>
      <c r="J5435" s="31"/>
      <c r="K5435" s="31" t="s">
        <v>150</v>
      </c>
      <c r="L5435" s="45" t="n">
        <f aca="false">DATE(YEAR(B5435),MONTH(B5435),1)</f>
        <v>46266</v>
      </c>
      <c r="M5435" s="31" t="n">
        <f aca="false">WEEKDAY(B5435,2)</f>
        <v>6</v>
      </c>
      <c r="N5435" s="31" t="str">
        <f aca="false">IF(G5435&lt;=INDEX(Assumptions!$B$15:$B$18,MATCH(E5435,Assumptions!$A$15:$A$18,0)),"Yes","No")</f>
        <v>Yes</v>
      </c>
      <c r="O5435" s="31" t="str">
        <f aca="false">IF(H5435="","Open",IF(H5435&lt;=INDEX(Assumptions!$C$15:$C$18,MATCH(E5435,Assumptions!$A$15:$A$18,0)),"Yes","No"))</f>
        <v>Yes</v>
      </c>
    </row>
    <row r="5436" customFormat="false" ht="15" hidden="false" customHeight="false" outlineLevel="0" collapsed="false">
      <c r="A5436" s="31" t="s">
        <v>5586</v>
      </c>
      <c r="B5436" s="44" t="n">
        <v>46277</v>
      </c>
      <c r="C5436" s="31" t="s">
        <v>60</v>
      </c>
      <c r="D5436" s="31" t="s">
        <v>67</v>
      </c>
      <c r="E5436" s="31" t="s">
        <v>52</v>
      </c>
      <c r="F5436" s="31" t="s">
        <v>119</v>
      </c>
      <c r="G5436" s="31" t="n">
        <v>7</v>
      </c>
      <c r="H5436" s="41" t="n">
        <v>35.1</v>
      </c>
      <c r="I5436" s="31" t="s">
        <v>149</v>
      </c>
      <c r="J5436" s="31"/>
      <c r="K5436" s="31" t="s">
        <v>150</v>
      </c>
      <c r="L5436" s="45" t="n">
        <f aca="false">DATE(YEAR(B5436),MONTH(B5436),1)</f>
        <v>46266</v>
      </c>
      <c r="M5436" s="31" t="n">
        <f aca="false">WEEKDAY(B5436,2)</f>
        <v>6</v>
      </c>
      <c r="N5436" s="31" t="str">
        <f aca="false">IF(G5436&lt;=INDEX(Assumptions!$B$15:$B$18,MATCH(E5436,Assumptions!$A$15:$A$18,0)),"Yes","No")</f>
        <v>Yes</v>
      </c>
      <c r="O5436" s="31" t="str">
        <f aca="false">IF(H5436="","Open",IF(H5436&lt;=INDEX(Assumptions!$C$15:$C$18,MATCH(E5436,Assumptions!$A$15:$A$18,0)),"Yes","No"))</f>
        <v>Yes</v>
      </c>
    </row>
    <row r="5437" customFormat="false" ht="15" hidden="false" customHeight="false" outlineLevel="0" collapsed="false">
      <c r="A5437" s="31" t="s">
        <v>5587</v>
      </c>
      <c r="B5437" s="44" t="n">
        <v>46277</v>
      </c>
      <c r="C5437" s="31" t="s">
        <v>59</v>
      </c>
      <c r="D5437" s="31" t="s">
        <v>68</v>
      </c>
      <c r="E5437" s="31" t="s">
        <v>51</v>
      </c>
      <c r="F5437" s="31" t="s">
        <v>129</v>
      </c>
      <c r="G5437" s="31" t="n">
        <v>28</v>
      </c>
      <c r="H5437" s="41" t="n">
        <v>2.6</v>
      </c>
      <c r="I5437" s="31" t="s">
        <v>149</v>
      </c>
      <c r="J5437" s="31"/>
      <c r="K5437" s="31" t="s">
        <v>153</v>
      </c>
      <c r="L5437" s="45" t="n">
        <f aca="false">DATE(YEAR(B5437),MONTH(B5437),1)</f>
        <v>46266</v>
      </c>
      <c r="M5437" s="31" t="n">
        <f aca="false">WEEKDAY(B5437,2)</f>
        <v>6</v>
      </c>
      <c r="N5437" s="31" t="str">
        <f aca="false">IF(G5437&lt;=INDEX(Assumptions!$B$15:$B$18,MATCH(E5437,Assumptions!$A$15:$A$18,0)),"Yes","No")</f>
        <v>Yes</v>
      </c>
      <c r="O5437" s="31" t="str">
        <f aca="false">IF(H5437="","Open",IF(H5437&lt;=INDEX(Assumptions!$C$15:$C$18,MATCH(E5437,Assumptions!$A$15:$A$18,0)),"Yes","No"))</f>
        <v>Yes</v>
      </c>
    </row>
    <row r="5438" customFormat="false" ht="15" hidden="false" customHeight="false" outlineLevel="0" collapsed="false">
      <c r="A5438" s="31" t="s">
        <v>5588</v>
      </c>
      <c r="B5438" s="44" t="n">
        <v>46277</v>
      </c>
      <c r="C5438" s="31" t="s">
        <v>58</v>
      </c>
      <c r="D5438" s="31" t="s">
        <v>68</v>
      </c>
      <c r="E5438" s="31" t="s">
        <v>51</v>
      </c>
      <c r="F5438" s="31" t="s">
        <v>123</v>
      </c>
      <c r="G5438" s="31" t="n">
        <v>30</v>
      </c>
      <c r="H5438" s="41" t="n">
        <v>2.7</v>
      </c>
      <c r="I5438" s="31" t="s">
        <v>149</v>
      </c>
      <c r="J5438" s="31"/>
      <c r="K5438" s="31" t="s">
        <v>150</v>
      </c>
      <c r="L5438" s="45" t="n">
        <f aca="false">DATE(YEAR(B5438),MONTH(B5438),1)</f>
        <v>46266</v>
      </c>
      <c r="M5438" s="31" t="n">
        <f aca="false">WEEKDAY(B5438,2)</f>
        <v>6</v>
      </c>
      <c r="N5438" s="31" t="str">
        <f aca="false">IF(G5438&lt;=INDEX(Assumptions!$B$15:$B$18,MATCH(E5438,Assumptions!$A$15:$A$18,0)),"Yes","No")</f>
        <v>Yes</v>
      </c>
      <c r="O5438" s="31" t="str">
        <f aca="false">IF(H5438="","Open",IF(H5438&lt;=INDEX(Assumptions!$C$15:$C$18,MATCH(E5438,Assumptions!$A$15:$A$18,0)),"Yes","No"))</f>
        <v>Yes</v>
      </c>
    </row>
    <row r="5439" customFormat="false" ht="15" hidden="false" customHeight="false" outlineLevel="0" collapsed="false">
      <c r="A5439" s="31" t="s">
        <v>5589</v>
      </c>
      <c r="B5439" s="44" t="n">
        <v>46277</v>
      </c>
      <c r="C5439" s="31" t="s">
        <v>58</v>
      </c>
      <c r="D5439" s="31" t="s">
        <v>68</v>
      </c>
      <c r="E5439" s="31" t="s">
        <v>52</v>
      </c>
      <c r="F5439" s="31" t="s">
        <v>128</v>
      </c>
      <c r="G5439" s="31" t="n">
        <v>12</v>
      </c>
      <c r="H5439" s="41" t="n">
        <v>12.8</v>
      </c>
      <c r="I5439" s="31" t="s">
        <v>149</v>
      </c>
      <c r="J5439" s="31"/>
      <c r="K5439" s="31" t="s">
        <v>150</v>
      </c>
      <c r="L5439" s="45" t="n">
        <f aca="false">DATE(YEAR(B5439),MONTH(B5439),1)</f>
        <v>46266</v>
      </c>
      <c r="M5439" s="31" t="n">
        <f aca="false">WEEKDAY(B5439,2)</f>
        <v>6</v>
      </c>
      <c r="N5439" s="31" t="str">
        <f aca="false">IF(G5439&lt;=INDEX(Assumptions!$B$15:$B$18,MATCH(E5439,Assumptions!$A$15:$A$18,0)),"Yes","No")</f>
        <v>Yes</v>
      </c>
      <c r="O5439" s="31" t="str">
        <f aca="false">IF(H5439="","Open",IF(H5439&lt;=INDEX(Assumptions!$C$15:$C$18,MATCH(E5439,Assumptions!$A$15:$A$18,0)),"Yes","No"))</f>
        <v>Yes</v>
      </c>
    </row>
    <row r="5440" customFormat="false" ht="15" hidden="false" customHeight="false" outlineLevel="0" collapsed="false">
      <c r="A5440" s="31" t="s">
        <v>5590</v>
      </c>
      <c r="B5440" s="44" t="n">
        <v>46277</v>
      </c>
      <c r="C5440" s="31" t="s">
        <v>57</v>
      </c>
      <c r="D5440" s="31" t="s">
        <v>66</v>
      </c>
      <c r="E5440" s="31" t="s">
        <v>52</v>
      </c>
      <c r="F5440" s="31" t="s">
        <v>119</v>
      </c>
      <c r="G5440" s="31" t="n">
        <v>3</v>
      </c>
      <c r="H5440" s="41" t="n">
        <v>21.8</v>
      </c>
      <c r="I5440" s="31" t="s">
        <v>149</v>
      </c>
      <c r="J5440" s="31" t="n">
        <v>5</v>
      </c>
      <c r="K5440" s="31" t="s">
        <v>150</v>
      </c>
      <c r="L5440" s="45" t="n">
        <f aca="false">DATE(YEAR(B5440),MONTH(B5440),1)</f>
        <v>46266</v>
      </c>
      <c r="M5440" s="31" t="n">
        <f aca="false">WEEKDAY(B5440,2)</f>
        <v>6</v>
      </c>
      <c r="N5440" s="31" t="str">
        <f aca="false">IF(G5440&lt;=INDEX(Assumptions!$B$15:$B$18,MATCH(E5440,Assumptions!$A$15:$A$18,0)),"Yes","No")</f>
        <v>Yes</v>
      </c>
      <c r="O5440" s="31" t="str">
        <f aca="false">IF(H5440="","Open",IF(H5440&lt;=INDEX(Assumptions!$C$15:$C$18,MATCH(E5440,Assumptions!$A$15:$A$18,0)),"Yes","No"))</f>
        <v>Yes</v>
      </c>
    </row>
    <row r="5441" customFormat="false" ht="15" hidden="false" customHeight="false" outlineLevel="0" collapsed="false">
      <c r="A5441" s="31" t="s">
        <v>5591</v>
      </c>
      <c r="B5441" s="44" t="n">
        <v>46277</v>
      </c>
      <c r="C5441" s="31" t="s">
        <v>58</v>
      </c>
      <c r="D5441" s="31" t="s">
        <v>67</v>
      </c>
      <c r="E5441" s="31" t="s">
        <v>51</v>
      </c>
      <c r="F5441" s="31" t="s">
        <v>122</v>
      </c>
      <c r="G5441" s="31" t="n">
        <v>5</v>
      </c>
      <c r="H5441" s="41" t="n">
        <v>47.3</v>
      </c>
      <c r="I5441" s="31" t="s">
        <v>149</v>
      </c>
      <c r="J5441" s="31"/>
      <c r="K5441" s="31" t="s">
        <v>150</v>
      </c>
      <c r="L5441" s="45" t="n">
        <f aca="false">DATE(YEAR(B5441),MONTH(B5441),1)</f>
        <v>46266</v>
      </c>
      <c r="M5441" s="31" t="n">
        <f aca="false">WEEKDAY(B5441,2)</f>
        <v>6</v>
      </c>
      <c r="N5441" s="31" t="str">
        <f aca="false">IF(G5441&lt;=INDEX(Assumptions!$B$15:$B$18,MATCH(E5441,Assumptions!$A$15:$A$18,0)),"Yes","No")</f>
        <v>Yes</v>
      </c>
      <c r="O5441" s="31" t="str">
        <f aca="false">IF(H5441="","Open",IF(H5441&lt;=INDEX(Assumptions!$C$15:$C$18,MATCH(E5441,Assumptions!$A$15:$A$18,0)),"Yes","No"))</f>
        <v>No</v>
      </c>
    </row>
    <row r="5442" customFormat="false" ht="15" hidden="false" customHeight="false" outlineLevel="0" collapsed="false">
      <c r="A5442" s="31" t="s">
        <v>5592</v>
      </c>
      <c r="B5442" s="44" t="n">
        <v>46277</v>
      </c>
      <c r="C5442" s="31" t="s">
        <v>59</v>
      </c>
      <c r="D5442" s="31" t="s">
        <v>66</v>
      </c>
      <c r="E5442" s="31" t="s">
        <v>52</v>
      </c>
      <c r="F5442" s="31" t="s">
        <v>134</v>
      </c>
      <c r="G5442" s="31" t="n">
        <v>134</v>
      </c>
      <c r="H5442" s="41" t="n">
        <v>18.4</v>
      </c>
      <c r="I5442" s="31" t="s">
        <v>149</v>
      </c>
      <c r="J5442" s="31"/>
      <c r="K5442" s="31" t="s">
        <v>150</v>
      </c>
      <c r="L5442" s="45" t="n">
        <f aca="false">DATE(YEAR(B5442),MONTH(B5442),1)</f>
        <v>46266</v>
      </c>
      <c r="M5442" s="31" t="n">
        <f aca="false">WEEKDAY(B5442,2)</f>
        <v>6</v>
      </c>
      <c r="N5442" s="31" t="str">
        <f aca="false">IF(G5442&lt;=INDEX(Assumptions!$B$15:$B$18,MATCH(E5442,Assumptions!$A$15:$A$18,0)),"Yes","No")</f>
        <v>Yes</v>
      </c>
      <c r="O5442" s="31" t="str">
        <f aca="false">IF(H5442="","Open",IF(H5442&lt;=INDEX(Assumptions!$C$15:$C$18,MATCH(E5442,Assumptions!$A$15:$A$18,0)),"Yes","No"))</f>
        <v>Yes</v>
      </c>
    </row>
    <row r="5443" customFormat="false" ht="15" hidden="false" customHeight="false" outlineLevel="0" collapsed="false">
      <c r="A5443" s="31" t="s">
        <v>5593</v>
      </c>
      <c r="B5443" s="44" t="n">
        <v>46277</v>
      </c>
      <c r="C5443" s="31" t="s">
        <v>59</v>
      </c>
      <c r="D5443" s="31" t="s">
        <v>65</v>
      </c>
      <c r="E5443" s="31" t="s">
        <v>51</v>
      </c>
      <c r="F5443" s="31" t="s">
        <v>130</v>
      </c>
      <c r="G5443" s="31" t="n">
        <v>250</v>
      </c>
      <c r="H5443" s="41" t="n">
        <v>11.5</v>
      </c>
      <c r="I5443" s="31" t="s">
        <v>149</v>
      </c>
      <c r="J5443" s="31" t="n">
        <v>3</v>
      </c>
      <c r="K5443" s="31" t="s">
        <v>150</v>
      </c>
      <c r="L5443" s="45" t="n">
        <f aca="false">DATE(YEAR(B5443),MONTH(B5443),1)</f>
        <v>46266</v>
      </c>
      <c r="M5443" s="31" t="n">
        <f aca="false">WEEKDAY(B5443,2)</f>
        <v>6</v>
      </c>
      <c r="N5443" s="31" t="str">
        <f aca="false">IF(G5443&lt;=INDEX(Assumptions!$B$15:$B$18,MATCH(E5443,Assumptions!$A$15:$A$18,0)),"Yes","No")</f>
        <v>No</v>
      </c>
      <c r="O5443" s="31" t="str">
        <f aca="false">IF(H5443="","Open",IF(H5443&lt;=INDEX(Assumptions!$C$15:$C$18,MATCH(E5443,Assumptions!$A$15:$A$18,0)),"Yes","No"))</f>
        <v>Yes</v>
      </c>
    </row>
    <row r="5444" customFormat="false" ht="15" hidden="false" customHeight="false" outlineLevel="0" collapsed="false">
      <c r="A5444" s="31" t="s">
        <v>5594</v>
      </c>
      <c r="B5444" s="44" t="n">
        <v>46277</v>
      </c>
      <c r="C5444" s="31" t="s">
        <v>57</v>
      </c>
      <c r="D5444" s="31" t="s">
        <v>67</v>
      </c>
      <c r="E5444" s="31" t="s">
        <v>51</v>
      </c>
      <c r="F5444" s="31" t="s">
        <v>130</v>
      </c>
      <c r="G5444" s="31" t="n">
        <v>4</v>
      </c>
      <c r="H5444" s="41" t="n">
        <v>16</v>
      </c>
      <c r="I5444" s="31" t="s">
        <v>149</v>
      </c>
      <c r="J5444" s="31" t="n">
        <v>5</v>
      </c>
      <c r="K5444" s="31" t="s">
        <v>150</v>
      </c>
      <c r="L5444" s="45" t="n">
        <f aca="false">DATE(YEAR(B5444),MONTH(B5444),1)</f>
        <v>46266</v>
      </c>
      <c r="M5444" s="31" t="n">
        <f aca="false">WEEKDAY(B5444,2)</f>
        <v>6</v>
      </c>
      <c r="N5444" s="31" t="str">
        <f aca="false">IF(G5444&lt;=INDEX(Assumptions!$B$15:$B$18,MATCH(E5444,Assumptions!$A$15:$A$18,0)),"Yes","No")</f>
        <v>Yes</v>
      </c>
      <c r="O5444" s="31" t="str">
        <f aca="false">IF(H5444="","Open",IF(H5444&lt;=INDEX(Assumptions!$C$15:$C$18,MATCH(E5444,Assumptions!$A$15:$A$18,0)),"Yes","No"))</f>
        <v>Yes</v>
      </c>
    </row>
    <row r="5445" customFormat="false" ht="15" hidden="false" customHeight="false" outlineLevel="0" collapsed="false">
      <c r="A5445" s="31" t="s">
        <v>5595</v>
      </c>
      <c r="B5445" s="44" t="n">
        <v>46277</v>
      </c>
      <c r="C5445" s="31" t="s">
        <v>60</v>
      </c>
      <c r="D5445" s="31" t="s">
        <v>67</v>
      </c>
      <c r="E5445" s="31" t="s">
        <v>51</v>
      </c>
      <c r="F5445" s="31" t="s">
        <v>130</v>
      </c>
      <c r="G5445" s="31" t="n">
        <v>1</v>
      </c>
      <c r="H5445" s="41" t="n">
        <v>29.3</v>
      </c>
      <c r="I5445" s="31" t="s">
        <v>149</v>
      </c>
      <c r="J5445" s="31" t="n">
        <v>3</v>
      </c>
      <c r="K5445" s="31" t="s">
        <v>150</v>
      </c>
      <c r="L5445" s="45" t="n">
        <f aca="false">DATE(YEAR(B5445),MONTH(B5445),1)</f>
        <v>46266</v>
      </c>
      <c r="M5445" s="31" t="n">
        <f aca="false">WEEKDAY(B5445,2)</f>
        <v>6</v>
      </c>
      <c r="N5445" s="31" t="str">
        <f aca="false">IF(G5445&lt;=INDEX(Assumptions!$B$15:$B$18,MATCH(E5445,Assumptions!$A$15:$A$18,0)),"Yes","No")</f>
        <v>Yes</v>
      </c>
      <c r="O5445" s="31" t="str">
        <f aca="false">IF(H5445="","Open",IF(H5445&lt;=INDEX(Assumptions!$C$15:$C$18,MATCH(E5445,Assumptions!$A$15:$A$18,0)),"Yes","No"))</f>
        <v>No</v>
      </c>
    </row>
    <row r="5446" customFormat="false" ht="15" hidden="false" customHeight="false" outlineLevel="0" collapsed="false">
      <c r="A5446" s="31" t="s">
        <v>5596</v>
      </c>
      <c r="B5446" s="44" t="n">
        <v>46277</v>
      </c>
      <c r="C5446" s="31" t="s">
        <v>57</v>
      </c>
      <c r="D5446" s="31" t="s">
        <v>67</v>
      </c>
      <c r="E5446" s="31" t="s">
        <v>50</v>
      </c>
      <c r="F5446" s="31" t="s">
        <v>124</v>
      </c>
      <c r="G5446" s="31" t="n">
        <v>5</v>
      </c>
      <c r="H5446" s="41" t="n">
        <v>1.5</v>
      </c>
      <c r="I5446" s="31" t="s">
        <v>149</v>
      </c>
      <c r="J5446" s="31" t="n">
        <v>4</v>
      </c>
      <c r="K5446" s="31" t="s">
        <v>150</v>
      </c>
      <c r="L5446" s="45" t="n">
        <f aca="false">DATE(YEAR(B5446),MONTH(B5446),1)</f>
        <v>46266</v>
      </c>
      <c r="M5446" s="31" t="n">
        <f aca="false">WEEKDAY(B5446,2)</f>
        <v>6</v>
      </c>
      <c r="N5446" s="31" t="str">
        <f aca="false">IF(G5446&lt;=INDEX(Assumptions!$B$15:$B$18,MATCH(E5446,Assumptions!$A$15:$A$18,0)),"Yes","No")</f>
        <v>Yes</v>
      </c>
      <c r="O5446" s="31" t="str">
        <f aca="false">IF(H5446="","Open",IF(H5446&lt;=INDEX(Assumptions!$C$15:$C$18,MATCH(E5446,Assumptions!$A$15:$A$18,0)),"Yes","No"))</f>
        <v>Yes</v>
      </c>
    </row>
    <row r="5447" customFormat="false" ht="15" hidden="false" customHeight="false" outlineLevel="0" collapsed="false">
      <c r="A5447" s="31" t="s">
        <v>5597</v>
      </c>
      <c r="B5447" s="44" t="n">
        <v>46277</v>
      </c>
      <c r="C5447" s="31" t="s">
        <v>57</v>
      </c>
      <c r="D5447" s="31" t="s">
        <v>65</v>
      </c>
      <c r="E5447" s="31" t="s">
        <v>50</v>
      </c>
      <c r="F5447" s="31" t="s">
        <v>124</v>
      </c>
      <c r="G5447" s="31" t="n">
        <v>1</v>
      </c>
      <c r="H5447" s="41" t="n">
        <v>2.1</v>
      </c>
      <c r="I5447" s="31" t="s">
        <v>149</v>
      </c>
      <c r="J5447" s="31"/>
      <c r="K5447" s="31" t="s">
        <v>150</v>
      </c>
      <c r="L5447" s="45" t="n">
        <f aca="false">DATE(YEAR(B5447),MONTH(B5447),1)</f>
        <v>46266</v>
      </c>
      <c r="M5447" s="31" t="n">
        <f aca="false">WEEKDAY(B5447,2)</f>
        <v>6</v>
      </c>
      <c r="N5447" s="31" t="str">
        <f aca="false">IF(G5447&lt;=INDEX(Assumptions!$B$15:$B$18,MATCH(E5447,Assumptions!$A$15:$A$18,0)),"Yes","No")</f>
        <v>Yes</v>
      </c>
      <c r="O5447" s="31" t="str">
        <f aca="false">IF(H5447="","Open",IF(H5447&lt;=INDEX(Assumptions!$C$15:$C$18,MATCH(E5447,Assumptions!$A$15:$A$18,0)),"Yes","No"))</f>
        <v>Yes</v>
      </c>
    </row>
    <row r="5448" customFormat="false" ht="15" hidden="false" customHeight="false" outlineLevel="0" collapsed="false">
      <c r="A5448" s="31" t="s">
        <v>5598</v>
      </c>
      <c r="B5448" s="44" t="n">
        <v>46277</v>
      </c>
      <c r="C5448" s="31" t="s">
        <v>60</v>
      </c>
      <c r="D5448" s="31" t="s">
        <v>66</v>
      </c>
      <c r="E5448" s="31" t="s">
        <v>51</v>
      </c>
      <c r="F5448" s="31" t="s">
        <v>136</v>
      </c>
      <c r="G5448" s="31" t="n">
        <v>1</v>
      </c>
      <c r="H5448" s="41" t="n">
        <v>5.1</v>
      </c>
      <c r="I5448" s="31" t="s">
        <v>149</v>
      </c>
      <c r="J5448" s="31" t="n">
        <v>4</v>
      </c>
      <c r="K5448" s="31" t="s">
        <v>150</v>
      </c>
      <c r="L5448" s="45" t="n">
        <f aca="false">DATE(YEAR(B5448),MONTH(B5448),1)</f>
        <v>46266</v>
      </c>
      <c r="M5448" s="31" t="n">
        <f aca="false">WEEKDAY(B5448,2)</f>
        <v>6</v>
      </c>
      <c r="N5448" s="31" t="str">
        <f aca="false">IF(G5448&lt;=INDEX(Assumptions!$B$15:$B$18,MATCH(E5448,Assumptions!$A$15:$A$18,0)),"Yes","No")</f>
        <v>Yes</v>
      </c>
      <c r="O5448" s="31" t="str">
        <f aca="false">IF(H5448="","Open",IF(H5448&lt;=INDEX(Assumptions!$C$15:$C$18,MATCH(E5448,Assumptions!$A$15:$A$18,0)),"Yes","No"))</f>
        <v>Yes</v>
      </c>
    </row>
    <row r="5449" customFormat="false" ht="15" hidden="false" customHeight="false" outlineLevel="0" collapsed="false">
      <c r="A5449" s="31" t="s">
        <v>5599</v>
      </c>
      <c r="B5449" s="44" t="n">
        <v>46277</v>
      </c>
      <c r="C5449" s="31" t="s">
        <v>57</v>
      </c>
      <c r="D5449" s="31" t="s">
        <v>67</v>
      </c>
      <c r="E5449" s="31" t="s">
        <v>52</v>
      </c>
      <c r="F5449" s="31" t="s">
        <v>121</v>
      </c>
      <c r="G5449" s="31" t="n">
        <v>7</v>
      </c>
      <c r="H5449" s="41" t="n">
        <v>42.3</v>
      </c>
      <c r="I5449" s="31" t="s">
        <v>149</v>
      </c>
      <c r="J5449" s="31"/>
      <c r="K5449" s="31" t="s">
        <v>150</v>
      </c>
      <c r="L5449" s="45" t="n">
        <f aca="false">DATE(YEAR(B5449),MONTH(B5449),1)</f>
        <v>46266</v>
      </c>
      <c r="M5449" s="31" t="n">
        <f aca="false">WEEKDAY(B5449,2)</f>
        <v>6</v>
      </c>
      <c r="N5449" s="31" t="str">
        <f aca="false">IF(G5449&lt;=INDEX(Assumptions!$B$15:$B$18,MATCH(E5449,Assumptions!$A$15:$A$18,0)),"Yes","No")</f>
        <v>Yes</v>
      </c>
      <c r="O5449" s="31" t="str">
        <f aca="false">IF(H5449="","Open",IF(H5449&lt;=INDEX(Assumptions!$C$15:$C$18,MATCH(E5449,Assumptions!$A$15:$A$18,0)),"Yes","No"))</f>
        <v>Yes</v>
      </c>
    </row>
    <row r="5450" customFormat="false" ht="15" hidden="false" customHeight="false" outlineLevel="0" collapsed="false">
      <c r="A5450" s="31" t="s">
        <v>5600</v>
      </c>
      <c r="B5450" s="44" t="n">
        <v>46277</v>
      </c>
      <c r="C5450" s="31" t="s">
        <v>57</v>
      </c>
      <c r="D5450" s="31" t="s">
        <v>66</v>
      </c>
      <c r="E5450" s="31" t="s">
        <v>52</v>
      </c>
      <c r="F5450" s="31" t="s">
        <v>117</v>
      </c>
      <c r="G5450" s="31" t="n">
        <v>1</v>
      </c>
      <c r="H5450" s="41" t="n">
        <v>2.6</v>
      </c>
      <c r="I5450" s="31" t="s">
        <v>149</v>
      </c>
      <c r="J5450" s="31"/>
      <c r="K5450" s="31" t="s">
        <v>150</v>
      </c>
      <c r="L5450" s="45" t="n">
        <f aca="false">DATE(YEAR(B5450),MONTH(B5450),1)</f>
        <v>46266</v>
      </c>
      <c r="M5450" s="31" t="n">
        <f aca="false">WEEKDAY(B5450,2)</f>
        <v>6</v>
      </c>
      <c r="N5450" s="31" t="str">
        <f aca="false">IF(G5450&lt;=INDEX(Assumptions!$B$15:$B$18,MATCH(E5450,Assumptions!$A$15:$A$18,0)),"Yes","No")</f>
        <v>Yes</v>
      </c>
      <c r="O5450" s="31" t="str">
        <f aca="false">IF(H5450="","Open",IF(H5450&lt;=INDEX(Assumptions!$C$15:$C$18,MATCH(E5450,Assumptions!$A$15:$A$18,0)),"Yes","No"))</f>
        <v>Yes</v>
      </c>
    </row>
    <row r="5451" customFormat="false" ht="15" hidden="false" customHeight="false" outlineLevel="0" collapsed="false">
      <c r="A5451" s="31" t="s">
        <v>5601</v>
      </c>
      <c r="B5451" s="44" t="n">
        <v>46277</v>
      </c>
      <c r="C5451" s="31" t="s">
        <v>60</v>
      </c>
      <c r="D5451" s="31" t="s">
        <v>67</v>
      </c>
      <c r="E5451" s="31" t="s">
        <v>49</v>
      </c>
      <c r="F5451" s="31" t="s">
        <v>131</v>
      </c>
      <c r="G5451" s="31" t="n">
        <v>2</v>
      </c>
      <c r="H5451" s="41" t="n">
        <v>4.6</v>
      </c>
      <c r="I5451" s="31" t="s">
        <v>149</v>
      </c>
      <c r="J5451" s="31" t="n">
        <v>4</v>
      </c>
      <c r="K5451" s="31" t="s">
        <v>150</v>
      </c>
      <c r="L5451" s="45" t="n">
        <f aca="false">DATE(YEAR(B5451),MONTH(B5451),1)</f>
        <v>46266</v>
      </c>
      <c r="M5451" s="31" t="n">
        <f aca="false">WEEKDAY(B5451,2)</f>
        <v>6</v>
      </c>
      <c r="N5451" s="31" t="str">
        <f aca="false">IF(G5451&lt;=INDEX(Assumptions!$B$15:$B$18,MATCH(E5451,Assumptions!$A$15:$A$18,0)),"Yes","No")</f>
        <v>Yes</v>
      </c>
      <c r="O5451" s="31" t="str">
        <f aca="false">IF(H5451="","Open",IF(H5451&lt;=INDEX(Assumptions!$C$15:$C$18,MATCH(E5451,Assumptions!$A$15:$A$18,0)),"Yes","No"))</f>
        <v>No</v>
      </c>
    </row>
    <row r="5452" customFormat="false" ht="15" hidden="false" customHeight="false" outlineLevel="0" collapsed="false">
      <c r="A5452" s="31" t="s">
        <v>5602</v>
      </c>
      <c r="B5452" s="44" t="n">
        <v>46277</v>
      </c>
      <c r="C5452" s="31" t="s">
        <v>60</v>
      </c>
      <c r="D5452" s="31" t="s">
        <v>69</v>
      </c>
      <c r="E5452" s="31" t="s">
        <v>51</v>
      </c>
      <c r="F5452" s="31" t="s">
        <v>130</v>
      </c>
      <c r="G5452" s="31" t="n">
        <v>6</v>
      </c>
      <c r="H5452" s="41" t="n">
        <v>9.4</v>
      </c>
      <c r="I5452" s="31" t="s">
        <v>149</v>
      </c>
      <c r="J5452" s="31"/>
      <c r="K5452" s="31" t="s">
        <v>150</v>
      </c>
      <c r="L5452" s="45" t="n">
        <f aca="false">DATE(YEAR(B5452),MONTH(B5452),1)</f>
        <v>46266</v>
      </c>
      <c r="M5452" s="31" t="n">
        <f aca="false">WEEKDAY(B5452,2)</f>
        <v>6</v>
      </c>
      <c r="N5452" s="31" t="str">
        <f aca="false">IF(G5452&lt;=INDEX(Assumptions!$B$15:$B$18,MATCH(E5452,Assumptions!$A$15:$A$18,0)),"Yes","No")</f>
        <v>Yes</v>
      </c>
      <c r="O5452" s="31" t="str">
        <f aca="false">IF(H5452="","Open",IF(H5452&lt;=INDEX(Assumptions!$C$15:$C$18,MATCH(E5452,Assumptions!$A$15:$A$18,0)),"Yes","No"))</f>
        <v>Yes</v>
      </c>
    </row>
    <row r="5453" customFormat="false" ht="15" hidden="false" customHeight="false" outlineLevel="0" collapsed="false">
      <c r="A5453" s="31" t="s">
        <v>5603</v>
      </c>
      <c r="B5453" s="44" t="n">
        <v>46277</v>
      </c>
      <c r="C5453" s="31" t="s">
        <v>58</v>
      </c>
      <c r="D5453" s="31" t="s">
        <v>65</v>
      </c>
      <c r="E5453" s="31" t="s">
        <v>52</v>
      </c>
      <c r="F5453" s="31" t="s">
        <v>128</v>
      </c>
      <c r="G5453" s="31" t="n">
        <v>11</v>
      </c>
      <c r="H5453" s="41" t="n">
        <v>13.6</v>
      </c>
      <c r="I5453" s="31" t="s">
        <v>149</v>
      </c>
      <c r="J5453" s="31"/>
      <c r="K5453" s="31" t="s">
        <v>150</v>
      </c>
      <c r="L5453" s="45" t="n">
        <f aca="false">DATE(YEAR(B5453),MONTH(B5453),1)</f>
        <v>46266</v>
      </c>
      <c r="M5453" s="31" t="n">
        <f aca="false">WEEKDAY(B5453,2)</f>
        <v>6</v>
      </c>
      <c r="N5453" s="31" t="str">
        <f aca="false">IF(G5453&lt;=INDEX(Assumptions!$B$15:$B$18,MATCH(E5453,Assumptions!$A$15:$A$18,0)),"Yes","No")</f>
        <v>Yes</v>
      </c>
      <c r="O5453" s="31" t="str">
        <f aca="false">IF(H5453="","Open",IF(H5453&lt;=INDEX(Assumptions!$C$15:$C$18,MATCH(E5453,Assumptions!$A$15:$A$18,0)),"Yes","No"))</f>
        <v>Yes</v>
      </c>
    </row>
    <row r="5454" customFormat="false" ht="15" hidden="false" customHeight="false" outlineLevel="0" collapsed="false">
      <c r="A5454" s="31" t="s">
        <v>5604</v>
      </c>
      <c r="B5454" s="44" t="n">
        <v>46277</v>
      </c>
      <c r="C5454" s="31" t="s">
        <v>58</v>
      </c>
      <c r="D5454" s="31" t="s">
        <v>65</v>
      </c>
      <c r="E5454" s="31" t="s">
        <v>51</v>
      </c>
      <c r="F5454" s="31" t="s">
        <v>137</v>
      </c>
      <c r="G5454" s="31" t="n">
        <v>13</v>
      </c>
      <c r="H5454" s="41" t="n">
        <v>17.7</v>
      </c>
      <c r="I5454" s="31" t="s">
        <v>149</v>
      </c>
      <c r="J5454" s="31" t="n">
        <v>5</v>
      </c>
      <c r="K5454" s="31" t="s">
        <v>150</v>
      </c>
      <c r="L5454" s="45" t="n">
        <f aca="false">DATE(YEAR(B5454),MONTH(B5454),1)</f>
        <v>46266</v>
      </c>
      <c r="M5454" s="31" t="n">
        <f aca="false">WEEKDAY(B5454,2)</f>
        <v>6</v>
      </c>
      <c r="N5454" s="31" t="str">
        <f aca="false">IF(G5454&lt;=INDEX(Assumptions!$B$15:$B$18,MATCH(E5454,Assumptions!$A$15:$A$18,0)),"Yes","No")</f>
        <v>Yes</v>
      </c>
      <c r="O5454" s="31" t="str">
        <f aca="false">IF(H5454="","Open",IF(H5454&lt;=INDEX(Assumptions!$C$15:$C$18,MATCH(E5454,Assumptions!$A$15:$A$18,0)),"Yes","No"))</f>
        <v>Yes</v>
      </c>
    </row>
    <row r="5455" customFormat="false" ht="15" hidden="false" customHeight="false" outlineLevel="0" collapsed="false">
      <c r="A5455" s="31" t="s">
        <v>5605</v>
      </c>
      <c r="B5455" s="44" t="n">
        <v>46277</v>
      </c>
      <c r="C5455" s="31" t="s">
        <v>57</v>
      </c>
      <c r="D5455" s="31" t="s">
        <v>68</v>
      </c>
      <c r="E5455" s="31" t="s">
        <v>50</v>
      </c>
      <c r="F5455" s="31" t="s">
        <v>124</v>
      </c>
      <c r="G5455" s="31" t="n">
        <v>2</v>
      </c>
      <c r="H5455" s="41" t="n">
        <v>1.7</v>
      </c>
      <c r="I5455" s="31" t="s">
        <v>149</v>
      </c>
      <c r="J5455" s="31"/>
      <c r="K5455" s="31" t="s">
        <v>150</v>
      </c>
      <c r="L5455" s="45" t="n">
        <f aca="false">DATE(YEAR(B5455),MONTH(B5455),1)</f>
        <v>46266</v>
      </c>
      <c r="M5455" s="31" t="n">
        <f aca="false">WEEKDAY(B5455,2)</f>
        <v>6</v>
      </c>
      <c r="N5455" s="31" t="str">
        <f aca="false">IF(G5455&lt;=INDEX(Assumptions!$B$15:$B$18,MATCH(E5455,Assumptions!$A$15:$A$18,0)),"Yes","No")</f>
        <v>Yes</v>
      </c>
      <c r="O5455" s="31" t="str">
        <f aca="false">IF(H5455="","Open",IF(H5455&lt;=INDEX(Assumptions!$C$15:$C$18,MATCH(E5455,Assumptions!$A$15:$A$18,0)),"Yes","No"))</f>
        <v>Yes</v>
      </c>
    </row>
    <row r="5456" customFormat="false" ht="15" hidden="false" customHeight="false" outlineLevel="0" collapsed="false">
      <c r="A5456" s="31" t="s">
        <v>5606</v>
      </c>
      <c r="B5456" s="44" t="n">
        <v>46277</v>
      </c>
      <c r="C5456" s="31" t="s">
        <v>57</v>
      </c>
      <c r="D5456" s="31" t="s">
        <v>65</v>
      </c>
      <c r="E5456" s="31" t="s">
        <v>50</v>
      </c>
      <c r="F5456" s="31" t="s">
        <v>128</v>
      </c>
      <c r="G5456" s="31" t="n">
        <v>16</v>
      </c>
      <c r="H5456" s="41"/>
      <c r="I5456" s="31" t="s">
        <v>158</v>
      </c>
      <c r="J5456" s="31"/>
      <c r="K5456" s="31" t="s">
        <v>150</v>
      </c>
      <c r="L5456" s="45" t="n">
        <f aca="false">DATE(YEAR(B5456),MONTH(B5456),1)</f>
        <v>46266</v>
      </c>
      <c r="M5456" s="31" t="n">
        <f aca="false">WEEKDAY(B5456,2)</f>
        <v>6</v>
      </c>
      <c r="N5456" s="31" t="str">
        <f aca="false">IF(G5456&lt;=INDEX(Assumptions!$B$15:$B$18,MATCH(E5456,Assumptions!$A$15:$A$18,0)),"Yes","No")</f>
        <v>Yes</v>
      </c>
      <c r="O5456" s="31" t="str">
        <f aca="false">IF(H5456="","Open",IF(H5456&lt;=INDEX(Assumptions!$C$15:$C$18,MATCH(E5456,Assumptions!$A$15:$A$18,0)),"Yes","No"))</f>
        <v>Open</v>
      </c>
    </row>
    <row r="5457" customFormat="false" ht="15" hidden="false" customHeight="false" outlineLevel="0" collapsed="false">
      <c r="A5457" s="31" t="s">
        <v>5607</v>
      </c>
      <c r="B5457" s="44" t="n">
        <v>46277</v>
      </c>
      <c r="C5457" s="31" t="s">
        <v>58</v>
      </c>
      <c r="D5457" s="31" t="s">
        <v>67</v>
      </c>
      <c r="E5457" s="31" t="s">
        <v>51</v>
      </c>
      <c r="F5457" s="31" t="s">
        <v>128</v>
      </c>
      <c r="G5457" s="31" t="n">
        <v>13</v>
      </c>
      <c r="H5457" s="41" t="n">
        <v>18.6</v>
      </c>
      <c r="I5457" s="31" t="s">
        <v>149</v>
      </c>
      <c r="J5457" s="31" t="n">
        <v>4</v>
      </c>
      <c r="K5457" s="31" t="s">
        <v>150</v>
      </c>
      <c r="L5457" s="45" t="n">
        <f aca="false">DATE(YEAR(B5457),MONTH(B5457),1)</f>
        <v>46266</v>
      </c>
      <c r="M5457" s="31" t="n">
        <f aca="false">WEEKDAY(B5457,2)</f>
        <v>6</v>
      </c>
      <c r="N5457" s="31" t="str">
        <f aca="false">IF(G5457&lt;=INDEX(Assumptions!$B$15:$B$18,MATCH(E5457,Assumptions!$A$15:$A$18,0)),"Yes","No")</f>
        <v>Yes</v>
      </c>
      <c r="O5457" s="31" t="str">
        <f aca="false">IF(H5457="","Open",IF(H5457&lt;=INDEX(Assumptions!$C$15:$C$18,MATCH(E5457,Assumptions!$A$15:$A$18,0)),"Yes","No"))</f>
        <v>Yes</v>
      </c>
    </row>
    <row r="5458" customFormat="false" ht="15" hidden="false" customHeight="false" outlineLevel="0" collapsed="false">
      <c r="A5458" s="31" t="s">
        <v>5608</v>
      </c>
      <c r="B5458" s="44" t="n">
        <v>46277</v>
      </c>
      <c r="C5458" s="31" t="s">
        <v>58</v>
      </c>
      <c r="D5458" s="31" t="s">
        <v>66</v>
      </c>
      <c r="E5458" s="31" t="s">
        <v>51</v>
      </c>
      <c r="F5458" s="31" t="s">
        <v>121</v>
      </c>
      <c r="G5458" s="31" t="n">
        <v>6</v>
      </c>
      <c r="H5458" s="41" t="n">
        <v>13.7</v>
      </c>
      <c r="I5458" s="31" t="s">
        <v>149</v>
      </c>
      <c r="J5458" s="31" t="n">
        <v>5</v>
      </c>
      <c r="K5458" s="31" t="s">
        <v>150</v>
      </c>
      <c r="L5458" s="45" t="n">
        <f aca="false">DATE(YEAR(B5458),MONTH(B5458),1)</f>
        <v>46266</v>
      </c>
      <c r="M5458" s="31" t="n">
        <f aca="false">WEEKDAY(B5458,2)</f>
        <v>6</v>
      </c>
      <c r="N5458" s="31" t="str">
        <f aca="false">IF(G5458&lt;=INDEX(Assumptions!$B$15:$B$18,MATCH(E5458,Assumptions!$A$15:$A$18,0)),"Yes","No")</f>
        <v>Yes</v>
      </c>
      <c r="O5458" s="31" t="str">
        <f aca="false">IF(H5458="","Open",IF(H5458&lt;=INDEX(Assumptions!$C$15:$C$18,MATCH(E5458,Assumptions!$A$15:$A$18,0)),"Yes","No"))</f>
        <v>Yes</v>
      </c>
    </row>
    <row r="5459" customFormat="false" ht="15" hidden="false" customHeight="false" outlineLevel="0" collapsed="false">
      <c r="A5459" s="31" t="s">
        <v>5609</v>
      </c>
      <c r="B5459" s="44" t="n">
        <v>46277</v>
      </c>
      <c r="C5459" s="31" t="s">
        <v>60</v>
      </c>
      <c r="D5459" s="31" t="s">
        <v>68</v>
      </c>
      <c r="E5459" s="31" t="s">
        <v>50</v>
      </c>
      <c r="F5459" s="31" t="s">
        <v>136</v>
      </c>
      <c r="G5459" s="31" t="n">
        <v>1</v>
      </c>
      <c r="H5459" s="41" t="n">
        <v>1.3</v>
      </c>
      <c r="I5459" s="31" t="s">
        <v>149</v>
      </c>
      <c r="J5459" s="31"/>
      <c r="K5459" s="31" t="s">
        <v>150</v>
      </c>
      <c r="L5459" s="45" t="n">
        <f aca="false">DATE(YEAR(B5459),MONTH(B5459),1)</f>
        <v>46266</v>
      </c>
      <c r="M5459" s="31" t="n">
        <f aca="false">WEEKDAY(B5459,2)</f>
        <v>6</v>
      </c>
      <c r="N5459" s="31" t="str">
        <f aca="false">IF(G5459&lt;=INDEX(Assumptions!$B$15:$B$18,MATCH(E5459,Assumptions!$A$15:$A$18,0)),"Yes","No")</f>
        <v>Yes</v>
      </c>
      <c r="O5459" s="31" t="str">
        <f aca="false">IF(H5459="","Open",IF(H5459&lt;=INDEX(Assumptions!$C$15:$C$18,MATCH(E5459,Assumptions!$A$15:$A$18,0)),"Yes","No"))</f>
        <v>Yes</v>
      </c>
    </row>
    <row r="5460" customFormat="false" ht="15" hidden="false" customHeight="false" outlineLevel="0" collapsed="false">
      <c r="A5460" s="31" t="s">
        <v>5610</v>
      </c>
      <c r="B5460" s="44" t="n">
        <v>46277</v>
      </c>
      <c r="C5460" s="31" t="s">
        <v>60</v>
      </c>
      <c r="D5460" s="31" t="s">
        <v>67</v>
      </c>
      <c r="E5460" s="31" t="s">
        <v>50</v>
      </c>
      <c r="F5460" s="31" t="s">
        <v>130</v>
      </c>
      <c r="G5460" s="31" t="n">
        <v>1</v>
      </c>
      <c r="H5460" s="41" t="n">
        <v>5.9</v>
      </c>
      <c r="I5460" s="31" t="s">
        <v>149</v>
      </c>
      <c r="J5460" s="31" t="n">
        <v>5</v>
      </c>
      <c r="K5460" s="31" t="s">
        <v>150</v>
      </c>
      <c r="L5460" s="45" t="n">
        <f aca="false">DATE(YEAR(B5460),MONTH(B5460),1)</f>
        <v>46266</v>
      </c>
      <c r="M5460" s="31" t="n">
        <f aca="false">WEEKDAY(B5460,2)</f>
        <v>6</v>
      </c>
      <c r="N5460" s="31" t="str">
        <f aca="false">IF(G5460&lt;=INDEX(Assumptions!$B$15:$B$18,MATCH(E5460,Assumptions!$A$15:$A$18,0)),"Yes","No")</f>
        <v>Yes</v>
      </c>
      <c r="O5460" s="31" t="str">
        <f aca="false">IF(H5460="","Open",IF(H5460&lt;=INDEX(Assumptions!$C$15:$C$18,MATCH(E5460,Assumptions!$A$15:$A$18,0)),"Yes","No"))</f>
        <v>Yes</v>
      </c>
    </row>
    <row r="5461" customFormat="false" ht="15" hidden="false" customHeight="false" outlineLevel="0" collapsed="false">
      <c r="A5461" s="31" t="s">
        <v>5611</v>
      </c>
      <c r="B5461" s="44" t="n">
        <v>46277</v>
      </c>
      <c r="C5461" s="31" t="s">
        <v>59</v>
      </c>
      <c r="D5461" s="31" t="s">
        <v>65</v>
      </c>
      <c r="E5461" s="31" t="s">
        <v>51</v>
      </c>
      <c r="F5461" s="31" t="s">
        <v>122</v>
      </c>
      <c r="G5461" s="31" t="n">
        <v>27</v>
      </c>
      <c r="H5461" s="41" t="n">
        <v>13.9</v>
      </c>
      <c r="I5461" s="31" t="s">
        <v>149</v>
      </c>
      <c r="J5461" s="31" t="n">
        <v>4</v>
      </c>
      <c r="K5461" s="31" t="s">
        <v>150</v>
      </c>
      <c r="L5461" s="45" t="n">
        <f aca="false">DATE(YEAR(B5461),MONTH(B5461),1)</f>
        <v>46266</v>
      </c>
      <c r="M5461" s="31" t="n">
        <f aca="false">WEEKDAY(B5461,2)</f>
        <v>6</v>
      </c>
      <c r="N5461" s="31" t="str">
        <f aca="false">IF(G5461&lt;=INDEX(Assumptions!$B$15:$B$18,MATCH(E5461,Assumptions!$A$15:$A$18,0)),"Yes","No")</f>
        <v>Yes</v>
      </c>
      <c r="O5461" s="31" t="str">
        <f aca="false">IF(H5461="","Open",IF(H5461&lt;=INDEX(Assumptions!$C$15:$C$18,MATCH(E5461,Assumptions!$A$15:$A$18,0)),"Yes","No"))</f>
        <v>Yes</v>
      </c>
    </row>
    <row r="5462" customFormat="false" ht="15" hidden="false" customHeight="false" outlineLevel="0" collapsed="false">
      <c r="A5462" s="31" t="s">
        <v>5612</v>
      </c>
      <c r="B5462" s="44" t="n">
        <v>46277</v>
      </c>
      <c r="C5462" s="31" t="s">
        <v>60</v>
      </c>
      <c r="D5462" s="31" t="s">
        <v>66</v>
      </c>
      <c r="E5462" s="31" t="s">
        <v>51</v>
      </c>
      <c r="F5462" s="31" t="s">
        <v>130</v>
      </c>
      <c r="G5462" s="31" t="n">
        <v>4</v>
      </c>
      <c r="H5462" s="41" t="n">
        <v>11.9</v>
      </c>
      <c r="I5462" s="31" t="s">
        <v>149</v>
      </c>
      <c r="J5462" s="31" t="n">
        <v>5</v>
      </c>
      <c r="K5462" s="31" t="s">
        <v>153</v>
      </c>
      <c r="L5462" s="45" t="n">
        <f aca="false">DATE(YEAR(B5462),MONTH(B5462),1)</f>
        <v>46266</v>
      </c>
      <c r="M5462" s="31" t="n">
        <f aca="false">WEEKDAY(B5462,2)</f>
        <v>6</v>
      </c>
      <c r="N5462" s="31" t="str">
        <f aca="false">IF(G5462&lt;=INDEX(Assumptions!$B$15:$B$18,MATCH(E5462,Assumptions!$A$15:$A$18,0)),"Yes","No")</f>
        <v>Yes</v>
      </c>
      <c r="O5462" s="31" t="str">
        <f aca="false">IF(H5462="","Open",IF(H5462&lt;=INDEX(Assumptions!$C$15:$C$18,MATCH(E5462,Assumptions!$A$15:$A$18,0)),"Yes","No"))</f>
        <v>Yes</v>
      </c>
    </row>
    <row r="5463" customFormat="false" ht="15" hidden="false" customHeight="false" outlineLevel="0" collapsed="false">
      <c r="A5463" s="31" t="s">
        <v>5613</v>
      </c>
      <c r="B5463" s="44" t="n">
        <v>46277</v>
      </c>
      <c r="C5463" s="31" t="s">
        <v>60</v>
      </c>
      <c r="D5463" s="31" t="s">
        <v>65</v>
      </c>
      <c r="E5463" s="31" t="s">
        <v>51</v>
      </c>
      <c r="F5463" s="31" t="s">
        <v>131</v>
      </c>
      <c r="G5463" s="31" t="n">
        <v>1</v>
      </c>
      <c r="H5463" s="41" t="n">
        <v>6.2</v>
      </c>
      <c r="I5463" s="31" t="s">
        <v>149</v>
      </c>
      <c r="J5463" s="31"/>
      <c r="K5463" s="31" t="s">
        <v>150</v>
      </c>
      <c r="L5463" s="45" t="n">
        <f aca="false">DATE(YEAR(B5463),MONTH(B5463),1)</f>
        <v>46266</v>
      </c>
      <c r="M5463" s="31" t="n">
        <f aca="false">WEEKDAY(B5463,2)</f>
        <v>6</v>
      </c>
      <c r="N5463" s="31" t="str">
        <f aca="false">IF(G5463&lt;=INDEX(Assumptions!$B$15:$B$18,MATCH(E5463,Assumptions!$A$15:$A$18,0)),"Yes","No")</f>
        <v>Yes</v>
      </c>
      <c r="O5463" s="31" t="str">
        <f aca="false">IF(H5463="","Open",IF(H5463&lt;=INDEX(Assumptions!$C$15:$C$18,MATCH(E5463,Assumptions!$A$15:$A$18,0)),"Yes","No"))</f>
        <v>Yes</v>
      </c>
    </row>
    <row r="5464" customFormat="false" ht="15" hidden="false" customHeight="false" outlineLevel="0" collapsed="false">
      <c r="A5464" s="31" t="s">
        <v>5614</v>
      </c>
      <c r="B5464" s="44" t="n">
        <v>46277</v>
      </c>
      <c r="C5464" s="31" t="s">
        <v>58</v>
      </c>
      <c r="D5464" s="31" t="s">
        <v>68</v>
      </c>
      <c r="E5464" s="31" t="s">
        <v>49</v>
      </c>
      <c r="F5464" s="31" t="s">
        <v>136</v>
      </c>
      <c r="G5464" s="31" t="n">
        <v>4</v>
      </c>
      <c r="H5464" s="41" t="n">
        <v>1.1</v>
      </c>
      <c r="I5464" s="31" t="s">
        <v>149</v>
      </c>
      <c r="J5464" s="31" t="n">
        <v>4</v>
      </c>
      <c r="K5464" s="31" t="s">
        <v>150</v>
      </c>
      <c r="L5464" s="45" t="n">
        <f aca="false">DATE(YEAR(B5464),MONTH(B5464),1)</f>
        <v>46266</v>
      </c>
      <c r="M5464" s="31" t="n">
        <f aca="false">WEEKDAY(B5464,2)</f>
        <v>6</v>
      </c>
      <c r="N5464" s="31" t="str">
        <f aca="false">IF(G5464&lt;=INDEX(Assumptions!$B$15:$B$18,MATCH(E5464,Assumptions!$A$15:$A$18,0)),"Yes","No")</f>
        <v>Yes</v>
      </c>
      <c r="O5464" s="31" t="str">
        <f aca="false">IF(H5464="","Open",IF(H5464&lt;=INDEX(Assumptions!$C$15:$C$18,MATCH(E5464,Assumptions!$A$15:$A$18,0)),"Yes","No"))</f>
        <v>Yes</v>
      </c>
    </row>
    <row r="5465" customFormat="false" ht="15" hidden="false" customHeight="false" outlineLevel="0" collapsed="false">
      <c r="A5465" s="31" t="s">
        <v>5615</v>
      </c>
      <c r="B5465" s="44" t="n">
        <v>46277</v>
      </c>
      <c r="C5465" s="31" t="s">
        <v>60</v>
      </c>
      <c r="D5465" s="31" t="s">
        <v>66</v>
      </c>
      <c r="E5465" s="31" t="s">
        <v>51</v>
      </c>
      <c r="F5465" s="31" t="s">
        <v>130</v>
      </c>
      <c r="G5465" s="31" t="n">
        <v>1</v>
      </c>
      <c r="H5465" s="41" t="n">
        <v>4.3</v>
      </c>
      <c r="I5465" s="31" t="s">
        <v>149</v>
      </c>
      <c r="J5465" s="31" t="n">
        <v>4</v>
      </c>
      <c r="K5465" s="31" t="s">
        <v>150</v>
      </c>
      <c r="L5465" s="45" t="n">
        <f aca="false">DATE(YEAR(B5465),MONTH(B5465),1)</f>
        <v>46266</v>
      </c>
      <c r="M5465" s="31" t="n">
        <f aca="false">WEEKDAY(B5465,2)</f>
        <v>6</v>
      </c>
      <c r="N5465" s="31" t="str">
        <f aca="false">IF(G5465&lt;=INDEX(Assumptions!$B$15:$B$18,MATCH(E5465,Assumptions!$A$15:$A$18,0)),"Yes","No")</f>
        <v>Yes</v>
      </c>
      <c r="O5465" s="31" t="str">
        <f aca="false">IF(H5465="","Open",IF(H5465&lt;=INDEX(Assumptions!$C$15:$C$18,MATCH(E5465,Assumptions!$A$15:$A$18,0)),"Yes","No"))</f>
        <v>Yes</v>
      </c>
    </row>
    <row r="5466" customFormat="false" ht="15" hidden="false" customHeight="false" outlineLevel="0" collapsed="false">
      <c r="A5466" s="31" t="s">
        <v>5616</v>
      </c>
      <c r="B5466" s="44" t="n">
        <v>46277</v>
      </c>
      <c r="C5466" s="31" t="s">
        <v>59</v>
      </c>
      <c r="D5466" s="31" t="s">
        <v>66</v>
      </c>
      <c r="E5466" s="31" t="s">
        <v>50</v>
      </c>
      <c r="F5466" s="31" t="s">
        <v>121</v>
      </c>
      <c r="G5466" s="31" t="n">
        <v>50</v>
      </c>
      <c r="H5466" s="41" t="n">
        <v>2.1</v>
      </c>
      <c r="I5466" s="31" t="s">
        <v>149</v>
      </c>
      <c r="J5466" s="31"/>
      <c r="K5466" s="31" t="s">
        <v>150</v>
      </c>
      <c r="L5466" s="45" t="n">
        <f aca="false">DATE(YEAR(B5466),MONTH(B5466),1)</f>
        <v>46266</v>
      </c>
      <c r="M5466" s="31" t="n">
        <f aca="false">WEEKDAY(B5466,2)</f>
        <v>6</v>
      </c>
      <c r="N5466" s="31" t="str">
        <f aca="false">IF(G5466&lt;=INDEX(Assumptions!$B$15:$B$18,MATCH(E5466,Assumptions!$A$15:$A$18,0)),"Yes","No")</f>
        <v>No</v>
      </c>
      <c r="O5466" s="31" t="str">
        <f aca="false">IF(H5466="","Open",IF(H5466&lt;=INDEX(Assumptions!$C$15:$C$18,MATCH(E5466,Assumptions!$A$15:$A$18,0)),"Yes","No"))</f>
        <v>Yes</v>
      </c>
    </row>
    <row r="5467" customFormat="false" ht="15" hidden="false" customHeight="false" outlineLevel="0" collapsed="false">
      <c r="A5467" s="31" t="s">
        <v>5617</v>
      </c>
      <c r="B5467" s="44" t="n">
        <v>46277</v>
      </c>
      <c r="C5467" s="31" t="s">
        <v>60</v>
      </c>
      <c r="D5467" s="31" t="s">
        <v>65</v>
      </c>
      <c r="E5467" s="31" t="s">
        <v>51</v>
      </c>
      <c r="F5467" s="31" t="s">
        <v>126</v>
      </c>
      <c r="G5467" s="31" t="n">
        <v>2</v>
      </c>
      <c r="H5467" s="41" t="n">
        <v>6.1</v>
      </c>
      <c r="I5467" s="31" t="s">
        <v>149</v>
      </c>
      <c r="J5467" s="31" t="n">
        <v>4</v>
      </c>
      <c r="K5467" s="31" t="s">
        <v>150</v>
      </c>
      <c r="L5467" s="45" t="n">
        <f aca="false">DATE(YEAR(B5467),MONTH(B5467),1)</f>
        <v>46266</v>
      </c>
      <c r="M5467" s="31" t="n">
        <f aca="false">WEEKDAY(B5467,2)</f>
        <v>6</v>
      </c>
      <c r="N5467" s="31" t="str">
        <f aca="false">IF(G5467&lt;=INDEX(Assumptions!$B$15:$B$18,MATCH(E5467,Assumptions!$A$15:$A$18,0)),"Yes","No")</f>
        <v>Yes</v>
      </c>
      <c r="O5467" s="31" t="str">
        <f aca="false">IF(H5467="","Open",IF(H5467&lt;=INDEX(Assumptions!$C$15:$C$18,MATCH(E5467,Assumptions!$A$15:$A$18,0)),"Yes","No"))</f>
        <v>Yes</v>
      </c>
    </row>
    <row r="5468" customFormat="false" ht="15" hidden="false" customHeight="false" outlineLevel="0" collapsed="false">
      <c r="A5468" s="31" t="s">
        <v>5618</v>
      </c>
      <c r="B5468" s="44" t="n">
        <v>46277</v>
      </c>
      <c r="C5468" s="31" t="s">
        <v>57</v>
      </c>
      <c r="D5468" s="31" t="s">
        <v>66</v>
      </c>
      <c r="E5468" s="31" t="s">
        <v>51</v>
      </c>
      <c r="F5468" s="31" t="s">
        <v>123</v>
      </c>
      <c r="G5468" s="31" t="n">
        <v>9</v>
      </c>
      <c r="H5468" s="41" t="n">
        <v>4.7</v>
      </c>
      <c r="I5468" s="31" t="s">
        <v>149</v>
      </c>
      <c r="J5468" s="31"/>
      <c r="K5468" s="31" t="s">
        <v>150</v>
      </c>
      <c r="L5468" s="45" t="n">
        <f aca="false">DATE(YEAR(B5468),MONTH(B5468),1)</f>
        <v>46266</v>
      </c>
      <c r="M5468" s="31" t="n">
        <f aca="false">WEEKDAY(B5468,2)</f>
        <v>6</v>
      </c>
      <c r="N5468" s="31" t="str">
        <f aca="false">IF(G5468&lt;=INDEX(Assumptions!$B$15:$B$18,MATCH(E5468,Assumptions!$A$15:$A$18,0)),"Yes","No")</f>
        <v>Yes</v>
      </c>
      <c r="O5468" s="31" t="str">
        <f aca="false">IF(H5468="","Open",IF(H5468&lt;=INDEX(Assumptions!$C$15:$C$18,MATCH(E5468,Assumptions!$A$15:$A$18,0)),"Yes","No"))</f>
        <v>Yes</v>
      </c>
    </row>
    <row r="5469" customFormat="false" ht="15" hidden="false" customHeight="false" outlineLevel="0" collapsed="false">
      <c r="A5469" s="31" t="s">
        <v>5619</v>
      </c>
      <c r="B5469" s="44" t="n">
        <v>46277</v>
      </c>
      <c r="C5469" s="31" t="s">
        <v>57</v>
      </c>
      <c r="D5469" s="31" t="s">
        <v>67</v>
      </c>
      <c r="E5469" s="31" t="s">
        <v>50</v>
      </c>
      <c r="F5469" s="31" t="s">
        <v>130</v>
      </c>
      <c r="G5469" s="31" t="n">
        <v>6</v>
      </c>
      <c r="H5469" s="41" t="n">
        <v>3.1</v>
      </c>
      <c r="I5469" s="31" t="s">
        <v>149</v>
      </c>
      <c r="J5469" s="31" t="n">
        <v>5</v>
      </c>
      <c r="K5469" s="31" t="s">
        <v>150</v>
      </c>
      <c r="L5469" s="45" t="n">
        <f aca="false">DATE(YEAR(B5469),MONTH(B5469),1)</f>
        <v>46266</v>
      </c>
      <c r="M5469" s="31" t="n">
        <f aca="false">WEEKDAY(B5469,2)</f>
        <v>6</v>
      </c>
      <c r="N5469" s="31" t="str">
        <f aca="false">IF(G5469&lt;=INDEX(Assumptions!$B$15:$B$18,MATCH(E5469,Assumptions!$A$15:$A$18,0)),"Yes","No")</f>
        <v>Yes</v>
      </c>
      <c r="O5469" s="31" t="str">
        <f aca="false">IF(H5469="","Open",IF(H5469&lt;=INDEX(Assumptions!$C$15:$C$18,MATCH(E5469,Assumptions!$A$15:$A$18,0)),"Yes","No"))</f>
        <v>Yes</v>
      </c>
    </row>
    <row r="5470" customFormat="false" ht="15" hidden="false" customHeight="false" outlineLevel="0" collapsed="false">
      <c r="A5470" s="31" t="s">
        <v>5620</v>
      </c>
      <c r="B5470" s="44" t="n">
        <v>46277</v>
      </c>
      <c r="C5470" s="31" t="s">
        <v>60</v>
      </c>
      <c r="D5470" s="31" t="s">
        <v>65</v>
      </c>
      <c r="E5470" s="31" t="s">
        <v>52</v>
      </c>
      <c r="F5470" s="31" t="s">
        <v>128</v>
      </c>
      <c r="G5470" s="31" t="n">
        <v>3</v>
      </c>
      <c r="H5470" s="41" t="n">
        <v>46.3</v>
      </c>
      <c r="I5470" s="31" t="s">
        <v>149</v>
      </c>
      <c r="J5470" s="31" t="n">
        <v>4</v>
      </c>
      <c r="K5470" s="31" t="s">
        <v>153</v>
      </c>
      <c r="L5470" s="45" t="n">
        <f aca="false">DATE(YEAR(B5470),MONTH(B5470),1)</f>
        <v>46266</v>
      </c>
      <c r="M5470" s="31" t="n">
        <f aca="false">WEEKDAY(B5470,2)</f>
        <v>6</v>
      </c>
      <c r="N5470" s="31" t="str">
        <f aca="false">IF(G5470&lt;=INDEX(Assumptions!$B$15:$B$18,MATCH(E5470,Assumptions!$A$15:$A$18,0)),"Yes","No")</f>
        <v>Yes</v>
      </c>
      <c r="O5470" s="31" t="str">
        <f aca="false">IF(H5470="","Open",IF(H5470&lt;=INDEX(Assumptions!$C$15:$C$18,MATCH(E5470,Assumptions!$A$15:$A$18,0)),"Yes","No"))</f>
        <v>Yes</v>
      </c>
    </row>
    <row r="5471" customFormat="false" ht="15" hidden="false" customHeight="false" outlineLevel="0" collapsed="false">
      <c r="A5471" s="31" t="s">
        <v>5621</v>
      </c>
      <c r="B5471" s="44" t="n">
        <v>46277</v>
      </c>
      <c r="C5471" s="31" t="s">
        <v>57</v>
      </c>
      <c r="D5471" s="31" t="s">
        <v>66</v>
      </c>
      <c r="E5471" s="31" t="s">
        <v>52</v>
      </c>
      <c r="F5471" s="31" t="s">
        <v>117</v>
      </c>
      <c r="G5471" s="31" t="n">
        <v>5</v>
      </c>
      <c r="H5471" s="41" t="n">
        <v>12.5</v>
      </c>
      <c r="I5471" s="31" t="s">
        <v>149</v>
      </c>
      <c r="J5471" s="31" t="n">
        <v>4</v>
      </c>
      <c r="K5471" s="31" t="s">
        <v>150</v>
      </c>
      <c r="L5471" s="45" t="n">
        <f aca="false">DATE(YEAR(B5471),MONTH(B5471),1)</f>
        <v>46266</v>
      </c>
      <c r="M5471" s="31" t="n">
        <f aca="false">WEEKDAY(B5471,2)</f>
        <v>6</v>
      </c>
      <c r="N5471" s="31" t="str">
        <f aca="false">IF(G5471&lt;=INDEX(Assumptions!$B$15:$B$18,MATCH(E5471,Assumptions!$A$15:$A$18,0)),"Yes","No")</f>
        <v>Yes</v>
      </c>
      <c r="O5471" s="31" t="str">
        <f aca="false">IF(H5471="","Open",IF(H5471&lt;=INDEX(Assumptions!$C$15:$C$18,MATCH(E5471,Assumptions!$A$15:$A$18,0)),"Yes","No"))</f>
        <v>Yes</v>
      </c>
    </row>
    <row r="5472" customFormat="false" ht="15" hidden="false" customHeight="false" outlineLevel="0" collapsed="false">
      <c r="A5472" s="31" t="s">
        <v>5622</v>
      </c>
      <c r="B5472" s="44" t="n">
        <v>46277</v>
      </c>
      <c r="C5472" s="31" t="s">
        <v>57</v>
      </c>
      <c r="D5472" s="31" t="s">
        <v>67</v>
      </c>
      <c r="E5472" s="31" t="s">
        <v>52</v>
      </c>
      <c r="F5472" s="31" t="s">
        <v>122</v>
      </c>
      <c r="G5472" s="31" t="n">
        <v>2</v>
      </c>
      <c r="H5472" s="41" t="n">
        <v>63.9</v>
      </c>
      <c r="I5472" s="31" t="s">
        <v>64</v>
      </c>
      <c r="J5472" s="31"/>
      <c r="K5472" s="31" t="s">
        <v>150</v>
      </c>
      <c r="L5472" s="45" t="n">
        <f aca="false">DATE(YEAR(B5472),MONTH(B5472),1)</f>
        <v>46266</v>
      </c>
      <c r="M5472" s="31" t="n">
        <f aca="false">WEEKDAY(B5472,2)</f>
        <v>6</v>
      </c>
      <c r="N5472" s="31" t="str">
        <f aca="false">IF(G5472&lt;=INDEX(Assumptions!$B$15:$B$18,MATCH(E5472,Assumptions!$A$15:$A$18,0)),"Yes","No")</f>
        <v>Yes</v>
      </c>
      <c r="O5472" s="31" t="str">
        <f aca="false">IF(H5472="","Open",IF(H5472&lt;=INDEX(Assumptions!$C$15:$C$18,MATCH(E5472,Assumptions!$A$15:$A$18,0)),"Yes","No"))</f>
        <v>Yes</v>
      </c>
    </row>
    <row r="5473" customFormat="false" ht="15" hidden="false" customHeight="false" outlineLevel="0" collapsed="false">
      <c r="A5473" s="31" t="s">
        <v>5623</v>
      </c>
      <c r="B5473" s="44" t="n">
        <v>46277</v>
      </c>
      <c r="C5473" s="31" t="s">
        <v>59</v>
      </c>
      <c r="D5473" s="31" t="s">
        <v>68</v>
      </c>
      <c r="E5473" s="31" t="s">
        <v>51</v>
      </c>
      <c r="F5473" s="31" t="s">
        <v>121</v>
      </c>
      <c r="G5473" s="31" t="n">
        <v>176</v>
      </c>
      <c r="H5473" s="41" t="n">
        <v>5.8</v>
      </c>
      <c r="I5473" s="31" t="s">
        <v>149</v>
      </c>
      <c r="J5473" s="31"/>
      <c r="K5473" s="31" t="s">
        <v>150</v>
      </c>
      <c r="L5473" s="45" t="n">
        <f aca="false">DATE(YEAR(B5473),MONTH(B5473),1)</f>
        <v>46266</v>
      </c>
      <c r="M5473" s="31" t="n">
        <f aca="false">WEEKDAY(B5473,2)</f>
        <v>6</v>
      </c>
      <c r="N5473" s="31" t="str">
        <f aca="false">IF(G5473&lt;=INDEX(Assumptions!$B$15:$B$18,MATCH(E5473,Assumptions!$A$15:$A$18,0)),"Yes","No")</f>
        <v>No</v>
      </c>
      <c r="O5473" s="31" t="str">
        <f aca="false">IF(H5473="","Open",IF(H5473&lt;=INDEX(Assumptions!$C$15:$C$18,MATCH(E5473,Assumptions!$A$15:$A$18,0)),"Yes","No"))</f>
        <v>Yes</v>
      </c>
    </row>
    <row r="5474" customFormat="false" ht="15" hidden="false" customHeight="false" outlineLevel="0" collapsed="false">
      <c r="A5474" s="31" t="s">
        <v>5624</v>
      </c>
      <c r="B5474" s="44" t="n">
        <v>46277</v>
      </c>
      <c r="C5474" s="31" t="s">
        <v>60</v>
      </c>
      <c r="D5474" s="31" t="s">
        <v>67</v>
      </c>
      <c r="E5474" s="31" t="s">
        <v>52</v>
      </c>
      <c r="F5474" s="31" t="s">
        <v>126</v>
      </c>
      <c r="G5474" s="31" t="n">
        <v>4</v>
      </c>
      <c r="H5474" s="41" t="n">
        <v>22.7</v>
      </c>
      <c r="I5474" s="31" t="s">
        <v>149</v>
      </c>
      <c r="J5474" s="31"/>
      <c r="K5474" s="31" t="s">
        <v>150</v>
      </c>
      <c r="L5474" s="45" t="n">
        <f aca="false">DATE(YEAR(B5474),MONTH(B5474),1)</f>
        <v>46266</v>
      </c>
      <c r="M5474" s="31" t="n">
        <f aca="false">WEEKDAY(B5474,2)</f>
        <v>6</v>
      </c>
      <c r="N5474" s="31" t="str">
        <f aca="false">IF(G5474&lt;=INDEX(Assumptions!$B$15:$B$18,MATCH(E5474,Assumptions!$A$15:$A$18,0)),"Yes","No")</f>
        <v>Yes</v>
      </c>
      <c r="O5474" s="31" t="str">
        <f aca="false">IF(H5474="","Open",IF(H5474&lt;=INDEX(Assumptions!$C$15:$C$18,MATCH(E5474,Assumptions!$A$15:$A$18,0)),"Yes","No"))</f>
        <v>Yes</v>
      </c>
    </row>
    <row r="5475" customFormat="false" ht="15" hidden="false" customHeight="false" outlineLevel="0" collapsed="false">
      <c r="A5475" s="31" t="s">
        <v>5625</v>
      </c>
      <c r="B5475" s="44" t="n">
        <v>46277</v>
      </c>
      <c r="C5475" s="31" t="s">
        <v>58</v>
      </c>
      <c r="D5475" s="31" t="s">
        <v>66</v>
      </c>
      <c r="E5475" s="31" t="s">
        <v>49</v>
      </c>
      <c r="F5475" s="31" t="s">
        <v>127</v>
      </c>
      <c r="G5475" s="31" t="n">
        <v>3</v>
      </c>
      <c r="H5475" s="41" t="n">
        <v>1</v>
      </c>
      <c r="I5475" s="31" t="s">
        <v>149</v>
      </c>
      <c r="J5475" s="31"/>
      <c r="K5475" s="31" t="s">
        <v>153</v>
      </c>
      <c r="L5475" s="45" t="n">
        <f aca="false">DATE(YEAR(B5475),MONTH(B5475),1)</f>
        <v>46266</v>
      </c>
      <c r="M5475" s="31" t="n">
        <f aca="false">WEEKDAY(B5475,2)</f>
        <v>6</v>
      </c>
      <c r="N5475" s="31" t="str">
        <f aca="false">IF(G5475&lt;=INDEX(Assumptions!$B$15:$B$18,MATCH(E5475,Assumptions!$A$15:$A$18,0)),"Yes","No")</f>
        <v>Yes</v>
      </c>
      <c r="O5475" s="31" t="str">
        <f aca="false">IF(H5475="","Open",IF(H5475&lt;=INDEX(Assumptions!$C$15:$C$18,MATCH(E5475,Assumptions!$A$15:$A$18,0)),"Yes","No"))</f>
        <v>Yes</v>
      </c>
    </row>
    <row r="5476" customFormat="false" ht="15" hidden="false" customHeight="false" outlineLevel="0" collapsed="false">
      <c r="A5476" s="31" t="s">
        <v>5626</v>
      </c>
      <c r="B5476" s="44" t="n">
        <v>46277</v>
      </c>
      <c r="C5476" s="31" t="s">
        <v>58</v>
      </c>
      <c r="D5476" s="31" t="s">
        <v>69</v>
      </c>
      <c r="E5476" s="31" t="s">
        <v>51</v>
      </c>
      <c r="F5476" s="31" t="s">
        <v>117</v>
      </c>
      <c r="G5476" s="31" t="n">
        <v>4</v>
      </c>
      <c r="H5476" s="41" t="n">
        <v>3.9</v>
      </c>
      <c r="I5476" s="31" t="s">
        <v>149</v>
      </c>
      <c r="J5476" s="31" t="n">
        <v>5</v>
      </c>
      <c r="K5476" s="31" t="s">
        <v>150</v>
      </c>
      <c r="L5476" s="45" t="n">
        <f aca="false">DATE(YEAR(B5476),MONTH(B5476),1)</f>
        <v>46266</v>
      </c>
      <c r="M5476" s="31" t="n">
        <f aca="false">WEEKDAY(B5476,2)</f>
        <v>6</v>
      </c>
      <c r="N5476" s="31" t="str">
        <f aca="false">IF(G5476&lt;=INDEX(Assumptions!$B$15:$B$18,MATCH(E5476,Assumptions!$A$15:$A$18,0)),"Yes","No")</f>
        <v>Yes</v>
      </c>
      <c r="O5476" s="31" t="str">
        <f aca="false">IF(H5476="","Open",IF(H5476&lt;=INDEX(Assumptions!$C$15:$C$18,MATCH(E5476,Assumptions!$A$15:$A$18,0)),"Yes","No"))</f>
        <v>Yes</v>
      </c>
    </row>
    <row r="5477" customFormat="false" ht="15" hidden="false" customHeight="false" outlineLevel="0" collapsed="false">
      <c r="A5477" s="31" t="s">
        <v>5627</v>
      </c>
      <c r="B5477" s="44" t="n">
        <v>46277</v>
      </c>
      <c r="C5477" s="31" t="s">
        <v>60</v>
      </c>
      <c r="D5477" s="31" t="s">
        <v>66</v>
      </c>
      <c r="E5477" s="31" t="s">
        <v>51</v>
      </c>
      <c r="F5477" s="31" t="s">
        <v>136</v>
      </c>
      <c r="G5477" s="31" t="n">
        <v>2</v>
      </c>
      <c r="H5477" s="41" t="n">
        <v>7.5</v>
      </c>
      <c r="I5477" s="31" t="s">
        <v>149</v>
      </c>
      <c r="J5477" s="31" t="n">
        <v>4</v>
      </c>
      <c r="K5477" s="31" t="s">
        <v>150</v>
      </c>
      <c r="L5477" s="45" t="n">
        <f aca="false">DATE(YEAR(B5477),MONTH(B5477),1)</f>
        <v>46266</v>
      </c>
      <c r="M5477" s="31" t="n">
        <f aca="false">WEEKDAY(B5477,2)</f>
        <v>6</v>
      </c>
      <c r="N5477" s="31" t="str">
        <f aca="false">IF(G5477&lt;=INDEX(Assumptions!$B$15:$B$18,MATCH(E5477,Assumptions!$A$15:$A$18,0)),"Yes","No")</f>
        <v>Yes</v>
      </c>
      <c r="O5477" s="31" t="str">
        <f aca="false">IF(H5477="","Open",IF(H5477&lt;=INDEX(Assumptions!$C$15:$C$18,MATCH(E5477,Assumptions!$A$15:$A$18,0)),"Yes","No"))</f>
        <v>Yes</v>
      </c>
    </row>
    <row r="5478" customFormat="false" ht="15" hidden="false" customHeight="false" outlineLevel="0" collapsed="false">
      <c r="A5478" s="31" t="s">
        <v>5628</v>
      </c>
      <c r="B5478" s="44" t="n">
        <v>46277</v>
      </c>
      <c r="C5478" s="31" t="s">
        <v>60</v>
      </c>
      <c r="D5478" s="31" t="s">
        <v>66</v>
      </c>
      <c r="E5478" s="31" t="s">
        <v>52</v>
      </c>
      <c r="F5478" s="31" t="s">
        <v>120</v>
      </c>
      <c r="G5478" s="31" t="n">
        <v>5</v>
      </c>
      <c r="H5478" s="41" t="n">
        <v>17.4</v>
      </c>
      <c r="I5478" s="31" t="s">
        <v>149</v>
      </c>
      <c r="J5478" s="31"/>
      <c r="K5478" s="31" t="s">
        <v>150</v>
      </c>
      <c r="L5478" s="45" t="n">
        <f aca="false">DATE(YEAR(B5478),MONTH(B5478),1)</f>
        <v>46266</v>
      </c>
      <c r="M5478" s="31" t="n">
        <f aca="false">WEEKDAY(B5478,2)</f>
        <v>6</v>
      </c>
      <c r="N5478" s="31" t="str">
        <f aca="false">IF(G5478&lt;=INDEX(Assumptions!$B$15:$B$18,MATCH(E5478,Assumptions!$A$15:$A$18,0)),"Yes","No")</f>
        <v>Yes</v>
      </c>
      <c r="O5478" s="31" t="str">
        <f aca="false">IF(H5478="","Open",IF(H5478&lt;=INDEX(Assumptions!$C$15:$C$18,MATCH(E5478,Assumptions!$A$15:$A$18,0)),"Yes","No"))</f>
        <v>Yes</v>
      </c>
    </row>
    <row r="5479" customFormat="false" ht="15" hidden="false" customHeight="false" outlineLevel="0" collapsed="false">
      <c r="A5479" s="31" t="s">
        <v>5629</v>
      </c>
      <c r="B5479" s="44" t="n">
        <v>46277</v>
      </c>
      <c r="C5479" s="31" t="s">
        <v>58</v>
      </c>
      <c r="D5479" s="31" t="s">
        <v>69</v>
      </c>
      <c r="E5479" s="31" t="s">
        <v>52</v>
      </c>
      <c r="F5479" s="31" t="s">
        <v>129</v>
      </c>
      <c r="G5479" s="31" t="n">
        <v>6</v>
      </c>
      <c r="H5479" s="41" t="n">
        <v>16.2</v>
      </c>
      <c r="I5479" s="31" t="s">
        <v>149</v>
      </c>
      <c r="J5479" s="31"/>
      <c r="K5479" s="31" t="s">
        <v>150</v>
      </c>
      <c r="L5479" s="45" t="n">
        <f aca="false">DATE(YEAR(B5479),MONTH(B5479),1)</f>
        <v>46266</v>
      </c>
      <c r="M5479" s="31" t="n">
        <f aca="false">WEEKDAY(B5479,2)</f>
        <v>6</v>
      </c>
      <c r="N5479" s="31" t="str">
        <f aca="false">IF(G5479&lt;=INDEX(Assumptions!$B$15:$B$18,MATCH(E5479,Assumptions!$A$15:$A$18,0)),"Yes","No")</f>
        <v>Yes</v>
      </c>
      <c r="O5479" s="31" t="str">
        <f aca="false">IF(H5479="","Open",IF(H5479&lt;=INDEX(Assumptions!$C$15:$C$18,MATCH(E5479,Assumptions!$A$15:$A$18,0)),"Yes","No"))</f>
        <v>Yes</v>
      </c>
    </row>
    <row r="5480" customFormat="false" ht="15" hidden="false" customHeight="false" outlineLevel="0" collapsed="false">
      <c r="A5480" s="31" t="s">
        <v>5630</v>
      </c>
      <c r="B5480" s="44" t="n">
        <v>46277</v>
      </c>
      <c r="C5480" s="31" t="s">
        <v>57</v>
      </c>
      <c r="D5480" s="31" t="s">
        <v>65</v>
      </c>
      <c r="E5480" s="31" t="s">
        <v>51</v>
      </c>
      <c r="F5480" s="31" t="s">
        <v>134</v>
      </c>
      <c r="G5480" s="31" t="n">
        <v>21</v>
      </c>
      <c r="H5480" s="41" t="n">
        <v>14.8</v>
      </c>
      <c r="I5480" s="31" t="s">
        <v>149</v>
      </c>
      <c r="J5480" s="31"/>
      <c r="K5480" s="31" t="s">
        <v>150</v>
      </c>
      <c r="L5480" s="45" t="n">
        <f aca="false">DATE(YEAR(B5480),MONTH(B5480),1)</f>
        <v>46266</v>
      </c>
      <c r="M5480" s="31" t="n">
        <f aca="false">WEEKDAY(B5480,2)</f>
        <v>6</v>
      </c>
      <c r="N5480" s="31" t="str">
        <f aca="false">IF(G5480&lt;=INDEX(Assumptions!$B$15:$B$18,MATCH(E5480,Assumptions!$A$15:$A$18,0)),"Yes","No")</f>
        <v>Yes</v>
      </c>
      <c r="O5480" s="31" t="str">
        <f aca="false">IF(H5480="","Open",IF(H5480&lt;=INDEX(Assumptions!$C$15:$C$18,MATCH(E5480,Assumptions!$A$15:$A$18,0)),"Yes","No"))</f>
        <v>Yes</v>
      </c>
    </row>
    <row r="5481" customFormat="false" ht="15" hidden="false" customHeight="false" outlineLevel="0" collapsed="false">
      <c r="A5481" s="31" t="s">
        <v>5631</v>
      </c>
      <c r="B5481" s="44" t="n">
        <v>46277</v>
      </c>
      <c r="C5481" s="31" t="s">
        <v>58</v>
      </c>
      <c r="D5481" s="31" t="s">
        <v>69</v>
      </c>
      <c r="E5481" s="31" t="s">
        <v>52</v>
      </c>
      <c r="F5481" s="31" t="s">
        <v>128</v>
      </c>
      <c r="G5481" s="31" t="n">
        <v>105</v>
      </c>
      <c r="H5481" s="41" t="n">
        <v>51</v>
      </c>
      <c r="I5481" s="31" t="s">
        <v>149</v>
      </c>
      <c r="J5481" s="31" t="n">
        <v>3</v>
      </c>
      <c r="K5481" s="31" t="s">
        <v>150</v>
      </c>
      <c r="L5481" s="45" t="n">
        <f aca="false">DATE(YEAR(B5481),MONTH(B5481),1)</f>
        <v>46266</v>
      </c>
      <c r="M5481" s="31" t="n">
        <f aca="false">WEEKDAY(B5481,2)</f>
        <v>6</v>
      </c>
      <c r="N5481" s="31" t="str">
        <f aca="false">IF(G5481&lt;=INDEX(Assumptions!$B$15:$B$18,MATCH(E5481,Assumptions!$A$15:$A$18,0)),"Yes","No")</f>
        <v>Yes</v>
      </c>
      <c r="O5481" s="31" t="str">
        <f aca="false">IF(H5481="","Open",IF(H5481&lt;=INDEX(Assumptions!$C$15:$C$18,MATCH(E5481,Assumptions!$A$15:$A$18,0)),"Yes","No"))</f>
        <v>Yes</v>
      </c>
    </row>
    <row r="5482" customFormat="false" ht="15" hidden="false" customHeight="false" outlineLevel="0" collapsed="false">
      <c r="A5482" s="31" t="s">
        <v>5632</v>
      </c>
      <c r="B5482" s="44" t="n">
        <v>46277</v>
      </c>
      <c r="C5482" s="31" t="s">
        <v>57</v>
      </c>
      <c r="D5482" s="31" t="s">
        <v>68</v>
      </c>
      <c r="E5482" s="31" t="s">
        <v>51</v>
      </c>
      <c r="F5482" s="31" t="s">
        <v>126</v>
      </c>
      <c r="G5482" s="31" t="n">
        <v>2</v>
      </c>
      <c r="H5482" s="41" t="n">
        <v>12.1</v>
      </c>
      <c r="I5482" s="31" t="s">
        <v>149</v>
      </c>
      <c r="J5482" s="31" t="n">
        <v>5</v>
      </c>
      <c r="K5482" s="31" t="s">
        <v>150</v>
      </c>
      <c r="L5482" s="45" t="n">
        <f aca="false">DATE(YEAR(B5482),MONTH(B5482),1)</f>
        <v>46266</v>
      </c>
      <c r="M5482" s="31" t="n">
        <f aca="false">WEEKDAY(B5482,2)</f>
        <v>6</v>
      </c>
      <c r="N5482" s="31" t="str">
        <f aca="false">IF(G5482&lt;=INDEX(Assumptions!$B$15:$B$18,MATCH(E5482,Assumptions!$A$15:$A$18,0)),"Yes","No")</f>
        <v>Yes</v>
      </c>
      <c r="O5482" s="31" t="str">
        <f aca="false">IF(H5482="","Open",IF(H5482&lt;=INDEX(Assumptions!$C$15:$C$18,MATCH(E5482,Assumptions!$A$15:$A$18,0)),"Yes","No"))</f>
        <v>Yes</v>
      </c>
    </row>
    <row r="5483" customFormat="false" ht="15" hidden="false" customHeight="false" outlineLevel="0" collapsed="false">
      <c r="A5483" s="31" t="s">
        <v>5633</v>
      </c>
      <c r="B5483" s="44" t="n">
        <v>46277</v>
      </c>
      <c r="C5483" s="31" t="s">
        <v>58</v>
      </c>
      <c r="D5483" s="31" t="s">
        <v>67</v>
      </c>
      <c r="E5483" s="31" t="s">
        <v>51</v>
      </c>
      <c r="F5483" s="31" t="s">
        <v>119</v>
      </c>
      <c r="G5483" s="31" t="n">
        <v>19</v>
      </c>
      <c r="H5483" s="41" t="n">
        <v>4.9</v>
      </c>
      <c r="I5483" s="31" t="s">
        <v>149</v>
      </c>
      <c r="J5483" s="31" t="n">
        <v>4</v>
      </c>
      <c r="K5483" s="31" t="s">
        <v>150</v>
      </c>
      <c r="L5483" s="45" t="n">
        <f aca="false">DATE(YEAR(B5483),MONTH(B5483),1)</f>
        <v>46266</v>
      </c>
      <c r="M5483" s="31" t="n">
        <f aca="false">WEEKDAY(B5483,2)</f>
        <v>6</v>
      </c>
      <c r="N5483" s="31" t="str">
        <f aca="false">IF(G5483&lt;=INDEX(Assumptions!$B$15:$B$18,MATCH(E5483,Assumptions!$A$15:$A$18,0)),"Yes","No")</f>
        <v>Yes</v>
      </c>
      <c r="O5483" s="31" t="str">
        <f aca="false">IF(H5483="","Open",IF(H5483&lt;=INDEX(Assumptions!$C$15:$C$18,MATCH(E5483,Assumptions!$A$15:$A$18,0)),"Yes","No"))</f>
        <v>Yes</v>
      </c>
    </row>
    <row r="5484" customFormat="false" ht="15" hidden="false" customHeight="false" outlineLevel="0" collapsed="false">
      <c r="A5484" s="31" t="s">
        <v>5634</v>
      </c>
      <c r="B5484" s="44" t="n">
        <v>46278</v>
      </c>
      <c r="C5484" s="31" t="s">
        <v>57</v>
      </c>
      <c r="D5484" s="31" t="s">
        <v>65</v>
      </c>
      <c r="E5484" s="31" t="s">
        <v>52</v>
      </c>
      <c r="F5484" s="31" t="s">
        <v>123</v>
      </c>
      <c r="G5484" s="31" t="n">
        <v>10</v>
      </c>
      <c r="H5484" s="41" t="n">
        <v>26.8</v>
      </c>
      <c r="I5484" s="31" t="s">
        <v>149</v>
      </c>
      <c r="J5484" s="31"/>
      <c r="K5484" s="31" t="s">
        <v>150</v>
      </c>
      <c r="L5484" s="45" t="n">
        <f aca="false">DATE(YEAR(B5484),MONTH(B5484),1)</f>
        <v>46266</v>
      </c>
      <c r="M5484" s="31" t="n">
        <f aca="false">WEEKDAY(B5484,2)</f>
        <v>7</v>
      </c>
      <c r="N5484" s="31" t="str">
        <f aca="false">IF(G5484&lt;=INDEX(Assumptions!$B$15:$B$18,MATCH(E5484,Assumptions!$A$15:$A$18,0)),"Yes","No")</f>
        <v>Yes</v>
      </c>
      <c r="O5484" s="31" t="str">
        <f aca="false">IF(H5484="","Open",IF(H5484&lt;=INDEX(Assumptions!$C$15:$C$18,MATCH(E5484,Assumptions!$A$15:$A$18,0)),"Yes","No"))</f>
        <v>Yes</v>
      </c>
    </row>
    <row r="5485" customFormat="false" ht="15" hidden="false" customHeight="false" outlineLevel="0" collapsed="false">
      <c r="A5485" s="31" t="s">
        <v>5635</v>
      </c>
      <c r="B5485" s="44" t="n">
        <v>46278</v>
      </c>
      <c r="C5485" s="31" t="s">
        <v>57</v>
      </c>
      <c r="D5485" s="31" t="s">
        <v>67</v>
      </c>
      <c r="E5485" s="31" t="s">
        <v>50</v>
      </c>
      <c r="F5485" s="31" t="s">
        <v>127</v>
      </c>
      <c r="G5485" s="31" t="n">
        <v>11</v>
      </c>
      <c r="H5485" s="41" t="n">
        <v>4.7</v>
      </c>
      <c r="I5485" s="31" t="s">
        <v>149</v>
      </c>
      <c r="J5485" s="31"/>
      <c r="K5485" s="31" t="s">
        <v>150</v>
      </c>
      <c r="L5485" s="45" t="n">
        <f aca="false">DATE(YEAR(B5485),MONTH(B5485),1)</f>
        <v>46266</v>
      </c>
      <c r="M5485" s="31" t="n">
        <f aca="false">WEEKDAY(B5485,2)</f>
        <v>7</v>
      </c>
      <c r="N5485" s="31" t="str">
        <f aca="false">IF(G5485&lt;=INDEX(Assumptions!$B$15:$B$18,MATCH(E5485,Assumptions!$A$15:$A$18,0)),"Yes","No")</f>
        <v>Yes</v>
      </c>
      <c r="O5485" s="31" t="str">
        <f aca="false">IF(H5485="","Open",IF(H5485&lt;=INDEX(Assumptions!$C$15:$C$18,MATCH(E5485,Assumptions!$A$15:$A$18,0)),"Yes","No"))</f>
        <v>Yes</v>
      </c>
    </row>
    <row r="5486" customFormat="false" ht="15" hidden="false" customHeight="false" outlineLevel="0" collapsed="false">
      <c r="A5486" s="31" t="s">
        <v>5636</v>
      </c>
      <c r="B5486" s="44" t="n">
        <v>46278</v>
      </c>
      <c r="C5486" s="31" t="s">
        <v>60</v>
      </c>
      <c r="D5486" s="31" t="s">
        <v>66</v>
      </c>
      <c r="E5486" s="31" t="s">
        <v>49</v>
      </c>
      <c r="F5486" s="31" t="s">
        <v>134</v>
      </c>
      <c r="G5486" s="31" t="n">
        <v>2</v>
      </c>
      <c r="H5486" s="41" t="n">
        <v>0.9</v>
      </c>
      <c r="I5486" s="31" t="s">
        <v>149</v>
      </c>
      <c r="J5486" s="31" t="n">
        <v>5</v>
      </c>
      <c r="K5486" s="31" t="s">
        <v>150</v>
      </c>
      <c r="L5486" s="45" t="n">
        <f aca="false">DATE(YEAR(B5486),MONTH(B5486),1)</f>
        <v>46266</v>
      </c>
      <c r="M5486" s="31" t="n">
        <f aca="false">WEEKDAY(B5486,2)</f>
        <v>7</v>
      </c>
      <c r="N5486" s="31" t="str">
        <f aca="false">IF(G5486&lt;=INDEX(Assumptions!$B$15:$B$18,MATCH(E5486,Assumptions!$A$15:$A$18,0)),"Yes","No")</f>
        <v>Yes</v>
      </c>
      <c r="O5486" s="31" t="str">
        <f aca="false">IF(H5486="","Open",IF(H5486&lt;=INDEX(Assumptions!$C$15:$C$18,MATCH(E5486,Assumptions!$A$15:$A$18,0)),"Yes","No"))</f>
        <v>Yes</v>
      </c>
    </row>
    <row r="5487" customFormat="false" ht="15" hidden="false" customHeight="false" outlineLevel="0" collapsed="false">
      <c r="A5487" s="31" t="s">
        <v>5637</v>
      </c>
      <c r="B5487" s="44" t="n">
        <v>46278</v>
      </c>
      <c r="C5487" s="31" t="s">
        <v>59</v>
      </c>
      <c r="D5487" s="31" t="s">
        <v>65</v>
      </c>
      <c r="E5487" s="31" t="s">
        <v>51</v>
      </c>
      <c r="F5487" s="31" t="s">
        <v>128</v>
      </c>
      <c r="G5487" s="31" t="n">
        <v>95</v>
      </c>
      <c r="H5487" s="41" t="n">
        <v>17.5</v>
      </c>
      <c r="I5487" s="31" t="s">
        <v>149</v>
      </c>
      <c r="J5487" s="31" t="n">
        <v>4</v>
      </c>
      <c r="K5487" s="31" t="s">
        <v>150</v>
      </c>
      <c r="L5487" s="45" t="n">
        <f aca="false">DATE(YEAR(B5487),MONTH(B5487),1)</f>
        <v>46266</v>
      </c>
      <c r="M5487" s="31" t="n">
        <f aca="false">WEEKDAY(B5487,2)</f>
        <v>7</v>
      </c>
      <c r="N5487" s="31" t="str">
        <f aca="false">IF(G5487&lt;=INDEX(Assumptions!$B$15:$B$18,MATCH(E5487,Assumptions!$A$15:$A$18,0)),"Yes","No")</f>
        <v>No</v>
      </c>
      <c r="O5487" s="31" t="str">
        <f aca="false">IF(H5487="","Open",IF(H5487&lt;=INDEX(Assumptions!$C$15:$C$18,MATCH(E5487,Assumptions!$A$15:$A$18,0)),"Yes","No"))</f>
        <v>Yes</v>
      </c>
    </row>
    <row r="5488" customFormat="false" ht="15" hidden="false" customHeight="false" outlineLevel="0" collapsed="false">
      <c r="A5488" s="31" t="s">
        <v>5638</v>
      </c>
      <c r="B5488" s="44" t="n">
        <v>46278</v>
      </c>
      <c r="C5488" s="31" t="s">
        <v>60</v>
      </c>
      <c r="D5488" s="31" t="s">
        <v>67</v>
      </c>
      <c r="E5488" s="31" t="s">
        <v>51</v>
      </c>
      <c r="F5488" s="31" t="s">
        <v>121</v>
      </c>
      <c r="G5488" s="31" t="n">
        <v>2</v>
      </c>
      <c r="H5488" s="41" t="n">
        <v>31.6</v>
      </c>
      <c r="I5488" s="31" t="s">
        <v>149</v>
      </c>
      <c r="J5488" s="31" t="n">
        <v>5</v>
      </c>
      <c r="K5488" s="31" t="s">
        <v>150</v>
      </c>
      <c r="L5488" s="45" t="n">
        <f aca="false">DATE(YEAR(B5488),MONTH(B5488),1)</f>
        <v>46266</v>
      </c>
      <c r="M5488" s="31" t="n">
        <f aca="false">WEEKDAY(B5488,2)</f>
        <v>7</v>
      </c>
      <c r="N5488" s="31" t="str">
        <f aca="false">IF(G5488&lt;=INDEX(Assumptions!$B$15:$B$18,MATCH(E5488,Assumptions!$A$15:$A$18,0)),"Yes","No")</f>
        <v>Yes</v>
      </c>
      <c r="O5488" s="31" t="str">
        <f aca="false">IF(H5488="","Open",IF(H5488&lt;=INDEX(Assumptions!$C$15:$C$18,MATCH(E5488,Assumptions!$A$15:$A$18,0)),"Yes","No"))</f>
        <v>No</v>
      </c>
    </row>
    <row r="5489" customFormat="false" ht="15" hidden="false" customHeight="false" outlineLevel="0" collapsed="false">
      <c r="A5489" s="31" t="s">
        <v>5639</v>
      </c>
      <c r="B5489" s="44" t="n">
        <v>46278</v>
      </c>
      <c r="C5489" s="31" t="s">
        <v>59</v>
      </c>
      <c r="D5489" s="31" t="s">
        <v>69</v>
      </c>
      <c r="E5489" s="31" t="s">
        <v>50</v>
      </c>
      <c r="F5489" s="31" t="s">
        <v>129</v>
      </c>
      <c r="G5489" s="31" t="n">
        <v>46</v>
      </c>
      <c r="H5489" s="41" t="n">
        <v>4.3</v>
      </c>
      <c r="I5489" s="31" t="s">
        <v>149</v>
      </c>
      <c r="J5489" s="31" t="n">
        <v>5</v>
      </c>
      <c r="K5489" s="31" t="s">
        <v>150</v>
      </c>
      <c r="L5489" s="45" t="n">
        <f aca="false">DATE(YEAR(B5489),MONTH(B5489),1)</f>
        <v>46266</v>
      </c>
      <c r="M5489" s="31" t="n">
        <f aca="false">WEEKDAY(B5489,2)</f>
        <v>7</v>
      </c>
      <c r="N5489" s="31" t="str">
        <f aca="false">IF(G5489&lt;=INDEX(Assumptions!$B$15:$B$18,MATCH(E5489,Assumptions!$A$15:$A$18,0)),"Yes","No")</f>
        <v>No</v>
      </c>
      <c r="O5489" s="31" t="str">
        <f aca="false">IF(H5489="","Open",IF(H5489&lt;=INDEX(Assumptions!$C$15:$C$18,MATCH(E5489,Assumptions!$A$15:$A$18,0)),"Yes","No"))</f>
        <v>Yes</v>
      </c>
    </row>
    <row r="5490" customFormat="false" ht="15" hidden="false" customHeight="false" outlineLevel="0" collapsed="false">
      <c r="A5490" s="31" t="s">
        <v>5640</v>
      </c>
      <c r="B5490" s="44" t="n">
        <v>46278</v>
      </c>
      <c r="C5490" s="31" t="s">
        <v>58</v>
      </c>
      <c r="D5490" s="31" t="s">
        <v>67</v>
      </c>
      <c r="E5490" s="31" t="s">
        <v>51</v>
      </c>
      <c r="F5490" s="31" t="s">
        <v>133</v>
      </c>
      <c r="G5490" s="31" t="n">
        <v>12</v>
      </c>
      <c r="H5490" s="41" t="n">
        <v>7.1</v>
      </c>
      <c r="I5490" s="31" t="s">
        <v>149</v>
      </c>
      <c r="J5490" s="31" t="n">
        <v>4</v>
      </c>
      <c r="K5490" s="31" t="s">
        <v>150</v>
      </c>
      <c r="L5490" s="45" t="n">
        <f aca="false">DATE(YEAR(B5490),MONTH(B5490),1)</f>
        <v>46266</v>
      </c>
      <c r="M5490" s="31" t="n">
        <f aca="false">WEEKDAY(B5490,2)</f>
        <v>7</v>
      </c>
      <c r="N5490" s="31" t="str">
        <f aca="false">IF(G5490&lt;=INDEX(Assumptions!$B$15:$B$18,MATCH(E5490,Assumptions!$A$15:$A$18,0)),"Yes","No")</f>
        <v>Yes</v>
      </c>
      <c r="O5490" s="31" t="str">
        <f aca="false">IF(H5490="","Open",IF(H5490&lt;=INDEX(Assumptions!$C$15:$C$18,MATCH(E5490,Assumptions!$A$15:$A$18,0)),"Yes","No"))</f>
        <v>Yes</v>
      </c>
    </row>
    <row r="5491" customFormat="false" ht="15" hidden="false" customHeight="false" outlineLevel="0" collapsed="false">
      <c r="A5491" s="31" t="s">
        <v>5641</v>
      </c>
      <c r="B5491" s="44" t="n">
        <v>46278</v>
      </c>
      <c r="C5491" s="31" t="s">
        <v>59</v>
      </c>
      <c r="D5491" s="31" t="s">
        <v>66</v>
      </c>
      <c r="E5491" s="31" t="s">
        <v>50</v>
      </c>
      <c r="F5491" s="31" t="s">
        <v>128</v>
      </c>
      <c r="G5491" s="31" t="n">
        <v>73</v>
      </c>
      <c r="H5491" s="41" t="n">
        <v>6.9</v>
      </c>
      <c r="I5491" s="31" t="s">
        <v>149</v>
      </c>
      <c r="J5491" s="31" t="n">
        <v>3</v>
      </c>
      <c r="K5491" s="31" t="s">
        <v>150</v>
      </c>
      <c r="L5491" s="45" t="n">
        <f aca="false">DATE(YEAR(B5491),MONTH(B5491),1)</f>
        <v>46266</v>
      </c>
      <c r="M5491" s="31" t="n">
        <f aca="false">WEEKDAY(B5491,2)</f>
        <v>7</v>
      </c>
      <c r="N5491" s="31" t="str">
        <f aca="false">IF(G5491&lt;=INDEX(Assumptions!$B$15:$B$18,MATCH(E5491,Assumptions!$A$15:$A$18,0)),"Yes","No")</f>
        <v>No</v>
      </c>
      <c r="O5491" s="31" t="str">
        <f aca="false">IF(H5491="","Open",IF(H5491&lt;=INDEX(Assumptions!$C$15:$C$18,MATCH(E5491,Assumptions!$A$15:$A$18,0)),"Yes","No"))</f>
        <v>Yes</v>
      </c>
    </row>
    <row r="5492" customFormat="false" ht="15" hidden="false" customHeight="false" outlineLevel="0" collapsed="false">
      <c r="A5492" s="31" t="s">
        <v>5642</v>
      </c>
      <c r="B5492" s="44" t="n">
        <v>46278</v>
      </c>
      <c r="C5492" s="31" t="s">
        <v>59</v>
      </c>
      <c r="D5492" s="31" t="s">
        <v>66</v>
      </c>
      <c r="E5492" s="31" t="s">
        <v>51</v>
      </c>
      <c r="F5492" s="31" t="s">
        <v>130</v>
      </c>
      <c r="G5492" s="31" t="n">
        <v>64</v>
      </c>
      <c r="H5492" s="41" t="n">
        <v>7.8</v>
      </c>
      <c r="I5492" s="31" t="s">
        <v>149</v>
      </c>
      <c r="J5492" s="31"/>
      <c r="K5492" s="31" t="s">
        <v>150</v>
      </c>
      <c r="L5492" s="45" t="n">
        <f aca="false">DATE(YEAR(B5492),MONTH(B5492),1)</f>
        <v>46266</v>
      </c>
      <c r="M5492" s="31" t="n">
        <f aca="false">WEEKDAY(B5492,2)</f>
        <v>7</v>
      </c>
      <c r="N5492" s="31" t="str">
        <f aca="false">IF(G5492&lt;=INDEX(Assumptions!$B$15:$B$18,MATCH(E5492,Assumptions!$A$15:$A$18,0)),"Yes","No")</f>
        <v>No</v>
      </c>
      <c r="O5492" s="31" t="str">
        <f aca="false">IF(H5492="","Open",IF(H5492&lt;=INDEX(Assumptions!$C$15:$C$18,MATCH(E5492,Assumptions!$A$15:$A$18,0)),"Yes","No"))</f>
        <v>Yes</v>
      </c>
    </row>
    <row r="5493" customFormat="false" ht="15" hidden="false" customHeight="false" outlineLevel="0" collapsed="false">
      <c r="A5493" s="31" t="s">
        <v>5643</v>
      </c>
      <c r="B5493" s="44" t="n">
        <v>46278</v>
      </c>
      <c r="C5493" s="31" t="s">
        <v>59</v>
      </c>
      <c r="D5493" s="31" t="s">
        <v>66</v>
      </c>
      <c r="E5493" s="31" t="s">
        <v>52</v>
      </c>
      <c r="F5493" s="31" t="s">
        <v>119</v>
      </c>
      <c r="G5493" s="31" t="n">
        <v>102</v>
      </c>
      <c r="H5493" s="41" t="n">
        <v>42.3</v>
      </c>
      <c r="I5493" s="31" t="s">
        <v>149</v>
      </c>
      <c r="J5493" s="31" t="n">
        <v>5</v>
      </c>
      <c r="K5493" s="31" t="s">
        <v>150</v>
      </c>
      <c r="L5493" s="45" t="n">
        <f aca="false">DATE(YEAR(B5493),MONTH(B5493),1)</f>
        <v>46266</v>
      </c>
      <c r="M5493" s="31" t="n">
        <f aca="false">WEEKDAY(B5493,2)</f>
        <v>7</v>
      </c>
      <c r="N5493" s="31" t="str">
        <f aca="false">IF(G5493&lt;=INDEX(Assumptions!$B$15:$B$18,MATCH(E5493,Assumptions!$A$15:$A$18,0)),"Yes","No")</f>
        <v>Yes</v>
      </c>
      <c r="O5493" s="31" t="str">
        <f aca="false">IF(H5493="","Open",IF(H5493&lt;=INDEX(Assumptions!$C$15:$C$18,MATCH(E5493,Assumptions!$A$15:$A$18,0)),"Yes","No"))</f>
        <v>Yes</v>
      </c>
    </row>
    <row r="5494" customFormat="false" ht="15" hidden="false" customHeight="false" outlineLevel="0" collapsed="false">
      <c r="A5494" s="31" t="s">
        <v>5644</v>
      </c>
      <c r="B5494" s="44" t="n">
        <v>46278</v>
      </c>
      <c r="C5494" s="31" t="s">
        <v>60</v>
      </c>
      <c r="D5494" s="31" t="s">
        <v>66</v>
      </c>
      <c r="E5494" s="31" t="s">
        <v>50</v>
      </c>
      <c r="F5494" s="31" t="s">
        <v>127</v>
      </c>
      <c r="G5494" s="31" t="n">
        <v>3</v>
      </c>
      <c r="H5494" s="41" t="n">
        <v>2.5</v>
      </c>
      <c r="I5494" s="31" t="s">
        <v>149</v>
      </c>
      <c r="J5494" s="31" t="n">
        <v>3</v>
      </c>
      <c r="K5494" s="31" t="s">
        <v>150</v>
      </c>
      <c r="L5494" s="45" t="n">
        <f aca="false">DATE(YEAR(B5494),MONTH(B5494),1)</f>
        <v>46266</v>
      </c>
      <c r="M5494" s="31" t="n">
        <f aca="false">WEEKDAY(B5494,2)</f>
        <v>7</v>
      </c>
      <c r="N5494" s="31" t="str">
        <f aca="false">IF(G5494&lt;=INDEX(Assumptions!$B$15:$B$18,MATCH(E5494,Assumptions!$A$15:$A$18,0)),"Yes","No")</f>
        <v>Yes</v>
      </c>
      <c r="O5494" s="31" t="str">
        <f aca="false">IF(H5494="","Open",IF(H5494&lt;=INDEX(Assumptions!$C$15:$C$18,MATCH(E5494,Assumptions!$A$15:$A$18,0)),"Yes","No"))</f>
        <v>Yes</v>
      </c>
    </row>
    <row r="5495" customFormat="false" ht="15" hidden="false" customHeight="false" outlineLevel="0" collapsed="false">
      <c r="A5495" s="31" t="s">
        <v>5645</v>
      </c>
      <c r="B5495" s="44" t="n">
        <v>46278</v>
      </c>
      <c r="C5495" s="31" t="s">
        <v>58</v>
      </c>
      <c r="D5495" s="31" t="s">
        <v>67</v>
      </c>
      <c r="E5495" s="31" t="s">
        <v>52</v>
      </c>
      <c r="F5495" s="31" t="s">
        <v>120</v>
      </c>
      <c r="G5495" s="31" t="n">
        <v>30</v>
      </c>
      <c r="H5495" s="41" t="n">
        <v>42.9</v>
      </c>
      <c r="I5495" s="31" t="s">
        <v>149</v>
      </c>
      <c r="J5495" s="31" t="n">
        <v>3</v>
      </c>
      <c r="K5495" s="31" t="s">
        <v>150</v>
      </c>
      <c r="L5495" s="45" t="n">
        <f aca="false">DATE(YEAR(B5495),MONTH(B5495),1)</f>
        <v>46266</v>
      </c>
      <c r="M5495" s="31" t="n">
        <f aca="false">WEEKDAY(B5495,2)</f>
        <v>7</v>
      </c>
      <c r="N5495" s="31" t="str">
        <f aca="false">IF(G5495&lt;=INDEX(Assumptions!$B$15:$B$18,MATCH(E5495,Assumptions!$A$15:$A$18,0)),"Yes","No")</f>
        <v>Yes</v>
      </c>
      <c r="O5495" s="31" t="str">
        <f aca="false">IF(H5495="","Open",IF(H5495&lt;=INDEX(Assumptions!$C$15:$C$18,MATCH(E5495,Assumptions!$A$15:$A$18,0)),"Yes","No"))</f>
        <v>Yes</v>
      </c>
    </row>
    <row r="5496" customFormat="false" ht="15" hidden="false" customHeight="false" outlineLevel="0" collapsed="false">
      <c r="A5496" s="31" t="s">
        <v>5646</v>
      </c>
      <c r="B5496" s="44" t="n">
        <v>46278</v>
      </c>
      <c r="C5496" s="31" t="s">
        <v>59</v>
      </c>
      <c r="D5496" s="31" t="s">
        <v>65</v>
      </c>
      <c r="E5496" s="31" t="s">
        <v>51</v>
      </c>
      <c r="F5496" s="31" t="s">
        <v>126</v>
      </c>
      <c r="G5496" s="31" t="n">
        <v>55</v>
      </c>
      <c r="H5496" s="41" t="n">
        <v>2.3</v>
      </c>
      <c r="I5496" s="31" t="s">
        <v>149</v>
      </c>
      <c r="J5496" s="31"/>
      <c r="K5496" s="31" t="s">
        <v>150</v>
      </c>
      <c r="L5496" s="45" t="n">
        <f aca="false">DATE(YEAR(B5496),MONTH(B5496),1)</f>
        <v>46266</v>
      </c>
      <c r="M5496" s="31" t="n">
        <f aca="false">WEEKDAY(B5496,2)</f>
        <v>7</v>
      </c>
      <c r="N5496" s="31" t="str">
        <f aca="false">IF(G5496&lt;=INDEX(Assumptions!$B$15:$B$18,MATCH(E5496,Assumptions!$A$15:$A$18,0)),"Yes","No")</f>
        <v>Yes</v>
      </c>
      <c r="O5496" s="31" t="str">
        <f aca="false">IF(H5496="","Open",IF(H5496&lt;=INDEX(Assumptions!$C$15:$C$18,MATCH(E5496,Assumptions!$A$15:$A$18,0)),"Yes","No"))</f>
        <v>Yes</v>
      </c>
    </row>
    <row r="5497" customFormat="false" ht="15" hidden="false" customHeight="false" outlineLevel="0" collapsed="false">
      <c r="A5497" s="31" t="s">
        <v>5647</v>
      </c>
      <c r="B5497" s="44" t="n">
        <v>46278</v>
      </c>
      <c r="C5497" s="31" t="s">
        <v>58</v>
      </c>
      <c r="D5497" s="31" t="s">
        <v>65</v>
      </c>
      <c r="E5497" s="31" t="s">
        <v>49</v>
      </c>
      <c r="F5497" s="31" t="s">
        <v>131</v>
      </c>
      <c r="G5497" s="31" t="n">
        <v>4</v>
      </c>
      <c r="H5497" s="41" t="n">
        <v>5.1</v>
      </c>
      <c r="I5497" s="31" t="s">
        <v>149</v>
      </c>
      <c r="J5497" s="31" t="n">
        <v>4</v>
      </c>
      <c r="K5497" s="31" t="s">
        <v>153</v>
      </c>
      <c r="L5497" s="45" t="n">
        <f aca="false">DATE(YEAR(B5497),MONTH(B5497),1)</f>
        <v>46266</v>
      </c>
      <c r="M5497" s="31" t="n">
        <f aca="false">WEEKDAY(B5497,2)</f>
        <v>7</v>
      </c>
      <c r="N5497" s="31" t="str">
        <f aca="false">IF(G5497&lt;=INDEX(Assumptions!$B$15:$B$18,MATCH(E5497,Assumptions!$A$15:$A$18,0)),"Yes","No")</f>
        <v>Yes</v>
      </c>
      <c r="O5497" s="31" t="str">
        <f aca="false">IF(H5497="","Open",IF(H5497&lt;=INDEX(Assumptions!$C$15:$C$18,MATCH(E5497,Assumptions!$A$15:$A$18,0)),"Yes","No"))</f>
        <v>No</v>
      </c>
    </row>
    <row r="5498" customFormat="false" ht="15" hidden="false" customHeight="false" outlineLevel="0" collapsed="false">
      <c r="A5498" s="31" t="s">
        <v>5648</v>
      </c>
      <c r="B5498" s="44" t="n">
        <v>46278</v>
      </c>
      <c r="C5498" s="31" t="s">
        <v>59</v>
      </c>
      <c r="D5498" s="31" t="s">
        <v>66</v>
      </c>
      <c r="E5498" s="31" t="s">
        <v>50</v>
      </c>
      <c r="F5498" s="31" t="s">
        <v>130</v>
      </c>
      <c r="G5498" s="31" t="n">
        <v>44</v>
      </c>
      <c r="H5498" s="41" t="n">
        <v>6.2</v>
      </c>
      <c r="I5498" s="31" t="s">
        <v>149</v>
      </c>
      <c r="J5498" s="31" t="n">
        <v>5</v>
      </c>
      <c r="K5498" s="31" t="s">
        <v>150</v>
      </c>
      <c r="L5498" s="45" t="n">
        <f aca="false">DATE(YEAR(B5498),MONTH(B5498),1)</f>
        <v>46266</v>
      </c>
      <c r="M5498" s="31" t="n">
        <f aca="false">WEEKDAY(B5498,2)</f>
        <v>7</v>
      </c>
      <c r="N5498" s="31" t="str">
        <f aca="false">IF(G5498&lt;=INDEX(Assumptions!$B$15:$B$18,MATCH(E5498,Assumptions!$A$15:$A$18,0)),"Yes","No")</f>
        <v>No</v>
      </c>
      <c r="O5498" s="31" t="str">
        <f aca="false">IF(H5498="","Open",IF(H5498&lt;=INDEX(Assumptions!$C$15:$C$18,MATCH(E5498,Assumptions!$A$15:$A$18,0)),"Yes","No"))</f>
        <v>Yes</v>
      </c>
    </row>
    <row r="5499" customFormat="false" ht="15" hidden="false" customHeight="false" outlineLevel="0" collapsed="false">
      <c r="A5499" s="31" t="s">
        <v>5649</v>
      </c>
      <c r="B5499" s="44" t="n">
        <v>46278</v>
      </c>
      <c r="C5499" s="31" t="s">
        <v>59</v>
      </c>
      <c r="D5499" s="31" t="s">
        <v>65</v>
      </c>
      <c r="E5499" s="31" t="s">
        <v>50</v>
      </c>
      <c r="F5499" s="31" t="s">
        <v>131</v>
      </c>
      <c r="G5499" s="31" t="n">
        <v>36</v>
      </c>
      <c r="H5499" s="41" t="n">
        <v>5.2</v>
      </c>
      <c r="I5499" s="31" t="s">
        <v>149</v>
      </c>
      <c r="J5499" s="31"/>
      <c r="K5499" s="31" t="s">
        <v>150</v>
      </c>
      <c r="L5499" s="45" t="n">
        <f aca="false">DATE(YEAR(B5499),MONTH(B5499),1)</f>
        <v>46266</v>
      </c>
      <c r="M5499" s="31" t="n">
        <f aca="false">WEEKDAY(B5499,2)</f>
        <v>7</v>
      </c>
      <c r="N5499" s="31" t="str">
        <f aca="false">IF(G5499&lt;=INDEX(Assumptions!$B$15:$B$18,MATCH(E5499,Assumptions!$A$15:$A$18,0)),"Yes","No")</f>
        <v>No</v>
      </c>
      <c r="O5499" s="31" t="str">
        <f aca="false">IF(H5499="","Open",IF(H5499&lt;=INDEX(Assumptions!$C$15:$C$18,MATCH(E5499,Assumptions!$A$15:$A$18,0)),"Yes","No"))</f>
        <v>Yes</v>
      </c>
    </row>
    <row r="5500" customFormat="false" ht="15" hidden="false" customHeight="false" outlineLevel="0" collapsed="false">
      <c r="A5500" s="31" t="s">
        <v>5650</v>
      </c>
      <c r="B5500" s="44" t="n">
        <v>46278</v>
      </c>
      <c r="C5500" s="31" t="s">
        <v>60</v>
      </c>
      <c r="D5500" s="31" t="s">
        <v>67</v>
      </c>
      <c r="E5500" s="31" t="s">
        <v>51</v>
      </c>
      <c r="F5500" s="31" t="s">
        <v>128</v>
      </c>
      <c r="G5500" s="31" t="n">
        <v>2</v>
      </c>
      <c r="H5500" s="41" t="n">
        <v>27.8</v>
      </c>
      <c r="I5500" s="31" t="s">
        <v>149</v>
      </c>
      <c r="J5500" s="31"/>
      <c r="K5500" s="31" t="s">
        <v>150</v>
      </c>
      <c r="L5500" s="45" t="n">
        <f aca="false">DATE(YEAR(B5500),MONTH(B5500),1)</f>
        <v>46266</v>
      </c>
      <c r="M5500" s="31" t="n">
        <f aca="false">WEEKDAY(B5500,2)</f>
        <v>7</v>
      </c>
      <c r="N5500" s="31" t="str">
        <f aca="false">IF(G5500&lt;=INDEX(Assumptions!$B$15:$B$18,MATCH(E5500,Assumptions!$A$15:$A$18,0)),"Yes","No")</f>
        <v>Yes</v>
      </c>
      <c r="O5500" s="31" t="str">
        <f aca="false">IF(H5500="","Open",IF(H5500&lt;=INDEX(Assumptions!$C$15:$C$18,MATCH(E5500,Assumptions!$A$15:$A$18,0)),"Yes","No"))</f>
        <v>No</v>
      </c>
    </row>
    <row r="5501" customFormat="false" ht="15" hidden="false" customHeight="false" outlineLevel="0" collapsed="false">
      <c r="A5501" s="31" t="s">
        <v>5651</v>
      </c>
      <c r="B5501" s="44" t="n">
        <v>46278</v>
      </c>
      <c r="C5501" s="31" t="s">
        <v>60</v>
      </c>
      <c r="D5501" s="31" t="s">
        <v>65</v>
      </c>
      <c r="E5501" s="31" t="s">
        <v>51</v>
      </c>
      <c r="F5501" s="31" t="s">
        <v>137</v>
      </c>
      <c r="G5501" s="31" t="n">
        <v>4</v>
      </c>
      <c r="H5501" s="41" t="n">
        <v>15.8</v>
      </c>
      <c r="I5501" s="31" t="s">
        <v>149</v>
      </c>
      <c r="J5501" s="31" t="n">
        <v>4</v>
      </c>
      <c r="K5501" s="31" t="s">
        <v>150</v>
      </c>
      <c r="L5501" s="45" t="n">
        <f aca="false">DATE(YEAR(B5501),MONTH(B5501),1)</f>
        <v>46266</v>
      </c>
      <c r="M5501" s="31" t="n">
        <f aca="false">WEEKDAY(B5501,2)</f>
        <v>7</v>
      </c>
      <c r="N5501" s="31" t="str">
        <f aca="false">IF(G5501&lt;=INDEX(Assumptions!$B$15:$B$18,MATCH(E5501,Assumptions!$A$15:$A$18,0)),"Yes","No")</f>
        <v>Yes</v>
      </c>
      <c r="O5501" s="31" t="str">
        <f aca="false">IF(H5501="","Open",IF(H5501&lt;=INDEX(Assumptions!$C$15:$C$18,MATCH(E5501,Assumptions!$A$15:$A$18,0)),"Yes","No"))</f>
        <v>Yes</v>
      </c>
    </row>
    <row r="5502" customFormat="false" ht="15" hidden="false" customHeight="false" outlineLevel="0" collapsed="false">
      <c r="A5502" s="31" t="s">
        <v>5652</v>
      </c>
      <c r="B5502" s="44" t="n">
        <v>46278</v>
      </c>
      <c r="C5502" s="31" t="s">
        <v>57</v>
      </c>
      <c r="D5502" s="31" t="s">
        <v>65</v>
      </c>
      <c r="E5502" s="31" t="s">
        <v>49</v>
      </c>
      <c r="F5502" s="31" t="s">
        <v>124</v>
      </c>
      <c r="G5502" s="31" t="n">
        <v>2</v>
      </c>
      <c r="H5502" s="41" t="n">
        <v>10.3</v>
      </c>
      <c r="I5502" s="31" t="s">
        <v>149</v>
      </c>
      <c r="J5502" s="31" t="n">
        <v>4</v>
      </c>
      <c r="K5502" s="31" t="s">
        <v>150</v>
      </c>
      <c r="L5502" s="45" t="n">
        <f aca="false">DATE(YEAR(B5502),MONTH(B5502),1)</f>
        <v>46266</v>
      </c>
      <c r="M5502" s="31" t="n">
        <f aca="false">WEEKDAY(B5502,2)</f>
        <v>7</v>
      </c>
      <c r="N5502" s="31" t="str">
        <f aca="false">IF(G5502&lt;=INDEX(Assumptions!$B$15:$B$18,MATCH(E5502,Assumptions!$A$15:$A$18,0)),"Yes","No")</f>
        <v>Yes</v>
      </c>
      <c r="O5502" s="31" t="str">
        <f aca="false">IF(H5502="","Open",IF(H5502&lt;=INDEX(Assumptions!$C$15:$C$18,MATCH(E5502,Assumptions!$A$15:$A$18,0)),"Yes","No"))</f>
        <v>No</v>
      </c>
    </row>
    <row r="5503" customFormat="false" ht="15" hidden="false" customHeight="false" outlineLevel="0" collapsed="false">
      <c r="A5503" s="31" t="s">
        <v>5653</v>
      </c>
      <c r="B5503" s="44" t="n">
        <v>46278</v>
      </c>
      <c r="C5503" s="31" t="s">
        <v>60</v>
      </c>
      <c r="D5503" s="31" t="s">
        <v>68</v>
      </c>
      <c r="E5503" s="31" t="s">
        <v>51</v>
      </c>
      <c r="F5503" s="31" t="s">
        <v>130</v>
      </c>
      <c r="G5503" s="31" t="n">
        <v>2</v>
      </c>
      <c r="H5503" s="41" t="n">
        <v>6.5</v>
      </c>
      <c r="I5503" s="31" t="s">
        <v>149</v>
      </c>
      <c r="J5503" s="31" t="n">
        <v>5</v>
      </c>
      <c r="K5503" s="31" t="s">
        <v>150</v>
      </c>
      <c r="L5503" s="45" t="n">
        <f aca="false">DATE(YEAR(B5503),MONTH(B5503),1)</f>
        <v>46266</v>
      </c>
      <c r="M5503" s="31" t="n">
        <f aca="false">WEEKDAY(B5503,2)</f>
        <v>7</v>
      </c>
      <c r="N5503" s="31" t="str">
        <f aca="false">IF(G5503&lt;=INDEX(Assumptions!$B$15:$B$18,MATCH(E5503,Assumptions!$A$15:$A$18,0)),"Yes","No")</f>
        <v>Yes</v>
      </c>
      <c r="O5503" s="31" t="str">
        <f aca="false">IF(H5503="","Open",IF(H5503&lt;=INDEX(Assumptions!$C$15:$C$18,MATCH(E5503,Assumptions!$A$15:$A$18,0)),"Yes","No"))</f>
        <v>Yes</v>
      </c>
    </row>
    <row r="5504" customFormat="false" ht="15" hidden="false" customHeight="false" outlineLevel="0" collapsed="false">
      <c r="A5504" s="31" t="s">
        <v>5654</v>
      </c>
      <c r="B5504" s="44" t="n">
        <v>46278</v>
      </c>
      <c r="C5504" s="31" t="s">
        <v>59</v>
      </c>
      <c r="D5504" s="31" t="s">
        <v>65</v>
      </c>
      <c r="E5504" s="31" t="s">
        <v>51</v>
      </c>
      <c r="F5504" s="31" t="s">
        <v>119</v>
      </c>
      <c r="G5504" s="31" t="n">
        <v>62</v>
      </c>
      <c r="H5504" s="41" t="n">
        <v>6.2</v>
      </c>
      <c r="I5504" s="31" t="s">
        <v>149</v>
      </c>
      <c r="J5504" s="31" t="n">
        <v>4</v>
      </c>
      <c r="K5504" s="31" t="s">
        <v>150</v>
      </c>
      <c r="L5504" s="45" t="n">
        <f aca="false">DATE(YEAR(B5504),MONTH(B5504),1)</f>
        <v>46266</v>
      </c>
      <c r="M5504" s="31" t="n">
        <f aca="false">WEEKDAY(B5504,2)</f>
        <v>7</v>
      </c>
      <c r="N5504" s="31" t="str">
        <f aca="false">IF(G5504&lt;=INDEX(Assumptions!$B$15:$B$18,MATCH(E5504,Assumptions!$A$15:$A$18,0)),"Yes","No")</f>
        <v>No</v>
      </c>
      <c r="O5504" s="31" t="str">
        <f aca="false">IF(H5504="","Open",IF(H5504&lt;=INDEX(Assumptions!$C$15:$C$18,MATCH(E5504,Assumptions!$A$15:$A$18,0)),"Yes","No"))</f>
        <v>Yes</v>
      </c>
    </row>
    <row r="5505" customFormat="false" ht="15" hidden="false" customHeight="false" outlineLevel="0" collapsed="false">
      <c r="A5505" s="31" t="s">
        <v>5655</v>
      </c>
      <c r="B5505" s="44" t="n">
        <v>46278</v>
      </c>
      <c r="C5505" s="31" t="s">
        <v>58</v>
      </c>
      <c r="D5505" s="31" t="s">
        <v>66</v>
      </c>
      <c r="E5505" s="31" t="s">
        <v>49</v>
      </c>
      <c r="F5505" s="31" t="s">
        <v>134</v>
      </c>
      <c r="G5505" s="31" t="n">
        <v>6</v>
      </c>
      <c r="H5505" s="41" t="n">
        <v>1.4</v>
      </c>
      <c r="I5505" s="31" t="s">
        <v>149</v>
      </c>
      <c r="J5505" s="31" t="n">
        <v>4</v>
      </c>
      <c r="K5505" s="31" t="s">
        <v>150</v>
      </c>
      <c r="L5505" s="45" t="n">
        <f aca="false">DATE(YEAR(B5505),MONTH(B5505),1)</f>
        <v>46266</v>
      </c>
      <c r="M5505" s="31" t="n">
        <f aca="false">WEEKDAY(B5505,2)</f>
        <v>7</v>
      </c>
      <c r="N5505" s="31" t="str">
        <f aca="false">IF(G5505&lt;=INDEX(Assumptions!$B$15:$B$18,MATCH(E5505,Assumptions!$A$15:$A$18,0)),"Yes","No")</f>
        <v>Yes</v>
      </c>
      <c r="O5505" s="31" t="str">
        <f aca="false">IF(H5505="","Open",IF(H5505&lt;=INDEX(Assumptions!$C$15:$C$18,MATCH(E5505,Assumptions!$A$15:$A$18,0)),"Yes","No"))</f>
        <v>Yes</v>
      </c>
    </row>
    <row r="5506" customFormat="false" ht="15" hidden="false" customHeight="false" outlineLevel="0" collapsed="false">
      <c r="A5506" s="31" t="s">
        <v>5656</v>
      </c>
      <c r="B5506" s="44" t="n">
        <v>46278</v>
      </c>
      <c r="C5506" s="31" t="s">
        <v>57</v>
      </c>
      <c r="D5506" s="31" t="s">
        <v>66</v>
      </c>
      <c r="E5506" s="31" t="s">
        <v>51</v>
      </c>
      <c r="F5506" s="31" t="s">
        <v>120</v>
      </c>
      <c r="G5506" s="31" t="n">
        <v>2</v>
      </c>
      <c r="H5506" s="41" t="n">
        <v>11.4</v>
      </c>
      <c r="I5506" s="31" t="s">
        <v>149</v>
      </c>
      <c r="J5506" s="31"/>
      <c r="K5506" s="31" t="s">
        <v>150</v>
      </c>
      <c r="L5506" s="45" t="n">
        <f aca="false">DATE(YEAR(B5506),MONTH(B5506),1)</f>
        <v>46266</v>
      </c>
      <c r="M5506" s="31" t="n">
        <f aca="false">WEEKDAY(B5506,2)</f>
        <v>7</v>
      </c>
      <c r="N5506" s="31" t="str">
        <f aca="false">IF(G5506&lt;=INDEX(Assumptions!$B$15:$B$18,MATCH(E5506,Assumptions!$A$15:$A$18,0)),"Yes","No")</f>
        <v>Yes</v>
      </c>
      <c r="O5506" s="31" t="str">
        <f aca="false">IF(H5506="","Open",IF(H5506&lt;=INDEX(Assumptions!$C$15:$C$18,MATCH(E5506,Assumptions!$A$15:$A$18,0)),"Yes","No"))</f>
        <v>Yes</v>
      </c>
    </row>
    <row r="5507" customFormat="false" ht="15" hidden="false" customHeight="false" outlineLevel="0" collapsed="false">
      <c r="A5507" s="31" t="s">
        <v>5657</v>
      </c>
      <c r="B5507" s="44" t="n">
        <v>46278</v>
      </c>
      <c r="C5507" s="31" t="s">
        <v>57</v>
      </c>
      <c r="D5507" s="31" t="s">
        <v>68</v>
      </c>
      <c r="E5507" s="31" t="s">
        <v>51</v>
      </c>
      <c r="F5507" s="31" t="s">
        <v>117</v>
      </c>
      <c r="G5507" s="31" t="n">
        <v>3</v>
      </c>
      <c r="H5507" s="41" t="n">
        <v>8.7</v>
      </c>
      <c r="I5507" s="31" t="s">
        <v>149</v>
      </c>
      <c r="J5507" s="31"/>
      <c r="K5507" s="31" t="s">
        <v>150</v>
      </c>
      <c r="L5507" s="45" t="n">
        <f aca="false">DATE(YEAR(B5507),MONTH(B5507),1)</f>
        <v>46266</v>
      </c>
      <c r="M5507" s="31" t="n">
        <f aca="false">WEEKDAY(B5507,2)</f>
        <v>7</v>
      </c>
      <c r="N5507" s="31" t="str">
        <f aca="false">IF(G5507&lt;=INDEX(Assumptions!$B$15:$B$18,MATCH(E5507,Assumptions!$A$15:$A$18,0)),"Yes","No")</f>
        <v>Yes</v>
      </c>
      <c r="O5507" s="31" t="str">
        <f aca="false">IF(H5507="","Open",IF(H5507&lt;=INDEX(Assumptions!$C$15:$C$18,MATCH(E5507,Assumptions!$A$15:$A$18,0)),"Yes","No"))</f>
        <v>Yes</v>
      </c>
    </row>
    <row r="5508" customFormat="false" ht="15" hidden="false" customHeight="false" outlineLevel="0" collapsed="false">
      <c r="A5508" s="31" t="s">
        <v>5658</v>
      </c>
      <c r="B5508" s="44" t="n">
        <v>46278</v>
      </c>
      <c r="C5508" s="31" t="s">
        <v>57</v>
      </c>
      <c r="D5508" s="31" t="s">
        <v>68</v>
      </c>
      <c r="E5508" s="31" t="s">
        <v>51</v>
      </c>
      <c r="F5508" s="31" t="s">
        <v>136</v>
      </c>
      <c r="G5508" s="31" t="n">
        <v>1</v>
      </c>
      <c r="H5508" s="41" t="n">
        <v>0.7</v>
      </c>
      <c r="I5508" s="31" t="s">
        <v>149</v>
      </c>
      <c r="J5508" s="31"/>
      <c r="K5508" s="31" t="s">
        <v>150</v>
      </c>
      <c r="L5508" s="45" t="n">
        <f aca="false">DATE(YEAR(B5508),MONTH(B5508),1)</f>
        <v>46266</v>
      </c>
      <c r="M5508" s="31" t="n">
        <f aca="false">WEEKDAY(B5508,2)</f>
        <v>7</v>
      </c>
      <c r="N5508" s="31" t="str">
        <f aca="false">IF(G5508&lt;=INDEX(Assumptions!$B$15:$B$18,MATCH(E5508,Assumptions!$A$15:$A$18,0)),"Yes","No")</f>
        <v>Yes</v>
      </c>
      <c r="O5508" s="31" t="str">
        <f aca="false">IF(H5508="","Open",IF(H5508&lt;=INDEX(Assumptions!$C$15:$C$18,MATCH(E5508,Assumptions!$A$15:$A$18,0)),"Yes","No"))</f>
        <v>Yes</v>
      </c>
    </row>
    <row r="5509" customFormat="false" ht="15" hidden="false" customHeight="false" outlineLevel="0" collapsed="false">
      <c r="A5509" s="31" t="s">
        <v>5659</v>
      </c>
      <c r="B5509" s="44" t="n">
        <v>46278</v>
      </c>
      <c r="C5509" s="31" t="s">
        <v>58</v>
      </c>
      <c r="D5509" s="31" t="s">
        <v>66</v>
      </c>
      <c r="E5509" s="31" t="s">
        <v>51</v>
      </c>
      <c r="F5509" s="31" t="s">
        <v>126</v>
      </c>
      <c r="G5509" s="31" t="n">
        <v>4</v>
      </c>
      <c r="H5509" s="41" t="n">
        <v>2.6</v>
      </c>
      <c r="I5509" s="31" t="s">
        <v>149</v>
      </c>
      <c r="J5509" s="31" t="n">
        <v>5</v>
      </c>
      <c r="K5509" s="31" t="s">
        <v>150</v>
      </c>
      <c r="L5509" s="45" t="n">
        <f aca="false">DATE(YEAR(B5509),MONTH(B5509),1)</f>
        <v>46266</v>
      </c>
      <c r="M5509" s="31" t="n">
        <f aca="false">WEEKDAY(B5509,2)</f>
        <v>7</v>
      </c>
      <c r="N5509" s="31" t="str">
        <f aca="false">IF(G5509&lt;=INDEX(Assumptions!$B$15:$B$18,MATCH(E5509,Assumptions!$A$15:$A$18,0)),"Yes","No")</f>
        <v>Yes</v>
      </c>
      <c r="O5509" s="31" t="str">
        <f aca="false">IF(H5509="","Open",IF(H5509&lt;=INDEX(Assumptions!$C$15:$C$18,MATCH(E5509,Assumptions!$A$15:$A$18,0)),"Yes","No"))</f>
        <v>Yes</v>
      </c>
    </row>
    <row r="5510" customFormat="false" ht="15" hidden="false" customHeight="false" outlineLevel="0" collapsed="false">
      <c r="A5510" s="31" t="s">
        <v>5660</v>
      </c>
      <c r="B5510" s="44" t="n">
        <v>46278</v>
      </c>
      <c r="C5510" s="31" t="s">
        <v>58</v>
      </c>
      <c r="D5510" s="31" t="s">
        <v>66</v>
      </c>
      <c r="E5510" s="31" t="s">
        <v>51</v>
      </c>
      <c r="F5510" s="31" t="s">
        <v>117</v>
      </c>
      <c r="G5510" s="31" t="n">
        <v>10</v>
      </c>
      <c r="H5510" s="41" t="n">
        <v>4.1</v>
      </c>
      <c r="I5510" s="31" t="s">
        <v>149</v>
      </c>
      <c r="J5510" s="31" t="n">
        <v>5</v>
      </c>
      <c r="K5510" s="31" t="s">
        <v>150</v>
      </c>
      <c r="L5510" s="45" t="n">
        <f aca="false">DATE(YEAR(B5510),MONTH(B5510),1)</f>
        <v>46266</v>
      </c>
      <c r="M5510" s="31" t="n">
        <f aca="false">WEEKDAY(B5510,2)</f>
        <v>7</v>
      </c>
      <c r="N5510" s="31" t="str">
        <f aca="false">IF(G5510&lt;=INDEX(Assumptions!$B$15:$B$18,MATCH(E5510,Assumptions!$A$15:$A$18,0)),"Yes","No")</f>
        <v>Yes</v>
      </c>
      <c r="O5510" s="31" t="str">
        <f aca="false">IF(H5510="","Open",IF(H5510&lt;=INDEX(Assumptions!$C$15:$C$18,MATCH(E5510,Assumptions!$A$15:$A$18,0)),"Yes","No"))</f>
        <v>Yes</v>
      </c>
    </row>
    <row r="5511" customFormat="false" ht="15" hidden="false" customHeight="false" outlineLevel="0" collapsed="false">
      <c r="A5511" s="31" t="s">
        <v>5661</v>
      </c>
      <c r="B5511" s="44" t="n">
        <v>46278</v>
      </c>
      <c r="C5511" s="31" t="s">
        <v>57</v>
      </c>
      <c r="D5511" s="31" t="s">
        <v>65</v>
      </c>
      <c r="E5511" s="31" t="s">
        <v>51</v>
      </c>
      <c r="F5511" s="31" t="s">
        <v>119</v>
      </c>
      <c r="G5511" s="31" t="n">
        <v>3</v>
      </c>
      <c r="H5511" s="41" t="n">
        <v>6.1</v>
      </c>
      <c r="I5511" s="31" t="s">
        <v>149</v>
      </c>
      <c r="J5511" s="31" t="n">
        <v>4</v>
      </c>
      <c r="K5511" s="31" t="s">
        <v>150</v>
      </c>
      <c r="L5511" s="45" t="n">
        <f aca="false">DATE(YEAR(B5511),MONTH(B5511),1)</f>
        <v>46266</v>
      </c>
      <c r="M5511" s="31" t="n">
        <f aca="false">WEEKDAY(B5511,2)</f>
        <v>7</v>
      </c>
      <c r="N5511" s="31" t="str">
        <f aca="false">IF(G5511&lt;=INDEX(Assumptions!$B$15:$B$18,MATCH(E5511,Assumptions!$A$15:$A$18,0)),"Yes","No")</f>
        <v>Yes</v>
      </c>
      <c r="O5511" s="31" t="str">
        <f aca="false">IF(H5511="","Open",IF(H5511&lt;=INDEX(Assumptions!$C$15:$C$18,MATCH(E5511,Assumptions!$A$15:$A$18,0)),"Yes","No"))</f>
        <v>Yes</v>
      </c>
    </row>
    <row r="5512" customFormat="false" ht="15" hidden="false" customHeight="false" outlineLevel="0" collapsed="false">
      <c r="A5512" s="31" t="s">
        <v>5662</v>
      </c>
      <c r="B5512" s="44" t="n">
        <v>46278</v>
      </c>
      <c r="C5512" s="31" t="s">
        <v>57</v>
      </c>
      <c r="D5512" s="31" t="s">
        <v>67</v>
      </c>
      <c r="E5512" s="31" t="s">
        <v>51</v>
      </c>
      <c r="F5512" s="31" t="s">
        <v>124</v>
      </c>
      <c r="G5512" s="31" t="n">
        <v>15</v>
      </c>
      <c r="H5512" s="41" t="n">
        <v>27.8</v>
      </c>
      <c r="I5512" s="31" t="s">
        <v>149</v>
      </c>
      <c r="J5512" s="31" t="n">
        <v>4</v>
      </c>
      <c r="K5512" s="31" t="s">
        <v>150</v>
      </c>
      <c r="L5512" s="45" t="n">
        <f aca="false">DATE(YEAR(B5512),MONTH(B5512),1)</f>
        <v>46266</v>
      </c>
      <c r="M5512" s="31" t="n">
        <f aca="false">WEEKDAY(B5512,2)</f>
        <v>7</v>
      </c>
      <c r="N5512" s="31" t="str">
        <f aca="false">IF(G5512&lt;=INDEX(Assumptions!$B$15:$B$18,MATCH(E5512,Assumptions!$A$15:$A$18,0)),"Yes","No")</f>
        <v>Yes</v>
      </c>
      <c r="O5512" s="31" t="str">
        <f aca="false">IF(H5512="","Open",IF(H5512&lt;=INDEX(Assumptions!$C$15:$C$18,MATCH(E5512,Assumptions!$A$15:$A$18,0)),"Yes","No"))</f>
        <v>No</v>
      </c>
    </row>
    <row r="5513" customFormat="false" ht="15" hidden="false" customHeight="false" outlineLevel="0" collapsed="false">
      <c r="A5513" s="31" t="s">
        <v>5663</v>
      </c>
      <c r="B5513" s="44" t="n">
        <v>46278</v>
      </c>
      <c r="C5513" s="31" t="s">
        <v>58</v>
      </c>
      <c r="D5513" s="31" t="s">
        <v>67</v>
      </c>
      <c r="E5513" s="31" t="s">
        <v>51</v>
      </c>
      <c r="F5513" s="31" t="s">
        <v>133</v>
      </c>
      <c r="G5513" s="31" t="n">
        <v>5</v>
      </c>
      <c r="H5513" s="41" t="n">
        <v>9.5</v>
      </c>
      <c r="I5513" s="31" t="s">
        <v>149</v>
      </c>
      <c r="J5513" s="31" t="n">
        <v>5</v>
      </c>
      <c r="K5513" s="31" t="s">
        <v>150</v>
      </c>
      <c r="L5513" s="45" t="n">
        <f aca="false">DATE(YEAR(B5513),MONTH(B5513),1)</f>
        <v>46266</v>
      </c>
      <c r="M5513" s="31" t="n">
        <f aca="false">WEEKDAY(B5513,2)</f>
        <v>7</v>
      </c>
      <c r="N5513" s="31" t="str">
        <f aca="false">IF(G5513&lt;=INDEX(Assumptions!$B$15:$B$18,MATCH(E5513,Assumptions!$A$15:$A$18,0)),"Yes","No")</f>
        <v>Yes</v>
      </c>
      <c r="O5513" s="31" t="str">
        <f aca="false">IF(H5513="","Open",IF(H5513&lt;=INDEX(Assumptions!$C$15:$C$18,MATCH(E5513,Assumptions!$A$15:$A$18,0)),"Yes","No"))</f>
        <v>Yes</v>
      </c>
    </row>
    <row r="5514" customFormat="false" ht="15" hidden="false" customHeight="false" outlineLevel="0" collapsed="false">
      <c r="A5514" s="31" t="s">
        <v>5664</v>
      </c>
      <c r="B5514" s="44" t="n">
        <v>46278</v>
      </c>
      <c r="C5514" s="31" t="s">
        <v>57</v>
      </c>
      <c r="D5514" s="31" t="s">
        <v>65</v>
      </c>
      <c r="E5514" s="31" t="s">
        <v>52</v>
      </c>
      <c r="F5514" s="31" t="s">
        <v>131</v>
      </c>
      <c r="G5514" s="31" t="n">
        <v>2</v>
      </c>
      <c r="H5514" s="41" t="n">
        <v>4.6</v>
      </c>
      <c r="I5514" s="31" t="s">
        <v>149</v>
      </c>
      <c r="J5514" s="31"/>
      <c r="K5514" s="31" t="s">
        <v>150</v>
      </c>
      <c r="L5514" s="45" t="n">
        <f aca="false">DATE(YEAR(B5514),MONTH(B5514),1)</f>
        <v>46266</v>
      </c>
      <c r="M5514" s="31" t="n">
        <f aca="false">WEEKDAY(B5514,2)</f>
        <v>7</v>
      </c>
      <c r="N5514" s="31" t="str">
        <f aca="false">IF(G5514&lt;=INDEX(Assumptions!$B$15:$B$18,MATCH(E5514,Assumptions!$A$15:$A$18,0)),"Yes","No")</f>
        <v>Yes</v>
      </c>
      <c r="O5514" s="31" t="str">
        <f aca="false">IF(H5514="","Open",IF(H5514&lt;=INDEX(Assumptions!$C$15:$C$18,MATCH(E5514,Assumptions!$A$15:$A$18,0)),"Yes","No"))</f>
        <v>Yes</v>
      </c>
    </row>
    <row r="5515" customFormat="false" ht="15" hidden="false" customHeight="false" outlineLevel="0" collapsed="false">
      <c r="A5515" s="31" t="s">
        <v>5665</v>
      </c>
      <c r="B5515" s="44" t="n">
        <v>46278</v>
      </c>
      <c r="C5515" s="31" t="s">
        <v>58</v>
      </c>
      <c r="D5515" s="31" t="s">
        <v>65</v>
      </c>
      <c r="E5515" s="31" t="s">
        <v>52</v>
      </c>
      <c r="F5515" s="31" t="s">
        <v>119</v>
      </c>
      <c r="G5515" s="31" t="n">
        <v>9</v>
      </c>
      <c r="H5515" s="41" t="n">
        <v>11.4</v>
      </c>
      <c r="I5515" s="31" t="s">
        <v>149</v>
      </c>
      <c r="J5515" s="31"/>
      <c r="K5515" s="31" t="s">
        <v>150</v>
      </c>
      <c r="L5515" s="45" t="n">
        <f aca="false">DATE(YEAR(B5515),MONTH(B5515),1)</f>
        <v>46266</v>
      </c>
      <c r="M5515" s="31" t="n">
        <f aca="false">WEEKDAY(B5515,2)</f>
        <v>7</v>
      </c>
      <c r="N5515" s="31" t="str">
        <f aca="false">IF(G5515&lt;=INDEX(Assumptions!$B$15:$B$18,MATCH(E5515,Assumptions!$A$15:$A$18,0)),"Yes","No")</f>
        <v>Yes</v>
      </c>
      <c r="O5515" s="31" t="str">
        <f aca="false">IF(H5515="","Open",IF(H5515&lt;=INDEX(Assumptions!$C$15:$C$18,MATCH(E5515,Assumptions!$A$15:$A$18,0)),"Yes","No"))</f>
        <v>Yes</v>
      </c>
    </row>
    <row r="5516" customFormat="false" ht="15" hidden="false" customHeight="false" outlineLevel="0" collapsed="false">
      <c r="A5516" s="31" t="s">
        <v>5666</v>
      </c>
      <c r="B5516" s="44" t="n">
        <v>46279</v>
      </c>
      <c r="C5516" s="31" t="s">
        <v>57</v>
      </c>
      <c r="D5516" s="31" t="s">
        <v>66</v>
      </c>
      <c r="E5516" s="31" t="s">
        <v>52</v>
      </c>
      <c r="F5516" s="31" t="s">
        <v>136</v>
      </c>
      <c r="G5516" s="31" t="n">
        <v>2</v>
      </c>
      <c r="H5516" s="41" t="n">
        <v>15.5</v>
      </c>
      <c r="I5516" s="31" t="s">
        <v>149</v>
      </c>
      <c r="J5516" s="31" t="n">
        <v>4</v>
      </c>
      <c r="K5516" s="31" t="s">
        <v>153</v>
      </c>
      <c r="L5516" s="45" t="n">
        <f aca="false">DATE(YEAR(B5516),MONTH(B5516),1)</f>
        <v>46266</v>
      </c>
      <c r="M5516" s="31" t="n">
        <f aca="false">WEEKDAY(B5516,2)</f>
        <v>1</v>
      </c>
      <c r="N5516" s="31" t="str">
        <f aca="false">IF(G5516&lt;=INDEX(Assumptions!$B$15:$B$18,MATCH(E5516,Assumptions!$A$15:$A$18,0)),"Yes","No")</f>
        <v>Yes</v>
      </c>
      <c r="O5516" s="31" t="str">
        <f aca="false">IF(H5516="","Open",IF(H5516&lt;=INDEX(Assumptions!$C$15:$C$18,MATCH(E5516,Assumptions!$A$15:$A$18,0)),"Yes","No"))</f>
        <v>Yes</v>
      </c>
    </row>
    <row r="5517" customFormat="false" ht="15" hidden="false" customHeight="false" outlineLevel="0" collapsed="false">
      <c r="A5517" s="31" t="s">
        <v>5667</v>
      </c>
      <c r="B5517" s="44" t="n">
        <v>46279</v>
      </c>
      <c r="C5517" s="31" t="s">
        <v>60</v>
      </c>
      <c r="D5517" s="31" t="s">
        <v>69</v>
      </c>
      <c r="E5517" s="31" t="s">
        <v>52</v>
      </c>
      <c r="F5517" s="31" t="s">
        <v>126</v>
      </c>
      <c r="G5517" s="31" t="n">
        <v>3</v>
      </c>
      <c r="H5517" s="41" t="n">
        <v>9.4</v>
      </c>
      <c r="I5517" s="31" t="s">
        <v>149</v>
      </c>
      <c r="J5517" s="31" t="n">
        <v>5</v>
      </c>
      <c r="K5517" s="31" t="s">
        <v>153</v>
      </c>
      <c r="L5517" s="45" t="n">
        <f aca="false">DATE(YEAR(B5517),MONTH(B5517),1)</f>
        <v>46266</v>
      </c>
      <c r="M5517" s="31" t="n">
        <f aca="false">WEEKDAY(B5517,2)</f>
        <v>1</v>
      </c>
      <c r="N5517" s="31" t="str">
        <f aca="false">IF(G5517&lt;=INDEX(Assumptions!$B$15:$B$18,MATCH(E5517,Assumptions!$A$15:$A$18,0)),"Yes","No")</f>
        <v>Yes</v>
      </c>
      <c r="O5517" s="31" t="str">
        <f aca="false">IF(H5517="","Open",IF(H5517&lt;=INDEX(Assumptions!$C$15:$C$18,MATCH(E5517,Assumptions!$A$15:$A$18,0)),"Yes","No"))</f>
        <v>Yes</v>
      </c>
    </row>
    <row r="5518" customFormat="false" ht="15" hidden="false" customHeight="false" outlineLevel="0" collapsed="false">
      <c r="A5518" s="31" t="s">
        <v>5668</v>
      </c>
      <c r="B5518" s="44" t="n">
        <v>46279</v>
      </c>
      <c r="C5518" s="31" t="s">
        <v>58</v>
      </c>
      <c r="D5518" s="31" t="s">
        <v>68</v>
      </c>
      <c r="E5518" s="31" t="s">
        <v>52</v>
      </c>
      <c r="F5518" s="31" t="s">
        <v>133</v>
      </c>
      <c r="G5518" s="31" t="n">
        <v>14</v>
      </c>
      <c r="H5518" s="41" t="n">
        <v>18.3</v>
      </c>
      <c r="I5518" s="31" t="s">
        <v>149</v>
      </c>
      <c r="J5518" s="31" t="n">
        <v>4</v>
      </c>
      <c r="K5518" s="31" t="s">
        <v>150</v>
      </c>
      <c r="L5518" s="45" t="n">
        <f aca="false">DATE(YEAR(B5518),MONTH(B5518),1)</f>
        <v>46266</v>
      </c>
      <c r="M5518" s="31" t="n">
        <f aca="false">WEEKDAY(B5518,2)</f>
        <v>1</v>
      </c>
      <c r="N5518" s="31" t="str">
        <f aca="false">IF(G5518&lt;=INDEX(Assumptions!$B$15:$B$18,MATCH(E5518,Assumptions!$A$15:$A$18,0)),"Yes","No")</f>
        <v>Yes</v>
      </c>
      <c r="O5518" s="31" t="str">
        <f aca="false">IF(H5518="","Open",IF(H5518&lt;=INDEX(Assumptions!$C$15:$C$18,MATCH(E5518,Assumptions!$A$15:$A$18,0)),"Yes","No"))</f>
        <v>Yes</v>
      </c>
    </row>
    <row r="5519" customFormat="false" ht="15" hidden="false" customHeight="false" outlineLevel="0" collapsed="false">
      <c r="A5519" s="31" t="s">
        <v>5669</v>
      </c>
      <c r="B5519" s="44" t="n">
        <v>46279</v>
      </c>
      <c r="C5519" s="31" t="s">
        <v>59</v>
      </c>
      <c r="D5519" s="31" t="s">
        <v>68</v>
      </c>
      <c r="E5519" s="31" t="s">
        <v>49</v>
      </c>
      <c r="F5519" s="31" t="s">
        <v>129</v>
      </c>
      <c r="G5519" s="31" t="n">
        <v>13</v>
      </c>
      <c r="H5519" s="41" t="n">
        <v>0.3</v>
      </c>
      <c r="I5519" s="31" t="s">
        <v>149</v>
      </c>
      <c r="J5519" s="31"/>
      <c r="K5519" s="31" t="s">
        <v>150</v>
      </c>
      <c r="L5519" s="45" t="n">
        <f aca="false">DATE(YEAR(B5519),MONTH(B5519),1)</f>
        <v>46266</v>
      </c>
      <c r="M5519" s="31" t="n">
        <f aca="false">WEEKDAY(B5519,2)</f>
        <v>1</v>
      </c>
      <c r="N5519" s="31" t="str">
        <f aca="false">IF(G5519&lt;=INDEX(Assumptions!$B$15:$B$18,MATCH(E5519,Assumptions!$A$15:$A$18,0)),"Yes","No")</f>
        <v>Yes</v>
      </c>
      <c r="O5519" s="31" t="str">
        <f aca="false">IF(H5519="","Open",IF(H5519&lt;=INDEX(Assumptions!$C$15:$C$18,MATCH(E5519,Assumptions!$A$15:$A$18,0)),"Yes","No"))</f>
        <v>Yes</v>
      </c>
    </row>
    <row r="5520" customFormat="false" ht="15" hidden="false" customHeight="false" outlineLevel="0" collapsed="false">
      <c r="A5520" s="31" t="s">
        <v>5670</v>
      </c>
      <c r="B5520" s="44" t="n">
        <v>46279</v>
      </c>
      <c r="C5520" s="31" t="s">
        <v>58</v>
      </c>
      <c r="D5520" s="31" t="s">
        <v>67</v>
      </c>
      <c r="E5520" s="31" t="s">
        <v>51</v>
      </c>
      <c r="F5520" s="31" t="s">
        <v>123</v>
      </c>
      <c r="G5520" s="31" t="n">
        <v>29</v>
      </c>
      <c r="H5520" s="41" t="n">
        <v>17.8</v>
      </c>
      <c r="I5520" s="31" t="s">
        <v>149</v>
      </c>
      <c r="J5520" s="31" t="n">
        <v>5</v>
      </c>
      <c r="K5520" s="31" t="s">
        <v>150</v>
      </c>
      <c r="L5520" s="45" t="n">
        <f aca="false">DATE(YEAR(B5520),MONTH(B5520),1)</f>
        <v>46266</v>
      </c>
      <c r="M5520" s="31" t="n">
        <f aca="false">WEEKDAY(B5520,2)</f>
        <v>1</v>
      </c>
      <c r="N5520" s="31" t="str">
        <f aca="false">IF(G5520&lt;=INDEX(Assumptions!$B$15:$B$18,MATCH(E5520,Assumptions!$A$15:$A$18,0)),"Yes","No")</f>
        <v>Yes</v>
      </c>
      <c r="O5520" s="31" t="str">
        <f aca="false">IF(H5520="","Open",IF(H5520&lt;=INDEX(Assumptions!$C$15:$C$18,MATCH(E5520,Assumptions!$A$15:$A$18,0)),"Yes","No"))</f>
        <v>Yes</v>
      </c>
    </row>
    <row r="5521" customFormat="false" ht="15" hidden="false" customHeight="false" outlineLevel="0" collapsed="false">
      <c r="A5521" s="31" t="s">
        <v>5671</v>
      </c>
      <c r="B5521" s="44" t="n">
        <v>46279</v>
      </c>
      <c r="C5521" s="31" t="s">
        <v>59</v>
      </c>
      <c r="D5521" s="31" t="s">
        <v>67</v>
      </c>
      <c r="E5521" s="31" t="s">
        <v>49</v>
      </c>
      <c r="F5521" s="31" t="s">
        <v>127</v>
      </c>
      <c r="G5521" s="31" t="n">
        <v>12</v>
      </c>
      <c r="H5521" s="41" t="n">
        <v>1.7</v>
      </c>
      <c r="I5521" s="31" t="s">
        <v>149</v>
      </c>
      <c r="J5521" s="31" t="n">
        <v>3</v>
      </c>
      <c r="K5521" s="31" t="s">
        <v>153</v>
      </c>
      <c r="L5521" s="45" t="n">
        <f aca="false">DATE(YEAR(B5521),MONTH(B5521),1)</f>
        <v>46266</v>
      </c>
      <c r="M5521" s="31" t="n">
        <f aca="false">WEEKDAY(B5521,2)</f>
        <v>1</v>
      </c>
      <c r="N5521" s="31" t="str">
        <f aca="false">IF(G5521&lt;=INDEX(Assumptions!$B$15:$B$18,MATCH(E5521,Assumptions!$A$15:$A$18,0)),"Yes","No")</f>
        <v>Yes</v>
      </c>
      <c r="O5521" s="31" t="str">
        <f aca="false">IF(H5521="","Open",IF(H5521&lt;=INDEX(Assumptions!$C$15:$C$18,MATCH(E5521,Assumptions!$A$15:$A$18,0)),"Yes","No"))</f>
        <v>Yes</v>
      </c>
    </row>
    <row r="5522" customFormat="false" ht="15" hidden="false" customHeight="false" outlineLevel="0" collapsed="false">
      <c r="A5522" s="31" t="s">
        <v>5672</v>
      </c>
      <c r="B5522" s="44" t="n">
        <v>46279</v>
      </c>
      <c r="C5522" s="31" t="s">
        <v>58</v>
      </c>
      <c r="D5522" s="31" t="s">
        <v>66</v>
      </c>
      <c r="E5522" s="31" t="s">
        <v>52</v>
      </c>
      <c r="F5522" s="31" t="s">
        <v>126</v>
      </c>
      <c r="G5522" s="31" t="n">
        <v>40</v>
      </c>
      <c r="H5522" s="41" t="n">
        <v>1.7</v>
      </c>
      <c r="I5522" s="31" t="s">
        <v>149</v>
      </c>
      <c r="J5522" s="31"/>
      <c r="K5522" s="31" t="s">
        <v>150</v>
      </c>
      <c r="L5522" s="45" t="n">
        <f aca="false">DATE(YEAR(B5522),MONTH(B5522),1)</f>
        <v>46266</v>
      </c>
      <c r="M5522" s="31" t="n">
        <f aca="false">WEEKDAY(B5522,2)</f>
        <v>1</v>
      </c>
      <c r="N5522" s="31" t="str">
        <f aca="false">IF(G5522&lt;=INDEX(Assumptions!$B$15:$B$18,MATCH(E5522,Assumptions!$A$15:$A$18,0)),"Yes","No")</f>
        <v>Yes</v>
      </c>
      <c r="O5522" s="31" t="str">
        <f aca="false">IF(H5522="","Open",IF(H5522&lt;=INDEX(Assumptions!$C$15:$C$18,MATCH(E5522,Assumptions!$A$15:$A$18,0)),"Yes","No"))</f>
        <v>Yes</v>
      </c>
    </row>
    <row r="5523" customFormat="false" ht="15" hidden="false" customHeight="false" outlineLevel="0" collapsed="false">
      <c r="A5523" s="31" t="s">
        <v>5673</v>
      </c>
      <c r="B5523" s="44" t="n">
        <v>46279</v>
      </c>
      <c r="C5523" s="31" t="s">
        <v>58</v>
      </c>
      <c r="D5523" s="31" t="s">
        <v>65</v>
      </c>
      <c r="E5523" s="31" t="s">
        <v>51</v>
      </c>
      <c r="F5523" s="31" t="s">
        <v>123</v>
      </c>
      <c r="G5523" s="31" t="n">
        <v>23</v>
      </c>
      <c r="H5523" s="41" t="n">
        <v>6.1</v>
      </c>
      <c r="I5523" s="31" t="s">
        <v>149</v>
      </c>
      <c r="J5523" s="31"/>
      <c r="K5523" s="31" t="s">
        <v>150</v>
      </c>
      <c r="L5523" s="45" t="n">
        <f aca="false">DATE(YEAR(B5523),MONTH(B5523),1)</f>
        <v>46266</v>
      </c>
      <c r="M5523" s="31" t="n">
        <f aca="false">WEEKDAY(B5523,2)</f>
        <v>1</v>
      </c>
      <c r="N5523" s="31" t="str">
        <f aca="false">IF(G5523&lt;=INDEX(Assumptions!$B$15:$B$18,MATCH(E5523,Assumptions!$A$15:$A$18,0)),"Yes","No")</f>
        <v>Yes</v>
      </c>
      <c r="O5523" s="31" t="str">
        <f aca="false">IF(H5523="","Open",IF(H5523&lt;=INDEX(Assumptions!$C$15:$C$18,MATCH(E5523,Assumptions!$A$15:$A$18,0)),"Yes","No"))</f>
        <v>Yes</v>
      </c>
    </row>
    <row r="5524" customFormat="false" ht="15" hidden="false" customHeight="false" outlineLevel="0" collapsed="false">
      <c r="A5524" s="31" t="s">
        <v>5674</v>
      </c>
      <c r="B5524" s="44" t="n">
        <v>46279</v>
      </c>
      <c r="C5524" s="31" t="s">
        <v>60</v>
      </c>
      <c r="D5524" s="31" t="s">
        <v>68</v>
      </c>
      <c r="E5524" s="31" t="s">
        <v>52</v>
      </c>
      <c r="F5524" s="31" t="s">
        <v>133</v>
      </c>
      <c r="G5524" s="31" t="n">
        <v>2</v>
      </c>
      <c r="H5524" s="41" t="n">
        <v>1.9</v>
      </c>
      <c r="I5524" s="31" t="s">
        <v>149</v>
      </c>
      <c r="J5524" s="31" t="n">
        <v>4</v>
      </c>
      <c r="K5524" s="31" t="s">
        <v>150</v>
      </c>
      <c r="L5524" s="45" t="n">
        <f aca="false">DATE(YEAR(B5524),MONTH(B5524),1)</f>
        <v>46266</v>
      </c>
      <c r="M5524" s="31" t="n">
        <f aca="false">WEEKDAY(B5524,2)</f>
        <v>1</v>
      </c>
      <c r="N5524" s="31" t="str">
        <f aca="false">IF(G5524&lt;=INDEX(Assumptions!$B$15:$B$18,MATCH(E5524,Assumptions!$A$15:$A$18,0)),"Yes","No")</f>
        <v>Yes</v>
      </c>
      <c r="O5524" s="31" t="str">
        <f aca="false">IF(H5524="","Open",IF(H5524&lt;=INDEX(Assumptions!$C$15:$C$18,MATCH(E5524,Assumptions!$A$15:$A$18,0)),"Yes","No"))</f>
        <v>Yes</v>
      </c>
    </row>
    <row r="5525" customFormat="false" ht="15" hidden="false" customHeight="false" outlineLevel="0" collapsed="false">
      <c r="A5525" s="31" t="s">
        <v>5675</v>
      </c>
      <c r="B5525" s="44" t="n">
        <v>46279</v>
      </c>
      <c r="C5525" s="31" t="s">
        <v>59</v>
      </c>
      <c r="D5525" s="31" t="s">
        <v>67</v>
      </c>
      <c r="E5525" s="31" t="s">
        <v>51</v>
      </c>
      <c r="F5525" s="31" t="s">
        <v>137</v>
      </c>
      <c r="G5525" s="31" t="n">
        <v>124</v>
      </c>
      <c r="H5525" s="41" t="n">
        <v>10.6</v>
      </c>
      <c r="I5525" s="31" t="s">
        <v>149</v>
      </c>
      <c r="J5525" s="31" t="n">
        <v>4</v>
      </c>
      <c r="K5525" s="31" t="s">
        <v>153</v>
      </c>
      <c r="L5525" s="45" t="n">
        <f aca="false">DATE(YEAR(B5525),MONTH(B5525),1)</f>
        <v>46266</v>
      </c>
      <c r="M5525" s="31" t="n">
        <f aca="false">WEEKDAY(B5525,2)</f>
        <v>1</v>
      </c>
      <c r="N5525" s="31" t="str">
        <f aca="false">IF(G5525&lt;=INDEX(Assumptions!$B$15:$B$18,MATCH(E5525,Assumptions!$A$15:$A$18,0)),"Yes","No")</f>
        <v>No</v>
      </c>
      <c r="O5525" s="31" t="str">
        <f aca="false">IF(H5525="","Open",IF(H5525&lt;=INDEX(Assumptions!$C$15:$C$18,MATCH(E5525,Assumptions!$A$15:$A$18,0)),"Yes","No"))</f>
        <v>Yes</v>
      </c>
    </row>
    <row r="5526" customFormat="false" ht="15" hidden="false" customHeight="false" outlineLevel="0" collapsed="false">
      <c r="A5526" s="31" t="s">
        <v>5676</v>
      </c>
      <c r="B5526" s="44" t="n">
        <v>46279</v>
      </c>
      <c r="C5526" s="31" t="s">
        <v>59</v>
      </c>
      <c r="D5526" s="31" t="s">
        <v>65</v>
      </c>
      <c r="E5526" s="31" t="s">
        <v>52</v>
      </c>
      <c r="F5526" s="31" t="s">
        <v>121</v>
      </c>
      <c r="G5526" s="31" t="n">
        <v>120</v>
      </c>
      <c r="H5526" s="41" t="n">
        <v>13.6</v>
      </c>
      <c r="I5526" s="31" t="s">
        <v>149</v>
      </c>
      <c r="J5526" s="31"/>
      <c r="K5526" s="31" t="s">
        <v>150</v>
      </c>
      <c r="L5526" s="45" t="n">
        <f aca="false">DATE(YEAR(B5526),MONTH(B5526),1)</f>
        <v>46266</v>
      </c>
      <c r="M5526" s="31" t="n">
        <f aca="false">WEEKDAY(B5526,2)</f>
        <v>1</v>
      </c>
      <c r="N5526" s="31" t="str">
        <f aca="false">IF(G5526&lt;=INDEX(Assumptions!$B$15:$B$18,MATCH(E5526,Assumptions!$A$15:$A$18,0)),"Yes","No")</f>
        <v>Yes</v>
      </c>
      <c r="O5526" s="31" t="str">
        <f aca="false">IF(H5526="","Open",IF(H5526&lt;=INDEX(Assumptions!$C$15:$C$18,MATCH(E5526,Assumptions!$A$15:$A$18,0)),"Yes","No"))</f>
        <v>Yes</v>
      </c>
    </row>
    <row r="5527" customFormat="false" ht="15" hidden="false" customHeight="false" outlineLevel="0" collapsed="false">
      <c r="A5527" s="31" t="s">
        <v>5677</v>
      </c>
      <c r="B5527" s="44" t="n">
        <v>46279</v>
      </c>
      <c r="C5527" s="31" t="s">
        <v>58</v>
      </c>
      <c r="D5527" s="31" t="s">
        <v>65</v>
      </c>
      <c r="E5527" s="31" t="s">
        <v>52</v>
      </c>
      <c r="F5527" s="31" t="s">
        <v>120</v>
      </c>
      <c r="G5527" s="31" t="n">
        <v>35</v>
      </c>
      <c r="H5527" s="41" t="n">
        <v>48.9</v>
      </c>
      <c r="I5527" s="31" t="s">
        <v>149</v>
      </c>
      <c r="J5527" s="31"/>
      <c r="K5527" s="31" t="s">
        <v>150</v>
      </c>
      <c r="L5527" s="45" t="n">
        <f aca="false">DATE(YEAR(B5527),MONTH(B5527),1)</f>
        <v>46266</v>
      </c>
      <c r="M5527" s="31" t="n">
        <f aca="false">WEEKDAY(B5527,2)</f>
        <v>1</v>
      </c>
      <c r="N5527" s="31" t="str">
        <f aca="false">IF(G5527&lt;=INDEX(Assumptions!$B$15:$B$18,MATCH(E5527,Assumptions!$A$15:$A$18,0)),"Yes","No")</f>
        <v>Yes</v>
      </c>
      <c r="O5527" s="31" t="str">
        <f aca="false">IF(H5527="","Open",IF(H5527&lt;=INDEX(Assumptions!$C$15:$C$18,MATCH(E5527,Assumptions!$A$15:$A$18,0)),"Yes","No"))</f>
        <v>Yes</v>
      </c>
    </row>
    <row r="5528" customFormat="false" ht="15" hidden="false" customHeight="false" outlineLevel="0" collapsed="false">
      <c r="A5528" s="31" t="s">
        <v>5678</v>
      </c>
      <c r="B5528" s="44" t="n">
        <v>46279</v>
      </c>
      <c r="C5528" s="31" t="s">
        <v>58</v>
      </c>
      <c r="D5528" s="31" t="s">
        <v>69</v>
      </c>
      <c r="E5528" s="31" t="s">
        <v>52</v>
      </c>
      <c r="F5528" s="31" t="s">
        <v>130</v>
      </c>
      <c r="G5528" s="31" t="n">
        <v>50</v>
      </c>
      <c r="H5528" s="41" t="n">
        <v>73.5</v>
      </c>
      <c r="I5528" s="31" t="s">
        <v>149</v>
      </c>
      <c r="J5528" s="31"/>
      <c r="K5528" s="31" t="s">
        <v>150</v>
      </c>
      <c r="L5528" s="45" t="n">
        <f aca="false">DATE(YEAR(B5528),MONTH(B5528),1)</f>
        <v>46266</v>
      </c>
      <c r="M5528" s="31" t="n">
        <f aca="false">WEEKDAY(B5528,2)</f>
        <v>1</v>
      </c>
      <c r="N5528" s="31" t="str">
        <f aca="false">IF(G5528&lt;=INDEX(Assumptions!$B$15:$B$18,MATCH(E5528,Assumptions!$A$15:$A$18,0)),"Yes","No")</f>
        <v>Yes</v>
      </c>
      <c r="O5528" s="31" t="str">
        <f aca="false">IF(H5528="","Open",IF(H5528&lt;=INDEX(Assumptions!$C$15:$C$18,MATCH(E5528,Assumptions!$A$15:$A$18,0)),"Yes","No"))</f>
        <v>No</v>
      </c>
    </row>
    <row r="5529" customFormat="false" ht="15" hidden="false" customHeight="false" outlineLevel="0" collapsed="false">
      <c r="A5529" s="31" t="s">
        <v>5679</v>
      </c>
      <c r="B5529" s="44" t="n">
        <v>46279</v>
      </c>
      <c r="C5529" s="31" t="s">
        <v>57</v>
      </c>
      <c r="D5529" s="31" t="s">
        <v>66</v>
      </c>
      <c r="E5529" s="31" t="s">
        <v>50</v>
      </c>
      <c r="F5529" s="31" t="s">
        <v>129</v>
      </c>
      <c r="G5529" s="31" t="n">
        <v>5</v>
      </c>
      <c r="H5529" s="41"/>
      <c r="I5529" s="31" t="s">
        <v>158</v>
      </c>
      <c r="J5529" s="31"/>
      <c r="K5529" s="31" t="s">
        <v>150</v>
      </c>
      <c r="L5529" s="45" t="n">
        <f aca="false">DATE(YEAR(B5529),MONTH(B5529),1)</f>
        <v>46266</v>
      </c>
      <c r="M5529" s="31" t="n">
        <f aca="false">WEEKDAY(B5529,2)</f>
        <v>1</v>
      </c>
      <c r="N5529" s="31" t="str">
        <f aca="false">IF(G5529&lt;=INDEX(Assumptions!$B$15:$B$18,MATCH(E5529,Assumptions!$A$15:$A$18,0)),"Yes","No")</f>
        <v>Yes</v>
      </c>
      <c r="O5529" s="31" t="str">
        <f aca="false">IF(H5529="","Open",IF(H5529&lt;=INDEX(Assumptions!$C$15:$C$18,MATCH(E5529,Assumptions!$A$15:$A$18,0)),"Yes","No"))</f>
        <v>Open</v>
      </c>
    </row>
    <row r="5530" customFormat="false" ht="15" hidden="false" customHeight="false" outlineLevel="0" collapsed="false">
      <c r="A5530" s="31" t="s">
        <v>5680</v>
      </c>
      <c r="B5530" s="44" t="n">
        <v>46279</v>
      </c>
      <c r="C5530" s="31" t="s">
        <v>58</v>
      </c>
      <c r="D5530" s="31" t="s">
        <v>66</v>
      </c>
      <c r="E5530" s="31" t="s">
        <v>50</v>
      </c>
      <c r="F5530" s="31" t="s">
        <v>127</v>
      </c>
      <c r="G5530" s="31" t="n">
        <v>8</v>
      </c>
      <c r="H5530" s="41" t="n">
        <v>4.6</v>
      </c>
      <c r="I5530" s="31" t="s">
        <v>149</v>
      </c>
      <c r="J5530" s="31"/>
      <c r="K5530" s="31" t="s">
        <v>150</v>
      </c>
      <c r="L5530" s="45" t="n">
        <f aca="false">DATE(YEAR(B5530),MONTH(B5530),1)</f>
        <v>46266</v>
      </c>
      <c r="M5530" s="31" t="n">
        <f aca="false">WEEKDAY(B5530,2)</f>
        <v>1</v>
      </c>
      <c r="N5530" s="31" t="str">
        <f aca="false">IF(G5530&lt;=INDEX(Assumptions!$B$15:$B$18,MATCH(E5530,Assumptions!$A$15:$A$18,0)),"Yes","No")</f>
        <v>Yes</v>
      </c>
      <c r="O5530" s="31" t="str">
        <f aca="false">IF(H5530="","Open",IF(H5530&lt;=INDEX(Assumptions!$C$15:$C$18,MATCH(E5530,Assumptions!$A$15:$A$18,0)),"Yes","No"))</f>
        <v>Yes</v>
      </c>
    </row>
    <row r="5531" customFormat="false" ht="15" hidden="false" customHeight="false" outlineLevel="0" collapsed="false">
      <c r="A5531" s="31" t="s">
        <v>5681</v>
      </c>
      <c r="B5531" s="44" t="n">
        <v>46279</v>
      </c>
      <c r="C5531" s="31" t="s">
        <v>59</v>
      </c>
      <c r="D5531" s="31" t="s">
        <v>67</v>
      </c>
      <c r="E5531" s="31" t="s">
        <v>52</v>
      </c>
      <c r="F5531" s="31" t="s">
        <v>127</v>
      </c>
      <c r="G5531" s="31" t="n">
        <v>61</v>
      </c>
      <c r="H5531" s="41" t="n">
        <v>5.7</v>
      </c>
      <c r="I5531" s="31" t="s">
        <v>149</v>
      </c>
      <c r="J5531" s="31" t="n">
        <v>5</v>
      </c>
      <c r="K5531" s="31" t="s">
        <v>150</v>
      </c>
      <c r="L5531" s="45" t="n">
        <f aca="false">DATE(YEAR(B5531),MONTH(B5531),1)</f>
        <v>46266</v>
      </c>
      <c r="M5531" s="31" t="n">
        <f aca="false">WEEKDAY(B5531,2)</f>
        <v>1</v>
      </c>
      <c r="N5531" s="31" t="str">
        <f aca="false">IF(G5531&lt;=INDEX(Assumptions!$B$15:$B$18,MATCH(E5531,Assumptions!$A$15:$A$18,0)),"Yes","No")</f>
        <v>Yes</v>
      </c>
      <c r="O5531" s="31" t="str">
        <f aca="false">IF(H5531="","Open",IF(H5531&lt;=INDEX(Assumptions!$C$15:$C$18,MATCH(E5531,Assumptions!$A$15:$A$18,0)),"Yes","No"))</f>
        <v>Yes</v>
      </c>
    </row>
    <row r="5532" customFormat="false" ht="15" hidden="false" customHeight="false" outlineLevel="0" collapsed="false">
      <c r="A5532" s="31" t="s">
        <v>5682</v>
      </c>
      <c r="B5532" s="44" t="n">
        <v>46279</v>
      </c>
      <c r="C5532" s="31" t="s">
        <v>57</v>
      </c>
      <c r="D5532" s="31" t="s">
        <v>65</v>
      </c>
      <c r="E5532" s="31" t="s">
        <v>51</v>
      </c>
      <c r="F5532" s="31" t="s">
        <v>117</v>
      </c>
      <c r="G5532" s="31" t="n">
        <v>4</v>
      </c>
      <c r="H5532" s="41" t="n">
        <v>3.5</v>
      </c>
      <c r="I5532" s="31" t="s">
        <v>149</v>
      </c>
      <c r="J5532" s="31" t="n">
        <v>5</v>
      </c>
      <c r="K5532" s="31" t="s">
        <v>150</v>
      </c>
      <c r="L5532" s="45" t="n">
        <f aca="false">DATE(YEAR(B5532),MONTH(B5532),1)</f>
        <v>46266</v>
      </c>
      <c r="M5532" s="31" t="n">
        <f aca="false">WEEKDAY(B5532,2)</f>
        <v>1</v>
      </c>
      <c r="N5532" s="31" t="str">
        <f aca="false">IF(G5532&lt;=INDEX(Assumptions!$B$15:$B$18,MATCH(E5532,Assumptions!$A$15:$A$18,0)),"Yes","No")</f>
        <v>Yes</v>
      </c>
      <c r="O5532" s="31" t="str">
        <f aca="false">IF(H5532="","Open",IF(H5532&lt;=INDEX(Assumptions!$C$15:$C$18,MATCH(E5532,Assumptions!$A$15:$A$18,0)),"Yes","No"))</f>
        <v>Yes</v>
      </c>
    </row>
    <row r="5533" customFormat="false" ht="15" hidden="false" customHeight="false" outlineLevel="0" collapsed="false">
      <c r="A5533" s="31" t="s">
        <v>5683</v>
      </c>
      <c r="B5533" s="44" t="n">
        <v>46279</v>
      </c>
      <c r="C5533" s="31" t="s">
        <v>59</v>
      </c>
      <c r="D5533" s="31" t="s">
        <v>66</v>
      </c>
      <c r="E5533" s="31" t="s">
        <v>51</v>
      </c>
      <c r="F5533" s="31" t="s">
        <v>126</v>
      </c>
      <c r="G5533" s="31" t="n">
        <v>187</v>
      </c>
      <c r="H5533" s="41" t="n">
        <v>5.2</v>
      </c>
      <c r="I5533" s="31" t="s">
        <v>149</v>
      </c>
      <c r="J5533" s="31" t="n">
        <v>5</v>
      </c>
      <c r="K5533" s="31" t="s">
        <v>150</v>
      </c>
      <c r="L5533" s="45" t="n">
        <f aca="false">DATE(YEAR(B5533),MONTH(B5533),1)</f>
        <v>46266</v>
      </c>
      <c r="M5533" s="31" t="n">
        <f aca="false">WEEKDAY(B5533,2)</f>
        <v>1</v>
      </c>
      <c r="N5533" s="31" t="str">
        <f aca="false">IF(G5533&lt;=INDEX(Assumptions!$B$15:$B$18,MATCH(E5533,Assumptions!$A$15:$A$18,0)),"Yes","No")</f>
        <v>No</v>
      </c>
      <c r="O5533" s="31" t="str">
        <f aca="false">IF(H5533="","Open",IF(H5533&lt;=INDEX(Assumptions!$C$15:$C$18,MATCH(E5533,Assumptions!$A$15:$A$18,0)),"Yes","No"))</f>
        <v>Yes</v>
      </c>
    </row>
    <row r="5534" customFormat="false" ht="15" hidden="false" customHeight="false" outlineLevel="0" collapsed="false">
      <c r="A5534" s="31" t="s">
        <v>5684</v>
      </c>
      <c r="B5534" s="44" t="n">
        <v>46279</v>
      </c>
      <c r="C5534" s="31" t="s">
        <v>58</v>
      </c>
      <c r="D5534" s="31" t="s">
        <v>68</v>
      </c>
      <c r="E5534" s="31" t="s">
        <v>50</v>
      </c>
      <c r="F5534" s="31" t="s">
        <v>126</v>
      </c>
      <c r="G5534" s="31" t="n">
        <v>11</v>
      </c>
      <c r="H5534" s="41" t="n">
        <v>1.8</v>
      </c>
      <c r="I5534" s="31" t="s">
        <v>149</v>
      </c>
      <c r="J5534" s="31" t="n">
        <v>3</v>
      </c>
      <c r="K5534" s="31" t="s">
        <v>150</v>
      </c>
      <c r="L5534" s="45" t="n">
        <f aca="false">DATE(YEAR(B5534),MONTH(B5534),1)</f>
        <v>46266</v>
      </c>
      <c r="M5534" s="31" t="n">
        <f aca="false">WEEKDAY(B5534,2)</f>
        <v>1</v>
      </c>
      <c r="N5534" s="31" t="str">
        <f aca="false">IF(G5534&lt;=INDEX(Assumptions!$B$15:$B$18,MATCH(E5534,Assumptions!$A$15:$A$18,0)),"Yes","No")</f>
        <v>Yes</v>
      </c>
      <c r="O5534" s="31" t="str">
        <f aca="false">IF(H5534="","Open",IF(H5534&lt;=INDEX(Assumptions!$C$15:$C$18,MATCH(E5534,Assumptions!$A$15:$A$18,0)),"Yes","No"))</f>
        <v>Yes</v>
      </c>
    </row>
    <row r="5535" customFormat="false" ht="15" hidden="false" customHeight="false" outlineLevel="0" collapsed="false">
      <c r="A5535" s="31" t="s">
        <v>5685</v>
      </c>
      <c r="B5535" s="44" t="n">
        <v>46279</v>
      </c>
      <c r="C5535" s="31" t="s">
        <v>58</v>
      </c>
      <c r="D5535" s="31" t="s">
        <v>65</v>
      </c>
      <c r="E5535" s="31" t="s">
        <v>52</v>
      </c>
      <c r="F5535" s="31" t="s">
        <v>123</v>
      </c>
      <c r="G5535" s="31" t="n">
        <v>13</v>
      </c>
      <c r="H5535" s="41" t="n">
        <v>10.6</v>
      </c>
      <c r="I5535" s="31" t="s">
        <v>149</v>
      </c>
      <c r="J5535" s="31"/>
      <c r="K5535" s="31" t="s">
        <v>150</v>
      </c>
      <c r="L5535" s="45" t="n">
        <f aca="false">DATE(YEAR(B5535),MONTH(B5535),1)</f>
        <v>46266</v>
      </c>
      <c r="M5535" s="31" t="n">
        <f aca="false">WEEKDAY(B5535,2)</f>
        <v>1</v>
      </c>
      <c r="N5535" s="31" t="str">
        <f aca="false">IF(G5535&lt;=INDEX(Assumptions!$B$15:$B$18,MATCH(E5535,Assumptions!$A$15:$A$18,0)),"Yes","No")</f>
        <v>Yes</v>
      </c>
      <c r="O5535" s="31" t="str">
        <f aca="false">IF(H5535="","Open",IF(H5535&lt;=INDEX(Assumptions!$C$15:$C$18,MATCH(E5535,Assumptions!$A$15:$A$18,0)),"Yes","No"))</f>
        <v>Yes</v>
      </c>
    </row>
    <row r="5536" customFormat="false" ht="15" hidden="false" customHeight="false" outlineLevel="0" collapsed="false">
      <c r="A5536" s="31" t="s">
        <v>5686</v>
      </c>
      <c r="B5536" s="44" t="n">
        <v>46279</v>
      </c>
      <c r="C5536" s="31" t="s">
        <v>57</v>
      </c>
      <c r="D5536" s="31" t="s">
        <v>67</v>
      </c>
      <c r="E5536" s="31" t="s">
        <v>51</v>
      </c>
      <c r="F5536" s="31" t="s">
        <v>133</v>
      </c>
      <c r="G5536" s="31" t="n">
        <v>11</v>
      </c>
      <c r="H5536" s="41" t="n">
        <v>12.6</v>
      </c>
      <c r="I5536" s="31" t="s">
        <v>149</v>
      </c>
      <c r="J5536" s="31"/>
      <c r="K5536" s="31" t="s">
        <v>150</v>
      </c>
      <c r="L5536" s="45" t="n">
        <f aca="false">DATE(YEAR(B5536),MONTH(B5536),1)</f>
        <v>46266</v>
      </c>
      <c r="M5536" s="31" t="n">
        <f aca="false">WEEKDAY(B5536,2)</f>
        <v>1</v>
      </c>
      <c r="N5536" s="31" t="str">
        <f aca="false">IF(G5536&lt;=INDEX(Assumptions!$B$15:$B$18,MATCH(E5536,Assumptions!$A$15:$A$18,0)),"Yes","No")</f>
        <v>Yes</v>
      </c>
      <c r="O5536" s="31" t="str">
        <f aca="false">IF(H5536="","Open",IF(H5536&lt;=INDEX(Assumptions!$C$15:$C$18,MATCH(E5536,Assumptions!$A$15:$A$18,0)),"Yes","No"))</f>
        <v>Yes</v>
      </c>
    </row>
    <row r="5537" customFormat="false" ht="15" hidden="false" customHeight="false" outlineLevel="0" collapsed="false">
      <c r="A5537" s="31" t="s">
        <v>5687</v>
      </c>
      <c r="B5537" s="44" t="n">
        <v>46279</v>
      </c>
      <c r="C5537" s="31" t="s">
        <v>58</v>
      </c>
      <c r="D5537" s="31" t="s">
        <v>69</v>
      </c>
      <c r="E5537" s="31" t="s">
        <v>52</v>
      </c>
      <c r="F5537" s="31" t="s">
        <v>130</v>
      </c>
      <c r="G5537" s="31" t="n">
        <v>26</v>
      </c>
      <c r="H5537" s="41" t="n">
        <v>74.5</v>
      </c>
      <c r="I5537" s="31" t="s">
        <v>149</v>
      </c>
      <c r="J5537" s="31" t="n">
        <v>3</v>
      </c>
      <c r="K5537" s="31" t="s">
        <v>150</v>
      </c>
      <c r="L5537" s="45" t="n">
        <f aca="false">DATE(YEAR(B5537),MONTH(B5537),1)</f>
        <v>46266</v>
      </c>
      <c r="M5537" s="31" t="n">
        <f aca="false">WEEKDAY(B5537,2)</f>
        <v>1</v>
      </c>
      <c r="N5537" s="31" t="str">
        <f aca="false">IF(G5537&lt;=INDEX(Assumptions!$B$15:$B$18,MATCH(E5537,Assumptions!$A$15:$A$18,0)),"Yes","No")</f>
        <v>Yes</v>
      </c>
      <c r="O5537" s="31" t="str">
        <f aca="false">IF(H5537="","Open",IF(H5537&lt;=INDEX(Assumptions!$C$15:$C$18,MATCH(E5537,Assumptions!$A$15:$A$18,0)),"Yes","No"))</f>
        <v>No</v>
      </c>
    </row>
    <row r="5538" customFormat="false" ht="15" hidden="false" customHeight="false" outlineLevel="0" collapsed="false">
      <c r="A5538" s="31" t="s">
        <v>5688</v>
      </c>
      <c r="B5538" s="44" t="n">
        <v>46279</v>
      </c>
      <c r="C5538" s="31" t="s">
        <v>57</v>
      </c>
      <c r="D5538" s="31" t="s">
        <v>66</v>
      </c>
      <c r="E5538" s="31" t="s">
        <v>51</v>
      </c>
      <c r="F5538" s="31" t="s">
        <v>119</v>
      </c>
      <c r="G5538" s="31" t="n">
        <v>7</v>
      </c>
      <c r="H5538" s="41" t="n">
        <v>2.7</v>
      </c>
      <c r="I5538" s="31" t="s">
        <v>149</v>
      </c>
      <c r="J5538" s="31"/>
      <c r="K5538" s="31" t="s">
        <v>150</v>
      </c>
      <c r="L5538" s="45" t="n">
        <f aca="false">DATE(YEAR(B5538),MONTH(B5538),1)</f>
        <v>46266</v>
      </c>
      <c r="M5538" s="31" t="n">
        <f aca="false">WEEKDAY(B5538,2)</f>
        <v>1</v>
      </c>
      <c r="N5538" s="31" t="str">
        <f aca="false">IF(G5538&lt;=INDEX(Assumptions!$B$15:$B$18,MATCH(E5538,Assumptions!$A$15:$A$18,0)),"Yes","No")</f>
        <v>Yes</v>
      </c>
      <c r="O5538" s="31" t="str">
        <f aca="false">IF(H5538="","Open",IF(H5538&lt;=INDEX(Assumptions!$C$15:$C$18,MATCH(E5538,Assumptions!$A$15:$A$18,0)),"Yes","No"))</f>
        <v>Yes</v>
      </c>
    </row>
    <row r="5539" customFormat="false" ht="15" hidden="false" customHeight="false" outlineLevel="0" collapsed="false">
      <c r="A5539" s="31" t="s">
        <v>5689</v>
      </c>
      <c r="B5539" s="44" t="n">
        <v>46279</v>
      </c>
      <c r="C5539" s="31" t="s">
        <v>58</v>
      </c>
      <c r="D5539" s="31" t="s">
        <v>66</v>
      </c>
      <c r="E5539" s="31" t="s">
        <v>51</v>
      </c>
      <c r="F5539" s="31" t="s">
        <v>136</v>
      </c>
      <c r="G5539" s="31" t="n">
        <v>48</v>
      </c>
      <c r="H5539" s="41" t="n">
        <v>2.1</v>
      </c>
      <c r="I5539" s="31" t="s">
        <v>149</v>
      </c>
      <c r="J5539" s="31" t="n">
        <v>5</v>
      </c>
      <c r="K5539" s="31" t="s">
        <v>150</v>
      </c>
      <c r="L5539" s="45" t="n">
        <f aca="false">DATE(YEAR(B5539),MONTH(B5539),1)</f>
        <v>46266</v>
      </c>
      <c r="M5539" s="31" t="n">
        <f aca="false">WEEKDAY(B5539,2)</f>
        <v>1</v>
      </c>
      <c r="N5539" s="31" t="str">
        <f aca="false">IF(G5539&lt;=INDEX(Assumptions!$B$15:$B$18,MATCH(E5539,Assumptions!$A$15:$A$18,0)),"Yes","No")</f>
        <v>Yes</v>
      </c>
      <c r="O5539" s="31" t="str">
        <f aca="false">IF(H5539="","Open",IF(H5539&lt;=INDEX(Assumptions!$C$15:$C$18,MATCH(E5539,Assumptions!$A$15:$A$18,0)),"Yes","No"))</f>
        <v>Yes</v>
      </c>
    </row>
    <row r="5540" customFormat="false" ht="15" hidden="false" customHeight="false" outlineLevel="0" collapsed="false">
      <c r="A5540" s="31" t="s">
        <v>5690</v>
      </c>
      <c r="B5540" s="44" t="n">
        <v>46279</v>
      </c>
      <c r="C5540" s="31" t="s">
        <v>59</v>
      </c>
      <c r="D5540" s="31" t="s">
        <v>68</v>
      </c>
      <c r="E5540" s="31" t="s">
        <v>52</v>
      </c>
      <c r="F5540" s="31" t="s">
        <v>136</v>
      </c>
      <c r="G5540" s="31" t="n">
        <v>139</v>
      </c>
      <c r="H5540" s="41" t="n">
        <v>30.9</v>
      </c>
      <c r="I5540" s="31" t="s">
        <v>149</v>
      </c>
      <c r="J5540" s="31"/>
      <c r="K5540" s="31" t="s">
        <v>150</v>
      </c>
      <c r="L5540" s="45" t="n">
        <f aca="false">DATE(YEAR(B5540),MONTH(B5540),1)</f>
        <v>46266</v>
      </c>
      <c r="M5540" s="31" t="n">
        <f aca="false">WEEKDAY(B5540,2)</f>
        <v>1</v>
      </c>
      <c r="N5540" s="31" t="str">
        <f aca="false">IF(G5540&lt;=INDEX(Assumptions!$B$15:$B$18,MATCH(E5540,Assumptions!$A$15:$A$18,0)),"Yes","No")</f>
        <v>Yes</v>
      </c>
      <c r="O5540" s="31" t="str">
        <f aca="false">IF(H5540="","Open",IF(H5540&lt;=INDEX(Assumptions!$C$15:$C$18,MATCH(E5540,Assumptions!$A$15:$A$18,0)),"Yes","No"))</f>
        <v>Yes</v>
      </c>
    </row>
    <row r="5541" customFormat="false" ht="15" hidden="false" customHeight="false" outlineLevel="0" collapsed="false">
      <c r="A5541" s="31" t="s">
        <v>5691</v>
      </c>
      <c r="B5541" s="44" t="n">
        <v>46279</v>
      </c>
      <c r="C5541" s="31" t="s">
        <v>58</v>
      </c>
      <c r="D5541" s="31" t="s">
        <v>66</v>
      </c>
      <c r="E5541" s="31" t="s">
        <v>51</v>
      </c>
      <c r="F5541" s="31" t="s">
        <v>129</v>
      </c>
      <c r="G5541" s="31" t="n">
        <v>5</v>
      </c>
      <c r="H5541" s="41" t="n">
        <v>7.7</v>
      </c>
      <c r="I5541" s="31" t="s">
        <v>149</v>
      </c>
      <c r="J5541" s="31"/>
      <c r="K5541" s="31" t="s">
        <v>150</v>
      </c>
      <c r="L5541" s="45" t="n">
        <f aca="false">DATE(YEAR(B5541),MONTH(B5541),1)</f>
        <v>46266</v>
      </c>
      <c r="M5541" s="31" t="n">
        <f aca="false">WEEKDAY(B5541,2)</f>
        <v>1</v>
      </c>
      <c r="N5541" s="31" t="str">
        <f aca="false">IF(G5541&lt;=INDEX(Assumptions!$B$15:$B$18,MATCH(E5541,Assumptions!$A$15:$A$18,0)),"Yes","No")</f>
        <v>Yes</v>
      </c>
      <c r="O5541" s="31" t="str">
        <f aca="false">IF(H5541="","Open",IF(H5541&lt;=INDEX(Assumptions!$C$15:$C$18,MATCH(E5541,Assumptions!$A$15:$A$18,0)),"Yes","No"))</f>
        <v>Yes</v>
      </c>
    </row>
    <row r="5542" customFormat="false" ht="15" hidden="false" customHeight="false" outlineLevel="0" collapsed="false">
      <c r="A5542" s="31" t="s">
        <v>5692</v>
      </c>
      <c r="B5542" s="44" t="n">
        <v>46279</v>
      </c>
      <c r="C5542" s="31" t="s">
        <v>57</v>
      </c>
      <c r="D5542" s="31" t="s">
        <v>65</v>
      </c>
      <c r="E5542" s="31" t="s">
        <v>51</v>
      </c>
      <c r="F5542" s="31" t="s">
        <v>121</v>
      </c>
      <c r="G5542" s="31" t="n">
        <v>10</v>
      </c>
      <c r="H5542" s="41" t="n">
        <v>26</v>
      </c>
      <c r="I5542" s="31" t="s">
        <v>149</v>
      </c>
      <c r="J5542" s="31" t="n">
        <v>3</v>
      </c>
      <c r="K5542" s="31" t="s">
        <v>150</v>
      </c>
      <c r="L5542" s="45" t="n">
        <f aca="false">DATE(YEAR(B5542),MONTH(B5542),1)</f>
        <v>46266</v>
      </c>
      <c r="M5542" s="31" t="n">
        <f aca="false">WEEKDAY(B5542,2)</f>
        <v>1</v>
      </c>
      <c r="N5542" s="31" t="str">
        <f aca="false">IF(G5542&lt;=INDEX(Assumptions!$B$15:$B$18,MATCH(E5542,Assumptions!$A$15:$A$18,0)),"Yes","No")</f>
        <v>Yes</v>
      </c>
      <c r="O5542" s="31" t="str">
        <f aca="false">IF(H5542="","Open",IF(H5542&lt;=INDEX(Assumptions!$C$15:$C$18,MATCH(E5542,Assumptions!$A$15:$A$18,0)),"Yes","No"))</f>
        <v>No</v>
      </c>
    </row>
    <row r="5543" customFormat="false" ht="15" hidden="false" customHeight="false" outlineLevel="0" collapsed="false">
      <c r="A5543" s="31" t="s">
        <v>5693</v>
      </c>
      <c r="B5543" s="44" t="n">
        <v>46279</v>
      </c>
      <c r="C5543" s="31" t="s">
        <v>58</v>
      </c>
      <c r="D5543" s="31" t="s">
        <v>67</v>
      </c>
      <c r="E5543" s="31" t="s">
        <v>52</v>
      </c>
      <c r="F5543" s="31" t="s">
        <v>123</v>
      </c>
      <c r="G5543" s="31" t="n">
        <v>27</v>
      </c>
      <c r="H5543" s="41" t="n">
        <v>27</v>
      </c>
      <c r="I5543" s="31" t="s">
        <v>149</v>
      </c>
      <c r="J5543" s="31"/>
      <c r="K5543" s="31" t="s">
        <v>150</v>
      </c>
      <c r="L5543" s="45" t="n">
        <f aca="false">DATE(YEAR(B5543),MONTH(B5543),1)</f>
        <v>46266</v>
      </c>
      <c r="M5543" s="31" t="n">
        <f aca="false">WEEKDAY(B5543,2)</f>
        <v>1</v>
      </c>
      <c r="N5543" s="31" t="str">
        <f aca="false">IF(G5543&lt;=INDEX(Assumptions!$B$15:$B$18,MATCH(E5543,Assumptions!$A$15:$A$18,0)),"Yes","No")</f>
        <v>Yes</v>
      </c>
      <c r="O5543" s="31" t="str">
        <f aca="false">IF(H5543="","Open",IF(H5543&lt;=INDEX(Assumptions!$C$15:$C$18,MATCH(E5543,Assumptions!$A$15:$A$18,0)),"Yes","No"))</f>
        <v>Yes</v>
      </c>
    </row>
    <row r="5544" customFormat="false" ht="15" hidden="false" customHeight="false" outlineLevel="0" collapsed="false">
      <c r="A5544" s="31" t="s">
        <v>5694</v>
      </c>
      <c r="B5544" s="44" t="n">
        <v>46279</v>
      </c>
      <c r="C5544" s="31" t="s">
        <v>58</v>
      </c>
      <c r="D5544" s="31" t="s">
        <v>68</v>
      </c>
      <c r="E5544" s="31" t="s">
        <v>49</v>
      </c>
      <c r="F5544" s="31" t="s">
        <v>133</v>
      </c>
      <c r="G5544" s="31" t="n">
        <v>17</v>
      </c>
      <c r="H5544" s="41" t="n">
        <v>0.7</v>
      </c>
      <c r="I5544" s="31" t="s">
        <v>149</v>
      </c>
      <c r="J5544" s="31" t="n">
        <v>4</v>
      </c>
      <c r="K5544" s="31" t="s">
        <v>150</v>
      </c>
      <c r="L5544" s="45" t="n">
        <f aca="false">DATE(YEAR(B5544),MONTH(B5544),1)</f>
        <v>46266</v>
      </c>
      <c r="M5544" s="31" t="n">
        <f aca="false">WEEKDAY(B5544,2)</f>
        <v>1</v>
      </c>
      <c r="N5544" s="31" t="str">
        <f aca="false">IF(G5544&lt;=INDEX(Assumptions!$B$15:$B$18,MATCH(E5544,Assumptions!$A$15:$A$18,0)),"Yes","No")</f>
        <v>No</v>
      </c>
      <c r="O5544" s="31" t="str">
        <f aca="false">IF(H5544="","Open",IF(H5544&lt;=INDEX(Assumptions!$C$15:$C$18,MATCH(E5544,Assumptions!$A$15:$A$18,0)),"Yes","No"))</f>
        <v>Yes</v>
      </c>
    </row>
    <row r="5545" customFormat="false" ht="15" hidden="false" customHeight="false" outlineLevel="0" collapsed="false">
      <c r="A5545" s="31" t="s">
        <v>5695</v>
      </c>
      <c r="B5545" s="44" t="n">
        <v>46279</v>
      </c>
      <c r="C5545" s="31" t="s">
        <v>58</v>
      </c>
      <c r="D5545" s="31" t="s">
        <v>66</v>
      </c>
      <c r="E5545" s="31" t="s">
        <v>51</v>
      </c>
      <c r="F5545" s="31" t="s">
        <v>123</v>
      </c>
      <c r="G5545" s="31" t="n">
        <v>7</v>
      </c>
      <c r="H5545" s="41" t="n">
        <v>2.4</v>
      </c>
      <c r="I5545" s="31" t="s">
        <v>149</v>
      </c>
      <c r="J5545" s="31" t="n">
        <v>5</v>
      </c>
      <c r="K5545" s="31" t="s">
        <v>150</v>
      </c>
      <c r="L5545" s="45" t="n">
        <f aca="false">DATE(YEAR(B5545),MONTH(B5545),1)</f>
        <v>46266</v>
      </c>
      <c r="M5545" s="31" t="n">
        <f aca="false">WEEKDAY(B5545,2)</f>
        <v>1</v>
      </c>
      <c r="N5545" s="31" t="str">
        <f aca="false">IF(G5545&lt;=INDEX(Assumptions!$B$15:$B$18,MATCH(E5545,Assumptions!$A$15:$A$18,0)),"Yes","No")</f>
        <v>Yes</v>
      </c>
      <c r="O5545" s="31" t="str">
        <f aca="false">IF(H5545="","Open",IF(H5545&lt;=INDEX(Assumptions!$C$15:$C$18,MATCH(E5545,Assumptions!$A$15:$A$18,0)),"Yes","No"))</f>
        <v>Yes</v>
      </c>
    </row>
    <row r="5546" customFormat="false" ht="15" hidden="false" customHeight="false" outlineLevel="0" collapsed="false">
      <c r="A5546" s="31" t="s">
        <v>5696</v>
      </c>
      <c r="B5546" s="44" t="n">
        <v>46279</v>
      </c>
      <c r="C5546" s="31" t="s">
        <v>60</v>
      </c>
      <c r="D5546" s="31" t="s">
        <v>67</v>
      </c>
      <c r="E5546" s="31" t="s">
        <v>52</v>
      </c>
      <c r="F5546" s="31" t="s">
        <v>128</v>
      </c>
      <c r="G5546" s="31" t="n">
        <v>1</v>
      </c>
      <c r="H5546" s="41" t="n">
        <v>7.1</v>
      </c>
      <c r="I5546" s="31" t="s">
        <v>149</v>
      </c>
      <c r="J5546" s="31"/>
      <c r="K5546" s="31" t="s">
        <v>150</v>
      </c>
      <c r="L5546" s="45" t="n">
        <f aca="false">DATE(YEAR(B5546),MONTH(B5546),1)</f>
        <v>46266</v>
      </c>
      <c r="M5546" s="31" t="n">
        <f aca="false">WEEKDAY(B5546,2)</f>
        <v>1</v>
      </c>
      <c r="N5546" s="31" t="str">
        <f aca="false">IF(G5546&lt;=INDEX(Assumptions!$B$15:$B$18,MATCH(E5546,Assumptions!$A$15:$A$18,0)),"Yes","No")</f>
        <v>Yes</v>
      </c>
      <c r="O5546" s="31" t="str">
        <f aca="false">IF(H5546="","Open",IF(H5546&lt;=INDEX(Assumptions!$C$15:$C$18,MATCH(E5546,Assumptions!$A$15:$A$18,0)),"Yes","No"))</f>
        <v>Yes</v>
      </c>
    </row>
    <row r="5547" customFormat="false" ht="15" hidden="false" customHeight="false" outlineLevel="0" collapsed="false">
      <c r="A5547" s="31" t="s">
        <v>5697</v>
      </c>
      <c r="B5547" s="44" t="n">
        <v>46279</v>
      </c>
      <c r="C5547" s="31" t="s">
        <v>57</v>
      </c>
      <c r="D5547" s="31" t="s">
        <v>66</v>
      </c>
      <c r="E5547" s="31" t="s">
        <v>51</v>
      </c>
      <c r="F5547" s="31" t="s">
        <v>127</v>
      </c>
      <c r="G5547" s="31" t="n">
        <v>5</v>
      </c>
      <c r="H5547" s="41" t="n">
        <v>11.3</v>
      </c>
      <c r="I5547" s="31" t="s">
        <v>149</v>
      </c>
      <c r="J5547" s="31" t="n">
        <v>5</v>
      </c>
      <c r="K5547" s="31" t="s">
        <v>150</v>
      </c>
      <c r="L5547" s="45" t="n">
        <f aca="false">DATE(YEAR(B5547),MONTH(B5547),1)</f>
        <v>46266</v>
      </c>
      <c r="M5547" s="31" t="n">
        <f aca="false">WEEKDAY(B5547,2)</f>
        <v>1</v>
      </c>
      <c r="N5547" s="31" t="str">
        <f aca="false">IF(G5547&lt;=INDEX(Assumptions!$B$15:$B$18,MATCH(E5547,Assumptions!$A$15:$A$18,0)),"Yes","No")</f>
        <v>Yes</v>
      </c>
      <c r="O5547" s="31" t="str">
        <f aca="false">IF(H5547="","Open",IF(H5547&lt;=INDEX(Assumptions!$C$15:$C$18,MATCH(E5547,Assumptions!$A$15:$A$18,0)),"Yes","No"))</f>
        <v>Yes</v>
      </c>
    </row>
    <row r="5548" customFormat="false" ht="15" hidden="false" customHeight="false" outlineLevel="0" collapsed="false">
      <c r="A5548" s="31" t="s">
        <v>5698</v>
      </c>
      <c r="B5548" s="44" t="n">
        <v>46279</v>
      </c>
      <c r="C5548" s="31" t="s">
        <v>57</v>
      </c>
      <c r="D5548" s="31" t="s">
        <v>66</v>
      </c>
      <c r="E5548" s="31" t="s">
        <v>51</v>
      </c>
      <c r="F5548" s="31" t="s">
        <v>134</v>
      </c>
      <c r="G5548" s="31" t="n">
        <v>9</v>
      </c>
      <c r="H5548" s="41" t="n">
        <v>15.2</v>
      </c>
      <c r="I5548" s="31" t="s">
        <v>149</v>
      </c>
      <c r="J5548" s="31" t="n">
        <v>4</v>
      </c>
      <c r="K5548" s="31" t="s">
        <v>150</v>
      </c>
      <c r="L5548" s="45" t="n">
        <f aca="false">DATE(YEAR(B5548),MONTH(B5548),1)</f>
        <v>46266</v>
      </c>
      <c r="M5548" s="31" t="n">
        <f aca="false">WEEKDAY(B5548,2)</f>
        <v>1</v>
      </c>
      <c r="N5548" s="31" t="str">
        <f aca="false">IF(G5548&lt;=INDEX(Assumptions!$B$15:$B$18,MATCH(E5548,Assumptions!$A$15:$A$18,0)),"Yes","No")</f>
        <v>Yes</v>
      </c>
      <c r="O5548" s="31" t="str">
        <f aca="false">IF(H5548="","Open",IF(H5548&lt;=INDEX(Assumptions!$C$15:$C$18,MATCH(E5548,Assumptions!$A$15:$A$18,0)),"Yes","No"))</f>
        <v>Yes</v>
      </c>
    </row>
    <row r="5549" customFormat="false" ht="15" hidden="false" customHeight="false" outlineLevel="0" collapsed="false">
      <c r="A5549" s="31" t="s">
        <v>5699</v>
      </c>
      <c r="B5549" s="44" t="n">
        <v>46279</v>
      </c>
      <c r="C5549" s="31" t="s">
        <v>60</v>
      </c>
      <c r="D5549" s="31" t="s">
        <v>67</v>
      </c>
      <c r="E5549" s="31" t="s">
        <v>52</v>
      </c>
      <c r="F5549" s="31" t="s">
        <v>121</v>
      </c>
      <c r="G5549" s="31" t="n">
        <v>19</v>
      </c>
      <c r="H5549" s="41" t="n">
        <v>15.1</v>
      </c>
      <c r="I5549" s="31" t="s">
        <v>149</v>
      </c>
      <c r="J5549" s="31"/>
      <c r="K5549" s="31" t="s">
        <v>150</v>
      </c>
      <c r="L5549" s="45" t="n">
        <f aca="false">DATE(YEAR(B5549),MONTH(B5549),1)</f>
        <v>46266</v>
      </c>
      <c r="M5549" s="31" t="n">
        <f aca="false">WEEKDAY(B5549,2)</f>
        <v>1</v>
      </c>
      <c r="N5549" s="31" t="str">
        <f aca="false">IF(G5549&lt;=INDEX(Assumptions!$B$15:$B$18,MATCH(E5549,Assumptions!$A$15:$A$18,0)),"Yes","No")</f>
        <v>Yes</v>
      </c>
      <c r="O5549" s="31" t="str">
        <f aca="false">IF(H5549="","Open",IF(H5549&lt;=INDEX(Assumptions!$C$15:$C$18,MATCH(E5549,Assumptions!$A$15:$A$18,0)),"Yes","No"))</f>
        <v>Yes</v>
      </c>
    </row>
    <row r="5550" customFormat="false" ht="15" hidden="false" customHeight="false" outlineLevel="0" collapsed="false">
      <c r="A5550" s="31" t="s">
        <v>5700</v>
      </c>
      <c r="B5550" s="44" t="n">
        <v>46279</v>
      </c>
      <c r="C5550" s="31" t="s">
        <v>57</v>
      </c>
      <c r="D5550" s="31" t="s">
        <v>69</v>
      </c>
      <c r="E5550" s="31" t="s">
        <v>52</v>
      </c>
      <c r="F5550" s="31" t="s">
        <v>121</v>
      </c>
      <c r="G5550" s="31" t="n">
        <v>6</v>
      </c>
      <c r="H5550" s="41" t="n">
        <v>53.3</v>
      </c>
      <c r="I5550" s="31" t="s">
        <v>149</v>
      </c>
      <c r="J5550" s="31"/>
      <c r="K5550" s="31" t="s">
        <v>150</v>
      </c>
      <c r="L5550" s="45" t="n">
        <f aca="false">DATE(YEAR(B5550),MONTH(B5550),1)</f>
        <v>46266</v>
      </c>
      <c r="M5550" s="31" t="n">
        <f aca="false">WEEKDAY(B5550,2)</f>
        <v>1</v>
      </c>
      <c r="N5550" s="31" t="str">
        <f aca="false">IF(G5550&lt;=INDEX(Assumptions!$B$15:$B$18,MATCH(E5550,Assumptions!$A$15:$A$18,0)),"Yes","No")</f>
        <v>Yes</v>
      </c>
      <c r="O5550" s="31" t="str">
        <f aca="false">IF(H5550="","Open",IF(H5550&lt;=INDEX(Assumptions!$C$15:$C$18,MATCH(E5550,Assumptions!$A$15:$A$18,0)),"Yes","No"))</f>
        <v>Yes</v>
      </c>
    </row>
    <row r="5551" customFormat="false" ht="15" hidden="false" customHeight="false" outlineLevel="0" collapsed="false">
      <c r="A5551" s="31" t="s">
        <v>5701</v>
      </c>
      <c r="B5551" s="44" t="n">
        <v>46279</v>
      </c>
      <c r="C5551" s="31" t="s">
        <v>59</v>
      </c>
      <c r="D5551" s="31" t="s">
        <v>67</v>
      </c>
      <c r="E5551" s="31" t="s">
        <v>52</v>
      </c>
      <c r="F5551" s="31" t="s">
        <v>124</v>
      </c>
      <c r="G5551" s="31" t="n">
        <v>48</v>
      </c>
      <c r="H5551" s="41" t="n">
        <v>24</v>
      </c>
      <c r="I5551" s="31" t="s">
        <v>149</v>
      </c>
      <c r="J5551" s="31"/>
      <c r="K5551" s="31" t="s">
        <v>150</v>
      </c>
      <c r="L5551" s="45" t="n">
        <f aca="false">DATE(YEAR(B5551),MONTH(B5551),1)</f>
        <v>46266</v>
      </c>
      <c r="M5551" s="31" t="n">
        <f aca="false">WEEKDAY(B5551,2)</f>
        <v>1</v>
      </c>
      <c r="N5551" s="31" t="str">
        <f aca="false">IF(G5551&lt;=INDEX(Assumptions!$B$15:$B$18,MATCH(E5551,Assumptions!$A$15:$A$18,0)),"Yes","No")</f>
        <v>Yes</v>
      </c>
      <c r="O5551" s="31" t="str">
        <f aca="false">IF(H5551="","Open",IF(H5551&lt;=INDEX(Assumptions!$C$15:$C$18,MATCH(E5551,Assumptions!$A$15:$A$18,0)),"Yes","No"))</f>
        <v>Yes</v>
      </c>
    </row>
    <row r="5552" customFormat="false" ht="15" hidden="false" customHeight="false" outlineLevel="0" collapsed="false">
      <c r="A5552" s="31" t="s">
        <v>5702</v>
      </c>
      <c r="B5552" s="44" t="n">
        <v>46279</v>
      </c>
      <c r="C5552" s="31" t="s">
        <v>60</v>
      </c>
      <c r="D5552" s="31" t="s">
        <v>66</v>
      </c>
      <c r="E5552" s="31" t="s">
        <v>49</v>
      </c>
      <c r="F5552" s="31" t="s">
        <v>126</v>
      </c>
      <c r="G5552" s="31" t="n">
        <v>1</v>
      </c>
      <c r="H5552" s="41" t="n">
        <v>5.2</v>
      </c>
      <c r="I5552" s="31" t="s">
        <v>149</v>
      </c>
      <c r="J5552" s="31" t="n">
        <v>5</v>
      </c>
      <c r="K5552" s="31" t="s">
        <v>150</v>
      </c>
      <c r="L5552" s="45" t="n">
        <f aca="false">DATE(YEAR(B5552),MONTH(B5552),1)</f>
        <v>46266</v>
      </c>
      <c r="M5552" s="31" t="n">
        <f aca="false">WEEKDAY(B5552,2)</f>
        <v>1</v>
      </c>
      <c r="N5552" s="31" t="str">
        <f aca="false">IF(G5552&lt;=INDEX(Assumptions!$B$15:$B$18,MATCH(E5552,Assumptions!$A$15:$A$18,0)),"Yes","No")</f>
        <v>Yes</v>
      </c>
      <c r="O5552" s="31" t="str">
        <f aca="false">IF(H5552="","Open",IF(H5552&lt;=INDEX(Assumptions!$C$15:$C$18,MATCH(E5552,Assumptions!$A$15:$A$18,0)),"Yes","No"))</f>
        <v>No</v>
      </c>
    </row>
    <row r="5553" customFormat="false" ht="15" hidden="false" customHeight="false" outlineLevel="0" collapsed="false">
      <c r="A5553" s="31" t="s">
        <v>5703</v>
      </c>
      <c r="B5553" s="44" t="n">
        <v>46279</v>
      </c>
      <c r="C5553" s="31" t="s">
        <v>57</v>
      </c>
      <c r="D5553" s="31" t="s">
        <v>67</v>
      </c>
      <c r="E5553" s="31" t="s">
        <v>49</v>
      </c>
      <c r="F5553" s="31" t="s">
        <v>127</v>
      </c>
      <c r="G5553" s="31" t="n">
        <v>5</v>
      </c>
      <c r="H5553" s="41" t="n">
        <v>7.7</v>
      </c>
      <c r="I5553" s="31" t="s">
        <v>149</v>
      </c>
      <c r="J5553" s="31" t="n">
        <v>4</v>
      </c>
      <c r="K5553" s="31" t="s">
        <v>150</v>
      </c>
      <c r="L5553" s="45" t="n">
        <f aca="false">DATE(YEAR(B5553),MONTH(B5553),1)</f>
        <v>46266</v>
      </c>
      <c r="M5553" s="31" t="n">
        <f aca="false">WEEKDAY(B5553,2)</f>
        <v>1</v>
      </c>
      <c r="N5553" s="31" t="str">
        <f aca="false">IF(G5553&lt;=INDEX(Assumptions!$B$15:$B$18,MATCH(E5553,Assumptions!$A$15:$A$18,0)),"Yes","No")</f>
        <v>Yes</v>
      </c>
      <c r="O5553" s="31" t="str">
        <f aca="false">IF(H5553="","Open",IF(H5553&lt;=INDEX(Assumptions!$C$15:$C$18,MATCH(E5553,Assumptions!$A$15:$A$18,0)),"Yes","No"))</f>
        <v>No</v>
      </c>
    </row>
    <row r="5554" customFormat="false" ht="15" hidden="false" customHeight="false" outlineLevel="0" collapsed="false">
      <c r="A5554" s="31" t="s">
        <v>5704</v>
      </c>
      <c r="B5554" s="44" t="n">
        <v>46279</v>
      </c>
      <c r="C5554" s="31" t="s">
        <v>60</v>
      </c>
      <c r="D5554" s="31" t="s">
        <v>67</v>
      </c>
      <c r="E5554" s="31" t="s">
        <v>51</v>
      </c>
      <c r="F5554" s="31" t="s">
        <v>126</v>
      </c>
      <c r="G5554" s="31" t="n">
        <v>2</v>
      </c>
      <c r="H5554" s="41" t="n">
        <v>19.1</v>
      </c>
      <c r="I5554" s="31" t="s">
        <v>149</v>
      </c>
      <c r="J5554" s="31"/>
      <c r="K5554" s="31" t="s">
        <v>153</v>
      </c>
      <c r="L5554" s="45" t="n">
        <f aca="false">DATE(YEAR(B5554),MONTH(B5554),1)</f>
        <v>46266</v>
      </c>
      <c r="M5554" s="31" t="n">
        <f aca="false">WEEKDAY(B5554,2)</f>
        <v>1</v>
      </c>
      <c r="N5554" s="31" t="str">
        <f aca="false">IF(G5554&lt;=INDEX(Assumptions!$B$15:$B$18,MATCH(E5554,Assumptions!$A$15:$A$18,0)),"Yes","No")</f>
        <v>Yes</v>
      </c>
      <c r="O5554" s="31" t="str">
        <f aca="false">IF(H5554="","Open",IF(H5554&lt;=INDEX(Assumptions!$C$15:$C$18,MATCH(E5554,Assumptions!$A$15:$A$18,0)),"Yes","No"))</f>
        <v>Yes</v>
      </c>
    </row>
    <row r="5555" customFormat="false" ht="15" hidden="false" customHeight="false" outlineLevel="0" collapsed="false">
      <c r="A5555" s="31" t="s">
        <v>5705</v>
      </c>
      <c r="B5555" s="44" t="n">
        <v>46279</v>
      </c>
      <c r="C5555" s="31" t="s">
        <v>57</v>
      </c>
      <c r="D5555" s="31" t="s">
        <v>69</v>
      </c>
      <c r="E5555" s="31" t="s">
        <v>52</v>
      </c>
      <c r="F5555" s="31" t="s">
        <v>120</v>
      </c>
      <c r="G5555" s="31" t="n">
        <v>3</v>
      </c>
      <c r="H5555" s="41" t="n">
        <v>80.1</v>
      </c>
      <c r="I5555" s="31" t="s">
        <v>149</v>
      </c>
      <c r="J5555" s="31"/>
      <c r="K5555" s="31" t="s">
        <v>150</v>
      </c>
      <c r="L5555" s="45" t="n">
        <f aca="false">DATE(YEAR(B5555),MONTH(B5555),1)</f>
        <v>46266</v>
      </c>
      <c r="M5555" s="31" t="n">
        <f aca="false">WEEKDAY(B5555,2)</f>
        <v>1</v>
      </c>
      <c r="N5555" s="31" t="str">
        <f aca="false">IF(G5555&lt;=INDEX(Assumptions!$B$15:$B$18,MATCH(E5555,Assumptions!$A$15:$A$18,0)),"Yes","No")</f>
        <v>Yes</v>
      </c>
      <c r="O5555" s="31" t="str">
        <f aca="false">IF(H5555="","Open",IF(H5555&lt;=INDEX(Assumptions!$C$15:$C$18,MATCH(E5555,Assumptions!$A$15:$A$18,0)),"Yes","No"))</f>
        <v>No</v>
      </c>
    </row>
    <row r="5556" customFormat="false" ht="15" hidden="false" customHeight="false" outlineLevel="0" collapsed="false">
      <c r="A5556" s="31" t="s">
        <v>5706</v>
      </c>
      <c r="B5556" s="44" t="n">
        <v>46279</v>
      </c>
      <c r="C5556" s="31" t="s">
        <v>60</v>
      </c>
      <c r="D5556" s="31" t="s">
        <v>68</v>
      </c>
      <c r="E5556" s="31" t="s">
        <v>51</v>
      </c>
      <c r="F5556" s="31" t="s">
        <v>137</v>
      </c>
      <c r="G5556" s="31" t="n">
        <v>4</v>
      </c>
      <c r="H5556" s="41" t="n">
        <v>5.1</v>
      </c>
      <c r="I5556" s="31" t="s">
        <v>149</v>
      </c>
      <c r="J5556" s="31"/>
      <c r="K5556" s="31" t="s">
        <v>150</v>
      </c>
      <c r="L5556" s="45" t="n">
        <f aca="false">DATE(YEAR(B5556),MONTH(B5556),1)</f>
        <v>46266</v>
      </c>
      <c r="M5556" s="31" t="n">
        <f aca="false">WEEKDAY(B5556,2)</f>
        <v>1</v>
      </c>
      <c r="N5556" s="31" t="str">
        <f aca="false">IF(G5556&lt;=INDEX(Assumptions!$B$15:$B$18,MATCH(E5556,Assumptions!$A$15:$A$18,0)),"Yes","No")</f>
        <v>Yes</v>
      </c>
      <c r="O5556" s="31" t="str">
        <f aca="false">IF(H5556="","Open",IF(H5556&lt;=INDEX(Assumptions!$C$15:$C$18,MATCH(E5556,Assumptions!$A$15:$A$18,0)),"Yes","No"))</f>
        <v>Yes</v>
      </c>
    </row>
    <row r="5557" customFormat="false" ht="15" hidden="false" customHeight="false" outlineLevel="0" collapsed="false">
      <c r="A5557" s="31" t="s">
        <v>5707</v>
      </c>
      <c r="B5557" s="44" t="n">
        <v>46279</v>
      </c>
      <c r="C5557" s="31" t="s">
        <v>57</v>
      </c>
      <c r="D5557" s="31" t="s">
        <v>69</v>
      </c>
      <c r="E5557" s="31" t="s">
        <v>51</v>
      </c>
      <c r="F5557" s="31" t="s">
        <v>124</v>
      </c>
      <c r="G5557" s="31" t="n">
        <v>3</v>
      </c>
      <c r="H5557" s="41" t="n">
        <v>7.9</v>
      </c>
      <c r="I5557" s="31" t="s">
        <v>149</v>
      </c>
      <c r="J5557" s="31"/>
      <c r="K5557" s="31" t="s">
        <v>150</v>
      </c>
      <c r="L5557" s="45" t="n">
        <f aca="false">DATE(YEAR(B5557),MONTH(B5557),1)</f>
        <v>46266</v>
      </c>
      <c r="M5557" s="31" t="n">
        <f aca="false">WEEKDAY(B5557,2)</f>
        <v>1</v>
      </c>
      <c r="N5557" s="31" t="str">
        <f aca="false">IF(G5557&lt;=INDEX(Assumptions!$B$15:$B$18,MATCH(E5557,Assumptions!$A$15:$A$18,0)),"Yes","No")</f>
        <v>Yes</v>
      </c>
      <c r="O5557" s="31" t="str">
        <f aca="false">IF(H5557="","Open",IF(H5557&lt;=INDEX(Assumptions!$C$15:$C$18,MATCH(E5557,Assumptions!$A$15:$A$18,0)),"Yes","No"))</f>
        <v>Yes</v>
      </c>
    </row>
    <row r="5558" customFormat="false" ht="15" hidden="false" customHeight="false" outlineLevel="0" collapsed="false">
      <c r="A5558" s="31" t="s">
        <v>5708</v>
      </c>
      <c r="B5558" s="44" t="n">
        <v>46279</v>
      </c>
      <c r="C5558" s="31" t="s">
        <v>57</v>
      </c>
      <c r="D5558" s="31" t="s">
        <v>66</v>
      </c>
      <c r="E5558" s="31" t="s">
        <v>51</v>
      </c>
      <c r="F5558" s="31" t="s">
        <v>130</v>
      </c>
      <c r="G5558" s="31" t="n">
        <v>7</v>
      </c>
      <c r="H5558" s="41" t="n">
        <v>4.2</v>
      </c>
      <c r="I5558" s="31" t="s">
        <v>149</v>
      </c>
      <c r="J5558" s="31"/>
      <c r="K5558" s="31" t="s">
        <v>150</v>
      </c>
      <c r="L5558" s="45" t="n">
        <f aca="false">DATE(YEAR(B5558),MONTH(B5558),1)</f>
        <v>46266</v>
      </c>
      <c r="M5558" s="31" t="n">
        <f aca="false">WEEKDAY(B5558,2)</f>
        <v>1</v>
      </c>
      <c r="N5558" s="31" t="str">
        <f aca="false">IF(G5558&lt;=INDEX(Assumptions!$B$15:$B$18,MATCH(E5558,Assumptions!$A$15:$A$18,0)),"Yes","No")</f>
        <v>Yes</v>
      </c>
      <c r="O5558" s="31" t="str">
        <f aca="false">IF(H5558="","Open",IF(H5558&lt;=INDEX(Assumptions!$C$15:$C$18,MATCH(E5558,Assumptions!$A$15:$A$18,0)),"Yes","No"))</f>
        <v>Yes</v>
      </c>
    </row>
    <row r="5559" customFormat="false" ht="15" hidden="false" customHeight="false" outlineLevel="0" collapsed="false">
      <c r="A5559" s="31" t="s">
        <v>5709</v>
      </c>
      <c r="B5559" s="44" t="n">
        <v>46279</v>
      </c>
      <c r="C5559" s="31" t="s">
        <v>59</v>
      </c>
      <c r="D5559" s="31" t="s">
        <v>69</v>
      </c>
      <c r="E5559" s="31" t="s">
        <v>49</v>
      </c>
      <c r="F5559" s="31" t="s">
        <v>120</v>
      </c>
      <c r="G5559" s="31" t="n">
        <v>78</v>
      </c>
      <c r="H5559" s="41" t="n">
        <v>8.3</v>
      </c>
      <c r="I5559" s="31" t="s">
        <v>149</v>
      </c>
      <c r="J5559" s="31" t="n">
        <v>2</v>
      </c>
      <c r="K5559" s="31" t="s">
        <v>150</v>
      </c>
      <c r="L5559" s="45" t="n">
        <f aca="false">DATE(YEAR(B5559),MONTH(B5559),1)</f>
        <v>46266</v>
      </c>
      <c r="M5559" s="31" t="n">
        <f aca="false">WEEKDAY(B5559,2)</f>
        <v>1</v>
      </c>
      <c r="N5559" s="31" t="str">
        <f aca="false">IF(G5559&lt;=INDEX(Assumptions!$B$15:$B$18,MATCH(E5559,Assumptions!$A$15:$A$18,0)),"Yes","No")</f>
        <v>No</v>
      </c>
      <c r="O5559" s="31" t="str">
        <f aca="false">IF(H5559="","Open",IF(H5559&lt;=INDEX(Assumptions!$C$15:$C$18,MATCH(E5559,Assumptions!$A$15:$A$18,0)),"Yes","No"))</f>
        <v>No</v>
      </c>
    </row>
    <row r="5560" customFormat="false" ht="15" hidden="false" customHeight="false" outlineLevel="0" collapsed="false">
      <c r="A5560" s="31" t="s">
        <v>5710</v>
      </c>
      <c r="B5560" s="44" t="n">
        <v>46279</v>
      </c>
      <c r="C5560" s="31" t="s">
        <v>57</v>
      </c>
      <c r="D5560" s="31" t="s">
        <v>67</v>
      </c>
      <c r="E5560" s="31" t="s">
        <v>51</v>
      </c>
      <c r="F5560" s="31" t="s">
        <v>127</v>
      </c>
      <c r="G5560" s="31" t="n">
        <v>4</v>
      </c>
      <c r="H5560" s="41" t="n">
        <v>2.9</v>
      </c>
      <c r="I5560" s="31" t="s">
        <v>149</v>
      </c>
      <c r="J5560" s="31" t="n">
        <v>5</v>
      </c>
      <c r="K5560" s="31" t="s">
        <v>153</v>
      </c>
      <c r="L5560" s="45" t="n">
        <f aca="false">DATE(YEAR(B5560),MONTH(B5560),1)</f>
        <v>46266</v>
      </c>
      <c r="M5560" s="31" t="n">
        <f aca="false">WEEKDAY(B5560,2)</f>
        <v>1</v>
      </c>
      <c r="N5560" s="31" t="str">
        <f aca="false">IF(G5560&lt;=INDEX(Assumptions!$B$15:$B$18,MATCH(E5560,Assumptions!$A$15:$A$18,0)),"Yes","No")</f>
        <v>Yes</v>
      </c>
      <c r="O5560" s="31" t="str">
        <f aca="false">IF(H5560="","Open",IF(H5560&lt;=INDEX(Assumptions!$C$15:$C$18,MATCH(E5560,Assumptions!$A$15:$A$18,0)),"Yes","No"))</f>
        <v>Yes</v>
      </c>
    </row>
    <row r="5561" customFormat="false" ht="15" hidden="false" customHeight="false" outlineLevel="0" collapsed="false">
      <c r="A5561" s="31" t="s">
        <v>5711</v>
      </c>
      <c r="B5561" s="44" t="n">
        <v>46279</v>
      </c>
      <c r="C5561" s="31" t="s">
        <v>60</v>
      </c>
      <c r="D5561" s="31" t="s">
        <v>68</v>
      </c>
      <c r="E5561" s="31" t="s">
        <v>50</v>
      </c>
      <c r="F5561" s="31" t="s">
        <v>124</v>
      </c>
      <c r="G5561" s="31" t="n">
        <v>2</v>
      </c>
      <c r="H5561" s="41" t="n">
        <v>0.4</v>
      </c>
      <c r="I5561" s="31" t="s">
        <v>149</v>
      </c>
      <c r="J5561" s="31" t="n">
        <v>4</v>
      </c>
      <c r="K5561" s="31" t="s">
        <v>150</v>
      </c>
      <c r="L5561" s="45" t="n">
        <f aca="false">DATE(YEAR(B5561),MONTH(B5561),1)</f>
        <v>46266</v>
      </c>
      <c r="M5561" s="31" t="n">
        <f aca="false">WEEKDAY(B5561,2)</f>
        <v>1</v>
      </c>
      <c r="N5561" s="31" t="str">
        <f aca="false">IF(G5561&lt;=INDEX(Assumptions!$B$15:$B$18,MATCH(E5561,Assumptions!$A$15:$A$18,0)),"Yes","No")</f>
        <v>Yes</v>
      </c>
      <c r="O5561" s="31" t="str">
        <f aca="false">IF(H5561="","Open",IF(H5561&lt;=INDEX(Assumptions!$C$15:$C$18,MATCH(E5561,Assumptions!$A$15:$A$18,0)),"Yes","No"))</f>
        <v>Yes</v>
      </c>
    </row>
    <row r="5562" customFormat="false" ht="15" hidden="false" customHeight="false" outlineLevel="0" collapsed="false">
      <c r="A5562" s="31" t="s">
        <v>5712</v>
      </c>
      <c r="B5562" s="44" t="n">
        <v>46279</v>
      </c>
      <c r="C5562" s="31" t="s">
        <v>58</v>
      </c>
      <c r="D5562" s="31" t="s">
        <v>66</v>
      </c>
      <c r="E5562" s="31" t="s">
        <v>51</v>
      </c>
      <c r="F5562" s="31" t="s">
        <v>120</v>
      </c>
      <c r="G5562" s="31" t="n">
        <v>21</v>
      </c>
      <c r="H5562" s="41" t="n">
        <v>3.6</v>
      </c>
      <c r="I5562" s="31" t="s">
        <v>149</v>
      </c>
      <c r="J5562" s="31" t="n">
        <v>3</v>
      </c>
      <c r="K5562" s="31" t="s">
        <v>150</v>
      </c>
      <c r="L5562" s="45" t="n">
        <f aca="false">DATE(YEAR(B5562),MONTH(B5562),1)</f>
        <v>46266</v>
      </c>
      <c r="M5562" s="31" t="n">
        <f aca="false">WEEKDAY(B5562,2)</f>
        <v>1</v>
      </c>
      <c r="N5562" s="31" t="str">
        <f aca="false">IF(G5562&lt;=INDEX(Assumptions!$B$15:$B$18,MATCH(E5562,Assumptions!$A$15:$A$18,0)),"Yes","No")</f>
        <v>Yes</v>
      </c>
      <c r="O5562" s="31" t="str">
        <f aca="false">IF(H5562="","Open",IF(H5562&lt;=INDEX(Assumptions!$C$15:$C$18,MATCH(E5562,Assumptions!$A$15:$A$18,0)),"Yes","No"))</f>
        <v>Yes</v>
      </c>
    </row>
    <row r="5563" customFormat="false" ht="15" hidden="false" customHeight="false" outlineLevel="0" collapsed="false">
      <c r="A5563" s="31" t="s">
        <v>5713</v>
      </c>
      <c r="B5563" s="44" t="n">
        <v>46279</v>
      </c>
      <c r="C5563" s="31" t="s">
        <v>58</v>
      </c>
      <c r="D5563" s="31" t="s">
        <v>65</v>
      </c>
      <c r="E5563" s="31" t="s">
        <v>52</v>
      </c>
      <c r="F5563" s="31" t="s">
        <v>122</v>
      </c>
      <c r="G5563" s="31" t="n">
        <v>18</v>
      </c>
      <c r="H5563" s="41" t="n">
        <v>5.2</v>
      </c>
      <c r="I5563" s="31" t="s">
        <v>149</v>
      </c>
      <c r="J5563" s="31" t="n">
        <v>5</v>
      </c>
      <c r="K5563" s="31" t="s">
        <v>153</v>
      </c>
      <c r="L5563" s="45" t="n">
        <f aca="false">DATE(YEAR(B5563),MONTH(B5563),1)</f>
        <v>46266</v>
      </c>
      <c r="M5563" s="31" t="n">
        <f aca="false">WEEKDAY(B5563,2)</f>
        <v>1</v>
      </c>
      <c r="N5563" s="31" t="str">
        <f aca="false">IF(G5563&lt;=INDEX(Assumptions!$B$15:$B$18,MATCH(E5563,Assumptions!$A$15:$A$18,0)),"Yes","No")</f>
        <v>Yes</v>
      </c>
      <c r="O5563" s="31" t="str">
        <f aca="false">IF(H5563="","Open",IF(H5563&lt;=INDEX(Assumptions!$C$15:$C$18,MATCH(E5563,Assumptions!$A$15:$A$18,0)),"Yes","No"))</f>
        <v>Yes</v>
      </c>
    </row>
    <row r="5564" customFormat="false" ht="15" hidden="false" customHeight="false" outlineLevel="0" collapsed="false">
      <c r="A5564" s="31" t="s">
        <v>5714</v>
      </c>
      <c r="B5564" s="44" t="n">
        <v>46279</v>
      </c>
      <c r="C5564" s="31" t="s">
        <v>60</v>
      </c>
      <c r="D5564" s="31" t="s">
        <v>67</v>
      </c>
      <c r="E5564" s="31" t="s">
        <v>51</v>
      </c>
      <c r="F5564" s="31" t="s">
        <v>119</v>
      </c>
      <c r="G5564" s="31" t="n">
        <v>2</v>
      </c>
      <c r="H5564" s="41" t="n">
        <v>98.1</v>
      </c>
      <c r="I5564" s="31" t="s">
        <v>149</v>
      </c>
      <c r="J5564" s="31" t="n">
        <v>4</v>
      </c>
      <c r="K5564" s="31" t="s">
        <v>150</v>
      </c>
      <c r="L5564" s="45" t="n">
        <f aca="false">DATE(YEAR(B5564),MONTH(B5564),1)</f>
        <v>46266</v>
      </c>
      <c r="M5564" s="31" t="n">
        <f aca="false">WEEKDAY(B5564,2)</f>
        <v>1</v>
      </c>
      <c r="N5564" s="31" t="str">
        <f aca="false">IF(G5564&lt;=INDEX(Assumptions!$B$15:$B$18,MATCH(E5564,Assumptions!$A$15:$A$18,0)),"Yes","No")</f>
        <v>Yes</v>
      </c>
      <c r="O5564" s="31" t="str">
        <f aca="false">IF(H5564="","Open",IF(H5564&lt;=INDEX(Assumptions!$C$15:$C$18,MATCH(E5564,Assumptions!$A$15:$A$18,0)),"Yes","No"))</f>
        <v>No</v>
      </c>
    </row>
    <row r="5565" customFormat="false" ht="15" hidden="false" customHeight="false" outlineLevel="0" collapsed="false">
      <c r="A5565" s="31" t="s">
        <v>5715</v>
      </c>
      <c r="B5565" s="44" t="n">
        <v>46279</v>
      </c>
      <c r="C5565" s="31" t="s">
        <v>60</v>
      </c>
      <c r="D5565" s="31" t="s">
        <v>65</v>
      </c>
      <c r="E5565" s="31" t="s">
        <v>52</v>
      </c>
      <c r="F5565" s="31" t="s">
        <v>136</v>
      </c>
      <c r="G5565" s="31" t="n">
        <v>2</v>
      </c>
      <c r="H5565" s="41" t="n">
        <v>10.9</v>
      </c>
      <c r="I5565" s="31" t="s">
        <v>149</v>
      </c>
      <c r="J5565" s="31" t="n">
        <v>5</v>
      </c>
      <c r="K5565" s="31" t="s">
        <v>150</v>
      </c>
      <c r="L5565" s="45" t="n">
        <f aca="false">DATE(YEAR(B5565),MONTH(B5565),1)</f>
        <v>46266</v>
      </c>
      <c r="M5565" s="31" t="n">
        <f aca="false">WEEKDAY(B5565,2)</f>
        <v>1</v>
      </c>
      <c r="N5565" s="31" t="str">
        <f aca="false">IF(G5565&lt;=INDEX(Assumptions!$B$15:$B$18,MATCH(E5565,Assumptions!$A$15:$A$18,0)),"Yes","No")</f>
        <v>Yes</v>
      </c>
      <c r="O5565" s="31" t="str">
        <f aca="false">IF(H5565="","Open",IF(H5565&lt;=INDEX(Assumptions!$C$15:$C$18,MATCH(E5565,Assumptions!$A$15:$A$18,0)),"Yes","No"))</f>
        <v>Yes</v>
      </c>
    </row>
    <row r="5566" customFormat="false" ht="15" hidden="false" customHeight="false" outlineLevel="0" collapsed="false">
      <c r="A5566" s="31" t="s">
        <v>5716</v>
      </c>
      <c r="B5566" s="44" t="n">
        <v>46279</v>
      </c>
      <c r="C5566" s="31" t="s">
        <v>57</v>
      </c>
      <c r="D5566" s="31" t="s">
        <v>66</v>
      </c>
      <c r="E5566" s="31" t="s">
        <v>50</v>
      </c>
      <c r="F5566" s="31" t="s">
        <v>120</v>
      </c>
      <c r="G5566" s="31" t="n">
        <v>9</v>
      </c>
      <c r="H5566" s="41" t="n">
        <v>3.2</v>
      </c>
      <c r="I5566" s="31" t="s">
        <v>149</v>
      </c>
      <c r="J5566" s="31" t="n">
        <v>4</v>
      </c>
      <c r="K5566" s="31" t="s">
        <v>150</v>
      </c>
      <c r="L5566" s="45" t="n">
        <f aca="false">DATE(YEAR(B5566),MONTH(B5566),1)</f>
        <v>46266</v>
      </c>
      <c r="M5566" s="31" t="n">
        <f aca="false">WEEKDAY(B5566,2)</f>
        <v>1</v>
      </c>
      <c r="N5566" s="31" t="str">
        <f aca="false">IF(G5566&lt;=INDEX(Assumptions!$B$15:$B$18,MATCH(E5566,Assumptions!$A$15:$A$18,0)),"Yes","No")</f>
        <v>Yes</v>
      </c>
      <c r="O5566" s="31" t="str">
        <f aca="false">IF(H5566="","Open",IF(H5566&lt;=INDEX(Assumptions!$C$15:$C$18,MATCH(E5566,Assumptions!$A$15:$A$18,0)),"Yes","No"))</f>
        <v>Yes</v>
      </c>
    </row>
    <row r="5567" customFormat="false" ht="15" hidden="false" customHeight="false" outlineLevel="0" collapsed="false">
      <c r="A5567" s="31" t="s">
        <v>5717</v>
      </c>
      <c r="B5567" s="44" t="n">
        <v>46279</v>
      </c>
      <c r="C5567" s="31" t="s">
        <v>59</v>
      </c>
      <c r="D5567" s="31" t="s">
        <v>65</v>
      </c>
      <c r="E5567" s="31" t="s">
        <v>50</v>
      </c>
      <c r="F5567" s="31" t="s">
        <v>130</v>
      </c>
      <c r="G5567" s="31" t="n">
        <v>136</v>
      </c>
      <c r="H5567" s="41" t="n">
        <v>2.6</v>
      </c>
      <c r="I5567" s="31" t="s">
        <v>149</v>
      </c>
      <c r="J5567" s="31"/>
      <c r="K5567" s="31" t="s">
        <v>150</v>
      </c>
      <c r="L5567" s="45" t="n">
        <f aca="false">DATE(YEAR(B5567),MONTH(B5567),1)</f>
        <v>46266</v>
      </c>
      <c r="M5567" s="31" t="n">
        <f aca="false">WEEKDAY(B5567,2)</f>
        <v>1</v>
      </c>
      <c r="N5567" s="31" t="str">
        <f aca="false">IF(G5567&lt;=INDEX(Assumptions!$B$15:$B$18,MATCH(E5567,Assumptions!$A$15:$A$18,0)),"Yes","No")</f>
        <v>No</v>
      </c>
      <c r="O5567" s="31" t="str">
        <f aca="false">IF(H5567="","Open",IF(H5567&lt;=INDEX(Assumptions!$C$15:$C$18,MATCH(E5567,Assumptions!$A$15:$A$18,0)),"Yes","No"))</f>
        <v>Yes</v>
      </c>
    </row>
    <row r="5568" customFormat="false" ht="15" hidden="false" customHeight="false" outlineLevel="0" collapsed="false">
      <c r="A5568" s="31" t="s">
        <v>5718</v>
      </c>
      <c r="B5568" s="44" t="n">
        <v>46279</v>
      </c>
      <c r="C5568" s="31" t="s">
        <v>57</v>
      </c>
      <c r="D5568" s="31" t="s">
        <v>65</v>
      </c>
      <c r="E5568" s="31" t="s">
        <v>52</v>
      </c>
      <c r="F5568" s="31" t="s">
        <v>136</v>
      </c>
      <c r="G5568" s="31" t="n">
        <v>3</v>
      </c>
      <c r="H5568" s="41" t="n">
        <v>14.2</v>
      </c>
      <c r="I5568" s="31" t="s">
        <v>149</v>
      </c>
      <c r="J5568" s="31" t="n">
        <v>5</v>
      </c>
      <c r="K5568" s="31" t="s">
        <v>153</v>
      </c>
      <c r="L5568" s="45" t="n">
        <f aca="false">DATE(YEAR(B5568),MONTH(B5568),1)</f>
        <v>46266</v>
      </c>
      <c r="M5568" s="31" t="n">
        <f aca="false">WEEKDAY(B5568,2)</f>
        <v>1</v>
      </c>
      <c r="N5568" s="31" t="str">
        <f aca="false">IF(G5568&lt;=INDEX(Assumptions!$B$15:$B$18,MATCH(E5568,Assumptions!$A$15:$A$18,0)),"Yes","No")</f>
        <v>Yes</v>
      </c>
      <c r="O5568" s="31" t="str">
        <f aca="false">IF(H5568="","Open",IF(H5568&lt;=INDEX(Assumptions!$C$15:$C$18,MATCH(E5568,Assumptions!$A$15:$A$18,0)),"Yes","No"))</f>
        <v>Yes</v>
      </c>
    </row>
    <row r="5569" customFormat="false" ht="15" hidden="false" customHeight="false" outlineLevel="0" collapsed="false">
      <c r="A5569" s="31" t="s">
        <v>5719</v>
      </c>
      <c r="B5569" s="44" t="n">
        <v>46279</v>
      </c>
      <c r="C5569" s="31" t="s">
        <v>60</v>
      </c>
      <c r="D5569" s="31" t="s">
        <v>65</v>
      </c>
      <c r="E5569" s="31" t="s">
        <v>51</v>
      </c>
      <c r="F5569" s="31" t="s">
        <v>117</v>
      </c>
      <c r="G5569" s="31" t="n">
        <v>2</v>
      </c>
      <c r="H5569" s="41" t="n">
        <v>13.9</v>
      </c>
      <c r="I5569" s="31" t="s">
        <v>149</v>
      </c>
      <c r="J5569" s="31" t="n">
        <v>5</v>
      </c>
      <c r="K5569" s="31" t="s">
        <v>150</v>
      </c>
      <c r="L5569" s="45" t="n">
        <f aca="false">DATE(YEAR(B5569),MONTH(B5569),1)</f>
        <v>46266</v>
      </c>
      <c r="M5569" s="31" t="n">
        <f aca="false">WEEKDAY(B5569,2)</f>
        <v>1</v>
      </c>
      <c r="N5569" s="31" t="str">
        <f aca="false">IF(G5569&lt;=INDEX(Assumptions!$B$15:$B$18,MATCH(E5569,Assumptions!$A$15:$A$18,0)),"Yes","No")</f>
        <v>Yes</v>
      </c>
      <c r="O5569" s="31" t="str">
        <f aca="false">IF(H5569="","Open",IF(H5569&lt;=INDEX(Assumptions!$C$15:$C$18,MATCH(E5569,Assumptions!$A$15:$A$18,0)),"Yes","No"))</f>
        <v>Yes</v>
      </c>
    </row>
    <row r="5570" customFormat="false" ht="15" hidden="false" customHeight="false" outlineLevel="0" collapsed="false">
      <c r="A5570" s="31" t="s">
        <v>5720</v>
      </c>
      <c r="B5570" s="44" t="n">
        <v>46279</v>
      </c>
      <c r="C5570" s="31" t="s">
        <v>57</v>
      </c>
      <c r="D5570" s="31" t="s">
        <v>69</v>
      </c>
      <c r="E5570" s="31" t="s">
        <v>52</v>
      </c>
      <c r="F5570" s="31" t="s">
        <v>136</v>
      </c>
      <c r="G5570" s="31" t="n">
        <v>2</v>
      </c>
      <c r="H5570" s="41" t="n">
        <v>55.9</v>
      </c>
      <c r="I5570" s="31" t="s">
        <v>149</v>
      </c>
      <c r="J5570" s="31" t="n">
        <v>5</v>
      </c>
      <c r="K5570" s="31" t="s">
        <v>153</v>
      </c>
      <c r="L5570" s="45" t="n">
        <f aca="false">DATE(YEAR(B5570),MONTH(B5570),1)</f>
        <v>46266</v>
      </c>
      <c r="M5570" s="31" t="n">
        <f aca="false">WEEKDAY(B5570,2)</f>
        <v>1</v>
      </c>
      <c r="N5570" s="31" t="str">
        <f aca="false">IF(G5570&lt;=INDEX(Assumptions!$B$15:$B$18,MATCH(E5570,Assumptions!$A$15:$A$18,0)),"Yes","No")</f>
        <v>Yes</v>
      </c>
      <c r="O5570" s="31" t="str">
        <f aca="false">IF(H5570="","Open",IF(H5570&lt;=INDEX(Assumptions!$C$15:$C$18,MATCH(E5570,Assumptions!$A$15:$A$18,0)),"Yes","No"))</f>
        <v>Yes</v>
      </c>
    </row>
    <row r="5571" customFormat="false" ht="15" hidden="false" customHeight="false" outlineLevel="0" collapsed="false">
      <c r="A5571" s="31" t="s">
        <v>5721</v>
      </c>
      <c r="B5571" s="44" t="n">
        <v>46279</v>
      </c>
      <c r="C5571" s="31" t="s">
        <v>58</v>
      </c>
      <c r="D5571" s="31" t="s">
        <v>65</v>
      </c>
      <c r="E5571" s="31" t="s">
        <v>50</v>
      </c>
      <c r="F5571" s="31" t="s">
        <v>119</v>
      </c>
      <c r="G5571" s="31" t="n">
        <v>11</v>
      </c>
      <c r="H5571" s="41" t="n">
        <v>1.7</v>
      </c>
      <c r="I5571" s="31" t="s">
        <v>149</v>
      </c>
      <c r="J5571" s="31"/>
      <c r="K5571" s="31" t="s">
        <v>150</v>
      </c>
      <c r="L5571" s="45" t="n">
        <f aca="false">DATE(YEAR(B5571),MONTH(B5571),1)</f>
        <v>46266</v>
      </c>
      <c r="M5571" s="31" t="n">
        <f aca="false">WEEKDAY(B5571,2)</f>
        <v>1</v>
      </c>
      <c r="N5571" s="31" t="str">
        <f aca="false">IF(G5571&lt;=INDEX(Assumptions!$B$15:$B$18,MATCH(E5571,Assumptions!$A$15:$A$18,0)),"Yes","No")</f>
        <v>Yes</v>
      </c>
      <c r="O5571" s="31" t="str">
        <f aca="false">IF(H5571="","Open",IF(H5571&lt;=INDEX(Assumptions!$C$15:$C$18,MATCH(E5571,Assumptions!$A$15:$A$18,0)),"Yes","No"))</f>
        <v>Yes</v>
      </c>
    </row>
    <row r="5572" customFormat="false" ht="15" hidden="false" customHeight="false" outlineLevel="0" collapsed="false">
      <c r="A5572" s="31" t="s">
        <v>5722</v>
      </c>
      <c r="B5572" s="44" t="n">
        <v>46279</v>
      </c>
      <c r="C5572" s="31" t="s">
        <v>58</v>
      </c>
      <c r="D5572" s="31" t="s">
        <v>68</v>
      </c>
      <c r="E5572" s="31" t="s">
        <v>52</v>
      </c>
      <c r="F5572" s="31" t="s">
        <v>137</v>
      </c>
      <c r="G5572" s="31" t="n">
        <v>20</v>
      </c>
      <c r="H5572" s="41" t="n">
        <v>1.7</v>
      </c>
      <c r="I5572" s="31" t="s">
        <v>149</v>
      </c>
      <c r="J5572" s="31" t="n">
        <v>3</v>
      </c>
      <c r="K5572" s="31" t="s">
        <v>150</v>
      </c>
      <c r="L5572" s="45" t="n">
        <f aca="false">DATE(YEAR(B5572),MONTH(B5572),1)</f>
        <v>46266</v>
      </c>
      <c r="M5572" s="31" t="n">
        <f aca="false">WEEKDAY(B5572,2)</f>
        <v>1</v>
      </c>
      <c r="N5572" s="31" t="str">
        <f aca="false">IF(G5572&lt;=INDEX(Assumptions!$B$15:$B$18,MATCH(E5572,Assumptions!$A$15:$A$18,0)),"Yes","No")</f>
        <v>Yes</v>
      </c>
      <c r="O5572" s="31" t="str">
        <f aca="false">IF(H5572="","Open",IF(H5572&lt;=INDEX(Assumptions!$C$15:$C$18,MATCH(E5572,Assumptions!$A$15:$A$18,0)),"Yes","No"))</f>
        <v>Yes</v>
      </c>
    </row>
    <row r="5573" customFormat="false" ht="15" hidden="false" customHeight="false" outlineLevel="0" collapsed="false">
      <c r="A5573" s="31" t="s">
        <v>5723</v>
      </c>
      <c r="B5573" s="44" t="n">
        <v>46279</v>
      </c>
      <c r="C5573" s="31" t="s">
        <v>58</v>
      </c>
      <c r="D5573" s="31" t="s">
        <v>67</v>
      </c>
      <c r="E5573" s="31" t="s">
        <v>51</v>
      </c>
      <c r="F5573" s="31" t="s">
        <v>121</v>
      </c>
      <c r="G5573" s="31" t="n">
        <v>12</v>
      </c>
      <c r="H5573" s="41" t="n">
        <v>9.6</v>
      </c>
      <c r="I5573" s="31" t="s">
        <v>149</v>
      </c>
      <c r="J5573" s="31" t="n">
        <v>5</v>
      </c>
      <c r="K5573" s="31" t="s">
        <v>150</v>
      </c>
      <c r="L5573" s="45" t="n">
        <f aca="false">DATE(YEAR(B5573),MONTH(B5573),1)</f>
        <v>46266</v>
      </c>
      <c r="M5573" s="31" t="n">
        <f aca="false">WEEKDAY(B5573,2)</f>
        <v>1</v>
      </c>
      <c r="N5573" s="31" t="str">
        <f aca="false">IF(G5573&lt;=INDEX(Assumptions!$B$15:$B$18,MATCH(E5573,Assumptions!$A$15:$A$18,0)),"Yes","No")</f>
        <v>Yes</v>
      </c>
      <c r="O5573" s="31" t="str">
        <f aca="false">IF(H5573="","Open",IF(H5573&lt;=INDEX(Assumptions!$C$15:$C$18,MATCH(E5573,Assumptions!$A$15:$A$18,0)),"Yes","No"))</f>
        <v>Yes</v>
      </c>
    </row>
    <row r="5574" customFormat="false" ht="15" hidden="false" customHeight="false" outlineLevel="0" collapsed="false">
      <c r="A5574" s="31" t="s">
        <v>5724</v>
      </c>
      <c r="B5574" s="44" t="n">
        <v>46279</v>
      </c>
      <c r="C5574" s="31" t="s">
        <v>57</v>
      </c>
      <c r="D5574" s="31" t="s">
        <v>67</v>
      </c>
      <c r="E5574" s="31" t="s">
        <v>52</v>
      </c>
      <c r="F5574" s="31" t="s">
        <v>117</v>
      </c>
      <c r="G5574" s="31" t="n">
        <v>4</v>
      </c>
      <c r="H5574" s="41" t="n">
        <v>12.2</v>
      </c>
      <c r="I5574" s="31" t="s">
        <v>149</v>
      </c>
      <c r="J5574" s="31"/>
      <c r="K5574" s="31" t="s">
        <v>150</v>
      </c>
      <c r="L5574" s="45" t="n">
        <f aca="false">DATE(YEAR(B5574),MONTH(B5574),1)</f>
        <v>46266</v>
      </c>
      <c r="M5574" s="31" t="n">
        <f aca="false">WEEKDAY(B5574,2)</f>
        <v>1</v>
      </c>
      <c r="N5574" s="31" t="str">
        <f aca="false">IF(G5574&lt;=INDEX(Assumptions!$B$15:$B$18,MATCH(E5574,Assumptions!$A$15:$A$18,0)),"Yes","No")</f>
        <v>Yes</v>
      </c>
      <c r="O5574" s="31" t="str">
        <f aca="false">IF(H5574="","Open",IF(H5574&lt;=INDEX(Assumptions!$C$15:$C$18,MATCH(E5574,Assumptions!$A$15:$A$18,0)),"Yes","No"))</f>
        <v>Yes</v>
      </c>
    </row>
    <row r="5575" customFormat="false" ht="15" hidden="false" customHeight="false" outlineLevel="0" collapsed="false">
      <c r="A5575" s="31" t="s">
        <v>5725</v>
      </c>
      <c r="B5575" s="44" t="n">
        <v>46279</v>
      </c>
      <c r="C5575" s="31" t="s">
        <v>57</v>
      </c>
      <c r="D5575" s="31" t="s">
        <v>67</v>
      </c>
      <c r="E5575" s="31" t="s">
        <v>51</v>
      </c>
      <c r="F5575" s="31" t="s">
        <v>135</v>
      </c>
      <c r="G5575" s="31" t="n">
        <v>13</v>
      </c>
      <c r="H5575" s="41" t="n">
        <v>14.6</v>
      </c>
      <c r="I5575" s="31" t="s">
        <v>149</v>
      </c>
      <c r="J5575" s="31" t="n">
        <v>3</v>
      </c>
      <c r="K5575" s="31" t="s">
        <v>150</v>
      </c>
      <c r="L5575" s="45" t="n">
        <f aca="false">DATE(YEAR(B5575),MONTH(B5575),1)</f>
        <v>46266</v>
      </c>
      <c r="M5575" s="31" t="n">
        <f aca="false">WEEKDAY(B5575,2)</f>
        <v>1</v>
      </c>
      <c r="N5575" s="31" t="str">
        <f aca="false">IF(G5575&lt;=INDEX(Assumptions!$B$15:$B$18,MATCH(E5575,Assumptions!$A$15:$A$18,0)),"Yes","No")</f>
        <v>Yes</v>
      </c>
      <c r="O5575" s="31" t="str">
        <f aca="false">IF(H5575="","Open",IF(H5575&lt;=INDEX(Assumptions!$C$15:$C$18,MATCH(E5575,Assumptions!$A$15:$A$18,0)),"Yes","No"))</f>
        <v>Yes</v>
      </c>
    </row>
    <row r="5576" customFormat="false" ht="15" hidden="false" customHeight="false" outlineLevel="0" collapsed="false">
      <c r="A5576" s="31" t="s">
        <v>5726</v>
      </c>
      <c r="B5576" s="44" t="n">
        <v>46279</v>
      </c>
      <c r="C5576" s="31" t="s">
        <v>58</v>
      </c>
      <c r="D5576" s="31" t="s">
        <v>66</v>
      </c>
      <c r="E5576" s="31" t="s">
        <v>52</v>
      </c>
      <c r="F5576" s="31" t="s">
        <v>127</v>
      </c>
      <c r="G5576" s="31" t="n">
        <v>22</v>
      </c>
      <c r="H5576" s="41" t="n">
        <v>7.8</v>
      </c>
      <c r="I5576" s="31" t="s">
        <v>149</v>
      </c>
      <c r="J5576" s="31"/>
      <c r="K5576" s="31" t="s">
        <v>150</v>
      </c>
      <c r="L5576" s="45" t="n">
        <f aca="false">DATE(YEAR(B5576),MONTH(B5576),1)</f>
        <v>46266</v>
      </c>
      <c r="M5576" s="31" t="n">
        <f aca="false">WEEKDAY(B5576,2)</f>
        <v>1</v>
      </c>
      <c r="N5576" s="31" t="str">
        <f aca="false">IF(G5576&lt;=INDEX(Assumptions!$B$15:$B$18,MATCH(E5576,Assumptions!$A$15:$A$18,0)),"Yes","No")</f>
        <v>Yes</v>
      </c>
      <c r="O5576" s="31" t="str">
        <f aca="false">IF(H5576="","Open",IF(H5576&lt;=INDEX(Assumptions!$C$15:$C$18,MATCH(E5576,Assumptions!$A$15:$A$18,0)),"Yes","No"))</f>
        <v>Yes</v>
      </c>
    </row>
    <row r="5577" customFormat="false" ht="15" hidden="false" customHeight="false" outlineLevel="0" collapsed="false">
      <c r="A5577" s="31" t="s">
        <v>5727</v>
      </c>
      <c r="B5577" s="44" t="n">
        <v>46279</v>
      </c>
      <c r="C5577" s="31" t="s">
        <v>58</v>
      </c>
      <c r="D5577" s="31" t="s">
        <v>68</v>
      </c>
      <c r="E5577" s="31" t="s">
        <v>52</v>
      </c>
      <c r="F5577" s="31" t="s">
        <v>135</v>
      </c>
      <c r="G5577" s="31" t="n">
        <v>14</v>
      </c>
      <c r="H5577" s="41" t="n">
        <v>12.6</v>
      </c>
      <c r="I5577" s="31" t="s">
        <v>149</v>
      </c>
      <c r="J5577" s="31" t="n">
        <v>5</v>
      </c>
      <c r="K5577" s="31" t="s">
        <v>150</v>
      </c>
      <c r="L5577" s="45" t="n">
        <f aca="false">DATE(YEAR(B5577),MONTH(B5577),1)</f>
        <v>46266</v>
      </c>
      <c r="M5577" s="31" t="n">
        <f aca="false">WEEKDAY(B5577,2)</f>
        <v>1</v>
      </c>
      <c r="N5577" s="31" t="str">
        <f aca="false">IF(G5577&lt;=INDEX(Assumptions!$B$15:$B$18,MATCH(E5577,Assumptions!$A$15:$A$18,0)),"Yes","No")</f>
        <v>Yes</v>
      </c>
      <c r="O5577" s="31" t="str">
        <f aca="false">IF(H5577="","Open",IF(H5577&lt;=INDEX(Assumptions!$C$15:$C$18,MATCH(E5577,Assumptions!$A$15:$A$18,0)),"Yes","No"))</f>
        <v>Yes</v>
      </c>
    </row>
    <row r="5578" customFormat="false" ht="15" hidden="false" customHeight="false" outlineLevel="0" collapsed="false">
      <c r="A5578" s="31" t="s">
        <v>5728</v>
      </c>
      <c r="B5578" s="44" t="n">
        <v>46279</v>
      </c>
      <c r="C5578" s="31" t="s">
        <v>59</v>
      </c>
      <c r="D5578" s="31" t="s">
        <v>66</v>
      </c>
      <c r="E5578" s="31" t="s">
        <v>52</v>
      </c>
      <c r="F5578" s="31" t="s">
        <v>137</v>
      </c>
      <c r="G5578" s="31" t="n">
        <v>153</v>
      </c>
      <c r="H5578" s="41" t="n">
        <v>17.7</v>
      </c>
      <c r="I5578" s="31" t="s">
        <v>149</v>
      </c>
      <c r="J5578" s="31"/>
      <c r="K5578" s="31" t="s">
        <v>150</v>
      </c>
      <c r="L5578" s="45" t="n">
        <f aca="false">DATE(YEAR(B5578),MONTH(B5578),1)</f>
        <v>46266</v>
      </c>
      <c r="M5578" s="31" t="n">
        <f aca="false">WEEKDAY(B5578,2)</f>
        <v>1</v>
      </c>
      <c r="N5578" s="31" t="str">
        <f aca="false">IF(G5578&lt;=INDEX(Assumptions!$B$15:$B$18,MATCH(E5578,Assumptions!$A$15:$A$18,0)),"Yes","No")</f>
        <v>Yes</v>
      </c>
      <c r="O5578" s="31" t="str">
        <f aca="false">IF(H5578="","Open",IF(H5578&lt;=INDEX(Assumptions!$C$15:$C$18,MATCH(E5578,Assumptions!$A$15:$A$18,0)),"Yes","No"))</f>
        <v>Yes</v>
      </c>
    </row>
    <row r="5579" customFormat="false" ht="15" hidden="false" customHeight="false" outlineLevel="0" collapsed="false">
      <c r="A5579" s="31" t="s">
        <v>5729</v>
      </c>
      <c r="B5579" s="44" t="n">
        <v>46279</v>
      </c>
      <c r="C5579" s="31" t="s">
        <v>57</v>
      </c>
      <c r="D5579" s="31" t="s">
        <v>66</v>
      </c>
      <c r="E5579" s="31" t="s">
        <v>51</v>
      </c>
      <c r="F5579" s="31" t="s">
        <v>137</v>
      </c>
      <c r="G5579" s="31" t="n">
        <v>4</v>
      </c>
      <c r="H5579" s="41" t="n">
        <v>21.8</v>
      </c>
      <c r="I5579" s="31" t="s">
        <v>149</v>
      </c>
      <c r="J5579" s="31"/>
      <c r="K5579" s="31" t="s">
        <v>153</v>
      </c>
      <c r="L5579" s="45" t="n">
        <f aca="false">DATE(YEAR(B5579),MONTH(B5579),1)</f>
        <v>46266</v>
      </c>
      <c r="M5579" s="31" t="n">
        <f aca="false">WEEKDAY(B5579,2)</f>
        <v>1</v>
      </c>
      <c r="N5579" s="31" t="str">
        <f aca="false">IF(G5579&lt;=INDEX(Assumptions!$B$15:$B$18,MATCH(E5579,Assumptions!$A$15:$A$18,0)),"Yes","No")</f>
        <v>Yes</v>
      </c>
      <c r="O5579" s="31" t="str">
        <f aca="false">IF(H5579="","Open",IF(H5579&lt;=INDEX(Assumptions!$C$15:$C$18,MATCH(E5579,Assumptions!$A$15:$A$18,0)),"Yes","No"))</f>
        <v>Yes</v>
      </c>
    </row>
    <row r="5580" customFormat="false" ht="15" hidden="false" customHeight="false" outlineLevel="0" collapsed="false">
      <c r="A5580" s="31" t="s">
        <v>5730</v>
      </c>
      <c r="B5580" s="44" t="n">
        <v>46279</v>
      </c>
      <c r="C5580" s="31" t="s">
        <v>60</v>
      </c>
      <c r="D5580" s="31" t="s">
        <v>65</v>
      </c>
      <c r="E5580" s="31" t="s">
        <v>52</v>
      </c>
      <c r="F5580" s="31" t="s">
        <v>128</v>
      </c>
      <c r="G5580" s="31" t="n">
        <v>7</v>
      </c>
      <c r="H5580" s="41" t="n">
        <v>20.8</v>
      </c>
      <c r="I5580" s="31" t="s">
        <v>149</v>
      </c>
      <c r="J5580" s="31" t="n">
        <v>3</v>
      </c>
      <c r="K5580" s="31" t="s">
        <v>150</v>
      </c>
      <c r="L5580" s="45" t="n">
        <f aca="false">DATE(YEAR(B5580),MONTH(B5580),1)</f>
        <v>46266</v>
      </c>
      <c r="M5580" s="31" t="n">
        <f aca="false">WEEKDAY(B5580,2)</f>
        <v>1</v>
      </c>
      <c r="N5580" s="31" t="str">
        <f aca="false">IF(G5580&lt;=INDEX(Assumptions!$B$15:$B$18,MATCH(E5580,Assumptions!$A$15:$A$18,0)),"Yes","No")</f>
        <v>Yes</v>
      </c>
      <c r="O5580" s="31" t="str">
        <f aca="false">IF(H5580="","Open",IF(H5580&lt;=INDEX(Assumptions!$C$15:$C$18,MATCH(E5580,Assumptions!$A$15:$A$18,0)),"Yes","No"))</f>
        <v>Yes</v>
      </c>
    </row>
    <row r="5581" customFormat="false" ht="15" hidden="false" customHeight="false" outlineLevel="0" collapsed="false">
      <c r="A5581" s="31" t="s">
        <v>5731</v>
      </c>
      <c r="B5581" s="44" t="n">
        <v>46279</v>
      </c>
      <c r="C5581" s="31" t="s">
        <v>60</v>
      </c>
      <c r="D5581" s="31" t="s">
        <v>65</v>
      </c>
      <c r="E5581" s="31" t="s">
        <v>49</v>
      </c>
      <c r="F5581" s="31" t="s">
        <v>136</v>
      </c>
      <c r="G5581" s="31" t="n">
        <v>1</v>
      </c>
      <c r="H5581" s="41" t="n">
        <v>4</v>
      </c>
      <c r="I5581" s="31" t="s">
        <v>149</v>
      </c>
      <c r="J5581" s="31"/>
      <c r="K5581" s="31" t="s">
        <v>150</v>
      </c>
      <c r="L5581" s="45" t="n">
        <f aca="false">DATE(YEAR(B5581),MONTH(B5581),1)</f>
        <v>46266</v>
      </c>
      <c r="M5581" s="31" t="n">
        <f aca="false">WEEKDAY(B5581,2)</f>
        <v>1</v>
      </c>
      <c r="N5581" s="31" t="str">
        <f aca="false">IF(G5581&lt;=INDEX(Assumptions!$B$15:$B$18,MATCH(E5581,Assumptions!$A$15:$A$18,0)),"Yes","No")</f>
        <v>Yes</v>
      </c>
      <c r="O5581" s="31" t="str">
        <f aca="false">IF(H5581="","Open",IF(H5581&lt;=INDEX(Assumptions!$C$15:$C$18,MATCH(E5581,Assumptions!$A$15:$A$18,0)),"Yes","No"))</f>
        <v>Yes</v>
      </c>
    </row>
    <row r="5582" customFormat="false" ht="15" hidden="false" customHeight="false" outlineLevel="0" collapsed="false">
      <c r="A5582" s="31" t="s">
        <v>5732</v>
      </c>
      <c r="B5582" s="44" t="n">
        <v>46279</v>
      </c>
      <c r="C5582" s="31" t="s">
        <v>59</v>
      </c>
      <c r="D5582" s="31" t="s">
        <v>65</v>
      </c>
      <c r="E5582" s="31" t="s">
        <v>52</v>
      </c>
      <c r="F5582" s="31" t="s">
        <v>136</v>
      </c>
      <c r="G5582" s="31" t="n">
        <v>79</v>
      </c>
      <c r="H5582" s="41" t="n">
        <v>64.8</v>
      </c>
      <c r="I5582" s="31" t="s">
        <v>149</v>
      </c>
      <c r="J5582" s="31"/>
      <c r="K5582" s="31" t="s">
        <v>150</v>
      </c>
      <c r="L5582" s="45" t="n">
        <f aca="false">DATE(YEAR(B5582),MONTH(B5582),1)</f>
        <v>46266</v>
      </c>
      <c r="M5582" s="31" t="n">
        <f aca="false">WEEKDAY(B5582,2)</f>
        <v>1</v>
      </c>
      <c r="N5582" s="31" t="str">
        <f aca="false">IF(G5582&lt;=INDEX(Assumptions!$B$15:$B$18,MATCH(E5582,Assumptions!$A$15:$A$18,0)),"Yes","No")</f>
        <v>Yes</v>
      </c>
      <c r="O5582" s="31" t="str">
        <f aca="false">IF(H5582="","Open",IF(H5582&lt;=INDEX(Assumptions!$C$15:$C$18,MATCH(E5582,Assumptions!$A$15:$A$18,0)),"Yes","No"))</f>
        <v>Yes</v>
      </c>
    </row>
    <row r="5583" customFormat="false" ht="15" hidden="false" customHeight="false" outlineLevel="0" collapsed="false">
      <c r="A5583" s="31" t="s">
        <v>5733</v>
      </c>
      <c r="B5583" s="44" t="n">
        <v>46279</v>
      </c>
      <c r="C5583" s="31" t="s">
        <v>60</v>
      </c>
      <c r="D5583" s="31" t="s">
        <v>67</v>
      </c>
      <c r="E5583" s="31" t="s">
        <v>52</v>
      </c>
      <c r="F5583" s="31" t="s">
        <v>127</v>
      </c>
      <c r="G5583" s="31" t="n">
        <v>3</v>
      </c>
      <c r="H5583" s="41" t="n">
        <v>37.5</v>
      </c>
      <c r="I5583" s="31" t="s">
        <v>149</v>
      </c>
      <c r="J5583" s="31"/>
      <c r="K5583" s="31" t="s">
        <v>150</v>
      </c>
      <c r="L5583" s="45" t="n">
        <f aca="false">DATE(YEAR(B5583),MONTH(B5583),1)</f>
        <v>46266</v>
      </c>
      <c r="M5583" s="31" t="n">
        <f aca="false">WEEKDAY(B5583,2)</f>
        <v>1</v>
      </c>
      <c r="N5583" s="31" t="str">
        <f aca="false">IF(G5583&lt;=INDEX(Assumptions!$B$15:$B$18,MATCH(E5583,Assumptions!$A$15:$A$18,0)),"Yes","No")</f>
        <v>Yes</v>
      </c>
      <c r="O5583" s="31" t="str">
        <f aca="false">IF(H5583="","Open",IF(H5583&lt;=INDEX(Assumptions!$C$15:$C$18,MATCH(E5583,Assumptions!$A$15:$A$18,0)),"Yes","No"))</f>
        <v>Yes</v>
      </c>
    </row>
    <row r="5584" customFormat="false" ht="15" hidden="false" customHeight="false" outlineLevel="0" collapsed="false">
      <c r="A5584" s="31" t="s">
        <v>5734</v>
      </c>
      <c r="B5584" s="44" t="n">
        <v>46279</v>
      </c>
      <c r="C5584" s="31" t="s">
        <v>59</v>
      </c>
      <c r="D5584" s="31" t="s">
        <v>69</v>
      </c>
      <c r="E5584" s="31" t="s">
        <v>52</v>
      </c>
      <c r="F5584" s="31" t="s">
        <v>136</v>
      </c>
      <c r="G5584" s="31" t="n">
        <v>109</v>
      </c>
      <c r="H5584" s="41" t="n">
        <v>30</v>
      </c>
      <c r="I5584" s="31" t="s">
        <v>149</v>
      </c>
      <c r="J5584" s="31" t="n">
        <v>5</v>
      </c>
      <c r="K5584" s="31" t="s">
        <v>150</v>
      </c>
      <c r="L5584" s="45" t="n">
        <f aca="false">DATE(YEAR(B5584),MONTH(B5584),1)</f>
        <v>46266</v>
      </c>
      <c r="M5584" s="31" t="n">
        <f aca="false">WEEKDAY(B5584,2)</f>
        <v>1</v>
      </c>
      <c r="N5584" s="31" t="str">
        <f aca="false">IF(G5584&lt;=INDEX(Assumptions!$B$15:$B$18,MATCH(E5584,Assumptions!$A$15:$A$18,0)),"Yes","No")</f>
        <v>Yes</v>
      </c>
      <c r="O5584" s="31" t="str">
        <f aca="false">IF(H5584="","Open",IF(H5584&lt;=INDEX(Assumptions!$C$15:$C$18,MATCH(E5584,Assumptions!$A$15:$A$18,0)),"Yes","No"))</f>
        <v>Yes</v>
      </c>
    </row>
    <row r="5585" customFormat="false" ht="15" hidden="false" customHeight="false" outlineLevel="0" collapsed="false">
      <c r="A5585" s="31" t="s">
        <v>5735</v>
      </c>
      <c r="B5585" s="44" t="n">
        <v>46279</v>
      </c>
      <c r="C5585" s="31" t="s">
        <v>57</v>
      </c>
      <c r="D5585" s="31" t="s">
        <v>65</v>
      </c>
      <c r="E5585" s="31" t="s">
        <v>51</v>
      </c>
      <c r="F5585" s="31" t="s">
        <v>119</v>
      </c>
      <c r="G5585" s="31" t="n">
        <v>5</v>
      </c>
      <c r="H5585" s="41" t="n">
        <v>24.9</v>
      </c>
      <c r="I5585" s="31" t="s">
        <v>149</v>
      </c>
      <c r="J5585" s="31"/>
      <c r="K5585" s="31" t="s">
        <v>150</v>
      </c>
      <c r="L5585" s="45" t="n">
        <f aca="false">DATE(YEAR(B5585),MONTH(B5585),1)</f>
        <v>46266</v>
      </c>
      <c r="M5585" s="31" t="n">
        <f aca="false">WEEKDAY(B5585,2)</f>
        <v>1</v>
      </c>
      <c r="N5585" s="31" t="str">
        <f aca="false">IF(G5585&lt;=INDEX(Assumptions!$B$15:$B$18,MATCH(E5585,Assumptions!$A$15:$A$18,0)),"Yes","No")</f>
        <v>Yes</v>
      </c>
      <c r="O5585" s="31" t="str">
        <f aca="false">IF(H5585="","Open",IF(H5585&lt;=INDEX(Assumptions!$C$15:$C$18,MATCH(E5585,Assumptions!$A$15:$A$18,0)),"Yes","No"))</f>
        <v>No</v>
      </c>
    </row>
    <row r="5586" customFormat="false" ht="15" hidden="false" customHeight="false" outlineLevel="0" collapsed="false">
      <c r="A5586" s="31" t="s">
        <v>5736</v>
      </c>
      <c r="B5586" s="44" t="n">
        <v>46279</v>
      </c>
      <c r="C5586" s="31" t="s">
        <v>59</v>
      </c>
      <c r="D5586" s="31" t="s">
        <v>65</v>
      </c>
      <c r="E5586" s="31" t="s">
        <v>51</v>
      </c>
      <c r="F5586" s="31" t="s">
        <v>126</v>
      </c>
      <c r="G5586" s="31" t="n">
        <v>67</v>
      </c>
      <c r="H5586" s="41" t="n">
        <v>2.4</v>
      </c>
      <c r="I5586" s="31" t="s">
        <v>149</v>
      </c>
      <c r="J5586" s="31"/>
      <c r="K5586" s="31" t="s">
        <v>150</v>
      </c>
      <c r="L5586" s="45" t="n">
        <f aca="false">DATE(YEAR(B5586),MONTH(B5586),1)</f>
        <v>46266</v>
      </c>
      <c r="M5586" s="31" t="n">
        <f aca="false">WEEKDAY(B5586,2)</f>
        <v>1</v>
      </c>
      <c r="N5586" s="31" t="str">
        <f aca="false">IF(G5586&lt;=INDEX(Assumptions!$B$15:$B$18,MATCH(E5586,Assumptions!$A$15:$A$18,0)),"Yes","No")</f>
        <v>No</v>
      </c>
      <c r="O5586" s="31" t="str">
        <f aca="false">IF(H5586="","Open",IF(H5586&lt;=INDEX(Assumptions!$C$15:$C$18,MATCH(E5586,Assumptions!$A$15:$A$18,0)),"Yes","No"))</f>
        <v>Yes</v>
      </c>
    </row>
    <row r="5587" customFormat="false" ht="15" hidden="false" customHeight="false" outlineLevel="0" collapsed="false">
      <c r="A5587" s="31" t="s">
        <v>5737</v>
      </c>
      <c r="B5587" s="44" t="n">
        <v>46279</v>
      </c>
      <c r="C5587" s="31" t="s">
        <v>59</v>
      </c>
      <c r="D5587" s="31" t="s">
        <v>67</v>
      </c>
      <c r="E5587" s="31" t="s">
        <v>51</v>
      </c>
      <c r="F5587" s="31" t="s">
        <v>122</v>
      </c>
      <c r="G5587" s="31" t="n">
        <v>137</v>
      </c>
      <c r="H5587" s="41" t="n">
        <v>17.7</v>
      </c>
      <c r="I5587" s="31" t="s">
        <v>149</v>
      </c>
      <c r="J5587" s="31"/>
      <c r="K5587" s="31" t="s">
        <v>150</v>
      </c>
      <c r="L5587" s="45" t="n">
        <f aca="false">DATE(YEAR(B5587),MONTH(B5587),1)</f>
        <v>46266</v>
      </c>
      <c r="M5587" s="31" t="n">
        <f aca="false">WEEKDAY(B5587,2)</f>
        <v>1</v>
      </c>
      <c r="N5587" s="31" t="str">
        <f aca="false">IF(G5587&lt;=INDEX(Assumptions!$B$15:$B$18,MATCH(E5587,Assumptions!$A$15:$A$18,0)),"Yes","No")</f>
        <v>No</v>
      </c>
      <c r="O5587" s="31" t="str">
        <f aca="false">IF(H5587="","Open",IF(H5587&lt;=INDEX(Assumptions!$C$15:$C$18,MATCH(E5587,Assumptions!$A$15:$A$18,0)),"Yes","No"))</f>
        <v>Yes</v>
      </c>
    </row>
    <row r="5588" customFormat="false" ht="15" hidden="false" customHeight="false" outlineLevel="0" collapsed="false">
      <c r="A5588" s="31" t="s">
        <v>5738</v>
      </c>
      <c r="B5588" s="44" t="n">
        <v>46279</v>
      </c>
      <c r="C5588" s="31" t="s">
        <v>59</v>
      </c>
      <c r="D5588" s="31" t="s">
        <v>65</v>
      </c>
      <c r="E5588" s="31" t="s">
        <v>50</v>
      </c>
      <c r="F5588" s="31" t="s">
        <v>137</v>
      </c>
      <c r="G5588" s="31" t="n">
        <v>51</v>
      </c>
      <c r="H5588" s="41" t="n">
        <v>8.7</v>
      </c>
      <c r="I5588" s="31" t="s">
        <v>149</v>
      </c>
      <c r="J5588" s="31"/>
      <c r="K5588" s="31" t="s">
        <v>150</v>
      </c>
      <c r="L5588" s="45" t="n">
        <f aca="false">DATE(YEAR(B5588),MONTH(B5588),1)</f>
        <v>46266</v>
      </c>
      <c r="M5588" s="31" t="n">
        <f aca="false">WEEKDAY(B5588,2)</f>
        <v>1</v>
      </c>
      <c r="N5588" s="31" t="str">
        <f aca="false">IF(G5588&lt;=INDEX(Assumptions!$B$15:$B$18,MATCH(E5588,Assumptions!$A$15:$A$18,0)),"Yes","No")</f>
        <v>No</v>
      </c>
      <c r="O5588" s="31" t="str">
        <f aca="false">IF(H5588="","Open",IF(H5588&lt;=INDEX(Assumptions!$C$15:$C$18,MATCH(E5588,Assumptions!$A$15:$A$18,0)),"Yes","No"))</f>
        <v>No</v>
      </c>
    </row>
    <row r="5589" customFormat="false" ht="15" hidden="false" customHeight="false" outlineLevel="0" collapsed="false">
      <c r="A5589" s="31" t="s">
        <v>5739</v>
      </c>
      <c r="B5589" s="44" t="n">
        <v>46279</v>
      </c>
      <c r="C5589" s="31" t="s">
        <v>58</v>
      </c>
      <c r="D5589" s="31" t="s">
        <v>69</v>
      </c>
      <c r="E5589" s="31" t="s">
        <v>49</v>
      </c>
      <c r="F5589" s="31" t="s">
        <v>123</v>
      </c>
      <c r="G5589" s="31" t="n">
        <v>4</v>
      </c>
      <c r="H5589" s="41" t="n">
        <v>8</v>
      </c>
      <c r="I5589" s="31" t="s">
        <v>149</v>
      </c>
      <c r="J5589" s="31"/>
      <c r="K5589" s="31" t="s">
        <v>150</v>
      </c>
      <c r="L5589" s="45" t="n">
        <f aca="false">DATE(YEAR(B5589),MONTH(B5589),1)</f>
        <v>46266</v>
      </c>
      <c r="M5589" s="31" t="n">
        <f aca="false">WEEKDAY(B5589,2)</f>
        <v>1</v>
      </c>
      <c r="N5589" s="31" t="str">
        <f aca="false">IF(G5589&lt;=INDEX(Assumptions!$B$15:$B$18,MATCH(E5589,Assumptions!$A$15:$A$18,0)),"Yes","No")</f>
        <v>Yes</v>
      </c>
      <c r="O5589" s="31" t="str">
        <f aca="false">IF(H5589="","Open",IF(H5589&lt;=INDEX(Assumptions!$C$15:$C$18,MATCH(E5589,Assumptions!$A$15:$A$18,0)),"Yes","No"))</f>
        <v>No</v>
      </c>
    </row>
    <row r="5590" customFormat="false" ht="15" hidden="false" customHeight="false" outlineLevel="0" collapsed="false">
      <c r="A5590" s="31" t="s">
        <v>5740</v>
      </c>
      <c r="B5590" s="44" t="n">
        <v>46279</v>
      </c>
      <c r="C5590" s="31" t="s">
        <v>59</v>
      </c>
      <c r="D5590" s="31" t="s">
        <v>67</v>
      </c>
      <c r="E5590" s="31" t="s">
        <v>50</v>
      </c>
      <c r="F5590" s="31" t="s">
        <v>136</v>
      </c>
      <c r="G5590" s="31" t="n">
        <v>35</v>
      </c>
      <c r="H5590" s="41" t="n">
        <v>19.1</v>
      </c>
      <c r="I5590" s="31" t="s">
        <v>149</v>
      </c>
      <c r="J5590" s="31" t="n">
        <v>4</v>
      </c>
      <c r="K5590" s="31" t="s">
        <v>153</v>
      </c>
      <c r="L5590" s="45" t="n">
        <f aca="false">DATE(YEAR(B5590),MONTH(B5590),1)</f>
        <v>46266</v>
      </c>
      <c r="M5590" s="31" t="n">
        <f aca="false">WEEKDAY(B5590,2)</f>
        <v>1</v>
      </c>
      <c r="N5590" s="31" t="str">
        <f aca="false">IF(G5590&lt;=INDEX(Assumptions!$B$15:$B$18,MATCH(E5590,Assumptions!$A$15:$A$18,0)),"Yes","No")</f>
        <v>No</v>
      </c>
      <c r="O5590" s="31" t="str">
        <f aca="false">IF(H5590="","Open",IF(H5590&lt;=INDEX(Assumptions!$C$15:$C$18,MATCH(E5590,Assumptions!$A$15:$A$18,0)),"Yes","No"))</f>
        <v>No</v>
      </c>
    </row>
    <row r="5591" customFormat="false" ht="15" hidden="false" customHeight="false" outlineLevel="0" collapsed="false">
      <c r="A5591" s="31" t="s">
        <v>5741</v>
      </c>
      <c r="B5591" s="44" t="n">
        <v>46279</v>
      </c>
      <c r="C5591" s="31" t="s">
        <v>57</v>
      </c>
      <c r="D5591" s="31" t="s">
        <v>66</v>
      </c>
      <c r="E5591" s="31" t="s">
        <v>52</v>
      </c>
      <c r="F5591" s="31" t="s">
        <v>137</v>
      </c>
      <c r="G5591" s="31" t="n">
        <v>7</v>
      </c>
      <c r="H5591" s="41" t="n">
        <v>10.7</v>
      </c>
      <c r="I5591" s="31" t="s">
        <v>149</v>
      </c>
      <c r="J5591" s="31" t="n">
        <v>4</v>
      </c>
      <c r="K5591" s="31" t="s">
        <v>150</v>
      </c>
      <c r="L5591" s="45" t="n">
        <f aca="false">DATE(YEAR(B5591),MONTH(B5591),1)</f>
        <v>46266</v>
      </c>
      <c r="M5591" s="31" t="n">
        <f aca="false">WEEKDAY(B5591,2)</f>
        <v>1</v>
      </c>
      <c r="N5591" s="31" t="str">
        <f aca="false">IF(G5591&lt;=INDEX(Assumptions!$B$15:$B$18,MATCH(E5591,Assumptions!$A$15:$A$18,0)),"Yes","No")</f>
        <v>Yes</v>
      </c>
      <c r="O5591" s="31" t="str">
        <f aca="false">IF(H5591="","Open",IF(H5591&lt;=INDEX(Assumptions!$C$15:$C$18,MATCH(E5591,Assumptions!$A$15:$A$18,0)),"Yes","No"))</f>
        <v>Yes</v>
      </c>
    </row>
    <row r="5592" customFormat="false" ht="15" hidden="false" customHeight="false" outlineLevel="0" collapsed="false">
      <c r="A5592" s="31" t="s">
        <v>5742</v>
      </c>
      <c r="B5592" s="44" t="n">
        <v>46279</v>
      </c>
      <c r="C5592" s="31" t="s">
        <v>57</v>
      </c>
      <c r="D5592" s="31" t="s">
        <v>66</v>
      </c>
      <c r="E5592" s="31" t="s">
        <v>50</v>
      </c>
      <c r="F5592" s="31" t="s">
        <v>127</v>
      </c>
      <c r="G5592" s="31" t="n">
        <v>1</v>
      </c>
      <c r="H5592" s="41" t="n">
        <v>2.2</v>
      </c>
      <c r="I5592" s="31" t="s">
        <v>149</v>
      </c>
      <c r="J5592" s="31" t="n">
        <v>5</v>
      </c>
      <c r="K5592" s="31" t="s">
        <v>150</v>
      </c>
      <c r="L5592" s="45" t="n">
        <f aca="false">DATE(YEAR(B5592),MONTH(B5592),1)</f>
        <v>46266</v>
      </c>
      <c r="M5592" s="31" t="n">
        <f aca="false">WEEKDAY(B5592,2)</f>
        <v>1</v>
      </c>
      <c r="N5592" s="31" t="str">
        <f aca="false">IF(G5592&lt;=INDEX(Assumptions!$B$15:$B$18,MATCH(E5592,Assumptions!$A$15:$A$18,0)),"Yes","No")</f>
        <v>Yes</v>
      </c>
      <c r="O5592" s="31" t="str">
        <f aca="false">IF(H5592="","Open",IF(H5592&lt;=INDEX(Assumptions!$C$15:$C$18,MATCH(E5592,Assumptions!$A$15:$A$18,0)),"Yes","No"))</f>
        <v>Yes</v>
      </c>
    </row>
    <row r="5593" customFormat="false" ht="15" hidden="false" customHeight="false" outlineLevel="0" collapsed="false">
      <c r="A5593" s="31" t="s">
        <v>5743</v>
      </c>
      <c r="B5593" s="44" t="n">
        <v>46279</v>
      </c>
      <c r="C5593" s="31" t="s">
        <v>59</v>
      </c>
      <c r="D5593" s="31" t="s">
        <v>65</v>
      </c>
      <c r="E5593" s="31" t="s">
        <v>51</v>
      </c>
      <c r="F5593" s="31" t="s">
        <v>119</v>
      </c>
      <c r="G5593" s="31" t="n">
        <v>33</v>
      </c>
      <c r="H5593" s="41" t="n">
        <v>15.7</v>
      </c>
      <c r="I5593" s="31" t="s">
        <v>149</v>
      </c>
      <c r="J5593" s="31" t="n">
        <v>5</v>
      </c>
      <c r="K5593" s="31" t="s">
        <v>150</v>
      </c>
      <c r="L5593" s="45" t="n">
        <f aca="false">DATE(YEAR(B5593),MONTH(B5593),1)</f>
        <v>46266</v>
      </c>
      <c r="M5593" s="31" t="n">
        <f aca="false">WEEKDAY(B5593,2)</f>
        <v>1</v>
      </c>
      <c r="N5593" s="31" t="str">
        <f aca="false">IF(G5593&lt;=INDEX(Assumptions!$B$15:$B$18,MATCH(E5593,Assumptions!$A$15:$A$18,0)),"Yes","No")</f>
        <v>Yes</v>
      </c>
      <c r="O5593" s="31" t="str">
        <f aca="false">IF(H5593="","Open",IF(H5593&lt;=INDEX(Assumptions!$C$15:$C$18,MATCH(E5593,Assumptions!$A$15:$A$18,0)),"Yes","No"))</f>
        <v>Yes</v>
      </c>
    </row>
    <row r="5594" customFormat="false" ht="15" hidden="false" customHeight="false" outlineLevel="0" collapsed="false">
      <c r="A5594" s="31" t="s">
        <v>5744</v>
      </c>
      <c r="B5594" s="44" t="n">
        <v>46279</v>
      </c>
      <c r="C5594" s="31" t="s">
        <v>57</v>
      </c>
      <c r="D5594" s="31" t="s">
        <v>68</v>
      </c>
      <c r="E5594" s="31" t="s">
        <v>52</v>
      </c>
      <c r="F5594" s="31" t="s">
        <v>134</v>
      </c>
      <c r="G5594" s="31" t="n">
        <v>2</v>
      </c>
      <c r="H5594" s="41" t="n">
        <v>6.9</v>
      </c>
      <c r="I5594" s="31" t="s">
        <v>149</v>
      </c>
      <c r="J5594" s="31" t="n">
        <v>4</v>
      </c>
      <c r="K5594" s="31" t="s">
        <v>150</v>
      </c>
      <c r="L5594" s="45" t="n">
        <f aca="false">DATE(YEAR(B5594),MONTH(B5594),1)</f>
        <v>46266</v>
      </c>
      <c r="M5594" s="31" t="n">
        <f aca="false">WEEKDAY(B5594,2)</f>
        <v>1</v>
      </c>
      <c r="N5594" s="31" t="str">
        <f aca="false">IF(G5594&lt;=INDEX(Assumptions!$B$15:$B$18,MATCH(E5594,Assumptions!$A$15:$A$18,0)),"Yes","No")</f>
        <v>Yes</v>
      </c>
      <c r="O5594" s="31" t="str">
        <f aca="false">IF(H5594="","Open",IF(H5594&lt;=INDEX(Assumptions!$C$15:$C$18,MATCH(E5594,Assumptions!$A$15:$A$18,0)),"Yes","No"))</f>
        <v>Yes</v>
      </c>
    </row>
    <row r="5595" customFormat="false" ht="15" hidden="false" customHeight="false" outlineLevel="0" collapsed="false">
      <c r="A5595" s="31" t="s">
        <v>5745</v>
      </c>
      <c r="B5595" s="44" t="n">
        <v>46279</v>
      </c>
      <c r="C5595" s="31" t="s">
        <v>58</v>
      </c>
      <c r="D5595" s="31" t="s">
        <v>68</v>
      </c>
      <c r="E5595" s="31" t="s">
        <v>51</v>
      </c>
      <c r="F5595" s="31" t="s">
        <v>128</v>
      </c>
      <c r="G5595" s="31" t="n">
        <v>56</v>
      </c>
      <c r="H5595" s="41" t="n">
        <v>2.6</v>
      </c>
      <c r="I5595" s="31" t="s">
        <v>149</v>
      </c>
      <c r="J5595" s="31" t="n">
        <v>4</v>
      </c>
      <c r="K5595" s="31" t="s">
        <v>150</v>
      </c>
      <c r="L5595" s="45" t="n">
        <f aca="false">DATE(YEAR(B5595),MONTH(B5595),1)</f>
        <v>46266</v>
      </c>
      <c r="M5595" s="31" t="n">
        <f aca="false">WEEKDAY(B5595,2)</f>
        <v>1</v>
      </c>
      <c r="N5595" s="31" t="str">
        <f aca="false">IF(G5595&lt;=INDEX(Assumptions!$B$15:$B$18,MATCH(E5595,Assumptions!$A$15:$A$18,0)),"Yes","No")</f>
        <v>Yes</v>
      </c>
      <c r="O5595" s="31" t="str">
        <f aca="false">IF(H5595="","Open",IF(H5595&lt;=INDEX(Assumptions!$C$15:$C$18,MATCH(E5595,Assumptions!$A$15:$A$18,0)),"Yes","No"))</f>
        <v>Yes</v>
      </c>
    </row>
    <row r="5596" customFormat="false" ht="15" hidden="false" customHeight="false" outlineLevel="0" collapsed="false">
      <c r="A5596" s="31" t="s">
        <v>5746</v>
      </c>
      <c r="B5596" s="44" t="n">
        <v>46279</v>
      </c>
      <c r="C5596" s="31" t="s">
        <v>57</v>
      </c>
      <c r="D5596" s="31" t="s">
        <v>65</v>
      </c>
      <c r="E5596" s="31" t="s">
        <v>51</v>
      </c>
      <c r="F5596" s="31" t="s">
        <v>124</v>
      </c>
      <c r="G5596" s="31" t="n">
        <v>8</v>
      </c>
      <c r="H5596" s="41" t="n">
        <v>4.5</v>
      </c>
      <c r="I5596" s="31" t="s">
        <v>149</v>
      </c>
      <c r="J5596" s="31"/>
      <c r="K5596" s="31" t="s">
        <v>150</v>
      </c>
      <c r="L5596" s="45" t="n">
        <f aca="false">DATE(YEAR(B5596),MONTH(B5596),1)</f>
        <v>46266</v>
      </c>
      <c r="M5596" s="31" t="n">
        <f aca="false">WEEKDAY(B5596,2)</f>
        <v>1</v>
      </c>
      <c r="N5596" s="31" t="str">
        <f aca="false">IF(G5596&lt;=INDEX(Assumptions!$B$15:$B$18,MATCH(E5596,Assumptions!$A$15:$A$18,0)),"Yes","No")</f>
        <v>Yes</v>
      </c>
      <c r="O5596" s="31" t="str">
        <f aca="false">IF(H5596="","Open",IF(H5596&lt;=INDEX(Assumptions!$C$15:$C$18,MATCH(E5596,Assumptions!$A$15:$A$18,0)),"Yes","No"))</f>
        <v>Yes</v>
      </c>
    </row>
    <row r="5597" customFormat="false" ht="15" hidden="false" customHeight="false" outlineLevel="0" collapsed="false">
      <c r="A5597" s="31" t="s">
        <v>5747</v>
      </c>
      <c r="B5597" s="44" t="n">
        <v>46279</v>
      </c>
      <c r="C5597" s="31" t="s">
        <v>58</v>
      </c>
      <c r="D5597" s="31" t="s">
        <v>68</v>
      </c>
      <c r="E5597" s="31" t="s">
        <v>52</v>
      </c>
      <c r="F5597" s="31" t="s">
        <v>127</v>
      </c>
      <c r="G5597" s="31" t="n">
        <v>12</v>
      </c>
      <c r="H5597" s="41" t="n">
        <v>3.8</v>
      </c>
      <c r="I5597" s="31" t="s">
        <v>149</v>
      </c>
      <c r="J5597" s="31" t="n">
        <v>4</v>
      </c>
      <c r="K5597" s="31" t="s">
        <v>150</v>
      </c>
      <c r="L5597" s="45" t="n">
        <f aca="false">DATE(YEAR(B5597),MONTH(B5597),1)</f>
        <v>46266</v>
      </c>
      <c r="M5597" s="31" t="n">
        <f aca="false">WEEKDAY(B5597,2)</f>
        <v>1</v>
      </c>
      <c r="N5597" s="31" t="str">
        <f aca="false">IF(G5597&lt;=INDEX(Assumptions!$B$15:$B$18,MATCH(E5597,Assumptions!$A$15:$A$18,0)),"Yes","No")</f>
        <v>Yes</v>
      </c>
      <c r="O5597" s="31" t="str">
        <f aca="false">IF(H5597="","Open",IF(H5597&lt;=INDEX(Assumptions!$C$15:$C$18,MATCH(E5597,Assumptions!$A$15:$A$18,0)),"Yes","No"))</f>
        <v>Yes</v>
      </c>
    </row>
    <row r="5598" customFormat="false" ht="15" hidden="false" customHeight="false" outlineLevel="0" collapsed="false">
      <c r="A5598" s="31" t="s">
        <v>5748</v>
      </c>
      <c r="B5598" s="44" t="n">
        <v>46279</v>
      </c>
      <c r="C5598" s="31" t="s">
        <v>57</v>
      </c>
      <c r="D5598" s="31" t="s">
        <v>65</v>
      </c>
      <c r="E5598" s="31" t="s">
        <v>51</v>
      </c>
      <c r="F5598" s="31" t="s">
        <v>124</v>
      </c>
      <c r="G5598" s="31" t="n">
        <v>5</v>
      </c>
      <c r="H5598" s="41" t="n">
        <v>15.3</v>
      </c>
      <c r="I5598" s="31" t="s">
        <v>149</v>
      </c>
      <c r="J5598" s="31"/>
      <c r="K5598" s="31" t="s">
        <v>150</v>
      </c>
      <c r="L5598" s="45" t="n">
        <f aca="false">DATE(YEAR(B5598),MONTH(B5598),1)</f>
        <v>46266</v>
      </c>
      <c r="M5598" s="31" t="n">
        <f aca="false">WEEKDAY(B5598,2)</f>
        <v>1</v>
      </c>
      <c r="N5598" s="31" t="str">
        <f aca="false">IF(G5598&lt;=INDEX(Assumptions!$B$15:$B$18,MATCH(E5598,Assumptions!$A$15:$A$18,0)),"Yes","No")</f>
        <v>Yes</v>
      </c>
      <c r="O5598" s="31" t="str">
        <f aca="false">IF(H5598="","Open",IF(H5598&lt;=INDEX(Assumptions!$C$15:$C$18,MATCH(E5598,Assumptions!$A$15:$A$18,0)),"Yes","No"))</f>
        <v>Yes</v>
      </c>
    </row>
    <row r="5599" customFormat="false" ht="15" hidden="false" customHeight="false" outlineLevel="0" collapsed="false">
      <c r="A5599" s="31" t="s">
        <v>5749</v>
      </c>
      <c r="B5599" s="44" t="n">
        <v>46279</v>
      </c>
      <c r="C5599" s="31" t="s">
        <v>59</v>
      </c>
      <c r="D5599" s="31" t="s">
        <v>69</v>
      </c>
      <c r="E5599" s="31" t="s">
        <v>50</v>
      </c>
      <c r="F5599" s="31" t="s">
        <v>131</v>
      </c>
      <c r="G5599" s="31" t="n">
        <v>31</v>
      </c>
      <c r="H5599" s="41" t="n">
        <v>10.2</v>
      </c>
      <c r="I5599" s="31" t="s">
        <v>149</v>
      </c>
      <c r="J5599" s="31"/>
      <c r="K5599" s="31" t="s">
        <v>150</v>
      </c>
      <c r="L5599" s="45" t="n">
        <f aca="false">DATE(YEAR(B5599),MONTH(B5599),1)</f>
        <v>46266</v>
      </c>
      <c r="M5599" s="31" t="n">
        <f aca="false">WEEKDAY(B5599,2)</f>
        <v>1</v>
      </c>
      <c r="N5599" s="31" t="str">
        <f aca="false">IF(G5599&lt;=INDEX(Assumptions!$B$15:$B$18,MATCH(E5599,Assumptions!$A$15:$A$18,0)),"Yes","No")</f>
        <v>No</v>
      </c>
      <c r="O5599" s="31" t="str">
        <f aca="false">IF(H5599="","Open",IF(H5599&lt;=INDEX(Assumptions!$C$15:$C$18,MATCH(E5599,Assumptions!$A$15:$A$18,0)),"Yes","No"))</f>
        <v>No</v>
      </c>
    </row>
    <row r="5600" customFormat="false" ht="15" hidden="false" customHeight="false" outlineLevel="0" collapsed="false">
      <c r="A5600" s="31" t="s">
        <v>5750</v>
      </c>
      <c r="B5600" s="44" t="n">
        <v>46279</v>
      </c>
      <c r="C5600" s="31" t="s">
        <v>59</v>
      </c>
      <c r="D5600" s="31" t="s">
        <v>65</v>
      </c>
      <c r="E5600" s="31" t="s">
        <v>51</v>
      </c>
      <c r="F5600" s="31" t="s">
        <v>135</v>
      </c>
      <c r="G5600" s="31" t="n">
        <v>29</v>
      </c>
      <c r="H5600" s="41" t="n">
        <v>9.2</v>
      </c>
      <c r="I5600" s="31" t="s">
        <v>149</v>
      </c>
      <c r="J5600" s="31"/>
      <c r="K5600" s="31" t="s">
        <v>150</v>
      </c>
      <c r="L5600" s="45" t="n">
        <f aca="false">DATE(YEAR(B5600),MONTH(B5600),1)</f>
        <v>46266</v>
      </c>
      <c r="M5600" s="31" t="n">
        <f aca="false">WEEKDAY(B5600,2)</f>
        <v>1</v>
      </c>
      <c r="N5600" s="31" t="str">
        <f aca="false">IF(G5600&lt;=INDEX(Assumptions!$B$15:$B$18,MATCH(E5600,Assumptions!$A$15:$A$18,0)),"Yes","No")</f>
        <v>Yes</v>
      </c>
      <c r="O5600" s="31" t="str">
        <f aca="false">IF(H5600="","Open",IF(H5600&lt;=INDEX(Assumptions!$C$15:$C$18,MATCH(E5600,Assumptions!$A$15:$A$18,0)),"Yes","No"))</f>
        <v>Yes</v>
      </c>
    </row>
    <row r="5601" customFormat="false" ht="15" hidden="false" customHeight="false" outlineLevel="0" collapsed="false">
      <c r="A5601" s="31" t="s">
        <v>5751</v>
      </c>
      <c r="B5601" s="44" t="n">
        <v>46279</v>
      </c>
      <c r="C5601" s="31" t="s">
        <v>60</v>
      </c>
      <c r="D5601" s="31" t="s">
        <v>65</v>
      </c>
      <c r="E5601" s="31" t="s">
        <v>52</v>
      </c>
      <c r="F5601" s="31" t="s">
        <v>120</v>
      </c>
      <c r="G5601" s="31" t="n">
        <v>4</v>
      </c>
      <c r="H5601" s="41" t="n">
        <v>10.9</v>
      </c>
      <c r="I5601" s="31" t="s">
        <v>149</v>
      </c>
      <c r="J5601" s="31" t="n">
        <v>4</v>
      </c>
      <c r="K5601" s="31" t="s">
        <v>150</v>
      </c>
      <c r="L5601" s="45" t="n">
        <f aca="false">DATE(YEAR(B5601),MONTH(B5601),1)</f>
        <v>46266</v>
      </c>
      <c r="M5601" s="31" t="n">
        <f aca="false">WEEKDAY(B5601,2)</f>
        <v>1</v>
      </c>
      <c r="N5601" s="31" t="str">
        <f aca="false">IF(G5601&lt;=INDEX(Assumptions!$B$15:$B$18,MATCH(E5601,Assumptions!$A$15:$A$18,0)),"Yes","No")</f>
        <v>Yes</v>
      </c>
      <c r="O5601" s="31" t="str">
        <f aca="false">IF(H5601="","Open",IF(H5601&lt;=INDEX(Assumptions!$C$15:$C$18,MATCH(E5601,Assumptions!$A$15:$A$18,0)),"Yes","No"))</f>
        <v>Yes</v>
      </c>
    </row>
    <row r="5602" customFormat="false" ht="15" hidden="false" customHeight="false" outlineLevel="0" collapsed="false">
      <c r="A5602" s="31" t="s">
        <v>5752</v>
      </c>
      <c r="B5602" s="44" t="n">
        <v>46279</v>
      </c>
      <c r="C5602" s="31" t="s">
        <v>59</v>
      </c>
      <c r="D5602" s="31" t="s">
        <v>66</v>
      </c>
      <c r="E5602" s="31" t="s">
        <v>51</v>
      </c>
      <c r="F5602" s="31" t="s">
        <v>121</v>
      </c>
      <c r="G5602" s="31" t="n">
        <v>50</v>
      </c>
      <c r="H5602" s="41" t="n">
        <v>23.7</v>
      </c>
      <c r="I5602" s="31" t="s">
        <v>149</v>
      </c>
      <c r="J5602" s="31" t="n">
        <v>4</v>
      </c>
      <c r="K5602" s="31" t="s">
        <v>150</v>
      </c>
      <c r="L5602" s="45" t="n">
        <f aca="false">DATE(YEAR(B5602),MONTH(B5602),1)</f>
        <v>46266</v>
      </c>
      <c r="M5602" s="31" t="n">
        <f aca="false">WEEKDAY(B5602,2)</f>
        <v>1</v>
      </c>
      <c r="N5602" s="31" t="str">
        <f aca="false">IF(G5602&lt;=INDEX(Assumptions!$B$15:$B$18,MATCH(E5602,Assumptions!$A$15:$A$18,0)),"Yes","No")</f>
        <v>Yes</v>
      </c>
      <c r="O5602" s="31" t="str">
        <f aca="false">IF(H5602="","Open",IF(H5602&lt;=INDEX(Assumptions!$C$15:$C$18,MATCH(E5602,Assumptions!$A$15:$A$18,0)),"Yes","No"))</f>
        <v>Yes</v>
      </c>
    </row>
    <row r="5603" customFormat="false" ht="15" hidden="false" customHeight="false" outlineLevel="0" collapsed="false">
      <c r="A5603" s="31" t="s">
        <v>5753</v>
      </c>
      <c r="B5603" s="44" t="n">
        <v>46279</v>
      </c>
      <c r="C5603" s="31" t="s">
        <v>59</v>
      </c>
      <c r="D5603" s="31" t="s">
        <v>69</v>
      </c>
      <c r="E5603" s="31" t="s">
        <v>51</v>
      </c>
      <c r="F5603" s="31" t="s">
        <v>124</v>
      </c>
      <c r="G5603" s="31" t="n">
        <v>13</v>
      </c>
      <c r="H5603" s="41" t="n">
        <v>7.8</v>
      </c>
      <c r="I5603" s="31" t="s">
        <v>149</v>
      </c>
      <c r="J5603" s="31" t="n">
        <v>5</v>
      </c>
      <c r="K5603" s="31" t="s">
        <v>150</v>
      </c>
      <c r="L5603" s="45" t="n">
        <f aca="false">DATE(YEAR(B5603),MONTH(B5603),1)</f>
        <v>46266</v>
      </c>
      <c r="M5603" s="31" t="n">
        <f aca="false">WEEKDAY(B5603,2)</f>
        <v>1</v>
      </c>
      <c r="N5603" s="31" t="str">
        <f aca="false">IF(G5603&lt;=INDEX(Assumptions!$B$15:$B$18,MATCH(E5603,Assumptions!$A$15:$A$18,0)),"Yes","No")</f>
        <v>Yes</v>
      </c>
      <c r="O5603" s="31" t="str">
        <f aca="false">IF(H5603="","Open",IF(H5603&lt;=INDEX(Assumptions!$C$15:$C$18,MATCH(E5603,Assumptions!$A$15:$A$18,0)),"Yes","No"))</f>
        <v>Yes</v>
      </c>
    </row>
    <row r="5604" customFormat="false" ht="15" hidden="false" customHeight="false" outlineLevel="0" collapsed="false">
      <c r="A5604" s="31" t="s">
        <v>5754</v>
      </c>
      <c r="B5604" s="44" t="n">
        <v>46279</v>
      </c>
      <c r="C5604" s="31" t="s">
        <v>58</v>
      </c>
      <c r="D5604" s="31" t="s">
        <v>67</v>
      </c>
      <c r="E5604" s="31" t="s">
        <v>51</v>
      </c>
      <c r="F5604" s="31" t="s">
        <v>126</v>
      </c>
      <c r="G5604" s="31" t="n">
        <v>9</v>
      </c>
      <c r="H5604" s="41" t="n">
        <v>4.7</v>
      </c>
      <c r="I5604" s="31" t="s">
        <v>149</v>
      </c>
      <c r="J5604" s="31"/>
      <c r="K5604" s="31" t="s">
        <v>153</v>
      </c>
      <c r="L5604" s="45" t="n">
        <f aca="false">DATE(YEAR(B5604),MONTH(B5604),1)</f>
        <v>46266</v>
      </c>
      <c r="M5604" s="31" t="n">
        <f aca="false">WEEKDAY(B5604,2)</f>
        <v>1</v>
      </c>
      <c r="N5604" s="31" t="str">
        <f aca="false">IF(G5604&lt;=INDEX(Assumptions!$B$15:$B$18,MATCH(E5604,Assumptions!$A$15:$A$18,0)),"Yes","No")</f>
        <v>Yes</v>
      </c>
      <c r="O5604" s="31" t="str">
        <f aca="false">IF(H5604="","Open",IF(H5604&lt;=INDEX(Assumptions!$C$15:$C$18,MATCH(E5604,Assumptions!$A$15:$A$18,0)),"Yes","No"))</f>
        <v>Yes</v>
      </c>
    </row>
    <row r="5605" customFormat="false" ht="15" hidden="false" customHeight="false" outlineLevel="0" collapsed="false">
      <c r="A5605" s="31" t="s">
        <v>5755</v>
      </c>
      <c r="B5605" s="44" t="n">
        <v>46279</v>
      </c>
      <c r="C5605" s="31" t="s">
        <v>60</v>
      </c>
      <c r="D5605" s="31" t="s">
        <v>66</v>
      </c>
      <c r="E5605" s="31" t="s">
        <v>51</v>
      </c>
      <c r="F5605" s="31" t="s">
        <v>135</v>
      </c>
      <c r="G5605" s="31" t="n">
        <v>1</v>
      </c>
      <c r="H5605" s="41" t="n">
        <v>4.2</v>
      </c>
      <c r="I5605" s="31" t="s">
        <v>149</v>
      </c>
      <c r="J5605" s="31"/>
      <c r="K5605" s="31" t="s">
        <v>150</v>
      </c>
      <c r="L5605" s="45" t="n">
        <f aca="false">DATE(YEAR(B5605),MONTH(B5605),1)</f>
        <v>46266</v>
      </c>
      <c r="M5605" s="31" t="n">
        <f aca="false">WEEKDAY(B5605,2)</f>
        <v>1</v>
      </c>
      <c r="N5605" s="31" t="str">
        <f aca="false">IF(G5605&lt;=INDEX(Assumptions!$B$15:$B$18,MATCH(E5605,Assumptions!$A$15:$A$18,0)),"Yes","No")</f>
        <v>Yes</v>
      </c>
      <c r="O5605" s="31" t="str">
        <f aca="false">IF(H5605="","Open",IF(H5605&lt;=INDEX(Assumptions!$C$15:$C$18,MATCH(E5605,Assumptions!$A$15:$A$18,0)),"Yes","No"))</f>
        <v>Yes</v>
      </c>
    </row>
    <row r="5606" customFormat="false" ht="15" hidden="false" customHeight="false" outlineLevel="0" collapsed="false">
      <c r="A5606" s="31" t="s">
        <v>5756</v>
      </c>
      <c r="B5606" s="44" t="n">
        <v>46279</v>
      </c>
      <c r="C5606" s="31" t="s">
        <v>59</v>
      </c>
      <c r="D5606" s="31" t="s">
        <v>66</v>
      </c>
      <c r="E5606" s="31" t="s">
        <v>51</v>
      </c>
      <c r="F5606" s="31" t="s">
        <v>117</v>
      </c>
      <c r="G5606" s="31" t="n">
        <v>106</v>
      </c>
      <c r="H5606" s="41" t="n">
        <v>7.1</v>
      </c>
      <c r="I5606" s="31" t="s">
        <v>149</v>
      </c>
      <c r="J5606" s="31"/>
      <c r="K5606" s="31" t="s">
        <v>150</v>
      </c>
      <c r="L5606" s="45" t="n">
        <f aca="false">DATE(YEAR(B5606),MONTH(B5606),1)</f>
        <v>46266</v>
      </c>
      <c r="M5606" s="31" t="n">
        <f aca="false">WEEKDAY(B5606,2)</f>
        <v>1</v>
      </c>
      <c r="N5606" s="31" t="str">
        <f aca="false">IF(G5606&lt;=INDEX(Assumptions!$B$15:$B$18,MATCH(E5606,Assumptions!$A$15:$A$18,0)),"Yes","No")</f>
        <v>No</v>
      </c>
      <c r="O5606" s="31" t="str">
        <f aca="false">IF(H5606="","Open",IF(H5606&lt;=INDEX(Assumptions!$C$15:$C$18,MATCH(E5606,Assumptions!$A$15:$A$18,0)),"Yes","No"))</f>
        <v>Yes</v>
      </c>
    </row>
    <row r="5607" customFormat="false" ht="15" hidden="false" customHeight="false" outlineLevel="0" collapsed="false">
      <c r="A5607" s="31" t="s">
        <v>5757</v>
      </c>
      <c r="B5607" s="44" t="n">
        <v>46279</v>
      </c>
      <c r="C5607" s="31" t="s">
        <v>58</v>
      </c>
      <c r="D5607" s="31" t="s">
        <v>66</v>
      </c>
      <c r="E5607" s="31" t="s">
        <v>51</v>
      </c>
      <c r="F5607" s="31" t="s">
        <v>135</v>
      </c>
      <c r="G5607" s="31" t="n">
        <v>51</v>
      </c>
      <c r="H5607" s="41" t="n">
        <v>2.1</v>
      </c>
      <c r="I5607" s="31" t="s">
        <v>149</v>
      </c>
      <c r="J5607" s="31" t="n">
        <v>4</v>
      </c>
      <c r="K5607" s="31" t="s">
        <v>150</v>
      </c>
      <c r="L5607" s="45" t="n">
        <f aca="false">DATE(YEAR(B5607),MONTH(B5607),1)</f>
        <v>46266</v>
      </c>
      <c r="M5607" s="31" t="n">
        <f aca="false">WEEKDAY(B5607,2)</f>
        <v>1</v>
      </c>
      <c r="N5607" s="31" t="str">
        <f aca="false">IF(G5607&lt;=INDEX(Assumptions!$B$15:$B$18,MATCH(E5607,Assumptions!$A$15:$A$18,0)),"Yes","No")</f>
        <v>Yes</v>
      </c>
      <c r="O5607" s="31" t="str">
        <f aca="false">IF(H5607="","Open",IF(H5607&lt;=INDEX(Assumptions!$C$15:$C$18,MATCH(E5607,Assumptions!$A$15:$A$18,0)),"Yes","No"))</f>
        <v>Yes</v>
      </c>
    </row>
    <row r="5608" customFormat="false" ht="15" hidden="false" customHeight="false" outlineLevel="0" collapsed="false">
      <c r="A5608" s="31" t="s">
        <v>5758</v>
      </c>
      <c r="B5608" s="44" t="n">
        <v>46279</v>
      </c>
      <c r="C5608" s="31" t="s">
        <v>60</v>
      </c>
      <c r="D5608" s="31" t="s">
        <v>67</v>
      </c>
      <c r="E5608" s="31" t="s">
        <v>49</v>
      </c>
      <c r="F5608" s="31" t="s">
        <v>117</v>
      </c>
      <c r="G5608" s="31" t="n">
        <v>2</v>
      </c>
      <c r="H5608" s="41" t="n">
        <v>1.2</v>
      </c>
      <c r="I5608" s="31" t="s">
        <v>149</v>
      </c>
      <c r="J5608" s="31" t="n">
        <v>4</v>
      </c>
      <c r="K5608" s="31" t="s">
        <v>150</v>
      </c>
      <c r="L5608" s="45" t="n">
        <f aca="false">DATE(YEAR(B5608),MONTH(B5608),1)</f>
        <v>46266</v>
      </c>
      <c r="M5608" s="31" t="n">
        <f aca="false">WEEKDAY(B5608,2)</f>
        <v>1</v>
      </c>
      <c r="N5608" s="31" t="str">
        <f aca="false">IF(G5608&lt;=INDEX(Assumptions!$B$15:$B$18,MATCH(E5608,Assumptions!$A$15:$A$18,0)),"Yes","No")</f>
        <v>Yes</v>
      </c>
      <c r="O5608" s="31" t="str">
        <f aca="false">IF(H5608="","Open",IF(H5608&lt;=INDEX(Assumptions!$C$15:$C$18,MATCH(E5608,Assumptions!$A$15:$A$18,0)),"Yes","No"))</f>
        <v>Yes</v>
      </c>
    </row>
    <row r="5609" customFormat="false" ht="15" hidden="false" customHeight="false" outlineLevel="0" collapsed="false">
      <c r="A5609" s="31" t="s">
        <v>5759</v>
      </c>
      <c r="B5609" s="44" t="n">
        <v>46279</v>
      </c>
      <c r="C5609" s="31" t="s">
        <v>60</v>
      </c>
      <c r="D5609" s="31" t="s">
        <v>67</v>
      </c>
      <c r="E5609" s="31" t="s">
        <v>50</v>
      </c>
      <c r="F5609" s="31" t="s">
        <v>124</v>
      </c>
      <c r="G5609" s="31" t="n">
        <v>1</v>
      </c>
      <c r="H5609" s="41" t="n">
        <v>5.9</v>
      </c>
      <c r="I5609" s="31" t="s">
        <v>149</v>
      </c>
      <c r="J5609" s="31" t="n">
        <v>4</v>
      </c>
      <c r="K5609" s="31" t="s">
        <v>150</v>
      </c>
      <c r="L5609" s="45" t="n">
        <f aca="false">DATE(YEAR(B5609),MONTH(B5609),1)</f>
        <v>46266</v>
      </c>
      <c r="M5609" s="31" t="n">
        <f aca="false">WEEKDAY(B5609,2)</f>
        <v>1</v>
      </c>
      <c r="N5609" s="31" t="str">
        <f aca="false">IF(G5609&lt;=INDEX(Assumptions!$B$15:$B$18,MATCH(E5609,Assumptions!$A$15:$A$18,0)),"Yes","No")</f>
        <v>Yes</v>
      </c>
      <c r="O5609" s="31" t="str">
        <f aca="false">IF(H5609="","Open",IF(H5609&lt;=INDEX(Assumptions!$C$15:$C$18,MATCH(E5609,Assumptions!$A$15:$A$18,0)),"Yes","No"))</f>
        <v>Yes</v>
      </c>
    </row>
    <row r="5610" customFormat="false" ht="15" hidden="false" customHeight="false" outlineLevel="0" collapsed="false">
      <c r="A5610" s="31" t="s">
        <v>5760</v>
      </c>
      <c r="B5610" s="44" t="n">
        <v>46279</v>
      </c>
      <c r="C5610" s="31" t="s">
        <v>59</v>
      </c>
      <c r="D5610" s="31" t="s">
        <v>68</v>
      </c>
      <c r="E5610" s="31" t="s">
        <v>52</v>
      </c>
      <c r="F5610" s="31" t="s">
        <v>120</v>
      </c>
      <c r="G5610" s="31" t="n">
        <v>135</v>
      </c>
      <c r="H5610" s="41" t="n">
        <v>2.6</v>
      </c>
      <c r="I5610" s="31" t="s">
        <v>149</v>
      </c>
      <c r="J5610" s="31"/>
      <c r="K5610" s="31" t="s">
        <v>150</v>
      </c>
      <c r="L5610" s="45" t="n">
        <f aca="false">DATE(YEAR(B5610),MONTH(B5610),1)</f>
        <v>46266</v>
      </c>
      <c r="M5610" s="31" t="n">
        <f aca="false">WEEKDAY(B5610,2)</f>
        <v>1</v>
      </c>
      <c r="N5610" s="31" t="str">
        <f aca="false">IF(G5610&lt;=INDEX(Assumptions!$B$15:$B$18,MATCH(E5610,Assumptions!$A$15:$A$18,0)),"Yes","No")</f>
        <v>Yes</v>
      </c>
      <c r="O5610" s="31" t="str">
        <f aca="false">IF(H5610="","Open",IF(H5610&lt;=INDEX(Assumptions!$C$15:$C$18,MATCH(E5610,Assumptions!$A$15:$A$18,0)),"Yes","No"))</f>
        <v>Yes</v>
      </c>
    </row>
    <row r="5611" customFormat="false" ht="15" hidden="false" customHeight="false" outlineLevel="0" collapsed="false">
      <c r="A5611" s="31" t="s">
        <v>5761</v>
      </c>
      <c r="B5611" s="44" t="n">
        <v>46279</v>
      </c>
      <c r="C5611" s="31" t="s">
        <v>57</v>
      </c>
      <c r="D5611" s="31" t="s">
        <v>67</v>
      </c>
      <c r="E5611" s="31" t="s">
        <v>50</v>
      </c>
      <c r="F5611" s="31" t="s">
        <v>127</v>
      </c>
      <c r="G5611" s="31" t="n">
        <v>3</v>
      </c>
      <c r="H5611" s="41" t="n">
        <v>6.8</v>
      </c>
      <c r="I5611" s="31" t="s">
        <v>149</v>
      </c>
      <c r="J5611" s="31" t="n">
        <v>4</v>
      </c>
      <c r="K5611" s="31" t="s">
        <v>150</v>
      </c>
      <c r="L5611" s="45" t="n">
        <f aca="false">DATE(YEAR(B5611),MONTH(B5611),1)</f>
        <v>46266</v>
      </c>
      <c r="M5611" s="31" t="n">
        <f aca="false">WEEKDAY(B5611,2)</f>
        <v>1</v>
      </c>
      <c r="N5611" s="31" t="str">
        <f aca="false">IF(G5611&lt;=INDEX(Assumptions!$B$15:$B$18,MATCH(E5611,Assumptions!$A$15:$A$18,0)),"Yes","No")</f>
        <v>Yes</v>
      </c>
      <c r="O5611" s="31" t="str">
        <f aca="false">IF(H5611="","Open",IF(H5611&lt;=INDEX(Assumptions!$C$15:$C$18,MATCH(E5611,Assumptions!$A$15:$A$18,0)),"Yes","No"))</f>
        <v>Yes</v>
      </c>
    </row>
    <row r="5612" customFormat="false" ht="15" hidden="false" customHeight="false" outlineLevel="0" collapsed="false">
      <c r="A5612" s="31" t="s">
        <v>5762</v>
      </c>
      <c r="B5612" s="44" t="n">
        <v>46279</v>
      </c>
      <c r="C5612" s="31" t="s">
        <v>59</v>
      </c>
      <c r="D5612" s="31" t="s">
        <v>69</v>
      </c>
      <c r="E5612" s="31" t="s">
        <v>51</v>
      </c>
      <c r="F5612" s="31" t="s">
        <v>129</v>
      </c>
      <c r="G5612" s="31" t="n">
        <v>60</v>
      </c>
      <c r="H5612" s="41" t="n">
        <v>7.1</v>
      </c>
      <c r="I5612" s="31" t="s">
        <v>149</v>
      </c>
      <c r="J5612" s="31" t="n">
        <v>5</v>
      </c>
      <c r="K5612" s="31" t="s">
        <v>150</v>
      </c>
      <c r="L5612" s="45" t="n">
        <f aca="false">DATE(YEAR(B5612),MONTH(B5612),1)</f>
        <v>46266</v>
      </c>
      <c r="M5612" s="31" t="n">
        <f aca="false">WEEKDAY(B5612,2)</f>
        <v>1</v>
      </c>
      <c r="N5612" s="31" t="str">
        <f aca="false">IF(G5612&lt;=INDEX(Assumptions!$B$15:$B$18,MATCH(E5612,Assumptions!$A$15:$A$18,0)),"Yes","No")</f>
        <v>Yes</v>
      </c>
      <c r="O5612" s="31" t="str">
        <f aca="false">IF(H5612="","Open",IF(H5612&lt;=INDEX(Assumptions!$C$15:$C$18,MATCH(E5612,Assumptions!$A$15:$A$18,0)),"Yes","No"))</f>
        <v>Yes</v>
      </c>
    </row>
    <row r="5613" customFormat="false" ht="15" hidden="false" customHeight="false" outlineLevel="0" collapsed="false">
      <c r="A5613" s="31" t="s">
        <v>5763</v>
      </c>
      <c r="B5613" s="44" t="n">
        <v>46279</v>
      </c>
      <c r="C5613" s="31" t="s">
        <v>59</v>
      </c>
      <c r="D5613" s="31" t="s">
        <v>67</v>
      </c>
      <c r="E5613" s="31" t="s">
        <v>51</v>
      </c>
      <c r="F5613" s="31" t="s">
        <v>133</v>
      </c>
      <c r="G5613" s="31" t="n">
        <v>150</v>
      </c>
      <c r="H5613" s="41" t="n">
        <v>9.8</v>
      </c>
      <c r="I5613" s="31" t="s">
        <v>149</v>
      </c>
      <c r="J5613" s="31" t="n">
        <v>4</v>
      </c>
      <c r="K5613" s="31" t="s">
        <v>150</v>
      </c>
      <c r="L5613" s="45" t="n">
        <f aca="false">DATE(YEAR(B5613),MONTH(B5613),1)</f>
        <v>46266</v>
      </c>
      <c r="M5613" s="31" t="n">
        <f aca="false">WEEKDAY(B5613,2)</f>
        <v>1</v>
      </c>
      <c r="N5613" s="31" t="str">
        <f aca="false">IF(G5613&lt;=INDEX(Assumptions!$B$15:$B$18,MATCH(E5613,Assumptions!$A$15:$A$18,0)),"Yes","No")</f>
        <v>No</v>
      </c>
      <c r="O5613" s="31" t="str">
        <f aca="false">IF(H5613="","Open",IF(H5613&lt;=INDEX(Assumptions!$C$15:$C$18,MATCH(E5613,Assumptions!$A$15:$A$18,0)),"Yes","No"))</f>
        <v>Yes</v>
      </c>
    </row>
    <row r="5614" customFormat="false" ht="15" hidden="false" customHeight="false" outlineLevel="0" collapsed="false">
      <c r="A5614" s="31" t="s">
        <v>5764</v>
      </c>
      <c r="B5614" s="44" t="n">
        <v>46279</v>
      </c>
      <c r="C5614" s="31" t="s">
        <v>60</v>
      </c>
      <c r="D5614" s="31" t="s">
        <v>69</v>
      </c>
      <c r="E5614" s="31" t="s">
        <v>51</v>
      </c>
      <c r="F5614" s="31" t="s">
        <v>137</v>
      </c>
      <c r="G5614" s="31" t="n">
        <v>2</v>
      </c>
      <c r="H5614" s="41" t="n">
        <v>15.8</v>
      </c>
      <c r="I5614" s="31" t="s">
        <v>149</v>
      </c>
      <c r="J5614" s="31" t="n">
        <v>4</v>
      </c>
      <c r="K5614" s="31" t="s">
        <v>150</v>
      </c>
      <c r="L5614" s="45" t="n">
        <f aca="false">DATE(YEAR(B5614),MONTH(B5614),1)</f>
        <v>46266</v>
      </c>
      <c r="M5614" s="31" t="n">
        <f aca="false">WEEKDAY(B5614,2)</f>
        <v>1</v>
      </c>
      <c r="N5614" s="31" t="str">
        <f aca="false">IF(G5614&lt;=INDEX(Assumptions!$B$15:$B$18,MATCH(E5614,Assumptions!$A$15:$A$18,0)),"Yes","No")</f>
        <v>Yes</v>
      </c>
      <c r="O5614" s="31" t="str">
        <f aca="false">IF(H5614="","Open",IF(H5614&lt;=INDEX(Assumptions!$C$15:$C$18,MATCH(E5614,Assumptions!$A$15:$A$18,0)),"Yes","No"))</f>
        <v>Yes</v>
      </c>
    </row>
    <row r="5615" customFormat="false" ht="15" hidden="false" customHeight="false" outlineLevel="0" collapsed="false">
      <c r="A5615" s="31" t="s">
        <v>5765</v>
      </c>
      <c r="B5615" s="44" t="n">
        <v>46279</v>
      </c>
      <c r="C5615" s="31" t="s">
        <v>58</v>
      </c>
      <c r="D5615" s="31" t="s">
        <v>68</v>
      </c>
      <c r="E5615" s="31" t="s">
        <v>51</v>
      </c>
      <c r="F5615" s="31" t="s">
        <v>117</v>
      </c>
      <c r="G5615" s="31" t="n">
        <v>7</v>
      </c>
      <c r="H5615" s="41" t="n">
        <v>5.8</v>
      </c>
      <c r="I5615" s="31" t="s">
        <v>149</v>
      </c>
      <c r="J5615" s="31" t="n">
        <v>5</v>
      </c>
      <c r="K5615" s="31" t="s">
        <v>150</v>
      </c>
      <c r="L5615" s="45" t="n">
        <f aca="false">DATE(YEAR(B5615),MONTH(B5615),1)</f>
        <v>46266</v>
      </c>
      <c r="M5615" s="31" t="n">
        <f aca="false">WEEKDAY(B5615,2)</f>
        <v>1</v>
      </c>
      <c r="N5615" s="31" t="str">
        <f aca="false">IF(G5615&lt;=INDEX(Assumptions!$B$15:$B$18,MATCH(E5615,Assumptions!$A$15:$A$18,0)),"Yes","No")</f>
        <v>Yes</v>
      </c>
      <c r="O5615" s="31" t="str">
        <f aca="false">IF(H5615="","Open",IF(H5615&lt;=INDEX(Assumptions!$C$15:$C$18,MATCH(E5615,Assumptions!$A$15:$A$18,0)),"Yes","No"))</f>
        <v>Yes</v>
      </c>
    </row>
    <row r="5616" customFormat="false" ht="15" hidden="false" customHeight="false" outlineLevel="0" collapsed="false">
      <c r="A5616" s="31" t="s">
        <v>5766</v>
      </c>
      <c r="B5616" s="44" t="n">
        <v>46279</v>
      </c>
      <c r="C5616" s="31" t="s">
        <v>58</v>
      </c>
      <c r="D5616" s="31" t="s">
        <v>67</v>
      </c>
      <c r="E5616" s="31" t="s">
        <v>52</v>
      </c>
      <c r="F5616" s="31" t="s">
        <v>137</v>
      </c>
      <c r="G5616" s="31" t="n">
        <v>20</v>
      </c>
      <c r="H5616" s="41" t="n">
        <v>90.1</v>
      </c>
      <c r="I5616" s="31" t="s">
        <v>149</v>
      </c>
      <c r="J5616" s="31" t="n">
        <v>3</v>
      </c>
      <c r="K5616" s="31" t="s">
        <v>150</v>
      </c>
      <c r="L5616" s="45" t="n">
        <f aca="false">DATE(YEAR(B5616),MONTH(B5616),1)</f>
        <v>46266</v>
      </c>
      <c r="M5616" s="31" t="n">
        <f aca="false">WEEKDAY(B5616,2)</f>
        <v>1</v>
      </c>
      <c r="N5616" s="31" t="str">
        <f aca="false">IF(G5616&lt;=INDEX(Assumptions!$B$15:$B$18,MATCH(E5616,Assumptions!$A$15:$A$18,0)),"Yes","No")</f>
        <v>Yes</v>
      </c>
      <c r="O5616" s="31" t="str">
        <f aca="false">IF(H5616="","Open",IF(H5616&lt;=INDEX(Assumptions!$C$15:$C$18,MATCH(E5616,Assumptions!$A$15:$A$18,0)),"Yes","No"))</f>
        <v>No</v>
      </c>
    </row>
    <row r="5617" customFormat="false" ht="15" hidden="false" customHeight="false" outlineLevel="0" collapsed="false">
      <c r="A5617" s="31" t="s">
        <v>5767</v>
      </c>
      <c r="B5617" s="44" t="n">
        <v>46279</v>
      </c>
      <c r="C5617" s="31" t="s">
        <v>58</v>
      </c>
      <c r="D5617" s="31" t="s">
        <v>68</v>
      </c>
      <c r="E5617" s="31" t="s">
        <v>51</v>
      </c>
      <c r="F5617" s="31" t="s">
        <v>131</v>
      </c>
      <c r="G5617" s="31" t="n">
        <v>3</v>
      </c>
      <c r="H5617" s="41" t="n">
        <v>7.7</v>
      </c>
      <c r="I5617" s="31" t="s">
        <v>149</v>
      </c>
      <c r="J5617" s="31" t="n">
        <v>5</v>
      </c>
      <c r="K5617" s="31" t="s">
        <v>150</v>
      </c>
      <c r="L5617" s="45" t="n">
        <f aca="false">DATE(YEAR(B5617),MONTH(B5617),1)</f>
        <v>46266</v>
      </c>
      <c r="M5617" s="31" t="n">
        <f aca="false">WEEKDAY(B5617,2)</f>
        <v>1</v>
      </c>
      <c r="N5617" s="31" t="str">
        <f aca="false">IF(G5617&lt;=INDEX(Assumptions!$B$15:$B$18,MATCH(E5617,Assumptions!$A$15:$A$18,0)),"Yes","No")</f>
        <v>Yes</v>
      </c>
      <c r="O5617" s="31" t="str">
        <f aca="false">IF(H5617="","Open",IF(H5617&lt;=INDEX(Assumptions!$C$15:$C$18,MATCH(E5617,Assumptions!$A$15:$A$18,0)),"Yes","No"))</f>
        <v>Yes</v>
      </c>
    </row>
    <row r="5618" customFormat="false" ht="15" hidden="false" customHeight="false" outlineLevel="0" collapsed="false">
      <c r="A5618" s="31" t="s">
        <v>5768</v>
      </c>
      <c r="B5618" s="44" t="n">
        <v>46279</v>
      </c>
      <c r="C5618" s="31" t="s">
        <v>58</v>
      </c>
      <c r="D5618" s="31" t="s">
        <v>69</v>
      </c>
      <c r="E5618" s="31" t="s">
        <v>52</v>
      </c>
      <c r="F5618" s="31" t="s">
        <v>129</v>
      </c>
      <c r="G5618" s="31" t="n">
        <v>28</v>
      </c>
      <c r="H5618" s="41" t="n">
        <v>6.2</v>
      </c>
      <c r="I5618" s="31" t="s">
        <v>149</v>
      </c>
      <c r="J5618" s="31" t="n">
        <v>5</v>
      </c>
      <c r="K5618" s="31" t="s">
        <v>150</v>
      </c>
      <c r="L5618" s="45" t="n">
        <f aca="false">DATE(YEAR(B5618),MONTH(B5618),1)</f>
        <v>46266</v>
      </c>
      <c r="M5618" s="31" t="n">
        <f aca="false">WEEKDAY(B5618,2)</f>
        <v>1</v>
      </c>
      <c r="N5618" s="31" t="str">
        <f aca="false">IF(G5618&lt;=INDEX(Assumptions!$B$15:$B$18,MATCH(E5618,Assumptions!$A$15:$A$18,0)),"Yes","No")</f>
        <v>Yes</v>
      </c>
      <c r="O5618" s="31" t="str">
        <f aca="false">IF(H5618="","Open",IF(H5618&lt;=INDEX(Assumptions!$C$15:$C$18,MATCH(E5618,Assumptions!$A$15:$A$18,0)),"Yes","No"))</f>
        <v>Yes</v>
      </c>
    </row>
    <row r="5619" customFormat="false" ht="15" hidden="false" customHeight="false" outlineLevel="0" collapsed="false">
      <c r="A5619" s="31" t="s">
        <v>5769</v>
      </c>
      <c r="B5619" s="44" t="n">
        <v>46279</v>
      </c>
      <c r="C5619" s="31" t="s">
        <v>60</v>
      </c>
      <c r="D5619" s="31" t="s">
        <v>67</v>
      </c>
      <c r="E5619" s="31" t="s">
        <v>52</v>
      </c>
      <c r="F5619" s="31" t="s">
        <v>133</v>
      </c>
      <c r="G5619" s="31" t="n">
        <v>6</v>
      </c>
      <c r="H5619" s="41" t="n">
        <v>15.8</v>
      </c>
      <c r="I5619" s="31" t="s">
        <v>149</v>
      </c>
      <c r="J5619" s="31" t="n">
        <v>4</v>
      </c>
      <c r="K5619" s="31" t="s">
        <v>150</v>
      </c>
      <c r="L5619" s="45" t="n">
        <f aca="false">DATE(YEAR(B5619),MONTH(B5619),1)</f>
        <v>46266</v>
      </c>
      <c r="M5619" s="31" t="n">
        <f aca="false">WEEKDAY(B5619,2)</f>
        <v>1</v>
      </c>
      <c r="N5619" s="31" t="str">
        <f aca="false">IF(G5619&lt;=INDEX(Assumptions!$B$15:$B$18,MATCH(E5619,Assumptions!$A$15:$A$18,0)),"Yes","No")</f>
        <v>Yes</v>
      </c>
      <c r="O5619" s="31" t="str">
        <f aca="false">IF(H5619="","Open",IF(H5619&lt;=INDEX(Assumptions!$C$15:$C$18,MATCH(E5619,Assumptions!$A$15:$A$18,0)),"Yes","No"))</f>
        <v>Yes</v>
      </c>
    </row>
    <row r="5620" customFormat="false" ht="15" hidden="false" customHeight="false" outlineLevel="0" collapsed="false">
      <c r="A5620" s="31" t="s">
        <v>5770</v>
      </c>
      <c r="B5620" s="44" t="n">
        <v>46279</v>
      </c>
      <c r="C5620" s="31" t="s">
        <v>60</v>
      </c>
      <c r="D5620" s="31" t="s">
        <v>65</v>
      </c>
      <c r="E5620" s="31" t="s">
        <v>51</v>
      </c>
      <c r="F5620" s="31" t="s">
        <v>124</v>
      </c>
      <c r="G5620" s="31" t="n">
        <v>4</v>
      </c>
      <c r="H5620" s="41" t="n">
        <v>17.3</v>
      </c>
      <c r="I5620" s="31" t="s">
        <v>149</v>
      </c>
      <c r="J5620" s="31" t="n">
        <v>4</v>
      </c>
      <c r="K5620" s="31" t="s">
        <v>150</v>
      </c>
      <c r="L5620" s="45" t="n">
        <f aca="false">DATE(YEAR(B5620),MONTH(B5620),1)</f>
        <v>46266</v>
      </c>
      <c r="M5620" s="31" t="n">
        <f aca="false">WEEKDAY(B5620,2)</f>
        <v>1</v>
      </c>
      <c r="N5620" s="31" t="str">
        <f aca="false">IF(G5620&lt;=INDEX(Assumptions!$B$15:$B$18,MATCH(E5620,Assumptions!$A$15:$A$18,0)),"Yes","No")</f>
        <v>Yes</v>
      </c>
      <c r="O5620" s="31" t="str">
        <f aca="false">IF(H5620="","Open",IF(H5620&lt;=INDEX(Assumptions!$C$15:$C$18,MATCH(E5620,Assumptions!$A$15:$A$18,0)),"Yes","No"))</f>
        <v>Yes</v>
      </c>
    </row>
    <row r="5621" customFormat="false" ht="15" hidden="false" customHeight="false" outlineLevel="0" collapsed="false">
      <c r="A5621" s="31" t="s">
        <v>5771</v>
      </c>
      <c r="B5621" s="44" t="n">
        <v>46279</v>
      </c>
      <c r="C5621" s="31" t="s">
        <v>58</v>
      </c>
      <c r="D5621" s="31" t="s">
        <v>68</v>
      </c>
      <c r="E5621" s="31" t="s">
        <v>51</v>
      </c>
      <c r="F5621" s="31" t="s">
        <v>121</v>
      </c>
      <c r="G5621" s="31" t="n">
        <v>10</v>
      </c>
      <c r="H5621" s="41" t="n">
        <v>8.5</v>
      </c>
      <c r="I5621" s="31" t="s">
        <v>149</v>
      </c>
      <c r="J5621" s="31"/>
      <c r="K5621" s="31" t="s">
        <v>150</v>
      </c>
      <c r="L5621" s="45" t="n">
        <f aca="false">DATE(YEAR(B5621),MONTH(B5621),1)</f>
        <v>46266</v>
      </c>
      <c r="M5621" s="31" t="n">
        <f aca="false">WEEKDAY(B5621,2)</f>
        <v>1</v>
      </c>
      <c r="N5621" s="31" t="str">
        <f aca="false">IF(G5621&lt;=INDEX(Assumptions!$B$15:$B$18,MATCH(E5621,Assumptions!$A$15:$A$18,0)),"Yes","No")</f>
        <v>Yes</v>
      </c>
      <c r="O5621" s="31" t="str">
        <f aca="false">IF(H5621="","Open",IF(H5621&lt;=INDEX(Assumptions!$C$15:$C$18,MATCH(E5621,Assumptions!$A$15:$A$18,0)),"Yes","No"))</f>
        <v>Yes</v>
      </c>
    </row>
    <row r="5622" customFormat="false" ht="15" hidden="false" customHeight="false" outlineLevel="0" collapsed="false">
      <c r="A5622" s="31" t="s">
        <v>5772</v>
      </c>
      <c r="B5622" s="44" t="n">
        <v>46279</v>
      </c>
      <c r="C5622" s="31" t="s">
        <v>57</v>
      </c>
      <c r="D5622" s="31" t="s">
        <v>65</v>
      </c>
      <c r="E5622" s="31" t="s">
        <v>51</v>
      </c>
      <c r="F5622" s="31" t="s">
        <v>136</v>
      </c>
      <c r="G5622" s="31" t="n">
        <v>3</v>
      </c>
      <c r="H5622" s="41" t="n">
        <v>9</v>
      </c>
      <c r="I5622" s="31" t="s">
        <v>149</v>
      </c>
      <c r="J5622" s="31" t="n">
        <v>5</v>
      </c>
      <c r="K5622" s="31" t="s">
        <v>150</v>
      </c>
      <c r="L5622" s="45" t="n">
        <f aca="false">DATE(YEAR(B5622),MONTH(B5622),1)</f>
        <v>46266</v>
      </c>
      <c r="M5622" s="31" t="n">
        <f aca="false">WEEKDAY(B5622,2)</f>
        <v>1</v>
      </c>
      <c r="N5622" s="31" t="str">
        <f aca="false">IF(G5622&lt;=INDEX(Assumptions!$B$15:$B$18,MATCH(E5622,Assumptions!$A$15:$A$18,0)),"Yes","No")</f>
        <v>Yes</v>
      </c>
      <c r="O5622" s="31" t="str">
        <f aca="false">IF(H5622="","Open",IF(H5622&lt;=INDEX(Assumptions!$C$15:$C$18,MATCH(E5622,Assumptions!$A$15:$A$18,0)),"Yes","No"))</f>
        <v>Yes</v>
      </c>
    </row>
    <row r="5623" customFormat="false" ht="15" hidden="false" customHeight="false" outlineLevel="0" collapsed="false">
      <c r="A5623" s="31" t="s">
        <v>5773</v>
      </c>
      <c r="B5623" s="44" t="n">
        <v>46279</v>
      </c>
      <c r="C5623" s="31" t="s">
        <v>59</v>
      </c>
      <c r="D5623" s="31" t="s">
        <v>65</v>
      </c>
      <c r="E5623" s="31" t="s">
        <v>51</v>
      </c>
      <c r="F5623" s="31" t="s">
        <v>136</v>
      </c>
      <c r="G5623" s="31" t="n">
        <v>126</v>
      </c>
      <c r="H5623" s="41" t="n">
        <v>22.2</v>
      </c>
      <c r="I5623" s="31" t="s">
        <v>149</v>
      </c>
      <c r="J5623" s="31"/>
      <c r="K5623" s="31" t="s">
        <v>150</v>
      </c>
      <c r="L5623" s="45" t="n">
        <f aca="false">DATE(YEAR(B5623),MONTH(B5623),1)</f>
        <v>46266</v>
      </c>
      <c r="M5623" s="31" t="n">
        <f aca="false">WEEKDAY(B5623,2)</f>
        <v>1</v>
      </c>
      <c r="N5623" s="31" t="str">
        <f aca="false">IF(G5623&lt;=INDEX(Assumptions!$B$15:$B$18,MATCH(E5623,Assumptions!$A$15:$A$18,0)),"Yes","No")</f>
        <v>No</v>
      </c>
      <c r="O5623" s="31" t="str">
        <f aca="false">IF(H5623="","Open",IF(H5623&lt;=INDEX(Assumptions!$C$15:$C$18,MATCH(E5623,Assumptions!$A$15:$A$18,0)),"Yes","No"))</f>
        <v>Yes</v>
      </c>
    </row>
    <row r="5624" customFormat="false" ht="15" hidden="false" customHeight="false" outlineLevel="0" collapsed="false">
      <c r="A5624" s="31" t="s">
        <v>5774</v>
      </c>
      <c r="B5624" s="44" t="n">
        <v>46279</v>
      </c>
      <c r="C5624" s="31" t="s">
        <v>58</v>
      </c>
      <c r="D5624" s="31" t="s">
        <v>69</v>
      </c>
      <c r="E5624" s="31" t="s">
        <v>50</v>
      </c>
      <c r="F5624" s="31" t="s">
        <v>117</v>
      </c>
      <c r="G5624" s="31" t="n">
        <v>7</v>
      </c>
      <c r="H5624" s="41" t="n">
        <v>2</v>
      </c>
      <c r="I5624" s="31" t="s">
        <v>149</v>
      </c>
      <c r="J5624" s="31"/>
      <c r="K5624" s="31" t="s">
        <v>150</v>
      </c>
      <c r="L5624" s="45" t="n">
        <f aca="false">DATE(YEAR(B5624),MONTH(B5624),1)</f>
        <v>46266</v>
      </c>
      <c r="M5624" s="31" t="n">
        <f aca="false">WEEKDAY(B5624,2)</f>
        <v>1</v>
      </c>
      <c r="N5624" s="31" t="str">
        <f aca="false">IF(G5624&lt;=INDEX(Assumptions!$B$15:$B$18,MATCH(E5624,Assumptions!$A$15:$A$18,0)),"Yes","No")</f>
        <v>Yes</v>
      </c>
      <c r="O5624" s="31" t="str">
        <f aca="false">IF(H5624="","Open",IF(H5624&lt;=INDEX(Assumptions!$C$15:$C$18,MATCH(E5624,Assumptions!$A$15:$A$18,0)),"Yes","No"))</f>
        <v>Yes</v>
      </c>
    </row>
    <row r="5625" customFormat="false" ht="15" hidden="false" customHeight="false" outlineLevel="0" collapsed="false">
      <c r="A5625" s="31" t="s">
        <v>5775</v>
      </c>
      <c r="B5625" s="44" t="n">
        <v>46279</v>
      </c>
      <c r="C5625" s="31" t="s">
        <v>60</v>
      </c>
      <c r="D5625" s="31" t="s">
        <v>67</v>
      </c>
      <c r="E5625" s="31" t="s">
        <v>51</v>
      </c>
      <c r="F5625" s="31" t="s">
        <v>136</v>
      </c>
      <c r="G5625" s="31" t="n">
        <v>1</v>
      </c>
      <c r="H5625" s="41" t="n">
        <v>11.7</v>
      </c>
      <c r="I5625" s="31" t="s">
        <v>149</v>
      </c>
      <c r="J5625" s="31"/>
      <c r="K5625" s="31" t="s">
        <v>150</v>
      </c>
      <c r="L5625" s="45" t="n">
        <f aca="false">DATE(YEAR(B5625),MONTH(B5625),1)</f>
        <v>46266</v>
      </c>
      <c r="M5625" s="31" t="n">
        <f aca="false">WEEKDAY(B5625,2)</f>
        <v>1</v>
      </c>
      <c r="N5625" s="31" t="str">
        <f aca="false">IF(G5625&lt;=INDEX(Assumptions!$B$15:$B$18,MATCH(E5625,Assumptions!$A$15:$A$18,0)),"Yes","No")</f>
        <v>Yes</v>
      </c>
      <c r="O5625" s="31" t="str">
        <f aca="false">IF(H5625="","Open",IF(H5625&lt;=INDEX(Assumptions!$C$15:$C$18,MATCH(E5625,Assumptions!$A$15:$A$18,0)),"Yes","No"))</f>
        <v>Yes</v>
      </c>
    </row>
    <row r="5626" customFormat="false" ht="15" hidden="false" customHeight="false" outlineLevel="0" collapsed="false">
      <c r="A5626" s="31" t="s">
        <v>5776</v>
      </c>
      <c r="B5626" s="44" t="n">
        <v>46279</v>
      </c>
      <c r="C5626" s="31" t="s">
        <v>59</v>
      </c>
      <c r="D5626" s="31" t="s">
        <v>65</v>
      </c>
      <c r="E5626" s="31" t="s">
        <v>51</v>
      </c>
      <c r="F5626" s="31" t="s">
        <v>122</v>
      </c>
      <c r="G5626" s="31" t="n">
        <v>23</v>
      </c>
      <c r="H5626" s="41" t="n">
        <v>5.9</v>
      </c>
      <c r="I5626" s="31" t="s">
        <v>149</v>
      </c>
      <c r="J5626" s="31"/>
      <c r="K5626" s="31" t="s">
        <v>150</v>
      </c>
      <c r="L5626" s="45" t="n">
        <f aca="false">DATE(YEAR(B5626),MONTH(B5626),1)</f>
        <v>46266</v>
      </c>
      <c r="M5626" s="31" t="n">
        <f aca="false">WEEKDAY(B5626,2)</f>
        <v>1</v>
      </c>
      <c r="N5626" s="31" t="str">
        <f aca="false">IF(G5626&lt;=INDEX(Assumptions!$B$15:$B$18,MATCH(E5626,Assumptions!$A$15:$A$18,0)),"Yes","No")</f>
        <v>Yes</v>
      </c>
      <c r="O5626" s="31" t="str">
        <f aca="false">IF(H5626="","Open",IF(H5626&lt;=INDEX(Assumptions!$C$15:$C$18,MATCH(E5626,Assumptions!$A$15:$A$18,0)),"Yes","No"))</f>
        <v>Yes</v>
      </c>
    </row>
    <row r="5627" customFormat="false" ht="15" hidden="false" customHeight="false" outlineLevel="0" collapsed="false">
      <c r="A5627" s="31" t="s">
        <v>5777</v>
      </c>
      <c r="B5627" s="44" t="n">
        <v>46279</v>
      </c>
      <c r="C5627" s="31" t="s">
        <v>59</v>
      </c>
      <c r="D5627" s="31" t="s">
        <v>67</v>
      </c>
      <c r="E5627" s="31" t="s">
        <v>51</v>
      </c>
      <c r="F5627" s="31" t="s">
        <v>137</v>
      </c>
      <c r="G5627" s="31" t="n">
        <v>282</v>
      </c>
      <c r="H5627" s="41" t="n">
        <v>19.4</v>
      </c>
      <c r="I5627" s="31" t="s">
        <v>64</v>
      </c>
      <c r="J5627" s="31" t="n">
        <v>3</v>
      </c>
      <c r="K5627" s="31" t="s">
        <v>150</v>
      </c>
      <c r="L5627" s="45" t="n">
        <f aca="false">DATE(YEAR(B5627),MONTH(B5627),1)</f>
        <v>46266</v>
      </c>
      <c r="M5627" s="31" t="n">
        <f aca="false">WEEKDAY(B5627,2)</f>
        <v>1</v>
      </c>
      <c r="N5627" s="31" t="str">
        <f aca="false">IF(G5627&lt;=INDEX(Assumptions!$B$15:$B$18,MATCH(E5627,Assumptions!$A$15:$A$18,0)),"Yes","No")</f>
        <v>No</v>
      </c>
      <c r="O5627" s="31" t="str">
        <f aca="false">IF(H5627="","Open",IF(H5627&lt;=INDEX(Assumptions!$C$15:$C$18,MATCH(E5627,Assumptions!$A$15:$A$18,0)),"Yes","No"))</f>
        <v>Yes</v>
      </c>
    </row>
    <row r="5628" customFormat="false" ht="15" hidden="false" customHeight="false" outlineLevel="0" collapsed="false">
      <c r="A5628" s="31" t="s">
        <v>5778</v>
      </c>
      <c r="B5628" s="44" t="n">
        <v>46279</v>
      </c>
      <c r="C5628" s="31" t="s">
        <v>58</v>
      </c>
      <c r="D5628" s="31" t="s">
        <v>65</v>
      </c>
      <c r="E5628" s="31" t="s">
        <v>51</v>
      </c>
      <c r="F5628" s="31" t="s">
        <v>131</v>
      </c>
      <c r="G5628" s="31" t="n">
        <v>5</v>
      </c>
      <c r="H5628" s="41" t="n">
        <v>8.5</v>
      </c>
      <c r="I5628" s="31" t="s">
        <v>149</v>
      </c>
      <c r="J5628" s="31"/>
      <c r="K5628" s="31" t="s">
        <v>150</v>
      </c>
      <c r="L5628" s="45" t="n">
        <f aca="false">DATE(YEAR(B5628),MONTH(B5628),1)</f>
        <v>46266</v>
      </c>
      <c r="M5628" s="31" t="n">
        <f aca="false">WEEKDAY(B5628,2)</f>
        <v>1</v>
      </c>
      <c r="N5628" s="31" t="str">
        <f aca="false">IF(G5628&lt;=INDEX(Assumptions!$B$15:$B$18,MATCH(E5628,Assumptions!$A$15:$A$18,0)),"Yes","No")</f>
        <v>Yes</v>
      </c>
      <c r="O5628" s="31" t="str">
        <f aca="false">IF(H5628="","Open",IF(H5628&lt;=INDEX(Assumptions!$C$15:$C$18,MATCH(E5628,Assumptions!$A$15:$A$18,0)),"Yes","No"))</f>
        <v>Yes</v>
      </c>
    </row>
    <row r="5629" customFormat="false" ht="15" hidden="false" customHeight="false" outlineLevel="0" collapsed="false">
      <c r="A5629" s="31" t="s">
        <v>5779</v>
      </c>
      <c r="B5629" s="44" t="n">
        <v>46279</v>
      </c>
      <c r="C5629" s="31" t="s">
        <v>57</v>
      </c>
      <c r="D5629" s="31" t="s">
        <v>66</v>
      </c>
      <c r="E5629" s="31" t="s">
        <v>51</v>
      </c>
      <c r="F5629" s="31" t="s">
        <v>135</v>
      </c>
      <c r="G5629" s="31" t="n">
        <v>14</v>
      </c>
      <c r="H5629" s="41" t="n">
        <v>14.5</v>
      </c>
      <c r="I5629" s="31" t="s">
        <v>149</v>
      </c>
      <c r="J5629" s="31"/>
      <c r="K5629" s="31" t="s">
        <v>150</v>
      </c>
      <c r="L5629" s="45" t="n">
        <f aca="false">DATE(YEAR(B5629),MONTH(B5629),1)</f>
        <v>46266</v>
      </c>
      <c r="M5629" s="31" t="n">
        <f aca="false">WEEKDAY(B5629,2)</f>
        <v>1</v>
      </c>
      <c r="N5629" s="31" t="str">
        <f aca="false">IF(G5629&lt;=INDEX(Assumptions!$B$15:$B$18,MATCH(E5629,Assumptions!$A$15:$A$18,0)),"Yes","No")</f>
        <v>Yes</v>
      </c>
      <c r="O5629" s="31" t="str">
        <f aca="false">IF(H5629="","Open",IF(H5629&lt;=INDEX(Assumptions!$C$15:$C$18,MATCH(E5629,Assumptions!$A$15:$A$18,0)),"Yes","No"))</f>
        <v>Yes</v>
      </c>
    </row>
    <row r="5630" customFormat="false" ht="15" hidden="false" customHeight="false" outlineLevel="0" collapsed="false">
      <c r="A5630" s="31" t="s">
        <v>5780</v>
      </c>
      <c r="B5630" s="44" t="n">
        <v>46279</v>
      </c>
      <c r="C5630" s="31" t="s">
        <v>59</v>
      </c>
      <c r="D5630" s="31" t="s">
        <v>67</v>
      </c>
      <c r="E5630" s="31" t="s">
        <v>51</v>
      </c>
      <c r="F5630" s="31" t="s">
        <v>123</v>
      </c>
      <c r="G5630" s="31" t="n">
        <v>97</v>
      </c>
      <c r="H5630" s="41"/>
      <c r="I5630" s="31" t="s">
        <v>158</v>
      </c>
      <c r="J5630" s="31"/>
      <c r="K5630" s="31" t="s">
        <v>150</v>
      </c>
      <c r="L5630" s="45" t="n">
        <f aca="false">DATE(YEAR(B5630),MONTH(B5630),1)</f>
        <v>46266</v>
      </c>
      <c r="M5630" s="31" t="n">
        <f aca="false">WEEKDAY(B5630,2)</f>
        <v>1</v>
      </c>
      <c r="N5630" s="31" t="str">
        <f aca="false">IF(G5630&lt;=INDEX(Assumptions!$B$15:$B$18,MATCH(E5630,Assumptions!$A$15:$A$18,0)),"Yes","No")</f>
        <v>No</v>
      </c>
      <c r="O5630" s="31" t="str">
        <f aca="false">IF(H5630="","Open",IF(H5630&lt;=INDEX(Assumptions!$C$15:$C$18,MATCH(E5630,Assumptions!$A$15:$A$18,0)),"Yes","No"))</f>
        <v>Open</v>
      </c>
    </row>
    <row r="5631" customFormat="false" ht="15" hidden="false" customHeight="false" outlineLevel="0" collapsed="false">
      <c r="A5631" s="31" t="s">
        <v>5781</v>
      </c>
      <c r="B5631" s="44" t="n">
        <v>46279</v>
      </c>
      <c r="C5631" s="31" t="s">
        <v>59</v>
      </c>
      <c r="D5631" s="31" t="s">
        <v>66</v>
      </c>
      <c r="E5631" s="31" t="s">
        <v>52</v>
      </c>
      <c r="F5631" s="31" t="s">
        <v>128</v>
      </c>
      <c r="G5631" s="31" t="n">
        <v>143</v>
      </c>
      <c r="H5631" s="41" t="n">
        <v>3.2</v>
      </c>
      <c r="I5631" s="31" t="s">
        <v>149</v>
      </c>
      <c r="J5631" s="31" t="n">
        <v>4</v>
      </c>
      <c r="K5631" s="31" t="s">
        <v>153</v>
      </c>
      <c r="L5631" s="45" t="n">
        <f aca="false">DATE(YEAR(B5631),MONTH(B5631),1)</f>
        <v>46266</v>
      </c>
      <c r="M5631" s="31" t="n">
        <f aca="false">WEEKDAY(B5631,2)</f>
        <v>1</v>
      </c>
      <c r="N5631" s="31" t="str">
        <f aca="false">IF(G5631&lt;=INDEX(Assumptions!$B$15:$B$18,MATCH(E5631,Assumptions!$A$15:$A$18,0)),"Yes","No")</f>
        <v>Yes</v>
      </c>
      <c r="O5631" s="31" t="str">
        <f aca="false">IF(H5631="","Open",IF(H5631&lt;=INDEX(Assumptions!$C$15:$C$18,MATCH(E5631,Assumptions!$A$15:$A$18,0)),"Yes","No"))</f>
        <v>Yes</v>
      </c>
    </row>
    <row r="5632" customFormat="false" ht="15" hidden="false" customHeight="false" outlineLevel="0" collapsed="false">
      <c r="A5632" s="31" t="s">
        <v>5782</v>
      </c>
      <c r="B5632" s="44" t="n">
        <v>46280</v>
      </c>
      <c r="C5632" s="31" t="s">
        <v>59</v>
      </c>
      <c r="D5632" s="31" t="s">
        <v>67</v>
      </c>
      <c r="E5632" s="31" t="s">
        <v>50</v>
      </c>
      <c r="F5632" s="31" t="s">
        <v>121</v>
      </c>
      <c r="G5632" s="31" t="n">
        <v>183</v>
      </c>
      <c r="H5632" s="41" t="n">
        <v>13.5</v>
      </c>
      <c r="I5632" s="31" t="s">
        <v>149</v>
      </c>
      <c r="J5632" s="31" t="n">
        <v>2</v>
      </c>
      <c r="K5632" s="31" t="s">
        <v>150</v>
      </c>
      <c r="L5632" s="45" t="n">
        <f aca="false">DATE(YEAR(B5632),MONTH(B5632),1)</f>
        <v>46266</v>
      </c>
      <c r="M5632" s="31" t="n">
        <f aca="false">WEEKDAY(B5632,2)</f>
        <v>2</v>
      </c>
      <c r="N5632" s="31" t="str">
        <f aca="false">IF(G5632&lt;=INDEX(Assumptions!$B$15:$B$18,MATCH(E5632,Assumptions!$A$15:$A$18,0)),"Yes","No")</f>
        <v>No</v>
      </c>
      <c r="O5632" s="31" t="str">
        <f aca="false">IF(H5632="","Open",IF(H5632&lt;=INDEX(Assumptions!$C$15:$C$18,MATCH(E5632,Assumptions!$A$15:$A$18,0)),"Yes","No"))</f>
        <v>No</v>
      </c>
    </row>
    <row r="5633" customFormat="false" ht="15" hidden="false" customHeight="false" outlineLevel="0" collapsed="false">
      <c r="A5633" s="31" t="s">
        <v>5783</v>
      </c>
      <c r="B5633" s="44" t="n">
        <v>46280</v>
      </c>
      <c r="C5633" s="31" t="s">
        <v>58</v>
      </c>
      <c r="D5633" s="31" t="s">
        <v>67</v>
      </c>
      <c r="E5633" s="31" t="s">
        <v>51</v>
      </c>
      <c r="F5633" s="31" t="s">
        <v>122</v>
      </c>
      <c r="G5633" s="31" t="n">
        <v>18</v>
      </c>
      <c r="H5633" s="41" t="n">
        <v>54.7</v>
      </c>
      <c r="I5633" s="31" t="s">
        <v>149</v>
      </c>
      <c r="J5633" s="31" t="n">
        <v>5</v>
      </c>
      <c r="K5633" s="31" t="s">
        <v>150</v>
      </c>
      <c r="L5633" s="45" t="n">
        <f aca="false">DATE(YEAR(B5633),MONTH(B5633),1)</f>
        <v>46266</v>
      </c>
      <c r="M5633" s="31" t="n">
        <f aca="false">WEEKDAY(B5633,2)</f>
        <v>2</v>
      </c>
      <c r="N5633" s="31" t="str">
        <f aca="false">IF(G5633&lt;=INDEX(Assumptions!$B$15:$B$18,MATCH(E5633,Assumptions!$A$15:$A$18,0)),"Yes","No")</f>
        <v>Yes</v>
      </c>
      <c r="O5633" s="31" t="str">
        <f aca="false">IF(H5633="","Open",IF(H5633&lt;=INDEX(Assumptions!$C$15:$C$18,MATCH(E5633,Assumptions!$A$15:$A$18,0)),"Yes","No"))</f>
        <v>No</v>
      </c>
    </row>
    <row r="5634" customFormat="false" ht="15" hidden="false" customHeight="false" outlineLevel="0" collapsed="false">
      <c r="A5634" s="31" t="s">
        <v>5784</v>
      </c>
      <c r="B5634" s="44" t="n">
        <v>46280</v>
      </c>
      <c r="C5634" s="31" t="s">
        <v>59</v>
      </c>
      <c r="D5634" s="31" t="s">
        <v>66</v>
      </c>
      <c r="E5634" s="31" t="s">
        <v>49</v>
      </c>
      <c r="F5634" s="31" t="s">
        <v>131</v>
      </c>
      <c r="G5634" s="31" t="n">
        <v>9</v>
      </c>
      <c r="H5634" s="41" t="n">
        <v>1.9</v>
      </c>
      <c r="I5634" s="31" t="s">
        <v>149</v>
      </c>
      <c r="J5634" s="31" t="n">
        <v>5</v>
      </c>
      <c r="K5634" s="31" t="s">
        <v>150</v>
      </c>
      <c r="L5634" s="45" t="n">
        <f aca="false">DATE(YEAR(B5634),MONTH(B5634),1)</f>
        <v>46266</v>
      </c>
      <c r="M5634" s="31" t="n">
        <f aca="false">WEEKDAY(B5634,2)</f>
        <v>2</v>
      </c>
      <c r="N5634" s="31" t="str">
        <f aca="false">IF(G5634&lt;=INDEX(Assumptions!$B$15:$B$18,MATCH(E5634,Assumptions!$A$15:$A$18,0)),"Yes","No")</f>
        <v>Yes</v>
      </c>
      <c r="O5634" s="31" t="str">
        <f aca="false">IF(H5634="","Open",IF(H5634&lt;=INDEX(Assumptions!$C$15:$C$18,MATCH(E5634,Assumptions!$A$15:$A$18,0)),"Yes","No"))</f>
        <v>Yes</v>
      </c>
    </row>
    <row r="5635" customFormat="false" ht="15" hidden="false" customHeight="false" outlineLevel="0" collapsed="false">
      <c r="A5635" s="31" t="s">
        <v>5785</v>
      </c>
      <c r="B5635" s="44" t="n">
        <v>46280</v>
      </c>
      <c r="C5635" s="31" t="s">
        <v>60</v>
      </c>
      <c r="D5635" s="31" t="s">
        <v>66</v>
      </c>
      <c r="E5635" s="31" t="s">
        <v>51</v>
      </c>
      <c r="F5635" s="31" t="s">
        <v>128</v>
      </c>
      <c r="G5635" s="31" t="n">
        <v>4</v>
      </c>
      <c r="H5635" s="41" t="n">
        <v>2.1</v>
      </c>
      <c r="I5635" s="31" t="s">
        <v>149</v>
      </c>
      <c r="J5635" s="31" t="n">
        <v>3</v>
      </c>
      <c r="K5635" s="31" t="s">
        <v>150</v>
      </c>
      <c r="L5635" s="45" t="n">
        <f aca="false">DATE(YEAR(B5635),MONTH(B5635),1)</f>
        <v>46266</v>
      </c>
      <c r="M5635" s="31" t="n">
        <f aca="false">WEEKDAY(B5635,2)</f>
        <v>2</v>
      </c>
      <c r="N5635" s="31" t="str">
        <f aca="false">IF(G5635&lt;=INDEX(Assumptions!$B$15:$B$18,MATCH(E5635,Assumptions!$A$15:$A$18,0)),"Yes","No")</f>
        <v>Yes</v>
      </c>
      <c r="O5635" s="31" t="str">
        <f aca="false">IF(H5635="","Open",IF(H5635&lt;=INDEX(Assumptions!$C$15:$C$18,MATCH(E5635,Assumptions!$A$15:$A$18,0)),"Yes","No"))</f>
        <v>Yes</v>
      </c>
    </row>
    <row r="5636" customFormat="false" ht="15" hidden="false" customHeight="false" outlineLevel="0" collapsed="false">
      <c r="A5636" s="31" t="s">
        <v>5786</v>
      </c>
      <c r="B5636" s="44" t="n">
        <v>46280</v>
      </c>
      <c r="C5636" s="31" t="s">
        <v>58</v>
      </c>
      <c r="D5636" s="31" t="s">
        <v>66</v>
      </c>
      <c r="E5636" s="31" t="s">
        <v>51</v>
      </c>
      <c r="F5636" s="31" t="s">
        <v>128</v>
      </c>
      <c r="G5636" s="31" t="n">
        <v>17</v>
      </c>
      <c r="H5636" s="41" t="n">
        <v>5.4</v>
      </c>
      <c r="I5636" s="31" t="s">
        <v>149</v>
      </c>
      <c r="J5636" s="31" t="n">
        <v>4</v>
      </c>
      <c r="K5636" s="31" t="s">
        <v>150</v>
      </c>
      <c r="L5636" s="45" t="n">
        <f aca="false">DATE(YEAR(B5636),MONTH(B5636),1)</f>
        <v>46266</v>
      </c>
      <c r="M5636" s="31" t="n">
        <f aca="false">WEEKDAY(B5636,2)</f>
        <v>2</v>
      </c>
      <c r="N5636" s="31" t="str">
        <f aca="false">IF(G5636&lt;=INDEX(Assumptions!$B$15:$B$18,MATCH(E5636,Assumptions!$A$15:$A$18,0)),"Yes","No")</f>
        <v>Yes</v>
      </c>
      <c r="O5636" s="31" t="str">
        <f aca="false">IF(H5636="","Open",IF(H5636&lt;=INDEX(Assumptions!$C$15:$C$18,MATCH(E5636,Assumptions!$A$15:$A$18,0)),"Yes","No"))</f>
        <v>Yes</v>
      </c>
    </row>
    <row r="5637" customFormat="false" ht="15" hidden="false" customHeight="false" outlineLevel="0" collapsed="false">
      <c r="A5637" s="31" t="s">
        <v>5787</v>
      </c>
      <c r="B5637" s="44" t="n">
        <v>46280</v>
      </c>
      <c r="C5637" s="31" t="s">
        <v>57</v>
      </c>
      <c r="D5637" s="31" t="s">
        <v>66</v>
      </c>
      <c r="E5637" s="31" t="s">
        <v>52</v>
      </c>
      <c r="F5637" s="31" t="s">
        <v>117</v>
      </c>
      <c r="G5637" s="31" t="n">
        <v>6</v>
      </c>
      <c r="H5637" s="41" t="n">
        <v>8.2</v>
      </c>
      <c r="I5637" s="31" t="s">
        <v>149</v>
      </c>
      <c r="J5637" s="31"/>
      <c r="K5637" s="31" t="s">
        <v>150</v>
      </c>
      <c r="L5637" s="45" t="n">
        <f aca="false">DATE(YEAR(B5637),MONTH(B5637),1)</f>
        <v>46266</v>
      </c>
      <c r="M5637" s="31" t="n">
        <f aca="false">WEEKDAY(B5637,2)</f>
        <v>2</v>
      </c>
      <c r="N5637" s="31" t="str">
        <f aca="false">IF(G5637&lt;=INDEX(Assumptions!$B$15:$B$18,MATCH(E5637,Assumptions!$A$15:$A$18,0)),"Yes","No")</f>
        <v>Yes</v>
      </c>
      <c r="O5637" s="31" t="str">
        <f aca="false">IF(H5637="","Open",IF(H5637&lt;=INDEX(Assumptions!$C$15:$C$18,MATCH(E5637,Assumptions!$A$15:$A$18,0)),"Yes","No"))</f>
        <v>Yes</v>
      </c>
    </row>
    <row r="5638" customFormat="false" ht="15" hidden="false" customHeight="false" outlineLevel="0" collapsed="false">
      <c r="A5638" s="31" t="s">
        <v>5788</v>
      </c>
      <c r="B5638" s="44" t="n">
        <v>46280</v>
      </c>
      <c r="C5638" s="31" t="s">
        <v>60</v>
      </c>
      <c r="D5638" s="31" t="s">
        <v>68</v>
      </c>
      <c r="E5638" s="31" t="s">
        <v>52</v>
      </c>
      <c r="F5638" s="31" t="s">
        <v>136</v>
      </c>
      <c r="G5638" s="31" t="n">
        <v>4</v>
      </c>
      <c r="H5638" s="41" t="n">
        <v>5.6</v>
      </c>
      <c r="I5638" s="31" t="s">
        <v>149</v>
      </c>
      <c r="J5638" s="31"/>
      <c r="K5638" s="31" t="s">
        <v>150</v>
      </c>
      <c r="L5638" s="45" t="n">
        <f aca="false">DATE(YEAR(B5638),MONTH(B5638),1)</f>
        <v>46266</v>
      </c>
      <c r="M5638" s="31" t="n">
        <f aca="false">WEEKDAY(B5638,2)</f>
        <v>2</v>
      </c>
      <c r="N5638" s="31" t="str">
        <f aca="false">IF(G5638&lt;=INDEX(Assumptions!$B$15:$B$18,MATCH(E5638,Assumptions!$A$15:$A$18,0)),"Yes","No")</f>
        <v>Yes</v>
      </c>
      <c r="O5638" s="31" t="str">
        <f aca="false">IF(H5638="","Open",IF(H5638&lt;=INDEX(Assumptions!$C$15:$C$18,MATCH(E5638,Assumptions!$A$15:$A$18,0)),"Yes","No"))</f>
        <v>Yes</v>
      </c>
    </row>
    <row r="5639" customFormat="false" ht="15" hidden="false" customHeight="false" outlineLevel="0" collapsed="false">
      <c r="A5639" s="31" t="s">
        <v>5789</v>
      </c>
      <c r="B5639" s="44" t="n">
        <v>46280</v>
      </c>
      <c r="C5639" s="31" t="s">
        <v>57</v>
      </c>
      <c r="D5639" s="31" t="s">
        <v>65</v>
      </c>
      <c r="E5639" s="31" t="s">
        <v>51</v>
      </c>
      <c r="F5639" s="31" t="s">
        <v>117</v>
      </c>
      <c r="G5639" s="31" t="n">
        <v>1</v>
      </c>
      <c r="H5639" s="41" t="n">
        <v>7</v>
      </c>
      <c r="I5639" s="31" t="s">
        <v>149</v>
      </c>
      <c r="J5639" s="31"/>
      <c r="K5639" s="31" t="s">
        <v>150</v>
      </c>
      <c r="L5639" s="45" t="n">
        <f aca="false">DATE(YEAR(B5639),MONTH(B5639),1)</f>
        <v>46266</v>
      </c>
      <c r="M5639" s="31" t="n">
        <f aca="false">WEEKDAY(B5639,2)</f>
        <v>2</v>
      </c>
      <c r="N5639" s="31" t="str">
        <f aca="false">IF(G5639&lt;=INDEX(Assumptions!$B$15:$B$18,MATCH(E5639,Assumptions!$A$15:$A$18,0)),"Yes","No")</f>
        <v>Yes</v>
      </c>
      <c r="O5639" s="31" t="str">
        <f aca="false">IF(H5639="","Open",IF(H5639&lt;=INDEX(Assumptions!$C$15:$C$18,MATCH(E5639,Assumptions!$A$15:$A$18,0)),"Yes","No"))</f>
        <v>Yes</v>
      </c>
    </row>
    <row r="5640" customFormat="false" ht="15" hidden="false" customHeight="false" outlineLevel="0" collapsed="false">
      <c r="A5640" s="31" t="s">
        <v>5790</v>
      </c>
      <c r="B5640" s="44" t="n">
        <v>46280</v>
      </c>
      <c r="C5640" s="31" t="s">
        <v>57</v>
      </c>
      <c r="D5640" s="31" t="s">
        <v>69</v>
      </c>
      <c r="E5640" s="31" t="s">
        <v>51</v>
      </c>
      <c r="F5640" s="31" t="s">
        <v>127</v>
      </c>
      <c r="G5640" s="31" t="n">
        <v>9</v>
      </c>
      <c r="H5640" s="41" t="n">
        <v>16.2</v>
      </c>
      <c r="I5640" s="31" t="s">
        <v>149</v>
      </c>
      <c r="J5640" s="31"/>
      <c r="K5640" s="31" t="s">
        <v>150</v>
      </c>
      <c r="L5640" s="45" t="n">
        <f aca="false">DATE(YEAR(B5640),MONTH(B5640),1)</f>
        <v>46266</v>
      </c>
      <c r="M5640" s="31" t="n">
        <f aca="false">WEEKDAY(B5640,2)</f>
        <v>2</v>
      </c>
      <c r="N5640" s="31" t="str">
        <f aca="false">IF(G5640&lt;=INDEX(Assumptions!$B$15:$B$18,MATCH(E5640,Assumptions!$A$15:$A$18,0)),"Yes","No")</f>
        <v>Yes</v>
      </c>
      <c r="O5640" s="31" t="str">
        <f aca="false">IF(H5640="","Open",IF(H5640&lt;=INDEX(Assumptions!$C$15:$C$18,MATCH(E5640,Assumptions!$A$15:$A$18,0)),"Yes","No"))</f>
        <v>Yes</v>
      </c>
    </row>
    <row r="5641" customFormat="false" ht="15" hidden="false" customHeight="false" outlineLevel="0" collapsed="false">
      <c r="A5641" s="31" t="s">
        <v>5791</v>
      </c>
      <c r="B5641" s="44" t="n">
        <v>46280</v>
      </c>
      <c r="C5641" s="31" t="s">
        <v>58</v>
      </c>
      <c r="D5641" s="31" t="s">
        <v>69</v>
      </c>
      <c r="E5641" s="31" t="s">
        <v>52</v>
      </c>
      <c r="F5641" s="31" t="s">
        <v>117</v>
      </c>
      <c r="G5641" s="31" t="n">
        <v>3</v>
      </c>
      <c r="H5641" s="41" t="n">
        <v>13.5</v>
      </c>
      <c r="I5641" s="31" t="s">
        <v>149</v>
      </c>
      <c r="J5641" s="31"/>
      <c r="K5641" s="31" t="s">
        <v>150</v>
      </c>
      <c r="L5641" s="45" t="n">
        <f aca="false">DATE(YEAR(B5641),MONTH(B5641),1)</f>
        <v>46266</v>
      </c>
      <c r="M5641" s="31" t="n">
        <f aca="false">WEEKDAY(B5641,2)</f>
        <v>2</v>
      </c>
      <c r="N5641" s="31" t="str">
        <f aca="false">IF(G5641&lt;=INDEX(Assumptions!$B$15:$B$18,MATCH(E5641,Assumptions!$A$15:$A$18,0)),"Yes","No")</f>
        <v>Yes</v>
      </c>
      <c r="O5641" s="31" t="str">
        <f aca="false">IF(H5641="","Open",IF(H5641&lt;=INDEX(Assumptions!$C$15:$C$18,MATCH(E5641,Assumptions!$A$15:$A$18,0)),"Yes","No"))</f>
        <v>Yes</v>
      </c>
    </row>
    <row r="5642" customFormat="false" ht="15" hidden="false" customHeight="false" outlineLevel="0" collapsed="false">
      <c r="A5642" s="31" t="s">
        <v>5792</v>
      </c>
      <c r="B5642" s="44" t="n">
        <v>46280</v>
      </c>
      <c r="C5642" s="31" t="s">
        <v>57</v>
      </c>
      <c r="D5642" s="31" t="s">
        <v>69</v>
      </c>
      <c r="E5642" s="31" t="s">
        <v>51</v>
      </c>
      <c r="F5642" s="31" t="s">
        <v>122</v>
      </c>
      <c r="G5642" s="31" t="n">
        <v>6</v>
      </c>
      <c r="H5642" s="41" t="n">
        <v>112.6</v>
      </c>
      <c r="I5642" s="31" t="s">
        <v>64</v>
      </c>
      <c r="J5642" s="31" t="n">
        <v>3</v>
      </c>
      <c r="K5642" s="31" t="s">
        <v>150</v>
      </c>
      <c r="L5642" s="45" t="n">
        <f aca="false">DATE(YEAR(B5642),MONTH(B5642),1)</f>
        <v>46266</v>
      </c>
      <c r="M5642" s="31" t="n">
        <f aca="false">WEEKDAY(B5642,2)</f>
        <v>2</v>
      </c>
      <c r="N5642" s="31" t="str">
        <f aca="false">IF(G5642&lt;=INDEX(Assumptions!$B$15:$B$18,MATCH(E5642,Assumptions!$A$15:$A$18,0)),"Yes","No")</f>
        <v>Yes</v>
      </c>
      <c r="O5642" s="31" t="str">
        <f aca="false">IF(H5642="","Open",IF(H5642&lt;=INDEX(Assumptions!$C$15:$C$18,MATCH(E5642,Assumptions!$A$15:$A$18,0)),"Yes","No"))</f>
        <v>No</v>
      </c>
    </row>
    <row r="5643" customFormat="false" ht="15" hidden="false" customHeight="false" outlineLevel="0" collapsed="false">
      <c r="A5643" s="31" t="s">
        <v>5793</v>
      </c>
      <c r="B5643" s="44" t="n">
        <v>46280</v>
      </c>
      <c r="C5643" s="31" t="s">
        <v>60</v>
      </c>
      <c r="D5643" s="31" t="s">
        <v>67</v>
      </c>
      <c r="E5643" s="31" t="s">
        <v>50</v>
      </c>
      <c r="F5643" s="31" t="s">
        <v>130</v>
      </c>
      <c r="G5643" s="31" t="n">
        <v>1</v>
      </c>
      <c r="H5643" s="41" t="n">
        <v>3.9</v>
      </c>
      <c r="I5643" s="31" t="s">
        <v>149</v>
      </c>
      <c r="J5643" s="31" t="n">
        <v>5</v>
      </c>
      <c r="K5643" s="31" t="s">
        <v>150</v>
      </c>
      <c r="L5643" s="45" t="n">
        <f aca="false">DATE(YEAR(B5643),MONTH(B5643),1)</f>
        <v>46266</v>
      </c>
      <c r="M5643" s="31" t="n">
        <f aca="false">WEEKDAY(B5643,2)</f>
        <v>2</v>
      </c>
      <c r="N5643" s="31" t="str">
        <f aca="false">IF(G5643&lt;=INDEX(Assumptions!$B$15:$B$18,MATCH(E5643,Assumptions!$A$15:$A$18,0)),"Yes","No")</f>
        <v>Yes</v>
      </c>
      <c r="O5643" s="31" t="str">
        <f aca="false">IF(H5643="","Open",IF(H5643&lt;=INDEX(Assumptions!$C$15:$C$18,MATCH(E5643,Assumptions!$A$15:$A$18,0)),"Yes","No"))</f>
        <v>Yes</v>
      </c>
    </row>
    <row r="5644" customFormat="false" ht="15" hidden="false" customHeight="false" outlineLevel="0" collapsed="false">
      <c r="A5644" s="31" t="s">
        <v>5794</v>
      </c>
      <c r="B5644" s="44" t="n">
        <v>46280</v>
      </c>
      <c r="C5644" s="31" t="s">
        <v>59</v>
      </c>
      <c r="D5644" s="31" t="s">
        <v>68</v>
      </c>
      <c r="E5644" s="31" t="s">
        <v>52</v>
      </c>
      <c r="F5644" s="31" t="s">
        <v>137</v>
      </c>
      <c r="G5644" s="31" t="n">
        <v>76</v>
      </c>
      <c r="H5644" s="41" t="n">
        <v>7.5</v>
      </c>
      <c r="I5644" s="31" t="s">
        <v>64</v>
      </c>
      <c r="J5644" s="31"/>
      <c r="K5644" s="31" t="s">
        <v>150</v>
      </c>
      <c r="L5644" s="45" t="n">
        <f aca="false">DATE(YEAR(B5644),MONTH(B5644),1)</f>
        <v>46266</v>
      </c>
      <c r="M5644" s="31" t="n">
        <f aca="false">WEEKDAY(B5644,2)</f>
        <v>2</v>
      </c>
      <c r="N5644" s="31" t="str">
        <f aca="false">IF(G5644&lt;=INDEX(Assumptions!$B$15:$B$18,MATCH(E5644,Assumptions!$A$15:$A$18,0)),"Yes","No")</f>
        <v>Yes</v>
      </c>
      <c r="O5644" s="31" t="str">
        <f aca="false">IF(H5644="","Open",IF(H5644&lt;=INDEX(Assumptions!$C$15:$C$18,MATCH(E5644,Assumptions!$A$15:$A$18,0)),"Yes","No"))</f>
        <v>Yes</v>
      </c>
    </row>
    <row r="5645" customFormat="false" ht="15" hidden="false" customHeight="false" outlineLevel="0" collapsed="false">
      <c r="A5645" s="31" t="s">
        <v>5795</v>
      </c>
      <c r="B5645" s="44" t="n">
        <v>46280</v>
      </c>
      <c r="C5645" s="31" t="s">
        <v>59</v>
      </c>
      <c r="D5645" s="31" t="s">
        <v>66</v>
      </c>
      <c r="E5645" s="31" t="s">
        <v>49</v>
      </c>
      <c r="F5645" s="31" t="s">
        <v>117</v>
      </c>
      <c r="G5645" s="31" t="n">
        <v>84</v>
      </c>
      <c r="H5645" s="41" t="n">
        <v>0.6</v>
      </c>
      <c r="I5645" s="31" t="s">
        <v>149</v>
      </c>
      <c r="J5645" s="31" t="n">
        <v>5</v>
      </c>
      <c r="K5645" s="31" t="s">
        <v>150</v>
      </c>
      <c r="L5645" s="45" t="n">
        <f aca="false">DATE(YEAR(B5645),MONTH(B5645),1)</f>
        <v>46266</v>
      </c>
      <c r="M5645" s="31" t="n">
        <f aca="false">WEEKDAY(B5645,2)</f>
        <v>2</v>
      </c>
      <c r="N5645" s="31" t="str">
        <f aca="false">IF(G5645&lt;=INDEX(Assumptions!$B$15:$B$18,MATCH(E5645,Assumptions!$A$15:$A$18,0)),"Yes","No")</f>
        <v>No</v>
      </c>
      <c r="O5645" s="31" t="str">
        <f aca="false">IF(H5645="","Open",IF(H5645&lt;=INDEX(Assumptions!$C$15:$C$18,MATCH(E5645,Assumptions!$A$15:$A$18,0)),"Yes","No"))</f>
        <v>Yes</v>
      </c>
    </row>
    <row r="5646" customFormat="false" ht="15" hidden="false" customHeight="false" outlineLevel="0" collapsed="false">
      <c r="A5646" s="31" t="s">
        <v>5796</v>
      </c>
      <c r="B5646" s="44" t="n">
        <v>46280</v>
      </c>
      <c r="C5646" s="31" t="s">
        <v>57</v>
      </c>
      <c r="D5646" s="31" t="s">
        <v>65</v>
      </c>
      <c r="E5646" s="31" t="s">
        <v>51</v>
      </c>
      <c r="F5646" s="31" t="s">
        <v>122</v>
      </c>
      <c r="G5646" s="31" t="n">
        <v>2</v>
      </c>
      <c r="H5646" s="41" t="n">
        <v>5.1</v>
      </c>
      <c r="I5646" s="31" t="s">
        <v>149</v>
      </c>
      <c r="J5646" s="31" t="n">
        <v>4</v>
      </c>
      <c r="K5646" s="31" t="s">
        <v>150</v>
      </c>
      <c r="L5646" s="45" t="n">
        <f aca="false">DATE(YEAR(B5646),MONTH(B5646),1)</f>
        <v>46266</v>
      </c>
      <c r="M5646" s="31" t="n">
        <f aca="false">WEEKDAY(B5646,2)</f>
        <v>2</v>
      </c>
      <c r="N5646" s="31" t="str">
        <f aca="false">IF(G5646&lt;=INDEX(Assumptions!$B$15:$B$18,MATCH(E5646,Assumptions!$A$15:$A$18,0)),"Yes","No")</f>
        <v>Yes</v>
      </c>
      <c r="O5646" s="31" t="str">
        <f aca="false">IF(H5646="","Open",IF(H5646&lt;=INDEX(Assumptions!$C$15:$C$18,MATCH(E5646,Assumptions!$A$15:$A$18,0)),"Yes","No"))</f>
        <v>Yes</v>
      </c>
    </row>
    <row r="5647" customFormat="false" ht="15" hidden="false" customHeight="false" outlineLevel="0" collapsed="false">
      <c r="A5647" s="31" t="s">
        <v>5797</v>
      </c>
      <c r="B5647" s="44" t="n">
        <v>46280</v>
      </c>
      <c r="C5647" s="31" t="s">
        <v>60</v>
      </c>
      <c r="D5647" s="31" t="s">
        <v>65</v>
      </c>
      <c r="E5647" s="31" t="s">
        <v>49</v>
      </c>
      <c r="F5647" s="31" t="s">
        <v>123</v>
      </c>
      <c r="G5647" s="31" t="n">
        <v>2</v>
      </c>
      <c r="H5647" s="41" t="n">
        <v>7.3</v>
      </c>
      <c r="I5647" s="31" t="s">
        <v>149</v>
      </c>
      <c r="J5647" s="31" t="n">
        <v>4</v>
      </c>
      <c r="K5647" s="31" t="s">
        <v>150</v>
      </c>
      <c r="L5647" s="45" t="n">
        <f aca="false">DATE(YEAR(B5647),MONTH(B5647),1)</f>
        <v>46266</v>
      </c>
      <c r="M5647" s="31" t="n">
        <f aca="false">WEEKDAY(B5647,2)</f>
        <v>2</v>
      </c>
      <c r="N5647" s="31" t="str">
        <f aca="false">IF(G5647&lt;=INDEX(Assumptions!$B$15:$B$18,MATCH(E5647,Assumptions!$A$15:$A$18,0)),"Yes","No")</f>
        <v>Yes</v>
      </c>
      <c r="O5647" s="31" t="str">
        <f aca="false">IF(H5647="","Open",IF(H5647&lt;=INDEX(Assumptions!$C$15:$C$18,MATCH(E5647,Assumptions!$A$15:$A$18,0)),"Yes","No"))</f>
        <v>No</v>
      </c>
    </row>
    <row r="5648" customFormat="false" ht="15" hidden="false" customHeight="false" outlineLevel="0" collapsed="false">
      <c r="A5648" s="31" t="s">
        <v>5798</v>
      </c>
      <c r="B5648" s="44" t="n">
        <v>46280</v>
      </c>
      <c r="C5648" s="31" t="s">
        <v>58</v>
      </c>
      <c r="D5648" s="31" t="s">
        <v>69</v>
      </c>
      <c r="E5648" s="31" t="s">
        <v>51</v>
      </c>
      <c r="F5648" s="31" t="s">
        <v>130</v>
      </c>
      <c r="G5648" s="31" t="n">
        <v>11</v>
      </c>
      <c r="H5648" s="41" t="n">
        <v>165.2</v>
      </c>
      <c r="I5648" s="31" t="s">
        <v>64</v>
      </c>
      <c r="J5648" s="31"/>
      <c r="K5648" s="31" t="s">
        <v>150</v>
      </c>
      <c r="L5648" s="45" t="n">
        <f aca="false">DATE(YEAR(B5648),MONTH(B5648),1)</f>
        <v>46266</v>
      </c>
      <c r="M5648" s="31" t="n">
        <f aca="false">WEEKDAY(B5648,2)</f>
        <v>2</v>
      </c>
      <c r="N5648" s="31" t="str">
        <f aca="false">IF(G5648&lt;=INDEX(Assumptions!$B$15:$B$18,MATCH(E5648,Assumptions!$A$15:$A$18,0)),"Yes","No")</f>
        <v>Yes</v>
      </c>
      <c r="O5648" s="31" t="str">
        <f aca="false">IF(H5648="","Open",IF(H5648&lt;=INDEX(Assumptions!$C$15:$C$18,MATCH(E5648,Assumptions!$A$15:$A$18,0)),"Yes","No"))</f>
        <v>No</v>
      </c>
    </row>
    <row r="5649" customFormat="false" ht="15" hidden="false" customHeight="false" outlineLevel="0" collapsed="false">
      <c r="A5649" s="31" t="s">
        <v>5799</v>
      </c>
      <c r="B5649" s="44" t="n">
        <v>46280</v>
      </c>
      <c r="C5649" s="31" t="s">
        <v>59</v>
      </c>
      <c r="D5649" s="31" t="s">
        <v>69</v>
      </c>
      <c r="E5649" s="31" t="s">
        <v>52</v>
      </c>
      <c r="F5649" s="31" t="s">
        <v>136</v>
      </c>
      <c r="G5649" s="31" t="n">
        <v>29</v>
      </c>
      <c r="H5649" s="41" t="n">
        <v>27.4</v>
      </c>
      <c r="I5649" s="31" t="s">
        <v>149</v>
      </c>
      <c r="J5649" s="31"/>
      <c r="K5649" s="31" t="s">
        <v>150</v>
      </c>
      <c r="L5649" s="45" t="n">
        <f aca="false">DATE(YEAR(B5649),MONTH(B5649),1)</f>
        <v>46266</v>
      </c>
      <c r="M5649" s="31" t="n">
        <f aca="false">WEEKDAY(B5649,2)</f>
        <v>2</v>
      </c>
      <c r="N5649" s="31" t="str">
        <f aca="false">IF(G5649&lt;=INDEX(Assumptions!$B$15:$B$18,MATCH(E5649,Assumptions!$A$15:$A$18,0)),"Yes","No")</f>
        <v>Yes</v>
      </c>
      <c r="O5649" s="31" t="str">
        <f aca="false">IF(H5649="","Open",IF(H5649&lt;=INDEX(Assumptions!$C$15:$C$18,MATCH(E5649,Assumptions!$A$15:$A$18,0)),"Yes","No"))</f>
        <v>Yes</v>
      </c>
    </row>
    <row r="5650" customFormat="false" ht="15" hidden="false" customHeight="false" outlineLevel="0" collapsed="false">
      <c r="A5650" s="31" t="s">
        <v>5800</v>
      </c>
      <c r="B5650" s="44" t="n">
        <v>46280</v>
      </c>
      <c r="C5650" s="31" t="s">
        <v>58</v>
      </c>
      <c r="D5650" s="31" t="s">
        <v>68</v>
      </c>
      <c r="E5650" s="31" t="s">
        <v>51</v>
      </c>
      <c r="F5650" s="31" t="s">
        <v>123</v>
      </c>
      <c r="G5650" s="31" t="n">
        <v>8</v>
      </c>
      <c r="H5650" s="41" t="n">
        <v>4</v>
      </c>
      <c r="I5650" s="31" t="s">
        <v>149</v>
      </c>
      <c r="J5650" s="31" t="n">
        <v>4</v>
      </c>
      <c r="K5650" s="31" t="s">
        <v>150</v>
      </c>
      <c r="L5650" s="45" t="n">
        <f aca="false">DATE(YEAR(B5650),MONTH(B5650),1)</f>
        <v>46266</v>
      </c>
      <c r="M5650" s="31" t="n">
        <f aca="false">WEEKDAY(B5650,2)</f>
        <v>2</v>
      </c>
      <c r="N5650" s="31" t="str">
        <f aca="false">IF(G5650&lt;=INDEX(Assumptions!$B$15:$B$18,MATCH(E5650,Assumptions!$A$15:$A$18,0)),"Yes","No")</f>
        <v>Yes</v>
      </c>
      <c r="O5650" s="31" t="str">
        <f aca="false">IF(H5650="","Open",IF(H5650&lt;=INDEX(Assumptions!$C$15:$C$18,MATCH(E5650,Assumptions!$A$15:$A$18,0)),"Yes","No"))</f>
        <v>Yes</v>
      </c>
    </row>
    <row r="5651" customFormat="false" ht="15" hidden="false" customHeight="false" outlineLevel="0" collapsed="false">
      <c r="A5651" s="31" t="s">
        <v>5801</v>
      </c>
      <c r="B5651" s="44" t="n">
        <v>46280</v>
      </c>
      <c r="C5651" s="31" t="s">
        <v>57</v>
      </c>
      <c r="D5651" s="31" t="s">
        <v>66</v>
      </c>
      <c r="E5651" s="31" t="s">
        <v>51</v>
      </c>
      <c r="F5651" s="31" t="s">
        <v>122</v>
      </c>
      <c r="G5651" s="31" t="n">
        <v>3</v>
      </c>
      <c r="H5651" s="41" t="n">
        <v>1.7</v>
      </c>
      <c r="I5651" s="31" t="s">
        <v>149</v>
      </c>
      <c r="J5651" s="31" t="n">
        <v>4</v>
      </c>
      <c r="K5651" s="31" t="s">
        <v>150</v>
      </c>
      <c r="L5651" s="45" t="n">
        <f aca="false">DATE(YEAR(B5651),MONTH(B5651),1)</f>
        <v>46266</v>
      </c>
      <c r="M5651" s="31" t="n">
        <f aca="false">WEEKDAY(B5651,2)</f>
        <v>2</v>
      </c>
      <c r="N5651" s="31" t="str">
        <f aca="false">IF(G5651&lt;=INDEX(Assumptions!$B$15:$B$18,MATCH(E5651,Assumptions!$A$15:$A$18,0)),"Yes","No")</f>
        <v>Yes</v>
      </c>
      <c r="O5651" s="31" t="str">
        <f aca="false">IF(H5651="","Open",IF(H5651&lt;=INDEX(Assumptions!$C$15:$C$18,MATCH(E5651,Assumptions!$A$15:$A$18,0)),"Yes","No"))</f>
        <v>Yes</v>
      </c>
    </row>
    <row r="5652" customFormat="false" ht="15" hidden="false" customHeight="false" outlineLevel="0" collapsed="false">
      <c r="A5652" s="31" t="s">
        <v>5802</v>
      </c>
      <c r="B5652" s="44" t="n">
        <v>46280</v>
      </c>
      <c r="C5652" s="31" t="s">
        <v>57</v>
      </c>
      <c r="D5652" s="31" t="s">
        <v>67</v>
      </c>
      <c r="E5652" s="31" t="s">
        <v>49</v>
      </c>
      <c r="F5652" s="31" t="s">
        <v>136</v>
      </c>
      <c r="G5652" s="31" t="n">
        <v>2</v>
      </c>
      <c r="H5652" s="41" t="n">
        <v>4.7</v>
      </c>
      <c r="I5652" s="31" t="s">
        <v>149</v>
      </c>
      <c r="J5652" s="31" t="n">
        <v>5</v>
      </c>
      <c r="K5652" s="31" t="s">
        <v>150</v>
      </c>
      <c r="L5652" s="45" t="n">
        <f aca="false">DATE(YEAR(B5652),MONTH(B5652),1)</f>
        <v>46266</v>
      </c>
      <c r="M5652" s="31" t="n">
        <f aca="false">WEEKDAY(B5652,2)</f>
        <v>2</v>
      </c>
      <c r="N5652" s="31" t="str">
        <f aca="false">IF(G5652&lt;=INDEX(Assumptions!$B$15:$B$18,MATCH(E5652,Assumptions!$A$15:$A$18,0)),"Yes","No")</f>
        <v>Yes</v>
      </c>
      <c r="O5652" s="31" t="str">
        <f aca="false">IF(H5652="","Open",IF(H5652&lt;=INDEX(Assumptions!$C$15:$C$18,MATCH(E5652,Assumptions!$A$15:$A$18,0)),"Yes","No"))</f>
        <v>No</v>
      </c>
    </row>
    <row r="5653" customFormat="false" ht="15" hidden="false" customHeight="false" outlineLevel="0" collapsed="false">
      <c r="A5653" s="31" t="s">
        <v>5803</v>
      </c>
      <c r="B5653" s="44" t="n">
        <v>46280</v>
      </c>
      <c r="C5653" s="31" t="s">
        <v>59</v>
      </c>
      <c r="D5653" s="31" t="s">
        <v>65</v>
      </c>
      <c r="E5653" s="31" t="s">
        <v>51</v>
      </c>
      <c r="F5653" s="31" t="s">
        <v>123</v>
      </c>
      <c r="G5653" s="31" t="n">
        <v>108</v>
      </c>
      <c r="H5653" s="41" t="n">
        <v>5.4</v>
      </c>
      <c r="I5653" s="31" t="s">
        <v>149</v>
      </c>
      <c r="J5653" s="31" t="n">
        <v>5</v>
      </c>
      <c r="K5653" s="31" t="s">
        <v>150</v>
      </c>
      <c r="L5653" s="45" t="n">
        <f aca="false">DATE(YEAR(B5653),MONTH(B5653),1)</f>
        <v>46266</v>
      </c>
      <c r="M5653" s="31" t="n">
        <f aca="false">WEEKDAY(B5653,2)</f>
        <v>2</v>
      </c>
      <c r="N5653" s="31" t="str">
        <f aca="false">IF(G5653&lt;=INDEX(Assumptions!$B$15:$B$18,MATCH(E5653,Assumptions!$A$15:$A$18,0)),"Yes","No")</f>
        <v>No</v>
      </c>
      <c r="O5653" s="31" t="str">
        <f aca="false">IF(H5653="","Open",IF(H5653&lt;=INDEX(Assumptions!$C$15:$C$18,MATCH(E5653,Assumptions!$A$15:$A$18,0)),"Yes","No"))</f>
        <v>Yes</v>
      </c>
    </row>
    <row r="5654" customFormat="false" ht="15" hidden="false" customHeight="false" outlineLevel="0" collapsed="false">
      <c r="A5654" s="31" t="s">
        <v>5804</v>
      </c>
      <c r="B5654" s="44" t="n">
        <v>46280</v>
      </c>
      <c r="C5654" s="31" t="s">
        <v>58</v>
      </c>
      <c r="D5654" s="31" t="s">
        <v>65</v>
      </c>
      <c r="E5654" s="31" t="s">
        <v>51</v>
      </c>
      <c r="F5654" s="31" t="s">
        <v>129</v>
      </c>
      <c r="G5654" s="31" t="n">
        <v>11</v>
      </c>
      <c r="H5654" s="41" t="n">
        <v>48</v>
      </c>
      <c r="I5654" s="31" t="s">
        <v>149</v>
      </c>
      <c r="J5654" s="31"/>
      <c r="K5654" s="31" t="s">
        <v>150</v>
      </c>
      <c r="L5654" s="45" t="n">
        <f aca="false">DATE(YEAR(B5654),MONTH(B5654),1)</f>
        <v>46266</v>
      </c>
      <c r="M5654" s="31" t="n">
        <f aca="false">WEEKDAY(B5654,2)</f>
        <v>2</v>
      </c>
      <c r="N5654" s="31" t="str">
        <f aca="false">IF(G5654&lt;=INDEX(Assumptions!$B$15:$B$18,MATCH(E5654,Assumptions!$A$15:$A$18,0)),"Yes","No")</f>
        <v>Yes</v>
      </c>
      <c r="O5654" s="31" t="str">
        <f aca="false">IF(H5654="","Open",IF(H5654&lt;=INDEX(Assumptions!$C$15:$C$18,MATCH(E5654,Assumptions!$A$15:$A$18,0)),"Yes","No"))</f>
        <v>No</v>
      </c>
    </row>
    <row r="5655" customFormat="false" ht="15" hidden="false" customHeight="false" outlineLevel="0" collapsed="false">
      <c r="A5655" s="31" t="s">
        <v>5805</v>
      </c>
      <c r="B5655" s="44" t="n">
        <v>46280</v>
      </c>
      <c r="C5655" s="31" t="s">
        <v>58</v>
      </c>
      <c r="D5655" s="31" t="s">
        <v>67</v>
      </c>
      <c r="E5655" s="31" t="s">
        <v>51</v>
      </c>
      <c r="F5655" s="31" t="s">
        <v>128</v>
      </c>
      <c r="G5655" s="31" t="n">
        <v>15</v>
      </c>
      <c r="H5655" s="41" t="n">
        <v>143.6</v>
      </c>
      <c r="I5655" s="31" t="s">
        <v>149</v>
      </c>
      <c r="J5655" s="31"/>
      <c r="K5655" s="31" t="s">
        <v>150</v>
      </c>
      <c r="L5655" s="45" t="n">
        <f aca="false">DATE(YEAR(B5655),MONTH(B5655),1)</f>
        <v>46266</v>
      </c>
      <c r="M5655" s="31" t="n">
        <f aca="false">WEEKDAY(B5655,2)</f>
        <v>2</v>
      </c>
      <c r="N5655" s="31" t="str">
        <f aca="false">IF(G5655&lt;=INDEX(Assumptions!$B$15:$B$18,MATCH(E5655,Assumptions!$A$15:$A$18,0)),"Yes","No")</f>
        <v>Yes</v>
      </c>
      <c r="O5655" s="31" t="str">
        <f aca="false">IF(H5655="","Open",IF(H5655&lt;=INDEX(Assumptions!$C$15:$C$18,MATCH(E5655,Assumptions!$A$15:$A$18,0)),"Yes","No"))</f>
        <v>No</v>
      </c>
    </row>
    <row r="5656" customFormat="false" ht="15" hidden="false" customHeight="false" outlineLevel="0" collapsed="false">
      <c r="A5656" s="31" t="s">
        <v>5806</v>
      </c>
      <c r="B5656" s="44" t="n">
        <v>46280</v>
      </c>
      <c r="C5656" s="31" t="s">
        <v>57</v>
      </c>
      <c r="D5656" s="31" t="s">
        <v>68</v>
      </c>
      <c r="E5656" s="31" t="s">
        <v>52</v>
      </c>
      <c r="F5656" s="31" t="s">
        <v>136</v>
      </c>
      <c r="G5656" s="31" t="n">
        <v>6</v>
      </c>
      <c r="H5656" s="41" t="n">
        <v>1.2</v>
      </c>
      <c r="I5656" s="31" t="s">
        <v>149</v>
      </c>
      <c r="J5656" s="31" t="n">
        <v>5</v>
      </c>
      <c r="K5656" s="31" t="s">
        <v>150</v>
      </c>
      <c r="L5656" s="45" t="n">
        <f aca="false">DATE(YEAR(B5656),MONTH(B5656),1)</f>
        <v>46266</v>
      </c>
      <c r="M5656" s="31" t="n">
        <f aca="false">WEEKDAY(B5656,2)</f>
        <v>2</v>
      </c>
      <c r="N5656" s="31" t="str">
        <f aca="false">IF(G5656&lt;=INDEX(Assumptions!$B$15:$B$18,MATCH(E5656,Assumptions!$A$15:$A$18,0)),"Yes","No")</f>
        <v>Yes</v>
      </c>
      <c r="O5656" s="31" t="str">
        <f aca="false">IF(H5656="","Open",IF(H5656&lt;=INDEX(Assumptions!$C$15:$C$18,MATCH(E5656,Assumptions!$A$15:$A$18,0)),"Yes","No"))</f>
        <v>Yes</v>
      </c>
    </row>
    <row r="5657" customFormat="false" ht="15" hidden="false" customHeight="false" outlineLevel="0" collapsed="false">
      <c r="A5657" s="31" t="s">
        <v>5807</v>
      </c>
      <c r="B5657" s="44" t="n">
        <v>46280</v>
      </c>
      <c r="C5657" s="31" t="s">
        <v>57</v>
      </c>
      <c r="D5657" s="31" t="s">
        <v>66</v>
      </c>
      <c r="E5657" s="31" t="s">
        <v>51</v>
      </c>
      <c r="F5657" s="31" t="s">
        <v>130</v>
      </c>
      <c r="G5657" s="31" t="n">
        <v>2</v>
      </c>
      <c r="H5657" s="41" t="n">
        <v>1.3</v>
      </c>
      <c r="I5657" s="31" t="s">
        <v>149</v>
      </c>
      <c r="J5657" s="31" t="n">
        <v>5</v>
      </c>
      <c r="K5657" s="31" t="s">
        <v>150</v>
      </c>
      <c r="L5657" s="45" t="n">
        <f aca="false">DATE(YEAR(B5657),MONTH(B5657),1)</f>
        <v>46266</v>
      </c>
      <c r="M5657" s="31" t="n">
        <f aca="false">WEEKDAY(B5657,2)</f>
        <v>2</v>
      </c>
      <c r="N5657" s="31" t="str">
        <f aca="false">IF(G5657&lt;=INDEX(Assumptions!$B$15:$B$18,MATCH(E5657,Assumptions!$A$15:$A$18,0)),"Yes","No")</f>
        <v>Yes</v>
      </c>
      <c r="O5657" s="31" t="str">
        <f aca="false">IF(H5657="","Open",IF(H5657&lt;=INDEX(Assumptions!$C$15:$C$18,MATCH(E5657,Assumptions!$A$15:$A$18,0)),"Yes","No"))</f>
        <v>Yes</v>
      </c>
    </row>
    <row r="5658" customFormat="false" ht="15" hidden="false" customHeight="false" outlineLevel="0" collapsed="false">
      <c r="A5658" s="31" t="s">
        <v>5808</v>
      </c>
      <c r="B5658" s="44" t="n">
        <v>46280</v>
      </c>
      <c r="C5658" s="31" t="s">
        <v>59</v>
      </c>
      <c r="D5658" s="31" t="s">
        <v>65</v>
      </c>
      <c r="E5658" s="31" t="s">
        <v>51</v>
      </c>
      <c r="F5658" s="31" t="s">
        <v>128</v>
      </c>
      <c r="G5658" s="31" t="n">
        <v>75</v>
      </c>
      <c r="H5658" s="41" t="n">
        <v>49.4</v>
      </c>
      <c r="I5658" s="31" t="s">
        <v>149</v>
      </c>
      <c r="J5658" s="31" t="n">
        <v>3</v>
      </c>
      <c r="K5658" s="31" t="s">
        <v>150</v>
      </c>
      <c r="L5658" s="45" t="n">
        <f aca="false">DATE(YEAR(B5658),MONTH(B5658),1)</f>
        <v>46266</v>
      </c>
      <c r="M5658" s="31" t="n">
        <f aca="false">WEEKDAY(B5658,2)</f>
        <v>2</v>
      </c>
      <c r="N5658" s="31" t="str">
        <f aca="false">IF(G5658&lt;=INDEX(Assumptions!$B$15:$B$18,MATCH(E5658,Assumptions!$A$15:$A$18,0)),"Yes","No")</f>
        <v>No</v>
      </c>
      <c r="O5658" s="31" t="str">
        <f aca="false">IF(H5658="","Open",IF(H5658&lt;=INDEX(Assumptions!$C$15:$C$18,MATCH(E5658,Assumptions!$A$15:$A$18,0)),"Yes","No"))</f>
        <v>No</v>
      </c>
    </row>
    <row r="5659" customFormat="false" ht="15" hidden="false" customHeight="false" outlineLevel="0" collapsed="false">
      <c r="A5659" s="31" t="s">
        <v>5809</v>
      </c>
      <c r="B5659" s="44" t="n">
        <v>46280</v>
      </c>
      <c r="C5659" s="31" t="s">
        <v>58</v>
      </c>
      <c r="D5659" s="31" t="s">
        <v>69</v>
      </c>
      <c r="E5659" s="31" t="s">
        <v>51</v>
      </c>
      <c r="F5659" s="31" t="s">
        <v>122</v>
      </c>
      <c r="G5659" s="31" t="n">
        <v>6</v>
      </c>
      <c r="H5659" s="41" t="n">
        <v>9.2</v>
      </c>
      <c r="I5659" s="31" t="s">
        <v>149</v>
      </c>
      <c r="J5659" s="31" t="n">
        <v>4</v>
      </c>
      <c r="K5659" s="31" t="s">
        <v>150</v>
      </c>
      <c r="L5659" s="45" t="n">
        <f aca="false">DATE(YEAR(B5659),MONTH(B5659),1)</f>
        <v>46266</v>
      </c>
      <c r="M5659" s="31" t="n">
        <f aca="false">WEEKDAY(B5659,2)</f>
        <v>2</v>
      </c>
      <c r="N5659" s="31" t="str">
        <f aca="false">IF(G5659&lt;=INDEX(Assumptions!$B$15:$B$18,MATCH(E5659,Assumptions!$A$15:$A$18,0)),"Yes","No")</f>
        <v>Yes</v>
      </c>
      <c r="O5659" s="31" t="str">
        <f aca="false">IF(H5659="","Open",IF(H5659&lt;=INDEX(Assumptions!$C$15:$C$18,MATCH(E5659,Assumptions!$A$15:$A$18,0)),"Yes","No"))</f>
        <v>Yes</v>
      </c>
    </row>
    <row r="5660" customFormat="false" ht="15" hidden="false" customHeight="false" outlineLevel="0" collapsed="false">
      <c r="A5660" s="31" t="s">
        <v>5810</v>
      </c>
      <c r="B5660" s="44" t="n">
        <v>46280</v>
      </c>
      <c r="C5660" s="31" t="s">
        <v>60</v>
      </c>
      <c r="D5660" s="31" t="s">
        <v>67</v>
      </c>
      <c r="E5660" s="31" t="s">
        <v>51</v>
      </c>
      <c r="F5660" s="31" t="s">
        <v>130</v>
      </c>
      <c r="G5660" s="31" t="n">
        <v>2</v>
      </c>
      <c r="H5660" s="41" t="n">
        <v>8.7</v>
      </c>
      <c r="I5660" s="31" t="s">
        <v>149</v>
      </c>
      <c r="J5660" s="31" t="n">
        <v>5</v>
      </c>
      <c r="K5660" s="31" t="s">
        <v>150</v>
      </c>
      <c r="L5660" s="45" t="n">
        <f aca="false">DATE(YEAR(B5660),MONTH(B5660),1)</f>
        <v>46266</v>
      </c>
      <c r="M5660" s="31" t="n">
        <f aca="false">WEEKDAY(B5660,2)</f>
        <v>2</v>
      </c>
      <c r="N5660" s="31" t="str">
        <f aca="false">IF(G5660&lt;=INDEX(Assumptions!$B$15:$B$18,MATCH(E5660,Assumptions!$A$15:$A$18,0)),"Yes","No")</f>
        <v>Yes</v>
      </c>
      <c r="O5660" s="31" t="str">
        <f aca="false">IF(H5660="","Open",IF(H5660&lt;=INDEX(Assumptions!$C$15:$C$18,MATCH(E5660,Assumptions!$A$15:$A$18,0)),"Yes","No"))</f>
        <v>Yes</v>
      </c>
    </row>
    <row r="5661" customFormat="false" ht="15" hidden="false" customHeight="false" outlineLevel="0" collapsed="false">
      <c r="A5661" s="31" t="s">
        <v>5811</v>
      </c>
      <c r="B5661" s="44" t="n">
        <v>46280</v>
      </c>
      <c r="C5661" s="31" t="s">
        <v>58</v>
      </c>
      <c r="D5661" s="31" t="s">
        <v>67</v>
      </c>
      <c r="E5661" s="31" t="s">
        <v>50</v>
      </c>
      <c r="F5661" s="31" t="s">
        <v>134</v>
      </c>
      <c r="G5661" s="31" t="n">
        <v>4</v>
      </c>
      <c r="H5661" s="41" t="n">
        <v>15.3</v>
      </c>
      <c r="I5661" s="31" t="s">
        <v>149</v>
      </c>
      <c r="J5661" s="31" t="n">
        <v>4</v>
      </c>
      <c r="K5661" s="31" t="s">
        <v>150</v>
      </c>
      <c r="L5661" s="45" t="n">
        <f aca="false">DATE(YEAR(B5661),MONTH(B5661),1)</f>
        <v>46266</v>
      </c>
      <c r="M5661" s="31" t="n">
        <f aca="false">WEEKDAY(B5661,2)</f>
        <v>2</v>
      </c>
      <c r="N5661" s="31" t="str">
        <f aca="false">IF(G5661&lt;=INDEX(Assumptions!$B$15:$B$18,MATCH(E5661,Assumptions!$A$15:$A$18,0)),"Yes","No")</f>
        <v>Yes</v>
      </c>
      <c r="O5661" s="31" t="str">
        <f aca="false">IF(H5661="","Open",IF(H5661&lt;=INDEX(Assumptions!$C$15:$C$18,MATCH(E5661,Assumptions!$A$15:$A$18,0)),"Yes","No"))</f>
        <v>No</v>
      </c>
    </row>
    <row r="5662" customFormat="false" ht="15" hidden="false" customHeight="false" outlineLevel="0" collapsed="false">
      <c r="A5662" s="31" t="s">
        <v>5812</v>
      </c>
      <c r="B5662" s="44" t="n">
        <v>46280</v>
      </c>
      <c r="C5662" s="31" t="s">
        <v>58</v>
      </c>
      <c r="D5662" s="31" t="s">
        <v>68</v>
      </c>
      <c r="E5662" s="31" t="s">
        <v>52</v>
      </c>
      <c r="F5662" s="31" t="s">
        <v>134</v>
      </c>
      <c r="G5662" s="31" t="n">
        <v>31</v>
      </c>
      <c r="H5662" s="41" t="n">
        <v>7</v>
      </c>
      <c r="I5662" s="31" t="s">
        <v>149</v>
      </c>
      <c r="J5662" s="31" t="n">
        <v>4</v>
      </c>
      <c r="K5662" s="31" t="s">
        <v>150</v>
      </c>
      <c r="L5662" s="45" t="n">
        <f aca="false">DATE(YEAR(B5662),MONTH(B5662),1)</f>
        <v>46266</v>
      </c>
      <c r="M5662" s="31" t="n">
        <f aca="false">WEEKDAY(B5662,2)</f>
        <v>2</v>
      </c>
      <c r="N5662" s="31" t="str">
        <f aca="false">IF(G5662&lt;=INDEX(Assumptions!$B$15:$B$18,MATCH(E5662,Assumptions!$A$15:$A$18,0)),"Yes","No")</f>
        <v>Yes</v>
      </c>
      <c r="O5662" s="31" t="str">
        <f aca="false">IF(H5662="","Open",IF(H5662&lt;=INDEX(Assumptions!$C$15:$C$18,MATCH(E5662,Assumptions!$A$15:$A$18,0)),"Yes","No"))</f>
        <v>Yes</v>
      </c>
    </row>
    <row r="5663" customFormat="false" ht="15" hidden="false" customHeight="false" outlineLevel="0" collapsed="false">
      <c r="A5663" s="31" t="s">
        <v>5813</v>
      </c>
      <c r="B5663" s="44" t="n">
        <v>46280</v>
      </c>
      <c r="C5663" s="31" t="s">
        <v>58</v>
      </c>
      <c r="D5663" s="31" t="s">
        <v>65</v>
      </c>
      <c r="E5663" s="31" t="s">
        <v>51</v>
      </c>
      <c r="F5663" s="31" t="s">
        <v>130</v>
      </c>
      <c r="G5663" s="31" t="n">
        <v>10</v>
      </c>
      <c r="H5663" s="41" t="n">
        <v>1.7</v>
      </c>
      <c r="I5663" s="31" t="s">
        <v>149</v>
      </c>
      <c r="J5663" s="31" t="n">
        <v>5</v>
      </c>
      <c r="K5663" s="31" t="s">
        <v>150</v>
      </c>
      <c r="L5663" s="45" t="n">
        <f aca="false">DATE(YEAR(B5663),MONTH(B5663),1)</f>
        <v>46266</v>
      </c>
      <c r="M5663" s="31" t="n">
        <f aca="false">WEEKDAY(B5663,2)</f>
        <v>2</v>
      </c>
      <c r="N5663" s="31" t="str">
        <f aca="false">IF(G5663&lt;=INDEX(Assumptions!$B$15:$B$18,MATCH(E5663,Assumptions!$A$15:$A$18,0)),"Yes","No")</f>
        <v>Yes</v>
      </c>
      <c r="O5663" s="31" t="str">
        <f aca="false">IF(H5663="","Open",IF(H5663&lt;=INDEX(Assumptions!$C$15:$C$18,MATCH(E5663,Assumptions!$A$15:$A$18,0)),"Yes","No"))</f>
        <v>Yes</v>
      </c>
    </row>
    <row r="5664" customFormat="false" ht="15" hidden="false" customHeight="false" outlineLevel="0" collapsed="false">
      <c r="A5664" s="31" t="s">
        <v>5814</v>
      </c>
      <c r="B5664" s="44" t="n">
        <v>46280</v>
      </c>
      <c r="C5664" s="31" t="s">
        <v>58</v>
      </c>
      <c r="D5664" s="31" t="s">
        <v>65</v>
      </c>
      <c r="E5664" s="31" t="s">
        <v>50</v>
      </c>
      <c r="F5664" s="31" t="s">
        <v>134</v>
      </c>
      <c r="G5664" s="31" t="n">
        <v>9</v>
      </c>
      <c r="H5664" s="41" t="n">
        <v>20.2</v>
      </c>
      <c r="I5664" s="31" t="s">
        <v>149</v>
      </c>
      <c r="J5664" s="31" t="n">
        <v>3</v>
      </c>
      <c r="K5664" s="31" t="s">
        <v>150</v>
      </c>
      <c r="L5664" s="45" t="n">
        <f aca="false">DATE(YEAR(B5664),MONTH(B5664),1)</f>
        <v>46266</v>
      </c>
      <c r="M5664" s="31" t="n">
        <f aca="false">WEEKDAY(B5664,2)</f>
        <v>2</v>
      </c>
      <c r="N5664" s="31" t="str">
        <f aca="false">IF(G5664&lt;=INDEX(Assumptions!$B$15:$B$18,MATCH(E5664,Assumptions!$A$15:$A$18,0)),"Yes","No")</f>
        <v>Yes</v>
      </c>
      <c r="O5664" s="31" t="str">
        <f aca="false">IF(H5664="","Open",IF(H5664&lt;=INDEX(Assumptions!$C$15:$C$18,MATCH(E5664,Assumptions!$A$15:$A$18,0)),"Yes","No"))</f>
        <v>No</v>
      </c>
    </row>
    <row r="5665" customFormat="false" ht="15" hidden="false" customHeight="false" outlineLevel="0" collapsed="false">
      <c r="A5665" s="31" t="s">
        <v>5815</v>
      </c>
      <c r="B5665" s="44" t="n">
        <v>46280</v>
      </c>
      <c r="C5665" s="31" t="s">
        <v>57</v>
      </c>
      <c r="D5665" s="31" t="s">
        <v>67</v>
      </c>
      <c r="E5665" s="31" t="s">
        <v>50</v>
      </c>
      <c r="F5665" s="31" t="s">
        <v>133</v>
      </c>
      <c r="G5665" s="31" t="n">
        <v>3</v>
      </c>
      <c r="H5665" s="41" t="n">
        <v>5.5</v>
      </c>
      <c r="I5665" s="31" t="s">
        <v>64</v>
      </c>
      <c r="J5665" s="31" t="n">
        <v>4</v>
      </c>
      <c r="K5665" s="31" t="s">
        <v>150</v>
      </c>
      <c r="L5665" s="45" t="n">
        <f aca="false">DATE(YEAR(B5665),MONTH(B5665),1)</f>
        <v>46266</v>
      </c>
      <c r="M5665" s="31" t="n">
        <f aca="false">WEEKDAY(B5665,2)</f>
        <v>2</v>
      </c>
      <c r="N5665" s="31" t="str">
        <f aca="false">IF(G5665&lt;=INDEX(Assumptions!$B$15:$B$18,MATCH(E5665,Assumptions!$A$15:$A$18,0)),"Yes","No")</f>
        <v>Yes</v>
      </c>
      <c r="O5665" s="31" t="str">
        <f aca="false">IF(H5665="","Open",IF(H5665&lt;=INDEX(Assumptions!$C$15:$C$18,MATCH(E5665,Assumptions!$A$15:$A$18,0)),"Yes","No"))</f>
        <v>Yes</v>
      </c>
    </row>
    <row r="5666" customFormat="false" ht="15" hidden="false" customHeight="false" outlineLevel="0" collapsed="false">
      <c r="A5666" s="31" t="s">
        <v>5816</v>
      </c>
      <c r="B5666" s="44" t="n">
        <v>46280</v>
      </c>
      <c r="C5666" s="31" t="s">
        <v>57</v>
      </c>
      <c r="D5666" s="31" t="s">
        <v>66</v>
      </c>
      <c r="E5666" s="31" t="s">
        <v>52</v>
      </c>
      <c r="F5666" s="31" t="s">
        <v>129</v>
      </c>
      <c r="G5666" s="31" t="n">
        <v>1</v>
      </c>
      <c r="H5666" s="41" t="n">
        <v>6.3</v>
      </c>
      <c r="I5666" s="31" t="s">
        <v>149</v>
      </c>
      <c r="J5666" s="31" t="n">
        <v>5</v>
      </c>
      <c r="K5666" s="31" t="s">
        <v>150</v>
      </c>
      <c r="L5666" s="45" t="n">
        <f aca="false">DATE(YEAR(B5666),MONTH(B5666),1)</f>
        <v>46266</v>
      </c>
      <c r="M5666" s="31" t="n">
        <f aca="false">WEEKDAY(B5666,2)</f>
        <v>2</v>
      </c>
      <c r="N5666" s="31" t="str">
        <f aca="false">IF(G5666&lt;=INDEX(Assumptions!$B$15:$B$18,MATCH(E5666,Assumptions!$A$15:$A$18,0)),"Yes","No")</f>
        <v>Yes</v>
      </c>
      <c r="O5666" s="31" t="str">
        <f aca="false">IF(H5666="","Open",IF(H5666&lt;=INDEX(Assumptions!$C$15:$C$18,MATCH(E5666,Assumptions!$A$15:$A$18,0)),"Yes","No"))</f>
        <v>Yes</v>
      </c>
    </row>
    <row r="5667" customFormat="false" ht="15" hidden="false" customHeight="false" outlineLevel="0" collapsed="false">
      <c r="A5667" s="31" t="s">
        <v>5817</v>
      </c>
      <c r="B5667" s="44" t="n">
        <v>46280</v>
      </c>
      <c r="C5667" s="31" t="s">
        <v>58</v>
      </c>
      <c r="D5667" s="31" t="s">
        <v>66</v>
      </c>
      <c r="E5667" s="31" t="s">
        <v>50</v>
      </c>
      <c r="F5667" s="31" t="s">
        <v>135</v>
      </c>
      <c r="G5667" s="31" t="n">
        <v>20</v>
      </c>
      <c r="H5667" s="41" t="n">
        <v>1.2</v>
      </c>
      <c r="I5667" s="31" t="s">
        <v>149</v>
      </c>
      <c r="J5667" s="31" t="n">
        <v>4</v>
      </c>
      <c r="K5667" s="31" t="s">
        <v>150</v>
      </c>
      <c r="L5667" s="45" t="n">
        <f aca="false">DATE(YEAR(B5667),MONTH(B5667),1)</f>
        <v>46266</v>
      </c>
      <c r="M5667" s="31" t="n">
        <f aca="false">WEEKDAY(B5667,2)</f>
        <v>2</v>
      </c>
      <c r="N5667" s="31" t="str">
        <f aca="false">IF(G5667&lt;=INDEX(Assumptions!$B$15:$B$18,MATCH(E5667,Assumptions!$A$15:$A$18,0)),"Yes","No")</f>
        <v>Yes</v>
      </c>
      <c r="O5667" s="31" t="str">
        <f aca="false">IF(H5667="","Open",IF(H5667&lt;=INDEX(Assumptions!$C$15:$C$18,MATCH(E5667,Assumptions!$A$15:$A$18,0)),"Yes","No"))</f>
        <v>Yes</v>
      </c>
    </row>
    <row r="5668" customFormat="false" ht="15" hidden="false" customHeight="false" outlineLevel="0" collapsed="false">
      <c r="A5668" s="31" t="s">
        <v>5818</v>
      </c>
      <c r="B5668" s="44" t="n">
        <v>46280</v>
      </c>
      <c r="C5668" s="31" t="s">
        <v>59</v>
      </c>
      <c r="D5668" s="31" t="s">
        <v>65</v>
      </c>
      <c r="E5668" s="31" t="s">
        <v>52</v>
      </c>
      <c r="F5668" s="31" t="s">
        <v>131</v>
      </c>
      <c r="G5668" s="31" t="n">
        <v>59</v>
      </c>
      <c r="H5668" s="41" t="n">
        <v>9.6</v>
      </c>
      <c r="I5668" s="31" t="s">
        <v>149</v>
      </c>
      <c r="J5668" s="31"/>
      <c r="K5668" s="31" t="s">
        <v>150</v>
      </c>
      <c r="L5668" s="45" t="n">
        <f aca="false">DATE(YEAR(B5668),MONTH(B5668),1)</f>
        <v>46266</v>
      </c>
      <c r="M5668" s="31" t="n">
        <f aca="false">WEEKDAY(B5668,2)</f>
        <v>2</v>
      </c>
      <c r="N5668" s="31" t="str">
        <f aca="false">IF(G5668&lt;=INDEX(Assumptions!$B$15:$B$18,MATCH(E5668,Assumptions!$A$15:$A$18,0)),"Yes","No")</f>
        <v>Yes</v>
      </c>
      <c r="O5668" s="31" t="str">
        <f aca="false">IF(H5668="","Open",IF(H5668&lt;=INDEX(Assumptions!$C$15:$C$18,MATCH(E5668,Assumptions!$A$15:$A$18,0)),"Yes","No"))</f>
        <v>Yes</v>
      </c>
    </row>
    <row r="5669" customFormat="false" ht="15" hidden="false" customHeight="false" outlineLevel="0" collapsed="false">
      <c r="A5669" s="31" t="s">
        <v>5819</v>
      </c>
      <c r="B5669" s="44" t="n">
        <v>46280</v>
      </c>
      <c r="C5669" s="31" t="s">
        <v>57</v>
      </c>
      <c r="D5669" s="31" t="s">
        <v>65</v>
      </c>
      <c r="E5669" s="31" t="s">
        <v>51</v>
      </c>
      <c r="F5669" s="31" t="s">
        <v>124</v>
      </c>
      <c r="G5669" s="31" t="n">
        <v>2</v>
      </c>
      <c r="H5669" s="41" t="n">
        <v>20.5</v>
      </c>
      <c r="I5669" s="31" t="s">
        <v>149</v>
      </c>
      <c r="J5669" s="31" t="n">
        <v>5</v>
      </c>
      <c r="K5669" s="31" t="s">
        <v>150</v>
      </c>
      <c r="L5669" s="45" t="n">
        <f aca="false">DATE(YEAR(B5669),MONTH(B5669),1)</f>
        <v>46266</v>
      </c>
      <c r="M5669" s="31" t="n">
        <f aca="false">WEEKDAY(B5669,2)</f>
        <v>2</v>
      </c>
      <c r="N5669" s="31" t="str">
        <f aca="false">IF(G5669&lt;=INDEX(Assumptions!$B$15:$B$18,MATCH(E5669,Assumptions!$A$15:$A$18,0)),"Yes","No")</f>
        <v>Yes</v>
      </c>
      <c r="O5669" s="31" t="str">
        <f aca="false">IF(H5669="","Open",IF(H5669&lt;=INDEX(Assumptions!$C$15:$C$18,MATCH(E5669,Assumptions!$A$15:$A$18,0)),"Yes","No"))</f>
        <v>Yes</v>
      </c>
    </row>
    <row r="5670" customFormat="false" ht="15" hidden="false" customHeight="false" outlineLevel="0" collapsed="false">
      <c r="A5670" s="31" t="s">
        <v>5820</v>
      </c>
      <c r="B5670" s="44" t="n">
        <v>46280</v>
      </c>
      <c r="C5670" s="31" t="s">
        <v>60</v>
      </c>
      <c r="D5670" s="31" t="s">
        <v>67</v>
      </c>
      <c r="E5670" s="31" t="s">
        <v>50</v>
      </c>
      <c r="F5670" s="31" t="s">
        <v>131</v>
      </c>
      <c r="G5670" s="31" t="n">
        <v>1</v>
      </c>
      <c r="H5670" s="41" t="n">
        <v>3.4</v>
      </c>
      <c r="I5670" s="31" t="s">
        <v>149</v>
      </c>
      <c r="J5670" s="31" t="n">
        <v>5</v>
      </c>
      <c r="K5670" s="31" t="s">
        <v>150</v>
      </c>
      <c r="L5670" s="45" t="n">
        <f aca="false">DATE(YEAR(B5670),MONTH(B5670),1)</f>
        <v>46266</v>
      </c>
      <c r="M5670" s="31" t="n">
        <f aca="false">WEEKDAY(B5670,2)</f>
        <v>2</v>
      </c>
      <c r="N5670" s="31" t="str">
        <f aca="false">IF(G5670&lt;=INDEX(Assumptions!$B$15:$B$18,MATCH(E5670,Assumptions!$A$15:$A$18,0)),"Yes","No")</f>
        <v>Yes</v>
      </c>
      <c r="O5670" s="31" t="str">
        <f aca="false">IF(H5670="","Open",IF(H5670&lt;=INDEX(Assumptions!$C$15:$C$18,MATCH(E5670,Assumptions!$A$15:$A$18,0)),"Yes","No"))</f>
        <v>Yes</v>
      </c>
    </row>
    <row r="5671" customFormat="false" ht="15" hidden="false" customHeight="false" outlineLevel="0" collapsed="false">
      <c r="A5671" s="31" t="s">
        <v>5821</v>
      </c>
      <c r="B5671" s="44" t="n">
        <v>46280</v>
      </c>
      <c r="C5671" s="31" t="s">
        <v>58</v>
      </c>
      <c r="D5671" s="31" t="s">
        <v>67</v>
      </c>
      <c r="E5671" s="31" t="s">
        <v>51</v>
      </c>
      <c r="F5671" s="31" t="s">
        <v>124</v>
      </c>
      <c r="G5671" s="31" t="n">
        <v>6</v>
      </c>
      <c r="H5671" s="41" t="n">
        <v>49.4</v>
      </c>
      <c r="I5671" s="31" t="s">
        <v>64</v>
      </c>
      <c r="J5671" s="31" t="n">
        <v>3</v>
      </c>
      <c r="K5671" s="31" t="s">
        <v>150</v>
      </c>
      <c r="L5671" s="45" t="n">
        <f aca="false">DATE(YEAR(B5671),MONTH(B5671),1)</f>
        <v>46266</v>
      </c>
      <c r="M5671" s="31" t="n">
        <f aca="false">WEEKDAY(B5671,2)</f>
        <v>2</v>
      </c>
      <c r="N5671" s="31" t="str">
        <f aca="false">IF(G5671&lt;=INDEX(Assumptions!$B$15:$B$18,MATCH(E5671,Assumptions!$A$15:$A$18,0)),"Yes","No")</f>
        <v>Yes</v>
      </c>
      <c r="O5671" s="31" t="str">
        <f aca="false">IF(H5671="","Open",IF(H5671&lt;=INDEX(Assumptions!$C$15:$C$18,MATCH(E5671,Assumptions!$A$15:$A$18,0)),"Yes","No"))</f>
        <v>No</v>
      </c>
    </row>
    <row r="5672" customFormat="false" ht="15" hidden="false" customHeight="false" outlineLevel="0" collapsed="false">
      <c r="A5672" s="31" t="s">
        <v>5822</v>
      </c>
      <c r="B5672" s="44" t="n">
        <v>46280</v>
      </c>
      <c r="C5672" s="31" t="s">
        <v>57</v>
      </c>
      <c r="D5672" s="31" t="s">
        <v>69</v>
      </c>
      <c r="E5672" s="31" t="s">
        <v>52</v>
      </c>
      <c r="F5672" s="31" t="s">
        <v>128</v>
      </c>
      <c r="G5672" s="31" t="n">
        <v>14</v>
      </c>
      <c r="H5672" s="41" t="n">
        <v>478.9</v>
      </c>
      <c r="I5672" s="31" t="s">
        <v>64</v>
      </c>
      <c r="J5672" s="31" t="n">
        <v>2</v>
      </c>
      <c r="K5672" s="31" t="s">
        <v>150</v>
      </c>
      <c r="L5672" s="45" t="n">
        <f aca="false">DATE(YEAR(B5672),MONTH(B5672),1)</f>
        <v>46266</v>
      </c>
      <c r="M5672" s="31" t="n">
        <f aca="false">WEEKDAY(B5672,2)</f>
        <v>2</v>
      </c>
      <c r="N5672" s="31" t="str">
        <f aca="false">IF(G5672&lt;=INDEX(Assumptions!$B$15:$B$18,MATCH(E5672,Assumptions!$A$15:$A$18,0)),"Yes","No")</f>
        <v>Yes</v>
      </c>
      <c r="O5672" s="31" t="str">
        <f aca="false">IF(H5672="","Open",IF(H5672&lt;=INDEX(Assumptions!$C$15:$C$18,MATCH(E5672,Assumptions!$A$15:$A$18,0)),"Yes","No"))</f>
        <v>No</v>
      </c>
    </row>
    <row r="5673" customFormat="false" ht="15" hidden="false" customHeight="false" outlineLevel="0" collapsed="false">
      <c r="A5673" s="31" t="s">
        <v>5823</v>
      </c>
      <c r="B5673" s="44" t="n">
        <v>46280</v>
      </c>
      <c r="C5673" s="31" t="s">
        <v>58</v>
      </c>
      <c r="D5673" s="31" t="s">
        <v>68</v>
      </c>
      <c r="E5673" s="31" t="s">
        <v>51</v>
      </c>
      <c r="F5673" s="31" t="s">
        <v>122</v>
      </c>
      <c r="G5673" s="31" t="n">
        <v>20</v>
      </c>
      <c r="H5673" s="41" t="n">
        <v>3.9</v>
      </c>
      <c r="I5673" s="31" t="s">
        <v>149</v>
      </c>
      <c r="J5673" s="31"/>
      <c r="K5673" s="31" t="s">
        <v>150</v>
      </c>
      <c r="L5673" s="45" t="n">
        <f aca="false">DATE(YEAR(B5673),MONTH(B5673),1)</f>
        <v>46266</v>
      </c>
      <c r="M5673" s="31" t="n">
        <f aca="false">WEEKDAY(B5673,2)</f>
        <v>2</v>
      </c>
      <c r="N5673" s="31" t="str">
        <f aca="false">IF(G5673&lt;=INDEX(Assumptions!$B$15:$B$18,MATCH(E5673,Assumptions!$A$15:$A$18,0)),"Yes","No")</f>
        <v>Yes</v>
      </c>
      <c r="O5673" s="31" t="str">
        <f aca="false">IF(H5673="","Open",IF(H5673&lt;=INDEX(Assumptions!$C$15:$C$18,MATCH(E5673,Assumptions!$A$15:$A$18,0)),"Yes","No"))</f>
        <v>Yes</v>
      </c>
    </row>
    <row r="5674" customFormat="false" ht="15" hidden="false" customHeight="false" outlineLevel="0" collapsed="false">
      <c r="A5674" s="31" t="s">
        <v>5824</v>
      </c>
      <c r="B5674" s="44" t="n">
        <v>46280</v>
      </c>
      <c r="C5674" s="31" t="s">
        <v>57</v>
      </c>
      <c r="D5674" s="31" t="s">
        <v>69</v>
      </c>
      <c r="E5674" s="31" t="s">
        <v>52</v>
      </c>
      <c r="F5674" s="31" t="s">
        <v>135</v>
      </c>
      <c r="G5674" s="31" t="n">
        <v>9</v>
      </c>
      <c r="H5674" s="41" t="n">
        <v>34</v>
      </c>
      <c r="I5674" s="31" t="s">
        <v>149</v>
      </c>
      <c r="J5674" s="31" t="n">
        <v>5</v>
      </c>
      <c r="K5674" s="31" t="s">
        <v>150</v>
      </c>
      <c r="L5674" s="45" t="n">
        <f aca="false">DATE(YEAR(B5674),MONTH(B5674),1)</f>
        <v>46266</v>
      </c>
      <c r="M5674" s="31" t="n">
        <f aca="false">WEEKDAY(B5674,2)</f>
        <v>2</v>
      </c>
      <c r="N5674" s="31" t="str">
        <f aca="false">IF(G5674&lt;=INDEX(Assumptions!$B$15:$B$18,MATCH(E5674,Assumptions!$A$15:$A$18,0)),"Yes","No")</f>
        <v>Yes</v>
      </c>
      <c r="O5674" s="31" t="str">
        <f aca="false">IF(H5674="","Open",IF(H5674&lt;=INDEX(Assumptions!$C$15:$C$18,MATCH(E5674,Assumptions!$A$15:$A$18,0)),"Yes","No"))</f>
        <v>Yes</v>
      </c>
    </row>
    <row r="5675" customFormat="false" ht="15" hidden="false" customHeight="false" outlineLevel="0" collapsed="false">
      <c r="A5675" s="31" t="s">
        <v>5825</v>
      </c>
      <c r="B5675" s="44" t="n">
        <v>46280</v>
      </c>
      <c r="C5675" s="31" t="s">
        <v>58</v>
      </c>
      <c r="D5675" s="31" t="s">
        <v>65</v>
      </c>
      <c r="E5675" s="31" t="s">
        <v>50</v>
      </c>
      <c r="F5675" s="31" t="s">
        <v>131</v>
      </c>
      <c r="G5675" s="31" t="n">
        <v>3</v>
      </c>
      <c r="H5675" s="41" t="n">
        <v>2.8</v>
      </c>
      <c r="I5675" s="31" t="s">
        <v>149</v>
      </c>
      <c r="J5675" s="31" t="n">
        <v>5</v>
      </c>
      <c r="K5675" s="31" t="s">
        <v>150</v>
      </c>
      <c r="L5675" s="45" t="n">
        <f aca="false">DATE(YEAR(B5675),MONTH(B5675),1)</f>
        <v>46266</v>
      </c>
      <c r="M5675" s="31" t="n">
        <f aca="false">WEEKDAY(B5675,2)</f>
        <v>2</v>
      </c>
      <c r="N5675" s="31" t="str">
        <f aca="false">IF(G5675&lt;=INDEX(Assumptions!$B$15:$B$18,MATCH(E5675,Assumptions!$A$15:$A$18,0)),"Yes","No")</f>
        <v>Yes</v>
      </c>
      <c r="O5675" s="31" t="str">
        <f aca="false">IF(H5675="","Open",IF(H5675&lt;=INDEX(Assumptions!$C$15:$C$18,MATCH(E5675,Assumptions!$A$15:$A$18,0)),"Yes","No"))</f>
        <v>Yes</v>
      </c>
    </row>
    <row r="5676" customFormat="false" ht="15" hidden="false" customHeight="false" outlineLevel="0" collapsed="false">
      <c r="A5676" s="31" t="s">
        <v>5826</v>
      </c>
      <c r="B5676" s="44" t="n">
        <v>46280</v>
      </c>
      <c r="C5676" s="31" t="s">
        <v>60</v>
      </c>
      <c r="D5676" s="31" t="s">
        <v>66</v>
      </c>
      <c r="E5676" s="31" t="s">
        <v>51</v>
      </c>
      <c r="F5676" s="31" t="s">
        <v>127</v>
      </c>
      <c r="G5676" s="31" t="n">
        <v>1</v>
      </c>
      <c r="H5676" s="41" t="n">
        <v>14.6</v>
      </c>
      <c r="I5676" s="31" t="s">
        <v>149</v>
      </c>
      <c r="J5676" s="31" t="n">
        <v>5</v>
      </c>
      <c r="K5676" s="31" t="s">
        <v>150</v>
      </c>
      <c r="L5676" s="45" t="n">
        <f aca="false">DATE(YEAR(B5676),MONTH(B5676),1)</f>
        <v>46266</v>
      </c>
      <c r="M5676" s="31" t="n">
        <f aca="false">WEEKDAY(B5676,2)</f>
        <v>2</v>
      </c>
      <c r="N5676" s="31" t="str">
        <f aca="false">IF(G5676&lt;=INDEX(Assumptions!$B$15:$B$18,MATCH(E5676,Assumptions!$A$15:$A$18,0)),"Yes","No")</f>
        <v>Yes</v>
      </c>
      <c r="O5676" s="31" t="str">
        <f aca="false">IF(H5676="","Open",IF(H5676&lt;=INDEX(Assumptions!$C$15:$C$18,MATCH(E5676,Assumptions!$A$15:$A$18,0)),"Yes","No"))</f>
        <v>Yes</v>
      </c>
    </row>
    <row r="5677" customFormat="false" ht="15" hidden="false" customHeight="false" outlineLevel="0" collapsed="false">
      <c r="A5677" s="31" t="s">
        <v>5827</v>
      </c>
      <c r="B5677" s="44" t="n">
        <v>46280</v>
      </c>
      <c r="C5677" s="31" t="s">
        <v>59</v>
      </c>
      <c r="D5677" s="31" t="s">
        <v>66</v>
      </c>
      <c r="E5677" s="31" t="s">
        <v>51</v>
      </c>
      <c r="F5677" s="31" t="s">
        <v>124</v>
      </c>
      <c r="G5677" s="31" t="n">
        <v>66</v>
      </c>
      <c r="H5677" s="41" t="n">
        <v>2.2</v>
      </c>
      <c r="I5677" s="31" t="s">
        <v>149</v>
      </c>
      <c r="J5677" s="31" t="n">
        <v>5</v>
      </c>
      <c r="K5677" s="31" t="s">
        <v>150</v>
      </c>
      <c r="L5677" s="45" t="n">
        <f aca="false">DATE(YEAR(B5677),MONTH(B5677),1)</f>
        <v>46266</v>
      </c>
      <c r="M5677" s="31" t="n">
        <f aca="false">WEEKDAY(B5677,2)</f>
        <v>2</v>
      </c>
      <c r="N5677" s="31" t="str">
        <f aca="false">IF(G5677&lt;=INDEX(Assumptions!$B$15:$B$18,MATCH(E5677,Assumptions!$A$15:$A$18,0)),"Yes","No")</f>
        <v>No</v>
      </c>
      <c r="O5677" s="31" t="str">
        <f aca="false">IF(H5677="","Open",IF(H5677&lt;=INDEX(Assumptions!$C$15:$C$18,MATCH(E5677,Assumptions!$A$15:$A$18,0)),"Yes","No"))</f>
        <v>Yes</v>
      </c>
    </row>
    <row r="5678" customFormat="false" ht="15" hidden="false" customHeight="false" outlineLevel="0" collapsed="false">
      <c r="A5678" s="31" t="s">
        <v>5828</v>
      </c>
      <c r="B5678" s="44" t="n">
        <v>46280</v>
      </c>
      <c r="C5678" s="31" t="s">
        <v>58</v>
      </c>
      <c r="D5678" s="31" t="s">
        <v>69</v>
      </c>
      <c r="E5678" s="31" t="s">
        <v>51</v>
      </c>
      <c r="F5678" s="31" t="s">
        <v>122</v>
      </c>
      <c r="G5678" s="31" t="n">
        <v>8</v>
      </c>
      <c r="H5678" s="41" t="n">
        <v>21.1</v>
      </c>
      <c r="I5678" s="31" t="s">
        <v>149</v>
      </c>
      <c r="J5678" s="31" t="n">
        <v>4</v>
      </c>
      <c r="K5678" s="31" t="s">
        <v>150</v>
      </c>
      <c r="L5678" s="45" t="n">
        <f aca="false">DATE(YEAR(B5678),MONTH(B5678),1)</f>
        <v>46266</v>
      </c>
      <c r="M5678" s="31" t="n">
        <f aca="false">WEEKDAY(B5678,2)</f>
        <v>2</v>
      </c>
      <c r="N5678" s="31" t="str">
        <f aca="false">IF(G5678&lt;=INDEX(Assumptions!$B$15:$B$18,MATCH(E5678,Assumptions!$A$15:$A$18,0)),"Yes","No")</f>
        <v>Yes</v>
      </c>
      <c r="O5678" s="31" t="str">
        <f aca="false">IF(H5678="","Open",IF(H5678&lt;=INDEX(Assumptions!$C$15:$C$18,MATCH(E5678,Assumptions!$A$15:$A$18,0)),"Yes","No"))</f>
        <v>Yes</v>
      </c>
    </row>
    <row r="5679" customFormat="false" ht="15" hidden="false" customHeight="false" outlineLevel="0" collapsed="false">
      <c r="A5679" s="31" t="s">
        <v>5829</v>
      </c>
      <c r="B5679" s="44" t="n">
        <v>46280</v>
      </c>
      <c r="C5679" s="31" t="s">
        <v>57</v>
      </c>
      <c r="D5679" s="31" t="s">
        <v>65</v>
      </c>
      <c r="E5679" s="31" t="s">
        <v>52</v>
      </c>
      <c r="F5679" s="31" t="s">
        <v>124</v>
      </c>
      <c r="G5679" s="31" t="n">
        <v>7</v>
      </c>
      <c r="H5679" s="41" t="n">
        <v>48.1</v>
      </c>
      <c r="I5679" s="31" t="s">
        <v>149</v>
      </c>
      <c r="J5679" s="31" t="n">
        <v>4</v>
      </c>
      <c r="K5679" s="31" t="s">
        <v>150</v>
      </c>
      <c r="L5679" s="45" t="n">
        <f aca="false">DATE(YEAR(B5679),MONTH(B5679),1)</f>
        <v>46266</v>
      </c>
      <c r="M5679" s="31" t="n">
        <f aca="false">WEEKDAY(B5679,2)</f>
        <v>2</v>
      </c>
      <c r="N5679" s="31" t="str">
        <f aca="false">IF(G5679&lt;=INDEX(Assumptions!$B$15:$B$18,MATCH(E5679,Assumptions!$A$15:$A$18,0)),"Yes","No")</f>
        <v>Yes</v>
      </c>
      <c r="O5679" s="31" t="str">
        <f aca="false">IF(H5679="","Open",IF(H5679&lt;=INDEX(Assumptions!$C$15:$C$18,MATCH(E5679,Assumptions!$A$15:$A$18,0)),"Yes","No"))</f>
        <v>Yes</v>
      </c>
    </row>
    <row r="5680" customFormat="false" ht="15" hidden="false" customHeight="false" outlineLevel="0" collapsed="false">
      <c r="A5680" s="31" t="s">
        <v>5830</v>
      </c>
      <c r="B5680" s="44" t="n">
        <v>46280</v>
      </c>
      <c r="C5680" s="31" t="s">
        <v>60</v>
      </c>
      <c r="D5680" s="31" t="s">
        <v>66</v>
      </c>
      <c r="E5680" s="31" t="s">
        <v>51</v>
      </c>
      <c r="F5680" s="31" t="s">
        <v>117</v>
      </c>
      <c r="G5680" s="31" t="n">
        <v>1</v>
      </c>
      <c r="H5680" s="41" t="n">
        <v>1.9</v>
      </c>
      <c r="I5680" s="31" t="s">
        <v>149</v>
      </c>
      <c r="J5680" s="31" t="n">
        <v>4</v>
      </c>
      <c r="K5680" s="31" t="s">
        <v>150</v>
      </c>
      <c r="L5680" s="45" t="n">
        <f aca="false">DATE(YEAR(B5680),MONTH(B5680),1)</f>
        <v>46266</v>
      </c>
      <c r="M5680" s="31" t="n">
        <f aca="false">WEEKDAY(B5680,2)</f>
        <v>2</v>
      </c>
      <c r="N5680" s="31" t="str">
        <f aca="false">IF(G5680&lt;=INDEX(Assumptions!$B$15:$B$18,MATCH(E5680,Assumptions!$A$15:$A$18,0)),"Yes","No")</f>
        <v>Yes</v>
      </c>
      <c r="O5680" s="31" t="str">
        <f aca="false">IF(H5680="","Open",IF(H5680&lt;=INDEX(Assumptions!$C$15:$C$18,MATCH(E5680,Assumptions!$A$15:$A$18,0)),"Yes","No"))</f>
        <v>Yes</v>
      </c>
    </row>
    <row r="5681" customFormat="false" ht="15" hidden="false" customHeight="false" outlineLevel="0" collapsed="false">
      <c r="A5681" s="31" t="s">
        <v>5831</v>
      </c>
      <c r="B5681" s="44" t="n">
        <v>46280</v>
      </c>
      <c r="C5681" s="31" t="s">
        <v>57</v>
      </c>
      <c r="D5681" s="31" t="s">
        <v>65</v>
      </c>
      <c r="E5681" s="31" t="s">
        <v>51</v>
      </c>
      <c r="F5681" s="31" t="s">
        <v>126</v>
      </c>
      <c r="G5681" s="31" t="n">
        <v>2</v>
      </c>
      <c r="H5681" s="41" t="n">
        <v>25.2</v>
      </c>
      <c r="I5681" s="31" t="s">
        <v>149</v>
      </c>
      <c r="J5681" s="31" t="n">
        <v>5</v>
      </c>
      <c r="K5681" s="31" t="s">
        <v>150</v>
      </c>
      <c r="L5681" s="45" t="n">
        <f aca="false">DATE(YEAR(B5681),MONTH(B5681),1)</f>
        <v>46266</v>
      </c>
      <c r="M5681" s="31" t="n">
        <f aca="false">WEEKDAY(B5681,2)</f>
        <v>2</v>
      </c>
      <c r="N5681" s="31" t="str">
        <f aca="false">IF(G5681&lt;=INDEX(Assumptions!$B$15:$B$18,MATCH(E5681,Assumptions!$A$15:$A$18,0)),"Yes","No")</f>
        <v>Yes</v>
      </c>
      <c r="O5681" s="31" t="str">
        <f aca="false">IF(H5681="","Open",IF(H5681&lt;=INDEX(Assumptions!$C$15:$C$18,MATCH(E5681,Assumptions!$A$15:$A$18,0)),"Yes","No"))</f>
        <v>No</v>
      </c>
    </row>
    <row r="5682" customFormat="false" ht="15" hidden="false" customHeight="false" outlineLevel="0" collapsed="false">
      <c r="A5682" s="31" t="s">
        <v>5832</v>
      </c>
      <c r="B5682" s="44" t="n">
        <v>46280</v>
      </c>
      <c r="C5682" s="31" t="s">
        <v>60</v>
      </c>
      <c r="D5682" s="31" t="s">
        <v>66</v>
      </c>
      <c r="E5682" s="31" t="s">
        <v>52</v>
      </c>
      <c r="F5682" s="31" t="s">
        <v>122</v>
      </c>
      <c r="G5682" s="31" t="n">
        <v>4</v>
      </c>
      <c r="H5682" s="41" t="n">
        <v>18.8</v>
      </c>
      <c r="I5682" s="31" t="s">
        <v>149</v>
      </c>
      <c r="J5682" s="31"/>
      <c r="K5682" s="31" t="s">
        <v>150</v>
      </c>
      <c r="L5682" s="45" t="n">
        <f aca="false">DATE(YEAR(B5682),MONTH(B5682),1)</f>
        <v>46266</v>
      </c>
      <c r="M5682" s="31" t="n">
        <f aca="false">WEEKDAY(B5682,2)</f>
        <v>2</v>
      </c>
      <c r="N5682" s="31" t="str">
        <f aca="false">IF(G5682&lt;=INDEX(Assumptions!$B$15:$B$18,MATCH(E5682,Assumptions!$A$15:$A$18,0)),"Yes","No")</f>
        <v>Yes</v>
      </c>
      <c r="O5682" s="31" t="str">
        <f aca="false">IF(H5682="","Open",IF(H5682&lt;=INDEX(Assumptions!$C$15:$C$18,MATCH(E5682,Assumptions!$A$15:$A$18,0)),"Yes","No"))</f>
        <v>Yes</v>
      </c>
    </row>
    <row r="5683" customFormat="false" ht="15" hidden="false" customHeight="false" outlineLevel="0" collapsed="false">
      <c r="A5683" s="31" t="s">
        <v>5833</v>
      </c>
      <c r="B5683" s="44" t="n">
        <v>46280</v>
      </c>
      <c r="C5683" s="31" t="s">
        <v>60</v>
      </c>
      <c r="D5683" s="31" t="s">
        <v>66</v>
      </c>
      <c r="E5683" s="31" t="s">
        <v>50</v>
      </c>
      <c r="F5683" s="31" t="s">
        <v>133</v>
      </c>
      <c r="G5683" s="31" t="n">
        <v>1</v>
      </c>
      <c r="H5683" s="41" t="n">
        <v>2</v>
      </c>
      <c r="I5683" s="31" t="s">
        <v>149</v>
      </c>
      <c r="J5683" s="31"/>
      <c r="K5683" s="31" t="s">
        <v>150</v>
      </c>
      <c r="L5683" s="45" t="n">
        <f aca="false">DATE(YEAR(B5683),MONTH(B5683),1)</f>
        <v>46266</v>
      </c>
      <c r="M5683" s="31" t="n">
        <f aca="false">WEEKDAY(B5683,2)</f>
        <v>2</v>
      </c>
      <c r="N5683" s="31" t="str">
        <f aca="false">IF(G5683&lt;=INDEX(Assumptions!$B$15:$B$18,MATCH(E5683,Assumptions!$A$15:$A$18,0)),"Yes","No")</f>
        <v>Yes</v>
      </c>
      <c r="O5683" s="31" t="str">
        <f aca="false">IF(H5683="","Open",IF(H5683&lt;=INDEX(Assumptions!$C$15:$C$18,MATCH(E5683,Assumptions!$A$15:$A$18,0)),"Yes","No"))</f>
        <v>Yes</v>
      </c>
    </row>
    <row r="5684" customFormat="false" ht="15" hidden="false" customHeight="false" outlineLevel="0" collapsed="false">
      <c r="A5684" s="31" t="s">
        <v>5834</v>
      </c>
      <c r="B5684" s="44" t="n">
        <v>46280</v>
      </c>
      <c r="C5684" s="31" t="s">
        <v>58</v>
      </c>
      <c r="D5684" s="31" t="s">
        <v>66</v>
      </c>
      <c r="E5684" s="31" t="s">
        <v>51</v>
      </c>
      <c r="F5684" s="31" t="s">
        <v>128</v>
      </c>
      <c r="G5684" s="31" t="n">
        <v>8</v>
      </c>
      <c r="H5684" s="41"/>
      <c r="I5684" s="31" t="s">
        <v>158</v>
      </c>
      <c r="J5684" s="31"/>
      <c r="K5684" s="31" t="s">
        <v>150</v>
      </c>
      <c r="L5684" s="45" t="n">
        <f aca="false">DATE(YEAR(B5684),MONTH(B5684),1)</f>
        <v>46266</v>
      </c>
      <c r="M5684" s="31" t="n">
        <f aca="false">WEEKDAY(B5684,2)</f>
        <v>2</v>
      </c>
      <c r="N5684" s="31" t="str">
        <f aca="false">IF(G5684&lt;=INDEX(Assumptions!$B$15:$B$18,MATCH(E5684,Assumptions!$A$15:$A$18,0)),"Yes","No")</f>
        <v>Yes</v>
      </c>
      <c r="O5684" s="31" t="str">
        <f aca="false">IF(H5684="","Open",IF(H5684&lt;=INDEX(Assumptions!$C$15:$C$18,MATCH(E5684,Assumptions!$A$15:$A$18,0)),"Yes","No"))</f>
        <v>Open</v>
      </c>
    </row>
    <row r="5685" customFormat="false" ht="15" hidden="false" customHeight="false" outlineLevel="0" collapsed="false">
      <c r="A5685" s="31" t="s">
        <v>5835</v>
      </c>
      <c r="B5685" s="44" t="n">
        <v>46280</v>
      </c>
      <c r="C5685" s="31" t="s">
        <v>57</v>
      </c>
      <c r="D5685" s="31" t="s">
        <v>65</v>
      </c>
      <c r="E5685" s="31" t="s">
        <v>52</v>
      </c>
      <c r="F5685" s="31" t="s">
        <v>127</v>
      </c>
      <c r="G5685" s="31" t="n">
        <v>5</v>
      </c>
      <c r="H5685" s="41" t="n">
        <v>12.1</v>
      </c>
      <c r="I5685" s="31" t="s">
        <v>149</v>
      </c>
      <c r="J5685" s="31"/>
      <c r="K5685" s="31" t="s">
        <v>150</v>
      </c>
      <c r="L5685" s="45" t="n">
        <f aca="false">DATE(YEAR(B5685),MONTH(B5685),1)</f>
        <v>46266</v>
      </c>
      <c r="M5685" s="31" t="n">
        <f aca="false">WEEKDAY(B5685,2)</f>
        <v>2</v>
      </c>
      <c r="N5685" s="31" t="str">
        <f aca="false">IF(G5685&lt;=INDEX(Assumptions!$B$15:$B$18,MATCH(E5685,Assumptions!$A$15:$A$18,0)),"Yes","No")</f>
        <v>Yes</v>
      </c>
      <c r="O5685" s="31" t="str">
        <f aca="false">IF(H5685="","Open",IF(H5685&lt;=INDEX(Assumptions!$C$15:$C$18,MATCH(E5685,Assumptions!$A$15:$A$18,0)),"Yes","No"))</f>
        <v>Yes</v>
      </c>
    </row>
    <row r="5686" customFormat="false" ht="15" hidden="false" customHeight="false" outlineLevel="0" collapsed="false">
      <c r="A5686" s="31" t="s">
        <v>5836</v>
      </c>
      <c r="B5686" s="44" t="n">
        <v>46280</v>
      </c>
      <c r="C5686" s="31" t="s">
        <v>58</v>
      </c>
      <c r="D5686" s="31" t="s">
        <v>66</v>
      </c>
      <c r="E5686" s="31" t="s">
        <v>51</v>
      </c>
      <c r="F5686" s="31" t="s">
        <v>136</v>
      </c>
      <c r="G5686" s="31" t="n">
        <v>29</v>
      </c>
      <c r="H5686" s="41" t="n">
        <v>1.8</v>
      </c>
      <c r="I5686" s="31" t="s">
        <v>149</v>
      </c>
      <c r="J5686" s="31" t="n">
        <v>5</v>
      </c>
      <c r="K5686" s="31" t="s">
        <v>153</v>
      </c>
      <c r="L5686" s="45" t="n">
        <f aca="false">DATE(YEAR(B5686),MONTH(B5686),1)</f>
        <v>46266</v>
      </c>
      <c r="M5686" s="31" t="n">
        <f aca="false">WEEKDAY(B5686,2)</f>
        <v>2</v>
      </c>
      <c r="N5686" s="31" t="str">
        <f aca="false">IF(G5686&lt;=INDEX(Assumptions!$B$15:$B$18,MATCH(E5686,Assumptions!$A$15:$A$18,0)),"Yes","No")</f>
        <v>Yes</v>
      </c>
      <c r="O5686" s="31" t="str">
        <f aca="false">IF(H5686="","Open",IF(H5686&lt;=INDEX(Assumptions!$C$15:$C$18,MATCH(E5686,Assumptions!$A$15:$A$18,0)),"Yes","No"))</f>
        <v>Yes</v>
      </c>
    </row>
    <row r="5687" customFormat="false" ht="15" hidden="false" customHeight="false" outlineLevel="0" collapsed="false">
      <c r="A5687" s="31" t="s">
        <v>5837</v>
      </c>
      <c r="B5687" s="44" t="n">
        <v>46280</v>
      </c>
      <c r="C5687" s="31" t="s">
        <v>57</v>
      </c>
      <c r="D5687" s="31" t="s">
        <v>67</v>
      </c>
      <c r="E5687" s="31" t="s">
        <v>52</v>
      </c>
      <c r="F5687" s="31" t="s">
        <v>126</v>
      </c>
      <c r="G5687" s="31" t="n">
        <v>3</v>
      </c>
      <c r="H5687" s="41" t="n">
        <v>6.3</v>
      </c>
      <c r="I5687" s="31" t="s">
        <v>149</v>
      </c>
      <c r="J5687" s="31"/>
      <c r="K5687" s="31" t="s">
        <v>150</v>
      </c>
      <c r="L5687" s="45" t="n">
        <f aca="false">DATE(YEAR(B5687),MONTH(B5687),1)</f>
        <v>46266</v>
      </c>
      <c r="M5687" s="31" t="n">
        <f aca="false">WEEKDAY(B5687,2)</f>
        <v>2</v>
      </c>
      <c r="N5687" s="31" t="str">
        <f aca="false">IF(G5687&lt;=INDEX(Assumptions!$B$15:$B$18,MATCH(E5687,Assumptions!$A$15:$A$18,0)),"Yes","No")</f>
        <v>Yes</v>
      </c>
      <c r="O5687" s="31" t="str">
        <f aca="false">IF(H5687="","Open",IF(H5687&lt;=INDEX(Assumptions!$C$15:$C$18,MATCH(E5687,Assumptions!$A$15:$A$18,0)),"Yes","No"))</f>
        <v>Yes</v>
      </c>
    </row>
    <row r="5688" customFormat="false" ht="15" hidden="false" customHeight="false" outlineLevel="0" collapsed="false">
      <c r="A5688" s="31" t="s">
        <v>5838</v>
      </c>
      <c r="B5688" s="44" t="n">
        <v>46280</v>
      </c>
      <c r="C5688" s="31" t="s">
        <v>57</v>
      </c>
      <c r="D5688" s="31" t="s">
        <v>68</v>
      </c>
      <c r="E5688" s="31" t="s">
        <v>50</v>
      </c>
      <c r="F5688" s="31" t="s">
        <v>124</v>
      </c>
      <c r="G5688" s="31" t="n">
        <v>6</v>
      </c>
      <c r="H5688" s="41" t="n">
        <v>0.3</v>
      </c>
      <c r="I5688" s="31" t="s">
        <v>149</v>
      </c>
      <c r="J5688" s="31"/>
      <c r="K5688" s="31" t="s">
        <v>150</v>
      </c>
      <c r="L5688" s="45" t="n">
        <f aca="false">DATE(YEAR(B5688),MONTH(B5688),1)</f>
        <v>46266</v>
      </c>
      <c r="M5688" s="31" t="n">
        <f aca="false">WEEKDAY(B5688,2)</f>
        <v>2</v>
      </c>
      <c r="N5688" s="31" t="str">
        <f aca="false">IF(G5688&lt;=INDEX(Assumptions!$B$15:$B$18,MATCH(E5688,Assumptions!$A$15:$A$18,0)),"Yes","No")</f>
        <v>Yes</v>
      </c>
      <c r="O5688" s="31" t="str">
        <f aca="false">IF(H5688="","Open",IF(H5688&lt;=INDEX(Assumptions!$C$15:$C$18,MATCH(E5688,Assumptions!$A$15:$A$18,0)),"Yes","No"))</f>
        <v>Yes</v>
      </c>
    </row>
    <row r="5689" customFormat="false" ht="15" hidden="false" customHeight="false" outlineLevel="0" collapsed="false">
      <c r="A5689" s="31" t="s">
        <v>5839</v>
      </c>
      <c r="B5689" s="44" t="n">
        <v>46280</v>
      </c>
      <c r="C5689" s="31" t="s">
        <v>58</v>
      </c>
      <c r="D5689" s="31" t="s">
        <v>69</v>
      </c>
      <c r="E5689" s="31" t="s">
        <v>52</v>
      </c>
      <c r="F5689" s="31" t="s">
        <v>122</v>
      </c>
      <c r="G5689" s="31" t="n">
        <v>8</v>
      </c>
      <c r="H5689" s="41" t="n">
        <v>11.9</v>
      </c>
      <c r="I5689" s="31" t="s">
        <v>149</v>
      </c>
      <c r="J5689" s="31" t="n">
        <v>4</v>
      </c>
      <c r="K5689" s="31" t="s">
        <v>150</v>
      </c>
      <c r="L5689" s="45" t="n">
        <f aca="false">DATE(YEAR(B5689),MONTH(B5689),1)</f>
        <v>46266</v>
      </c>
      <c r="M5689" s="31" t="n">
        <f aca="false">WEEKDAY(B5689,2)</f>
        <v>2</v>
      </c>
      <c r="N5689" s="31" t="str">
        <f aca="false">IF(G5689&lt;=INDEX(Assumptions!$B$15:$B$18,MATCH(E5689,Assumptions!$A$15:$A$18,0)),"Yes","No")</f>
        <v>Yes</v>
      </c>
      <c r="O5689" s="31" t="str">
        <f aca="false">IF(H5689="","Open",IF(H5689&lt;=INDEX(Assumptions!$C$15:$C$18,MATCH(E5689,Assumptions!$A$15:$A$18,0)),"Yes","No"))</f>
        <v>Yes</v>
      </c>
    </row>
    <row r="5690" customFormat="false" ht="15" hidden="false" customHeight="false" outlineLevel="0" collapsed="false">
      <c r="A5690" s="31" t="s">
        <v>5840</v>
      </c>
      <c r="B5690" s="44" t="n">
        <v>46280</v>
      </c>
      <c r="C5690" s="31" t="s">
        <v>60</v>
      </c>
      <c r="D5690" s="31" t="s">
        <v>67</v>
      </c>
      <c r="E5690" s="31" t="s">
        <v>51</v>
      </c>
      <c r="F5690" s="31" t="s">
        <v>120</v>
      </c>
      <c r="G5690" s="31" t="n">
        <v>4</v>
      </c>
      <c r="H5690" s="41" t="n">
        <v>30.3</v>
      </c>
      <c r="I5690" s="31" t="s">
        <v>149</v>
      </c>
      <c r="J5690" s="31"/>
      <c r="K5690" s="31" t="s">
        <v>150</v>
      </c>
      <c r="L5690" s="45" t="n">
        <f aca="false">DATE(YEAR(B5690),MONTH(B5690),1)</f>
        <v>46266</v>
      </c>
      <c r="M5690" s="31" t="n">
        <f aca="false">WEEKDAY(B5690,2)</f>
        <v>2</v>
      </c>
      <c r="N5690" s="31" t="str">
        <f aca="false">IF(G5690&lt;=INDEX(Assumptions!$B$15:$B$18,MATCH(E5690,Assumptions!$A$15:$A$18,0)),"Yes","No")</f>
        <v>Yes</v>
      </c>
      <c r="O5690" s="31" t="str">
        <f aca="false">IF(H5690="","Open",IF(H5690&lt;=INDEX(Assumptions!$C$15:$C$18,MATCH(E5690,Assumptions!$A$15:$A$18,0)),"Yes","No"))</f>
        <v>No</v>
      </c>
    </row>
    <row r="5691" customFormat="false" ht="15" hidden="false" customHeight="false" outlineLevel="0" collapsed="false">
      <c r="A5691" s="31" t="s">
        <v>5841</v>
      </c>
      <c r="B5691" s="44" t="n">
        <v>46280</v>
      </c>
      <c r="C5691" s="31" t="s">
        <v>57</v>
      </c>
      <c r="D5691" s="31" t="s">
        <v>66</v>
      </c>
      <c r="E5691" s="31" t="s">
        <v>52</v>
      </c>
      <c r="F5691" s="31" t="s">
        <v>120</v>
      </c>
      <c r="G5691" s="31" t="n">
        <v>8</v>
      </c>
      <c r="H5691" s="41" t="n">
        <v>15</v>
      </c>
      <c r="I5691" s="31" t="s">
        <v>149</v>
      </c>
      <c r="J5691" s="31" t="n">
        <v>4</v>
      </c>
      <c r="K5691" s="31" t="s">
        <v>150</v>
      </c>
      <c r="L5691" s="45" t="n">
        <f aca="false">DATE(YEAR(B5691),MONTH(B5691),1)</f>
        <v>46266</v>
      </c>
      <c r="M5691" s="31" t="n">
        <f aca="false">WEEKDAY(B5691,2)</f>
        <v>2</v>
      </c>
      <c r="N5691" s="31" t="str">
        <f aca="false">IF(G5691&lt;=INDEX(Assumptions!$B$15:$B$18,MATCH(E5691,Assumptions!$A$15:$A$18,0)),"Yes","No")</f>
        <v>Yes</v>
      </c>
      <c r="O5691" s="31" t="str">
        <f aca="false">IF(H5691="","Open",IF(H5691&lt;=INDEX(Assumptions!$C$15:$C$18,MATCH(E5691,Assumptions!$A$15:$A$18,0)),"Yes","No"))</f>
        <v>Yes</v>
      </c>
    </row>
    <row r="5692" customFormat="false" ht="15" hidden="false" customHeight="false" outlineLevel="0" collapsed="false">
      <c r="A5692" s="31" t="s">
        <v>5842</v>
      </c>
      <c r="B5692" s="44" t="n">
        <v>46280</v>
      </c>
      <c r="C5692" s="31" t="s">
        <v>59</v>
      </c>
      <c r="D5692" s="31" t="s">
        <v>67</v>
      </c>
      <c r="E5692" s="31" t="s">
        <v>52</v>
      </c>
      <c r="F5692" s="31" t="s">
        <v>137</v>
      </c>
      <c r="G5692" s="31" t="n">
        <v>45</v>
      </c>
      <c r="H5692" s="41" t="n">
        <v>21.1</v>
      </c>
      <c r="I5692" s="31" t="s">
        <v>149</v>
      </c>
      <c r="J5692" s="31" t="n">
        <v>5</v>
      </c>
      <c r="K5692" s="31" t="s">
        <v>150</v>
      </c>
      <c r="L5692" s="45" t="n">
        <f aca="false">DATE(YEAR(B5692),MONTH(B5692),1)</f>
        <v>46266</v>
      </c>
      <c r="M5692" s="31" t="n">
        <f aca="false">WEEKDAY(B5692,2)</f>
        <v>2</v>
      </c>
      <c r="N5692" s="31" t="str">
        <f aca="false">IF(G5692&lt;=INDEX(Assumptions!$B$15:$B$18,MATCH(E5692,Assumptions!$A$15:$A$18,0)),"Yes","No")</f>
        <v>Yes</v>
      </c>
      <c r="O5692" s="31" t="str">
        <f aca="false">IF(H5692="","Open",IF(H5692&lt;=INDEX(Assumptions!$C$15:$C$18,MATCH(E5692,Assumptions!$A$15:$A$18,0)),"Yes","No"))</f>
        <v>Yes</v>
      </c>
    </row>
    <row r="5693" customFormat="false" ht="15" hidden="false" customHeight="false" outlineLevel="0" collapsed="false">
      <c r="A5693" s="31" t="s">
        <v>5843</v>
      </c>
      <c r="B5693" s="44" t="n">
        <v>46280</v>
      </c>
      <c r="C5693" s="31" t="s">
        <v>57</v>
      </c>
      <c r="D5693" s="31" t="s">
        <v>65</v>
      </c>
      <c r="E5693" s="31" t="s">
        <v>52</v>
      </c>
      <c r="F5693" s="31" t="s">
        <v>130</v>
      </c>
      <c r="G5693" s="31" t="n">
        <v>3</v>
      </c>
      <c r="H5693" s="41" t="n">
        <v>9.5</v>
      </c>
      <c r="I5693" s="31" t="s">
        <v>149</v>
      </c>
      <c r="J5693" s="31" t="n">
        <v>5</v>
      </c>
      <c r="K5693" s="31" t="s">
        <v>150</v>
      </c>
      <c r="L5693" s="45" t="n">
        <f aca="false">DATE(YEAR(B5693),MONTH(B5693),1)</f>
        <v>46266</v>
      </c>
      <c r="M5693" s="31" t="n">
        <f aca="false">WEEKDAY(B5693,2)</f>
        <v>2</v>
      </c>
      <c r="N5693" s="31" t="str">
        <f aca="false">IF(G5693&lt;=INDEX(Assumptions!$B$15:$B$18,MATCH(E5693,Assumptions!$A$15:$A$18,0)),"Yes","No")</f>
        <v>Yes</v>
      </c>
      <c r="O5693" s="31" t="str">
        <f aca="false">IF(H5693="","Open",IF(H5693&lt;=INDEX(Assumptions!$C$15:$C$18,MATCH(E5693,Assumptions!$A$15:$A$18,0)),"Yes","No"))</f>
        <v>Yes</v>
      </c>
    </row>
    <row r="5694" customFormat="false" ht="15" hidden="false" customHeight="false" outlineLevel="0" collapsed="false">
      <c r="A5694" s="31" t="s">
        <v>5844</v>
      </c>
      <c r="B5694" s="44" t="n">
        <v>46280</v>
      </c>
      <c r="C5694" s="31" t="s">
        <v>57</v>
      </c>
      <c r="D5694" s="31" t="s">
        <v>65</v>
      </c>
      <c r="E5694" s="31" t="s">
        <v>52</v>
      </c>
      <c r="F5694" s="31" t="s">
        <v>123</v>
      </c>
      <c r="G5694" s="31" t="n">
        <v>5</v>
      </c>
      <c r="H5694" s="41" t="n">
        <v>57.2</v>
      </c>
      <c r="I5694" s="31" t="s">
        <v>64</v>
      </c>
      <c r="J5694" s="31" t="n">
        <v>5</v>
      </c>
      <c r="K5694" s="31" t="s">
        <v>150</v>
      </c>
      <c r="L5694" s="45" t="n">
        <f aca="false">DATE(YEAR(B5694),MONTH(B5694),1)</f>
        <v>46266</v>
      </c>
      <c r="M5694" s="31" t="n">
        <f aca="false">WEEKDAY(B5694,2)</f>
        <v>2</v>
      </c>
      <c r="N5694" s="31" t="str">
        <f aca="false">IF(G5694&lt;=INDEX(Assumptions!$B$15:$B$18,MATCH(E5694,Assumptions!$A$15:$A$18,0)),"Yes","No")</f>
        <v>Yes</v>
      </c>
      <c r="O5694" s="31" t="str">
        <f aca="false">IF(H5694="","Open",IF(H5694&lt;=INDEX(Assumptions!$C$15:$C$18,MATCH(E5694,Assumptions!$A$15:$A$18,0)),"Yes","No"))</f>
        <v>Yes</v>
      </c>
    </row>
    <row r="5695" customFormat="false" ht="15" hidden="false" customHeight="false" outlineLevel="0" collapsed="false">
      <c r="A5695" s="31" t="s">
        <v>5845</v>
      </c>
      <c r="B5695" s="44" t="n">
        <v>46280</v>
      </c>
      <c r="C5695" s="31" t="s">
        <v>57</v>
      </c>
      <c r="D5695" s="31" t="s">
        <v>66</v>
      </c>
      <c r="E5695" s="31" t="s">
        <v>50</v>
      </c>
      <c r="F5695" s="31" t="s">
        <v>123</v>
      </c>
      <c r="G5695" s="31" t="n">
        <v>1</v>
      </c>
      <c r="H5695" s="41" t="n">
        <v>4.6</v>
      </c>
      <c r="I5695" s="31" t="s">
        <v>149</v>
      </c>
      <c r="J5695" s="31"/>
      <c r="K5695" s="31" t="s">
        <v>150</v>
      </c>
      <c r="L5695" s="45" t="n">
        <f aca="false">DATE(YEAR(B5695),MONTH(B5695),1)</f>
        <v>46266</v>
      </c>
      <c r="M5695" s="31" t="n">
        <f aca="false">WEEKDAY(B5695,2)</f>
        <v>2</v>
      </c>
      <c r="N5695" s="31" t="str">
        <f aca="false">IF(G5695&lt;=INDEX(Assumptions!$B$15:$B$18,MATCH(E5695,Assumptions!$A$15:$A$18,0)),"Yes","No")</f>
        <v>Yes</v>
      </c>
      <c r="O5695" s="31" t="str">
        <f aca="false">IF(H5695="","Open",IF(H5695&lt;=INDEX(Assumptions!$C$15:$C$18,MATCH(E5695,Assumptions!$A$15:$A$18,0)),"Yes","No"))</f>
        <v>Yes</v>
      </c>
    </row>
    <row r="5696" customFormat="false" ht="15" hidden="false" customHeight="false" outlineLevel="0" collapsed="false">
      <c r="A5696" s="31" t="s">
        <v>5846</v>
      </c>
      <c r="B5696" s="44" t="n">
        <v>46280</v>
      </c>
      <c r="C5696" s="31" t="s">
        <v>57</v>
      </c>
      <c r="D5696" s="31" t="s">
        <v>65</v>
      </c>
      <c r="E5696" s="31" t="s">
        <v>52</v>
      </c>
      <c r="F5696" s="31" t="s">
        <v>136</v>
      </c>
      <c r="G5696" s="31" t="n">
        <v>3</v>
      </c>
      <c r="H5696" s="41" t="n">
        <v>21.4</v>
      </c>
      <c r="I5696" s="31" t="s">
        <v>149</v>
      </c>
      <c r="J5696" s="31" t="n">
        <v>4</v>
      </c>
      <c r="K5696" s="31" t="s">
        <v>150</v>
      </c>
      <c r="L5696" s="45" t="n">
        <f aca="false">DATE(YEAR(B5696),MONTH(B5696),1)</f>
        <v>46266</v>
      </c>
      <c r="M5696" s="31" t="n">
        <f aca="false">WEEKDAY(B5696,2)</f>
        <v>2</v>
      </c>
      <c r="N5696" s="31" t="str">
        <f aca="false">IF(G5696&lt;=INDEX(Assumptions!$B$15:$B$18,MATCH(E5696,Assumptions!$A$15:$A$18,0)),"Yes","No")</f>
        <v>Yes</v>
      </c>
      <c r="O5696" s="31" t="str">
        <f aca="false">IF(H5696="","Open",IF(H5696&lt;=INDEX(Assumptions!$C$15:$C$18,MATCH(E5696,Assumptions!$A$15:$A$18,0)),"Yes","No"))</f>
        <v>Yes</v>
      </c>
    </row>
    <row r="5697" customFormat="false" ht="15" hidden="false" customHeight="false" outlineLevel="0" collapsed="false">
      <c r="A5697" s="31" t="s">
        <v>5847</v>
      </c>
      <c r="B5697" s="44" t="n">
        <v>46280</v>
      </c>
      <c r="C5697" s="31" t="s">
        <v>58</v>
      </c>
      <c r="D5697" s="31" t="s">
        <v>65</v>
      </c>
      <c r="E5697" s="31" t="s">
        <v>51</v>
      </c>
      <c r="F5697" s="31" t="s">
        <v>119</v>
      </c>
      <c r="G5697" s="31" t="n">
        <v>5</v>
      </c>
      <c r="H5697" s="41" t="n">
        <v>7.4</v>
      </c>
      <c r="I5697" s="31" t="s">
        <v>149</v>
      </c>
      <c r="J5697" s="31"/>
      <c r="K5697" s="31" t="s">
        <v>150</v>
      </c>
      <c r="L5697" s="45" t="n">
        <f aca="false">DATE(YEAR(B5697),MONTH(B5697),1)</f>
        <v>46266</v>
      </c>
      <c r="M5697" s="31" t="n">
        <f aca="false">WEEKDAY(B5697,2)</f>
        <v>2</v>
      </c>
      <c r="N5697" s="31" t="str">
        <f aca="false">IF(G5697&lt;=INDEX(Assumptions!$B$15:$B$18,MATCH(E5697,Assumptions!$A$15:$A$18,0)),"Yes","No")</f>
        <v>Yes</v>
      </c>
      <c r="O5697" s="31" t="str">
        <f aca="false">IF(H5697="","Open",IF(H5697&lt;=INDEX(Assumptions!$C$15:$C$18,MATCH(E5697,Assumptions!$A$15:$A$18,0)),"Yes","No"))</f>
        <v>Yes</v>
      </c>
    </row>
    <row r="5698" customFormat="false" ht="15" hidden="false" customHeight="false" outlineLevel="0" collapsed="false">
      <c r="A5698" s="31" t="s">
        <v>5848</v>
      </c>
      <c r="B5698" s="44" t="n">
        <v>46280</v>
      </c>
      <c r="C5698" s="31" t="s">
        <v>57</v>
      </c>
      <c r="D5698" s="31" t="s">
        <v>69</v>
      </c>
      <c r="E5698" s="31" t="s">
        <v>51</v>
      </c>
      <c r="F5698" s="31" t="s">
        <v>128</v>
      </c>
      <c r="G5698" s="31" t="n">
        <v>15</v>
      </c>
      <c r="H5698" s="41" t="n">
        <v>45.3</v>
      </c>
      <c r="I5698" s="31" t="s">
        <v>149</v>
      </c>
      <c r="J5698" s="31"/>
      <c r="K5698" s="31" t="s">
        <v>150</v>
      </c>
      <c r="L5698" s="45" t="n">
        <f aca="false">DATE(YEAR(B5698),MONTH(B5698),1)</f>
        <v>46266</v>
      </c>
      <c r="M5698" s="31" t="n">
        <f aca="false">WEEKDAY(B5698,2)</f>
        <v>2</v>
      </c>
      <c r="N5698" s="31" t="str">
        <f aca="false">IF(G5698&lt;=INDEX(Assumptions!$B$15:$B$18,MATCH(E5698,Assumptions!$A$15:$A$18,0)),"Yes","No")</f>
        <v>Yes</v>
      </c>
      <c r="O5698" s="31" t="str">
        <f aca="false">IF(H5698="","Open",IF(H5698&lt;=INDEX(Assumptions!$C$15:$C$18,MATCH(E5698,Assumptions!$A$15:$A$18,0)),"Yes","No"))</f>
        <v>No</v>
      </c>
    </row>
    <row r="5699" customFormat="false" ht="15" hidden="false" customHeight="false" outlineLevel="0" collapsed="false">
      <c r="A5699" s="31" t="s">
        <v>5849</v>
      </c>
      <c r="B5699" s="44" t="n">
        <v>46280</v>
      </c>
      <c r="C5699" s="31" t="s">
        <v>57</v>
      </c>
      <c r="D5699" s="31" t="s">
        <v>69</v>
      </c>
      <c r="E5699" s="31" t="s">
        <v>52</v>
      </c>
      <c r="F5699" s="31" t="s">
        <v>128</v>
      </c>
      <c r="G5699" s="31" t="n">
        <v>5</v>
      </c>
      <c r="H5699" s="41" t="n">
        <v>54.4</v>
      </c>
      <c r="I5699" s="31" t="s">
        <v>149</v>
      </c>
      <c r="J5699" s="31"/>
      <c r="K5699" s="31" t="s">
        <v>150</v>
      </c>
      <c r="L5699" s="45" t="n">
        <f aca="false">DATE(YEAR(B5699),MONTH(B5699),1)</f>
        <v>46266</v>
      </c>
      <c r="M5699" s="31" t="n">
        <f aca="false">WEEKDAY(B5699,2)</f>
        <v>2</v>
      </c>
      <c r="N5699" s="31" t="str">
        <f aca="false">IF(G5699&lt;=INDEX(Assumptions!$B$15:$B$18,MATCH(E5699,Assumptions!$A$15:$A$18,0)),"Yes","No")</f>
        <v>Yes</v>
      </c>
      <c r="O5699" s="31" t="str">
        <f aca="false">IF(H5699="","Open",IF(H5699&lt;=INDEX(Assumptions!$C$15:$C$18,MATCH(E5699,Assumptions!$A$15:$A$18,0)),"Yes","No"))</f>
        <v>Yes</v>
      </c>
    </row>
    <row r="5700" customFormat="false" ht="15" hidden="false" customHeight="false" outlineLevel="0" collapsed="false">
      <c r="A5700" s="31" t="s">
        <v>5850</v>
      </c>
      <c r="B5700" s="44" t="n">
        <v>46280</v>
      </c>
      <c r="C5700" s="31" t="s">
        <v>57</v>
      </c>
      <c r="D5700" s="31" t="s">
        <v>65</v>
      </c>
      <c r="E5700" s="31" t="s">
        <v>51</v>
      </c>
      <c r="F5700" s="31" t="s">
        <v>130</v>
      </c>
      <c r="G5700" s="31" t="n">
        <v>3</v>
      </c>
      <c r="H5700" s="41" t="n">
        <v>15.4</v>
      </c>
      <c r="I5700" s="31" t="s">
        <v>149</v>
      </c>
      <c r="J5700" s="31" t="n">
        <v>5</v>
      </c>
      <c r="K5700" s="31" t="s">
        <v>150</v>
      </c>
      <c r="L5700" s="45" t="n">
        <f aca="false">DATE(YEAR(B5700),MONTH(B5700),1)</f>
        <v>46266</v>
      </c>
      <c r="M5700" s="31" t="n">
        <f aca="false">WEEKDAY(B5700,2)</f>
        <v>2</v>
      </c>
      <c r="N5700" s="31" t="str">
        <f aca="false">IF(G5700&lt;=INDEX(Assumptions!$B$15:$B$18,MATCH(E5700,Assumptions!$A$15:$A$18,0)),"Yes","No")</f>
        <v>Yes</v>
      </c>
      <c r="O5700" s="31" t="str">
        <f aca="false">IF(H5700="","Open",IF(H5700&lt;=INDEX(Assumptions!$C$15:$C$18,MATCH(E5700,Assumptions!$A$15:$A$18,0)),"Yes","No"))</f>
        <v>Yes</v>
      </c>
    </row>
    <row r="5701" customFormat="false" ht="15" hidden="false" customHeight="false" outlineLevel="0" collapsed="false">
      <c r="A5701" s="31" t="s">
        <v>5851</v>
      </c>
      <c r="B5701" s="44" t="n">
        <v>46280</v>
      </c>
      <c r="C5701" s="31" t="s">
        <v>59</v>
      </c>
      <c r="D5701" s="31" t="s">
        <v>66</v>
      </c>
      <c r="E5701" s="31" t="s">
        <v>52</v>
      </c>
      <c r="F5701" s="31" t="s">
        <v>137</v>
      </c>
      <c r="G5701" s="31" t="n">
        <v>206</v>
      </c>
      <c r="H5701" s="41" t="n">
        <v>7.7</v>
      </c>
      <c r="I5701" s="31" t="s">
        <v>149</v>
      </c>
      <c r="J5701" s="31" t="n">
        <v>4</v>
      </c>
      <c r="K5701" s="31" t="s">
        <v>150</v>
      </c>
      <c r="L5701" s="45" t="n">
        <f aca="false">DATE(YEAR(B5701),MONTH(B5701),1)</f>
        <v>46266</v>
      </c>
      <c r="M5701" s="31" t="n">
        <f aca="false">WEEKDAY(B5701,2)</f>
        <v>2</v>
      </c>
      <c r="N5701" s="31" t="str">
        <f aca="false">IF(G5701&lt;=INDEX(Assumptions!$B$15:$B$18,MATCH(E5701,Assumptions!$A$15:$A$18,0)),"Yes","No")</f>
        <v>Yes</v>
      </c>
      <c r="O5701" s="31" t="str">
        <f aca="false">IF(H5701="","Open",IF(H5701&lt;=INDEX(Assumptions!$C$15:$C$18,MATCH(E5701,Assumptions!$A$15:$A$18,0)),"Yes","No"))</f>
        <v>Yes</v>
      </c>
    </row>
    <row r="5702" customFormat="false" ht="15" hidden="false" customHeight="false" outlineLevel="0" collapsed="false">
      <c r="A5702" s="31" t="s">
        <v>5852</v>
      </c>
      <c r="B5702" s="44" t="n">
        <v>46280</v>
      </c>
      <c r="C5702" s="31" t="s">
        <v>58</v>
      </c>
      <c r="D5702" s="31" t="s">
        <v>66</v>
      </c>
      <c r="E5702" s="31" t="s">
        <v>51</v>
      </c>
      <c r="F5702" s="31" t="s">
        <v>123</v>
      </c>
      <c r="G5702" s="31" t="n">
        <v>16</v>
      </c>
      <c r="H5702" s="41" t="n">
        <v>10.4</v>
      </c>
      <c r="I5702" s="31" t="s">
        <v>149</v>
      </c>
      <c r="J5702" s="31" t="n">
        <v>5</v>
      </c>
      <c r="K5702" s="31" t="s">
        <v>150</v>
      </c>
      <c r="L5702" s="45" t="n">
        <f aca="false">DATE(YEAR(B5702),MONTH(B5702),1)</f>
        <v>46266</v>
      </c>
      <c r="M5702" s="31" t="n">
        <f aca="false">WEEKDAY(B5702,2)</f>
        <v>2</v>
      </c>
      <c r="N5702" s="31" t="str">
        <f aca="false">IF(G5702&lt;=INDEX(Assumptions!$B$15:$B$18,MATCH(E5702,Assumptions!$A$15:$A$18,0)),"Yes","No")</f>
        <v>Yes</v>
      </c>
      <c r="O5702" s="31" t="str">
        <f aca="false">IF(H5702="","Open",IF(H5702&lt;=INDEX(Assumptions!$C$15:$C$18,MATCH(E5702,Assumptions!$A$15:$A$18,0)),"Yes","No"))</f>
        <v>Yes</v>
      </c>
    </row>
    <row r="5703" customFormat="false" ht="15" hidden="false" customHeight="false" outlineLevel="0" collapsed="false">
      <c r="A5703" s="31" t="s">
        <v>5853</v>
      </c>
      <c r="B5703" s="44" t="n">
        <v>46280</v>
      </c>
      <c r="C5703" s="31" t="s">
        <v>58</v>
      </c>
      <c r="D5703" s="31" t="s">
        <v>66</v>
      </c>
      <c r="E5703" s="31" t="s">
        <v>51</v>
      </c>
      <c r="F5703" s="31" t="s">
        <v>126</v>
      </c>
      <c r="G5703" s="31" t="n">
        <v>22</v>
      </c>
      <c r="H5703" s="41" t="n">
        <v>9.3</v>
      </c>
      <c r="I5703" s="31" t="s">
        <v>149</v>
      </c>
      <c r="J5703" s="31" t="n">
        <v>4</v>
      </c>
      <c r="K5703" s="31" t="s">
        <v>150</v>
      </c>
      <c r="L5703" s="45" t="n">
        <f aca="false">DATE(YEAR(B5703),MONTH(B5703),1)</f>
        <v>46266</v>
      </c>
      <c r="M5703" s="31" t="n">
        <f aca="false">WEEKDAY(B5703,2)</f>
        <v>2</v>
      </c>
      <c r="N5703" s="31" t="str">
        <f aca="false">IF(G5703&lt;=INDEX(Assumptions!$B$15:$B$18,MATCH(E5703,Assumptions!$A$15:$A$18,0)),"Yes","No")</f>
        <v>Yes</v>
      </c>
      <c r="O5703" s="31" t="str">
        <f aca="false">IF(H5703="","Open",IF(H5703&lt;=INDEX(Assumptions!$C$15:$C$18,MATCH(E5703,Assumptions!$A$15:$A$18,0)),"Yes","No"))</f>
        <v>Yes</v>
      </c>
    </row>
    <row r="5704" customFormat="false" ht="15" hidden="false" customHeight="false" outlineLevel="0" collapsed="false">
      <c r="A5704" s="31" t="s">
        <v>5854</v>
      </c>
      <c r="B5704" s="44" t="n">
        <v>46280</v>
      </c>
      <c r="C5704" s="31" t="s">
        <v>60</v>
      </c>
      <c r="D5704" s="31" t="s">
        <v>66</v>
      </c>
      <c r="E5704" s="31" t="s">
        <v>49</v>
      </c>
      <c r="F5704" s="31" t="s">
        <v>134</v>
      </c>
      <c r="G5704" s="31" t="n">
        <v>2</v>
      </c>
      <c r="H5704" s="41" t="n">
        <v>1.7</v>
      </c>
      <c r="I5704" s="31" t="s">
        <v>149</v>
      </c>
      <c r="J5704" s="31" t="n">
        <v>4</v>
      </c>
      <c r="K5704" s="31" t="s">
        <v>150</v>
      </c>
      <c r="L5704" s="45" t="n">
        <f aca="false">DATE(YEAR(B5704),MONTH(B5704),1)</f>
        <v>46266</v>
      </c>
      <c r="M5704" s="31" t="n">
        <f aca="false">WEEKDAY(B5704,2)</f>
        <v>2</v>
      </c>
      <c r="N5704" s="31" t="str">
        <f aca="false">IF(G5704&lt;=INDEX(Assumptions!$B$15:$B$18,MATCH(E5704,Assumptions!$A$15:$A$18,0)),"Yes","No")</f>
        <v>Yes</v>
      </c>
      <c r="O5704" s="31" t="str">
        <f aca="false">IF(H5704="","Open",IF(H5704&lt;=INDEX(Assumptions!$C$15:$C$18,MATCH(E5704,Assumptions!$A$15:$A$18,0)),"Yes","No"))</f>
        <v>Yes</v>
      </c>
    </row>
    <row r="5705" customFormat="false" ht="15" hidden="false" customHeight="false" outlineLevel="0" collapsed="false">
      <c r="A5705" s="31" t="s">
        <v>5855</v>
      </c>
      <c r="B5705" s="44" t="n">
        <v>46280</v>
      </c>
      <c r="C5705" s="31" t="s">
        <v>57</v>
      </c>
      <c r="D5705" s="31" t="s">
        <v>66</v>
      </c>
      <c r="E5705" s="31" t="s">
        <v>50</v>
      </c>
      <c r="F5705" s="31" t="s">
        <v>124</v>
      </c>
      <c r="G5705" s="31" t="n">
        <v>1</v>
      </c>
      <c r="H5705" s="41" t="n">
        <v>2.9</v>
      </c>
      <c r="I5705" s="31" t="s">
        <v>149</v>
      </c>
      <c r="J5705" s="31" t="n">
        <v>5</v>
      </c>
      <c r="K5705" s="31" t="s">
        <v>150</v>
      </c>
      <c r="L5705" s="45" t="n">
        <f aca="false">DATE(YEAR(B5705),MONTH(B5705),1)</f>
        <v>46266</v>
      </c>
      <c r="M5705" s="31" t="n">
        <f aca="false">WEEKDAY(B5705,2)</f>
        <v>2</v>
      </c>
      <c r="N5705" s="31" t="str">
        <f aca="false">IF(G5705&lt;=INDEX(Assumptions!$B$15:$B$18,MATCH(E5705,Assumptions!$A$15:$A$18,0)),"Yes","No")</f>
        <v>Yes</v>
      </c>
      <c r="O5705" s="31" t="str">
        <f aca="false">IF(H5705="","Open",IF(H5705&lt;=INDEX(Assumptions!$C$15:$C$18,MATCH(E5705,Assumptions!$A$15:$A$18,0)),"Yes","No"))</f>
        <v>Yes</v>
      </c>
    </row>
    <row r="5706" customFormat="false" ht="15" hidden="false" customHeight="false" outlineLevel="0" collapsed="false">
      <c r="A5706" s="31" t="s">
        <v>5856</v>
      </c>
      <c r="B5706" s="44" t="n">
        <v>46280</v>
      </c>
      <c r="C5706" s="31" t="s">
        <v>58</v>
      </c>
      <c r="D5706" s="31" t="s">
        <v>66</v>
      </c>
      <c r="E5706" s="31" t="s">
        <v>51</v>
      </c>
      <c r="F5706" s="31" t="s">
        <v>119</v>
      </c>
      <c r="G5706" s="31" t="n">
        <v>4</v>
      </c>
      <c r="H5706" s="41" t="n">
        <v>6</v>
      </c>
      <c r="I5706" s="31" t="s">
        <v>149</v>
      </c>
      <c r="J5706" s="31" t="n">
        <v>5</v>
      </c>
      <c r="K5706" s="31" t="s">
        <v>150</v>
      </c>
      <c r="L5706" s="45" t="n">
        <f aca="false">DATE(YEAR(B5706),MONTH(B5706),1)</f>
        <v>46266</v>
      </c>
      <c r="M5706" s="31" t="n">
        <f aca="false">WEEKDAY(B5706,2)</f>
        <v>2</v>
      </c>
      <c r="N5706" s="31" t="str">
        <f aca="false">IF(G5706&lt;=INDEX(Assumptions!$B$15:$B$18,MATCH(E5706,Assumptions!$A$15:$A$18,0)),"Yes","No")</f>
        <v>Yes</v>
      </c>
      <c r="O5706" s="31" t="str">
        <f aca="false">IF(H5706="","Open",IF(H5706&lt;=INDEX(Assumptions!$C$15:$C$18,MATCH(E5706,Assumptions!$A$15:$A$18,0)),"Yes","No"))</f>
        <v>Yes</v>
      </c>
    </row>
    <row r="5707" customFormat="false" ht="15" hidden="false" customHeight="false" outlineLevel="0" collapsed="false">
      <c r="A5707" s="31" t="s">
        <v>5857</v>
      </c>
      <c r="B5707" s="44" t="n">
        <v>46280</v>
      </c>
      <c r="C5707" s="31" t="s">
        <v>58</v>
      </c>
      <c r="D5707" s="31" t="s">
        <v>65</v>
      </c>
      <c r="E5707" s="31" t="s">
        <v>52</v>
      </c>
      <c r="F5707" s="31" t="s">
        <v>126</v>
      </c>
      <c r="G5707" s="31" t="n">
        <v>8</v>
      </c>
      <c r="H5707" s="41" t="n">
        <v>35.9</v>
      </c>
      <c r="I5707" s="31" t="s">
        <v>149</v>
      </c>
      <c r="J5707" s="31" t="n">
        <v>5</v>
      </c>
      <c r="K5707" s="31" t="s">
        <v>150</v>
      </c>
      <c r="L5707" s="45" t="n">
        <f aca="false">DATE(YEAR(B5707),MONTH(B5707),1)</f>
        <v>46266</v>
      </c>
      <c r="M5707" s="31" t="n">
        <f aca="false">WEEKDAY(B5707,2)</f>
        <v>2</v>
      </c>
      <c r="N5707" s="31" t="str">
        <f aca="false">IF(G5707&lt;=INDEX(Assumptions!$B$15:$B$18,MATCH(E5707,Assumptions!$A$15:$A$18,0)),"Yes","No")</f>
        <v>Yes</v>
      </c>
      <c r="O5707" s="31" t="str">
        <f aca="false">IF(H5707="","Open",IF(H5707&lt;=INDEX(Assumptions!$C$15:$C$18,MATCH(E5707,Assumptions!$A$15:$A$18,0)),"Yes","No"))</f>
        <v>Yes</v>
      </c>
    </row>
    <row r="5708" customFormat="false" ht="15" hidden="false" customHeight="false" outlineLevel="0" collapsed="false">
      <c r="A5708" s="31" t="s">
        <v>5858</v>
      </c>
      <c r="B5708" s="44" t="n">
        <v>46280</v>
      </c>
      <c r="C5708" s="31" t="s">
        <v>58</v>
      </c>
      <c r="D5708" s="31" t="s">
        <v>65</v>
      </c>
      <c r="E5708" s="31" t="s">
        <v>51</v>
      </c>
      <c r="F5708" s="31" t="s">
        <v>123</v>
      </c>
      <c r="G5708" s="31" t="n">
        <v>11</v>
      </c>
      <c r="H5708" s="41" t="n">
        <v>11.8</v>
      </c>
      <c r="I5708" s="31" t="s">
        <v>149</v>
      </c>
      <c r="J5708" s="31" t="n">
        <v>5</v>
      </c>
      <c r="K5708" s="31" t="s">
        <v>150</v>
      </c>
      <c r="L5708" s="45" t="n">
        <f aca="false">DATE(YEAR(B5708),MONTH(B5708),1)</f>
        <v>46266</v>
      </c>
      <c r="M5708" s="31" t="n">
        <f aca="false">WEEKDAY(B5708,2)</f>
        <v>2</v>
      </c>
      <c r="N5708" s="31" t="str">
        <f aca="false">IF(G5708&lt;=INDEX(Assumptions!$B$15:$B$18,MATCH(E5708,Assumptions!$A$15:$A$18,0)),"Yes","No")</f>
        <v>Yes</v>
      </c>
      <c r="O5708" s="31" t="str">
        <f aca="false">IF(H5708="","Open",IF(H5708&lt;=INDEX(Assumptions!$C$15:$C$18,MATCH(E5708,Assumptions!$A$15:$A$18,0)),"Yes","No"))</f>
        <v>Yes</v>
      </c>
    </row>
    <row r="5709" customFormat="false" ht="15" hidden="false" customHeight="false" outlineLevel="0" collapsed="false">
      <c r="A5709" s="31" t="s">
        <v>5859</v>
      </c>
      <c r="B5709" s="44" t="n">
        <v>46280</v>
      </c>
      <c r="C5709" s="31" t="s">
        <v>57</v>
      </c>
      <c r="D5709" s="31" t="s">
        <v>65</v>
      </c>
      <c r="E5709" s="31" t="s">
        <v>51</v>
      </c>
      <c r="F5709" s="31" t="s">
        <v>128</v>
      </c>
      <c r="G5709" s="31" t="n">
        <v>4</v>
      </c>
      <c r="H5709" s="41" t="n">
        <v>13.8</v>
      </c>
      <c r="I5709" s="31" t="s">
        <v>149</v>
      </c>
      <c r="J5709" s="31"/>
      <c r="K5709" s="31" t="s">
        <v>150</v>
      </c>
      <c r="L5709" s="45" t="n">
        <f aca="false">DATE(YEAR(B5709),MONTH(B5709),1)</f>
        <v>46266</v>
      </c>
      <c r="M5709" s="31" t="n">
        <f aca="false">WEEKDAY(B5709,2)</f>
        <v>2</v>
      </c>
      <c r="N5709" s="31" t="str">
        <f aca="false">IF(G5709&lt;=INDEX(Assumptions!$B$15:$B$18,MATCH(E5709,Assumptions!$A$15:$A$18,0)),"Yes","No")</f>
        <v>Yes</v>
      </c>
      <c r="O5709" s="31" t="str">
        <f aca="false">IF(H5709="","Open",IF(H5709&lt;=INDEX(Assumptions!$C$15:$C$18,MATCH(E5709,Assumptions!$A$15:$A$18,0)),"Yes","No"))</f>
        <v>Yes</v>
      </c>
    </row>
    <row r="5710" customFormat="false" ht="15" hidden="false" customHeight="false" outlineLevel="0" collapsed="false">
      <c r="A5710" s="31" t="s">
        <v>5860</v>
      </c>
      <c r="B5710" s="44" t="n">
        <v>46280</v>
      </c>
      <c r="C5710" s="31" t="s">
        <v>60</v>
      </c>
      <c r="D5710" s="31" t="s">
        <v>65</v>
      </c>
      <c r="E5710" s="31" t="s">
        <v>51</v>
      </c>
      <c r="F5710" s="31" t="s">
        <v>121</v>
      </c>
      <c r="G5710" s="31" t="n">
        <v>2</v>
      </c>
      <c r="H5710" s="41" t="n">
        <v>1.9</v>
      </c>
      <c r="I5710" s="31" t="s">
        <v>149</v>
      </c>
      <c r="J5710" s="31"/>
      <c r="K5710" s="31" t="s">
        <v>150</v>
      </c>
      <c r="L5710" s="45" t="n">
        <f aca="false">DATE(YEAR(B5710),MONTH(B5710),1)</f>
        <v>46266</v>
      </c>
      <c r="M5710" s="31" t="n">
        <f aca="false">WEEKDAY(B5710,2)</f>
        <v>2</v>
      </c>
      <c r="N5710" s="31" t="str">
        <f aca="false">IF(G5710&lt;=INDEX(Assumptions!$B$15:$B$18,MATCH(E5710,Assumptions!$A$15:$A$18,0)),"Yes","No")</f>
        <v>Yes</v>
      </c>
      <c r="O5710" s="31" t="str">
        <f aca="false">IF(H5710="","Open",IF(H5710&lt;=INDEX(Assumptions!$C$15:$C$18,MATCH(E5710,Assumptions!$A$15:$A$18,0)),"Yes","No"))</f>
        <v>Yes</v>
      </c>
    </row>
    <row r="5711" customFormat="false" ht="15" hidden="false" customHeight="false" outlineLevel="0" collapsed="false">
      <c r="A5711" s="31" t="s">
        <v>5861</v>
      </c>
      <c r="B5711" s="44" t="n">
        <v>46280</v>
      </c>
      <c r="C5711" s="31" t="s">
        <v>58</v>
      </c>
      <c r="D5711" s="31" t="s">
        <v>65</v>
      </c>
      <c r="E5711" s="31" t="s">
        <v>52</v>
      </c>
      <c r="F5711" s="31" t="s">
        <v>134</v>
      </c>
      <c r="G5711" s="31" t="n">
        <v>9</v>
      </c>
      <c r="H5711" s="41" t="n">
        <v>31</v>
      </c>
      <c r="I5711" s="31" t="s">
        <v>149</v>
      </c>
      <c r="J5711" s="31" t="n">
        <v>3</v>
      </c>
      <c r="K5711" s="31" t="s">
        <v>150</v>
      </c>
      <c r="L5711" s="45" t="n">
        <f aca="false">DATE(YEAR(B5711),MONTH(B5711),1)</f>
        <v>46266</v>
      </c>
      <c r="M5711" s="31" t="n">
        <f aca="false">WEEKDAY(B5711,2)</f>
        <v>2</v>
      </c>
      <c r="N5711" s="31" t="str">
        <f aca="false">IF(G5711&lt;=INDEX(Assumptions!$B$15:$B$18,MATCH(E5711,Assumptions!$A$15:$A$18,0)),"Yes","No")</f>
        <v>Yes</v>
      </c>
      <c r="O5711" s="31" t="str">
        <f aca="false">IF(H5711="","Open",IF(H5711&lt;=INDEX(Assumptions!$C$15:$C$18,MATCH(E5711,Assumptions!$A$15:$A$18,0)),"Yes","No"))</f>
        <v>Yes</v>
      </c>
    </row>
    <row r="5712" customFormat="false" ht="15" hidden="false" customHeight="false" outlineLevel="0" collapsed="false">
      <c r="A5712" s="31" t="s">
        <v>5862</v>
      </c>
      <c r="B5712" s="44" t="n">
        <v>46280</v>
      </c>
      <c r="C5712" s="31" t="s">
        <v>58</v>
      </c>
      <c r="D5712" s="31" t="s">
        <v>69</v>
      </c>
      <c r="E5712" s="31" t="s">
        <v>51</v>
      </c>
      <c r="F5712" s="31" t="s">
        <v>130</v>
      </c>
      <c r="G5712" s="31" t="n">
        <v>4</v>
      </c>
      <c r="H5712" s="41" t="n">
        <v>15.8</v>
      </c>
      <c r="I5712" s="31" t="s">
        <v>149</v>
      </c>
      <c r="J5712" s="31" t="n">
        <v>2</v>
      </c>
      <c r="K5712" s="31" t="s">
        <v>150</v>
      </c>
      <c r="L5712" s="45" t="n">
        <f aca="false">DATE(YEAR(B5712),MONTH(B5712),1)</f>
        <v>46266</v>
      </c>
      <c r="M5712" s="31" t="n">
        <f aca="false">WEEKDAY(B5712,2)</f>
        <v>2</v>
      </c>
      <c r="N5712" s="31" t="str">
        <f aca="false">IF(G5712&lt;=INDEX(Assumptions!$B$15:$B$18,MATCH(E5712,Assumptions!$A$15:$A$18,0)),"Yes","No")</f>
        <v>Yes</v>
      </c>
      <c r="O5712" s="31" t="str">
        <f aca="false">IF(H5712="","Open",IF(H5712&lt;=INDEX(Assumptions!$C$15:$C$18,MATCH(E5712,Assumptions!$A$15:$A$18,0)),"Yes","No"))</f>
        <v>Yes</v>
      </c>
    </row>
    <row r="5713" customFormat="false" ht="15" hidden="false" customHeight="false" outlineLevel="0" collapsed="false">
      <c r="A5713" s="31" t="s">
        <v>5863</v>
      </c>
      <c r="B5713" s="44" t="n">
        <v>46280</v>
      </c>
      <c r="C5713" s="31" t="s">
        <v>57</v>
      </c>
      <c r="D5713" s="31" t="s">
        <v>66</v>
      </c>
      <c r="E5713" s="31" t="s">
        <v>51</v>
      </c>
      <c r="F5713" s="31" t="s">
        <v>134</v>
      </c>
      <c r="G5713" s="31" t="n">
        <v>6</v>
      </c>
      <c r="H5713" s="41" t="n">
        <v>13</v>
      </c>
      <c r="I5713" s="31" t="s">
        <v>149</v>
      </c>
      <c r="J5713" s="31"/>
      <c r="K5713" s="31" t="s">
        <v>150</v>
      </c>
      <c r="L5713" s="45" t="n">
        <f aca="false">DATE(YEAR(B5713),MONTH(B5713),1)</f>
        <v>46266</v>
      </c>
      <c r="M5713" s="31" t="n">
        <f aca="false">WEEKDAY(B5713,2)</f>
        <v>2</v>
      </c>
      <c r="N5713" s="31" t="str">
        <f aca="false">IF(G5713&lt;=INDEX(Assumptions!$B$15:$B$18,MATCH(E5713,Assumptions!$A$15:$A$18,0)),"Yes","No")</f>
        <v>Yes</v>
      </c>
      <c r="O5713" s="31" t="str">
        <f aca="false">IF(H5713="","Open",IF(H5713&lt;=INDEX(Assumptions!$C$15:$C$18,MATCH(E5713,Assumptions!$A$15:$A$18,0)),"Yes","No"))</f>
        <v>Yes</v>
      </c>
    </row>
    <row r="5714" customFormat="false" ht="15" hidden="false" customHeight="false" outlineLevel="0" collapsed="false">
      <c r="A5714" s="31" t="s">
        <v>5864</v>
      </c>
      <c r="B5714" s="44" t="n">
        <v>46280</v>
      </c>
      <c r="C5714" s="31" t="s">
        <v>58</v>
      </c>
      <c r="D5714" s="31" t="s">
        <v>66</v>
      </c>
      <c r="E5714" s="31" t="s">
        <v>52</v>
      </c>
      <c r="F5714" s="31" t="s">
        <v>133</v>
      </c>
      <c r="G5714" s="31" t="n">
        <v>6</v>
      </c>
      <c r="H5714" s="41" t="n">
        <v>5.8</v>
      </c>
      <c r="I5714" s="31" t="s">
        <v>149</v>
      </c>
      <c r="J5714" s="31" t="n">
        <v>4</v>
      </c>
      <c r="K5714" s="31" t="s">
        <v>150</v>
      </c>
      <c r="L5714" s="45" t="n">
        <f aca="false">DATE(YEAR(B5714),MONTH(B5714),1)</f>
        <v>46266</v>
      </c>
      <c r="M5714" s="31" t="n">
        <f aca="false">WEEKDAY(B5714,2)</f>
        <v>2</v>
      </c>
      <c r="N5714" s="31" t="str">
        <f aca="false">IF(G5714&lt;=INDEX(Assumptions!$B$15:$B$18,MATCH(E5714,Assumptions!$A$15:$A$18,0)),"Yes","No")</f>
        <v>Yes</v>
      </c>
      <c r="O5714" s="31" t="str">
        <f aca="false">IF(H5714="","Open",IF(H5714&lt;=INDEX(Assumptions!$C$15:$C$18,MATCH(E5714,Assumptions!$A$15:$A$18,0)),"Yes","No"))</f>
        <v>Yes</v>
      </c>
    </row>
    <row r="5715" customFormat="false" ht="15" hidden="false" customHeight="false" outlineLevel="0" collapsed="false">
      <c r="A5715" s="31" t="s">
        <v>5865</v>
      </c>
      <c r="B5715" s="44" t="n">
        <v>46280</v>
      </c>
      <c r="C5715" s="31" t="s">
        <v>59</v>
      </c>
      <c r="D5715" s="31" t="s">
        <v>65</v>
      </c>
      <c r="E5715" s="31" t="s">
        <v>51</v>
      </c>
      <c r="F5715" s="31" t="s">
        <v>131</v>
      </c>
      <c r="G5715" s="31" t="n">
        <v>36</v>
      </c>
      <c r="H5715" s="41" t="n">
        <v>4.6</v>
      </c>
      <c r="I5715" s="31" t="s">
        <v>149</v>
      </c>
      <c r="J5715" s="31" t="n">
        <v>4</v>
      </c>
      <c r="K5715" s="31" t="s">
        <v>150</v>
      </c>
      <c r="L5715" s="45" t="n">
        <f aca="false">DATE(YEAR(B5715),MONTH(B5715),1)</f>
        <v>46266</v>
      </c>
      <c r="M5715" s="31" t="n">
        <f aca="false">WEEKDAY(B5715,2)</f>
        <v>2</v>
      </c>
      <c r="N5715" s="31" t="str">
        <f aca="false">IF(G5715&lt;=INDEX(Assumptions!$B$15:$B$18,MATCH(E5715,Assumptions!$A$15:$A$18,0)),"Yes","No")</f>
        <v>Yes</v>
      </c>
      <c r="O5715" s="31" t="str">
        <f aca="false">IF(H5715="","Open",IF(H5715&lt;=INDEX(Assumptions!$C$15:$C$18,MATCH(E5715,Assumptions!$A$15:$A$18,0)),"Yes","No"))</f>
        <v>Yes</v>
      </c>
    </row>
    <row r="5716" customFormat="false" ht="15" hidden="false" customHeight="false" outlineLevel="0" collapsed="false">
      <c r="A5716" s="31" t="s">
        <v>5866</v>
      </c>
      <c r="B5716" s="44" t="n">
        <v>46280</v>
      </c>
      <c r="C5716" s="31" t="s">
        <v>58</v>
      </c>
      <c r="D5716" s="31" t="s">
        <v>66</v>
      </c>
      <c r="E5716" s="31" t="s">
        <v>49</v>
      </c>
      <c r="F5716" s="31" t="s">
        <v>130</v>
      </c>
      <c r="G5716" s="31" t="n">
        <v>28</v>
      </c>
      <c r="H5716" s="41" t="n">
        <v>3.3</v>
      </c>
      <c r="I5716" s="31" t="s">
        <v>149</v>
      </c>
      <c r="J5716" s="31" t="n">
        <v>4</v>
      </c>
      <c r="K5716" s="31" t="s">
        <v>150</v>
      </c>
      <c r="L5716" s="45" t="n">
        <f aca="false">DATE(YEAR(B5716),MONTH(B5716),1)</f>
        <v>46266</v>
      </c>
      <c r="M5716" s="31" t="n">
        <f aca="false">WEEKDAY(B5716,2)</f>
        <v>2</v>
      </c>
      <c r="N5716" s="31" t="str">
        <f aca="false">IF(G5716&lt;=INDEX(Assumptions!$B$15:$B$18,MATCH(E5716,Assumptions!$A$15:$A$18,0)),"Yes","No")</f>
        <v>No</v>
      </c>
      <c r="O5716" s="31" t="str">
        <f aca="false">IF(H5716="","Open",IF(H5716&lt;=INDEX(Assumptions!$C$15:$C$18,MATCH(E5716,Assumptions!$A$15:$A$18,0)),"Yes","No"))</f>
        <v>Yes</v>
      </c>
    </row>
    <row r="5717" customFormat="false" ht="15" hidden="false" customHeight="false" outlineLevel="0" collapsed="false">
      <c r="A5717" s="31" t="s">
        <v>5867</v>
      </c>
      <c r="B5717" s="44" t="n">
        <v>46280</v>
      </c>
      <c r="C5717" s="31" t="s">
        <v>57</v>
      </c>
      <c r="D5717" s="31" t="s">
        <v>67</v>
      </c>
      <c r="E5717" s="31" t="s">
        <v>52</v>
      </c>
      <c r="F5717" s="31" t="s">
        <v>120</v>
      </c>
      <c r="G5717" s="31" t="n">
        <v>14</v>
      </c>
      <c r="H5717" s="41" t="n">
        <v>22.8</v>
      </c>
      <c r="I5717" s="31" t="s">
        <v>149</v>
      </c>
      <c r="J5717" s="31" t="n">
        <v>3</v>
      </c>
      <c r="K5717" s="31" t="s">
        <v>150</v>
      </c>
      <c r="L5717" s="45" t="n">
        <f aca="false">DATE(YEAR(B5717),MONTH(B5717),1)</f>
        <v>46266</v>
      </c>
      <c r="M5717" s="31" t="n">
        <f aca="false">WEEKDAY(B5717,2)</f>
        <v>2</v>
      </c>
      <c r="N5717" s="31" t="str">
        <f aca="false">IF(G5717&lt;=INDEX(Assumptions!$B$15:$B$18,MATCH(E5717,Assumptions!$A$15:$A$18,0)),"Yes","No")</f>
        <v>Yes</v>
      </c>
      <c r="O5717" s="31" t="str">
        <f aca="false">IF(H5717="","Open",IF(H5717&lt;=INDEX(Assumptions!$C$15:$C$18,MATCH(E5717,Assumptions!$A$15:$A$18,0)),"Yes","No"))</f>
        <v>Yes</v>
      </c>
    </row>
    <row r="5718" customFormat="false" ht="15" hidden="false" customHeight="false" outlineLevel="0" collapsed="false">
      <c r="A5718" s="31" t="s">
        <v>5868</v>
      </c>
      <c r="B5718" s="44" t="n">
        <v>46280</v>
      </c>
      <c r="C5718" s="31" t="s">
        <v>57</v>
      </c>
      <c r="D5718" s="31" t="s">
        <v>65</v>
      </c>
      <c r="E5718" s="31" t="s">
        <v>50</v>
      </c>
      <c r="F5718" s="31" t="s">
        <v>123</v>
      </c>
      <c r="G5718" s="31" t="n">
        <v>5</v>
      </c>
      <c r="H5718" s="41" t="n">
        <v>13.4</v>
      </c>
      <c r="I5718" s="31" t="s">
        <v>149</v>
      </c>
      <c r="J5718" s="31"/>
      <c r="K5718" s="31" t="s">
        <v>150</v>
      </c>
      <c r="L5718" s="45" t="n">
        <f aca="false">DATE(YEAR(B5718),MONTH(B5718),1)</f>
        <v>46266</v>
      </c>
      <c r="M5718" s="31" t="n">
        <f aca="false">WEEKDAY(B5718,2)</f>
        <v>2</v>
      </c>
      <c r="N5718" s="31" t="str">
        <f aca="false">IF(G5718&lt;=INDEX(Assumptions!$B$15:$B$18,MATCH(E5718,Assumptions!$A$15:$A$18,0)),"Yes","No")</f>
        <v>Yes</v>
      </c>
      <c r="O5718" s="31" t="str">
        <f aca="false">IF(H5718="","Open",IF(H5718&lt;=INDEX(Assumptions!$C$15:$C$18,MATCH(E5718,Assumptions!$A$15:$A$18,0)),"Yes","No"))</f>
        <v>No</v>
      </c>
    </row>
    <row r="5719" customFormat="false" ht="15" hidden="false" customHeight="false" outlineLevel="0" collapsed="false">
      <c r="A5719" s="31" t="s">
        <v>5869</v>
      </c>
      <c r="B5719" s="44" t="n">
        <v>46280</v>
      </c>
      <c r="C5719" s="31" t="s">
        <v>57</v>
      </c>
      <c r="D5719" s="31" t="s">
        <v>68</v>
      </c>
      <c r="E5719" s="31" t="s">
        <v>51</v>
      </c>
      <c r="F5719" s="31" t="s">
        <v>121</v>
      </c>
      <c r="G5719" s="31" t="n">
        <v>7</v>
      </c>
      <c r="H5719" s="41" t="n">
        <v>16.3</v>
      </c>
      <c r="I5719" s="31" t="s">
        <v>149</v>
      </c>
      <c r="J5719" s="31" t="n">
        <v>5</v>
      </c>
      <c r="K5719" s="31" t="s">
        <v>150</v>
      </c>
      <c r="L5719" s="45" t="n">
        <f aca="false">DATE(YEAR(B5719),MONTH(B5719),1)</f>
        <v>46266</v>
      </c>
      <c r="M5719" s="31" t="n">
        <f aca="false">WEEKDAY(B5719,2)</f>
        <v>2</v>
      </c>
      <c r="N5719" s="31" t="str">
        <f aca="false">IF(G5719&lt;=INDEX(Assumptions!$B$15:$B$18,MATCH(E5719,Assumptions!$A$15:$A$18,0)),"Yes","No")</f>
        <v>Yes</v>
      </c>
      <c r="O5719" s="31" t="str">
        <f aca="false">IF(H5719="","Open",IF(H5719&lt;=INDEX(Assumptions!$C$15:$C$18,MATCH(E5719,Assumptions!$A$15:$A$18,0)),"Yes","No"))</f>
        <v>Yes</v>
      </c>
    </row>
    <row r="5720" customFormat="false" ht="15" hidden="false" customHeight="false" outlineLevel="0" collapsed="false">
      <c r="A5720" s="31" t="s">
        <v>5870</v>
      </c>
      <c r="B5720" s="44" t="n">
        <v>46280</v>
      </c>
      <c r="C5720" s="31" t="s">
        <v>59</v>
      </c>
      <c r="D5720" s="31" t="s">
        <v>67</v>
      </c>
      <c r="E5720" s="31" t="s">
        <v>51</v>
      </c>
      <c r="F5720" s="31" t="s">
        <v>131</v>
      </c>
      <c r="G5720" s="31" t="n">
        <v>226</v>
      </c>
      <c r="H5720" s="41" t="n">
        <v>2.9</v>
      </c>
      <c r="I5720" s="31" t="s">
        <v>149</v>
      </c>
      <c r="J5720" s="31" t="n">
        <v>4</v>
      </c>
      <c r="K5720" s="31" t="s">
        <v>150</v>
      </c>
      <c r="L5720" s="45" t="n">
        <f aca="false">DATE(YEAR(B5720),MONTH(B5720),1)</f>
        <v>46266</v>
      </c>
      <c r="M5720" s="31" t="n">
        <f aca="false">WEEKDAY(B5720,2)</f>
        <v>2</v>
      </c>
      <c r="N5720" s="31" t="str">
        <f aca="false">IF(G5720&lt;=INDEX(Assumptions!$B$15:$B$18,MATCH(E5720,Assumptions!$A$15:$A$18,0)),"Yes","No")</f>
        <v>No</v>
      </c>
      <c r="O5720" s="31" t="str">
        <f aca="false">IF(H5720="","Open",IF(H5720&lt;=INDEX(Assumptions!$C$15:$C$18,MATCH(E5720,Assumptions!$A$15:$A$18,0)),"Yes","No"))</f>
        <v>Yes</v>
      </c>
    </row>
    <row r="5721" customFormat="false" ht="15" hidden="false" customHeight="false" outlineLevel="0" collapsed="false">
      <c r="A5721" s="31" t="s">
        <v>5871</v>
      </c>
      <c r="B5721" s="44" t="n">
        <v>46280</v>
      </c>
      <c r="C5721" s="31" t="s">
        <v>58</v>
      </c>
      <c r="D5721" s="31" t="s">
        <v>65</v>
      </c>
      <c r="E5721" s="31" t="s">
        <v>52</v>
      </c>
      <c r="F5721" s="31" t="s">
        <v>122</v>
      </c>
      <c r="G5721" s="31" t="n">
        <v>12</v>
      </c>
      <c r="H5721" s="41" t="n">
        <v>3.1</v>
      </c>
      <c r="I5721" s="31" t="s">
        <v>149</v>
      </c>
      <c r="J5721" s="31" t="n">
        <v>3</v>
      </c>
      <c r="K5721" s="31" t="s">
        <v>150</v>
      </c>
      <c r="L5721" s="45" t="n">
        <f aca="false">DATE(YEAR(B5721),MONTH(B5721),1)</f>
        <v>46266</v>
      </c>
      <c r="M5721" s="31" t="n">
        <f aca="false">WEEKDAY(B5721,2)</f>
        <v>2</v>
      </c>
      <c r="N5721" s="31" t="str">
        <f aca="false">IF(G5721&lt;=INDEX(Assumptions!$B$15:$B$18,MATCH(E5721,Assumptions!$A$15:$A$18,0)),"Yes","No")</f>
        <v>Yes</v>
      </c>
      <c r="O5721" s="31" t="str">
        <f aca="false">IF(H5721="","Open",IF(H5721&lt;=INDEX(Assumptions!$C$15:$C$18,MATCH(E5721,Assumptions!$A$15:$A$18,0)),"Yes","No"))</f>
        <v>Yes</v>
      </c>
    </row>
    <row r="5722" customFormat="false" ht="15" hidden="false" customHeight="false" outlineLevel="0" collapsed="false">
      <c r="A5722" s="31" t="s">
        <v>5872</v>
      </c>
      <c r="B5722" s="44" t="n">
        <v>46280</v>
      </c>
      <c r="C5722" s="31" t="s">
        <v>57</v>
      </c>
      <c r="D5722" s="31" t="s">
        <v>66</v>
      </c>
      <c r="E5722" s="31" t="s">
        <v>52</v>
      </c>
      <c r="F5722" s="31" t="s">
        <v>135</v>
      </c>
      <c r="G5722" s="31" t="n">
        <v>13</v>
      </c>
      <c r="H5722" s="41" t="n">
        <v>27.6</v>
      </c>
      <c r="I5722" s="31" t="s">
        <v>149</v>
      </c>
      <c r="J5722" s="31" t="n">
        <v>3</v>
      </c>
      <c r="K5722" s="31" t="s">
        <v>150</v>
      </c>
      <c r="L5722" s="45" t="n">
        <f aca="false">DATE(YEAR(B5722),MONTH(B5722),1)</f>
        <v>46266</v>
      </c>
      <c r="M5722" s="31" t="n">
        <f aca="false">WEEKDAY(B5722,2)</f>
        <v>2</v>
      </c>
      <c r="N5722" s="31" t="str">
        <f aca="false">IF(G5722&lt;=INDEX(Assumptions!$B$15:$B$18,MATCH(E5722,Assumptions!$A$15:$A$18,0)),"Yes","No")</f>
        <v>Yes</v>
      </c>
      <c r="O5722" s="31" t="str">
        <f aca="false">IF(H5722="","Open",IF(H5722&lt;=INDEX(Assumptions!$C$15:$C$18,MATCH(E5722,Assumptions!$A$15:$A$18,0)),"Yes","No"))</f>
        <v>Yes</v>
      </c>
    </row>
    <row r="5723" customFormat="false" ht="15" hidden="false" customHeight="false" outlineLevel="0" collapsed="false">
      <c r="A5723" s="31" t="s">
        <v>5873</v>
      </c>
      <c r="B5723" s="44" t="n">
        <v>46280</v>
      </c>
      <c r="C5723" s="31" t="s">
        <v>60</v>
      </c>
      <c r="D5723" s="31" t="s">
        <v>69</v>
      </c>
      <c r="E5723" s="31" t="s">
        <v>52</v>
      </c>
      <c r="F5723" s="31" t="s">
        <v>129</v>
      </c>
      <c r="G5723" s="31" t="n">
        <v>3</v>
      </c>
      <c r="H5723" s="41" t="n">
        <v>43.2</v>
      </c>
      <c r="I5723" s="31" t="s">
        <v>149</v>
      </c>
      <c r="J5723" s="31"/>
      <c r="K5723" s="31" t="s">
        <v>150</v>
      </c>
      <c r="L5723" s="45" t="n">
        <f aca="false">DATE(YEAR(B5723),MONTH(B5723),1)</f>
        <v>46266</v>
      </c>
      <c r="M5723" s="31" t="n">
        <f aca="false">WEEKDAY(B5723,2)</f>
        <v>2</v>
      </c>
      <c r="N5723" s="31" t="str">
        <f aca="false">IF(G5723&lt;=INDEX(Assumptions!$B$15:$B$18,MATCH(E5723,Assumptions!$A$15:$A$18,0)),"Yes","No")</f>
        <v>Yes</v>
      </c>
      <c r="O5723" s="31" t="str">
        <f aca="false">IF(H5723="","Open",IF(H5723&lt;=INDEX(Assumptions!$C$15:$C$18,MATCH(E5723,Assumptions!$A$15:$A$18,0)),"Yes","No"))</f>
        <v>Yes</v>
      </c>
    </row>
    <row r="5724" customFormat="false" ht="15" hidden="false" customHeight="false" outlineLevel="0" collapsed="false">
      <c r="A5724" s="31" t="s">
        <v>5874</v>
      </c>
      <c r="B5724" s="44" t="n">
        <v>46280</v>
      </c>
      <c r="C5724" s="31" t="s">
        <v>58</v>
      </c>
      <c r="D5724" s="31" t="s">
        <v>66</v>
      </c>
      <c r="E5724" s="31" t="s">
        <v>52</v>
      </c>
      <c r="F5724" s="31" t="s">
        <v>120</v>
      </c>
      <c r="G5724" s="31" t="n">
        <v>16</v>
      </c>
      <c r="H5724" s="41" t="n">
        <v>2.4</v>
      </c>
      <c r="I5724" s="31" t="s">
        <v>149</v>
      </c>
      <c r="J5724" s="31" t="n">
        <v>4</v>
      </c>
      <c r="K5724" s="31" t="s">
        <v>150</v>
      </c>
      <c r="L5724" s="45" t="n">
        <f aca="false">DATE(YEAR(B5724),MONTH(B5724),1)</f>
        <v>46266</v>
      </c>
      <c r="M5724" s="31" t="n">
        <f aca="false">WEEKDAY(B5724,2)</f>
        <v>2</v>
      </c>
      <c r="N5724" s="31" t="str">
        <f aca="false">IF(G5724&lt;=INDEX(Assumptions!$B$15:$B$18,MATCH(E5724,Assumptions!$A$15:$A$18,0)),"Yes","No")</f>
        <v>Yes</v>
      </c>
      <c r="O5724" s="31" t="str">
        <f aca="false">IF(H5724="","Open",IF(H5724&lt;=INDEX(Assumptions!$C$15:$C$18,MATCH(E5724,Assumptions!$A$15:$A$18,0)),"Yes","No"))</f>
        <v>Yes</v>
      </c>
    </row>
    <row r="5725" customFormat="false" ht="15" hidden="false" customHeight="false" outlineLevel="0" collapsed="false">
      <c r="A5725" s="31" t="s">
        <v>5875</v>
      </c>
      <c r="B5725" s="44" t="n">
        <v>46280</v>
      </c>
      <c r="C5725" s="31" t="s">
        <v>60</v>
      </c>
      <c r="D5725" s="31" t="s">
        <v>68</v>
      </c>
      <c r="E5725" s="31" t="s">
        <v>51</v>
      </c>
      <c r="F5725" s="31" t="s">
        <v>135</v>
      </c>
      <c r="G5725" s="31" t="n">
        <v>4</v>
      </c>
      <c r="H5725" s="41" t="n">
        <v>10.3</v>
      </c>
      <c r="I5725" s="31" t="s">
        <v>149</v>
      </c>
      <c r="J5725" s="31"/>
      <c r="K5725" s="31" t="s">
        <v>150</v>
      </c>
      <c r="L5725" s="45" t="n">
        <f aca="false">DATE(YEAR(B5725),MONTH(B5725),1)</f>
        <v>46266</v>
      </c>
      <c r="M5725" s="31" t="n">
        <f aca="false">WEEKDAY(B5725,2)</f>
        <v>2</v>
      </c>
      <c r="N5725" s="31" t="str">
        <f aca="false">IF(G5725&lt;=INDEX(Assumptions!$B$15:$B$18,MATCH(E5725,Assumptions!$A$15:$A$18,0)),"Yes","No")</f>
        <v>Yes</v>
      </c>
      <c r="O5725" s="31" t="str">
        <f aca="false">IF(H5725="","Open",IF(H5725&lt;=INDEX(Assumptions!$C$15:$C$18,MATCH(E5725,Assumptions!$A$15:$A$18,0)),"Yes","No"))</f>
        <v>Yes</v>
      </c>
    </row>
    <row r="5726" customFormat="false" ht="15" hidden="false" customHeight="false" outlineLevel="0" collapsed="false">
      <c r="A5726" s="31" t="s">
        <v>5876</v>
      </c>
      <c r="B5726" s="44" t="n">
        <v>46280</v>
      </c>
      <c r="C5726" s="31" t="s">
        <v>58</v>
      </c>
      <c r="D5726" s="31" t="s">
        <v>65</v>
      </c>
      <c r="E5726" s="31" t="s">
        <v>51</v>
      </c>
      <c r="F5726" s="31" t="s">
        <v>136</v>
      </c>
      <c r="G5726" s="31" t="n">
        <v>10</v>
      </c>
      <c r="H5726" s="41" t="n">
        <v>21.3</v>
      </c>
      <c r="I5726" s="31" t="s">
        <v>149</v>
      </c>
      <c r="J5726" s="31" t="n">
        <v>4</v>
      </c>
      <c r="K5726" s="31" t="s">
        <v>150</v>
      </c>
      <c r="L5726" s="45" t="n">
        <f aca="false">DATE(YEAR(B5726),MONTH(B5726),1)</f>
        <v>46266</v>
      </c>
      <c r="M5726" s="31" t="n">
        <f aca="false">WEEKDAY(B5726,2)</f>
        <v>2</v>
      </c>
      <c r="N5726" s="31" t="str">
        <f aca="false">IF(G5726&lt;=INDEX(Assumptions!$B$15:$B$18,MATCH(E5726,Assumptions!$A$15:$A$18,0)),"Yes","No")</f>
        <v>Yes</v>
      </c>
      <c r="O5726" s="31" t="str">
        <f aca="false">IF(H5726="","Open",IF(H5726&lt;=INDEX(Assumptions!$C$15:$C$18,MATCH(E5726,Assumptions!$A$15:$A$18,0)),"Yes","No"))</f>
        <v>Yes</v>
      </c>
    </row>
    <row r="5727" customFormat="false" ht="15" hidden="false" customHeight="false" outlineLevel="0" collapsed="false">
      <c r="A5727" s="31" t="s">
        <v>5877</v>
      </c>
      <c r="B5727" s="44" t="n">
        <v>46281</v>
      </c>
      <c r="C5727" s="31" t="s">
        <v>58</v>
      </c>
      <c r="D5727" s="31" t="s">
        <v>65</v>
      </c>
      <c r="E5727" s="31" t="s">
        <v>50</v>
      </c>
      <c r="F5727" s="31" t="s">
        <v>119</v>
      </c>
      <c r="G5727" s="31" t="n">
        <v>6</v>
      </c>
      <c r="H5727" s="41" t="n">
        <v>4.4</v>
      </c>
      <c r="I5727" s="31" t="s">
        <v>149</v>
      </c>
      <c r="J5727" s="31" t="n">
        <v>4</v>
      </c>
      <c r="K5727" s="31" t="s">
        <v>150</v>
      </c>
      <c r="L5727" s="45" t="n">
        <f aca="false">DATE(YEAR(B5727),MONTH(B5727),1)</f>
        <v>46266</v>
      </c>
      <c r="M5727" s="31" t="n">
        <f aca="false">WEEKDAY(B5727,2)</f>
        <v>3</v>
      </c>
      <c r="N5727" s="31" t="str">
        <f aca="false">IF(G5727&lt;=INDEX(Assumptions!$B$15:$B$18,MATCH(E5727,Assumptions!$A$15:$A$18,0)),"Yes","No")</f>
        <v>Yes</v>
      </c>
      <c r="O5727" s="31" t="str">
        <f aca="false">IF(H5727="","Open",IF(H5727&lt;=INDEX(Assumptions!$C$15:$C$18,MATCH(E5727,Assumptions!$A$15:$A$18,0)),"Yes","No"))</f>
        <v>Yes</v>
      </c>
    </row>
    <row r="5728" customFormat="false" ht="15" hidden="false" customHeight="false" outlineLevel="0" collapsed="false">
      <c r="A5728" s="31" t="s">
        <v>5878</v>
      </c>
      <c r="B5728" s="44" t="n">
        <v>46281</v>
      </c>
      <c r="C5728" s="31" t="s">
        <v>57</v>
      </c>
      <c r="D5728" s="31" t="s">
        <v>66</v>
      </c>
      <c r="E5728" s="31" t="s">
        <v>50</v>
      </c>
      <c r="F5728" s="31" t="s">
        <v>133</v>
      </c>
      <c r="G5728" s="31" t="n">
        <v>6</v>
      </c>
      <c r="H5728" s="41" t="n">
        <v>4.6</v>
      </c>
      <c r="I5728" s="31" t="s">
        <v>149</v>
      </c>
      <c r="J5728" s="31"/>
      <c r="K5728" s="31" t="s">
        <v>150</v>
      </c>
      <c r="L5728" s="45" t="n">
        <f aca="false">DATE(YEAR(B5728),MONTH(B5728),1)</f>
        <v>46266</v>
      </c>
      <c r="M5728" s="31" t="n">
        <f aca="false">WEEKDAY(B5728,2)</f>
        <v>3</v>
      </c>
      <c r="N5728" s="31" t="str">
        <f aca="false">IF(G5728&lt;=INDEX(Assumptions!$B$15:$B$18,MATCH(E5728,Assumptions!$A$15:$A$18,0)),"Yes","No")</f>
        <v>Yes</v>
      </c>
      <c r="O5728" s="31" t="str">
        <f aca="false">IF(H5728="","Open",IF(H5728&lt;=INDEX(Assumptions!$C$15:$C$18,MATCH(E5728,Assumptions!$A$15:$A$18,0)),"Yes","No"))</f>
        <v>Yes</v>
      </c>
    </row>
    <row r="5729" customFormat="false" ht="15" hidden="false" customHeight="false" outlineLevel="0" collapsed="false">
      <c r="A5729" s="31" t="s">
        <v>5879</v>
      </c>
      <c r="B5729" s="44" t="n">
        <v>46281</v>
      </c>
      <c r="C5729" s="31" t="s">
        <v>58</v>
      </c>
      <c r="D5729" s="31" t="s">
        <v>67</v>
      </c>
      <c r="E5729" s="31" t="s">
        <v>52</v>
      </c>
      <c r="F5729" s="31" t="s">
        <v>137</v>
      </c>
      <c r="G5729" s="31" t="n">
        <v>27</v>
      </c>
      <c r="H5729" s="41" t="n">
        <v>20.2</v>
      </c>
      <c r="I5729" s="31" t="s">
        <v>149</v>
      </c>
      <c r="J5729" s="31" t="n">
        <v>3</v>
      </c>
      <c r="K5729" s="31" t="s">
        <v>150</v>
      </c>
      <c r="L5729" s="45" t="n">
        <f aca="false">DATE(YEAR(B5729),MONTH(B5729),1)</f>
        <v>46266</v>
      </c>
      <c r="M5729" s="31" t="n">
        <f aca="false">WEEKDAY(B5729,2)</f>
        <v>3</v>
      </c>
      <c r="N5729" s="31" t="str">
        <f aca="false">IF(G5729&lt;=INDEX(Assumptions!$B$15:$B$18,MATCH(E5729,Assumptions!$A$15:$A$18,0)),"Yes","No")</f>
        <v>Yes</v>
      </c>
      <c r="O5729" s="31" t="str">
        <f aca="false">IF(H5729="","Open",IF(H5729&lt;=INDEX(Assumptions!$C$15:$C$18,MATCH(E5729,Assumptions!$A$15:$A$18,0)),"Yes","No"))</f>
        <v>Yes</v>
      </c>
    </row>
    <row r="5730" customFormat="false" ht="15" hidden="false" customHeight="false" outlineLevel="0" collapsed="false">
      <c r="A5730" s="31" t="s">
        <v>5880</v>
      </c>
      <c r="B5730" s="44" t="n">
        <v>46281</v>
      </c>
      <c r="C5730" s="31" t="s">
        <v>57</v>
      </c>
      <c r="D5730" s="31" t="s">
        <v>65</v>
      </c>
      <c r="E5730" s="31" t="s">
        <v>51</v>
      </c>
      <c r="F5730" s="31" t="s">
        <v>129</v>
      </c>
      <c r="G5730" s="31" t="n">
        <v>3</v>
      </c>
      <c r="H5730" s="41" t="n">
        <v>2.7</v>
      </c>
      <c r="I5730" s="31" t="s">
        <v>149</v>
      </c>
      <c r="J5730" s="31"/>
      <c r="K5730" s="31" t="s">
        <v>150</v>
      </c>
      <c r="L5730" s="45" t="n">
        <f aca="false">DATE(YEAR(B5730),MONTH(B5730),1)</f>
        <v>46266</v>
      </c>
      <c r="M5730" s="31" t="n">
        <f aca="false">WEEKDAY(B5730,2)</f>
        <v>3</v>
      </c>
      <c r="N5730" s="31" t="str">
        <f aca="false">IF(G5730&lt;=INDEX(Assumptions!$B$15:$B$18,MATCH(E5730,Assumptions!$A$15:$A$18,0)),"Yes","No")</f>
        <v>Yes</v>
      </c>
      <c r="O5730" s="31" t="str">
        <f aca="false">IF(H5730="","Open",IF(H5730&lt;=INDEX(Assumptions!$C$15:$C$18,MATCH(E5730,Assumptions!$A$15:$A$18,0)),"Yes","No"))</f>
        <v>Yes</v>
      </c>
    </row>
    <row r="5731" customFormat="false" ht="15" hidden="false" customHeight="false" outlineLevel="0" collapsed="false">
      <c r="A5731" s="31" t="s">
        <v>5881</v>
      </c>
      <c r="B5731" s="44" t="n">
        <v>46281</v>
      </c>
      <c r="C5731" s="31" t="s">
        <v>57</v>
      </c>
      <c r="D5731" s="31" t="s">
        <v>65</v>
      </c>
      <c r="E5731" s="31" t="s">
        <v>52</v>
      </c>
      <c r="F5731" s="31" t="s">
        <v>131</v>
      </c>
      <c r="G5731" s="31" t="n">
        <v>2</v>
      </c>
      <c r="H5731" s="41"/>
      <c r="I5731" s="31" t="s">
        <v>158</v>
      </c>
      <c r="J5731" s="31"/>
      <c r="K5731" s="31" t="s">
        <v>150</v>
      </c>
      <c r="L5731" s="45" t="n">
        <f aca="false">DATE(YEAR(B5731),MONTH(B5731),1)</f>
        <v>46266</v>
      </c>
      <c r="M5731" s="31" t="n">
        <f aca="false">WEEKDAY(B5731,2)</f>
        <v>3</v>
      </c>
      <c r="N5731" s="31" t="str">
        <f aca="false">IF(G5731&lt;=INDEX(Assumptions!$B$15:$B$18,MATCH(E5731,Assumptions!$A$15:$A$18,0)),"Yes","No")</f>
        <v>Yes</v>
      </c>
      <c r="O5731" s="31" t="str">
        <f aca="false">IF(H5731="","Open",IF(H5731&lt;=INDEX(Assumptions!$C$15:$C$18,MATCH(E5731,Assumptions!$A$15:$A$18,0)),"Yes","No"))</f>
        <v>Open</v>
      </c>
    </row>
    <row r="5732" customFormat="false" ht="15" hidden="false" customHeight="false" outlineLevel="0" collapsed="false">
      <c r="A5732" s="31" t="s">
        <v>5882</v>
      </c>
      <c r="B5732" s="44" t="n">
        <v>46281</v>
      </c>
      <c r="C5732" s="31" t="s">
        <v>59</v>
      </c>
      <c r="D5732" s="31" t="s">
        <v>67</v>
      </c>
      <c r="E5732" s="31" t="s">
        <v>50</v>
      </c>
      <c r="F5732" s="31" t="s">
        <v>119</v>
      </c>
      <c r="G5732" s="31" t="n">
        <v>51</v>
      </c>
      <c r="H5732" s="41" t="n">
        <v>4.7</v>
      </c>
      <c r="I5732" s="31" t="s">
        <v>149</v>
      </c>
      <c r="J5732" s="31" t="n">
        <v>3</v>
      </c>
      <c r="K5732" s="31" t="s">
        <v>150</v>
      </c>
      <c r="L5732" s="45" t="n">
        <f aca="false">DATE(YEAR(B5732),MONTH(B5732),1)</f>
        <v>46266</v>
      </c>
      <c r="M5732" s="31" t="n">
        <f aca="false">WEEKDAY(B5732,2)</f>
        <v>3</v>
      </c>
      <c r="N5732" s="31" t="str">
        <f aca="false">IF(G5732&lt;=INDEX(Assumptions!$B$15:$B$18,MATCH(E5732,Assumptions!$A$15:$A$18,0)),"Yes","No")</f>
        <v>No</v>
      </c>
      <c r="O5732" s="31" t="str">
        <f aca="false">IF(H5732="","Open",IF(H5732&lt;=INDEX(Assumptions!$C$15:$C$18,MATCH(E5732,Assumptions!$A$15:$A$18,0)),"Yes","No"))</f>
        <v>Yes</v>
      </c>
    </row>
    <row r="5733" customFormat="false" ht="15" hidden="false" customHeight="false" outlineLevel="0" collapsed="false">
      <c r="A5733" s="31" t="s">
        <v>5883</v>
      </c>
      <c r="B5733" s="44" t="n">
        <v>46281</v>
      </c>
      <c r="C5733" s="31" t="s">
        <v>59</v>
      </c>
      <c r="D5733" s="31" t="s">
        <v>66</v>
      </c>
      <c r="E5733" s="31" t="s">
        <v>51</v>
      </c>
      <c r="F5733" s="31" t="s">
        <v>127</v>
      </c>
      <c r="G5733" s="31" t="n">
        <v>56</v>
      </c>
      <c r="H5733" s="41" t="n">
        <v>2.3</v>
      </c>
      <c r="I5733" s="31" t="s">
        <v>149</v>
      </c>
      <c r="J5733" s="31" t="n">
        <v>5</v>
      </c>
      <c r="K5733" s="31" t="s">
        <v>150</v>
      </c>
      <c r="L5733" s="45" t="n">
        <f aca="false">DATE(YEAR(B5733),MONTH(B5733),1)</f>
        <v>46266</v>
      </c>
      <c r="M5733" s="31" t="n">
        <f aca="false">WEEKDAY(B5733,2)</f>
        <v>3</v>
      </c>
      <c r="N5733" s="31" t="str">
        <f aca="false">IF(G5733&lt;=INDEX(Assumptions!$B$15:$B$18,MATCH(E5733,Assumptions!$A$15:$A$18,0)),"Yes","No")</f>
        <v>Yes</v>
      </c>
      <c r="O5733" s="31" t="str">
        <f aca="false">IF(H5733="","Open",IF(H5733&lt;=INDEX(Assumptions!$C$15:$C$18,MATCH(E5733,Assumptions!$A$15:$A$18,0)),"Yes","No"))</f>
        <v>Yes</v>
      </c>
    </row>
    <row r="5734" customFormat="false" ht="15" hidden="false" customHeight="false" outlineLevel="0" collapsed="false">
      <c r="A5734" s="31" t="s">
        <v>5884</v>
      </c>
      <c r="B5734" s="44" t="n">
        <v>46281</v>
      </c>
      <c r="C5734" s="31" t="s">
        <v>58</v>
      </c>
      <c r="D5734" s="31" t="s">
        <v>66</v>
      </c>
      <c r="E5734" s="31" t="s">
        <v>51</v>
      </c>
      <c r="F5734" s="31" t="s">
        <v>133</v>
      </c>
      <c r="G5734" s="31" t="n">
        <v>6</v>
      </c>
      <c r="H5734" s="41" t="n">
        <v>1.7</v>
      </c>
      <c r="I5734" s="31" t="s">
        <v>149</v>
      </c>
      <c r="J5734" s="31"/>
      <c r="K5734" s="31" t="s">
        <v>150</v>
      </c>
      <c r="L5734" s="45" t="n">
        <f aca="false">DATE(YEAR(B5734),MONTH(B5734),1)</f>
        <v>46266</v>
      </c>
      <c r="M5734" s="31" t="n">
        <f aca="false">WEEKDAY(B5734,2)</f>
        <v>3</v>
      </c>
      <c r="N5734" s="31" t="str">
        <f aca="false">IF(G5734&lt;=INDEX(Assumptions!$B$15:$B$18,MATCH(E5734,Assumptions!$A$15:$A$18,0)),"Yes","No")</f>
        <v>Yes</v>
      </c>
      <c r="O5734" s="31" t="str">
        <f aca="false">IF(H5734="","Open",IF(H5734&lt;=INDEX(Assumptions!$C$15:$C$18,MATCH(E5734,Assumptions!$A$15:$A$18,0)),"Yes","No"))</f>
        <v>Yes</v>
      </c>
    </row>
    <row r="5735" customFormat="false" ht="15" hidden="false" customHeight="false" outlineLevel="0" collapsed="false">
      <c r="A5735" s="31" t="s">
        <v>5885</v>
      </c>
      <c r="B5735" s="44" t="n">
        <v>46281</v>
      </c>
      <c r="C5735" s="31" t="s">
        <v>57</v>
      </c>
      <c r="D5735" s="31" t="s">
        <v>66</v>
      </c>
      <c r="E5735" s="31" t="s">
        <v>52</v>
      </c>
      <c r="F5735" s="31" t="s">
        <v>127</v>
      </c>
      <c r="G5735" s="31" t="n">
        <v>3</v>
      </c>
      <c r="H5735" s="41" t="n">
        <v>7</v>
      </c>
      <c r="I5735" s="31" t="s">
        <v>149</v>
      </c>
      <c r="J5735" s="31" t="n">
        <v>5</v>
      </c>
      <c r="K5735" s="31" t="s">
        <v>150</v>
      </c>
      <c r="L5735" s="45" t="n">
        <f aca="false">DATE(YEAR(B5735),MONTH(B5735),1)</f>
        <v>46266</v>
      </c>
      <c r="M5735" s="31" t="n">
        <f aca="false">WEEKDAY(B5735,2)</f>
        <v>3</v>
      </c>
      <c r="N5735" s="31" t="str">
        <f aca="false">IF(G5735&lt;=INDEX(Assumptions!$B$15:$B$18,MATCH(E5735,Assumptions!$A$15:$A$18,0)),"Yes","No")</f>
        <v>Yes</v>
      </c>
      <c r="O5735" s="31" t="str">
        <f aca="false">IF(H5735="","Open",IF(H5735&lt;=INDEX(Assumptions!$C$15:$C$18,MATCH(E5735,Assumptions!$A$15:$A$18,0)),"Yes","No"))</f>
        <v>Yes</v>
      </c>
    </row>
    <row r="5736" customFormat="false" ht="15" hidden="false" customHeight="false" outlineLevel="0" collapsed="false">
      <c r="A5736" s="31" t="s">
        <v>5886</v>
      </c>
      <c r="B5736" s="44" t="n">
        <v>46281</v>
      </c>
      <c r="C5736" s="31" t="s">
        <v>59</v>
      </c>
      <c r="D5736" s="31" t="s">
        <v>65</v>
      </c>
      <c r="E5736" s="31" t="s">
        <v>51</v>
      </c>
      <c r="F5736" s="31" t="s">
        <v>137</v>
      </c>
      <c r="G5736" s="31" t="n">
        <v>50</v>
      </c>
      <c r="H5736" s="41" t="n">
        <v>13.1</v>
      </c>
      <c r="I5736" s="31" t="s">
        <v>149</v>
      </c>
      <c r="J5736" s="31"/>
      <c r="K5736" s="31" t="s">
        <v>150</v>
      </c>
      <c r="L5736" s="45" t="n">
        <f aca="false">DATE(YEAR(B5736),MONTH(B5736),1)</f>
        <v>46266</v>
      </c>
      <c r="M5736" s="31" t="n">
        <f aca="false">WEEKDAY(B5736,2)</f>
        <v>3</v>
      </c>
      <c r="N5736" s="31" t="str">
        <f aca="false">IF(G5736&lt;=INDEX(Assumptions!$B$15:$B$18,MATCH(E5736,Assumptions!$A$15:$A$18,0)),"Yes","No")</f>
        <v>Yes</v>
      </c>
      <c r="O5736" s="31" t="str">
        <f aca="false">IF(H5736="","Open",IF(H5736&lt;=INDEX(Assumptions!$C$15:$C$18,MATCH(E5736,Assumptions!$A$15:$A$18,0)),"Yes","No"))</f>
        <v>Yes</v>
      </c>
    </row>
    <row r="5737" customFormat="false" ht="15" hidden="false" customHeight="false" outlineLevel="0" collapsed="false">
      <c r="A5737" s="31" t="s">
        <v>5887</v>
      </c>
      <c r="B5737" s="44" t="n">
        <v>46281</v>
      </c>
      <c r="C5737" s="31" t="s">
        <v>57</v>
      </c>
      <c r="D5737" s="31" t="s">
        <v>68</v>
      </c>
      <c r="E5737" s="31" t="s">
        <v>52</v>
      </c>
      <c r="F5737" s="31" t="s">
        <v>117</v>
      </c>
      <c r="G5737" s="31" t="n">
        <v>3</v>
      </c>
      <c r="H5737" s="41" t="n">
        <v>7.6</v>
      </c>
      <c r="I5737" s="31" t="s">
        <v>149</v>
      </c>
      <c r="J5737" s="31" t="n">
        <v>5</v>
      </c>
      <c r="K5737" s="31" t="s">
        <v>150</v>
      </c>
      <c r="L5737" s="45" t="n">
        <f aca="false">DATE(YEAR(B5737),MONTH(B5737),1)</f>
        <v>46266</v>
      </c>
      <c r="M5737" s="31" t="n">
        <f aca="false">WEEKDAY(B5737,2)</f>
        <v>3</v>
      </c>
      <c r="N5737" s="31" t="str">
        <f aca="false">IF(G5737&lt;=INDEX(Assumptions!$B$15:$B$18,MATCH(E5737,Assumptions!$A$15:$A$18,0)),"Yes","No")</f>
        <v>Yes</v>
      </c>
      <c r="O5737" s="31" t="str">
        <f aca="false">IF(H5737="","Open",IF(H5737&lt;=INDEX(Assumptions!$C$15:$C$18,MATCH(E5737,Assumptions!$A$15:$A$18,0)),"Yes","No"))</f>
        <v>Yes</v>
      </c>
    </row>
    <row r="5738" customFormat="false" ht="15" hidden="false" customHeight="false" outlineLevel="0" collapsed="false">
      <c r="A5738" s="31" t="s">
        <v>5888</v>
      </c>
      <c r="B5738" s="44" t="n">
        <v>46281</v>
      </c>
      <c r="C5738" s="31" t="s">
        <v>57</v>
      </c>
      <c r="D5738" s="31" t="s">
        <v>66</v>
      </c>
      <c r="E5738" s="31" t="s">
        <v>52</v>
      </c>
      <c r="F5738" s="31" t="s">
        <v>117</v>
      </c>
      <c r="G5738" s="31" t="n">
        <v>7</v>
      </c>
      <c r="H5738" s="41" t="n">
        <v>36.7</v>
      </c>
      <c r="I5738" s="31" t="s">
        <v>149</v>
      </c>
      <c r="J5738" s="31" t="n">
        <v>4</v>
      </c>
      <c r="K5738" s="31" t="s">
        <v>150</v>
      </c>
      <c r="L5738" s="45" t="n">
        <f aca="false">DATE(YEAR(B5738),MONTH(B5738),1)</f>
        <v>46266</v>
      </c>
      <c r="M5738" s="31" t="n">
        <f aca="false">WEEKDAY(B5738,2)</f>
        <v>3</v>
      </c>
      <c r="N5738" s="31" t="str">
        <f aca="false">IF(G5738&lt;=INDEX(Assumptions!$B$15:$B$18,MATCH(E5738,Assumptions!$A$15:$A$18,0)),"Yes","No")</f>
        <v>Yes</v>
      </c>
      <c r="O5738" s="31" t="str">
        <f aca="false">IF(H5738="","Open",IF(H5738&lt;=INDEX(Assumptions!$C$15:$C$18,MATCH(E5738,Assumptions!$A$15:$A$18,0)),"Yes","No"))</f>
        <v>Yes</v>
      </c>
    </row>
    <row r="5739" customFormat="false" ht="15" hidden="false" customHeight="false" outlineLevel="0" collapsed="false">
      <c r="A5739" s="31" t="s">
        <v>5889</v>
      </c>
      <c r="B5739" s="44" t="n">
        <v>46281</v>
      </c>
      <c r="C5739" s="31" t="s">
        <v>57</v>
      </c>
      <c r="D5739" s="31" t="s">
        <v>67</v>
      </c>
      <c r="E5739" s="31" t="s">
        <v>51</v>
      </c>
      <c r="F5739" s="31" t="s">
        <v>131</v>
      </c>
      <c r="G5739" s="31" t="n">
        <v>2</v>
      </c>
      <c r="H5739" s="41" t="n">
        <v>12.3</v>
      </c>
      <c r="I5739" s="31" t="s">
        <v>149</v>
      </c>
      <c r="J5739" s="31" t="n">
        <v>4</v>
      </c>
      <c r="K5739" s="31" t="s">
        <v>150</v>
      </c>
      <c r="L5739" s="45" t="n">
        <f aca="false">DATE(YEAR(B5739),MONTH(B5739),1)</f>
        <v>46266</v>
      </c>
      <c r="M5739" s="31" t="n">
        <f aca="false">WEEKDAY(B5739,2)</f>
        <v>3</v>
      </c>
      <c r="N5739" s="31" t="str">
        <f aca="false">IF(G5739&lt;=INDEX(Assumptions!$B$15:$B$18,MATCH(E5739,Assumptions!$A$15:$A$18,0)),"Yes","No")</f>
        <v>Yes</v>
      </c>
      <c r="O5739" s="31" t="str">
        <f aca="false">IF(H5739="","Open",IF(H5739&lt;=INDEX(Assumptions!$C$15:$C$18,MATCH(E5739,Assumptions!$A$15:$A$18,0)),"Yes","No"))</f>
        <v>Yes</v>
      </c>
    </row>
    <row r="5740" customFormat="false" ht="15" hidden="false" customHeight="false" outlineLevel="0" collapsed="false">
      <c r="A5740" s="31" t="s">
        <v>5890</v>
      </c>
      <c r="B5740" s="44" t="n">
        <v>46281</v>
      </c>
      <c r="C5740" s="31" t="s">
        <v>58</v>
      </c>
      <c r="D5740" s="31" t="s">
        <v>66</v>
      </c>
      <c r="E5740" s="31" t="s">
        <v>52</v>
      </c>
      <c r="F5740" s="31" t="s">
        <v>134</v>
      </c>
      <c r="G5740" s="31" t="n">
        <v>39</v>
      </c>
      <c r="H5740" s="41" t="n">
        <v>15.1</v>
      </c>
      <c r="I5740" s="31" t="s">
        <v>149</v>
      </c>
      <c r="J5740" s="31"/>
      <c r="K5740" s="31" t="s">
        <v>150</v>
      </c>
      <c r="L5740" s="45" t="n">
        <f aca="false">DATE(YEAR(B5740),MONTH(B5740),1)</f>
        <v>46266</v>
      </c>
      <c r="M5740" s="31" t="n">
        <f aca="false">WEEKDAY(B5740,2)</f>
        <v>3</v>
      </c>
      <c r="N5740" s="31" t="str">
        <f aca="false">IF(G5740&lt;=INDEX(Assumptions!$B$15:$B$18,MATCH(E5740,Assumptions!$A$15:$A$18,0)),"Yes","No")</f>
        <v>Yes</v>
      </c>
      <c r="O5740" s="31" t="str">
        <f aca="false">IF(H5740="","Open",IF(H5740&lt;=INDEX(Assumptions!$C$15:$C$18,MATCH(E5740,Assumptions!$A$15:$A$18,0)),"Yes","No"))</f>
        <v>Yes</v>
      </c>
    </row>
    <row r="5741" customFormat="false" ht="15" hidden="false" customHeight="false" outlineLevel="0" collapsed="false">
      <c r="A5741" s="31" t="s">
        <v>5891</v>
      </c>
      <c r="B5741" s="44" t="n">
        <v>46281</v>
      </c>
      <c r="C5741" s="31" t="s">
        <v>59</v>
      </c>
      <c r="D5741" s="31" t="s">
        <v>66</v>
      </c>
      <c r="E5741" s="31" t="s">
        <v>51</v>
      </c>
      <c r="F5741" s="31" t="s">
        <v>133</v>
      </c>
      <c r="G5741" s="31" t="n">
        <v>17</v>
      </c>
      <c r="H5741" s="41" t="n">
        <v>2.8</v>
      </c>
      <c r="I5741" s="31" t="s">
        <v>149</v>
      </c>
      <c r="J5741" s="31"/>
      <c r="K5741" s="31" t="s">
        <v>150</v>
      </c>
      <c r="L5741" s="45" t="n">
        <f aca="false">DATE(YEAR(B5741),MONTH(B5741),1)</f>
        <v>46266</v>
      </c>
      <c r="M5741" s="31" t="n">
        <f aca="false">WEEKDAY(B5741,2)</f>
        <v>3</v>
      </c>
      <c r="N5741" s="31" t="str">
        <f aca="false">IF(G5741&lt;=INDEX(Assumptions!$B$15:$B$18,MATCH(E5741,Assumptions!$A$15:$A$18,0)),"Yes","No")</f>
        <v>Yes</v>
      </c>
      <c r="O5741" s="31" t="str">
        <f aca="false">IF(H5741="","Open",IF(H5741&lt;=INDEX(Assumptions!$C$15:$C$18,MATCH(E5741,Assumptions!$A$15:$A$18,0)),"Yes","No"))</f>
        <v>Yes</v>
      </c>
    </row>
    <row r="5742" customFormat="false" ht="15" hidden="false" customHeight="false" outlineLevel="0" collapsed="false">
      <c r="A5742" s="31" t="s">
        <v>5892</v>
      </c>
      <c r="B5742" s="44" t="n">
        <v>46281</v>
      </c>
      <c r="C5742" s="31" t="s">
        <v>57</v>
      </c>
      <c r="D5742" s="31" t="s">
        <v>67</v>
      </c>
      <c r="E5742" s="31" t="s">
        <v>52</v>
      </c>
      <c r="F5742" s="31" t="s">
        <v>128</v>
      </c>
      <c r="G5742" s="31" t="n">
        <v>7</v>
      </c>
      <c r="H5742" s="41" t="n">
        <v>17.1</v>
      </c>
      <c r="I5742" s="31" t="s">
        <v>149</v>
      </c>
      <c r="J5742" s="31"/>
      <c r="K5742" s="31" t="s">
        <v>150</v>
      </c>
      <c r="L5742" s="45" t="n">
        <f aca="false">DATE(YEAR(B5742),MONTH(B5742),1)</f>
        <v>46266</v>
      </c>
      <c r="M5742" s="31" t="n">
        <f aca="false">WEEKDAY(B5742,2)</f>
        <v>3</v>
      </c>
      <c r="N5742" s="31" t="str">
        <f aca="false">IF(G5742&lt;=INDEX(Assumptions!$B$15:$B$18,MATCH(E5742,Assumptions!$A$15:$A$18,0)),"Yes","No")</f>
        <v>Yes</v>
      </c>
      <c r="O5742" s="31" t="str">
        <f aca="false">IF(H5742="","Open",IF(H5742&lt;=INDEX(Assumptions!$C$15:$C$18,MATCH(E5742,Assumptions!$A$15:$A$18,0)),"Yes","No"))</f>
        <v>Yes</v>
      </c>
    </row>
    <row r="5743" customFormat="false" ht="15" hidden="false" customHeight="false" outlineLevel="0" collapsed="false">
      <c r="A5743" s="31" t="s">
        <v>5893</v>
      </c>
      <c r="B5743" s="44" t="n">
        <v>46281</v>
      </c>
      <c r="C5743" s="31" t="s">
        <v>58</v>
      </c>
      <c r="D5743" s="31" t="s">
        <v>69</v>
      </c>
      <c r="E5743" s="31" t="s">
        <v>52</v>
      </c>
      <c r="F5743" s="31" t="s">
        <v>134</v>
      </c>
      <c r="G5743" s="31" t="n">
        <v>27</v>
      </c>
      <c r="H5743" s="41" t="n">
        <v>86.3</v>
      </c>
      <c r="I5743" s="31" t="s">
        <v>149</v>
      </c>
      <c r="J5743" s="31" t="n">
        <v>3</v>
      </c>
      <c r="K5743" s="31" t="s">
        <v>150</v>
      </c>
      <c r="L5743" s="45" t="n">
        <f aca="false">DATE(YEAR(B5743),MONTH(B5743),1)</f>
        <v>46266</v>
      </c>
      <c r="M5743" s="31" t="n">
        <f aca="false">WEEKDAY(B5743,2)</f>
        <v>3</v>
      </c>
      <c r="N5743" s="31" t="str">
        <f aca="false">IF(G5743&lt;=INDEX(Assumptions!$B$15:$B$18,MATCH(E5743,Assumptions!$A$15:$A$18,0)),"Yes","No")</f>
        <v>Yes</v>
      </c>
      <c r="O5743" s="31" t="str">
        <f aca="false">IF(H5743="","Open",IF(H5743&lt;=INDEX(Assumptions!$C$15:$C$18,MATCH(E5743,Assumptions!$A$15:$A$18,0)),"Yes","No"))</f>
        <v>No</v>
      </c>
    </row>
    <row r="5744" customFormat="false" ht="15" hidden="false" customHeight="false" outlineLevel="0" collapsed="false">
      <c r="A5744" s="31" t="s">
        <v>5894</v>
      </c>
      <c r="B5744" s="44" t="n">
        <v>46281</v>
      </c>
      <c r="C5744" s="31" t="s">
        <v>58</v>
      </c>
      <c r="D5744" s="31" t="s">
        <v>67</v>
      </c>
      <c r="E5744" s="31" t="s">
        <v>50</v>
      </c>
      <c r="F5744" s="31" t="s">
        <v>120</v>
      </c>
      <c r="G5744" s="31" t="n">
        <v>14</v>
      </c>
      <c r="H5744" s="41" t="n">
        <v>11.1</v>
      </c>
      <c r="I5744" s="31" t="s">
        <v>149</v>
      </c>
      <c r="J5744" s="31"/>
      <c r="K5744" s="31" t="s">
        <v>150</v>
      </c>
      <c r="L5744" s="45" t="n">
        <f aca="false">DATE(YEAR(B5744),MONTH(B5744),1)</f>
        <v>46266</v>
      </c>
      <c r="M5744" s="31" t="n">
        <f aca="false">WEEKDAY(B5744,2)</f>
        <v>3</v>
      </c>
      <c r="N5744" s="31" t="str">
        <f aca="false">IF(G5744&lt;=INDEX(Assumptions!$B$15:$B$18,MATCH(E5744,Assumptions!$A$15:$A$18,0)),"Yes","No")</f>
        <v>Yes</v>
      </c>
      <c r="O5744" s="31" t="str">
        <f aca="false">IF(H5744="","Open",IF(H5744&lt;=INDEX(Assumptions!$C$15:$C$18,MATCH(E5744,Assumptions!$A$15:$A$18,0)),"Yes","No"))</f>
        <v>No</v>
      </c>
    </row>
    <row r="5745" customFormat="false" ht="15" hidden="false" customHeight="false" outlineLevel="0" collapsed="false">
      <c r="A5745" s="31" t="s">
        <v>5895</v>
      </c>
      <c r="B5745" s="44" t="n">
        <v>46281</v>
      </c>
      <c r="C5745" s="31" t="s">
        <v>58</v>
      </c>
      <c r="D5745" s="31" t="s">
        <v>65</v>
      </c>
      <c r="E5745" s="31" t="s">
        <v>52</v>
      </c>
      <c r="F5745" s="31" t="s">
        <v>126</v>
      </c>
      <c r="G5745" s="31" t="n">
        <v>16</v>
      </c>
      <c r="H5745" s="41" t="n">
        <v>3.1</v>
      </c>
      <c r="I5745" s="31" t="s">
        <v>149</v>
      </c>
      <c r="J5745" s="31"/>
      <c r="K5745" s="31" t="s">
        <v>150</v>
      </c>
      <c r="L5745" s="45" t="n">
        <f aca="false">DATE(YEAR(B5745),MONTH(B5745),1)</f>
        <v>46266</v>
      </c>
      <c r="M5745" s="31" t="n">
        <f aca="false">WEEKDAY(B5745,2)</f>
        <v>3</v>
      </c>
      <c r="N5745" s="31" t="str">
        <f aca="false">IF(G5745&lt;=INDEX(Assumptions!$B$15:$B$18,MATCH(E5745,Assumptions!$A$15:$A$18,0)),"Yes","No")</f>
        <v>Yes</v>
      </c>
      <c r="O5745" s="31" t="str">
        <f aca="false">IF(H5745="","Open",IF(H5745&lt;=INDEX(Assumptions!$C$15:$C$18,MATCH(E5745,Assumptions!$A$15:$A$18,0)),"Yes","No"))</f>
        <v>Yes</v>
      </c>
    </row>
    <row r="5746" customFormat="false" ht="15" hidden="false" customHeight="false" outlineLevel="0" collapsed="false">
      <c r="A5746" s="31" t="s">
        <v>5896</v>
      </c>
      <c r="B5746" s="44" t="n">
        <v>46281</v>
      </c>
      <c r="C5746" s="31" t="s">
        <v>60</v>
      </c>
      <c r="D5746" s="31" t="s">
        <v>66</v>
      </c>
      <c r="E5746" s="31" t="s">
        <v>51</v>
      </c>
      <c r="F5746" s="31" t="s">
        <v>121</v>
      </c>
      <c r="G5746" s="31" t="n">
        <v>7</v>
      </c>
      <c r="H5746" s="41"/>
      <c r="I5746" s="31" t="s">
        <v>158</v>
      </c>
      <c r="J5746" s="31"/>
      <c r="K5746" s="31" t="s">
        <v>150</v>
      </c>
      <c r="L5746" s="45" t="n">
        <f aca="false">DATE(YEAR(B5746),MONTH(B5746),1)</f>
        <v>46266</v>
      </c>
      <c r="M5746" s="31" t="n">
        <f aca="false">WEEKDAY(B5746,2)</f>
        <v>3</v>
      </c>
      <c r="N5746" s="31" t="str">
        <f aca="false">IF(G5746&lt;=INDEX(Assumptions!$B$15:$B$18,MATCH(E5746,Assumptions!$A$15:$A$18,0)),"Yes","No")</f>
        <v>Yes</v>
      </c>
      <c r="O5746" s="31" t="str">
        <f aca="false">IF(H5746="","Open",IF(H5746&lt;=INDEX(Assumptions!$C$15:$C$18,MATCH(E5746,Assumptions!$A$15:$A$18,0)),"Yes","No"))</f>
        <v>Open</v>
      </c>
    </row>
    <row r="5747" customFormat="false" ht="15" hidden="false" customHeight="false" outlineLevel="0" collapsed="false">
      <c r="A5747" s="31" t="s">
        <v>5897</v>
      </c>
      <c r="B5747" s="44" t="n">
        <v>46281</v>
      </c>
      <c r="C5747" s="31" t="s">
        <v>57</v>
      </c>
      <c r="D5747" s="31" t="s">
        <v>65</v>
      </c>
      <c r="E5747" s="31" t="s">
        <v>52</v>
      </c>
      <c r="F5747" s="31" t="s">
        <v>129</v>
      </c>
      <c r="G5747" s="31" t="n">
        <v>3</v>
      </c>
      <c r="H5747" s="41" t="n">
        <v>11</v>
      </c>
      <c r="I5747" s="31" t="s">
        <v>149</v>
      </c>
      <c r="J5747" s="31" t="n">
        <v>4</v>
      </c>
      <c r="K5747" s="31" t="s">
        <v>150</v>
      </c>
      <c r="L5747" s="45" t="n">
        <f aca="false">DATE(YEAR(B5747),MONTH(B5747),1)</f>
        <v>46266</v>
      </c>
      <c r="M5747" s="31" t="n">
        <f aca="false">WEEKDAY(B5747,2)</f>
        <v>3</v>
      </c>
      <c r="N5747" s="31" t="str">
        <f aca="false">IF(G5747&lt;=INDEX(Assumptions!$B$15:$B$18,MATCH(E5747,Assumptions!$A$15:$A$18,0)),"Yes","No")</f>
        <v>Yes</v>
      </c>
      <c r="O5747" s="31" t="str">
        <f aca="false">IF(H5747="","Open",IF(H5747&lt;=INDEX(Assumptions!$C$15:$C$18,MATCH(E5747,Assumptions!$A$15:$A$18,0)),"Yes","No"))</f>
        <v>Yes</v>
      </c>
    </row>
    <row r="5748" customFormat="false" ht="15" hidden="false" customHeight="false" outlineLevel="0" collapsed="false">
      <c r="A5748" s="31" t="s">
        <v>5898</v>
      </c>
      <c r="B5748" s="44" t="n">
        <v>46281</v>
      </c>
      <c r="C5748" s="31" t="s">
        <v>58</v>
      </c>
      <c r="D5748" s="31" t="s">
        <v>65</v>
      </c>
      <c r="E5748" s="31" t="s">
        <v>51</v>
      </c>
      <c r="F5748" s="31" t="s">
        <v>123</v>
      </c>
      <c r="G5748" s="31" t="n">
        <v>9</v>
      </c>
      <c r="H5748" s="41" t="n">
        <v>6.9</v>
      </c>
      <c r="I5748" s="31" t="s">
        <v>149</v>
      </c>
      <c r="J5748" s="31"/>
      <c r="K5748" s="31" t="s">
        <v>150</v>
      </c>
      <c r="L5748" s="45" t="n">
        <f aca="false">DATE(YEAR(B5748),MONTH(B5748),1)</f>
        <v>46266</v>
      </c>
      <c r="M5748" s="31" t="n">
        <f aca="false">WEEKDAY(B5748,2)</f>
        <v>3</v>
      </c>
      <c r="N5748" s="31" t="str">
        <f aca="false">IF(G5748&lt;=INDEX(Assumptions!$B$15:$B$18,MATCH(E5748,Assumptions!$A$15:$A$18,0)),"Yes","No")</f>
        <v>Yes</v>
      </c>
      <c r="O5748" s="31" t="str">
        <f aca="false">IF(H5748="","Open",IF(H5748&lt;=INDEX(Assumptions!$C$15:$C$18,MATCH(E5748,Assumptions!$A$15:$A$18,0)),"Yes","No"))</f>
        <v>Yes</v>
      </c>
    </row>
    <row r="5749" customFormat="false" ht="15" hidden="false" customHeight="false" outlineLevel="0" collapsed="false">
      <c r="A5749" s="31" t="s">
        <v>5899</v>
      </c>
      <c r="B5749" s="44" t="n">
        <v>46281</v>
      </c>
      <c r="C5749" s="31" t="s">
        <v>57</v>
      </c>
      <c r="D5749" s="31" t="s">
        <v>65</v>
      </c>
      <c r="E5749" s="31" t="s">
        <v>52</v>
      </c>
      <c r="F5749" s="31" t="s">
        <v>120</v>
      </c>
      <c r="G5749" s="31" t="n">
        <v>17</v>
      </c>
      <c r="H5749" s="41" t="n">
        <v>13.3</v>
      </c>
      <c r="I5749" s="31" t="s">
        <v>149</v>
      </c>
      <c r="J5749" s="31" t="n">
        <v>4</v>
      </c>
      <c r="K5749" s="31" t="s">
        <v>150</v>
      </c>
      <c r="L5749" s="45" t="n">
        <f aca="false">DATE(YEAR(B5749),MONTH(B5749),1)</f>
        <v>46266</v>
      </c>
      <c r="M5749" s="31" t="n">
        <f aca="false">WEEKDAY(B5749,2)</f>
        <v>3</v>
      </c>
      <c r="N5749" s="31" t="str">
        <f aca="false">IF(G5749&lt;=INDEX(Assumptions!$B$15:$B$18,MATCH(E5749,Assumptions!$A$15:$A$18,0)),"Yes","No")</f>
        <v>Yes</v>
      </c>
      <c r="O5749" s="31" t="str">
        <f aca="false">IF(H5749="","Open",IF(H5749&lt;=INDEX(Assumptions!$C$15:$C$18,MATCH(E5749,Assumptions!$A$15:$A$18,0)),"Yes","No"))</f>
        <v>Yes</v>
      </c>
    </row>
    <row r="5750" customFormat="false" ht="15" hidden="false" customHeight="false" outlineLevel="0" collapsed="false">
      <c r="A5750" s="31" t="s">
        <v>5900</v>
      </c>
      <c r="B5750" s="44" t="n">
        <v>46281</v>
      </c>
      <c r="C5750" s="31" t="s">
        <v>58</v>
      </c>
      <c r="D5750" s="31" t="s">
        <v>65</v>
      </c>
      <c r="E5750" s="31" t="s">
        <v>51</v>
      </c>
      <c r="F5750" s="31" t="s">
        <v>136</v>
      </c>
      <c r="G5750" s="31" t="n">
        <v>7</v>
      </c>
      <c r="H5750" s="41" t="n">
        <v>16</v>
      </c>
      <c r="I5750" s="31" t="s">
        <v>149</v>
      </c>
      <c r="J5750" s="31"/>
      <c r="K5750" s="31" t="s">
        <v>150</v>
      </c>
      <c r="L5750" s="45" t="n">
        <f aca="false">DATE(YEAR(B5750),MONTH(B5750),1)</f>
        <v>46266</v>
      </c>
      <c r="M5750" s="31" t="n">
        <f aca="false">WEEKDAY(B5750,2)</f>
        <v>3</v>
      </c>
      <c r="N5750" s="31" t="str">
        <f aca="false">IF(G5750&lt;=INDEX(Assumptions!$B$15:$B$18,MATCH(E5750,Assumptions!$A$15:$A$18,0)),"Yes","No")</f>
        <v>Yes</v>
      </c>
      <c r="O5750" s="31" t="str">
        <f aca="false">IF(H5750="","Open",IF(H5750&lt;=INDEX(Assumptions!$C$15:$C$18,MATCH(E5750,Assumptions!$A$15:$A$18,0)),"Yes","No"))</f>
        <v>Yes</v>
      </c>
    </row>
    <row r="5751" customFormat="false" ht="15" hidden="false" customHeight="false" outlineLevel="0" collapsed="false">
      <c r="A5751" s="31" t="s">
        <v>5901</v>
      </c>
      <c r="B5751" s="44" t="n">
        <v>46281</v>
      </c>
      <c r="C5751" s="31" t="s">
        <v>58</v>
      </c>
      <c r="D5751" s="31" t="s">
        <v>68</v>
      </c>
      <c r="E5751" s="31" t="s">
        <v>52</v>
      </c>
      <c r="F5751" s="31" t="s">
        <v>131</v>
      </c>
      <c r="G5751" s="31" t="n">
        <v>8</v>
      </c>
      <c r="H5751" s="41" t="n">
        <v>2.8</v>
      </c>
      <c r="I5751" s="31" t="s">
        <v>149</v>
      </c>
      <c r="J5751" s="31" t="n">
        <v>4</v>
      </c>
      <c r="K5751" s="31" t="s">
        <v>150</v>
      </c>
      <c r="L5751" s="45" t="n">
        <f aca="false">DATE(YEAR(B5751),MONTH(B5751),1)</f>
        <v>46266</v>
      </c>
      <c r="M5751" s="31" t="n">
        <f aca="false">WEEKDAY(B5751,2)</f>
        <v>3</v>
      </c>
      <c r="N5751" s="31" t="str">
        <f aca="false">IF(G5751&lt;=INDEX(Assumptions!$B$15:$B$18,MATCH(E5751,Assumptions!$A$15:$A$18,0)),"Yes","No")</f>
        <v>Yes</v>
      </c>
      <c r="O5751" s="31" t="str">
        <f aca="false">IF(H5751="","Open",IF(H5751&lt;=INDEX(Assumptions!$C$15:$C$18,MATCH(E5751,Assumptions!$A$15:$A$18,0)),"Yes","No"))</f>
        <v>Yes</v>
      </c>
    </row>
    <row r="5752" customFormat="false" ht="15" hidden="false" customHeight="false" outlineLevel="0" collapsed="false">
      <c r="A5752" s="31" t="s">
        <v>5902</v>
      </c>
      <c r="B5752" s="44" t="n">
        <v>46281</v>
      </c>
      <c r="C5752" s="31" t="s">
        <v>60</v>
      </c>
      <c r="D5752" s="31" t="s">
        <v>66</v>
      </c>
      <c r="E5752" s="31" t="s">
        <v>52</v>
      </c>
      <c r="F5752" s="31" t="s">
        <v>120</v>
      </c>
      <c r="G5752" s="31" t="n">
        <v>1</v>
      </c>
      <c r="H5752" s="41" t="n">
        <v>45.9</v>
      </c>
      <c r="I5752" s="31" t="s">
        <v>149</v>
      </c>
      <c r="J5752" s="31" t="n">
        <v>3</v>
      </c>
      <c r="K5752" s="31" t="s">
        <v>150</v>
      </c>
      <c r="L5752" s="45" t="n">
        <f aca="false">DATE(YEAR(B5752),MONTH(B5752),1)</f>
        <v>46266</v>
      </c>
      <c r="M5752" s="31" t="n">
        <f aca="false">WEEKDAY(B5752,2)</f>
        <v>3</v>
      </c>
      <c r="N5752" s="31" t="str">
        <f aca="false">IF(G5752&lt;=INDEX(Assumptions!$B$15:$B$18,MATCH(E5752,Assumptions!$A$15:$A$18,0)),"Yes","No")</f>
        <v>Yes</v>
      </c>
      <c r="O5752" s="31" t="str">
        <f aca="false">IF(H5752="","Open",IF(H5752&lt;=INDEX(Assumptions!$C$15:$C$18,MATCH(E5752,Assumptions!$A$15:$A$18,0)),"Yes","No"))</f>
        <v>Yes</v>
      </c>
    </row>
    <row r="5753" customFormat="false" ht="15" hidden="false" customHeight="false" outlineLevel="0" collapsed="false">
      <c r="A5753" s="31" t="s">
        <v>5903</v>
      </c>
      <c r="B5753" s="44" t="n">
        <v>46281</v>
      </c>
      <c r="C5753" s="31" t="s">
        <v>57</v>
      </c>
      <c r="D5753" s="31" t="s">
        <v>66</v>
      </c>
      <c r="E5753" s="31" t="s">
        <v>50</v>
      </c>
      <c r="F5753" s="31" t="s">
        <v>135</v>
      </c>
      <c r="G5753" s="31" t="n">
        <v>3</v>
      </c>
      <c r="H5753" s="41" t="n">
        <v>2.7</v>
      </c>
      <c r="I5753" s="31" t="s">
        <v>149</v>
      </c>
      <c r="J5753" s="31"/>
      <c r="K5753" s="31" t="s">
        <v>150</v>
      </c>
      <c r="L5753" s="45" t="n">
        <f aca="false">DATE(YEAR(B5753),MONTH(B5753),1)</f>
        <v>46266</v>
      </c>
      <c r="M5753" s="31" t="n">
        <f aca="false">WEEKDAY(B5753,2)</f>
        <v>3</v>
      </c>
      <c r="N5753" s="31" t="str">
        <f aca="false">IF(G5753&lt;=INDEX(Assumptions!$B$15:$B$18,MATCH(E5753,Assumptions!$A$15:$A$18,0)),"Yes","No")</f>
        <v>Yes</v>
      </c>
      <c r="O5753" s="31" t="str">
        <f aca="false">IF(H5753="","Open",IF(H5753&lt;=INDEX(Assumptions!$C$15:$C$18,MATCH(E5753,Assumptions!$A$15:$A$18,0)),"Yes","No"))</f>
        <v>Yes</v>
      </c>
    </row>
    <row r="5754" customFormat="false" ht="15" hidden="false" customHeight="false" outlineLevel="0" collapsed="false">
      <c r="A5754" s="31" t="s">
        <v>5904</v>
      </c>
      <c r="B5754" s="44" t="n">
        <v>46281</v>
      </c>
      <c r="C5754" s="31" t="s">
        <v>57</v>
      </c>
      <c r="D5754" s="31" t="s">
        <v>65</v>
      </c>
      <c r="E5754" s="31" t="s">
        <v>49</v>
      </c>
      <c r="F5754" s="31" t="s">
        <v>124</v>
      </c>
      <c r="G5754" s="31" t="n">
        <v>8</v>
      </c>
      <c r="H5754" s="41" t="n">
        <v>5.2</v>
      </c>
      <c r="I5754" s="31" t="s">
        <v>149</v>
      </c>
      <c r="J5754" s="31"/>
      <c r="K5754" s="31" t="s">
        <v>150</v>
      </c>
      <c r="L5754" s="45" t="n">
        <f aca="false">DATE(YEAR(B5754),MONTH(B5754),1)</f>
        <v>46266</v>
      </c>
      <c r="M5754" s="31" t="n">
        <f aca="false">WEEKDAY(B5754,2)</f>
        <v>3</v>
      </c>
      <c r="N5754" s="31" t="str">
        <f aca="false">IF(G5754&lt;=INDEX(Assumptions!$B$15:$B$18,MATCH(E5754,Assumptions!$A$15:$A$18,0)),"Yes","No")</f>
        <v>Yes</v>
      </c>
      <c r="O5754" s="31" t="str">
        <f aca="false">IF(H5754="","Open",IF(H5754&lt;=INDEX(Assumptions!$C$15:$C$18,MATCH(E5754,Assumptions!$A$15:$A$18,0)),"Yes","No"))</f>
        <v>No</v>
      </c>
    </row>
    <row r="5755" customFormat="false" ht="15" hidden="false" customHeight="false" outlineLevel="0" collapsed="false">
      <c r="A5755" s="31" t="s">
        <v>5905</v>
      </c>
      <c r="B5755" s="44" t="n">
        <v>46281</v>
      </c>
      <c r="C5755" s="31" t="s">
        <v>57</v>
      </c>
      <c r="D5755" s="31" t="s">
        <v>65</v>
      </c>
      <c r="E5755" s="31" t="s">
        <v>51</v>
      </c>
      <c r="F5755" s="31" t="s">
        <v>122</v>
      </c>
      <c r="G5755" s="31" t="n">
        <v>2</v>
      </c>
      <c r="H5755" s="41" t="n">
        <v>12</v>
      </c>
      <c r="I5755" s="31" t="s">
        <v>149</v>
      </c>
      <c r="J5755" s="31" t="n">
        <v>5</v>
      </c>
      <c r="K5755" s="31" t="s">
        <v>150</v>
      </c>
      <c r="L5755" s="45" t="n">
        <f aca="false">DATE(YEAR(B5755),MONTH(B5755),1)</f>
        <v>46266</v>
      </c>
      <c r="M5755" s="31" t="n">
        <f aca="false">WEEKDAY(B5755,2)</f>
        <v>3</v>
      </c>
      <c r="N5755" s="31" t="str">
        <f aca="false">IF(G5755&lt;=INDEX(Assumptions!$B$15:$B$18,MATCH(E5755,Assumptions!$A$15:$A$18,0)),"Yes","No")</f>
        <v>Yes</v>
      </c>
      <c r="O5755" s="31" t="str">
        <f aca="false">IF(H5755="","Open",IF(H5755&lt;=INDEX(Assumptions!$C$15:$C$18,MATCH(E5755,Assumptions!$A$15:$A$18,0)),"Yes","No"))</f>
        <v>Yes</v>
      </c>
    </row>
    <row r="5756" customFormat="false" ht="15" hidden="false" customHeight="false" outlineLevel="0" collapsed="false">
      <c r="A5756" s="31" t="s">
        <v>5906</v>
      </c>
      <c r="B5756" s="44" t="n">
        <v>46281</v>
      </c>
      <c r="C5756" s="31" t="s">
        <v>60</v>
      </c>
      <c r="D5756" s="31" t="s">
        <v>65</v>
      </c>
      <c r="E5756" s="31" t="s">
        <v>50</v>
      </c>
      <c r="F5756" s="31" t="s">
        <v>136</v>
      </c>
      <c r="G5756" s="31" t="n">
        <v>1</v>
      </c>
      <c r="H5756" s="41" t="n">
        <v>12.7</v>
      </c>
      <c r="I5756" s="31" t="s">
        <v>149</v>
      </c>
      <c r="J5756" s="31"/>
      <c r="K5756" s="31" t="s">
        <v>150</v>
      </c>
      <c r="L5756" s="45" t="n">
        <f aca="false">DATE(YEAR(B5756),MONTH(B5756),1)</f>
        <v>46266</v>
      </c>
      <c r="M5756" s="31" t="n">
        <f aca="false">WEEKDAY(B5756,2)</f>
        <v>3</v>
      </c>
      <c r="N5756" s="31" t="str">
        <f aca="false">IF(G5756&lt;=INDEX(Assumptions!$B$15:$B$18,MATCH(E5756,Assumptions!$A$15:$A$18,0)),"Yes","No")</f>
        <v>Yes</v>
      </c>
      <c r="O5756" s="31" t="str">
        <f aca="false">IF(H5756="","Open",IF(H5756&lt;=INDEX(Assumptions!$C$15:$C$18,MATCH(E5756,Assumptions!$A$15:$A$18,0)),"Yes","No"))</f>
        <v>No</v>
      </c>
    </row>
    <row r="5757" customFormat="false" ht="15" hidden="false" customHeight="false" outlineLevel="0" collapsed="false">
      <c r="A5757" s="31" t="s">
        <v>5907</v>
      </c>
      <c r="B5757" s="44" t="n">
        <v>46281</v>
      </c>
      <c r="C5757" s="31" t="s">
        <v>59</v>
      </c>
      <c r="D5757" s="31" t="s">
        <v>68</v>
      </c>
      <c r="E5757" s="31" t="s">
        <v>52</v>
      </c>
      <c r="F5757" s="31" t="s">
        <v>133</v>
      </c>
      <c r="G5757" s="31" t="n">
        <v>46</v>
      </c>
      <c r="H5757" s="41" t="n">
        <v>2.9</v>
      </c>
      <c r="I5757" s="31" t="s">
        <v>149</v>
      </c>
      <c r="J5757" s="31"/>
      <c r="K5757" s="31" t="s">
        <v>150</v>
      </c>
      <c r="L5757" s="45" t="n">
        <f aca="false">DATE(YEAR(B5757),MONTH(B5757),1)</f>
        <v>46266</v>
      </c>
      <c r="M5757" s="31" t="n">
        <f aca="false">WEEKDAY(B5757,2)</f>
        <v>3</v>
      </c>
      <c r="N5757" s="31" t="str">
        <f aca="false">IF(G5757&lt;=INDEX(Assumptions!$B$15:$B$18,MATCH(E5757,Assumptions!$A$15:$A$18,0)),"Yes","No")</f>
        <v>Yes</v>
      </c>
      <c r="O5757" s="31" t="str">
        <f aca="false">IF(H5757="","Open",IF(H5757&lt;=INDEX(Assumptions!$C$15:$C$18,MATCH(E5757,Assumptions!$A$15:$A$18,0)),"Yes","No"))</f>
        <v>Yes</v>
      </c>
    </row>
    <row r="5758" customFormat="false" ht="15" hidden="false" customHeight="false" outlineLevel="0" collapsed="false">
      <c r="A5758" s="31" t="s">
        <v>5908</v>
      </c>
      <c r="B5758" s="44" t="n">
        <v>46281</v>
      </c>
      <c r="C5758" s="31" t="s">
        <v>58</v>
      </c>
      <c r="D5758" s="31" t="s">
        <v>66</v>
      </c>
      <c r="E5758" s="31" t="s">
        <v>52</v>
      </c>
      <c r="F5758" s="31" t="s">
        <v>129</v>
      </c>
      <c r="G5758" s="31" t="n">
        <v>5</v>
      </c>
      <c r="H5758" s="41" t="n">
        <v>3.3</v>
      </c>
      <c r="I5758" s="31" t="s">
        <v>149</v>
      </c>
      <c r="J5758" s="31"/>
      <c r="K5758" s="31" t="s">
        <v>150</v>
      </c>
      <c r="L5758" s="45" t="n">
        <f aca="false">DATE(YEAR(B5758),MONTH(B5758),1)</f>
        <v>46266</v>
      </c>
      <c r="M5758" s="31" t="n">
        <f aca="false">WEEKDAY(B5758,2)</f>
        <v>3</v>
      </c>
      <c r="N5758" s="31" t="str">
        <f aca="false">IF(G5758&lt;=INDEX(Assumptions!$B$15:$B$18,MATCH(E5758,Assumptions!$A$15:$A$18,0)),"Yes","No")</f>
        <v>Yes</v>
      </c>
      <c r="O5758" s="31" t="str">
        <f aca="false">IF(H5758="","Open",IF(H5758&lt;=INDEX(Assumptions!$C$15:$C$18,MATCH(E5758,Assumptions!$A$15:$A$18,0)),"Yes","No"))</f>
        <v>Yes</v>
      </c>
    </row>
    <row r="5759" customFormat="false" ht="15" hidden="false" customHeight="false" outlineLevel="0" collapsed="false">
      <c r="A5759" s="31" t="s">
        <v>5909</v>
      </c>
      <c r="B5759" s="44" t="n">
        <v>46281</v>
      </c>
      <c r="C5759" s="31" t="s">
        <v>59</v>
      </c>
      <c r="D5759" s="31" t="s">
        <v>66</v>
      </c>
      <c r="E5759" s="31" t="s">
        <v>51</v>
      </c>
      <c r="F5759" s="31" t="s">
        <v>123</v>
      </c>
      <c r="G5759" s="31" t="n">
        <v>71</v>
      </c>
      <c r="H5759" s="41" t="n">
        <v>4.6</v>
      </c>
      <c r="I5759" s="31" t="s">
        <v>149</v>
      </c>
      <c r="J5759" s="31" t="n">
        <v>5</v>
      </c>
      <c r="K5759" s="31" t="s">
        <v>150</v>
      </c>
      <c r="L5759" s="45" t="n">
        <f aca="false">DATE(YEAR(B5759),MONTH(B5759),1)</f>
        <v>46266</v>
      </c>
      <c r="M5759" s="31" t="n">
        <f aca="false">WEEKDAY(B5759,2)</f>
        <v>3</v>
      </c>
      <c r="N5759" s="31" t="str">
        <f aca="false">IF(G5759&lt;=INDEX(Assumptions!$B$15:$B$18,MATCH(E5759,Assumptions!$A$15:$A$18,0)),"Yes","No")</f>
        <v>No</v>
      </c>
      <c r="O5759" s="31" t="str">
        <f aca="false">IF(H5759="","Open",IF(H5759&lt;=INDEX(Assumptions!$C$15:$C$18,MATCH(E5759,Assumptions!$A$15:$A$18,0)),"Yes","No"))</f>
        <v>Yes</v>
      </c>
    </row>
    <row r="5760" customFormat="false" ht="15" hidden="false" customHeight="false" outlineLevel="0" collapsed="false">
      <c r="A5760" s="31" t="s">
        <v>5910</v>
      </c>
      <c r="B5760" s="44" t="n">
        <v>46281</v>
      </c>
      <c r="C5760" s="31" t="s">
        <v>58</v>
      </c>
      <c r="D5760" s="31" t="s">
        <v>67</v>
      </c>
      <c r="E5760" s="31" t="s">
        <v>50</v>
      </c>
      <c r="F5760" s="31" t="s">
        <v>117</v>
      </c>
      <c r="G5760" s="31" t="n">
        <v>5</v>
      </c>
      <c r="H5760" s="41" t="n">
        <v>8.6</v>
      </c>
      <c r="I5760" s="31" t="s">
        <v>149</v>
      </c>
      <c r="J5760" s="31"/>
      <c r="K5760" s="31" t="s">
        <v>150</v>
      </c>
      <c r="L5760" s="45" t="n">
        <f aca="false">DATE(YEAR(B5760),MONTH(B5760),1)</f>
        <v>46266</v>
      </c>
      <c r="M5760" s="31" t="n">
        <f aca="false">WEEKDAY(B5760,2)</f>
        <v>3</v>
      </c>
      <c r="N5760" s="31" t="str">
        <f aca="false">IF(G5760&lt;=INDEX(Assumptions!$B$15:$B$18,MATCH(E5760,Assumptions!$A$15:$A$18,0)),"Yes","No")</f>
        <v>Yes</v>
      </c>
      <c r="O5760" s="31" t="str">
        <f aca="false">IF(H5760="","Open",IF(H5760&lt;=INDEX(Assumptions!$C$15:$C$18,MATCH(E5760,Assumptions!$A$15:$A$18,0)),"Yes","No"))</f>
        <v>No</v>
      </c>
    </row>
    <row r="5761" customFormat="false" ht="15" hidden="false" customHeight="false" outlineLevel="0" collapsed="false">
      <c r="A5761" s="31" t="s">
        <v>5911</v>
      </c>
      <c r="B5761" s="44" t="n">
        <v>46281</v>
      </c>
      <c r="C5761" s="31" t="s">
        <v>57</v>
      </c>
      <c r="D5761" s="31" t="s">
        <v>66</v>
      </c>
      <c r="E5761" s="31" t="s">
        <v>52</v>
      </c>
      <c r="F5761" s="31" t="s">
        <v>117</v>
      </c>
      <c r="G5761" s="31" t="n">
        <v>9</v>
      </c>
      <c r="H5761" s="41" t="n">
        <v>17.7</v>
      </c>
      <c r="I5761" s="31" t="s">
        <v>149</v>
      </c>
      <c r="J5761" s="31"/>
      <c r="K5761" s="31" t="s">
        <v>150</v>
      </c>
      <c r="L5761" s="45" t="n">
        <f aca="false">DATE(YEAR(B5761),MONTH(B5761),1)</f>
        <v>46266</v>
      </c>
      <c r="M5761" s="31" t="n">
        <f aca="false">WEEKDAY(B5761,2)</f>
        <v>3</v>
      </c>
      <c r="N5761" s="31" t="str">
        <f aca="false">IF(G5761&lt;=INDEX(Assumptions!$B$15:$B$18,MATCH(E5761,Assumptions!$A$15:$A$18,0)),"Yes","No")</f>
        <v>Yes</v>
      </c>
      <c r="O5761" s="31" t="str">
        <f aca="false">IF(H5761="","Open",IF(H5761&lt;=INDEX(Assumptions!$C$15:$C$18,MATCH(E5761,Assumptions!$A$15:$A$18,0)),"Yes","No"))</f>
        <v>Yes</v>
      </c>
    </row>
    <row r="5762" customFormat="false" ht="15" hidden="false" customHeight="false" outlineLevel="0" collapsed="false">
      <c r="A5762" s="31" t="s">
        <v>5912</v>
      </c>
      <c r="B5762" s="44" t="n">
        <v>46281</v>
      </c>
      <c r="C5762" s="31" t="s">
        <v>57</v>
      </c>
      <c r="D5762" s="31" t="s">
        <v>66</v>
      </c>
      <c r="E5762" s="31" t="s">
        <v>50</v>
      </c>
      <c r="F5762" s="31" t="s">
        <v>123</v>
      </c>
      <c r="G5762" s="31" t="n">
        <v>1</v>
      </c>
      <c r="H5762" s="41" t="n">
        <v>1.1</v>
      </c>
      <c r="I5762" s="31" t="s">
        <v>149</v>
      </c>
      <c r="J5762" s="31" t="n">
        <v>3</v>
      </c>
      <c r="K5762" s="31" t="s">
        <v>150</v>
      </c>
      <c r="L5762" s="45" t="n">
        <f aca="false">DATE(YEAR(B5762),MONTH(B5762),1)</f>
        <v>46266</v>
      </c>
      <c r="M5762" s="31" t="n">
        <f aca="false">WEEKDAY(B5762,2)</f>
        <v>3</v>
      </c>
      <c r="N5762" s="31" t="str">
        <f aca="false">IF(G5762&lt;=INDEX(Assumptions!$B$15:$B$18,MATCH(E5762,Assumptions!$A$15:$A$18,0)),"Yes","No")</f>
        <v>Yes</v>
      </c>
      <c r="O5762" s="31" t="str">
        <f aca="false">IF(H5762="","Open",IF(H5762&lt;=INDEX(Assumptions!$C$15:$C$18,MATCH(E5762,Assumptions!$A$15:$A$18,0)),"Yes","No"))</f>
        <v>Yes</v>
      </c>
    </row>
    <row r="5763" customFormat="false" ht="15" hidden="false" customHeight="false" outlineLevel="0" collapsed="false">
      <c r="A5763" s="31" t="s">
        <v>5913</v>
      </c>
      <c r="B5763" s="44" t="n">
        <v>46281</v>
      </c>
      <c r="C5763" s="31" t="s">
        <v>57</v>
      </c>
      <c r="D5763" s="31" t="s">
        <v>66</v>
      </c>
      <c r="E5763" s="31" t="s">
        <v>51</v>
      </c>
      <c r="F5763" s="31" t="s">
        <v>137</v>
      </c>
      <c r="G5763" s="31" t="n">
        <v>5</v>
      </c>
      <c r="H5763" s="41" t="n">
        <v>2.7</v>
      </c>
      <c r="I5763" s="31" t="s">
        <v>64</v>
      </c>
      <c r="J5763" s="31"/>
      <c r="K5763" s="31" t="s">
        <v>150</v>
      </c>
      <c r="L5763" s="45" t="n">
        <f aca="false">DATE(YEAR(B5763),MONTH(B5763),1)</f>
        <v>46266</v>
      </c>
      <c r="M5763" s="31" t="n">
        <f aca="false">WEEKDAY(B5763,2)</f>
        <v>3</v>
      </c>
      <c r="N5763" s="31" t="str">
        <f aca="false">IF(G5763&lt;=INDEX(Assumptions!$B$15:$B$18,MATCH(E5763,Assumptions!$A$15:$A$18,0)),"Yes","No")</f>
        <v>Yes</v>
      </c>
      <c r="O5763" s="31" t="str">
        <f aca="false">IF(H5763="","Open",IF(H5763&lt;=INDEX(Assumptions!$C$15:$C$18,MATCH(E5763,Assumptions!$A$15:$A$18,0)),"Yes","No"))</f>
        <v>Yes</v>
      </c>
    </row>
    <row r="5764" customFormat="false" ht="15" hidden="false" customHeight="false" outlineLevel="0" collapsed="false">
      <c r="A5764" s="31" t="s">
        <v>5914</v>
      </c>
      <c r="B5764" s="44" t="n">
        <v>46281</v>
      </c>
      <c r="C5764" s="31" t="s">
        <v>60</v>
      </c>
      <c r="D5764" s="31" t="s">
        <v>67</v>
      </c>
      <c r="E5764" s="31" t="s">
        <v>52</v>
      </c>
      <c r="F5764" s="31" t="s">
        <v>134</v>
      </c>
      <c r="G5764" s="31" t="n">
        <v>2</v>
      </c>
      <c r="H5764" s="41" t="n">
        <v>19.3</v>
      </c>
      <c r="I5764" s="31" t="s">
        <v>149</v>
      </c>
      <c r="J5764" s="31" t="n">
        <v>4</v>
      </c>
      <c r="K5764" s="31" t="s">
        <v>150</v>
      </c>
      <c r="L5764" s="45" t="n">
        <f aca="false">DATE(YEAR(B5764),MONTH(B5764),1)</f>
        <v>46266</v>
      </c>
      <c r="M5764" s="31" t="n">
        <f aca="false">WEEKDAY(B5764,2)</f>
        <v>3</v>
      </c>
      <c r="N5764" s="31" t="str">
        <f aca="false">IF(G5764&lt;=INDEX(Assumptions!$B$15:$B$18,MATCH(E5764,Assumptions!$A$15:$A$18,0)),"Yes","No")</f>
        <v>Yes</v>
      </c>
      <c r="O5764" s="31" t="str">
        <f aca="false">IF(H5764="","Open",IF(H5764&lt;=INDEX(Assumptions!$C$15:$C$18,MATCH(E5764,Assumptions!$A$15:$A$18,0)),"Yes","No"))</f>
        <v>Yes</v>
      </c>
    </row>
    <row r="5765" customFormat="false" ht="15" hidden="false" customHeight="false" outlineLevel="0" collapsed="false">
      <c r="A5765" s="31" t="s">
        <v>5915</v>
      </c>
      <c r="B5765" s="44" t="n">
        <v>46281</v>
      </c>
      <c r="C5765" s="31" t="s">
        <v>57</v>
      </c>
      <c r="D5765" s="31" t="s">
        <v>65</v>
      </c>
      <c r="E5765" s="31" t="s">
        <v>51</v>
      </c>
      <c r="F5765" s="31" t="s">
        <v>117</v>
      </c>
      <c r="G5765" s="31" t="n">
        <v>2</v>
      </c>
      <c r="H5765" s="41" t="n">
        <v>3</v>
      </c>
      <c r="I5765" s="31" t="s">
        <v>149</v>
      </c>
      <c r="J5765" s="31" t="n">
        <v>5</v>
      </c>
      <c r="K5765" s="31" t="s">
        <v>150</v>
      </c>
      <c r="L5765" s="45" t="n">
        <f aca="false">DATE(YEAR(B5765),MONTH(B5765),1)</f>
        <v>46266</v>
      </c>
      <c r="M5765" s="31" t="n">
        <f aca="false">WEEKDAY(B5765,2)</f>
        <v>3</v>
      </c>
      <c r="N5765" s="31" t="str">
        <f aca="false">IF(G5765&lt;=INDEX(Assumptions!$B$15:$B$18,MATCH(E5765,Assumptions!$A$15:$A$18,0)),"Yes","No")</f>
        <v>Yes</v>
      </c>
      <c r="O5765" s="31" t="str">
        <f aca="false">IF(H5765="","Open",IF(H5765&lt;=INDEX(Assumptions!$C$15:$C$18,MATCH(E5765,Assumptions!$A$15:$A$18,0)),"Yes","No"))</f>
        <v>Yes</v>
      </c>
    </row>
    <row r="5766" customFormat="false" ht="15" hidden="false" customHeight="false" outlineLevel="0" collapsed="false">
      <c r="A5766" s="31" t="s">
        <v>5916</v>
      </c>
      <c r="B5766" s="44" t="n">
        <v>46281</v>
      </c>
      <c r="C5766" s="31" t="s">
        <v>59</v>
      </c>
      <c r="D5766" s="31" t="s">
        <v>65</v>
      </c>
      <c r="E5766" s="31" t="s">
        <v>51</v>
      </c>
      <c r="F5766" s="31" t="s">
        <v>119</v>
      </c>
      <c r="G5766" s="31" t="n">
        <v>44</v>
      </c>
      <c r="H5766" s="41" t="n">
        <v>3.5</v>
      </c>
      <c r="I5766" s="31" t="s">
        <v>149</v>
      </c>
      <c r="J5766" s="31" t="n">
        <v>4</v>
      </c>
      <c r="K5766" s="31" t="s">
        <v>153</v>
      </c>
      <c r="L5766" s="45" t="n">
        <f aca="false">DATE(YEAR(B5766),MONTH(B5766),1)</f>
        <v>46266</v>
      </c>
      <c r="M5766" s="31" t="n">
        <f aca="false">WEEKDAY(B5766,2)</f>
        <v>3</v>
      </c>
      <c r="N5766" s="31" t="str">
        <f aca="false">IF(G5766&lt;=INDEX(Assumptions!$B$15:$B$18,MATCH(E5766,Assumptions!$A$15:$A$18,0)),"Yes","No")</f>
        <v>Yes</v>
      </c>
      <c r="O5766" s="31" t="str">
        <f aca="false">IF(H5766="","Open",IF(H5766&lt;=INDEX(Assumptions!$C$15:$C$18,MATCH(E5766,Assumptions!$A$15:$A$18,0)),"Yes","No"))</f>
        <v>Yes</v>
      </c>
    </row>
    <row r="5767" customFormat="false" ht="15" hidden="false" customHeight="false" outlineLevel="0" collapsed="false">
      <c r="A5767" s="31" t="s">
        <v>5917</v>
      </c>
      <c r="B5767" s="44" t="n">
        <v>46281</v>
      </c>
      <c r="C5767" s="31" t="s">
        <v>60</v>
      </c>
      <c r="D5767" s="31" t="s">
        <v>66</v>
      </c>
      <c r="E5767" s="31" t="s">
        <v>50</v>
      </c>
      <c r="F5767" s="31" t="s">
        <v>119</v>
      </c>
      <c r="G5767" s="31" t="n">
        <v>3</v>
      </c>
      <c r="H5767" s="41" t="n">
        <v>1.8</v>
      </c>
      <c r="I5767" s="31" t="s">
        <v>149</v>
      </c>
      <c r="J5767" s="31" t="n">
        <v>4</v>
      </c>
      <c r="K5767" s="31" t="s">
        <v>150</v>
      </c>
      <c r="L5767" s="45" t="n">
        <f aca="false">DATE(YEAR(B5767),MONTH(B5767),1)</f>
        <v>46266</v>
      </c>
      <c r="M5767" s="31" t="n">
        <f aca="false">WEEKDAY(B5767,2)</f>
        <v>3</v>
      </c>
      <c r="N5767" s="31" t="str">
        <f aca="false">IF(G5767&lt;=INDEX(Assumptions!$B$15:$B$18,MATCH(E5767,Assumptions!$A$15:$A$18,0)),"Yes","No")</f>
        <v>Yes</v>
      </c>
      <c r="O5767" s="31" t="str">
        <f aca="false">IF(H5767="","Open",IF(H5767&lt;=INDEX(Assumptions!$C$15:$C$18,MATCH(E5767,Assumptions!$A$15:$A$18,0)),"Yes","No"))</f>
        <v>Yes</v>
      </c>
    </row>
    <row r="5768" customFormat="false" ht="15" hidden="false" customHeight="false" outlineLevel="0" collapsed="false">
      <c r="A5768" s="31" t="s">
        <v>5918</v>
      </c>
      <c r="B5768" s="44" t="n">
        <v>46281</v>
      </c>
      <c r="C5768" s="31" t="s">
        <v>60</v>
      </c>
      <c r="D5768" s="31" t="s">
        <v>65</v>
      </c>
      <c r="E5768" s="31" t="s">
        <v>50</v>
      </c>
      <c r="F5768" s="31" t="s">
        <v>123</v>
      </c>
      <c r="G5768" s="31" t="n">
        <v>2</v>
      </c>
      <c r="H5768" s="41" t="n">
        <v>4.6</v>
      </c>
      <c r="I5768" s="31" t="s">
        <v>149</v>
      </c>
      <c r="J5768" s="31" t="n">
        <v>5</v>
      </c>
      <c r="K5768" s="31" t="s">
        <v>150</v>
      </c>
      <c r="L5768" s="45" t="n">
        <f aca="false">DATE(YEAR(B5768),MONTH(B5768),1)</f>
        <v>46266</v>
      </c>
      <c r="M5768" s="31" t="n">
        <f aca="false">WEEKDAY(B5768,2)</f>
        <v>3</v>
      </c>
      <c r="N5768" s="31" t="str">
        <f aca="false">IF(G5768&lt;=INDEX(Assumptions!$B$15:$B$18,MATCH(E5768,Assumptions!$A$15:$A$18,0)),"Yes","No")</f>
        <v>Yes</v>
      </c>
      <c r="O5768" s="31" t="str">
        <f aca="false">IF(H5768="","Open",IF(H5768&lt;=INDEX(Assumptions!$C$15:$C$18,MATCH(E5768,Assumptions!$A$15:$A$18,0)),"Yes","No"))</f>
        <v>Yes</v>
      </c>
    </row>
    <row r="5769" customFormat="false" ht="15" hidden="false" customHeight="false" outlineLevel="0" collapsed="false">
      <c r="A5769" s="31" t="s">
        <v>5919</v>
      </c>
      <c r="B5769" s="44" t="n">
        <v>46281</v>
      </c>
      <c r="C5769" s="31" t="s">
        <v>57</v>
      </c>
      <c r="D5769" s="31" t="s">
        <v>66</v>
      </c>
      <c r="E5769" s="31" t="s">
        <v>51</v>
      </c>
      <c r="F5769" s="31" t="s">
        <v>137</v>
      </c>
      <c r="G5769" s="31" t="n">
        <v>2</v>
      </c>
      <c r="H5769" s="41"/>
      <c r="I5769" s="31" t="s">
        <v>158</v>
      </c>
      <c r="J5769" s="31"/>
      <c r="K5769" s="31" t="s">
        <v>150</v>
      </c>
      <c r="L5769" s="45" t="n">
        <f aca="false">DATE(YEAR(B5769),MONTH(B5769),1)</f>
        <v>46266</v>
      </c>
      <c r="M5769" s="31" t="n">
        <f aca="false">WEEKDAY(B5769,2)</f>
        <v>3</v>
      </c>
      <c r="N5769" s="31" t="str">
        <f aca="false">IF(G5769&lt;=INDEX(Assumptions!$B$15:$B$18,MATCH(E5769,Assumptions!$A$15:$A$18,0)),"Yes","No")</f>
        <v>Yes</v>
      </c>
      <c r="O5769" s="31" t="str">
        <f aca="false">IF(H5769="","Open",IF(H5769&lt;=INDEX(Assumptions!$C$15:$C$18,MATCH(E5769,Assumptions!$A$15:$A$18,0)),"Yes","No"))</f>
        <v>Open</v>
      </c>
    </row>
    <row r="5770" customFormat="false" ht="15" hidden="false" customHeight="false" outlineLevel="0" collapsed="false">
      <c r="A5770" s="31" t="s">
        <v>5920</v>
      </c>
      <c r="B5770" s="44" t="n">
        <v>46281</v>
      </c>
      <c r="C5770" s="31" t="s">
        <v>59</v>
      </c>
      <c r="D5770" s="31" t="s">
        <v>66</v>
      </c>
      <c r="E5770" s="31" t="s">
        <v>51</v>
      </c>
      <c r="F5770" s="31" t="s">
        <v>133</v>
      </c>
      <c r="G5770" s="31" t="n">
        <v>30</v>
      </c>
      <c r="H5770" s="41" t="n">
        <v>5.9</v>
      </c>
      <c r="I5770" s="31" t="s">
        <v>149</v>
      </c>
      <c r="J5770" s="31" t="n">
        <v>4</v>
      </c>
      <c r="K5770" s="31" t="s">
        <v>150</v>
      </c>
      <c r="L5770" s="45" t="n">
        <f aca="false">DATE(YEAR(B5770),MONTH(B5770),1)</f>
        <v>46266</v>
      </c>
      <c r="M5770" s="31" t="n">
        <f aca="false">WEEKDAY(B5770,2)</f>
        <v>3</v>
      </c>
      <c r="N5770" s="31" t="str">
        <f aca="false">IF(G5770&lt;=INDEX(Assumptions!$B$15:$B$18,MATCH(E5770,Assumptions!$A$15:$A$18,0)),"Yes","No")</f>
        <v>Yes</v>
      </c>
      <c r="O5770" s="31" t="str">
        <f aca="false">IF(H5770="","Open",IF(H5770&lt;=INDEX(Assumptions!$C$15:$C$18,MATCH(E5770,Assumptions!$A$15:$A$18,0)),"Yes","No"))</f>
        <v>Yes</v>
      </c>
    </row>
    <row r="5771" customFormat="false" ht="15" hidden="false" customHeight="false" outlineLevel="0" collapsed="false">
      <c r="A5771" s="31" t="s">
        <v>5921</v>
      </c>
      <c r="B5771" s="44" t="n">
        <v>46281</v>
      </c>
      <c r="C5771" s="31" t="s">
        <v>57</v>
      </c>
      <c r="D5771" s="31" t="s">
        <v>65</v>
      </c>
      <c r="E5771" s="31" t="s">
        <v>52</v>
      </c>
      <c r="F5771" s="31" t="s">
        <v>137</v>
      </c>
      <c r="G5771" s="31" t="n">
        <v>3</v>
      </c>
      <c r="H5771" s="41" t="n">
        <v>102.9</v>
      </c>
      <c r="I5771" s="31" t="s">
        <v>64</v>
      </c>
      <c r="J5771" s="31" t="n">
        <v>2</v>
      </c>
      <c r="K5771" s="31" t="s">
        <v>153</v>
      </c>
      <c r="L5771" s="45" t="n">
        <f aca="false">DATE(YEAR(B5771),MONTH(B5771),1)</f>
        <v>46266</v>
      </c>
      <c r="M5771" s="31" t="n">
        <f aca="false">WEEKDAY(B5771,2)</f>
        <v>3</v>
      </c>
      <c r="N5771" s="31" t="str">
        <f aca="false">IF(G5771&lt;=INDEX(Assumptions!$B$15:$B$18,MATCH(E5771,Assumptions!$A$15:$A$18,0)),"Yes","No")</f>
        <v>Yes</v>
      </c>
      <c r="O5771" s="31" t="str">
        <f aca="false">IF(H5771="","Open",IF(H5771&lt;=INDEX(Assumptions!$C$15:$C$18,MATCH(E5771,Assumptions!$A$15:$A$18,0)),"Yes","No"))</f>
        <v>No</v>
      </c>
    </row>
    <row r="5772" customFormat="false" ht="15" hidden="false" customHeight="false" outlineLevel="0" collapsed="false">
      <c r="A5772" s="31" t="s">
        <v>5922</v>
      </c>
      <c r="B5772" s="44" t="n">
        <v>46281</v>
      </c>
      <c r="C5772" s="31" t="s">
        <v>59</v>
      </c>
      <c r="D5772" s="31" t="s">
        <v>66</v>
      </c>
      <c r="E5772" s="31" t="s">
        <v>51</v>
      </c>
      <c r="F5772" s="31" t="s">
        <v>129</v>
      </c>
      <c r="G5772" s="31" t="n">
        <v>33</v>
      </c>
      <c r="H5772" s="41" t="n">
        <v>2.8</v>
      </c>
      <c r="I5772" s="31" t="s">
        <v>149</v>
      </c>
      <c r="J5772" s="31" t="n">
        <v>4</v>
      </c>
      <c r="K5772" s="31" t="s">
        <v>150</v>
      </c>
      <c r="L5772" s="45" t="n">
        <f aca="false">DATE(YEAR(B5772),MONTH(B5772),1)</f>
        <v>46266</v>
      </c>
      <c r="M5772" s="31" t="n">
        <f aca="false">WEEKDAY(B5772,2)</f>
        <v>3</v>
      </c>
      <c r="N5772" s="31" t="str">
        <f aca="false">IF(G5772&lt;=INDEX(Assumptions!$B$15:$B$18,MATCH(E5772,Assumptions!$A$15:$A$18,0)),"Yes","No")</f>
        <v>Yes</v>
      </c>
      <c r="O5772" s="31" t="str">
        <f aca="false">IF(H5772="","Open",IF(H5772&lt;=INDEX(Assumptions!$C$15:$C$18,MATCH(E5772,Assumptions!$A$15:$A$18,0)),"Yes","No"))</f>
        <v>Yes</v>
      </c>
    </row>
    <row r="5773" customFormat="false" ht="15" hidden="false" customHeight="false" outlineLevel="0" collapsed="false">
      <c r="A5773" s="31" t="s">
        <v>5923</v>
      </c>
      <c r="B5773" s="44" t="n">
        <v>46281</v>
      </c>
      <c r="C5773" s="31" t="s">
        <v>58</v>
      </c>
      <c r="D5773" s="31" t="s">
        <v>65</v>
      </c>
      <c r="E5773" s="31" t="s">
        <v>51</v>
      </c>
      <c r="F5773" s="31" t="s">
        <v>127</v>
      </c>
      <c r="G5773" s="31" t="n">
        <v>11</v>
      </c>
      <c r="H5773" s="41" t="n">
        <v>26.1</v>
      </c>
      <c r="I5773" s="31" t="s">
        <v>149</v>
      </c>
      <c r="J5773" s="31"/>
      <c r="K5773" s="31" t="s">
        <v>150</v>
      </c>
      <c r="L5773" s="45" t="n">
        <f aca="false">DATE(YEAR(B5773),MONTH(B5773),1)</f>
        <v>46266</v>
      </c>
      <c r="M5773" s="31" t="n">
        <f aca="false">WEEKDAY(B5773,2)</f>
        <v>3</v>
      </c>
      <c r="N5773" s="31" t="str">
        <f aca="false">IF(G5773&lt;=INDEX(Assumptions!$B$15:$B$18,MATCH(E5773,Assumptions!$A$15:$A$18,0)),"Yes","No")</f>
        <v>Yes</v>
      </c>
      <c r="O5773" s="31" t="str">
        <f aca="false">IF(H5773="","Open",IF(H5773&lt;=INDEX(Assumptions!$C$15:$C$18,MATCH(E5773,Assumptions!$A$15:$A$18,0)),"Yes","No"))</f>
        <v>No</v>
      </c>
    </row>
    <row r="5774" customFormat="false" ht="15" hidden="false" customHeight="false" outlineLevel="0" collapsed="false">
      <c r="A5774" s="31" t="s">
        <v>5924</v>
      </c>
      <c r="B5774" s="44" t="n">
        <v>46281</v>
      </c>
      <c r="C5774" s="31" t="s">
        <v>58</v>
      </c>
      <c r="D5774" s="31" t="s">
        <v>66</v>
      </c>
      <c r="E5774" s="31" t="s">
        <v>52</v>
      </c>
      <c r="F5774" s="31" t="s">
        <v>127</v>
      </c>
      <c r="G5774" s="31" t="n">
        <v>4</v>
      </c>
      <c r="H5774" s="41" t="n">
        <v>10</v>
      </c>
      <c r="I5774" s="31" t="s">
        <v>149</v>
      </c>
      <c r="J5774" s="31"/>
      <c r="K5774" s="31" t="s">
        <v>150</v>
      </c>
      <c r="L5774" s="45" t="n">
        <f aca="false">DATE(YEAR(B5774),MONTH(B5774),1)</f>
        <v>46266</v>
      </c>
      <c r="M5774" s="31" t="n">
        <f aca="false">WEEKDAY(B5774,2)</f>
        <v>3</v>
      </c>
      <c r="N5774" s="31" t="str">
        <f aca="false">IF(G5774&lt;=INDEX(Assumptions!$B$15:$B$18,MATCH(E5774,Assumptions!$A$15:$A$18,0)),"Yes","No")</f>
        <v>Yes</v>
      </c>
      <c r="O5774" s="31" t="str">
        <f aca="false">IF(H5774="","Open",IF(H5774&lt;=INDEX(Assumptions!$C$15:$C$18,MATCH(E5774,Assumptions!$A$15:$A$18,0)),"Yes","No"))</f>
        <v>Yes</v>
      </c>
    </row>
    <row r="5775" customFormat="false" ht="15" hidden="false" customHeight="false" outlineLevel="0" collapsed="false">
      <c r="A5775" s="31" t="s">
        <v>5925</v>
      </c>
      <c r="B5775" s="44" t="n">
        <v>46281</v>
      </c>
      <c r="C5775" s="31" t="s">
        <v>58</v>
      </c>
      <c r="D5775" s="31" t="s">
        <v>65</v>
      </c>
      <c r="E5775" s="31" t="s">
        <v>52</v>
      </c>
      <c r="F5775" s="31" t="s">
        <v>124</v>
      </c>
      <c r="G5775" s="31" t="n">
        <v>17</v>
      </c>
      <c r="H5775" s="41" t="n">
        <v>69.3</v>
      </c>
      <c r="I5775" s="31" t="s">
        <v>64</v>
      </c>
      <c r="J5775" s="31" t="n">
        <v>5</v>
      </c>
      <c r="K5775" s="31" t="s">
        <v>150</v>
      </c>
      <c r="L5775" s="45" t="n">
        <f aca="false">DATE(YEAR(B5775),MONTH(B5775),1)</f>
        <v>46266</v>
      </c>
      <c r="M5775" s="31" t="n">
        <f aca="false">WEEKDAY(B5775,2)</f>
        <v>3</v>
      </c>
      <c r="N5775" s="31" t="str">
        <f aca="false">IF(G5775&lt;=INDEX(Assumptions!$B$15:$B$18,MATCH(E5775,Assumptions!$A$15:$A$18,0)),"Yes","No")</f>
        <v>Yes</v>
      </c>
      <c r="O5775" s="31" t="str">
        <f aca="false">IF(H5775="","Open",IF(H5775&lt;=INDEX(Assumptions!$C$15:$C$18,MATCH(E5775,Assumptions!$A$15:$A$18,0)),"Yes","No"))</f>
        <v>Yes</v>
      </c>
    </row>
    <row r="5776" customFormat="false" ht="15" hidden="false" customHeight="false" outlineLevel="0" collapsed="false">
      <c r="A5776" s="31" t="s">
        <v>5926</v>
      </c>
      <c r="B5776" s="44" t="n">
        <v>46281</v>
      </c>
      <c r="C5776" s="31" t="s">
        <v>58</v>
      </c>
      <c r="D5776" s="31" t="s">
        <v>65</v>
      </c>
      <c r="E5776" s="31" t="s">
        <v>50</v>
      </c>
      <c r="F5776" s="31" t="s">
        <v>134</v>
      </c>
      <c r="G5776" s="31" t="n">
        <v>10</v>
      </c>
      <c r="H5776" s="41" t="n">
        <v>48.8</v>
      </c>
      <c r="I5776" s="31" t="s">
        <v>149</v>
      </c>
      <c r="J5776" s="31"/>
      <c r="K5776" s="31" t="s">
        <v>150</v>
      </c>
      <c r="L5776" s="45" t="n">
        <f aca="false">DATE(YEAR(B5776),MONTH(B5776),1)</f>
        <v>46266</v>
      </c>
      <c r="M5776" s="31" t="n">
        <f aca="false">WEEKDAY(B5776,2)</f>
        <v>3</v>
      </c>
      <c r="N5776" s="31" t="str">
        <f aca="false">IF(G5776&lt;=INDEX(Assumptions!$B$15:$B$18,MATCH(E5776,Assumptions!$A$15:$A$18,0)),"Yes","No")</f>
        <v>Yes</v>
      </c>
      <c r="O5776" s="31" t="str">
        <f aca="false">IF(H5776="","Open",IF(H5776&lt;=INDEX(Assumptions!$C$15:$C$18,MATCH(E5776,Assumptions!$A$15:$A$18,0)),"Yes","No"))</f>
        <v>No</v>
      </c>
    </row>
    <row r="5777" customFormat="false" ht="15" hidden="false" customHeight="false" outlineLevel="0" collapsed="false">
      <c r="A5777" s="31" t="s">
        <v>5927</v>
      </c>
      <c r="B5777" s="44" t="n">
        <v>46281</v>
      </c>
      <c r="C5777" s="31" t="s">
        <v>57</v>
      </c>
      <c r="D5777" s="31" t="s">
        <v>66</v>
      </c>
      <c r="E5777" s="31" t="s">
        <v>51</v>
      </c>
      <c r="F5777" s="31" t="s">
        <v>131</v>
      </c>
      <c r="G5777" s="31" t="n">
        <v>2</v>
      </c>
      <c r="H5777" s="41" t="n">
        <v>2.4</v>
      </c>
      <c r="I5777" s="31" t="s">
        <v>149</v>
      </c>
      <c r="J5777" s="31"/>
      <c r="K5777" s="31" t="s">
        <v>150</v>
      </c>
      <c r="L5777" s="45" t="n">
        <f aca="false">DATE(YEAR(B5777),MONTH(B5777),1)</f>
        <v>46266</v>
      </c>
      <c r="M5777" s="31" t="n">
        <f aca="false">WEEKDAY(B5777,2)</f>
        <v>3</v>
      </c>
      <c r="N5777" s="31" t="str">
        <f aca="false">IF(G5777&lt;=INDEX(Assumptions!$B$15:$B$18,MATCH(E5777,Assumptions!$A$15:$A$18,0)),"Yes","No")</f>
        <v>Yes</v>
      </c>
      <c r="O5777" s="31" t="str">
        <f aca="false">IF(H5777="","Open",IF(H5777&lt;=INDEX(Assumptions!$C$15:$C$18,MATCH(E5777,Assumptions!$A$15:$A$18,0)),"Yes","No"))</f>
        <v>Yes</v>
      </c>
    </row>
    <row r="5778" customFormat="false" ht="15" hidden="false" customHeight="false" outlineLevel="0" collapsed="false">
      <c r="A5778" s="31" t="s">
        <v>5928</v>
      </c>
      <c r="B5778" s="44" t="n">
        <v>46281</v>
      </c>
      <c r="C5778" s="31" t="s">
        <v>60</v>
      </c>
      <c r="D5778" s="31" t="s">
        <v>66</v>
      </c>
      <c r="E5778" s="31" t="s">
        <v>52</v>
      </c>
      <c r="F5778" s="31" t="s">
        <v>127</v>
      </c>
      <c r="G5778" s="31" t="n">
        <v>1</v>
      </c>
      <c r="H5778" s="41" t="n">
        <v>9.4</v>
      </c>
      <c r="I5778" s="31" t="s">
        <v>149</v>
      </c>
      <c r="J5778" s="31" t="n">
        <v>5</v>
      </c>
      <c r="K5778" s="31" t="s">
        <v>150</v>
      </c>
      <c r="L5778" s="45" t="n">
        <f aca="false">DATE(YEAR(B5778),MONTH(B5778),1)</f>
        <v>46266</v>
      </c>
      <c r="M5778" s="31" t="n">
        <f aca="false">WEEKDAY(B5778,2)</f>
        <v>3</v>
      </c>
      <c r="N5778" s="31" t="str">
        <f aca="false">IF(G5778&lt;=INDEX(Assumptions!$B$15:$B$18,MATCH(E5778,Assumptions!$A$15:$A$18,0)),"Yes","No")</f>
        <v>Yes</v>
      </c>
      <c r="O5778" s="31" t="str">
        <f aca="false">IF(H5778="","Open",IF(H5778&lt;=INDEX(Assumptions!$C$15:$C$18,MATCH(E5778,Assumptions!$A$15:$A$18,0)),"Yes","No"))</f>
        <v>Yes</v>
      </c>
    </row>
    <row r="5779" customFormat="false" ht="15" hidden="false" customHeight="false" outlineLevel="0" collapsed="false">
      <c r="A5779" s="31" t="s">
        <v>5929</v>
      </c>
      <c r="B5779" s="44" t="n">
        <v>46281</v>
      </c>
      <c r="C5779" s="31" t="s">
        <v>59</v>
      </c>
      <c r="D5779" s="31" t="s">
        <v>68</v>
      </c>
      <c r="E5779" s="31" t="s">
        <v>51</v>
      </c>
      <c r="F5779" s="31" t="s">
        <v>123</v>
      </c>
      <c r="G5779" s="31" t="n">
        <v>43</v>
      </c>
      <c r="H5779" s="41" t="n">
        <v>9</v>
      </c>
      <c r="I5779" s="31" t="s">
        <v>149</v>
      </c>
      <c r="J5779" s="31"/>
      <c r="K5779" s="31" t="s">
        <v>150</v>
      </c>
      <c r="L5779" s="45" t="n">
        <f aca="false">DATE(YEAR(B5779),MONTH(B5779),1)</f>
        <v>46266</v>
      </c>
      <c r="M5779" s="31" t="n">
        <f aca="false">WEEKDAY(B5779,2)</f>
        <v>3</v>
      </c>
      <c r="N5779" s="31" t="str">
        <f aca="false">IF(G5779&lt;=INDEX(Assumptions!$B$15:$B$18,MATCH(E5779,Assumptions!$A$15:$A$18,0)),"Yes","No")</f>
        <v>Yes</v>
      </c>
      <c r="O5779" s="31" t="str">
        <f aca="false">IF(H5779="","Open",IF(H5779&lt;=INDEX(Assumptions!$C$15:$C$18,MATCH(E5779,Assumptions!$A$15:$A$18,0)),"Yes","No"))</f>
        <v>Yes</v>
      </c>
    </row>
    <row r="5780" customFormat="false" ht="15" hidden="false" customHeight="false" outlineLevel="0" collapsed="false">
      <c r="A5780" s="31" t="s">
        <v>5930</v>
      </c>
      <c r="B5780" s="44" t="n">
        <v>46281</v>
      </c>
      <c r="C5780" s="31" t="s">
        <v>57</v>
      </c>
      <c r="D5780" s="31" t="s">
        <v>65</v>
      </c>
      <c r="E5780" s="31" t="s">
        <v>50</v>
      </c>
      <c r="F5780" s="31" t="s">
        <v>124</v>
      </c>
      <c r="G5780" s="31" t="n">
        <v>1</v>
      </c>
      <c r="H5780" s="41" t="n">
        <v>7.6</v>
      </c>
      <c r="I5780" s="31" t="s">
        <v>149</v>
      </c>
      <c r="J5780" s="31"/>
      <c r="K5780" s="31" t="s">
        <v>150</v>
      </c>
      <c r="L5780" s="45" t="n">
        <f aca="false">DATE(YEAR(B5780),MONTH(B5780),1)</f>
        <v>46266</v>
      </c>
      <c r="M5780" s="31" t="n">
        <f aca="false">WEEKDAY(B5780,2)</f>
        <v>3</v>
      </c>
      <c r="N5780" s="31" t="str">
        <f aca="false">IF(G5780&lt;=INDEX(Assumptions!$B$15:$B$18,MATCH(E5780,Assumptions!$A$15:$A$18,0)),"Yes","No")</f>
        <v>Yes</v>
      </c>
      <c r="O5780" s="31" t="str">
        <f aca="false">IF(H5780="","Open",IF(H5780&lt;=INDEX(Assumptions!$C$15:$C$18,MATCH(E5780,Assumptions!$A$15:$A$18,0)),"Yes","No"))</f>
        <v>Yes</v>
      </c>
    </row>
    <row r="5781" customFormat="false" ht="15" hidden="false" customHeight="false" outlineLevel="0" collapsed="false">
      <c r="A5781" s="31" t="s">
        <v>5931</v>
      </c>
      <c r="B5781" s="44" t="n">
        <v>46281</v>
      </c>
      <c r="C5781" s="31" t="s">
        <v>57</v>
      </c>
      <c r="D5781" s="31" t="s">
        <v>68</v>
      </c>
      <c r="E5781" s="31" t="s">
        <v>51</v>
      </c>
      <c r="F5781" s="31" t="s">
        <v>119</v>
      </c>
      <c r="G5781" s="31" t="n">
        <v>3</v>
      </c>
      <c r="H5781" s="41" t="n">
        <v>4.9</v>
      </c>
      <c r="I5781" s="31" t="s">
        <v>149</v>
      </c>
      <c r="J5781" s="31"/>
      <c r="K5781" s="31" t="s">
        <v>150</v>
      </c>
      <c r="L5781" s="45" t="n">
        <f aca="false">DATE(YEAR(B5781),MONTH(B5781),1)</f>
        <v>46266</v>
      </c>
      <c r="M5781" s="31" t="n">
        <f aca="false">WEEKDAY(B5781,2)</f>
        <v>3</v>
      </c>
      <c r="N5781" s="31" t="str">
        <f aca="false">IF(G5781&lt;=INDEX(Assumptions!$B$15:$B$18,MATCH(E5781,Assumptions!$A$15:$A$18,0)),"Yes","No")</f>
        <v>Yes</v>
      </c>
      <c r="O5781" s="31" t="str">
        <f aca="false">IF(H5781="","Open",IF(H5781&lt;=INDEX(Assumptions!$C$15:$C$18,MATCH(E5781,Assumptions!$A$15:$A$18,0)),"Yes","No"))</f>
        <v>Yes</v>
      </c>
    </row>
    <row r="5782" customFormat="false" ht="15" hidden="false" customHeight="false" outlineLevel="0" collapsed="false">
      <c r="A5782" s="31" t="s">
        <v>5932</v>
      </c>
      <c r="B5782" s="44" t="n">
        <v>46281</v>
      </c>
      <c r="C5782" s="31" t="s">
        <v>58</v>
      </c>
      <c r="D5782" s="31" t="s">
        <v>66</v>
      </c>
      <c r="E5782" s="31" t="s">
        <v>51</v>
      </c>
      <c r="F5782" s="31" t="s">
        <v>135</v>
      </c>
      <c r="G5782" s="31" t="n">
        <v>9</v>
      </c>
      <c r="H5782" s="41" t="n">
        <v>20.3</v>
      </c>
      <c r="I5782" s="31" t="s">
        <v>149</v>
      </c>
      <c r="J5782" s="31"/>
      <c r="K5782" s="31" t="s">
        <v>150</v>
      </c>
      <c r="L5782" s="45" t="n">
        <f aca="false">DATE(YEAR(B5782),MONTH(B5782),1)</f>
        <v>46266</v>
      </c>
      <c r="M5782" s="31" t="n">
        <f aca="false">WEEKDAY(B5782,2)</f>
        <v>3</v>
      </c>
      <c r="N5782" s="31" t="str">
        <f aca="false">IF(G5782&lt;=INDEX(Assumptions!$B$15:$B$18,MATCH(E5782,Assumptions!$A$15:$A$18,0)),"Yes","No")</f>
        <v>Yes</v>
      </c>
      <c r="O5782" s="31" t="str">
        <f aca="false">IF(H5782="","Open",IF(H5782&lt;=INDEX(Assumptions!$C$15:$C$18,MATCH(E5782,Assumptions!$A$15:$A$18,0)),"Yes","No"))</f>
        <v>Yes</v>
      </c>
    </row>
    <row r="5783" customFormat="false" ht="15" hidden="false" customHeight="false" outlineLevel="0" collapsed="false">
      <c r="A5783" s="31" t="s">
        <v>5933</v>
      </c>
      <c r="B5783" s="44" t="n">
        <v>46281</v>
      </c>
      <c r="C5783" s="31" t="s">
        <v>59</v>
      </c>
      <c r="D5783" s="31" t="s">
        <v>69</v>
      </c>
      <c r="E5783" s="31" t="s">
        <v>51</v>
      </c>
      <c r="F5783" s="31" t="s">
        <v>134</v>
      </c>
      <c r="G5783" s="31" t="n">
        <v>155</v>
      </c>
      <c r="H5783" s="41" t="n">
        <v>48.8</v>
      </c>
      <c r="I5783" s="31" t="s">
        <v>149</v>
      </c>
      <c r="J5783" s="31" t="n">
        <v>3</v>
      </c>
      <c r="K5783" s="31" t="s">
        <v>150</v>
      </c>
      <c r="L5783" s="45" t="n">
        <f aca="false">DATE(YEAR(B5783),MONTH(B5783),1)</f>
        <v>46266</v>
      </c>
      <c r="M5783" s="31" t="n">
        <f aca="false">WEEKDAY(B5783,2)</f>
        <v>3</v>
      </c>
      <c r="N5783" s="31" t="str">
        <f aca="false">IF(G5783&lt;=INDEX(Assumptions!$B$15:$B$18,MATCH(E5783,Assumptions!$A$15:$A$18,0)),"Yes","No")</f>
        <v>No</v>
      </c>
      <c r="O5783" s="31" t="str">
        <f aca="false">IF(H5783="","Open",IF(H5783&lt;=INDEX(Assumptions!$C$15:$C$18,MATCH(E5783,Assumptions!$A$15:$A$18,0)),"Yes","No"))</f>
        <v>No</v>
      </c>
    </row>
    <row r="5784" customFormat="false" ht="15" hidden="false" customHeight="false" outlineLevel="0" collapsed="false">
      <c r="A5784" s="31" t="s">
        <v>5934</v>
      </c>
      <c r="B5784" s="44" t="n">
        <v>46281</v>
      </c>
      <c r="C5784" s="31" t="s">
        <v>58</v>
      </c>
      <c r="D5784" s="31" t="s">
        <v>68</v>
      </c>
      <c r="E5784" s="31" t="s">
        <v>52</v>
      </c>
      <c r="F5784" s="31" t="s">
        <v>128</v>
      </c>
      <c r="G5784" s="31" t="n">
        <v>21</v>
      </c>
      <c r="H5784" s="41" t="n">
        <v>38.6</v>
      </c>
      <c r="I5784" s="31" t="s">
        <v>149</v>
      </c>
      <c r="J5784" s="31"/>
      <c r="K5784" s="31" t="s">
        <v>150</v>
      </c>
      <c r="L5784" s="45" t="n">
        <f aca="false">DATE(YEAR(B5784),MONTH(B5784),1)</f>
        <v>46266</v>
      </c>
      <c r="M5784" s="31" t="n">
        <f aca="false">WEEKDAY(B5784,2)</f>
        <v>3</v>
      </c>
      <c r="N5784" s="31" t="str">
        <f aca="false">IF(G5784&lt;=INDEX(Assumptions!$B$15:$B$18,MATCH(E5784,Assumptions!$A$15:$A$18,0)),"Yes","No")</f>
        <v>Yes</v>
      </c>
      <c r="O5784" s="31" t="str">
        <f aca="false">IF(H5784="","Open",IF(H5784&lt;=INDEX(Assumptions!$C$15:$C$18,MATCH(E5784,Assumptions!$A$15:$A$18,0)),"Yes","No"))</f>
        <v>Yes</v>
      </c>
    </row>
    <row r="5785" customFormat="false" ht="15" hidden="false" customHeight="false" outlineLevel="0" collapsed="false">
      <c r="A5785" s="31" t="s">
        <v>5935</v>
      </c>
      <c r="B5785" s="44" t="n">
        <v>46281</v>
      </c>
      <c r="C5785" s="31" t="s">
        <v>60</v>
      </c>
      <c r="D5785" s="31" t="s">
        <v>66</v>
      </c>
      <c r="E5785" s="31" t="s">
        <v>50</v>
      </c>
      <c r="F5785" s="31" t="s">
        <v>135</v>
      </c>
      <c r="G5785" s="31" t="n">
        <v>1</v>
      </c>
      <c r="H5785" s="41" t="n">
        <v>4.5</v>
      </c>
      <c r="I5785" s="31" t="s">
        <v>149</v>
      </c>
      <c r="J5785" s="31"/>
      <c r="K5785" s="31" t="s">
        <v>150</v>
      </c>
      <c r="L5785" s="45" t="n">
        <f aca="false">DATE(YEAR(B5785),MONTH(B5785),1)</f>
        <v>46266</v>
      </c>
      <c r="M5785" s="31" t="n">
        <f aca="false">WEEKDAY(B5785,2)</f>
        <v>3</v>
      </c>
      <c r="N5785" s="31" t="str">
        <f aca="false">IF(G5785&lt;=INDEX(Assumptions!$B$15:$B$18,MATCH(E5785,Assumptions!$A$15:$A$18,0)),"Yes","No")</f>
        <v>Yes</v>
      </c>
      <c r="O5785" s="31" t="str">
        <f aca="false">IF(H5785="","Open",IF(H5785&lt;=INDEX(Assumptions!$C$15:$C$18,MATCH(E5785,Assumptions!$A$15:$A$18,0)),"Yes","No"))</f>
        <v>Yes</v>
      </c>
    </row>
    <row r="5786" customFormat="false" ht="15" hidden="false" customHeight="false" outlineLevel="0" collapsed="false">
      <c r="A5786" s="31" t="s">
        <v>5936</v>
      </c>
      <c r="B5786" s="44" t="n">
        <v>46281</v>
      </c>
      <c r="C5786" s="31" t="s">
        <v>59</v>
      </c>
      <c r="D5786" s="31" t="s">
        <v>69</v>
      </c>
      <c r="E5786" s="31" t="s">
        <v>51</v>
      </c>
      <c r="F5786" s="31" t="s">
        <v>119</v>
      </c>
      <c r="G5786" s="31" t="n">
        <v>49</v>
      </c>
      <c r="H5786" s="41" t="n">
        <v>10.2</v>
      </c>
      <c r="I5786" s="31" t="s">
        <v>149</v>
      </c>
      <c r="J5786" s="31" t="n">
        <v>4</v>
      </c>
      <c r="K5786" s="31" t="s">
        <v>150</v>
      </c>
      <c r="L5786" s="45" t="n">
        <f aca="false">DATE(YEAR(B5786),MONTH(B5786),1)</f>
        <v>46266</v>
      </c>
      <c r="M5786" s="31" t="n">
        <f aca="false">WEEKDAY(B5786,2)</f>
        <v>3</v>
      </c>
      <c r="N5786" s="31" t="str">
        <f aca="false">IF(G5786&lt;=INDEX(Assumptions!$B$15:$B$18,MATCH(E5786,Assumptions!$A$15:$A$18,0)),"Yes","No")</f>
        <v>Yes</v>
      </c>
      <c r="O5786" s="31" t="str">
        <f aca="false">IF(H5786="","Open",IF(H5786&lt;=INDEX(Assumptions!$C$15:$C$18,MATCH(E5786,Assumptions!$A$15:$A$18,0)),"Yes","No"))</f>
        <v>Yes</v>
      </c>
    </row>
    <row r="5787" customFormat="false" ht="15" hidden="false" customHeight="false" outlineLevel="0" collapsed="false">
      <c r="A5787" s="31" t="s">
        <v>5937</v>
      </c>
      <c r="B5787" s="44" t="n">
        <v>46281</v>
      </c>
      <c r="C5787" s="31" t="s">
        <v>60</v>
      </c>
      <c r="D5787" s="31" t="s">
        <v>66</v>
      </c>
      <c r="E5787" s="31" t="s">
        <v>49</v>
      </c>
      <c r="F5787" s="31" t="s">
        <v>124</v>
      </c>
      <c r="G5787" s="31" t="n">
        <v>1</v>
      </c>
      <c r="H5787" s="41" t="n">
        <v>2.9</v>
      </c>
      <c r="I5787" s="31" t="s">
        <v>64</v>
      </c>
      <c r="J5787" s="31" t="n">
        <v>4</v>
      </c>
      <c r="K5787" s="31" t="s">
        <v>150</v>
      </c>
      <c r="L5787" s="45" t="n">
        <f aca="false">DATE(YEAR(B5787),MONTH(B5787),1)</f>
        <v>46266</v>
      </c>
      <c r="M5787" s="31" t="n">
        <f aca="false">WEEKDAY(B5787,2)</f>
        <v>3</v>
      </c>
      <c r="N5787" s="31" t="str">
        <f aca="false">IF(G5787&lt;=INDEX(Assumptions!$B$15:$B$18,MATCH(E5787,Assumptions!$A$15:$A$18,0)),"Yes","No")</f>
        <v>Yes</v>
      </c>
      <c r="O5787" s="31" t="str">
        <f aca="false">IF(H5787="","Open",IF(H5787&lt;=INDEX(Assumptions!$C$15:$C$18,MATCH(E5787,Assumptions!$A$15:$A$18,0)),"Yes","No"))</f>
        <v>Yes</v>
      </c>
    </row>
    <row r="5788" customFormat="false" ht="15" hidden="false" customHeight="false" outlineLevel="0" collapsed="false">
      <c r="A5788" s="31" t="s">
        <v>5938</v>
      </c>
      <c r="B5788" s="44" t="n">
        <v>46281</v>
      </c>
      <c r="C5788" s="31" t="s">
        <v>59</v>
      </c>
      <c r="D5788" s="31" t="s">
        <v>65</v>
      </c>
      <c r="E5788" s="31" t="s">
        <v>52</v>
      </c>
      <c r="F5788" s="31" t="s">
        <v>119</v>
      </c>
      <c r="G5788" s="31" t="n">
        <v>55</v>
      </c>
      <c r="H5788" s="41" t="n">
        <v>43.4</v>
      </c>
      <c r="I5788" s="31" t="s">
        <v>149</v>
      </c>
      <c r="J5788" s="31"/>
      <c r="K5788" s="31" t="s">
        <v>150</v>
      </c>
      <c r="L5788" s="45" t="n">
        <f aca="false">DATE(YEAR(B5788),MONTH(B5788),1)</f>
        <v>46266</v>
      </c>
      <c r="M5788" s="31" t="n">
        <f aca="false">WEEKDAY(B5788,2)</f>
        <v>3</v>
      </c>
      <c r="N5788" s="31" t="str">
        <f aca="false">IF(G5788&lt;=INDEX(Assumptions!$B$15:$B$18,MATCH(E5788,Assumptions!$A$15:$A$18,0)),"Yes","No")</f>
        <v>Yes</v>
      </c>
      <c r="O5788" s="31" t="str">
        <f aca="false">IF(H5788="","Open",IF(H5788&lt;=INDEX(Assumptions!$C$15:$C$18,MATCH(E5788,Assumptions!$A$15:$A$18,0)),"Yes","No"))</f>
        <v>Yes</v>
      </c>
    </row>
    <row r="5789" customFormat="false" ht="15" hidden="false" customHeight="false" outlineLevel="0" collapsed="false">
      <c r="A5789" s="31" t="s">
        <v>5939</v>
      </c>
      <c r="B5789" s="44" t="n">
        <v>46281</v>
      </c>
      <c r="C5789" s="31" t="s">
        <v>59</v>
      </c>
      <c r="D5789" s="31" t="s">
        <v>65</v>
      </c>
      <c r="E5789" s="31" t="s">
        <v>50</v>
      </c>
      <c r="F5789" s="31" t="s">
        <v>126</v>
      </c>
      <c r="G5789" s="31" t="n">
        <v>33</v>
      </c>
      <c r="H5789" s="41" t="n">
        <v>1.1</v>
      </c>
      <c r="I5789" s="31" t="s">
        <v>149</v>
      </c>
      <c r="J5789" s="31"/>
      <c r="K5789" s="31" t="s">
        <v>150</v>
      </c>
      <c r="L5789" s="45" t="n">
        <f aca="false">DATE(YEAR(B5789),MONTH(B5789),1)</f>
        <v>46266</v>
      </c>
      <c r="M5789" s="31" t="n">
        <f aca="false">WEEKDAY(B5789,2)</f>
        <v>3</v>
      </c>
      <c r="N5789" s="31" t="str">
        <f aca="false">IF(G5789&lt;=INDEX(Assumptions!$B$15:$B$18,MATCH(E5789,Assumptions!$A$15:$A$18,0)),"Yes","No")</f>
        <v>No</v>
      </c>
      <c r="O5789" s="31" t="str">
        <f aca="false">IF(H5789="","Open",IF(H5789&lt;=INDEX(Assumptions!$C$15:$C$18,MATCH(E5789,Assumptions!$A$15:$A$18,0)),"Yes","No"))</f>
        <v>Yes</v>
      </c>
    </row>
    <row r="5790" customFormat="false" ht="15" hidden="false" customHeight="false" outlineLevel="0" collapsed="false">
      <c r="A5790" s="31" t="s">
        <v>5940</v>
      </c>
      <c r="B5790" s="44" t="n">
        <v>46281</v>
      </c>
      <c r="C5790" s="31" t="s">
        <v>59</v>
      </c>
      <c r="D5790" s="31" t="s">
        <v>66</v>
      </c>
      <c r="E5790" s="31" t="s">
        <v>51</v>
      </c>
      <c r="F5790" s="31" t="s">
        <v>119</v>
      </c>
      <c r="G5790" s="31" t="n">
        <v>33</v>
      </c>
      <c r="H5790" s="41" t="n">
        <v>9.6</v>
      </c>
      <c r="I5790" s="31" t="s">
        <v>149</v>
      </c>
      <c r="J5790" s="31"/>
      <c r="K5790" s="31" t="s">
        <v>153</v>
      </c>
      <c r="L5790" s="45" t="n">
        <f aca="false">DATE(YEAR(B5790),MONTH(B5790),1)</f>
        <v>46266</v>
      </c>
      <c r="M5790" s="31" t="n">
        <f aca="false">WEEKDAY(B5790,2)</f>
        <v>3</v>
      </c>
      <c r="N5790" s="31" t="str">
        <f aca="false">IF(G5790&lt;=INDEX(Assumptions!$B$15:$B$18,MATCH(E5790,Assumptions!$A$15:$A$18,0)),"Yes","No")</f>
        <v>Yes</v>
      </c>
      <c r="O5790" s="31" t="str">
        <f aca="false">IF(H5790="","Open",IF(H5790&lt;=INDEX(Assumptions!$C$15:$C$18,MATCH(E5790,Assumptions!$A$15:$A$18,0)),"Yes","No"))</f>
        <v>Yes</v>
      </c>
    </row>
    <row r="5791" customFormat="false" ht="15" hidden="false" customHeight="false" outlineLevel="0" collapsed="false">
      <c r="A5791" s="31" t="s">
        <v>5941</v>
      </c>
      <c r="B5791" s="44" t="n">
        <v>46281</v>
      </c>
      <c r="C5791" s="31" t="s">
        <v>59</v>
      </c>
      <c r="D5791" s="31" t="s">
        <v>65</v>
      </c>
      <c r="E5791" s="31" t="s">
        <v>50</v>
      </c>
      <c r="F5791" s="31" t="s">
        <v>137</v>
      </c>
      <c r="G5791" s="31" t="n">
        <v>47</v>
      </c>
      <c r="H5791" s="41" t="n">
        <v>17.8</v>
      </c>
      <c r="I5791" s="31" t="s">
        <v>149</v>
      </c>
      <c r="J5791" s="31" t="n">
        <v>4</v>
      </c>
      <c r="K5791" s="31" t="s">
        <v>150</v>
      </c>
      <c r="L5791" s="45" t="n">
        <f aca="false">DATE(YEAR(B5791),MONTH(B5791),1)</f>
        <v>46266</v>
      </c>
      <c r="M5791" s="31" t="n">
        <f aca="false">WEEKDAY(B5791,2)</f>
        <v>3</v>
      </c>
      <c r="N5791" s="31" t="str">
        <f aca="false">IF(G5791&lt;=INDEX(Assumptions!$B$15:$B$18,MATCH(E5791,Assumptions!$A$15:$A$18,0)),"Yes","No")</f>
        <v>No</v>
      </c>
      <c r="O5791" s="31" t="str">
        <f aca="false">IF(H5791="","Open",IF(H5791&lt;=INDEX(Assumptions!$C$15:$C$18,MATCH(E5791,Assumptions!$A$15:$A$18,0)),"Yes","No"))</f>
        <v>No</v>
      </c>
    </row>
    <row r="5792" customFormat="false" ht="15" hidden="false" customHeight="false" outlineLevel="0" collapsed="false">
      <c r="A5792" s="31" t="s">
        <v>5942</v>
      </c>
      <c r="B5792" s="44" t="n">
        <v>46281</v>
      </c>
      <c r="C5792" s="31" t="s">
        <v>59</v>
      </c>
      <c r="D5792" s="31" t="s">
        <v>68</v>
      </c>
      <c r="E5792" s="31" t="s">
        <v>51</v>
      </c>
      <c r="F5792" s="31" t="s">
        <v>122</v>
      </c>
      <c r="G5792" s="31" t="n">
        <v>113</v>
      </c>
      <c r="H5792" s="41" t="n">
        <v>12.5</v>
      </c>
      <c r="I5792" s="31" t="s">
        <v>149</v>
      </c>
      <c r="J5792" s="31"/>
      <c r="K5792" s="31" t="s">
        <v>150</v>
      </c>
      <c r="L5792" s="45" t="n">
        <f aca="false">DATE(YEAR(B5792),MONTH(B5792),1)</f>
        <v>46266</v>
      </c>
      <c r="M5792" s="31" t="n">
        <f aca="false">WEEKDAY(B5792,2)</f>
        <v>3</v>
      </c>
      <c r="N5792" s="31" t="str">
        <f aca="false">IF(G5792&lt;=INDEX(Assumptions!$B$15:$B$18,MATCH(E5792,Assumptions!$A$15:$A$18,0)),"Yes","No")</f>
        <v>No</v>
      </c>
      <c r="O5792" s="31" t="str">
        <f aca="false">IF(H5792="","Open",IF(H5792&lt;=INDEX(Assumptions!$C$15:$C$18,MATCH(E5792,Assumptions!$A$15:$A$18,0)),"Yes","No"))</f>
        <v>Yes</v>
      </c>
    </row>
    <row r="5793" customFormat="false" ht="15" hidden="false" customHeight="false" outlineLevel="0" collapsed="false">
      <c r="A5793" s="31" t="s">
        <v>5943</v>
      </c>
      <c r="B5793" s="44" t="n">
        <v>46281</v>
      </c>
      <c r="C5793" s="31" t="s">
        <v>60</v>
      </c>
      <c r="D5793" s="31" t="s">
        <v>67</v>
      </c>
      <c r="E5793" s="31" t="s">
        <v>51</v>
      </c>
      <c r="F5793" s="31" t="s">
        <v>131</v>
      </c>
      <c r="G5793" s="31" t="n">
        <v>1</v>
      </c>
      <c r="H5793" s="41" t="n">
        <v>12.7</v>
      </c>
      <c r="I5793" s="31" t="s">
        <v>149</v>
      </c>
      <c r="J5793" s="31" t="n">
        <v>5</v>
      </c>
      <c r="K5793" s="31" t="s">
        <v>150</v>
      </c>
      <c r="L5793" s="45" t="n">
        <f aca="false">DATE(YEAR(B5793),MONTH(B5793),1)</f>
        <v>46266</v>
      </c>
      <c r="M5793" s="31" t="n">
        <f aca="false">WEEKDAY(B5793,2)</f>
        <v>3</v>
      </c>
      <c r="N5793" s="31" t="str">
        <f aca="false">IF(G5793&lt;=INDEX(Assumptions!$B$15:$B$18,MATCH(E5793,Assumptions!$A$15:$A$18,0)),"Yes","No")</f>
        <v>Yes</v>
      </c>
      <c r="O5793" s="31" t="str">
        <f aca="false">IF(H5793="","Open",IF(H5793&lt;=INDEX(Assumptions!$C$15:$C$18,MATCH(E5793,Assumptions!$A$15:$A$18,0)),"Yes","No"))</f>
        <v>Yes</v>
      </c>
    </row>
    <row r="5794" customFormat="false" ht="15" hidden="false" customHeight="false" outlineLevel="0" collapsed="false">
      <c r="A5794" s="31" t="s">
        <v>5944</v>
      </c>
      <c r="B5794" s="44" t="n">
        <v>46281</v>
      </c>
      <c r="C5794" s="31" t="s">
        <v>60</v>
      </c>
      <c r="D5794" s="31" t="s">
        <v>66</v>
      </c>
      <c r="E5794" s="31" t="s">
        <v>51</v>
      </c>
      <c r="F5794" s="31" t="s">
        <v>133</v>
      </c>
      <c r="G5794" s="31" t="n">
        <v>1</v>
      </c>
      <c r="H5794" s="41" t="n">
        <v>10.4</v>
      </c>
      <c r="I5794" s="31" t="s">
        <v>149</v>
      </c>
      <c r="J5794" s="31"/>
      <c r="K5794" s="31" t="s">
        <v>150</v>
      </c>
      <c r="L5794" s="45" t="n">
        <f aca="false">DATE(YEAR(B5794),MONTH(B5794),1)</f>
        <v>46266</v>
      </c>
      <c r="M5794" s="31" t="n">
        <f aca="false">WEEKDAY(B5794,2)</f>
        <v>3</v>
      </c>
      <c r="N5794" s="31" t="str">
        <f aca="false">IF(G5794&lt;=INDEX(Assumptions!$B$15:$B$18,MATCH(E5794,Assumptions!$A$15:$A$18,0)),"Yes","No")</f>
        <v>Yes</v>
      </c>
      <c r="O5794" s="31" t="str">
        <f aca="false">IF(H5794="","Open",IF(H5794&lt;=INDEX(Assumptions!$C$15:$C$18,MATCH(E5794,Assumptions!$A$15:$A$18,0)),"Yes","No"))</f>
        <v>Yes</v>
      </c>
    </row>
    <row r="5795" customFormat="false" ht="15" hidden="false" customHeight="false" outlineLevel="0" collapsed="false">
      <c r="A5795" s="31" t="s">
        <v>5945</v>
      </c>
      <c r="B5795" s="44" t="n">
        <v>46281</v>
      </c>
      <c r="C5795" s="31" t="s">
        <v>57</v>
      </c>
      <c r="D5795" s="31" t="s">
        <v>66</v>
      </c>
      <c r="E5795" s="31" t="s">
        <v>52</v>
      </c>
      <c r="F5795" s="31" t="s">
        <v>120</v>
      </c>
      <c r="G5795" s="31" t="n">
        <v>14</v>
      </c>
      <c r="H5795" s="41" t="n">
        <v>14.1</v>
      </c>
      <c r="I5795" s="31" t="s">
        <v>149</v>
      </c>
      <c r="J5795" s="31"/>
      <c r="K5795" s="31" t="s">
        <v>150</v>
      </c>
      <c r="L5795" s="45" t="n">
        <f aca="false">DATE(YEAR(B5795),MONTH(B5795),1)</f>
        <v>46266</v>
      </c>
      <c r="M5795" s="31" t="n">
        <f aca="false">WEEKDAY(B5795,2)</f>
        <v>3</v>
      </c>
      <c r="N5795" s="31" t="str">
        <f aca="false">IF(G5795&lt;=INDEX(Assumptions!$B$15:$B$18,MATCH(E5795,Assumptions!$A$15:$A$18,0)),"Yes","No")</f>
        <v>Yes</v>
      </c>
      <c r="O5795" s="31" t="str">
        <f aca="false">IF(H5795="","Open",IF(H5795&lt;=INDEX(Assumptions!$C$15:$C$18,MATCH(E5795,Assumptions!$A$15:$A$18,0)),"Yes","No"))</f>
        <v>Yes</v>
      </c>
    </row>
    <row r="5796" customFormat="false" ht="15" hidden="false" customHeight="false" outlineLevel="0" collapsed="false">
      <c r="A5796" s="31" t="s">
        <v>5946</v>
      </c>
      <c r="B5796" s="44" t="n">
        <v>46281</v>
      </c>
      <c r="C5796" s="31" t="s">
        <v>57</v>
      </c>
      <c r="D5796" s="31" t="s">
        <v>66</v>
      </c>
      <c r="E5796" s="31" t="s">
        <v>50</v>
      </c>
      <c r="F5796" s="31" t="s">
        <v>119</v>
      </c>
      <c r="G5796" s="31" t="n">
        <v>1</v>
      </c>
      <c r="H5796" s="41" t="n">
        <v>2</v>
      </c>
      <c r="I5796" s="31" t="s">
        <v>149</v>
      </c>
      <c r="J5796" s="31"/>
      <c r="K5796" s="31" t="s">
        <v>150</v>
      </c>
      <c r="L5796" s="45" t="n">
        <f aca="false">DATE(YEAR(B5796),MONTH(B5796),1)</f>
        <v>46266</v>
      </c>
      <c r="M5796" s="31" t="n">
        <f aca="false">WEEKDAY(B5796,2)</f>
        <v>3</v>
      </c>
      <c r="N5796" s="31" t="str">
        <f aca="false">IF(G5796&lt;=INDEX(Assumptions!$B$15:$B$18,MATCH(E5796,Assumptions!$A$15:$A$18,0)),"Yes","No")</f>
        <v>Yes</v>
      </c>
      <c r="O5796" s="31" t="str">
        <f aca="false">IF(H5796="","Open",IF(H5796&lt;=INDEX(Assumptions!$C$15:$C$18,MATCH(E5796,Assumptions!$A$15:$A$18,0)),"Yes","No"))</f>
        <v>Yes</v>
      </c>
    </row>
    <row r="5797" customFormat="false" ht="15" hidden="false" customHeight="false" outlineLevel="0" collapsed="false">
      <c r="A5797" s="31" t="s">
        <v>5947</v>
      </c>
      <c r="B5797" s="44" t="n">
        <v>46281</v>
      </c>
      <c r="C5797" s="31" t="s">
        <v>57</v>
      </c>
      <c r="D5797" s="31" t="s">
        <v>66</v>
      </c>
      <c r="E5797" s="31" t="s">
        <v>51</v>
      </c>
      <c r="F5797" s="31" t="s">
        <v>128</v>
      </c>
      <c r="G5797" s="31" t="n">
        <v>9</v>
      </c>
      <c r="H5797" s="41" t="n">
        <v>19.5</v>
      </c>
      <c r="I5797" s="31" t="s">
        <v>64</v>
      </c>
      <c r="J5797" s="31"/>
      <c r="K5797" s="31" t="s">
        <v>150</v>
      </c>
      <c r="L5797" s="45" t="n">
        <f aca="false">DATE(YEAR(B5797),MONTH(B5797),1)</f>
        <v>46266</v>
      </c>
      <c r="M5797" s="31" t="n">
        <f aca="false">WEEKDAY(B5797,2)</f>
        <v>3</v>
      </c>
      <c r="N5797" s="31" t="str">
        <f aca="false">IF(G5797&lt;=INDEX(Assumptions!$B$15:$B$18,MATCH(E5797,Assumptions!$A$15:$A$18,0)),"Yes","No")</f>
        <v>Yes</v>
      </c>
      <c r="O5797" s="31" t="str">
        <f aca="false">IF(H5797="","Open",IF(H5797&lt;=INDEX(Assumptions!$C$15:$C$18,MATCH(E5797,Assumptions!$A$15:$A$18,0)),"Yes","No"))</f>
        <v>Yes</v>
      </c>
    </row>
    <row r="5798" customFormat="false" ht="15" hidden="false" customHeight="false" outlineLevel="0" collapsed="false">
      <c r="A5798" s="31" t="s">
        <v>5948</v>
      </c>
      <c r="B5798" s="44" t="n">
        <v>46281</v>
      </c>
      <c r="C5798" s="31" t="s">
        <v>59</v>
      </c>
      <c r="D5798" s="31" t="s">
        <v>69</v>
      </c>
      <c r="E5798" s="31" t="s">
        <v>51</v>
      </c>
      <c r="F5798" s="31" t="s">
        <v>133</v>
      </c>
      <c r="G5798" s="31" t="n">
        <v>107</v>
      </c>
      <c r="H5798" s="41" t="n">
        <v>26.7</v>
      </c>
      <c r="I5798" s="31" t="s">
        <v>149</v>
      </c>
      <c r="J5798" s="31" t="n">
        <v>3</v>
      </c>
      <c r="K5798" s="31" t="s">
        <v>150</v>
      </c>
      <c r="L5798" s="45" t="n">
        <f aca="false">DATE(YEAR(B5798),MONTH(B5798),1)</f>
        <v>46266</v>
      </c>
      <c r="M5798" s="31" t="n">
        <f aca="false">WEEKDAY(B5798,2)</f>
        <v>3</v>
      </c>
      <c r="N5798" s="31" t="str">
        <f aca="false">IF(G5798&lt;=INDEX(Assumptions!$B$15:$B$18,MATCH(E5798,Assumptions!$A$15:$A$18,0)),"Yes","No")</f>
        <v>No</v>
      </c>
      <c r="O5798" s="31" t="str">
        <f aca="false">IF(H5798="","Open",IF(H5798&lt;=INDEX(Assumptions!$C$15:$C$18,MATCH(E5798,Assumptions!$A$15:$A$18,0)),"Yes","No"))</f>
        <v>No</v>
      </c>
    </row>
    <row r="5799" customFormat="false" ht="15" hidden="false" customHeight="false" outlineLevel="0" collapsed="false">
      <c r="A5799" s="31" t="s">
        <v>5949</v>
      </c>
      <c r="B5799" s="44" t="n">
        <v>46281</v>
      </c>
      <c r="C5799" s="31" t="s">
        <v>60</v>
      </c>
      <c r="D5799" s="31" t="s">
        <v>69</v>
      </c>
      <c r="E5799" s="31" t="s">
        <v>52</v>
      </c>
      <c r="F5799" s="31" t="s">
        <v>126</v>
      </c>
      <c r="G5799" s="31" t="n">
        <v>1</v>
      </c>
      <c r="H5799" s="41" t="n">
        <v>26.2</v>
      </c>
      <c r="I5799" s="31" t="s">
        <v>149</v>
      </c>
      <c r="J5799" s="31" t="n">
        <v>4</v>
      </c>
      <c r="K5799" s="31" t="s">
        <v>150</v>
      </c>
      <c r="L5799" s="45" t="n">
        <f aca="false">DATE(YEAR(B5799),MONTH(B5799),1)</f>
        <v>46266</v>
      </c>
      <c r="M5799" s="31" t="n">
        <f aca="false">WEEKDAY(B5799,2)</f>
        <v>3</v>
      </c>
      <c r="N5799" s="31" t="str">
        <f aca="false">IF(G5799&lt;=INDEX(Assumptions!$B$15:$B$18,MATCH(E5799,Assumptions!$A$15:$A$18,0)),"Yes","No")</f>
        <v>Yes</v>
      </c>
      <c r="O5799" s="31" t="str">
        <f aca="false">IF(H5799="","Open",IF(H5799&lt;=INDEX(Assumptions!$C$15:$C$18,MATCH(E5799,Assumptions!$A$15:$A$18,0)),"Yes","No"))</f>
        <v>Yes</v>
      </c>
    </row>
    <row r="5800" customFormat="false" ht="15" hidden="false" customHeight="false" outlineLevel="0" collapsed="false">
      <c r="A5800" s="31" t="s">
        <v>5950</v>
      </c>
      <c r="B5800" s="44" t="n">
        <v>46281</v>
      </c>
      <c r="C5800" s="31" t="s">
        <v>59</v>
      </c>
      <c r="D5800" s="31" t="s">
        <v>65</v>
      </c>
      <c r="E5800" s="31" t="s">
        <v>50</v>
      </c>
      <c r="F5800" s="31" t="s">
        <v>134</v>
      </c>
      <c r="G5800" s="31" t="n">
        <v>108</v>
      </c>
      <c r="H5800" s="41" t="n">
        <v>47.3</v>
      </c>
      <c r="I5800" s="31" t="s">
        <v>149</v>
      </c>
      <c r="J5800" s="31"/>
      <c r="K5800" s="31" t="s">
        <v>150</v>
      </c>
      <c r="L5800" s="45" t="n">
        <f aca="false">DATE(YEAR(B5800),MONTH(B5800),1)</f>
        <v>46266</v>
      </c>
      <c r="M5800" s="31" t="n">
        <f aca="false">WEEKDAY(B5800,2)</f>
        <v>3</v>
      </c>
      <c r="N5800" s="31" t="str">
        <f aca="false">IF(G5800&lt;=INDEX(Assumptions!$B$15:$B$18,MATCH(E5800,Assumptions!$A$15:$A$18,0)),"Yes","No")</f>
        <v>No</v>
      </c>
      <c r="O5800" s="31" t="str">
        <f aca="false">IF(H5800="","Open",IF(H5800&lt;=INDEX(Assumptions!$C$15:$C$18,MATCH(E5800,Assumptions!$A$15:$A$18,0)),"Yes","No"))</f>
        <v>No</v>
      </c>
    </row>
    <row r="5801" customFormat="false" ht="15" hidden="false" customHeight="false" outlineLevel="0" collapsed="false">
      <c r="A5801" s="31" t="s">
        <v>5951</v>
      </c>
      <c r="B5801" s="44" t="n">
        <v>46281</v>
      </c>
      <c r="C5801" s="31" t="s">
        <v>59</v>
      </c>
      <c r="D5801" s="31" t="s">
        <v>66</v>
      </c>
      <c r="E5801" s="31" t="s">
        <v>51</v>
      </c>
      <c r="F5801" s="31" t="s">
        <v>124</v>
      </c>
      <c r="G5801" s="31" t="n">
        <v>37</v>
      </c>
      <c r="H5801" s="41" t="n">
        <v>27.8</v>
      </c>
      <c r="I5801" s="31" t="s">
        <v>149</v>
      </c>
      <c r="J5801" s="31" t="n">
        <v>4</v>
      </c>
      <c r="K5801" s="31" t="s">
        <v>150</v>
      </c>
      <c r="L5801" s="45" t="n">
        <f aca="false">DATE(YEAR(B5801),MONTH(B5801),1)</f>
        <v>46266</v>
      </c>
      <c r="M5801" s="31" t="n">
        <f aca="false">WEEKDAY(B5801,2)</f>
        <v>3</v>
      </c>
      <c r="N5801" s="31" t="str">
        <f aca="false">IF(G5801&lt;=INDEX(Assumptions!$B$15:$B$18,MATCH(E5801,Assumptions!$A$15:$A$18,0)),"Yes","No")</f>
        <v>Yes</v>
      </c>
      <c r="O5801" s="31" t="str">
        <f aca="false">IF(H5801="","Open",IF(H5801&lt;=INDEX(Assumptions!$C$15:$C$18,MATCH(E5801,Assumptions!$A$15:$A$18,0)),"Yes","No"))</f>
        <v>No</v>
      </c>
    </row>
    <row r="5802" customFormat="false" ht="15" hidden="false" customHeight="false" outlineLevel="0" collapsed="false">
      <c r="A5802" s="31" t="s">
        <v>5952</v>
      </c>
      <c r="B5802" s="44" t="n">
        <v>46281</v>
      </c>
      <c r="C5802" s="31" t="s">
        <v>58</v>
      </c>
      <c r="D5802" s="31" t="s">
        <v>69</v>
      </c>
      <c r="E5802" s="31" t="s">
        <v>49</v>
      </c>
      <c r="F5802" s="31" t="s">
        <v>119</v>
      </c>
      <c r="G5802" s="31" t="n">
        <v>13</v>
      </c>
      <c r="H5802" s="41" t="n">
        <v>2.1</v>
      </c>
      <c r="I5802" s="31" t="s">
        <v>149</v>
      </c>
      <c r="J5802" s="31" t="n">
        <v>3</v>
      </c>
      <c r="K5802" s="31" t="s">
        <v>150</v>
      </c>
      <c r="L5802" s="45" t="n">
        <f aca="false">DATE(YEAR(B5802),MONTH(B5802),1)</f>
        <v>46266</v>
      </c>
      <c r="M5802" s="31" t="n">
        <f aca="false">WEEKDAY(B5802,2)</f>
        <v>3</v>
      </c>
      <c r="N5802" s="31" t="str">
        <f aca="false">IF(G5802&lt;=INDEX(Assumptions!$B$15:$B$18,MATCH(E5802,Assumptions!$A$15:$A$18,0)),"Yes","No")</f>
        <v>Yes</v>
      </c>
      <c r="O5802" s="31" t="str">
        <f aca="false">IF(H5802="","Open",IF(H5802&lt;=INDEX(Assumptions!$C$15:$C$18,MATCH(E5802,Assumptions!$A$15:$A$18,0)),"Yes","No"))</f>
        <v>Yes</v>
      </c>
    </row>
    <row r="5803" customFormat="false" ht="15" hidden="false" customHeight="false" outlineLevel="0" collapsed="false">
      <c r="A5803" s="31" t="s">
        <v>5953</v>
      </c>
      <c r="B5803" s="44" t="n">
        <v>46281</v>
      </c>
      <c r="C5803" s="31" t="s">
        <v>57</v>
      </c>
      <c r="D5803" s="31" t="s">
        <v>67</v>
      </c>
      <c r="E5803" s="31" t="s">
        <v>52</v>
      </c>
      <c r="F5803" s="31" t="s">
        <v>137</v>
      </c>
      <c r="G5803" s="31" t="n">
        <v>5</v>
      </c>
      <c r="H5803" s="41" t="n">
        <v>26.7</v>
      </c>
      <c r="I5803" s="31" t="s">
        <v>149</v>
      </c>
      <c r="J5803" s="31"/>
      <c r="K5803" s="31" t="s">
        <v>150</v>
      </c>
      <c r="L5803" s="45" t="n">
        <f aca="false">DATE(YEAR(B5803),MONTH(B5803),1)</f>
        <v>46266</v>
      </c>
      <c r="M5803" s="31" t="n">
        <f aca="false">WEEKDAY(B5803,2)</f>
        <v>3</v>
      </c>
      <c r="N5803" s="31" t="str">
        <f aca="false">IF(G5803&lt;=INDEX(Assumptions!$B$15:$B$18,MATCH(E5803,Assumptions!$A$15:$A$18,0)),"Yes","No")</f>
        <v>Yes</v>
      </c>
      <c r="O5803" s="31" t="str">
        <f aca="false">IF(H5803="","Open",IF(H5803&lt;=INDEX(Assumptions!$C$15:$C$18,MATCH(E5803,Assumptions!$A$15:$A$18,0)),"Yes","No"))</f>
        <v>Yes</v>
      </c>
    </row>
    <row r="5804" customFormat="false" ht="15" hidden="false" customHeight="false" outlineLevel="0" collapsed="false">
      <c r="A5804" s="31" t="s">
        <v>5954</v>
      </c>
      <c r="B5804" s="44" t="n">
        <v>46281</v>
      </c>
      <c r="C5804" s="31" t="s">
        <v>57</v>
      </c>
      <c r="D5804" s="31" t="s">
        <v>66</v>
      </c>
      <c r="E5804" s="31" t="s">
        <v>51</v>
      </c>
      <c r="F5804" s="31" t="s">
        <v>123</v>
      </c>
      <c r="G5804" s="31" t="n">
        <v>7</v>
      </c>
      <c r="H5804" s="41" t="n">
        <v>3.5</v>
      </c>
      <c r="I5804" s="31" t="s">
        <v>149</v>
      </c>
      <c r="J5804" s="31" t="n">
        <v>4</v>
      </c>
      <c r="K5804" s="31" t="s">
        <v>150</v>
      </c>
      <c r="L5804" s="45" t="n">
        <f aca="false">DATE(YEAR(B5804),MONTH(B5804),1)</f>
        <v>46266</v>
      </c>
      <c r="M5804" s="31" t="n">
        <f aca="false">WEEKDAY(B5804,2)</f>
        <v>3</v>
      </c>
      <c r="N5804" s="31" t="str">
        <f aca="false">IF(G5804&lt;=INDEX(Assumptions!$B$15:$B$18,MATCH(E5804,Assumptions!$A$15:$A$18,0)),"Yes","No")</f>
        <v>Yes</v>
      </c>
      <c r="O5804" s="31" t="str">
        <f aca="false">IF(H5804="","Open",IF(H5804&lt;=INDEX(Assumptions!$C$15:$C$18,MATCH(E5804,Assumptions!$A$15:$A$18,0)),"Yes","No"))</f>
        <v>Yes</v>
      </c>
    </row>
    <row r="5805" customFormat="false" ht="15" hidden="false" customHeight="false" outlineLevel="0" collapsed="false">
      <c r="A5805" s="31" t="s">
        <v>5955</v>
      </c>
      <c r="B5805" s="44" t="n">
        <v>46281</v>
      </c>
      <c r="C5805" s="31" t="s">
        <v>58</v>
      </c>
      <c r="D5805" s="31" t="s">
        <v>65</v>
      </c>
      <c r="E5805" s="31" t="s">
        <v>52</v>
      </c>
      <c r="F5805" s="31" t="s">
        <v>127</v>
      </c>
      <c r="G5805" s="31" t="n">
        <v>3</v>
      </c>
      <c r="H5805" s="41" t="n">
        <v>9.3</v>
      </c>
      <c r="I5805" s="31" t="s">
        <v>149</v>
      </c>
      <c r="J5805" s="31"/>
      <c r="K5805" s="31" t="s">
        <v>150</v>
      </c>
      <c r="L5805" s="45" t="n">
        <f aca="false">DATE(YEAR(B5805),MONTH(B5805),1)</f>
        <v>46266</v>
      </c>
      <c r="M5805" s="31" t="n">
        <f aca="false">WEEKDAY(B5805,2)</f>
        <v>3</v>
      </c>
      <c r="N5805" s="31" t="str">
        <f aca="false">IF(G5805&lt;=INDEX(Assumptions!$B$15:$B$18,MATCH(E5805,Assumptions!$A$15:$A$18,0)),"Yes","No")</f>
        <v>Yes</v>
      </c>
      <c r="O5805" s="31" t="str">
        <f aca="false">IF(H5805="","Open",IF(H5805&lt;=INDEX(Assumptions!$C$15:$C$18,MATCH(E5805,Assumptions!$A$15:$A$18,0)),"Yes","No"))</f>
        <v>Yes</v>
      </c>
    </row>
    <row r="5806" customFormat="false" ht="15" hidden="false" customHeight="false" outlineLevel="0" collapsed="false">
      <c r="A5806" s="31" t="s">
        <v>5956</v>
      </c>
      <c r="B5806" s="44" t="n">
        <v>46281</v>
      </c>
      <c r="C5806" s="31" t="s">
        <v>57</v>
      </c>
      <c r="D5806" s="31" t="s">
        <v>65</v>
      </c>
      <c r="E5806" s="31" t="s">
        <v>50</v>
      </c>
      <c r="F5806" s="31" t="s">
        <v>130</v>
      </c>
      <c r="G5806" s="31" t="n">
        <v>10</v>
      </c>
      <c r="H5806" s="41" t="n">
        <v>8.7</v>
      </c>
      <c r="I5806" s="31" t="s">
        <v>149</v>
      </c>
      <c r="J5806" s="31" t="n">
        <v>4</v>
      </c>
      <c r="K5806" s="31" t="s">
        <v>150</v>
      </c>
      <c r="L5806" s="45" t="n">
        <f aca="false">DATE(YEAR(B5806),MONTH(B5806),1)</f>
        <v>46266</v>
      </c>
      <c r="M5806" s="31" t="n">
        <f aca="false">WEEKDAY(B5806,2)</f>
        <v>3</v>
      </c>
      <c r="N5806" s="31" t="str">
        <f aca="false">IF(G5806&lt;=INDEX(Assumptions!$B$15:$B$18,MATCH(E5806,Assumptions!$A$15:$A$18,0)),"Yes","No")</f>
        <v>Yes</v>
      </c>
      <c r="O5806" s="31" t="str">
        <f aca="false">IF(H5806="","Open",IF(H5806&lt;=INDEX(Assumptions!$C$15:$C$18,MATCH(E5806,Assumptions!$A$15:$A$18,0)),"Yes","No"))</f>
        <v>No</v>
      </c>
    </row>
    <row r="5807" customFormat="false" ht="15" hidden="false" customHeight="false" outlineLevel="0" collapsed="false">
      <c r="A5807" s="31" t="s">
        <v>5957</v>
      </c>
      <c r="B5807" s="44" t="n">
        <v>46281</v>
      </c>
      <c r="C5807" s="31" t="s">
        <v>57</v>
      </c>
      <c r="D5807" s="31" t="s">
        <v>68</v>
      </c>
      <c r="E5807" s="31" t="s">
        <v>51</v>
      </c>
      <c r="F5807" s="31" t="s">
        <v>122</v>
      </c>
      <c r="G5807" s="31" t="n">
        <v>2</v>
      </c>
      <c r="H5807" s="41" t="n">
        <v>2.2</v>
      </c>
      <c r="I5807" s="31" t="s">
        <v>149</v>
      </c>
      <c r="J5807" s="31" t="n">
        <v>3</v>
      </c>
      <c r="K5807" s="31" t="s">
        <v>150</v>
      </c>
      <c r="L5807" s="45" t="n">
        <f aca="false">DATE(YEAR(B5807),MONTH(B5807),1)</f>
        <v>46266</v>
      </c>
      <c r="M5807" s="31" t="n">
        <f aca="false">WEEKDAY(B5807,2)</f>
        <v>3</v>
      </c>
      <c r="N5807" s="31" t="str">
        <f aca="false">IF(G5807&lt;=INDEX(Assumptions!$B$15:$B$18,MATCH(E5807,Assumptions!$A$15:$A$18,0)),"Yes","No")</f>
        <v>Yes</v>
      </c>
      <c r="O5807" s="31" t="str">
        <f aca="false">IF(H5807="","Open",IF(H5807&lt;=INDEX(Assumptions!$C$15:$C$18,MATCH(E5807,Assumptions!$A$15:$A$18,0)),"Yes","No"))</f>
        <v>Yes</v>
      </c>
    </row>
    <row r="5808" customFormat="false" ht="15" hidden="false" customHeight="false" outlineLevel="0" collapsed="false">
      <c r="A5808" s="31" t="s">
        <v>5958</v>
      </c>
      <c r="B5808" s="44" t="n">
        <v>46281</v>
      </c>
      <c r="C5808" s="31" t="s">
        <v>60</v>
      </c>
      <c r="D5808" s="31" t="s">
        <v>66</v>
      </c>
      <c r="E5808" s="31" t="s">
        <v>52</v>
      </c>
      <c r="F5808" s="31" t="s">
        <v>123</v>
      </c>
      <c r="G5808" s="31" t="n">
        <v>5</v>
      </c>
      <c r="H5808" s="41" t="n">
        <v>11.4</v>
      </c>
      <c r="I5808" s="31" t="s">
        <v>149</v>
      </c>
      <c r="J5808" s="31" t="n">
        <v>3</v>
      </c>
      <c r="K5808" s="31" t="s">
        <v>150</v>
      </c>
      <c r="L5808" s="45" t="n">
        <f aca="false">DATE(YEAR(B5808),MONTH(B5808),1)</f>
        <v>46266</v>
      </c>
      <c r="M5808" s="31" t="n">
        <f aca="false">WEEKDAY(B5808,2)</f>
        <v>3</v>
      </c>
      <c r="N5808" s="31" t="str">
        <f aca="false">IF(G5808&lt;=INDEX(Assumptions!$B$15:$B$18,MATCH(E5808,Assumptions!$A$15:$A$18,0)),"Yes","No")</f>
        <v>Yes</v>
      </c>
      <c r="O5808" s="31" t="str">
        <f aca="false">IF(H5808="","Open",IF(H5808&lt;=INDEX(Assumptions!$C$15:$C$18,MATCH(E5808,Assumptions!$A$15:$A$18,0)),"Yes","No"))</f>
        <v>Yes</v>
      </c>
    </row>
    <row r="5809" customFormat="false" ht="15" hidden="false" customHeight="false" outlineLevel="0" collapsed="false">
      <c r="A5809" s="31" t="s">
        <v>5959</v>
      </c>
      <c r="B5809" s="44" t="n">
        <v>46281</v>
      </c>
      <c r="C5809" s="31" t="s">
        <v>57</v>
      </c>
      <c r="D5809" s="31" t="s">
        <v>65</v>
      </c>
      <c r="E5809" s="31" t="s">
        <v>51</v>
      </c>
      <c r="F5809" s="31" t="s">
        <v>120</v>
      </c>
      <c r="G5809" s="31" t="n">
        <v>18</v>
      </c>
      <c r="H5809" s="41" t="n">
        <v>11.9</v>
      </c>
      <c r="I5809" s="31" t="s">
        <v>149</v>
      </c>
      <c r="J5809" s="31" t="n">
        <v>4</v>
      </c>
      <c r="K5809" s="31" t="s">
        <v>153</v>
      </c>
      <c r="L5809" s="45" t="n">
        <f aca="false">DATE(YEAR(B5809),MONTH(B5809),1)</f>
        <v>46266</v>
      </c>
      <c r="M5809" s="31" t="n">
        <f aca="false">WEEKDAY(B5809,2)</f>
        <v>3</v>
      </c>
      <c r="N5809" s="31" t="str">
        <f aca="false">IF(G5809&lt;=INDEX(Assumptions!$B$15:$B$18,MATCH(E5809,Assumptions!$A$15:$A$18,0)),"Yes","No")</f>
        <v>Yes</v>
      </c>
      <c r="O5809" s="31" t="str">
        <f aca="false">IF(H5809="","Open",IF(H5809&lt;=INDEX(Assumptions!$C$15:$C$18,MATCH(E5809,Assumptions!$A$15:$A$18,0)),"Yes","No"))</f>
        <v>Yes</v>
      </c>
    </row>
    <row r="5810" customFormat="false" ht="15" hidden="false" customHeight="false" outlineLevel="0" collapsed="false">
      <c r="A5810" s="31" t="s">
        <v>5960</v>
      </c>
      <c r="B5810" s="44" t="n">
        <v>46281</v>
      </c>
      <c r="C5810" s="31" t="s">
        <v>58</v>
      </c>
      <c r="D5810" s="31" t="s">
        <v>65</v>
      </c>
      <c r="E5810" s="31" t="s">
        <v>51</v>
      </c>
      <c r="F5810" s="31" t="s">
        <v>135</v>
      </c>
      <c r="G5810" s="31" t="n">
        <v>15</v>
      </c>
      <c r="H5810" s="41" t="n">
        <v>5.5</v>
      </c>
      <c r="I5810" s="31" t="s">
        <v>149</v>
      </c>
      <c r="J5810" s="31"/>
      <c r="K5810" s="31" t="s">
        <v>150</v>
      </c>
      <c r="L5810" s="45" t="n">
        <f aca="false">DATE(YEAR(B5810),MONTH(B5810),1)</f>
        <v>46266</v>
      </c>
      <c r="M5810" s="31" t="n">
        <f aca="false">WEEKDAY(B5810,2)</f>
        <v>3</v>
      </c>
      <c r="N5810" s="31" t="str">
        <f aca="false">IF(G5810&lt;=INDEX(Assumptions!$B$15:$B$18,MATCH(E5810,Assumptions!$A$15:$A$18,0)),"Yes","No")</f>
        <v>Yes</v>
      </c>
      <c r="O5810" s="31" t="str">
        <f aca="false">IF(H5810="","Open",IF(H5810&lt;=INDEX(Assumptions!$C$15:$C$18,MATCH(E5810,Assumptions!$A$15:$A$18,0)),"Yes","No"))</f>
        <v>Yes</v>
      </c>
    </row>
    <row r="5811" customFormat="false" ht="15" hidden="false" customHeight="false" outlineLevel="0" collapsed="false">
      <c r="A5811" s="31" t="s">
        <v>5961</v>
      </c>
      <c r="B5811" s="44" t="n">
        <v>46281</v>
      </c>
      <c r="C5811" s="31" t="s">
        <v>58</v>
      </c>
      <c r="D5811" s="31" t="s">
        <v>65</v>
      </c>
      <c r="E5811" s="31" t="s">
        <v>51</v>
      </c>
      <c r="F5811" s="31" t="s">
        <v>121</v>
      </c>
      <c r="G5811" s="31" t="n">
        <v>17</v>
      </c>
      <c r="H5811" s="41" t="n">
        <v>17.5</v>
      </c>
      <c r="I5811" s="31" t="s">
        <v>149</v>
      </c>
      <c r="J5811" s="31" t="n">
        <v>3</v>
      </c>
      <c r="K5811" s="31" t="s">
        <v>150</v>
      </c>
      <c r="L5811" s="45" t="n">
        <f aca="false">DATE(YEAR(B5811),MONTH(B5811),1)</f>
        <v>46266</v>
      </c>
      <c r="M5811" s="31" t="n">
        <f aca="false">WEEKDAY(B5811,2)</f>
        <v>3</v>
      </c>
      <c r="N5811" s="31" t="str">
        <f aca="false">IF(G5811&lt;=INDEX(Assumptions!$B$15:$B$18,MATCH(E5811,Assumptions!$A$15:$A$18,0)),"Yes","No")</f>
        <v>Yes</v>
      </c>
      <c r="O5811" s="31" t="str">
        <f aca="false">IF(H5811="","Open",IF(H5811&lt;=INDEX(Assumptions!$C$15:$C$18,MATCH(E5811,Assumptions!$A$15:$A$18,0)),"Yes","No"))</f>
        <v>Yes</v>
      </c>
    </row>
    <row r="5812" customFormat="false" ht="15" hidden="false" customHeight="false" outlineLevel="0" collapsed="false">
      <c r="A5812" s="31" t="s">
        <v>5962</v>
      </c>
      <c r="B5812" s="44" t="n">
        <v>46281</v>
      </c>
      <c r="C5812" s="31" t="s">
        <v>60</v>
      </c>
      <c r="D5812" s="31" t="s">
        <v>65</v>
      </c>
      <c r="E5812" s="31" t="s">
        <v>50</v>
      </c>
      <c r="F5812" s="31" t="s">
        <v>128</v>
      </c>
      <c r="G5812" s="31" t="n">
        <v>2</v>
      </c>
      <c r="H5812" s="41" t="n">
        <v>3.8</v>
      </c>
      <c r="I5812" s="31" t="s">
        <v>149</v>
      </c>
      <c r="J5812" s="31" t="n">
        <v>3</v>
      </c>
      <c r="K5812" s="31" t="s">
        <v>150</v>
      </c>
      <c r="L5812" s="45" t="n">
        <f aca="false">DATE(YEAR(B5812),MONTH(B5812),1)</f>
        <v>46266</v>
      </c>
      <c r="M5812" s="31" t="n">
        <f aca="false">WEEKDAY(B5812,2)</f>
        <v>3</v>
      </c>
      <c r="N5812" s="31" t="str">
        <f aca="false">IF(G5812&lt;=INDEX(Assumptions!$B$15:$B$18,MATCH(E5812,Assumptions!$A$15:$A$18,0)),"Yes","No")</f>
        <v>Yes</v>
      </c>
      <c r="O5812" s="31" t="str">
        <f aca="false">IF(H5812="","Open",IF(H5812&lt;=INDEX(Assumptions!$C$15:$C$18,MATCH(E5812,Assumptions!$A$15:$A$18,0)),"Yes","No"))</f>
        <v>Yes</v>
      </c>
    </row>
    <row r="5813" customFormat="false" ht="15" hidden="false" customHeight="false" outlineLevel="0" collapsed="false">
      <c r="A5813" s="31" t="s">
        <v>5963</v>
      </c>
      <c r="B5813" s="44" t="n">
        <v>46281</v>
      </c>
      <c r="C5813" s="31" t="s">
        <v>59</v>
      </c>
      <c r="D5813" s="31" t="s">
        <v>68</v>
      </c>
      <c r="E5813" s="31" t="s">
        <v>52</v>
      </c>
      <c r="F5813" s="31" t="s">
        <v>134</v>
      </c>
      <c r="G5813" s="31" t="n">
        <v>64</v>
      </c>
      <c r="H5813" s="41" t="n">
        <v>5.1</v>
      </c>
      <c r="I5813" s="31" t="s">
        <v>149</v>
      </c>
      <c r="J5813" s="31"/>
      <c r="K5813" s="31" t="s">
        <v>150</v>
      </c>
      <c r="L5813" s="45" t="n">
        <f aca="false">DATE(YEAR(B5813),MONTH(B5813),1)</f>
        <v>46266</v>
      </c>
      <c r="M5813" s="31" t="n">
        <f aca="false">WEEKDAY(B5813,2)</f>
        <v>3</v>
      </c>
      <c r="N5813" s="31" t="str">
        <f aca="false">IF(G5813&lt;=INDEX(Assumptions!$B$15:$B$18,MATCH(E5813,Assumptions!$A$15:$A$18,0)),"Yes","No")</f>
        <v>Yes</v>
      </c>
      <c r="O5813" s="31" t="str">
        <f aca="false">IF(H5813="","Open",IF(H5813&lt;=INDEX(Assumptions!$C$15:$C$18,MATCH(E5813,Assumptions!$A$15:$A$18,0)),"Yes","No"))</f>
        <v>Yes</v>
      </c>
    </row>
    <row r="5814" customFormat="false" ht="15" hidden="false" customHeight="false" outlineLevel="0" collapsed="false">
      <c r="A5814" s="31" t="s">
        <v>5964</v>
      </c>
      <c r="B5814" s="44" t="n">
        <v>46281</v>
      </c>
      <c r="C5814" s="31" t="s">
        <v>60</v>
      </c>
      <c r="D5814" s="31" t="s">
        <v>67</v>
      </c>
      <c r="E5814" s="31" t="s">
        <v>50</v>
      </c>
      <c r="F5814" s="31" t="s">
        <v>123</v>
      </c>
      <c r="G5814" s="31" t="n">
        <v>4</v>
      </c>
      <c r="H5814" s="41" t="n">
        <v>5.7</v>
      </c>
      <c r="I5814" s="31" t="s">
        <v>149</v>
      </c>
      <c r="J5814" s="31" t="n">
        <v>5</v>
      </c>
      <c r="K5814" s="31" t="s">
        <v>150</v>
      </c>
      <c r="L5814" s="45" t="n">
        <f aca="false">DATE(YEAR(B5814),MONTH(B5814),1)</f>
        <v>46266</v>
      </c>
      <c r="M5814" s="31" t="n">
        <f aca="false">WEEKDAY(B5814,2)</f>
        <v>3</v>
      </c>
      <c r="N5814" s="31" t="str">
        <f aca="false">IF(G5814&lt;=INDEX(Assumptions!$B$15:$B$18,MATCH(E5814,Assumptions!$A$15:$A$18,0)),"Yes","No")</f>
        <v>Yes</v>
      </c>
      <c r="O5814" s="31" t="str">
        <f aca="false">IF(H5814="","Open",IF(H5814&lt;=INDEX(Assumptions!$C$15:$C$18,MATCH(E5814,Assumptions!$A$15:$A$18,0)),"Yes","No"))</f>
        <v>Yes</v>
      </c>
    </row>
    <row r="5815" customFormat="false" ht="15" hidden="false" customHeight="false" outlineLevel="0" collapsed="false">
      <c r="A5815" s="31" t="s">
        <v>5965</v>
      </c>
      <c r="B5815" s="44" t="n">
        <v>46281</v>
      </c>
      <c r="C5815" s="31" t="s">
        <v>57</v>
      </c>
      <c r="D5815" s="31" t="s">
        <v>66</v>
      </c>
      <c r="E5815" s="31" t="s">
        <v>52</v>
      </c>
      <c r="F5815" s="31" t="s">
        <v>127</v>
      </c>
      <c r="G5815" s="31" t="n">
        <v>8</v>
      </c>
      <c r="H5815" s="41" t="n">
        <v>11.9</v>
      </c>
      <c r="I5815" s="31" t="s">
        <v>149</v>
      </c>
      <c r="J5815" s="31"/>
      <c r="K5815" s="31" t="s">
        <v>150</v>
      </c>
      <c r="L5815" s="45" t="n">
        <f aca="false">DATE(YEAR(B5815),MONTH(B5815),1)</f>
        <v>46266</v>
      </c>
      <c r="M5815" s="31" t="n">
        <f aca="false">WEEKDAY(B5815,2)</f>
        <v>3</v>
      </c>
      <c r="N5815" s="31" t="str">
        <f aca="false">IF(G5815&lt;=INDEX(Assumptions!$B$15:$B$18,MATCH(E5815,Assumptions!$A$15:$A$18,0)),"Yes","No")</f>
        <v>Yes</v>
      </c>
      <c r="O5815" s="31" t="str">
        <f aca="false">IF(H5815="","Open",IF(H5815&lt;=INDEX(Assumptions!$C$15:$C$18,MATCH(E5815,Assumptions!$A$15:$A$18,0)),"Yes","No"))</f>
        <v>Yes</v>
      </c>
    </row>
    <row r="5816" customFormat="false" ht="15" hidden="false" customHeight="false" outlineLevel="0" collapsed="false">
      <c r="A5816" s="31" t="s">
        <v>5966</v>
      </c>
      <c r="B5816" s="44" t="n">
        <v>46281</v>
      </c>
      <c r="C5816" s="31" t="s">
        <v>59</v>
      </c>
      <c r="D5816" s="31" t="s">
        <v>66</v>
      </c>
      <c r="E5816" s="31" t="s">
        <v>51</v>
      </c>
      <c r="F5816" s="31" t="s">
        <v>117</v>
      </c>
      <c r="G5816" s="31" t="n">
        <v>95</v>
      </c>
      <c r="H5816" s="41" t="n">
        <v>1.7</v>
      </c>
      <c r="I5816" s="31" t="s">
        <v>149</v>
      </c>
      <c r="J5816" s="31"/>
      <c r="K5816" s="31" t="s">
        <v>150</v>
      </c>
      <c r="L5816" s="45" t="n">
        <f aca="false">DATE(YEAR(B5816),MONTH(B5816),1)</f>
        <v>46266</v>
      </c>
      <c r="M5816" s="31" t="n">
        <f aca="false">WEEKDAY(B5816,2)</f>
        <v>3</v>
      </c>
      <c r="N5816" s="31" t="str">
        <f aca="false">IF(G5816&lt;=INDEX(Assumptions!$B$15:$B$18,MATCH(E5816,Assumptions!$A$15:$A$18,0)),"Yes","No")</f>
        <v>No</v>
      </c>
      <c r="O5816" s="31" t="str">
        <f aca="false">IF(H5816="","Open",IF(H5816&lt;=INDEX(Assumptions!$C$15:$C$18,MATCH(E5816,Assumptions!$A$15:$A$18,0)),"Yes","No"))</f>
        <v>Yes</v>
      </c>
    </row>
    <row r="5817" customFormat="false" ht="15" hidden="false" customHeight="false" outlineLevel="0" collapsed="false">
      <c r="A5817" s="31" t="s">
        <v>5967</v>
      </c>
      <c r="B5817" s="44" t="n">
        <v>46281</v>
      </c>
      <c r="C5817" s="31" t="s">
        <v>57</v>
      </c>
      <c r="D5817" s="31" t="s">
        <v>67</v>
      </c>
      <c r="E5817" s="31" t="s">
        <v>51</v>
      </c>
      <c r="F5817" s="31" t="s">
        <v>137</v>
      </c>
      <c r="G5817" s="31" t="n">
        <v>3</v>
      </c>
      <c r="H5817" s="41" t="n">
        <v>19.4</v>
      </c>
      <c r="I5817" s="31" t="s">
        <v>149</v>
      </c>
      <c r="J5817" s="31" t="n">
        <v>4</v>
      </c>
      <c r="K5817" s="31" t="s">
        <v>150</v>
      </c>
      <c r="L5817" s="45" t="n">
        <f aca="false">DATE(YEAR(B5817),MONTH(B5817),1)</f>
        <v>46266</v>
      </c>
      <c r="M5817" s="31" t="n">
        <f aca="false">WEEKDAY(B5817,2)</f>
        <v>3</v>
      </c>
      <c r="N5817" s="31" t="str">
        <f aca="false">IF(G5817&lt;=INDEX(Assumptions!$B$15:$B$18,MATCH(E5817,Assumptions!$A$15:$A$18,0)),"Yes","No")</f>
        <v>Yes</v>
      </c>
      <c r="O5817" s="31" t="str">
        <f aca="false">IF(H5817="","Open",IF(H5817&lt;=INDEX(Assumptions!$C$15:$C$18,MATCH(E5817,Assumptions!$A$15:$A$18,0)),"Yes","No"))</f>
        <v>Yes</v>
      </c>
    </row>
    <row r="5818" customFormat="false" ht="15" hidden="false" customHeight="false" outlineLevel="0" collapsed="false">
      <c r="A5818" s="31" t="s">
        <v>5968</v>
      </c>
      <c r="B5818" s="44" t="n">
        <v>46281</v>
      </c>
      <c r="C5818" s="31" t="s">
        <v>57</v>
      </c>
      <c r="D5818" s="31" t="s">
        <v>69</v>
      </c>
      <c r="E5818" s="31" t="s">
        <v>51</v>
      </c>
      <c r="F5818" s="31" t="s">
        <v>137</v>
      </c>
      <c r="G5818" s="31" t="n">
        <v>28</v>
      </c>
      <c r="H5818" s="41" t="n">
        <v>17.7</v>
      </c>
      <c r="I5818" s="31" t="s">
        <v>149</v>
      </c>
      <c r="J5818" s="31" t="n">
        <v>5</v>
      </c>
      <c r="K5818" s="31" t="s">
        <v>150</v>
      </c>
      <c r="L5818" s="45" t="n">
        <f aca="false">DATE(YEAR(B5818),MONTH(B5818),1)</f>
        <v>46266</v>
      </c>
      <c r="M5818" s="31" t="n">
        <f aca="false">WEEKDAY(B5818,2)</f>
        <v>3</v>
      </c>
      <c r="N5818" s="31" t="str">
        <f aca="false">IF(G5818&lt;=INDEX(Assumptions!$B$15:$B$18,MATCH(E5818,Assumptions!$A$15:$A$18,0)),"Yes","No")</f>
        <v>Yes</v>
      </c>
      <c r="O5818" s="31" t="str">
        <f aca="false">IF(H5818="","Open",IF(H5818&lt;=INDEX(Assumptions!$C$15:$C$18,MATCH(E5818,Assumptions!$A$15:$A$18,0)),"Yes","No"))</f>
        <v>Yes</v>
      </c>
    </row>
    <row r="5819" customFormat="false" ht="15" hidden="false" customHeight="false" outlineLevel="0" collapsed="false">
      <c r="A5819" s="31" t="s">
        <v>5969</v>
      </c>
      <c r="B5819" s="44" t="n">
        <v>46281</v>
      </c>
      <c r="C5819" s="31" t="s">
        <v>57</v>
      </c>
      <c r="D5819" s="31" t="s">
        <v>66</v>
      </c>
      <c r="E5819" s="31" t="s">
        <v>49</v>
      </c>
      <c r="F5819" s="31" t="s">
        <v>131</v>
      </c>
      <c r="G5819" s="31" t="n">
        <v>1</v>
      </c>
      <c r="H5819" s="41" t="n">
        <v>1.8</v>
      </c>
      <c r="I5819" s="31" t="s">
        <v>149</v>
      </c>
      <c r="J5819" s="31"/>
      <c r="K5819" s="31" t="s">
        <v>150</v>
      </c>
      <c r="L5819" s="45" t="n">
        <f aca="false">DATE(YEAR(B5819),MONTH(B5819),1)</f>
        <v>46266</v>
      </c>
      <c r="M5819" s="31" t="n">
        <f aca="false">WEEKDAY(B5819,2)</f>
        <v>3</v>
      </c>
      <c r="N5819" s="31" t="str">
        <f aca="false">IF(G5819&lt;=INDEX(Assumptions!$B$15:$B$18,MATCH(E5819,Assumptions!$A$15:$A$18,0)),"Yes","No")</f>
        <v>Yes</v>
      </c>
      <c r="O5819" s="31" t="str">
        <f aca="false">IF(H5819="","Open",IF(H5819&lt;=INDEX(Assumptions!$C$15:$C$18,MATCH(E5819,Assumptions!$A$15:$A$18,0)),"Yes","No"))</f>
        <v>Yes</v>
      </c>
    </row>
    <row r="5820" customFormat="false" ht="15" hidden="false" customHeight="false" outlineLevel="0" collapsed="false">
      <c r="A5820" s="31" t="s">
        <v>5970</v>
      </c>
      <c r="B5820" s="44" t="n">
        <v>46282</v>
      </c>
      <c r="C5820" s="31" t="s">
        <v>59</v>
      </c>
      <c r="D5820" s="31" t="s">
        <v>69</v>
      </c>
      <c r="E5820" s="31" t="s">
        <v>51</v>
      </c>
      <c r="F5820" s="31" t="s">
        <v>120</v>
      </c>
      <c r="G5820" s="31" t="n">
        <v>134</v>
      </c>
      <c r="H5820" s="41" t="n">
        <v>28.1</v>
      </c>
      <c r="I5820" s="31" t="s">
        <v>149</v>
      </c>
      <c r="J5820" s="31"/>
      <c r="K5820" s="31" t="s">
        <v>150</v>
      </c>
      <c r="L5820" s="45" t="n">
        <f aca="false">DATE(YEAR(B5820),MONTH(B5820),1)</f>
        <v>46266</v>
      </c>
      <c r="M5820" s="31" t="n">
        <f aca="false">WEEKDAY(B5820,2)</f>
        <v>4</v>
      </c>
      <c r="N5820" s="31" t="str">
        <f aca="false">IF(G5820&lt;=INDEX(Assumptions!$B$15:$B$18,MATCH(E5820,Assumptions!$A$15:$A$18,0)),"Yes","No")</f>
        <v>No</v>
      </c>
      <c r="O5820" s="31" t="str">
        <f aca="false">IF(H5820="","Open",IF(H5820&lt;=INDEX(Assumptions!$C$15:$C$18,MATCH(E5820,Assumptions!$A$15:$A$18,0)),"Yes","No"))</f>
        <v>No</v>
      </c>
    </row>
    <row r="5821" customFormat="false" ht="15" hidden="false" customHeight="false" outlineLevel="0" collapsed="false">
      <c r="A5821" s="31" t="s">
        <v>5971</v>
      </c>
      <c r="B5821" s="44" t="n">
        <v>46282</v>
      </c>
      <c r="C5821" s="31" t="s">
        <v>58</v>
      </c>
      <c r="D5821" s="31" t="s">
        <v>65</v>
      </c>
      <c r="E5821" s="31" t="s">
        <v>50</v>
      </c>
      <c r="F5821" s="31" t="s">
        <v>137</v>
      </c>
      <c r="G5821" s="31" t="n">
        <v>11</v>
      </c>
      <c r="H5821" s="41" t="n">
        <v>1.6</v>
      </c>
      <c r="I5821" s="31" t="s">
        <v>149</v>
      </c>
      <c r="J5821" s="31"/>
      <c r="K5821" s="31" t="s">
        <v>150</v>
      </c>
      <c r="L5821" s="45" t="n">
        <f aca="false">DATE(YEAR(B5821),MONTH(B5821),1)</f>
        <v>46266</v>
      </c>
      <c r="M5821" s="31" t="n">
        <f aca="false">WEEKDAY(B5821,2)</f>
        <v>4</v>
      </c>
      <c r="N5821" s="31" t="str">
        <f aca="false">IF(G5821&lt;=INDEX(Assumptions!$B$15:$B$18,MATCH(E5821,Assumptions!$A$15:$A$18,0)),"Yes","No")</f>
        <v>Yes</v>
      </c>
      <c r="O5821" s="31" t="str">
        <f aca="false">IF(H5821="","Open",IF(H5821&lt;=INDEX(Assumptions!$C$15:$C$18,MATCH(E5821,Assumptions!$A$15:$A$18,0)),"Yes","No"))</f>
        <v>Yes</v>
      </c>
    </row>
    <row r="5822" customFormat="false" ht="15" hidden="false" customHeight="false" outlineLevel="0" collapsed="false">
      <c r="A5822" s="31" t="s">
        <v>5972</v>
      </c>
      <c r="B5822" s="44" t="n">
        <v>46282</v>
      </c>
      <c r="C5822" s="31" t="s">
        <v>58</v>
      </c>
      <c r="D5822" s="31" t="s">
        <v>66</v>
      </c>
      <c r="E5822" s="31" t="s">
        <v>52</v>
      </c>
      <c r="F5822" s="31" t="s">
        <v>129</v>
      </c>
      <c r="G5822" s="31" t="n">
        <v>21</v>
      </c>
      <c r="H5822" s="41" t="n">
        <v>19.6</v>
      </c>
      <c r="I5822" s="31" t="s">
        <v>149</v>
      </c>
      <c r="J5822" s="31" t="n">
        <v>5</v>
      </c>
      <c r="K5822" s="31" t="s">
        <v>150</v>
      </c>
      <c r="L5822" s="45" t="n">
        <f aca="false">DATE(YEAR(B5822),MONTH(B5822),1)</f>
        <v>46266</v>
      </c>
      <c r="M5822" s="31" t="n">
        <f aca="false">WEEKDAY(B5822,2)</f>
        <v>4</v>
      </c>
      <c r="N5822" s="31" t="str">
        <f aca="false">IF(G5822&lt;=INDEX(Assumptions!$B$15:$B$18,MATCH(E5822,Assumptions!$A$15:$A$18,0)),"Yes","No")</f>
        <v>Yes</v>
      </c>
      <c r="O5822" s="31" t="str">
        <f aca="false">IF(H5822="","Open",IF(H5822&lt;=INDEX(Assumptions!$C$15:$C$18,MATCH(E5822,Assumptions!$A$15:$A$18,0)),"Yes","No"))</f>
        <v>Yes</v>
      </c>
    </row>
    <row r="5823" customFormat="false" ht="15" hidden="false" customHeight="false" outlineLevel="0" collapsed="false">
      <c r="A5823" s="31" t="s">
        <v>5973</v>
      </c>
      <c r="B5823" s="44" t="n">
        <v>46282</v>
      </c>
      <c r="C5823" s="31" t="s">
        <v>57</v>
      </c>
      <c r="D5823" s="31" t="s">
        <v>65</v>
      </c>
      <c r="E5823" s="31" t="s">
        <v>52</v>
      </c>
      <c r="F5823" s="31" t="s">
        <v>137</v>
      </c>
      <c r="G5823" s="31" t="n">
        <v>4</v>
      </c>
      <c r="H5823" s="41" t="n">
        <v>15.6</v>
      </c>
      <c r="I5823" s="31" t="s">
        <v>149</v>
      </c>
      <c r="J5823" s="31" t="n">
        <v>5</v>
      </c>
      <c r="K5823" s="31" t="s">
        <v>150</v>
      </c>
      <c r="L5823" s="45" t="n">
        <f aca="false">DATE(YEAR(B5823),MONTH(B5823),1)</f>
        <v>46266</v>
      </c>
      <c r="M5823" s="31" t="n">
        <f aca="false">WEEKDAY(B5823,2)</f>
        <v>4</v>
      </c>
      <c r="N5823" s="31" t="str">
        <f aca="false">IF(G5823&lt;=INDEX(Assumptions!$B$15:$B$18,MATCH(E5823,Assumptions!$A$15:$A$18,0)),"Yes","No")</f>
        <v>Yes</v>
      </c>
      <c r="O5823" s="31" t="str">
        <f aca="false">IF(H5823="","Open",IF(H5823&lt;=INDEX(Assumptions!$C$15:$C$18,MATCH(E5823,Assumptions!$A$15:$A$18,0)),"Yes","No"))</f>
        <v>Yes</v>
      </c>
    </row>
    <row r="5824" customFormat="false" ht="15" hidden="false" customHeight="false" outlineLevel="0" collapsed="false">
      <c r="A5824" s="31" t="s">
        <v>5974</v>
      </c>
      <c r="B5824" s="44" t="n">
        <v>46282</v>
      </c>
      <c r="C5824" s="31" t="s">
        <v>59</v>
      </c>
      <c r="D5824" s="31" t="s">
        <v>66</v>
      </c>
      <c r="E5824" s="31" t="s">
        <v>52</v>
      </c>
      <c r="F5824" s="31" t="s">
        <v>134</v>
      </c>
      <c r="G5824" s="31" t="n">
        <v>558</v>
      </c>
      <c r="H5824" s="41" t="n">
        <v>25.5</v>
      </c>
      <c r="I5824" s="31" t="s">
        <v>149</v>
      </c>
      <c r="J5824" s="31" t="n">
        <v>5</v>
      </c>
      <c r="K5824" s="31" t="s">
        <v>150</v>
      </c>
      <c r="L5824" s="45" t="n">
        <f aca="false">DATE(YEAR(B5824),MONTH(B5824),1)</f>
        <v>46266</v>
      </c>
      <c r="M5824" s="31" t="n">
        <f aca="false">WEEKDAY(B5824,2)</f>
        <v>4</v>
      </c>
      <c r="N5824" s="31" t="str">
        <f aca="false">IF(G5824&lt;=INDEX(Assumptions!$B$15:$B$18,MATCH(E5824,Assumptions!$A$15:$A$18,0)),"Yes","No")</f>
        <v>No</v>
      </c>
      <c r="O5824" s="31" t="str">
        <f aca="false">IF(H5824="","Open",IF(H5824&lt;=INDEX(Assumptions!$C$15:$C$18,MATCH(E5824,Assumptions!$A$15:$A$18,0)),"Yes","No"))</f>
        <v>Yes</v>
      </c>
    </row>
    <row r="5825" customFormat="false" ht="15" hidden="false" customHeight="false" outlineLevel="0" collapsed="false">
      <c r="A5825" s="31" t="s">
        <v>5975</v>
      </c>
      <c r="B5825" s="44" t="n">
        <v>46282</v>
      </c>
      <c r="C5825" s="31" t="s">
        <v>59</v>
      </c>
      <c r="D5825" s="31" t="s">
        <v>67</v>
      </c>
      <c r="E5825" s="31" t="s">
        <v>51</v>
      </c>
      <c r="F5825" s="31" t="s">
        <v>135</v>
      </c>
      <c r="G5825" s="31" t="n">
        <v>52</v>
      </c>
      <c r="H5825" s="41" t="n">
        <v>10.8</v>
      </c>
      <c r="I5825" s="31" t="s">
        <v>149</v>
      </c>
      <c r="J5825" s="31" t="n">
        <v>3</v>
      </c>
      <c r="K5825" s="31" t="s">
        <v>150</v>
      </c>
      <c r="L5825" s="45" t="n">
        <f aca="false">DATE(YEAR(B5825),MONTH(B5825),1)</f>
        <v>46266</v>
      </c>
      <c r="M5825" s="31" t="n">
        <f aca="false">WEEKDAY(B5825,2)</f>
        <v>4</v>
      </c>
      <c r="N5825" s="31" t="str">
        <f aca="false">IF(G5825&lt;=INDEX(Assumptions!$B$15:$B$18,MATCH(E5825,Assumptions!$A$15:$A$18,0)),"Yes","No")</f>
        <v>Yes</v>
      </c>
      <c r="O5825" s="31" t="str">
        <f aca="false">IF(H5825="","Open",IF(H5825&lt;=INDEX(Assumptions!$C$15:$C$18,MATCH(E5825,Assumptions!$A$15:$A$18,0)),"Yes","No"))</f>
        <v>Yes</v>
      </c>
    </row>
    <row r="5826" customFormat="false" ht="15" hidden="false" customHeight="false" outlineLevel="0" collapsed="false">
      <c r="A5826" s="31" t="s">
        <v>5976</v>
      </c>
      <c r="B5826" s="44" t="n">
        <v>46282</v>
      </c>
      <c r="C5826" s="31" t="s">
        <v>59</v>
      </c>
      <c r="D5826" s="31" t="s">
        <v>68</v>
      </c>
      <c r="E5826" s="31" t="s">
        <v>50</v>
      </c>
      <c r="F5826" s="31" t="s">
        <v>130</v>
      </c>
      <c r="G5826" s="31" t="n">
        <v>259</v>
      </c>
      <c r="H5826" s="41" t="n">
        <v>2.4</v>
      </c>
      <c r="I5826" s="31" t="s">
        <v>149</v>
      </c>
      <c r="J5826" s="31" t="n">
        <v>5</v>
      </c>
      <c r="K5826" s="31" t="s">
        <v>150</v>
      </c>
      <c r="L5826" s="45" t="n">
        <f aca="false">DATE(YEAR(B5826),MONTH(B5826),1)</f>
        <v>46266</v>
      </c>
      <c r="M5826" s="31" t="n">
        <f aca="false">WEEKDAY(B5826,2)</f>
        <v>4</v>
      </c>
      <c r="N5826" s="31" t="str">
        <f aca="false">IF(G5826&lt;=INDEX(Assumptions!$B$15:$B$18,MATCH(E5826,Assumptions!$A$15:$A$18,0)),"Yes","No")</f>
        <v>No</v>
      </c>
      <c r="O5826" s="31" t="str">
        <f aca="false">IF(H5826="","Open",IF(H5826&lt;=INDEX(Assumptions!$C$15:$C$18,MATCH(E5826,Assumptions!$A$15:$A$18,0)),"Yes","No"))</f>
        <v>Yes</v>
      </c>
    </row>
    <row r="5827" customFormat="false" ht="15" hidden="false" customHeight="false" outlineLevel="0" collapsed="false">
      <c r="A5827" s="31" t="s">
        <v>5977</v>
      </c>
      <c r="B5827" s="44" t="n">
        <v>46282</v>
      </c>
      <c r="C5827" s="31" t="s">
        <v>57</v>
      </c>
      <c r="D5827" s="31" t="s">
        <v>66</v>
      </c>
      <c r="E5827" s="31" t="s">
        <v>51</v>
      </c>
      <c r="F5827" s="31" t="s">
        <v>120</v>
      </c>
      <c r="G5827" s="31" t="n">
        <v>2</v>
      </c>
      <c r="H5827" s="41" t="n">
        <v>7.2</v>
      </c>
      <c r="I5827" s="31" t="s">
        <v>149</v>
      </c>
      <c r="J5827" s="31"/>
      <c r="K5827" s="31" t="s">
        <v>150</v>
      </c>
      <c r="L5827" s="45" t="n">
        <f aca="false">DATE(YEAR(B5827),MONTH(B5827),1)</f>
        <v>46266</v>
      </c>
      <c r="M5827" s="31" t="n">
        <f aca="false">WEEKDAY(B5827,2)</f>
        <v>4</v>
      </c>
      <c r="N5827" s="31" t="str">
        <f aca="false">IF(G5827&lt;=INDEX(Assumptions!$B$15:$B$18,MATCH(E5827,Assumptions!$A$15:$A$18,0)),"Yes","No")</f>
        <v>Yes</v>
      </c>
      <c r="O5827" s="31" t="str">
        <f aca="false">IF(H5827="","Open",IF(H5827&lt;=INDEX(Assumptions!$C$15:$C$18,MATCH(E5827,Assumptions!$A$15:$A$18,0)),"Yes","No"))</f>
        <v>Yes</v>
      </c>
    </row>
    <row r="5828" customFormat="false" ht="15" hidden="false" customHeight="false" outlineLevel="0" collapsed="false">
      <c r="A5828" s="31" t="s">
        <v>5978</v>
      </c>
      <c r="B5828" s="44" t="n">
        <v>46282</v>
      </c>
      <c r="C5828" s="31" t="s">
        <v>58</v>
      </c>
      <c r="D5828" s="31" t="s">
        <v>68</v>
      </c>
      <c r="E5828" s="31" t="s">
        <v>52</v>
      </c>
      <c r="F5828" s="31" t="s">
        <v>137</v>
      </c>
      <c r="G5828" s="31" t="n">
        <v>7</v>
      </c>
      <c r="H5828" s="41" t="n">
        <v>7.1</v>
      </c>
      <c r="I5828" s="31" t="s">
        <v>149</v>
      </c>
      <c r="J5828" s="31" t="n">
        <v>4</v>
      </c>
      <c r="K5828" s="31" t="s">
        <v>150</v>
      </c>
      <c r="L5828" s="45" t="n">
        <f aca="false">DATE(YEAR(B5828),MONTH(B5828),1)</f>
        <v>46266</v>
      </c>
      <c r="M5828" s="31" t="n">
        <f aca="false">WEEKDAY(B5828,2)</f>
        <v>4</v>
      </c>
      <c r="N5828" s="31" t="str">
        <f aca="false">IF(G5828&lt;=INDEX(Assumptions!$B$15:$B$18,MATCH(E5828,Assumptions!$A$15:$A$18,0)),"Yes","No")</f>
        <v>Yes</v>
      </c>
      <c r="O5828" s="31" t="str">
        <f aca="false">IF(H5828="","Open",IF(H5828&lt;=INDEX(Assumptions!$C$15:$C$18,MATCH(E5828,Assumptions!$A$15:$A$18,0)),"Yes","No"))</f>
        <v>Yes</v>
      </c>
    </row>
    <row r="5829" customFormat="false" ht="15" hidden="false" customHeight="false" outlineLevel="0" collapsed="false">
      <c r="A5829" s="31" t="s">
        <v>5979</v>
      </c>
      <c r="B5829" s="44" t="n">
        <v>46282</v>
      </c>
      <c r="C5829" s="31" t="s">
        <v>57</v>
      </c>
      <c r="D5829" s="31" t="s">
        <v>65</v>
      </c>
      <c r="E5829" s="31" t="s">
        <v>50</v>
      </c>
      <c r="F5829" s="31" t="s">
        <v>122</v>
      </c>
      <c r="G5829" s="31" t="n">
        <v>2</v>
      </c>
      <c r="H5829" s="41" t="n">
        <v>8.8</v>
      </c>
      <c r="I5829" s="31" t="s">
        <v>149</v>
      </c>
      <c r="J5829" s="31" t="n">
        <v>4</v>
      </c>
      <c r="K5829" s="31" t="s">
        <v>150</v>
      </c>
      <c r="L5829" s="45" t="n">
        <f aca="false">DATE(YEAR(B5829),MONTH(B5829),1)</f>
        <v>46266</v>
      </c>
      <c r="M5829" s="31" t="n">
        <f aca="false">WEEKDAY(B5829,2)</f>
        <v>4</v>
      </c>
      <c r="N5829" s="31" t="str">
        <f aca="false">IF(G5829&lt;=INDEX(Assumptions!$B$15:$B$18,MATCH(E5829,Assumptions!$A$15:$A$18,0)),"Yes","No")</f>
        <v>Yes</v>
      </c>
      <c r="O5829" s="31" t="str">
        <f aca="false">IF(H5829="","Open",IF(H5829&lt;=INDEX(Assumptions!$C$15:$C$18,MATCH(E5829,Assumptions!$A$15:$A$18,0)),"Yes","No"))</f>
        <v>No</v>
      </c>
    </row>
    <row r="5830" customFormat="false" ht="15" hidden="false" customHeight="false" outlineLevel="0" collapsed="false">
      <c r="A5830" s="31" t="s">
        <v>5980</v>
      </c>
      <c r="B5830" s="44" t="n">
        <v>46282</v>
      </c>
      <c r="C5830" s="31" t="s">
        <v>58</v>
      </c>
      <c r="D5830" s="31" t="s">
        <v>66</v>
      </c>
      <c r="E5830" s="31" t="s">
        <v>51</v>
      </c>
      <c r="F5830" s="31" t="s">
        <v>128</v>
      </c>
      <c r="G5830" s="31" t="n">
        <v>16</v>
      </c>
      <c r="H5830" s="41" t="n">
        <v>4.2</v>
      </c>
      <c r="I5830" s="31" t="s">
        <v>149</v>
      </c>
      <c r="J5830" s="31" t="n">
        <v>4</v>
      </c>
      <c r="K5830" s="31" t="s">
        <v>150</v>
      </c>
      <c r="L5830" s="45" t="n">
        <f aca="false">DATE(YEAR(B5830),MONTH(B5830),1)</f>
        <v>46266</v>
      </c>
      <c r="M5830" s="31" t="n">
        <f aca="false">WEEKDAY(B5830,2)</f>
        <v>4</v>
      </c>
      <c r="N5830" s="31" t="str">
        <f aca="false">IF(G5830&lt;=INDEX(Assumptions!$B$15:$B$18,MATCH(E5830,Assumptions!$A$15:$A$18,0)),"Yes","No")</f>
        <v>Yes</v>
      </c>
      <c r="O5830" s="31" t="str">
        <f aca="false">IF(H5830="","Open",IF(H5830&lt;=INDEX(Assumptions!$C$15:$C$18,MATCH(E5830,Assumptions!$A$15:$A$18,0)),"Yes","No"))</f>
        <v>Yes</v>
      </c>
    </row>
    <row r="5831" customFormat="false" ht="15" hidden="false" customHeight="false" outlineLevel="0" collapsed="false">
      <c r="A5831" s="31" t="s">
        <v>5981</v>
      </c>
      <c r="B5831" s="44" t="n">
        <v>46282</v>
      </c>
      <c r="C5831" s="31" t="s">
        <v>59</v>
      </c>
      <c r="D5831" s="31" t="s">
        <v>67</v>
      </c>
      <c r="E5831" s="31" t="s">
        <v>50</v>
      </c>
      <c r="F5831" s="31" t="s">
        <v>121</v>
      </c>
      <c r="G5831" s="31" t="n">
        <v>28</v>
      </c>
      <c r="H5831" s="41" t="n">
        <v>17.2</v>
      </c>
      <c r="I5831" s="31" t="s">
        <v>149</v>
      </c>
      <c r="J5831" s="31" t="n">
        <v>4</v>
      </c>
      <c r="K5831" s="31" t="s">
        <v>150</v>
      </c>
      <c r="L5831" s="45" t="n">
        <f aca="false">DATE(YEAR(B5831),MONTH(B5831),1)</f>
        <v>46266</v>
      </c>
      <c r="M5831" s="31" t="n">
        <f aca="false">WEEKDAY(B5831,2)</f>
        <v>4</v>
      </c>
      <c r="N5831" s="31" t="str">
        <f aca="false">IF(G5831&lt;=INDEX(Assumptions!$B$15:$B$18,MATCH(E5831,Assumptions!$A$15:$A$18,0)),"Yes","No")</f>
        <v>Yes</v>
      </c>
      <c r="O5831" s="31" t="str">
        <f aca="false">IF(H5831="","Open",IF(H5831&lt;=INDEX(Assumptions!$C$15:$C$18,MATCH(E5831,Assumptions!$A$15:$A$18,0)),"Yes","No"))</f>
        <v>No</v>
      </c>
    </row>
    <row r="5832" customFormat="false" ht="15" hidden="false" customHeight="false" outlineLevel="0" collapsed="false">
      <c r="A5832" s="31" t="s">
        <v>5982</v>
      </c>
      <c r="B5832" s="44" t="n">
        <v>46282</v>
      </c>
      <c r="C5832" s="31" t="s">
        <v>60</v>
      </c>
      <c r="D5832" s="31" t="s">
        <v>67</v>
      </c>
      <c r="E5832" s="31" t="s">
        <v>52</v>
      </c>
      <c r="F5832" s="31" t="s">
        <v>129</v>
      </c>
      <c r="G5832" s="31" t="n">
        <v>3</v>
      </c>
      <c r="H5832" s="41" t="n">
        <v>28.9</v>
      </c>
      <c r="I5832" s="31" t="s">
        <v>149</v>
      </c>
      <c r="J5832" s="31" t="n">
        <v>5</v>
      </c>
      <c r="K5832" s="31" t="s">
        <v>150</v>
      </c>
      <c r="L5832" s="45" t="n">
        <f aca="false">DATE(YEAR(B5832),MONTH(B5832),1)</f>
        <v>46266</v>
      </c>
      <c r="M5832" s="31" t="n">
        <f aca="false">WEEKDAY(B5832,2)</f>
        <v>4</v>
      </c>
      <c r="N5832" s="31" t="str">
        <f aca="false">IF(G5832&lt;=INDEX(Assumptions!$B$15:$B$18,MATCH(E5832,Assumptions!$A$15:$A$18,0)),"Yes","No")</f>
        <v>Yes</v>
      </c>
      <c r="O5832" s="31" t="str">
        <f aca="false">IF(H5832="","Open",IF(H5832&lt;=INDEX(Assumptions!$C$15:$C$18,MATCH(E5832,Assumptions!$A$15:$A$18,0)),"Yes","No"))</f>
        <v>Yes</v>
      </c>
    </row>
    <row r="5833" customFormat="false" ht="15" hidden="false" customHeight="false" outlineLevel="0" collapsed="false">
      <c r="A5833" s="31" t="s">
        <v>5983</v>
      </c>
      <c r="B5833" s="44" t="n">
        <v>46282</v>
      </c>
      <c r="C5833" s="31" t="s">
        <v>60</v>
      </c>
      <c r="D5833" s="31" t="s">
        <v>65</v>
      </c>
      <c r="E5833" s="31" t="s">
        <v>51</v>
      </c>
      <c r="F5833" s="31" t="s">
        <v>130</v>
      </c>
      <c r="G5833" s="31" t="n">
        <v>2</v>
      </c>
      <c r="H5833" s="41" t="n">
        <v>2.4</v>
      </c>
      <c r="I5833" s="31" t="s">
        <v>149</v>
      </c>
      <c r="J5833" s="31" t="n">
        <v>4</v>
      </c>
      <c r="K5833" s="31" t="s">
        <v>150</v>
      </c>
      <c r="L5833" s="45" t="n">
        <f aca="false">DATE(YEAR(B5833),MONTH(B5833),1)</f>
        <v>46266</v>
      </c>
      <c r="M5833" s="31" t="n">
        <f aca="false">WEEKDAY(B5833,2)</f>
        <v>4</v>
      </c>
      <c r="N5833" s="31" t="str">
        <f aca="false">IF(G5833&lt;=INDEX(Assumptions!$B$15:$B$18,MATCH(E5833,Assumptions!$A$15:$A$18,0)),"Yes","No")</f>
        <v>Yes</v>
      </c>
      <c r="O5833" s="31" t="str">
        <f aca="false">IF(H5833="","Open",IF(H5833&lt;=INDEX(Assumptions!$C$15:$C$18,MATCH(E5833,Assumptions!$A$15:$A$18,0)),"Yes","No"))</f>
        <v>Yes</v>
      </c>
    </row>
    <row r="5834" customFormat="false" ht="15" hidden="false" customHeight="false" outlineLevel="0" collapsed="false">
      <c r="A5834" s="31" t="s">
        <v>5984</v>
      </c>
      <c r="B5834" s="44" t="n">
        <v>46282</v>
      </c>
      <c r="C5834" s="31" t="s">
        <v>60</v>
      </c>
      <c r="D5834" s="31" t="s">
        <v>65</v>
      </c>
      <c r="E5834" s="31" t="s">
        <v>51</v>
      </c>
      <c r="F5834" s="31" t="s">
        <v>120</v>
      </c>
      <c r="G5834" s="31" t="n">
        <v>3</v>
      </c>
      <c r="H5834" s="41" t="n">
        <v>1.9</v>
      </c>
      <c r="I5834" s="31" t="s">
        <v>149</v>
      </c>
      <c r="J5834" s="31"/>
      <c r="K5834" s="31" t="s">
        <v>150</v>
      </c>
      <c r="L5834" s="45" t="n">
        <f aca="false">DATE(YEAR(B5834),MONTH(B5834),1)</f>
        <v>46266</v>
      </c>
      <c r="M5834" s="31" t="n">
        <f aca="false">WEEKDAY(B5834,2)</f>
        <v>4</v>
      </c>
      <c r="N5834" s="31" t="str">
        <f aca="false">IF(G5834&lt;=INDEX(Assumptions!$B$15:$B$18,MATCH(E5834,Assumptions!$A$15:$A$18,0)),"Yes","No")</f>
        <v>Yes</v>
      </c>
      <c r="O5834" s="31" t="str">
        <f aca="false">IF(H5834="","Open",IF(H5834&lt;=INDEX(Assumptions!$C$15:$C$18,MATCH(E5834,Assumptions!$A$15:$A$18,0)),"Yes","No"))</f>
        <v>Yes</v>
      </c>
    </row>
    <row r="5835" customFormat="false" ht="15" hidden="false" customHeight="false" outlineLevel="0" collapsed="false">
      <c r="A5835" s="31" t="s">
        <v>5985</v>
      </c>
      <c r="B5835" s="44" t="n">
        <v>46282</v>
      </c>
      <c r="C5835" s="31" t="s">
        <v>60</v>
      </c>
      <c r="D5835" s="31" t="s">
        <v>65</v>
      </c>
      <c r="E5835" s="31" t="s">
        <v>52</v>
      </c>
      <c r="F5835" s="31" t="s">
        <v>134</v>
      </c>
      <c r="G5835" s="31" t="n">
        <v>8</v>
      </c>
      <c r="H5835" s="41" t="n">
        <v>28.1</v>
      </c>
      <c r="I5835" s="31" t="s">
        <v>149</v>
      </c>
      <c r="J5835" s="31"/>
      <c r="K5835" s="31" t="s">
        <v>150</v>
      </c>
      <c r="L5835" s="45" t="n">
        <f aca="false">DATE(YEAR(B5835),MONTH(B5835),1)</f>
        <v>46266</v>
      </c>
      <c r="M5835" s="31" t="n">
        <f aca="false">WEEKDAY(B5835,2)</f>
        <v>4</v>
      </c>
      <c r="N5835" s="31" t="str">
        <f aca="false">IF(G5835&lt;=INDEX(Assumptions!$B$15:$B$18,MATCH(E5835,Assumptions!$A$15:$A$18,0)),"Yes","No")</f>
        <v>Yes</v>
      </c>
      <c r="O5835" s="31" t="str">
        <f aca="false">IF(H5835="","Open",IF(H5835&lt;=INDEX(Assumptions!$C$15:$C$18,MATCH(E5835,Assumptions!$A$15:$A$18,0)),"Yes","No"))</f>
        <v>Yes</v>
      </c>
    </row>
    <row r="5836" customFormat="false" ht="15" hidden="false" customHeight="false" outlineLevel="0" collapsed="false">
      <c r="A5836" s="31" t="s">
        <v>5986</v>
      </c>
      <c r="B5836" s="44" t="n">
        <v>46282</v>
      </c>
      <c r="C5836" s="31" t="s">
        <v>57</v>
      </c>
      <c r="D5836" s="31" t="s">
        <v>67</v>
      </c>
      <c r="E5836" s="31" t="s">
        <v>49</v>
      </c>
      <c r="F5836" s="31" t="s">
        <v>120</v>
      </c>
      <c r="G5836" s="31" t="n">
        <v>4</v>
      </c>
      <c r="H5836" s="41"/>
      <c r="I5836" s="31" t="s">
        <v>158</v>
      </c>
      <c r="J5836" s="31"/>
      <c r="K5836" s="31" t="s">
        <v>150</v>
      </c>
      <c r="L5836" s="45" t="n">
        <f aca="false">DATE(YEAR(B5836),MONTH(B5836),1)</f>
        <v>46266</v>
      </c>
      <c r="M5836" s="31" t="n">
        <f aca="false">WEEKDAY(B5836,2)</f>
        <v>4</v>
      </c>
      <c r="N5836" s="31" t="str">
        <f aca="false">IF(G5836&lt;=INDEX(Assumptions!$B$15:$B$18,MATCH(E5836,Assumptions!$A$15:$A$18,0)),"Yes","No")</f>
        <v>Yes</v>
      </c>
      <c r="O5836" s="31" t="str">
        <f aca="false">IF(H5836="","Open",IF(H5836&lt;=INDEX(Assumptions!$C$15:$C$18,MATCH(E5836,Assumptions!$A$15:$A$18,0)),"Yes","No"))</f>
        <v>Open</v>
      </c>
    </row>
    <row r="5837" customFormat="false" ht="15" hidden="false" customHeight="false" outlineLevel="0" collapsed="false">
      <c r="A5837" s="31" t="s">
        <v>5987</v>
      </c>
      <c r="B5837" s="44" t="n">
        <v>46282</v>
      </c>
      <c r="C5837" s="31" t="s">
        <v>58</v>
      </c>
      <c r="D5837" s="31" t="s">
        <v>69</v>
      </c>
      <c r="E5837" s="31" t="s">
        <v>51</v>
      </c>
      <c r="F5837" s="31" t="s">
        <v>137</v>
      </c>
      <c r="G5837" s="31" t="n">
        <v>9</v>
      </c>
      <c r="H5837" s="41" t="n">
        <v>24.9</v>
      </c>
      <c r="I5837" s="31" t="s">
        <v>149</v>
      </c>
      <c r="J5837" s="31" t="n">
        <v>4</v>
      </c>
      <c r="K5837" s="31" t="s">
        <v>150</v>
      </c>
      <c r="L5837" s="45" t="n">
        <f aca="false">DATE(YEAR(B5837),MONTH(B5837),1)</f>
        <v>46266</v>
      </c>
      <c r="M5837" s="31" t="n">
        <f aca="false">WEEKDAY(B5837,2)</f>
        <v>4</v>
      </c>
      <c r="N5837" s="31" t="str">
        <f aca="false">IF(G5837&lt;=INDEX(Assumptions!$B$15:$B$18,MATCH(E5837,Assumptions!$A$15:$A$18,0)),"Yes","No")</f>
        <v>Yes</v>
      </c>
      <c r="O5837" s="31" t="str">
        <f aca="false">IF(H5837="","Open",IF(H5837&lt;=INDEX(Assumptions!$C$15:$C$18,MATCH(E5837,Assumptions!$A$15:$A$18,0)),"Yes","No"))</f>
        <v>No</v>
      </c>
    </row>
    <row r="5838" customFormat="false" ht="15" hidden="false" customHeight="false" outlineLevel="0" collapsed="false">
      <c r="A5838" s="31" t="s">
        <v>5988</v>
      </c>
      <c r="B5838" s="44" t="n">
        <v>46282</v>
      </c>
      <c r="C5838" s="31" t="s">
        <v>58</v>
      </c>
      <c r="D5838" s="31" t="s">
        <v>67</v>
      </c>
      <c r="E5838" s="31" t="s">
        <v>52</v>
      </c>
      <c r="F5838" s="31" t="s">
        <v>130</v>
      </c>
      <c r="G5838" s="31" t="n">
        <v>13</v>
      </c>
      <c r="H5838" s="41" t="n">
        <v>6.1</v>
      </c>
      <c r="I5838" s="31" t="s">
        <v>149</v>
      </c>
      <c r="J5838" s="31" t="n">
        <v>5</v>
      </c>
      <c r="K5838" s="31" t="s">
        <v>150</v>
      </c>
      <c r="L5838" s="45" t="n">
        <f aca="false">DATE(YEAR(B5838),MONTH(B5838),1)</f>
        <v>46266</v>
      </c>
      <c r="M5838" s="31" t="n">
        <f aca="false">WEEKDAY(B5838,2)</f>
        <v>4</v>
      </c>
      <c r="N5838" s="31" t="str">
        <f aca="false">IF(G5838&lt;=INDEX(Assumptions!$B$15:$B$18,MATCH(E5838,Assumptions!$A$15:$A$18,0)),"Yes","No")</f>
        <v>Yes</v>
      </c>
      <c r="O5838" s="31" t="str">
        <f aca="false">IF(H5838="","Open",IF(H5838&lt;=INDEX(Assumptions!$C$15:$C$18,MATCH(E5838,Assumptions!$A$15:$A$18,0)),"Yes","No"))</f>
        <v>Yes</v>
      </c>
    </row>
    <row r="5839" customFormat="false" ht="15" hidden="false" customHeight="false" outlineLevel="0" collapsed="false">
      <c r="A5839" s="31" t="s">
        <v>5989</v>
      </c>
      <c r="B5839" s="44" t="n">
        <v>46282</v>
      </c>
      <c r="C5839" s="31" t="s">
        <v>57</v>
      </c>
      <c r="D5839" s="31" t="s">
        <v>67</v>
      </c>
      <c r="E5839" s="31" t="s">
        <v>51</v>
      </c>
      <c r="F5839" s="31" t="s">
        <v>119</v>
      </c>
      <c r="G5839" s="31" t="n">
        <v>2</v>
      </c>
      <c r="H5839" s="41" t="n">
        <v>13.3</v>
      </c>
      <c r="I5839" s="31" t="s">
        <v>149</v>
      </c>
      <c r="J5839" s="31"/>
      <c r="K5839" s="31" t="s">
        <v>150</v>
      </c>
      <c r="L5839" s="45" t="n">
        <f aca="false">DATE(YEAR(B5839),MONTH(B5839),1)</f>
        <v>46266</v>
      </c>
      <c r="M5839" s="31" t="n">
        <f aca="false">WEEKDAY(B5839,2)</f>
        <v>4</v>
      </c>
      <c r="N5839" s="31" t="str">
        <f aca="false">IF(G5839&lt;=INDEX(Assumptions!$B$15:$B$18,MATCH(E5839,Assumptions!$A$15:$A$18,0)),"Yes","No")</f>
        <v>Yes</v>
      </c>
      <c r="O5839" s="31" t="str">
        <f aca="false">IF(H5839="","Open",IF(H5839&lt;=INDEX(Assumptions!$C$15:$C$18,MATCH(E5839,Assumptions!$A$15:$A$18,0)),"Yes","No"))</f>
        <v>Yes</v>
      </c>
    </row>
    <row r="5840" customFormat="false" ht="15" hidden="false" customHeight="false" outlineLevel="0" collapsed="false">
      <c r="A5840" s="31" t="s">
        <v>5990</v>
      </c>
      <c r="B5840" s="44" t="n">
        <v>46282</v>
      </c>
      <c r="C5840" s="31" t="s">
        <v>59</v>
      </c>
      <c r="D5840" s="31" t="s">
        <v>65</v>
      </c>
      <c r="E5840" s="31" t="s">
        <v>51</v>
      </c>
      <c r="F5840" s="31" t="s">
        <v>122</v>
      </c>
      <c r="G5840" s="31" t="n">
        <v>57</v>
      </c>
      <c r="H5840" s="41" t="n">
        <v>29.9</v>
      </c>
      <c r="I5840" s="31" t="s">
        <v>149</v>
      </c>
      <c r="J5840" s="31"/>
      <c r="K5840" s="31" t="s">
        <v>153</v>
      </c>
      <c r="L5840" s="45" t="n">
        <f aca="false">DATE(YEAR(B5840),MONTH(B5840),1)</f>
        <v>46266</v>
      </c>
      <c r="M5840" s="31" t="n">
        <f aca="false">WEEKDAY(B5840,2)</f>
        <v>4</v>
      </c>
      <c r="N5840" s="31" t="str">
        <f aca="false">IF(G5840&lt;=INDEX(Assumptions!$B$15:$B$18,MATCH(E5840,Assumptions!$A$15:$A$18,0)),"Yes","No")</f>
        <v>Yes</v>
      </c>
      <c r="O5840" s="31" t="str">
        <f aca="false">IF(H5840="","Open",IF(H5840&lt;=INDEX(Assumptions!$C$15:$C$18,MATCH(E5840,Assumptions!$A$15:$A$18,0)),"Yes","No"))</f>
        <v>No</v>
      </c>
    </row>
    <row r="5841" customFormat="false" ht="15" hidden="false" customHeight="false" outlineLevel="0" collapsed="false">
      <c r="A5841" s="31" t="s">
        <v>5991</v>
      </c>
      <c r="B5841" s="44" t="n">
        <v>46282</v>
      </c>
      <c r="C5841" s="31" t="s">
        <v>60</v>
      </c>
      <c r="D5841" s="31" t="s">
        <v>69</v>
      </c>
      <c r="E5841" s="31" t="s">
        <v>51</v>
      </c>
      <c r="F5841" s="31" t="s">
        <v>131</v>
      </c>
      <c r="G5841" s="31" t="n">
        <v>3</v>
      </c>
      <c r="H5841" s="41" t="n">
        <v>26.8</v>
      </c>
      <c r="I5841" s="31" t="s">
        <v>149</v>
      </c>
      <c r="J5841" s="31" t="n">
        <v>5</v>
      </c>
      <c r="K5841" s="31" t="s">
        <v>150</v>
      </c>
      <c r="L5841" s="45" t="n">
        <f aca="false">DATE(YEAR(B5841),MONTH(B5841),1)</f>
        <v>46266</v>
      </c>
      <c r="M5841" s="31" t="n">
        <f aca="false">WEEKDAY(B5841,2)</f>
        <v>4</v>
      </c>
      <c r="N5841" s="31" t="str">
        <f aca="false">IF(G5841&lt;=INDEX(Assumptions!$B$15:$B$18,MATCH(E5841,Assumptions!$A$15:$A$18,0)),"Yes","No")</f>
        <v>Yes</v>
      </c>
      <c r="O5841" s="31" t="str">
        <f aca="false">IF(H5841="","Open",IF(H5841&lt;=INDEX(Assumptions!$C$15:$C$18,MATCH(E5841,Assumptions!$A$15:$A$18,0)),"Yes","No"))</f>
        <v>No</v>
      </c>
    </row>
    <row r="5842" customFormat="false" ht="15" hidden="false" customHeight="false" outlineLevel="0" collapsed="false">
      <c r="A5842" s="31" t="s">
        <v>5992</v>
      </c>
      <c r="B5842" s="44" t="n">
        <v>46282</v>
      </c>
      <c r="C5842" s="31" t="s">
        <v>60</v>
      </c>
      <c r="D5842" s="31" t="s">
        <v>67</v>
      </c>
      <c r="E5842" s="31" t="s">
        <v>52</v>
      </c>
      <c r="F5842" s="31" t="s">
        <v>135</v>
      </c>
      <c r="G5842" s="31" t="n">
        <v>6</v>
      </c>
      <c r="H5842" s="41" t="n">
        <v>28.8</v>
      </c>
      <c r="I5842" s="31" t="s">
        <v>149</v>
      </c>
      <c r="J5842" s="31" t="n">
        <v>4</v>
      </c>
      <c r="K5842" s="31" t="s">
        <v>150</v>
      </c>
      <c r="L5842" s="45" t="n">
        <f aca="false">DATE(YEAR(B5842),MONTH(B5842),1)</f>
        <v>46266</v>
      </c>
      <c r="M5842" s="31" t="n">
        <f aca="false">WEEKDAY(B5842,2)</f>
        <v>4</v>
      </c>
      <c r="N5842" s="31" t="str">
        <f aca="false">IF(G5842&lt;=INDEX(Assumptions!$B$15:$B$18,MATCH(E5842,Assumptions!$A$15:$A$18,0)),"Yes","No")</f>
        <v>Yes</v>
      </c>
      <c r="O5842" s="31" t="str">
        <f aca="false">IF(H5842="","Open",IF(H5842&lt;=INDEX(Assumptions!$C$15:$C$18,MATCH(E5842,Assumptions!$A$15:$A$18,0)),"Yes","No"))</f>
        <v>Yes</v>
      </c>
    </row>
    <row r="5843" customFormat="false" ht="15" hidden="false" customHeight="false" outlineLevel="0" collapsed="false">
      <c r="A5843" s="31" t="s">
        <v>5993</v>
      </c>
      <c r="B5843" s="44" t="n">
        <v>46282</v>
      </c>
      <c r="C5843" s="31" t="s">
        <v>57</v>
      </c>
      <c r="D5843" s="31" t="s">
        <v>65</v>
      </c>
      <c r="E5843" s="31" t="s">
        <v>50</v>
      </c>
      <c r="F5843" s="31" t="s">
        <v>126</v>
      </c>
      <c r="G5843" s="31" t="n">
        <v>1</v>
      </c>
      <c r="H5843" s="41" t="n">
        <v>1.4</v>
      </c>
      <c r="I5843" s="31" t="s">
        <v>149</v>
      </c>
      <c r="J5843" s="31" t="n">
        <v>4</v>
      </c>
      <c r="K5843" s="31" t="s">
        <v>150</v>
      </c>
      <c r="L5843" s="45" t="n">
        <f aca="false">DATE(YEAR(B5843),MONTH(B5843),1)</f>
        <v>46266</v>
      </c>
      <c r="M5843" s="31" t="n">
        <f aca="false">WEEKDAY(B5843,2)</f>
        <v>4</v>
      </c>
      <c r="N5843" s="31" t="str">
        <f aca="false">IF(G5843&lt;=INDEX(Assumptions!$B$15:$B$18,MATCH(E5843,Assumptions!$A$15:$A$18,0)),"Yes","No")</f>
        <v>Yes</v>
      </c>
      <c r="O5843" s="31" t="str">
        <f aca="false">IF(H5843="","Open",IF(H5843&lt;=INDEX(Assumptions!$C$15:$C$18,MATCH(E5843,Assumptions!$A$15:$A$18,0)),"Yes","No"))</f>
        <v>Yes</v>
      </c>
    </row>
    <row r="5844" customFormat="false" ht="15" hidden="false" customHeight="false" outlineLevel="0" collapsed="false">
      <c r="A5844" s="31" t="s">
        <v>5994</v>
      </c>
      <c r="B5844" s="44" t="n">
        <v>46282</v>
      </c>
      <c r="C5844" s="31" t="s">
        <v>59</v>
      </c>
      <c r="D5844" s="31" t="s">
        <v>66</v>
      </c>
      <c r="E5844" s="31" t="s">
        <v>52</v>
      </c>
      <c r="F5844" s="31" t="s">
        <v>122</v>
      </c>
      <c r="G5844" s="31" t="n">
        <v>54</v>
      </c>
      <c r="H5844" s="41" t="n">
        <v>5.6</v>
      </c>
      <c r="I5844" s="31" t="s">
        <v>149</v>
      </c>
      <c r="J5844" s="31" t="n">
        <v>5</v>
      </c>
      <c r="K5844" s="31" t="s">
        <v>150</v>
      </c>
      <c r="L5844" s="45" t="n">
        <f aca="false">DATE(YEAR(B5844),MONTH(B5844),1)</f>
        <v>46266</v>
      </c>
      <c r="M5844" s="31" t="n">
        <f aca="false">WEEKDAY(B5844,2)</f>
        <v>4</v>
      </c>
      <c r="N5844" s="31" t="str">
        <f aca="false">IF(G5844&lt;=INDEX(Assumptions!$B$15:$B$18,MATCH(E5844,Assumptions!$A$15:$A$18,0)),"Yes","No")</f>
        <v>Yes</v>
      </c>
      <c r="O5844" s="31" t="str">
        <f aca="false">IF(H5844="","Open",IF(H5844&lt;=INDEX(Assumptions!$C$15:$C$18,MATCH(E5844,Assumptions!$A$15:$A$18,0)),"Yes","No"))</f>
        <v>Yes</v>
      </c>
    </row>
    <row r="5845" customFormat="false" ht="15" hidden="false" customHeight="false" outlineLevel="0" collapsed="false">
      <c r="A5845" s="31" t="s">
        <v>5995</v>
      </c>
      <c r="B5845" s="44" t="n">
        <v>46282</v>
      </c>
      <c r="C5845" s="31" t="s">
        <v>59</v>
      </c>
      <c r="D5845" s="31" t="s">
        <v>69</v>
      </c>
      <c r="E5845" s="31" t="s">
        <v>52</v>
      </c>
      <c r="F5845" s="31" t="s">
        <v>135</v>
      </c>
      <c r="G5845" s="31" t="n">
        <v>97</v>
      </c>
      <c r="H5845" s="41" t="n">
        <v>52.9</v>
      </c>
      <c r="I5845" s="31" t="s">
        <v>149</v>
      </c>
      <c r="J5845" s="31" t="n">
        <v>3</v>
      </c>
      <c r="K5845" s="31" t="s">
        <v>150</v>
      </c>
      <c r="L5845" s="45" t="n">
        <f aca="false">DATE(YEAR(B5845),MONTH(B5845),1)</f>
        <v>46266</v>
      </c>
      <c r="M5845" s="31" t="n">
        <f aca="false">WEEKDAY(B5845,2)</f>
        <v>4</v>
      </c>
      <c r="N5845" s="31" t="str">
        <f aca="false">IF(G5845&lt;=INDEX(Assumptions!$B$15:$B$18,MATCH(E5845,Assumptions!$A$15:$A$18,0)),"Yes","No")</f>
        <v>Yes</v>
      </c>
      <c r="O5845" s="31" t="str">
        <f aca="false">IF(H5845="","Open",IF(H5845&lt;=INDEX(Assumptions!$C$15:$C$18,MATCH(E5845,Assumptions!$A$15:$A$18,0)),"Yes","No"))</f>
        <v>Yes</v>
      </c>
    </row>
    <row r="5846" customFormat="false" ht="15" hidden="false" customHeight="false" outlineLevel="0" collapsed="false">
      <c r="A5846" s="31" t="s">
        <v>5996</v>
      </c>
      <c r="B5846" s="44" t="n">
        <v>46282</v>
      </c>
      <c r="C5846" s="31" t="s">
        <v>59</v>
      </c>
      <c r="D5846" s="31" t="s">
        <v>67</v>
      </c>
      <c r="E5846" s="31" t="s">
        <v>50</v>
      </c>
      <c r="F5846" s="31" t="s">
        <v>126</v>
      </c>
      <c r="G5846" s="31" t="n">
        <v>61</v>
      </c>
      <c r="H5846" s="41" t="n">
        <v>6</v>
      </c>
      <c r="I5846" s="31" t="s">
        <v>149</v>
      </c>
      <c r="J5846" s="31" t="n">
        <v>3</v>
      </c>
      <c r="K5846" s="31" t="s">
        <v>150</v>
      </c>
      <c r="L5846" s="45" t="n">
        <f aca="false">DATE(YEAR(B5846),MONTH(B5846),1)</f>
        <v>46266</v>
      </c>
      <c r="M5846" s="31" t="n">
        <f aca="false">WEEKDAY(B5846,2)</f>
        <v>4</v>
      </c>
      <c r="N5846" s="31" t="str">
        <f aca="false">IF(G5846&lt;=INDEX(Assumptions!$B$15:$B$18,MATCH(E5846,Assumptions!$A$15:$A$18,0)),"Yes","No")</f>
        <v>No</v>
      </c>
      <c r="O5846" s="31" t="str">
        <f aca="false">IF(H5846="","Open",IF(H5846&lt;=INDEX(Assumptions!$C$15:$C$18,MATCH(E5846,Assumptions!$A$15:$A$18,0)),"Yes","No"))</f>
        <v>Yes</v>
      </c>
    </row>
    <row r="5847" customFormat="false" ht="15" hidden="false" customHeight="false" outlineLevel="0" collapsed="false">
      <c r="A5847" s="31" t="s">
        <v>5997</v>
      </c>
      <c r="B5847" s="44" t="n">
        <v>46282</v>
      </c>
      <c r="C5847" s="31" t="s">
        <v>59</v>
      </c>
      <c r="D5847" s="31" t="s">
        <v>65</v>
      </c>
      <c r="E5847" s="31" t="s">
        <v>52</v>
      </c>
      <c r="F5847" s="31" t="s">
        <v>128</v>
      </c>
      <c r="G5847" s="31" t="n">
        <v>57</v>
      </c>
      <c r="H5847" s="41" t="n">
        <v>9.8</v>
      </c>
      <c r="I5847" s="31" t="s">
        <v>149</v>
      </c>
      <c r="J5847" s="31"/>
      <c r="K5847" s="31" t="s">
        <v>150</v>
      </c>
      <c r="L5847" s="45" t="n">
        <f aca="false">DATE(YEAR(B5847),MONTH(B5847),1)</f>
        <v>46266</v>
      </c>
      <c r="M5847" s="31" t="n">
        <f aca="false">WEEKDAY(B5847,2)</f>
        <v>4</v>
      </c>
      <c r="N5847" s="31" t="str">
        <f aca="false">IF(G5847&lt;=INDEX(Assumptions!$B$15:$B$18,MATCH(E5847,Assumptions!$A$15:$A$18,0)),"Yes","No")</f>
        <v>Yes</v>
      </c>
      <c r="O5847" s="31" t="str">
        <f aca="false">IF(H5847="","Open",IF(H5847&lt;=INDEX(Assumptions!$C$15:$C$18,MATCH(E5847,Assumptions!$A$15:$A$18,0)),"Yes","No"))</f>
        <v>Yes</v>
      </c>
    </row>
    <row r="5848" customFormat="false" ht="15" hidden="false" customHeight="false" outlineLevel="0" collapsed="false">
      <c r="A5848" s="31" t="s">
        <v>5998</v>
      </c>
      <c r="B5848" s="44" t="n">
        <v>46282</v>
      </c>
      <c r="C5848" s="31" t="s">
        <v>57</v>
      </c>
      <c r="D5848" s="31" t="s">
        <v>67</v>
      </c>
      <c r="E5848" s="31" t="s">
        <v>51</v>
      </c>
      <c r="F5848" s="31" t="s">
        <v>126</v>
      </c>
      <c r="G5848" s="31" t="n">
        <v>3</v>
      </c>
      <c r="H5848" s="41" t="n">
        <v>2.4</v>
      </c>
      <c r="I5848" s="31" t="s">
        <v>149</v>
      </c>
      <c r="J5848" s="31" t="n">
        <v>4</v>
      </c>
      <c r="K5848" s="31" t="s">
        <v>150</v>
      </c>
      <c r="L5848" s="45" t="n">
        <f aca="false">DATE(YEAR(B5848),MONTH(B5848),1)</f>
        <v>46266</v>
      </c>
      <c r="M5848" s="31" t="n">
        <f aca="false">WEEKDAY(B5848,2)</f>
        <v>4</v>
      </c>
      <c r="N5848" s="31" t="str">
        <f aca="false">IF(G5848&lt;=INDEX(Assumptions!$B$15:$B$18,MATCH(E5848,Assumptions!$A$15:$A$18,0)),"Yes","No")</f>
        <v>Yes</v>
      </c>
      <c r="O5848" s="31" t="str">
        <f aca="false">IF(H5848="","Open",IF(H5848&lt;=INDEX(Assumptions!$C$15:$C$18,MATCH(E5848,Assumptions!$A$15:$A$18,0)),"Yes","No"))</f>
        <v>Yes</v>
      </c>
    </row>
    <row r="5849" customFormat="false" ht="15" hidden="false" customHeight="false" outlineLevel="0" collapsed="false">
      <c r="A5849" s="31" t="s">
        <v>5999</v>
      </c>
      <c r="B5849" s="44" t="n">
        <v>46282</v>
      </c>
      <c r="C5849" s="31" t="s">
        <v>60</v>
      </c>
      <c r="D5849" s="31" t="s">
        <v>66</v>
      </c>
      <c r="E5849" s="31" t="s">
        <v>52</v>
      </c>
      <c r="F5849" s="31" t="s">
        <v>121</v>
      </c>
      <c r="G5849" s="31" t="n">
        <v>4</v>
      </c>
      <c r="H5849" s="41" t="n">
        <v>26.7</v>
      </c>
      <c r="I5849" s="31" t="s">
        <v>149</v>
      </c>
      <c r="J5849" s="31"/>
      <c r="K5849" s="31" t="s">
        <v>150</v>
      </c>
      <c r="L5849" s="45" t="n">
        <f aca="false">DATE(YEAR(B5849),MONTH(B5849),1)</f>
        <v>46266</v>
      </c>
      <c r="M5849" s="31" t="n">
        <f aca="false">WEEKDAY(B5849,2)</f>
        <v>4</v>
      </c>
      <c r="N5849" s="31" t="str">
        <f aca="false">IF(G5849&lt;=INDEX(Assumptions!$B$15:$B$18,MATCH(E5849,Assumptions!$A$15:$A$18,0)),"Yes","No")</f>
        <v>Yes</v>
      </c>
      <c r="O5849" s="31" t="str">
        <f aca="false">IF(H5849="","Open",IF(H5849&lt;=INDEX(Assumptions!$C$15:$C$18,MATCH(E5849,Assumptions!$A$15:$A$18,0)),"Yes","No"))</f>
        <v>Yes</v>
      </c>
    </row>
    <row r="5850" customFormat="false" ht="15" hidden="false" customHeight="false" outlineLevel="0" collapsed="false">
      <c r="A5850" s="31" t="s">
        <v>6000</v>
      </c>
      <c r="B5850" s="44" t="n">
        <v>46282</v>
      </c>
      <c r="C5850" s="31" t="s">
        <v>58</v>
      </c>
      <c r="D5850" s="31" t="s">
        <v>67</v>
      </c>
      <c r="E5850" s="31" t="s">
        <v>51</v>
      </c>
      <c r="F5850" s="31" t="s">
        <v>127</v>
      </c>
      <c r="G5850" s="31" t="n">
        <v>9</v>
      </c>
      <c r="H5850" s="41" t="n">
        <v>28.6</v>
      </c>
      <c r="I5850" s="31" t="s">
        <v>149</v>
      </c>
      <c r="J5850" s="31" t="n">
        <v>4</v>
      </c>
      <c r="K5850" s="31" t="s">
        <v>150</v>
      </c>
      <c r="L5850" s="45" t="n">
        <f aca="false">DATE(YEAR(B5850),MONTH(B5850),1)</f>
        <v>46266</v>
      </c>
      <c r="M5850" s="31" t="n">
        <f aca="false">WEEKDAY(B5850,2)</f>
        <v>4</v>
      </c>
      <c r="N5850" s="31" t="str">
        <f aca="false">IF(G5850&lt;=INDEX(Assumptions!$B$15:$B$18,MATCH(E5850,Assumptions!$A$15:$A$18,0)),"Yes","No")</f>
        <v>Yes</v>
      </c>
      <c r="O5850" s="31" t="str">
        <f aca="false">IF(H5850="","Open",IF(H5850&lt;=INDEX(Assumptions!$C$15:$C$18,MATCH(E5850,Assumptions!$A$15:$A$18,0)),"Yes","No"))</f>
        <v>No</v>
      </c>
    </row>
    <row r="5851" customFormat="false" ht="15" hidden="false" customHeight="false" outlineLevel="0" collapsed="false">
      <c r="A5851" s="31" t="s">
        <v>6001</v>
      </c>
      <c r="B5851" s="44" t="n">
        <v>46282</v>
      </c>
      <c r="C5851" s="31" t="s">
        <v>57</v>
      </c>
      <c r="D5851" s="31" t="s">
        <v>65</v>
      </c>
      <c r="E5851" s="31" t="s">
        <v>52</v>
      </c>
      <c r="F5851" s="31" t="s">
        <v>122</v>
      </c>
      <c r="G5851" s="31" t="n">
        <v>17</v>
      </c>
      <c r="H5851" s="41" t="n">
        <v>13.6</v>
      </c>
      <c r="I5851" s="31" t="s">
        <v>149</v>
      </c>
      <c r="J5851" s="31"/>
      <c r="K5851" s="31" t="s">
        <v>150</v>
      </c>
      <c r="L5851" s="45" t="n">
        <f aca="false">DATE(YEAR(B5851),MONTH(B5851),1)</f>
        <v>46266</v>
      </c>
      <c r="M5851" s="31" t="n">
        <f aca="false">WEEKDAY(B5851,2)</f>
        <v>4</v>
      </c>
      <c r="N5851" s="31" t="str">
        <f aca="false">IF(G5851&lt;=INDEX(Assumptions!$B$15:$B$18,MATCH(E5851,Assumptions!$A$15:$A$18,0)),"Yes","No")</f>
        <v>Yes</v>
      </c>
      <c r="O5851" s="31" t="str">
        <f aca="false">IF(H5851="","Open",IF(H5851&lt;=INDEX(Assumptions!$C$15:$C$18,MATCH(E5851,Assumptions!$A$15:$A$18,0)),"Yes","No"))</f>
        <v>Yes</v>
      </c>
    </row>
    <row r="5852" customFormat="false" ht="15" hidden="false" customHeight="false" outlineLevel="0" collapsed="false">
      <c r="A5852" s="31" t="s">
        <v>6002</v>
      </c>
      <c r="B5852" s="44" t="n">
        <v>46282</v>
      </c>
      <c r="C5852" s="31" t="s">
        <v>57</v>
      </c>
      <c r="D5852" s="31" t="s">
        <v>65</v>
      </c>
      <c r="E5852" s="31" t="s">
        <v>49</v>
      </c>
      <c r="F5852" s="31" t="s">
        <v>121</v>
      </c>
      <c r="G5852" s="31" t="n">
        <v>8</v>
      </c>
      <c r="H5852" s="41" t="n">
        <v>14.4</v>
      </c>
      <c r="I5852" s="31" t="s">
        <v>149</v>
      </c>
      <c r="J5852" s="31"/>
      <c r="K5852" s="31" t="s">
        <v>150</v>
      </c>
      <c r="L5852" s="45" t="n">
        <f aca="false">DATE(YEAR(B5852),MONTH(B5852),1)</f>
        <v>46266</v>
      </c>
      <c r="M5852" s="31" t="n">
        <f aca="false">WEEKDAY(B5852,2)</f>
        <v>4</v>
      </c>
      <c r="N5852" s="31" t="str">
        <f aca="false">IF(G5852&lt;=INDEX(Assumptions!$B$15:$B$18,MATCH(E5852,Assumptions!$A$15:$A$18,0)),"Yes","No")</f>
        <v>Yes</v>
      </c>
      <c r="O5852" s="31" t="str">
        <f aca="false">IF(H5852="","Open",IF(H5852&lt;=INDEX(Assumptions!$C$15:$C$18,MATCH(E5852,Assumptions!$A$15:$A$18,0)),"Yes","No"))</f>
        <v>No</v>
      </c>
    </row>
    <row r="5853" customFormat="false" ht="15" hidden="false" customHeight="false" outlineLevel="0" collapsed="false">
      <c r="A5853" s="31" t="s">
        <v>6003</v>
      </c>
      <c r="B5853" s="44" t="n">
        <v>46282</v>
      </c>
      <c r="C5853" s="31" t="s">
        <v>59</v>
      </c>
      <c r="D5853" s="31" t="s">
        <v>66</v>
      </c>
      <c r="E5853" s="31" t="s">
        <v>51</v>
      </c>
      <c r="F5853" s="31" t="s">
        <v>122</v>
      </c>
      <c r="G5853" s="31" t="n">
        <v>88</v>
      </c>
      <c r="H5853" s="41" t="n">
        <v>1.8</v>
      </c>
      <c r="I5853" s="31" t="s">
        <v>149</v>
      </c>
      <c r="J5853" s="31" t="n">
        <v>4</v>
      </c>
      <c r="K5853" s="31" t="s">
        <v>150</v>
      </c>
      <c r="L5853" s="45" t="n">
        <f aca="false">DATE(YEAR(B5853),MONTH(B5853),1)</f>
        <v>46266</v>
      </c>
      <c r="M5853" s="31" t="n">
        <f aca="false">WEEKDAY(B5853,2)</f>
        <v>4</v>
      </c>
      <c r="N5853" s="31" t="str">
        <f aca="false">IF(G5853&lt;=INDEX(Assumptions!$B$15:$B$18,MATCH(E5853,Assumptions!$A$15:$A$18,0)),"Yes","No")</f>
        <v>No</v>
      </c>
      <c r="O5853" s="31" t="str">
        <f aca="false">IF(H5853="","Open",IF(H5853&lt;=INDEX(Assumptions!$C$15:$C$18,MATCH(E5853,Assumptions!$A$15:$A$18,0)),"Yes","No"))</f>
        <v>Yes</v>
      </c>
    </row>
    <row r="5854" customFormat="false" ht="15" hidden="false" customHeight="false" outlineLevel="0" collapsed="false">
      <c r="A5854" s="31" t="s">
        <v>6004</v>
      </c>
      <c r="B5854" s="44" t="n">
        <v>46282</v>
      </c>
      <c r="C5854" s="31" t="s">
        <v>60</v>
      </c>
      <c r="D5854" s="31" t="s">
        <v>66</v>
      </c>
      <c r="E5854" s="31" t="s">
        <v>50</v>
      </c>
      <c r="F5854" s="31" t="s">
        <v>121</v>
      </c>
      <c r="G5854" s="31" t="n">
        <v>6</v>
      </c>
      <c r="H5854" s="41" t="n">
        <v>2.6</v>
      </c>
      <c r="I5854" s="31" t="s">
        <v>149</v>
      </c>
      <c r="J5854" s="31" t="n">
        <v>4</v>
      </c>
      <c r="K5854" s="31" t="s">
        <v>150</v>
      </c>
      <c r="L5854" s="45" t="n">
        <f aca="false">DATE(YEAR(B5854),MONTH(B5854),1)</f>
        <v>46266</v>
      </c>
      <c r="M5854" s="31" t="n">
        <f aca="false">WEEKDAY(B5854,2)</f>
        <v>4</v>
      </c>
      <c r="N5854" s="31" t="str">
        <f aca="false">IF(G5854&lt;=INDEX(Assumptions!$B$15:$B$18,MATCH(E5854,Assumptions!$A$15:$A$18,0)),"Yes","No")</f>
        <v>Yes</v>
      </c>
      <c r="O5854" s="31" t="str">
        <f aca="false">IF(H5854="","Open",IF(H5854&lt;=INDEX(Assumptions!$C$15:$C$18,MATCH(E5854,Assumptions!$A$15:$A$18,0)),"Yes","No"))</f>
        <v>Yes</v>
      </c>
    </row>
    <row r="5855" customFormat="false" ht="15" hidden="false" customHeight="false" outlineLevel="0" collapsed="false">
      <c r="A5855" s="31" t="s">
        <v>6005</v>
      </c>
      <c r="B5855" s="44" t="n">
        <v>46282</v>
      </c>
      <c r="C5855" s="31" t="s">
        <v>60</v>
      </c>
      <c r="D5855" s="31" t="s">
        <v>67</v>
      </c>
      <c r="E5855" s="31" t="s">
        <v>52</v>
      </c>
      <c r="F5855" s="31" t="s">
        <v>133</v>
      </c>
      <c r="G5855" s="31" t="n">
        <v>2</v>
      </c>
      <c r="H5855" s="41" t="n">
        <v>22.7</v>
      </c>
      <c r="I5855" s="31" t="s">
        <v>149</v>
      </c>
      <c r="J5855" s="31"/>
      <c r="K5855" s="31" t="s">
        <v>153</v>
      </c>
      <c r="L5855" s="45" t="n">
        <f aca="false">DATE(YEAR(B5855),MONTH(B5855),1)</f>
        <v>46266</v>
      </c>
      <c r="M5855" s="31" t="n">
        <f aca="false">WEEKDAY(B5855,2)</f>
        <v>4</v>
      </c>
      <c r="N5855" s="31" t="str">
        <f aca="false">IF(G5855&lt;=INDEX(Assumptions!$B$15:$B$18,MATCH(E5855,Assumptions!$A$15:$A$18,0)),"Yes","No")</f>
        <v>Yes</v>
      </c>
      <c r="O5855" s="31" t="str">
        <f aca="false">IF(H5855="","Open",IF(H5855&lt;=INDEX(Assumptions!$C$15:$C$18,MATCH(E5855,Assumptions!$A$15:$A$18,0)),"Yes","No"))</f>
        <v>Yes</v>
      </c>
    </row>
    <row r="5856" customFormat="false" ht="15" hidden="false" customHeight="false" outlineLevel="0" collapsed="false">
      <c r="A5856" s="31" t="s">
        <v>6006</v>
      </c>
      <c r="B5856" s="44" t="n">
        <v>46282</v>
      </c>
      <c r="C5856" s="31" t="s">
        <v>57</v>
      </c>
      <c r="D5856" s="31" t="s">
        <v>65</v>
      </c>
      <c r="E5856" s="31" t="s">
        <v>52</v>
      </c>
      <c r="F5856" s="31" t="s">
        <v>131</v>
      </c>
      <c r="G5856" s="31" t="n">
        <v>3</v>
      </c>
      <c r="H5856" s="41" t="n">
        <v>2.1</v>
      </c>
      <c r="I5856" s="31" t="s">
        <v>149</v>
      </c>
      <c r="J5856" s="31" t="n">
        <v>3</v>
      </c>
      <c r="K5856" s="31" t="s">
        <v>150</v>
      </c>
      <c r="L5856" s="45" t="n">
        <f aca="false">DATE(YEAR(B5856),MONTH(B5856),1)</f>
        <v>46266</v>
      </c>
      <c r="M5856" s="31" t="n">
        <f aca="false">WEEKDAY(B5856,2)</f>
        <v>4</v>
      </c>
      <c r="N5856" s="31" t="str">
        <f aca="false">IF(G5856&lt;=INDEX(Assumptions!$B$15:$B$18,MATCH(E5856,Assumptions!$A$15:$A$18,0)),"Yes","No")</f>
        <v>Yes</v>
      </c>
      <c r="O5856" s="31" t="str">
        <f aca="false">IF(H5856="","Open",IF(H5856&lt;=INDEX(Assumptions!$C$15:$C$18,MATCH(E5856,Assumptions!$A$15:$A$18,0)),"Yes","No"))</f>
        <v>Yes</v>
      </c>
    </row>
    <row r="5857" customFormat="false" ht="15" hidden="false" customHeight="false" outlineLevel="0" collapsed="false">
      <c r="A5857" s="31" t="s">
        <v>6007</v>
      </c>
      <c r="B5857" s="44" t="n">
        <v>46282</v>
      </c>
      <c r="C5857" s="31" t="s">
        <v>59</v>
      </c>
      <c r="D5857" s="31" t="s">
        <v>65</v>
      </c>
      <c r="E5857" s="31" t="s">
        <v>52</v>
      </c>
      <c r="F5857" s="31" t="s">
        <v>128</v>
      </c>
      <c r="G5857" s="31" t="n">
        <v>55</v>
      </c>
      <c r="H5857" s="41" t="n">
        <v>26.1</v>
      </c>
      <c r="I5857" s="31" t="s">
        <v>149</v>
      </c>
      <c r="J5857" s="31"/>
      <c r="K5857" s="31" t="s">
        <v>150</v>
      </c>
      <c r="L5857" s="45" t="n">
        <f aca="false">DATE(YEAR(B5857),MONTH(B5857),1)</f>
        <v>46266</v>
      </c>
      <c r="M5857" s="31" t="n">
        <f aca="false">WEEKDAY(B5857,2)</f>
        <v>4</v>
      </c>
      <c r="N5857" s="31" t="str">
        <f aca="false">IF(G5857&lt;=INDEX(Assumptions!$B$15:$B$18,MATCH(E5857,Assumptions!$A$15:$A$18,0)),"Yes","No")</f>
        <v>Yes</v>
      </c>
      <c r="O5857" s="31" t="str">
        <f aca="false">IF(H5857="","Open",IF(H5857&lt;=INDEX(Assumptions!$C$15:$C$18,MATCH(E5857,Assumptions!$A$15:$A$18,0)),"Yes","No"))</f>
        <v>Yes</v>
      </c>
    </row>
    <row r="5858" customFormat="false" ht="15" hidden="false" customHeight="false" outlineLevel="0" collapsed="false">
      <c r="A5858" s="31" t="s">
        <v>6008</v>
      </c>
      <c r="B5858" s="44" t="n">
        <v>46282</v>
      </c>
      <c r="C5858" s="31" t="s">
        <v>60</v>
      </c>
      <c r="D5858" s="31" t="s">
        <v>66</v>
      </c>
      <c r="E5858" s="31" t="s">
        <v>50</v>
      </c>
      <c r="F5858" s="31" t="s">
        <v>120</v>
      </c>
      <c r="G5858" s="31" t="n">
        <v>5</v>
      </c>
      <c r="H5858" s="41" t="n">
        <v>5.6</v>
      </c>
      <c r="I5858" s="31" t="s">
        <v>149</v>
      </c>
      <c r="J5858" s="31"/>
      <c r="K5858" s="31" t="s">
        <v>150</v>
      </c>
      <c r="L5858" s="45" t="n">
        <f aca="false">DATE(YEAR(B5858),MONTH(B5858),1)</f>
        <v>46266</v>
      </c>
      <c r="M5858" s="31" t="n">
        <f aca="false">WEEKDAY(B5858,2)</f>
        <v>4</v>
      </c>
      <c r="N5858" s="31" t="str">
        <f aca="false">IF(G5858&lt;=INDEX(Assumptions!$B$15:$B$18,MATCH(E5858,Assumptions!$A$15:$A$18,0)),"Yes","No")</f>
        <v>Yes</v>
      </c>
      <c r="O5858" s="31" t="str">
        <f aca="false">IF(H5858="","Open",IF(H5858&lt;=INDEX(Assumptions!$C$15:$C$18,MATCH(E5858,Assumptions!$A$15:$A$18,0)),"Yes","No"))</f>
        <v>Yes</v>
      </c>
    </row>
    <row r="5859" customFormat="false" ht="15" hidden="false" customHeight="false" outlineLevel="0" collapsed="false">
      <c r="A5859" s="31" t="s">
        <v>6009</v>
      </c>
      <c r="B5859" s="44" t="n">
        <v>46282</v>
      </c>
      <c r="C5859" s="31" t="s">
        <v>59</v>
      </c>
      <c r="D5859" s="31" t="s">
        <v>68</v>
      </c>
      <c r="E5859" s="31" t="s">
        <v>50</v>
      </c>
      <c r="F5859" s="31" t="s">
        <v>122</v>
      </c>
      <c r="G5859" s="31" t="n">
        <v>44</v>
      </c>
      <c r="H5859" s="41" t="n">
        <v>3.3</v>
      </c>
      <c r="I5859" s="31" t="s">
        <v>149</v>
      </c>
      <c r="J5859" s="31"/>
      <c r="K5859" s="31" t="s">
        <v>150</v>
      </c>
      <c r="L5859" s="45" t="n">
        <f aca="false">DATE(YEAR(B5859),MONTH(B5859),1)</f>
        <v>46266</v>
      </c>
      <c r="M5859" s="31" t="n">
        <f aca="false">WEEKDAY(B5859,2)</f>
        <v>4</v>
      </c>
      <c r="N5859" s="31" t="str">
        <f aca="false">IF(G5859&lt;=INDEX(Assumptions!$B$15:$B$18,MATCH(E5859,Assumptions!$A$15:$A$18,0)),"Yes","No")</f>
        <v>No</v>
      </c>
      <c r="O5859" s="31" t="str">
        <f aca="false">IF(H5859="","Open",IF(H5859&lt;=INDEX(Assumptions!$C$15:$C$18,MATCH(E5859,Assumptions!$A$15:$A$18,0)),"Yes","No"))</f>
        <v>Yes</v>
      </c>
    </row>
    <row r="5860" customFormat="false" ht="15" hidden="false" customHeight="false" outlineLevel="0" collapsed="false">
      <c r="A5860" s="31" t="s">
        <v>6010</v>
      </c>
      <c r="B5860" s="44" t="n">
        <v>46282</v>
      </c>
      <c r="C5860" s="31" t="s">
        <v>60</v>
      </c>
      <c r="D5860" s="31" t="s">
        <v>65</v>
      </c>
      <c r="E5860" s="31" t="s">
        <v>49</v>
      </c>
      <c r="F5860" s="31" t="s">
        <v>117</v>
      </c>
      <c r="G5860" s="31" t="n">
        <v>1</v>
      </c>
      <c r="H5860" s="41" t="n">
        <v>1.1</v>
      </c>
      <c r="I5860" s="31" t="s">
        <v>149</v>
      </c>
      <c r="J5860" s="31" t="n">
        <v>5</v>
      </c>
      <c r="K5860" s="31" t="s">
        <v>150</v>
      </c>
      <c r="L5860" s="45" t="n">
        <f aca="false">DATE(YEAR(B5860),MONTH(B5860),1)</f>
        <v>46266</v>
      </c>
      <c r="M5860" s="31" t="n">
        <f aca="false">WEEKDAY(B5860,2)</f>
        <v>4</v>
      </c>
      <c r="N5860" s="31" t="str">
        <f aca="false">IF(G5860&lt;=INDEX(Assumptions!$B$15:$B$18,MATCH(E5860,Assumptions!$A$15:$A$18,0)),"Yes","No")</f>
        <v>Yes</v>
      </c>
      <c r="O5860" s="31" t="str">
        <f aca="false">IF(H5860="","Open",IF(H5860&lt;=INDEX(Assumptions!$C$15:$C$18,MATCH(E5860,Assumptions!$A$15:$A$18,0)),"Yes","No"))</f>
        <v>Yes</v>
      </c>
    </row>
    <row r="5861" customFormat="false" ht="15" hidden="false" customHeight="false" outlineLevel="0" collapsed="false">
      <c r="A5861" s="31" t="s">
        <v>6011</v>
      </c>
      <c r="B5861" s="44" t="n">
        <v>46282</v>
      </c>
      <c r="C5861" s="31" t="s">
        <v>60</v>
      </c>
      <c r="D5861" s="31" t="s">
        <v>68</v>
      </c>
      <c r="E5861" s="31" t="s">
        <v>51</v>
      </c>
      <c r="F5861" s="31" t="s">
        <v>134</v>
      </c>
      <c r="G5861" s="31" t="n">
        <v>2</v>
      </c>
      <c r="H5861" s="41" t="n">
        <v>9.1</v>
      </c>
      <c r="I5861" s="31" t="s">
        <v>149</v>
      </c>
      <c r="J5861" s="31" t="n">
        <v>4</v>
      </c>
      <c r="K5861" s="31" t="s">
        <v>153</v>
      </c>
      <c r="L5861" s="45" t="n">
        <f aca="false">DATE(YEAR(B5861),MONTH(B5861),1)</f>
        <v>46266</v>
      </c>
      <c r="M5861" s="31" t="n">
        <f aca="false">WEEKDAY(B5861,2)</f>
        <v>4</v>
      </c>
      <c r="N5861" s="31" t="str">
        <f aca="false">IF(G5861&lt;=INDEX(Assumptions!$B$15:$B$18,MATCH(E5861,Assumptions!$A$15:$A$18,0)),"Yes","No")</f>
        <v>Yes</v>
      </c>
      <c r="O5861" s="31" t="str">
        <f aca="false">IF(H5861="","Open",IF(H5861&lt;=INDEX(Assumptions!$C$15:$C$18,MATCH(E5861,Assumptions!$A$15:$A$18,0)),"Yes","No"))</f>
        <v>Yes</v>
      </c>
    </row>
    <row r="5862" customFormat="false" ht="15" hidden="false" customHeight="false" outlineLevel="0" collapsed="false">
      <c r="A5862" s="31" t="s">
        <v>6012</v>
      </c>
      <c r="B5862" s="44" t="n">
        <v>46282</v>
      </c>
      <c r="C5862" s="31" t="s">
        <v>58</v>
      </c>
      <c r="D5862" s="31" t="s">
        <v>66</v>
      </c>
      <c r="E5862" s="31" t="s">
        <v>51</v>
      </c>
      <c r="F5862" s="31" t="s">
        <v>135</v>
      </c>
      <c r="G5862" s="31" t="n">
        <v>6</v>
      </c>
      <c r="H5862" s="41" t="n">
        <v>4.7</v>
      </c>
      <c r="I5862" s="31" t="s">
        <v>149</v>
      </c>
      <c r="J5862" s="31"/>
      <c r="K5862" s="31" t="s">
        <v>150</v>
      </c>
      <c r="L5862" s="45" t="n">
        <f aca="false">DATE(YEAR(B5862),MONTH(B5862),1)</f>
        <v>46266</v>
      </c>
      <c r="M5862" s="31" t="n">
        <f aca="false">WEEKDAY(B5862,2)</f>
        <v>4</v>
      </c>
      <c r="N5862" s="31" t="str">
        <f aca="false">IF(G5862&lt;=INDEX(Assumptions!$B$15:$B$18,MATCH(E5862,Assumptions!$A$15:$A$18,0)),"Yes","No")</f>
        <v>Yes</v>
      </c>
      <c r="O5862" s="31" t="str">
        <f aca="false">IF(H5862="","Open",IF(H5862&lt;=INDEX(Assumptions!$C$15:$C$18,MATCH(E5862,Assumptions!$A$15:$A$18,0)),"Yes","No"))</f>
        <v>Yes</v>
      </c>
    </row>
    <row r="5863" customFormat="false" ht="15" hidden="false" customHeight="false" outlineLevel="0" collapsed="false">
      <c r="A5863" s="31" t="s">
        <v>6013</v>
      </c>
      <c r="B5863" s="44" t="n">
        <v>46282</v>
      </c>
      <c r="C5863" s="31" t="s">
        <v>57</v>
      </c>
      <c r="D5863" s="31" t="s">
        <v>67</v>
      </c>
      <c r="E5863" s="31" t="s">
        <v>49</v>
      </c>
      <c r="F5863" s="31" t="s">
        <v>128</v>
      </c>
      <c r="G5863" s="31" t="n">
        <v>1</v>
      </c>
      <c r="H5863" s="41" t="n">
        <v>6.2</v>
      </c>
      <c r="I5863" s="31" t="s">
        <v>149</v>
      </c>
      <c r="J5863" s="31"/>
      <c r="K5863" s="31" t="s">
        <v>150</v>
      </c>
      <c r="L5863" s="45" t="n">
        <f aca="false">DATE(YEAR(B5863),MONTH(B5863),1)</f>
        <v>46266</v>
      </c>
      <c r="M5863" s="31" t="n">
        <f aca="false">WEEKDAY(B5863,2)</f>
        <v>4</v>
      </c>
      <c r="N5863" s="31" t="str">
        <f aca="false">IF(G5863&lt;=INDEX(Assumptions!$B$15:$B$18,MATCH(E5863,Assumptions!$A$15:$A$18,0)),"Yes","No")</f>
        <v>Yes</v>
      </c>
      <c r="O5863" s="31" t="str">
        <f aca="false">IF(H5863="","Open",IF(H5863&lt;=INDEX(Assumptions!$C$15:$C$18,MATCH(E5863,Assumptions!$A$15:$A$18,0)),"Yes","No"))</f>
        <v>No</v>
      </c>
    </row>
    <row r="5864" customFormat="false" ht="15" hidden="false" customHeight="false" outlineLevel="0" collapsed="false">
      <c r="A5864" s="31" t="s">
        <v>6014</v>
      </c>
      <c r="B5864" s="44" t="n">
        <v>46282</v>
      </c>
      <c r="C5864" s="31" t="s">
        <v>57</v>
      </c>
      <c r="D5864" s="31" t="s">
        <v>67</v>
      </c>
      <c r="E5864" s="31" t="s">
        <v>50</v>
      </c>
      <c r="F5864" s="31" t="s">
        <v>133</v>
      </c>
      <c r="G5864" s="31" t="n">
        <v>2</v>
      </c>
      <c r="H5864" s="41" t="n">
        <v>13.8</v>
      </c>
      <c r="I5864" s="31" t="s">
        <v>149</v>
      </c>
      <c r="J5864" s="31" t="n">
        <v>4</v>
      </c>
      <c r="K5864" s="31" t="s">
        <v>150</v>
      </c>
      <c r="L5864" s="45" t="n">
        <f aca="false">DATE(YEAR(B5864),MONTH(B5864),1)</f>
        <v>46266</v>
      </c>
      <c r="M5864" s="31" t="n">
        <f aca="false">WEEKDAY(B5864,2)</f>
        <v>4</v>
      </c>
      <c r="N5864" s="31" t="str">
        <f aca="false">IF(G5864&lt;=INDEX(Assumptions!$B$15:$B$18,MATCH(E5864,Assumptions!$A$15:$A$18,0)),"Yes","No")</f>
        <v>Yes</v>
      </c>
      <c r="O5864" s="31" t="str">
        <f aca="false">IF(H5864="","Open",IF(H5864&lt;=INDEX(Assumptions!$C$15:$C$18,MATCH(E5864,Assumptions!$A$15:$A$18,0)),"Yes","No"))</f>
        <v>No</v>
      </c>
    </row>
    <row r="5865" customFormat="false" ht="15" hidden="false" customHeight="false" outlineLevel="0" collapsed="false">
      <c r="A5865" s="31" t="s">
        <v>6015</v>
      </c>
      <c r="B5865" s="44" t="n">
        <v>46282</v>
      </c>
      <c r="C5865" s="31" t="s">
        <v>58</v>
      </c>
      <c r="D5865" s="31" t="s">
        <v>66</v>
      </c>
      <c r="E5865" s="31" t="s">
        <v>50</v>
      </c>
      <c r="F5865" s="31" t="s">
        <v>123</v>
      </c>
      <c r="G5865" s="31" t="n">
        <v>13</v>
      </c>
      <c r="H5865" s="41" t="n">
        <v>2.8</v>
      </c>
      <c r="I5865" s="31" t="s">
        <v>149</v>
      </c>
      <c r="J5865" s="31" t="n">
        <v>5</v>
      </c>
      <c r="K5865" s="31" t="s">
        <v>150</v>
      </c>
      <c r="L5865" s="45" t="n">
        <f aca="false">DATE(YEAR(B5865),MONTH(B5865),1)</f>
        <v>46266</v>
      </c>
      <c r="M5865" s="31" t="n">
        <f aca="false">WEEKDAY(B5865,2)</f>
        <v>4</v>
      </c>
      <c r="N5865" s="31" t="str">
        <f aca="false">IF(G5865&lt;=INDEX(Assumptions!$B$15:$B$18,MATCH(E5865,Assumptions!$A$15:$A$18,0)),"Yes","No")</f>
        <v>Yes</v>
      </c>
      <c r="O5865" s="31" t="str">
        <f aca="false">IF(H5865="","Open",IF(H5865&lt;=INDEX(Assumptions!$C$15:$C$18,MATCH(E5865,Assumptions!$A$15:$A$18,0)),"Yes","No"))</f>
        <v>Yes</v>
      </c>
    </row>
    <row r="5866" customFormat="false" ht="15" hidden="false" customHeight="false" outlineLevel="0" collapsed="false">
      <c r="A5866" s="31" t="s">
        <v>6016</v>
      </c>
      <c r="B5866" s="44" t="n">
        <v>46282</v>
      </c>
      <c r="C5866" s="31" t="s">
        <v>57</v>
      </c>
      <c r="D5866" s="31" t="s">
        <v>65</v>
      </c>
      <c r="E5866" s="31" t="s">
        <v>51</v>
      </c>
      <c r="F5866" s="31" t="s">
        <v>123</v>
      </c>
      <c r="G5866" s="31" t="n">
        <v>4</v>
      </c>
      <c r="H5866" s="41" t="n">
        <v>7.2</v>
      </c>
      <c r="I5866" s="31" t="s">
        <v>149</v>
      </c>
      <c r="J5866" s="31" t="n">
        <v>5</v>
      </c>
      <c r="K5866" s="31" t="s">
        <v>150</v>
      </c>
      <c r="L5866" s="45" t="n">
        <f aca="false">DATE(YEAR(B5866),MONTH(B5866),1)</f>
        <v>46266</v>
      </c>
      <c r="M5866" s="31" t="n">
        <f aca="false">WEEKDAY(B5866,2)</f>
        <v>4</v>
      </c>
      <c r="N5866" s="31" t="str">
        <f aca="false">IF(G5866&lt;=INDEX(Assumptions!$B$15:$B$18,MATCH(E5866,Assumptions!$A$15:$A$18,0)),"Yes","No")</f>
        <v>Yes</v>
      </c>
      <c r="O5866" s="31" t="str">
        <f aca="false">IF(H5866="","Open",IF(H5866&lt;=INDEX(Assumptions!$C$15:$C$18,MATCH(E5866,Assumptions!$A$15:$A$18,0)),"Yes","No"))</f>
        <v>Yes</v>
      </c>
    </row>
    <row r="5867" customFormat="false" ht="15" hidden="false" customHeight="false" outlineLevel="0" collapsed="false">
      <c r="A5867" s="31" t="s">
        <v>6017</v>
      </c>
      <c r="B5867" s="44" t="n">
        <v>46282</v>
      </c>
      <c r="C5867" s="31" t="s">
        <v>58</v>
      </c>
      <c r="D5867" s="31" t="s">
        <v>65</v>
      </c>
      <c r="E5867" s="31" t="s">
        <v>52</v>
      </c>
      <c r="F5867" s="31" t="s">
        <v>123</v>
      </c>
      <c r="G5867" s="31" t="n">
        <v>13</v>
      </c>
      <c r="H5867" s="41" t="n">
        <v>12.8</v>
      </c>
      <c r="I5867" s="31" t="s">
        <v>149</v>
      </c>
      <c r="J5867" s="31" t="n">
        <v>5</v>
      </c>
      <c r="K5867" s="31" t="s">
        <v>150</v>
      </c>
      <c r="L5867" s="45" t="n">
        <f aca="false">DATE(YEAR(B5867),MONTH(B5867),1)</f>
        <v>46266</v>
      </c>
      <c r="M5867" s="31" t="n">
        <f aca="false">WEEKDAY(B5867,2)</f>
        <v>4</v>
      </c>
      <c r="N5867" s="31" t="str">
        <f aca="false">IF(G5867&lt;=INDEX(Assumptions!$B$15:$B$18,MATCH(E5867,Assumptions!$A$15:$A$18,0)),"Yes","No")</f>
        <v>Yes</v>
      </c>
      <c r="O5867" s="31" t="str">
        <f aca="false">IF(H5867="","Open",IF(H5867&lt;=INDEX(Assumptions!$C$15:$C$18,MATCH(E5867,Assumptions!$A$15:$A$18,0)),"Yes","No"))</f>
        <v>Yes</v>
      </c>
    </row>
    <row r="5868" customFormat="false" ht="15" hidden="false" customHeight="false" outlineLevel="0" collapsed="false">
      <c r="A5868" s="31" t="s">
        <v>6018</v>
      </c>
      <c r="B5868" s="44" t="n">
        <v>46282</v>
      </c>
      <c r="C5868" s="31" t="s">
        <v>57</v>
      </c>
      <c r="D5868" s="31" t="s">
        <v>65</v>
      </c>
      <c r="E5868" s="31" t="s">
        <v>51</v>
      </c>
      <c r="F5868" s="31" t="s">
        <v>136</v>
      </c>
      <c r="G5868" s="31" t="n">
        <v>2</v>
      </c>
      <c r="H5868" s="41" t="n">
        <v>18.4</v>
      </c>
      <c r="I5868" s="31" t="s">
        <v>64</v>
      </c>
      <c r="J5868" s="31"/>
      <c r="K5868" s="31" t="s">
        <v>150</v>
      </c>
      <c r="L5868" s="45" t="n">
        <f aca="false">DATE(YEAR(B5868),MONTH(B5868),1)</f>
        <v>46266</v>
      </c>
      <c r="M5868" s="31" t="n">
        <f aca="false">WEEKDAY(B5868,2)</f>
        <v>4</v>
      </c>
      <c r="N5868" s="31" t="str">
        <f aca="false">IF(G5868&lt;=INDEX(Assumptions!$B$15:$B$18,MATCH(E5868,Assumptions!$A$15:$A$18,0)),"Yes","No")</f>
        <v>Yes</v>
      </c>
      <c r="O5868" s="31" t="str">
        <f aca="false">IF(H5868="","Open",IF(H5868&lt;=INDEX(Assumptions!$C$15:$C$18,MATCH(E5868,Assumptions!$A$15:$A$18,0)),"Yes","No"))</f>
        <v>Yes</v>
      </c>
    </row>
    <row r="5869" customFormat="false" ht="15" hidden="false" customHeight="false" outlineLevel="0" collapsed="false">
      <c r="A5869" s="31" t="s">
        <v>6019</v>
      </c>
      <c r="B5869" s="44" t="n">
        <v>46282</v>
      </c>
      <c r="C5869" s="31" t="s">
        <v>59</v>
      </c>
      <c r="D5869" s="31" t="s">
        <v>66</v>
      </c>
      <c r="E5869" s="31" t="s">
        <v>51</v>
      </c>
      <c r="F5869" s="31" t="s">
        <v>128</v>
      </c>
      <c r="G5869" s="31" t="n">
        <v>188</v>
      </c>
      <c r="H5869" s="41" t="n">
        <v>10.6</v>
      </c>
      <c r="I5869" s="31" t="s">
        <v>149</v>
      </c>
      <c r="J5869" s="31"/>
      <c r="K5869" s="31" t="s">
        <v>150</v>
      </c>
      <c r="L5869" s="45" t="n">
        <f aca="false">DATE(YEAR(B5869),MONTH(B5869),1)</f>
        <v>46266</v>
      </c>
      <c r="M5869" s="31" t="n">
        <f aca="false">WEEKDAY(B5869,2)</f>
        <v>4</v>
      </c>
      <c r="N5869" s="31" t="str">
        <f aca="false">IF(G5869&lt;=INDEX(Assumptions!$B$15:$B$18,MATCH(E5869,Assumptions!$A$15:$A$18,0)),"Yes","No")</f>
        <v>No</v>
      </c>
      <c r="O5869" s="31" t="str">
        <f aca="false">IF(H5869="","Open",IF(H5869&lt;=INDEX(Assumptions!$C$15:$C$18,MATCH(E5869,Assumptions!$A$15:$A$18,0)),"Yes","No"))</f>
        <v>Yes</v>
      </c>
    </row>
    <row r="5870" customFormat="false" ht="15" hidden="false" customHeight="false" outlineLevel="0" collapsed="false">
      <c r="A5870" s="31" t="s">
        <v>6020</v>
      </c>
      <c r="B5870" s="44" t="n">
        <v>46282</v>
      </c>
      <c r="C5870" s="31" t="s">
        <v>57</v>
      </c>
      <c r="D5870" s="31" t="s">
        <v>66</v>
      </c>
      <c r="E5870" s="31" t="s">
        <v>51</v>
      </c>
      <c r="F5870" s="31" t="s">
        <v>127</v>
      </c>
      <c r="G5870" s="31" t="n">
        <v>7</v>
      </c>
      <c r="H5870" s="41" t="n">
        <v>3.7</v>
      </c>
      <c r="I5870" s="31" t="s">
        <v>149</v>
      </c>
      <c r="J5870" s="31"/>
      <c r="K5870" s="31" t="s">
        <v>150</v>
      </c>
      <c r="L5870" s="45" t="n">
        <f aca="false">DATE(YEAR(B5870),MONTH(B5870),1)</f>
        <v>46266</v>
      </c>
      <c r="M5870" s="31" t="n">
        <f aca="false">WEEKDAY(B5870,2)</f>
        <v>4</v>
      </c>
      <c r="N5870" s="31" t="str">
        <f aca="false">IF(G5870&lt;=INDEX(Assumptions!$B$15:$B$18,MATCH(E5870,Assumptions!$A$15:$A$18,0)),"Yes","No")</f>
        <v>Yes</v>
      </c>
      <c r="O5870" s="31" t="str">
        <f aca="false">IF(H5870="","Open",IF(H5870&lt;=INDEX(Assumptions!$C$15:$C$18,MATCH(E5870,Assumptions!$A$15:$A$18,0)),"Yes","No"))</f>
        <v>Yes</v>
      </c>
    </row>
    <row r="5871" customFormat="false" ht="15" hidden="false" customHeight="false" outlineLevel="0" collapsed="false">
      <c r="A5871" s="31" t="s">
        <v>6021</v>
      </c>
      <c r="B5871" s="44" t="n">
        <v>46282</v>
      </c>
      <c r="C5871" s="31" t="s">
        <v>58</v>
      </c>
      <c r="D5871" s="31" t="s">
        <v>68</v>
      </c>
      <c r="E5871" s="31" t="s">
        <v>50</v>
      </c>
      <c r="F5871" s="31" t="s">
        <v>126</v>
      </c>
      <c r="G5871" s="31" t="n">
        <v>20</v>
      </c>
      <c r="H5871" s="41" t="n">
        <v>1.8</v>
      </c>
      <c r="I5871" s="31" t="s">
        <v>149</v>
      </c>
      <c r="J5871" s="31" t="n">
        <v>5</v>
      </c>
      <c r="K5871" s="31" t="s">
        <v>150</v>
      </c>
      <c r="L5871" s="45" t="n">
        <f aca="false">DATE(YEAR(B5871),MONTH(B5871),1)</f>
        <v>46266</v>
      </c>
      <c r="M5871" s="31" t="n">
        <f aca="false">WEEKDAY(B5871,2)</f>
        <v>4</v>
      </c>
      <c r="N5871" s="31" t="str">
        <f aca="false">IF(G5871&lt;=INDEX(Assumptions!$B$15:$B$18,MATCH(E5871,Assumptions!$A$15:$A$18,0)),"Yes","No")</f>
        <v>Yes</v>
      </c>
      <c r="O5871" s="31" t="str">
        <f aca="false">IF(H5871="","Open",IF(H5871&lt;=INDEX(Assumptions!$C$15:$C$18,MATCH(E5871,Assumptions!$A$15:$A$18,0)),"Yes","No"))</f>
        <v>Yes</v>
      </c>
    </row>
    <row r="5872" customFormat="false" ht="15" hidden="false" customHeight="false" outlineLevel="0" collapsed="false">
      <c r="A5872" s="31" t="s">
        <v>6022</v>
      </c>
      <c r="B5872" s="44" t="n">
        <v>46282</v>
      </c>
      <c r="C5872" s="31" t="s">
        <v>58</v>
      </c>
      <c r="D5872" s="31" t="s">
        <v>67</v>
      </c>
      <c r="E5872" s="31" t="s">
        <v>50</v>
      </c>
      <c r="F5872" s="31" t="s">
        <v>134</v>
      </c>
      <c r="G5872" s="31" t="n">
        <v>6</v>
      </c>
      <c r="H5872" s="41" t="n">
        <v>13.3</v>
      </c>
      <c r="I5872" s="31" t="s">
        <v>64</v>
      </c>
      <c r="J5872" s="31"/>
      <c r="K5872" s="31" t="s">
        <v>150</v>
      </c>
      <c r="L5872" s="45" t="n">
        <f aca="false">DATE(YEAR(B5872),MONTH(B5872),1)</f>
        <v>46266</v>
      </c>
      <c r="M5872" s="31" t="n">
        <f aca="false">WEEKDAY(B5872,2)</f>
        <v>4</v>
      </c>
      <c r="N5872" s="31" t="str">
        <f aca="false">IF(G5872&lt;=INDEX(Assumptions!$B$15:$B$18,MATCH(E5872,Assumptions!$A$15:$A$18,0)),"Yes","No")</f>
        <v>Yes</v>
      </c>
      <c r="O5872" s="31" t="str">
        <f aca="false">IF(H5872="","Open",IF(H5872&lt;=INDEX(Assumptions!$C$15:$C$18,MATCH(E5872,Assumptions!$A$15:$A$18,0)),"Yes","No"))</f>
        <v>No</v>
      </c>
    </row>
    <row r="5873" customFormat="false" ht="15" hidden="false" customHeight="false" outlineLevel="0" collapsed="false">
      <c r="A5873" s="31" t="s">
        <v>6023</v>
      </c>
      <c r="B5873" s="44" t="n">
        <v>46282</v>
      </c>
      <c r="C5873" s="31" t="s">
        <v>58</v>
      </c>
      <c r="D5873" s="31" t="s">
        <v>67</v>
      </c>
      <c r="E5873" s="31" t="s">
        <v>50</v>
      </c>
      <c r="F5873" s="31" t="s">
        <v>126</v>
      </c>
      <c r="G5873" s="31" t="n">
        <v>10</v>
      </c>
      <c r="H5873" s="41" t="n">
        <v>5.6</v>
      </c>
      <c r="I5873" s="31" t="s">
        <v>149</v>
      </c>
      <c r="J5873" s="31" t="n">
        <v>4</v>
      </c>
      <c r="K5873" s="31" t="s">
        <v>150</v>
      </c>
      <c r="L5873" s="45" t="n">
        <f aca="false">DATE(YEAR(B5873),MONTH(B5873),1)</f>
        <v>46266</v>
      </c>
      <c r="M5873" s="31" t="n">
        <f aca="false">WEEKDAY(B5873,2)</f>
        <v>4</v>
      </c>
      <c r="N5873" s="31" t="str">
        <f aca="false">IF(G5873&lt;=INDEX(Assumptions!$B$15:$B$18,MATCH(E5873,Assumptions!$A$15:$A$18,0)),"Yes","No")</f>
        <v>Yes</v>
      </c>
      <c r="O5873" s="31" t="str">
        <f aca="false">IF(H5873="","Open",IF(H5873&lt;=INDEX(Assumptions!$C$15:$C$18,MATCH(E5873,Assumptions!$A$15:$A$18,0)),"Yes","No"))</f>
        <v>Yes</v>
      </c>
    </row>
    <row r="5874" customFormat="false" ht="15" hidden="false" customHeight="false" outlineLevel="0" collapsed="false">
      <c r="A5874" s="31" t="s">
        <v>6024</v>
      </c>
      <c r="B5874" s="44" t="n">
        <v>46282</v>
      </c>
      <c r="C5874" s="31" t="s">
        <v>57</v>
      </c>
      <c r="D5874" s="31" t="s">
        <v>69</v>
      </c>
      <c r="E5874" s="31" t="s">
        <v>50</v>
      </c>
      <c r="F5874" s="31" t="s">
        <v>131</v>
      </c>
      <c r="G5874" s="31" t="n">
        <v>2</v>
      </c>
      <c r="H5874" s="41" t="n">
        <v>9.2</v>
      </c>
      <c r="I5874" s="31" t="s">
        <v>149</v>
      </c>
      <c r="J5874" s="31" t="n">
        <v>3</v>
      </c>
      <c r="K5874" s="31" t="s">
        <v>153</v>
      </c>
      <c r="L5874" s="45" t="n">
        <f aca="false">DATE(YEAR(B5874),MONTH(B5874),1)</f>
        <v>46266</v>
      </c>
      <c r="M5874" s="31" t="n">
        <f aca="false">WEEKDAY(B5874,2)</f>
        <v>4</v>
      </c>
      <c r="N5874" s="31" t="str">
        <f aca="false">IF(G5874&lt;=INDEX(Assumptions!$B$15:$B$18,MATCH(E5874,Assumptions!$A$15:$A$18,0)),"Yes","No")</f>
        <v>Yes</v>
      </c>
      <c r="O5874" s="31" t="str">
        <f aca="false">IF(H5874="","Open",IF(H5874&lt;=INDEX(Assumptions!$C$15:$C$18,MATCH(E5874,Assumptions!$A$15:$A$18,0)),"Yes","No"))</f>
        <v>No</v>
      </c>
    </row>
    <row r="5875" customFormat="false" ht="15" hidden="false" customHeight="false" outlineLevel="0" collapsed="false">
      <c r="A5875" s="31" t="s">
        <v>6025</v>
      </c>
      <c r="B5875" s="44" t="n">
        <v>46282</v>
      </c>
      <c r="C5875" s="31" t="s">
        <v>57</v>
      </c>
      <c r="D5875" s="31" t="s">
        <v>66</v>
      </c>
      <c r="E5875" s="31" t="s">
        <v>51</v>
      </c>
      <c r="F5875" s="31" t="s">
        <v>131</v>
      </c>
      <c r="G5875" s="31" t="n">
        <v>2</v>
      </c>
      <c r="H5875" s="41" t="n">
        <v>1.1</v>
      </c>
      <c r="I5875" s="31" t="s">
        <v>149</v>
      </c>
      <c r="J5875" s="31"/>
      <c r="K5875" s="31" t="s">
        <v>150</v>
      </c>
      <c r="L5875" s="45" t="n">
        <f aca="false">DATE(YEAR(B5875),MONTH(B5875),1)</f>
        <v>46266</v>
      </c>
      <c r="M5875" s="31" t="n">
        <f aca="false">WEEKDAY(B5875,2)</f>
        <v>4</v>
      </c>
      <c r="N5875" s="31" t="str">
        <f aca="false">IF(G5875&lt;=INDEX(Assumptions!$B$15:$B$18,MATCH(E5875,Assumptions!$A$15:$A$18,0)),"Yes","No")</f>
        <v>Yes</v>
      </c>
      <c r="O5875" s="31" t="str">
        <f aca="false">IF(H5875="","Open",IF(H5875&lt;=INDEX(Assumptions!$C$15:$C$18,MATCH(E5875,Assumptions!$A$15:$A$18,0)),"Yes","No"))</f>
        <v>Yes</v>
      </c>
    </row>
    <row r="5876" customFormat="false" ht="15" hidden="false" customHeight="false" outlineLevel="0" collapsed="false">
      <c r="A5876" s="31" t="s">
        <v>6026</v>
      </c>
      <c r="B5876" s="44" t="n">
        <v>46282</v>
      </c>
      <c r="C5876" s="31" t="s">
        <v>60</v>
      </c>
      <c r="D5876" s="31" t="s">
        <v>67</v>
      </c>
      <c r="E5876" s="31" t="s">
        <v>51</v>
      </c>
      <c r="F5876" s="31" t="s">
        <v>117</v>
      </c>
      <c r="G5876" s="31" t="n">
        <v>1</v>
      </c>
      <c r="H5876" s="41" t="n">
        <v>10.3</v>
      </c>
      <c r="I5876" s="31" t="s">
        <v>149</v>
      </c>
      <c r="J5876" s="31" t="n">
        <v>3</v>
      </c>
      <c r="K5876" s="31" t="s">
        <v>150</v>
      </c>
      <c r="L5876" s="45" t="n">
        <f aca="false">DATE(YEAR(B5876),MONTH(B5876),1)</f>
        <v>46266</v>
      </c>
      <c r="M5876" s="31" t="n">
        <f aca="false">WEEKDAY(B5876,2)</f>
        <v>4</v>
      </c>
      <c r="N5876" s="31" t="str">
        <f aca="false">IF(G5876&lt;=INDEX(Assumptions!$B$15:$B$18,MATCH(E5876,Assumptions!$A$15:$A$18,0)),"Yes","No")</f>
        <v>Yes</v>
      </c>
      <c r="O5876" s="31" t="str">
        <f aca="false">IF(H5876="","Open",IF(H5876&lt;=INDEX(Assumptions!$C$15:$C$18,MATCH(E5876,Assumptions!$A$15:$A$18,0)),"Yes","No"))</f>
        <v>Yes</v>
      </c>
    </row>
    <row r="5877" customFormat="false" ht="15" hidden="false" customHeight="false" outlineLevel="0" collapsed="false">
      <c r="A5877" s="31" t="s">
        <v>6027</v>
      </c>
      <c r="B5877" s="44" t="n">
        <v>46282</v>
      </c>
      <c r="C5877" s="31" t="s">
        <v>59</v>
      </c>
      <c r="D5877" s="31" t="s">
        <v>67</v>
      </c>
      <c r="E5877" s="31" t="s">
        <v>51</v>
      </c>
      <c r="F5877" s="31" t="s">
        <v>123</v>
      </c>
      <c r="G5877" s="31" t="n">
        <v>104</v>
      </c>
      <c r="H5877" s="41" t="n">
        <v>11</v>
      </c>
      <c r="I5877" s="31" t="s">
        <v>149</v>
      </c>
      <c r="J5877" s="31"/>
      <c r="K5877" s="31" t="s">
        <v>150</v>
      </c>
      <c r="L5877" s="45" t="n">
        <f aca="false">DATE(YEAR(B5877),MONTH(B5877),1)</f>
        <v>46266</v>
      </c>
      <c r="M5877" s="31" t="n">
        <f aca="false">WEEKDAY(B5877,2)</f>
        <v>4</v>
      </c>
      <c r="N5877" s="31" t="str">
        <f aca="false">IF(G5877&lt;=INDEX(Assumptions!$B$15:$B$18,MATCH(E5877,Assumptions!$A$15:$A$18,0)),"Yes","No")</f>
        <v>No</v>
      </c>
      <c r="O5877" s="31" t="str">
        <f aca="false">IF(H5877="","Open",IF(H5877&lt;=INDEX(Assumptions!$C$15:$C$18,MATCH(E5877,Assumptions!$A$15:$A$18,0)),"Yes","No"))</f>
        <v>Yes</v>
      </c>
    </row>
    <row r="5878" customFormat="false" ht="15" hidden="false" customHeight="false" outlineLevel="0" collapsed="false">
      <c r="A5878" s="31" t="s">
        <v>6028</v>
      </c>
      <c r="B5878" s="44" t="n">
        <v>46282</v>
      </c>
      <c r="C5878" s="31" t="s">
        <v>59</v>
      </c>
      <c r="D5878" s="31" t="s">
        <v>67</v>
      </c>
      <c r="E5878" s="31" t="s">
        <v>51</v>
      </c>
      <c r="F5878" s="31" t="s">
        <v>134</v>
      </c>
      <c r="G5878" s="31" t="n">
        <v>313</v>
      </c>
      <c r="H5878" s="41" t="n">
        <v>18.6</v>
      </c>
      <c r="I5878" s="31" t="s">
        <v>149</v>
      </c>
      <c r="J5878" s="31" t="n">
        <v>4</v>
      </c>
      <c r="K5878" s="31" t="s">
        <v>150</v>
      </c>
      <c r="L5878" s="45" t="n">
        <f aca="false">DATE(YEAR(B5878),MONTH(B5878),1)</f>
        <v>46266</v>
      </c>
      <c r="M5878" s="31" t="n">
        <f aca="false">WEEKDAY(B5878,2)</f>
        <v>4</v>
      </c>
      <c r="N5878" s="31" t="str">
        <f aca="false">IF(G5878&lt;=INDEX(Assumptions!$B$15:$B$18,MATCH(E5878,Assumptions!$A$15:$A$18,0)),"Yes","No")</f>
        <v>No</v>
      </c>
      <c r="O5878" s="31" t="str">
        <f aca="false">IF(H5878="","Open",IF(H5878&lt;=INDEX(Assumptions!$C$15:$C$18,MATCH(E5878,Assumptions!$A$15:$A$18,0)),"Yes","No"))</f>
        <v>Yes</v>
      </c>
    </row>
    <row r="5879" customFormat="false" ht="15" hidden="false" customHeight="false" outlineLevel="0" collapsed="false">
      <c r="A5879" s="31" t="s">
        <v>6029</v>
      </c>
      <c r="B5879" s="44" t="n">
        <v>46282</v>
      </c>
      <c r="C5879" s="31" t="s">
        <v>57</v>
      </c>
      <c r="D5879" s="31" t="s">
        <v>68</v>
      </c>
      <c r="E5879" s="31" t="s">
        <v>51</v>
      </c>
      <c r="F5879" s="31" t="s">
        <v>122</v>
      </c>
      <c r="G5879" s="31" t="n">
        <v>3</v>
      </c>
      <c r="H5879" s="41" t="n">
        <v>4.1</v>
      </c>
      <c r="I5879" s="31" t="s">
        <v>149</v>
      </c>
      <c r="J5879" s="31"/>
      <c r="K5879" s="31" t="s">
        <v>150</v>
      </c>
      <c r="L5879" s="45" t="n">
        <f aca="false">DATE(YEAR(B5879),MONTH(B5879),1)</f>
        <v>46266</v>
      </c>
      <c r="M5879" s="31" t="n">
        <f aca="false">WEEKDAY(B5879,2)</f>
        <v>4</v>
      </c>
      <c r="N5879" s="31" t="str">
        <f aca="false">IF(G5879&lt;=INDEX(Assumptions!$B$15:$B$18,MATCH(E5879,Assumptions!$A$15:$A$18,0)),"Yes","No")</f>
        <v>Yes</v>
      </c>
      <c r="O5879" s="31" t="str">
        <f aca="false">IF(H5879="","Open",IF(H5879&lt;=INDEX(Assumptions!$C$15:$C$18,MATCH(E5879,Assumptions!$A$15:$A$18,0)),"Yes","No"))</f>
        <v>Yes</v>
      </c>
    </row>
    <row r="5880" customFormat="false" ht="15" hidden="false" customHeight="false" outlineLevel="0" collapsed="false">
      <c r="A5880" s="31" t="s">
        <v>6030</v>
      </c>
      <c r="B5880" s="44" t="n">
        <v>46282</v>
      </c>
      <c r="C5880" s="31" t="s">
        <v>57</v>
      </c>
      <c r="D5880" s="31" t="s">
        <v>69</v>
      </c>
      <c r="E5880" s="31" t="s">
        <v>51</v>
      </c>
      <c r="F5880" s="31" t="s">
        <v>133</v>
      </c>
      <c r="G5880" s="31" t="n">
        <v>1</v>
      </c>
      <c r="H5880" s="41" t="n">
        <v>4.4</v>
      </c>
      <c r="I5880" s="31" t="s">
        <v>149</v>
      </c>
      <c r="J5880" s="31" t="n">
        <v>4</v>
      </c>
      <c r="K5880" s="31" t="s">
        <v>150</v>
      </c>
      <c r="L5880" s="45" t="n">
        <f aca="false">DATE(YEAR(B5880),MONTH(B5880),1)</f>
        <v>46266</v>
      </c>
      <c r="M5880" s="31" t="n">
        <f aca="false">WEEKDAY(B5880,2)</f>
        <v>4</v>
      </c>
      <c r="N5880" s="31" t="str">
        <f aca="false">IF(G5880&lt;=INDEX(Assumptions!$B$15:$B$18,MATCH(E5880,Assumptions!$A$15:$A$18,0)),"Yes","No")</f>
        <v>Yes</v>
      </c>
      <c r="O5880" s="31" t="str">
        <f aca="false">IF(H5880="","Open",IF(H5880&lt;=INDEX(Assumptions!$C$15:$C$18,MATCH(E5880,Assumptions!$A$15:$A$18,0)),"Yes","No"))</f>
        <v>Yes</v>
      </c>
    </row>
    <row r="5881" customFormat="false" ht="15" hidden="false" customHeight="false" outlineLevel="0" collapsed="false">
      <c r="A5881" s="31" t="s">
        <v>6031</v>
      </c>
      <c r="B5881" s="44" t="n">
        <v>46282</v>
      </c>
      <c r="C5881" s="31" t="s">
        <v>60</v>
      </c>
      <c r="D5881" s="31" t="s">
        <v>65</v>
      </c>
      <c r="E5881" s="31" t="s">
        <v>51</v>
      </c>
      <c r="F5881" s="31" t="s">
        <v>133</v>
      </c>
      <c r="G5881" s="31" t="n">
        <v>2</v>
      </c>
      <c r="H5881" s="41" t="n">
        <v>17.9</v>
      </c>
      <c r="I5881" s="31" t="s">
        <v>149</v>
      </c>
      <c r="J5881" s="31" t="n">
        <v>4</v>
      </c>
      <c r="K5881" s="31" t="s">
        <v>150</v>
      </c>
      <c r="L5881" s="45" t="n">
        <f aca="false">DATE(YEAR(B5881),MONTH(B5881),1)</f>
        <v>46266</v>
      </c>
      <c r="M5881" s="31" t="n">
        <f aca="false">WEEKDAY(B5881,2)</f>
        <v>4</v>
      </c>
      <c r="N5881" s="31" t="str">
        <f aca="false">IF(G5881&lt;=INDEX(Assumptions!$B$15:$B$18,MATCH(E5881,Assumptions!$A$15:$A$18,0)),"Yes","No")</f>
        <v>Yes</v>
      </c>
      <c r="O5881" s="31" t="str">
        <f aca="false">IF(H5881="","Open",IF(H5881&lt;=INDEX(Assumptions!$C$15:$C$18,MATCH(E5881,Assumptions!$A$15:$A$18,0)),"Yes","No"))</f>
        <v>Yes</v>
      </c>
    </row>
    <row r="5882" customFormat="false" ht="15" hidden="false" customHeight="false" outlineLevel="0" collapsed="false">
      <c r="A5882" s="31" t="s">
        <v>6032</v>
      </c>
      <c r="B5882" s="44" t="n">
        <v>46282</v>
      </c>
      <c r="C5882" s="31" t="s">
        <v>57</v>
      </c>
      <c r="D5882" s="31" t="s">
        <v>68</v>
      </c>
      <c r="E5882" s="31" t="s">
        <v>51</v>
      </c>
      <c r="F5882" s="31" t="s">
        <v>130</v>
      </c>
      <c r="G5882" s="31" t="n">
        <v>4</v>
      </c>
      <c r="H5882" s="41" t="n">
        <v>2.5</v>
      </c>
      <c r="I5882" s="31" t="s">
        <v>149</v>
      </c>
      <c r="J5882" s="31" t="n">
        <v>5</v>
      </c>
      <c r="K5882" s="31" t="s">
        <v>150</v>
      </c>
      <c r="L5882" s="45" t="n">
        <f aca="false">DATE(YEAR(B5882),MONTH(B5882),1)</f>
        <v>46266</v>
      </c>
      <c r="M5882" s="31" t="n">
        <f aca="false">WEEKDAY(B5882,2)</f>
        <v>4</v>
      </c>
      <c r="N5882" s="31" t="str">
        <f aca="false">IF(G5882&lt;=INDEX(Assumptions!$B$15:$B$18,MATCH(E5882,Assumptions!$A$15:$A$18,0)),"Yes","No")</f>
        <v>Yes</v>
      </c>
      <c r="O5882" s="31" t="str">
        <f aca="false">IF(H5882="","Open",IF(H5882&lt;=INDEX(Assumptions!$C$15:$C$18,MATCH(E5882,Assumptions!$A$15:$A$18,0)),"Yes","No"))</f>
        <v>Yes</v>
      </c>
    </row>
    <row r="5883" customFormat="false" ht="15" hidden="false" customHeight="false" outlineLevel="0" collapsed="false">
      <c r="A5883" s="31" t="s">
        <v>6033</v>
      </c>
      <c r="B5883" s="44" t="n">
        <v>46282</v>
      </c>
      <c r="C5883" s="31" t="s">
        <v>57</v>
      </c>
      <c r="D5883" s="31" t="s">
        <v>67</v>
      </c>
      <c r="E5883" s="31" t="s">
        <v>51</v>
      </c>
      <c r="F5883" s="31" t="s">
        <v>130</v>
      </c>
      <c r="G5883" s="31" t="n">
        <v>3</v>
      </c>
      <c r="H5883" s="41" t="n">
        <v>4.5</v>
      </c>
      <c r="I5883" s="31" t="s">
        <v>149</v>
      </c>
      <c r="J5883" s="31" t="n">
        <v>5</v>
      </c>
      <c r="K5883" s="31" t="s">
        <v>150</v>
      </c>
      <c r="L5883" s="45" t="n">
        <f aca="false">DATE(YEAR(B5883),MONTH(B5883),1)</f>
        <v>46266</v>
      </c>
      <c r="M5883" s="31" t="n">
        <f aca="false">WEEKDAY(B5883,2)</f>
        <v>4</v>
      </c>
      <c r="N5883" s="31" t="str">
        <f aca="false">IF(G5883&lt;=INDEX(Assumptions!$B$15:$B$18,MATCH(E5883,Assumptions!$A$15:$A$18,0)),"Yes","No")</f>
        <v>Yes</v>
      </c>
      <c r="O5883" s="31" t="str">
        <f aca="false">IF(H5883="","Open",IF(H5883&lt;=INDEX(Assumptions!$C$15:$C$18,MATCH(E5883,Assumptions!$A$15:$A$18,0)),"Yes","No"))</f>
        <v>Yes</v>
      </c>
    </row>
    <row r="5884" customFormat="false" ht="15" hidden="false" customHeight="false" outlineLevel="0" collapsed="false">
      <c r="A5884" s="31" t="s">
        <v>6034</v>
      </c>
      <c r="B5884" s="44" t="n">
        <v>46282</v>
      </c>
      <c r="C5884" s="31" t="s">
        <v>57</v>
      </c>
      <c r="D5884" s="31" t="s">
        <v>65</v>
      </c>
      <c r="E5884" s="31" t="s">
        <v>51</v>
      </c>
      <c r="F5884" s="31" t="s">
        <v>122</v>
      </c>
      <c r="G5884" s="31" t="n">
        <v>1</v>
      </c>
      <c r="H5884" s="41" t="n">
        <v>13.4</v>
      </c>
      <c r="I5884" s="31" t="s">
        <v>149</v>
      </c>
      <c r="J5884" s="31" t="n">
        <v>4</v>
      </c>
      <c r="K5884" s="31" t="s">
        <v>153</v>
      </c>
      <c r="L5884" s="45" t="n">
        <f aca="false">DATE(YEAR(B5884),MONTH(B5884),1)</f>
        <v>46266</v>
      </c>
      <c r="M5884" s="31" t="n">
        <f aca="false">WEEKDAY(B5884,2)</f>
        <v>4</v>
      </c>
      <c r="N5884" s="31" t="str">
        <f aca="false">IF(G5884&lt;=INDEX(Assumptions!$B$15:$B$18,MATCH(E5884,Assumptions!$A$15:$A$18,0)),"Yes","No")</f>
        <v>Yes</v>
      </c>
      <c r="O5884" s="31" t="str">
        <f aca="false">IF(H5884="","Open",IF(H5884&lt;=INDEX(Assumptions!$C$15:$C$18,MATCH(E5884,Assumptions!$A$15:$A$18,0)),"Yes","No"))</f>
        <v>Yes</v>
      </c>
    </row>
    <row r="5885" customFormat="false" ht="15" hidden="false" customHeight="false" outlineLevel="0" collapsed="false">
      <c r="A5885" s="31" t="s">
        <v>6035</v>
      </c>
      <c r="B5885" s="44" t="n">
        <v>46282</v>
      </c>
      <c r="C5885" s="31" t="s">
        <v>59</v>
      </c>
      <c r="D5885" s="31" t="s">
        <v>69</v>
      </c>
      <c r="E5885" s="31" t="s">
        <v>51</v>
      </c>
      <c r="F5885" s="31" t="s">
        <v>123</v>
      </c>
      <c r="G5885" s="31" t="n">
        <v>113</v>
      </c>
      <c r="H5885" s="41" t="n">
        <v>18.4</v>
      </c>
      <c r="I5885" s="31" t="s">
        <v>149</v>
      </c>
      <c r="J5885" s="31" t="n">
        <v>5</v>
      </c>
      <c r="K5885" s="31" t="s">
        <v>150</v>
      </c>
      <c r="L5885" s="45" t="n">
        <f aca="false">DATE(YEAR(B5885),MONTH(B5885),1)</f>
        <v>46266</v>
      </c>
      <c r="M5885" s="31" t="n">
        <f aca="false">WEEKDAY(B5885,2)</f>
        <v>4</v>
      </c>
      <c r="N5885" s="31" t="str">
        <f aca="false">IF(G5885&lt;=INDEX(Assumptions!$B$15:$B$18,MATCH(E5885,Assumptions!$A$15:$A$18,0)),"Yes","No")</f>
        <v>No</v>
      </c>
      <c r="O5885" s="31" t="str">
        <f aca="false">IF(H5885="","Open",IF(H5885&lt;=INDEX(Assumptions!$C$15:$C$18,MATCH(E5885,Assumptions!$A$15:$A$18,0)),"Yes","No"))</f>
        <v>Yes</v>
      </c>
    </row>
    <row r="5886" customFormat="false" ht="15" hidden="false" customHeight="false" outlineLevel="0" collapsed="false">
      <c r="A5886" s="31" t="s">
        <v>6036</v>
      </c>
      <c r="B5886" s="44" t="n">
        <v>46282</v>
      </c>
      <c r="C5886" s="31" t="s">
        <v>59</v>
      </c>
      <c r="D5886" s="31" t="s">
        <v>69</v>
      </c>
      <c r="E5886" s="31" t="s">
        <v>51</v>
      </c>
      <c r="F5886" s="31" t="s">
        <v>124</v>
      </c>
      <c r="G5886" s="31" t="n">
        <v>48</v>
      </c>
      <c r="H5886" s="41" t="n">
        <v>28.9</v>
      </c>
      <c r="I5886" s="31" t="s">
        <v>149</v>
      </c>
      <c r="J5886" s="31" t="n">
        <v>4</v>
      </c>
      <c r="K5886" s="31" t="s">
        <v>150</v>
      </c>
      <c r="L5886" s="45" t="n">
        <f aca="false">DATE(YEAR(B5886),MONTH(B5886),1)</f>
        <v>46266</v>
      </c>
      <c r="M5886" s="31" t="n">
        <f aca="false">WEEKDAY(B5886,2)</f>
        <v>4</v>
      </c>
      <c r="N5886" s="31" t="str">
        <f aca="false">IF(G5886&lt;=INDEX(Assumptions!$B$15:$B$18,MATCH(E5886,Assumptions!$A$15:$A$18,0)),"Yes","No")</f>
        <v>Yes</v>
      </c>
      <c r="O5886" s="31" t="str">
        <f aca="false">IF(H5886="","Open",IF(H5886&lt;=INDEX(Assumptions!$C$15:$C$18,MATCH(E5886,Assumptions!$A$15:$A$18,0)),"Yes","No"))</f>
        <v>No</v>
      </c>
    </row>
    <row r="5887" customFormat="false" ht="15" hidden="false" customHeight="false" outlineLevel="0" collapsed="false">
      <c r="A5887" s="31" t="s">
        <v>6037</v>
      </c>
      <c r="B5887" s="44" t="n">
        <v>46282</v>
      </c>
      <c r="C5887" s="31" t="s">
        <v>57</v>
      </c>
      <c r="D5887" s="31" t="s">
        <v>65</v>
      </c>
      <c r="E5887" s="31" t="s">
        <v>50</v>
      </c>
      <c r="F5887" s="31" t="s">
        <v>131</v>
      </c>
      <c r="G5887" s="31" t="n">
        <v>1</v>
      </c>
      <c r="H5887" s="41" t="n">
        <v>0.9</v>
      </c>
      <c r="I5887" s="31" t="s">
        <v>149</v>
      </c>
      <c r="J5887" s="31" t="n">
        <v>4</v>
      </c>
      <c r="K5887" s="31" t="s">
        <v>150</v>
      </c>
      <c r="L5887" s="45" t="n">
        <f aca="false">DATE(YEAR(B5887),MONTH(B5887),1)</f>
        <v>46266</v>
      </c>
      <c r="M5887" s="31" t="n">
        <f aca="false">WEEKDAY(B5887,2)</f>
        <v>4</v>
      </c>
      <c r="N5887" s="31" t="str">
        <f aca="false">IF(G5887&lt;=INDEX(Assumptions!$B$15:$B$18,MATCH(E5887,Assumptions!$A$15:$A$18,0)),"Yes","No")</f>
        <v>Yes</v>
      </c>
      <c r="O5887" s="31" t="str">
        <f aca="false">IF(H5887="","Open",IF(H5887&lt;=INDEX(Assumptions!$C$15:$C$18,MATCH(E5887,Assumptions!$A$15:$A$18,0)),"Yes","No"))</f>
        <v>Yes</v>
      </c>
    </row>
    <row r="5888" customFormat="false" ht="15" hidden="false" customHeight="false" outlineLevel="0" collapsed="false">
      <c r="A5888" s="31" t="s">
        <v>6038</v>
      </c>
      <c r="B5888" s="44" t="n">
        <v>46282</v>
      </c>
      <c r="C5888" s="31" t="s">
        <v>60</v>
      </c>
      <c r="D5888" s="31" t="s">
        <v>65</v>
      </c>
      <c r="E5888" s="31" t="s">
        <v>51</v>
      </c>
      <c r="F5888" s="31" t="s">
        <v>124</v>
      </c>
      <c r="G5888" s="31" t="n">
        <v>1</v>
      </c>
      <c r="H5888" s="41" t="n">
        <v>11.8</v>
      </c>
      <c r="I5888" s="31" t="s">
        <v>149</v>
      </c>
      <c r="J5888" s="31"/>
      <c r="K5888" s="31" t="s">
        <v>150</v>
      </c>
      <c r="L5888" s="45" t="n">
        <f aca="false">DATE(YEAR(B5888),MONTH(B5888),1)</f>
        <v>46266</v>
      </c>
      <c r="M5888" s="31" t="n">
        <f aca="false">WEEKDAY(B5888,2)</f>
        <v>4</v>
      </c>
      <c r="N5888" s="31" t="str">
        <f aca="false">IF(G5888&lt;=INDEX(Assumptions!$B$15:$B$18,MATCH(E5888,Assumptions!$A$15:$A$18,0)),"Yes","No")</f>
        <v>Yes</v>
      </c>
      <c r="O5888" s="31" t="str">
        <f aca="false">IF(H5888="","Open",IF(H5888&lt;=INDEX(Assumptions!$C$15:$C$18,MATCH(E5888,Assumptions!$A$15:$A$18,0)),"Yes","No"))</f>
        <v>Yes</v>
      </c>
    </row>
    <row r="5889" customFormat="false" ht="15" hidden="false" customHeight="false" outlineLevel="0" collapsed="false">
      <c r="A5889" s="31" t="s">
        <v>6039</v>
      </c>
      <c r="B5889" s="44" t="n">
        <v>46282</v>
      </c>
      <c r="C5889" s="31" t="s">
        <v>58</v>
      </c>
      <c r="D5889" s="31" t="s">
        <v>66</v>
      </c>
      <c r="E5889" s="31" t="s">
        <v>51</v>
      </c>
      <c r="F5889" s="31" t="s">
        <v>133</v>
      </c>
      <c r="G5889" s="31" t="n">
        <v>10</v>
      </c>
      <c r="H5889" s="41" t="n">
        <v>0.6</v>
      </c>
      <c r="I5889" s="31" t="s">
        <v>149</v>
      </c>
      <c r="J5889" s="31" t="n">
        <v>4</v>
      </c>
      <c r="K5889" s="31" t="s">
        <v>150</v>
      </c>
      <c r="L5889" s="45" t="n">
        <f aca="false">DATE(YEAR(B5889),MONTH(B5889),1)</f>
        <v>46266</v>
      </c>
      <c r="M5889" s="31" t="n">
        <f aca="false">WEEKDAY(B5889,2)</f>
        <v>4</v>
      </c>
      <c r="N5889" s="31" t="str">
        <f aca="false">IF(G5889&lt;=INDEX(Assumptions!$B$15:$B$18,MATCH(E5889,Assumptions!$A$15:$A$18,0)),"Yes","No")</f>
        <v>Yes</v>
      </c>
      <c r="O5889" s="31" t="str">
        <f aca="false">IF(H5889="","Open",IF(H5889&lt;=INDEX(Assumptions!$C$15:$C$18,MATCH(E5889,Assumptions!$A$15:$A$18,0)),"Yes","No"))</f>
        <v>Yes</v>
      </c>
    </row>
    <row r="5890" customFormat="false" ht="15" hidden="false" customHeight="false" outlineLevel="0" collapsed="false">
      <c r="A5890" s="31" t="s">
        <v>6040</v>
      </c>
      <c r="B5890" s="44" t="n">
        <v>46282</v>
      </c>
      <c r="C5890" s="31" t="s">
        <v>58</v>
      </c>
      <c r="D5890" s="31" t="s">
        <v>69</v>
      </c>
      <c r="E5890" s="31" t="s">
        <v>52</v>
      </c>
      <c r="F5890" s="31" t="s">
        <v>129</v>
      </c>
      <c r="G5890" s="31" t="n">
        <v>15</v>
      </c>
      <c r="H5890" s="41" t="n">
        <v>5.2</v>
      </c>
      <c r="I5890" s="31" t="s">
        <v>149</v>
      </c>
      <c r="J5890" s="31"/>
      <c r="K5890" s="31" t="s">
        <v>150</v>
      </c>
      <c r="L5890" s="45" t="n">
        <f aca="false">DATE(YEAR(B5890),MONTH(B5890),1)</f>
        <v>46266</v>
      </c>
      <c r="M5890" s="31" t="n">
        <f aca="false">WEEKDAY(B5890,2)</f>
        <v>4</v>
      </c>
      <c r="N5890" s="31" t="str">
        <f aca="false">IF(G5890&lt;=INDEX(Assumptions!$B$15:$B$18,MATCH(E5890,Assumptions!$A$15:$A$18,0)),"Yes","No")</f>
        <v>Yes</v>
      </c>
      <c r="O5890" s="31" t="str">
        <f aca="false">IF(H5890="","Open",IF(H5890&lt;=INDEX(Assumptions!$C$15:$C$18,MATCH(E5890,Assumptions!$A$15:$A$18,0)),"Yes","No"))</f>
        <v>Yes</v>
      </c>
    </row>
    <row r="5891" customFormat="false" ht="15" hidden="false" customHeight="false" outlineLevel="0" collapsed="false">
      <c r="A5891" s="31" t="s">
        <v>6041</v>
      </c>
      <c r="B5891" s="44" t="n">
        <v>46282</v>
      </c>
      <c r="C5891" s="31" t="s">
        <v>59</v>
      </c>
      <c r="D5891" s="31" t="s">
        <v>66</v>
      </c>
      <c r="E5891" s="31" t="s">
        <v>50</v>
      </c>
      <c r="F5891" s="31" t="s">
        <v>130</v>
      </c>
      <c r="G5891" s="31" t="n">
        <v>32</v>
      </c>
      <c r="H5891" s="41" t="n">
        <v>1.3</v>
      </c>
      <c r="I5891" s="31" t="s">
        <v>149</v>
      </c>
      <c r="J5891" s="31"/>
      <c r="K5891" s="31" t="s">
        <v>150</v>
      </c>
      <c r="L5891" s="45" t="n">
        <f aca="false">DATE(YEAR(B5891),MONTH(B5891),1)</f>
        <v>46266</v>
      </c>
      <c r="M5891" s="31" t="n">
        <f aca="false">WEEKDAY(B5891,2)</f>
        <v>4</v>
      </c>
      <c r="N5891" s="31" t="str">
        <f aca="false">IF(G5891&lt;=INDEX(Assumptions!$B$15:$B$18,MATCH(E5891,Assumptions!$A$15:$A$18,0)),"Yes","No")</f>
        <v>No</v>
      </c>
      <c r="O5891" s="31" t="str">
        <f aca="false">IF(H5891="","Open",IF(H5891&lt;=INDEX(Assumptions!$C$15:$C$18,MATCH(E5891,Assumptions!$A$15:$A$18,0)),"Yes","No"))</f>
        <v>Yes</v>
      </c>
    </row>
    <row r="5892" customFormat="false" ht="15" hidden="false" customHeight="false" outlineLevel="0" collapsed="false">
      <c r="A5892" s="31" t="s">
        <v>6042</v>
      </c>
      <c r="B5892" s="44" t="n">
        <v>46282</v>
      </c>
      <c r="C5892" s="31" t="s">
        <v>59</v>
      </c>
      <c r="D5892" s="31" t="s">
        <v>66</v>
      </c>
      <c r="E5892" s="31" t="s">
        <v>51</v>
      </c>
      <c r="F5892" s="31" t="s">
        <v>122</v>
      </c>
      <c r="G5892" s="31" t="n">
        <v>34</v>
      </c>
      <c r="H5892" s="41" t="n">
        <v>2.2</v>
      </c>
      <c r="I5892" s="31" t="s">
        <v>149</v>
      </c>
      <c r="J5892" s="31" t="n">
        <v>4</v>
      </c>
      <c r="K5892" s="31" t="s">
        <v>150</v>
      </c>
      <c r="L5892" s="45" t="n">
        <f aca="false">DATE(YEAR(B5892),MONTH(B5892),1)</f>
        <v>46266</v>
      </c>
      <c r="M5892" s="31" t="n">
        <f aca="false">WEEKDAY(B5892,2)</f>
        <v>4</v>
      </c>
      <c r="N5892" s="31" t="str">
        <f aca="false">IF(G5892&lt;=INDEX(Assumptions!$B$15:$B$18,MATCH(E5892,Assumptions!$A$15:$A$18,0)),"Yes","No")</f>
        <v>Yes</v>
      </c>
      <c r="O5892" s="31" t="str">
        <f aca="false">IF(H5892="","Open",IF(H5892&lt;=INDEX(Assumptions!$C$15:$C$18,MATCH(E5892,Assumptions!$A$15:$A$18,0)),"Yes","No"))</f>
        <v>Yes</v>
      </c>
    </row>
    <row r="5893" customFormat="false" ht="15" hidden="false" customHeight="false" outlineLevel="0" collapsed="false">
      <c r="A5893" s="31" t="s">
        <v>6043</v>
      </c>
      <c r="B5893" s="44" t="n">
        <v>46282</v>
      </c>
      <c r="C5893" s="31" t="s">
        <v>58</v>
      </c>
      <c r="D5893" s="31" t="s">
        <v>65</v>
      </c>
      <c r="E5893" s="31" t="s">
        <v>52</v>
      </c>
      <c r="F5893" s="31" t="s">
        <v>120</v>
      </c>
      <c r="G5893" s="31" t="n">
        <v>57</v>
      </c>
      <c r="H5893" s="41" t="n">
        <v>9.8</v>
      </c>
      <c r="I5893" s="31" t="s">
        <v>149</v>
      </c>
      <c r="J5893" s="31" t="n">
        <v>3</v>
      </c>
      <c r="K5893" s="31" t="s">
        <v>150</v>
      </c>
      <c r="L5893" s="45" t="n">
        <f aca="false">DATE(YEAR(B5893),MONTH(B5893),1)</f>
        <v>46266</v>
      </c>
      <c r="M5893" s="31" t="n">
        <f aca="false">WEEKDAY(B5893,2)</f>
        <v>4</v>
      </c>
      <c r="N5893" s="31" t="str">
        <f aca="false">IF(G5893&lt;=INDEX(Assumptions!$B$15:$B$18,MATCH(E5893,Assumptions!$A$15:$A$18,0)),"Yes","No")</f>
        <v>Yes</v>
      </c>
      <c r="O5893" s="31" t="str">
        <f aca="false">IF(H5893="","Open",IF(H5893&lt;=INDEX(Assumptions!$C$15:$C$18,MATCH(E5893,Assumptions!$A$15:$A$18,0)),"Yes","No"))</f>
        <v>Yes</v>
      </c>
    </row>
    <row r="5894" customFormat="false" ht="15" hidden="false" customHeight="false" outlineLevel="0" collapsed="false">
      <c r="A5894" s="31" t="s">
        <v>6044</v>
      </c>
      <c r="B5894" s="44" t="n">
        <v>46282</v>
      </c>
      <c r="C5894" s="31" t="s">
        <v>59</v>
      </c>
      <c r="D5894" s="31" t="s">
        <v>66</v>
      </c>
      <c r="E5894" s="31" t="s">
        <v>51</v>
      </c>
      <c r="F5894" s="31" t="s">
        <v>120</v>
      </c>
      <c r="G5894" s="31" t="n">
        <v>40</v>
      </c>
      <c r="H5894" s="41" t="n">
        <v>2.8</v>
      </c>
      <c r="I5894" s="31" t="s">
        <v>149</v>
      </c>
      <c r="J5894" s="31" t="n">
        <v>2</v>
      </c>
      <c r="K5894" s="31" t="s">
        <v>150</v>
      </c>
      <c r="L5894" s="45" t="n">
        <f aca="false">DATE(YEAR(B5894),MONTH(B5894),1)</f>
        <v>46266</v>
      </c>
      <c r="M5894" s="31" t="n">
        <f aca="false">WEEKDAY(B5894,2)</f>
        <v>4</v>
      </c>
      <c r="N5894" s="31" t="str">
        <f aca="false">IF(G5894&lt;=INDEX(Assumptions!$B$15:$B$18,MATCH(E5894,Assumptions!$A$15:$A$18,0)),"Yes","No")</f>
        <v>Yes</v>
      </c>
      <c r="O5894" s="31" t="str">
        <f aca="false">IF(H5894="","Open",IF(H5894&lt;=INDEX(Assumptions!$C$15:$C$18,MATCH(E5894,Assumptions!$A$15:$A$18,0)),"Yes","No"))</f>
        <v>Yes</v>
      </c>
    </row>
    <row r="5895" customFormat="false" ht="15" hidden="false" customHeight="false" outlineLevel="0" collapsed="false">
      <c r="A5895" s="31" t="s">
        <v>6045</v>
      </c>
      <c r="B5895" s="44" t="n">
        <v>46282</v>
      </c>
      <c r="C5895" s="31" t="s">
        <v>57</v>
      </c>
      <c r="D5895" s="31" t="s">
        <v>65</v>
      </c>
      <c r="E5895" s="31" t="s">
        <v>51</v>
      </c>
      <c r="F5895" s="31" t="s">
        <v>136</v>
      </c>
      <c r="G5895" s="31" t="n">
        <v>3</v>
      </c>
      <c r="H5895" s="41" t="n">
        <v>7</v>
      </c>
      <c r="I5895" s="31" t="s">
        <v>149</v>
      </c>
      <c r="J5895" s="31" t="n">
        <v>4</v>
      </c>
      <c r="K5895" s="31" t="s">
        <v>150</v>
      </c>
      <c r="L5895" s="45" t="n">
        <f aca="false">DATE(YEAR(B5895),MONTH(B5895),1)</f>
        <v>46266</v>
      </c>
      <c r="M5895" s="31" t="n">
        <f aca="false">WEEKDAY(B5895,2)</f>
        <v>4</v>
      </c>
      <c r="N5895" s="31" t="str">
        <f aca="false">IF(G5895&lt;=INDEX(Assumptions!$B$15:$B$18,MATCH(E5895,Assumptions!$A$15:$A$18,0)),"Yes","No")</f>
        <v>Yes</v>
      </c>
      <c r="O5895" s="31" t="str">
        <f aca="false">IF(H5895="","Open",IF(H5895&lt;=INDEX(Assumptions!$C$15:$C$18,MATCH(E5895,Assumptions!$A$15:$A$18,0)),"Yes","No"))</f>
        <v>Yes</v>
      </c>
    </row>
    <row r="5896" customFormat="false" ht="15" hidden="false" customHeight="false" outlineLevel="0" collapsed="false">
      <c r="A5896" s="31" t="s">
        <v>6046</v>
      </c>
      <c r="B5896" s="44" t="n">
        <v>46282</v>
      </c>
      <c r="C5896" s="31" t="s">
        <v>58</v>
      </c>
      <c r="D5896" s="31" t="s">
        <v>67</v>
      </c>
      <c r="E5896" s="31" t="s">
        <v>51</v>
      </c>
      <c r="F5896" s="31" t="s">
        <v>131</v>
      </c>
      <c r="G5896" s="31" t="n">
        <v>9</v>
      </c>
      <c r="H5896" s="41"/>
      <c r="I5896" s="31" t="s">
        <v>158</v>
      </c>
      <c r="J5896" s="31"/>
      <c r="K5896" s="31" t="s">
        <v>150</v>
      </c>
      <c r="L5896" s="45" t="n">
        <f aca="false">DATE(YEAR(B5896),MONTH(B5896),1)</f>
        <v>46266</v>
      </c>
      <c r="M5896" s="31" t="n">
        <f aca="false">WEEKDAY(B5896,2)</f>
        <v>4</v>
      </c>
      <c r="N5896" s="31" t="str">
        <f aca="false">IF(G5896&lt;=INDEX(Assumptions!$B$15:$B$18,MATCH(E5896,Assumptions!$A$15:$A$18,0)),"Yes","No")</f>
        <v>Yes</v>
      </c>
      <c r="O5896" s="31" t="str">
        <f aca="false">IF(H5896="","Open",IF(H5896&lt;=INDEX(Assumptions!$C$15:$C$18,MATCH(E5896,Assumptions!$A$15:$A$18,0)),"Yes","No"))</f>
        <v>Open</v>
      </c>
    </row>
    <row r="5897" customFormat="false" ht="15" hidden="false" customHeight="false" outlineLevel="0" collapsed="false">
      <c r="A5897" s="31" t="s">
        <v>6047</v>
      </c>
      <c r="B5897" s="44" t="n">
        <v>46282</v>
      </c>
      <c r="C5897" s="31" t="s">
        <v>58</v>
      </c>
      <c r="D5897" s="31" t="s">
        <v>65</v>
      </c>
      <c r="E5897" s="31" t="s">
        <v>50</v>
      </c>
      <c r="F5897" s="31" t="s">
        <v>128</v>
      </c>
      <c r="G5897" s="31" t="n">
        <v>62</v>
      </c>
      <c r="H5897" s="41" t="n">
        <v>5</v>
      </c>
      <c r="I5897" s="31" t="s">
        <v>149</v>
      </c>
      <c r="J5897" s="31" t="n">
        <v>4</v>
      </c>
      <c r="K5897" s="31" t="s">
        <v>150</v>
      </c>
      <c r="L5897" s="45" t="n">
        <f aca="false">DATE(YEAR(B5897),MONTH(B5897),1)</f>
        <v>46266</v>
      </c>
      <c r="M5897" s="31" t="n">
        <f aca="false">WEEKDAY(B5897,2)</f>
        <v>4</v>
      </c>
      <c r="N5897" s="31" t="str">
        <f aca="false">IF(G5897&lt;=INDEX(Assumptions!$B$15:$B$18,MATCH(E5897,Assumptions!$A$15:$A$18,0)),"Yes","No")</f>
        <v>No</v>
      </c>
      <c r="O5897" s="31" t="str">
        <f aca="false">IF(H5897="","Open",IF(H5897&lt;=INDEX(Assumptions!$C$15:$C$18,MATCH(E5897,Assumptions!$A$15:$A$18,0)),"Yes","No"))</f>
        <v>Yes</v>
      </c>
    </row>
    <row r="5898" customFormat="false" ht="15" hidden="false" customHeight="false" outlineLevel="0" collapsed="false">
      <c r="A5898" s="31" t="s">
        <v>6048</v>
      </c>
      <c r="B5898" s="44" t="n">
        <v>46282</v>
      </c>
      <c r="C5898" s="31" t="s">
        <v>58</v>
      </c>
      <c r="D5898" s="31" t="s">
        <v>67</v>
      </c>
      <c r="E5898" s="31" t="s">
        <v>49</v>
      </c>
      <c r="F5898" s="31" t="s">
        <v>119</v>
      </c>
      <c r="G5898" s="31" t="n">
        <v>4</v>
      </c>
      <c r="H5898" s="41" t="n">
        <v>2.6</v>
      </c>
      <c r="I5898" s="31" t="s">
        <v>149</v>
      </c>
      <c r="J5898" s="31" t="n">
        <v>4</v>
      </c>
      <c r="K5898" s="31" t="s">
        <v>150</v>
      </c>
      <c r="L5898" s="45" t="n">
        <f aca="false">DATE(YEAR(B5898),MONTH(B5898),1)</f>
        <v>46266</v>
      </c>
      <c r="M5898" s="31" t="n">
        <f aca="false">WEEKDAY(B5898,2)</f>
        <v>4</v>
      </c>
      <c r="N5898" s="31" t="str">
        <f aca="false">IF(G5898&lt;=INDEX(Assumptions!$B$15:$B$18,MATCH(E5898,Assumptions!$A$15:$A$18,0)),"Yes","No")</f>
        <v>Yes</v>
      </c>
      <c r="O5898" s="31" t="str">
        <f aca="false">IF(H5898="","Open",IF(H5898&lt;=INDEX(Assumptions!$C$15:$C$18,MATCH(E5898,Assumptions!$A$15:$A$18,0)),"Yes","No"))</f>
        <v>Yes</v>
      </c>
    </row>
    <row r="5899" customFormat="false" ht="15" hidden="false" customHeight="false" outlineLevel="0" collapsed="false">
      <c r="A5899" s="31" t="s">
        <v>6049</v>
      </c>
      <c r="B5899" s="44" t="n">
        <v>46282</v>
      </c>
      <c r="C5899" s="31" t="s">
        <v>57</v>
      </c>
      <c r="D5899" s="31" t="s">
        <v>65</v>
      </c>
      <c r="E5899" s="31" t="s">
        <v>51</v>
      </c>
      <c r="F5899" s="31" t="s">
        <v>128</v>
      </c>
      <c r="G5899" s="31" t="n">
        <v>21</v>
      </c>
      <c r="H5899" s="41" t="n">
        <v>14.1</v>
      </c>
      <c r="I5899" s="31" t="s">
        <v>149</v>
      </c>
      <c r="J5899" s="31" t="n">
        <v>4</v>
      </c>
      <c r="K5899" s="31" t="s">
        <v>150</v>
      </c>
      <c r="L5899" s="45" t="n">
        <f aca="false">DATE(YEAR(B5899),MONTH(B5899),1)</f>
        <v>46266</v>
      </c>
      <c r="M5899" s="31" t="n">
        <f aca="false">WEEKDAY(B5899,2)</f>
        <v>4</v>
      </c>
      <c r="N5899" s="31" t="str">
        <f aca="false">IF(G5899&lt;=INDEX(Assumptions!$B$15:$B$18,MATCH(E5899,Assumptions!$A$15:$A$18,0)),"Yes","No")</f>
        <v>Yes</v>
      </c>
      <c r="O5899" s="31" t="str">
        <f aca="false">IF(H5899="","Open",IF(H5899&lt;=INDEX(Assumptions!$C$15:$C$18,MATCH(E5899,Assumptions!$A$15:$A$18,0)),"Yes","No"))</f>
        <v>Yes</v>
      </c>
    </row>
    <row r="5900" customFormat="false" ht="15" hidden="false" customHeight="false" outlineLevel="0" collapsed="false">
      <c r="A5900" s="31" t="s">
        <v>6050</v>
      </c>
      <c r="B5900" s="44" t="n">
        <v>46282</v>
      </c>
      <c r="C5900" s="31" t="s">
        <v>60</v>
      </c>
      <c r="D5900" s="31" t="s">
        <v>69</v>
      </c>
      <c r="E5900" s="31" t="s">
        <v>52</v>
      </c>
      <c r="F5900" s="31" t="s">
        <v>137</v>
      </c>
      <c r="G5900" s="31" t="n">
        <v>4</v>
      </c>
      <c r="H5900" s="41" t="n">
        <v>190.6</v>
      </c>
      <c r="I5900" s="31" t="s">
        <v>149</v>
      </c>
      <c r="J5900" s="31" t="n">
        <v>2</v>
      </c>
      <c r="K5900" s="31" t="s">
        <v>150</v>
      </c>
      <c r="L5900" s="45" t="n">
        <f aca="false">DATE(YEAR(B5900),MONTH(B5900),1)</f>
        <v>46266</v>
      </c>
      <c r="M5900" s="31" t="n">
        <f aca="false">WEEKDAY(B5900,2)</f>
        <v>4</v>
      </c>
      <c r="N5900" s="31" t="str">
        <f aca="false">IF(G5900&lt;=INDEX(Assumptions!$B$15:$B$18,MATCH(E5900,Assumptions!$A$15:$A$18,0)),"Yes","No")</f>
        <v>Yes</v>
      </c>
      <c r="O5900" s="31" t="str">
        <f aca="false">IF(H5900="","Open",IF(H5900&lt;=INDEX(Assumptions!$C$15:$C$18,MATCH(E5900,Assumptions!$A$15:$A$18,0)),"Yes","No"))</f>
        <v>No</v>
      </c>
    </row>
    <row r="5901" customFormat="false" ht="15" hidden="false" customHeight="false" outlineLevel="0" collapsed="false">
      <c r="A5901" s="31" t="s">
        <v>6051</v>
      </c>
      <c r="B5901" s="44" t="n">
        <v>46282</v>
      </c>
      <c r="C5901" s="31" t="s">
        <v>57</v>
      </c>
      <c r="D5901" s="31" t="s">
        <v>67</v>
      </c>
      <c r="E5901" s="31" t="s">
        <v>52</v>
      </c>
      <c r="F5901" s="31" t="s">
        <v>119</v>
      </c>
      <c r="G5901" s="31" t="n">
        <v>10</v>
      </c>
      <c r="H5901" s="41" t="n">
        <v>53.6</v>
      </c>
      <c r="I5901" s="31" t="s">
        <v>149</v>
      </c>
      <c r="J5901" s="31"/>
      <c r="K5901" s="31" t="s">
        <v>150</v>
      </c>
      <c r="L5901" s="45" t="n">
        <f aca="false">DATE(YEAR(B5901),MONTH(B5901),1)</f>
        <v>46266</v>
      </c>
      <c r="M5901" s="31" t="n">
        <f aca="false">WEEKDAY(B5901,2)</f>
        <v>4</v>
      </c>
      <c r="N5901" s="31" t="str">
        <f aca="false">IF(G5901&lt;=INDEX(Assumptions!$B$15:$B$18,MATCH(E5901,Assumptions!$A$15:$A$18,0)),"Yes","No")</f>
        <v>Yes</v>
      </c>
      <c r="O5901" s="31" t="str">
        <f aca="false">IF(H5901="","Open",IF(H5901&lt;=INDEX(Assumptions!$C$15:$C$18,MATCH(E5901,Assumptions!$A$15:$A$18,0)),"Yes","No"))</f>
        <v>Yes</v>
      </c>
    </row>
    <row r="5902" customFormat="false" ht="15" hidden="false" customHeight="false" outlineLevel="0" collapsed="false">
      <c r="A5902" s="31" t="s">
        <v>6052</v>
      </c>
      <c r="B5902" s="44" t="n">
        <v>46282</v>
      </c>
      <c r="C5902" s="31" t="s">
        <v>59</v>
      </c>
      <c r="D5902" s="31" t="s">
        <v>69</v>
      </c>
      <c r="E5902" s="31" t="s">
        <v>50</v>
      </c>
      <c r="F5902" s="31" t="s">
        <v>124</v>
      </c>
      <c r="G5902" s="31" t="n">
        <v>37</v>
      </c>
      <c r="H5902" s="41" t="n">
        <v>10.6</v>
      </c>
      <c r="I5902" s="31" t="s">
        <v>149</v>
      </c>
      <c r="J5902" s="31"/>
      <c r="K5902" s="31" t="s">
        <v>150</v>
      </c>
      <c r="L5902" s="45" t="n">
        <f aca="false">DATE(YEAR(B5902),MONTH(B5902),1)</f>
        <v>46266</v>
      </c>
      <c r="M5902" s="31" t="n">
        <f aca="false">WEEKDAY(B5902,2)</f>
        <v>4</v>
      </c>
      <c r="N5902" s="31" t="str">
        <f aca="false">IF(G5902&lt;=INDEX(Assumptions!$B$15:$B$18,MATCH(E5902,Assumptions!$A$15:$A$18,0)),"Yes","No")</f>
        <v>No</v>
      </c>
      <c r="O5902" s="31" t="str">
        <f aca="false">IF(H5902="","Open",IF(H5902&lt;=INDEX(Assumptions!$C$15:$C$18,MATCH(E5902,Assumptions!$A$15:$A$18,0)),"Yes","No"))</f>
        <v>No</v>
      </c>
    </row>
    <row r="5903" customFormat="false" ht="15" hidden="false" customHeight="false" outlineLevel="0" collapsed="false">
      <c r="A5903" s="31" t="s">
        <v>6053</v>
      </c>
      <c r="B5903" s="44" t="n">
        <v>46283</v>
      </c>
      <c r="C5903" s="31" t="s">
        <v>57</v>
      </c>
      <c r="D5903" s="31" t="s">
        <v>67</v>
      </c>
      <c r="E5903" s="31" t="s">
        <v>51</v>
      </c>
      <c r="F5903" s="31" t="s">
        <v>129</v>
      </c>
      <c r="G5903" s="31" t="n">
        <v>2</v>
      </c>
      <c r="H5903" s="41" t="n">
        <v>55.8</v>
      </c>
      <c r="I5903" s="31" t="s">
        <v>149</v>
      </c>
      <c r="J5903" s="31"/>
      <c r="K5903" s="31" t="s">
        <v>150</v>
      </c>
      <c r="L5903" s="45" t="n">
        <f aca="false">DATE(YEAR(B5903),MONTH(B5903),1)</f>
        <v>46266</v>
      </c>
      <c r="M5903" s="31" t="n">
        <f aca="false">WEEKDAY(B5903,2)</f>
        <v>5</v>
      </c>
      <c r="N5903" s="31" t="str">
        <f aca="false">IF(G5903&lt;=INDEX(Assumptions!$B$15:$B$18,MATCH(E5903,Assumptions!$A$15:$A$18,0)),"Yes","No")</f>
        <v>Yes</v>
      </c>
      <c r="O5903" s="31" t="str">
        <f aca="false">IF(H5903="","Open",IF(H5903&lt;=INDEX(Assumptions!$C$15:$C$18,MATCH(E5903,Assumptions!$A$15:$A$18,0)),"Yes","No"))</f>
        <v>No</v>
      </c>
    </row>
    <row r="5904" customFormat="false" ht="15" hidden="false" customHeight="false" outlineLevel="0" collapsed="false">
      <c r="A5904" s="31" t="s">
        <v>6054</v>
      </c>
      <c r="B5904" s="44" t="n">
        <v>46283</v>
      </c>
      <c r="C5904" s="31" t="s">
        <v>59</v>
      </c>
      <c r="D5904" s="31" t="s">
        <v>68</v>
      </c>
      <c r="E5904" s="31" t="s">
        <v>52</v>
      </c>
      <c r="F5904" s="31" t="s">
        <v>120</v>
      </c>
      <c r="G5904" s="31" t="n">
        <v>142</v>
      </c>
      <c r="H5904" s="41" t="n">
        <v>15.8</v>
      </c>
      <c r="I5904" s="31" t="s">
        <v>149</v>
      </c>
      <c r="J5904" s="31" t="n">
        <v>3</v>
      </c>
      <c r="K5904" s="31" t="s">
        <v>150</v>
      </c>
      <c r="L5904" s="45" t="n">
        <f aca="false">DATE(YEAR(B5904),MONTH(B5904),1)</f>
        <v>46266</v>
      </c>
      <c r="M5904" s="31" t="n">
        <f aca="false">WEEKDAY(B5904,2)</f>
        <v>5</v>
      </c>
      <c r="N5904" s="31" t="str">
        <f aca="false">IF(G5904&lt;=INDEX(Assumptions!$B$15:$B$18,MATCH(E5904,Assumptions!$A$15:$A$18,0)),"Yes","No")</f>
        <v>Yes</v>
      </c>
      <c r="O5904" s="31" t="str">
        <f aca="false">IF(H5904="","Open",IF(H5904&lt;=INDEX(Assumptions!$C$15:$C$18,MATCH(E5904,Assumptions!$A$15:$A$18,0)),"Yes","No"))</f>
        <v>Yes</v>
      </c>
    </row>
    <row r="5905" customFormat="false" ht="15" hidden="false" customHeight="false" outlineLevel="0" collapsed="false">
      <c r="A5905" s="31" t="s">
        <v>6055</v>
      </c>
      <c r="B5905" s="44" t="n">
        <v>46283</v>
      </c>
      <c r="C5905" s="31" t="s">
        <v>58</v>
      </c>
      <c r="D5905" s="31" t="s">
        <v>67</v>
      </c>
      <c r="E5905" s="31" t="s">
        <v>50</v>
      </c>
      <c r="F5905" s="31" t="s">
        <v>135</v>
      </c>
      <c r="G5905" s="31" t="n">
        <v>25</v>
      </c>
      <c r="H5905" s="41" t="n">
        <v>17.3</v>
      </c>
      <c r="I5905" s="31" t="s">
        <v>149</v>
      </c>
      <c r="J5905" s="31"/>
      <c r="K5905" s="31" t="s">
        <v>150</v>
      </c>
      <c r="L5905" s="45" t="n">
        <f aca="false">DATE(YEAR(B5905),MONTH(B5905),1)</f>
        <v>46266</v>
      </c>
      <c r="M5905" s="31" t="n">
        <f aca="false">WEEKDAY(B5905,2)</f>
        <v>5</v>
      </c>
      <c r="N5905" s="31" t="str">
        <f aca="false">IF(G5905&lt;=INDEX(Assumptions!$B$15:$B$18,MATCH(E5905,Assumptions!$A$15:$A$18,0)),"Yes","No")</f>
        <v>Yes</v>
      </c>
      <c r="O5905" s="31" t="str">
        <f aca="false">IF(H5905="","Open",IF(H5905&lt;=INDEX(Assumptions!$C$15:$C$18,MATCH(E5905,Assumptions!$A$15:$A$18,0)),"Yes","No"))</f>
        <v>No</v>
      </c>
    </row>
    <row r="5906" customFormat="false" ht="15" hidden="false" customHeight="false" outlineLevel="0" collapsed="false">
      <c r="A5906" s="31" t="s">
        <v>6056</v>
      </c>
      <c r="B5906" s="44" t="n">
        <v>46283</v>
      </c>
      <c r="C5906" s="31" t="s">
        <v>59</v>
      </c>
      <c r="D5906" s="31" t="s">
        <v>69</v>
      </c>
      <c r="E5906" s="31" t="s">
        <v>51</v>
      </c>
      <c r="F5906" s="31" t="s">
        <v>128</v>
      </c>
      <c r="G5906" s="31" t="n">
        <v>293</v>
      </c>
      <c r="H5906" s="41" t="n">
        <v>23.6</v>
      </c>
      <c r="I5906" s="31" t="s">
        <v>149</v>
      </c>
      <c r="J5906" s="31"/>
      <c r="K5906" s="31" t="s">
        <v>150</v>
      </c>
      <c r="L5906" s="45" t="n">
        <f aca="false">DATE(YEAR(B5906),MONTH(B5906),1)</f>
        <v>46266</v>
      </c>
      <c r="M5906" s="31" t="n">
        <f aca="false">WEEKDAY(B5906,2)</f>
        <v>5</v>
      </c>
      <c r="N5906" s="31" t="str">
        <f aca="false">IF(G5906&lt;=INDEX(Assumptions!$B$15:$B$18,MATCH(E5906,Assumptions!$A$15:$A$18,0)),"Yes","No")</f>
        <v>No</v>
      </c>
      <c r="O5906" s="31" t="str">
        <f aca="false">IF(H5906="","Open",IF(H5906&lt;=INDEX(Assumptions!$C$15:$C$18,MATCH(E5906,Assumptions!$A$15:$A$18,0)),"Yes","No"))</f>
        <v>Yes</v>
      </c>
    </row>
    <row r="5907" customFormat="false" ht="15" hidden="false" customHeight="false" outlineLevel="0" collapsed="false">
      <c r="A5907" s="31" t="s">
        <v>6057</v>
      </c>
      <c r="B5907" s="44" t="n">
        <v>46283</v>
      </c>
      <c r="C5907" s="31" t="s">
        <v>57</v>
      </c>
      <c r="D5907" s="31" t="s">
        <v>66</v>
      </c>
      <c r="E5907" s="31" t="s">
        <v>49</v>
      </c>
      <c r="F5907" s="31" t="s">
        <v>131</v>
      </c>
      <c r="G5907" s="31" t="n">
        <v>1</v>
      </c>
      <c r="H5907" s="41" t="n">
        <v>1.7</v>
      </c>
      <c r="I5907" s="31" t="s">
        <v>149</v>
      </c>
      <c r="J5907" s="31"/>
      <c r="K5907" s="31" t="s">
        <v>150</v>
      </c>
      <c r="L5907" s="45" t="n">
        <f aca="false">DATE(YEAR(B5907),MONTH(B5907),1)</f>
        <v>46266</v>
      </c>
      <c r="M5907" s="31" t="n">
        <f aca="false">WEEKDAY(B5907,2)</f>
        <v>5</v>
      </c>
      <c r="N5907" s="31" t="str">
        <f aca="false">IF(G5907&lt;=INDEX(Assumptions!$B$15:$B$18,MATCH(E5907,Assumptions!$A$15:$A$18,0)),"Yes","No")</f>
        <v>Yes</v>
      </c>
      <c r="O5907" s="31" t="str">
        <f aca="false">IF(H5907="","Open",IF(H5907&lt;=INDEX(Assumptions!$C$15:$C$18,MATCH(E5907,Assumptions!$A$15:$A$18,0)),"Yes","No"))</f>
        <v>Yes</v>
      </c>
    </row>
    <row r="5908" customFormat="false" ht="15" hidden="false" customHeight="false" outlineLevel="0" collapsed="false">
      <c r="A5908" s="31" t="s">
        <v>6058</v>
      </c>
      <c r="B5908" s="44" t="n">
        <v>46283</v>
      </c>
      <c r="C5908" s="31" t="s">
        <v>60</v>
      </c>
      <c r="D5908" s="31" t="s">
        <v>65</v>
      </c>
      <c r="E5908" s="31" t="s">
        <v>51</v>
      </c>
      <c r="F5908" s="31" t="s">
        <v>137</v>
      </c>
      <c r="G5908" s="31" t="n">
        <v>3</v>
      </c>
      <c r="H5908" s="41" t="n">
        <v>16.7</v>
      </c>
      <c r="I5908" s="31" t="s">
        <v>149</v>
      </c>
      <c r="J5908" s="31" t="n">
        <v>5</v>
      </c>
      <c r="K5908" s="31" t="s">
        <v>150</v>
      </c>
      <c r="L5908" s="45" t="n">
        <f aca="false">DATE(YEAR(B5908),MONTH(B5908),1)</f>
        <v>46266</v>
      </c>
      <c r="M5908" s="31" t="n">
        <f aca="false">WEEKDAY(B5908,2)</f>
        <v>5</v>
      </c>
      <c r="N5908" s="31" t="str">
        <f aca="false">IF(G5908&lt;=INDEX(Assumptions!$B$15:$B$18,MATCH(E5908,Assumptions!$A$15:$A$18,0)),"Yes","No")</f>
        <v>Yes</v>
      </c>
      <c r="O5908" s="31" t="str">
        <f aca="false">IF(H5908="","Open",IF(H5908&lt;=INDEX(Assumptions!$C$15:$C$18,MATCH(E5908,Assumptions!$A$15:$A$18,0)),"Yes","No"))</f>
        <v>Yes</v>
      </c>
    </row>
    <row r="5909" customFormat="false" ht="15" hidden="false" customHeight="false" outlineLevel="0" collapsed="false">
      <c r="A5909" s="31" t="s">
        <v>6059</v>
      </c>
      <c r="B5909" s="44" t="n">
        <v>46283</v>
      </c>
      <c r="C5909" s="31" t="s">
        <v>58</v>
      </c>
      <c r="D5909" s="31" t="s">
        <v>66</v>
      </c>
      <c r="E5909" s="31" t="s">
        <v>51</v>
      </c>
      <c r="F5909" s="31" t="s">
        <v>124</v>
      </c>
      <c r="G5909" s="31" t="n">
        <v>17</v>
      </c>
      <c r="H5909" s="41" t="n">
        <v>2.7</v>
      </c>
      <c r="I5909" s="31" t="s">
        <v>149</v>
      </c>
      <c r="J5909" s="31"/>
      <c r="K5909" s="31" t="s">
        <v>153</v>
      </c>
      <c r="L5909" s="45" t="n">
        <f aca="false">DATE(YEAR(B5909),MONTH(B5909),1)</f>
        <v>46266</v>
      </c>
      <c r="M5909" s="31" t="n">
        <f aca="false">WEEKDAY(B5909,2)</f>
        <v>5</v>
      </c>
      <c r="N5909" s="31" t="str">
        <f aca="false">IF(G5909&lt;=INDEX(Assumptions!$B$15:$B$18,MATCH(E5909,Assumptions!$A$15:$A$18,0)),"Yes","No")</f>
        <v>Yes</v>
      </c>
      <c r="O5909" s="31" t="str">
        <f aca="false">IF(H5909="","Open",IF(H5909&lt;=INDEX(Assumptions!$C$15:$C$18,MATCH(E5909,Assumptions!$A$15:$A$18,0)),"Yes","No"))</f>
        <v>Yes</v>
      </c>
    </row>
    <row r="5910" customFormat="false" ht="15" hidden="false" customHeight="false" outlineLevel="0" collapsed="false">
      <c r="A5910" s="31" t="s">
        <v>6060</v>
      </c>
      <c r="B5910" s="44" t="n">
        <v>46283</v>
      </c>
      <c r="C5910" s="31" t="s">
        <v>60</v>
      </c>
      <c r="D5910" s="31" t="s">
        <v>66</v>
      </c>
      <c r="E5910" s="31" t="s">
        <v>52</v>
      </c>
      <c r="F5910" s="31" t="s">
        <v>128</v>
      </c>
      <c r="G5910" s="31" t="n">
        <v>5</v>
      </c>
      <c r="H5910" s="41" t="n">
        <v>10.2</v>
      </c>
      <c r="I5910" s="31" t="s">
        <v>149</v>
      </c>
      <c r="J5910" s="31" t="n">
        <v>4</v>
      </c>
      <c r="K5910" s="31" t="s">
        <v>153</v>
      </c>
      <c r="L5910" s="45" t="n">
        <f aca="false">DATE(YEAR(B5910),MONTH(B5910),1)</f>
        <v>46266</v>
      </c>
      <c r="M5910" s="31" t="n">
        <f aca="false">WEEKDAY(B5910,2)</f>
        <v>5</v>
      </c>
      <c r="N5910" s="31" t="str">
        <f aca="false">IF(G5910&lt;=INDEX(Assumptions!$B$15:$B$18,MATCH(E5910,Assumptions!$A$15:$A$18,0)),"Yes","No")</f>
        <v>Yes</v>
      </c>
      <c r="O5910" s="31" t="str">
        <f aca="false">IF(H5910="","Open",IF(H5910&lt;=INDEX(Assumptions!$C$15:$C$18,MATCH(E5910,Assumptions!$A$15:$A$18,0)),"Yes","No"))</f>
        <v>Yes</v>
      </c>
    </row>
    <row r="5911" customFormat="false" ht="15" hidden="false" customHeight="false" outlineLevel="0" collapsed="false">
      <c r="A5911" s="31" t="s">
        <v>6061</v>
      </c>
      <c r="B5911" s="44" t="n">
        <v>46283</v>
      </c>
      <c r="C5911" s="31" t="s">
        <v>57</v>
      </c>
      <c r="D5911" s="31" t="s">
        <v>67</v>
      </c>
      <c r="E5911" s="31" t="s">
        <v>51</v>
      </c>
      <c r="F5911" s="31" t="s">
        <v>127</v>
      </c>
      <c r="G5911" s="31" t="n">
        <v>2</v>
      </c>
      <c r="H5911" s="41" t="n">
        <v>11.3</v>
      </c>
      <c r="I5911" s="31" t="s">
        <v>149</v>
      </c>
      <c r="J5911" s="31"/>
      <c r="K5911" s="31" t="s">
        <v>150</v>
      </c>
      <c r="L5911" s="45" t="n">
        <f aca="false">DATE(YEAR(B5911),MONTH(B5911),1)</f>
        <v>46266</v>
      </c>
      <c r="M5911" s="31" t="n">
        <f aca="false">WEEKDAY(B5911,2)</f>
        <v>5</v>
      </c>
      <c r="N5911" s="31" t="str">
        <f aca="false">IF(G5911&lt;=INDEX(Assumptions!$B$15:$B$18,MATCH(E5911,Assumptions!$A$15:$A$18,0)),"Yes","No")</f>
        <v>Yes</v>
      </c>
      <c r="O5911" s="31" t="str">
        <f aca="false">IF(H5911="","Open",IF(H5911&lt;=INDEX(Assumptions!$C$15:$C$18,MATCH(E5911,Assumptions!$A$15:$A$18,0)),"Yes","No"))</f>
        <v>Yes</v>
      </c>
    </row>
    <row r="5912" customFormat="false" ht="15" hidden="false" customHeight="false" outlineLevel="0" collapsed="false">
      <c r="A5912" s="31" t="s">
        <v>6062</v>
      </c>
      <c r="B5912" s="44" t="n">
        <v>46283</v>
      </c>
      <c r="C5912" s="31" t="s">
        <v>57</v>
      </c>
      <c r="D5912" s="31" t="s">
        <v>66</v>
      </c>
      <c r="E5912" s="31" t="s">
        <v>52</v>
      </c>
      <c r="F5912" s="31" t="s">
        <v>134</v>
      </c>
      <c r="G5912" s="31" t="n">
        <v>8</v>
      </c>
      <c r="H5912" s="41" t="n">
        <v>17.3</v>
      </c>
      <c r="I5912" s="31" t="s">
        <v>149</v>
      </c>
      <c r="J5912" s="31"/>
      <c r="K5912" s="31" t="s">
        <v>150</v>
      </c>
      <c r="L5912" s="45" t="n">
        <f aca="false">DATE(YEAR(B5912),MONTH(B5912),1)</f>
        <v>46266</v>
      </c>
      <c r="M5912" s="31" t="n">
        <f aca="false">WEEKDAY(B5912,2)</f>
        <v>5</v>
      </c>
      <c r="N5912" s="31" t="str">
        <f aca="false">IF(G5912&lt;=INDEX(Assumptions!$B$15:$B$18,MATCH(E5912,Assumptions!$A$15:$A$18,0)),"Yes","No")</f>
        <v>Yes</v>
      </c>
      <c r="O5912" s="31" t="str">
        <f aca="false">IF(H5912="","Open",IF(H5912&lt;=INDEX(Assumptions!$C$15:$C$18,MATCH(E5912,Assumptions!$A$15:$A$18,0)),"Yes","No"))</f>
        <v>Yes</v>
      </c>
    </row>
    <row r="5913" customFormat="false" ht="15" hidden="false" customHeight="false" outlineLevel="0" collapsed="false">
      <c r="A5913" s="31" t="s">
        <v>6063</v>
      </c>
      <c r="B5913" s="44" t="n">
        <v>46283</v>
      </c>
      <c r="C5913" s="31" t="s">
        <v>57</v>
      </c>
      <c r="D5913" s="31" t="s">
        <v>65</v>
      </c>
      <c r="E5913" s="31" t="s">
        <v>51</v>
      </c>
      <c r="F5913" s="31" t="s">
        <v>119</v>
      </c>
      <c r="G5913" s="31" t="n">
        <v>4</v>
      </c>
      <c r="H5913" s="41" t="n">
        <v>17.3</v>
      </c>
      <c r="I5913" s="31" t="s">
        <v>149</v>
      </c>
      <c r="J5913" s="31"/>
      <c r="K5913" s="31" t="s">
        <v>150</v>
      </c>
      <c r="L5913" s="45" t="n">
        <f aca="false">DATE(YEAR(B5913),MONTH(B5913),1)</f>
        <v>46266</v>
      </c>
      <c r="M5913" s="31" t="n">
        <f aca="false">WEEKDAY(B5913,2)</f>
        <v>5</v>
      </c>
      <c r="N5913" s="31" t="str">
        <f aca="false">IF(G5913&lt;=INDEX(Assumptions!$B$15:$B$18,MATCH(E5913,Assumptions!$A$15:$A$18,0)),"Yes","No")</f>
        <v>Yes</v>
      </c>
      <c r="O5913" s="31" t="str">
        <f aca="false">IF(H5913="","Open",IF(H5913&lt;=INDEX(Assumptions!$C$15:$C$18,MATCH(E5913,Assumptions!$A$15:$A$18,0)),"Yes","No"))</f>
        <v>Yes</v>
      </c>
    </row>
    <row r="5914" customFormat="false" ht="15" hidden="false" customHeight="false" outlineLevel="0" collapsed="false">
      <c r="A5914" s="31" t="s">
        <v>6064</v>
      </c>
      <c r="B5914" s="44" t="n">
        <v>46283</v>
      </c>
      <c r="C5914" s="31" t="s">
        <v>58</v>
      </c>
      <c r="D5914" s="31" t="s">
        <v>66</v>
      </c>
      <c r="E5914" s="31" t="s">
        <v>50</v>
      </c>
      <c r="F5914" s="31" t="s">
        <v>123</v>
      </c>
      <c r="G5914" s="31" t="n">
        <v>7</v>
      </c>
      <c r="H5914" s="41" t="n">
        <v>1.9</v>
      </c>
      <c r="I5914" s="31" t="s">
        <v>149</v>
      </c>
      <c r="J5914" s="31" t="n">
        <v>4</v>
      </c>
      <c r="K5914" s="31" t="s">
        <v>150</v>
      </c>
      <c r="L5914" s="45" t="n">
        <f aca="false">DATE(YEAR(B5914),MONTH(B5914),1)</f>
        <v>46266</v>
      </c>
      <c r="M5914" s="31" t="n">
        <f aca="false">WEEKDAY(B5914,2)</f>
        <v>5</v>
      </c>
      <c r="N5914" s="31" t="str">
        <f aca="false">IF(G5914&lt;=INDEX(Assumptions!$B$15:$B$18,MATCH(E5914,Assumptions!$A$15:$A$18,0)),"Yes","No")</f>
        <v>Yes</v>
      </c>
      <c r="O5914" s="31" t="str">
        <f aca="false">IF(H5914="","Open",IF(H5914&lt;=INDEX(Assumptions!$C$15:$C$18,MATCH(E5914,Assumptions!$A$15:$A$18,0)),"Yes","No"))</f>
        <v>Yes</v>
      </c>
    </row>
    <row r="5915" customFormat="false" ht="15" hidden="false" customHeight="false" outlineLevel="0" collapsed="false">
      <c r="A5915" s="31" t="s">
        <v>6065</v>
      </c>
      <c r="B5915" s="44" t="n">
        <v>46283</v>
      </c>
      <c r="C5915" s="31" t="s">
        <v>57</v>
      </c>
      <c r="D5915" s="31" t="s">
        <v>66</v>
      </c>
      <c r="E5915" s="31" t="s">
        <v>51</v>
      </c>
      <c r="F5915" s="31" t="s">
        <v>129</v>
      </c>
      <c r="G5915" s="31" t="n">
        <v>2</v>
      </c>
      <c r="H5915" s="41" t="n">
        <v>3</v>
      </c>
      <c r="I5915" s="31" t="s">
        <v>149</v>
      </c>
      <c r="J5915" s="31" t="n">
        <v>5</v>
      </c>
      <c r="K5915" s="31" t="s">
        <v>150</v>
      </c>
      <c r="L5915" s="45" t="n">
        <f aca="false">DATE(YEAR(B5915),MONTH(B5915),1)</f>
        <v>46266</v>
      </c>
      <c r="M5915" s="31" t="n">
        <f aca="false">WEEKDAY(B5915,2)</f>
        <v>5</v>
      </c>
      <c r="N5915" s="31" t="str">
        <f aca="false">IF(G5915&lt;=INDEX(Assumptions!$B$15:$B$18,MATCH(E5915,Assumptions!$A$15:$A$18,0)),"Yes","No")</f>
        <v>Yes</v>
      </c>
      <c r="O5915" s="31" t="str">
        <f aca="false">IF(H5915="","Open",IF(H5915&lt;=INDEX(Assumptions!$C$15:$C$18,MATCH(E5915,Assumptions!$A$15:$A$18,0)),"Yes","No"))</f>
        <v>Yes</v>
      </c>
    </row>
    <row r="5916" customFormat="false" ht="15" hidden="false" customHeight="false" outlineLevel="0" collapsed="false">
      <c r="A5916" s="31" t="s">
        <v>6066</v>
      </c>
      <c r="B5916" s="44" t="n">
        <v>46283</v>
      </c>
      <c r="C5916" s="31" t="s">
        <v>60</v>
      </c>
      <c r="D5916" s="31" t="s">
        <v>69</v>
      </c>
      <c r="E5916" s="31" t="s">
        <v>52</v>
      </c>
      <c r="F5916" s="31" t="s">
        <v>120</v>
      </c>
      <c r="G5916" s="31" t="n">
        <v>2</v>
      </c>
      <c r="H5916" s="41" t="n">
        <v>29.2</v>
      </c>
      <c r="I5916" s="31" t="s">
        <v>149</v>
      </c>
      <c r="J5916" s="31"/>
      <c r="K5916" s="31" t="s">
        <v>150</v>
      </c>
      <c r="L5916" s="45" t="n">
        <f aca="false">DATE(YEAR(B5916),MONTH(B5916),1)</f>
        <v>46266</v>
      </c>
      <c r="M5916" s="31" t="n">
        <f aca="false">WEEKDAY(B5916,2)</f>
        <v>5</v>
      </c>
      <c r="N5916" s="31" t="str">
        <f aca="false">IF(G5916&lt;=INDEX(Assumptions!$B$15:$B$18,MATCH(E5916,Assumptions!$A$15:$A$18,0)),"Yes","No")</f>
        <v>Yes</v>
      </c>
      <c r="O5916" s="31" t="str">
        <f aca="false">IF(H5916="","Open",IF(H5916&lt;=INDEX(Assumptions!$C$15:$C$18,MATCH(E5916,Assumptions!$A$15:$A$18,0)),"Yes","No"))</f>
        <v>Yes</v>
      </c>
    </row>
    <row r="5917" customFormat="false" ht="15" hidden="false" customHeight="false" outlineLevel="0" collapsed="false">
      <c r="A5917" s="31" t="s">
        <v>6067</v>
      </c>
      <c r="B5917" s="44" t="n">
        <v>46283</v>
      </c>
      <c r="C5917" s="31" t="s">
        <v>60</v>
      </c>
      <c r="D5917" s="31" t="s">
        <v>65</v>
      </c>
      <c r="E5917" s="31" t="s">
        <v>50</v>
      </c>
      <c r="F5917" s="31" t="s">
        <v>127</v>
      </c>
      <c r="G5917" s="31" t="n">
        <v>1</v>
      </c>
      <c r="H5917" s="41" t="n">
        <v>10</v>
      </c>
      <c r="I5917" s="31" t="s">
        <v>149</v>
      </c>
      <c r="J5917" s="31"/>
      <c r="K5917" s="31" t="s">
        <v>150</v>
      </c>
      <c r="L5917" s="45" t="n">
        <f aca="false">DATE(YEAR(B5917),MONTH(B5917),1)</f>
        <v>46266</v>
      </c>
      <c r="M5917" s="31" t="n">
        <f aca="false">WEEKDAY(B5917,2)</f>
        <v>5</v>
      </c>
      <c r="N5917" s="31" t="str">
        <f aca="false">IF(G5917&lt;=INDEX(Assumptions!$B$15:$B$18,MATCH(E5917,Assumptions!$A$15:$A$18,0)),"Yes","No")</f>
        <v>Yes</v>
      </c>
      <c r="O5917" s="31" t="str">
        <f aca="false">IF(H5917="","Open",IF(H5917&lt;=INDEX(Assumptions!$C$15:$C$18,MATCH(E5917,Assumptions!$A$15:$A$18,0)),"Yes","No"))</f>
        <v>No</v>
      </c>
    </row>
    <row r="5918" customFormat="false" ht="15" hidden="false" customHeight="false" outlineLevel="0" collapsed="false">
      <c r="A5918" s="31" t="s">
        <v>6068</v>
      </c>
      <c r="B5918" s="44" t="n">
        <v>46283</v>
      </c>
      <c r="C5918" s="31" t="s">
        <v>58</v>
      </c>
      <c r="D5918" s="31" t="s">
        <v>67</v>
      </c>
      <c r="E5918" s="31" t="s">
        <v>50</v>
      </c>
      <c r="F5918" s="31" t="s">
        <v>124</v>
      </c>
      <c r="G5918" s="31" t="n">
        <v>5</v>
      </c>
      <c r="H5918" s="41" t="n">
        <v>9</v>
      </c>
      <c r="I5918" s="31" t="s">
        <v>149</v>
      </c>
      <c r="J5918" s="31"/>
      <c r="K5918" s="31" t="s">
        <v>150</v>
      </c>
      <c r="L5918" s="45" t="n">
        <f aca="false">DATE(YEAR(B5918),MONTH(B5918),1)</f>
        <v>46266</v>
      </c>
      <c r="M5918" s="31" t="n">
        <f aca="false">WEEKDAY(B5918,2)</f>
        <v>5</v>
      </c>
      <c r="N5918" s="31" t="str">
        <f aca="false">IF(G5918&lt;=INDEX(Assumptions!$B$15:$B$18,MATCH(E5918,Assumptions!$A$15:$A$18,0)),"Yes","No")</f>
        <v>Yes</v>
      </c>
      <c r="O5918" s="31" t="str">
        <f aca="false">IF(H5918="","Open",IF(H5918&lt;=INDEX(Assumptions!$C$15:$C$18,MATCH(E5918,Assumptions!$A$15:$A$18,0)),"Yes","No"))</f>
        <v>No</v>
      </c>
    </row>
    <row r="5919" customFormat="false" ht="15" hidden="false" customHeight="false" outlineLevel="0" collapsed="false">
      <c r="A5919" s="31" t="s">
        <v>6069</v>
      </c>
      <c r="B5919" s="44" t="n">
        <v>46283</v>
      </c>
      <c r="C5919" s="31" t="s">
        <v>59</v>
      </c>
      <c r="D5919" s="31" t="s">
        <v>65</v>
      </c>
      <c r="E5919" s="31" t="s">
        <v>52</v>
      </c>
      <c r="F5919" s="31" t="s">
        <v>123</v>
      </c>
      <c r="G5919" s="31" t="n">
        <v>94</v>
      </c>
      <c r="H5919" s="41" t="n">
        <v>9.1</v>
      </c>
      <c r="I5919" s="31" t="s">
        <v>149</v>
      </c>
      <c r="J5919" s="31" t="n">
        <v>4</v>
      </c>
      <c r="K5919" s="31" t="s">
        <v>150</v>
      </c>
      <c r="L5919" s="45" t="n">
        <f aca="false">DATE(YEAR(B5919),MONTH(B5919),1)</f>
        <v>46266</v>
      </c>
      <c r="M5919" s="31" t="n">
        <f aca="false">WEEKDAY(B5919,2)</f>
        <v>5</v>
      </c>
      <c r="N5919" s="31" t="str">
        <f aca="false">IF(G5919&lt;=INDEX(Assumptions!$B$15:$B$18,MATCH(E5919,Assumptions!$A$15:$A$18,0)),"Yes","No")</f>
        <v>Yes</v>
      </c>
      <c r="O5919" s="31" t="str">
        <f aca="false">IF(H5919="","Open",IF(H5919&lt;=INDEX(Assumptions!$C$15:$C$18,MATCH(E5919,Assumptions!$A$15:$A$18,0)),"Yes","No"))</f>
        <v>Yes</v>
      </c>
    </row>
    <row r="5920" customFormat="false" ht="15" hidden="false" customHeight="false" outlineLevel="0" collapsed="false">
      <c r="A5920" s="31" t="s">
        <v>6070</v>
      </c>
      <c r="B5920" s="44" t="n">
        <v>46283</v>
      </c>
      <c r="C5920" s="31" t="s">
        <v>57</v>
      </c>
      <c r="D5920" s="31" t="s">
        <v>66</v>
      </c>
      <c r="E5920" s="31" t="s">
        <v>52</v>
      </c>
      <c r="F5920" s="31" t="s">
        <v>136</v>
      </c>
      <c r="G5920" s="31" t="n">
        <v>14</v>
      </c>
      <c r="H5920" s="41" t="n">
        <v>4</v>
      </c>
      <c r="I5920" s="31" t="s">
        <v>149</v>
      </c>
      <c r="J5920" s="31" t="n">
        <v>5</v>
      </c>
      <c r="K5920" s="31" t="s">
        <v>150</v>
      </c>
      <c r="L5920" s="45" t="n">
        <f aca="false">DATE(YEAR(B5920),MONTH(B5920),1)</f>
        <v>46266</v>
      </c>
      <c r="M5920" s="31" t="n">
        <f aca="false">WEEKDAY(B5920,2)</f>
        <v>5</v>
      </c>
      <c r="N5920" s="31" t="str">
        <f aca="false">IF(G5920&lt;=INDEX(Assumptions!$B$15:$B$18,MATCH(E5920,Assumptions!$A$15:$A$18,0)),"Yes","No")</f>
        <v>Yes</v>
      </c>
      <c r="O5920" s="31" t="str">
        <f aca="false">IF(H5920="","Open",IF(H5920&lt;=INDEX(Assumptions!$C$15:$C$18,MATCH(E5920,Assumptions!$A$15:$A$18,0)),"Yes","No"))</f>
        <v>Yes</v>
      </c>
    </row>
    <row r="5921" customFormat="false" ht="15" hidden="false" customHeight="false" outlineLevel="0" collapsed="false">
      <c r="A5921" s="31" t="s">
        <v>6071</v>
      </c>
      <c r="B5921" s="44" t="n">
        <v>46283</v>
      </c>
      <c r="C5921" s="31" t="s">
        <v>58</v>
      </c>
      <c r="D5921" s="31" t="s">
        <v>67</v>
      </c>
      <c r="E5921" s="31" t="s">
        <v>51</v>
      </c>
      <c r="F5921" s="31" t="s">
        <v>129</v>
      </c>
      <c r="G5921" s="31" t="n">
        <v>8</v>
      </c>
      <c r="H5921" s="41" t="n">
        <v>19</v>
      </c>
      <c r="I5921" s="31" t="s">
        <v>149</v>
      </c>
      <c r="J5921" s="31" t="n">
        <v>5</v>
      </c>
      <c r="K5921" s="31" t="s">
        <v>153</v>
      </c>
      <c r="L5921" s="45" t="n">
        <f aca="false">DATE(YEAR(B5921),MONTH(B5921),1)</f>
        <v>46266</v>
      </c>
      <c r="M5921" s="31" t="n">
        <f aca="false">WEEKDAY(B5921,2)</f>
        <v>5</v>
      </c>
      <c r="N5921" s="31" t="str">
        <f aca="false">IF(G5921&lt;=INDEX(Assumptions!$B$15:$B$18,MATCH(E5921,Assumptions!$A$15:$A$18,0)),"Yes","No")</f>
        <v>Yes</v>
      </c>
      <c r="O5921" s="31" t="str">
        <f aca="false">IF(H5921="","Open",IF(H5921&lt;=INDEX(Assumptions!$C$15:$C$18,MATCH(E5921,Assumptions!$A$15:$A$18,0)),"Yes","No"))</f>
        <v>Yes</v>
      </c>
    </row>
    <row r="5922" customFormat="false" ht="15" hidden="false" customHeight="false" outlineLevel="0" collapsed="false">
      <c r="A5922" s="31" t="s">
        <v>6072</v>
      </c>
      <c r="B5922" s="44" t="n">
        <v>46283</v>
      </c>
      <c r="C5922" s="31" t="s">
        <v>59</v>
      </c>
      <c r="D5922" s="31" t="s">
        <v>67</v>
      </c>
      <c r="E5922" s="31" t="s">
        <v>51</v>
      </c>
      <c r="F5922" s="31" t="s">
        <v>136</v>
      </c>
      <c r="G5922" s="31" t="n">
        <v>104</v>
      </c>
      <c r="H5922" s="41" t="n">
        <v>10.8</v>
      </c>
      <c r="I5922" s="31" t="s">
        <v>149</v>
      </c>
      <c r="J5922" s="31" t="n">
        <v>5</v>
      </c>
      <c r="K5922" s="31" t="s">
        <v>150</v>
      </c>
      <c r="L5922" s="45" t="n">
        <f aca="false">DATE(YEAR(B5922),MONTH(B5922),1)</f>
        <v>46266</v>
      </c>
      <c r="M5922" s="31" t="n">
        <f aca="false">WEEKDAY(B5922,2)</f>
        <v>5</v>
      </c>
      <c r="N5922" s="31" t="str">
        <f aca="false">IF(G5922&lt;=INDEX(Assumptions!$B$15:$B$18,MATCH(E5922,Assumptions!$A$15:$A$18,0)),"Yes","No")</f>
        <v>No</v>
      </c>
      <c r="O5922" s="31" t="str">
        <f aca="false">IF(H5922="","Open",IF(H5922&lt;=INDEX(Assumptions!$C$15:$C$18,MATCH(E5922,Assumptions!$A$15:$A$18,0)),"Yes","No"))</f>
        <v>Yes</v>
      </c>
    </row>
    <row r="5923" customFormat="false" ht="15" hidden="false" customHeight="false" outlineLevel="0" collapsed="false">
      <c r="A5923" s="31" t="s">
        <v>6073</v>
      </c>
      <c r="B5923" s="44" t="n">
        <v>46283</v>
      </c>
      <c r="C5923" s="31" t="s">
        <v>60</v>
      </c>
      <c r="D5923" s="31" t="s">
        <v>68</v>
      </c>
      <c r="E5923" s="31" t="s">
        <v>51</v>
      </c>
      <c r="F5923" s="31" t="s">
        <v>134</v>
      </c>
      <c r="G5923" s="31" t="n">
        <v>3</v>
      </c>
      <c r="H5923" s="41" t="n">
        <v>14.6</v>
      </c>
      <c r="I5923" s="31" t="s">
        <v>149</v>
      </c>
      <c r="J5923" s="31"/>
      <c r="K5923" s="31" t="s">
        <v>150</v>
      </c>
      <c r="L5923" s="45" t="n">
        <f aca="false">DATE(YEAR(B5923),MONTH(B5923),1)</f>
        <v>46266</v>
      </c>
      <c r="M5923" s="31" t="n">
        <f aca="false">WEEKDAY(B5923,2)</f>
        <v>5</v>
      </c>
      <c r="N5923" s="31" t="str">
        <f aca="false">IF(G5923&lt;=INDEX(Assumptions!$B$15:$B$18,MATCH(E5923,Assumptions!$A$15:$A$18,0)),"Yes","No")</f>
        <v>Yes</v>
      </c>
      <c r="O5923" s="31" t="str">
        <f aca="false">IF(H5923="","Open",IF(H5923&lt;=INDEX(Assumptions!$C$15:$C$18,MATCH(E5923,Assumptions!$A$15:$A$18,0)),"Yes","No"))</f>
        <v>Yes</v>
      </c>
    </row>
    <row r="5924" customFormat="false" ht="15" hidden="false" customHeight="false" outlineLevel="0" collapsed="false">
      <c r="A5924" s="31" t="s">
        <v>6074</v>
      </c>
      <c r="B5924" s="44" t="n">
        <v>46283</v>
      </c>
      <c r="C5924" s="31" t="s">
        <v>59</v>
      </c>
      <c r="D5924" s="31" t="s">
        <v>65</v>
      </c>
      <c r="E5924" s="31" t="s">
        <v>52</v>
      </c>
      <c r="F5924" s="31" t="s">
        <v>134</v>
      </c>
      <c r="G5924" s="31" t="n">
        <v>58</v>
      </c>
      <c r="H5924" s="41" t="n">
        <v>93.6</v>
      </c>
      <c r="I5924" s="31" t="s">
        <v>149</v>
      </c>
      <c r="J5924" s="31"/>
      <c r="K5924" s="31" t="s">
        <v>150</v>
      </c>
      <c r="L5924" s="45" t="n">
        <f aca="false">DATE(YEAR(B5924),MONTH(B5924),1)</f>
        <v>46266</v>
      </c>
      <c r="M5924" s="31" t="n">
        <f aca="false">WEEKDAY(B5924,2)</f>
        <v>5</v>
      </c>
      <c r="N5924" s="31" t="str">
        <f aca="false">IF(G5924&lt;=INDEX(Assumptions!$B$15:$B$18,MATCH(E5924,Assumptions!$A$15:$A$18,0)),"Yes","No")</f>
        <v>Yes</v>
      </c>
      <c r="O5924" s="31" t="str">
        <f aca="false">IF(H5924="","Open",IF(H5924&lt;=INDEX(Assumptions!$C$15:$C$18,MATCH(E5924,Assumptions!$A$15:$A$18,0)),"Yes","No"))</f>
        <v>No</v>
      </c>
    </row>
    <row r="5925" customFormat="false" ht="15" hidden="false" customHeight="false" outlineLevel="0" collapsed="false">
      <c r="A5925" s="31" t="s">
        <v>6075</v>
      </c>
      <c r="B5925" s="44" t="n">
        <v>46283</v>
      </c>
      <c r="C5925" s="31" t="s">
        <v>59</v>
      </c>
      <c r="D5925" s="31" t="s">
        <v>68</v>
      </c>
      <c r="E5925" s="31" t="s">
        <v>52</v>
      </c>
      <c r="F5925" s="31" t="s">
        <v>123</v>
      </c>
      <c r="G5925" s="31" t="n">
        <v>87</v>
      </c>
      <c r="H5925" s="41" t="n">
        <v>2.9</v>
      </c>
      <c r="I5925" s="31" t="s">
        <v>149</v>
      </c>
      <c r="J5925" s="31" t="n">
        <v>4</v>
      </c>
      <c r="K5925" s="31" t="s">
        <v>150</v>
      </c>
      <c r="L5925" s="45" t="n">
        <f aca="false">DATE(YEAR(B5925),MONTH(B5925),1)</f>
        <v>46266</v>
      </c>
      <c r="M5925" s="31" t="n">
        <f aca="false">WEEKDAY(B5925,2)</f>
        <v>5</v>
      </c>
      <c r="N5925" s="31" t="str">
        <f aca="false">IF(G5925&lt;=INDEX(Assumptions!$B$15:$B$18,MATCH(E5925,Assumptions!$A$15:$A$18,0)),"Yes","No")</f>
        <v>Yes</v>
      </c>
      <c r="O5925" s="31" t="str">
        <f aca="false">IF(H5925="","Open",IF(H5925&lt;=INDEX(Assumptions!$C$15:$C$18,MATCH(E5925,Assumptions!$A$15:$A$18,0)),"Yes","No"))</f>
        <v>Yes</v>
      </c>
    </row>
    <row r="5926" customFormat="false" ht="15" hidden="false" customHeight="false" outlineLevel="0" collapsed="false">
      <c r="A5926" s="31" t="s">
        <v>6076</v>
      </c>
      <c r="B5926" s="44" t="n">
        <v>46283</v>
      </c>
      <c r="C5926" s="31" t="s">
        <v>57</v>
      </c>
      <c r="D5926" s="31" t="s">
        <v>66</v>
      </c>
      <c r="E5926" s="31" t="s">
        <v>51</v>
      </c>
      <c r="F5926" s="31" t="s">
        <v>119</v>
      </c>
      <c r="G5926" s="31" t="n">
        <v>7</v>
      </c>
      <c r="H5926" s="41" t="n">
        <v>6.5</v>
      </c>
      <c r="I5926" s="31" t="s">
        <v>149</v>
      </c>
      <c r="J5926" s="31" t="n">
        <v>5</v>
      </c>
      <c r="K5926" s="31" t="s">
        <v>150</v>
      </c>
      <c r="L5926" s="45" t="n">
        <f aca="false">DATE(YEAR(B5926),MONTH(B5926),1)</f>
        <v>46266</v>
      </c>
      <c r="M5926" s="31" t="n">
        <f aca="false">WEEKDAY(B5926,2)</f>
        <v>5</v>
      </c>
      <c r="N5926" s="31" t="str">
        <f aca="false">IF(G5926&lt;=INDEX(Assumptions!$B$15:$B$18,MATCH(E5926,Assumptions!$A$15:$A$18,0)),"Yes","No")</f>
        <v>Yes</v>
      </c>
      <c r="O5926" s="31" t="str">
        <f aca="false">IF(H5926="","Open",IF(H5926&lt;=INDEX(Assumptions!$C$15:$C$18,MATCH(E5926,Assumptions!$A$15:$A$18,0)),"Yes","No"))</f>
        <v>Yes</v>
      </c>
    </row>
    <row r="5927" customFormat="false" ht="15" hidden="false" customHeight="false" outlineLevel="0" collapsed="false">
      <c r="A5927" s="31" t="s">
        <v>6077</v>
      </c>
      <c r="B5927" s="44" t="n">
        <v>46283</v>
      </c>
      <c r="C5927" s="31" t="s">
        <v>59</v>
      </c>
      <c r="D5927" s="31" t="s">
        <v>66</v>
      </c>
      <c r="E5927" s="31" t="s">
        <v>51</v>
      </c>
      <c r="F5927" s="31" t="s">
        <v>121</v>
      </c>
      <c r="G5927" s="31" t="n">
        <v>45</v>
      </c>
      <c r="H5927" s="41" t="n">
        <v>2.6</v>
      </c>
      <c r="I5927" s="31" t="s">
        <v>149</v>
      </c>
      <c r="J5927" s="31"/>
      <c r="K5927" s="31" t="s">
        <v>150</v>
      </c>
      <c r="L5927" s="45" t="n">
        <f aca="false">DATE(YEAR(B5927),MONTH(B5927),1)</f>
        <v>46266</v>
      </c>
      <c r="M5927" s="31" t="n">
        <f aca="false">WEEKDAY(B5927,2)</f>
        <v>5</v>
      </c>
      <c r="N5927" s="31" t="str">
        <f aca="false">IF(G5927&lt;=INDEX(Assumptions!$B$15:$B$18,MATCH(E5927,Assumptions!$A$15:$A$18,0)),"Yes","No")</f>
        <v>Yes</v>
      </c>
      <c r="O5927" s="31" t="str">
        <f aca="false">IF(H5927="","Open",IF(H5927&lt;=INDEX(Assumptions!$C$15:$C$18,MATCH(E5927,Assumptions!$A$15:$A$18,0)),"Yes","No"))</f>
        <v>Yes</v>
      </c>
    </row>
    <row r="5928" customFormat="false" ht="15" hidden="false" customHeight="false" outlineLevel="0" collapsed="false">
      <c r="A5928" s="31" t="s">
        <v>6078</v>
      </c>
      <c r="B5928" s="44" t="n">
        <v>46283</v>
      </c>
      <c r="C5928" s="31" t="s">
        <v>57</v>
      </c>
      <c r="D5928" s="31" t="s">
        <v>65</v>
      </c>
      <c r="E5928" s="31" t="s">
        <v>51</v>
      </c>
      <c r="F5928" s="31" t="s">
        <v>124</v>
      </c>
      <c r="G5928" s="31" t="n">
        <v>8</v>
      </c>
      <c r="H5928" s="41" t="n">
        <v>9.8</v>
      </c>
      <c r="I5928" s="31" t="s">
        <v>149</v>
      </c>
      <c r="J5928" s="31"/>
      <c r="K5928" s="31" t="s">
        <v>150</v>
      </c>
      <c r="L5928" s="45" t="n">
        <f aca="false">DATE(YEAR(B5928),MONTH(B5928),1)</f>
        <v>46266</v>
      </c>
      <c r="M5928" s="31" t="n">
        <f aca="false">WEEKDAY(B5928,2)</f>
        <v>5</v>
      </c>
      <c r="N5928" s="31" t="str">
        <f aca="false">IF(G5928&lt;=INDEX(Assumptions!$B$15:$B$18,MATCH(E5928,Assumptions!$A$15:$A$18,0)),"Yes","No")</f>
        <v>Yes</v>
      </c>
      <c r="O5928" s="31" t="str">
        <f aca="false">IF(H5928="","Open",IF(H5928&lt;=INDEX(Assumptions!$C$15:$C$18,MATCH(E5928,Assumptions!$A$15:$A$18,0)),"Yes","No"))</f>
        <v>Yes</v>
      </c>
    </row>
    <row r="5929" customFormat="false" ht="15" hidden="false" customHeight="false" outlineLevel="0" collapsed="false">
      <c r="A5929" s="31" t="s">
        <v>6079</v>
      </c>
      <c r="B5929" s="44" t="n">
        <v>46283</v>
      </c>
      <c r="C5929" s="31" t="s">
        <v>58</v>
      </c>
      <c r="D5929" s="31" t="s">
        <v>65</v>
      </c>
      <c r="E5929" s="31" t="s">
        <v>52</v>
      </c>
      <c r="F5929" s="31" t="s">
        <v>120</v>
      </c>
      <c r="G5929" s="31" t="n">
        <v>33</v>
      </c>
      <c r="H5929" s="41" t="n">
        <v>9.3</v>
      </c>
      <c r="I5929" s="31" t="s">
        <v>149</v>
      </c>
      <c r="J5929" s="31" t="n">
        <v>4</v>
      </c>
      <c r="K5929" s="31" t="s">
        <v>150</v>
      </c>
      <c r="L5929" s="45" t="n">
        <f aca="false">DATE(YEAR(B5929),MONTH(B5929),1)</f>
        <v>46266</v>
      </c>
      <c r="M5929" s="31" t="n">
        <f aca="false">WEEKDAY(B5929,2)</f>
        <v>5</v>
      </c>
      <c r="N5929" s="31" t="str">
        <f aca="false">IF(G5929&lt;=INDEX(Assumptions!$B$15:$B$18,MATCH(E5929,Assumptions!$A$15:$A$18,0)),"Yes","No")</f>
        <v>Yes</v>
      </c>
      <c r="O5929" s="31" t="str">
        <f aca="false">IF(H5929="","Open",IF(H5929&lt;=INDEX(Assumptions!$C$15:$C$18,MATCH(E5929,Assumptions!$A$15:$A$18,0)),"Yes","No"))</f>
        <v>Yes</v>
      </c>
    </row>
    <row r="5930" customFormat="false" ht="15" hidden="false" customHeight="false" outlineLevel="0" collapsed="false">
      <c r="A5930" s="31" t="s">
        <v>6080</v>
      </c>
      <c r="B5930" s="44" t="n">
        <v>46283</v>
      </c>
      <c r="C5930" s="31" t="s">
        <v>59</v>
      </c>
      <c r="D5930" s="31" t="s">
        <v>65</v>
      </c>
      <c r="E5930" s="31" t="s">
        <v>51</v>
      </c>
      <c r="F5930" s="31" t="s">
        <v>135</v>
      </c>
      <c r="G5930" s="31" t="n">
        <v>70</v>
      </c>
      <c r="H5930" s="41" t="n">
        <v>22.5</v>
      </c>
      <c r="I5930" s="31" t="s">
        <v>149</v>
      </c>
      <c r="J5930" s="31"/>
      <c r="K5930" s="31" t="s">
        <v>150</v>
      </c>
      <c r="L5930" s="45" t="n">
        <f aca="false">DATE(YEAR(B5930),MONTH(B5930),1)</f>
        <v>46266</v>
      </c>
      <c r="M5930" s="31" t="n">
        <f aca="false">WEEKDAY(B5930,2)</f>
        <v>5</v>
      </c>
      <c r="N5930" s="31" t="str">
        <f aca="false">IF(G5930&lt;=INDEX(Assumptions!$B$15:$B$18,MATCH(E5930,Assumptions!$A$15:$A$18,0)),"Yes","No")</f>
        <v>No</v>
      </c>
      <c r="O5930" s="31" t="str">
        <f aca="false">IF(H5930="","Open",IF(H5930&lt;=INDEX(Assumptions!$C$15:$C$18,MATCH(E5930,Assumptions!$A$15:$A$18,0)),"Yes","No"))</f>
        <v>Yes</v>
      </c>
    </row>
    <row r="5931" customFormat="false" ht="15" hidden="false" customHeight="false" outlineLevel="0" collapsed="false">
      <c r="A5931" s="31" t="s">
        <v>6081</v>
      </c>
      <c r="B5931" s="44" t="n">
        <v>46283</v>
      </c>
      <c r="C5931" s="31" t="s">
        <v>60</v>
      </c>
      <c r="D5931" s="31" t="s">
        <v>69</v>
      </c>
      <c r="E5931" s="31" t="s">
        <v>50</v>
      </c>
      <c r="F5931" s="31" t="s">
        <v>133</v>
      </c>
      <c r="G5931" s="31" t="n">
        <v>2</v>
      </c>
      <c r="H5931" s="41" t="n">
        <v>23.9</v>
      </c>
      <c r="I5931" s="31" t="s">
        <v>149</v>
      </c>
      <c r="J5931" s="31"/>
      <c r="K5931" s="31" t="s">
        <v>150</v>
      </c>
      <c r="L5931" s="45" t="n">
        <f aca="false">DATE(YEAR(B5931),MONTH(B5931),1)</f>
        <v>46266</v>
      </c>
      <c r="M5931" s="31" t="n">
        <f aca="false">WEEKDAY(B5931,2)</f>
        <v>5</v>
      </c>
      <c r="N5931" s="31" t="str">
        <f aca="false">IF(G5931&lt;=INDEX(Assumptions!$B$15:$B$18,MATCH(E5931,Assumptions!$A$15:$A$18,0)),"Yes","No")</f>
        <v>Yes</v>
      </c>
      <c r="O5931" s="31" t="str">
        <f aca="false">IF(H5931="","Open",IF(H5931&lt;=INDEX(Assumptions!$C$15:$C$18,MATCH(E5931,Assumptions!$A$15:$A$18,0)),"Yes","No"))</f>
        <v>No</v>
      </c>
    </row>
    <row r="5932" customFormat="false" ht="15" hidden="false" customHeight="false" outlineLevel="0" collapsed="false">
      <c r="A5932" s="31" t="s">
        <v>6082</v>
      </c>
      <c r="B5932" s="44" t="n">
        <v>46283</v>
      </c>
      <c r="C5932" s="31" t="s">
        <v>57</v>
      </c>
      <c r="D5932" s="31" t="s">
        <v>66</v>
      </c>
      <c r="E5932" s="31" t="s">
        <v>51</v>
      </c>
      <c r="F5932" s="31" t="s">
        <v>131</v>
      </c>
      <c r="G5932" s="31" t="n">
        <v>3</v>
      </c>
      <c r="H5932" s="41" t="n">
        <v>2.3</v>
      </c>
      <c r="I5932" s="31" t="s">
        <v>149</v>
      </c>
      <c r="J5932" s="31" t="n">
        <v>4</v>
      </c>
      <c r="K5932" s="31" t="s">
        <v>150</v>
      </c>
      <c r="L5932" s="45" t="n">
        <f aca="false">DATE(YEAR(B5932),MONTH(B5932),1)</f>
        <v>46266</v>
      </c>
      <c r="M5932" s="31" t="n">
        <f aca="false">WEEKDAY(B5932,2)</f>
        <v>5</v>
      </c>
      <c r="N5932" s="31" t="str">
        <f aca="false">IF(G5932&lt;=INDEX(Assumptions!$B$15:$B$18,MATCH(E5932,Assumptions!$A$15:$A$18,0)),"Yes","No")</f>
        <v>Yes</v>
      </c>
      <c r="O5932" s="31" t="str">
        <f aca="false">IF(H5932="","Open",IF(H5932&lt;=INDEX(Assumptions!$C$15:$C$18,MATCH(E5932,Assumptions!$A$15:$A$18,0)),"Yes","No"))</f>
        <v>Yes</v>
      </c>
    </row>
    <row r="5933" customFormat="false" ht="15" hidden="false" customHeight="false" outlineLevel="0" collapsed="false">
      <c r="A5933" s="31" t="s">
        <v>6083</v>
      </c>
      <c r="B5933" s="44" t="n">
        <v>46283</v>
      </c>
      <c r="C5933" s="31" t="s">
        <v>59</v>
      </c>
      <c r="D5933" s="31" t="s">
        <v>66</v>
      </c>
      <c r="E5933" s="31" t="s">
        <v>52</v>
      </c>
      <c r="F5933" s="31" t="s">
        <v>130</v>
      </c>
      <c r="G5933" s="31" t="n">
        <v>81</v>
      </c>
      <c r="H5933" s="41" t="n">
        <v>4.5</v>
      </c>
      <c r="I5933" s="31" t="s">
        <v>149</v>
      </c>
      <c r="J5933" s="31" t="n">
        <v>5</v>
      </c>
      <c r="K5933" s="31" t="s">
        <v>150</v>
      </c>
      <c r="L5933" s="45" t="n">
        <f aca="false">DATE(YEAR(B5933),MONTH(B5933),1)</f>
        <v>46266</v>
      </c>
      <c r="M5933" s="31" t="n">
        <f aca="false">WEEKDAY(B5933,2)</f>
        <v>5</v>
      </c>
      <c r="N5933" s="31" t="str">
        <f aca="false">IF(G5933&lt;=INDEX(Assumptions!$B$15:$B$18,MATCH(E5933,Assumptions!$A$15:$A$18,0)),"Yes","No")</f>
        <v>Yes</v>
      </c>
      <c r="O5933" s="31" t="str">
        <f aca="false">IF(H5933="","Open",IF(H5933&lt;=INDEX(Assumptions!$C$15:$C$18,MATCH(E5933,Assumptions!$A$15:$A$18,0)),"Yes","No"))</f>
        <v>Yes</v>
      </c>
    </row>
    <row r="5934" customFormat="false" ht="15" hidden="false" customHeight="false" outlineLevel="0" collapsed="false">
      <c r="A5934" s="31" t="s">
        <v>6084</v>
      </c>
      <c r="B5934" s="44" t="n">
        <v>46283</v>
      </c>
      <c r="C5934" s="31" t="s">
        <v>58</v>
      </c>
      <c r="D5934" s="31" t="s">
        <v>65</v>
      </c>
      <c r="E5934" s="31" t="s">
        <v>51</v>
      </c>
      <c r="F5934" s="31" t="s">
        <v>134</v>
      </c>
      <c r="G5934" s="31" t="n">
        <v>10</v>
      </c>
      <c r="H5934" s="41" t="n">
        <v>25.8</v>
      </c>
      <c r="I5934" s="31" t="s">
        <v>149</v>
      </c>
      <c r="J5934" s="31" t="n">
        <v>3</v>
      </c>
      <c r="K5934" s="31" t="s">
        <v>150</v>
      </c>
      <c r="L5934" s="45" t="n">
        <f aca="false">DATE(YEAR(B5934),MONTH(B5934),1)</f>
        <v>46266</v>
      </c>
      <c r="M5934" s="31" t="n">
        <f aca="false">WEEKDAY(B5934,2)</f>
        <v>5</v>
      </c>
      <c r="N5934" s="31" t="str">
        <f aca="false">IF(G5934&lt;=INDEX(Assumptions!$B$15:$B$18,MATCH(E5934,Assumptions!$A$15:$A$18,0)),"Yes","No")</f>
        <v>Yes</v>
      </c>
      <c r="O5934" s="31" t="str">
        <f aca="false">IF(H5934="","Open",IF(H5934&lt;=INDEX(Assumptions!$C$15:$C$18,MATCH(E5934,Assumptions!$A$15:$A$18,0)),"Yes","No"))</f>
        <v>No</v>
      </c>
    </row>
    <row r="5935" customFormat="false" ht="15" hidden="false" customHeight="false" outlineLevel="0" collapsed="false">
      <c r="A5935" s="31" t="s">
        <v>6085</v>
      </c>
      <c r="B5935" s="44" t="n">
        <v>46283</v>
      </c>
      <c r="C5935" s="31" t="s">
        <v>57</v>
      </c>
      <c r="D5935" s="31" t="s">
        <v>66</v>
      </c>
      <c r="E5935" s="31" t="s">
        <v>51</v>
      </c>
      <c r="F5935" s="31" t="s">
        <v>123</v>
      </c>
      <c r="G5935" s="31" t="n">
        <v>1</v>
      </c>
      <c r="H5935" s="41" t="n">
        <v>22.7</v>
      </c>
      <c r="I5935" s="31" t="s">
        <v>149</v>
      </c>
      <c r="J5935" s="31" t="n">
        <v>5</v>
      </c>
      <c r="K5935" s="31" t="s">
        <v>150</v>
      </c>
      <c r="L5935" s="45" t="n">
        <f aca="false">DATE(YEAR(B5935),MONTH(B5935),1)</f>
        <v>46266</v>
      </c>
      <c r="M5935" s="31" t="n">
        <f aca="false">WEEKDAY(B5935,2)</f>
        <v>5</v>
      </c>
      <c r="N5935" s="31" t="str">
        <f aca="false">IF(G5935&lt;=INDEX(Assumptions!$B$15:$B$18,MATCH(E5935,Assumptions!$A$15:$A$18,0)),"Yes","No")</f>
        <v>Yes</v>
      </c>
      <c r="O5935" s="31" t="str">
        <f aca="false">IF(H5935="","Open",IF(H5935&lt;=INDEX(Assumptions!$C$15:$C$18,MATCH(E5935,Assumptions!$A$15:$A$18,0)),"Yes","No"))</f>
        <v>Yes</v>
      </c>
    </row>
    <row r="5936" customFormat="false" ht="15" hidden="false" customHeight="false" outlineLevel="0" collapsed="false">
      <c r="A5936" s="31" t="s">
        <v>6086</v>
      </c>
      <c r="B5936" s="44" t="n">
        <v>46283</v>
      </c>
      <c r="C5936" s="31" t="s">
        <v>58</v>
      </c>
      <c r="D5936" s="31" t="s">
        <v>66</v>
      </c>
      <c r="E5936" s="31" t="s">
        <v>51</v>
      </c>
      <c r="F5936" s="31" t="s">
        <v>124</v>
      </c>
      <c r="G5936" s="31" t="n">
        <v>23</v>
      </c>
      <c r="H5936" s="41" t="n">
        <v>4.9</v>
      </c>
      <c r="I5936" s="31" t="s">
        <v>149</v>
      </c>
      <c r="J5936" s="31"/>
      <c r="K5936" s="31" t="s">
        <v>153</v>
      </c>
      <c r="L5936" s="45" t="n">
        <f aca="false">DATE(YEAR(B5936),MONTH(B5936),1)</f>
        <v>46266</v>
      </c>
      <c r="M5936" s="31" t="n">
        <f aca="false">WEEKDAY(B5936,2)</f>
        <v>5</v>
      </c>
      <c r="N5936" s="31" t="str">
        <f aca="false">IF(G5936&lt;=INDEX(Assumptions!$B$15:$B$18,MATCH(E5936,Assumptions!$A$15:$A$18,0)),"Yes","No")</f>
        <v>Yes</v>
      </c>
      <c r="O5936" s="31" t="str">
        <f aca="false">IF(H5936="","Open",IF(H5936&lt;=INDEX(Assumptions!$C$15:$C$18,MATCH(E5936,Assumptions!$A$15:$A$18,0)),"Yes","No"))</f>
        <v>Yes</v>
      </c>
    </row>
    <row r="5937" customFormat="false" ht="15" hidden="false" customHeight="false" outlineLevel="0" collapsed="false">
      <c r="A5937" s="31" t="s">
        <v>6087</v>
      </c>
      <c r="B5937" s="44" t="n">
        <v>46283</v>
      </c>
      <c r="C5937" s="31" t="s">
        <v>57</v>
      </c>
      <c r="D5937" s="31" t="s">
        <v>67</v>
      </c>
      <c r="E5937" s="31" t="s">
        <v>52</v>
      </c>
      <c r="F5937" s="31" t="s">
        <v>117</v>
      </c>
      <c r="G5937" s="31" t="n">
        <v>18</v>
      </c>
      <c r="H5937" s="41" t="n">
        <v>36.5</v>
      </c>
      <c r="I5937" s="31" t="s">
        <v>149</v>
      </c>
      <c r="J5937" s="31" t="n">
        <v>5</v>
      </c>
      <c r="K5937" s="31" t="s">
        <v>150</v>
      </c>
      <c r="L5937" s="45" t="n">
        <f aca="false">DATE(YEAR(B5937),MONTH(B5937),1)</f>
        <v>46266</v>
      </c>
      <c r="M5937" s="31" t="n">
        <f aca="false">WEEKDAY(B5937,2)</f>
        <v>5</v>
      </c>
      <c r="N5937" s="31" t="str">
        <f aca="false">IF(G5937&lt;=INDEX(Assumptions!$B$15:$B$18,MATCH(E5937,Assumptions!$A$15:$A$18,0)),"Yes","No")</f>
        <v>Yes</v>
      </c>
      <c r="O5937" s="31" t="str">
        <f aca="false">IF(H5937="","Open",IF(H5937&lt;=INDEX(Assumptions!$C$15:$C$18,MATCH(E5937,Assumptions!$A$15:$A$18,0)),"Yes","No"))</f>
        <v>Yes</v>
      </c>
    </row>
    <row r="5938" customFormat="false" ht="15" hidden="false" customHeight="false" outlineLevel="0" collapsed="false">
      <c r="A5938" s="31" t="s">
        <v>6088</v>
      </c>
      <c r="B5938" s="44" t="n">
        <v>46283</v>
      </c>
      <c r="C5938" s="31" t="s">
        <v>57</v>
      </c>
      <c r="D5938" s="31" t="s">
        <v>67</v>
      </c>
      <c r="E5938" s="31" t="s">
        <v>51</v>
      </c>
      <c r="F5938" s="31" t="s">
        <v>137</v>
      </c>
      <c r="G5938" s="31" t="n">
        <v>6</v>
      </c>
      <c r="H5938" s="41" t="n">
        <v>8.1</v>
      </c>
      <c r="I5938" s="31" t="s">
        <v>149</v>
      </c>
      <c r="J5938" s="31" t="n">
        <v>4</v>
      </c>
      <c r="K5938" s="31" t="s">
        <v>150</v>
      </c>
      <c r="L5938" s="45" t="n">
        <f aca="false">DATE(YEAR(B5938),MONTH(B5938),1)</f>
        <v>46266</v>
      </c>
      <c r="M5938" s="31" t="n">
        <f aca="false">WEEKDAY(B5938,2)</f>
        <v>5</v>
      </c>
      <c r="N5938" s="31" t="str">
        <f aca="false">IF(G5938&lt;=INDEX(Assumptions!$B$15:$B$18,MATCH(E5938,Assumptions!$A$15:$A$18,0)),"Yes","No")</f>
        <v>Yes</v>
      </c>
      <c r="O5938" s="31" t="str">
        <f aca="false">IF(H5938="","Open",IF(H5938&lt;=INDEX(Assumptions!$C$15:$C$18,MATCH(E5938,Assumptions!$A$15:$A$18,0)),"Yes","No"))</f>
        <v>Yes</v>
      </c>
    </row>
    <row r="5939" customFormat="false" ht="15" hidden="false" customHeight="false" outlineLevel="0" collapsed="false">
      <c r="A5939" s="31" t="s">
        <v>6089</v>
      </c>
      <c r="B5939" s="44" t="n">
        <v>46283</v>
      </c>
      <c r="C5939" s="31" t="s">
        <v>59</v>
      </c>
      <c r="D5939" s="31" t="s">
        <v>67</v>
      </c>
      <c r="E5939" s="31" t="s">
        <v>52</v>
      </c>
      <c r="F5939" s="31" t="s">
        <v>124</v>
      </c>
      <c r="G5939" s="31" t="n">
        <v>133</v>
      </c>
      <c r="H5939" s="41" t="n">
        <v>12</v>
      </c>
      <c r="I5939" s="31" t="s">
        <v>149</v>
      </c>
      <c r="J5939" s="31"/>
      <c r="K5939" s="31" t="s">
        <v>150</v>
      </c>
      <c r="L5939" s="45" t="n">
        <f aca="false">DATE(YEAR(B5939),MONTH(B5939),1)</f>
        <v>46266</v>
      </c>
      <c r="M5939" s="31" t="n">
        <f aca="false">WEEKDAY(B5939,2)</f>
        <v>5</v>
      </c>
      <c r="N5939" s="31" t="str">
        <f aca="false">IF(G5939&lt;=INDEX(Assumptions!$B$15:$B$18,MATCH(E5939,Assumptions!$A$15:$A$18,0)),"Yes","No")</f>
        <v>Yes</v>
      </c>
      <c r="O5939" s="31" t="str">
        <f aca="false">IF(H5939="","Open",IF(H5939&lt;=INDEX(Assumptions!$C$15:$C$18,MATCH(E5939,Assumptions!$A$15:$A$18,0)),"Yes","No"))</f>
        <v>Yes</v>
      </c>
    </row>
    <row r="5940" customFormat="false" ht="15" hidden="false" customHeight="false" outlineLevel="0" collapsed="false">
      <c r="A5940" s="31" t="s">
        <v>6090</v>
      </c>
      <c r="B5940" s="44" t="n">
        <v>46283</v>
      </c>
      <c r="C5940" s="31" t="s">
        <v>58</v>
      </c>
      <c r="D5940" s="31" t="s">
        <v>66</v>
      </c>
      <c r="E5940" s="31" t="s">
        <v>52</v>
      </c>
      <c r="F5940" s="31" t="s">
        <v>122</v>
      </c>
      <c r="G5940" s="31" t="n">
        <v>19</v>
      </c>
      <c r="H5940" s="41" t="n">
        <v>10.7</v>
      </c>
      <c r="I5940" s="31" t="s">
        <v>149</v>
      </c>
      <c r="J5940" s="31" t="n">
        <v>3</v>
      </c>
      <c r="K5940" s="31" t="s">
        <v>150</v>
      </c>
      <c r="L5940" s="45" t="n">
        <f aca="false">DATE(YEAR(B5940),MONTH(B5940),1)</f>
        <v>46266</v>
      </c>
      <c r="M5940" s="31" t="n">
        <f aca="false">WEEKDAY(B5940,2)</f>
        <v>5</v>
      </c>
      <c r="N5940" s="31" t="str">
        <f aca="false">IF(G5940&lt;=INDEX(Assumptions!$B$15:$B$18,MATCH(E5940,Assumptions!$A$15:$A$18,0)),"Yes","No")</f>
        <v>Yes</v>
      </c>
      <c r="O5940" s="31" t="str">
        <f aca="false">IF(H5940="","Open",IF(H5940&lt;=INDEX(Assumptions!$C$15:$C$18,MATCH(E5940,Assumptions!$A$15:$A$18,0)),"Yes","No"))</f>
        <v>Yes</v>
      </c>
    </row>
    <row r="5941" customFormat="false" ht="15" hidden="false" customHeight="false" outlineLevel="0" collapsed="false">
      <c r="A5941" s="31" t="s">
        <v>6091</v>
      </c>
      <c r="B5941" s="44" t="n">
        <v>46283</v>
      </c>
      <c r="C5941" s="31" t="s">
        <v>57</v>
      </c>
      <c r="D5941" s="31" t="s">
        <v>66</v>
      </c>
      <c r="E5941" s="31" t="s">
        <v>50</v>
      </c>
      <c r="F5941" s="31" t="s">
        <v>121</v>
      </c>
      <c r="G5941" s="31" t="n">
        <v>4</v>
      </c>
      <c r="H5941" s="41" t="n">
        <v>11.3</v>
      </c>
      <c r="I5941" s="31" t="s">
        <v>149</v>
      </c>
      <c r="J5941" s="31" t="n">
        <v>4</v>
      </c>
      <c r="K5941" s="31" t="s">
        <v>150</v>
      </c>
      <c r="L5941" s="45" t="n">
        <f aca="false">DATE(YEAR(B5941),MONTH(B5941),1)</f>
        <v>46266</v>
      </c>
      <c r="M5941" s="31" t="n">
        <f aca="false">WEEKDAY(B5941,2)</f>
        <v>5</v>
      </c>
      <c r="N5941" s="31" t="str">
        <f aca="false">IF(G5941&lt;=INDEX(Assumptions!$B$15:$B$18,MATCH(E5941,Assumptions!$A$15:$A$18,0)),"Yes","No")</f>
        <v>Yes</v>
      </c>
      <c r="O5941" s="31" t="str">
        <f aca="false">IF(H5941="","Open",IF(H5941&lt;=INDEX(Assumptions!$C$15:$C$18,MATCH(E5941,Assumptions!$A$15:$A$18,0)),"Yes","No"))</f>
        <v>No</v>
      </c>
    </row>
    <row r="5942" customFormat="false" ht="15" hidden="false" customHeight="false" outlineLevel="0" collapsed="false">
      <c r="A5942" s="31" t="s">
        <v>6092</v>
      </c>
      <c r="B5942" s="44" t="n">
        <v>46283</v>
      </c>
      <c r="C5942" s="31" t="s">
        <v>59</v>
      </c>
      <c r="D5942" s="31" t="s">
        <v>66</v>
      </c>
      <c r="E5942" s="31" t="s">
        <v>49</v>
      </c>
      <c r="F5942" s="31" t="s">
        <v>128</v>
      </c>
      <c r="G5942" s="31" t="n">
        <v>35</v>
      </c>
      <c r="H5942" s="41" t="n">
        <v>0.8</v>
      </c>
      <c r="I5942" s="31" t="s">
        <v>149</v>
      </c>
      <c r="J5942" s="31"/>
      <c r="K5942" s="31" t="s">
        <v>150</v>
      </c>
      <c r="L5942" s="45" t="n">
        <f aca="false">DATE(YEAR(B5942),MONTH(B5942),1)</f>
        <v>46266</v>
      </c>
      <c r="M5942" s="31" t="n">
        <f aca="false">WEEKDAY(B5942,2)</f>
        <v>5</v>
      </c>
      <c r="N5942" s="31" t="str">
        <f aca="false">IF(G5942&lt;=INDEX(Assumptions!$B$15:$B$18,MATCH(E5942,Assumptions!$A$15:$A$18,0)),"Yes","No")</f>
        <v>No</v>
      </c>
      <c r="O5942" s="31" t="str">
        <f aca="false">IF(H5942="","Open",IF(H5942&lt;=INDEX(Assumptions!$C$15:$C$18,MATCH(E5942,Assumptions!$A$15:$A$18,0)),"Yes","No"))</f>
        <v>Yes</v>
      </c>
    </row>
    <row r="5943" customFormat="false" ht="15" hidden="false" customHeight="false" outlineLevel="0" collapsed="false">
      <c r="A5943" s="31" t="s">
        <v>6093</v>
      </c>
      <c r="B5943" s="44" t="n">
        <v>46283</v>
      </c>
      <c r="C5943" s="31" t="s">
        <v>60</v>
      </c>
      <c r="D5943" s="31" t="s">
        <v>67</v>
      </c>
      <c r="E5943" s="31" t="s">
        <v>51</v>
      </c>
      <c r="F5943" s="31" t="s">
        <v>123</v>
      </c>
      <c r="G5943" s="31" t="n">
        <v>3</v>
      </c>
      <c r="H5943" s="41" t="n">
        <v>4.1</v>
      </c>
      <c r="I5943" s="31" t="s">
        <v>149</v>
      </c>
      <c r="J5943" s="31"/>
      <c r="K5943" s="31" t="s">
        <v>150</v>
      </c>
      <c r="L5943" s="45" t="n">
        <f aca="false">DATE(YEAR(B5943),MONTH(B5943),1)</f>
        <v>46266</v>
      </c>
      <c r="M5943" s="31" t="n">
        <f aca="false">WEEKDAY(B5943,2)</f>
        <v>5</v>
      </c>
      <c r="N5943" s="31" t="str">
        <f aca="false">IF(G5943&lt;=INDEX(Assumptions!$B$15:$B$18,MATCH(E5943,Assumptions!$A$15:$A$18,0)),"Yes","No")</f>
        <v>Yes</v>
      </c>
      <c r="O5943" s="31" t="str">
        <f aca="false">IF(H5943="","Open",IF(H5943&lt;=INDEX(Assumptions!$C$15:$C$18,MATCH(E5943,Assumptions!$A$15:$A$18,0)),"Yes","No"))</f>
        <v>Yes</v>
      </c>
    </row>
    <row r="5944" customFormat="false" ht="15" hidden="false" customHeight="false" outlineLevel="0" collapsed="false">
      <c r="A5944" s="31" t="s">
        <v>6094</v>
      </c>
      <c r="B5944" s="44" t="n">
        <v>46283</v>
      </c>
      <c r="C5944" s="31" t="s">
        <v>57</v>
      </c>
      <c r="D5944" s="31" t="s">
        <v>69</v>
      </c>
      <c r="E5944" s="31" t="s">
        <v>50</v>
      </c>
      <c r="F5944" s="31" t="s">
        <v>120</v>
      </c>
      <c r="G5944" s="31" t="n">
        <v>5</v>
      </c>
      <c r="H5944" s="41" t="n">
        <v>15.2</v>
      </c>
      <c r="I5944" s="31" t="s">
        <v>149</v>
      </c>
      <c r="J5944" s="31" t="n">
        <v>4</v>
      </c>
      <c r="K5944" s="31" t="s">
        <v>150</v>
      </c>
      <c r="L5944" s="45" t="n">
        <f aca="false">DATE(YEAR(B5944),MONTH(B5944),1)</f>
        <v>46266</v>
      </c>
      <c r="M5944" s="31" t="n">
        <f aca="false">WEEKDAY(B5944,2)</f>
        <v>5</v>
      </c>
      <c r="N5944" s="31" t="str">
        <f aca="false">IF(G5944&lt;=INDEX(Assumptions!$B$15:$B$18,MATCH(E5944,Assumptions!$A$15:$A$18,0)),"Yes","No")</f>
        <v>Yes</v>
      </c>
      <c r="O5944" s="31" t="str">
        <f aca="false">IF(H5944="","Open",IF(H5944&lt;=INDEX(Assumptions!$C$15:$C$18,MATCH(E5944,Assumptions!$A$15:$A$18,0)),"Yes","No"))</f>
        <v>No</v>
      </c>
    </row>
    <row r="5945" customFormat="false" ht="15" hidden="false" customHeight="false" outlineLevel="0" collapsed="false">
      <c r="A5945" s="31" t="s">
        <v>6095</v>
      </c>
      <c r="B5945" s="44" t="n">
        <v>46283</v>
      </c>
      <c r="C5945" s="31" t="s">
        <v>58</v>
      </c>
      <c r="D5945" s="31" t="s">
        <v>67</v>
      </c>
      <c r="E5945" s="31" t="s">
        <v>51</v>
      </c>
      <c r="F5945" s="31" t="s">
        <v>135</v>
      </c>
      <c r="G5945" s="31" t="n">
        <v>49</v>
      </c>
      <c r="H5945" s="41"/>
      <c r="I5945" s="31" t="s">
        <v>158</v>
      </c>
      <c r="J5945" s="31"/>
      <c r="K5945" s="31" t="s">
        <v>150</v>
      </c>
      <c r="L5945" s="45" t="n">
        <f aca="false">DATE(YEAR(B5945),MONTH(B5945),1)</f>
        <v>46266</v>
      </c>
      <c r="M5945" s="31" t="n">
        <f aca="false">WEEKDAY(B5945,2)</f>
        <v>5</v>
      </c>
      <c r="N5945" s="31" t="str">
        <f aca="false">IF(G5945&lt;=INDEX(Assumptions!$B$15:$B$18,MATCH(E5945,Assumptions!$A$15:$A$18,0)),"Yes","No")</f>
        <v>Yes</v>
      </c>
      <c r="O5945" s="31" t="str">
        <f aca="false">IF(H5945="","Open",IF(H5945&lt;=INDEX(Assumptions!$C$15:$C$18,MATCH(E5945,Assumptions!$A$15:$A$18,0)),"Yes","No"))</f>
        <v>Open</v>
      </c>
    </row>
    <row r="5946" customFormat="false" ht="15" hidden="false" customHeight="false" outlineLevel="0" collapsed="false">
      <c r="A5946" s="31" t="s">
        <v>6096</v>
      </c>
      <c r="B5946" s="44" t="n">
        <v>46283</v>
      </c>
      <c r="C5946" s="31" t="s">
        <v>59</v>
      </c>
      <c r="D5946" s="31" t="s">
        <v>66</v>
      </c>
      <c r="E5946" s="31" t="s">
        <v>50</v>
      </c>
      <c r="F5946" s="31" t="s">
        <v>128</v>
      </c>
      <c r="G5946" s="31" t="n">
        <v>43</v>
      </c>
      <c r="H5946" s="41" t="n">
        <v>3.8</v>
      </c>
      <c r="I5946" s="31" t="s">
        <v>149</v>
      </c>
      <c r="J5946" s="31"/>
      <c r="K5946" s="31" t="s">
        <v>150</v>
      </c>
      <c r="L5946" s="45" t="n">
        <f aca="false">DATE(YEAR(B5946),MONTH(B5946),1)</f>
        <v>46266</v>
      </c>
      <c r="M5946" s="31" t="n">
        <f aca="false">WEEKDAY(B5946,2)</f>
        <v>5</v>
      </c>
      <c r="N5946" s="31" t="str">
        <f aca="false">IF(G5946&lt;=INDEX(Assumptions!$B$15:$B$18,MATCH(E5946,Assumptions!$A$15:$A$18,0)),"Yes","No")</f>
        <v>No</v>
      </c>
      <c r="O5946" s="31" t="str">
        <f aca="false">IF(H5946="","Open",IF(H5946&lt;=INDEX(Assumptions!$C$15:$C$18,MATCH(E5946,Assumptions!$A$15:$A$18,0)),"Yes","No"))</f>
        <v>Yes</v>
      </c>
    </row>
    <row r="5947" customFormat="false" ht="15" hidden="false" customHeight="false" outlineLevel="0" collapsed="false">
      <c r="A5947" s="31" t="s">
        <v>6097</v>
      </c>
      <c r="B5947" s="44" t="n">
        <v>46283</v>
      </c>
      <c r="C5947" s="31" t="s">
        <v>59</v>
      </c>
      <c r="D5947" s="31" t="s">
        <v>67</v>
      </c>
      <c r="E5947" s="31" t="s">
        <v>51</v>
      </c>
      <c r="F5947" s="31" t="s">
        <v>120</v>
      </c>
      <c r="G5947" s="31" t="n">
        <v>67</v>
      </c>
      <c r="H5947" s="41" t="n">
        <v>12.8</v>
      </c>
      <c r="I5947" s="31" t="s">
        <v>149</v>
      </c>
      <c r="J5947" s="31" t="n">
        <v>4</v>
      </c>
      <c r="K5947" s="31" t="s">
        <v>150</v>
      </c>
      <c r="L5947" s="45" t="n">
        <f aca="false">DATE(YEAR(B5947),MONTH(B5947),1)</f>
        <v>46266</v>
      </c>
      <c r="M5947" s="31" t="n">
        <f aca="false">WEEKDAY(B5947,2)</f>
        <v>5</v>
      </c>
      <c r="N5947" s="31" t="str">
        <f aca="false">IF(G5947&lt;=INDEX(Assumptions!$B$15:$B$18,MATCH(E5947,Assumptions!$A$15:$A$18,0)),"Yes","No")</f>
        <v>No</v>
      </c>
      <c r="O5947" s="31" t="str">
        <f aca="false">IF(H5947="","Open",IF(H5947&lt;=INDEX(Assumptions!$C$15:$C$18,MATCH(E5947,Assumptions!$A$15:$A$18,0)),"Yes","No"))</f>
        <v>Yes</v>
      </c>
    </row>
    <row r="5948" customFormat="false" ht="15" hidden="false" customHeight="false" outlineLevel="0" collapsed="false">
      <c r="A5948" s="31" t="s">
        <v>6098</v>
      </c>
      <c r="B5948" s="44" t="n">
        <v>46283</v>
      </c>
      <c r="C5948" s="31" t="s">
        <v>59</v>
      </c>
      <c r="D5948" s="31" t="s">
        <v>66</v>
      </c>
      <c r="E5948" s="31" t="s">
        <v>50</v>
      </c>
      <c r="F5948" s="31" t="s">
        <v>134</v>
      </c>
      <c r="G5948" s="31" t="n">
        <v>36</v>
      </c>
      <c r="H5948" s="41" t="n">
        <v>3.4</v>
      </c>
      <c r="I5948" s="31" t="s">
        <v>149</v>
      </c>
      <c r="J5948" s="31" t="n">
        <v>4</v>
      </c>
      <c r="K5948" s="31" t="s">
        <v>150</v>
      </c>
      <c r="L5948" s="45" t="n">
        <f aca="false">DATE(YEAR(B5948),MONTH(B5948),1)</f>
        <v>46266</v>
      </c>
      <c r="M5948" s="31" t="n">
        <f aca="false">WEEKDAY(B5948,2)</f>
        <v>5</v>
      </c>
      <c r="N5948" s="31" t="str">
        <f aca="false">IF(G5948&lt;=INDEX(Assumptions!$B$15:$B$18,MATCH(E5948,Assumptions!$A$15:$A$18,0)),"Yes","No")</f>
        <v>No</v>
      </c>
      <c r="O5948" s="31" t="str">
        <f aca="false">IF(H5948="","Open",IF(H5948&lt;=INDEX(Assumptions!$C$15:$C$18,MATCH(E5948,Assumptions!$A$15:$A$18,0)),"Yes","No"))</f>
        <v>Yes</v>
      </c>
    </row>
    <row r="5949" customFormat="false" ht="15" hidden="false" customHeight="false" outlineLevel="0" collapsed="false">
      <c r="A5949" s="31" t="s">
        <v>6099</v>
      </c>
      <c r="B5949" s="44" t="n">
        <v>46283</v>
      </c>
      <c r="C5949" s="31" t="s">
        <v>57</v>
      </c>
      <c r="D5949" s="31" t="s">
        <v>68</v>
      </c>
      <c r="E5949" s="31" t="s">
        <v>52</v>
      </c>
      <c r="F5949" s="31" t="s">
        <v>123</v>
      </c>
      <c r="G5949" s="31" t="n">
        <v>8</v>
      </c>
      <c r="H5949" s="41" t="n">
        <v>15.5</v>
      </c>
      <c r="I5949" s="31" t="s">
        <v>149</v>
      </c>
      <c r="J5949" s="31"/>
      <c r="K5949" s="31" t="s">
        <v>150</v>
      </c>
      <c r="L5949" s="45" t="n">
        <f aca="false">DATE(YEAR(B5949),MONTH(B5949),1)</f>
        <v>46266</v>
      </c>
      <c r="M5949" s="31" t="n">
        <f aca="false">WEEKDAY(B5949,2)</f>
        <v>5</v>
      </c>
      <c r="N5949" s="31" t="str">
        <f aca="false">IF(G5949&lt;=INDEX(Assumptions!$B$15:$B$18,MATCH(E5949,Assumptions!$A$15:$A$18,0)),"Yes","No")</f>
        <v>Yes</v>
      </c>
      <c r="O5949" s="31" t="str">
        <f aca="false">IF(H5949="","Open",IF(H5949&lt;=INDEX(Assumptions!$C$15:$C$18,MATCH(E5949,Assumptions!$A$15:$A$18,0)),"Yes","No"))</f>
        <v>Yes</v>
      </c>
    </row>
    <row r="5950" customFormat="false" ht="15" hidden="false" customHeight="false" outlineLevel="0" collapsed="false">
      <c r="A5950" s="31" t="s">
        <v>6100</v>
      </c>
      <c r="B5950" s="44" t="n">
        <v>46283</v>
      </c>
      <c r="C5950" s="31" t="s">
        <v>60</v>
      </c>
      <c r="D5950" s="31" t="s">
        <v>67</v>
      </c>
      <c r="E5950" s="31" t="s">
        <v>49</v>
      </c>
      <c r="F5950" s="31" t="s">
        <v>130</v>
      </c>
      <c r="G5950" s="31" t="n">
        <v>1</v>
      </c>
      <c r="H5950" s="41" t="n">
        <v>3.7</v>
      </c>
      <c r="I5950" s="31" t="s">
        <v>149</v>
      </c>
      <c r="J5950" s="31" t="n">
        <v>5</v>
      </c>
      <c r="K5950" s="31" t="s">
        <v>150</v>
      </c>
      <c r="L5950" s="45" t="n">
        <f aca="false">DATE(YEAR(B5950),MONTH(B5950),1)</f>
        <v>46266</v>
      </c>
      <c r="M5950" s="31" t="n">
        <f aca="false">WEEKDAY(B5950,2)</f>
        <v>5</v>
      </c>
      <c r="N5950" s="31" t="str">
        <f aca="false">IF(G5950&lt;=INDEX(Assumptions!$B$15:$B$18,MATCH(E5950,Assumptions!$A$15:$A$18,0)),"Yes","No")</f>
        <v>Yes</v>
      </c>
      <c r="O5950" s="31" t="str">
        <f aca="false">IF(H5950="","Open",IF(H5950&lt;=INDEX(Assumptions!$C$15:$C$18,MATCH(E5950,Assumptions!$A$15:$A$18,0)),"Yes","No"))</f>
        <v>Yes</v>
      </c>
    </row>
    <row r="5951" customFormat="false" ht="15" hidden="false" customHeight="false" outlineLevel="0" collapsed="false">
      <c r="A5951" s="31" t="s">
        <v>6101</v>
      </c>
      <c r="B5951" s="44" t="n">
        <v>46283</v>
      </c>
      <c r="C5951" s="31" t="s">
        <v>58</v>
      </c>
      <c r="D5951" s="31" t="s">
        <v>65</v>
      </c>
      <c r="E5951" s="31" t="s">
        <v>52</v>
      </c>
      <c r="F5951" s="31" t="s">
        <v>131</v>
      </c>
      <c r="G5951" s="31" t="n">
        <v>10</v>
      </c>
      <c r="H5951" s="41" t="n">
        <v>11.4</v>
      </c>
      <c r="I5951" s="31" t="s">
        <v>149</v>
      </c>
      <c r="J5951" s="31"/>
      <c r="K5951" s="31" t="s">
        <v>150</v>
      </c>
      <c r="L5951" s="45" t="n">
        <f aca="false">DATE(YEAR(B5951),MONTH(B5951),1)</f>
        <v>46266</v>
      </c>
      <c r="M5951" s="31" t="n">
        <f aca="false">WEEKDAY(B5951,2)</f>
        <v>5</v>
      </c>
      <c r="N5951" s="31" t="str">
        <f aca="false">IF(G5951&lt;=INDEX(Assumptions!$B$15:$B$18,MATCH(E5951,Assumptions!$A$15:$A$18,0)),"Yes","No")</f>
        <v>Yes</v>
      </c>
      <c r="O5951" s="31" t="str">
        <f aca="false">IF(H5951="","Open",IF(H5951&lt;=INDEX(Assumptions!$C$15:$C$18,MATCH(E5951,Assumptions!$A$15:$A$18,0)),"Yes","No"))</f>
        <v>Yes</v>
      </c>
    </row>
    <row r="5952" customFormat="false" ht="15" hidden="false" customHeight="false" outlineLevel="0" collapsed="false">
      <c r="A5952" s="31" t="s">
        <v>6102</v>
      </c>
      <c r="B5952" s="44" t="n">
        <v>46283</v>
      </c>
      <c r="C5952" s="31" t="s">
        <v>59</v>
      </c>
      <c r="D5952" s="31" t="s">
        <v>69</v>
      </c>
      <c r="E5952" s="31" t="s">
        <v>52</v>
      </c>
      <c r="F5952" s="31" t="s">
        <v>127</v>
      </c>
      <c r="G5952" s="31" t="n">
        <v>180</v>
      </c>
      <c r="H5952" s="41" t="n">
        <v>5.6</v>
      </c>
      <c r="I5952" s="31" t="s">
        <v>149</v>
      </c>
      <c r="J5952" s="31" t="n">
        <v>5</v>
      </c>
      <c r="K5952" s="31" t="s">
        <v>150</v>
      </c>
      <c r="L5952" s="45" t="n">
        <f aca="false">DATE(YEAR(B5952),MONTH(B5952),1)</f>
        <v>46266</v>
      </c>
      <c r="M5952" s="31" t="n">
        <f aca="false">WEEKDAY(B5952,2)</f>
        <v>5</v>
      </c>
      <c r="N5952" s="31" t="str">
        <f aca="false">IF(G5952&lt;=INDEX(Assumptions!$B$15:$B$18,MATCH(E5952,Assumptions!$A$15:$A$18,0)),"Yes","No")</f>
        <v>Yes</v>
      </c>
      <c r="O5952" s="31" t="str">
        <f aca="false">IF(H5952="","Open",IF(H5952&lt;=INDEX(Assumptions!$C$15:$C$18,MATCH(E5952,Assumptions!$A$15:$A$18,0)),"Yes","No"))</f>
        <v>Yes</v>
      </c>
    </row>
    <row r="5953" customFormat="false" ht="15" hidden="false" customHeight="false" outlineLevel="0" collapsed="false">
      <c r="A5953" s="31" t="s">
        <v>6103</v>
      </c>
      <c r="B5953" s="44" t="n">
        <v>46283</v>
      </c>
      <c r="C5953" s="31" t="s">
        <v>58</v>
      </c>
      <c r="D5953" s="31" t="s">
        <v>68</v>
      </c>
      <c r="E5953" s="31" t="s">
        <v>51</v>
      </c>
      <c r="F5953" s="31" t="s">
        <v>134</v>
      </c>
      <c r="G5953" s="31" t="n">
        <v>11</v>
      </c>
      <c r="H5953" s="41" t="n">
        <v>24.8</v>
      </c>
      <c r="I5953" s="31" t="s">
        <v>149</v>
      </c>
      <c r="J5953" s="31" t="n">
        <v>5</v>
      </c>
      <c r="K5953" s="31" t="s">
        <v>150</v>
      </c>
      <c r="L5953" s="45" t="n">
        <f aca="false">DATE(YEAR(B5953),MONTH(B5953),1)</f>
        <v>46266</v>
      </c>
      <c r="M5953" s="31" t="n">
        <f aca="false">WEEKDAY(B5953,2)</f>
        <v>5</v>
      </c>
      <c r="N5953" s="31" t="str">
        <f aca="false">IF(G5953&lt;=INDEX(Assumptions!$B$15:$B$18,MATCH(E5953,Assumptions!$A$15:$A$18,0)),"Yes","No")</f>
        <v>Yes</v>
      </c>
      <c r="O5953" s="31" t="str">
        <f aca="false">IF(H5953="","Open",IF(H5953&lt;=INDEX(Assumptions!$C$15:$C$18,MATCH(E5953,Assumptions!$A$15:$A$18,0)),"Yes","No"))</f>
        <v>No</v>
      </c>
    </row>
    <row r="5954" customFormat="false" ht="15" hidden="false" customHeight="false" outlineLevel="0" collapsed="false">
      <c r="A5954" s="31" t="s">
        <v>6104</v>
      </c>
      <c r="B5954" s="44" t="n">
        <v>46283</v>
      </c>
      <c r="C5954" s="31" t="s">
        <v>60</v>
      </c>
      <c r="D5954" s="31" t="s">
        <v>67</v>
      </c>
      <c r="E5954" s="31" t="s">
        <v>52</v>
      </c>
      <c r="F5954" s="31" t="s">
        <v>117</v>
      </c>
      <c r="G5954" s="31" t="n">
        <v>2</v>
      </c>
      <c r="H5954" s="41" t="n">
        <v>14.8</v>
      </c>
      <c r="I5954" s="31" t="s">
        <v>149</v>
      </c>
      <c r="J5954" s="31" t="n">
        <v>4</v>
      </c>
      <c r="K5954" s="31" t="s">
        <v>150</v>
      </c>
      <c r="L5954" s="45" t="n">
        <f aca="false">DATE(YEAR(B5954),MONTH(B5954),1)</f>
        <v>46266</v>
      </c>
      <c r="M5954" s="31" t="n">
        <f aca="false">WEEKDAY(B5954,2)</f>
        <v>5</v>
      </c>
      <c r="N5954" s="31" t="str">
        <f aca="false">IF(G5954&lt;=INDEX(Assumptions!$B$15:$B$18,MATCH(E5954,Assumptions!$A$15:$A$18,0)),"Yes","No")</f>
        <v>Yes</v>
      </c>
      <c r="O5954" s="31" t="str">
        <f aca="false">IF(H5954="","Open",IF(H5954&lt;=INDEX(Assumptions!$C$15:$C$18,MATCH(E5954,Assumptions!$A$15:$A$18,0)),"Yes","No"))</f>
        <v>Yes</v>
      </c>
    </row>
    <row r="5955" customFormat="false" ht="15" hidden="false" customHeight="false" outlineLevel="0" collapsed="false">
      <c r="A5955" s="31" t="s">
        <v>6105</v>
      </c>
      <c r="B5955" s="44" t="n">
        <v>46283</v>
      </c>
      <c r="C5955" s="31" t="s">
        <v>58</v>
      </c>
      <c r="D5955" s="31" t="s">
        <v>68</v>
      </c>
      <c r="E5955" s="31" t="s">
        <v>51</v>
      </c>
      <c r="F5955" s="31" t="s">
        <v>121</v>
      </c>
      <c r="G5955" s="31" t="n">
        <v>5</v>
      </c>
      <c r="H5955" s="41" t="n">
        <v>15.9</v>
      </c>
      <c r="I5955" s="31" t="s">
        <v>64</v>
      </c>
      <c r="J5955" s="31" t="n">
        <v>4</v>
      </c>
      <c r="K5955" s="31" t="s">
        <v>150</v>
      </c>
      <c r="L5955" s="45" t="n">
        <f aca="false">DATE(YEAR(B5955),MONTH(B5955),1)</f>
        <v>46266</v>
      </c>
      <c r="M5955" s="31" t="n">
        <f aca="false">WEEKDAY(B5955,2)</f>
        <v>5</v>
      </c>
      <c r="N5955" s="31" t="str">
        <f aca="false">IF(G5955&lt;=INDEX(Assumptions!$B$15:$B$18,MATCH(E5955,Assumptions!$A$15:$A$18,0)),"Yes","No")</f>
        <v>Yes</v>
      </c>
      <c r="O5955" s="31" t="str">
        <f aca="false">IF(H5955="","Open",IF(H5955&lt;=INDEX(Assumptions!$C$15:$C$18,MATCH(E5955,Assumptions!$A$15:$A$18,0)),"Yes","No"))</f>
        <v>Yes</v>
      </c>
    </row>
    <row r="5956" customFormat="false" ht="15" hidden="false" customHeight="false" outlineLevel="0" collapsed="false">
      <c r="A5956" s="31" t="s">
        <v>6106</v>
      </c>
      <c r="B5956" s="44" t="n">
        <v>46283</v>
      </c>
      <c r="C5956" s="31" t="s">
        <v>57</v>
      </c>
      <c r="D5956" s="31" t="s">
        <v>65</v>
      </c>
      <c r="E5956" s="31" t="s">
        <v>51</v>
      </c>
      <c r="F5956" s="31" t="s">
        <v>136</v>
      </c>
      <c r="G5956" s="31" t="n">
        <v>12</v>
      </c>
      <c r="H5956" s="41" t="n">
        <v>17.3</v>
      </c>
      <c r="I5956" s="31" t="s">
        <v>149</v>
      </c>
      <c r="J5956" s="31" t="n">
        <v>5</v>
      </c>
      <c r="K5956" s="31" t="s">
        <v>150</v>
      </c>
      <c r="L5956" s="45" t="n">
        <f aca="false">DATE(YEAR(B5956),MONTH(B5956),1)</f>
        <v>46266</v>
      </c>
      <c r="M5956" s="31" t="n">
        <f aca="false">WEEKDAY(B5956,2)</f>
        <v>5</v>
      </c>
      <c r="N5956" s="31" t="str">
        <f aca="false">IF(G5956&lt;=INDEX(Assumptions!$B$15:$B$18,MATCH(E5956,Assumptions!$A$15:$A$18,0)),"Yes","No")</f>
        <v>Yes</v>
      </c>
      <c r="O5956" s="31" t="str">
        <f aca="false">IF(H5956="","Open",IF(H5956&lt;=INDEX(Assumptions!$C$15:$C$18,MATCH(E5956,Assumptions!$A$15:$A$18,0)),"Yes","No"))</f>
        <v>Yes</v>
      </c>
    </row>
    <row r="5957" customFormat="false" ht="15" hidden="false" customHeight="false" outlineLevel="0" collapsed="false">
      <c r="A5957" s="31" t="s">
        <v>6107</v>
      </c>
      <c r="B5957" s="44" t="n">
        <v>46283</v>
      </c>
      <c r="C5957" s="31" t="s">
        <v>59</v>
      </c>
      <c r="D5957" s="31" t="s">
        <v>65</v>
      </c>
      <c r="E5957" s="31" t="s">
        <v>51</v>
      </c>
      <c r="F5957" s="31" t="s">
        <v>131</v>
      </c>
      <c r="G5957" s="31" t="n">
        <v>6</v>
      </c>
      <c r="H5957" s="41" t="n">
        <v>3.1</v>
      </c>
      <c r="I5957" s="31" t="s">
        <v>149</v>
      </c>
      <c r="J5957" s="31"/>
      <c r="K5957" s="31" t="s">
        <v>150</v>
      </c>
      <c r="L5957" s="45" t="n">
        <f aca="false">DATE(YEAR(B5957),MONTH(B5957),1)</f>
        <v>46266</v>
      </c>
      <c r="M5957" s="31" t="n">
        <f aca="false">WEEKDAY(B5957,2)</f>
        <v>5</v>
      </c>
      <c r="N5957" s="31" t="str">
        <f aca="false">IF(G5957&lt;=INDEX(Assumptions!$B$15:$B$18,MATCH(E5957,Assumptions!$A$15:$A$18,0)),"Yes","No")</f>
        <v>Yes</v>
      </c>
      <c r="O5957" s="31" t="str">
        <f aca="false">IF(H5957="","Open",IF(H5957&lt;=INDEX(Assumptions!$C$15:$C$18,MATCH(E5957,Assumptions!$A$15:$A$18,0)),"Yes","No"))</f>
        <v>Yes</v>
      </c>
    </row>
    <row r="5958" customFormat="false" ht="15" hidden="false" customHeight="false" outlineLevel="0" collapsed="false">
      <c r="A5958" s="31" t="s">
        <v>6108</v>
      </c>
      <c r="B5958" s="44" t="n">
        <v>46283</v>
      </c>
      <c r="C5958" s="31" t="s">
        <v>57</v>
      </c>
      <c r="D5958" s="31" t="s">
        <v>66</v>
      </c>
      <c r="E5958" s="31" t="s">
        <v>51</v>
      </c>
      <c r="F5958" s="31" t="s">
        <v>122</v>
      </c>
      <c r="G5958" s="31" t="n">
        <v>4</v>
      </c>
      <c r="H5958" s="41" t="n">
        <v>19.9</v>
      </c>
      <c r="I5958" s="31" t="s">
        <v>149</v>
      </c>
      <c r="J5958" s="31" t="n">
        <v>5</v>
      </c>
      <c r="K5958" s="31" t="s">
        <v>150</v>
      </c>
      <c r="L5958" s="45" t="n">
        <f aca="false">DATE(YEAR(B5958),MONTH(B5958),1)</f>
        <v>46266</v>
      </c>
      <c r="M5958" s="31" t="n">
        <f aca="false">WEEKDAY(B5958,2)</f>
        <v>5</v>
      </c>
      <c r="N5958" s="31" t="str">
        <f aca="false">IF(G5958&lt;=INDEX(Assumptions!$B$15:$B$18,MATCH(E5958,Assumptions!$A$15:$A$18,0)),"Yes","No")</f>
        <v>Yes</v>
      </c>
      <c r="O5958" s="31" t="str">
        <f aca="false">IF(H5958="","Open",IF(H5958&lt;=INDEX(Assumptions!$C$15:$C$18,MATCH(E5958,Assumptions!$A$15:$A$18,0)),"Yes","No"))</f>
        <v>Yes</v>
      </c>
    </row>
    <row r="5959" customFormat="false" ht="15" hidden="false" customHeight="false" outlineLevel="0" collapsed="false">
      <c r="A5959" s="31" t="s">
        <v>6109</v>
      </c>
      <c r="B5959" s="44" t="n">
        <v>46283</v>
      </c>
      <c r="C5959" s="31" t="s">
        <v>57</v>
      </c>
      <c r="D5959" s="31" t="s">
        <v>69</v>
      </c>
      <c r="E5959" s="31" t="s">
        <v>51</v>
      </c>
      <c r="F5959" s="31" t="s">
        <v>120</v>
      </c>
      <c r="G5959" s="31" t="n">
        <v>5</v>
      </c>
      <c r="H5959" s="41"/>
      <c r="I5959" s="31" t="s">
        <v>158</v>
      </c>
      <c r="J5959" s="31"/>
      <c r="K5959" s="31" t="s">
        <v>150</v>
      </c>
      <c r="L5959" s="45" t="n">
        <f aca="false">DATE(YEAR(B5959),MONTH(B5959),1)</f>
        <v>46266</v>
      </c>
      <c r="M5959" s="31" t="n">
        <f aca="false">WEEKDAY(B5959,2)</f>
        <v>5</v>
      </c>
      <c r="N5959" s="31" t="str">
        <f aca="false">IF(G5959&lt;=INDEX(Assumptions!$B$15:$B$18,MATCH(E5959,Assumptions!$A$15:$A$18,0)),"Yes","No")</f>
        <v>Yes</v>
      </c>
      <c r="O5959" s="31" t="str">
        <f aca="false">IF(H5959="","Open",IF(H5959&lt;=INDEX(Assumptions!$C$15:$C$18,MATCH(E5959,Assumptions!$A$15:$A$18,0)),"Yes","No"))</f>
        <v>Open</v>
      </c>
    </row>
    <row r="5960" customFormat="false" ht="15" hidden="false" customHeight="false" outlineLevel="0" collapsed="false">
      <c r="A5960" s="31" t="s">
        <v>6110</v>
      </c>
      <c r="B5960" s="44" t="n">
        <v>46283</v>
      </c>
      <c r="C5960" s="31" t="s">
        <v>57</v>
      </c>
      <c r="D5960" s="31" t="s">
        <v>67</v>
      </c>
      <c r="E5960" s="31" t="s">
        <v>49</v>
      </c>
      <c r="F5960" s="31" t="s">
        <v>137</v>
      </c>
      <c r="G5960" s="31" t="n">
        <v>1</v>
      </c>
      <c r="H5960" s="41" t="n">
        <v>2.5</v>
      </c>
      <c r="I5960" s="31" t="s">
        <v>149</v>
      </c>
      <c r="J5960" s="31"/>
      <c r="K5960" s="31" t="s">
        <v>150</v>
      </c>
      <c r="L5960" s="45" t="n">
        <f aca="false">DATE(YEAR(B5960),MONTH(B5960),1)</f>
        <v>46266</v>
      </c>
      <c r="M5960" s="31" t="n">
        <f aca="false">WEEKDAY(B5960,2)</f>
        <v>5</v>
      </c>
      <c r="N5960" s="31" t="str">
        <f aca="false">IF(G5960&lt;=INDEX(Assumptions!$B$15:$B$18,MATCH(E5960,Assumptions!$A$15:$A$18,0)),"Yes","No")</f>
        <v>Yes</v>
      </c>
      <c r="O5960" s="31" t="str">
        <f aca="false">IF(H5960="","Open",IF(H5960&lt;=INDEX(Assumptions!$C$15:$C$18,MATCH(E5960,Assumptions!$A$15:$A$18,0)),"Yes","No"))</f>
        <v>Yes</v>
      </c>
    </row>
    <row r="5961" customFormat="false" ht="15" hidden="false" customHeight="false" outlineLevel="0" collapsed="false">
      <c r="A5961" s="31" t="s">
        <v>6111</v>
      </c>
      <c r="B5961" s="44" t="n">
        <v>46283</v>
      </c>
      <c r="C5961" s="31" t="s">
        <v>58</v>
      </c>
      <c r="D5961" s="31" t="s">
        <v>68</v>
      </c>
      <c r="E5961" s="31" t="s">
        <v>52</v>
      </c>
      <c r="F5961" s="31" t="s">
        <v>126</v>
      </c>
      <c r="G5961" s="31" t="n">
        <v>25</v>
      </c>
      <c r="H5961" s="41" t="n">
        <v>7.6</v>
      </c>
      <c r="I5961" s="31" t="s">
        <v>149</v>
      </c>
      <c r="J5961" s="31"/>
      <c r="K5961" s="31" t="s">
        <v>150</v>
      </c>
      <c r="L5961" s="45" t="n">
        <f aca="false">DATE(YEAR(B5961),MONTH(B5961),1)</f>
        <v>46266</v>
      </c>
      <c r="M5961" s="31" t="n">
        <f aca="false">WEEKDAY(B5961,2)</f>
        <v>5</v>
      </c>
      <c r="N5961" s="31" t="str">
        <f aca="false">IF(G5961&lt;=INDEX(Assumptions!$B$15:$B$18,MATCH(E5961,Assumptions!$A$15:$A$18,0)),"Yes","No")</f>
        <v>Yes</v>
      </c>
      <c r="O5961" s="31" t="str">
        <f aca="false">IF(H5961="","Open",IF(H5961&lt;=INDEX(Assumptions!$C$15:$C$18,MATCH(E5961,Assumptions!$A$15:$A$18,0)),"Yes","No"))</f>
        <v>Yes</v>
      </c>
    </row>
    <row r="5962" customFormat="false" ht="15" hidden="false" customHeight="false" outlineLevel="0" collapsed="false">
      <c r="A5962" s="31" t="s">
        <v>6112</v>
      </c>
      <c r="B5962" s="44" t="n">
        <v>46283</v>
      </c>
      <c r="C5962" s="31" t="s">
        <v>60</v>
      </c>
      <c r="D5962" s="31" t="s">
        <v>65</v>
      </c>
      <c r="E5962" s="31" t="s">
        <v>52</v>
      </c>
      <c r="F5962" s="31" t="s">
        <v>119</v>
      </c>
      <c r="G5962" s="31" t="n">
        <v>2</v>
      </c>
      <c r="H5962" s="41" t="n">
        <v>4.7</v>
      </c>
      <c r="I5962" s="31" t="s">
        <v>149</v>
      </c>
      <c r="J5962" s="31" t="n">
        <v>4</v>
      </c>
      <c r="K5962" s="31" t="s">
        <v>150</v>
      </c>
      <c r="L5962" s="45" t="n">
        <f aca="false">DATE(YEAR(B5962),MONTH(B5962),1)</f>
        <v>46266</v>
      </c>
      <c r="M5962" s="31" t="n">
        <f aca="false">WEEKDAY(B5962,2)</f>
        <v>5</v>
      </c>
      <c r="N5962" s="31" t="str">
        <f aca="false">IF(G5962&lt;=INDEX(Assumptions!$B$15:$B$18,MATCH(E5962,Assumptions!$A$15:$A$18,0)),"Yes","No")</f>
        <v>Yes</v>
      </c>
      <c r="O5962" s="31" t="str">
        <f aca="false">IF(H5962="","Open",IF(H5962&lt;=INDEX(Assumptions!$C$15:$C$18,MATCH(E5962,Assumptions!$A$15:$A$18,0)),"Yes","No"))</f>
        <v>Yes</v>
      </c>
    </row>
    <row r="5963" customFormat="false" ht="15" hidden="false" customHeight="false" outlineLevel="0" collapsed="false">
      <c r="A5963" s="31" t="s">
        <v>6113</v>
      </c>
      <c r="B5963" s="44" t="n">
        <v>46283</v>
      </c>
      <c r="C5963" s="31" t="s">
        <v>57</v>
      </c>
      <c r="D5963" s="31" t="s">
        <v>65</v>
      </c>
      <c r="E5963" s="31" t="s">
        <v>51</v>
      </c>
      <c r="F5963" s="31" t="s">
        <v>134</v>
      </c>
      <c r="G5963" s="31" t="n">
        <v>9</v>
      </c>
      <c r="H5963" s="41" t="n">
        <v>6.7</v>
      </c>
      <c r="I5963" s="31" t="s">
        <v>149</v>
      </c>
      <c r="J5963" s="31" t="n">
        <v>4</v>
      </c>
      <c r="K5963" s="31" t="s">
        <v>150</v>
      </c>
      <c r="L5963" s="45" t="n">
        <f aca="false">DATE(YEAR(B5963),MONTH(B5963),1)</f>
        <v>46266</v>
      </c>
      <c r="M5963" s="31" t="n">
        <f aca="false">WEEKDAY(B5963,2)</f>
        <v>5</v>
      </c>
      <c r="N5963" s="31" t="str">
        <f aca="false">IF(G5963&lt;=INDEX(Assumptions!$B$15:$B$18,MATCH(E5963,Assumptions!$A$15:$A$18,0)),"Yes","No")</f>
        <v>Yes</v>
      </c>
      <c r="O5963" s="31" t="str">
        <f aca="false">IF(H5963="","Open",IF(H5963&lt;=INDEX(Assumptions!$C$15:$C$18,MATCH(E5963,Assumptions!$A$15:$A$18,0)),"Yes","No"))</f>
        <v>Yes</v>
      </c>
    </row>
    <row r="5964" customFormat="false" ht="15" hidden="false" customHeight="false" outlineLevel="0" collapsed="false">
      <c r="A5964" s="31" t="s">
        <v>6114</v>
      </c>
      <c r="B5964" s="44" t="n">
        <v>46283</v>
      </c>
      <c r="C5964" s="31" t="s">
        <v>59</v>
      </c>
      <c r="D5964" s="31" t="s">
        <v>65</v>
      </c>
      <c r="E5964" s="31" t="s">
        <v>51</v>
      </c>
      <c r="F5964" s="31" t="s">
        <v>123</v>
      </c>
      <c r="G5964" s="31" t="n">
        <v>108</v>
      </c>
      <c r="H5964" s="41" t="n">
        <v>13.7</v>
      </c>
      <c r="I5964" s="31" t="s">
        <v>149</v>
      </c>
      <c r="J5964" s="31"/>
      <c r="K5964" s="31" t="s">
        <v>150</v>
      </c>
      <c r="L5964" s="45" t="n">
        <f aca="false">DATE(YEAR(B5964),MONTH(B5964),1)</f>
        <v>46266</v>
      </c>
      <c r="M5964" s="31" t="n">
        <f aca="false">WEEKDAY(B5964,2)</f>
        <v>5</v>
      </c>
      <c r="N5964" s="31" t="str">
        <f aca="false">IF(G5964&lt;=INDEX(Assumptions!$B$15:$B$18,MATCH(E5964,Assumptions!$A$15:$A$18,0)),"Yes","No")</f>
        <v>No</v>
      </c>
      <c r="O5964" s="31" t="str">
        <f aca="false">IF(H5964="","Open",IF(H5964&lt;=INDEX(Assumptions!$C$15:$C$18,MATCH(E5964,Assumptions!$A$15:$A$18,0)),"Yes","No"))</f>
        <v>Yes</v>
      </c>
    </row>
    <row r="5965" customFormat="false" ht="15" hidden="false" customHeight="false" outlineLevel="0" collapsed="false">
      <c r="A5965" s="31" t="s">
        <v>6115</v>
      </c>
      <c r="B5965" s="44" t="n">
        <v>46283</v>
      </c>
      <c r="C5965" s="31" t="s">
        <v>59</v>
      </c>
      <c r="D5965" s="31" t="s">
        <v>67</v>
      </c>
      <c r="E5965" s="31" t="s">
        <v>51</v>
      </c>
      <c r="F5965" s="31" t="s">
        <v>121</v>
      </c>
      <c r="G5965" s="31" t="n">
        <v>64</v>
      </c>
      <c r="H5965" s="41" t="n">
        <v>12.8</v>
      </c>
      <c r="I5965" s="31" t="s">
        <v>149</v>
      </c>
      <c r="J5965" s="31" t="n">
        <v>4</v>
      </c>
      <c r="K5965" s="31" t="s">
        <v>150</v>
      </c>
      <c r="L5965" s="45" t="n">
        <f aca="false">DATE(YEAR(B5965),MONTH(B5965),1)</f>
        <v>46266</v>
      </c>
      <c r="M5965" s="31" t="n">
        <f aca="false">WEEKDAY(B5965,2)</f>
        <v>5</v>
      </c>
      <c r="N5965" s="31" t="str">
        <f aca="false">IF(G5965&lt;=INDEX(Assumptions!$B$15:$B$18,MATCH(E5965,Assumptions!$A$15:$A$18,0)),"Yes","No")</f>
        <v>No</v>
      </c>
      <c r="O5965" s="31" t="str">
        <f aca="false">IF(H5965="","Open",IF(H5965&lt;=INDEX(Assumptions!$C$15:$C$18,MATCH(E5965,Assumptions!$A$15:$A$18,0)),"Yes","No"))</f>
        <v>Yes</v>
      </c>
    </row>
    <row r="5966" customFormat="false" ht="15" hidden="false" customHeight="false" outlineLevel="0" collapsed="false">
      <c r="A5966" s="31" t="s">
        <v>6116</v>
      </c>
      <c r="B5966" s="44" t="n">
        <v>46283</v>
      </c>
      <c r="C5966" s="31" t="s">
        <v>60</v>
      </c>
      <c r="D5966" s="31" t="s">
        <v>65</v>
      </c>
      <c r="E5966" s="31" t="s">
        <v>51</v>
      </c>
      <c r="F5966" s="31" t="s">
        <v>127</v>
      </c>
      <c r="G5966" s="31" t="n">
        <v>1</v>
      </c>
      <c r="H5966" s="41" t="n">
        <v>1.5</v>
      </c>
      <c r="I5966" s="31" t="s">
        <v>149</v>
      </c>
      <c r="J5966" s="31" t="n">
        <v>5</v>
      </c>
      <c r="K5966" s="31" t="s">
        <v>150</v>
      </c>
      <c r="L5966" s="45" t="n">
        <f aca="false">DATE(YEAR(B5966),MONTH(B5966),1)</f>
        <v>46266</v>
      </c>
      <c r="M5966" s="31" t="n">
        <f aca="false">WEEKDAY(B5966,2)</f>
        <v>5</v>
      </c>
      <c r="N5966" s="31" t="str">
        <f aca="false">IF(G5966&lt;=INDEX(Assumptions!$B$15:$B$18,MATCH(E5966,Assumptions!$A$15:$A$18,0)),"Yes","No")</f>
        <v>Yes</v>
      </c>
      <c r="O5966" s="31" t="str">
        <f aca="false">IF(H5966="","Open",IF(H5966&lt;=INDEX(Assumptions!$C$15:$C$18,MATCH(E5966,Assumptions!$A$15:$A$18,0)),"Yes","No"))</f>
        <v>Yes</v>
      </c>
    </row>
    <row r="5967" customFormat="false" ht="15" hidden="false" customHeight="false" outlineLevel="0" collapsed="false">
      <c r="A5967" s="31" t="s">
        <v>6117</v>
      </c>
      <c r="B5967" s="44" t="n">
        <v>46283</v>
      </c>
      <c r="C5967" s="31" t="s">
        <v>57</v>
      </c>
      <c r="D5967" s="31" t="s">
        <v>67</v>
      </c>
      <c r="E5967" s="31" t="s">
        <v>50</v>
      </c>
      <c r="F5967" s="31" t="s">
        <v>130</v>
      </c>
      <c r="G5967" s="31" t="n">
        <v>1</v>
      </c>
      <c r="H5967" s="41" t="n">
        <v>6.8</v>
      </c>
      <c r="I5967" s="31" t="s">
        <v>149</v>
      </c>
      <c r="J5967" s="31" t="n">
        <v>4</v>
      </c>
      <c r="K5967" s="31" t="s">
        <v>153</v>
      </c>
      <c r="L5967" s="45" t="n">
        <f aca="false">DATE(YEAR(B5967),MONTH(B5967),1)</f>
        <v>46266</v>
      </c>
      <c r="M5967" s="31" t="n">
        <f aca="false">WEEKDAY(B5967,2)</f>
        <v>5</v>
      </c>
      <c r="N5967" s="31" t="str">
        <f aca="false">IF(G5967&lt;=INDEX(Assumptions!$B$15:$B$18,MATCH(E5967,Assumptions!$A$15:$A$18,0)),"Yes","No")</f>
        <v>Yes</v>
      </c>
      <c r="O5967" s="31" t="str">
        <f aca="false">IF(H5967="","Open",IF(H5967&lt;=INDEX(Assumptions!$C$15:$C$18,MATCH(E5967,Assumptions!$A$15:$A$18,0)),"Yes","No"))</f>
        <v>Yes</v>
      </c>
    </row>
    <row r="5968" customFormat="false" ht="15" hidden="false" customHeight="false" outlineLevel="0" collapsed="false">
      <c r="A5968" s="31" t="s">
        <v>6118</v>
      </c>
      <c r="B5968" s="44" t="n">
        <v>46283</v>
      </c>
      <c r="C5968" s="31" t="s">
        <v>58</v>
      </c>
      <c r="D5968" s="31" t="s">
        <v>65</v>
      </c>
      <c r="E5968" s="31" t="s">
        <v>51</v>
      </c>
      <c r="F5968" s="31" t="s">
        <v>121</v>
      </c>
      <c r="G5968" s="31" t="n">
        <v>6</v>
      </c>
      <c r="H5968" s="41" t="n">
        <v>5.9</v>
      </c>
      <c r="I5968" s="31" t="s">
        <v>149</v>
      </c>
      <c r="J5968" s="31" t="n">
        <v>5</v>
      </c>
      <c r="K5968" s="31" t="s">
        <v>150</v>
      </c>
      <c r="L5968" s="45" t="n">
        <f aca="false">DATE(YEAR(B5968),MONTH(B5968),1)</f>
        <v>46266</v>
      </c>
      <c r="M5968" s="31" t="n">
        <f aca="false">WEEKDAY(B5968,2)</f>
        <v>5</v>
      </c>
      <c r="N5968" s="31" t="str">
        <f aca="false">IF(G5968&lt;=INDEX(Assumptions!$B$15:$B$18,MATCH(E5968,Assumptions!$A$15:$A$18,0)),"Yes","No")</f>
        <v>Yes</v>
      </c>
      <c r="O5968" s="31" t="str">
        <f aca="false">IF(H5968="","Open",IF(H5968&lt;=INDEX(Assumptions!$C$15:$C$18,MATCH(E5968,Assumptions!$A$15:$A$18,0)),"Yes","No"))</f>
        <v>Yes</v>
      </c>
    </row>
    <row r="5969" customFormat="false" ht="15" hidden="false" customHeight="false" outlineLevel="0" collapsed="false">
      <c r="A5969" s="31" t="s">
        <v>6119</v>
      </c>
      <c r="B5969" s="44" t="n">
        <v>46283</v>
      </c>
      <c r="C5969" s="31" t="s">
        <v>60</v>
      </c>
      <c r="D5969" s="31" t="s">
        <v>66</v>
      </c>
      <c r="E5969" s="31" t="s">
        <v>51</v>
      </c>
      <c r="F5969" s="31" t="s">
        <v>129</v>
      </c>
      <c r="G5969" s="31" t="n">
        <v>4</v>
      </c>
      <c r="H5969" s="41" t="n">
        <v>9</v>
      </c>
      <c r="I5969" s="31" t="s">
        <v>149</v>
      </c>
      <c r="J5969" s="31" t="n">
        <v>5</v>
      </c>
      <c r="K5969" s="31" t="s">
        <v>150</v>
      </c>
      <c r="L5969" s="45" t="n">
        <f aca="false">DATE(YEAR(B5969),MONTH(B5969),1)</f>
        <v>46266</v>
      </c>
      <c r="M5969" s="31" t="n">
        <f aca="false">WEEKDAY(B5969,2)</f>
        <v>5</v>
      </c>
      <c r="N5969" s="31" t="str">
        <f aca="false">IF(G5969&lt;=INDEX(Assumptions!$B$15:$B$18,MATCH(E5969,Assumptions!$A$15:$A$18,0)),"Yes","No")</f>
        <v>Yes</v>
      </c>
      <c r="O5969" s="31" t="str">
        <f aca="false">IF(H5969="","Open",IF(H5969&lt;=INDEX(Assumptions!$C$15:$C$18,MATCH(E5969,Assumptions!$A$15:$A$18,0)),"Yes","No"))</f>
        <v>Yes</v>
      </c>
    </row>
    <row r="5970" customFormat="false" ht="15" hidden="false" customHeight="false" outlineLevel="0" collapsed="false">
      <c r="A5970" s="31" t="s">
        <v>6120</v>
      </c>
      <c r="B5970" s="44" t="n">
        <v>46283</v>
      </c>
      <c r="C5970" s="31" t="s">
        <v>58</v>
      </c>
      <c r="D5970" s="31" t="s">
        <v>67</v>
      </c>
      <c r="E5970" s="31" t="s">
        <v>51</v>
      </c>
      <c r="F5970" s="31" t="s">
        <v>135</v>
      </c>
      <c r="G5970" s="31" t="n">
        <v>100</v>
      </c>
      <c r="H5970" s="41" t="n">
        <v>8.6</v>
      </c>
      <c r="I5970" s="31" t="s">
        <v>149</v>
      </c>
      <c r="J5970" s="31"/>
      <c r="K5970" s="31" t="s">
        <v>150</v>
      </c>
      <c r="L5970" s="45" t="n">
        <f aca="false">DATE(YEAR(B5970),MONTH(B5970),1)</f>
        <v>46266</v>
      </c>
      <c r="M5970" s="31" t="n">
        <f aca="false">WEEKDAY(B5970,2)</f>
        <v>5</v>
      </c>
      <c r="N5970" s="31" t="str">
        <f aca="false">IF(G5970&lt;=INDEX(Assumptions!$B$15:$B$18,MATCH(E5970,Assumptions!$A$15:$A$18,0)),"Yes","No")</f>
        <v>No</v>
      </c>
      <c r="O5970" s="31" t="str">
        <f aca="false">IF(H5970="","Open",IF(H5970&lt;=INDEX(Assumptions!$C$15:$C$18,MATCH(E5970,Assumptions!$A$15:$A$18,0)),"Yes","No"))</f>
        <v>Yes</v>
      </c>
    </row>
    <row r="5971" customFormat="false" ht="15" hidden="false" customHeight="false" outlineLevel="0" collapsed="false">
      <c r="A5971" s="31" t="s">
        <v>6121</v>
      </c>
      <c r="B5971" s="44" t="n">
        <v>46283</v>
      </c>
      <c r="C5971" s="31" t="s">
        <v>60</v>
      </c>
      <c r="D5971" s="31" t="s">
        <v>66</v>
      </c>
      <c r="E5971" s="31" t="s">
        <v>52</v>
      </c>
      <c r="F5971" s="31" t="s">
        <v>119</v>
      </c>
      <c r="G5971" s="31" t="n">
        <v>1</v>
      </c>
      <c r="H5971" s="41" t="n">
        <v>2.4</v>
      </c>
      <c r="I5971" s="31" t="s">
        <v>149</v>
      </c>
      <c r="J5971" s="31"/>
      <c r="K5971" s="31" t="s">
        <v>150</v>
      </c>
      <c r="L5971" s="45" t="n">
        <f aca="false">DATE(YEAR(B5971),MONTH(B5971),1)</f>
        <v>46266</v>
      </c>
      <c r="M5971" s="31" t="n">
        <f aca="false">WEEKDAY(B5971,2)</f>
        <v>5</v>
      </c>
      <c r="N5971" s="31" t="str">
        <f aca="false">IF(G5971&lt;=INDEX(Assumptions!$B$15:$B$18,MATCH(E5971,Assumptions!$A$15:$A$18,0)),"Yes","No")</f>
        <v>Yes</v>
      </c>
      <c r="O5971" s="31" t="str">
        <f aca="false">IF(H5971="","Open",IF(H5971&lt;=INDEX(Assumptions!$C$15:$C$18,MATCH(E5971,Assumptions!$A$15:$A$18,0)),"Yes","No"))</f>
        <v>Yes</v>
      </c>
    </row>
    <row r="5972" customFormat="false" ht="15" hidden="false" customHeight="false" outlineLevel="0" collapsed="false">
      <c r="A5972" s="31" t="s">
        <v>6122</v>
      </c>
      <c r="B5972" s="44" t="n">
        <v>46283</v>
      </c>
      <c r="C5972" s="31" t="s">
        <v>57</v>
      </c>
      <c r="D5972" s="31" t="s">
        <v>66</v>
      </c>
      <c r="E5972" s="31" t="s">
        <v>49</v>
      </c>
      <c r="F5972" s="31" t="s">
        <v>121</v>
      </c>
      <c r="G5972" s="31" t="n">
        <v>10</v>
      </c>
      <c r="H5972" s="41" t="n">
        <v>1</v>
      </c>
      <c r="I5972" s="31" t="s">
        <v>149</v>
      </c>
      <c r="J5972" s="31"/>
      <c r="K5972" s="31" t="s">
        <v>150</v>
      </c>
      <c r="L5972" s="45" t="n">
        <f aca="false">DATE(YEAR(B5972),MONTH(B5972),1)</f>
        <v>46266</v>
      </c>
      <c r="M5972" s="31" t="n">
        <f aca="false">WEEKDAY(B5972,2)</f>
        <v>5</v>
      </c>
      <c r="N5972" s="31" t="str">
        <f aca="false">IF(G5972&lt;=INDEX(Assumptions!$B$15:$B$18,MATCH(E5972,Assumptions!$A$15:$A$18,0)),"Yes","No")</f>
        <v>Yes</v>
      </c>
      <c r="O5972" s="31" t="str">
        <f aca="false">IF(H5972="","Open",IF(H5972&lt;=INDEX(Assumptions!$C$15:$C$18,MATCH(E5972,Assumptions!$A$15:$A$18,0)),"Yes","No"))</f>
        <v>Yes</v>
      </c>
    </row>
    <row r="5973" customFormat="false" ht="15" hidden="false" customHeight="false" outlineLevel="0" collapsed="false">
      <c r="A5973" s="31" t="s">
        <v>6123</v>
      </c>
      <c r="B5973" s="44" t="n">
        <v>46283</v>
      </c>
      <c r="C5973" s="31" t="s">
        <v>59</v>
      </c>
      <c r="D5973" s="31" t="s">
        <v>66</v>
      </c>
      <c r="E5973" s="31" t="s">
        <v>49</v>
      </c>
      <c r="F5973" s="31" t="s">
        <v>128</v>
      </c>
      <c r="G5973" s="31" t="n">
        <v>48</v>
      </c>
      <c r="H5973" s="41" t="n">
        <v>59.6</v>
      </c>
      <c r="I5973" s="31" t="s">
        <v>64</v>
      </c>
      <c r="J5973" s="31" t="n">
        <v>2</v>
      </c>
      <c r="K5973" s="31" t="s">
        <v>150</v>
      </c>
      <c r="L5973" s="45" t="n">
        <f aca="false">DATE(YEAR(B5973),MONTH(B5973),1)</f>
        <v>46266</v>
      </c>
      <c r="M5973" s="31" t="n">
        <f aca="false">WEEKDAY(B5973,2)</f>
        <v>5</v>
      </c>
      <c r="N5973" s="31" t="str">
        <f aca="false">IF(G5973&lt;=INDEX(Assumptions!$B$15:$B$18,MATCH(E5973,Assumptions!$A$15:$A$18,0)),"Yes","No")</f>
        <v>No</v>
      </c>
      <c r="O5973" s="31" t="str">
        <f aca="false">IF(H5973="","Open",IF(H5973&lt;=INDEX(Assumptions!$C$15:$C$18,MATCH(E5973,Assumptions!$A$15:$A$18,0)),"Yes","No"))</f>
        <v>No</v>
      </c>
    </row>
    <row r="5974" customFormat="false" ht="15" hidden="false" customHeight="false" outlineLevel="0" collapsed="false">
      <c r="A5974" s="31" t="s">
        <v>6124</v>
      </c>
      <c r="B5974" s="44" t="n">
        <v>46283</v>
      </c>
      <c r="C5974" s="31" t="s">
        <v>57</v>
      </c>
      <c r="D5974" s="31" t="s">
        <v>69</v>
      </c>
      <c r="E5974" s="31" t="s">
        <v>51</v>
      </c>
      <c r="F5974" s="31" t="s">
        <v>134</v>
      </c>
      <c r="G5974" s="31" t="n">
        <v>28</v>
      </c>
      <c r="H5974" s="41" t="n">
        <v>52.2</v>
      </c>
      <c r="I5974" s="31" t="s">
        <v>64</v>
      </c>
      <c r="J5974" s="31"/>
      <c r="K5974" s="31" t="s">
        <v>150</v>
      </c>
      <c r="L5974" s="45" t="n">
        <f aca="false">DATE(YEAR(B5974),MONTH(B5974),1)</f>
        <v>46266</v>
      </c>
      <c r="M5974" s="31" t="n">
        <f aca="false">WEEKDAY(B5974,2)</f>
        <v>5</v>
      </c>
      <c r="N5974" s="31" t="str">
        <f aca="false">IF(G5974&lt;=INDEX(Assumptions!$B$15:$B$18,MATCH(E5974,Assumptions!$A$15:$A$18,0)),"Yes","No")</f>
        <v>Yes</v>
      </c>
      <c r="O5974" s="31" t="str">
        <f aca="false">IF(H5974="","Open",IF(H5974&lt;=INDEX(Assumptions!$C$15:$C$18,MATCH(E5974,Assumptions!$A$15:$A$18,0)),"Yes","No"))</f>
        <v>No</v>
      </c>
    </row>
    <row r="5975" customFormat="false" ht="15" hidden="false" customHeight="false" outlineLevel="0" collapsed="false">
      <c r="A5975" s="31" t="s">
        <v>6125</v>
      </c>
      <c r="B5975" s="44" t="n">
        <v>46283</v>
      </c>
      <c r="C5975" s="31" t="s">
        <v>59</v>
      </c>
      <c r="D5975" s="31" t="s">
        <v>69</v>
      </c>
      <c r="E5975" s="31" t="s">
        <v>52</v>
      </c>
      <c r="F5975" s="31" t="s">
        <v>127</v>
      </c>
      <c r="G5975" s="31" t="n">
        <v>234</v>
      </c>
      <c r="H5975" s="41" t="n">
        <v>27.8</v>
      </c>
      <c r="I5975" s="31" t="s">
        <v>149</v>
      </c>
      <c r="J5975" s="31" t="n">
        <v>5</v>
      </c>
      <c r="K5975" s="31" t="s">
        <v>150</v>
      </c>
      <c r="L5975" s="45" t="n">
        <f aca="false">DATE(YEAR(B5975),MONTH(B5975),1)</f>
        <v>46266</v>
      </c>
      <c r="M5975" s="31" t="n">
        <f aca="false">WEEKDAY(B5975,2)</f>
        <v>5</v>
      </c>
      <c r="N5975" s="31" t="str">
        <f aca="false">IF(G5975&lt;=INDEX(Assumptions!$B$15:$B$18,MATCH(E5975,Assumptions!$A$15:$A$18,0)),"Yes","No")</f>
        <v>Yes</v>
      </c>
      <c r="O5975" s="31" t="str">
        <f aca="false">IF(H5975="","Open",IF(H5975&lt;=INDEX(Assumptions!$C$15:$C$18,MATCH(E5975,Assumptions!$A$15:$A$18,0)),"Yes","No"))</f>
        <v>Yes</v>
      </c>
    </row>
    <row r="5976" customFormat="false" ht="15" hidden="false" customHeight="false" outlineLevel="0" collapsed="false">
      <c r="A5976" s="31" t="s">
        <v>6126</v>
      </c>
      <c r="B5976" s="44" t="n">
        <v>46283</v>
      </c>
      <c r="C5976" s="31" t="s">
        <v>57</v>
      </c>
      <c r="D5976" s="31" t="s">
        <v>65</v>
      </c>
      <c r="E5976" s="31" t="s">
        <v>52</v>
      </c>
      <c r="F5976" s="31" t="s">
        <v>120</v>
      </c>
      <c r="G5976" s="31" t="n">
        <v>12</v>
      </c>
      <c r="H5976" s="41" t="n">
        <v>48</v>
      </c>
      <c r="I5976" s="31" t="s">
        <v>149</v>
      </c>
      <c r="J5976" s="31" t="n">
        <v>5</v>
      </c>
      <c r="K5976" s="31" t="s">
        <v>150</v>
      </c>
      <c r="L5976" s="45" t="n">
        <f aca="false">DATE(YEAR(B5976),MONTH(B5976),1)</f>
        <v>46266</v>
      </c>
      <c r="M5976" s="31" t="n">
        <f aca="false">WEEKDAY(B5976,2)</f>
        <v>5</v>
      </c>
      <c r="N5976" s="31" t="str">
        <f aca="false">IF(G5976&lt;=INDEX(Assumptions!$B$15:$B$18,MATCH(E5976,Assumptions!$A$15:$A$18,0)),"Yes","No")</f>
        <v>Yes</v>
      </c>
      <c r="O5976" s="31" t="str">
        <f aca="false">IF(H5976="","Open",IF(H5976&lt;=INDEX(Assumptions!$C$15:$C$18,MATCH(E5976,Assumptions!$A$15:$A$18,0)),"Yes","No"))</f>
        <v>Yes</v>
      </c>
    </row>
    <row r="5977" customFormat="false" ht="15" hidden="false" customHeight="false" outlineLevel="0" collapsed="false">
      <c r="A5977" s="31" t="s">
        <v>6127</v>
      </c>
      <c r="B5977" s="44" t="n">
        <v>46283</v>
      </c>
      <c r="C5977" s="31" t="s">
        <v>59</v>
      </c>
      <c r="D5977" s="31" t="s">
        <v>65</v>
      </c>
      <c r="E5977" s="31" t="s">
        <v>51</v>
      </c>
      <c r="F5977" s="31" t="s">
        <v>129</v>
      </c>
      <c r="G5977" s="31" t="n">
        <v>106</v>
      </c>
      <c r="H5977" s="41" t="n">
        <v>22.3</v>
      </c>
      <c r="I5977" s="31" t="s">
        <v>149</v>
      </c>
      <c r="J5977" s="31"/>
      <c r="K5977" s="31" t="s">
        <v>150</v>
      </c>
      <c r="L5977" s="45" t="n">
        <f aca="false">DATE(YEAR(B5977),MONTH(B5977),1)</f>
        <v>46266</v>
      </c>
      <c r="M5977" s="31" t="n">
        <f aca="false">WEEKDAY(B5977,2)</f>
        <v>5</v>
      </c>
      <c r="N5977" s="31" t="str">
        <f aca="false">IF(G5977&lt;=INDEX(Assumptions!$B$15:$B$18,MATCH(E5977,Assumptions!$A$15:$A$18,0)),"Yes","No")</f>
        <v>No</v>
      </c>
      <c r="O5977" s="31" t="str">
        <f aca="false">IF(H5977="","Open",IF(H5977&lt;=INDEX(Assumptions!$C$15:$C$18,MATCH(E5977,Assumptions!$A$15:$A$18,0)),"Yes","No"))</f>
        <v>Yes</v>
      </c>
    </row>
    <row r="5978" customFormat="false" ht="15" hidden="false" customHeight="false" outlineLevel="0" collapsed="false">
      <c r="A5978" s="31" t="s">
        <v>6128</v>
      </c>
      <c r="B5978" s="44" t="n">
        <v>46283</v>
      </c>
      <c r="C5978" s="31" t="s">
        <v>59</v>
      </c>
      <c r="D5978" s="31" t="s">
        <v>68</v>
      </c>
      <c r="E5978" s="31" t="s">
        <v>52</v>
      </c>
      <c r="F5978" s="31" t="s">
        <v>123</v>
      </c>
      <c r="G5978" s="31" t="n">
        <v>67</v>
      </c>
      <c r="H5978" s="41" t="n">
        <v>4.4</v>
      </c>
      <c r="I5978" s="31" t="s">
        <v>149</v>
      </c>
      <c r="J5978" s="31" t="n">
        <v>3</v>
      </c>
      <c r="K5978" s="31" t="s">
        <v>150</v>
      </c>
      <c r="L5978" s="45" t="n">
        <f aca="false">DATE(YEAR(B5978),MONTH(B5978),1)</f>
        <v>46266</v>
      </c>
      <c r="M5978" s="31" t="n">
        <f aca="false">WEEKDAY(B5978,2)</f>
        <v>5</v>
      </c>
      <c r="N5978" s="31" t="str">
        <f aca="false">IF(G5978&lt;=INDEX(Assumptions!$B$15:$B$18,MATCH(E5978,Assumptions!$A$15:$A$18,0)),"Yes","No")</f>
        <v>Yes</v>
      </c>
      <c r="O5978" s="31" t="str">
        <f aca="false">IF(H5978="","Open",IF(H5978&lt;=INDEX(Assumptions!$C$15:$C$18,MATCH(E5978,Assumptions!$A$15:$A$18,0)),"Yes","No"))</f>
        <v>Yes</v>
      </c>
    </row>
    <row r="5979" customFormat="false" ht="15" hidden="false" customHeight="false" outlineLevel="0" collapsed="false">
      <c r="A5979" s="31" t="s">
        <v>6129</v>
      </c>
      <c r="B5979" s="44" t="n">
        <v>46283</v>
      </c>
      <c r="C5979" s="31" t="s">
        <v>60</v>
      </c>
      <c r="D5979" s="31" t="s">
        <v>65</v>
      </c>
      <c r="E5979" s="31" t="s">
        <v>52</v>
      </c>
      <c r="F5979" s="31" t="s">
        <v>128</v>
      </c>
      <c r="G5979" s="31" t="n">
        <v>4</v>
      </c>
      <c r="H5979" s="41" t="n">
        <v>11.2</v>
      </c>
      <c r="I5979" s="31" t="s">
        <v>149</v>
      </c>
      <c r="J5979" s="31" t="n">
        <v>4</v>
      </c>
      <c r="K5979" s="31" t="s">
        <v>150</v>
      </c>
      <c r="L5979" s="45" t="n">
        <f aca="false">DATE(YEAR(B5979),MONTH(B5979),1)</f>
        <v>46266</v>
      </c>
      <c r="M5979" s="31" t="n">
        <f aca="false">WEEKDAY(B5979,2)</f>
        <v>5</v>
      </c>
      <c r="N5979" s="31" t="str">
        <f aca="false">IF(G5979&lt;=INDEX(Assumptions!$B$15:$B$18,MATCH(E5979,Assumptions!$A$15:$A$18,0)),"Yes","No")</f>
        <v>Yes</v>
      </c>
      <c r="O5979" s="31" t="str">
        <f aca="false">IF(H5979="","Open",IF(H5979&lt;=INDEX(Assumptions!$C$15:$C$18,MATCH(E5979,Assumptions!$A$15:$A$18,0)),"Yes","No"))</f>
        <v>Yes</v>
      </c>
    </row>
    <row r="5980" customFormat="false" ht="15" hidden="false" customHeight="false" outlineLevel="0" collapsed="false">
      <c r="A5980" s="31" t="s">
        <v>6130</v>
      </c>
      <c r="B5980" s="44" t="n">
        <v>46283</v>
      </c>
      <c r="C5980" s="31" t="s">
        <v>60</v>
      </c>
      <c r="D5980" s="31" t="s">
        <v>69</v>
      </c>
      <c r="E5980" s="31" t="s">
        <v>51</v>
      </c>
      <c r="F5980" s="31" t="s">
        <v>128</v>
      </c>
      <c r="G5980" s="31" t="n">
        <v>2</v>
      </c>
      <c r="H5980" s="41" t="n">
        <v>36.2</v>
      </c>
      <c r="I5980" s="31" t="s">
        <v>149</v>
      </c>
      <c r="J5980" s="31"/>
      <c r="K5980" s="31" t="s">
        <v>150</v>
      </c>
      <c r="L5980" s="45" t="n">
        <f aca="false">DATE(YEAR(B5980),MONTH(B5980),1)</f>
        <v>46266</v>
      </c>
      <c r="M5980" s="31" t="n">
        <f aca="false">WEEKDAY(B5980,2)</f>
        <v>5</v>
      </c>
      <c r="N5980" s="31" t="str">
        <f aca="false">IF(G5980&lt;=INDEX(Assumptions!$B$15:$B$18,MATCH(E5980,Assumptions!$A$15:$A$18,0)),"Yes","No")</f>
        <v>Yes</v>
      </c>
      <c r="O5980" s="31" t="str">
        <f aca="false">IF(H5980="","Open",IF(H5980&lt;=INDEX(Assumptions!$C$15:$C$18,MATCH(E5980,Assumptions!$A$15:$A$18,0)),"Yes","No"))</f>
        <v>No</v>
      </c>
    </row>
    <row r="5981" customFormat="false" ht="15" hidden="false" customHeight="false" outlineLevel="0" collapsed="false">
      <c r="A5981" s="31" t="s">
        <v>6131</v>
      </c>
      <c r="B5981" s="44" t="n">
        <v>46283</v>
      </c>
      <c r="C5981" s="31" t="s">
        <v>59</v>
      </c>
      <c r="D5981" s="31" t="s">
        <v>65</v>
      </c>
      <c r="E5981" s="31" t="s">
        <v>49</v>
      </c>
      <c r="F5981" s="31" t="s">
        <v>120</v>
      </c>
      <c r="G5981" s="31" t="n">
        <v>73</v>
      </c>
      <c r="H5981" s="41" t="n">
        <v>9.9</v>
      </c>
      <c r="I5981" s="31" t="s">
        <v>149</v>
      </c>
      <c r="J5981" s="31"/>
      <c r="K5981" s="31" t="s">
        <v>150</v>
      </c>
      <c r="L5981" s="45" t="n">
        <f aca="false">DATE(YEAR(B5981),MONTH(B5981),1)</f>
        <v>46266</v>
      </c>
      <c r="M5981" s="31" t="n">
        <f aca="false">WEEKDAY(B5981,2)</f>
        <v>5</v>
      </c>
      <c r="N5981" s="31" t="str">
        <f aca="false">IF(G5981&lt;=INDEX(Assumptions!$B$15:$B$18,MATCH(E5981,Assumptions!$A$15:$A$18,0)),"Yes","No")</f>
        <v>No</v>
      </c>
      <c r="O5981" s="31" t="str">
        <f aca="false">IF(H5981="","Open",IF(H5981&lt;=INDEX(Assumptions!$C$15:$C$18,MATCH(E5981,Assumptions!$A$15:$A$18,0)),"Yes","No"))</f>
        <v>No</v>
      </c>
    </row>
    <row r="5982" customFormat="false" ht="15" hidden="false" customHeight="false" outlineLevel="0" collapsed="false">
      <c r="A5982" s="31" t="s">
        <v>6132</v>
      </c>
      <c r="B5982" s="44" t="n">
        <v>46283</v>
      </c>
      <c r="C5982" s="31" t="s">
        <v>59</v>
      </c>
      <c r="D5982" s="31" t="s">
        <v>65</v>
      </c>
      <c r="E5982" s="31" t="s">
        <v>52</v>
      </c>
      <c r="F5982" s="31" t="s">
        <v>134</v>
      </c>
      <c r="G5982" s="31" t="n">
        <v>152</v>
      </c>
      <c r="H5982" s="41" t="n">
        <v>52.7</v>
      </c>
      <c r="I5982" s="31" t="s">
        <v>149</v>
      </c>
      <c r="J5982" s="31" t="n">
        <v>3</v>
      </c>
      <c r="K5982" s="31" t="s">
        <v>150</v>
      </c>
      <c r="L5982" s="45" t="n">
        <f aca="false">DATE(YEAR(B5982),MONTH(B5982),1)</f>
        <v>46266</v>
      </c>
      <c r="M5982" s="31" t="n">
        <f aca="false">WEEKDAY(B5982,2)</f>
        <v>5</v>
      </c>
      <c r="N5982" s="31" t="str">
        <f aca="false">IF(G5982&lt;=INDEX(Assumptions!$B$15:$B$18,MATCH(E5982,Assumptions!$A$15:$A$18,0)),"Yes","No")</f>
        <v>Yes</v>
      </c>
      <c r="O5982" s="31" t="str">
        <f aca="false">IF(H5982="","Open",IF(H5982&lt;=INDEX(Assumptions!$C$15:$C$18,MATCH(E5982,Assumptions!$A$15:$A$18,0)),"Yes","No"))</f>
        <v>Yes</v>
      </c>
    </row>
    <row r="5983" customFormat="false" ht="15" hidden="false" customHeight="false" outlineLevel="0" collapsed="false">
      <c r="A5983" s="31" t="s">
        <v>6133</v>
      </c>
      <c r="B5983" s="44" t="n">
        <v>46283</v>
      </c>
      <c r="C5983" s="31" t="s">
        <v>58</v>
      </c>
      <c r="D5983" s="31" t="s">
        <v>66</v>
      </c>
      <c r="E5983" s="31" t="s">
        <v>50</v>
      </c>
      <c r="F5983" s="31" t="s">
        <v>135</v>
      </c>
      <c r="G5983" s="31" t="n">
        <v>58</v>
      </c>
      <c r="H5983" s="41" t="n">
        <v>7.2</v>
      </c>
      <c r="I5983" s="31" t="s">
        <v>149</v>
      </c>
      <c r="J5983" s="31" t="n">
        <v>4</v>
      </c>
      <c r="K5983" s="31" t="s">
        <v>150</v>
      </c>
      <c r="L5983" s="45" t="n">
        <f aca="false">DATE(YEAR(B5983),MONTH(B5983),1)</f>
        <v>46266</v>
      </c>
      <c r="M5983" s="31" t="n">
        <f aca="false">WEEKDAY(B5983,2)</f>
        <v>5</v>
      </c>
      <c r="N5983" s="31" t="str">
        <f aca="false">IF(G5983&lt;=INDEX(Assumptions!$B$15:$B$18,MATCH(E5983,Assumptions!$A$15:$A$18,0)),"Yes","No")</f>
        <v>No</v>
      </c>
      <c r="O5983" s="31" t="str">
        <f aca="false">IF(H5983="","Open",IF(H5983&lt;=INDEX(Assumptions!$C$15:$C$18,MATCH(E5983,Assumptions!$A$15:$A$18,0)),"Yes","No"))</f>
        <v>Yes</v>
      </c>
    </row>
    <row r="5984" customFormat="false" ht="15" hidden="false" customHeight="false" outlineLevel="0" collapsed="false">
      <c r="A5984" s="31" t="s">
        <v>6134</v>
      </c>
      <c r="B5984" s="44" t="n">
        <v>46283</v>
      </c>
      <c r="C5984" s="31" t="s">
        <v>57</v>
      </c>
      <c r="D5984" s="31" t="s">
        <v>67</v>
      </c>
      <c r="E5984" s="31" t="s">
        <v>49</v>
      </c>
      <c r="F5984" s="31" t="s">
        <v>122</v>
      </c>
      <c r="G5984" s="31" t="n">
        <v>3</v>
      </c>
      <c r="H5984" s="41" t="n">
        <v>0.7</v>
      </c>
      <c r="I5984" s="31" t="s">
        <v>149</v>
      </c>
      <c r="J5984" s="31" t="n">
        <v>4</v>
      </c>
      <c r="K5984" s="31" t="s">
        <v>150</v>
      </c>
      <c r="L5984" s="45" t="n">
        <f aca="false">DATE(YEAR(B5984),MONTH(B5984),1)</f>
        <v>46266</v>
      </c>
      <c r="M5984" s="31" t="n">
        <f aca="false">WEEKDAY(B5984,2)</f>
        <v>5</v>
      </c>
      <c r="N5984" s="31" t="str">
        <f aca="false">IF(G5984&lt;=INDEX(Assumptions!$B$15:$B$18,MATCH(E5984,Assumptions!$A$15:$A$18,0)),"Yes","No")</f>
        <v>Yes</v>
      </c>
      <c r="O5984" s="31" t="str">
        <f aca="false">IF(H5984="","Open",IF(H5984&lt;=INDEX(Assumptions!$C$15:$C$18,MATCH(E5984,Assumptions!$A$15:$A$18,0)),"Yes","No"))</f>
        <v>Yes</v>
      </c>
    </row>
    <row r="5985" customFormat="false" ht="15" hidden="false" customHeight="false" outlineLevel="0" collapsed="false">
      <c r="A5985" s="31" t="s">
        <v>6135</v>
      </c>
      <c r="B5985" s="44" t="n">
        <v>46283</v>
      </c>
      <c r="C5985" s="31" t="s">
        <v>60</v>
      </c>
      <c r="D5985" s="31" t="s">
        <v>67</v>
      </c>
      <c r="E5985" s="31" t="s">
        <v>52</v>
      </c>
      <c r="F5985" s="31" t="s">
        <v>134</v>
      </c>
      <c r="G5985" s="31" t="n">
        <v>2</v>
      </c>
      <c r="H5985" s="41" t="n">
        <v>64.7</v>
      </c>
      <c r="I5985" s="31" t="s">
        <v>149</v>
      </c>
      <c r="J5985" s="31"/>
      <c r="K5985" s="31" t="s">
        <v>150</v>
      </c>
      <c r="L5985" s="45" t="n">
        <f aca="false">DATE(YEAR(B5985),MONTH(B5985),1)</f>
        <v>46266</v>
      </c>
      <c r="M5985" s="31" t="n">
        <f aca="false">WEEKDAY(B5985,2)</f>
        <v>5</v>
      </c>
      <c r="N5985" s="31" t="str">
        <f aca="false">IF(G5985&lt;=INDEX(Assumptions!$B$15:$B$18,MATCH(E5985,Assumptions!$A$15:$A$18,0)),"Yes","No")</f>
        <v>Yes</v>
      </c>
      <c r="O5985" s="31" t="str">
        <f aca="false">IF(H5985="","Open",IF(H5985&lt;=INDEX(Assumptions!$C$15:$C$18,MATCH(E5985,Assumptions!$A$15:$A$18,0)),"Yes","No"))</f>
        <v>Yes</v>
      </c>
    </row>
    <row r="5986" customFormat="false" ht="15" hidden="false" customHeight="false" outlineLevel="0" collapsed="false">
      <c r="A5986" s="31" t="s">
        <v>6136</v>
      </c>
      <c r="B5986" s="44" t="n">
        <v>46283</v>
      </c>
      <c r="C5986" s="31" t="s">
        <v>59</v>
      </c>
      <c r="D5986" s="31" t="s">
        <v>68</v>
      </c>
      <c r="E5986" s="31" t="s">
        <v>51</v>
      </c>
      <c r="F5986" s="31" t="s">
        <v>134</v>
      </c>
      <c r="G5986" s="31" t="n">
        <v>63</v>
      </c>
      <c r="H5986" s="41" t="n">
        <v>10.8</v>
      </c>
      <c r="I5986" s="31" t="s">
        <v>149</v>
      </c>
      <c r="J5986" s="31"/>
      <c r="K5986" s="31" t="s">
        <v>150</v>
      </c>
      <c r="L5986" s="45" t="n">
        <f aca="false">DATE(YEAR(B5986),MONTH(B5986),1)</f>
        <v>46266</v>
      </c>
      <c r="M5986" s="31" t="n">
        <f aca="false">WEEKDAY(B5986,2)</f>
        <v>5</v>
      </c>
      <c r="N5986" s="31" t="str">
        <f aca="false">IF(G5986&lt;=INDEX(Assumptions!$B$15:$B$18,MATCH(E5986,Assumptions!$A$15:$A$18,0)),"Yes","No")</f>
        <v>No</v>
      </c>
      <c r="O5986" s="31" t="str">
        <f aca="false">IF(H5986="","Open",IF(H5986&lt;=INDEX(Assumptions!$C$15:$C$18,MATCH(E5986,Assumptions!$A$15:$A$18,0)),"Yes","No"))</f>
        <v>Yes</v>
      </c>
    </row>
    <row r="5987" customFormat="false" ht="15" hidden="false" customHeight="false" outlineLevel="0" collapsed="false">
      <c r="A5987" s="31" t="s">
        <v>6137</v>
      </c>
      <c r="B5987" s="44" t="n">
        <v>46283</v>
      </c>
      <c r="C5987" s="31" t="s">
        <v>59</v>
      </c>
      <c r="D5987" s="31" t="s">
        <v>68</v>
      </c>
      <c r="E5987" s="31" t="s">
        <v>51</v>
      </c>
      <c r="F5987" s="31" t="s">
        <v>136</v>
      </c>
      <c r="G5987" s="31" t="n">
        <v>83</v>
      </c>
      <c r="H5987" s="41" t="n">
        <v>3.1</v>
      </c>
      <c r="I5987" s="31" t="s">
        <v>149</v>
      </c>
      <c r="J5987" s="31" t="n">
        <v>5</v>
      </c>
      <c r="K5987" s="31" t="s">
        <v>150</v>
      </c>
      <c r="L5987" s="45" t="n">
        <f aca="false">DATE(YEAR(B5987),MONTH(B5987),1)</f>
        <v>46266</v>
      </c>
      <c r="M5987" s="31" t="n">
        <f aca="false">WEEKDAY(B5987,2)</f>
        <v>5</v>
      </c>
      <c r="N5987" s="31" t="str">
        <f aca="false">IF(G5987&lt;=INDEX(Assumptions!$B$15:$B$18,MATCH(E5987,Assumptions!$A$15:$A$18,0)),"Yes","No")</f>
        <v>No</v>
      </c>
      <c r="O5987" s="31" t="str">
        <f aca="false">IF(H5987="","Open",IF(H5987&lt;=INDEX(Assumptions!$C$15:$C$18,MATCH(E5987,Assumptions!$A$15:$A$18,0)),"Yes","No"))</f>
        <v>Yes</v>
      </c>
    </row>
    <row r="5988" customFormat="false" ht="15" hidden="false" customHeight="false" outlineLevel="0" collapsed="false">
      <c r="A5988" s="31" t="s">
        <v>6138</v>
      </c>
      <c r="B5988" s="44" t="n">
        <v>46283</v>
      </c>
      <c r="C5988" s="31" t="s">
        <v>59</v>
      </c>
      <c r="D5988" s="31" t="s">
        <v>68</v>
      </c>
      <c r="E5988" s="31" t="s">
        <v>51</v>
      </c>
      <c r="F5988" s="31" t="s">
        <v>119</v>
      </c>
      <c r="G5988" s="31" t="n">
        <v>73</v>
      </c>
      <c r="H5988" s="41" t="n">
        <v>5</v>
      </c>
      <c r="I5988" s="31" t="s">
        <v>149</v>
      </c>
      <c r="J5988" s="31"/>
      <c r="K5988" s="31" t="s">
        <v>150</v>
      </c>
      <c r="L5988" s="45" t="n">
        <f aca="false">DATE(YEAR(B5988),MONTH(B5988),1)</f>
        <v>46266</v>
      </c>
      <c r="M5988" s="31" t="n">
        <f aca="false">WEEKDAY(B5988,2)</f>
        <v>5</v>
      </c>
      <c r="N5988" s="31" t="str">
        <f aca="false">IF(G5988&lt;=INDEX(Assumptions!$B$15:$B$18,MATCH(E5988,Assumptions!$A$15:$A$18,0)),"Yes","No")</f>
        <v>No</v>
      </c>
      <c r="O5988" s="31" t="str">
        <f aca="false">IF(H5988="","Open",IF(H5988&lt;=INDEX(Assumptions!$C$15:$C$18,MATCH(E5988,Assumptions!$A$15:$A$18,0)),"Yes","No"))</f>
        <v>Yes</v>
      </c>
    </row>
    <row r="5989" customFormat="false" ht="15" hidden="false" customHeight="false" outlineLevel="0" collapsed="false">
      <c r="A5989" s="31" t="s">
        <v>6139</v>
      </c>
      <c r="B5989" s="44" t="n">
        <v>46283</v>
      </c>
      <c r="C5989" s="31" t="s">
        <v>57</v>
      </c>
      <c r="D5989" s="31" t="s">
        <v>67</v>
      </c>
      <c r="E5989" s="31" t="s">
        <v>51</v>
      </c>
      <c r="F5989" s="31" t="s">
        <v>134</v>
      </c>
      <c r="G5989" s="31" t="n">
        <v>3</v>
      </c>
      <c r="H5989" s="41"/>
      <c r="I5989" s="31" t="s">
        <v>158</v>
      </c>
      <c r="J5989" s="31"/>
      <c r="K5989" s="31" t="s">
        <v>150</v>
      </c>
      <c r="L5989" s="45" t="n">
        <f aca="false">DATE(YEAR(B5989),MONTH(B5989),1)</f>
        <v>46266</v>
      </c>
      <c r="M5989" s="31" t="n">
        <f aca="false">WEEKDAY(B5989,2)</f>
        <v>5</v>
      </c>
      <c r="N5989" s="31" t="str">
        <f aca="false">IF(G5989&lt;=INDEX(Assumptions!$B$15:$B$18,MATCH(E5989,Assumptions!$A$15:$A$18,0)),"Yes","No")</f>
        <v>Yes</v>
      </c>
      <c r="O5989" s="31" t="str">
        <f aca="false">IF(H5989="","Open",IF(H5989&lt;=INDEX(Assumptions!$C$15:$C$18,MATCH(E5989,Assumptions!$A$15:$A$18,0)),"Yes","No"))</f>
        <v>Open</v>
      </c>
    </row>
    <row r="5990" customFormat="false" ht="15" hidden="false" customHeight="false" outlineLevel="0" collapsed="false">
      <c r="A5990" s="31" t="s">
        <v>6140</v>
      </c>
      <c r="B5990" s="44" t="n">
        <v>46283</v>
      </c>
      <c r="C5990" s="31" t="s">
        <v>60</v>
      </c>
      <c r="D5990" s="31" t="s">
        <v>67</v>
      </c>
      <c r="E5990" s="31" t="s">
        <v>52</v>
      </c>
      <c r="F5990" s="31" t="s">
        <v>123</v>
      </c>
      <c r="G5990" s="31" t="n">
        <v>4</v>
      </c>
      <c r="H5990" s="41" t="n">
        <v>36.4</v>
      </c>
      <c r="I5990" s="31" t="s">
        <v>149</v>
      </c>
      <c r="J5990" s="31"/>
      <c r="K5990" s="31" t="s">
        <v>150</v>
      </c>
      <c r="L5990" s="45" t="n">
        <f aca="false">DATE(YEAR(B5990),MONTH(B5990),1)</f>
        <v>46266</v>
      </c>
      <c r="M5990" s="31" t="n">
        <f aca="false">WEEKDAY(B5990,2)</f>
        <v>5</v>
      </c>
      <c r="N5990" s="31" t="str">
        <f aca="false">IF(G5990&lt;=INDEX(Assumptions!$B$15:$B$18,MATCH(E5990,Assumptions!$A$15:$A$18,0)),"Yes","No")</f>
        <v>Yes</v>
      </c>
      <c r="O5990" s="31" t="str">
        <f aca="false">IF(H5990="","Open",IF(H5990&lt;=INDEX(Assumptions!$C$15:$C$18,MATCH(E5990,Assumptions!$A$15:$A$18,0)),"Yes","No"))</f>
        <v>Yes</v>
      </c>
    </row>
    <row r="5991" customFormat="false" ht="15" hidden="false" customHeight="false" outlineLevel="0" collapsed="false">
      <c r="A5991" s="31" t="s">
        <v>6141</v>
      </c>
      <c r="B5991" s="44" t="n">
        <v>46283</v>
      </c>
      <c r="C5991" s="31" t="s">
        <v>57</v>
      </c>
      <c r="D5991" s="31" t="s">
        <v>65</v>
      </c>
      <c r="E5991" s="31" t="s">
        <v>51</v>
      </c>
      <c r="F5991" s="31" t="s">
        <v>130</v>
      </c>
      <c r="G5991" s="31" t="n">
        <v>1</v>
      </c>
      <c r="H5991" s="41" t="n">
        <v>12.4</v>
      </c>
      <c r="I5991" s="31" t="s">
        <v>149</v>
      </c>
      <c r="J5991" s="31"/>
      <c r="K5991" s="31" t="s">
        <v>150</v>
      </c>
      <c r="L5991" s="45" t="n">
        <f aca="false">DATE(YEAR(B5991),MONTH(B5991),1)</f>
        <v>46266</v>
      </c>
      <c r="M5991" s="31" t="n">
        <f aca="false">WEEKDAY(B5991,2)</f>
        <v>5</v>
      </c>
      <c r="N5991" s="31" t="str">
        <f aca="false">IF(G5991&lt;=INDEX(Assumptions!$B$15:$B$18,MATCH(E5991,Assumptions!$A$15:$A$18,0)),"Yes","No")</f>
        <v>Yes</v>
      </c>
      <c r="O5991" s="31" t="str">
        <f aca="false">IF(H5991="","Open",IF(H5991&lt;=INDEX(Assumptions!$C$15:$C$18,MATCH(E5991,Assumptions!$A$15:$A$18,0)),"Yes","No"))</f>
        <v>Yes</v>
      </c>
    </row>
    <row r="5992" customFormat="false" ht="15" hidden="false" customHeight="false" outlineLevel="0" collapsed="false">
      <c r="A5992" s="31" t="s">
        <v>6142</v>
      </c>
      <c r="B5992" s="44" t="n">
        <v>46283</v>
      </c>
      <c r="C5992" s="31" t="s">
        <v>60</v>
      </c>
      <c r="D5992" s="31" t="s">
        <v>65</v>
      </c>
      <c r="E5992" s="31" t="s">
        <v>52</v>
      </c>
      <c r="F5992" s="31" t="s">
        <v>122</v>
      </c>
      <c r="G5992" s="31" t="n">
        <v>1</v>
      </c>
      <c r="H5992" s="41" t="n">
        <v>8.9</v>
      </c>
      <c r="I5992" s="31" t="s">
        <v>149</v>
      </c>
      <c r="J5992" s="31"/>
      <c r="K5992" s="31" t="s">
        <v>150</v>
      </c>
      <c r="L5992" s="45" t="n">
        <f aca="false">DATE(YEAR(B5992),MONTH(B5992),1)</f>
        <v>46266</v>
      </c>
      <c r="M5992" s="31" t="n">
        <f aca="false">WEEKDAY(B5992,2)</f>
        <v>5</v>
      </c>
      <c r="N5992" s="31" t="str">
        <f aca="false">IF(G5992&lt;=INDEX(Assumptions!$B$15:$B$18,MATCH(E5992,Assumptions!$A$15:$A$18,0)),"Yes","No")</f>
        <v>Yes</v>
      </c>
      <c r="O5992" s="31" t="str">
        <f aca="false">IF(H5992="","Open",IF(H5992&lt;=INDEX(Assumptions!$C$15:$C$18,MATCH(E5992,Assumptions!$A$15:$A$18,0)),"Yes","No"))</f>
        <v>Yes</v>
      </c>
    </row>
    <row r="5993" customFormat="false" ht="15" hidden="false" customHeight="false" outlineLevel="0" collapsed="false">
      <c r="A5993" s="31" t="s">
        <v>6143</v>
      </c>
      <c r="B5993" s="44" t="n">
        <v>46283</v>
      </c>
      <c r="C5993" s="31" t="s">
        <v>57</v>
      </c>
      <c r="D5993" s="31" t="s">
        <v>65</v>
      </c>
      <c r="E5993" s="31" t="s">
        <v>50</v>
      </c>
      <c r="F5993" s="31" t="s">
        <v>126</v>
      </c>
      <c r="G5993" s="31" t="n">
        <v>1</v>
      </c>
      <c r="H5993" s="41" t="n">
        <v>11.4</v>
      </c>
      <c r="I5993" s="31" t="s">
        <v>64</v>
      </c>
      <c r="J5993" s="31" t="n">
        <v>4</v>
      </c>
      <c r="K5993" s="31" t="s">
        <v>150</v>
      </c>
      <c r="L5993" s="45" t="n">
        <f aca="false">DATE(YEAR(B5993),MONTH(B5993),1)</f>
        <v>46266</v>
      </c>
      <c r="M5993" s="31" t="n">
        <f aca="false">WEEKDAY(B5993,2)</f>
        <v>5</v>
      </c>
      <c r="N5993" s="31" t="str">
        <f aca="false">IF(G5993&lt;=INDEX(Assumptions!$B$15:$B$18,MATCH(E5993,Assumptions!$A$15:$A$18,0)),"Yes","No")</f>
        <v>Yes</v>
      </c>
      <c r="O5993" s="31" t="str">
        <f aca="false">IF(H5993="","Open",IF(H5993&lt;=INDEX(Assumptions!$C$15:$C$18,MATCH(E5993,Assumptions!$A$15:$A$18,0)),"Yes","No"))</f>
        <v>No</v>
      </c>
    </row>
    <row r="5994" customFormat="false" ht="15" hidden="false" customHeight="false" outlineLevel="0" collapsed="false">
      <c r="A5994" s="31" t="s">
        <v>6144</v>
      </c>
      <c r="B5994" s="44" t="n">
        <v>46283</v>
      </c>
      <c r="C5994" s="31" t="s">
        <v>60</v>
      </c>
      <c r="D5994" s="31" t="s">
        <v>65</v>
      </c>
      <c r="E5994" s="31" t="s">
        <v>50</v>
      </c>
      <c r="F5994" s="31" t="s">
        <v>129</v>
      </c>
      <c r="G5994" s="31" t="n">
        <v>2</v>
      </c>
      <c r="H5994" s="41" t="n">
        <v>1.3</v>
      </c>
      <c r="I5994" s="31" t="s">
        <v>149</v>
      </c>
      <c r="J5994" s="31"/>
      <c r="K5994" s="31" t="s">
        <v>150</v>
      </c>
      <c r="L5994" s="45" t="n">
        <f aca="false">DATE(YEAR(B5994),MONTH(B5994),1)</f>
        <v>46266</v>
      </c>
      <c r="M5994" s="31" t="n">
        <f aca="false">WEEKDAY(B5994,2)</f>
        <v>5</v>
      </c>
      <c r="N5994" s="31" t="str">
        <f aca="false">IF(G5994&lt;=INDEX(Assumptions!$B$15:$B$18,MATCH(E5994,Assumptions!$A$15:$A$18,0)),"Yes","No")</f>
        <v>Yes</v>
      </c>
      <c r="O5994" s="31" t="str">
        <f aca="false">IF(H5994="","Open",IF(H5994&lt;=INDEX(Assumptions!$C$15:$C$18,MATCH(E5994,Assumptions!$A$15:$A$18,0)),"Yes","No"))</f>
        <v>Yes</v>
      </c>
    </row>
    <row r="5995" customFormat="false" ht="15" hidden="false" customHeight="false" outlineLevel="0" collapsed="false">
      <c r="A5995" s="31" t="s">
        <v>6145</v>
      </c>
      <c r="B5995" s="44" t="n">
        <v>46283</v>
      </c>
      <c r="C5995" s="31" t="s">
        <v>58</v>
      </c>
      <c r="D5995" s="31" t="s">
        <v>67</v>
      </c>
      <c r="E5995" s="31" t="s">
        <v>50</v>
      </c>
      <c r="F5995" s="31" t="s">
        <v>127</v>
      </c>
      <c r="G5995" s="31" t="n">
        <v>4</v>
      </c>
      <c r="H5995" s="41" t="n">
        <v>2</v>
      </c>
      <c r="I5995" s="31" t="s">
        <v>149</v>
      </c>
      <c r="J5995" s="31"/>
      <c r="K5995" s="31" t="s">
        <v>150</v>
      </c>
      <c r="L5995" s="45" t="n">
        <f aca="false">DATE(YEAR(B5995),MONTH(B5995),1)</f>
        <v>46266</v>
      </c>
      <c r="M5995" s="31" t="n">
        <f aca="false">WEEKDAY(B5995,2)</f>
        <v>5</v>
      </c>
      <c r="N5995" s="31" t="str">
        <f aca="false">IF(G5995&lt;=INDEX(Assumptions!$B$15:$B$18,MATCH(E5995,Assumptions!$A$15:$A$18,0)),"Yes","No")</f>
        <v>Yes</v>
      </c>
      <c r="O5995" s="31" t="str">
        <f aca="false">IF(H5995="","Open",IF(H5995&lt;=INDEX(Assumptions!$C$15:$C$18,MATCH(E5995,Assumptions!$A$15:$A$18,0)),"Yes","No"))</f>
        <v>Yes</v>
      </c>
    </row>
    <row r="5996" customFormat="false" ht="15" hidden="false" customHeight="false" outlineLevel="0" collapsed="false">
      <c r="A5996" s="31" t="s">
        <v>6146</v>
      </c>
      <c r="B5996" s="44" t="n">
        <v>46283</v>
      </c>
      <c r="C5996" s="31" t="s">
        <v>59</v>
      </c>
      <c r="D5996" s="31" t="s">
        <v>66</v>
      </c>
      <c r="E5996" s="31" t="s">
        <v>51</v>
      </c>
      <c r="F5996" s="31" t="s">
        <v>126</v>
      </c>
      <c r="G5996" s="31" t="n">
        <v>149</v>
      </c>
      <c r="H5996" s="41" t="n">
        <v>2.9</v>
      </c>
      <c r="I5996" s="31" t="s">
        <v>149</v>
      </c>
      <c r="J5996" s="31"/>
      <c r="K5996" s="31" t="s">
        <v>150</v>
      </c>
      <c r="L5996" s="45" t="n">
        <f aca="false">DATE(YEAR(B5996),MONTH(B5996),1)</f>
        <v>46266</v>
      </c>
      <c r="M5996" s="31" t="n">
        <f aca="false">WEEKDAY(B5996,2)</f>
        <v>5</v>
      </c>
      <c r="N5996" s="31" t="str">
        <f aca="false">IF(G5996&lt;=INDEX(Assumptions!$B$15:$B$18,MATCH(E5996,Assumptions!$A$15:$A$18,0)),"Yes","No")</f>
        <v>No</v>
      </c>
      <c r="O5996" s="31" t="str">
        <f aca="false">IF(H5996="","Open",IF(H5996&lt;=INDEX(Assumptions!$C$15:$C$18,MATCH(E5996,Assumptions!$A$15:$A$18,0)),"Yes","No"))</f>
        <v>Yes</v>
      </c>
    </row>
    <row r="5997" customFormat="false" ht="15" hidden="false" customHeight="false" outlineLevel="0" collapsed="false">
      <c r="A5997" s="31" t="s">
        <v>6147</v>
      </c>
      <c r="B5997" s="44" t="n">
        <v>46283</v>
      </c>
      <c r="C5997" s="31" t="s">
        <v>57</v>
      </c>
      <c r="D5997" s="31" t="s">
        <v>65</v>
      </c>
      <c r="E5997" s="31" t="s">
        <v>51</v>
      </c>
      <c r="F5997" s="31" t="s">
        <v>127</v>
      </c>
      <c r="G5997" s="31" t="n">
        <v>2</v>
      </c>
      <c r="H5997" s="41" t="n">
        <v>6.7</v>
      </c>
      <c r="I5997" s="31" t="s">
        <v>149</v>
      </c>
      <c r="J5997" s="31" t="n">
        <v>5</v>
      </c>
      <c r="K5997" s="31" t="s">
        <v>150</v>
      </c>
      <c r="L5997" s="45" t="n">
        <f aca="false">DATE(YEAR(B5997),MONTH(B5997),1)</f>
        <v>46266</v>
      </c>
      <c r="M5997" s="31" t="n">
        <f aca="false">WEEKDAY(B5997,2)</f>
        <v>5</v>
      </c>
      <c r="N5997" s="31" t="str">
        <f aca="false">IF(G5997&lt;=INDEX(Assumptions!$B$15:$B$18,MATCH(E5997,Assumptions!$A$15:$A$18,0)),"Yes","No")</f>
        <v>Yes</v>
      </c>
      <c r="O5997" s="31" t="str">
        <f aca="false">IF(H5997="","Open",IF(H5997&lt;=INDEX(Assumptions!$C$15:$C$18,MATCH(E5997,Assumptions!$A$15:$A$18,0)),"Yes","No"))</f>
        <v>Yes</v>
      </c>
    </row>
    <row r="5998" customFormat="false" ht="15" hidden="false" customHeight="false" outlineLevel="0" collapsed="false">
      <c r="A5998" s="31" t="s">
        <v>6148</v>
      </c>
      <c r="B5998" s="44" t="n">
        <v>46284</v>
      </c>
      <c r="C5998" s="31" t="s">
        <v>57</v>
      </c>
      <c r="D5998" s="31" t="s">
        <v>68</v>
      </c>
      <c r="E5998" s="31" t="s">
        <v>50</v>
      </c>
      <c r="F5998" s="31" t="s">
        <v>119</v>
      </c>
      <c r="G5998" s="31" t="n">
        <v>1</v>
      </c>
      <c r="H5998" s="41" t="n">
        <v>1.8</v>
      </c>
      <c r="I5998" s="31" t="s">
        <v>149</v>
      </c>
      <c r="J5998" s="31"/>
      <c r="K5998" s="31" t="s">
        <v>150</v>
      </c>
      <c r="L5998" s="45" t="n">
        <f aca="false">DATE(YEAR(B5998),MONTH(B5998),1)</f>
        <v>46266</v>
      </c>
      <c r="M5998" s="31" t="n">
        <f aca="false">WEEKDAY(B5998,2)</f>
        <v>6</v>
      </c>
      <c r="N5998" s="31" t="str">
        <f aca="false">IF(G5998&lt;=INDEX(Assumptions!$B$15:$B$18,MATCH(E5998,Assumptions!$A$15:$A$18,0)),"Yes","No")</f>
        <v>Yes</v>
      </c>
      <c r="O5998" s="31" t="str">
        <f aca="false">IF(H5998="","Open",IF(H5998&lt;=INDEX(Assumptions!$C$15:$C$18,MATCH(E5998,Assumptions!$A$15:$A$18,0)),"Yes","No"))</f>
        <v>Yes</v>
      </c>
    </row>
    <row r="5999" customFormat="false" ht="15" hidden="false" customHeight="false" outlineLevel="0" collapsed="false">
      <c r="A5999" s="31" t="s">
        <v>6149</v>
      </c>
      <c r="B5999" s="44" t="n">
        <v>46284</v>
      </c>
      <c r="C5999" s="31" t="s">
        <v>58</v>
      </c>
      <c r="D5999" s="31" t="s">
        <v>66</v>
      </c>
      <c r="E5999" s="31" t="s">
        <v>50</v>
      </c>
      <c r="F5999" s="31" t="s">
        <v>127</v>
      </c>
      <c r="G5999" s="31" t="n">
        <v>6</v>
      </c>
      <c r="H5999" s="41" t="n">
        <v>6.5</v>
      </c>
      <c r="I5999" s="31" t="s">
        <v>149</v>
      </c>
      <c r="J5999" s="31"/>
      <c r="K5999" s="31" t="s">
        <v>150</v>
      </c>
      <c r="L5999" s="45" t="n">
        <f aca="false">DATE(YEAR(B5999),MONTH(B5999),1)</f>
        <v>46266</v>
      </c>
      <c r="M5999" s="31" t="n">
        <f aca="false">WEEKDAY(B5999,2)</f>
        <v>6</v>
      </c>
      <c r="N5999" s="31" t="str">
        <f aca="false">IF(G5999&lt;=INDEX(Assumptions!$B$15:$B$18,MATCH(E5999,Assumptions!$A$15:$A$18,0)),"Yes","No")</f>
        <v>Yes</v>
      </c>
      <c r="O5999" s="31" t="str">
        <f aca="false">IF(H5999="","Open",IF(H5999&lt;=INDEX(Assumptions!$C$15:$C$18,MATCH(E5999,Assumptions!$A$15:$A$18,0)),"Yes","No"))</f>
        <v>Yes</v>
      </c>
    </row>
    <row r="6000" customFormat="false" ht="15" hidden="false" customHeight="false" outlineLevel="0" collapsed="false">
      <c r="A6000" s="31" t="s">
        <v>6150</v>
      </c>
      <c r="B6000" s="44" t="n">
        <v>46284</v>
      </c>
      <c r="C6000" s="31" t="s">
        <v>58</v>
      </c>
      <c r="D6000" s="31" t="s">
        <v>67</v>
      </c>
      <c r="E6000" s="31" t="s">
        <v>50</v>
      </c>
      <c r="F6000" s="31" t="s">
        <v>127</v>
      </c>
      <c r="G6000" s="31" t="n">
        <v>15</v>
      </c>
      <c r="H6000" s="41" t="n">
        <v>13.2</v>
      </c>
      <c r="I6000" s="31" t="s">
        <v>149</v>
      </c>
      <c r="J6000" s="31" t="n">
        <v>3</v>
      </c>
      <c r="K6000" s="31" t="s">
        <v>150</v>
      </c>
      <c r="L6000" s="45" t="n">
        <f aca="false">DATE(YEAR(B6000),MONTH(B6000),1)</f>
        <v>46266</v>
      </c>
      <c r="M6000" s="31" t="n">
        <f aca="false">WEEKDAY(B6000,2)</f>
        <v>6</v>
      </c>
      <c r="N6000" s="31" t="str">
        <f aca="false">IF(G6000&lt;=INDEX(Assumptions!$B$15:$B$18,MATCH(E6000,Assumptions!$A$15:$A$18,0)),"Yes","No")</f>
        <v>Yes</v>
      </c>
      <c r="O6000" s="31" t="str">
        <f aca="false">IF(H6000="","Open",IF(H6000&lt;=INDEX(Assumptions!$C$15:$C$18,MATCH(E6000,Assumptions!$A$15:$A$18,0)),"Yes","No"))</f>
        <v>No</v>
      </c>
    </row>
    <row r="6001" customFormat="false" ht="15" hidden="false" customHeight="false" outlineLevel="0" collapsed="false">
      <c r="A6001" s="31" t="s">
        <v>6151</v>
      </c>
      <c r="B6001" s="44" t="n">
        <v>46284</v>
      </c>
      <c r="C6001" s="31" t="s">
        <v>59</v>
      </c>
      <c r="D6001" s="31" t="s">
        <v>65</v>
      </c>
      <c r="E6001" s="31" t="s">
        <v>50</v>
      </c>
      <c r="F6001" s="31" t="s">
        <v>134</v>
      </c>
      <c r="G6001" s="31" t="n">
        <v>88</v>
      </c>
      <c r="H6001" s="41" t="n">
        <v>16.4</v>
      </c>
      <c r="I6001" s="31" t="s">
        <v>149</v>
      </c>
      <c r="J6001" s="31" t="n">
        <v>2</v>
      </c>
      <c r="K6001" s="31" t="s">
        <v>150</v>
      </c>
      <c r="L6001" s="45" t="n">
        <f aca="false">DATE(YEAR(B6001),MONTH(B6001),1)</f>
        <v>46266</v>
      </c>
      <c r="M6001" s="31" t="n">
        <f aca="false">WEEKDAY(B6001,2)</f>
        <v>6</v>
      </c>
      <c r="N6001" s="31" t="str">
        <f aca="false">IF(G6001&lt;=INDEX(Assumptions!$B$15:$B$18,MATCH(E6001,Assumptions!$A$15:$A$18,0)),"Yes","No")</f>
        <v>No</v>
      </c>
      <c r="O6001" s="31" t="str">
        <f aca="false">IF(H6001="","Open",IF(H6001&lt;=INDEX(Assumptions!$C$15:$C$18,MATCH(E6001,Assumptions!$A$15:$A$18,0)),"Yes","No"))</f>
        <v>No</v>
      </c>
    </row>
    <row r="6002" customFormat="false" ht="15" hidden="false" customHeight="false" outlineLevel="0" collapsed="false">
      <c r="A6002" s="31" t="s">
        <v>6152</v>
      </c>
      <c r="B6002" s="44" t="n">
        <v>46284</v>
      </c>
      <c r="C6002" s="31" t="s">
        <v>58</v>
      </c>
      <c r="D6002" s="31" t="s">
        <v>69</v>
      </c>
      <c r="E6002" s="31" t="s">
        <v>50</v>
      </c>
      <c r="F6002" s="31" t="s">
        <v>124</v>
      </c>
      <c r="G6002" s="31" t="n">
        <v>3</v>
      </c>
      <c r="H6002" s="41" t="n">
        <v>9.3</v>
      </c>
      <c r="I6002" s="31" t="s">
        <v>149</v>
      </c>
      <c r="J6002" s="31" t="n">
        <v>4</v>
      </c>
      <c r="K6002" s="31" t="s">
        <v>150</v>
      </c>
      <c r="L6002" s="45" t="n">
        <f aca="false">DATE(YEAR(B6002),MONTH(B6002),1)</f>
        <v>46266</v>
      </c>
      <c r="M6002" s="31" t="n">
        <f aca="false">WEEKDAY(B6002,2)</f>
        <v>6</v>
      </c>
      <c r="N6002" s="31" t="str">
        <f aca="false">IF(G6002&lt;=INDEX(Assumptions!$B$15:$B$18,MATCH(E6002,Assumptions!$A$15:$A$18,0)),"Yes","No")</f>
        <v>Yes</v>
      </c>
      <c r="O6002" s="31" t="str">
        <f aca="false">IF(H6002="","Open",IF(H6002&lt;=INDEX(Assumptions!$C$15:$C$18,MATCH(E6002,Assumptions!$A$15:$A$18,0)),"Yes","No"))</f>
        <v>No</v>
      </c>
    </row>
    <row r="6003" customFormat="false" ht="15" hidden="false" customHeight="false" outlineLevel="0" collapsed="false">
      <c r="A6003" s="31" t="s">
        <v>6153</v>
      </c>
      <c r="B6003" s="44" t="n">
        <v>46284</v>
      </c>
      <c r="C6003" s="31" t="s">
        <v>58</v>
      </c>
      <c r="D6003" s="31" t="s">
        <v>65</v>
      </c>
      <c r="E6003" s="31" t="s">
        <v>49</v>
      </c>
      <c r="F6003" s="31" t="s">
        <v>123</v>
      </c>
      <c r="G6003" s="31" t="n">
        <v>7</v>
      </c>
      <c r="H6003" s="41" t="n">
        <v>8</v>
      </c>
      <c r="I6003" s="31" t="s">
        <v>64</v>
      </c>
      <c r="J6003" s="31" t="n">
        <v>2</v>
      </c>
      <c r="K6003" s="31" t="s">
        <v>150</v>
      </c>
      <c r="L6003" s="45" t="n">
        <f aca="false">DATE(YEAR(B6003),MONTH(B6003),1)</f>
        <v>46266</v>
      </c>
      <c r="M6003" s="31" t="n">
        <f aca="false">WEEKDAY(B6003,2)</f>
        <v>6</v>
      </c>
      <c r="N6003" s="31" t="str">
        <f aca="false">IF(G6003&lt;=INDEX(Assumptions!$B$15:$B$18,MATCH(E6003,Assumptions!$A$15:$A$18,0)),"Yes","No")</f>
        <v>Yes</v>
      </c>
      <c r="O6003" s="31" t="str">
        <f aca="false">IF(H6003="","Open",IF(H6003&lt;=INDEX(Assumptions!$C$15:$C$18,MATCH(E6003,Assumptions!$A$15:$A$18,0)),"Yes","No"))</f>
        <v>No</v>
      </c>
    </row>
    <row r="6004" customFormat="false" ht="15" hidden="false" customHeight="false" outlineLevel="0" collapsed="false">
      <c r="A6004" s="31" t="s">
        <v>6154</v>
      </c>
      <c r="B6004" s="44" t="n">
        <v>46284</v>
      </c>
      <c r="C6004" s="31" t="s">
        <v>59</v>
      </c>
      <c r="D6004" s="31" t="s">
        <v>65</v>
      </c>
      <c r="E6004" s="31" t="s">
        <v>51</v>
      </c>
      <c r="F6004" s="31" t="s">
        <v>131</v>
      </c>
      <c r="G6004" s="31" t="n">
        <v>19</v>
      </c>
      <c r="H6004" s="41" t="n">
        <v>16</v>
      </c>
      <c r="I6004" s="31" t="s">
        <v>149</v>
      </c>
      <c r="J6004" s="31"/>
      <c r="K6004" s="31" t="s">
        <v>150</v>
      </c>
      <c r="L6004" s="45" t="n">
        <f aca="false">DATE(YEAR(B6004),MONTH(B6004),1)</f>
        <v>46266</v>
      </c>
      <c r="M6004" s="31" t="n">
        <f aca="false">WEEKDAY(B6004,2)</f>
        <v>6</v>
      </c>
      <c r="N6004" s="31" t="str">
        <f aca="false">IF(G6004&lt;=INDEX(Assumptions!$B$15:$B$18,MATCH(E6004,Assumptions!$A$15:$A$18,0)),"Yes","No")</f>
        <v>Yes</v>
      </c>
      <c r="O6004" s="31" t="str">
        <f aca="false">IF(H6004="","Open",IF(H6004&lt;=INDEX(Assumptions!$C$15:$C$18,MATCH(E6004,Assumptions!$A$15:$A$18,0)),"Yes","No"))</f>
        <v>Yes</v>
      </c>
    </row>
    <row r="6005" customFormat="false" ht="15" hidden="false" customHeight="false" outlineLevel="0" collapsed="false">
      <c r="A6005" s="31" t="s">
        <v>6155</v>
      </c>
      <c r="B6005" s="44" t="n">
        <v>46284</v>
      </c>
      <c r="C6005" s="31" t="s">
        <v>59</v>
      </c>
      <c r="D6005" s="31" t="s">
        <v>65</v>
      </c>
      <c r="E6005" s="31" t="s">
        <v>51</v>
      </c>
      <c r="F6005" s="31" t="s">
        <v>126</v>
      </c>
      <c r="G6005" s="31" t="n">
        <v>73</v>
      </c>
      <c r="H6005" s="41" t="n">
        <v>11.3</v>
      </c>
      <c r="I6005" s="31" t="s">
        <v>149</v>
      </c>
      <c r="J6005" s="31"/>
      <c r="K6005" s="31" t="s">
        <v>150</v>
      </c>
      <c r="L6005" s="45" t="n">
        <f aca="false">DATE(YEAR(B6005),MONTH(B6005),1)</f>
        <v>46266</v>
      </c>
      <c r="M6005" s="31" t="n">
        <f aca="false">WEEKDAY(B6005,2)</f>
        <v>6</v>
      </c>
      <c r="N6005" s="31" t="str">
        <f aca="false">IF(G6005&lt;=INDEX(Assumptions!$B$15:$B$18,MATCH(E6005,Assumptions!$A$15:$A$18,0)),"Yes","No")</f>
        <v>No</v>
      </c>
      <c r="O6005" s="31" t="str">
        <f aca="false">IF(H6005="","Open",IF(H6005&lt;=INDEX(Assumptions!$C$15:$C$18,MATCH(E6005,Assumptions!$A$15:$A$18,0)),"Yes","No"))</f>
        <v>Yes</v>
      </c>
    </row>
    <row r="6006" customFormat="false" ht="15" hidden="false" customHeight="false" outlineLevel="0" collapsed="false">
      <c r="A6006" s="31" t="s">
        <v>6156</v>
      </c>
      <c r="B6006" s="44" t="n">
        <v>46284</v>
      </c>
      <c r="C6006" s="31" t="s">
        <v>59</v>
      </c>
      <c r="D6006" s="31" t="s">
        <v>65</v>
      </c>
      <c r="E6006" s="31" t="s">
        <v>51</v>
      </c>
      <c r="F6006" s="31" t="s">
        <v>119</v>
      </c>
      <c r="G6006" s="31" t="n">
        <v>53</v>
      </c>
      <c r="H6006" s="41" t="n">
        <v>3.1</v>
      </c>
      <c r="I6006" s="31" t="s">
        <v>149</v>
      </c>
      <c r="J6006" s="31" t="n">
        <v>5</v>
      </c>
      <c r="K6006" s="31" t="s">
        <v>150</v>
      </c>
      <c r="L6006" s="45" t="n">
        <f aca="false">DATE(YEAR(B6006),MONTH(B6006),1)</f>
        <v>46266</v>
      </c>
      <c r="M6006" s="31" t="n">
        <f aca="false">WEEKDAY(B6006,2)</f>
        <v>6</v>
      </c>
      <c r="N6006" s="31" t="str">
        <f aca="false">IF(G6006&lt;=INDEX(Assumptions!$B$15:$B$18,MATCH(E6006,Assumptions!$A$15:$A$18,0)),"Yes","No")</f>
        <v>Yes</v>
      </c>
      <c r="O6006" s="31" t="str">
        <f aca="false">IF(H6006="","Open",IF(H6006&lt;=INDEX(Assumptions!$C$15:$C$18,MATCH(E6006,Assumptions!$A$15:$A$18,0)),"Yes","No"))</f>
        <v>Yes</v>
      </c>
    </row>
    <row r="6007" customFormat="false" ht="15" hidden="false" customHeight="false" outlineLevel="0" collapsed="false">
      <c r="A6007" s="31" t="s">
        <v>6157</v>
      </c>
      <c r="B6007" s="44" t="n">
        <v>46284</v>
      </c>
      <c r="C6007" s="31" t="s">
        <v>57</v>
      </c>
      <c r="D6007" s="31" t="s">
        <v>69</v>
      </c>
      <c r="E6007" s="31" t="s">
        <v>52</v>
      </c>
      <c r="F6007" s="31" t="s">
        <v>131</v>
      </c>
      <c r="G6007" s="31" t="n">
        <v>5</v>
      </c>
      <c r="H6007" s="41" t="n">
        <v>36.7</v>
      </c>
      <c r="I6007" s="31" t="s">
        <v>149</v>
      </c>
      <c r="J6007" s="31"/>
      <c r="K6007" s="31" t="s">
        <v>150</v>
      </c>
      <c r="L6007" s="45" t="n">
        <f aca="false">DATE(YEAR(B6007),MONTH(B6007),1)</f>
        <v>46266</v>
      </c>
      <c r="M6007" s="31" t="n">
        <f aca="false">WEEKDAY(B6007,2)</f>
        <v>6</v>
      </c>
      <c r="N6007" s="31" t="str">
        <f aca="false">IF(G6007&lt;=INDEX(Assumptions!$B$15:$B$18,MATCH(E6007,Assumptions!$A$15:$A$18,0)),"Yes","No")</f>
        <v>Yes</v>
      </c>
      <c r="O6007" s="31" t="str">
        <f aca="false">IF(H6007="","Open",IF(H6007&lt;=INDEX(Assumptions!$C$15:$C$18,MATCH(E6007,Assumptions!$A$15:$A$18,0)),"Yes","No"))</f>
        <v>Yes</v>
      </c>
    </row>
    <row r="6008" customFormat="false" ht="15" hidden="false" customHeight="false" outlineLevel="0" collapsed="false">
      <c r="A6008" s="31" t="s">
        <v>6158</v>
      </c>
      <c r="B6008" s="44" t="n">
        <v>46284</v>
      </c>
      <c r="C6008" s="31" t="s">
        <v>57</v>
      </c>
      <c r="D6008" s="31" t="s">
        <v>65</v>
      </c>
      <c r="E6008" s="31" t="s">
        <v>52</v>
      </c>
      <c r="F6008" s="31" t="s">
        <v>129</v>
      </c>
      <c r="G6008" s="31" t="n">
        <v>7</v>
      </c>
      <c r="H6008" s="41" t="n">
        <v>65.2</v>
      </c>
      <c r="I6008" s="31" t="s">
        <v>64</v>
      </c>
      <c r="J6008" s="31"/>
      <c r="K6008" s="31" t="s">
        <v>150</v>
      </c>
      <c r="L6008" s="45" t="n">
        <f aca="false">DATE(YEAR(B6008),MONTH(B6008),1)</f>
        <v>46266</v>
      </c>
      <c r="M6008" s="31" t="n">
        <f aca="false">WEEKDAY(B6008,2)</f>
        <v>6</v>
      </c>
      <c r="N6008" s="31" t="str">
        <f aca="false">IF(G6008&lt;=INDEX(Assumptions!$B$15:$B$18,MATCH(E6008,Assumptions!$A$15:$A$18,0)),"Yes","No")</f>
        <v>Yes</v>
      </c>
      <c r="O6008" s="31" t="str">
        <f aca="false">IF(H6008="","Open",IF(H6008&lt;=INDEX(Assumptions!$C$15:$C$18,MATCH(E6008,Assumptions!$A$15:$A$18,0)),"Yes","No"))</f>
        <v>Yes</v>
      </c>
    </row>
    <row r="6009" customFormat="false" ht="15" hidden="false" customHeight="false" outlineLevel="0" collapsed="false">
      <c r="A6009" s="31" t="s">
        <v>6159</v>
      </c>
      <c r="B6009" s="44" t="n">
        <v>46284</v>
      </c>
      <c r="C6009" s="31" t="s">
        <v>57</v>
      </c>
      <c r="D6009" s="31" t="s">
        <v>68</v>
      </c>
      <c r="E6009" s="31" t="s">
        <v>52</v>
      </c>
      <c r="F6009" s="31" t="s">
        <v>136</v>
      </c>
      <c r="G6009" s="31" t="n">
        <v>8</v>
      </c>
      <c r="H6009" s="41" t="n">
        <v>10.9</v>
      </c>
      <c r="I6009" s="31" t="s">
        <v>149</v>
      </c>
      <c r="J6009" s="31" t="n">
        <v>4</v>
      </c>
      <c r="K6009" s="31" t="s">
        <v>150</v>
      </c>
      <c r="L6009" s="45" t="n">
        <f aca="false">DATE(YEAR(B6009),MONTH(B6009),1)</f>
        <v>46266</v>
      </c>
      <c r="M6009" s="31" t="n">
        <f aca="false">WEEKDAY(B6009,2)</f>
        <v>6</v>
      </c>
      <c r="N6009" s="31" t="str">
        <f aca="false">IF(G6009&lt;=INDEX(Assumptions!$B$15:$B$18,MATCH(E6009,Assumptions!$A$15:$A$18,0)),"Yes","No")</f>
        <v>Yes</v>
      </c>
      <c r="O6009" s="31" t="str">
        <f aca="false">IF(H6009="","Open",IF(H6009&lt;=INDEX(Assumptions!$C$15:$C$18,MATCH(E6009,Assumptions!$A$15:$A$18,0)),"Yes","No"))</f>
        <v>Yes</v>
      </c>
    </row>
    <row r="6010" customFormat="false" ht="15" hidden="false" customHeight="false" outlineLevel="0" collapsed="false">
      <c r="A6010" s="31" t="s">
        <v>6160</v>
      </c>
      <c r="B6010" s="44" t="n">
        <v>46284</v>
      </c>
      <c r="C6010" s="31" t="s">
        <v>60</v>
      </c>
      <c r="D6010" s="31" t="s">
        <v>65</v>
      </c>
      <c r="E6010" s="31" t="s">
        <v>50</v>
      </c>
      <c r="F6010" s="31" t="s">
        <v>124</v>
      </c>
      <c r="G6010" s="31" t="n">
        <v>1</v>
      </c>
      <c r="H6010" s="41" t="n">
        <v>7.3</v>
      </c>
      <c r="I6010" s="31" t="s">
        <v>149</v>
      </c>
      <c r="J6010" s="31"/>
      <c r="K6010" s="31" t="s">
        <v>150</v>
      </c>
      <c r="L6010" s="45" t="n">
        <f aca="false">DATE(YEAR(B6010),MONTH(B6010),1)</f>
        <v>46266</v>
      </c>
      <c r="M6010" s="31" t="n">
        <f aca="false">WEEKDAY(B6010,2)</f>
        <v>6</v>
      </c>
      <c r="N6010" s="31" t="str">
        <f aca="false">IF(G6010&lt;=INDEX(Assumptions!$B$15:$B$18,MATCH(E6010,Assumptions!$A$15:$A$18,0)),"Yes","No")</f>
        <v>Yes</v>
      </c>
      <c r="O6010" s="31" t="str">
        <f aca="false">IF(H6010="","Open",IF(H6010&lt;=INDEX(Assumptions!$C$15:$C$18,MATCH(E6010,Assumptions!$A$15:$A$18,0)),"Yes","No"))</f>
        <v>Yes</v>
      </c>
    </row>
    <row r="6011" customFormat="false" ht="15" hidden="false" customHeight="false" outlineLevel="0" collapsed="false">
      <c r="A6011" s="31" t="s">
        <v>6161</v>
      </c>
      <c r="B6011" s="44" t="n">
        <v>46284</v>
      </c>
      <c r="C6011" s="31" t="s">
        <v>58</v>
      </c>
      <c r="D6011" s="31" t="s">
        <v>68</v>
      </c>
      <c r="E6011" s="31" t="s">
        <v>52</v>
      </c>
      <c r="F6011" s="31" t="s">
        <v>130</v>
      </c>
      <c r="G6011" s="31" t="n">
        <v>8</v>
      </c>
      <c r="H6011" s="41" t="n">
        <v>3.5</v>
      </c>
      <c r="I6011" s="31" t="s">
        <v>149</v>
      </c>
      <c r="J6011" s="31"/>
      <c r="K6011" s="31" t="s">
        <v>150</v>
      </c>
      <c r="L6011" s="45" t="n">
        <f aca="false">DATE(YEAR(B6011),MONTH(B6011),1)</f>
        <v>46266</v>
      </c>
      <c r="M6011" s="31" t="n">
        <f aca="false">WEEKDAY(B6011,2)</f>
        <v>6</v>
      </c>
      <c r="N6011" s="31" t="str">
        <f aca="false">IF(G6011&lt;=INDEX(Assumptions!$B$15:$B$18,MATCH(E6011,Assumptions!$A$15:$A$18,0)),"Yes","No")</f>
        <v>Yes</v>
      </c>
      <c r="O6011" s="31" t="str">
        <f aca="false">IF(H6011="","Open",IF(H6011&lt;=INDEX(Assumptions!$C$15:$C$18,MATCH(E6011,Assumptions!$A$15:$A$18,0)),"Yes","No"))</f>
        <v>Yes</v>
      </c>
    </row>
    <row r="6012" customFormat="false" ht="15" hidden="false" customHeight="false" outlineLevel="0" collapsed="false">
      <c r="A6012" s="31" t="s">
        <v>6162</v>
      </c>
      <c r="B6012" s="44" t="n">
        <v>46284</v>
      </c>
      <c r="C6012" s="31" t="s">
        <v>57</v>
      </c>
      <c r="D6012" s="31" t="s">
        <v>65</v>
      </c>
      <c r="E6012" s="31" t="s">
        <v>50</v>
      </c>
      <c r="F6012" s="31" t="s">
        <v>126</v>
      </c>
      <c r="G6012" s="31" t="n">
        <v>3</v>
      </c>
      <c r="H6012" s="41" t="n">
        <v>3.1</v>
      </c>
      <c r="I6012" s="31" t="s">
        <v>149</v>
      </c>
      <c r="J6012" s="31"/>
      <c r="K6012" s="31" t="s">
        <v>150</v>
      </c>
      <c r="L6012" s="45" t="n">
        <f aca="false">DATE(YEAR(B6012),MONTH(B6012),1)</f>
        <v>46266</v>
      </c>
      <c r="M6012" s="31" t="n">
        <f aca="false">WEEKDAY(B6012,2)</f>
        <v>6</v>
      </c>
      <c r="N6012" s="31" t="str">
        <f aca="false">IF(G6012&lt;=INDEX(Assumptions!$B$15:$B$18,MATCH(E6012,Assumptions!$A$15:$A$18,0)),"Yes","No")</f>
        <v>Yes</v>
      </c>
      <c r="O6012" s="31" t="str">
        <f aca="false">IF(H6012="","Open",IF(H6012&lt;=INDEX(Assumptions!$C$15:$C$18,MATCH(E6012,Assumptions!$A$15:$A$18,0)),"Yes","No"))</f>
        <v>Yes</v>
      </c>
    </row>
    <row r="6013" customFormat="false" ht="15" hidden="false" customHeight="false" outlineLevel="0" collapsed="false">
      <c r="A6013" s="31" t="s">
        <v>6163</v>
      </c>
      <c r="B6013" s="44" t="n">
        <v>46284</v>
      </c>
      <c r="C6013" s="31" t="s">
        <v>60</v>
      </c>
      <c r="D6013" s="31" t="s">
        <v>65</v>
      </c>
      <c r="E6013" s="31" t="s">
        <v>52</v>
      </c>
      <c r="F6013" s="31" t="s">
        <v>129</v>
      </c>
      <c r="G6013" s="31" t="n">
        <v>1</v>
      </c>
      <c r="H6013" s="41" t="n">
        <v>28.5</v>
      </c>
      <c r="I6013" s="31" t="s">
        <v>149</v>
      </c>
      <c r="J6013" s="31" t="n">
        <v>5</v>
      </c>
      <c r="K6013" s="31" t="s">
        <v>150</v>
      </c>
      <c r="L6013" s="45" t="n">
        <f aca="false">DATE(YEAR(B6013),MONTH(B6013),1)</f>
        <v>46266</v>
      </c>
      <c r="M6013" s="31" t="n">
        <f aca="false">WEEKDAY(B6013,2)</f>
        <v>6</v>
      </c>
      <c r="N6013" s="31" t="str">
        <f aca="false">IF(G6013&lt;=INDEX(Assumptions!$B$15:$B$18,MATCH(E6013,Assumptions!$A$15:$A$18,0)),"Yes","No")</f>
        <v>Yes</v>
      </c>
      <c r="O6013" s="31" t="str">
        <f aca="false">IF(H6013="","Open",IF(H6013&lt;=INDEX(Assumptions!$C$15:$C$18,MATCH(E6013,Assumptions!$A$15:$A$18,0)),"Yes","No"))</f>
        <v>Yes</v>
      </c>
    </row>
    <row r="6014" customFormat="false" ht="15" hidden="false" customHeight="false" outlineLevel="0" collapsed="false">
      <c r="A6014" s="31" t="s">
        <v>6164</v>
      </c>
      <c r="B6014" s="44" t="n">
        <v>46284</v>
      </c>
      <c r="C6014" s="31" t="s">
        <v>60</v>
      </c>
      <c r="D6014" s="31" t="s">
        <v>68</v>
      </c>
      <c r="E6014" s="31" t="s">
        <v>51</v>
      </c>
      <c r="F6014" s="31" t="s">
        <v>120</v>
      </c>
      <c r="G6014" s="31" t="n">
        <v>3</v>
      </c>
      <c r="H6014" s="41" t="n">
        <v>10.1</v>
      </c>
      <c r="I6014" s="31" t="s">
        <v>149</v>
      </c>
      <c r="J6014" s="31" t="n">
        <v>3</v>
      </c>
      <c r="K6014" s="31" t="s">
        <v>150</v>
      </c>
      <c r="L6014" s="45" t="n">
        <f aca="false">DATE(YEAR(B6014),MONTH(B6014),1)</f>
        <v>46266</v>
      </c>
      <c r="M6014" s="31" t="n">
        <f aca="false">WEEKDAY(B6014,2)</f>
        <v>6</v>
      </c>
      <c r="N6014" s="31" t="str">
        <f aca="false">IF(G6014&lt;=INDEX(Assumptions!$B$15:$B$18,MATCH(E6014,Assumptions!$A$15:$A$18,0)),"Yes","No")</f>
        <v>Yes</v>
      </c>
      <c r="O6014" s="31" t="str">
        <f aca="false">IF(H6014="","Open",IF(H6014&lt;=INDEX(Assumptions!$C$15:$C$18,MATCH(E6014,Assumptions!$A$15:$A$18,0)),"Yes","No"))</f>
        <v>Yes</v>
      </c>
    </row>
    <row r="6015" customFormat="false" ht="15" hidden="false" customHeight="false" outlineLevel="0" collapsed="false">
      <c r="A6015" s="31" t="s">
        <v>6165</v>
      </c>
      <c r="B6015" s="44" t="n">
        <v>46284</v>
      </c>
      <c r="C6015" s="31" t="s">
        <v>57</v>
      </c>
      <c r="D6015" s="31" t="s">
        <v>67</v>
      </c>
      <c r="E6015" s="31" t="s">
        <v>49</v>
      </c>
      <c r="F6015" s="31" t="s">
        <v>119</v>
      </c>
      <c r="G6015" s="31" t="n">
        <v>8</v>
      </c>
      <c r="H6015" s="41" t="n">
        <v>14.5</v>
      </c>
      <c r="I6015" s="31" t="s">
        <v>64</v>
      </c>
      <c r="J6015" s="31"/>
      <c r="K6015" s="31" t="s">
        <v>150</v>
      </c>
      <c r="L6015" s="45" t="n">
        <f aca="false">DATE(YEAR(B6015),MONTH(B6015),1)</f>
        <v>46266</v>
      </c>
      <c r="M6015" s="31" t="n">
        <f aca="false">WEEKDAY(B6015,2)</f>
        <v>6</v>
      </c>
      <c r="N6015" s="31" t="str">
        <f aca="false">IF(G6015&lt;=INDEX(Assumptions!$B$15:$B$18,MATCH(E6015,Assumptions!$A$15:$A$18,0)),"Yes","No")</f>
        <v>Yes</v>
      </c>
      <c r="O6015" s="31" t="str">
        <f aca="false">IF(H6015="","Open",IF(H6015&lt;=INDEX(Assumptions!$C$15:$C$18,MATCH(E6015,Assumptions!$A$15:$A$18,0)),"Yes","No"))</f>
        <v>No</v>
      </c>
    </row>
    <row r="6016" customFormat="false" ht="15" hidden="false" customHeight="false" outlineLevel="0" collapsed="false">
      <c r="A6016" s="31" t="s">
        <v>6166</v>
      </c>
      <c r="B6016" s="44" t="n">
        <v>46284</v>
      </c>
      <c r="C6016" s="31" t="s">
        <v>57</v>
      </c>
      <c r="D6016" s="31" t="s">
        <v>65</v>
      </c>
      <c r="E6016" s="31" t="s">
        <v>50</v>
      </c>
      <c r="F6016" s="31" t="s">
        <v>128</v>
      </c>
      <c r="G6016" s="31" t="n">
        <v>4</v>
      </c>
      <c r="H6016" s="41" t="n">
        <v>13</v>
      </c>
      <c r="I6016" s="31" t="s">
        <v>149</v>
      </c>
      <c r="J6016" s="31"/>
      <c r="K6016" s="31" t="s">
        <v>150</v>
      </c>
      <c r="L6016" s="45" t="n">
        <f aca="false">DATE(YEAR(B6016),MONTH(B6016),1)</f>
        <v>46266</v>
      </c>
      <c r="M6016" s="31" t="n">
        <f aca="false">WEEKDAY(B6016,2)</f>
        <v>6</v>
      </c>
      <c r="N6016" s="31" t="str">
        <f aca="false">IF(G6016&lt;=INDEX(Assumptions!$B$15:$B$18,MATCH(E6016,Assumptions!$A$15:$A$18,0)),"Yes","No")</f>
        <v>Yes</v>
      </c>
      <c r="O6016" s="31" t="str">
        <f aca="false">IF(H6016="","Open",IF(H6016&lt;=INDEX(Assumptions!$C$15:$C$18,MATCH(E6016,Assumptions!$A$15:$A$18,0)),"Yes","No"))</f>
        <v>No</v>
      </c>
    </row>
    <row r="6017" customFormat="false" ht="15" hidden="false" customHeight="false" outlineLevel="0" collapsed="false">
      <c r="A6017" s="31" t="s">
        <v>6167</v>
      </c>
      <c r="B6017" s="44" t="n">
        <v>46284</v>
      </c>
      <c r="C6017" s="31" t="s">
        <v>58</v>
      </c>
      <c r="D6017" s="31" t="s">
        <v>65</v>
      </c>
      <c r="E6017" s="31" t="s">
        <v>50</v>
      </c>
      <c r="F6017" s="31" t="s">
        <v>127</v>
      </c>
      <c r="G6017" s="31" t="n">
        <v>8</v>
      </c>
      <c r="H6017" s="41" t="n">
        <v>1.8</v>
      </c>
      <c r="I6017" s="31" t="s">
        <v>149</v>
      </c>
      <c r="J6017" s="31" t="n">
        <v>5</v>
      </c>
      <c r="K6017" s="31" t="s">
        <v>150</v>
      </c>
      <c r="L6017" s="45" t="n">
        <f aca="false">DATE(YEAR(B6017),MONTH(B6017),1)</f>
        <v>46266</v>
      </c>
      <c r="M6017" s="31" t="n">
        <f aca="false">WEEKDAY(B6017,2)</f>
        <v>6</v>
      </c>
      <c r="N6017" s="31" t="str">
        <f aca="false">IF(G6017&lt;=INDEX(Assumptions!$B$15:$B$18,MATCH(E6017,Assumptions!$A$15:$A$18,0)),"Yes","No")</f>
        <v>Yes</v>
      </c>
      <c r="O6017" s="31" t="str">
        <f aca="false">IF(H6017="","Open",IF(H6017&lt;=INDEX(Assumptions!$C$15:$C$18,MATCH(E6017,Assumptions!$A$15:$A$18,0)),"Yes","No"))</f>
        <v>Yes</v>
      </c>
    </row>
    <row r="6018" customFormat="false" ht="15" hidden="false" customHeight="false" outlineLevel="0" collapsed="false">
      <c r="A6018" s="31" t="s">
        <v>6168</v>
      </c>
      <c r="B6018" s="44" t="n">
        <v>46284</v>
      </c>
      <c r="C6018" s="31" t="s">
        <v>59</v>
      </c>
      <c r="D6018" s="31" t="s">
        <v>68</v>
      </c>
      <c r="E6018" s="31" t="s">
        <v>52</v>
      </c>
      <c r="F6018" s="31" t="s">
        <v>128</v>
      </c>
      <c r="G6018" s="31" t="n">
        <v>701</v>
      </c>
      <c r="H6018" s="41" t="n">
        <v>6.5</v>
      </c>
      <c r="I6018" s="31" t="s">
        <v>149</v>
      </c>
      <c r="J6018" s="31" t="n">
        <v>4</v>
      </c>
      <c r="K6018" s="31" t="s">
        <v>150</v>
      </c>
      <c r="L6018" s="45" t="n">
        <f aca="false">DATE(YEAR(B6018),MONTH(B6018),1)</f>
        <v>46266</v>
      </c>
      <c r="M6018" s="31" t="n">
        <f aca="false">WEEKDAY(B6018,2)</f>
        <v>6</v>
      </c>
      <c r="N6018" s="31" t="str">
        <f aca="false">IF(G6018&lt;=INDEX(Assumptions!$B$15:$B$18,MATCH(E6018,Assumptions!$A$15:$A$18,0)),"Yes","No")</f>
        <v>No</v>
      </c>
      <c r="O6018" s="31" t="str">
        <f aca="false">IF(H6018="","Open",IF(H6018&lt;=INDEX(Assumptions!$C$15:$C$18,MATCH(E6018,Assumptions!$A$15:$A$18,0)),"Yes","No"))</f>
        <v>Yes</v>
      </c>
    </row>
    <row r="6019" customFormat="false" ht="15" hidden="false" customHeight="false" outlineLevel="0" collapsed="false">
      <c r="A6019" s="31" t="s">
        <v>6169</v>
      </c>
      <c r="B6019" s="44" t="n">
        <v>46284</v>
      </c>
      <c r="C6019" s="31" t="s">
        <v>60</v>
      </c>
      <c r="D6019" s="31" t="s">
        <v>66</v>
      </c>
      <c r="E6019" s="31" t="s">
        <v>51</v>
      </c>
      <c r="F6019" s="31" t="s">
        <v>122</v>
      </c>
      <c r="G6019" s="31" t="n">
        <v>2</v>
      </c>
      <c r="H6019" s="41" t="n">
        <v>4</v>
      </c>
      <c r="I6019" s="31" t="s">
        <v>149</v>
      </c>
      <c r="J6019" s="31"/>
      <c r="K6019" s="31" t="s">
        <v>150</v>
      </c>
      <c r="L6019" s="45" t="n">
        <f aca="false">DATE(YEAR(B6019),MONTH(B6019),1)</f>
        <v>46266</v>
      </c>
      <c r="M6019" s="31" t="n">
        <f aca="false">WEEKDAY(B6019,2)</f>
        <v>6</v>
      </c>
      <c r="N6019" s="31" t="str">
        <f aca="false">IF(G6019&lt;=INDEX(Assumptions!$B$15:$B$18,MATCH(E6019,Assumptions!$A$15:$A$18,0)),"Yes","No")</f>
        <v>Yes</v>
      </c>
      <c r="O6019" s="31" t="str">
        <f aca="false">IF(H6019="","Open",IF(H6019&lt;=INDEX(Assumptions!$C$15:$C$18,MATCH(E6019,Assumptions!$A$15:$A$18,0)),"Yes","No"))</f>
        <v>Yes</v>
      </c>
    </row>
    <row r="6020" customFormat="false" ht="15" hidden="false" customHeight="false" outlineLevel="0" collapsed="false">
      <c r="A6020" s="31" t="s">
        <v>6170</v>
      </c>
      <c r="B6020" s="44" t="n">
        <v>46284</v>
      </c>
      <c r="C6020" s="31" t="s">
        <v>60</v>
      </c>
      <c r="D6020" s="31" t="s">
        <v>67</v>
      </c>
      <c r="E6020" s="31" t="s">
        <v>50</v>
      </c>
      <c r="F6020" s="31" t="s">
        <v>124</v>
      </c>
      <c r="G6020" s="31" t="n">
        <v>13</v>
      </c>
      <c r="H6020" s="41" t="n">
        <v>3.3</v>
      </c>
      <c r="I6020" s="31" t="s">
        <v>149</v>
      </c>
      <c r="J6020" s="31" t="n">
        <v>4</v>
      </c>
      <c r="K6020" s="31" t="s">
        <v>150</v>
      </c>
      <c r="L6020" s="45" t="n">
        <f aca="false">DATE(YEAR(B6020),MONTH(B6020),1)</f>
        <v>46266</v>
      </c>
      <c r="M6020" s="31" t="n">
        <f aca="false">WEEKDAY(B6020,2)</f>
        <v>6</v>
      </c>
      <c r="N6020" s="31" t="str">
        <f aca="false">IF(G6020&lt;=INDEX(Assumptions!$B$15:$B$18,MATCH(E6020,Assumptions!$A$15:$A$18,0)),"Yes","No")</f>
        <v>Yes</v>
      </c>
      <c r="O6020" s="31" t="str">
        <f aca="false">IF(H6020="","Open",IF(H6020&lt;=INDEX(Assumptions!$C$15:$C$18,MATCH(E6020,Assumptions!$A$15:$A$18,0)),"Yes","No"))</f>
        <v>Yes</v>
      </c>
    </row>
    <row r="6021" customFormat="false" ht="15" hidden="false" customHeight="false" outlineLevel="0" collapsed="false">
      <c r="A6021" s="31" t="s">
        <v>6171</v>
      </c>
      <c r="B6021" s="44" t="n">
        <v>46284</v>
      </c>
      <c r="C6021" s="31" t="s">
        <v>58</v>
      </c>
      <c r="D6021" s="31" t="s">
        <v>65</v>
      </c>
      <c r="E6021" s="31" t="s">
        <v>51</v>
      </c>
      <c r="F6021" s="31" t="s">
        <v>135</v>
      </c>
      <c r="G6021" s="31" t="n">
        <v>14</v>
      </c>
      <c r="H6021" s="41" t="n">
        <v>7</v>
      </c>
      <c r="I6021" s="31" t="s">
        <v>149</v>
      </c>
      <c r="J6021" s="31" t="n">
        <v>5</v>
      </c>
      <c r="K6021" s="31" t="s">
        <v>150</v>
      </c>
      <c r="L6021" s="45" t="n">
        <f aca="false">DATE(YEAR(B6021),MONTH(B6021),1)</f>
        <v>46266</v>
      </c>
      <c r="M6021" s="31" t="n">
        <f aca="false">WEEKDAY(B6021,2)</f>
        <v>6</v>
      </c>
      <c r="N6021" s="31" t="str">
        <f aca="false">IF(G6021&lt;=INDEX(Assumptions!$B$15:$B$18,MATCH(E6021,Assumptions!$A$15:$A$18,0)),"Yes","No")</f>
        <v>Yes</v>
      </c>
      <c r="O6021" s="31" t="str">
        <f aca="false">IF(H6021="","Open",IF(H6021&lt;=INDEX(Assumptions!$C$15:$C$18,MATCH(E6021,Assumptions!$A$15:$A$18,0)),"Yes","No"))</f>
        <v>Yes</v>
      </c>
    </row>
    <row r="6022" customFormat="false" ht="15" hidden="false" customHeight="false" outlineLevel="0" collapsed="false">
      <c r="A6022" s="31" t="s">
        <v>6172</v>
      </c>
      <c r="B6022" s="44" t="n">
        <v>46284</v>
      </c>
      <c r="C6022" s="31" t="s">
        <v>58</v>
      </c>
      <c r="D6022" s="31" t="s">
        <v>69</v>
      </c>
      <c r="E6022" s="31" t="s">
        <v>52</v>
      </c>
      <c r="F6022" s="31" t="s">
        <v>119</v>
      </c>
      <c r="G6022" s="31" t="n">
        <v>19</v>
      </c>
      <c r="H6022" s="41" t="n">
        <v>59</v>
      </c>
      <c r="I6022" s="31" t="s">
        <v>149</v>
      </c>
      <c r="J6022" s="31" t="n">
        <v>4</v>
      </c>
      <c r="K6022" s="31" t="s">
        <v>150</v>
      </c>
      <c r="L6022" s="45" t="n">
        <f aca="false">DATE(YEAR(B6022),MONTH(B6022),1)</f>
        <v>46266</v>
      </c>
      <c r="M6022" s="31" t="n">
        <f aca="false">WEEKDAY(B6022,2)</f>
        <v>6</v>
      </c>
      <c r="N6022" s="31" t="str">
        <f aca="false">IF(G6022&lt;=INDEX(Assumptions!$B$15:$B$18,MATCH(E6022,Assumptions!$A$15:$A$18,0)),"Yes","No")</f>
        <v>Yes</v>
      </c>
      <c r="O6022" s="31" t="str">
        <f aca="false">IF(H6022="","Open",IF(H6022&lt;=INDEX(Assumptions!$C$15:$C$18,MATCH(E6022,Assumptions!$A$15:$A$18,0)),"Yes","No"))</f>
        <v>Yes</v>
      </c>
    </row>
    <row r="6023" customFormat="false" ht="15" hidden="false" customHeight="false" outlineLevel="0" collapsed="false">
      <c r="A6023" s="31" t="s">
        <v>6173</v>
      </c>
      <c r="B6023" s="44" t="n">
        <v>46284</v>
      </c>
      <c r="C6023" s="31" t="s">
        <v>59</v>
      </c>
      <c r="D6023" s="31" t="s">
        <v>66</v>
      </c>
      <c r="E6023" s="31" t="s">
        <v>52</v>
      </c>
      <c r="F6023" s="31" t="s">
        <v>123</v>
      </c>
      <c r="G6023" s="31" t="n">
        <v>122</v>
      </c>
      <c r="H6023" s="41" t="n">
        <v>51.5</v>
      </c>
      <c r="I6023" s="31" t="s">
        <v>149</v>
      </c>
      <c r="J6023" s="31"/>
      <c r="K6023" s="31" t="s">
        <v>150</v>
      </c>
      <c r="L6023" s="45" t="n">
        <f aca="false">DATE(YEAR(B6023),MONTH(B6023),1)</f>
        <v>46266</v>
      </c>
      <c r="M6023" s="31" t="n">
        <f aca="false">WEEKDAY(B6023,2)</f>
        <v>6</v>
      </c>
      <c r="N6023" s="31" t="str">
        <f aca="false">IF(G6023&lt;=INDEX(Assumptions!$B$15:$B$18,MATCH(E6023,Assumptions!$A$15:$A$18,0)),"Yes","No")</f>
        <v>Yes</v>
      </c>
      <c r="O6023" s="31" t="str">
        <f aca="false">IF(H6023="","Open",IF(H6023&lt;=INDEX(Assumptions!$C$15:$C$18,MATCH(E6023,Assumptions!$A$15:$A$18,0)),"Yes","No"))</f>
        <v>Yes</v>
      </c>
    </row>
    <row r="6024" customFormat="false" ht="15" hidden="false" customHeight="false" outlineLevel="0" collapsed="false">
      <c r="A6024" s="31" t="s">
        <v>6174</v>
      </c>
      <c r="B6024" s="44" t="n">
        <v>46284</v>
      </c>
      <c r="C6024" s="31" t="s">
        <v>58</v>
      </c>
      <c r="D6024" s="31" t="s">
        <v>66</v>
      </c>
      <c r="E6024" s="31" t="s">
        <v>52</v>
      </c>
      <c r="F6024" s="31" t="s">
        <v>126</v>
      </c>
      <c r="G6024" s="31" t="n">
        <v>18</v>
      </c>
      <c r="H6024" s="41" t="n">
        <v>4.5</v>
      </c>
      <c r="I6024" s="31" t="s">
        <v>149</v>
      </c>
      <c r="J6024" s="31"/>
      <c r="K6024" s="31" t="s">
        <v>150</v>
      </c>
      <c r="L6024" s="45" t="n">
        <f aca="false">DATE(YEAR(B6024),MONTH(B6024),1)</f>
        <v>46266</v>
      </c>
      <c r="M6024" s="31" t="n">
        <f aca="false">WEEKDAY(B6024,2)</f>
        <v>6</v>
      </c>
      <c r="N6024" s="31" t="str">
        <f aca="false">IF(G6024&lt;=INDEX(Assumptions!$B$15:$B$18,MATCH(E6024,Assumptions!$A$15:$A$18,0)),"Yes","No")</f>
        <v>Yes</v>
      </c>
      <c r="O6024" s="31" t="str">
        <f aca="false">IF(H6024="","Open",IF(H6024&lt;=INDEX(Assumptions!$C$15:$C$18,MATCH(E6024,Assumptions!$A$15:$A$18,0)),"Yes","No"))</f>
        <v>Yes</v>
      </c>
    </row>
    <row r="6025" customFormat="false" ht="15" hidden="false" customHeight="false" outlineLevel="0" collapsed="false">
      <c r="A6025" s="31" t="s">
        <v>6175</v>
      </c>
      <c r="B6025" s="44" t="n">
        <v>46284</v>
      </c>
      <c r="C6025" s="31" t="s">
        <v>58</v>
      </c>
      <c r="D6025" s="31" t="s">
        <v>66</v>
      </c>
      <c r="E6025" s="31" t="s">
        <v>52</v>
      </c>
      <c r="F6025" s="31" t="s">
        <v>135</v>
      </c>
      <c r="G6025" s="31" t="n">
        <v>17</v>
      </c>
      <c r="H6025" s="41" t="n">
        <v>4.5</v>
      </c>
      <c r="I6025" s="31" t="s">
        <v>149</v>
      </c>
      <c r="J6025" s="31" t="n">
        <v>4</v>
      </c>
      <c r="K6025" s="31" t="s">
        <v>153</v>
      </c>
      <c r="L6025" s="45" t="n">
        <f aca="false">DATE(YEAR(B6025),MONTH(B6025),1)</f>
        <v>46266</v>
      </c>
      <c r="M6025" s="31" t="n">
        <f aca="false">WEEKDAY(B6025,2)</f>
        <v>6</v>
      </c>
      <c r="N6025" s="31" t="str">
        <f aca="false">IF(G6025&lt;=INDEX(Assumptions!$B$15:$B$18,MATCH(E6025,Assumptions!$A$15:$A$18,0)),"Yes","No")</f>
        <v>Yes</v>
      </c>
      <c r="O6025" s="31" t="str">
        <f aca="false">IF(H6025="","Open",IF(H6025&lt;=INDEX(Assumptions!$C$15:$C$18,MATCH(E6025,Assumptions!$A$15:$A$18,0)),"Yes","No"))</f>
        <v>Yes</v>
      </c>
    </row>
    <row r="6026" customFormat="false" ht="15" hidden="false" customHeight="false" outlineLevel="0" collapsed="false">
      <c r="A6026" s="31" t="s">
        <v>6176</v>
      </c>
      <c r="B6026" s="44" t="n">
        <v>46284</v>
      </c>
      <c r="C6026" s="31" t="s">
        <v>60</v>
      </c>
      <c r="D6026" s="31" t="s">
        <v>65</v>
      </c>
      <c r="E6026" s="31" t="s">
        <v>49</v>
      </c>
      <c r="F6026" s="31" t="s">
        <v>137</v>
      </c>
      <c r="G6026" s="31" t="n">
        <v>1</v>
      </c>
      <c r="H6026" s="41" t="n">
        <v>7.5</v>
      </c>
      <c r="I6026" s="31" t="s">
        <v>149</v>
      </c>
      <c r="J6026" s="31"/>
      <c r="K6026" s="31" t="s">
        <v>150</v>
      </c>
      <c r="L6026" s="45" t="n">
        <f aca="false">DATE(YEAR(B6026),MONTH(B6026),1)</f>
        <v>46266</v>
      </c>
      <c r="M6026" s="31" t="n">
        <f aca="false">WEEKDAY(B6026,2)</f>
        <v>6</v>
      </c>
      <c r="N6026" s="31" t="str">
        <f aca="false">IF(G6026&lt;=INDEX(Assumptions!$B$15:$B$18,MATCH(E6026,Assumptions!$A$15:$A$18,0)),"Yes","No")</f>
        <v>Yes</v>
      </c>
      <c r="O6026" s="31" t="str">
        <f aca="false">IF(H6026="","Open",IF(H6026&lt;=INDEX(Assumptions!$C$15:$C$18,MATCH(E6026,Assumptions!$A$15:$A$18,0)),"Yes","No"))</f>
        <v>No</v>
      </c>
    </row>
    <row r="6027" customFormat="false" ht="15" hidden="false" customHeight="false" outlineLevel="0" collapsed="false">
      <c r="A6027" s="31" t="s">
        <v>6177</v>
      </c>
      <c r="B6027" s="44" t="n">
        <v>46284</v>
      </c>
      <c r="C6027" s="31" t="s">
        <v>59</v>
      </c>
      <c r="D6027" s="31" t="s">
        <v>66</v>
      </c>
      <c r="E6027" s="31" t="s">
        <v>51</v>
      </c>
      <c r="F6027" s="31" t="s">
        <v>130</v>
      </c>
      <c r="G6027" s="31" t="n">
        <v>21</v>
      </c>
      <c r="H6027" s="41" t="n">
        <v>6.2</v>
      </c>
      <c r="I6027" s="31" t="s">
        <v>149</v>
      </c>
      <c r="J6027" s="31" t="n">
        <v>5</v>
      </c>
      <c r="K6027" s="31" t="s">
        <v>150</v>
      </c>
      <c r="L6027" s="45" t="n">
        <f aca="false">DATE(YEAR(B6027),MONTH(B6027),1)</f>
        <v>46266</v>
      </c>
      <c r="M6027" s="31" t="n">
        <f aca="false">WEEKDAY(B6027,2)</f>
        <v>6</v>
      </c>
      <c r="N6027" s="31" t="str">
        <f aca="false">IF(G6027&lt;=INDEX(Assumptions!$B$15:$B$18,MATCH(E6027,Assumptions!$A$15:$A$18,0)),"Yes","No")</f>
        <v>Yes</v>
      </c>
      <c r="O6027" s="31" t="str">
        <f aca="false">IF(H6027="","Open",IF(H6027&lt;=INDEX(Assumptions!$C$15:$C$18,MATCH(E6027,Assumptions!$A$15:$A$18,0)),"Yes","No"))</f>
        <v>Yes</v>
      </c>
    </row>
    <row r="6028" customFormat="false" ht="15" hidden="false" customHeight="false" outlineLevel="0" collapsed="false">
      <c r="A6028" s="31" t="s">
        <v>6178</v>
      </c>
      <c r="B6028" s="44" t="n">
        <v>46284</v>
      </c>
      <c r="C6028" s="31" t="s">
        <v>57</v>
      </c>
      <c r="D6028" s="31" t="s">
        <v>66</v>
      </c>
      <c r="E6028" s="31" t="s">
        <v>51</v>
      </c>
      <c r="F6028" s="31" t="s">
        <v>127</v>
      </c>
      <c r="G6028" s="31" t="n">
        <v>4</v>
      </c>
      <c r="H6028" s="41" t="n">
        <v>1.9</v>
      </c>
      <c r="I6028" s="31" t="s">
        <v>149</v>
      </c>
      <c r="J6028" s="31" t="n">
        <v>5</v>
      </c>
      <c r="K6028" s="31" t="s">
        <v>150</v>
      </c>
      <c r="L6028" s="45" t="n">
        <f aca="false">DATE(YEAR(B6028),MONTH(B6028),1)</f>
        <v>46266</v>
      </c>
      <c r="M6028" s="31" t="n">
        <f aca="false">WEEKDAY(B6028,2)</f>
        <v>6</v>
      </c>
      <c r="N6028" s="31" t="str">
        <f aca="false">IF(G6028&lt;=INDEX(Assumptions!$B$15:$B$18,MATCH(E6028,Assumptions!$A$15:$A$18,0)),"Yes","No")</f>
        <v>Yes</v>
      </c>
      <c r="O6028" s="31" t="str">
        <f aca="false">IF(H6028="","Open",IF(H6028&lt;=INDEX(Assumptions!$C$15:$C$18,MATCH(E6028,Assumptions!$A$15:$A$18,0)),"Yes","No"))</f>
        <v>Yes</v>
      </c>
    </row>
    <row r="6029" customFormat="false" ht="15" hidden="false" customHeight="false" outlineLevel="0" collapsed="false">
      <c r="A6029" s="31" t="s">
        <v>6179</v>
      </c>
      <c r="B6029" s="44" t="n">
        <v>46284</v>
      </c>
      <c r="C6029" s="31" t="s">
        <v>58</v>
      </c>
      <c r="D6029" s="31" t="s">
        <v>65</v>
      </c>
      <c r="E6029" s="31" t="s">
        <v>51</v>
      </c>
      <c r="F6029" s="31" t="s">
        <v>135</v>
      </c>
      <c r="G6029" s="31" t="n">
        <v>19</v>
      </c>
      <c r="H6029" s="41" t="n">
        <v>3.6</v>
      </c>
      <c r="I6029" s="31" t="s">
        <v>149</v>
      </c>
      <c r="J6029" s="31" t="n">
        <v>5</v>
      </c>
      <c r="K6029" s="31" t="s">
        <v>150</v>
      </c>
      <c r="L6029" s="45" t="n">
        <f aca="false">DATE(YEAR(B6029),MONTH(B6029),1)</f>
        <v>46266</v>
      </c>
      <c r="M6029" s="31" t="n">
        <f aca="false">WEEKDAY(B6029,2)</f>
        <v>6</v>
      </c>
      <c r="N6029" s="31" t="str">
        <f aca="false">IF(G6029&lt;=INDEX(Assumptions!$B$15:$B$18,MATCH(E6029,Assumptions!$A$15:$A$18,0)),"Yes","No")</f>
        <v>Yes</v>
      </c>
      <c r="O6029" s="31" t="str">
        <f aca="false">IF(H6029="","Open",IF(H6029&lt;=INDEX(Assumptions!$C$15:$C$18,MATCH(E6029,Assumptions!$A$15:$A$18,0)),"Yes","No"))</f>
        <v>Yes</v>
      </c>
    </row>
    <row r="6030" customFormat="false" ht="15" hidden="false" customHeight="false" outlineLevel="0" collapsed="false">
      <c r="A6030" s="31" t="s">
        <v>6180</v>
      </c>
      <c r="B6030" s="44" t="n">
        <v>46284</v>
      </c>
      <c r="C6030" s="31" t="s">
        <v>58</v>
      </c>
      <c r="D6030" s="31" t="s">
        <v>65</v>
      </c>
      <c r="E6030" s="31" t="s">
        <v>50</v>
      </c>
      <c r="F6030" s="31" t="s">
        <v>129</v>
      </c>
      <c r="G6030" s="31" t="n">
        <v>5</v>
      </c>
      <c r="H6030" s="41" t="n">
        <v>2.9</v>
      </c>
      <c r="I6030" s="31" t="s">
        <v>149</v>
      </c>
      <c r="J6030" s="31" t="n">
        <v>4</v>
      </c>
      <c r="K6030" s="31" t="s">
        <v>150</v>
      </c>
      <c r="L6030" s="45" t="n">
        <f aca="false">DATE(YEAR(B6030),MONTH(B6030),1)</f>
        <v>46266</v>
      </c>
      <c r="M6030" s="31" t="n">
        <f aca="false">WEEKDAY(B6030,2)</f>
        <v>6</v>
      </c>
      <c r="N6030" s="31" t="str">
        <f aca="false">IF(G6030&lt;=INDEX(Assumptions!$B$15:$B$18,MATCH(E6030,Assumptions!$A$15:$A$18,0)),"Yes","No")</f>
        <v>Yes</v>
      </c>
      <c r="O6030" s="31" t="str">
        <f aca="false">IF(H6030="","Open",IF(H6030&lt;=INDEX(Assumptions!$C$15:$C$18,MATCH(E6030,Assumptions!$A$15:$A$18,0)),"Yes","No"))</f>
        <v>Yes</v>
      </c>
    </row>
    <row r="6031" customFormat="false" ht="15" hidden="false" customHeight="false" outlineLevel="0" collapsed="false">
      <c r="A6031" s="31" t="s">
        <v>6181</v>
      </c>
      <c r="B6031" s="44" t="n">
        <v>46284</v>
      </c>
      <c r="C6031" s="31" t="s">
        <v>58</v>
      </c>
      <c r="D6031" s="31" t="s">
        <v>65</v>
      </c>
      <c r="E6031" s="31" t="s">
        <v>52</v>
      </c>
      <c r="F6031" s="31" t="s">
        <v>119</v>
      </c>
      <c r="G6031" s="31" t="n">
        <v>8</v>
      </c>
      <c r="H6031" s="41" t="n">
        <v>17.6</v>
      </c>
      <c r="I6031" s="31" t="s">
        <v>149</v>
      </c>
      <c r="J6031" s="31"/>
      <c r="K6031" s="31" t="s">
        <v>150</v>
      </c>
      <c r="L6031" s="45" t="n">
        <f aca="false">DATE(YEAR(B6031),MONTH(B6031),1)</f>
        <v>46266</v>
      </c>
      <c r="M6031" s="31" t="n">
        <f aca="false">WEEKDAY(B6031,2)</f>
        <v>6</v>
      </c>
      <c r="N6031" s="31" t="str">
        <f aca="false">IF(G6031&lt;=INDEX(Assumptions!$B$15:$B$18,MATCH(E6031,Assumptions!$A$15:$A$18,0)),"Yes","No")</f>
        <v>Yes</v>
      </c>
      <c r="O6031" s="31" t="str">
        <f aca="false">IF(H6031="","Open",IF(H6031&lt;=INDEX(Assumptions!$C$15:$C$18,MATCH(E6031,Assumptions!$A$15:$A$18,0)),"Yes","No"))</f>
        <v>Yes</v>
      </c>
    </row>
    <row r="6032" customFormat="false" ht="15" hidden="false" customHeight="false" outlineLevel="0" collapsed="false">
      <c r="A6032" s="31" t="s">
        <v>6182</v>
      </c>
      <c r="B6032" s="44" t="n">
        <v>46284</v>
      </c>
      <c r="C6032" s="31" t="s">
        <v>58</v>
      </c>
      <c r="D6032" s="31" t="s">
        <v>68</v>
      </c>
      <c r="E6032" s="31" t="s">
        <v>51</v>
      </c>
      <c r="F6032" s="31" t="s">
        <v>128</v>
      </c>
      <c r="G6032" s="31" t="n">
        <v>11</v>
      </c>
      <c r="H6032" s="41" t="n">
        <v>8</v>
      </c>
      <c r="I6032" s="31" t="s">
        <v>149</v>
      </c>
      <c r="J6032" s="31" t="n">
        <v>4</v>
      </c>
      <c r="K6032" s="31" t="s">
        <v>150</v>
      </c>
      <c r="L6032" s="45" t="n">
        <f aca="false">DATE(YEAR(B6032),MONTH(B6032),1)</f>
        <v>46266</v>
      </c>
      <c r="M6032" s="31" t="n">
        <f aca="false">WEEKDAY(B6032,2)</f>
        <v>6</v>
      </c>
      <c r="N6032" s="31" t="str">
        <f aca="false">IF(G6032&lt;=INDEX(Assumptions!$B$15:$B$18,MATCH(E6032,Assumptions!$A$15:$A$18,0)),"Yes","No")</f>
        <v>Yes</v>
      </c>
      <c r="O6032" s="31" t="str">
        <f aca="false">IF(H6032="","Open",IF(H6032&lt;=INDEX(Assumptions!$C$15:$C$18,MATCH(E6032,Assumptions!$A$15:$A$18,0)),"Yes","No"))</f>
        <v>Yes</v>
      </c>
    </row>
    <row r="6033" customFormat="false" ht="15" hidden="false" customHeight="false" outlineLevel="0" collapsed="false">
      <c r="A6033" s="31" t="s">
        <v>6183</v>
      </c>
      <c r="B6033" s="44" t="n">
        <v>46284</v>
      </c>
      <c r="C6033" s="31" t="s">
        <v>57</v>
      </c>
      <c r="D6033" s="31" t="s">
        <v>66</v>
      </c>
      <c r="E6033" s="31" t="s">
        <v>52</v>
      </c>
      <c r="F6033" s="31" t="s">
        <v>127</v>
      </c>
      <c r="G6033" s="31" t="n">
        <v>28</v>
      </c>
      <c r="H6033" s="41" t="n">
        <v>4.1</v>
      </c>
      <c r="I6033" s="31" t="s">
        <v>149</v>
      </c>
      <c r="J6033" s="31" t="n">
        <v>5</v>
      </c>
      <c r="K6033" s="31" t="s">
        <v>153</v>
      </c>
      <c r="L6033" s="45" t="n">
        <f aca="false">DATE(YEAR(B6033),MONTH(B6033),1)</f>
        <v>46266</v>
      </c>
      <c r="M6033" s="31" t="n">
        <f aca="false">WEEKDAY(B6033,2)</f>
        <v>6</v>
      </c>
      <c r="N6033" s="31" t="str">
        <f aca="false">IF(G6033&lt;=INDEX(Assumptions!$B$15:$B$18,MATCH(E6033,Assumptions!$A$15:$A$18,0)),"Yes","No")</f>
        <v>Yes</v>
      </c>
      <c r="O6033" s="31" t="str">
        <f aca="false">IF(H6033="","Open",IF(H6033&lt;=INDEX(Assumptions!$C$15:$C$18,MATCH(E6033,Assumptions!$A$15:$A$18,0)),"Yes","No"))</f>
        <v>Yes</v>
      </c>
    </row>
    <row r="6034" customFormat="false" ht="15" hidden="false" customHeight="false" outlineLevel="0" collapsed="false">
      <c r="A6034" s="31" t="s">
        <v>6184</v>
      </c>
      <c r="B6034" s="44" t="n">
        <v>46284</v>
      </c>
      <c r="C6034" s="31" t="s">
        <v>57</v>
      </c>
      <c r="D6034" s="31" t="s">
        <v>66</v>
      </c>
      <c r="E6034" s="31" t="s">
        <v>50</v>
      </c>
      <c r="F6034" s="31" t="s">
        <v>123</v>
      </c>
      <c r="G6034" s="31" t="n">
        <v>2</v>
      </c>
      <c r="H6034" s="41" t="n">
        <v>1.6</v>
      </c>
      <c r="I6034" s="31" t="s">
        <v>149</v>
      </c>
      <c r="J6034" s="31" t="n">
        <v>5</v>
      </c>
      <c r="K6034" s="31" t="s">
        <v>150</v>
      </c>
      <c r="L6034" s="45" t="n">
        <f aca="false">DATE(YEAR(B6034),MONTH(B6034),1)</f>
        <v>46266</v>
      </c>
      <c r="M6034" s="31" t="n">
        <f aca="false">WEEKDAY(B6034,2)</f>
        <v>6</v>
      </c>
      <c r="N6034" s="31" t="str">
        <f aca="false">IF(G6034&lt;=INDEX(Assumptions!$B$15:$B$18,MATCH(E6034,Assumptions!$A$15:$A$18,0)),"Yes","No")</f>
        <v>Yes</v>
      </c>
      <c r="O6034" s="31" t="str">
        <f aca="false">IF(H6034="","Open",IF(H6034&lt;=INDEX(Assumptions!$C$15:$C$18,MATCH(E6034,Assumptions!$A$15:$A$18,0)),"Yes","No"))</f>
        <v>Yes</v>
      </c>
    </row>
    <row r="6035" customFormat="false" ht="15" hidden="false" customHeight="false" outlineLevel="0" collapsed="false">
      <c r="A6035" s="31" t="s">
        <v>6185</v>
      </c>
      <c r="B6035" s="44" t="n">
        <v>46284</v>
      </c>
      <c r="C6035" s="31" t="s">
        <v>59</v>
      </c>
      <c r="D6035" s="31" t="s">
        <v>67</v>
      </c>
      <c r="E6035" s="31" t="s">
        <v>51</v>
      </c>
      <c r="F6035" s="31" t="s">
        <v>130</v>
      </c>
      <c r="G6035" s="31" t="n">
        <v>34</v>
      </c>
      <c r="H6035" s="41" t="n">
        <v>1.4</v>
      </c>
      <c r="I6035" s="31" t="s">
        <v>149</v>
      </c>
      <c r="J6035" s="31"/>
      <c r="K6035" s="31" t="s">
        <v>150</v>
      </c>
      <c r="L6035" s="45" t="n">
        <f aca="false">DATE(YEAR(B6035),MONTH(B6035),1)</f>
        <v>46266</v>
      </c>
      <c r="M6035" s="31" t="n">
        <f aca="false">WEEKDAY(B6035,2)</f>
        <v>6</v>
      </c>
      <c r="N6035" s="31" t="str">
        <f aca="false">IF(G6035&lt;=INDEX(Assumptions!$B$15:$B$18,MATCH(E6035,Assumptions!$A$15:$A$18,0)),"Yes","No")</f>
        <v>Yes</v>
      </c>
      <c r="O6035" s="31" t="str">
        <f aca="false">IF(H6035="","Open",IF(H6035&lt;=INDEX(Assumptions!$C$15:$C$18,MATCH(E6035,Assumptions!$A$15:$A$18,0)),"Yes","No"))</f>
        <v>Yes</v>
      </c>
    </row>
    <row r="6036" customFormat="false" ht="15" hidden="false" customHeight="false" outlineLevel="0" collapsed="false">
      <c r="A6036" s="31" t="s">
        <v>6186</v>
      </c>
      <c r="B6036" s="44" t="n">
        <v>46284</v>
      </c>
      <c r="C6036" s="31" t="s">
        <v>58</v>
      </c>
      <c r="D6036" s="31" t="s">
        <v>69</v>
      </c>
      <c r="E6036" s="31" t="s">
        <v>51</v>
      </c>
      <c r="F6036" s="31" t="s">
        <v>134</v>
      </c>
      <c r="G6036" s="31" t="n">
        <v>27</v>
      </c>
      <c r="H6036" s="41" t="n">
        <v>33</v>
      </c>
      <c r="I6036" s="31" t="s">
        <v>149</v>
      </c>
      <c r="J6036" s="31" t="n">
        <v>4</v>
      </c>
      <c r="K6036" s="31" t="s">
        <v>153</v>
      </c>
      <c r="L6036" s="45" t="n">
        <f aca="false">DATE(YEAR(B6036),MONTH(B6036),1)</f>
        <v>46266</v>
      </c>
      <c r="M6036" s="31" t="n">
        <f aca="false">WEEKDAY(B6036,2)</f>
        <v>6</v>
      </c>
      <c r="N6036" s="31" t="str">
        <f aca="false">IF(G6036&lt;=INDEX(Assumptions!$B$15:$B$18,MATCH(E6036,Assumptions!$A$15:$A$18,0)),"Yes","No")</f>
        <v>Yes</v>
      </c>
      <c r="O6036" s="31" t="str">
        <f aca="false">IF(H6036="","Open",IF(H6036&lt;=INDEX(Assumptions!$C$15:$C$18,MATCH(E6036,Assumptions!$A$15:$A$18,0)),"Yes","No"))</f>
        <v>No</v>
      </c>
    </row>
    <row r="6037" customFormat="false" ht="15" hidden="false" customHeight="false" outlineLevel="0" collapsed="false">
      <c r="A6037" s="31" t="s">
        <v>6187</v>
      </c>
      <c r="B6037" s="44" t="n">
        <v>46284</v>
      </c>
      <c r="C6037" s="31" t="s">
        <v>59</v>
      </c>
      <c r="D6037" s="31" t="s">
        <v>67</v>
      </c>
      <c r="E6037" s="31" t="s">
        <v>51</v>
      </c>
      <c r="F6037" s="31" t="s">
        <v>126</v>
      </c>
      <c r="G6037" s="31" t="n">
        <v>58</v>
      </c>
      <c r="H6037" s="41" t="n">
        <v>10.3</v>
      </c>
      <c r="I6037" s="31" t="s">
        <v>149</v>
      </c>
      <c r="J6037" s="31"/>
      <c r="K6037" s="31" t="s">
        <v>150</v>
      </c>
      <c r="L6037" s="45" t="n">
        <f aca="false">DATE(YEAR(B6037),MONTH(B6037),1)</f>
        <v>46266</v>
      </c>
      <c r="M6037" s="31" t="n">
        <f aca="false">WEEKDAY(B6037,2)</f>
        <v>6</v>
      </c>
      <c r="N6037" s="31" t="str">
        <f aca="false">IF(G6037&lt;=INDEX(Assumptions!$B$15:$B$18,MATCH(E6037,Assumptions!$A$15:$A$18,0)),"Yes","No")</f>
        <v>Yes</v>
      </c>
      <c r="O6037" s="31" t="str">
        <f aca="false">IF(H6037="","Open",IF(H6037&lt;=INDEX(Assumptions!$C$15:$C$18,MATCH(E6037,Assumptions!$A$15:$A$18,0)),"Yes","No"))</f>
        <v>Yes</v>
      </c>
    </row>
    <row r="6038" customFormat="false" ht="15" hidden="false" customHeight="false" outlineLevel="0" collapsed="false">
      <c r="A6038" s="31" t="s">
        <v>6188</v>
      </c>
      <c r="B6038" s="44" t="n">
        <v>46284</v>
      </c>
      <c r="C6038" s="31" t="s">
        <v>58</v>
      </c>
      <c r="D6038" s="31" t="s">
        <v>66</v>
      </c>
      <c r="E6038" s="31" t="s">
        <v>51</v>
      </c>
      <c r="F6038" s="31" t="s">
        <v>128</v>
      </c>
      <c r="G6038" s="31" t="n">
        <v>23</v>
      </c>
      <c r="H6038" s="41" t="n">
        <v>7.9</v>
      </c>
      <c r="I6038" s="31" t="s">
        <v>149</v>
      </c>
      <c r="J6038" s="31" t="n">
        <v>4</v>
      </c>
      <c r="K6038" s="31" t="s">
        <v>153</v>
      </c>
      <c r="L6038" s="45" t="n">
        <f aca="false">DATE(YEAR(B6038),MONTH(B6038),1)</f>
        <v>46266</v>
      </c>
      <c r="M6038" s="31" t="n">
        <f aca="false">WEEKDAY(B6038,2)</f>
        <v>6</v>
      </c>
      <c r="N6038" s="31" t="str">
        <f aca="false">IF(G6038&lt;=INDEX(Assumptions!$B$15:$B$18,MATCH(E6038,Assumptions!$A$15:$A$18,0)),"Yes","No")</f>
        <v>Yes</v>
      </c>
      <c r="O6038" s="31" t="str">
        <f aca="false">IF(H6038="","Open",IF(H6038&lt;=INDEX(Assumptions!$C$15:$C$18,MATCH(E6038,Assumptions!$A$15:$A$18,0)),"Yes","No"))</f>
        <v>Yes</v>
      </c>
    </row>
    <row r="6039" customFormat="false" ht="15" hidden="false" customHeight="false" outlineLevel="0" collapsed="false">
      <c r="A6039" s="31" t="s">
        <v>6189</v>
      </c>
      <c r="B6039" s="44" t="n">
        <v>46284</v>
      </c>
      <c r="C6039" s="31" t="s">
        <v>59</v>
      </c>
      <c r="D6039" s="31" t="s">
        <v>65</v>
      </c>
      <c r="E6039" s="31" t="s">
        <v>52</v>
      </c>
      <c r="F6039" s="31" t="s">
        <v>126</v>
      </c>
      <c r="G6039" s="31" t="n">
        <v>97</v>
      </c>
      <c r="H6039" s="41" t="n">
        <v>54</v>
      </c>
      <c r="I6039" s="31" t="s">
        <v>149</v>
      </c>
      <c r="J6039" s="31" t="n">
        <v>5</v>
      </c>
      <c r="K6039" s="31" t="s">
        <v>150</v>
      </c>
      <c r="L6039" s="45" t="n">
        <f aca="false">DATE(YEAR(B6039),MONTH(B6039),1)</f>
        <v>46266</v>
      </c>
      <c r="M6039" s="31" t="n">
        <f aca="false">WEEKDAY(B6039,2)</f>
        <v>6</v>
      </c>
      <c r="N6039" s="31" t="str">
        <f aca="false">IF(G6039&lt;=INDEX(Assumptions!$B$15:$B$18,MATCH(E6039,Assumptions!$A$15:$A$18,0)),"Yes","No")</f>
        <v>Yes</v>
      </c>
      <c r="O6039" s="31" t="str">
        <f aca="false">IF(H6039="","Open",IF(H6039&lt;=INDEX(Assumptions!$C$15:$C$18,MATCH(E6039,Assumptions!$A$15:$A$18,0)),"Yes","No"))</f>
        <v>Yes</v>
      </c>
    </row>
    <row r="6040" customFormat="false" ht="15" hidden="false" customHeight="false" outlineLevel="0" collapsed="false">
      <c r="A6040" s="31" t="s">
        <v>6190</v>
      </c>
      <c r="B6040" s="44" t="n">
        <v>46284</v>
      </c>
      <c r="C6040" s="31" t="s">
        <v>58</v>
      </c>
      <c r="D6040" s="31" t="s">
        <v>65</v>
      </c>
      <c r="E6040" s="31" t="s">
        <v>52</v>
      </c>
      <c r="F6040" s="31" t="s">
        <v>131</v>
      </c>
      <c r="G6040" s="31" t="n">
        <v>9</v>
      </c>
      <c r="H6040" s="41" t="n">
        <v>25.9</v>
      </c>
      <c r="I6040" s="31" t="s">
        <v>149</v>
      </c>
      <c r="J6040" s="31"/>
      <c r="K6040" s="31" t="s">
        <v>153</v>
      </c>
      <c r="L6040" s="45" t="n">
        <f aca="false">DATE(YEAR(B6040),MONTH(B6040),1)</f>
        <v>46266</v>
      </c>
      <c r="M6040" s="31" t="n">
        <f aca="false">WEEKDAY(B6040,2)</f>
        <v>6</v>
      </c>
      <c r="N6040" s="31" t="str">
        <f aca="false">IF(G6040&lt;=INDEX(Assumptions!$B$15:$B$18,MATCH(E6040,Assumptions!$A$15:$A$18,0)),"Yes","No")</f>
        <v>Yes</v>
      </c>
      <c r="O6040" s="31" t="str">
        <f aca="false">IF(H6040="","Open",IF(H6040&lt;=INDEX(Assumptions!$C$15:$C$18,MATCH(E6040,Assumptions!$A$15:$A$18,0)),"Yes","No"))</f>
        <v>Yes</v>
      </c>
    </row>
    <row r="6041" customFormat="false" ht="15" hidden="false" customHeight="false" outlineLevel="0" collapsed="false">
      <c r="A6041" s="31" t="s">
        <v>6191</v>
      </c>
      <c r="B6041" s="44" t="n">
        <v>46284</v>
      </c>
      <c r="C6041" s="31" t="s">
        <v>57</v>
      </c>
      <c r="D6041" s="31" t="s">
        <v>65</v>
      </c>
      <c r="E6041" s="31" t="s">
        <v>51</v>
      </c>
      <c r="F6041" s="31" t="s">
        <v>128</v>
      </c>
      <c r="G6041" s="31" t="n">
        <v>16</v>
      </c>
      <c r="H6041" s="41" t="n">
        <v>12.4</v>
      </c>
      <c r="I6041" s="31" t="s">
        <v>149</v>
      </c>
      <c r="J6041" s="31" t="n">
        <v>5</v>
      </c>
      <c r="K6041" s="31" t="s">
        <v>150</v>
      </c>
      <c r="L6041" s="45" t="n">
        <f aca="false">DATE(YEAR(B6041),MONTH(B6041),1)</f>
        <v>46266</v>
      </c>
      <c r="M6041" s="31" t="n">
        <f aca="false">WEEKDAY(B6041,2)</f>
        <v>6</v>
      </c>
      <c r="N6041" s="31" t="str">
        <f aca="false">IF(G6041&lt;=INDEX(Assumptions!$B$15:$B$18,MATCH(E6041,Assumptions!$A$15:$A$18,0)),"Yes","No")</f>
        <v>Yes</v>
      </c>
      <c r="O6041" s="31" t="str">
        <f aca="false">IF(H6041="","Open",IF(H6041&lt;=INDEX(Assumptions!$C$15:$C$18,MATCH(E6041,Assumptions!$A$15:$A$18,0)),"Yes","No"))</f>
        <v>Yes</v>
      </c>
    </row>
    <row r="6042" customFormat="false" ht="15" hidden="false" customHeight="false" outlineLevel="0" collapsed="false">
      <c r="A6042" s="31" t="s">
        <v>6192</v>
      </c>
      <c r="B6042" s="44" t="n">
        <v>46284</v>
      </c>
      <c r="C6042" s="31" t="s">
        <v>58</v>
      </c>
      <c r="D6042" s="31" t="s">
        <v>67</v>
      </c>
      <c r="E6042" s="31" t="s">
        <v>50</v>
      </c>
      <c r="F6042" s="31" t="s">
        <v>121</v>
      </c>
      <c r="G6042" s="31" t="n">
        <v>20</v>
      </c>
      <c r="H6042" s="41" t="n">
        <v>3</v>
      </c>
      <c r="I6042" s="31" t="s">
        <v>149</v>
      </c>
      <c r="J6042" s="31"/>
      <c r="K6042" s="31" t="s">
        <v>150</v>
      </c>
      <c r="L6042" s="45" t="n">
        <f aca="false">DATE(YEAR(B6042),MONTH(B6042),1)</f>
        <v>46266</v>
      </c>
      <c r="M6042" s="31" t="n">
        <f aca="false">WEEKDAY(B6042,2)</f>
        <v>6</v>
      </c>
      <c r="N6042" s="31" t="str">
        <f aca="false">IF(G6042&lt;=INDEX(Assumptions!$B$15:$B$18,MATCH(E6042,Assumptions!$A$15:$A$18,0)),"Yes","No")</f>
        <v>Yes</v>
      </c>
      <c r="O6042" s="31" t="str">
        <f aca="false">IF(H6042="","Open",IF(H6042&lt;=INDEX(Assumptions!$C$15:$C$18,MATCH(E6042,Assumptions!$A$15:$A$18,0)),"Yes","No"))</f>
        <v>Yes</v>
      </c>
    </row>
    <row r="6043" customFormat="false" ht="15" hidden="false" customHeight="false" outlineLevel="0" collapsed="false">
      <c r="A6043" s="31" t="s">
        <v>6193</v>
      </c>
      <c r="B6043" s="44" t="n">
        <v>46284</v>
      </c>
      <c r="C6043" s="31" t="s">
        <v>59</v>
      </c>
      <c r="D6043" s="31" t="s">
        <v>66</v>
      </c>
      <c r="E6043" s="31" t="s">
        <v>52</v>
      </c>
      <c r="F6043" s="31" t="s">
        <v>126</v>
      </c>
      <c r="G6043" s="31" t="n">
        <v>94</v>
      </c>
      <c r="H6043" s="41" t="n">
        <v>3.6</v>
      </c>
      <c r="I6043" s="31" t="s">
        <v>149</v>
      </c>
      <c r="J6043" s="31"/>
      <c r="K6043" s="31" t="s">
        <v>150</v>
      </c>
      <c r="L6043" s="45" t="n">
        <f aca="false">DATE(YEAR(B6043),MONTH(B6043),1)</f>
        <v>46266</v>
      </c>
      <c r="M6043" s="31" t="n">
        <f aca="false">WEEKDAY(B6043,2)</f>
        <v>6</v>
      </c>
      <c r="N6043" s="31" t="str">
        <f aca="false">IF(G6043&lt;=INDEX(Assumptions!$B$15:$B$18,MATCH(E6043,Assumptions!$A$15:$A$18,0)),"Yes","No")</f>
        <v>Yes</v>
      </c>
      <c r="O6043" s="31" t="str">
        <f aca="false">IF(H6043="","Open",IF(H6043&lt;=INDEX(Assumptions!$C$15:$C$18,MATCH(E6043,Assumptions!$A$15:$A$18,0)),"Yes","No"))</f>
        <v>Yes</v>
      </c>
    </row>
    <row r="6044" customFormat="false" ht="15" hidden="false" customHeight="false" outlineLevel="0" collapsed="false">
      <c r="A6044" s="31" t="s">
        <v>6194</v>
      </c>
      <c r="B6044" s="44" t="n">
        <v>46284</v>
      </c>
      <c r="C6044" s="31" t="s">
        <v>57</v>
      </c>
      <c r="D6044" s="31" t="s">
        <v>69</v>
      </c>
      <c r="E6044" s="31" t="s">
        <v>51</v>
      </c>
      <c r="F6044" s="31" t="s">
        <v>133</v>
      </c>
      <c r="G6044" s="31" t="n">
        <v>3</v>
      </c>
      <c r="H6044" s="41" t="n">
        <v>23</v>
      </c>
      <c r="I6044" s="31" t="s">
        <v>149</v>
      </c>
      <c r="J6044" s="31"/>
      <c r="K6044" s="31" t="s">
        <v>153</v>
      </c>
      <c r="L6044" s="45" t="n">
        <f aca="false">DATE(YEAR(B6044),MONTH(B6044),1)</f>
        <v>46266</v>
      </c>
      <c r="M6044" s="31" t="n">
        <f aca="false">WEEKDAY(B6044,2)</f>
        <v>6</v>
      </c>
      <c r="N6044" s="31" t="str">
        <f aca="false">IF(G6044&lt;=INDEX(Assumptions!$B$15:$B$18,MATCH(E6044,Assumptions!$A$15:$A$18,0)),"Yes","No")</f>
        <v>Yes</v>
      </c>
      <c r="O6044" s="31" t="str">
        <f aca="false">IF(H6044="","Open",IF(H6044&lt;=INDEX(Assumptions!$C$15:$C$18,MATCH(E6044,Assumptions!$A$15:$A$18,0)),"Yes","No"))</f>
        <v>Yes</v>
      </c>
    </row>
    <row r="6045" customFormat="false" ht="15" hidden="false" customHeight="false" outlineLevel="0" collapsed="false">
      <c r="A6045" s="31" t="s">
        <v>6195</v>
      </c>
      <c r="B6045" s="44" t="n">
        <v>46284</v>
      </c>
      <c r="C6045" s="31" t="s">
        <v>58</v>
      </c>
      <c r="D6045" s="31" t="s">
        <v>65</v>
      </c>
      <c r="E6045" s="31" t="s">
        <v>50</v>
      </c>
      <c r="F6045" s="31" t="s">
        <v>129</v>
      </c>
      <c r="G6045" s="31" t="n">
        <v>10</v>
      </c>
      <c r="H6045" s="41" t="n">
        <v>1.9</v>
      </c>
      <c r="I6045" s="31" t="s">
        <v>149</v>
      </c>
      <c r="J6045" s="31" t="n">
        <v>4</v>
      </c>
      <c r="K6045" s="31" t="s">
        <v>150</v>
      </c>
      <c r="L6045" s="45" t="n">
        <f aca="false">DATE(YEAR(B6045),MONTH(B6045),1)</f>
        <v>46266</v>
      </c>
      <c r="M6045" s="31" t="n">
        <f aca="false">WEEKDAY(B6045,2)</f>
        <v>6</v>
      </c>
      <c r="N6045" s="31" t="str">
        <f aca="false">IF(G6045&lt;=INDEX(Assumptions!$B$15:$B$18,MATCH(E6045,Assumptions!$A$15:$A$18,0)),"Yes","No")</f>
        <v>Yes</v>
      </c>
      <c r="O6045" s="31" t="str">
        <f aca="false">IF(H6045="","Open",IF(H6045&lt;=INDEX(Assumptions!$C$15:$C$18,MATCH(E6045,Assumptions!$A$15:$A$18,0)),"Yes","No"))</f>
        <v>Yes</v>
      </c>
    </row>
    <row r="6046" customFormat="false" ht="15" hidden="false" customHeight="false" outlineLevel="0" collapsed="false">
      <c r="A6046" s="31" t="s">
        <v>6196</v>
      </c>
      <c r="B6046" s="44" t="n">
        <v>46284</v>
      </c>
      <c r="C6046" s="31" t="s">
        <v>60</v>
      </c>
      <c r="D6046" s="31" t="s">
        <v>65</v>
      </c>
      <c r="E6046" s="31" t="s">
        <v>50</v>
      </c>
      <c r="F6046" s="31" t="s">
        <v>129</v>
      </c>
      <c r="G6046" s="31" t="n">
        <v>1</v>
      </c>
      <c r="H6046" s="41" t="n">
        <v>2.6</v>
      </c>
      <c r="I6046" s="31" t="s">
        <v>149</v>
      </c>
      <c r="J6046" s="31"/>
      <c r="K6046" s="31" t="s">
        <v>150</v>
      </c>
      <c r="L6046" s="45" t="n">
        <f aca="false">DATE(YEAR(B6046),MONTH(B6046),1)</f>
        <v>46266</v>
      </c>
      <c r="M6046" s="31" t="n">
        <f aca="false">WEEKDAY(B6046,2)</f>
        <v>6</v>
      </c>
      <c r="N6046" s="31" t="str">
        <f aca="false">IF(G6046&lt;=INDEX(Assumptions!$B$15:$B$18,MATCH(E6046,Assumptions!$A$15:$A$18,0)),"Yes","No")</f>
        <v>Yes</v>
      </c>
      <c r="O6046" s="31" t="str">
        <f aca="false">IF(H6046="","Open",IF(H6046&lt;=INDEX(Assumptions!$C$15:$C$18,MATCH(E6046,Assumptions!$A$15:$A$18,0)),"Yes","No"))</f>
        <v>Yes</v>
      </c>
    </row>
    <row r="6047" customFormat="false" ht="15" hidden="false" customHeight="false" outlineLevel="0" collapsed="false">
      <c r="A6047" s="31" t="s">
        <v>6197</v>
      </c>
      <c r="B6047" s="44" t="n">
        <v>46284</v>
      </c>
      <c r="C6047" s="31" t="s">
        <v>57</v>
      </c>
      <c r="D6047" s="31" t="s">
        <v>66</v>
      </c>
      <c r="E6047" s="31" t="s">
        <v>51</v>
      </c>
      <c r="F6047" s="31" t="s">
        <v>124</v>
      </c>
      <c r="G6047" s="31" t="n">
        <v>5</v>
      </c>
      <c r="H6047" s="41" t="n">
        <v>2.3</v>
      </c>
      <c r="I6047" s="31" t="s">
        <v>149</v>
      </c>
      <c r="J6047" s="31" t="n">
        <v>4</v>
      </c>
      <c r="K6047" s="31" t="s">
        <v>153</v>
      </c>
      <c r="L6047" s="45" t="n">
        <f aca="false">DATE(YEAR(B6047),MONTH(B6047),1)</f>
        <v>46266</v>
      </c>
      <c r="M6047" s="31" t="n">
        <f aca="false">WEEKDAY(B6047,2)</f>
        <v>6</v>
      </c>
      <c r="N6047" s="31" t="str">
        <f aca="false">IF(G6047&lt;=INDEX(Assumptions!$B$15:$B$18,MATCH(E6047,Assumptions!$A$15:$A$18,0)),"Yes","No")</f>
        <v>Yes</v>
      </c>
      <c r="O6047" s="31" t="str">
        <f aca="false">IF(H6047="","Open",IF(H6047&lt;=INDEX(Assumptions!$C$15:$C$18,MATCH(E6047,Assumptions!$A$15:$A$18,0)),"Yes","No"))</f>
        <v>Yes</v>
      </c>
    </row>
    <row r="6048" customFormat="false" ht="15" hidden="false" customHeight="false" outlineLevel="0" collapsed="false">
      <c r="A6048" s="31" t="s">
        <v>6198</v>
      </c>
      <c r="B6048" s="44" t="n">
        <v>46284</v>
      </c>
      <c r="C6048" s="31" t="s">
        <v>60</v>
      </c>
      <c r="D6048" s="31" t="s">
        <v>66</v>
      </c>
      <c r="E6048" s="31" t="s">
        <v>51</v>
      </c>
      <c r="F6048" s="31" t="s">
        <v>117</v>
      </c>
      <c r="G6048" s="31" t="n">
        <v>1</v>
      </c>
      <c r="H6048" s="41" t="n">
        <v>2.6</v>
      </c>
      <c r="I6048" s="31" t="s">
        <v>149</v>
      </c>
      <c r="J6048" s="31"/>
      <c r="K6048" s="31" t="s">
        <v>150</v>
      </c>
      <c r="L6048" s="45" t="n">
        <f aca="false">DATE(YEAR(B6048),MONTH(B6048),1)</f>
        <v>46266</v>
      </c>
      <c r="M6048" s="31" t="n">
        <f aca="false">WEEKDAY(B6048,2)</f>
        <v>6</v>
      </c>
      <c r="N6048" s="31" t="str">
        <f aca="false">IF(G6048&lt;=INDEX(Assumptions!$B$15:$B$18,MATCH(E6048,Assumptions!$A$15:$A$18,0)),"Yes","No")</f>
        <v>Yes</v>
      </c>
      <c r="O6048" s="31" t="str">
        <f aca="false">IF(H6048="","Open",IF(H6048&lt;=INDEX(Assumptions!$C$15:$C$18,MATCH(E6048,Assumptions!$A$15:$A$18,0)),"Yes","No"))</f>
        <v>Yes</v>
      </c>
    </row>
    <row r="6049" customFormat="false" ht="15" hidden="false" customHeight="false" outlineLevel="0" collapsed="false">
      <c r="A6049" s="31" t="s">
        <v>6199</v>
      </c>
      <c r="B6049" s="44" t="n">
        <v>46284</v>
      </c>
      <c r="C6049" s="31" t="s">
        <v>59</v>
      </c>
      <c r="D6049" s="31" t="s">
        <v>68</v>
      </c>
      <c r="E6049" s="31" t="s">
        <v>51</v>
      </c>
      <c r="F6049" s="31" t="s">
        <v>121</v>
      </c>
      <c r="G6049" s="31" t="n">
        <v>93</v>
      </c>
      <c r="H6049" s="41" t="n">
        <v>19.9</v>
      </c>
      <c r="I6049" s="31" t="s">
        <v>149</v>
      </c>
      <c r="J6049" s="31" t="n">
        <v>4</v>
      </c>
      <c r="K6049" s="31" t="s">
        <v>150</v>
      </c>
      <c r="L6049" s="45" t="n">
        <f aca="false">DATE(YEAR(B6049),MONTH(B6049),1)</f>
        <v>46266</v>
      </c>
      <c r="M6049" s="31" t="n">
        <f aca="false">WEEKDAY(B6049,2)</f>
        <v>6</v>
      </c>
      <c r="N6049" s="31" t="str">
        <f aca="false">IF(G6049&lt;=INDEX(Assumptions!$B$15:$B$18,MATCH(E6049,Assumptions!$A$15:$A$18,0)),"Yes","No")</f>
        <v>No</v>
      </c>
      <c r="O6049" s="31" t="str">
        <f aca="false">IF(H6049="","Open",IF(H6049&lt;=INDEX(Assumptions!$C$15:$C$18,MATCH(E6049,Assumptions!$A$15:$A$18,0)),"Yes","No"))</f>
        <v>Yes</v>
      </c>
    </row>
    <row r="6050" customFormat="false" ht="15" hidden="false" customHeight="false" outlineLevel="0" collapsed="false">
      <c r="A6050" s="31" t="s">
        <v>6200</v>
      </c>
      <c r="B6050" s="44" t="n">
        <v>46284</v>
      </c>
      <c r="C6050" s="31" t="s">
        <v>59</v>
      </c>
      <c r="D6050" s="31" t="s">
        <v>65</v>
      </c>
      <c r="E6050" s="31" t="s">
        <v>51</v>
      </c>
      <c r="F6050" s="31" t="s">
        <v>129</v>
      </c>
      <c r="G6050" s="31" t="n">
        <v>32</v>
      </c>
      <c r="H6050" s="41" t="n">
        <v>4.4</v>
      </c>
      <c r="I6050" s="31" t="s">
        <v>149</v>
      </c>
      <c r="J6050" s="31" t="n">
        <v>4</v>
      </c>
      <c r="K6050" s="31" t="s">
        <v>150</v>
      </c>
      <c r="L6050" s="45" t="n">
        <f aca="false">DATE(YEAR(B6050),MONTH(B6050),1)</f>
        <v>46266</v>
      </c>
      <c r="M6050" s="31" t="n">
        <f aca="false">WEEKDAY(B6050,2)</f>
        <v>6</v>
      </c>
      <c r="N6050" s="31" t="str">
        <f aca="false">IF(G6050&lt;=INDEX(Assumptions!$B$15:$B$18,MATCH(E6050,Assumptions!$A$15:$A$18,0)),"Yes","No")</f>
        <v>Yes</v>
      </c>
      <c r="O6050" s="31" t="str">
        <f aca="false">IF(H6050="","Open",IF(H6050&lt;=INDEX(Assumptions!$C$15:$C$18,MATCH(E6050,Assumptions!$A$15:$A$18,0)),"Yes","No"))</f>
        <v>Yes</v>
      </c>
    </row>
    <row r="6051" customFormat="false" ht="15" hidden="false" customHeight="false" outlineLevel="0" collapsed="false">
      <c r="A6051" s="31" t="s">
        <v>6201</v>
      </c>
      <c r="B6051" s="44" t="n">
        <v>46284</v>
      </c>
      <c r="C6051" s="31" t="s">
        <v>60</v>
      </c>
      <c r="D6051" s="31" t="s">
        <v>66</v>
      </c>
      <c r="E6051" s="31" t="s">
        <v>51</v>
      </c>
      <c r="F6051" s="31" t="s">
        <v>129</v>
      </c>
      <c r="G6051" s="31" t="n">
        <v>4</v>
      </c>
      <c r="H6051" s="41" t="n">
        <v>7.7</v>
      </c>
      <c r="I6051" s="31" t="s">
        <v>149</v>
      </c>
      <c r="J6051" s="31" t="n">
        <v>5</v>
      </c>
      <c r="K6051" s="31" t="s">
        <v>150</v>
      </c>
      <c r="L6051" s="45" t="n">
        <f aca="false">DATE(YEAR(B6051),MONTH(B6051),1)</f>
        <v>46266</v>
      </c>
      <c r="M6051" s="31" t="n">
        <f aca="false">WEEKDAY(B6051,2)</f>
        <v>6</v>
      </c>
      <c r="N6051" s="31" t="str">
        <f aca="false">IF(G6051&lt;=INDEX(Assumptions!$B$15:$B$18,MATCH(E6051,Assumptions!$A$15:$A$18,0)),"Yes","No")</f>
        <v>Yes</v>
      </c>
      <c r="O6051" s="31" t="str">
        <f aca="false">IF(H6051="","Open",IF(H6051&lt;=INDEX(Assumptions!$C$15:$C$18,MATCH(E6051,Assumptions!$A$15:$A$18,0)),"Yes","No"))</f>
        <v>Yes</v>
      </c>
    </row>
    <row r="6052" customFormat="false" ht="15" hidden="false" customHeight="false" outlineLevel="0" collapsed="false">
      <c r="A6052" s="31" t="s">
        <v>6202</v>
      </c>
      <c r="B6052" s="44" t="n">
        <v>46284</v>
      </c>
      <c r="C6052" s="31" t="s">
        <v>59</v>
      </c>
      <c r="D6052" s="31" t="s">
        <v>67</v>
      </c>
      <c r="E6052" s="31" t="s">
        <v>52</v>
      </c>
      <c r="F6052" s="31" t="s">
        <v>128</v>
      </c>
      <c r="G6052" s="31" t="n">
        <v>179</v>
      </c>
      <c r="H6052" s="41" t="n">
        <v>28.5</v>
      </c>
      <c r="I6052" s="31" t="s">
        <v>149</v>
      </c>
      <c r="J6052" s="31" t="n">
        <v>4</v>
      </c>
      <c r="K6052" s="31" t="s">
        <v>150</v>
      </c>
      <c r="L6052" s="45" t="n">
        <f aca="false">DATE(YEAR(B6052),MONTH(B6052),1)</f>
        <v>46266</v>
      </c>
      <c r="M6052" s="31" t="n">
        <f aca="false">WEEKDAY(B6052,2)</f>
        <v>6</v>
      </c>
      <c r="N6052" s="31" t="str">
        <f aca="false">IF(G6052&lt;=INDEX(Assumptions!$B$15:$B$18,MATCH(E6052,Assumptions!$A$15:$A$18,0)),"Yes","No")</f>
        <v>Yes</v>
      </c>
      <c r="O6052" s="31" t="str">
        <f aca="false">IF(H6052="","Open",IF(H6052&lt;=INDEX(Assumptions!$C$15:$C$18,MATCH(E6052,Assumptions!$A$15:$A$18,0)),"Yes","No"))</f>
        <v>Yes</v>
      </c>
    </row>
    <row r="6053" customFormat="false" ht="15" hidden="false" customHeight="false" outlineLevel="0" collapsed="false">
      <c r="A6053" s="31" t="s">
        <v>6203</v>
      </c>
      <c r="B6053" s="44" t="n">
        <v>46284</v>
      </c>
      <c r="C6053" s="31" t="s">
        <v>60</v>
      </c>
      <c r="D6053" s="31" t="s">
        <v>67</v>
      </c>
      <c r="E6053" s="31" t="s">
        <v>52</v>
      </c>
      <c r="F6053" s="31" t="s">
        <v>117</v>
      </c>
      <c r="G6053" s="31" t="n">
        <v>3</v>
      </c>
      <c r="H6053" s="41" t="n">
        <v>23.6</v>
      </c>
      <c r="I6053" s="31" t="s">
        <v>149</v>
      </c>
      <c r="J6053" s="31" t="n">
        <v>4</v>
      </c>
      <c r="K6053" s="31" t="s">
        <v>150</v>
      </c>
      <c r="L6053" s="45" t="n">
        <f aca="false">DATE(YEAR(B6053),MONTH(B6053),1)</f>
        <v>46266</v>
      </c>
      <c r="M6053" s="31" t="n">
        <f aca="false">WEEKDAY(B6053,2)</f>
        <v>6</v>
      </c>
      <c r="N6053" s="31" t="str">
        <f aca="false">IF(G6053&lt;=INDEX(Assumptions!$B$15:$B$18,MATCH(E6053,Assumptions!$A$15:$A$18,0)),"Yes","No")</f>
        <v>Yes</v>
      </c>
      <c r="O6053" s="31" t="str">
        <f aca="false">IF(H6053="","Open",IF(H6053&lt;=INDEX(Assumptions!$C$15:$C$18,MATCH(E6053,Assumptions!$A$15:$A$18,0)),"Yes","No"))</f>
        <v>Yes</v>
      </c>
    </row>
    <row r="6054" customFormat="false" ht="15" hidden="false" customHeight="false" outlineLevel="0" collapsed="false">
      <c r="A6054" s="31" t="s">
        <v>6204</v>
      </c>
      <c r="B6054" s="44" t="n">
        <v>46284</v>
      </c>
      <c r="C6054" s="31" t="s">
        <v>59</v>
      </c>
      <c r="D6054" s="31" t="s">
        <v>67</v>
      </c>
      <c r="E6054" s="31" t="s">
        <v>51</v>
      </c>
      <c r="F6054" s="31" t="s">
        <v>136</v>
      </c>
      <c r="G6054" s="31" t="n">
        <v>32</v>
      </c>
      <c r="H6054" s="41" t="n">
        <v>5.5</v>
      </c>
      <c r="I6054" s="31" t="s">
        <v>149</v>
      </c>
      <c r="J6054" s="31" t="n">
        <v>5</v>
      </c>
      <c r="K6054" s="31" t="s">
        <v>150</v>
      </c>
      <c r="L6054" s="45" t="n">
        <f aca="false">DATE(YEAR(B6054),MONTH(B6054),1)</f>
        <v>46266</v>
      </c>
      <c r="M6054" s="31" t="n">
        <f aca="false">WEEKDAY(B6054,2)</f>
        <v>6</v>
      </c>
      <c r="N6054" s="31" t="str">
        <f aca="false">IF(G6054&lt;=INDEX(Assumptions!$B$15:$B$18,MATCH(E6054,Assumptions!$A$15:$A$18,0)),"Yes","No")</f>
        <v>Yes</v>
      </c>
      <c r="O6054" s="31" t="str">
        <f aca="false">IF(H6054="","Open",IF(H6054&lt;=INDEX(Assumptions!$C$15:$C$18,MATCH(E6054,Assumptions!$A$15:$A$18,0)),"Yes","No"))</f>
        <v>Yes</v>
      </c>
    </row>
    <row r="6055" customFormat="false" ht="15" hidden="false" customHeight="false" outlineLevel="0" collapsed="false">
      <c r="A6055" s="31" t="s">
        <v>6205</v>
      </c>
      <c r="B6055" s="44" t="n">
        <v>46284</v>
      </c>
      <c r="C6055" s="31" t="s">
        <v>57</v>
      </c>
      <c r="D6055" s="31" t="s">
        <v>67</v>
      </c>
      <c r="E6055" s="31" t="s">
        <v>51</v>
      </c>
      <c r="F6055" s="31" t="s">
        <v>119</v>
      </c>
      <c r="G6055" s="31" t="n">
        <v>4</v>
      </c>
      <c r="H6055" s="41" t="n">
        <v>7.3</v>
      </c>
      <c r="I6055" s="31" t="s">
        <v>149</v>
      </c>
      <c r="J6055" s="31" t="n">
        <v>4</v>
      </c>
      <c r="K6055" s="31" t="s">
        <v>150</v>
      </c>
      <c r="L6055" s="45" t="n">
        <f aca="false">DATE(YEAR(B6055),MONTH(B6055),1)</f>
        <v>46266</v>
      </c>
      <c r="M6055" s="31" t="n">
        <f aca="false">WEEKDAY(B6055,2)</f>
        <v>6</v>
      </c>
      <c r="N6055" s="31" t="str">
        <f aca="false">IF(G6055&lt;=INDEX(Assumptions!$B$15:$B$18,MATCH(E6055,Assumptions!$A$15:$A$18,0)),"Yes","No")</f>
        <v>Yes</v>
      </c>
      <c r="O6055" s="31" t="str">
        <f aca="false">IF(H6055="","Open",IF(H6055&lt;=INDEX(Assumptions!$C$15:$C$18,MATCH(E6055,Assumptions!$A$15:$A$18,0)),"Yes","No"))</f>
        <v>Yes</v>
      </c>
    </row>
    <row r="6056" customFormat="false" ht="15" hidden="false" customHeight="false" outlineLevel="0" collapsed="false">
      <c r="A6056" s="31" t="s">
        <v>6206</v>
      </c>
      <c r="B6056" s="44" t="n">
        <v>46284</v>
      </c>
      <c r="C6056" s="31" t="s">
        <v>59</v>
      </c>
      <c r="D6056" s="31" t="s">
        <v>67</v>
      </c>
      <c r="E6056" s="31" t="s">
        <v>52</v>
      </c>
      <c r="F6056" s="31" t="s">
        <v>127</v>
      </c>
      <c r="G6056" s="31" t="n">
        <v>83</v>
      </c>
      <c r="H6056" s="41" t="n">
        <v>5.6</v>
      </c>
      <c r="I6056" s="31" t="s">
        <v>149</v>
      </c>
      <c r="J6056" s="31" t="n">
        <v>4</v>
      </c>
      <c r="K6056" s="31" t="s">
        <v>150</v>
      </c>
      <c r="L6056" s="45" t="n">
        <f aca="false">DATE(YEAR(B6056),MONTH(B6056),1)</f>
        <v>46266</v>
      </c>
      <c r="M6056" s="31" t="n">
        <f aca="false">WEEKDAY(B6056,2)</f>
        <v>6</v>
      </c>
      <c r="N6056" s="31" t="str">
        <f aca="false">IF(G6056&lt;=INDEX(Assumptions!$B$15:$B$18,MATCH(E6056,Assumptions!$A$15:$A$18,0)),"Yes","No")</f>
        <v>Yes</v>
      </c>
      <c r="O6056" s="31" t="str">
        <f aca="false">IF(H6056="","Open",IF(H6056&lt;=INDEX(Assumptions!$C$15:$C$18,MATCH(E6056,Assumptions!$A$15:$A$18,0)),"Yes","No"))</f>
        <v>Yes</v>
      </c>
    </row>
    <row r="6057" customFormat="false" ht="15" hidden="false" customHeight="false" outlineLevel="0" collapsed="false">
      <c r="A6057" s="31" t="s">
        <v>6207</v>
      </c>
      <c r="B6057" s="44" t="n">
        <v>46284</v>
      </c>
      <c r="C6057" s="31" t="s">
        <v>60</v>
      </c>
      <c r="D6057" s="31" t="s">
        <v>66</v>
      </c>
      <c r="E6057" s="31" t="s">
        <v>52</v>
      </c>
      <c r="F6057" s="31" t="s">
        <v>128</v>
      </c>
      <c r="G6057" s="31" t="n">
        <v>4</v>
      </c>
      <c r="H6057" s="41" t="n">
        <v>47.4</v>
      </c>
      <c r="I6057" s="31" t="s">
        <v>64</v>
      </c>
      <c r="J6057" s="31"/>
      <c r="K6057" s="31" t="s">
        <v>150</v>
      </c>
      <c r="L6057" s="45" t="n">
        <f aca="false">DATE(YEAR(B6057),MONTH(B6057),1)</f>
        <v>46266</v>
      </c>
      <c r="M6057" s="31" t="n">
        <f aca="false">WEEKDAY(B6057,2)</f>
        <v>6</v>
      </c>
      <c r="N6057" s="31" t="str">
        <f aca="false">IF(G6057&lt;=INDEX(Assumptions!$B$15:$B$18,MATCH(E6057,Assumptions!$A$15:$A$18,0)),"Yes","No")</f>
        <v>Yes</v>
      </c>
      <c r="O6057" s="31" t="str">
        <f aca="false">IF(H6057="","Open",IF(H6057&lt;=INDEX(Assumptions!$C$15:$C$18,MATCH(E6057,Assumptions!$A$15:$A$18,0)),"Yes","No"))</f>
        <v>Yes</v>
      </c>
    </row>
    <row r="6058" customFormat="false" ht="15" hidden="false" customHeight="false" outlineLevel="0" collapsed="false">
      <c r="A6058" s="31" t="s">
        <v>6208</v>
      </c>
      <c r="B6058" s="44" t="n">
        <v>46284</v>
      </c>
      <c r="C6058" s="31" t="s">
        <v>60</v>
      </c>
      <c r="D6058" s="31" t="s">
        <v>65</v>
      </c>
      <c r="E6058" s="31" t="s">
        <v>51</v>
      </c>
      <c r="F6058" s="31" t="s">
        <v>128</v>
      </c>
      <c r="G6058" s="31" t="n">
        <v>9</v>
      </c>
      <c r="H6058" s="41" t="n">
        <v>9.9</v>
      </c>
      <c r="I6058" s="31" t="s">
        <v>149</v>
      </c>
      <c r="J6058" s="31" t="n">
        <v>5</v>
      </c>
      <c r="K6058" s="31" t="s">
        <v>150</v>
      </c>
      <c r="L6058" s="45" t="n">
        <f aca="false">DATE(YEAR(B6058),MONTH(B6058),1)</f>
        <v>46266</v>
      </c>
      <c r="M6058" s="31" t="n">
        <f aca="false">WEEKDAY(B6058,2)</f>
        <v>6</v>
      </c>
      <c r="N6058" s="31" t="str">
        <f aca="false">IF(G6058&lt;=INDEX(Assumptions!$B$15:$B$18,MATCH(E6058,Assumptions!$A$15:$A$18,0)),"Yes","No")</f>
        <v>Yes</v>
      </c>
      <c r="O6058" s="31" t="str">
        <f aca="false">IF(H6058="","Open",IF(H6058&lt;=INDEX(Assumptions!$C$15:$C$18,MATCH(E6058,Assumptions!$A$15:$A$18,0)),"Yes","No"))</f>
        <v>Yes</v>
      </c>
    </row>
    <row r="6059" customFormat="false" ht="15" hidden="false" customHeight="false" outlineLevel="0" collapsed="false">
      <c r="A6059" s="31" t="s">
        <v>6209</v>
      </c>
      <c r="B6059" s="44" t="n">
        <v>46284</v>
      </c>
      <c r="C6059" s="31" t="s">
        <v>59</v>
      </c>
      <c r="D6059" s="31" t="s">
        <v>67</v>
      </c>
      <c r="E6059" s="31" t="s">
        <v>51</v>
      </c>
      <c r="F6059" s="31" t="s">
        <v>123</v>
      </c>
      <c r="G6059" s="31" t="n">
        <v>132</v>
      </c>
      <c r="H6059" s="41" t="n">
        <v>6.2</v>
      </c>
      <c r="I6059" s="31" t="s">
        <v>149</v>
      </c>
      <c r="J6059" s="31" t="n">
        <v>3</v>
      </c>
      <c r="K6059" s="31" t="s">
        <v>150</v>
      </c>
      <c r="L6059" s="45" t="n">
        <f aca="false">DATE(YEAR(B6059),MONTH(B6059),1)</f>
        <v>46266</v>
      </c>
      <c r="M6059" s="31" t="n">
        <f aca="false">WEEKDAY(B6059,2)</f>
        <v>6</v>
      </c>
      <c r="N6059" s="31" t="str">
        <f aca="false">IF(G6059&lt;=INDEX(Assumptions!$B$15:$B$18,MATCH(E6059,Assumptions!$A$15:$A$18,0)),"Yes","No")</f>
        <v>No</v>
      </c>
      <c r="O6059" s="31" t="str">
        <f aca="false">IF(H6059="","Open",IF(H6059&lt;=INDEX(Assumptions!$C$15:$C$18,MATCH(E6059,Assumptions!$A$15:$A$18,0)),"Yes","No"))</f>
        <v>Yes</v>
      </c>
    </row>
    <row r="6060" customFormat="false" ht="15" hidden="false" customHeight="false" outlineLevel="0" collapsed="false">
      <c r="A6060" s="31" t="s">
        <v>6210</v>
      </c>
      <c r="B6060" s="44" t="n">
        <v>46284</v>
      </c>
      <c r="C6060" s="31" t="s">
        <v>60</v>
      </c>
      <c r="D6060" s="31" t="s">
        <v>65</v>
      </c>
      <c r="E6060" s="31" t="s">
        <v>51</v>
      </c>
      <c r="F6060" s="31" t="s">
        <v>137</v>
      </c>
      <c r="G6060" s="31" t="n">
        <v>1</v>
      </c>
      <c r="H6060" s="41" t="n">
        <v>12.6</v>
      </c>
      <c r="I6060" s="31" t="s">
        <v>149</v>
      </c>
      <c r="J6060" s="31"/>
      <c r="K6060" s="31" t="s">
        <v>150</v>
      </c>
      <c r="L6060" s="45" t="n">
        <f aca="false">DATE(YEAR(B6060),MONTH(B6060),1)</f>
        <v>46266</v>
      </c>
      <c r="M6060" s="31" t="n">
        <f aca="false">WEEKDAY(B6060,2)</f>
        <v>6</v>
      </c>
      <c r="N6060" s="31" t="str">
        <f aca="false">IF(G6060&lt;=INDEX(Assumptions!$B$15:$B$18,MATCH(E6060,Assumptions!$A$15:$A$18,0)),"Yes","No")</f>
        <v>Yes</v>
      </c>
      <c r="O6060" s="31" t="str">
        <f aca="false">IF(H6060="","Open",IF(H6060&lt;=INDEX(Assumptions!$C$15:$C$18,MATCH(E6060,Assumptions!$A$15:$A$18,0)),"Yes","No"))</f>
        <v>Yes</v>
      </c>
    </row>
    <row r="6061" customFormat="false" ht="15" hidden="false" customHeight="false" outlineLevel="0" collapsed="false">
      <c r="A6061" s="31" t="s">
        <v>6211</v>
      </c>
      <c r="B6061" s="44" t="n">
        <v>46285</v>
      </c>
      <c r="C6061" s="31" t="s">
        <v>57</v>
      </c>
      <c r="D6061" s="31" t="s">
        <v>66</v>
      </c>
      <c r="E6061" s="31" t="s">
        <v>51</v>
      </c>
      <c r="F6061" s="31" t="s">
        <v>136</v>
      </c>
      <c r="G6061" s="31" t="n">
        <v>2</v>
      </c>
      <c r="H6061" s="41"/>
      <c r="I6061" s="31" t="s">
        <v>158</v>
      </c>
      <c r="J6061" s="31"/>
      <c r="K6061" s="31" t="s">
        <v>150</v>
      </c>
      <c r="L6061" s="45" t="n">
        <f aca="false">DATE(YEAR(B6061),MONTH(B6061),1)</f>
        <v>46266</v>
      </c>
      <c r="M6061" s="31" t="n">
        <f aca="false">WEEKDAY(B6061,2)</f>
        <v>7</v>
      </c>
      <c r="N6061" s="31" t="str">
        <f aca="false">IF(G6061&lt;=INDEX(Assumptions!$B$15:$B$18,MATCH(E6061,Assumptions!$A$15:$A$18,0)),"Yes","No")</f>
        <v>Yes</v>
      </c>
      <c r="O6061" s="31" t="str">
        <f aca="false">IF(H6061="","Open",IF(H6061&lt;=INDEX(Assumptions!$C$15:$C$18,MATCH(E6061,Assumptions!$A$15:$A$18,0)),"Yes","No"))</f>
        <v>Open</v>
      </c>
    </row>
    <row r="6062" customFormat="false" ht="15" hidden="false" customHeight="false" outlineLevel="0" collapsed="false">
      <c r="A6062" s="31" t="s">
        <v>6212</v>
      </c>
      <c r="B6062" s="44" t="n">
        <v>46285</v>
      </c>
      <c r="C6062" s="31" t="s">
        <v>60</v>
      </c>
      <c r="D6062" s="31" t="s">
        <v>66</v>
      </c>
      <c r="E6062" s="31" t="s">
        <v>52</v>
      </c>
      <c r="F6062" s="31" t="s">
        <v>126</v>
      </c>
      <c r="G6062" s="31" t="n">
        <v>1</v>
      </c>
      <c r="H6062" s="41" t="n">
        <v>21</v>
      </c>
      <c r="I6062" s="31" t="s">
        <v>64</v>
      </c>
      <c r="J6062" s="31"/>
      <c r="K6062" s="31" t="s">
        <v>150</v>
      </c>
      <c r="L6062" s="45" t="n">
        <f aca="false">DATE(YEAR(B6062),MONTH(B6062),1)</f>
        <v>46266</v>
      </c>
      <c r="M6062" s="31" t="n">
        <f aca="false">WEEKDAY(B6062,2)</f>
        <v>7</v>
      </c>
      <c r="N6062" s="31" t="str">
        <f aca="false">IF(G6062&lt;=INDEX(Assumptions!$B$15:$B$18,MATCH(E6062,Assumptions!$A$15:$A$18,0)),"Yes","No")</f>
        <v>Yes</v>
      </c>
      <c r="O6062" s="31" t="str">
        <f aca="false">IF(H6062="","Open",IF(H6062&lt;=INDEX(Assumptions!$C$15:$C$18,MATCH(E6062,Assumptions!$A$15:$A$18,0)),"Yes","No"))</f>
        <v>Yes</v>
      </c>
    </row>
    <row r="6063" customFormat="false" ht="15" hidden="false" customHeight="false" outlineLevel="0" collapsed="false">
      <c r="A6063" s="31" t="s">
        <v>6213</v>
      </c>
      <c r="B6063" s="44" t="n">
        <v>46285</v>
      </c>
      <c r="C6063" s="31" t="s">
        <v>60</v>
      </c>
      <c r="D6063" s="31" t="s">
        <v>66</v>
      </c>
      <c r="E6063" s="31" t="s">
        <v>51</v>
      </c>
      <c r="F6063" s="31" t="s">
        <v>131</v>
      </c>
      <c r="G6063" s="31" t="n">
        <v>2</v>
      </c>
      <c r="H6063" s="41" t="n">
        <v>1.7</v>
      </c>
      <c r="I6063" s="31" t="s">
        <v>149</v>
      </c>
      <c r="J6063" s="31" t="n">
        <v>4</v>
      </c>
      <c r="K6063" s="31" t="s">
        <v>150</v>
      </c>
      <c r="L6063" s="45" t="n">
        <f aca="false">DATE(YEAR(B6063),MONTH(B6063),1)</f>
        <v>46266</v>
      </c>
      <c r="M6063" s="31" t="n">
        <f aca="false">WEEKDAY(B6063,2)</f>
        <v>7</v>
      </c>
      <c r="N6063" s="31" t="str">
        <f aca="false">IF(G6063&lt;=INDEX(Assumptions!$B$15:$B$18,MATCH(E6063,Assumptions!$A$15:$A$18,0)),"Yes","No")</f>
        <v>Yes</v>
      </c>
      <c r="O6063" s="31" t="str">
        <f aca="false">IF(H6063="","Open",IF(H6063&lt;=INDEX(Assumptions!$C$15:$C$18,MATCH(E6063,Assumptions!$A$15:$A$18,0)),"Yes","No"))</f>
        <v>Yes</v>
      </c>
    </row>
    <row r="6064" customFormat="false" ht="15" hidden="false" customHeight="false" outlineLevel="0" collapsed="false">
      <c r="A6064" s="31" t="s">
        <v>6214</v>
      </c>
      <c r="B6064" s="44" t="n">
        <v>46285</v>
      </c>
      <c r="C6064" s="31" t="s">
        <v>58</v>
      </c>
      <c r="D6064" s="31" t="s">
        <v>65</v>
      </c>
      <c r="E6064" s="31" t="s">
        <v>51</v>
      </c>
      <c r="F6064" s="31" t="s">
        <v>130</v>
      </c>
      <c r="G6064" s="31" t="n">
        <v>4</v>
      </c>
      <c r="H6064" s="41"/>
      <c r="I6064" s="31" t="s">
        <v>158</v>
      </c>
      <c r="J6064" s="31"/>
      <c r="K6064" s="31" t="s">
        <v>150</v>
      </c>
      <c r="L6064" s="45" t="n">
        <f aca="false">DATE(YEAR(B6064),MONTH(B6064),1)</f>
        <v>46266</v>
      </c>
      <c r="M6064" s="31" t="n">
        <f aca="false">WEEKDAY(B6064,2)</f>
        <v>7</v>
      </c>
      <c r="N6064" s="31" t="str">
        <f aca="false">IF(G6064&lt;=INDEX(Assumptions!$B$15:$B$18,MATCH(E6064,Assumptions!$A$15:$A$18,0)),"Yes","No")</f>
        <v>Yes</v>
      </c>
      <c r="O6064" s="31" t="str">
        <f aca="false">IF(H6064="","Open",IF(H6064&lt;=INDEX(Assumptions!$C$15:$C$18,MATCH(E6064,Assumptions!$A$15:$A$18,0)),"Yes","No"))</f>
        <v>Open</v>
      </c>
    </row>
    <row r="6065" customFormat="false" ht="15" hidden="false" customHeight="false" outlineLevel="0" collapsed="false">
      <c r="A6065" s="31" t="s">
        <v>6215</v>
      </c>
      <c r="B6065" s="44" t="n">
        <v>46285</v>
      </c>
      <c r="C6065" s="31" t="s">
        <v>60</v>
      </c>
      <c r="D6065" s="31" t="s">
        <v>66</v>
      </c>
      <c r="E6065" s="31" t="s">
        <v>52</v>
      </c>
      <c r="F6065" s="31" t="s">
        <v>130</v>
      </c>
      <c r="G6065" s="31" t="n">
        <v>2</v>
      </c>
      <c r="H6065" s="41" t="n">
        <v>14.9</v>
      </c>
      <c r="I6065" s="31" t="s">
        <v>149</v>
      </c>
      <c r="J6065" s="31" t="n">
        <v>4</v>
      </c>
      <c r="K6065" s="31" t="s">
        <v>150</v>
      </c>
      <c r="L6065" s="45" t="n">
        <f aca="false">DATE(YEAR(B6065),MONTH(B6065),1)</f>
        <v>46266</v>
      </c>
      <c r="M6065" s="31" t="n">
        <f aca="false">WEEKDAY(B6065,2)</f>
        <v>7</v>
      </c>
      <c r="N6065" s="31" t="str">
        <f aca="false">IF(G6065&lt;=INDEX(Assumptions!$B$15:$B$18,MATCH(E6065,Assumptions!$A$15:$A$18,0)),"Yes","No")</f>
        <v>Yes</v>
      </c>
      <c r="O6065" s="31" t="str">
        <f aca="false">IF(H6065="","Open",IF(H6065&lt;=INDEX(Assumptions!$C$15:$C$18,MATCH(E6065,Assumptions!$A$15:$A$18,0)),"Yes","No"))</f>
        <v>Yes</v>
      </c>
    </row>
    <row r="6066" customFormat="false" ht="15" hidden="false" customHeight="false" outlineLevel="0" collapsed="false">
      <c r="A6066" s="31" t="s">
        <v>6216</v>
      </c>
      <c r="B6066" s="44" t="n">
        <v>46285</v>
      </c>
      <c r="C6066" s="31" t="s">
        <v>57</v>
      </c>
      <c r="D6066" s="31" t="s">
        <v>69</v>
      </c>
      <c r="E6066" s="31" t="s">
        <v>51</v>
      </c>
      <c r="F6066" s="31" t="s">
        <v>129</v>
      </c>
      <c r="G6066" s="31" t="n">
        <v>3</v>
      </c>
      <c r="H6066" s="41"/>
      <c r="I6066" s="31" t="s">
        <v>158</v>
      </c>
      <c r="J6066" s="31"/>
      <c r="K6066" s="31" t="s">
        <v>150</v>
      </c>
      <c r="L6066" s="45" t="n">
        <f aca="false">DATE(YEAR(B6066),MONTH(B6066),1)</f>
        <v>46266</v>
      </c>
      <c r="M6066" s="31" t="n">
        <f aca="false">WEEKDAY(B6066,2)</f>
        <v>7</v>
      </c>
      <c r="N6066" s="31" t="str">
        <f aca="false">IF(G6066&lt;=INDEX(Assumptions!$B$15:$B$18,MATCH(E6066,Assumptions!$A$15:$A$18,0)),"Yes","No")</f>
        <v>Yes</v>
      </c>
      <c r="O6066" s="31" t="str">
        <f aca="false">IF(H6066="","Open",IF(H6066&lt;=INDEX(Assumptions!$C$15:$C$18,MATCH(E6066,Assumptions!$A$15:$A$18,0)),"Yes","No"))</f>
        <v>Open</v>
      </c>
    </row>
    <row r="6067" customFormat="false" ht="15" hidden="false" customHeight="false" outlineLevel="0" collapsed="false">
      <c r="A6067" s="31" t="s">
        <v>6217</v>
      </c>
      <c r="B6067" s="44" t="n">
        <v>46285</v>
      </c>
      <c r="C6067" s="31" t="s">
        <v>58</v>
      </c>
      <c r="D6067" s="31" t="s">
        <v>66</v>
      </c>
      <c r="E6067" s="31" t="s">
        <v>51</v>
      </c>
      <c r="F6067" s="31" t="s">
        <v>121</v>
      </c>
      <c r="G6067" s="31" t="n">
        <v>24</v>
      </c>
      <c r="H6067" s="41"/>
      <c r="I6067" s="31" t="s">
        <v>158</v>
      </c>
      <c r="J6067" s="31"/>
      <c r="K6067" s="31" t="s">
        <v>150</v>
      </c>
      <c r="L6067" s="45" t="n">
        <f aca="false">DATE(YEAR(B6067),MONTH(B6067),1)</f>
        <v>46266</v>
      </c>
      <c r="M6067" s="31" t="n">
        <f aca="false">WEEKDAY(B6067,2)</f>
        <v>7</v>
      </c>
      <c r="N6067" s="31" t="str">
        <f aca="false">IF(G6067&lt;=INDEX(Assumptions!$B$15:$B$18,MATCH(E6067,Assumptions!$A$15:$A$18,0)),"Yes","No")</f>
        <v>Yes</v>
      </c>
      <c r="O6067" s="31" t="str">
        <f aca="false">IF(H6067="","Open",IF(H6067&lt;=INDEX(Assumptions!$C$15:$C$18,MATCH(E6067,Assumptions!$A$15:$A$18,0)),"Yes","No"))</f>
        <v>Open</v>
      </c>
    </row>
    <row r="6068" customFormat="false" ht="15" hidden="false" customHeight="false" outlineLevel="0" collapsed="false">
      <c r="A6068" s="31" t="s">
        <v>6218</v>
      </c>
      <c r="B6068" s="44" t="n">
        <v>46285</v>
      </c>
      <c r="C6068" s="31" t="s">
        <v>60</v>
      </c>
      <c r="D6068" s="31" t="s">
        <v>69</v>
      </c>
      <c r="E6068" s="31" t="s">
        <v>50</v>
      </c>
      <c r="F6068" s="31" t="s">
        <v>127</v>
      </c>
      <c r="G6068" s="31" t="n">
        <v>1</v>
      </c>
      <c r="H6068" s="41"/>
      <c r="I6068" s="31" t="s">
        <v>158</v>
      </c>
      <c r="J6068" s="31"/>
      <c r="K6068" s="31" t="s">
        <v>150</v>
      </c>
      <c r="L6068" s="45" t="n">
        <f aca="false">DATE(YEAR(B6068),MONTH(B6068),1)</f>
        <v>46266</v>
      </c>
      <c r="M6068" s="31" t="n">
        <f aca="false">WEEKDAY(B6068,2)</f>
        <v>7</v>
      </c>
      <c r="N6068" s="31" t="str">
        <f aca="false">IF(G6068&lt;=INDEX(Assumptions!$B$15:$B$18,MATCH(E6068,Assumptions!$A$15:$A$18,0)),"Yes","No")</f>
        <v>Yes</v>
      </c>
      <c r="O6068" s="31" t="str">
        <f aca="false">IF(H6068="","Open",IF(H6068&lt;=INDEX(Assumptions!$C$15:$C$18,MATCH(E6068,Assumptions!$A$15:$A$18,0)),"Yes","No"))</f>
        <v>Open</v>
      </c>
    </row>
    <row r="6069" customFormat="false" ht="15" hidden="false" customHeight="false" outlineLevel="0" collapsed="false">
      <c r="A6069" s="31" t="s">
        <v>6219</v>
      </c>
      <c r="B6069" s="44" t="n">
        <v>46285</v>
      </c>
      <c r="C6069" s="31" t="s">
        <v>57</v>
      </c>
      <c r="D6069" s="31" t="s">
        <v>65</v>
      </c>
      <c r="E6069" s="31" t="s">
        <v>52</v>
      </c>
      <c r="F6069" s="31" t="s">
        <v>130</v>
      </c>
      <c r="G6069" s="31" t="n">
        <v>3</v>
      </c>
      <c r="H6069" s="41" t="n">
        <v>14.8</v>
      </c>
      <c r="I6069" s="31" t="s">
        <v>149</v>
      </c>
      <c r="J6069" s="31"/>
      <c r="K6069" s="31" t="s">
        <v>150</v>
      </c>
      <c r="L6069" s="45" t="n">
        <f aca="false">DATE(YEAR(B6069),MONTH(B6069),1)</f>
        <v>46266</v>
      </c>
      <c r="M6069" s="31" t="n">
        <f aca="false">WEEKDAY(B6069,2)</f>
        <v>7</v>
      </c>
      <c r="N6069" s="31" t="str">
        <f aca="false">IF(G6069&lt;=INDEX(Assumptions!$B$15:$B$18,MATCH(E6069,Assumptions!$A$15:$A$18,0)),"Yes","No")</f>
        <v>Yes</v>
      </c>
      <c r="O6069" s="31" t="str">
        <f aca="false">IF(H6069="","Open",IF(H6069&lt;=INDEX(Assumptions!$C$15:$C$18,MATCH(E6069,Assumptions!$A$15:$A$18,0)),"Yes","No"))</f>
        <v>Yes</v>
      </c>
    </row>
    <row r="6070" customFormat="false" ht="15" hidden="false" customHeight="false" outlineLevel="0" collapsed="false">
      <c r="A6070" s="31" t="s">
        <v>6220</v>
      </c>
      <c r="B6070" s="44" t="n">
        <v>46285</v>
      </c>
      <c r="C6070" s="31" t="s">
        <v>59</v>
      </c>
      <c r="D6070" s="31" t="s">
        <v>65</v>
      </c>
      <c r="E6070" s="31" t="s">
        <v>51</v>
      </c>
      <c r="F6070" s="31" t="s">
        <v>126</v>
      </c>
      <c r="G6070" s="31" t="n">
        <v>31</v>
      </c>
      <c r="H6070" s="41"/>
      <c r="I6070" s="31" t="s">
        <v>158</v>
      </c>
      <c r="J6070" s="31"/>
      <c r="K6070" s="31" t="s">
        <v>150</v>
      </c>
      <c r="L6070" s="45" t="n">
        <f aca="false">DATE(YEAR(B6070),MONTH(B6070),1)</f>
        <v>46266</v>
      </c>
      <c r="M6070" s="31" t="n">
        <f aca="false">WEEKDAY(B6070,2)</f>
        <v>7</v>
      </c>
      <c r="N6070" s="31" t="str">
        <f aca="false">IF(G6070&lt;=INDEX(Assumptions!$B$15:$B$18,MATCH(E6070,Assumptions!$A$15:$A$18,0)),"Yes","No")</f>
        <v>Yes</v>
      </c>
      <c r="O6070" s="31" t="str">
        <f aca="false">IF(H6070="","Open",IF(H6070&lt;=INDEX(Assumptions!$C$15:$C$18,MATCH(E6070,Assumptions!$A$15:$A$18,0)),"Yes","No"))</f>
        <v>Open</v>
      </c>
    </row>
    <row r="6071" customFormat="false" ht="15" hidden="false" customHeight="false" outlineLevel="0" collapsed="false">
      <c r="A6071" s="31" t="s">
        <v>6221</v>
      </c>
      <c r="B6071" s="44" t="n">
        <v>46285</v>
      </c>
      <c r="C6071" s="31" t="s">
        <v>59</v>
      </c>
      <c r="D6071" s="31" t="s">
        <v>67</v>
      </c>
      <c r="E6071" s="31" t="s">
        <v>52</v>
      </c>
      <c r="F6071" s="31" t="s">
        <v>134</v>
      </c>
      <c r="G6071" s="31" t="n">
        <v>114</v>
      </c>
      <c r="H6071" s="41" t="n">
        <v>44.8</v>
      </c>
      <c r="I6071" s="31" t="s">
        <v>149</v>
      </c>
      <c r="J6071" s="31" t="n">
        <v>4</v>
      </c>
      <c r="K6071" s="31" t="s">
        <v>150</v>
      </c>
      <c r="L6071" s="45" t="n">
        <f aca="false">DATE(YEAR(B6071),MONTH(B6071),1)</f>
        <v>46266</v>
      </c>
      <c r="M6071" s="31" t="n">
        <f aca="false">WEEKDAY(B6071,2)</f>
        <v>7</v>
      </c>
      <c r="N6071" s="31" t="str">
        <f aca="false">IF(G6071&lt;=INDEX(Assumptions!$B$15:$B$18,MATCH(E6071,Assumptions!$A$15:$A$18,0)),"Yes","No")</f>
        <v>Yes</v>
      </c>
      <c r="O6071" s="31" t="str">
        <f aca="false">IF(H6071="","Open",IF(H6071&lt;=INDEX(Assumptions!$C$15:$C$18,MATCH(E6071,Assumptions!$A$15:$A$18,0)),"Yes","No"))</f>
        <v>Yes</v>
      </c>
    </row>
    <row r="6072" customFormat="false" ht="15" hidden="false" customHeight="false" outlineLevel="0" collapsed="false">
      <c r="A6072" s="31" t="s">
        <v>6222</v>
      </c>
      <c r="B6072" s="44" t="n">
        <v>46285</v>
      </c>
      <c r="C6072" s="31" t="s">
        <v>60</v>
      </c>
      <c r="D6072" s="31" t="s">
        <v>68</v>
      </c>
      <c r="E6072" s="31" t="s">
        <v>51</v>
      </c>
      <c r="F6072" s="31" t="s">
        <v>133</v>
      </c>
      <c r="G6072" s="31" t="n">
        <v>2</v>
      </c>
      <c r="H6072" s="41" t="n">
        <v>1.2</v>
      </c>
      <c r="I6072" s="31" t="s">
        <v>149</v>
      </c>
      <c r="J6072" s="31"/>
      <c r="K6072" s="31" t="s">
        <v>153</v>
      </c>
      <c r="L6072" s="45" t="n">
        <f aca="false">DATE(YEAR(B6072),MONTH(B6072),1)</f>
        <v>46266</v>
      </c>
      <c r="M6072" s="31" t="n">
        <f aca="false">WEEKDAY(B6072,2)</f>
        <v>7</v>
      </c>
      <c r="N6072" s="31" t="str">
        <f aca="false">IF(G6072&lt;=INDEX(Assumptions!$B$15:$B$18,MATCH(E6072,Assumptions!$A$15:$A$18,0)),"Yes","No")</f>
        <v>Yes</v>
      </c>
      <c r="O6072" s="31" t="str">
        <f aca="false">IF(H6072="","Open",IF(H6072&lt;=INDEX(Assumptions!$C$15:$C$18,MATCH(E6072,Assumptions!$A$15:$A$18,0)),"Yes","No"))</f>
        <v>Yes</v>
      </c>
    </row>
    <row r="6073" customFormat="false" ht="15" hidden="false" customHeight="false" outlineLevel="0" collapsed="false">
      <c r="A6073" s="31" t="s">
        <v>6223</v>
      </c>
      <c r="B6073" s="44" t="n">
        <v>46285</v>
      </c>
      <c r="C6073" s="31" t="s">
        <v>58</v>
      </c>
      <c r="D6073" s="31" t="s">
        <v>66</v>
      </c>
      <c r="E6073" s="31" t="s">
        <v>51</v>
      </c>
      <c r="F6073" s="31" t="s">
        <v>124</v>
      </c>
      <c r="G6073" s="31" t="n">
        <v>17</v>
      </c>
      <c r="H6073" s="41"/>
      <c r="I6073" s="31" t="s">
        <v>158</v>
      </c>
      <c r="J6073" s="31"/>
      <c r="K6073" s="31" t="s">
        <v>150</v>
      </c>
      <c r="L6073" s="45" t="n">
        <f aca="false">DATE(YEAR(B6073),MONTH(B6073),1)</f>
        <v>46266</v>
      </c>
      <c r="M6073" s="31" t="n">
        <f aca="false">WEEKDAY(B6073,2)</f>
        <v>7</v>
      </c>
      <c r="N6073" s="31" t="str">
        <f aca="false">IF(G6073&lt;=INDEX(Assumptions!$B$15:$B$18,MATCH(E6073,Assumptions!$A$15:$A$18,0)),"Yes","No")</f>
        <v>Yes</v>
      </c>
      <c r="O6073" s="31" t="str">
        <f aca="false">IF(H6073="","Open",IF(H6073&lt;=INDEX(Assumptions!$C$15:$C$18,MATCH(E6073,Assumptions!$A$15:$A$18,0)),"Yes","No"))</f>
        <v>Open</v>
      </c>
    </row>
    <row r="6074" customFormat="false" ht="15" hidden="false" customHeight="false" outlineLevel="0" collapsed="false">
      <c r="A6074" s="31" t="s">
        <v>6224</v>
      </c>
      <c r="B6074" s="44" t="n">
        <v>46285</v>
      </c>
      <c r="C6074" s="31" t="s">
        <v>60</v>
      </c>
      <c r="D6074" s="31" t="s">
        <v>68</v>
      </c>
      <c r="E6074" s="31" t="s">
        <v>52</v>
      </c>
      <c r="F6074" s="31" t="s">
        <v>119</v>
      </c>
      <c r="G6074" s="31" t="n">
        <v>2</v>
      </c>
      <c r="H6074" s="41"/>
      <c r="I6074" s="31" t="s">
        <v>158</v>
      </c>
      <c r="J6074" s="31"/>
      <c r="K6074" s="31" t="s">
        <v>150</v>
      </c>
      <c r="L6074" s="45" t="n">
        <f aca="false">DATE(YEAR(B6074),MONTH(B6074),1)</f>
        <v>46266</v>
      </c>
      <c r="M6074" s="31" t="n">
        <f aca="false">WEEKDAY(B6074,2)</f>
        <v>7</v>
      </c>
      <c r="N6074" s="31" t="str">
        <f aca="false">IF(G6074&lt;=INDEX(Assumptions!$B$15:$B$18,MATCH(E6074,Assumptions!$A$15:$A$18,0)),"Yes","No")</f>
        <v>Yes</v>
      </c>
      <c r="O6074" s="31" t="str">
        <f aca="false">IF(H6074="","Open",IF(H6074&lt;=INDEX(Assumptions!$C$15:$C$18,MATCH(E6074,Assumptions!$A$15:$A$18,0)),"Yes","No"))</f>
        <v>Open</v>
      </c>
    </row>
    <row r="6075" customFormat="false" ht="15" hidden="false" customHeight="false" outlineLevel="0" collapsed="false">
      <c r="A6075" s="31" t="s">
        <v>6225</v>
      </c>
      <c r="B6075" s="44" t="n">
        <v>46285</v>
      </c>
      <c r="C6075" s="31" t="s">
        <v>60</v>
      </c>
      <c r="D6075" s="31" t="s">
        <v>67</v>
      </c>
      <c r="E6075" s="31" t="s">
        <v>52</v>
      </c>
      <c r="F6075" s="31" t="s">
        <v>122</v>
      </c>
      <c r="G6075" s="31" t="n">
        <v>3</v>
      </c>
      <c r="H6075" s="41"/>
      <c r="I6075" s="31" t="s">
        <v>158</v>
      </c>
      <c r="J6075" s="31"/>
      <c r="K6075" s="31" t="s">
        <v>150</v>
      </c>
      <c r="L6075" s="45" t="n">
        <f aca="false">DATE(YEAR(B6075),MONTH(B6075),1)</f>
        <v>46266</v>
      </c>
      <c r="M6075" s="31" t="n">
        <f aca="false">WEEKDAY(B6075,2)</f>
        <v>7</v>
      </c>
      <c r="N6075" s="31" t="str">
        <f aca="false">IF(G6075&lt;=INDEX(Assumptions!$B$15:$B$18,MATCH(E6075,Assumptions!$A$15:$A$18,0)),"Yes","No")</f>
        <v>Yes</v>
      </c>
      <c r="O6075" s="31" t="str">
        <f aca="false">IF(H6075="","Open",IF(H6075&lt;=INDEX(Assumptions!$C$15:$C$18,MATCH(E6075,Assumptions!$A$15:$A$18,0)),"Yes","No"))</f>
        <v>Open</v>
      </c>
    </row>
    <row r="6076" customFormat="false" ht="15" hidden="false" customHeight="false" outlineLevel="0" collapsed="false">
      <c r="A6076" s="31" t="s">
        <v>6226</v>
      </c>
      <c r="B6076" s="44" t="n">
        <v>46285</v>
      </c>
      <c r="C6076" s="31" t="s">
        <v>58</v>
      </c>
      <c r="D6076" s="31" t="s">
        <v>68</v>
      </c>
      <c r="E6076" s="31" t="s">
        <v>51</v>
      </c>
      <c r="F6076" s="31" t="s">
        <v>127</v>
      </c>
      <c r="G6076" s="31" t="n">
        <v>18</v>
      </c>
      <c r="H6076" s="41"/>
      <c r="I6076" s="31" t="s">
        <v>158</v>
      </c>
      <c r="J6076" s="31"/>
      <c r="K6076" s="31" t="s">
        <v>150</v>
      </c>
      <c r="L6076" s="45" t="n">
        <f aca="false">DATE(YEAR(B6076),MONTH(B6076),1)</f>
        <v>46266</v>
      </c>
      <c r="M6076" s="31" t="n">
        <f aca="false">WEEKDAY(B6076,2)</f>
        <v>7</v>
      </c>
      <c r="N6076" s="31" t="str">
        <f aca="false">IF(G6076&lt;=INDEX(Assumptions!$B$15:$B$18,MATCH(E6076,Assumptions!$A$15:$A$18,0)),"Yes","No")</f>
        <v>Yes</v>
      </c>
      <c r="O6076" s="31" t="str">
        <f aca="false">IF(H6076="","Open",IF(H6076&lt;=INDEX(Assumptions!$C$15:$C$18,MATCH(E6076,Assumptions!$A$15:$A$18,0)),"Yes","No"))</f>
        <v>Open</v>
      </c>
    </row>
    <row r="6077" customFormat="false" ht="15" hidden="false" customHeight="false" outlineLevel="0" collapsed="false">
      <c r="A6077" s="31" t="s">
        <v>6227</v>
      </c>
      <c r="B6077" s="44" t="n">
        <v>46285</v>
      </c>
      <c r="C6077" s="31" t="s">
        <v>58</v>
      </c>
      <c r="D6077" s="31" t="s">
        <v>66</v>
      </c>
      <c r="E6077" s="31" t="s">
        <v>50</v>
      </c>
      <c r="F6077" s="31" t="s">
        <v>136</v>
      </c>
      <c r="G6077" s="31" t="n">
        <v>11</v>
      </c>
      <c r="H6077" s="41"/>
      <c r="I6077" s="31" t="s">
        <v>158</v>
      </c>
      <c r="J6077" s="31"/>
      <c r="K6077" s="31" t="s">
        <v>150</v>
      </c>
      <c r="L6077" s="45" t="n">
        <f aca="false">DATE(YEAR(B6077),MONTH(B6077),1)</f>
        <v>46266</v>
      </c>
      <c r="M6077" s="31" t="n">
        <f aca="false">WEEKDAY(B6077,2)</f>
        <v>7</v>
      </c>
      <c r="N6077" s="31" t="str">
        <f aca="false">IF(G6077&lt;=INDEX(Assumptions!$B$15:$B$18,MATCH(E6077,Assumptions!$A$15:$A$18,0)),"Yes","No")</f>
        <v>Yes</v>
      </c>
      <c r="O6077" s="31" t="str">
        <f aca="false">IF(H6077="","Open",IF(H6077&lt;=INDEX(Assumptions!$C$15:$C$18,MATCH(E6077,Assumptions!$A$15:$A$18,0)),"Yes","No"))</f>
        <v>Open</v>
      </c>
    </row>
    <row r="6078" customFormat="false" ht="15" hidden="false" customHeight="false" outlineLevel="0" collapsed="false">
      <c r="A6078" s="31" t="s">
        <v>6228</v>
      </c>
      <c r="B6078" s="44" t="n">
        <v>46285</v>
      </c>
      <c r="C6078" s="31" t="s">
        <v>58</v>
      </c>
      <c r="D6078" s="31" t="s">
        <v>67</v>
      </c>
      <c r="E6078" s="31" t="s">
        <v>51</v>
      </c>
      <c r="F6078" s="31" t="s">
        <v>126</v>
      </c>
      <c r="G6078" s="31" t="n">
        <v>5</v>
      </c>
      <c r="H6078" s="41" t="n">
        <v>8.2</v>
      </c>
      <c r="I6078" s="31" t="s">
        <v>149</v>
      </c>
      <c r="J6078" s="31" t="n">
        <v>5</v>
      </c>
      <c r="K6078" s="31" t="s">
        <v>150</v>
      </c>
      <c r="L6078" s="45" t="n">
        <f aca="false">DATE(YEAR(B6078),MONTH(B6078),1)</f>
        <v>46266</v>
      </c>
      <c r="M6078" s="31" t="n">
        <f aca="false">WEEKDAY(B6078,2)</f>
        <v>7</v>
      </c>
      <c r="N6078" s="31" t="str">
        <f aca="false">IF(G6078&lt;=INDEX(Assumptions!$B$15:$B$18,MATCH(E6078,Assumptions!$A$15:$A$18,0)),"Yes","No")</f>
        <v>Yes</v>
      </c>
      <c r="O6078" s="31" t="str">
        <f aca="false">IF(H6078="","Open",IF(H6078&lt;=INDEX(Assumptions!$C$15:$C$18,MATCH(E6078,Assumptions!$A$15:$A$18,0)),"Yes","No"))</f>
        <v>Yes</v>
      </c>
    </row>
    <row r="6079" customFormat="false" ht="15" hidden="false" customHeight="false" outlineLevel="0" collapsed="false">
      <c r="A6079" s="31" t="s">
        <v>6229</v>
      </c>
      <c r="B6079" s="44" t="n">
        <v>46285</v>
      </c>
      <c r="C6079" s="31" t="s">
        <v>59</v>
      </c>
      <c r="D6079" s="31" t="s">
        <v>69</v>
      </c>
      <c r="E6079" s="31" t="s">
        <v>51</v>
      </c>
      <c r="F6079" s="31" t="s">
        <v>117</v>
      </c>
      <c r="G6079" s="31" t="n">
        <v>131</v>
      </c>
      <c r="H6079" s="41" t="n">
        <v>111.2</v>
      </c>
      <c r="I6079" s="31" t="s">
        <v>64</v>
      </c>
      <c r="J6079" s="31" t="n">
        <v>2</v>
      </c>
      <c r="K6079" s="31" t="s">
        <v>150</v>
      </c>
      <c r="L6079" s="45" t="n">
        <f aca="false">DATE(YEAR(B6079),MONTH(B6079),1)</f>
        <v>46266</v>
      </c>
      <c r="M6079" s="31" t="n">
        <f aca="false">WEEKDAY(B6079,2)</f>
        <v>7</v>
      </c>
      <c r="N6079" s="31" t="str">
        <f aca="false">IF(G6079&lt;=INDEX(Assumptions!$B$15:$B$18,MATCH(E6079,Assumptions!$A$15:$A$18,0)),"Yes","No")</f>
        <v>No</v>
      </c>
      <c r="O6079" s="31" t="str">
        <f aca="false">IF(H6079="","Open",IF(H6079&lt;=INDEX(Assumptions!$C$15:$C$18,MATCH(E6079,Assumptions!$A$15:$A$18,0)),"Yes","No"))</f>
        <v>No</v>
      </c>
    </row>
    <row r="6080" customFormat="false" ht="15" hidden="false" customHeight="false" outlineLevel="0" collapsed="false">
      <c r="A6080" s="31" t="s">
        <v>6230</v>
      </c>
      <c r="B6080" s="44" t="n">
        <v>46285</v>
      </c>
      <c r="C6080" s="31" t="s">
        <v>59</v>
      </c>
      <c r="D6080" s="31" t="s">
        <v>65</v>
      </c>
      <c r="E6080" s="31" t="s">
        <v>50</v>
      </c>
      <c r="F6080" s="31" t="s">
        <v>137</v>
      </c>
      <c r="G6080" s="31" t="n">
        <v>43</v>
      </c>
      <c r="H6080" s="41" t="n">
        <v>5.5</v>
      </c>
      <c r="I6080" s="31" t="s">
        <v>149</v>
      </c>
      <c r="J6080" s="31"/>
      <c r="K6080" s="31" t="s">
        <v>150</v>
      </c>
      <c r="L6080" s="45" t="n">
        <f aca="false">DATE(YEAR(B6080),MONTH(B6080),1)</f>
        <v>46266</v>
      </c>
      <c r="M6080" s="31" t="n">
        <f aca="false">WEEKDAY(B6080,2)</f>
        <v>7</v>
      </c>
      <c r="N6080" s="31" t="str">
        <f aca="false">IF(G6080&lt;=INDEX(Assumptions!$B$15:$B$18,MATCH(E6080,Assumptions!$A$15:$A$18,0)),"Yes","No")</f>
        <v>No</v>
      </c>
      <c r="O6080" s="31" t="str">
        <f aca="false">IF(H6080="","Open",IF(H6080&lt;=INDEX(Assumptions!$C$15:$C$18,MATCH(E6080,Assumptions!$A$15:$A$18,0)),"Yes","No"))</f>
        <v>Yes</v>
      </c>
    </row>
    <row r="6081" customFormat="false" ht="15" hidden="false" customHeight="false" outlineLevel="0" collapsed="false">
      <c r="A6081" s="31" t="s">
        <v>6231</v>
      </c>
      <c r="B6081" s="44" t="n">
        <v>46285</v>
      </c>
      <c r="C6081" s="31" t="s">
        <v>58</v>
      </c>
      <c r="D6081" s="31" t="s">
        <v>67</v>
      </c>
      <c r="E6081" s="31" t="s">
        <v>51</v>
      </c>
      <c r="F6081" s="31" t="s">
        <v>127</v>
      </c>
      <c r="G6081" s="31" t="n">
        <v>13</v>
      </c>
      <c r="H6081" s="41"/>
      <c r="I6081" s="31" t="s">
        <v>158</v>
      </c>
      <c r="J6081" s="31"/>
      <c r="K6081" s="31" t="s">
        <v>150</v>
      </c>
      <c r="L6081" s="45" t="n">
        <f aca="false">DATE(YEAR(B6081),MONTH(B6081),1)</f>
        <v>46266</v>
      </c>
      <c r="M6081" s="31" t="n">
        <f aca="false">WEEKDAY(B6081,2)</f>
        <v>7</v>
      </c>
      <c r="N6081" s="31" t="str">
        <f aca="false">IF(G6081&lt;=INDEX(Assumptions!$B$15:$B$18,MATCH(E6081,Assumptions!$A$15:$A$18,0)),"Yes","No")</f>
        <v>Yes</v>
      </c>
      <c r="O6081" s="31" t="str">
        <f aca="false">IF(H6081="","Open",IF(H6081&lt;=INDEX(Assumptions!$C$15:$C$18,MATCH(E6081,Assumptions!$A$15:$A$18,0)),"Yes","No"))</f>
        <v>Open</v>
      </c>
    </row>
    <row r="6082" customFormat="false" ht="15" hidden="false" customHeight="false" outlineLevel="0" collapsed="false">
      <c r="A6082" s="31" t="s">
        <v>6232</v>
      </c>
      <c r="B6082" s="44" t="n">
        <v>46285</v>
      </c>
      <c r="C6082" s="31" t="s">
        <v>57</v>
      </c>
      <c r="D6082" s="31" t="s">
        <v>69</v>
      </c>
      <c r="E6082" s="31" t="s">
        <v>52</v>
      </c>
      <c r="F6082" s="31" t="s">
        <v>136</v>
      </c>
      <c r="G6082" s="31" t="n">
        <v>11</v>
      </c>
      <c r="H6082" s="41" t="n">
        <v>36.1</v>
      </c>
      <c r="I6082" s="31" t="s">
        <v>149</v>
      </c>
      <c r="J6082" s="31" t="n">
        <v>4</v>
      </c>
      <c r="K6082" s="31" t="s">
        <v>150</v>
      </c>
      <c r="L6082" s="45" t="n">
        <f aca="false">DATE(YEAR(B6082),MONTH(B6082),1)</f>
        <v>46266</v>
      </c>
      <c r="M6082" s="31" t="n">
        <f aca="false">WEEKDAY(B6082,2)</f>
        <v>7</v>
      </c>
      <c r="N6082" s="31" t="str">
        <f aca="false">IF(G6082&lt;=INDEX(Assumptions!$B$15:$B$18,MATCH(E6082,Assumptions!$A$15:$A$18,0)),"Yes","No")</f>
        <v>Yes</v>
      </c>
      <c r="O6082" s="31" t="str">
        <f aca="false">IF(H6082="","Open",IF(H6082&lt;=INDEX(Assumptions!$C$15:$C$18,MATCH(E6082,Assumptions!$A$15:$A$18,0)),"Yes","No"))</f>
        <v>Yes</v>
      </c>
    </row>
    <row r="6083" customFormat="false" ht="15" hidden="false" customHeight="false" outlineLevel="0" collapsed="false">
      <c r="A6083" s="31" t="s">
        <v>6233</v>
      </c>
      <c r="B6083" s="44" t="n">
        <v>46285</v>
      </c>
      <c r="C6083" s="31" t="s">
        <v>59</v>
      </c>
      <c r="D6083" s="31" t="s">
        <v>65</v>
      </c>
      <c r="E6083" s="31" t="s">
        <v>51</v>
      </c>
      <c r="F6083" s="31" t="s">
        <v>136</v>
      </c>
      <c r="G6083" s="31" t="n">
        <v>5</v>
      </c>
      <c r="H6083" s="41" t="n">
        <v>62.8</v>
      </c>
      <c r="I6083" s="31" t="s">
        <v>149</v>
      </c>
      <c r="J6083" s="31" t="n">
        <v>5</v>
      </c>
      <c r="K6083" s="31" t="s">
        <v>150</v>
      </c>
      <c r="L6083" s="45" t="n">
        <f aca="false">DATE(YEAR(B6083),MONTH(B6083),1)</f>
        <v>46266</v>
      </c>
      <c r="M6083" s="31" t="n">
        <f aca="false">WEEKDAY(B6083,2)</f>
        <v>7</v>
      </c>
      <c r="N6083" s="31" t="str">
        <f aca="false">IF(G6083&lt;=INDEX(Assumptions!$B$15:$B$18,MATCH(E6083,Assumptions!$A$15:$A$18,0)),"Yes","No")</f>
        <v>Yes</v>
      </c>
      <c r="O6083" s="31" t="str">
        <f aca="false">IF(H6083="","Open",IF(H6083&lt;=INDEX(Assumptions!$C$15:$C$18,MATCH(E6083,Assumptions!$A$15:$A$18,0)),"Yes","No"))</f>
        <v>No</v>
      </c>
    </row>
    <row r="6084" customFormat="false" ht="15" hidden="false" customHeight="false" outlineLevel="0" collapsed="false">
      <c r="A6084" s="31" t="s">
        <v>6234</v>
      </c>
      <c r="B6084" s="44" t="n">
        <v>46285</v>
      </c>
      <c r="C6084" s="31" t="s">
        <v>59</v>
      </c>
      <c r="D6084" s="31" t="s">
        <v>65</v>
      </c>
      <c r="E6084" s="31" t="s">
        <v>50</v>
      </c>
      <c r="F6084" s="31" t="s">
        <v>127</v>
      </c>
      <c r="G6084" s="31" t="n">
        <v>48</v>
      </c>
      <c r="H6084" s="41" t="n">
        <v>8</v>
      </c>
      <c r="I6084" s="31" t="s">
        <v>149</v>
      </c>
      <c r="J6084" s="31" t="n">
        <v>4</v>
      </c>
      <c r="K6084" s="31" t="s">
        <v>150</v>
      </c>
      <c r="L6084" s="45" t="n">
        <f aca="false">DATE(YEAR(B6084),MONTH(B6084),1)</f>
        <v>46266</v>
      </c>
      <c r="M6084" s="31" t="n">
        <f aca="false">WEEKDAY(B6084,2)</f>
        <v>7</v>
      </c>
      <c r="N6084" s="31" t="str">
        <f aca="false">IF(G6084&lt;=INDEX(Assumptions!$B$15:$B$18,MATCH(E6084,Assumptions!$A$15:$A$18,0)),"Yes","No")</f>
        <v>No</v>
      </c>
      <c r="O6084" s="31" t="str">
        <f aca="false">IF(H6084="","Open",IF(H6084&lt;=INDEX(Assumptions!$C$15:$C$18,MATCH(E6084,Assumptions!$A$15:$A$18,0)),"Yes","No"))</f>
        <v>Yes</v>
      </c>
    </row>
    <row r="6085" customFormat="false" ht="15" hidden="false" customHeight="false" outlineLevel="0" collapsed="false">
      <c r="A6085" s="31" t="s">
        <v>6235</v>
      </c>
      <c r="B6085" s="44" t="n">
        <v>46285</v>
      </c>
      <c r="C6085" s="31" t="s">
        <v>58</v>
      </c>
      <c r="D6085" s="31" t="s">
        <v>66</v>
      </c>
      <c r="E6085" s="31" t="s">
        <v>51</v>
      </c>
      <c r="F6085" s="31" t="s">
        <v>131</v>
      </c>
      <c r="G6085" s="31" t="n">
        <v>9</v>
      </c>
      <c r="H6085" s="41" t="n">
        <v>5.6</v>
      </c>
      <c r="I6085" s="31" t="s">
        <v>64</v>
      </c>
      <c r="J6085" s="31" t="n">
        <v>4</v>
      </c>
      <c r="K6085" s="31" t="s">
        <v>150</v>
      </c>
      <c r="L6085" s="45" t="n">
        <f aca="false">DATE(YEAR(B6085),MONTH(B6085),1)</f>
        <v>46266</v>
      </c>
      <c r="M6085" s="31" t="n">
        <f aca="false">WEEKDAY(B6085,2)</f>
        <v>7</v>
      </c>
      <c r="N6085" s="31" t="str">
        <f aca="false">IF(G6085&lt;=INDEX(Assumptions!$B$15:$B$18,MATCH(E6085,Assumptions!$A$15:$A$18,0)),"Yes","No")</f>
        <v>Yes</v>
      </c>
      <c r="O6085" s="31" t="str">
        <f aca="false">IF(H6085="","Open",IF(H6085&lt;=INDEX(Assumptions!$C$15:$C$18,MATCH(E6085,Assumptions!$A$15:$A$18,0)),"Yes","No"))</f>
        <v>Yes</v>
      </c>
    </row>
    <row r="6086" customFormat="false" ht="15" hidden="false" customHeight="false" outlineLevel="0" collapsed="false">
      <c r="A6086" s="31" t="s">
        <v>6236</v>
      </c>
      <c r="B6086" s="44" t="n">
        <v>46285</v>
      </c>
      <c r="C6086" s="31" t="s">
        <v>60</v>
      </c>
      <c r="D6086" s="31" t="s">
        <v>65</v>
      </c>
      <c r="E6086" s="31" t="s">
        <v>52</v>
      </c>
      <c r="F6086" s="31" t="s">
        <v>135</v>
      </c>
      <c r="G6086" s="31" t="n">
        <v>5</v>
      </c>
      <c r="H6086" s="41" t="n">
        <v>30.3</v>
      </c>
      <c r="I6086" s="31" t="s">
        <v>149</v>
      </c>
      <c r="J6086" s="31" t="n">
        <v>4</v>
      </c>
      <c r="K6086" s="31" t="s">
        <v>153</v>
      </c>
      <c r="L6086" s="45" t="n">
        <f aca="false">DATE(YEAR(B6086),MONTH(B6086),1)</f>
        <v>46266</v>
      </c>
      <c r="M6086" s="31" t="n">
        <f aca="false">WEEKDAY(B6086,2)</f>
        <v>7</v>
      </c>
      <c r="N6086" s="31" t="str">
        <f aca="false">IF(G6086&lt;=INDEX(Assumptions!$B$15:$B$18,MATCH(E6086,Assumptions!$A$15:$A$18,0)),"Yes","No")</f>
        <v>Yes</v>
      </c>
      <c r="O6086" s="31" t="str">
        <f aca="false">IF(H6086="","Open",IF(H6086&lt;=INDEX(Assumptions!$C$15:$C$18,MATCH(E6086,Assumptions!$A$15:$A$18,0)),"Yes","No"))</f>
        <v>Yes</v>
      </c>
    </row>
    <row r="6087" customFormat="false" ht="15" hidden="false" customHeight="false" outlineLevel="0" collapsed="false">
      <c r="A6087" s="31" t="s">
        <v>6237</v>
      </c>
      <c r="B6087" s="44" t="n">
        <v>46285</v>
      </c>
      <c r="C6087" s="31" t="s">
        <v>57</v>
      </c>
      <c r="D6087" s="31" t="s">
        <v>65</v>
      </c>
      <c r="E6087" s="31" t="s">
        <v>51</v>
      </c>
      <c r="F6087" s="31" t="s">
        <v>136</v>
      </c>
      <c r="G6087" s="31" t="n">
        <v>3</v>
      </c>
      <c r="H6087" s="41"/>
      <c r="I6087" s="31" t="s">
        <v>158</v>
      </c>
      <c r="J6087" s="31"/>
      <c r="K6087" s="31" t="s">
        <v>150</v>
      </c>
      <c r="L6087" s="45" t="n">
        <f aca="false">DATE(YEAR(B6087),MONTH(B6087),1)</f>
        <v>46266</v>
      </c>
      <c r="M6087" s="31" t="n">
        <f aca="false">WEEKDAY(B6087,2)</f>
        <v>7</v>
      </c>
      <c r="N6087" s="31" t="str">
        <f aca="false">IF(G6087&lt;=INDEX(Assumptions!$B$15:$B$18,MATCH(E6087,Assumptions!$A$15:$A$18,0)),"Yes","No")</f>
        <v>Yes</v>
      </c>
      <c r="O6087" s="31" t="str">
        <f aca="false">IF(H6087="","Open",IF(H6087&lt;=INDEX(Assumptions!$C$15:$C$18,MATCH(E6087,Assumptions!$A$15:$A$18,0)),"Yes","No"))</f>
        <v>Open</v>
      </c>
    </row>
    <row r="6088" customFormat="false" ht="15" hidden="false" customHeight="false" outlineLevel="0" collapsed="false">
      <c r="A6088" s="31" t="s">
        <v>6238</v>
      </c>
      <c r="B6088" s="44" t="n">
        <v>46285</v>
      </c>
      <c r="C6088" s="31" t="s">
        <v>57</v>
      </c>
      <c r="D6088" s="31" t="s">
        <v>66</v>
      </c>
      <c r="E6088" s="31" t="s">
        <v>52</v>
      </c>
      <c r="F6088" s="31" t="s">
        <v>128</v>
      </c>
      <c r="G6088" s="31" t="n">
        <v>8</v>
      </c>
      <c r="H6088" s="41" t="n">
        <v>49</v>
      </c>
      <c r="I6088" s="31" t="s">
        <v>149</v>
      </c>
      <c r="J6088" s="31" t="n">
        <v>5</v>
      </c>
      <c r="K6088" s="31" t="s">
        <v>150</v>
      </c>
      <c r="L6088" s="45" t="n">
        <f aca="false">DATE(YEAR(B6088),MONTH(B6088),1)</f>
        <v>46266</v>
      </c>
      <c r="M6088" s="31" t="n">
        <f aca="false">WEEKDAY(B6088,2)</f>
        <v>7</v>
      </c>
      <c r="N6088" s="31" t="str">
        <f aca="false">IF(G6088&lt;=INDEX(Assumptions!$B$15:$B$18,MATCH(E6088,Assumptions!$A$15:$A$18,0)),"Yes","No")</f>
        <v>Yes</v>
      </c>
      <c r="O6088" s="31" t="str">
        <f aca="false">IF(H6088="","Open",IF(H6088&lt;=INDEX(Assumptions!$C$15:$C$18,MATCH(E6088,Assumptions!$A$15:$A$18,0)),"Yes","No"))</f>
        <v>Yes</v>
      </c>
    </row>
    <row r="6089" customFormat="false" ht="15" hidden="false" customHeight="false" outlineLevel="0" collapsed="false">
      <c r="A6089" s="31" t="s">
        <v>6239</v>
      </c>
      <c r="B6089" s="44" t="n">
        <v>46285</v>
      </c>
      <c r="C6089" s="31" t="s">
        <v>57</v>
      </c>
      <c r="D6089" s="31" t="s">
        <v>65</v>
      </c>
      <c r="E6089" s="31" t="s">
        <v>50</v>
      </c>
      <c r="F6089" s="31" t="s">
        <v>129</v>
      </c>
      <c r="G6089" s="31" t="n">
        <v>4</v>
      </c>
      <c r="H6089" s="41" t="n">
        <v>16.5</v>
      </c>
      <c r="I6089" s="31" t="s">
        <v>149</v>
      </c>
      <c r="J6089" s="31"/>
      <c r="K6089" s="31" t="s">
        <v>150</v>
      </c>
      <c r="L6089" s="45" t="n">
        <f aca="false">DATE(YEAR(B6089),MONTH(B6089),1)</f>
        <v>46266</v>
      </c>
      <c r="M6089" s="31" t="n">
        <f aca="false">WEEKDAY(B6089,2)</f>
        <v>7</v>
      </c>
      <c r="N6089" s="31" t="str">
        <f aca="false">IF(G6089&lt;=INDEX(Assumptions!$B$15:$B$18,MATCH(E6089,Assumptions!$A$15:$A$18,0)),"Yes","No")</f>
        <v>Yes</v>
      </c>
      <c r="O6089" s="31" t="str">
        <f aca="false">IF(H6089="","Open",IF(H6089&lt;=INDEX(Assumptions!$C$15:$C$18,MATCH(E6089,Assumptions!$A$15:$A$18,0)),"Yes","No"))</f>
        <v>No</v>
      </c>
    </row>
    <row r="6090" customFormat="false" ht="15" hidden="false" customHeight="false" outlineLevel="0" collapsed="false">
      <c r="A6090" s="31" t="s">
        <v>6240</v>
      </c>
      <c r="B6090" s="44" t="n">
        <v>46285</v>
      </c>
      <c r="C6090" s="31" t="s">
        <v>57</v>
      </c>
      <c r="D6090" s="31" t="s">
        <v>69</v>
      </c>
      <c r="E6090" s="31" t="s">
        <v>51</v>
      </c>
      <c r="F6090" s="31" t="s">
        <v>130</v>
      </c>
      <c r="G6090" s="31" t="n">
        <v>5</v>
      </c>
      <c r="H6090" s="41"/>
      <c r="I6090" s="31" t="s">
        <v>158</v>
      </c>
      <c r="J6090" s="31"/>
      <c r="K6090" s="31" t="s">
        <v>150</v>
      </c>
      <c r="L6090" s="45" t="n">
        <f aca="false">DATE(YEAR(B6090),MONTH(B6090),1)</f>
        <v>46266</v>
      </c>
      <c r="M6090" s="31" t="n">
        <f aca="false">WEEKDAY(B6090,2)</f>
        <v>7</v>
      </c>
      <c r="N6090" s="31" t="str">
        <f aca="false">IF(G6090&lt;=INDEX(Assumptions!$B$15:$B$18,MATCH(E6090,Assumptions!$A$15:$A$18,0)),"Yes","No")</f>
        <v>Yes</v>
      </c>
      <c r="O6090" s="31" t="str">
        <f aca="false">IF(H6090="","Open",IF(H6090&lt;=INDEX(Assumptions!$C$15:$C$18,MATCH(E6090,Assumptions!$A$15:$A$18,0)),"Yes","No"))</f>
        <v>Open</v>
      </c>
    </row>
    <row r="6091" customFormat="false" ht="15" hidden="false" customHeight="false" outlineLevel="0" collapsed="false">
      <c r="A6091" s="31" t="s">
        <v>6241</v>
      </c>
      <c r="B6091" s="44" t="n">
        <v>46285</v>
      </c>
      <c r="C6091" s="31" t="s">
        <v>58</v>
      </c>
      <c r="D6091" s="31" t="s">
        <v>65</v>
      </c>
      <c r="E6091" s="31" t="s">
        <v>50</v>
      </c>
      <c r="F6091" s="31" t="s">
        <v>136</v>
      </c>
      <c r="G6091" s="31" t="n">
        <v>12</v>
      </c>
      <c r="H6091" s="41"/>
      <c r="I6091" s="31" t="s">
        <v>158</v>
      </c>
      <c r="J6091" s="31"/>
      <c r="K6091" s="31" t="s">
        <v>150</v>
      </c>
      <c r="L6091" s="45" t="n">
        <f aca="false">DATE(YEAR(B6091),MONTH(B6091),1)</f>
        <v>46266</v>
      </c>
      <c r="M6091" s="31" t="n">
        <f aca="false">WEEKDAY(B6091,2)</f>
        <v>7</v>
      </c>
      <c r="N6091" s="31" t="str">
        <f aca="false">IF(G6091&lt;=INDEX(Assumptions!$B$15:$B$18,MATCH(E6091,Assumptions!$A$15:$A$18,0)),"Yes","No")</f>
        <v>Yes</v>
      </c>
      <c r="O6091" s="31" t="str">
        <f aca="false">IF(H6091="","Open",IF(H6091&lt;=INDEX(Assumptions!$C$15:$C$18,MATCH(E6091,Assumptions!$A$15:$A$18,0)),"Yes","No"))</f>
        <v>Open</v>
      </c>
    </row>
    <row r="6092" customFormat="false" ht="15" hidden="false" customHeight="false" outlineLevel="0" collapsed="false">
      <c r="A6092" s="31" t="s">
        <v>6242</v>
      </c>
      <c r="B6092" s="44" t="n">
        <v>46285</v>
      </c>
      <c r="C6092" s="31" t="s">
        <v>58</v>
      </c>
      <c r="D6092" s="31" t="s">
        <v>68</v>
      </c>
      <c r="E6092" s="31" t="s">
        <v>51</v>
      </c>
      <c r="F6092" s="31" t="s">
        <v>133</v>
      </c>
      <c r="G6092" s="31" t="n">
        <v>2</v>
      </c>
      <c r="H6092" s="41" t="n">
        <v>3.5</v>
      </c>
      <c r="I6092" s="31" t="s">
        <v>149</v>
      </c>
      <c r="J6092" s="31"/>
      <c r="K6092" s="31" t="s">
        <v>150</v>
      </c>
      <c r="L6092" s="45" t="n">
        <f aca="false">DATE(YEAR(B6092),MONTH(B6092),1)</f>
        <v>46266</v>
      </c>
      <c r="M6092" s="31" t="n">
        <f aca="false">WEEKDAY(B6092,2)</f>
        <v>7</v>
      </c>
      <c r="N6092" s="31" t="str">
        <f aca="false">IF(G6092&lt;=INDEX(Assumptions!$B$15:$B$18,MATCH(E6092,Assumptions!$A$15:$A$18,0)),"Yes","No")</f>
        <v>Yes</v>
      </c>
      <c r="O6092" s="31" t="str">
        <f aca="false">IF(H6092="","Open",IF(H6092&lt;=INDEX(Assumptions!$C$15:$C$18,MATCH(E6092,Assumptions!$A$15:$A$18,0)),"Yes","No"))</f>
        <v>Yes</v>
      </c>
    </row>
    <row r="6093" customFormat="false" ht="15" hidden="false" customHeight="false" outlineLevel="0" collapsed="false">
      <c r="A6093" s="31" t="s">
        <v>6243</v>
      </c>
      <c r="B6093" s="44" t="n">
        <v>46285</v>
      </c>
      <c r="C6093" s="31" t="s">
        <v>60</v>
      </c>
      <c r="D6093" s="31" t="s">
        <v>66</v>
      </c>
      <c r="E6093" s="31" t="s">
        <v>50</v>
      </c>
      <c r="F6093" s="31" t="s">
        <v>124</v>
      </c>
      <c r="G6093" s="31" t="n">
        <v>1</v>
      </c>
      <c r="H6093" s="41"/>
      <c r="I6093" s="31" t="s">
        <v>158</v>
      </c>
      <c r="J6093" s="31"/>
      <c r="K6093" s="31" t="s">
        <v>150</v>
      </c>
      <c r="L6093" s="45" t="n">
        <f aca="false">DATE(YEAR(B6093),MONTH(B6093),1)</f>
        <v>46266</v>
      </c>
      <c r="M6093" s="31" t="n">
        <f aca="false">WEEKDAY(B6093,2)</f>
        <v>7</v>
      </c>
      <c r="N6093" s="31" t="str">
        <f aca="false">IF(G6093&lt;=INDEX(Assumptions!$B$15:$B$18,MATCH(E6093,Assumptions!$A$15:$A$18,0)),"Yes","No")</f>
        <v>Yes</v>
      </c>
      <c r="O6093" s="31" t="str">
        <f aca="false">IF(H6093="","Open",IF(H6093&lt;=INDEX(Assumptions!$C$15:$C$18,MATCH(E6093,Assumptions!$A$15:$A$18,0)),"Yes","No"))</f>
        <v>Open</v>
      </c>
    </row>
    <row r="6094" customFormat="false" ht="15" hidden="false" customHeight="false" outlineLevel="0" collapsed="false">
      <c r="A6094" s="31" t="s">
        <v>6244</v>
      </c>
      <c r="B6094" s="44" t="n">
        <v>46285</v>
      </c>
      <c r="C6094" s="31" t="s">
        <v>58</v>
      </c>
      <c r="D6094" s="31" t="s">
        <v>67</v>
      </c>
      <c r="E6094" s="31" t="s">
        <v>52</v>
      </c>
      <c r="F6094" s="31" t="s">
        <v>117</v>
      </c>
      <c r="G6094" s="31" t="n">
        <v>27</v>
      </c>
      <c r="H6094" s="41" t="n">
        <v>11.5</v>
      </c>
      <c r="I6094" s="31" t="s">
        <v>149</v>
      </c>
      <c r="J6094" s="31" t="n">
        <v>3</v>
      </c>
      <c r="K6094" s="31" t="s">
        <v>150</v>
      </c>
      <c r="L6094" s="45" t="n">
        <f aca="false">DATE(YEAR(B6094),MONTH(B6094),1)</f>
        <v>46266</v>
      </c>
      <c r="M6094" s="31" t="n">
        <f aca="false">WEEKDAY(B6094,2)</f>
        <v>7</v>
      </c>
      <c r="N6094" s="31" t="str">
        <f aca="false">IF(G6094&lt;=INDEX(Assumptions!$B$15:$B$18,MATCH(E6094,Assumptions!$A$15:$A$18,0)),"Yes","No")</f>
        <v>Yes</v>
      </c>
      <c r="O6094" s="31" t="str">
        <f aca="false">IF(H6094="","Open",IF(H6094&lt;=INDEX(Assumptions!$C$15:$C$18,MATCH(E6094,Assumptions!$A$15:$A$18,0)),"Yes","No"))</f>
        <v>Yes</v>
      </c>
    </row>
    <row r="6095" customFormat="false" ht="15" hidden="false" customHeight="false" outlineLevel="0" collapsed="false">
      <c r="A6095" s="31" t="s">
        <v>6245</v>
      </c>
      <c r="B6095" s="44" t="n">
        <v>46285</v>
      </c>
      <c r="C6095" s="31" t="s">
        <v>57</v>
      </c>
      <c r="D6095" s="31" t="s">
        <v>65</v>
      </c>
      <c r="E6095" s="31" t="s">
        <v>51</v>
      </c>
      <c r="F6095" s="31" t="s">
        <v>117</v>
      </c>
      <c r="G6095" s="31" t="n">
        <v>2</v>
      </c>
      <c r="H6095" s="41" t="n">
        <v>18.2</v>
      </c>
      <c r="I6095" s="31" t="s">
        <v>149</v>
      </c>
      <c r="J6095" s="31"/>
      <c r="K6095" s="31" t="s">
        <v>150</v>
      </c>
      <c r="L6095" s="45" t="n">
        <f aca="false">DATE(YEAR(B6095),MONTH(B6095),1)</f>
        <v>46266</v>
      </c>
      <c r="M6095" s="31" t="n">
        <f aca="false">WEEKDAY(B6095,2)</f>
        <v>7</v>
      </c>
      <c r="N6095" s="31" t="str">
        <f aca="false">IF(G6095&lt;=INDEX(Assumptions!$B$15:$B$18,MATCH(E6095,Assumptions!$A$15:$A$18,0)),"Yes","No")</f>
        <v>Yes</v>
      </c>
      <c r="O6095" s="31" t="str">
        <f aca="false">IF(H6095="","Open",IF(H6095&lt;=INDEX(Assumptions!$C$15:$C$18,MATCH(E6095,Assumptions!$A$15:$A$18,0)),"Yes","No"))</f>
        <v>Yes</v>
      </c>
    </row>
    <row r="6096" customFormat="false" ht="15" hidden="false" customHeight="false" outlineLevel="0" collapsed="false">
      <c r="A6096" s="31" t="s">
        <v>6246</v>
      </c>
      <c r="B6096" s="44" t="n">
        <v>46285</v>
      </c>
      <c r="C6096" s="31" t="s">
        <v>58</v>
      </c>
      <c r="D6096" s="31" t="s">
        <v>68</v>
      </c>
      <c r="E6096" s="31" t="s">
        <v>52</v>
      </c>
      <c r="F6096" s="31" t="s">
        <v>130</v>
      </c>
      <c r="G6096" s="31" t="n">
        <v>6</v>
      </c>
      <c r="H6096" s="41" t="n">
        <v>12.3</v>
      </c>
      <c r="I6096" s="31" t="s">
        <v>149</v>
      </c>
      <c r="J6096" s="31" t="n">
        <v>4</v>
      </c>
      <c r="K6096" s="31" t="s">
        <v>153</v>
      </c>
      <c r="L6096" s="45" t="n">
        <f aca="false">DATE(YEAR(B6096),MONTH(B6096),1)</f>
        <v>46266</v>
      </c>
      <c r="M6096" s="31" t="n">
        <f aca="false">WEEKDAY(B6096,2)</f>
        <v>7</v>
      </c>
      <c r="N6096" s="31" t="str">
        <f aca="false">IF(G6096&lt;=INDEX(Assumptions!$B$15:$B$18,MATCH(E6096,Assumptions!$A$15:$A$18,0)),"Yes","No")</f>
        <v>Yes</v>
      </c>
      <c r="O6096" s="31" t="str">
        <f aca="false">IF(H6096="","Open",IF(H6096&lt;=INDEX(Assumptions!$C$15:$C$18,MATCH(E6096,Assumptions!$A$15:$A$18,0)),"Yes","No"))</f>
        <v>Yes</v>
      </c>
    </row>
    <row r="6097" customFormat="false" ht="15" hidden="false" customHeight="false" outlineLevel="0" collapsed="false">
      <c r="A6097" s="31" t="s">
        <v>6247</v>
      </c>
      <c r="B6097" s="44" t="n">
        <v>46285</v>
      </c>
      <c r="C6097" s="31" t="s">
        <v>58</v>
      </c>
      <c r="D6097" s="31" t="s">
        <v>66</v>
      </c>
      <c r="E6097" s="31" t="s">
        <v>51</v>
      </c>
      <c r="F6097" s="31" t="s">
        <v>120</v>
      </c>
      <c r="G6097" s="31" t="n">
        <v>15</v>
      </c>
      <c r="H6097" s="41"/>
      <c r="I6097" s="31" t="s">
        <v>158</v>
      </c>
      <c r="J6097" s="31"/>
      <c r="K6097" s="31" t="s">
        <v>150</v>
      </c>
      <c r="L6097" s="45" t="n">
        <f aca="false">DATE(YEAR(B6097),MONTH(B6097),1)</f>
        <v>46266</v>
      </c>
      <c r="M6097" s="31" t="n">
        <f aca="false">WEEKDAY(B6097,2)</f>
        <v>7</v>
      </c>
      <c r="N6097" s="31" t="str">
        <f aca="false">IF(G6097&lt;=INDEX(Assumptions!$B$15:$B$18,MATCH(E6097,Assumptions!$A$15:$A$18,0)),"Yes","No")</f>
        <v>Yes</v>
      </c>
      <c r="O6097" s="31" t="str">
        <f aca="false">IF(H6097="","Open",IF(H6097&lt;=INDEX(Assumptions!$C$15:$C$18,MATCH(E6097,Assumptions!$A$15:$A$18,0)),"Yes","No"))</f>
        <v>Open</v>
      </c>
    </row>
    <row r="6098" customFormat="false" ht="15" hidden="false" customHeight="false" outlineLevel="0" collapsed="false">
      <c r="A6098" s="31" t="s">
        <v>6248</v>
      </c>
      <c r="B6098" s="44" t="n">
        <v>46285</v>
      </c>
      <c r="C6098" s="31" t="s">
        <v>59</v>
      </c>
      <c r="D6098" s="31" t="s">
        <v>66</v>
      </c>
      <c r="E6098" s="31" t="s">
        <v>51</v>
      </c>
      <c r="F6098" s="31" t="s">
        <v>137</v>
      </c>
      <c r="G6098" s="31" t="n">
        <v>118</v>
      </c>
      <c r="H6098" s="41"/>
      <c r="I6098" s="31" t="s">
        <v>158</v>
      </c>
      <c r="J6098" s="31"/>
      <c r="K6098" s="31" t="s">
        <v>150</v>
      </c>
      <c r="L6098" s="45" t="n">
        <f aca="false">DATE(YEAR(B6098),MONTH(B6098),1)</f>
        <v>46266</v>
      </c>
      <c r="M6098" s="31" t="n">
        <f aca="false">WEEKDAY(B6098,2)</f>
        <v>7</v>
      </c>
      <c r="N6098" s="31" t="str">
        <f aca="false">IF(G6098&lt;=INDEX(Assumptions!$B$15:$B$18,MATCH(E6098,Assumptions!$A$15:$A$18,0)),"Yes","No")</f>
        <v>No</v>
      </c>
      <c r="O6098" s="31" t="str">
        <f aca="false">IF(H6098="","Open",IF(H6098&lt;=INDEX(Assumptions!$C$15:$C$18,MATCH(E6098,Assumptions!$A$15:$A$18,0)),"Yes","No"))</f>
        <v>Open</v>
      </c>
    </row>
    <row r="6099" customFormat="false" ht="15" hidden="false" customHeight="false" outlineLevel="0" collapsed="false">
      <c r="A6099" s="31" t="s">
        <v>6249</v>
      </c>
      <c r="B6099" s="44" t="n">
        <v>46285</v>
      </c>
      <c r="C6099" s="31" t="s">
        <v>60</v>
      </c>
      <c r="D6099" s="31" t="s">
        <v>65</v>
      </c>
      <c r="E6099" s="31" t="s">
        <v>50</v>
      </c>
      <c r="F6099" s="31" t="s">
        <v>134</v>
      </c>
      <c r="G6099" s="31" t="n">
        <v>4</v>
      </c>
      <c r="H6099" s="41"/>
      <c r="I6099" s="31" t="s">
        <v>158</v>
      </c>
      <c r="J6099" s="31"/>
      <c r="K6099" s="31" t="s">
        <v>150</v>
      </c>
      <c r="L6099" s="45" t="n">
        <f aca="false">DATE(YEAR(B6099),MONTH(B6099),1)</f>
        <v>46266</v>
      </c>
      <c r="M6099" s="31" t="n">
        <f aca="false">WEEKDAY(B6099,2)</f>
        <v>7</v>
      </c>
      <c r="N6099" s="31" t="str">
        <f aca="false">IF(G6099&lt;=INDEX(Assumptions!$B$15:$B$18,MATCH(E6099,Assumptions!$A$15:$A$18,0)),"Yes","No")</f>
        <v>Yes</v>
      </c>
      <c r="O6099" s="31" t="str">
        <f aca="false">IF(H6099="","Open",IF(H6099&lt;=INDEX(Assumptions!$C$15:$C$18,MATCH(E6099,Assumptions!$A$15:$A$18,0)),"Yes","No"))</f>
        <v>Open</v>
      </c>
    </row>
    <row r="6100" customFormat="false" ht="15" hidden="false" customHeight="false" outlineLevel="0" collapsed="false">
      <c r="A6100" s="31" t="s">
        <v>6250</v>
      </c>
      <c r="B6100" s="44" t="n">
        <v>46285</v>
      </c>
      <c r="C6100" s="31" t="s">
        <v>57</v>
      </c>
      <c r="D6100" s="31" t="s">
        <v>65</v>
      </c>
      <c r="E6100" s="31" t="s">
        <v>51</v>
      </c>
      <c r="F6100" s="31" t="s">
        <v>136</v>
      </c>
      <c r="G6100" s="31" t="n">
        <v>2</v>
      </c>
      <c r="H6100" s="41"/>
      <c r="I6100" s="31" t="s">
        <v>158</v>
      </c>
      <c r="J6100" s="31"/>
      <c r="K6100" s="31" t="s">
        <v>150</v>
      </c>
      <c r="L6100" s="45" t="n">
        <f aca="false">DATE(YEAR(B6100),MONTH(B6100),1)</f>
        <v>46266</v>
      </c>
      <c r="M6100" s="31" t="n">
        <f aca="false">WEEKDAY(B6100,2)</f>
        <v>7</v>
      </c>
      <c r="N6100" s="31" t="str">
        <f aca="false">IF(G6100&lt;=INDEX(Assumptions!$B$15:$B$18,MATCH(E6100,Assumptions!$A$15:$A$18,0)),"Yes","No")</f>
        <v>Yes</v>
      </c>
      <c r="O6100" s="31" t="str">
        <f aca="false">IF(H6100="","Open",IF(H6100&lt;=INDEX(Assumptions!$C$15:$C$18,MATCH(E6100,Assumptions!$A$15:$A$18,0)),"Yes","No"))</f>
        <v>Open</v>
      </c>
    </row>
    <row r="6101" customFormat="false" ht="15" hidden="false" customHeight="false" outlineLevel="0" collapsed="false">
      <c r="A6101" s="31" t="s">
        <v>6251</v>
      </c>
      <c r="B6101" s="44" t="n">
        <v>46285</v>
      </c>
      <c r="C6101" s="31" t="s">
        <v>58</v>
      </c>
      <c r="D6101" s="31" t="s">
        <v>65</v>
      </c>
      <c r="E6101" s="31" t="s">
        <v>52</v>
      </c>
      <c r="F6101" s="31" t="s">
        <v>121</v>
      </c>
      <c r="G6101" s="31" t="n">
        <v>17</v>
      </c>
      <c r="H6101" s="41" t="n">
        <v>20.8</v>
      </c>
      <c r="I6101" s="31" t="s">
        <v>149</v>
      </c>
      <c r="J6101" s="31" t="n">
        <v>4</v>
      </c>
      <c r="K6101" s="31" t="s">
        <v>150</v>
      </c>
      <c r="L6101" s="45" t="n">
        <f aca="false">DATE(YEAR(B6101),MONTH(B6101),1)</f>
        <v>46266</v>
      </c>
      <c r="M6101" s="31" t="n">
        <f aca="false">WEEKDAY(B6101,2)</f>
        <v>7</v>
      </c>
      <c r="N6101" s="31" t="str">
        <f aca="false">IF(G6101&lt;=INDEX(Assumptions!$B$15:$B$18,MATCH(E6101,Assumptions!$A$15:$A$18,0)),"Yes","No")</f>
        <v>Yes</v>
      </c>
      <c r="O6101" s="31" t="str">
        <f aca="false">IF(H6101="","Open",IF(H6101&lt;=INDEX(Assumptions!$C$15:$C$18,MATCH(E6101,Assumptions!$A$15:$A$18,0)),"Yes","No"))</f>
        <v>Yes</v>
      </c>
    </row>
    <row r="6102" customFormat="false" ht="15" hidden="false" customHeight="false" outlineLevel="0" collapsed="false">
      <c r="A6102" s="31" t="s">
        <v>6252</v>
      </c>
      <c r="B6102" s="44" t="n">
        <v>46285</v>
      </c>
      <c r="C6102" s="31" t="s">
        <v>60</v>
      </c>
      <c r="D6102" s="31" t="s">
        <v>66</v>
      </c>
      <c r="E6102" s="31" t="s">
        <v>52</v>
      </c>
      <c r="F6102" s="31" t="s">
        <v>122</v>
      </c>
      <c r="G6102" s="31" t="n">
        <v>2</v>
      </c>
      <c r="H6102" s="41" t="n">
        <v>8.9</v>
      </c>
      <c r="I6102" s="31" t="s">
        <v>149</v>
      </c>
      <c r="J6102" s="31"/>
      <c r="K6102" s="31" t="s">
        <v>150</v>
      </c>
      <c r="L6102" s="45" t="n">
        <f aca="false">DATE(YEAR(B6102),MONTH(B6102),1)</f>
        <v>46266</v>
      </c>
      <c r="M6102" s="31" t="n">
        <f aca="false">WEEKDAY(B6102,2)</f>
        <v>7</v>
      </c>
      <c r="N6102" s="31" t="str">
        <f aca="false">IF(G6102&lt;=INDEX(Assumptions!$B$15:$B$18,MATCH(E6102,Assumptions!$A$15:$A$18,0)),"Yes","No")</f>
        <v>Yes</v>
      </c>
      <c r="O6102" s="31" t="str">
        <f aca="false">IF(H6102="","Open",IF(H6102&lt;=INDEX(Assumptions!$C$15:$C$18,MATCH(E6102,Assumptions!$A$15:$A$18,0)),"Yes","No"))</f>
        <v>Yes</v>
      </c>
    </row>
    <row r="6103" customFormat="false" ht="15" hidden="false" customHeight="false" outlineLevel="0" collapsed="false">
      <c r="A6103" s="31" t="s">
        <v>6253</v>
      </c>
      <c r="B6103" s="44" t="n">
        <v>46285</v>
      </c>
      <c r="C6103" s="31" t="s">
        <v>57</v>
      </c>
      <c r="D6103" s="31" t="s">
        <v>65</v>
      </c>
      <c r="E6103" s="31" t="s">
        <v>50</v>
      </c>
      <c r="F6103" s="31" t="s">
        <v>134</v>
      </c>
      <c r="G6103" s="31" t="n">
        <v>4</v>
      </c>
      <c r="H6103" s="41" t="n">
        <v>9</v>
      </c>
      <c r="I6103" s="31" t="s">
        <v>149</v>
      </c>
      <c r="J6103" s="31" t="n">
        <v>3</v>
      </c>
      <c r="K6103" s="31" t="s">
        <v>150</v>
      </c>
      <c r="L6103" s="45" t="n">
        <f aca="false">DATE(YEAR(B6103),MONTH(B6103),1)</f>
        <v>46266</v>
      </c>
      <c r="M6103" s="31" t="n">
        <f aca="false">WEEKDAY(B6103,2)</f>
        <v>7</v>
      </c>
      <c r="N6103" s="31" t="str">
        <f aca="false">IF(G6103&lt;=INDEX(Assumptions!$B$15:$B$18,MATCH(E6103,Assumptions!$A$15:$A$18,0)),"Yes","No")</f>
        <v>Yes</v>
      </c>
      <c r="O6103" s="31" t="str">
        <f aca="false">IF(H6103="","Open",IF(H6103&lt;=INDEX(Assumptions!$C$15:$C$18,MATCH(E6103,Assumptions!$A$15:$A$18,0)),"Yes","No"))</f>
        <v>No</v>
      </c>
    </row>
    <row r="6104" customFormat="false" ht="15" hidden="false" customHeight="false" outlineLevel="0" collapsed="false">
      <c r="A6104" s="31" t="s">
        <v>6254</v>
      </c>
      <c r="B6104" s="44" t="n">
        <v>46285</v>
      </c>
      <c r="C6104" s="31" t="s">
        <v>57</v>
      </c>
      <c r="D6104" s="31" t="s">
        <v>69</v>
      </c>
      <c r="E6104" s="31" t="s">
        <v>51</v>
      </c>
      <c r="F6104" s="31" t="s">
        <v>133</v>
      </c>
      <c r="G6104" s="31" t="n">
        <v>16</v>
      </c>
      <c r="H6104" s="41" t="n">
        <v>5.1</v>
      </c>
      <c r="I6104" s="31" t="s">
        <v>149</v>
      </c>
      <c r="J6104" s="31" t="n">
        <v>5</v>
      </c>
      <c r="K6104" s="31" t="s">
        <v>150</v>
      </c>
      <c r="L6104" s="45" t="n">
        <f aca="false">DATE(YEAR(B6104),MONTH(B6104),1)</f>
        <v>46266</v>
      </c>
      <c r="M6104" s="31" t="n">
        <f aca="false">WEEKDAY(B6104,2)</f>
        <v>7</v>
      </c>
      <c r="N6104" s="31" t="str">
        <f aca="false">IF(G6104&lt;=INDEX(Assumptions!$B$15:$B$18,MATCH(E6104,Assumptions!$A$15:$A$18,0)),"Yes","No")</f>
        <v>Yes</v>
      </c>
      <c r="O6104" s="31" t="str">
        <f aca="false">IF(H6104="","Open",IF(H6104&lt;=INDEX(Assumptions!$C$15:$C$18,MATCH(E6104,Assumptions!$A$15:$A$18,0)),"Yes","No"))</f>
        <v>Yes</v>
      </c>
    </row>
    <row r="6105" customFormat="false" ht="15" hidden="false" customHeight="false" outlineLevel="0" collapsed="false">
      <c r="A6105" s="31" t="s">
        <v>6255</v>
      </c>
      <c r="B6105" s="44" t="n">
        <v>46285</v>
      </c>
      <c r="C6105" s="31" t="s">
        <v>57</v>
      </c>
      <c r="D6105" s="31" t="s">
        <v>69</v>
      </c>
      <c r="E6105" s="31" t="s">
        <v>52</v>
      </c>
      <c r="F6105" s="31" t="s">
        <v>131</v>
      </c>
      <c r="G6105" s="31" t="n">
        <v>3</v>
      </c>
      <c r="H6105" s="41"/>
      <c r="I6105" s="31" t="s">
        <v>158</v>
      </c>
      <c r="J6105" s="31"/>
      <c r="K6105" s="31" t="s">
        <v>150</v>
      </c>
      <c r="L6105" s="45" t="n">
        <f aca="false">DATE(YEAR(B6105),MONTH(B6105),1)</f>
        <v>46266</v>
      </c>
      <c r="M6105" s="31" t="n">
        <f aca="false">WEEKDAY(B6105,2)</f>
        <v>7</v>
      </c>
      <c r="N6105" s="31" t="str">
        <f aca="false">IF(G6105&lt;=INDEX(Assumptions!$B$15:$B$18,MATCH(E6105,Assumptions!$A$15:$A$18,0)),"Yes","No")</f>
        <v>Yes</v>
      </c>
      <c r="O6105" s="31" t="str">
        <f aca="false">IF(H6105="","Open",IF(H6105&lt;=INDEX(Assumptions!$C$15:$C$18,MATCH(E6105,Assumptions!$A$15:$A$18,0)),"Yes","No"))</f>
        <v>Open</v>
      </c>
    </row>
    <row r="6106" customFormat="false" ht="15" hidden="false" customHeight="false" outlineLevel="0" collapsed="false">
      <c r="A6106" s="31" t="s">
        <v>6256</v>
      </c>
      <c r="B6106" s="44" t="n">
        <v>46285</v>
      </c>
      <c r="C6106" s="31" t="s">
        <v>57</v>
      </c>
      <c r="D6106" s="31" t="s">
        <v>68</v>
      </c>
      <c r="E6106" s="31" t="s">
        <v>50</v>
      </c>
      <c r="F6106" s="31" t="s">
        <v>129</v>
      </c>
      <c r="G6106" s="31" t="n">
        <v>3</v>
      </c>
      <c r="H6106" s="41" t="n">
        <v>4.7</v>
      </c>
      <c r="I6106" s="31" t="s">
        <v>149</v>
      </c>
      <c r="J6106" s="31" t="n">
        <v>5</v>
      </c>
      <c r="K6106" s="31" t="s">
        <v>150</v>
      </c>
      <c r="L6106" s="45" t="n">
        <f aca="false">DATE(YEAR(B6106),MONTH(B6106),1)</f>
        <v>46266</v>
      </c>
      <c r="M6106" s="31" t="n">
        <f aca="false">WEEKDAY(B6106,2)</f>
        <v>7</v>
      </c>
      <c r="N6106" s="31" t="str">
        <f aca="false">IF(G6106&lt;=INDEX(Assumptions!$B$15:$B$18,MATCH(E6106,Assumptions!$A$15:$A$18,0)),"Yes","No")</f>
        <v>Yes</v>
      </c>
      <c r="O6106" s="31" t="str">
        <f aca="false">IF(H6106="","Open",IF(H6106&lt;=INDEX(Assumptions!$C$15:$C$18,MATCH(E6106,Assumptions!$A$15:$A$18,0)),"Yes","No"))</f>
        <v>Yes</v>
      </c>
    </row>
    <row r="6107" customFormat="false" ht="15" hidden="false" customHeight="false" outlineLevel="0" collapsed="false">
      <c r="A6107" s="31" t="s">
        <v>6257</v>
      </c>
      <c r="B6107" s="44" t="n">
        <v>46285</v>
      </c>
      <c r="C6107" s="31" t="s">
        <v>57</v>
      </c>
      <c r="D6107" s="31" t="s">
        <v>65</v>
      </c>
      <c r="E6107" s="31" t="s">
        <v>51</v>
      </c>
      <c r="F6107" s="31" t="s">
        <v>134</v>
      </c>
      <c r="G6107" s="31" t="n">
        <v>8</v>
      </c>
      <c r="H6107" s="41" t="n">
        <v>21.5</v>
      </c>
      <c r="I6107" s="31" t="s">
        <v>149</v>
      </c>
      <c r="J6107" s="31"/>
      <c r="K6107" s="31" t="s">
        <v>153</v>
      </c>
      <c r="L6107" s="45" t="n">
        <f aca="false">DATE(YEAR(B6107),MONTH(B6107),1)</f>
        <v>46266</v>
      </c>
      <c r="M6107" s="31" t="n">
        <f aca="false">WEEKDAY(B6107,2)</f>
        <v>7</v>
      </c>
      <c r="N6107" s="31" t="str">
        <f aca="false">IF(G6107&lt;=INDEX(Assumptions!$B$15:$B$18,MATCH(E6107,Assumptions!$A$15:$A$18,0)),"Yes","No")</f>
        <v>Yes</v>
      </c>
      <c r="O6107" s="31" t="str">
        <f aca="false">IF(H6107="","Open",IF(H6107&lt;=INDEX(Assumptions!$C$15:$C$18,MATCH(E6107,Assumptions!$A$15:$A$18,0)),"Yes","No"))</f>
        <v>Yes</v>
      </c>
    </row>
    <row r="6108" customFormat="false" ht="15" hidden="false" customHeight="false" outlineLevel="0" collapsed="false">
      <c r="A6108" s="31" t="s">
        <v>6258</v>
      </c>
      <c r="B6108" s="44" t="n">
        <v>46286</v>
      </c>
      <c r="C6108" s="31" t="s">
        <v>59</v>
      </c>
      <c r="D6108" s="31" t="s">
        <v>69</v>
      </c>
      <c r="E6108" s="31" t="s">
        <v>52</v>
      </c>
      <c r="F6108" s="31" t="s">
        <v>133</v>
      </c>
      <c r="G6108" s="31" t="n">
        <v>117</v>
      </c>
      <c r="H6108" s="41" t="n">
        <v>13.9</v>
      </c>
      <c r="I6108" s="31" t="s">
        <v>149</v>
      </c>
      <c r="J6108" s="31" t="n">
        <v>4</v>
      </c>
      <c r="K6108" s="31" t="s">
        <v>150</v>
      </c>
      <c r="L6108" s="45" t="n">
        <f aca="false">DATE(YEAR(B6108),MONTH(B6108),1)</f>
        <v>46266</v>
      </c>
      <c r="M6108" s="31" t="n">
        <f aca="false">WEEKDAY(B6108,2)</f>
        <v>1</v>
      </c>
      <c r="N6108" s="31" t="str">
        <f aca="false">IF(G6108&lt;=INDEX(Assumptions!$B$15:$B$18,MATCH(E6108,Assumptions!$A$15:$A$18,0)),"Yes","No")</f>
        <v>Yes</v>
      </c>
      <c r="O6108" s="31" t="str">
        <f aca="false">IF(H6108="","Open",IF(H6108&lt;=INDEX(Assumptions!$C$15:$C$18,MATCH(E6108,Assumptions!$A$15:$A$18,0)),"Yes","No"))</f>
        <v>Yes</v>
      </c>
    </row>
    <row r="6109" customFormat="false" ht="15" hidden="false" customHeight="false" outlineLevel="0" collapsed="false">
      <c r="A6109" s="31" t="s">
        <v>6259</v>
      </c>
      <c r="B6109" s="44" t="n">
        <v>46286</v>
      </c>
      <c r="C6109" s="31" t="s">
        <v>58</v>
      </c>
      <c r="D6109" s="31" t="s">
        <v>68</v>
      </c>
      <c r="E6109" s="31" t="s">
        <v>51</v>
      </c>
      <c r="F6109" s="31" t="s">
        <v>127</v>
      </c>
      <c r="G6109" s="31" t="n">
        <v>13</v>
      </c>
      <c r="H6109" s="41" t="n">
        <v>3.2</v>
      </c>
      <c r="I6109" s="31" t="s">
        <v>149</v>
      </c>
      <c r="J6109" s="31" t="n">
        <v>5</v>
      </c>
      <c r="K6109" s="31" t="s">
        <v>153</v>
      </c>
      <c r="L6109" s="45" t="n">
        <f aca="false">DATE(YEAR(B6109),MONTH(B6109),1)</f>
        <v>46266</v>
      </c>
      <c r="M6109" s="31" t="n">
        <f aca="false">WEEKDAY(B6109,2)</f>
        <v>1</v>
      </c>
      <c r="N6109" s="31" t="str">
        <f aca="false">IF(G6109&lt;=INDEX(Assumptions!$B$15:$B$18,MATCH(E6109,Assumptions!$A$15:$A$18,0)),"Yes","No")</f>
        <v>Yes</v>
      </c>
      <c r="O6109" s="31" t="str">
        <f aca="false">IF(H6109="","Open",IF(H6109&lt;=INDEX(Assumptions!$C$15:$C$18,MATCH(E6109,Assumptions!$A$15:$A$18,0)),"Yes","No"))</f>
        <v>Yes</v>
      </c>
    </row>
    <row r="6110" customFormat="false" ht="15" hidden="false" customHeight="false" outlineLevel="0" collapsed="false">
      <c r="A6110" s="31" t="s">
        <v>6260</v>
      </c>
      <c r="B6110" s="44" t="n">
        <v>46286</v>
      </c>
      <c r="C6110" s="31" t="s">
        <v>57</v>
      </c>
      <c r="D6110" s="31" t="s">
        <v>67</v>
      </c>
      <c r="E6110" s="31" t="s">
        <v>51</v>
      </c>
      <c r="F6110" s="31" t="s">
        <v>129</v>
      </c>
      <c r="G6110" s="31" t="n">
        <v>2</v>
      </c>
      <c r="H6110" s="41" t="n">
        <v>2.9</v>
      </c>
      <c r="I6110" s="31" t="s">
        <v>149</v>
      </c>
      <c r="J6110" s="31"/>
      <c r="K6110" s="31" t="s">
        <v>150</v>
      </c>
      <c r="L6110" s="45" t="n">
        <f aca="false">DATE(YEAR(B6110),MONTH(B6110),1)</f>
        <v>46266</v>
      </c>
      <c r="M6110" s="31" t="n">
        <f aca="false">WEEKDAY(B6110,2)</f>
        <v>1</v>
      </c>
      <c r="N6110" s="31" t="str">
        <f aca="false">IF(G6110&lt;=INDEX(Assumptions!$B$15:$B$18,MATCH(E6110,Assumptions!$A$15:$A$18,0)),"Yes","No")</f>
        <v>Yes</v>
      </c>
      <c r="O6110" s="31" t="str">
        <f aca="false">IF(H6110="","Open",IF(H6110&lt;=INDEX(Assumptions!$C$15:$C$18,MATCH(E6110,Assumptions!$A$15:$A$18,0)),"Yes","No"))</f>
        <v>Yes</v>
      </c>
    </row>
    <row r="6111" customFormat="false" ht="15" hidden="false" customHeight="false" outlineLevel="0" collapsed="false">
      <c r="A6111" s="31" t="s">
        <v>6261</v>
      </c>
      <c r="B6111" s="44" t="n">
        <v>46286</v>
      </c>
      <c r="C6111" s="31" t="s">
        <v>58</v>
      </c>
      <c r="D6111" s="31" t="s">
        <v>65</v>
      </c>
      <c r="E6111" s="31" t="s">
        <v>51</v>
      </c>
      <c r="F6111" s="31" t="s">
        <v>117</v>
      </c>
      <c r="G6111" s="31" t="n">
        <v>6</v>
      </c>
      <c r="H6111" s="41" t="n">
        <v>6.1</v>
      </c>
      <c r="I6111" s="31" t="s">
        <v>149</v>
      </c>
      <c r="J6111" s="31" t="n">
        <v>5</v>
      </c>
      <c r="K6111" s="31" t="s">
        <v>150</v>
      </c>
      <c r="L6111" s="45" t="n">
        <f aca="false">DATE(YEAR(B6111),MONTH(B6111),1)</f>
        <v>46266</v>
      </c>
      <c r="M6111" s="31" t="n">
        <f aca="false">WEEKDAY(B6111,2)</f>
        <v>1</v>
      </c>
      <c r="N6111" s="31" t="str">
        <f aca="false">IF(G6111&lt;=INDEX(Assumptions!$B$15:$B$18,MATCH(E6111,Assumptions!$A$15:$A$18,0)),"Yes","No")</f>
        <v>Yes</v>
      </c>
      <c r="O6111" s="31" t="str">
        <f aca="false">IF(H6111="","Open",IF(H6111&lt;=INDEX(Assumptions!$C$15:$C$18,MATCH(E6111,Assumptions!$A$15:$A$18,0)),"Yes","No"))</f>
        <v>Yes</v>
      </c>
    </row>
    <row r="6112" customFormat="false" ht="15" hidden="false" customHeight="false" outlineLevel="0" collapsed="false">
      <c r="A6112" s="31" t="s">
        <v>6262</v>
      </c>
      <c r="B6112" s="44" t="n">
        <v>46286</v>
      </c>
      <c r="C6112" s="31" t="s">
        <v>57</v>
      </c>
      <c r="D6112" s="31" t="s">
        <v>68</v>
      </c>
      <c r="E6112" s="31" t="s">
        <v>52</v>
      </c>
      <c r="F6112" s="31" t="s">
        <v>124</v>
      </c>
      <c r="G6112" s="31" t="n">
        <v>12</v>
      </c>
      <c r="H6112" s="41" t="n">
        <v>1.5</v>
      </c>
      <c r="I6112" s="31" t="s">
        <v>149</v>
      </c>
      <c r="J6112" s="31"/>
      <c r="K6112" s="31" t="s">
        <v>150</v>
      </c>
      <c r="L6112" s="45" t="n">
        <f aca="false">DATE(YEAR(B6112),MONTH(B6112),1)</f>
        <v>46266</v>
      </c>
      <c r="M6112" s="31" t="n">
        <f aca="false">WEEKDAY(B6112,2)</f>
        <v>1</v>
      </c>
      <c r="N6112" s="31" t="str">
        <f aca="false">IF(G6112&lt;=INDEX(Assumptions!$B$15:$B$18,MATCH(E6112,Assumptions!$A$15:$A$18,0)),"Yes","No")</f>
        <v>Yes</v>
      </c>
      <c r="O6112" s="31" t="str">
        <f aca="false">IF(H6112="","Open",IF(H6112&lt;=INDEX(Assumptions!$C$15:$C$18,MATCH(E6112,Assumptions!$A$15:$A$18,0)),"Yes","No"))</f>
        <v>Yes</v>
      </c>
    </row>
    <row r="6113" customFormat="false" ht="15" hidden="false" customHeight="false" outlineLevel="0" collapsed="false">
      <c r="A6113" s="31" t="s">
        <v>6263</v>
      </c>
      <c r="B6113" s="44" t="n">
        <v>46286</v>
      </c>
      <c r="C6113" s="31" t="s">
        <v>60</v>
      </c>
      <c r="D6113" s="31" t="s">
        <v>68</v>
      </c>
      <c r="E6113" s="31" t="s">
        <v>52</v>
      </c>
      <c r="F6113" s="31" t="s">
        <v>123</v>
      </c>
      <c r="G6113" s="31" t="n">
        <v>4</v>
      </c>
      <c r="H6113" s="41"/>
      <c r="I6113" s="31" t="s">
        <v>158</v>
      </c>
      <c r="J6113" s="31"/>
      <c r="K6113" s="31" t="s">
        <v>150</v>
      </c>
      <c r="L6113" s="45" t="n">
        <f aca="false">DATE(YEAR(B6113),MONTH(B6113),1)</f>
        <v>46266</v>
      </c>
      <c r="M6113" s="31" t="n">
        <f aca="false">WEEKDAY(B6113,2)</f>
        <v>1</v>
      </c>
      <c r="N6113" s="31" t="str">
        <f aca="false">IF(G6113&lt;=INDEX(Assumptions!$B$15:$B$18,MATCH(E6113,Assumptions!$A$15:$A$18,0)),"Yes","No")</f>
        <v>Yes</v>
      </c>
      <c r="O6113" s="31" t="str">
        <f aca="false">IF(H6113="","Open",IF(H6113&lt;=INDEX(Assumptions!$C$15:$C$18,MATCH(E6113,Assumptions!$A$15:$A$18,0)),"Yes","No"))</f>
        <v>Open</v>
      </c>
    </row>
    <row r="6114" customFormat="false" ht="15" hidden="false" customHeight="false" outlineLevel="0" collapsed="false">
      <c r="A6114" s="31" t="s">
        <v>6264</v>
      </c>
      <c r="B6114" s="44" t="n">
        <v>46286</v>
      </c>
      <c r="C6114" s="31" t="s">
        <v>58</v>
      </c>
      <c r="D6114" s="31" t="s">
        <v>67</v>
      </c>
      <c r="E6114" s="31" t="s">
        <v>52</v>
      </c>
      <c r="F6114" s="31" t="s">
        <v>129</v>
      </c>
      <c r="G6114" s="31" t="n">
        <v>5</v>
      </c>
      <c r="H6114" s="41" t="n">
        <v>20.8</v>
      </c>
      <c r="I6114" s="31" t="s">
        <v>149</v>
      </c>
      <c r="J6114" s="31" t="n">
        <v>5</v>
      </c>
      <c r="K6114" s="31" t="s">
        <v>150</v>
      </c>
      <c r="L6114" s="45" t="n">
        <f aca="false">DATE(YEAR(B6114),MONTH(B6114),1)</f>
        <v>46266</v>
      </c>
      <c r="M6114" s="31" t="n">
        <f aca="false">WEEKDAY(B6114,2)</f>
        <v>1</v>
      </c>
      <c r="N6114" s="31" t="str">
        <f aca="false">IF(G6114&lt;=INDEX(Assumptions!$B$15:$B$18,MATCH(E6114,Assumptions!$A$15:$A$18,0)),"Yes","No")</f>
        <v>Yes</v>
      </c>
      <c r="O6114" s="31" t="str">
        <f aca="false">IF(H6114="","Open",IF(H6114&lt;=INDEX(Assumptions!$C$15:$C$18,MATCH(E6114,Assumptions!$A$15:$A$18,0)),"Yes","No"))</f>
        <v>Yes</v>
      </c>
    </row>
    <row r="6115" customFormat="false" ht="15" hidden="false" customHeight="false" outlineLevel="0" collapsed="false">
      <c r="A6115" s="31" t="s">
        <v>6265</v>
      </c>
      <c r="B6115" s="44" t="n">
        <v>46286</v>
      </c>
      <c r="C6115" s="31" t="s">
        <v>59</v>
      </c>
      <c r="D6115" s="31" t="s">
        <v>69</v>
      </c>
      <c r="E6115" s="31" t="s">
        <v>51</v>
      </c>
      <c r="F6115" s="31" t="s">
        <v>128</v>
      </c>
      <c r="G6115" s="31" t="n">
        <v>281</v>
      </c>
      <c r="H6115" s="41" t="n">
        <v>26.3</v>
      </c>
      <c r="I6115" s="31" t="s">
        <v>149</v>
      </c>
      <c r="J6115" s="31" t="n">
        <v>3</v>
      </c>
      <c r="K6115" s="31" t="s">
        <v>150</v>
      </c>
      <c r="L6115" s="45" t="n">
        <f aca="false">DATE(YEAR(B6115),MONTH(B6115),1)</f>
        <v>46266</v>
      </c>
      <c r="M6115" s="31" t="n">
        <f aca="false">WEEKDAY(B6115,2)</f>
        <v>1</v>
      </c>
      <c r="N6115" s="31" t="str">
        <f aca="false">IF(G6115&lt;=INDEX(Assumptions!$B$15:$B$18,MATCH(E6115,Assumptions!$A$15:$A$18,0)),"Yes","No")</f>
        <v>No</v>
      </c>
      <c r="O6115" s="31" t="str">
        <f aca="false">IF(H6115="","Open",IF(H6115&lt;=INDEX(Assumptions!$C$15:$C$18,MATCH(E6115,Assumptions!$A$15:$A$18,0)),"Yes","No"))</f>
        <v>No</v>
      </c>
    </row>
    <row r="6116" customFormat="false" ht="15" hidden="false" customHeight="false" outlineLevel="0" collapsed="false">
      <c r="A6116" s="31" t="s">
        <v>6266</v>
      </c>
      <c r="B6116" s="44" t="n">
        <v>46286</v>
      </c>
      <c r="C6116" s="31" t="s">
        <v>59</v>
      </c>
      <c r="D6116" s="31" t="s">
        <v>66</v>
      </c>
      <c r="E6116" s="31" t="s">
        <v>52</v>
      </c>
      <c r="F6116" s="31" t="s">
        <v>134</v>
      </c>
      <c r="G6116" s="31" t="n">
        <v>194</v>
      </c>
      <c r="H6116" s="41" t="n">
        <v>9</v>
      </c>
      <c r="I6116" s="31" t="s">
        <v>149</v>
      </c>
      <c r="J6116" s="31" t="n">
        <v>5</v>
      </c>
      <c r="K6116" s="31" t="s">
        <v>150</v>
      </c>
      <c r="L6116" s="45" t="n">
        <f aca="false">DATE(YEAR(B6116),MONTH(B6116),1)</f>
        <v>46266</v>
      </c>
      <c r="M6116" s="31" t="n">
        <f aca="false">WEEKDAY(B6116,2)</f>
        <v>1</v>
      </c>
      <c r="N6116" s="31" t="str">
        <f aca="false">IF(G6116&lt;=INDEX(Assumptions!$B$15:$B$18,MATCH(E6116,Assumptions!$A$15:$A$18,0)),"Yes","No")</f>
        <v>Yes</v>
      </c>
      <c r="O6116" s="31" t="str">
        <f aca="false">IF(H6116="","Open",IF(H6116&lt;=INDEX(Assumptions!$C$15:$C$18,MATCH(E6116,Assumptions!$A$15:$A$18,0)),"Yes","No"))</f>
        <v>Yes</v>
      </c>
    </row>
    <row r="6117" customFormat="false" ht="15" hidden="false" customHeight="false" outlineLevel="0" collapsed="false">
      <c r="A6117" s="31" t="s">
        <v>6267</v>
      </c>
      <c r="B6117" s="44" t="n">
        <v>46286</v>
      </c>
      <c r="C6117" s="31" t="s">
        <v>58</v>
      </c>
      <c r="D6117" s="31" t="s">
        <v>66</v>
      </c>
      <c r="E6117" s="31" t="s">
        <v>51</v>
      </c>
      <c r="F6117" s="31" t="s">
        <v>135</v>
      </c>
      <c r="G6117" s="31" t="n">
        <v>39</v>
      </c>
      <c r="H6117" s="41" t="n">
        <v>16.5</v>
      </c>
      <c r="I6117" s="31" t="s">
        <v>149</v>
      </c>
      <c r="J6117" s="31" t="n">
        <v>3</v>
      </c>
      <c r="K6117" s="31" t="s">
        <v>150</v>
      </c>
      <c r="L6117" s="45" t="n">
        <f aca="false">DATE(YEAR(B6117),MONTH(B6117),1)</f>
        <v>46266</v>
      </c>
      <c r="M6117" s="31" t="n">
        <f aca="false">WEEKDAY(B6117,2)</f>
        <v>1</v>
      </c>
      <c r="N6117" s="31" t="str">
        <f aca="false">IF(G6117&lt;=INDEX(Assumptions!$B$15:$B$18,MATCH(E6117,Assumptions!$A$15:$A$18,0)),"Yes","No")</f>
        <v>Yes</v>
      </c>
      <c r="O6117" s="31" t="str">
        <f aca="false">IF(H6117="","Open",IF(H6117&lt;=INDEX(Assumptions!$C$15:$C$18,MATCH(E6117,Assumptions!$A$15:$A$18,0)),"Yes","No"))</f>
        <v>Yes</v>
      </c>
    </row>
    <row r="6118" customFormat="false" ht="15" hidden="false" customHeight="false" outlineLevel="0" collapsed="false">
      <c r="A6118" s="31" t="s">
        <v>6268</v>
      </c>
      <c r="B6118" s="44" t="n">
        <v>46286</v>
      </c>
      <c r="C6118" s="31" t="s">
        <v>57</v>
      </c>
      <c r="D6118" s="31" t="s">
        <v>65</v>
      </c>
      <c r="E6118" s="31" t="s">
        <v>51</v>
      </c>
      <c r="F6118" s="31" t="s">
        <v>127</v>
      </c>
      <c r="G6118" s="31" t="n">
        <v>3</v>
      </c>
      <c r="H6118" s="41" t="n">
        <v>9</v>
      </c>
      <c r="I6118" s="31" t="s">
        <v>149</v>
      </c>
      <c r="J6118" s="31" t="n">
        <v>5</v>
      </c>
      <c r="K6118" s="31" t="s">
        <v>150</v>
      </c>
      <c r="L6118" s="45" t="n">
        <f aca="false">DATE(YEAR(B6118),MONTH(B6118),1)</f>
        <v>46266</v>
      </c>
      <c r="M6118" s="31" t="n">
        <f aca="false">WEEKDAY(B6118,2)</f>
        <v>1</v>
      </c>
      <c r="N6118" s="31" t="str">
        <f aca="false">IF(G6118&lt;=INDEX(Assumptions!$B$15:$B$18,MATCH(E6118,Assumptions!$A$15:$A$18,0)),"Yes","No")</f>
        <v>Yes</v>
      </c>
      <c r="O6118" s="31" t="str">
        <f aca="false">IF(H6118="","Open",IF(H6118&lt;=INDEX(Assumptions!$C$15:$C$18,MATCH(E6118,Assumptions!$A$15:$A$18,0)),"Yes","No"))</f>
        <v>Yes</v>
      </c>
    </row>
    <row r="6119" customFormat="false" ht="15" hidden="false" customHeight="false" outlineLevel="0" collapsed="false">
      <c r="A6119" s="31" t="s">
        <v>6269</v>
      </c>
      <c r="B6119" s="44" t="n">
        <v>46286</v>
      </c>
      <c r="C6119" s="31" t="s">
        <v>57</v>
      </c>
      <c r="D6119" s="31" t="s">
        <v>66</v>
      </c>
      <c r="E6119" s="31" t="s">
        <v>51</v>
      </c>
      <c r="F6119" s="31" t="s">
        <v>123</v>
      </c>
      <c r="G6119" s="31" t="n">
        <v>5</v>
      </c>
      <c r="H6119" s="41"/>
      <c r="I6119" s="31" t="s">
        <v>158</v>
      </c>
      <c r="J6119" s="31"/>
      <c r="K6119" s="31" t="s">
        <v>150</v>
      </c>
      <c r="L6119" s="45" t="n">
        <f aca="false">DATE(YEAR(B6119),MONTH(B6119),1)</f>
        <v>46266</v>
      </c>
      <c r="M6119" s="31" t="n">
        <f aca="false">WEEKDAY(B6119,2)</f>
        <v>1</v>
      </c>
      <c r="N6119" s="31" t="str">
        <f aca="false">IF(G6119&lt;=INDEX(Assumptions!$B$15:$B$18,MATCH(E6119,Assumptions!$A$15:$A$18,0)),"Yes","No")</f>
        <v>Yes</v>
      </c>
      <c r="O6119" s="31" t="str">
        <f aca="false">IF(H6119="","Open",IF(H6119&lt;=INDEX(Assumptions!$C$15:$C$18,MATCH(E6119,Assumptions!$A$15:$A$18,0)),"Yes","No"))</f>
        <v>Open</v>
      </c>
    </row>
    <row r="6120" customFormat="false" ht="15" hidden="false" customHeight="false" outlineLevel="0" collapsed="false">
      <c r="A6120" s="31" t="s">
        <v>6270</v>
      </c>
      <c r="B6120" s="44" t="n">
        <v>46286</v>
      </c>
      <c r="C6120" s="31" t="s">
        <v>59</v>
      </c>
      <c r="D6120" s="31" t="s">
        <v>65</v>
      </c>
      <c r="E6120" s="31" t="s">
        <v>51</v>
      </c>
      <c r="F6120" s="31" t="s">
        <v>130</v>
      </c>
      <c r="G6120" s="31" t="n">
        <v>30</v>
      </c>
      <c r="H6120" s="41"/>
      <c r="I6120" s="31" t="s">
        <v>158</v>
      </c>
      <c r="J6120" s="31"/>
      <c r="K6120" s="31" t="s">
        <v>150</v>
      </c>
      <c r="L6120" s="45" t="n">
        <f aca="false">DATE(YEAR(B6120),MONTH(B6120),1)</f>
        <v>46266</v>
      </c>
      <c r="M6120" s="31" t="n">
        <f aca="false">WEEKDAY(B6120,2)</f>
        <v>1</v>
      </c>
      <c r="N6120" s="31" t="str">
        <f aca="false">IF(G6120&lt;=INDEX(Assumptions!$B$15:$B$18,MATCH(E6120,Assumptions!$A$15:$A$18,0)),"Yes","No")</f>
        <v>Yes</v>
      </c>
      <c r="O6120" s="31" t="str">
        <f aca="false">IF(H6120="","Open",IF(H6120&lt;=INDEX(Assumptions!$C$15:$C$18,MATCH(E6120,Assumptions!$A$15:$A$18,0)),"Yes","No"))</f>
        <v>Open</v>
      </c>
    </row>
    <row r="6121" customFormat="false" ht="15" hidden="false" customHeight="false" outlineLevel="0" collapsed="false">
      <c r="A6121" s="31" t="s">
        <v>6271</v>
      </c>
      <c r="B6121" s="44" t="n">
        <v>46286</v>
      </c>
      <c r="C6121" s="31" t="s">
        <v>59</v>
      </c>
      <c r="D6121" s="31" t="s">
        <v>65</v>
      </c>
      <c r="E6121" s="31" t="s">
        <v>49</v>
      </c>
      <c r="F6121" s="31" t="s">
        <v>117</v>
      </c>
      <c r="G6121" s="31" t="n">
        <v>76</v>
      </c>
      <c r="H6121" s="41"/>
      <c r="I6121" s="31" t="s">
        <v>158</v>
      </c>
      <c r="J6121" s="31"/>
      <c r="K6121" s="31" t="s">
        <v>150</v>
      </c>
      <c r="L6121" s="45" t="n">
        <f aca="false">DATE(YEAR(B6121),MONTH(B6121),1)</f>
        <v>46266</v>
      </c>
      <c r="M6121" s="31" t="n">
        <f aca="false">WEEKDAY(B6121,2)</f>
        <v>1</v>
      </c>
      <c r="N6121" s="31" t="str">
        <f aca="false">IF(G6121&lt;=INDEX(Assumptions!$B$15:$B$18,MATCH(E6121,Assumptions!$A$15:$A$18,0)),"Yes","No")</f>
        <v>No</v>
      </c>
      <c r="O6121" s="31" t="str">
        <f aca="false">IF(H6121="","Open",IF(H6121&lt;=INDEX(Assumptions!$C$15:$C$18,MATCH(E6121,Assumptions!$A$15:$A$18,0)),"Yes","No"))</f>
        <v>Open</v>
      </c>
    </row>
    <row r="6122" customFormat="false" ht="15" hidden="false" customHeight="false" outlineLevel="0" collapsed="false">
      <c r="A6122" s="31" t="s">
        <v>6272</v>
      </c>
      <c r="B6122" s="44" t="n">
        <v>46286</v>
      </c>
      <c r="C6122" s="31" t="s">
        <v>59</v>
      </c>
      <c r="D6122" s="31" t="s">
        <v>67</v>
      </c>
      <c r="E6122" s="31" t="s">
        <v>50</v>
      </c>
      <c r="F6122" s="31" t="s">
        <v>121</v>
      </c>
      <c r="G6122" s="31" t="n">
        <v>33</v>
      </c>
      <c r="H6122" s="41" t="n">
        <v>10.3</v>
      </c>
      <c r="I6122" s="31" t="s">
        <v>149</v>
      </c>
      <c r="J6122" s="31"/>
      <c r="K6122" s="31" t="s">
        <v>150</v>
      </c>
      <c r="L6122" s="45" t="n">
        <f aca="false">DATE(YEAR(B6122),MONTH(B6122),1)</f>
        <v>46266</v>
      </c>
      <c r="M6122" s="31" t="n">
        <f aca="false">WEEKDAY(B6122,2)</f>
        <v>1</v>
      </c>
      <c r="N6122" s="31" t="str">
        <f aca="false">IF(G6122&lt;=INDEX(Assumptions!$B$15:$B$18,MATCH(E6122,Assumptions!$A$15:$A$18,0)),"Yes","No")</f>
        <v>No</v>
      </c>
      <c r="O6122" s="31" t="str">
        <f aca="false">IF(H6122="","Open",IF(H6122&lt;=INDEX(Assumptions!$C$15:$C$18,MATCH(E6122,Assumptions!$A$15:$A$18,0)),"Yes","No"))</f>
        <v>No</v>
      </c>
    </row>
    <row r="6123" customFormat="false" ht="15" hidden="false" customHeight="false" outlineLevel="0" collapsed="false">
      <c r="A6123" s="31" t="s">
        <v>6273</v>
      </c>
      <c r="B6123" s="44" t="n">
        <v>46286</v>
      </c>
      <c r="C6123" s="31" t="s">
        <v>60</v>
      </c>
      <c r="D6123" s="31" t="s">
        <v>65</v>
      </c>
      <c r="E6123" s="31" t="s">
        <v>51</v>
      </c>
      <c r="F6123" s="31" t="s">
        <v>120</v>
      </c>
      <c r="G6123" s="31" t="n">
        <v>2</v>
      </c>
      <c r="H6123" s="41" t="n">
        <v>8.1</v>
      </c>
      <c r="I6123" s="31" t="s">
        <v>149</v>
      </c>
      <c r="J6123" s="31" t="n">
        <v>5</v>
      </c>
      <c r="K6123" s="31" t="s">
        <v>150</v>
      </c>
      <c r="L6123" s="45" t="n">
        <f aca="false">DATE(YEAR(B6123),MONTH(B6123),1)</f>
        <v>46266</v>
      </c>
      <c r="M6123" s="31" t="n">
        <f aca="false">WEEKDAY(B6123,2)</f>
        <v>1</v>
      </c>
      <c r="N6123" s="31" t="str">
        <f aca="false">IF(G6123&lt;=INDEX(Assumptions!$B$15:$B$18,MATCH(E6123,Assumptions!$A$15:$A$18,0)),"Yes","No")</f>
        <v>Yes</v>
      </c>
      <c r="O6123" s="31" t="str">
        <f aca="false">IF(H6123="","Open",IF(H6123&lt;=INDEX(Assumptions!$C$15:$C$18,MATCH(E6123,Assumptions!$A$15:$A$18,0)),"Yes","No"))</f>
        <v>Yes</v>
      </c>
    </row>
    <row r="6124" customFormat="false" ht="15" hidden="false" customHeight="false" outlineLevel="0" collapsed="false">
      <c r="A6124" s="31" t="s">
        <v>6274</v>
      </c>
      <c r="B6124" s="44" t="n">
        <v>46286</v>
      </c>
      <c r="C6124" s="31" t="s">
        <v>58</v>
      </c>
      <c r="D6124" s="31" t="s">
        <v>68</v>
      </c>
      <c r="E6124" s="31" t="s">
        <v>51</v>
      </c>
      <c r="F6124" s="31" t="s">
        <v>119</v>
      </c>
      <c r="G6124" s="31" t="n">
        <v>5</v>
      </c>
      <c r="H6124" s="41" t="n">
        <v>13.9</v>
      </c>
      <c r="I6124" s="31" t="s">
        <v>149</v>
      </c>
      <c r="J6124" s="31" t="n">
        <v>4</v>
      </c>
      <c r="K6124" s="31" t="s">
        <v>150</v>
      </c>
      <c r="L6124" s="45" t="n">
        <f aca="false">DATE(YEAR(B6124),MONTH(B6124),1)</f>
        <v>46266</v>
      </c>
      <c r="M6124" s="31" t="n">
        <f aca="false">WEEKDAY(B6124,2)</f>
        <v>1</v>
      </c>
      <c r="N6124" s="31" t="str">
        <f aca="false">IF(G6124&lt;=INDEX(Assumptions!$B$15:$B$18,MATCH(E6124,Assumptions!$A$15:$A$18,0)),"Yes","No")</f>
        <v>Yes</v>
      </c>
      <c r="O6124" s="31" t="str">
        <f aca="false">IF(H6124="","Open",IF(H6124&lt;=INDEX(Assumptions!$C$15:$C$18,MATCH(E6124,Assumptions!$A$15:$A$18,0)),"Yes","No"))</f>
        <v>Yes</v>
      </c>
    </row>
    <row r="6125" customFormat="false" ht="15" hidden="false" customHeight="false" outlineLevel="0" collapsed="false">
      <c r="A6125" s="31" t="s">
        <v>6275</v>
      </c>
      <c r="B6125" s="44" t="n">
        <v>46286</v>
      </c>
      <c r="C6125" s="31" t="s">
        <v>60</v>
      </c>
      <c r="D6125" s="31" t="s">
        <v>67</v>
      </c>
      <c r="E6125" s="31" t="s">
        <v>50</v>
      </c>
      <c r="F6125" s="31" t="s">
        <v>121</v>
      </c>
      <c r="G6125" s="31" t="n">
        <v>2</v>
      </c>
      <c r="H6125" s="41"/>
      <c r="I6125" s="31" t="s">
        <v>158</v>
      </c>
      <c r="J6125" s="31"/>
      <c r="K6125" s="31" t="s">
        <v>150</v>
      </c>
      <c r="L6125" s="45" t="n">
        <f aca="false">DATE(YEAR(B6125),MONTH(B6125),1)</f>
        <v>46266</v>
      </c>
      <c r="M6125" s="31" t="n">
        <f aca="false">WEEKDAY(B6125,2)</f>
        <v>1</v>
      </c>
      <c r="N6125" s="31" t="str">
        <f aca="false">IF(G6125&lt;=INDEX(Assumptions!$B$15:$B$18,MATCH(E6125,Assumptions!$A$15:$A$18,0)),"Yes","No")</f>
        <v>Yes</v>
      </c>
      <c r="O6125" s="31" t="str">
        <f aca="false">IF(H6125="","Open",IF(H6125&lt;=INDEX(Assumptions!$C$15:$C$18,MATCH(E6125,Assumptions!$A$15:$A$18,0)),"Yes","No"))</f>
        <v>Open</v>
      </c>
    </row>
    <row r="6126" customFormat="false" ht="15" hidden="false" customHeight="false" outlineLevel="0" collapsed="false">
      <c r="A6126" s="31" t="s">
        <v>6276</v>
      </c>
      <c r="B6126" s="44" t="n">
        <v>46286</v>
      </c>
      <c r="C6126" s="31" t="s">
        <v>57</v>
      </c>
      <c r="D6126" s="31" t="s">
        <v>69</v>
      </c>
      <c r="E6126" s="31" t="s">
        <v>51</v>
      </c>
      <c r="F6126" s="31" t="s">
        <v>130</v>
      </c>
      <c r="G6126" s="31" t="n">
        <v>4</v>
      </c>
      <c r="H6126" s="41" t="n">
        <v>18.9</v>
      </c>
      <c r="I6126" s="31" t="s">
        <v>64</v>
      </c>
      <c r="J6126" s="31" t="n">
        <v>3</v>
      </c>
      <c r="K6126" s="31" t="s">
        <v>150</v>
      </c>
      <c r="L6126" s="45" t="n">
        <f aca="false">DATE(YEAR(B6126),MONTH(B6126),1)</f>
        <v>46266</v>
      </c>
      <c r="M6126" s="31" t="n">
        <f aca="false">WEEKDAY(B6126,2)</f>
        <v>1</v>
      </c>
      <c r="N6126" s="31" t="str">
        <f aca="false">IF(G6126&lt;=INDEX(Assumptions!$B$15:$B$18,MATCH(E6126,Assumptions!$A$15:$A$18,0)),"Yes","No")</f>
        <v>Yes</v>
      </c>
      <c r="O6126" s="31" t="str">
        <f aca="false">IF(H6126="","Open",IF(H6126&lt;=INDEX(Assumptions!$C$15:$C$18,MATCH(E6126,Assumptions!$A$15:$A$18,0)),"Yes","No"))</f>
        <v>Yes</v>
      </c>
    </row>
    <row r="6127" customFormat="false" ht="15" hidden="false" customHeight="false" outlineLevel="0" collapsed="false">
      <c r="A6127" s="31" t="s">
        <v>6277</v>
      </c>
      <c r="B6127" s="44" t="n">
        <v>46286</v>
      </c>
      <c r="C6127" s="31" t="s">
        <v>57</v>
      </c>
      <c r="D6127" s="31" t="s">
        <v>66</v>
      </c>
      <c r="E6127" s="31" t="s">
        <v>51</v>
      </c>
      <c r="F6127" s="31" t="s">
        <v>131</v>
      </c>
      <c r="G6127" s="31" t="n">
        <v>22</v>
      </c>
      <c r="H6127" s="41"/>
      <c r="I6127" s="31" t="s">
        <v>158</v>
      </c>
      <c r="J6127" s="31"/>
      <c r="K6127" s="31" t="s">
        <v>150</v>
      </c>
      <c r="L6127" s="45" t="n">
        <f aca="false">DATE(YEAR(B6127),MONTH(B6127),1)</f>
        <v>46266</v>
      </c>
      <c r="M6127" s="31" t="n">
        <f aca="false">WEEKDAY(B6127,2)</f>
        <v>1</v>
      </c>
      <c r="N6127" s="31" t="str">
        <f aca="false">IF(G6127&lt;=INDEX(Assumptions!$B$15:$B$18,MATCH(E6127,Assumptions!$A$15:$A$18,0)),"Yes","No")</f>
        <v>Yes</v>
      </c>
      <c r="O6127" s="31" t="str">
        <f aca="false">IF(H6127="","Open",IF(H6127&lt;=INDEX(Assumptions!$C$15:$C$18,MATCH(E6127,Assumptions!$A$15:$A$18,0)),"Yes","No"))</f>
        <v>Open</v>
      </c>
    </row>
    <row r="6128" customFormat="false" ht="15" hidden="false" customHeight="false" outlineLevel="0" collapsed="false">
      <c r="A6128" s="31" t="s">
        <v>6278</v>
      </c>
      <c r="B6128" s="44" t="n">
        <v>46286</v>
      </c>
      <c r="C6128" s="31" t="s">
        <v>57</v>
      </c>
      <c r="D6128" s="31" t="s">
        <v>66</v>
      </c>
      <c r="E6128" s="31" t="s">
        <v>51</v>
      </c>
      <c r="F6128" s="31" t="s">
        <v>131</v>
      </c>
      <c r="G6128" s="31" t="n">
        <v>8</v>
      </c>
      <c r="H6128" s="41" t="n">
        <v>6</v>
      </c>
      <c r="I6128" s="31" t="s">
        <v>64</v>
      </c>
      <c r="J6128" s="31"/>
      <c r="K6128" s="31" t="s">
        <v>150</v>
      </c>
      <c r="L6128" s="45" t="n">
        <f aca="false">DATE(YEAR(B6128),MONTH(B6128),1)</f>
        <v>46266</v>
      </c>
      <c r="M6128" s="31" t="n">
        <f aca="false">WEEKDAY(B6128,2)</f>
        <v>1</v>
      </c>
      <c r="N6128" s="31" t="str">
        <f aca="false">IF(G6128&lt;=INDEX(Assumptions!$B$15:$B$18,MATCH(E6128,Assumptions!$A$15:$A$18,0)),"Yes","No")</f>
        <v>Yes</v>
      </c>
      <c r="O6128" s="31" t="str">
        <f aca="false">IF(H6128="","Open",IF(H6128&lt;=INDEX(Assumptions!$C$15:$C$18,MATCH(E6128,Assumptions!$A$15:$A$18,0)),"Yes","No"))</f>
        <v>Yes</v>
      </c>
    </row>
    <row r="6129" customFormat="false" ht="15" hidden="false" customHeight="false" outlineLevel="0" collapsed="false">
      <c r="A6129" s="31" t="s">
        <v>6279</v>
      </c>
      <c r="B6129" s="44" t="n">
        <v>46286</v>
      </c>
      <c r="C6129" s="31" t="s">
        <v>60</v>
      </c>
      <c r="D6129" s="31" t="s">
        <v>65</v>
      </c>
      <c r="E6129" s="31" t="s">
        <v>52</v>
      </c>
      <c r="F6129" s="31" t="s">
        <v>121</v>
      </c>
      <c r="G6129" s="31" t="n">
        <v>2</v>
      </c>
      <c r="H6129" s="41" t="n">
        <v>9.7</v>
      </c>
      <c r="I6129" s="31" t="s">
        <v>149</v>
      </c>
      <c r="J6129" s="31"/>
      <c r="K6129" s="31" t="s">
        <v>150</v>
      </c>
      <c r="L6129" s="45" t="n">
        <f aca="false">DATE(YEAR(B6129),MONTH(B6129),1)</f>
        <v>46266</v>
      </c>
      <c r="M6129" s="31" t="n">
        <f aca="false">WEEKDAY(B6129,2)</f>
        <v>1</v>
      </c>
      <c r="N6129" s="31" t="str">
        <f aca="false">IF(G6129&lt;=INDEX(Assumptions!$B$15:$B$18,MATCH(E6129,Assumptions!$A$15:$A$18,0)),"Yes","No")</f>
        <v>Yes</v>
      </c>
      <c r="O6129" s="31" t="str">
        <f aca="false">IF(H6129="","Open",IF(H6129&lt;=INDEX(Assumptions!$C$15:$C$18,MATCH(E6129,Assumptions!$A$15:$A$18,0)),"Yes","No"))</f>
        <v>Yes</v>
      </c>
    </row>
    <row r="6130" customFormat="false" ht="15" hidden="false" customHeight="false" outlineLevel="0" collapsed="false">
      <c r="A6130" s="31" t="s">
        <v>6280</v>
      </c>
      <c r="B6130" s="44" t="n">
        <v>46286</v>
      </c>
      <c r="C6130" s="31" t="s">
        <v>57</v>
      </c>
      <c r="D6130" s="31" t="s">
        <v>68</v>
      </c>
      <c r="E6130" s="31" t="s">
        <v>52</v>
      </c>
      <c r="F6130" s="31" t="s">
        <v>120</v>
      </c>
      <c r="G6130" s="31" t="n">
        <v>20</v>
      </c>
      <c r="H6130" s="41" t="n">
        <v>23.3</v>
      </c>
      <c r="I6130" s="31" t="s">
        <v>149</v>
      </c>
      <c r="J6130" s="31"/>
      <c r="K6130" s="31" t="s">
        <v>150</v>
      </c>
      <c r="L6130" s="45" t="n">
        <f aca="false">DATE(YEAR(B6130),MONTH(B6130),1)</f>
        <v>46266</v>
      </c>
      <c r="M6130" s="31" t="n">
        <f aca="false">WEEKDAY(B6130,2)</f>
        <v>1</v>
      </c>
      <c r="N6130" s="31" t="str">
        <f aca="false">IF(G6130&lt;=INDEX(Assumptions!$B$15:$B$18,MATCH(E6130,Assumptions!$A$15:$A$18,0)),"Yes","No")</f>
        <v>Yes</v>
      </c>
      <c r="O6130" s="31" t="str">
        <f aca="false">IF(H6130="","Open",IF(H6130&lt;=INDEX(Assumptions!$C$15:$C$18,MATCH(E6130,Assumptions!$A$15:$A$18,0)),"Yes","No"))</f>
        <v>Yes</v>
      </c>
    </row>
    <row r="6131" customFormat="false" ht="15" hidden="false" customHeight="false" outlineLevel="0" collapsed="false">
      <c r="A6131" s="31" t="s">
        <v>6281</v>
      </c>
      <c r="B6131" s="44" t="n">
        <v>46286</v>
      </c>
      <c r="C6131" s="31" t="s">
        <v>59</v>
      </c>
      <c r="D6131" s="31" t="s">
        <v>66</v>
      </c>
      <c r="E6131" s="31" t="s">
        <v>51</v>
      </c>
      <c r="F6131" s="31" t="s">
        <v>124</v>
      </c>
      <c r="G6131" s="31" t="n">
        <v>62</v>
      </c>
      <c r="H6131" s="41" t="n">
        <v>8</v>
      </c>
      <c r="I6131" s="31" t="s">
        <v>149</v>
      </c>
      <c r="J6131" s="31" t="n">
        <v>5</v>
      </c>
      <c r="K6131" s="31" t="s">
        <v>150</v>
      </c>
      <c r="L6131" s="45" t="n">
        <f aca="false">DATE(YEAR(B6131),MONTH(B6131),1)</f>
        <v>46266</v>
      </c>
      <c r="M6131" s="31" t="n">
        <f aca="false">WEEKDAY(B6131,2)</f>
        <v>1</v>
      </c>
      <c r="N6131" s="31" t="str">
        <f aca="false">IF(G6131&lt;=INDEX(Assumptions!$B$15:$B$18,MATCH(E6131,Assumptions!$A$15:$A$18,0)),"Yes","No")</f>
        <v>No</v>
      </c>
      <c r="O6131" s="31" t="str">
        <f aca="false">IF(H6131="","Open",IF(H6131&lt;=INDEX(Assumptions!$C$15:$C$18,MATCH(E6131,Assumptions!$A$15:$A$18,0)),"Yes","No"))</f>
        <v>Yes</v>
      </c>
    </row>
    <row r="6132" customFormat="false" ht="15" hidden="false" customHeight="false" outlineLevel="0" collapsed="false">
      <c r="A6132" s="31" t="s">
        <v>6282</v>
      </c>
      <c r="B6132" s="44" t="n">
        <v>46286</v>
      </c>
      <c r="C6132" s="31" t="s">
        <v>58</v>
      </c>
      <c r="D6132" s="31" t="s">
        <v>65</v>
      </c>
      <c r="E6132" s="31" t="s">
        <v>52</v>
      </c>
      <c r="F6132" s="31" t="s">
        <v>123</v>
      </c>
      <c r="G6132" s="31" t="n">
        <v>30</v>
      </c>
      <c r="H6132" s="41" t="n">
        <v>31.4</v>
      </c>
      <c r="I6132" s="31" t="s">
        <v>149</v>
      </c>
      <c r="J6132" s="31" t="n">
        <v>4</v>
      </c>
      <c r="K6132" s="31" t="s">
        <v>150</v>
      </c>
      <c r="L6132" s="45" t="n">
        <f aca="false">DATE(YEAR(B6132),MONTH(B6132),1)</f>
        <v>46266</v>
      </c>
      <c r="M6132" s="31" t="n">
        <f aca="false">WEEKDAY(B6132,2)</f>
        <v>1</v>
      </c>
      <c r="N6132" s="31" t="str">
        <f aca="false">IF(G6132&lt;=INDEX(Assumptions!$B$15:$B$18,MATCH(E6132,Assumptions!$A$15:$A$18,0)),"Yes","No")</f>
        <v>Yes</v>
      </c>
      <c r="O6132" s="31" t="str">
        <f aca="false">IF(H6132="","Open",IF(H6132&lt;=INDEX(Assumptions!$C$15:$C$18,MATCH(E6132,Assumptions!$A$15:$A$18,0)),"Yes","No"))</f>
        <v>Yes</v>
      </c>
    </row>
    <row r="6133" customFormat="false" ht="15" hidden="false" customHeight="false" outlineLevel="0" collapsed="false">
      <c r="A6133" s="31" t="s">
        <v>6283</v>
      </c>
      <c r="B6133" s="44" t="n">
        <v>46286</v>
      </c>
      <c r="C6133" s="31" t="s">
        <v>58</v>
      </c>
      <c r="D6133" s="31" t="s">
        <v>67</v>
      </c>
      <c r="E6133" s="31" t="s">
        <v>52</v>
      </c>
      <c r="F6133" s="31" t="s">
        <v>135</v>
      </c>
      <c r="G6133" s="31" t="n">
        <v>46</v>
      </c>
      <c r="H6133" s="41"/>
      <c r="I6133" s="31" t="s">
        <v>158</v>
      </c>
      <c r="J6133" s="31"/>
      <c r="K6133" s="31" t="s">
        <v>150</v>
      </c>
      <c r="L6133" s="45" t="n">
        <f aca="false">DATE(YEAR(B6133),MONTH(B6133),1)</f>
        <v>46266</v>
      </c>
      <c r="M6133" s="31" t="n">
        <f aca="false">WEEKDAY(B6133,2)</f>
        <v>1</v>
      </c>
      <c r="N6133" s="31" t="str">
        <f aca="false">IF(G6133&lt;=INDEX(Assumptions!$B$15:$B$18,MATCH(E6133,Assumptions!$A$15:$A$18,0)),"Yes","No")</f>
        <v>Yes</v>
      </c>
      <c r="O6133" s="31" t="str">
        <f aca="false">IF(H6133="","Open",IF(H6133&lt;=INDEX(Assumptions!$C$15:$C$18,MATCH(E6133,Assumptions!$A$15:$A$18,0)),"Yes","No"))</f>
        <v>Open</v>
      </c>
    </row>
    <row r="6134" customFormat="false" ht="15" hidden="false" customHeight="false" outlineLevel="0" collapsed="false">
      <c r="A6134" s="31" t="s">
        <v>6284</v>
      </c>
      <c r="B6134" s="44" t="n">
        <v>46286</v>
      </c>
      <c r="C6134" s="31" t="s">
        <v>57</v>
      </c>
      <c r="D6134" s="31" t="s">
        <v>66</v>
      </c>
      <c r="E6134" s="31" t="s">
        <v>50</v>
      </c>
      <c r="F6134" s="31" t="s">
        <v>136</v>
      </c>
      <c r="G6134" s="31" t="n">
        <v>11</v>
      </c>
      <c r="H6134" s="41"/>
      <c r="I6134" s="31" t="s">
        <v>158</v>
      </c>
      <c r="J6134" s="31"/>
      <c r="K6134" s="31" t="s">
        <v>150</v>
      </c>
      <c r="L6134" s="45" t="n">
        <f aca="false">DATE(YEAR(B6134),MONTH(B6134),1)</f>
        <v>46266</v>
      </c>
      <c r="M6134" s="31" t="n">
        <f aca="false">WEEKDAY(B6134,2)</f>
        <v>1</v>
      </c>
      <c r="N6134" s="31" t="str">
        <f aca="false">IF(G6134&lt;=INDEX(Assumptions!$B$15:$B$18,MATCH(E6134,Assumptions!$A$15:$A$18,0)),"Yes","No")</f>
        <v>Yes</v>
      </c>
      <c r="O6134" s="31" t="str">
        <f aca="false">IF(H6134="","Open",IF(H6134&lt;=INDEX(Assumptions!$C$15:$C$18,MATCH(E6134,Assumptions!$A$15:$A$18,0)),"Yes","No"))</f>
        <v>Open</v>
      </c>
    </row>
    <row r="6135" customFormat="false" ht="15" hidden="false" customHeight="false" outlineLevel="0" collapsed="false">
      <c r="A6135" s="31" t="s">
        <v>6285</v>
      </c>
      <c r="B6135" s="44" t="n">
        <v>46286</v>
      </c>
      <c r="C6135" s="31" t="s">
        <v>60</v>
      </c>
      <c r="D6135" s="31" t="s">
        <v>66</v>
      </c>
      <c r="E6135" s="31" t="s">
        <v>52</v>
      </c>
      <c r="F6135" s="31" t="s">
        <v>120</v>
      </c>
      <c r="G6135" s="31" t="n">
        <v>3</v>
      </c>
      <c r="H6135" s="41"/>
      <c r="I6135" s="31" t="s">
        <v>158</v>
      </c>
      <c r="J6135" s="31"/>
      <c r="K6135" s="31" t="s">
        <v>150</v>
      </c>
      <c r="L6135" s="45" t="n">
        <f aca="false">DATE(YEAR(B6135),MONTH(B6135),1)</f>
        <v>46266</v>
      </c>
      <c r="M6135" s="31" t="n">
        <f aca="false">WEEKDAY(B6135,2)</f>
        <v>1</v>
      </c>
      <c r="N6135" s="31" t="str">
        <f aca="false">IF(G6135&lt;=INDEX(Assumptions!$B$15:$B$18,MATCH(E6135,Assumptions!$A$15:$A$18,0)),"Yes","No")</f>
        <v>Yes</v>
      </c>
      <c r="O6135" s="31" t="str">
        <f aca="false">IF(H6135="","Open",IF(H6135&lt;=INDEX(Assumptions!$C$15:$C$18,MATCH(E6135,Assumptions!$A$15:$A$18,0)),"Yes","No"))</f>
        <v>Open</v>
      </c>
    </row>
    <row r="6136" customFormat="false" ht="15" hidden="false" customHeight="false" outlineLevel="0" collapsed="false">
      <c r="A6136" s="31" t="s">
        <v>6286</v>
      </c>
      <c r="B6136" s="44" t="n">
        <v>46286</v>
      </c>
      <c r="C6136" s="31" t="s">
        <v>57</v>
      </c>
      <c r="D6136" s="31" t="s">
        <v>66</v>
      </c>
      <c r="E6136" s="31" t="s">
        <v>51</v>
      </c>
      <c r="F6136" s="31" t="s">
        <v>135</v>
      </c>
      <c r="G6136" s="31" t="n">
        <v>3</v>
      </c>
      <c r="H6136" s="41"/>
      <c r="I6136" s="31" t="s">
        <v>158</v>
      </c>
      <c r="J6136" s="31"/>
      <c r="K6136" s="31" t="s">
        <v>150</v>
      </c>
      <c r="L6136" s="45" t="n">
        <f aca="false">DATE(YEAR(B6136),MONTH(B6136),1)</f>
        <v>46266</v>
      </c>
      <c r="M6136" s="31" t="n">
        <f aca="false">WEEKDAY(B6136,2)</f>
        <v>1</v>
      </c>
      <c r="N6136" s="31" t="str">
        <f aca="false">IF(G6136&lt;=INDEX(Assumptions!$B$15:$B$18,MATCH(E6136,Assumptions!$A$15:$A$18,0)),"Yes","No")</f>
        <v>Yes</v>
      </c>
      <c r="O6136" s="31" t="str">
        <f aca="false">IF(H6136="","Open",IF(H6136&lt;=INDEX(Assumptions!$C$15:$C$18,MATCH(E6136,Assumptions!$A$15:$A$18,0)),"Yes","No"))</f>
        <v>Open</v>
      </c>
    </row>
    <row r="6137" customFormat="false" ht="15" hidden="false" customHeight="false" outlineLevel="0" collapsed="false">
      <c r="A6137" s="31" t="s">
        <v>6287</v>
      </c>
      <c r="B6137" s="44" t="n">
        <v>46286</v>
      </c>
      <c r="C6137" s="31" t="s">
        <v>59</v>
      </c>
      <c r="D6137" s="31" t="s">
        <v>68</v>
      </c>
      <c r="E6137" s="31" t="s">
        <v>51</v>
      </c>
      <c r="F6137" s="31" t="s">
        <v>137</v>
      </c>
      <c r="G6137" s="31" t="n">
        <v>90</v>
      </c>
      <c r="H6137" s="41"/>
      <c r="I6137" s="31" t="s">
        <v>158</v>
      </c>
      <c r="J6137" s="31"/>
      <c r="K6137" s="31" t="s">
        <v>150</v>
      </c>
      <c r="L6137" s="45" t="n">
        <f aca="false">DATE(YEAR(B6137),MONTH(B6137),1)</f>
        <v>46266</v>
      </c>
      <c r="M6137" s="31" t="n">
        <f aca="false">WEEKDAY(B6137,2)</f>
        <v>1</v>
      </c>
      <c r="N6137" s="31" t="str">
        <f aca="false">IF(G6137&lt;=INDEX(Assumptions!$B$15:$B$18,MATCH(E6137,Assumptions!$A$15:$A$18,0)),"Yes","No")</f>
        <v>No</v>
      </c>
      <c r="O6137" s="31" t="str">
        <f aca="false">IF(H6137="","Open",IF(H6137&lt;=INDEX(Assumptions!$C$15:$C$18,MATCH(E6137,Assumptions!$A$15:$A$18,0)),"Yes","No"))</f>
        <v>Open</v>
      </c>
    </row>
    <row r="6138" customFormat="false" ht="15" hidden="false" customHeight="false" outlineLevel="0" collapsed="false">
      <c r="A6138" s="31" t="s">
        <v>6288</v>
      </c>
      <c r="B6138" s="44" t="n">
        <v>46286</v>
      </c>
      <c r="C6138" s="31" t="s">
        <v>57</v>
      </c>
      <c r="D6138" s="31" t="s">
        <v>65</v>
      </c>
      <c r="E6138" s="31" t="s">
        <v>50</v>
      </c>
      <c r="F6138" s="31" t="s">
        <v>119</v>
      </c>
      <c r="G6138" s="31" t="n">
        <v>8</v>
      </c>
      <c r="H6138" s="41" t="n">
        <v>6.2</v>
      </c>
      <c r="I6138" s="31" t="s">
        <v>149</v>
      </c>
      <c r="J6138" s="31" t="n">
        <v>4</v>
      </c>
      <c r="K6138" s="31" t="s">
        <v>150</v>
      </c>
      <c r="L6138" s="45" t="n">
        <f aca="false">DATE(YEAR(B6138),MONTH(B6138),1)</f>
        <v>46266</v>
      </c>
      <c r="M6138" s="31" t="n">
        <f aca="false">WEEKDAY(B6138,2)</f>
        <v>1</v>
      </c>
      <c r="N6138" s="31" t="str">
        <f aca="false">IF(G6138&lt;=INDEX(Assumptions!$B$15:$B$18,MATCH(E6138,Assumptions!$A$15:$A$18,0)),"Yes","No")</f>
        <v>Yes</v>
      </c>
      <c r="O6138" s="31" t="str">
        <f aca="false">IF(H6138="","Open",IF(H6138&lt;=INDEX(Assumptions!$C$15:$C$18,MATCH(E6138,Assumptions!$A$15:$A$18,0)),"Yes","No"))</f>
        <v>Yes</v>
      </c>
    </row>
    <row r="6139" customFormat="false" ht="15" hidden="false" customHeight="false" outlineLevel="0" collapsed="false">
      <c r="A6139" s="31" t="s">
        <v>6289</v>
      </c>
      <c r="B6139" s="44" t="n">
        <v>46286</v>
      </c>
      <c r="C6139" s="31" t="s">
        <v>59</v>
      </c>
      <c r="D6139" s="31" t="s">
        <v>65</v>
      </c>
      <c r="E6139" s="31" t="s">
        <v>52</v>
      </c>
      <c r="F6139" s="31" t="s">
        <v>134</v>
      </c>
      <c r="G6139" s="31" t="n">
        <v>101</v>
      </c>
      <c r="H6139" s="41"/>
      <c r="I6139" s="31" t="s">
        <v>158</v>
      </c>
      <c r="J6139" s="31"/>
      <c r="K6139" s="31" t="s">
        <v>150</v>
      </c>
      <c r="L6139" s="45" t="n">
        <f aca="false">DATE(YEAR(B6139),MONTH(B6139),1)</f>
        <v>46266</v>
      </c>
      <c r="M6139" s="31" t="n">
        <f aca="false">WEEKDAY(B6139,2)</f>
        <v>1</v>
      </c>
      <c r="N6139" s="31" t="str">
        <f aca="false">IF(G6139&lt;=INDEX(Assumptions!$B$15:$B$18,MATCH(E6139,Assumptions!$A$15:$A$18,0)),"Yes","No")</f>
        <v>Yes</v>
      </c>
      <c r="O6139" s="31" t="str">
        <f aca="false">IF(H6139="","Open",IF(H6139&lt;=INDEX(Assumptions!$C$15:$C$18,MATCH(E6139,Assumptions!$A$15:$A$18,0)),"Yes","No"))</f>
        <v>Open</v>
      </c>
    </row>
    <row r="6140" customFormat="false" ht="15" hidden="false" customHeight="false" outlineLevel="0" collapsed="false">
      <c r="A6140" s="31" t="s">
        <v>6290</v>
      </c>
      <c r="B6140" s="44" t="n">
        <v>46286</v>
      </c>
      <c r="C6140" s="31" t="s">
        <v>59</v>
      </c>
      <c r="D6140" s="31" t="s">
        <v>66</v>
      </c>
      <c r="E6140" s="31" t="s">
        <v>52</v>
      </c>
      <c r="F6140" s="31" t="s">
        <v>129</v>
      </c>
      <c r="G6140" s="31" t="n">
        <v>66</v>
      </c>
      <c r="H6140" s="41"/>
      <c r="I6140" s="31" t="s">
        <v>158</v>
      </c>
      <c r="J6140" s="31"/>
      <c r="K6140" s="31" t="s">
        <v>150</v>
      </c>
      <c r="L6140" s="45" t="n">
        <f aca="false">DATE(YEAR(B6140),MONTH(B6140),1)</f>
        <v>46266</v>
      </c>
      <c r="M6140" s="31" t="n">
        <f aca="false">WEEKDAY(B6140,2)</f>
        <v>1</v>
      </c>
      <c r="N6140" s="31" t="str">
        <f aca="false">IF(G6140&lt;=INDEX(Assumptions!$B$15:$B$18,MATCH(E6140,Assumptions!$A$15:$A$18,0)),"Yes","No")</f>
        <v>Yes</v>
      </c>
      <c r="O6140" s="31" t="str">
        <f aca="false">IF(H6140="","Open",IF(H6140&lt;=INDEX(Assumptions!$C$15:$C$18,MATCH(E6140,Assumptions!$A$15:$A$18,0)),"Yes","No"))</f>
        <v>Open</v>
      </c>
    </row>
    <row r="6141" customFormat="false" ht="15" hidden="false" customHeight="false" outlineLevel="0" collapsed="false">
      <c r="A6141" s="31" t="s">
        <v>6291</v>
      </c>
      <c r="B6141" s="44" t="n">
        <v>46286</v>
      </c>
      <c r="C6141" s="31" t="s">
        <v>58</v>
      </c>
      <c r="D6141" s="31" t="s">
        <v>66</v>
      </c>
      <c r="E6141" s="31" t="s">
        <v>50</v>
      </c>
      <c r="F6141" s="31" t="s">
        <v>121</v>
      </c>
      <c r="G6141" s="31" t="n">
        <v>11</v>
      </c>
      <c r="H6141" s="41"/>
      <c r="I6141" s="31" t="s">
        <v>158</v>
      </c>
      <c r="J6141" s="31"/>
      <c r="K6141" s="31" t="s">
        <v>150</v>
      </c>
      <c r="L6141" s="45" t="n">
        <f aca="false">DATE(YEAR(B6141),MONTH(B6141),1)</f>
        <v>46266</v>
      </c>
      <c r="M6141" s="31" t="n">
        <f aca="false">WEEKDAY(B6141,2)</f>
        <v>1</v>
      </c>
      <c r="N6141" s="31" t="str">
        <f aca="false">IF(G6141&lt;=INDEX(Assumptions!$B$15:$B$18,MATCH(E6141,Assumptions!$A$15:$A$18,0)),"Yes","No")</f>
        <v>Yes</v>
      </c>
      <c r="O6141" s="31" t="str">
        <f aca="false">IF(H6141="","Open",IF(H6141&lt;=INDEX(Assumptions!$C$15:$C$18,MATCH(E6141,Assumptions!$A$15:$A$18,0)),"Yes","No"))</f>
        <v>Open</v>
      </c>
    </row>
    <row r="6142" customFormat="false" ht="15" hidden="false" customHeight="false" outlineLevel="0" collapsed="false">
      <c r="A6142" s="31" t="s">
        <v>6292</v>
      </c>
      <c r="B6142" s="44" t="n">
        <v>46286</v>
      </c>
      <c r="C6142" s="31" t="s">
        <v>59</v>
      </c>
      <c r="D6142" s="31" t="s">
        <v>66</v>
      </c>
      <c r="E6142" s="31" t="s">
        <v>52</v>
      </c>
      <c r="F6142" s="31" t="s">
        <v>133</v>
      </c>
      <c r="G6142" s="31" t="n">
        <v>35</v>
      </c>
      <c r="H6142" s="41"/>
      <c r="I6142" s="31" t="s">
        <v>158</v>
      </c>
      <c r="J6142" s="31"/>
      <c r="K6142" s="31" t="s">
        <v>150</v>
      </c>
      <c r="L6142" s="45" t="n">
        <f aca="false">DATE(YEAR(B6142),MONTH(B6142),1)</f>
        <v>46266</v>
      </c>
      <c r="M6142" s="31" t="n">
        <f aca="false">WEEKDAY(B6142,2)</f>
        <v>1</v>
      </c>
      <c r="N6142" s="31" t="str">
        <f aca="false">IF(G6142&lt;=INDEX(Assumptions!$B$15:$B$18,MATCH(E6142,Assumptions!$A$15:$A$18,0)),"Yes","No")</f>
        <v>Yes</v>
      </c>
      <c r="O6142" s="31" t="str">
        <f aca="false">IF(H6142="","Open",IF(H6142&lt;=INDEX(Assumptions!$C$15:$C$18,MATCH(E6142,Assumptions!$A$15:$A$18,0)),"Yes","No"))</f>
        <v>Open</v>
      </c>
    </row>
    <row r="6143" customFormat="false" ht="15" hidden="false" customHeight="false" outlineLevel="0" collapsed="false">
      <c r="A6143" s="31" t="s">
        <v>6293</v>
      </c>
      <c r="B6143" s="44" t="n">
        <v>46286</v>
      </c>
      <c r="C6143" s="31" t="s">
        <v>59</v>
      </c>
      <c r="D6143" s="31" t="s">
        <v>68</v>
      </c>
      <c r="E6143" s="31" t="s">
        <v>52</v>
      </c>
      <c r="F6143" s="31" t="s">
        <v>137</v>
      </c>
      <c r="G6143" s="31" t="n">
        <v>127</v>
      </c>
      <c r="H6143" s="41" t="n">
        <v>3.8</v>
      </c>
      <c r="I6143" s="31" t="s">
        <v>149</v>
      </c>
      <c r="J6143" s="31" t="n">
        <v>4</v>
      </c>
      <c r="K6143" s="31" t="s">
        <v>150</v>
      </c>
      <c r="L6143" s="45" t="n">
        <f aca="false">DATE(YEAR(B6143),MONTH(B6143),1)</f>
        <v>46266</v>
      </c>
      <c r="M6143" s="31" t="n">
        <f aca="false">WEEKDAY(B6143,2)</f>
        <v>1</v>
      </c>
      <c r="N6143" s="31" t="str">
        <f aca="false">IF(G6143&lt;=INDEX(Assumptions!$B$15:$B$18,MATCH(E6143,Assumptions!$A$15:$A$18,0)),"Yes","No")</f>
        <v>Yes</v>
      </c>
      <c r="O6143" s="31" t="str">
        <f aca="false">IF(H6143="","Open",IF(H6143&lt;=INDEX(Assumptions!$C$15:$C$18,MATCH(E6143,Assumptions!$A$15:$A$18,0)),"Yes","No"))</f>
        <v>Yes</v>
      </c>
    </row>
    <row r="6144" customFormat="false" ht="15" hidden="false" customHeight="false" outlineLevel="0" collapsed="false">
      <c r="A6144" s="31" t="s">
        <v>6294</v>
      </c>
      <c r="B6144" s="44" t="n">
        <v>46286</v>
      </c>
      <c r="C6144" s="31" t="s">
        <v>59</v>
      </c>
      <c r="D6144" s="31" t="s">
        <v>65</v>
      </c>
      <c r="E6144" s="31" t="s">
        <v>51</v>
      </c>
      <c r="F6144" s="31" t="s">
        <v>135</v>
      </c>
      <c r="G6144" s="31" t="n">
        <v>216</v>
      </c>
      <c r="H6144" s="41" t="n">
        <v>11.3</v>
      </c>
      <c r="I6144" s="31" t="s">
        <v>149</v>
      </c>
      <c r="J6144" s="31" t="n">
        <v>4</v>
      </c>
      <c r="K6144" s="31" t="s">
        <v>150</v>
      </c>
      <c r="L6144" s="45" t="n">
        <f aca="false">DATE(YEAR(B6144),MONTH(B6144),1)</f>
        <v>46266</v>
      </c>
      <c r="M6144" s="31" t="n">
        <f aca="false">WEEKDAY(B6144,2)</f>
        <v>1</v>
      </c>
      <c r="N6144" s="31" t="str">
        <f aca="false">IF(G6144&lt;=INDEX(Assumptions!$B$15:$B$18,MATCH(E6144,Assumptions!$A$15:$A$18,0)),"Yes","No")</f>
        <v>No</v>
      </c>
      <c r="O6144" s="31" t="str">
        <f aca="false">IF(H6144="","Open",IF(H6144&lt;=INDEX(Assumptions!$C$15:$C$18,MATCH(E6144,Assumptions!$A$15:$A$18,0)),"Yes","No"))</f>
        <v>Yes</v>
      </c>
    </row>
    <row r="6145" customFormat="false" ht="15" hidden="false" customHeight="false" outlineLevel="0" collapsed="false">
      <c r="A6145" s="31" t="s">
        <v>6295</v>
      </c>
      <c r="B6145" s="44" t="n">
        <v>46286</v>
      </c>
      <c r="C6145" s="31" t="s">
        <v>60</v>
      </c>
      <c r="D6145" s="31" t="s">
        <v>66</v>
      </c>
      <c r="E6145" s="31" t="s">
        <v>52</v>
      </c>
      <c r="F6145" s="31" t="s">
        <v>117</v>
      </c>
      <c r="G6145" s="31" t="n">
        <v>2</v>
      </c>
      <c r="H6145" s="41"/>
      <c r="I6145" s="31" t="s">
        <v>158</v>
      </c>
      <c r="J6145" s="31"/>
      <c r="K6145" s="31" t="s">
        <v>150</v>
      </c>
      <c r="L6145" s="45" t="n">
        <f aca="false">DATE(YEAR(B6145),MONTH(B6145),1)</f>
        <v>46266</v>
      </c>
      <c r="M6145" s="31" t="n">
        <f aca="false">WEEKDAY(B6145,2)</f>
        <v>1</v>
      </c>
      <c r="N6145" s="31" t="str">
        <f aca="false">IF(G6145&lt;=INDEX(Assumptions!$B$15:$B$18,MATCH(E6145,Assumptions!$A$15:$A$18,0)),"Yes","No")</f>
        <v>Yes</v>
      </c>
      <c r="O6145" s="31" t="str">
        <f aca="false">IF(H6145="","Open",IF(H6145&lt;=INDEX(Assumptions!$C$15:$C$18,MATCH(E6145,Assumptions!$A$15:$A$18,0)),"Yes","No"))</f>
        <v>Open</v>
      </c>
    </row>
    <row r="6146" customFormat="false" ht="15" hidden="false" customHeight="false" outlineLevel="0" collapsed="false">
      <c r="A6146" s="31" t="s">
        <v>6296</v>
      </c>
      <c r="B6146" s="44" t="n">
        <v>46286</v>
      </c>
      <c r="C6146" s="31" t="s">
        <v>58</v>
      </c>
      <c r="D6146" s="31" t="s">
        <v>68</v>
      </c>
      <c r="E6146" s="31" t="s">
        <v>52</v>
      </c>
      <c r="F6146" s="31" t="s">
        <v>122</v>
      </c>
      <c r="G6146" s="31" t="n">
        <v>23</v>
      </c>
      <c r="H6146" s="41"/>
      <c r="I6146" s="31" t="s">
        <v>158</v>
      </c>
      <c r="J6146" s="31"/>
      <c r="K6146" s="31" t="s">
        <v>150</v>
      </c>
      <c r="L6146" s="45" t="n">
        <f aca="false">DATE(YEAR(B6146),MONTH(B6146),1)</f>
        <v>46266</v>
      </c>
      <c r="M6146" s="31" t="n">
        <f aca="false">WEEKDAY(B6146,2)</f>
        <v>1</v>
      </c>
      <c r="N6146" s="31" t="str">
        <f aca="false">IF(G6146&lt;=INDEX(Assumptions!$B$15:$B$18,MATCH(E6146,Assumptions!$A$15:$A$18,0)),"Yes","No")</f>
        <v>Yes</v>
      </c>
      <c r="O6146" s="31" t="str">
        <f aca="false">IF(H6146="","Open",IF(H6146&lt;=INDEX(Assumptions!$C$15:$C$18,MATCH(E6146,Assumptions!$A$15:$A$18,0)),"Yes","No"))</f>
        <v>Open</v>
      </c>
    </row>
    <row r="6147" customFormat="false" ht="15" hidden="false" customHeight="false" outlineLevel="0" collapsed="false">
      <c r="A6147" s="31" t="s">
        <v>6297</v>
      </c>
      <c r="B6147" s="44" t="n">
        <v>46286</v>
      </c>
      <c r="C6147" s="31" t="s">
        <v>57</v>
      </c>
      <c r="D6147" s="31" t="s">
        <v>65</v>
      </c>
      <c r="E6147" s="31" t="s">
        <v>51</v>
      </c>
      <c r="F6147" s="31" t="s">
        <v>133</v>
      </c>
      <c r="G6147" s="31" t="n">
        <v>8</v>
      </c>
      <c r="H6147" s="41"/>
      <c r="I6147" s="31" t="s">
        <v>158</v>
      </c>
      <c r="J6147" s="31"/>
      <c r="K6147" s="31" t="s">
        <v>150</v>
      </c>
      <c r="L6147" s="45" t="n">
        <f aca="false">DATE(YEAR(B6147),MONTH(B6147),1)</f>
        <v>46266</v>
      </c>
      <c r="M6147" s="31" t="n">
        <f aca="false">WEEKDAY(B6147,2)</f>
        <v>1</v>
      </c>
      <c r="N6147" s="31" t="str">
        <f aca="false">IF(G6147&lt;=INDEX(Assumptions!$B$15:$B$18,MATCH(E6147,Assumptions!$A$15:$A$18,0)),"Yes","No")</f>
        <v>Yes</v>
      </c>
      <c r="O6147" s="31" t="str">
        <f aca="false">IF(H6147="","Open",IF(H6147&lt;=INDEX(Assumptions!$C$15:$C$18,MATCH(E6147,Assumptions!$A$15:$A$18,0)),"Yes","No"))</f>
        <v>Open</v>
      </c>
    </row>
    <row r="6148" customFormat="false" ht="15" hidden="false" customHeight="false" outlineLevel="0" collapsed="false">
      <c r="A6148" s="31" t="s">
        <v>6298</v>
      </c>
      <c r="B6148" s="44" t="n">
        <v>46286</v>
      </c>
      <c r="C6148" s="31" t="s">
        <v>59</v>
      </c>
      <c r="D6148" s="31" t="s">
        <v>67</v>
      </c>
      <c r="E6148" s="31" t="s">
        <v>52</v>
      </c>
      <c r="F6148" s="31" t="s">
        <v>129</v>
      </c>
      <c r="G6148" s="31" t="n">
        <v>52</v>
      </c>
      <c r="H6148" s="41" t="n">
        <v>28.6</v>
      </c>
      <c r="I6148" s="31" t="s">
        <v>149</v>
      </c>
      <c r="J6148" s="31" t="n">
        <v>5</v>
      </c>
      <c r="K6148" s="31" t="s">
        <v>150</v>
      </c>
      <c r="L6148" s="45" t="n">
        <f aca="false">DATE(YEAR(B6148),MONTH(B6148),1)</f>
        <v>46266</v>
      </c>
      <c r="M6148" s="31" t="n">
        <f aca="false">WEEKDAY(B6148,2)</f>
        <v>1</v>
      </c>
      <c r="N6148" s="31" t="str">
        <f aca="false">IF(G6148&lt;=INDEX(Assumptions!$B$15:$B$18,MATCH(E6148,Assumptions!$A$15:$A$18,0)),"Yes","No")</f>
        <v>Yes</v>
      </c>
      <c r="O6148" s="31" t="str">
        <f aca="false">IF(H6148="","Open",IF(H6148&lt;=INDEX(Assumptions!$C$15:$C$18,MATCH(E6148,Assumptions!$A$15:$A$18,0)),"Yes","No"))</f>
        <v>Yes</v>
      </c>
    </row>
    <row r="6149" customFormat="false" ht="15" hidden="false" customHeight="false" outlineLevel="0" collapsed="false">
      <c r="A6149" s="31" t="s">
        <v>6299</v>
      </c>
      <c r="B6149" s="44" t="n">
        <v>46286</v>
      </c>
      <c r="C6149" s="31" t="s">
        <v>57</v>
      </c>
      <c r="D6149" s="31" t="s">
        <v>66</v>
      </c>
      <c r="E6149" s="31" t="s">
        <v>52</v>
      </c>
      <c r="F6149" s="31" t="s">
        <v>127</v>
      </c>
      <c r="G6149" s="31" t="n">
        <v>3</v>
      </c>
      <c r="H6149" s="41" t="n">
        <v>3.1</v>
      </c>
      <c r="I6149" s="31" t="s">
        <v>149</v>
      </c>
      <c r="J6149" s="31" t="n">
        <v>5</v>
      </c>
      <c r="K6149" s="31" t="s">
        <v>150</v>
      </c>
      <c r="L6149" s="45" t="n">
        <f aca="false">DATE(YEAR(B6149),MONTH(B6149),1)</f>
        <v>46266</v>
      </c>
      <c r="M6149" s="31" t="n">
        <f aca="false">WEEKDAY(B6149,2)</f>
        <v>1</v>
      </c>
      <c r="N6149" s="31" t="str">
        <f aca="false">IF(G6149&lt;=INDEX(Assumptions!$B$15:$B$18,MATCH(E6149,Assumptions!$A$15:$A$18,0)),"Yes","No")</f>
        <v>Yes</v>
      </c>
      <c r="O6149" s="31" t="str">
        <f aca="false">IF(H6149="","Open",IF(H6149&lt;=INDEX(Assumptions!$C$15:$C$18,MATCH(E6149,Assumptions!$A$15:$A$18,0)),"Yes","No"))</f>
        <v>Yes</v>
      </c>
    </row>
    <row r="6150" customFormat="false" ht="15" hidden="false" customHeight="false" outlineLevel="0" collapsed="false">
      <c r="A6150" s="31" t="s">
        <v>6300</v>
      </c>
      <c r="B6150" s="44" t="n">
        <v>46286</v>
      </c>
      <c r="C6150" s="31" t="s">
        <v>57</v>
      </c>
      <c r="D6150" s="31" t="s">
        <v>65</v>
      </c>
      <c r="E6150" s="31" t="s">
        <v>51</v>
      </c>
      <c r="F6150" s="31" t="s">
        <v>121</v>
      </c>
      <c r="G6150" s="31" t="n">
        <v>4</v>
      </c>
      <c r="H6150" s="41" t="n">
        <v>22</v>
      </c>
      <c r="I6150" s="31" t="s">
        <v>149</v>
      </c>
      <c r="J6150" s="31"/>
      <c r="K6150" s="31" t="s">
        <v>150</v>
      </c>
      <c r="L6150" s="45" t="n">
        <f aca="false">DATE(YEAR(B6150),MONTH(B6150),1)</f>
        <v>46266</v>
      </c>
      <c r="M6150" s="31" t="n">
        <f aca="false">WEEKDAY(B6150,2)</f>
        <v>1</v>
      </c>
      <c r="N6150" s="31" t="str">
        <f aca="false">IF(G6150&lt;=INDEX(Assumptions!$B$15:$B$18,MATCH(E6150,Assumptions!$A$15:$A$18,0)),"Yes","No")</f>
        <v>Yes</v>
      </c>
      <c r="O6150" s="31" t="str">
        <f aca="false">IF(H6150="","Open",IF(H6150&lt;=INDEX(Assumptions!$C$15:$C$18,MATCH(E6150,Assumptions!$A$15:$A$18,0)),"Yes","No"))</f>
        <v>Yes</v>
      </c>
    </row>
    <row r="6151" customFormat="false" ht="15" hidden="false" customHeight="false" outlineLevel="0" collapsed="false">
      <c r="A6151" s="31" t="s">
        <v>6301</v>
      </c>
      <c r="B6151" s="44" t="n">
        <v>46286</v>
      </c>
      <c r="C6151" s="31" t="s">
        <v>60</v>
      </c>
      <c r="D6151" s="31" t="s">
        <v>67</v>
      </c>
      <c r="E6151" s="31" t="s">
        <v>50</v>
      </c>
      <c r="F6151" s="31" t="s">
        <v>135</v>
      </c>
      <c r="G6151" s="31" t="n">
        <v>13</v>
      </c>
      <c r="H6151" s="41"/>
      <c r="I6151" s="31" t="s">
        <v>158</v>
      </c>
      <c r="J6151" s="31"/>
      <c r="K6151" s="31" t="s">
        <v>150</v>
      </c>
      <c r="L6151" s="45" t="n">
        <f aca="false">DATE(YEAR(B6151),MONTH(B6151),1)</f>
        <v>46266</v>
      </c>
      <c r="M6151" s="31" t="n">
        <f aca="false">WEEKDAY(B6151,2)</f>
        <v>1</v>
      </c>
      <c r="N6151" s="31" t="str">
        <f aca="false">IF(G6151&lt;=INDEX(Assumptions!$B$15:$B$18,MATCH(E6151,Assumptions!$A$15:$A$18,0)),"Yes","No")</f>
        <v>Yes</v>
      </c>
      <c r="O6151" s="31" t="str">
        <f aca="false">IF(H6151="","Open",IF(H6151&lt;=INDEX(Assumptions!$C$15:$C$18,MATCH(E6151,Assumptions!$A$15:$A$18,0)),"Yes","No"))</f>
        <v>Open</v>
      </c>
    </row>
    <row r="6152" customFormat="false" ht="15" hidden="false" customHeight="false" outlineLevel="0" collapsed="false">
      <c r="A6152" s="31" t="s">
        <v>6302</v>
      </c>
      <c r="B6152" s="44" t="n">
        <v>46286</v>
      </c>
      <c r="C6152" s="31" t="s">
        <v>59</v>
      </c>
      <c r="D6152" s="31" t="s">
        <v>69</v>
      </c>
      <c r="E6152" s="31" t="s">
        <v>51</v>
      </c>
      <c r="F6152" s="31" t="s">
        <v>129</v>
      </c>
      <c r="G6152" s="31" t="n">
        <v>166</v>
      </c>
      <c r="H6152" s="41" t="n">
        <v>13.8</v>
      </c>
      <c r="I6152" s="31" t="s">
        <v>149</v>
      </c>
      <c r="J6152" s="31"/>
      <c r="K6152" s="31" t="s">
        <v>150</v>
      </c>
      <c r="L6152" s="45" t="n">
        <f aca="false">DATE(YEAR(B6152),MONTH(B6152),1)</f>
        <v>46266</v>
      </c>
      <c r="M6152" s="31" t="n">
        <f aca="false">WEEKDAY(B6152,2)</f>
        <v>1</v>
      </c>
      <c r="N6152" s="31" t="str">
        <f aca="false">IF(G6152&lt;=INDEX(Assumptions!$B$15:$B$18,MATCH(E6152,Assumptions!$A$15:$A$18,0)),"Yes","No")</f>
        <v>No</v>
      </c>
      <c r="O6152" s="31" t="str">
        <f aca="false">IF(H6152="","Open",IF(H6152&lt;=INDEX(Assumptions!$C$15:$C$18,MATCH(E6152,Assumptions!$A$15:$A$18,0)),"Yes","No"))</f>
        <v>Yes</v>
      </c>
    </row>
    <row r="6153" customFormat="false" ht="15" hidden="false" customHeight="false" outlineLevel="0" collapsed="false">
      <c r="A6153" s="31" t="s">
        <v>6303</v>
      </c>
      <c r="B6153" s="44" t="n">
        <v>46286</v>
      </c>
      <c r="C6153" s="31" t="s">
        <v>60</v>
      </c>
      <c r="D6153" s="31" t="s">
        <v>66</v>
      </c>
      <c r="E6153" s="31" t="s">
        <v>50</v>
      </c>
      <c r="F6153" s="31" t="s">
        <v>137</v>
      </c>
      <c r="G6153" s="31" t="n">
        <v>2</v>
      </c>
      <c r="H6153" s="41"/>
      <c r="I6153" s="31" t="s">
        <v>158</v>
      </c>
      <c r="J6153" s="31"/>
      <c r="K6153" s="31" t="s">
        <v>150</v>
      </c>
      <c r="L6153" s="45" t="n">
        <f aca="false">DATE(YEAR(B6153),MONTH(B6153),1)</f>
        <v>46266</v>
      </c>
      <c r="M6153" s="31" t="n">
        <f aca="false">WEEKDAY(B6153,2)</f>
        <v>1</v>
      </c>
      <c r="N6153" s="31" t="str">
        <f aca="false">IF(G6153&lt;=INDEX(Assumptions!$B$15:$B$18,MATCH(E6153,Assumptions!$A$15:$A$18,0)),"Yes","No")</f>
        <v>Yes</v>
      </c>
      <c r="O6153" s="31" t="str">
        <f aca="false">IF(H6153="","Open",IF(H6153&lt;=INDEX(Assumptions!$C$15:$C$18,MATCH(E6153,Assumptions!$A$15:$A$18,0)),"Yes","No"))</f>
        <v>Open</v>
      </c>
    </row>
    <row r="6154" customFormat="false" ht="15" hidden="false" customHeight="false" outlineLevel="0" collapsed="false">
      <c r="A6154" s="31" t="s">
        <v>6304</v>
      </c>
      <c r="B6154" s="44" t="n">
        <v>46286</v>
      </c>
      <c r="C6154" s="31" t="s">
        <v>58</v>
      </c>
      <c r="D6154" s="31" t="s">
        <v>67</v>
      </c>
      <c r="E6154" s="31" t="s">
        <v>49</v>
      </c>
      <c r="F6154" s="31" t="s">
        <v>127</v>
      </c>
      <c r="G6154" s="31" t="n">
        <v>6</v>
      </c>
      <c r="H6154" s="41" t="n">
        <v>2.2</v>
      </c>
      <c r="I6154" s="31" t="s">
        <v>149</v>
      </c>
      <c r="J6154" s="31" t="n">
        <v>5</v>
      </c>
      <c r="K6154" s="31" t="s">
        <v>150</v>
      </c>
      <c r="L6154" s="45" t="n">
        <f aca="false">DATE(YEAR(B6154),MONTH(B6154),1)</f>
        <v>46266</v>
      </c>
      <c r="M6154" s="31" t="n">
        <f aca="false">WEEKDAY(B6154,2)</f>
        <v>1</v>
      </c>
      <c r="N6154" s="31" t="str">
        <f aca="false">IF(G6154&lt;=INDEX(Assumptions!$B$15:$B$18,MATCH(E6154,Assumptions!$A$15:$A$18,0)),"Yes","No")</f>
        <v>Yes</v>
      </c>
      <c r="O6154" s="31" t="str">
        <f aca="false">IF(H6154="","Open",IF(H6154&lt;=INDEX(Assumptions!$C$15:$C$18,MATCH(E6154,Assumptions!$A$15:$A$18,0)),"Yes","No"))</f>
        <v>Yes</v>
      </c>
    </row>
    <row r="6155" customFormat="false" ht="15" hidden="false" customHeight="false" outlineLevel="0" collapsed="false">
      <c r="A6155" s="31" t="s">
        <v>6305</v>
      </c>
      <c r="B6155" s="44" t="n">
        <v>46286</v>
      </c>
      <c r="C6155" s="31" t="s">
        <v>58</v>
      </c>
      <c r="D6155" s="31" t="s">
        <v>65</v>
      </c>
      <c r="E6155" s="31" t="s">
        <v>51</v>
      </c>
      <c r="F6155" s="31" t="s">
        <v>136</v>
      </c>
      <c r="G6155" s="31" t="n">
        <v>21</v>
      </c>
      <c r="H6155" s="41" t="n">
        <v>15.6</v>
      </c>
      <c r="I6155" s="31" t="s">
        <v>64</v>
      </c>
      <c r="J6155" s="31" t="n">
        <v>3</v>
      </c>
      <c r="K6155" s="31" t="s">
        <v>150</v>
      </c>
      <c r="L6155" s="45" t="n">
        <f aca="false">DATE(YEAR(B6155),MONTH(B6155),1)</f>
        <v>46266</v>
      </c>
      <c r="M6155" s="31" t="n">
        <f aca="false">WEEKDAY(B6155,2)</f>
        <v>1</v>
      </c>
      <c r="N6155" s="31" t="str">
        <f aca="false">IF(G6155&lt;=INDEX(Assumptions!$B$15:$B$18,MATCH(E6155,Assumptions!$A$15:$A$18,0)),"Yes","No")</f>
        <v>Yes</v>
      </c>
      <c r="O6155" s="31" t="str">
        <f aca="false">IF(H6155="","Open",IF(H6155&lt;=INDEX(Assumptions!$C$15:$C$18,MATCH(E6155,Assumptions!$A$15:$A$18,0)),"Yes","No"))</f>
        <v>Yes</v>
      </c>
    </row>
    <row r="6156" customFormat="false" ht="15" hidden="false" customHeight="false" outlineLevel="0" collapsed="false">
      <c r="A6156" s="31" t="s">
        <v>6306</v>
      </c>
      <c r="B6156" s="44" t="n">
        <v>46286</v>
      </c>
      <c r="C6156" s="31" t="s">
        <v>57</v>
      </c>
      <c r="D6156" s="31" t="s">
        <v>66</v>
      </c>
      <c r="E6156" s="31" t="s">
        <v>51</v>
      </c>
      <c r="F6156" s="31" t="s">
        <v>122</v>
      </c>
      <c r="G6156" s="31" t="n">
        <v>9</v>
      </c>
      <c r="H6156" s="41" t="n">
        <v>5.6</v>
      </c>
      <c r="I6156" s="31" t="s">
        <v>149</v>
      </c>
      <c r="J6156" s="31"/>
      <c r="K6156" s="31" t="s">
        <v>150</v>
      </c>
      <c r="L6156" s="45" t="n">
        <f aca="false">DATE(YEAR(B6156),MONTH(B6156),1)</f>
        <v>46266</v>
      </c>
      <c r="M6156" s="31" t="n">
        <f aca="false">WEEKDAY(B6156,2)</f>
        <v>1</v>
      </c>
      <c r="N6156" s="31" t="str">
        <f aca="false">IF(G6156&lt;=INDEX(Assumptions!$B$15:$B$18,MATCH(E6156,Assumptions!$A$15:$A$18,0)),"Yes","No")</f>
        <v>Yes</v>
      </c>
      <c r="O6156" s="31" t="str">
        <f aca="false">IF(H6156="","Open",IF(H6156&lt;=INDEX(Assumptions!$C$15:$C$18,MATCH(E6156,Assumptions!$A$15:$A$18,0)),"Yes","No"))</f>
        <v>Yes</v>
      </c>
    </row>
    <row r="6157" customFormat="false" ht="15" hidden="false" customHeight="false" outlineLevel="0" collapsed="false">
      <c r="A6157" s="31" t="s">
        <v>6307</v>
      </c>
      <c r="B6157" s="44" t="n">
        <v>46286</v>
      </c>
      <c r="C6157" s="31" t="s">
        <v>58</v>
      </c>
      <c r="D6157" s="31" t="s">
        <v>67</v>
      </c>
      <c r="E6157" s="31" t="s">
        <v>51</v>
      </c>
      <c r="F6157" s="31" t="s">
        <v>131</v>
      </c>
      <c r="G6157" s="31" t="n">
        <v>30</v>
      </c>
      <c r="H6157" s="41"/>
      <c r="I6157" s="31" t="s">
        <v>158</v>
      </c>
      <c r="J6157" s="31"/>
      <c r="K6157" s="31" t="s">
        <v>150</v>
      </c>
      <c r="L6157" s="45" t="n">
        <f aca="false">DATE(YEAR(B6157),MONTH(B6157),1)</f>
        <v>46266</v>
      </c>
      <c r="M6157" s="31" t="n">
        <f aca="false">WEEKDAY(B6157,2)</f>
        <v>1</v>
      </c>
      <c r="N6157" s="31" t="str">
        <f aca="false">IF(G6157&lt;=INDEX(Assumptions!$B$15:$B$18,MATCH(E6157,Assumptions!$A$15:$A$18,0)),"Yes","No")</f>
        <v>Yes</v>
      </c>
      <c r="O6157" s="31" t="str">
        <f aca="false">IF(H6157="","Open",IF(H6157&lt;=INDEX(Assumptions!$C$15:$C$18,MATCH(E6157,Assumptions!$A$15:$A$18,0)),"Yes","No"))</f>
        <v>Open</v>
      </c>
    </row>
    <row r="6158" customFormat="false" ht="15" hidden="false" customHeight="false" outlineLevel="0" collapsed="false">
      <c r="A6158" s="31" t="s">
        <v>6308</v>
      </c>
      <c r="B6158" s="44" t="n">
        <v>46286</v>
      </c>
      <c r="C6158" s="31" t="s">
        <v>60</v>
      </c>
      <c r="D6158" s="31" t="s">
        <v>68</v>
      </c>
      <c r="E6158" s="31" t="s">
        <v>51</v>
      </c>
      <c r="F6158" s="31" t="s">
        <v>136</v>
      </c>
      <c r="G6158" s="31" t="n">
        <v>1</v>
      </c>
      <c r="H6158" s="41"/>
      <c r="I6158" s="31" t="s">
        <v>158</v>
      </c>
      <c r="J6158" s="31"/>
      <c r="K6158" s="31" t="s">
        <v>150</v>
      </c>
      <c r="L6158" s="45" t="n">
        <f aca="false">DATE(YEAR(B6158),MONTH(B6158),1)</f>
        <v>46266</v>
      </c>
      <c r="M6158" s="31" t="n">
        <f aca="false">WEEKDAY(B6158,2)</f>
        <v>1</v>
      </c>
      <c r="N6158" s="31" t="str">
        <f aca="false">IF(G6158&lt;=INDEX(Assumptions!$B$15:$B$18,MATCH(E6158,Assumptions!$A$15:$A$18,0)),"Yes","No")</f>
        <v>Yes</v>
      </c>
      <c r="O6158" s="31" t="str">
        <f aca="false">IF(H6158="","Open",IF(H6158&lt;=INDEX(Assumptions!$C$15:$C$18,MATCH(E6158,Assumptions!$A$15:$A$18,0)),"Yes","No"))</f>
        <v>Open</v>
      </c>
    </row>
    <row r="6159" customFormat="false" ht="15" hidden="false" customHeight="false" outlineLevel="0" collapsed="false">
      <c r="A6159" s="31" t="s">
        <v>6309</v>
      </c>
      <c r="B6159" s="44" t="n">
        <v>46286</v>
      </c>
      <c r="C6159" s="31" t="s">
        <v>57</v>
      </c>
      <c r="D6159" s="31" t="s">
        <v>66</v>
      </c>
      <c r="E6159" s="31" t="s">
        <v>51</v>
      </c>
      <c r="F6159" s="31" t="s">
        <v>124</v>
      </c>
      <c r="G6159" s="31" t="n">
        <v>9</v>
      </c>
      <c r="H6159" s="41" t="n">
        <v>2.9</v>
      </c>
      <c r="I6159" s="31" t="s">
        <v>149</v>
      </c>
      <c r="J6159" s="31" t="n">
        <v>3</v>
      </c>
      <c r="K6159" s="31" t="s">
        <v>153</v>
      </c>
      <c r="L6159" s="45" t="n">
        <f aca="false">DATE(YEAR(B6159),MONTH(B6159),1)</f>
        <v>46266</v>
      </c>
      <c r="M6159" s="31" t="n">
        <f aca="false">WEEKDAY(B6159,2)</f>
        <v>1</v>
      </c>
      <c r="N6159" s="31" t="str">
        <f aca="false">IF(G6159&lt;=INDEX(Assumptions!$B$15:$B$18,MATCH(E6159,Assumptions!$A$15:$A$18,0)),"Yes","No")</f>
        <v>Yes</v>
      </c>
      <c r="O6159" s="31" t="str">
        <f aca="false">IF(H6159="","Open",IF(H6159&lt;=INDEX(Assumptions!$C$15:$C$18,MATCH(E6159,Assumptions!$A$15:$A$18,0)),"Yes","No"))</f>
        <v>Yes</v>
      </c>
    </row>
    <row r="6160" customFormat="false" ht="15" hidden="false" customHeight="false" outlineLevel="0" collapsed="false">
      <c r="A6160" s="31" t="s">
        <v>6310</v>
      </c>
      <c r="B6160" s="44" t="n">
        <v>46286</v>
      </c>
      <c r="C6160" s="31" t="s">
        <v>58</v>
      </c>
      <c r="D6160" s="31" t="s">
        <v>66</v>
      </c>
      <c r="E6160" s="31" t="s">
        <v>50</v>
      </c>
      <c r="F6160" s="31" t="s">
        <v>136</v>
      </c>
      <c r="G6160" s="31" t="n">
        <v>17</v>
      </c>
      <c r="H6160" s="41" t="n">
        <v>3.6</v>
      </c>
      <c r="I6160" s="31" t="s">
        <v>149</v>
      </c>
      <c r="J6160" s="31" t="n">
        <v>5</v>
      </c>
      <c r="K6160" s="31" t="s">
        <v>150</v>
      </c>
      <c r="L6160" s="45" t="n">
        <f aca="false">DATE(YEAR(B6160),MONTH(B6160),1)</f>
        <v>46266</v>
      </c>
      <c r="M6160" s="31" t="n">
        <f aca="false">WEEKDAY(B6160,2)</f>
        <v>1</v>
      </c>
      <c r="N6160" s="31" t="str">
        <f aca="false">IF(G6160&lt;=INDEX(Assumptions!$B$15:$B$18,MATCH(E6160,Assumptions!$A$15:$A$18,0)),"Yes","No")</f>
        <v>Yes</v>
      </c>
      <c r="O6160" s="31" t="str">
        <f aca="false">IF(H6160="","Open",IF(H6160&lt;=INDEX(Assumptions!$C$15:$C$18,MATCH(E6160,Assumptions!$A$15:$A$18,0)),"Yes","No"))</f>
        <v>Yes</v>
      </c>
    </row>
    <row r="6161" customFormat="false" ht="15" hidden="false" customHeight="false" outlineLevel="0" collapsed="false">
      <c r="A6161" s="31" t="s">
        <v>6311</v>
      </c>
      <c r="B6161" s="44" t="n">
        <v>46286</v>
      </c>
      <c r="C6161" s="31" t="s">
        <v>57</v>
      </c>
      <c r="D6161" s="31" t="s">
        <v>65</v>
      </c>
      <c r="E6161" s="31" t="s">
        <v>51</v>
      </c>
      <c r="F6161" s="31" t="s">
        <v>126</v>
      </c>
      <c r="G6161" s="31" t="n">
        <v>3</v>
      </c>
      <c r="H6161" s="41"/>
      <c r="I6161" s="31" t="s">
        <v>158</v>
      </c>
      <c r="J6161" s="31"/>
      <c r="K6161" s="31" t="s">
        <v>150</v>
      </c>
      <c r="L6161" s="45" t="n">
        <f aca="false">DATE(YEAR(B6161),MONTH(B6161),1)</f>
        <v>46266</v>
      </c>
      <c r="M6161" s="31" t="n">
        <f aca="false">WEEKDAY(B6161,2)</f>
        <v>1</v>
      </c>
      <c r="N6161" s="31" t="str">
        <f aca="false">IF(G6161&lt;=INDEX(Assumptions!$B$15:$B$18,MATCH(E6161,Assumptions!$A$15:$A$18,0)),"Yes","No")</f>
        <v>Yes</v>
      </c>
      <c r="O6161" s="31" t="str">
        <f aca="false">IF(H6161="","Open",IF(H6161&lt;=INDEX(Assumptions!$C$15:$C$18,MATCH(E6161,Assumptions!$A$15:$A$18,0)),"Yes","No"))</f>
        <v>Open</v>
      </c>
    </row>
    <row r="6162" customFormat="false" ht="15" hidden="false" customHeight="false" outlineLevel="0" collapsed="false">
      <c r="A6162" s="31" t="s">
        <v>6312</v>
      </c>
      <c r="B6162" s="44" t="n">
        <v>46286</v>
      </c>
      <c r="C6162" s="31" t="s">
        <v>58</v>
      </c>
      <c r="D6162" s="31" t="s">
        <v>66</v>
      </c>
      <c r="E6162" s="31" t="s">
        <v>50</v>
      </c>
      <c r="F6162" s="31" t="s">
        <v>123</v>
      </c>
      <c r="G6162" s="31" t="n">
        <v>6</v>
      </c>
      <c r="H6162" s="41"/>
      <c r="I6162" s="31" t="s">
        <v>158</v>
      </c>
      <c r="J6162" s="31"/>
      <c r="K6162" s="31" t="s">
        <v>150</v>
      </c>
      <c r="L6162" s="45" t="n">
        <f aca="false">DATE(YEAR(B6162),MONTH(B6162),1)</f>
        <v>46266</v>
      </c>
      <c r="M6162" s="31" t="n">
        <f aca="false">WEEKDAY(B6162,2)</f>
        <v>1</v>
      </c>
      <c r="N6162" s="31" t="str">
        <f aca="false">IF(G6162&lt;=INDEX(Assumptions!$B$15:$B$18,MATCH(E6162,Assumptions!$A$15:$A$18,0)),"Yes","No")</f>
        <v>Yes</v>
      </c>
      <c r="O6162" s="31" t="str">
        <f aca="false">IF(H6162="","Open",IF(H6162&lt;=INDEX(Assumptions!$C$15:$C$18,MATCH(E6162,Assumptions!$A$15:$A$18,0)),"Yes","No"))</f>
        <v>Open</v>
      </c>
    </row>
    <row r="6163" customFormat="false" ht="15" hidden="false" customHeight="false" outlineLevel="0" collapsed="false">
      <c r="A6163" s="31" t="s">
        <v>6313</v>
      </c>
      <c r="B6163" s="44" t="n">
        <v>46286</v>
      </c>
      <c r="C6163" s="31" t="s">
        <v>57</v>
      </c>
      <c r="D6163" s="31" t="s">
        <v>67</v>
      </c>
      <c r="E6163" s="31" t="s">
        <v>52</v>
      </c>
      <c r="F6163" s="31" t="s">
        <v>137</v>
      </c>
      <c r="G6163" s="31" t="n">
        <v>10</v>
      </c>
      <c r="H6163" s="41"/>
      <c r="I6163" s="31" t="s">
        <v>158</v>
      </c>
      <c r="J6163" s="31"/>
      <c r="K6163" s="31" t="s">
        <v>150</v>
      </c>
      <c r="L6163" s="45" t="n">
        <f aca="false">DATE(YEAR(B6163),MONTH(B6163),1)</f>
        <v>46266</v>
      </c>
      <c r="M6163" s="31" t="n">
        <f aca="false">WEEKDAY(B6163,2)</f>
        <v>1</v>
      </c>
      <c r="N6163" s="31" t="str">
        <f aca="false">IF(G6163&lt;=INDEX(Assumptions!$B$15:$B$18,MATCH(E6163,Assumptions!$A$15:$A$18,0)),"Yes","No")</f>
        <v>Yes</v>
      </c>
      <c r="O6163" s="31" t="str">
        <f aca="false">IF(H6163="","Open",IF(H6163&lt;=INDEX(Assumptions!$C$15:$C$18,MATCH(E6163,Assumptions!$A$15:$A$18,0)),"Yes","No"))</f>
        <v>Open</v>
      </c>
    </row>
    <row r="6164" customFormat="false" ht="15" hidden="false" customHeight="false" outlineLevel="0" collapsed="false">
      <c r="A6164" s="31" t="s">
        <v>6314</v>
      </c>
      <c r="B6164" s="44" t="n">
        <v>46286</v>
      </c>
      <c r="C6164" s="31" t="s">
        <v>57</v>
      </c>
      <c r="D6164" s="31" t="s">
        <v>69</v>
      </c>
      <c r="E6164" s="31" t="s">
        <v>52</v>
      </c>
      <c r="F6164" s="31" t="s">
        <v>122</v>
      </c>
      <c r="G6164" s="31" t="n">
        <v>7</v>
      </c>
      <c r="H6164" s="41" t="n">
        <v>25.6</v>
      </c>
      <c r="I6164" s="31" t="s">
        <v>149</v>
      </c>
      <c r="J6164" s="31" t="n">
        <v>4</v>
      </c>
      <c r="K6164" s="31" t="s">
        <v>150</v>
      </c>
      <c r="L6164" s="45" t="n">
        <f aca="false">DATE(YEAR(B6164),MONTH(B6164),1)</f>
        <v>46266</v>
      </c>
      <c r="M6164" s="31" t="n">
        <f aca="false">WEEKDAY(B6164,2)</f>
        <v>1</v>
      </c>
      <c r="N6164" s="31" t="str">
        <f aca="false">IF(G6164&lt;=INDEX(Assumptions!$B$15:$B$18,MATCH(E6164,Assumptions!$A$15:$A$18,0)),"Yes","No")</f>
        <v>Yes</v>
      </c>
      <c r="O6164" s="31" t="str">
        <f aca="false">IF(H6164="","Open",IF(H6164&lt;=INDEX(Assumptions!$C$15:$C$18,MATCH(E6164,Assumptions!$A$15:$A$18,0)),"Yes","No"))</f>
        <v>Yes</v>
      </c>
    </row>
    <row r="6165" customFormat="false" ht="15" hidden="false" customHeight="false" outlineLevel="0" collapsed="false">
      <c r="A6165" s="31" t="s">
        <v>6315</v>
      </c>
      <c r="B6165" s="44" t="n">
        <v>46286</v>
      </c>
      <c r="C6165" s="31" t="s">
        <v>58</v>
      </c>
      <c r="D6165" s="31" t="s">
        <v>69</v>
      </c>
      <c r="E6165" s="31" t="s">
        <v>52</v>
      </c>
      <c r="F6165" s="31" t="s">
        <v>135</v>
      </c>
      <c r="G6165" s="31" t="n">
        <v>13</v>
      </c>
      <c r="H6165" s="41" t="n">
        <v>7.1</v>
      </c>
      <c r="I6165" s="31" t="s">
        <v>149</v>
      </c>
      <c r="J6165" s="31" t="n">
        <v>5</v>
      </c>
      <c r="K6165" s="31" t="s">
        <v>153</v>
      </c>
      <c r="L6165" s="45" t="n">
        <f aca="false">DATE(YEAR(B6165),MONTH(B6165),1)</f>
        <v>46266</v>
      </c>
      <c r="M6165" s="31" t="n">
        <f aca="false">WEEKDAY(B6165,2)</f>
        <v>1</v>
      </c>
      <c r="N6165" s="31" t="str">
        <f aca="false">IF(G6165&lt;=INDEX(Assumptions!$B$15:$B$18,MATCH(E6165,Assumptions!$A$15:$A$18,0)),"Yes","No")</f>
        <v>Yes</v>
      </c>
      <c r="O6165" s="31" t="str">
        <f aca="false">IF(H6165="","Open",IF(H6165&lt;=INDEX(Assumptions!$C$15:$C$18,MATCH(E6165,Assumptions!$A$15:$A$18,0)),"Yes","No"))</f>
        <v>Yes</v>
      </c>
    </row>
    <row r="6166" customFormat="false" ht="15" hidden="false" customHeight="false" outlineLevel="0" collapsed="false">
      <c r="A6166" s="31" t="s">
        <v>6316</v>
      </c>
      <c r="B6166" s="44" t="n">
        <v>46286</v>
      </c>
      <c r="C6166" s="31" t="s">
        <v>57</v>
      </c>
      <c r="D6166" s="31" t="s">
        <v>67</v>
      </c>
      <c r="E6166" s="31" t="s">
        <v>50</v>
      </c>
      <c r="F6166" s="31" t="s">
        <v>137</v>
      </c>
      <c r="G6166" s="31" t="n">
        <v>6</v>
      </c>
      <c r="H6166" s="41"/>
      <c r="I6166" s="31" t="s">
        <v>158</v>
      </c>
      <c r="J6166" s="31"/>
      <c r="K6166" s="31" t="s">
        <v>150</v>
      </c>
      <c r="L6166" s="45" t="n">
        <f aca="false">DATE(YEAR(B6166),MONTH(B6166),1)</f>
        <v>46266</v>
      </c>
      <c r="M6166" s="31" t="n">
        <f aca="false">WEEKDAY(B6166,2)</f>
        <v>1</v>
      </c>
      <c r="N6166" s="31" t="str">
        <f aca="false">IF(G6166&lt;=INDEX(Assumptions!$B$15:$B$18,MATCH(E6166,Assumptions!$A$15:$A$18,0)),"Yes","No")</f>
        <v>Yes</v>
      </c>
      <c r="O6166" s="31" t="str">
        <f aca="false">IF(H6166="","Open",IF(H6166&lt;=INDEX(Assumptions!$C$15:$C$18,MATCH(E6166,Assumptions!$A$15:$A$18,0)),"Yes","No"))</f>
        <v>Open</v>
      </c>
    </row>
    <row r="6167" customFormat="false" ht="15" hidden="false" customHeight="false" outlineLevel="0" collapsed="false">
      <c r="A6167" s="31" t="s">
        <v>6317</v>
      </c>
      <c r="B6167" s="44" t="n">
        <v>46286</v>
      </c>
      <c r="C6167" s="31" t="s">
        <v>57</v>
      </c>
      <c r="D6167" s="31" t="s">
        <v>65</v>
      </c>
      <c r="E6167" s="31" t="s">
        <v>52</v>
      </c>
      <c r="F6167" s="31" t="s">
        <v>128</v>
      </c>
      <c r="G6167" s="31" t="n">
        <v>10</v>
      </c>
      <c r="H6167" s="41"/>
      <c r="I6167" s="31" t="s">
        <v>158</v>
      </c>
      <c r="J6167" s="31"/>
      <c r="K6167" s="31" t="s">
        <v>150</v>
      </c>
      <c r="L6167" s="45" t="n">
        <f aca="false">DATE(YEAR(B6167),MONTH(B6167),1)</f>
        <v>46266</v>
      </c>
      <c r="M6167" s="31" t="n">
        <f aca="false">WEEKDAY(B6167,2)</f>
        <v>1</v>
      </c>
      <c r="N6167" s="31" t="str">
        <f aca="false">IF(G6167&lt;=INDEX(Assumptions!$B$15:$B$18,MATCH(E6167,Assumptions!$A$15:$A$18,0)),"Yes","No")</f>
        <v>Yes</v>
      </c>
      <c r="O6167" s="31" t="str">
        <f aca="false">IF(H6167="","Open",IF(H6167&lt;=INDEX(Assumptions!$C$15:$C$18,MATCH(E6167,Assumptions!$A$15:$A$18,0)),"Yes","No"))</f>
        <v>Open</v>
      </c>
    </row>
    <row r="6168" customFormat="false" ht="15" hidden="false" customHeight="false" outlineLevel="0" collapsed="false">
      <c r="A6168" s="31" t="s">
        <v>6318</v>
      </c>
      <c r="B6168" s="44" t="n">
        <v>46286</v>
      </c>
      <c r="C6168" s="31" t="s">
        <v>60</v>
      </c>
      <c r="D6168" s="31" t="s">
        <v>68</v>
      </c>
      <c r="E6168" s="31" t="s">
        <v>51</v>
      </c>
      <c r="F6168" s="31" t="s">
        <v>126</v>
      </c>
      <c r="G6168" s="31" t="n">
        <v>3</v>
      </c>
      <c r="H6168" s="41" t="n">
        <v>15.8</v>
      </c>
      <c r="I6168" s="31" t="s">
        <v>64</v>
      </c>
      <c r="J6168" s="31" t="n">
        <v>4</v>
      </c>
      <c r="K6168" s="31" t="s">
        <v>150</v>
      </c>
      <c r="L6168" s="45" t="n">
        <f aca="false">DATE(YEAR(B6168),MONTH(B6168),1)</f>
        <v>46266</v>
      </c>
      <c r="M6168" s="31" t="n">
        <f aca="false">WEEKDAY(B6168,2)</f>
        <v>1</v>
      </c>
      <c r="N6168" s="31" t="str">
        <f aca="false">IF(G6168&lt;=INDEX(Assumptions!$B$15:$B$18,MATCH(E6168,Assumptions!$A$15:$A$18,0)),"Yes","No")</f>
        <v>Yes</v>
      </c>
      <c r="O6168" s="31" t="str">
        <f aca="false">IF(H6168="","Open",IF(H6168&lt;=INDEX(Assumptions!$C$15:$C$18,MATCH(E6168,Assumptions!$A$15:$A$18,0)),"Yes","No"))</f>
        <v>Yes</v>
      </c>
    </row>
    <row r="6169" customFormat="false" ht="15" hidden="false" customHeight="false" outlineLevel="0" collapsed="false">
      <c r="A6169" s="31" t="s">
        <v>6319</v>
      </c>
      <c r="B6169" s="44" t="n">
        <v>46286</v>
      </c>
      <c r="C6169" s="31" t="s">
        <v>57</v>
      </c>
      <c r="D6169" s="31" t="s">
        <v>66</v>
      </c>
      <c r="E6169" s="31" t="s">
        <v>50</v>
      </c>
      <c r="F6169" s="31" t="s">
        <v>134</v>
      </c>
      <c r="G6169" s="31" t="n">
        <v>5</v>
      </c>
      <c r="H6169" s="41" t="n">
        <v>2.5</v>
      </c>
      <c r="I6169" s="31" t="s">
        <v>149</v>
      </c>
      <c r="J6169" s="31"/>
      <c r="K6169" s="31" t="s">
        <v>150</v>
      </c>
      <c r="L6169" s="45" t="n">
        <f aca="false">DATE(YEAR(B6169),MONTH(B6169),1)</f>
        <v>46266</v>
      </c>
      <c r="M6169" s="31" t="n">
        <f aca="false">WEEKDAY(B6169,2)</f>
        <v>1</v>
      </c>
      <c r="N6169" s="31" t="str">
        <f aca="false">IF(G6169&lt;=INDEX(Assumptions!$B$15:$B$18,MATCH(E6169,Assumptions!$A$15:$A$18,0)),"Yes","No")</f>
        <v>Yes</v>
      </c>
      <c r="O6169" s="31" t="str">
        <f aca="false">IF(H6169="","Open",IF(H6169&lt;=INDEX(Assumptions!$C$15:$C$18,MATCH(E6169,Assumptions!$A$15:$A$18,0)),"Yes","No"))</f>
        <v>Yes</v>
      </c>
    </row>
    <row r="6170" customFormat="false" ht="15" hidden="false" customHeight="false" outlineLevel="0" collapsed="false">
      <c r="A6170" s="31" t="s">
        <v>6320</v>
      </c>
      <c r="B6170" s="44" t="n">
        <v>46286</v>
      </c>
      <c r="C6170" s="31" t="s">
        <v>60</v>
      </c>
      <c r="D6170" s="31" t="s">
        <v>66</v>
      </c>
      <c r="E6170" s="31" t="s">
        <v>51</v>
      </c>
      <c r="F6170" s="31" t="s">
        <v>131</v>
      </c>
      <c r="G6170" s="31" t="n">
        <v>2</v>
      </c>
      <c r="H6170" s="41" t="n">
        <v>2.3</v>
      </c>
      <c r="I6170" s="31" t="s">
        <v>149</v>
      </c>
      <c r="J6170" s="31"/>
      <c r="K6170" s="31" t="s">
        <v>150</v>
      </c>
      <c r="L6170" s="45" t="n">
        <f aca="false">DATE(YEAR(B6170),MONTH(B6170),1)</f>
        <v>46266</v>
      </c>
      <c r="M6170" s="31" t="n">
        <f aca="false">WEEKDAY(B6170,2)</f>
        <v>1</v>
      </c>
      <c r="N6170" s="31" t="str">
        <f aca="false">IF(G6170&lt;=INDEX(Assumptions!$B$15:$B$18,MATCH(E6170,Assumptions!$A$15:$A$18,0)),"Yes","No")</f>
        <v>Yes</v>
      </c>
      <c r="O6170" s="31" t="str">
        <f aca="false">IF(H6170="","Open",IF(H6170&lt;=INDEX(Assumptions!$C$15:$C$18,MATCH(E6170,Assumptions!$A$15:$A$18,0)),"Yes","No"))</f>
        <v>Yes</v>
      </c>
    </row>
    <row r="6171" customFormat="false" ht="15" hidden="false" customHeight="false" outlineLevel="0" collapsed="false">
      <c r="A6171" s="31" t="s">
        <v>6321</v>
      </c>
      <c r="B6171" s="44" t="n">
        <v>46286</v>
      </c>
      <c r="C6171" s="31" t="s">
        <v>59</v>
      </c>
      <c r="D6171" s="31" t="s">
        <v>69</v>
      </c>
      <c r="E6171" s="31" t="s">
        <v>52</v>
      </c>
      <c r="F6171" s="31" t="s">
        <v>137</v>
      </c>
      <c r="G6171" s="31" t="n">
        <v>237</v>
      </c>
      <c r="H6171" s="41"/>
      <c r="I6171" s="31" t="s">
        <v>158</v>
      </c>
      <c r="J6171" s="31"/>
      <c r="K6171" s="31" t="s">
        <v>150</v>
      </c>
      <c r="L6171" s="45" t="n">
        <f aca="false">DATE(YEAR(B6171),MONTH(B6171),1)</f>
        <v>46266</v>
      </c>
      <c r="M6171" s="31" t="n">
        <f aca="false">WEEKDAY(B6171,2)</f>
        <v>1</v>
      </c>
      <c r="N6171" s="31" t="str">
        <f aca="false">IF(G6171&lt;=INDEX(Assumptions!$B$15:$B$18,MATCH(E6171,Assumptions!$A$15:$A$18,0)),"Yes","No")</f>
        <v>Yes</v>
      </c>
      <c r="O6171" s="31" t="str">
        <f aca="false">IF(H6171="","Open",IF(H6171&lt;=INDEX(Assumptions!$C$15:$C$18,MATCH(E6171,Assumptions!$A$15:$A$18,0)),"Yes","No"))</f>
        <v>Open</v>
      </c>
    </row>
    <row r="6172" customFormat="false" ht="15" hidden="false" customHeight="false" outlineLevel="0" collapsed="false">
      <c r="A6172" s="31" t="s">
        <v>6322</v>
      </c>
      <c r="B6172" s="44" t="n">
        <v>46286</v>
      </c>
      <c r="C6172" s="31" t="s">
        <v>59</v>
      </c>
      <c r="D6172" s="31" t="s">
        <v>65</v>
      </c>
      <c r="E6172" s="31" t="s">
        <v>50</v>
      </c>
      <c r="F6172" s="31" t="s">
        <v>126</v>
      </c>
      <c r="G6172" s="31" t="n">
        <v>42</v>
      </c>
      <c r="H6172" s="41"/>
      <c r="I6172" s="31" t="s">
        <v>158</v>
      </c>
      <c r="J6172" s="31"/>
      <c r="K6172" s="31" t="s">
        <v>150</v>
      </c>
      <c r="L6172" s="45" t="n">
        <f aca="false">DATE(YEAR(B6172),MONTH(B6172),1)</f>
        <v>46266</v>
      </c>
      <c r="M6172" s="31" t="n">
        <f aca="false">WEEKDAY(B6172,2)</f>
        <v>1</v>
      </c>
      <c r="N6172" s="31" t="str">
        <f aca="false">IF(G6172&lt;=INDEX(Assumptions!$B$15:$B$18,MATCH(E6172,Assumptions!$A$15:$A$18,0)),"Yes","No")</f>
        <v>No</v>
      </c>
      <c r="O6172" s="31" t="str">
        <f aca="false">IF(H6172="","Open",IF(H6172&lt;=INDEX(Assumptions!$C$15:$C$18,MATCH(E6172,Assumptions!$A$15:$A$18,0)),"Yes","No"))</f>
        <v>Open</v>
      </c>
    </row>
    <row r="6173" customFormat="false" ht="15" hidden="false" customHeight="false" outlineLevel="0" collapsed="false">
      <c r="A6173" s="31" t="s">
        <v>6323</v>
      </c>
      <c r="B6173" s="44" t="n">
        <v>46286</v>
      </c>
      <c r="C6173" s="31" t="s">
        <v>57</v>
      </c>
      <c r="D6173" s="31" t="s">
        <v>67</v>
      </c>
      <c r="E6173" s="31" t="s">
        <v>51</v>
      </c>
      <c r="F6173" s="31" t="s">
        <v>136</v>
      </c>
      <c r="G6173" s="31" t="n">
        <v>4</v>
      </c>
      <c r="H6173" s="41" t="n">
        <v>20</v>
      </c>
      <c r="I6173" s="31" t="s">
        <v>149</v>
      </c>
      <c r="J6173" s="31"/>
      <c r="K6173" s="31" t="s">
        <v>150</v>
      </c>
      <c r="L6173" s="45" t="n">
        <f aca="false">DATE(YEAR(B6173),MONTH(B6173),1)</f>
        <v>46266</v>
      </c>
      <c r="M6173" s="31" t="n">
        <f aca="false">WEEKDAY(B6173,2)</f>
        <v>1</v>
      </c>
      <c r="N6173" s="31" t="str">
        <f aca="false">IF(G6173&lt;=INDEX(Assumptions!$B$15:$B$18,MATCH(E6173,Assumptions!$A$15:$A$18,0)),"Yes","No")</f>
        <v>Yes</v>
      </c>
      <c r="O6173" s="31" t="str">
        <f aca="false">IF(H6173="","Open",IF(H6173&lt;=INDEX(Assumptions!$C$15:$C$18,MATCH(E6173,Assumptions!$A$15:$A$18,0)),"Yes","No"))</f>
        <v>Yes</v>
      </c>
    </row>
    <row r="6174" customFormat="false" ht="15" hidden="false" customHeight="false" outlineLevel="0" collapsed="false">
      <c r="A6174" s="31" t="s">
        <v>6324</v>
      </c>
      <c r="B6174" s="44" t="n">
        <v>46286</v>
      </c>
      <c r="C6174" s="31" t="s">
        <v>58</v>
      </c>
      <c r="D6174" s="31" t="s">
        <v>67</v>
      </c>
      <c r="E6174" s="31" t="s">
        <v>50</v>
      </c>
      <c r="F6174" s="31" t="s">
        <v>134</v>
      </c>
      <c r="G6174" s="31" t="n">
        <v>10</v>
      </c>
      <c r="H6174" s="41"/>
      <c r="I6174" s="31" t="s">
        <v>158</v>
      </c>
      <c r="J6174" s="31"/>
      <c r="K6174" s="31" t="s">
        <v>150</v>
      </c>
      <c r="L6174" s="45" t="n">
        <f aca="false">DATE(YEAR(B6174),MONTH(B6174),1)</f>
        <v>46266</v>
      </c>
      <c r="M6174" s="31" t="n">
        <f aca="false">WEEKDAY(B6174,2)</f>
        <v>1</v>
      </c>
      <c r="N6174" s="31" t="str">
        <f aca="false">IF(G6174&lt;=INDEX(Assumptions!$B$15:$B$18,MATCH(E6174,Assumptions!$A$15:$A$18,0)),"Yes","No")</f>
        <v>Yes</v>
      </c>
      <c r="O6174" s="31" t="str">
        <f aca="false">IF(H6174="","Open",IF(H6174&lt;=INDEX(Assumptions!$C$15:$C$18,MATCH(E6174,Assumptions!$A$15:$A$18,0)),"Yes","No"))</f>
        <v>Open</v>
      </c>
    </row>
    <row r="6175" customFormat="false" ht="15" hidden="false" customHeight="false" outlineLevel="0" collapsed="false">
      <c r="A6175" s="31" t="s">
        <v>6325</v>
      </c>
      <c r="B6175" s="44" t="n">
        <v>46286</v>
      </c>
      <c r="C6175" s="31" t="s">
        <v>60</v>
      </c>
      <c r="D6175" s="31" t="s">
        <v>65</v>
      </c>
      <c r="E6175" s="31" t="s">
        <v>50</v>
      </c>
      <c r="F6175" s="31" t="s">
        <v>121</v>
      </c>
      <c r="G6175" s="31" t="n">
        <v>6</v>
      </c>
      <c r="H6175" s="41" t="n">
        <v>4.9</v>
      </c>
      <c r="I6175" s="31" t="s">
        <v>149</v>
      </c>
      <c r="J6175" s="31"/>
      <c r="K6175" s="31" t="s">
        <v>150</v>
      </c>
      <c r="L6175" s="45" t="n">
        <f aca="false">DATE(YEAR(B6175),MONTH(B6175),1)</f>
        <v>46266</v>
      </c>
      <c r="M6175" s="31" t="n">
        <f aca="false">WEEKDAY(B6175,2)</f>
        <v>1</v>
      </c>
      <c r="N6175" s="31" t="str">
        <f aca="false">IF(G6175&lt;=INDEX(Assumptions!$B$15:$B$18,MATCH(E6175,Assumptions!$A$15:$A$18,0)),"Yes","No")</f>
        <v>Yes</v>
      </c>
      <c r="O6175" s="31" t="str">
        <f aca="false">IF(H6175="","Open",IF(H6175&lt;=INDEX(Assumptions!$C$15:$C$18,MATCH(E6175,Assumptions!$A$15:$A$18,0)),"Yes","No"))</f>
        <v>Yes</v>
      </c>
    </row>
    <row r="6176" customFormat="false" ht="15" hidden="false" customHeight="false" outlineLevel="0" collapsed="false">
      <c r="A6176" s="31" t="s">
        <v>6326</v>
      </c>
      <c r="B6176" s="44" t="n">
        <v>46286</v>
      </c>
      <c r="C6176" s="31" t="s">
        <v>57</v>
      </c>
      <c r="D6176" s="31" t="s">
        <v>68</v>
      </c>
      <c r="E6176" s="31" t="s">
        <v>51</v>
      </c>
      <c r="F6176" s="31" t="s">
        <v>117</v>
      </c>
      <c r="G6176" s="31" t="n">
        <v>4</v>
      </c>
      <c r="H6176" s="41" t="n">
        <v>0.9</v>
      </c>
      <c r="I6176" s="31" t="s">
        <v>149</v>
      </c>
      <c r="J6176" s="31" t="n">
        <v>4</v>
      </c>
      <c r="K6176" s="31" t="s">
        <v>150</v>
      </c>
      <c r="L6176" s="45" t="n">
        <f aca="false">DATE(YEAR(B6176),MONTH(B6176),1)</f>
        <v>46266</v>
      </c>
      <c r="M6176" s="31" t="n">
        <f aca="false">WEEKDAY(B6176,2)</f>
        <v>1</v>
      </c>
      <c r="N6176" s="31" t="str">
        <f aca="false">IF(G6176&lt;=INDEX(Assumptions!$B$15:$B$18,MATCH(E6176,Assumptions!$A$15:$A$18,0)),"Yes","No")</f>
        <v>Yes</v>
      </c>
      <c r="O6176" s="31" t="str">
        <f aca="false">IF(H6176="","Open",IF(H6176&lt;=INDEX(Assumptions!$C$15:$C$18,MATCH(E6176,Assumptions!$A$15:$A$18,0)),"Yes","No"))</f>
        <v>Yes</v>
      </c>
    </row>
    <row r="6177" customFormat="false" ht="15" hidden="false" customHeight="false" outlineLevel="0" collapsed="false">
      <c r="A6177" s="31" t="s">
        <v>6327</v>
      </c>
      <c r="B6177" s="44" t="n">
        <v>46286</v>
      </c>
      <c r="C6177" s="31" t="s">
        <v>59</v>
      </c>
      <c r="D6177" s="31" t="s">
        <v>66</v>
      </c>
      <c r="E6177" s="31" t="s">
        <v>52</v>
      </c>
      <c r="F6177" s="31" t="s">
        <v>137</v>
      </c>
      <c r="G6177" s="31" t="n">
        <v>113</v>
      </c>
      <c r="H6177" s="41"/>
      <c r="I6177" s="31" t="s">
        <v>158</v>
      </c>
      <c r="J6177" s="31"/>
      <c r="K6177" s="31" t="s">
        <v>150</v>
      </c>
      <c r="L6177" s="45" t="n">
        <f aca="false">DATE(YEAR(B6177),MONTH(B6177),1)</f>
        <v>46266</v>
      </c>
      <c r="M6177" s="31" t="n">
        <f aca="false">WEEKDAY(B6177,2)</f>
        <v>1</v>
      </c>
      <c r="N6177" s="31" t="str">
        <f aca="false">IF(G6177&lt;=INDEX(Assumptions!$B$15:$B$18,MATCH(E6177,Assumptions!$A$15:$A$18,0)),"Yes","No")</f>
        <v>Yes</v>
      </c>
      <c r="O6177" s="31" t="str">
        <f aca="false">IF(H6177="","Open",IF(H6177&lt;=INDEX(Assumptions!$C$15:$C$18,MATCH(E6177,Assumptions!$A$15:$A$18,0)),"Yes","No"))</f>
        <v>Open</v>
      </c>
    </row>
    <row r="6178" customFormat="false" ht="15" hidden="false" customHeight="false" outlineLevel="0" collapsed="false">
      <c r="A6178" s="31" t="s">
        <v>6328</v>
      </c>
      <c r="B6178" s="44" t="n">
        <v>46286</v>
      </c>
      <c r="C6178" s="31" t="s">
        <v>60</v>
      </c>
      <c r="D6178" s="31" t="s">
        <v>68</v>
      </c>
      <c r="E6178" s="31" t="s">
        <v>51</v>
      </c>
      <c r="F6178" s="31" t="s">
        <v>133</v>
      </c>
      <c r="G6178" s="31" t="n">
        <v>2</v>
      </c>
      <c r="H6178" s="41"/>
      <c r="I6178" s="31" t="s">
        <v>158</v>
      </c>
      <c r="J6178" s="31"/>
      <c r="K6178" s="31" t="s">
        <v>150</v>
      </c>
      <c r="L6178" s="45" t="n">
        <f aca="false">DATE(YEAR(B6178),MONTH(B6178),1)</f>
        <v>46266</v>
      </c>
      <c r="M6178" s="31" t="n">
        <f aca="false">WEEKDAY(B6178,2)</f>
        <v>1</v>
      </c>
      <c r="N6178" s="31" t="str">
        <f aca="false">IF(G6178&lt;=INDEX(Assumptions!$B$15:$B$18,MATCH(E6178,Assumptions!$A$15:$A$18,0)),"Yes","No")</f>
        <v>Yes</v>
      </c>
      <c r="O6178" s="31" t="str">
        <f aca="false">IF(H6178="","Open",IF(H6178&lt;=INDEX(Assumptions!$C$15:$C$18,MATCH(E6178,Assumptions!$A$15:$A$18,0)),"Yes","No"))</f>
        <v>Open</v>
      </c>
    </row>
    <row r="6179" customFormat="false" ht="15" hidden="false" customHeight="false" outlineLevel="0" collapsed="false">
      <c r="A6179" s="31" t="s">
        <v>6329</v>
      </c>
      <c r="B6179" s="44" t="n">
        <v>46286</v>
      </c>
      <c r="C6179" s="31" t="s">
        <v>60</v>
      </c>
      <c r="D6179" s="31" t="s">
        <v>68</v>
      </c>
      <c r="E6179" s="31" t="s">
        <v>51</v>
      </c>
      <c r="F6179" s="31" t="s">
        <v>120</v>
      </c>
      <c r="G6179" s="31" t="n">
        <v>3</v>
      </c>
      <c r="H6179" s="41"/>
      <c r="I6179" s="31" t="s">
        <v>158</v>
      </c>
      <c r="J6179" s="31"/>
      <c r="K6179" s="31" t="s">
        <v>150</v>
      </c>
      <c r="L6179" s="45" t="n">
        <f aca="false">DATE(YEAR(B6179),MONTH(B6179),1)</f>
        <v>46266</v>
      </c>
      <c r="M6179" s="31" t="n">
        <f aca="false">WEEKDAY(B6179,2)</f>
        <v>1</v>
      </c>
      <c r="N6179" s="31" t="str">
        <f aca="false">IF(G6179&lt;=INDEX(Assumptions!$B$15:$B$18,MATCH(E6179,Assumptions!$A$15:$A$18,0)),"Yes","No")</f>
        <v>Yes</v>
      </c>
      <c r="O6179" s="31" t="str">
        <f aca="false">IF(H6179="","Open",IF(H6179&lt;=INDEX(Assumptions!$C$15:$C$18,MATCH(E6179,Assumptions!$A$15:$A$18,0)),"Yes","No"))</f>
        <v>Open</v>
      </c>
    </row>
    <row r="6180" customFormat="false" ht="15" hidden="false" customHeight="false" outlineLevel="0" collapsed="false">
      <c r="A6180" s="31" t="s">
        <v>6330</v>
      </c>
      <c r="B6180" s="44" t="n">
        <v>46286</v>
      </c>
      <c r="C6180" s="31" t="s">
        <v>60</v>
      </c>
      <c r="D6180" s="31" t="s">
        <v>65</v>
      </c>
      <c r="E6180" s="31" t="s">
        <v>50</v>
      </c>
      <c r="F6180" s="31" t="s">
        <v>136</v>
      </c>
      <c r="G6180" s="31" t="n">
        <v>4</v>
      </c>
      <c r="H6180" s="41" t="n">
        <v>2.5</v>
      </c>
      <c r="I6180" s="31" t="s">
        <v>149</v>
      </c>
      <c r="J6180" s="31" t="n">
        <v>5</v>
      </c>
      <c r="K6180" s="31" t="s">
        <v>150</v>
      </c>
      <c r="L6180" s="45" t="n">
        <f aca="false">DATE(YEAR(B6180),MONTH(B6180),1)</f>
        <v>46266</v>
      </c>
      <c r="M6180" s="31" t="n">
        <f aca="false">WEEKDAY(B6180,2)</f>
        <v>1</v>
      </c>
      <c r="N6180" s="31" t="str">
        <f aca="false">IF(G6180&lt;=INDEX(Assumptions!$B$15:$B$18,MATCH(E6180,Assumptions!$A$15:$A$18,0)),"Yes","No")</f>
        <v>Yes</v>
      </c>
      <c r="O6180" s="31" t="str">
        <f aca="false">IF(H6180="","Open",IF(H6180&lt;=INDEX(Assumptions!$C$15:$C$18,MATCH(E6180,Assumptions!$A$15:$A$18,0)),"Yes","No"))</f>
        <v>Yes</v>
      </c>
    </row>
    <row r="6181" customFormat="false" ht="15" hidden="false" customHeight="false" outlineLevel="0" collapsed="false">
      <c r="A6181" s="31" t="s">
        <v>6331</v>
      </c>
      <c r="B6181" s="44" t="n">
        <v>46286</v>
      </c>
      <c r="C6181" s="31" t="s">
        <v>57</v>
      </c>
      <c r="D6181" s="31" t="s">
        <v>65</v>
      </c>
      <c r="E6181" s="31" t="s">
        <v>52</v>
      </c>
      <c r="F6181" s="31" t="s">
        <v>128</v>
      </c>
      <c r="G6181" s="31" t="n">
        <v>10</v>
      </c>
      <c r="H6181" s="41" t="n">
        <v>41.7</v>
      </c>
      <c r="I6181" s="31" t="s">
        <v>149</v>
      </c>
      <c r="J6181" s="31"/>
      <c r="K6181" s="31" t="s">
        <v>150</v>
      </c>
      <c r="L6181" s="45" t="n">
        <f aca="false">DATE(YEAR(B6181),MONTH(B6181),1)</f>
        <v>46266</v>
      </c>
      <c r="M6181" s="31" t="n">
        <f aca="false">WEEKDAY(B6181,2)</f>
        <v>1</v>
      </c>
      <c r="N6181" s="31" t="str">
        <f aca="false">IF(G6181&lt;=INDEX(Assumptions!$B$15:$B$18,MATCH(E6181,Assumptions!$A$15:$A$18,0)),"Yes","No")</f>
        <v>Yes</v>
      </c>
      <c r="O6181" s="31" t="str">
        <f aca="false">IF(H6181="","Open",IF(H6181&lt;=INDEX(Assumptions!$C$15:$C$18,MATCH(E6181,Assumptions!$A$15:$A$18,0)),"Yes","No"))</f>
        <v>Yes</v>
      </c>
    </row>
    <row r="6182" customFormat="false" ht="15" hidden="false" customHeight="false" outlineLevel="0" collapsed="false">
      <c r="A6182" s="31" t="s">
        <v>6332</v>
      </c>
      <c r="B6182" s="44" t="n">
        <v>46286</v>
      </c>
      <c r="C6182" s="31" t="s">
        <v>58</v>
      </c>
      <c r="D6182" s="31" t="s">
        <v>69</v>
      </c>
      <c r="E6182" s="31" t="s">
        <v>51</v>
      </c>
      <c r="F6182" s="31" t="s">
        <v>128</v>
      </c>
      <c r="G6182" s="31" t="n">
        <v>19</v>
      </c>
      <c r="H6182" s="41"/>
      <c r="I6182" s="31" t="s">
        <v>158</v>
      </c>
      <c r="J6182" s="31"/>
      <c r="K6182" s="31" t="s">
        <v>150</v>
      </c>
      <c r="L6182" s="45" t="n">
        <f aca="false">DATE(YEAR(B6182),MONTH(B6182),1)</f>
        <v>46266</v>
      </c>
      <c r="M6182" s="31" t="n">
        <f aca="false">WEEKDAY(B6182,2)</f>
        <v>1</v>
      </c>
      <c r="N6182" s="31" t="str">
        <f aca="false">IF(G6182&lt;=INDEX(Assumptions!$B$15:$B$18,MATCH(E6182,Assumptions!$A$15:$A$18,0)),"Yes","No")</f>
        <v>Yes</v>
      </c>
      <c r="O6182" s="31" t="str">
        <f aca="false">IF(H6182="","Open",IF(H6182&lt;=INDEX(Assumptions!$C$15:$C$18,MATCH(E6182,Assumptions!$A$15:$A$18,0)),"Yes","No"))</f>
        <v>Open</v>
      </c>
    </row>
    <row r="6183" customFormat="false" ht="15" hidden="false" customHeight="false" outlineLevel="0" collapsed="false">
      <c r="A6183" s="31" t="s">
        <v>6333</v>
      </c>
      <c r="B6183" s="44" t="n">
        <v>46286</v>
      </c>
      <c r="C6183" s="31" t="s">
        <v>58</v>
      </c>
      <c r="D6183" s="31" t="s">
        <v>69</v>
      </c>
      <c r="E6183" s="31" t="s">
        <v>51</v>
      </c>
      <c r="F6183" s="31" t="s">
        <v>126</v>
      </c>
      <c r="G6183" s="31" t="n">
        <v>5</v>
      </c>
      <c r="H6183" s="41" t="n">
        <v>27.5</v>
      </c>
      <c r="I6183" s="31" t="s">
        <v>64</v>
      </c>
      <c r="J6183" s="31" t="n">
        <v>2</v>
      </c>
      <c r="K6183" s="31" t="s">
        <v>150</v>
      </c>
      <c r="L6183" s="45" t="n">
        <f aca="false">DATE(YEAR(B6183),MONTH(B6183),1)</f>
        <v>46266</v>
      </c>
      <c r="M6183" s="31" t="n">
        <f aca="false">WEEKDAY(B6183,2)</f>
        <v>1</v>
      </c>
      <c r="N6183" s="31" t="str">
        <f aca="false">IF(G6183&lt;=INDEX(Assumptions!$B$15:$B$18,MATCH(E6183,Assumptions!$A$15:$A$18,0)),"Yes","No")</f>
        <v>Yes</v>
      </c>
      <c r="O6183" s="31" t="str">
        <f aca="false">IF(H6183="","Open",IF(H6183&lt;=INDEX(Assumptions!$C$15:$C$18,MATCH(E6183,Assumptions!$A$15:$A$18,0)),"Yes","No"))</f>
        <v>No</v>
      </c>
    </row>
    <row r="6184" customFormat="false" ht="15" hidden="false" customHeight="false" outlineLevel="0" collapsed="false">
      <c r="A6184" s="31" t="s">
        <v>6334</v>
      </c>
      <c r="B6184" s="44" t="n">
        <v>46286</v>
      </c>
      <c r="C6184" s="31" t="s">
        <v>57</v>
      </c>
      <c r="D6184" s="31" t="s">
        <v>65</v>
      </c>
      <c r="E6184" s="31" t="s">
        <v>52</v>
      </c>
      <c r="F6184" s="31" t="s">
        <v>133</v>
      </c>
      <c r="G6184" s="31" t="n">
        <v>22</v>
      </c>
      <c r="H6184" s="41" t="n">
        <v>0.6</v>
      </c>
      <c r="I6184" s="31" t="s">
        <v>149</v>
      </c>
      <c r="J6184" s="31"/>
      <c r="K6184" s="31" t="s">
        <v>150</v>
      </c>
      <c r="L6184" s="45" t="n">
        <f aca="false">DATE(YEAR(B6184),MONTH(B6184),1)</f>
        <v>46266</v>
      </c>
      <c r="M6184" s="31" t="n">
        <f aca="false">WEEKDAY(B6184,2)</f>
        <v>1</v>
      </c>
      <c r="N6184" s="31" t="str">
        <f aca="false">IF(G6184&lt;=INDEX(Assumptions!$B$15:$B$18,MATCH(E6184,Assumptions!$A$15:$A$18,0)),"Yes","No")</f>
        <v>Yes</v>
      </c>
      <c r="O6184" s="31" t="str">
        <f aca="false">IF(H6184="","Open",IF(H6184&lt;=INDEX(Assumptions!$C$15:$C$18,MATCH(E6184,Assumptions!$A$15:$A$18,0)),"Yes","No"))</f>
        <v>Yes</v>
      </c>
    </row>
    <row r="6185" customFormat="false" ht="15" hidden="false" customHeight="false" outlineLevel="0" collapsed="false">
      <c r="A6185" s="31" t="s">
        <v>6335</v>
      </c>
      <c r="B6185" s="44" t="n">
        <v>46286</v>
      </c>
      <c r="C6185" s="31" t="s">
        <v>57</v>
      </c>
      <c r="D6185" s="31" t="s">
        <v>66</v>
      </c>
      <c r="E6185" s="31" t="s">
        <v>51</v>
      </c>
      <c r="F6185" s="31" t="s">
        <v>121</v>
      </c>
      <c r="G6185" s="31" t="n">
        <v>5</v>
      </c>
      <c r="H6185" s="41"/>
      <c r="I6185" s="31" t="s">
        <v>158</v>
      </c>
      <c r="J6185" s="31"/>
      <c r="K6185" s="31" t="s">
        <v>150</v>
      </c>
      <c r="L6185" s="45" t="n">
        <f aca="false">DATE(YEAR(B6185),MONTH(B6185),1)</f>
        <v>46266</v>
      </c>
      <c r="M6185" s="31" t="n">
        <f aca="false">WEEKDAY(B6185,2)</f>
        <v>1</v>
      </c>
      <c r="N6185" s="31" t="str">
        <f aca="false">IF(G6185&lt;=INDEX(Assumptions!$B$15:$B$18,MATCH(E6185,Assumptions!$A$15:$A$18,0)),"Yes","No")</f>
        <v>Yes</v>
      </c>
      <c r="O6185" s="31" t="str">
        <f aca="false">IF(H6185="","Open",IF(H6185&lt;=INDEX(Assumptions!$C$15:$C$18,MATCH(E6185,Assumptions!$A$15:$A$18,0)),"Yes","No"))</f>
        <v>Open</v>
      </c>
    </row>
    <row r="6186" customFormat="false" ht="15" hidden="false" customHeight="false" outlineLevel="0" collapsed="false">
      <c r="A6186" s="31" t="s">
        <v>6336</v>
      </c>
      <c r="B6186" s="44" t="n">
        <v>46286</v>
      </c>
      <c r="C6186" s="31" t="s">
        <v>58</v>
      </c>
      <c r="D6186" s="31" t="s">
        <v>66</v>
      </c>
      <c r="E6186" s="31" t="s">
        <v>51</v>
      </c>
      <c r="F6186" s="31" t="s">
        <v>130</v>
      </c>
      <c r="G6186" s="31" t="n">
        <v>16</v>
      </c>
      <c r="H6186" s="41" t="n">
        <v>8.1</v>
      </c>
      <c r="I6186" s="31" t="s">
        <v>149</v>
      </c>
      <c r="J6186" s="31" t="n">
        <v>5</v>
      </c>
      <c r="K6186" s="31" t="s">
        <v>150</v>
      </c>
      <c r="L6186" s="45" t="n">
        <f aca="false">DATE(YEAR(B6186),MONTH(B6186),1)</f>
        <v>46266</v>
      </c>
      <c r="M6186" s="31" t="n">
        <f aca="false">WEEKDAY(B6186,2)</f>
        <v>1</v>
      </c>
      <c r="N6186" s="31" t="str">
        <f aca="false">IF(G6186&lt;=INDEX(Assumptions!$B$15:$B$18,MATCH(E6186,Assumptions!$A$15:$A$18,0)),"Yes","No")</f>
        <v>Yes</v>
      </c>
      <c r="O6186" s="31" t="str">
        <f aca="false">IF(H6186="","Open",IF(H6186&lt;=INDEX(Assumptions!$C$15:$C$18,MATCH(E6186,Assumptions!$A$15:$A$18,0)),"Yes","No"))</f>
        <v>Yes</v>
      </c>
    </row>
    <row r="6187" customFormat="false" ht="15" hidden="false" customHeight="false" outlineLevel="0" collapsed="false">
      <c r="A6187" s="31" t="s">
        <v>6337</v>
      </c>
      <c r="B6187" s="44" t="n">
        <v>46286</v>
      </c>
      <c r="C6187" s="31" t="s">
        <v>57</v>
      </c>
      <c r="D6187" s="31" t="s">
        <v>65</v>
      </c>
      <c r="E6187" s="31" t="s">
        <v>50</v>
      </c>
      <c r="F6187" s="31" t="s">
        <v>131</v>
      </c>
      <c r="G6187" s="31" t="n">
        <v>2</v>
      </c>
      <c r="H6187" s="41"/>
      <c r="I6187" s="31" t="s">
        <v>158</v>
      </c>
      <c r="J6187" s="31"/>
      <c r="K6187" s="31" t="s">
        <v>150</v>
      </c>
      <c r="L6187" s="45" t="n">
        <f aca="false">DATE(YEAR(B6187),MONTH(B6187),1)</f>
        <v>46266</v>
      </c>
      <c r="M6187" s="31" t="n">
        <f aca="false">WEEKDAY(B6187,2)</f>
        <v>1</v>
      </c>
      <c r="N6187" s="31" t="str">
        <f aca="false">IF(G6187&lt;=INDEX(Assumptions!$B$15:$B$18,MATCH(E6187,Assumptions!$A$15:$A$18,0)),"Yes","No")</f>
        <v>Yes</v>
      </c>
      <c r="O6187" s="31" t="str">
        <f aca="false">IF(H6187="","Open",IF(H6187&lt;=INDEX(Assumptions!$C$15:$C$18,MATCH(E6187,Assumptions!$A$15:$A$18,0)),"Yes","No"))</f>
        <v>Open</v>
      </c>
    </row>
    <row r="6188" customFormat="false" ht="15" hidden="false" customHeight="false" outlineLevel="0" collapsed="false">
      <c r="A6188" s="31" t="s">
        <v>6338</v>
      </c>
      <c r="B6188" s="44" t="n">
        <v>46286</v>
      </c>
      <c r="C6188" s="31" t="s">
        <v>60</v>
      </c>
      <c r="D6188" s="31" t="s">
        <v>69</v>
      </c>
      <c r="E6188" s="31" t="s">
        <v>51</v>
      </c>
      <c r="F6188" s="31" t="s">
        <v>124</v>
      </c>
      <c r="G6188" s="31" t="n">
        <v>2</v>
      </c>
      <c r="H6188" s="41" t="n">
        <v>26.4</v>
      </c>
      <c r="I6188" s="31" t="s">
        <v>149</v>
      </c>
      <c r="J6188" s="31"/>
      <c r="K6188" s="31" t="s">
        <v>150</v>
      </c>
      <c r="L6188" s="45" t="n">
        <f aca="false">DATE(YEAR(B6188),MONTH(B6188),1)</f>
        <v>46266</v>
      </c>
      <c r="M6188" s="31" t="n">
        <f aca="false">WEEKDAY(B6188,2)</f>
        <v>1</v>
      </c>
      <c r="N6188" s="31" t="str">
        <f aca="false">IF(G6188&lt;=INDEX(Assumptions!$B$15:$B$18,MATCH(E6188,Assumptions!$A$15:$A$18,0)),"Yes","No")</f>
        <v>Yes</v>
      </c>
      <c r="O6188" s="31" t="str">
        <f aca="false">IF(H6188="","Open",IF(H6188&lt;=INDEX(Assumptions!$C$15:$C$18,MATCH(E6188,Assumptions!$A$15:$A$18,0)),"Yes","No"))</f>
        <v>No</v>
      </c>
    </row>
    <row r="6189" customFormat="false" ht="15" hidden="false" customHeight="false" outlineLevel="0" collapsed="false">
      <c r="A6189" s="31" t="s">
        <v>6339</v>
      </c>
      <c r="B6189" s="44" t="n">
        <v>46286</v>
      </c>
      <c r="C6189" s="31" t="s">
        <v>57</v>
      </c>
      <c r="D6189" s="31" t="s">
        <v>67</v>
      </c>
      <c r="E6189" s="31" t="s">
        <v>50</v>
      </c>
      <c r="F6189" s="31" t="s">
        <v>135</v>
      </c>
      <c r="G6189" s="31" t="n">
        <v>4</v>
      </c>
      <c r="H6189" s="41" t="n">
        <v>16.8</v>
      </c>
      <c r="I6189" s="31" t="s">
        <v>149</v>
      </c>
      <c r="J6189" s="31" t="n">
        <v>3</v>
      </c>
      <c r="K6189" s="31" t="s">
        <v>150</v>
      </c>
      <c r="L6189" s="45" t="n">
        <f aca="false">DATE(YEAR(B6189),MONTH(B6189),1)</f>
        <v>46266</v>
      </c>
      <c r="M6189" s="31" t="n">
        <f aca="false">WEEKDAY(B6189,2)</f>
        <v>1</v>
      </c>
      <c r="N6189" s="31" t="str">
        <f aca="false">IF(G6189&lt;=INDEX(Assumptions!$B$15:$B$18,MATCH(E6189,Assumptions!$A$15:$A$18,0)),"Yes","No")</f>
        <v>Yes</v>
      </c>
      <c r="O6189" s="31" t="str">
        <f aca="false">IF(H6189="","Open",IF(H6189&lt;=INDEX(Assumptions!$C$15:$C$18,MATCH(E6189,Assumptions!$A$15:$A$18,0)),"Yes","No"))</f>
        <v>No</v>
      </c>
    </row>
    <row r="6190" customFormat="false" ht="15" hidden="false" customHeight="false" outlineLevel="0" collapsed="false">
      <c r="A6190" s="31" t="s">
        <v>6340</v>
      </c>
      <c r="B6190" s="44" t="n">
        <v>46286</v>
      </c>
      <c r="C6190" s="31" t="s">
        <v>57</v>
      </c>
      <c r="D6190" s="31" t="s">
        <v>69</v>
      </c>
      <c r="E6190" s="31" t="s">
        <v>50</v>
      </c>
      <c r="F6190" s="31" t="s">
        <v>124</v>
      </c>
      <c r="G6190" s="31" t="n">
        <v>4</v>
      </c>
      <c r="H6190" s="41"/>
      <c r="I6190" s="31" t="s">
        <v>158</v>
      </c>
      <c r="J6190" s="31"/>
      <c r="K6190" s="31" t="s">
        <v>150</v>
      </c>
      <c r="L6190" s="45" t="n">
        <f aca="false">DATE(YEAR(B6190),MONTH(B6190),1)</f>
        <v>46266</v>
      </c>
      <c r="M6190" s="31" t="n">
        <f aca="false">WEEKDAY(B6190,2)</f>
        <v>1</v>
      </c>
      <c r="N6190" s="31" t="str">
        <f aca="false">IF(G6190&lt;=INDEX(Assumptions!$B$15:$B$18,MATCH(E6190,Assumptions!$A$15:$A$18,0)),"Yes","No")</f>
        <v>Yes</v>
      </c>
      <c r="O6190" s="31" t="str">
        <f aca="false">IF(H6190="","Open",IF(H6190&lt;=INDEX(Assumptions!$C$15:$C$18,MATCH(E6190,Assumptions!$A$15:$A$18,0)),"Yes","No"))</f>
        <v>Open</v>
      </c>
    </row>
    <row r="6191" customFormat="false" ht="15" hidden="false" customHeight="false" outlineLevel="0" collapsed="false">
      <c r="A6191" s="31" t="s">
        <v>6341</v>
      </c>
      <c r="B6191" s="44" t="n">
        <v>46286</v>
      </c>
      <c r="C6191" s="31" t="s">
        <v>58</v>
      </c>
      <c r="D6191" s="31" t="s">
        <v>66</v>
      </c>
      <c r="E6191" s="31" t="s">
        <v>51</v>
      </c>
      <c r="F6191" s="31" t="s">
        <v>134</v>
      </c>
      <c r="G6191" s="31" t="n">
        <v>14</v>
      </c>
      <c r="H6191" s="41"/>
      <c r="I6191" s="31" t="s">
        <v>158</v>
      </c>
      <c r="J6191" s="31"/>
      <c r="K6191" s="31" t="s">
        <v>150</v>
      </c>
      <c r="L6191" s="45" t="n">
        <f aca="false">DATE(YEAR(B6191),MONTH(B6191),1)</f>
        <v>46266</v>
      </c>
      <c r="M6191" s="31" t="n">
        <f aca="false">WEEKDAY(B6191,2)</f>
        <v>1</v>
      </c>
      <c r="N6191" s="31" t="str">
        <f aca="false">IF(G6191&lt;=INDEX(Assumptions!$B$15:$B$18,MATCH(E6191,Assumptions!$A$15:$A$18,0)),"Yes","No")</f>
        <v>Yes</v>
      </c>
      <c r="O6191" s="31" t="str">
        <f aca="false">IF(H6191="","Open",IF(H6191&lt;=INDEX(Assumptions!$C$15:$C$18,MATCH(E6191,Assumptions!$A$15:$A$18,0)),"Yes","No"))</f>
        <v>Open</v>
      </c>
    </row>
    <row r="6192" customFormat="false" ht="15" hidden="false" customHeight="false" outlineLevel="0" collapsed="false">
      <c r="A6192" s="31" t="s">
        <v>6342</v>
      </c>
      <c r="B6192" s="44" t="n">
        <v>46286</v>
      </c>
      <c r="C6192" s="31" t="s">
        <v>60</v>
      </c>
      <c r="D6192" s="31" t="s">
        <v>68</v>
      </c>
      <c r="E6192" s="31" t="s">
        <v>51</v>
      </c>
      <c r="F6192" s="31" t="s">
        <v>117</v>
      </c>
      <c r="G6192" s="31" t="n">
        <v>2</v>
      </c>
      <c r="H6192" s="41"/>
      <c r="I6192" s="31" t="s">
        <v>158</v>
      </c>
      <c r="J6192" s="31"/>
      <c r="K6192" s="31" t="s">
        <v>150</v>
      </c>
      <c r="L6192" s="45" t="n">
        <f aca="false">DATE(YEAR(B6192),MONTH(B6192),1)</f>
        <v>46266</v>
      </c>
      <c r="M6192" s="31" t="n">
        <f aca="false">WEEKDAY(B6192,2)</f>
        <v>1</v>
      </c>
      <c r="N6192" s="31" t="str">
        <f aca="false">IF(G6192&lt;=INDEX(Assumptions!$B$15:$B$18,MATCH(E6192,Assumptions!$A$15:$A$18,0)),"Yes","No")</f>
        <v>Yes</v>
      </c>
      <c r="O6192" s="31" t="str">
        <f aca="false">IF(H6192="","Open",IF(H6192&lt;=INDEX(Assumptions!$C$15:$C$18,MATCH(E6192,Assumptions!$A$15:$A$18,0)),"Yes","No"))</f>
        <v>Open</v>
      </c>
    </row>
    <row r="6193" customFormat="false" ht="15" hidden="false" customHeight="false" outlineLevel="0" collapsed="false">
      <c r="A6193" s="31" t="s">
        <v>6343</v>
      </c>
      <c r="B6193" s="44" t="n">
        <v>46286</v>
      </c>
      <c r="C6193" s="31" t="s">
        <v>60</v>
      </c>
      <c r="D6193" s="31" t="s">
        <v>66</v>
      </c>
      <c r="E6193" s="31" t="s">
        <v>49</v>
      </c>
      <c r="F6193" s="31" t="s">
        <v>129</v>
      </c>
      <c r="G6193" s="31" t="n">
        <v>1</v>
      </c>
      <c r="H6193" s="41" t="n">
        <v>0.2</v>
      </c>
      <c r="I6193" s="31" t="s">
        <v>149</v>
      </c>
      <c r="J6193" s="31" t="n">
        <v>5</v>
      </c>
      <c r="K6193" s="31" t="s">
        <v>150</v>
      </c>
      <c r="L6193" s="45" t="n">
        <f aca="false">DATE(YEAR(B6193),MONTH(B6193),1)</f>
        <v>46266</v>
      </c>
      <c r="M6193" s="31" t="n">
        <f aca="false">WEEKDAY(B6193,2)</f>
        <v>1</v>
      </c>
      <c r="N6193" s="31" t="str">
        <f aca="false">IF(G6193&lt;=INDEX(Assumptions!$B$15:$B$18,MATCH(E6193,Assumptions!$A$15:$A$18,0)),"Yes","No")</f>
        <v>Yes</v>
      </c>
      <c r="O6193" s="31" t="str">
        <f aca="false">IF(H6193="","Open",IF(H6193&lt;=INDEX(Assumptions!$C$15:$C$18,MATCH(E6193,Assumptions!$A$15:$A$18,0)),"Yes","No"))</f>
        <v>Yes</v>
      </c>
    </row>
    <row r="6194" customFormat="false" ht="15" hidden="false" customHeight="false" outlineLevel="0" collapsed="false">
      <c r="A6194" s="31" t="s">
        <v>6344</v>
      </c>
      <c r="B6194" s="44" t="n">
        <v>46286</v>
      </c>
      <c r="C6194" s="31" t="s">
        <v>58</v>
      </c>
      <c r="D6194" s="31" t="s">
        <v>67</v>
      </c>
      <c r="E6194" s="31" t="s">
        <v>52</v>
      </c>
      <c r="F6194" s="31" t="s">
        <v>123</v>
      </c>
      <c r="G6194" s="31" t="n">
        <v>10</v>
      </c>
      <c r="H6194" s="41" t="n">
        <v>12.9</v>
      </c>
      <c r="I6194" s="31" t="s">
        <v>149</v>
      </c>
      <c r="J6194" s="31" t="n">
        <v>5</v>
      </c>
      <c r="K6194" s="31" t="s">
        <v>153</v>
      </c>
      <c r="L6194" s="45" t="n">
        <f aca="false">DATE(YEAR(B6194),MONTH(B6194),1)</f>
        <v>46266</v>
      </c>
      <c r="M6194" s="31" t="n">
        <f aca="false">WEEKDAY(B6194,2)</f>
        <v>1</v>
      </c>
      <c r="N6194" s="31" t="str">
        <f aca="false">IF(G6194&lt;=INDEX(Assumptions!$B$15:$B$18,MATCH(E6194,Assumptions!$A$15:$A$18,0)),"Yes","No")</f>
        <v>Yes</v>
      </c>
      <c r="O6194" s="31" t="str">
        <f aca="false">IF(H6194="","Open",IF(H6194&lt;=INDEX(Assumptions!$C$15:$C$18,MATCH(E6194,Assumptions!$A$15:$A$18,0)),"Yes","No"))</f>
        <v>Yes</v>
      </c>
    </row>
    <row r="6195" customFormat="false" ht="15" hidden="false" customHeight="false" outlineLevel="0" collapsed="false">
      <c r="A6195" s="31" t="s">
        <v>6345</v>
      </c>
      <c r="B6195" s="44" t="n">
        <v>46286</v>
      </c>
      <c r="C6195" s="31" t="s">
        <v>57</v>
      </c>
      <c r="D6195" s="31" t="s">
        <v>65</v>
      </c>
      <c r="E6195" s="31" t="s">
        <v>50</v>
      </c>
      <c r="F6195" s="31" t="s">
        <v>123</v>
      </c>
      <c r="G6195" s="31" t="n">
        <v>4</v>
      </c>
      <c r="H6195" s="41" t="n">
        <v>2.9</v>
      </c>
      <c r="I6195" s="31" t="s">
        <v>149</v>
      </c>
      <c r="J6195" s="31" t="n">
        <v>4</v>
      </c>
      <c r="K6195" s="31" t="s">
        <v>150</v>
      </c>
      <c r="L6195" s="45" t="n">
        <f aca="false">DATE(YEAR(B6195),MONTH(B6195),1)</f>
        <v>46266</v>
      </c>
      <c r="M6195" s="31" t="n">
        <f aca="false">WEEKDAY(B6195,2)</f>
        <v>1</v>
      </c>
      <c r="N6195" s="31" t="str">
        <f aca="false">IF(G6195&lt;=INDEX(Assumptions!$B$15:$B$18,MATCH(E6195,Assumptions!$A$15:$A$18,0)),"Yes","No")</f>
        <v>Yes</v>
      </c>
      <c r="O6195" s="31" t="str">
        <f aca="false">IF(H6195="","Open",IF(H6195&lt;=INDEX(Assumptions!$C$15:$C$18,MATCH(E6195,Assumptions!$A$15:$A$18,0)),"Yes","No"))</f>
        <v>Yes</v>
      </c>
    </row>
    <row r="6196" customFormat="false" ht="15" hidden="false" customHeight="false" outlineLevel="0" collapsed="false">
      <c r="A6196" s="31" t="s">
        <v>6346</v>
      </c>
      <c r="B6196" s="44" t="n">
        <v>46286</v>
      </c>
      <c r="C6196" s="31" t="s">
        <v>57</v>
      </c>
      <c r="D6196" s="31" t="s">
        <v>66</v>
      </c>
      <c r="E6196" s="31" t="s">
        <v>50</v>
      </c>
      <c r="F6196" s="31" t="s">
        <v>130</v>
      </c>
      <c r="G6196" s="31" t="n">
        <v>5</v>
      </c>
      <c r="H6196" s="41" t="n">
        <v>5.1</v>
      </c>
      <c r="I6196" s="31" t="s">
        <v>149</v>
      </c>
      <c r="J6196" s="31"/>
      <c r="K6196" s="31" t="s">
        <v>150</v>
      </c>
      <c r="L6196" s="45" t="n">
        <f aca="false">DATE(YEAR(B6196),MONTH(B6196),1)</f>
        <v>46266</v>
      </c>
      <c r="M6196" s="31" t="n">
        <f aca="false">WEEKDAY(B6196,2)</f>
        <v>1</v>
      </c>
      <c r="N6196" s="31" t="str">
        <f aca="false">IF(G6196&lt;=INDEX(Assumptions!$B$15:$B$18,MATCH(E6196,Assumptions!$A$15:$A$18,0)),"Yes","No")</f>
        <v>Yes</v>
      </c>
      <c r="O6196" s="31" t="str">
        <f aca="false">IF(H6196="","Open",IF(H6196&lt;=INDEX(Assumptions!$C$15:$C$18,MATCH(E6196,Assumptions!$A$15:$A$18,0)),"Yes","No"))</f>
        <v>Yes</v>
      </c>
    </row>
    <row r="6197" customFormat="false" ht="15" hidden="false" customHeight="false" outlineLevel="0" collapsed="false">
      <c r="A6197" s="31" t="s">
        <v>6347</v>
      </c>
      <c r="B6197" s="44" t="n">
        <v>46286</v>
      </c>
      <c r="C6197" s="31" t="s">
        <v>58</v>
      </c>
      <c r="D6197" s="31" t="s">
        <v>65</v>
      </c>
      <c r="E6197" s="31" t="s">
        <v>52</v>
      </c>
      <c r="F6197" s="31" t="s">
        <v>137</v>
      </c>
      <c r="G6197" s="31" t="n">
        <v>32</v>
      </c>
      <c r="H6197" s="41" t="n">
        <v>24.1</v>
      </c>
      <c r="I6197" s="31" t="s">
        <v>149</v>
      </c>
      <c r="J6197" s="31" t="n">
        <v>4</v>
      </c>
      <c r="K6197" s="31" t="s">
        <v>150</v>
      </c>
      <c r="L6197" s="45" t="n">
        <f aca="false">DATE(YEAR(B6197),MONTH(B6197),1)</f>
        <v>46266</v>
      </c>
      <c r="M6197" s="31" t="n">
        <f aca="false">WEEKDAY(B6197,2)</f>
        <v>1</v>
      </c>
      <c r="N6197" s="31" t="str">
        <f aca="false">IF(G6197&lt;=INDEX(Assumptions!$B$15:$B$18,MATCH(E6197,Assumptions!$A$15:$A$18,0)),"Yes","No")</f>
        <v>Yes</v>
      </c>
      <c r="O6197" s="31" t="str">
        <f aca="false">IF(H6197="","Open",IF(H6197&lt;=INDEX(Assumptions!$C$15:$C$18,MATCH(E6197,Assumptions!$A$15:$A$18,0)),"Yes","No"))</f>
        <v>Yes</v>
      </c>
    </row>
    <row r="6198" customFormat="false" ht="15" hidden="false" customHeight="false" outlineLevel="0" collapsed="false">
      <c r="A6198" s="31" t="s">
        <v>6348</v>
      </c>
      <c r="B6198" s="44" t="n">
        <v>46286</v>
      </c>
      <c r="C6198" s="31" t="s">
        <v>57</v>
      </c>
      <c r="D6198" s="31" t="s">
        <v>66</v>
      </c>
      <c r="E6198" s="31" t="s">
        <v>51</v>
      </c>
      <c r="F6198" s="31" t="s">
        <v>134</v>
      </c>
      <c r="G6198" s="31" t="n">
        <v>9</v>
      </c>
      <c r="H6198" s="41"/>
      <c r="I6198" s="31" t="s">
        <v>158</v>
      </c>
      <c r="J6198" s="31"/>
      <c r="K6198" s="31" t="s">
        <v>150</v>
      </c>
      <c r="L6198" s="45" t="n">
        <f aca="false">DATE(YEAR(B6198),MONTH(B6198),1)</f>
        <v>46266</v>
      </c>
      <c r="M6198" s="31" t="n">
        <f aca="false">WEEKDAY(B6198,2)</f>
        <v>1</v>
      </c>
      <c r="N6198" s="31" t="str">
        <f aca="false">IF(G6198&lt;=INDEX(Assumptions!$B$15:$B$18,MATCH(E6198,Assumptions!$A$15:$A$18,0)),"Yes","No")</f>
        <v>Yes</v>
      </c>
      <c r="O6198" s="31" t="str">
        <f aca="false">IF(H6198="","Open",IF(H6198&lt;=INDEX(Assumptions!$C$15:$C$18,MATCH(E6198,Assumptions!$A$15:$A$18,0)),"Yes","No"))</f>
        <v>Open</v>
      </c>
    </row>
    <row r="6199" customFormat="false" ht="15" hidden="false" customHeight="false" outlineLevel="0" collapsed="false">
      <c r="A6199" s="31" t="s">
        <v>6349</v>
      </c>
      <c r="B6199" s="44" t="n">
        <v>46286</v>
      </c>
      <c r="C6199" s="31" t="s">
        <v>59</v>
      </c>
      <c r="D6199" s="31" t="s">
        <v>68</v>
      </c>
      <c r="E6199" s="31" t="s">
        <v>51</v>
      </c>
      <c r="F6199" s="31" t="s">
        <v>129</v>
      </c>
      <c r="G6199" s="31" t="n">
        <v>85</v>
      </c>
      <c r="H6199" s="41"/>
      <c r="I6199" s="31" t="s">
        <v>158</v>
      </c>
      <c r="J6199" s="31"/>
      <c r="K6199" s="31" t="s">
        <v>150</v>
      </c>
      <c r="L6199" s="45" t="n">
        <f aca="false">DATE(YEAR(B6199),MONTH(B6199),1)</f>
        <v>46266</v>
      </c>
      <c r="M6199" s="31" t="n">
        <f aca="false">WEEKDAY(B6199,2)</f>
        <v>1</v>
      </c>
      <c r="N6199" s="31" t="str">
        <f aca="false">IF(G6199&lt;=INDEX(Assumptions!$B$15:$B$18,MATCH(E6199,Assumptions!$A$15:$A$18,0)),"Yes","No")</f>
        <v>No</v>
      </c>
      <c r="O6199" s="31" t="str">
        <f aca="false">IF(H6199="","Open",IF(H6199&lt;=INDEX(Assumptions!$C$15:$C$18,MATCH(E6199,Assumptions!$A$15:$A$18,0)),"Yes","No"))</f>
        <v>Open</v>
      </c>
    </row>
    <row r="6200" customFormat="false" ht="15" hidden="false" customHeight="false" outlineLevel="0" collapsed="false">
      <c r="A6200" s="31" t="s">
        <v>6350</v>
      </c>
      <c r="B6200" s="44" t="n">
        <v>46286</v>
      </c>
      <c r="C6200" s="31" t="s">
        <v>57</v>
      </c>
      <c r="D6200" s="31" t="s">
        <v>68</v>
      </c>
      <c r="E6200" s="31" t="s">
        <v>51</v>
      </c>
      <c r="F6200" s="31" t="s">
        <v>137</v>
      </c>
      <c r="G6200" s="31" t="n">
        <v>2</v>
      </c>
      <c r="H6200" s="41" t="n">
        <v>5.3</v>
      </c>
      <c r="I6200" s="31" t="s">
        <v>149</v>
      </c>
      <c r="J6200" s="31" t="n">
        <v>4</v>
      </c>
      <c r="K6200" s="31" t="s">
        <v>150</v>
      </c>
      <c r="L6200" s="45" t="n">
        <f aca="false">DATE(YEAR(B6200),MONTH(B6200),1)</f>
        <v>46266</v>
      </c>
      <c r="M6200" s="31" t="n">
        <f aca="false">WEEKDAY(B6200,2)</f>
        <v>1</v>
      </c>
      <c r="N6200" s="31" t="str">
        <f aca="false">IF(G6200&lt;=INDEX(Assumptions!$B$15:$B$18,MATCH(E6200,Assumptions!$A$15:$A$18,0)),"Yes","No")</f>
        <v>Yes</v>
      </c>
      <c r="O6200" s="31" t="str">
        <f aca="false">IF(H6200="","Open",IF(H6200&lt;=INDEX(Assumptions!$C$15:$C$18,MATCH(E6200,Assumptions!$A$15:$A$18,0)),"Yes","No"))</f>
        <v>Yes</v>
      </c>
    </row>
    <row r="6201" customFormat="false" ht="15" hidden="false" customHeight="false" outlineLevel="0" collapsed="false">
      <c r="A6201" s="31" t="s">
        <v>6351</v>
      </c>
      <c r="B6201" s="44" t="n">
        <v>46286</v>
      </c>
      <c r="C6201" s="31" t="s">
        <v>57</v>
      </c>
      <c r="D6201" s="31" t="s">
        <v>67</v>
      </c>
      <c r="E6201" s="31" t="s">
        <v>51</v>
      </c>
      <c r="F6201" s="31" t="s">
        <v>120</v>
      </c>
      <c r="G6201" s="31" t="n">
        <v>13</v>
      </c>
      <c r="H6201" s="41"/>
      <c r="I6201" s="31" t="s">
        <v>158</v>
      </c>
      <c r="J6201" s="31"/>
      <c r="K6201" s="31" t="s">
        <v>150</v>
      </c>
      <c r="L6201" s="45" t="n">
        <f aca="false">DATE(YEAR(B6201),MONTH(B6201),1)</f>
        <v>46266</v>
      </c>
      <c r="M6201" s="31" t="n">
        <f aca="false">WEEKDAY(B6201,2)</f>
        <v>1</v>
      </c>
      <c r="N6201" s="31" t="str">
        <f aca="false">IF(G6201&lt;=INDEX(Assumptions!$B$15:$B$18,MATCH(E6201,Assumptions!$A$15:$A$18,0)),"Yes","No")</f>
        <v>Yes</v>
      </c>
      <c r="O6201" s="31" t="str">
        <f aca="false">IF(H6201="","Open",IF(H6201&lt;=INDEX(Assumptions!$C$15:$C$18,MATCH(E6201,Assumptions!$A$15:$A$18,0)),"Yes","No"))</f>
        <v>Open</v>
      </c>
    </row>
    <row r="6202" customFormat="false" ht="15" hidden="false" customHeight="false" outlineLevel="0" collapsed="false">
      <c r="A6202" s="31" t="s">
        <v>6352</v>
      </c>
      <c r="B6202" s="44" t="n">
        <v>46286</v>
      </c>
      <c r="C6202" s="31" t="s">
        <v>58</v>
      </c>
      <c r="D6202" s="31" t="s">
        <v>65</v>
      </c>
      <c r="E6202" s="31" t="s">
        <v>52</v>
      </c>
      <c r="F6202" s="31" t="s">
        <v>117</v>
      </c>
      <c r="G6202" s="31" t="n">
        <v>13</v>
      </c>
      <c r="H6202" s="41" t="n">
        <v>19.7</v>
      </c>
      <c r="I6202" s="31" t="s">
        <v>149</v>
      </c>
      <c r="J6202" s="31" t="n">
        <v>3</v>
      </c>
      <c r="K6202" s="31" t="s">
        <v>150</v>
      </c>
      <c r="L6202" s="45" t="n">
        <f aca="false">DATE(YEAR(B6202),MONTH(B6202),1)</f>
        <v>46266</v>
      </c>
      <c r="M6202" s="31" t="n">
        <f aca="false">WEEKDAY(B6202,2)</f>
        <v>1</v>
      </c>
      <c r="N6202" s="31" t="str">
        <f aca="false">IF(G6202&lt;=INDEX(Assumptions!$B$15:$B$18,MATCH(E6202,Assumptions!$A$15:$A$18,0)),"Yes","No")</f>
        <v>Yes</v>
      </c>
      <c r="O6202" s="31" t="str">
        <f aca="false">IF(H6202="","Open",IF(H6202&lt;=INDEX(Assumptions!$C$15:$C$18,MATCH(E6202,Assumptions!$A$15:$A$18,0)),"Yes","No"))</f>
        <v>Yes</v>
      </c>
    </row>
    <row r="6203" customFormat="false" ht="15" hidden="false" customHeight="false" outlineLevel="0" collapsed="false">
      <c r="A6203" s="31" t="s">
        <v>6353</v>
      </c>
      <c r="B6203" s="44" t="n">
        <v>46286</v>
      </c>
      <c r="C6203" s="31" t="s">
        <v>59</v>
      </c>
      <c r="D6203" s="31" t="s">
        <v>65</v>
      </c>
      <c r="E6203" s="31" t="s">
        <v>52</v>
      </c>
      <c r="F6203" s="31" t="s">
        <v>134</v>
      </c>
      <c r="G6203" s="31" t="n">
        <v>515</v>
      </c>
      <c r="H6203" s="41"/>
      <c r="I6203" s="31" t="s">
        <v>158</v>
      </c>
      <c r="J6203" s="31"/>
      <c r="K6203" s="31" t="s">
        <v>150</v>
      </c>
      <c r="L6203" s="45" t="n">
        <f aca="false">DATE(YEAR(B6203),MONTH(B6203),1)</f>
        <v>46266</v>
      </c>
      <c r="M6203" s="31" t="n">
        <f aca="false">WEEKDAY(B6203,2)</f>
        <v>1</v>
      </c>
      <c r="N6203" s="31" t="str">
        <f aca="false">IF(G6203&lt;=INDEX(Assumptions!$B$15:$B$18,MATCH(E6203,Assumptions!$A$15:$A$18,0)),"Yes","No")</f>
        <v>No</v>
      </c>
      <c r="O6203" s="31" t="str">
        <f aca="false">IF(H6203="","Open",IF(H6203&lt;=INDEX(Assumptions!$C$15:$C$18,MATCH(E6203,Assumptions!$A$15:$A$18,0)),"Yes","No"))</f>
        <v>Open</v>
      </c>
    </row>
    <row r="6204" customFormat="false" ht="15" hidden="false" customHeight="false" outlineLevel="0" collapsed="false">
      <c r="A6204" s="31" t="s">
        <v>6354</v>
      </c>
      <c r="B6204" s="44" t="n">
        <v>46286</v>
      </c>
      <c r="C6204" s="31" t="s">
        <v>57</v>
      </c>
      <c r="D6204" s="31" t="s">
        <v>69</v>
      </c>
      <c r="E6204" s="31" t="s">
        <v>51</v>
      </c>
      <c r="F6204" s="31" t="s">
        <v>120</v>
      </c>
      <c r="G6204" s="31" t="n">
        <v>15</v>
      </c>
      <c r="H6204" s="41"/>
      <c r="I6204" s="31" t="s">
        <v>158</v>
      </c>
      <c r="J6204" s="31"/>
      <c r="K6204" s="31" t="s">
        <v>150</v>
      </c>
      <c r="L6204" s="45" t="n">
        <f aca="false">DATE(YEAR(B6204),MONTH(B6204),1)</f>
        <v>46266</v>
      </c>
      <c r="M6204" s="31" t="n">
        <f aca="false">WEEKDAY(B6204,2)</f>
        <v>1</v>
      </c>
      <c r="N6204" s="31" t="str">
        <f aca="false">IF(G6204&lt;=INDEX(Assumptions!$B$15:$B$18,MATCH(E6204,Assumptions!$A$15:$A$18,0)),"Yes","No")</f>
        <v>Yes</v>
      </c>
      <c r="O6204" s="31" t="str">
        <f aca="false">IF(H6204="","Open",IF(H6204&lt;=INDEX(Assumptions!$C$15:$C$18,MATCH(E6204,Assumptions!$A$15:$A$18,0)),"Yes","No"))</f>
        <v>Open</v>
      </c>
    </row>
    <row r="6205" customFormat="false" ht="15" hidden="false" customHeight="false" outlineLevel="0" collapsed="false">
      <c r="A6205" s="31" t="s">
        <v>6355</v>
      </c>
      <c r="B6205" s="44" t="n">
        <v>46286</v>
      </c>
      <c r="C6205" s="31" t="s">
        <v>59</v>
      </c>
      <c r="D6205" s="31" t="s">
        <v>65</v>
      </c>
      <c r="E6205" s="31" t="s">
        <v>50</v>
      </c>
      <c r="F6205" s="31" t="s">
        <v>123</v>
      </c>
      <c r="G6205" s="31" t="n">
        <v>83</v>
      </c>
      <c r="H6205" s="41" t="n">
        <v>14.3</v>
      </c>
      <c r="I6205" s="31" t="s">
        <v>149</v>
      </c>
      <c r="J6205" s="31"/>
      <c r="K6205" s="31" t="s">
        <v>150</v>
      </c>
      <c r="L6205" s="45" t="n">
        <f aca="false">DATE(YEAR(B6205),MONTH(B6205),1)</f>
        <v>46266</v>
      </c>
      <c r="M6205" s="31" t="n">
        <f aca="false">WEEKDAY(B6205,2)</f>
        <v>1</v>
      </c>
      <c r="N6205" s="31" t="str">
        <f aca="false">IF(G6205&lt;=INDEX(Assumptions!$B$15:$B$18,MATCH(E6205,Assumptions!$A$15:$A$18,0)),"Yes","No")</f>
        <v>No</v>
      </c>
      <c r="O6205" s="31" t="str">
        <f aca="false">IF(H6205="","Open",IF(H6205&lt;=INDEX(Assumptions!$C$15:$C$18,MATCH(E6205,Assumptions!$A$15:$A$18,0)),"Yes","No"))</f>
        <v>No</v>
      </c>
    </row>
    <row r="6206" customFormat="false" ht="15" hidden="false" customHeight="false" outlineLevel="0" collapsed="false">
      <c r="A6206" s="31" t="s">
        <v>6356</v>
      </c>
      <c r="B6206" s="44" t="n">
        <v>46286</v>
      </c>
      <c r="C6206" s="31" t="s">
        <v>59</v>
      </c>
      <c r="D6206" s="31" t="s">
        <v>67</v>
      </c>
      <c r="E6206" s="31" t="s">
        <v>52</v>
      </c>
      <c r="F6206" s="31" t="s">
        <v>126</v>
      </c>
      <c r="G6206" s="31" t="n">
        <v>157</v>
      </c>
      <c r="H6206" s="41"/>
      <c r="I6206" s="31" t="s">
        <v>158</v>
      </c>
      <c r="J6206" s="31"/>
      <c r="K6206" s="31" t="s">
        <v>150</v>
      </c>
      <c r="L6206" s="45" t="n">
        <f aca="false">DATE(YEAR(B6206),MONTH(B6206),1)</f>
        <v>46266</v>
      </c>
      <c r="M6206" s="31" t="n">
        <f aca="false">WEEKDAY(B6206,2)</f>
        <v>1</v>
      </c>
      <c r="N6206" s="31" t="str">
        <f aca="false">IF(G6206&lt;=INDEX(Assumptions!$B$15:$B$18,MATCH(E6206,Assumptions!$A$15:$A$18,0)),"Yes","No")</f>
        <v>Yes</v>
      </c>
      <c r="O6206" s="31" t="str">
        <f aca="false">IF(H6206="","Open",IF(H6206&lt;=INDEX(Assumptions!$C$15:$C$18,MATCH(E6206,Assumptions!$A$15:$A$18,0)),"Yes","No"))</f>
        <v>Open</v>
      </c>
    </row>
    <row r="6207" customFormat="false" ht="15" hidden="false" customHeight="false" outlineLevel="0" collapsed="false">
      <c r="A6207" s="31" t="s">
        <v>6357</v>
      </c>
      <c r="B6207" s="44" t="n">
        <v>46286</v>
      </c>
      <c r="C6207" s="31" t="s">
        <v>58</v>
      </c>
      <c r="D6207" s="31" t="s">
        <v>65</v>
      </c>
      <c r="E6207" s="31" t="s">
        <v>51</v>
      </c>
      <c r="F6207" s="31" t="s">
        <v>130</v>
      </c>
      <c r="G6207" s="31" t="n">
        <v>4</v>
      </c>
      <c r="H6207" s="41"/>
      <c r="I6207" s="31" t="s">
        <v>158</v>
      </c>
      <c r="J6207" s="31"/>
      <c r="K6207" s="31" t="s">
        <v>150</v>
      </c>
      <c r="L6207" s="45" t="n">
        <f aca="false">DATE(YEAR(B6207),MONTH(B6207),1)</f>
        <v>46266</v>
      </c>
      <c r="M6207" s="31" t="n">
        <f aca="false">WEEKDAY(B6207,2)</f>
        <v>1</v>
      </c>
      <c r="N6207" s="31" t="str">
        <f aca="false">IF(G6207&lt;=INDEX(Assumptions!$B$15:$B$18,MATCH(E6207,Assumptions!$A$15:$A$18,0)),"Yes","No")</f>
        <v>Yes</v>
      </c>
      <c r="O6207" s="31" t="str">
        <f aca="false">IF(H6207="","Open",IF(H6207&lt;=INDEX(Assumptions!$C$15:$C$18,MATCH(E6207,Assumptions!$A$15:$A$18,0)),"Yes","No"))</f>
        <v>Open</v>
      </c>
    </row>
    <row r="6208" customFormat="false" ht="15" hidden="false" customHeight="false" outlineLevel="0" collapsed="false">
      <c r="A6208" s="31" t="s">
        <v>6358</v>
      </c>
      <c r="B6208" s="44" t="n">
        <v>46286</v>
      </c>
      <c r="C6208" s="31" t="s">
        <v>59</v>
      </c>
      <c r="D6208" s="31" t="s">
        <v>65</v>
      </c>
      <c r="E6208" s="31" t="s">
        <v>51</v>
      </c>
      <c r="F6208" s="31" t="s">
        <v>120</v>
      </c>
      <c r="G6208" s="31" t="n">
        <v>212</v>
      </c>
      <c r="H6208" s="41"/>
      <c r="I6208" s="31" t="s">
        <v>158</v>
      </c>
      <c r="J6208" s="31"/>
      <c r="K6208" s="31" t="s">
        <v>150</v>
      </c>
      <c r="L6208" s="45" t="n">
        <f aca="false">DATE(YEAR(B6208),MONTH(B6208),1)</f>
        <v>46266</v>
      </c>
      <c r="M6208" s="31" t="n">
        <f aca="false">WEEKDAY(B6208,2)</f>
        <v>1</v>
      </c>
      <c r="N6208" s="31" t="str">
        <f aca="false">IF(G6208&lt;=INDEX(Assumptions!$B$15:$B$18,MATCH(E6208,Assumptions!$A$15:$A$18,0)),"Yes","No")</f>
        <v>No</v>
      </c>
      <c r="O6208" s="31" t="str">
        <f aca="false">IF(H6208="","Open",IF(H6208&lt;=INDEX(Assumptions!$C$15:$C$18,MATCH(E6208,Assumptions!$A$15:$A$18,0)),"Yes","No"))</f>
        <v>Open</v>
      </c>
    </row>
    <row r="6209" customFormat="false" ht="15" hidden="false" customHeight="false" outlineLevel="0" collapsed="false">
      <c r="A6209" s="31" t="s">
        <v>6359</v>
      </c>
      <c r="B6209" s="44" t="n">
        <v>46286</v>
      </c>
      <c r="C6209" s="31" t="s">
        <v>60</v>
      </c>
      <c r="D6209" s="31" t="s">
        <v>66</v>
      </c>
      <c r="E6209" s="31" t="s">
        <v>51</v>
      </c>
      <c r="F6209" s="31" t="s">
        <v>133</v>
      </c>
      <c r="G6209" s="31" t="n">
        <v>3</v>
      </c>
      <c r="H6209" s="41"/>
      <c r="I6209" s="31" t="s">
        <v>158</v>
      </c>
      <c r="J6209" s="31"/>
      <c r="K6209" s="31" t="s">
        <v>150</v>
      </c>
      <c r="L6209" s="45" t="n">
        <f aca="false">DATE(YEAR(B6209),MONTH(B6209),1)</f>
        <v>46266</v>
      </c>
      <c r="M6209" s="31" t="n">
        <f aca="false">WEEKDAY(B6209,2)</f>
        <v>1</v>
      </c>
      <c r="N6209" s="31" t="str">
        <f aca="false">IF(G6209&lt;=INDEX(Assumptions!$B$15:$B$18,MATCH(E6209,Assumptions!$A$15:$A$18,0)),"Yes","No")</f>
        <v>Yes</v>
      </c>
      <c r="O6209" s="31" t="str">
        <f aca="false">IF(H6209="","Open",IF(H6209&lt;=INDEX(Assumptions!$C$15:$C$18,MATCH(E6209,Assumptions!$A$15:$A$18,0)),"Yes","No"))</f>
        <v>Open</v>
      </c>
    </row>
    <row r="6210" customFormat="false" ht="15" hidden="false" customHeight="false" outlineLevel="0" collapsed="false">
      <c r="A6210" s="31" t="s">
        <v>6360</v>
      </c>
      <c r="B6210" s="44" t="n">
        <v>46286</v>
      </c>
      <c r="C6210" s="31" t="s">
        <v>57</v>
      </c>
      <c r="D6210" s="31" t="s">
        <v>69</v>
      </c>
      <c r="E6210" s="31" t="s">
        <v>50</v>
      </c>
      <c r="F6210" s="31" t="s">
        <v>120</v>
      </c>
      <c r="G6210" s="31" t="n">
        <v>8</v>
      </c>
      <c r="H6210" s="41" t="n">
        <v>28.8</v>
      </c>
      <c r="I6210" s="31" t="s">
        <v>149</v>
      </c>
      <c r="J6210" s="31" t="n">
        <v>5</v>
      </c>
      <c r="K6210" s="31" t="s">
        <v>150</v>
      </c>
      <c r="L6210" s="45" t="n">
        <f aca="false">DATE(YEAR(B6210),MONTH(B6210),1)</f>
        <v>46266</v>
      </c>
      <c r="M6210" s="31" t="n">
        <f aca="false">WEEKDAY(B6210,2)</f>
        <v>1</v>
      </c>
      <c r="N6210" s="31" t="str">
        <f aca="false">IF(G6210&lt;=INDEX(Assumptions!$B$15:$B$18,MATCH(E6210,Assumptions!$A$15:$A$18,0)),"Yes","No")</f>
        <v>Yes</v>
      </c>
      <c r="O6210" s="31" t="str">
        <f aca="false">IF(H6210="","Open",IF(H6210&lt;=INDEX(Assumptions!$C$15:$C$18,MATCH(E6210,Assumptions!$A$15:$A$18,0)),"Yes","No"))</f>
        <v>No</v>
      </c>
    </row>
    <row r="6211" customFormat="false" ht="15" hidden="false" customHeight="false" outlineLevel="0" collapsed="false">
      <c r="A6211" s="31" t="s">
        <v>6361</v>
      </c>
      <c r="B6211" s="44" t="n">
        <v>46286</v>
      </c>
      <c r="C6211" s="31" t="s">
        <v>58</v>
      </c>
      <c r="D6211" s="31" t="s">
        <v>67</v>
      </c>
      <c r="E6211" s="31" t="s">
        <v>52</v>
      </c>
      <c r="F6211" s="31" t="s">
        <v>134</v>
      </c>
      <c r="G6211" s="31" t="n">
        <v>8</v>
      </c>
      <c r="H6211" s="41" t="n">
        <v>173.9</v>
      </c>
      <c r="I6211" s="31" t="s">
        <v>149</v>
      </c>
      <c r="J6211" s="31" t="n">
        <v>3</v>
      </c>
      <c r="K6211" s="31" t="s">
        <v>150</v>
      </c>
      <c r="L6211" s="45" t="n">
        <f aca="false">DATE(YEAR(B6211),MONTH(B6211),1)</f>
        <v>46266</v>
      </c>
      <c r="M6211" s="31" t="n">
        <f aca="false">WEEKDAY(B6211,2)</f>
        <v>1</v>
      </c>
      <c r="N6211" s="31" t="str">
        <f aca="false">IF(G6211&lt;=INDEX(Assumptions!$B$15:$B$18,MATCH(E6211,Assumptions!$A$15:$A$18,0)),"Yes","No")</f>
        <v>Yes</v>
      </c>
      <c r="O6211" s="31" t="str">
        <f aca="false">IF(H6211="","Open",IF(H6211&lt;=INDEX(Assumptions!$C$15:$C$18,MATCH(E6211,Assumptions!$A$15:$A$18,0)),"Yes","No"))</f>
        <v>No</v>
      </c>
    </row>
    <row r="6212" customFormat="false" ht="15" hidden="false" customHeight="false" outlineLevel="0" collapsed="false">
      <c r="A6212" s="31" t="s">
        <v>6362</v>
      </c>
      <c r="B6212" s="44" t="n">
        <v>46286</v>
      </c>
      <c r="C6212" s="31" t="s">
        <v>59</v>
      </c>
      <c r="D6212" s="31" t="s">
        <v>66</v>
      </c>
      <c r="E6212" s="31" t="s">
        <v>51</v>
      </c>
      <c r="F6212" s="31" t="s">
        <v>119</v>
      </c>
      <c r="G6212" s="31" t="n">
        <v>170</v>
      </c>
      <c r="H6212" s="41" t="n">
        <v>10.7</v>
      </c>
      <c r="I6212" s="31" t="s">
        <v>149</v>
      </c>
      <c r="J6212" s="31" t="n">
        <v>5</v>
      </c>
      <c r="K6212" s="31" t="s">
        <v>150</v>
      </c>
      <c r="L6212" s="45" t="n">
        <f aca="false">DATE(YEAR(B6212),MONTH(B6212),1)</f>
        <v>46266</v>
      </c>
      <c r="M6212" s="31" t="n">
        <f aca="false">WEEKDAY(B6212,2)</f>
        <v>1</v>
      </c>
      <c r="N6212" s="31" t="str">
        <f aca="false">IF(G6212&lt;=INDEX(Assumptions!$B$15:$B$18,MATCH(E6212,Assumptions!$A$15:$A$18,0)),"Yes","No")</f>
        <v>No</v>
      </c>
      <c r="O6212" s="31" t="str">
        <f aca="false">IF(H6212="","Open",IF(H6212&lt;=INDEX(Assumptions!$C$15:$C$18,MATCH(E6212,Assumptions!$A$15:$A$18,0)),"Yes","No"))</f>
        <v>Yes</v>
      </c>
    </row>
    <row r="6213" customFormat="false" ht="15" hidden="false" customHeight="false" outlineLevel="0" collapsed="false">
      <c r="A6213" s="31" t="s">
        <v>6363</v>
      </c>
      <c r="B6213" s="44" t="n">
        <v>46286</v>
      </c>
      <c r="C6213" s="31" t="s">
        <v>57</v>
      </c>
      <c r="D6213" s="31" t="s">
        <v>67</v>
      </c>
      <c r="E6213" s="31" t="s">
        <v>52</v>
      </c>
      <c r="F6213" s="31" t="s">
        <v>134</v>
      </c>
      <c r="G6213" s="31" t="n">
        <v>4</v>
      </c>
      <c r="H6213" s="41" t="n">
        <v>21</v>
      </c>
      <c r="I6213" s="31" t="s">
        <v>149</v>
      </c>
      <c r="J6213" s="31"/>
      <c r="K6213" s="31" t="s">
        <v>150</v>
      </c>
      <c r="L6213" s="45" t="n">
        <f aca="false">DATE(YEAR(B6213),MONTH(B6213),1)</f>
        <v>46266</v>
      </c>
      <c r="M6213" s="31" t="n">
        <f aca="false">WEEKDAY(B6213,2)</f>
        <v>1</v>
      </c>
      <c r="N6213" s="31" t="str">
        <f aca="false">IF(G6213&lt;=INDEX(Assumptions!$B$15:$B$18,MATCH(E6213,Assumptions!$A$15:$A$18,0)),"Yes","No")</f>
        <v>Yes</v>
      </c>
      <c r="O6213" s="31" t="str">
        <f aca="false">IF(H6213="","Open",IF(H6213&lt;=INDEX(Assumptions!$C$15:$C$18,MATCH(E6213,Assumptions!$A$15:$A$18,0)),"Yes","No"))</f>
        <v>Yes</v>
      </c>
    </row>
    <row r="6214" customFormat="false" ht="15" hidden="false" customHeight="false" outlineLevel="0" collapsed="false">
      <c r="A6214" s="31" t="s">
        <v>6364</v>
      </c>
      <c r="B6214" s="44" t="n">
        <v>46286</v>
      </c>
      <c r="C6214" s="31" t="s">
        <v>60</v>
      </c>
      <c r="D6214" s="31" t="s">
        <v>68</v>
      </c>
      <c r="E6214" s="31" t="s">
        <v>51</v>
      </c>
      <c r="F6214" s="31" t="s">
        <v>126</v>
      </c>
      <c r="G6214" s="31" t="n">
        <v>1</v>
      </c>
      <c r="H6214" s="41"/>
      <c r="I6214" s="31" t="s">
        <v>158</v>
      </c>
      <c r="J6214" s="31"/>
      <c r="K6214" s="31" t="s">
        <v>150</v>
      </c>
      <c r="L6214" s="45" t="n">
        <f aca="false">DATE(YEAR(B6214),MONTH(B6214),1)</f>
        <v>46266</v>
      </c>
      <c r="M6214" s="31" t="n">
        <f aca="false">WEEKDAY(B6214,2)</f>
        <v>1</v>
      </c>
      <c r="N6214" s="31" t="str">
        <f aca="false">IF(G6214&lt;=INDEX(Assumptions!$B$15:$B$18,MATCH(E6214,Assumptions!$A$15:$A$18,0)),"Yes","No")</f>
        <v>Yes</v>
      </c>
      <c r="O6214" s="31" t="str">
        <f aca="false">IF(H6214="","Open",IF(H6214&lt;=INDEX(Assumptions!$C$15:$C$18,MATCH(E6214,Assumptions!$A$15:$A$18,0)),"Yes","No"))</f>
        <v>Open</v>
      </c>
    </row>
    <row r="6215" customFormat="false" ht="15" hidden="false" customHeight="false" outlineLevel="0" collapsed="false">
      <c r="A6215" s="31" t="s">
        <v>6365</v>
      </c>
      <c r="B6215" s="44" t="n">
        <v>46286</v>
      </c>
      <c r="C6215" s="31" t="s">
        <v>58</v>
      </c>
      <c r="D6215" s="31" t="s">
        <v>66</v>
      </c>
      <c r="E6215" s="31" t="s">
        <v>52</v>
      </c>
      <c r="F6215" s="31" t="s">
        <v>119</v>
      </c>
      <c r="G6215" s="31" t="n">
        <v>6</v>
      </c>
      <c r="H6215" s="41" t="n">
        <v>17.4</v>
      </c>
      <c r="I6215" s="31" t="s">
        <v>149</v>
      </c>
      <c r="J6215" s="31" t="n">
        <v>3</v>
      </c>
      <c r="K6215" s="31" t="s">
        <v>150</v>
      </c>
      <c r="L6215" s="45" t="n">
        <f aca="false">DATE(YEAR(B6215),MONTH(B6215),1)</f>
        <v>46266</v>
      </c>
      <c r="M6215" s="31" t="n">
        <f aca="false">WEEKDAY(B6215,2)</f>
        <v>1</v>
      </c>
      <c r="N6215" s="31" t="str">
        <f aca="false">IF(G6215&lt;=INDEX(Assumptions!$B$15:$B$18,MATCH(E6215,Assumptions!$A$15:$A$18,0)),"Yes","No")</f>
        <v>Yes</v>
      </c>
      <c r="O6215" s="31" t="str">
        <f aca="false">IF(H6215="","Open",IF(H6215&lt;=INDEX(Assumptions!$C$15:$C$18,MATCH(E6215,Assumptions!$A$15:$A$18,0)),"Yes","No"))</f>
        <v>Yes</v>
      </c>
    </row>
    <row r="6216" customFormat="false" ht="15" hidden="false" customHeight="false" outlineLevel="0" collapsed="false">
      <c r="A6216" s="31" t="s">
        <v>6366</v>
      </c>
      <c r="B6216" s="44" t="n">
        <v>46286</v>
      </c>
      <c r="C6216" s="31" t="s">
        <v>60</v>
      </c>
      <c r="D6216" s="31" t="s">
        <v>68</v>
      </c>
      <c r="E6216" s="31" t="s">
        <v>51</v>
      </c>
      <c r="F6216" s="31" t="s">
        <v>120</v>
      </c>
      <c r="G6216" s="31" t="n">
        <v>12</v>
      </c>
      <c r="H6216" s="41" t="n">
        <v>11.3</v>
      </c>
      <c r="I6216" s="31" t="s">
        <v>149</v>
      </c>
      <c r="J6216" s="31"/>
      <c r="K6216" s="31" t="s">
        <v>150</v>
      </c>
      <c r="L6216" s="45" t="n">
        <f aca="false">DATE(YEAR(B6216),MONTH(B6216),1)</f>
        <v>46266</v>
      </c>
      <c r="M6216" s="31" t="n">
        <f aca="false">WEEKDAY(B6216,2)</f>
        <v>1</v>
      </c>
      <c r="N6216" s="31" t="str">
        <f aca="false">IF(G6216&lt;=INDEX(Assumptions!$B$15:$B$18,MATCH(E6216,Assumptions!$A$15:$A$18,0)),"Yes","No")</f>
        <v>Yes</v>
      </c>
      <c r="O6216" s="31" t="str">
        <f aca="false">IF(H6216="","Open",IF(H6216&lt;=INDEX(Assumptions!$C$15:$C$18,MATCH(E6216,Assumptions!$A$15:$A$18,0)),"Yes","No"))</f>
        <v>Yes</v>
      </c>
    </row>
    <row r="6217" customFormat="false" ht="15" hidden="false" customHeight="false" outlineLevel="0" collapsed="false">
      <c r="A6217" s="31" t="s">
        <v>6367</v>
      </c>
      <c r="B6217" s="44" t="n">
        <v>46286</v>
      </c>
      <c r="C6217" s="31" t="s">
        <v>58</v>
      </c>
      <c r="D6217" s="31" t="s">
        <v>66</v>
      </c>
      <c r="E6217" s="31" t="s">
        <v>51</v>
      </c>
      <c r="F6217" s="31" t="s">
        <v>134</v>
      </c>
      <c r="G6217" s="31" t="n">
        <v>32</v>
      </c>
      <c r="H6217" s="41" t="n">
        <v>7.7</v>
      </c>
      <c r="I6217" s="31" t="s">
        <v>149</v>
      </c>
      <c r="J6217" s="31" t="n">
        <v>5</v>
      </c>
      <c r="K6217" s="31" t="s">
        <v>150</v>
      </c>
      <c r="L6217" s="45" t="n">
        <f aca="false">DATE(YEAR(B6217),MONTH(B6217),1)</f>
        <v>46266</v>
      </c>
      <c r="M6217" s="31" t="n">
        <f aca="false">WEEKDAY(B6217,2)</f>
        <v>1</v>
      </c>
      <c r="N6217" s="31" t="str">
        <f aca="false">IF(G6217&lt;=INDEX(Assumptions!$B$15:$B$18,MATCH(E6217,Assumptions!$A$15:$A$18,0)),"Yes","No")</f>
        <v>Yes</v>
      </c>
      <c r="O6217" s="31" t="str">
        <f aca="false">IF(H6217="","Open",IF(H6217&lt;=INDEX(Assumptions!$C$15:$C$18,MATCH(E6217,Assumptions!$A$15:$A$18,0)),"Yes","No"))</f>
        <v>Yes</v>
      </c>
    </row>
    <row r="6218" customFormat="false" ht="15" hidden="false" customHeight="false" outlineLevel="0" collapsed="false">
      <c r="A6218" s="31" t="s">
        <v>6368</v>
      </c>
      <c r="B6218" s="44" t="n">
        <v>46287</v>
      </c>
      <c r="C6218" s="31" t="s">
        <v>57</v>
      </c>
      <c r="D6218" s="31" t="s">
        <v>65</v>
      </c>
      <c r="E6218" s="31" t="s">
        <v>52</v>
      </c>
      <c r="F6218" s="31" t="s">
        <v>133</v>
      </c>
      <c r="G6218" s="31" t="n">
        <v>4</v>
      </c>
      <c r="H6218" s="41" t="n">
        <v>32.1</v>
      </c>
      <c r="I6218" s="31" t="s">
        <v>149</v>
      </c>
      <c r="J6218" s="31"/>
      <c r="K6218" s="31" t="s">
        <v>150</v>
      </c>
      <c r="L6218" s="45" t="n">
        <f aca="false">DATE(YEAR(B6218),MONTH(B6218),1)</f>
        <v>46266</v>
      </c>
      <c r="M6218" s="31" t="n">
        <f aca="false">WEEKDAY(B6218,2)</f>
        <v>2</v>
      </c>
      <c r="N6218" s="31" t="str">
        <f aca="false">IF(G6218&lt;=INDEX(Assumptions!$B$15:$B$18,MATCH(E6218,Assumptions!$A$15:$A$18,0)),"Yes","No")</f>
        <v>Yes</v>
      </c>
      <c r="O6218" s="31" t="str">
        <f aca="false">IF(H6218="","Open",IF(H6218&lt;=INDEX(Assumptions!$C$15:$C$18,MATCH(E6218,Assumptions!$A$15:$A$18,0)),"Yes","No"))</f>
        <v>Yes</v>
      </c>
    </row>
    <row r="6219" customFormat="false" ht="15" hidden="false" customHeight="false" outlineLevel="0" collapsed="false">
      <c r="A6219" s="31" t="s">
        <v>6369</v>
      </c>
      <c r="B6219" s="44" t="n">
        <v>46287</v>
      </c>
      <c r="C6219" s="31" t="s">
        <v>57</v>
      </c>
      <c r="D6219" s="31" t="s">
        <v>65</v>
      </c>
      <c r="E6219" s="31" t="s">
        <v>51</v>
      </c>
      <c r="F6219" s="31" t="s">
        <v>130</v>
      </c>
      <c r="G6219" s="31" t="n">
        <v>4</v>
      </c>
      <c r="H6219" s="41"/>
      <c r="I6219" s="31" t="s">
        <v>158</v>
      </c>
      <c r="J6219" s="31"/>
      <c r="K6219" s="31" t="s">
        <v>150</v>
      </c>
      <c r="L6219" s="45" t="n">
        <f aca="false">DATE(YEAR(B6219),MONTH(B6219),1)</f>
        <v>46266</v>
      </c>
      <c r="M6219" s="31" t="n">
        <f aca="false">WEEKDAY(B6219,2)</f>
        <v>2</v>
      </c>
      <c r="N6219" s="31" t="str">
        <f aca="false">IF(G6219&lt;=INDEX(Assumptions!$B$15:$B$18,MATCH(E6219,Assumptions!$A$15:$A$18,0)),"Yes","No")</f>
        <v>Yes</v>
      </c>
      <c r="O6219" s="31" t="str">
        <f aca="false">IF(H6219="","Open",IF(H6219&lt;=INDEX(Assumptions!$C$15:$C$18,MATCH(E6219,Assumptions!$A$15:$A$18,0)),"Yes","No"))</f>
        <v>Open</v>
      </c>
    </row>
    <row r="6220" customFormat="false" ht="15" hidden="false" customHeight="false" outlineLevel="0" collapsed="false">
      <c r="A6220" s="31" t="s">
        <v>6370</v>
      </c>
      <c r="B6220" s="44" t="n">
        <v>46287</v>
      </c>
      <c r="C6220" s="31" t="s">
        <v>59</v>
      </c>
      <c r="D6220" s="31" t="s">
        <v>65</v>
      </c>
      <c r="E6220" s="31" t="s">
        <v>51</v>
      </c>
      <c r="F6220" s="31" t="s">
        <v>130</v>
      </c>
      <c r="G6220" s="31" t="n">
        <v>51</v>
      </c>
      <c r="H6220" s="41"/>
      <c r="I6220" s="31" t="s">
        <v>158</v>
      </c>
      <c r="J6220" s="31"/>
      <c r="K6220" s="31" t="s">
        <v>150</v>
      </c>
      <c r="L6220" s="45" t="n">
        <f aca="false">DATE(YEAR(B6220),MONTH(B6220),1)</f>
        <v>46266</v>
      </c>
      <c r="M6220" s="31" t="n">
        <f aca="false">WEEKDAY(B6220,2)</f>
        <v>2</v>
      </c>
      <c r="N6220" s="31" t="str">
        <f aca="false">IF(G6220&lt;=INDEX(Assumptions!$B$15:$B$18,MATCH(E6220,Assumptions!$A$15:$A$18,0)),"Yes","No")</f>
        <v>Yes</v>
      </c>
      <c r="O6220" s="31" t="str">
        <f aca="false">IF(H6220="","Open",IF(H6220&lt;=INDEX(Assumptions!$C$15:$C$18,MATCH(E6220,Assumptions!$A$15:$A$18,0)),"Yes","No"))</f>
        <v>Open</v>
      </c>
    </row>
    <row r="6221" customFormat="false" ht="15" hidden="false" customHeight="false" outlineLevel="0" collapsed="false">
      <c r="A6221" s="31" t="s">
        <v>6371</v>
      </c>
      <c r="B6221" s="44" t="n">
        <v>46287</v>
      </c>
      <c r="C6221" s="31" t="s">
        <v>60</v>
      </c>
      <c r="D6221" s="31" t="s">
        <v>65</v>
      </c>
      <c r="E6221" s="31" t="s">
        <v>51</v>
      </c>
      <c r="F6221" s="31" t="s">
        <v>124</v>
      </c>
      <c r="G6221" s="31" t="n">
        <v>5</v>
      </c>
      <c r="H6221" s="41" t="n">
        <v>18.9</v>
      </c>
      <c r="I6221" s="31" t="s">
        <v>149</v>
      </c>
      <c r="J6221" s="31" t="n">
        <v>5</v>
      </c>
      <c r="K6221" s="31" t="s">
        <v>150</v>
      </c>
      <c r="L6221" s="45" t="n">
        <f aca="false">DATE(YEAR(B6221),MONTH(B6221),1)</f>
        <v>46266</v>
      </c>
      <c r="M6221" s="31" t="n">
        <f aca="false">WEEKDAY(B6221,2)</f>
        <v>2</v>
      </c>
      <c r="N6221" s="31" t="str">
        <f aca="false">IF(G6221&lt;=INDEX(Assumptions!$B$15:$B$18,MATCH(E6221,Assumptions!$A$15:$A$18,0)),"Yes","No")</f>
        <v>Yes</v>
      </c>
      <c r="O6221" s="31" t="str">
        <f aca="false">IF(H6221="","Open",IF(H6221&lt;=INDEX(Assumptions!$C$15:$C$18,MATCH(E6221,Assumptions!$A$15:$A$18,0)),"Yes","No"))</f>
        <v>Yes</v>
      </c>
    </row>
    <row r="6222" customFormat="false" ht="15" hidden="false" customHeight="false" outlineLevel="0" collapsed="false">
      <c r="A6222" s="31" t="s">
        <v>6372</v>
      </c>
      <c r="B6222" s="44" t="n">
        <v>46287</v>
      </c>
      <c r="C6222" s="31" t="s">
        <v>60</v>
      </c>
      <c r="D6222" s="31" t="s">
        <v>65</v>
      </c>
      <c r="E6222" s="31" t="s">
        <v>51</v>
      </c>
      <c r="F6222" s="31" t="s">
        <v>117</v>
      </c>
      <c r="G6222" s="31" t="n">
        <v>3</v>
      </c>
      <c r="H6222" s="41" t="n">
        <v>14</v>
      </c>
      <c r="I6222" s="31" t="s">
        <v>149</v>
      </c>
      <c r="J6222" s="31"/>
      <c r="K6222" s="31" t="s">
        <v>150</v>
      </c>
      <c r="L6222" s="45" t="n">
        <f aca="false">DATE(YEAR(B6222),MONTH(B6222),1)</f>
        <v>46266</v>
      </c>
      <c r="M6222" s="31" t="n">
        <f aca="false">WEEKDAY(B6222,2)</f>
        <v>2</v>
      </c>
      <c r="N6222" s="31" t="str">
        <f aca="false">IF(G6222&lt;=INDEX(Assumptions!$B$15:$B$18,MATCH(E6222,Assumptions!$A$15:$A$18,0)),"Yes","No")</f>
        <v>Yes</v>
      </c>
      <c r="O6222" s="31" t="str">
        <f aca="false">IF(H6222="","Open",IF(H6222&lt;=INDEX(Assumptions!$C$15:$C$18,MATCH(E6222,Assumptions!$A$15:$A$18,0)),"Yes","No"))</f>
        <v>Yes</v>
      </c>
    </row>
    <row r="6223" customFormat="false" ht="15" hidden="false" customHeight="false" outlineLevel="0" collapsed="false">
      <c r="A6223" s="31" t="s">
        <v>6373</v>
      </c>
      <c r="B6223" s="44" t="n">
        <v>46287</v>
      </c>
      <c r="C6223" s="31" t="s">
        <v>58</v>
      </c>
      <c r="D6223" s="31" t="s">
        <v>69</v>
      </c>
      <c r="E6223" s="31" t="s">
        <v>51</v>
      </c>
      <c r="F6223" s="31" t="s">
        <v>123</v>
      </c>
      <c r="G6223" s="31" t="n">
        <v>16</v>
      </c>
      <c r="H6223" s="41"/>
      <c r="I6223" s="31" t="s">
        <v>158</v>
      </c>
      <c r="J6223" s="31"/>
      <c r="K6223" s="31" t="s">
        <v>150</v>
      </c>
      <c r="L6223" s="45" t="n">
        <f aca="false">DATE(YEAR(B6223),MONTH(B6223),1)</f>
        <v>46266</v>
      </c>
      <c r="M6223" s="31" t="n">
        <f aca="false">WEEKDAY(B6223,2)</f>
        <v>2</v>
      </c>
      <c r="N6223" s="31" t="str">
        <f aca="false">IF(G6223&lt;=INDEX(Assumptions!$B$15:$B$18,MATCH(E6223,Assumptions!$A$15:$A$18,0)),"Yes","No")</f>
        <v>Yes</v>
      </c>
      <c r="O6223" s="31" t="str">
        <f aca="false">IF(H6223="","Open",IF(H6223&lt;=INDEX(Assumptions!$C$15:$C$18,MATCH(E6223,Assumptions!$A$15:$A$18,0)),"Yes","No"))</f>
        <v>Open</v>
      </c>
    </row>
    <row r="6224" customFormat="false" ht="15" hidden="false" customHeight="false" outlineLevel="0" collapsed="false">
      <c r="A6224" s="31" t="s">
        <v>6374</v>
      </c>
      <c r="B6224" s="44" t="n">
        <v>46287</v>
      </c>
      <c r="C6224" s="31" t="s">
        <v>57</v>
      </c>
      <c r="D6224" s="31" t="s">
        <v>66</v>
      </c>
      <c r="E6224" s="31" t="s">
        <v>50</v>
      </c>
      <c r="F6224" s="31" t="s">
        <v>127</v>
      </c>
      <c r="G6224" s="31" t="n">
        <v>2</v>
      </c>
      <c r="H6224" s="41" t="n">
        <v>1.2</v>
      </c>
      <c r="I6224" s="31" t="s">
        <v>149</v>
      </c>
      <c r="J6224" s="31" t="n">
        <v>5</v>
      </c>
      <c r="K6224" s="31" t="s">
        <v>150</v>
      </c>
      <c r="L6224" s="45" t="n">
        <f aca="false">DATE(YEAR(B6224),MONTH(B6224),1)</f>
        <v>46266</v>
      </c>
      <c r="M6224" s="31" t="n">
        <f aca="false">WEEKDAY(B6224,2)</f>
        <v>2</v>
      </c>
      <c r="N6224" s="31" t="str">
        <f aca="false">IF(G6224&lt;=INDEX(Assumptions!$B$15:$B$18,MATCH(E6224,Assumptions!$A$15:$A$18,0)),"Yes","No")</f>
        <v>Yes</v>
      </c>
      <c r="O6224" s="31" t="str">
        <f aca="false">IF(H6224="","Open",IF(H6224&lt;=INDEX(Assumptions!$C$15:$C$18,MATCH(E6224,Assumptions!$A$15:$A$18,0)),"Yes","No"))</f>
        <v>Yes</v>
      </c>
    </row>
    <row r="6225" customFormat="false" ht="15" hidden="false" customHeight="false" outlineLevel="0" collapsed="false">
      <c r="A6225" s="31" t="s">
        <v>6375</v>
      </c>
      <c r="B6225" s="44" t="n">
        <v>46287</v>
      </c>
      <c r="C6225" s="31" t="s">
        <v>58</v>
      </c>
      <c r="D6225" s="31" t="s">
        <v>67</v>
      </c>
      <c r="E6225" s="31" t="s">
        <v>51</v>
      </c>
      <c r="F6225" s="31" t="s">
        <v>130</v>
      </c>
      <c r="G6225" s="31" t="n">
        <v>6</v>
      </c>
      <c r="H6225" s="41" t="n">
        <v>8.7</v>
      </c>
      <c r="I6225" s="31" t="s">
        <v>149</v>
      </c>
      <c r="J6225" s="31" t="n">
        <v>5</v>
      </c>
      <c r="K6225" s="31" t="s">
        <v>150</v>
      </c>
      <c r="L6225" s="45" t="n">
        <f aca="false">DATE(YEAR(B6225),MONTH(B6225),1)</f>
        <v>46266</v>
      </c>
      <c r="M6225" s="31" t="n">
        <f aca="false">WEEKDAY(B6225,2)</f>
        <v>2</v>
      </c>
      <c r="N6225" s="31" t="str">
        <f aca="false">IF(G6225&lt;=INDEX(Assumptions!$B$15:$B$18,MATCH(E6225,Assumptions!$A$15:$A$18,0)),"Yes","No")</f>
        <v>Yes</v>
      </c>
      <c r="O6225" s="31" t="str">
        <f aca="false">IF(H6225="","Open",IF(H6225&lt;=INDEX(Assumptions!$C$15:$C$18,MATCH(E6225,Assumptions!$A$15:$A$18,0)),"Yes","No"))</f>
        <v>Yes</v>
      </c>
    </row>
    <row r="6226" customFormat="false" ht="15" hidden="false" customHeight="false" outlineLevel="0" collapsed="false">
      <c r="A6226" s="31" t="s">
        <v>6376</v>
      </c>
      <c r="B6226" s="44" t="n">
        <v>46287</v>
      </c>
      <c r="C6226" s="31" t="s">
        <v>58</v>
      </c>
      <c r="D6226" s="31" t="s">
        <v>65</v>
      </c>
      <c r="E6226" s="31" t="s">
        <v>51</v>
      </c>
      <c r="F6226" s="31" t="s">
        <v>122</v>
      </c>
      <c r="G6226" s="31" t="n">
        <v>12</v>
      </c>
      <c r="H6226" s="41"/>
      <c r="I6226" s="31" t="s">
        <v>158</v>
      </c>
      <c r="J6226" s="31"/>
      <c r="K6226" s="31" t="s">
        <v>150</v>
      </c>
      <c r="L6226" s="45" t="n">
        <f aca="false">DATE(YEAR(B6226),MONTH(B6226),1)</f>
        <v>46266</v>
      </c>
      <c r="M6226" s="31" t="n">
        <f aca="false">WEEKDAY(B6226,2)</f>
        <v>2</v>
      </c>
      <c r="N6226" s="31" t="str">
        <f aca="false">IF(G6226&lt;=INDEX(Assumptions!$B$15:$B$18,MATCH(E6226,Assumptions!$A$15:$A$18,0)),"Yes","No")</f>
        <v>Yes</v>
      </c>
      <c r="O6226" s="31" t="str">
        <f aca="false">IF(H6226="","Open",IF(H6226&lt;=INDEX(Assumptions!$C$15:$C$18,MATCH(E6226,Assumptions!$A$15:$A$18,0)),"Yes","No"))</f>
        <v>Open</v>
      </c>
    </row>
    <row r="6227" customFormat="false" ht="15" hidden="false" customHeight="false" outlineLevel="0" collapsed="false">
      <c r="A6227" s="31" t="s">
        <v>6377</v>
      </c>
      <c r="B6227" s="44" t="n">
        <v>46287</v>
      </c>
      <c r="C6227" s="31" t="s">
        <v>59</v>
      </c>
      <c r="D6227" s="31" t="s">
        <v>67</v>
      </c>
      <c r="E6227" s="31" t="s">
        <v>50</v>
      </c>
      <c r="F6227" s="31" t="s">
        <v>135</v>
      </c>
      <c r="G6227" s="31" t="n">
        <v>29</v>
      </c>
      <c r="H6227" s="41" t="n">
        <v>9.1</v>
      </c>
      <c r="I6227" s="31" t="s">
        <v>149</v>
      </c>
      <c r="J6227" s="31"/>
      <c r="K6227" s="31" t="s">
        <v>150</v>
      </c>
      <c r="L6227" s="45" t="n">
        <f aca="false">DATE(YEAR(B6227),MONTH(B6227),1)</f>
        <v>46266</v>
      </c>
      <c r="M6227" s="31" t="n">
        <f aca="false">WEEKDAY(B6227,2)</f>
        <v>2</v>
      </c>
      <c r="N6227" s="31" t="str">
        <f aca="false">IF(G6227&lt;=INDEX(Assumptions!$B$15:$B$18,MATCH(E6227,Assumptions!$A$15:$A$18,0)),"Yes","No")</f>
        <v>Yes</v>
      </c>
      <c r="O6227" s="31" t="str">
        <f aca="false">IF(H6227="","Open",IF(H6227&lt;=INDEX(Assumptions!$C$15:$C$18,MATCH(E6227,Assumptions!$A$15:$A$18,0)),"Yes","No"))</f>
        <v>No</v>
      </c>
    </row>
    <row r="6228" customFormat="false" ht="15" hidden="false" customHeight="false" outlineLevel="0" collapsed="false">
      <c r="A6228" s="31" t="s">
        <v>6378</v>
      </c>
      <c r="B6228" s="44" t="n">
        <v>46287</v>
      </c>
      <c r="C6228" s="31" t="s">
        <v>58</v>
      </c>
      <c r="D6228" s="31" t="s">
        <v>68</v>
      </c>
      <c r="E6228" s="31" t="s">
        <v>52</v>
      </c>
      <c r="F6228" s="31" t="s">
        <v>127</v>
      </c>
      <c r="G6228" s="31" t="n">
        <v>13</v>
      </c>
      <c r="H6228" s="41" t="n">
        <v>2.1</v>
      </c>
      <c r="I6228" s="31" t="s">
        <v>149</v>
      </c>
      <c r="J6228" s="31" t="n">
        <v>5</v>
      </c>
      <c r="K6228" s="31" t="s">
        <v>153</v>
      </c>
      <c r="L6228" s="45" t="n">
        <f aca="false">DATE(YEAR(B6228),MONTH(B6228),1)</f>
        <v>46266</v>
      </c>
      <c r="M6228" s="31" t="n">
        <f aca="false">WEEKDAY(B6228,2)</f>
        <v>2</v>
      </c>
      <c r="N6228" s="31" t="str">
        <f aca="false">IF(G6228&lt;=INDEX(Assumptions!$B$15:$B$18,MATCH(E6228,Assumptions!$A$15:$A$18,0)),"Yes","No")</f>
        <v>Yes</v>
      </c>
      <c r="O6228" s="31" t="str">
        <f aca="false">IF(H6228="","Open",IF(H6228&lt;=INDEX(Assumptions!$C$15:$C$18,MATCH(E6228,Assumptions!$A$15:$A$18,0)),"Yes","No"))</f>
        <v>Yes</v>
      </c>
    </row>
    <row r="6229" customFormat="false" ht="15" hidden="false" customHeight="false" outlineLevel="0" collapsed="false">
      <c r="A6229" s="31" t="s">
        <v>6379</v>
      </c>
      <c r="B6229" s="44" t="n">
        <v>46287</v>
      </c>
      <c r="C6229" s="31" t="s">
        <v>59</v>
      </c>
      <c r="D6229" s="31" t="s">
        <v>68</v>
      </c>
      <c r="E6229" s="31" t="s">
        <v>50</v>
      </c>
      <c r="F6229" s="31" t="s">
        <v>133</v>
      </c>
      <c r="G6229" s="31" t="n">
        <v>44</v>
      </c>
      <c r="H6229" s="41"/>
      <c r="I6229" s="31" t="s">
        <v>158</v>
      </c>
      <c r="J6229" s="31"/>
      <c r="K6229" s="31" t="s">
        <v>150</v>
      </c>
      <c r="L6229" s="45" t="n">
        <f aca="false">DATE(YEAR(B6229),MONTH(B6229),1)</f>
        <v>46266</v>
      </c>
      <c r="M6229" s="31" t="n">
        <f aca="false">WEEKDAY(B6229,2)</f>
        <v>2</v>
      </c>
      <c r="N6229" s="31" t="str">
        <f aca="false">IF(G6229&lt;=INDEX(Assumptions!$B$15:$B$18,MATCH(E6229,Assumptions!$A$15:$A$18,0)),"Yes","No")</f>
        <v>No</v>
      </c>
      <c r="O6229" s="31" t="str">
        <f aca="false">IF(H6229="","Open",IF(H6229&lt;=INDEX(Assumptions!$C$15:$C$18,MATCH(E6229,Assumptions!$A$15:$A$18,0)),"Yes","No"))</f>
        <v>Open</v>
      </c>
    </row>
    <row r="6230" customFormat="false" ht="15" hidden="false" customHeight="false" outlineLevel="0" collapsed="false">
      <c r="A6230" s="31" t="s">
        <v>6380</v>
      </c>
      <c r="B6230" s="44" t="n">
        <v>46287</v>
      </c>
      <c r="C6230" s="31" t="s">
        <v>57</v>
      </c>
      <c r="D6230" s="31" t="s">
        <v>65</v>
      </c>
      <c r="E6230" s="31" t="s">
        <v>51</v>
      </c>
      <c r="F6230" s="31" t="s">
        <v>122</v>
      </c>
      <c r="G6230" s="31" t="n">
        <v>3</v>
      </c>
      <c r="H6230" s="41"/>
      <c r="I6230" s="31" t="s">
        <v>158</v>
      </c>
      <c r="J6230" s="31"/>
      <c r="K6230" s="31" t="s">
        <v>150</v>
      </c>
      <c r="L6230" s="45" t="n">
        <f aca="false">DATE(YEAR(B6230),MONTH(B6230),1)</f>
        <v>46266</v>
      </c>
      <c r="M6230" s="31" t="n">
        <f aca="false">WEEKDAY(B6230,2)</f>
        <v>2</v>
      </c>
      <c r="N6230" s="31" t="str">
        <f aca="false">IF(G6230&lt;=INDEX(Assumptions!$B$15:$B$18,MATCH(E6230,Assumptions!$A$15:$A$18,0)),"Yes","No")</f>
        <v>Yes</v>
      </c>
      <c r="O6230" s="31" t="str">
        <f aca="false">IF(H6230="","Open",IF(H6230&lt;=INDEX(Assumptions!$C$15:$C$18,MATCH(E6230,Assumptions!$A$15:$A$18,0)),"Yes","No"))</f>
        <v>Open</v>
      </c>
    </row>
    <row r="6231" customFormat="false" ht="15" hidden="false" customHeight="false" outlineLevel="0" collapsed="false">
      <c r="A6231" s="31" t="s">
        <v>6381</v>
      </c>
      <c r="B6231" s="44" t="n">
        <v>46287</v>
      </c>
      <c r="C6231" s="31" t="s">
        <v>58</v>
      </c>
      <c r="D6231" s="31" t="s">
        <v>66</v>
      </c>
      <c r="E6231" s="31" t="s">
        <v>51</v>
      </c>
      <c r="F6231" s="31" t="s">
        <v>136</v>
      </c>
      <c r="G6231" s="31" t="n">
        <v>53</v>
      </c>
      <c r="H6231" s="41"/>
      <c r="I6231" s="31" t="s">
        <v>158</v>
      </c>
      <c r="J6231" s="31"/>
      <c r="K6231" s="31" t="s">
        <v>150</v>
      </c>
      <c r="L6231" s="45" t="n">
        <f aca="false">DATE(YEAR(B6231),MONTH(B6231),1)</f>
        <v>46266</v>
      </c>
      <c r="M6231" s="31" t="n">
        <f aca="false">WEEKDAY(B6231,2)</f>
        <v>2</v>
      </c>
      <c r="N6231" s="31" t="str">
        <f aca="false">IF(G6231&lt;=INDEX(Assumptions!$B$15:$B$18,MATCH(E6231,Assumptions!$A$15:$A$18,0)),"Yes","No")</f>
        <v>Yes</v>
      </c>
      <c r="O6231" s="31" t="str">
        <f aca="false">IF(H6231="","Open",IF(H6231&lt;=INDEX(Assumptions!$C$15:$C$18,MATCH(E6231,Assumptions!$A$15:$A$18,0)),"Yes","No"))</f>
        <v>Open</v>
      </c>
    </row>
    <row r="6232" customFormat="false" ht="15" hidden="false" customHeight="false" outlineLevel="0" collapsed="false">
      <c r="A6232" s="31" t="s">
        <v>6382</v>
      </c>
      <c r="B6232" s="44" t="n">
        <v>46287</v>
      </c>
      <c r="C6232" s="31" t="s">
        <v>57</v>
      </c>
      <c r="D6232" s="31" t="s">
        <v>66</v>
      </c>
      <c r="E6232" s="31" t="s">
        <v>52</v>
      </c>
      <c r="F6232" s="31" t="s">
        <v>131</v>
      </c>
      <c r="G6232" s="31" t="n">
        <v>2</v>
      </c>
      <c r="H6232" s="41" t="n">
        <v>5.8</v>
      </c>
      <c r="I6232" s="31" t="s">
        <v>149</v>
      </c>
      <c r="J6232" s="31" t="n">
        <v>5</v>
      </c>
      <c r="K6232" s="31" t="s">
        <v>150</v>
      </c>
      <c r="L6232" s="45" t="n">
        <f aca="false">DATE(YEAR(B6232),MONTH(B6232),1)</f>
        <v>46266</v>
      </c>
      <c r="M6232" s="31" t="n">
        <f aca="false">WEEKDAY(B6232,2)</f>
        <v>2</v>
      </c>
      <c r="N6232" s="31" t="str">
        <f aca="false">IF(G6232&lt;=INDEX(Assumptions!$B$15:$B$18,MATCH(E6232,Assumptions!$A$15:$A$18,0)),"Yes","No")</f>
        <v>Yes</v>
      </c>
      <c r="O6232" s="31" t="str">
        <f aca="false">IF(H6232="","Open",IF(H6232&lt;=INDEX(Assumptions!$C$15:$C$18,MATCH(E6232,Assumptions!$A$15:$A$18,0)),"Yes","No"))</f>
        <v>Yes</v>
      </c>
    </row>
    <row r="6233" customFormat="false" ht="15" hidden="false" customHeight="false" outlineLevel="0" collapsed="false">
      <c r="A6233" s="31" t="s">
        <v>6383</v>
      </c>
      <c r="B6233" s="44" t="n">
        <v>46287</v>
      </c>
      <c r="C6233" s="31" t="s">
        <v>59</v>
      </c>
      <c r="D6233" s="31" t="s">
        <v>65</v>
      </c>
      <c r="E6233" s="31" t="s">
        <v>49</v>
      </c>
      <c r="F6233" s="31" t="s">
        <v>124</v>
      </c>
      <c r="G6233" s="31" t="n">
        <v>43</v>
      </c>
      <c r="H6233" s="41" t="n">
        <v>2.7</v>
      </c>
      <c r="I6233" s="31" t="s">
        <v>149</v>
      </c>
      <c r="J6233" s="31"/>
      <c r="K6233" s="31" t="s">
        <v>150</v>
      </c>
      <c r="L6233" s="45" t="n">
        <f aca="false">DATE(YEAR(B6233),MONTH(B6233),1)</f>
        <v>46266</v>
      </c>
      <c r="M6233" s="31" t="n">
        <f aca="false">WEEKDAY(B6233,2)</f>
        <v>2</v>
      </c>
      <c r="N6233" s="31" t="str">
        <f aca="false">IF(G6233&lt;=INDEX(Assumptions!$B$15:$B$18,MATCH(E6233,Assumptions!$A$15:$A$18,0)),"Yes","No")</f>
        <v>No</v>
      </c>
      <c r="O6233" s="31" t="str">
        <f aca="false">IF(H6233="","Open",IF(H6233&lt;=INDEX(Assumptions!$C$15:$C$18,MATCH(E6233,Assumptions!$A$15:$A$18,0)),"Yes","No"))</f>
        <v>Yes</v>
      </c>
    </row>
    <row r="6234" customFormat="false" ht="15" hidden="false" customHeight="false" outlineLevel="0" collapsed="false">
      <c r="A6234" s="31" t="s">
        <v>6384</v>
      </c>
      <c r="B6234" s="44" t="n">
        <v>46287</v>
      </c>
      <c r="C6234" s="31" t="s">
        <v>59</v>
      </c>
      <c r="D6234" s="31" t="s">
        <v>67</v>
      </c>
      <c r="E6234" s="31" t="s">
        <v>52</v>
      </c>
      <c r="F6234" s="31" t="s">
        <v>129</v>
      </c>
      <c r="G6234" s="31" t="n">
        <v>57</v>
      </c>
      <c r="H6234" s="41"/>
      <c r="I6234" s="31" t="s">
        <v>158</v>
      </c>
      <c r="J6234" s="31"/>
      <c r="K6234" s="31" t="s">
        <v>150</v>
      </c>
      <c r="L6234" s="45" t="n">
        <f aca="false">DATE(YEAR(B6234),MONTH(B6234),1)</f>
        <v>46266</v>
      </c>
      <c r="M6234" s="31" t="n">
        <f aca="false">WEEKDAY(B6234,2)</f>
        <v>2</v>
      </c>
      <c r="N6234" s="31" t="str">
        <f aca="false">IF(G6234&lt;=INDEX(Assumptions!$B$15:$B$18,MATCH(E6234,Assumptions!$A$15:$A$18,0)),"Yes","No")</f>
        <v>Yes</v>
      </c>
      <c r="O6234" s="31" t="str">
        <f aca="false">IF(H6234="","Open",IF(H6234&lt;=INDEX(Assumptions!$C$15:$C$18,MATCH(E6234,Assumptions!$A$15:$A$18,0)),"Yes","No"))</f>
        <v>Open</v>
      </c>
    </row>
    <row r="6235" customFormat="false" ht="15" hidden="false" customHeight="false" outlineLevel="0" collapsed="false">
      <c r="A6235" s="31" t="s">
        <v>6385</v>
      </c>
      <c r="B6235" s="44" t="n">
        <v>46287</v>
      </c>
      <c r="C6235" s="31" t="s">
        <v>57</v>
      </c>
      <c r="D6235" s="31" t="s">
        <v>65</v>
      </c>
      <c r="E6235" s="31" t="s">
        <v>52</v>
      </c>
      <c r="F6235" s="31" t="s">
        <v>123</v>
      </c>
      <c r="G6235" s="31" t="n">
        <v>4</v>
      </c>
      <c r="H6235" s="41"/>
      <c r="I6235" s="31" t="s">
        <v>158</v>
      </c>
      <c r="J6235" s="31"/>
      <c r="K6235" s="31" t="s">
        <v>150</v>
      </c>
      <c r="L6235" s="45" t="n">
        <f aca="false">DATE(YEAR(B6235),MONTH(B6235),1)</f>
        <v>46266</v>
      </c>
      <c r="M6235" s="31" t="n">
        <f aca="false">WEEKDAY(B6235,2)</f>
        <v>2</v>
      </c>
      <c r="N6235" s="31" t="str">
        <f aca="false">IF(G6235&lt;=INDEX(Assumptions!$B$15:$B$18,MATCH(E6235,Assumptions!$A$15:$A$18,0)),"Yes","No")</f>
        <v>Yes</v>
      </c>
      <c r="O6235" s="31" t="str">
        <f aca="false">IF(H6235="","Open",IF(H6235&lt;=INDEX(Assumptions!$C$15:$C$18,MATCH(E6235,Assumptions!$A$15:$A$18,0)),"Yes","No"))</f>
        <v>Open</v>
      </c>
    </row>
    <row r="6236" customFormat="false" ht="15" hidden="false" customHeight="false" outlineLevel="0" collapsed="false">
      <c r="A6236" s="31" t="s">
        <v>6386</v>
      </c>
      <c r="B6236" s="44" t="n">
        <v>46287</v>
      </c>
      <c r="C6236" s="31" t="s">
        <v>59</v>
      </c>
      <c r="D6236" s="31" t="s">
        <v>65</v>
      </c>
      <c r="E6236" s="31" t="s">
        <v>51</v>
      </c>
      <c r="F6236" s="31" t="s">
        <v>122</v>
      </c>
      <c r="G6236" s="31" t="n">
        <v>48</v>
      </c>
      <c r="H6236" s="41"/>
      <c r="I6236" s="31" t="s">
        <v>158</v>
      </c>
      <c r="J6236" s="31"/>
      <c r="K6236" s="31" t="s">
        <v>150</v>
      </c>
      <c r="L6236" s="45" t="n">
        <f aca="false">DATE(YEAR(B6236),MONTH(B6236),1)</f>
        <v>46266</v>
      </c>
      <c r="M6236" s="31" t="n">
        <f aca="false">WEEKDAY(B6236,2)</f>
        <v>2</v>
      </c>
      <c r="N6236" s="31" t="str">
        <f aca="false">IF(G6236&lt;=INDEX(Assumptions!$B$15:$B$18,MATCH(E6236,Assumptions!$A$15:$A$18,0)),"Yes","No")</f>
        <v>Yes</v>
      </c>
      <c r="O6236" s="31" t="str">
        <f aca="false">IF(H6236="","Open",IF(H6236&lt;=INDEX(Assumptions!$C$15:$C$18,MATCH(E6236,Assumptions!$A$15:$A$18,0)),"Yes","No"))</f>
        <v>Open</v>
      </c>
    </row>
    <row r="6237" customFormat="false" ht="15" hidden="false" customHeight="false" outlineLevel="0" collapsed="false">
      <c r="A6237" s="31" t="s">
        <v>6387</v>
      </c>
      <c r="B6237" s="44" t="n">
        <v>46287</v>
      </c>
      <c r="C6237" s="31" t="s">
        <v>60</v>
      </c>
      <c r="D6237" s="31" t="s">
        <v>67</v>
      </c>
      <c r="E6237" s="31" t="s">
        <v>51</v>
      </c>
      <c r="F6237" s="31" t="s">
        <v>126</v>
      </c>
      <c r="G6237" s="31" t="n">
        <v>1</v>
      </c>
      <c r="H6237" s="41"/>
      <c r="I6237" s="31" t="s">
        <v>158</v>
      </c>
      <c r="J6237" s="31"/>
      <c r="K6237" s="31" t="s">
        <v>150</v>
      </c>
      <c r="L6237" s="45" t="n">
        <f aca="false">DATE(YEAR(B6237),MONTH(B6237),1)</f>
        <v>46266</v>
      </c>
      <c r="M6237" s="31" t="n">
        <f aca="false">WEEKDAY(B6237,2)</f>
        <v>2</v>
      </c>
      <c r="N6237" s="31" t="str">
        <f aca="false">IF(G6237&lt;=INDEX(Assumptions!$B$15:$B$18,MATCH(E6237,Assumptions!$A$15:$A$18,0)),"Yes","No")</f>
        <v>Yes</v>
      </c>
      <c r="O6237" s="31" t="str">
        <f aca="false">IF(H6237="","Open",IF(H6237&lt;=INDEX(Assumptions!$C$15:$C$18,MATCH(E6237,Assumptions!$A$15:$A$18,0)),"Yes","No"))</f>
        <v>Open</v>
      </c>
    </row>
    <row r="6238" customFormat="false" ht="15" hidden="false" customHeight="false" outlineLevel="0" collapsed="false">
      <c r="A6238" s="31" t="s">
        <v>6388</v>
      </c>
      <c r="B6238" s="44" t="n">
        <v>46287</v>
      </c>
      <c r="C6238" s="31" t="s">
        <v>58</v>
      </c>
      <c r="D6238" s="31" t="s">
        <v>66</v>
      </c>
      <c r="E6238" s="31" t="s">
        <v>51</v>
      </c>
      <c r="F6238" s="31" t="s">
        <v>134</v>
      </c>
      <c r="G6238" s="31" t="n">
        <v>17</v>
      </c>
      <c r="H6238" s="41"/>
      <c r="I6238" s="31" t="s">
        <v>158</v>
      </c>
      <c r="J6238" s="31"/>
      <c r="K6238" s="31" t="s">
        <v>150</v>
      </c>
      <c r="L6238" s="45" t="n">
        <f aca="false">DATE(YEAR(B6238),MONTH(B6238),1)</f>
        <v>46266</v>
      </c>
      <c r="M6238" s="31" t="n">
        <f aca="false">WEEKDAY(B6238,2)</f>
        <v>2</v>
      </c>
      <c r="N6238" s="31" t="str">
        <f aca="false">IF(G6238&lt;=INDEX(Assumptions!$B$15:$B$18,MATCH(E6238,Assumptions!$A$15:$A$18,0)),"Yes","No")</f>
        <v>Yes</v>
      </c>
      <c r="O6238" s="31" t="str">
        <f aca="false">IF(H6238="","Open",IF(H6238&lt;=INDEX(Assumptions!$C$15:$C$18,MATCH(E6238,Assumptions!$A$15:$A$18,0)),"Yes","No"))</f>
        <v>Open</v>
      </c>
    </row>
    <row r="6239" customFormat="false" ht="15" hidden="false" customHeight="false" outlineLevel="0" collapsed="false">
      <c r="A6239" s="31" t="s">
        <v>6389</v>
      </c>
      <c r="B6239" s="44" t="n">
        <v>46287</v>
      </c>
      <c r="C6239" s="31" t="s">
        <v>59</v>
      </c>
      <c r="D6239" s="31" t="s">
        <v>66</v>
      </c>
      <c r="E6239" s="31" t="s">
        <v>52</v>
      </c>
      <c r="F6239" s="31" t="s">
        <v>131</v>
      </c>
      <c r="G6239" s="31" t="n">
        <v>51</v>
      </c>
      <c r="H6239" s="41" t="n">
        <v>25.1</v>
      </c>
      <c r="I6239" s="31" t="s">
        <v>64</v>
      </c>
      <c r="J6239" s="31" t="n">
        <v>3</v>
      </c>
      <c r="K6239" s="31" t="s">
        <v>153</v>
      </c>
      <c r="L6239" s="45" t="n">
        <f aca="false">DATE(YEAR(B6239),MONTH(B6239),1)</f>
        <v>46266</v>
      </c>
      <c r="M6239" s="31" t="n">
        <f aca="false">WEEKDAY(B6239,2)</f>
        <v>2</v>
      </c>
      <c r="N6239" s="31" t="str">
        <f aca="false">IF(G6239&lt;=INDEX(Assumptions!$B$15:$B$18,MATCH(E6239,Assumptions!$A$15:$A$18,0)),"Yes","No")</f>
        <v>Yes</v>
      </c>
      <c r="O6239" s="31" t="str">
        <f aca="false">IF(H6239="","Open",IF(H6239&lt;=INDEX(Assumptions!$C$15:$C$18,MATCH(E6239,Assumptions!$A$15:$A$18,0)),"Yes","No"))</f>
        <v>Yes</v>
      </c>
    </row>
    <row r="6240" customFormat="false" ht="15" hidden="false" customHeight="false" outlineLevel="0" collapsed="false">
      <c r="A6240" s="31" t="s">
        <v>6390</v>
      </c>
      <c r="B6240" s="44" t="n">
        <v>46287</v>
      </c>
      <c r="C6240" s="31" t="s">
        <v>58</v>
      </c>
      <c r="D6240" s="31" t="s">
        <v>68</v>
      </c>
      <c r="E6240" s="31" t="s">
        <v>51</v>
      </c>
      <c r="F6240" s="31" t="s">
        <v>126</v>
      </c>
      <c r="G6240" s="31" t="n">
        <v>6</v>
      </c>
      <c r="H6240" s="41"/>
      <c r="I6240" s="31" t="s">
        <v>158</v>
      </c>
      <c r="J6240" s="31"/>
      <c r="K6240" s="31" t="s">
        <v>150</v>
      </c>
      <c r="L6240" s="45" t="n">
        <f aca="false">DATE(YEAR(B6240),MONTH(B6240),1)</f>
        <v>46266</v>
      </c>
      <c r="M6240" s="31" t="n">
        <f aca="false">WEEKDAY(B6240,2)</f>
        <v>2</v>
      </c>
      <c r="N6240" s="31" t="str">
        <f aca="false">IF(G6240&lt;=INDEX(Assumptions!$B$15:$B$18,MATCH(E6240,Assumptions!$A$15:$A$18,0)),"Yes","No")</f>
        <v>Yes</v>
      </c>
      <c r="O6240" s="31" t="str">
        <f aca="false">IF(H6240="","Open",IF(H6240&lt;=INDEX(Assumptions!$C$15:$C$18,MATCH(E6240,Assumptions!$A$15:$A$18,0)),"Yes","No"))</f>
        <v>Open</v>
      </c>
    </row>
    <row r="6241" customFormat="false" ht="15" hidden="false" customHeight="false" outlineLevel="0" collapsed="false">
      <c r="A6241" s="31" t="s">
        <v>6391</v>
      </c>
      <c r="B6241" s="44" t="n">
        <v>46287</v>
      </c>
      <c r="C6241" s="31" t="s">
        <v>58</v>
      </c>
      <c r="D6241" s="31" t="s">
        <v>65</v>
      </c>
      <c r="E6241" s="31" t="s">
        <v>50</v>
      </c>
      <c r="F6241" s="31" t="s">
        <v>127</v>
      </c>
      <c r="G6241" s="31" t="n">
        <v>13</v>
      </c>
      <c r="H6241" s="41" t="n">
        <v>2.2</v>
      </c>
      <c r="I6241" s="31" t="s">
        <v>149</v>
      </c>
      <c r="J6241" s="31" t="n">
        <v>5</v>
      </c>
      <c r="K6241" s="31" t="s">
        <v>150</v>
      </c>
      <c r="L6241" s="45" t="n">
        <f aca="false">DATE(YEAR(B6241),MONTH(B6241),1)</f>
        <v>46266</v>
      </c>
      <c r="M6241" s="31" t="n">
        <f aca="false">WEEKDAY(B6241,2)</f>
        <v>2</v>
      </c>
      <c r="N6241" s="31" t="str">
        <f aca="false">IF(G6241&lt;=INDEX(Assumptions!$B$15:$B$18,MATCH(E6241,Assumptions!$A$15:$A$18,0)),"Yes","No")</f>
        <v>Yes</v>
      </c>
      <c r="O6241" s="31" t="str">
        <f aca="false">IF(H6241="","Open",IF(H6241&lt;=INDEX(Assumptions!$C$15:$C$18,MATCH(E6241,Assumptions!$A$15:$A$18,0)),"Yes","No"))</f>
        <v>Yes</v>
      </c>
    </row>
    <row r="6242" customFormat="false" ht="15" hidden="false" customHeight="false" outlineLevel="0" collapsed="false">
      <c r="A6242" s="31" t="s">
        <v>6392</v>
      </c>
      <c r="B6242" s="44" t="n">
        <v>46287</v>
      </c>
      <c r="C6242" s="31" t="s">
        <v>57</v>
      </c>
      <c r="D6242" s="31" t="s">
        <v>65</v>
      </c>
      <c r="E6242" s="31" t="s">
        <v>52</v>
      </c>
      <c r="F6242" s="31" t="s">
        <v>120</v>
      </c>
      <c r="G6242" s="31" t="n">
        <v>5</v>
      </c>
      <c r="H6242" s="41" t="n">
        <v>34.5</v>
      </c>
      <c r="I6242" s="31" t="s">
        <v>149</v>
      </c>
      <c r="J6242" s="31" t="n">
        <v>4</v>
      </c>
      <c r="K6242" s="31" t="s">
        <v>150</v>
      </c>
      <c r="L6242" s="45" t="n">
        <f aca="false">DATE(YEAR(B6242),MONTH(B6242),1)</f>
        <v>46266</v>
      </c>
      <c r="M6242" s="31" t="n">
        <f aca="false">WEEKDAY(B6242,2)</f>
        <v>2</v>
      </c>
      <c r="N6242" s="31" t="str">
        <f aca="false">IF(G6242&lt;=INDEX(Assumptions!$B$15:$B$18,MATCH(E6242,Assumptions!$A$15:$A$18,0)),"Yes","No")</f>
        <v>Yes</v>
      </c>
      <c r="O6242" s="31" t="str">
        <f aca="false">IF(H6242="","Open",IF(H6242&lt;=INDEX(Assumptions!$C$15:$C$18,MATCH(E6242,Assumptions!$A$15:$A$18,0)),"Yes","No"))</f>
        <v>Yes</v>
      </c>
    </row>
    <row r="6243" customFormat="false" ht="15" hidden="false" customHeight="false" outlineLevel="0" collapsed="false">
      <c r="A6243" s="31" t="s">
        <v>6393</v>
      </c>
      <c r="B6243" s="44" t="n">
        <v>46287</v>
      </c>
      <c r="C6243" s="31" t="s">
        <v>59</v>
      </c>
      <c r="D6243" s="31" t="s">
        <v>66</v>
      </c>
      <c r="E6243" s="31" t="s">
        <v>52</v>
      </c>
      <c r="F6243" s="31" t="s">
        <v>127</v>
      </c>
      <c r="G6243" s="31" t="n">
        <v>231</v>
      </c>
      <c r="H6243" s="41" t="n">
        <v>9.7</v>
      </c>
      <c r="I6243" s="31" t="s">
        <v>64</v>
      </c>
      <c r="J6243" s="31" t="n">
        <v>4</v>
      </c>
      <c r="K6243" s="31" t="s">
        <v>150</v>
      </c>
      <c r="L6243" s="45" t="n">
        <f aca="false">DATE(YEAR(B6243),MONTH(B6243),1)</f>
        <v>46266</v>
      </c>
      <c r="M6243" s="31" t="n">
        <f aca="false">WEEKDAY(B6243,2)</f>
        <v>2</v>
      </c>
      <c r="N6243" s="31" t="str">
        <f aca="false">IF(G6243&lt;=INDEX(Assumptions!$B$15:$B$18,MATCH(E6243,Assumptions!$A$15:$A$18,0)),"Yes","No")</f>
        <v>Yes</v>
      </c>
      <c r="O6243" s="31" t="str">
        <f aca="false">IF(H6243="","Open",IF(H6243&lt;=INDEX(Assumptions!$C$15:$C$18,MATCH(E6243,Assumptions!$A$15:$A$18,0)),"Yes","No"))</f>
        <v>Yes</v>
      </c>
    </row>
    <row r="6244" customFormat="false" ht="15" hidden="false" customHeight="false" outlineLevel="0" collapsed="false">
      <c r="A6244" s="31" t="s">
        <v>6394</v>
      </c>
      <c r="B6244" s="44" t="n">
        <v>46287</v>
      </c>
      <c r="C6244" s="31" t="s">
        <v>59</v>
      </c>
      <c r="D6244" s="31" t="s">
        <v>65</v>
      </c>
      <c r="E6244" s="31" t="s">
        <v>51</v>
      </c>
      <c r="F6244" s="31" t="s">
        <v>120</v>
      </c>
      <c r="G6244" s="31" t="n">
        <v>133</v>
      </c>
      <c r="H6244" s="41" t="n">
        <v>12.6</v>
      </c>
      <c r="I6244" s="31" t="s">
        <v>149</v>
      </c>
      <c r="J6244" s="31" t="n">
        <v>4</v>
      </c>
      <c r="K6244" s="31" t="s">
        <v>150</v>
      </c>
      <c r="L6244" s="45" t="n">
        <f aca="false">DATE(YEAR(B6244),MONTH(B6244),1)</f>
        <v>46266</v>
      </c>
      <c r="M6244" s="31" t="n">
        <f aca="false">WEEKDAY(B6244,2)</f>
        <v>2</v>
      </c>
      <c r="N6244" s="31" t="str">
        <f aca="false">IF(G6244&lt;=INDEX(Assumptions!$B$15:$B$18,MATCH(E6244,Assumptions!$A$15:$A$18,0)),"Yes","No")</f>
        <v>No</v>
      </c>
      <c r="O6244" s="31" t="str">
        <f aca="false">IF(H6244="","Open",IF(H6244&lt;=INDEX(Assumptions!$C$15:$C$18,MATCH(E6244,Assumptions!$A$15:$A$18,0)),"Yes","No"))</f>
        <v>Yes</v>
      </c>
    </row>
    <row r="6245" customFormat="false" ht="15" hidden="false" customHeight="false" outlineLevel="0" collapsed="false">
      <c r="A6245" s="31" t="s">
        <v>6395</v>
      </c>
      <c r="B6245" s="44" t="n">
        <v>46287</v>
      </c>
      <c r="C6245" s="31" t="s">
        <v>57</v>
      </c>
      <c r="D6245" s="31" t="s">
        <v>65</v>
      </c>
      <c r="E6245" s="31" t="s">
        <v>50</v>
      </c>
      <c r="F6245" s="31" t="s">
        <v>128</v>
      </c>
      <c r="G6245" s="31" t="n">
        <v>8</v>
      </c>
      <c r="H6245" s="41" t="n">
        <v>19.4</v>
      </c>
      <c r="I6245" s="31" t="s">
        <v>149</v>
      </c>
      <c r="J6245" s="31" t="n">
        <v>3</v>
      </c>
      <c r="K6245" s="31" t="s">
        <v>150</v>
      </c>
      <c r="L6245" s="45" t="n">
        <f aca="false">DATE(YEAR(B6245),MONTH(B6245),1)</f>
        <v>46266</v>
      </c>
      <c r="M6245" s="31" t="n">
        <f aca="false">WEEKDAY(B6245,2)</f>
        <v>2</v>
      </c>
      <c r="N6245" s="31" t="str">
        <f aca="false">IF(G6245&lt;=INDEX(Assumptions!$B$15:$B$18,MATCH(E6245,Assumptions!$A$15:$A$18,0)),"Yes","No")</f>
        <v>Yes</v>
      </c>
      <c r="O6245" s="31" t="str">
        <f aca="false">IF(H6245="","Open",IF(H6245&lt;=INDEX(Assumptions!$C$15:$C$18,MATCH(E6245,Assumptions!$A$15:$A$18,0)),"Yes","No"))</f>
        <v>No</v>
      </c>
    </row>
    <row r="6246" customFormat="false" ht="15" hidden="false" customHeight="false" outlineLevel="0" collapsed="false">
      <c r="A6246" s="31" t="s">
        <v>6396</v>
      </c>
      <c r="B6246" s="44" t="n">
        <v>46287</v>
      </c>
      <c r="C6246" s="31" t="s">
        <v>58</v>
      </c>
      <c r="D6246" s="31" t="s">
        <v>66</v>
      </c>
      <c r="E6246" s="31" t="s">
        <v>49</v>
      </c>
      <c r="F6246" s="31" t="s">
        <v>128</v>
      </c>
      <c r="G6246" s="31" t="n">
        <v>10</v>
      </c>
      <c r="H6246" s="41"/>
      <c r="I6246" s="31" t="s">
        <v>158</v>
      </c>
      <c r="J6246" s="31"/>
      <c r="K6246" s="31" t="s">
        <v>150</v>
      </c>
      <c r="L6246" s="45" t="n">
        <f aca="false">DATE(YEAR(B6246),MONTH(B6246),1)</f>
        <v>46266</v>
      </c>
      <c r="M6246" s="31" t="n">
        <f aca="false">WEEKDAY(B6246,2)</f>
        <v>2</v>
      </c>
      <c r="N6246" s="31" t="str">
        <f aca="false">IF(G6246&lt;=INDEX(Assumptions!$B$15:$B$18,MATCH(E6246,Assumptions!$A$15:$A$18,0)),"Yes","No")</f>
        <v>Yes</v>
      </c>
      <c r="O6246" s="31" t="str">
        <f aca="false">IF(H6246="","Open",IF(H6246&lt;=INDEX(Assumptions!$C$15:$C$18,MATCH(E6246,Assumptions!$A$15:$A$18,0)),"Yes","No"))</f>
        <v>Open</v>
      </c>
    </row>
    <row r="6247" customFormat="false" ht="15" hidden="false" customHeight="false" outlineLevel="0" collapsed="false">
      <c r="A6247" s="31" t="s">
        <v>6397</v>
      </c>
      <c r="B6247" s="44" t="n">
        <v>46287</v>
      </c>
      <c r="C6247" s="31" t="s">
        <v>57</v>
      </c>
      <c r="D6247" s="31" t="s">
        <v>68</v>
      </c>
      <c r="E6247" s="31" t="s">
        <v>51</v>
      </c>
      <c r="F6247" s="31" t="s">
        <v>119</v>
      </c>
      <c r="G6247" s="31" t="n">
        <v>9</v>
      </c>
      <c r="H6247" s="41" t="n">
        <v>2.7</v>
      </c>
      <c r="I6247" s="31" t="s">
        <v>149</v>
      </c>
      <c r="J6247" s="31"/>
      <c r="K6247" s="31" t="s">
        <v>153</v>
      </c>
      <c r="L6247" s="45" t="n">
        <f aca="false">DATE(YEAR(B6247),MONTH(B6247),1)</f>
        <v>46266</v>
      </c>
      <c r="M6247" s="31" t="n">
        <f aca="false">WEEKDAY(B6247,2)</f>
        <v>2</v>
      </c>
      <c r="N6247" s="31" t="str">
        <f aca="false">IF(G6247&lt;=INDEX(Assumptions!$B$15:$B$18,MATCH(E6247,Assumptions!$A$15:$A$18,0)),"Yes","No")</f>
        <v>Yes</v>
      </c>
      <c r="O6247" s="31" t="str">
        <f aca="false">IF(H6247="","Open",IF(H6247&lt;=INDEX(Assumptions!$C$15:$C$18,MATCH(E6247,Assumptions!$A$15:$A$18,0)),"Yes","No"))</f>
        <v>Yes</v>
      </c>
    </row>
    <row r="6248" customFormat="false" ht="15" hidden="false" customHeight="false" outlineLevel="0" collapsed="false">
      <c r="A6248" s="31" t="s">
        <v>6398</v>
      </c>
      <c r="B6248" s="44" t="n">
        <v>46287</v>
      </c>
      <c r="C6248" s="31" t="s">
        <v>57</v>
      </c>
      <c r="D6248" s="31" t="s">
        <v>67</v>
      </c>
      <c r="E6248" s="31" t="s">
        <v>51</v>
      </c>
      <c r="F6248" s="31" t="s">
        <v>131</v>
      </c>
      <c r="G6248" s="31" t="n">
        <v>5</v>
      </c>
      <c r="H6248" s="41"/>
      <c r="I6248" s="31" t="s">
        <v>158</v>
      </c>
      <c r="J6248" s="31"/>
      <c r="K6248" s="31" t="s">
        <v>150</v>
      </c>
      <c r="L6248" s="45" t="n">
        <f aca="false">DATE(YEAR(B6248),MONTH(B6248),1)</f>
        <v>46266</v>
      </c>
      <c r="M6248" s="31" t="n">
        <f aca="false">WEEKDAY(B6248,2)</f>
        <v>2</v>
      </c>
      <c r="N6248" s="31" t="str">
        <f aca="false">IF(G6248&lt;=INDEX(Assumptions!$B$15:$B$18,MATCH(E6248,Assumptions!$A$15:$A$18,0)),"Yes","No")</f>
        <v>Yes</v>
      </c>
      <c r="O6248" s="31" t="str">
        <f aca="false">IF(H6248="","Open",IF(H6248&lt;=INDEX(Assumptions!$C$15:$C$18,MATCH(E6248,Assumptions!$A$15:$A$18,0)),"Yes","No"))</f>
        <v>Open</v>
      </c>
    </row>
    <row r="6249" customFormat="false" ht="15" hidden="false" customHeight="false" outlineLevel="0" collapsed="false">
      <c r="A6249" s="31" t="s">
        <v>6399</v>
      </c>
      <c r="B6249" s="44" t="n">
        <v>46287</v>
      </c>
      <c r="C6249" s="31" t="s">
        <v>60</v>
      </c>
      <c r="D6249" s="31" t="s">
        <v>66</v>
      </c>
      <c r="E6249" s="31" t="s">
        <v>50</v>
      </c>
      <c r="F6249" s="31" t="s">
        <v>124</v>
      </c>
      <c r="G6249" s="31" t="n">
        <v>1</v>
      </c>
      <c r="H6249" s="41" t="n">
        <v>6.3</v>
      </c>
      <c r="I6249" s="31" t="s">
        <v>149</v>
      </c>
      <c r="J6249" s="31"/>
      <c r="K6249" s="31" t="s">
        <v>150</v>
      </c>
      <c r="L6249" s="45" t="n">
        <f aca="false">DATE(YEAR(B6249),MONTH(B6249),1)</f>
        <v>46266</v>
      </c>
      <c r="M6249" s="31" t="n">
        <f aca="false">WEEKDAY(B6249,2)</f>
        <v>2</v>
      </c>
      <c r="N6249" s="31" t="str">
        <f aca="false">IF(G6249&lt;=INDEX(Assumptions!$B$15:$B$18,MATCH(E6249,Assumptions!$A$15:$A$18,0)),"Yes","No")</f>
        <v>Yes</v>
      </c>
      <c r="O6249" s="31" t="str">
        <f aca="false">IF(H6249="","Open",IF(H6249&lt;=INDEX(Assumptions!$C$15:$C$18,MATCH(E6249,Assumptions!$A$15:$A$18,0)),"Yes","No"))</f>
        <v>Yes</v>
      </c>
    </row>
    <row r="6250" customFormat="false" ht="15" hidden="false" customHeight="false" outlineLevel="0" collapsed="false">
      <c r="A6250" s="31" t="s">
        <v>6400</v>
      </c>
      <c r="B6250" s="44" t="n">
        <v>46287</v>
      </c>
      <c r="C6250" s="31" t="s">
        <v>58</v>
      </c>
      <c r="D6250" s="31" t="s">
        <v>66</v>
      </c>
      <c r="E6250" s="31" t="s">
        <v>51</v>
      </c>
      <c r="F6250" s="31" t="s">
        <v>124</v>
      </c>
      <c r="G6250" s="31" t="n">
        <v>5</v>
      </c>
      <c r="H6250" s="41" t="n">
        <v>13.4</v>
      </c>
      <c r="I6250" s="31" t="s">
        <v>149</v>
      </c>
      <c r="J6250" s="31" t="n">
        <v>4</v>
      </c>
      <c r="K6250" s="31" t="s">
        <v>150</v>
      </c>
      <c r="L6250" s="45" t="n">
        <f aca="false">DATE(YEAR(B6250),MONTH(B6250),1)</f>
        <v>46266</v>
      </c>
      <c r="M6250" s="31" t="n">
        <f aca="false">WEEKDAY(B6250,2)</f>
        <v>2</v>
      </c>
      <c r="N6250" s="31" t="str">
        <f aca="false">IF(G6250&lt;=INDEX(Assumptions!$B$15:$B$18,MATCH(E6250,Assumptions!$A$15:$A$18,0)),"Yes","No")</f>
        <v>Yes</v>
      </c>
      <c r="O6250" s="31" t="str">
        <f aca="false">IF(H6250="","Open",IF(H6250&lt;=INDEX(Assumptions!$C$15:$C$18,MATCH(E6250,Assumptions!$A$15:$A$18,0)),"Yes","No"))</f>
        <v>Yes</v>
      </c>
    </row>
    <row r="6251" customFormat="false" ht="15" hidden="false" customHeight="false" outlineLevel="0" collapsed="false">
      <c r="A6251" s="31" t="s">
        <v>6401</v>
      </c>
      <c r="B6251" s="44" t="n">
        <v>46287</v>
      </c>
      <c r="C6251" s="31" t="s">
        <v>60</v>
      </c>
      <c r="D6251" s="31" t="s">
        <v>66</v>
      </c>
      <c r="E6251" s="31" t="s">
        <v>51</v>
      </c>
      <c r="F6251" s="31" t="s">
        <v>128</v>
      </c>
      <c r="G6251" s="31" t="n">
        <v>3</v>
      </c>
      <c r="H6251" s="41" t="n">
        <v>4.3</v>
      </c>
      <c r="I6251" s="31" t="s">
        <v>149</v>
      </c>
      <c r="J6251" s="31" t="n">
        <v>4</v>
      </c>
      <c r="K6251" s="31" t="s">
        <v>150</v>
      </c>
      <c r="L6251" s="45" t="n">
        <f aca="false">DATE(YEAR(B6251),MONTH(B6251),1)</f>
        <v>46266</v>
      </c>
      <c r="M6251" s="31" t="n">
        <f aca="false">WEEKDAY(B6251,2)</f>
        <v>2</v>
      </c>
      <c r="N6251" s="31" t="str">
        <f aca="false">IF(G6251&lt;=INDEX(Assumptions!$B$15:$B$18,MATCH(E6251,Assumptions!$A$15:$A$18,0)),"Yes","No")</f>
        <v>Yes</v>
      </c>
      <c r="O6251" s="31" t="str">
        <f aca="false">IF(H6251="","Open",IF(H6251&lt;=INDEX(Assumptions!$C$15:$C$18,MATCH(E6251,Assumptions!$A$15:$A$18,0)),"Yes","No"))</f>
        <v>Yes</v>
      </c>
    </row>
    <row r="6252" customFormat="false" ht="15" hidden="false" customHeight="false" outlineLevel="0" collapsed="false">
      <c r="A6252" s="31" t="s">
        <v>6402</v>
      </c>
      <c r="B6252" s="44" t="n">
        <v>46287</v>
      </c>
      <c r="C6252" s="31" t="s">
        <v>59</v>
      </c>
      <c r="D6252" s="31" t="s">
        <v>65</v>
      </c>
      <c r="E6252" s="31" t="s">
        <v>52</v>
      </c>
      <c r="F6252" s="31" t="s">
        <v>134</v>
      </c>
      <c r="G6252" s="31" t="n">
        <v>298</v>
      </c>
      <c r="H6252" s="41"/>
      <c r="I6252" s="31" t="s">
        <v>158</v>
      </c>
      <c r="J6252" s="31"/>
      <c r="K6252" s="31" t="s">
        <v>150</v>
      </c>
      <c r="L6252" s="45" t="n">
        <f aca="false">DATE(YEAR(B6252),MONTH(B6252),1)</f>
        <v>46266</v>
      </c>
      <c r="M6252" s="31" t="n">
        <f aca="false">WEEKDAY(B6252,2)</f>
        <v>2</v>
      </c>
      <c r="N6252" s="31" t="str">
        <f aca="false">IF(G6252&lt;=INDEX(Assumptions!$B$15:$B$18,MATCH(E6252,Assumptions!$A$15:$A$18,0)),"Yes","No")</f>
        <v>No</v>
      </c>
      <c r="O6252" s="31" t="str">
        <f aca="false">IF(H6252="","Open",IF(H6252&lt;=INDEX(Assumptions!$C$15:$C$18,MATCH(E6252,Assumptions!$A$15:$A$18,0)),"Yes","No"))</f>
        <v>Open</v>
      </c>
    </row>
    <row r="6253" customFormat="false" ht="15" hidden="false" customHeight="false" outlineLevel="0" collapsed="false">
      <c r="A6253" s="31" t="s">
        <v>6403</v>
      </c>
      <c r="B6253" s="44" t="n">
        <v>46287</v>
      </c>
      <c r="C6253" s="31" t="s">
        <v>59</v>
      </c>
      <c r="D6253" s="31" t="s">
        <v>66</v>
      </c>
      <c r="E6253" s="31" t="s">
        <v>51</v>
      </c>
      <c r="F6253" s="31" t="s">
        <v>133</v>
      </c>
      <c r="G6253" s="31" t="n">
        <v>69</v>
      </c>
      <c r="H6253" s="41" t="n">
        <v>4.2</v>
      </c>
      <c r="I6253" s="31" t="s">
        <v>149</v>
      </c>
      <c r="J6253" s="31" t="n">
        <v>5</v>
      </c>
      <c r="K6253" s="31" t="s">
        <v>150</v>
      </c>
      <c r="L6253" s="45" t="n">
        <f aca="false">DATE(YEAR(B6253),MONTH(B6253),1)</f>
        <v>46266</v>
      </c>
      <c r="M6253" s="31" t="n">
        <f aca="false">WEEKDAY(B6253,2)</f>
        <v>2</v>
      </c>
      <c r="N6253" s="31" t="str">
        <f aca="false">IF(G6253&lt;=INDEX(Assumptions!$B$15:$B$18,MATCH(E6253,Assumptions!$A$15:$A$18,0)),"Yes","No")</f>
        <v>No</v>
      </c>
      <c r="O6253" s="31" t="str">
        <f aca="false">IF(H6253="","Open",IF(H6253&lt;=INDEX(Assumptions!$C$15:$C$18,MATCH(E6253,Assumptions!$A$15:$A$18,0)),"Yes","No"))</f>
        <v>Yes</v>
      </c>
    </row>
    <row r="6254" customFormat="false" ht="15" hidden="false" customHeight="false" outlineLevel="0" collapsed="false">
      <c r="A6254" s="31" t="s">
        <v>6404</v>
      </c>
      <c r="B6254" s="44" t="n">
        <v>46287</v>
      </c>
      <c r="C6254" s="31" t="s">
        <v>57</v>
      </c>
      <c r="D6254" s="31" t="s">
        <v>68</v>
      </c>
      <c r="E6254" s="31" t="s">
        <v>51</v>
      </c>
      <c r="F6254" s="31" t="s">
        <v>124</v>
      </c>
      <c r="G6254" s="31" t="n">
        <v>2</v>
      </c>
      <c r="H6254" s="41" t="n">
        <v>2.8</v>
      </c>
      <c r="I6254" s="31" t="s">
        <v>149</v>
      </c>
      <c r="J6254" s="31"/>
      <c r="K6254" s="31" t="s">
        <v>150</v>
      </c>
      <c r="L6254" s="45" t="n">
        <f aca="false">DATE(YEAR(B6254),MONTH(B6254),1)</f>
        <v>46266</v>
      </c>
      <c r="M6254" s="31" t="n">
        <f aca="false">WEEKDAY(B6254,2)</f>
        <v>2</v>
      </c>
      <c r="N6254" s="31" t="str">
        <f aca="false">IF(G6254&lt;=INDEX(Assumptions!$B$15:$B$18,MATCH(E6254,Assumptions!$A$15:$A$18,0)),"Yes","No")</f>
        <v>Yes</v>
      </c>
      <c r="O6254" s="31" t="str">
        <f aca="false">IF(H6254="","Open",IF(H6254&lt;=INDEX(Assumptions!$C$15:$C$18,MATCH(E6254,Assumptions!$A$15:$A$18,0)),"Yes","No"))</f>
        <v>Yes</v>
      </c>
    </row>
    <row r="6255" customFormat="false" ht="15" hidden="false" customHeight="false" outlineLevel="0" collapsed="false">
      <c r="A6255" s="31" t="s">
        <v>6405</v>
      </c>
      <c r="B6255" s="44" t="n">
        <v>46287</v>
      </c>
      <c r="C6255" s="31" t="s">
        <v>57</v>
      </c>
      <c r="D6255" s="31" t="s">
        <v>65</v>
      </c>
      <c r="E6255" s="31" t="s">
        <v>52</v>
      </c>
      <c r="F6255" s="31" t="s">
        <v>131</v>
      </c>
      <c r="G6255" s="31" t="n">
        <v>11</v>
      </c>
      <c r="H6255" s="41" t="n">
        <v>2.5</v>
      </c>
      <c r="I6255" s="31" t="s">
        <v>149</v>
      </c>
      <c r="J6255" s="31" t="n">
        <v>4</v>
      </c>
      <c r="K6255" s="31" t="s">
        <v>150</v>
      </c>
      <c r="L6255" s="45" t="n">
        <f aca="false">DATE(YEAR(B6255),MONTH(B6255),1)</f>
        <v>46266</v>
      </c>
      <c r="M6255" s="31" t="n">
        <f aca="false">WEEKDAY(B6255,2)</f>
        <v>2</v>
      </c>
      <c r="N6255" s="31" t="str">
        <f aca="false">IF(G6255&lt;=INDEX(Assumptions!$B$15:$B$18,MATCH(E6255,Assumptions!$A$15:$A$18,0)),"Yes","No")</f>
        <v>Yes</v>
      </c>
      <c r="O6255" s="31" t="str">
        <f aca="false">IF(H6255="","Open",IF(H6255&lt;=INDEX(Assumptions!$C$15:$C$18,MATCH(E6255,Assumptions!$A$15:$A$18,0)),"Yes","No"))</f>
        <v>Yes</v>
      </c>
    </row>
    <row r="6256" customFormat="false" ht="15" hidden="false" customHeight="false" outlineLevel="0" collapsed="false">
      <c r="A6256" s="31" t="s">
        <v>6406</v>
      </c>
      <c r="B6256" s="44" t="n">
        <v>46287</v>
      </c>
      <c r="C6256" s="31" t="s">
        <v>59</v>
      </c>
      <c r="D6256" s="31" t="s">
        <v>68</v>
      </c>
      <c r="E6256" s="31" t="s">
        <v>51</v>
      </c>
      <c r="F6256" s="31" t="s">
        <v>130</v>
      </c>
      <c r="G6256" s="31" t="n">
        <v>29</v>
      </c>
      <c r="H6256" s="41"/>
      <c r="I6256" s="31" t="s">
        <v>158</v>
      </c>
      <c r="J6256" s="31"/>
      <c r="K6256" s="31" t="s">
        <v>150</v>
      </c>
      <c r="L6256" s="45" t="n">
        <f aca="false">DATE(YEAR(B6256),MONTH(B6256),1)</f>
        <v>46266</v>
      </c>
      <c r="M6256" s="31" t="n">
        <f aca="false">WEEKDAY(B6256,2)</f>
        <v>2</v>
      </c>
      <c r="N6256" s="31" t="str">
        <f aca="false">IF(G6256&lt;=INDEX(Assumptions!$B$15:$B$18,MATCH(E6256,Assumptions!$A$15:$A$18,0)),"Yes","No")</f>
        <v>Yes</v>
      </c>
      <c r="O6256" s="31" t="str">
        <f aca="false">IF(H6256="","Open",IF(H6256&lt;=INDEX(Assumptions!$C$15:$C$18,MATCH(E6256,Assumptions!$A$15:$A$18,0)),"Yes","No"))</f>
        <v>Open</v>
      </c>
    </row>
    <row r="6257" customFormat="false" ht="15" hidden="false" customHeight="false" outlineLevel="0" collapsed="false">
      <c r="A6257" s="31" t="s">
        <v>6407</v>
      </c>
      <c r="B6257" s="44" t="n">
        <v>46287</v>
      </c>
      <c r="C6257" s="31" t="s">
        <v>60</v>
      </c>
      <c r="D6257" s="31" t="s">
        <v>66</v>
      </c>
      <c r="E6257" s="31" t="s">
        <v>52</v>
      </c>
      <c r="F6257" s="31" t="s">
        <v>123</v>
      </c>
      <c r="G6257" s="31" t="n">
        <v>1</v>
      </c>
      <c r="H6257" s="41"/>
      <c r="I6257" s="31" t="s">
        <v>158</v>
      </c>
      <c r="J6257" s="31"/>
      <c r="K6257" s="31" t="s">
        <v>150</v>
      </c>
      <c r="L6257" s="45" t="n">
        <f aca="false">DATE(YEAR(B6257),MONTH(B6257),1)</f>
        <v>46266</v>
      </c>
      <c r="M6257" s="31" t="n">
        <f aca="false">WEEKDAY(B6257,2)</f>
        <v>2</v>
      </c>
      <c r="N6257" s="31" t="str">
        <f aca="false">IF(G6257&lt;=INDEX(Assumptions!$B$15:$B$18,MATCH(E6257,Assumptions!$A$15:$A$18,0)),"Yes","No")</f>
        <v>Yes</v>
      </c>
      <c r="O6257" s="31" t="str">
        <f aca="false">IF(H6257="","Open",IF(H6257&lt;=INDEX(Assumptions!$C$15:$C$18,MATCH(E6257,Assumptions!$A$15:$A$18,0)),"Yes","No"))</f>
        <v>Open</v>
      </c>
    </row>
    <row r="6258" customFormat="false" ht="15" hidden="false" customHeight="false" outlineLevel="0" collapsed="false">
      <c r="A6258" s="31" t="s">
        <v>6408</v>
      </c>
      <c r="B6258" s="44" t="n">
        <v>46287</v>
      </c>
      <c r="C6258" s="31" t="s">
        <v>58</v>
      </c>
      <c r="D6258" s="31" t="s">
        <v>65</v>
      </c>
      <c r="E6258" s="31" t="s">
        <v>51</v>
      </c>
      <c r="F6258" s="31" t="s">
        <v>136</v>
      </c>
      <c r="G6258" s="31" t="n">
        <v>1</v>
      </c>
      <c r="H6258" s="41" t="n">
        <v>24.2</v>
      </c>
      <c r="I6258" s="31" t="s">
        <v>149</v>
      </c>
      <c r="J6258" s="31" t="n">
        <v>3</v>
      </c>
      <c r="K6258" s="31" t="s">
        <v>150</v>
      </c>
      <c r="L6258" s="45" t="n">
        <f aca="false">DATE(YEAR(B6258),MONTH(B6258),1)</f>
        <v>46266</v>
      </c>
      <c r="M6258" s="31" t="n">
        <f aca="false">WEEKDAY(B6258,2)</f>
        <v>2</v>
      </c>
      <c r="N6258" s="31" t="str">
        <f aca="false">IF(G6258&lt;=INDEX(Assumptions!$B$15:$B$18,MATCH(E6258,Assumptions!$A$15:$A$18,0)),"Yes","No")</f>
        <v>Yes</v>
      </c>
      <c r="O6258" s="31" t="str">
        <f aca="false">IF(H6258="","Open",IF(H6258&lt;=INDEX(Assumptions!$C$15:$C$18,MATCH(E6258,Assumptions!$A$15:$A$18,0)),"Yes","No"))</f>
        <v>No</v>
      </c>
    </row>
    <row r="6259" customFormat="false" ht="15" hidden="false" customHeight="false" outlineLevel="0" collapsed="false">
      <c r="A6259" s="31" t="s">
        <v>6409</v>
      </c>
      <c r="B6259" s="44" t="n">
        <v>46287</v>
      </c>
      <c r="C6259" s="31" t="s">
        <v>57</v>
      </c>
      <c r="D6259" s="31" t="s">
        <v>69</v>
      </c>
      <c r="E6259" s="31" t="s">
        <v>52</v>
      </c>
      <c r="F6259" s="31" t="s">
        <v>119</v>
      </c>
      <c r="G6259" s="31" t="n">
        <v>3</v>
      </c>
      <c r="H6259" s="41" t="n">
        <v>63</v>
      </c>
      <c r="I6259" s="31" t="s">
        <v>149</v>
      </c>
      <c r="J6259" s="31"/>
      <c r="K6259" s="31" t="s">
        <v>150</v>
      </c>
      <c r="L6259" s="45" t="n">
        <f aca="false">DATE(YEAR(B6259),MONTH(B6259),1)</f>
        <v>46266</v>
      </c>
      <c r="M6259" s="31" t="n">
        <f aca="false">WEEKDAY(B6259,2)</f>
        <v>2</v>
      </c>
      <c r="N6259" s="31" t="str">
        <f aca="false">IF(G6259&lt;=INDEX(Assumptions!$B$15:$B$18,MATCH(E6259,Assumptions!$A$15:$A$18,0)),"Yes","No")</f>
        <v>Yes</v>
      </c>
      <c r="O6259" s="31" t="str">
        <f aca="false">IF(H6259="","Open",IF(H6259&lt;=INDEX(Assumptions!$C$15:$C$18,MATCH(E6259,Assumptions!$A$15:$A$18,0)),"Yes","No"))</f>
        <v>Yes</v>
      </c>
    </row>
    <row r="6260" customFormat="false" ht="15" hidden="false" customHeight="false" outlineLevel="0" collapsed="false">
      <c r="A6260" s="31" t="s">
        <v>6410</v>
      </c>
      <c r="B6260" s="44" t="n">
        <v>46287</v>
      </c>
      <c r="C6260" s="31" t="s">
        <v>57</v>
      </c>
      <c r="D6260" s="31" t="s">
        <v>66</v>
      </c>
      <c r="E6260" s="31" t="s">
        <v>52</v>
      </c>
      <c r="F6260" s="31" t="s">
        <v>128</v>
      </c>
      <c r="G6260" s="31" t="n">
        <v>9</v>
      </c>
      <c r="H6260" s="41" t="n">
        <v>10.6</v>
      </c>
      <c r="I6260" s="31" t="s">
        <v>149</v>
      </c>
      <c r="J6260" s="31"/>
      <c r="K6260" s="31" t="s">
        <v>150</v>
      </c>
      <c r="L6260" s="45" t="n">
        <f aca="false">DATE(YEAR(B6260),MONTH(B6260),1)</f>
        <v>46266</v>
      </c>
      <c r="M6260" s="31" t="n">
        <f aca="false">WEEKDAY(B6260,2)</f>
        <v>2</v>
      </c>
      <c r="N6260" s="31" t="str">
        <f aca="false">IF(G6260&lt;=INDEX(Assumptions!$B$15:$B$18,MATCH(E6260,Assumptions!$A$15:$A$18,0)),"Yes","No")</f>
        <v>Yes</v>
      </c>
      <c r="O6260" s="31" t="str">
        <f aca="false">IF(H6260="","Open",IF(H6260&lt;=INDEX(Assumptions!$C$15:$C$18,MATCH(E6260,Assumptions!$A$15:$A$18,0)),"Yes","No"))</f>
        <v>Yes</v>
      </c>
    </row>
    <row r="6261" customFormat="false" ht="15" hidden="false" customHeight="false" outlineLevel="0" collapsed="false">
      <c r="A6261" s="31" t="s">
        <v>6411</v>
      </c>
      <c r="B6261" s="44" t="n">
        <v>46287</v>
      </c>
      <c r="C6261" s="31" t="s">
        <v>58</v>
      </c>
      <c r="D6261" s="31" t="s">
        <v>65</v>
      </c>
      <c r="E6261" s="31" t="s">
        <v>50</v>
      </c>
      <c r="F6261" s="31" t="s">
        <v>131</v>
      </c>
      <c r="G6261" s="31" t="n">
        <v>21</v>
      </c>
      <c r="H6261" s="41" t="n">
        <v>8.9</v>
      </c>
      <c r="I6261" s="31" t="s">
        <v>149</v>
      </c>
      <c r="J6261" s="31" t="n">
        <v>4</v>
      </c>
      <c r="K6261" s="31" t="s">
        <v>150</v>
      </c>
      <c r="L6261" s="45" t="n">
        <f aca="false">DATE(YEAR(B6261),MONTH(B6261),1)</f>
        <v>46266</v>
      </c>
      <c r="M6261" s="31" t="n">
        <f aca="false">WEEKDAY(B6261,2)</f>
        <v>2</v>
      </c>
      <c r="N6261" s="31" t="str">
        <f aca="false">IF(G6261&lt;=INDEX(Assumptions!$B$15:$B$18,MATCH(E6261,Assumptions!$A$15:$A$18,0)),"Yes","No")</f>
        <v>Yes</v>
      </c>
      <c r="O6261" s="31" t="str">
        <f aca="false">IF(H6261="","Open",IF(H6261&lt;=INDEX(Assumptions!$C$15:$C$18,MATCH(E6261,Assumptions!$A$15:$A$18,0)),"Yes","No"))</f>
        <v>No</v>
      </c>
    </row>
    <row r="6262" customFormat="false" ht="15" hidden="false" customHeight="false" outlineLevel="0" collapsed="false">
      <c r="A6262" s="31" t="s">
        <v>6412</v>
      </c>
      <c r="B6262" s="44" t="n">
        <v>46287</v>
      </c>
      <c r="C6262" s="31" t="s">
        <v>58</v>
      </c>
      <c r="D6262" s="31" t="s">
        <v>68</v>
      </c>
      <c r="E6262" s="31" t="s">
        <v>50</v>
      </c>
      <c r="F6262" s="31" t="s">
        <v>137</v>
      </c>
      <c r="G6262" s="31" t="n">
        <v>10</v>
      </c>
      <c r="H6262" s="41" t="n">
        <v>2.8</v>
      </c>
      <c r="I6262" s="31" t="s">
        <v>149</v>
      </c>
      <c r="J6262" s="31" t="n">
        <v>4</v>
      </c>
      <c r="K6262" s="31" t="s">
        <v>150</v>
      </c>
      <c r="L6262" s="45" t="n">
        <f aca="false">DATE(YEAR(B6262),MONTH(B6262),1)</f>
        <v>46266</v>
      </c>
      <c r="M6262" s="31" t="n">
        <f aca="false">WEEKDAY(B6262,2)</f>
        <v>2</v>
      </c>
      <c r="N6262" s="31" t="str">
        <f aca="false">IF(G6262&lt;=INDEX(Assumptions!$B$15:$B$18,MATCH(E6262,Assumptions!$A$15:$A$18,0)),"Yes","No")</f>
        <v>Yes</v>
      </c>
      <c r="O6262" s="31" t="str">
        <f aca="false">IF(H6262="","Open",IF(H6262&lt;=INDEX(Assumptions!$C$15:$C$18,MATCH(E6262,Assumptions!$A$15:$A$18,0)),"Yes","No"))</f>
        <v>Yes</v>
      </c>
    </row>
    <row r="6263" customFormat="false" ht="15" hidden="false" customHeight="false" outlineLevel="0" collapsed="false">
      <c r="A6263" s="31" t="s">
        <v>6413</v>
      </c>
      <c r="B6263" s="44" t="n">
        <v>46287</v>
      </c>
      <c r="C6263" s="31" t="s">
        <v>57</v>
      </c>
      <c r="D6263" s="31" t="s">
        <v>67</v>
      </c>
      <c r="E6263" s="31" t="s">
        <v>51</v>
      </c>
      <c r="F6263" s="31" t="s">
        <v>134</v>
      </c>
      <c r="G6263" s="31" t="n">
        <v>4</v>
      </c>
      <c r="H6263" s="41" t="n">
        <v>18.3</v>
      </c>
      <c r="I6263" s="31" t="s">
        <v>149</v>
      </c>
      <c r="J6263" s="31"/>
      <c r="K6263" s="31" t="s">
        <v>150</v>
      </c>
      <c r="L6263" s="45" t="n">
        <f aca="false">DATE(YEAR(B6263),MONTH(B6263),1)</f>
        <v>46266</v>
      </c>
      <c r="M6263" s="31" t="n">
        <f aca="false">WEEKDAY(B6263,2)</f>
        <v>2</v>
      </c>
      <c r="N6263" s="31" t="str">
        <f aca="false">IF(G6263&lt;=INDEX(Assumptions!$B$15:$B$18,MATCH(E6263,Assumptions!$A$15:$A$18,0)),"Yes","No")</f>
        <v>Yes</v>
      </c>
      <c r="O6263" s="31" t="str">
        <f aca="false">IF(H6263="","Open",IF(H6263&lt;=INDEX(Assumptions!$C$15:$C$18,MATCH(E6263,Assumptions!$A$15:$A$18,0)),"Yes","No"))</f>
        <v>Yes</v>
      </c>
    </row>
    <row r="6264" customFormat="false" ht="15" hidden="false" customHeight="false" outlineLevel="0" collapsed="false">
      <c r="A6264" s="31" t="s">
        <v>6414</v>
      </c>
      <c r="B6264" s="44" t="n">
        <v>46287</v>
      </c>
      <c r="C6264" s="31" t="s">
        <v>60</v>
      </c>
      <c r="D6264" s="31" t="s">
        <v>69</v>
      </c>
      <c r="E6264" s="31" t="s">
        <v>51</v>
      </c>
      <c r="F6264" s="31" t="s">
        <v>126</v>
      </c>
      <c r="G6264" s="31" t="n">
        <v>1</v>
      </c>
      <c r="H6264" s="41"/>
      <c r="I6264" s="31" t="s">
        <v>158</v>
      </c>
      <c r="J6264" s="31"/>
      <c r="K6264" s="31" t="s">
        <v>150</v>
      </c>
      <c r="L6264" s="45" t="n">
        <f aca="false">DATE(YEAR(B6264),MONTH(B6264),1)</f>
        <v>46266</v>
      </c>
      <c r="M6264" s="31" t="n">
        <f aca="false">WEEKDAY(B6264,2)</f>
        <v>2</v>
      </c>
      <c r="N6264" s="31" t="str">
        <f aca="false">IF(G6264&lt;=INDEX(Assumptions!$B$15:$B$18,MATCH(E6264,Assumptions!$A$15:$A$18,0)),"Yes","No")</f>
        <v>Yes</v>
      </c>
      <c r="O6264" s="31" t="str">
        <f aca="false">IF(H6264="","Open",IF(H6264&lt;=INDEX(Assumptions!$C$15:$C$18,MATCH(E6264,Assumptions!$A$15:$A$18,0)),"Yes","No"))</f>
        <v>Open</v>
      </c>
    </row>
    <row r="6265" customFormat="false" ht="15" hidden="false" customHeight="false" outlineLevel="0" collapsed="false">
      <c r="A6265" s="31" t="s">
        <v>6415</v>
      </c>
      <c r="B6265" s="44" t="n">
        <v>46287</v>
      </c>
      <c r="C6265" s="31" t="s">
        <v>57</v>
      </c>
      <c r="D6265" s="31" t="s">
        <v>68</v>
      </c>
      <c r="E6265" s="31" t="s">
        <v>51</v>
      </c>
      <c r="F6265" s="31" t="s">
        <v>137</v>
      </c>
      <c r="G6265" s="31" t="n">
        <v>2</v>
      </c>
      <c r="H6265" s="41"/>
      <c r="I6265" s="31" t="s">
        <v>158</v>
      </c>
      <c r="J6265" s="31"/>
      <c r="K6265" s="31" t="s">
        <v>150</v>
      </c>
      <c r="L6265" s="45" t="n">
        <f aca="false">DATE(YEAR(B6265),MONTH(B6265),1)</f>
        <v>46266</v>
      </c>
      <c r="M6265" s="31" t="n">
        <f aca="false">WEEKDAY(B6265,2)</f>
        <v>2</v>
      </c>
      <c r="N6265" s="31" t="str">
        <f aca="false">IF(G6265&lt;=INDEX(Assumptions!$B$15:$B$18,MATCH(E6265,Assumptions!$A$15:$A$18,0)),"Yes","No")</f>
        <v>Yes</v>
      </c>
      <c r="O6265" s="31" t="str">
        <f aca="false">IF(H6265="","Open",IF(H6265&lt;=INDEX(Assumptions!$C$15:$C$18,MATCH(E6265,Assumptions!$A$15:$A$18,0)),"Yes","No"))</f>
        <v>Open</v>
      </c>
    </row>
    <row r="6266" customFormat="false" ht="15" hidden="false" customHeight="false" outlineLevel="0" collapsed="false">
      <c r="A6266" s="31" t="s">
        <v>6416</v>
      </c>
      <c r="B6266" s="44" t="n">
        <v>46287</v>
      </c>
      <c r="C6266" s="31" t="s">
        <v>57</v>
      </c>
      <c r="D6266" s="31" t="s">
        <v>66</v>
      </c>
      <c r="E6266" s="31" t="s">
        <v>51</v>
      </c>
      <c r="F6266" s="31" t="s">
        <v>121</v>
      </c>
      <c r="G6266" s="31" t="n">
        <v>8</v>
      </c>
      <c r="H6266" s="41"/>
      <c r="I6266" s="31" t="s">
        <v>158</v>
      </c>
      <c r="J6266" s="31"/>
      <c r="K6266" s="31" t="s">
        <v>150</v>
      </c>
      <c r="L6266" s="45" t="n">
        <f aca="false">DATE(YEAR(B6266),MONTH(B6266),1)</f>
        <v>46266</v>
      </c>
      <c r="M6266" s="31" t="n">
        <f aca="false">WEEKDAY(B6266,2)</f>
        <v>2</v>
      </c>
      <c r="N6266" s="31" t="str">
        <f aca="false">IF(G6266&lt;=INDEX(Assumptions!$B$15:$B$18,MATCH(E6266,Assumptions!$A$15:$A$18,0)),"Yes","No")</f>
        <v>Yes</v>
      </c>
      <c r="O6266" s="31" t="str">
        <f aca="false">IF(H6266="","Open",IF(H6266&lt;=INDEX(Assumptions!$C$15:$C$18,MATCH(E6266,Assumptions!$A$15:$A$18,0)),"Yes","No"))</f>
        <v>Open</v>
      </c>
    </row>
    <row r="6267" customFormat="false" ht="15" hidden="false" customHeight="false" outlineLevel="0" collapsed="false">
      <c r="A6267" s="31" t="s">
        <v>6417</v>
      </c>
      <c r="B6267" s="44" t="n">
        <v>46287</v>
      </c>
      <c r="C6267" s="31" t="s">
        <v>57</v>
      </c>
      <c r="D6267" s="31" t="s">
        <v>66</v>
      </c>
      <c r="E6267" s="31" t="s">
        <v>52</v>
      </c>
      <c r="F6267" s="31" t="s">
        <v>127</v>
      </c>
      <c r="G6267" s="31" t="n">
        <v>12</v>
      </c>
      <c r="H6267" s="41"/>
      <c r="I6267" s="31" t="s">
        <v>158</v>
      </c>
      <c r="J6267" s="31"/>
      <c r="K6267" s="31" t="s">
        <v>150</v>
      </c>
      <c r="L6267" s="45" t="n">
        <f aca="false">DATE(YEAR(B6267),MONTH(B6267),1)</f>
        <v>46266</v>
      </c>
      <c r="M6267" s="31" t="n">
        <f aca="false">WEEKDAY(B6267,2)</f>
        <v>2</v>
      </c>
      <c r="N6267" s="31" t="str">
        <f aca="false">IF(G6267&lt;=INDEX(Assumptions!$B$15:$B$18,MATCH(E6267,Assumptions!$A$15:$A$18,0)),"Yes","No")</f>
        <v>Yes</v>
      </c>
      <c r="O6267" s="31" t="str">
        <f aca="false">IF(H6267="","Open",IF(H6267&lt;=INDEX(Assumptions!$C$15:$C$18,MATCH(E6267,Assumptions!$A$15:$A$18,0)),"Yes","No"))</f>
        <v>Open</v>
      </c>
    </row>
    <row r="6268" customFormat="false" ht="15" hidden="false" customHeight="false" outlineLevel="0" collapsed="false">
      <c r="A6268" s="31" t="s">
        <v>6418</v>
      </c>
      <c r="B6268" s="44" t="n">
        <v>46287</v>
      </c>
      <c r="C6268" s="31" t="s">
        <v>60</v>
      </c>
      <c r="D6268" s="31" t="s">
        <v>68</v>
      </c>
      <c r="E6268" s="31" t="s">
        <v>50</v>
      </c>
      <c r="F6268" s="31" t="s">
        <v>133</v>
      </c>
      <c r="G6268" s="31" t="n">
        <v>1</v>
      </c>
      <c r="H6268" s="41" t="n">
        <v>2.6</v>
      </c>
      <c r="I6268" s="31" t="s">
        <v>149</v>
      </c>
      <c r="J6268" s="31"/>
      <c r="K6268" s="31" t="s">
        <v>150</v>
      </c>
      <c r="L6268" s="45" t="n">
        <f aca="false">DATE(YEAR(B6268),MONTH(B6268),1)</f>
        <v>46266</v>
      </c>
      <c r="M6268" s="31" t="n">
        <f aca="false">WEEKDAY(B6268,2)</f>
        <v>2</v>
      </c>
      <c r="N6268" s="31" t="str">
        <f aca="false">IF(G6268&lt;=INDEX(Assumptions!$B$15:$B$18,MATCH(E6268,Assumptions!$A$15:$A$18,0)),"Yes","No")</f>
        <v>Yes</v>
      </c>
      <c r="O6268" s="31" t="str">
        <f aca="false">IF(H6268="","Open",IF(H6268&lt;=INDEX(Assumptions!$C$15:$C$18,MATCH(E6268,Assumptions!$A$15:$A$18,0)),"Yes","No"))</f>
        <v>Yes</v>
      </c>
    </row>
    <row r="6269" customFormat="false" ht="15" hidden="false" customHeight="false" outlineLevel="0" collapsed="false">
      <c r="A6269" s="31" t="s">
        <v>6419</v>
      </c>
      <c r="B6269" s="44" t="n">
        <v>46287</v>
      </c>
      <c r="C6269" s="31" t="s">
        <v>60</v>
      </c>
      <c r="D6269" s="31" t="s">
        <v>69</v>
      </c>
      <c r="E6269" s="31" t="s">
        <v>51</v>
      </c>
      <c r="F6269" s="31" t="s">
        <v>123</v>
      </c>
      <c r="G6269" s="31" t="n">
        <v>1</v>
      </c>
      <c r="H6269" s="41"/>
      <c r="I6269" s="31" t="s">
        <v>158</v>
      </c>
      <c r="J6269" s="31"/>
      <c r="K6269" s="31" t="s">
        <v>150</v>
      </c>
      <c r="L6269" s="45" t="n">
        <f aca="false">DATE(YEAR(B6269),MONTH(B6269),1)</f>
        <v>46266</v>
      </c>
      <c r="M6269" s="31" t="n">
        <f aca="false">WEEKDAY(B6269,2)</f>
        <v>2</v>
      </c>
      <c r="N6269" s="31" t="str">
        <f aca="false">IF(G6269&lt;=INDEX(Assumptions!$B$15:$B$18,MATCH(E6269,Assumptions!$A$15:$A$18,0)),"Yes","No")</f>
        <v>Yes</v>
      </c>
      <c r="O6269" s="31" t="str">
        <f aca="false">IF(H6269="","Open",IF(H6269&lt;=INDEX(Assumptions!$C$15:$C$18,MATCH(E6269,Assumptions!$A$15:$A$18,0)),"Yes","No"))</f>
        <v>Open</v>
      </c>
    </row>
    <row r="6270" customFormat="false" ht="15" hidden="false" customHeight="false" outlineLevel="0" collapsed="false">
      <c r="A6270" s="31" t="s">
        <v>6420</v>
      </c>
      <c r="B6270" s="44" t="n">
        <v>46287</v>
      </c>
      <c r="C6270" s="31" t="s">
        <v>58</v>
      </c>
      <c r="D6270" s="31" t="s">
        <v>67</v>
      </c>
      <c r="E6270" s="31" t="s">
        <v>52</v>
      </c>
      <c r="F6270" s="31" t="s">
        <v>124</v>
      </c>
      <c r="G6270" s="31" t="n">
        <v>14</v>
      </c>
      <c r="H6270" s="41" t="n">
        <v>9</v>
      </c>
      <c r="I6270" s="31" t="s">
        <v>149</v>
      </c>
      <c r="J6270" s="31"/>
      <c r="K6270" s="31" t="s">
        <v>150</v>
      </c>
      <c r="L6270" s="45" t="n">
        <f aca="false">DATE(YEAR(B6270),MONTH(B6270),1)</f>
        <v>46266</v>
      </c>
      <c r="M6270" s="31" t="n">
        <f aca="false">WEEKDAY(B6270,2)</f>
        <v>2</v>
      </c>
      <c r="N6270" s="31" t="str">
        <f aca="false">IF(G6270&lt;=INDEX(Assumptions!$B$15:$B$18,MATCH(E6270,Assumptions!$A$15:$A$18,0)),"Yes","No")</f>
        <v>Yes</v>
      </c>
      <c r="O6270" s="31" t="str">
        <f aca="false">IF(H6270="","Open",IF(H6270&lt;=INDEX(Assumptions!$C$15:$C$18,MATCH(E6270,Assumptions!$A$15:$A$18,0)),"Yes","No"))</f>
        <v>Yes</v>
      </c>
    </row>
    <row r="6271" customFormat="false" ht="15" hidden="false" customHeight="false" outlineLevel="0" collapsed="false">
      <c r="A6271" s="31" t="s">
        <v>6421</v>
      </c>
      <c r="B6271" s="44" t="n">
        <v>46287</v>
      </c>
      <c r="C6271" s="31" t="s">
        <v>59</v>
      </c>
      <c r="D6271" s="31" t="s">
        <v>65</v>
      </c>
      <c r="E6271" s="31" t="s">
        <v>50</v>
      </c>
      <c r="F6271" s="31" t="s">
        <v>137</v>
      </c>
      <c r="G6271" s="31" t="n">
        <v>30</v>
      </c>
      <c r="H6271" s="41"/>
      <c r="I6271" s="31" t="s">
        <v>158</v>
      </c>
      <c r="J6271" s="31"/>
      <c r="K6271" s="31" t="s">
        <v>150</v>
      </c>
      <c r="L6271" s="45" t="n">
        <f aca="false">DATE(YEAR(B6271),MONTH(B6271),1)</f>
        <v>46266</v>
      </c>
      <c r="M6271" s="31" t="n">
        <f aca="false">WEEKDAY(B6271,2)</f>
        <v>2</v>
      </c>
      <c r="N6271" s="31" t="str">
        <f aca="false">IF(G6271&lt;=INDEX(Assumptions!$B$15:$B$18,MATCH(E6271,Assumptions!$A$15:$A$18,0)),"Yes","No")</f>
        <v>Yes</v>
      </c>
      <c r="O6271" s="31" t="str">
        <f aca="false">IF(H6271="","Open",IF(H6271&lt;=INDEX(Assumptions!$C$15:$C$18,MATCH(E6271,Assumptions!$A$15:$A$18,0)),"Yes","No"))</f>
        <v>Open</v>
      </c>
    </row>
    <row r="6272" customFormat="false" ht="15" hidden="false" customHeight="false" outlineLevel="0" collapsed="false">
      <c r="A6272" s="31" t="s">
        <v>6422</v>
      </c>
      <c r="B6272" s="44" t="n">
        <v>46287</v>
      </c>
      <c r="C6272" s="31" t="s">
        <v>57</v>
      </c>
      <c r="D6272" s="31" t="s">
        <v>68</v>
      </c>
      <c r="E6272" s="31" t="s">
        <v>52</v>
      </c>
      <c r="F6272" s="31" t="s">
        <v>127</v>
      </c>
      <c r="G6272" s="31" t="n">
        <v>4</v>
      </c>
      <c r="H6272" s="41" t="n">
        <v>5</v>
      </c>
      <c r="I6272" s="31" t="s">
        <v>149</v>
      </c>
      <c r="J6272" s="31" t="n">
        <v>4</v>
      </c>
      <c r="K6272" s="31" t="s">
        <v>150</v>
      </c>
      <c r="L6272" s="45" t="n">
        <f aca="false">DATE(YEAR(B6272),MONTH(B6272),1)</f>
        <v>46266</v>
      </c>
      <c r="M6272" s="31" t="n">
        <f aca="false">WEEKDAY(B6272,2)</f>
        <v>2</v>
      </c>
      <c r="N6272" s="31" t="str">
        <f aca="false">IF(G6272&lt;=INDEX(Assumptions!$B$15:$B$18,MATCH(E6272,Assumptions!$A$15:$A$18,0)),"Yes","No")</f>
        <v>Yes</v>
      </c>
      <c r="O6272" s="31" t="str">
        <f aca="false">IF(H6272="","Open",IF(H6272&lt;=INDEX(Assumptions!$C$15:$C$18,MATCH(E6272,Assumptions!$A$15:$A$18,0)),"Yes","No"))</f>
        <v>Yes</v>
      </c>
    </row>
    <row r="6273" customFormat="false" ht="15" hidden="false" customHeight="false" outlineLevel="0" collapsed="false">
      <c r="A6273" s="31" t="s">
        <v>6423</v>
      </c>
      <c r="B6273" s="44" t="n">
        <v>46287</v>
      </c>
      <c r="C6273" s="31" t="s">
        <v>58</v>
      </c>
      <c r="D6273" s="31" t="s">
        <v>69</v>
      </c>
      <c r="E6273" s="31" t="s">
        <v>51</v>
      </c>
      <c r="F6273" s="31" t="s">
        <v>124</v>
      </c>
      <c r="G6273" s="31" t="n">
        <v>6</v>
      </c>
      <c r="H6273" s="41"/>
      <c r="I6273" s="31" t="s">
        <v>158</v>
      </c>
      <c r="J6273" s="31"/>
      <c r="K6273" s="31" t="s">
        <v>150</v>
      </c>
      <c r="L6273" s="45" t="n">
        <f aca="false">DATE(YEAR(B6273),MONTH(B6273),1)</f>
        <v>46266</v>
      </c>
      <c r="M6273" s="31" t="n">
        <f aca="false">WEEKDAY(B6273,2)</f>
        <v>2</v>
      </c>
      <c r="N6273" s="31" t="str">
        <f aca="false">IF(G6273&lt;=INDEX(Assumptions!$B$15:$B$18,MATCH(E6273,Assumptions!$A$15:$A$18,0)),"Yes","No")</f>
        <v>Yes</v>
      </c>
      <c r="O6273" s="31" t="str">
        <f aca="false">IF(H6273="","Open",IF(H6273&lt;=INDEX(Assumptions!$C$15:$C$18,MATCH(E6273,Assumptions!$A$15:$A$18,0)),"Yes","No"))</f>
        <v>Open</v>
      </c>
    </row>
    <row r="6274" customFormat="false" ht="15" hidden="false" customHeight="false" outlineLevel="0" collapsed="false">
      <c r="A6274" s="31" t="s">
        <v>6424</v>
      </c>
      <c r="B6274" s="44" t="n">
        <v>46287</v>
      </c>
      <c r="C6274" s="31" t="s">
        <v>57</v>
      </c>
      <c r="D6274" s="31" t="s">
        <v>67</v>
      </c>
      <c r="E6274" s="31" t="s">
        <v>51</v>
      </c>
      <c r="F6274" s="31" t="s">
        <v>119</v>
      </c>
      <c r="G6274" s="31" t="n">
        <v>5</v>
      </c>
      <c r="H6274" s="41" t="n">
        <v>28.7</v>
      </c>
      <c r="I6274" s="31" t="s">
        <v>149</v>
      </c>
      <c r="J6274" s="31"/>
      <c r="K6274" s="31" t="s">
        <v>153</v>
      </c>
      <c r="L6274" s="45" t="n">
        <f aca="false">DATE(YEAR(B6274),MONTH(B6274),1)</f>
        <v>46266</v>
      </c>
      <c r="M6274" s="31" t="n">
        <f aca="false">WEEKDAY(B6274,2)</f>
        <v>2</v>
      </c>
      <c r="N6274" s="31" t="str">
        <f aca="false">IF(G6274&lt;=INDEX(Assumptions!$B$15:$B$18,MATCH(E6274,Assumptions!$A$15:$A$18,0)),"Yes","No")</f>
        <v>Yes</v>
      </c>
      <c r="O6274" s="31" t="str">
        <f aca="false">IF(H6274="","Open",IF(H6274&lt;=INDEX(Assumptions!$C$15:$C$18,MATCH(E6274,Assumptions!$A$15:$A$18,0)),"Yes","No"))</f>
        <v>No</v>
      </c>
    </row>
    <row r="6275" customFormat="false" ht="15" hidden="false" customHeight="false" outlineLevel="0" collapsed="false">
      <c r="A6275" s="31" t="s">
        <v>6425</v>
      </c>
      <c r="B6275" s="44" t="n">
        <v>46287</v>
      </c>
      <c r="C6275" s="31" t="s">
        <v>59</v>
      </c>
      <c r="D6275" s="31" t="s">
        <v>68</v>
      </c>
      <c r="E6275" s="31" t="s">
        <v>51</v>
      </c>
      <c r="F6275" s="31" t="s">
        <v>126</v>
      </c>
      <c r="G6275" s="31" t="n">
        <v>21</v>
      </c>
      <c r="H6275" s="41" t="n">
        <v>3.1</v>
      </c>
      <c r="I6275" s="31" t="s">
        <v>149</v>
      </c>
      <c r="J6275" s="31" t="n">
        <v>4</v>
      </c>
      <c r="K6275" s="31" t="s">
        <v>150</v>
      </c>
      <c r="L6275" s="45" t="n">
        <f aca="false">DATE(YEAR(B6275),MONTH(B6275),1)</f>
        <v>46266</v>
      </c>
      <c r="M6275" s="31" t="n">
        <f aca="false">WEEKDAY(B6275,2)</f>
        <v>2</v>
      </c>
      <c r="N6275" s="31" t="str">
        <f aca="false">IF(G6275&lt;=INDEX(Assumptions!$B$15:$B$18,MATCH(E6275,Assumptions!$A$15:$A$18,0)),"Yes","No")</f>
        <v>Yes</v>
      </c>
      <c r="O6275" s="31" t="str">
        <f aca="false">IF(H6275="","Open",IF(H6275&lt;=INDEX(Assumptions!$C$15:$C$18,MATCH(E6275,Assumptions!$A$15:$A$18,0)),"Yes","No"))</f>
        <v>Yes</v>
      </c>
    </row>
    <row r="6276" customFormat="false" ht="15" hidden="false" customHeight="false" outlineLevel="0" collapsed="false">
      <c r="A6276" s="31" t="s">
        <v>6426</v>
      </c>
      <c r="B6276" s="44" t="n">
        <v>46287</v>
      </c>
      <c r="C6276" s="31" t="s">
        <v>60</v>
      </c>
      <c r="D6276" s="31" t="s">
        <v>65</v>
      </c>
      <c r="E6276" s="31" t="s">
        <v>52</v>
      </c>
      <c r="F6276" s="31" t="s">
        <v>120</v>
      </c>
      <c r="G6276" s="31" t="n">
        <v>3</v>
      </c>
      <c r="H6276" s="41"/>
      <c r="I6276" s="31" t="s">
        <v>158</v>
      </c>
      <c r="J6276" s="31"/>
      <c r="K6276" s="31" t="s">
        <v>150</v>
      </c>
      <c r="L6276" s="45" t="n">
        <f aca="false">DATE(YEAR(B6276),MONTH(B6276),1)</f>
        <v>46266</v>
      </c>
      <c r="M6276" s="31" t="n">
        <f aca="false">WEEKDAY(B6276,2)</f>
        <v>2</v>
      </c>
      <c r="N6276" s="31" t="str">
        <f aca="false">IF(G6276&lt;=INDEX(Assumptions!$B$15:$B$18,MATCH(E6276,Assumptions!$A$15:$A$18,0)),"Yes","No")</f>
        <v>Yes</v>
      </c>
      <c r="O6276" s="31" t="str">
        <f aca="false">IF(H6276="","Open",IF(H6276&lt;=INDEX(Assumptions!$C$15:$C$18,MATCH(E6276,Assumptions!$A$15:$A$18,0)),"Yes","No"))</f>
        <v>Open</v>
      </c>
    </row>
    <row r="6277" customFormat="false" ht="15" hidden="false" customHeight="false" outlineLevel="0" collapsed="false">
      <c r="A6277" s="31" t="s">
        <v>6427</v>
      </c>
      <c r="B6277" s="44" t="n">
        <v>46287</v>
      </c>
      <c r="C6277" s="31" t="s">
        <v>58</v>
      </c>
      <c r="D6277" s="31" t="s">
        <v>66</v>
      </c>
      <c r="E6277" s="31" t="s">
        <v>50</v>
      </c>
      <c r="F6277" s="31" t="s">
        <v>135</v>
      </c>
      <c r="G6277" s="31" t="n">
        <v>19</v>
      </c>
      <c r="H6277" s="41" t="n">
        <v>1.6</v>
      </c>
      <c r="I6277" s="31" t="s">
        <v>149</v>
      </c>
      <c r="J6277" s="31"/>
      <c r="K6277" s="31" t="s">
        <v>150</v>
      </c>
      <c r="L6277" s="45" t="n">
        <f aca="false">DATE(YEAR(B6277),MONTH(B6277),1)</f>
        <v>46266</v>
      </c>
      <c r="M6277" s="31" t="n">
        <f aca="false">WEEKDAY(B6277,2)</f>
        <v>2</v>
      </c>
      <c r="N6277" s="31" t="str">
        <f aca="false">IF(G6277&lt;=INDEX(Assumptions!$B$15:$B$18,MATCH(E6277,Assumptions!$A$15:$A$18,0)),"Yes","No")</f>
        <v>Yes</v>
      </c>
      <c r="O6277" s="31" t="str">
        <f aca="false">IF(H6277="","Open",IF(H6277&lt;=INDEX(Assumptions!$C$15:$C$18,MATCH(E6277,Assumptions!$A$15:$A$18,0)),"Yes","No"))</f>
        <v>Yes</v>
      </c>
    </row>
    <row r="6278" customFormat="false" ht="15" hidden="false" customHeight="false" outlineLevel="0" collapsed="false">
      <c r="A6278" s="31" t="s">
        <v>6428</v>
      </c>
      <c r="B6278" s="44" t="n">
        <v>46287</v>
      </c>
      <c r="C6278" s="31" t="s">
        <v>57</v>
      </c>
      <c r="D6278" s="31" t="s">
        <v>66</v>
      </c>
      <c r="E6278" s="31" t="s">
        <v>51</v>
      </c>
      <c r="F6278" s="31" t="s">
        <v>134</v>
      </c>
      <c r="G6278" s="31" t="n">
        <v>2</v>
      </c>
      <c r="H6278" s="41" t="n">
        <v>3.1</v>
      </c>
      <c r="I6278" s="31" t="s">
        <v>149</v>
      </c>
      <c r="J6278" s="31"/>
      <c r="K6278" s="31" t="s">
        <v>153</v>
      </c>
      <c r="L6278" s="45" t="n">
        <f aca="false">DATE(YEAR(B6278),MONTH(B6278),1)</f>
        <v>46266</v>
      </c>
      <c r="M6278" s="31" t="n">
        <f aca="false">WEEKDAY(B6278,2)</f>
        <v>2</v>
      </c>
      <c r="N6278" s="31" t="str">
        <f aca="false">IF(G6278&lt;=INDEX(Assumptions!$B$15:$B$18,MATCH(E6278,Assumptions!$A$15:$A$18,0)),"Yes","No")</f>
        <v>Yes</v>
      </c>
      <c r="O6278" s="31" t="str">
        <f aca="false">IF(H6278="","Open",IF(H6278&lt;=INDEX(Assumptions!$C$15:$C$18,MATCH(E6278,Assumptions!$A$15:$A$18,0)),"Yes","No"))</f>
        <v>Yes</v>
      </c>
    </row>
    <row r="6279" customFormat="false" ht="15" hidden="false" customHeight="false" outlineLevel="0" collapsed="false">
      <c r="A6279" s="31" t="s">
        <v>6429</v>
      </c>
      <c r="B6279" s="44" t="n">
        <v>46287</v>
      </c>
      <c r="C6279" s="31" t="s">
        <v>59</v>
      </c>
      <c r="D6279" s="31" t="s">
        <v>65</v>
      </c>
      <c r="E6279" s="31" t="s">
        <v>52</v>
      </c>
      <c r="F6279" s="31" t="s">
        <v>134</v>
      </c>
      <c r="G6279" s="31" t="n">
        <v>342</v>
      </c>
      <c r="H6279" s="41"/>
      <c r="I6279" s="31" t="s">
        <v>158</v>
      </c>
      <c r="J6279" s="31"/>
      <c r="K6279" s="31" t="s">
        <v>150</v>
      </c>
      <c r="L6279" s="45" t="n">
        <f aca="false">DATE(YEAR(B6279),MONTH(B6279),1)</f>
        <v>46266</v>
      </c>
      <c r="M6279" s="31" t="n">
        <f aca="false">WEEKDAY(B6279,2)</f>
        <v>2</v>
      </c>
      <c r="N6279" s="31" t="str">
        <f aca="false">IF(G6279&lt;=INDEX(Assumptions!$B$15:$B$18,MATCH(E6279,Assumptions!$A$15:$A$18,0)),"Yes","No")</f>
        <v>No</v>
      </c>
      <c r="O6279" s="31" t="str">
        <f aca="false">IF(H6279="","Open",IF(H6279&lt;=INDEX(Assumptions!$C$15:$C$18,MATCH(E6279,Assumptions!$A$15:$A$18,0)),"Yes","No"))</f>
        <v>Open</v>
      </c>
    </row>
    <row r="6280" customFormat="false" ht="15" hidden="false" customHeight="false" outlineLevel="0" collapsed="false">
      <c r="A6280" s="31" t="s">
        <v>6430</v>
      </c>
      <c r="B6280" s="44" t="n">
        <v>46287</v>
      </c>
      <c r="C6280" s="31" t="s">
        <v>58</v>
      </c>
      <c r="D6280" s="31" t="s">
        <v>66</v>
      </c>
      <c r="E6280" s="31" t="s">
        <v>51</v>
      </c>
      <c r="F6280" s="31" t="s">
        <v>121</v>
      </c>
      <c r="G6280" s="31" t="n">
        <v>15</v>
      </c>
      <c r="H6280" s="41"/>
      <c r="I6280" s="31" t="s">
        <v>158</v>
      </c>
      <c r="J6280" s="31"/>
      <c r="K6280" s="31" t="s">
        <v>150</v>
      </c>
      <c r="L6280" s="45" t="n">
        <f aca="false">DATE(YEAR(B6280),MONTH(B6280),1)</f>
        <v>46266</v>
      </c>
      <c r="M6280" s="31" t="n">
        <f aca="false">WEEKDAY(B6280,2)</f>
        <v>2</v>
      </c>
      <c r="N6280" s="31" t="str">
        <f aca="false">IF(G6280&lt;=INDEX(Assumptions!$B$15:$B$18,MATCH(E6280,Assumptions!$A$15:$A$18,0)),"Yes","No")</f>
        <v>Yes</v>
      </c>
      <c r="O6280" s="31" t="str">
        <f aca="false">IF(H6280="","Open",IF(H6280&lt;=INDEX(Assumptions!$C$15:$C$18,MATCH(E6280,Assumptions!$A$15:$A$18,0)),"Yes","No"))</f>
        <v>Open</v>
      </c>
    </row>
    <row r="6281" customFormat="false" ht="15" hidden="false" customHeight="false" outlineLevel="0" collapsed="false">
      <c r="A6281" s="31" t="s">
        <v>6431</v>
      </c>
      <c r="B6281" s="44" t="n">
        <v>46287</v>
      </c>
      <c r="C6281" s="31" t="s">
        <v>58</v>
      </c>
      <c r="D6281" s="31" t="s">
        <v>69</v>
      </c>
      <c r="E6281" s="31" t="s">
        <v>51</v>
      </c>
      <c r="F6281" s="31" t="s">
        <v>131</v>
      </c>
      <c r="G6281" s="31" t="n">
        <v>24</v>
      </c>
      <c r="H6281" s="41"/>
      <c r="I6281" s="31" t="s">
        <v>158</v>
      </c>
      <c r="J6281" s="31"/>
      <c r="K6281" s="31" t="s">
        <v>150</v>
      </c>
      <c r="L6281" s="45" t="n">
        <f aca="false">DATE(YEAR(B6281),MONTH(B6281),1)</f>
        <v>46266</v>
      </c>
      <c r="M6281" s="31" t="n">
        <f aca="false">WEEKDAY(B6281,2)</f>
        <v>2</v>
      </c>
      <c r="N6281" s="31" t="str">
        <f aca="false">IF(G6281&lt;=INDEX(Assumptions!$B$15:$B$18,MATCH(E6281,Assumptions!$A$15:$A$18,0)),"Yes","No")</f>
        <v>Yes</v>
      </c>
      <c r="O6281" s="31" t="str">
        <f aca="false">IF(H6281="","Open",IF(H6281&lt;=INDEX(Assumptions!$C$15:$C$18,MATCH(E6281,Assumptions!$A$15:$A$18,0)),"Yes","No"))</f>
        <v>Open</v>
      </c>
    </row>
    <row r="6282" customFormat="false" ht="15" hidden="false" customHeight="false" outlineLevel="0" collapsed="false">
      <c r="A6282" s="31" t="s">
        <v>6432</v>
      </c>
      <c r="B6282" s="44" t="n">
        <v>46287</v>
      </c>
      <c r="C6282" s="31" t="s">
        <v>58</v>
      </c>
      <c r="D6282" s="31" t="s">
        <v>67</v>
      </c>
      <c r="E6282" s="31" t="s">
        <v>51</v>
      </c>
      <c r="F6282" s="31" t="s">
        <v>131</v>
      </c>
      <c r="G6282" s="31" t="n">
        <v>11</v>
      </c>
      <c r="H6282" s="41"/>
      <c r="I6282" s="31" t="s">
        <v>158</v>
      </c>
      <c r="J6282" s="31"/>
      <c r="K6282" s="31" t="s">
        <v>150</v>
      </c>
      <c r="L6282" s="45" t="n">
        <f aca="false">DATE(YEAR(B6282),MONTH(B6282),1)</f>
        <v>46266</v>
      </c>
      <c r="M6282" s="31" t="n">
        <f aca="false">WEEKDAY(B6282,2)</f>
        <v>2</v>
      </c>
      <c r="N6282" s="31" t="str">
        <f aca="false">IF(G6282&lt;=INDEX(Assumptions!$B$15:$B$18,MATCH(E6282,Assumptions!$A$15:$A$18,0)),"Yes","No")</f>
        <v>Yes</v>
      </c>
      <c r="O6282" s="31" t="str">
        <f aca="false">IF(H6282="","Open",IF(H6282&lt;=INDEX(Assumptions!$C$15:$C$18,MATCH(E6282,Assumptions!$A$15:$A$18,0)),"Yes","No"))</f>
        <v>Open</v>
      </c>
    </row>
    <row r="6283" customFormat="false" ht="15" hidden="false" customHeight="false" outlineLevel="0" collapsed="false">
      <c r="A6283" s="31" t="s">
        <v>6433</v>
      </c>
      <c r="B6283" s="44" t="n">
        <v>46287</v>
      </c>
      <c r="C6283" s="31" t="s">
        <v>57</v>
      </c>
      <c r="D6283" s="31" t="s">
        <v>69</v>
      </c>
      <c r="E6283" s="31" t="s">
        <v>50</v>
      </c>
      <c r="F6283" s="31" t="s">
        <v>131</v>
      </c>
      <c r="G6283" s="31" t="n">
        <v>20</v>
      </c>
      <c r="H6283" s="41"/>
      <c r="I6283" s="31" t="s">
        <v>158</v>
      </c>
      <c r="J6283" s="31"/>
      <c r="K6283" s="31" t="s">
        <v>150</v>
      </c>
      <c r="L6283" s="45" t="n">
        <f aca="false">DATE(YEAR(B6283),MONTH(B6283),1)</f>
        <v>46266</v>
      </c>
      <c r="M6283" s="31" t="n">
        <f aca="false">WEEKDAY(B6283,2)</f>
        <v>2</v>
      </c>
      <c r="N6283" s="31" t="str">
        <f aca="false">IF(G6283&lt;=INDEX(Assumptions!$B$15:$B$18,MATCH(E6283,Assumptions!$A$15:$A$18,0)),"Yes","No")</f>
        <v>Yes</v>
      </c>
      <c r="O6283" s="31" t="str">
        <f aca="false">IF(H6283="","Open",IF(H6283&lt;=INDEX(Assumptions!$C$15:$C$18,MATCH(E6283,Assumptions!$A$15:$A$18,0)),"Yes","No"))</f>
        <v>Open</v>
      </c>
    </row>
    <row r="6284" customFormat="false" ht="15" hidden="false" customHeight="false" outlineLevel="0" collapsed="false">
      <c r="A6284" s="31" t="s">
        <v>6434</v>
      </c>
      <c r="B6284" s="44" t="n">
        <v>46287</v>
      </c>
      <c r="C6284" s="31" t="s">
        <v>59</v>
      </c>
      <c r="D6284" s="31" t="s">
        <v>68</v>
      </c>
      <c r="E6284" s="31" t="s">
        <v>52</v>
      </c>
      <c r="F6284" s="31" t="s">
        <v>131</v>
      </c>
      <c r="G6284" s="31" t="n">
        <v>241</v>
      </c>
      <c r="H6284" s="41"/>
      <c r="I6284" s="31" t="s">
        <v>158</v>
      </c>
      <c r="J6284" s="31"/>
      <c r="K6284" s="31" t="s">
        <v>150</v>
      </c>
      <c r="L6284" s="45" t="n">
        <f aca="false">DATE(YEAR(B6284),MONTH(B6284),1)</f>
        <v>46266</v>
      </c>
      <c r="M6284" s="31" t="n">
        <f aca="false">WEEKDAY(B6284,2)</f>
        <v>2</v>
      </c>
      <c r="N6284" s="31" t="str">
        <f aca="false">IF(G6284&lt;=INDEX(Assumptions!$B$15:$B$18,MATCH(E6284,Assumptions!$A$15:$A$18,0)),"Yes","No")</f>
        <v>No</v>
      </c>
      <c r="O6284" s="31" t="str">
        <f aca="false">IF(H6284="","Open",IF(H6284&lt;=INDEX(Assumptions!$C$15:$C$18,MATCH(E6284,Assumptions!$A$15:$A$18,0)),"Yes","No"))</f>
        <v>Open</v>
      </c>
    </row>
    <row r="6285" customFormat="false" ht="15" hidden="false" customHeight="false" outlineLevel="0" collapsed="false">
      <c r="A6285" s="31" t="s">
        <v>6435</v>
      </c>
      <c r="B6285" s="44" t="n">
        <v>46287</v>
      </c>
      <c r="C6285" s="31" t="s">
        <v>57</v>
      </c>
      <c r="D6285" s="31" t="s">
        <v>66</v>
      </c>
      <c r="E6285" s="31" t="s">
        <v>51</v>
      </c>
      <c r="F6285" s="31" t="s">
        <v>127</v>
      </c>
      <c r="G6285" s="31" t="n">
        <v>2</v>
      </c>
      <c r="H6285" s="41"/>
      <c r="I6285" s="31" t="s">
        <v>158</v>
      </c>
      <c r="J6285" s="31"/>
      <c r="K6285" s="31" t="s">
        <v>150</v>
      </c>
      <c r="L6285" s="45" t="n">
        <f aca="false">DATE(YEAR(B6285),MONTH(B6285),1)</f>
        <v>46266</v>
      </c>
      <c r="M6285" s="31" t="n">
        <f aca="false">WEEKDAY(B6285,2)</f>
        <v>2</v>
      </c>
      <c r="N6285" s="31" t="str">
        <f aca="false">IF(G6285&lt;=INDEX(Assumptions!$B$15:$B$18,MATCH(E6285,Assumptions!$A$15:$A$18,0)),"Yes","No")</f>
        <v>Yes</v>
      </c>
      <c r="O6285" s="31" t="str">
        <f aca="false">IF(H6285="","Open",IF(H6285&lt;=INDEX(Assumptions!$C$15:$C$18,MATCH(E6285,Assumptions!$A$15:$A$18,0)),"Yes","No"))</f>
        <v>Open</v>
      </c>
    </row>
    <row r="6286" customFormat="false" ht="15" hidden="false" customHeight="false" outlineLevel="0" collapsed="false">
      <c r="A6286" s="31" t="s">
        <v>6436</v>
      </c>
      <c r="B6286" s="44" t="n">
        <v>46287</v>
      </c>
      <c r="C6286" s="31" t="s">
        <v>57</v>
      </c>
      <c r="D6286" s="31" t="s">
        <v>65</v>
      </c>
      <c r="E6286" s="31" t="s">
        <v>52</v>
      </c>
      <c r="F6286" s="31" t="s">
        <v>130</v>
      </c>
      <c r="G6286" s="31" t="n">
        <v>6</v>
      </c>
      <c r="H6286" s="41" t="n">
        <v>12.2</v>
      </c>
      <c r="I6286" s="31" t="s">
        <v>149</v>
      </c>
      <c r="J6286" s="31"/>
      <c r="K6286" s="31" t="s">
        <v>150</v>
      </c>
      <c r="L6286" s="45" t="n">
        <f aca="false">DATE(YEAR(B6286),MONTH(B6286),1)</f>
        <v>46266</v>
      </c>
      <c r="M6286" s="31" t="n">
        <f aca="false">WEEKDAY(B6286,2)</f>
        <v>2</v>
      </c>
      <c r="N6286" s="31" t="str">
        <f aca="false">IF(G6286&lt;=INDEX(Assumptions!$B$15:$B$18,MATCH(E6286,Assumptions!$A$15:$A$18,0)),"Yes","No")</f>
        <v>Yes</v>
      </c>
      <c r="O6286" s="31" t="str">
        <f aca="false">IF(H6286="","Open",IF(H6286&lt;=INDEX(Assumptions!$C$15:$C$18,MATCH(E6286,Assumptions!$A$15:$A$18,0)),"Yes","No"))</f>
        <v>Yes</v>
      </c>
    </row>
    <row r="6287" customFormat="false" ht="15" hidden="false" customHeight="false" outlineLevel="0" collapsed="false">
      <c r="A6287" s="31" t="s">
        <v>6437</v>
      </c>
      <c r="B6287" s="44" t="n">
        <v>46287</v>
      </c>
      <c r="C6287" s="31" t="s">
        <v>60</v>
      </c>
      <c r="D6287" s="31" t="s">
        <v>69</v>
      </c>
      <c r="E6287" s="31" t="s">
        <v>50</v>
      </c>
      <c r="F6287" s="31" t="s">
        <v>121</v>
      </c>
      <c r="G6287" s="31" t="n">
        <v>2</v>
      </c>
      <c r="H6287" s="41" t="n">
        <v>11.6</v>
      </c>
      <c r="I6287" s="31" t="s">
        <v>149</v>
      </c>
      <c r="J6287" s="31" t="n">
        <v>4</v>
      </c>
      <c r="K6287" s="31" t="s">
        <v>150</v>
      </c>
      <c r="L6287" s="45" t="n">
        <f aca="false">DATE(YEAR(B6287),MONTH(B6287),1)</f>
        <v>46266</v>
      </c>
      <c r="M6287" s="31" t="n">
        <f aca="false">WEEKDAY(B6287,2)</f>
        <v>2</v>
      </c>
      <c r="N6287" s="31" t="str">
        <f aca="false">IF(G6287&lt;=INDEX(Assumptions!$B$15:$B$18,MATCH(E6287,Assumptions!$A$15:$A$18,0)),"Yes","No")</f>
        <v>Yes</v>
      </c>
      <c r="O6287" s="31" t="str">
        <f aca="false">IF(H6287="","Open",IF(H6287&lt;=INDEX(Assumptions!$C$15:$C$18,MATCH(E6287,Assumptions!$A$15:$A$18,0)),"Yes","No"))</f>
        <v>No</v>
      </c>
    </row>
    <row r="6288" customFormat="false" ht="15" hidden="false" customHeight="false" outlineLevel="0" collapsed="false">
      <c r="A6288" s="31" t="s">
        <v>6438</v>
      </c>
      <c r="B6288" s="44" t="n">
        <v>46287</v>
      </c>
      <c r="C6288" s="31" t="s">
        <v>58</v>
      </c>
      <c r="D6288" s="31" t="s">
        <v>68</v>
      </c>
      <c r="E6288" s="31" t="s">
        <v>51</v>
      </c>
      <c r="F6288" s="31" t="s">
        <v>134</v>
      </c>
      <c r="G6288" s="31" t="n">
        <v>5</v>
      </c>
      <c r="H6288" s="41"/>
      <c r="I6288" s="31" t="s">
        <v>158</v>
      </c>
      <c r="J6288" s="31"/>
      <c r="K6288" s="31" t="s">
        <v>150</v>
      </c>
      <c r="L6288" s="45" t="n">
        <f aca="false">DATE(YEAR(B6288),MONTH(B6288),1)</f>
        <v>46266</v>
      </c>
      <c r="M6288" s="31" t="n">
        <f aca="false">WEEKDAY(B6288,2)</f>
        <v>2</v>
      </c>
      <c r="N6288" s="31" t="str">
        <f aca="false">IF(G6288&lt;=INDEX(Assumptions!$B$15:$B$18,MATCH(E6288,Assumptions!$A$15:$A$18,0)),"Yes","No")</f>
        <v>Yes</v>
      </c>
      <c r="O6288" s="31" t="str">
        <f aca="false">IF(H6288="","Open",IF(H6288&lt;=INDEX(Assumptions!$C$15:$C$18,MATCH(E6288,Assumptions!$A$15:$A$18,0)),"Yes","No"))</f>
        <v>Open</v>
      </c>
    </row>
    <row r="6289" customFormat="false" ht="15" hidden="false" customHeight="false" outlineLevel="0" collapsed="false">
      <c r="A6289" s="31" t="s">
        <v>6439</v>
      </c>
      <c r="B6289" s="44" t="n">
        <v>46287</v>
      </c>
      <c r="C6289" s="31" t="s">
        <v>60</v>
      </c>
      <c r="D6289" s="31" t="s">
        <v>67</v>
      </c>
      <c r="E6289" s="31" t="s">
        <v>52</v>
      </c>
      <c r="F6289" s="31" t="s">
        <v>135</v>
      </c>
      <c r="G6289" s="31" t="n">
        <v>7</v>
      </c>
      <c r="H6289" s="41"/>
      <c r="I6289" s="31" t="s">
        <v>158</v>
      </c>
      <c r="J6289" s="31"/>
      <c r="K6289" s="31" t="s">
        <v>150</v>
      </c>
      <c r="L6289" s="45" t="n">
        <f aca="false">DATE(YEAR(B6289),MONTH(B6289),1)</f>
        <v>46266</v>
      </c>
      <c r="M6289" s="31" t="n">
        <f aca="false">WEEKDAY(B6289,2)</f>
        <v>2</v>
      </c>
      <c r="N6289" s="31" t="str">
        <f aca="false">IF(G6289&lt;=INDEX(Assumptions!$B$15:$B$18,MATCH(E6289,Assumptions!$A$15:$A$18,0)),"Yes","No")</f>
        <v>Yes</v>
      </c>
      <c r="O6289" s="31" t="str">
        <f aca="false">IF(H6289="","Open",IF(H6289&lt;=INDEX(Assumptions!$C$15:$C$18,MATCH(E6289,Assumptions!$A$15:$A$18,0)),"Yes","No"))</f>
        <v>Open</v>
      </c>
    </row>
    <row r="6290" customFormat="false" ht="15" hidden="false" customHeight="false" outlineLevel="0" collapsed="false">
      <c r="A6290" s="31" t="s">
        <v>6440</v>
      </c>
      <c r="B6290" s="44" t="n">
        <v>46287</v>
      </c>
      <c r="C6290" s="31" t="s">
        <v>58</v>
      </c>
      <c r="D6290" s="31" t="s">
        <v>69</v>
      </c>
      <c r="E6290" s="31" t="s">
        <v>52</v>
      </c>
      <c r="F6290" s="31" t="s">
        <v>128</v>
      </c>
      <c r="G6290" s="31" t="n">
        <v>29</v>
      </c>
      <c r="H6290" s="41"/>
      <c r="I6290" s="31" t="s">
        <v>158</v>
      </c>
      <c r="J6290" s="31"/>
      <c r="K6290" s="31" t="s">
        <v>150</v>
      </c>
      <c r="L6290" s="45" t="n">
        <f aca="false">DATE(YEAR(B6290),MONTH(B6290),1)</f>
        <v>46266</v>
      </c>
      <c r="M6290" s="31" t="n">
        <f aca="false">WEEKDAY(B6290,2)</f>
        <v>2</v>
      </c>
      <c r="N6290" s="31" t="str">
        <f aca="false">IF(G6290&lt;=INDEX(Assumptions!$B$15:$B$18,MATCH(E6290,Assumptions!$A$15:$A$18,0)),"Yes","No")</f>
        <v>Yes</v>
      </c>
      <c r="O6290" s="31" t="str">
        <f aca="false">IF(H6290="","Open",IF(H6290&lt;=INDEX(Assumptions!$C$15:$C$18,MATCH(E6290,Assumptions!$A$15:$A$18,0)),"Yes","No"))</f>
        <v>Open</v>
      </c>
    </row>
    <row r="6291" customFormat="false" ht="15" hidden="false" customHeight="false" outlineLevel="0" collapsed="false">
      <c r="A6291" s="31" t="s">
        <v>6441</v>
      </c>
      <c r="B6291" s="44" t="n">
        <v>46287</v>
      </c>
      <c r="C6291" s="31" t="s">
        <v>58</v>
      </c>
      <c r="D6291" s="31" t="s">
        <v>68</v>
      </c>
      <c r="E6291" s="31" t="s">
        <v>51</v>
      </c>
      <c r="F6291" s="31" t="s">
        <v>120</v>
      </c>
      <c r="G6291" s="31" t="n">
        <v>46</v>
      </c>
      <c r="H6291" s="41" t="n">
        <v>7.1</v>
      </c>
      <c r="I6291" s="31" t="s">
        <v>149</v>
      </c>
      <c r="J6291" s="31" t="n">
        <v>4</v>
      </c>
      <c r="K6291" s="31" t="s">
        <v>150</v>
      </c>
      <c r="L6291" s="45" t="n">
        <f aca="false">DATE(YEAR(B6291),MONTH(B6291),1)</f>
        <v>46266</v>
      </c>
      <c r="M6291" s="31" t="n">
        <f aca="false">WEEKDAY(B6291,2)</f>
        <v>2</v>
      </c>
      <c r="N6291" s="31" t="str">
        <f aca="false">IF(G6291&lt;=INDEX(Assumptions!$B$15:$B$18,MATCH(E6291,Assumptions!$A$15:$A$18,0)),"Yes","No")</f>
        <v>Yes</v>
      </c>
      <c r="O6291" s="31" t="str">
        <f aca="false">IF(H6291="","Open",IF(H6291&lt;=INDEX(Assumptions!$C$15:$C$18,MATCH(E6291,Assumptions!$A$15:$A$18,0)),"Yes","No"))</f>
        <v>Yes</v>
      </c>
    </row>
    <row r="6292" customFormat="false" ht="15" hidden="false" customHeight="false" outlineLevel="0" collapsed="false">
      <c r="A6292" s="31" t="s">
        <v>6442</v>
      </c>
      <c r="B6292" s="44" t="n">
        <v>46287</v>
      </c>
      <c r="C6292" s="31" t="s">
        <v>57</v>
      </c>
      <c r="D6292" s="31" t="s">
        <v>65</v>
      </c>
      <c r="E6292" s="31" t="s">
        <v>52</v>
      </c>
      <c r="F6292" s="31" t="s">
        <v>126</v>
      </c>
      <c r="G6292" s="31" t="n">
        <v>7</v>
      </c>
      <c r="H6292" s="41"/>
      <c r="I6292" s="31" t="s">
        <v>158</v>
      </c>
      <c r="J6292" s="31"/>
      <c r="K6292" s="31" t="s">
        <v>150</v>
      </c>
      <c r="L6292" s="45" t="n">
        <f aca="false">DATE(YEAR(B6292),MONTH(B6292),1)</f>
        <v>46266</v>
      </c>
      <c r="M6292" s="31" t="n">
        <f aca="false">WEEKDAY(B6292,2)</f>
        <v>2</v>
      </c>
      <c r="N6292" s="31" t="str">
        <f aca="false">IF(G6292&lt;=INDEX(Assumptions!$B$15:$B$18,MATCH(E6292,Assumptions!$A$15:$A$18,0)),"Yes","No")</f>
        <v>Yes</v>
      </c>
      <c r="O6292" s="31" t="str">
        <f aca="false">IF(H6292="","Open",IF(H6292&lt;=INDEX(Assumptions!$C$15:$C$18,MATCH(E6292,Assumptions!$A$15:$A$18,0)),"Yes","No"))</f>
        <v>Open</v>
      </c>
    </row>
    <row r="6293" customFormat="false" ht="15" hidden="false" customHeight="false" outlineLevel="0" collapsed="false">
      <c r="A6293" s="31" t="s">
        <v>6443</v>
      </c>
      <c r="B6293" s="44" t="n">
        <v>46288</v>
      </c>
      <c r="C6293" s="31" t="s">
        <v>57</v>
      </c>
      <c r="D6293" s="31" t="s">
        <v>66</v>
      </c>
      <c r="E6293" s="31" t="s">
        <v>50</v>
      </c>
      <c r="F6293" s="31" t="s">
        <v>127</v>
      </c>
      <c r="G6293" s="31" t="n">
        <v>1</v>
      </c>
      <c r="H6293" s="41"/>
      <c r="I6293" s="31" t="s">
        <v>158</v>
      </c>
      <c r="J6293" s="31"/>
      <c r="K6293" s="31" t="s">
        <v>150</v>
      </c>
      <c r="L6293" s="45" t="n">
        <f aca="false">DATE(YEAR(B6293),MONTH(B6293),1)</f>
        <v>46266</v>
      </c>
      <c r="M6293" s="31" t="n">
        <f aca="false">WEEKDAY(B6293,2)</f>
        <v>3</v>
      </c>
      <c r="N6293" s="31" t="str">
        <f aca="false">IF(G6293&lt;=INDEX(Assumptions!$B$15:$B$18,MATCH(E6293,Assumptions!$A$15:$A$18,0)),"Yes","No")</f>
        <v>Yes</v>
      </c>
      <c r="O6293" s="31" t="str">
        <f aca="false">IF(H6293="","Open",IF(H6293&lt;=INDEX(Assumptions!$C$15:$C$18,MATCH(E6293,Assumptions!$A$15:$A$18,0)),"Yes","No"))</f>
        <v>Open</v>
      </c>
    </row>
    <row r="6294" customFormat="false" ht="15" hidden="false" customHeight="false" outlineLevel="0" collapsed="false">
      <c r="A6294" s="31" t="s">
        <v>6444</v>
      </c>
      <c r="B6294" s="44" t="n">
        <v>46288</v>
      </c>
      <c r="C6294" s="31" t="s">
        <v>58</v>
      </c>
      <c r="D6294" s="31" t="s">
        <v>67</v>
      </c>
      <c r="E6294" s="31" t="s">
        <v>51</v>
      </c>
      <c r="F6294" s="31" t="s">
        <v>133</v>
      </c>
      <c r="G6294" s="31" t="n">
        <v>13</v>
      </c>
      <c r="H6294" s="41"/>
      <c r="I6294" s="31" t="s">
        <v>158</v>
      </c>
      <c r="J6294" s="31"/>
      <c r="K6294" s="31" t="s">
        <v>150</v>
      </c>
      <c r="L6294" s="45" t="n">
        <f aca="false">DATE(YEAR(B6294),MONTH(B6294),1)</f>
        <v>46266</v>
      </c>
      <c r="M6294" s="31" t="n">
        <f aca="false">WEEKDAY(B6294,2)</f>
        <v>3</v>
      </c>
      <c r="N6294" s="31" t="str">
        <f aca="false">IF(G6294&lt;=INDEX(Assumptions!$B$15:$B$18,MATCH(E6294,Assumptions!$A$15:$A$18,0)),"Yes","No")</f>
        <v>Yes</v>
      </c>
      <c r="O6294" s="31" t="str">
        <f aca="false">IF(H6294="","Open",IF(H6294&lt;=INDEX(Assumptions!$C$15:$C$18,MATCH(E6294,Assumptions!$A$15:$A$18,0)),"Yes","No"))</f>
        <v>Open</v>
      </c>
    </row>
    <row r="6295" customFormat="false" ht="15" hidden="false" customHeight="false" outlineLevel="0" collapsed="false">
      <c r="A6295" s="31" t="s">
        <v>6445</v>
      </c>
      <c r="B6295" s="44" t="n">
        <v>46288</v>
      </c>
      <c r="C6295" s="31" t="s">
        <v>59</v>
      </c>
      <c r="D6295" s="31" t="s">
        <v>67</v>
      </c>
      <c r="E6295" s="31" t="s">
        <v>51</v>
      </c>
      <c r="F6295" s="31" t="s">
        <v>122</v>
      </c>
      <c r="G6295" s="31" t="n">
        <v>80</v>
      </c>
      <c r="H6295" s="41" t="n">
        <v>9.4</v>
      </c>
      <c r="I6295" s="31" t="s">
        <v>149</v>
      </c>
      <c r="J6295" s="31"/>
      <c r="K6295" s="31" t="s">
        <v>150</v>
      </c>
      <c r="L6295" s="45" t="n">
        <f aca="false">DATE(YEAR(B6295),MONTH(B6295),1)</f>
        <v>46266</v>
      </c>
      <c r="M6295" s="31" t="n">
        <f aca="false">WEEKDAY(B6295,2)</f>
        <v>3</v>
      </c>
      <c r="N6295" s="31" t="str">
        <f aca="false">IF(G6295&lt;=INDEX(Assumptions!$B$15:$B$18,MATCH(E6295,Assumptions!$A$15:$A$18,0)),"Yes","No")</f>
        <v>No</v>
      </c>
      <c r="O6295" s="31" t="str">
        <f aca="false">IF(H6295="","Open",IF(H6295&lt;=INDEX(Assumptions!$C$15:$C$18,MATCH(E6295,Assumptions!$A$15:$A$18,0)),"Yes","No"))</f>
        <v>Yes</v>
      </c>
    </row>
    <row r="6296" customFormat="false" ht="15" hidden="false" customHeight="false" outlineLevel="0" collapsed="false">
      <c r="A6296" s="31" t="s">
        <v>6446</v>
      </c>
      <c r="B6296" s="44" t="n">
        <v>46288</v>
      </c>
      <c r="C6296" s="31" t="s">
        <v>57</v>
      </c>
      <c r="D6296" s="31" t="s">
        <v>65</v>
      </c>
      <c r="E6296" s="31" t="s">
        <v>51</v>
      </c>
      <c r="F6296" s="31" t="s">
        <v>123</v>
      </c>
      <c r="G6296" s="31" t="n">
        <v>5</v>
      </c>
      <c r="H6296" s="41" t="n">
        <v>8.2</v>
      </c>
      <c r="I6296" s="31" t="s">
        <v>149</v>
      </c>
      <c r="J6296" s="31"/>
      <c r="K6296" s="31" t="s">
        <v>150</v>
      </c>
      <c r="L6296" s="45" t="n">
        <f aca="false">DATE(YEAR(B6296),MONTH(B6296),1)</f>
        <v>46266</v>
      </c>
      <c r="M6296" s="31" t="n">
        <f aca="false">WEEKDAY(B6296,2)</f>
        <v>3</v>
      </c>
      <c r="N6296" s="31" t="str">
        <f aca="false">IF(G6296&lt;=INDEX(Assumptions!$B$15:$B$18,MATCH(E6296,Assumptions!$A$15:$A$18,0)),"Yes","No")</f>
        <v>Yes</v>
      </c>
      <c r="O6296" s="31" t="str">
        <f aca="false">IF(H6296="","Open",IF(H6296&lt;=INDEX(Assumptions!$C$15:$C$18,MATCH(E6296,Assumptions!$A$15:$A$18,0)),"Yes","No"))</f>
        <v>Yes</v>
      </c>
    </row>
    <row r="6297" customFormat="false" ht="15" hidden="false" customHeight="false" outlineLevel="0" collapsed="false">
      <c r="A6297" s="31" t="s">
        <v>6447</v>
      </c>
      <c r="B6297" s="44" t="n">
        <v>46288</v>
      </c>
      <c r="C6297" s="31" t="s">
        <v>57</v>
      </c>
      <c r="D6297" s="31" t="s">
        <v>65</v>
      </c>
      <c r="E6297" s="31" t="s">
        <v>49</v>
      </c>
      <c r="F6297" s="31" t="s">
        <v>119</v>
      </c>
      <c r="G6297" s="31" t="n">
        <v>2</v>
      </c>
      <c r="H6297" s="41" t="n">
        <v>5.1</v>
      </c>
      <c r="I6297" s="31" t="s">
        <v>149</v>
      </c>
      <c r="J6297" s="31" t="n">
        <v>4</v>
      </c>
      <c r="K6297" s="31" t="s">
        <v>150</v>
      </c>
      <c r="L6297" s="45" t="n">
        <f aca="false">DATE(YEAR(B6297),MONTH(B6297),1)</f>
        <v>46266</v>
      </c>
      <c r="M6297" s="31" t="n">
        <f aca="false">WEEKDAY(B6297,2)</f>
        <v>3</v>
      </c>
      <c r="N6297" s="31" t="str">
        <f aca="false">IF(G6297&lt;=INDEX(Assumptions!$B$15:$B$18,MATCH(E6297,Assumptions!$A$15:$A$18,0)),"Yes","No")</f>
        <v>Yes</v>
      </c>
      <c r="O6297" s="31" t="str">
        <f aca="false">IF(H6297="","Open",IF(H6297&lt;=INDEX(Assumptions!$C$15:$C$18,MATCH(E6297,Assumptions!$A$15:$A$18,0)),"Yes","No"))</f>
        <v>No</v>
      </c>
    </row>
    <row r="6298" customFormat="false" ht="15" hidden="false" customHeight="false" outlineLevel="0" collapsed="false">
      <c r="A6298" s="31" t="s">
        <v>6448</v>
      </c>
      <c r="B6298" s="44" t="n">
        <v>46288</v>
      </c>
      <c r="C6298" s="31" t="s">
        <v>58</v>
      </c>
      <c r="D6298" s="31" t="s">
        <v>65</v>
      </c>
      <c r="E6298" s="31" t="s">
        <v>51</v>
      </c>
      <c r="F6298" s="31" t="s">
        <v>121</v>
      </c>
      <c r="G6298" s="31" t="n">
        <v>5</v>
      </c>
      <c r="H6298" s="41" t="n">
        <v>5.6</v>
      </c>
      <c r="I6298" s="31" t="s">
        <v>149</v>
      </c>
      <c r="J6298" s="31" t="n">
        <v>4</v>
      </c>
      <c r="K6298" s="31" t="s">
        <v>150</v>
      </c>
      <c r="L6298" s="45" t="n">
        <f aca="false">DATE(YEAR(B6298),MONTH(B6298),1)</f>
        <v>46266</v>
      </c>
      <c r="M6298" s="31" t="n">
        <f aca="false">WEEKDAY(B6298,2)</f>
        <v>3</v>
      </c>
      <c r="N6298" s="31" t="str">
        <f aca="false">IF(G6298&lt;=INDEX(Assumptions!$B$15:$B$18,MATCH(E6298,Assumptions!$A$15:$A$18,0)),"Yes","No")</f>
        <v>Yes</v>
      </c>
      <c r="O6298" s="31" t="str">
        <f aca="false">IF(H6298="","Open",IF(H6298&lt;=INDEX(Assumptions!$C$15:$C$18,MATCH(E6298,Assumptions!$A$15:$A$18,0)),"Yes","No"))</f>
        <v>Yes</v>
      </c>
    </row>
    <row r="6299" customFormat="false" ht="15" hidden="false" customHeight="false" outlineLevel="0" collapsed="false">
      <c r="A6299" s="31" t="s">
        <v>6449</v>
      </c>
      <c r="B6299" s="44" t="n">
        <v>46288</v>
      </c>
      <c r="C6299" s="31" t="s">
        <v>57</v>
      </c>
      <c r="D6299" s="31" t="s">
        <v>65</v>
      </c>
      <c r="E6299" s="31" t="s">
        <v>52</v>
      </c>
      <c r="F6299" s="31" t="s">
        <v>123</v>
      </c>
      <c r="G6299" s="31" t="n">
        <v>8</v>
      </c>
      <c r="H6299" s="41"/>
      <c r="I6299" s="31" t="s">
        <v>158</v>
      </c>
      <c r="J6299" s="31"/>
      <c r="K6299" s="31" t="s">
        <v>150</v>
      </c>
      <c r="L6299" s="45" t="n">
        <f aca="false">DATE(YEAR(B6299),MONTH(B6299),1)</f>
        <v>46266</v>
      </c>
      <c r="M6299" s="31" t="n">
        <f aca="false">WEEKDAY(B6299,2)</f>
        <v>3</v>
      </c>
      <c r="N6299" s="31" t="str">
        <f aca="false">IF(G6299&lt;=INDEX(Assumptions!$B$15:$B$18,MATCH(E6299,Assumptions!$A$15:$A$18,0)),"Yes","No")</f>
        <v>Yes</v>
      </c>
      <c r="O6299" s="31" t="str">
        <f aca="false">IF(H6299="","Open",IF(H6299&lt;=INDEX(Assumptions!$C$15:$C$18,MATCH(E6299,Assumptions!$A$15:$A$18,0)),"Yes","No"))</f>
        <v>Open</v>
      </c>
    </row>
    <row r="6300" customFormat="false" ht="15" hidden="false" customHeight="false" outlineLevel="0" collapsed="false">
      <c r="A6300" s="31" t="s">
        <v>6450</v>
      </c>
      <c r="B6300" s="44" t="n">
        <v>46288</v>
      </c>
      <c r="C6300" s="31" t="s">
        <v>58</v>
      </c>
      <c r="D6300" s="31" t="s">
        <v>69</v>
      </c>
      <c r="E6300" s="31" t="s">
        <v>50</v>
      </c>
      <c r="F6300" s="31" t="s">
        <v>135</v>
      </c>
      <c r="G6300" s="31" t="n">
        <v>10</v>
      </c>
      <c r="H6300" s="41"/>
      <c r="I6300" s="31" t="s">
        <v>158</v>
      </c>
      <c r="J6300" s="31"/>
      <c r="K6300" s="31" t="s">
        <v>150</v>
      </c>
      <c r="L6300" s="45" t="n">
        <f aca="false">DATE(YEAR(B6300),MONTH(B6300),1)</f>
        <v>46266</v>
      </c>
      <c r="M6300" s="31" t="n">
        <f aca="false">WEEKDAY(B6300,2)</f>
        <v>3</v>
      </c>
      <c r="N6300" s="31" t="str">
        <f aca="false">IF(G6300&lt;=INDEX(Assumptions!$B$15:$B$18,MATCH(E6300,Assumptions!$A$15:$A$18,0)),"Yes","No")</f>
        <v>Yes</v>
      </c>
      <c r="O6300" s="31" t="str">
        <f aca="false">IF(H6300="","Open",IF(H6300&lt;=INDEX(Assumptions!$C$15:$C$18,MATCH(E6300,Assumptions!$A$15:$A$18,0)),"Yes","No"))</f>
        <v>Open</v>
      </c>
    </row>
    <row r="6301" customFormat="false" ht="15" hidden="false" customHeight="false" outlineLevel="0" collapsed="false">
      <c r="A6301" s="31" t="s">
        <v>6451</v>
      </c>
      <c r="B6301" s="44" t="n">
        <v>46288</v>
      </c>
      <c r="C6301" s="31" t="s">
        <v>60</v>
      </c>
      <c r="D6301" s="31" t="s">
        <v>67</v>
      </c>
      <c r="E6301" s="31" t="s">
        <v>51</v>
      </c>
      <c r="F6301" s="31" t="s">
        <v>136</v>
      </c>
      <c r="G6301" s="31" t="n">
        <v>9</v>
      </c>
      <c r="H6301" s="41" t="n">
        <v>120.7</v>
      </c>
      <c r="I6301" s="31" t="s">
        <v>64</v>
      </c>
      <c r="J6301" s="31" t="n">
        <v>2</v>
      </c>
      <c r="K6301" s="31" t="s">
        <v>150</v>
      </c>
      <c r="L6301" s="45" t="n">
        <f aca="false">DATE(YEAR(B6301),MONTH(B6301),1)</f>
        <v>46266</v>
      </c>
      <c r="M6301" s="31" t="n">
        <f aca="false">WEEKDAY(B6301,2)</f>
        <v>3</v>
      </c>
      <c r="N6301" s="31" t="str">
        <f aca="false">IF(G6301&lt;=INDEX(Assumptions!$B$15:$B$18,MATCH(E6301,Assumptions!$A$15:$A$18,0)),"Yes","No")</f>
        <v>Yes</v>
      </c>
      <c r="O6301" s="31" t="str">
        <f aca="false">IF(H6301="","Open",IF(H6301&lt;=INDEX(Assumptions!$C$15:$C$18,MATCH(E6301,Assumptions!$A$15:$A$18,0)),"Yes","No"))</f>
        <v>No</v>
      </c>
    </row>
    <row r="6302" customFormat="false" ht="15" hidden="false" customHeight="false" outlineLevel="0" collapsed="false">
      <c r="A6302" s="31" t="s">
        <v>6452</v>
      </c>
      <c r="B6302" s="44" t="n">
        <v>46288</v>
      </c>
      <c r="C6302" s="31" t="s">
        <v>58</v>
      </c>
      <c r="D6302" s="31" t="s">
        <v>67</v>
      </c>
      <c r="E6302" s="31" t="s">
        <v>52</v>
      </c>
      <c r="F6302" s="31" t="s">
        <v>128</v>
      </c>
      <c r="G6302" s="31" t="n">
        <v>18</v>
      </c>
      <c r="H6302" s="41" t="n">
        <v>22.9</v>
      </c>
      <c r="I6302" s="31" t="s">
        <v>149</v>
      </c>
      <c r="J6302" s="31" t="n">
        <v>4</v>
      </c>
      <c r="K6302" s="31" t="s">
        <v>150</v>
      </c>
      <c r="L6302" s="45" t="n">
        <f aca="false">DATE(YEAR(B6302),MONTH(B6302),1)</f>
        <v>46266</v>
      </c>
      <c r="M6302" s="31" t="n">
        <f aca="false">WEEKDAY(B6302,2)</f>
        <v>3</v>
      </c>
      <c r="N6302" s="31" t="str">
        <f aca="false">IF(G6302&lt;=INDEX(Assumptions!$B$15:$B$18,MATCH(E6302,Assumptions!$A$15:$A$18,0)),"Yes","No")</f>
        <v>Yes</v>
      </c>
      <c r="O6302" s="31" t="str">
        <f aca="false">IF(H6302="","Open",IF(H6302&lt;=INDEX(Assumptions!$C$15:$C$18,MATCH(E6302,Assumptions!$A$15:$A$18,0)),"Yes","No"))</f>
        <v>Yes</v>
      </c>
    </row>
    <row r="6303" customFormat="false" ht="15" hidden="false" customHeight="false" outlineLevel="0" collapsed="false">
      <c r="A6303" s="31" t="s">
        <v>6453</v>
      </c>
      <c r="B6303" s="44" t="n">
        <v>46288</v>
      </c>
      <c r="C6303" s="31" t="s">
        <v>60</v>
      </c>
      <c r="D6303" s="31" t="s">
        <v>65</v>
      </c>
      <c r="E6303" s="31" t="s">
        <v>52</v>
      </c>
      <c r="F6303" s="31" t="s">
        <v>117</v>
      </c>
      <c r="G6303" s="31" t="n">
        <v>2</v>
      </c>
      <c r="H6303" s="41"/>
      <c r="I6303" s="31" t="s">
        <v>158</v>
      </c>
      <c r="J6303" s="31"/>
      <c r="K6303" s="31" t="s">
        <v>150</v>
      </c>
      <c r="L6303" s="45" t="n">
        <f aca="false">DATE(YEAR(B6303),MONTH(B6303),1)</f>
        <v>46266</v>
      </c>
      <c r="M6303" s="31" t="n">
        <f aca="false">WEEKDAY(B6303,2)</f>
        <v>3</v>
      </c>
      <c r="N6303" s="31" t="str">
        <f aca="false">IF(G6303&lt;=INDEX(Assumptions!$B$15:$B$18,MATCH(E6303,Assumptions!$A$15:$A$18,0)),"Yes","No")</f>
        <v>Yes</v>
      </c>
      <c r="O6303" s="31" t="str">
        <f aca="false">IF(H6303="","Open",IF(H6303&lt;=INDEX(Assumptions!$C$15:$C$18,MATCH(E6303,Assumptions!$A$15:$A$18,0)),"Yes","No"))</f>
        <v>Open</v>
      </c>
    </row>
    <row r="6304" customFormat="false" ht="15" hidden="false" customHeight="false" outlineLevel="0" collapsed="false">
      <c r="A6304" s="31" t="s">
        <v>6454</v>
      </c>
      <c r="B6304" s="44" t="n">
        <v>46288</v>
      </c>
      <c r="C6304" s="31" t="s">
        <v>58</v>
      </c>
      <c r="D6304" s="31" t="s">
        <v>66</v>
      </c>
      <c r="E6304" s="31" t="s">
        <v>52</v>
      </c>
      <c r="F6304" s="31" t="s">
        <v>135</v>
      </c>
      <c r="G6304" s="31" t="n">
        <v>54</v>
      </c>
      <c r="H6304" s="41" t="n">
        <v>7.7</v>
      </c>
      <c r="I6304" s="31" t="s">
        <v>149</v>
      </c>
      <c r="J6304" s="31"/>
      <c r="K6304" s="31" t="s">
        <v>150</v>
      </c>
      <c r="L6304" s="45" t="n">
        <f aca="false">DATE(YEAR(B6304),MONTH(B6304),1)</f>
        <v>46266</v>
      </c>
      <c r="M6304" s="31" t="n">
        <f aca="false">WEEKDAY(B6304,2)</f>
        <v>3</v>
      </c>
      <c r="N6304" s="31" t="str">
        <f aca="false">IF(G6304&lt;=INDEX(Assumptions!$B$15:$B$18,MATCH(E6304,Assumptions!$A$15:$A$18,0)),"Yes","No")</f>
        <v>Yes</v>
      </c>
      <c r="O6304" s="31" t="str">
        <f aca="false">IF(H6304="","Open",IF(H6304&lt;=INDEX(Assumptions!$C$15:$C$18,MATCH(E6304,Assumptions!$A$15:$A$18,0)),"Yes","No"))</f>
        <v>Yes</v>
      </c>
    </row>
    <row r="6305" customFormat="false" ht="15" hidden="false" customHeight="false" outlineLevel="0" collapsed="false">
      <c r="A6305" s="31" t="s">
        <v>6455</v>
      </c>
      <c r="B6305" s="44" t="n">
        <v>46288</v>
      </c>
      <c r="C6305" s="31" t="s">
        <v>59</v>
      </c>
      <c r="D6305" s="31" t="s">
        <v>65</v>
      </c>
      <c r="E6305" s="31" t="s">
        <v>52</v>
      </c>
      <c r="F6305" s="31" t="s">
        <v>136</v>
      </c>
      <c r="G6305" s="31" t="n">
        <v>346</v>
      </c>
      <c r="H6305" s="41" t="n">
        <v>13.7</v>
      </c>
      <c r="I6305" s="31" t="s">
        <v>64</v>
      </c>
      <c r="J6305" s="31"/>
      <c r="K6305" s="31" t="s">
        <v>153</v>
      </c>
      <c r="L6305" s="45" t="n">
        <f aca="false">DATE(YEAR(B6305),MONTH(B6305),1)</f>
        <v>46266</v>
      </c>
      <c r="M6305" s="31" t="n">
        <f aca="false">WEEKDAY(B6305,2)</f>
        <v>3</v>
      </c>
      <c r="N6305" s="31" t="str">
        <f aca="false">IF(G6305&lt;=INDEX(Assumptions!$B$15:$B$18,MATCH(E6305,Assumptions!$A$15:$A$18,0)),"Yes","No")</f>
        <v>No</v>
      </c>
      <c r="O6305" s="31" t="str">
        <f aca="false">IF(H6305="","Open",IF(H6305&lt;=INDEX(Assumptions!$C$15:$C$18,MATCH(E6305,Assumptions!$A$15:$A$18,0)),"Yes","No"))</f>
        <v>Yes</v>
      </c>
    </row>
    <row r="6306" customFormat="false" ht="15" hidden="false" customHeight="false" outlineLevel="0" collapsed="false">
      <c r="A6306" s="31" t="s">
        <v>6456</v>
      </c>
      <c r="B6306" s="44" t="n">
        <v>46288</v>
      </c>
      <c r="C6306" s="31" t="s">
        <v>58</v>
      </c>
      <c r="D6306" s="31" t="s">
        <v>66</v>
      </c>
      <c r="E6306" s="31" t="s">
        <v>52</v>
      </c>
      <c r="F6306" s="31" t="s">
        <v>134</v>
      </c>
      <c r="G6306" s="31" t="n">
        <v>16</v>
      </c>
      <c r="H6306" s="41" t="n">
        <v>3.3</v>
      </c>
      <c r="I6306" s="31" t="s">
        <v>149</v>
      </c>
      <c r="J6306" s="31" t="n">
        <v>4</v>
      </c>
      <c r="K6306" s="31" t="s">
        <v>150</v>
      </c>
      <c r="L6306" s="45" t="n">
        <f aca="false">DATE(YEAR(B6306),MONTH(B6306),1)</f>
        <v>46266</v>
      </c>
      <c r="M6306" s="31" t="n">
        <f aca="false">WEEKDAY(B6306,2)</f>
        <v>3</v>
      </c>
      <c r="N6306" s="31" t="str">
        <f aca="false">IF(G6306&lt;=INDEX(Assumptions!$B$15:$B$18,MATCH(E6306,Assumptions!$A$15:$A$18,0)),"Yes","No")</f>
        <v>Yes</v>
      </c>
      <c r="O6306" s="31" t="str">
        <f aca="false">IF(H6306="","Open",IF(H6306&lt;=INDEX(Assumptions!$C$15:$C$18,MATCH(E6306,Assumptions!$A$15:$A$18,0)),"Yes","No"))</f>
        <v>Yes</v>
      </c>
    </row>
    <row r="6307" customFormat="false" ht="15" hidden="false" customHeight="false" outlineLevel="0" collapsed="false">
      <c r="A6307" s="31" t="s">
        <v>6457</v>
      </c>
      <c r="B6307" s="44" t="n">
        <v>46288</v>
      </c>
      <c r="C6307" s="31" t="s">
        <v>58</v>
      </c>
      <c r="D6307" s="31" t="s">
        <v>69</v>
      </c>
      <c r="E6307" s="31" t="s">
        <v>52</v>
      </c>
      <c r="F6307" s="31" t="s">
        <v>126</v>
      </c>
      <c r="G6307" s="31" t="n">
        <v>9</v>
      </c>
      <c r="H6307" s="41" t="n">
        <v>91.5</v>
      </c>
      <c r="I6307" s="31" t="s">
        <v>64</v>
      </c>
      <c r="J6307" s="31"/>
      <c r="K6307" s="31" t="s">
        <v>153</v>
      </c>
      <c r="L6307" s="45" t="n">
        <f aca="false">DATE(YEAR(B6307),MONTH(B6307),1)</f>
        <v>46266</v>
      </c>
      <c r="M6307" s="31" t="n">
        <f aca="false">WEEKDAY(B6307,2)</f>
        <v>3</v>
      </c>
      <c r="N6307" s="31" t="str">
        <f aca="false">IF(G6307&lt;=INDEX(Assumptions!$B$15:$B$18,MATCH(E6307,Assumptions!$A$15:$A$18,0)),"Yes","No")</f>
        <v>Yes</v>
      </c>
      <c r="O6307" s="31" t="str">
        <f aca="false">IF(H6307="","Open",IF(H6307&lt;=INDEX(Assumptions!$C$15:$C$18,MATCH(E6307,Assumptions!$A$15:$A$18,0)),"Yes","No"))</f>
        <v>No</v>
      </c>
    </row>
    <row r="6308" customFormat="false" ht="15" hidden="false" customHeight="false" outlineLevel="0" collapsed="false">
      <c r="A6308" s="31" t="s">
        <v>6458</v>
      </c>
      <c r="B6308" s="44" t="n">
        <v>46288</v>
      </c>
      <c r="C6308" s="31" t="s">
        <v>60</v>
      </c>
      <c r="D6308" s="31" t="s">
        <v>67</v>
      </c>
      <c r="E6308" s="31" t="s">
        <v>51</v>
      </c>
      <c r="F6308" s="31" t="s">
        <v>131</v>
      </c>
      <c r="G6308" s="31" t="n">
        <v>3</v>
      </c>
      <c r="H6308" s="41" t="n">
        <v>15</v>
      </c>
      <c r="I6308" s="31" t="s">
        <v>149</v>
      </c>
      <c r="J6308" s="31" t="n">
        <v>4</v>
      </c>
      <c r="K6308" s="31" t="s">
        <v>150</v>
      </c>
      <c r="L6308" s="45" t="n">
        <f aca="false">DATE(YEAR(B6308),MONTH(B6308),1)</f>
        <v>46266</v>
      </c>
      <c r="M6308" s="31" t="n">
        <f aca="false">WEEKDAY(B6308,2)</f>
        <v>3</v>
      </c>
      <c r="N6308" s="31" t="str">
        <f aca="false">IF(G6308&lt;=INDEX(Assumptions!$B$15:$B$18,MATCH(E6308,Assumptions!$A$15:$A$18,0)),"Yes","No")</f>
        <v>Yes</v>
      </c>
      <c r="O6308" s="31" t="str">
        <f aca="false">IF(H6308="","Open",IF(H6308&lt;=INDEX(Assumptions!$C$15:$C$18,MATCH(E6308,Assumptions!$A$15:$A$18,0)),"Yes","No"))</f>
        <v>Yes</v>
      </c>
    </row>
    <row r="6309" customFormat="false" ht="15" hidden="false" customHeight="false" outlineLevel="0" collapsed="false">
      <c r="A6309" s="31" t="s">
        <v>6459</v>
      </c>
      <c r="B6309" s="44" t="n">
        <v>46288</v>
      </c>
      <c r="C6309" s="31" t="s">
        <v>59</v>
      </c>
      <c r="D6309" s="31" t="s">
        <v>66</v>
      </c>
      <c r="E6309" s="31" t="s">
        <v>51</v>
      </c>
      <c r="F6309" s="31" t="s">
        <v>119</v>
      </c>
      <c r="G6309" s="31" t="n">
        <v>125</v>
      </c>
      <c r="H6309" s="41"/>
      <c r="I6309" s="31" t="s">
        <v>158</v>
      </c>
      <c r="J6309" s="31"/>
      <c r="K6309" s="31" t="s">
        <v>150</v>
      </c>
      <c r="L6309" s="45" t="n">
        <f aca="false">DATE(YEAR(B6309),MONTH(B6309),1)</f>
        <v>46266</v>
      </c>
      <c r="M6309" s="31" t="n">
        <f aca="false">WEEKDAY(B6309,2)</f>
        <v>3</v>
      </c>
      <c r="N6309" s="31" t="str">
        <f aca="false">IF(G6309&lt;=INDEX(Assumptions!$B$15:$B$18,MATCH(E6309,Assumptions!$A$15:$A$18,0)),"Yes","No")</f>
        <v>No</v>
      </c>
      <c r="O6309" s="31" t="str">
        <f aca="false">IF(H6309="","Open",IF(H6309&lt;=INDEX(Assumptions!$C$15:$C$18,MATCH(E6309,Assumptions!$A$15:$A$18,0)),"Yes","No"))</f>
        <v>Open</v>
      </c>
    </row>
    <row r="6310" customFormat="false" ht="15" hidden="false" customHeight="false" outlineLevel="0" collapsed="false">
      <c r="A6310" s="31" t="s">
        <v>6460</v>
      </c>
      <c r="B6310" s="44" t="n">
        <v>46288</v>
      </c>
      <c r="C6310" s="31" t="s">
        <v>57</v>
      </c>
      <c r="D6310" s="31" t="s">
        <v>65</v>
      </c>
      <c r="E6310" s="31" t="s">
        <v>49</v>
      </c>
      <c r="F6310" s="31" t="s">
        <v>136</v>
      </c>
      <c r="G6310" s="31" t="n">
        <v>4</v>
      </c>
      <c r="H6310" s="41" t="n">
        <v>4.5</v>
      </c>
      <c r="I6310" s="31" t="s">
        <v>149</v>
      </c>
      <c r="J6310" s="31" t="n">
        <v>3</v>
      </c>
      <c r="K6310" s="31" t="s">
        <v>150</v>
      </c>
      <c r="L6310" s="45" t="n">
        <f aca="false">DATE(YEAR(B6310),MONTH(B6310),1)</f>
        <v>46266</v>
      </c>
      <c r="M6310" s="31" t="n">
        <f aca="false">WEEKDAY(B6310,2)</f>
        <v>3</v>
      </c>
      <c r="N6310" s="31" t="str">
        <f aca="false">IF(G6310&lt;=INDEX(Assumptions!$B$15:$B$18,MATCH(E6310,Assumptions!$A$15:$A$18,0)),"Yes","No")</f>
        <v>Yes</v>
      </c>
      <c r="O6310" s="31" t="str">
        <f aca="false">IF(H6310="","Open",IF(H6310&lt;=INDEX(Assumptions!$C$15:$C$18,MATCH(E6310,Assumptions!$A$15:$A$18,0)),"Yes","No"))</f>
        <v>No</v>
      </c>
    </row>
    <row r="6311" customFormat="false" ht="15" hidden="false" customHeight="false" outlineLevel="0" collapsed="false">
      <c r="A6311" s="31" t="s">
        <v>6461</v>
      </c>
      <c r="B6311" s="44" t="n">
        <v>46288</v>
      </c>
      <c r="C6311" s="31" t="s">
        <v>58</v>
      </c>
      <c r="D6311" s="31" t="s">
        <v>65</v>
      </c>
      <c r="E6311" s="31" t="s">
        <v>52</v>
      </c>
      <c r="F6311" s="31" t="s">
        <v>133</v>
      </c>
      <c r="G6311" s="31" t="n">
        <v>15</v>
      </c>
      <c r="H6311" s="41"/>
      <c r="I6311" s="31" t="s">
        <v>158</v>
      </c>
      <c r="J6311" s="31"/>
      <c r="K6311" s="31" t="s">
        <v>150</v>
      </c>
      <c r="L6311" s="45" t="n">
        <f aca="false">DATE(YEAR(B6311),MONTH(B6311),1)</f>
        <v>46266</v>
      </c>
      <c r="M6311" s="31" t="n">
        <f aca="false">WEEKDAY(B6311,2)</f>
        <v>3</v>
      </c>
      <c r="N6311" s="31" t="str">
        <f aca="false">IF(G6311&lt;=INDEX(Assumptions!$B$15:$B$18,MATCH(E6311,Assumptions!$A$15:$A$18,0)),"Yes","No")</f>
        <v>Yes</v>
      </c>
      <c r="O6311" s="31" t="str">
        <f aca="false">IF(H6311="","Open",IF(H6311&lt;=INDEX(Assumptions!$C$15:$C$18,MATCH(E6311,Assumptions!$A$15:$A$18,0)),"Yes","No"))</f>
        <v>Open</v>
      </c>
    </row>
    <row r="6312" customFormat="false" ht="15" hidden="false" customHeight="false" outlineLevel="0" collapsed="false">
      <c r="A6312" s="31" t="s">
        <v>6462</v>
      </c>
      <c r="B6312" s="44" t="n">
        <v>46288</v>
      </c>
      <c r="C6312" s="31" t="s">
        <v>60</v>
      </c>
      <c r="D6312" s="31" t="s">
        <v>66</v>
      </c>
      <c r="E6312" s="31" t="s">
        <v>49</v>
      </c>
      <c r="F6312" s="31" t="s">
        <v>131</v>
      </c>
      <c r="G6312" s="31" t="n">
        <v>1</v>
      </c>
      <c r="H6312" s="41"/>
      <c r="I6312" s="31" t="s">
        <v>158</v>
      </c>
      <c r="J6312" s="31"/>
      <c r="K6312" s="31" t="s">
        <v>150</v>
      </c>
      <c r="L6312" s="45" t="n">
        <f aca="false">DATE(YEAR(B6312),MONTH(B6312),1)</f>
        <v>46266</v>
      </c>
      <c r="M6312" s="31" t="n">
        <f aca="false">WEEKDAY(B6312,2)</f>
        <v>3</v>
      </c>
      <c r="N6312" s="31" t="str">
        <f aca="false">IF(G6312&lt;=INDEX(Assumptions!$B$15:$B$18,MATCH(E6312,Assumptions!$A$15:$A$18,0)),"Yes","No")</f>
        <v>Yes</v>
      </c>
      <c r="O6312" s="31" t="str">
        <f aca="false">IF(H6312="","Open",IF(H6312&lt;=INDEX(Assumptions!$C$15:$C$18,MATCH(E6312,Assumptions!$A$15:$A$18,0)),"Yes","No"))</f>
        <v>Open</v>
      </c>
    </row>
    <row r="6313" customFormat="false" ht="15" hidden="false" customHeight="false" outlineLevel="0" collapsed="false">
      <c r="A6313" s="31" t="s">
        <v>6463</v>
      </c>
      <c r="B6313" s="44" t="n">
        <v>46288</v>
      </c>
      <c r="C6313" s="31" t="s">
        <v>59</v>
      </c>
      <c r="D6313" s="31" t="s">
        <v>65</v>
      </c>
      <c r="E6313" s="31" t="s">
        <v>52</v>
      </c>
      <c r="F6313" s="31" t="s">
        <v>117</v>
      </c>
      <c r="G6313" s="31" t="n">
        <v>28</v>
      </c>
      <c r="H6313" s="41" t="n">
        <v>20</v>
      </c>
      <c r="I6313" s="31" t="s">
        <v>149</v>
      </c>
      <c r="J6313" s="31" t="n">
        <v>4</v>
      </c>
      <c r="K6313" s="31" t="s">
        <v>150</v>
      </c>
      <c r="L6313" s="45" t="n">
        <f aca="false">DATE(YEAR(B6313),MONTH(B6313),1)</f>
        <v>46266</v>
      </c>
      <c r="M6313" s="31" t="n">
        <f aca="false">WEEKDAY(B6313,2)</f>
        <v>3</v>
      </c>
      <c r="N6313" s="31" t="str">
        <f aca="false">IF(G6313&lt;=INDEX(Assumptions!$B$15:$B$18,MATCH(E6313,Assumptions!$A$15:$A$18,0)),"Yes","No")</f>
        <v>Yes</v>
      </c>
      <c r="O6313" s="31" t="str">
        <f aca="false">IF(H6313="","Open",IF(H6313&lt;=INDEX(Assumptions!$C$15:$C$18,MATCH(E6313,Assumptions!$A$15:$A$18,0)),"Yes","No"))</f>
        <v>Yes</v>
      </c>
    </row>
    <row r="6314" customFormat="false" ht="15" hidden="false" customHeight="false" outlineLevel="0" collapsed="false">
      <c r="A6314" s="31" t="s">
        <v>6464</v>
      </c>
      <c r="B6314" s="44" t="n">
        <v>46288</v>
      </c>
      <c r="C6314" s="31" t="s">
        <v>59</v>
      </c>
      <c r="D6314" s="31" t="s">
        <v>65</v>
      </c>
      <c r="E6314" s="31" t="s">
        <v>51</v>
      </c>
      <c r="F6314" s="31" t="s">
        <v>124</v>
      </c>
      <c r="G6314" s="31" t="n">
        <v>34</v>
      </c>
      <c r="H6314" s="41" t="n">
        <v>21.6</v>
      </c>
      <c r="I6314" s="31" t="s">
        <v>149</v>
      </c>
      <c r="J6314" s="31" t="n">
        <v>5</v>
      </c>
      <c r="K6314" s="31" t="s">
        <v>150</v>
      </c>
      <c r="L6314" s="45" t="n">
        <f aca="false">DATE(YEAR(B6314),MONTH(B6314),1)</f>
        <v>46266</v>
      </c>
      <c r="M6314" s="31" t="n">
        <f aca="false">WEEKDAY(B6314,2)</f>
        <v>3</v>
      </c>
      <c r="N6314" s="31" t="str">
        <f aca="false">IF(G6314&lt;=INDEX(Assumptions!$B$15:$B$18,MATCH(E6314,Assumptions!$A$15:$A$18,0)),"Yes","No")</f>
        <v>Yes</v>
      </c>
      <c r="O6314" s="31" t="str">
        <f aca="false">IF(H6314="","Open",IF(H6314&lt;=INDEX(Assumptions!$C$15:$C$18,MATCH(E6314,Assumptions!$A$15:$A$18,0)),"Yes","No"))</f>
        <v>Yes</v>
      </c>
    </row>
    <row r="6315" customFormat="false" ht="15" hidden="false" customHeight="false" outlineLevel="0" collapsed="false">
      <c r="A6315" s="31" t="s">
        <v>6465</v>
      </c>
      <c r="B6315" s="44" t="n">
        <v>46288</v>
      </c>
      <c r="C6315" s="31" t="s">
        <v>58</v>
      </c>
      <c r="D6315" s="31" t="s">
        <v>66</v>
      </c>
      <c r="E6315" s="31" t="s">
        <v>50</v>
      </c>
      <c r="F6315" s="31" t="s">
        <v>134</v>
      </c>
      <c r="G6315" s="31" t="n">
        <v>13</v>
      </c>
      <c r="H6315" s="41"/>
      <c r="I6315" s="31" t="s">
        <v>158</v>
      </c>
      <c r="J6315" s="31"/>
      <c r="K6315" s="31" t="s">
        <v>150</v>
      </c>
      <c r="L6315" s="45" t="n">
        <f aca="false">DATE(YEAR(B6315),MONTH(B6315),1)</f>
        <v>46266</v>
      </c>
      <c r="M6315" s="31" t="n">
        <f aca="false">WEEKDAY(B6315,2)</f>
        <v>3</v>
      </c>
      <c r="N6315" s="31" t="str">
        <f aca="false">IF(G6315&lt;=INDEX(Assumptions!$B$15:$B$18,MATCH(E6315,Assumptions!$A$15:$A$18,0)),"Yes","No")</f>
        <v>Yes</v>
      </c>
      <c r="O6315" s="31" t="str">
        <f aca="false">IF(H6315="","Open",IF(H6315&lt;=INDEX(Assumptions!$C$15:$C$18,MATCH(E6315,Assumptions!$A$15:$A$18,0)),"Yes","No"))</f>
        <v>Open</v>
      </c>
    </row>
    <row r="6316" customFormat="false" ht="15" hidden="false" customHeight="false" outlineLevel="0" collapsed="false">
      <c r="A6316" s="31" t="s">
        <v>6466</v>
      </c>
      <c r="B6316" s="44" t="n">
        <v>46288</v>
      </c>
      <c r="C6316" s="31" t="s">
        <v>57</v>
      </c>
      <c r="D6316" s="31" t="s">
        <v>66</v>
      </c>
      <c r="E6316" s="31" t="s">
        <v>51</v>
      </c>
      <c r="F6316" s="31" t="s">
        <v>135</v>
      </c>
      <c r="G6316" s="31" t="n">
        <v>9</v>
      </c>
      <c r="H6316" s="41"/>
      <c r="I6316" s="31" t="s">
        <v>158</v>
      </c>
      <c r="J6316" s="31"/>
      <c r="K6316" s="31" t="s">
        <v>150</v>
      </c>
      <c r="L6316" s="45" t="n">
        <f aca="false">DATE(YEAR(B6316),MONTH(B6316),1)</f>
        <v>46266</v>
      </c>
      <c r="M6316" s="31" t="n">
        <f aca="false">WEEKDAY(B6316,2)</f>
        <v>3</v>
      </c>
      <c r="N6316" s="31" t="str">
        <f aca="false">IF(G6316&lt;=INDEX(Assumptions!$B$15:$B$18,MATCH(E6316,Assumptions!$A$15:$A$18,0)),"Yes","No")</f>
        <v>Yes</v>
      </c>
      <c r="O6316" s="31" t="str">
        <f aca="false">IF(H6316="","Open",IF(H6316&lt;=INDEX(Assumptions!$C$15:$C$18,MATCH(E6316,Assumptions!$A$15:$A$18,0)),"Yes","No"))</f>
        <v>Open</v>
      </c>
    </row>
    <row r="6317" customFormat="false" ht="15" hidden="false" customHeight="false" outlineLevel="0" collapsed="false">
      <c r="A6317" s="31" t="s">
        <v>6467</v>
      </c>
      <c r="B6317" s="44" t="n">
        <v>46288</v>
      </c>
      <c r="C6317" s="31" t="s">
        <v>58</v>
      </c>
      <c r="D6317" s="31" t="s">
        <v>68</v>
      </c>
      <c r="E6317" s="31" t="s">
        <v>52</v>
      </c>
      <c r="F6317" s="31" t="s">
        <v>128</v>
      </c>
      <c r="G6317" s="31" t="n">
        <v>13</v>
      </c>
      <c r="H6317" s="41"/>
      <c r="I6317" s="31" t="s">
        <v>158</v>
      </c>
      <c r="J6317" s="31"/>
      <c r="K6317" s="31" t="s">
        <v>150</v>
      </c>
      <c r="L6317" s="45" t="n">
        <f aca="false">DATE(YEAR(B6317),MONTH(B6317),1)</f>
        <v>46266</v>
      </c>
      <c r="M6317" s="31" t="n">
        <f aca="false">WEEKDAY(B6317,2)</f>
        <v>3</v>
      </c>
      <c r="N6317" s="31" t="str">
        <f aca="false">IF(G6317&lt;=INDEX(Assumptions!$B$15:$B$18,MATCH(E6317,Assumptions!$A$15:$A$18,0)),"Yes","No")</f>
        <v>Yes</v>
      </c>
      <c r="O6317" s="31" t="str">
        <f aca="false">IF(H6317="","Open",IF(H6317&lt;=INDEX(Assumptions!$C$15:$C$18,MATCH(E6317,Assumptions!$A$15:$A$18,0)),"Yes","No"))</f>
        <v>Open</v>
      </c>
    </row>
    <row r="6318" customFormat="false" ht="15" hidden="false" customHeight="false" outlineLevel="0" collapsed="false">
      <c r="A6318" s="31" t="s">
        <v>6468</v>
      </c>
      <c r="B6318" s="44" t="n">
        <v>46288</v>
      </c>
      <c r="C6318" s="31" t="s">
        <v>59</v>
      </c>
      <c r="D6318" s="31" t="s">
        <v>68</v>
      </c>
      <c r="E6318" s="31" t="s">
        <v>51</v>
      </c>
      <c r="F6318" s="31" t="s">
        <v>137</v>
      </c>
      <c r="G6318" s="31" t="n">
        <v>153</v>
      </c>
      <c r="H6318" s="41" t="n">
        <v>2.2</v>
      </c>
      <c r="I6318" s="31" t="s">
        <v>64</v>
      </c>
      <c r="J6318" s="31" t="n">
        <v>2</v>
      </c>
      <c r="K6318" s="31" t="s">
        <v>150</v>
      </c>
      <c r="L6318" s="45" t="n">
        <f aca="false">DATE(YEAR(B6318),MONTH(B6318),1)</f>
        <v>46266</v>
      </c>
      <c r="M6318" s="31" t="n">
        <f aca="false">WEEKDAY(B6318,2)</f>
        <v>3</v>
      </c>
      <c r="N6318" s="31" t="str">
        <f aca="false">IF(G6318&lt;=INDEX(Assumptions!$B$15:$B$18,MATCH(E6318,Assumptions!$A$15:$A$18,0)),"Yes","No")</f>
        <v>No</v>
      </c>
      <c r="O6318" s="31" t="str">
        <f aca="false">IF(H6318="","Open",IF(H6318&lt;=INDEX(Assumptions!$C$15:$C$18,MATCH(E6318,Assumptions!$A$15:$A$18,0)),"Yes","No"))</f>
        <v>Yes</v>
      </c>
    </row>
    <row r="6319" customFormat="false" ht="15" hidden="false" customHeight="false" outlineLevel="0" collapsed="false">
      <c r="A6319" s="31" t="s">
        <v>6469</v>
      </c>
      <c r="B6319" s="44" t="n">
        <v>46288</v>
      </c>
      <c r="C6319" s="31" t="s">
        <v>58</v>
      </c>
      <c r="D6319" s="31" t="s">
        <v>67</v>
      </c>
      <c r="E6319" s="31" t="s">
        <v>50</v>
      </c>
      <c r="F6319" s="31" t="s">
        <v>135</v>
      </c>
      <c r="G6319" s="31" t="n">
        <v>7</v>
      </c>
      <c r="H6319" s="41"/>
      <c r="I6319" s="31" t="s">
        <v>158</v>
      </c>
      <c r="J6319" s="31"/>
      <c r="K6319" s="31" t="s">
        <v>150</v>
      </c>
      <c r="L6319" s="45" t="n">
        <f aca="false">DATE(YEAR(B6319),MONTH(B6319),1)</f>
        <v>46266</v>
      </c>
      <c r="M6319" s="31" t="n">
        <f aca="false">WEEKDAY(B6319,2)</f>
        <v>3</v>
      </c>
      <c r="N6319" s="31" t="str">
        <f aca="false">IF(G6319&lt;=INDEX(Assumptions!$B$15:$B$18,MATCH(E6319,Assumptions!$A$15:$A$18,0)),"Yes","No")</f>
        <v>Yes</v>
      </c>
      <c r="O6319" s="31" t="str">
        <f aca="false">IF(H6319="","Open",IF(H6319&lt;=INDEX(Assumptions!$C$15:$C$18,MATCH(E6319,Assumptions!$A$15:$A$18,0)),"Yes","No"))</f>
        <v>Open</v>
      </c>
    </row>
    <row r="6320" customFormat="false" ht="15" hidden="false" customHeight="false" outlineLevel="0" collapsed="false">
      <c r="A6320" s="31" t="s">
        <v>6470</v>
      </c>
      <c r="B6320" s="44" t="n">
        <v>46288</v>
      </c>
      <c r="C6320" s="31" t="s">
        <v>57</v>
      </c>
      <c r="D6320" s="31" t="s">
        <v>69</v>
      </c>
      <c r="E6320" s="31" t="s">
        <v>52</v>
      </c>
      <c r="F6320" s="31" t="s">
        <v>134</v>
      </c>
      <c r="G6320" s="31" t="n">
        <v>8</v>
      </c>
      <c r="H6320" s="41"/>
      <c r="I6320" s="31" t="s">
        <v>158</v>
      </c>
      <c r="J6320" s="31"/>
      <c r="K6320" s="31" t="s">
        <v>150</v>
      </c>
      <c r="L6320" s="45" t="n">
        <f aca="false">DATE(YEAR(B6320),MONTH(B6320),1)</f>
        <v>46266</v>
      </c>
      <c r="M6320" s="31" t="n">
        <f aca="false">WEEKDAY(B6320,2)</f>
        <v>3</v>
      </c>
      <c r="N6320" s="31" t="str">
        <f aca="false">IF(G6320&lt;=INDEX(Assumptions!$B$15:$B$18,MATCH(E6320,Assumptions!$A$15:$A$18,0)),"Yes","No")</f>
        <v>Yes</v>
      </c>
      <c r="O6320" s="31" t="str">
        <f aca="false">IF(H6320="","Open",IF(H6320&lt;=INDEX(Assumptions!$C$15:$C$18,MATCH(E6320,Assumptions!$A$15:$A$18,0)),"Yes","No"))</f>
        <v>Open</v>
      </c>
    </row>
    <row r="6321" customFormat="false" ht="15" hidden="false" customHeight="false" outlineLevel="0" collapsed="false">
      <c r="A6321" s="31" t="s">
        <v>6471</v>
      </c>
      <c r="B6321" s="44" t="n">
        <v>46288</v>
      </c>
      <c r="C6321" s="31" t="s">
        <v>57</v>
      </c>
      <c r="D6321" s="31" t="s">
        <v>66</v>
      </c>
      <c r="E6321" s="31" t="s">
        <v>51</v>
      </c>
      <c r="F6321" s="31" t="s">
        <v>120</v>
      </c>
      <c r="G6321" s="31" t="n">
        <v>5</v>
      </c>
      <c r="H6321" s="41"/>
      <c r="I6321" s="31" t="s">
        <v>158</v>
      </c>
      <c r="J6321" s="31"/>
      <c r="K6321" s="31" t="s">
        <v>150</v>
      </c>
      <c r="L6321" s="45" t="n">
        <f aca="false">DATE(YEAR(B6321),MONTH(B6321),1)</f>
        <v>46266</v>
      </c>
      <c r="M6321" s="31" t="n">
        <f aca="false">WEEKDAY(B6321,2)</f>
        <v>3</v>
      </c>
      <c r="N6321" s="31" t="str">
        <f aca="false">IF(G6321&lt;=INDEX(Assumptions!$B$15:$B$18,MATCH(E6321,Assumptions!$A$15:$A$18,0)),"Yes","No")</f>
        <v>Yes</v>
      </c>
      <c r="O6321" s="31" t="str">
        <f aca="false">IF(H6321="","Open",IF(H6321&lt;=INDEX(Assumptions!$C$15:$C$18,MATCH(E6321,Assumptions!$A$15:$A$18,0)),"Yes","No"))</f>
        <v>Open</v>
      </c>
    </row>
    <row r="6322" customFormat="false" ht="15" hidden="false" customHeight="false" outlineLevel="0" collapsed="false">
      <c r="A6322" s="31" t="s">
        <v>6472</v>
      </c>
      <c r="B6322" s="44" t="n">
        <v>46288</v>
      </c>
      <c r="C6322" s="31" t="s">
        <v>58</v>
      </c>
      <c r="D6322" s="31" t="s">
        <v>68</v>
      </c>
      <c r="E6322" s="31" t="s">
        <v>51</v>
      </c>
      <c r="F6322" s="31" t="s">
        <v>130</v>
      </c>
      <c r="G6322" s="31" t="n">
        <v>14</v>
      </c>
      <c r="H6322" s="41"/>
      <c r="I6322" s="31" t="s">
        <v>158</v>
      </c>
      <c r="J6322" s="31"/>
      <c r="K6322" s="31" t="s">
        <v>150</v>
      </c>
      <c r="L6322" s="45" t="n">
        <f aca="false">DATE(YEAR(B6322),MONTH(B6322),1)</f>
        <v>46266</v>
      </c>
      <c r="M6322" s="31" t="n">
        <f aca="false">WEEKDAY(B6322,2)</f>
        <v>3</v>
      </c>
      <c r="N6322" s="31" t="str">
        <f aca="false">IF(G6322&lt;=INDEX(Assumptions!$B$15:$B$18,MATCH(E6322,Assumptions!$A$15:$A$18,0)),"Yes","No")</f>
        <v>Yes</v>
      </c>
      <c r="O6322" s="31" t="str">
        <f aca="false">IF(H6322="","Open",IF(H6322&lt;=INDEX(Assumptions!$C$15:$C$18,MATCH(E6322,Assumptions!$A$15:$A$18,0)),"Yes","No"))</f>
        <v>Open</v>
      </c>
    </row>
    <row r="6323" customFormat="false" ht="15" hidden="false" customHeight="false" outlineLevel="0" collapsed="false">
      <c r="A6323" s="31" t="s">
        <v>6473</v>
      </c>
      <c r="B6323" s="44" t="n">
        <v>46288</v>
      </c>
      <c r="C6323" s="31" t="s">
        <v>60</v>
      </c>
      <c r="D6323" s="31" t="s">
        <v>67</v>
      </c>
      <c r="E6323" s="31" t="s">
        <v>51</v>
      </c>
      <c r="F6323" s="31" t="s">
        <v>135</v>
      </c>
      <c r="G6323" s="31" t="n">
        <v>3</v>
      </c>
      <c r="H6323" s="41" t="n">
        <v>10.4</v>
      </c>
      <c r="I6323" s="31" t="s">
        <v>149</v>
      </c>
      <c r="J6323" s="31" t="n">
        <v>4</v>
      </c>
      <c r="K6323" s="31" t="s">
        <v>153</v>
      </c>
      <c r="L6323" s="45" t="n">
        <f aca="false">DATE(YEAR(B6323),MONTH(B6323),1)</f>
        <v>46266</v>
      </c>
      <c r="M6323" s="31" t="n">
        <f aca="false">WEEKDAY(B6323,2)</f>
        <v>3</v>
      </c>
      <c r="N6323" s="31" t="str">
        <f aca="false">IF(G6323&lt;=INDEX(Assumptions!$B$15:$B$18,MATCH(E6323,Assumptions!$A$15:$A$18,0)),"Yes","No")</f>
        <v>Yes</v>
      </c>
      <c r="O6323" s="31" t="str">
        <f aca="false">IF(H6323="","Open",IF(H6323&lt;=INDEX(Assumptions!$C$15:$C$18,MATCH(E6323,Assumptions!$A$15:$A$18,0)),"Yes","No"))</f>
        <v>Yes</v>
      </c>
    </row>
    <row r="6324" customFormat="false" ht="15" hidden="false" customHeight="false" outlineLevel="0" collapsed="false">
      <c r="A6324" s="31" t="s">
        <v>6474</v>
      </c>
      <c r="B6324" s="44" t="n">
        <v>46288</v>
      </c>
      <c r="C6324" s="31" t="s">
        <v>60</v>
      </c>
      <c r="D6324" s="31" t="s">
        <v>65</v>
      </c>
      <c r="E6324" s="31" t="s">
        <v>49</v>
      </c>
      <c r="F6324" s="31" t="s">
        <v>121</v>
      </c>
      <c r="G6324" s="31" t="n">
        <v>2</v>
      </c>
      <c r="H6324" s="41"/>
      <c r="I6324" s="31" t="s">
        <v>158</v>
      </c>
      <c r="J6324" s="31"/>
      <c r="K6324" s="31" t="s">
        <v>150</v>
      </c>
      <c r="L6324" s="45" t="n">
        <f aca="false">DATE(YEAR(B6324),MONTH(B6324),1)</f>
        <v>46266</v>
      </c>
      <c r="M6324" s="31" t="n">
        <f aca="false">WEEKDAY(B6324,2)</f>
        <v>3</v>
      </c>
      <c r="N6324" s="31" t="str">
        <f aca="false">IF(G6324&lt;=INDEX(Assumptions!$B$15:$B$18,MATCH(E6324,Assumptions!$A$15:$A$18,0)),"Yes","No")</f>
        <v>Yes</v>
      </c>
      <c r="O6324" s="31" t="str">
        <f aca="false">IF(H6324="","Open",IF(H6324&lt;=INDEX(Assumptions!$C$15:$C$18,MATCH(E6324,Assumptions!$A$15:$A$18,0)),"Yes","No"))</f>
        <v>Open</v>
      </c>
    </row>
    <row r="6325" customFormat="false" ht="15" hidden="false" customHeight="false" outlineLevel="0" collapsed="false">
      <c r="A6325" s="31" t="s">
        <v>6475</v>
      </c>
      <c r="B6325" s="44" t="n">
        <v>46288</v>
      </c>
      <c r="C6325" s="31" t="s">
        <v>58</v>
      </c>
      <c r="D6325" s="31" t="s">
        <v>69</v>
      </c>
      <c r="E6325" s="31" t="s">
        <v>50</v>
      </c>
      <c r="F6325" s="31" t="s">
        <v>136</v>
      </c>
      <c r="G6325" s="31" t="n">
        <v>5</v>
      </c>
      <c r="H6325" s="41"/>
      <c r="I6325" s="31" t="s">
        <v>158</v>
      </c>
      <c r="J6325" s="31"/>
      <c r="K6325" s="31" t="s">
        <v>150</v>
      </c>
      <c r="L6325" s="45" t="n">
        <f aca="false">DATE(YEAR(B6325),MONTH(B6325),1)</f>
        <v>46266</v>
      </c>
      <c r="M6325" s="31" t="n">
        <f aca="false">WEEKDAY(B6325,2)</f>
        <v>3</v>
      </c>
      <c r="N6325" s="31" t="str">
        <f aca="false">IF(G6325&lt;=INDEX(Assumptions!$B$15:$B$18,MATCH(E6325,Assumptions!$A$15:$A$18,0)),"Yes","No")</f>
        <v>Yes</v>
      </c>
      <c r="O6325" s="31" t="str">
        <f aca="false">IF(H6325="","Open",IF(H6325&lt;=INDEX(Assumptions!$C$15:$C$18,MATCH(E6325,Assumptions!$A$15:$A$18,0)),"Yes","No"))</f>
        <v>Open</v>
      </c>
    </row>
    <row r="6326" customFormat="false" ht="15" hidden="false" customHeight="false" outlineLevel="0" collapsed="false">
      <c r="A6326" s="31" t="s">
        <v>6476</v>
      </c>
      <c r="B6326" s="44" t="n">
        <v>46288</v>
      </c>
      <c r="C6326" s="31" t="s">
        <v>60</v>
      </c>
      <c r="D6326" s="31" t="s">
        <v>67</v>
      </c>
      <c r="E6326" s="31" t="s">
        <v>52</v>
      </c>
      <c r="F6326" s="31" t="s">
        <v>127</v>
      </c>
      <c r="G6326" s="31" t="n">
        <v>4</v>
      </c>
      <c r="H6326" s="41"/>
      <c r="I6326" s="31" t="s">
        <v>158</v>
      </c>
      <c r="J6326" s="31"/>
      <c r="K6326" s="31" t="s">
        <v>150</v>
      </c>
      <c r="L6326" s="45" t="n">
        <f aca="false">DATE(YEAR(B6326),MONTH(B6326),1)</f>
        <v>46266</v>
      </c>
      <c r="M6326" s="31" t="n">
        <f aca="false">WEEKDAY(B6326,2)</f>
        <v>3</v>
      </c>
      <c r="N6326" s="31" t="str">
        <f aca="false">IF(G6326&lt;=INDEX(Assumptions!$B$15:$B$18,MATCH(E6326,Assumptions!$A$15:$A$18,0)),"Yes","No")</f>
        <v>Yes</v>
      </c>
      <c r="O6326" s="31" t="str">
        <f aca="false">IF(H6326="","Open",IF(H6326&lt;=INDEX(Assumptions!$C$15:$C$18,MATCH(E6326,Assumptions!$A$15:$A$18,0)),"Yes","No"))</f>
        <v>Open</v>
      </c>
    </row>
    <row r="6327" customFormat="false" ht="15" hidden="false" customHeight="false" outlineLevel="0" collapsed="false">
      <c r="A6327" s="31" t="s">
        <v>6477</v>
      </c>
      <c r="B6327" s="44" t="n">
        <v>46288</v>
      </c>
      <c r="C6327" s="31" t="s">
        <v>57</v>
      </c>
      <c r="D6327" s="31" t="s">
        <v>66</v>
      </c>
      <c r="E6327" s="31" t="s">
        <v>51</v>
      </c>
      <c r="F6327" s="31" t="s">
        <v>133</v>
      </c>
      <c r="G6327" s="31" t="n">
        <v>3</v>
      </c>
      <c r="H6327" s="41" t="n">
        <v>20</v>
      </c>
      <c r="I6327" s="31" t="s">
        <v>149</v>
      </c>
      <c r="J6327" s="31"/>
      <c r="K6327" s="31" t="s">
        <v>150</v>
      </c>
      <c r="L6327" s="45" t="n">
        <f aca="false">DATE(YEAR(B6327),MONTH(B6327),1)</f>
        <v>46266</v>
      </c>
      <c r="M6327" s="31" t="n">
        <f aca="false">WEEKDAY(B6327,2)</f>
        <v>3</v>
      </c>
      <c r="N6327" s="31" t="str">
        <f aca="false">IF(G6327&lt;=INDEX(Assumptions!$B$15:$B$18,MATCH(E6327,Assumptions!$A$15:$A$18,0)),"Yes","No")</f>
        <v>Yes</v>
      </c>
      <c r="O6327" s="31" t="str">
        <f aca="false">IF(H6327="","Open",IF(H6327&lt;=INDEX(Assumptions!$C$15:$C$18,MATCH(E6327,Assumptions!$A$15:$A$18,0)),"Yes","No"))</f>
        <v>Yes</v>
      </c>
    </row>
    <row r="6328" customFormat="false" ht="15" hidden="false" customHeight="false" outlineLevel="0" collapsed="false">
      <c r="A6328" s="31" t="s">
        <v>6478</v>
      </c>
      <c r="B6328" s="44" t="n">
        <v>46288</v>
      </c>
      <c r="C6328" s="31" t="s">
        <v>60</v>
      </c>
      <c r="D6328" s="31" t="s">
        <v>67</v>
      </c>
      <c r="E6328" s="31" t="s">
        <v>49</v>
      </c>
      <c r="F6328" s="31" t="s">
        <v>119</v>
      </c>
      <c r="G6328" s="31" t="n">
        <v>2</v>
      </c>
      <c r="H6328" s="41"/>
      <c r="I6328" s="31" t="s">
        <v>158</v>
      </c>
      <c r="J6328" s="31"/>
      <c r="K6328" s="31" t="s">
        <v>150</v>
      </c>
      <c r="L6328" s="45" t="n">
        <f aca="false">DATE(YEAR(B6328),MONTH(B6328),1)</f>
        <v>46266</v>
      </c>
      <c r="M6328" s="31" t="n">
        <f aca="false">WEEKDAY(B6328,2)</f>
        <v>3</v>
      </c>
      <c r="N6328" s="31" t="str">
        <f aca="false">IF(G6328&lt;=INDEX(Assumptions!$B$15:$B$18,MATCH(E6328,Assumptions!$A$15:$A$18,0)),"Yes","No")</f>
        <v>Yes</v>
      </c>
      <c r="O6328" s="31" t="str">
        <f aca="false">IF(H6328="","Open",IF(H6328&lt;=INDEX(Assumptions!$C$15:$C$18,MATCH(E6328,Assumptions!$A$15:$A$18,0)),"Yes","No"))</f>
        <v>Open</v>
      </c>
    </row>
    <row r="6329" customFormat="false" ht="15" hidden="false" customHeight="false" outlineLevel="0" collapsed="false">
      <c r="A6329" s="31" t="s">
        <v>6479</v>
      </c>
      <c r="B6329" s="44" t="n">
        <v>46288</v>
      </c>
      <c r="C6329" s="31" t="s">
        <v>60</v>
      </c>
      <c r="D6329" s="31" t="s">
        <v>67</v>
      </c>
      <c r="E6329" s="31" t="s">
        <v>50</v>
      </c>
      <c r="F6329" s="31" t="s">
        <v>137</v>
      </c>
      <c r="G6329" s="31" t="n">
        <v>3</v>
      </c>
      <c r="H6329" s="41" t="n">
        <v>15.3</v>
      </c>
      <c r="I6329" s="31" t="s">
        <v>149</v>
      </c>
      <c r="J6329" s="31"/>
      <c r="K6329" s="31" t="s">
        <v>150</v>
      </c>
      <c r="L6329" s="45" t="n">
        <f aca="false">DATE(YEAR(B6329),MONTH(B6329),1)</f>
        <v>46266</v>
      </c>
      <c r="M6329" s="31" t="n">
        <f aca="false">WEEKDAY(B6329,2)</f>
        <v>3</v>
      </c>
      <c r="N6329" s="31" t="str">
        <f aca="false">IF(G6329&lt;=INDEX(Assumptions!$B$15:$B$18,MATCH(E6329,Assumptions!$A$15:$A$18,0)),"Yes","No")</f>
        <v>Yes</v>
      </c>
      <c r="O6329" s="31" t="str">
        <f aca="false">IF(H6329="","Open",IF(H6329&lt;=INDEX(Assumptions!$C$15:$C$18,MATCH(E6329,Assumptions!$A$15:$A$18,0)),"Yes","No"))</f>
        <v>No</v>
      </c>
    </row>
    <row r="6330" customFormat="false" ht="15" hidden="false" customHeight="false" outlineLevel="0" collapsed="false">
      <c r="A6330" s="31" t="s">
        <v>6480</v>
      </c>
      <c r="B6330" s="44" t="n">
        <v>46288</v>
      </c>
      <c r="C6330" s="31" t="s">
        <v>57</v>
      </c>
      <c r="D6330" s="31" t="s">
        <v>66</v>
      </c>
      <c r="E6330" s="31" t="s">
        <v>51</v>
      </c>
      <c r="F6330" s="31" t="s">
        <v>135</v>
      </c>
      <c r="G6330" s="31" t="n">
        <v>9</v>
      </c>
      <c r="H6330" s="41" t="n">
        <v>22.7</v>
      </c>
      <c r="I6330" s="31" t="s">
        <v>149</v>
      </c>
      <c r="J6330" s="31" t="n">
        <v>4</v>
      </c>
      <c r="K6330" s="31" t="s">
        <v>150</v>
      </c>
      <c r="L6330" s="45" t="n">
        <f aca="false">DATE(YEAR(B6330),MONTH(B6330),1)</f>
        <v>46266</v>
      </c>
      <c r="M6330" s="31" t="n">
        <f aca="false">WEEKDAY(B6330,2)</f>
        <v>3</v>
      </c>
      <c r="N6330" s="31" t="str">
        <f aca="false">IF(G6330&lt;=INDEX(Assumptions!$B$15:$B$18,MATCH(E6330,Assumptions!$A$15:$A$18,0)),"Yes","No")</f>
        <v>Yes</v>
      </c>
      <c r="O6330" s="31" t="str">
        <f aca="false">IF(H6330="","Open",IF(H6330&lt;=INDEX(Assumptions!$C$15:$C$18,MATCH(E6330,Assumptions!$A$15:$A$18,0)),"Yes","No"))</f>
        <v>Yes</v>
      </c>
    </row>
    <row r="6331" customFormat="false" ht="15" hidden="false" customHeight="false" outlineLevel="0" collapsed="false">
      <c r="A6331" s="31" t="s">
        <v>6481</v>
      </c>
      <c r="B6331" s="44" t="n">
        <v>46288</v>
      </c>
      <c r="C6331" s="31" t="s">
        <v>60</v>
      </c>
      <c r="D6331" s="31" t="s">
        <v>66</v>
      </c>
      <c r="E6331" s="31" t="s">
        <v>50</v>
      </c>
      <c r="F6331" s="31" t="s">
        <v>122</v>
      </c>
      <c r="G6331" s="31" t="n">
        <v>2</v>
      </c>
      <c r="H6331" s="41" t="n">
        <v>4.6</v>
      </c>
      <c r="I6331" s="31" t="s">
        <v>149</v>
      </c>
      <c r="J6331" s="31"/>
      <c r="K6331" s="31" t="s">
        <v>150</v>
      </c>
      <c r="L6331" s="45" t="n">
        <f aca="false">DATE(YEAR(B6331),MONTH(B6331),1)</f>
        <v>46266</v>
      </c>
      <c r="M6331" s="31" t="n">
        <f aca="false">WEEKDAY(B6331,2)</f>
        <v>3</v>
      </c>
      <c r="N6331" s="31" t="str">
        <f aca="false">IF(G6331&lt;=INDEX(Assumptions!$B$15:$B$18,MATCH(E6331,Assumptions!$A$15:$A$18,0)),"Yes","No")</f>
        <v>Yes</v>
      </c>
      <c r="O6331" s="31" t="str">
        <f aca="false">IF(H6331="","Open",IF(H6331&lt;=INDEX(Assumptions!$C$15:$C$18,MATCH(E6331,Assumptions!$A$15:$A$18,0)),"Yes","No"))</f>
        <v>Yes</v>
      </c>
    </row>
    <row r="6332" customFormat="false" ht="15" hidden="false" customHeight="false" outlineLevel="0" collapsed="false">
      <c r="A6332" s="31" t="s">
        <v>6482</v>
      </c>
      <c r="B6332" s="44" t="n">
        <v>46288</v>
      </c>
      <c r="C6332" s="31" t="s">
        <v>58</v>
      </c>
      <c r="D6332" s="31" t="s">
        <v>66</v>
      </c>
      <c r="E6332" s="31" t="s">
        <v>50</v>
      </c>
      <c r="F6332" s="31" t="s">
        <v>131</v>
      </c>
      <c r="G6332" s="31" t="n">
        <v>18</v>
      </c>
      <c r="H6332" s="41" t="n">
        <v>3</v>
      </c>
      <c r="I6332" s="31" t="s">
        <v>149</v>
      </c>
      <c r="J6332" s="31" t="n">
        <v>5</v>
      </c>
      <c r="K6332" s="31" t="s">
        <v>150</v>
      </c>
      <c r="L6332" s="45" t="n">
        <f aca="false">DATE(YEAR(B6332),MONTH(B6332),1)</f>
        <v>46266</v>
      </c>
      <c r="M6332" s="31" t="n">
        <f aca="false">WEEKDAY(B6332,2)</f>
        <v>3</v>
      </c>
      <c r="N6332" s="31" t="str">
        <f aca="false">IF(G6332&lt;=INDEX(Assumptions!$B$15:$B$18,MATCH(E6332,Assumptions!$A$15:$A$18,0)),"Yes","No")</f>
        <v>Yes</v>
      </c>
      <c r="O6332" s="31" t="str">
        <f aca="false">IF(H6332="","Open",IF(H6332&lt;=INDEX(Assumptions!$C$15:$C$18,MATCH(E6332,Assumptions!$A$15:$A$18,0)),"Yes","No"))</f>
        <v>Yes</v>
      </c>
    </row>
    <row r="6333" customFormat="false" ht="15" hidden="false" customHeight="false" outlineLevel="0" collapsed="false">
      <c r="A6333" s="31" t="s">
        <v>6483</v>
      </c>
      <c r="B6333" s="44" t="n">
        <v>46288</v>
      </c>
      <c r="C6333" s="31" t="s">
        <v>60</v>
      </c>
      <c r="D6333" s="31" t="s">
        <v>68</v>
      </c>
      <c r="E6333" s="31" t="s">
        <v>51</v>
      </c>
      <c r="F6333" s="31" t="s">
        <v>122</v>
      </c>
      <c r="G6333" s="31" t="n">
        <v>1</v>
      </c>
      <c r="H6333" s="41"/>
      <c r="I6333" s="31" t="s">
        <v>158</v>
      </c>
      <c r="J6333" s="31"/>
      <c r="K6333" s="31" t="s">
        <v>150</v>
      </c>
      <c r="L6333" s="45" t="n">
        <f aca="false">DATE(YEAR(B6333),MONTH(B6333),1)</f>
        <v>46266</v>
      </c>
      <c r="M6333" s="31" t="n">
        <f aca="false">WEEKDAY(B6333,2)</f>
        <v>3</v>
      </c>
      <c r="N6333" s="31" t="str">
        <f aca="false">IF(G6333&lt;=INDEX(Assumptions!$B$15:$B$18,MATCH(E6333,Assumptions!$A$15:$A$18,0)),"Yes","No")</f>
        <v>Yes</v>
      </c>
      <c r="O6333" s="31" t="str">
        <f aca="false">IF(H6333="","Open",IF(H6333&lt;=INDEX(Assumptions!$C$15:$C$18,MATCH(E6333,Assumptions!$A$15:$A$18,0)),"Yes","No"))</f>
        <v>Open</v>
      </c>
    </row>
    <row r="6334" customFormat="false" ht="15" hidden="false" customHeight="false" outlineLevel="0" collapsed="false">
      <c r="A6334" s="31" t="s">
        <v>6484</v>
      </c>
      <c r="B6334" s="44" t="n">
        <v>46288</v>
      </c>
      <c r="C6334" s="31" t="s">
        <v>57</v>
      </c>
      <c r="D6334" s="31" t="s">
        <v>68</v>
      </c>
      <c r="E6334" s="31" t="s">
        <v>52</v>
      </c>
      <c r="F6334" s="31" t="s">
        <v>136</v>
      </c>
      <c r="G6334" s="31" t="n">
        <v>2</v>
      </c>
      <c r="H6334" s="41"/>
      <c r="I6334" s="31" t="s">
        <v>158</v>
      </c>
      <c r="J6334" s="31"/>
      <c r="K6334" s="31" t="s">
        <v>150</v>
      </c>
      <c r="L6334" s="45" t="n">
        <f aca="false">DATE(YEAR(B6334),MONTH(B6334),1)</f>
        <v>46266</v>
      </c>
      <c r="M6334" s="31" t="n">
        <f aca="false">WEEKDAY(B6334,2)</f>
        <v>3</v>
      </c>
      <c r="N6334" s="31" t="str">
        <f aca="false">IF(G6334&lt;=INDEX(Assumptions!$B$15:$B$18,MATCH(E6334,Assumptions!$A$15:$A$18,0)),"Yes","No")</f>
        <v>Yes</v>
      </c>
      <c r="O6334" s="31" t="str">
        <f aca="false">IF(H6334="","Open",IF(H6334&lt;=INDEX(Assumptions!$C$15:$C$18,MATCH(E6334,Assumptions!$A$15:$A$18,0)),"Yes","No"))</f>
        <v>Open</v>
      </c>
    </row>
    <row r="6335" customFormat="false" ht="15" hidden="false" customHeight="false" outlineLevel="0" collapsed="false">
      <c r="A6335" s="31" t="s">
        <v>6485</v>
      </c>
      <c r="B6335" s="44" t="n">
        <v>46288</v>
      </c>
      <c r="C6335" s="31" t="s">
        <v>57</v>
      </c>
      <c r="D6335" s="31" t="s">
        <v>67</v>
      </c>
      <c r="E6335" s="31" t="s">
        <v>50</v>
      </c>
      <c r="F6335" s="31" t="s">
        <v>127</v>
      </c>
      <c r="G6335" s="31" t="n">
        <v>1</v>
      </c>
      <c r="H6335" s="41"/>
      <c r="I6335" s="31" t="s">
        <v>158</v>
      </c>
      <c r="J6335" s="31"/>
      <c r="K6335" s="31" t="s">
        <v>150</v>
      </c>
      <c r="L6335" s="45" t="n">
        <f aca="false">DATE(YEAR(B6335),MONTH(B6335),1)</f>
        <v>46266</v>
      </c>
      <c r="M6335" s="31" t="n">
        <f aca="false">WEEKDAY(B6335,2)</f>
        <v>3</v>
      </c>
      <c r="N6335" s="31" t="str">
        <f aca="false">IF(G6335&lt;=INDEX(Assumptions!$B$15:$B$18,MATCH(E6335,Assumptions!$A$15:$A$18,0)),"Yes","No")</f>
        <v>Yes</v>
      </c>
      <c r="O6335" s="31" t="str">
        <f aca="false">IF(H6335="","Open",IF(H6335&lt;=INDEX(Assumptions!$C$15:$C$18,MATCH(E6335,Assumptions!$A$15:$A$18,0)),"Yes","No"))</f>
        <v>Open</v>
      </c>
    </row>
    <row r="6336" customFormat="false" ht="15" hidden="false" customHeight="false" outlineLevel="0" collapsed="false">
      <c r="A6336" s="31" t="s">
        <v>6486</v>
      </c>
      <c r="B6336" s="44" t="n">
        <v>46288</v>
      </c>
      <c r="C6336" s="31" t="s">
        <v>57</v>
      </c>
      <c r="D6336" s="31" t="s">
        <v>69</v>
      </c>
      <c r="E6336" s="31" t="s">
        <v>51</v>
      </c>
      <c r="F6336" s="31" t="s">
        <v>119</v>
      </c>
      <c r="G6336" s="31" t="n">
        <v>7</v>
      </c>
      <c r="H6336" s="41" t="n">
        <v>26.6</v>
      </c>
      <c r="I6336" s="31" t="s">
        <v>149</v>
      </c>
      <c r="J6336" s="31" t="n">
        <v>4</v>
      </c>
      <c r="K6336" s="31" t="s">
        <v>150</v>
      </c>
      <c r="L6336" s="45" t="n">
        <f aca="false">DATE(YEAR(B6336),MONTH(B6336),1)</f>
        <v>46266</v>
      </c>
      <c r="M6336" s="31" t="n">
        <f aca="false">WEEKDAY(B6336,2)</f>
        <v>3</v>
      </c>
      <c r="N6336" s="31" t="str">
        <f aca="false">IF(G6336&lt;=INDEX(Assumptions!$B$15:$B$18,MATCH(E6336,Assumptions!$A$15:$A$18,0)),"Yes","No")</f>
        <v>Yes</v>
      </c>
      <c r="O6336" s="31" t="str">
        <f aca="false">IF(H6336="","Open",IF(H6336&lt;=INDEX(Assumptions!$C$15:$C$18,MATCH(E6336,Assumptions!$A$15:$A$18,0)),"Yes","No"))</f>
        <v>No</v>
      </c>
    </row>
    <row r="6337" customFormat="false" ht="15" hidden="false" customHeight="false" outlineLevel="0" collapsed="false">
      <c r="A6337" s="31" t="s">
        <v>6487</v>
      </c>
      <c r="B6337" s="44" t="n">
        <v>46288</v>
      </c>
      <c r="C6337" s="31" t="s">
        <v>58</v>
      </c>
      <c r="D6337" s="31" t="s">
        <v>65</v>
      </c>
      <c r="E6337" s="31" t="s">
        <v>51</v>
      </c>
      <c r="F6337" s="31" t="s">
        <v>131</v>
      </c>
      <c r="G6337" s="31" t="n">
        <v>22</v>
      </c>
      <c r="H6337" s="41" t="n">
        <v>6.8</v>
      </c>
      <c r="I6337" s="31" t="s">
        <v>149</v>
      </c>
      <c r="J6337" s="31" t="n">
        <v>5</v>
      </c>
      <c r="K6337" s="31" t="s">
        <v>150</v>
      </c>
      <c r="L6337" s="45" t="n">
        <f aca="false">DATE(YEAR(B6337),MONTH(B6337),1)</f>
        <v>46266</v>
      </c>
      <c r="M6337" s="31" t="n">
        <f aca="false">WEEKDAY(B6337,2)</f>
        <v>3</v>
      </c>
      <c r="N6337" s="31" t="str">
        <f aca="false">IF(G6337&lt;=INDEX(Assumptions!$B$15:$B$18,MATCH(E6337,Assumptions!$A$15:$A$18,0)),"Yes","No")</f>
        <v>Yes</v>
      </c>
      <c r="O6337" s="31" t="str">
        <f aca="false">IF(H6337="","Open",IF(H6337&lt;=INDEX(Assumptions!$C$15:$C$18,MATCH(E6337,Assumptions!$A$15:$A$18,0)),"Yes","No"))</f>
        <v>Yes</v>
      </c>
    </row>
    <row r="6338" customFormat="false" ht="15" hidden="false" customHeight="false" outlineLevel="0" collapsed="false">
      <c r="A6338" s="31" t="s">
        <v>6488</v>
      </c>
      <c r="B6338" s="44" t="n">
        <v>46288</v>
      </c>
      <c r="C6338" s="31" t="s">
        <v>60</v>
      </c>
      <c r="D6338" s="31" t="s">
        <v>69</v>
      </c>
      <c r="E6338" s="31" t="s">
        <v>51</v>
      </c>
      <c r="F6338" s="31" t="s">
        <v>129</v>
      </c>
      <c r="G6338" s="31" t="n">
        <v>4</v>
      </c>
      <c r="H6338" s="41"/>
      <c r="I6338" s="31" t="s">
        <v>158</v>
      </c>
      <c r="J6338" s="31"/>
      <c r="K6338" s="31" t="s">
        <v>150</v>
      </c>
      <c r="L6338" s="45" t="n">
        <f aca="false">DATE(YEAR(B6338),MONTH(B6338),1)</f>
        <v>46266</v>
      </c>
      <c r="M6338" s="31" t="n">
        <f aca="false">WEEKDAY(B6338,2)</f>
        <v>3</v>
      </c>
      <c r="N6338" s="31" t="str">
        <f aca="false">IF(G6338&lt;=INDEX(Assumptions!$B$15:$B$18,MATCH(E6338,Assumptions!$A$15:$A$18,0)),"Yes","No")</f>
        <v>Yes</v>
      </c>
      <c r="O6338" s="31" t="str">
        <f aca="false">IF(H6338="","Open",IF(H6338&lt;=INDEX(Assumptions!$C$15:$C$18,MATCH(E6338,Assumptions!$A$15:$A$18,0)),"Yes","No"))</f>
        <v>Open</v>
      </c>
    </row>
    <row r="6339" customFormat="false" ht="15" hidden="false" customHeight="false" outlineLevel="0" collapsed="false">
      <c r="A6339" s="31" t="s">
        <v>6489</v>
      </c>
      <c r="B6339" s="44" t="n">
        <v>46288</v>
      </c>
      <c r="C6339" s="31" t="s">
        <v>58</v>
      </c>
      <c r="D6339" s="31" t="s">
        <v>65</v>
      </c>
      <c r="E6339" s="31" t="s">
        <v>50</v>
      </c>
      <c r="F6339" s="31" t="s">
        <v>131</v>
      </c>
      <c r="G6339" s="31" t="n">
        <v>4</v>
      </c>
      <c r="H6339" s="41" t="n">
        <v>3.1</v>
      </c>
      <c r="I6339" s="31" t="s">
        <v>149</v>
      </c>
      <c r="J6339" s="31" t="n">
        <v>5</v>
      </c>
      <c r="K6339" s="31" t="s">
        <v>150</v>
      </c>
      <c r="L6339" s="45" t="n">
        <f aca="false">DATE(YEAR(B6339),MONTH(B6339),1)</f>
        <v>46266</v>
      </c>
      <c r="M6339" s="31" t="n">
        <f aca="false">WEEKDAY(B6339,2)</f>
        <v>3</v>
      </c>
      <c r="N6339" s="31" t="str">
        <f aca="false">IF(G6339&lt;=INDEX(Assumptions!$B$15:$B$18,MATCH(E6339,Assumptions!$A$15:$A$18,0)),"Yes","No")</f>
        <v>Yes</v>
      </c>
      <c r="O6339" s="31" t="str">
        <f aca="false">IF(H6339="","Open",IF(H6339&lt;=INDEX(Assumptions!$C$15:$C$18,MATCH(E6339,Assumptions!$A$15:$A$18,0)),"Yes","No"))</f>
        <v>Yes</v>
      </c>
    </row>
    <row r="6340" customFormat="false" ht="15" hidden="false" customHeight="false" outlineLevel="0" collapsed="false">
      <c r="A6340" s="31" t="s">
        <v>6490</v>
      </c>
      <c r="B6340" s="44" t="n">
        <v>46288</v>
      </c>
      <c r="C6340" s="31" t="s">
        <v>58</v>
      </c>
      <c r="D6340" s="31" t="s">
        <v>66</v>
      </c>
      <c r="E6340" s="31" t="s">
        <v>51</v>
      </c>
      <c r="F6340" s="31" t="s">
        <v>134</v>
      </c>
      <c r="G6340" s="31" t="n">
        <v>6</v>
      </c>
      <c r="H6340" s="41" t="n">
        <v>4.9</v>
      </c>
      <c r="I6340" s="31" t="s">
        <v>149</v>
      </c>
      <c r="J6340" s="31"/>
      <c r="K6340" s="31" t="s">
        <v>150</v>
      </c>
      <c r="L6340" s="45" t="n">
        <f aca="false">DATE(YEAR(B6340),MONTH(B6340),1)</f>
        <v>46266</v>
      </c>
      <c r="M6340" s="31" t="n">
        <f aca="false">WEEKDAY(B6340,2)</f>
        <v>3</v>
      </c>
      <c r="N6340" s="31" t="str">
        <f aca="false">IF(G6340&lt;=INDEX(Assumptions!$B$15:$B$18,MATCH(E6340,Assumptions!$A$15:$A$18,0)),"Yes","No")</f>
        <v>Yes</v>
      </c>
      <c r="O6340" s="31" t="str">
        <f aca="false">IF(H6340="","Open",IF(H6340&lt;=INDEX(Assumptions!$C$15:$C$18,MATCH(E6340,Assumptions!$A$15:$A$18,0)),"Yes","No"))</f>
        <v>Yes</v>
      </c>
    </row>
    <row r="6341" customFormat="false" ht="15" hidden="false" customHeight="false" outlineLevel="0" collapsed="false">
      <c r="A6341" s="31" t="s">
        <v>6491</v>
      </c>
      <c r="B6341" s="44" t="n">
        <v>46288</v>
      </c>
      <c r="C6341" s="31" t="s">
        <v>60</v>
      </c>
      <c r="D6341" s="31" t="s">
        <v>66</v>
      </c>
      <c r="E6341" s="31" t="s">
        <v>52</v>
      </c>
      <c r="F6341" s="31" t="s">
        <v>127</v>
      </c>
      <c r="G6341" s="31" t="n">
        <v>1</v>
      </c>
      <c r="H6341" s="41" t="n">
        <v>4.1</v>
      </c>
      <c r="I6341" s="31" t="s">
        <v>149</v>
      </c>
      <c r="J6341" s="31" t="n">
        <v>5</v>
      </c>
      <c r="K6341" s="31" t="s">
        <v>150</v>
      </c>
      <c r="L6341" s="45" t="n">
        <f aca="false">DATE(YEAR(B6341),MONTH(B6341),1)</f>
        <v>46266</v>
      </c>
      <c r="M6341" s="31" t="n">
        <f aca="false">WEEKDAY(B6341,2)</f>
        <v>3</v>
      </c>
      <c r="N6341" s="31" t="str">
        <f aca="false">IF(G6341&lt;=INDEX(Assumptions!$B$15:$B$18,MATCH(E6341,Assumptions!$A$15:$A$18,0)),"Yes","No")</f>
        <v>Yes</v>
      </c>
      <c r="O6341" s="31" t="str">
        <f aca="false">IF(H6341="","Open",IF(H6341&lt;=INDEX(Assumptions!$C$15:$C$18,MATCH(E6341,Assumptions!$A$15:$A$18,0)),"Yes","No"))</f>
        <v>Yes</v>
      </c>
    </row>
    <row r="6342" customFormat="false" ht="15" hidden="false" customHeight="false" outlineLevel="0" collapsed="false">
      <c r="A6342" s="31" t="s">
        <v>6492</v>
      </c>
      <c r="B6342" s="44" t="n">
        <v>46288</v>
      </c>
      <c r="C6342" s="31" t="s">
        <v>58</v>
      </c>
      <c r="D6342" s="31" t="s">
        <v>68</v>
      </c>
      <c r="E6342" s="31" t="s">
        <v>51</v>
      </c>
      <c r="F6342" s="31" t="s">
        <v>133</v>
      </c>
      <c r="G6342" s="31" t="n">
        <v>3</v>
      </c>
      <c r="H6342" s="41"/>
      <c r="I6342" s="31" t="s">
        <v>158</v>
      </c>
      <c r="J6342" s="31"/>
      <c r="K6342" s="31" t="s">
        <v>150</v>
      </c>
      <c r="L6342" s="45" t="n">
        <f aca="false">DATE(YEAR(B6342),MONTH(B6342),1)</f>
        <v>46266</v>
      </c>
      <c r="M6342" s="31" t="n">
        <f aca="false">WEEKDAY(B6342,2)</f>
        <v>3</v>
      </c>
      <c r="N6342" s="31" t="str">
        <f aca="false">IF(G6342&lt;=INDEX(Assumptions!$B$15:$B$18,MATCH(E6342,Assumptions!$A$15:$A$18,0)),"Yes","No")</f>
        <v>Yes</v>
      </c>
      <c r="O6342" s="31" t="str">
        <f aca="false">IF(H6342="","Open",IF(H6342&lt;=INDEX(Assumptions!$C$15:$C$18,MATCH(E6342,Assumptions!$A$15:$A$18,0)),"Yes","No"))</f>
        <v>Open</v>
      </c>
    </row>
    <row r="6343" customFormat="false" ht="15" hidden="false" customHeight="false" outlineLevel="0" collapsed="false">
      <c r="A6343" s="31" t="s">
        <v>6493</v>
      </c>
      <c r="B6343" s="44" t="n">
        <v>46288</v>
      </c>
      <c r="C6343" s="31" t="s">
        <v>57</v>
      </c>
      <c r="D6343" s="31" t="s">
        <v>65</v>
      </c>
      <c r="E6343" s="31" t="s">
        <v>52</v>
      </c>
      <c r="F6343" s="31" t="s">
        <v>128</v>
      </c>
      <c r="G6343" s="31" t="n">
        <v>5</v>
      </c>
      <c r="H6343" s="41"/>
      <c r="I6343" s="31" t="s">
        <v>158</v>
      </c>
      <c r="J6343" s="31"/>
      <c r="K6343" s="31" t="s">
        <v>150</v>
      </c>
      <c r="L6343" s="45" t="n">
        <f aca="false">DATE(YEAR(B6343),MONTH(B6343),1)</f>
        <v>46266</v>
      </c>
      <c r="M6343" s="31" t="n">
        <f aca="false">WEEKDAY(B6343,2)</f>
        <v>3</v>
      </c>
      <c r="N6343" s="31" t="str">
        <f aca="false">IF(G6343&lt;=INDEX(Assumptions!$B$15:$B$18,MATCH(E6343,Assumptions!$A$15:$A$18,0)),"Yes","No")</f>
        <v>Yes</v>
      </c>
      <c r="O6343" s="31" t="str">
        <f aca="false">IF(H6343="","Open",IF(H6343&lt;=INDEX(Assumptions!$C$15:$C$18,MATCH(E6343,Assumptions!$A$15:$A$18,0)),"Yes","No"))</f>
        <v>Open</v>
      </c>
    </row>
    <row r="6344" customFormat="false" ht="15" hidden="false" customHeight="false" outlineLevel="0" collapsed="false">
      <c r="A6344" s="31" t="s">
        <v>6494</v>
      </c>
      <c r="B6344" s="44" t="n">
        <v>46288</v>
      </c>
      <c r="C6344" s="31" t="s">
        <v>57</v>
      </c>
      <c r="D6344" s="31" t="s">
        <v>66</v>
      </c>
      <c r="E6344" s="31" t="s">
        <v>52</v>
      </c>
      <c r="F6344" s="31" t="s">
        <v>136</v>
      </c>
      <c r="G6344" s="31" t="n">
        <v>10</v>
      </c>
      <c r="H6344" s="41"/>
      <c r="I6344" s="31" t="s">
        <v>158</v>
      </c>
      <c r="J6344" s="31"/>
      <c r="K6344" s="31" t="s">
        <v>150</v>
      </c>
      <c r="L6344" s="45" t="n">
        <f aca="false">DATE(YEAR(B6344),MONTH(B6344),1)</f>
        <v>46266</v>
      </c>
      <c r="M6344" s="31" t="n">
        <f aca="false">WEEKDAY(B6344,2)</f>
        <v>3</v>
      </c>
      <c r="N6344" s="31" t="str">
        <f aca="false">IF(G6344&lt;=INDEX(Assumptions!$B$15:$B$18,MATCH(E6344,Assumptions!$A$15:$A$18,0)),"Yes","No")</f>
        <v>Yes</v>
      </c>
      <c r="O6344" s="31" t="str">
        <f aca="false">IF(H6344="","Open",IF(H6344&lt;=INDEX(Assumptions!$C$15:$C$18,MATCH(E6344,Assumptions!$A$15:$A$18,0)),"Yes","No"))</f>
        <v>Open</v>
      </c>
    </row>
    <row r="6345" customFormat="false" ht="15" hidden="false" customHeight="false" outlineLevel="0" collapsed="false">
      <c r="A6345" s="31" t="s">
        <v>6495</v>
      </c>
      <c r="B6345" s="44" t="n">
        <v>46288</v>
      </c>
      <c r="C6345" s="31" t="s">
        <v>58</v>
      </c>
      <c r="D6345" s="31" t="s">
        <v>68</v>
      </c>
      <c r="E6345" s="31" t="s">
        <v>52</v>
      </c>
      <c r="F6345" s="31" t="s">
        <v>124</v>
      </c>
      <c r="G6345" s="31" t="n">
        <v>3</v>
      </c>
      <c r="H6345" s="41"/>
      <c r="I6345" s="31" t="s">
        <v>158</v>
      </c>
      <c r="J6345" s="31"/>
      <c r="K6345" s="31" t="s">
        <v>150</v>
      </c>
      <c r="L6345" s="45" t="n">
        <f aca="false">DATE(YEAR(B6345),MONTH(B6345),1)</f>
        <v>46266</v>
      </c>
      <c r="M6345" s="31" t="n">
        <f aca="false">WEEKDAY(B6345,2)</f>
        <v>3</v>
      </c>
      <c r="N6345" s="31" t="str">
        <f aca="false">IF(G6345&lt;=INDEX(Assumptions!$B$15:$B$18,MATCH(E6345,Assumptions!$A$15:$A$18,0)),"Yes","No")</f>
        <v>Yes</v>
      </c>
      <c r="O6345" s="31" t="str">
        <f aca="false">IF(H6345="","Open",IF(H6345&lt;=INDEX(Assumptions!$C$15:$C$18,MATCH(E6345,Assumptions!$A$15:$A$18,0)),"Yes","No"))</f>
        <v>Open</v>
      </c>
    </row>
    <row r="6346" customFormat="false" ht="15" hidden="false" customHeight="false" outlineLevel="0" collapsed="false">
      <c r="A6346" s="31" t="s">
        <v>6496</v>
      </c>
      <c r="B6346" s="44" t="n">
        <v>46288</v>
      </c>
      <c r="C6346" s="31" t="s">
        <v>60</v>
      </c>
      <c r="D6346" s="31" t="s">
        <v>65</v>
      </c>
      <c r="E6346" s="31" t="s">
        <v>52</v>
      </c>
      <c r="F6346" s="31" t="s">
        <v>130</v>
      </c>
      <c r="G6346" s="31" t="n">
        <v>4</v>
      </c>
      <c r="H6346" s="41"/>
      <c r="I6346" s="31" t="s">
        <v>158</v>
      </c>
      <c r="J6346" s="31"/>
      <c r="K6346" s="31" t="s">
        <v>150</v>
      </c>
      <c r="L6346" s="45" t="n">
        <f aca="false">DATE(YEAR(B6346),MONTH(B6346),1)</f>
        <v>46266</v>
      </c>
      <c r="M6346" s="31" t="n">
        <f aca="false">WEEKDAY(B6346,2)</f>
        <v>3</v>
      </c>
      <c r="N6346" s="31" t="str">
        <f aca="false">IF(G6346&lt;=INDEX(Assumptions!$B$15:$B$18,MATCH(E6346,Assumptions!$A$15:$A$18,0)),"Yes","No")</f>
        <v>Yes</v>
      </c>
      <c r="O6346" s="31" t="str">
        <f aca="false">IF(H6346="","Open",IF(H6346&lt;=INDEX(Assumptions!$C$15:$C$18,MATCH(E6346,Assumptions!$A$15:$A$18,0)),"Yes","No"))</f>
        <v>Open</v>
      </c>
    </row>
    <row r="6347" customFormat="false" ht="15" hidden="false" customHeight="false" outlineLevel="0" collapsed="false">
      <c r="A6347" s="31" t="s">
        <v>6497</v>
      </c>
      <c r="B6347" s="44" t="n">
        <v>46288</v>
      </c>
      <c r="C6347" s="31" t="s">
        <v>57</v>
      </c>
      <c r="D6347" s="31" t="s">
        <v>69</v>
      </c>
      <c r="E6347" s="31" t="s">
        <v>51</v>
      </c>
      <c r="F6347" s="31" t="s">
        <v>124</v>
      </c>
      <c r="G6347" s="31" t="n">
        <v>9</v>
      </c>
      <c r="H6347" s="41"/>
      <c r="I6347" s="31" t="s">
        <v>158</v>
      </c>
      <c r="J6347" s="31"/>
      <c r="K6347" s="31" t="s">
        <v>150</v>
      </c>
      <c r="L6347" s="45" t="n">
        <f aca="false">DATE(YEAR(B6347),MONTH(B6347),1)</f>
        <v>46266</v>
      </c>
      <c r="M6347" s="31" t="n">
        <f aca="false">WEEKDAY(B6347,2)</f>
        <v>3</v>
      </c>
      <c r="N6347" s="31" t="str">
        <f aca="false">IF(G6347&lt;=INDEX(Assumptions!$B$15:$B$18,MATCH(E6347,Assumptions!$A$15:$A$18,0)),"Yes","No")</f>
        <v>Yes</v>
      </c>
      <c r="O6347" s="31" t="str">
        <f aca="false">IF(H6347="","Open",IF(H6347&lt;=INDEX(Assumptions!$C$15:$C$18,MATCH(E6347,Assumptions!$A$15:$A$18,0)),"Yes","No"))</f>
        <v>Open</v>
      </c>
    </row>
    <row r="6348" customFormat="false" ht="15" hidden="false" customHeight="false" outlineLevel="0" collapsed="false">
      <c r="A6348" s="31" t="s">
        <v>6498</v>
      </c>
      <c r="B6348" s="44" t="n">
        <v>46288</v>
      </c>
      <c r="C6348" s="31" t="s">
        <v>57</v>
      </c>
      <c r="D6348" s="31" t="s">
        <v>69</v>
      </c>
      <c r="E6348" s="31" t="s">
        <v>51</v>
      </c>
      <c r="F6348" s="31" t="s">
        <v>120</v>
      </c>
      <c r="G6348" s="31" t="n">
        <v>2</v>
      </c>
      <c r="H6348" s="41" t="n">
        <v>95.3</v>
      </c>
      <c r="I6348" s="31" t="s">
        <v>149</v>
      </c>
      <c r="J6348" s="31" t="n">
        <v>4</v>
      </c>
      <c r="K6348" s="31" t="s">
        <v>150</v>
      </c>
      <c r="L6348" s="45" t="n">
        <f aca="false">DATE(YEAR(B6348),MONTH(B6348),1)</f>
        <v>46266</v>
      </c>
      <c r="M6348" s="31" t="n">
        <f aca="false">WEEKDAY(B6348,2)</f>
        <v>3</v>
      </c>
      <c r="N6348" s="31" t="str">
        <f aca="false">IF(G6348&lt;=INDEX(Assumptions!$B$15:$B$18,MATCH(E6348,Assumptions!$A$15:$A$18,0)),"Yes","No")</f>
        <v>Yes</v>
      </c>
      <c r="O6348" s="31" t="str">
        <f aca="false">IF(H6348="","Open",IF(H6348&lt;=INDEX(Assumptions!$C$15:$C$18,MATCH(E6348,Assumptions!$A$15:$A$18,0)),"Yes","No"))</f>
        <v>No</v>
      </c>
    </row>
    <row r="6349" customFormat="false" ht="15" hidden="false" customHeight="false" outlineLevel="0" collapsed="false">
      <c r="A6349" s="31" t="s">
        <v>6499</v>
      </c>
      <c r="B6349" s="44" t="n">
        <v>46288</v>
      </c>
      <c r="C6349" s="31" t="s">
        <v>59</v>
      </c>
      <c r="D6349" s="31" t="s">
        <v>65</v>
      </c>
      <c r="E6349" s="31" t="s">
        <v>51</v>
      </c>
      <c r="F6349" s="31" t="s">
        <v>131</v>
      </c>
      <c r="G6349" s="31" t="n">
        <v>61</v>
      </c>
      <c r="H6349" s="41"/>
      <c r="I6349" s="31" t="s">
        <v>158</v>
      </c>
      <c r="J6349" s="31"/>
      <c r="K6349" s="31" t="s">
        <v>150</v>
      </c>
      <c r="L6349" s="45" t="n">
        <f aca="false">DATE(YEAR(B6349),MONTH(B6349),1)</f>
        <v>46266</v>
      </c>
      <c r="M6349" s="31" t="n">
        <f aca="false">WEEKDAY(B6349,2)</f>
        <v>3</v>
      </c>
      <c r="N6349" s="31" t="str">
        <f aca="false">IF(G6349&lt;=INDEX(Assumptions!$B$15:$B$18,MATCH(E6349,Assumptions!$A$15:$A$18,0)),"Yes","No")</f>
        <v>No</v>
      </c>
      <c r="O6349" s="31" t="str">
        <f aca="false">IF(H6349="","Open",IF(H6349&lt;=INDEX(Assumptions!$C$15:$C$18,MATCH(E6349,Assumptions!$A$15:$A$18,0)),"Yes","No"))</f>
        <v>Open</v>
      </c>
    </row>
    <row r="6350" customFormat="false" ht="15" hidden="false" customHeight="false" outlineLevel="0" collapsed="false">
      <c r="A6350" s="31" t="s">
        <v>6500</v>
      </c>
      <c r="B6350" s="44" t="n">
        <v>46288</v>
      </c>
      <c r="C6350" s="31" t="s">
        <v>59</v>
      </c>
      <c r="D6350" s="31" t="s">
        <v>67</v>
      </c>
      <c r="E6350" s="31" t="s">
        <v>52</v>
      </c>
      <c r="F6350" s="31" t="s">
        <v>127</v>
      </c>
      <c r="G6350" s="31" t="n">
        <v>25</v>
      </c>
      <c r="H6350" s="41"/>
      <c r="I6350" s="31" t="s">
        <v>158</v>
      </c>
      <c r="J6350" s="31"/>
      <c r="K6350" s="31" t="s">
        <v>150</v>
      </c>
      <c r="L6350" s="45" t="n">
        <f aca="false">DATE(YEAR(B6350),MONTH(B6350),1)</f>
        <v>46266</v>
      </c>
      <c r="M6350" s="31" t="n">
        <f aca="false">WEEKDAY(B6350,2)</f>
        <v>3</v>
      </c>
      <c r="N6350" s="31" t="str">
        <f aca="false">IF(G6350&lt;=INDEX(Assumptions!$B$15:$B$18,MATCH(E6350,Assumptions!$A$15:$A$18,0)),"Yes","No")</f>
        <v>Yes</v>
      </c>
      <c r="O6350" s="31" t="str">
        <f aca="false">IF(H6350="","Open",IF(H6350&lt;=INDEX(Assumptions!$C$15:$C$18,MATCH(E6350,Assumptions!$A$15:$A$18,0)),"Yes","No"))</f>
        <v>Open</v>
      </c>
    </row>
    <row r="6351" customFormat="false" ht="15" hidden="false" customHeight="false" outlineLevel="0" collapsed="false">
      <c r="A6351" s="31" t="s">
        <v>6501</v>
      </c>
      <c r="B6351" s="44" t="n">
        <v>46288</v>
      </c>
      <c r="C6351" s="31" t="s">
        <v>60</v>
      </c>
      <c r="D6351" s="31" t="s">
        <v>65</v>
      </c>
      <c r="E6351" s="31" t="s">
        <v>51</v>
      </c>
      <c r="F6351" s="31" t="s">
        <v>123</v>
      </c>
      <c r="G6351" s="31" t="n">
        <v>2</v>
      </c>
      <c r="H6351" s="41" t="n">
        <v>13.7</v>
      </c>
      <c r="I6351" s="31" t="s">
        <v>149</v>
      </c>
      <c r="J6351" s="31" t="n">
        <v>4</v>
      </c>
      <c r="K6351" s="31" t="s">
        <v>150</v>
      </c>
      <c r="L6351" s="45" t="n">
        <f aca="false">DATE(YEAR(B6351),MONTH(B6351),1)</f>
        <v>46266</v>
      </c>
      <c r="M6351" s="31" t="n">
        <f aca="false">WEEKDAY(B6351,2)</f>
        <v>3</v>
      </c>
      <c r="N6351" s="31" t="str">
        <f aca="false">IF(G6351&lt;=INDEX(Assumptions!$B$15:$B$18,MATCH(E6351,Assumptions!$A$15:$A$18,0)),"Yes","No")</f>
        <v>Yes</v>
      </c>
      <c r="O6351" s="31" t="str">
        <f aca="false">IF(H6351="","Open",IF(H6351&lt;=INDEX(Assumptions!$C$15:$C$18,MATCH(E6351,Assumptions!$A$15:$A$18,0)),"Yes","No"))</f>
        <v>Yes</v>
      </c>
    </row>
    <row r="6352" customFormat="false" ht="15" hidden="false" customHeight="false" outlineLevel="0" collapsed="false">
      <c r="A6352" s="31" t="s">
        <v>6502</v>
      </c>
      <c r="B6352" s="44" t="n">
        <v>46288</v>
      </c>
      <c r="C6352" s="31" t="s">
        <v>58</v>
      </c>
      <c r="D6352" s="31" t="s">
        <v>68</v>
      </c>
      <c r="E6352" s="31" t="s">
        <v>52</v>
      </c>
      <c r="F6352" s="31" t="s">
        <v>126</v>
      </c>
      <c r="G6352" s="31" t="n">
        <v>10</v>
      </c>
      <c r="H6352" s="41" t="n">
        <v>4.5</v>
      </c>
      <c r="I6352" s="31" t="s">
        <v>149</v>
      </c>
      <c r="J6352" s="31"/>
      <c r="K6352" s="31" t="s">
        <v>150</v>
      </c>
      <c r="L6352" s="45" t="n">
        <f aca="false">DATE(YEAR(B6352),MONTH(B6352),1)</f>
        <v>46266</v>
      </c>
      <c r="M6352" s="31" t="n">
        <f aca="false">WEEKDAY(B6352,2)</f>
        <v>3</v>
      </c>
      <c r="N6352" s="31" t="str">
        <f aca="false">IF(G6352&lt;=INDEX(Assumptions!$B$15:$B$18,MATCH(E6352,Assumptions!$A$15:$A$18,0)),"Yes","No")</f>
        <v>Yes</v>
      </c>
      <c r="O6352" s="31" t="str">
        <f aca="false">IF(H6352="","Open",IF(H6352&lt;=INDEX(Assumptions!$C$15:$C$18,MATCH(E6352,Assumptions!$A$15:$A$18,0)),"Yes","No"))</f>
        <v>Yes</v>
      </c>
    </row>
    <row r="6353" customFormat="false" ht="15" hidden="false" customHeight="false" outlineLevel="0" collapsed="false">
      <c r="A6353" s="31" t="s">
        <v>6503</v>
      </c>
      <c r="B6353" s="44" t="n">
        <v>46288</v>
      </c>
      <c r="C6353" s="31" t="s">
        <v>60</v>
      </c>
      <c r="D6353" s="31" t="s">
        <v>66</v>
      </c>
      <c r="E6353" s="31" t="s">
        <v>50</v>
      </c>
      <c r="F6353" s="31" t="s">
        <v>123</v>
      </c>
      <c r="G6353" s="31" t="n">
        <v>1</v>
      </c>
      <c r="H6353" s="41"/>
      <c r="I6353" s="31" t="s">
        <v>158</v>
      </c>
      <c r="J6353" s="31"/>
      <c r="K6353" s="31" t="s">
        <v>150</v>
      </c>
      <c r="L6353" s="45" t="n">
        <f aca="false">DATE(YEAR(B6353),MONTH(B6353),1)</f>
        <v>46266</v>
      </c>
      <c r="M6353" s="31" t="n">
        <f aca="false">WEEKDAY(B6353,2)</f>
        <v>3</v>
      </c>
      <c r="N6353" s="31" t="str">
        <f aca="false">IF(G6353&lt;=INDEX(Assumptions!$B$15:$B$18,MATCH(E6353,Assumptions!$A$15:$A$18,0)),"Yes","No")</f>
        <v>Yes</v>
      </c>
      <c r="O6353" s="31" t="str">
        <f aca="false">IF(H6353="","Open",IF(H6353&lt;=INDEX(Assumptions!$C$15:$C$18,MATCH(E6353,Assumptions!$A$15:$A$18,0)),"Yes","No"))</f>
        <v>Open</v>
      </c>
    </row>
    <row r="6354" customFormat="false" ht="15" hidden="false" customHeight="false" outlineLevel="0" collapsed="false">
      <c r="A6354" s="31" t="s">
        <v>6504</v>
      </c>
      <c r="B6354" s="44" t="n">
        <v>46288</v>
      </c>
      <c r="C6354" s="31" t="s">
        <v>58</v>
      </c>
      <c r="D6354" s="31" t="s">
        <v>67</v>
      </c>
      <c r="E6354" s="31" t="s">
        <v>50</v>
      </c>
      <c r="F6354" s="31" t="s">
        <v>117</v>
      </c>
      <c r="G6354" s="31" t="n">
        <v>9</v>
      </c>
      <c r="H6354" s="41" t="n">
        <v>12.3</v>
      </c>
      <c r="I6354" s="31" t="s">
        <v>149</v>
      </c>
      <c r="J6354" s="31" t="n">
        <v>4</v>
      </c>
      <c r="K6354" s="31" t="s">
        <v>150</v>
      </c>
      <c r="L6354" s="45" t="n">
        <f aca="false">DATE(YEAR(B6354),MONTH(B6354),1)</f>
        <v>46266</v>
      </c>
      <c r="M6354" s="31" t="n">
        <f aca="false">WEEKDAY(B6354,2)</f>
        <v>3</v>
      </c>
      <c r="N6354" s="31" t="str">
        <f aca="false">IF(G6354&lt;=INDEX(Assumptions!$B$15:$B$18,MATCH(E6354,Assumptions!$A$15:$A$18,0)),"Yes","No")</f>
        <v>Yes</v>
      </c>
      <c r="O6354" s="31" t="str">
        <f aca="false">IF(H6354="","Open",IF(H6354&lt;=INDEX(Assumptions!$C$15:$C$18,MATCH(E6354,Assumptions!$A$15:$A$18,0)),"Yes","No"))</f>
        <v>No</v>
      </c>
    </row>
    <row r="6355" customFormat="false" ht="15" hidden="false" customHeight="false" outlineLevel="0" collapsed="false">
      <c r="A6355" s="31" t="s">
        <v>6505</v>
      </c>
      <c r="B6355" s="44" t="n">
        <v>46288</v>
      </c>
      <c r="C6355" s="31" t="s">
        <v>58</v>
      </c>
      <c r="D6355" s="31" t="s">
        <v>65</v>
      </c>
      <c r="E6355" s="31" t="s">
        <v>51</v>
      </c>
      <c r="F6355" s="31" t="s">
        <v>126</v>
      </c>
      <c r="G6355" s="31" t="n">
        <v>2</v>
      </c>
      <c r="H6355" s="41"/>
      <c r="I6355" s="31" t="s">
        <v>158</v>
      </c>
      <c r="J6355" s="31"/>
      <c r="K6355" s="31" t="s">
        <v>150</v>
      </c>
      <c r="L6355" s="45" t="n">
        <f aca="false">DATE(YEAR(B6355),MONTH(B6355),1)</f>
        <v>46266</v>
      </c>
      <c r="M6355" s="31" t="n">
        <f aca="false">WEEKDAY(B6355,2)</f>
        <v>3</v>
      </c>
      <c r="N6355" s="31" t="str">
        <f aca="false">IF(G6355&lt;=INDEX(Assumptions!$B$15:$B$18,MATCH(E6355,Assumptions!$A$15:$A$18,0)),"Yes","No")</f>
        <v>Yes</v>
      </c>
      <c r="O6355" s="31" t="str">
        <f aca="false">IF(H6355="","Open",IF(H6355&lt;=INDEX(Assumptions!$C$15:$C$18,MATCH(E6355,Assumptions!$A$15:$A$18,0)),"Yes","No"))</f>
        <v>Open</v>
      </c>
    </row>
    <row r="6356" customFormat="false" ht="15" hidden="false" customHeight="false" outlineLevel="0" collapsed="false">
      <c r="A6356" s="31" t="s">
        <v>6506</v>
      </c>
      <c r="B6356" s="44" t="n">
        <v>46288</v>
      </c>
      <c r="C6356" s="31" t="s">
        <v>60</v>
      </c>
      <c r="D6356" s="31" t="s">
        <v>66</v>
      </c>
      <c r="E6356" s="31" t="s">
        <v>50</v>
      </c>
      <c r="F6356" s="31" t="s">
        <v>120</v>
      </c>
      <c r="G6356" s="31" t="n">
        <v>2</v>
      </c>
      <c r="H6356" s="41" t="n">
        <v>2.5</v>
      </c>
      <c r="I6356" s="31" t="s">
        <v>149</v>
      </c>
      <c r="J6356" s="31" t="n">
        <v>4</v>
      </c>
      <c r="K6356" s="31" t="s">
        <v>150</v>
      </c>
      <c r="L6356" s="45" t="n">
        <f aca="false">DATE(YEAR(B6356),MONTH(B6356),1)</f>
        <v>46266</v>
      </c>
      <c r="M6356" s="31" t="n">
        <f aca="false">WEEKDAY(B6356,2)</f>
        <v>3</v>
      </c>
      <c r="N6356" s="31" t="str">
        <f aca="false">IF(G6356&lt;=INDEX(Assumptions!$B$15:$B$18,MATCH(E6356,Assumptions!$A$15:$A$18,0)),"Yes","No")</f>
        <v>Yes</v>
      </c>
      <c r="O6356" s="31" t="str">
        <f aca="false">IF(H6356="","Open",IF(H6356&lt;=INDEX(Assumptions!$C$15:$C$18,MATCH(E6356,Assumptions!$A$15:$A$18,0)),"Yes","No"))</f>
        <v>Yes</v>
      </c>
    </row>
    <row r="6357" customFormat="false" ht="15" hidden="false" customHeight="false" outlineLevel="0" collapsed="false">
      <c r="A6357" s="31" t="s">
        <v>6507</v>
      </c>
      <c r="B6357" s="44" t="n">
        <v>46288</v>
      </c>
      <c r="C6357" s="31" t="s">
        <v>58</v>
      </c>
      <c r="D6357" s="31" t="s">
        <v>65</v>
      </c>
      <c r="E6357" s="31" t="s">
        <v>52</v>
      </c>
      <c r="F6357" s="31" t="s">
        <v>124</v>
      </c>
      <c r="G6357" s="31" t="n">
        <v>9</v>
      </c>
      <c r="H6357" s="41" t="n">
        <v>22.6</v>
      </c>
      <c r="I6357" s="31" t="s">
        <v>149</v>
      </c>
      <c r="J6357" s="31"/>
      <c r="K6357" s="31" t="s">
        <v>150</v>
      </c>
      <c r="L6357" s="45" t="n">
        <f aca="false">DATE(YEAR(B6357),MONTH(B6357),1)</f>
        <v>46266</v>
      </c>
      <c r="M6357" s="31" t="n">
        <f aca="false">WEEKDAY(B6357,2)</f>
        <v>3</v>
      </c>
      <c r="N6357" s="31" t="str">
        <f aca="false">IF(G6357&lt;=INDEX(Assumptions!$B$15:$B$18,MATCH(E6357,Assumptions!$A$15:$A$18,0)),"Yes","No")</f>
        <v>Yes</v>
      </c>
      <c r="O6357" s="31" t="str">
        <f aca="false">IF(H6357="","Open",IF(H6357&lt;=INDEX(Assumptions!$C$15:$C$18,MATCH(E6357,Assumptions!$A$15:$A$18,0)),"Yes","No"))</f>
        <v>Yes</v>
      </c>
    </row>
    <row r="6358" customFormat="false" ht="15" hidden="false" customHeight="false" outlineLevel="0" collapsed="false">
      <c r="A6358" s="31" t="s">
        <v>6508</v>
      </c>
      <c r="B6358" s="44" t="n">
        <v>46288</v>
      </c>
      <c r="C6358" s="31" t="s">
        <v>58</v>
      </c>
      <c r="D6358" s="31" t="s">
        <v>67</v>
      </c>
      <c r="E6358" s="31" t="s">
        <v>52</v>
      </c>
      <c r="F6358" s="31" t="s">
        <v>126</v>
      </c>
      <c r="G6358" s="31" t="n">
        <v>3</v>
      </c>
      <c r="H6358" s="41" t="n">
        <v>13.2</v>
      </c>
      <c r="I6358" s="31" t="s">
        <v>149</v>
      </c>
      <c r="J6358" s="31"/>
      <c r="K6358" s="31" t="s">
        <v>150</v>
      </c>
      <c r="L6358" s="45" t="n">
        <f aca="false">DATE(YEAR(B6358),MONTH(B6358),1)</f>
        <v>46266</v>
      </c>
      <c r="M6358" s="31" t="n">
        <f aca="false">WEEKDAY(B6358,2)</f>
        <v>3</v>
      </c>
      <c r="N6358" s="31" t="str">
        <f aca="false">IF(G6358&lt;=INDEX(Assumptions!$B$15:$B$18,MATCH(E6358,Assumptions!$A$15:$A$18,0)),"Yes","No")</f>
        <v>Yes</v>
      </c>
      <c r="O6358" s="31" t="str">
        <f aca="false">IF(H6358="","Open",IF(H6358&lt;=INDEX(Assumptions!$C$15:$C$18,MATCH(E6358,Assumptions!$A$15:$A$18,0)),"Yes","No"))</f>
        <v>Yes</v>
      </c>
    </row>
    <row r="6359" customFormat="false" ht="15" hidden="false" customHeight="false" outlineLevel="0" collapsed="false">
      <c r="A6359" s="31" t="s">
        <v>6509</v>
      </c>
      <c r="B6359" s="44" t="n">
        <v>46288</v>
      </c>
      <c r="C6359" s="31" t="s">
        <v>60</v>
      </c>
      <c r="D6359" s="31" t="s">
        <v>67</v>
      </c>
      <c r="E6359" s="31" t="s">
        <v>52</v>
      </c>
      <c r="F6359" s="31" t="s">
        <v>122</v>
      </c>
      <c r="G6359" s="31" t="n">
        <v>2</v>
      </c>
      <c r="H6359" s="41" t="n">
        <v>17.5</v>
      </c>
      <c r="I6359" s="31" t="s">
        <v>149</v>
      </c>
      <c r="J6359" s="31" t="n">
        <v>4</v>
      </c>
      <c r="K6359" s="31" t="s">
        <v>150</v>
      </c>
      <c r="L6359" s="45" t="n">
        <f aca="false">DATE(YEAR(B6359),MONTH(B6359),1)</f>
        <v>46266</v>
      </c>
      <c r="M6359" s="31" t="n">
        <f aca="false">WEEKDAY(B6359,2)</f>
        <v>3</v>
      </c>
      <c r="N6359" s="31" t="str">
        <f aca="false">IF(G6359&lt;=INDEX(Assumptions!$B$15:$B$18,MATCH(E6359,Assumptions!$A$15:$A$18,0)),"Yes","No")</f>
        <v>Yes</v>
      </c>
      <c r="O6359" s="31" t="str">
        <f aca="false">IF(H6359="","Open",IF(H6359&lt;=INDEX(Assumptions!$C$15:$C$18,MATCH(E6359,Assumptions!$A$15:$A$18,0)),"Yes","No"))</f>
        <v>Yes</v>
      </c>
    </row>
    <row r="6360" customFormat="false" ht="15" hidden="false" customHeight="false" outlineLevel="0" collapsed="false">
      <c r="A6360" s="31" t="s">
        <v>6510</v>
      </c>
      <c r="B6360" s="44" t="n">
        <v>46288</v>
      </c>
      <c r="C6360" s="31" t="s">
        <v>58</v>
      </c>
      <c r="D6360" s="31" t="s">
        <v>68</v>
      </c>
      <c r="E6360" s="31" t="s">
        <v>52</v>
      </c>
      <c r="F6360" s="31" t="s">
        <v>127</v>
      </c>
      <c r="G6360" s="31" t="n">
        <v>7</v>
      </c>
      <c r="H6360" s="41"/>
      <c r="I6360" s="31" t="s">
        <v>158</v>
      </c>
      <c r="J6360" s="31"/>
      <c r="K6360" s="31" t="s">
        <v>150</v>
      </c>
      <c r="L6360" s="45" t="n">
        <f aca="false">DATE(YEAR(B6360),MONTH(B6360),1)</f>
        <v>46266</v>
      </c>
      <c r="M6360" s="31" t="n">
        <f aca="false">WEEKDAY(B6360,2)</f>
        <v>3</v>
      </c>
      <c r="N6360" s="31" t="str">
        <f aca="false">IF(G6360&lt;=INDEX(Assumptions!$B$15:$B$18,MATCH(E6360,Assumptions!$A$15:$A$18,0)),"Yes","No")</f>
        <v>Yes</v>
      </c>
      <c r="O6360" s="31" t="str">
        <f aca="false">IF(H6360="","Open",IF(H6360&lt;=INDEX(Assumptions!$C$15:$C$18,MATCH(E6360,Assumptions!$A$15:$A$18,0)),"Yes","No"))</f>
        <v>Open</v>
      </c>
    </row>
    <row r="6361" customFormat="false" ht="15" hidden="false" customHeight="false" outlineLevel="0" collapsed="false">
      <c r="A6361" s="31" t="s">
        <v>6511</v>
      </c>
      <c r="B6361" s="44" t="n">
        <v>46288</v>
      </c>
      <c r="C6361" s="31" t="s">
        <v>60</v>
      </c>
      <c r="D6361" s="31" t="s">
        <v>67</v>
      </c>
      <c r="E6361" s="31" t="s">
        <v>51</v>
      </c>
      <c r="F6361" s="31" t="s">
        <v>120</v>
      </c>
      <c r="G6361" s="31" t="n">
        <v>2</v>
      </c>
      <c r="H6361" s="41"/>
      <c r="I6361" s="31" t="s">
        <v>158</v>
      </c>
      <c r="J6361" s="31"/>
      <c r="K6361" s="31" t="s">
        <v>150</v>
      </c>
      <c r="L6361" s="45" t="n">
        <f aca="false">DATE(YEAR(B6361),MONTH(B6361),1)</f>
        <v>46266</v>
      </c>
      <c r="M6361" s="31" t="n">
        <f aca="false">WEEKDAY(B6361,2)</f>
        <v>3</v>
      </c>
      <c r="N6361" s="31" t="str">
        <f aca="false">IF(G6361&lt;=INDEX(Assumptions!$B$15:$B$18,MATCH(E6361,Assumptions!$A$15:$A$18,0)),"Yes","No")</f>
        <v>Yes</v>
      </c>
      <c r="O6361" s="31" t="str">
        <f aca="false">IF(H6361="","Open",IF(H6361&lt;=INDEX(Assumptions!$C$15:$C$18,MATCH(E6361,Assumptions!$A$15:$A$18,0)),"Yes","No"))</f>
        <v>Open</v>
      </c>
    </row>
    <row r="6362" customFormat="false" ht="15" hidden="false" customHeight="false" outlineLevel="0" collapsed="false">
      <c r="A6362" s="31" t="s">
        <v>6512</v>
      </c>
      <c r="B6362" s="44" t="n">
        <v>46288</v>
      </c>
      <c r="C6362" s="31" t="s">
        <v>59</v>
      </c>
      <c r="D6362" s="31" t="s">
        <v>68</v>
      </c>
      <c r="E6362" s="31" t="s">
        <v>52</v>
      </c>
      <c r="F6362" s="31" t="s">
        <v>122</v>
      </c>
      <c r="G6362" s="31" t="n">
        <v>85</v>
      </c>
      <c r="H6362" s="41" t="n">
        <v>2.8</v>
      </c>
      <c r="I6362" s="31" t="s">
        <v>149</v>
      </c>
      <c r="J6362" s="31"/>
      <c r="K6362" s="31" t="s">
        <v>150</v>
      </c>
      <c r="L6362" s="45" t="n">
        <f aca="false">DATE(YEAR(B6362),MONTH(B6362),1)</f>
        <v>46266</v>
      </c>
      <c r="M6362" s="31" t="n">
        <f aca="false">WEEKDAY(B6362,2)</f>
        <v>3</v>
      </c>
      <c r="N6362" s="31" t="str">
        <f aca="false">IF(G6362&lt;=INDEX(Assumptions!$B$15:$B$18,MATCH(E6362,Assumptions!$A$15:$A$18,0)),"Yes","No")</f>
        <v>Yes</v>
      </c>
      <c r="O6362" s="31" t="str">
        <f aca="false">IF(H6362="","Open",IF(H6362&lt;=INDEX(Assumptions!$C$15:$C$18,MATCH(E6362,Assumptions!$A$15:$A$18,0)),"Yes","No"))</f>
        <v>Yes</v>
      </c>
    </row>
    <row r="6363" customFormat="false" ht="15" hidden="false" customHeight="false" outlineLevel="0" collapsed="false">
      <c r="A6363" s="31" t="s">
        <v>6513</v>
      </c>
      <c r="B6363" s="44" t="n">
        <v>46288</v>
      </c>
      <c r="C6363" s="31" t="s">
        <v>59</v>
      </c>
      <c r="D6363" s="31" t="s">
        <v>65</v>
      </c>
      <c r="E6363" s="31" t="s">
        <v>51</v>
      </c>
      <c r="F6363" s="31" t="s">
        <v>128</v>
      </c>
      <c r="G6363" s="31" t="n">
        <v>69</v>
      </c>
      <c r="H6363" s="41" t="n">
        <v>15.5</v>
      </c>
      <c r="I6363" s="31" t="s">
        <v>149</v>
      </c>
      <c r="J6363" s="31"/>
      <c r="K6363" s="31" t="s">
        <v>153</v>
      </c>
      <c r="L6363" s="45" t="n">
        <f aca="false">DATE(YEAR(B6363),MONTH(B6363),1)</f>
        <v>46266</v>
      </c>
      <c r="M6363" s="31" t="n">
        <f aca="false">WEEKDAY(B6363,2)</f>
        <v>3</v>
      </c>
      <c r="N6363" s="31" t="str">
        <f aca="false">IF(G6363&lt;=INDEX(Assumptions!$B$15:$B$18,MATCH(E6363,Assumptions!$A$15:$A$18,0)),"Yes","No")</f>
        <v>No</v>
      </c>
      <c r="O6363" s="31" t="str">
        <f aca="false">IF(H6363="","Open",IF(H6363&lt;=INDEX(Assumptions!$C$15:$C$18,MATCH(E6363,Assumptions!$A$15:$A$18,0)),"Yes","No"))</f>
        <v>Yes</v>
      </c>
    </row>
    <row r="6364" customFormat="false" ht="15" hidden="false" customHeight="false" outlineLevel="0" collapsed="false">
      <c r="A6364" s="31" t="s">
        <v>6514</v>
      </c>
      <c r="B6364" s="44" t="n">
        <v>46288</v>
      </c>
      <c r="C6364" s="31" t="s">
        <v>59</v>
      </c>
      <c r="D6364" s="31" t="s">
        <v>65</v>
      </c>
      <c r="E6364" s="31" t="s">
        <v>52</v>
      </c>
      <c r="F6364" s="31" t="s">
        <v>117</v>
      </c>
      <c r="G6364" s="31" t="n">
        <v>62</v>
      </c>
      <c r="H6364" s="41"/>
      <c r="I6364" s="31" t="s">
        <v>158</v>
      </c>
      <c r="J6364" s="31"/>
      <c r="K6364" s="31" t="s">
        <v>150</v>
      </c>
      <c r="L6364" s="45" t="n">
        <f aca="false">DATE(YEAR(B6364),MONTH(B6364),1)</f>
        <v>46266</v>
      </c>
      <c r="M6364" s="31" t="n">
        <f aca="false">WEEKDAY(B6364,2)</f>
        <v>3</v>
      </c>
      <c r="N6364" s="31" t="str">
        <f aca="false">IF(G6364&lt;=INDEX(Assumptions!$B$15:$B$18,MATCH(E6364,Assumptions!$A$15:$A$18,0)),"Yes","No")</f>
        <v>Yes</v>
      </c>
      <c r="O6364" s="31" t="str">
        <f aca="false">IF(H6364="","Open",IF(H6364&lt;=INDEX(Assumptions!$C$15:$C$18,MATCH(E6364,Assumptions!$A$15:$A$18,0)),"Yes","No"))</f>
        <v>Open</v>
      </c>
    </row>
    <row r="6365" customFormat="false" ht="15" hidden="false" customHeight="false" outlineLevel="0" collapsed="false">
      <c r="A6365" s="31" t="s">
        <v>6515</v>
      </c>
      <c r="B6365" s="44" t="n">
        <v>46288</v>
      </c>
      <c r="C6365" s="31" t="s">
        <v>59</v>
      </c>
      <c r="D6365" s="31" t="s">
        <v>66</v>
      </c>
      <c r="E6365" s="31" t="s">
        <v>51</v>
      </c>
      <c r="F6365" s="31" t="s">
        <v>133</v>
      </c>
      <c r="G6365" s="31" t="n">
        <v>68</v>
      </c>
      <c r="H6365" s="41"/>
      <c r="I6365" s="31" t="s">
        <v>158</v>
      </c>
      <c r="J6365" s="31"/>
      <c r="K6365" s="31" t="s">
        <v>150</v>
      </c>
      <c r="L6365" s="45" t="n">
        <f aca="false">DATE(YEAR(B6365),MONTH(B6365),1)</f>
        <v>46266</v>
      </c>
      <c r="M6365" s="31" t="n">
        <f aca="false">WEEKDAY(B6365,2)</f>
        <v>3</v>
      </c>
      <c r="N6365" s="31" t="str">
        <f aca="false">IF(G6365&lt;=INDEX(Assumptions!$B$15:$B$18,MATCH(E6365,Assumptions!$A$15:$A$18,0)),"Yes","No")</f>
        <v>No</v>
      </c>
      <c r="O6365" s="31" t="str">
        <f aca="false">IF(H6365="","Open",IF(H6365&lt;=INDEX(Assumptions!$C$15:$C$18,MATCH(E6365,Assumptions!$A$15:$A$18,0)),"Yes","No"))</f>
        <v>Open</v>
      </c>
    </row>
    <row r="6366" customFormat="false" ht="15" hidden="false" customHeight="false" outlineLevel="0" collapsed="false">
      <c r="A6366" s="31" t="s">
        <v>6516</v>
      </c>
      <c r="B6366" s="44" t="n">
        <v>46288</v>
      </c>
      <c r="C6366" s="31" t="s">
        <v>57</v>
      </c>
      <c r="D6366" s="31" t="s">
        <v>65</v>
      </c>
      <c r="E6366" s="31" t="s">
        <v>50</v>
      </c>
      <c r="F6366" s="31" t="s">
        <v>135</v>
      </c>
      <c r="G6366" s="31" t="n">
        <v>1</v>
      </c>
      <c r="H6366" s="41"/>
      <c r="I6366" s="31" t="s">
        <v>158</v>
      </c>
      <c r="J6366" s="31"/>
      <c r="K6366" s="31" t="s">
        <v>150</v>
      </c>
      <c r="L6366" s="45" t="n">
        <f aca="false">DATE(YEAR(B6366),MONTH(B6366),1)</f>
        <v>46266</v>
      </c>
      <c r="M6366" s="31" t="n">
        <f aca="false">WEEKDAY(B6366,2)</f>
        <v>3</v>
      </c>
      <c r="N6366" s="31" t="str">
        <f aca="false">IF(G6366&lt;=INDEX(Assumptions!$B$15:$B$18,MATCH(E6366,Assumptions!$A$15:$A$18,0)),"Yes","No")</f>
        <v>Yes</v>
      </c>
      <c r="O6366" s="31" t="str">
        <f aca="false">IF(H6366="","Open",IF(H6366&lt;=INDEX(Assumptions!$C$15:$C$18,MATCH(E6366,Assumptions!$A$15:$A$18,0)),"Yes","No"))</f>
        <v>Open</v>
      </c>
    </row>
    <row r="6367" customFormat="false" ht="15" hidden="false" customHeight="false" outlineLevel="0" collapsed="false">
      <c r="A6367" s="31" t="s">
        <v>6517</v>
      </c>
      <c r="B6367" s="44" t="n">
        <v>46288</v>
      </c>
      <c r="C6367" s="31" t="s">
        <v>59</v>
      </c>
      <c r="D6367" s="31" t="s">
        <v>66</v>
      </c>
      <c r="E6367" s="31" t="s">
        <v>51</v>
      </c>
      <c r="F6367" s="31" t="s">
        <v>127</v>
      </c>
      <c r="G6367" s="31" t="n">
        <v>149</v>
      </c>
      <c r="H6367" s="41"/>
      <c r="I6367" s="31" t="s">
        <v>158</v>
      </c>
      <c r="J6367" s="31"/>
      <c r="K6367" s="31" t="s">
        <v>150</v>
      </c>
      <c r="L6367" s="45" t="n">
        <f aca="false">DATE(YEAR(B6367),MONTH(B6367),1)</f>
        <v>46266</v>
      </c>
      <c r="M6367" s="31" t="n">
        <f aca="false">WEEKDAY(B6367,2)</f>
        <v>3</v>
      </c>
      <c r="N6367" s="31" t="str">
        <f aca="false">IF(G6367&lt;=INDEX(Assumptions!$B$15:$B$18,MATCH(E6367,Assumptions!$A$15:$A$18,0)),"Yes","No")</f>
        <v>No</v>
      </c>
      <c r="O6367" s="31" t="str">
        <f aca="false">IF(H6367="","Open",IF(H6367&lt;=INDEX(Assumptions!$C$15:$C$18,MATCH(E6367,Assumptions!$A$15:$A$18,0)),"Yes","No"))</f>
        <v>Open</v>
      </c>
    </row>
    <row r="6368" customFormat="false" ht="15" hidden="false" customHeight="false" outlineLevel="0" collapsed="false">
      <c r="A6368" s="31" t="s">
        <v>6518</v>
      </c>
      <c r="B6368" s="44" t="n">
        <v>46288</v>
      </c>
      <c r="C6368" s="31" t="s">
        <v>59</v>
      </c>
      <c r="D6368" s="31" t="s">
        <v>68</v>
      </c>
      <c r="E6368" s="31" t="s">
        <v>52</v>
      </c>
      <c r="F6368" s="31" t="s">
        <v>135</v>
      </c>
      <c r="G6368" s="31" t="n">
        <v>235</v>
      </c>
      <c r="H6368" s="41"/>
      <c r="I6368" s="31" t="s">
        <v>158</v>
      </c>
      <c r="J6368" s="31"/>
      <c r="K6368" s="31" t="s">
        <v>150</v>
      </c>
      <c r="L6368" s="45" t="n">
        <f aca="false">DATE(YEAR(B6368),MONTH(B6368),1)</f>
        <v>46266</v>
      </c>
      <c r="M6368" s="31" t="n">
        <f aca="false">WEEKDAY(B6368,2)</f>
        <v>3</v>
      </c>
      <c r="N6368" s="31" t="str">
        <f aca="false">IF(G6368&lt;=INDEX(Assumptions!$B$15:$B$18,MATCH(E6368,Assumptions!$A$15:$A$18,0)),"Yes","No")</f>
        <v>Yes</v>
      </c>
      <c r="O6368" s="31" t="str">
        <f aca="false">IF(H6368="","Open",IF(H6368&lt;=INDEX(Assumptions!$C$15:$C$18,MATCH(E6368,Assumptions!$A$15:$A$18,0)),"Yes","No"))</f>
        <v>Open</v>
      </c>
    </row>
    <row r="6369" customFormat="false" ht="15" hidden="false" customHeight="false" outlineLevel="0" collapsed="false">
      <c r="A6369" s="31" t="s">
        <v>6519</v>
      </c>
      <c r="B6369" s="44" t="n">
        <v>46288</v>
      </c>
      <c r="C6369" s="31" t="s">
        <v>59</v>
      </c>
      <c r="D6369" s="31" t="s">
        <v>65</v>
      </c>
      <c r="E6369" s="31" t="s">
        <v>51</v>
      </c>
      <c r="F6369" s="31" t="s">
        <v>136</v>
      </c>
      <c r="G6369" s="31" t="n">
        <v>21</v>
      </c>
      <c r="H6369" s="41"/>
      <c r="I6369" s="31" t="s">
        <v>158</v>
      </c>
      <c r="J6369" s="31"/>
      <c r="K6369" s="31" t="s">
        <v>150</v>
      </c>
      <c r="L6369" s="45" t="n">
        <f aca="false">DATE(YEAR(B6369),MONTH(B6369),1)</f>
        <v>46266</v>
      </c>
      <c r="M6369" s="31" t="n">
        <f aca="false">WEEKDAY(B6369,2)</f>
        <v>3</v>
      </c>
      <c r="N6369" s="31" t="str">
        <f aca="false">IF(G6369&lt;=INDEX(Assumptions!$B$15:$B$18,MATCH(E6369,Assumptions!$A$15:$A$18,0)),"Yes","No")</f>
        <v>Yes</v>
      </c>
      <c r="O6369" s="31" t="str">
        <f aca="false">IF(H6369="","Open",IF(H6369&lt;=INDEX(Assumptions!$C$15:$C$18,MATCH(E6369,Assumptions!$A$15:$A$18,0)),"Yes","No"))</f>
        <v>Open</v>
      </c>
    </row>
    <row r="6370" customFormat="false" ht="15" hidden="false" customHeight="false" outlineLevel="0" collapsed="false">
      <c r="A6370" s="31" t="s">
        <v>6520</v>
      </c>
      <c r="B6370" s="44" t="n">
        <v>46288</v>
      </c>
      <c r="C6370" s="31" t="s">
        <v>59</v>
      </c>
      <c r="D6370" s="31" t="s">
        <v>66</v>
      </c>
      <c r="E6370" s="31" t="s">
        <v>50</v>
      </c>
      <c r="F6370" s="31" t="s">
        <v>136</v>
      </c>
      <c r="G6370" s="31" t="n">
        <v>17</v>
      </c>
      <c r="H6370" s="41"/>
      <c r="I6370" s="31" t="s">
        <v>158</v>
      </c>
      <c r="J6370" s="31"/>
      <c r="K6370" s="31" t="s">
        <v>150</v>
      </c>
      <c r="L6370" s="45" t="n">
        <f aca="false">DATE(YEAR(B6370),MONTH(B6370),1)</f>
        <v>46266</v>
      </c>
      <c r="M6370" s="31" t="n">
        <f aca="false">WEEKDAY(B6370,2)</f>
        <v>3</v>
      </c>
      <c r="N6370" s="31" t="str">
        <f aca="false">IF(G6370&lt;=INDEX(Assumptions!$B$15:$B$18,MATCH(E6370,Assumptions!$A$15:$A$18,0)),"Yes","No")</f>
        <v>Yes</v>
      </c>
      <c r="O6370" s="31" t="str">
        <f aca="false">IF(H6370="","Open",IF(H6370&lt;=INDEX(Assumptions!$C$15:$C$18,MATCH(E6370,Assumptions!$A$15:$A$18,0)),"Yes","No"))</f>
        <v>Open</v>
      </c>
    </row>
    <row r="6371" customFormat="false" ht="15" hidden="false" customHeight="false" outlineLevel="0" collapsed="false">
      <c r="A6371" s="31" t="s">
        <v>6521</v>
      </c>
      <c r="B6371" s="44" t="n">
        <v>46288</v>
      </c>
      <c r="C6371" s="31" t="s">
        <v>58</v>
      </c>
      <c r="D6371" s="31" t="s">
        <v>67</v>
      </c>
      <c r="E6371" s="31" t="s">
        <v>50</v>
      </c>
      <c r="F6371" s="31" t="s">
        <v>137</v>
      </c>
      <c r="G6371" s="31" t="n">
        <v>2</v>
      </c>
      <c r="H6371" s="41" t="n">
        <v>3.5</v>
      </c>
      <c r="I6371" s="31" t="s">
        <v>149</v>
      </c>
      <c r="J6371" s="31" t="n">
        <v>4</v>
      </c>
      <c r="K6371" s="31" t="s">
        <v>150</v>
      </c>
      <c r="L6371" s="45" t="n">
        <f aca="false">DATE(YEAR(B6371),MONTH(B6371),1)</f>
        <v>46266</v>
      </c>
      <c r="M6371" s="31" t="n">
        <f aca="false">WEEKDAY(B6371,2)</f>
        <v>3</v>
      </c>
      <c r="N6371" s="31" t="str">
        <f aca="false">IF(G6371&lt;=INDEX(Assumptions!$B$15:$B$18,MATCH(E6371,Assumptions!$A$15:$A$18,0)),"Yes","No")</f>
        <v>Yes</v>
      </c>
      <c r="O6371" s="31" t="str">
        <f aca="false">IF(H6371="","Open",IF(H6371&lt;=INDEX(Assumptions!$C$15:$C$18,MATCH(E6371,Assumptions!$A$15:$A$18,0)),"Yes","No"))</f>
        <v>Yes</v>
      </c>
    </row>
    <row r="6372" customFormat="false" ht="15" hidden="false" customHeight="false" outlineLevel="0" collapsed="false">
      <c r="A6372" s="31" t="s">
        <v>6522</v>
      </c>
      <c r="B6372" s="44" t="n">
        <v>46288</v>
      </c>
      <c r="C6372" s="31" t="s">
        <v>58</v>
      </c>
      <c r="D6372" s="31" t="s">
        <v>65</v>
      </c>
      <c r="E6372" s="31" t="s">
        <v>51</v>
      </c>
      <c r="F6372" s="31" t="s">
        <v>135</v>
      </c>
      <c r="G6372" s="31" t="n">
        <v>8</v>
      </c>
      <c r="H6372" s="41"/>
      <c r="I6372" s="31" t="s">
        <v>158</v>
      </c>
      <c r="J6372" s="31"/>
      <c r="K6372" s="31" t="s">
        <v>150</v>
      </c>
      <c r="L6372" s="45" t="n">
        <f aca="false">DATE(YEAR(B6372),MONTH(B6372),1)</f>
        <v>46266</v>
      </c>
      <c r="M6372" s="31" t="n">
        <f aca="false">WEEKDAY(B6372,2)</f>
        <v>3</v>
      </c>
      <c r="N6372" s="31" t="str">
        <f aca="false">IF(G6372&lt;=INDEX(Assumptions!$B$15:$B$18,MATCH(E6372,Assumptions!$A$15:$A$18,0)),"Yes","No")</f>
        <v>Yes</v>
      </c>
      <c r="O6372" s="31" t="str">
        <f aca="false">IF(H6372="","Open",IF(H6372&lt;=INDEX(Assumptions!$C$15:$C$18,MATCH(E6372,Assumptions!$A$15:$A$18,0)),"Yes","No"))</f>
        <v>Open</v>
      </c>
    </row>
    <row r="6373" customFormat="false" ht="15" hidden="false" customHeight="false" outlineLevel="0" collapsed="false">
      <c r="A6373" s="31" t="s">
        <v>6523</v>
      </c>
      <c r="B6373" s="44" t="n">
        <v>46289</v>
      </c>
      <c r="C6373" s="31" t="s">
        <v>59</v>
      </c>
      <c r="D6373" s="31" t="s">
        <v>65</v>
      </c>
      <c r="E6373" s="31" t="s">
        <v>50</v>
      </c>
      <c r="F6373" s="31" t="s">
        <v>133</v>
      </c>
      <c r="G6373" s="31" t="n">
        <v>22</v>
      </c>
      <c r="H6373" s="41" t="n">
        <v>2.9</v>
      </c>
      <c r="I6373" s="31" t="s">
        <v>149</v>
      </c>
      <c r="J6373" s="31" t="n">
        <v>4</v>
      </c>
      <c r="K6373" s="31" t="s">
        <v>150</v>
      </c>
      <c r="L6373" s="45" t="n">
        <f aca="false">DATE(YEAR(B6373),MONTH(B6373),1)</f>
        <v>46266</v>
      </c>
      <c r="M6373" s="31" t="n">
        <f aca="false">WEEKDAY(B6373,2)</f>
        <v>4</v>
      </c>
      <c r="N6373" s="31" t="str">
        <f aca="false">IF(G6373&lt;=INDEX(Assumptions!$B$15:$B$18,MATCH(E6373,Assumptions!$A$15:$A$18,0)),"Yes","No")</f>
        <v>Yes</v>
      </c>
      <c r="O6373" s="31" t="str">
        <f aca="false">IF(H6373="","Open",IF(H6373&lt;=INDEX(Assumptions!$C$15:$C$18,MATCH(E6373,Assumptions!$A$15:$A$18,0)),"Yes","No"))</f>
        <v>Yes</v>
      </c>
    </row>
    <row r="6374" customFormat="false" ht="15" hidden="false" customHeight="false" outlineLevel="0" collapsed="false">
      <c r="A6374" s="31" t="s">
        <v>6524</v>
      </c>
      <c r="B6374" s="44" t="n">
        <v>46289</v>
      </c>
      <c r="C6374" s="31" t="s">
        <v>59</v>
      </c>
      <c r="D6374" s="31" t="s">
        <v>66</v>
      </c>
      <c r="E6374" s="31" t="s">
        <v>51</v>
      </c>
      <c r="F6374" s="31" t="s">
        <v>136</v>
      </c>
      <c r="G6374" s="31" t="n">
        <v>120</v>
      </c>
      <c r="H6374" s="41" t="n">
        <v>8.1</v>
      </c>
      <c r="I6374" s="31" t="s">
        <v>149</v>
      </c>
      <c r="J6374" s="31"/>
      <c r="K6374" s="31" t="s">
        <v>150</v>
      </c>
      <c r="L6374" s="45" t="n">
        <f aca="false">DATE(YEAR(B6374),MONTH(B6374),1)</f>
        <v>46266</v>
      </c>
      <c r="M6374" s="31" t="n">
        <f aca="false">WEEKDAY(B6374,2)</f>
        <v>4</v>
      </c>
      <c r="N6374" s="31" t="str">
        <f aca="false">IF(G6374&lt;=INDEX(Assumptions!$B$15:$B$18,MATCH(E6374,Assumptions!$A$15:$A$18,0)),"Yes","No")</f>
        <v>No</v>
      </c>
      <c r="O6374" s="31" t="str">
        <f aca="false">IF(H6374="","Open",IF(H6374&lt;=INDEX(Assumptions!$C$15:$C$18,MATCH(E6374,Assumptions!$A$15:$A$18,0)),"Yes","No"))</f>
        <v>Yes</v>
      </c>
    </row>
    <row r="6375" customFormat="false" ht="15" hidden="false" customHeight="false" outlineLevel="0" collapsed="false">
      <c r="A6375" s="31" t="s">
        <v>6525</v>
      </c>
      <c r="B6375" s="44" t="n">
        <v>46289</v>
      </c>
      <c r="C6375" s="31" t="s">
        <v>60</v>
      </c>
      <c r="D6375" s="31" t="s">
        <v>66</v>
      </c>
      <c r="E6375" s="31" t="s">
        <v>52</v>
      </c>
      <c r="F6375" s="31" t="s">
        <v>134</v>
      </c>
      <c r="G6375" s="31" t="n">
        <v>4</v>
      </c>
      <c r="H6375" s="41"/>
      <c r="I6375" s="31" t="s">
        <v>158</v>
      </c>
      <c r="J6375" s="31"/>
      <c r="K6375" s="31" t="s">
        <v>150</v>
      </c>
      <c r="L6375" s="45" t="n">
        <f aca="false">DATE(YEAR(B6375),MONTH(B6375),1)</f>
        <v>46266</v>
      </c>
      <c r="M6375" s="31" t="n">
        <f aca="false">WEEKDAY(B6375,2)</f>
        <v>4</v>
      </c>
      <c r="N6375" s="31" t="str">
        <f aca="false">IF(G6375&lt;=INDEX(Assumptions!$B$15:$B$18,MATCH(E6375,Assumptions!$A$15:$A$18,0)),"Yes","No")</f>
        <v>Yes</v>
      </c>
      <c r="O6375" s="31" t="str">
        <f aca="false">IF(H6375="","Open",IF(H6375&lt;=INDEX(Assumptions!$C$15:$C$18,MATCH(E6375,Assumptions!$A$15:$A$18,0)),"Yes","No"))</f>
        <v>Open</v>
      </c>
    </row>
    <row r="6376" customFormat="false" ht="15" hidden="false" customHeight="false" outlineLevel="0" collapsed="false">
      <c r="A6376" s="31" t="s">
        <v>6526</v>
      </c>
      <c r="B6376" s="44" t="n">
        <v>46289</v>
      </c>
      <c r="C6376" s="31" t="s">
        <v>57</v>
      </c>
      <c r="D6376" s="31" t="s">
        <v>67</v>
      </c>
      <c r="E6376" s="31" t="s">
        <v>51</v>
      </c>
      <c r="F6376" s="31" t="s">
        <v>130</v>
      </c>
      <c r="G6376" s="31" t="n">
        <v>4</v>
      </c>
      <c r="H6376" s="41"/>
      <c r="I6376" s="31" t="s">
        <v>158</v>
      </c>
      <c r="J6376" s="31"/>
      <c r="K6376" s="31" t="s">
        <v>150</v>
      </c>
      <c r="L6376" s="45" t="n">
        <f aca="false">DATE(YEAR(B6376),MONTH(B6376),1)</f>
        <v>46266</v>
      </c>
      <c r="M6376" s="31" t="n">
        <f aca="false">WEEKDAY(B6376,2)</f>
        <v>4</v>
      </c>
      <c r="N6376" s="31" t="str">
        <f aca="false">IF(G6376&lt;=INDEX(Assumptions!$B$15:$B$18,MATCH(E6376,Assumptions!$A$15:$A$18,0)),"Yes","No")</f>
        <v>Yes</v>
      </c>
      <c r="O6376" s="31" t="str">
        <f aca="false">IF(H6376="","Open",IF(H6376&lt;=INDEX(Assumptions!$C$15:$C$18,MATCH(E6376,Assumptions!$A$15:$A$18,0)),"Yes","No"))</f>
        <v>Open</v>
      </c>
    </row>
    <row r="6377" customFormat="false" ht="15" hidden="false" customHeight="false" outlineLevel="0" collapsed="false">
      <c r="A6377" s="31" t="s">
        <v>6527</v>
      </c>
      <c r="B6377" s="44" t="n">
        <v>46289</v>
      </c>
      <c r="C6377" s="31" t="s">
        <v>57</v>
      </c>
      <c r="D6377" s="31" t="s">
        <v>67</v>
      </c>
      <c r="E6377" s="31" t="s">
        <v>52</v>
      </c>
      <c r="F6377" s="31" t="s">
        <v>135</v>
      </c>
      <c r="G6377" s="31" t="n">
        <v>6</v>
      </c>
      <c r="H6377" s="41" t="n">
        <v>6.9</v>
      </c>
      <c r="I6377" s="31" t="s">
        <v>149</v>
      </c>
      <c r="J6377" s="31" t="n">
        <v>5</v>
      </c>
      <c r="K6377" s="31" t="s">
        <v>150</v>
      </c>
      <c r="L6377" s="45" t="n">
        <f aca="false">DATE(YEAR(B6377),MONTH(B6377),1)</f>
        <v>46266</v>
      </c>
      <c r="M6377" s="31" t="n">
        <f aca="false">WEEKDAY(B6377,2)</f>
        <v>4</v>
      </c>
      <c r="N6377" s="31" t="str">
        <f aca="false">IF(G6377&lt;=INDEX(Assumptions!$B$15:$B$18,MATCH(E6377,Assumptions!$A$15:$A$18,0)),"Yes","No")</f>
        <v>Yes</v>
      </c>
      <c r="O6377" s="31" t="str">
        <f aca="false">IF(H6377="","Open",IF(H6377&lt;=INDEX(Assumptions!$C$15:$C$18,MATCH(E6377,Assumptions!$A$15:$A$18,0)),"Yes","No"))</f>
        <v>Yes</v>
      </c>
    </row>
    <row r="6378" customFormat="false" ht="15" hidden="false" customHeight="false" outlineLevel="0" collapsed="false">
      <c r="A6378" s="31" t="s">
        <v>6528</v>
      </c>
      <c r="B6378" s="44" t="n">
        <v>46289</v>
      </c>
      <c r="C6378" s="31" t="s">
        <v>57</v>
      </c>
      <c r="D6378" s="31" t="s">
        <v>68</v>
      </c>
      <c r="E6378" s="31" t="s">
        <v>51</v>
      </c>
      <c r="F6378" s="31" t="s">
        <v>129</v>
      </c>
      <c r="G6378" s="31" t="n">
        <v>4</v>
      </c>
      <c r="H6378" s="41"/>
      <c r="I6378" s="31" t="s">
        <v>158</v>
      </c>
      <c r="J6378" s="31"/>
      <c r="K6378" s="31" t="s">
        <v>150</v>
      </c>
      <c r="L6378" s="45" t="n">
        <f aca="false">DATE(YEAR(B6378),MONTH(B6378),1)</f>
        <v>46266</v>
      </c>
      <c r="M6378" s="31" t="n">
        <f aca="false">WEEKDAY(B6378,2)</f>
        <v>4</v>
      </c>
      <c r="N6378" s="31" t="str">
        <f aca="false">IF(G6378&lt;=INDEX(Assumptions!$B$15:$B$18,MATCH(E6378,Assumptions!$A$15:$A$18,0)),"Yes","No")</f>
        <v>Yes</v>
      </c>
      <c r="O6378" s="31" t="str">
        <f aca="false">IF(H6378="","Open",IF(H6378&lt;=INDEX(Assumptions!$C$15:$C$18,MATCH(E6378,Assumptions!$A$15:$A$18,0)),"Yes","No"))</f>
        <v>Open</v>
      </c>
    </row>
    <row r="6379" customFormat="false" ht="15" hidden="false" customHeight="false" outlineLevel="0" collapsed="false">
      <c r="A6379" s="31" t="s">
        <v>6529</v>
      </c>
      <c r="B6379" s="44" t="n">
        <v>46289</v>
      </c>
      <c r="C6379" s="31" t="s">
        <v>57</v>
      </c>
      <c r="D6379" s="31" t="s">
        <v>66</v>
      </c>
      <c r="E6379" s="31" t="s">
        <v>52</v>
      </c>
      <c r="F6379" s="31" t="s">
        <v>120</v>
      </c>
      <c r="G6379" s="31" t="n">
        <v>7</v>
      </c>
      <c r="H6379" s="41"/>
      <c r="I6379" s="31" t="s">
        <v>158</v>
      </c>
      <c r="J6379" s="31"/>
      <c r="K6379" s="31" t="s">
        <v>150</v>
      </c>
      <c r="L6379" s="45" t="n">
        <f aca="false">DATE(YEAR(B6379),MONTH(B6379),1)</f>
        <v>46266</v>
      </c>
      <c r="M6379" s="31" t="n">
        <f aca="false">WEEKDAY(B6379,2)</f>
        <v>4</v>
      </c>
      <c r="N6379" s="31" t="str">
        <f aca="false">IF(G6379&lt;=INDEX(Assumptions!$B$15:$B$18,MATCH(E6379,Assumptions!$A$15:$A$18,0)),"Yes","No")</f>
        <v>Yes</v>
      </c>
      <c r="O6379" s="31" t="str">
        <f aca="false">IF(H6379="","Open",IF(H6379&lt;=INDEX(Assumptions!$C$15:$C$18,MATCH(E6379,Assumptions!$A$15:$A$18,0)),"Yes","No"))</f>
        <v>Open</v>
      </c>
    </row>
    <row r="6380" customFormat="false" ht="15" hidden="false" customHeight="false" outlineLevel="0" collapsed="false">
      <c r="A6380" s="31" t="s">
        <v>6530</v>
      </c>
      <c r="B6380" s="44" t="n">
        <v>46289</v>
      </c>
      <c r="C6380" s="31" t="s">
        <v>57</v>
      </c>
      <c r="D6380" s="31" t="s">
        <v>67</v>
      </c>
      <c r="E6380" s="31" t="s">
        <v>51</v>
      </c>
      <c r="F6380" s="31" t="s">
        <v>122</v>
      </c>
      <c r="G6380" s="31" t="n">
        <v>2</v>
      </c>
      <c r="H6380" s="41" t="n">
        <v>4.8</v>
      </c>
      <c r="I6380" s="31" t="s">
        <v>149</v>
      </c>
      <c r="J6380" s="31" t="n">
        <v>4</v>
      </c>
      <c r="K6380" s="31" t="s">
        <v>150</v>
      </c>
      <c r="L6380" s="45" t="n">
        <f aca="false">DATE(YEAR(B6380),MONTH(B6380),1)</f>
        <v>46266</v>
      </c>
      <c r="M6380" s="31" t="n">
        <f aca="false">WEEKDAY(B6380,2)</f>
        <v>4</v>
      </c>
      <c r="N6380" s="31" t="str">
        <f aca="false">IF(G6380&lt;=INDEX(Assumptions!$B$15:$B$18,MATCH(E6380,Assumptions!$A$15:$A$18,0)),"Yes","No")</f>
        <v>Yes</v>
      </c>
      <c r="O6380" s="31" t="str">
        <f aca="false">IF(H6380="","Open",IF(H6380&lt;=INDEX(Assumptions!$C$15:$C$18,MATCH(E6380,Assumptions!$A$15:$A$18,0)),"Yes","No"))</f>
        <v>Yes</v>
      </c>
    </row>
    <row r="6381" customFormat="false" ht="15" hidden="false" customHeight="false" outlineLevel="0" collapsed="false">
      <c r="A6381" s="31" t="s">
        <v>6531</v>
      </c>
      <c r="B6381" s="44" t="n">
        <v>46289</v>
      </c>
      <c r="C6381" s="31" t="s">
        <v>60</v>
      </c>
      <c r="D6381" s="31" t="s">
        <v>67</v>
      </c>
      <c r="E6381" s="31" t="s">
        <v>52</v>
      </c>
      <c r="F6381" s="31" t="s">
        <v>134</v>
      </c>
      <c r="G6381" s="31" t="n">
        <v>5</v>
      </c>
      <c r="H6381" s="41" t="n">
        <v>40.2</v>
      </c>
      <c r="I6381" s="31" t="s">
        <v>149</v>
      </c>
      <c r="J6381" s="31"/>
      <c r="K6381" s="31" t="s">
        <v>150</v>
      </c>
      <c r="L6381" s="45" t="n">
        <f aca="false">DATE(YEAR(B6381),MONTH(B6381),1)</f>
        <v>46266</v>
      </c>
      <c r="M6381" s="31" t="n">
        <f aca="false">WEEKDAY(B6381,2)</f>
        <v>4</v>
      </c>
      <c r="N6381" s="31" t="str">
        <f aca="false">IF(G6381&lt;=INDEX(Assumptions!$B$15:$B$18,MATCH(E6381,Assumptions!$A$15:$A$18,0)),"Yes","No")</f>
        <v>Yes</v>
      </c>
      <c r="O6381" s="31" t="str">
        <f aca="false">IF(H6381="","Open",IF(H6381&lt;=INDEX(Assumptions!$C$15:$C$18,MATCH(E6381,Assumptions!$A$15:$A$18,0)),"Yes","No"))</f>
        <v>Yes</v>
      </c>
    </row>
    <row r="6382" customFormat="false" ht="15" hidden="false" customHeight="false" outlineLevel="0" collapsed="false">
      <c r="A6382" s="31" t="s">
        <v>6532</v>
      </c>
      <c r="B6382" s="44" t="n">
        <v>46289</v>
      </c>
      <c r="C6382" s="31" t="s">
        <v>60</v>
      </c>
      <c r="D6382" s="31" t="s">
        <v>67</v>
      </c>
      <c r="E6382" s="31" t="s">
        <v>50</v>
      </c>
      <c r="F6382" s="31" t="s">
        <v>136</v>
      </c>
      <c r="G6382" s="31" t="n">
        <v>2</v>
      </c>
      <c r="H6382" s="41"/>
      <c r="I6382" s="31" t="s">
        <v>158</v>
      </c>
      <c r="J6382" s="31"/>
      <c r="K6382" s="31" t="s">
        <v>150</v>
      </c>
      <c r="L6382" s="45" t="n">
        <f aca="false">DATE(YEAR(B6382),MONTH(B6382),1)</f>
        <v>46266</v>
      </c>
      <c r="M6382" s="31" t="n">
        <f aca="false">WEEKDAY(B6382,2)</f>
        <v>4</v>
      </c>
      <c r="N6382" s="31" t="str">
        <f aca="false">IF(G6382&lt;=INDEX(Assumptions!$B$15:$B$18,MATCH(E6382,Assumptions!$A$15:$A$18,0)),"Yes","No")</f>
        <v>Yes</v>
      </c>
      <c r="O6382" s="31" t="str">
        <f aca="false">IF(H6382="","Open",IF(H6382&lt;=INDEX(Assumptions!$C$15:$C$18,MATCH(E6382,Assumptions!$A$15:$A$18,0)),"Yes","No"))</f>
        <v>Open</v>
      </c>
    </row>
    <row r="6383" customFormat="false" ht="15" hidden="false" customHeight="false" outlineLevel="0" collapsed="false">
      <c r="A6383" s="31" t="s">
        <v>6533</v>
      </c>
      <c r="B6383" s="44" t="n">
        <v>46289</v>
      </c>
      <c r="C6383" s="31" t="s">
        <v>58</v>
      </c>
      <c r="D6383" s="31" t="s">
        <v>65</v>
      </c>
      <c r="E6383" s="31" t="s">
        <v>50</v>
      </c>
      <c r="F6383" s="31" t="s">
        <v>133</v>
      </c>
      <c r="G6383" s="31" t="n">
        <v>1</v>
      </c>
      <c r="H6383" s="41"/>
      <c r="I6383" s="31" t="s">
        <v>158</v>
      </c>
      <c r="J6383" s="31"/>
      <c r="K6383" s="31" t="s">
        <v>150</v>
      </c>
      <c r="L6383" s="45" t="n">
        <f aca="false">DATE(YEAR(B6383),MONTH(B6383),1)</f>
        <v>46266</v>
      </c>
      <c r="M6383" s="31" t="n">
        <f aca="false">WEEKDAY(B6383,2)</f>
        <v>4</v>
      </c>
      <c r="N6383" s="31" t="str">
        <f aca="false">IF(G6383&lt;=INDEX(Assumptions!$B$15:$B$18,MATCH(E6383,Assumptions!$A$15:$A$18,0)),"Yes","No")</f>
        <v>Yes</v>
      </c>
      <c r="O6383" s="31" t="str">
        <f aca="false">IF(H6383="","Open",IF(H6383&lt;=INDEX(Assumptions!$C$15:$C$18,MATCH(E6383,Assumptions!$A$15:$A$18,0)),"Yes","No"))</f>
        <v>Open</v>
      </c>
    </row>
    <row r="6384" customFormat="false" ht="15" hidden="false" customHeight="false" outlineLevel="0" collapsed="false">
      <c r="A6384" s="31" t="s">
        <v>6534</v>
      </c>
      <c r="B6384" s="44" t="n">
        <v>46289</v>
      </c>
      <c r="C6384" s="31" t="s">
        <v>58</v>
      </c>
      <c r="D6384" s="31" t="s">
        <v>65</v>
      </c>
      <c r="E6384" s="31" t="s">
        <v>51</v>
      </c>
      <c r="F6384" s="31" t="s">
        <v>137</v>
      </c>
      <c r="G6384" s="31" t="n">
        <v>3</v>
      </c>
      <c r="H6384" s="41"/>
      <c r="I6384" s="31" t="s">
        <v>158</v>
      </c>
      <c r="J6384" s="31"/>
      <c r="K6384" s="31" t="s">
        <v>150</v>
      </c>
      <c r="L6384" s="45" t="n">
        <f aca="false">DATE(YEAR(B6384),MONTH(B6384),1)</f>
        <v>46266</v>
      </c>
      <c r="M6384" s="31" t="n">
        <f aca="false">WEEKDAY(B6384,2)</f>
        <v>4</v>
      </c>
      <c r="N6384" s="31" t="str">
        <f aca="false">IF(G6384&lt;=INDEX(Assumptions!$B$15:$B$18,MATCH(E6384,Assumptions!$A$15:$A$18,0)),"Yes","No")</f>
        <v>Yes</v>
      </c>
      <c r="O6384" s="31" t="str">
        <f aca="false">IF(H6384="","Open",IF(H6384&lt;=INDEX(Assumptions!$C$15:$C$18,MATCH(E6384,Assumptions!$A$15:$A$18,0)),"Yes","No"))</f>
        <v>Open</v>
      </c>
    </row>
    <row r="6385" customFormat="false" ht="15" hidden="false" customHeight="false" outlineLevel="0" collapsed="false">
      <c r="A6385" s="31" t="s">
        <v>6535</v>
      </c>
      <c r="B6385" s="44" t="n">
        <v>46289</v>
      </c>
      <c r="C6385" s="31" t="s">
        <v>58</v>
      </c>
      <c r="D6385" s="31" t="s">
        <v>68</v>
      </c>
      <c r="E6385" s="31" t="s">
        <v>51</v>
      </c>
      <c r="F6385" s="31" t="s">
        <v>129</v>
      </c>
      <c r="G6385" s="31" t="n">
        <v>21</v>
      </c>
      <c r="H6385" s="41" t="n">
        <v>2.4</v>
      </c>
      <c r="I6385" s="31" t="s">
        <v>149</v>
      </c>
      <c r="J6385" s="31" t="n">
        <v>5</v>
      </c>
      <c r="K6385" s="31" t="s">
        <v>150</v>
      </c>
      <c r="L6385" s="45" t="n">
        <f aca="false">DATE(YEAR(B6385),MONTH(B6385),1)</f>
        <v>46266</v>
      </c>
      <c r="M6385" s="31" t="n">
        <f aca="false">WEEKDAY(B6385,2)</f>
        <v>4</v>
      </c>
      <c r="N6385" s="31" t="str">
        <f aca="false">IF(G6385&lt;=INDEX(Assumptions!$B$15:$B$18,MATCH(E6385,Assumptions!$A$15:$A$18,0)),"Yes","No")</f>
        <v>Yes</v>
      </c>
      <c r="O6385" s="31" t="str">
        <f aca="false">IF(H6385="","Open",IF(H6385&lt;=INDEX(Assumptions!$C$15:$C$18,MATCH(E6385,Assumptions!$A$15:$A$18,0)),"Yes","No"))</f>
        <v>Yes</v>
      </c>
    </row>
    <row r="6386" customFormat="false" ht="15" hidden="false" customHeight="false" outlineLevel="0" collapsed="false">
      <c r="A6386" s="31" t="s">
        <v>6536</v>
      </c>
      <c r="B6386" s="44" t="n">
        <v>46289</v>
      </c>
      <c r="C6386" s="31" t="s">
        <v>57</v>
      </c>
      <c r="D6386" s="31" t="s">
        <v>67</v>
      </c>
      <c r="E6386" s="31" t="s">
        <v>52</v>
      </c>
      <c r="F6386" s="31" t="s">
        <v>122</v>
      </c>
      <c r="G6386" s="31" t="n">
        <v>4</v>
      </c>
      <c r="H6386" s="41" t="n">
        <v>36.3</v>
      </c>
      <c r="I6386" s="31" t="s">
        <v>149</v>
      </c>
      <c r="J6386" s="31"/>
      <c r="K6386" s="31" t="s">
        <v>150</v>
      </c>
      <c r="L6386" s="45" t="n">
        <f aca="false">DATE(YEAR(B6386),MONTH(B6386),1)</f>
        <v>46266</v>
      </c>
      <c r="M6386" s="31" t="n">
        <f aca="false">WEEKDAY(B6386,2)</f>
        <v>4</v>
      </c>
      <c r="N6386" s="31" t="str">
        <f aca="false">IF(G6386&lt;=INDEX(Assumptions!$B$15:$B$18,MATCH(E6386,Assumptions!$A$15:$A$18,0)),"Yes","No")</f>
        <v>Yes</v>
      </c>
      <c r="O6386" s="31" t="str">
        <f aca="false">IF(H6386="","Open",IF(H6386&lt;=INDEX(Assumptions!$C$15:$C$18,MATCH(E6386,Assumptions!$A$15:$A$18,0)),"Yes","No"))</f>
        <v>Yes</v>
      </c>
    </row>
    <row r="6387" customFormat="false" ht="15" hidden="false" customHeight="false" outlineLevel="0" collapsed="false">
      <c r="A6387" s="31" t="s">
        <v>6537</v>
      </c>
      <c r="B6387" s="44" t="n">
        <v>46289</v>
      </c>
      <c r="C6387" s="31" t="s">
        <v>58</v>
      </c>
      <c r="D6387" s="31" t="s">
        <v>67</v>
      </c>
      <c r="E6387" s="31" t="s">
        <v>52</v>
      </c>
      <c r="F6387" s="31" t="s">
        <v>131</v>
      </c>
      <c r="G6387" s="31" t="n">
        <v>9</v>
      </c>
      <c r="H6387" s="41"/>
      <c r="I6387" s="31" t="s">
        <v>158</v>
      </c>
      <c r="J6387" s="31"/>
      <c r="K6387" s="31" t="s">
        <v>150</v>
      </c>
      <c r="L6387" s="45" t="n">
        <f aca="false">DATE(YEAR(B6387),MONTH(B6387),1)</f>
        <v>46266</v>
      </c>
      <c r="M6387" s="31" t="n">
        <f aca="false">WEEKDAY(B6387,2)</f>
        <v>4</v>
      </c>
      <c r="N6387" s="31" t="str">
        <f aca="false">IF(G6387&lt;=INDEX(Assumptions!$B$15:$B$18,MATCH(E6387,Assumptions!$A$15:$A$18,0)),"Yes","No")</f>
        <v>Yes</v>
      </c>
      <c r="O6387" s="31" t="str">
        <f aca="false">IF(H6387="","Open",IF(H6387&lt;=INDEX(Assumptions!$C$15:$C$18,MATCH(E6387,Assumptions!$A$15:$A$18,0)),"Yes","No"))</f>
        <v>Open</v>
      </c>
    </row>
    <row r="6388" customFormat="false" ht="15" hidden="false" customHeight="false" outlineLevel="0" collapsed="false">
      <c r="A6388" s="31" t="s">
        <v>6538</v>
      </c>
      <c r="B6388" s="44" t="n">
        <v>46289</v>
      </c>
      <c r="C6388" s="31" t="s">
        <v>60</v>
      </c>
      <c r="D6388" s="31" t="s">
        <v>66</v>
      </c>
      <c r="E6388" s="31" t="s">
        <v>51</v>
      </c>
      <c r="F6388" s="31" t="s">
        <v>134</v>
      </c>
      <c r="G6388" s="31" t="n">
        <v>4</v>
      </c>
      <c r="H6388" s="41" t="n">
        <v>27.2</v>
      </c>
      <c r="I6388" s="31" t="s">
        <v>149</v>
      </c>
      <c r="J6388" s="31"/>
      <c r="K6388" s="31" t="s">
        <v>150</v>
      </c>
      <c r="L6388" s="45" t="n">
        <f aca="false">DATE(YEAR(B6388),MONTH(B6388),1)</f>
        <v>46266</v>
      </c>
      <c r="M6388" s="31" t="n">
        <f aca="false">WEEKDAY(B6388,2)</f>
        <v>4</v>
      </c>
      <c r="N6388" s="31" t="str">
        <f aca="false">IF(G6388&lt;=INDEX(Assumptions!$B$15:$B$18,MATCH(E6388,Assumptions!$A$15:$A$18,0)),"Yes","No")</f>
        <v>Yes</v>
      </c>
      <c r="O6388" s="31" t="str">
        <f aca="false">IF(H6388="","Open",IF(H6388&lt;=INDEX(Assumptions!$C$15:$C$18,MATCH(E6388,Assumptions!$A$15:$A$18,0)),"Yes","No"))</f>
        <v>No</v>
      </c>
    </row>
    <row r="6389" customFormat="false" ht="15" hidden="false" customHeight="false" outlineLevel="0" collapsed="false">
      <c r="A6389" s="31" t="s">
        <v>6539</v>
      </c>
      <c r="B6389" s="44" t="n">
        <v>46289</v>
      </c>
      <c r="C6389" s="31" t="s">
        <v>59</v>
      </c>
      <c r="D6389" s="31" t="s">
        <v>65</v>
      </c>
      <c r="E6389" s="31" t="s">
        <v>52</v>
      </c>
      <c r="F6389" s="31" t="s">
        <v>130</v>
      </c>
      <c r="G6389" s="31" t="n">
        <v>94</v>
      </c>
      <c r="H6389" s="41" t="n">
        <v>10</v>
      </c>
      <c r="I6389" s="31" t="s">
        <v>149</v>
      </c>
      <c r="J6389" s="31"/>
      <c r="K6389" s="31" t="s">
        <v>150</v>
      </c>
      <c r="L6389" s="45" t="n">
        <f aca="false">DATE(YEAR(B6389),MONTH(B6389),1)</f>
        <v>46266</v>
      </c>
      <c r="M6389" s="31" t="n">
        <f aca="false">WEEKDAY(B6389,2)</f>
        <v>4</v>
      </c>
      <c r="N6389" s="31" t="str">
        <f aca="false">IF(G6389&lt;=INDEX(Assumptions!$B$15:$B$18,MATCH(E6389,Assumptions!$A$15:$A$18,0)),"Yes","No")</f>
        <v>Yes</v>
      </c>
      <c r="O6389" s="31" t="str">
        <f aca="false">IF(H6389="","Open",IF(H6389&lt;=INDEX(Assumptions!$C$15:$C$18,MATCH(E6389,Assumptions!$A$15:$A$18,0)),"Yes","No"))</f>
        <v>Yes</v>
      </c>
    </row>
    <row r="6390" customFormat="false" ht="15" hidden="false" customHeight="false" outlineLevel="0" collapsed="false">
      <c r="A6390" s="31" t="s">
        <v>6540</v>
      </c>
      <c r="B6390" s="44" t="n">
        <v>46289</v>
      </c>
      <c r="C6390" s="31" t="s">
        <v>58</v>
      </c>
      <c r="D6390" s="31" t="s">
        <v>67</v>
      </c>
      <c r="E6390" s="31" t="s">
        <v>52</v>
      </c>
      <c r="F6390" s="31" t="s">
        <v>134</v>
      </c>
      <c r="G6390" s="31" t="n">
        <v>7</v>
      </c>
      <c r="H6390" s="41"/>
      <c r="I6390" s="31" t="s">
        <v>158</v>
      </c>
      <c r="J6390" s="31"/>
      <c r="K6390" s="31" t="s">
        <v>150</v>
      </c>
      <c r="L6390" s="45" t="n">
        <f aca="false">DATE(YEAR(B6390),MONTH(B6390),1)</f>
        <v>46266</v>
      </c>
      <c r="M6390" s="31" t="n">
        <f aca="false">WEEKDAY(B6390,2)</f>
        <v>4</v>
      </c>
      <c r="N6390" s="31" t="str">
        <f aca="false">IF(G6390&lt;=INDEX(Assumptions!$B$15:$B$18,MATCH(E6390,Assumptions!$A$15:$A$18,0)),"Yes","No")</f>
        <v>Yes</v>
      </c>
      <c r="O6390" s="31" t="str">
        <f aca="false">IF(H6390="","Open",IF(H6390&lt;=INDEX(Assumptions!$C$15:$C$18,MATCH(E6390,Assumptions!$A$15:$A$18,0)),"Yes","No"))</f>
        <v>Open</v>
      </c>
    </row>
    <row r="6391" customFormat="false" ht="15" hidden="false" customHeight="false" outlineLevel="0" collapsed="false">
      <c r="A6391" s="31" t="s">
        <v>6541</v>
      </c>
      <c r="B6391" s="44" t="n">
        <v>46289</v>
      </c>
      <c r="C6391" s="31" t="s">
        <v>60</v>
      </c>
      <c r="D6391" s="31" t="s">
        <v>65</v>
      </c>
      <c r="E6391" s="31" t="s">
        <v>51</v>
      </c>
      <c r="F6391" s="31" t="s">
        <v>117</v>
      </c>
      <c r="G6391" s="31" t="n">
        <v>1</v>
      </c>
      <c r="H6391" s="41"/>
      <c r="I6391" s="31" t="s">
        <v>158</v>
      </c>
      <c r="J6391" s="31"/>
      <c r="K6391" s="31" t="s">
        <v>150</v>
      </c>
      <c r="L6391" s="45" t="n">
        <f aca="false">DATE(YEAR(B6391),MONTH(B6391),1)</f>
        <v>46266</v>
      </c>
      <c r="M6391" s="31" t="n">
        <f aca="false">WEEKDAY(B6391,2)</f>
        <v>4</v>
      </c>
      <c r="N6391" s="31" t="str">
        <f aca="false">IF(G6391&lt;=INDEX(Assumptions!$B$15:$B$18,MATCH(E6391,Assumptions!$A$15:$A$18,0)),"Yes","No")</f>
        <v>Yes</v>
      </c>
      <c r="O6391" s="31" t="str">
        <f aca="false">IF(H6391="","Open",IF(H6391&lt;=INDEX(Assumptions!$C$15:$C$18,MATCH(E6391,Assumptions!$A$15:$A$18,0)),"Yes","No"))</f>
        <v>Open</v>
      </c>
    </row>
    <row r="6392" customFormat="false" ht="15" hidden="false" customHeight="false" outlineLevel="0" collapsed="false">
      <c r="A6392" s="31" t="s">
        <v>6542</v>
      </c>
      <c r="B6392" s="44" t="n">
        <v>46289</v>
      </c>
      <c r="C6392" s="31" t="s">
        <v>57</v>
      </c>
      <c r="D6392" s="31" t="s">
        <v>69</v>
      </c>
      <c r="E6392" s="31" t="s">
        <v>51</v>
      </c>
      <c r="F6392" s="31" t="s">
        <v>134</v>
      </c>
      <c r="G6392" s="31" t="n">
        <v>8</v>
      </c>
      <c r="H6392" s="41" t="n">
        <v>35.7</v>
      </c>
      <c r="I6392" s="31" t="s">
        <v>149</v>
      </c>
      <c r="J6392" s="31"/>
      <c r="K6392" s="31" t="s">
        <v>150</v>
      </c>
      <c r="L6392" s="45" t="n">
        <f aca="false">DATE(YEAR(B6392),MONTH(B6392),1)</f>
        <v>46266</v>
      </c>
      <c r="M6392" s="31" t="n">
        <f aca="false">WEEKDAY(B6392,2)</f>
        <v>4</v>
      </c>
      <c r="N6392" s="31" t="str">
        <f aca="false">IF(G6392&lt;=INDEX(Assumptions!$B$15:$B$18,MATCH(E6392,Assumptions!$A$15:$A$18,0)),"Yes","No")</f>
        <v>Yes</v>
      </c>
      <c r="O6392" s="31" t="str">
        <f aca="false">IF(H6392="","Open",IF(H6392&lt;=INDEX(Assumptions!$C$15:$C$18,MATCH(E6392,Assumptions!$A$15:$A$18,0)),"Yes","No"))</f>
        <v>No</v>
      </c>
    </row>
    <row r="6393" customFormat="false" ht="15" hidden="false" customHeight="false" outlineLevel="0" collapsed="false">
      <c r="A6393" s="31" t="s">
        <v>6543</v>
      </c>
      <c r="B6393" s="44" t="n">
        <v>46289</v>
      </c>
      <c r="C6393" s="31" t="s">
        <v>59</v>
      </c>
      <c r="D6393" s="31" t="s">
        <v>66</v>
      </c>
      <c r="E6393" s="31" t="s">
        <v>51</v>
      </c>
      <c r="F6393" s="31" t="s">
        <v>136</v>
      </c>
      <c r="G6393" s="31" t="n">
        <v>27</v>
      </c>
      <c r="H6393" s="41"/>
      <c r="I6393" s="31" t="s">
        <v>158</v>
      </c>
      <c r="J6393" s="31"/>
      <c r="K6393" s="31" t="s">
        <v>150</v>
      </c>
      <c r="L6393" s="45" t="n">
        <f aca="false">DATE(YEAR(B6393),MONTH(B6393),1)</f>
        <v>46266</v>
      </c>
      <c r="M6393" s="31" t="n">
        <f aca="false">WEEKDAY(B6393,2)</f>
        <v>4</v>
      </c>
      <c r="N6393" s="31" t="str">
        <f aca="false">IF(G6393&lt;=INDEX(Assumptions!$B$15:$B$18,MATCH(E6393,Assumptions!$A$15:$A$18,0)),"Yes","No")</f>
        <v>Yes</v>
      </c>
      <c r="O6393" s="31" t="str">
        <f aca="false">IF(H6393="","Open",IF(H6393&lt;=INDEX(Assumptions!$C$15:$C$18,MATCH(E6393,Assumptions!$A$15:$A$18,0)),"Yes","No"))</f>
        <v>Open</v>
      </c>
    </row>
    <row r="6394" customFormat="false" ht="15" hidden="false" customHeight="false" outlineLevel="0" collapsed="false">
      <c r="A6394" s="31" t="s">
        <v>6544</v>
      </c>
      <c r="B6394" s="44" t="n">
        <v>46289</v>
      </c>
      <c r="C6394" s="31" t="s">
        <v>59</v>
      </c>
      <c r="D6394" s="31" t="s">
        <v>69</v>
      </c>
      <c r="E6394" s="31" t="s">
        <v>51</v>
      </c>
      <c r="F6394" s="31" t="s">
        <v>128</v>
      </c>
      <c r="G6394" s="31" t="n">
        <v>69</v>
      </c>
      <c r="H6394" s="41"/>
      <c r="I6394" s="31" t="s">
        <v>158</v>
      </c>
      <c r="J6394" s="31"/>
      <c r="K6394" s="31" t="s">
        <v>150</v>
      </c>
      <c r="L6394" s="45" t="n">
        <f aca="false">DATE(YEAR(B6394),MONTH(B6394),1)</f>
        <v>46266</v>
      </c>
      <c r="M6394" s="31" t="n">
        <f aca="false">WEEKDAY(B6394,2)</f>
        <v>4</v>
      </c>
      <c r="N6394" s="31" t="str">
        <f aca="false">IF(G6394&lt;=INDEX(Assumptions!$B$15:$B$18,MATCH(E6394,Assumptions!$A$15:$A$18,0)),"Yes","No")</f>
        <v>No</v>
      </c>
      <c r="O6394" s="31" t="str">
        <f aca="false">IF(H6394="","Open",IF(H6394&lt;=INDEX(Assumptions!$C$15:$C$18,MATCH(E6394,Assumptions!$A$15:$A$18,0)),"Yes","No"))</f>
        <v>Open</v>
      </c>
    </row>
    <row r="6395" customFormat="false" ht="15" hidden="false" customHeight="false" outlineLevel="0" collapsed="false">
      <c r="A6395" s="31" t="s">
        <v>6545</v>
      </c>
      <c r="B6395" s="44" t="n">
        <v>46289</v>
      </c>
      <c r="C6395" s="31" t="s">
        <v>58</v>
      </c>
      <c r="D6395" s="31" t="s">
        <v>67</v>
      </c>
      <c r="E6395" s="31" t="s">
        <v>52</v>
      </c>
      <c r="F6395" s="31" t="s">
        <v>121</v>
      </c>
      <c r="G6395" s="31" t="n">
        <v>14</v>
      </c>
      <c r="H6395" s="41" t="n">
        <v>14.4</v>
      </c>
      <c r="I6395" s="31" t="s">
        <v>149</v>
      </c>
      <c r="J6395" s="31" t="n">
        <v>4</v>
      </c>
      <c r="K6395" s="31" t="s">
        <v>150</v>
      </c>
      <c r="L6395" s="45" t="n">
        <f aca="false">DATE(YEAR(B6395),MONTH(B6395),1)</f>
        <v>46266</v>
      </c>
      <c r="M6395" s="31" t="n">
        <f aca="false">WEEKDAY(B6395,2)</f>
        <v>4</v>
      </c>
      <c r="N6395" s="31" t="str">
        <f aca="false">IF(G6395&lt;=INDEX(Assumptions!$B$15:$B$18,MATCH(E6395,Assumptions!$A$15:$A$18,0)),"Yes","No")</f>
        <v>Yes</v>
      </c>
      <c r="O6395" s="31" t="str">
        <f aca="false">IF(H6395="","Open",IF(H6395&lt;=INDEX(Assumptions!$C$15:$C$18,MATCH(E6395,Assumptions!$A$15:$A$18,0)),"Yes","No"))</f>
        <v>Yes</v>
      </c>
    </row>
    <row r="6396" customFormat="false" ht="15" hidden="false" customHeight="false" outlineLevel="0" collapsed="false">
      <c r="A6396" s="31" t="s">
        <v>6546</v>
      </c>
      <c r="B6396" s="44" t="n">
        <v>46289</v>
      </c>
      <c r="C6396" s="31" t="s">
        <v>58</v>
      </c>
      <c r="D6396" s="31" t="s">
        <v>65</v>
      </c>
      <c r="E6396" s="31" t="s">
        <v>50</v>
      </c>
      <c r="F6396" s="31" t="s">
        <v>136</v>
      </c>
      <c r="G6396" s="31" t="n">
        <v>3</v>
      </c>
      <c r="H6396" s="41"/>
      <c r="I6396" s="31" t="s">
        <v>158</v>
      </c>
      <c r="J6396" s="31"/>
      <c r="K6396" s="31" t="s">
        <v>150</v>
      </c>
      <c r="L6396" s="45" t="n">
        <f aca="false">DATE(YEAR(B6396),MONTH(B6396),1)</f>
        <v>46266</v>
      </c>
      <c r="M6396" s="31" t="n">
        <f aca="false">WEEKDAY(B6396,2)</f>
        <v>4</v>
      </c>
      <c r="N6396" s="31" t="str">
        <f aca="false">IF(G6396&lt;=INDEX(Assumptions!$B$15:$B$18,MATCH(E6396,Assumptions!$A$15:$A$18,0)),"Yes","No")</f>
        <v>Yes</v>
      </c>
      <c r="O6396" s="31" t="str">
        <f aca="false">IF(H6396="","Open",IF(H6396&lt;=INDEX(Assumptions!$C$15:$C$18,MATCH(E6396,Assumptions!$A$15:$A$18,0)),"Yes","No"))</f>
        <v>Open</v>
      </c>
    </row>
    <row r="6397" customFormat="false" ht="15" hidden="false" customHeight="false" outlineLevel="0" collapsed="false">
      <c r="A6397" s="31" t="s">
        <v>6547</v>
      </c>
      <c r="B6397" s="44" t="n">
        <v>46289</v>
      </c>
      <c r="C6397" s="31" t="s">
        <v>58</v>
      </c>
      <c r="D6397" s="31" t="s">
        <v>69</v>
      </c>
      <c r="E6397" s="31" t="s">
        <v>52</v>
      </c>
      <c r="F6397" s="31" t="s">
        <v>121</v>
      </c>
      <c r="G6397" s="31" t="n">
        <v>32</v>
      </c>
      <c r="H6397" s="41" t="n">
        <v>8.9</v>
      </c>
      <c r="I6397" s="31" t="s">
        <v>149</v>
      </c>
      <c r="J6397" s="31" t="n">
        <v>5</v>
      </c>
      <c r="K6397" s="31" t="s">
        <v>150</v>
      </c>
      <c r="L6397" s="45" t="n">
        <f aca="false">DATE(YEAR(B6397),MONTH(B6397),1)</f>
        <v>46266</v>
      </c>
      <c r="M6397" s="31" t="n">
        <f aca="false">WEEKDAY(B6397,2)</f>
        <v>4</v>
      </c>
      <c r="N6397" s="31" t="str">
        <f aca="false">IF(G6397&lt;=INDEX(Assumptions!$B$15:$B$18,MATCH(E6397,Assumptions!$A$15:$A$18,0)),"Yes","No")</f>
        <v>Yes</v>
      </c>
      <c r="O6397" s="31" t="str">
        <f aca="false">IF(H6397="","Open",IF(H6397&lt;=INDEX(Assumptions!$C$15:$C$18,MATCH(E6397,Assumptions!$A$15:$A$18,0)),"Yes","No"))</f>
        <v>Yes</v>
      </c>
    </row>
    <row r="6398" customFormat="false" ht="15" hidden="false" customHeight="false" outlineLevel="0" collapsed="false">
      <c r="A6398" s="31" t="s">
        <v>6548</v>
      </c>
      <c r="B6398" s="44" t="n">
        <v>46289</v>
      </c>
      <c r="C6398" s="31" t="s">
        <v>57</v>
      </c>
      <c r="D6398" s="31" t="s">
        <v>65</v>
      </c>
      <c r="E6398" s="31" t="s">
        <v>51</v>
      </c>
      <c r="F6398" s="31" t="s">
        <v>117</v>
      </c>
      <c r="G6398" s="31" t="n">
        <v>12</v>
      </c>
      <c r="H6398" s="41" t="n">
        <v>11</v>
      </c>
      <c r="I6398" s="31" t="s">
        <v>149</v>
      </c>
      <c r="J6398" s="31"/>
      <c r="K6398" s="31" t="s">
        <v>150</v>
      </c>
      <c r="L6398" s="45" t="n">
        <f aca="false">DATE(YEAR(B6398),MONTH(B6398),1)</f>
        <v>46266</v>
      </c>
      <c r="M6398" s="31" t="n">
        <f aca="false">WEEKDAY(B6398,2)</f>
        <v>4</v>
      </c>
      <c r="N6398" s="31" t="str">
        <f aca="false">IF(G6398&lt;=INDEX(Assumptions!$B$15:$B$18,MATCH(E6398,Assumptions!$A$15:$A$18,0)),"Yes","No")</f>
        <v>Yes</v>
      </c>
      <c r="O6398" s="31" t="str">
        <f aca="false">IF(H6398="","Open",IF(H6398&lt;=INDEX(Assumptions!$C$15:$C$18,MATCH(E6398,Assumptions!$A$15:$A$18,0)),"Yes","No"))</f>
        <v>Yes</v>
      </c>
    </row>
    <row r="6399" customFormat="false" ht="15" hidden="false" customHeight="false" outlineLevel="0" collapsed="false">
      <c r="A6399" s="31" t="s">
        <v>6549</v>
      </c>
      <c r="B6399" s="44" t="n">
        <v>46289</v>
      </c>
      <c r="C6399" s="31" t="s">
        <v>58</v>
      </c>
      <c r="D6399" s="31" t="s">
        <v>67</v>
      </c>
      <c r="E6399" s="31" t="s">
        <v>51</v>
      </c>
      <c r="F6399" s="31" t="s">
        <v>133</v>
      </c>
      <c r="G6399" s="31" t="n">
        <v>35</v>
      </c>
      <c r="H6399" s="41" t="n">
        <v>10.1</v>
      </c>
      <c r="I6399" s="31" t="s">
        <v>149</v>
      </c>
      <c r="J6399" s="31" t="n">
        <v>4</v>
      </c>
      <c r="K6399" s="31" t="s">
        <v>150</v>
      </c>
      <c r="L6399" s="45" t="n">
        <f aca="false">DATE(YEAR(B6399),MONTH(B6399),1)</f>
        <v>46266</v>
      </c>
      <c r="M6399" s="31" t="n">
        <f aca="false">WEEKDAY(B6399,2)</f>
        <v>4</v>
      </c>
      <c r="N6399" s="31" t="str">
        <f aca="false">IF(G6399&lt;=INDEX(Assumptions!$B$15:$B$18,MATCH(E6399,Assumptions!$A$15:$A$18,0)),"Yes","No")</f>
        <v>Yes</v>
      </c>
      <c r="O6399" s="31" t="str">
        <f aca="false">IF(H6399="","Open",IF(H6399&lt;=INDEX(Assumptions!$C$15:$C$18,MATCH(E6399,Assumptions!$A$15:$A$18,0)),"Yes","No"))</f>
        <v>Yes</v>
      </c>
    </row>
    <row r="6400" customFormat="false" ht="15" hidden="false" customHeight="false" outlineLevel="0" collapsed="false">
      <c r="A6400" s="31" t="s">
        <v>6550</v>
      </c>
      <c r="B6400" s="44" t="n">
        <v>46289</v>
      </c>
      <c r="C6400" s="31" t="s">
        <v>58</v>
      </c>
      <c r="D6400" s="31" t="s">
        <v>66</v>
      </c>
      <c r="E6400" s="31" t="s">
        <v>50</v>
      </c>
      <c r="F6400" s="31" t="s">
        <v>121</v>
      </c>
      <c r="G6400" s="31" t="n">
        <v>7</v>
      </c>
      <c r="H6400" s="41"/>
      <c r="I6400" s="31" t="s">
        <v>158</v>
      </c>
      <c r="J6400" s="31"/>
      <c r="K6400" s="31" t="s">
        <v>150</v>
      </c>
      <c r="L6400" s="45" t="n">
        <f aca="false">DATE(YEAR(B6400),MONTH(B6400),1)</f>
        <v>46266</v>
      </c>
      <c r="M6400" s="31" t="n">
        <f aca="false">WEEKDAY(B6400,2)</f>
        <v>4</v>
      </c>
      <c r="N6400" s="31" t="str">
        <f aca="false">IF(G6400&lt;=INDEX(Assumptions!$B$15:$B$18,MATCH(E6400,Assumptions!$A$15:$A$18,0)),"Yes","No")</f>
        <v>Yes</v>
      </c>
      <c r="O6400" s="31" t="str">
        <f aca="false">IF(H6400="","Open",IF(H6400&lt;=INDEX(Assumptions!$C$15:$C$18,MATCH(E6400,Assumptions!$A$15:$A$18,0)),"Yes","No"))</f>
        <v>Open</v>
      </c>
    </row>
    <row r="6401" customFormat="false" ht="15" hidden="false" customHeight="false" outlineLevel="0" collapsed="false">
      <c r="A6401" s="31" t="s">
        <v>6551</v>
      </c>
      <c r="B6401" s="44" t="n">
        <v>46289</v>
      </c>
      <c r="C6401" s="31" t="s">
        <v>59</v>
      </c>
      <c r="D6401" s="31" t="s">
        <v>65</v>
      </c>
      <c r="E6401" s="31" t="s">
        <v>52</v>
      </c>
      <c r="F6401" s="31" t="s">
        <v>136</v>
      </c>
      <c r="G6401" s="31" t="n">
        <v>534</v>
      </c>
      <c r="H6401" s="41"/>
      <c r="I6401" s="31" t="s">
        <v>158</v>
      </c>
      <c r="J6401" s="31"/>
      <c r="K6401" s="31" t="s">
        <v>150</v>
      </c>
      <c r="L6401" s="45" t="n">
        <f aca="false">DATE(YEAR(B6401),MONTH(B6401),1)</f>
        <v>46266</v>
      </c>
      <c r="M6401" s="31" t="n">
        <f aca="false">WEEKDAY(B6401,2)</f>
        <v>4</v>
      </c>
      <c r="N6401" s="31" t="str">
        <f aca="false">IF(G6401&lt;=INDEX(Assumptions!$B$15:$B$18,MATCH(E6401,Assumptions!$A$15:$A$18,0)),"Yes","No")</f>
        <v>No</v>
      </c>
      <c r="O6401" s="31" t="str">
        <f aca="false">IF(H6401="","Open",IF(H6401&lt;=INDEX(Assumptions!$C$15:$C$18,MATCH(E6401,Assumptions!$A$15:$A$18,0)),"Yes","No"))</f>
        <v>Open</v>
      </c>
    </row>
    <row r="6402" customFormat="false" ht="15" hidden="false" customHeight="false" outlineLevel="0" collapsed="false">
      <c r="A6402" s="31" t="s">
        <v>6552</v>
      </c>
      <c r="B6402" s="44" t="n">
        <v>46289</v>
      </c>
      <c r="C6402" s="31" t="s">
        <v>60</v>
      </c>
      <c r="D6402" s="31" t="s">
        <v>66</v>
      </c>
      <c r="E6402" s="31" t="s">
        <v>52</v>
      </c>
      <c r="F6402" s="31" t="s">
        <v>134</v>
      </c>
      <c r="G6402" s="31" t="n">
        <v>10</v>
      </c>
      <c r="H6402" s="41"/>
      <c r="I6402" s="31" t="s">
        <v>158</v>
      </c>
      <c r="J6402" s="31"/>
      <c r="K6402" s="31" t="s">
        <v>150</v>
      </c>
      <c r="L6402" s="45" t="n">
        <f aca="false">DATE(YEAR(B6402),MONTH(B6402),1)</f>
        <v>46266</v>
      </c>
      <c r="M6402" s="31" t="n">
        <f aca="false">WEEKDAY(B6402,2)</f>
        <v>4</v>
      </c>
      <c r="N6402" s="31" t="str">
        <f aca="false">IF(G6402&lt;=INDEX(Assumptions!$B$15:$B$18,MATCH(E6402,Assumptions!$A$15:$A$18,0)),"Yes","No")</f>
        <v>Yes</v>
      </c>
      <c r="O6402" s="31" t="str">
        <f aca="false">IF(H6402="","Open",IF(H6402&lt;=INDEX(Assumptions!$C$15:$C$18,MATCH(E6402,Assumptions!$A$15:$A$18,0)),"Yes","No"))</f>
        <v>Open</v>
      </c>
    </row>
    <row r="6403" customFormat="false" ht="15" hidden="false" customHeight="false" outlineLevel="0" collapsed="false">
      <c r="A6403" s="31" t="s">
        <v>6553</v>
      </c>
      <c r="B6403" s="44" t="n">
        <v>46289</v>
      </c>
      <c r="C6403" s="31" t="s">
        <v>58</v>
      </c>
      <c r="D6403" s="31" t="s">
        <v>65</v>
      </c>
      <c r="E6403" s="31" t="s">
        <v>52</v>
      </c>
      <c r="F6403" s="31" t="s">
        <v>126</v>
      </c>
      <c r="G6403" s="31" t="n">
        <v>14</v>
      </c>
      <c r="H6403" s="41" t="n">
        <v>8.5</v>
      </c>
      <c r="I6403" s="31" t="s">
        <v>149</v>
      </c>
      <c r="J6403" s="31" t="n">
        <v>4</v>
      </c>
      <c r="K6403" s="31" t="s">
        <v>150</v>
      </c>
      <c r="L6403" s="45" t="n">
        <f aca="false">DATE(YEAR(B6403),MONTH(B6403),1)</f>
        <v>46266</v>
      </c>
      <c r="M6403" s="31" t="n">
        <f aca="false">WEEKDAY(B6403,2)</f>
        <v>4</v>
      </c>
      <c r="N6403" s="31" t="str">
        <f aca="false">IF(G6403&lt;=INDEX(Assumptions!$B$15:$B$18,MATCH(E6403,Assumptions!$A$15:$A$18,0)),"Yes","No")</f>
        <v>Yes</v>
      </c>
      <c r="O6403" s="31" t="str">
        <f aca="false">IF(H6403="","Open",IF(H6403&lt;=INDEX(Assumptions!$C$15:$C$18,MATCH(E6403,Assumptions!$A$15:$A$18,0)),"Yes","No"))</f>
        <v>Yes</v>
      </c>
    </row>
    <row r="6404" customFormat="false" ht="15" hidden="false" customHeight="false" outlineLevel="0" collapsed="false">
      <c r="A6404" s="31" t="s">
        <v>6554</v>
      </c>
      <c r="B6404" s="44" t="n">
        <v>46289</v>
      </c>
      <c r="C6404" s="31" t="s">
        <v>57</v>
      </c>
      <c r="D6404" s="31" t="s">
        <v>66</v>
      </c>
      <c r="E6404" s="31" t="s">
        <v>50</v>
      </c>
      <c r="F6404" s="31" t="s">
        <v>128</v>
      </c>
      <c r="G6404" s="31" t="n">
        <v>10</v>
      </c>
      <c r="H6404" s="41" t="n">
        <v>1.3</v>
      </c>
      <c r="I6404" s="31" t="s">
        <v>149</v>
      </c>
      <c r="J6404" s="31"/>
      <c r="K6404" s="31" t="s">
        <v>153</v>
      </c>
      <c r="L6404" s="45" t="n">
        <f aca="false">DATE(YEAR(B6404),MONTH(B6404),1)</f>
        <v>46266</v>
      </c>
      <c r="M6404" s="31" t="n">
        <f aca="false">WEEKDAY(B6404,2)</f>
        <v>4</v>
      </c>
      <c r="N6404" s="31" t="str">
        <f aca="false">IF(G6404&lt;=INDEX(Assumptions!$B$15:$B$18,MATCH(E6404,Assumptions!$A$15:$A$18,0)),"Yes","No")</f>
        <v>Yes</v>
      </c>
      <c r="O6404" s="31" t="str">
        <f aca="false">IF(H6404="","Open",IF(H6404&lt;=INDEX(Assumptions!$C$15:$C$18,MATCH(E6404,Assumptions!$A$15:$A$18,0)),"Yes","No"))</f>
        <v>Yes</v>
      </c>
    </row>
    <row r="6405" customFormat="false" ht="15" hidden="false" customHeight="false" outlineLevel="0" collapsed="false">
      <c r="A6405" s="31" t="s">
        <v>6555</v>
      </c>
      <c r="B6405" s="44" t="n">
        <v>46289</v>
      </c>
      <c r="C6405" s="31" t="s">
        <v>59</v>
      </c>
      <c r="D6405" s="31" t="s">
        <v>65</v>
      </c>
      <c r="E6405" s="31" t="s">
        <v>51</v>
      </c>
      <c r="F6405" s="31" t="s">
        <v>127</v>
      </c>
      <c r="G6405" s="31" t="n">
        <v>191</v>
      </c>
      <c r="H6405" s="41" t="n">
        <v>11.6</v>
      </c>
      <c r="I6405" s="31" t="s">
        <v>149</v>
      </c>
      <c r="J6405" s="31" t="n">
        <v>3</v>
      </c>
      <c r="K6405" s="31" t="s">
        <v>150</v>
      </c>
      <c r="L6405" s="45" t="n">
        <f aca="false">DATE(YEAR(B6405),MONTH(B6405),1)</f>
        <v>46266</v>
      </c>
      <c r="M6405" s="31" t="n">
        <f aca="false">WEEKDAY(B6405,2)</f>
        <v>4</v>
      </c>
      <c r="N6405" s="31" t="str">
        <f aca="false">IF(G6405&lt;=INDEX(Assumptions!$B$15:$B$18,MATCH(E6405,Assumptions!$A$15:$A$18,0)),"Yes","No")</f>
        <v>No</v>
      </c>
      <c r="O6405" s="31" t="str">
        <f aca="false">IF(H6405="","Open",IF(H6405&lt;=INDEX(Assumptions!$C$15:$C$18,MATCH(E6405,Assumptions!$A$15:$A$18,0)),"Yes","No"))</f>
        <v>Yes</v>
      </c>
    </row>
    <row r="6406" customFormat="false" ht="15" hidden="false" customHeight="false" outlineLevel="0" collapsed="false">
      <c r="A6406" s="31" t="s">
        <v>6556</v>
      </c>
      <c r="B6406" s="44" t="n">
        <v>46289</v>
      </c>
      <c r="C6406" s="31" t="s">
        <v>58</v>
      </c>
      <c r="D6406" s="31" t="s">
        <v>67</v>
      </c>
      <c r="E6406" s="31" t="s">
        <v>50</v>
      </c>
      <c r="F6406" s="31" t="s">
        <v>129</v>
      </c>
      <c r="G6406" s="31" t="n">
        <v>10</v>
      </c>
      <c r="H6406" s="41"/>
      <c r="I6406" s="31" t="s">
        <v>158</v>
      </c>
      <c r="J6406" s="31"/>
      <c r="K6406" s="31" t="s">
        <v>150</v>
      </c>
      <c r="L6406" s="45" t="n">
        <f aca="false">DATE(YEAR(B6406),MONTH(B6406),1)</f>
        <v>46266</v>
      </c>
      <c r="M6406" s="31" t="n">
        <f aca="false">WEEKDAY(B6406,2)</f>
        <v>4</v>
      </c>
      <c r="N6406" s="31" t="str">
        <f aca="false">IF(G6406&lt;=INDEX(Assumptions!$B$15:$B$18,MATCH(E6406,Assumptions!$A$15:$A$18,0)),"Yes","No")</f>
        <v>Yes</v>
      </c>
      <c r="O6406" s="31" t="str">
        <f aca="false">IF(H6406="","Open",IF(H6406&lt;=INDEX(Assumptions!$C$15:$C$18,MATCH(E6406,Assumptions!$A$15:$A$18,0)),"Yes","No"))</f>
        <v>Open</v>
      </c>
    </row>
    <row r="6407" customFormat="false" ht="15" hidden="false" customHeight="false" outlineLevel="0" collapsed="false">
      <c r="A6407" s="31" t="s">
        <v>6557</v>
      </c>
      <c r="B6407" s="44" t="n">
        <v>46289</v>
      </c>
      <c r="C6407" s="31" t="s">
        <v>59</v>
      </c>
      <c r="D6407" s="31" t="s">
        <v>65</v>
      </c>
      <c r="E6407" s="31" t="s">
        <v>52</v>
      </c>
      <c r="F6407" s="31" t="s">
        <v>123</v>
      </c>
      <c r="G6407" s="31" t="n">
        <v>46</v>
      </c>
      <c r="H6407" s="41"/>
      <c r="I6407" s="31" t="s">
        <v>158</v>
      </c>
      <c r="J6407" s="31"/>
      <c r="K6407" s="31" t="s">
        <v>150</v>
      </c>
      <c r="L6407" s="45" t="n">
        <f aca="false">DATE(YEAR(B6407),MONTH(B6407),1)</f>
        <v>46266</v>
      </c>
      <c r="M6407" s="31" t="n">
        <f aca="false">WEEKDAY(B6407,2)</f>
        <v>4</v>
      </c>
      <c r="N6407" s="31" t="str">
        <f aca="false">IF(G6407&lt;=INDEX(Assumptions!$B$15:$B$18,MATCH(E6407,Assumptions!$A$15:$A$18,0)),"Yes","No")</f>
        <v>Yes</v>
      </c>
      <c r="O6407" s="31" t="str">
        <f aca="false">IF(H6407="","Open",IF(H6407&lt;=INDEX(Assumptions!$C$15:$C$18,MATCH(E6407,Assumptions!$A$15:$A$18,0)),"Yes","No"))</f>
        <v>Open</v>
      </c>
    </row>
    <row r="6408" customFormat="false" ht="15" hidden="false" customHeight="false" outlineLevel="0" collapsed="false">
      <c r="A6408" s="31" t="s">
        <v>6558</v>
      </c>
      <c r="B6408" s="44" t="n">
        <v>46289</v>
      </c>
      <c r="C6408" s="31" t="s">
        <v>59</v>
      </c>
      <c r="D6408" s="31" t="s">
        <v>65</v>
      </c>
      <c r="E6408" s="31" t="s">
        <v>51</v>
      </c>
      <c r="F6408" s="31" t="s">
        <v>126</v>
      </c>
      <c r="G6408" s="31" t="n">
        <v>70</v>
      </c>
      <c r="H6408" s="41"/>
      <c r="I6408" s="31" t="s">
        <v>158</v>
      </c>
      <c r="J6408" s="31"/>
      <c r="K6408" s="31" t="s">
        <v>150</v>
      </c>
      <c r="L6408" s="45" t="n">
        <f aca="false">DATE(YEAR(B6408),MONTH(B6408),1)</f>
        <v>46266</v>
      </c>
      <c r="M6408" s="31" t="n">
        <f aca="false">WEEKDAY(B6408,2)</f>
        <v>4</v>
      </c>
      <c r="N6408" s="31" t="str">
        <f aca="false">IF(G6408&lt;=INDEX(Assumptions!$B$15:$B$18,MATCH(E6408,Assumptions!$A$15:$A$18,0)),"Yes","No")</f>
        <v>No</v>
      </c>
      <c r="O6408" s="31" t="str">
        <f aca="false">IF(H6408="","Open",IF(H6408&lt;=INDEX(Assumptions!$C$15:$C$18,MATCH(E6408,Assumptions!$A$15:$A$18,0)),"Yes","No"))</f>
        <v>Open</v>
      </c>
    </row>
    <row r="6409" customFormat="false" ht="15" hidden="false" customHeight="false" outlineLevel="0" collapsed="false">
      <c r="A6409" s="31" t="s">
        <v>6559</v>
      </c>
      <c r="B6409" s="44" t="n">
        <v>46289</v>
      </c>
      <c r="C6409" s="31" t="s">
        <v>58</v>
      </c>
      <c r="D6409" s="31" t="s">
        <v>65</v>
      </c>
      <c r="E6409" s="31" t="s">
        <v>50</v>
      </c>
      <c r="F6409" s="31" t="s">
        <v>136</v>
      </c>
      <c r="G6409" s="31" t="n">
        <v>7</v>
      </c>
      <c r="H6409" s="41"/>
      <c r="I6409" s="31" t="s">
        <v>158</v>
      </c>
      <c r="J6409" s="31"/>
      <c r="K6409" s="31" t="s">
        <v>150</v>
      </c>
      <c r="L6409" s="45" t="n">
        <f aca="false">DATE(YEAR(B6409),MONTH(B6409),1)</f>
        <v>46266</v>
      </c>
      <c r="M6409" s="31" t="n">
        <f aca="false">WEEKDAY(B6409,2)</f>
        <v>4</v>
      </c>
      <c r="N6409" s="31" t="str">
        <f aca="false">IF(G6409&lt;=INDEX(Assumptions!$B$15:$B$18,MATCH(E6409,Assumptions!$A$15:$A$18,0)),"Yes","No")</f>
        <v>Yes</v>
      </c>
      <c r="O6409" s="31" t="str">
        <f aca="false">IF(H6409="","Open",IF(H6409&lt;=INDEX(Assumptions!$C$15:$C$18,MATCH(E6409,Assumptions!$A$15:$A$18,0)),"Yes","No"))</f>
        <v>Open</v>
      </c>
    </row>
    <row r="6410" customFormat="false" ht="15" hidden="false" customHeight="false" outlineLevel="0" collapsed="false">
      <c r="A6410" s="31" t="s">
        <v>6560</v>
      </c>
      <c r="B6410" s="44" t="n">
        <v>46289</v>
      </c>
      <c r="C6410" s="31" t="s">
        <v>57</v>
      </c>
      <c r="D6410" s="31" t="s">
        <v>67</v>
      </c>
      <c r="E6410" s="31" t="s">
        <v>52</v>
      </c>
      <c r="F6410" s="31" t="s">
        <v>131</v>
      </c>
      <c r="G6410" s="31" t="n">
        <v>11</v>
      </c>
      <c r="H6410" s="41"/>
      <c r="I6410" s="31" t="s">
        <v>158</v>
      </c>
      <c r="J6410" s="31"/>
      <c r="K6410" s="31" t="s">
        <v>150</v>
      </c>
      <c r="L6410" s="45" t="n">
        <f aca="false">DATE(YEAR(B6410),MONTH(B6410),1)</f>
        <v>46266</v>
      </c>
      <c r="M6410" s="31" t="n">
        <f aca="false">WEEKDAY(B6410,2)</f>
        <v>4</v>
      </c>
      <c r="N6410" s="31" t="str">
        <f aca="false">IF(G6410&lt;=INDEX(Assumptions!$B$15:$B$18,MATCH(E6410,Assumptions!$A$15:$A$18,0)),"Yes","No")</f>
        <v>Yes</v>
      </c>
      <c r="O6410" s="31" t="str">
        <f aca="false">IF(H6410="","Open",IF(H6410&lt;=INDEX(Assumptions!$C$15:$C$18,MATCH(E6410,Assumptions!$A$15:$A$18,0)),"Yes","No"))</f>
        <v>Open</v>
      </c>
    </row>
    <row r="6411" customFormat="false" ht="15" hidden="false" customHeight="false" outlineLevel="0" collapsed="false">
      <c r="A6411" s="31" t="s">
        <v>6561</v>
      </c>
      <c r="B6411" s="44" t="n">
        <v>46289</v>
      </c>
      <c r="C6411" s="31" t="s">
        <v>58</v>
      </c>
      <c r="D6411" s="31" t="s">
        <v>68</v>
      </c>
      <c r="E6411" s="31" t="s">
        <v>50</v>
      </c>
      <c r="F6411" s="31" t="s">
        <v>130</v>
      </c>
      <c r="G6411" s="31" t="n">
        <v>2</v>
      </c>
      <c r="H6411" s="41"/>
      <c r="I6411" s="31" t="s">
        <v>158</v>
      </c>
      <c r="J6411" s="31"/>
      <c r="K6411" s="31" t="s">
        <v>150</v>
      </c>
      <c r="L6411" s="45" t="n">
        <f aca="false">DATE(YEAR(B6411),MONTH(B6411),1)</f>
        <v>46266</v>
      </c>
      <c r="M6411" s="31" t="n">
        <f aca="false">WEEKDAY(B6411,2)</f>
        <v>4</v>
      </c>
      <c r="N6411" s="31" t="str">
        <f aca="false">IF(G6411&lt;=INDEX(Assumptions!$B$15:$B$18,MATCH(E6411,Assumptions!$A$15:$A$18,0)),"Yes","No")</f>
        <v>Yes</v>
      </c>
      <c r="O6411" s="31" t="str">
        <f aca="false">IF(H6411="","Open",IF(H6411&lt;=INDEX(Assumptions!$C$15:$C$18,MATCH(E6411,Assumptions!$A$15:$A$18,0)),"Yes","No"))</f>
        <v>Open</v>
      </c>
    </row>
    <row r="6412" customFormat="false" ht="15" hidden="false" customHeight="false" outlineLevel="0" collapsed="false">
      <c r="A6412" s="31" t="s">
        <v>6562</v>
      </c>
      <c r="B6412" s="44" t="n">
        <v>46289</v>
      </c>
      <c r="C6412" s="31" t="s">
        <v>60</v>
      </c>
      <c r="D6412" s="31" t="s">
        <v>66</v>
      </c>
      <c r="E6412" s="31" t="s">
        <v>51</v>
      </c>
      <c r="F6412" s="31" t="s">
        <v>122</v>
      </c>
      <c r="G6412" s="31" t="n">
        <v>2</v>
      </c>
      <c r="H6412" s="41"/>
      <c r="I6412" s="31" t="s">
        <v>158</v>
      </c>
      <c r="J6412" s="31"/>
      <c r="K6412" s="31" t="s">
        <v>150</v>
      </c>
      <c r="L6412" s="45" t="n">
        <f aca="false">DATE(YEAR(B6412),MONTH(B6412),1)</f>
        <v>46266</v>
      </c>
      <c r="M6412" s="31" t="n">
        <f aca="false">WEEKDAY(B6412,2)</f>
        <v>4</v>
      </c>
      <c r="N6412" s="31" t="str">
        <f aca="false">IF(G6412&lt;=INDEX(Assumptions!$B$15:$B$18,MATCH(E6412,Assumptions!$A$15:$A$18,0)),"Yes","No")</f>
        <v>Yes</v>
      </c>
      <c r="O6412" s="31" t="str">
        <f aca="false">IF(H6412="","Open",IF(H6412&lt;=INDEX(Assumptions!$C$15:$C$18,MATCH(E6412,Assumptions!$A$15:$A$18,0)),"Yes","No"))</f>
        <v>Open</v>
      </c>
    </row>
    <row r="6413" customFormat="false" ht="15" hidden="false" customHeight="false" outlineLevel="0" collapsed="false">
      <c r="A6413" s="31" t="s">
        <v>6563</v>
      </c>
      <c r="B6413" s="44" t="n">
        <v>46289</v>
      </c>
      <c r="C6413" s="31" t="s">
        <v>58</v>
      </c>
      <c r="D6413" s="31" t="s">
        <v>65</v>
      </c>
      <c r="E6413" s="31" t="s">
        <v>49</v>
      </c>
      <c r="F6413" s="31" t="s">
        <v>137</v>
      </c>
      <c r="G6413" s="31" t="n">
        <v>5</v>
      </c>
      <c r="H6413" s="41"/>
      <c r="I6413" s="31" t="s">
        <v>158</v>
      </c>
      <c r="J6413" s="31"/>
      <c r="K6413" s="31" t="s">
        <v>150</v>
      </c>
      <c r="L6413" s="45" t="n">
        <f aca="false">DATE(YEAR(B6413),MONTH(B6413),1)</f>
        <v>46266</v>
      </c>
      <c r="M6413" s="31" t="n">
        <f aca="false">WEEKDAY(B6413,2)</f>
        <v>4</v>
      </c>
      <c r="N6413" s="31" t="str">
        <f aca="false">IF(G6413&lt;=INDEX(Assumptions!$B$15:$B$18,MATCH(E6413,Assumptions!$A$15:$A$18,0)),"Yes","No")</f>
        <v>Yes</v>
      </c>
      <c r="O6413" s="31" t="str">
        <f aca="false">IF(H6413="","Open",IF(H6413&lt;=INDEX(Assumptions!$C$15:$C$18,MATCH(E6413,Assumptions!$A$15:$A$18,0)),"Yes","No"))</f>
        <v>Open</v>
      </c>
    </row>
    <row r="6414" customFormat="false" ht="15" hidden="false" customHeight="false" outlineLevel="0" collapsed="false">
      <c r="A6414" s="31" t="s">
        <v>6564</v>
      </c>
      <c r="B6414" s="44" t="n">
        <v>46289</v>
      </c>
      <c r="C6414" s="31" t="s">
        <v>58</v>
      </c>
      <c r="D6414" s="31" t="s">
        <v>65</v>
      </c>
      <c r="E6414" s="31" t="s">
        <v>49</v>
      </c>
      <c r="F6414" s="31" t="s">
        <v>121</v>
      </c>
      <c r="G6414" s="31" t="n">
        <v>11</v>
      </c>
      <c r="H6414" s="41"/>
      <c r="I6414" s="31" t="s">
        <v>158</v>
      </c>
      <c r="J6414" s="31"/>
      <c r="K6414" s="31" t="s">
        <v>150</v>
      </c>
      <c r="L6414" s="45" t="n">
        <f aca="false">DATE(YEAR(B6414),MONTH(B6414),1)</f>
        <v>46266</v>
      </c>
      <c r="M6414" s="31" t="n">
        <f aca="false">WEEKDAY(B6414,2)</f>
        <v>4</v>
      </c>
      <c r="N6414" s="31" t="str">
        <f aca="false">IF(G6414&lt;=INDEX(Assumptions!$B$15:$B$18,MATCH(E6414,Assumptions!$A$15:$A$18,0)),"Yes","No")</f>
        <v>Yes</v>
      </c>
      <c r="O6414" s="31" t="str">
        <f aca="false">IF(H6414="","Open",IF(H6414&lt;=INDEX(Assumptions!$C$15:$C$18,MATCH(E6414,Assumptions!$A$15:$A$18,0)),"Yes","No"))</f>
        <v>Open</v>
      </c>
    </row>
    <row r="6415" customFormat="false" ht="15" hidden="false" customHeight="false" outlineLevel="0" collapsed="false">
      <c r="A6415" s="31" t="s">
        <v>6565</v>
      </c>
      <c r="B6415" s="44" t="n">
        <v>46289</v>
      </c>
      <c r="C6415" s="31" t="s">
        <v>57</v>
      </c>
      <c r="D6415" s="31" t="s">
        <v>65</v>
      </c>
      <c r="E6415" s="31" t="s">
        <v>50</v>
      </c>
      <c r="F6415" s="31" t="s">
        <v>124</v>
      </c>
      <c r="G6415" s="31" t="n">
        <v>5</v>
      </c>
      <c r="H6415" s="41" t="n">
        <v>0.7</v>
      </c>
      <c r="I6415" s="31" t="s">
        <v>149</v>
      </c>
      <c r="J6415" s="31" t="n">
        <v>5</v>
      </c>
      <c r="K6415" s="31" t="s">
        <v>150</v>
      </c>
      <c r="L6415" s="45" t="n">
        <f aca="false">DATE(YEAR(B6415),MONTH(B6415),1)</f>
        <v>46266</v>
      </c>
      <c r="M6415" s="31" t="n">
        <f aca="false">WEEKDAY(B6415,2)</f>
        <v>4</v>
      </c>
      <c r="N6415" s="31" t="str">
        <f aca="false">IF(G6415&lt;=INDEX(Assumptions!$B$15:$B$18,MATCH(E6415,Assumptions!$A$15:$A$18,0)),"Yes","No")</f>
        <v>Yes</v>
      </c>
      <c r="O6415" s="31" t="str">
        <f aca="false">IF(H6415="","Open",IF(H6415&lt;=INDEX(Assumptions!$C$15:$C$18,MATCH(E6415,Assumptions!$A$15:$A$18,0)),"Yes","No"))</f>
        <v>Yes</v>
      </c>
    </row>
    <row r="6416" customFormat="false" ht="15" hidden="false" customHeight="false" outlineLevel="0" collapsed="false">
      <c r="A6416" s="31" t="s">
        <v>6566</v>
      </c>
      <c r="B6416" s="44" t="n">
        <v>46289</v>
      </c>
      <c r="C6416" s="31" t="s">
        <v>57</v>
      </c>
      <c r="D6416" s="31" t="s">
        <v>66</v>
      </c>
      <c r="E6416" s="31" t="s">
        <v>51</v>
      </c>
      <c r="F6416" s="31" t="s">
        <v>137</v>
      </c>
      <c r="G6416" s="31" t="n">
        <v>2</v>
      </c>
      <c r="H6416" s="41" t="n">
        <v>8.2</v>
      </c>
      <c r="I6416" s="31" t="s">
        <v>149</v>
      </c>
      <c r="J6416" s="31" t="n">
        <v>5</v>
      </c>
      <c r="K6416" s="31" t="s">
        <v>153</v>
      </c>
      <c r="L6416" s="45" t="n">
        <f aca="false">DATE(YEAR(B6416),MONTH(B6416),1)</f>
        <v>46266</v>
      </c>
      <c r="M6416" s="31" t="n">
        <f aca="false">WEEKDAY(B6416,2)</f>
        <v>4</v>
      </c>
      <c r="N6416" s="31" t="str">
        <f aca="false">IF(G6416&lt;=INDEX(Assumptions!$B$15:$B$18,MATCH(E6416,Assumptions!$A$15:$A$18,0)),"Yes","No")</f>
        <v>Yes</v>
      </c>
      <c r="O6416" s="31" t="str">
        <f aca="false">IF(H6416="","Open",IF(H6416&lt;=INDEX(Assumptions!$C$15:$C$18,MATCH(E6416,Assumptions!$A$15:$A$18,0)),"Yes","No"))</f>
        <v>Yes</v>
      </c>
    </row>
    <row r="6417" customFormat="false" ht="15" hidden="false" customHeight="false" outlineLevel="0" collapsed="false">
      <c r="A6417" s="31" t="s">
        <v>6567</v>
      </c>
      <c r="B6417" s="44" t="n">
        <v>46289</v>
      </c>
      <c r="C6417" s="31" t="s">
        <v>59</v>
      </c>
      <c r="D6417" s="31" t="s">
        <v>66</v>
      </c>
      <c r="E6417" s="31" t="s">
        <v>50</v>
      </c>
      <c r="F6417" s="31" t="s">
        <v>126</v>
      </c>
      <c r="G6417" s="31" t="n">
        <v>50</v>
      </c>
      <c r="H6417" s="41" t="n">
        <v>1.1</v>
      </c>
      <c r="I6417" s="31" t="s">
        <v>149</v>
      </c>
      <c r="J6417" s="31"/>
      <c r="K6417" s="31" t="s">
        <v>150</v>
      </c>
      <c r="L6417" s="45" t="n">
        <f aca="false">DATE(YEAR(B6417),MONTH(B6417),1)</f>
        <v>46266</v>
      </c>
      <c r="M6417" s="31" t="n">
        <f aca="false">WEEKDAY(B6417,2)</f>
        <v>4</v>
      </c>
      <c r="N6417" s="31" t="str">
        <f aca="false">IF(G6417&lt;=INDEX(Assumptions!$B$15:$B$18,MATCH(E6417,Assumptions!$A$15:$A$18,0)),"Yes","No")</f>
        <v>No</v>
      </c>
      <c r="O6417" s="31" t="str">
        <f aca="false">IF(H6417="","Open",IF(H6417&lt;=INDEX(Assumptions!$C$15:$C$18,MATCH(E6417,Assumptions!$A$15:$A$18,0)),"Yes","No"))</f>
        <v>Yes</v>
      </c>
    </row>
    <row r="6418" customFormat="false" ht="15" hidden="false" customHeight="false" outlineLevel="0" collapsed="false">
      <c r="A6418" s="31" t="s">
        <v>6568</v>
      </c>
      <c r="B6418" s="44" t="n">
        <v>46289</v>
      </c>
      <c r="C6418" s="31" t="s">
        <v>57</v>
      </c>
      <c r="D6418" s="31" t="s">
        <v>66</v>
      </c>
      <c r="E6418" s="31" t="s">
        <v>52</v>
      </c>
      <c r="F6418" s="31" t="s">
        <v>120</v>
      </c>
      <c r="G6418" s="31" t="n">
        <v>8</v>
      </c>
      <c r="H6418" s="41"/>
      <c r="I6418" s="31" t="s">
        <v>158</v>
      </c>
      <c r="J6418" s="31"/>
      <c r="K6418" s="31" t="s">
        <v>150</v>
      </c>
      <c r="L6418" s="45" t="n">
        <f aca="false">DATE(YEAR(B6418),MONTH(B6418),1)</f>
        <v>46266</v>
      </c>
      <c r="M6418" s="31" t="n">
        <f aca="false">WEEKDAY(B6418,2)</f>
        <v>4</v>
      </c>
      <c r="N6418" s="31" t="str">
        <f aca="false">IF(G6418&lt;=INDEX(Assumptions!$B$15:$B$18,MATCH(E6418,Assumptions!$A$15:$A$18,0)),"Yes","No")</f>
        <v>Yes</v>
      </c>
      <c r="O6418" s="31" t="str">
        <f aca="false">IF(H6418="","Open",IF(H6418&lt;=INDEX(Assumptions!$C$15:$C$18,MATCH(E6418,Assumptions!$A$15:$A$18,0)),"Yes","No"))</f>
        <v>Open</v>
      </c>
    </row>
    <row r="6419" customFormat="false" ht="15" hidden="false" customHeight="false" outlineLevel="0" collapsed="false">
      <c r="A6419" s="31" t="s">
        <v>6569</v>
      </c>
      <c r="B6419" s="44" t="n">
        <v>46289</v>
      </c>
      <c r="C6419" s="31" t="s">
        <v>57</v>
      </c>
      <c r="D6419" s="31" t="s">
        <v>69</v>
      </c>
      <c r="E6419" s="31" t="s">
        <v>51</v>
      </c>
      <c r="F6419" s="31" t="s">
        <v>122</v>
      </c>
      <c r="G6419" s="31" t="n">
        <v>3</v>
      </c>
      <c r="H6419" s="41"/>
      <c r="I6419" s="31" t="s">
        <v>158</v>
      </c>
      <c r="J6419" s="31"/>
      <c r="K6419" s="31" t="s">
        <v>150</v>
      </c>
      <c r="L6419" s="45" t="n">
        <f aca="false">DATE(YEAR(B6419),MONTH(B6419),1)</f>
        <v>46266</v>
      </c>
      <c r="M6419" s="31" t="n">
        <f aca="false">WEEKDAY(B6419,2)</f>
        <v>4</v>
      </c>
      <c r="N6419" s="31" t="str">
        <f aca="false">IF(G6419&lt;=INDEX(Assumptions!$B$15:$B$18,MATCH(E6419,Assumptions!$A$15:$A$18,0)),"Yes","No")</f>
        <v>Yes</v>
      </c>
      <c r="O6419" s="31" t="str">
        <f aca="false">IF(H6419="","Open",IF(H6419&lt;=INDEX(Assumptions!$C$15:$C$18,MATCH(E6419,Assumptions!$A$15:$A$18,0)),"Yes","No"))</f>
        <v>Open</v>
      </c>
    </row>
    <row r="6420" customFormat="false" ht="15" hidden="false" customHeight="false" outlineLevel="0" collapsed="false">
      <c r="A6420" s="31" t="s">
        <v>6570</v>
      </c>
      <c r="B6420" s="44" t="n">
        <v>46289</v>
      </c>
      <c r="C6420" s="31" t="s">
        <v>60</v>
      </c>
      <c r="D6420" s="31" t="s">
        <v>67</v>
      </c>
      <c r="E6420" s="31" t="s">
        <v>50</v>
      </c>
      <c r="F6420" s="31" t="s">
        <v>129</v>
      </c>
      <c r="G6420" s="31" t="n">
        <v>1</v>
      </c>
      <c r="H6420" s="41" t="n">
        <v>20.1</v>
      </c>
      <c r="I6420" s="31" t="s">
        <v>64</v>
      </c>
      <c r="J6420" s="31" t="n">
        <v>3</v>
      </c>
      <c r="K6420" s="31" t="s">
        <v>150</v>
      </c>
      <c r="L6420" s="45" t="n">
        <f aca="false">DATE(YEAR(B6420),MONTH(B6420),1)</f>
        <v>46266</v>
      </c>
      <c r="M6420" s="31" t="n">
        <f aca="false">WEEKDAY(B6420,2)</f>
        <v>4</v>
      </c>
      <c r="N6420" s="31" t="str">
        <f aca="false">IF(G6420&lt;=INDEX(Assumptions!$B$15:$B$18,MATCH(E6420,Assumptions!$A$15:$A$18,0)),"Yes","No")</f>
        <v>Yes</v>
      </c>
      <c r="O6420" s="31" t="str">
        <f aca="false">IF(H6420="","Open",IF(H6420&lt;=INDEX(Assumptions!$C$15:$C$18,MATCH(E6420,Assumptions!$A$15:$A$18,0)),"Yes","No"))</f>
        <v>No</v>
      </c>
    </row>
    <row r="6421" customFormat="false" ht="15" hidden="false" customHeight="false" outlineLevel="0" collapsed="false">
      <c r="A6421" s="31" t="s">
        <v>6571</v>
      </c>
      <c r="B6421" s="44" t="n">
        <v>46289</v>
      </c>
      <c r="C6421" s="31" t="s">
        <v>60</v>
      </c>
      <c r="D6421" s="31" t="s">
        <v>66</v>
      </c>
      <c r="E6421" s="31" t="s">
        <v>51</v>
      </c>
      <c r="F6421" s="31" t="s">
        <v>120</v>
      </c>
      <c r="G6421" s="31" t="n">
        <v>5</v>
      </c>
      <c r="H6421" s="41" t="n">
        <v>23.3</v>
      </c>
      <c r="I6421" s="31" t="s">
        <v>149</v>
      </c>
      <c r="J6421" s="31" t="n">
        <v>5</v>
      </c>
      <c r="K6421" s="31" t="s">
        <v>150</v>
      </c>
      <c r="L6421" s="45" t="n">
        <f aca="false">DATE(YEAR(B6421),MONTH(B6421),1)</f>
        <v>46266</v>
      </c>
      <c r="M6421" s="31" t="n">
        <f aca="false">WEEKDAY(B6421,2)</f>
        <v>4</v>
      </c>
      <c r="N6421" s="31" t="str">
        <f aca="false">IF(G6421&lt;=INDEX(Assumptions!$B$15:$B$18,MATCH(E6421,Assumptions!$A$15:$A$18,0)),"Yes","No")</f>
        <v>Yes</v>
      </c>
      <c r="O6421" s="31" t="str">
        <f aca="false">IF(H6421="","Open",IF(H6421&lt;=INDEX(Assumptions!$C$15:$C$18,MATCH(E6421,Assumptions!$A$15:$A$18,0)),"Yes","No"))</f>
        <v>Yes</v>
      </c>
    </row>
    <row r="6422" customFormat="false" ht="15" hidden="false" customHeight="false" outlineLevel="0" collapsed="false">
      <c r="A6422" s="31" t="s">
        <v>6572</v>
      </c>
      <c r="B6422" s="44" t="n">
        <v>46289</v>
      </c>
      <c r="C6422" s="31" t="s">
        <v>57</v>
      </c>
      <c r="D6422" s="31" t="s">
        <v>67</v>
      </c>
      <c r="E6422" s="31" t="s">
        <v>52</v>
      </c>
      <c r="F6422" s="31" t="s">
        <v>120</v>
      </c>
      <c r="G6422" s="31" t="n">
        <v>8</v>
      </c>
      <c r="H6422" s="41" t="n">
        <v>81</v>
      </c>
      <c r="I6422" s="31" t="s">
        <v>149</v>
      </c>
      <c r="J6422" s="31" t="n">
        <v>5</v>
      </c>
      <c r="K6422" s="31" t="s">
        <v>150</v>
      </c>
      <c r="L6422" s="45" t="n">
        <f aca="false">DATE(YEAR(B6422),MONTH(B6422),1)</f>
        <v>46266</v>
      </c>
      <c r="M6422" s="31" t="n">
        <f aca="false">WEEKDAY(B6422,2)</f>
        <v>4</v>
      </c>
      <c r="N6422" s="31" t="str">
        <f aca="false">IF(G6422&lt;=INDEX(Assumptions!$B$15:$B$18,MATCH(E6422,Assumptions!$A$15:$A$18,0)),"Yes","No")</f>
        <v>Yes</v>
      </c>
      <c r="O6422" s="31" t="str">
        <f aca="false">IF(H6422="","Open",IF(H6422&lt;=INDEX(Assumptions!$C$15:$C$18,MATCH(E6422,Assumptions!$A$15:$A$18,0)),"Yes","No"))</f>
        <v>No</v>
      </c>
    </row>
    <row r="6423" customFormat="false" ht="15" hidden="false" customHeight="false" outlineLevel="0" collapsed="false">
      <c r="A6423" s="31" t="s">
        <v>6573</v>
      </c>
      <c r="B6423" s="44" t="n">
        <v>46289</v>
      </c>
      <c r="C6423" s="31" t="s">
        <v>60</v>
      </c>
      <c r="D6423" s="31" t="s">
        <v>66</v>
      </c>
      <c r="E6423" s="31" t="s">
        <v>51</v>
      </c>
      <c r="F6423" s="31" t="s">
        <v>122</v>
      </c>
      <c r="G6423" s="31" t="n">
        <v>2</v>
      </c>
      <c r="H6423" s="41" t="n">
        <v>2.2</v>
      </c>
      <c r="I6423" s="31" t="s">
        <v>149</v>
      </c>
      <c r="J6423" s="31" t="n">
        <v>5</v>
      </c>
      <c r="K6423" s="31" t="s">
        <v>150</v>
      </c>
      <c r="L6423" s="45" t="n">
        <f aca="false">DATE(YEAR(B6423),MONTH(B6423),1)</f>
        <v>46266</v>
      </c>
      <c r="M6423" s="31" t="n">
        <f aca="false">WEEKDAY(B6423,2)</f>
        <v>4</v>
      </c>
      <c r="N6423" s="31" t="str">
        <f aca="false">IF(G6423&lt;=INDEX(Assumptions!$B$15:$B$18,MATCH(E6423,Assumptions!$A$15:$A$18,0)),"Yes","No")</f>
        <v>Yes</v>
      </c>
      <c r="O6423" s="31" t="str">
        <f aca="false">IF(H6423="","Open",IF(H6423&lt;=INDEX(Assumptions!$C$15:$C$18,MATCH(E6423,Assumptions!$A$15:$A$18,0)),"Yes","No"))</f>
        <v>Yes</v>
      </c>
    </row>
    <row r="6424" customFormat="false" ht="15" hidden="false" customHeight="false" outlineLevel="0" collapsed="false">
      <c r="A6424" s="31" t="s">
        <v>6574</v>
      </c>
      <c r="B6424" s="44" t="n">
        <v>46289</v>
      </c>
      <c r="C6424" s="31" t="s">
        <v>60</v>
      </c>
      <c r="D6424" s="31" t="s">
        <v>65</v>
      </c>
      <c r="E6424" s="31" t="s">
        <v>51</v>
      </c>
      <c r="F6424" s="31" t="s">
        <v>134</v>
      </c>
      <c r="G6424" s="31" t="n">
        <v>1</v>
      </c>
      <c r="H6424" s="41"/>
      <c r="I6424" s="31" t="s">
        <v>158</v>
      </c>
      <c r="J6424" s="31"/>
      <c r="K6424" s="31" t="s">
        <v>150</v>
      </c>
      <c r="L6424" s="45" t="n">
        <f aca="false">DATE(YEAR(B6424),MONTH(B6424),1)</f>
        <v>46266</v>
      </c>
      <c r="M6424" s="31" t="n">
        <f aca="false">WEEKDAY(B6424,2)</f>
        <v>4</v>
      </c>
      <c r="N6424" s="31" t="str">
        <f aca="false">IF(G6424&lt;=INDEX(Assumptions!$B$15:$B$18,MATCH(E6424,Assumptions!$A$15:$A$18,0)),"Yes","No")</f>
        <v>Yes</v>
      </c>
      <c r="O6424" s="31" t="str">
        <f aca="false">IF(H6424="","Open",IF(H6424&lt;=INDEX(Assumptions!$C$15:$C$18,MATCH(E6424,Assumptions!$A$15:$A$18,0)),"Yes","No"))</f>
        <v>Open</v>
      </c>
    </row>
    <row r="6425" customFormat="false" ht="15" hidden="false" customHeight="false" outlineLevel="0" collapsed="false">
      <c r="A6425" s="31" t="s">
        <v>6575</v>
      </c>
      <c r="B6425" s="44" t="n">
        <v>46289</v>
      </c>
      <c r="C6425" s="31" t="s">
        <v>57</v>
      </c>
      <c r="D6425" s="31" t="s">
        <v>66</v>
      </c>
      <c r="E6425" s="31" t="s">
        <v>51</v>
      </c>
      <c r="F6425" s="31" t="s">
        <v>129</v>
      </c>
      <c r="G6425" s="31" t="n">
        <v>4</v>
      </c>
      <c r="H6425" s="41" t="n">
        <v>6.3</v>
      </c>
      <c r="I6425" s="31" t="s">
        <v>149</v>
      </c>
      <c r="J6425" s="31" t="n">
        <v>5</v>
      </c>
      <c r="K6425" s="31" t="s">
        <v>150</v>
      </c>
      <c r="L6425" s="45" t="n">
        <f aca="false">DATE(YEAR(B6425),MONTH(B6425),1)</f>
        <v>46266</v>
      </c>
      <c r="M6425" s="31" t="n">
        <f aca="false">WEEKDAY(B6425,2)</f>
        <v>4</v>
      </c>
      <c r="N6425" s="31" t="str">
        <f aca="false">IF(G6425&lt;=INDEX(Assumptions!$B$15:$B$18,MATCH(E6425,Assumptions!$A$15:$A$18,0)),"Yes","No")</f>
        <v>Yes</v>
      </c>
      <c r="O6425" s="31" t="str">
        <f aca="false">IF(H6425="","Open",IF(H6425&lt;=INDEX(Assumptions!$C$15:$C$18,MATCH(E6425,Assumptions!$A$15:$A$18,0)),"Yes","No"))</f>
        <v>Yes</v>
      </c>
    </row>
    <row r="6426" customFormat="false" ht="15" hidden="false" customHeight="false" outlineLevel="0" collapsed="false">
      <c r="A6426" s="31" t="s">
        <v>6576</v>
      </c>
      <c r="B6426" s="44" t="n">
        <v>46289</v>
      </c>
      <c r="C6426" s="31" t="s">
        <v>58</v>
      </c>
      <c r="D6426" s="31" t="s">
        <v>65</v>
      </c>
      <c r="E6426" s="31" t="s">
        <v>52</v>
      </c>
      <c r="F6426" s="31" t="s">
        <v>136</v>
      </c>
      <c r="G6426" s="31" t="n">
        <v>5</v>
      </c>
      <c r="H6426" s="41" t="n">
        <v>19.1</v>
      </c>
      <c r="I6426" s="31" t="s">
        <v>149</v>
      </c>
      <c r="J6426" s="31"/>
      <c r="K6426" s="31" t="s">
        <v>150</v>
      </c>
      <c r="L6426" s="45" t="n">
        <f aca="false">DATE(YEAR(B6426),MONTH(B6426),1)</f>
        <v>46266</v>
      </c>
      <c r="M6426" s="31" t="n">
        <f aca="false">WEEKDAY(B6426,2)</f>
        <v>4</v>
      </c>
      <c r="N6426" s="31" t="str">
        <f aca="false">IF(G6426&lt;=INDEX(Assumptions!$B$15:$B$18,MATCH(E6426,Assumptions!$A$15:$A$18,0)),"Yes","No")</f>
        <v>Yes</v>
      </c>
      <c r="O6426" s="31" t="str">
        <f aca="false">IF(H6426="","Open",IF(H6426&lt;=INDEX(Assumptions!$C$15:$C$18,MATCH(E6426,Assumptions!$A$15:$A$18,0)),"Yes","No"))</f>
        <v>Yes</v>
      </c>
    </row>
    <row r="6427" customFormat="false" ht="15" hidden="false" customHeight="false" outlineLevel="0" collapsed="false">
      <c r="A6427" s="31" t="s">
        <v>6577</v>
      </c>
      <c r="B6427" s="44" t="n">
        <v>46289</v>
      </c>
      <c r="C6427" s="31" t="s">
        <v>58</v>
      </c>
      <c r="D6427" s="31" t="s">
        <v>69</v>
      </c>
      <c r="E6427" s="31" t="s">
        <v>50</v>
      </c>
      <c r="F6427" s="31" t="s">
        <v>127</v>
      </c>
      <c r="G6427" s="31" t="n">
        <v>2</v>
      </c>
      <c r="H6427" s="41"/>
      <c r="I6427" s="31" t="s">
        <v>158</v>
      </c>
      <c r="J6427" s="31"/>
      <c r="K6427" s="31" t="s">
        <v>150</v>
      </c>
      <c r="L6427" s="45" t="n">
        <f aca="false">DATE(YEAR(B6427),MONTH(B6427),1)</f>
        <v>46266</v>
      </c>
      <c r="M6427" s="31" t="n">
        <f aca="false">WEEKDAY(B6427,2)</f>
        <v>4</v>
      </c>
      <c r="N6427" s="31" t="str">
        <f aca="false">IF(G6427&lt;=INDEX(Assumptions!$B$15:$B$18,MATCH(E6427,Assumptions!$A$15:$A$18,0)),"Yes","No")</f>
        <v>Yes</v>
      </c>
      <c r="O6427" s="31" t="str">
        <f aca="false">IF(H6427="","Open",IF(H6427&lt;=INDEX(Assumptions!$C$15:$C$18,MATCH(E6427,Assumptions!$A$15:$A$18,0)),"Yes","No"))</f>
        <v>Open</v>
      </c>
    </row>
    <row r="6428" customFormat="false" ht="15" hidden="false" customHeight="false" outlineLevel="0" collapsed="false">
      <c r="A6428" s="31" t="s">
        <v>6578</v>
      </c>
      <c r="B6428" s="44" t="n">
        <v>46289</v>
      </c>
      <c r="C6428" s="31" t="s">
        <v>60</v>
      </c>
      <c r="D6428" s="31" t="s">
        <v>67</v>
      </c>
      <c r="E6428" s="31" t="s">
        <v>50</v>
      </c>
      <c r="F6428" s="31" t="s">
        <v>128</v>
      </c>
      <c r="G6428" s="31" t="n">
        <v>3</v>
      </c>
      <c r="H6428" s="41"/>
      <c r="I6428" s="31" t="s">
        <v>158</v>
      </c>
      <c r="J6428" s="31"/>
      <c r="K6428" s="31" t="s">
        <v>150</v>
      </c>
      <c r="L6428" s="45" t="n">
        <f aca="false">DATE(YEAR(B6428),MONTH(B6428),1)</f>
        <v>46266</v>
      </c>
      <c r="M6428" s="31" t="n">
        <f aca="false">WEEKDAY(B6428,2)</f>
        <v>4</v>
      </c>
      <c r="N6428" s="31" t="str">
        <f aca="false">IF(G6428&lt;=INDEX(Assumptions!$B$15:$B$18,MATCH(E6428,Assumptions!$A$15:$A$18,0)),"Yes","No")</f>
        <v>Yes</v>
      </c>
      <c r="O6428" s="31" t="str">
        <f aca="false">IF(H6428="","Open",IF(H6428&lt;=INDEX(Assumptions!$C$15:$C$18,MATCH(E6428,Assumptions!$A$15:$A$18,0)),"Yes","No"))</f>
        <v>Open</v>
      </c>
    </row>
    <row r="6429" customFormat="false" ht="15" hidden="false" customHeight="false" outlineLevel="0" collapsed="false">
      <c r="A6429" s="31" t="s">
        <v>6579</v>
      </c>
      <c r="B6429" s="44" t="n">
        <v>46289</v>
      </c>
      <c r="C6429" s="31" t="s">
        <v>57</v>
      </c>
      <c r="D6429" s="31" t="s">
        <v>66</v>
      </c>
      <c r="E6429" s="31" t="s">
        <v>49</v>
      </c>
      <c r="F6429" s="31" t="s">
        <v>121</v>
      </c>
      <c r="G6429" s="31" t="n">
        <v>2</v>
      </c>
      <c r="H6429" s="41"/>
      <c r="I6429" s="31" t="s">
        <v>158</v>
      </c>
      <c r="J6429" s="31"/>
      <c r="K6429" s="31" t="s">
        <v>150</v>
      </c>
      <c r="L6429" s="45" t="n">
        <f aca="false">DATE(YEAR(B6429),MONTH(B6429),1)</f>
        <v>46266</v>
      </c>
      <c r="M6429" s="31" t="n">
        <f aca="false">WEEKDAY(B6429,2)</f>
        <v>4</v>
      </c>
      <c r="N6429" s="31" t="str">
        <f aca="false">IF(G6429&lt;=INDEX(Assumptions!$B$15:$B$18,MATCH(E6429,Assumptions!$A$15:$A$18,0)),"Yes","No")</f>
        <v>Yes</v>
      </c>
      <c r="O6429" s="31" t="str">
        <f aca="false">IF(H6429="","Open",IF(H6429&lt;=INDEX(Assumptions!$C$15:$C$18,MATCH(E6429,Assumptions!$A$15:$A$18,0)),"Yes","No"))</f>
        <v>Open</v>
      </c>
    </row>
    <row r="6430" customFormat="false" ht="15" hidden="false" customHeight="false" outlineLevel="0" collapsed="false">
      <c r="A6430" s="31" t="s">
        <v>6580</v>
      </c>
      <c r="B6430" s="44" t="n">
        <v>46289</v>
      </c>
      <c r="C6430" s="31" t="s">
        <v>58</v>
      </c>
      <c r="D6430" s="31" t="s">
        <v>66</v>
      </c>
      <c r="E6430" s="31" t="s">
        <v>51</v>
      </c>
      <c r="F6430" s="31" t="s">
        <v>128</v>
      </c>
      <c r="G6430" s="31" t="n">
        <v>22</v>
      </c>
      <c r="H6430" s="41"/>
      <c r="I6430" s="31" t="s">
        <v>158</v>
      </c>
      <c r="J6430" s="31"/>
      <c r="K6430" s="31" t="s">
        <v>150</v>
      </c>
      <c r="L6430" s="45" t="n">
        <f aca="false">DATE(YEAR(B6430),MONTH(B6430),1)</f>
        <v>46266</v>
      </c>
      <c r="M6430" s="31" t="n">
        <f aca="false">WEEKDAY(B6430,2)</f>
        <v>4</v>
      </c>
      <c r="N6430" s="31" t="str">
        <f aca="false">IF(G6430&lt;=INDEX(Assumptions!$B$15:$B$18,MATCH(E6430,Assumptions!$A$15:$A$18,0)),"Yes","No")</f>
        <v>Yes</v>
      </c>
      <c r="O6430" s="31" t="str">
        <f aca="false">IF(H6430="","Open",IF(H6430&lt;=INDEX(Assumptions!$C$15:$C$18,MATCH(E6430,Assumptions!$A$15:$A$18,0)),"Yes","No"))</f>
        <v>Open</v>
      </c>
    </row>
    <row r="6431" customFormat="false" ht="15" hidden="false" customHeight="false" outlineLevel="0" collapsed="false">
      <c r="A6431" s="31" t="s">
        <v>6581</v>
      </c>
      <c r="B6431" s="44" t="n">
        <v>46289</v>
      </c>
      <c r="C6431" s="31" t="s">
        <v>60</v>
      </c>
      <c r="D6431" s="31" t="s">
        <v>67</v>
      </c>
      <c r="E6431" s="31" t="s">
        <v>51</v>
      </c>
      <c r="F6431" s="31" t="s">
        <v>136</v>
      </c>
      <c r="G6431" s="31" t="n">
        <v>1</v>
      </c>
      <c r="H6431" s="41" t="n">
        <v>19.5</v>
      </c>
      <c r="I6431" s="31" t="s">
        <v>149</v>
      </c>
      <c r="J6431" s="31"/>
      <c r="K6431" s="31" t="s">
        <v>150</v>
      </c>
      <c r="L6431" s="45" t="n">
        <f aca="false">DATE(YEAR(B6431),MONTH(B6431),1)</f>
        <v>46266</v>
      </c>
      <c r="M6431" s="31" t="n">
        <f aca="false">WEEKDAY(B6431,2)</f>
        <v>4</v>
      </c>
      <c r="N6431" s="31" t="str">
        <f aca="false">IF(G6431&lt;=INDEX(Assumptions!$B$15:$B$18,MATCH(E6431,Assumptions!$A$15:$A$18,0)),"Yes","No")</f>
        <v>Yes</v>
      </c>
      <c r="O6431" s="31" t="str">
        <f aca="false">IF(H6431="","Open",IF(H6431&lt;=INDEX(Assumptions!$C$15:$C$18,MATCH(E6431,Assumptions!$A$15:$A$18,0)),"Yes","No"))</f>
        <v>Yes</v>
      </c>
    </row>
    <row r="6432" customFormat="false" ht="15" hidden="false" customHeight="false" outlineLevel="0" collapsed="false">
      <c r="A6432" s="31" t="s">
        <v>6582</v>
      </c>
      <c r="B6432" s="44" t="n">
        <v>46289</v>
      </c>
      <c r="C6432" s="31" t="s">
        <v>57</v>
      </c>
      <c r="D6432" s="31" t="s">
        <v>65</v>
      </c>
      <c r="E6432" s="31" t="s">
        <v>50</v>
      </c>
      <c r="F6432" s="31" t="s">
        <v>135</v>
      </c>
      <c r="G6432" s="31" t="n">
        <v>15</v>
      </c>
      <c r="H6432" s="41"/>
      <c r="I6432" s="31" t="s">
        <v>158</v>
      </c>
      <c r="J6432" s="31"/>
      <c r="K6432" s="31" t="s">
        <v>150</v>
      </c>
      <c r="L6432" s="45" t="n">
        <f aca="false">DATE(YEAR(B6432),MONTH(B6432),1)</f>
        <v>46266</v>
      </c>
      <c r="M6432" s="31" t="n">
        <f aca="false">WEEKDAY(B6432,2)</f>
        <v>4</v>
      </c>
      <c r="N6432" s="31" t="str">
        <f aca="false">IF(G6432&lt;=INDEX(Assumptions!$B$15:$B$18,MATCH(E6432,Assumptions!$A$15:$A$18,0)),"Yes","No")</f>
        <v>Yes</v>
      </c>
      <c r="O6432" s="31" t="str">
        <f aca="false">IF(H6432="","Open",IF(H6432&lt;=INDEX(Assumptions!$C$15:$C$18,MATCH(E6432,Assumptions!$A$15:$A$18,0)),"Yes","No"))</f>
        <v>Open</v>
      </c>
    </row>
    <row r="6433" customFormat="false" ht="15" hidden="false" customHeight="false" outlineLevel="0" collapsed="false">
      <c r="A6433" s="31" t="s">
        <v>6583</v>
      </c>
      <c r="B6433" s="44" t="n">
        <v>46289</v>
      </c>
      <c r="C6433" s="31" t="s">
        <v>57</v>
      </c>
      <c r="D6433" s="31" t="s">
        <v>68</v>
      </c>
      <c r="E6433" s="31" t="s">
        <v>51</v>
      </c>
      <c r="F6433" s="31" t="s">
        <v>137</v>
      </c>
      <c r="G6433" s="31" t="n">
        <v>7</v>
      </c>
      <c r="H6433" s="41"/>
      <c r="I6433" s="31" t="s">
        <v>158</v>
      </c>
      <c r="J6433" s="31"/>
      <c r="K6433" s="31" t="s">
        <v>150</v>
      </c>
      <c r="L6433" s="45" t="n">
        <f aca="false">DATE(YEAR(B6433),MONTH(B6433),1)</f>
        <v>46266</v>
      </c>
      <c r="M6433" s="31" t="n">
        <f aca="false">WEEKDAY(B6433,2)</f>
        <v>4</v>
      </c>
      <c r="N6433" s="31" t="str">
        <f aca="false">IF(G6433&lt;=INDEX(Assumptions!$B$15:$B$18,MATCH(E6433,Assumptions!$A$15:$A$18,0)),"Yes","No")</f>
        <v>Yes</v>
      </c>
      <c r="O6433" s="31" t="str">
        <f aca="false">IF(H6433="","Open",IF(H6433&lt;=INDEX(Assumptions!$C$15:$C$18,MATCH(E6433,Assumptions!$A$15:$A$18,0)),"Yes","No"))</f>
        <v>Open</v>
      </c>
    </row>
    <row r="6434" customFormat="false" ht="15" hidden="false" customHeight="false" outlineLevel="0" collapsed="false">
      <c r="A6434" s="31" t="s">
        <v>6584</v>
      </c>
      <c r="B6434" s="44" t="n">
        <v>46289</v>
      </c>
      <c r="C6434" s="31" t="s">
        <v>57</v>
      </c>
      <c r="D6434" s="31" t="s">
        <v>68</v>
      </c>
      <c r="E6434" s="31" t="s">
        <v>51</v>
      </c>
      <c r="F6434" s="31" t="s">
        <v>131</v>
      </c>
      <c r="G6434" s="31" t="n">
        <v>1</v>
      </c>
      <c r="H6434" s="41"/>
      <c r="I6434" s="31" t="s">
        <v>158</v>
      </c>
      <c r="J6434" s="31"/>
      <c r="K6434" s="31" t="s">
        <v>150</v>
      </c>
      <c r="L6434" s="45" t="n">
        <f aca="false">DATE(YEAR(B6434),MONTH(B6434),1)</f>
        <v>46266</v>
      </c>
      <c r="M6434" s="31" t="n">
        <f aca="false">WEEKDAY(B6434,2)</f>
        <v>4</v>
      </c>
      <c r="N6434" s="31" t="str">
        <f aca="false">IF(G6434&lt;=INDEX(Assumptions!$B$15:$B$18,MATCH(E6434,Assumptions!$A$15:$A$18,0)),"Yes","No")</f>
        <v>Yes</v>
      </c>
      <c r="O6434" s="31" t="str">
        <f aca="false">IF(H6434="","Open",IF(H6434&lt;=INDEX(Assumptions!$C$15:$C$18,MATCH(E6434,Assumptions!$A$15:$A$18,0)),"Yes","No"))</f>
        <v>Open</v>
      </c>
    </row>
    <row r="6435" customFormat="false" ht="15" hidden="false" customHeight="false" outlineLevel="0" collapsed="false">
      <c r="A6435" s="31" t="s">
        <v>6585</v>
      </c>
      <c r="B6435" s="44" t="n">
        <v>46289</v>
      </c>
      <c r="C6435" s="31" t="s">
        <v>58</v>
      </c>
      <c r="D6435" s="31" t="s">
        <v>65</v>
      </c>
      <c r="E6435" s="31" t="s">
        <v>50</v>
      </c>
      <c r="F6435" s="31" t="s">
        <v>124</v>
      </c>
      <c r="G6435" s="31" t="n">
        <v>17</v>
      </c>
      <c r="H6435" s="41" t="n">
        <v>6.5</v>
      </c>
      <c r="I6435" s="31" t="s">
        <v>149</v>
      </c>
      <c r="J6435" s="31" t="n">
        <v>5</v>
      </c>
      <c r="K6435" s="31" t="s">
        <v>150</v>
      </c>
      <c r="L6435" s="45" t="n">
        <f aca="false">DATE(YEAR(B6435),MONTH(B6435),1)</f>
        <v>46266</v>
      </c>
      <c r="M6435" s="31" t="n">
        <f aca="false">WEEKDAY(B6435,2)</f>
        <v>4</v>
      </c>
      <c r="N6435" s="31" t="str">
        <f aca="false">IF(G6435&lt;=INDEX(Assumptions!$B$15:$B$18,MATCH(E6435,Assumptions!$A$15:$A$18,0)),"Yes","No")</f>
        <v>Yes</v>
      </c>
      <c r="O6435" s="31" t="str">
        <f aca="false">IF(H6435="","Open",IF(H6435&lt;=INDEX(Assumptions!$C$15:$C$18,MATCH(E6435,Assumptions!$A$15:$A$18,0)),"Yes","No"))</f>
        <v>Yes</v>
      </c>
    </row>
    <row r="6436" customFormat="false" ht="15" hidden="false" customHeight="false" outlineLevel="0" collapsed="false">
      <c r="A6436" s="31" t="s">
        <v>6586</v>
      </c>
      <c r="B6436" s="44" t="n">
        <v>46289</v>
      </c>
      <c r="C6436" s="31" t="s">
        <v>60</v>
      </c>
      <c r="D6436" s="31" t="s">
        <v>67</v>
      </c>
      <c r="E6436" s="31" t="s">
        <v>49</v>
      </c>
      <c r="F6436" s="31" t="s">
        <v>129</v>
      </c>
      <c r="G6436" s="31" t="n">
        <v>1</v>
      </c>
      <c r="H6436" s="41" t="n">
        <v>4.8</v>
      </c>
      <c r="I6436" s="31" t="s">
        <v>149</v>
      </c>
      <c r="J6436" s="31"/>
      <c r="K6436" s="31" t="s">
        <v>150</v>
      </c>
      <c r="L6436" s="45" t="n">
        <f aca="false">DATE(YEAR(B6436),MONTH(B6436),1)</f>
        <v>46266</v>
      </c>
      <c r="M6436" s="31" t="n">
        <f aca="false">WEEKDAY(B6436,2)</f>
        <v>4</v>
      </c>
      <c r="N6436" s="31" t="str">
        <f aca="false">IF(G6436&lt;=INDEX(Assumptions!$B$15:$B$18,MATCH(E6436,Assumptions!$A$15:$A$18,0)),"Yes","No")</f>
        <v>Yes</v>
      </c>
      <c r="O6436" s="31" t="str">
        <f aca="false">IF(H6436="","Open",IF(H6436&lt;=INDEX(Assumptions!$C$15:$C$18,MATCH(E6436,Assumptions!$A$15:$A$18,0)),"Yes","No"))</f>
        <v>No</v>
      </c>
    </row>
    <row r="6437" customFormat="false" ht="15" hidden="false" customHeight="false" outlineLevel="0" collapsed="false">
      <c r="A6437" s="31" t="s">
        <v>6587</v>
      </c>
      <c r="B6437" s="44" t="n">
        <v>46289</v>
      </c>
      <c r="C6437" s="31" t="s">
        <v>60</v>
      </c>
      <c r="D6437" s="31" t="s">
        <v>69</v>
      </c>
      <c r="E6437" s="31" t="s">
        <v>52</v>
      </c>
      <c r="F6437" s="31" t="s">
        <v>127</v>
      </c>
      <c r="G6437" s="31" t="n">
        <v>2</v>
      </c>
      <c r="H6437" s="41" t="n">
        <v>59.9</v>
      </c>
      <c r="I6437" s="31" t="s">
        <v>149</v>
      </c>
      <c r="J6437" s="31" t="n">
        <v>5</v>
      </c>
      <c r="K6437" s="31" t="s">
        <v>150</v>
      </c>
      <c r="L6437" s="45" t="n">
        <f aca="false">DATE(YEAR(B6437),MONTH(B6437),1)</f>
        <v>46266</v>
      </c>
      <c r="M6437" s="31" t="n">
        <f aca="false">WEEKDAY(B6437,2)</f>
        <v>4</v>
      </c>
      <c r="N6437" s="31" t="str">
        <f aca="false">IF(G6437&lt;=INDEX(Assumptions!$B$15:$B$18,MATCH(E6437,Assumptions!$A$15:$A$18,0)),"Yes","No")</f>
        <v>Yes</v>
      </c>
      <c r="O6437" s="31" t="str">
        <f aca="false">IF(H6437="","Open",IF(H6437&lt;=INDEX(Assumptions!$C$15:$C$18,MATCH(E6437,Assumptions!$A$15:$A$18,0)),"Yes","No"))</f>
        <v>Yes</v>
      </c>
    </row>
    <row r="6438" customFormat="false" ht="15" hidden="false" customHeight="false" outlineLevel="0" collapsed="false">
      <c r="A6438" s="31" t="s">
        <v>6588</v>
      </c>
      <c r="B6438" s="44" t="n">
        <v>46289</v>
      </c>
      <c r="C6438" s="31" t="s">
        <v>60</v>
      </c>
      <c r="D6438" s="31" t="s">
        <v>66</v>
      </c>
      <c r="E6438" s="31" t="s">
        <v>51</v>
      </c>
      <c r="F6438" s="31" t="s">
        <v>119</v>
      </c>
      <c r="G6438" s="31" t="n">
        <v>3</v>
      </c>
      <c r="H6438" s="41"/>
      <c r="I6438" s="31" t="s">
        <v>158</v>
      </c>
      <c r="J6438" s="31"/>
      <c r="K6438" s="31" t="s">
        <v>150</v>
      </c>
      <c r="L6438" s="45" t="n">
        <f aca="false">DATE(YEAR(B6438),MONTH(B6438),1)</f>
        <v>46266</v>
      </c>
      <c r="M6438" s="31" t="n">
        <f aca="false">WEEKDAY(B6438,2)</f>
        <v>4</v>
      </c>
      <c r="N6438" s="31" t="str">
        <f aca="false">IF(G6438&lt;=INDEX(Assumptions!$B$15:$B$18,MATCH(E6438,Assumptions!$A$15:$A$18,0)),"Yes","No")</f>
        <v>Yes</v>
      </c>
      <c r="O6438" s="31" t="str">
        <f aca="false">IF(H6438="","Open",IF(H6438&lt;=INDEX(Assumptions!$C$15:$C$18,MATCH(E6438,Assumptions!$A$15:$A$18,0)),"Yes","No"))</f>
        <v>Open</v>
      </c>
    </row>
    <row r="6439" customFormat="false" ht="15" hidden="false" customHeight="false" outlineLevel="0" collapsed="false">
      <c r="A6439" s="31" t="s">
        <v>6589</v>
      </c>
      <c r="B6439" s="44" t="n">
        <v>46289</v>
      </c>
      <c r="C6439" s="31" t="s">
        <v>59</v>
      </c>
      <c r="D6439" s="31" t="s">
        <v>66</v>
      </c>
      <c r="E6439" s="31" t="s">
        <v>52</v>
      </c>
      <c r="F6439" s="31" t="s">
        <v>120</v>
      </c>
      <c r="G6439" s="31" t="n">
        <v>162</v>
      </c>
      <c r="H6439" s="41"/>
      <c r="I6439" s="31" t="s">
        <v>158</v>
      </c>
      <c r="J6439" s="31"/>
      <c r="K6439" s="31" t="s">
        <v>150</v>
      </c>
      <c r="L6439" s="45" t="n">
        <f aca="false">DATE(YEAR(B6439),MONTH(B6439),1)</f>
        <v>46266</v>
      </c>
      <c r="M6439" s="31" t="n">
        <f aca="false">WEEKDAY(B6439,2)</f>
        <v>4</v>
      </c>
      <c r="N6439" s="31" t="str">
        <f aca="false">IF(G6439&lt;=INDEX(Assumptions!$B$15:$B$18,MATCH(E6439,Assumptions!$A$15:$A$18,0)),"Yes","No")</f>
        <v>Yes</v>
      </c>
      <c r="O6439" s="31" t="str">
        <f aca="false">IF(H6439="","Open",IF(H6439&lt;=INDEX(Assumptions!$C$15:$C$18,MATCH(E6439,Assumptions!$A$15:$A$18,0)),"Yes","No"))</f>
        <v>Open</v>
      </c>
    </row>
    <row r="6440" customFormat="false" ht="15" hidden="false" customHeight="false" outlineLevel="0" collapsed="false">
      <c r="A6440" s="31" t="s">
        <v>6590</v>
      </c>
      <c r="B6440" s="44" t="n">
        <v>46289</v>
      </c>
      <c r="C6440" s="31" t="s">
        <v>58</v>
      </c>
      <c r="D6440" s="31" t="s">
        <v>66</v>
      </c>
      <c r="E6440" s="31" t="s">
        <v>51</v>
      </c>
      <c r="F6440" s="31" t="s">
        <v>117</v>
      </c>
      <c r="G6440" s="31" t="n">
        <v>5</v>
      </c>
      <c r="H6440" s="41"/>
      <c r="I6440" s="31" t="s">
        <v>158</v>
      </c>
      <c r="J6440" s="31"/>
      <c r="K6440" s="31" t="s">
        <v>150</v>
      </c>
      <c r="L6440" s="45" t="n">
        <f aca="false">DATE(YEAR(B6440),MONTH(B6440),1)</f>
        <v>46266</v>
      </c>
      <c r="M6440" s="31" t="n">
        <f aca="false">WEEKDAY(B6440,2)</f>
        <v>4</v>
      </c>
      <c r="N6440" s="31" t="str">
        <f aca="false">IF(G6440&lt;=INDEX(Assumptions!$B$15:$B$18,MATCH(E6440,Assumptions!$A$15:$A$18,0)),"Yes","No")</f>
        <v>Yes</v>
      </c>
      <c r="O6440" s="31" t="str">
        <f aca="false">IF(H6440="","Open",IF(H6440&lt;=INDEX(Assumptions!$C$15:$C$18,MATCH(E6440,Assumptions!$A$15:$A$18,0)),"Yes","No"))</f>
        <v>Open</v>
      </c>
    </row>
    <row r="6441" customFormat="false" ht="15" hidden="false" customHeight="false" outlineLevel="0" collapsed="false">
      <c r="A6441" s="31" t="s">
        <v>6591</v>
      </c>
      <c r="B6441" s="44" t="n">
        <v>46289</v>
      </c>
      <c r="C6441" s="31" t="s">
        <v>57</v>
      </c>
      <c r="D6441" s="31" t="s">
        <v>65</v>
      </c>
      <c r="E6441" s="31" t="s">
        <v>52</v>
      </c>
      <c r="F6441" s="31" t="s">
        <v>117</v>
      </c>
      <c r="G6441" s="31" t="n">
        <v>2</v>
      </c>
      <c r="H6441" s="41" t="n">
        <v>12.7</v>
      </c>
      <c r="I6441" s="31" t="s">
        <v>149</v>
      </c>
      <c r="J6441" s="31"/>
      <c r="K6441" s="31" t="s">
        <v>150</v>
      </c>
      <c r="L6441" s="45" t="n">
        <f aca="false">DATE(YEAR(B6441),MONTH(B6441),1)</f>
        <v>46266</v>
      </c>
      <c r="M6441" s="31" t="n">
        <f aca="false">WEEKDAY(B6441,2)</f>
        <v>4</v>
      </c>
      <c r="N6441" s="31" t="str">
        <f aca="false">IF(G6441&lt;=INDEX(Assumptions!$B$15:$B$18,MATCH(E6441,Assumptions!$A$15:$A$18,0)),"Yes","No")</f>
        <v>Yes</v>
      </c>
      <c r="O6441" s="31" t="str">
        <f aca="false">IF(H6441="","Open",IF(H6441&lt;=INDEX(Assumptions!$C$15:$C$18,MATCH(E6441,Assumptions!$A$15:$A$18,0)),"Yes","No"))</f>
        <v>Yes</v>
      </c>
    </row>
    <row r="6442" customFormat="false" ht="15" hidden="false" customHeight="false" outlineLevel="0" collapsed="false">
      <c r="A6442" s="31" t="s">
        <v>6592</v>
      </c>
      <c r="B6442" s="44" t="n">
        <v>46289</v>
      </c>
      <c r="C6442" s="31" t="s">
        <v>59</v>
      </c>
      <c r="D6442" s="31" t="s">
        <v>66</v>
      </c>
      <c r="E6442" s="31" t="s">
        <v>51</v>
      </c>
      <c r="F6442" s="31" t="s">
        <v>117</v>
      </c>
      <c r="G6442" s="31" t="n">
        <v>256</v>
      </c>
      <c r="H6442" s="41" t="n">
        <v>2.7</v>
      </c>
      <c r="I6442" s="31" t="s">
        <v>149</v>
      </c>
      <c r="J6442" s="31" t="n">
        <v>3</v>
      </c>
      <c r="K6442" s="31" t="s">
        <v>150</v>
      </c>
      <c r="L6442" s="45" t="n">
        <f aca="false">DATE(YEAR(B6442),MONTH(B6442),1)</f>
        <v>46266</v>
      </c>
      <c r="M6442" s="31" t="n">
        <f aca="false">WEEKDAY(B6442,2)</f>
        <v>4</v>
      </c>
      <c r="N6442" s="31" t="str">
        <f aca="false">IF(G6442&lt;=INDEX(Assumptions!$B$15:$B$18,MATCH(E6442,Assumptions!$A$15:$A$18,0)),"Yes","No")</f>
        <v>No</v>
      </c>
      <c r="O6442" s="31" t="str">
        <f aca="false">IF(H6442="","Open",IF(H6442&lt;=INDEX(Assumptions!$C$15:$C$18,MATCH(E6442,Assumptions!$A$15:$A$18,0)),"Yes","No"))</f>
        <v>Yes</v>
      </c>
    </row>
    <row r="6443" customFormat="false" ht="15" hidden="false" customHeight="false" outlineLevel="0" collapsed="false">
      <c r="A6443" s="31" t="s">
        <v>6593</v>
      </c>
      <c r="B6443" s="44" t="n">
        <v>46289</v>
      </c>
      <c r="C6443" s="31" t="s">
        <v>59</v>
      </c>
      <c r="D6443" s="31" t="s">
        <v>67</v>
      </c>
      <c r="E6443" s="31" t="s">
        <v>51</v>
      </c>
      <c r="F6443" s="31" t="s">
        <v>127</v>
      </c>
      <c r="G6443" s="31" t="n">
        <v>37</v>
      </c>
      <c r="H6443" s="41"/>
      <c r="I6443" s="31" t="s">
        <v>158</v>
      </c>
      <c r="J6443" s="31"/>
      <c r="K6443" s="31" t="s">
        <v>150</v>
      </c>
      <c r="L6443" s="45" t="n">
        <f aca="false">DATE(YEAR(B6443),MONTH(B6443),1)</f>
        <v>46266</v>
      </c>
      <c r="M6443" s="31" t="n">
        <f aca="false">WEEKDAY(B6443,2)</f>
        <v>4</v>
      </c>
      <c r="N6443" s="31" t="str">
        <f aca="false">IF(G6443&lt;=INDEX(Assumptions!$B$15:$B$18,MATCH(E6443,Assumptions!$A$15:$A$18,0)),"Yes","No")</f>
        <v>Yes</v>
      </c>
      <c r="O6443" s="31" t="str">
        <f aca="false">IF(H6443="","Open",IF(H6443&lt;=INDEX(Assumptions!$C$15:$C$18,MATCH(E6443,Assumptions!$A$15:$A$18,0)),"Yes","No"))</f>
        <v>Open</v>
      </c>
    </row>
    <row r="6444" customFormat="false" ht="15" hidden="false" customHeight="false" outlineLevel="0" collapsed="false">
      <c r="A6444" s="31" t="s">
        <v>6594</v>
      </c>
      <c r="B6444" s="44" t="n">
        <v>46289</v>
      </c>
      <c r="C6444" s="31" t="s">
        <v>57</v>
      </c>
      <c r="D6444" s="31" t="s">
        <v>66</v>
      </c>
      <c r="E6444" s="31" t="s">
        <v>52</v>
      </c>
      <c r="F6444" s="31" t="s">
        <v>128</v>
      </c>
      <c r="G6444" s="31" t="n">
        <v>8</v>
      </c>
      <c r="H6444" s="41"/>
      <c r="I6444" s="31" t="s">
        <v>158</v>
      </c>
      <c r="J6444" s="31"/>
      <c r="K6444" s="31" t="s">
        <v>150</v>
      </c>
      <c r="L6444" s="45" t="n">
        <f aca="false">DATE(YEAR(B6444),MONTH(B6444),1)</f>
        <v>46266</v>
      </c>
      <c r="M6444" s="31" t="n">
        <f aca="false">WEEKDAY(B6444,2)</f>
        <v>4</v>
      </c>
      <c r="N6444" s="31" t="str">
        <f aca="false">IF(G6444&lt;=INDEX(Assumptions!$B$15:$B$18,MATCH(E6444,Assumptions!$A$15:$A$18,0)),"Yes","No")</f>
        <v>Yes</v>
      </c>
      <c r="O6444" s="31" t="str">
        <f aca="false">IF(H6444="","Open",IF(H6444&lt;=INDEX(Assumptions!$C$15:$C$18,MATCH(E6444,Assumptions!$A$15:$A$18,0)),"Yes","No"))</f>
        <v>Open</v>
      </c>
    </row>
    <row r="6445" customFormat="false" ht="15" hidden="false" customHeight="false" outlineLevel="0" collapsed="false">
      <c r="A6445" s="31" t="s">
        <v>6595</v>
      </c>
      <c r="B6445" s="44" t="n">
        <v>46289</v>
      </c>
      <c r="C6445" s="31" t="s">
        <v>58</v>
      </c>
      <c r="D6445" s="31" t="s">
        <v>65</v>
      </c>
      <c r="E6445" s="31" t="s">
        <v>51</v>
      </c>
      <c r="F6445" s="31" t="s">
        <v>119</v>
      </c>
      <c r="G6445" s="31" t="n">
        <v>4</v>
      </c>
      <c r="H6445" s="41" t="n">
        <v>13.6</v>
      </c>
      <c r="I6445" s="31" t="s">
        <v>149</v>
      </c>
      <c r="J6445" s="31"/>
      <c r="K6445" s="31" t="s">
        <v>150</v>
      </c>
      <c r="L6445" s="45" t="n">
        <f aca="false">DATE(YEAR(B6445),MONTH(B6445),1)</f>
        <v>46266</v>
      </c>
      <c r="M6445" s="31" t="n">
        <f aca="false">WEEKDAY(B6445,2)</f>
        <v>4</v>
      </c>
      <c r="N6445" s="31" t="str">
        <f aca="false">IF(G6445&lt;=INDEX(Assumptions!$B$15:$B$18,MATCH(E6445,Assumptions!$A$15:$A$18,0)),"Yes","No")</f>
        <v>Yes</v>
      </c>
      <c r="O6445" s="31" t="str">
        <f aca="false">IF(H6445="","Open",IF(H6445&lt;=INDEX(Assumptions!$C$15:$C$18,MATCH(E6445,Assumptions!$A$15:$A$18,0)),"Yes","No"))</f>
        <v>Yes</v>
      </c>
    </row>
    <row r="6446" customFormat="false" ht="15" hidden="false" customHeight="false" outlineLevel="0" collapsed="false">
      <c r="A6446" s="31" t="s">
        <v>6596</v>
      </c>
      <c r="B6446" s="44" t="n">
        <v>46289</v>
      </c>
      <c r="C6446" s="31" t="s">
        <v>60</v>
      </c>
      <c r="D6446" s="31" t="s">
        <v>66</v>
      </c>
      <c r="E6446" s="31" t="s">
        <v>51</v>
      </c>
      <c r="F6446" s="31" t="s">
        <v>121</v>
      </c>
      <c r="G6446" s="31" t="n">
        <v>1</v>
      </c>
      <c r="H6446" s="41"/>
      <c r="I6446" s="31" t="s">
        <v>158</v>
      </c>
      <c r="J6446" s="31"/>
      <c r="K6446" s="31" t="s">
        <v>150</v>
      </c>
      <c r="L6446" s="45" t="n">
        <f aca="false">DATE(YEAR(B6446),MONTH(B6446),1)</f>
        <v>46266</v>
      </c>
      <c r="M6446" s="31" t="n">
        <f aca="false">WEEKDAY(B6446,2)</f>
        <v>4</v>
      </c>
      <c r="N6446" s="31" t="str">
        <f aca="false">IF(G6446&lt;=INDEX(Assumptions!$B$15:$B$18,MATCH(E6446,Assumptions!$A$15:$A$18,0)),"Yes","No")</f>
        <v>Yes</v>
      </c>
      <c r="O6446" s="31" t="str">
        <f aca="false">IF(H6446="","Open",IF(H6446&lt;=INDEX(Assumptions!$C$15:$C$18,MATCH(E6446,Assumptions!$A$15:$A$18,0)),"Yes","No"))</f>
        <v>Open</v>
      </c>
    </row>
    <row r="6447" customFormat="false" ht="15" hidden="false" customHeight="false" outlineLevel="0" collapsed="false">
      <c r="A6447" s="31" t="s">
        <v>6597</v>
      </c>
      <c r="B6447" s="44" t="n">
        <v>46289</v>
      </c>
      <c r="C6447" s="31" t="s">
        <v>57</v>
      </c>
      <c r="D6447" s="31" t="s">
        <v>67</v>
      </c>
      <c r="E6447" s="31" t="s">
        <v>52</v>
      </c>
      <c r="F6447" s="31" t="s">
        <v>122</v>
      </c>
      <c r="G6447" s="31" t="n">
        <v>12</v>
      </c>
      <c r="H6447" s="41" t="n">
        <v>32.7</v>
      </c>
      <c r="I6447" s="31" t="s">
        <v>149</v>
      </c>
      <c r="J6447" s="31"/>
      <c r="K6447" s="31" t="s">
        <v>150</v>
      </c>
      <c r="L6447" s="45" t="n">
        <f aca="false">DATE(YEAR(B6447),MONTH(B6447),1)</f>
        <v>46266</v>
      </c>
      <c r="M6447" s="31" t="n">
        <f aca="false">WEEKDAY(B6447,2)</f>
        <v>4</v>
      </c>
      <c r="N6447" s="31" t="str">
        <f aca="false">IF(G6447&lt;=INDEX(Assumptions!$B$15:$B$18,MATCH(E6447,Assumptions!$A$15:$A$18,0)),"Yes","No")</f>
        <v>Yes</v>
      </c>
      <c r="O6447" s="31" t="str">
        <f aca="false">IF(H6447="","Open",IF(H6447&lt;=INDEX(Assumptions!$C$15:$C$18,MATCH(E6447,Assumptions!$A$15:$A$18,0)),"Yes","No"))</f>
        <v>Yes</v>
      </c>
    </row>
    <row r="6448" customFormat="false" ht="15" hidden="false" customHeight="false" outlineLevel="0" collapsed="false">
      <c r="A6448" s="31" t="s">
        <v>6598</v>
      </c>
      <c r="B6448" s="44" t="n">
        <v>46289</v>
      </c>
      <c r="C6448" s="31" t="s">
        <v>57</v>
      </c>
      <c r="D6448" s="31" t="s">
        <v>66</v>
      </c>
      <c r="E6448" s="31" t="s">
        <v>51</v>
      </c>
      <c r="F6448" s="31" t="s">
        <v>130</v>
      </c>
      <c r="G6448" s="31" t="n">
        <v>4</v>
      </c>
      <c r="H6448" s="41"/>
      <c r="I6448" s="31" t="s">
        <v>158</v>
      </c>
      <c r="J6448" s="31"/>
      <c r="K6448" s="31" t="s">
        <v>150</v>
      </c>
      <c r="L6448" s="45" t="n">
        <f aca="false">DATE(YEAR(B6448),MONTH(B6448),1)</f>
        <v>46266</v>
      </c>
      <c r="M6448" s="31" t="n">
        <f aca="false">WEEKDAY(B6448,2)</f>
        <v>4</v>
      </c>
      <c r="N6448" s="31" t="str">
        <f aca="false">IF(G6448&lt;=INDEX(Assumptions!$B$15:$B$18,MATCH(E6448,Assumptions!$A$15:$A$18,0)),"Yes","No")</f>
        <v>Yes</v>
      </c>
      <c r="O6448" s="31" t="str">
        <f aca="false">IF(H6448="","Open",IF(H6448&lt;=INDEX(Assumptions!$C$15:$C$18,MATCH(E6448,Assumptions!$A$15:$A$18,0)),"Yes","No"))</f>
        <v>Open</v>
      </c>
    </row>
    <row r="6449" customFormat="false" ht="15" hidden="false" customHeight="false" outlineLevel="0" collapsed="false">
      <c r="A6449" s="31" t="s">
        <v>6599</v>
      </c>
      <c r="B6449" s="44" t="n">
        <v>46289</v>
      </c>
      <c r="C6449" s="31" t="s">
        <v>58</v>
      </c>
      <c r="D6449" s="31" t="s">
        <v>65</v>
      </c>
      <c r="E6449" s="31" t="s">
        <v>52</v>
      </c>
      <c r="F6449" s="31" t="s">
        <v>124</v>
      </c>
      <c r="G6449" s="31" t="n">
        <v>13</v>
      </c>
      <c r="H6449" s="41"/>
      <c r="I6449" s="31" t="s">
        <v>158</v>
      </c>
      <c r="J6449" s="31"/>
      <c r="K6449" s="31" t="s">
        <v>150</v>
      </c>
      <c r="L6449" s="45" t="n">
        <f aca="false">DATE(YEAR(B6449),MONTH(B6449),1)</f>
        <v>46266</v>
      </c>
      <c r="M6449" s="31" t="n">
        <f aca="false">WEEKDAY(B6449,2)</f>
        <v>4</v>
      </c>
      <c r="N6449" s="31" t="str">
        <f aca="false">IF(G6449&lt;=INDEX(Assumptions!$B$15:$B$18,MATCH(E6449,Assumptions!$A$15:$A$18,0)),"Yes","No")</f>
        <v>Yes</v>
      </c>
      <c r="O6449" s="31" t="str">
        <f aca="false">IF(H6449="","Open",IF(H6449&lt;=INDEX(Assumptions!$C$15:$C$18,MATCH(E6449,Assumptions!$A$15:$A$18,0)),"Yes","No"))</f>
        <v>Open</v>
      </c>
    </row>
    <row r="6450" customFormat="false" ht="15" hidden="false" customHeight="false" outlineLevel="0" collapsed="false">
      <c r="A6450" s="31" t="s">
        <v>6600</v>
      </c>
      <c r="B6450" s="44" t="n">
        <v>46289</v>
      </c>
      <c r="C6450" s="31" t="s">
        <v>60</v>
      </c>
      <c r="D6450" s="31" t="s">
        <v>67</v>
      </c>
      <c r="E6450" s="31" t="s">
        <v>51</v>
      </c>
      <c r="F6450" s="31" t="s">
        <v>126</v>
      </c>
      <c r="G6450" s="31" t="n">
        <v>1</v>
      </c>
      <c r="H6450" s="41" t="n">
        <v>5.1</v>
      </c>
      <c r="I6450" s="31" t="s">
        <v>149</v>
      </c>
      <c r="J6450" s="31" t="n">
        <v>4</v>
      </c>
      <c r="K6450" s="31" t="s">
        <v>150</v>
      </c>
      <c r="L6450" s="45" t="n">
        <f aca="false">DATE(YEAR(B6450),MONTH(B6450),1)</f>
        <v>46266</v>
      </c>
      <c r="M6450" s="31" t="n">
        <f aca="false">WEEKDAY(B6450,2)</f>
        <v>4</v>
      </c>
      <c r="N6450" s="31" t="str">
        <f aca="false">IF(G6450&lt;=INDEX(Assumptions!$B$15:$B$18,MATCH(E6450,Assumptions!$A$15:$A$18,0)),"Yes","No")</f>
        <v>Yes</v>
      </c>
      <c r="O6450" s="31" t="str">
        <f aca="false">IF(H6450="","Open",IF(H6450&lt;=INDEX(Assumptions!$C$15:$C$18,MATCH(E6450,Assumptions!$A$15:$A$18,0)),"Yes","No"))</f>
        <v>Yes</v>
      </c>
    </row>
    <row r="6451" customFormat="false" ht="15" hidden="false" customHeight="false" outlineLevel="0" collapsed="false">
      <c r="A6451" s="31" t="s">
        <v>6601</v>
      </c>
      <c r="B6451" s="44" t="n">
        <v>46289</v>
      </c>
      <c r="C6451" s="31" t="s">
        <v>58</v>
      </c>
      <c r="D6451" s="31" t="s">
        <v>69</v>
      </c>
      <c r="E6451" s="31" t="s">
        <v>51</v>
      </c>
      <c r="F6451" s="31" t="s">
        <v>123</v>
      </c>
      <c r="G6451" s="31" t="n">
        <v>13</v>
      </c>
      <c r="H6451" s="41" t="n">
        <v>14.6</v>
      </c>
      <c r="I6451" s="31" t="s">
        <v>149</v>
      </c>
      <c r="J6451" s="31"/>
      <c r="K6451" s="31" t="s">
        <v>150</v>
      </c>
      <c r="L6451" s="45" t="n">
        <f aca="false">DATE(YEAR(B6451),MONTH(B6451),1)</f>
        <v>46266</v>
      </c>
      <c r="M6451" s="31" t="n">
        <f aca="false">WEEKDAY(B6451,2)</f>
        <v>4</v>
      </c>
      <c r="N6451" s="31" t="str">
        <f aca="false">IF(G6451&lt;=INDEX(Assumptions!$B$15:$B$18,MATCH(E6451,Assumptions!$A$15:$A$18,0)),"Yes","No")</f>
        <v>Yes</v>
      </c>
      <c r="O6451" s="31" t="str">
        <f aca="false">IF(H6451="","Open",IF(H6451&lt;=INDEX(Assumptions!$C$15:$C$18,MATCH(E6451,Assumptions!$A$15:$A$18,0)),"Yes","No"))</f>
        <v>Yes</v>
      </c>
    </row>
    <row r="6452" customFormat="false" ht="15" hidden="false" customHeight="false" outlineLevel="0" collapsed="false">
      <c r="A6452" s="31" t="s">
        <v>6602</v>
      </c>
      <c r="B6452" s="44" t="n">
        <v>46289</v>
      </c>
      <c r="C6452" s="31" t="s">
        <v>59</v>
      </c>
      <c r="D6452" s="31" t="s">
        <v>68</v>
      </c>
      <c r="E6452" s="31" t="s">
        <v>52</v>
      </c>
      <c r="F6452" s="31" t="s">
        <v>137</v>
      </c>
      <c r="G6452" s="31" t="n">
        <v>130</v>
      </c>
      <c r="H6452" s="41"/>
      <c r="I6452" s="31" t="s">
        <v>158</v>
      </c>
      <c r="J6452" s="31"/>
      <c r="K6452" s="31" t="s">
        <v>150</v>
      </c>
      <c r="L6452" s="45" t="n">
        <f aca="false">DATE(YEAR(B6452),MONTH(B6452),1)</f>
        <v>46266</v>
      </c>
      <c r="M6452" s="31" t="n">
        <f aca="false">WEEKDAY(B6452,2)</f>
        <v>4</v>
      </c>
      <c r="N6452" s="31" t="str">
        <f aca="false">IF(G6452&lt;=INDEX(Assumptions!$B$15:$B$18,MATCH(E6452,Assumptions!$A$15:$A$18,0)),"Yes","No")</f>
        <v>Yes</v>
      </c>
      <c r="O6452" s="31" t="str">
        <f aca="false">IF(H6452="","Open",IF(H6452&lt;=INDEX(Assumptions!$C$15:$C$18,MATCH(E6452,Assumptions!$A$15:$A$18,0)),"Yes","No"))</f>
        <v>Open</v>
      </c>
    </row>
    <row r="6453" customFormat="false" ht="15" hidden="false" customHeight="false" outlineLevel="0" collapsed="false">
      <c r="A6453" s="31" t="s">
        <v>6603</v>
      </c>
      <c r="B6453" s="44" t="n">
        <v>46289</v>
      </c>
      <c r="C6453" s="31" t="s">
        <v>57</v>
      </c>
      <c r="D6453" s="31" t="s">
        <v>65</v>
      </c>
      <c r="E6453" s="31" t="s">
        <v>51</v>
      </c>
      <c r="F6453" s="31" t="s">
        <v>128</v>
      </c>
      <c r="G6453" s="31" t="n">
        <v>3</v>
      </c>
      <c r="H6453" s="41" t="n">
        <v>22.8</v>
      </c>
      <c r="I6453" s="31" t="s">
        <v>149</v>
      </c>
      <c r="J6453" s="31" t="n">
        <v>4</v>
      </c>
      <c r="K6453" s="31" t="s">
        <v>150</v>
      </c>
      <c r="L6453" s="45" t="n">
        <f aca="false">DATE(YEAR(B6453),MONTH(B6453),1)</f>
        <v>46266</v>
      </c>
      <c r="M6453" s="31" t="n">
        <f aca="false">WEEKDAY(B6453,2)</f>
        <v>4</v>
      </c>
      <c r="N6453" s="31" t="str">
        <f aca="false">IF(G6453&lt;=INDEX(Assumptions!$B$15:$B$18,MATCH(E6453,Assumptions!$A$15:$A$18,0)),"Yes","No")</f>
        <v>Yes</v>
      </c>
      <c r="O6453" s="31" t="str">
        <f aca="false">IF(H6453="","Open",IF(H6453&lt;=INDEX(Assumptions!$C$15:$C$18,MATCH(E6453,Assumptions!$A$15:$A$18,0)),"Yes","No"))</f>
        <v>Yes</v>
      </c>
    </row>
    <row r="6454" customFormat="false" ht="15" hidden="false" customHeight="false" outlineLevel="0" collapsed="false">
      <c r="A6454" s="31" t="s">
        <v>6604</v>
      </c>
      <c r="B6454" s="44" t="n">
        <v>46289</v>
      </c>
      <c r="C6454" s="31" t="s">
        <v>58</v>
      </c>
      <c r="D6454" s="31" t="s">
        <v>67</v>
      </c>
      <c r="E6454" s="31" t="s">
        <v>51</v>
      </c>
      <c r="F6454" s="31" t="s">
        <v>137</v>
      </c>
      <c r="G6454" s="31" t="n">
        <v>8</v>
      </c>
      <c r="H6454" s="41" t="n">
        <v>22.3</v>
      </c>
      <c r="I6454" s="31" t="s">
        <v>149</v>
      </c>
      <c r="J6454" s="31" t="n">
        <v>5</v>
      </c>
      <c r="K6454" s="31" t="s">
        <v>150</v>
      </c>
      <c r="L6454" s="45" t="n">
        <f aca="false">DATE(YEAR(B6454),MONTH(B6454),1)</f>
        <v>46266</v>
      </c>
      <c r="M6454" s="31" t="n">
        <f aca="false">WEEKDAY(B6454,2)</f>
        <v>4</v>
      </c>
      <c r="N6454" s="31" t="str">
        <f aca="false">IF(G6454&lt;=INDEX(Assumptions!$B$15:$B$18,MATCH(E6454,Assumptions!$A$15:$A$18,0)),"Yes","No")</f>
        <v>Yes</v>
      </c>
      <c r="O6454" s="31" t="str">
        <f aca="false">IF(H6454="","Open",IF(H6454&lt;=INDEX(Assumptions!$C$15:$C$18,MATCH(E6454,Assumptions!$A$15:$A$18,0)),"Yes","No"))</f>
        <v>Yes</v>
      </c>
    </row>
    <row r="6455" customFormat="false" ht="15" hidden="false" customHeight="false" outlineLevel="0" collapsed="false">
      <c r="A6455" s="31" t="s">
        <v>6605</v>
      </c>
      <c r="B6455" s="44" t="n">
        <v>46289</v>
      </c>
      <c r="C6455" s="31" t="s">
        <v>59</v>
      </c>
      <c r="D6455" s="31" t="s">
        <v>65</v>
      </c>
      <c r="E6455" s="31" t="s">
        <v>52</v>
      </c>
      <c r="F6455" s="31" t="s">
        <v>120</v>
      </c>
      <c r="G6455" s="31" t="n">
        <v>143</v>
      </c>
      <c r="H6455" s="41"/>
      <c r="I6455" s="31" t="s">
        <v>158</v>
      </c>
      <c r="J6455" s="31"/>
      <c r="K6455" s="31" t="s">
        <v>150</v>
      </c>
      <c r="L6455" s="45" t="n">
        <f aca="false">DATE(YEAR(B6455),MONTH(B6455),1)</f>
        <v>46266</v>
      </c>
      <c r="M6455" s="31" t="n">
        <f aca="false">WEEKDAY(B6455,2)</f>
        <v>4</v>
      </c>
      <c r="N6455" s="31" t="str">
        <f aca="false">IF(G6455&lt;=INDEX(Assumptions!$B$15:$B$18,MATCH(E6455,Assumptions!$A$15:$A$18,0)),"Yes","No")</f>
        <v>Yes</v>
      </c>
      <c r="O6455" s="31" t="str">
        <f aca="false">IF(H6455="","Open",IF(H6455&lt;=INDEX(Assumptions!$C$15:$C$18,MATCH(E6455,Assumptions!$A$15:$A$18,0)),"Yes","No"))</f>
        <v>Open</v>
      </c>
    </row>
    <row r="6456" customFormat="false" ht="15" hidden="false" customHeight="false" outlineLevel="0" collapsed="false">
      <c r="A6456" s="31" t="s">
        <v>6606</v>
      </c>
      <c r="B6456" s="44" t="n">
        <v>46289</v>
      </c>
      <c r="C6456" s="31" t="s">
        <v>58</v>
      </c>
      <c r="D6456" s="31" t="s">
        <v>65</v>
      </c>
      <c r="E6456" s="31" t="s">
        <v>51</v>
      </c>
      <c r="F6456" s="31" t="s">
        <v>131</v>
      </c>
      <c r="G6456" s="31" t="n">
        <v>17</v>
      </c>
      <c r="H6456" s="41" t="n">
        <v>33.7</v>
      </c>
      <c r="I6456" s="31" t="s">
        <v>64</v>
      </c>
      <c r="J6456" s="31"/>
      <c r="K6456" s="31" t="s">
        <v>150</v>
      </c>
      <c r="L6456" s="45" t="n">
        <f aca="false">DATE(YEAR(B6456),MONTH(B6456),1)</f>
        <v>46266</v>
      </c>
      <c r="M6456" s="31" t="n">
        <f aca="false">WEEKDAY(B6456,2)</f>
        <v>4</v>
      </c>
      <c r="N6456" s="31" t="str">
        <f aca="false">IF(G6456&lt;=INDEX(Assumptions!$B$15:$B$18,MATCH(E6456,Assumptions!$A$15:$A$18,0)),"Yes","No")</f>
        <v>Yes</v>
      </c>
      <c r="O6456" s="31" t="str">
        <f aca="false">IF(H6456="","Open",IF(H6456&lt;=INDEX(Assumptions!$C$15:$C$18,MATCH(E6456,Assumptions!$A$15:$A$18,0)),"Yes","No"))</f>
        <v>No</v>
      </c>
    </row>
    <row r="6457" customFormat="false" ht="15" hidden="false" customHeight="false" outlineLevel="0" collapsed="false">
      <c r="A6457" s="31" t="s">
        <v>6607</v>
      </c>
      <c r="B6457" s="44" t="n">
        <v>46290</v>
      </c>
      <c r="C6457" s="31" t="s">
        <v>57</v>
      </c>
      <c r="D6457" s="31" t="s">
        <v>67</v>
      </c>
      <c r="E6457" s="31" t="s">
        <v>52</v>
      </c>
      <c r="F6457" s="31" t="s">
        <v>134</v>
      </c>
      <c r="G6457" s="31" t="n">
        <v>17</v>
      </c>
      <c r="H6457" s="41"/>
      <c r="I6457" s="31" t="s">
        <v>158</v>
      </c>
      <c r="J6457" s="31"/>
      <c r="K6457" s="31" t="s">
        <v>150</v>
      </c>
      <c r="L6457" s="45" t="n">
        <f aca="false">DATE(YEAR(B6457),MONTH(B6457),1)</f>
        <v>46266</v>
      </c>
      <c r="M6457" s="31" t="n">
        <f aca="false">WEEKDAY(B6457,2)</f>
        <v>5</v>
      </c>
      <c r="N6457" s="31" t="str">
        <f aca="false">IF(G6457&lt;=INDEX(Assumptions!$B$15:$B$18,MATCH(E6457,Assumptions!$A$15:$A$18,0)),"Yes","No")</f>
        <v>Yes</v>
      </c>
      <c r="O6457" s="31" t="str">
        <f aca="false">IF(H6457="","Open",IF(H6457&lt;=INDEX(Assumptions!$C$15:$C$18,MATCH(E6457,Assumptions!$A$15:$A$18,0)),"Yes","No"))</f>
        <v>Open</v>
      </c>
    </row>
    <row r="6458" customFormat="false" ht="15" hidden="false" customHeight="false" outlineLevel="0" collapsed="false">
      <c r="A6458" s="31" t="s">
        <v>6608</v>
      </c>
      <c r="B6458" s="44" t="n">
        <v>46290</v>
      </c>
      <c r="C6458" s="31" t="s">
        <v>58</v>
      </c>
      <c r="D6458" s="31" t="s">
        <v>65</v>
      </c>
      <c r="E6458" s="31" t="s">
        <v>52</v>
      </c>
      <c r="F6458" s="31" t="s">
        <v>117</v>
      </c>
      <c r="G6458" s="31" t="n">
        <v>11</v>
      </c>
      <c r="H6458" s="41"/>
      <c r="I6458" s="31" t="s">
        <v>158</v>
      </c>
      <c r="J6458" s="31"/>
      <c r="K6458" s="31" t="s">
        <v>150</v>
      </c>
      <c r="L6458" s="45" t="n">
        <f aca="false">DATE(YEAR(B6458),MONTH(B6458),1)</f>
        <v>46266</v>
      </c>
      <c r="M6458" s="31" t="n">
        <f aca="false">WEEKDAY(B6458,2)</f>
        <v>5</v>
      </c>
      <c r="N6458" s="31" t="str">
        <f aca="false">IF(G6458&lt;=INDEX(Assumptions!$B$15:$B$18,MATCH(E6458,Assumptions!$A$15:$A$18,0)),"Yes","No")</f>
        <v>Yes</v>
      </c>
      <c r="O6458" s="31" t="str">
        <f aca="false">IF(H6458="","Open",IF(H6458&lt;=INDEX(Assumptions!$C$15:$C$18,MATCH(E6458,Assumptions!$A$15:$A$18,0)),"Yes","No"))</f>
        <v>Open</v>
      </c>
    </row>
    <row r="6459" customFormat="false" ht="15" hidden="false" customHeight="false" outlineLevel="0" collapsed="false">
      <c r="A6459" s="31" t="s">
        <v>6609</v>
      </c>
      <c r="B6459" s="44" t="n">
        <v>46290</v>
      </c>
      <c r="C6459" s="31" t="s">
        <v>59</v>
      </c>
      <c r="D6459" s="31" t="s">
        <v>66</v>
      </c>
      <c r="E6459" s="31" t="s">
        <v>51</v>
      </c>
      <c r="F6459" s="31" t="s">
        <v>119</v>
      </c>
      <c r="G6459" s="31" t="n">
        <v>119</v>
      </c>
      <c r="H6459" s="41" t="n">
        <v>2.1</v>
      </c>
      <c r="I6459" s="31" t="s">
        <v>149</v>
      </c>
      <c r="J6459" s="31"/>
      <c r="K6459" s="31" t="s">
        <v>150</v>
      </c>
      <c r="L6459" s="45" t="n">
        <f aca="false">DATE(YEAR(B6459),MONTH(B6459),1)</f>
        <v>46266</v>
      </c>
      <c r="M6459" s="31" t="n">
        <f aca="false">WEEKDAY(B6459,2)</f>
        <v>5</v>
      </c>
      <c r="N6459" s="31" t="str">
        <f aca="false">IF(G6459&lt;=INDEX(Assumptions!$B$15:$B$18,MATCH(E6459,Assumptions!$A$15:$A$18,0)),"Yes","No")</f>
        <v>No</v>
      </c>
      <c r="O6459" s="31" t="str">
        <f aca="false">IF(H6459="","Open",IF(H6459&lt;=INDEX(Assumptions!$C$15:$C$18,MATCH(E6459,Assumptions!$A$15:$A$18,0)),"Yes","No"))</f>
        <v>Yes</v>
      </c>
    </row>
    <row r="6460" customFormat="false" ht="15" hidden="false" customHeight="false" outlineLevel="0" collapsed="false">
      <c r="A6460" s="31" t="s">
        <v>6610</v>
      </c>
      <c r="B6460" s="44" t="n">
        <v>46290</v>
      </c>
      <c r="C6460" s="31" t="s">
        <v>58</v>
      </c>
      <c r="D6460" s="31" t="s">
        <v>67</v>
      </c>
      <c r="E6460" s="31" t="s">
        <v>49</v>
      </c>
      <c r="F6460" s="31" t="s">
        <v>120</v>
      </c>
      <c r="G6460" s="31" t="n">
        <v>6</v>
      </c>
      <c r="H6460" s="41"/>
      <c r="I6460" s="31" t="s">
        <v>158</v>
      </c>
      <c r="J6460" s="31"/>
      <c r="K6460" s="31" t="s">
        <v>150</v>
      </c>
      <c r="L6460" s="45" t="n">
        <f aca="false">DATE(YEAR(B6460),MONTH(B6460),1)</f>
        <v>46266</v>
      </c>
      <c r="M6460" s="31" t="n">
        <f aca="false">WEEKDAY(B6460,2)</f>
        <v>5</v>
      </c>
      <c r="N6460" s="31" t="str">
        <f aca="false">IF(G6460&lt;=INDEX(Assumptions!$B$15:$B$18,MATCH(E6460,Assumptions!$A$15:$A$18,0)),"Yes","No")</f>
        <v>Yes</v>
      </c>
      <c r="O6460" s="31" t="str">
        <f aca="false">IF(H6460="","Open",IF(H6460&lt;=INDEX(Assumptions!$C$15:$C$18,MATCH(E6460,Assumptions!$A$15:$A$18,0)),"Yes","No"))</f>
        <v>Open</v>
      </c>
    </row>
    <row r="6461" customFormat="false" ht="15" hidden="false" customHeight="false" outlineLevel="0" collapsed="false">
      <c r="A6461" s="31" t="s">
        <v>6611</v>
      </c>
      <c r="B6461" s="44" t="n">
        <v>46290</v>
      </c>
      <c r="C6461" s="31" t="s">
        <v>57</v>
      </c>
      <c r="D6461" s="31" t="s">
        <v>65</v>
      </c>
      <c r="E6461" s="31" t="s">
        <v>51</v>
      </c>
      <c r="F6461" s="31" t="s">
        <v>133</v>
      </c>
      <c r="G6461" s="31" t="n">
        <v>3</v>
      </c>
      <c r="H6461" s="41"/>
      <c r="I6461" s="31" t="s">
        <v>158</v>
      </c>
      <c r="J6461" s="31"/>
      <c r="K6461" s="31" t="s">
        <v>150</v>
      </c>
      <c r="L6461" s="45" t="n">
        <f aca="false">DATE(YEAR(B6461),MONTH(B6461),1)</f>
        <v>46266</v>
      </c>
      <c r="M6461" s="31" t="n">
        <f aca="false">WEEKDAY(B6461,2)</f>
        <v>5</v>
      </c>
      <c r="N6461" s="31" t="str">
        <f aca="false">IF(G6461&lt;=INDEX(Assumptions!$B$15:$B$18,MATCH(E6461,Assumptions!$A$15:$A$18,0)),"Yes","No")</f>
        <v>Yes</v>
      </c>
      <c r="O6461" s="31" t="str">
        <f aca="false">IF(H6461="","Open",IF(H6461&lt;=INDEX(Assumptions!$C$15:$C$18,MATCH(E6461,Assumptions!$A$15:$A$18,0)),"Yes","No"))</f>
        <v>Open</v>
      </c>
    </row>
    <row r="6462" customFormat="false" ht="15" hidden="false" customHeight="false" outlineLevel="0" collapsed="false">
      <c r="A6462" s="31" t="s">
        <v>6612</v>
      </c>
      <c r="B6462" s="44" t="n">
        <v>46290</v>
      </c>
      <c r="C6462" s="31" t="s">
        <v>59</v>
      </c>
      <c r="D6462" s="31" t="s">
        <v>66</v>
      </c>
      <c r="E6462" s="31" t="s">
        <v>51</v>
      </c>
      <c r="F6462" s="31" t="s">
        <v>137</v>
      </c>
      <c r="G6462" s="31" t="n">
        <v>137</v>
      </c>
      <c r="H6462" s="41"/>
      <c r="I6462" s="31" t="s">
        <v>158</v>
      </c>
      <c r="J6462" s="31"/>
      <c r="K6462" s="31" t="s">
        <v>150</v>
      </c>
      <c r="L6462" s="45" t="n">
        <f aca="false">DATE(YEAR(B6462),MONTH(B6462),1)</f>
        <v>46266</v>
      </c>
      <c r="M6462" s="31" t="n">
        <f aca="false">WEEKDAY(B6462,2)</f>
        <v>5</v>
      </c>
      <c r="N6462" s="31" t="str">
        <f aca="false">IF(G6462&lt;=INDEX(Assumptions!$B$15:$B$18,MATCH(E6462,Assumptions!$A$15:$A$18,0)),"Yes","No")</f>
        <v>No</v>
      </c>
      <c r="O6462" s="31" t="str">
        <f aca="false">IF(H6462="","Open",IF(H6462&lt;=INDEX(Assumptions!$C$15:$C$18,MATCH(E6462,Assumptions!$A$15:$A$18,0)),"Yes","No"))</f>
        <v>Open</v>
      </c>
    </row>
    <row r="6463" customFormat="false" ht="15" hidden="false" customHeight="false" outlineLevel="0" collapsed="false">
      <c r="A6463" s="31" t="s">
        <v>6613</v>
      </c>
      <c r="B6463" s="44" t="n">
        <v>46290</v>
      </c>
      <c r="C6463" s="31" t="s">
        <v>60</v>
      </c>
      <c r="D6463" s="31" t="s">
        <v>67</v>
      </c>
      <c r="E6463" s="31" t="s">
        <v>52</v>
      </c>
      <c r="F6463" s="31" t="s">
        <v>123</v>
      </c>
      <c r="G6463" s="31" t="n">
        <v>4</v>
      </c>
      <c r="H6463" s="41"/>
      <c r="I6463" s="31" t="s">
        <v>158</v>
      </c>
      <c r="J6463" s="31"/>
      <c r="K6463" s="31" t="s">
        <v>150</v>
      </c>
      <c r="L6463" s="45" t="n">
        <f aca="false">DATE(YEAR(B6463),MONTH(B6463),1)</f>
        <v>46266</v>
      </c>
      <c r="M6463" s="31" t="n">
        <f aca="false">WEEKDAY(B6463,2)</f>
        <v>5</v>
      </c>
      <c r="N6463" s="31" t="str">
        <f aca="false">IF(G6463&lt;=INDEX(Assumptions!$B$15:$B$18,MATCH(E6463,Assumptions!$A$15:$A$18,0)),"Yes","No")</f>
        <v>Yes</v>
      </c>
      <c r="O6463" s="31" t="str">
        <f aca="false">IF(H6463="","Open",IF(H6463&lt;=INDEX(Assumptions!$C$15:$C$18,MATCH(E6463,Assumptions!$A$15:$A$18,0)),"Yes","No"))</f>
        <v>Open</v>
      </c>
    </row>
    <row r="6464" customFormat="false" ht="15" hidden="false" customHeight="false" outlineLevel="0" collapsed="false">
      <c r="A6464" s="31" t="s">
        <v>6614</v>
      </c>
      <c r="B6464" s="44" t="n">
        <v>46290</v>
      </c>
      <c r="C6464" s="31" t="s">
        <v>58</v>
      </c>
      <c r="D6464" s="31" t="s">
        <v>68</v>
      </c>
      <c r="E6464" s="31" t="s">
        <v>50</v>
      </c>
      <c r="F6464" s="31" t="s">
        <v>123</v>
      </c>
      <c r="G6464" s="31" t="n">
        <v>6</v>
      </c>
      <c r="H6464" s="41"/>
      <c r="I6464" s="31" t="s">
        <v>158</v>
      </c>
      <c r="J6464" s="31"/>
      <c r="K6464" s="31" t="s">
        <v>150</v>
      </c>
      <c r="L6464" s="45" t="n">
        <f aca="false">DATE(YEAR(B6464),MONTH(B6464),1)</f>
        <v>46266</v>
      </c>
      <c r="M6464" s="31" t="n">
        <f aca="false">WEEKDAY(B6464,2)</f>
        <v>5</v>
      </c>
      <c r="N6464" s="31" t="str">
        <f aca="false">IF(G6464&lt;=INDEX(Assumptions!$B$15:$B$18,MATCH(E6464,Assumptions!$A$15:$A$18,0)),"Yes","No")</f>
        <v>Yes</v>
      </c>
      <c r="O6464" s="31" t="str">
        <f aca="false">IF(H6464="","Open",IF(H6464&lt;=INDEX(Assumptions!$C$15:$C$18,MATCH(E6464,Assumptions!$A$15:$A$18,0)),"Yes","No"))</f>
        <v>Open</v>
      </c>
    </row>
    <row r="6465" customFormat="false" ht="15" hidden="false" customHeight="false" outlineLevel="0" collapsed="false">
      <c r="A6465" s="31" t="s">
        <v>6615</v>
      </c>
      <c r="B6465" s="44" t="n">
        <v>46290</v>
      </c>
      <c r="C6465" s="31" t="s">
        <v>58</v>
      </c>
      <c r="D6465" s="31" t="s">
        <v>67</v>
      </c>
      <c r="E6465" s="31" t="s">
        <v>51</v>
      </c>
      <c r="F6465" s="31" t="s">
        <v>124</v>
      </c>
      <c r="G6465" s="31" t="n">
        <v>6</v>
      </c>
      <c r="H6465" s="41"/>
      <c r="I6465" s="31" t="s">
        <v>158</v>
      </c>
      <c r="J6465" s="31"/>
      <c r="K6465" s="31" t="s">
        <v>150</v>
      </c>
      <c r="L6465" s="45" t="n">
        <f aca="false">DATE(YEAR(B6465),MONTH(B6465),1)</f>
        <v>46266</v>
      </c>
      <c r="M6465" s="31" t="n">
        <f aca="false">WEEKDAY(B6465,2)</f>
        <v>5</v>
      </c>
      <c r="N6465" s="31" t="str">
        <f aca="false">IF(G6465&lt;=INDEX(Assumptions!$B$15:$B$18,MATCH(E6465,Assumptions!$A$15:$A$18,0)),"Yes","No")</f>
        <v>Yes</v>
      </c>
      <c r="O6465" s="31" t="str">
        <f aca="false">IF(H6465="","Open",IF(H6465&lt;=INDEX(Assumptions!$C$15:$C$18,MATCH(E6465,Assumptions!$A$15:$A$18,0)),"Yes","No"))</f>
        <v>Open</v>
      </c>
    </row>
    <row r="6466" customFormat="false" ht="15" hidden="false" customHeight="false" outlineLevel="0" collapsed="false">
      <c r="A6466" s="31" t="s">
        <v>6616</v>
      </c>
      <c r="B6466" s="44" t="n">
        <v>46290</v>
      </c>
      <c r="C6466" s="31" t="s">
        <v>58</v>
      </c>
      <c r="D6466" s="31" t="s">
        <v>66</v>
      </c>
      <c r="E6466" s="31" t="s">
        <v>51</v>
      </c>
      <c r="F6466" s="31" t="s">
        <v>121</v>
      </c>
      <c r="G6466" s="31" t="n">
        <v>16</v>
      </c>
      <c r="H6466" s="41" t="n">
        <v>12.3</v>
      </c>
      <c r="I6466" s="31" t="s">
        <v>149</v>
      </c>
      <c r="J6466" s="31" t="n">
        <v>4</v>
      </c>
      <c r="K6466" s="31" t="s">
        <v>150</v>
      </c>
      <c r="L6466" s="45" t="n">
        <f aca="false">DATE(YEAR(B6466),MONTH(B6466),1)</f>
        <v>46266</v>
      </c>
      <c r="M6466" s="31" t="n">
        <f aca="false">WEEKDAY(B6466,2)</f>
        <v>5</v>
      </c>
      <c r="N6466" s="31" t="str">
        <f aca="false">IF(G6466&lt;=INDEX(Assumptions!$B$15:$B$18,MATCH(E6466,Assumptions!$A$15:$A$18,0)),"Yes","No")</f>
        <v>Yes</v>
      </c>
      <c r="O6466" s="31" t="str">
        <f aca="false">IF(H6466="","Open",IF(H6466&lt;=INDEX(Assumptions!$C$15:$C$18,MATCH(E6466,Assumptions!$A$15:$A$18,0)),"Yes","No"))</f>
        <v>Yes</v>
      </c>
    </row>
    <row r="6467" customFormat="false" ht="15" hidden="false" customHeight="false" outlineLevel="0" collapsed="false">
      <c r="A6467" s="31" t="s">
        <v>6617</v>
      </c>
      <c r="B6467" s="44" t="n">
        <v>46290</v>
      </c>
      <c r="C6467" s="31" t="s">
        <v>58</v>
      </c>
      <c r="D6467" s="31" t="s">
        <v>66</v>
      </c>
      <c r="E6467" s="31" t="s">
        <v>51</v>
      </c>
      <c r="F6467" s="31" t="s">
        <v>123</v>
      </c>
      <c r="G6467" s="31" t="n">
        <v>10</v>
      </c>
      <c r="H6467" s="41"/>
      <c r="I6467" s="31" t="s">
        <v>158</v>
      </c>
      <c r="J6467" s="31"/>
      <c r="K6467" s="31" t="s">
        <v>150</v>
      </c>
      <c r="L6467" s="45" t="n">
        <f aca="false">DATE(YEAR(B6467),MONTH(B6467),1)</f>
        <v>46266</v>
      </c>
      <c r="M6467" s="31" t="n">
        <f aca="false">WEEKDAY(B6467,2)</f>
        <v>5</v>
      </c>
      <c r="N6467" s="31" t="str">
        <f aca="false">IF(G6467&lt;=INDEX(Assumptions!$B$15:$B$18,MATCH(E6467,Assumptions!$A$15:$A$18,0)),"Yes","No")</f>
        <v>Yes</v>
      </c>
      <c r="O6467" s="31" t="str">
        <f aca="false">IF(H6467="","Open",IF(H6467&lt;=INDEX(Assumptions!$C$15:$C$18,MATCH(E6467,Assumptions!$A$15:$A$18,0)),"Yes","No"))</f>
        <v>Open</v>
      </c>
    </row>
    <row r="6468" customFormat="false" ht="15" hidden="false" customHeight="false" outlineLevel="0" collapsed="false">
      <c r="A6468" s="31" t="s">
        <v>6618</v>
      </c>
      <c r="B6468" s="44" t="n">
        <v>46290</v>
      </c>
      <c r="C6468" s="31" t="s">
        <v>60</v>
      </c>
      <c r="D6468" s="31" t="s">
        <v>66</v>
      </c>
      <c r="E6468" s="31" t="s">
        <v>50</v>
      </c>
      <c r="F6468" s="31" t="s">
        <v>129</v>
      </c>
      <c r="G6468" s="31" t="n">
        <v>1</v>
      </c>
      <c r="H6468" s="41" t="n">
        <v>3.1</v>
      </c>
      <c r="I6468" s="31" t="s">
        <v>149</v>
      </c>
      <c r="J6468" s="31"/>
      <c r="K6468" s="31" t="s">
        <v>150</v>
      </c>
      <c r="L6468" s="45" t="n">
        <f aca="false">DATE(YEAR(B6468),MONTH(B6468),1)</f>
        <v>46266</v>
      </c>
      <c r="M6468" s="31" t="n">
        <f aca="false">WEEKDAY(B6468,2)</f>
        <v>5</v>
      </c>
      <c r="N6468" s="31" t="str">
        <f aca="false">IF(G6468&lt;=INDEX(Assumptions!$B$15:$B$18,MATCH(E6468,Assumptions!$A$15:$A$18,0)),"Yes","No")</f>
        <v>Yes</v>
      </c>
      <c r="O6468" s="31" t="str">
        <f aca="false">IF(H6468="","Open",IF(H6468&lt;=INDEX(Assumptions!$C$15:$C$18,MATCH(E6468,Assumptions!$A$15:$A$18,0)),"Yes","No"))</f>
        <v>Yes</v>
      </c>
    </row>
    <row r="6469" customFormat="false" ht="15" hidden="false" customHeight="false" outlineLevel="0" collapsed="false">
      <c r="A6469" s="31" t="s">
        <v>6619</v>
      </c>
      <c r="B6469" s="44" t="n">
        <v>46290</v>
      </c>
      <c r="C6469" s="31" t="s">
        <v>57</v>
      </c>
      <c r="D6469" s="31" t="s">
        <v>68</v>
      </c>
      <c r="E6469" s="31" t="s">
        <v>51</v>
      </c>
      <c r="F6469" s="31" t="s">
        <v>131</v>
      </c>
      <c r="G6469" s="31" t="n">
        <v>6</v>
      </c>
      <c r="H6469" s="41"/>
      <c r="I6469" s="31" t="s">
        <v>158</v>
      </c>
      <c r="J6469" s="31"/>
      <c r="K6469" s="31" t="s">
        <v>150</v>
      </c>
      <c r="L6469" s="45" t="n">
        <f aca="false">DATE(YEAR(B6469),MONTH(B6469),1)</f>
        <v>46266</v>
      </c>
      <c r="M6469" s="31" t="n">
        <f aca="false">WEEKDAY(B6469,2)</f>
        <v>5</v>
      </c>
      <c r="N6469" s="31" t="str">
        <f aca="false">IF(G6469&lt;=INDEX(Assumptions!$B$15:$B$18,MATCH(E6469,Assumptions!$A$15:$A$18,0)),"Yes","No")</f>
        <v>Yes</v>
      </c>
      <c r="O6469" s="31" t="str">
        <f aca="false">IF(H6469="","Open",IF(H6469&lt;=INDEX(Assumptions!$C$15:$C$18,MATCH(E6469,Assumptions!$A$15:$A$18,0)),"Yes","No"))</f>
        <v>Open</v>
      </c>
    </row>
    <row r="6470" customFormat="false" ht="15" hidden="false" customHeight="false" outlineLevel="0" collapsed="false">
      <c r="A6470" s="31" t="s">
        <v>6620</v>
      </c>
      <c r="B6470" s="44" t="n">
        <v>46290</v>
      </c>
      <c r="C6470" s="31" t="s">
        <v>60</v>
      </c>
      <c r="D6470" s="31" t="s">
        <v>65</v>
      </c>
      <c r="E6470" s="31" t="s">
        <v>52</v>
      </c>
      <c r="F6470" s="31" t="s">
        <v>134</v>
      </c>
      <c r="G6470" s="31" t="n">
        <v>3</v>
      </c>
      <c r="H6470" s="41"/>
      <c r="I6470" s="31" t="s">
        <v>158</v>
      </c>
      <c r="J6470" s="31"/>
      <c r="K6470" s="31" t="s">
        <v>150</v>
      </c>
      <c r="L6470" s="45" t="n">
        <f aca="false">DATE(YEAR(B6470),MONTH(B6470),1)</f>
        <v>46266</v>
      </c>
      <c r="M6470" s="31" t="n">
        <f aca="false">WEEKDAY(B6470,2)</f>
        <v>5</v>
      </c>
      <c r="N6470" s="31" t="str">
        <f aca="false">IF(G6470&lt;=INDEX(Assumptions!$B$15:$B$18,MATCH(E6470,Assumptions!$A$15:$A$18,0)),"Yes","No")</f>
        <v>Yes</v>
      </c>
      <c r="O6470" s="31" t="str">
        <f aca="false">IF(H6470="","Open",IF(H6470&lt;=INDEX(Assumptions!$C$15:$C$18,MATCH(E6470,Assumptions!$A$15:$A$18,0)),"Yes","No"))</f>
        <v>Open</v>
      </c>
    </row>
    <row r="6471" customFormat="false" ht="15" hidden="false" customHeight="false" outlineLevel="0" collapsed="false">
      <c r="A6471" s="31" t="s">
        <v>6621</v>
      </c>
      <c r="B6471" s="44" t="n">
        <v>46290</v>
      </c>
      <c r="C6471" s="31" t="s">
        <v>60</v>
      </c>
      <c r="D6471" s="31" t="s">
        <v>67</v>
      </c>
      <c r="E6471" s="31" t="s">
        <v>52</v>
      </c>
      <c r="F6471" s="31" t="s">
        <v>134</v>
      </c>
      <c r="G6471" s="31" t="n">
        <v>3</v>
      </c>
      <c r="H6471" s="41"/>
      <c r="I6471" s="31" t="s">
        <v>158</v>
      </c>
      <c r="J6471" s="31"/>
      <c r="K6471" s="31" t="s">
        <v>150</v>
      </c>
      <c r="L6471" s="45" t="n">
        <f aca="false">DATE(YEAR(B6471),MONTH(B6471),1)</f>
        <v>46266</v>
      </c>
      <c r="M6471" s="31" t="n">
        <f aca="false">WEEKDAY(B6471,2)</f>
        <v>5</v>
      </c>
      <c r="N6471" s="31" t="str">
        <f aca="false">IF(G6471&lt;=INDEX(Assumptions!$B$15:$B$18,MATCH(E6471,Assumptions!$A$15:$A$18,0)),"Yes","No")</f>
        <v>Yes</v>
      </c>
      <c r="O6471" s="31" t="str">
        <f aca="false">IF(H6471="","Open",IF(H6471&lt;=INDEX(Assumptions!$C$15:$C$18,MATCH(E6471,Assumptions!$A$15:$A$18,0)),"Yes","No"))</f>
        <v>Open</v>
      </c>
    </row>
    <row r="6472" customFormat="false" ht="15" hidden="false" customHeight="false" outlineLevel="0" collapsed="false">
      <c r="A6472" s="31" t="s">
        <v>6622</v>
      </c>
      <c r="B6472" s="44" t="n">
        <v>46290</v>
      </c>
      <c r="C6472" s="31" t="s">
        <v>60</v>
      </c>
      <c r="D6472" s="31" t="s">
        <v>66</v>
      </c>
      <c r="E6472" s="31" t="s">
        <v>52</v>
      </c>
      <c r="F6472" s="31" t="s">
        <v>119</v>
      </c>
      <c r="G6472" s="31" t="n">
        <v>2</v>
      </c>
      <c r="H6472" s="41"/>
      <c r="I6472" s="31" t="s">
        <v>158</v>
      </c>
      <c r="J6472" s="31"/>
      <c r="K6472" s="31" t="s">
        <v>150</v>
      </c>
      <c r="L6472" s="45" t="n">
        <f aca="false">DATE(YEAR(B6472),MONTH(B6472),1)</f>
        <v>46266</v>
      </c>
      <c r="M6472" s="31" t="n">
        <f aca="false">WEEKDAY(B6472,2)</f>
        <v>5</v>
      </c>
      <c r="N6472" s="31" t="str">
        <f aca="false">IF(G6472&lt;=INDEX(Assumptions!$B$15:$B$18,MATCH(E6472,Assumptions!$A$15:$A$18,0)),"Yes","No")</f>
        <v>Yes</v>
      </c>
      <c r="O6472" s="31" t="str">
        <f aca="false">IF(H6472="","Open",IF(H6472&lt;=INDEX(Assumptions!$C$15:$C$18,MATCH(E6472,Assumptions!$A$15:$A$18,0)),"Yes","No"))</f>
        <v>Open</v>
      </c>
    </row>
    <row r="6473" customFormat="false" ht="15" hidden="false" customHeight="false" outlineLevel="0" collapsed="false">
      <c r="A6473" s="31" t="s">
        <v>6623</v>
      </c>
      <c r="B6473" s="44" t="n">
        <v>46290</v>
      </c>
      <c r="C6473" s="31" t="s">
        <v>60</v>
      </c>
      <c r="D6473" s="31" t="s">
        <v>66</v>
      </c>
      <c r="E6473" s="31" t="s">
        <v>51</v>
      </c>
      <c r="F6473" s="31" t="s">
        <v>117</v>
      </c>
      <c r="G6473" s="31" t="n">
        <v>7</v>
      </c>
      <c r="H6473" s="41" t="n">
        <v>7.3</v>
      </c>
      <c r="I6473" s="31" t="s">
        <v>149</v>
      </c>
      <c r="J6473" s="31"/>
      <c r="K6473" s="31" t="s">
        <v>150</v>
      </c>
      <c r="L6473" s="45" t="n">
        <f aca="false">DATE(YEAR(B6473),MONTH(B6473),1)</f>
        <v>46266</v>
      </c>
      <c r="M6473" s="31" t="n">
        <f aca="false">WEEKDAY(B6473,2)</f>
        <v>5</v>
      </c>
      <c r="N6473" s="31" t="str">
        <f aca="false">IF(G6473&lt;=INDEX(Assumptions!$B$15:$B$18,MATCH(E6473,Assumptions!$A$15:$A$18,0)),"Yes","No")</f>
        <v>Yes</v>
      </c>
      <c r="O6473" s="31" t="str">
        <f aca="false">IF(H6473="","Open",IF(H6473&lt;=INDEX(Assumptions!$C$15:$C$18,MATCH(E6473,Assumptions!$A$15:$A$18,0)),"Yes","No"))</f>
        <v>Yes</v>
      </c>
    </row>
    <row r="6474" customFormat="false" ht="15" hidden="false" customHeight="false" outlineLevel="0" collapsed="false">
      <c r="A6474" s="31" t="s">
        <v>6624</v>
      </c>
      <c r="B6474" s="44" t="n">
        <v>46290</v>
      </c>
      <c r="C6474" s="31" t="s">
        <v>58</v>
      </c>
      <c r="D6474" s="31" t="s">
        <v>69</v>
      </c>
      <c r="E6474" s="31" t="s">
        <v>50</v>
      </c>
      <c r="F6474" s="31" t="s">
        <v>120</v>
      </c>
      <c r="G6474" s="31" t="n">
        <v>9</v>
      </c>
      <c r="H6474" s="41" t="n">
        <v>10.6</v>
      </c>
      <c r="I6474" s="31" t="s">
        <v>149</v>
      </c>
      <c r="J6474" s="31" t="n">
        <v>3</v>
      </c>
      <c r="K6474" s="31" t="s">
        <v>150</v>
      </c>
      <c r="L6474" s="45" t="n">
        <f aca="false">DATE(YEAR(B6474),MONTH(B6474),1)</f>
        <v>46266</v>
      </c>
      <c r="M6474" s="31" t="n">
        <f aca="false">WEEKDAY(B6474,2)</f>
        <v>5</v>
      </c>
      <c r="N6474" s="31" t="str">
        <f aca="false">IF(G6474&lt;=INDEX(Assumptions!$B$15:$B$18,MATCH(E6474,Assumptions!$A$15:$A$18,0)),"Yes","No")</f>
        <v>Yes</v>
      </c>
      <c r="O6474" s="31" t="str">
        <f aca="false">IF(H6474="","Open",IF(H6474&lt;=INDEX(Assumptions!$C$15:$C$18,MATCH(E6474,Assumptions!$A$15:$A$18,0)),"Yes","No"))</f>
        <v>No</v>
      </c>
    </row>
    <row r="6475" customFormat="false" ht="15" hidden="false" customHeight="false" outlineLevel="0" collapsed="false">
      <c r="A6475" s="31" t="s">
        <v>6625</v>
      </c>
      <c r="B6475" s="44" t="n">
        <v>46290</v>
      </c>
      <c r="C6475" s="31" t="s">
        <v>60</v>
      </c>
      <c r="D6475" s="31" t="s">
        <v>65</v>
      </c>
      <c r="E6475" s="31" t="s">
        <v>51</v>
      </c>
      <c r="F6475" s="31" t="s">
        <v>119</v>
      </c>
      <c r="G6475" s="31" t="n">
        <v>2</v>
      </c>
      <c r="H6475" s="41"/>
      <c r="I6475" s="31" t="s">
        <v>158</v>
      </c>
      <c r="J6475" s="31"/>
      <c r="K6475" s="31" t="s">
        <v>150</v>
      </c>
      <c r="L6475" s="45" t="n">
        <f aca="false">DATE(YEAR(B6475),MONTH(B6475),1)</f>
        <v>46266</v>
      </c>
      <c r="M6475" s="31" t="n">
        <f aca="false">WEEKDAY(B6475,2)</f>
        <v>5</v>
      </c>
      <c r="N6475" s="31" t="str">
        <f aca="false">IF(G6475&lt;=INDEX(Assumptions!$B$15:$B$18,MATCH(E6475,Assumptions!$A$15:$A$18,0)),"Yes","No")</f>
        <v>Yes</v>
      </c>
      <c r="O6475" s="31" t="str">
        <f aca="false">IF(H6475="","Open",IF(H6475&lt;=INDEX(Assumptions!$C$15:$C$18,MATCH(E6475,Assumptions!$A$15:$A$18,0)),"Yes","No"))</f>
        <v>Open</v>
      </c>
    </row>
    <row r="6476" customFormat="false" ht="15" hidden="false" customHeight="false" outlineLevel="0" collapsed="false">
      <c r="A6476" s="31" t="s">
        <v>6626</v>
      </c>
      <c r="B6476" s="44" t="n">
        <v>46290</v>
      </c>
      <c r="C6476" s="31" t="s">
        <v>57</v>
      </c>
      <c r="D6476" s="31" t="s">
        <v>66</v>
      </c>
      <c r="E6476" s="31" t="s">
        <v>52</v>
      </c>
      <c r="F6476" s="31" t="s">
        <v>126</v>
      </c>
      <c r="G6476" s="31" t="n">
        <v>5</v>
      </c>
      <c r="H6476" s="41" t="n">
        <v>1</v>
      </c>
      <c r="I6476" s="31" t="s">
        <v>149</v>
      </c>
      <c r="J6476" s="31"/>
      <c r="K6476" s="31" t="s">
        <v>150</v>
      </c>
      <c r="L6476" s="45" t="n">
        <f aca="false">DATE(YEAR(B6476),MONTH(B6476),1)</f>
        <v>46266</v>
      </c>
      <c r="M6476" s="31" t="n">
        <f aca="false">WEEKDAY(B6476,2)</f>
        <v>5</v>
      </c>
      <c r="N6476" s="31" t="str">
        <f aca="false">IF(G6476&lt;=INDEX(Assumptions!$B$15:$B$18,MATCH(E6476,Assumptions!$A$15:$A$18,0)),"Yes","No")</f>
        <v>Yes</v>
      </c>
      <c r="O6476" s="31" t="str">
        <f aca="false">IF(H6476="","Open",IF(H6476&lt;=INDEX(Assumptions!$C$15:$C$18,MATCH(E6476,Assumptions!$A$15:$A$18,0)),"Yes","No"))</f>
        <v>Yes</v>
      </c>
    </row>
    <row r="6477" customFormat="false" ht="15" hidden="false" customHeight="false" outlineLevel="0" collapsed="false">
      <c r="A6477" s="31" t="s">
        <v>6627</v>
      </c>
      <c r="B6477" s="44" t="n">
        <v>46290</v>
      </c>
      <c r="C6477" s="31" t="s">
        <v>57</v>
      </c>
      <c r="D6477" s="31" t="s">
        <v>65</v>
      </c>
      <c r="E6477" s="31" t="s">
        <v>52</v>
      </c>
      <c r="F6477" s="31" t="s">
        <v>123</v>
      </c>
      <c r="G6477" s="31" t="n">
        <v>2</v>
      </c>
      <c r="H6477" s="41"/>
      <c r="I6477" s="31" t="s">
        <v>158</v>
      </c>
      <c r="J6477" s="31"/>
      <c r="K6477" s="31" t="s">
        <v>150</v>
      </c>
      <c r="L6477" s="45" t="n">
        <f aca="false">DATE(YEAR(B6477),MONTH(B6477),1)</f>
        <v>46266</v>
      </c>
      <c r="M6477" s="31" t="n">
        <f aca="false">WEEKDAY(B6477,2)</f>
        <v>5</v>
      </c>
      <c r="N6477" s="31" t="str">
        <f aca="false">IF(G6477&lt;=INDEX(Assumptions!$B$15:$B$18,MATCH(E6477,Assumptions!$A$15:$A$18,0)),"Yes","No")</f>
        <v>Yes</v>
      </c>
      <c r="O6477" s="31" t="str">
        <f aca="false">IF(H6477="","Open",IF(H6477&lt;=INDEX(Assumptions!$C$15:$C$18,MATCH(E6477,Assumptions!$A$15:$A$18,0)),"Yes","No"))</f>
        <v>Open</v>
      </c>
    </row>
    <row r="6478" customFormat="false" ht="15" hidden="false" customHeight="false" outlineLevel="0" collapsed="false">
      <c r="A6478" s="31" t="s">
        <v>6628</v>
      </c>
      <c r="B6478" s="44" t="n">
        <v>46290</v>
      </c>
      <c r="C6478" s="31" t="s">
        <v>60</v>
      </c>
      <c r="D6478" s="31" t="s">
        <v>65</v>
      </c>
      <c r="E6478" s="31" t="s">
        <v>51</v>
      </c>
      <c r="F6478" s="31" t="s">
        <v>133</v>
      </c>
      <c r="G6478" s="31" t="n">
        <v>1</v>
      </c>
      <c r="H6478" s="41" t="n">
        <v>36.5</v>
      </c>
      <c r="I6478" s="31" t="s">
        <v>64</v>
      </c>
      <c r="J6478" s="31" t="n">
        <v>3</v>
      </c>
      <c r="K6478" s="31" t="s">
        <v>150</v>
      </c>
      <c r="L6478" s="45" t="n">
        <f aca="false">DATE(YEAR(B6478),MONTH(B6478),1)</f>
        <v>46266</v>
      </c>
      <c r="M6478" s="31" t="n">
        <f aca="false">WEEKDAY(B6478,2)</f>
        <v>5</v>
      </c>
      <c r="N6478" s="31" t="str">
        <f aca="false">IF(G6478&lt;=INDEX(Assumptions!$B$15:$B$18,MATCH(E6478,Assumptions!$A$15:$A$18,0)),"Yes","No")</f>
        <v>Yes</v>
      </c>
      <c r="O6478" s="31" t="str">
        <f aca="false">IF(H6478="","Open",IF(H6478&lt;=INDEX(Assumptions!$C$15:$C$18,MATCH(E6478,Assumptions!$A$15:$A$18,0)),"Yes","No"))</f>
        <v>No</v>
      </c>
    </row>
    <row r="6479" customFormat="false" ht="15" hidden="false" customHeight="false" outlineLevel="0" collapsed="false">
      <c r="A6479" s="31" t="s">
        <v>6629</v>
      </c>
      <c r="B6479" s="44" t="n">
        <v>46290</v>
      </c>
      <c r="C6479" s="31" t="s">
        <v>59</v>
      </c>
      <c r="D6479" s="31" t="s">
        <v>66</v>
      </c>
      <c r="E6479" s="31" t="s">
        <v>51</v>
      </c>
      <c r="F6479" s="31" t="s">
        <v>130</v>
      </c>
      <c r="G6479" s="31" t="n">
        <v>42</v>
      </c>
      <c r="H6479" s="41"/>
      <c r="I6479" s="31" t="s">
        <v>158</v>
      </c>
      <c r="J6479" s="31"/>
      <c r="K6479" s="31" t="s">
        <v>150</v>
      </c>
      <c r="L6479" s="45" t="n">
        <f aca="false">DATE(YEAR(B6479),MONTH(B6479),1)</f>
        <v>46266</v>
      </c>
      <c r="M6479" s="31" t="n">
        <f aca="false">WEEKDAY(B6479,2)</f>
        <v>5</v>
      </c>
      <c r="N6479" s="31" t="str">
        <f aca="false">IF(G6479&lt;=INDEX(Assumptions!$B$15:$B$18,MATCH(E6479,Assumptions!$A$15:$A$18,0)),"Yes","No")</f>
        <v>Yes</v>
      </c>
      <c r="O6479" s="31" t="str">
        <f aca="false">IF(H6479="","Open",IF(H6479&lt;=INDEX(Assumptions!$C$15:$C$18,MATCH(E6479,Assumptions!$A$15:$A$18,0)),"Yes","No"))</f>
        <v>Open</v>
      </c>
    </row>
    <row r="6480" customFormat="false" ht="15" hidden="false" customHeight="false" outlineLevel="0" collapsed="false">
      <c r="A6480" s="31" t="s">
        <v>6630</v>
      </c>
      <c r="B6480" s="44" t="n">
        <v>46290</v>
      </c>
      <c r="C6480" s="31" t="s">
        <v>60</v>
      </c>
      <c r="D6480" s="31" t="s">
        <v>65</v>
      </c>
      <c r="E6480" s="31" t="s">
        <v>52</v>
      </c>
      <c r="F6480" s="31" t="s">
        <v>131</v>
      </c>
      <c r="G6480" s="31" t="n">
        <v>1</v>
      </c>
      <c r="H6480" s="41" t="n">
        <v>9.3</v>
      </c>
      <c r="I6480" s="31" t="s">
        <v>149</v>
      </c>
      <c r="J6480" s="31" t="n">
        <v>4</v>
      </c>
      <c r="K6480" s="31" t="s">
        <v>150</v>
      </c>
      <c r="L6480" s="45" t="n">
        <f aca="false">DATE(YEAR(B6480),MONTH(B6480),1)</f>
        <v>46266</v>
      </c>
      <c r="M6480" s="31" t="n">
        <f aca="false">WEEKDAY(B6480,2)</f>
        <v>5</v>
      </c>
      <c r="N6480" s="31" t="str">
        <f aca="false">IF(G6480&lt;=INDEX(Assumptions!$B$15:$B$18,MATCH(E6480,Assumptions!$A$15:$A$18,0)),"Yes","No")</f>
        <v>Yes</v>
      </c>
      <c r="O6480" s="31" t="str">
        <f aca="false">IF(H6480="","Open",IF(H6480&lt;=INDEX(Assumptions!$C$15:$C$18,MATCH(E6480,Assumptions!$A$15:$A$18,0)),"Yes","No"))</f>
        <v>Yes</v>
      </c>
    </row>
    <row r="6481" customFormat="false" ht="15" hidden="false" customHeight="false" outlineLevel="0" collapsed="false">
      <c r="A6481" s="31" t="s">
        <v>6631</v>
      </c>
      <c r="B6481" s="44" t="n">
        <v>46290</v>
      </c>
      <c r="C6481" s="31" t="s">
        <v>57</v>
      </c>
      <c r="D6481" s="31" t="s">
        <v>68</v>
      </c>
      <c r="E6481" s="31" t="s">
        <v>52</v>
      </c>
      <c r="F6481" s="31" t="s">
        <v>122</v>
      </c>
      <c r="G6481" s="31" t="n">
        <v>12</v>
      </c>
      <c r="H6481" s="41"/>
      <c r="I6481" s="31" t="s">
        <v>158</v>
      </c>
      <c r="J6481" s="31"/>
      <c r="K6481" s="31" t="s">
        <v>150</v>
      </c>
      <c r="L6481" s="45" t="n">
        <f aca="false">DATE(YEAR(B6481),MONTH(B6481),1)</f>
        <v>46266</v>
      </c>
      <c r="M6481" s="31" t="n">
        <f aca="false">WEEKDAY(B6481,2)</f>
        <v>5</v>
      </c>
      <c r="N6481" s="31" t="str">
        <f aca="false">IF(G6481&lt;=INDEX(Assumptions!$B$15:$B$18,MATCH(E6481,Assumptions!$A$15:$A$18,0)),"Yes","No")</f>
        <v>Yes</v>
      </c>
      <c r="O6481" s="31" t="str">
        <f aca="false">IF(H6481="","Open",IF(H6481&lt;=INDEX(Assumptions!$C$15:$C$18,MATCH(E6481,Assumptions!$A$15:$A$18,0)),"Yes","No"))</f>
        <v>Open</v>
      </c>
    </row>
    <row r="6482" customFormat="false" ht="15" hidden="false" customHeight="false" outlineLevel="0" collapsed="false">
      <c r="A6482" s="31" t="s">
        <v>6632</v>
      </c>
      <c r="B6482" s="44" t="n">
        <v>46290</v>
      </c>
      <c r="C6482" s="31" t="s">
        <v>58</v>
      </c>
      <c r="D6482" s="31" t="s">
        <v>65</v>
      </c>
      <c r="E6482" s="31" t="s">
        <v>50</v>
      </c>
      <c r="F6482" s="31" t="s">
        <v>122</v>
      </c>
      <c r="G6482" s="31" t="n">
        <v>17</v>
      </c>
      <c r="H6482" s="41"/>
      <c r="I6482" s="31" t="s">
        <v>158</v>
      </c>
      <c r="J6482" s="31"/>
      <c r="K6482" s="31" t="s">
        <v>150</v>
      </c>
      <c r="L6482" s="45" t="n">
        <f aca="false">DATE(YEAR(B6482),MONTH(B6482),1)</f>
        <v>46266</v>
      </c>
      <c r="M6482" s="31" t="n">
        <f aca="false">WEEKDAY(B6482,2)</f>
        <v>5</v>
      </c>
      <c r="N6482" s="31" t="str">
        <f aca="false">IF(G6482&lt;=INDEX(Assumptions!$B$15:$B$18,MATCH(E6482,Assumptions!$A$15:$A$18,0)),"Yes","No")</f>
        <v>Yes</v>
      </c>
      <c r="O6482" s="31" t="str">
        <f aca="false">IF(H6482="","Open",IF(H6482&lt;=INDEX(Assumptions!$C$15:$C$18,MATCH(E6482,Assumptions!$A$15:$A$18,0)),"Yes","No"))</f>
        <v>Open</v>
      </c>
    </row>
    <row r="6483" customFormat="false" ht="15" hidden="false" customHeight="false" outlineLevel="0" collapsed="false">
      <c r="A6483" s="31" t="s">
        <v>6633</v>
      </c>
      <c r="B6483" s="44" t="n">
        <v>46290</v>
      </c>
      <c r="C6483" s="31" t="s">
        <v>59</v>
      </c>
      <c r="D6483" s="31" t="s">
        <v>67</v>
      </c>
      <c r="E6483" s="31" t="s">
        <v>52</v>
      </c>
      <c r="F6483" s="31" t="s">
        <v>136</v>
      </c>
      <c r="G6483" s="31" t="n">
        <v>52</v>
      </c>
      <c r="H6483" s="41"/>
      <c r="I6483" s="31" t="s">
        <v>158</v>
      </c>
      <c r="J6483" s="31"/>
      <c r="K6483" s="31" t="s">
        <v>150</v>
      </c>
      <c r="L6483" s="45" t="n">
        <f aca="false">DATE(YEAR(B6483),MONTH(B6483),1)</f>
        <v>46266</v>
      </c>
      <c r="M6483" s="31" t="n">
        <f aca="false">WEEKDAY(B6483,2)</f>
        <v>5</v>
      </c>
      <c r="N6483" s="31" t="str">
        <f aca="false">IF(G6483&lt;=INDEX(Assumptions!$B$15:$B$18,MATCH(E6483,Assumptions!$A$15:$A$18,0)),"Yes","No")</f>
        <v>Yes</v>
      </c>
      <c r="O6483" s="31" t="str">
        <f aca="false">IF(H6483="","Open",IF(H6483&lt;=INDEX(Assumptions!$C$15:$C$18,MATCH(E6483,Assumptions!$A$15:$A$18,0)),"Yes","No"))</f>
        <v>Open</v>
      </c>
    </row>
    <row r="6484" customFormat="false" ht="15" hidden="false" customHeight="false" outlineLevel="0" collapsed="false">
      <c r="A6484" s="31" t="s">
        <v>6634</v>
      </c>
      <c r="B6484" s="44" t="n">
        <v>46290</v>
      </c>
      <c r="C6484" s="31" t="s">
        <v>58</v>
      </c>
      <c r="D6484" s="31" t="s">
        <v>65</v>
      </c>
      <c r="E6484" s="31" t="s">
        <v>52</v>
      </c>
      <c r="F6484" s="31" t="s">
        <v>117</v>
      </c>
      <c r="G6484" s="31" t="n">
        <v>48</v>
      </c>
      <c r="H6484" s="41"/>
      <c r="I6484" s="31" t="s">
        <v>158</v>
      </c>
      <c r="J6484" s="31"/>
      <c r="K6484" s="31" t="s">
        <v>150</v>
      </c>
      <c r="L6484" s="45" t="n">
        <f aca="false">DATE(YEAR(B6484),MONTH(B6484),1)</f>
        <v>46266</v>
      </c>
      <c r="M6484" s="31" t="n">
        <f aca="false">WEEKDAY(B6484,2)</f>
        <v>5</v>
      </c>
      <c r="N6484" s="31" t="str">
        <f aca="false">IF(G6484&lt;=INDEX(Assumptions!$B$15:$B$18,MATCH(E6484,Assumptions!$A$15:$A$18,0)),"Yes","No")</f>
        <v>Yes</v>
      </c>
      <c r="O6484" s="31" t="str">
        <f aca="false">IF(H6484="","Open",IF(H6484&lt;=INDEX(Assumptions!$C$15:$C$18,MATCH(E6484,Assumptions!$A$15:$A$18,0)),"Yes","No"))</f>
        <v>Open</v>
      </c>
    </row>
    <row r="6485" customFormat="false" ht="15" hidden="false" customHeight="false" outlineLevel="0" collapsed="false">
      <c r="A6485" s="31" t="s">
        <v>6635</v>
      </c>
      <c r="B6485" s="44" t="n">
        <v>46290</v>
      </c>
      <c r="C6485" s="31" t="s">
        <v>60</v>
      </c>
      <c r="D6485" s="31" t="s">
        <v>66</v>
      </c>
      <c r="E6485" s="31" t="s">
        <v>52</v>
      </c>
      <c r="F6485" s="31" t="s">
        <v>129</v>
      </c>
      <c r="G6485" s="31" t="n">
        <v>1</v>
      </c>
      <c r="H6485" s="41"/>
      <c r="I6485" s="31" t="s">
        <v>158</v>
      </c>
      <c r="J6485" s="31"/>
      <c r="K6485" s="31" t="s">
        <v>150</v>
      </c>
      <c r="L6485" s="45" t="n">
        <f aca="false">DATE(YEAR(B6485),MONTH(B6485),1)</f>
        <v>46266</v>
      </c>
      <c r="M6485" s="31" t="n">
        <f aca="false">WEEKDAY(B6485,2)</f>
        <v>5</v>
      </c>
      <c r="N6485" s="31" t="str">
        <f aca="false">IF(G6485&lt;=INDEX(Assumptions!$B$15:$B$18,MATCH(E6485,Assumptions!$A$15:$A$18,0)),"Yes","No")</f>
        <v>Yes</v>
      </c>
      <c r="O6485" s="31" t="str">
        <f aca="false">IF(H6485="","Open",IF(H6485&lt;=INDEX(Assumptions!$C$15:$C$18,MATCH(E6485,Assumptions!$A$15:$A$18,0)),"Yes","No"))</f>
        <v>Open</v>
      </c>
    </row>
    <row r="6486" customFormat="false" ht="15" hidden="false" customHeight="false" outlineLevel="0" collapsed="false">
      <c r="A6486" s="31" t="s">
        <v>6636</v>
      </c>
      <c r="B6486" s="44" t="n">
        <v>46290</v>
      </c>
      <c r="C6486" s="31" t="s">
        <v>59</v>
      </c>
      <c r="D6486" s="31" t="s">
        <v>67</v>
      </c>
      <c r="E6486" s="31" t="s">
        <v>50</v>
      </c>
      <c r="F6486" s="31" t="s">
        <v>126</v>
      </c>
      <c r="G6486" s="31" t="n">
        <v>12</v>
      </c>
      <c r="H6486" s="41"/>
      <c r="I6486" s="31" t="s">
        <v>158</v>
      </c>
      <c r="J6486" s="31"/>
      <c r="K6486" s="31" t="s">
        <v>150</v>
      </c>
      <c r="L6486" s="45" t="n">
        <f aca="false">DATE(YEAR(B6486),MONTH(B6486),1)</f>
        <v>46266</v>
      </c>
      <c r="M6486" s="31" t="n">
        <f aca="false">WEEKDAY(B6486,2)</f>
        <v>5</v>
      </c>
      <c r="N6486" s="31" t="str">
        <f aca="false">IF(G6486&lt;=INDEX(Assumptions!$B$15:$B$18,MATCH(E6486,Assumptions!$A$15:$A$18,0)),"Yes","No")</f>
        <v>Yes</v>
      </c>
      <c r="O6486" s="31" t="str">
        <f aca="false">IF(H6486="","Open",IF(H6486&lt;=INDEX(Assumptions!$C$15:$C$18,MATCH(E6486,Assumptions!$A$15:$A$18,0)),"Yes","No"))</f>
        <v>Open</v>
      </c>
    </row>
    <row r="6487" customFormat="false" ht="15" hidden="false" customHeight="false" outlineLevel="0" collapsed="false">
      <c r="A6487" s="31" t="s">
        <v>6637</v>
      </c>
      <c r="B6487" s="44" t="n">
        <v>46290</v>
      </c>
      <c r="C6487" s="31" t="s">
        <v>57</v>
      </c>
      <c r="D6487" s="31" t="s">
        <v>65</v>
      </c>
      <c r="E6487" s="31" t="s">
        <v>52</v>
      </c>
      <c r="F6487" s="31" t="s">
        <v>126</v>
      </c>
      <c r="G6487" s="31" t="n">
        <v>2</v>
      </c>
      <c r="H6487" s="41" t="n">
        <v>7.1</v>
      </c>
      <c r="I6487" s="31" t="s">
        <v>149</v>
      </c>
      <c r="J6487" s="31"/>
      <c r="K6487" s="31" t="s">
        <v>150</v>
      </c>
      <c r="L6487" s="45" t="n">
        <f aca="false">DATE(YEAR(B6487),MONTH(B6487),1)</f>
        <v>46266</v>
      </c>
      <c r="M6487" s="31" t="n">
        <f aca="false">WEEKDAY(B6487,2)</f>
        <v>5</v>
      </c>
      <c r="N6487" s="31" t="str">
        <f aca="false">IF(G6487&lt;=INDEX(Assumptions!$B$15:$B$18,MATCH(E6487,Assumptions!$A$15:$A$18,0)),"Yes","No")</f>
        <v>Yes</v>
      </c>
      <c r="O6487" s="31" t="str">
        <f aca="false">IF(H6487="","Open",IF(H6487&lt;=INDEX(Assumptions!$C$15:$C$18,MATCH(E6487,Assumptions!$A$15:$A$18,0)),"Yes","No"))</f>
        <v>Yes</v>
      </c>
    </row>
    <row r="6488" customFormat="false" ht="15" hidden="false" customHeight="false" outlineLevel="0" collapsed="false">
      <c r="A6488" s="31" t="s">
        <v>6638</v>
      </c>
      <c r="B6488" s="44" t="n">
        <v>46290</v>
      </c>
      <c r="C6488" s="31" t="s">
        <v>58</v>
      </c>
      <c r="D6488" s="31" t="s">
        <v>67</v>
      </c>
      <c r="E6488" s="31" t="s">
        <v>52</v>
      </c>
      <c r="F6488" s="31" t="s">
        <v>124</v>
      </c>
      <c r="G6488" s="31" t="n">
        <v>7</v>
      </c>
      <c r="H6488" s="41"/>
      <c r="I6488" s="31" t="s">
        <v>158</v>
      </c>
      <c r="J6488" s="31"/>
      <c r="K6488" s="31" t="s">
        <v>150</v>
      </c>
      <c r="L6488" s="45" t="n">
        <f aca="false">DATE(YEAR(B6488),MONTH(B6488),1)</f>
        <v>46266</v>
      </c>
      <c r="M6488" s="31" t="n">
        <f aca="false">WEEKDAY(B6488,2)</f>
        <v>5</v>
      </c>
      <c r="N6488" s="31" t="str">
        <f aca="false">IF(G6488&lt;=INDEX(Assumptions!$B$15:$B$18,MATCH(E6488,Assumptions!$A$15:$A$18,0)),"Yes","No")</f>
        <v>Yes</v>
      </c>
      <c r="O6488" s="31" t="str">
        <f aca="false">IF(H6488="","Open",IF(H6488&lt;=INDEX(Assumptions!$C$15:$C$18,MATCH(E6488,Assumptions!$A$15:$A$18,0)),"Yes","No"))</f>
        <v>Open</v>
      </c>
    </row>
    <row r="6489" customFormat="false" ht="15" hidden="false" customHeight="false" outlineLevel="0" collapsed="false">
      <c r="A6489" s="31" t="s">
        <v>6639</v>
      </c>
      <c r="B6489" s="44" t="n">
        <v>46290</v>
      </c>
      <c r="C6489" s="31" t="s">
        <v>60</v>
      </c>
      <c r="D6489" s="31" t="s">
        <v>65</v>
      </c>
      <c r="E6489" s="31" t="s">
        <v>52</v>
      </c>
      <c r="F6489" s="31" t="s">
        <v>120</v>
      </c>
      <c r="G6489" s="31" t="n">
        <v>2</v>
      </c>
      <c r="H6489" s="41" t="n">
        <v>53.2</v>
      </c>
      <c r="I6489" s="31" t="s">
        <v>64</v>
      </c>
      <c r="J6489" s="31" t="n">
        <v>3</v>
      </c>
      <c r="K6489" s="31" t="s">
        <v>150</v>
      </c>
      <c r="L6489" s="45" t="n">
        <f aca="false">DATE(YEAR(B6489),MONTH(B6489),1)</f>
        <v>46266</v>
      </c>
      <c r="M6489" s="31" t="n">
        <f aca="false">WEEKDAY(B6489,2)</f>
        <v>5</v>
      </c>
      <c r="N6489" s="31" t="str">
        <f aca="false">IF(G6489&lt;=INDEX(Assumptions!$B$15:$B$18,MATCH(E6489,Assumptions!$A$15:$A$18,0)),"Yes","No")</f>
        <v>Yes</v>
      </c>
      <c r="O6489" s="31" t="str">
        <f aca="false">IF(H6489="","Open",IF(H6489&lt;=INDEX(Assumptions!$C$15:$C$18,MATCH(E6489,Assumptions!$A$15:$A$18,0)),"Yes","No"))</f>
        <v>Yes</v>
      </c>
    </row>
    <row r="6490" customFormat="false" ht="15" hidden="false" customHeight="false" outlineLevel="0" collapsed="false">
      <c r="A6490" s="31" t="s">
        <v>6640</v>
      </c>
      <c r="B6490" s="44" t="n">
        <v>46290</v>
      </c>
      <c r="C6490" s="31" t="s">
        <v>58</v>
      </c>
      <c r="D6490" s="31" t="s">
        <v>68</v>
      </c>
      <c r="E6490" s="31" t="s">
        <v>51</v>
      </c>
      <c r="F6490" s="31" t="s">
        <v>131</v>
      </c>
      <c r="G6490" s="31" t="n">
        <v>6</v>
      </c>
      <c r="H6490" s="41" t="n">
        <v>1</v>
      </c>
      <c r="I6490" s="31" t="s">
        <v>149</v>
      </c>
      <c r="J6490" s="31" t="n">
        <v>5</v>
      </c>
      <c r="K6490" s="31" t="s">
        <v>150</v>
      </c>
      <c r="L6490" s="45" t="n">
        <f aca="false">DATE(YEAR(B6490),MONTH(B6490),1)</f>
        <v>46266</v>
      </c>
      <c r="M6490" s="31" t="n">
        <f aca="false">WEEKDAY(B6490,2)</f>
        <v>5</v>
      </c>
      <c r="N6490" s="31" t="str">
        <f aca="false">IF(G6490&lt;=INDEX(Assumptions!$B$15:$B$18,MATCH(E6490,Assumptions!$A$15:$A$18,0)),"Yes","No")</f>
        <v>Yes</v>
      </c>
      <c r="O6490" s="31" t="str">
        <f aca="false">IF(H6490="","Open",IF(H6490&lt;=INDEX(Assumptions!$C$15:$C$18,MATCH(E6490,Assumptions!$A$15:$A$18,0)),"Yes","No"))</f>
        <v>Yes</v>
      </c>
    </row>
    <row r="6491" customFormat="false" ht="15" hidden="false" customHeight="false" outlineLevel="0" collapsed="false">
      <c r="A6491" s="31" t="s">
        <v>6641</v>
      </c>
      <c r="B6491" s="44" t="n">
        <v>46290</v>
      </c>
      <c r="C6491" s="31" t="s">
        <v>59</v>
      </c>
      <c r="D6491" s="31" t="s">
        <v>68</v>
      </c>
      <c r="E6491" s="31" t="s">
        <v>51</v>
      </c>
      <c r="F6491" s="31" t="s">
        <v>121</v>
      </c>
      <c r="G6491" s="31" t="n">
        <v>49</v>
      </c>
      <c r="H6491" s="41"/>
      <c r="I6491" s="31" t="s">
        <v>158</v>
      </c>
      <c r="J6491" s="31"/>
      <c r="K6491" s="31" t="s">
        <v>150</v>
      </c>
      <c r="L6491" s="45" t="n">
        <f aca="false">DATE(YEAR(B6491),MONTH(B6491),1)</f>
        <v>46266</v>
      </c>
      <c r="M6491" s="31" t="n">
        <f aca="false">WEEKDAY(B6491,2)</f>
        <v>5</v>
      </c>
      <c r="N6491" s="31" t="str">
        <f aca="false">IF(G6491&lt;=INDEX(Assumptions!$B$15:$B$18,MATCH(E6491,Assumptions!$A$15:$A$18,0)),"Yes","No")</f>
        <v>Yes</v>
      </c>
      <c r="O6491" s="31" t="str">
        <f aca="false">IF(H6491="","Open",IF(H6491&lt;=INDEX(Assumptions!$C$15:$C$18,MATCH(E6491,Assumptions!$A$15:$A$18,0)),"Yes","No"))</f>
        <v>Open</v>
      </c>
    </row>
    <row r="6492" customFormat="false" ht="15" hidden="false" customHeight="false" outlineLevel="0" collapsed="false">
      <c r="A6492" s="31" t="s">
        <v>6642</v>
      </c>
      <c r="B6492" s="44" t="n">
        <v>46290</v>
      </c>
      <c r="C6492" s="31" t="s">
        <v>59</v>
      </c>
      <c r="D6492" s="31" t="s">
        <v>65</v>
      </c>
      <c r="E6492" s="31" t="s">
        <v>51</v>
      </c>
      <c r="F6492" s="31" t="s">
        <v>136</v>
      </c>
      <c r="G6492" s="31" t="n">
        <v>283</v>
      </c>
      <c r="H6492" s="41"/>
      <c r="I6492" s="31" t="s">
        <v>158</v>
      </c>
      <c r="J6492" s="31"/>
      <c r="K6492" s="31" t="s">
        <v>150</v>
      </c>
      <c r="L6492" s="45" t="n">
        <f aca="false">DATE(YEAR(B6492),MONTH(B6492),1)</f>
        <v>46266</v>
      </c>
      <c r="M6492" s="31" t="n">
        <f aca="false">WEEKDAY(B6492,2)</f>
        <v>5</v>
      </c>
      <c r="N6492" s="31" t="str">
        <f aca="false">IF(G6492&lt;=INDEX(Assumptions!$B$15:$B$18,MATCH(E6492,Assumptions!$A$15:$A$18,0)),"Yes","No")</f>
        <v>No</v>
      </c>
      <c r="O6492" s="31" t="str">
        <f aca="false">IF(H6492="","Open",IF(H6492&lt;=INDEX(Assumptions!$C$15:$C$18,MATCH(E6492,Assumptions!$A$15:$A$18,0)),"Yes","No"))</f>
        <v>Open</v>
      </c>
    </row>
    <row r="6493" customFormat="false" ht="15" hidden="false" customHeight="false" outlineLevel="0" collapsed="false">
      <c r="A6493" s="31" t="s">
        <v>6643</v>
      </c>
      <c r="B6493" s="44" t="n">
        <v>46290</v>
      </c>
      <c r="C6493" s="31" t="s">
        <v>60</v>
      </c>
      <c r="D6493" s="31" t="s">
        <v>66</v>
      </c>
      <c r="E6493" s="31" t="s">
        <v>51</v>
      </c>
      <c r="F6493" s="31" t="s">
        <v>119</v>
      </c>
      <c r="G6493" s="31" t="n">
        <v>2</v>
      </c>
      <c r="H6493" s="41" t="n">
        <v>8.9</v>
      </c>
      <c r="I6493" s="31" t="s">
        <v>149</v>
      </c>
      <c r="J6493" s="31" t="n">
        <v>5</v>
      </c>
      <c r="K6493" s="31" t="s">
        <v>150</v>
      </c>
      <c r="L6493" s="45" t="n">
        <f aca="false">DATE(YEAR(B6493),MONTH(B6493),1)</f>
        <v>46266</v>
      </c>
      <c r="M6493" s="31" t="n">
        <f aca="false">WEEKDAY(B6493,2)</f>
        <v>5</v>
      </c>
      <c r="N6493" s="31" t="str">
        <f aca="false">IF(G6493&lt;=INDEX(Assumptions!$B$15:$B$18,MATCH(E6493,Assumptions!$A$15:$A$18,0)),"Yes","No")</f>
        <v>Yes</v>
      </c>
      <c r="O6493" s="31" t="str">
        <f aca="false">IF(H6493="","Open",IF(H6493&lt;=INDEX(Assumptions!$C$15:$C$18,MATCH(E6493,Assumptions!$A$15:$A$18,0)),"Yes","No"))</f>
        <v>Yes</v>
      </c>
    </row>
    <row r="6494" customFormat="false" ht="15" hidden="false" customHeight="false" outlineLevel="0" collapsed="false">
      <c r="A6494" s="31" t="s">
        <v>6644</v>
      </c>
      <c r="B6494" s="44" t="n">
        <v>46290</v>
      </c>
      <c r="C6494" s="31" t="s">
        <v>59</v>
      </c>
      <c r="D6494" s="31" t="s">
        <v>66</v>
      </c>
      <c r="E6494" s="31" t="s">
        <v>51</v>
      </c>
      <c r="F6494" s="31" t="s">
        <v>123</v>
      </c>
      <c r="G6494" s="31" t="n">
        <v>94</v>
      </c>
      <c r="H6494" s="41" t="n">
        <v>7.3</v>
      </c>
      <c r="I6494" s="31" t="s">
        <v>149</v>
      </c>
      <c r="J6494" s="31"/>
      <c r="K6494" s="31" t="s">
        <v>150</v>
      </c>
      <c r="L6494" s="45" t="n">
        <f aca="false">DATE(YEAR(B6494),MONTH(B6494),1)</f>
        <v>46266</v>
      </c>
      <c r="M6494" s="31" t="n">
        <f aca="false">WEEKDAY(B6494,2)</f>
        <v>5</v>
      </c>
      <c r="N6494" s="31" t="str">
        <f aca="false">IF(G6494&lt;=INDEX(Assumptions!$B$15:$B$18,MATCH(E6494,Assumptions!$A$15:$A$18,0)),"Yes","No")</f>
        <v>No</v>
      </c>
      <c r="O6494" s="31" t="str">
        <f aca="false">IF(H6494="","Open",IF(H6494&lt;=INDEX(Assumptions!$C$15:$C$18,MATCH(E6494,Assumptions!$A$15:$A$18,0)),"Yes","No"))</f>
        <v>Yes</v>
      </c>
    </row>
    <row r="6495" customFormat="false" ht="15" hidden="false" customHeight="false" outlineLevel="0" collapsed="false">
      <c r="A6495" s="31" t="s">
        <v>6645</v>
      </c>
      <c r="B6495" s="44" t="n">
        <v>46290</v>
      </c>
      <c r="C6495" s="31" t="s">
        <v>60</v>
      </c>
      <c r="D6495" s="31" t="s">
        <v>65</v>
      </c>
      <c r="E6495" s="31" t="s">
        <v>49</v>
      </c>
      <c r="F6495" s="31" t="s">
        <v>127</v>
      </c>
      <c r="G6495" s="31" t="n">
        <v>1</v>
      </c>
      <c r="H6495" s="41"/>
      <c r="I6495" s="31" t="s">
        <v>158</v>
      </c>
      <c r="J6495" s="31"/>
      <c r="K6495" s="31" t="s">
        <v>150</v>
      </c>
      <c r="L6495" s="45" t="n">
        <f aca="false">DATE(YEAR(B6495),MONTH(B6495),1)</f>
        <v>46266</v>
      </c>
      <c r="M6495" s="31" t="n">
        <f aca="false">WEEKDAY(B6495,2)</f>
        <v>5</v>
      </c>
      <c r="N6495" s="31" t="str">
        <f aca="false">IF(G6495&lt;=INDEX(Assumptions!$B$15:$B$18,MATCH(E6495,Assumptions!$A$15:$A$18,0)),"Yes","No")</f>
        <v>Yes</v>
      </c>
      <c r="O6495" s="31" t="str">
        <f aca="false">IF(H6495="","Open",IF(H6495&lt;=INDEX(Assumptions!$C$15:$C$18,MATCH(E6495,Assumptions!$A$15:$A$18,0)),"Yes","No"))</f>
        <v>Open</v>
      </c>
    </row>
    <row r="6496" customFormat="false" ht="15" hidden="false" customHeight="false" outlineLevel="0" collapsed="false">
      <c r="A6496" s="31" t="s">
        <v>6646</v>
      </c>
      <c r="B6496" s="44" t="n">
        <v>46290</v>
      </c>
      <c r="C6496" s="31" t="s">
        <v>60</v>
      </c>
      <c r="D6496" s="31" t="s">
        <v>66</v>
      </c>
      <c r="E6496" s="31" t="s">
        <v>51</v>
      </c>
      <c r="F6496" s="31" t="s">
        <v>129</v>
      </c>
      <c r="G6496" s="31" t="n">
        <v>3</v>
      </c>
      <c r="H6496" s="41"/>
      <c r="I6496" s="31" t="s">
        <v>158</v>
      </c>
      <c r="J6496" s="31"/>
      <c r="K6496" s="31" t="s">
        <v>150</v>
      </c>
      <c r="L6496" s="45" t="n">
        <f aca="false">DATE(YEAR(B6496),MONTH(B6496),1)</f>
        <v>46266</v>
      </c>
      <c r="M6496" s="31" t="n">
        <f aca="false">WEEKDAY(B6496,2)</f>
        <v>5</v>
      </c>
      <c r="N6496" s="31" t="str">
        <f aca="false">IF(G6496&lt;=INDEX(Assumptions!$B$15:$B$18,MATCH(E6496,Assumptions!$A$15:$A$18,0)),"Yes","No")</f>
        <v>Yes</v>
      </c>
      <c r="O6496" s="31" t="str">
        <f aca="false">IF(H6496="","Open",IF(H6496&lt;=INDEX(Assumptions!$C$15:$C$18,MATCH(E6496,Assumptions!$A$15:$A$18,0)),"Yes","No"))</f>
        <v>Open</v>
      </c>
    </row>
    <row r="6497" customFormat="false" ht="15" hidden="false" customHeight="false" outlineLevel="0" collapsed="false">
      <c r="A6497" s="31" t="s">
        <v>6647</v>
      </c>
      <c r="B6497" s="44" t="n">
        <v>46290</v>
      </c>
      <c r="C6497" s="31" t="s">
        <v>60</v>
      </c>
      <c r="D6497" s="31" t="s">
        <v>69</v>
      </c>
      <c r="E6497" s="31" t="s">
        <v>52</v>
      </c>
      <c r="F6497" s="31" t="s">
        <v>136</v>
      </c>
      <c r="G6497" s="31" t="n">
        <v>6</v>
      </c>
      <c r="H6497" s="41" t="n">
        <v>15.3</v>
      </c>
      <c r="I6497" s="31" t="s">
        <v>149</v>
      </c>
      <c r="J6497" s="31"/>
      <c r="K6497" s="31" t="s">
        <v>150</v>
      </c>
      <c r="L6497" s="45" t="n">
        <f aca="false">DATE(YEAR(B6497),MONTH(B6497),1)</f>
        <v>46266</v>
      </c>
      <c r="M6497" s="31" t="n">
        <f aca="false">WEEKDAY(B6497,2)</f>
        <v>5</v>
      </c>
      <c r="N6497" s="31" t="str">
        <f aca="false">IF(G6497&lt;=INDEX(Assumptions!$B$15:$B$18,MATCH(E6497,Assumptions!$A$15:$A$18,0)),"Yes","No")</f>
        <v>Yes</v>
      </c>
      <c r="O6497" s="31" t="str">
        <f aca="false">IF(H6497="","Open",IF(H6497&lt;=INDEX(Assumptions!$C$15:$C$18,MATCH(E6497,Assumptions!$A$15:$A$18,0)),"Yes","No"))</f>
        <v>Yes</v>
      </c>
    </row>
    <row r="6498" customFormat="false" ht="15" hidden="false" customHeight="false" outlineLevel="0" collapsed="false">
      <c r="A6498" s="31" t="s">
        <v>6648</v>
      </c>
      <c r="B6498" s="44" t="n">
        <v>46290</v>
      </c>
      <c r="C6498" s="31" t="s">
        <v>59</v>
      </c>
      <c r="D6498" s="31" t="s">
        <v>65</v>
      </c>
      <c r="E6498" s="31" t="s">
        <v>51</v>
      </c>
      <c r="F6498" s="31" t="s">
        <v>131</v>
      </c>
      <c r="G6498" s="31" t="n">
        <v>28</v>
      </c>
      <c r="H6498" s="41" t="n">
        <v>6.8</v>
      </c>
      <c r="I6498" s="31" t="s">
        <v>149</v>
      </c>
      <c r="J6498" s="31" t="n">
        <v>5</v>
      </c>
      <c r="K6498" s="31" t="s">
        <v>150</v>
      </c>
      <c r="L6498" s="45" t="n">
        <f aca="false">DATE(YEAR(B6498),MONTH(B6498),1)</f>
        <v>46266</v>
      </c>
      <c r="M6498" s="31" t="n">
        <f aca="false">WEEKDAY(B6498,2)</f>
        <v>5</v>
      </c>
      <c r="N6498" s="31" t="str">
        <f aca="false">IF(G6498&lt;=INDEX(Assumptions!$B$15:$B$18,MATCH(E6498,Assumptions!$A$15:$A$18,0)),"Yes","No")</f>
        <v>Yes</v>
      </c>
      <c r="O6498" s="31" t="str">
        <f aca="false">IF(H6498="","Open",IF(H6498&lt;=INDEX(Assumptions!$C$15:$C$18,MATCH(E6498,Assumptions!$A$15:$A$18,0)),"Yes","No"))</f>
        <v>Yes</v>
      </c>
    </row>
    <row r="6499" customFormat="false" ht="15" hidden="false" customHeight="false" outlineLevel="0" collapsed="false">
      <c r="A6499" s="31" t="s">
        <v>6649</v>
      </c>
      <c r="B6499" s="44" t="n">
        <v>46290</v>
      </c>
      <c r="C6499" s="31" t="s">
        <v>57</v>
      </c>
      <c r="D6499" s="31" t="s">
        <v>69</v>
      </c>
      <c r="E6499" s="31" t="s">
        <v>52</v>
      </c>
      <c r="F6499" s="31" t="s">
        <v>122</v>
      </c>
      <c r="G6499" s="31" t="n">
        <v>4</v>
      </c>
      <c r="H6499" s="41"/>
      <c r="I6499" s="31" t="s">
        <v>158</v>
      </c>
      <c r="J6499" s="31"/>
      <c r="K6499" s="31" t="s">
        <v>150</v>
      </c>
      <c r="L6499" s="45" t="n">
        <f aca="false">DATE(YEAR(B6499),MONTH(B6499),1)</f>
        <v>46266</v>
      </c>
      <c r="M6499" s="31" t="n">
        <f aca="false">WEEKDAY(B6499,2)</f>
        <v>5</v>
      </c>
      <c r="N6499" s="31" t="str">
        <f aca="false">IF(G6499&lt;=INDEX(Assumptions!$B$15:$B$18,MATCH(E6499,Assumptions!$A$15:$A$18,0)),"Yes","No")</f>
        <v>Yes</v>
      </c>
      <c r="O6499" s="31" t="str">
        <f aca="false">IF(H6499="","Open",IF(H6499&lt;=INDEX(Assumptions!$C$15:$C$18,MATCH(E6499,Assumptions!$A$15:$A$18,0)),"Yes","No"))</f>
        <v>Open</v>
      </c>
    </row>
    <row r="6500" customFormat="false" ht="15" hidden="false" customHeight="false" outlineLevel="0" collapsed="false">
      <c r="A6500" s="31" t="s">
        <v>6650</v>
      </c>
      <c r="B6500" s="44" t="n">
        <v>46290</v>
      </c>
      <c r="C6500" s="31" t="s">
        <v>57</v>
      </c>
      <c r="D6500" s="31" t="s">
        <v>66</v>
      </c>
      <c r="E6500" s="31" t="s">
        <v>49</v>
      </c>
      <c r="F6500" s="31" t="s">
        <v>120</v>
      </c>
      <c r="G6500" s="31" t="n">
        <v>1</v>
      </c>
      <c r="H6500" s="41"/>
      <c r="I6500" s="31" t="s">
        <v>158</v>
      </c>
      <c r="J6500" s="31"/>
      <c r="K6500" s="31" t="s">
        <v>150</v>
      </c>
      <c r="L6500" s="45" t="n">
        <f aca="false">DATE(YEAR(B6500),MONTH(B6500),1)</f>
        <v>46266</v>
      </c>
      <c r="M6500" s="31" t="n">
        <f aca="false">WEEKDAY(B6500,2)</f>
        <v>5</v>
      </c>
      <c r="N6500" s="31" t="str">
        <f aca="false">IF(G6500&lt;=INDEX(Assumptions!$B$15:$B$18,MATCH(E6500,Assumptions!$A$15:$A$18,0)),"Yes","No")</f>
        <v>Yes</v>
      </c>
      <c r="O6500" s="31" t="str">
        <f aca="false">IF(H6500="","Open",IF(H6500&lt;=INDEX(Assumptions!$C$15:$C$18,MATCH(E6500,Assumptions!$A$15:$A$18,0)),"Yes","No"))</f>
        <v>Open</v>
      </c>
    </row>
    <row r="6501" customFormat="false" ht="15" hidden="false" customHeight="false" outlineLevel="0" collapsed="false">
      <c r="A6501" s="31" t="s">
        <v>6651</v>
      </c>
      <c r="B6501" s="44" t="n">
        <v>46290</v>
      </c>
      <c r="C6501" s="31" t="s">
        <v>57</v>
      </c>
      <c r="D6501" s="31" t="s">
        <v>66</v>
      </c>
      <c r="E6501" s="31" t="s">
        <v>51</v>
      </c>
      <c r="F6501" s="31" t="s">
        <v>137</v>
      </c>
      <c r="G6501" s="31" t="n">
        <v>4</v>
      </c>
      <c r="H6501" s="41"/>
      <c r="I6501" s="31" t="s">
        <v>158</v>
      </c>
      <c r="J6501" s="31"/>
      <c r="K6501" s="31" t="s">
        <v>150</v>
      </c>
      <c r="L6501" s="45" t="n">
        <f aca="false">DATE(YEAR(B6501),MONTH(B6501),1)</f>
        <v>46266</v>
      </c>
      <c r="M6501" s="31" t="n">
        <f aca="false">WEEKDAY(B6501,2)</f>
        <v>5</v>
      </c>
      <c r="N6501" s="31" t="str">
        <f aca="false">IF(G6501&lt;=INDEX(Assumptions!$B$15:$B$18,MATCH(E6501,Assumptions!$A$15:$A$18,0)),"Yes","No")</f>
        <v>Yes</v>
      </c>
      <c r="O6501" s="31" t="str">
        <f aca="false">IF(H6501="","Open",IF(H6501&lt;=INDEX(Assumptions!$C$15:$C$18,MATCH(E6501,Assumptions!$A$15:$A$18,0)),"Yes","No"))</f>
        <v>Open</v>
      </c>
    </row>
    <row r="6502" customFormat="false" ht="15" hidden="false" customHeight="false" outlineLevel="0" collapsed="false">
      <c r="A6502" s="31" t="s">
        <v>6652</v>
      </c>
      <c r="B6502" s="44" t="n">
        <v>46290</v>
      </c>
      <c r="C6502" s="31" t="s">
        <v>60</v>
      </c>
      <c r="D6502" s="31" t="s">
        <v>69</v>
      </c>
      <c r="E6502" s="31" t="s">
        <v>52</v>
      </c>
      <c r="F6502" s="31" t="s">
        <v>134</v>
      </c>
      <c r="G6502" s="31" t="n">
        <v>7</v>
      </c>
      <c r="H6502" s="41" t="n">
        <v>112.8</v>
      </c>
      <c r="I6502" s="31" t="s">
        <v>64</v>
      </c>
      <c r="J6502" s="31" t="n">
        <v>2</v>
      </c>
      <c r="K6502" s="31" t="s">
        <v>150</v>
      </c>
      <c r="L6502" s="45" t="n">
        <f aca="false">DATE(YEAR(B6502),MONTH(B6502),1)</f>
        <v>46266</v>
      </c>
      <c r="M6502" s="31" t="n">
        <f aca="false">WEEKDAY(B6502,2)</f>
        <v>5</v>
      </c>
      <c r="N6502" s="31" t="str">
        <f aca="false">IF(G6502&lt;=INDEX(Assumptions!$B$15:$B$18,MATCH(E6502,Assumptions!$A$15:$A$18,0)),"Yes","No")</f>
        <v>Yes</v>
      </c>
      <c r="O6502" s="31" t="str">
        <f aca="false">IF(H6502="","Open",IF(H6502&lt;=INDEX(Assumptions!$C$15:$C$18,MATCH(E6502,Assumptions!$A$15:$A$18,0)),"Yes","No"))</f>
        <v>No</v>
      </c>
    </row>
    <row r="6503" customFormat="false" ht="15" hidden="false" customHeight="false" outlineLevel="0" collapsed="false">
      <c r="A6503" s="31" t="s">
        <v>6653</v>
      </c>
      <c r="B6503" s="44" t="n">
        <v>46290</v>
      </c>
      <c r="C6503" s="31" t="s">
        <v>57</v>
      </c>
      <c r="D6503" s="31" t="s">
        <v>69</v>
      </c>
      <c r="E6503" s="31" t="s">
        <v>50</v>
      </c>
      <c r="F6503" s="31" t="s">
        <v>134</v>
      </c>
      <c r="G6503" s="31" t="n">
        <v>2</v>
      </c>
      <c r="H6503" s="41" t="n">
        <v>43.8</v>
      </c>
      <c r="I6503" s="31" t="s">
        <v>149</v>
      </c>
      <c r="J6503" s="31"/>
      <c r="K6503" s="31" t="s">
        <v>150</v>
      </c>
      <c r="L6503" s="45" t="n">
        <f aca="false">DATE(YEAR(B6503),MONTH(B6503),1)</f>
        <v>46266</v>
      </c>
      <c r="M6503" s="31" t="n">
        <f aca="false">WEEKDAY(B6503,2)</f>
        <v>5</v>
      </c>
      <c r="N6503" s="31" t="str">
        <f aca="false">IF(G6503&lt;=INDEX(Assumptions!$B$15:$B$18,MATCH(E6503,Assumptions!$A$15:$A$18,0)),"Yes","No")</f>
        <v>Yes</v>
      </c>
      <c r="O6503" s="31" t="str">
        <f aca="false">IF(H6503="","Open",IF(H6503&lt;=INDEX(Assumptions!$C$15:$C$18,MATCH(E6503,Assumptions!$A$15:$A$18,0)),"Yes","No"))</f>
        <v>No</v>
      </c>
    </row>
    <row r="6504" customFormat="false" ht="15" hidden="false" customHeight="false" outlineLevel="0" collapsed="false">
      <c r="A6504" s="31" t="s">
        <v>6654</v>
      </c>
      <c r="B6504" s="44" t="n">
        <v>46290</v>
      </c>
      <c r="C6504" s="31" t="s">
        <v>60</v>
      </c>
      <c r="D6504" s="31" t="s">
        <v>67</v>
      </c>
      <c r="E6504" s="31" t="s">
        <v>51</v>
      </c>
      <c r="F6504" s="31" t="s">
        <v>128</v>
      </c>
      <c r="G6504" s="31" t="n">
        <v>1</v>
      </c>
      <c r="H6504" s="41"/>
      <c r="I6504" s="31" t="s">
        <v>158</v>
      </c>
      <c r="J6504" s="31"/>
      <c r="K6504" s="31" t="s">
        <v>150</v>
      </c>
      <c r="L6504" s="45" t="n">
        <f aca="false">DATE(YEAR(B6504),MONTH(B6504),1)</f>
        <v>46266</v>
      </c>
      <c r="M6504" s="31" t="n">
        <f aca="false">WEEKDAY(B6504,2)</f>
        <v>5</v>
      </c>
      <c r="N6504" s="31" t="str">
        <f aca="false">IF(G6504&lt;=INDEX(Assumptions!$B$15:$B$18,MATCH(E6504,Assumptions!$A$15:$A$18,0)),"Yes","No")</f>
        <v>Yes</v>
      </c>
      <c r="O6504" s="31" t="str">
        <f aca="false">IF(H6504="","Open",IF(H6504&lt;=INDEX(Assumptions!$C$15:$C$18,MATCH(E6504,Assumptions!$A$15:$A$18,0)),"Yes","No"))</f>
        <v>Open</v>
      </c>
    </row>
    <row r="6505" customFormat="false" ht="15" hidden="false" customHeight="false" outlineLevel="0" collapsed="false">
      <c r="A6505" s="31" t="s">
        <v>6655</v>
      </c>
      <c r="B6505" s="44" t="n">
        <v>46290</v>
      </c>
      <c r="C6505" s="31" t="s">
        <v>58</v>
      </c>
      <c r="D6505" s="31" t="s">
        <v>66</v>
      </c>
      <c r="E6505" s="31" t="s">
        <v>51</v>
      </c>
      <c r="F6505" s="31" t="s">
        <v>120</v>
      </c>
      <c r="G6505" s="31" t="n">
        <v>35</v>
      </c>
      <c r="H6505" s="41"/>
      <c r="I6505" s="31" t="s">
        <v>158</v>
      </c>
      <c r="J6505" s="31"/>
      <c r="K6505" s="31" t="s">
        <v>150</v>
      </c>
      <c r="L6505" s="45" t="n">
        <f aca="false">DATE(YEAR(B6505),MONTH(B6505),1)</f>
        <v>46266</v>
      </c>
      <c r="M6505" s="31" t="n">
        <f aca="false">WEEKDAY(B6505,2)</f>
        <v>5</v>
      </c>
      <c r="N6505" s="31" t="str">
        <f aca="false">IF(G6505&lt;=INDEX(Assumptions!$B$15:$B$18,MATCH(E6505,Assumptions!$A$15:$A$18,0)),"Yes","No")</f>
        <v>Yes</v>
      </c>
      <c r="O6505" s="31" t="str">
        <f aca="false">IF(H6505="","Open",IF(H6505&lt;=INDEX(Assumptions!$C$15:$C$18,MATCH(E6505,Assumptions!$A$15:$A$18,0)),"Yes","No"))</f>
        <v>Open</v>
      </c>
    </row>
    <row r="6506" customFormat="false" ht="15" hidden="false" customHeight="false" outlineLevel="0" collapsed="false">
      <c r="A6506" s="31" t="s">
        <v>6656</v>
      </c>
      <c r="B6506" s="44" t="n">
        <v>46290</v>
      </c>
      <c r="C6506" s="31" t="s">
        <v>57</v>
      </c>
      <c r="D6506" s="31" t="s">
        <v>65</v>
      </c>
      <c r="E6506" s="31" t="s">
        <v>52</v>
      </c>
      <c r="F6506" s="31" t="s">
        <v>137</v>
      </c>
      <c r="G6506" s="31" t="n">
        <v>4</v>
      </c>
      <c r="H6506" s="41" t="n">
        <v>25.5</v>
      </c>
      <c r="I6506" s="31" t="s">
        <v>149</v>
      </c>
      <c r="J6506" s="31"/>
      <c r="K6506" s="31" t="s">
        <v>153</v>
      </c>
      <c r="L6506" s="45" t="n">
        <f aca="false">DATE(YEAR(B6506),MONTH(B6506),1)</f>
        <v>46266</v>
      </c>
      <c r="M6506" s="31" t="n">
        <f aca="false">WEEKDAY(B6506,2)</f>
        <v>5</v>
      </c>
      <c r="N6506" s="31" t="str">
        <f aca="false">IF(G6506&lt;=INDEX(Assumptions!$B$15:$B$18,MATCH(E6506,Assumptions!$A$15:$A$18,0)),"Yes","No")</f>
        <v>Yes</v>
      </c>
      <c r="O6506" s="31" t="str">
        <f aca="false">IF(H6506="","Open",IF(H6506&lt;=INDEX(Assumptions!$C$15:$C$18,MATCH(E6506,Assumptions!$A$15:$A$18,0)),"Yes","No"))</f>
        <v>Yes</v>
      </c>
    </row>
    <row r="6507" customFormat="false" ht="15" hidden="false" customHeight="false" outlineLevel="0" collapsed="false">
      <c r="A6507" s="31" t="s">
        <v>6657</v>
      </c>
      <c r="B6507" s="44" t="n">
        <v>46290</v>
      </c>
      <c r="C6507" s="31" t="s">
        <v>60</v>
      </c>
      <c r="D6507" s="31" t="s">
        <v>65</v>
      </c>
      <c r="E6507" s="31" t="s">
        <v>51</v>
      </c>
      <c r="F6507" s="31" t="s">
        <v>128</v>
      </c>
      <c r="G6507" s="31" t="n">
        <v>7</v>
      </c>
      <c r="H6507" s="41" t="n">
        <v>20.8</v>
      </c>
      <c r="I6507" s="31" t="s">
        <v>149</v>
      </c>
      <c r="J6507" s="31"/>
      <c r="K6507" s="31" t="s">
        <v>150</v>
      </c>
      <c r="L6507" s="45" t="n">
        <f aca="false">DATE(YEAR(B6507),MONTH(B6507),1)</f>
        <v>46266</v>
      </c>
      <c r="M6507" s="31" t="n">
        <f aca="false">WEEKDAY(B6507,2)</f>
        <v>5</v>
      </c>
      <c r="N6507" s="31" t="str">
        <f aca="false">IF(G6507&lt;=INDEX(Assumptions!$B$15:$B$18,MATCH(E6507,Assumptions!$A$15:$A$18,0)),"Yes","No")</f>
        <v>Yes</v>
      </c>
      <c r="O6507" s="31" t="str">
        <f aca="false">IF(H6507="","Open",IF(H6507&lt;=INDEX(Assumptions!$C$15:$C$18,MATCH(E6507,Assumptions!$A$15:$A$18,0)),"Yes","No"))</f>
        <v>Yes</v>
      </c>
    </row>
    <row r="6508" customFormat="false" ht="15" hidden="false" customHeight="false" outlineLevel="0" collapsed="false">
      <c r="A6508" s="31" t="s">
        <v>6658</v>
      </c>
      <c r="B6508" s="44" t="n">
        <v>46290</v>
      </c>
      <c r="C6508" s="31" t="s">
        <v>58</v>
      </c>
      <c r="D6508" s="31" t="s">
        <v>69</v>
      </c>
      <c r="E6508" s="31" t="s">
        <v>52</v>
      </c>
      <c r="F6508" s="31" t="s">
        <v>119</v>
      </c>
      <c r="G6508" s="31" t="n">
        <v>4</v>
      </c>
      <c r="H6508" s="41"/>
      <c r="I6508" s="31" t="s">
        <v>158</v>
      </c>
      <c r="J6508" s="31"/>
      <c r="K6508" s="31" t="s">
        <v>150</v>
      </c>
      <c r="L6508" s="45" t="n">
        <f aca="false">DATE(YEAR(B6508),MONTH(B6508),1)</f>
        <v>46266</v>
      </c>
      <c r="M6508" s="31" t="n">
        <f aca="false">WEEKDAY(B6508,2)</f>
        <v>5</v>
      </c>
      <c r="N6508" s="31" t="str">
        <f aca="false">IF(G6508&lt;=INDEX(Assumptions!$B$15:$B$18,MATCH(E6508,Assumptions!$A$15:$A$18,0)),"Yes","No")</f>
        <v>Yes</v>
      </c>
      <c r="O6508" s="31" t="str">
        <f aca="false">IF(H6508="","Open",IF(H6508&lt;=INDEX(Assumptions!$C$15:$C$18,MATCH(E6508,Assumptions!$A$15:$A$18,0)),"Yes","No"))</f>
        <v>Open</v>
      </c>
    </row>
    <row r="6509" customFormat="false" ht="15" hidden="false" customHeight="false" outlineLevel="0" collapsed="false">
      <c r="A6509" s="31" t="s">
        <v>6659</v>
      </c>
      <c r="B6509" s="44" t="n">
        <v>46290</v>
      </c>
      <c r="C6509" s="31" t="s">
        <v>58</v>
      </c>
      <c r="D6509" s="31" t="s">
        <v>65</v>
      </c>
      <c r="E6509" s="31" t="s">
        <v>51</v>
      </c>
      <c r="F6509" s="31" t="s">
        <v>127</v>
      </c>
      <c r="G6509" s="31" t="n">
        <v>17</v>
      </c>
      <c r="H6509" s="41"/>
      <c r="I6509" s="31" t="s">
        <v>158</v>
      </c>
      <c r="J6509" s="31"/>
      <c r="K6509" s="31" t="s">
        <v>150</v>
      </c>
      <c r="L6509" s="45" t="n">
        <f aca="false">DATE(YEAR(B6509),MONTH(B6509),1)</f>
        <v>46266</v>
      </c>
      <c r="M6509" s="31" t="n">
        <f aca="false">WEEKDAY(B6509,2)</f>
        <v>5</v>
      </c>
      <c r="N6509" s="31" t="str">
        <f aca="false">IF(G6509&lt;=INDEX(Assumptions!$B$15:$B$18,MATCH(E6509,Assumptions!$A$15:$A$18,0)),"Yes","No")</f>
        <v>Yes</v>
      </c>
      <c r="O6509" s="31" t="str">
        <f aca="false">IF(H6509="","Open",IF(H6509&lt;=INDEX(Assumptions!$C$15:$C$18,MATCH(E6509,Assumptions!$A$15:$A$18,0)),"Yes","No"))</f>
        <v>Open</v>
      </c>
    </row>
    <row r="6510" customFormat="false" ht="15" hidden="false" customHeight="false" outlineLevel="0" collapsed="false">
      <c r="A6510" s="31" t="s">
        <v>6660</v>
      </c>
      <c r="B6510" s="44" t="n">
        <v>46290</v>
      </c>
      <c r="C6510" s="31" t="s">
        <v>58</v>
      </c>
      <c r="D6510" s="31" t="s">
        <v>68</v>
      </c>
      <c r="E6510" s="31" t="s">
        <v>51</v>
      </c>
      <c r="F6510" s="31" t="s">
        <v>120</v>
      </c>
      <c r="G6510" s="31" t="n">
        <v>8</v>
      </c>
      <c r="H6510" s="41"/>
      <c r="I6510" s="31" t="s">
        <v>158</v>
      </c>
      <c r="J6510" s="31"/>
      <c r="K6510" s="31" t="s">
        <v>150</v>
      </c>
      <c r="L6510" s="45" t="n">
        <f aca="false">DATE(YEAR(B6510),MONTH(B6510),1)</f>
        <v>46266</v>
      </c>
      <c r="M6510" s="31" t="n">
        <f aca="false">WEEKDAY(B6510,2)</f>
        <v>5</v>
      </c>
      <c r="N6510" s="31" t="str">
        <f aca="false">IF(G6510&lt;=INDEX(Assumptions!$B$15:$B$18,MATCH(E6510,Assumptions!$A$15:$A$18,0)),"Yes","No")</f>
        <v>Yes</v>
      </c>
      <c r="O6510" s="31" t="str">
        <f aca="false">IF(H6510="","Open",IF(H6510&lt;=INDEX(Assumptions!$C$15:$C$18,MATCH(E6510,Assumptions!$A$15:$A$18,0)),"Yes","No"))</f>
        <v>Open</v>
      </c>
    </row>
    <row r="6511" customFormat="false" ht="15" hidden="false" customHeight="false" outlineLevel="0" collapsed="false">
      <c r="A6511" s="31" t="s">
        <v>6661</v>
      </c>
      <c r="B6511" s="44" t="n">
        <v>46290</v>
      </c>
      <c r="C6511" s="31" t="s">
        <v>58</v>
      </c>
      <c r="D6511" s="31" t="s">
        <v>67</v>
      </c>
      <c r="E6511" s="31" t="s">
        <v>51</v>
      </c>
      <c r="F6511" s="31" t="s">
        <v>121</v>
      </c>
      <c r="G6511" s="31" t="n">
        <v>17</v>
      </c>
      <c r="H6511" s="41"/>
      <c r="I6511" s="31" t="s">
        <v>158</v>
      </c>
      <c r="J6511" s="31"/>
      <c r="K6511" s="31" t="s">
        <v>150</v>
      </c>
      <c r="L6511" s="45" t="n">
        <f aca="false">DATE(YEAR(B6511),MONTH(B6511),1)</f>
        <v>46266</v>
      </c>
      <c r="M6511" s="31" t="n">
        <f aca="false">WEEKDAY(B6511,2)</f>
        <v>5</v>
      </c>
      <c r="N6511" s="31" t="str">
        <f aca="false">IF(G6511&lt;=INDEX(Assumptions!$B$15:$B$18,MATCH(E6511,Assumptions!$A$15:$A$18,0)),"Yes","No")</f>
        <v>Yes</v>
      </c>
      <c r="O6511" s="31" t="str">
        <f aca="false">IF(H6511="","Open",IF(H6511&lt;=INDEX(Assumptions!$C$15:$C$18,MATCH(E6511,Assumptions!$A$15:$A$18,0)),"Yes","No"))</f>
        <v>Open</v>
      </c>
    </row>
    <row r="6512" customFormat="false" ht="15" hidden="false" customHeight="false" outlineLevel="0" collapsed="false">
      <c r="A6512" s="31" t="s">
        <v>6662</v>
      </c>
      <c r="B6512" s="44" t="n">
        <v>46290</v>
      </c>
      <c r="C6512" s="31" t="s">
        <v>58</v>
      </c>
      <c r="D6512" s="31" t="s">
        <v>68</v>
      </c>
      <c r="E6512" s="31" t="s">
        <v>52</v>
      </c>
      <c r="F6512" s="31" t="s">
        <v>120</v>
      </c>
      <c r="G6512" s="31" t="n">
        <v>34</v>
      </c>
      <c r="H6512" s="41"/>
      <c r="I6512" s="31" t="s">
        <v>158</v>
      </c>
      <c r="J6512" s="31"/>
      <c r="K6512" s="31" t="s">
        <v>150</v>
      </c>
      <c r="L6512" s="45" t="n">
        <f aca="false">DATE(YEAR(B6512),MONTH(B6512),1)</f>
        <v>46266</v>
      </c>
      <c r="M6512" s="31" t="n">
        <f aca="false">WEEKDAY(B6512,2)</f>
        <v>5</v>
      </c>
      <c r="N6512" s="31" t="str">
        <f aca="false">IF(G6512&lt;=INDEX(Assumptions!$B$15:$B$18,MATCH(E6512,Assumptions!$A$15:$A$18,0)),"Yes","No")</f>
        <v>Yes</v>
      </c>
      <c r="O6512" s="31" t="str">
        <f aca="false">IF(H6512="","Open",IF(H6512&lt;=INDEX(Assumptions!$C$15:$C$18,MATCH(E6512,Assumptions!$A$15:$A$18,0)),"Yes","No"))</f>
        <v>Open</v>
      </c>
    </row>
    <row r="6513" customFormat="false" ht="15" hidden="false" customHeight="false" outlineLevel="0" collapsed="false">
      <c r="A6513" s="31" t="s">
        <v>6663</v>
      </c>
      <c r="B6513" s="44" t="n">
        <v>46290</v>
      </c>
      <c r="C6513" s="31" t="s">
        <v>59</v>
      </c>
      <c r="D6513" s="31" t="s">
        <v>65</v>
      </c>
      <c r="E6513" s="31" t="s">
        <v>51</v>
      </c>
      <c r="F6513" s="31" t="s">
        <v>131</v>
      </c>
      <c r="G6513" s="31" t="n">
        <v>56</v>
      </c>
      <c r="H6513" s="41" t="n">
        <v>1.9</v>
      </c>
      <c r="I6513" s="31" t="s">
        <v>149</v>
      </c>
      <c r="J6513" s="31"/>
      <c r="K6513" s="31" t="s">
        <v>150</v>
      </c>
      <c r="L6513" s="45" t="n">
        <f aca="false">DATE(YEAR(B6513),MONTH(B6513),1)</f>
        <v>46266</v>
      </c>
      <c r="M6513" s="31" t="n">
        <f aca="false">WEEKDAY(B6513,2)</f>
        <v>5</v>
      </c>
      <c r="N6513" s="31" t="str">
        <f aca="false">IF(G6513&lt;=INDEX(Assumptions!$B$15:$B$18,MATCH(E6513,Assumptions!$A$15:$A$18,0)),"Yes","No")</f>
        <v>Yes</v>
      </c>
      <c r="O6513" s="31" t="str">
        <f aca="false">IF(H6513="","Open",IF(H6513&lt;=INDEX(Assumptions!$C$15:$C$18,MATCH(E6513,Assumptions!$A$15:$A$18,0)),"Yes","No"))</f>
        <v>Yes</v>
      </c>
    </row>
    <row r="6514" customFormat="false" ht="15" hidden="false" customHeight="false" outlineLevel="0" collapsed="false">
      <c r="A6514" s="31" t="s">
        <v>6664</v>
      </c>
      <c r="B6514" s="44" t="n">
        <v>46290</v>
      </c>
      <c r="C6514" s="31" t="s">
        <v>58</v>
      </c>
      <c r="D6514" s="31" t="s">
        <v>68</v>
      </c>
      <c r="E6514" s="31" t="s">
        <v>52</v>
      </c>
      <c r="F6514" s="31" t="s">
        <v>128</v>
      </c>
      <c r="G6514" s="31" t="n">
        <v>33</v>
      </c>
      <c r="H6514" s="41" t="n">
        <v>34.6</v>
      </c>
      <c r="I6514" s="31" t="s">
        <v>149</v>
      </c>
      <c r="J6514" s="31"/>
      <c r="K6514" s="31" t="s">
        <v>153</v>
      </c>
      <c r="L6514" s="45" t="n">
        <f aca="false">DATE(YEAR(B6514),MONTH(B6514),1)</f>
        <v>46266</v>
      </c>
      <c r="M6514" s="31" t="n">
        <f aca="false">WEEKDAY(B6514,2)</f>
        <v>5</v>
      </c>
      <c r="N6514" s="31" t="str">
        <f aca="false">IF(G6514&lt;=INDEX(Assumptions!$B$15:$B$18,MATCH(E6514,Assumptions!$A$15:$A$18,0)),"Yes","No")</f>
        <v>Yes</v>
      </c>
      <c r="O6514" s="31" t="str">
        <f aca="false">IF(H6514="","Open",IF(H6514&lt;=INDEX(Assumptions!$C$15:$C$18,MATCH(E6514,Assumptions!$A$15:$A$18,0)),"Yes","No"))</f>
        <v>Yes</v>
      </c>
    </row>
    <row r="6515" customFormat="false" ht="15" hidden="false" customHeight="false" outlineLevel="0" collapsed="false">
      <c r="A6515" s="31" t="s">
        <v>6665</v>
      </c>
      <c r="B6515" s="44" t="n">
        <v>46290</v>
      </c>
      <c r="C6515" s="31" t="s">
        <v>58</v>
      </c>
      <c r="D6515" s="31" t="s">
        <v>65</v>
      </c>
      <c r="E6515" s="31" t="s">
        <v>51</v>
      </c>
      <c r="F6515" s="31" t="s">
        <v>134</v>
      </c>
      <c r="G6515" s="31" t="n">
        <v>11</v>
      </c>
      <c r="H6515" s="41"/>
      <c r="I6515" s="31" t="s">
        <v>158</v>
      </c>
      <c r="J6515" s="31"/>
      <c r="K6515" s="31" t="s">
        <v>150</v>
      </c>
      <c r="L6515" s="45" t="n">
        <f aca="false">DATE(YEAR(B6515),MONTH(B6515),1)</f>
        <v>46266</v>
      </c>
      <c r="M6515" s="31" t="n">
        <f aca="false">WEEKDAY(B6515,2)</f>
        <v>5</v>
      </c>
      <c r="N6515" s="31" t="str">
        <f aca="false">IF(G6515&lt;=INDEX(Assumptions!$B$15:$B$18,MATCH(E6515,Assumptions!$A$15:$A$18,0)),"Yes","No")</f>
        <v>Yes</v>
      </c>
      <c r="O6515" s="31" t="str">
        <f aca="false">IF(H6515="","Open",IF(H6515&lt;=INDEX(Assumptions!$C$15:$C$18,MATCH(E6515,Assumptions!$A$15:$A$18,0)),"Yes","No"))</f>
        <v>Open</v>
      </c>
    </row>
    <row r="6516" customFormat="false" ht="15" hidden="false" customHeight="false" outlineLevel="0" collapsed="false">
      <c r="A6516" s="31" t="s">
        <v>6666</v>
      </c>
      <c r="B6516" s="44" t="n">
        <v>46290</v>
      </c>
      <c r="C6516" s="31" t="s">
        <v>59</v>
      </c>
      <c r="D6516" s="31" t="s">
        <v>68</v>
      </c>
      <c r="E6516" s="31" t="s">
        <v>51</v>
      </c>
      <c r="F6516" s="31" t="s">
        <v>121</v>
      </c>
      <c r="G6516" s="31" t="n">
        <v>86</v>
      </c>
      <c r="H6516" s="41" t="n">
        <v>10.8</v>
      </c>
      <c r="I6516" s="31" t="s">
        <v>64</v>
      </c>
      <c r="J6516" s="31"/>
      <c r="K6516" s="31" t="s">
        <v>150</v>
      </c>
      <c r="L6516" s="45" t="n">
        <f aca="false">DATE(YEAR(B6516),MONTH(B6516),1)</f>
        <v>46266</v>
      </c>
      <c r="M6516" s="31" t="n">
        <f aca="false">WEEKDAY(B6516,2)</f>
        <v>5</v>
      </c>
      <c r="N6516" s="31" t="str">
        <f aca="false">IF(G6516&lt;=INDEX(Assumptions!$B$15:$B$18,MATCH(E6516,Assumptions!$A$15:$A$18,0)),"Yes","No")</f>
        <v>No</v>
      </c>
      <c r="O6516" s="31" t="str">
        <f aca="false">IF(H6516="","Open",IF(H6516&lt;=INDEX(Assumptions!$C$15:$C$18,MATCH(E6516,Assumptions!$A$15:$A$18,0)),"Yes","No"))</f>
        <v>Yes</v>
      </c>
    </row>
    <row r="6517" customFormat="false" ht="15" hidden="false" customHeight="false" outlineLevel="0" collapsed="false">
      <c r="A6517" s="31" t="s">
        <v>6667</v>
      </c>
      <c r="B6517" s="44" t="n">
        <v>46290</v>
      </c>
      <c r="C6517" s="31" t="s">
        <v>57</v>
      </c>
      <c r="D6517" s="31" t="s">
        <v>67</v>
      </c>
      <c r="E6517" s="31" t="s">
        <v>52</v>
      </c>
      <c r="F6517" s="31" t="s">
        <v>137</v>
      </c>
      <c r="G6517" s="31" t="n">
        <v>4</v>
      </c>
      <c r="H6517" s="41"/>
      <c r="I6517" s="31" t="s">
        <v>158</v>
      </c>
      <c r="J6517" s="31"/>
      <c r="K6517" s="31" t="s">
        <v>150</v>
      </c>
      <c r="L6517" s="45" t="n">
        <f aca="false">DATE(YEAR(B6517),MONTH(B6517),1)</f>
        <v>46266</v>
      </c>
      <c r="M6517" s="31" t="n">
        <f aca="false">WEEKDAY(B6517,2)</f>
        <v>5</v>
      </c>
      <c r="N6517" s="31" t="str">
        <f aca="false">IF(G6517&lt;=INDEX(Assumptions!$B$15:$B$18,MATCH(E6517,Assumptions!$A$15:$A$18,0)),"Yes","No")</f>
        <v>Yes</v>
      </c>
      <c r="O6517" s="31" t="str">
        <f aca="false">IF(H6517="","Open",IF(H6517&lt;=INDEX(Assumptions!$C$15:$C$18,MATCH(E6517,Assumptions!$A$15:$A$18,0)),"Yes","No"))</f>
        <v>Open</v>
      </c>
    </row>
    <row r="6518" customFormat="false" ht="15" hidden="false" customHeight="false" outlineLevel="0" collapsed="false">
      <c r="A6518" s="31" t="s">
        <v>6668</v>
      </c>
      <c r="B6518" s="44" t="n">
        <v>46290</v>
      </c>
      <c r="C6518" s="31" t="s">
        <v>58</v>
      </c>
      <c r="D6518" s="31" t="s">
        <v>68</v>
      </c>
      <c r="E6518" s="31" t="s">
        <v>50</v>
      </c>
      <c r="F6518" s="31" t="s">
        <v>121</v>
      </c>
      <c r="G6518" s="31" t="n">
        <v>15</v>
      </c>
      <c r="H6518" s="41"/>
      <c r="I6518" s="31" t="s">
        <v>158</v>
      </c>
      <c r="J6518" s="31"/>
      <c r="K6518" s="31" t="s">
        <v>150</v>
      </c>
      <c r="L6518" s="45" t="n">
        <f aca="false">DATE(YEAR(B6518),MONTH(B6518),1)</f>
        <v>46266</v>
      </c>
      <c r="M6518" s="31" t="n">
        <f aca="false">WEEKDAY(B6518,2)</f>
        <v>5</v>
      </c>
      <c r="N6518" s="31" t="str">
        <f aca="false">IF(G6518&lt;=INDEX(Assumptions!$B$15:$B$18,MATCH(E6518,Assumptions!$A$15:$A$18,0)),"Yes","No")</f>
        <v>Yes</v>
      </c>
      <c r="O6518" s="31" t="str">
        <f aca="false">IF(H6518="","Open",IF(H6518&lt;=INDEX(Assumptions!$C$15:$C$18,MATCH(E6518,Assumptions!$A$15:$A$18,0)),"Yes","No"))</f>
        <v>Open</v>
      </c>
    </row>
    <row r="6519" customFormat="false" ht="15" hidden="false" customHeight="false" outlineLevel="0" collapsed="false">
      <c r="A6519" s="31" t="s">
        <v>6669</v>
      </c>
      <c r="B6519" s="44" t="n">
        <v>46290</v>
      </c>
      <c r="C6519" s="31" t="s">
        <v>59</v>
      </c>
      <c r="D6519" s="31" t="s">
        <v>66</v>
      </c>
      <c r="E6519" s="31" t="s">
        <v>51</v>
      </c>
      <c r="F6519" s="31" t="s">
        <v>119</v>
      </c>
      <c r="G6519" s="31" t="n">
        <v>29</v>
      </c>
      <c r="H6519" s="41"/>
      <c r="I6519" s="31" t="s">
        <v>158</v>
      </c>
      <c r="J6519" s="31"/>
      <c r="K6519" s="31" t="s">
        <v>150</v>
      </c>
      <c r="L6519" s="45" t="n">
        <f aca="false">DATE(YEAR(B6519),MONTH(B6519),1)</f>
        <v>46266</v>
      </c>
      <c r="M6519" s="31" t="n">
        <f aca="false">WEEKDAY(B6519,2)</f>
        <v>5</v>
      </c>
      <c r="N6519" s="31" t="str">
        <f aca="false">IF(G6519&lt;=INDEX(Assumptions!$B$15:$B$18,MATCH(E6519,Assumptions!$A$15:$A$18,0)),"Yes","No")</f>
        <v>Yes</v>
      </c>
      <c r="O6519" s="31" t="str">
        <f aca="false">IF(H6519="","Open",IF(H6519&lt;=INDEX(Assumptions!$C$15:$C$18,MATCH(E6519,Assumptions!$A$15:$A$18,0)),"Yes","No"))</f>
        <v>Open</v>
      </c>
    </row>
    <row r="6520" customFormat="false" ht="15" hidden="false" customHeight="false" outlineLevel="0" collapsed="false">
      <c r="A6520" s="31" t="s">
        <v>6670</v>
      </c>
      <c r="B6520" s="44" t="n">
        <v>46290</v>
      </c>
      <c r="C6520" s="31" t="s">
        <v>60</v>
      </c>
      <c r="D6520" s="31" t="s">
        <v>67</v>
      </c>
      <c r="E6520" s="31" t="s">
        <v>51</v>
      </c>
      <c r="F6520" s="31" t="s">
        <v>131</v>
      </c>
      <c r="G6520" s="31" t="n">
        <v>1</v>
      </c>
      <c r="H6520" s="41" t="n">
        <v>19.1</v>
      </c>
      <c r="I6520" s="31" t="s">
        <v>149</v>
      </c>
      <c r="J6520" s="31"/>
      <c r="K6520" s="31" t="s">
        <v>150</v>
      </c>
      <c r="L6520" s="45" t="n">
        <f aca="false">DATE(YEAR(B6520),MONTH(B6520),1)</f>
        <v>46266</v>
      </c>
      <c r="M6520" s="31" t="n">
        <f aca="false">WEEKDAY(B6520,2)</f>
        <v>5</v>
      </c>
      <c r="N6520" s="31" t="str">
        <f aca="false">IF(G6520&lt;=INDEX(Assumptions!$B$15:$B$18,MATCH(E6520,Assumptions!$A$15:$A$18,0)),"Yes","No")</f>
        <v>Yes</v>
      </c>
      <c r="O6520" s="31" t="str">
        <f aca="false">IF(H6520="","Open",IF(H6520&lt;=INDEX(Assumptions!$C$15:$C$18,MATCH(E6520,Assumptions!$A$15:$A$18,0)),"Yes","No"))</f>
        <v>Yes</v>
      </c>
    </row>
    <row r="6521" customFormat="false" ht="15" hidden="false" customHeight="false" outlineLevel="0" collapsed="false">
      <c r="A6521" s="31" t="s">
        <v>6671</v>
      </c>
      <c r="B6521" s="44" t="n">
        <v>46290</v>
      </c>
      <c r="C6521" s="31" t="s">
        <v>57</v>
      </c>
      <c r="D6521" s="31" t="s">
        <v>66</v>
      </c>
      <c r="E6521" s="31" t="s">
        <v>51</v>
      </c>
      <c r="F6521" s="31" t="s">
        <v>130</v>
      </c>
      <c r="G6521" s="31" t="n">
        <v>3</v>
      </c>
      <c r="H6521" s="41"/>
      <c r="I6521" s="31" t="s">
        <v>158</v>
      </c>
      <c r="J6521" s="31"/>
      <c r="K6521" s="31" t="s">
        <v>150</v>
      </c>
      <c r="L6521" s="45" t="n">
        <f aca="false">DATE(YEAR(B6521),MONTH(B6521),1)</f>
        <v>46266</v>
      </c>
      <c r="M6521" s="31" t="n">
        <f aca="false">WEEKDAY(B6521,2)</f>
        <v>5</v>
      </c>
      <c r="N6521" s="31" t="str">
        <f aca="false">IF(G6521&lt;=INDEX(Assumptions!$B$15:$B$18,MATCH(E6521,Assumptions!$A$15:$A$18,0)),"Yes","No")</f>
        <v>Yes</v>
      </c>
      <c r="O6521" s="31" t="str">
        <f aca="false">IF(H6521="","Open",IF(H6521&lt;=INDEX(Assumptions!$C$15:$C$18,MATCH(E6521,Assumptions!$A$15:$A$18,0)),"Yes","No"))</f>
        <v>Open</v>
      </c>
    </row>
    <row r="6522" customFormat="false" ht="15" hidden="false" customHeight="false" outlineLevel="0" collapsed="false">
      <c r="A6522" s="31" t="s">
        <v>6672</v>
      </c>
      <c r="B6522" s="44" t="n">
        <v>46290</v>
      </c>
      <c r="C6522" s="31" t="s">
        <v>60</v>
      </c>
      <c r="D6522" s="31" t="s">
        <v>68</v>
      </c>
      <c r="E6522" s="31" t="s">
        <v>51</v>
      </c>
      <c r="F6522" s="31" t="s">
        <v>127</v>
      </c>
      <c r="G6522" s="31" t="n">
        <v>1</v>
      </c>
      <c r="H6522" s="41" t="n">
        <v>1.1</v>
      </c>
      <c r="I6522" s="31" t="s">
        <v>149</v>
      </c>
      <c r="J6522" s="31" t="n">
        <v>4</v>
      </c>
      <c r="K6522" s="31" t="s">
        <v>150</v>
      </c>
      <c r="L6522" s="45" t="n">
        <f aca="false">DATE(YEAR(B6522),MONTH(B6522),1)</f>
        <v>46266</v>
      </c>
      <c r="M6522" s="31" t="n">
        <f aca="false">WEEKDAY(B6522,2)</f>
        <v>5</v>
      </c>
      <c r="N6522" s="31" t="str">
        <f aca="false">IF(G6522&lt;=INDEX(Assumptions!$B$15:$B$18,MATCH(E6522,Assumptions!$A$15:$A$18,0)),"Yes","No")</f>
        <v>Yes</v>
      </c>
      <c r="O6522" s="31" t="str">
        <f aca="false">IF(H6522="","Open",IF(H6522&lt;=INDEX(Assumptions!$C$15:$C$18,MATCH(E6522,Assumptions!$A$15:$A$18,0)),"Yes","No"))</f>
        <v>Yes</v>
      </c>
    </row>
    <row r="6523" customFormat="false" ht="15" hidden="false" customHeight="false" outlineLevel="0" collapsed="false">
      <c r="A6523" s="31" t="s">
        <v>6673</v>
      </c>
      <c r="B6523" s="44" t="n">
        <v>46290</v>
      </c>
      <c r="C6523" s="31" t="s">
        <v>59</v>
      </c>
      <c r="D6523" s="31" t="s">
        <v>69</v>
      </c>
      <c r="E6523" s="31" t="s">
        <v>50</v>
      </c>
      <c r="F6523" s="31" t="s">
        <v>129</v>
      </c>
      <c r="G6523" s="31" t="n">
        <v>58</v>
      </c>
      <c r="H6523" s="41"/>
      <c r="I6523" s="31" t="s">
        <v>158</v>
      </c>
      <c r="J6523" s="31"/>
      <c r="K6523" s="31" t="s">
        <v>150</v>
      </c>
      <c r="L6523" s="45" t="n">
        <f aca="false">DATE(YEAR(B6523),MONTH(B6523),1)</f>
        <v>46266</v>
      </c>
      <c r="M6523" s="31" t="n">
        <f aca="false">WEEKDAY(B6523,2)</f>
        <v>5</v>
      </c>
      <c r="N6523" s="31" t="str">
        <f aca="false">IF(G6523&lt;=INDEX(Assumptions!$B$15:$B$18,MATCH(E6523,Assumptions!$A$15:$A$18,0)),"Yes","No")</f>
        <v>No</v>
      </c>
      <c r="O6523" s="31" t="str">
        <f aca="false">IF(H6523="","Open",IF(H6523&lt;=INDEX(Assumptions!$C$15:$C$18,MATCH(E6523,Assumptions!$A$15:$A$18,0)),"Yes","No"))</f>
        <v>Open</v>
      </c>
    </row>
    <row r="6524" customFormat="false" ht="15" hidden="false" customHeight="false" outlineLevel="0" collapsed="false">
      <c r="A6524" s="31" t="s">
        <v>6674</v>
      </c>
      <c r="B6524" s="44" t="n">
        <v>46290</v>
      </c>
      <c r="C6524" s="31" t="s">
        <v>59</v>
      </c>
      <c r="D6524" s="31" t="s">
        <v>66</v>
      </c>
      <c r="E6524" s="31" t="s">
        <v>52</v>
      </c>
      <c r="F6524" s="31" t="s">
        <v>130</v>
      </c>
      <c r="G6524" s="31" t="n">
        <v>31</v>
      </c>
      <c r="H6524" s="41"/>
      <c r="I6524" s="31" t="s">
        <v>158</v>
      </c>
      <c r="J6524" s="31"/>
      <c r="K6524" s="31" t="s">
        <v>150</v>
      </c>
      <c r="L6524" s="45" t="n">
        <f aca="false">DATE(YEAR(B6524),MONTH(B6524),1)</f>
        <v>46266</v>
      </c>
      <c r="M6524" s="31" t="n">
        <f aca="false">WEEKDAY(B6524,2)</f>
        <v>5</v>
      </c>
      <c r="N6524" s="31" t="str">
        <f aca="false">IF(G6524&lt;=INDEX(Assumptions!$B$15:$B$18,MATCH(E6524,Assumptions!$A$15:$A$18,0)),"Yes","No")</f>
        <v>Yes</v>
      </c>
      <c r="O6524" s="31" t="str">
        <f aca="false">IF(H6524="","Open",IF(H6524&lt;=INDEX(Assumptions!$C$15:$C$18,MATCH(E6524,Assumptions!$A$15:$A$18,0)),"Yes","No"))</f>
        <v>Open</v>
      </c>
    </row>
    <row r="6525" customFormat="false" ht="15" hidden="false" customHeight="false" outlineLevel="0" collapsed="false">
      <c r="A6525" s="31" t="s">
        <v>6675</v>
      </c>
      <c r="B6525" s="44" t="n">
        <v>46290</v>
      </c>
      <c r="C6525" s="31" t="s">
        <v>58</v>
      </c>
      <c r="D6525" s="31" t="s">
        <v>67</v>
      </c>
      <c r="E6525" s="31" t="s">
        <v>49</v>
      </c>
      <c r="F6525" s="31" t="s">
        <v>121</v>
      </c>
      <c r="G6525" s="31" t="n">
        <v>10</v>
      </c>
      <c r="H6525" s="41"/>
      <c r="I6525" s="31" t="s">
        <v>158</v>
      </c>
      <c r="J6525" s="31"/>
      <c r="K6525" s="31" t="s">
        <v>150</v>
      </c>
      <c r="L6525" s="45" t="n">
        <f aca="false">DATE(YEAR(B6525),MONTH(B6525),1)</f>
        <v>46266</v>
      </c>
      <c r="M6525" s="31" t="n">
        <f aca="false">WEEKDAY(B6525,2)</f>
        <v>5</v>
      </c>
      <c r="N6525" s="31" t="str">
        <f aca="false">IF(G6525&lt;=INDEX(Assumptions!$B$15:$B$18,MATCH(E6525,Assumptions!$A$15:$A$18,0)),"Yes","No")</f>
        <v>Yes</v>
      </c>
      <c r="O6525" s="31" t="str">
        <f aca="false">IF(H6525="","Open",IF(H6525&lt;=INDEX(Assumptions!$C$15:$C$18,MATCH(E6525,Assumptions!$A$15:$A$18,0)),"Yes","No"))</f>
        <v>Open</v>
      </c>
    </row>
    <row r="6526" customFormat="false" ht="15" hidden="false" customHeight="false" outlineLevel="0" collapsed="false">
      <c r="A6526" s="31" t="s">
        <v>6676</v>
      </c>
      <c r="B6526" s="44" t="n">
        <v>46290</v>
      </c>
      <c r="C6526" s="31" t="s">
        <v>60</v>
      </c>
      <c r="D6526" s="31" t="s">
        <v>66</v>
      </c>
      <c r="E6526" s="31" t="s">
        <v>51</v>
      </c>
      <c r="F6526" s="31" t="s">
        <v>128</v>
      </c>
      <c r="G6526" s="31" t="n">
        <v>2</v>
      </c>
      <c r="H6526" s="41" t="n">
        <v>3</v>
      </c>
      <c r="I6526" s="31" t="s">
        <v>149</v>
      </c>
      <c r="J6526" s="31"/>
      <c r="K6526" s="31" t="s">
        <v>150</v>
      </c>
      <c r="L6526" s="45" t="n">
        <f aca="false">DATE(YEAR(B6526),MONTH(B6526),1)</f>
        <v>46266</v>
      </c>
      <c r="M6526" s="31" t="n">
        <f aca="false">WEEKDAY(B6526,2)</f>
        <v>5</v>
      </c>
      <c r="N6526" s="31" t="str">
        <f aca="false">IF(G6526&lt;=INDEX(Assumptions!$B$15:$B$18,MATCH(E6526,Assumptions!$A$15:$A$18,0)),"Yes","No")</f>
        <v>Yes</v>
      </c>
      <c r="O6526" s="31" t="str">
        <f aca="false">IF(H6526="","Open",IF(H6526&lt;=INDEX(Assumptions!$C$15:$C$18,MATCH(E6526,Assumptions!$A$15:$A$18,0)),"Yes","No"))</f>
        <v>Yes</v>
      </c>
    </row>
    <row r="6527" customFormat="false" ht="15" hidden="false" customHeight="false" outlineLevel="0" collapsed="false">
      <c r="A6527" s="31" t="s">
        <v>6677</v>
      </c>
      <c r="B6527" s="44" t="n">
        <v>46290</v>
      </c>
      <c r="C6527" s="31" t="s">
        <v>60</v>
      </c>
      <c r="D6527" s="31" t="s">
        <v>68</v>
      </c>
      <c r="E6527" s="31" t="s">
        <v>52</v>
      </c>
      <c r="F6527" s="31" t="s">
        <v>134</v>
      </c>
      <c r="G6527" s="31" t="n">
        <v>3</v>
      </c>
      <c r="H6527" s="41" t="n">
        <v>11.3</v>
      </c>
      <c r="I6527" s="31" t="s">
        <v>149</v>
      </c>
      <c r="J6527" s="31"/>
      <c r="K6527" s="31" t="s">
        <v>150</v>
      </c>
      <c r="L6527" s="45" t="n">
        <f aca="false">DATE(YEAR(B6527),MONTH(B6527),1)</f>
        <v>46266</v>
      </c>
      <c r="M6527" s="31" t="n">
        <f aca="false">WEEKDAY(B6527,2)</f>
        <v>5</v>
      </c>
      <c r="N6527" s="31" t="str">
        <f aca="false">IF(G6527&lt;=INDEX(Assumptions!$B$15:$B$18,MATCH(E6527,Assumptions!$A$15:$A$18,0)),"Yes","No")</f>
        <v>Yes</v>
      </c>
      <c r="O6527" s="31" t="str">
        <f aca="false">IF(H6527="","Open",IF(H6527&lt;=INDEX(Assumptions!$C$15:$C$18,MATCH(E6527,Assumptions!$A$15:$A$18,0)),"Yes","No"))</f>
        <v>Yes</v>
      </c>
    </row>
    <row r="6528" customFormat="false" ht="15" hidden="false" customHeight="false" outlineLevel="0" collapsed="false">
      <c r="A6528" s="31" t="s">
        <v>6678</v>
      </c>
      <c r="B6528" s="44" t="n">
        <v>46290</v>
      </c>
      <c r="C6528" s="31" t="s">
        <v>57</v>
      </c>
      <c r="D6528" s="31" t="s">
        <v>65</v>
      </c>
      <c r="E6528" s="31" t="s">
        <v>51</v>
      </c>
      <c r="F6528" s="31" t="s">
        <v>137</v>
      </c>
      <c r="G6528" s="31" t="n">
        <v>7</v>
      </c>
      <c r="H6528" s="41"/>
      <c r="I6528" s="31" t="s">
        <v>158</v>
      </c>
      <c r="J6528" s="31"/>
      <c r="K6528" s="31" t="s">
        <v>150</v>
      </c>
      <c r="L6528" s="45" t="n">
        <f aca="false">DATE(YEAR(B6528),MONTH(B6528),1)</f>
        <v>46266</v>
      </c>
      <c r="M6528" s="31" t="n">
        <f aca="false">WEEKDAY(B6528,2)</f>
        <v>5</v>
      </c>
      <c r="N6528" s="31" t="str">
        <f aca="false">IF(G6528&lt;=INDEX(Assumptions!$B$15:$B$18,MATCH(E6528,Assumptions!$A$15:$A$18,0)),"Yes","No")</f>
        <v>Yes</v>
      </c>
      <c r="O6528" s="31" t="str">
        <f aca="false">IF(H6528="","Open",IF(H6528&lt;=INDEX(Assumptions!$C$15:$C$18,MATCH(E6528,Assumptions!$A$15:$A$18,0)),"Yes","No"))</f>
        <v>Open</v>
      </c>
    </row>
    <row r="6529" customFormat="false" ht="15" hidden="false" customHeight="false" outlineLevel="0" collapsed="false">
      <c r="A6529" s="31" t="s">
        <v>6679</v>
      </c>
      <c r="B6529" s="44" t="n">
        <v>46290</v>
      </c>
      <c r="C6529" s="31" t="s">
        <v>57</v>
      </c>
      <c r="D6529" s="31" t="s">
        <v>69</v>
      </c>
      <c r="E6529" s="31" t="s">
        <v>51</v>
      </c>
      <c r="F6529" s="31" t="s">
        <v>128</v>
      </c>
      <c r="G6529" s="31" t="n">
        <v>9</v>
      </c>
      <c r="H6529" s="41"/>
      <c r="I6529" s="31" t="s">
        <v>158</v>
      </c>
      <c r="J6529" s="31"/>
      <c r="K6529" s="31" t="s">
        <v>150</v>
      </c>
      <c r="L6529" s="45" t="n">
        <f aca="false">DATE(YEAR(B6529),MONTH(B6529),1)</f>
        <v>46266</v>
      </c>
      <c r="M6529" s="31" t="n">
        <f aca="false">WEEKDAY(B6529,2)</f>
        <v>5</v>
      </c>
      <c r="N6529" s="31" t="str">
        <f aca="false">IF(G6529&lt;=INDEX(Assumptions!$B$15:$B$18,MATCH(E6529,Assumptions!$A$15:$A$18,0)),"Yes","No")</f>
        <v>Yes</v>
      </c>
      <c r="O6529" s="31" t="str">
        <f aca="false">IF(H6529="","Open",IF(H6529&lt;=INDEX(Assumptions!$C$15:$C$18,MATCH(E6529,Assumptions!$A$15:$A$18,0)),"Yes","No"))</f>
        <v>Open</v>
      </c>
    </row>
    <row r="6530" customFormat="false" ht="15" hidden="false" customHeight="false" outlineLevel="0" collapsed="false">
      <c r="A6530" s="31" t="s">
        <v>6680</v>
      </c>
      <c r="B6530" s="44" t="n">
        <v>46290</v>
      </c>
      <c r="C6530" s="31" t="s">
        <v>58</v>
      </c>
      <c r="D6530" s="31" t="s">
        <v>68</v>
      </c>
      <c r="E6530" s="31" t="s">
        <v>49</v>
      </c>
      <c r="F6530" s="31" t="s">
        <v>124</v>
      </c>
      <c r="G6530" s="31" t="n">
        <v>13</v>
      </c>
      <c r="H6530" s="41" t="n">
        <v>2.5</v>
      </c>
      <c r="I6530" s="31" t="s">
        <v>149</v>
      </c>
      <c r="J6530" s="31" t="n">
        <v>4</v>
      </c>
      <c r="K6530" s="31" t="s">
        <v>150</v>
      </c>
      <c r="L6530" s="45" t="n">
        <f aca="false">DATE(YEAR(B6530),MONTH(B6530),1)</f>
        <v>46266</v>
      </c>
      <c r="M6530" s="31" t="n">
        <f aca="false">WEEKDAY(B6530,2)</f>
        <v>5</v>
      </c>
      <c r="N6530" s="31" t="str">
        <f aca="false">IF(G6530&lt;=INDEX(Assumptions!$B$15:$B$18,MATCH(E6530,Assumptions!$A$15:$A$18,0)),"Yes","No")</f>
        <v>Yes</v>
      </c>
      <c r="O6530" s="31" t="str">
        <f aca="false">IF(H6530="","Open",IF(H6530&lt;=INDEX(Assumptions!$C$15:$C$18,MATCH(E6530,Assumptions!$A$15:$A$18,0)),"Yes","No"))</f>
        <v>Yes</v>
      </c>
    </row>
    <row r="6531" customFormat="false" ht="15" hidden="false" customHeight="false" outlineLevel="0" collapsed="false">
      <c r="A6531" s="31" t="s">
        <v>6681</v>
      </c>
      <c r="B6531" s="44" t="n">
        <v>46290</v>
      </c>
      <c r="C6531" s="31" t="s">
        <v>58</v>
      </c>
      <c r="D6531" s="31" t="s">
        <v>65</v>
      </c>
      <c r="E6531" s="31" t="s">
        <v>52</v>
      </c>
      <c r="F6531" s="31" t="s">
        <v>123</v>
      </c>
      <c r="G6531" s="31" t="n">
        <v>38</v>
      </c>
      <c r="H6531" s="41"/>
      <c r="I6531" s="31" t="s">
        <v>158</v>
      </c>
      <c r="J6531" s="31"/>
      <c r="K6531" s="31" t="s">
        <v>150</v>
      </c>
      <c r="L6531" s="45" t="n">
        <f aca="false">DATE(YEAR(B6531),MONTH(B6531),1)</f>
        <v>46266</v>
      </c>
      <c r="M6531" s="31" t="n">
        <f aca="false">WEEKDAY(B6531,2)</f>
        <v>5</v>
      </c>
      <c r="N6531" s="31" t="str">
        <f aca="false">IF(G6531&lt;=INDEX(Assumptions!$B$15:$B$18,MATCH(E6531,Assumptions!$A$15:$A$18,0)),"Yes","No")</f>
        <v>Yes</v>
      </c>
      <c r="O6531" s="31" t="str">
        <f aca="false">IF(H6531="","Open",IF(H6531&lt;=INDEX(Assumptions!$C$15:$C$18,MATCH(E6531,Assumptions!$A$15:$A$18,0)),"Yes","No"))</f>
        <v>Open</v>
      </c>
    </row>
    <row r="6532" customFormat="false" ht="15" hidden="false" customHeight="false" outlineLevel="0" collapsed="false">
      <c r="A6532" s="31" t="s">
        <v>6682</v>
      </c>
      <c r="B6532" s="44" t="n">
        <v>46290</v>
      </c>
      <c r="C6532" s="31" t="s">
        <v>59</v>
      </c>
      <c r="D6532" s="31" t="s">
        <v>67</v>
      </c>
      <c r="E6532" s="31" t="s">
        <v>51</v>
      </c>
      <c r="F6532" s="31" t="s">
        <v>135</v>
      </c>
      <c r="G6532" s="31" t="n">
        <v>102</v>
      </c>
      <c r="H6532" s="41" t="n">
        <v>9.6</v>
      </c>
      <c r="I6532" s="31" t="s">
        <v>149</v>
      </c>
      <c r="J6532" s="31"/>
      <c r="K6532" s="31" t="s">
        <v>150</v>
      </c>
      <c r="L6532" s="45" t="n">
        <f aca="false">DATE(YEAR(B6532),MONTH(B6532),1)</f>
        <v>46266</v>
      </c>
      <c r="M6532" s="31" t="n">
        <f aca="false">WEEKDAY(B6532,2)</f>
        <v>5</v>
      </c>
      <c r="N6532" s="31" t="str">
        <f aca="false">IF(G6532&lt;=INDEX(Assumptions!$B$15:$B$18,MATCH(E6532,Assumptions!$A$15:$A$18,0)),"Yes","No")</f>
        <v>No</v>
      </c>
      <c r="O6532" s="31" t="str">
        <f aca="false">IF(H6532="","Open",IF(H6532&lt;=INDEX(Assumptions!$C$15:$C$18,MATCH(E6532,Assumptions!$A$15:$A$18,0)),"Yes","No"))</f>
        <v>Yes</v>
      </c>
    </row>
    <row r="6533" customFormat="false" ht="15" hidden="false" customHeight="false" outlineLevel="0" collapsed="false">
      <c r="A6533" s="31" t="s">
        <v>6683</v>
      </c>
      <c r="B6533" s="44" t="n">
        <v>46290</v>
      </c>
      <c r="C6533" s="31" t="s">
        <v>59</v>
      </c>
      <c r="D6533" s="31" t="s">
        <v>68</v>
      </c>
      <c r="E6533" s="31" t="s">
        <v>50</v>
      </c>
      <c r="F6533" s="31" t="s">
        <v>117</v>
      </c>
      <c r="G6533" s="31" t="n">
        <v>53</v>
      </c>
      <c r="H6533" s="41" t="n">
        <v>1.3</v>
      </c>
      <c r="I6533" s="31" t="s">
        <v>149</v>
      </c>
      <c r="J6533" s="31" t="n">
        <v>5</v>
      </c>
      <c r="K6533" s="31" t="s">
        <v>150</v>
      </c>
      <c r="L6533" s="45" t="n">
        <f aca="false">DATE(YEAR(B6533),MONTH(B6533),1)</f>
        <v>46266</v>
      </c>
      <c r="M6533" s="31" t="n">
        <f aca="false">WEEKDAY(B6533,2)</f>
        <v>5</v>
      </c>
      <c r="N6533" s="31" t="str">
        <f aca="false">IF(G6533&lt;=INDEX(Assumptions!$B$15:$B$18,MATCH(E6533,Assumptions!$A$15:$A$18,0)),"Yes","No")</f>
        <v>No</v>
      </c>
      <c r="O6533" s="31" t="str">
        <f aca="false">IF(H6533="","Open",IF(H6533&lt;=INDEX(Assumptions!$C$15:$C$18,MATCH(E6533,Assumptions!$A$15:$A$18,0)),"Yes","No"))</f>
        <v>Yes</v>
      </c>
    </row>
    <row r="6534" customFormat="false" ht="15" hidden="false" customHeight="false" outlineLevel="0" collapsed="false">
      <c r="A6534" s="31" t="s">
        <v>6684</v>
      </c>
      <c r="B6534" s="44" t="n">
        <v>46290</v>
      </c>
      <c r="C6534" s="31" t="s">
        <v>57</v>
      </c>
      <c r="D6534" s="31" t="s">
        <v>66</v>
      </c>
      <c r="E6534" s="31" t="s">
        <v>51</v>
      </c>
      <c r="F6534" s="31" t="s">
        <v>123</v>
      </c>
      <c r="G6534" s="31" t="n">
        <v>9</v>
      </c>
      <c r="H6534" s="41" t="n">
        <v>4.5</v>
      </c>
      <c r="I6534" s="31" t="s">
        <v>149</v>
      </c>
      <c r="J6534" s="31"/>
      <c r="K6534" s="31" t="s">
        <v>150</v>
      </c>
      <c r="L6534" s="45" t="n">
        <f aca="false">DATE(YEAR(B6534),MONTH(B6534),1)</f>
        <v>46266</v>
      </c>
      <c r="M6534" s="31" t="n">
        <f aca="false">WEEKDAY(B6534,2)</f>
        <v>5</v>
      </c>
      <c r="N6534" s="31" t="str">
        <f aca="false">IF(G6534&lt;=INDEX(Assumptions!$B$15:$B$18,MATCH(E6534,Assumptions!$A$15:$A$18,0)),"Yes","No")</f>
        <v>Yes</v>
      </c>
      <c r="O6534" s="31" t="str">
        <f aca="false">IF(H6534="","Open",IF(H6534&lt;=INDEX(Assumptions!$C$15:$C$18,MATCH(E6534,Assumptions!$A$15:$A$18,0)),"Yes","No"))</f>
        <v>Yes</v>
      </c>
    </row>
    <row r="6535" customFormat="false" ht="15" hidden="false" customHeight="false" outlineLevel="0" collapsed="false">
      <c r="A6535" s="31" t="s">
        <v>6685</v>
      </c>
      <c r="B6535" s="44" t="n">
        <v>46290</v>
      </c>
      <c r="C6535" s="31" t="s">
        <v>60</v>
      </c>
      <c r="D6535" s="31" t="s">
        <v>66</v>
      </c>
      <c r="E6535" s="31" t="s">
        <v>52</v>
      </c>
      <c r="F6535" s="31" t="s">
        <v>130</v>
      </c>
      <c r="G6535" s="31" t="n">
        <v>1</v>
      </c>
      <c r="H6535" s="41"/>
      <c r="I6535" s="31" t="s">
        <v>158</v>
      </c>
      <c r="J6535" s="31"/>
      <c r="K6535" s="31" t="s">
        <v>150</v>
      </c>
      <c r="L6535" s="45" t="n">
        <f aca="false">DATE(YEAR(B6535),MONTH(B6535),1)</f>
        <v>46266</v>
      </c>
      <c r="M6535" s="31" t="n">
        <f aca="false">WEEKDAY(B6535,2)</f>
        <v>5</v>
      </c>
      <c r="N6535" s="31" t="str">
        <f aca="false">IF(G6535&lt;=INDEX(Assumptions!$B$15:$B$18,MATCH(E6535,Assumptions!$A$15:$A$18,0)),"Yes","No")</f>
        <v>Yes</v>
      </c>
      <c r="O6535" s="31" t="str">
        <f aca="false">IF(H6535="","Open",IF(H6535&lt;=INDEX(Assumptions!$C$15:$C$18,MATCH(E6535,Assumptions!$A$15:$A$18,0)),"Yes","No"))</f>
        <v>Open</v>
      </c>
    </row>
    <row r="6536" customFormat="false" ht="15" hidden="false" customHeight="false" outlineLevel="0" collapsed="false">
      <c r="A6536" s="31" t="s">
        <v>6686</v>
      </c>
      <c r="B6536" s="44" t="n">
        <v>46290</v>
      </c>
      <c r="C6536" s="31" t="s">
        <v>58</v>
      </c>
      <c r="D6536" s="31" t="s">
        <v>66</v>
      </c>
      <c r="E6536" s="31" t="s">
        <v>51</v>
      </c>
      <c r="F6536" s="31" t="s">
        <v>135</v>
      </c>
      <c r="G6536" s="31" t="n">
        <v>20</v>
      </c>
      <c r="H6536" s="41"/>
      <c r="I6536" s="31" t="s">
        <v>158</v>
      </c>
      <c r="J6536" s="31"/>
      <c r="K6536" s="31" t="s">
        <v>150</v>
      </c>
      <c r="L6536" s="45" t="n">
        <f aca="false">DATE(YEAR(B6536),MONTH(B6536),1)</f>
        <v>46266</v>
      </c>
      <c r="M6536" s="31" t="n">
        <f aca="false">WEEKDAY(B6536,2)</f>
        <v>5</v>
      </c>
      <c r="N6536" s="31" t="str">
        <f aca="false">IF(G6536&lt;=INDEX(Assumptions!$B$15:$B$18,MATCH(E6536,Assumptions!$A$15:$A$18,0)),"Yes","No")</f>
        <v>Yes</v>
      </c>
      <c r="O6536" s="31" t="str">
        <f aca="false">IF(H6536="","Open",IF(H6536&lt;=INDEX(Assumptions!$C$15:$C$18,MATCH(E6536,Assumptions!$A$15:$A$18,0)),"Yes","No"))</f>
        <v>Open</v>
      </c>
    </row>
    <row r="6537" customFormat="false" ht="15" hidden="false" customHeight="false" outlineLevel="0" collapsed="false">
      <c r="A6537" s="31" t="s">
        <v>6687</v>
      </c>
      <c r="B6537" s="44" t="n">
        <v>46290</v>
      </c>
      <c r="C6537" s="31" t="s">
        <v>57</v>
      </c>
      <c r="D6537" s="31" t="s">
        <v>66</v>
      </c>
      <c r="E6537" s="31" t="s">
        <v>51</v>
      </c>
      <c r="F6537" s="31" t="s">
        <v>128</v>
      </c>
      <c r="G6537" s="31" t="n">
        <v>21</v>
      </c>
      <c r="H6537" s="41"/>
      <c r="I6537" s="31" t="s">
        <v>158</v>
      </c>
      <c r="J6537" s="31"/>
      <c r="K6537" s="31" t="s">
        <v>150</v>
      </c>
      <c r="L6537" s="45" t="n">
        <f aca="false">DATE(YEAR(B6537),MONTH(B6537),1)</f>
        <v>46266</v>
      </c>
      <c r="M6537" s="31" t="n">
        <f aca="false">WEEKDAY(B6537,2)</f>
        <v>5</v>
      </c>
      <c r="N6537" s="31" t="str">
        <f aca="false">IF(G6537&lt;=INDEX(Assumptions!$B$15:$B$18,MATCH(E6537,Assumptions!$A$15:$A$18,0)),"Yes","No")</f>
        <v>Yes</v>
      </c>
      <c r="O6537" s="31" t="str">
        <f aca="false">IF(H6537="","Open",IF(H6537&lt;=INDEX(Assumptions!$C$15:$C$18,MATCH(E6537,Assumptions!$A$15:$A$18,0)),"Yes","No"))</f>
        <v>Open</v>
      </c>
    </row>
    <row r="6538" customFormat="false" ht="15" hidden="false" customHeight="false" outlineLevel="0" collapsed="false">
      <c r="A6538" s="31" t="s">
        <v>6688</v>
      </c>
      <c r="B6538" s="44" t="n">
        <v>46290</v>
      </c>
      <c r="C6538" s="31" t="s">
        <v>58</v>
      </c>
      <c r="D6538" s="31" t="s">
        <v>65</v>
      </c>
      <c r="E6538" s="31" t="s">
        <v>52</v>
      </c>
      <c r="F6538" s="31" t="s">
        <v>137</v>
      </c>
      <c r="G6538" s="31" t="n">
        <v>17</v>
      </c>
      <c r="H6538" s="41" t="n">
        <v>3.6</v>
      </c>
      <c r="I6538" s="31" t="s">
        <v>149</v>
      </c>
      <c r="J6538" s="31" t="n">
        <v>4</v>
      </c>
      <c r="K6538" s="31" t="s">
        <v>150</v>
      </c>
      <c r="L6538" s="45" t="n">
        <f aca="false">DATE(YEAR(B6538),MONTH(B6538),1)</f>
        <v>46266</v>
      </c>
      <c r="M6538" s="31" t="n">
        <f aca="false">WEEKDAY(B6538,2)</f>
        <v>5</v>
      </c>
      <c r="N6538" s="31" t="str">
        <f aca="false">IF(G6538&lt;=INDEX(Assumptions!$B$15:$B$18,MATCH(E6538,Assumptions!$A$15:$A$18,0)),"Yes","No")</f>
        <v>Yes</v>
      </c>
      <c r="O6538" s="31" t="str">
        <f aca="false">IF(H6538="","Open",IF(H6538&lt;=INDEX(Assumptions!$C$15:$C$18,MATCH(E6538,Assumptions!$A$15:$A$18,0)),"Yes","No"))</f>
        <v>Yes</v>
      </c>
    </row>
    <row r="6539" customFormat="false" ht="15" hidden="false" customHeight="false" outlineLevel="0" collapsed="false">
      <c r="A6539" s="31" t="s">
        <v>6689</v>
      </c>
      <c r="B6539" s="44" t="n">
        <v>46290</v>
      </c>
      <c r="C6539" s="31" t="s">
        <v>60</v>
      </c>
      <c r="D6539" s="31" t="s">
        <v>65</v>
      </c>
      <c r="E6539" s="31" t="s">
        <v>51</v>
      </c>
      <c r="F6539" s="31" t="s">
        <v>117</v>
      </c>
      <c r="G6539" s="31" t="n">
        <v>1</v>
      </c>
      <c r="H6539" s="41" t="n">
        <v>11.7</v>
      </c>
      <c r="I6539" s="31" t="s">
        <v>64</v>
      </c>
      <c r="J6539" s="31" t="n">
        <v>4</v>
      </c>
      <c r="K6539" s="31" t="s">
        <v>153</v>
      </c>
      <c r="L6539" s="45" t="n">
        <f aca="false">DATE(YEAR(B6539),MONTH(B6539),1)</f>
        <v>46266</v>
      </c>
      <c r="M6539" s="31" t="n">
        <f aca="false">WEEKDAY(B6539,2)</f>
        <v>5</v>
      </c>
      <c r="N6539" s="31" t="str">
        <f aca="false">IF(G6539&lt;=INDEX(Assumptions!$B$15:$B$18,MATCH(E6539,Assumptions!$A$15:$A$18,0)),"Yes","No")</f>
        <v>Yes</v>
      </c>
      <c r="O6539" s="31" t="str">
        <f aca="false">IF(H6539="","Open",IF(H6539&lt;=INDEX(Assumptions!$C$15:$C$18,MATCH(E6539,Assumptions!$A$15:$A$18,0)),"Yes","No"))</f>
        <v>Yes</v>
      </c>
    </row>
    <row r="6540" customFormat="false" ht="15" hidden="false" customHeight="false" outlineLevel="0" collapsed="false">
      <c r="A6540" s="31" t="s">
        <v>6690</v>
      </c>
      <c r="B6540" s="44" t="n">
        <v>46290</v>
      </c>
      <c r="C6540" s="31" t="s">
        <v>57</v>
      </c>
      <c r="D6540" s="31" t="s">
        <v>67</v>
      </c>
      <c r="E6540" s="31" t="s">
        <v>52</v>
      </c>
      <c r="F6540" s="31" t="s">
        <v>119</v>
      </c>
      <c r="G6540" s="31" t="n">
        <v>11</v>
      </c>
      <c r="H6540" s="41"/>
      <c r="I6540" s="31" t="s">
        <v>158</v>
      </c>
      <c r="J6540" s="31"/>
      <c r="K6540" s="31" t="s">
        <v>150</v>
      </c>
      <c r="L6540" s="45" t="n">
        <f aca="false">DATE(YEAR(B6540),MONTH(B6540),1)</f>
        <v>46266</v>
      </c>
      <c r="M6540" s="31" t="n">
        <f aca="false">WEEKDAY(B6540,2)</f>
        <v>5</v>
      </c>
      <c r="N6540" s="31" t="str">
        <f aca="false">IF(G6540&lt;=INDEX(Assumptions!$B$15:$B$18,MATCH(E6540,Assumptions!$A$15:$A$18,0)),"Yes","No")</f>
        <v>Yes</v>
      </c>
      <c r="O6540" s="31" t="str">
        <f aca="false">IF(H6540="","Open",IF(H6540&lt;=INDEX(Assumptions!$C$15:$C$18,MATCH(E6540,Assumptions!$A$15:$A$18,0)),"Yes","No"))</f>
        <v>Open</v>
      </c>
    </row>
    <row r="6541" customFormat="false" ht="15" hidden="false" customHeight="false" outlineLevel="0" collapsed="false">
      <c r="A6541" s="31" t="s">
        <v>6691</v>
      </c>
      <c r="B6541" s="44" t="n">
        <v>46290</v>
      </c>
      <c r="C6541" s="31" t="s">
        <v>57</v>
      </c>
      <c r="D6541" s="31" t="s">
        <v>66</v>
      </c>
      <c r="E6541" s="31" t="s">
        <v>51</v>
      </c>
      <c r="F6541" s="31" t="s">
        <v>134</v>
      </c>
      <c r="G6541" s="31" t="n">
        <v>2</v>
      </c>
      <c r="H6541" s="41"/>
      <c r="I6541" s="31" t="s">
        <v>158</v>
      </c>
      <c r="J6541" s="31"/>
      <c r="K6541" s="31" t="s">
        <v>150</v>
      </c>
      <c r="L6541" s="45" t="n">
        <f aca="false">DATE(YEAR(B6541),MONTH(B6541),1)</f>
        <v>46266</v>
      </c>
      <c r="M6541" s="31" t="n">
        <f aca="false">WEEKDAY(B6541,2)</f>
        <v>5</v>
      </c>
      <c r="N6541" s="31" t="str">
        <f aca="false">IF(G6541&lt;=INDEX(Assumptions!$B$15:$B$18,MATCH(E6541,Assumptions!$A$15:$A$18,0)),"Yes","No")</f>
        <v>Yes</v>
      </c>
      <c r="O6541" s="31" t="str">
        <f aca="false">IF(H6541="","Open",IF(H6541&lt;=INDEX(Assumptions!$C$15:$C$18,MATCH(E6541,Assumptions!$A$15:$A$18,0)),"Yes","No"))</f>
        <v>Open</v>
      </c>
    </row>
    <row r="6542" customFormat="false" ht="15" hidden="false" customHeight="false" outlineLevel="0" collapsed="false">
      <c r="A6542" s="31" t="s">
        <v>6692</v>
      </c>
      <c r="B6542" s="44" t="n">
        <v>46290</v>
      </c>
      <c r="C6542" s="31" t="s">
        <v>60</v>
      </c>
      <c r="D6542" s="31" t="s">
        <v>65</v>
      </c>
      <c r="E6542" s="31" t="s">
        <v>51</v>
      </c>
      <c r="F6542" s="31" t="s">
        <v>133</v>
      </c>
      <c r="G6542" s="31" t="n">
        <v>2</v>
      </c>
      <c r="H6542" s="41"/>
      <c r="I6542" s="31" t="s">
        <v>158</v>
      </c>
      <c r="J6542" s="31"/>
      <c r="K6542" s="31" t="s">
        <v>150</v>
      </c>
      <c r="L6542" s="45" t="n">
        <f aca="false">DATE(YEAR(B6542),MONTH(B6542),1)</f>
        <v>46266</v>
      </c>
      <c r="M6542" s="31" t="n">
        <f aca="false">WEEKDAY(B6542,2)</f>
        <v>5</v>
      </c>
      <c r="N6542" s="31" t="str">
        <f aca="false">IF(G6542&lt;=INDEX(Assumptions!$B$15:$B$18,MATCH(E6542,Assumptions!$A$15:$A$18,0)),"Yes","No")</f>
        <v>Yes</v>
      </c>
      <c r="O6542" s="31" t="str">
        <f aca="false">IF(H6542="","Open",IF(H6542&lt;=INDEX(Assumptions!$C$15:$C$18,MATCH(E6542,Assumptions!$A$15:$A$18,0)),"Yes","No"))</f>
        <v>Open</v>
      </c>
    </row>
    <row r="6543" customFormat="false" ht="15" hidden="false" customHeight="false" outlineLevel="0" collapsed="false">
      <c r="A6543" s="31" t="s">
        <v>6693</v>
      </c>
      <c r="B6543" s="44" t="n">
        <v>46290</v>
      </c>
      <c r="C6543" s="31" t="s">
        <v>57</v>
      </c>
      <c r="D6543" s="31" t="s">
        <v>69</v>
      </c>
      <c r="E6543" s="31" t="s">
        <v>51</v>
      </c>
      <c r="F6543" s="31" t="s">
        <v>119</v>
      </c>
      <c r="G6543" s="31" t="n">
        <v>3</v>
      </c>
      <c r="H6543" s="41"/>
      <c r="I6543" s="31" t="s">
        <v>158</v>
      </c>
      <c r="J6543" s="31"/>
      <c r="K6543" s="31" t="s">
        <v>150</v>
      </c>
      <c r="L6543" s="45" t="n">
        <f aca="false">DATE(YEAR(B6543),MONTH(B6543),1)</f>
        <v>46266</v>
      </c>
      <c r="M6543" s="31" t="n">
        <f aca="false">WEEKDAY(B6543,2)</f>
        <v>5</v>
      </c>
      <c r="N6543" s="31" t="str">
        <f aca="false">IF(G6543&lt;=INDEX(Assumptions!$B$15:$B$18,MATCH(E6543,Assumptions!$A$15:$A$18,0)),"Yes","No")</f>
        <v>Yes</v>
      </c>
      <c r="O6543" s="31" t="str">
        <f aca="false">IF(H6543="","Open",IF(H6543&lt;=INDEX(Assumptions!$C$15:$C$18,MATCH(E6543,Assumptions!$A$15:$A$18,0)),"Yes","No"))</f>
        <v>Open</v>
      </c>
    </row>
    <row r="6544" customFormat="false" ht="15" hidden="false" customHeight="false" outlineLevel="0" collapsed="false">
      <c r="A6544" s="31" t="s">
        <v>6694</v>
      </c>
      <c r="B6544" s="44" t="n">
        <v>46290</v>
      </c>
      <c r="C6544" s="31" t="s">
        <v>58</v>
      </c>
      <c r="D6544" s="31" t="s">
        <v>69</v>
      </c>
      <c r="E6544" s="31" t="s">
        <v>51</v>
      </c>
      <c r="F6544" s="31" t="s">
        <v>134</v>
      </c>
      <c r="G6544" s="31" t="n">
        <v>24</v>
      </c>
      <c r="H6544" s="41"/>
      <c r="I6544" s="31" t="s">
        <v>158</v>
      </c>
      <c r="J6544" s="31"/>
      <c r="K6544" s="31" t="s">
        <v>150</v>
      </c>
      <c r="L6544" s="45" t="n">
        <f aca="false">DATE(YEAR(B6544),MONTH(B6544),1)</f>
        <v>46266</v>
      </c>
      <c r="M6544" s="31" t="n">
        <f aca="false">WEEKDAY(B6544,2)</f>
        <v>5</v>
      </c>
      <c r="N6544" s="31" t="str">
        <f aca="false">IF(G6544&lt;=INDEX(Assumptions!$B$15:$B$18,MATCH(E6544,Assumptions!$A$15:$A$18,0)),"Yes","No")</f>
        <v>Yes</v>
      </c>
      <c r="O6544" s="31" t="str">
        <f aca="false">IF(H6544="","Open",IF(H6544&lt;=INDEX(Assumptions!$C$15:$C$18,MATCH(E6544,Assumptions!$A$15:$A$18,0)),"Yes","No"))</f>
        <v>Open</v>
      </c>
    </row>
    <row r="6545" customFormat="false" ht="15" hidden="false" customHeight="false" outlineLevel="0" collapsed="false">
      <c r="A6545" s="31" t="s">
        <v>6695</v>
      </c>
      <c r="B6545" s="44" t="n">
        <v>46290</v>
      </c>
      <c r="C6545" s="31" t="s">
        <v>57</v>
      </c>
      <c r="D6545" s="31" t="s">
        <v>69</v>
      </c>
      <c r="E6545" s="31" t="s">
        <v>50</v>
      </c>
      <c r="F6545" s="31" t="s">
        <v>123</v>
      </c>
      <c r="G6545" s="31" t="n">
        <v>3</v>
      </c>
      <c r="H6545" s="41" t="n">
        <v>8.7</v>
      </c>
      <c r="I6545" s="31" t="s">
        <v>149</v>
      </c>
      <c r="J6545" s="31" t="n">
        <v>4</v>
      </c>
      <c r="K6545" s="31" t="s">
        <v>150</v>
      </c>
      <c r="L6545" s="45" t="n">
        <f aca="false">DATE(YEAR(B6545),MONTH(B6545),1)</f>
        <v>46266</v>
      </c>
      <c r="M6545" s="31" t="n">
        <f aca="false">WEEKDAY(B6545,2)</f>
        <v>5</v>
      </c>
      <c r="N6545" s="31" t="str">
        <f aca="false">IF(G6545&lt;=INDEX(Assumptions!$B$15:$B$18,MATCH(E6545,Assumptions!$A$15:$A$18,0)),"Yes","No")</f>
        <v>Yes</v>
      </c>
      <c r="O6545" s="31" t="str">
        <f aca="false">IF(H6545="","Open",IF(H6545&lt;=INDEX(Assumptions!$C$15:$C$18,MATCH(E6545,Assumptions!$A$15:$A$18,0)),"Yes","No"))</f>
        <v>No</v>
      </c>
    </row>
    <row r="6546" customFormat="false" ht="15" hidden="false" customHeight="false" outlineLevel="0" collapsed="false">
      <c r="A6546" s="31" t="s">
        <v>6696</v>
      </c>
      <c r="B6546" s="44" t="n">
        <v>46290</v>
      </c>
      <c r="C6546" s="31" t="s">
        <v>57</v>
      </c>
      <c r="D6546" s="31" t="s">
        <v>69</v>
      </c>
      <c r="E6546" s="31" t="s">
        <v>51</v>
      </c>
      <c r="F6546" s="31" t="s">
        <v>123</v>
      </c>
      <c r="G6546" s="31" t="n">
        <v>4</v>
      </c>
      <c r="H6546" s="41" t="n">
        <v>41.1</v>
      </c>
      <c r="I6546" s="31" t="s">
        <v>149</v>
      </c>
      <c r="J6546" s="31" t="n">
        <v>3</v>
      </c>
      <c r="K6546" s="31" t="s">
        <v>150</v>
      </c>
      <c r="L6546" s="45" t="n">
        <f aca="false">DATE(YEAR(B6546),MONTH(B6546),1)</f>
        <v>46266</v>
      </c>
      <c r="M6546" s="31" t="n">
        <f aca="false">WEEKDAY(B6546,2)</f>
        <v>5</v>
      </c>
      <c r="N6546" s="31" t="str">
        <f aca="false">IF(G6546&lt;=INDEX(Assumptions!$B$15:$B$18,MATCH(E6546,Assumptions!$A$15:$A$18,0)),"Yes","No")</f>
        <v>Yes</v>
      </c>
      <c r="O6546" s="31" t="str">
        <f aca="false">IF(H6546="","Open",IF(H6546&lt;=INDEX(Assumptions!$C$15:$C$18,MATCH(E6546,Assumptions!$A$15:$A$18,0)),"Yes","No"))</f>
        <v>No</v>
      </c>
    </row>
    <row r="6547" customFormat="false" ht="15" hidden="false" customHeight="false" outlineLevel="0" collapsed="false">
      <c r="A6547" s="31" t="s">
        <v>6697</v>
      </c>
      <c r="B6547" s="44" t="n">
        <v>46290</v>
      </c>
      <c r="C6547" s="31" t="s">
        <v>57</v>
      </c>
      <c r="D6547" s="31" t="s">
        <v>65</v>
      </c>
      <c r="E6547" s="31" t="s">
        <v>52</v>
      </c>
      <c r="F6547" s="31" t="s">
        <v>120</v>
      </c>
      <c r="G6547" s="31" t="n">
        <v>12</v>
      </c>
      <c r="H6547" s="41"/>
      <c r="I6547" s="31" t="s">
        <v>158</v>
      </c>
      <c r="J6547" s="31"/>
      <c r="K6547" s="31" t="s">
        <v>150</v>
      </c>
      <c r="L6547" s="45" t="n">
        <f aca="false">DATE(YEAR(B6547),MONTH(B6547),1)</f>
        <v>46266</v>
      </c>
      <c r="M6547" s="31" t="n">
        <f aca="false">WEEKDAY(B6547,2)</f>
        <v>5</v>
      </c>
      <c r="N6547" s="31" t="str">
        <f aca="false">IF(G6547&lt;=INDEX(Assumptions!$B$15:$B$18,MATCH(E6547,Assumptions!$A$15:$A$18,0)),"Yes","No")</f>
        <v>Yes</v>
      </c>
      <c r="O6547" s="31" t="str">
        <f aca="false">IF(H6547="","Open",IF(H6547&lt;=INDEX(Assumptions!$C$15:$C$18,MATCH(E6547,Assumptions!$A$15:$A$18,0)),"Yes","No"))</f>
        <v>Open</v>
      </c>
    </row>
    <row r="6548" customFormat="false" ht="15" hidden="false" customHeight="false" outlineLevel="0" collapsed="false">
      <c r="A6548" s="31" t="s">
        <v>6698</v>
      </c>
      <c r="B6548" s="44" t="n">
        <v>46291</v>
      </c>
      <c r="C6548" s="31" t="s">
        <v>59</v>
      </c>
      <c r="D6548" s="31" t="s">
        <v>65</v>
      </c>
      <c r="E6548" s="31" t="s">
        <v>52</v>
      </c>
      <c r="F6548" s="31" t="s">
        <v>123</v>
      </c>
      <c r="G6548" s="31" t="n">
        <v>152</v>
      </c>
      <c r="H6548" s="41" t="n">
        <v>39.7</v>
      </c>
      <c r="I6548" s="31" t="s">
        <v>64</v>
      </c>
      <c r="J6548" s="31"/>
      <c r="K6548" s="31" t="s">
        <v>150</v>
      </c>
      <c r="L6548" s="45" t="n">
        <f aca="false">DATE(YEAR(B6548),MONTH(B6548),1)</f>
        <v>46266</v>
      </c>
      <c r="M6548" s="31" t="n">
        <f aca="false">WEEKDAY(B6548,2)</f>
        <v>6</v>
      </c>
      <c r="N6548" s="31" t="str">
        <f aca="false">IF(G6548&lt;=INDEX(Assumptions!$B$15:$B$18,MATCH(E6548,Assumptions!$A$15:$A$18,0)),"Yes","No")</f>
        <v>Yes</v>
      </c>
      <c r="O6548" s="31" t="str">
        <f aca="false">IF(H6548="","Open",IF(H6548&lt;=INDEX(Assumptions!$C$15:$C$18,MATCH(E6548,Assumptions!$A$15:$A$18,0)),"Yes","No"))</f>
        <v>Yes</v>
      </c>
    </row>
    <row r="6549" customFormat="false" ht="15" hidden="false" customHeight="false" outlineLevel="0" collapsed="false">
      <c r="A6549" s="31" t="s">
        <v>6699</v>
      </c>
      <c r="B6549" s="44" t="n">
        <v>46291</v>
      </c>
      <c r="C6549" s="31" t="s">
        <v>57</v>
      </c>
      <c r="D6549" s="31" t="s">
        <v>65</v>
      </c>
      <c r="E6549" s="31" t="s">
        <v>50</v>
      </c>
      <c r="F6549" s="31" t="s">
        <v>117</v>
      </c>
      <c r="G6549" s="31" t="n">
        <v>4</v>
      </c>
      <c r="H6549" s="41"/>
      <c r="I6549" s="31" t="s">
        <v>158</v>
      </c>
      <c r="J6549" s="31"/>
      <c r="K6549" s="31" t="s">
        <v>150</v>
      </c>
      <c r="L6549" s="45" t="n">
        <f aca="false">DATE(YEAR(B6549),MONTH(B6549),1)</f>
        <v>46266</v>
      </c>
      <c r="M6549" s="31" t="n">
        <f aca="false">WEEKDAY(B6549,2)</f>
        <v>6</v>
      </c>
      <c r="N6549" s="31" t="str">
        <f aca="false">IF(G6549&lt;=INDEX(Assumptions!$B$15:$B$18,MATCH(E6549,Assumptions!$A$15:$A$18,0)),"Yes","No")</f>
        <v>Yes</v>
      </c>
      <c r="O6549" s="31" t="str">
        <f aca="false">IF(H6549="","Open",IF(H6549&lt;=INDEX(Assumptions!$C$15:$C$18,MATCH(E6549,Assumptions!$A$15:$A$18,0)),"Yes","No"))</f>
        <v>Open</v>
      </c>
    </row>
    <row r="6550" customFormat="false" ht="15" hidden="false" customHeight="false" outlineLevel="0" collapsed="false">
      <c r="A6550" s="31" t="s">
        <v>6700</v>
      </c>
      <c r="B6550" s="44" t="n">
        <v>46291</v>
      </c>
      <c r="C6550" s="31" t="s">
        <v>59</v>
      </c>
      <c r="D6550" s="31" t="s">
        <v>67</v>
      </c>
      <c r="E6550" s="31" t="s">
        <v>50</v>
      </c>
      <c r="F6550" s="31" t="s">
        <v>136</v>
      </c>
      <c r="G6550" s="31" t="n">
        <v>172</v>
      </c>
      <c r="H6550" s="41" t="n">
        <v>37.1</v>
      </c>
      <c r="I6550" s="31" t="s">
        <v>64</v>
      </c>
      <c r="J6550" s="31" t="n">
        <v>2</v>
      </c>
      <c r="K6550" s="31" t="s">
        <v>150</v>
      </c>
      <c r="L6550" s="45" t="n">
        <f aca="false">DATE(YEAR(B6550),MONTH(B6550),1)</f>
        <v>46266</v>
      </c>
      <c r="M6550" s="31" t="n">
        <f aca="false">WEEKDAY(B6550,2)</f>
        <v>6</v>
      </c>
      <c r="N6550" s="31" t="str">
        <f aca="false">IF(G6550&lt;=INDEX(Assumptions!$B$15:$B$18,MATCH(E6550,Assumptions!$A$15:$A$18,0)),"Yes","No")</f>
        <v>No</v>
      </c>
      <c r="O6550" s="31" t="str">
        <f aca="false">IF(H6550="","Open",IF(H6550&lt;=INDEX(Assumptions!$C$15:$C$18,MATCH(E6550,Assumptions!$A$15:$A$18,0)),"Yes","No"))</f>
        <v>No</v>
      </c>
    </row>
    <row r="6551" customFormat="false" ht="15" hidden="false" customHeight="false" outlineLevel="0" collapsed="false">
      <c r="A6551" s="31" t="s">
        <v>6701</v>
      </c>
      <c r="B6551" s="44" t="n">
        <v>46291</v>
      </c>
      <c r="C6551" s="31" t="s">
        <v>59</v>
      </c>
      <c r="D6551" s="31" t="s">
        <v>66</v>
      </c>
      <c r="E6551" s="31" t="s">
        <v>51</v>
      </c>
      <c r="F6551" s="31" t="s">
        <v>136</v>
      </c>
      <c r="G6551" s="31" t="n">
        <v>54</v>
      </c>
      <c r="H6551" s="41" t="n">
        <v>18.1</v>
      </c>
      <c r="I6551" s="31" t="s">
        <v>64</v>
      </c>
      <c r="J6551" s="31" t="n">
        <v>5</v>
      </c>
      <c r="K6551" s="31" t="s">
        <v>153</v>
      </c>
      <c r="L6551" s="45" t="n">
        <f aca="false">DATE(YEAR(B6551),MONTH(B6551),1)</f>
        <v>46266</v>
      </c>
      <c r="M6551" s="31" t="n">
        <f aca="false">WEEKDAY(B6551,2)</f>
        <v>6</v>
      </c>
      <c r="N6551" s="31" t="str">
        <f aca="false">IF(G6551&lt;=INDEX(Assumptions!$B$15:$B$18,MATCH(E6551,Assumptions!$A$15:$A$18,0)),"Yes","No")</f>
        <v>Yes</v>
      </c>
      <c r="O6551" s="31" t="str">
        <f aca="false">IF(H6551="","Open",IF(H6551&lt;=INDEX(Assumptions!$C$15:$C$18,MATCH(E6551,Assumptions!$A$15:$A$18,0)),"Yes","No"))</f>
        <v>Yes</v>
      </c>
    </row>
    <row r="6552" customFormat="false" ht="15" hidden="false" customHeight="false" outlineLevel="0" collapsed="false">
      <c r="A6552" s="31" t="s">
        <v>6702</v>
      </c>
      <c r="B6552" s="44" t="n">
        <v>46291</v>
      </c>
      <c r="C6552" s="31" t="s">
        <v>58</v>
      </c>
      <c r="D6552" s="31" t="s">
        <v>65</v>
      </c>
      <c r="E6552" s="31" t="s">
        <v>51</v>
      </c>
      <c r="F6552" s="31" t="s">
        <v>122</v>
      </c>
      <c r="G6552" s="31" t="n">
        <v>4</v>
      </c>
      <c r="H6552" s="41" t="n">
        <v>7.3</v>
      </c>
      <c r="I6552" s="31" t="s">
        <v>149</v>
      </c>
      <c r="J6552" s="31"/>
      <c r="K6552" s="31" t="s">
        <v>150</v>
      </c>
      <c r="L6552" s="45" t="n">
        <f aca="false">DATE(YEAR(B6552),MONTH(B6552),1)</f>
        <v>46266</v>
      </c>
      <c r="M6552" s="31" t="n">
        <f aca="false">WEEKDAY(B6552,2)</f>
        <v>6</v>
      </c>
      <c r="N6552" s="31" t="str">
        <f aca="false">IF(G6552&lt;=INDEX(Assumptions!$B$15:$B$18,MATCH(E6552,Assumptions!$A$15:$A$18,0)),"Yes","No")</f>
        <v>Yes</v>
      </c>
      <c r="O6552" s="31" t="str">
        <f aca="false">IF(H6552="","Open",IF(H6552&lt;=INDEX(Assumptions!$C$15:$C$18,MATCH(E6552,Assumptions!$A$15:$A$18,0)),"Yes","No"))</f>
        <v>Yes</v>
      </c>
    </row>
    <row r="6553" customFormat="false" ht="15" hidden="false" customHeight="false" outlineLevel="0" collapsed="false">
      <c r="A6553" s="31" t="s">
        <v>6703</v>
      </c>
      <c r="B6553" s="44" t="n">
        <v>46291</v>
      </c>
      <c r="C6553" s="31" t="s">
        <v>60</v>
      </c>
      <c r="D6553" s="31" t="s">
        <v>69</v>
      </c>
      <c r="E6553" s="31" t="s">
        <v>52</v>
      </c>
      <c r="F6553" s="31" t="s">
        <v>136</v>
      </c>
      <c r="G6553" s="31" t="n">
        <v>1</v>
      </c>
      <c r="H6553" s="41"/>
      <c r="I6553" s="31" t="s">
        <v>158</v>
      </c>
      <c r="J6553" s="31"/>
      <c r="K6553" s="31" t="s">
        <v>150</v>
      </c>
      <c r="L6553" s="45" t="n">
        <f aca="false">DATE(YEAR(B6553),MONTH(B6553),1)</f>
        <v>46266</v>
      </c>
      <c r="M6553" s="31" t="n">
        <f aca="false">WEEKDAY(B6553,2)</f>
        <v>6</v>
      </c>
      <c r="N6553" s="31" t="str">
        <f aca="false">IF(G6553&lt;=INDEX(Assumptions!$B$15:$B$18,MATCH(E6553,Assumptions!$A$15:$A$18,0)),"Yes","No")</f>
        <v>Yes</v>
      </c>
      <c r="O6553" s="31" t="str">
        <f aca="false">IF(H6553="","Open",IF(H6553&lt;=INDEX(Assumptions!$C$15:$C$18,MATCH(E6553,Assumptions!$A$15:$A$18,0)),"Yes","No"))</f>
        <v>Open</v>
      </c>
    </row>
    <row r="6554" customFormat="false" ht="15" hidden="false" customHeight="false" outlineLevel="0" collapsed="false">
      <c r="A6554" s="31" t="s">
        <v>6704</v>
      </c>
      <c r="B6554" s="44" t="n">
        <v>46291</v>
      </c>
      <c r="C6554" s="31" t="s">
        <v>59</v>
      </c>
      <c r="D6554" s="31" t="s">
        <v>67</v>
      </c>
      <c r="E6554" s="31" t="s">
        <v>51</v>
      </c>
      <c r="F6554" s="31" t="s">
        <v>137</v>
      </c>
      <c r="G6554" s="31" t="n">
        <v>129</v>
      </c>
      <c r="H6554" s="41" t="n">
        <v>11.8</v>
      </c>
      <c r="I6554" s="31" t="s">
        <v>149</v>
      </c>
      <c r="J6554" s="31"/>
      <c r="K6554" s="31" t="s">
        <v>150</v>
      </c>
      <c r="L6554" s="45" t="n">
        <f aca="false">DATE(YEAR(B6554),MONTH(B6554),1)</f>
        <v>46266</v>
      </c>
      <c r="M6554" s="31" t="n">
        <f aca="false">WEEKDAY(B6554,2)</f>
        <v>6</v>
      </c>
      <c r="N6554" s="31" t="str">
        <f aca="false">IF(G6554&lt;=INDEX(Assumptions!$B$15:$B$18,MATCH(E6554,Assumptions!$A$15:$A$18,0)),"Yes","No")</f>
        <v>No</v>
      </c>
      <c r="O6554" s="31" t="str">
        <f aca="false">IF(H6554="","Open",IF(H6554&lt;=INDEX(Assumptions!$C$15:$C$18,MATCH(E6554,Assumptions!$A$15:$A$18,0)),"Yes","No"))</f>
        <v>Yes</v>
      </c>
    </row>
    <row r="6555" customFormat="false" ht="15" hidden="false" customHeight="false" outlineLevel="0" collapsed="false">
      <c r="A6555" s="31" t="s">
        <v>6705</v>
      </c>
      <c r="B6555" s="44" t="n">
        <v>46291</v>
      </c>
      <c r="C6555" s="31" t="s">
        <v>57</v>
      </c>
      <c r="D6555" s="31" t="s">
        <v>66</v>
      </c>
      <c r="E6555" s="31" t="s">
        <v>50</v>
      </c>
      <c r="F6555" s="31" t="s">
        <v>130</v>
      </c>
      <c r="G6555" s="31" t="n">
        <v>4</v>
      </c>
      <c r="H6555" s="41"/>
      <c r="I6555" s="31" t="s">
        <v>158</v>
      </c>
      <c r="J6555" s="31"/>
      <c r="K6555" s="31" t="s">
        <v>150</v>
      </c>
      <c r="L6555" s="45" t="n">
        <f aca="false">DATE(YEAR(B6555),MONTH(B6555),1)</f>
        <v>46266</v>
      </c>
      <c r="M6555" s="31" t="n">
        <f aca="false">WEEKDAY(B6555,2)</f>
        <v>6</v>
      </c>
      <c r="N6555" s="31" t="str">
        <f aca="false">IF(G6555&lt;=INDEX(Assumptions!$B$15:$B$18,MATCH(E6555,Assumptions!$A$15:$A$18,0)),"Yes","No")</f>
        <v>Yes</v>
      </c>
      <c r="O6555" s="31" t="str">
        <f aca="false">IF(H6555="","Open",IF(H6555&lt;=INDEX(Assumptions!$C$15:$C$18,MATCH(E6555,Assumptions!$A$15:$A$18,0)),"Yes","No"))</f>
        <v>Open</v>
      </c>
    </row>
    <row r="6556" customFormat="false" ht="15" hidden="false" customHeight="false" outlineLevel="0" collapsed="false">
      <c r="A6556" s="31" t="s">
        <v>6706</v>
      </c>
      <c r="B6556" s="44" t="n">
        <v>46291</v>
      </c>
      <c r="C6556" s="31" t="s">
        <v>57</v>
      </c>
      <c r="D6556" s="31" t="s">
        <v>65</v>
      </c>
      <c r="E6556" s="31" t="s">
        <v>52</v>
      </c>
      <c r="F6556" s="31" t="s">
        <v>123</v>
      </c>
      <c r="G6556" s="31" t="n">
        <v>2</v>
      </c>
      <c r="H6556" s="41" t="n">
        <v>16.6</v>
      </c>
      <c r="I6556" s="31" t="s">
        <v>149</v>
      </c>
      <c r="J6556" s="31" t="n">
        <v>4</v>
      </c>
      <c r="K6556" s="31" t="s">
        <v>150</v>
      </c>
      <c r="L6556" s="45" t="n">
        <f aca="false">DATE(YEAR(B6556),MONTH(B6556),1)</f>
        <v>46266</v>
      </c>
      <c r="M6556" s="31" t="n">
        <f aca="false">WEEKDAY(B6556,2)</f>
        <v>6</v>
      </c>
      <c r="N6556" s="31" t="str">
        <f aca="false">IF(G6556&lt;=INDEX(Assumptions!$B$15:$B$18,MATCH(E6556,Assumptions!$A$15:$A$18,0)),"Yes","No")</f>
        <v>Yes</v>
      </c>
      <c r="O6556" s="31" t="str">
        <f aca="false">IF(H6556="","Open",IF(H6556&lt;=INDEX(Assumptions!$C$15:$C$18,MATCH(E6556,Assumptions!$A$15:$A$18,0)),"Yes","No"))</f>
        <v>Yes</v>
      </c>
    </row>
    <row r="6557" customFormat="false" ht="15" hidden="false" customHeight="false" outlineLevel="0" collapsed="false">
      <c r="A6557" s="31" t="s">
        <v>6707</v>
      </c>
      <c r="B6557" s="44" t="n">
        <v>46291</v>
      </c>
      <c r="C6557" s="31" t="s">
        <v>60</v>
      </c>
      <c r="D6557" s="31" t="s">
        <v>65</v>
      </c>
      <c r="E6557" s="31" t="s">
        <v>51</v>
      </c>
      <c r="F6557" s="31" t="s">
        <v>120</v>
      </c>
      <c r="G6557" s="31" t="n">
        <v>7</v>
      </c>
      <c r="H6557" s="41" t="n">
        <v>8</v>
      </c>
      <c r="I6557" s="31" t="s">
        <v>149</v>
      </c>
      <c r="J6557" s="31" t="n">
        <v>5</v>
      </c>
      <c r="K6557" s="31" t="s">
        <v>150</v>
      </c>
      <c r="L6557" s="45" t="n">
        <f aca="false">DATE(YEAR(B6557),MONTH(B6557),1)</f>
        <v>46266</v>
      </c>
      <c r="M6557" s="31" t="n">
        <f aca="false">WEEKDAY(B6557,2)</f>
        <v>6</v>
      </c>
      <c r="N6557" s="31" t="str">
        <f aca="false">IF(G6557&lt;=INDEX(Assumptions!$B$15:$B$18,MATCH(E6557,Assumptions!$A$15:$A$18,0)),"Yes","No")</f>
        <v>Yes</v>
      </c>
      <c r="O6557" s="31" t="str">
        <f aca="false">IF(H6557="","Open",IF(H6557&lt;=INDEX(Assumptions!$C$15:$C$18,MATCH(E6557,Assumptions!$A$15:$A$18,0)),"Yes","No"))</f>
        <v>Yes</v>
      </c>
    </row>
    <row r="6558" customFormat="false" ht="15" hidden="false" customHeight="false" outlineLevel="0" collapsed="false">
      <c r="A6558" s="31" t="s">
        <v>6708</v>
      </c>
      <c r="B6558" s="44" t="n">
        <v>46291</v>
      </c>
      <c r="C6558" s="31" t="s">
        <v>57</v>
      </c>
      <c r="D6558" s="31" t="s">
        <v>69</v>
      </c>
      <c r="E6558" s="31" t="s">
        <v>52</v>
      </c>
      <c r="F6558" s="31" t="s">
        <v>135</v>
      </c>
      <c r="G6558" s="31" t="n">
        <v>5</v>
      </c>
      <c r="H6558" s="41"/>
      <c r="I6558" s="31" t="s">
        <v>158</v>
      </c>
      <c r="J6558" s="31"/>
      <c r="K6558" s="31" t="s">
        <v>150</v>
      </c>
      <c r="L6558" s="45" t="n">
        <f aca="false">DATE(YEAR(B6558),MONTH(B6558),1)</f>
        <v>46266</v>
      </c>
      <c r="M6558" s="31" t="n">
        <f aca="false">WEEKDAY(B6558,2)</f>
        <v>6</v>
      </c>
      <c r="N6558" s="31" t="str">
        <f aca="false">IF(G6558&lt;=INDEX(Assumptions!$B$15:$B$18,MATCH(E6558,Assumptions!$A$15:$A$18,0)),"Yes","No")</f>
        <v>Yes</v>
      </c>
      <c r="O6558" s="31" t="str">
        <f aca="false">IF(H6558="","Open",IF(H6558&lt;=INDEX(Assumptions!$C$15:$C$18,MATCH(E6558,Assumptions!$A$15:$A$18,0)),"Yes","No"))</f>
        <v>Open</v>
      </c>
    </row>
    <row r="6559" customFormat="false" ht="15" hidden="false" customHeight="false" outlineLevel="0" collapsed="false">
      <c r="A6559" s="31" t="s">
        <v>6709</v>
      </c>
      <c r="B6559" s="44" t="n">
        <v>46291</v>
      </c>
      <c r="C6559" s="31" t="s">
        <v>58</v>
      </c>
      <c r="D6559" s="31" t="s">
        <v>65</v>
      </c>
      <c r="E6559" s="31" t="s">
        <v>51</v>
      </c>
      <c r="F6559" s="31" t="s">
        <v>136</v>
      </c>
      <c r="G6559" s="31" t="n">
        <v>2</v>
      </c>
      <c r="H6559" s="41"/>
      <c r="I6559" s="31" t="s">
        <v>158</v>
      </c>
      <c r="J6559" s="31"/>
      <c r="K6559" s="31" t="s">
        <v>150</v>
      </c>
      <c r="L6559" s="45" t="n">
        <f aca="false">DATE(YEAR(B6559),MONTH(B6559),1)</f>
        <v>46266</v>
      </c>
      <c r="M6559" s="31" t="n">
        <f aca="false">WEEKDAY(B6559,2)</f>
        <v>6</v>
      </c>
      <c r="N6559" s="31" t="str">
        <f aca="false">IF(G6559&lt;=INDEX(Assumptions!$B$15:$B$18,MATCH(E6559,Assumptions!$A$15:$A$18,0)),"Yes","No")</f>
        <v>Yes</v>
      </c>
      <c r="O6559" s="31" t="str">
        <f aca="false">IF(H6559="","Open",IF(H6559&lt;=INDEX(Assumptions!$C$15:$C$18,MATCH(E6559,Assumptions!$A$15:$A$18,0)),"Yes","No"))</f>
        <v>Open</v>
      </c>
    </row>
    <row r="6560" customFormat="false" ht="15" hidden="false" customHeight="false" outlineLevel="0" collapsed="false">
      <c r="A6560" s="31" t="s">
        <v>6710</v>
      </c>
      <c r="B6560" s="44" t="n">
        <v>46291</v>
      </c>
      <c r="C6560" s="31" t="s">
        <v>57</v>
      </c>
      <c r="D6560" s="31" t="s">
        <v>66</v>
      </c>
      <c r="E6560" s="31" t="s">
        <v>51</v>
      </c>
      <c r="F6560" s="31" t="s">
        <v>135</v>
      </c>
      <c r="G6560" s="31" t="n">
        <v>3</v>
      </c>
      <c r="H6560" s="41"/>
      <c r="I6560" s="31" t="s">
        <v>158</v>
      </c>
      <c r="J6560" s="31"/>
      <c r="K6560" s="31" t="s">
        <v>150</v>
      </c>
      <c r="L6560" s="45" t="n">
        <f aca="false">DATE(YEAR(B6560),MONTH(B6560),1)</f>
        <v>46266</v>
      </c>
      <c r="M6560" s="31" t="n">
        <f aca="false">WEEKDAY(B6560,2)</f>
        <v>6</v>
      </c>
      <c r="N6560" s="31" t="str">
        <f aca="false">IF(G6560&lt;=INDEX(Assumptions!$B$15:$B$18,MATCH(E6560,Assumptions!$A$15:$A$18,0)),"Yes","No")</f>
        <v>Yes</v>
      </c>
      <c r="O6560" s="31" t="str">
        <f aca="false">IF(H6560="","Open",IF(H6560&lt;=INDEX(Assumptions!$C$15:$C$18,MATCH(E6560,Assumptions!$A$15:$A$18,0)),"Yes","No"))</f>
        <v>Open</v>
      </c>
    </row>
    <row r="6561" customFormat="false" ht="15" hidden="false" customHeight="false" outlineLevel="0" collapsed="false">
      <c r="A6561" s="31" t="s">
        <v>6711</v>
      </c>
      <c r="B6561" s="44" t="n">
        <v>46291</v>
      </c>
      <c r="C6561" s="31" t="s">
        <v>60</v>
      </c>
      <c r="D6561" s="31" t="s">
        <v>66</v>
      </c>
      <c r="E6561" s="31" t="s">
        <v>51</v>
      </c>
      <c r="F6561" s="31" t="s">
        <v>130</v>
      </c>
      <c r="G6561" s="31" t="n">
        <v>1</v>
      </c>
      <c r="H6561" s="41"/>
      <c r="I6561" s="31" t="s">
        <v>158</v>
      </c>
      <c r="J6561" s="31"/>
      <c r="K6561" s="31" t="s">
        <v>150</v>
      </c>
      <c r="L6561" s="45" t="n">
        <f aca="false">DATE(YEAR(B6561),MONTH(B6561),1)</f>
        <v>46266</v>
      </c>
      <c r="M6561" s="31" t="n">
        <f aca="false">WEEKDAY(B6561,2)</f>
        <v>6</v>
      </c>
      <c r="N6561" s="31" t="str">
        <f aca="false">IF(G6561&lt;=INDEX(Assumptions!$B$15:$B$18,MATCH(E6561,Assumptions!$A$15:$A$18,0)),"Yes","No")</f>
        <v>Yes</v>
      </c>
      <c r="O6561" s="31" t="str">
        <f aca="false">IF(H6561="","Open",IF(H6561&lt;=INDEX(Assumptions!$C$15:$C$18,MATCH(E6561,Assumptions!$A$15:$A$18,0)),"Yes","No"))</f>
        <v>Open</v>
      </c>
    </row>
    <row r="6562" customFormat="false" ht="15" hidden="false" customHeight="false" outlineLevel="0" collapsed="false">
      <c r="A6562" s="31" t="s">
        <v>6712</v>
      </c>
      <c r="B6562" s="44" t="n">
        <v>46291</v>
      </c>
      <c r="C6562" s="31" t="s">
        <v>57</v>
      </c>
      <c r="D6562" s="31" t="s">
        <v>67</v>
      </c>
      <c r="E6562" s="31" t="s">
        <v>50</v>
      </c>
      <c r="F6562" s="31" t="s">
        <v>137</v>
      </c>
      <c r="G6562" s="31" t="n">
        <v>11</v>
      </c>
      <c r="H6562" s="41"/>
      <c r="I6562" s="31" t="s">
        <v>158</v>
      </c>
      <c r="J6562" s="31"/>
      <c r="K6562" s="31" t="s">
        <v>150</v>
      </c>
      <c r="L6562" s="45" t="n">
        <f aca="false">DATE(YEAR(B6562),MONTH(B6562),1)</f>
        <v>46266</v>
      </c>
      <c r="M6562" s="31" t="n">
        <f aca="false">WEEKDAY(B6562,2)</f>
        <v>6</v>
      </c>
      <c r="N6562" s="31" t="str">
        <f aca="false">IF(G6562&lt;=INDEX(Assumptions!$B$15:$B$18,MATCH(E6562,Assumptions!$A$15:$A$18,0)),"Yes","No")</f>
        <v>Yes</v>
      </c>
      <c r="O6562" s="31" t="str">
        <f aca="false">IF(H6562="","Open",IF(H6562&lt;=INDEX(Assumptions!$C$15:$C$18,MATCH(E6562,Assumptions!$A$15:$A$18,0)),"Yes","No"))</f>
        <v>Open</v>
      </c>
    </row>
    <row r="6563" customFormat="false" ht="15" hidden="false" customHeight="false" outlineLevel="0" collapsed="false">
      <c r="A6563" s="31" t="s">
        <v>6713</v>
      </c>
      <c r="B6563" s="44" t="n">
        <v>46291</v>
      </c>
      <c r="C6563" s="31" t="s">
        <v>59</v>
      </c>
      <c r="D6563" s="31" t="s">
        <v>69</v>
      </c>
      <c r="E6563" s="31" t="s">
        <v>50</v>
      </c>
      <c r="F6563" s="31" t="s">
        <v>129</v>
      </c>
      <c r="G6563" s="31" t="n">
        <v>93</v>
      </c>
      <c r="H6563" s="41"/>
      <c r="I6563" s="31" t="s">
        <v>158</v>
      </c>
      <c r="J6563" s="31"/>
      <c r="K6563" s="31" t="s">
        <v>150</v>
      </c>
      <c r="L6563" s="45" t="n">
        <f aca="false">DATE(YEAR(B6563),MONTH(B6563),1)</f>
        <v>46266</v>
      </c>
      <c r="M6563" s="31" t="n">
        <f aca="false">WEEKDAY(B6563,2)</f>
        <v>6</v>
      </c>
      <c r="N6563" s="31" t="str">
        <f aca="false">IF(G6563&lt;=INDEX(Assumptions!$B$15:$B$18,MATCH(E6563,Assumptions!$A$15:$A$18,0)),"Yes","No")</f>
        <v>No</v>
      </c>
      <c r="O6563" s="31" t="str">
        <f aca="false">IF(H6563="","Open",IF(H6563&lt;=INDEX(Assumptions!$C$15:$C$18,MATCH(E6563,Assumptions!$A$15:$A$18,0)),"Yes","No"))</f>
        <v>Open</v>
      </c>
    </row>
    <row r="6564" customFormat="false" ht="15" hidden="false" customHeight="false" outlineLevel="0" collapsed="false">
      <c r="A6564" s="31" t="s">
        <v>6714</v>
      </c>
      <c r="B6564" s="44" t="n">
        <v>46291</v>
      </c>
      <c r="C6564" s="31" t="s">
        <v>59</v>
      </c>
      <c r="D6564" s="31" t="s">
        <v>66</v>
      </c>
      <c r="E6564" s="31" t="s">
        <v>50</v>
      </c>
      <c r="F6564" s="31" t="s">
        <v>119</v>
      </c>
      <c r="G6564" s="31" t="n">
        <v>10</v>
      </c>
      <c r="H6564" s="41"/>
      <c r="I6564" s="31" t="s">
        <v>158</v>
      </c>
      <c r="J6564" s="31"/>
      <c r="K6564" s="31" t="s">
        <v>150</v>
      </c>
      <c r="L6564" s="45" t="n">
        <f aca="false">DATE(YEAR(B6564),MONTH(B6564),1)</f>
        <v>46266</v>
      </c>
      <c r="M6564" s="31" t="n">
        <f aca="false">WEEKDAY(B6564,2)</f>
        <v>6</v>
      </c>
      <c r="N6564" s="31" t="str">
        <f aca="false">IF(G6564&lt;=INDEX(Assumptions!$B$15:$B$18,MATCH(E6564,Assumptions!$A$15:$A$18,0)),"Yes","No")</f>
        <v>Yes</v>
      </c>
      <c r="O6564" s="31" t="str">
        <f aca="false">IF(H6564="","Open",IF(H6564&lt;=INDEX(Assumptions!$C$15:$C$18,MATCH(E6564,Assumptions!$A$15:$A$18,0)),"Yes","No"))</f>
        <v>Open</v>
      </c>
    </row>
    <row r="6565" customFormat="false" ht="15" hidden="false" customHeight="false" outlineLevel="0" collapsed="false">
      <c r="A6565" s="31" t="s">
        <v>6715</v>
      </c>
      <c r="B6565" s="44" t="n">
        <v>46291</v>
      </c>
      <c r="C6565" s="31" t="s">
        <v>58</v>
      </c>
      <c r="D6565" s="31" t="s">
        <v>66</v>
      </c>
      <c r="E6565" s="31" t="s">
        <v>52</v>
      </c>
      <c r="F6565" s="31" t="s">
        <v>130</v>
      </c>
      <c r="G6565" s="31" t="n">
        <v>6</v>
      </c>
      <c r="H6565" s="41"/>
      <c r="I6565" s="31" t="s">
        <v>158</v>
      </c>
      <c r="J6565" s="31"/>
      <c r="K6565" s="31" t="s">
        <v>150</v>
      </c>
      <c r="L6565" s="45" t="n">
        <f aca="false">DATE(YEAR(B6565),MONTH(B6565),1)</f>
        <v>46266</v>
      </c>
      <c r="M6565" s="31" t="n">
        <f aca="false">WEEKDAY(B6565,2)</f>
        <v>6</v>
      </c>
      <c r="N6565" s="31" t="str">
        <f aca="false">IF(G6565&lt;=INDEX(Assumptions!$B$15:$B$18,MATCH(E6565,Assumptions!$A$15:$A$18,0)),"Yes","No")</f>
        <v>Yes</v>
      </c>
      <c r="O6565" s="31" t="str">
        <f aca="false">IF(H6565="","Open",IF(H6565&lt;=INDEX(Assumptions!$C$15:$C$18,MATCH(E6565,Assumptions!$A$15:$A$18,0)),"Yes","No"))</f>
        <v>Open</v>
      </c>
    </row>
    <row r="6566" customFormat="false" ht="15" hidden="false" customHeight="false" outlineLevel="0" collapsed="false">
      <c r="A6566" s="31" t="s">
        <v>6716</v>
      </c>
      <c r="B6566" s="44" t="n">
        <v>46291</v>
      </c>
      <c r="C6566" s="31" t="s">
        <v>57</v>
      </c>
      <c r="D6566" s="31" t="s">
        <v>68</v>
      </c>
      <c r="E6566" s="31" t="s">
        <v>51</v>
      </c>
      <c r="F6566" s="31" t="s">
        <v>120</v>
      </c>
      <c r="G6566" s="31" t="n">
        <v>3</v>
      </c>
      <c r="H6566" s="41" t="n">
        <v>3.1</v>
      </c>
      <c r="I6566" s="31" t="s">
        <v>149</v>
      </c>
      <c r="J6566" s="31" t="n">
        <v>4</v>
      </c>
      <c r="K6566" s="31" t="s">
        <v>153</v>
      </c>
      <c r="L6566" s="45" t="n">
        <f aca="false">DATE(YEAR(B6566),MONTH(B6566),1)</f>
        <v>46266</v>
      </c>
      <c r="M6566" s="31" t="n">
        <f aca="false">WEEKDAY(B6566,2)</f>
        <v>6</v>
      </c>
      <c r="N6566" s="31" t="str">
        <f aca="false">IF(G6566&lt;=INDEX(Assumptions!$B$15:$B$18,MATCH(E6566,Assumptions!$A$15:$A$18,0)),"Yes","No")</f>
        <v>Yes</v>
      </c>
      <c r="O6566" s="31" t="str">
        <f aca="false">IF(H6566="","Open",IF(H6566&lt;=INDEX(Assumptions!$C$15:$C$18,MATCH(E6566,Assumptions!$A$15:$A$18,0)),"Yes","No"))</f>
        <v>Yes</v>
      </c>
    </row>
    <row r="6567" customFormat="false" ht="15" hidden="false" customHeight="false" outlineLevel="0" collapsed="false">
      <c r="A6567" s="31" t="s">
        <v>6717</v>
      </c>
      <c r="B6567" s="44" t="n">
        <v>46291</v>
      </c>
      <c r="C6567" s="31" t="s">
        <v>59</v>
      </c>
      <c r="D6567" s="31" t="s">
        <v>66</v>
      </c>
      <c r="E6567" s="31" t="s">
        <v>52</v>
      </c>
      <c r="F6567" s="31" t="s">
        <v>137</v>
      </c>
      <c r="G6567" s="31" t="n">
        <v>239</v>
      </c>
      <c r="H6567" s="41" t="n">
        <v>22.7</v>
      </c>
      <c r="I6567" s="31" t="s">
        <v>149</v>
      </c>
      <c r="J6567" s="31"/>
      <c r="K6567" s="31" t="s">
        <v>150</v>
      </c>
      <c r="L6567" s="45" t="n">
        <f aca="false">DATE(YEAR(B6567),MONTH(B6567),1)</f>
        <v>46266</v>
      </c>
      <c r="M6567" s="31" t="n">
        <f aca="false">WEEKDAY(B6567,2)</f>
        <v>6</v>
      </c>
      <c r="N6567" s="31" t="str">
        <f aca="false">IF(G6567&lt;=INDEX(Assumptions!$B$15:$B$18,MATCH(E6567,Assumptions!$A$15:$A$18,0)),"Yes","No")</f>
        <v>Yes</v>
      </c>
      <c r="O6567" s="31" t="str">
        <f aca="false">IF(H6567="","Open",IF(H6567&lt;=INDEX(Assumptions!$C$15:$C$18,MATCH(E6567,Assumptions!$A$15:$A$18,0)),"Yes","No"))</f>
        <v>Yes</v>
      </c>
    </row>
    <row r="6568" customFormat="false" ht="15" hidden="false" customHeight="false" outlineLevel="0" collapsed="false">
      <c r="A6568" s="31" t="s">
        <v>6718</v>
      </c>
      <c r="B6568" s="44" t="n">
        <v>46291</v>
      </c>
      <c r="C6568" s="31" t="s">
        <v>59</v>
      </c>
      <c r="D6568" s="31" t="s">
        <v>67</v>
      </c>
      <c r="E6568" s="31" t="s">
        <v>51</v>
      </c>
      <c r="F6568" s="31" t="s">
        <v>130</v>
      </c>
      <c r="G6568" s="31" t="n">
        <v>33</v>
      </c>
      <c r="H6568" s="41"/>
      <c r="I6568" s="31" t="s">
        <v>158</v>
      </c>
      <c r="J6568" s="31"/>
      <c r="K6568" s="31" t="s">
        <v>150</v>
      </c>
      <c r="L6568" s="45" t="n">
        <f aca="false">DATE(YEAR(B6568),MONTH(B6568),1)</f>
        <v>46266</v>
      </c>
      <c r="M6568" s="31" t="n">
        <f aca="false">WEEKDAY(B6568,2)</f>
        <v>6</v>
      </c>
      <c r="N6568" s="31" t="str">
        <f aca="false">IF(G6568&lt;=INDEX(Assumptions!$B$15:$B$18,MATCH(E6568,Assumptions!$A$15:$A$18,0)),"Yes","No")</f>
        <v>Yes</v>
      </c>
      <c r="O6568" s="31" t="str">
        <f aca="false">IF(H6568="","Open",IF(H6568&lt;=INDEX(Assumptions!$C$15:$C$18,MATCH(E6568,Assumptions!$A$15:$A$18,0)),"Yes","No"))</f>
        <v>Open</v>
      </c>
    </row>
    <row r="6569" customFormat="false" ht="15" hidden="false" customHeight="false" outlineLevel="0" collapsed="false">
      <c r="A6569" s="31" t="s">
        <v>6719</v>
      </c>
      <c r="B6569" s="44" t="n">
        <v>46291</v>
      </c>
      <c r="C6569" s="31" t="s">
        <v>57</v>
      </c>
      <c r="D6569" s="31" t="s">
        <v>65</v>
      </c>
      <c r="E6569" s="31" t="s">
        <v>52</v>
      </c>
      <c r="F6569" s="31" t="s">
        <v>124</v>
      </c>
      <c r="G6569" s="31" t="n">
        <v>1</v>
      </c>
      <c r="H6569" s="41" t="n">
        <v>6.8</v>
      </c>
      <c r="I6569" s="31" t="s">
        <v>149</v>
      </c>
      <c r="J6569" s="31" t="n">
        <v>3</v>
      </c>
      <c r="K6569" s="31" t="s">
        <v>150</v>
      </c>
      <c r="L6569" s="45" t="n">
        <f aca="false">DATE(YEAR(B6569),MONTH(B6569),1)</f>
        <v>46266</v>
      </c>
      <c r="M6569" s="31" t="n">
        <f aca="false">WEEKDAY(B6569,2)</f>
        <v>6</v>
      </c>
      <c r="N6569" s="31" t="str">
        <f aca="false">IF(G6569&lt;=INDEX(Assumptions!$B$15:$B$18,MATCH(E6569,Assumptions!$A$15:$A$18,0)),"Yes","No")</f>
        <v>Yes</v>
      </c>
      <c r="O6569" s="31" t="str">
        <f aca="false">IF(H6569="","Open",IF(H6569&lt;=INDEX(Assumptions!$C$15:$C$18,MATCH(E6569,Assumptions!$A$15:$A$18,0)),"Yes","No"))</f>
        <v>Yes</v>
      </c>
    </row>
    <row r="6570" customFormat="false" ht="15" hidden="false" customHeight="false" outlineLevel="0" collapsed="false">
      <c r="A6570" s="31" t="s">
        <v>6720</v>
      </c>
      <c r="B6570" s="44" t="n">
        <v>46291</v>
      </c>
      <c r="C6570" s="31" t="s">
        <v>57</v>
      </c>
      <c r="D6570" s="31" t="s">
        <v>66</v>
      </c>
      <c r="E6570" s="31" t="s">
        <v>51</v>
      </c>
      <c r="F6570" s="31" t="s">
        <v>131</v>
      </c>
      <c r="G6570" s="31" t="n">
        <v>3</v>
      </c>
      <c r="H6570" s="41"/>
      <c r="I6570" s="31" t="s">
        <v>158</v>
      </c>
      <c r="J6570" s="31"/>
      <c r="K6570" s="31" t="s">
        <v>150</v>
      </c>
      <c r="L6570" s="45" t="n">
        <f aca="false">DATE(YEAR(B6570),MONTH(B6570),1)</f>
        <v>46266</v>
      </c>
      <c r="M6570" s="31" t="n">
        <f aca="false">WEEKDAY(B6570,2)</f>
        <v>6</v>
      </c>
      <c r="N6570" s="31" t="str">
        <f aca="false">IF(G6570&lt;=INDEX(Assumptions!$B$15:$B$18,MATCH(E6570,Assumptions!$A$15:$A$18,0)),"Yes","No")</f>
        <v>Yes</v>
      </c>
      <c r="O6570" s="31" t="str">
        <f aca="false">IF(H6570="","Open",IF(H6570&lt;=INDEX(Assumptions!$C$15:$C$18,MATCH(E6570,Assumptions!$A$15:$A$18,0)),"Yes","No"))</f>
        <v>Open</v>
      </c>
    </row>
    <row r="6571" customFormat="false" ht="15" hidden="false" customHeight="false" outlineLevel="0" collapsed="false">
      <c r="A6571" s="31" t="s">
        <v>6721</v>
      </c>
      <c r="B6571" s="44" t="n">
        <v>46291</v>
      </c>
      <c r="C6571" s="31" t="s">
        <v>58</v>
      </c>
      <c r="D6571" s="31" t="s">
        <v>67</v>
      </c>
      <c r="E6571" s="31" t="s">
        <v>52</v>
      </c>
      <c r="F6571" s="31" t="s">
        <v>124</v>
      </c>
      <c r="G6571" s="31" t="n">
        <v>4</v>
      </c>
      <c r="H6571" s="41"/>
      <c r="I6571" s="31" t="s">
        <v>158</v>
      </c>
      <c r="J6571" s="31"/>
      <c r="K6571" s="31" t="s">
        <v>150</v>
      </c>
      <c r="L6571" s="45" t="n">
        <f aca="false">DATE(YEAR(B6571),MONTH(B6571),1)</f>
        <v>46266</v>
      </c>
      <c r="M6571" s="31" t="n">
        <f aca="false">WEEKDAY(B6571,2)</f>
        <v>6</v>
      </c>
      <c r="N6571" s="31" t="str">
        <f aca="false">IF(G6571&lt;=INDEX(Assumptions!$B$15:$B$18,MATCH(E6571,Assumptions!$A$15:$A$18,0)),"Yes","No")</f>
        <v>Yes</v>
      </c>
      <c r="O6571" s="31" t="str">
        <f aca="false">IF(H6571="","Open",IF(H6571&lt;=INDEX(Assumptions!$C$15:$C$18,MATCH(E6571,Assumptions!$A$15:$A$18,0)),"Yes","No"))</f>
        <v>Open</v>
      </c>
    </row>
    <row r="6572" customFormat="false" ht="15" hidden="false" customHeight="false" outlineLevel="0" collapsed="false">
      <c r="A6572" s="31" t="s">
        <v>6722</v>
      </c>
      <c r="B6572" s="44" t="n">
        <v>46291</v>
      </c>
      <c r="C6572" s="31" t="s">
        <v>58</v>
      </c>
      <c r="D6572" s="31" t="s">
        <v>68</v>
      </c>
      <c r="E6572" s="31" t="s">
        <v>50</v>
      </c>
      <c r="F6572" s="31" t="s">
        <v>124</v>
      </c>
      <c r="G6572" s="31" t="n">
        <v>5</v>
      </c>
      <c r="H6572" s="41" t="n">
        <v>2.6</v>
      </c>
      <c r="I6572" s="31" t="s">
        <v>149</v>
      </c>
      <c r="J6572" s="31"/>
      <c r="K6572" s="31" t="s">
        <v>150</v>
      </c>
      <c r="L6572" s="45" t="n">
        <f aca="false">DATE(YEAR(B6572),MONTH(B6572),1)</f>
        <v>46266</v>
      </c>
      <c r="M6572" s="31" t="n">
        <f aca="false">WEEKDAY(B6572,2)</f>
        <v>6</v>
      </c>
      <c r="N6572" s="31" t="str">
        <f aca="false">IF(G6572&lt;=INDEX(Assumptions!$B$15:$B$18,MATCH(E6572,Assumptions!$A$15:$A$18,0)),"Yes","No")</f>
        <v>Yes</v>
      </c>
      <c r="O6572" s="31" t="str">
        <f aca="false">IF(H6572="","Open",IF(H6572&lt;=INDEX(Assumptions!$C$15:$C$18,MATCH(E6572,Assumptions!$A$15:$A$18,0)),"Yes","No"))</f>
        <v>Yes</v>
      </c>
    </row>
    <row r="6573" customFormat="false" ht="15" hidden="false" customHeight="false" outlineLevel="0" collapsed="false">
      <c r="A6573" s="31" t="s">
        <v>6723</v>
      </c>
      <c r="B6573" s="44" t="n">
        <v>46291</v>
      </c>
      <c r="C6573" s="31" t="s">
        <v>57</v>
      </c>
      <c r="D6573" s="31" t="s">
        <v>67</v>
      </c>
      <c r="E6573" s="31" t="s">
        <v>51</v>
      </c>
      <c r="F6573" s="31" t="s">
        <v>126</v>
      </c>
      <c r="G6573" s="31" t="n">
        <v>10</v>
      </c>
      <c r="H6573" s="41"/>
      <c r="I6573" s="31" t="s">
        <v>158</v>
      </c>
      <c r="J6573" s="31"/>
      <c r="K6573" s="31" t="s">
        <v>150</v>
      </c>
      <c r="L6573" s="45" t="n">
        <f aca="false">DATE(YEAR(B6573),MONTH(B6573),1)</f>
        <v>46266</v>
      </c>
      <c r="M6573" s="31" t="n">
        <f aca="false">WEEKDAY(B6573,2)</f>
        <v>6</v>
      </c>
      <c r="N6573" s="31" t="str">
        <f aca="false">IF(G6573&lt;=INDEX(Assumptions!$B$15:$B$18,MATCH(E6573,Assumptions!$A$15:$A$18,0)),"Yes","No")</f>
        <v>Yes</v>
      </c>
      <c r="O6573" s="31" t="str">
        <f aca="false">IF(H6573="","Open",IF(H6573&lt;=INDEX(Assumptions!$C$15:$C$18,MATCH(E6573,Assumptions!$A$15:$A$18,0)),"Yes","No"))</f>
        <v>Open</v>
      </c>
    </row>
    <row r="6574" customFormat="false" ht="15" hidden="false" customHeight="false" outlineLevel="0" collapsed="false">
      <c r="A6574" s="31" t="s">
        <v>6724</v>
      </c>
      <c r="B6574" s="44" t="n">
        <v>46291</v>
      </c>
      <c r="C6574" s="31" t="s">
        <v>58</v>
      </c>
      <c r="D6574" s="31" t="s">
        <v>69</v>
      </c>
      <c r="E6574" s="31" t="s">
        <v>52</v>
      </c>
      <c r="F6574" s="31" t="s">
        <v>119</v>
      </c>
      <c r="G6574" s="31" t="n">
        <v>22</v>
      </c>
      <c r="H6574" s="41"/>
      <c r="I6574" s="31" t="s">
        <v>158</v>
      </c>
      <c r="J6574" s="31"/>
      <c r="K6574" s="31" t="s">
        <v>150</v>
      </c>
      <c r="L6574" s="45" t="n">
        <f aca="false">DATE(YEAR(B6574),MONTH(B6574),1)</f>
        <v>46266</v>
      </c>
      <c r="M6574" s="31" t="n">
        <f aca="false">WEEKDAY(B6574,2)</f>
        <v>6</v>
      </c>
      <c r="N6574" s="31" t="str">
        <f aca="false">IF(G6574&lt;=INDEX(Assumptions!$B$15:$B$18,MATCH(E6574,Assumptions!$A$15:$A$18,0)),"Yes","No")</f>
        <v>Yes</v>
      </c>
      <c r="O6574" s="31" t="str">
        <f aca="false">IF(H6574="","Open",IF(H6574&lt;=INDEX(Assumptions!$C$15:$C$18,MATCH(E6574,Assumptions!$A$15:$A$18,0)),"Yes","No"))</f>
        <v>Open</v>
      </c>
    </row>
    <row r="6575" customFormat="false" ht="15" hidden="false" customHeight="false" outlineLevel="0" collapsed="false">
      <c r="A6575" s="31" t="s">
        <v>6725</v>
      </c>
      <c r="B6575" s="44" t="n">
        <v>46291</v>
      </c>
      <c r="C6575" s="31" t="s">
        <v>57</v>
      </c>
      <c r="D6575" s="31" t="s">
        <v>65</v>
      </c>
      <c r="E6575" s="31" t="s">
        <v>52</v>
      </c>
      <c r="F6575" s="31" t="s">
        <v>128</v>
      </c>
      <c r="G6575" s="31" t="n">
        <v>5</v>
      </c>
      <c r="H6575" s="41"/>
      <c r="I6575" s="31" t="s">
        <v>158</v>
      </c>
      <c r="J6575" s="31"/>
      <c r="K6575" s="31" t="s">
        <v>150</v>
      </c>
      <c r="L6575" s="45" t="n">
        <f aca="false">DATE(YEAR(B6575),MONTH(B6575),1)</f>
        <v>46266</v>
      </c>
      <c r="M6575" s="31" t="n">
        <f aca="false">WEEKDAY(B6575,2)</f>
        <v>6</v>
      </c>
      <c r="N6575" s="31" t="str">
        <f aca="false">IF(G6575&lt;=INDEX(Assumptions!$B$15:$B$18,MATCH(E6575,Assumptions!$A$15:$A$18,0)),"Yes","No")</f>
        <v>Yes</v>
      </c>
      <c r="O6575" s="31" t="str">
        <f aca="false">IF(H6575="","Open",IF(H6575&lt;=INDEX(Assumptions!$C$15:$C$18,MATCH(E6575,Assumptions!$A$15:$A$18,0)),"Yes","No"))</f>
        <v>Open</v>
      </c>
    </row>
    <row r="6576" customFormat="false" ht="15" hidden="false" customHeight="false" outlineLevel="0" collapsed="false">
      <c r="A6576" s="31" t="s">
        <v>6726</v>
      </c>
      <c r="B6576" s="44" t="n">
        <v>46291</v>
      </c>
      <c r="C6576" s="31" t="s">
        <v>57</v>
      </c>
      <c r="D6576" s="31" t="s">
        <v>66</v>
      </c>
      <c r="E6576" s="31" t="s">
        <v>51</v>
      </c>
      <c r="F6576" s="31" t="s">
        <v>131</v>
      </c>
      <c r="G6576" s="31" t="n">
        <v>3</v>
      </c>
      <c r="H6576" s="41"/>
      <c r="I6576" s="31" t="s">
        <v>158</v>
      </c>
      <c r="J6576" s="31"/>
      <c r="K6576" s="31" t="s">
        <v>150</v>
      </c>
      <c r="L6576" s="45" t="n">
        <f aca="false">DATE(YEAR(B6576),MONTH(B6576),1)</f>
        <v>46266</v>
      </c>
      <c r="M6576" s="31" t="n">
        <f aca="false">WEEKDAY(B6576,2)</f>
        <v>6</v>
      </c>
      <c r="N6576" s="31" t="str">
        <f aca="false">IF(G6576&lt;=INDEX(Assumptions!$B$15:$B$18,MATCH(E6576,Assumptions!$A$15:$A$18,0)),"Yes","No")</f>
        <v>Yes</v>
      </c>
      <c r="O6576" s="31" t="str">
        <f aca="false">IF(H6576="","Open",IF(H6576&lt;=INDEX(Assumptions!$C$15:$C$18,MATCH(E6576,Assumptions!$A$15:$A$18,0)),"Yes","No"))</f>
        <v>Open</v>
      </c>
    </row>
    <row r="6577" customFormat="false" ht="15" hidden="false" customHeight="false" outlineLevel="0" collapsed="false">
      <c r="A6577" s="31" t="s">
        <v>6727</v>
      </c>
      <c r="B6577" s="44" t="n">
        <v>46291</v>
      </c>
      <c r="C6577" s="31" t="s">
        <v>59</v>
      </c>
      <c r="D6577" s="31" t="s">
        <v>69</v>
      </c>
      <c r="E6577" s="31" t="s">
        <v>52</v>
      </c>
      <c r="F6577" s="31" t="s">
        <v>121</v>
      </c>
      <c r="G6577" s="31" t="n">
        <v>135</v>
      </c>
      <c r="H6577" s="41"/>
      <c r="I6577" s="31" t="s">
        <v>158</v>
      </c>
      <c r="J6577" s="31"/>
      <c r="K6577" s="31" t="s">
        <v>150</v>
      </c>
      <c r="L6577" s="45" t="n">
        <f aca="false">DATE(YEAR(B6577),MONTH(B6577),1)</f>
        <v>46266</v>
      </c>
      <c r="M6577" s="31" t="n">
        <f aca="false">WEEKDAY(B6577,2)</f>
        <v>6</v>
      </c>
      <c r="N6577" s="31" t="str">
        <f aca="false">IF(G6577&lt;=INDEX(Assumptions!$B$15:$B$18,MATCH(E6577,Assumptions!$A$15:$A$18,0)),"Yes","No")</f>
        <v>Yes</v>
      </c>
      <c r="O6577" s="31" t="str">
        <f aca="false">IF(H6577="","Open",IF(H6577&lt;=INDEX(Assumptions!$C$15:$C$18,MATCH(E6577,Assumptions!$A$15:$A$18,0)),"Yes","No"))</f>
        <v>Open</v>
      </c>
    </row>
    <row r="6578" customFormat="false" ht="15" hidden="false" customHeight="false" outlineLevel="0" collapsed="false">
      <c r="A6578" s="31" t="s">
        <v>6728</v>
      </c>
      <c r="B6578" s="44" t="n">
        <v>46291</v>
      </c>
      <c r="C6578" s="31" t="s">
        <v>57</v>
      </c>
      <c r="D6578" s="31" t="s">
        <v>67</v>
      </c>
      <c r="E6578" s="31" t="s">
        <v>51</v>
      </c>
      <c r="F6578" s="31" t="s">
        <v>134</v>
      </c>
      <c r="G6578" s="31" t="n">
        <v>2</v>
      </c>
      <c r="H6578" s="41"/>
      <c r="I6578" s="31" t="s">
        <v>158</v>
      </c>
      <c r="J6578" s="31"/>
      <c r="K6578" s="31" t="s">
        <v>150</v>
      </c>
      <c r="L6578" s="45" t="n">
        <f aca="false">DATE(YEAR(B6578),MONTH(B6578),1)</f>
        <v>46266</v>
      </c>
      <c r="M6578" s="31" t="n">
        <f aca="false">WEEKDAY(B6578,2)</f>
        <v>6</v>
      </c>
      <c r="N6578" s="31" t="str">
        <f aca="false">IF(G6578&lt;=INDEX(Assumptions!$B$15:$B$18,MATCH(E6578,Assumptions!$A$15:$A$18,0)),"Yes","No")</f>
        <v>Yes</v>
      </c>
      <c r="O6578" s="31" t="str">
        <f aca="false">IF(H6578="","Open",IF(H6578&lt;=INDEX(Assumptions!$C$15:$C$18,MATCH(E6578,Assumptions!$A$15:$A$18,0)),"Yes","No"))</f>
        <v>Open</v>
      </c>
    </row>
    <row r="6579" customFormat="false" ht="15" hidden="false" customHeight="false" outlineLevel="0" collapsed="false">
      <c r="A6579" s="31" t="s">
        <v>6729</v>
      </c>
      <c r="B6579" s="44" t="n">
        <v>46291</v>
      </c>
      <c r="C6579" s="31" t="s">
        <v>58</v>
      </c>
      <c r="D6579" s="31" t="s">
        <v>65</v>
      </c>
      <c r="E6579" s="31" t="s">
        <v>51</v>
      </c>
      <c r="F6579" s="31" t="s">
        <v>131</v>
      </c>
      <c r="G6579" s="31" t="n">
        <v>4</v>
      </c>
      <c r="H6579" s="41"/>
      <c r="I6579" s="31" t="s">
        <v>158</v>
      </c>
      <c r="J6579" s="31"/>
      <c r="K6579" s="31" t="s">
        <v>150</v>
      </c>
      <c r="L6579" s="45" t="n">
        <f aca="false">DATE(YEAR(B6579),MONTH(B6579),1)</f>
        <v>46266</v>
      </c>
      <c r="M6579" s="31" t="n">
        <f aca="false">WEEKDAY(B6579,2)</f>
        <v>6</v>
      </c>
      <c r="N6579" s="31" t="str">
        <f aca="false">IF(G6579&lt;=INDEX(Assumptions!$B$15:$B$18,MATCH(E6579,Assumptions!$A$15:$A$18,0)),"Yes","No")</f>
        <v>Yes</v>
      </c>
      <c r="O6579" s="31" t="str">
        <f aca="false">IF(H6579="","Open",IF(H6579&lt;=INDEX(Assumptions!$C$15:$C$18,MATCH(E6579,Assumptions!$A$15:$A$18,0)),"Yes","No"))</f>
        <v>Open</v>
      </c>
    </row>
    <row r="6580" customFormat="false" ht="15" hidden="false" customHeight="false" outlineLevel="0" collapsed="false">
      <c r="A6580" s="31" t="s">
        <v>6730</v>
      </c>
      <c r="B6580" s="44" t="n">
        <v>46291</v>
      </c>
      <c r="C6580" s="31" t="s">
        <v>60</v>
      </c>
      <c r="D6580" s="31" t="s">
        <v>66</v>
      </c>
      <c r="E6580" s="31" t="s">
        <v>52</v>
      </c>
      <c r="F6580" s="31" t="s">
        <v>126</v>
      </c>
      <c r="G6580" s="31" t="n">
        <v>4</v>
      </c>
      <c r="H6580" s="41"/>
      <c r="I6580" s="31" t="s">
        <v>158</v>
      </c>
      <c r="J6580" s="31"/>
      <c r="K6580" s="31" t="s">
        <v>150</v>
      </c>
      <c r="L6580" s="45" t="n">
        <f aca="false">DATE(YEAR(B6580),MONTH(B6580),1)</f>
        <v>46266</v>
      </c>
      <c r="M6580" s="31" t="n">
        <f aca="false">WEEKDAY(B6580,2)</f>
        <v>6</v>
      </c>
      <c r="N6580" s="31" t="str">
        <f aca="false">IF(G6580&lt;=INDEX(Assumptions!$B$15:$B$18,MATCH(E6580,Assumptions!$A$15:$A$18,0)),"Yes","No")</f>
        <v>Yes</v>
      </c>
      <c r="O6580" s="31" t="str">
        <f aca="false">IF(H6580="","Open",IF(H6580&lt;=INDEX(Assumptions!$C$15:$C$18,MATCH(E6580,Assumptions!$A$15:$A$18,0)),"Yes","No"))</f>
        <v>Open</v>
      </c>
    </row>
    <row r="6581" customFormat="false" ht="15" hidden="false" customHeight="false" outlineLevel="0" collapsed="false">
      <c r="A6581" s="31" t="s">
        <v>6731</v>
      </c>
      <c r="B6581" s="44" t="n">
        <v>46291</v>
      </c>
      <c r="C6581" s="31" t="s">
        <v>60</v>
      </c>
      <c r="D6581" s="31" t="s">
        <v>65</v>
      </c>
      <c r="E6581" s="31" t="s">
        <v>51</v>
      </c>
      <c r="F6581" s="31" t="s">
        <v>130</v>
      </c>
      <c r="G6581" s="31" t="n">
        <v>1</v>
      </c>
      <c r="H6581" s="41"/>
      <c r="I6581" s="31" t="s">
        <v>158</v>
      </c>
      <c r="J6581" s="31"/>
      <c r="K6581" s="31" t="s">
        <v>150</v>
      </c>
      <c r="L6581" s="45" t="n">
        <f aca="false">DATE(YEAR(B6581),MONTH(B6581),1)</f>
        <v>46266</v>
      </c>
      <c r="M6581" s="31" t="n">
        <f aca="false">WEEKDAY(B6581,2)</f>
        <v>6</v>
      </c>
      <c r="N6581" s="31" t="str">
        <f aca="false">IF(G6581&lt;=INDEX(Assumptions!$B$15:$B$18,MATCH(E6581,Assumptions!$A$15:$A$18,0)),"Yes","No")</f>
        <v>Yes</v>
      </c>
      <c r="O6581" s="31" t="str">
        <f aca="false">IF(H6581="","Open",IF(H6581&lt;=INDEX(Assumptions!$C$15:$C$18,MATCH(E6581,Assumptions!$A$15:$A$18,0)),"Yes","No"))</f>
        <v>Open</v>
      </c>
    </row>
    <row r="6582" customFormat="false" ht="15" hidden="false" customHeight="false" outlineLevel="0" collapsed="false">
      <c r="A6582" s="31" t="s">
        <v>6732</v>
      </c>
      <c r="B6582" s="44" t="n">
        <v>46291</v>
      </c>
      <c r="C6582" s="31" t="s">
        <v>58</v>
      </c>
      <c r="D6582" s="31" t="s">
        <v>65</v>
      </c>
      <c r="E6582" s="31" t="s">
        <v>51</v>
      </c>
      <c r="F6582" s="31" t="s">
        <v>119</v>
      </c>
      <c r="G6582" s="31" t="n">
        <v>6</v>
      </c>
      <c r="H6582" s="41"/>
      <c r="I6582" s="31" t="s">
        <v>158</v>
      </c>
      <c r="J6582" s="31"/>
      <c r="K6582" s="31" t="s">
        <v>150</v>
      </c>
      <c r="L6582" s="45" t="n">
        <f aca="false">DATE(YEAR(B6582),MONTH(B6582),1)</f>
        <v>46266</v>
      </c>
      <c r="M6582" s="31" t="n">
        <f aca="false">WEEKDAY(B6582,2)</f>
        <v>6</v>
      </c>
      <c r="N6582" s="31" t="str">
        <f aca="false">IF(G6582&lt;=INDEX(Assumptions!$B$15:$B$18,MATCH(E6582,Assumptions!$A$15:$A$18,0)),"Yes","No")</f>
        <v>Yes</v>
      </c>
      <c r="O6582" s="31" t="str">
        <f aca="false">IF(H6582="","Open",IF(H6582&lt;=INDEX(Assumptions!$C$15:$C$18,MATCH(E6582,Assumptions!$A$15:$A$18,0)),"Yes","No"))</f>
        <v>Open</v>
      </c>
    </row>
    <row r="6583" customFormat="false" ht="15" hidden="false" customHeight="false" outlineLevel="0" collapsed="false">
      <c r="A6583" s="31" t="s">
        <v>6733</v>
      </c>
      <c r="B6583" s="44" t="n">
        <v>46291</v>
      </c>
      <c r="C6583" s="31" t="s">
        <v>58</v>
      </c>
      <c r="D6583" s="31" t="s">
        <v>68</v>
      </c>
      <c r="E6583" s="31" t="s">
        <v>51</v>
      </c>
      <c r="F6583" s="31" t="s">
        <v>126</v>
      </c>
      <c r="G6583" s="31" t="n">
        <v>12</v>
      </c>
      <c r="H6583" s="41"/>
      <c r="I6583" s="31" t="s">
        <v>158</v>
      </c>
      <c r="J6583" s="31"/>
      <c r="K6583" s="31" t="s">
        <v>150</v>
      </c>
      <c r="L6583" s="45" t="n">
        <f aca="false">DATE(YEAR(B6583),MONTH(B6583),1)</f>
        <v>46266</v>
      </c>
      <c r="M6583" s="31" t="n">
        <f aca="false">WEEKDAY(B6583,2)</f>
        <v>6</v>
      </c>
      <c r="N6583" s="31" t="str">
        <f aca="false">IF(G6583&lt;=INDEX(Assumptions!$B$15:$B$18,MATCH(E6583,Assumptions!$A$15:$A$18,0)),"Yes","No")</f>
        <v>Yes</v>
      </c>
      <c r="O6583" s="31" t="str">
        <f aca="false">IF(H6583="","Open",IF(H6583&lt;=INDEX(Assumptions!$C$15:$C$18,MATCH(E6583,Assumptions!$A$15:$A$18,0)),"Yes","No"))</f>
        <v>Open</v>
      </c>
    </row>
    <row r="6584" customFormat="false" ht="15" hidden="false" customHeight="false" outlineLevel="0" collapsed="false">
      <c r="A6584" s="31" t="s">
        <v>6734</v>
      </c>
      <c r="B6584" s="44" t="n">
        <v>46291</v>
      </c>
      <c r="C6584" s="31" t="s">
        <v>59</v>
      </c>
      <c r="D6584" s="31" t="s">
        <v>67</v>
      </c>
      <c r="E6584" s="31" t="s">
        <v>50</v>
      </c>
      <c r="F6584" s="31" t="s">
        <v>117</v>
      </c>
      <c r="G6584" s="31" t="n">
        <v>42</v>
      </c>
      <c r="H6584" s="41"/>
      <c r="I6584" s="31" t="s">
        <v>158</v>
      </c>
      <c r="J6584" s="31"/>
      <c r="K6584" s="31" t="s">
        <v>150</v>
      </c>
      <c r="L6584" s="45" t="n">
        <f aca="false">DATE(YEAR(B6584),MONTH(B6584),1)</f>
        <v>46266</v>
      </c>
      <c r="M6584" s="31" t="n">
        <f aca="false">WEEKDAY(B6584,2)</f>
        <v>6</v>
      </c>
      <c r="N6584" s="31" t="str">
        <f aca="false">IF(G6584&lt;=INDEX(Assumptions!$B$15:$B$18,MATCH(E6584,Assumptions!$A$15:$A$18,0)),"Yes","No")</f>
        <v>No</v>
      </c>
      <c r="O6584" s="31" t="str">
        <f aca="false">IF(H6584="","Open",IF(H6584&lt;=INDEX(Assumptions!$C$15:$C$18,MATCH(E6584,Assumptions!$A$15:$A$18,0)),"Yes","No"))</f>
        <v>Open</v>
      </c>
    </row>
    <row r="6585" customFormat="false" ht="15" hidden="false" customHeight="false" outlineLevel="0" collapsed="false">
      <c r="A6585" s="31" t="s">
        <v>6735</v>
      </c>
      <c r="B6585" s="44" t="n">
        <v>46291</v>
      </c>
      <c r="C6585" s="31" t="s">
        <v>58</v>
      </c>
      <c r="D6585" s="31" t="s">
        <v>67</v>
      </c>
      <c r="E6585" s="31" t="s">
        <v>51</v>
      </c>
      <c r="F6585" s="31" t="s">
        <v>122</v>
      </c>
      <c r="G6585" s="31" t="n">
        <v>17</v>
      </c>
      <c r="H6585" s="41"/>
      <c r="I6585" s="31" t="s">
        <v>158</v>
      </c>
      <c r="J6585" s="31"/>
      <c r="K6585" s="31" t="s">
        <v>150</v>
      </c>
      <c r="L6585" s="45" t="n">
        <f aca="false">DATE(YEAR(B6585),MONTH(B6585),1)</f>
        <v>46266</v>
      </c>
      <c r="M6585" s="31" t="n">
        <f aca="false">WEEKDAY(B6585,2)</f>
        <v>6</v>
      </c>
      <c r="N6585" s="31" t="str">
        <f aca="false">IF(G6585&lt;=INDEX(Assumptions!$B$15:$B$18,MATCH(E6585,Assumptions!$A$15:$A$18,0)),"Yes","No")</f>
        <v>Yes</v>
      </c>
      <c r="O6585" s="31" t="str">
        <f aca="false">IF(H6585="","Open",IF(H6585&lt;=INDEX(Assumptions!$C$15:$C$18,MATCH(E6585,Assumptions!$A$15:$A$18,0)),"Yes","No"))</f>
        <v>Open</v>
      </c>
    </row>
    <row r="6586" customFormat="false" ht="15" hidden="false" customHeight="false" outlineLevel="0" collapsed="false">
      <c r="A6586" s="31" t="s">
        <v>6736</v>
      </c>
      <c r="B6586" s="44" t="n">
        <v>46291</v>
      </c>
      <c r="C6586" s="31" t="s">
        <v>58</v>
      </c>
      <c r="D6586" s="31" t="s">
        <v>66</v>
      </c>
      <c r="E6586" s="31" t="s">
        <v>52</v>
      </c>
      <c r="F6586" s="31" t="s">
        <v>136</v>
      </c>
      <c r="G6586" s="31" t="n">
        <v>19</v>
      </c>
      <c r="H6586" s="41" t="n">
        <v>22.7</v>
      </c>
      <c r="I6586" s="31" t="s">
        <v>149</v>
      </c>
      <c r="J6586" s="31" t="n">
        <v>5</v>
      </c>
      <c r="K6586" s="31" t="s">
        <v>150</v>
      </c>
      <c r="L6586" s="45" t="n">
        <f aca="false">DATE(YEAR(B6586),MONTH(B6586),1)</f>
        <v>46266</v>
      </c>
      <c r="M6586" s="31" t="n">
        <f aca="false">WEEKDAY(B6586,2)</f>
        <v>6</v>
      </c>
      <c r="N6586" s="31" t="str">
        <f aca="false">IF(G6586&lt;=INDEX(Assumptions!$B$15:$B$18,MATCH(E6586,Assumptions!$A$15:$A$18,0)),"Yes","No")</f>
        <v>Yes</v>
      </c>
      <c r="O6586" s="31" t="str">
        <f aca="false">IF(H6586="","Open",IF(H6586&lt;=INDEX(Assumptions!$C$15:$C$18,MATCH(E6586,Assumptions!$A$15:$A$18,0)),"Yes","No"))</f>
        <v>Yes</v>
      </c>
    </row>
    <row r="6587" customFormat="false" ht="15" hidden="false" customHeight="false" outlineLevel="0" collapsed="false">
      <c r="A6587" s="31" t="s">
        <v>6737</v>
      </c>
      <c r="B6587" s="44" t="n">
        <v>46291</v>
      </c>
      <c r="C6587" s="31" t="s">
        <v>60</v>
      </c>
      <c r="D6587" s="31" t="s">
        <v>65</v>
      </c>
      <c r="E6587" s="31" t="s">
        <v>52</v>
      </c>
      <c r="F6587" s="31" t="s">
        <v>133</v>
      </c>
      <c r="G6587" s="31" t="n">
        <v>5</v>
      </c>
      <c r="H6587" s="41" t="n">
        <v>16.5</v>
      </c>
      <c r="I6587" s="31" t="s">
        <v>149</v>
      </c>
      <c r="J6587" s="31" t="n">
        <v>5</v>
      </c>
      <c r="K6587" s="31" t="s">
        <v>150</v>
      </c>
      <c r="L6587" s="45" t="n">
        <f aca="false">DATE(YEAR(B6587),MONTH(B6587),1)</f>
        <v>46266</v>
      </c>
      <c r="M6587" s="31" t="n">
        <f aca="false">WEEKDAY(B6587,2)</f>
        <v>6</v>
      </c>
      <c r="N6587" s="31" t="str">
        <f aca="false">IF(G6587&lt;=INDEX(Assumptions!$B$15:$B$18,MATCH(E6587,Assumptions!$A$15:$A$18,0)),"Yes","No")</f>
        <v>Yes</v>
      </c>
      <c r="O6587" s="31" t="str">
        <f aca="false">IF(H6587="","Open",IF(H6587&lt;=INDEX(Assumptions!$C$15:$C$18,MATCH(E6587,Assumptions!$A$15:$A$18,0)),"Yes","No"))</f>
        <v>Yes</v>
      </c>
    </row>
    <row r="6588" customFormat="false" ht="15" hidden="false" customHeight="false" outlineLevel="0" collapsed="false">
      <c r="A6588" s="31" t="s">
        <v>6738</v>
      </c>
      <c r="B6588" s="44" t="n">
        <v>46291</v>
      </c>
      <c r="C6588" s="31" t="s">
        <v>59</v>
      </c>
      <c r="D6588" s="31" t="s">
        <v>68</v>
      </c>
      <c r="E6588" s="31" t="s">
        <v>52</v>
      </c>
      <c r="F6588" s="31" t="s">
        <v>129</v>
      </c>
      <c r="G6588" s="31" t="n">
        <v>13</v>
      </c>
      <c r="H6588" s="41"/>
      <c r="I6588" s="31" t="s">
        <v>158</v>
      </c>
      <c r="J6588" s="31"/>
      <c r="K6588" s="31" t="s">
        <v>150</v>
      </c>
      <c r="L6588" s="45" t="n">
        <f aca="false">DATE(YEAR(B6588),MONTH(B6588),1)</f>
        <v>46266</v>
      </c>
      <c r="M6588" s="31" t="n">
        <f aca="false">WEEKDAY(B6588,2)</f>
        <v>6</v>
      </c>
      <c r="N6588" s="31" t="str">
        <f aca="false">IF(G6588&lt;=INDEX(Assumptions!$B$15:$B$18,MATCH(E6588,Assumptions!$A$15:$A$18,0)),"Yes","No")</f>
        <v>Yes</v>
      </c>
      <c r="O6588" s="31" t="str">
        <f aca="false">IF(H6588="","Open",IF(H6588&lt;=INDEX(Assumptions!$C$15:$C$18,MATCH(E6588,Assumptions!$A$15:$A$18,0)),"Yes","No"))</f>
        <v>Open</v>
      </c>
    </row>
    <row r="6589" customFormat="false" ht="15" hidden="false" customHeight="false" outlineLevel="0" collapsed="false">
      <c r="A6589" s="31" t="s">
        <v>6739</v>
      </c>
      <c r="B6589" s="44" t="n">
        <v>46291</v>
      </c>
      <c r="C6589" s="31" t="s">
        <v>60</v>
      </c>
      <c r="D6589" s="31" t="s">
        <v>65</v>
      </c>
      <c r="E6589" s="31" t="s">
        <v>51</v>
      </c>
      <c r="F6589" s="31" t="s">
        <v>119</v>
      </c>
      <c r="G6589" s="31" t="n">
        <v>2</v>
      </c>
      <c r="H6589" s="41" t="n">
        <v>17</v>
      </c>
      <c r="I6589" s="31" t="s">
        <v>149</v>
      </c>
      <c r="J6589" s="31" t="n">
        <v>4</v>
      </c>
      <c r="K6589" s="31" t="s">
        <v>153</v>
      </c>
      <c r="L6589" s="45" t="n">
        <f aca="false">DATE(YEAR(B6589),MONTH(B6589),1)</f>
        <v>46266</v>
      </c>
      <c r="M6589" s="31" t="n">
        <f aca="false">WEEKDAY(B6589,2)</f>
        <v>6</v>
      </c>
      <c r="N6589" s="31" t="str">
        <f aca="false">IF(G6589&lt;=INDEX(Assumptions!$B$15:$B$18,MATCH(E6589,Assumptions!$A$15:$A$18,0)),"Yes","No")</f>
        <v>Yes</v>
      </c>
      <c r="O6589" s="31" t="str">
        <f aca="false">IF(H6589="","Open",IF(H6589&lt;=INDEX(Assumptions!$C$15:$C$18,MATCH(E6589,Assumptions!$A$15:$A$18,0)),"Yes","No"))</f>
        <v>Yes</v>
      </c>
    </row>
    <row r="6590" customFormat="false" ht="15" hidden="false" customHeight="false" outlineLevel="0" collapsed="false">
      <c r="A6590" s="31" t="s">
        <v>6740</v>
      </c>
      <c r="B6590" s="44" t="n">
        <v>46291</v>
      </c>
      <c r="C6590" s="31" t="s">
        <v>59</v>
      </c>
      <c r="D6590" s="31" t="s">
        <v>68</v>
      </c>
      <c r="E6590" s="31" t="s">
        <v>49</v>
      </c>
      <c r="F6590" s="31" t="s">
        <v>131</v>
      </c>
      <c r="G6590" s="31" t="n">
        <v>20</v>
      </c>
      <c r="H6590" s="41" t="n">
        <v>1.9</v>
      </c>
      <c r="I6590" s="31" t="s">
        <v>64</v>
      </c>
      <c r="J6590" s="31"/>
      <c r="K6590" s="31" t="s">
        <v>150</v>
      </c>
      <c r="L6590" s="45" t="n">
        <f aca="false">DATE(YEAR(B6590),MONTH(B6590),1)</f>
        <v>46266</v>
      </c>
      <c r="M6590" s="31" t="n">
        <f aca="false">WEEKDAY(B6590,2)</f>
        <v>6</v>
      </c>
      <c r="N6590" s="31" t="str">
        <f aca="false">IF(G6590&lt;=INDEX(Assumptions!$B$15:$B$18,MATCH(E6590,Assumptions!$A$15:$A$18,0)),"Yes","No")</f>
        <v>No</v>
      </c>
      <c r="O6590" s="31" t="str">
        <f aca="false">IF(H6590="","Open",IF(H6590&lt;=INDEX(Assumptions!$C$15:$C$18,MATCH(E6590,Assumptions!$A$15:$A$18,0)),"Yes","No"))</f>
        <v>Yes</v>
      </c>
    </row>
    <row r="6591" customFormat="false" ht="15" hidden="false" customHeight="false" outlineLevel="0" collapsed="false">
      <c r="A6591" s="31" t="s">
        <v>6741</v>
      </c>
      <c r="B6591" s="44" t="n">
        <v>46291</v>
      </c>
      <c r="C6591" s="31" t="s">
        <v>57</v>
      </c>
      <c r="D6591" s="31" t="s">
        <v>68</v>
      </c>
      <c r="E6591" s="31" t="s">
        <v>52</v>
      </c>
      <c r="F6591" s="31" t="s">
        <v>124</v>
      </c>
      <c r="G6591" s="31" t="n">
        <v>5</v>
      </c>
      <c r="H6591" s="41" t="n">
        <v>1</v>
      </c>
      <c r="I6591" s="31" t="s">
        <v>149</v>
      </c>
      <c r="J6591" s="31" t="n">
        <v>5</v>
      </c>
      <c r="K6591" s="31" t="s">
        <v>150</v>
      </c>
      <c r="L6591" s="45" t="n">
        <f aca="false">DATE(YEAR(B6591),MONTH(B6591),1)</f>
        <v>46266</v>
      </c>
      <c r="M6591" s="31" t="n">
        <f aca="false">WEEKDAY(B6591,2)</f>
        <v>6</v>
      </c>
      <c r="N6591" s="31" t="str">
        <f aca="false">IF(G6591&lt;=INDEX(Assumptions!$B$15:$B$18,MATCH(E6591,Assumptions!$A$15:$A$18,0)),"Yes","No")</f>
        <v>Yes</v>
      </c>
      <c r="O6591" s="31" t="str">
        <f aca="false">IF(H6591="","Open",IF(H6591&lt;=INDEX(Assumptions!$C$15:$C$18,MATCH(E6591,Assumptions!$A$15:$A$18,0)),"Yes","No"))</f>
        <v>Yes</v>
      </c>
    </row>
    <row r="6592" customFormat="false" ht="15" hidden="false" customHeight="false" outlineLevel="0" collapsed="false">
      <c r="A6592" s="31" t="s">
        <v>6742</v>
      </c>
      <c r="B6592" s="44" t="n">
        <v>46291</v>
      </c>
      <c r="C6592" s="31" t="s">
        <v>58</v>
      </c>
      <c r="D6592" s="31" t="s">
        <v>66</v>
      </c>
      <c r="E6592" s="31" t="s">
        <v>51</v>
      </c>
      <c r="F6592" s="31" t="s">
        <v>136</v>
      </c>
      <c r="G6592" s="31" t="n">
        <v>52</v>
      </c>
      <c r="H6592" s="41" t="n">
        <v>1.1</v>
      </c>
      <c r="I6592" s="31" t="s">
        <v>149</v>
      </c>
      <c r="J6592" s="31"/>
      <c r="K6592" s="31" t="s">
        <v>153</v>
      </c>
      <c r="L6592" s="45" t="n">
        <f aca="false">DATE(YEAR(B6592),MONTH(B6592),1)</f>
        <v>46266</v>
      </c>
      <c r="M6592" s="31" t="n">
        <f aca="false">WEEKDAY(B6592,2)</f>
        <v>6</v>
      </c>
      <c r="N6592" s="31" t="str">
        <f aca="false">IF(G6592&lt;=INDEX(Assumptions!$B$15:$B$18,MATCH(E6592,Assumptions!$A$15:$A$18,0)),"Yes","No")</f>
        <v>Yes</v>
      </c>
      <c r="O6592" s="31" t="str">
        <f aca="false">IF(H6592="","Open",IF(H6592&lt;=INDEX(Assumptions!$C$15:$C$18,MATCH(E6592,Assumptions!$A$15:$A$18,0)),"Yes","No"))</f>
        <v>Yes</v>
      </c>
    </row>
    <row r="6593" customFormat="false" ht="15" hidden="false" customHeight="false" outlineLevel="0" collapsed="false">
      <c r="A6593" s="31" t="s">
        <v>6743</v>
      </c>
      <c r="B6593" s="44" t="n">
        <v>46291</v>
      </c>
      <c r="C6593" s="31" t="s">
        <v>59</v>
      </c>
      <c r="D6593" s="31" t="s">
        <v>69</v>
      </c>
      <c r="E6593" s="31" t="s">
        <v>52</v>
      </c>
      <c r="F6593" s="31" t="s">
        <v>123</v>
      </c>
      <c r="G6593" s="31" t="n">
        <v>88</v>
      </c>
      <c r="H6593" s="41" t="n">
        <v>19.8</v>
      </c>
      <c r="I6593" s="31" t="s">
        <v>149</v>
      </c>
      <c r="J6593" s="31" t="n">
        <v>5</v>
      </c>
      <c r="K6593" s="31" t="s">
        <v>150</v>
      </c>
      <c r="L6593" s="45" t="n">
        <f aca="false">DATE(YEAR(B6593),MONTH(B6593),1)</f>
        <v>46266</v>
      </c>
      <c r="M6593" s="31" t="n">
        <f aca="false">WEEKDAY(B6593,2)</f>
        <v>6</v>
      </c>
      <c r="N6593" s="31" t="str">
        <f aca="false">IF(G6593&lt;=INDEX(Assumptions!$B$15:$B$18,MATCH(E6593,Assumptions!$A$15:$A$18,0)),"Yes","No")</f>
        <v>Yes</v>
      </c>
      <c r="O6593" s="31" t="str">
        <f aca="false">IF(H6593="","Open",IF(H6593&lt;=INDEX(Assumptions!$C$15:$C$18,MATCH(E6593,Assumptions!$A$15:$A$18,0)),"Yes","No"))</f>
        <v>Yes</v>
      </c>
    </row>
    <row r="6594" customFormat="false" ht="15" hidden="false" customHeight="false" outlineLevel="0" collapsed="false">
      <c r="A6594" s="31" t="s">
        <v>6744</v>
      </c>
      <c r="B6594" s="44" t="n">
        <v>46291</v>
      </c>
      <c r="C6594" s="31" t="s">
        <v>59</v>
      </c>
      <c r="D6594" s="31" t="s">
        <v>69</v>
      </c>
      <c r="E6594" s="31" t="s">
        <v>51</v>
      </c>
      <c r="F6594" s="31" t="s">
        <v>119</v>
      </c>
      <c r="G6594" s="31" t="n">
        <v>54</v>
      </c>
      <c r="H6594" s="41"/>
      <c r="I6594" s="31" t="s">
        <v>158</v>
      </c>
      <c r="J6594" s="31"/>
      <c r="K6594" s="31" t="s">
        <v>150</v>
      </c>
      <c r="L6594" s="45" t="n">
        <f aca="false">DATE(YEAR(B6594),MONTH(B6594),1)</f>
        <v>46266</v>
      </c>
      <c r="M6594" s="31" t="n">
        <f aca="false">WEEKDAY(B6594,2)</f>
        <v>6</v>
      </c>
      <c r="N6594" s="31" t="str">
        <f aca="false">IF(G6594&lt;=INDEX(Assumptions!$B$15:$B$18,MATCH(E6594,Assumptions!$A$15:$A$18,0)),"Yes","No")</f>
        <v>Yes</v>
      </c>
      <c r="O6594" s="31" t="str">
        <f aca="false">IF(H6594="","Open",IF(H6594&lt;=INDEX(Assumptions!$C$15:$C$18,MATCH(E6594,Assumptions!$A$15:$A$18,0)),"Yes","No"))</f>
        <v>Open</v>
      </c>
    </row>
    <row r="6595" customFormat="false" ht="15" hidden="false" customHeight="false" outlineLevel="0" collapsed="false">
      <c r="A6595" s="31" t="s">
        <v>6745</v>
      </c>
      <c r="B6595" s="44" t="n">
        <v>46291</v>
      </c>
      <c r="C6595" s="31" t="s">
        <v>59</v>
      </c>
      <c r="D6595" s="31" t="s">
        <v>67</v>
      </c>
      <c r="E6595" s="31" t="s">
        <v>49</v>
      </c>
      <c r="F6595" s="31" t="s">
        <v>121</v>
      </c>
      <c r="G6595" s="31" t="n">
        <v>32</v>
      </c>
      <c r="H6595" s="41"/>
      <c r="I6595" s="31" t="s">
        <v>158</v>
      </c>
      <c r="J6595" s="31"/>
      <c r="K6595" s="31" t="s">
        <v>150</v>
      </c>
      <c r="L6595" s="45" t="n">
        <f aca="false">DATE(YEAR(B6595),MONTH(B6595),1)</f>
        <v>46266</v>
      </c>
      <c r="M6595" s="31" t="n">
        <f aca="false">WEEKDAY(B6595,2)</f>
        <v>6</v>
      </c>
      <c r="N6595" s="31" t="str">
        <f aca="false">IF(G6595&lt;=INDEX(Assumptions!$B$15:$B$18,MATCH(E6595,Assumptions!$A$15:$A$18,0)),"Yes","No")</f>
        <v>No</v>
      </c>
      <c r="O6595" s="31" t="str">
        <f aca="false">IF(H6595="","Open",IF(H6595&lt;=INDEX(Assumptions!$C$15:$C$18,MATCH(E6595,Assumptions!$A$15:$A$18,0)),"Yes","No"))</f>
        <v>Open</v>
      </c>
    </row>
    <row r="6596" customFormat="false" ht="15" hidden="false" customHeight="false" outlineLevel="0" collapsed="false">
      <c r="A6596" s="31" t="s">
        <v>6746</v>
      </c>
      <c r="B6596" s="44" t="n">
        <v>46291</v>
      </c>
      <c r="C6596" s="31" t="s">
        <v>58</v>
      </c>
      <c r="D6596" s="31" t="s">
        <v>66</v>
      </c>
      <c r="E6596" s="31" t="s">
        <v>51</v>
      </c>
      <c r="F6596" s="31" t="s">
        <v>136</v>
      </c>
      <c r="G6596" s="31" t="n">
        <v>10</v>
      </c>
      <c r="H6596" s="41" t="n">
        <v>6.2</v>
      </c>
      <c r="I6596" s="31" t="s">
        <v>149</v>
      </c>
      <c r="J6596" s="31" t="n">
        <v>5</v>
      </c>
      <c r="K6596" s="31" t="s">
        <v>150</v>
      </c>
      <c r="L6596" s="45" t="n">
        <f aca="false">DATE(YEAR(B6596),MONTH(B6596),1)</f>
        <v>46266</v>
      </c>
      <c r="M6596" s="31" t="n">
        <f aca="false">WEEKDAY(B6596,2)</f>
        <v>6</v>
      </c>
      <c r="N6596" s="31" t="str">
        <f aca="false">IF(G6596&lt;=INDEX(Assumptions!$B$15:$B$18,MATCH(E6596,Assumptions!$A$15:$A$18,0)),"Yes","No")</f>
        <v>Yes</v>
      </c>
      <c r="O6596" s="31" t="str">
        <f aca="false">IF(H6596="","Open",IF(H6596&lt;=INDEX(Assumptions!$C$15:$C$18,MATCH(E6596,Assumptions!$A$15:$A$18,0)),"Yes","No"))</f>
        <v>Yes</v>
      </c>
    </row>
    <row r="6597" customFormat="false" ht="15" hidden="false" customHeight="false" outlineLevel="0" collapsed="false">
      <c r="A6597" s="31" t="s">
        <v>6747</v>
      </c>
      <c r="B6597" s="44" t="n">
        <v>46291</v>
      </c>
      <c r="C6597" s="31" t="s">
        <v>58</v>
      </c>
      <c r="D6597" s="31" t="s">
        <v>68</v>
      </c>
      <c r="E6597" s="31" t="s">
        <v>51</v>
      </c>
      <c r="F6597" s="31" t="s">
        <v>133</v>
      </c>
      <c r="G6597" s="31" t="n">
        <v>33</v>
      </c>
      <c r="H6597" s="41"/>
      <c r="I6597" s="31" t="s">
        <v>158</v>
      </c>
      <c r="J6597" s="31"/>
      <c r="K6597" s="31" t="s">
        <v>150</v>
      </c>
      <c r="L6597" s="45" t="n">
        <f aca="false">DATE(YEAR(B6597),MONTH(B6597),1)</f>
        <v>46266</v>
      </c>
      <c r="M6597" s="31" t="n">
        <f aca="false">WEEKDAY(B6597,2)</f>
        <v>6</v>
      </c>
      <c r="N6597" s="31" t="str">
        <f aca="false">IF(G6597&lt;=INDEX(Assumptions!$B$15:$B$18,MATCH(E6597,Assumptions!$A$15:$A$18,0)),"Yes","No")</f>
        <v>Yes</v>
      </c>
      <c r="O6597" s="31" t="str">
        <f aca="false">IF(H6597="","Open",IF(H6597&lt;=INDEX(Assumptions!$C$15:$C$18,MATCH(E6597,Assumptions!$A$15:$A$18,0)),"Yes","No"))</f>
        <v>Open</v>
      </c>
    </row>
    <row r="6598" customFormat="false" ht="15" hidden="false" customHeight="false" outlineLevel="0" collapsed="false">
      <c r="A6598" s="31" t="s">
        <v>6748</v>
      </c>
      <c r="B6598" s="44" t="n">
        <v>46291</v>
      </c>
      <c r="C6598" s="31" t="s">
        <v>60</v>
      </c>
      <c r="D6598" s="31" t="s">
        <v>68</v>
      </c>
      <c r="E6598" s="31" t="s">
        <v>51</v>
      </c>
      <c r="F6598" s="31" t="s">
        <v>130</v>
      </c>
      <c r="G6598" s="31" t="n">
        <v>1</v>
      </c>
      <c r="H6598" s="41"/>
      <c r="I6598" s="31" t="s">
        <v>158</v>
      </c>
      <c r="J6598" s="31"/>
      <c r="K6598" s="31" t="s">
        <v>150</v>
      </c>
      <c r="L6598" s="45" t="n">
        <f aca="false">DATE(YEAR(B6598),MONTH(B6598),1)</f>
        <v>46266</v>
      </c>
      <c r="M6598" s="31" t="n">
        <f aca="false">WEEKDAY(B6598,2)</f>
        <v>6</v>
      </c>
      <c r="N6598" s="31" t="str">
        <f aca="false">IF(G6598&lt;=INDEX(Assumptions!$B$15:$B$18,MATCH(E6598,Assumptions!$A$15:$A$18,0)),"Yes","No")</f>
        <v>Yes</v>
      </c>
      <c r="O6598" s="31" t="str">
        <f aca="false">IF(H6598="","Open",IF(H6598&lt;=INDEX(Assumptions!$C$15:$C$18,MATCH(E6598,Assumptions!$A$15:$A$18,0)),"Yes","No"))</f>
        <v>Open</v>
      </c>
    </row>
    <row r="6599" customFormat="false" ht="15" hidden="false" customHeight="false" outlineLevel="0" collapsed="false">
      <c r="A6599" s="31" t="s">
        <v>6749</v>
      </c>
      <c r="B6599" s="44" t="n">
        <v>46291</v>
      </c>
      <c r="C6599" s="31" t="s">
        <v>60</v>
      </c>
      <c r="D6599" s="31" t="s">
        <v>66</v>
      </c>
      <c r="E6599" s="31" t="s">
        <v>52</v>
      </c>
      <c r="F6599" s="31" t="s">
        <v>119</v>
      </c>
      <c r="G6599" s="31" t="n">
        <v>2</v>
      </c>
      <c r="H6599" s="41"/>
      <c r="I6599" s="31" t="s">
        <v>158</v>
      </c>
      <c r="J6599" s="31"/>
      <c r="K6599" s="31" t="s">
        <v>150</v>
      </c>
      <c r="L6599" s="45" t="n">
        <f aca="false">DATE(YEAR(B6599),MONTH(B6599),1)</f>
        <v>46266</v>
      </c>
      <c r="M6599" s="31" t="n">
        <f aca="false">WEEKDAY(B6599,2)</f>
        <v>6</v>
      </c>
      <c r="N6599" s="31" t="str">
        <f aca="false">IF(G6599&lt;=INDEX(Assumptions!$B$15:$B$18,MATCH(E6599,Assumptions!$A$15:$A$18,0)),"Yes","No")</f>
        <v>Yes</v>
      </c>
      <c r="O6599" s="31" t="str">
        <f aca="false">IF(H6599="","Open",IF(H6599&lt;=INDEX(Assumptions!$C$15:$C$18,MATCH(E6599,Assumptions!$A$15:$A$18,0)),"Yes","No"))</f>
        <v>Open</v>
      </c>
    </row>
    <row r="6600" customFormat="false" ht="15" hidden="false" customHeight="false" outlineLevel="0" collapsed="false">
      <c r="A6600" s="31" t="s">
        <v>6750</v>
      </c>
      <c r="B6600" s="44" t="n">
        <v>46291</v>
      </c>
      <c r="C6600" s="31" t="s">
        <v>58</v>
      </c>
      <c r="D6600" s="31" t="s">
        <v>66</v>
      </c>
      <c r="E6600" s="31" t="s">
        <v>51</v>
      </c>
      <c r="F6600" s="31" t="s">
        <v>126</v>
      </c>
      <c r="G6600" s="31" t="n">
        <v>19</v>
      </c>
      <c r="H6600" s="41" t="n">
        <v>3.3</v>
      </c>
      <c r="I6600" s="31" t="s">
        <v>149</v>
      </c>
      <c r="J6600" s="31"/>
      <c r="K6600" s="31" t="s">
        <v>150</v>
      </c>
      <c r="L6600" s="45" t="n">
        <f aca="false">DATE(YEAR(B6600),MONTH(B6600),1)</f>
        <v>46266</v>
      </c>
      <c r="M6600" s="31" t="n">
        <f aca="false">WEEKDAY(B6600,2)</f>
        <v>6</v>
      </c>
      <c r="N6600" s="31" t="str">
        <f aca="false">IF(G6600&lt;=INDEX(Assumptions!$B$15:$B$18,MATCH(E6600,Assumptions!$A$15:$A$18,0)),"Yes","No")</f>
        <v>Yes</v>
      </c>
      <c r="O6600" s="31" t="str">
        <f aca="false">IF(H6600="","Open",IF(H6600&lt;=INDEX(Assumptions!$C$15:$C$18,MATCH(E6600,Assumptions!$A$15:$A$18,0)),"Yes","No"))</f>
        <v>Yes</v>
      </c>
    </row>
    <row r="6601" customFormat="false" ht="15" hidden="false" customHeight="false" outlineLevel="0" collapsed="false">
      <c r="A6601" s="31" t="s">
        <v>6751</v>
      </c>
      <c r="B6601" s="44" t="n">
        <v>46291</v>
      </c>
      <c r="C6601" s="31" t="s">
        <v>58</v>
      </c>
      <c r="D6601" s="31" t="s">
        <v>67</v>
      </c>
      <c r="E6601" s="31" t="s">
        <v>51</v>
      </c>
      <c r="F6601" s="31" t="s">
        <v>133</v>
      </c>
      <c r="G6601" s="31" t="n">
        <v>44</v>
      </c>
      <c r="H6601" s="41" t="n">
        <v>34.1</v>
      </c>
      <c r="I6601" s="31" t="s">
        <v>64</v>
      </c>
      <c r="J6601" s="31" t="n">
        <v>3</v>
      </c>
      <c r="K6601" s="31" t="s">
        <v>150</v>
      </c>
      <c r="L6601" s="45" t="n">
        <f aca="false">DATE(YEAR(B6601),MONTH(B6601),1)</f>
        <v>46266</v>
      </c>
      <c r="M6601" s="31" t="n">
        <f aca="false">WEEKDAY(B6601,2)</f>
        <v>6</v>
      </c>
      <c r="N6601" s="31" t="str">
        <f aca="false">IF(G6601&lt;=INDEX(Assumptions!$B$15:$B$18,MATCH(E6601,Assumptions!$A$15:$A$18,0)),"Yes","No")</f>
        <v>Yes</v>
      </c>
      <c r="O6601" s="31" t="str">
        <f aca="false">IF(H6601="","Open",IF(H6601&lt;=INDEX(Assumptions!$C$15:$C$18,MATCH(E6601,Assumptions!$A$15:$A$18,0)),"Yes","No"))</f>
        <v>No</v>
      </c>
    </row>
    <row r="6602" customFormat="false" ht="15" hidden="false" customHeight="false" outlineLevel="0" collapsed="false">
      <c r="A6602" s="31" t="s">
        <v>6752</v>
      </c>
      <c r="B6602" s="44" t="n">
        <v>46291</v>
      </c>
      <c r="C6602" s="31" t="s">
        <v>58</v>
      </c>
      <c r="D6602" s="31" t="s">
        <v>65</v>
      </c>
      <c r="E6602" s="31" t="s">
        <v>52</v>
      </c>
      <c r="F6602" s="31" t="s">
        <v>123</v>
      </c>
      <c r="G6602" s="31" t="n">
        <v>7</v>
      </c>
      <c r="H6602" s="41" t="n">
        <v>20.4</v>
      </c>
      <c r="I6602" s="31" t="s">
        <v>149</v>
      </c>
      <c r="J6602" s="31" t="n">
        <v>4</v>
      </c>
      <c r="K6602" s="31" t="s">
        <v>150</v>
      </c>
      <c r="L6602" s="45" t="n">
        <f aca="false">DATE(YEAR(B6602),MONTH(B6602),1)</f>
        <v>46266</v>
      </c>
      <c r="M6602" s="31" t="n">
        <f aca="false">WEEKDAY(B6602,2)</f>
        <v>6</v>
      </c>
      <c r="N6602" s="31" t="str">
        <f aca="false">IF(G6602&lt;=INDEX(Assumptions!$B$15:$B$18,MATCH(E6602,Assumptions!$A$15:$A$18,0)),"Yes","No")</f>
        <v>Yes</v>
      </c>
      <c r="O6602" s="31" t="str">
        <f aca="false">IF(H6602="","Open",IF(H6602&lt;=INDEX(Assumptions!$C$15:$C$18,MATCH(E6602,Assumptions!$A$15:$A$18,0)),"Yes","No"))</f>
        <v>Yes</v>
      </c>
    </row>
    <row r="6603" customFormat="false" ht="15" hidden="false" customHeight="false" outlineLevel="0" collapsed="false">
      <c r="A6603" s="31" t="s">
        <v>6753</v>
      </c>
      <c r="B6603" s="44" t="n">
        <v>46291</v>
      </c>
      <c r="C6603" s="31" t="s">
        <v>57</v>
      </c>
      <c r="D6603" s="31" t="s">
        <v>65</v>
      </c>
      <c r="E6603" s="31" t="s">
        <v>49</v>
      </c>
      <c r="F6603" s="31" t="s">
        <v>135</v>
      </c>
      <c r="G6603" s="31" t="n">
        <v>5</v>
      </c>
      <c r="H6603" s="41" t="n">
        <v>7.2</v>
      </c>
      <c r="I6603" s="31" t="s">
        <v>149</v>
      </c>
      <c r="J6603" s="31"/>
      <c r="K6603" s="31" t="s">
        <v>150</v>
      </c>
      <c r="L6603" s="45" t="n">
        <f aca="false">DATE(YEAR(B6603),MONTH(B6603),1)</f>
        <v>46266</v>
      </c>
      <c r="M6603" s="31" t="n">
        <f aca="false">WEEKDAY(B6603,2)</f>
        <v>6</v>
      </c>
      <c r="N6603" s="31" t="str">
        <f aca="false">IF(G6603&lt;=INDEX(Assumptions!$B$15:$B$18,MATCH(E6603,Assumptions!$A$15:$A$18,0)),"Yes","No")</f>
        <v>Yes</v>
      </c>
      <c r="O6603" s="31" t="str">
        <f aca="false">IF(H6603="","Open",IF(H6603&lt;=INDEX(Assumptions!$C$15:$C$18,MATCH(E6603,Assumptions!$A$15:$A$18,0)),"Yes","No"))</f>
        <v>No</v>
      </c>
    </row>
    <row r="6604" customFormat="false" ht="15" hidden="false" customHeight="false" outlineLevel="0" collapsed="false">
      <c r="A6604" s="31" t="s">
        <v>6754</v>
      </c>
      <c r="B6604" s="44" t="n">
        <v>46291</v>
      </c>
      <c r="C6604" s="31" t="s">
        <v>57</v>
      </c>
      <c r="D6604" s="31" t="s">
        <v>67</v>
      </c>
      <c r="E6604" s="31" t="s">
        <v>51</v>
      </c>
      <c r="F6604" s="31" t="s">
        <v>133</v>
      </c>
      <c r="G6604" s="31" t="n">
        <v>3</v>
      </c>
      <c r="H6604" s="41"/>
      <c r="I6604" s="31" t="s">
        <v>158</v>
      </c>
      <c r="J6604" s="31"/>
      <c r="K6604" s="31" t="s">
        <v>150</v>
      </c>
      <c r="L6604" s="45" t="n">
        <f aca="false">DATE(YEAR(B6604),MONTH(B6604),1)</f>
        <v>46266</v>
      </c>
      <c r="M6604" s="31" t="n">
        <f aca="false">WEEKDAY(B6604,2)</f>
        <v>6</v>
      </c>
      <c r="N6604" s="31" t="str">
        <f aca="false">IF(G6604&lt;=INDEX(Assumptions!$B$15:$B$18,MATCH(E6604,Assumptions!$A$15:$A$18,0)),"Yes","No")</f>
        <v>Yes</v>
      </c>
      <c r="O6604" s="31" t="str">
        <f aca="false">IF(H6604="","Open",IF(H6604&lt;=INDEX(Assumptions!$C$15:$C$18,MATCH(E6604,Assumptions!$A$15:$A$18,0)),"Yes","No"))</f>
        <v>Open</v>
      </c>
    </row>
    <row r="6605" customFormat="false" ht="15" hidden="false" customHeight="false" outlineLevel="0" collapsed="false">
      <c r="A6605" s="31" t="s">
        <v>6755</v>
      </c>
      <c r="B6605" s="44" t="n">
        <v>46291</v>
      </c>
      <c r="C6605" s="31" t="s">
        <v>58</v>
      </c>
      <c r="D6605" s="31" t="s">
        <v>67</v>
      </c>
      <c r="E6605" s="31" t="s">
        <v>52</v>
      </c>
      <c r="F6605" s="31" t="s">
        <v>128</v>
      </c>
      <c r="G6605" s="31" t="n">
        <v>41</v>
      </c>
      <c r="H6605" s="41"/>
      <c r="I6605" s="31" t="s">
        <v>158</v>
      </c>
      <c r="J6605" s="31"/>
      <c r="K6605" s="31" t="s">
        <v>150</v>
      </c>
      <c r="L6605" s="45" t="n">
        <f aca="false">DATE(YEAR(B6605),MONTH(B6605),1)</f>
        <v>46266</v>
      </c>
      <c r="M6605" s="31" t="n">
        <f aca="false">WEEKDAY(B6605,2)</f>
        <v>6</v>
      </c>
      <c r="N6605" s="31" t="str">
        <f aca="false">IF(G6605&lt;=INDEX(Assumptions!$B$15:$B$18,MATCH(E6605,Assumptions!$A$15:$A$18,0)),"Yes","No")</f>
        <v>Yes</v>
      </c>
      <c r="O6605" s="31" t="str">
        <f aca="false">IF(H6605="","Open",IF(H6605&lt;=INDEX(Assumptions!$C$15:$C$18,MATCH(E6605,Assumptions!$A$15:$A$18,0)),"Yes","No"))</f>
        <v>Open</v>
      </c>
    </row>
    <row r="6606" customFormat="false" ht="15" hidden="false" customHeight="false" outlineLevel="0" collapsed="false">
      <c r="A6606" s="31" t="s">
        <v>6756</v>
      </c>
      <c r="B6606" s="44" t="n">
        <v>46291</v>
      </c>
      <c r="C6606" s="31" t="s">
        <v>57</v>
      </c>
      <c r="D6606" s="31" t="s">
        <v>65</v>
      </c>
      <c r="E6606" s="31" t="s">
        <v>50</v>
      </c>
      <c r="F6606" s="31" t="s">
        <v>134</v>
      </c>
      <c r="G6606" s="31" t="n">
        <v>9</v>
      </c>
      <c r="H6606" s="41"/>
      <c r="I6606" s="31" t="s">
        <v>158</v>
      </c>
      <c r="J6606" s="31"/>
      <c r="K6606" s="31" t="s">
        <v>150</v>
      </c>
      <c r="L6606" s="45" t="n">
        <f aca="false">DATE(YEAR(B6606),MONTH(B6606),1)</f>
        <v>46266</v>
      </c>
      <c r="M6606" s="31" t="n">
        <f aca="false">WEEKDAY(B6606,2)</f>
        <v>6</v>
      </c>
      <c r="N6606" s="31" t="str">
        <f aca="false">IF(G6606&lt;=INDEX(Assumptions!$B$15:$B$18,MATCH(E6606,Assumptions!$A$15:$A$18,0)),"Yes","No")</f>
        <v>Yes</v>
      </c>
      <c r="O6606" s="31" t="str">
        <f aca="false">IF(H6606="","Open",IF(H6606&lt;=INDEX(Assumptions!$C$15:$C$18,MATCH(E6606,Assumptions!$A$15:$A$18,0)),"Yes","No"))</f>
        <v>Open</v>
      </c>
    </row>
    <row r="6607" customFormat="false" ht="15" hidden="false" customHeight="false" outlineLevel="0" collapsed="false">
      <c r="A6607" s="31" t="s">
        <v>6757</v>
      </c>
      <c r="B6607" s="44" t="n">
        <v>46291</v>
      </c>
      <c r="C6607" s="31" t="s">
        <v>57</v>
      </c>
      <c r="D6607" s="31" t="s">
        <v>66</v>
      </c>
      <c r="E6607" s="31" t="s">
        <v>52</v>
      </c>
      <c r="F6607" s="31" t="s">
        <v>137</v>
      </c>
      <c r="G6607" s="31" t="n">
        <v>6</v>
      </c>
      <c r="H6607" s="41" t="n">
        <v>4.8</v>
      </c>
      <c r="I6607" s="31" t="s">
        <v>149</v>
      </c>
      <c r="J6607" s="31"/>
      <c r="K6607" s="31" t="s">
        <v>150</v>
      </c>
      <c r="L6607" s="45" t="n">
        <f aca="false">DATE(YEAR(B6607),MONTH(B6607),1)</f>
        <v>46266</v>
      </c>
      <c r="M6607" s="31" t="n">
        <f aca="false">WEEKDAY(B6607,2)</f>
        <v>6</v>
      </c>
      <c r="N6607" s="31" t="str">
        <f aca="false">IF(G6607&lt;=INDEX(Assumptions!$B$15:$B$18,MATCH(E6607,Assumptions!$A$15:$A$18,0)),"Yes","No")</f>
        <v>Yes</v>
      </c>
      <c r="O6607" s="31" t="str">
        <f aca="false">IF(H6607="","Open",IF(H6607&lt;=INDEX(Assumptions!$C$15:$C$18,MATCH(E6607,Assumptions!$A$15:$A$18,0)),"Yes","No"))</f>
        <v>Yes</v>
      </c>
    </row>
    <row r="6608" customFormat="false" ht="15" hidden="false" customHeight="false" outlineLevel="0" collapsed="false">
      <c r="A6608" s="31" t="s">
        <v>6758</v>
      </c>
      <c r="B6608" s="44" t="n">
        <v>46291</v>
      </c>
      <c r="C6608" s="31" t="s">
        <v>58</v>
      </c>
      <c r="D6608" s="31" t="s">
        <v>67</v>
      </c>
      <c r="E6608" s="31" t="s">
        <v>51</v>
      </c>
      <c r="F6608" s="31" t="s">
        <v>121</v>
      </c>
      <c r="G6608" s="31" t="n">
        <v>11</v>
      </c>
      <c r="H6608" s="41" t="n">
        <v>14.1</v>
      </c>
      <c r="I6608" s="31" t="s">
        <v>149</v>
      </c>
      <c r="J6608" s="31"/>
      <c r="K6608" s="31" t="s">
        <v>150</v>
      </c>
      <c r="L6608" s="45" t="n">
        <f aca="false">DATE(YEAR(B6608),MONTH(B6608),1)</f>
        <v>46266</v>
      </c>
      <c r="M6608" s="31" t="n">
        <f aca="false">WEEKDAY(B6608,2)</f>
        <v>6</v>
      </c>
      <c r="N6608" s="31" t="str">
        <f aca="false">IF(G6608&lt;=INDEX(Assumptions!$B$15:$B$18,MATCH(E6608,Assumptions!$A$15:$A$18,0)),"Yes","No")</f>
        <v>Yes</v>
      </c>
      <c r="O6608" s="31" t="str">
        <f aca="false">IF(H6608="","Open",IF(H6608&lt;=INDEX(Assumptions!$C$15:$C$18,MATCH(E6608,Assumptions!$A$15:$A$18,0)),"Yes","No"))</f>
        <v>Yes</v>
      </c>
    </row>
    <row r="6609" customFormat="false" ht="15" hidden="false" customHeight="false" outlineLevel="0" collapsed="false">
      <c r="A6609" s="31" t="s">
        <v>6759</v>
      </c>
      <c r="B6609" s="44" t="n">
        <v>46291</v>
      </c>
      <c r="C6609" s="31" t="s">
        <v>59</v>
      </c>
      <c r="D6609" s="31" t="s">
        <v>68</v>
      </c>
      <c r="E6609" s="31" t="s">
        <v>50</v>
      </c>
      <c r="F6609" s="31" t="s">
        <v>119</v>
      </c>
      <c r="G6609" s="31" t="n">
        <v>45</v>
      </c>
      <c r="H6609" s="41" t="n">
        <v>1.2</v>
      </c>
      <c r="I6609" s="31" t="s">
        <v>149</v>
      </c>
      <c r="J6609" s="31"/>
      <c r="K6609" s="31" t="s">
        <v>150</v>
      </c>
      <c r="L6609" s="45" t="n">
        <f aca="false">DATE(YEAR(B6609),MONTH(B6609),1)</f>
        <v>46266</v>
      </c>
      <c r="M6609" s="31" t="n">
        <f aca="false">WEEKDAY(B6609,2)</f>
        <v>6</v>
      </c>
      <c r="N6609" s="31" t="str">
        <f aca="false">IF(G6609&lt;=INDEX(Assumptions!$B$15:$B$18,MATCH(E6609,Assumptions!$A$15:$A$18,0)),"Yes","No")</f>
        <v>No</v>
      </c>
      <c r="O6609" s="31" t="str">
        <f aca="false">IF(H6609="","Open",IF(H6609&lt;=INDEX(Assumptions!$C$15:$C$18,MATCH(E6609,Assumptions!$A$15:$A$18,0)),"Yes","No"))</f>
        <v>Yes</v>
      </c>
    </row>
    <row r="6610" customFormat="false" ht="15" hidden="false" customHeight="false" outlineLevel="0" collapsed="false">
      <c r="A6610" s="31" t="s">
        <v>6760</v>
      </c>
      <c r="B6610" s="44" t="n">
        <v>46292</v>
      </c>
      <c r="C6610" s="31" t="s">
        <v>59</v>
      </c>
      <c r="D6610" s="31" t="s">
        <v>66</v>
      </c>
      <c r="E6610" s="31" t="s">
        <v>51</v>
      </c>
      <c r="F6610" s="31" t="s">
        <v>128</v>
      </c>
      <c r="G6610" s="31" t="n">
        <v>148</v>
      </c>
      <c r="H6610" s="41"/>
      <c r="I6610" s="31" t="s">
        <v>158</v>
      </c>
      <c r="J6610" s="31"/>
      <c r="K6610" s="31" t="s">
        <v>150</v>
      </c>
      <c r="L6610" s="45" t="n">
        <f aca="false">DATE(YEAR(B6610),MONTH(B6610),1)</f>
        <v>46266</v>
      </c>
      <c r="M6610" s="31" t="n">
        <f aca="false">WEEKDAY(B6610,2)</f>
        <v>7</v>
      </c>
      <c r="N6610" s="31" t="str">
        <f aca="false">IF(G6610&lt;=INDEX(Assumptions!$B$15:$B$18,MATCH(E6610,Assumptions!$A$15:$A$18,0)),"Yes","No")</f>
        <v>No</v>
      </c>
      <c r="O6610" s="31" t="str">
        <f aca="false">IF(H6610="","Open",IF(H6610&lt;=INDEX(Assumptions!$C$15:$C$18,MATCH(E6610,Assumptions!$A$15:$A$18,0)),"Yes","No"))</f>
        <v>Open</v>
      </c>
    </row>
    <row r="6611" customFormat="false" ht="15" hidden="false" customHeight="false" outlineLevel="0" collapsed="false">
      <c r="A6611" s="31" t="s">
        <v>6761</v>
      </c>
      <c r="B6611" s="44" t="n">
        <v>46292</v>
      </c>
      <c r="C6611" s="31" t="s">
        <v>57</v>
      </c>
      <c r="D6611" s="31" t="s">
        <v>65</v>
      </c>
      <c r="E6611" s="31" t="s">
        <v>51</v>
      </c>
      <c r="F6611" s="31" t="s">
        <v>126</v>
      </c>
      <c r="G6611" s="31" t="n">
        <v>3</v>
      </c>
      <c r="H6611" s="41"/>
      <c r="I6611" s="31" t="s">
        <v>158</v>
      </c>
      <c r="J6611" s="31"/>
      <c r="K6611" s="31" t="s">
        <v>150</v>
      </c>
      <c r="L6611" s="45" t="n">
        <f aca="false">DATE(YEAR(B6611),MONTH(B6611),1)</f>
        <v>46266</v>
      </c>
      <c r="M6611" s="31" t="n">
        <f aca="false">WEEKDAY(B6611,2)</f>
        <v>7</v>
      </c>
      <c r="N6611" s="31" t="str">
        <f aca="false">IF(G6611&lt;=INDEX(Assumptions!$B$15:$B$18,MATCH(E6611,Assumptions!$A$15:$A$18,0)),"Yes","No")</f>
        <v>Yes</v>
      </c>
      <c r="O6611" s="31" t="str">
        <f aca="false">IF(H6611="","Open",IF(H6611&lt;=INDEX(Assumptions!$C$15:$C$18,MATCH(E6611,Assumptions!$A$15:$A$18,0)),"Yes","No"))</f>
        <v>Open</v>
      </c>
    </row>
    <row r="6612" customFormat="false" ht="15" hidden="false" customHeight="false" outlineLevel="0" collapsed="false">
      <c r="A6612" s="31" t="s">
        <v>6762</v>
      </c>
      <c r="B6612" s="44" t="n">
        <v>46292</v>
      </c>
      <c r="C6612" s="31" t="s">
        <v>60</v>
      </c>
      <c r="D6612" s="31" t="s">
        <v>65</v>
      </c>
      <c r="E6612" s="31" t="s">
        <v>51</v>
      </c>
      <c r="F6612" s="31" t="s">
        <v>124</v>
      </c>
      <c r="G6612" s="31" t="n">
        <v>1</v>
      </c>
      <c r="H6612" s="41"/>
      <c r="I6612" s="31" t="s">
        <v>158</v>
      </c>
      <c r="J6612" s="31"/>
      <c r="K6612" s="31" t="s">
        <v>150</v>
      </c>
      <c r="L6612" s="45" t="n">
        <f aca="false">DATE(YEAR(B6612),MONTH(B6612),1)</f>
        <v>46266</v>
      </c>
      <c r="M6612" s="31" t="n">
        <f aca="false">WEEKDAY(B6612,2)</f>
        <v>7</v>
      </c>
      <c r="N6612" s="31" t="str">
        <f aca="false">IF(G6612&lt;=INDEX(Assumptions!$B$15:$B$18,MATCH(E6612,Assumptions!$A$15:$A$18,0)),"Yes","No")</f>
        <v>Yes</v>
      </c>
      <c r="O6612" s="31" t="str">
        <f aca="false">IF(H6612="","Open",IF(H6612&lt;=INDEX(Assumptions!$C$15:$C$18,MATCH(E6612,Assumptions!$A$15:$A$18,0)),"Yes","No"))</f>
        <v>Open</v>
      </c>
    </row>
    <row r="6613" customFormat="false" ht="15" hidden="false" customHeight="false" outlineLevel="0" collapsed="false">
      <c r="A6613" s="31" t="s">
        <v>6763</v>
      </c>
      <c r="B6613" s="44" t="n">
        <v>46292</v>
      </c>
      <c r="C6613" s="31" t="s">
        <v>57</v>
      </c>
      <c r="D6613" s="31" t="s">
        <v>68</v>
      </c>
      <c r="E6613" s="31" t="s">
        <v>51</v>
      </c>
      <c r="F6613" s="31" t="s">
        <v>126</v>
      </c>
      <c r="G6613" s="31" t="n">
        <v>5</v>
      </c>
      <c r="H6613" s="41"/>
      <c r="I6613" s="31" t="s">
        <v>158</v>
      </c>
      <c r="J6613" s="31"/>
      <c r="K6613" s="31" t="s">
        <v>150</v>
      </c>
      <c r="L6613" s="45" t="n">
        <f aca="false">DATE(YEAR(B6613),MONTH(B6613),1)</f>
        <v>46266</v>
      </c>
      <c r="M6613" s="31" t="n">
        <f aca="false">WEEKDAY(B6613,2)</f>
        <v>7</v>
      </c>
      <c r="N6613" s="31" t="str">
        <f aca="false">IF(G6613&lt;=INDEX(Assumptions!$B$15:$B$18,MATCH(E6613,Assumptions!$A$15:$A$18,0)),"Yes","No")</f>
        <v>Yes</v>
      </c>
      <c r="O6613" s="31" t="str">
        <f aca="false">IF(H6613="","Open",IF(H6613&lt;=INDEX(Assumptions!$C$15:$C$18,MATCH(E6613,Assumptions!$A$15:$A$18,0)),"Yes","No"))</f>
        <v>Open</v>
      </c>
    </row>
    <row r="6614" customFormat="false" ht="15" hidden="false" customHeight="false" outlineLevel="0" collapsed="false">
      <c r="A6614" s="31" t="s">
        <v>6764</v>
      </c>
      <c r="B6614" s="44" t="n">
        <v>46292</v>
      </c>
      <c r="C6614" s="31" t="s">
        <v>59</v>
      </c>
      <c r="D6614" s="31" t="s">
        <v>69</v>
      </c>
      <c r="E6614" s="31" t="s">
        <v>51</v>
      </c>
      <c r="F6614" s="31" t="s">
        <v>129</v>
      </c>
      <c r="G6614" s="31" t="n">
        <v>31</v>
      </c>
      <c r="H6614" s="41"/>
      <c r="I6614" s="31" t="s">
        <v>158</v>
      </c>
      <c r="J6614" s="31"/>
      <c r="K6614" s="31" t="s">
        <v>150</v>
      </c>
      <c r="L6614" s="45" t="n">
        <f aca="false">DATE(YEAR(B6614),MONTH(B6614),1)</f>
        <v>46266</v>
      </c>
      <c r="M6614" s="31" t="n">
        <f aca="false">WEEKDAY(B6614,2)</f>
        <v>7</v>
      </c>
      <c r="N6614" s="31" t="str">
        <f aca="false">IF(G6614&lt;=INDEX(Assumptions!$B$15:$B$18,MATCH(E6614,Assumptions!$A$15:$A$18,0)),"Yes","No")</f>
        <v>Yes</v>
      </c>
      <c r="O6614" s="31" t="str">
        <f aca="false">IF(H6614="","Open",IF(H6614&lt;=INDEX(Assumptions!$C$15:$C$18,MATCH(E6614,Assumptions!$A$15:$A$18,0)),"Yes","No"))</f>
        <v>Open</v>
      </c>
    </row>
    <row r="6615" customFormat="false" ht="15" hidden="false" customHeight="false" outlineLevel="0" collapsed="false">
      <c r="A6615" s="31" t="s">
        <v>6765</v>
      </c>
      <c r="B6615" s="44" t="n">
        <v>46292</v>
      </c>
      <c r="C6615" s="31" t="s">
        <v>58</v>
      </c>
      <c r="D6615" s="31" t="s">
        <v>69</v>
      </c>
      <c r="E6615" s="31" t="s">
        <v>51</v>
      </c>
      <c r="F6615" s="31" t="s">
        <v>122</v>
      </c>
      <c r="G6615" s="31" t="n">
        <v>16</v>
      </c>
      <c r="H6615" s="41"/>
      <c r="I6615" s="31" t="s">
        <v>158</v>
      </c>
      <c r="J6615" s="31"/>
      <c r="K6615" s="31" t="s">
        <v>150</v>
      </c>
      <c r="L6615" s="45" t="n">
        <f aca="false">DATE(YEAR(B6615),MONTH(B6615),1)</f>
        <v>46266</v>
      </c>
      <c r="M6615" s="31" t="n">
        <f aca="false">WEEKDAY(B6615,2)</f>
        <v>7</v>
      </c>
      <c r="N6615" s="31" t="str">
        <f aca="false">IF(G6615&lt;=INDEX(Assumptions!$B$15:$B$18,MATCH(E6615,Assumptions!$A$15:$A$18,0)),"Yes","No")</f>
        <v>Yes</v>
      </c>
      <c r="O6615" s="31" t="str">
        <f aca="false">IF(H6615="","Open",IF(H6615&lt;=INDEX(Assumptions!$C$15:$C$18,MATCH(E6615,Assumptions!$A$15:$A$18,0)),"Yes","No"))</f>
        <v>Open</v>
      </c>
    </row>
    <row r="6616" customFormat="false" ht="15" hidden="false" customHeight="false" outlineLevel="0" collapsed="false">
      <c r="A6616" s="31" t="s">
        <v>6766</v>
      </c>
      <c r="B6616" s="44" t="n">
        <v>46292</v>
      </c>
      <c r="C6616" s="31" t="s">
        <v>58</v>
      </c>
      <c r="D6616" s="31" t="s">
        <v>67</v>
      </c>
      <c r="E6616" s="31" t="s">
        <v>52</v>
      </c>
      <c r="F6616" s="31" t="s">
        <v>128</v>
      </c>
      <c r="G6616" s="31" t="n">
        <v>8</v>
      </c>
      <c r="H6616" s="41"/>
      <c r="I6616" s="31" t="s">
        <v>158</v>
      </c>
      <c r="J6616" s="31"/>
      <c r="K6616" s="31" t="s">
        <v>150</v>
      </c>
      <c r="L6616" s="45" t="n">
        <f aca="false">DATE(YEAR(B6616),MONTH(B6616),1)</f>
        <v>46266</v>
      </c>
      <c r="M6616" s="31" t="n">
        <f aca="false">WEEKDAY(B6616,2)</f>
        <v>7</v>
      </c>
      <c r="N6616" s="31" t="str">
        <f aca="false">IF(G6616&lt;=INDEX(Assumptions!$B$15:$B$18,MATCH(E6616,Assumptions!$A$15:$A$18,0)),"Yes","No")</f>
        <v>Yes</v>
      </c>
      <c r="O6616" s="31" t="str">
        <f aca="false">IF(H6616="","Open",IF(H6616&lt;=INDEX(Assumptions!$C$15:$C$18,MATCH(E6616,Assumptions!$A$15:$A$18,0)),"Yes","No"))</f>
        <v>Open</v>
      </c>
    </row>
    <row r="6617" customFormat="false" ht="15" hidden="false" customHeight="false" outlineLevel="0" collapsed="false">
      <c r="A6617" s="31" t="s">
        <v>6767</v>
      </c>
      <c r="B6617" s="44" t="n">
        <v>46292</v>
      </c>
      <c r="C6617" s="31" t="s">
        <v>60</v>
      </c>
      <c r="D6617" s="31" t="s">
        <v>69</v>
      </c>
      <c r="E6617" s="31" t="s">
        <v>51</v>
      </c>
      <c r="F6617" s="31" t="s">
        <v>130</v>
      </c>
      <c r="G6617" s="31" t="n">
        <v>3</v>
      </c>
      <c r="H6617" s="41"/>
      <c r="I6617" s="31" t="s">
        <v>158</v>
      </c>
      <c r="J6617" s="31"/>
      <c r="K6617" s="31" t="s">
        <v>150</v>
      </c>
      <c r="L6617" s="45" t="n">
        <f aca="false">DATE(YEAR(B6617),MONTH(B6617),1)</f>
        <v>46266</v>
      </c>
      <c r="M6617" s="31" t="n">
        <f aca="false">WEEKDAY(B6617,2)</f>
        <v>7</v>
      </c>
      <c r="N6617" s="31" t="str">
        <f aca="false">IF(G6617&lt;=INDEX(Assumptions!$B$15:$B$18,MATCH(E6617,Assumptions!$A$15:$A$18,0)),"Yes","No")</f>
        <v>Yes</v>
      </c>
      <c r="O6617" s="31" t="str">
        <f aca="false">IF(H6617="","Open",IF(H6617&lt;=INDEX(Assumptions!$C$15:$C$18,MATCH(E6617,Assumptions!$A$15:$A$18,0)),"Yes","No"))</f>
        <v>Open</v>
      </c>
    </row>
    <row r="6618" customFormat="false" ht="15" hidden="false" customHeight="false" outlineLevel="0" collapsed="false">
      <c r="A6618" s="31" t="s">
        <v>6768</v>
      </c>
      <c r="B6618" s="44" t="n">
        <v>46292</v>
      </c>
      <c r="C6618" s="31" t="s">
        <v>60</v>
      </c>
      <c r="D6618" s="31" t="s">
        <v>65</v>
      </c>
      <c r="E6618" s="31" t="s">
        <v>51</v>
      </c>
      <c r="F6618" s="31" t="s">
        <v>124</v>
      </c>
      <c r="G6618" s="31" t="n">
        <v>1</v>
      </c>
      <c r="H6618" s="41" t="n">
        <v>7.2</v>
      </c>
      <c r="I6618" s="31" t="s">
        <v>149</v>
      </c>
      <c r="J6618" s="31" t="n">
        <v>4</v>
      </c>
      <c r="K6618" s="31" t="s">
        <v>150</v>
      </c>
      <c r="L6618" s="45" t="n">
        <f aca="false">DATE(YEAR(B6618),MONTH(B6618),1)</f>
        <v>46266</v>
      </c>
      <c r="M6618" s="31" t="n">
        <f aca="false">WEEKDAY(B6618,2)</f>
        <v>7</v>
      </c>
      <c r="N6618" s="31" t="str">
        <f aca="false">IF(G6618&lt;=INDEX(Assumptions!$B$15:$B$18,MATCH(E6618,Assumptions!$A$15:$A$18,0)),"Yes","No")</f>
        <v>Yes</v>
      </c>
      <c r="O6618" s="31" t="str">
        <f aca="false">IF(H6618="","Open",IF(H6618&lt;=INDEX(Assumptions!$C$15:$C$18,MATCH(E6618,Assumptions!$A$15:$A$18,0)),"Yes","No"))</f>
        <v>Yes</v>
      </c>
    </row>
    <row r="6619" customFormat="false" ht="15" hidden="false" customHeight="false" outlineLevel="0" collapsed="false">
      <c r="A6619" s="31" t="s">
        <v>6769</v>
      </c>
      <c r="B6619" s="44" t="n">
        <v>46292</v>
      </c>
      <c r="C6619" s="31" t="s">
        <v>60</v>
      </c>
      <c r="D6619" s="31" t="s">
        <v>65</v>
      </c>
      <c r="E6619" s="31" t="s">
        <v>51</v>
      </c>
      <c r="F6619" s="31" t="s">
        <v>130</v>
      </c>
      <c r="G6619" s="31" t="n">
        <v>2</v>
      </c>
      <c r="H6619" s="41"/>
      <c r="I6619" s="31" t="s">
        <v>158</v>
      </c>
      <c r="J6619" s="31"/>
      <c r="K6619" s="31" t="s">
        <v>150</v>
      </c>
      <c r="L6619" s="45" t="n">
        <f aca="false">DATE(YEAR(B6619),MONTH(B6619),1)</f>
        <v>46266</v>
      </c>
      <c r="M6619" s="31" t="n">
        <f aca="false">WEEKDAY(B6619,2)</f>
        <v>7</v>
      </c>
      <c r="N6619" s="31" t="str">
        <f aca="false">IF(G6619&lt;=INDEX(Assumptions!$B$15:$B$18,MATCH(E6619,Assumptions!$A$15:$A$18,0)),"Yes","No")</f>
        <v>Yes</v>
      </c>
      <c r="O6619" s="31" t="str">
        <f aca="false">IF(H6619="","Open",IF(H6619&lt;=INDEX(Assumptions!$C$15:$C$18,MATCH(E6619,Assumptions!$A$15:$A$18,0)),"Yes","No"))</f>
        <v>Open</v>
      </c>
    </row>
    <row r="6620" customFormat="false" ht="15" hidden="false" customHeight="false" outlineLevel="0" collapsed="false">
      <c r="A6620" s="31" t="s">
        <v>6770</v>
      </c>
      <c r="B6620" s="44" t="n">
        <v>46292</v>
      </c>
      <c r="C6620" s="31" t="s">
        <v>57</v>
      </c>
      <c r="D6620" s="31" t="s">
        <v>67</v>
      </c>
      <c r="E6620" s="31" t="s">
        <v>51</v>
      </c>
      <c r="F6620" s="31" t="s">
        <v>130</v>
      </c>
      <c r="G6620" s="31" t="n">
        <v>3</v>
      </c>
      <c r="H6620" s="41"/>
      <c r="I6620" s="31" t="s">
        <v>158</v>
      </c>
      <c r="J6620" s="31"/>
      <c r="K6620" s="31" t="s">
        <v>150</v>
      </c>
      <c r="L6620" s="45" t="n">
        <f aca="false">DATE(YEAR(B6620),MONTH(B6620),1)</f>
        <v>46266</v>
      </c>
      <c r="M6620" s="31" t="n">
        <f aca="false">WEEKDAY(B6620,2)</f>
        <v>7</v>
      </c>
      <c r="N6620" s="31" t="str">
        <f aca="false">IF(G6620&lt;=INDEX(Assumptions!$B$15:$B$18,MATCH(E6620,Assumptions!$A$15:$A$18,0)),"Yes","No")</f>
        <v>Yes</v>
      </c>
      <c r="O6620" s="31" t="str">
        <f aca="false">IF(H6620="","Open",IF(H6620&lt;=INDEX(Assumptions!$C$15:$C$18,MATCH(E6620,Assumptions!$A$15:$A$18,0)),"Yes","No"))</f>
        <v>Open</v>
      </c>
    </row>
    <row r="6621" customFormat="false" ht="15" hidden="false" customHeight="false" outlineLevel="0" collapsed="false">
      <c r="A6621" s="31" t="s">
        <v>6771</v>
      </c>
      <c r="B6621" s="44" t="n">
        <v>46292</v>
      </c>
      <c r="C6621" s="31" t="s">
        <v>58</v>
      </c>
      <c r="D6621" s="31" t="s">
        <v>67</v>
      </c>
      <c r="E6621" s="31" t="s">
        <v>52</v>
      </c>
      <c r="F6621" s="31" t="s">
        <v>120</v>
      </c>
      <c r="G6621" s="31" t="n">
        <v>35</v>
      </c>
      <c r="H6621" s="41" t="n">
        <v>23.7</v>
      </c>
      <c r="I6621" s="31" t="s">
        <v>149</v>
      </c>
      <c r="J6621" s="31" t="n">
        <v>5</v>
      </c>
      <c r="K6621" s="31" t="s">
        <v>150</v>
      </c>
      <c r="L6621" s="45" t="n">
        <f aca="false">DATE(YEAR(B6621),MONTH(B6621),1)</f>
        <v>46266</v>
      </c>
      <c r="M6621" s="31" t="n">
        <f aca="false">WEEKDAY(B6621,2)</f>
        <v>7</v>
      </c>
      <c r="N6621" s="31" t="str">
        <f aca="false">IF(G6621&lt;=INDEX(Assumptions!$B$15:$B$18,MATCH(E6621,Assumptions!$A$15:$A$18,0)),"Yes","No")</f>
        <v>Yes</v>
      </c>
      <c r="O6621" s="31" t="str">
        <f aca="false">IF(H6621="","Open",IF(H6621&lt;=INDEX(Assumptions!$C$15:$C$18,MATCH(E6621,Assumptions!$A$15:$A$18,0)),"Yes","No"))</f>
        <v>Yes</v>
      </c>
    </row>
    <row r="6622" customFormat="false" ht="15" hidden="false" customHeight="false" outlineLevel="0" collapsed="false">
      <c r="A6622" s="31" t="s">
        <v>6772</v>
      </c>
      <c r="B6622" s="44" t="n">
        <v>46292</v>
      </c>
      <c r="C6622" s="31" t="s">
        <v>58</v>
      </c>
      <c r="D6622" s="31" t="s">
        <v>67</v>
      </c>
      <c r="E6622" s="31" t="s">
        <v>52</v>
      </c>
      <c r="F6622" s="31" t="s">
        <v>136</v>
      </c>
      <c r="G6622" s="31" t="n">
        <v>18</v>
      </c>
      <c r="H6622" s="41" t="n">
        <v>40</v>
      </c>
      <c r="I6622" s="31" t="s">
        <v>149</v>
      </c>
      <c r="J6622" s="31" t="n">
        <v>5</v>
      </c>
      <c r="K6622" s="31" t="s">
        <v>150</v>
      </c>
      <c r="L6622" s="45" t="n">
        <f aca="false">DATE(YEAR(B6622),MONTH(B6622),1)</f>
        <v>46266</v>
      </c>
      <c r="M6622" s="31" t="n">
        <f aca="false">WEEKDAY(B6622,2)</f>
        <v>7</v>
      </c>
      <c r="N6622" s="31" t="str">
        <f aca="false">IF(G6622&lt;=INDEX(Assumptions!$B$15:$B$18,MATCH(E6622,Assumptions!$A$15:$A$18,0)),"Yes","No")</f>
        <v>Yes</v>
      </c>
      <c r="O6622" s="31" t="str">
        <f aca="false">IF(H6622="","Open",IF(H6622&lt;=INDEX(Assumptions!$C$15:$C$18,MATCH(E6622,Assumptions!$A$15:$A$18,0)),"Yes","No"))</f>
        <v>Yes</v>
      </c>
    </row>
    <row r="6623" customFormat="false" ht="15" hidden="false" customHeight="false" outlineLevel="0" collapsed="false">
      <c r="A6623" s="31" t="s">
        <v>6773</v>
      </c>
      <c r="B6623" s="44" t="n">
        <v>46292</v>
      </c>
      <c r="C6623" s="31" t="s">
        <v>57</v>
      </c>
      <c r="D6623" s="31" t="s">
        <v>67</v>
      </c>
      <c r="E6623" s="31" t="s">
        <v>52</v>
      </c>
      <c r="F6623" s="31" t="s">
        <v>128</v>
      </c>
      <c r="G6623" s="31" t="n">
        <v>5</v>
      </c>
      <c r="H6623" s="41"/>
      <c r="I6623" s="31" t="s">
        <v>158</v>
      </c>
      <c r="J6623" s="31"/>
      <c r="K6623" s="31" t="s">
        <v>150</v>
      </c>
      <c r="L6623" s="45" t="n">
        <f aca="false">DATE(YEAR(B6623),MONTH(B6623),1)</f>
        <v>46266</v>
      </c>
      <c r="M6623" s="31" t="n">
        <f aca="false">WEEKDAY(B6623,2)</f>
        <v>7</v>
      </c>
      <c r="N6623" s="31" t="str">
        <f aca="false">IF(G6623&lt;=INDEX(Assumptions!$B$15:$B$18,MATCH(E6623,Assumptions!$A$15:$A$18,0)),"Yes","No")</f>
        <v>Yes</v>
      </c>
      <c r="O6623" s="31" t="str">
        <f aca="false">IF(H6623="","Open",IF(H6623&lt;=INDEX(Assumptions!$C$15:$C$18,MATCH(E6623,Assumptions!$A$15:$A$18,0)),"Yes","No"))</f>
        <v>Open</v>
      </c>
    </row>
    <row r="6624" customFormat="false" ht="15" hidden="false" customHeight="false" outlineLevel="0" collapsed="false">
      <c r="A6624" s="31" t="s">
        <v>6774</v>
      </c>
      <c r="B6624" s="44" t="n">
        <v>46292</v>
      </c>
      <c r="C6624" s="31" t="s">
        <v>57</v>
      </c>
      <c r="D6624" s="31" t="s">
        <v>67</v>
      </c>
      <c r="E6624" s="31" t="s">
        <v>51</v>
      </c>
      <c r="F6624" s="31" t="s">
        <v>124</v>
      </c>
      <c r="G6624" s="31" t="n">
        <v>6</v>
      </c>
      <c r="H6624" s="41"/>
      <c r="I6624" s="31" t="s">
        <v>158</v>
      </c>
      <c r="J6624" s="31"/>
      <c r="K6624" s="31" t="s">
        <v>150</v>
      </c>
      <c r="L6624" s="45" t="n">
        <f aca="false">DATE(YEAR(B6624),MONTH(B6624),1)</f>
        <v>46266</v>
      </c>
      <c r="M6624" s="31" t="n">
        <f aca="false">WEEKDAY(B6624,2)</f>
        <v>7</v>
      </c>
      <c r="N6624" s="31" t="str">
        <f aca="false">IF(G6624&lt;=INDEX(Assumptions!$B$15:$B$18,MATCH(E6624,Assumptions!$A$15:$A$18,0)),"Yes","No")</f>
        <v>Yes</v>
      </c>
      <c r="O6624" s="31" t="str">
        <f aca="false">IF(H6624="","Open",IF(H6624&lt;=INDEX(Assumptions!$C$15:$C$18,MATCH(E6624,Assumptions!$A$15:$A$18,0)),"Yes","No"))</f>
        <v>Open</v>
      </c>
    </row>
    <row r="6625" customFormat="false" ht="15" hidden="false" customHeight="false" outlineLevel="0" collapsed="false">
      <c r="A6625" s="31" t="s">
        <v>6775</v>
      </c>
      <c r="B6625" s="44" t="n">
        <v>46292</v>
      </c>
      <c r="C6625" s="31" t="s">
        <v>57</v>
      </c>
      <c r="D6625" s="31" t="s">
        <v>66</v>
      </c>
      <c r="E6625" s="31" t="s">
        <v>50</v>
      </c>
      <c r="F6625" s="31" t="s">
        <v>119</v>
      </c>
      <c r="G6625" s="31" t="n">
        <v>3</v>
      </c>
      <c r="H6625" s="41" t="n">
        <v>3</v>
      </c>
      <c r="I6625" s="31" t="s">
        <v>149</v>
      </c>
      <c r="J6625" s="31"/>
      <c r="K6625" s="31" t="s">
        <v>150</v>
      </c>
      <c r="L6625" s="45" t="n">
        <f aca="false">DATE(YEAR(B6625),MONTH(B6625),1)</f>
        <v>46266</v>
      </c>
      <c r="M6625" s="31" t="n">
        <f aca="false">WEEKDAY(B6625,2)</f>
        <v>7</v>
      </c>
      <c r="N6625" s="31" t="str">
        <f aca="false">IF(G6625&lt;=INDEX(Assumptions!$B$15:$B$18,MATCH(E6625,Assumptions!$A$15:$A$18,0)),"Yes","No")</f>
        <v>Yes</v>
      </c>
      <c r="O6625" s="31" t="str">
        <f aca="false">IF(H6625="","Open",IF(H6625&lt;=INDEX(Assumptions!$C$15:$C$18,MATCH(E6625,Assumptions!$A$15:$A$18,0)),"Yes","No"))</f>
        <v>Yes</v>
      </c>
    </row>
    <row r="6626" customFormat="false" ht="15" hidden="false" customHeight="false" outlineLevel="0" collapsed="false">
      <c r="A6626" s="31" t="s">
        <v>6776</v>
      </c>
      <c r="B6626" s="44" t="n">
        <v>46292</v>
      </c>
      <c r="C6626" s="31" t="s">
        <v>58</v>
      </c>
      <c r="D6626" s="31" t="s">
        <v>69</v>
      </c>
      <c r="E6626" s="31" t="s">
        <v>52</v>
      </c>
      <c r="F6626" s="31" t="s">
        <v>120</v>
      </c>
      <c r="G6626" s="31" t="n">
        <v>9</v>
      </c>
      <c r="H6626" s="41"/>
      <c r="I6626" s="31" t="s">
        <v>158</v>
      </c>
      <c r="J6626" s="31"/>
      <c r="K6626" s="31" t="s">
        <v>150</v>
      </c>
      <c r="L6626" s="45" t="n">
        <f aca="false">DATE(YEAR(B6626),MONTH(B6626),1)</f>
        <v>46266</v>
      </c>
      <c r="M6626" s="31" t="n">
        <f aca="false">WEEKDAY(B6626,2)</f>
        <v>7</v>
      </c>
      <c r="N6626" s="31" t="str">
        <f aca="false">IF(G6626&lt;=INDEX(Assumptions!$B$15:$B$18,MATCH(E6626,Assumptions!$A$15:$A$18,0)),"Yes","No")</f>
        <v>Yes</v>
      </c>
      <c r="O6626" s="31" t="str">
        <f aca="false">IF(H6626="","Open",IF(H6626&lt;=INDEX(Assumptions!$C$15:$C$18,MATCH(E6626,Assumptions!$A$15:$A$18,0)),"Yes","No"))</f>
        <v>Open</v>
      </c>
    </row>
    <row r="6627" customFormat="false" ht="15" hidden="false" customHeight="false" outlineLevel="0" collapsed="false">
      <c r="A6627" s="31" t="s">
        <v>6777</v>
      </c>
      <c r="B6627" s="44" t="n">
        <v>46292</v>
      </c>
      <c r="C6627" s="31" t="s">
        <v>58</v>
      </c>
      <c r="D6627" s="31" t="s">
        <v>66</v>
      </c>
      <c r="E6627" s="31" t="s">
        <v>51</v>
      </c>
      <c r="F6627" s="31" t="s">
        <v>120</v>
      </c>
      <c r="G6627" s="31" t="n">
        <v>5</v>
      </c>
      <c r="H6627" s="41"/>
      <c r="I6627" s="31" t="s">
        <v>158</v>
      </c>
      <c r="J6627" s="31"/>
      <c r="K6627" s="31" t="s">
        <v>150</v>
      </c>
      <c r="L6627" s="45" t="n">
        <f aca="false">DATE(YEAR(B6627),MONTH(B6627),1)</f>
        <v>46266</v>
      </c>
      <c r="M6627" s="31" t="n">
        <f aca="false">WEEKDAY(B6627,2)</f>
        <v>7</v>
      </c>
      <c r="N6627" s="31" t="str">
        <f aca="false">IF(G6627&lt;=INDEX(Assumptions!$B$15:$B$18,MATCH(E6627,Assumptions!$A$15:$A$18,0)),"Yes","No")</f>
        <v>Yes</v>
      </c>
      <c r="O6627" s="31" t="str">
        <f aca="false">IF(H6627="","Open",IF(H6627&lt;=INDEX(Assumptions!$C$15:$C$18,MATCH(E6627,Assumptions!$A$15:$A$18,0)),"Yes","No"))</f>
        <v>Open</v>
      </c>
    </row>
    <row r="6628" customFormat="false" ht="15" hidden="false" customHeight="false" outlineLevel="0" collapsed="false">
      <c r="A6628" s="31" t="s">
        <v>6778</v>
      </c>
      <c r="B6628" s="44" t="n">
        <v>46292</v>
      </c>
      <c r="C6628" s="31" t="s">
        <v>59</v>
      </c>
      <c r="D6628" s="31" t="s">
        <v>66</v>
      </c>
      <c r="E6628" s="31" t="s">
        <v>52</v>
      </c>
      <c r="F6628" s="31" t="s">
        <v>137</v>
      </c>
      <c r="G6628" s="31" t="n">
        <v>54</v>
      </c>
      <c r="H6628" s="41"/>
      <c r="I6628" s="31" t="s">
        <v>158</v>
      </c>
      <c r="J6628" s="31"/>
      <c r="K6628" s="31" t="s">
        <v>150</v>
      </c>
      <c r="L6628" s="45" t="n">
        <f aca="false">DATE(YEAR(B6628),MONTH(B6628),1)</f>
        <v>46266</v>
      </c>
      <c r="M6628" s="31" t="n">
        <f aca="false">WEEKDAY(B6628,2)</f>
        <v>7</v>
      </c>
      <c r="N6628" s="31" t="str">
        <f aca="false">IF(G6628&lt;=INDEX(Assumptions!$B$15:$B$18,MATCH(E6628,Assumptions!$A$15:$A$18,0)),"Yes","No")</f>
        <v>Yes</v>
      </c>
      <c r="O6628" s="31" t="str">
        <f aca="false">IF(H6628="","Open",IF(H6628&lt;=INDEX(Assumptions!$C$15:$C$18,MATCH(E6628,Assumptions!$A$15:$A$18,0)),"Yes","No"))</f>
        <v>Open</v>
      </c>
    </row>
    <row r="6629" customFormat="false" ht="15" hidden="false" customHeight="false" outlineLevel="0" collapsed="false">
      <c r="A6629" s="31" t="s">
        <v>6779</v>
      </c>
      <c r="B6629" s="44" t="n">
        <v>46292</v>
      </c>
      <c r="C6629" s="31" t="s">
        <v>60</v>
      </c>
      <c r="D6629" s="31" t="s">
        <v>68</v>
      </c>
      <c r="E6629" s="31" t="s">
        <v>51</v>
      </c>
      <c r="F6629" s="31" t="s">
        <v>131</v>
      </c>
      <c r="G6629" s="31" t="n">
        <v>1</v>
      </c>
      <c r="H6629" s="41"/>
      <c r="I6629" s="31" t="s">
        <v>158</v>
      </c>
      <c r="J6629" s="31"/>
      <c r="K6629" s="31" t="s">
        <v>150</v>
      </c>
      <c r="L6629" s="45" t="n">
        <f aca="false">DATE(YEAR(B6629),MONTH(B6629),1)</f>
        <v>46266</v>
      </c>
      <c r="M6629" s="31" t="n">
        <f aca="false">WEEKDAY(B6629,2)</f>
        <v>7</v>
      </c>
      <c r="N6629" s="31" t="str">
        <f aca="false">IF(G6629&lt;=INDEX(Assumptions!$B$15:$B$18,MATCH(E6629,Assumptions!$A$15:$A$18,0)),"Yes","No")</f>
        <v>Yes</v>
      </c>
      <c r="O6629" s="31" t="str">
        <f aca="false">IF(H6629="","Open",IF(H6629&lt;=INDEX(Assumptions!$C$15:$C$18,MATCH(E6629,Assumptions!$A$15:$A$18,0)),"Yes","No"))</f>
        <v>Open</v>
      </c>
    </row>
    <row r="6630" customFormat="false" ht="15" hidden="false" customHeight="false" outlineLevel="0" collapsed="false">
      <c r="A6630" s="31" t="s">
        <v>6780</v>
      </c>
      <c r="B6630" s="44" t="n">
        <v>46292</v>
      </c>
      <c r="C6630" s="31" t="s">
        <v>59</v>
      </c>
      <c r="D6630" s="31" t="s">
        <v>66</v>
      </c>
      <c r="E6630" s="31" t="s">
        <v>51</v>
      </c>
      <c r="F6630" s="31" t="s">
        <v>128</v>
      </c>
      <c r="G6630" s="31" t="n">
        <v>225</v>
      </c>
      <c r="H6630" s="41"/>
      <c r="I6630" s="31" t="s">
        <v>158</v>
      </c>
      <c r="J6630" s="31"/>
      <c r="K6630" s="31" t="s">
        <v>150</v>
      </c>
      <c r="L6630" s="45" t="n">
        <f aca="false">DATE(YEAR(B6630),MONTH(B6630),1)</f>
        <v>46266</v>
      </c>
      <c r="M6630" s="31" t="n">
        <f aca="false">WEEKDAY(B6630,2)</f>
        <v>7</v>
      </c>
      <c r="N6630" s="31" t="str">
        <f aca="false">IF(G6630&lt;=INDEX(Assumptions!$B$15:$B$18,MATCH(E6630,Assumptions!$A$15:$A$18,0)),"Yes","No")</f>
        <v>No</v>
      </c>
      <c r="O6630" s="31" t="str">
        <f aca="false">IF(H6630="","Open",IF(H6630&lt;=INDEX(Assumptions!$C$15:$C$18,MATCH(E6630,Assumptions!$A$15:$A$18,0)),"Yes","No"))</f>
        <v>Open</v>
      </c>
    </row>
    <row r="6631" customFormat="false" ht="15" hidden="false" customHeight="false" outlineLevel="0" collapsed="false">
      <c r="A6631" s="31" t="s">
        <v>6781</v>
      </c>
      <c r="B6631" s="44" t="n">
        <v>46292</v>
      </c>
      <c r="C6631" s="31" t="s">
        <v>58</v>
      </c>
      <c r="D6631" s="31" t="s">
        <v>66</v>
      </c>
      <c r="E6631" s="31" t="s">
        <v>51</v>
      </c>
      <c r="F6631" s="31" t="s">
        <v>124</v>
      </c>
      <c r="G6631" s="31" t="n">
        <v>9</v>
      </c>
      <c r="H6631" s="41" t="n">
        <v>8.9</v>
      </c>
      <c r="I6631" s="31" t="s">
        <v>149</v>
      </c>
      <c r="J6631" s="31"/>
      <c r="K6631" s="31" t="s">
        <v>150</v>
      </c>
      <c r="L6631" s="45" t="n">
        <f aca="false">DATE(YEAR(B6631),MONTH(B6631),1)</f>
        <v>46266</v>
      </c>
      <c r="M6631" s="31" t="n">
        <f aca="false">WEEKDAY(B6631,2)</f>
        <v>7</v>
      </c>
      <c r="N6631" s="31" t="str">
        <f aca="false">IF(G6631&lt;=INDEX(Assumptions!$B$15:$B$18,MATCH(E6631,Assumptions!$A$15:$A$18,0)),"Yes","No")</f>
        <v>Yes</v>
      </c>
      <c r="O6631" s="31" t="str">
        <f aca="false">IF(H6631="","Open",IF(H6631&lt;=INDEX(Assumptions!$C$15:$C$18,MATCH(E6631,Assumptions!$A$15:$A$18,0)),"Yes","No"))</f>
        <v>Yes</v>
      </c>
    </row>
    <row r="6632" customFormat="false" ht="15" hidden="false" customHeight="false" outlineLevel="0" collapsed="false">
      <c r="A6632" s="31" t="s">
        <v>6782</v>
      </c>
      <c r="B6632" s="44" t="n">
        <v>46292</v>
      </c>
      <c r="C6632" s="31" t="s">
        <v>57</v>
      </c>
      <c r="D6632" s="31" t="s">
        <v>66</v>
      </c>
      <c r="E6632" s="31" t="s">
        <v>51</v>
      </c>
      <c r="F6632" s="31" t="s">
        <v>133</v>
      </c>
      <c r="G6632" s="31" t="n">
        <v>4</v>
      </c>
      <c r="H6632" s="41"/>
      <c r="I6632" s="31" t="s">
        <v>158</v>
      </c>
      <c r="J6632" s="31"/>
      <c r="K6632" s="31" t="s">
        <v>150</v>
      </c>
      <c r="L6632" s="45" t="n">
        <f aca="false">DATE(YEAR(B6632),MONTH(B6632),1)</f>
        <v>46266</v>
      </c>
      <c r="M6632" s="31" t="n">
        <f aca="false">WEEKDAY(B6632,2)</f>
        <v>7</v>
      </c>
      <c r="N6632" s="31" t="str">
        <f aca="false">IF(G6632&lt;=INDEX(Assumptions!$B$15:$B$18,MATCH(E6632,Assumptions!$A$15:$A$18,0)),"Yes","No")</f>
        <v>Yes</v>
      </c>
      <c r="O6632" s="31" t="str">
        <f aca="false">IF(H6632="","Open",IF(H6632&lt;=INDEX(Assumptions!$C$15:$C$18,MATCH(E6632,Assumptions!$A$15:$A$18,0)),"Yes","No"))</f>
        <v>Open</v>
      </c>
    </row>
    <row r="6633" customFormat="false" ht="15" hidden="false" customHeight="false" outlineLevel="0" collapsed="false">
      <c r="A6633" s="31" t="s">
        <v>6783</v>
      </c>
      <c r="B6633" s="44" t="n">
        <v>46292</v>
      </c>
      <c r="C6633" s="31" t="s">
        <v>57</v>
      </c>
      <c r="D6633" s="31" t="s">
        <v>66</v>
      </c>
      <c r="E6633" s="31" t="s">
        <v>50</v>
      </c>
      <c r="F6633" s="31" t="s">
        <v>127</v>
      </c>
      <c r="G6633" s="31" t="n">
        <v>3</v>
      </c>
      <c r="H6633" s="41"/>
      <c r="I6633" s="31" t="s">
        <v>158</v>
      </c>
      <c r="J6633" s="31"/>
      <c r="K6633" s="31" t="s">
        <v>150</v>
      </c>
      <c r="L6633" s="45" t="n">
        <f aca="false">DATE(YEAR(B6633),MONTH(B6633),1)</f>
        <v>46266</v>
      </c>
      <c r="M6633" s="31" t="n">
        <f aca="false">WEEKDAY(B6633,2)</f>
        <v>7</v>
      </c>
      <c r="N6633" s="31" t="str">
        <f aca="false">IF(G6633&lt;=INDEX(Assumptions!$B$15:$B$18,MATCH(E6633,Assumptions!$A$15:$A$18,0)),"Yes","No")</f>
        <v>Yes</v>
      </c>
      <c r="O6633" s="31" t="str">
        <f aca="false">IF(H6633="","Open",IF(H6633&lt;=INDEX(Assumptions!$C$15:$C$18,MATCH(E6633,Assumptions!$A$15:$A$18,0)),"Yes","No"))</f>
        <v>Open</v>
      </c>
    </row>
    <row r="6634" customFormat="false" ht="15" hidden="false" customHeight="false" outlineLevel="0" collapsed="false">
      <c r="A6634" s="31" t="s">
        <v>6784</v>
      </c>
      <c r="B6634" s="44" t="n">
        <v>46292</v>
      </c>
      <c r="C6634" s="31" t="s">
        <v>59</v>
      </c>
      <c r="D6634" s="31" t="s">
        <v>66</v>
      </c>
      <c r="E6634" s="31" t="s">
        <v>52</v>
      </c>
      <c r="F6634" s="31" t="s">
        <v>124</v>
      </c>
      <c r="G6634" s="31" t="n">
        <v>77</v>
      </c>
      <c r="H6634" s="41" t="n">
        <v>19.6</v>
      </c>
      <c r="I6634" s="31" t="s">
        <v>149</v>
      </c>
      <c r="J6634" s="31"/>
      <c r="K6634" s="31" t="s">
        <v>150</v>
      </c>
      <c r="L6634" s="45" t="n">
        <f aca="false">DATE(YEAR(B6634),MONTH(B6634),1)</f>
        <v>46266</v>
      </c>
      <c r="M6634" s="31" t="n">
        <f aca="false">WEEKDAY(B6634,2)</f>
        <v>7</v>
      </c>
      <c r="N6634" s="31" t="str">
        <f aca="false">IF(G6634&lt;=INDEX(Assumptions!$B$15:$B$18,MATCH(E6634,Assumptions!$A$15:$A$18,0)),"Yes","No")</f>
        <v>Yes</v>
      </c>
      <c r="O6634" s="31" t="str">
        <f aca="false">IF(H6634="","Open",IF(H6634&lt;=INDEX(Assumptions!$C$15:$C$18,MATCH(E6634,Assumptions!$A$15:$A$18,0)),"Yes","No"))</f>
        <v>Yes</v>
      </c>
    </row>
    <row r="6635" customFormat="false" ht="15" hidden="false" customHeight="false" outlineLevel="0" collapsed="false">
      <c r="A6635" s="31" t="s">
        <v>6785</v>
      </c>
      <c r="B6635" s="44" t="n">
        <v>46292</v>
      </c>
      <c r="C6635" s="31" t="s">
        <v>59</v>
      </c>
      <c r="D6635" s="31" t="s">
        <v>65</v>
      </c>
      <c r="E6635" s="31" t="s">
        <v>51</v>
      </c>
      <c r="F6635" s="31" t="s">
        <v>130</v>
      </c>
      <c r="G6635" s="31" t="n">
        <v>158</v>
      </c>
      <c r="H6635" s="41"/>
      <c r="I6635" s="31" t="s">
        <v>158</v>
      </c>
      <c r="J6635" s="31"/>
      <c r="K6635" s="31" t="s">
        <v>150</v>
      </c>
      <c r="L6635" s="45" t="n">
        <f aca="false">DATE(YEAR(B6635),MONTH(B6635),1)</f>
        <v>46266</v>
      </c>
      <c r="M6635" s="31" t="n">
        <f aca="false">WEEKDAY(B6635,2)</f>
        <v>7</v>
      </c>
      <c r="N6635" s="31" t="str">
        <f aca="false">IF(G6635&lt;=INDEX(Assumptions!$B$15:$B$18,MATCH(E6635,Assumptions!$A$15:$A$18,0)),"Yes","No")</f>
        <v>No</v>
      </c>
      <c r="O6635" s="31" t="str">
        <f aca="false">IF(H6635="","Open",IF(H6635&lt;=INDEX(Assumptions!$C$15:$C$18,MATCH(E6635,Assumptions!$A$15:$A$18,0)),"Yes","No"))</f>
        <v>Open</v>
      </c>
    </row>
    <row r="6636" customFormat="false" ht="15" hidden="false" customHeight="false" outlineLevel="0" collapsed="false">
      <c r="A6636" s="31" t="s">
        <v>6786</v>
      </c>
      <c r="B6636" s="44" t="n">
        <v>46292</v>
      </c>
      <c r="C6636" s="31" t="s">
        <v>57</v>
      </c>
      <c r="D6636" s="31" t="s">
        <v>65</v>
      </c>
      <c r="E6636" s="31" t="s">
        <v>51</v>
      </c>
      <c r="F6636" s="31" t="s">
        <v>136</v>
      </c>
      <c r="G6636" s="31" t="n">
        <v>4</v>
      </c>
      <c r="H6636" s="41" t="n">
        <v>64.6</v>
      </c>
      <c r="I6636" s="31" t="s">
        <v>64</v>
      </c>
      <c r="J6636" s="31"/>
      <c r="K6636" s="31" t="s">
        <v>150</v>
      </c>
      <c r="L6636" s="45" t="n">
        <f aca="false">DATE(YEAR(B6636),MONTH(B6636),1)</f>
        <v>46266</v>
      </c>
      <c r="M6636" s="31" t="n">
        <f aca="false">WEEKDAY(B6636,2)</f>
        <v>7</v>
      </c>
      <c r="N6636" s="31" t="str">
        <f aca="false">IF(G6636&lt;=INDEX(Assumptions!$B$15:$B$18,MATCH(E6636,Assumptions!$A$15:$A$18,0)),"Yes","No")</f>
        <v>Yes</v>
      </c>
      <c r="O6636" s="31" t="str">
        <f aca="false">IF(H6636="","Open",IF(H6636&lt;=INDEX(Assumptions!$C$15:$C$18,MATCH(E6636,Assumptions!$A$15:$A$18,0)),"Yes","No"))</f>
        <v>No</v>
      </c>
    </row>
    <row r="6637" customFormat="false" ht="15" hidden="false" customHeight="false" outlineLevel="0" collapsed="false">
      <c r="A6637" s="31" t="s">
        <v>6787</v>
      </c>
      <c r="B6637" s="44" t="n">
        <v>46292</v>
      </c>
      <c r="C6637" s="31" t="s">
        <v>60</v>
      </c>
      <c r="D6637" s="31" t="s">
        <v>66</v>
      </c>
      <c r="E6637" s="31" t="s">
        <v>52</v>
      </c>
      <c r="F6637" s="31" t="s">
        <v>121</v>
      </c>
      <c r="G6637" s="31" t="n">
        <v>2</v>
      </c>
      <c r="H6637" s="41"/>
      <c r="I6637" s="31" t="s">
        <v>158</v>
      </c>
      <c r="J6637" s="31"/>
      <c r="K6637" s="31" t="s">
        <v>150</v>
      </c>
      <c r="L6637" s="45" t="n">
        <f aca="false">DATE(YEAR(B6637),MONTH(B6637),1)</f>
        <v>46266</v>
      </c>
      <c r="M6637" s="31" t="n">
        <f aca="false">WEEKDAY(B6637,2)</f>
        <v>7</v>
      </c>
      <c r="N6637" s="31" t="str">
        <f aca="false">IF(G6637&lt;=INDEX(Assumptions!$B$15:$B$18,MATCH(E6637,Assumptions!$A$15:$A$18,0)),"Yes","No")</f>
        <v>Yes</v>
      </c>
      <c r="O6637" s="31" t="str">
        <f aca="false">IF(H6637="","Open",IF(H6637&lt;=INDEX(Assumptions!$C$15:$C$18,MATCH(E6637,Assumptions!$A$15:$A$18,0)),"Yes","No"))</f>
        <v>Open</v>
      </c>
    </row>
    <row r="6638" customFormat="false" ht="15" hidden="false" customHeight="false" outlineLevel="0" collapsed="false">
      <c r="A6638" s="31" t="s">
        <v>6788</v>
      </c>
      <c r="B6638" s="44" t="n">
        <v>46292</v>
      </c>
      <c r="C6638" s="31" t="s">
        <v>59</v>
      </c>
      <c r="D6638" s="31" t="s">
        <v>67</v>
      </c>
      <c r="E6638" s="31" t="s">
        <v>51</v>
      </c>
      <c r="F6638" s="31" t="s">
        <v>121</v>
      </c>
      <c r="G6638" s="31" t="n">
        <v>162</v>
      </c>
      <c r="H6638" s="41"/>
      <c r="I6638" s="31" t="s">
        <v>158</v>
      </c>
      <c r="J6638" s="31"/>
      <c r="K6638" s="31" t="s">
        <v>150</v>
      </c>
      <c r="L6638" s="45" t="n">
        <f aca="false">DATE(YEAR(B6638),MONTH(B6638),1)</f>
        <v>46266</v>
      </c>
      <c r="M6638" s="31" t="n">
        <f aca="false">WEEKDAY(B6638,2)</f>
        <v>7</v>
      </c>
      <c r="N6638" s="31" t="str">
        <f aca="false">IF(G6638&lt;=INDEX(Assumptions!$B$15:$B$18,MATCH(E6638,Assumptions!$A$15:$A$18,0)),"Yes","No")</f>
        <v>No</v>
      </c>
      <c r="O6638" s="31" t="str">
        <f aca="false">IF(H6638="","Open",IF(H6638&lt;=INDEX(Assumptions!$C$15:$C$18,MATCH(E6638,Assumptions!$A$15:$A$18,0)),"Yes","No"))</f>
        <v>Open</v>
      </c>
    </row>
    <row r="6639" customFormat="false" ht="15" hidden="false" customHeight="false" outlineLevel="0" collapsed="false">
      <c r="A6639" s="31" t="s">
        <v>6789</v>
      </c>
      <c r="B6639" s="44" t="n">
        <v>46292</v>
      </c>
      <c r="C6639" s="31" t="s">
        <v>57</v>
      </c>
      <c r="D6639" s="31" t="s">
        <v>65</v>
      </c>
      <c r="E6639" s="31" t="s">
        <v>51</v>
      </c>
      <c r="F6639" s="31" t="s">
        <v>136</v>
      </c>
      <c r="G6639" s="31" t="n">
        <v>2</v>
      </c>
      <c r="H6639" s="41"/>
      <c r="I6639" s="31" t="s">
        <v>158</v>
      </c>
      <c r="J6639" s="31"/>
      <c r="K6639" s="31" t="s">
        <v>150</v>
      </c>
      <c r="L6639" s="45" t="n">
        <f aca="false">DATE(YEAR(B6639),MONTH(B6639),1)</f>
        <v>46266</v>
      </c>
      <c r="M6639" s="31" t="n">
        <f aca="false">WEEKDAY(B6639,2)</f>
        <v>7</v>
      </c>
      <c r="N6639" s="31" t="str">
        <f aca="false">IF(G6639&lt;=INDEX(Assumptions!$B$15:$B$18,MATCH(E6639,Assumptions!$A$15:$A$18,0)),"Yes","No")</f>
        <v>Yes</v>
      </c>
      <c r="O6639" s="31" t="str">
        <f aca="false">IF(H6639="","Open",IF(H6639&lt;=INDEX(Assumptions!$C$15:$C$18,MATCH(E6639,Assumptions!$A$15:$A$18,0)),"Yes","No"))</f>
        <v>Open</v>
      </c>
    </row>
    <row r="6640" customFormat="false" ht="15" hidden="false" customHeight="false" outlineLevel="0" collapsed="false">
      <c r="A6640" s="31" t="s">
        <v>6790</v>
      </c>
      <c r="B6640" s="44" t="n">
        <v>46292</v>
      </c>
      <c r="C6640" s="31" t="s">
        <v>57</v>
      </c>
      <c r="D6640" s="31" t="s">
        <v>65</v>
      </c>
      <c r="E6640" s="31" t="s">
        <v>50</v>
      </c>
      <c r="F6640" s="31" t="s">
        <v>137</v>
      </c>
      <c r="G6640" s="31" t="n">
        <v>3</v>
      </c>
      <c r="H6640" s="41"/>
      <c r="I6640" s="31" t="s">
        <v>158</v>
      </c>
      <c r="J6640" s="31"/>
      <c r="K6640" s="31" t="s">
        <v>150</v>
      </c>
      <c r="L6640" s="45" t="n">
        <f aca="false">DATE(YEAR(B6640),MONTH(B6640),1)</f>
        <v>46266</v>
      </c>
      <c r="M6640" s="31" t="n">
        <f aca="false">WEEKDAY(B6640,2)</f>
        <v>7</v>
      </c>
      <c r="N6640" s="31" t="str">
        <f aca="false">IF(G6640&lt;=INDEX(Assumptions!$B$15:$B$18,MATCH(E6640,Assumptions!$A$15:$A$18,0)),"Yes","No")</f>
        <v>Yes</v>
      </c>
      <c r="O6640" s="31" t="str">
        <f aca="false">IF(H6640="","Open",IF(H6640&lt;=INDEX(Assumptions!$C$15:$C$18,MATCH(E6640,Assumptions!$A$15:$A$18,0)),"Yes","No"))</f>
        <v>Open</v>
      </c>
    </row>
    <row r="6641" customFormat="false" ht="15" hidden="false" customHeight="false" outlineLevel="0" collapsed="false">
      <c r="A6641" s="31" t="s">
        <v>6791</v>
      </c>
      <c r="B6641" s="44" t="n">
        <v>46292</v>
      </c>
      <c r="C6641" s="31" t="s">
        <v>58</v>
      </c>
      <c r="D6641" s="31" t="s">
        <v>65</v>
      </c>
      <c r="E6641" s="31" t="s">
        <v>51</v>
      </c>
      <c r="F6641" s="31" t="s">
        <v>128</v>
      </c>
      <c r="G6641" s="31" t="n">
        <v>36</v>
      </c>
      <c r="H6641" s="41"/>
      <c r="I6641" s="31" t="s">
        <v>158</v>
      </c>
      <c r="J6641" s="31"/>
      <c r="K6641" s="31" t="s">
        <v>150</v>
      </c>
      <c r="L6641" s="45" t="n">
        <f aca="false">DATE(YEAR(B6641),MONTH(B6641),1)</f>
        <v>46266</v>
      </c>
      <c r="M6641" s="31" t="n">
        <f aca="false">WEEKDAY(B6641,2)</f>
        <v>7</v>
      </c>
      <c r="N6641" s="31" t="str">
        <f aca="false">IF(G6641&lt;=INDEX(Assumptions!$B$15:$B$18,MATCH(E6641,Assumptions!$A$15:$A$18,0)),"Yes","No")</f>
        <v>Yes</v>
      </c>
      <c r="O6641" s="31" t="str">
        <f aca="false">IF(H6641="","Open",IF(H6641&lt;=INDEX(Assumptions!$C$15:$C$18,MATCH(E6641,Assumptions!$A$15:$A$18,0)),"Yes","No"))</f>
        <v>Open</v>
      </c>
    </row>
    <row r="6642" customFormat="false" ht="15" hidden="false" customHeight="false" outlineLevel="0" collapsed="false">
      <c r="A6642" s="31" t="s">
        <v>6792</v>
      </c>
      <c r="B6642" s="44" t="n">
        <v>46292</v>
      </c>
      <c r="C6642" s="31" t="s">
        <v>59</v>
      </c>
      <c r="D6642" s="31" t="s">
        <v>66</v>
      </c>
      <c r="E6642" s="31" t="s">
        <v>50</v>
      </c>
      <c r="F6642" s="31" t="s">
        <v>137</v>
      </c>
      <c r="G6642" s="31" t="n">
        <v>134</v>
      </c>
      <c r="H6642" s="41" t="n">
        <v>14.4</v>
      </c>
      <c r="I6642" s="31" t="s">
        <v>64</v>
      </c>
      <c r="J6642" s="31"/>
      <c r="K6642" s="31" t="s">
        <v>150</v>
      </c>
      <c r="L6642" s="45" t="n">
        <f aca="false">DATE(YEAR(B6642),MONTH(B6642),1)</f>
        <v>46266</v>
      </c>
      <c r="M6642" s="31" t="n">
        <f aca="false">WEEKDAY(B6642,2)</f>
        <v>7</v>
      </c>
      <c r="N6642" s="31" t="str">
        <f aca="false">IF(G6642&lt;=INDEX(Assumptions!$B$15:$B$18,MATCH(E6642,Assumptions!$A$15:$A$18,0)),"Yes","No")</f>
        <v>No</v>
      </c>
      <c r="O6642" s="31" t="str">
        <f aca="false">IF(H6642="","Open",IF(H6642&lt;=INDEX(Assumptions!$C$15:$C$18,MATCH(E6642,Assumptions!$A$15:$A$18,0)),"Yes","No"))</f>
        <v>No</v>
      </c>
    </row>
    <row r="6643" customFormat="false" ht="15" hidden="false" customHeight="false" outlineLevel="0" collapsed="false">
      <c r="A6643" s="31" t="s">
        <v>6793</v>
      </c>
      <c r="B6643" s="44" t="n">
        <v>46292</v>
      </c>
      <c r="C6643" s="31" t="s">
        <v>57</v>
      </c>
      <c r="D6643" s="31" t="s">
        <v>66</v>
      </c>
      <c r="E6643" s="31" t="s">
        <v>51</v>
      </c>
      <c r="F6643" s="31" t="s">
        <v>126</v>
      </c>
      <c r="G6643" s="31" t="n">
        <v>5</v>
      </c>
      <c r="H6643" s="41"/>
      <c r="I6643" s="31" t="s">
        <v>158</v>
      </c>
      <c r="J6643" s="31"/>
      <c r="K6643" s="31" t="s">
        <v>150</v>
      </c>
      <c r="L6643" s="45" t="n">
        <f aca="false">DATE(YEAR(B6643),MONTH(B6643),1)</f>
        <v>46266</v>
      </c>
      <c r="M6643" s="31" t="n">
        <f aca="false">WEEKDAY(B6643,2)</f>
        <v>7</v>
      </c>
      <c r="N6643" s="31" t="str">
        <f aca="false">IF(G6643&lt;=INDEX(Assumptions!$B$15:$B$18,MATCH(E6643,Assumptions!$A$15:$A$18,0)),"Yes","No")</f>
        <v>Yes</v>
      </c>
      <c r="O6643" s="31" t="str">
        <f aca="false">IF(H6643="","Open",IF(H6643&lt;=INDEX(Assumptions!$C$15:$C$18,MATCH(E6643,Assumptions!$A$15:$A$18,0)),"Yes","No"))</f>
        <v>Open</v>
      </c>
    </row>
    <row r="6644" customFormat="false" ht="15" hidden="false" customHeight="false" outlineLevel="0" collapsed="false">
      <c r="A6644" s="31" t="s">
        <v>6794</v>
      </c>
      <c r="B6644" s="44" t="n">
        <v>46292</v>
      </c>
      <c r="C6644" s="31" t="s">
        <v>58</v>
      </c>
      <c r="D6644" s="31" t="s">
        <v>67</v>
      </c>
      <c r="E6644" s="31" t="s">
        <v>51</v>
      </c>
      <c r="F6644" s="31" t="s">
        <v>133</v>
      </c>
      <c r="G6644" s="31" t="n">
        <v>9</v>
      </c>
      <c r="H6644" s="41"/>
      <c r="I6644" s="31" t="s">
        <v>158</v>
      </c>
      <c r="J6644" s="31"/>
      <c r="K6644" s="31" t="s">
        <v>150</v>
      </c>
      <c r="L6644" s="45" t="n">
        <f aca="false">DATE(YEAR(B6644),MONTH(B6644),1)</f>
        <v>46266</v>
      </c>
      <c r="M6644" s="31" t="n">
        <f aca="false">WEEKDAY(B6644,2)</f>
        <v>7</v>
      </c>
      <c r="N6644" s="31" t="str">
        <f aca="false">IF(G6644&lt;=INDEX(Assumptions!$B$15:$B$18,MATCH(E6644,Assumptions!$A$15:$A$18,0)),"Yes","No")</f>
        <v>Yes</v>
      </c>
      <c r="O6644" s="31" t="str">
        <f aca="false">IF(H6644="","Open",IF(H6644&lt;=INDEX(Assumptions!$C$15:$C$18,MATCH(E6644,Assumptions!$A$15:$A$18,0)),"Yes","No"))</f>
        <v>Open</v>
      </c>
    </row>
    <row r="6645" customFormat="false" ht="15" hidden="false" customHeight="false" outlineLevel="0" collapsed="false">
      <c r="A6645" s="31" t="s">
        <v>6795</v>
      </c>
      <c r="B6645" s="44" t="n">
        <v>46292</v>
      </c>
      <c r="C6645" s="31" t="s">
        <v>60</v>
      </c>
      <c r="D6645" s="31" t="s">
        <v>65</v>
      </c>
      <c r="E6645" s="31" t="s">
        <v>52</v>
      </c>
      <c r="F6645" s="31" t="s">
        <v>126</v>
      </c>
      <c r="G6645" s="31" t="n">
        <v>1</v>
      </c>
      <c r="H6645" s="41" t="n">
        <v>10.9</v>
      </c>
      <c r="I6645" s="31" t="s">
        <v>64</v>
      </c>
      <c r="J6645" s="31" t="n">
        <v>4</v>
      </c>
      <c r="K6645" s="31" t="s">
        <v>150</v>
      </c>
      <c r="L6645" s="45" t="n">
        <f aca="false">DATE(YEAR(B6645),MONTH(B6645),1)</f>
        <v>46266</v>
      </c>
      <c r="M6645" s="31" t="n">
        <f aca="false">WEEKDAY(B6645,2)</f>
        <v>7</v>
      </c>
      <c r="N6645" s="31" t="str">
        <f aca="false">IF(G6645&lt;=INDEX(Assumptions!$B$15:$B$18,MATCH(E6645,Assumptions!$A$15:$A$18,0)),"Yes","No")</f>
        <v>Yes</v>
      </c>
      <c r="O6645" s="31" t="str">
        <f aca="false">IF(H6645="","Open",IF(H6645&lt;=INDEX(Assumptions!$C$15:$C$18,MATCH(E6645,Assumptions!$A$15:$A$18,0)),"Yes","No"))</f>
        <v>Yes</v>
      </c>
    </row>
    <row r="6646" customFormat="false" ht="15" hidden="false" customHeight="false" outlineLevel="0" collapsed="false">
      <c r="A6646" s="31" t="s">
        <v>6796</v>
      </c>
      <c r="B6646" s="44" t="n">
        <v>46292</v>
      </c>
      <c r="C6646" s="31" t="s">
        <v>58</v>
      </c>
      <c r="D6646" s="31" t="s">
        <v>66</v>
      </c>
      <c r="E6646" s="31" t="s">
        <v>50</v>
      </c>
      <c r="F6646" s="31" t="s">
        <v>117</v>
      </c>
      <c r="G6646" s="31" t="n">
        <v>2</v>
      </c>
      <c r="H6646" s="41"/>
      <c r="I6646" s="31" t="s">
        <v>158</v>
      </c>
      <c r="J6646" s="31"/>
      <c r="K6646" s="31" t="s">
        <v>150</v>
      </c>
      <c r="L6646" s="45" t="n">
        <f aca="false">DATE(YEAR(B6646),MONTH(B6646),1)</f>
        <v>46266</v>
      </c>
      <c r="M6646" s="31" t="n">
        <f aca="false">WEEKDAY(B6646,2)</f>
        <v>7</v>
      </c>
      <c r="N6646" s="31" t="str">
        <f aca="false">IF(G6646&lt;=INDEX(Assumptions!$B$15:$B$18,MATCH(E6646,Assumptions!$A$15:$A$18,0)),"Yes","No")</f>
        <v>Yes</v>
      </c>
      <c r="O6646" s="31" t="str">
        <f aca="false">IF(H6646="","Open",IF(H6646&lt;=INDEX(Assumptions!$C$15:$C$18,MATCH(E6646,Assumptions!$A$15:$A$18,0)),"Yes","No"))</f>
        <v>Open</v>
      </c>
    </row>
    <row r="6647" customFormat="false" ht="15" hidden="false" customHeight="false" outlineLevel="0" collapsed="false">
      <c r="A6647" s="31" t="s">
        <v>6797</v>
      </c>
      <c r="B6647" s="44" t="n">
        <v>46292</v>
      </c>
      <c r="C6647" s="31" t="s">
        <v>58</v>
      </c>
      <c r="D6647" s="31" t="s">
        <v>65</v>
      </c>
      <c r="E6647" s="31" t="s">
        <v>50</v>
      </c>
      <c r="F6647" s="31" t="s">
        <v>119</v>
      </c>
      <c r="G6647" s="31" t="n">
        <v>21</v>
      </c>
      <c r="H6647" s="41"/>
      <c r="I6647" s="31" t="s">
        <v>158</v>
      </c>
      <c r="J6647" s="31"/>
      <c r="K6647" s="31" t="s">
        <v>150</v>
      </c>
      <c r="L6647" s="45" t="n">
        <f aca="false">DATE(YEAR(B6647),MONTH(B6647),1)</f>
        <v>46266</v>
      </c>
      <c r="M6647" s="31" t="n">
        <f aca="false">WEEKDAY(B6647,2)</f>
        <v>7</v>
      </c>
      <c r="N6647" s="31" t="str">
        <f aca="false">IF(G6647&lt;=INDEX(Assumptions!$B$15:$B$18,MATCH(E6647,Assumptions!$A$15:$A$18,0)),"Yes","No")</f>
        <v>Yes</v>
      </c>
      <c r="O6647" s="31" t="str">
        <f aca="false">IF(H6647="","Open",IF(H6647&lt;=INDEX(Assumptions!$C$15:$C$18,MATCH(E6647,Assumptions!$A$15:$A$18,0)),"Yes","No"))</f>
        <v>Open</v>
      </c>
    </row>
    <row r="6648" customFormat="false" ht="15" hidden="false" customHeight="false" outlineLevel="0" collapsed="false">
      <c r="A6648" s="31" t="s">
        <v>6798</v>
      </c>
      <c r="B6648" s="44" t="n">
        <v>46292</v>
      </c>
      <c r="C6648" s="31" t="s">
        <v>58</v>
      </c>
      <c r="D6648" s="31" t="s">
        <v>67</v>
      </c>
      <c r="E6648" s="31" t="s">
        <v>51</v>
      </c>
      <c r="F6648" s="31" t="s">
        <v>122</v>
      </c>
      <c r="G6648" s="31" t="n">
        <v>4</v>
      </c>
      <c r="H6648" s="41"/>
      <c r="I6648" s="31" t="s">
        <v>158</v>
      </c>
      <c r="J6648" s="31"/>
      <c r="K6648" s="31" t="s">
        <v>150</v>
      </c>
      <c r="L6648" s="45" t="n">
        <f aca="false">DATE(YEAR(B6648),MONTH(B6648),1)</f>
        <v>46266</v>
      </c>
      <c r="M6648" s="31" t="n">
        <f aca="false">WEEKDAY(B6648,2)</f>
        <v>7</v>
      </c>
      <c r="N6648" s="31" t="str">
        <f aca="false">IF(G6648&lt;=INDEX(Assumptions!$B$15:$B$18,MATCH(E6648,Assumptions!$A$15:$A$18,0)),"Yes","No")</f>
        <v>Yes</v>
      </c>
      <c r="O6648" s="31" t="str">
        <f aca="false">IF(H6648="","Open",IF(H6648&lt;=INDEX(Assumptions!$C$15:$C$18,MATCH(E6648,Assumptions!$A$15:$A$18,0)),"Yes","No"))</f>
        <v>Open</v>
      </c>
    </row>
    <row r="6649" customFormat="false" ht="15" hidden="false" customHeight="false" outlineLevel="0" collapsed="false">
      <c r="A6649" s="31" t="s">
        <v>6799</v>
      </c>
      <c r="B6649" s="44" t="n">
        <v>46292</v>
      </c>
      <c r="C6649" s="31" t="s">
        <v>58</v>
      </c>
      <c r="D6649" s="31" t="s">
        <v>66</v>
      </c>
      <c r="E6649" s="31" t="s">
        <v>52</v>
      </c>
      <c r="F6649" s="31" t="s">
        <v>130</v>
      </c>
      <c r="G6649" s="31" t="n">
        <v>2</v>
      </c>
      <c r="H6649" s="41"/>
      <c r="I6649" s="31" t="s">
        <v>158</v>
      </c>
      <c r="J6649" s="31"/>
      <c r="K6649" s="31" t="s">
        <v>150</v>
      </c>
      <c r="L6649" s="45" t="n">
        <f aca="false">DATE(YEAR(B6649),MONTH(B6649),1)</f>
        <v>46266</v>
      </c>
      <c r="M6649" s="31" t="n">
        <f aca="false">WEEKDAY(B6649,2)</f>
        <v>7</v>
      </c>
      <c r="N6649" s="31" t="str">
        <f aca="false">IF(G6649&lt;=INDEX(Assumptions!$B$15:$B$18,MATCH(E6649,Assumptions!$A$15:$A$18,0)),"Yes","No")</f>
        <v>Yes</v>
      </c>
      <c r="O6649" s="31" t="str">
        <f aca="false">IF(H6649="","Open",IF(H6649&lt;=INDEX(Assumptions!$C$15:$C$18,MATCH(E6649,Assumptions!$A$15:$A$18,0)),"Yes","No"))</f>
        <v>Open</v>
      </c>
    </row>
    <row r="6650" customFormat="false" ht="15" hidden="false" customHeight="false" outlineLevel="0" collapsed="false">
      <c r="A6650" s="31" t="s">
        <v>6800</v>
      </c>
      <c r="B6650" s="44" t="n">
        <v>46293</v>
      </c>
      <c r="C6650" s="31" t="s">
        <v>59</v>
      </c>
      <c r="D6650" s="31" t="s">
        <v>66</v>
      </c>
      <c r="E6650" s="31" t="s">
        <v>51</v>
      </c>
      <c r="F6650" s="31" t="s">
        <v>122</v>
      </c>
      <c r="G6650" s="31" t="n">
        <v>52</v>
      </c>
      <c r="H6650" s="41"/>
      <c r="I6650" s="31" t="s">
        <v>158</v>
      </c>
      <c r="J6650" s="31"/>
      <c r="K6650" s="31" t="s">
        <v>150</v>
      </c>
      <c r="L6650" s="45" t="n">
        <f aca="false">DATE(YEAR(B6650),MONTH(B6650),1)</f>
        <v>46266</v>
      </c>
      <c r="M6650" s="31" t="n">
        <f aca="false">WEEKDAY(B6650,2)</f>
        <v>1</v>
      </c>
      <c r="N6650" s="31" t="str">
        <f aca="false">IF(G6650&lt;=INDEX(Assumptions!$B$15:$B$18,MATCH(E6650,Assumptions!$A$15:$A$18,0)),"Yes","No")</f>
        <v>Yes</v>
      </c>
      <c r="O6650" s="31" t="str">
        <f aca="false">IF(H6650="","Open",IF(H6650&lt;=INDEX(Assumptions!$C$15:$C$18,MATCH(E6650,Assumptions!$A$15:$A$18,0)),"Yes","No"))</f>
        <v>Open</v>
      </c>
    </row>
    <row r="6651" customFormat="false" ht="15" hidden="false" customHeight="false" outlineLevel="0" collapsed="false">
      <c r="A6651" s="31" t="s">
        <v>6801</v>
      </c>
      <c r="B6651" s="44" t="n">
        <v>46293</v>
      </c>
      <c r="C6651" s="31" t="s">
        <v>60</v>
      </c>
      <c r="D6651" s="31" t="s">
        <v>66</v>
      </c>
      <c r="E6651" s="31" t="s">
        <v>52</v>
      </c>
      <c r="F6651" s="31" t="s">
        <v>127</v>
      </c>
      <c r="G6651" s="31" t="n">
        <v>7</v>
      </c>
      <c r="H6651" s="41"/>
      <c r="I6651" s="31" t="s">
        <v>158</v>
      </c>
      <c r="J6651" s="31"/>
      <c r="K6651" s="31" t="s">
        <v>150</v>
      </c>
      <c r="L6651" s="45" t="n">
        <f aca="false">DATE(YEAR(B6651),MONTH(B6651),1)</f>
        <v>46266</v>
      </c>
      <c r="M6651" s="31" t="n">
        <f aca="false">WEEKDAY(B6651,2)</f>
        <v>1</v>
      </c>
      <c r="N6651" s="31" t="str">
        <f aca="false">IF(G6651&lt;=INDEX(Assumptions!$B$15:$B$18,MATCH(E6651,Assumptions!$A$15:$A$18,0)),"Yes","No")</f>
        <v>Yes</v>
      </c>
      <c r="O6651" s="31" t="str">
        <f aca="false">IF(H6651="","Open",IF(H6651&lt;=INDEX(Assumptions!$C$15:$C$18,MATCH(E6651,Assumptions!$A$15:$A$18,0)),"Yes","No"))</f>
        <v>Open</v>
      </c>
    </row>
    <row r="6652" customFormat="false" ht="15" hidden="false" customHeight="false" outlineLevel="0" collapsed="false">
      <c r="A6652" s="31" t="s">
        <v>6802</v>
      </c>
      <c r="B6652" s="44" t="n">
        <v>46293</v>
      </c>
      <c r="C6652" s="31" t="s">
        <v>59</v>
      </c>
      <c r="D6652" s="31" t="s">
        <v>65</v>
      </c>
      <c r="E6652" s="31" t="s">
        <v>52</v>
      </c>
      <c r="F6652" s="31" t="s">
        <v>124</v>
      </c>
      <c r="G6652" s="31" t="n">
        <v>104</v>
      </c>
      <c r="H6652" s="41" t="n">
        <v>30.7</v>
      </c>
      <c r="I6652" s="31" t="s">
        <v>149</v>
      </c>
      <c r="J6652" s="31"/>
      <c r="K6652" s="31" t="s">
        <v>150</v>
      </c>
      <c r="L6652" s="45" t="n">
        <f aca="false">DATE(YEAR(B6652),MONTH(B6652),1)</f>
        <v>46266</v>
      </c>
      <c r="M6652" s="31" t="n">
        <f aca="false">WEEKDAY(B6652,2)</f>
        <v>1</v>
      </c>
      <c r="N6652" s="31" t="str">
        <f aca="false">IF(G6652&lt;=INDEX(Assumptions!$B$15:$B$18,MATCH(E6652,Assumptions!$A$15:$A$18,0)),"Yes","No")</f>
        <v>Yes</v>
      </c>
      <c r="O6652" s="31" t="str">
        <f aca="false">IF(H6652="","Open",IF(H6652&lt;=INDEX(Assumptions!$C$15:$C$18,MATCH(E6652,Assumptions!$A$15:$A$18,0)),"Yes","No"))</f>
        <v>Yes</v>
      </c>
    </row>
    <row r="6653" customFormat="false" ht="15" hidden="false" customHeight="false" outlineLevel="0" collapsed="false">
      <c r="A6653" s="31" t="s">
        <v>6803</v>
      </c>
      <c r="B6653" s="44" t="n">
        <v>46293</v>
      </c>
      <c r="C6653" s="31" t="s">
        <v>59</v>
      </c>
      <c r="D6653" s="31" t="s">
        <v>68</v>
      </c>
      <c r="E6653" s="31" t="s">
        <v>51</v>
      </c>
      <c r="F6653" s="31" t="s">
        <v>134</v>
      </c>
      <c r="G6653" s="31" t="n">
        <v>174</v>
      </c>
      <c r="H6653" s="41"/>
      <c r="I6653" s="31" t="s">
        <v>158</v>
      </c>
      <c r="J6653" s="31"/>
      <c r="K6653" s="31" t="s">
        <v>150</v>
      </c>
      <c r="L6653" s="45" t="n">
        <f aca="false">DATE(YEAR(B6653),MONTH(B6653),1)</f>
        <v>46266</v>
      </c>
      <c r="M6653" s="31" t="n">
        <f aca="false">WEEKDAY(B6653,2)</f>
        <v>1</v>
      </c>
      <c r="N6653" s="31" t="str">
        <f aca="false">IF(G6653&lt;=INDEX(Assumptions!$B$15:$B$18,MATCH(E6653,Assumptions!$A$15:$A$18,0)),"Yes","No")</f>
        <v>No</v>
      </c>
      <c r="O6653" s="31" t="str">
        <f aca="false">IF(H6653="","Open",IF(H6653&lt;=INDEX(Assumptions!$C$15:$C$18,MATCH(E6653,Assumptions!$A$15:$A$18,0)),"Yes","No"))</f>
        <v>Open</v>
      </c>
    </row>
    <row r="6654" customFormat="false" ht="15" hidden="false" customHeight="false" outlineLevel="0" collapsed="false">
      <c r="A6654" s="31" t="s">
        <v>6804</v>
      </c>
      <c r="B6654" s="44" t="n">
        <v>46293</v>
      </c>
      <c r="C6654" s="31" t="s">
        <v>60</v>
      </c>
      <c r="D6654" s="31" t="s">
        <v>66</v>
      </c>
      <c r="E6654" s="31" t="s">
        <v>52</v>
      </c>
      <c r="F6654" s="31" t="s">
        <v>137</v>
      </c>
      <c r="G6654" s="31" t="n">
        <v>2</v>
      </c>
      <c r="H6654" s="41"/>
      <c r="I6654" s="31" t="s">
        <v>158</v>
      </c>
      <c r="J6654" s="31"/>
      <c r="K6654" s="31" t="s">
        <v>150</v>
      </c>
      <c r="L6654" s="45" t="n">
        <f aca="false">DATE(YEAR(B6654),MONTH(B6654),1)</f>
        <v>46266</v>
      </c>
      <c r="M6654" s="31" t="n">
        <f aca="false">WEEKDAY(B6654,2)</f>
        <v>1</v>
      </c>
      <c r="N6654" s="31" t="str">
        <f aca="false">IF(G6654&lt;=INDEX(Assumptions!$B$15:$B$18,MATCH(E6654,Assumptions!$A$15:$A$18,0)),"Yes","No")</f>
        <v>Yes</v>
      </c>
      <c r="O6654" s="31" t="str">
        <f aca="false">IF(H6654="","Open",IF(H6654&lt;=INDEX(Assumptions!$C$15:$C$18,MATCH(E6654,Assumptions!$A$15:$A$18,0)),"Yes","No"))</f>
        <v>Open</v>
      </c>
    </row>
    <row r="6655" customFormat="false" ht="15" hidden="false" customHeight="false" outlineLevel="0" collapsed="false">
      <c r="A6655" s="31" t="s">
        <v>6805</v>
      </c>
      <c r="B6655" s="44" t="n">
        <v>46293</v>
      </c>
      <c r="C6655" s="31" t="s">
        <v>58</v>
      </c>
      <c r="D6655" s="31" t="s">
        <v>66</v>
      </c>
      <c r="E6655" s="31" t="s">
        <v>52</v>
      </c>
      <c r="F6655" s="31" t="s">
        <v>130</v>
      </c>
      <c r="G6655" s="31" t="n">
        <v>9</v>
      </c>
      <c r="H6655" s="41"/>
      <c r="I6655" s="31" t="s">
        <v>158</v>
      </c>
      <c r="J6655" s="31"/>
      <c r="K6655" s="31" t="s">
        <v>150</v>
      </c>
      <c r="L6655" s="45" t="n">
        <f aca="false">DATE(YEAR(B6655),MONTH(B6655),1)</f>
        <v>46266</v>
      </c>
      <c r="M6655" s="31" t="n">
        <f aca="false">WEEKDAY(B6655,2)</f>
        <v>1</v>
      </c>
      <c r="N6655" s="31" t="str">
        <f aca="false">IF(G6655&lt;=INDEX(Assumptions!$B$15:$B$18,MATCH(E6655,Assumptions!$A$15:$A$18,0)),"Yes","No")</f>
        <v>Yes</v>
      </c>
      <c r="O6655" s="31" t="str">
        <f aca="false">IF(H6655="","Open",IF(H6655&lt;=INDEX(Assumptions!$C$15:$C$18,MATCH(E6655,Assumptions!$A$15:$A$18,0)),"Yes","No"))</f>
        <v>Open</v>
      </c>
    </row>
    <row r="6656" customFormat="false" ht="15" hidden="false" customHeight="false" outlineLevel="0" collapsed="false">
      <c r="A6656" s="31" t="s">
        <v>6806</v>
      </c>
      <c r="B6656" s="44" t="n">
        <v>46293</v>
      </c>
      <c r="C6656" s="31" t="s">
        <v>57</v>
      </c>
      <c r="D6656" s="31" t="s">
        <v>67</v>
      </c>
      <c r="E6656" s="31" t="s">
        <v>50</v>
      </c>
      <c r="F6656" s="31" t="s">
        <v>117</v>
      </c>
      <c r="G6656" s="31" t="n">
        <v>10</v>
      </c>
      <c r="H6656" s="41"/>
      <c r="I6656" s="31" t="s">
        <v>158</v>
      </c>
      <c r="J6656" s="31"/>
      <c r="K6656" s="31" t="s">
        <v>150</v>
      </c>
      <c r="L6656" s="45" t="n">
        <f aca="false">DATE(YEAR(B6656),MONTH(B6656),1)</f>
        <v>46266</v>
      </c>
      <c r="M6656" s="31" t="n">
        <f aca="false">WEEKDAY(B6656,2)</f>
        <v>1</v>
      </c>
      <c r="N6656" s="31" t="str">
        <f aca="false">IF(G6656&lt;=INDEX(Assumptions!$B$15:$B$18,MATCH(E6656,Assumptions!$A$15:$A$18,0)),"Yes","No")</f>
        <v>Yes</v>
      </c>
      <c r="O6656" s="31" t="str">
        <f aca="false">IF(H6656="","Open",IF(H6656&lt;=INDEX(Assumptions!$C$15:$C$18,MATCH(E6656,Assumptions!$A$15:$A$18,0)),"Yes","No"))</f>
        <v>Open</v>
      </c>
    </row>
    <row r="6657" customFormat="false" ht="15" hidden="false" customHeight="false" outlineLevel="0" collapsed="false">
      <c r="A6657" s="31" t="s">
        <v>6807</v>
      </c>
      <c r="B6657" s="44" t="n">
        <v>46293</v>
      </c>
      <c r="C6657" s="31" t="s">
        <v>58</v>
      </c>
      <c r="D6657" s="31" t="s">
        <v>68</v>
      </c>
      <c r="E6657" s="31" t="s">
        <v>50</v>
      </c>
      <c r="F6657" s="31" t="s">
        <v>130</v>
      </c>
      <c r="G6657" s="31" t="n">
        <v>6</v>
      </c>
      <c r="H6657" s="41" t="n">
        <v>2.6</v>
      </c>
      <c r="I6657" s="31" t="s">
        <v>64</v>
      </c>
      <c r="J6657" s="31" t="n">
        <v>2</v>
      </c>
      <c r="K6657" s="31" t="s">
        <v>150</v>
      </c>
      <c r="L6657" s="45" t="n">
        <f aca="false">DATE(YEAR(B6657),MONTH(B6657),1)</f>
        <v>46266</v>
      </c>
      <c r="M6657" s="31" t="n">
        <f aca="false">WEEKDAY(B6657,2)</f>
        <v>1</v>
      </c>
      <c r="N6657" s="31" t="str">
        <f aca="false">IF(G6657&lt;=INDEX(Assumptions!$B$15:$B$18,MATCH(E6657,Assumptions!$A$15:$A$18,0)),"Yes","No")</f>
        <v>Yes</v>
      </c>
      <c r="O6657" s="31" t="str">
        <f aca="false">IF(H6657="","Open",IF(H6657&lt;=INDEX(Assumptions!$C$15:$C$18,MATCH(E6657,Assumptions!$A$15:$A$18,0)),"Yes","No"))</f>
        <v>Yes</v>
      </c>
    </row>
    <row r="6658" customFormat="false" ht="15" hidden="false" customHeight="false" outlineLevel="0" collapsed="false">
      <c r="A6658" s="31" t="s">
        <v>6808</v>
      </c>
      <c r="B6658" s="44" t="n">
        <v>46293</v>
      </c>
      <c r="C6658" s="31" t="s">
        <v>60</v>
      </c>
      <c r="D6658" s="31" t="s">
        <v>65</v>
      </c>
      <c r="E6658" s="31" t="s">
        <v>51</v>
      </c>
      <c r="F6658" s="31" t="s">
        <v>136</v>
      </c>
      <c r="G6658" s="31" t="n">
        <v>2</v>
      </c>
      <c r="H6658" s="41" t="n">
        <v>9.4</v>
      </c>
      <c r="I6658" s="31" t="s">
        <v>64</v>
      </c>
      <c r="J6658" s="31"/>
      <c r="K6658" s="31" t="s">
        <v>150</v>
      </c>
      <c r="L6658" s="45" t="n">
        <f aca="false">DATE(YEAR(B6658),MONTH(B6658),1)</f>
        <v>46266</v>
      </c>
      <c r="M6658" s="31" t="n">
        <f aca="false">WEEKDAY(B6658,2)</f>
        <v>1</v>
      </c>
      <c r="N6658" s="31" t="str">
        <f aca="false">IF(G6658&lt;=INDEX(Assumptions!$B$15:$B$18,MATCH(E6658,Assumptions!$A$15:$A$18,0)),"Yes","No")</f>
        <v>Yes</v>
      </c>
      <c r="O6658" s="31" t="str">
        <f aca="false">IF(H6658="","Open",IF(H6658&lt;=INDEX(Assumptions!$C$15:$C$18,MATCH(E6658,Assumptions!$A$15:$A$18,0)),"Yes","No"))</f>
        <v>Yes</v>
      </c>
    </row>
    <row r="6659" customFormat="false" ht="15" hidden="false" customHeight="false" outlineLevel="0" collapsed="false">
      <c r="A6659" s="31" t="s">
        <v>6809</v>
      </c>
      <c r="B6659" s="44" t="n">
        <v>46293</v>
      </c>
      <c r="C6659" s="31" t="s">
        <v>60</v>
      </c>
      <c r="D6659" s="31" t="s">
        <v>65</v>
      </c>
      <c r="E6659" s="31" t="s">
        <v>51</v>
      </c>
      <c r="F6659" s="31" t="s">
        <v>131</v>
      </c>
      <c r="G6659" s="31" t="n">
        <v>4</v>
      </c>
      <c r="H6659" s="41"/>
      <c r="I6659" s="31" t="s">
        <v>158</v>
      </c>
      <c r="J6659" s="31"/>
      <c r="K6659" s="31" t="s">
        <v>150</v>
      </c>
      <c r="L6659" s="45" t="n">
        <f aca="false">DATE(YEAR(B6659),MONTH(B6659),1)</f>
        <v>46266</v>
      </c>
      <c r="M6659" s="31" t="n">
        <f aca="false">WEEKDAY(B6659,2)</f>
        <v>1</v>
      </c>
      <c r="N6659" s="31" t="str">
        <f aca="false">IF(G6659&lt;=INDEX(Assumptions!$B$15:$B$18,MATCH(E6659,Assumptions!$A$15:$A$18,0)),"Yes","No")</f>
        <v>Yes</v>
      </c>
      <c r="O6659" s="31" t="str">
        <f aca="false">IF(H6659="","Open",IF(H6659&lt;=INDEX(Assumptions!$C$15:$C$18,MATCH(E6659,Assumptions!$A$15:$A$18,0)),"Yes","No"))</f>
        <v>Open</v>
      </c>
    </row>
    <row r="6660" customFormat="false" ht="15" hidden="false" customHeight="false" outlineLevel="0" collapsed="false">
      <c r="A6660" s="31" t="s">
        <v>6810</v>
      </c>
      <c r="B6660" s="44" t="n">
        <v>46293</v>
      </c>
      <c r="C6660" s="31" t="s">
        <v>59</v>
      </c>
      <c r="D6660" s="31" t="s">
        <v>67</v>
      </c>
      <c r="E6660" s="31" t="s">
        <v>50</v>
      </c>
      <c r="F6660" s="31" t="s">
        <v>126</v>
      </c>
      <c r="G6660" s="31" t="n">
        <v>75</v>
      </c>
      <c r="H6660" s="41"/>
      <c r="I6660" s="31" t="s">
        <v>158</v>
      </c>
      <c r="J6660" s="31"/>
      <c r="K6660" s="31" t="s">
        <v>150</v>
      </c>
      <c r="L6660" s="45" t="n">
        <f aca="false">DATE(YEAR(B6660),MONTH(B6660),1)</f>
        <v>46266</v>
      </c>
      <c r="M6660" s="31" t="n">
        <f aca="false">WEEKDAY(B6660,2)</f>
        <v>1</v>
      </c>
      <c r="N6660" s="31" t="str">
        <f aca="false">IF(G6660&lt;=INDEX(Assumptions!$B$15:$B$18,MATCH(E6660,Assumptions!$A$15:$A$18,0)),"Yes","No")</f>
        <v>No</v>
      </c>
      <c r="O6660" s="31" t="str">
        <f aca="false">IF(H6660="","Open",IF(H6660&lt;=INDEX(Assumptions!$C$15:$C$18,MATCH(E6660,Assumptions!$A$15:$A$18,0)),"Yes","No"))</f>
        <v>Open</v>
      </c>
    </row>
    <row r="6661" customFormat="false" ht="15" hidden="false" customHeight="false" outlineLevel="0" collapsed="false">
      <c r="A6661" s="31" t="s">
        <v>6811</v>
      </c>
      <c r="B6661" s="44" t="n">
        <v>46293</v>
      </c>
      <c r="C6661" s="31" t="s">
        <v>57</v>
      </c>
      <c r="D6661" s="31" t="s">
        <v>68</v>
      </c>
      <c r="E6661" s="31" t="s">
        <v>51</v>
      </c>
      <c r="F6661" s="31" t="s">
        <v>128</v>
      </c>
      <c r="G6661" s="31" t="n">
        <v>7</v>
      </c>
      <c r="H6661" s="41"/>
      <c r="I6661" s="31" t="s">
        <v>158</v>
      </c>
      <c r="J6661" s="31"/>
      <c r="K6661" s="31" t="s">
        <v>150</v>
      </c>
      <c r="L6661" s="45" t="n">
        <f aca="false">DATE(YEAR(B6661),MONTH(B6661),1)</f>
        <v>46266</v>
      </c>
      <c r="M6661" s="31" t="n">
        <f aca="false">WEEKDAY(B6661,2)</f>
        <v>1</v>
      </c>
      <c r="N6661" s="31" t="str">
        <f aca="false">IF(G6661&lt;=INDEX(Assumptions!$B$15:$B$18,MATCH(E6661,Assumptions!$A$15:$A$18,0)),"Yes","No")</f>
        <v>Yes</v>
      </c>
      <c r="O6661" s="31" t="str">
        <f aca="false">IF(H6661="","Open",IF(H6661&lt;=INDEX(Assumptions!$C$15:$C$18,MATCH(E6661,Assumptions!$A$15:$A$18,0)),"Yes","No"))</f>
        <v>Open</v>
      </c>
    </row>
    <row r="6662" customFormat="false" ht="15" hidden="false" customHeight="false" outlineLevel="0" collapsed="false">
      <c r="A6662" s="31" t="s">
        <v>6812</v>
      </c>
      <c r="B6662" s="44" t="n">
        <v>46293</v>
      </c>
      <c r="C6662" s="31" t="s">
        <v>60</v>
      </c>
      <c r="D6662" s="31" t="s">
        <v>66</v>
      </c>
      <c r="E6662" s="31" t="s">
        <v>50</v>
      </c>
      <c r="F6662" s="31" t="s">
        <v>126</v>
      </c>
      <c r="G6662" s="31" t="n">
        <v>1</v>
      </c>
      <c r="H6662" s="41"/>
      <c r="I6662" s="31" t="s">
        <v>158</v>
      </c>
      <c r="J6662" s="31"/>
      <c r="K6662" s="31" t="s">
        <v>150</v>
      </c>
      <c r="L6662" s="45" t="n">
        <f aca="false">DATE(YEAR(B6662),MONTH(B6662),1)</f>
        <v>46266</v>
      </c>
      <c r="M6662" s="31" t="n">
        <f aca="false">WEEKDAY(B6662,2)</f>
        <v>1</v>
      </c>
      <c r="N6662" s="31" t="str">
        <f aca="false">IF(G6662&lt;=INDEX(Assumptions!$B$15:$B$18,MATCH(E6662,Assumptions!$A$15:$A$18,0)),"Yes","No")</f>
        <v>Yes</v>
      </c>
      <c r="O6662" s="31" t="str">
        <f aca="false">IF(H6662="","Open",IF(H6662&lt;=INDEX(Assumptions!$C$15:$C$18,MATCH(E6662,Assumptions!$A$15:$A$18,0)),"Yes","No"))</f>
        <v>Open</v>
      </c>
    </row>
    <row r="6663" customFormat="false" ht="15" hidden="false" customHeight="false" outlineLevel="0" collapsed="false">
      <c r="A6663" s="31" t="s">
        <v>6813</v>
      </c>
      <c r="B6663" s="44" t="n">
        <v>46293</v>
      </c>
      <c r="C6663" s="31" t="s">
        <v>57</v>
      </c>
      <c r="D6663" s="31" t="s">
        <v>66</v>
      </c>
      <c r="E6663" s="31" t="s">
        <v>51</v>
      </c>
      <c r="F6663" s="31" t="s">
        <v>126</v>
      </c>
      <c r="G6663" s="31" t="n">
        <v>9</v>
      </c>
      <c r="H6663" s="41"/>
      <c r="I6663" s="31" t="s">
        <v>158</v>
      </c>
      <c r="J6663" s="31"/>
      <c r="K6663" s="31" t="s">
        <v>150</v>
      </c>
      <c r="L6663" s="45" t="n">
        <f aca="false">DATE(YEAR(B6663),MONTH(B6663),1)</f>
        <v>46266</v>
      </c>
      <c r="M6663" s="31" t="n">
        <f aca="false">WEEKDAY(B6663,2)</f>
        <v>1</v>
      </c>
      <c r="N6663" s="31" t="str">
        <f aca="false">IF(G6663&lt;=INDEX(Assumptions!$B$15:$B$18,MATCH(E6663,Assumptions!$A$15:$A$18,0)),"Yes","No")</f>
        <v>Yes</v>
      </c>
      <c r="O6663" s="31" t="str">
        <f aca="false">IF(H6663="","Open",IF(H6663&lt;=INDEX(Assumptions!$C$15:$C$18,MATCH(E6663,Assumptions!$A$15:$A$18,0)),"Yes","No"))</f>
        <v>Open</v>
      </c>
    </row>
    <row r="6664" customFormat="false" ht="15" hidden="false" customHeight="false" outlineLevel="0" collapsed="false">
      <c r="A6664" s="31" t="s">
        <v>6814</v>
      </c>
      <c r="B6664" s="44" t="n">
        <v>46293</v>
      </c>
      <c r="C6664" s="31" t="s">
        <v>57</v>
      </c>
      <c r="D6664" s="31" t="s">
        <v>68</v>
      </c>
      <c r="E6664" s="31" t="s">
        <v>51</v>
      </c>
      <c r="F6664" s="31" t="s">
        <v>133</v>
      </c>
      <c r="G6664" s="31" t="n">
        <v>1</v>
      </c>
      <c r="H6664" s="41"/>
      <c r="I6664" s="31" t="s">
        <v>158</v>
      </c>
      <c r="J6664" s="31"/>
      <c r="K6664" s="31" t="s">
        <v>150</v>
      </c>
      <c r="L6664" s="45" t="n">
        <f aca="false">DATE(YEAR(B6664),MONTH(B6664),1)</f>
        <v>46266</v>
      </c>
      <c r="M6664" s="31" t="n">
        <f aca="false">WEEKDAY(B6664,2)</f>
        <v>1</v>
      </c>
      <c r="N6664" s="31" t="str">
        <f aca="false">IF(G6664&lt;=INDEX(Assumptions!$B$15:$B$18,MATCH(E6664,Assumptions!$A$15:$A$18,0)),"Yes","No")</f>
        <v>Yes</v>
      </c>
      <c r="O6664" s="31" t="str">
        <f aca="false">IF(H6664="","Open",IF(H6664&lt;=INDEX(Assumptions!$C$15:$C$18,MATCH(E6664,Assumptions!$A$15:$A$18,0)),"Yes","No"))</f>
        <v>Open</v>
      </c>
    </row>
    <row r="6665" customFormat="false" ht="15" hidden="false" customHeight="false" outlineLevel="0" collapsed="false">
      <c r="A6665" s="31" t="s">
        <v>6815</v>
      </c>
      <c r="B6665" s="44" t="n">
        <v>46293</v>
      </c>
      <c r="C6665" s="31" t="s">
        <v>57</v>
      </c>
      <c r="D6665" s="31" t="s">
        <v>66</v>
      </c>
      <c r="E6665" s="31" t="s">
        <v>51</v>
      </c>
      <c r="F6665" s="31" t="s">
        <v>133</v>
      </c>
      <c r="G6665" s="31" t="n">
        <v>5</v>
      </c>
      <c r="H6665" s="41"/>
      <c r="I6665" s="31" t="s">
        <v>158</v>
      </c>
      <c r="J6665" s="31"/>
      <c r="K6665" s="31" t="s">
        <v>150</v>
      </c>
      <c r="L6665" s="45" t="n">
        <f aca="false">DATE(YEAR(B6665),MONTH(B6665),1)</f>
        <v>46266</v>
      </c>
      <c r="M6665" s="31" t="n">
        <f aca="false">WEEKDAY(B6665,2)</f>
        <v>1</v>
      </c>
      <c r="N6665" s="31" t="str">
        <f aca="false">IF(G6665&lt;=INDEX(Assumptions!$B$15:$B$18,MATCH(E6665,Assumptions!$A$15:$A$18,0)),"Yes","No")</f>
        <v>Yes</v>
      </c>
      <c r="O6665" s="31" t="str">
        <f aca="false">IF(H6665="","Open",IF(H6665&lt;=INDEX(Assumptions!$C$15:$C$18,MATCH(E6665,Assumptions!$A$15:$A$18,0)),"Yes","No"))</f>
        <v>Open</v>
      </c>
    </row>
    <row r="6666" customFormat="false" ht="15" hidden="false" customHeight="false" outlineLevel="0" collapsed="false">
      <c r="A6666" s="31" t="s">
        <v>6816</v>
      </c>
      <c r="B6666" s="44" t="n">
        <v>46293</v>
      </c>
      <c r="C6666" s="31" t="s">
        <v>57</v>
      </c>
      <c r="D6666" s="31" t="s">
        <v>68</v>
      </c>
      <c r="E6666" s="31" t="s">
        <v>49</v>
      </c>
      <c r="F6666" s="31" t="s">
        <v>126</v>
      </c>
      <c r="G6666" s="31" t="n">
        <v>1</v>
      </c>
      <c r="H6666" s="41"/>
      <c r="I6666" s="31" t="s">
        <v>158</v>
      </c>
      <c r="J6666" s="31"/>
      <c r="K6666" s="31" t="s">
        <v>150</v>
      </c>
      <c r="L6666" s="45" t="n">
        <f aca="false">DATE(YEAR(B6666),MONTH(B6666),1)</f>
        <v>46266</v>
      </c>
      <c r="M6666" s="31" t="n">
        <f aca="false">WEEKDAY(B6666,2)</f>
        <v>1</v>
      </c>
      <c r="N6666" s="31" t="str">
        <f aca="false">IF(G6666&lt;=INDEX(Assumptions!$B$15:$B$18,MATCH(E6666,Assumptions!$A$15:$A$18,0)),"Yes","No")</f>
        <v>Yes</v>
      </c>
      <c r="O6666" s="31" t="str">
        <f aca="false">IF(H6666="","Open",IF(H6666&lt;=INDEX(Assumptions!$C$15:$C$18,MATCH(E6666,Assumptions!$A$15:$A$18,0)),"Yes","No"))</f>
        <v>Open</v>
      </c>
    </row>
    <row r="6667" customFormat="false" ht="15" hidden="false" customHeight="false" outlineLevel="0" collapsed="false">
      <c r="A6667" s="31" t="s">
        <v>6817</v>
      </c>
      <c r="B6667" s="44" t="n">
        <v>46293</v>
      </c>
      <c r="C6667" s="31" t="s">
        <v>59</v>
      </c>
      <c r="D6667" s="31" t="s">
        <v>68</v>
      </c>
      <c r="E6667" s="31" t="s">
        <v>52</v>
      </c>
      <c r="F6667" s="31" t="s">
        <v>122</v>
      </c>
      <c r="G6667" s="31" t="n">
        <v>44</v>
      </c>
      <c r="H6667" s="41"/>
      <c r="I6667" s="31" t="s">
        <v>158</v>
      </c>
      <c r="J6667" s="31"/>
      <c r="K6667" s="31" t="s">
        <v>150</v>
      </c>
      <c r="L6667" s="45" t="n">
        <f aca="false">DATE(YEAR(B6667),MONTH(B6667),1)</f>
        <v>46266</v>
      </c>
      <c r="M6667" s="31" t="n">
        <f aca="false">WEEKDAY(B6667,2)</f>
        <v>1</v>
      </c>
      <c r="N6667" s="31" t="str">
        <f aca="false">IF(G6667&lt;=INDEX(Assumptions!$B$15:$B$18,MATCH(E6667,Assumptions!$A$15:$A$18,0)),"Yes","No")</f>
        <v>Yes</v>
      </c>
      <c r="O6667" s="31" t="str">
        <f aca="false">IF(H6667="","Open",IF(H6667&lt;=INDEX(Assumptions!$C$15:$C$18,MATCH(E6667,Assumptions!$A$15:$A$18,0)),"Yes","No"))</f>
        <v>Open</v>
      </c>
    </row>
    <row r="6668" customFormat="false" ht="15" hidden="false" customHeight="false" outlineLevel="0" collapsed="false">
      <c r="A6668" s="31" t="s">
        <v>6818</v>
      </c>
      <c r="B6668" s="44" t="n">
        <v>46293</v>
      </c>
      <c r="C6668" s="31" t="s">
        <v>59</v>
      </c>
      <c r="D6668" s="31" t="s">
        <v>65</v>
      </c>
      <c r="E6668" s="31" t="s">
        <v>52</v>
      </c>
      <c r="F6668" s="31" t="s">
        <v>124</v>
      </c>
      <c r="G6668" s="31" t="n">
        <v>279</v>
      </c>
      <c r="H6668" s="41"/>
      <c r="I6668" s="31" t="s">
        <v>158</v>
      </c>
      <c r="J6668" s="31"/>
      <c r="K6668" s="31" t="s">
        <v>150</v>
      </c>
      <c r="L6668" s="45" t="n">
        <f aca="false">DATE(YEAR(B6668),MONTH(B6668),1)</f>
        <v>46266</v>
      </c>
      <c r="M6668" s="31" t="n">
        <f aca="false">WEEKDAY(B6668,2)</f>
        <v>1</v>
      </c>
      <c r="N6668" s="31" t="str">
        <f aca="false">IF(G6668&lt;=INDEX(Assumptions!$B$15:$B$18,MATCH(E6668,Assumptions!$A$15:$A$18,0)),"Yes","No")</f>
        <v>No</v>
      </c>
      <c r="O6668" s="31" t="str">
        <f aca="false">IF(H6668="","Open",IF(H6668&lt;=INDEX(Assumptions!$C$15:$C$18,MATCH(E6668,Assumptions!$A$15:$A$18,0)),"Yes","No"))</f>
        <v>Open</v>
      </c>
    </row>
    <row r="6669" customFormat="false" ht="15" hidden="false" customHeight="false" outlineLevel="0" collapsed="false">
      <c r="A6669" s="31" t="s">
        <v>6819</v>
      </c>
      <c r="B6669" s="44" t="n">
        <v>46293</v>
      </c>
      <c r="C6669" s="31" t="s">
        <v>58</v>
      </c>
      <c r="D6669" s="31" t="s">
        <v>65</v>
      </c>
      <c r="E6669" s="31" t="s">
        <v>51</v>
      </c>
      <c r="F6669" s="31" t="s">
        <v>124</v>
      </c>
      <c r="G6669" s="31" t="n">
        <v>22</v>
      </c>
      <c r="H6669" s="41"/>
      <c r="I6669" s="31" t="s">
        <v>158</v>
      </c>
      <c r="J6669" s="31"/>
      <c r="K6669" s="31" t="s">
        <v>150</v>
      </c>
      <c r="L6669" s="45" t="n">
        <f aca="false">DATE(YEAR(B6669),MONTH(B6669),1)</f>
        <v>46266</v>
      </c>
      <c r="M6669" s="31" t="n">
        <f aca="false">WEEKDAY(B6669,2)</f>
        <v>1</v>
      </c>
      <c r="N6669" s="31" t="str">
        <f aca="false">IF(G6669&lt;=INDEX(Assumptions!$B$15:$B$18,MATCH(E6669,Assumptions!$A$15:$A$18,0)),"Yes","No")</f>
        <v>Yes</v>
      </c>
      <c r="O6669" s="31" t="str">
        <f aca="false">IF(H6669="","Open",IF(H6669&lt;=INDEX(Assumptions!$C$15:$C$18,MATCH(E6669,Assumptions!$A$15:$A$18,0)),"Yes","No"))</f>
        <v>Open</v>
      </c>
    </row>
    <row r="6670" customFormat="false" ht="15" hidden="false" customHeight="false" outlineLevel="0" collapsed="false">
      <c r="A6670" s="31" t="s">
        <v>6820</v>
      </c>
      <c r="B6670" s="44" t="n">
        <v>46293</v>
      </c>
      <c r="C6670" s="31" t="s">
        <v>57</v>
      </c>
      <c r="D6670" s="31" t="s">
        <v>68</v>
      </c>
      <c r="E6670" s="31" t="s">
        <v>51</v>
      </c>
      <c r="F6670" s="31" t="s">
        <v>122</v>
      </c>
      <c r="G6670" s="31" t="n">
        <v>3</v>
      </c>
      <c r="H6670" s="41" t="n">
        <v>1.3</v>
      </c>
      <c r="I6670" s="31" t="s">
        <v>149</v>
      </c>
      <c r="J6670" s="31" t="n">
        <v>3</v>
      </c>
      <c r="K6670" s="31" t="s">
        <v>150</v>
      </c>
      <c r="L6670" s="45" t="n">
        <f aca="false">DATE(YEAR(B6670),MONTH(B6670),1)</f>
        <v>46266</v>
      </c>
      <c r="M6670" s="31" t="n">
        <f aca="false">WEEKDAY(B6670,2)</f>
        <v>1</v>
      </c>
      <c r="N6670" s="31" t="str">
        <f aca="false">IF(G6670&lt;=INDEX(Assumptions!$B$15:$B$18,MATCH(E6670,Assumptions!$A$15:$A$18,0)),"Yes","No")</f>
        <v>Yes</v>
      </c>
      <c r="O6670" s="31" t="str">
        <f aca="false">IF(H6670="","Open",IF(H6670&lt;=INDEX(Assumptions!$C$15:$C$18,MATCH(E6670,Assumptions!$A$15:$A$18,0)),"Yes","No"))</f>
        <v>Yes</v>
      </c>
    </row>
    <row r="6671" customFormat="false" ht="15" hidden="false" customHeight="false" outlineLevel="0" collapsed="false">
      <c r="A6671" s="31" t="s">
        <v>6821</v>
      </c>
      <c r="B6671" s="44" t="n">
        <v>46293</v>
      </c>
      <c r="C6671" s="31" t="s">
        <v>57</v>
      </c>
      <c r="D6671" s="31" t="s">
        <v>68</v>
      </c>
      <c r="E6671" s="31" t="s">
        <v>52</v>
      </c>
      <c r="F6671" s="31" t="s">
        <v>136</v>
      </c>
      <c r="G6671" s="31" t="n">
        <v>2</v>
      </c>
      <c r="H6671" s="41"/>
      <c r="I6671" s="31" t="s">
        <v>158</v>
      </c>
      <c r="J6671" s="31"/>
      <c r="K6671" s="31" t="s">
        <v>150</v>
      </c>
      <c r="L6671" s="45" t="n">
        <f aca="false">DATE(YEAR(B6671),MONTH(B6671),1)</f>
        <v>46266</v>
      </c>
      <c r="M6671" s="31" t="n">
        <f aca="false">WEEKDAY(B6671,2)</f>
        <v>1</v>
      </c>
      <c r="N6671" s="31" t="str">
        <f aca="false">IF(G6671&lt;=INDEX(Assumptions!$B$15:$B$18,MATCH(E6671,Assumptions!$A$15:$A$18,0)),"Yes","No")</f>
        <v>Yes</v>
      </c>
      <c r="O6671" s="31" t="str">
        <f aca="false">IF(H6671="","Open",IF(H6671&lt;=INDEX(Assumptions!$C$15:$C$18,MATCH(E6671,Assumptions!$A$15:$A$18,0)),"Yes","No"))</f>
        <v>Open</v>
      </c>
    </row>
    <row r="6672" customFormat="false" ht="15" hidden="false" customHeight="false" outlineLevel="0" collapsed="false">
      <c r="A6672" s="31" t="s">
        <v>6822</v>
      </c>
      <c r="B6672" s="44" t="n">
        <v>46293</v>
      </c>
      <c r="C6672" s="31" t="s">
        <v>57</v>
      </c>
      <c r="D6672" s="31" t="s">
        <v>69</v>
      </c>
      <c r="E6672" s="31" t="s">
        <v>52</v>
      </c>
      <c r="F6672" s="31" t="s">
        <v>120</v>
      </c>
      <c r="G6672" s="31" t="n">
        <v>16</v>
      </c>
      <c r="H6672" s="41" t="n">
        <v>80.9</v>
      </c>
      <c r="I6672" s="31" t="s">
        <v>149</v>
      </c>
      <c r="J6672" s="31"/>
      <c r="K6672" s="31" t="s">
        <v>150</v>
      </c>
      <c r="L6672" s="45" t="n">
        <f aca="false">DATE(YEAR(B6672),MONTH(B6672),1)</f>
        <v>46266</v>
      </c>
      <c r="M6672" s="31" t="n">
        <f aca="false">WEEKDAY(B6672,2)</f>
        <v>1</v>
      </c>
      <c r="N6672" s="31" t="str">
        <f aca="false">IF(G6672&lt;=INDEX(Assumptions!$B$15:$B$18,MATCH(E6672,Assumptions!$A$15:$A$18,0)),"Yes","No")</f>
        <v>Yes</v>
      </c>
      <c r="O6672" s="31" t="str">
        <f aca="false">IF(H6672="","Open",IF(H6672&lt;=INDEX(Assumptions!$C$15:$C$18,MATCH(E6672,Assumptions!$A$15:$A$18,0)),"Yes","No"))</f>
        <v>No</v>
      </c>
    </row>
    <row r="6673" customFormat="false" ht="15" hidden="false" customHeight="false" outlineLevel="0" collapsed="false">
      <c r="A6673" s="31" t="s">
        <v>6823</v>
      </c>
      <c r="B6673" s="44" t="n">
        <v>46293</v>
      </c>
      <c r="C6673" s="31" t="s">
        <v>58</v>
      </c>
      <c r="D6673" s="31" t="s">
        <v>69</v>
      </c>
      <c r="E6673" s="31" t="s">
        <v>52</v>
      </c>
      <c r="F6673" s="31" t="s">
        <v>126</v>
      </c>
      <c r="G6673" s="31" t="n">
        <v>38</v>
      </c>
      <c r="H6673" s="41" t="n">
        <v>39.7</v>
      </c>
      <c r="I6673" s="31" t="s">
        <v>149</v>
      </c>
      <c r="J6673" s="31" t="n">
        <v>4</v>
      </c>
      <c r="K6673" s="31" t="s">
        <v>150</v>
      </c>
      <c r="L6673" s="45" t="n">
        <f aca="false">DATE(YEAR(B6673),MONTH(B6673),1)</f>
        <v>46266</v>
      </c>
      <c r="M6673" s="31" t="n">
        <f aca="false">WEEKDAY(B6673,2)</f>
        <v>1</v>
      </c>
      <c r="N6673" s="31" t="str">
        <f aca="false">IF(G6673&lt;=INDEX(Assumptions!$B$15:$B$18,MATCH(E6673,Assumptions!$A$15:$A$18,0)),"Yes","No")</f>
        <v>Yes</v>
      </c>
      <c r="O6673" s="31" t="str">
        <f aca="false">IF(H6673="","Open",IF(H6673&lt;=INDEX(Assumptions!$C$15:$C$18,MATCH(E6673,Assumptions!$A$15:$A$18,0)),"Yes","No"))</f>
        <v>Yes</v>
      </c>
    </row>
    <row r="6674" customFormat="false" ht="15" hidden="false" customHeight="false" outlineLevel="0" collapsed="false">
      <c r="A6674" s="31" t="s">
        <v>6824</v>
      </c>
      <c r="B6674" s="44" t="n">
        <v>46293</v>
      </c>
      <c r="C6674" s="31" t="s">
        <v>57</v>
      </c>
      <c r="D6674" s="31" t="s">
        <v>69</v>
      </c>
      <c r="E6674" s="31" t="s">
        <v>51</v>
      </c>
      <c r="F6674" s="31" t="s">
        <v>128</v>
      </c>
      <c r="G6674" s="31" t="n">
        <v>11</v>
      </c>
      <c r="H6674" s="41"/>
      <c r="I6674" s="31" t="s">
        <v>158</v>
      </c>
      <c r="J6674" s="31"/>
      <c r="K6674" s="31" t="s">
        <v>150</v>
      </c>
      <c r="L6674" s="45" t="n">
        <f aca="false">DATE(YEAR(B6674),MONTH(B6674),1)</f>
        <v>46266</v>
      </c>
      <c r="M6674" s="31" t="n">
        <f aca="false">WEEKDAY(B6674,2)</f>
        <v>1</v>
      </c>
      <c r="N6674" s="31" t="str">
        <f aca="false">IF(G6674&lt;=INDEX(Assumptions!$B$15:$B$18,MATCH(E6674,Assumptions!$A$15:$A$18,0)),"Yes","No")</f>
        <v>Yes</v>
      </c>
      <c r="O6674" s="31" t="str">
        <f aca="false">IF(H6674="","Open",IF(H6674&lt;=INDEX(Assumptions!$C$15:$C$18,MATCH(E6674,Assumptions!$A$15:$A$18,0)),"Yes","No"))</f>
        <v>Open</v>
      </c>
    </row>
    <row r="6675" customFormat="false" ht="15" hidden="false" customHeight="false" outlineLevel="0" collapsed="false">
      <c r="A6675" s="31" t="s">
        <v>6825</v>
      </c>
      <c r="B6675" s="44" t="n">
        <v>46293</v>
      </c>
      <c r="C6675" s="31" t="s">
        <v>59</v>
      </c>
      <c r="D6675" s="31" t="s">
        <v>65</v>
      </c>
      <c r="E6675" s="31" t="s">
        <v>51</v>
      </c>
      <c r="F6675" s="31" t="s">
        <v>120</v>
      </c>
      <c r="G6675" s="31" t="n">
        <v>62</v>
      </c>
      <c r="H6675" s="41" t="n">
        <v>7.4</v>
      </c>
      <c r="I6675" s="31" t="s">
        <v>149</v>
      </c>
      <c r="J6675" s="31" t="n">
        <v>3</v>
      </c>
      <c r="K6675" s="31" t="s">
        <v>150</v>
      </c>
      <c r="L6675" s="45" t="n">
        <f aca="false">DATE(YEAR(B6675),MONTH(B6675),1)</f>
        <v>46266</v>
      </c>
      <c r="M6675" s="31" t="n">
        <f aca="false">WEEKDAY(B6675,2)</f>
        <v>1</v>
      </c>
      <c r="N6675" s="31" t="str">
        <f aca="false">IF(G6675&lt;=INDEX(Assumptions!$B$15:$B$18,MATCH(E6675,Assumptions!$A$15:$A$18,0)),"Yes","No")</f>
        <v>No</v>
      </c>
      <c r="O6675" s="31" t="str">
        <f aca="false">IF(H6675="","Open",IF(H6675&lt;=INDEX(Assumptions!$C$15:$C$18,MATCH(E6675,Assumptions!$A$15:$A$18,0)),"Yes","No"))</f>
        <v>Yes</v>
      </c>
    </row>
    <row r="6676" customFormat="false" ht="15" hidden="false" customHeight="false" outlineLevel="0" collapsed="false">
      <c r="A6676" s="31" t="s">
        <v>6826</v>
      </c>
      <c r="B6676" s="44" t="n">
        <v>46293</v>
      </c>
      <c r="C6676" s="31" t="s">
        <v>59</v>
      </c>
      <c r="D6676" s="31" t="s">
        <v>65</v>
      </c>
      <c r="E6676" s="31" t="s">
        <v>51</v>
      </c>
      <c r="F6676" s="31" t="s">
        <v>122</v>
      </c>
      <c r="G6676" s="31" t="n">
        <v>42</v>
      </c>
      <c r="H6676" s="41"/>
      <c r="I6676" s="31" t="s">
        <v>158</v>
      </c>
      <c r="J6676" s="31"/>
      <c r="K6676" s="31" t="s">
        <v>150</v>
      </c>
      <c r="L6676" s="45" t="n">
        <f aca="false">DATE(YEAR(B6676),MONTH(B6676),1)</f>
        <v>46266</v>
      </c>
      <c r="M6676" s="31" t="n">
        <f aca="false">WEEKDAY(B6676,2)</f>
        <v>1</v>
      </c>
      <c r="N6676" s="31" t="str">
        <f aca="false">IF(G6676&lt;=INDEX(Assumptions!$B$15:$B$18,MATCH(E6676,Assumptions!$A$15:$A$18,0)),"Yes","No")</f>
        <v>Yes</v>
      </c>
      <c r="O6676" s="31" t="str">
        <f aca="false">IF(H6676="","Open",IF(H6676&lt;=INDEX(Assumptions!$C$15:$C$18,MATCH(E6676,Assumptions!$A$15:$A$18,0)),"Yes","No"))</f>
        <v>Open</v>
      </c>
    </row>
    <row r="6677" customFormat="false" ht="15" hidden="false" customHeight="false" outlineLevel="0" collapsed="false">
      <c r="A6677" s="31" t="s">
        <v>6827</v>
      </c>
      <c r="B6677" s="44" t="n">
        <v>46293</v>
      </c>
      <c r="C6677" s="31" t="s">
        <v>59</v>
      </c>
      <c r="D6677" s="31" t="s">
        <v>65</v>
      </c>
      <c r="E6677" s="31" t="s">
        <v>51</v>
      </c>
      <c r="F6677" s="31" t="s">
        <v>120</v>
      </c>
      <c r="G6677" s="31" t="n">
        <v>88</v>
      </c>
      <c r="H6677" s="41"/>
      <c r="I6677" s="31" t="s">
        <v>158</v>
      </c>
      <c r="J6677" s="31"/>
      <c r="K6677" s="31" t="s">
        <v>150</v>
      </c>
      <c r="L6677" s="45" t="n">
        <f aca="false">DATE(YEAR(B6677),MONTH(B6677),1)</f>
        <v>46266</v>
      </c>
      <c r="M6677" s="31" t="n">
        <f aca="false">WEEKDAY(B6677,2)</f>
        <v>1</v>
      </c>
      <c r="N6677" s="31" t="str">
        <f aca="false">IF(G6677&lt;=INDEX(Assumptions!$B$15:$B$18,MATCH(E6677,Assumptions!$A$15:$A$18,0)),"Yes","No")</f>
        <v>No</v>
      </c>
      <c r="O6677" s="31" t="str">
        <f aca="false">IF(H6677="","Open",IF(H6677&lt;=INDEX(Assumptions!$C$15:$C$18,MATCH(E6677,Assumptions!$A$15:$A$18,0)),"Yes","No"))</f>
        <v>Open</v>
      </c>
    </row>
    <row r="6678" customFormat="false" ht="15" hidden="false" customHeight="false" outlineLevel="0" collapsed="false">
      <c r="A6678" s="31" t="s">
        <v>6828</v>
      </c>
      <c r="B6678" s="44" t="n">
        <v>46293</v>
      </c>
      <c r="C6678" s="31" t="s">
        <v>59</v>
      </c>
      <c r="D6678" s="31" t="s">
        <v>66</v>
      </c>
      <c r="E6678" s="31" t="s">
        <v>52</v>
      </c>
      <c r="F6678" s="31" t="s">
        <v>136</v>
      </c>
      <c r="G6678" s="31" t="n">
        <v>173</v>
      </c>
      <c r="H6678" s="41" t="n">
        <v>11.4</v>
      </c>
      <c r="I6678" s="31" t="s">
        <v>149</v>
      </c>
      <c r="J6678" s="31"/>
      <c r="K6678" s="31" t="s">
        <v>150</v>
      </c>
      <c r="L6678" s="45" t="n">
        <f aca="false">DATE(YEAR(B6678),MONTH(B6678),1)</f>
        <v>46266</v>
      </c>
      <c r="M6678" s="31" t="n">
        <f aca="false">WEEKDAY(B6678,2)</f>
        <v>1</v>
      </c>
      <c r="N6678" s="31" t="str">
        <f aca="false">IF(G6678&lt;=INDEX(Assumptions!$B$15:$B$18,MATCH(E6678,Assumptions!$A$15:$A$18,0)),"Yes","No")</f>
        <v>Yes</v>
      </c>
      <c r="O6678" s="31" t="str">
        <f aca="false">IF(H6678="","Open",IF(H6678&lt;=INDEX(Assumptions!$C$15:$C$18,MATCH(E6678,Assumptions!$A$15:$A$18,0)),"Yes","No"))</f>
        <v>Yes</v>
      </c>
    </row>
    <row r="6679" customFormat="false" ht="15" hidden="false" customHeight="false" outlineLevel="0" collapsed="false">
      <c r="A6679" s="31" t="s">
        <v>6829</v>
      </c>
      <c r="B6679" s="44" t="n">
        <v>46293</v>
      </c>
      <c r="C6679" s="31" t="s">
        <v>57</v>
      </c>
      <c r="D6679" s="31" t="s">
        <v>66</v>
      </c>
      <c r="E6679" s="31" t="s">
        <v>50</v>
      </c>
      <c r="F6679" s="31" t="s">
        <v>127</v>
      </c>
      <c r="G6679" s="31" t="n">
        <v>4</v>
      </c>
      <c r="H6679" s="41"/>
      <c r="I6679" s="31" t="s">
        <v>158</v>
      </c>
      <c r="J6679" s="31"/>
      <c r="K6679" s="31" t="s">
        <v>150</v>
      </c>
      <c r="L6679" s="45" t="n">
        <f aca="false">DATE(YEAR(B6679),MONTH(B6679),1)</f>
        <v>46266</v>
      </c>
      <c r="M6679" s="31" t="n">
        <f aca="false">WEEKDAY(B6679,2)</f>
        <v>1</v>
      </c>
      <c r="N6679" s="31" t="str">
        <f aca="false">IF(G6679&lt;=INDEX(Assumptions!$B$15:$B$18,MATCH(E6679,Assumptions!$A$15:$A$18,0)),"Yes","No")</f>
        <v>Yes</v>
      </c>
      <c r="O6679" s="31" t="str">
        <f aca="false">IF(H6679="","Open",IF(H6679&lt;=INDEX(Assumptions!$C$15:$C$18,MATCH(E6679,Assumptions!$A$15:$A$18,0)),"Yes","No"))</f>
        <v>Open</v>
      </c>
    </row>
    <row r="6680" customFormat="false" ht="15" hidden="false" customHeight="false" outlineLevel="0" collapsed="false">
      <c r="A6680" s="31" t="s">
        <v>6830</v>
      </c>
      <c r="B6680" s="44" t="n">
        <v>46293</v>
      </c>
      <c r="C6680" s="31" t="s">
        <v>57</v>
      </c>
      <c r="D6680" s="31" t="s">
        <v>65</v>
      </c>
      <c r="E6680" s="31" t="s">
        <v>51</v>
      </c>
      <c r="F6680" s="31" t="s">
        <v>131</v>
      </c>
      <c r="G6680" s="31" t="n">
        <v>2</v>
      </c>
      <c r="H6680" s="41"/>
      <c r="I6680" s="31" t="s">
        <v>158</v>
      </c>
      <c r="J6680" s="31"/>
      <c r="K6680" s="31" t="s">
        <v>150</v>
      </c>
      <c r="L6680" s="45" t="n">
        <f aca="false">DATE(YEAR(B6680),MONTH(B6680),1)</f>
        <v>46266</v>
      </c>
      <c r="M6680" s="31" t="n">
        <f aca="false">WEEKDAY(B6680,2)</f>
        <v>1</v>
      </c>
      <c r="N6680" s="31" t="str">
        <f aca="false">IF(G6680&lt;=INDEX(Assumptions!$B$15:$B$18,MATCH(E6680,Assumptions!$A$15:$A$18,0)),"Yes","No")</f>
        <v>Yes</v>
      </c>
      <c r="O6680" s="31" t="str">
        <f aca="false">IF(H6680="","Open",IF(H6680&lt;=INDEX(Assumptions!$C$15:$C$18,MATCH(E6680,Assumptions!$A$15:$A$18,0)),"Yes","No"))</f>
        <v>Open</v>
      </c>
    </row>
    <row r="6681" customFormat="false" ht="15" hidden="false" customHeight="false" outlineLevel="0" collapsed="false">
      <c r="A6681" s="31" t="s">
        <v>6831</v>
      </c>
      <c r="B6681" s="44" t="n">
        <v>46293</v>
      </c>
      <c r="C6681" s="31" t="s">
        <v>58</v>
      </c>
      <c r="D6681" s="31" t="s">
        <v>67</v>
      </c>
      <c r="E6681" s="31" t="s">
        <v>50</v>
      </c>
      <c r="F6681" s="31" t="s">
        <v>130</v>
      </c>
      <c r="G6681" s="31" t="n">
        <v>6</v>
      </c>
      <c r="H6681" s="41" t="n">
        <v>1.8</v>
      </c>
      <c r="I6681" s="31" t="s">
        <v>149</v>
      </c>
      <c r="J6681" s="31" t="n">
        <v>5</v>
      </c>
      <c r="K6681" s="31" t="s">
        <v>153</v>
      </c>
      <c r="L6681" s="45" t="n">
        <f aca="false">DATE(YEAR(B6681),MONTH(B6681),1)</f>
        <v>46266</v>
      </c>
      <c r="M6681" s="31" t="n">
        <f aca="false">WEEKDAY(B6681,2)</f>
        <v>1</v>
      </c>
      <c r="N6681" s="31" t="str">
        <f aca="false">IF(G6681&lt;=INDEX(Assumptions!$B$15:$B$18,MATCH(E6681,Assumptions!$A$15:$A$18,0)),"Yes","No")</f>
        <v>Yes</v>
      </c>
      <c r="O6681" s="31" t="str">
        <f aca="false">IF(H6681="","Open",IF(H6681&lt;=INDEX(Assumptions!$C$15:$C$18,MATCH(E6681,Assumptions!$A$15:$A$18,0)),"Yes","No"))</f>
        <v>Yes</v>
      </c>
    </row>
    <row r="6682" customFormat="false" ht="15" hidden="false" customHeight="false" outlineLevel="0" collapsed="false">
      <c r="A6682" s="31" t="s">
        <v>6832</v>
      </c>
      <c r="B6682" s="44" t="n">
        <v>46293</v>
      </c>
      <c r="C6682" s="31" t="s">
        <v>58</v>
      </c>
      <c r="D6682" s="31" t="s">
        <v>65</v>
      </c>
      <c r="E6682" s="31" t="s">
        <v>51</v>
      </c>
      <c r="F6682" s="31" t="s">
        <v>121</v>
      </c>
      <c r="G6682" s="31" t="n">
        <v>5</v>
      </c>
      <c r="H6682" s="41" t="n">
        <v>7.8</v>
      </c>
      <c r="I6682" s="31" t="s">
        <v>149</v>
      </c>
      <c r="J6682" s="31" t="n">
        <v>5</v>
      </c>
      <c r="K6682" s="31" t="s">
        <v>150</v>
      </c>
      <c r="L6682" s="45" t="n">
        <f aca="false">DATE(YEAR(B6682),MONTH(B6682),1)</f>
        <v>46266</v>
      </c>
      <c r="M6682" s="31" t="n">
        <f aca="false">WEEKDAY(B6682,2)</f>
        <v>1</v>
      </c>
      <c r="N6682" s="31" t="str">
        <f aca="false">IF(G6682&lt;=INDEX(Assumptions!$B$15:$B$18,MATCH(E6682,Assumptions!$A$15:$A$18,0)),"Yes","No")</f>
        <v>Yes</v>
      </c>
      <c r="O6682" s="31" t="str">
        <f aca="false">IF(H6682="","Open",IF(H6682&lt;=INDEX(Assumptions!$C$15:$C$18,MATCH(E6682,Assumptions!$A$15:$A$18,0)),"Yes","No"))</f>
        <v>Yes</v>
      </c>
    </row>
    <row r="6683" customFormat="false" ht="15" hidden="false" customHeight="false" outlineLevel="0" collapsed="false">
      <c r="A6683" s="31" t="s">
        <v>6833</v>
      </c>
      <c r="B6683" s="44" t="n">
        <v>46293</v>
      </c>
      <c r="C6683" s="31" t="s">
        <v>60</v>
      </c>
      <c r="D6683" s="31" t="s">
        <v>68</v>
      </c>
      <c r="E6683" s="31" t="s">
        <v>52</v>
      </c>
      <c r="F6683" s="31" t="s">
        <v>122</v>
      </c>
      <c r="G6683" s="31" t="n">
        <v>4</v>
      </c>
      <c r="H6683" s="41"/>
      <c r="I6683" s="31" t="s">
        <v>158</v>
      </c>
      <c r="J6683" s="31"/>
      <c r="K6683" s="31" t="s">
        <v>150</v>
      </c>
      <c r="L6683" s="45" t="n">
        <f aca="false">DATE(YEAR(B6683),MONTH(B6683),1)</f>
        <v>46266</v>
      </c>
      <c r="M6683" s="31" t="n">
        <f aca="false">WEEKDAY(B6683,2)</f>
        <v>1</v>
      </c>
      <c r="N6683" s="31" t="str">
        <f aca="false">IF(G6683&lt;=INDEX(Assumptions!$B$15:$B$18,MATCH(E6683,Assumptions!$A$15:$A$18,0)),"Yes","No")</f>
        <v>Yes</v>
      </c>
      <c r="O6683" s="31" t="str">
        <f aca="false">IF(H6683="","Open",IF(H6683&lt;=INDEX(Assumptions!$C$15:$C$18,MATCH(E6683,Assumptions!$A$15:$A$18,0)),"Yes","No"))</f>
        <v>Open</v>
      </c>
    </row>
    <row r="6684" customFormat="false" ht="15" hidden="false" customHeight="false" outlineLevel="0" collapsed="false">
      <c r="A6684" s="31" t="s">
        <v>6834</v>
      </c>
      <c r="B6684" s="44" t="n">
        <v>46293</v>
      </c>
      <c r="C6684" s="31" t="s">
        <v>57</v>
      </c>
      <c r="D6684" s="31" t="s">
        <v>66</v>
      </c>
      <c r="E6684" s="31" t="s">
        <v>51</v>
      </c>
      <c r="F6684" s="31" t="s">
        <v>120</v>
      </c>
      <c r="G6684" s="31" t="n">
        <v>29</v>
      </c>
      <c r="H6684" s="41"/>
      <c r="I6684" s="31" t="s">
        <v>158</v>
      </c>
      <c r="J6684" s="31"/>
      <c r="K6684" s="31" t="s">
        <v>150</v>
      </c>
      <c r="L6684" s="45" t="n">
        <f aca="false">DATE(YEAR(B6684),MONTH(B6684),1)</f>
        <v>46266</v>
      </c>
      <c r="M6684" s="31" t="n">
        <f aca="false">WEEKDAY(B6684,2)</f>
        <v>1</v>
      </c>
      <c r="N6684" s="31" t="str">
        <f aca="false">IF(G6684&lt;=INDEX(Assumptions!$B$15:$B$18,MATCH(E6684,Assumptions!$A$15:$A$18,0)),"Yes","No")</f>
        <v>Yes</v>
      </c>
      <c r="O6684" s="31" t="str">
        <f aca="false">IF(H6684="","Open",IF(H6684&lt;=INDEX(Assumptions!$C$15:$C$18,MATCH(E6684,Assumptions!$A$15:$A$18,0)),"Yes","No"))</f>
        <v>Open</v>
      </c>
    </row>
    <row r="6685" customFormat="false" ht="15" hidden="false" customHeight="false" outlineLevel="0" collapsed="false">
      <c r="A6685" s="31" t="s">
        <v>6835</v>
      </c>
      <c r="B6685" s="44" t="n">
        <v>46293</v>
      </c>
      <c r="C6685" s="31" t="s">
        <v>58</v>
      </c>
      <c r="D6685" s="31" t="s">
        <v>67</v>
      </c>
      <c r="E6685" s="31" t="s">
        <v>50</v>
      </c>
      <c r="F6685" s="31" t="s">
        <v>134</v>
      </c>
      <c r="G6685" s="31" t="n">
        <v>4</v>
      </c>
      <c r="H6685" s="41" t="n">
        <v>25</v>
      </c>
      <c r="I6685" s="31" t="s">
        <v>149</v>
      </c>
      <c r="J6685" s="31" t="n">
        <v>4</v>
      </c>
      <c r="K6685" s="31" t="s">
        <v>150</v>
      </c>
      <c r="L6685" s="45" t="n">
        <f aca="false">DATE(YEAR(B6685),MONTH(B6685),1)</f>
        <v>46266</v>
      </c>
      <c r="M6685" s="31" t="n">
        <f aca="false">WEEKDAY(B6685,2)</f>
        <v>1</v>
      </c>
      <c r="N6685" s="31" t="str">
        <f aca="false">IF(G6685&lt;=INDEX(Assumptions!$B$15:$B$18,MATCH(E6685,Assumptions!$A$15:$A$18,0)),"Yes","No")</f>
        <v>Yes</v>
      </c>
      <c r="O6685" s="31" t="str">
        <f aca="false">IF(H6685="","Open",IF(H6685&lt;=INDEX(Assumptions!$C$15:$C$18,MATCH(E6685,Assumptions!$A$15:$A$18,0)),"Yes","No"))</f>
        <v>No</v>
      </c>
    </row>
    <row r="6686" customFormat="false" ht="15" hidden="false" customHeight="false" outlineLevel="0" collapsed="false">
      <c r="A6686" s="31" t="s">
        <v>6836</v>
      </c>
      <c r="B6686" s="44" t="n">
        <v>46293</v>
      </c>
      <c r="C6686" s="31" t="s">
        <v>57</v>
      </c>
      <c r="D6686" s="31" t="s">
        <v>66</v>
      </c>
      <c r="E6686" s="31" t="s">
        <v>50</v>
      </c>
      <c r="F6686" s="31" t="s">
        <v>133</v>
      </c>
      <c r="G6686" s="31" t="n">
        <v>7</v>
      </c>
      <c r="H6686" s="41" t="n">
        <v>5.8</v>
      </c>
      <c r="I6686" s="31" t="s">
        <v>64</v>
      </c>
      <c r="J6686" s="31" t="n">
        <v>2</v>
      </c>
      <c r="K6686" s="31" t="s">
        <v>150</v>
      </c>
      <c r="L6686" s="45" t="n">
        <f aca="false">DATE(YEAR(B6686),MONTH(B6686),1)</f>
        <v>46266</v>
      </c>
      <c r="M6686" s="31" t="n">
        <f aca="false">WEEKDAY(B6686,2)</f>
        <v>1</v>
      </c>
      <c r="N6686" s="31" t="str">
        <f aca="false">IF(G6686&lt;=INDEX(Assumptions!$B$15:$B$18,MATCH(E6686,Assumptions!$A$15:$A$18,0)),"Yes","No")</f>
        <v>Yes</v>
      </c>
      <c r="O6686" s="31" t="str">
        <f aca="false">IF(H6686="","Open",IF(H6686&lt;=INDEX(Assumptions!$C$15:$C$18,MATCH(E6686,Assumptions!$A$15:$A$18,0)),"Yes","No"))</f>
        <v>Yes</v>
      </c>
    </row>
    <row r="6687" customFormat="false" ht="15" hidden="false" customHeight="false" outlineLevel="0" collapsed="false">
      <c r="A6687" s="31" t="s">
        <v>6837</v>
      </c>
      <c r="B6687" s="44" t="n">
        <v>46293</v>
      </c>
      <c r="C6687" s="31" t="s">
        <v>57</v>
      </c>
      <c r="D6687" s="31" t="s">
        <v>66</v>
      </c>
      <c r="E6687" s="31" t="s">
        <v>50</v>
      </c>
      <c r="F6687" s="31" t="s">
        <v>123</v>
      </c>
      <c r="G6687" s="31" t="n">
        <v>2</v>
      </c>
      <c r="H6687" s="41"/>
      <c r="I6687" s="31" t="s">
        <v>158</v>
      </c>
      <c r="J6687" s="31"/>
      <c r="K6687" s="31" t="s">
        <v>150</v>
      </c>
      <c r="L6687" s="45" t="n">
        <f aca="false">DATE(YEAR(B6687),MONTH(B6687),1)</f>
        <v>46266</v>
      </c>
      <c r="M6687" s="31" t="n">
        <f aca="false">WEEKDAY(B6687,2)</f>
        <v>1</v>
      </c>
      <c r="N6687" s="31" t="str">
        <f aca="false">IF(G6687&lt;=INDEX(Assumptions!$B$15:$B$18,MATCH(E6687,Assumptions!$A$15:$A$18,0)),"Yes","No")</f>
        <v>Yes</v>
      </c>
      <c r="O6687" s="31" t="str">
        <f aca="false">IF(H6687="","Open",IF(H6687&lt;=INDEX(Assumptions!$C$15:$C$18,MATCH(E6687,Assumptions!$A$15:$A$18,0)),"Yes","No"))</f>
        <v>Open</v>
      </c>
    </row>
    <row r="6688" customFormat="false" ht="15" hidden="false" customHeight="false" outlineLevel="0" collapsed="false">
      <c r="A6688" s="31" t="s">
        <v>6838</v>
      </c>
      <c r="B6688" s="44" t="n">
        <v>46293</v>
      </c>
      <c r="C6688" s="31" t="s">
        <v>58</v>
      </c>
      <c r="D6688" s="31" t="s">
        <v>67</v>
      </c>
      <c r="E6688" s="31" t="s">
        <v>52</v>
      </c>
      <c r="F6688" s="31" t="s">
        <v>137</v>
      </c>
      <c r="G6688" s="31" t="n">
        <v>40</v>
      </c>
      <c r="H6688" s="41"/>
      <c r="I6688" s="31" t="s">
        <v>158</v>
      </c>
      <c r="J6688" s="31"/>
      <c r="K6688" s="31" t="s">
        <v>150</v>
      </c>
      <c r="L6688" s="45" t="n">
        <f aca="false">DATE(YEAR(B6688),MONTH(B6688),1)</f>
        <v>46266</v>
      </c>
      <c r="M6688" s="31" t="n">
        <f aca="false">WEEKDAY(B6688,2)</f>
        <v>1</v>
      </c>
      <c r="N6688" s="31" t="str">
        <f aca="false">IF(G6688&lt;=INDEX(Assumptions!$B$15:$B$18,MATCH(E6688,Assumptions!$A$15:$A$18,0)),"Yes","No")</f>
        <v>Yes</v>
      </c>
      <c r="O6688" s="31" t="str">
        <f aca="false">IF(H6688="","Open",IF(H6688&lt;=INDEX(Assumptions!$C$15:$C$18,MATCH(E6688,Assumptions!$A$15:$A$18,0)),"Yes","No"))</f>
        <v>Open</v>
      </c>
    </row>
    <row r="6689" customFormat="false" ht="15" hidden="false" customHeight="false" outlineLevel="0" collapsed="false">
      <c r="A6689" s="31" t="s">
        <v>6839</v>
      </c>
      <c r="B6689" s="44" t="n">
        <v>46293</v>
      </c>
      <c r="C6689" s="31" t="s">
        <v>59</v>
      </c>
      <c r="D6689" s="31" t="s">
        <v>65</v>
      </c>
      <c r="E6689" s="31" t="s">
        <v>52</v>
      </c>
      <c r="F6689" s="31" t="s">
        <v>121</v>
      </c>
      <c r="G6689" s="31" t="n">
        <v>127</v>
      </c>
      <c r="H6689" s="41"/>
      <c r="I6689" s="31" t="s">
        <v>158</v>
      </c>
      <c r="J6689" s="31"/>
      <c r="K6689" s="31" t="s">
        <v>150</v>
      </c>
      <c r="L6689" s="45" t="n">
        <f aca="false">DATE(YEAR(B6689),MONTH(B6689),1)</f>
        <v>46266</v>
      </c>
      <c r="M6689" s="31" t="n">
        <f aca="false">WEEKDAY(B6689,2)</f>
        <v>1</v>
      </c>
      <c r="N6689" s="31" t="str">
        <f aca="false">IF(G6689&lt;=INDEX(Assumptions!$B$15:$B$18,MATCH(E6689,Assumptions!$A$15:$A$18,0)),"Yes","No")</f>
        <v>Yes</v>
      </c>
      <c r="O6689" s="31" t="str">
        <f aca="false">IF(H6689="","Open",IF(H6689&lt;=INDEX(Assumptions!$C$15:$C$18,MATCH(E6689,Assumptions!$A$15:$A$18,0)),"Yes","No"))</f>
        <v>Open</v>
      </c>
    </row>
    <row r="6690" customFormat="false" ht="15" hidden="false" customHeight="false" outlineLevel="0" collapsed="false">
      <c r="A6690" s="31" t="s">
        <v>6840</v>
      </c>
      <c r="B6690" s="44" t="n">
        <v>46293</v>
      </c>
      <c r="C6690" s="31" t="s">
        <v>58</v>
      </c>
      <c r="D6690" s="31" t="s">
        <v>68</v>
      </c>
      <c r="E6690" s="31" t="s">
        <v>52</v>
      </c>
      <c r="F6690" s="31" t="s">
        <v>126</v>
      </c>
      <c r="G6690" s="31" t="n">
        <v>15</v>
      </c>
      <c r="H6690" s="41"/>
      <c r="I6690" s="31" t="s">
        <v>158</v>
      </c>
      <c r="J6690" s="31"/>
      <c r="K6690" s="31" t="s">
        <v>150</v>
      </c>
      <c r="L6690" s="45" t="n">
        <f aca="false">DATE(YEAR(B6690),MONTH(B6690),1)</f>
        <v>46266</v>
      </c>
      <c r="M6690" s="31" t="n">
        <f aca="false">WEEKDAY(B6690,2)</f>
        <v>1</v>
      </c>
      <c r="N6690" s="31" t="str">
        <f aca="false">IF(G6690&lt;=INDEX(Assumptions!$B$15:$B$18,MATCH(E6690,Assumptions!$A$15:$A$18,0)),"Yes","No")</f>
        <v>Yes</v>
      </c>
      <c r="O6690" s="31" t="str">
        <f aca="false">IF(H6690="","Open",IF(H6690&lt;=INDEX(Assumptions!$C$15:$C$18,MATCH(E6690,Assumptions!$A$15:$A$18,0)),"Yes","No"))</f>
        <v>Open</v>
      </c>
    </row>
    <row r="6691" customFormat="false" ht="15" hidden="false" customHeight="false" outlineLevel="0" collapsed="false">
      <c r="A6691" s="31" t="s">
        <v>6841</v>
      </c>
      <c r="B6691" s="44" t="n">
        <v>46293</v>
      </c>
      <c r="C6691" s="31" t="s">
        <v>59</v>
      </c>
      <c r="D6691" s="31" t="s">
        <v>68</v>
      </c>
      <c r="E6691" s="31" t="s">
        <v>52</v>
      </c>
      <c r="F6691" s="31" t="s">
        <v>133</v>
      </c>
      <c r="G6691" s="31" t="n">
        <v>201</v>
      </c>
      <c r="H6691" s="41"/>
      <c r="I6691" s="31" t="s">
        <v>158</v>
      </c>
      <c r="J6691" s="31"/>
      <c r="K6691" s="31" t="s">
        <v>150</v>
      </c>
      <c r="L6691" s="45" t="n">
        <f aca="false">DATE(YEAR(B6691),MONTH(B6691),1)</f>
        <v>46266</v>
      </c>
      <c r="M6691" s="31" t="n">
        <f aca="false">WEEKDAY(B6691,2)</f>
        <v>1</v>
      </c>
      <c r="N6691" s="31" t="str">
        <f aca="false">IF(G6691&lt;=INDEX(Assumptions!$B$15:$B$18,MATCH(E6691,Assumptions!$A$15:$A$18,0)),"Yes","No")</f>
        <v>Yes</v>
      </c>
      <c r="O6691" s="31" t="str">
        <f aca="false">IF(H6691="","Open",IF(H6691&lt;=INDEX(Assumptions!$C$15:$C$18,MATCH(E6691,Assumptions!$A$15:$A$18,0)),"Yes","No"))</f>
        <v>Open</v>
      </c>
    </row>
    <row r="6692" customFormat="false" ht="15" hidden="false" customHeight="false" outlineLevel="0" collapsed="false">
      <c r="A6692" s="31" t="s">
        <v>6842</v>
      </c>
      <c r="B6692" s="44" t="n">
        <v>46293</v>
      </c>
      <c r="C6692" s="31" t="s">
        <v>58</v>
      </c>
      <c r="D6692" s="31" t="s">
        <v>69</v>
      </c>
      <c r="E6692" s="31" t="s">
        <v>50</v>
      </c>
      <c r="F6692" s="31" t="s">
        <v>124</v>
      </c>
      <c r="G6692" s="31" t="n">
        <v>18</v>
      </c>
      <c r="H6692" s="41" t="n">
        <v>19.9</v>
      </c>
      <c r="I6692" s="31" t="s">
        <v>149</v>
      </c>
      <c r="J6692" s="31" t="n">
        <v>4</v>
      </c>
      <c r="K6692" s="31" t="s">
        <v>150</v>
      </c>
      <c r="L6692" s="45" t="n">
        <f aca="false">DATE(YEAR(B6692),MONTH(B6692),1)</f>
        <v>46266</v>
      </c>
      <c r="M6692" s="31" t="n">
        <f aca="false">WEEKDAY(B6692,2)</f>
        <v>1</v>
      </c>
      <c r="N6692" s="31" t="str">
        <f aca="false">IF(G6692&lt;=INDEX(Assumptions!$B$15:$B$18,MATCH(E6692,Assumptions!$A$15:$A$18,0)),"Yes","No")</f>
        <v>Yes</v>
      </c>
      <c r="O6692" s="31" t="str">
        <f aca="false">IF(H6692="","Open",IF(H6692&lt;=INDEX(Assumptions!$C$15:$C$18,MATCH(E6692,Assumptions!$A$15:$A$18,0)),"Yes","No"))</f>
        <v>No</v>
      </c>
    </row>
    <row r="6693" customFormat="false" ht="15" hidden="false" customHeight="false" outlineLevel="0" collapsed="false">
      <c r="A6693" s="31" t="s">
        <v>6843</v>
      </c>
      <c r="B6693" s="44" t="n">
        <v>46293</v>
      </c>
      <c r="C6693" s="31" t="s">
        <v>58</v>
      </c>
      <c r="D6693" s="31" t="s">
        <v>66</v>
      </c>
      <c r="E6693" s="31" t="s">
        <v>51</v>
      </c>
      <c r="F6693" s="31" t="s">
        <v>130</v>
      </c>
      <c r="G6693" s="31" t="n">
        <v>5</v>
      </c>
      <c r="H6693" s="41"/>
      <c r="I6693" s="31" t="s">
        <v>158</v>
      </c>
      <c r="J6693" s="31"/>
      <c r="K6693" s="31" t="s">
        <v>150</v>
      </c>
      <c r="L6693" s="45" t="n">
        <f aca="false">DATE(YEAR(B6693),MONTH(B6693),1)</f>
        <v>46266</v>
      </c>
      <c r="M6693" s="31" t="n">
        <f aca="false">WEEKDAY(B6693,2)</f>
        <v>1</v>
      </c>
      <c r="N6693" s="31" t="str">
        <f aca="false">IF(G6693&lt;=INDEX(Assumptions!$B$15:$B$18,MATCH(E6693,Assumptions!$A$15:$A$18,0)),"Yes","No")</f>
        <v>Yes</v>
      </c>
      <c r="O6693" s="31" t="str">
        <f aca="false">IF(H6693="","Open",IF(H6693&lt;=INDEX(Assumptions!$C$15:$C$18,MATCH(E6693,Assumptions!$A$15:$A$18,0)),"Yes","No"))</f>
        <v>Open</v>
      </c>
    </row>
    <row r="6694" customFormat="false" ht="15" hidden="false" customHeight="false" outlineLevel="0" collapsed="false">
      <c r="A6694" s="31" t="s">
        <v>6844</v>
      </c>
      <c r="B6694" s="44" t="n">
        <v>46293</v>
      </c>
      <c r="C6694" s="31" t="s">
        <v>58</v>
      </c>
      <c r="D6694" s="31" t="s">
        <v>66</v>
      </c>
      <c r="E6694" s="31" t="s">
        <v>52</v>
      </c>
      <c r="F6694" s="31" t="s">
        <v>120</v>
      </c>
      <c r="G6694" s="31" t="n">
        <v>22</v>
      </c>
      <c r="H6694" s="41"/>
      <c r="I6694" s="31" t="s">
        <v>158</v>
      </c>
      <c r="J6694" s="31"/>
      <c r="K6694" s="31" t="s">
        <v>150</v>
      </c>
      <c r="L6694" s="45" t="n">
        <f aca="false">DATE(YEAR(B6694),MONTH(B6694),1)</f>
        <v>46266</v>
      </c>
      <c r="M6694" s="31" t="n">
        <f aca="false">WEEKDAY(B6694,2)</f>
        <v>1</v>
      </c>
      <c r="N6694" s="31" t="str">
        <f aca="false">IF(G6694&lt;=INDEX(Assumptions!$B$15:$B$18,MATCH(E6694,Assumptions!$A$15:$A$18,0)),"Yes","No")</f>
        <v>Yes</v>
      </c>
      <c r="O6694" s="31" t="str">
        <f aca="false">IF(H6694="","Open",IF(H6694&lt;=INDEX(Assumptions!$C$15:$C$18,MATCH(E6694,Assumptions!$A$15:$A$18,0)),"Yes","No"))</f>
        <v>Open</v>
      </c>
    </row>
    <row r="6695" customFormat="false" ht="15" hidden="false" customHeight="false" outlineLevel="0" collapsed="false">
      <c r="A6695" s="31" t="s">
        <v>6845</v>
      </c>
      <c r="B6695" s="44" t="n">
        <v>46293</v>
      </c>
      <c r="C6695" s="31" t="s">
        <v>58</v>
      </c>
      <c r="D6695" s="31" t="s">
        <v>66</v>
      </c>
      <c r="E6695" s="31" t="s">
        <v>50</v>
      </c>
      <c r="F6695" s="31" t="s">
        <v>127</v>
      </c>
      <c r="G6695" s="31" t="n">
        <v>18</v>
      </c>
      <c r="H6695" s="41"/>
      <c r="I6695" s="31" t="s">
        <v>158</v>
      </c>
      <c r="J6695" s="31"/>
      <c r="K6695" s="31" t="s">
        <v>150</v>
      </c>
      <c r="L6695" s="45" t="n">
        <f aca="false">DATE(YEAR(B6695),MONTH(B6695),1)</f>
        <v>46266</v>
      </c>
      <c r="M6695" s="31" t="n">
        <f aca="false">WEEKDAY(B6695,2)</f>
        <v>1</v>
      </c>
      <c r="N6695" s="31" t="str">
        <f aca="false">IF(G6695&lt;=INDEX(Assumptions!$B$15:$B$18,MATCH(E6695,Assumptions!$A$15:$A$18,0)),"Yes","No")</f>
        <v>Yes</v>
      </c>
      <c r="O6695" s="31" t="str">
        <f aca="false">IF(H6695="","Open",IF(H6695&lt;=INDEX(Assumptions!$C$15:$C$18,MATCH(E6695,Assumptions!$A$15:$A$18,0)),"Yes","No"))</f>
        <v>Open</v>
      </c>
    </row>
    <row r="6696" customFormat="false" ht="15" hidden="false" customHeight="false" outlineLevel="0" collapsed="false">
      <c r="A6696" s="31" t="s">
        <v>6846</v>
      </c>
      <c r="B6696" s="44" t="n">
        <v>46293</v>
      </c>
      <c r="C6696" s="31" t="s">
        <v>59</v>
      </c>
      <c r="D6696" s="31" t="s">
        <v>68</v>
      </c>
      <c r="E6696" s="31" t="s">
        <v>51</v>
      </c>
      <c r="F6696" s="31" t="s">
        <v>117</v>
      </c>
      <c r="G6696" s="31" t="n">
        <v>105</v>
      </c>
      <c r="H6696" s="41"/>
      <c r="I6696" s="31" t="s">
        <v>158</v>
      </c>
      <c r="J6696" s="31"/>
      <c r="K6696" s="31" t="s">
        <v>150</v>
      </c>
      <c r="L6696" s="45" t="n">
        <f aca="false">DATE(YEAR(B6696),MONTH(B6696),1)</f>
        <v>46266</v>
      </c>
      <c r="M6696" s="31" t="n">
        <f aca="false">WEEKDAY(B6696,2)</f>
        <v>1</v>
      </c>
      <c r="N6696" s="31" t="str">
        <f aca="false">IF(G6696&lt;=INDEX(Assumptions!$B$15:$B$18,MATCH(E6696,Assumptions!$A$15:$A$18,0)),"Yes","No")</f>
        <v>No</v>
      </c>
      <c r="O6696" s="31" t="str">
        <f aca="false">IF(H6696="","Open",IF(H6696&lt;=INDEX(Assumptions!$C$15:$C$18,MATCH(E6696,Assumptions!$A$15:$A$18,0)),"Yes","No"))</f>
        <v>Open</v>
      </c>
    </row>
    <row r="6697" customFormat="false" ht="15" hidden="false" customHeight="false" outlineLevel="0" collapsed="false">
      <c r="A6697" s="31" t="s">
        <v>6847</v>
      </c>
      <c r="B6697" s="44" t="n">
        <v>46293</v>
      </c>
      <c r="C6697" s="31" t="s">
        <v>57</v>
      </c>
      <c r="D6697" s="31" t="s">
        <v>65</v>
      </c>
      <c r="E6697" s="31" t="s">
        <v>52</v>
      </c>
      <c r="F6697" s="31" t="s">
        <v>124</v>
      </c>
      <c r="G6697" s="31" t="n">
        <v>4</v>
      </c>
      <c r="H6697" s="41"/>
      <c r="I6697" s="31" t="s">
        <v>158</v>
      </c>
      <c r="J6697" s="31"/>
      <c r="K6697" s="31" t="s">
        <v>150</v>
      </c>
      <c r="L6697" s="45" t="n">
        <f aca="false">DATE(YEAR(B6697),MONTH(B6697),1)</f>
        <v>46266</v>
      </c>
      <c r="M6697" s="31" t="n">
        <f aca="false">WEEKDAY(B6697,2)</f>
        <v>1</v>
      </c>
      <c r="N6697" s="31" t="str">
        <f aca="false">IF(G6697&lt;=INDEX(Assumptions!$B$15:$B$18,MATCH(E6697,Assumptions!$A$15:$A$18,0)),"Yes","No")</f>
        <v>Yes</v>
      </c>
      <c r="O6697" s="31" t="str">
        <f aca="false">IF(H6697="","Open",IF(H6697&lt;=INDEX(Assumptions!$C$15:$C$18,MATCH(E6697,Assumptions!$A$15:$A$18,0)),"Yes","No"))</f>
        <v>Open</v>
      </c>
    </row>
    <row r="6698" customFormat="false" ht="15" hidden="false" customHeight="false" outlineLevel="0" collapsed="false">
      <c r="A6698" s="31" t="s">
        <v>6848</v>
      </c>
      <c r="B6698" s="44" t="n">
        <v>46293</v>
      </c>
      <c r="C6698" s="31" t="s">
        <v>57</v>
      </c>
      <c r="D6698" s="31" t="s">
        <v>65</v>
      </c>
      <c r="E6698" s="31" t="s">
        <v>50</v>
      </c>
      <c r="F6698" s="31" t="s">
        <v>133</v>
      </c>
      <c r="G6698" s="31" t="n">
        <v>1</v>
      </c>
      <c r="H6698" s="41"/>
      <c r="I6698" s="31" t="s">
        <v>158</v>
      </c>
      <c r="J6698" s="31"/>
      <c r="K6698" s="31" t="s">
        <v>150</v>
      </c>
      <c r="L6698" s="45" t="n">
        <f aca="false">DATE(YEAR(B6698),MONTH(B6698),1)</f>
        <v>46266</v>
      </c>
      <c r="M6698" s="31" t="n">
        <f aca="false">WEEKDAY(B6698,2)</f>
        <v>1</v>
      </c>
      <c r="N6698" s="31" t="str">
        <f aca="false">IF(G6698&lt;=INDEX(Assumptions!$B$15:$B$18,MATCH(E6698,Assumptions!$A$15:$A$18,0)),"Yes","No")</f>
        <v>Yes</v>
      </c>
      <c r="O6698" s="31" t="str">
        <f aca="false">IF(H6698="","Open",IF(H6698&lt;=INDEX(Assumptions!$C$15:$C$18,MATCH(E6698,Assumptions!$A$15:$A$18,0)),"Yes","No"))</f>
        <v>Open</v>
      </c>
    </row>
    <row r="6699" customFormat="false" ht="15" hidden="false" customHeight="false" outlineLevel="0" collapsed="false">
      <c r="A6699" s="31" t="s">
        <v>6849</v>
      </c>
      <c r="B6699" s="44" t="n">
        <v>46293</v>
      </c>
      <c r="C6699" s="31" t="s">
        <v>57</v>
      </c>
      <c r="D6699" s="31" t="s">
        <v>66</v>
      </c>
      <c r="E6699" s="31" t="s">
        <v>52</v>
      </c>
      <c r="F6699" s="31" t="s">
        <v>137</v>
      </c>
      <c r="G6699" s="31" t="n">
        <v>3</v>
      </c>
      <c r="H6699" s="41"/>
      <c r="I6699" s="31" t="s">
        <v>158</v>
      </c>
      <c r="J6699" s="31"/>
      <c r="K6699" s="31" t="s">
        <v>150</v>
      </c>
      <c r="L6699" s="45" t="n">
        <f aca="false">DATE(YEAR(B6699),MONTH(B6699),1)</f>
        <v>46266</v>
      </c>
      <c r="M6699" s="31" t="n">
        <f aca="false">WEEKDAY(B6699,2)</f>
        <v>1</v>
      </c>
      <c r="N6699" s="31" t="str">
        <f aca="false">IF(G6699&lt;=INDEX(Assumptions!$B$15:$B$18,MATCH(E6699,Assumptions!$A$15:$A$18,0)),"Yes","No")</f>
        <v>Yes</v>
      </c>
      <c r="O6699" s="31" t="str">
        <f aca="false">IF(H6699="","Open",IF(H6699&lt;=INDEX(Assumptions!$C$15:$C$18,MATCH(E6699,Assumptions!$A$15:$A$18,0)),"Yes","No"))</f>
        <v>Open</v>
      </c>
    </row>
    <row r="6700" customFormat="false" ht="15" hidden="false" customHeight="false" outlineLevel="0" collapsed="false">
      <c r="A6700" s="31" t="s">
        <v>6850</v>
      </c>
      <c r="B6700" s="44" t="n">
        <v>46293</v>
      </c>
      <c r="C6700" s="31" t="s">
        <v>59</v>
      </c>
      <c r="D6700" s="31" t="s">
        <v>66</v>
      </c>
      <c r="E6700" s="31" t="s">
        <v>50</v>
      </c>
      <c r="F6700" s="31" t="s">
        <v>129</v>
      </c>
      <c r="G6700" s="31" t="n">
        <v>98</v>
      </c>
      <c r="H6700" s="41"/>
      <c r="I6700" s="31" t="s">
        <v>158</v>
      </c>
      <c r="J6700" s="31"/>
      <c r="K6700" s="31" t="s">
        <v>150</v>
      </c>
      <c r="L6700" s="45" t="n">
        <f aca="false">DATE(YEAR(B6700),MONTH(B6700),1)</f>
        <v>46266</v>
      </c>
      <c r="M6700" s="31" t="n">
        <f aca="false">WEEKDAY(B6700,2)</f>
        <v>1</v>
      </c>
      <c r="N6700" s="31" t="str">
        <f aca="false">IF(G6700&lt;=INDEX(Assumptions!$B$15:$B$18,MATCH(E6700,Assumptions!$A$15:$A$18,0)),"Yes","No")</f>
        <v>No</v>
      </c>
      <c r="O6700" s="31" t="str">
        <f aca="false">IF(H6700="","Open",IF(H6700&lt;=INDEX(Assumptions!$C$15:$C$18,MATCH(E6700,Assumptions!$A$15:$A$18,0)),"Yes","No"))</f>
        <v>Open</v>
      </c>
    </row>
    <row r="6701" customFormat="false" ht="15" hidden="false" customHeight="false" outlineLevel="0" collapsed="false">
      <c r="A6701" s="31" t="s">
        <v>6851</v>
      </c>
      <c r="B6701" s="44" t="n">
        <v>46293</v>
      </c>
      <c r="C6701" s="31" t="s">
        <v>59</v>
      </c>
      <c r="D6701" s="31" t="s">
        <v>65</v>
      </c>
      <c r="E6701" s="31" t="s">
        <v>50</v>
      </c>
      <c r="F6701" s="31" t="s">
        <v>134</v>
      </c>
      <c r="G6701" s="31" t="n">
        <v>213</v>
      </c>
      <c r="H6701" s="41"/>
      <c r="I6701" s="31" t="s">
        <v>158</v>
      </c>
      <c r="J6701" s="31"/>
      <c r="K6701" s="31" t="s">
        <v>150</v>
      </c>
      <c r="L6701" s="45" t="n">
        <f aca="false">DATE(YEAR(B6701),MONTH(B6701),1)</f>
        <v>46266</v>
      </c>
      <c r="M6701" s="31" t="n">
        <f aca="false">WEEKDAY(B6701,2)</f>
        <v>1</v>
      </c>
      <c r="N6701" s="31" t="str">
        <f aca="false">IF(G6701&lt;=INDEX(Assumptions!$B$15:$B$18,MATCH(E6701,Assumptions!$A$15:$A$18,0)),"Yes","No")</f>
        <v>No</v>
      </c>
      <c r="O6701" s="31" t="str">
        <f aca="false">IF(H6701="","Open",IF(H6701&lt;=INDEX(Assumptions!$C$15:$C$18,MATCH(E6701,Assumptions!$A$15:$A$18,0)),"Yes","No"))</f>
        <v>Open</v>
      </c>
    </row>
    <row r="6702" customFormat="false" ht="15" hidden="false" customHeight="false" outlineLevel="0" collapsed="false">
      <c r="A6702" s="31" t="s">
        <v>6852</v>
      </c>
      <c r="B6702" s="44" t="n">
        <v>46293</v>
      </c>
      <c r="C6702" s="31" t="s">
        <v>59</v>
      </c>
      <c r="D6702" s="31" t="s">
        <v>65</v>
      </c>
      <c r="E6702" s="31" t="s">
        <v>51</v>
      </c>
      <c r="F6702" s="31" t="s">
        <v>123</v>
      </c>
      <c r="G6702" s="31" t="n">
        <v>24</v>
      </c>
      <c r="H6702" s="41" t="n">
        <v>142.6</v>
      </c>
      <c r="I6702" s="31" t="s">
        <v>64</v>
      </c>
      <c r="J6702" s="31" t="n">
        <v>1</v>
      </c>
      <c r="K6702" s="31" t="s">
        <v>150</v>
      </c>
      <c r="L6702" s="45" t="n">
        <f aca="false">DATE(YEAR(B6702),MONTH(B6702),1)</f>
        <v>46266</v>
      </c>
      <c r="M6702" s="31" t="n">
        <f aca="false">WEEKDAY(B6702,2)</f>
        <v>1</v>
      </c>
      <c r="N6702" s="31" t="str">
        <f aca="false">IF(G6702&lt;=INDEX(Assumptions!$B$15:$B$18,MATCH(E6702,Assumptions!$A$15:$A$18,0)),"Yes","No")</f>
        <v>Yes</v>
      </c>
      <c r="O6702" s="31" t="str">
        <f aca="false">IF(H6702="","Open",IF(H6702&lt;=INDEX(Assumptions!$C$15:$C$18,MATCH(E6702,Assumptions!$A$15:$A$18,0)),"Yes","No"))</f>
        <v>No</v>
      </c>
    </row>
    <row r="6703" customFormat="false" ht="15" hidden="false" customHeight="false" outlineLevel="0" collapsed="false">
      <c r="A6703" s="31" t="s">
        <v>6853</v>
      </c>
      <c r="B6703" s="44" t="n">
        <v>46293</v>
      </c>
      <c r="C6703" s="31" t="s">
        <v>60</v>
      </c>
      <c r="D6703" s="31" t="s">
        <v>69</v>
      </c>
      <c r="E6703" s="31" t="s">
        <v>50</v>
      </c>
      <c r="F6703" s="31" t="s">
        <v>130</v>
      </c>
      <c r="G6703" s="31" t="n">
        <v>4</v>
      </c>
      <c r="H6703" s="41"/>
      <c r="I6703" s="31" t="s">
        <v>158</v>
      </c>
      <c r="J6703" s="31"/>
      <c r="K6703" s="31" t="s">
        <v>150</v>
      </c>
      <c r="L6703" s="45" t="n">
        <f aca="false">DATE(YEAR(B6703),MONTH(B6703),1)</f>
        <v>46266</v>
      </c>
      <c r="M6703" s="31" t="n">
        <f aca="false">WEEKDAY(B6703,2)</f>
        <v>1</v>
      </c>
      <c r="N6703" s="31" t="str">
        <f aca="false">IF(G6703&lt;=INDEX(Assumptions!$B$15:$B$18,MATCH(E6703,Assumptions!$A$15:$A$18,0)),"Yes","No")</f>
        <v>Yes</v>
      </c>
      <c r="O6703" s="31" t="str">
        <f aca="false">IF(H6703="","Open",IF(H6703&lt;=INDEX(Assumptions!$C$15:$C$18,MATCH(E6703,Assumptions!$A$15:$A$18,0)),"Yes","No"))</f>
        <v>Open</v>
      </c>
    </row>
    <row r="6704" customFormat="false" ht="15" hidden="false" customHeight="false" outlineLevel="0" collapsed="false">
      <c r="A6704" s="31" t="s">
        <v>6854</v>
      </c>
      <c r="B6704" s="44" t="n">
        <v>46293</v>
      </c>
      <c r="C6704" s="31" t="s">
        <v>60</v>
      </c>
      <c r="D6704" s="31" t="s">
        <v>66</v>
      </c>
      <c r="E6704" s="31" t="s">
        <v>52</v>
      </c>
      <c r="F6704" s="31" t="s">
        <v>133</v>
      </c>
      <c r="G6704" s="31" t="n">
        <v>1</v>
      </c>
      <c r="H6704" s="41"/>
      <c r="I6704" s="31" t="s">
        <v>158</v>
      </c>
      <c r="J6704" s="31"/>
      <c r="K6704" s="31" t="s">
        <v>150</v>
      </c>
      <c r="L6704" s="45" t="n">
        <f aca="false">DATE(YEAR(B6704),MONTH(B6704),1)</f>
        <v>46266</v>
      </c>
      <c r="M6704" s="31" t="n">
        <f aca="false">WEEKDAY(B6704,2)</f>
        <v>1</v>
      </c>
      <c r="N6704" s="31" t="str">
        <f aca="false">IF(G6704&lt;=INDEX(Assumptions!$B$15:$B$18,MATCH(E6704,Assumptions!$A$15:$A$18,0)),"Yes","No")</f>
        <v>Yes</v>
      </c>
      <c r="O6704" s="31" t="str">
        <f aca="false">IF(H6704="","Open",IF(H6704&lt;=INDEX(Assumptions!$C$15:$C$18,MATCH(E6704,Assumptions!$A$15:$A$18,0)),"Yes","No"))</f>
        <v>Open</v>
      </c>
    </row>
    <row r="6705" customFormat="false" ht="15" hidden="false" customHeight="false" outlineLevel="0" collapsed="false">
      <c r="A6705" s="31" t="s">
        <v>6855</v>
      </c>
      <c r="B6705" s="44" t="n">
        <v>46293</v>
      </c>
      <c r="C6705" s="31" t="s">
        <v>58</v>
      </c>
      <c r="D6705" s="31" t="s">
        <v>68</v>
      </c>
      <c r="E6705" s="31" t="s">
        <v>50</v>
      </c>
      <c r="F6705" s="31" t="s">
        <v>122</v>
      </c>
      <c r="G6705" s="31" t="n">
        <v>14</v>
      </c>
      <c r="H6705" s="41"/>
      <c r="I6705" s="31" t="s">
        <v>158</v>
      </c>
      <c r="J6705" s="31"/>
      <c r="K6705" s="31" t="s">
        <v>150</v>
      </c>
      <c r="L6705" s="45" t="n">
        <f aca="false">DATE(YEAR(B6705),MONTH(B6705),1)</f>
        <v>46266</v>
      </c>
      <c r="M6705" s="31" t="n">
        <f aca="false">WEEKDAY(B6705,2)</f>
        <v>1</v>
      </c>
      <c r="N6705" s="31" t="str">
        <f aca="false">IF(G6705&lt;=INDEX(Assumptions!$B$15:$B$18,MATCH(E6705,Assumptions!$A$15:$A$18,0)),"Yes","No")</f>
        <v>Yes</v>
      </c>
      <c r="O6705" s="31" t="str">
        <f aca="false">IF(H6705="","Open",IF(H6705&lt;=INDEX(Assumptions!$C$15:$C$18,MATCH(E6705,Assumptions!$A$15:$A$18,0)),"Yes","No"))</f>
        <v>Open</v>
      </c>
    </row>
    <row r="6706" customFormat="false" ht="15" hidden="false" customHeight="false" outlineLevel="0" collapsed="false">
      <c r="A6706" s="31" t="s">
        <v>6856</v>
      </c>
      <c r="B6706" s="44" t="n">
        <v>46293</v>
      </c>
      <c r="C6706" s="31" t="s">
        <v>58</v>
      </c>
      <c r="D6706" s="31" t="s">
        <v>65</v>
      </c>
      <c r="E6706" s="31" t="s">
        <v>51</v>
      </c>
      <c r="F6706" s="31" t="s">
        <v>124</v>
      </c>
      <c r="G6706" s="31" t="n">
        <v>20</v>
      </c>
      <c r="H6706" s="41"/>
      <c r="I6706" s="31" t="s">
        <v>158</v>
      </c>
      <c r="J6706" s="31"/>
      <c r="K6706" s="31" t="s">
        <v>150</v>
      </c>
      <c r="L6706" s="45" t="n">
        <f aca="false">DATE(YEAR(B6706),MONTH(B6706),1)</f>
        <v>46266</v>
      </c>
      <c r="M6706" s="31" t="n">
        <f aca="false">WEEKDAY(B6706,2)</f>
        <v>1</v>
      </c>
      <c r="N6706" s="31" t="str">
        <f aca="false">IF(G6706&lt;=INDEX(Assumptions!$B$15:$B$18,MATCH(E6706,Assumptions!$A$15:$A$18,0)),"Yes","No")</f>
        <v>Yes</v>
      </c>
      <c r="O6706" s="31" t="str">
        <f aca="false">IF(H6706="","Open",IF(H6706&lt;=INDEX(Assumptions!$C$15:$C$18,MATCH(E6706,Assumptions!$A$15:$A$18,0)),"Yes","No"))</f>
        <v>Open</v>
      </c>
    </row>
    <row r="6707" customFormat="false" ht="15" hidden="false" customHeight="false" outlineLevel="0" collapsed="false">
      <c r="A6707" s="31" t="s">
        <v>6857</v>
      </c>
      <c r="B6707" s="44" t="n">
        <v>46293</v>
      </c>
      <c r="C6707" s="31" t="s">
        <v>59</v>
      </c>
      <c r="D6707" s="31" t="s">
        <v>65</v>
      </c>
      <c r="E6707" s="31" t="s">
        <v>50</v>
      </c>
      <c r="F6707" s="31" t="s">
        <v>117</v>
      </c>
      <c r="G6707" s="31" t="n">
        <v>83</v>
      </c>
      <c r="H6707" s="41"/>
      <c r="I6707" s="31" t="s">
        <v>158</v>
      </c>
      <c r="J6707" s="31"/>
      <c r="K6707" s="31" t="s">
        <v>150</v>
      </c>
      <c r="L6707" s="45" t="n">
        <f aca="false">DATE(YEAR(B6707),MONTH(B6707),1)</f>
        <v>46266</v>
      </c>
      <c r="M6707" s="31" t="n">
        <f aca="false">WEEKDAY(B6707,2)</f>
        <v>1</v>
      </c>
      <c r="N6707" s="31" t="str">
        <f aca="false">IF(G6707&lt;=INDEX(Assumptions!$B$15:$B$18,MATCH(E6707,Assumptions!$A$15:$A$18,0)),"Yes","No")</f>
        <v>No</v>
      </c>
      <c r="O6707" s="31" t="str">
        <f aca="false">IF(H6707="","Open",IF(H6707&lt;=INDEX(Assumptions!$C$15:$C$18,MATCH(E6707,Assumptions!$A$15:$A$18,0)),"Yes","No"))</f>
        <v>Open</v>
      </c>
    </row>
    <row r="6708" customFormat="false" ht="15" hidden="false" customHeight="false" outlineLevel="0" collapsed="false">
      <c r="A6708" s="31" t="s">
        <v>6858</v>
      </c>
      <c r="B6708" s="44" t="n">
        <v>46293</v>
      </c>
      <c r="C6708" s="31" t="s">
        <v>58</v>
      </c>
      <c r="D6708" s="31" t="s">
        <v>67</v>
      </c>
      <c r="E6708" s="31" t="s">
        <v>50</v>
      </c>
      <c r="F6708" s="31" t="s">
        <v>135</v>
      </c>
      <c r="G6708" s="31" t="n">
        <v>58</v>
      </c>
      <c r="H6708" s="41"/>
      <c r="I6708" s="31" t="s">
        <v>158</v>
      </c>
      <c r="J6708" s="31"/>
      <c r="K6708" s="31" t="s">
        <v>150</v>
      </c>
      <c r="L6708" s="45" t="n">
        <f aca="false">DATE(YEAR(B6708),MONTH(B6708),1)</f>
        <v>46266</v>
      </c>
      <c r="M6708" s="31" t="n">
        <f aca="false">WEEKDAY(B6708,2)</f>
        <v>1</v>
      </c>
      <c r="N6708" s="31" t="str">
        <f aca="false">IF(G6708&lt;=INDEX(Assumptions!$B$15:$B$18,MATCH(E6708,Assumptions!$A$15:$A$18,0)),"Yes","No")</f>
        <v>No</v>
      </c>
      <c r="O6708" s="31" t="str">
        <f aca="false">IF(H6708="","Open",IF(H6708&lt;=INDEX(Assumptions!$C$15:$C$18,MATCH(E6708,Assumptions!$A$15:$A$18,0)),"Yes","No"))</f>
        <v>Open</v>
      </c>
    </row>
    <row r="6709" customFormat="false" ht="15" hidden="false" customHeight="false" outlineLevel="0" collapsed="false">
      <c r="A6709" s="31" t="s">
        <v>6859</v>
      </c>
      <c r="B6709" s="44" t="n">
        <v>46293</v>
      </c>
      <c r="C6709" s="31" t="s">
        <v>57</v>
      </c>
      <c r="D6709" s="31" t="s">
        <v>69</v>
      </c>
      <c r="E6709" s="31" t="s">
        <v>50</v>
      </c>
      <c r="F6709" s="31" t="s">
        <v>130</v>
      </c>
      <c r="G6709" s="31" t="n">
        <v>3</v>
      </c>
      <c r="H6709" s="41"/>
      <c r="I6709" s="31" t="s">
        <v>158</v>
      </c>
      <c r="J6709" s="31"/>
      <c r="K6709" s="31" t="s">
        <v>150</v>
      </c>
      <c r="L6709" s="45" t="n">
        <f aca="false">DATE(YEAR(B6709),MONTH(B6709),1)</f>
        <v>46266</v>
      </c>
      <c r="M6709" s="31" t="n">
        <f aca="false">WEEKDAY(B6709,2)</f>
        <v>1</v>
      </c>
      <c r="N6709" s="31" t="str">
        <f aca="false">IF(G6709&lt;=INDEX(Assumptions!$B$15:$B$18,MATCH(E6709,Assumptions!$A$15:$A$18,0)),"Yes","No")</f>
        <v>Yes</v>
      </c>
      <c r="O6709" s="31" t="str">
        <f aca="false">IF(H6709="","Open",IF(H6709&lt;=INDEX(Assumptions!$C$15:$C$18,MATCH(E6709,Assumptions!$A$15:$A$18,0)),"Yes","No"))</f>
        <v>Open</v>
      </c>
    </row>
    <row r="6710" customFormat="false" ht="15" hidden="false" customHeight="false" outlineLevel="0" collapsed="false">
      <c r="A6710" s="31" t="s">
        <v>6860</v>
      </c>
      <c r="B6710" s="44" t="n">
        <v>46293</v>
      </c>
      <c r="C6710" s="31" t="s">
        <v>58</v>
      </c>
      <c r="D6710" s="31" t="s">
        <v>69</v>
      </c>
      <c r="E6710" s="31" t="s">
        <v>51</v>
      </c>
      <c r="F6710" s="31" t="s">
        <v>134</v>
      </c>
      <c r="G6710" s="31" t="n">
        <v>8</v>
      </c>
      <c r="H6710" s="41" t="n">
        <v>237.1</v>
      </c>
      <c r="I6710" s="31" t="s">
        <v>149</v>
      </c>
      <c r="J6710" s="31"/>
      <c r="K6710" s="31" t="s">
        <v>150</v>
      </c>
      <c r="L6710" s="45" t="n">
        <f aca="false">DATE(YEAR(B6710),MONTH(B6710),1)</f>
        <v>46266</v>
      </c>
      <c r="M6710" s="31" t="n">
        <f aca="false">WEEKDAY(B6710,2)</f>
        <v>1</v>
      </c>
      <c r="N6710" s="31" t="str">
        <f aca="false">IF(G6710&lt;=INDEX(Assumptions!$B$15:$B$18,MATCH(E6710,Assumptions!$A$15:$A$18,0)),"Yes","No")</f>
        <v>Yes</v>
      </c>
      <c r="O6710" s="31" t="str">
        <f aca="false">IF(H6710="","Open",IF(H6710&lt;=INDEX(Assumptions!$C$15:$C$18,MATCH(E6710,Assumptions!$A$15:$A$18,0)),"Yes","No"))</f>
        <v>No</v>
      </c>
    </row>
    <row r="6711" customFormat="false" ht="15" hidden="false" customHeight="false" outlineLevel="0" collapsed="false">
      <c r="A6711" s="31" t="s">
        <v>6861</v>
      </c>
      <c r="B6711" s="44" t="n">
        <v>46293</v>
      </c>
      <c r="C6711" s="31" t="s">
        <v>57</v>
      </c>
      <c r="D6711" s="31" t="s">
        <v>66</v>
      </c>
      <c r="E6711" s="31" t="s">
        <v>51</v>
      </c>
      <c r="F6711" s="31" t="s">
        <v>124</v>
      </c>
      <c r="G6711" s="31" t="n">
        <v>1</v>
      </c>
      <c r="H6711" s="41"/>
      <c r="I6711" s="31" t="s">
        <v>158</v>
      </c>
      <c r="J6711" s="31"/>
      <c r="K6711" s="31" t="s">
        <v>150</v>
      </c>
      <c r="L6711" s="45" t="n">
        <f aca="false">DATE(YEAR(B6711),MONTH(B6711),1)</f>
        <v>46266</v>
      </c>
      <c r="M6711" s="31" t="n">
        <f aca="false">WEEKDAY(B6711,2)</f>
        <v>1</v>
      </c>
      <c r="N6711" s="31" t="str">
        <f aca="false">IF(G6711&lt;=INDEX(Assumptions!$B$15:$B$18,MATCH(E6711,Assumptions!$A$15:$A$18,0)),"Yes","No")</f>
        <v>Yes</v>
      </c>
      <c r="O6711" s="31" t="str">
        <f aca="false">IF(H6711="","Open",IF(H6711&lt;=INDEX(Assumptions!$C$15:$C$18,MATCH(E6711,Assumptions!$A$15:$A$18,0)),"Yes","No"))</f>
        <v>Open</v>
      </c>
    </row>
    <row r="6712" customFormat="false" ht="15" hidden="false" customHeight="false" outlineLevel="0" collapsed="false">
      <c r="A6712" s="31" t="s">
        <v>6862</v>
      </c>
      <c r="B6712" s="44" t="n">
        <v>46293</v>
      </c>
      <c r="C6712" s="31" t="s">
        <v>59</v>
      </c>
      <c r="D6712" s="31" t="s">
        <v>66</v>
      </c>
      <c r="E6712" s="31" t="s">
        <v>51</v>
      </c>
      <c r="F6712" s="31" t="s">
        <v>121</v>
      </c>
      <c r="G6712" s="31" t="n">
        <v>160</v>
      </c>
      <c r="H6712" s="41" t="n">
        <v>8.2</v>
      </c>
      <c r="I6712" s="31" t="s">
        <v>149</v>
      </c>
      <c r="J6712" s="31"/>
      <c r="K6712" s="31" t="s">
        <v>150</v>
      </c>
      <c r="L6712" s="45" t="n">
        <f aca="false">DATE(YEAR(B6712),MONTH(B6712),1)</f>
        <v>46266</v>
      </c>
      <c r="M6712" s="31" t="n">
        <f aca="false">WEEKDAY(B6712,2)</f>
        <v>1</v>
      </c>
      <c r="N6712" s="31" t="str">
        <f aca="false">IF(G6712&lt;=INDEX(Assumptions!$B$15:$B$18,MATCH(E6712,Assumptions!$A$15:$A$18,0)),"Yes","No")</f>
        <v>No</v>
      </c>
      <c r="O6712" s="31" t="str">
        <f aca="false">IF(H6712="","Open",IF(H6712&lt;=INDEX(Assumptions!$C$15:$C$18,MATCH(E6712,Assumptions!$A$15:$A$18,0)),"Yes","No"))</f>
        <v>Yes</v>
      </c>
    </row>
    <row r="6713" customFormat="false" ht="15" hidden="false" customHeight="false" outlineLevel="0" collapsed="false">
      <c r="A6713" s="31" t="s">
        <v>6863</v>
      </c>
      <c r="B6713" s="44" t="n">
        <v>46293</v>
      </c>
      <c r="C6713" s="31" t="s">
        <v>59</v>
      </c>
      <c r="D6713" s="31" t="s">
        <v>65</v>
      </c>
      <c r="E6713" s="31" t="s">
        <v>51</v>
      </c>
      <c r="F6713" s="31" t="s">
        <v>120</v>
      </c>
      <c r="G6713" s="31" t="n">
        <v>73</v>
      </c>
      <c r="H6713" s="41"/>
      <c r="I6713" s="31" t="s">
        <v>158</v>
      </c>
      <c r="J6713" s="31"/>
      <c r="K6713" s="31" t="s">
        <v>150</v>
      </c>
      <c r="L6713" s="45" t="n">
        <f aca="false">DATE(YEAR(B6713),MONTH(B6713),1)</f>
        <v>46266</v>
      </c>
      <c r="M6713" s="31" t="n">
        <f aca="false">WEEKDAY(B6713,2)</f>
        <v>1</v>
      </c>
      <c r="N6713" s="31" t="str">
        <f aca="false">IF(G6713&lt;=INDEX(Assumptions!$B$15:$B$18,MATCH(E6713,Assumptions!$A$15:$A$18,0)),"Yes","No")</f>
        <v>No</v>
      </c>
      <c r="O6713" s="31" t="str">
        <f aca="false">IF(H6713="","Open",IF(H6713&lt;=INDEX(Assumptions!$C$15:$C$18,MATCH(E6713,Assumptions!$A$15:$A$18,0)),"Yes","No"))</f>
        <v>Open</v>
      </c>
    </row>
    <row r="6714" customFormat="false" ht="15" hidden="false" customHeight="false" outlineLevel="0" collapsed="false">
      <c r="A6714" s="31" t="s">
        <v>6864</v>
      </c>
      <c r="B6714" s="44" t="n">
        <v>46293</v>
      </c>
      <c r="C6714" s="31" t="s">
        <v>58</v>
      </c>
      <c r="D6714" s="31" t="s">
        <v>68</v>
      </c>
      <c r="E6714" s="31" t="s">
        <v>52</v>
      </c>
      <c r="F6714" s="31" t="s">
        <v>131</v>
      </c>
      <c r="G6714" s="31" t="n">
        <v>32</v>
      </c>
      <c r="H6714" s="41"/>
      <c r="I6714" s="31" t="s">
        <v>158</v>
      </c>
      <c r="J6714" s="31"/>
      <c r="K6714" s="31" t="s">
        <v>150</v>
      </c>
      <c r="L6714" s="45" t="n">
        <f aca="false">DATE(YEAR(B6714),MONTH(B6714),1)</f>
        <v>46266</v>
      </c>
      <c r="M6714" s="31" t="n">
        <f aca="false">WEEKDAY(B6714,2)</f>
        <v>1</v>
      </c>
      <c r="N6714" s="31" t="str">
        <f aca="false">IF(G6714&lt;=INDEX(Assumptions!$B$15:$B$18,MATCH(E6714,Assumptions!$A$15:$A$18,0)),"Yes","No")</f>
        <v>Yes</v>
      </c>
      <c r="O6714" s="31" t="str">
        <f aca="false">IF(H6714="","Open",IF(H6714&lt;=INDEX(Assumptions!$C$15:$C$18,MATCH(E6714,Assumptions!$A$15:$A$18,0)),"Yes","No"))</f>
        <v>Open</v>
      </c>
    </row>
    <row r="6715" customFormat="false" ht="15" hidden="false" customHeight="false" outlineLevel="0" collapsed="false">
      <c r="A6715" s="31" t="s">
        <v>6865</v>
      </c>
      <c r="B6715" s="44" t="n">
        <v>46293</v>
      </c>
      <c r="C6715" s="31" t="s">
        <v>59</v>
      </c>
      <c r="D6715" s="31" t="s">
        <v>68</v>
      </c>
      <c r="E6715" s="31" t="s">
        <v>49</v>
      </c>
      <c r="F6715" s="31" t="s">
        <v>117</v>
      </c>
      <c r="G6715" s="31" t="n">
        <v>29</v>
      </c>
      <c r="H6715" s="41"/>
      <c r="I6715" s="31" t="s">
        <v>158</v>
      </c>
      <c r="J6715" s="31"/>
      <c r="K6715" s="31" t="s">
        <v>150</v>
      </c>
      <c r="L6715" s="45" t="n">
        <f aca="false">DATE(YEAR(B6715),MONTH(B6715),1)</f>
        <v>46266</v>
      </c>
      <c r="M6715" s="31" t="n">
        <f aca="false">WEEKDAY(B6715,2)</f>
        <v>1</v>
      </c>
      <c r="N6715" s="31" t="str">
        <f aca="false">IF(G6715&lt;=INDEX(Assumptions!$B$15:$B$18,MATCH(E6715,Assumptions!$A$15:$A$18,0)),"Yes","No")</f>
        <v>No</v>
      </c>
      <c r="O6715" s="31" t="str">
        <f aca="false">IF(H6715="","Open",IF(H6715&lt;=INDEX(Assumptions!$C$15:$C$18,MATCH(E6715,Assumptions!$A$15:$A$18,0)),"Yes","No"))</f>
        <v>Open</v>
      </c>
    </row>
    <row r="6716" customFormat="false" ht="15" hidden="false" customHeight="false" outlineLevel="0" collapsed="false">
      <c r="A6716" s="31" t="s">
        <v>6866</v>
      </c>
      <c r="B6716" s="44" t="n">
        <v>46293</v>
      </c>
      <c r="C6716" s="31" t="s">
        <v>57</v>
      </c>
      <c r="D6716" s="31" t="s">
        <v>68</v>
      </c>
      <c r="E6716" s="31" t="s">
        <v>51</v>
      </c>
      <c r="F6716" s="31" t="s">
        <v>128</v>
      </c>
      <c r="G6716" s="31" t="n">
        <v>6</v>
      </c>
      <c r="H6716" s="41"/>
      <c r="I6716" s="31" t="s">
        <v>158</v>
      </c>
      <c r="J6716" s="31"/>
      <c r="K6716" s="31" t="s">
        <v>150</v>
      </c>
      <c r="L6716" s="45" t="n">
        <f aca="false">DATE(YEAR(B6716),MONTH(B6716),1)</f>
        <v>46266</v>
      </c>
      <c r="M6716" s="31" t="n">
        <f aca="false">WEEKDAY(B6716,2)</f>
        <v>1</v>
      </c>
      <c r="N6716" s="31" t="str">
        <f aca="false">IF(G6716&lt;=INDEX(Assumptions!$B$15:$B$18,MATCH(E6716,Assumptions!$A$15:$A$18,0)),"Yes","No")</f>
        <v>Yes</v>
      </c>
      <c r="O6716" s="31" t="str">
        <f aca="false">IF(H6716="","Open",IF(H6716&lt;=INDEX(Assumptions!$C$15:$C$18,MATCH(E6716,Assumptions!$A$15:$A$18,0)),"Yes","No"))</f>
        <v>Open</v>
      </c>
    </row>
    <row r="6717" customFormat="false" ht="15" hidden="false" customHeight="false" outlineLevel="0" collapsed="false">
      <c r="A6717" s="31" t="s">
        <v>6867</v>
      </c>
      <c r="B6717" s="44" t="n">
        <v>46293</v>
      </c>
      <c r="C6717" s="31" t="s">
        <v>57</v>
      </c>
      <c r="D6717" s="31" t="s">
        <v>65</v>
      </c>
      <c r="E6717" s="31" t="s">
        <v>51</v>
      </c>
      <c r="F6717" s="31" t="s">
        <v>135</v>
      </c>
      <c r="G6717" s="31" t="n">
        <v>2</v>
      </c>
      <c r="H6717" s="41"/>
      <c r="I6717" s="31" t="s">
        <v>158</v>
      </c>
      <c r="J6717" s="31"/>
      <c r="K6717" s="31" t="s">
        <v>150</v>
      </c>
      <c r="L6717" s="45" t="n">
        <f aca="false">DATE(YEAR(B6717),MONTH(B6717),1)</f>
        <v>46266</v>
      </c>
      <c r="M6717" s="31" t="n">
        <f aca="false">WEEKDAY(B6717,2)</f>
        <v>1</v>
      </c>
      <c r="N6717" s="31" t="str">
        <f aca="false">IF(G6717&lt;=INDEX(Assumptions!$B$15:$B$18,MATCH(E6717,Assumptions!$A$15:$A$18,0)),"Yes","No")</f>
        <v>Yes</v>
      </c>
      <c r="O6717" s="31" t="str">
        <f aca="false">IF(H6717="","Open",IF(H6717&lt;=INDEX(Assumptions!$C$15:$C$18,MATCH(E6717,Assumptions!$A$15:$A$18,0)),"Yes","No"))</f>
        <v>Open</v>
      </c>
    </row>
    <row r="6718" customFormat="false" ht="15" hidden="false" customHeight="false" outlineLevel="0" collapsed="false">
      <c r="A6718" s="31" t="s">
        <v>6868</v>
      </c>
      <c r="B6718" s="44" t="n">
        <v>46293</v>
      </c>
      <c r="C6718" s="31" t="s">
        <v>60</v>
      </c>
      <c r="D6718" s="31" t="s">
        <v>67</v>
      </c>
      <c r="E6718" s="31" t="s">
        <v>50</v>
      </c>
      <c r="F6718" s="31" t="s">
        <v>137</v>
      </c>
      <c r="G6718" s="31" t="n">
        <v>1</v>
      </c>
      <c r="H6718" s="41"/>
      <c r="I6718" s="31" t="s">
        <v>158</v>
      </c>
      <c r="J6718" s="31"/>
      <c r="K6718" s="31" t="s">
        <v>150</v>
      </c>
      <c r="L6718" s="45" t="n">
        <f aca="false">DATE(YEAR(B6718),MONTH(B6718),1)</f>
        <v>46266</v>
      </c>
      <c r="M6718" s="31" t="n">
        <f aca="false">WEEKDAY(B6718,2)</f>
        <v>1</v>
      </c>
      <c r="N6718" s="31" t="str">
        <f aca="false">IF(G6718&lt;=INDEX(Assumptions!$B$15:$B$18,MATCH(E6718,Assumptions!$A$15:$A$18,0)),"Yes","No")</f>
        <v>Yes</v>
      </c>
      <c r="O6718" s="31" t="str">
        <f aca="false">IF(H6718="","Open",IF(H6718&lt;=INDEX(Assumptions!$C$15:$C$18,MATCH(E6718,Assumptions!$A$15:$A$18,0)),"Yes","No"))</f>
        <v>Open</v>
      </c>
    </row>
    <row r="6719" customFormat="false" ht="15" hidden="false" customHeight="false" outlineLevel="0" collapsed="false">
      <c r="A6719" s="31" t="s">
        <v>6869</v>
      </c>
      <c r="B6719" s="44" t="n">
        <v>46293</v>
      </c>
      <c r="C6719" s="31" t="s">
        <v>58</v>
      </c>
      <c r="D6719" s="31" t="s">
        <v>66</v>
      </c>
      <c r="E6719" s="31" t="s">
        <v>51</v>
      </c>
      <c r="F6719" s="31" t="s">
        <v>117</v>
      </c>
      <c r="G6719" s="31" t="n">
        <v>11</v>
      </c>
      <c r="H6719" s="41"/>
      <c r="I6719" s="31" t="s">
        <v>158</v>
      </c>
      <c r="J6719" s="31"/>
      <c r="K6719" s="31" t="s">
        <v>150</v>
      </c>
      <c r="L6719" s="45" t="n">
        <f aca="false">DATE(YEAR(B6719),MONTH(B6719),1)</f>
        <v>46266</v>
      </c>
      <c r="M6719" s="31" t="n">
        <f aca="false">WEEKDAY(B6719,2)</f>
        <v>1</v>
      </c>
      <c r="N6719" s="31" t="str">
        <f aca="false">IF(G6719&lt;=INDEX(Assumptions!$B$15:$B$18,MATCH(E6719,Assumptions!$A$15:$A$18,0)),"Yes","No")</f>
        <v>Yes</v>
      </c>
      <c r="O6719" s="31" t="str">
        <f aca="false">IF(H6719="","Open",IF(H6719&lt;=INDEX(Assumptions!$C$15:$C$18,MATCH(E6719,Assumptions!$A$15:$A$18,0)),"Yes","No"))</f>
        <v>Open</v>
      </c>
    </row>
    <row r="6720" customFormat="false" ht="15" hidden="false" customHeight="false" outlineLevel="0" collapsed="false">
      <c r="A6720" s="31" t="s">
        <v>6870</v>
      </c>
      <c r="B6720" s="44" t="n">
        <v>46293</v>
      </c>
      <c r="C6720" s="31" t="s">
        <v>59</v>
      </c>
      <c r="D6720" s="31" t="s">
        <v>65</v>
      </c>
      <c r="E6720" s="31" t="s">
        <v>50</v>
      </c>
      <c r="F6720" s="31" t="s">
        <v>121</v>
      </c>
      <c r="G6720" s="31" t="n">
        <v>51</v>
      </c>
      <c r="H6720" s="41"/>
      <c r="I6720" s="31" t="s">
        <v>158</v>
      </c>
      <c r="J6720" s="31"/>
      <c r="K6720" s="31" t="s">
        <v>150</v>
      </c>
      <c r="L6720" s="45" t="n">
        <f aca="false">DATE(YEAR(B6720),MONTH(B6720),1)</f>
        <v>46266</v>
      </c>
      <c r="M6720" s="31" t="n">
        <f aca="false">WEEKDAY(B6720,2)</f>
        <v>1</v>
      </c>
      <c r="N6720" s="31" t="str">
        <f aca="false">IF(G6720&lt;=INDEX(Assumptions!$B$15:$B$18,MATCH(E6720,Assumptions!$A$15:$A$18,0)),"Yes","No")</f>
        <v>No</v>
      </c>
      <c r="O6720" s="31" t="str">
        <f aca="false">IF(H6720="","Open",IF(H6720&lt;=INDEX(Assumptions!$C$15:$C$18,MATCH(E6720,Assumptions!$A$15:$A$18,0)),"Yes","No"))</f>
        <v>Open</v>
      </c>
    </row>
    <row r="6721" customFormat="false" ht="15" hidden="false" customHeight="false" outlineLevel="0" collapsed="false">
      <c r="A6721" s="31" t="s">
        <v>6871</v>
      </c>
      <c r="B6721" s="44" t="n">
        <v>46293</v>
      </c>
      <c r="C6721" s="31" t="s">
        <v>58</v>
      </c>
      <c r="D6721" s="31" t="s">
        <v>65</v>
      </c>
      <c r="E6721" s="31" t="s">
        <v>51</v>
      </c>
      <c r="F6721" s="31" t="s">
        <v>135</v>
      </c>
      <c r="G6721" s="31" t="n">
        <v>14</v>
      </c>
      <c r="H6721" s="41"/>
      <c r="I6721" s="31" t="s">
        <v>158</v>
      </c>
      <c r="J6721" s="31"/>
      <c r="K6721" s="31" t="s">
        <v>150</v>
      </c>
      <c r="L6721" s="45" t="n">
        <f aca="false">DATE(YEAR(B6721),MONTH(B6721),1)</f>
        <v>46266</v>
      </c>
      <c r="M6721" s="31" t="n">
        <f aca="false">WEEKDAY(B6721,2)</f>
        <v>1</v>
      </c>
      <c r="N6721" s="31" t="str">
        <f aca="false">IF(G6721&lt;=INDEX(Assumptions!$B$15:$B$18,MATCH(E6721,Assumptions!$A$15:$A$18,0)),"Yes","No")</f>
        <v>Yes</v>
      </c>
      <c r="O6721" s="31" t="str">
        <f aca="false">IF(H6721="","Open",IF(H6721&lt;=INDEX(Assumptions!$C$15:$C$18,MATCH(E6721,Assumptions!$A$15:$A$18,0)),"Yes","No"))</f>
        <v>Open</v>
      </c>
    </row>
    <row r="6722" customFormat="false" ht="15" hidden="false" customHeight="false" outlineLevel="0" collapsed="false">
      <c r="A6722" s="31" t="s">
        <v>6872</v>
      </c>
      <c r="B6722" s="44" t="n">
        <v>46293</v>
      </c>
      <c r="C6722" s="31" t="s">
        <v>57</v>
      </c>
      <c r="D6722" s="31" t="s">
        <v>69</v>
      </c>
      <c r="E6722" s="31" t="s">
        <v>50</v>
      </c>
      <c r="F6722" s="31" t="s">
        <v>137</v>
      </c>
      <c r="G6722" s="31" t="n">
        <v>5</v>
      </c>
      <c r="H6722" s="41"/>
      <c r="I6722" s="31" t="s">
        <v>158</v>
      </c>
      <c r="J6722" s="31"/>
      <c r="K6722" s="31" t="s">
        <v>150</v>
      </c>
      <c r="L6722" s="45" t="n">
        <f aca="false">DATE(YEAR(B6722),MONTH(B6722),1)</f>
        <v>46266</v>
      </c>
      <c r="M6722" s="31" t="n">
        <f aca="false">WEEKDAY(B6722,2)</f>
        <v>1</v>
      </c>
      <c r="N6722" s="31" t="str">
        <f aca="false">IF(G6722&lt;=INDEX(Assumptions!$B$15:$B$18,MATCH(E6722,Assumptions!$A$15:$A$18,0)),"Yes","No")</f>
        <v>Yes</v>
      </c>
      <c r="O6722" s="31" t="str">
        <f aca="false">IF(H6722="","Open",IF(H6722&lt;=INDEX(Assumptions!$C$15:$C$18,MATCH(E6722,Assumptions!$A$15:$A$18,0)),"Yes","No"))</f>
        <v>Open</v>
      </c>
    </row>
    <row r="6723" customFormat="false" ht="15" hidden="false" customHeight="false" outlineLevel="0" collapsed="false">
      <c r="A6723" s="31" t="s">
        <v>6873</v>
      </c>
      <c r="B6723" s="44" t="n">
        <v>46293</v>
      </c>
      <c r="C6723" s="31" t="s">
        <v>60</v>
      </c>
      <c r="D6723" s="31" t="s">
        <v>67</v>
      </c>
      <c r="E6723" s="31" t="s">
        <v>51</v>
      </c>
      <c r="F6723" s="31" t="s">
        <v>133</v>
      </c>
      <c r="G6723" s="31" t="n">
        <v>2</v>
      </c>
      <c r="H6723" s="41"/>
      <c r="I6723" s="31" t="s">
        <v>158</v>
      </c>
      <c r="J6723" s="31"/>
      <c r="K6723" s="31" t="s">
        <v>150</v>
      </c>
      <c r="L6723" s="45" t="n">
        <f aca="false">DATE(YEAR(B6723),MONTH(B6723),1)</f>
        <v>46266</v>
      </c>
      <c r="M6723" s="31" t="n">
        <f aca="false">WEEKDAY(B6723,2)</f>
        <v>1</v>
      </c>
      <c r="N6723" s="31" t="str">
        <f aca="false">IF(G6723&lt;=INDEX(Assumptions!$B$15:$B$18,MATCH(E6723,Assumptions!$A$15:$A$18,0)),"Yes","No")</f>
        <v>Yes</v>
      </c>
      <c r="O6723" s="31" t="str">
        <f aca="false">IF(H6723="","Open",IF(H6723&lt;=INDEX(Assumptions!$C$15:$C$18,MATCH(E6723,Assumptions!$A$15:$A$18,0)),"Yes","No"))</f>
        <v>Open</v>
      </c>
    </row>
    <row r="6724" customFormat="false" ht="15" hidden="false" customHeight="false" outlineLevel="0" collapsed="false">
      <c r="A6724" s="31" t="s">
        <v>6874</v>
      </c>
      <c r="B6724" s="44" t="n">
        <v>46293</v>
      </c>
      <c r="C6724" s="31" t="s">
        <v>57</v>
      </c>
      <c r="D6724" s="31" t="s">
        <v>67</v>
      </c>
      <c r="E6724" s="31" t="s">
        <v>52</v>
      </c>
      <c r="F6724" s="31" t="s">
        <v>128</v>
      </c>
      <c r="G6724" s="31" t="n">
        <v>17</v>
      </c>
      <c r="H6724" s="41"/>
      <c r="I6724" s="31" t="s">
        <v>158</v>
      </c>
      <c r="J6724" s="31"/>
      <c r="K6724" s="31" t="s">
        <v>150</v>
      </c>
      <c r="L6724" s="45" t="n">
        <f aca="false">DATE(YEAR(B6724),MONTH(B6724),1)</f>
        <v>46266</v>
      </c>
      <c r="M6724" s="31" t="n">
        <f aca="false">WEEKDAY(B6724,2)</f>
        <v>1</v>
      </c>
      <c r="N6724" s="31" t="str">
        <f aca="false">IF(G6724&lt;=INDEX(Assumptions!$B$15:$B$18,MATCH(E6724,Assumptions!$A$15:$A$18,0)),"Yes","No")</f>
        <v>Yes</v>
      </c>
      <c r="O6724" s="31" t="str">
        <f aca="false">IF(H6724="","Open",IF(H6724&lt;=INDEX(Assumptions!$C$15:$C$18,MATCH(E6724,Assumptions!$A$15:$A$18,0)),"Yes","No"))</f>
        <v>Open</v>
      </c>
    </row>
    <row r="6725" customFormat="false" ht="15" hidden="false" customHeight="false" outlineLevel="0" collapsed="false">
      <c r="A6725" s="31" t="s">
        <v>6875</v>
      </c>
      <c r="B6725" s="44" t="n">
        <v>46293</v>
      </c>
      <c r="C6725" s="31" t="s">
        <v>57</v>
      </c>
      <c r="D6725" s="31" t="s">
        <v>67</v>
      </c>
      <c r="E6725" s="31" t="s">
        <v>51</v>
      </c>
      <c r="F6725" s="31" t="s">
        <v>120</v>
      </c>
      <c r="G6725" s="31" t="n">
        <v>14</v>
      </c>
      <c r="H6725" s="41"/>
      <c r="I6725" s="31" t="s">
        <v>158</v>
      </c>
      <c r="J6725" s="31"/>
      <c r="K6725" s="31" t="s">
        <v>150</v>
      </c>
      <c r="L6725" s="45" t="n">
        <f aca="false">DATE(YEAR(B6725),MONTH(B6725),1)</f>
        <v>46266</v>
      </c>
      <c r="M6725" s="31" t="n">
        <f aca="false">WEEKDAY(B6725,2)</f>
        <v>1</v>
      </c>
      <c r="N6725" s="31" t="str">
        <f aca="false">IF(G6725&lt;=INDEX(Assumptions!$B$15:$B$18,MATCH(E6725,Assumptions!$A$15:$A$18,0)),"Yes","No")</f>
        <v>Yes</v>
      </c>
      <c r="O6725" s="31" t="str">
        <f aca="false">IF(H6725="","Open",IF(H6725&lt;=INDEX(Assumptions!$C$15:$C$18,MATCH(E6725,Assumptions!$A$15:$A$18,0)),"Yes","No"))</f>
        <v>Open</v>
      </c>
    </row>
    <row r="6726" customFormat="false" ht="15" hidden="false" customHeight="false" outlineLevel="0" collapsed="false">
      <c r="A6726" s="31" t="s">
        <v>6876</v>
      </c>
      <c r="B6726" s="44" t="n">
        <v>46293</v>
      </c>
      <c r="C6726" s="31" t="s">
        <v>57</v>
      </c>
      <c r="D6726" s="31" t="s">
        <v>66</v>
      </c>
      <c r="E6726" s="31" t="s">
        <v>50</v>
      </c>
      <c r="F6726" s="31" t="s">
        <v>129</v>
      </c>
      <c r="G6726" s="31" t="n">
        <v>2</v>
      </c>
      <c r="H6726" s="41"/>
      <c r="I6726" s="31" t="s">
        <v>158</v>
      </c>
      <c r="J6726" s="31"/>
      <c r="K6726" s="31" t="s">
        <v>150</v>
      </c>
      <c r="L6726" s="45" t="n">
        <f aca="false">DATE(YEAR(B6726),MONTH(B6726),1)</f>
        <v>46266</v>
      </c>
      <c r="M6726" s="31" t="n">
        <f aca="false">WEEKDAY(B6726,2)</f>
        <v>1</v>
      </c>
      <c r="N6726" s="31" t="str">
        <f aca="false">IF(G6726&lt;=INDEX(Assumptions!$B$15:$B$18,MATCH(E6726,Assumptions!$A$15:$A$18,0)),"Yes","No")</f>
        <v>Yes</v>
      </c>
      <c r="O6726" s="31" t="str">
        <f aca="false">IF(H6726="","Open",IF(H6726&lt;=INDEX(Assumptions!$C$15:$C$18,MATCH(E6726,Assumptions!$A$15:$A$18,0)),"Yes","No"))</f>
        <v>Open</v>
      </c>
    </row>
    <row r="6727" customFormat="false" ht="15" hidden="false" customHeight="false" outlineLevel="0" collapsed="false">
      <c r="A6727" s="31" t="s">
        <v>6877</v>
      </c>
      <c r="B6727" s="44" t="n">
        <v>46293</v>
      </c>
      <c r="C6727" s="31" t="s">
        <v>58</v>
      </c>
      <c r="D6727" s="31" t="s">
        <v>67</v>
      </c>
      <c r="E6727" s="31" t="s">
        <v>50</v>
      </c>
      <c r="F6727" s="31" t="s">
        <v>135</v>
      </c>
      <c r="G6727" s="31" t="n">
        <v>27</v>
      </c>
      <c r="H6727" s="41"/>
      <c r="I6727" s="31" t="s">
        <v>158</v>
      </c>
      <c r="J6727" s="31"/>
      <c r="K6727" s="31" t="s">
        <v>150</v>
      </c>
      <c r="L6727" s="45" t="n">
        <f aca="false">DATE(YEAR(B6727),MONTH(B6727),1)</f>
        <v>46266</v>
      </c>
      <c r="M6727" s="31" t="n">
        <f aca="false">WEEKDAY(B6727,2)</f>
        <v>1</v>
      </c>
      <c r="N6727" s="31" t="str">
        <f aca="false">IF(G6727&lt;=INDEX(Assumptions!$B$15:$B$18,MATCH(E6727,Assumptions!$A$15:$A$18,0)),"Yes","No")</f>
        <v>Yes</v>
      </c>
      <c r="O6727" s="31" t="str">
        <f aca="false">IF(H6727="","Open",IF(H6727&lt;=INDEX(Assumptions!$C$15:$C$18,MATCH(E6727,Assumptions!$A$15:$A$18,0)),"Yes","No"))</f>
        <v>Open</v>
      </c>
    </row>
    <row r="6728" customFormat="false" ht="15" hidden="false" customHeight="false" outlineLevel="0" collapsed="false">
      <c r="A6728" s="31" t="s">
        <v>6878</v>
      </c>
      <c r="B6728" s="44" t="n">
        <v>46293</v>
      </c>
      <c r="C6728" s="31" t="s">
        <v>59</v>
      </c>
      <c r="D6728" s="31" t="s">
        <v>65</v>
      </c>
      <c r="E6728" s="31" t="s">
        <v>49</v>
      </c>
      <c r="F6728" s="31" t="s">
        <v>131</v>
      </c>
      <c r="G6728" s="31" t="n">
        <v>113</v>
      </c>
      <c r="H6728" s="41"/>
      <c r="I6728" s="31" t="s">
        <v>158</v>
      </c>
      <c r="J6728" s="31"/>
      <c r="K6728" s="31" t="s">
        <v>150</v>
      </c>
      <c r="L6728" s="45" t="n">
        <f aca="false">DATE(YEAR(B6728),MONTH(B6728),1)</f>
        <v>46266</v>
      </c>
      <c r="M6728" s="31" t="n">
        <f aca="false">WEEKDAY(B6728,2)</f>
        <v>1</v>
      </c>
      <c r="N6728" s="31" t="str">
        <f aca="false">IF(G6728&lt;=INDEX(Assumptions!$B$15:$B$18,MATCH(E6728,Assumptions!$A$15:$A$18,0)),"Yes","No")</f>
        <v>No</v>
      </c>
      <c r="O6728" s="31" t="str">
        <f aca="false">IF(H6728="","Open",IF(H6728&lt;=INDEX(Assumptions!$C$15:$C$18,MATCH(E6728,Assumptions!$A$15:$A$18,0)),"Yes","No"))</f>
        <v>Open</v>
      </c>
    </row>
    <row r="6729" customFormat="false" ht="15" hidden="false" customHeight="false" outlineLevel="0" collapsed="false">
      <c r="A6729" s="31" t="s">
        <v>6879</v>
      </c>
      <c r="B6729" s="44" t="n">
        <v>46293</v>
      </c>
      <c r="C6729" s="31" t="s">
        <v>60</v>
      </c>
      <c r="D6729" s="31" t="s">
        <v>65</v>
      </c>
      <c r="E6729" s="31" t="s">
        <v>52</v>
      </c>
      <c r="F6729" s="31" t="s">
        <v>135</v>
      </c>
      <c r="G6729" s="31" t="n">
        <v>4</v>
      </c>
      <c r="H6729" s="41"/>
      <c r="I6729" s="31" t="s">
        <v>158</v>
      </c>
      <c r="J6729" s="31"/>
      <c r="K6729" s="31" t="s">
        <v>150</v>
      </c>
      <c r="L6729" s="45" t="n">
        <f aca="false">DATE(YEAR(B6729),MONTH(B6729),1)</f>
        <v>46266</v>
      </c>
      <c r="M6729" s="31" t="n">
        <f aca="false">WEEKDAY(B6729,2)</f>
        <v>1</v>
      </c>
      <c r="N6729" s="31" t="str">
        <f aca="false">IF(G6729&lt;=INDEX(Assumptions!$B$15:$B$18,MATCH(E6729,Assumptions!$A$15:$A$18,0)),"Yes","No")</f>
        <v>Yes</v>
      </c>
      <c r="O6729" s="31" t="str">
        <f aca="false">IF(H6729="","Open",IF(H6729&lt;=INDEX(Assumptions!$C$15:$C$18,MATCH(E6729,Assumptions!$A$15:$A$18,0)),"Yes","No"))</f>
        <v>Open</v>
      </c>
    </row>
    <row r="6730" customFormat="false" ht="15" hidden="false" customHeight="false" outlineLevel="0" collapsed="false">
      <c r="A6730" s="31" t="s">
        <v>6880</v>
      </c>
      <c r="B6730" s="44" t="n">
        <v>46293</v>
      </c>
      <c r="C6730" s="31" t="s">
        <v>57</v>
      </c>
      <c r="D6730" s="31" t="s">
        <v>65</v>
      </c>
      <c r="E6730" s="31" t="s">
        <v>52</v>
      </c>
      <c r="F6730" s="31" t="s">
        <v>135</v>
      </c>
      <c r="G6730" s="31" t="n">
        <v>4</v>
      </c>
      <c r="H6730" s="41"/>
      <c r="I6730" s="31" t="s">
        <v>158</v>
      </c>
      <c r="J6730" s="31"/>
      <c r="K6730" s="31" t="s">
        <v>150</v>
      </c>
      <c r="L6730" s="45" t="n">
        <f aca="false">DATE(YEAR(B6730),MONTH(B6730),1)</f>
        <v>46266</v>
      </c>
      <c r="M6730" s="31" t="n">
        <f aca="false">WEEKDAY(B6730,2)</f>
        <v>1</v>
      </c>
      <c r="N6730" s="31" t="str">
        <f aca="false">IF(G6730&lt;=INDEX(Assumptions!$B$15:$B$18,MATCH(E6730,Assumptions!$A$15:$A$18,0)),"Yes","No")</f>
        <v>Yes</v>
      </c>
      <c r="O6730" s="31" t="str">
        <f aca="false">IF(H6730="","Open",IF(H6730&lt;=INDEX(Assumptions!$C$15:$C$18,MATCH(E6730,Assumptions!$A$15:$A$18,0)),"Yes","No"))</f>
        <v>Open</v>
      </c>
    </row>
    <row r="6731" customFormat="false" ht="15" hidden="false" customHeight="false" outlineLevel="0" collapsed="false">
      <c r="A6731" s="31" t="s">
        <v>6881</v>
      </c>
      <c r="B6731" s="44" t="n">
        <v>46293</v>
      </c>
      <c r="C6731" s="31" t="s">
        <v>60</v>
      </c>
      <c r="D6731" s="31" t="s">
        <v>68</v>
      </c>
      <c r="E6731" s="31" t="s">
        <v>50</v>
      </c>
      <c r="F6731" s="31" t="s">
        <v>131</v>
      </c>
      <c r="G6731" s="31" t="n">
        <v>1</v>
      </c>
      <c r="H6731" s="41" t="n">
        <v>3.2</v>
      </c>
      <c r="I6731" s="31" t="s">
        <v>149</v>
      </c>
      <c r="J6731" s="31"/>
      <c r="K6731" s="31" t="s">
        <v>150</v>
      </c>
      <c r="L6731" s="45" t="n">
        <f aca="false">DATE(YEAR(B6731),MONTH(B6731),1)</f>
        <v>46266</v>
      </c>
      <c r="M6731" s="31" t="n">
        <f aca="false">WEEKDAY(B6731,2)</f>
        <v>1</v>
      </c>
      <c r="N6731" s="31" t="str">
        <f aca="false">IF(G6731&lt;=INDEX(Assumptions!$B$15:$B$18,MATCH(E6731,Assumptions!$A$15:$A$18,0)),"Yes","No")</f>
        <v>Yes</v>
      </c>
      <c r="O6731" s="31" t="str">
        <f aca="false">IF(H6731="","Open",IF(H6731&lt;=INDEX(Assumptions!$C$15:$C$18,MATCH(E6731,Assumptions!$A$15:$A$18,0)),"Yes","No"))</f>
        <v>Yes</v>
      </c>
    </row>
    <row r="6732" customFormat="false" ht="15" hidden="false" customHeight="false" outlineLevel="0" collapsed="false">
      <c r="A6732" s="31" t="s">
        <v>6882</v>
      </c>
      <c r="B6732" s="44" t="n">
        <v>46293</v>
      </c>
      <c r="C6732" s="31" t="s">
        <v>57</v>
      </c>
      <c r="D6732" s="31" t="s">
        <v>68</v>
      </c>
      <c r="E6732" s="31" t="s">
        <v>50</v>
      </c>
      <c r="F6732" s="31" t="s">
        <v>117</v>
      </c>
      <c r="G6732" s="31" t="n">
        <v>2</v>
      </c>
      <c r="H6732" s="41"/>
      <c r="I6732" s="31" t="s">
        <v>158</v>
      </c>
      <c r="J6732" s="31"/>
      <c r="K6732" s="31" t="s">
        <v>150</v>
      </c>
      <c r="L6732" s="45" t="n">
        <f aca="false">DATE(YEAR(B6732),MONTH(B6732),1)</f>
        <v>46266</v>
      </c>
      <c r="M6732" s="31" t="n">
        <f aca="false">WEEKDAY(B6732,2)</f>
        <v>1</v>
      </c>
      <c r="N6732" s="31" t="str">
        <f aca="false">IF(G6732&lt;=INDEX(Assumptions!$B$15:$B$18,MATCH(E6732,Assumptions!$A$15:$A$18,0)),"Yes","No")</f>
        <v>Yes</v>
      </c>
      <c r="O6732" s="31" t="str">
        <f aca="false">IF(H6732="","Open",IF(H6732&lt;=INDEX(Assumptions!$C$15:$C$18,MATCH(E6732,Assumptions!$A$15:$A$18,0)),"Yes","No"))</f>
        <v>Open</v>
      </c>
    </row>
    <row r="6733" customFormat="false" ht="15" hidden="false" customHeight="false" outlineLevel="0" collapsed="false">
      <c r="A6733" s="31" t="s">
        <v>6883</v>
      </c>
      <c r="B6733" s="44" t="n">
        <v>46293</v>
      </c>
      <c r="C6733" s="31" t="s">
        <v>58</v>
      </c>
      <c r="D6733" s="31" t="s">
        <v>65</v>
      </c>
      <c r="E6733" s="31" t="s">
        <v>51</v>
      </c>
      <c r="F6733" s="31" t="s">
        <v>120</v>
      </c>
      <c r="G6733" s="31" t="n">
        <v>28</v>
      </c>
      <c r="H6733" s="41"/>
      <c r="I6733" s="31" t="s">
        <v>158</v>
      </c>
      <c r="J6733" s="31"/>
      <c r="K6733" s="31" t="s">
        <v>150</v>
      </c>
      <c r="L6733" s="45" t="n">
        <f aca="false">DATE(YEAR(B6733),MONTH(B6733),1)</f>
        <v>46266</v>
      </c>
      <c r="M6733" s="31" t="n">
        <f aca="false">WEEKDAY(B6733,2)</f>
        <v>1</v>
      </c>
      <c r="N6733" s="31" t="str">
        <f aca="false">IF(G6733&lt;=INDEX(Assumptions!$B$15:$B$18,MATCH(E6733,Assumptions!$A$15:$A$18,0)),"Yes","No")</f>
        <v>Yes</v>
      </c>
      <c r="O6733" s="31" t="str">
        <f aca="false">IF(H6733="","Open",IF(H6733&lt;=INDEX(Assumptions!$C$15:$C$18,MATCH(E6733,Assumptions!$A$15:$A$18,0)),"Yes","No"))</f>
        <v>Open</v>
      </c>
    </row>
    <row r="6734" customFormat="false" ht="15" hidden="false" customHeight="false" outlineLevel="0" collapsed="false">
      <c r="A6734" s="31" t="s">
        <v>6884</v>
      </c>
      <c r="B6734" s="44" t="n">
        <v>46293</v>
      </c>
      <c r="C6734" s="31" t="s">
        <v>58</v>
      </c>
      <c r="D6734" s="31" t="s">
        <v>69</v>
      </c>
      <c r="E6734" s="31" t="s">
        <v>51</v>
      </c>
      <c r="F6734" s="31" t="s">
        <v>129</v>
      </c>
      <c r="G6734" s="31" t="n">
        <v>5</v>
      </c>
      <c r="H6734" s="41" t="n">
        <v>3.1</v>
      </c>
      <c r="I6734" s="31" t="s">
        <v>149</v>
      </c>
      <c r="J6734" s="31"/>
      <c r="K6734" s="31" t="s">
        <v>150</v>
      </c>
      <c r="L6734" s="45" t="n">
        <f aca="false">DATE(YEAR(B6734),MONTH(B6734),1)</f>
        <v>46266</v>
      </c>
      <c r="M6734" s="31" t="n">
        <f aca="false">WEEKDAY(B6734,2)</f>
        <v>1</v>
      </c>
      <c r="N6734" s="31" t="str">
        <f aca="false">IF(G6734&lt;=INDEX(Assumptions!$B$15:$B$18,MATCH(E6734,Assumptions!$A$15:$A$18,0)),"Yes","No")</f>
        <v>Yes</v>
      </c>
      <c r="O6734" s="31" t="str">
        <f aca="false">IF(H6734="","Open",IF(H6734&lt;=INDEX(Assumptions!$C$15:$C$18,MATCH(E6734,Assumptions!$A$15:$A$18,0)),"Yes","No"))</f>
        <v>Yes</v>
      </c>
    </row>
    <row r="6735" customFormat="false" ht="15" hidden="false" customHeight="false" outlineLevel="0" collapsed="false">
      <c r="A6735" s="31" t="s">
        <v>6885</v>
      </c>
      <c r="B6735" s="44" t="n">
        <v>46293</v>
      </c>
      <c r="C6735" s="31" t="s">
        <v>58</v>
      </c>
      <c r="D6735" s="31" t="s">
        <v>66</v>
      </c>
      <c r="E6735" s="31" t="s">
        <v>52</v>
      </c>
      <c r="F6735" s="31" t="s">
        <v>130</v>
      </c>
      <c r="G6735" s="31" t="n">
        <v>9</v>
      </c>
      <c r="H6735" s="41"/>
      <c r="I6735" s="31" t="s">
        <v>158</v>
      </c>
      <c r="J6735" s="31"/>
      <c r="K6735" s="31" t="s">
        <v>150</v>
      </c>
      <c r="L6735" s="45" t="n">
        <f aca="false">DATE(YEAR(B6735),MONTH(B6735),1)</f>
        <v>46266</v>
      </c>
      <c r="M6735" s="31" t="n">
        <f aca="false">WEEKDAY(B6735,2)</f>
        <v>1</v>
      </c>
      <c r="N6735" s="31" t="str">
        <f aca="false">IF(G6735&lt;=INDEX(Assumptions!$B$15:$B$18,MATCH(E6735,Assumptions!$A$15:$A$18,0)),"Yes","No")</f>
        <v>Yes</v>
      </c>
      <c r="O6735" s="31" t="str">
        <f aca="false">IF(H6735="","Open",IF(H6735&lt;=INDEX(Assumptions!$C$15:$C$18,MATCH(E6735,Assumptions!$A$15:$A$18,0)),"Yes","No"))</f>
        <v>Open</v>
      </c>
    </row>
    <row r="6736" customFormat="false" ht="15" hidden="false" customHeight="false" outlineLevel="0" collapsed="false">
      <c r="A6736" s="31" t="s">
        <v>6886</v>
      </c>
      <c r="B6736" s="44" t="n">
        <v>46293</v>
      </c>
      <c r="C6736" s="31" t="s">
        <v>57</v>
      </c>
      <c r="D6736" s="31" t="s">
        <v>66</v>
      </c>
      <c r="E6736" s="31" t="s">
        <v>52</v>
      </c>
      <c r="F6736" s="31" t="s">
        <v>128</v>
      </c>
      <c r="G6736" s="31" t="n">
        <v>4</v>
      </c>
      <c r="H6736" s="41"/>
      <c r="I6736" s="31" t="s">
        <v>158</v>
      </c>
      <c r="J6736" s="31"/>
      <c r="K6736" s="31" t="s">
        <v>150</v>
      </c>
      <c r="L6736" s="45" t="n">
        <f aca="false">DATE(YEAR(B6736),MONTH(B6736),1)</f>
        <v>46266</v>
      </c>
      <c r="M6736" s="31" t="n">
        <f aca="false">WEEKDAY(B6736,2)</f>
        <v>1</v>
      </c>
      <c r="N6736" s="31" t="str">
        <f aca="false">IF(G6736&lt;=INDEX(Assumptions!$B$15:$B$18,MATCH(E6736,Assumptions!$A$15:$A$18,0)),"Yes","No")</f>
        <v>Yes</v>
      </c>
      <c r="O6736" s="31" t="str">
        <f aca="false">IF(H6736="","Open",IF(H6736&lt;=INDEX(Assumptions!$C$15:$C$18,MATCH(E6736,Assumptions!$A$15:$A$18,0)),"Yes","No"))</f>
        <v>Open</v>
      </c>
    </row>
    <row r="6737" customFormat="false" ht="15" hidden="false" customHeight="false" outlineLevel="0" collapsed="false">
      <c r="A6737" s="31" t="s">
        <v>6887</v>
      </c>
      <c r="B6737" s="44" t="n">
        <v>46293</v>
      </c>
      <c r="C6737" s="31" t="s">
        <v>58</v>
      </c>
      <c r="D6737" s="31" t="s">
        <v>65</v>
      </c>
      <c r="E6737" s="31" t="s">
        <v>52</v>
      </c>
      <c r="F6737" s="31" t="s">
        <v>131</v>
      </c>
      <c r="G6737" s="31" t="n">
        <v>11</v>
      </c>
      <c r="H6737" s="41" t="n">
        <v>10.9</v>
      </c>
      <c r="I6737" s="31" t="s">
        <v>149</v>
      </c>
      <c r="J6737" s="31"/>
      <c r="K6737" s="31" t="s">
        <v>150</v>
      </c>
      <c r="L6737" s="45" t="n">
        <f aca="false">DATE(YEAR(B6737),MONTH(B6737),1)</f>
        <v>46266</v>
      </c>
      <c r="M6737" s="31" t="n">
        <f aca="false">WEEKDAY(B6737,2)</f>
        <v>1</v>
      </c>
      <c r="N6737" s="31" t="str">
        <f aca="false">IF(G6737&lt;=INDEX(Assumptions!$B$15:$B$18,MATCH(E6737,Assumptions!$A$15:$A$18,0)),"Yes","No")</f>
        <v>Yes</v>
      </c>
      <c r="O6737" s="31" t="str">
        <f aca="false">IF(H6737="","Open",IF(H6737&lt;=INDEX(Assumptions!$C$15:$C$18,MATCH(E6737,Assumptions!$A$15:$A$18,0)),"Yes","No"))</f>
        <v>Yes</v>
      </c>
    </row>
    <row r="6738" customFormat="false" ht="15" hidden="false" customHeight="false" outlineLevel="0" collapsed="false">
      <c r="A6738" s="31" t="s">
        <v>6888</v>
      </c>
      <c r="B6738" s="44" t="n">
        <v>46293</v>
      </c>
      <c r="C6738" s="31" t="s">
        <v>57</v>
      </c>
      <c r="D6738" s="31" t="s">
        <v>67</v>
      </c>
      <c r="E6738" s="31" t="s">
        <v>52</v>
      </c>
      <c r="F6738" s="31" t="s">
        <v>129</v>
      </c>
      <c r="G6738" s="31" t="n">
        <v>1</v>
      </c>
      <c r="H6738" s="41"/>
      <c r="I6738" s="31" t="s">
        <v>158</v>
      </c>
      <c r="J6738" s="31"/>
      <c r="K6738" s="31" t="s">
        <v>150</v>
      </c>
      <c r="L6738" s="45" t="n">
        <f aca="false">DATE(YEAR(B6738),MONTH(B6738),1)</f>
        <v>46266</v>
      </c>
      <c r="M6738" s="31" t="n">
        <f aca="false">WEEKDAY(B6738,2)</f>
        <v>1</v>
      </c>
      <c r="N6738" s="31" t="str">
        <f aca="false">IF(G6738&lt;=INDEX(Assumptions!$B$15:$B$18,MATCH(E6738,Assumptions!$A$15:$A$18,0)),"Yes","No")</f>
        <v>Yes</v>
      </c>
      <c r="O6738" s="31" t="str">
        <f aca="false">IF(H6738="","Open",IF(H6738&lt;=INDEX(Assumptions!$C$15:$C$18,MATCH(E6738,Assumptions!$A$15:$A$18,0)),"Yes","No"))</f>
        <v>Open</v>
      </c>
    </row>
    <row r="6739" customFormat="false" ht="15" hidden="false" customHeight="false" outlineLevel="0" collapsed="false">
      <c r="A6739" s="31" t="s">
        <v>6889</v>
      </c>
      <c r="B6739" s="44" t="n">
        <v>46293</v>
      </c>
      <c r="C6739" s="31" t="s">
        <v>60</v>
      </c>
      <c r="D6739" s="31" t="s">
        <v>67</v>
      </c>
      <c r="E6739" s="31" t="s">
        <v>51</v>
      </c>
      <c r="F6739" s="31" t="s">
        <v>129</v>
      </c>
      <c r="G6739" s="31" t="n">
        <v>2</v>
      </c>
      <c r="H6739" s="41" t="n">
        <v>40.8</v>
      </c>
      <c r="I6739" s="31" t="s">
        <v>64</v>
      </c>
      <c r="J6739" s="31" t="n">
        <v>4</v>
      </c>
      <c r="K6739" s="31" t="s">
        <v>150</v>
      </c>
      <c r="L6739" s="45" t="n">
        <f aca="false">DATE(YEAR(B6739),MONTH(B6739),1)</f>
        <v>46266</v>
      </c>
      <c r="M6739" s="31" t="n">
        <f aca="false">WEEKDAY(B6739,2)</f>
        <v>1</v>
      </c>
      <c r="N6739" s="31" t="str">
        <f aca="false">IF(G6739&lt;=INDEX(Assumptions!$B$15:$B$18,MATCH(E6739,Assumptions!$A$15:$A$18,0)),"Yes","No")</f>
        <v>Yes</v>
      </c>
      <c r="O6739" s="31" t="str">
        <f aca="false">IF(H6739="","Open",IF(H6739&lt;=INDEX(Assumptions!$C$15:$C$18,MATCH(E6739,Assumptions!$A$15:$A$18,0)),"Yes","No"))</f>
        <v>No</v>
      </c>
    </row>
    <row r="6740" customFormat="false" ht="15" hidden="false" customHeight="false" outlineLevel="0" collapsed="false">
      <c r="A6740" s="31" t="s">
        <v>6890</v>
      </c>
      <c r="B6740" s="44" t="n">
        <v>46293</v>
      </c>
      <c r="C6740" s="31" t="s">
        <v>58</v>
      </c>
      <c r="D6740" s="31" t="s">
        <v>66</v>
      </c>
      <c r="E6740" s="31" t="s">
        <v>49</v>
      </c>
      <c r="F6740" s="31" t="s">
        <v>120</v>
      </c>
      <c r="G6740" s="31" t="n">
        <v>17</v>
      </c>
      <c r="H6740" s="41"/>
      <c r="I6740" s="31" t="s">
        <v>158</v>
      </c>
      <c r="J6740" s="31"/>
      <c r="K6740" s="31" t="s">
        <v>150</v>
      </c>
      <c r="L6740" s="45" t="n">
        <f aca="false">DATE(YEAR(B6740),MONTH(B6740),1)</f>
        <v>46266</v>
      </c>
      <c r="M6740" s="31" t="n">
        <f aca="false">WEEKDAY(B6740,2)</f>
        <v>1</v>
      </c>
      <c r="N6740" s="31" t="str">
        <f aca="false">IF(G6740&lt;=INDEX(Assumptions!$B$15:$B$18,MATCH(E6740,Assumptions!$A$15:$A$18,0)),"Yes","No")</f>
        <v>No</v>
      </c>
      <c r="O6740" s="31" t="str">
        <f aca="false">IF(H6740="","Open",IF(H6740&lt;=INDEX(Assumptions!$C$15:$C$18,MATCH(E6740,Assumptions!$A$15:$A$18,0)),"Yes","No"))</f>
        <v>Open</v>
      </c>
    </row>
    <row r="6741" customFormat="false" ht="15" hidden="false" customHeight="false" outlineLevel="0" collapsed="false">
      <c r="A6741" s="31" t="s">
        <v>6891</v>
      </c>
      <c r="B6741" s="44" t="n">
        <v>46293</v>
      </c>
      <c r="C6741" s="31" t="s">
        <v>57</v>
      </c>
      <c r="D6741" s="31" t="s">
        <v>65</v>
      </c>
      <c r="E6741" s="31" t="s">
        <v>52</v>
      </c>
      <c r="F6741" s="31" t="s">
        <v>135</v>
      </c>
      <c r="G6741" s="31" t="n">
        <v>4</v>
      </c>
      <c r="H6741" s="41"/>
      <c r="I6741" s="31" t="s">
        <v>158</v>
      </c>
      <c r="J6741" s="31"/>
      <c r="K6741" s="31" t="s">
        <v>150</v>
      </c>
      <c r="L6741" s="45" t="n">
        <f aca="false">DATE(YEAR(B6741),MONTH(B6741),1)</f>
        <v>46266</v>
      </c>
      <c r="M6741" s="31" t="n">
        <f aca="false">WEEKDAY(B6741,2)</f>
        <v>1</v>
      </c>
      <c r="N6741" s="31" t="str">
        <f aca="false">IF(G6741&lt;=INDEX(Assumptions!$B$15:$B$18,MATCH(E6741,Assumptions!$A$15:$A$18,0)),"Yes","No")</f>
        <v>Yes</v>
      </c>
      <c r="O6741" s="31" t="str">
        <f aca="false">IF(H6741="","Open",IF(H6741&lt;=INDEX(Assumptions!$C$15:$C$18,MATCH(E6741,Assumptions!$A$15:$A$18,0)),"Yes","No"))</f>
        <v>Open</v>
      </c>
    </row>
    <row r="6742" customFormat="false" ht="15" hidden="false" customHeight="false" outlineLevel="0" collapsed="false">
      <c r="A6742" s="31" t="s">
        <v>6892</v>
      </c>
      <c r="B6742" s="44" t="n">
        <v>46293</v>
      </c>
      <c r="C6742" s="31" t="s">
        <v>58</v>
      </c>
      <c r="D6742" s="31" t="s">
        <v>67</v>
      </c>
      <c r="E6742" s="31" t="s">
        <v>50</v>
      </c>
      <c r="F6742" s="31" t="s">
        <v>117</v>
      </c>
      <c r="G6742" s="31" t="n">
        <v>7</v>
      </c>
      <c r="H6742" s="41" t="n">
        <v>1.4</v>
      </c>
      <c r="I6742" s="31" t="s">
        <v>149</v>
      </c>
      <c r="J6742" s="31" t="n">
        <v>5</v>
      </c>
      <c r="K6742" s="31" t="s">
        <v>150</v>
      </c>
      <c r="L6742" s="45" t="n">
        <f aca="false">DATE(YEAR(B6742),MONTH(B6742),1)</f>
        <v>46266</v>
      </c>
      <c r="M6742" s="31" t="n">
        <f aca="false">WEEKDAY(B6742,2)</f>
        <v>1</v>
      </c>
      <c r="N6742" s="31" t="str">
        <f aca="false">IF(G6742&lt;=INDEX(Assumptions!$B$15:$B$18,MATCH(E6742,Assumptions!$A$15:$A$18,0)),"Yes","No")</f>
        <v>Yes</v>
      </c>
      <c r="O6742" s="31" t="str">
        <f aca="false">IF(H6742="","Open",IF(H6742&lt;=INDEX(Assumptions!$C$15:$C$18,MATCH(E6742,Assumptions!$A$15:$A$18,0)),"Yes","No"))</f>
        <v>Yes</v>
      </c>
    </row>
    <row r="6743" customFormat="false" ht="15" hidden="false" customHeight="false" outlineLevel="0" collapsed="false">
      <c r="A6743" s="31" t="s">
        <v>6893</v>
      </c>
      <c r="B6743" s="44" t="n">
        <v>46293</v>
      </c>
      <c r="C6743" s="31" t="s">
        <v>57</v>
      </c>
      <c r="D6743" s="31" t="s">
        <v>65</v>
      </c>
      <c r="E6743" s="31" t="s">
        <v>51</v>
      </c>
      <c r="F6743" s="31" t="s">
        <v>129</v>
      </c>
      <c r="G6743" s="31" t="n">
        <v>2</v>
      </c>
      <c r="H6743" s="41" t="n">
        <v>6.8</v>
      </c>
      <c r="I6743" s="31" t="s">
        <v>149</v>
      </c>
      <c r="J6743" s="31"/>
      <c r="K6743" s="31" t="s">
        <v>150</v>
      </c>
      <c r="L6743" s="45" t="n">
        <f aca="false">DATE(YEAR(B6743),MONTH(B6743),1)</f>
        <v>46266</v>
      </c>
      <c r="M6743" s="31" t="n">
        <f aca="false">WEEKDAY(B6743,2)</f>
        <v>1</v>
      </c>
      <c r="N6743" s="31" t="str">
        <f aca="false">IF(G6743&lt;=INDEX(Assumptions!$B$15:$B$18,MATCH(E6743,Assumptions!$A$15:$A$18,0)),"Yes","No")</f>
        <v>Yes</v>
      </c>
      <c r="O6743" s="31" t="str">
        <f aca="false">IF(H6743="","Open",IF(H6743&lt;=INDEX(Assumptions!$C$15:$C$18,MATCH(E6743,Assumptions!$A$15:$A$18,0)),"Yes","No"))</f>
        <v>Yes</v>
      </c>
    </row>
    <row r="6744" customFormat="false" ht="15" hidden="false" customHeight="false" outlineLevel="0" collapsed="false">
      <c r="A6744" s="31" t="s">
        <v>6894</v>
      </c>
      <c r="B6744" s="44" t="n">
        <v>46293</v>
      </c>
      <c r="C6744" s="31" t="s">
        <v>59</v>
      </c>
      <c r="D6744" s="31" t="s">
        <v>66</v>
      </c>
      <c r="E6744" s="31" t="s">
        <v>51</v>
      </c>
      <c r="F6744" s="31" t="s">
        <v>127</v>
      </c>
      <c r="G6744" s="31" t="n">
        <v>35</v>
      </c>
      <c r="H6744" s="41" t="n">
        <v>5.1</v>
      </c>
      <c r="I6744" s="31" t="s">
        <v>149</v>
      </c>
      <c r="J6744" s="31" t="n">
        <v>4</v>
      </c>
      <c r="K6744" s="31" t="s">
        <v>150</v>
      </c>
      <c r="L6744" s="45" t="n">
        <f aca="false">DATE(YEAR(B6744),MONTH(B6744),1)</f>
        <v>46266</v>
      </c>
      <c r="M6744" s="31" t="n">
        <f aca="false">WEEKDAY(B6744,2)</f>
        <v>1</v>
      </c>
      <c r="N6744" s="31" t="str">
        <f aca="false">IF(G6744&lt;=INDEX(Assumptions!$B$15:$B$18,MATCH(E6744,Assumptions!$A$15:$A$18,0)),"Yes","No")</f>
        <v>Yes</v>
      </c>
      <c r="O6744" s="31" t="str">
        <f aca="false">IF(H6744="","Open",IF(H6744&lt;=INDEX(Assumptions!$C$15:$C$18,MATCH(E6744,Assumptions!$A$15:$A$18,0)),"Yes","No"))</f>
        <v>Yes</v>
      </c>
    </row>
    <row r="6745" customFormat="false" ht="15" hidden="false" customHeight="false" outlineLevel="0" collapsed="false">
      <c r="A6745" s="31" t="s">
        <v>6895</v>
      </c>
      <c r="B6745" s="44" t="n">
        <v>46293</v>
      </c>
      <c r="C6745" s="31" t="s">
        <v>58</v>
      </c>
      <c r="D6745" s="31" t="s">
        <v>65</v>
      </c>
      <c r="E6745" s="31" t="s">
        <v>51</v>
      </c>
      <c r="F6745" s="31" t="s">
        <v>117</v>
      </c>
      <c r="G6745" s="31" t="n">
        <v>10</v>
      </c>
      <c r="H6745" s="41"/>
      <c r="I6745" s="31" t="s">
        <v>158</v>
      </c>
      <c r="J6745" s="31"/>
      <c r="K6745" s="31" t="s">
        <v>150</v>
      </c>
      <c r="L6745" s="45" t="n">
        <f aca="false">DATE(YEAR(B6745),MONTH(B6745),1)</f>
        <v>46266</v>
      </c>
      <c r="M6745" s="31" t="n">
        <f aca="false">WEEKDAY(B6745,2)</f>
        <v>1</v>
      </c>
      <c r="N6745" s="31" t="str">
        <f aca="false">IF(G6745&lt;=INDEX(Assumptions!$B$15:$B$18,MATCH(E6745,Assumptions!$A$15:$A$18,0)),"Yes","No")</f>
        <v>Yes</v>
      </c>
      <c r="O6745" s="31" t="str">
        <f aca="false">IF(H6745="","Open",IF(H6745&lt;=INDEX(Assumptions!$C$15:$C$18,MATCH(E6745,Assumptions!$A$15:$A$18,0)),"Yes","No"))</f>
        <v>Open</v>
      </c>
    </row>
    <row r="6746" customFormat="false" ht="15" hidden="false" customHeight="false" outlineLevel="0" collapsed="false">
      <c r="A6746" s="31" t="s">
        <v>6896</v>
      </c>
      <c r="B6746" s="44" t="n">
        <v>46293</v>
      </c>
      <c r="C6746" s="31" t="s">
        <v>57</v>
      </c>
      <c r="D6746" s="31" t="s">
        <v>66</v>
      </c>
      <c r="E6746" s="31" t="s">
        <v>51</v>
      </c>
      <c r="F6746" s="31" t="s">
        <v>122</v>
      </c>
      <c r="G6746" s="31" t="n">
        <v>4</v>
      </c>
      <c r="H6746" s="41"/>
      <c r="I6746" s="31" t="s">
        <v>158</v>
      </c>
      <c r="J6746" s="31"/>
      <c r="K6746" s="31" t="s">
        <v>150</v>
      </c>
      <c r="L6746" s="45" t="n">
        <f aca="false">DATE(YEAR(B6746),MONTH(B6746),1)</f>
        <v>46266</v>
      </c>
      <c r="M6746" s="31" t="n">
        <f aca="false">WEEKDAY(B6746,2)</f>
        <v>1</v>
      </c>
      <c r="N6746" s="31" t="str">
        <f aca="false">IF(G6746&lt;=INDEX(Assumptions!$B$15:$B$18,MATCH(E6746,Assumptions!$A$15:$A$18,0)),"Yes","No")</f>
        <v>Yes</v>
      </c>
      <c r="O6746" s="31" t="str">
        <f aca="false">IF(H6746="","Open",IF(H6746&lt;=INDEX(Assumptions!$C$15:$C$18,MATCH(E6746,Assumptions!$A$15:$A$18,0)),"Yes","No"))</f>
        <v>Open</v>
      </c>
    </row>
    <row r="6747" customFormat="false" ht="15" hidden="false" customHeight="false" outlineLevel="0" collapsed="false">
      <c r="A6747" s="31" t="s">
        <v>6897</v>
      </c>
      <c r="B6747" s="44" t="n">
        <v>46293</v>
      </c>
      <c r="C6747" s="31" t="s">
        <v>58</v>
      </c>
      <c r="D6747" s="31" t="s">
        <v>68</v>
      </c>
      <c r="E6747" s="31" t="s">
        <v>51</v>
      </c>
      <c r="F6747" s="31" t="s">
        <v>126</v>
      </c>
      <c r="G6747" s="31" t="n">
        <v>10</v>
      </c>
      <c r="H6747" s="41"/>
      <c r="I6747" s="31" t="s">
        <v>158</v>
      </c>
      <c r="J6747" s="31"/>
      <c r="K6747" s="31" t="s">
        <v>150</v>
      </c>
      <c r="L6747" s="45" t="n">
        <f aca="false">DATE(YEAR(B6747),MONTH(B6747),1)</f>
        <v>46266</v>
      </c>
      <c r="M6747" s="31" t="n">
        <f aca="false">WEEKDAY(B6747,2)</f>
        <v>1</v>
      </c>
      <c r="N6747" s="31" t="str">
        <f aca="false">IF(G6747&lt;=INDEX(Assumptions!$B$15:$B$18,MATCH(E6747,Assumptions!$A$15:$A$18,0)),"Yes","No")</f>
        <v>Yes</v>
      </c>
      <c r="O6747" s="31" t="str">
        <f aca="false">IF(H6747="","Open",IF(H6747&lt;=INDEX(Assumptions!$C$15:$C$18,MATCH(E6747,Assumptions!$A$15:$A$18,0)),"Yes","No"))</f>
        <v>Open</v>
      </c>
    </row>
    <row r="6748" customFormat="false" ht="15" hidden="false" customHeight="false" outlineLevel="0" collapsed="false">
      <c r="A6748" s="31" t="s">
        <v>6898</v>
      </c>
      <c r="B6748" s="44" t="n">
        <v>46293</v>
      </c>
      <c r="C6748" s="31" t="s">
        <v>59</v>
      </c>
      <c r="D6748" s="31" t="s">
        <v>69</v>
      </c>
      <c r="E6748" s="31" t="s">
        <v>50</v>
      </c>
      <c r="F6748" s="31" t="s">
        <v>119</v>
      </c>
      <c r="G6748" s="31" t="n">
        <v>49</v>
      </c>
      <c r="H6748" s="41" t="n">
        <v>40.8</v>
      </c>
      <c r="I6748" s="31" t="s">
        <v>149</v>
      </c>
      <c r="J6748" s="31"/>
      <c r="K6748" s="31" t="s">
        <v>150</v>
      </c>
      <c r="L6748" s="45" t="n">
        <f aca="false">DATE(YEAR(B6748),MONTH(B6748),1)</f>
        <v>46266</v>
      </c>
      <c r="M6748" s="31" t="n">
        <f aca="false">WEEKDAY(B6748,2)</f>
        <v>1</v>
      </c>
      <c r="N6748" s="31" t="str">
        <f aca="false">IF(G6748&lt;=INDEX(Assumptions!$B$15:$B$18,MATCH(E6748,Assumptions!$A$15:$A$18,0)),"Yes","No")</f>
        <v>No</v>
      </c>
      <c r="O6748" s="31" t="str">
        <f aca="false">IF(H6748="","Open",IF(H6748&lt;=INDEX(Assumptions!$C$15:$C$18,MATCH(E6748,Assumptions!$A$15:$A$18,0)),"Yes","No"))</f>
        <v>No</v>
      </c>
    </row>
    <row r="6749" customFormat="false" ht="15" hidden="false" customHeight="false" outlineLevel="0" collapsed="false">
      <c r="A6749" s="31" t="s">
        <v>6899</v>
      </c>
      <c r="B6749" s="44" t="n">
        <v>46293</v>
      </c>
      <c r="C6749" s="31" t="s">
        <v>59</v>
      </c>
      <c r="D6749" s="31" t="s">
        <v>65</v>
      </c>
      <c r="E6749" s="31" t="s">
        <v>51</v>
      </c>
      <c r="F6749" s="31" t="s">
        <v>120</v>
      </c>
      <c r="G6749" s="31" t="n">
        <v>186</v>
      </c>
      <c r="H6749" s="41"/>
      <c r="I6749" s="31" t="s">
        <v>158</v>
      </c>
      <c r="J6749" s="31"/>
      <c r="K6749" s="31" t="s">
        <v>150</v>
      </c>
      <c r="L6749" s="45" t="n">
        <f aca="false">DATE(YEAR(B6749),MONTH(B6749),1)</f>
        <v>46266</v>
      </c>
      <c r="M6749" s="31" t="n">
        <f aca="false">WEEKDAY(B6749,2)</f>
        <v>1</v>
      </c>
      <c r="N6749" s="31" t="str">
        <f aca="false">IF(G6749&lt;=INDEX(Assumptions!$B$15:$B$18,MATCH(E6749,Assumptions!$A$15:$A$18,0)),"Yes","No")</f>
        <v>No</v>
      </c>
      <c r="O6749" s="31" t="str">
        <f aca="false">IF(H6749="","Open",IF(H6749&lt;=INDEX(Assumptions!$C$15:$C$18,MATCH(E6749,Assumptions!$A$15:$A$18,0)),"Yes","No"))</f>
        <v>Open</v>
      </c>
    </row>
    <row r="6750" customFormat="false" ht="15" hidden="false" customHeight="false" outlineLevel="0" collapsed="false">
      <c r="A6750" s="31" t="s">
        <v>6900</v>
      </c>
      <c r="B6750" s="44" t="n">
        <v>46293</v>
      </c>
      <c r="C6750" s="31" t="s">
        <v>59</v>
      </c>
      <c r="D6750" s="31" t="s">
        <v>67</v>
      </c>
      <c r="E6750" s="31" t="s">
        <v>50</v>
      </c>
      <c r="F6750" s="31" t="s">
        <v>129</v>
      </c>
      <c r="G6750" s="31" t="n">
        <v>4</v>
      </c>
      <c r="H6750" s="41"/>
      <c r="I6750" s="31" t="s">
        <v>158</v>
      </c>
      <c r="J6750" s="31"/>
      <c r="K6750" s="31" t="s">
        <v>150</v>
      </c>
      <c r="L6750" s="45" t="n">
        <f aca="false">DATE(YEAR(B6750),MONTH(B6750),1)</f>
        <v>46266</v>
      </c>
      <c r="M6750" s="31" t="n">
        <f aca="false">WEEKDAY(B6750,2)</f>
        <v>1</v>
      </c>
      <c r="N6750" s="31" t="str">
        <f aca="false">IF(G6750&lt;=INDEX(Assumptions!$B$15:$B$18,MATCH(E6750,Assumptions!$A$15:$A$18,0)),"Yes","No")</f>
        <v>Yes</v>
      </c>
      <c r="O6750" s="31" t="str">
        <f aca="false">IF(H6750="","Open",IF(H6750&lt;=INDEX(Assumptions!$C$15:$C$18,MATCH(E6750,Assumptions!$A$15:$A$18,0)),"Yes","No"))</f>
        <v>Open</v>
      </c>
    </row>
    <row r="6751" customFormat="false" ht="15" hidden="false" customHeight="false" outlineLevel="0" collapsed="false">
      <c r="A6751" s="31" t="s">
        <v>6901</v>
      </c>
      <c r="B6751" s="44" t="n">
        <v>46293</v>
      </c>
      <c r="C6751" s="31" t="s">
        <v>60</v>
      </c>
      <c r="D6751" s="31" t="s">
        <v>65</v>
      </c>
      <c r="E6751" s="31" t="s">
        <v>52</v>
      </c>
      <c r="F6751" s="31" t="s">
        <v>127</v>
      </c>
      <c r="G6751" s="31" t="n">
        <v>4</v>
      </c>
      <c r="H6751" s="41" t="n">
        <v>31.5</v>
      </c>
      <c r="I6751" s="31" t="s">
        <v>149</v>
      </c>
      <c r="J6751" s="31"/>
      <c r="K6751" s="31" t="s">
        <v>150</v>
      </c>
      <c r="L6751" s="45" t="n">
        <f aca="false">DATE(YEAR(B6751),MONTH(B6751),1)</f>
        <v>46266</v>
      </c>
      <c r="M6751" s="31" t="n">
        <f aca="false">WEEKDAY(B6751,2)</f>
        <v>1</v>
      </c>
      <c r="N6751" s="31" t="str">
        <f aca="false">IF(G6751&lt;=INDEX(Assumptions!$B$15:$B$18,MATCH(E6751,Assumptions!$A$15:$A$18,0)),"Yes","No")</f>
        <v>Yes</v>
      </c>
      <c r="O6751" s="31" t="str">
        <f aca="false">IF(H6751="","Open",IF(H6751&lt;=INDEX(Assumptions!$C$15:$C$18,MATCH(E6751,Assumptions!$A$15:$A$18,0)),"Yes","No"))</f>
        <v>Yes</v>
      </c>
    </row>
    <row r="6752" customFormat="false" ht="15" hidden="false" customHeight="false" outlineLevel="0" collapsed="false">
      <c r="A6752" s="31" t="s">
        <v>6902</v>
      </c>
      <c r="B6752" s="44" t="n">
        <v>46293</v>
      </c>
      <c r="C6752" s="31" t="s">
        <v>57</v>
      </c>
      <c r="D6752" s="31" t="s">
        <v>65</v>
      </c>
      <c r="E6752" s="31" t="s">
        <v>50</v>
      </c>
      <c r="F6752" s="31" t="s">
        <v>126</v>
      </c>
      <c r="G6752" s="31" t="n">
        <v>2</v>
      </c>
      <c r="H6752" s="41"/>
      <c r="I6752" s="31" t="s">
        <v>158</v>
      </c>
      <c r="J6752" s="31"/>
      <c r="K6752" s="31" t="s">
        <v>150</v>
      </c>
      <c r="L6752" s="45" t="n">
        <f aca="false">DATE(YEAR(B6752),MONTH(B6752),1)</f>
        <v>46266</v>
      </c>
      <c r="M6752" s="31" t="n">
        <f aca="false">WEEKDAY(B6752,2)</f>
        <v>1</v>
      </c>
      <c r="N6752" s="31" t="str">
        <f aca="false">IF(G6752&lt;=INDEX(Assumptions!$B$15:$B$18,MATCH(E6752,Assumptions!$A$15:$A$18,0)),"Yes","No")</f>
        <v>Yes</v>
      </c>
      <c r="O6752" s="31" t="str">
        <f aca="false">IF(H6752="","Open",IF(H6752&lt;=INDEX(Assumptions!$C$15:$C$18,MATCH(E6752,Assumptions!$A$15:$A$18,0)),"Yes","No"))</f>
        <v>Open</v>
      </c>
    </row>
    <row r="6753" customFormat="false" ht="15" hidden="false" customHeight="false" outlineLevel="0" collapsed="false">
      <c r="A6753" s="31" t="s">
        <v>6903</v>
      </c>
      <c r="B6753" s="44" t="n">
        <v>46293</v>
      </c>
      <c r="C6753" s="31" t="s">
        <v>58</v>
      </c>
      <c r="D6753" s="31" t="s">
        <v>65</v>
      </c>
      <c r="E6753" s="31" t="s">
        <v>52</v>
      </c>
      <c r="F6753" s="31" t="s">
        <v>123</v>
      </c>
      <c r="G6753" s="31" t="n">
        <v>9</v>
      </c>
      <c r="H6753" s="41"/>
      <c r="I6753" s="31" t="s">
        <v>158</v>
      </c>
      <c r="J6753" s="31"/>
      <c r="K6753" s="31" t="s">
        <v>150</v>
      </c>
      <c r="L6753" s="45" t="n">
        <f aca="false">DATE(YEAR(B6753),MONTH(B6753),1)</f>
        <v>46266</v>
      </c>
      <c r="M6753" s="31" t="n">
        <f aca="false">WEEKDAY(B6753,2)</f>
        <v>1</v>
      </c>
      <c r="N6753" s="31" t="str">
        <f aca="false">IF(G6753&lt;=INDEX(Assumptions!$B$15:$B$18,MATCH(E6753,Assumptions!$A$15:$A$18,0)),"Yes","No")</f>
        <v>Yes</v>
      </c>
      <c r="O6753" s="31" t="str">
        <f aca="false">IF(H6753="","Open",IF(H6753&lt;=INDEX(Assumptions!$C$15:$C$18,MATCH(E6753,Assumptions!$A$15:$A$18,0)),"Yes","No"))</f>
        <v>Open</v>
      </c>
    </row>
    <row r="6754" customFormat="false" ht="15" hidden="false" customHeight="false" outlineLevel="0" collapsed="false">
      <c r="A6754" s="31" t="s">
        <v>6904</v>
      </c>
      <c r="B6754" s="44" t="n">
        <v>46293</v>
      </c>
      <c r="C6754" s="31" t="s">
        <v>60</v>
      </c>
      <c r="D6754" s="31" t="s">
        <v>65</v>
      </c>
      <c r="E6754" s="31" t="s">
        <v>51</v>
      </c>
      <c r="F6754" s="31" t="s">
        <v>128</v>
      </c>
      <c r="G6754" s="31" t="n">
        <v>4</v>
      </c>
      <c r="H6754" s="41" t="n">
        <v>9.2</v>
      </c>
      <c r="I6754" s="31" t="s">
        <v>149</v>
      </c>
      <c r="J6754" s="31" t="n">
        <v>3</v>
      </c>
      <c r="K6754" s="31" t="s">
        <v>150</v>
      </c>
      <c r="L6754" s="45" t="n">
        <f aca="false">DATE(YEAR(B6754),MONTH(B6754),1)</f>
        <v>46266</v>
      </c>
      <c r="M6754" s="31" t="n">
        <f aca="false">WEEKDAY(B6754,2)</f>
        <v>1</v>
      </c>
      <c r="N6754" s="31" t="str">
        <f aca="false">IF(G6754&lt;=INDEX(Assumptions!$B$15:$B$18,MATCH(E6754,Assumptions!$A$15:$A$18,0)),"Yes","No")</f>
        <v>Yes</v>
      </c>
      <c r="O6754" s="31" t="str">
        <f aca="false">IF(H6754="","Open",IF(H6754&lt;=INDEX(Assumptions!$C$15:$C$18,MATCH(E6754,Assumptions!$A$15:$A$18,0)),"Yes","No"))</f>
        <v>Yes</v>
      </c>
    </row>
    <row r="6755" customFormat="false" ht="15" hidden="false" customHeight="false" outlineLevel="0" collapsed="false">
      <c r="A6755" s="31" t="s">
        <v>6905</v>
      </c>
      <c r="B6755" s="44" t="n">
        <v>46293</v>
      </c>
      <c r="C6755" s="31" t="s">
        <v>57</v>
      </c>
      <c r="D6755" s="31" t="s">
        <v>69</v>
      </c>
      <c r="E6755" s="31" t="s">
        <v>52</v>
      </c>
      <c r="F6755" s="31" t="s">
        <v>137</v>
      </c>
      <c r="G6755" s="31" t="n">
        <v>7</v>
      </c>
      <c r="H6755" s="41"/>
      <c r="I6755" s="31" t="s">
        <v>158</v>
      </c>
      <c r="J6755" s="31"/>
      <c r="K6755" s="31" t="s">
        <v>150</v>
      </c>
      <c r="L6755" s="45" t="n">
        <f aca="false">DATE(YEAR(B6755),MONTH(B6755),1)</f>
        <v>46266</v>
      </c>
      <c r="M6755" s="31" t="n">
        <f aca="false">WEEKDAY(B6755,2)</f>
        <v>1</v>
      </c>
      <c r="N6755" s="31" t="str">
        <f aca="false">IF(G6755&lt;=INDEX(Assumptions!$B$15:$B$18,MATCH(E6755,Assumptions!$A$15:$A$18,0)),"Yes","No")</f>
        <v>Yes</v>
      </c>
      <c r="O6755" s="31" t="str">
        <f aca="false">IF(H6755="","Open",IF(H6755&lt;=INDEX(Assumptions!$C$15:$C$18,MATCH(E6755,Assumptions!$A$15:$A$18,0)),"Yes","No"))</f>
        <v>Open</v>
      </c>
    </row>
    <row r="6756" customFormat="false" ht="15" hidden="false" customHeight="false" outlineLevel="0" collapsed="false">
      <c r="A6756" s="31" t="s">
        <v>6906</v>
      </c>
      <c r="B6756" s="44" t="n">
        <v>46293</v>
      </c>
      <c r="C6756" s="31" t="s">
        <v>60</v>
      </c>
      <c r="D6756" s="31" t="s">
        <v>65</v>
      </c>
      <c r="E6756" s="31" t="s">
        <v>52</v>
      </c>
      <c r="F6756" s="31" t="s">
        <v>117</v>
      </c>
      <c r="G6756" s="31" t="n">
        <v>3</v>
      </c>
      <c r="H6756" s="41"/>
      <c r="I6756" s="31" t="s">
        <v>158</v>
      </c>
      <c r="J6756" s="31"/>
      <c r="K6756" s="31" t="s">
        <v>150</v>
      </c>
      <c r="L6756" s="45" t="n">
        <f aca="false">DATE(YEAR(B6756),MONTH(B6756),1)</f>
        <v>46266</v>
      </c>
      <c r="M6756" s="31" t="n">
        <f aca="false">WEEKDAY(B6756,2)</f>
        <v>1</v>
      </c>
      <c r="N6756" s="31" t="str">
        <f aca="false">IF(G6756&lt;=INDEX(Assumptions!$B$15:$B$18,MATCH(E6756,Assumptions!$A$15:$A$18,0)),"Yes","No")</f>
        <v>Yes</v>
      </c>
      <c r="O6756" s="31" t="str">
        <f aca="false">IF(H6756="","Open",IF(H6756&lt;=INDEX(Assumptions!$C$15:$C$18,MATCH(E6756,Assumptions!$A$15:$A$18,0)),"Yes","No"))</f>
        <v>Open</v>
      </c>
    </row>
    <row r="6757" customFormat="false" ht="15" hidden="false" customHeight="false" outlineLevel="0" collapsed="false">
      <c r="A6757" s="31" t="s">
        <v>6907</v>
      </c>
      <c r="B6757" s="44" t="n">
        <v>46293</v>
      </c>
      <c r="C6757" s="31" t="s">
        <v>57</v>
      </c>
      <c r="D6757" s="31" t="s">
        <v>65</v>
      </c>
      <c r="E6757" s="31" t="s">
        <v>50</v>
      </c>
      <c r="F6757" s="31" t="s">
        <v>130</v>
      </c>
      <c r="G6757" s="31" t="n">
        <v>1</v>
      </c>
      <c r="H6757" s="41"/>
      <c r="I6757" s="31" t="s">
        <v>158</v>
      </c>
      <c r="J6757" s="31"/>
      <c r="K6757" s="31" t="s">
        <v>150</v>
      </c>
      <c r="L6757" s="45" t="n">
        <f aca="false">DATE(YEAR(B6757),MONTH(B6757),1)</f>
        <v>46266</v>
      </c>
      <c r="M6757" s="31" t="n">
        <f aca="false">WEEKDAY(B6757,2)</f>
        <v>1</v>
      </c>
      <c r="N6757" s="31" t="str">
        <f aca="false">IF(G6757&lt;=INDEX(Assumptions!$B$15:$B$18,MATCH(E6757,Assumptions!$A$15:$A$18,0)),"Yes","No")</f>
        <v>Yes</v>
      </c>
      <c r="O6757" s="31" t="str">
        <f aca="false">IF(H6757="","Open",IF(H6757&lt;=INDEX(Assumptions!$C$15:$C$18,MATCH(E6757,Assumptions!$A$15:$A$18,0)),"Yes","No"))</f>
        <v>Open</v>
      </c>
    </row>
    <row r="6758" customFormat="false" ht="15" hidden="false" customHeight="false" outlineLevel="0" collapsed="false">
      <c r="A6758" s="31" t="s">
        <v>6908</v>
      </c>
      <c r="B6758" s="44" t="n">
        <v>46293</v>
      </c>
      <c r="C6758" s="31" t="s">
        <v>58</v>
      </c>
      <c r="D6758" s="31" t="s">
        <v>66</v>
      </c>
      <c r="E6758" s="31" t="s">
        <v>51</v>
      </c>
      <c r="F6758" s="31" t="s">
        <v>135</v>
      </c>
      <c r="G6758" s="31" t="n">
        <v>9</v>
      </c>
      <c r="H6758" s="41" t="n">
        <v>9.3</v>
      </c>
      <c r="I6758" s="31" t="s">
        <v>149</v>
      </c>
      <c r="J6758" s="31"/>
      <c r="K6758" s="31" t="s">
        <v>150</v>
      </c>
      <c r="L6758" s="45" t="n">
        <f aca="false">DATE(YEAR(B6758),MONTH(B6758),1)</f>
        <v>46266</v>
      </c>
      <c r="M6758" s="31" t="n">
        <f aca="false">WEEKDAY(B6758,2)</f>
        <v>1</v>
      </c>
      <c r="N6758" s="31" t="str">
        <f aca="false">IF(G6758&lt;=INDEX(Assumptions!$B$15:$B$18,MATCH(E6758,Assumptions!$A$15:$A$18,0)),"Yes","No")</f>
        <v>Yes</v>
      </c>
      <c r="O6758" s="31" t="str">
        <f aca="false">IF(H6758="","Open",IF(H6758&lt;=INDEX(Assumptions!$C$15:$C$18,MATCH(E6758,Assumptions!$A$15:$A$18,0)),"Yes","No"))</f>
        <v>Yes</v>
      </c>
    </row>
    <row r="6759" customFormat="false" ht="15" hidden="false" customHeight="false" outlineLevel="0" collapsed="false">
      <c r="A6759" s="31" t="s">
        <v>6909</v>
      </c>
      <c r="B6759" s="44" t="n">
        <v>46293</v>
      </c>
      <c r="C6759" s="31" t="s">
        <v>58</v>
      </c>
      <c r="D6759" s="31" t="s">
        <v>67</v>
      </c>
      <c r="E6759" s="31" t="s">
        <v>52</v>
      </c>
      <c r="F6759" s="31" t="s">
        <v>121</v>
      </c>
      <c r="G6759" s="31" t="n">
        <v>82</v>
      </c>
      <c r="H6759" s="41"/>
      <c r="I6759" s="31" t="s">
        <v>158</v>
      </c>
      <c r="J6759" s="31"/>
      <c r="K6759" s="31" t="s">
        <v>150</v>
      </c>
      <c r="L6759" s="45" t="n">
        <f aca="false">DATE(YEAR(B6759),MONTH(B6759),1)</f>
        <v>46266</v>
      </c>
      <c r="M6759" s="31" t="n">
        <f aca="false">WEEKDAY(B6759,2)</f>
        <v>1</v>
      </c>
      <c r="N6759" s="31" t="str">
        <f aca="false">IF(G6759&lt;=INDEX(Assumptions!$B$15:$B$18,MATCH(E6759,Assumptions!$A$15:$A$18,0)),"Yes","No")</f>
        <v>Yes</v>
      </c>
      <c r="O6759" s="31" t="str">
        <f aca="false">IF(H6759="","Open",IF(H6759&lt;=INDEX(Assumptions!$C$15:$C$18,MATCH(E6759,Assumptions!$A$15:$A$18,0)),"Yes","No"))</f>
        <v>Open</v>
      </c>
    </row>
    <row r="6760" customFormat="false" ht="15" hidden="false" customHeight="false" outlineLevel="0" collapsed="false">
      <c r="A6760" s="31" t="s">
        <v>6910</v>
      </c>
      <c r="B6760" s="44" t="n">
        <v>46293</v>
      </c>
      <c r="C6760" s="31" t="s">
        <v>60</v>
      </c>
      <c r="D6760" s="31" t="s">
        <v>65</v>
      </c>
      <c r="E6760" s="31" t="s">
        <v>49</v>
      </c>
      <c r="F6760" s="31" t="s">
        <v>128</v>
      </c>
      <c r="G6760" s="31" t="n">
        <v>1</v>
      </c>
      <c r="H6760" s="41"/>
      <c r="I6760" s="31" t="s">
        <v>158</v>
      </c>
      <c r="J6760" s="31"/>
      <c r="K6760" s="31" t="s">
        <v>150</v>
      </c>
      <c r="L6760" s="45" t="n">
        <f aca="false">DATE(YEAR(B6760),MONTH(B6760),1)</f>
        <v>46266</v>
      </c>
      <c r="M6760" s="31" t="n">
        <f aca="false">WEEKDAY(B6760,2)</f>
        <v>1</v>
      </c>
      <c r="N6760" s="31" t="str">
        <f aca="false">IF(G6760&lt;=INDEX(Assumptions!$B$15:$B$18,MATCH(E6760,Assumptions!$A$15:$A$18,0)),"Yes","No")</f>
        <v>Yes</v>
      </c>
      <c r="O6760" s="31" t="str">
        <f aca="false">IF(H6760="","Open",IF(H6760&lt;=INDEX(Assumptions!$C$15:$C$18,MATCH(E6760,Assumptions!$A$15:$A$18,0)),"Yes","No"))</f>
        <v>Open</v>
      </c>
    </row>
    <row r="6761" customFormat="false" ht="15" hidden="false" customHeight="false" outlineLevel="0" collapsed="false">
      <c r="A6761" s="31" t="s">
        <v>6911</v>
      </c>
      <c r="B6761" s="44" t="n">
        <v>46293</v>
      </c>
      <c r="C6761" s="31" t="s">
        <v>58</v>
      </c>
      <c r="D6761" s="31" t="s">
        <v>65</v>
      </c>
      <c r="E6761" s="31" t="s">
        <v>50</v>
      </c>
      <c r="F6761" s="31" t="s">
        <v>137</v>
      </c>
      <c r="G6761" s="31" t="n">
        <v>5</v>
      </c>
      <c r="H6761" s="41"/>
      <c r="I6761" s="31" t="s">
        <v>158</v>
      </c>
      <c r="J6761" s="31"/>
      <c r="K6761" s="31" t="s">
        <v>150</v>
      </c>
      <c r="L6761" s="45" t="n">
        <f aca="false">DATE(YEAR(B6761),MONTH(B6761),1)</f>
        <v>46266</v>
      </c>
      <c r="M6761" s="31" t="n">
        <f aca="false">WEEKDAY(B6761,2)</f>
        <v>1</v>
      </c>
      <c r="N6761" s="31" t="str">
        <f aca="false">IF(G6761&lt;=INDEX(Assumptions!$B$15:$B$18,MATCH(E6761,Assumptions!$A$15:$A$18,0)),"Yes","No")</f>
        <v>Yes</v>
      </c>
      <c r="O6761" s="31" t="str">
        <f aca="false">IF(H6761="","Open",IF(H6761&lt;=INDEX(Assumptions!$C$15:$C$18,MATCH(E6761,Assumptions!$A$15:$A$18,0)),"Yes","No"))</f>
        <v>Open</v>
      </c>
    </row>
    <row r="6762" customFormat="false" ht="15" hidden="false" customHeight="false" outlineLevel="0" collapsed="false">
      <c r="A6762" s="31" t="s">
        <v>6912</v>
      </c>
      <c r="B6762" s="44" t="n">
        <v>46293</v>
      </c>
      <c r="C6762" s="31" t="s">
        <v>60</v>
      </c>
      <c r="D6762" s="31" t="s">
        <v>68</v>
      </c>
      <c r="E6762" s="31" t="s">
        <v>51</v>
      </c>
      <c r="F6762" s="31" t="s">
        <v>135</v>
      </c>
      <c r="G6762" s="31" t="n">
        <v>3</v>
      </c>
      <c r="H6762" s="41" t="n">
        <v>6.6</v>
      </c>
      <c r="I6762" s="31" t="s">
        <v>149</v>
      </c>
      <c r="J6762" s="31" t="n">
        <v>5</v>
      </c>
      <c r="K6762" s="31" t="s">
        <v>150</v>
      </c>
      <c r="L6762" s="45" t="n">
        <f aca="false">DATE(YEAR(B6762),MONTH(B6762),1)</f>
        <v>46266</v>
      </c>
      <c r="M6762" s="31" t="n">
        <f aca="false">WEEKDAY(B6762,2)</f>
        <v>1</v>
      </c>
      <c r="N6762" s="31" t="str">
        <f aca="false">IF(G6762&lt;=INDEX(Assumptions!$B$15:$B$18,MATCH(E6762,Assumptions!$A$15:$A$18,0)),"Yes","No")</f>
        <v>Yes</v>
      </c>
      <c r="O6762" s="31" t="str">
        <f aca="false">IF(H6762="","Open",IF(H6762&lt;=INDEX(Assumptions!$C$15:$C$18,MATCH(E6762,Assumptions!$A$15:$A$18,0)),"Yes","No"))</f>
        <v>Yes</v>
      </c>
    </row>
    <row r="6763" customFormat="false" ht="15" hidden="false" customHeight="false" outlineLevel="0" collapsed="false">
      <c r="A6763" s="31" t="s">
        <v>6913</v>
      </c>
      <c r="B6763" s="44" t="n">
        <v>46293</v>
      </c>
      <c r="C6763" s="31" t="s">
        <v>57</v>
      </c>
      <c r="D6763" s="31" t="s">
        <v>68</v>
      </c>
      <c r="E6763" s="31" t="s">
        <v>51</v>
      </c>
      <c r="F6763" s="31" t="s">
        <v>137</v>
      </c>
      <c r="G6763" s="31" t="n">
        <v>4</v>
      </c>
      <c r="H6763" s="41"/>
      <c r="I6763" s="31" t="s">
        <v>158</v>
      </c>
      <c r="J6763" s="31"/>
      <c r="K6763" s="31" t="s">
        <v>150</v>
      </c>
      <c r="L6763" s="45" t="n">
        <f aca="false">DATE(YEAR(B6763),MONTH(B6763),1)</f>
        <v>46266</v>
      </c>
      <c r="M6763" s="31" t="n">
        <f aca="false">WEEKDAY(B6763,2)</f>
        <v>1</v>
      </c>
      <c r="N6763" s="31" t="str">
        <f aca="false">IF(G6763&lt;=INDEX(Assumptions!$B$15:$B$18,MATCH(E6763,Assumptions!$A$15:$A$18,0)),"Yes","No")</f>
        <v>Yes</v>
      </c>
      <c r="O6763" s="31" t="str">
        <f aca="false">IF(H6763="","Open",IF(H6763&lt;=INDEX(Assumptions!$C$15:$C$18,MATCH(E6763,Assumptions!$A$15:$A$18,0)),"Yes","No"))</f>
        <v>Open</v>
      </c>
    </row>
    <row r="6764" customFormat="false" ht="15" hidden="false" customHeight="false" outlineLevel="0" collapsed="false">
      <c r="A6764" s="31" t="s">
        <v>6914</v>
      </c>
      <c r="B6764" s="44" t="n">
        <v>46294</v>
      </c>
      <c r="C6764" s="31" t="s">
        <v>59</v>
      </c>
      <c r="D6764" s="31" t="s">
        <v>65</v>
      </c>
      <c r="E6764" s="31" t="s">
        <v>52</v>
      </c>
      <c r="F6764" s="31" t="s">
        <v>131</v>
      </c>
      <c r="G6764" s="31" t="n">
        <v>36</v>
      </c>
      <c r="H6764" s="41"/>
      <c r="I6764" s="31" t="s">
        <v>158</v>
      </c>
      <c r="J6764" s="31"/>
      <c r="K6764" s="31" t="s">
        <v>150</v>
      </c>
      <c r="L6764" s="45" t="n">
        <f aca="false">DATE(YEAR(B6764),MONTH(B6764),1)</f>
        <v>46266</v>
      </c>
      <c r="M6764" s="31" t="n">
        <f aca="false">WEEKDAY(B6764,2)</f>
        <v>2</v>
      </c>
      <c r="N6764" s="31" t="str">
        <f aca="false">IF(G6764&lt;=INDEX(Assumptions!$B$15:$B$18,MATCH(E6764,Assumptions!$A$15:$A$18,0)),"Yes","No")</f>
        <v>Yes</v>
      </c>
      <c r="O6764" s="31" t="str">
        <f aca="false">IF(H6764="","Open",IF(H6764&lt;=INDEX(Assumptions!$C$15:$C$18,MATCH(E6764,Assumptions!$A$15:$A$18,0)),"Yes","No"))</f>
        <v>Open</v>
      </c>
    </row>
    <row r="6765" customFormat="false" ht="15" hidden="false" customHeight="false" outlineLevel="0" collapsed="false">
      <c r="A6765" s="31" t="s">
        <v>6915</v>
      </c>
      <c r="B6765" s="44" t="n">
        <v>46294</v>
      </c>
      <c r="C6765" s="31" t="s">
        <v>57</v>
      </c>
      <c r="D6765" s="31" t="s">
        <v>69</v>
      </c>
      <c r="E6765" s="31" t="s">
        <v>50</v>
      </c>
      <c r="F6765" s="31" t="s">
        <v>119</v>
      </c>
      <c r="G6765" s="31" t="n">
        <v>2</v>
      </c>
      <c r="H6765" s="41"/>
      <c r="I6765" s="31" t="s">
        <v>158</v>
      </c>
      <c r="J6765" s="31"/>
      <c r="K6765" s="31" t="s">
        <v>150</v>
      </c>
      <c r="L6765" s="45" t="n">
        <f aca="false">DATE(YEAR(B6765),MONTH(B6765),1)</f>
        <v>46266</v>
      </c>
      <c r="M6765" s="31" t="n">
        <f aca="false">WEEKDAY(B6765,2)</f>
        <v>2</v>
      </c>
      <c r="N6765" s="31" t="str">
        <f aca="false">IF(G6765&lt;=INDEX(Assumptions!$B$15:$B$18,MATCH(E6765,Assumptions!$A$15:$A$18,0)),"Yes","No")</f>
        <v>Yes</v>
      </c>
      <c r="O6765" s="31" t="str">
        <f aca="false">IF(H6765="","Open",IF(H6765&lt;=INDEX(Assumptions!$C$15:$C$18,MATCH(E6765,Assumptions!$A$15:$A$18,0)),"Yes","No"))</f>
        <v>Open</v>
      </c>
    </row>
    <row r="6766" customFormat="false" ht="15" hidden="false" customHeight="false" outlineLevel="0" collapsed="false">
      <c r="A6766" s="31" t="s">
        <v>6916</v>
      </c>
      <c r="B6766" s="44" t="n">
        <v>46294</v>
      </c>
      <c r="C6766" s="31" t="s">
        <v>58</v>
      </c>
      <c r="D6766" s="31" t="s">
        <v>66</v>
      </c>
      <c r="E6766" s="31" t="s">
        <v>51</v>
      </c>
      <c r="F6766" s="31" t="s">
        <v>130</v>
      </c>
      <c r="G6766" s="31" t="n">
        <v>7</v>
      </c>
      <c r="H6766" s="41"/>
      <c r="I6766" s="31" t="s">
        <v>158</v>
      </c>
      <c r="J6766" s="31"/>
      <c r="K6766" s="31" t="s">
        <v>150</v>
      </c>
      <c r="L6766" s="45" t="n">
        <f aca="false">DATE(YEAR(B6766),MONTH(B6766),1)</f>
        <v>46266</v>
      </c>
      <c r="M6766" s="31" t="n">
        <f aca="false">WEEKDAY(B6766,2)</f>
        <v>2</v>
      </c>
      <c r="N6766" s="31" t="str">
        <f aca="false">IF(G6766&lt;=INDEX(Assumptions!$B$15:$B$18,MATCH(E6766,Assumptions!$A$15:$A$18,0)),"Yes","No")</f>
        <v>Yes</v>
      </c>
      <c r="O6766" s="31" t="str">
        <f aca="false">IF(H6766="","Open",IF(H6766&lt;=INDEX(Assumptions!$C$15:$C$18,MATCH(E6766,Assumptions!$A$15:$A$18,0)),"Yes","No"))</f>
        <v>Open</v>
      </c>
    </row>
    <row r="6767" customFormat="false" ht="15" hidden="false" customHeight="false" outlineLevel="0" collapsed="false">
      <c r="A6767" s="31" t="s">
        <v>6917</v>
      </c>
      <c r="B6767" s="44" t="n">
        <v>46294</v>
      </c>
      <c r="C6767" s="31" t="s">
        <v>60</v>
      </c>
      <c r="D6767" s="31" t="s">
        <v>65</v>
      </c>
      <c r="E6767" s="31" t="s">
        <v>51</v>
      </c>
      <c r="F6767" s="31" t="s">
        <v>124</v>
      </c>
      <c r="G6767" s="31" t="n">
        <v>2</v>
      </c>
      <c r="H6767" s="41"/>
      <c r="I6767" s="31" t="s">
        <v>158</v>
      </c>
      <c r="J6767" s="31"/>
      <c r="K6767" s="31" t="s">
        <v>150</v>
      </c>
      <c r="L6767" s="45" t="n">
        <f aca="false">DATE(YEAR(B6767),MONTH(B6767),1)</f>
        <v>46266</v>
      </c>
      <c r="M6767" s="31" t="n">
        <f aca="false">WEEKDAY(B6767,2)</f>
        <v>2</v>
      </c>
      <c r="N6767" s="31" t="str">
        <f aca="false">IF(G6767&lt;=INDEX(Assumptions!$B$15:$B$18,MATCH(E6767,Assumptions!$A$15:$A$18,0)),"Yes","No")</f>
        <v>Yes</v>
      </c>
      <c r="O6767" s="31" t="str">
        <f aca="false">IF(H6767="","Open",IF(H6767&lt;=INDEX(Assumptions!$C$15:$C$18,MATCH(E6767,Assumptions!$A$15:$A$18,0)),"Yes","No"))</f>
        <v>Open</v>
      </c>
    </row>
    <row r="6768" customFormat="false" ht="15" hidden="false" customHeight="false" outlineLevel="0" collapsed="false">
      <c r="A6768" s="31" t="s">
        <v>6918</v>
      </c>
      <c r="B6768" s="44" t="n">
        <v>46294</v>
      </c>
      <c r="C6768" s="31" t="s">
        <v>58</v>
      </c>
      <c r="D6768" s="31" t="s">
        <v>65</v>
      </c>
      <c r="E6768" s="31" t="s">
        <v>52</v>
      </c>
      <c r="F6768" s="31" t="s">
        <v>122</v>
      </c>
      <c r="G6768" s="31" t="n">
        <v>16</v>
      </c>
      <c r="H6768" s="41" t="n">
        <v>20.9</v>
      </c>
      <c r="I6768" s="31" t="s">
        <v>64</v>
      </c>
      <c r="J6768" s="31" t="n">
        <v>2</v>
      </c>
      <c r="K6768" s="31" t="s">
        <v>150</v>
      </c>
      <c r="L6768" s="45" t="n">
        <f aca="false">DATE(YEAR(B6768),MONTH(B6768),1)</f>
        <v>46266</v>
      </c>
      <c r="M6768" s="31" t="n">
        <f aca="false">WEEKDAY(B6768,2)</f>
        <v>2</v>
      </c>
      <c r="N6768" s="31" t="str">
        <f aca="false">IF(G6768&lt;=INDEX(Assumptions!$B$15:$B$18,MATCH(E6768,Assumptions!$A$15:$A$18,0)),"Yes","No")</f>
        <v>Yes</v>
      </c>
      <c r="O6768" s="31" t="str">
        <f aca="false">IF(H6768="","Open",IF(H6768&lt;=INDEX(Assumptions!$C$15:$C$18,MATCH(E6768,Assumptions!$A$15:$A$18,0)),"Yes","No"))</f>
        <v>Yes</v>
      </c>
    </row>
    <row r="6769" customFormat="false" ht="15" hidden="false" customHeight="false" outlineLevel="0" collapsed="false">
      <c r="A6769" s="31" t="s">
        <v>6919</v>
      </c>
      <c r="B6769" s="44" t="n">
        <v>46294</v>
      </c>
      <c r="C6769" s="31" t="s">
        <v>58</v>
      </c>
      <c r="D6769" s="31" t="s">
        <v>69</v>
      </c>
      <c r="E6769" s="31" t="s">
        <v>52</v>
      </c>
      <c r="F6769" s="31" t="s">
        <v>120</v>
      </c>
      <c r="G6769" s="31" t="n">
        <v>26</v>
      </c>
      <c r="H6769" s="41"/>
      <c r="I6769" s="31" t="s">
        <v>158</v>
      </c>
      <c r="J6769" s="31"/>
      <c r="K6769" s="31" t="s">
        <v>150</v>
      </c>
      <c r="L6769" s="45" t="n">
        <f aca="false">DATE(YEAR(B6769),MONTH(B6769),1)</f>
        <v>46266</v>
      </c>
      <c r="M6769" s="31" t="n">
        <f aca="false">WEEKDAY(B6769,2)</f>
        <v>2</v>
      </c>
      <c r="N6769" s="31" t="str">
        <f aca="false">IF(G6769&lt;=INDEX(Assumptions!$B$15:$B$18,MATCH(E6769,Assumptions!$A$15:$A$18,0)),"Yes","No")</f>
        <v>Yes</v>
      </c>
      <c r="O6769" s="31" t="str">
        <f aca="false">IF(H6769="","Open",IF(H6769&lt;=INDEX(Assumptions!$C$15:$C$18,MATCH(E6769,Assumptions!$A$15:$A$18,0)),"Yes","No"))</f>
        <v>Open</v>
      </c>
    </row>
    <row r="6770" customFormat="false" ht="15" hidden="false" customHeight="false" outlineLevel="0" collapsed="false">
      <c r="A6770" s="31" t="s">
        <v>6920</v>
      </c>
      <c r="B6770" s="44" t="n">
        <v>46294</v>
      </c>
      <c r="C6770" s="31" t="s">
        <v>58</v>
      </c>
      <c r="D6770" s="31" t="s">
        <v>67</v>
      </c>
      <c r="E6770" s="31" t="s">
        <v>51</v>
      </c>
      <c r="F6770" s="31" t="s">
        <v>130</v>
      </c>
      <c r="G6770" s="31" t="n">
        <v>3</v>
      </c>
      <c r="H6770" s="41"/>
      <c r="I6770" s="31" t="s">
        <v>158</v>
      </c>
      <c r="J6770" s="31"/>
      <c r="K6770" s="31" t="s">
        <v>150</v>
      </c>
      <c r="L6770" s="45" t="n">
        <f aca="false">DATE(YEAR(B6770),MONTH(B6770),1)</f>
        <v>46266</v>
      </c>
      <c r="M6770" s="31" t="n">
        <f aca="false">WEEKDAY(B6770,2)</f>
        <v>2</v>
      </c>
      <c r="N6770" s="31" t="str">
        <f aca="false">IF(G6770&lt;=INDEX(Assumptions!$B$15:$B$18,MATCH(E6770,Assumptions!$A$15:$A$18,0)),"Yes","No")</f>
        <v>Yes</v>
      </c>
      <c r="O6770" s="31" t="str">
        <f aca="false">IF(H6770="","Open",IF(H6770&lt;=INDEX(Assumptions!$C$15:$C$18,MATCH(E6770,Assumptions!$A$15:$A$18,0)),"Yes","No"))</f>
        <v>Open</v>
      </c>
    </row>
    <row r="6771" customFormat="false" ht="15" hidden="false" customHeight="false" outlineLevel="0" collapsed="false">
      <c r="A6771" s="31" t="s">
        <v>6921</v>
      </c>
      <c r="B6771" s="44" t="n">
        <v>46294</v>
      </c>
      <c r="C6771" s="31" t="s">
        <v>57</v>
      </c>
      <c r="D6771" s="31" t="s">
        <v>67</v>
      </c>
      <c r="E6771" s="31" t="s">
        <v>51</v>
      </c>
      <c r="F6771" s="31" t="s">
        <v>123</v>
      </c>
      <c r="G6771" s="31" t="n">
        <v>2</v>
      </c>
      <c r="H6771" s="41"/>
      <c r="I6771" s="31" t="s">
        <v>158</v>
      </c>
      <c r="J6771" s="31"/>
      <c r="K6771" s="31" t="s">
        <v>150</v>
      </c>
      <c r="L6771" s="45" t="n">
        <f aca="false">DATE(YEAR(B6771),MONTH(B6771),1)</f>
        <v>46266</v>
      </c>
      <c r="M6771" s="31" t="n">
        <f aca="false">WEEKDAY(B6771,2)</f>
        <v>2</v>
      </c>
      <c r="N6771" s="31" t="str">
        <f aca="false">IF(G6771&lt;=INDEX(Assumptions!$B$15:$B$18,MATCH(E6771,Assumptions!$A$15:$A$18,0)),"Yes","No")</f>
        <v>Yes</v>
      </c>
      <c r="O6771" s="31" t="str">
        <f aca="false">IF(H6771="","Open",IF(H6771&lt;=INDEX(Assumptions!$C$15:$C$18,MATCH(E6771,Assumptions!$A$15:$A$18,0)),"Yes","No"))</f>
        <v>Open</v>
      </c>
    </row>
    <row r="6772" customFormat="false" ht="15" hidden="false" customHeight="false" outlineLevel="0" collapsed="false">
      <c r="A6772" s="31" t="s">
        <v>6922</v>
      </c>
      <c r="B6772" s="44" t="n">
        <v>46294</v>
      </c>
      <c r="C6772" s="31" t="s">
        <v>57</v>
      </c>
      <c r="D6772" s="31" t="s">
        <v>66</v>
      </c>
      <c r="E6772" s="31" t="s">
        <v>51</v>
      </c>
      <c r="F6772" s="31" t="s">
        <v>130</v>
      </c>
      <c r="G6772" s="31" t="n">
        <v>2</v>
      </c>
      <c r="H6772" s="41"/>
      <c r="I6772" s="31" t="s">
        <v>158</v>
      </c>
      <c r="J6772" s="31"/>
      <c r="K6772" s="31" t="s">
        <v>150</v>
      </c>
      <c r="L6772" s="45" t="n">
        <f aca="false">DATE(YEAR(B6772),MONTH(B6772),1)</f>
        <v>46266</v>
      </c>
      <c r="M6772" s="31" t="n">
        <f aca="false">WEEKDAY(B6772,2)</f>
        <v>2</v>
      </c>
      <c r="N6772" s="31" t="str">
        <f aca="false">IF(G6772&lt;=INDEX(Assumptions!$B$15:$B$18,MATCH(E6772,Assumptions!$A$15:$A$18,0)),"Yes","No")</f>
        <v>Yes</v>
      </c>
      <c r="O6772" s="31" t="str">
        <f aca="false">IF(H6772="","Open",IF(H6772&lt;=INDEX(Assumptions!$C$15:$C$18,MATCH(E6772,Assumptions!$A$15:$A$18,0)),"Yes","No"))</f>
        <v>Open</v>
      </c>
    </row>
    <row r="6773" customFormat="false" ht="15" hidden="false" customHeight="false" outlineLevel="0" collapsed="false">
      <c r="A6773" s="31" t="s">
        <v>6923</v>
      </c>
      <c r="B6773" s="44" t="n">
        <v>46294</v>
      </c>
      <c r="C6773" s="31" t="s">
        <v>57</v>
      </c>
      <c r="D6773" s="31" t="s">
        <v>66</v>
      </c>
      <c r="E6773" s="31" t="s">
        <v>52</v>
      </c>
      <c r="F6773" s="31" t="s">
        <v>134</v>
      </c>
      <c r="G6773" s="31" t="n">
        <v>41</v>
      </c>
      <c r="H6773" s="41"/>
      <c r="I6773" s="31" t="s">
        <v>158</v>
      </c>
      <c r="J6773" s="31"/>
      <c r="K6773" s="31" t="s">
        <v>150</v>
      </c>
      <c r="L6773" s="45" t="n">
        <f aca="false">DATE(YEAR(B6773),MONTH(B6773),1)</f>
        <v>46266</v>
      </c>
      <c r="M6773" s="31" t="n">
        <f aca="false">WEEKDAY(B6773,2)</f>
        <v>2</v>
      </c>
      <c r="N6773" s="31" t="str">
        <f aca="false">IF(G6773&lt;=INDEX(Assumptions!$B$15:$B$18,MATCH(E6773,Assumptions!$A$15:$A$18,0)),"Yes","No")</f>
        <v>Yes</v>
      </c>
      <c r="O6773" s="31" t="str">
        <f aca="false">IF(H6773="","Open",IF(H6773&lt;=INDEX(Assumptions!$C$15:$C$18,MATCH(E6773,Assumptions!$A$15:$A$18,0)),"Yes","No"))</f>
        <v>Open</v>
      </c>
    </row>
    <row r="6774" customFormat="false" ht="15" hidden="false" customHeight="false" outlineLevel="0" collapsed="false">
      <c r="A6774" s="31" t="s">
        <v>6924</v>
      </c>
      <c r="B6774" s="44" t="n">
        <v>46294</v>
      </c>
      <c r="C6774" s="31" t="s">
        <v>57</v>
      </c>
      <c r="D6774" s="31" t="s">
        <v>65</v>
      </c>
      <c r="E6774" s="31" t="s">
        <v>49</v>
      </c>
      <c r="F6774" s="31" t="s">
        <v>123</v>
      </c>
      <c r="G6774" s="31" t="n">
        <v>5</v>
      </c>
      <c r="H6774" s="41"/>
      <c r="I6774" s="31" t="s">
        <v>158</v>
      </c>
      <c r="J6774" s="31"/>
      <c r="K6774" s="31" t="s">
        <v>150</v>
      </c>
      <c r="L6774" s="45" t="n">
        <f aca="false">DATE(YEAR(B6774),MONTH(B6774),1)</f>
        <v>46266</v>
      </c>
      <c r="M6774" s="31" t="n">
        <f aca="false">WEEKDAY(B6774,2)</f>
        <v>2</v>
      </c>
      <c r="N6774" s="31" t="str">
        <f aca="false">IF(G6774&lt;=INDEX(Assumptions!$B$15:$B$18,MATCH(E6774,Assumptions!$A$15:$A$18,0)),"Yes","No")</f>
        <v>Yes</v>
      </c>
      <c r="O6774" s="31" t="str">
        <f aca="false">IF(H6774="","Open",IF(H6774&lt;=INDEX(Assumptions!$C$15:$C$18,MATCH(E6774,Assumptions!$A$15:$A$18,0)),"Yes","No"))</f>
        <v>Open</v>
      </c>
    </row>
    <row r="6775" customFormat="false" ht="15" hidden="false" customHeight="false" outlineLevel="0" collapsed="false">
      <c r="A6775" s="31" t="s">
        <v>6925</v>
      </c>
      <c r="B6775" s="44" t="n">
        <v>46294</v>
      </c>
      <c r="C6775" s="31" t="s">
        <v>60</v>
      </c>
      <c r="D6775" s="31" t="s">
        <v>68</v>
      </c>
      <c r="E6775" s="31" t="s">
        <v>51</v>
      </c>
      <c r="F6775" s="31" t="s">
        <v>137</v>
      </c>
      <c r="G6775" s="31" t="n">
        <v>6</v>
      </c>
      <c r="H6775" s="41"/>
      <c r="I6775" s="31" t="s">
        <v>158</v>
      </c>
      <c r="J6775" s="31"/>
      <c r="K6775" s="31" t="s">
        <v>150</v>
      </c>
      <c r="L6775" s="45" t="n">
        <f aca="false">DATE(YEAR(B6775),MONTH(B6775),1)</f>
        <v>46266</v>
      </c>
      <c r="M6775" s="31" t="n">
        <f aca="false">WEEKDAY(B6775,2)</f>
        <v>2</v>
      </c>
      <c r="N6775" s="31" t="str">
        <f aca="false">IF(G6775&lt;=INDEX(Assumptions!$B$15:$B$18,MATCH(E6775,Assumptions!$A$15:$A$18,0)),"Yes","No")</f>
        <v>Yes</v>
      </c>
      <c r="O6775" s="31" t="str">
        <f aca="false">IF(H6775="","Open",IF(H6775&lt;=INDEX(Assumptions!$C$15:$C$18,MATCH(E6775,Assumptions!$A$15:$A$18,0)),"Yes","No"))</f>
        <v>Open</v>
      </c>
    </row>
    <row r="6776" customFormat="false" ht="15" hidden="false" customHeight="false" outlineLevel="0" collapsed="false">
      <c r="A6776" s="31" t="s">
        <v>6926</v>
      </c>
      <c r="B6776" s="44" t="n">
        <v>46294</v>
      </c>
      <c r="C6776" s="31" t="s">
        <v>58</v>
      </c>
      <c r="D6776" s="31" t="s">
        <v>65</v>
      </c>
      <c r="E6776" s="31" t="s">
        <v>51</v>
      </c>
      <c r="F6776" s="31" t="s">
        <v>124</v>
      </c>
      <c r="G6776" s="31" t="n">
        <v>2</v>
      </c>
      <c r="H6776" s="41"/>
      <c r="I6776" s="31" t="s">
        <v>158</v>
      </c>
      <c r="J6776" s="31"/>
      <c r="K6776" s="31" t="s">
        <v>150</v>
      </c>
      <c r="L6776" s="45" t="n">
        <f aca="false">DATE(YEAR(B6776),MONTH(B6776),1)</f>
        <v>46266</v>
      </c>
      <c r="M6776" s="31" t="n">
        <f aca="false">WEEKDAY(B6776,2)</f>
        <v>2</v>
      </c>
      <c r="N6776" s="31" t="str">
        <f aca="false">IF(G6776&lt;=INDEX(Assumptions!$B$15:$B$18,MATCH(E6776,Assumptions!$A$15:$A$18,0)),"Yes","No")</f>
        <v>Yes</v>
      </c>
      <c r="O6776" s="31" t="str">
        <f aca="false">IF(H6776="","Open",IF(H6776&lt;=INDEX(Assumptions!$C$15:$C$18,MATCH(E6776,Assumptions!$A$15:$A$18,0)),"Yes","No"))</f>
        <v>Open</v>
      </c>
    </row>
    <row r="6777" customFormat="false" ht="15" hidden="false" customHeight="false" outlineLevel="0" collapsed="false">
      <c r="A6777" s="31" t="s">
        <v>6927</v>
      </c>
      <c r="B6777" s="44" t="n">
        <v>46294</v>
      </c>
      <c r="C6777" s="31" t="s">
        <v>59</v>
      </c>
      <c r="D6777" s="31" t="s">
        <v>68</v>
      </c>
      <c r="E6777" s="31" t="s">
        <v>51</v>
      </c>
      <c r="F6777" s="31" t="s">
        <v>135</v>
      </c>
      <c r="G6777" s="31" t="n">
        <v>112</v>
      </c>
      <c r="H6777" s="41"/>
      <c r="I6777" s="31" t="s">
        <v>158</v>
      </c>
      <c r="J6777" s="31"/>
      <c r="K6777" s="31" t="s">
        <v>150</v>
      </c>
      <c r="L6777" s="45" t="n">
        <f aca="false">DATE(YEAR(B6777),MONTH(B6777),1)</f>
        <v>46266</v>
      </c>
      <c r="M6777" s="31" t="n">
        <f aca="false">WEEKDAY(B6777,2)</f>
        <v>2</v>
      </c>
      <c r="N6777" s="31" t="str">
        <f aca="false">IF(G6777&lt;=INDEX(Assumptions!$B$15:$B$18,MATCH(E6777,Assumptions!$A$15:$A$18,0)),"Yes","No")</f>
        <v>No</v>
      </c>
      <c r="O6777" s="31" t="str">
        <f aca="false">IF(H6777="","Open",IF(H6777&lt;=INDEX(Assumptions!$C$15:$C$18,MATCH(E6777,Assumptions!$A$15:$A$18,0)),"Yes","No"))</f>
        <v>Open</v>
      </c>
    </row>
    <row r="6778" customFormat="false" ht="15" hidden="false" customHeight="false" outlineLevel="0" collapsed="false">
      <c r="A6778" s="31" t="s">
        <v>6928</v>
      </c>
      <c r="B6778" s="44" t="n">
        <v>46294</v>
      </c>
      <c r="C6778" s="31" t="s">
        <v>58</v>
      </c>
      <c r="D6778" s="31" t="s">
        <v>67</v>
      </c>
      <c r="E6778" s="31" t="s">
        <v>52</v>
      </c>
      <c r="F6778" s="31" t="s">
        <v>128</v>
      </c>
      <c r="G6778" s="31" t="n">
        <v>45</v>
      </c>
      <c r="H6778" s="41"/>
      <c r="I6778" s="31" t="s">
        <v>158</v>
      </c>
      <c r="J6778" s="31"/>
      <c r="K6778" s="31" t="s">
        <v>150</v>
      </c>
      <c r="L6778" s="45" t="n">
        <f aca="false">DATE(YEAR(B6778),MONTH(B6778),1)</f>
        <v>46266</v>
      </c>
      <c r="M6778" s="31" t="n">
        <f aca="false">WEEKDAY(B6778,2)</f>
        <v>2</v>
      </c>
      <c r="N6778" s="31" t="str">
        <f aca="false">IF(G6778&lt;=INDEX(Assumptions!$B$15:$B$18,MATCH(E6778,Assumptions!$A$15:$A$18,0)),"Yes","No")</f>
        <v>Yes</v>
      </c>
      <c r="O6778" s="31" t="str">
        <f aca="false">IF(H6778="","Open",IF(H6778&lt;=INDEX(Assumptions!$C$15:$C$18,MATCH(E6778,Assumptions!$A$15:$A$18,0)),"Yes","No"))</f>
        <v>Open</v>
      </c>
    </row>
    <row r="6779" customFormat="false" ht="15" hidden="false" customHeight="false" outlineLevel="0" collapsed="false">
      <c r="A6779" s="31" t="s">
        <v>6929</v>
      </c>
      <c r="B6779" s="44" t="n">
        <v>46294</v>
      </c>
      <c r="C6779" s="31" t="s">
        <v>58</v>
      </c>
      <c r="D6779" s="31" t="s">
        <v>66</v>
      </c>
      <c r="E6779" s="31" t="s">
        <v>51</v>
      </c>
      <c r="F6779" s="31" t="s">
        <v>128</v>
      </c>
      <c r="G6779" s="31" t="n">
        <v>6</v>
      </c>
      <c r="H6779" s="41"/>
      <c r="I6779" s="31" t="s">
        <v>158</v>
      </c>
      <c r="J6779" s="31"/>
      <c r="K6779" s="31" t="s">
        <v>150</v>
      </c>
      <c r="L6779" s="45" t="n">
        <f aca="false">DATE(YEAR(B6779),MONTH(B6779),1)</f>
        <v>46266</v>
      </c>
      <c r="M6779" s="31" t="n">
        <f aca="false">WEEKDAY(B6779,2)</f>
        <v>2</v>
      </c>
      <c r="N6779" s="31" t="str">
        <f aca="false">IF(G6779&lt;=INDEX(Assumptions!$B$15:$B$18,MATCH(E6779,Assumptions!$A$15:$A$18,0)),"Yes","No")</f>
        <v>Yes</v>
      </c>
      <c r="O6779" s="31" t="str">
        <f aca="false">IF(H6779="","Open",IF(H6779&lt;=INDEX(Assumptions!$C$15:$C$18,MATCH(E6779,Assumptions!$A$15:$A$18,0)),"Yes","No"))</f>
        <v>Open</v>
      </c>
    </row>
    <row r="6780" customFormat="false" ht="15" hidden="false" customHeight="false" outlineLevel="0" collapsed="false">
      <c r="A6780" s="31" t="s">
        <v>6930</v>
      </c>
      <c r="B6780" s="44" t="n">
        <v>46294</v>
      </c>
      <c r="C6780" s="31" t="s">
        <v>57</v>
      </c>
      <c r="D6780" s="31" t="s">
        <v>67</v>
      </c>
      <c r="E6780" s="31" t="s">
        <v>50</v>
      </c>
      <c r="F6780" s="31" t="s">
        <v>119</v>
      </c>
      <c r="G6780" s="31" t="n">
        <v>4</v>
      </c>
      <c r="H6780" s="41"/>
      <c r="I6780" s="31" t="s">
        <v>158</v>
      </c>
      <c r="J6780" s="31"/>
      <c r="K6780" s="31" t="s">
        <v>150</v>
      </c>
      <c r="L6780" s="45" t="n">
        <f aca="false">DATE(YEAR(B6780),MONTH(B6780),1)</f>
        <v>46266</v>
      </c>
      <c r="M6780" s="31" t="n">
        <f aca="false">WEEKDAY(B6780,2)</f>
        <v>2</v>
      </c>
      <c r="N6780" s="31" t="str">
        <f aca="false">IF(G6780&lt;=INDEX(Assumptions!$B$15:$B$18,MATCH(E6780,Assumptions!$A$15:$A$18,0)),"Yes","No")</f>
        <v>Yes</v>
      </c>
      <c r="O6780" s="31" t="str">
        <f aca="false">IF(H6780="","Open",IF(H6780&lt;=INDEX(Assumptions!$C$15:$C$18,MATCH(E6780,Assumptions!$A$15:$A$18,0)),"Yes","No"))</f>
        <v>Open</v>
      </c>
    </row>
    <row r="6781" customFormat="false" ht="15" hidden="false" customHeight="false" outlineLevel="0" collapsed="false">
      <c r="A6781" s="31" t="s">
        <v>6931</v>
      </c>
      <c r="B6781" s="44" t="n">
        <v>46294</v>
      </c>
      <c r="C6781" s="31" t="s">
        <v>59</v>
      </c>
      <c r="D6781" s="31" t="s">
        <v>68</v>
      </c>
      <c r="E6781" s="31" t="s">
        <v>51</v>
      </c>
      <c r="F6781" s="31" t="s">
        <v>120</v>
      </c>
      <c r="G6781" s="31" t="n">
        <v>162</v>
      </c>
      <c r="H6781" s="41"/>
      <c r="I6781" s="31" t="s">
        <v>158</v>
      </c>
      <c r="J6781" s="31"/>
      <c r="K6781" s="31" t="s">
        <v>150</v>
      </c>
      <c r="L6781" s="45" t="n">
        <f aca="false">DATE(YEAR(B6781),MONTH(B6781),1)</f>
        <v>46266</v>
      </c>
      <c r="M6781" s="31" t="n">
        <f aca="false">WEEKDAY(B6781,2)</f>
        <v>2</v>
      </c>
      <c r="N6781" s="31" t="str">
        <f aca="false">IF(G6781&lt;=INDEX(Assumptions!$B$15:$B$18,MATCH(E6781,Assumptions!$A$15:$A$18,0)),"Yes","No")</f>
        <v>No</v>
      </c>
      <c r="O6781" s="31" t="str">
        <f aca="false">IF(H6781="","Open",IF(H6781&lt;=INDEX(Assumptions!$C$15:$C$18,MATCH(E6781,Assumptions!$A$15:$A$18,0)),"Yes","No"))</f>
        <v>Open</v>
      </c>
    </row>
    <row r="6782" customFormat="false" ht="15" hidden="false" customHeight="false" outlineLevel="0" collapsed="false">
      <c r="A6782" s="31" t="s">
        <v>6932</v>
      </c>
      <c r="B6782" s="44" t="n">
        <v>46294</v>
      </c>
      <c r="C6782" s="31" t="s">
        <v>60</v>
      </c>
      <c r="D6782" s="31" t="s">
        <v>69</v>
      </c>
      <c r="E6782" s="31" t="s">
        <v>52</v>
      </c>
      <c r="F6782" s="31" t="s">
        <v>131</v>
      </c>
      <c r="G6782" s="31" t="n">
        <v>9</v>
      </c>
      <c r="H6782" s="41"/>
      <c r="I6782" s="31" t="s">
        <v>158</v>
      </c>
      <c r="J6782" s="31"/>
      <c r="K6782" s="31" t="s">
        <v>150</v>
      </c>
      <c r="L6782" s="45" t="n">
        <f aca="false">DATE(YEAR(B6782),MONTH(B6782),1)</f>
        <v>46266</v>
      </c>
      <c r="M6782" s="31" t="n">
        <f aca="false">WEEKDAY(B6782,2)</f>
        <v>2</v>
      </c>
      <c r="N6782" s="31" t="str">
        <f aca="false">IF(G6782&lt;=INDEX(Assumptions!$B$15:$B$18,MATCH(E6782,Assumptions!$A$15:$A$18,0)),"Yes","No")</f>
        <v>Yes</v>
      </c>
      <c r="O6782" s="31" t="str">
        <f aca="false">IF(H6782="","Open",IF(H6782&lt;=INDEX(Assumptions!$C$15:$C$18,MATCH(E6782,Assumptions!$A$15:$A$18,0)),"Yes","No"))</f>
        <v>Open</v>
      </c>
    </row>
    <row r="6783" customFormat="false" ht="15" hidden="false" customHeight="false" outlineLevel="0" collapsed="false">
      <c r="A6783" s="31" t="s">
        <v>6933</v>
      </c>
      <c r="B6783" s="44" t="n">
        <v>46294</v>
      </c>
      <c r="C6783" s="31" t="s">
        <v>57</v>
      </c>
      <c r="D6783" s="31" t="s">
        <v>67</v>
      </c>
      <c r="E6783" s="31" t="s">
        <v>51</v>
      </c>
      <c r="F6783" s="31" t="s">
        <v>117</v>
      </c>
      <c r="G6783" s="31" t="n">
        <v>1</v>
      </c>
      <c r="H6783" s="41" t="n">
        <v>4.4</v>
      </c>
      <c r="I6783" s="31" t="s">
        <v>149</v>
      </c>
      <c r="J6783" s="31"/>
      <c r="K6783" s="31" t="s">
        <v>150</v>
      </c>
      <c r="L6783" s="45" t="n">
        <f aca="false">DATE(YEAR(B6783),MONTH(B6783),1)</f>
        <v>46266</v>
      </c>
      <c r="M6783" s="31" t="n">
        <f aca="false">WEEKDAY(B6783,2)</f>
        <v>2</v>
      </c>
      <c r="N6783" s="31" t="str">
        <f aca="false">IF(G6783&lt;=INDEX(Assumptions!$B$15:$B$18,MATCH(E6783,Assumptions!$A$15:$A$18,0)),"Yes","No")</f>
        <v>Yes</v>
      </c>
      <c r="O6783" s="31" t="str">
        <f aca="false">IF(H6783="","Open",IF(H6783&lt;=INDEX(Assumptions!$C$15:$C$18,MATCH(E6783,Assumptions!$A$15:$A$18,0)),"Yes","No"))</f>
        <v>Yes</v>
      </c>
    </row>
    <row r="6784" customFormat="false" ht="15" hidden="false" customHeight="false" outlineLevel="0" collapsed="false">
      <c r="A6784" s="31" t="s">
        <v>6934</v>
      </c>
      <c r="B6784" s="44" t="n">
        <v>46294</v>
      </c>
      <c r="C6784" s="31" t="s">
        <v>57</v>
      </c>
      <c r="D6784" s="31" t="s">
        <v>65</v>
      </c>
      <c r="E6784" s="31" t="s">
        <v>50</v>
      </c>
      <c r="F6784" s="31" t="s">
        <v>134</v>
      </c>
      <c r="G6784" s="31" t="n">
        <v>7</v>
      </c>
      <c r="H6784" s="41"/>
      <c r="I6784" s="31" t="s">
        <v>158</v>
      </c>
      <c r="J6784" s="31"/>
      <c r="K6784" s="31" t="s">
        <v>150</v>
      </c>
      <c r="L6784" s="45" t="n">
        <f aca="false">DATE(YEAR(B6784),MONTH(B6784),1)</f>
        <v>46266</v>
      </c>
      <c r="M6784" s="31" t="n">
        <f aca="false">WEEKDAY(B6784,2)</f>
        <v>2</v>
      </c>
      <c r="N6784" s="31" t="str">
        <f aca="false">IF(G6784&lt;=INDEX(Assumptions!$B$15:$B$18,MATCH(E6784,Assumptions!$A$15:$A$18,0)),"Yes","No")</f>
        <v>Yes</v>
      </c>
      <c r="O6784" s="31" t="str">
        <f aca="false">IF(H6784="","Open",IF(H6784&lt;=INDEX(Assumptions!$C$15:$C$18,MATCH(E6784,Assumptions!$A$15:$A$18,0)),"Yes","No"))</f>
        <v>Open</v>
      </c>
    </row>
    <row r="6785" customFormat="false" ht="15" hidden="false" customHeight="false" outlineLevel="0" collapsed="false">
      <c r="A6785" s="31" t="s">
        <v>6935</v>
      </c>
      <c r="B6785" s="44" t="n">
        <v>46294</v>
      </c>
      <c r="C6785" s="31" t="s">
        <v>58</v>
      </c>
      <c r="D6785" s="31" t="s">
        <v>65</v>
      </c>
      <c r="E6785" s="31" t="s">
        <v>49</v>
      </c>
      <c r="F6785" s="31" t="s">
        <v>119</v>
      </c>
      <c r="G6785" s="31" t="n">
        <v>8</v>
      </c>
      <c r="H6785" s="41" t="n">
        <v>1.6</v>
      </c>
      <c r="I6785" s="31" t="s">
        <v>149</v>
      </c>
      <c r="J6785" s="31" t="n">
        <v>3</v>
      </c>
      <c r="K6785" s="31" t="s">
        <v>150</v>
      </c>
      <c r="L6785" s="45" t="n">
        <f aca="false">DATE(YEAR(B6785),MONTH(B6785),1)</f>
        <v>46266</v>
      </c>
      <c r="M6785" s="31" t="n">
        <f aca="false">WEEKDAY(B6785,2)</f>
        <v>2</v>
      </c>
      <c r="N6785" s="31" t="str">
        <f aca="false">IF(G6785&lt;=INDEX(Assumptions!$B$15:$B$18,MATCH(E6785,Assumptions!$A$15:$A$18,0)),"Yes","No")</f>
        <v>Yes</v>
      </c>
      <c r="O6785" s="31" t="str">
        <f aca="false">IF(H6785="","Open",IF(H6785&lt;=INDEX(Assumptions!$C$15:$C$18,MATCH(E6785,Assumptions!$A$15:$A$18,0)),"Yes","No"))</f>
        <v>Yes</v>
      </c>
    </row>
    <row r="6786" customFormat="false" ht="15" hidden="false" customHeight="false" outlineLevel="0" collapsed="false">
      <c r="A6786" s="31" t="s">
        <v>6936</v>
      </c>
      <c r="B6786" s="44" t="n">
        <v>46294</v>
      </c>
      <c r="C6786" s="31" t="s">
        <v>58</v>
      </c>
      <c r="D6786" s="31" t="s">
        <v>65</v>
      </c>
      <c r="E6786" s="31" t="s">
        <v>52</v>
      </c>
      <c r="F6786" s="31" t="s">
        <v>130</v>
      </c>
      <c r="G6786" s="31" t="n">
        <v>7</v>
      </c>
      <c r="H6786" s="41"/>
      <c r="I6786" s="31" t="s">
        <v>158</v>
      </c>
      <c r="J6786" s="31"/>
      <c r="K6786" s="31" t="s">
        <v>150</v>
      </c>
      <c r="L6786" s="45" t="n">
        <f aca="false">DATE(YEAR(B6786),MONTH(B6786),1)</f>
        <v>46266</v>
      </c>
      <c r="M6786" s="31" t="n">
        <f aca="false">WEEKDAY(B6786,2)</f>
        <v>2</v>
      </c>
      <c r="N6786" s="31" t="str">
        <f aca="false">IF(G6786&lt;=INDEX(Assumptions!$B$15:$B$18,MATCH(E6786,Assumptions!$A$15:$A$18,0)),"Yes","No")</f>
        <v>Yes</v>
      </c>
      <c r="O6786" s="31" t="str">
        <f aca="false">IF(H6786="","Open",IF(H6786&lt;=INDEX(Assumptions!$C$15:$C$18,MATCH(E6786,Assumptions!$A$15:$A$18,0)),"Yes","No"))</f>
        <v>Open</v>
      </c>
    </row>
    <row r="6787" customFormat="false" ht="15" hidden="false" customHeight="false" outlineLevel="0" collapsed="false">
      <c r="A6787" s="31" t="s">
        <v>6937</v>
      </c>
      <c r="B6787" s="44" t="n">
        <v>46294</v>
      </c>
      <c r="C6787" s="31" t="s">
        <v>59</v>
      </c>
      <c r="D6787" s="31" t="s">
        <v>66</v>
      </c>
      <c r="E6787" s="31" t="s">
        <v>52</v>
      </c>
      <c r="F6787" s="31" t="s">
        <v>123</v>
      </c>
      <c r="G6787" s="31" t="n">
        <v>197</v>
      </c>
      <c r="H6787" s="41"/>
      <c r="I6787" s="31" t="s">
        <v>158</v>
      </c>
      <c r="J6787" s="31"/>
      <c r="K6787" s="31" t="s">
        <v>150</v>
      </c>
      <c r="L6787" s="45" t="n">
        <f aca="false">DATE(YEAR(B6787),MONTH(B6787),1)</f>
        <v>46266</v>
      </c>
      <c r="M6787" s="31" t="n">
        <f aca="false">WEEKDAY(B6787,2)</f>
        <v>2</v>
      </c>
      <c r="N6787" s="31" t="str">
        <f aca="false">IF(G6787&lt;=INDEX(Assumptions!$B$15:$B$18,MATCH(E6787,Assumptions!$A$15:$A$18,0)),"Yes","No")</f>
        <v>Yes</v>
      </c>
      <c r="O6787" s="31" t="str">
        <f aca="false">IF(H6787="","Open",IF(H6787&lt;=INDEX(Assumptions!$C$15:$C$18,MATCH(E6787,Assumptions!$A$15:$A$18,0)),"Yes","No"))</f>
        <v>Open</v>
      </c>
    </row>
    <row r="6788" customFormat="false" ht="15" hidden="false" customHeight="false" outlineLevel="0" collapsed="false">
      <c r="A6788" s="31" t="s">
        <v>6938</v>
      </c>
      <c r="B6788" s="44" t="n">
        <v>46294</v>
      </c>
      <c r="C6788" s="31" t="s">
        <v>58</v>
      </c>
      <c r="D6788" s="31" t="s">
        <v>68</v>
      </c>
      <c r="E6788" s="31" t="s">
        <v>51</v>
      </c>
      <c r="F6788" s="31" t="s">
        <v>121</v>
      </c>
      <c r="G6788" s="31" t="n">
        <v>9</v>
      </c>
      <c r="H6788" s="41"/>
      <c r="I6788" s="31" t="s">
        <v>158</v>
      </c>
      <c r="J6788" s="31"/>
      <c r="K6788" s="31" t="s">
        <v>150</v>
      </c>
      <c r="L6788" s="45" t="n">
        <f aca="false">DATE(YEAR(B6788),MONTH(B6788),1)</f>
        <v>46266</v>
      </c>
      <c r="M6788" s="31" t="n">
        <f aca="false">WEEKDAY(B6788,2)</f>
        <v>2</v>
      </c>
      <c r="N6788" s="31" t="str">
        <f aca="false">IF(G6788&lt;=INDEX(Assumptions!$B$15:$B$18,MATCH(E6788,Assumptions!$A$15:$A$18,0)),"Yes","No")</f>
        <v>Yes</v>
      </c>
      <c r="O6788" s="31" t="str">
        <f aca="false">IF(H6788="","Open",IF(H6788&lt;=INDEX(Assumptions!$C$15:$C$18,MATCH(E6788,Assumptions!$A$15:$A$18,0)),"Yes","No"))</f>
        <v>Open</v>
      </c>
    </row>
    <row r="6789" customFormat="false" ht="15" hidden="false" customHeight="false" outlineLevel="0" collapsed="false">
      <c r="A6789" s="31" t="s">
        <v>6939</v>
      </c>
      <c r="B6789" s="44" t="n">
        <v>46294</v>
      </c>
      <c r="C6789" s="31" t="s">
        <v>57</v>
      </c>
      <c r="D6789" s="31" t="s">
        <v>66</v>
      </c>
      <c r="E6789" s="31" t="s">
        <v>49</v>
      </c>
      <c r="F6789" s="31" t="s">
        <v>126</v>
      </c>
      <c r="G6789" s="31" t="n">
        <v>3</v>
      </c>
      <c r="H6789" s="41"/>
      <c r="I6789" s="31" t="s">
        <v>158</v>
      </c>
      <c r="J6789" s="31"/>
      <c r="K6789" s="31" t="s">
        <v>150</v>
      </c>
      <c r="L6789" s="45" t="n">
        <f aca="false">DATE(YEAR(B6789),MONTH(B6789),1)</f>
        <v>46266</v>
      </c>
      <c r="M6789" s="31" t="n">
        <f aca="false">WEEKDAY(B6789,2)</f>
        <v>2</v>
      </c>
      <c r="N6789" s="31" t="str">
        <f aca="false">IF(G6789&lt;=INDEX(Assumptions!$B$15:$B$18,MATCH(E6789,Assumptions!$A$15:$A$18,0)),"Yes","No")</f>
        <v>Yes</v>
      </c>
      <c r="O6789" s="31" t="str">
        <f aca="false">IF(H6789="","Open",IF(H6789&lt;=INDEX(Assumptions!$C$15:$C$18,MATCH(E6789,Assumptions!$A$15:$A$18,0)),"Yes","No"))</f>
        <v>Open</v>
      </c>
    </row>
    <row r="6790" customFormat="false" ht="15" hidden="false" customHeight="false" outlineLevel="0" collapsed="false">
      <c r="A6790" s="31" t="s">
        <v>6940</v>
      </c>
      <c r="B6790" s="44" t="n">
        <v>46294</v>
      </c>
      <c r="C6790" s="31" t="s">
        <v>58</v>
      </c>
      <c r="D6790" s="31" t="s">
        <v>69</v>
      </c>
      <c r="E6790" s="31" t="s">
        <v>51</v>
      </c>
      <c r="F6790" s="31" t="s">
        <v>120</v>
      </c>
      <c r="G6790" s="31" t="n">
        <v>9</v>
      </c>
      <c r="H6790" s="41"/>
      <c r="I6790" s="31" t="s">
        <v>158</v>
      </c>
      <c r="J6790" s="31"/>
      <c r="K6790" s="31" t="s">
        <v>150</v>
      </c>
      <c r="L6790" s="45" t="n">
        <f aca="false">DATE(YEAR(B6790),MONTH(B6790),1)</f>
        <v>46266</v>
      </c>
      <c r="M6790" s="31" t="n">
        <f aca="false">WEEKDAY(B6790,2)</f>
        <v>2</v>
      </c>
      <c r="N6790" s="31" t="str">
        <f aca="false">IF(G6790&lt;=INDEX(Assumptions!$B$15:$B$18,MATCH(E6790,Assumptions!$A$15:$A$18,0)),"Yes","No")</f>
        <v>Yes</v>
      </c>
      <c r="O6790" s="31" t="str">
        <f aca="false">IF(H6790="","Open",IF(H6790&lt;=INDEX(Assumptions!$C$15:$C$18,MATCH(E6790,Assumptions!$A$15:$A$18,0)),"Yes","No"))</f>
        <v>Open</v>
      </c>
    </row>
    <row r="6791" customFormat="false" ht="15" hidden="false" customHeight="false" outlineLevel="0" collapsed="false">
      <c r="A6791" s="31" t="s">
        <v>6941</v>
      </c>
      <c r="B6791" s="44" t="n">
        <v>46294</v>
      </c>
      <c r="C6791" s="31" t="s">
        <v>59</v>
      </c>
      <c r="D6791" s="31" t="s">
        <v>67</v>
      </c>
      <c r="E6791" s="31" t="s">
        <v>52</v>
      </c>
      <c r="F6791" s="31" t="s">
        <v>136</v>
      </c>
      <c r="G6791" s="31" t="n">
        <v>75</v>
      </c>
      <c r="H6791" s="41"/>
      <c r="I6791" s="31" t="s">
        <v>158</v>
      </c>
      <c r="J6791" s="31"/>
      <c r="K6791" s="31" t="s">
        <v>150</v>
      </c>
      <c r="L6791" s="45" t="n">
        <f aca="false">DATE(YEAR(B6791),MONTH(B6791),1)</f>
        <v>46266</v>
      </c>
      <c r="M6791" s="31" t="n">
        <f aca="false">WEEKDAY(B6791,2)</f>
        <v>2</v>
      </c>
      <c r="N6791" s="31" t="str">
        <f aca="false">IF(G6791&lt;=INDEX(Assumptions!$B$15:$B$18,MATCH(E6791,Assumptions!$A$15:$A$18,0)),"Yes","No")</f>
        <v>Yes</v>
      </c>
      <c r="O6791" s="31" t="str">
        <f aca="false">IF(H6791="","Open",IF(H6791&lt;=INDEX(Assumptions!$C$15:$C$18,MATCH(E6791,Assumptions!$A$15:$A$18,0)),"Yes","No"))</f>
        <v>Open</v>
      </c>
    </row>
    <row r="6792" customFormat="false" ht="15" hidden="false" customHeight="false" outlineLevel="0" collapsed="false">
      <c r="A6792" s="31" t="s">
        <v>6942</v>
      </c>
      <c r="B6792" s="44" t="n">
        <v>46294</v>
      </c>
      <c r="C6792" s="31" t="s">
        <v>57</v>
      </c>
      <c r="D6792" s="31" t="s">
        <v>69</v>
      </c>
      <c r="E6792" s="31" t="s">
        <v>52</v>
      </c>
      <c r="F6792" s="31" t="s">
        <v>122</v>
      </c>
      <c r="G6792" s="31" t="n">
        <v>3</v>
      </c>
      <c r="H6792" s="41" t="n">
        <v>32</v>
      </c>
      <c r="I6792" s="31" t="s">
        <v>149</v>
      </c>
      <c r="J6792" s="31" t="n">
        <v>5</v>
      </c>
      <c r="K6792" s="31" t="s">
        <v>150</v>
      </c>
      <c r="L6792" s="45" t="n">
        <f aca="false">DATE(YEAR(B6792),MONTH(B6792),1)</f>
        <v>46266</v>
      </c>
      <c r="M6792" s="31" t="n">
        <f aca="false">WEEKDAY(B6792,2)</f>
        <v>2</v>
      </c>
      <c r="N6792" s="31" t="str">
        <f aca="false">IF(G6792&lt;=INDEX(Assumptions!$B$15:$B$18,MATCH(E6792,Assumptions!$A$15:$A$18,0)),"Yes","No")</f>
        <v>Yes</v>
      </c>
      <c r="O6792" s="31" t="str">
        <f aca="false">IF(H6792="","Open",IF(H6792&lt;=INDEX(Assumptions!$C$15:$C$18,MATCH(E6792,Assumptions!$A$15:$A$18,0)),"Yes","No"))</f>
        <v>Yes</v>
      </c>
    </row>
    <row r="6793" customFormat="false" ht="15" hidden="false" customHeight="false" outlineLevel="0" collapsed="false">
      <c r="A6793" s="31" t="s">
        <v>6943</v>
      </c>
      <c r="B6793" s="44" t="n">
        <v>46294</v>
      </c>
      <c r="C6793" s="31" t="s">
        <v>60</v>
      </c>
      <c r="D6793" s="31" t="s">
        <v>68</v>
      </c>
      <c r="E6793" s="31" t="s">
        <v>51</v>
      </c>
      <c r="F6793" s="31" t="s">
        <v>126</v>
      </c>
      <c r="G6793" s="31" t="n">
        <v>2</v>
      </c>
      <c r="H6793" s="41"/>
      <c r="I6793" s="31" t="s">
        <v>158</v>
      </c>
      <c r="J6793" s="31"/>
      <c r="K6793" s="31" t="s">
        <v>150</v>
      </c>
      <c r="L6793" s="45" t="n">
        <f aca="false">DATE(YEAR(B6793),MONTH(B6793),1)</f>
        <v>46266</v>
      </c>
      <c r="M6793" s="31" t="n">
        <f aca="false">WEEKDAY(B6793,2)</f>
        <v>2</v>
      </c>
      <c r="N6793" s="31" t="str">
        <f aca="false">IF(G6793&lt;=INDEX(Assumptions!$B$15:$B$18,MATCH(E6793,Assumptions!$A$15:$A$18,0)),"Yes","No")</f>
        <v>Yes</v>
      </c>
      <c r="O6793" s="31" t="str">
        <f aca="false">IF(H6793="","Open",IF(H6793&lt;=INDEX(Assumptions!$C$15:$C$18,MATCH(E6793,Assumptions!$A$15:$A$18,0)),"Yes","No"))</f>
        <v>Open</v>
      </c>
    </row>
    <row r="6794" customFormat="false" ht="15" hidden="false" customHeight="false" outlineLevel="0" collapsed="false">
      <c r="A6794" s="31" t="s">
        <v>6944</v>
      </c>
      <c r="B6794" s="44" t="n">
        <v>46294</v>
      </c>
      <c r="C6794" s="31" t="s">
        <v>58</v>
      </c>
      <c r="D6794" s="31" t="s">
        <v>68</v>
      </c>
      <c r="E6794" s="31" t="s">
        <v>52</v>
      </c>
      <c r="F6794" s="31" t="s">
        <v>119</v>
      </c>
      <c r="G6794" s="31" t="n">
        <v>30</v>
      </c>
      <c r="H6794" s="41" t="n">
        <v>2</v>
      </c>
      <c r="I6794" s="31" t="s">
        <v>149</v>
      </c>
      <c r="J6794" s="31"/>
      <c r="K6794" s="31" t="s">
        <v>150</v>
      </c>
      <c r="L6794" s="45" t="n">
        <f aca="false">DATE(YEAR(B6794),MONTH(B6794),1)</f>
        <v>46266</v>
      </c>
      <c r="M6794" s="31" t="n">
        <f aca="false">WEEKDAY(B6794,2)</f>
        <v>2</v>
      </c>
      <c r="N6794" s="31" t="str">
        <f aca="false">IF(G6794&lt;=INDEX(Assumptions!$B$15:$B$18,MATCH(E6794,Assumptions!$A$15:$A$18,0)),"Yes","No")</f>
        <v>Yes</v>
      </c>
      <c r="O6794" s="31" t="str">
        <f aca="false">IF(H6794="","Open",IF(H6794&lt;=INDEX(Assumptions!$C$15:$C$18,MATCH(E6794,Assumptions!$A$15:$A$18,0)),"Yes","No"))</f>
        <v>Yes</v>
      </c>
    </row>
    <row r="6795" customFormat="false" ht="15" hidden="false" customHeight="false" outlineLevel="0" collapsed="false">
      <c r="A6795" s="31" t="s">
        <v>6945</v>
      </c>
      <c r="B6795" s="44" t="n">
        <v>46294</v>
      </c>
      <c r="C6795" s="31" t="s">
        <v>59</v>
      </c>
      <c r="D6795" s="31" t="s">
        <v>69</v>
      </c>
      <c r="E6795" s="31" t="s">
        <v>51</v>
      </c>
      <c r="F6795" s="31" t="s">
        <v>137</v>
      </c>
      <c r="G6795" s="31" t="n">
        <v>32</v>
      </c>
      <c r="H6795" s="41" t="n">
        <v>27.2</v>
      </c>
      <c r="I6795" s="31" t="s">
        <v>149</v>
      </c>
      <c r="J6795" s="31"/>
      <c r="K6795" s="31" t="s">
        <v>150</v>
      </c>
      <c r="L6795" s="45" t="n">
        <f aca="false">DATE(YEAR(B6795),MONTH(B6795),1)</f>
        <v>46266</v>
      </c>
      <c r="M6795" s="31" t="n">
        <f aca="false">WEEKDAY(B6795,2)</f>
        <v>2</v>
      </c>
      <c r="N6795" s="31" t="str">
        <f aca="false">IF(G6795&lt;=INDEX(Assumptions!$B$15:$B$18,MATCH(E6795,Assumptions!$A$15:$A$18,0)),"Yes","No")</f>
        <v>Yes</v>
      </c>
      <c r="O6795" s="31" t="str">
        <f aca="false">IF(H6795="","Open",IF(H6795&lt;=INDEX(Assumptions!$C$15:$C$18,MATCH(E6795,Assumptions!$A$15:$A$18,0)),"Yes","No"))</f>
        <v>No</v>
      </c>
    </row>
    <row r="6796" customFormat="false" ht="15" hidden="false" customHeight="false" outlineLevel="0" collapsed="false">
      <c r="A6796" s="31" t="s">
        <v>6946</v>
      </c>
      <c r="B6796" s="44" t="n">
        <v>46294</v>
      </c>
      <c r="C6796" s="31" t="s">
        <v>59</v>
      </c>
      <c r="D6796" s="31" t="s">
        <v>65</v>
      </c>
      <c r="E6796" s="31" t="s">
        <v>50</v>
      </c>
      <c r="F6796" s="31" t="s">
        <v>135</v>
      </c>
      <c r="G6796" s="31" t="n">
        <v>120</v>
      </c>
      <c r="H6796" s="41" t="n">
        <v>3</v>
      </c>
      <c r="I6796" s="31" t="s">
        <v>149</v>
      </c>
      <c r="J6796" s="31" t="n">
        <v>4</v>
      </c>
      <c r="K6796" s="31" t="s">
        <v>150</v>
      </c>
      <c r="L6796" s="45" t="n">
        <f aca="false">DATE(YEAR(B6796),MONTH(B6796),1)</f>
        <v>46266</v>
      </c>
      <c r="M6796" s="31" t="n">
        <f aca="false">WEEKDAY(B6796,2)</f>
        <v>2</v>
      </c>
      <c r="N6796" s="31" t="str">
        <f aca="false">IF(G6796&lt;=INDEX(Assumptions!$B$15:$B$18,MATCH(E6796,Assumptions!$A$15:$A$18,0)),"Yes","No")</f>
        <v>No</v>
      </c>
      <c r="O6796" s="31" t="str">
        <f aca="false">IF(H6796="","Open",IF(H6796&lt;=INDEX(Assumptions!$C$15:$C$18,MATCH(E6796,Assumptions!$A$15:$A$18,0)),"Yes","No"))</f>
        <v>Yes</v>
      </c>
    </row>
    <row r="6797" customFormat="false" ht="15" hidden="false" customHeight="false" outlineLevel="0" collapsed="false">
      <c r="A6797" s="31" t="s">
        <v>6947</v>
      </c>
      <c r="B6797" s="44" t="n">
        <v>46294</v>
      </c>
      <c r="C6797" s="31" t="s">
        <v>59</v>
      </c>
      <c r="D6797" s="31" t="s">
        <v>67</v>
      </c>
      <c r="E6797" s="31" t="s">
        <v>51</v>
      </c>
      <c r="F6797" s="31" t="s">
        <v>130</v>
      </c>
      <c r="G6797" s="31" t="n">
        <v>38</v>
      </c>
      <c r="H6797" s="41" t="n">
        <v>31.3</v>
      </c>
      <c r="I6797" s="31" t="s">
        <v>149</v>
      </c>
      <c r="J6797" s="31" t="n">
        <v>4</v>
      </c>
      <c r="K6797" s="31" t="s">
        <v>150</v>
      </c>
      <c r="L6797" s="45" t="n">
        <f aca="false">DATE(YEAR(B6797),MONTH(B6797),1)</f>
        <v>46266</v>
      </c>
      <c r="M6797" s="31" t="n">
        <f aca="false">WEEKDAY(B6797,2)</f>
        <v>2</v>
      </c>
      <c r="N6797" s="31" t="str">
        <f aca="false">IF(G6797&lt;=INDEX(Assumptions!$B$15:$B$18,MATCH(E6797,Assumptions!$A$15:$A$18,0)),"Yes","No")</f>
        <v>Yes</v>
      </c>
      <c r="O6797" s="31" t="str">
        <f aca="false">IF(H6797="","Open",IF(H6797&lt;=INDEX(Assumptions!$C$15:$C$18,MATCH(E6797,Assumptions!$A$15:$A$18,0)),"Yes","No"))</f>
        <v>No</v>
      </c>
    </row>
    <row r="6798" customFormat="false" ht="15" hidden="false" customHeight="false" outlineLevel="0" collapsed="false">
      <c r="A6798" s="31" t="s">
        <v>6948</v>
      </c>
      <c r="B6798" s="44" t="n">
        <v>46294</v>
      </c>
      <c r="C6798" s="31" t="s">
        <v>58</v>
      </c>
      <c r="D6798" s="31" t="s">
        <v>68</v>
      </c>
      <c r="E6798" s="31" t="s">
        <v>52</v>
      </c>
      <c r="F6798" s="31" t="s">
        <v>137</v>
      </c>
      <c r="G6798" s="31" t="n">
        <v>28</v>
      </c>
      <c r="H6798" s="41"/>
      <c r="I6798" s="31" t="s">
        <v>158</v>
      </c>
      <c r="J6798" s="31"/>
      <c r="K6798" s="31" t="s">
        <v>150</v>
      </c>
      <c r="L6798" s="45" t="n">
        <f aca="false">DATE(YEAR(B6798),MONTH(B6798),1)</f>
        <v>46266</v>
      </c>
      <c r="M6798" s="31" t="n">
        <f aca="false">WEEKDAY(B6798,2)</f>
        <v>2</v>
      </c>
      <c r="N6798" s="31" t="str">
        <f aca="false">IF(G6798&lt;=INDEX(Assumptions!$B$15:$B$18,MATCH(E6798,Assumptions!$A$15:$A$18,0)),"Yes","No")</f>
        <v>Yes</v>
      </c>
      <c r="O6798" s="31" t="str">
        <f aca="false">IF(H6798="","Open",IF(H6798&lt;=INDEX(Assumptions!$C$15:$C$18,MATCH(E6798,Assumptions!$A$15:$A$18,0)),"Yes","No"))</f>
        <v>Open</v>
      </c>
    </row>
    <row r="6799" customFormat="false" ht="15" hidden="false" customHeight="false" outlineLevel="0" collapsed="false">
      <c r="A6799" s="31" t="s">
        <v>6949</v>
      </c>
      <c r="B6799" s="44" t="n">
        <v>46294</v>
      </c>
      <c r="C6799" s="31" t="s">
        <v>58</v>
      </c>
      <c r="D6799" s="31" t="s">
        <v>66</v>
      </c>
      <c r="E6799" s="31" t="s">
        <v>51</v>
      </c>
      <c r="F6799" s="31" t="s">
        <v>128</v>
      </c>
      <c r="G6799" s="31" t="n">
        <v>13</v>
      </c>
      <c r="H6799" s="41"/>
      <c r="I6799" s="31" t="s">
        <v>158</v>
      </c>
      <c r="J6799" s="31"/>
      <c r="K6799" s="31" t="s">
        <v>150</v>
      </c>
      <c r="L6799" s="45" t="n">
        <f aca="false">DATE(YEAR(B6799),MONTH(B6799),1)</f>
        <v>46266</v>
      </c>
      <c r="M6799" s="31" t="n">
        <f aca="false">WEEKDAY(B6799,2)</f>
        <v>2</v>
      </c>
      <c r="N6799" s="31" t="str">
        <f aca="false">IF(G6799&lt;=INDEX(Assumptions!$B$15:$B$18,MATCH(E6799,Assumptions!$A$15:$A$18,0)),"Yes","No")</f>
        <v>Yes</v>
      </c>
      <c r="O6799" s="31" t="str">
        <f aca="false">IF(H6799="","Open",IF(H6799&lt;=INDEX(Assumptions!$C$15:$C$18,MATCH(E6799,Assumptions!$A$15:$A$18,0)),"Yes","No"))</f>
        <v>Open</v>
      </c>
    </row>
    <row r="6800" customFormat="false" ht="15" hidden="false" customHeight="false" outlineLevel="0" collapsed="false">
      <c r="A6800" s="31" t="s">
        <v>6950</v>
      </c>
      <c r="B6800" s="44" t="n">
        <v>46294</v>
      </c>
      <c r="C6800" s="31" t="s">
        <v>57</v>
      </c>
      <c r="D6800" s="31" t="s">
        <v>65</v>
      </c>
      <c r="E6800" s="31" t="s">
        <v>51</v>
      </c>
      <c r="F6800" s="31" t="s">
        <v>123</v>
      </c>
      <c r="G6800" s="31" t="n">
        <v>4</v>
      </c>
      <c r="H6800" s="41" t="n">
        <v>19.6</v>
      </c>
      <c r="I6800" s="31" t="s">
        <v>64</v>
      </c>
      <c r="J6800" s="31"/>
      <c r="K6800" s="31" t="s">
        <v>150</v>
      </c>
      <c r="L6800" s="45" t="n">
        <f aca="false">DATE(YEAR(B6800),MONTH(B6800),1)</f>
        <v>46266</v>
      </c>
      <c r="M6800" s="31" t="n">
        <f aca="false">WEEKDAY(B6800,2)</f>
        <v>2</v>
      </c>
      <c r="N6800" s="31" t="str">
        <f aca="false">IF(G6800&lt;=INDEX(Assumptions!$B$15:$B$18,MATCH(E6800,Assumptions!$A$15:$A$18,0)),"Yes","No")</f>
        <v>Yes</v>
      </c>
      <c r="O6800" s="31" t="str">
        <f aca="false">IF(H6800="","Open",IF(H6800&lt;=INDEX(Assumptions!$C$15:$C$18,MATCH(E6800,Assumptions!$A$15:$A$18,0)),"Yes","No"))</f>
        <v>Yes</v>
      </c>
    </row>
    <row r="6801" customFormat="false" ht="15" hidden="false" customHeight="false" outlineLevel="0" collapsed="false">
      <c r="A6801" s="31" t="s">
        <v>6951</v>
      </c>
      <c r="B6801" s="44" t="n">
        <v>46294</v>
      </c>
      <c r="C6801" s="31" t="s">
        <v>59</v>
      </c>
      <c r="D6801" s="31" t="s">
        <v>66</v>
      </c>
      <c r="E6801" s="31" t="s">
        <v>51</v>
      </c>
      <c r="F6801" s="31" t="s">
        <v>128</v>
      </c>
      <c r="G6801" s="31" t="n">
        <v>57</v>
      </c>
      <c r="H6801" s="41" t="n">
        <v>12.8</v>
      </c>
      <c r="I6801" s="31" t="s">
        <v>149</v>
      </c>
      <c r="J6801" s="31"/>
      <c r="K6801" s="31" t="s">
        <v>150</v>
      </c>
      <c r="L6801" s="45" t="n">
        <f aca="false">DATE(YEAR(B6801),MONTH(B6801),1)</f>
        <v>46266</v>
      </c>
      <c r="M6801" s="31" t="n">
        <f aca="false">WEEKDAY(B6801,2)</f>
        <v>2</v>
      </c>
      <c r="N6801" s="31" t="str">
        <f aca="false">IF(G6801&lt;=INDEX(Assumptions!$B$15:$B$18,MATCH(E6801,Assumptions!$A$15:$A$18,0)),"Yes","No")</f>
        <v>Yes</v>
      </c>
      <c r="O6801" s="31" t="str">
        <f aca="false">IF(H6801="","Open",IF(H6801&lt;=INDEX(Assumptions!$C$15:$C$18,MATCH(E6801,Assumptions!$A$15:$A$18,0)),"Yes","No"))</f>
        <v>Yes</v>
      </c>
    </row>
    <row r="6802" customFormat="false" ht="15" hidden="false" customHeight="false" outlineLevel="0" collapsed="false">
      <c r="A6802" s="31" t="s">
        <v>6952</v>
      </c>
      <c r="B6802" s="44" t="n">
        <v>46294</v>
      </c>
      <c r="C6802" s="31" t="s">
        <v>60</v>
      </c>
      <c r="D6802" s="31" t="s">
        <v>66</v>
      </c>
      <c r="E6802" s="31" t="s">
        <v>52</v>
      </c>
      <c r="F6802" s="31" t="s">
        <v>122</v>
      </c>
      <c r="G6802" s="31" t="n">
        <v>2</v>
      </c>
      <c r="H6802" s="41"/>
      <c r="I6802" s="31" t="s">
        <v>158</v>
      </c>
      <c r="J6802" s="31"/>
      <c r="K6802" s="31" t="s">
        <v>150</v>
      </c>
      <c r="L6802" s="45" t="n">
        <f aca="false">DATE(YEAR(B6802),MONTH(B6802),1)</f>
        <v>46266</v>
      </c>
      <c r="M6802" s="31" t="n">
        <f aca="false">WEEKDAY(B6802,2)</f>
        <v>2</v>
      </c>
      <c r="N6802" s="31" t="str">
        <f aca="false">IF(G6802&lt;=INDEX(Assumptions!$B$15:$B$18,MATCH(E6802,Assumptions!$A$15:$A$18,0)),"Yes","No")</f>
        <v>Yes</v>
      </c>
      <c r="O6802" s="31" t="str">
        <f aca="false">IF(H6802="","Open",IF(H6802&lt;=INDEX(Assumptions!$C$15:$C$18,MATCH(E6802,Assumptions!$A$15:$A$18,0)),"Yes","No"))</f>
        <v>Open</v>
      </c>
    </row>
    <row r="6803" customFormat="false" ht="15" hidden="false" customHeight="false" outlineLevel="0" collapsed="false">
      <c r="A6803" s="31" t="s">
        <v>6953</v>
      </c>
      <c r="B6803" s="44" t="n">
        <v>46294</v>
      </c>
      <c r="C6803" s="31" t="s">
        <v>58</v>
      </c>
      <c r="D6803" s="31" t="s">
        <v>69</v>
      </c>
      <c r="E6803" s="31" t="s">
        <v>49</v>
      </c>
      <c r="F6803" s="31" t="s">
        <v>128</v>
      </c>
      <c r="G6803" s="31" t="n">
        <v>8</v>
      </c>
      <c r="H6803" s="41"/>
      <c r="I6803" s="31" t="s">
        <v>158</v>
      </c>
      <c r="J6803" s="31"/>
      <c r="K6803" s="31" t="s">
        <v>150</v>
      </c>
      <c r="L6803" s="45" t="n">
        <f aca="false">DATE(YEAR(B6803),MONTH(B6803),1)</f>
        <v>46266</v>
      </c>
      <c r="M6803" s="31" t="n">
        <f aca="false">WEEKDAY(B6803,2)</f>
        <v>2</v>
      </c>
      <c r="N6803" s="31" t="str">
        <f aca="false">IF(G6803&lt;=INDEX(Assumptions!$B$15:$B$18,MATCH(E6803,Assumptions!$A$15:$A$18,0)),"Yes","No")</f>
        <v>Yes</v>
      </c>
      <c r="O6803" s="31" t="str">
        <f aca="false">IF(H6803="","Open",IF(H6803&lt;=INDEX(Assumptions!$C$15:$C$18,MATCH(E6803,Assumptions!$A$15:$A$18,0)),"Yes","No"))</f>
        <v>Open</v>
      </c>
    </row>
    <row r="6804" customFormat="false" ht="15" hidden="false" customHeight="false" outlineLevel="0" collapsed="false">
      <c r="A6804" s="31" t="s">
        <v>6954</v>
      </c>
      <c r="B6804" s="44" t="n">
        <v>46294</v>
      </c>
      <c r="C6804" s="31" t="s">
        <v>57</v>
      </c>
      <c r="D6804" s="31" t="s">
        <v>65</v>
      </c>
      <c r="E6804" s="31" t="s">
        <v>51</v>
      </c>
      <c r="F6804" s="31" t="s">
        <v>120</v>
      </c>
      <c r="G6804" s="31" t="n">
        <v>3</v>
      </c>
      <c r="H6804" s="41"/>
      <c r="I6804" s="31" t="s">
        <v>158</v>
      </c>
      <c r="J6804" s="31"/>
      <c r="K6804" s="31" t="s">
        <v>150</v>
      </c>
      <c r="L6804" s="45" t="n">
        <f aca="false">DATE(YEAR(B6804),MONTH(B6804),1)</f>
        <v>46266</v>
      </c>
      <c r="M6804" s="31" t="n">
        <f aca="false">WEEKDAY(B6804,2)</f>
        <v>2</v>
      </c>
      <c r="N6804" s="31" t="str">
        <f aca="false">IF(G6804&lt;=INDEX(Assumptions!$B$15:$B$18,MATCH(E6804,Assumptions!$A$15:$A$18,0)),"Yes","No")</f>
        <v>Yes</v>
      </c>
      <c r="O6804" s="31" t="str">
        <f aca="false">IF(H6804="","Open",IF(H6804&lt;=INDEX(Assumptions!$C$15:$C$18,MATCH(E6804,Assumptions!$A$15:$A$18,0)),"Yes","No"))</f>
        <v>Open</v>
      </c>
    </row>
    <row r="6805" customFormat="false" ht="15" hidden="false" customHeight="false" outlineLevel="0" collapsed="false">
      <c r="A6805" s="31" t="s">
        <v>6955</v>
      </c>
      <c r="B6805" s="44" t="n">
        <v>46294</v>
      </c>
      <c r="C6805" s="31" t="s">
        <v>59</v>
      </c>
      <c r="D6805" s="31" t="s">
        <v>66</v>
      </c>
      <c r="E6805" s="31" t="s">
        <v>49</v>
      </c>
      <c r="F6805" s="31" t="s">
        <v>136</v>
      </c>
      <c r="G6805" s="31" t="n">
        <v>21</v>
      </c>
      <c r="H6805" s="41"/>
      <c r="I6805" s="31" t="s">
        <v>158</v>
      </c>
      <c r="J6805" s="31"/>
      <c r="K6805" s="31" t="s">
        <v>150</v>
      </c>
      <c r="L6805" s="45" t="n">
        <f aca="false">DATE(YEAR(B6805),MONTH(B6805),1)</f>
        <v>46266</v>
      </c>
      <c r="M6805" s="31" t="n">
        <f aca="false">WEEKDAY(B6805,2)</f>
        <v>2</v>
      </c>
      <c r="N6805" s="31" t="str">
        <f aca="false">IF(G6805&lt;=INDEX(Assumptions!$B$15:$B$18,MATCH(E6805,Assumptions!$A$15:$A$18,0)),"Yes","No")</f>
        <v>No</v>
      </c>
      <c r="O6805" s="31" t="str">
        <f aca="false">IF(H6805="","Open",IF(H6805&lt;=INDEX(Assumptions!$C$15:$C$18,MATCH(E6805,Assumptions!$A$15:$A$18,0)),"Yes","No"))</f>
        <v>Open</v>
      </c>
    </row>
    <row r="6806" customFormat="false" ht="15" hidden="false" customHeight="false" outlineLevel="0" collapsed="false">
      <c r="A6806" s="31" t="s">
        <v>6956</v>
      </c>
      <c r="B6806" s="44" t="n">
        <v>46294</v>
      </c>
      <c r="C6806" s="31" t="s">
        <v>58</v>
      </c>
      <c r="D6806" s="31" t="s">
        <v>66</v>
      </c>
      <c r="E6806" s="31" t="s">
        <v>51</v>
      </c>
      <c r="F6806" s="31" t="s">
        <v>137</v>
      </c>
      <c r="G6806" s="31" t="n">
        <v>15</v>
      </c>
      <c r="H6806" s="41" t="n">
        <v>3.7</v>
      </c>
      <c r="I6806" s="31" t="s">
        <v>149</v>
      </c>
      <c r="J6806" s="31" t="n">
        <v>5</v>
      </c>
      <c r="K6806" s="31" t="s">
        <v>153</v>
      </c>
      <c r="L6806" s="45" t="n">
        <f aca="false">DATE(YEAR(B6806),MONTH(B6806),1)</f>
        <v>46266</v>
      </c>
      <c r="M6806" s="31" t="n">
        <f aca="false">WEEKDAY(B6806,2)</f>
        <v>2</v>
      </c>
      <c r="N6806" s="31" t="str">
        <f aca="false">IF(G6806&lt;=INDEX(Assumptions!$B$15:$B$18,MATCH(E6806,Assumptions!$A$15:$A$18,0)),"Yes","No")</f>
        <v>Yes</v>
      </c>
      <c r="O6806" s="31" t="str">
        <f aca="false">IF(H6806="","Open",IF(H6806&lt;=INDEX(Assumptions!$C$15:$C$18,MATCH(E6806,Assumptions!$A$15:$A$18,0)),"Yes","No"))</f>
        <v>Yes</v>
      </c>
    </row>
    <row r="6807" customFormat="false" ht="15" hidden="false" customHeight="false" outlineLevel="0" collapsed="false">
      <c r="A6807" s="31" t="s">
        <v>6957</v>
      </c>
      <c r="B6807" s="44" t="n">
        <v>46294</v>
      </c>
      <c r="C6807" s="31" t="s">
        <v>58</v>
      </c>
      <c r="D6807" s="31" t="s">
        <v>67</v>
      </c>
      <c r="E6807" s="31" t="s">
        <v>52</v>
      </c>
      <c r="F6807" s="31" t="s">
        <v>126</v>
      </c>
      <c r="G6807" s="31" t="n">
        <v>2</v>
      </c>
      <c r="H6807" s="41" t="n">
        <v>12.8</v>
      </c>
      <c r="I6807" s="31" t="s">
        <v>149</v>
      </c>
      <c r="J6807" s="31" t="n">
        <v>5</v>
      </c>
      <c r="K6807" s="31" t="s">
        <v>150</v>
      </c>
      <c r="L6807" s="45" t="n">
        <f aca="false">DATE(YEAR(B6807),MONTH(B6807),1)</f>
        <v>46266</v>
      </c>
      <c r="M6807" s="31" t="n">
        <f aca="false">WEEKDAY(B6807,2)</f>
        <v>2</v>
      </c>
      <c r="N6807" s="31" t="str">
        <f aca="false">IF(G6807&lt;=INDEX(Assumptions!$B$15:$B$18,MATCH(E6807,Assumptions!$A$15:$A$18,0)),"Yes","No")</f>
        <v>Yes</v>
      </c>
      <c r="O6807" s="31" t="str">
        <f aca="false">IF(H6807="","Open",IF(H6807&lt;=INDEX(Assumptions!$C$15:$C$18,MATCH(E6807,Assumptions!$A$15:$A$18,0)),"Yes","No"))</f>
        <v>Yes</v>
      </c>
    </row>
    <row r="6808" customFormat="false" ht="15" hidden="false" customHeight="false" outlineLevel="0" collapsed="false">
      <c r="A6808" s="31" t="s">
        <v>6958</v>
      </c>
      <c r="B6808" s="44" t="n">
        <v>46294</v>
      </c>
      <c r="C6808" s="31" t="s">
        <v>59</v>
      </c>
      <c r="D6808" s="31" t="s">
        <v>65</v>
      </c>
      <c r="E6808" s="31" t="s">
        <v>51</v>
      </c>
      <c r="F6808" s="31" t="s">
        <v>120</v>
      </c>
      <c r="G6808" s="31" t="n">
        <v>249</v>
      </c>
      <c r="H6808" s="41"/>
      <c r="I6808" s="31" t="s">
        <v>158</v>
      </c>
      <c r="J6808" s="31"/>
      <c r="K6808" s="31" t="s">
        <v>150</v>
      </c>
      <c r="L6808" s="45" t="n">
        <f aca="false">DATE(YEAR(B6808),MONTH(B6808),1)</f>
        <v>46266</v>
      </c>
      <c r="M6808" s="31" t="n">
        <f aca="false">WEEKDAY(B6808,2)</f>
        <v>2</v>
      </c>
      <c r="N6808" s="31" t="str">
        <f aca="false">IF(G6808&lt;=INDEX(Assumptions!$B$15:$B$18,MATCH(E6808,Assumptions!$A$15:$A$18,0)),"Yes","No")</f>
        <v>No</v>
      </c>
      <c r="O6808" s="31" t="str">
        <f aca="false">IF(H6808="","Open",IF(H6808&lt;=INDEX(Assumptions!$C$15:$C$18,MATCH(E6808,Assumptions!$A$15:$A$18,0)),"Yes","No"))</f>
        <v>Open</v>
      </c>
    </row>
    <row r="6809" customFormat="false" ht="15" hidden="false" customHeight="false" outlineLevel="0" collapsed="false">
      <c r="A6809" s="31" t="s">
        <v>6959</v>
      </c>
      <c r="B6809" s="44" t="n">
        <v>46294</v>
      </c>
      <c r="C6809" s="31" t="s">
        <v>60</v>
      </c>
      <c r="D6809" s="31" t="s">
        <v>69</v>
      </c>
      <c r="E6809" s="31" t="s">
        <v>51</v>
      </c>
      <c r="F6809" s="31" t="s">
        <v>122</v>
      </c>
      <c r="G6809" s="31" t="n">
        <v>2</v>
      </c>
      <c r="H6809" s="41"/>
      <c r="I6809" s="31" t="s">
        <v>158</v>
      </c>
      <c r="J6809" s="31"/>
      <c r="K6809" s="31" t="s">
        <v>150</v>
      </c>
      <c r="L6809" s="45" t="n">
        <f aca="false">DATE(YEAR(B6809),MONTH(B6809),1)</f>
        <v>46266</v>
      </c>
      <c r="M6809" s="31" t="n">
        <f aca="false">WEEKDAY(B6809,2)</f>
        <v>2</v>
      </c>
      <c r="N6809" s="31" t="str">
        <f aca="false">IF(G6809&lt;=INDEX(Assumptions!$B$15:$B$18,MATCH(E6809,Assumptions!$A$15:$A$18,0)),"Yes","No")</f>
        <v>Yes</v>
      </c>
      <c r="O6809" s="31" t="str">
        <f aca="false">IF(H6809="","Open",IF(H6809&lt;=INDEX(Assumptions!$C$15:$C$18,MATCH(E6809,Assumptions!$A$15:$A$18,0)),"Yes","No"))</f>
        <v>Open</v>
      </c>
    </row>
    <row r="6810" customFormat="false" ht="15" hidden="false" customHeight="false" outlineLevel="0" collapsed="false">
      <c r="A6810" s="31" t="s">
        <v>6960</v>
      </c>
      <c r="B6810" s="44" t="n">
        <v>46294</v>
      </c>
      <c r="C6810" s="31" t="s">
        <v>57</v>
      </c>
      <c r="D6810" s="31" t="s">
        <v>68</v>
      </c>
      <c r="E6810" s="31" t="s">
        <v>52</v>
      </c>
      <c r="F6810" s="31" t="s">
        <v>130</v>
      </c>
      <c r="G6810" s="31" t="n">
        <v>10</v>
      </c>
      <c r="H6810" s="41"/>
      <c r="I6810" s="31" t="s">
        <v>158</v>
      </c>
      <c r="J6810" s="31"/>
      <c r="K6810" s="31" t="s">
        <v>150</v>
      </c>
      <c r="L6810" s="45" t="n">
        <f aca="false">DATE(YEAR(B6810),MONTH(B6810),1)</f>
        <v>46266</v>
      </c>
      <c r="M6810" s="31" t="n">
        <f aca="false">WEEKDAY(B6810,2)</f>
        <v>2</v>
      </c>
      <c r="N6810" s="31" t="str">
        <f aca="false">IF(G6810&lt;=INDEX(Assumptions!$B$15:$B$18,MATCH(E6810,Assumptions!$A$15:$A$18,0)),"Yes","No")</f>
        <v>Yes</v>
      </c>
      <c r="O6810" s="31" t="str">
        <f aca="false">IF(H6810="","Open",IF(H6810&lt;=INDEX(Assumptions!$C$15:$C$18,MATCH(E6810,Assumptions!$A$15:$A$18,0)),"Yes","No"))</f>
        <v>Open</v>
      </c>
    </row>
    <row r="6811" customFormat="false" ht="15" hidden="false" customHeight="false" outlineLevel="0" collapsed="false">
      <c r="A6811" s="31" t="s">
        <v>6961</v>
      </c>
      <c r="B6811" s="44" t="n">
        <v>46294</v>
      </c>
      <c r="C6811" s="31" t="s">
        <v>57</v>
      </c>
      <c r="D6811" s="31" t="s">
        <v>65</v>
      </c>
      <c r="E6811" s="31" t="s">
        <v>49</v>
      </c>
      <c r="F6811" s="31" t="s">
        <v>120</v>
      </c>
      <c r="G6811" s="31" t="n">
        <v>5</v>
      </c>
      <c r="H6811" s="41"/>
      <c r="I6811" s="31" t="s">
        <v>158</v>
      </c>
      <c r="J6811" s="31"/>
      <c r="K6811" s="31" t="s">
        <v>150</v>
      </c>
      <c r="L6811" s="45" t="n">
        <f aca="false">DATE(YEAR(B6811),MONTH(B6811),1)</f>
        <v>46266</v>
      </c>
      <c r="M6811" s="31" t="n">
        <f aca="false">WEEKDAY(B6811,2)</f>
        <v>2</v>
      </c>
      <c r="N6811" s="31" t="str">
        <f aca="false">IF(G6811&lt;=INDEX(Assumptions!$B$15:$B$18,MATCH(E6811,Assumptions!$A$15:$A$18,0)),"Yes","No")</f>
        <v>Yes</v>
      </c>
      <c r="O6811" s="31" t="str">
        <f aca="false">IF(H6811="","Open",IF(H6811&lt;=INDEX(Assumptions!$C$15:$C$18,MATCH(E6811,Assumptions!$A$15:$A$18,0)),"Yes","No"))</f>
        <v>Open</v>
      </c>
    </row>
    <row r="6812" customFormat="false" ht="15" hidden="false" customHeight="false" outlineLevel="0" collapsed="false">
      <c r="A6812" s="31" t="s">
        <v>6962</v>
      </c>
      <c r="B6812" s="44" t="n">
        <v>46294</v>
      </c>
      <c r="C6812" s="31" t="s">
        <v>60</v>
      </c>
      <c r="D6812" s="31" t="s">
        <v>68</v>
      </c>
      <c r="E6812" s="31" t="s">
        <v>51</v>
      </c>
      <c r="F6812" s="31" t="s">
        <v>117</v>
      </c>
      <c r="G6812" s="31" t="n">
        <v>1</v>
      </c>
      <c r="H6812" s="41"/>
      <c r="I6812" s="31" t="s">
        <v>158</v>
      </c>
      <c r="J6812" s="31"/>
      <c r="K6812" s="31" t="s">
        <v>150</v>
      </c>
      <c r="L6812" s="45" t="n">
        <f aca="false">DATE(YEAR(B6812),MONTH(B6812),1)</f>
        <v>46266</v>
      </c>
      <c r="M6812" s="31" t="n">
        <f aca="false">WEEKDAY(B6812,2)</f>
        <v>2</v>
      </c>
      <c r="N6812" s="31" t="str">
        <f aca="false">IF(G6812&lt;=INDEX(Assumptions!$B$15:$B$18,MATCH(E6812,Assumptions!$A$15:$A$18,0)),"Yes","No")</f>
        <v>Yes</v>
      </c>
      <c r="O6812" s="31" t="str">
        <f aca="false">IF(H6812="","Open",IF(H6812&lt;=INDEX(Assumptions!$C$15:$C$18,MATCH(E6812,Assumptions!$A$15:$A$18,0)),"Yes","No"))</f>
        <v>Open</v>
      </c>
    </row>
    <row r="6813" customFormat="false" ht="15" hidden="false" customHeight="false" outlineLevel="0" collapsed="false">
      <c r="A6813" s="31" t="s">
        <v>6963</v>
      </c>
      <c r="B6813" s="44" t="n">
        <v>46294</v>
      </c>
      <c r="C6813" s="31" t="s">
        <v>57</v>
      </c>
      <c r="D6813" s="31" t="s">
        <v>65</v>
      </c>
      <c r="E6813" s="31" t="s">
        <v>50</v>
      </c>
      <c r="F6813" s="31" t="s">
        <v>137</v>
      </c>
      <c r="G6813" s="31" t="n">
        <v>2</v>
      </c>
      <c r="H6813" s="41" t="n">
        <v>74.3</v>
      </c>
      <c r="I6813" s="31" t="s">
        <v>64</v>
      </c>
      <c r="J6813" s="31"/>
      <c r="K6813" s="31" t="s">
        <v>150</v>
      </c>
      <c r="L6813" s="45" t="n">
        <f aca="false">DATE(YEAR(B6813),MONTH(B6813),1)</f>
        <v>46266</v>
      </c>
      <c r="M6813" s="31" t="n">
        <f aca="false">WEEKDAY(B6813,2)</f>
        <v>2</v>
      </c>
      <c r="N6813" s="31" t="str">
        <f aca="false">IF(G6813&lt;=INDEX(Assumptions!$B$15:$B$18,MATCH(E6813,Assumptions!$A$15:$A$18,0)),"Yes","No")</f>
        <v>Yes</v>
      </c>
      <c r="O6813" s="31" t="str">
        <f aca="false">IF(H6813="","Open",IF(H6813&lt;=INDEX(Assumptions!$C$15:$C$18,MATCH(E6813,Assumptions!$A$15:$A$18,0)),"Yes","No"))</f>
        <v>No</v>
      </c>
    </row>
    <row r="6814" customFormat="false" ht="15" hidden="false" customHeight="false" outlineLevel="0" collapsed="false">
      <c r="A6814" s="31" t="s">
        <v>6964</v>
      </c>
      <c r="B6814" s="44" t="n">
        <v>46294</v>
      </c>
      <c r="C6814" s="31" t="s">
        <v>58</v>
      </c>
      <c r="D6814" s="31" t="s">
        <v>65</v>
      </c>
      <c r="E6814" s="31" t="s">
        <v>51</v>
      </c>
      <c r="F6814" s="31" t="s">
        <v>127</v>
      </c>
      <c r="G6814" s="31" t="n">
        <v>21</v>
      </c>
      <c r="H6814" s="41"/>
      <c r="I6814" s="31" t="s">
        <v>158</v>
      </c>
      <c r="J6814" s="31"/>
      <c r="K6814" s="31" t="s">
        <v>150</v>
      </c>
      <c r="L6814" s="45" t="n">
        <f aca="false">DATE(YEAR(B6814),MONTH(B6814),1)</f>
        <v>46266</v>
      </c>
      <c r="M6814" s="31" t="n">
        <f aca="false">WEEKDAY(B6814,2)</f>
        <v>2</v>
      </c>
      <c r="N6814" s="31" t="str">
        <f aca="false">IF(G6814&lt;=INDEX(Assumptions!$B$15:$B$18,MATCH(E6814,Assumptions!$A$15:$A$18,0)),"Yes","No")</f>
        <v>Yes</v>
      </c>
      <c r="O6814" s="31" t="str">
        <f aca="false">IF(H6814="","Open",IF(H6814&lt;=INDEX(Assumptions!$C$15:$C$18,MATCH(E6814,Assumptions!$A$15:$A$18,0)),"Yes","No"))</f>
        <v>Open</v>
      </c>
    </row>
    <row r="6815" customFormat="false" ht="15" hidden="false" customHeight="false" outlineLevel="0" collapsed="false">
      <c r="A6815" s="31" t="s">
        <v>6965</v>
      </c>
      <c r="B6815" s="44" t="n">
        <v>46294</v>
      </c>
      <c r="C6815" s="31" t="s">
        <v>57</v>
      </c>
      <c r="D6815" s="31" t="s">
        <v>67</v>
      </c>
      <c r="E6815" s="31" t="s">
        <v>52</v>
      </c>
      <c r="F6815" s="31" t="s">
        <v>119</v>
      </c>
      <c r="G6815" s="31" t="n">
        <v>5</v>
      </c>
      <c r="H6815" s="41"/>
      <c r="I6815" s="31" t="s">
        <v>158</v>
      </c>
      <c r="J6815" s="31"/>
      <c r="K6815" s="31" t="s">
        <v>150</v>
      </c>
      <c r="L6815" s="45" t="n">
        <f aca="false">DATE(YEAR(B6815),MONTH(B6815),1)</f>
        <v>46266</v>
      </c>
      <c r="M6815" s="31" t="n">
        <f aca="false">WEEKDAY(B6815,2)</f>
        <v>2</v>
      </c>
      <c r="N6815" s="31" t="str">
        <f aca="false">IF(G6815&lt;=INDEX(Assumptions!$B$15:$B$18,MATCH(E6815,Assumptions!$A$15:$A$18,0)),"Yes","No")</f>
        <v>Yes</v>
      </c>
      <c r="O6815" s="31" t="str">
        <f aca="false">IF(H6815="","Open",IF(H6815&lt;=INDEX(Assumptions!$C$15:$C$18,MATCH(E6815,Assumptions!$A$15:$A$18,0)),"Yes","No"))</f>
        <v>Open</v>
      </c>
    </row>
    <row r="6816" customFormat="false" ht="15" hidden="false" customHeight="false" outlineLevel="0" collapsed="false">
      <c r="A6816" s="31" t="s">
        <v>6966</v>
      </c>
      <c r="B6816" s="44" t="n">
        <v>46294</v>
      </c>
      <c r="C6816" s="31" t="s">
        <v>60</v>
      </c>
      <c r="D6816" s="31" t="s">
        <v>69</v>
      </c>
      <c r="E6816" s="31" t="s">
        <v>51</v>
      </c>
      <c r="F6816" s="31" t="s">
        <v>130</v>
      </c>
      <c r="G6816" s="31" t="n">
        <v>1</v>
      </c>
      <c r="H6816" s="41"/>
      <c r="I6816" s="31" t="s">
        <v>158</v>
      </c>
      <c r="J6816" s="31"/>
      <c r="K6816" s="31" t="s">
        <v>150</v>
      </c>
      <c r="L6816" s="45" t="n">
        <f aca="false">DATE(YEAR(B6816),MONTH(B6816),1)</f>
        <v>46266</v>
      </c>
      <c r="M6816" s="31" t="n">
        <f aca="false">WEEKDAY(B6816,2)</f>
        <v>2</v>
      </c>
      <c r="N6816" s="31" t="str">
        <f aca="false">IF(G6816&lt;=INDEX(Assumptions!$B$15:$B$18,MATCH(E6816,Assumptions!$A$15:$A$18,0)),"Yes","No")</f>
        <v>Yes</v>
      </c>
      <c r="O6816" s="31" t="str">
        <f aca="false">IF(H6816="","Open",IF(H6816&lt;=INDEX(Assumptions!$C$15:$C$18,MATCH(E6816,Assumptions!$A$15:$A$18,0)),"Yes","No"))</f>
        <v>Open</v>
      </c>
    </row>
    <row r="6817" customFormat="false" ht="15" hidden="false" customHeight="false" outlineLevel="0" collapsed="false">
      <c r="A6817" s="31" t="s">
        <v>6967</v>
      </c>
      <c r="B6817" s="44" t="n">
        <v>46294</v>
      </c>
      <c r="C6817" s="31" t="s">
        <v>57</v>
      </c>
      <c r="D6817" s="31" t="s">
        <v>69</v>
      </c>
      <c r="E6817" s="31" t="s">
        <v>51</v>
      </c>
      <c r="F6817" s="31" t="s">
        <v>127</v>
      </c>
      <c r="G6817" s="31" t="n">
        <v>4</v>
      </c>
      <c r="H6817" s="41"/>
      <c r="I6817" s="31" t="s">
        <v>158</v>
      </c>
      <c r="J6817" s="31"/>
      <c r="K6817" s="31" t="s">
        <v>150</v>
      </c>
      <c r="L6817" s="45" t="n">
        <f aca="false">DATE(YEAR(B6817),MONTH(B6817),1)</f>
        <v>46266</v>
      </c>
      <c r="M6817" s="31" t="n">
        <f aca="false">WEEKDAY(B6817,2)</f>
        <v>2</v>
      </c>
      <c r="N6817" s="31" t="str">
        <f aca="false">IF(G6817&lt;=INDEX(Assumptions!$B$15:$B$18,MATCH(E6817,Assumptions!$A$15:$A$18,0)),"Yes","No")</f>
        <v>Yes</v>
      </c>
      <c r="O6817" s="31" t="str">
        <f aca="false">IF(H6817="","Open",IF(H6817&lt;=INDEX(Assumptions!$C$15:$C$18,MATCH(E6817,Assumptions!$A$15:$A$18,0)),"Yes","No"))</f>
        <v>Open</v>
      </c>
    </row>
    <row r="6818" customFormat="false" ht="15" hidden="false" customHeight="false" outlineLevel="0" collapsed="false">
      <c r="A6818" s="31" t="s">
        <v>6968</v>
      </c>
      <c r="B6818" s="44" t="n">
        <v>46294</v>
      </c>
      <c r="C6818" s="31" t="s">
        <v>59</v>
      </c>
      <c r="D6818" s="31" t="s">
        <v>66</v>
      </c>
      <c r="E6818" s="31" t="s">
        <v>51</v>
      </c>
      <c r="F6818" s="31" t="s">
        <v>131</v>
      </c>
      <c r="G6818" s="31" t="n">
        <v>62</v>
      </c>
      <c r="H6818" s="41"/>
      <c r="I6818" s="31" t="s">
        <v>158</v>
      </c>
      <c r="J6818" s="31"/>
      <c r="K6818" s="31" t="s">
        <v>150</v>
      </c>
      <c r="L6818" s="45" t="n">
        <f aca="false">DATE(YEAR(B6818),MONTH(B6818),1)</f>
        <v>46266</v>
      </c>
      <c r="M6818" s="31" t="n">
        <f aca="false">WEEKDAY(B6818,2)</f>
        <v>2</v>
      </c>
      <c r="N6818" s="31" t="str">
        <f aca="false">IF(G6818&lt;=INDEX(Assumptions!$B$15:$B$18,MATCH(E6818,Assumptions!$A$15:$A$18,0)),"Yes","No")</f>
        <v>No</v>
      </c>
      <c r="O6818" s="31" t="str">
        <f aca="false">IF(H6818="","Open",IF(H6818&lt;=INDEX(Assumptions!$C$15:$C$18,MATCH(E6818,Assumptions!$A$15:$A$18,0)),"Yes","No"))</f>
        <v>Open</v>
      </c>
    </row>
    <row r="6819" customFormat="false" ht="15" hidden="false" customHeight="false" outlineLevel="0" collapsed="false">
      <c r="A6819" s="31" t="s">
        <v>6969</v>
      </c>
      <c r="B6819" s="44" t="n">
        <v>46294</v>
      </c>
      <c r="C6819" s="31" t="s">
        <v>60</v>
      </c>
      <c r="D6819" s="31" t="s">
        <v>69</v>
      </c>
      <c r="E6819" s="31" t="s">
        <v>52</v>
      </c>
      <c r="F6819" s="31" t="s">
        <v>129</v>
      </c>
      <c r="G6819" s="31" t="n">
        <v>3</v>
      </c>
      <c r="H6819" s="41"/>
      <c r="I6819" s="31" t="s">
        <v>158</v>
      </c>
      <c r="J6819" s="31"/>
      <c r="K6819" s="31" t="s">
        <v>150</v>
      </c>
      <c r="L6819" s="45" t="n">
        <f aca="false">DATE(YEAR(B6819),MONTH(B6819),1)</f>
        <v>46266</v>
      </c>
      <c r="M6819" s="31" t="n">
        <f aca="false">WEEKDAY(B6819,2)</f>
        <v>2</v>
      </c>
      <c r="N6819" s="31" t="str">
        <f aca="false">IF(G6819&lt;=INDEX(Assumptions!$B$15:$B$18,MATCH(E6819,Assumptions!$A$15:$A$18,0)),"Yes","No")</f>
        <v>Yes</v>
      </c>
      <c r="O6819" s="31" t="str">
        <f aca="false">IF(H6819="","Open",IF(H6819&lt;=INDEX(Assumptions!$C$15:$C$18,MATCH(E6819,Assumptions!$A$15:$A$18,0)),"Yes","No"))</f>
        <v>Open</v>
      </c>
    </row>
    <row r="6820" customFormat="false" ht="15" hidden="false" customHeight="false" outlineLevel="0" collapsed="false">
      <c r="A6820" s="31" t="s">
        <v>6970</v>
      </c>
      <c r="B6820" s="44" t="n">
        <v>46294</v>
      </c>
      <c r="C6820" s="31" t="s">
        <v>59</v>
      </c>
      <c r="D6820" s="31" t="s">
        <v>66</v>
      </c>
      <c r="E6820" s="31" t="s">
        <v>51</v>
      </c>
      <c r="F6820" s="31" t="s">
        <v>129</v>
      </c>
      <c r="G6820" s="31" t="n">
        <v>174</v>
      </c>
      <c r="H6820" s="41"/>
      <c r="I6820" s="31" t="s">
        <v>158</v>
      </c>
      <c r="J6820" s="31"/>
      <c r="K6820" s="31" t="s">
        <v>150</v>
      </c>
      <c r="L6820" s="45" t="n">
        <f aca="false">DATE(YEAR(B6820),MONTH(B6820),1)</f>
        <v>46266</v>
      </c>
      <c r="M6820" s="31" t="n">
        <f aca="false">WEEKDAY(B6820,2)</f>
        <v>2</v>
      </c>
      <c r="N6820" s="31" t="str">
        <f aca="false">IF(G6820&lt;=INDEX(Assumptions!$B$15:$B$18,MATCH(E6820,Assumptions!$A$15:$A$18,0)),"Yes","No")</f>
        <v>No</v>
      </c>
      <c r="O6820" s="31" t="str">
        <f aca="false">IF(H6820="","Open",IF(H6820&lt;=INDEX(Assumptions!$C$15:$C$18,MATCH(E6820,Assumptions!$A$15:$A$18,0)),"Yes","No"))</f>
        <v>Open</v>
      </c>
    </row>
    <row r="6821" customFormat="false" ht="15" hidden="false" customHeight="false" outlineLevel="0" collapsed="false">
      <c r="A6821" s="31" t="s">
        <v>6971</v>
      </c>
      <c r="B6821" s="44" t="n">
        <v>46294</v>
      </c>
      <c r="C6821" s="31" t="s">
        <v>58</v>
      </c>
      <c r="D6821" s="31" t="s">
        <v>68</v>
      </c>
      <c r="E6821" s="31" t="s">
        <v>51</v>
      </c>
      <c r="F6821" s="31" t="s">
        <v>127</v>
      </c>
      <c r="G6821" s="31" t="n">
        <v>5</v>
      </c>
      <c r="H6821" s="41"/>
      <c r="I6821" s="31" t="s">
        <v>158</v>
      </c>
      <c r="J6821" s="31"/>
      <c r="K6821" s="31" t="s">
        <v>150</v>
      </c>
      <c r="L6821" s="45" t="n">
        <f aca="false">DATE(YEAR(B6821),MONTH(B6821),1)</f>
        <v>46266</v>
      </c>
      <c r="M6821" s="31" t="n">
        <f aca="false">WEEKDAY(B6821,2)</f>
        <v>2</v>
      </c>
      <c r="N6821" s="31" t="str">
        <f aca="false">IF(G6821&lt;=INDEX(Assumptions!$B$15:$B$18,MATCH(E6821,Assumptions!$A$15:$A$18,0)),"Yes","No")</f>
        <v>Yes</v>
      </c>
      <c r="O6821" s="31" t="str">
        <f aca="false">IF(H6821="","Open",IF(H6821&lt;=INDEX(Assumptions!$C$15:$C$18,MATCH(E6821,Assumptions!$A$15:$A$18,0)),"Yes","No"))</f>
        <v>Open</v>
      </c>
    </row>
    <row r="6822" customFormat="false" ht="15" hidden="false" customHeight="false" outlineLevel="0" collapsed="false">
      <c r="A6822" s="31" t="s">
        <v>6972</v>
      </c>
      <c r="B6822" s="44" t="n">
        <v>46294</v>
      </c>
      <c r="C6822" s="31" t="s">
        <v>58</v>
      </c>
      <c r="D6822" s="31" t="s">
        <v>66</v>
      </c>
      <c r="E6822" s="31" t="s">
        <v>52</v>
      </c>
      <c r="F6822" s="31" t="s">
        <v>137</v>
      </c>
      <c r="G6822" s="31" t="n">
        <v>18</v>
      </c>
      <c r="H6822" s="41"/>
      <c r="I6822" s="31" t="s">
        <v>158</v>
      </c>
      <c r="J6822" s="31"/>
      <c r="K6822" s="31" t="s">
        <v>150</v>
      </c>
      <c r="L6822" s="45" t="n">
        <f aca="false">DATE(YEAR(B6822),MONTH(B6822),1)</f>
        <v>46266</v>
      </c>
      <c r="M6822" s="31" t="n">
        <f aca="false">WEEKDAY(B6822,2)</f>
        <v>2</v>
      </c>
      <c r="N6822" s="31" t="str">
        <f aca="false">IF(G6822&lt;=INDEX(Assumptions!$B$15:$B$18,MATCH(E6822,Assumptions!$A$15:$A$18,0)),"Yes","No")</f>
        <v>Yes</v>
      </c>
      <c r="O6822" s="31" t="str">
        <f aca="false">IF(H6822="","Open",IF(H6822&lt;=INDEX(Assumptions!$C$15:$C$18,MATCH(E6822,Assumptions!$A$15:$A$18,0)),"Yes","No"))</f>
        <v>Open</v>
      </c>
    </row>
    <row r="6823" customFormat="false" ht="15" hidden="false" customHeight="false" outlineLevel="0" collapsed="false">
      <c r="A6823" s="31" t="s">
        <v>6973</v>
      </c>
      <c r="B6823" s="44" t="n">
        <v>46294</v>
      </c>
      <c r="C6823" s="31" t="s">
        <v>57</v>
      </c>
      <c r="D6823" s="31" t="s">
        <v>65</v>
      </c>
      <c r="E6823" s="31" t="s">
        <v>49</v>
      </c>
      <c r="F6823" s="31" t="s">
        <v>135</v>
      </c>
      <c r="G6823" s="31" t="n">
        <v>13</v>
      </c>
      <c r="H6823" s="41"/>
      <c r="I6823" s="31" t="s">
        <v>158</v>
      </c>
      <c r="J6823" s="31"/>
      <c r="K6823" s="31" t="s">
        <v>150</v>
      </c>
      <c r="L6823" s="45" t="n">
        <f aca="false">DATE(YEAR(B6823),MONTH(B6823),1)</f>
        <v>46266</v>
      </c>
      <c r="M6823" s="31" t="n">
        <f aca="false">WEEKDAY(B6823,2)</f>
        <v>2</v>
      </c>
      <c r="N6823" s="31" t="str">
        <f aca="false">IF(G6823&lt;=INDEX(Assumptions!$B$15:$B$18,MATCH(E6823,Assumptions!$A$15:$A$18,0)),"Yes","No")</f>
        <v>Yes</v>
      </c>
      <c r="O6823" s="31" t="str">
        <f aca="false">IF(H6823="","Open",IF(H6823&lt;=INDEX(Assumptions!$C$15:$C$18,MATCH(E6823,Assumptions!$A$15:$A$18,0)),"Yes","No"))</f>
        <v>Open</v>
      </c>
    </row>
    <row r="6824" customFormat="false" ht="15" hidden="false" customHeight="false" outlineLevel="0" collapsed="false">
      <c r="A6824" s="31" t="s">
        <v>6974</v>
      </c>
      <c r="B6824" s="44" t="n">
        <v>46294</v>
      </c>
      <c r="C6824" s="31" t="s">
        <v>58</v>
      </c>
      <c r="D6824" s="31" t="s">
        <v>66</v>
      </c>
      <c r="E6824" s="31" t="s">
        <v>52</v>
      </c>
      <c r="F6824" s="31" t="s">
        <v>117</v>
      </c>
      <c r="G6824" s="31" t="n">
        <v>7</v>
      </c>
      <c r="H6824" s="41"/>
      <c r="I6824" s="31" t="s">
        <v>158</v>
      </c>
      <c r="J6824" s="31"/>
      <c r="K6824" s="31" t="s">
        <v>150</v>
      </c>
      <c r="L6824" s="45" t="n">
        <f aca="false">DATE(YEAR(B6824),MONTH(B6824),1)</f>
        <v>46266</v>
      </c>
      <c r="M6824" s="31" t="n">
        <f aca="false">WEEKDAY(B6824,2)</f>
        <v>2</v>
      </c>
      <c r="N6824" s="31" t="str">
        <f aca="false">IF(G6824&lt;=INDEX(Assumptions!$B$15:$B$18,MATCH(E6824,Assumptions!$A$15:$A$18,0)),"Yes","No")</f>
        <v>Yes</v>
      </c>
      <c r="O6824" s="31" t="str">
        <f aca="false">IF(H6824="","Open",IF(H6824&lt;=INDEX(Assumptions!$C$15:$C$18,MATCH(E6824,Assumptions!$A$15:$A$18,0)),"Yes","No"))</f>
        <v>Open</v>
      </c>
    </row>
    <row r="6825" customFormat="false" ht="15" hidden="false" customHeight="false" outlineLevel="0" collapsed="false">
      <c r="A6825" s="31" t="s">
        <v>6975</v>
      </c>
      <c r="B6825" s="44" t="n">
        <v>46294</v>
      </c>
      <c r="C6825" s="31" t="s">
        <v>57</v>
      </c>
      <c r="D6825" s="31" t="s">
        <v>65</v>
      </c>
      <c r="E6825" s="31" t="s">
        <v>49</v>
      </c>
      <c r="F6825" s="31" t="s">
        <v>127</v>
      </c>
      <c r="G6825" s="31" t="n">
        <v>2</v>
      </c>
      <c r="H6825" s="41"/>
      <c r="I6825" s="31" t="s">
        <v>158</v>
      </c>
      <c r="J6825" s="31"/>
      <c r="K6825" s="31" t="s">
        <v>150</v>
      </c>
      <c r="L6825" s="45" t="n">
        <f aca="false">DATE(YEAR(B6825),MONTH(B6825),1)</f>
        <v>46266</v>
      </c>
      <c r="M6825" s="31" t="n">
        <f aca="false">WEEKDAY(B6825,2)</f>
        <v>2</v>
      </c>
      <c r="N6825" s="31" t="str">
        <f aca="false">IF(G6825&lt;=INDEX(Assumptions!$B$15:$B$18,MATCH(E6825,Assumptions!$A$15:$A$18,0)),"Yes","No")</f>
        <v>Yes</v>
      </c>
      <c r="O6825" s="31" t="str">
        <f aca="false">IF(H6825="","Open",IF(H6825&lt;=INDEX(Assumptions!$C$15:$C$18,MATCH(E6825,Assumptions!$A$15:$A$18,0)),"Yes","No"))</f>
        <v>Open</v>
      </c>
    </row>
    <row r="6826" customFormat="false" ht="15" hidden="false" customHeight="false" outlineLevel="0" collapsed="false">
      <c r="A6826" s="31" t="s">
        <v>6976</v>
      </c>
      <c r="B6826" s="44" t="n">
        <v>46294</v>
      </c>
      <c r="C6826" s="31" t="s">
        <v>57</v>
      </c>
      <c r="D6826" s="31" t="s">
        <v>65</v>
      </c>
      <c r="E6826" s="31" t="s">
        <v>51</v>
      </c>
      <c r="F6826" s="31" t="s">
        <v>130</v>
      </c>
      <c r="G6826" s="31" t="n">
        <v>1</v>
      </c>
      <c r="H6826" s="41" t="n">
        <v>8.2</v>
      </c>
      <c r="I6826" s="31" t="s">
        <v>149</v>
      </c>
      <c r="J6826" s="31" t="n">
        <v>5</v>
      </c>
      <c r="K6826" s="31" t="s">
        <v>150</v>
      </c>
      <c r="L6826" s="45" t="n">
        <f aca="false">DATE(YEAR(B6826),MONTH(B6826),1)</f>
        <v>46266</v>
      </c>
      <c r="M6826" s="31" t="n">
        <f aca="false">WEEKDAY(B6826,2)</f>
        <v>2</v>
      </c>
      <c r="N6826" s="31" t="str">
        <f aca="false">IF(G6826&lt;=INDEX(Assumptions!$B$15:$B$18,MATCH(E6826,Assumptions!$A$15:$A$18,0)),"Yes","No")</f>
        <v>Yes</v>
      </c>
      <c r="O6826" s="31" t="str">
        <f aca="false">IF(H6826="","Open",IF(H6826&lt;=INDEX(Assumptions!$C$15:$C$18,MATCH(E6826,Assumptions!$A$15:$A$18,0)),"Yes","No"))</f>
        <v>Yes</v>
      </c>
    </row>
    <row r="6827" customFormat="false" ht="15" hidden="false" customHeight="false" outlineLevel="0" collapsed="false">
      <c r="A6827" s="31" t="s">
        <v>6977</v>
      </c>
      <c r="B6827" s="44" t="n">
        <v>46294</v>
      </c>
      <c r="C6827" s="31" t="s">
        <v>60</v>
      </c>
      <c r="D6827" s="31" t="s">
        <v>67</v>
      </c>
      <c r="E6827" s="31" t="s">
        <v>51</v>
      </c>
      <c r="F6827" s="31" t="s">
        <v>124</v>
      </c>
      <c r="G6827" s="31" t="n">
        <v>2</v>
      </c>
      <c r="H6827" s="41"/>
      <c r="I6827" s="31" t="s">
        <v>158</v>
      </c>
      <c r="J6827" s="31"/>
      <c r="K6827" s="31" t="s">
        <v>150</v>
      </c>
      <c r="L6827" s="45" t="n">
        <f aca="false">DATE(YEAR(B6827),MONTH(B6827),1)</f>
        <v>46266</v>
      </c>
      <c r="M6827" s="31" t="n">
        <f aca="false">WEEKDAY(B6827,2)</f>
        <v>2</v>
      </c>
      <c r="N6827" s="31" t="str">
        <f aca="false">IF(G6827&lt;=INDEX(Assumptions!$B$15:$B$18,MATCH(E6827,Assumptions!$A$15:$A$18,0)),"Yes","No")</f>
        <v>Yes</v>
      </c>
      <c r="O6827" s="31" t="str">
        <f aca="false">IF(H6827="","Open",IF(H6827&lt;=INDEX(Assumptions!$C$15:$C$18,MATCH(E6827,Assumptions!$A$15:$A$18,0)),"Yes","No"))</f>
        <v>Open</v>
      </c>
    </row>
    <row r="6828" customFormat="false" ht="15" hidden="false" customHeight="false" outlineLevel="0" collapsed="false">
      <c r="A6828" s="31" t="s">
        <v>6978</v>
      </c>
      <c r="B6828" s="44" t="n">
        <v>46294</v>
      </c>
      <c r="C6828" s="31" t="s">
        <v>60</v>
      </c>
      <c r="D6828" s="31" t="s">
        <v>68</v>
      </c>
      <c r="E6828" s="31" t="s">
        <v>52</v>
      </c>
      <c r="F6828" s="31" t="s">
        <v>134</v>
      </c>
      <c r="G6828" s="31" t="n">
        <v>4</v>
      </c>
      <c r="H6828" s="41"/>
      <c r="I6828" s="31" t="s">
        <v>158</v>
      </c>
      <c r="J6828" s="31"/>
      <c r="K6828" s="31" t="s">
        <v>150</v>
      </c>
      <c r="L6828" s="45" t="n">
        <f aca="false">DATE(YEAR(B6828),MONTH(B6828),1)</f>
        <v>46266</v>
      </c>
      <c r="M6828" s="31" t="n">
        <f aca="false">WEEKDAY(B6828,2)</f>
        <v>2</v>
      </c>
      <c r="N6828" s="31" t="str">
        <f aca="false">IF(G6828&lt;=INDEX(Assumptions!$B$15:$B$18,MATCH(E6828,Assumptions!$A$15:$A$18,0)),"Yes","No")</f>
        <v>Yes</v>
      </c>
      <c r="O6828" s="31" t="str">
        <f aca="false">IF(H6828="","Open",IF(H6828&lt;=INDEX(Assumptions!$C$15:$C$18,MATCH(E6828,Assumptions!$A$15:$A$18,0)),"Yes","No"))</f>
        <v>Open</v>
      </c>
    </row>
    <row r="6829" customFormat="false" ht="15" hidden="false" customHeight="false" outlineLevel="0" collapsed="false">
      <c r="A6829" s="31" t="s">
        <v>6979</v>
      </c>
      <c r="B6829" s="44" t="n">
        <v>46294</v>
      </c>
      <c r="C6829" s="31" t="s">
        <v>58</v>
      </c>
      <c r="D6829" s="31" t="s">
        <v>65</v>
      </c>
      <c r="E6829" s="31" t="s">
        <v>50</v>
      </c>
      <c r="F6829" s="31" t="s">
        <v>128</v>
      </c>
      <c r="G6829" s="31" t="n">
        <v>9</v>
      </c>
      <c r="H6829" s="41"/>
      <c r="I6829" s="31" t="s">
        <v>158</v>
      </c>
      <c r="J6829" s="31"/>
      <c r="K6829" s="31" t="s">
        <v>150</v>
      </c>
      <c r="L6829" s="45" t="n">
        <f aca="false">DATE(YEAR(B6829),MONTH(B6829),1)</f>
        <v>46266</v>
      </c>
      <c r="M6829" s="31" t="n">
        <f aca="false">WEEKDAY(B6829,2)</f>
        <v>2</v>
      </c>
      <c r="N6829" s="31" t="str">
        <f aca="false">IF(G6829&lt;=INDEX(Assumptions!$B$15:$B$18,MATCH(E6829,Assumptions!$A$15:$A$18,0)),"Yes","No")</f>
        <v>Yes</v>
      </c>
      <c r="O6829" s="31" t="str">
        <f aca="false">IF(H6829="","Open",IF(H6829&lt;=INDEX(Assumptions!$C$15:$C$18,MATCH(E6829,Assumptions!$A$15:$A$18,0)),"Yes","No"))</f>
        <v>Open</v>
      </c>
    </row>
    <row r="6830" customFormat="false" ht="15" hidden="false" customHeight="false" outlineLevel="0" collapsed="false">
      <c r="A6830" s="31" t="s">
        <v>6980</v>
      </c>
      <c r="B6830" s="44" t="n">
        <v>46294</v>
      </c>
      <c r="C6830" s="31" t="s">
        <v>60</v>
      </c>
      <c r="D6830" s="31" t="s">
        <v>68</v>
      </c>
      <c r="E6830" s="31" t="s">
        <v>49</v>
      </c>
      <c r="F6830" s="31" t="s">
        <v>137</v>
      </c>
      <c r="G6830" s="31" t="n">
        <v>2</v>
      </c>
      <c r="H6830" s="41"/>
      <c r="I6830" s="31" t="s">
        <v>158</v>
      </c>
      <c r="J6830" s="31"/>
      <c r="K6830" s="31" t="s">
        <v>150</v>
      </c>
      <c r="L6830" s="45" t="n">
        <f aca="false">DATE(YEAR(B6830),MONTH(B6830),1)</f>
        <v>46266</v>
      </c>
      <c r="M6830" s="31" t="n">
        <f aca="false">WEEKDAY(B6830,2)</f>
        <v>2</v>
      </c>
      <c r="N6830" s="31" t="str">
        <f aca="false">IF(G6830&lt;=INDEX(Assumptions!$B$15:$B$18,MATCH(E6830,Assumptions!$A$15:$A$18,0)),"Yes","No")</f>
        <v>Yes</v>
      </c>
      <c r="O6830" s="31" t="str">
        <f aca="false">IF(H6830="","Open",IF(H6830&lt;=INDEX(Assumptions!$C$15:$C$18,MATCH(E6830,Assumptions!$A$15:$A$18,0)),"Yes","No"))</f>
        <v>Open</v>
      </c>
    </row>
    <row r="6831" customFormat="false" ht="15" hidden="false" customHeight="false" outlineLevel="0" collapsed="false">
      <c r="A6831" s="31" t="s">
        <v>6981</v>
      </c>
      <c r="B6831" s="44" t="n">
        <v>46294</v>
      </c>
      <c r="C6831" s="31" t="s">
        <v>60</v>
      </c>
      <c r="D6831" s="31" t="s">
        <v>68</v>
      </c>
      <c r="E6831" s="31" t="s">
        <v>51</v>
      </c>
      <c r="F6831" s="31" t="s">
        <v>117</v>
      </c>
      <c r="G6831" s="31" t="n">
        <v>1</v>
      </c>
      <c r="H6831" s="41"/>
      <c r="I6831" s="31" t="s">
        <v>158</v>
      </c>
      <c r="J6831" s="31"/>
      <c r="K6831" s="31" t="s">
        <v>150</v>
      </c>
      <c r="L6831" s="45" t="n">
        <f aca="false">DATE(YEAR(B6831),MONTH(B6831),1)</f>
        <v>46266</v>
      </c>
      <c r="M6831" s="31" t="n">
        <f aca="false">WEEKDAY(B6831,2)</f>
        <v>2</v>
      </c>
      <c r="N6831" s="31" t="str">
        <f aca="false">IF(G6831&lt;=INDEX(Assumptions!$B$15:$B$18,MATCH(E6831,Assumptions!$A$15:$A$18,0)),"Yes","No")</f>
        <v>Yes</v>
      </c>
      <c r="O6831" s="31" t="str">
        <f aca="false">IF(H6831="","Open",IF(H6831&lt;=INDEX(Assumptions!$C$15:$C$18,MATCH(E6831,Assumptions!$A$15:$A$18,0)),"Yes","No"))</f>
        <v>Open</v>
      </c>
    </row>
    <row r="6832" customFormat="false" ht="15" hidden="false" customHeight="false" outlineLevel="0" collapsed="false">
      <c r="A6832" s="31" t="s">
        <v>6982</v>
      </c>
      <c r="B6832" s="44" t="n">
        <v>46294</v>
      </c>
      <c r="C6832" s="31" t="s">
        <v>57</v>
      </c>
      <c r="D6832" s="31" t="s">
        <v>65</v>
      </c>
      <c r="E6832" s="31" t="s">
        <v>52</v>
      </c>
      <c r="F6832" s="31" t="s">
        <v>134</v>
      </c>
      <c r="G6832" s="31" t="n">
        <v>16</v>
      </c>
      <c r="H6832" s="41" t="n">
        <v>36.5</v>
      </c>
      <c r="I6832" s="31" t="s">
        <v>149</v>
      </c>
      <c r="J6832" s="31" t="n">
        <v>3</v>
      </c>
      <c r="K6832" s="31" t="s">
        <v>153</v>
      </c>
      <c r="L6832" s="45" t="n">
        <f aca="false">DATE(YEAR(B6832),MONTH(B6832),1)</f>
        <v>46266</v>
      </c>
      <c r="M6832" s="31" t="n">
        <f aca="false">WEEKDAY(B6832,2)</f>
        <v>2</v>
      </c>
      <c r="N6832" s="31" t="str">
        <f aca="false">IF(G6832&lt;=INDEX(Assumptions!$B$15:$B$18,MATCH(E6832,Assumptions!$A$15:$A$18,0)),"Yes","No")</f>
        <v>Yes</v>
      </c>
      <c r="O6832" s="31" t="str">
        <f aca="false">IF(H6832="","Open",IF(H6832&lt;=INDEX(Assumptions!$C$15:$C$18,MATCH(E6832,Assumptions!$A$15:$A$18,0)),"Yes","No"))</f>
        <v>Yes</v>
      </c>
    </row>
    <row r="6833" customFormat="false" ht="15" hidden="false" customHeight="false" outlineLevel="0" collapsed="false">
      <c r="A6833" s="31" t="s">
        <v>6983</v>
      </c>
      <c r="B6833" s="44" t="n">
        <v>46294</v>
      </c>
      <c r="C6833" s="31" t="s">
        <v>58</v>
      </c>
      <c r="D6833" s="31" t="s">
        <v>67</v>
      </c>
      <c r="E6833" s="31" t="s">
        <v>52</v>
      </c>
      <c r="F6833" s="31" t="s">
        <v>119</v>
      </c>
      <c r="G6833" s="31" t="n">
        <v>7</v>
      </c>
      <c r="H6833" s="41"/>
      <c r="I6833" s="31" t="s">
        <v>158</v>
      </c>
      <c r="J6833" s="31"/>
      <c r="K6833" s="31" t="s">
        <v>150</v>
      </c>
      <c r="L6833" s="45" t="n">
        <f aca="false">DATE(YEAR(B6833),MONTH(B6833),1)</f>
        <v>46266</v>
      </c>
      <c r="M6833" s="31" t="n">
        <f aca="false">WEEKDAY(B6833,2)</f>
        <v>2</v>
      </c>
      <c r="N6833" s="31" t="str">
        <f aca="false">IF(G6833&lt;=INDEX(Assumptions!$B$15:$B$18,MATCH(E6833,Assumptions!$A$15:$A$18,0)),"Yes","No")</f>
        <v>Yes</v>
      </c>
      <c r="O6833" s="31" t="str">
        <f aca="false">IF(H6833="","Open",IF(H6833&lt;=INDEX(Assumptions!$C$15:$C$18,MATCH(E6833,Assumptions!$A$15:$A$18,0)),"Yes","No"))</f>
        <v>Open</v>
      </c>
    </row>
    <row r="6834" customFormat="false" ht="15" hidden="false" customHeight="false" outlineLevel="0" collapsed="false">
      <c r="A6834" s="31" t="s">
        <v>6984</v>
      </c>
      <c r="B6834" s="44" t="n">
        <v>46294</v>
      </c>
      <c r="C6834" s="31" t="s">
        <v>57</v>
      </c>
      <c r="D6834" s="31" t="s">
        <v>66</v>
      </c>
      <c r="E6834" s="31" t="s">
        <v>49</v>
      </c>
      <c r="F6834" s="31" t="s">
        <v>126</v>
      </c>
      <c r="G6834" s="31" t="n">
        <v>2</v>
      </c>
      <c r="H6834" s="41"/>
      <c r="I6834" s="31" t="s">
        <v>158</v>
      </c>
      <c r="J6834" s="31"/>
      <c r="K6834" s="31" t="s">
        <v>150</v>
      </c>
      <c r="L6834" s="45" t="n">
        <f aca="false">DATE(YEAR(B6834),MONTH(B6834),1)</f>
        <v>46266</v>
      </c>
      <c r="M6834" s="31" t="n">
        <f aca="false">WEEKDAY(B6834,2)</f>
        <v>2</v>
      </c>
      <c r="N6834" s="31" t="str">
        <f aca="false">IF(G6834&lt;=INDEX(Assumptions!$B$15:$B$18,MATCH(E6834,Assumptions!$A$15:$A$18,0)),"Yes","No")</f>
        <v>Yes</v>
      </c>
      <c r="O6834" s="31" t="str">
        <f aca="false">IF(H6834="","Open",IF(H6834&lt;=INDEX(Assumptions!$C$15:$C$18,MATCH(E6834,Assumptions!$A$15:$A$18,0)),"Yes","No"))</f>
        <v>Open</v>
      </c>
    </row>
    <row r="6835" customFormat="false" ht="15" hidden="false" customHeight="false" outlineLevel="0" collapsed="false">
      <c r="A6835" s="31" t="s">
        <v>6985</v>
      </c>
      <c r="B6835" s="44" t="n">
        <v>46294</v>
      </c>
      <c r="C6835" s="31" t="s">
        <v>60</v>
      </c>
      <c r="D6835" s="31" t="s">
        <v>69</v>
      </c>
      <c r="E6835" s="31" t="s">
        <v>52</v>
      </c>
      <c r="F6835" s="31" t="s">
        <v>135</v>
      </c>
      <c r="G6835" s="31" t="n">
        <v>16</v>
      </c>
      <c r="H6835" s="41"/>
      <c r="I6835" s="31" t="s">
        <v>158</v>
      </c>
      <c r="J6835" s="31"/>
      <c r="K6835" s="31" t="s">
        <v>150</v>
      </c>
      <c r="L6835" s="45" t="n">
        <f aca="false">DATE(YEAR(B6835),MONTH(B6835),1)</f>
        <v>46266</v>
      </c>
      <c r="M6835" s="31" t="n">
        <f aca="false">WEEKDAY(B6835,2)</f>
        <v>2</v>
      </c>
      <c r="N6835" s="31" t="str">
        <f aca="false">IF(G6835&lt;=INDEX(Assumptions!$B$15:$B$18,MATCH(E6835,Assumptions!$A$15:$A$18,0)),"Yes","No")</f>
        <v>Yes</v>
      </c>
      <c r="O6835" s="31" t="str">
        <f aca="false">IF(H6835="","Open",IF(H6835&lt;=INDEX(Assumptions!$C$15:$C$18,MATCH(E6835,Assumptions!$A$15:$A$18,0)),"Yes","No"))</f>
        <v>Open</v>
      </c>
    </row>
    <row r="6836" customFormat="false" ht="15" hidden="false" customHeight="false" outlineLevel="0" collapsed="false">
      <c r="A6836" s="31" t="s">
        <v>6986</v>
      </c>
      <c r="B6836" s="44" t="n">
        <v>46294</v>
      </c>
      <c r="C6836" s="31" t="s">
        <v>57</v>
      </c>
      <c r="D6836" s="31" t="s">
        <v>68</v>
      </c>
      <c r="E6836" s="31" t="s">
        <v>52</v>
      </c>
      <c r="F6836" s="31" t="s">
        <v>136</v>
      </c>
      <c r="G6836" s="31" t="n">
        <v>6</v>
      </c>
      <c r="H6836" s="41" t="n">
        <v>5.9</v>
      </c>
      <c r="I6836" s="31" t="s">
        <v>64</v>
      </c>
      <c r="J6836" s="31"/>
      <c r="K6836" s="31" t="s">
        <v>150</v>
      </c>
      <c r="L6836" s="45" t="n">
        <f aca="false">DATE(YEAR(B6836),MONTH(B6836),1)</f>
        <v>46266</v>
      </c>
      <c r="M6836" s="31" t="n">
        <f aca="false">WEEKDAY(B6836,2)</f>
        <v>2</v>
      </c>
      <c r="N6836" s="31" t="str">
        <f aca="false">IF(G6836&lt;=INDEX(Assumptions!$B$15:$B$18,MATCH(E6836,Assumptions!$A$15:$A$18,0)),"Yes","No")</f>
        <v>Yes</v>
      </c>
      <c r="O6836" s="31" t="str">
        <f aca="false">IF(H6836="","Open",IF(H6836&lt;=INDEX(Assumptions!$C$15:$C$18,MATCH(E6836,Assumptions!$A$15:$A$18,0)),"Yes","No"))</f>
        <v>Yes</v>
      </c>
    </row>
    <row r="6837" customFormat="false" ht="15" hidden="false" customHeight="false" outlineLevel="0" collapsed="false">
      <c r="A6837" s="31" t="s">
        <v>6987</v>
      </c>
      <c r="B6837" s="44" t="n">
        <v>46294</v>
      </c>
      <c r="C6837" s="31" t="s">
        <v>60</v>
      </c>
      <c r="D6837" s="31" t="s">
        <v>65</v>
      </c>
      <c r="E6837" s="31" t="s">
        <v>52</v>
      </c>
      <c r="F6837" s="31" t="s">
        <v>119</v>
      </c>
      <c r="G6837" s="31" t="n">
        <v>1</v>
      </c>
      <c r="H6837" s="41" t="n">
        <v>7.3</v>
      </c>
      <c r="I6837" s="31" t="s">
        <v>149</v>
      </c>
      <c r="J6837" s="31" t="n">
        <v>4</v>
      </c>
      <c r="K6837" s="31" t="s">
        <v>150</v>
      </c>
      <c r="L6837" s="45" t="n">
        <f aca="false">DATE(YEAR(B6837),MONTH(B6837),1)</f>
        <v>46266</v>
      </c>
      <c r="M6837" s="31" t="n">
        <f aca="false">WEEKDAY(B6837,2)</f>
        <v>2</v>
      </c>
      <c r="N6837" s="31" t="str">
        <f aca="false">IF(G6837&lt;=INDEX(Assumptions!$B$15:$B$18,MATCH(E6837,Assumptions!$A$15:$A$18,0)),"Yes","No")</f>
        <v>Yes</v>
      </c>
      <c r="O6837" s="31" t="str">
        <f aca="false">IF(H6837="","Open",IF(H6837&lt;=INDEX(Assumptions!$C$15:$C$18,MATCH(E6837,Assumptions!$A$15:$A$18,0)),"Yes","No"))</f>
        <v>Yes</v>
      </c>
    </row>
    <row r="6838" customFormat="false" ht="15" hidden="false" customHeight="false" outlineLevel="0" collapsed="false">
      <c r="A6838" s="31" t="s">
        <v>6988</v>
      </c>
      <c r="B6838" s="44" t="n">
        <v>46294</v>
      </c>
      <c r="C6838" s="31" t="s">
        <v>57</v>
      </c>
      <c r="D6838" s="31" t="s">
        <v>67</v>
      </c>
      <c r="E6838" s="31" t="s">
        <v>51</v>
      </c>
      <c r="F6838" s="31" t="s">
        <v>135</v>
      </c>
      <c r="G6838" s="31" t="n">
        <v>20</v>
      </c>
      <c r="H6838" s="41"/>
      <c r="I6838" s="31" t="s">
        <v>158</v>
      </c>
      <c r="J6838" s="31"/>
      <c r="K6838" s="31" t="s">
        <v>150</v>
      </c>
      <c r="L6838" s="45" t="n">
        <f aca="false">DATE(YEAR(B6838),MONTH(B6838),1)</f>
        <v>46266</v>
      </c>
      <c r="M6838" s="31" t="n">
        <f aca="false">WEEKDAY(B6838,2)</f>
        <v>2</v>
      </c>
      <c r="N6838" s="31" t="str">
        <f aca="false">IF(G6838&lt;=INDEX(Assumptions!$B$15:$B$18,MATCH(E6838,Assumptions!$A$15:$A$18,0)),"Yes","No")</f>
        <v>Yes</v>
      </c>
      <c r="O6838" s="31" t="str">
        <f aca="false">IF(H6838="","Open",IF(H6838&lt;=INDEX(Assumptions!$C$15:$C$18,MATCH(E6838,Assumptions!$A$15:$A$18,0)),"Yes","No"))</f>
        <v>Open</v>
      </c>
    </row>
    <row r="6839" customFormat="false" ht="15" hidden="false" customHeight="false" outlineLevel="0" collapsed="false">
      <c r="A6839" s="31" t="s">
        <v>6989</v>
      </c>
      <c r="B6839" s="44" t="n">
        <v>46294</v>
      </c>
      <c r="C6839" s="31" t="s">
        <v>59</v>
      </c>
      <c r="D6839" s="31" t="s">
        <v>69</v>
      </c>
      <c r="E6839" s="31" t="s">
        <v>50</v>
      </c>
      <c r="F6839" s="31" t="s">
        <v>120</v>
      </c>
      <c r="G6839" s="31" t="n">
        <v>166</v>
      </c>
      <c r="H6839" s="41"/>
      <c r="I6839" s="31" t="s">
        <v>158</v>
      </c>
      <c r="J6839" s="31"/>
      <c r="K6839" s="31" t="s">
        <v>150</v>
      </c>
      <c r="L6839" s="45" t="n">
        <f aca="false">DATE(YEAR(B6839),MONTH(B6839),1)</f>
        <v>46266</v>
      </c>
      <c r="M6839" s="31" t="n">
        <f aca="false">WEEKDAY(B6839,2)</f>
        <v>2</v>
      </c>
      <c r="N6839" s="31" t="str">
        <f aca="false">IF(G6839&lt;=INDEX(Assumptions!$B$15:$B$18,MATCH(E6839,Assumptions!$A$15:$A$18,0)),"Yes","No")</f>
        <v>No</v>
      </c>
      <c r="O6839" s="31" t="str">
        <f aca="false">IF(H6839="","Open",IF(H6839&lt;=INDEX(Assumptions!$C$15:$C$18,MATCH(E6839,Assumptions!$A$15:$A$18,0)),"Yes","No"))</f>
        <v>Open</v>
      </c>
    </row>
    <row r="6840" customFormat="false" ht="15" hidden="false" customHeight="false" outlineLevel="0" collapsed="false">
      <c r="A6840" s="31" t="s">
        <v>6990</v>
      </c>
      <c r="B6840" s="44" t="n">
        <v>46294</v>
      </c>
      <c r="C6840" s="31" t="s">
        <v>59</v>
      </c>
      <c r="D6840" s="31" t="s">
        <v>67</v>
      </c>
      <c r="E6840" s="31" t="s">
        <v>50</v>
      </c>
      <c r="F6840" s="31" t="s">
        <v>133</v>
      </c>
      <c r="G6840" s="31" t="n">
        <v>57</v>
      </c>
      <c r="H6840" s="41" t="n">
        <v>4.7</v>
      </c>
      <c r="I6840" s="31" t="s">
        <v>149</v>
      </c>
      <c r="J6840" s="31" t="n">
        <v>4</v>
      </c>
      <c r="K6840" s="31" t="s">
        <v>150</v>
      </c>
      <c r="L6840" s="45" t="n">
        <f aca="false">DATE(YEAR(B6840),MONTH(B6840),1)</f>
        <v>46266</v>
      </c>
      <c r="M6840" s="31" t="n">
        <f aca="false">WEEKDAY(B6840,2)</f>
        <v>2</v>
      </c>
      <c r="N6840" s="31" t="str">
        <f aca="false">IF(G6840&lt;=INDEX(Assumptions!$B$15:$B$18,MATCH(E6840,Assumptions!$A$15:$A$18,0)),"Yes","No")</f>
        <v>No</v>
      </c>
      <c r="O6840" s="31" t="str">
        <f aca="false">IF(H6840="","Open",IF(H6840&lt;=INDEX(Assumptions!$C$15:$C$18,MATCH(E6840,Assumptions!$A$15:$A$18,0)),"Yes","No"))</f>
        <v>Yes</v>
      </c>
    </row>
    <row r="6841" customFormat="false" ht="15" hidden="false" customHeight="false" outlineLevel="0" collapsed="false">
      <c r="A6841" s="31" t="s">
        <v>6991</v>
      </c>
      <c r="B6841" s="44" t="n">
        <v>46294</v>
      </c>
      <c r="C6841" s="31" t="s">
        <v>58</v>
      </c>
      <c r="D6841" s="31" t="s">
        <v>68</v>
      </c>
      <c r="E6841" s="31" t="s">
        <v>51</v>
      </c>
      <c r="F6841" s="31" t="s">
        <v>120</v>
      </c>
      <c r="G6841" s="31" t="n">
        <v>58</v>
      </c>
      <c r="H6841" s="41"/>
      <c r="I6841" s="31" t="s">
        <v>158</v>
      </c>
      <c r="J6841" s="31"/>
      <c r="K6841" s="31" t="s">
        <v>150</v>
      </c>
      <c r="L6841" s="45" t="n">
        <f aca="false">DATE(YEAR(B6841),MONTH(B6841),1)</f>
        <v>46266</v>
      </c>
      <c r="M6841" s="31" t="n">
        <f aca="false">WEEKDAY(B6841,2)</f>
        <v>2</v>
      </c>
      <c r="N6841" s="31" t="str">
        <f aca="false">IF(G6841&lt;=INDEX(Assumptions!$B$15:$B$18,MATCH(E6841,Assumptions!$A$15:$A$18,0)),"Yes","No")</f>
        <v>Yes</v>
      </c>
      <c r="O6841" s="31" t="str">
        <f aca="false">IF(H6841="","Open",IF(H6841&lt;=INDEX(Assumptions!$C$15:$C$18,MATCH(E6841,Assumptions!$A$15:$A$18,0)),"Yes","No"))</f>
        <v>Open</v>
      </c>
    </row>
    <row r="6842" customFormat="false" ht="15" hidden="false" customHeight="false" outlineLevel="0" collapsed="false">
      <c r="A6842" s="31" t="s">
        <v>6992</v>
      </c>
      <c r="B6842" s="44" t="n">
        <v>46294</v>
      </c>
      <c r="C6842" s="31" t="s">
        <v>58</v>
      </c>
      <c r="D6842" s="31" t="s">
        <v>65</v>
      </c>
      <c r="E6842" s="31" t="s">
        <v>50</v>
      </c>
      <c r="F6842" s="31" t="s">
        <v>129</v>
      </c>
      <c r="G6842" s="31" t="n">
        <v>18</v>
      </c>
      <c r="H6842" s="41"/>
      <c r="I6842" s="31" t="s">
        <v>158</v>
      </c>
      <c r="J6842" s="31"/>
      <c r="K6842" s="31" t="s">
        <v>150</v>
      </c>
      <c r="L6842" s="45" t="n">
        <f aca="false">DATE(YEAR(B6842),MONTH(B6842),1)</f>
        <v>46266</v>
      </c>
      <c r="M6842" s="31" t="n">
        <f aca="false">WEEKDAY(B6842,2)</f>
        <v>2</v>
      </c>
      <c r="N6842" s="31" t="str">
        <f aca="false">IF(G6842&lt;=INDEX(Assumptions!$B$15:$B$18,MATCH(E6842,Assumptions!$A$15:$A$18,0)),"Yes","No")</f>
        <v>Yes</v>
      </c>
      <c r="O6842" s="31" t="str">
        <f aca="false">IF(H6842="","Open",IF(H6842&lt;=INDEX(Assumptions!$C$15:$C$18,MATCH(E6842,Assumptions!$A$15:$A$18,0)),"Yes","No"))</f>
        <v>Open</v>
      </c>
    </row>
    <row r="6843" customFormat="false" ht="15" hidden="false" customHeight="false" outlineLevel="0" collapsed="false">
      <c r="A6843" s="31" t="s">
        <v>6993</v>
      </c>
      <c r="B6843" s="44" t="n">
        <v>46294</v>
      </c>
      <c r="C6843" s="31" t="s">
        <v>60</v>
      </c>
      <c r="D6843" s="31" t="s">
        <v>65</v>
      </c>
      <c r="E6843" s="31" t="s">
        <v>52</v>
      </c>
      <c r="F6843" s="31" t="s">
        <v>134</v>
      </c>
      <c r="G6843" s="31" t="n">
        <v>1</v>
      </c>
      <c r="H6843" s="41"/>
      <c r="I6843" s="31" t="s">
        <v>158</v>
      </c>
      <c r="J6843" s="31"/>
      <c r="K6843" s="31" t="s">
        <v>150</v>
      </c>
      <c r="L6843" s="45" t="n">
        <f aca="false">DATE(YEAR(B6843),MONTH(B6843),1)</f>
        <v>46266</v>
      </c>
      <c r="M6843" s="31" t="n">
        <f aca="false">WEEKDAY(B6843,2)</f>
        <v>2</v>
      </c>
      <c r="N6843" s="31" t="str">
        <f aca="false">IF(G6843&lt;=INDEX(Assumptions!$B$15:$B$18,MATCH(E6843,Assumptions!$A$15:$A$18,0)),"Yes","No")</f>
        <v>Yes</v>
      </c>
      <c r="O6843" s="31" t="str">
        <f aca="false">IF(H6843="","Open",IF(H6843&lt;=INDEX(Assumptions!$C$15:$C$18,MATCH(E6843,Assumptions!$A$15:$A$18,0)),"Yes","No"))</f>
        <v>Open</v>
      </c>
    </row>
    <row r="6844" customFormat="false" ht="15" hidden="false" customHeight="false" outlineLevel="0" collapsed="false">
      <c r="A6844" s="31" t="s">
        <v>6994</v>
      </c>
      <c r="B6844" s="44" t="n">
        <v>46294</v>
      </c>
      <c r="C6844" s="31" t="s">
        <v>59</v>
      </c>
      <c r="D6844" s="31" t="s">
        <v>68</v>
      </c>
      <c r="E6844" s="31" t="s">
        <v>52</v>
      </c>
      <c r="F6844" s="31" t="s">
        <v>133</v>
      </c>
      <c r="G6844" s="31" t="n">
        <v>94</v>
      </c>
      <c r="H6844" s="41"/>
      <c r="I6844" s="31" t="s">
        <v>158</v>
      </c>
      <c r="J6844" s="31"/>
      <c r="K6844" s="31" t="s">
        <v>150</v>
      </c>
      <c r="L6844" s="45" t="n">
        <f aca="false">DATE(YEAR(B6844),MONTH(B6844),1)</f>
        <v>46266</v>
      </c>
      <c r="M6844" s="31" t="n">
        <f aca="false">WEEKDAY(B6844,2)</f>
        <v>2</v>
      </c>
      <c r="N6844" s="31" t="str">
        <f aca="false">IF(G6844&lt;=INDEX(Assumptions!$B$15:$B$18,MATCH(E6844,Assumptions!$A$15:$A$18,0)),"Yes","No")</f>
        <v>Yes</v>
      </c>
      <c r="O6844" s="31" t="str">
        <f aca="false">IF(H6844="","Open",IF(H6844&lt;=INDEX(Assumptions!$C$15:$C$18,MATCH(E6844,Assumptions!$A$15:$A$18,0)),"Yes","No"))</f>
        <v>Open</v>
      </c>
    </row>
    <row r="6845" customFormat="false" ht="15" hidden="false" customHeight="false" outlineLevel="0" collapsed="false">
      <c r="A6845" s="31" t="s">
        <v>6995</v>
      </c>
      <c r="B6845" s="44" t="n">
        <v>46294</v>
      </c>
      <c r="C6845" s="31" t="s">
        <v>58</v>
      </c>
      <c r="D6845" s="31" t="s">
        <v>69</v>
      </c>
      <c r="E6845" s="31" t="s">
        <v>51</v>
      </c>
      <c r="F6845" s="31" t="s">
        <v>126</v>
      </c>
      <c r="G6845" s="31" t="n">
        <v>5</v>
      </c>
      <c r="H6845" s="41" t="n">
        <v>26.6</v>
      </c>
      <c r="I6845" s="31" t="s">
        <v>149</v>
      </c>
      <c r="J6845" s="31"/>
      <c r="K6845" s="31" t="s">
        <v>150</v>
      </c>
      <c r="L6845" s="45" t="n">
        <f aca="false">DATE(YEAR(B6845),MONTH(B6845),1)</f>
        <v>46266</v>
      </c>
      <c r="M6845" s="31" t="n">
        <f aca="false">WEEKDAY(B6845,2)</f>
        <v>2</v>
      </c>
      <c r="N6845" s="31" t="str">
        <f aca="false">IF(G6845&lt;=INDEX(Assumptions!$B$15:$B$18,MATCH(E6845,Assumptions!$A$15:$A$18,0)),"Yes","No")</f>
        <v>Yes</v>
      </c>
      <c r="O6845" s="31" t="str">
        <f aca="false">IF(H6845="","Open",IF(H6845&lt;=INDEX(Assumptions!$C$15:$C$18,MATCH(E6845,Assumptions!$A$15:$A$18,0)),"Yes","No"))</f>
        <v>No</v>
      </c>
    </row>
    <row r="6846" customFormat="false" ht="15" hidden="false" customHeight="false" outlineLevel="0" collapsed="false">
      <c r="A6846" s="31" t="s">
        <v>6996</v>
      </c>
      <c r="B6846" s="44" t="n">
        <v>46294</v>
      </c>
      <c r="C6846" s="31" t="s">
        <v>60</v>
      </c>
      <c r="D6846" s="31" t="s">
        <v>68</v>
      </c>
      <c r="E6846" s="31" t="s">
        <v>51</v>
      </c>
      <c r="F6846" s="31" t="s">
        <v>136</v>
      </c>
      <c r="G6846" s="31" t="n">
        <v>1</v>
      </c>
      <c r="H6846" s="41"/>
      <c r="I6846" s="31" t="s">
        <v>158</v>
      </c>
      <c r="J6846" s="31"/>
      <c r="K6846" s="31" t="s">
        <v>150</v>
      </c>
      <c r="L6846" s="45" t="n">
        <f aca="false">DATE(YEAR(B6846),MONTH(B6846),1)</f>
        <v>46266</v>
      </c>
      <c r="M6846" s="31" t="n">
        <f aca="false">WEEKDAY(B6846,2)</f>
        <v>2</v>
      </c>
      <c r="N6846" s="31" t="str">
        <f aca="false">IF(G6846&lt;=INDEX(Assumptions!$B$15:$B$18,MATCH(E6846,Assumptions!$A$15:$A$18,0)),"Yes","No")</f>
        <v>Yes</v>
      </c>
      <c r="O6846" s="31" t="str">
        <f aca="false">IF(H6846="","Open",IF(H6846&lt;=INDEX(Assumptions!$C$15:$C$18,MATCH(E6846,Assumptions!$A$15:$A$18,0)),"Yes","No"))</f>
        <v>Open</v>
      </c>
    </row>
    <row r="6847" customFormat="false" ht="15" hidden="false" customHeight="false" outlineLevel="0" collapsed="false">
      <c r="A6847" s="31" t="s">
        <v>6997</v>
      </c>
      <c r="B6847" s="44" t="n">
        <v>46294</v>
      </c>
      <c r="C6847" s="31" t="s">
        <v>59</v>
      </c>
      <c r="D6847" s="31" t="s">
        <v>66</v>
      </c>
      <c r="E6847" s="31" t="s">
        <v>51</v>
      </c>
      <c r="F6847" s="31" t="s">
        <v>128</v>
      </c>
      <c r="G6847" s="31" t="n">
        <v>30</v>
      </c>
      <c r="H6847" s="41"/>
      <c r="I6847" s="31" t="s">
        <v>158</v>
      </c>
      <c r="J6847" s="31"/>
      <c r="K6847" s="31" t="s">
        <v>150</v>
      </c>
      <c r="L6847" s="45" t="n">
        <f aca="false">DATE(YEAR(B6847),MONTH(B6847),1)</f>
        <v>46266</v>
      </c>
      <c r="M6847" s="31" t="n">
        <f aca="false">WEEKDAY(B6847,2)</f>
        <v>2</v>
      </c>
      <c r="N6847" s="31" t="str">
        <f aca="false">IF(G6847&lt;=INDEX(Assumptions!$B$15:$B$18,MATCH(E6847,Assumptions!$A$15:$A$18,0)),"Yes","No")</f>
        <v>Yes</v>
      </c>
      <c r="O6847" s="31" t="str">
        <f aca="false">IF(H6847="","Open",IF(H6847&lt;=INDEX(Assumptions!$C$15:$C$18,MATCH(E6847,Assumptions!$A$15:$A$18,0)),"Yes","No"))</f>
        <v>Open</v>
      </c>
    </row>
    <row r="6848" customFormat="false" ht="15" hidden="false" customHeight="false" outlineLevel="0" collapsed="false">
      <c r="A6848" s="31" t="s">
        <v>6998</v>
      </c>
      <c r="B6848" s="44" t="n">
        <v>46294</v>
      </c>
      <c r="C6848" s="31" t="s">
        <v>57</v>
      </c>
      <c r="D6848" s="31" t="s">
        <v>67</v>
      </c>
      <c r="E6848" s="31" t="s">
        <v>52</v>
      </c>
      <c r="F6848" s="31" t="s">
        <v>121</v>
      </c>
      <c r="G6848" s="31" t="n">
        <v>13</v>
      </c>
      <c r="H6848" s="41"/>
      <c r="I6848" s="31" t="s">
        <v>158</v>
      </c>
      <c r="J6848" s="31"/>
      <c r="K6848" s="31" t="s">
        <v>150</v>
      </c>
      <c r="L6848" s="45" t="n">
        <f aca="false">DATE(YEAR(B6848),MONTH(B6848),1)</f>
        <v>46266</v>
      </c>
      <c r="M6848" s="31" t="n">
        <f aca="false">WEEKDAY(B6848,2)</f>
        <v>2</v>
      </c>
      <c r="N6848" s="31" t="str">
        <f aca="false">IF(G6848&lt;=INDEX(Assumptions!$B$15:$B$18,MATCH(E6848,Assumptions!$A$15:$A$18,0)),"Yes","No")</f>
        <v>Yes</v>
      </c>
      <c r="O6848" s="31" t="str">
        <f aca="false">IF(H6848="","Open",IF(H6848&lt;=INDEX(Assumptions!$C$15:$C$18,MATCH(E6848,Assumptions!$A$15:$A$18,0)),"Yes","No"))</f>
        <v>Open</v>
      </c>
    </row>
    <row r="6849" customFormat="false" ht="15" hidden="false" customHeight="false" outlineLevel="0" collapsed="false">
      <c r="A6849" s="31" t="s">
        <v>6999</v>
      </c>
      <c r="B6849" s="44" t="n">
        <v>46295</v>
      </c>
      <c r="C6849" s="31" t="s">
        <v>60</v>
      </c>
      <c r="D6849" s="31" t="s">
        <v>65</v>
      </c>
      <c r="E6849" s="31" t="s">
        <v>51</v>
      </c>
      <c r="F6849" s="31" t="s">
        <v>135</v>
      </c>
      <c r="G6849" s="31" t="n">
        <v>3</v>
      </c>
      <c r="H6849" s="41" t="n">
        <v>40.9</v>
      </c>
      <c r="I6849" s="31" t="s">
        <v>149</v>
      </c>
      <c r="J6849" s="31"/>
      <c r="K6849" s="31" t="s">
        <v>150</v>
      </c>
      <c r="L6849" s="45" t="n">
        <f aca="false">DATE(YEAR(B6849),MONTH(B6849),1)</f>
        <v>46266</v>
      </c>
      <c r="M6849" s="31" t="n">
        <f aca="false">WEEKDAY(B6849,2)</f>
        <v>3</v>
      </c>
      <c r="N6849" s="31" t="str">
        <f aca="false">IF(G6849&lt;=INDEX(Assumptions!$B$15:$B$18,MATCH(E6849,Assumptions!$A$15:$A$18,0)),"Yes","No")</f>
        <v>Yes</v>
      </c>
      <c r="O6849" s="31" t="str">
        <f aca="false">IF(H6849="","Open",IF(H6849&lt;=INDEX(Assumptions!$C$15:$C$18,MATCH(E6849,Assumptions!$A$15:$A$18,0)),"Yes","No"))</f>
        <v>No</v>
      </c>
    </row>
    <row r="6850" customFormat="false" ht="15" hidden="false" customHeight="false" outlineLevel="0" collapsed="false">
      <c r="A6850" s="31" t="s">
        <v>7000</v>
      </c>
      <c r="B6850" s="44" t="n">
        <v>46295</v>
      </c>
      <c r="C6850" s="31" t="s">
        <v>60</v>
      </c>
      <c r="D6850" s="31" t="s">
        <v>65</v>
      </c>
      <c r="E6850" s="31" t="s">
        <v>51</v>
      </c>
      <c r="F6850" s="31" t="s">
        <v>131</v>
      </c>
      <c r="G6850" s="31" t="n">
        <v>3</v>
      </c>
      <c r="H6850" s="41"/>
      <c r="I6850" s="31" t="s">
        <v>158</v>
      </c>
      <c r="J6850" s="31"/>
      <c r="K6850" s="31" t="s">
        <v>150</v>
      </c>
      <c r="L6850" s="45" t="n">
        <f aca="false">DATE(YEAR(B6850),MONTH(B6850),1)</f>
        <v>46266</v>
      </c>
      <c r="M6850" s="31" t="n">
        <f aca="false">WEEKDAY(B6850,2)</f>
        <v>3</v>
      </c>
      <c r="N6850" s="31" t="str">
        <f aca="false">IF(G6850&lt;=INDEX(Assumptions!$B$15:$B$18,MATCH(E6850,Assumptions!$A$15:$A$18,0)),"Yes","No")</f>
        <v>Yes</v>
      </c>
      <c r="O6850" s="31" t="str">
        <f aca="false">IF(H6850="","Open",IF(H6850&lt;=INDEX(Assumptions!$C$15:$C$18,MATCH(E6850,Assumptions!$A$15:$A$18,0)),"Yes","No"))</f>
        <v>Open</v>
      </c>
    </row>
    <row r="6851" customFormat="false" ht="15" hidden="false" customHeight="false" outlineLevel="0" collapsed="false">
      <c r="A6851" s="31" t="s">
        <v>7001</v>
      </c>
      <c r="B6851" s="44" t="n">
        <v>46295</v>
      </c>
      <c r="C6851" s="31" t="s">
        <v>58</v>
      </c>
      <c r="D6851" s="31" t="s">
        <v>65</v>
      </c>
      <c r="E6851" s="31" t="s">
        <v>50</v>
      </c>
      <c r="F6851" s="31" t="s">
        <v>128</v>
      </c>
      <c r="G6851" s="31" t="n">
        <v>7</v>
      </c>
      <c r="H6851" s="41" t="n">
        <v>3.7</v>
      </c>
      <c r="I6851" s="31" t="s">
        <v>149</v>
      </c>
      <c r="J6851" s="31" t="n">
        <v>4</v>
      </c>
      <c r="K6851" s="31" t="s">
        <v>150</v>
      </c>
      <c r="L6851" s="45" t="n">
        <f aca="false">DATE(YEAR(B6851),MONTH(B6851),1)</f>
        <v>46266</v>
      </c>
      <c r="M6851" s="31" t="n">
        <f aca="false">WEEKDAY(B6851,2)</f>
        <v>3</v>
      </c>
      <c r="N6851" s="31" t="str">
        <f aca="false">IF(G6851&lt;=INDEX(Assumptions!$B$15:$B$18,MATCH(E6851,Assumptions!$A$15:$A$18,0)),"Yes","No")</f>
        <v>Yes</v>
      </c>
      <c r="O6851" s="31" t="str">
        <f aca="false">IF(H6851="","Open",IF(H6851&lt;=INDEX(Assumptions!$C$15:$C$18,MATCH(E6851,Assumptions!$A$15:$A$18,0)),"Yes","No"))</f>
        <v>Yes</v>
      </c>
    </row>
    <row r="6852" customFormat="false" ht="15" hidden="false" customHeight="false" outlineLevel="0" collapsed="false">
      <c r="A6852" s="31" t="s">
        <v>7002</v>
      </c>
      <c r="B6852" s="44" t="n">
        <v>46295</v>
      </c>
      <c r="C6852" s="31" t="s">
        <v>59</v>
      </c>
      <c r="D6852" s="31" t="s">
        <v>67</v>
      </c>
      <c r="E6852" s="31" t="s">
        <v>51</v>
      </c>
      <c r="F6852" s="31" t="s">
        <v>123</v>
      </c>
      <c r="G6852" s="31" t="n">
        <v>78</v>
      </c>
      <c r="H6852" s="41"/>
      <c r="I6852" s="31" t="s">
        <v>158</v>
      </c>
      <c r="J6852" s="31"/>
      <c r="K6852" s="31" t="s">
        <v>150</v>
      </c>
      <c r="L6852" s="45" t="n">
        <f aca="false">DATE(YEAR(B6852),MONTH(B6852),1)</f>
        <v>46266</v>
      </c>
      <c r="M6852" s="31" t="n">
        <f aca="false">WEEKDAY(B6852,2)</f>
        <v>3</v>
      </c>
      <c r="N6852" s="31" t="str">
        <f aca="false">IF(G6852&lt;=INDEX(Assumptions!$B$15:$B$18,MATCH(E6852,Assumptions!$A$15:$A$18,0)),"Yes","No")</f>
        <v>No</v>
      </c>
      <c r="O6852" s="31" t="str">
        <f aca="false">IF(H6852="","Open",IF(H6852&lt;=INDEX(Assumptions!$C$15:$C$18,MATCH(E6852,Assumptions!$A$15:$A$18,0)),"Yes","No"))</f>
        <v>Open</v>
      </c>
    </row>
    <row r="6853" customFormat="false" ht="15" hidden="false" customHeight="false" outlineLevel="0" collapsed="false">
      <c r="A6853" s="31" t="s">
        <v>7003</v>
      </c>
      <c r="B6853" s="44" t="n">
        <v>46295</v>
      </c>
      <c r="C6853" s="31" t="s">
        <v>60</v>
      </c>
      <c r="D6853" s="31" t="s">
        <v>68</v>
      </c>
      <c r="E6853" s="31" t="s">
        <v>51</v>
      </c>
      <c r="F6853" s="31" t="s">
        <v>122</v>
      </c>
      <c r="G6853" s="31" t="n">
        <v>1</v>
      </c>
      <c r="H6853" s="41"/>
      <c r="I6853" s="31" t="s">
        <v>158</v>
      </c>
      <c r="J6853" s="31"/>
      <c r="K6853" s="31" t="s">
        <v>150</v>
      </c>
      <c r="L6853" s="45" t="n">
        <f aca="false">DATE(YEAR(B6853),MONTH(B6853),1)</f>
        <v>46266</v>
      </c>
      <c r="M6853" s="31" t="n">
        <f aca="false">WEEKDAY(B6853,2)</f>
        <v>3</v>
      </c>
      <c r="N6853" s="31" t="str">
        <f aca="false">IF(G6853&lt;=INDEX(Assumptions!$B$15:$B$18,MATCH(E6853,Assumptions!$A$15:$A$18,0)),"Yes","No")</f>
        <v>Yes</v>
      </c>
      <c r="O6853" s="31" t="str">
        <f aca="false">IF(H6853="","Open",IF(H6853&lt;=INDEX(Assumptions!$C$15:$C$18,MATCH(E6853,Assumptions!$A$15:$A$18,0)),"Yes","No"))</f>
        <v>Open</v>
      </c>
    </row>
    <row r="6854" customFormat="false" ht="15" hidden="false" customHeight="false" outlineLevel="0" collapsed="false">
      <c r="A6854" s="31" t="s">
        <v>7004</v>
      </c>
      <c r="B6854" s="44" t="n">
        <v>46295</v>
      </c>
      <c r="C6854" s="31" t="s">
        <v>58</v>
      </c>
      <c r="D6854" s="31" t="s">
        <v>68</v>
      </c>
      <c r="E6854" s="31" t="s">
        <v>52</v>
      </c>
      <c r="F6854" s="31" t="s">
        <v>130</v>
      </c>
      <c r="G6854" s="31" t="n">
        <v>31</v>
      </c>
      <c r="H6854" s="41"/>
      <c r="I6854" s="31" t="s">
        <v>158</v>
      </c>
      <c r="J6854" s="31"/>
      <c r="K6854" s="31" t="s">
        <v>150</v>
      </c>
      <c r="L6854" s="45" t="n">
        <f aca="false">DATE(YEAR(B6854),MONTH(B6854),1)</f>
        <v>46266</v>
      </c>
      <c r="M6854" s="31" t="n">
        <f aca="false">WEEKDAY(B6854,2)</f>
        <v>3</v>
      </c>
      <c r="N6854" s="31" t="str">
        <f aca="false">IF(G6854&lt;=INDEX(Assumptions!$B$15:$B$18,MATCH(E6854,Assumptions!$A$15:$A$18,0)),"Yes","No")</f>
        <v>Yes</v>
      </c>
      <c r="O6854" s="31" t="str">
        <f aca="false">IF(H6854="","Open",IF(H6854&lt;=INDEX(Assumptions!$C$15:$C$18,MATCH(E6854,Assumptions!$A$15:$A$18,0)),"Yes","No"))</f>
        <v>Open</v>
      </c>
    </row>
    <row r="6855" customFormat="false" ht="15" hidden="false" customHeight="false" outlineLevel="0" collapsed="false">
      <c r="A6855" s="31" t="s">
        <v>7005</v>
      </c>
      <c r="B6855" s="44" t="n">
        <v>46295</v>
      </c>
      <c r="C6855" s="31" t="s">
        <v>58</v>
      </c>
      <c r="D6855" s="31" t="s">
        <v>69</v>
      </c>
      <c r="E6855" s="31" t="s">
        <v>52</v>
      </c>
      <c r="F6855" s="31" t="s">
        <v>124</v>
      </c>
      <c r="G6855" s="31" t="n">
        <v>9</v>
      </c>
      <c r="H6855" s="41"/>
      <c r="I6855" s="31" t="s">
        <v>158</v>
      </c>
      <c r="J6855" s="31"/>
      <c r="K6855" s="31" t="s">
        <v>150</v>
      </c>
      <c r="L6855" s="45" t="n">
        <f aca="false">DATE(YEAR(B6855),MONTH(B6855),1)</f>
        <v>46266</v>
      </c>
      <c r="M6855" s="31" t="n">
        <f aca="false">WEEKDAY(B6855,2)</f>
        <v>3</v>
      </c>
      <c r="N6855" s="31" t="str">
        <f aca="false">IF(G6855&lt;=INDEX(Assumptions!$B$15:$B$18,MATCH(E6855,Assumptions!$A$15:$A$18,0)),"Yes","No")</f>
        <v>Yes</v>
      </c>
      <c r="O6855" s="31" t="str">
        <f aca="false">IF(H6855="","Open",IF(H6855&lt;=INDEX(Assumptions!$C$15:$C$18,MATCH(E6855,Assumptions!$A$15:$A$18,0)),"Yes","No"))</f>
        <v>Open</v>
      </c>
    </row>
    <row r="6856" customFormat="false" ht="15" hidden="false" customHeight="false" outlineLevel="0" collapsed="false">
      <c r="A6856" s="31" t="s">
        <v>7006</v>
      </c>
      <c r="B6856" s="44" t="n">
        <v>46295</v>
      </c>
      <c r="C6856" s="31" t="s">
        <v>59</v>
      </c>
      <c r="D6856" s="31" t="s">
        <v>69</v>
      </c>
      <c r="E6856" s="31" t="s">
        <v>51</v>
      </c>
      <c r="F6856" s="31" t="s">
        <v>135</v>
      </c>
      <c r="G6856" s="31" t="n">
        <v>32</v>
      </c>
      <c r="H6856" s="41"/>
      <c r="I6856" s="31" t="s">
        <v>158</v>
      </c>
      <c r="J6856" s="31"/>
      <c r="K6856" s="31" t="s">
        <v>150</v>
      </c>
      <c r="L6856" s="45" t="n">
        <f aca="false">DATE(YEAR(B6856),MONTH(B6856),1)</f>
        <v>46266</v>
      </c>
      <c r="M6856" s="31" t="n">
        <f aca="false">WEEKDAY(B6856,2)</f>
        <v>3</v>
      </c>
      <c r="N6856" s="31" t="str">
        <f aca="false">IF(G6856&lt;=INDEX(Assumptions!$B$15:$B$18,MATCH(E6856,Assumptions!$A$15:$A$18,0)),"Yes","No")</f>
        <v>Yes</v>
      </c>
      <c r="O6856" s="31" t="str">
        <f aca="false">IF(H6856="","Open",IF(H6856&lt;=INDEX(Assumptions!$C$15:$C$18,MATCH(E6856,Assumptions!$A$15:$A$18,0)),"Yes","No"))</f>
        <v>Open</v>
      </c>
    </row>
    <row r="6857" customFormat="false" ht="15" hidden="false" customHeight="false" outlineLevel="0" collapsed="false">
      <c r="A6857" s="31" t="s">
        <v>7007</v>
      </c>
      <c r="B6857" s="44" t="n">
        <v>46295</v>
      </c>
      <c r="C6857" s="31" t="s">
        <v>60</v>
      </c>
      <c r="D6857" s="31" t="s">
        <v>68</v>
      </c>
      <c r="E6857" s="31" t="s">
        <v>51</v>
      </c>
      <c r="F6857" s="31" t="s">
        <v>119</v>
      </c>
      <c r="G6857" s="31" t="n">
        <v>2</v>
      </c>
      <c r="H6857" s="41"/>
      <c r="I6857" s="31" t="s">
        <v>158</v>
      </c>
      <c r="J6857" s="31"/>
      <c r="K6857" s="31" t="s">
        <v>150</v>
      </c>
      <c r="L6857" s="45" t="n">
        <f aca="false">DATE(YEAR(B6857),MONTH(B6857),1)</f>
        <v>46266</v>
      </c>
      <c r="M6857" s="31" t="n">
        <f aca="false">WEEKDAY(B6857,2)</f>
        <v>3</v>
      </c>
      <c r="N6857" s="31" t="str">
        <f aca="false">IF(G6857&lt;=INDEX(Assumptions!$B$15:$B$18,MATCH(E6857,Assumptions!$A$15:$A$18,0)),"Yes","No")</f>
        <v>Yes</v>
      </c>
      <c r="O6857" s="31" t="str">
        <f aca="false">IF(H6857="","Open",IF(H6857&lt;=INDEX(Assumptions!$C$15:$C$18,MATCH(E6857,Assumptions!$A$15:$A$18,0)),"Yes","No"))</f>
        <v>Open</v>
      </c>
    </row>
    <row r="6858" customFormat="false" ht="15" hidden="false" customHeight="false" outlineLevel="0" collapsed="false">
      <c r="A6858" s="31" t="s">
        <v>7008</v>
      </c>
      <c r="B6858" s="44" t="n">
        <v>46295</v>
      </c>
      <c r="C6858" s="31" t="s">
        <v>57</v>
      </c>
      <c r="D6858" s="31" t="s">
        <v>65</v>
      </c>
      <c r="E6858" s="31" t="s">
        <v>52</v>
      </c>
      <c r="F6858" s="31" t="s">
        <v>119</v>
      </c>
      <c r="G6858" s="31" t="n">
        <v>1</v>
      </c>
      <c r="H6858" s="41"/>
      <c r="I6858" s="31" t="s">
        <v>158</v>
      </c>
      <c r="J6858" s="31"/>
      <c r="K6858" s="31" t="s">
        <v>150</v>
      </c>
      <c r="L6858" s="45" t="n">
        <f aca="false">DATE(YEAR(B6858),MONTH(B6858),1)</f>
        <v>46266</v>
      </c>
      <c r="M6858" s="31" t="n">
        <f aca="false">WEEKDAY(B6858,2)</f>
        <v>3</v>
      </c>
      <c r="N6858" s="31" t="str">
        <f aca="false">IF(G6858&lt;=INDEX(Assumptions!$B$15:$B$18,MATCH(E6858,Assumptions!$A$15:$A$18,0)),"Yes","No")</f>
        <v>Yes</v>
      </c>
      <c r="O6858" s="31" t="str">
        <f aca="false">IF(H6858="","Open",IF(H6858&lt;=INDEX(Assumptions!$C$15:$C$18,MATCH(E6858,Assumptions!$A$15:$A$18,0)),"Yes","No"))</f>
        <v>Open</v>
      </c>
    </row>
    <row r="6859" customFormat="false" ht="15" hidden="false" customHeight="false" outlineLevel="0" collapsed="false">
      <c r="A6859" s="31" t="s">
        <v>7009</v>
      </c>
      <c r="B6859" s="44" t="n">
        <v>46295</v>
      </c>
      <c r="C6859" s="31" t="s">
        <v>57</v>
      </c>
      <c r="D6859" s="31" t="s">
        <v>65</v>
      </c>
      <c r="E6859" s="31" t="s">
        <v>51</v>
      </c>
      <c r="F6859" s="31" t="s">
        <v>135</v>
      </c>
      <c r="G6859" s="31" t="n">
        <v>5</v>
      </c>
      <c r="H6859" s="41"/>
      <c r="I6859" s="31" t="s">
        <v>158</v>
      </c>
      <c r="J6859" s="31"/>
      <c r="K6859" s="31" t="s">
        <v>150</v>
      </c>
      <c r="L6859" s="45" t="n">
        <f aca="false">DATE(YEAR(B6859),MONTH(B6859),1)</f>
        <v>46266</v>
      </c>
      <c r="M6859" s="31" t="n">
        <f aca="false">WEEKDAY(B6859,2)</f>
        <v>3</v>
      </c>
      <c r="N6859" s="31" t="str">
        <f aca="false">IF(G6859&lt;=INDEX(Assumptions!$B$15:$B$18,MATCH(E6859,Assumptions!$A$15:$A$18,0)),"Yes","No")</f>
        <v>Yes</v>
      </c>
      <c r="O6859" s="31" t="str">
        <f aca="false">IF(H6859="","Open",IF(H6859&lt;=INDEX(Assumptions!$C$15:$C$18,MATCH(E6859,Assumptions!$A$15:$A$18,0)),"Yes","No"))</f>
        <v>Open</v>
      </c>
    </row>
    <row r="6860" customFormat="false" ht="15" hidden="false" customHeight="false" outlineLevel="0" collapsed="false">
      <c r="A6860" s="31" t="s">
        <v>7010</v>
      </c>
      <c r="B6860" s="44" t="n">
        <v>46295</v>
      </c>
      <c r="C6860" s="31" t="s">
        <v>57</v>
      </c>
      <c r="D6860" s="31" t="s">
        <v>65</v>
      </c>
      <c r="E6860" s="31" t="s">
        <v>49</v>
      </c>
      <c r="F6860" s="31" t="s">
        <v>136</v>
      </c>
      <c r="G6860" s="31" t="n">
        <v>2</v>
      </c>
      <c r="H6860" s="41"/>
      <c r="I6860" s="31" t="s">
        <v>158</v>
      </c>
      <c r="J6860" s="31"/>
      <c r="K6860" s="31" t="s">
        <v>150</v>
      </c>
      <c r="L6860" s="45" t="n">
        <f aca="false">DATE(YEAR(B6860),MONTH(B6860),1)</f>
        <v>46266</v>
      </c>
      <c r="M6860" s="31" t="n">
        <f aca="false">WEEKDAY(B6860,2)</f>
        <v>3</v>
      </c>
      <c r="N6860" s="31" t="str">
        <f aca="false">IF(G6860&lt;=INDEX(Assumptions!$B$15:$B$18,MATCH(E6860,Assumptions!$A$15:$A$18,0)),"Yes","No")</f>
        <v>Yes</v>
      </c>
      <c r="O6860" s="31" t="str">
        <f aca="false">IF(H6860="","Open",IF(H6860&lt;=INDEX(Assumptions!$C$15:$C$18,MATCH(E6860,Assumptions!$A$15:$A$18,0)),"Yes","No"))</f>
        <v>Open</v>
      </c>
    </row>
    <row r="6861" customFormat="false" ht="15" hidden="false" customHeight="false" outlineLevel="0" collapsed="false">
      <c r="A6861" s="31" t="s">
        <v>7011</v>
      </c>
      <c r="B6861" s="44" t="n">
        <v>46295</v>
      </c>
      <c r="C6861" s="31" t="s">
        <v>58</v>
      </c>
      <c r="D6861" s="31" t="s">
        <v>67</v>
      </c>
      <c r="E6861" s="31" t="s">
        <v>50</v>
      </c>
      <c r="F6861" s="31" t="s">
        <v>127</v>
      </c>
      <c r="G6861" s="31" t="n">
        <v>23</v>
      </c>
      <c r="H6861" s="41" t="n">
        <v>11.4</v>
      </c>
      <c r="I6861" s="31" t="s">
        <v>64</v>
      </c>
      <c r="J6861" s="31"/>
      <c r="K6861" s="31" t="s">
        <v>150</v>
      </c>
      <c r="L6861" s="45" t="n">
        <f aca="false">DATE(YEAR(B6861),MONTH(B6861),1)</f>
        <v>46266</v>
      </c>
      <c r="M6861" s="31" t="n">
        <f aca="false">WEEKDAY(B6861,2)</f>
        <v>3</v>
      </c>
      <c r="N6861" s="31" t="str">
        <f aca="false">IF(G6861&lt;=INDEX(Assumptions!$B$15:$B$18,MATCH(E6861,Assumptions!$A$15:$A$18,0)),"Yes","No")</f>
        <v>Yes</v>
      </c>
      <c r="O6861" s="31" t="str">
        <f aca="false">IF(H6861="","Open",IF(H6861&lt;=INDEX(Assumptions!$C$15:$C$18,MATCH(E6861,Assumptions!$A$15:$A$18,0)),"Yes","No"))</f>
        <v>No</v>
      </c>
    </row>
    <row r="6862" customFormat="false" ht="15" hidden="false" customHeight="false" outlineLevel="0" collapsed="false">
      <c r="A6862" s="31" t="s">
        <v>7012</v>
      </c>
      <c r="B6862" s="44" t="n">
        <v>46295</v>
      </c>
      <c r="C6862" s="31" t="s">
        <v>57</v>
      </c>
      <c r="D6862" s="31" t="s">
        <v>65</v>
      </c>
      <c r="E6862" s="31" t="s">
        <v>52</v>
      </c>
      <c r="F6862" s="31" t="s">
        <v>126</v>
      </c>
      <c r="G6862" s="31" t="n">
        <v>2</v>
      </c>
      <c r="H6862" s="41"/>
      <c r="I6862" s="31" t="s">
        <v>158</v>
      </c>
      <c r="J6862" s="31"/>
      <c r="K6862" s="31" t="s">
        <v>150</v>
      </c>
      <c r="L6862" s="45" t="n">
        <f aca="false">DATE(YEAR(B6862),MONTH(B6862),1)</f>
        <v>46266</v>
      </c>
      <c r="M6862" s="31" t="n">
        <f aca="false">WEEKDAY(B6862,2)</f>
        <v>3</v>
      </c>
      <c r="N6862" s="31" t="str">
        <f aca="false">IF(G6862&lt;=INDEX(Assumptions!$B$15:$B$18,MATCH(E6862,Assumptions!$A$15:$A$18,0)),"Yes","No")</f>
        <v>Yes</v>
      </c>
      <c r="O6862" s="31" t="str">
        <f aca="false">IF(H6862="","Open",IF(H6862&lt;=INDEX(Assumptions!$C$15:$C$18,MATCH(E6862,Assumptions!$A$15:$A$18,0)),"Yes","No"))</f>
        <v>Open</v>
      </c>
    </row>
    <row r="6863" customFormat="false" ht="15" hidden="false" customHeight="false" outlineLevel="0" collapsed="false">
      <c r="A6863" s="31" t="s">
        <v>7013</v>
      </c>
      <c r="B6863" s="44" t="n">
        <v>46295</v>
      </c>
      <c r="C6863" s="31" t="s">
        <v>57</v>
      </c>
      <c r="D6863" s="31" t="s">
        <v>67</v>
      </c>
      <c r="E6863" s="31" t="s">
        <v>51</v>
      </c>
      <c r="F6863" s="31" t="s">
        <v>120</v>
      </c>
      <c r="G6863" s="31" t="n">
        <v>7</v>
      </c>
      <c r="H6863" s="41" t="n">
        <v>14.7</v>
      </c>
      <c r="I6863" s="31" t="s">
        <v>149</v>
      </c>
      <c r="J6863" s="31" t="n">
        <v>4</v>
      </c>
      <c r="K6863" s="31" t="s">
        <v>153</v>
      </c>
      <c r="L6863" s="45" t="n">
        <f aca="false">DATE(YEAR(B6863),MONTH(B6863),1)</f>
        <v>46266</v>
      </c>
      <c r="M6863" s="31" t="n">
        <f aca="false">WEEKDAY(B6863,2)</f>
        <v>3</v>
      </c>
      <c r="N6863" s="31" t="str">
        <f aca="false">IF(G6863&lt;=INDEX(Assumptions!$B$15:$B$18,MATCH(E6863,Assumptions!$A$15:$A$18,0)),"Yes","No")</f>
        <v>Yes</v>
      </c>
      <c r="O6863" s="31" t="str">
        <f aca="false">IF(H6863="","Open",IF(H6863&lt;=INDEX(Assumptions!$C$15:$C$18,MATCH(E6863,Assumptions!$A$15:$A$18,0)),"Yes","No"))</f>
        <v>Yes</v>
      </c>
    </row>
    <row r="6864" customFormat="false" ht="15" hidden="false" customHeight="false" outlineLevel="0" collapsed="false">
      <c r="A6864" s="31" t="s">
        <v>7014</v>
      </c>
      <c r="B6864" s="44" t="n">
        <v>46295</v>
      </c>
      <c r="C6864" s="31" t="s">
        <v>57</v>
      </c>
      <c r="D6864" s="31" t="s">
        <v>68</v>
      </c>
      <c r="E6864" s="31" t="s">
        <v>50</v>
      </c>
      <c r="F6864" s="31" t="s">
        <v>117</v>
      </c>
      <c r="G6864" s="31" t="n">
        <v>3</v>
      </c>
      <c r="H6864" s="41"/>
      <c r="I6864" s="31" t="s">
        <v>158</v>
      </c>
      <c r="J6864" s="31"/>
      <c r="K6864" s="31" t="s">
        <v>150</v>
      </c>
      <c r="L6864" s="45" t="n">
        <f aca="false">DATE(YEAR(B6864),MONTH(B6864),1)</f>
        <v>46266</v>
      </c>
      <c r="M6864" s="31" t="n">
        <f aca="false">WEEKDAY(B6864,2)</f>
        <v>3</v>
      </c>
      <c r="N6864" s="31" t="str">
        <f aca="false">IF(G6864&lt;=INDEX(Assumptions!$B$15:$B$18,MATCH(E6864,Assumptions!$A$15:$A$18,0)),"Yes","No")</f>
        <v>Yes</v>
      </c>
      <c r="O6864" s="31" t="str">
        <f aca="false">IF(H6864="","Open",IF(H6864&lt;=INDEX(Assumptions!$C$15:$C$18,MATCH(E6864,Assumptions!$A$15:$A$18,0)),"Yes","No"))</f>
        <v>Open</v>
      </c>
    </row>
    <row r="6865" customFormat="false" ht="15" hidden="false" customHeight="false" outlineLevel="0" collapsed="false">
      <c r="A6865" s="31" t="s">
        <v>7015</v>
      </c>
      <c r="B6865" s="44" t="n">
        <v>46295</v>
      </c>
      <c r="C6865" s="31" t="s">
        <v>59</v>
      </c>
      <c r="D6865" s="31" t="s">
        <v>65</v>
      </c>
      <c r="E6865" s="31" t="s">
        <v>51</v>
      </c>
      <c r="F6865" s="31" t="s">
        <v>131</v>
      </c>
      <c r="G6865" s="31" t="n">
        <v>108</v>
      </c>
      <c r="H6865" s="41"/>
      <c r="I6865" s="31" t="s">
        <v>158</v>
      </c>
      <c r="J6865" s="31"/>
      <c r="K6865" s="31" t="s">
        <v>150</v>
      </c>
      <c r="L6865" s="45" t="n">
        <f aca="false">DATE(YEAR(B6865),MONTH(B6865),1)</f>
        <v>46266</v>
      </c>
      <c r="M6865" s="31" t="n">
        <f aca="false">WEEKDAY(B6865,2)</f>
        <v>3</v>
      </c>
      <c r="N6865" s="31" t="str">
        <f aca="false">IF(G6865&lt;=INDEX(Assumptions!$B$15:$B$18,MATCH(E6865,Assumptions!$A$15:$A$18,0)),"Yes","No")</f>
        <v>No</v>
      </c>
      <c r="O6865" s="31" t="str">
        <f aca="false">IF(H6865="","Open",IF(H6865&lt;=INDEX(Assumptions!$C$15:$C$18,MATCH(E6865,Assumptions!$A$15:$A$18,0)),"Yes","No"))</f>
        <v>Open</v>
      </c>
    </row>
    <row r="6866" customFormat="false" ht="15" hidden="false" customHeight="false" outlineLevel="0" collapsed="false">
      <c r="A6866" s="31" t="s">
        <v>7016</v>
      </c>
      <c r="B6866" s="44" t="n">
        <v>46295</v>
      </c>
      <c r="C6866" s="31" t="s">
        <v>58</v>
      </c>
      <c r="D6866" s="31" t="s">
        <v>66</v>
      </c>
      <c r="E6866" s="31" t="s">
        <v>50</v>
      </c>
      <c r="F6866" s="31" t="s">
        <v>122</v>
      </c>
      <c r="G6866" s="31" t="n">
        <v>16</v>
      </c>
      <c r="H6866" s="41"/>
      <c r="I6866" s="31" t="s">
        <v>158</v>
      </c>
      <c r="J6866" s="31"/>
      <c r="K6866" s="31" t="s">
        <v>150</v>
      </c>
      <c r="L6866" s="45" t="n">
        <f aca="false">DATE(YEAR(B6866),MONTH(B6866),1)</f>
        <v>46266</v>
      </c>
      <c r="M6866" s="31" t="n">
        <f aca="false">WEEKDAY(B6866,2)</f>
        <v>3</v>
      </c>
      <c r="N6866" s="31" t="str">
        <f aca="false">IF(G6866&lt;=INDEX(Assumptions!$B$15:$B$18,MATCH(E6866,Assumptions!$A$15:$A$18,0)),"Yes","No")</f>
        <v>Yes</v>
      </c>
      <c r="O6866" s="31" t="str">
        <f aca="false">IF(H6866="","Open",IF(H6866&lt;=INDEX(Assumptions!$C$15:$C$18,MATCH(E6866,Assumptions!$A$15:$A$18,0)),"Yes","No"))</f>
        <v>Open</v>
      </c>
    </row>
    <row r="6867" customFormat="false" ht="15" hidden="false" customHeight="false" outlineLevel="0" collapsed="false">
      <c r="A6867" s="31" t="s">
        <v>7017</v>
      </c>
      <c r="B6867" s="44" t="n">
        <v>46295</v>
      </c>
      <c r="C6867" s="31" t="s">
        <v>60</v>
      </c>
      <c r="D6867" s="31" t="s">
        <v>65</v>
      </c>
      <c r="E6867" s="31" t="s">
        <v>51</v>
      </c>
      <c r="F6867" s="31" t="s">
        <v>137</v>
      </c>
      <c r="G6867" s="31" t="n">
        <v>1</v>
      </c>
      <c r="H6867" s="41" t="n">
        <v>19.1</v>
      </c>
      <c r="I6867" s="31" t="s">
        <v>64</v>
      </c>
      <c r="J6867" s="31"/>
      <c r="K6867" s="31" t="s">
        <v>150</v>
      </c>
      <c r="L6867" s="45" t="n">
        <f aca="false">DATE(YEAR(B6867),MONTH(B6867),1)</f>
        <v>46266</v>
      </c>
      <c r="M6867" s="31" t="n">
        <f aca="false">WEEKDAY(B6867,2)</f>
        <v>3</v>
      </c>
      <c r="N6867" s="31" t="str">
        <f aca="false">IF(G6867&lt;=INDEX(Assumptions!$B$15:$B$18,MATCH(E6867,Assumptions!$A$15:$A$18,0)),"Yes","No")</f>
        <v>Yes</v>
      </c>
      <c r="O6867" s="31" t="str">
        <f aca="false">IF(H6867="","Open",IF(H6867&lt;=INDEX(Assumptions!$C$15:$C$18,MATCH(E6867,Assumptions!$A$15:$A$18,0)),"Yes","No"))</f>
        <v>Yes</v>
      </c>
    </row>
    <row r="6868" customFormat="false" ht="15" hidden="false" customHeight="false" outlineLevel="0" collapsed="false">
      <c r="A6868" s="31" t="s">
        <v>7018</v>
      </c>
      <c r="B6868" s="44" t="n">
        <v>46295</v>
      </c>
      <c r="C6868" s="31" t="s">
        <v>57</v>
      </c>
      <c r="D6868" s="31" t="s">
        <v>67</v>
      </c>
      <c r="E6868" s="31" t="s">
        <v>52</v>
      </c>
      <c r="F6868" s="31" t="s">
        <v>136</v>
      </c>
      <c r="G6868" s="31" t="n">
        <v>5</v>
      </c>
      <c r="H6868" s="41"/>
      <c r="I6868" s="31" t="s">
        <v>158</v>
      </c>
      <c r="J6868" s="31"/>
      <c r="K6868" s="31" t="s">
        <v>150</v>
      </c>
      <c r="L6868" s="45" t="n">
        <f aca="false">DATE(YEAR(B6868),MONTH(B6868),1)</f>
        <v>46266</v>
      </c>
      <c r="M6868" s="31" t="n">
        <f aca="false">WEEKDAY(B6868,2)</f>
        <v>3</v>
      </c>
      <c r="N6868" s="31" t="str">
        <f aca="false">IF(G6868&lt;=INDEX(Assumptions!$B$15:$B$18,MATCH(E6868,Assumptions!$A$15:$A$18,0)),"Yes","No")</f>
        <v>Yes</v>
      </c>
      <c r="O6868" s="31" t="str">
        <f aca="false">IF(H6868="","Open",IF(H6868&lt;=INDEX(Assumptions!$C$15:$C$18,MATCH(E6868,Assumptions!$A$15:$A$18,0)),"Yes","No"))</f>
        <v>Open</v>
      </c>
    </row>
    <row r="6869" customFormat="false" ht="15" hidden="false" customHeight="false" outlineLevel="0" collapsed="false">
      <c r="A6869" s="31" t="s">
        <v>7019</v>
      </c>
      <c r="B6869" s="44" t="n">
        <v>46295</v>
      </c>
      <c r="C6869" s="31" t="s">
        <v>59</v>
      </c>
      <c r="D6869" s="31" t="s">
        <v>69</v>
      </c>
      <c r="E6869" s="31" t="s">
        <v>51</v>
      </c>
      <c r="F6869" s="31" t="s">
        <v>133</v>
      </c>
      <c r="G6869" s="31" t="n">
        <v>155</v>
      </c>
      <c r="H6869" s="41"/>
      <c r="I6869" s="31" t="s">
        <v>158</v>
      </c>
      <c r="J6869" s="31"/>
      <c r="K6869" s="31" t="s">
        <v>150</v>
      </c>
      <c r="L6869" s="45" t="n">
        <f aca="false">DATE(YEAR(B6869),MONTH(B6869),1)</f>
        <v>46266</v>
      </c>
      <c r="M6869" s="31" t="n">
        <f aca="false">WEEKDAY(B6869,2)</f>
        <v>3</v>
      </c>
      <c r="N6869" s="31" t="str">
        <f aca="false">IF(G6869&lt;=INDEX(Assumptions!$B$15:$B$18,MATCH(E6869,Assumptions!$A$15:$A$18,0)),"Yes","No")</f>
        <v>No</v>
      </c>
      <c r="O6869" s="31" t="str">
        <f aca="false">IF(H6869="","Open",IF(H6869&lt;=INDEX(Assumptions!$C$15:$C$18,MATCH(E6869,Assumptions!$A$15:$A$18,0)),"Yes","No"))</f>
        <v>Open</v>
      </c>
    </row>
    <row r="6870" customFormat="false" ht="15" hidden="false" customHeight="false" outlineLevel="0" collapsed="false">
      <c r="A6870" s="31" t="s">
        <v>7020</v>
      </c>
      <c r="B6870" s="44" t="n">
        <v>46295</v>
      </c>
      <c r="C6870" s="31" t="s">
        <v>57</v>
      </c>
      <c r="D6870" s="31" t="s">
        <v>65</v>
      </c>
      <c r="E6870" s="31" t="s">
        <v>51</v>
      </c>
      <c r="F6870" s="31" t="s">
        <v>124</v>
      </c>
      <c r="G6870" s="31" t="n">
        <v>2</v>
      </c>
      <c r="H6870" s="41"/>
      <c r="I6870" s="31" t="s">
        <v>158</v>
      </c>
      <c r="J6870" s="31"/>
      <c r="K6870" s="31" t="s">
        <v>150</v>
      </c>
      <c r="L6870" s="45" t="n">
        <f aca="false">DATE(YEAR(B6870),MONTH(B6870),1)</f>
        <v>46266</v>
      </c>
      <c r="M6870" s="31" t="n">
        <f aca="false">WEEKDAY(B6870,2)</f>
        <v>3</v>
      </c>
      <c r="N6870" s="31" t="str">
        <f aca="false">IF(G6870&lt;=INDEX(Assumptions!$B$15:$B$18,MATCH(E6870,Assumptions!$A$15:$A$18,0)),"Yes","No")</f>
        <v>Yes</v>
      </c>
      <c r="O6870" s="31" t="str">
        <f aca="false">IF(H6870="","Open",IF(H6870&lt;=INDEX(Assumptions!$C$15:$C$18,MATCH(E6870,Assumptions!$A$15:$A$18,0)),"Yes","No"))</f>
        <v>Open</v>
      </c>
    </row>
    <row r="6871" customFormat="false" ht="15" hidden="false" customHeight="false" outlineLevel="0" collapsed="false">
      <c r="A6871" s="31" t="s">
        <v>7021</v>
      </c>
      <c r="B6871" s="44" t="n">
        <v>46295</v>
      </c>
      <c r="C6871" s="31" t="s">
        <v>58</v>
      </c>
      <c r="D6871" s="31" t="s">
        <v>66</v>
      </c>
      <c r="E6871" s="31" t="s">
        <v>51</v>
      </c>
      <c r="F6871" s="31" t="s">
        <v>122</v>
      </c>
      <c r="G6871" s="31" t="n">
        <v>4</v>
      </c>
      <c r="H6871" s="41"/>
      <c r="I6871" s="31" t="s">
        <v>158</v>
      </c>
      <c r="J6871" s="31"/>
      <c r="K6871" s="31" t="s">
        <v>150</v>
      </c>
      <c r="L6871" s="45" t="n">
        <f aca="false">DATE(YEAR(B6871),MONTH(B6871),1)</f>
        <v>46266</v>
      </c>
      <c r="M6871" s="31" t="n">
        <f aca="false">WEEKDAY(B6871,2)</f>
        <v>3</v>
      </c>
      <c r="N6871" s="31" t="str">
        <f aca="false">IF(G6871&lt;=INDEX(Assumptions!$B$15:$B$18,MATCH(E6871,Assumptions!$A$15:$A$18,0)),"Yes","No")</f>
        <v>Yes</v>
      </c>
      <c r="O6871" s="31" t="str">
        <f aca="false">IF(H6871="","Open",IF(H6871&lt;=INDEX(Assumptions!$C$15:$C$18,MATCH(E6871,Assumptions!$A$15:$A$18,0)),"Yes","No"))</f>
        <v>Open</v>
      </c>
    </row>
    <row r="6872" customFormat="false" ht="15" hidden="false" customHeight="false" outlineLevel="0" collapsed="false">
      <c r="A6872" s="31" t="s">
        <v>7022</v>
      </c>
      <c r="B6872" s="44" t="n">
        <v>46295</v>
      </c>
      <c r="C6872" s="31" t="s">
        <v>57</v>
      </c>
      <c r="D6872" s="31" t="s">
        <v>67</v>
      </c>
      <c r="E6872" s="31" t="s">
        <v>52</v>
      </c>
      <c r="F6872" s="31" t="s">
        <v>121</v>
      </c>
      <c r="G6872" s="31" t="n">
        <v>11</v>
      </c>
      <c r="H6872" s="41"/>
      <c r="I6872" s="31" t="s">
        <v>158</v>
      </c>
      <c r="J6872" s="31"/>
      <c r="K6872" s="31" t="s">
        <v>150</v>
      </c>
      <c r="L6872" s="45" t="n">
        <f aca="false">DATE(YEAR(B6872),MONTH(B6872),1)</f>
        <v>46266</v>
      </c>
      <c r="M6872" s="31" t="n">
        <f aca="false">WEEKDAY(B6872,2)</f>
        <v>3</v>
      </c>
      <c r="N6872" s="31" t="str">
        <f aca="false">IF(G6872&lt;=INDEX(Assumptions!$B$15:$B$18,MATCH(E6872,Assumptions!$A$15:$A$18,0)),"Yes","No")</f>
        <v>Yes</v>
      </c>
      <c r="O6872" s="31" t="str">
        <f aca="false">IF(H6872="","Open",IF(H6872&lt;=INDEX(Assumptions!$C$15:$C$18,MATCH(E6872,Assumptions!$A$15:$A$18,0)),"Yes","No"))</f>
        <v>Open</v>
      </c>
    </row>
    <row r="6873" customFormat="false" ht="15" hidden="false" customHeight="false" outlineLevel="0" collapsed="false">
      <c r="A6873" s="31" t="s">
        <v>7023</v>
      </c>
      <c r="B6873" s="44" t="n">
        <v>46295</v>
      </c>
      <c r="C6873" s="31" t="s">
        <v>59</v>
      </c>
      <c r="D6873" s="31" t="s">
        <v>65</v>
      </c>
      <c r="E6873" s="31" t="s">
        <v>50</v>
      </c>
      <c r="F6873" s="31" t="s">
        <v>127</v>
      </c>
      <c r="G6873" s="31" t="n">
        <v>26</v>
      </c>
      <c r="H6873" s="41"/>
      <c r="I6873" s="31" t="s">
        <v>158</v>
      </c>
      <c r="J6873" s="31"/>
      <c r="K6873" s="31" t="s">
        <v>150</v>
      </c>
      <c r="L6873" s="45" t="n">
        <f aca="false">DATE(YEAR(B6873),MONTH(B6873),1)</f>
        <v>46266</v>
      </c>
      <c r="M6873" s="31" t="n">
        <f aca="false">WEEKDAY(B6873,2)</f>
        <v>3</v>
      </c>
      <c r="N6873" s="31" t="str">
        <f aca="false">IF(G6873&lt;=INDEX(Assumptions!$B$15:$B$18,MATCH(E6873,Assumptions!$A$15:$A$18,0)),"Yes","No")</f>
        <v>Yes</v>
      </c>
      <c r="O6873" s="31" t="str">
        <f aca="false">IF(H6873="","Open",IF(H6873&lt;=INDEX(Assumptions!$C$15:$C$18,MATCH(E6873,Assumptions!$A$15:$A$18,0)),"Yes","No"))</f>
        <v>Open</v>
      </c>
    </row>
    <row r="6874" customFormat="false" ht="15" hidden="false" customHeight="false" outlineLevel="0" collapsed="false">
      <c r="A6874" s="31" t="s">
        <v>7024</v>
      </c>
      <c r="B6874" s="44" t="n">
        <v>46295</v>
      </c>
      <c r="C6874" s="31" t="s">
        <v>58</v>
      </c>
      <c r="D6874" s="31" t="s">
        <v>68</v>
      </c>
      <c r="E6874" s="31" t="s">
        <v>52</v>
      </c>
      <c r="F6874" s="31" t="s">
        <v>119</v>
      </c>
      <c r="G6874" s="31" t="n">
        <v>15</v>
      </c>
      <c r="H6874" s="41"/>
      <c r="I6874" s="31" t="s">
        <v>158</v>
      </c>
      <c r="J6874" s="31"/>
      <c r="K6874" s="31" t="s">
        <v>150</v>
      </c>
      <c r="L6874" s="45" t="n">
        <f aca="false">DATE(YEAR(B6874),MONTH(B6874),1)</f>
        <v>46266</v>
      </c>
      <c r="M6874" s="31" t="n">
        <f aca="false">WEEKDAY(B6874,2)</f>
        <v>3</v>
      </c>
      <c r="N6874" s="31" t="str">
        <f aca="false">IF(G6874&lt;=INDEX(Assumptions!$B$15:$B$18,MATCH(E6874,Assumptions!$A$15:$A$18,0)),"Yes","No")</f>
        <v>Yes</v>
      </c>
      <c r="O6874" s="31" t="str">
        <f aca="false">IF(H6874="","Open",IF(H6874&lt;=INDEX(Assumptions!$C$15:$C$18,MATCH(E6874,Assumptions!$A$15:$A$18,0)),"Yes","No"))</f>
        <v>Open</v>
      </c>
    </row>
    <row r="6875" customFormat="false" ht="15" hidden="false" customHeight="false" outlineLevel="0" collapsed="false">
      <c r="A6875" s="31" t="s">
        <v>7025</v>
      </c>
      <c r="B6875" s="44" t="n">
        <v>46295</v>
      </c>
      <c r="C6875" s="31" t="s">
        <v>57</v>
      </c>
      <c r="D6875" s="31" t="s">
        <v>68</v>
      </c>
      <c r="E6875" s="31" t="s">
        <v>51</v>
      </c>
      <c r="F6875" s="31" t="s">
        <v>119</v>
      </c>
      <c r="G6875" s="31" t="n">
        <v>12</v>
      </c>
      <c r="H6875" s="41"/>
      <c r="I6875" s="31" t="s">
        <v>158</v>
      </c>
      <c r="J6875" s="31"/>
      <c r="K6875" s="31" t="s">
        <v>150</v>
      </c>
      <c r="L6875" s="45" t="n">
        <f aca="false">DATE(YEAR(B6875),MONTH(B6875),1)</f>
        <v>46266</v>
      </c>
      <c r="M6875" s="31" t="n">
        <f aca="false">WEEKDAY(B6875,2)</f>
        <v>3</v>
      </c>
      <c r="N6875" s="31" t="str">
        <f aca="false">IF(G6875&lt;=INDEX(Assumptions!$B$15:$B$18,MATCH(E6875,Assumptions!$A$15:$A$18,0)),"Yes","No")</f>
        <v>Yes</v>
      </c>
      <c r="O6875" s="31" t="str">
        <f aca="false">IF(H6875="","Open",IF(H6875&lt;=INDEX(Assumptions!$C$15:$C$18,MATCH(E6875,Assumptions!$A$15:$A$18,0)),"Yes","No"))</f>
        <v>Open</v>
      </c>
    </row>
    <row r="6876" customFormat="false" ht="15" hidden="false" customHeight="false" outlineLevel="0" collapsed="false">
      <c r="A6876" s="31" t="s">
        <v>7026</v>
      </c>
      <c r="B6876" s="44" t="n">
        <v>46295</v>
      </c>
      <c r="C6876" s="31" t="s">
        <v>57</v>
      </c>
      <c r="D6876" s="31" t="s">
        <v>65</v>
      </c>
      <c r="E6876" s="31" t="s">
        <v>51</v>
      </c>
      <c r="F6876" s="31" t="s">
        <v>131</v>
      </c>
      <c r="G6876" s="31" t="n">
        <v>1</v>
      </c>
      <c r="H6876" s="41"/>
      <c r="I6876" s="31" t="s">
        <v>158</v>
      </c>
      <c r="J6876" s="31"/>
      <c r="K6876" s="31" t="s">
        <v>150</v>
      </c>
      <c r="L6876" s="45" t="n">
        <f aca="false">DATE(YEAR(B6876),MONTH(B6876),1)</f>
        <v>46266</v>
      </c>
      <c r="M6876" s="31" t="n">
        <f aca="false">WEEKDAY(B6876,2)</f>
        <v>3</v>
      </c>
      <c r="N6876" s="31" t="str">
        <f aca="false">IF(G6876&lt;=INDEX(Assumptions!$B$15:$B$18,MATCH(E6876,Assumptions!$A$15:$A$18,0)),"Yes","No")</f>
        <v>Yes</v>
      </c>
      <c r="O6876" s="31" t="str">
        <f aca="false">IF(H6876="","Open",IF(H6876&lt;=INDEX(Assumptions!$C$15:$C$18,MATCH(E6876,Assumptions!$A$15:$A$18,0)),"Yes","No"))</f>
        <v>Open</v>
      </c>
    </row>
    <row r="6877" customFormat="false" ht="15" hidden="false" customHeight="false" outlineLevel="0" collapsed="false">
      <c r="A6877" s="31" t="s">
        <v>7027</v>
      </c>
      <c r="B6877" s="44" t="n">
        <v>46295</v>
      </c>
      <c r="C6877" s="31" t="s">
        <v>59</v>
      </c>
      <c r="D6877" s="31" t="s">
        <v>69</v>
      </c>
      <c r="E6877" s="31" t="s">
        <v>52</v>
      </c>
      <c r="F6877" s="31" t="s">
        <v>137</v>
      </c>
      <c r="G6877" s="31" t="n">
        <v>83</v>
      </c>
      <c r="H6877" s="41" t="n">
        <v>74.2</v>
      </c>
      <c r="I6877" s="31" t="s">
        <v>149</v>
      </c>
      <c r="J6877" s="31"/>
      <c r="K6877" s="31" t="s">
        <v>150</v>
      </c>
      <c r="L6877" s="45" t="n">
        <f aca="false">DATE(YEAR(B6877),MONTH(B6877),1)</f>
        <v>46266</v>
      </c>
      <c r="M6877" s="31" t="n">
        <f aca="false">WEEKDAY(B6877,2)</f>
        <v>3</v>
      </c>
      <c r="N6877" s="31" t="str">
        <f aca="false">IF(G6877&lt;=INDEX(Assumptions!$B$15:$B$18,MATCH(E6877,Assumptions!$A$15:$A$18,0)),"Yes","No")</f>
        <v>Yes</v>
      </c>
      <c r="O6877" s="31" t="str">
        <f aca="false">IF(H6877="","Open",IF(H6877&lt;=INDEX(Assumptions!$C$15:$C$18,MATCH(E6877,Assumptions!$A$15:$A$18,0)),"Yes","No"))</f>
        <v>No</v>
      </c>
    </row>
    <row r="6878" customFormat="false" ht="15" hidden="false" customHeight="false" outlineLevel="0" collapsed="false">
      <c r="A6878" s="31" t="s">
        <v>7028</v>
      </c>
      <c r="B6878" s="44" t="n">
        <v>46295</v>
      </c>
      <c r="C6878" s="31" t="s">
        <v>57</v>
      </c>
      <c r="D6878" s="31" t="s">
        <v>68</v>
      </c>
      <c r="E6878" s="31" t="s">
        <v>52</v>
      </c>
      <c r="F6878" s="31" t="s">
        <v>126</v>
      </c>
      <c r="G6878" s="31" t="n">
        <v>9</v>
      </c>
      <c r="H6878" s="41" t="n">
        <v>2.7</v>
      </c>
      <c r="I6878" s="31" t="s">
        <v>149</v>
      </c>
      <c r="J6878" s="31" t="n">
        <v>5</v>
      </c>
      <c r="K6878" s="31" t="s">
        <v>150</v>
      </c>
      <c r="L6878" s="45" t="n">
        <f aca="false">DATE(YEAR(B6878),MONTH(B6878),1)</f>
        <v>46266</v>
      </c>
      <c r="M6878" s="31" t="n">
        <f aca="false">WEEKDAY(B6878,2)</f>
        <v>3</v>
      </c>
      <c r="N6878" s="31" t="str">
        <f aca="false">IF(G6878&lt;=INDEX(Assumptions!$B$15:$B$18,MATCH(E6878,Assumptions!$A$15:$A$18,0)),"Yes","No")</f>
        <v>Yes</v>
      </c>
      <c r="O6878" s="31" t="str">
        <f aca="false">IF(H6878="","Open",IF(H6878&lt;=INDEX(Assumptions!$C$15:$C$18,MATCH(E6878,Assumptions!$A$15:$A$18,0)),"Yes","No"))</f>
        <v>Yes</v>
      </c>
    </row>
    <row r="6879" customFormat="false" ht="15" hidden="false" customHeight="false" outlineLevel="0" collapsed="false">
      <c r="A6879" s="31" t="s">
        <v>7029</v>
      </c>
      <c r="B6879" s="44" t="n">
        <v>46295</v>
      </c>
      <c r="C6879" s="31" t="s">
        <v>58</v>
      </c>
      <c r="D6879" s="31" t="s">
        <v>66</v>
      </c>
      <c r="E6879" s="31" t="s">
        <v>51</v>
      </c>
      <c r="F6879" s="31" t="s">
        <v>131</v>
      </c>
      <c r="G6879" s="31" t="n">
        <v>13</v>
      </c>
      <c r="H6879" s="41"/>
      <c r="I6879" s="31" t="s">
        <v>158</v>
      </c>
      <c r="J6879" s="31"/>
      <c r="K6879" s="31" t="s">
        <v>150</v>
      </c>
      <c r="L6879" s="45" t="n">
        <f aca="false">DATE(YEAR(B6879),MONTH(B6879),1)</f>
        <v>46266</v>
      </c>
      <c r="M6879" s="31" t="n">
        <f aca="false">WEEKDAY(B6879,2)</f>
        <v>3</v>
      </c>
      <c r="N6879" s="31" t="str">
        <f aca="false">IF(G6879&lt;=INDEX(Assumptions!$B$15:$B$18,MATCH(E6879,Assumptions!$A$15:$A$18,0)),"Yes","No")</f>
        <v>Yes</v>
      </c>
      <c r="O6879" s="31" t="str">
        <f aca="false">IF(H6879="","Open",IF(H6879&lt;=INDEX(Assumptions!$C$15:$C$18,MATCH(E6879,Assumptions!$A$15:$A$18,0)),"Yes","No"))</f>
        <v>Open</v>
      </c>
    </row>
    <row r="6880" customFormat="false" ht="15" hidden="false" customHeight="false" outlineLevel="0" collapsed="false">
      <c r="A6880" s="31" t="s">
        <v>7030</v>
      </c>
      <c r="B6880" s="44" t="n">
        <v>46295</v>
      </c>
      <c r="C6880" s="31" t="s">
        <v>57</v>
      </c>
      <c r="D6880" s="31" t="s">
        <v>65</v>
      </c>
      <c r="E6880" s="31" t="s">
        <v>51</v>
      </c>
      <c r="F6880" s="31" t="s">
        <v>131</v>
      </c>
      <c r="G6880" s="31" t="n">
        <v>2</v>
      </c>
      <c r="H6880" s="41"/>
      <c r="I6880" s="31" t="s">
        <v>158</v>
      </c>
      <c r="J6880" s="31"/>
      <c r="K6880" s="31" t="s">
        <v>150</v>
      </c>
      <c r="L6880" s="45" t="n">
        <f aca="false">DATE(YEAR(B6880),MONTH(B6880),1)</f>
        <v>46266</v>
      </c>
      <c r="M6880" s="31" t="n">
        <f aca="false">WEEKDAY(B6880,2)</f>
        <v>3</v>
      </c>
      <c r="N6880" s="31" t="str">
        <f aca="false">IF(G6880&lt;=INDEX(Assumptions!$B$15:$B$18,MATCH(E6880,Assumptions!$A$15:$A$18,0)),"Yes","No")</f>
        <v>Yes</v>
      </c>
      <c r="O6880" s="31" t="str">
        <f aca="false">IF(H6880="","Open",IF(H6880&lt;=INDEX(Assumptions!$C$15:$C$18,MATCH(E6880,Assumptions!$A$15:$A$18,0)),"Yes","No"))</f>
        <v>Open</v>
      </c>
    </row>
    <row r="6881" customFormat="false" ht="15" hidden="false" customHeight="false" outlineLevel="0" collapsed="false">
      <c r="A6881" s="31" t="s">
        <v>7031</v>
      </c>
      <c r="B6881" s="44" t="n">
        <v>46295</v>
      </c>
      <c r="C6881" s="31" t="s">
        <v>59</v>
      </c>
      <c r="D6881" s="31" t="s">
        <v>69</v>
      </c>
      <c r="E6881" s="31" t="s">
        <v>51</v>
      </c>
      <c r="F6881" s="31" t="s">
        <v>127</v>
      </c>
      <c r="G6881" s="31" t="n">
        <v>24</v>
      </c>
      <c r="H6881" s="41"/>
      <c r="I6881" s="31" t="s">
        <v>158</v>
      </c>
      <c r="J6881" s="31"/>
      <c r="K6881" s="31" t="s">
        <v>150</v>
      </c>
      <c r="L6881" s="45" t="n">
        <f aca="false">DATE(YEAR(B6881),MONTH(B6881),1)</f>
        <v>46266</v>
      </c>
      <c r="M6881" s="31" t="n">
        <f aca="false">WEEKDAY(B6881,2)</f>
        <v>3</v>
      </c>
      <c r="N6881" s="31" t="str">
        <f aca="false">IF(G6881&lt;=INDEX(Assumptions!$B$15:$B$18,MATCH(E6881,Assumptions!$A$15:$A$18,0)),"Yes","No")</f>
        <v>Yes</v>
      </c>
      <c r="O6881" s="31" t="str">
        <f aca="false">IF(H6881="","Open",IF(H6881&lt;=INDEX(Assumptions!$C$15:$C$18,MATCH(E6881,Assumptions!$A$15:$A$18,0)),"Yes","No"))</f>
        <v>Open</v>
      </c>
    </row>
    <row r="6882" customFormat="false" ht="15" hidden="false" customHeight="false" outlineLevel="0" collapsed="false">
      <c r="A6882" s="31" t="s">
        <v>7032</v>
      </c>
      <c r="B6882" s="44" t="n">
        <v>46295</v>
      </c>
      <c r="C6882" s="31" t="s">
        <v>60</v>
      </c>
      <c r="D6882" s="31" t="s">
        <v>66</v>
      </c>
      <c r="E6882" s="31" t="s">
        <v>51</v>
      </c>
      <c r="F6882" s="31" t="s">
        <v>136</v>
      </c>
      <c r="G6882" s="31" t="n">
        <v>6</v>
      </c>
      <c r="H6882" s="41"/>
      <c r="I6882" s="31" t="s">
        <v>158</v>
      </c>
      <c r="J6882" s="31"/>
      <c r="K6882" s="31" t="s">
        <v>150</v>
      </c>
      <c r="L6882" s="45" t="n">
        <f aca="false">DATE(YEAR(B6882),MONTH(B6882),1)</f>
        <v>46266</v>
      </c>
      <c r="M6882" s="31" t="n">
        <f aca="false">WEEKDAY(B6882,2)</f>
        <v>3</v>
      </c>
      <c r="N6882" s="31" t="str">
        <f aca="false">IF(G6882&lt;=INDEX(Assumptions!$B$15:$B$18,MATCH(E6882,Assumptions!$A$15:$A$18,0)),"Yes","No")</f>
        <v>Yes</v>
      </c>
      <c r="O6882" s="31" t="str">
        <f aca="false">IF(H6882="","Open",IF(H6882&lt;=INDEX(Assumptions!$C$15:$C$18,MATCH(E6882,Assumptions!$A$15:$A$18,0)),"Yes","No"))</f>
        <v>Open</v>
      </c>
    </row>
    <row r="6883" customFormat="false" ht="15" hidden="false" customHeight="false" outlineLevel="0" collapsed="false">
      <c r="A6883" s="31" t="s">
        <v>7033</v>
      </c>
      <c r="B6883" s="44" t="n">
        <v>46295</v>
      </c>
      <c r="C6883" s="31" t="s">
        <v>59</v>
      </c>
      <c r="D6883" s="31" t="s">
        <v>66</v>
      </c>
      <c r="E6883" s="31" t="s">
        <v>51</v>
      </c>
      <c r="F6883" s="31" t="s">
        <v>130</v>
      </c>
      <c r="G6883" s="31" t="n">
        <v>63</v>
      </c>
      <c r="H6883" s="41"/>
      <c r="I6883" s="31" t="s">
        <v>158</v>
      </c>
      <c r="J6883" s="31"/>
      <c r="K6883" s="31" t="s">
        <v>150</v>
      </c>
      <c r="L6883" s="45" t="n">
        <f aca="false">DATE(YEAR(B6883),MONTH(B6883),1)</f>
        <v>46266</v>
      </c>
      <c r="M6883" s="31" t="n">
        <f aca="false">WEEKDAY(B6883,2)</f>
        <v>3</v>
      </c>
      <c r="N6883" s="31" t="str">
        <f aca="false">IF(G6883&lt;=INDEX(Assumptions!$B$15:$B$18,MATCH(E6883,Assumptions!$A$15:$A$18,0)),"Yes","No")</f>
        <v>No</v>
      </c>
      <c r="O6883" s="31" t="str">
        <f aca="false">IF(H6883="","Open",IF(H6883&lt;=INDEX(Assumptions!$C$15:$C$18,MATCH(E6883,Assumptions!$A$15:$A$18,0)),"Yes","No"))</f>
        <v>Open</v>
      </c>
    </row>
    <row r="6884" customFormat="false" ht="15" hidden="false" customHeight="false" outlineLevel="0" collapsed="false">
      <c r="A6884" s="31" t="s">
        <v>7034</v>
      </c>
      <c r="B6884" s="44" t="n">
        <v>46295</v>
      </c>
      <c r="C6884" s="31" t="s">
        <v>58</v>
      </c>
      <c r="D6884" s="31" t="s">
        <v>66</v>
      </c>
      <c r="E6884" s="31" t="s">
        <v>52</v>
      </c>
      <c r="F6884" s="31" t="s">
        <v>133</v>
      </c>
      <c r="G6884" s="31" t="n">
        <v>18</v>
      </c>
      <c r="H6884" s="41"/>
      <c r="I6884" s="31" t="s">
        <v>158</v>
      </c>
      <c r="J6884" s="31"/>
      <c r="K6884" s="31" t="s">
        <v>150</v>
      </c>
      <c r="L6884" s="45" t="n">
        <f aca="false">DATE(YEAR(B6884),MONTH(B6884),1)</f>
        <v>46266</v>
      </c>
      <c r="M6884" s="31" t="n">
        <f aca="false">WEEKDAY(B6884,2)</f>
        <v>3</v>
      </c>
      <c r="N6884" s="31" t="str">
        <f aca="false">IF(G6884&lt;=INDEX(Assumptions!$B$15:$B$18,MATCH(E6884,Assumptions!$A$15:$A$18,0)),"Yes","No")</f>
        <v>Yes</v>
      </c>
      <c r="O6884" s="31" t="str">
        <f aca="false">IF(H6884="","Open",IF(H6884&lt;=INDEX(Assumptions!$C$15:$C$18,MATCH(E6884,Assumptions!$A$15:$A$18,0)),"Yes","No"))</f>
        <v>Open</v>
      </c>
    </row>
    <row r="6885" customFormat="false" ht="15" hidden="false" customHeight="false" outlineLevel="0" collapsed="false">
      <c r="A6885" s="31" t="s">
        <v>7035</v>
      </c>
      <c r="B6885" s="44" t="n">
        <v>46295</v>
      </c>
      <c r="C6885" s="31" t="s">
        <v>59</v>
      </c>
      <c r="D6885" s="31" t="s">
        <v>67</v>
      </c>
      <c r="E6885" s="31" t="s">
        <v>51</v>
      </c>
      <c r="F6885" s="31" t="s">
        <v>121</v>
      </c>
      <c r="G6885" s="31" t="n">
        <v>243</v>
      </c>
      <c r="H6885" s="41"/>
      <c r="I6885" s="31" t="s">
        <v>158</v>
      </c>
      <c r="J6885" s="31"/>
      <c r="K6885" s="31" t="s">
        <v>150</v>
      </c>
      <c r="L6885" s="45" t="n">
        <f aca="false">DATE(YEAR(B6885),MONTH(B6885),1)</f>
        <v>46266</v>
      </c>
      <c r="M6885" s="31" t="n">
        <f aca="false">WEEKDAY(B6885,2)</f>
        <v>3</v>
      </c>
      <c r="N6885" s="31" t="str">
        <f aca="false">IF(G6885&lt;=INDEX(Assumptions!$B$15:$B$18,MATCH(E6885,Assumptions!$A$15:$A$18,0)),"Yes","No")</f>
        <v>No</v>
      </c>
      <c r="O6885" s="31" t="str">
        <f aca="false">IF(H6885="","Open",IF(H6885&lt;=INDEX(Assumptions!$C$15:$C$18,MATCH(E6885,Assumptions!$A$15:$A$18,0)),"Yes","No"))</f>
        <v>Open</v>
      </c>
    </row>
    <row r="6886" customFormat="false" ht="15" hidden="false" customHeight="false" outlineLevel="0" collapsed="false">
      <c r="A6886" s="31" t="s">
        <v>7036</v>
      </c>
      <c r="B6886" s="44" t="n">
        <v>46295</v>
      </c>
      <c r="C6886" s="31" t="s">
        <v>60</v>
      </c>
      <c r="D6886" s="31" t="s">
        <v>69</v>
      </c>
      <c r="E6886" s="31" t="s">
        <v>51</v>
      </c>
      <c r="F6886" s="31" t="s">
        <v>127</v>
      </c>
      <c r="G6886" s="31" t="n">
        <v>2</v>
      </c>
      <c r="H6886" s="41" t="n">
        <v>29.6</v>
      </c>
      <c r="I6886" s="31" t="s">
        <v>64</v>
      </c>
      <c r="J6886" s="31"/>
      <c r="K6886" s="31" t="s">
        <v>150</v>
      </c>
      <c r="L6886" s="45" t="n">
        <f aca="false">DATE(YEAR(B6886),MONTH(B6886),1)</f>
        <v>46266</v>
      </c>
      <c r="M6886" s="31" t="n">
        <f aca="false">WEEKDAY(B6886,2)</f>
        <v>3</v>
      </c>
      <c r="N6886" s="31" t="str">
        <f aca="false">IF(G6886&lt;=INDEX(Assumptions!$B$15:$B$18,MATCH(E6886,Assumptions!$A$15:$A$18,0)),"Yes","No")</f>
        <v>Yes</v>
      </c>
      <c r="O6886" s="31" t="str">
        <f aca="false">IF(H6886="","Open",IF(H6886&lt;=INDEX(Assumptions!$C$15:$C$18,MATCH(E6886,Assumptions!$A$15:$A$18,0)),"Yes","No"))</f>
        <v>No</v>
      </c>
    </row>
    <row r="6887" customFormat="false" ht="15" hidden="false" customHeight="false" outlineLevel="0" collapsed="false">
      <c r="A6887" s="31" t="s">
        <v>7037</v>
      </c>
      <c r="B6887" s="44" t="n">
        <v>46295</v>
      </c>
      <c r="C6887" s="31" t="s">
        <v>58</v>
      </c>
      <c r="D6887" s="31" t="s">
        <v>68</v>
      </c>
      <c r="E6887" s="31" t="s">
        <v>52</v>
      </c>
      <c r="F6887" s="31" t="s">
        <v>124</v>
      </c>
      <c r="G6887" s="31" t="n">
        <v>76</v>
      </c>
      <c r="H6887" s="41" t="n">
        <v>13.6</v>
      </c>
      <c r="I6887" s="31" t="s">
        <v>64</v>
      </c>
      <c r="J6887" s="31"/>
      <c r="K6887" s="31" t="s">
        <v>150</v>
      </c>
      <c r="L6887" s="45" t="n">
        <f aca="false">DATE(YEAR(B6887),MONTH(B6887),1)</f>
        <v>46266</v>
      </c>
      <c r="M6887" s="31" t="n">
        <f aca="false">WEEKDAY(B6887,2)</f>
        <v>3</v>
      </c>
      <c r="N6887" s="31" t="str">
        <f aca="false">IF(G6887&lt;=INDEX(Assumptions!$B$15:$B$18,MATCH(E6887,Assumptions!$A$15:$A$18,0)),"Yes","No")</f>
        <v>Yes</v>
      </c>
      <c r="O6887" s="31" t="str">
        <f aca="false">IF(H6887="","Open",IF(H6887&lt;=INDEX(Assumptions!$C$15:$C$18,MATCH(E6887,Assumptions!$A$15:$A$18,0)),"Yes","No"))</f>
        <v>Yes</v>
      </c>
    </row>
    <row r="6888" customFormat="false" ht="15" hidden="false" customHeight="false" outlineLevel="0" collapsed="false">
      <c r="A6888" s="31" t="s">
        <v>7038</v>
      </c>
      <c r="B6888" s="44" t="n">
        <v>46295</v>
      </c>
      <c r="C6888" s="31" t="s">
        <v>57</v>
      </c>
      <c r="D6888" s="31" t="s">
        <v>67</v>
      </c>
      <c r="E6888" s="31" t="s">
        <v>51</v>
      </c>
      <c r="F6888" s="31" t="s">
        <v>136</v>
      </c>
      <c r="G6888" s="31" t="n">
        <v>1</v>
      </c>
      <c r="H6888" s="41"/>
      <c r="I6888" s="31" t="s">
        <v>158</v>
      </c>
      <c r="J6888" s="31"/>
      <c r="K6888" s="31" t="s">
        <v>150</v>
      </c>
      <c r="L6888" s="45" t="n">
        <f aca="false">DATE(YEAR(B6888),MONTH(B6888),1)</f>
        <v>46266</v>
      </c>
      <c r="M6888" s="31" t="n">
        <f aca="false">WEEKDAY(B6888,2)</f>
        <v>3</v>
      </c>
      <c r="N6888" s="31" t="str">
        <f aca="false">IF(G6888&lt;=INDEX(Assumptions!$B$15:$B$18,MATCH(E6888,Assumptions!$A$15:$A$18,0)),"Yes","No")</f>
        <v>Yes</v>
      </c>
      <c r="O6888" s="31" t="str">
        <f aca="false">IF(H6888="","Open",IF(H6888&lt;=INDEX(Assumptions!$C$15:$C$18,MATCH(E6888,Assumptions!$A$15:$A$18,0)),"Yes","No"))</f>
        <v>Open</v>
      </c>
    </row>
    <row r="6889" customFormat="false" ht="15" hidden="false" customHeight="false" outlineLevel="0" collapsed="false">
      <c r="A6889" s="31" t="s">
        <v>7039</v>
      </c>
      <c r="B6889" s="44" t="n">
        <v>46295</v>
      </c>
      <c r="C6889" s="31" t="s">
        <v>59</v>
      </c>
      <c r="D6889" s="31" t="s">
        <v>67</v>
      </c>
      <c r="E6889" s="31" t="s">
        <v>52</v>
      </c>
      <c r="F6889" s="31" t="s">
        <v>128</v>
      </c>
      <c r="G6889" s="31" t="n">
        <v>283</v>
      </c>
      <c r="H6889" s="41" t="n">
        <v>52.9</v>
      </c>
      <c r="I6889" s="31" t="s">
        <v>149</v>
      </c>
      <c r="J6889" s="31" t="n">
        <v>4</v>
      </c>
      <c r="K6889" s="31" t="s">
        <v>150</v>
      </c>
      <c r="L6889" s="45" t="n">
        <f aca="false">DATE(YEAR(B6889),MONTH(B6889),1)</f>
        <v>46266</v>
      </c>
      <c r="M6889" s="31" t="n">
        <f aca="false">WEEKDAY(B6889,2)</f>
        <v>3</v>
      </c>
      <c r="N6889" s="31" t="str">
        <f aca="false">IF(G6889&lt;=INDEX(Assumptions!$B$15:$B$18,MATCH(E6889,Assumptions!$A$15:$A$18,0)),"Yes","No")</f>
        <v>No</v>
      </c>
      <c r="O6889" s="31" t="str">
        <f aca="false">IF(H6889="","Open",IF(H6889&lt;=INDEX(Assumptions!$C$15:$C$18,MATCH(E6889,Assumptions!$A$15:$A$18,0)),"Yes","No"))</f>
        <v>Yes</v>
      </c>
    </row>
    <row r="6890" customFormat="false" ht="15" hidden="false" customHeight="false" outlineLevel="0" collapsed="false">
      <c r="A6890" s="31" t="s">
        <v>7040</v>
      </c>
      <c r="B6890" s="44" t="n">
        <v>46295</v>
      </c>
      <c r="C6890" s="31" t="s">
        <v>57</v>
      </c>
      <c r="D6890" s="31" t="s">
        <v>68</v>
      </c>
      <c r="E6890" s="31" t="s">
        <v>52</v>
      </c>
      <c r="F6890" s="31" t="s">
        <v>122</v>
      </c>
      <c r="G6890" s="31" t="n">
        <v>2</v>
      </c>
      <c r="H6890" s="41"/>
      <c r="I6890" s="31" t="s">
        <v>158</v>
      </c>
      <c r="J6890" s="31"/>
      <c r="K6890" s="31" t="s">
        <v>150</v>
      </c>
      <c r="L6890" s="45" t="n">
        <f aca="false">DATE(YEAR(B6890),MONTH(B6890),1)</f>
        <v>46266</v>
      </c>
      <c r="M6890" s="31" t="n">
        <f aca="false">WEEKDAY(B6890,2)</f>
        <v>3</v>
      </c>
      <c r="N6890" s="31" t="str">
        <f aca="false">IF(G6890&lt;=INDEX(Assumptions!$B$15:$B$18,MATCH(E6890,Assumptions!$A$15:$A$18,0)),"Yes","No")</f>
        <v>Yes</v>
      </c>
      <c r="O6890" s="31" t="str">
        <f aca="false">IF(H6890="","Open",IF(H6890&lt;=INDEX(Assumptions!$C$15:$C$18,MATCH(E6890,Assumptions!$A$15:$A$18,0)),"Yes","No"))</f>
        <v>Open</v>
      </c>
    </row>
    <row r="6891" customFormat="false" ht="15" hidden="false" customHeight="false" outlineLevel="0" collapsed="false">
      <c r="A6891" s="31" t="s">
        <v>7041</v>
      </c>
      <c r="B6891" s="44" t="n">
        <v>46295</v>
      </c>
      <c r="C6891" s="31" t="s">
        <v>58</v>
      </c>
      <c r="D6891" s="31" t="s">
        <v>67</v>
      </c>
      <c r="E6891" s="31" t="s">
        <v>51</v>
      </c>
      <c r="F6891" s="31" t="s">
        <v>124</v>
      </c>
      <c r="G6891" s="31" t="n">
        <v>18</v>
      </c>
      <c r="H6891" s="41"/>
      <c r="I6891" s="31" t="s">
        <v>158</v>
      </c>
      <c r="J6891" s="31"/>
      <c r="K6891" s="31" t="s">
        <v>150</v>
      </c>
      <c r="L6891" s="45" t="n">
        <f aca="false">DATE(YEAR(B6891),MONTH(B6891),1)</f>
        <v>46266</v>
      </c>
      <c r="M6891" s="31" t="n">
        <f aca="false">WEEKDAY(B6891,2)</f>
        <v>3</v>
      </c>
      <c r="N6891" s="31" t="str">
        <f aca="false">IF(G6891&lt;=INDEX(Assumptions!$B$15:$B$18,MATCH(E6891,Assumptions!$A$15:$A$18,0)),"Yes","No")</f>
        <v>Yes</v>
      </c>
      <c r="O6891" s="31" t="str">
        <f aca="false">IF(H6891="","Open",IF(H6891&lt;=INDEX(Assumptions!$C$15:$C$18,MATCH(E6891,Assumptions!$A$15:$A$18,0)),"Yes","No"))</f>
        <v>Open</v>
      </c>
    </row>
    <row r="6892" customFormat="false" ht="15" hidden="false" customHeight="false" outlineLevel="0" collapsed="false">
      <c r="A6892" s="31" t="s">
        <v>7042</v>
      </c>
      <c r="B6892" s="44" t="n">
        <v>46295</v>
      </c>
      <c r="C6892" s="31" t="s">
        <v>57</v>
      </c>
      <c r="D6892" s="31" t="s">
        <v>66</v>
      </c>
      <c r="E6892" s="31" t="s">
        <v>52</v>
      </c>
      <c r="F6892" s="31" t="s">
        <v>123</v>
      </c>
      <c r="G6892" s="31" t="n">
        <v>2</v>
      </c>
      <c r="H6892" s="41"/>
      <c r="I6892" s="31" t="s">
        <v>158</v>
      </c>
      <c r="J6892" s="31"/>
      <c r="K6892" s="31" t="s">
        <v>150</v>
      </c>
      <c r="L6892" s="45" t="n">
        <f aca="false">DATE(YEAR(B6892),MONTH(B6892),1)</f>
        <v>46266</v>
      </c>
      <c r="M6892" s="31" t="n">
        <f aca="false">WEEKDAY(B6892,2)</f>
        <v>3</v>
      </c>
      <c r="N6892" s="31" t="str">
        <f aca="false">IF(G6892&lt;=INDEX(Assumptions!$B$15:$B$18,MATCH(E6892,Assumptions!$A$15:$A$18,0)),"Yes","No")</f>
        <v>Yes</v>
      </c>
      <c r="O6892" s="31" t="str">
        <f aca="false">IF(H6892="","Open",IF(H6892&lt;=INDEX(Assumptions!$C$15:$C$18,MATCH(E6892,Assumptions!$A$15:$A$18,0)),"Yes","No"))</f>
        <v>Open</v>
      </c>
    </row>
    <row r="6893" customFormat="false" ht="15" hidden="false" customHeight="false" outlineLevel="0" collapsed="false">
      <c r="A6893" s="31" t="s">
        <v>7043</v>
      </c>
      <c r="B6893" s="44" t="n">
        <v>46295</v>
      </c>
      <c r="C6893" s="31" t="s">
        <v>60</v>
      </c>
      <c r="D6893" s="31" t="s">
        <v>65</v>
      </c>
      <c r="E6893" s="31" t="s">
        <v>51</v>
      </c>
      <c r="F6893" s="31" t="s">
        <v>119</v>
      </c>
      <c r="G6893" s="31" t="n">
        <v>1</v>
      </c>
      <c r="H6893" s="41" t="n">
        <v>18.6</v>
      </c>
      <c r="I6893" s="31" t="s">
        <v>64</v>
      </c>
      <c r="J6893" s="31"/>
      <c r="K6893" s="31" t="s">
        <v>150</v>
      </c>
      <c r="L6893" s="45" t="n">
        <f aca="false">DATE(YEAR(B6893),MONTH(B6893),1)</f>
        <v>46266</v>
      </c>
      <c r="M6893" s="31" t="n">
        <f aca="false">WEEKDAY(B6893,2)</f>
        <v>3</v>
      </c>
      <c r="N6893" s="31" t="str">
        <f aca="false">IF(G6893&lt;=INDEX(Assumptions!$B$15:$B$18,MATCH(E6893,Assumptions!$A$15:$A$18,0)),"Yes","No")</f>
        <v>Yes</v>
      </c>
      <c r="O6893" s="31" t="str">
        <f aca="false">IF(H6893="","Open",IF(H6893&lt;=INDEX(Assumptions!$C$15:$C$18,MATCH(E6893,Assumptions!$A$15:$A$18,0)),"Yes","No"))</f>
        <v>Yes</v>
      </c>
    </row>
    <row r="6894" customFormat="false" ht="15" hidden="false" customHeight="false" outlineLevel="0" collapsed="false">
      <c r="A6894" s="31" t="s">
        <v>7044</v>
      </c>
      <c r="B6894" s="44" t="n">
        <v>46295</v>
      </c>
      <c r="C6894" s="31" t="s">
        <v>60</v>
      </c>
      <c r="D6894" s="31" t="s">
        <v>66</v>
      </c>
      <c r="E6894" s="31" t="s">
        <v>50</v>
      </c>
      <c r="F6894" s="31" t="s">
        <v>122</v>
      </c>
      <c r="G6894" s="31" t="n">
        <v>3</v>
      </c>
      <c r="H6894" s="41" t="n">
        <v>1.8</v>
      </c>
      <c r="I6894" s="31" t="s">
        <v>149</v>
      </c>
      <c r="J6894" s="31"/>
      <c r="K6894" s="31" t="s">
        <v>150</v>
      </c>
      <c r="L6894" s="45" t="n">
        <f aca="false">DATE(YEAR(B6894),MONTH(B6894),1)</f>
        <v>46266</v>
      </c>
      <c r="M6894" s="31" t="n">
        <f aca="false">WEEKDAY(B6894,2)</f>
        <v>3</v>
      </c>
      <c r="N6894" s="31" t="str">
        <f aca="false">IF(G6894&lt;=INDEX(Assumptions!$B$15:$B$18,MATCH(E6894,Assumptions!$A$15:$A$18,0)),"Yes","No")</f>
        <v>Yes</v>
      </c>
      <c r="O6894" s="31" t="str">
        <f aca="false">IF(H6894="","Open",IF(H6894&lt;=INDEX(Assumptions!$C$15:$C$18,MATCH(E6894,Assumptions!$A$15:$A$18,0)),"Yes","No"))</f>
        <v>Yes</v>
      </c>
    </row>
    <row r="6895" customFormat="false" ht="15" hidden="false" customHeight="false" outlineLevel="0" collapsed="false">
      <c r="A6895" s="31" t="s">
        <v>7045</v>
      </c>
      <c r="B6895" s="44" t="n">
        <v>46295</v>
      </c>
      <c r="C6895" s="31" t="s">
        <v>58</v>
      </c>
      <c r="D6895" s="31" t="s">
        <v>65</v>
      </c>
      <c r="E6895" s="31" t="s">
        <v>51</v>
      </c>
      <c r="F6895" s="31" t="s">
        <v>119</v>
      </c>
      <c r="G6895" s="31" t="n">
        <v>10</v>
      </c>
      <c r="H6895" s="41"/>
      <c r="I6895" s="31" t="s">
        <v>158</v>
      </c>
      <c r="J6895" s="31"/>
      <c r="K6895" s="31" t="s">
        <v>150</v>
      </c>
      <c r="L6895" s="45" t="n">
        <f aca="false">DATE(YEAR(B6895),MONTH(B6895),1)</f>
        <v>46266</v>
      </c>
      <c r="M6895" s="31" t="n">
        <f aca="false">WEEKDAY(B6895,2)</f>
        <v>3</v>
      </c>
      <c r="N6895" s="31" t="str">
        <f aca="false">IF(G6895&lt;=INDEX(Assumptions!$B$15:$B$18,MATCH(E6895,Assumptions!$A$15:$A$18,0)),"Yes","No")</f>
        <v>Yes</v>
      </c>
      <c r="O6895" s="31" t="str">
        <f aca="false">IF(H6895="","Open",IF(H6895&lt;=INDEX(Assumptions!$C$15:$C$18,MATCH(E6895,Assumptions!$A$15:$A$18,0)),"Yes","No"))</f>
        <v>Open</v>
      </c>
    </row>
    <row r="6896" customFormat="false" ht="15" hidden="false" customHeight="false" outlineLevel="0" collapsed="false">
      <c r="A6896" s="31" t="s">
        <v>7046</v>
      </c>
      <c r="B6896" s="44" t="n">
        <v>46295</v>
      </c>
      <c r="C6896" s="31" t="s">
        <v>57</v>
      </c>
      <c r="D6896" s="31" t="s">
        <v>67</v>
      </c>
      <c r="E6896" s="31" t="s">
        <v>52</v>
      </c>
      <c r="F6896" s="31" t="s">
        <v>131</v>
      </c>
      <c r="G6896" s="31" t="n">
        <v>5</v>
      </c>
      <c r="H6896" s="41"/>
      <c r="I6896" s="31" t="s">
        <v>158</v>
      </c>
      <c r="J6896" s="31"/>
      <c r="K6896" s="31" t="s">
        <v>150</v>
      </c>
      <c r="L6896" s="45" t="n">
        <f aca="false">DATE(YEAR(B6896),MONTH(B6896),1)</f>
        <v>46266</v>
      </c>
      <c r="M6896" s="31" t="n">
        <f aca="false">WEEKDAY(B6896,2)</f>
        <v>3</v>
      </c>
      <c r="N6896" s="31" t="str">
        <f aca="false">IF(G6896&lt;=INDEX(Assumptions!$B$15:$B$18,MATCH(E6896,Assumptions!$A$15:$A$18,0)),"Yes","No")</f>
        <v>Yes</v>
      </c>
      <c r="O6896" s="31" t="str">
        <f aca="false">IF(H6896="","Open",IF(H6896&lt;=INDEX(Assumptions!$C$15:$C$18,MATCH(E6896,Assumptions!$A$15:$A$18,0)),"Yes","No"))</f>
        <v>Open</v>
      </c>
    </row>
    <row r="6897" customFormat="false" ht="15" hidden="false" customHeight="false" outlineLevel="0" collapsed="false">
      <c r="A6897" s="31" t="s">
        <v>7047</v>
      </c>
      <c r="B6897" s="44" t="n">
        <v>46295</v>
      </c>
      <c r="C6897" s="31" t="s">
        <v>59</v>
      </c>
      <c r="D6897" s="31" t="s">
        <v>66</v>
      </c>
      <c r="E6897" s="31" t="s">
        <v>52</v>
      </c>
      <c r="F6897" s="31" t="s">
        <v>131</v>
      </c>
      <c r="G6897" s="31" t="n">
        <v>43</v>
      </c>
      <c r="H6897" s="41" t="n">
        <v>2</v>
      </c>
      <c r="I6897" s="31" t="s">
        <v>149</v>
      </c>
      <c r="J6897" s="31"/>
      <c r="K6897" s="31" t="s">
        <v>150</v>
      </c>
      <c r="L6897" s="45" t="n">
        <f aca="false">DATE(YEAR(B6897),MONTH(B6897),1)</f>
        <v>46266</v>
      </c>
      <c r="M6897" s="31" t="n">
        <f aca="false">WEEKDAY(B6897,2)</f>
        <v>3</v>
      </c>
      <c r="N6897" s="31" t="str">
        <f aca="false">IF(G6897&lt;=INDEX(Assumptions!$B$15:$B$18,MATCH(E6897,Assumptions!$A$15:$A$18,0)),"Yes","No")</f>
        <v>Yes</v>
      </c>
      <c r="O6897" s="31" t="str">
        <f aca="false">IF(H6897="","Open",IF(H6897&lt;=INDEX(Assumptions!$C$15:$C$18,MATCH(E6897,Assumptions!$A$15:$A$18,0)),"Yes","No"))</f>
        <v>Yes</v>
      </c>
    </row>
    <row r="6898" customFormat="false" ht="15" hidden="false" customHeight="false" outlineLevel="0" collapsed="false">
      <c r="A6898" s="31" t="s">
        <v>7048</v>
      </c>
      <c r="B6898" s="44" t="n">
        <v>46295</v>
      </c>
      <c r="C6898" s="31" t="s">
        <v>58</v>
      </c>
      <c r="D6898" s="31" t="s">
        <v>69</v>
      </c>
      <c r="E6898" s="31" t="s">
        <v>49</v>
      </c>
      <c r="F6898" s="31" t="s">
        <v>131</v>
      </c>
      <c r="G6898" s="31" t="n">
        <v>4</v>
      </c>
      <c r="H6898" s="41" t="n">
        <v>7.8</v>
      </c>
      <c r="I6898" s="31" t="s">
        <v>64</v>
      </c>
      <c r="J6898" s="31"/>
      <c r="K6898" s="31" t="s">
        <v>150</v>
      </c>
      <c r="L6898" s="45" t="n">
        <f aca="false">DATE(YEAR(B6898),MONTH(B6898),1)</f>
        <v>46266</v>
      </c>
      <c r="M6898" s="31" t="n">
        <f aca="false">WEEKDAY(B6898,2)</f>
        <v>3</v>
      </c>
      <c r="N6898" s="31" t="str">
        <f aca="false">IF(G6898&lt;=INDEX(Assumptions!$B$15:$B$18,MATCH(E6898,Assumptions!$A$15:$A$18,0)),"Yes","No")</f>
        <v>Yes</v>
      </c>
      <c r="O6898" s="31" t="str">
        <f aca="false">IF(H6898="","Open",IF(H6898&lt;=INDEX(Assumptions!$C$15:$C$18,MATCH(E6898,Assumptions!$A$15:$A$18,0)),"Yes","No"))</f>
        <v>No</v>
      </c>
    </row>
    <row r="6899" customFormat="false" ht="15" hidden="false" customHeight="false" outlineLevel="0" collapsed="false">
      <c r="A6899" s="31" t="s">
        <v>7049</v>
      </c>
      <c r="B6899" s="44" t="n">
        <v>46295</v>
      </c>
      <c r="C6899" s="31" t="s">
        <v>60</v>
      </c>
      <c r="D6899" s="31" t="s">
        <v>67</v>
      </c>
      <c r="E6899" s="31" t="s">
        <v>51</v>
      </c>
      <c r="F6899" s="31" t="s">
        <v>121</v>
      </c>
      <c r="G6899" s="31" t="n">
        <v>3</v>
      </c>
      <c r="H6899" s="41"/>
      <c r="I6899" s="31" t="s">
        <v>158</v>
      </c>
      <c r="J6899" s="31"/>
      <c r="K6899" s="31" t="s">
        <v>150</v>
      </c>
      <c r="L6899" s="45" t="n">
        <f aca="false">DATE(YEAR(B6899),MONTH(B6899),1)</f>
        <v>46266</v>
      </c>
      <c r="M6899" s="31" t="n">
        <f aca="false">WEEKDAY(B6899,2)</f>
        <v>3</v>
      </c>
      <c r="N6899" s="31" t="str">
        <f aca="false">IF(G6899&lt;=INDEX(Assumptions!$B$15:$B$18,MATCH(E6899,Assumptions!$A$15:$A$18,0)),"Yes","No")</f>
        <v>Yes</v>
      </c>
      <c r="O6899" s="31" t="str">
        <f aca="false">IF(H6899="","Open",IF(H6899&lt;=INDEX(Assumptions!$C$15:$C$18,MATCH(E6899,Assumptions!$A$15:$A$18,0)),"Yes","No"))</f>
        <v>Open</v>
      </c>
    </row>
    <row r="6900" customFormat="false" ht="15" hidden="false" customHeight="false" outlineLevel="0" collapsed="false">
      <c r="A6900" s="31" t="s">
        <v>7050</v>
      </c>
      <c r="B6900" s="44" t="n">
        <v>46295</v>
      </c>
      <c r="C6900" s="31" t="s">
        <v>58</v>
      </c>
      <c r="D6900" s="31" t="s">
        <v>65</v>
      </c>
      <c r="E6900" s="31" t="s">
        <v>51</v>
      </c>
      <c r="F6900" s="31" t="s">
        <v>128</v>
      </c>
      <c r="G6900" s="31" t="n">
        <v>18</v>
      </c>
      <c r="H6900" s="41"/>
      <c r="I6900" s="31" t="s">
        <v>158</v>
      </c>
      <c r="J6900" s="31"/>
      <c r="K6900" s="31" t="s">
        <v>150</v>
      </c>
      <c r="L6900" s="45" t="n">
        <f aca="false">DATE(YEAR(B6900),MONTH(B6900),1)</f>
        <v>46266</v>
      </c>
      <c r="M6900" s="31" t="n">
        <f aca="false">WEEKDAY(B6900,2)</f>
        <v>3</v>
      </c>
      <c r="N6900" s="31" t="str">
        <f aca="false">IF(G6900&lt;=INDEX(Assumptions!$B$15:$B$18,MATCH(E6900,Assumptions!$A$15:$A$18,0)),"Yes","No")</f>
        <v>Yes</v>
      </c>
      <c r="O6900" s="31" t="str">
        <f aca="false">IF(H6900="","Open",IF(H6900&lt;=INDEX(Assumptions!$C$15:$C$18,MATCH(E6900,Assumptions!$A$15:$A$18,0)),"Yes","No"))</f>
        <v>Open</v>
      </c>
    </row>
    <row r="6901" customFormat="false" ht="15" hidden="false" customHeight="false" outlineLevel="0" collapsed="false">
      <c r="A6901" s="31" t="s">
        <v>7051</v>
      </c>
      <c r="B6901" s="44" t="n">
        <v>46295</v>
      </c>
      <c r="C6901" s="31" t="s">
        <v>57</v>
      </c>
      <c r="D6901" s="31" t="s">
        <v>67</v>
      </c>
      <c r="E6901" s="31" t="s">
        <v>50</v>
      </c>
      <c r="F6901" s="31" t="s">
        <v>122</v>
      </c>
      <c r="G6901" s="31" t="n">
        <v>3</v>
      </c>
      <c r="H6901" s="41" t="n">
        <v>22.1</v>
      </c>
      <c r="I6901" s="31" t="s">
        <v>64</v>
      </c>
      <c r="J6901" s="31"/>
      <c r="K6901" s="31" t="s">
        <v>150</v>
      </c>
      <c r="L6901" s="45" t="n">
        <f aca="false">DATE(YEAR(B6901),MONTH(B6901),1)</f>
        <v>46266</v>
      </c>
      <c r="M6901" s="31" t="n">
        <f aca="false">WEEKDAY(B6901,2)</f>
        <v>3</v>
      </c>
      <c r="N6901" s="31" t="str">
        <f aca="false">IF(G6901&lt;=INDEX(Assumptions!$B$15:$B$18,MATCH(E6901,Assumptions!$A$15:$A$18,0)),"Yes","No")</f>
        <v>Yes</v>
      </c>
      <c r="O6901" s="31" t="str">
        <f aca="false">IF(H6901="","Open",IF(H6901&lt;=INDEX(Assumptions!$C$15:$C$18,MATCH(E6901,Assumptions!$A$15:$A$18,0)),"Yes","No"))</f>
        <v>No</v>
      </c>
    </row>
    <row r="6902" customFormat="false" ht="15" hidden="false" customHeight="false" outlineLevel="0" collapsed="false">
      <c r="A6902" s="31" t="s">
        <v>7052</v>
      </c>
      <c r="B6902" s="44" t="n">
        <v>46295</v>
      </c>
      <c r="C6902" s="31" t="s">
        <v>59</v>
      </c>
      <c r="D6902" s="31" t="s">
        <v>66</v>
      </c>
      <c r="E6902" s="31" t="s">
        <v>52</v>
      </c>
      <c r="F6902" s="31" t="s">
        <v>122</v>
      </c>
      <c r="G6902" s="31" t="n">
        <v>47</v>
      </c>
      <c r="H6902" s="41"/>
      <c r="I6902" s="31" t="s">
        <v>158</v>
      </c>
      <c r="J6902" s="31"/>
      <c r="K6902" s="31" t="s">
        <v>150</v>
      </c>
      <c r="L6902" s="45" t="n">
        <f aca="false">DATE(YEAR(B6902),MONTH(B6902),1)</f>
        <v>46266</v>
      </c>
      <c r="M6902" s="31" t="n">
        <f aca="false">WEEKDAY(B6902,2)</f>
        <v>3</v>
      </c>
      <c r="N6902" s="31" t="str">
        <f aca="false">IF(G6902&lt;=INDEX(Assumptions!$B$15:$B$18,MATCH(E6902,Assumptions!$A$15:$A$18,0)),"Yes","No")</f>
        <v>Yes</v>
      </c>
      <c r="O6902" s="31" t="str">
        <f aca="false">IF(H6902="","Open",IF(H6902&lt;=INDEX(Assumptions!$C$15:$C$18,MATCH(E6902,Assumptions!$A$15:$A$18,0)),"Yes","No"))</f>
        <v>Open</v>
      </c>
    </row>
    <row r="6903" customFormat="false" ht="15" hidden="false" customHeight="false" outlineLevel="0" collapsed="false">
      <c r="A6903" s="31" t="s">
        <v>7053</v>
      </c>
      <c r="B6903" s="44" t="n">
        <v>46295</v>
      </c>
      <c r="C6903" s="31" t="s">
        <v>59</v>
      </c>
      <c r="D6903" s="31" t="s">
        <v>68</v>
      </c>
      <c r="E6903" s="31" t="s">
        <v>51</v>
      </c>
      <c r="F6903" s="31" t="s">
        <v>131</v>
      </c>
      <c r="G6903" s="31" t="n">
        <v>49</v>
      </c>
      <c r="H6903" s="41"/>
      <c r="I6903" s="31" t="s">
        <v>158</v>
      </c>
      <c r="J6903" s="31"/>
      <c r="K6903" s="31" t="s">
        <v>150</v>
      </c>
      <c r="L6903" s="45" t="n">
        <f aca="false">DATE(YEAR(B6903),MONTH(B6903),1)</f>
        <v>46266</v>
      </c>
      <c r="M6903" s="31" t="n">
        <f aca="false">WEEKDAY(B6903,2)</f>
        <v>3</v>
      </c>
      <c r="N6903" s="31" t="str">
        <f aca="false">IF(G6903&lt;=INDEX(Assumptions!$B$15:$B$18,MATCH(E6903,Assumptions!$A$15:$A$18,0)),"Yes","No")</f>
        <v>Yes</v>
      </c>
      <c r="O6903" s="31" t="str">
        <f aca="false">IF(H6903="","Open",IF(H6903&lt;=INDEX(Assumptions!$C$15:$C$18,MATCH(E6903,Assumptions!$A$15:$A$18,0)),"Yes","No"))</f>
        <v>Open</v>
      </c>
    </row>
    <row r="6904" customFormat="false" ht="15" hidden="false" customHeight="false" outlineLevel="0" collapsed="false">
      <c r="A6904" s="31" t="s">
        <v>7054</v>
      </c>
      <c r="B6904" s="44" t="n">
        <v>46295</v>
      </c>
      <c r="C6904" s="31" t="s">
        <v>60</v>
      </c>
      <c r="D6904" s="31" t="s">
        <v>65</v>
      </c>
      <c r="E6904" s="31" t="s">
        <v>52</v>
      </c>
      <c r="F6904" s="31" t="s">
        <v>128</v>
      </c>
      <c r="G6904" s="31" t="n">
        <v>3</v>
      </c>
      <c r="H6904" s="41"/>
      <c r="I6904" s="31" t="s">
        <v>158</v>
      </c>
      <c r="J6904" s="31"/>
      <c r="K6904" s="31" t="s">
        <v>150</v>
      </c>
      <c r="L6904" s="45" t="n">
        <f aca="false">DATE(YEAR(B6904),MONTH(B6904),1)</f>
        <v>46266</v>
      </c>
      <c r="M6904" s="31" t="n">
        <f aca="false">WEEKDAY(B6904,2)</f>
        <v>3</v>
      </c>
      <c r="N6904" s="31" t="str">
        <f aca="false">IF(G6904&lt;=INDEX(Assumptions!$B$15:$B$18,MATCH(E6904,Assumptions!$A$15:$A$18,0)),"Yes","No")</f>
        <v>Yes</v>
      </c>
      <c r="O6904" s="31" t="str">
        <f aca="false">IF(H6904="","Open",IF(H6904&lt;=INDEX(Assumptions!$C$15:$C$18,MATCH(E6904,Assumptions!$A$15:$A$18,0)),"Yes","No"))</f>
        <v>Open</v>
      </c>
    </row>
    <row r="6905" customFormat="false" ht="15" hidden="false" customHeight="false" outlineLevel="0" collapsed="false">
      <c r="A6905" s="31" t="s">
        <v>7055</v>
      </c>
      <c r="B6905" s="44" t="n">
        <v>46295</v>
      </c>
      <c r="C6905" s="31" t="s">
        <v>58</v>
      </c>
      <c r="D6905" s="31" t="s">
        <v>65</v>
      </c>
      <c r="E6905" s="31" t="s">
        <v>52</v>
      </c>
      <c r="F6905" s="31" t="s">
        <v>133</v>
      </c>
      <c r="G6905" s="31" t="n">
        <v>16</v>
      </c>
      <c r="H6905" s="41"/>
      <c r="I6905" s="31" t="s">
        <v>158</v>
      </c>
      <c r="J6905" s="31"/>
      <c r="K6905" s="31" t="s">
        <v>150</v>
      </c>
      <c r="L6905" s="45" t="n">
        <f aca="false">DATE(YEAR(B6905),MONTH(B6905),1)</f>
        <v>46266</v>
      </c>
      <c r="M6905" s="31" t="n">
        <f aca="false">WEEKDAY(B6905,2)</f>
        <v>3</v>
      </c>
      <c r="N6905" s="31" t="str">
        <f aca="false">IF(G6905&lt;=INDEX(Assumptions!$B$15:$B$18,MATCH(E6905,Assumptions!$A$15:$A$18,0)),"Yes","No")</f>
        <v>Yes</v>
      </c>
      <c r="O6905" s="31" t="str">
        <f aca="false">IF(H6905="","Open",IF(H6905&lt;=INDEX(Assumptions!$C$15:$C$18,MATCH(E6905,Assumptions!$A$15:$A$18,0)),"Yes","No"))</f>
        <v>Open</v>
      </c>
    </row>
    <row r="6906" customFormat="false" ht="15" hidden="false" customHeight="false" outlineLevel="0" collapsed="false">
      <c r="A6906" s="31" t="s">
        <v>7056</v>
      </c>
      <c r="B6906" s="44" t="n">
        <v>46295</v>
      </c>
      <c r="C6906" s="31" t="s">
        <v>60</v>
      </c>
      <c r="D6906" s="31" t="s">
        <v>65</v>
      </c>
      <c r="E6906" s="31" t="s">
        <v>51</v>
      </c>
      <c r="F6906" s="31" t="s">
        <v>134</v>
      </c>
      <c r="G6906" s="31" t="n">
        <v>5</v>
      </c>
      <c r="H6906" s="41"/>
      <c r="I6906" s="31" t="s">
        <v>158</v>
      </c>
      <c r="J6906" s="31"/>
      <c r="K6906" s="31" t="s">
        <v>150</v>
      </c>
      <c r="L6906" s="45" t="n">
        <f aca="false">DATE(YEAR(B6906),MONTH(B6906),1)</f>
        <v>46266</v>
      </c>
      <c r="M6906" s="31" t="n">
        <f aca="false">WEEKDAY(B6906,2)</f>
        <v>3</v>
      </c>
      <c r="N6906" s="31" t="str">
        <f aca="false">IF(G6906&lt;=INDEX(Assumptions!$B$15:$B$18,MATCH(E6906,Assumptions!$A$15:$A$18,0)),"Yes","No")</f>
        <v>Yes</v>
      </c>
      <c r="O6906" s="31" t="str">
        <f aca="false">IF(H6906="","Open",IF(H6906&lt;=INDEX(Assumptions!$C$15:$C$18,MATCH(E6906,Assumptions!$A$15:$A$18,0)),"Yes","No"))</f>
        <v>Open</v>
      </c>
    </row>
    <row r="6907" customFormat="false" ht="15" hidden="false" customHeight="false" outlineLevel="0" collapsed="false">
      <c r="A6907" s="31" t="s">
        <v>7057</v>
      </c>
      <c r="B6907" s="44" t="n">
        <v>46295</v>
      </c>
      <c r="C6907" s="31" t="s">
        <v>59</v>
      </c>
      <c r="D6907" s="31" t="s">
        <v>67</v>
      </c>
      <c r="E6907" s="31" t="s">
        <v>52</v>
      </c>
      <c r="F6907" s="31" t="s">
        <v>135</v>
      </c>
      <c r="G6907" s="31" t="n">
        <v>79</v>
      </c>
      <c r="H6907" s="41"/>
      <c r="I6907" s="31" t="s">
        <v>158</v>
      </c>
      <c r="J6907" s="31"/>
      <c r="K6907" s="31" t="s">
        <v>150</v>
      </c>
      <c r="L6907" s="45" t="n">
        <f aca="false">DATE(YEAR(B6907),MONTH(B6907),1)</f>
        <v>46266</v>
      </c>
      <c r="M6907" s="31" t="n">
        <f aca="false">WEEKDAY(B6907,2)</f>
        <v>3</v>
      </c>
      <c r="N6907" s="31" t="str">
        <f aca="false">IF(G6907&lt;=INDEX(Assumptions!$B$15:$B$18,MATCH(E6907,Assumptions!$A$15:$A$18,0)),"Yes","No")</f>
        <v>Yes</v>
      </c>
      <c r="O6907" s="31" t="str">
        <f aca="false">IF(H6907="","Open",IF(H6907&lt;=INDEX(Assumptions!$C$15:$C$18,MATCH(E6907,Assumptions!$A$15:$A$18,0)),"Yes","No"))</f>
        <v>Open</v>
      </c>
    </row>
    <row r="6908" customFormat="false" ht="15" hidden="false" customHeight="false" outlineLevel="0" collapsed="false">
      <c r="A6908" s="31" t="s">
        <v>7058</v>
      </c>
      <c r="B6908" s="44" t="n">
        <v>46295</v>
      </c>
      <c r="C6908" s="31" t="s">
        <v>57</v>
      </c>
      <c r="D6908" s="31" t="s">
        <v>66</v>
      </c>
      <c r="E6908" s="31" t="s">
        <v>52</v>
      </c>
      <c r="F6908" s="31" t="s">
        <v>126</v>
      </c>
      <c r="G6908" s="31" t="n">
        <v>3</v>
      </c>
      <c r="H6908" s="41"/>
      <c r="I6908" s="31" t="s">
        <v>158</v>
      </c>
      <c r="J6908" s="31"/>
      <c r="K6908" s="31" t="s">
        <v>150</v>
      </c>
      <c r="L6908" s="45" t="n">
        <f aca="false">DATE(YEAR(B6908),MONTH(B6908),1)</f>
        <v>46266</v>
      </c>
      <c r="M6908" s="31" t="n">
        <f aca="false">WEEKDAY(B6908,2)</f>
        <v>3</v>
      </c>
      <c r="N6908" s="31" t="str">
        <f aca="false">IF(G6908&lt;=INDEX(Assumptions!$B$15:$B$18,MATCH(E6908,Assumptions!$A$15:$A$18,0)),"Yes","No")</f>
        <v>Yes</v>
      </c>
      <c r="O6908" s="31" t="str">
        <f aca="false">IF(H6908="","Open",IF(H6908&lt;=INDEX(Assumptions!$C$15:$C$18,MATCH(E6908,Assumptions!$A$15:$A$18,0)),"Yes","No"))</f>
        <v>Open</v>
      </c>
    </row>
    <row r="6909" customFormat="false" ht="15" hidden="false" customHeight="false" outlineLevel="0" collapsed="false">
      <c r="A6909" s="31" t="s">
        <v>7059</v>
      </c>
      <c r="B6909" s="44" t="n">
        <v>46295</v>
      </c>
      <c r="C6909" s="31" t="s">
        <v>59</v>
      </c>
      <c r="D6909" s="31" t="s">
        <v>68</v>
      </c>
      <c r="E6909" s="31" t="s">
        <v>52</v>
      </c>
      <c r="F6909" s="31" t="s">
        <v>124</v>
      </c>
      <c r="G6909" s="31" t="n">
        <v>173</v>
      </c>
      <c r="H6909" s="41"/>
      <c r="I6909" s="31" t="s">
        <v>158</v>
      </c>
      <c r="J6909" s="31"/>
      <c r="K6909" s="31" t="s">
        <v>150</v>
      </c>
      <c r="L6909" s="45" t="n">
        <f aca="false">DATE(YEAR(B6909),MONTH(B6909),1)</f>
        <v>46266</v>
      </c>
      <c r="M6909" s="31" t="n">
        <f aca="false">WEEKDAY(B6909,2)</f>
        <v>3</v>
      </c>
      <c r="N6909" s="31" t="str">
        <f aca="false">IF(G6909&lt;=INDEX(Assumptions!$B$15:$B$18,MATCH(E6909,Assumptions!$A$15:$A$18,0)),"Yes","No")</f>
        <v>Yes</v>
      </c>
      <c r="O6909" s="31" t="str">
        <f aca="false">IF(H6909="","Open",IF(H6909&lt;=INDEX(Assumptions!$C$15:$C$18,MATCH(E6909,Assumptions!$A$15:$A$18,0)),"Yes","No"))</f>
        <v>Open</v>
      </c>
    </row>
    <row r="6910" customFormat="false" ht="15" hidden="false" customHeight="false" outlineLevel="0" collapsed="false">
      <c r="A6910" s="31" t="s">
        <v>7060</v>
      </c>
      <c r="B6910" s="44" t="n">
        <v>46295</v>
      </c>
      <c r="C6910" s="31" t="s">
        <v>59</v>
      </c>
      <c r="D6910" s="31" t="s">
        <v>65</v>
      </c>
      <c r="E6910" s="31" t="s">
        <v>51</v>
      </c>
      <c r="F6910" s="31" t="s">
        <v>135</v>
      </c>
      <c r="G6910" s="31" t="n">
        <v>105</v>
      </c>
      <c r="H6910" s="41"/>
      <c r="I6910" s="31" t="s">
        <v>158</v>
      </c>
      <c r="J6910" s="31"/>
      <c r="K6910" s="31" t="s">
        <v>150</v>
      </c>
      <c r="L6910" s="45" t="n">
        <f aca="false">DATE(YEAR(B6910),MONTH(B6910),1)</f>
        <v>46266</v>
      </c>
      <c r="M6910" s="31" t="n">
        <f aca="false">WEEKDAY(B6910,2)</f>
        <v>3</v>
      </c>
      <c r="N6910" s="31" t="str">
        <f aca="false">IF(G6910&lt;=INDEX(Assumptions!$B$15:$B$18,MATCH(E6910,Assumptions!$A$15:$A$18,0)),"Yes","No")</f>
        <v>No</v>
      </c>
      <c r="O6910" s="31" t="str">
        <f aca="false">IF(H6910="","Open",IF(H6910&lt;=INDEX(Assumptions!$C$15:$C$18,MATCH(E6910,Assumptions!$A$15:$A$18,0)),"Yes","No"))</f>
        <v>Open</v>
      </c>
    </row>
    <row r="6911" customFormat="false" ht="15" hidden="false" customHeight="false" outlineLevel="0" collapsed="false">
      <c r="A6911" s="31" t="s">
        <v>7061</v>
      </c>
      <c r="B6911" s="44" t="n">
        <v>46295</v>
      </c>
      <c r="C6911" s="31" t="s">
        <v>57</v>
      </c>
      <c r="D6911" s="31" t="s">
        <v>68</v>
      </c>
      <c r="E6911" s="31" t="s">
        <v>50</v>
      </c>
      <c r="F6911" s="31" t="s">
        <v>131</v>
      </c>
      <c r="G6911" s="31" t="n">
        <v>2</v>
      </c>
      <c r="H6911" s="41" t="n">
        <v>3.2</v>
      </c>
      <c r="I6911" s="31" t="s">
        <v>64</v>
      </c>
      <c r="J6911" s="31"/>
      <c r="K6911" s="31" t="s">
        <v>150</v>
      </c>
      <c r="L6911" s="45" t="n">
        <f aca="false">DATE(YEAR(B6911),MONTH(B6911),1)</f>
        <v>46266</v>
      </c>
      <c r="M6911" s="31" t="n">
        <f aca="false">WEEKDAY(B6911,2)</f>
        <v>3</v>
      </c>
      <c r="N6911" s="31" t="str">
        <f aca="false">IF(G6911&lt;=INDEX(Assumptions!$B$15:$B$18,MATCH(E6911,Assumptions!$A$15:$A$18,0)),"Yes","No")</f>
        <v>Yes</v>
      </c>
      <c r="O6911" s="31" t="str">
        <f aca="false">IF(H6911="","Open",IF(H6911&lt;=INDEX(Assumptions!$C$15:$C$18,MATCH(E6911,Assumptions!$A$15:$A$18,0)),"Yes","No"))</f>
        <v>Yes</v>
      </c>
    </row>
    <row r="6912" customFormat="false" ht="15" hidden="false" customHeight="false" outlineLevel="0" collapsed="false">
      <c r="A6912" s="31" t="s">
        <v>7062</v>
      </c>
      <c r="B6912" s="44" t="n">
        <v>46295</v>
      </c>
      <c r="C6912" s="31" t="s">
        <v>59</v>
      </c>
      <c r="D6912" s="31" t="s">
        <v>69</v>
      </c>
      <c r="E6912" s="31" t="s">
        <v>52</v>
      </c>
      <c r="F6912" s="31" t="s">
        <v>135</v>
      </c>
      <c r="G6912" s="31" t="n">
        <v>303</v>
      </c>
      <c r="H6912" s="41" t="n">
        <v>22.3</v>
      </c>
      <c r="I6912" s="31" t="s">
        <v>149</v>
      </c>
      <c r="J6912" s="31" t="n">
        <v>4</v>
      </c>
      <c r="K6912" s="31" t="s">
        <v>153</v>
      </c>
      <c r="L6912" s="45" t="n">
        <f aca="false">DATE(YEAR(B6912),MONTH(B6912),1)</f>
        <v>46266</v>
      </c>
      <c r="M6912" s="31" t="n">
        <f aca="false">WEEKDAY(B6912,2)</f>
        <v>3</v>
      </c>
      <c r="N6912" s="31" t="str">
        <f aca="false">IF(G6912&lt;=INDEX(Assumptions!$B$15:$B$18,MATCH(E6912,Assumptions!$A$15:$A$18,0)),"Yes","No")</f>
        <v>No</v>
      </c>
      <c r="O6912" s="31" t="str">
        <f aca="false">IF(H6912="","Open",IF(H6912&lt;=INDEX(Assumptions!$C$15:$C$18,MATCH(E6912,Assumptions!$A$15:$A$18,0)),"Yes","No"))</f>
        <v>Yes</v>
      </c>
    </row>
    <row r="6913" customFormat="false" ht="15" hidden="false" customHeight="false" outlineLevel="0" collapsed="false">
      <c r="A6913" s="31" t="s">
        <v>7063</v>
      </c>
      <c r="B6913" s="44" t="n">
        <v>46295</v>
      </c>
      <c r="C6913" s="31" t="s">
        <v>60</v>
      </c>
      <c r="D6913" s="31" t="s">
        <v>68</v>
      </c>
      <c r="E6913" s="31" t="s">
        <v>52</v>
      </c>
      <c r="F6913" s="31" t="s">
        <v>137</v>
      </c>
      <c r="G6913" s="31" t="n">
        <v>4</v>
      </c>
      <c r="H6913" s="41"/>
      <c r="I6913" s="31" t="s">
        <v>158</v>
      </c>
      <c r="J6913" s="31"/>
      <c r="K6913" s="31" t="s">
        <v>150</v>
      </c>
      <c r="L6913" s="45" t="n">
        <f aca="false">DATE(YEAR(B6913),MONTH(B6913),1)</f>
        <v>46266</v>
      </c>
      <c r="M6913" s="31" t="n">
        <f aca="false">WEEKDAY(B6913,2)</f>
        <v>3</v>
      </c>
      <c r="N6913" s="31" t="str">
        <f aca="false">IF(G6913&lt;=INDEX(Assumptions!$B$15:$B$18,MATCH(E6913,Assumptions!$A$15:$A$18,0)),"Yes","No")</f>
        <v>Yes</v>
      </c>
      <c r="O6913" s="31" t="str">
        <f aca="false">IF(H6913="","Open",IF(H6913&lt;=INDEX(Assumptions!$C$15:$C$18,MATCH(E6913,Assumptions!$A$15:$A$18,0)),"Yes","No"))</f>
        <v>Open</v>
      </c>
    </row>
    <row r="6914" customFormat="false" ht="15" hidden="false" customHeight="false" outlineLevel="0" collapsed="false">
      <c r="A6914" s="31" t="s">
        <v>7064</v>
      </c>
      <c r="B6914" s="44" t="n">
        <v>46295</v>
      </c>
      <c r="C6914" s="31" t="s">
        <v>57</v>
      </c>
      <c r="D6914" s="31" t="s">
        <v>66</v>
      </c>
      <c r="E6914" s="31" t="s">
        <v>51</v>
      </c>
      <c r="F6914" s="31" t="s">
        <v>117</v>
      </c>
      <c r="G6914" s="31" t="n">
        <v>3</v>
      </c>
      <c r="H6914" s="41"/>
      <c r="I6914" s="31" t="s">
        <v>158</v>
      </c>
      <c r="J6914" s="31"/>
      <c r="K6914" s="31" t="s">
        <v>150</v>
      </c>
      <c r="L6914" s="45" t="n">
        <f aca="false">DATE(YEAR(B6914),MONTH(B6914),1)</f>
        <v>46266</v>
      </c>
      <c r="M6914" s="31" t="n">
        <f aca="false">WEEKDAY(B6914,2)</f>
        <v>3</v>
      </c>
      <c r="N6914" s="31" t="str">
        <f aca="false">IF(G6914&lt;=INDEX(Assumptions!$B$15:$B$18,MATCH(E6914,Assumptions!$A$15:$A$18,0)),"Yes","No")</f>
        <v>Yes</v>
      </c>
      <c r="O6914" s="31" t="str">
        <f aca="false">IF(H6914="","Open",IF(H6914&lt;=INDEX(Assumptions!$C$15:$C$18,MATCH(E6914,Assumptions!$A$15:$A$18,0)),"Yes","No"))</f>
        <v>Open</v>
      </c>
    </row>
    <row r="6915" customFormat="false" ht="15" hidden="false" customHeight="false" outlineLevel="0" collapsed="false">
      <c r="A6915" s="31" t="s">
        <v>7065</v>
      </c>
      <c r="B6915" s="44" t="n">
        <v>46295</v>
      </c>
      <c r="C6915" s="31" t="s">
        <v>57</v>
      </c>
      <c r="D6915" s="31" t="s">
        <v>68</v>
      </c>
      <c r="E6915" s="31" t="s">
        <v>51</v>
      </c>
      <c r="F6915" s="31" t="s">
        <v>130</v>
      </c>
      <c r="G6915" s="31" t="n">
        <v>4</v>
      </c>
      <c r="H6915" s="41" t="n">
        <v>2.6</v>
      </c>
      <c r="I6915" s="31" t="s">
        <v>149</v>
      </c>
      <c r="J6915" s="31" t="n">
        <v>4</v>
      </c>
      <c r="K6915" s="31" t="s">
        <v>150</v>
      </c>
      <c r="L6915" s="45" t="n">
        <f aca="false">DATE(YEAR(B6915),MONTH(B6915),1)</f>
        <v>46266</v>
      </c>
      <c r="M6915" s="31" t="n">
        <f aca="false">WEEKDAY(B6915,2)</f>
        <v>3</v>
      </c>
      <c r="N6915" s="31" t="str">
        <f aca="false">IF(G6915&lt;=INDEX(Assumptions!$B$15:$B$18,MATCH(E6915,Assumptions!$A$15:$A$18,0)),"Yes","No")</f>
        <v>Yes</v>
      </c>
      <c r="O6915" s="31" t="str">
        <f aca="false">IF(H6915="","Open",IF(H6915&lt;=INDEX(Assumptions!$C$15:$C$18,MATCH(E6915,Assumptions!$A$15:$A$18,0)),"Yes","No"))</f>
        <v>Yes</v>
      </c>
    </row>
    <row r="6916" customFormat="false" ht="15" hidden="false" customHeight="false" outlineLevel="0" collapsed="false">
      <c r="A6916" s="31" t="s">
        <v>7066</v>
      </c>
      <c r="B6916" s="44" t="n">
        <v>46295</v>
      </c>
      <c r="C6916" s="31" t="s">
        <v>60</v>
      </c>
      <c r="D6916" s="31" t="s">
        <v>68</v>
      </c>
      <c r="E6916" s="31" t="s">
        <v>49</v>
      </c>
      <c r="F6916" s="31" t="s">
        <v>128</v>
      </c>
      <c r="G6916" s="31" t="n">
        <v>2</v>
      </c>
      <c r="H6916" s="41"/>
      <c r="I6916" s="31" t="s">
        <v>158</v>
      </c>
      <c r="J6916" s="31"/>
      <c r="K6916" s="31" t="s">
        <v>150</v>
      </c>
      <c r="L6916" s="45" t="n">
        <f aca="false">DATE(YEAR(B6916),MONTH(B6916),1)</f>
        <v>46266</v>
      </c>
      <c r="M6916" s="31" t="n">
        <f aca="false">WEEKDAY(B6916,2)</f>
        <v>3</v>
      </c>
      <c r="N6916" s="31" t="str">
        <f aca="false">IF(G6916&lt;=INDEX(Assumptions!$B$15:$B$18,MATCH(E6916,Assumptions!$A$15:$A$18,0)),"Yes","No")</f>
        <v>Yes</v>
      </c>
      <c r="O6916" s="31" t="str">
        <f aca="false">IF(H6916="","Open",IF(H6916&lt;=INDEX(Assumptions!$C$15:$C$18,MATCH(E6916,Assumptions!$A$15:$A$18,0)),"Yes","No"))</f>
        <v>Open</v>
      </c>
    </row>
    <row r="6917" customFormat="false" ht="15" hidden="false" customHeight="false" outlineLevel="0" collapsed="false">
      <c r="A6917" s="31" t="s">
        <v>7067</v>
      </c>
      <c r="B6917" s="44" t="n">
        <v>46295</v>
      </c>
      <c r="C6917" s="31" t="s">
        <v>58</v>
      </c>
      <c r="D6917" s="31" t="s">
        <v>65</v>
      </c>
      <c r="E6917" s="31" t="s">
        <v>51</v>
      </c>
      <c r="F6917" s="31" t="s">
        <v>134</v>
      </c>
      <c r="G6917" s="31" t="n">
        <v>6</v>
      </c>
      <c r="H6917" s="41"/>
      <c r="I6917" s="31" t="s">
        <v>158</v>
      </c>
      <c r="J6917" s="31"/>
      <c r="K6917" s="31" t="s">
        <v>150</v>
      </c>
      <c r="L6917" s="45" t="n">
        <f aca="false">DATE(YEAR(B6917),MONTH(B6917),1)</f>
        <v>46266</v>
      </c>
      <c r="M6917" s="31" t="n">
        <f aca="false">WEEKDAY(B6917,2)</f>
        <v>3</v>
      </c>
      <c r="N6917" s="31" t="str">
        <f aca="false">IF(G6917&lt;=INDEX(Assumptions!$B$15:$B$18,MATCH(E6917,Assumptions!$A$15:$A$18,0)),"Yes","No")</f>
        <v>Yes</v>
      </c>
      <c r="O6917" s="31" t="str">
        <f aca="false">IF(H6917="","Open",IF(H6917&lt;=INDEX(Assumptions!$C$15:$C$18,MATCH(E6917,Assumptions!$A$15:$A$18,0)),"Yes","No"))</f>
        <v>Open</v>
      </c>
    </row>
    <row r="6918" customFormat="false" ht="15" hidden="false" customHeight="false" outlineLevel="0" collapsed="false">
      <c r="A6918" s="31" t="s">
        <v>7068</v>
      </c>
      <c r="B6918" s="44" t="n">
        <v>46295</v>
      </c>
      <c r="C6918" s="31" t="s">
        <v>60</v>
      </c>
      <c r="D6918" s="31" t="s">
        <v>65</v>
      </c>
      <c r="E6918" s="31" t="s">
        <v>51</v>
      </c>
      <c r="F6918" s="31" t="s">
        <v>130</v>
      </c>
      <c r="G6918" s="31" t="n">
        <v>2</v>
      </c>
      <c r="H6918" s="41"/>
      <c r="I6918" s="31" t="s">
        <v>158</v>
      </c>
      <c r="J6918" s="31"/>
      <c r="K6918" s="31" t="s">
        <v>150</v>
      </c>
      <c r="L6918" s="45" t="n">
        <f aca="false">DATE(YEAR(B6918),MONTH(B6918),1)</f>
        <v>46266</v>
      </c>
      <c r="M6918" s="31" t="n">
        <f aca="false">WEEKDAY(B6918,2)</f>
        <v>3</v>
      </c>
      <c r="N6918" s="31" t="str">
        <f aca="false">IF(G6918&lt;=INDEX(Assumptions!$B$15:$B$18,MATCH(E6918,Assumptions!$A$15:$A$18,0)),"Yes","No")</f>
        <v>Yes</v>
      </c>
      <c r="O6918" s="31" t="str">
        <f aca="false">IF(H6918="","Open",IF(H6918&lt;=INDEX(Assumptions!$C$15:$C$18,MATCH(E6918,Assumptions!$A$15:$A$18,0)),"Yes","No"))</f>
        <v>Open</v>
      </c>
    </row>
    <row r="6919" customFormat="false" ht="15" hidden="false" customHeight="false" outlineLevel="0" collapsed="false">
      <c r="A6919" s="31" t="s">
        <v>7069</v>
      </c>
      <c r="B6919" s="44" t="n">
        <v>46295</v>
      </c>
      <c r="C6919" s="31" t="s">
        <v>58</v>
      </c>
      <c r="D6919" s="31" t="s">
        <v>66</v>
      </c>
      <c r="E6919" s="31" t="s">
        <v>51</v>
      </c>
      <c r="F6919" s="31" t="s">
        <v>120</v>
      </c>
      <c r="G6919" s="31" t="n">
        <v>6</v>
      </c>
      <c r="H6919" s="41"/>
      <c r="I6919" s="31" t="s">
        <v>158</v>
      </c>
      <c r="J6919" s="31"/>
      <c r="K6919" s="31" t="s">
        <v>150</v>
      </c>
      <c r="L6919" s="45" t="n">
        <f aca="false">DATE(YEAR(B6919),MONTH(B6919),1)</f>
        <v>46266</v>
      </c>
      <c r="M6919" s="31" t="n">
        <f aca="false">WEEKDAY(B6919,2)</f>
        <v>3</v>
      </c>
      <c r="N6919" s="31" t="str">
        <f aca="false">IF(G6919&lt;=INDEX(Assumptions!$B$15:$B$18,MATCH(E6919,Assumptions!$A$15:$A$18,0)),"Yes","No")</f>
        <v>Yes</v>
      </c>
      <c r="O6919" s="31" t="str">
        <f aca="false">IF(H6919="","Open",IF(H6919&lt;=INDEX(Assumptions!$C$15:$C$18,MATCH(E6919,Assumptions!$A$15:$A$18,0)),"Yes","No"))</f>
        <v>Open</v>
      </c>
    </row>
  </sheetData>
  <autoFilter ref="A1:O69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2026-10-01T10:38:50Z</dcterms:created>
  <dc:creator>openpyxl</dc:creator>
  <dc:description/>
  <dc:language>en-US</dc:language>
  <cp:lastModifiedBy/>
  <dcterms:modified xsi:type="dcterms:W3CDTF">2026-10-01T10:38:56Z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